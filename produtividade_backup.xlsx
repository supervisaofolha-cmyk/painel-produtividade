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1840" windowHeight="13140" tabRatio="600" firstSheet="0" activeTab="0" autoFilterDateGrouping="1"/>
  </bookViews>
  <sheets>
    <sheet name="Produtividade" sheetId="1" state="visible" r:id="rId1"/>
    <sheet name="Aliases" sheetId="2" state="visible" r:id="rId2"/>
  </sheets>
  <definedNames>
    <definedName name="_xlnm._FilterDatabase" localSheetId="0" hidden="1">'Produtividade'!$A$1:$O$4515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yyyy\-mm\-dd"/>
  </numFmts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14" fontId="1" fillId="0" borderId="0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14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P4515"/>
  <sheetViews>
    <sheetView tabSelected="1" zoomScale="85" zoomScaleNormal="85" workbookViewId="0">
      <selection activeCell="B244" sqref="B244"/>
    </sheetView>
  </sheetViews>
  <sheetFormatPr baseColWidth="8" defaultRowHeight="15"/>
  <cols>
    <col width="10.42578125" bestFit="1" customWidth="1" style="5" min="1" max="1"/>
    <col width="41.7109375" customWidth="1" style="6" min="2" max="2"/>
    <col width="10.28515625" bestFit="1" customWidth="1" style="3" min="3" max="3"/>
    <col width="14.5703125" bestFit="1" customWidth="1" style="3" min="4" max="4"/>
    <col width="9.140625" customWidth="1" style="3" min="5" max="8"/>
    <col width="14.5703125" bestFit="1" customWidth="1" style="3" min="9" max="9"/>
    <col width="9.140625" customWidth="1" style="3" min="10" max="11"/>
    <col width="13.140625" bestFit="1" customWidth="1" style="3" min="12" max="12"/>
    <col width="9.140625" customWidth="1" style="3" min="13" max="13"/>
    <col width="14.85546875" bestFit="1" customWidth="1" style="3" min="14" max="14"/>
    <col width="12.7109375" bestFit="1" customWidth="1" style="3" min="15" max="15"/>
  </cols>
  <sheetData>
    <row r="1">
      <c r="A1" s="4" t="inlineStr">
        <is>
          <t>Data</t>
        </is>
      </c>
      <c r="B1" s="2" t="inlineStr">
        <is>
          <t>Técnico</t>
        </is>
      </c>
      <c r="C1" s="1" t="inlineStr">
        <is>
          <t>Nível</t>
        </is>
      </c>
      <c r="D1" s="1" t="inlineStr">
        <is>
          <t>Atendidas</t>
        </is>
      </c>
      <c r="E1" s="1" t="inlineStr">
        <is>
          <t xml:space="preserve"> &gt; 2min</t>
        </is>
      </c>
      <c r="F1" s="1" t="inlineStr">
        <is>
          <t>TMA</t>
        </is>
      </c>
      <c r="G1" s="1" t="inlineStr">
        <is>
          <t>RO</t>
        </is>
      </c>
      <c r="H1" s="1" t="inlineStr">
        <is>
          <t>CHAT</t>
        </is>
      </c>
      <c r="I1" s="1" t="inlineStr">
        <is>
          <t>Realizado</t>
        </is>
      </c>
      <c r="J1" s="1" t="inlineStr">
        <is>
          <t>Esperado</t>
        </is>
      </c>
      <c r="K1" s="1" t="inlineStr">
        <is>
          <t>Desvio</t>
        </is>
      </c>
      <c r="L1" s="1" t="inlineStr">
        <is>
          <t>Classificação</t>
        </is>
      </c>
      <c r="M1" s="1" t="inlineStr">
        <is>
          <t>SSC</t>
        </is>
      </c>
      <c r="N1" s="1" t="inlineStr">
        <is>
          <t>Satisfação</t>
        </is>
      </c>
      <c r="O1" s="1" t="inlineStr">
        <is>
          <t>Votação</t>
        </is>
      </c>
      <c r="P1" s="1" t="n"/>
    </row>
    <row r="2" hidden="1">
      <c r="A2" s="5" t="n">
        <v>46146</v>
      </c>
      <c r="B2" s="6" t="inlineStr">
        <is>
          <t>Anna Luiza Rezende Tavares</t>
        </is>
      </c>
      <c r="C2" s="3" t="inlineStr">
        <is>
          <t>Estágio</t>
        </is>
      </c>
      <c r="D2" s="3" t="n">
        <v>48</v>
      </c>
      <c r="E2" s="3" t="n">
        <v>36</v>
      </c>
      <c r="F2" s="3" t="n">
        <v>10.4</v>
      </c>
      <c r="G2" s="3" t="n">
        <v>0</v>
      </c>
      <c r="H2" s="3" t="n">
        <v>0</v>
      </c>
      <c r="I2" s="3">
        <f>E2+G2+H2</f>
        <v/>
      </c>
      <c r="J2" s="3">
        <f>ROUND(MIN(IF(C2="Técnico III",35,IF(C2="Técnico II",28,IF(C2="Técnico I",23,IF(C2="JR",20,IF(C2="Estágio",10,0))))),IF(C2="Técnico III",SUMIFS($D:$D,$A:$A,$A2,$B:$B,"&lt;&gt;Patrícia Karla de Sousa Araújo",$B:$B,"&lt;&gt;Lorena Dias de Araujo",$B:$B,"&lt;&gt;Lucas Luiz Romero")*(35/1083),IF(C2="Técnico II",SUMIFS($D:$D,$A:$A,$A2,$B:$B,"&lt;&gt;Patrícia Karla de Sousa Araújo",$B:$B,"&lt;&gt;Lorena Dias de Araujo",$B:$B,"&lt;&gt;Lucas Luiz Romero")*(28/1083),IF(C2="Técnico I",SUMIFS($D:$D,$A:$A,$A2,$B:$B,"&lt;&gt;Patrícia Karla de Sousa Araújo",$B:$B,"&lt;&gt;Lorena Dias de Araujo",$B:$B,"&lt;&gt;Lucas Luiz Romero")*(23/1083),IF(C2="JR",SUMIFS($D:$D,$A:$A,$A2,$B:$B,"&lt;&gt;Patrícia Karla de Sousa Araújo",$B:$B,"&lt;&gt;Lorena Dias de Araujo",$B:$B,"&lt;&gt;Lucas Luiz Romero")*(20/1083),IF(C2="Estágio",SUMIFS($D:$D,$A:$A,$A2,$B:$B,"&lt;&gt;Patrícia Karla de Sousa Araújo",$B:$B,"&lt;&gt;Lorena Dias de Araujo",$B:$B,"&lt;&gt;Lucas Luiz Romero")*(10/1083),0)))))),0)</f>
        <v/>
      </c>
      <c r="K2" s="3">
        <f>I2-J2</f>
        <v/>
      </c>
      <c r="L2" s="3">
        <f>IF(K2&lt;-5,"CRÍTICO",IF(K2&lt;0,"ATENÇÃO",IF(K2&lt;=5,"BOM","EXCELENTE")))</f>
        <v/>
      </c>
      <c r="M2" s="9" t="n">
        <v>29</v>
      </c>
      <c r="N2" s="9" t="n">
        <v>99.11</v>
      </c>
      <c r="O2" s="9" t="n">
        <v>17.72151898734177</v>
      </c>
    </row>
    <row r="3" hidden="1">
      <c r="A3" s="5" t="n">
        <v>46146</v>
      </c>
      <c r="B3" s="6" t="inlineStr">
        <is>
          <t>Claudio de Sousa Velasco Filho</t>
        </is>
      </c>
      <c r="C3" s="3" t="inlineStr">
        <is>
          <t>Estágio</t>
        </is>
      </c>
      <c r="D3" s="3" t="n">
        <v>8</v>
      </c>
      <c r="E3" s="3" t="n">
        <v>8</v>
      </c>
      <c r="F3" s="3" t="n">
        <v>25.13</v>
      </c>
      <c r="G3" s="3" t="n">
        <v>0</v>
      </c>
      <c r="H3" s="3" t="n">
        <v>0</v>
      </c>
      <c r="I3" s="3">
        <f>E3+G3+H3</f>
        <v/>
      </c>
      <c r="J3" s="3">
        <f>ROUND(MIN(IF(C3="Técnico III",35,IF(C3="Técnico II",28,IF(C3="Técnico I",23,IF(C3="JR",20,IF(C3="Estágio",10,0))))),IF(C3="Técnico III",SUMIFS($D:$D,$A:$A,$A3,$B:$B,"&lt;&gt;Patrícia Karla de Sousa Araújo",$B:$B,"&lt;&gt;Lorena Dias de Araujo",$B:$B,"&lt;&gt;Lucas Luiz Romero")*(35/1083),IF(C3="Técnico II",SUMIFS($D:$D,$A:$A,$A3,$B:$B,"&lt;&gt;Patrícia Karla de Sousa Araújo",$B:$B,"&lt;&gt;Lorena Dias de Araujo",$B:$B,"&lt;&gt;Lucas Luiz Romero")*(28/1083),IF(C3="Técnico I",SUMIFS($D:$D,$A:$A,$A3,$B:$B,"&lt;&gt;Patrícia Karla de Sousa Araújo",$B:$B,"&lt;&gt;Lorena Dias de Araujo",$B:$B,"&lt;&gt;Lucas Luiz Romero")*(23/1083),IF(C3="JR",SUMIFS($D:$D,$A:$A,$A3,$B:$B,"&lt;&gt;Patrícia Karla de Sousa Araújo",$B:$B,"&lt;&gt;Lorena Dias de Araujo",$B:$B,"&lt;&gt;Lucas Luiz Romero")*(20/1083),IF(C3="Estágio",SUMIFS($D:$D,$A:$A,$A3,$B:$B,"&lt;&gt;Patrícia Karla de Sousa Araújo",$B:$B,"&lt;&gt;Lorena Dias de Araujo",$B:$B,"&lt;&gt;Lucas Luiz Romero")*(10/1083),0)))))),0)</f>
        <v/>
      </c>
      <c r="K3" s="3">
        <f>I3-J3</f>
        <v/>
      </c>
      <c r="L3" s="3">
        <f>IF(K3&lt;-5,"CRÍTICO",IF(K3&lt;0,"ATENÇÃO",IF(K3&lt;=5,"BOM","EXCELENTE")))</f>
        <v/>
      </c>
      <c r="M3" s="9" t="n">
        <v>7</v>
      </c>
      <c r="N3" s="9" t="n">
        <v>96.43000000000001</v>
      </c>
      <c r="O3" s="9" t="n">
        <v>20</v>
      </c>
    </row>
    <row r="4" hidden="1">
      <c r="A4" s="5" t="n">
        <v>46146</v>
      </c>
      <c r="B4" s="6" t="inlineStr">
        <is>
          <t>Emilly Caylane Costa</t>
        </is>
      </c>
      <c r="C4" s="3" t="inlineStr">
        <is>
          <t>Estágio</t>
        </is>
      </c>
      <c r="D4" s="3" t="n">
        <v>8</v>
      </c>
      <c r="E4" s="3" t="n">
        <v>8</v>
      </c>
      <c r="F4" s="3" t="n">
        <v>38.45</v>
      </c>
      <c r="G4" s="3" t="n">
        <v>0</v>
      </c>
      <c r="H4" s="3" t="n">
        <v>0</v>
      </c>
      <c r="I4" s="3">
        <f>E4+G4+H4</f>
        <v/>
      </c>
      <c r="J4" s="3">
        <f>ROUND(MIN(IF(C4="Técnico III",35,IF(C4="Técnico II",28,IF(C4="Técnico I",23,IF(C4="JR",20,IF(C4="Estágio",10,0))))),IF(C4="Técnico III",SUMIFS($D:$D,$A:$A,$A4,$B:$B,"&lt;&gt;Patrícia Karla de Sousa Araújo",$B:$B,"&lt;&gt;Lorena Dias de Araujo",$B:$B,"&lt;&gt;Lucas Luiz Romero")*(35/1083),IF(C4="Técnico II",SUMIFS($D:$D,$A:$A,$A4,$B:$B,"&lt;&gt;Patrícia Karla de Sousa Araújo",$B:$B,"&lt;&gt;Lorena Dias de Araujo",$B:$B,"&lt;&gt;Lucas Luiz Romero")*(28/1083),IF(C4="Técnico I",SUMIFS($D:$D,$A:$A,$A4,$B:$B,"&lt;&gt;Patrícia Karla de Sousa Araújo",$B:$B,"&lt;&gt;Lorena Dias de Araujo",$B:$B,"&lt;&gt;Lucas Luiz Romero")*(23/1083),IF(C4="JR",SUMIFS($D:$D,$A:$A,$A4,$B:$B,"&lt;&gt;Patrícia Karla de Sousa Araújo",$B:$B,"&lt;&gt;Lorena Dias de Araujo",$B:$B,"&lt;&gt;Lucas Luiz Romero")*(20/1083),IF(C4="Estágio",SUMIFS($D:$D,$A:$A,$A4,$B:$B,"&lt;&gt;Patrícia Karla de Sousa Araújo",$B:$B,"&lt;&gt;Lorena Dias de Araujo",$B:$B,"&lt;&gt;Lucas Luiz Romero")*(10/1083),0)))))),0)</f>
        <v/>
      </c>
      <c r="K4" s="3">
        <f>I4-J4</f>
        <v/>
      </c>
      <c r="L4" s="3">
        <f>IF(K4&lt;-5,"CRÍTICO",IF(K4&lt;0,"ATENÇÃO",IF(K4&lt;=5,"BOM","EXCELENTE")))</f>
        <v/>
      </c>
      <c r="M4" s="9" t="n">
        <v>8</v>
      </c>
      <c r="N4" s="9" t="n">
        <v>100</v>
      </c>
      <c r="O4" s="9" t="n">
        <v>29.03225806451613</v>
      </c>
    </row>
    <row r="5" hidden="1">
      <c r="A5" s="5" t="n">
        <v>46146</v>
      </c>
      <c r="B5" s="6" t="inlineStr">
        <is>
          <t>Maria Eduarda Sousa Costa</t>
        </is>
      </c>
      <c r="C5" s="3" t="inlineStr">
        <is>
          <t>Estágio</t>
        </is>
      </c>
      <c r="D5" s="3" t="n">
        <v>47</v>
      </c>
      <c r="E5" s="3" t="n">
        <v>25</v>
      </c>
      <c r="F5" s="3" t="n">
        <v>3.57</v>
      </c>
      <c r="G5" s="3" t="n">
        <v>0</v>
      </c>
      <c r="H5" s="3" t="n">
        <v>0</v>
      </c>
      <c r="I5" s="3">
        <f>E5+G5+H5</f>
        <v/>
      </c>
      <c r="J5" s="3">
        <f>ROUND(MIN(IF(C5="Técnico III",35,IF(C5="Técnico II",28,IF(C5="Técnico I",23,IF(C5="JR",20,IF(C5="Estágio",10,0))))),IF(C5="Técnico III",SUMIFS($D:$D,$A:$A,$A5,$B:$B,"&lt;&gt;Patrícia Karla de Sousa Araújo",$B:$B,"&lt;&gt;Lorena Dias de Araujo",$B:$B,"&lt;&gt;Lucas Luiz Romero")*(35/1083),IF(C5="Técnico II",SUMIFS($D:$D,$A:$A,$A5,$B:$B,"&lt;&gt;Patrícia Karla de Sousa Araújo",$B:$B,"&lt;&gt;Lorena Dias de Araujo",$B:$B,"&lt;&gt;Lucas Luiz Romero")*(28/1083),IF(C5="Técnico I",SUMIFS($D:$D,$A:$A,$A5,$B:$B,"&lt;&gt;Patrícia Karla de Sousa Araújo",$B:$B,"&lt;&gt;Lorena Dias de Araujo",$B:$B,"&lt;&gt;Lucas Luiz Romero")*(23/1083),IF(C5="JR",SUMIFS($D:$D,$A:$A,$A5,$B:$B,"&lt;&gt;Patrícia Karla de Sousa Araújo",$B:$B,"&lt;&gt;Lorena Dias de Araujo",$B:$B,"&lt;&gt;Lucas Luiz Romero")*(20/1083),IF(C5="Estágio",SUMIFS($D:$D,$A:$A,$A5,$B:$B,"&lt;&gt;Patrícia Karla de Sousa Araújo",$B:$B,"&lt;&gt;Lorena Dias de Araujo",$B:$B,"&lt;&gt;Lucas Luiz Romero")*(10/1083),0)))))),0)</f>
        <v/>
      </c>
      <c r="K5" s="3">
        <f>I5-J5</f>
        <v/>
      </c>
      <c r="L5" s="3">
        <f>IF(K5&lt;-5,"CRÍTICO",IF(K5&lt;0,"ATENÇÃO",IF(K5&lt;=5,"BOM","EXCELENTE")))</f>
        <v/>
      </c>
      <c r="M5" s="9" t="n">
        <v>0</v>
      </c>
      <c r="N5" s="9" t="n">
        <v>100</v>
      </c>
      <c r="O5" s="9" t="n">
        <v>11.86440677966102</v>
      </c>
    </row>
    <row r="6" hidden="1">
      <c r="A6" s="5" t="n">
        <v>46146</v>
      </c>
      <c r="B6" s="6" t="inlineStr">
        <is>
          <t>Michelle G Santos</t>
        </is>
      </c>
      <c r="C6" s="3" t="inlineStr">
        <is>
          <t>Estágio</t>
        </is>
      </c>
      <c r="D6" s="3" t="n">
        <v>8</v>
      </c>
      <c r="E6" s="3" t="n">
        <v>7</v>
      </c>
      <c r="F6" s="3" t="n">
        <v>23.3</v>
      </c>
      <c r="G6" s="3" t="n">
        <v>0</v>
      </c>
      <c r="H6" s="3" t="n">
        <v>0</v>
      </c>
      <c r="I6" s="3">
        <f>E6+G6+H6</f>
        <v/>
      </c>
      <c r="J6" s="3">
        <f>ROUND(MIN(IF(C6="Técnico III",35,IF(C6="Técnico II",28,IF(C6="Técnico I",23,IF(C6="JR",20,IF(C6="Estágio",10,0))))),IF(C6="Técnico III",SUMIFS($D:$D,$A:$A,$A6,$B:$B,"&lt;&gt;Patrícia Karla de Sousa Araújo",$B:$B,"&lt;&gt;Lorena Dias de Araujo",$B:$B,"&lt;&gt;Lucas Luiz Romero")*(35/1083),IF(C6="Técnico II",SUMIFS($D:$D,$A:$A,$A6,$B:$B,"&lt;&gt;Patrícia Karla de Sousa Araújo",$B:$B,"&lt;&gt;Lorena Dias de Araujo",$B:$B,"&lt;&gt;Lucas Luiz Romero")*(28/1083),IF(C6="Técnico I",SUMIFS($D:$D,$A:$A,$A6,$B:$B,"&lt;&gt;Patrícia Karla de Sousa Araújo",$B:$B,"&lt;&gt;Lorena Dias de Araujo",$B:$B,"&lt;&gt;Lucas Luiz Romero")*(23/1083),IF(C6="JR",SUMIFS($D:$D,$A:$A,$A6,$B:$B,"&lt;&gt;Patrícia Karla de Sousa Araújo",$B:$B,"&lt;&gt;Lorena Dias de Araujo",$B:$B,"&lt;&gt;Lucas Luiz Romero")*(20/1083),IF(C6="Estágio",SUMIFS($D:$D,$A:$A,$A6,$B:$B,"&lt;&gt;Patrícia Karla de Sousa Araújo",$B:$B,"&lt;&gt;Lorena Dias de Araujo",$B:$B,"&lt;&gt;Lucas Luiz Romero")*(10/1083),0)))))),0)</f>
        <v/>
      </c>
      <c r="K6" s="3">
        <f>I6-J6</f>
        <v/>
      </c>
      <c r="L6" s="3">
        <f>IF(K6&lt;-5,"CRÍTICO",IF(K6&lt;0,"ATENÇÃO",IF(K6&lt;=5,"BOM","EXCELENTE")))</f>
        <v/>
      </c>
      <c r="M6" s="9" t="n">
        <v>4</v>
      </c>
      <c r="N6" s="9" t="n">
        <v>100</v>
      </c>
      <c r="O6" s="9" t="n">
        <v>16.8141592920354</v>
      </c>
    </row>
    <row r="7" hidden="1">
      <c r="A7" s="5" t="n">
        <v>46146</v>
      </c>
      <c r="B7" s="6" t="inlineStr">
        <is>
          <t>Quirino Diogo Leite Torres</t>
        </is>
      </c>
      <c r="C7" s="3" t="inlineStr">
        <is>
          <t>Estágio</t>
        </is>
      </c>
      <c r="D7" s="3" t="n">
        <v>14</v>
      </c>
      <c r="E7" s="3" t="n">
        <v>14</v>
      </c>
      <c r="F7" s="3" t="n">
        <v>34.04</v>
      </c>
      <c r="G7" s="3" t="n">
        <v>1</v>
      </c>
      <c r="H7" s="3" t="n">
        <v>0</v>
      </c>
      <c r="I7" s="3">
        <f>E7+G7+H7</f>
        <v/>
      </c>
      <c r="J7" s="3">
        <f>ROUND(MIN(IF(C7="Técnico III",35,IF(C7="Técnico II",28,IF(C7="Técnico I",23,IF(C7="JR",20,IF(C7="Estágio",10,0))))),IF(C7="Técnico III",SUMIFS($D:$D,$A:$A,$A7,$B:$B,"&lt;&gt;Patrícia Karla de Sousa Araújo",$B:$B,"&lt;&gt;Lorena Dias de Araujo",$B:$B,"&lt;&gt;Lucas Luiz Romero")*(35/1083),IF(C7="Técnico II",SUMIFS($D:$D,$A:$A,$A7,$B:$B,"&lt;&gt;Patrícia Karla de Sousa Araújo",$B:$B,"&lt;&gt;Lorena Dias de Araujo",$B:$B,"&lt;&gt;Lucas Luiz Romero")*(28/1083),IF(C7="Técnico I",SUMIFS($D:$D,$A:$A,$A7,$B:$B,"&lt;&gt;Patrícia Karla de Sousa Araújo",$B:$B,"&lt;&gt;Lorena Dias de Araujo",$B:$B,"&lt;&gt;Lucas Luiz Romero")*(23/1083),IF(C7="JR",SUMIFS($D:$D,$A:$A,$A7,$B:$B,"&lt;&gt;Patrícia Karla de Sousa Araújo",$B:$B,"&lt;&gt;Lorena Dias de Araujo",$B:$B,"&lt;&gt;Lucas Luiz Romero")*(20/1083),IF(C7="Estágio",SUMIFS($D:$D,$A:$A,$A7,$B:$B,"&lt;&gt;Patrícia Karla de Sousa Araújo",$B:$B,"&lt;&gt;Lorena Dias de Araujo",$B:$B,"&lt;&gt;Lucas Luiz Romero")*(10/1083),0)))))),0)</f>
        <v/>
      </c>
      <c r="K7" s="3">
        <f>I7-J7</f>
        <v/>
      </c>
      <c r="L7" s="3">
        <f>IF(K7&lt;-5,"CRÍTICO",IF(K7&lt;0,"ATENÇÃO",IF(K7&lt;=5,"BOM","EXCELENTE")))</f>
        <v/>
      </c>
      <c r="M7" s="9" t="n">
        <v>12</v>
      </c>
      <c r="N7" s="9" t="n">
        <v>98.11</v>
      </c>
      <c r="O7" s="9" t="n">
        <v>20.40816326530612</v>
      </c>
    </row>
    <row r="8" hidden="1">
      <c r="A8" s="5" t="n">
        <v>46147</v>
      </c>
      <c r="B8" s="6" t="inlineStr">
        <is>
          <t>Anna Luiza Rezende Tavares</t>
        </is>
      </c>
      <c r="C8" s="3" t="inlineStr">
        <is>
          <t>Estágio</t>
        </is>
      </c>
      <c r="D8" s="3" t="n">
        <v>36</v>
      </c>
      <c r="E8" s="3" t="n">
        <v>35</v>
      </c>
      <c r="F8" s="3" t="n">
        <v>17.29</v>
      </c>
      <c r="G8" s="3" t="n">
        <v>0</v>
      </c>
      <c r="H8" s="3" t="n">
        <v>0</v>
      </c>
      <c r="I8" s="3">
        <f>E8+G8+H8</f>
        <v/>
      </c>
      <c r="J8" s="3">
        <f>ROUND(MIN(IF(C8="Técnico III",35,IF(C8="Técnico II",28,IF(C8="Técnico I",23,IF(C8="JR",20,IF(C8="Estágio",10,0))))),IF(C8="Técnico III",SUMIFS($D:$D,$A:$A,$A8,$B:$B,"&lt;&gt;Patrícia Karla de Sousa Araújo",$B:$B,"&lt;&gt;Lorena Dias de Araujo",$B:$B,"&lt;&gt;Lucas Luiz Romero")*(35/1083),IF(C8="Técnico II",SUMIFS($D:$D,$A:$A,$A8,$B:$B,"&lt;&gt;Patrícia Karla de Sousa Araújo",$B:$B,"&lt;&gt;Lorena Dias de Araujo",$B:$B,"&lt;&gt;Lucas Luiz Romero")*(28/1083),IF(C8="Técnico I",SUMIFS($D:$D,$A:$A,$A8,$B:$B,"&lt;&gt;Patrícia Karla de Sousa Araújo",$B:$B,"&lt;&gt;Lorena Dias de Araujo",$B:$B,"&lt;&gt;Lucas Luiz Romero")*(23/1083),IF(C8="JR",SUMIFS($D:$D,$A:$A,$A8,$B:$B,"&lt;&gt;Patrícia Karla de Sousa Araújo",$B:$B,"&lt;&gt;Lorena Dias de Araujo",$B:$B,"&lt;&gt;Lucas Luiz Romero")*(20/1083),IF(C8="Estágio",SUMIFS($D:$D,$A:$A,$A8,$B:$B,"&lt;&gt;Patrícia Karla de Sousa Araújo",$B:$B,"&lt;&gt;Lorena Dias de Araujo",$B:$B,"&lt;&gt;Lucas Luiz Romero")*(10/1083),0)))))),0)</f>
        <v/>
      </c>
      <c r="K8" s="3">
        <f>I8-J8</f>
        <v/>
      </c>
      <c r="L8" s="3">
        <f>IF(K8&lt;-5,"CRÍTICO",IF(K8&lt;0,"ATENÇÃO",IF(K8&lt;=5,"BOM","EXCELENTE")))</f>
        <v/>
      </c>
      <c r="M8" s="3" t="n">
        <v>33</v>
      </c>
      <c r="N8" s="3" t="n">
        <v>99.11</v>
      </c>
      <c r="O8" s="3" t="n">
        <v>17.72151898734177</v>
      </c>
    </row>
    <row r="9" hidden="1">
      <c r="A9" s="5" t="n">
        <v>46147</v>
      </c>
      <c r="B9" s="6" t="inlineStr">
        <is>
          <t>Claudio de Sousa Velasco Filho</t>
        </is>
      </c>
      <c r="C9" s="3" t="inlineStr">
        <is>
          <t>Estágio</t>
        </is>
      </c>
      <c r="D9" s="3" t="n">
        <v>10</v>
      </c>
      <c r="E9" s="3" t="n">
        <v>10</v>
      </c>
      <c r="F9" s="3" t="n">
        <v>12.39</v>
      </c>
      <c r="G9" s="3" t="n">
        <v>0</v>
      </c>
      <c r="H9" s="3" t="n">
        <v>0</v>
      </c>
      <c r="I9" s="3">
        <f>E9+G9+H9</f>
        <v/>
      </c>
      <c r="J9" s="3">
        <f>ROUND(MIN(IF(C9="Técnico III",35,IF(C9="Técnico II",28,IF(C9="Técnico I",23,IF(C9="JR",20,IF(C9="Estágio",10,0))))),IF(C9="Técnico III",SUMIFS($D:$D,$A:$A,$A9,$B:$B,"&lt;&gt;Patrícia Karla de Sousa Araújo",$B:$B,"&lt;&gt;Lorena Dias de Araujo",$B:$B,"&lt;&gt;Lucas Luiz Romero")*(35/1083),IF(C9="Técnico II",SUMIFS($D:$D,$A:$A,$A9,$B:$B,"&lt;&gt;Patrícia Karla de Sousa Araújo",$B:$B,"&lt;&gt;Lorena Dias de Araujo",$B:$B,"&lt;&gt;Lucas Luiz Romero")*(28/1083),IF(C9="Técnico I",SUMIFS($D:$D,$A:$A,$A9,$B:$B,"&lt;&gt;Patrícia Karla de Sousa Araújo",$B:$B,"&lt;&gt;Lorena Dias de Araujo",$B:$B,"&lt;&gt;Lucas Luiz Romero")*(23/1083),IF(C9="JR",SUMIFS($D:$D,$A:$A,$A9,$B:$B,"&lt;&gt;Patrícia Karla de Sousa Araújo",$B:$B,"&lt;&gt;Lorena Dias de Araujo",$B:$B,"&lt;&gt;Lucas Luiz Romero")*(20/1083),IF(C9="Estágio",SUMIFS($D:$D,$A:$A,$A9,$B:$B,"&lt;&gt;Patrícia Karla de Sousa Araújo",$B:$B,"&lt;&gt;Lorena Dias de Araujo",$B:$B,"&lt;&gt;Lucas Luiz Romero")*(10/1083),0)))))),0)</f>
        <v/>
      </c>
      <c r="K9" s="3">
        <f>I9-J9</f>
        <v/>
      </c>
      <c r="L9" s="3">
        <f>IF(K9&lt;-5,"CRÍTICO",IF(K9&lt;0,"ATENÇÃO",IF(K9&lt;=5,"BOM","EXCELENTE")))</f>
        <v/>
      </c>
      <c r="M9" s="3" t="n">
        <v>9</v>
      </c>
      <c r="N9" s="3" t="n">
        <v>96.43000000000001</v>
      </c>
      <c r="O9" s="3" t="n">
        <v>20</v>
      </c>
    </row>
    <row r="10" hidden="1">
      <c r="A10" s="5" t="n">
        <v>46147</v>
      </c>
      <c r="B10" s="6" t="inlineStr">
        <is>
          <t>Emilly Caylane Costa</t>
        </is>
      </c>
      <c r="C10" s="3" t="inlineStr">
        <is>
          <t>Estágio</t>
        </is>
      </c>
      <c r="D10" s="3" t="n">
        <v>48</v>
      </c>
      <c r="E10" s="3" t="n">
        <v>32</v>
      </c>
      <c r="F10" s="3" t="n">
        <v>4.04</v>
      </c>
      <c r="G10" s="3" t="n">
        <v>0</v>
      </c>
      <c r="H10" s="3" t="n">
        <v>0</v>
      </c>
      <c r="I10" s="3">
        <f>E10+G10+H10</f>
        <v/>
      </c>
      <c r="J10" s="3">
        <f>ROUND(MIN(IF(C10="Técnico III",35,IF(C10="Técnico II",28,IF(C10="Técnico I",23,IF(C10="JR",20,IF(C10="Estágio",10,0))))),IF(C10="Técnico III",SUMIFS($D:$D,$A:$A,$A10,$B:$B,"&lt;&gt;Patrícia Karla de Sousa Araújo",$B:$B,"&lt;&gt;Lorena Dias de Araujo",$B:$B,"&lt;&gt;Lucas Luiz Romero")*(35/1083),IF(C10="Técnico II",SUMIFS($D:$D,$A:$A,$A10,$B:$B,"&lt;&gt;Patrícia Karla de Sousa Araújo",$B:$B,"&lt;&gt;Lorena Dias de Araujo",$B:$B,"&lt;&gt;Lucas Luiz Romero")*(28/1083),IF(C10="Técnico I",SUMIFS($D:$D,$A:$A,$A10,$B:$B,"&lt;&gt;Patrícia Karla de Sousa Araújo",$B:$B,"&lt;&gt;Lorena Dias de Araujo",$B:$B,"&lt;&gt;Lucas Luiz Romero")*(23/1083),IF(C10="JR",SUMIFS($D:$D,$A:$A,$A10,$B:$B,"&lt;&gt;Patrícia Karla de Sousa Araújo",$B:$B,"&lt;&gt;Lorena Dias de Araujo",$B:$B,"&lt;&gt;Lucas Luiz Romero")*(20/1083),IF(C10="Estágio",SUMIFS($D:$D,$A:$A,$A10,$B:$B,"&lt;&gt;Patrícia Karla de Sousa Araújo",$B:$B,"&lt;&gt;Lorena Dias de Araujo",$B:$B,"&lt;&gt;Lucas Luiz Romero")*(10/1083),0)))))),0)</f>
        <v/>
      </c>
      <c r="K10" s="3">
        <f>I10-J10</f>
        <v/>
      </c>
      <c r="L10" s="3">
        <f>IF(K10&lt;-5,"CRÍTICO",IF(K10&lt;0,"ATENÇÃO",IF(K10&lt;=5,"BOM","EXCELENTE")))</f>
        <v/>
      </c>
      <c r="M10" s="3" t="n">
        <v>0</v>
      </c>
      <c r="N10" s="3" t="n">
        <v>100</v>
      </c>
      <c r="O10" s="3" t="n">
        <v>29.03225806451613</v>
      </c>
    </row>
    <row r="11" hidden="1">
      <c r="A11" s="5" t="n">
        <v>46147</v>
      </c>
      <c r="B11" s="6" t="inlineStr">
        <is>
          <t>Maria Eduarda Sousa Costa</t>
        </is>
      </c>
      <c r="C11" s="3" t="inlineStr">
        <is>
          <t>Estágio</t>
        </is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>
        <f>IF(K11&lt;-5,"CRÍTICO",IF(K11&lt;0,"ATENÇÃO",IF(K11&lt;=5,"BOM","EXCELENTE")))</f>
        <v/>
      </c>
      <c r="M11" s="3" t="n">
        <v>0</v>
      </c>
      <c r="N11" s="3" t="n">
        <v>100</v>
      </c>
      <c r="O11" s="3" t="n">
        <v>11.86440677966102</v>
      </c>
    </row>
    <row r="12" hidden="1">
      <c r="A12" s="5" t="n">
        <v>46147</v>
      </c>
      <c r="B12" s="6" t="inlineStr">
        <is>
          <t>Michelle G Santos</t>
        </is>
      </c>
      <c r="C12" s="3" t="inlineStr">
        <is>
          <t>Estágio</t>
        </is>
      </c>
      <c r="D12" s="3" t="n">
        <v>11</v>
      </c>
      <c r="E12" s="3" t="n">
        <v>11</v>
      </c>
      <c r="F12" s="3" t="n">
        <v>42.06</v>
      </c>
      <c r="G12" s="3" t="n">
        <v>0</v>
      </c>
      <c r="H12" s="3" t="n">
        <v>0</v>
      </c>
      <c r="I12" s="3">
        <f>E12+G12+H12</f>
        <v/>
      </c>
      <c r="J12" s="3">
        <f>ROUND(MIN(IF(C12="Técnico III",35,IF(C12="Técnico II",28,IF(C12="Técnico I",23,IF(C12="JR",20,IF(C12="Estágio",10,0))))),IF(C12="Técnico III",SUMIFS($D:$D,$A:$A,$A12,$B:$B,"&lt;&gt;Patrícia Karla de Sousa Araújo",$B:$B,"&lt;&gt;Lorena Dias de Araujo",$B:$B,"&lt;&gt;Lucas Luiz Romero")*(35/1083),IF(C12="Técnico II",SUMIFS($D:$D,$A:$A,$A12,$B:$B,"&lt;&gt;Patrícia Karla de Sousa Araújo",$B:$B,"&lt;&gt;Lorena Dias de Araujo",$B:$B,"&lt;&gt;Lucas Luiz Romero")*(28/1083),IF(C12="Técnico I",SUMIFS($D:$D,$A:$A,$A12,$B:$B,"&lt;&gt;Patrícia Karla de Sousa Araújo",$B:$B,"&lt;&gt;Lorena Dias de Araujo",$B:$B,"&lt;&gt;Lucas Luiz Romero")*(23/1083),IF(C12="JR",SUMIFS($D:$D,$A:$A,$A12,$B:$B,"&lt;&gt;Patrícia Karla de Sousa Araújo",$B:$B,"&lt;&gt;Lorena Dias de Araujo",$B:$B,"&lt;&gt;Lucas Luiz Romero")*(20/1083),IF(C12="Estágio",SUMIFS($D:$D,$A:$A,$A12,$B:$B,"&lt;&gt;Patrícia Karla de Sousa Araújo",$B:$B,"&lt;&gt;Lorena Dias de Araujo",$B:$B,"&lt;&gt;Lucas Luiz Romero")*(10/1083),0)))))),0)</f>
        <v/>
      </c>
      <c r="K12" s="3">
        <f>I12-J12</f>
        <v/>
      </c>
      <c r="L12" s="3">
        <f>IF(K12&lt;-5,"CRÍTICO",IF(K12&lt;0,"ATENÇÃO",IF(K12&lt;=5,"BOM","EXCELENTE")))</f>
        <v/>
      </c>
      <c r="M12" s="3" t="n">
        <v>10</v>
      </c>
      <c r="N12" s="3" t="n">
        <v>100</v>
      </c>
      <c r="O12" s="3" t="n">
        <v>16.8141592920354</v>
      </c>
    </row>
    <row r="13" hidden="1">
      <c r="A13" s="5" t="n">
        <v>46147</v>
      </c>
      <c r="B13" s="6" t="inlineStr">
        <is>
          <t>Quirino Diogo Leite Torres</t>
        </is>
      </c>
      <c r="C13" s="3" t="inlineStr">
        <is>
          <t>Estágio</t>
        </is>
      </c>
      <c r="D13" s="3" t="n">
        <v>22</v>
      </c>
      <c r="E13" s="3" t="n">
        <v>18</v>
      </c>
      <c r="F13" s="3" t="n">
        <v>18.46</v>
      </c>
      <c r="G13" s="3" t="n">
        <v>1</v>
      </c>
      <c r="H13" s="3" t="n">
        <v>0</v>
      </c>
      <c r="I13" s="3">
        <f>E13+G13+H13</f>
        <v/>
      </c>
      <c r="J13" s="3">
        <f>ROUND(MIN(IF(C13="Técnico III",35,IF(C13="Técnico II",28,IF(C13="Técnico I",23,IF(C13="JR",20,IF(C13="Estágio",10,0))))),IF(C13="Técnico III",SUMIFS($D:$D,$A:$A,$A13,$B:$B,"&lt;&gt;Patrícia Karla de Sousa Araújo",$B:$B,"&lt;&gt;Lorena Dias de Araujo",$B:$B,"&lt;&gt;Lucas Luiz Romero")*(35/1083),IF(C13="Técnico II",SUMIFS($D:$D,$A:$A,$A13,$B:$B,"&lt;&gt;Patrícia Karla de Sousa Araújo",$B:$B,"&lt;&gt;Lorena Dias de Araujo",$B:$B,"&lt;&gt;Lucas Luiz Romero")*(28/1083),IF(C13="Técnico I",SUMIFS($D:$D,$A:$A,$A13,$B:$B,"&lt;&gt;Patrícia Karla de Sousa Araújo",$B:$B,"&lt;&gt;Lorena Dias de Araujo",$B:$B,"&lt;&gt;Lucas Luiz Romero")*(23/1083),IF(C13="JR",SUMIFS($D:$D,$A:$A,$A13,$B:$B,"&lt;&gt;Patrícia Karla de Sousa Araújo",$B:$B,"&lt;&gt;Lorena Dias de Araujo",$B:$B,"&lt;&gt;Lucas Luiz Romero")*(20/1083),IF(C13="Estágio",SUMIFS($D:$D,$A:$A,$A13,$B:$B,"&lt;&gt;Patrícia Karla de Sousa Araújo",$B:$B,"&lt;&gt;Lorena Dias de Araujo",$B:$B,"&lt;&gt;Lucas Luiz Romero")*(10/1083),0)))))),0)</f>
        <v/>
      </c>
      <c r="K13" s="3">
        <f>I13-J13</f>
        <v/>
      </c>
      <c r="L13" s="3">
        <f>IF(K13&lt;-5,"CRÍTICO",IF(K13&lt;0,"ATENÇÃO",IF(K13&lt;=5,"BOM","EXCELENTE")))</f>
        <v/>
      </c>
      <c r="M13" s="3" t="n">
        <v>18</v>
      </c>
      <c r="N13" s="3" t="n">
        <v>98.11</v>
      </c>
      <c r="O13" s="3" t="n">
        <v>20.40816326530612</v>
      </c>
    </row>
    <row r="14" hidden="1">
      <c r="A14" s="5" t="n">
        <v>46148</v>
      </c>
      <c r="B14" s="6" t="inlineStr">
        <is>
          <t>Anna Luiza Rezende Tavares</t>
        </is>
      </c>
      <c r="C14" s="3" t="inlineStr">
        <is>
          <t>Estágio</t>
        </is>
      </c>
      <c r="D14" s="3" t="n">
        <v>27</v>
      </c>
      <c r="E14" s="3" t="n">
        <v>26</v>
      </c>
      <c r="F14" t="n">
        <v>23.4</v>
      </c>
      <c r="G14" s="3" t="n">
        <v>0</v>
      </c>
      <c r="H14" s="3" t="n">
        <v>0</v>
      </c>
      <c r="I14" s="3">
        <f>E14+G14+H14</f>
        <v/>
      </c>
      <c r="J14" s="3">
        <f>ROUND(MIN(IF(C14="Técnico III",35,IF(C14="Técnico II",28,IF(C14="Técnico I",23,IF(C14="JR",20,IF(C14="Estágio",10,0))))),IF(C14="Técnico III",SUMIFS($D:$D,$A:$A,$A14,$B:$B,"&lt;&gt;Patrícia Karla de Sousa Araújo",$B:$B,"&lt;&gt;Lorena Dias de Araujo",$B:$B,"&lt;&gt;Lucas Luiz Romero")*(35/1083),IF(C14="Técnico II",SUMIFS($D:$D,$A:$A,$A14,$B:$B,"&lt;&gt;Patrícia Karla de Sousa Araújo",$B:$B,"&lt;&gt;Lorena Dias de Araujo",$B:$B,"&lt;&gt;Lucas Luiz Romero")*(28/1083),IF(C14="Técnico I",SUMIFS($D:$D,$A:$A,$A14,$B:$B,"&lt;&gt;Patrícia Karla de Sousa Araújo",$B:$B,"&lt;&gt;Lorena Dias de Araujo",$B:$B,"&lt;&gt;Lucas Luiz Romero")*(23/1083),IF(C14="JR",SUMIFS($D:$D,$A:$A,$A14,$B:$B,"&lt;&gt;Patrícia Karla de Sousa Araújo",$B:$B,"&lt;&gt;Lorena Dias de Araujo",$B:$B,"&lt;&gt;Lucas Luiz Romero")*(20/1083),IF(C14="Estágio",SUMIFS($D:$D,$A:$A,$A14,$B:$B,"&lt;&gt;Patrícia Karla de Sousa Araújo",$B:$B,"&lt;&gt;Lorena Dias de Araujo",$B:$B,"&lt;&gt;Lucas Luiz Romero")*(10/1083),0)))))),0)</f>
        <v/>
      </c>
      <c r="K14" s="3">
        <f>I14-J14</f>
        <v/>
      </c>
      <c r="L14" s="3">
        <f>IF(K14&lt;-5,"CRÍTICO",IF(K14&lt;0,"ATENÇÃO",IF(K14&lt;=5,"BOM","EXCELENTE")))</f>
        <v/>
      </c>
      <c r="M14" s="3" t="n">
        <v>25</v>
      </c>
      <c r="N14" s="3" t="n">
        <v>99.11</v>
      </c>
      <c r="O14" s="3" t="n">
        <v>17.72151898734177</v>
      </c>
    </row>
    <row r="15" hidden="1">
      <c r="A15" s="5" t="n">
        <v>46148</v>
      </c>
      <c r="B15" s="6" t="inlineStr">
        <is>
          <t>Claudio de Sousa Velasco Filho</t>
        </is>
      </c>
      <c r="C15" s="3" t="inlineStr">
        <is>
          <t>Estágio</t>
        </is>
      </c>
      <c r="D15" s="3" t="n">
        <v>13</v>
      </c>
      <c r="E15" s="3" t="n">
        <v>12</v>
      </c>
      <c r="F15" t="n">
        <v>20.07</v>
      </c>
      <c r="G15" s="3" t="n">
        <v>0</v>
      </c>
      <c r="H15" s="3" t="n">
        <v>0</v>
      </c>
      <c r="I15" s="3">
        <f>E15+G15+H15</f>
        <v/>
      </c>
      <c r="J15" s="3">
        <f>ROUND(MIN(IF(C15="Técnico III",35,IF(C15="Técnico II",28,IF(C15="Técnico I",23,IF(C15="JR",20,IF(C15="Estágio",10,0))))),IF(C15="Técnico III",SUMIFS($D:$D,$A:$A,$A15,$B:$B,"&lt;&gt;Patrícia Karla de Sousa Araújo",$B:$B,"&lt;&gt;Lorena Dias de Araujo",$B:$B,"&lt;&gt;Lucas Luiz Romero")*(35/1083),IF(C15="Técnico II",SUMIFS($D:$D,$A:$A,$A15,$B:$B,"&lt;&gt;Patrícia Karla de Sousa Araújo",$B:$B,"&lt;&gt;Lorena Dias de Araujo",$B:$B,"&lt;&gt;Lucas Luiz Romero")*(28/1083),IF(C15="Técnico I",SUMIFS($D:$D,$A:$A,$A15,$B:$B,"&lt;&gt;Patrícia Karla de Sousa Araújo",$B:$B,"&lt;&gt;Lorena Dias de Araujo",$B:$B,"&lt;&gt;Lucas Luiz Romero")*(23/1083),IF(C15="JR",SUMIFS($D:$D,$A:$A,$A15,$B:$B,"&lt;&gt;Patrícia Karla de Sousa Araújo",$B:$B,"&lt;&gt;Lorena Dias de Araujo",$B:$B,"&lt;&gt;Lucas Luiz Romero")*(20/1083),IF(C15="Estágio",SUMIFS($D:$D,$A:$A,$A15,$B:$B,"&lt;&gt;Patrícia Karla de Sousa Araújo",$B:$B,"&lt;&gt;Lorena Dias de Araujo",$B:$B,"&lt;&gt;Lucas Luiz Romero")*(10/1083),0)))))),0)</f>
        <v/>
      </c>
      <c r="K15" s="3">
        <f>I15-J15</f>
        <v/>
      </c>
      <c r="L15" s="3">
        <f>IF(K15&lt;-5,"CRÍTICO",IF(K15&lt;0,"ATENÇÃO",IF(K15&lt;=5,"BOM","EXCELENTE")))</f>
        <v/>
      </c>
      <c r="M15" s="3" t="n">
        <v>9</v>
      </c>
      <c r="N15" s="3" t="n">
        <v>96.43000000000001</v>
      </c>
      <c r="O15" s="3" t="n">
        <v>20</v>
      </c>
    </row>
    <row r="16" hidden="1">
      <c r="A16" s="5" t="n">
        <v>46148</v>
      </c>
      <c r="B16" s="6" t="inlineStr">
        <is>
          <t>Emilly Caylane Costa</t>
        </is>
      </c>
      <c r="C16" s="3" t="inlineStr">
        <is>
          <t>Estágio</t>
        </is>
      </c>
      <c r="D16" s="3" t="n">
        <v>56</v>
      </c>
      <c r="E16" s="3" t="n">
        <v>43</v>
      </c>
      <c r="F16" t="n">
        <v>5.13</v>
      </c>
      <c r="G16" s="3" t="n">
        <v>0</v>
      </c>
      <c r="H16" s="3" t="n">
        <v>0</v>
      </c>
      <c r="I16" s="3">
        <f>E16+G16+H16</f>
        <v/>
      </c>
      <c r="J16" s="3">
        <f>ROUND(MIN(IF(C16="Técnico III",35,IF(C16="Técnico II",28,IF(C16="Técnico I",23,IF(C16="JR",20,IF(C16="Estágio",10,0))))),IF(C16="Técnico III",SUMIFS($D:$D,$A:$A,$A16,$B:$B,"&lt;&gt;Patrícia Karla de Sousa Araújo",$B:$B,"&lt;&gt;Lorena Dias de Araujo",$B:$B,"&lt;&gt;Lucas Luiz Romero")*(35/1083),IF(C16="Técnico II",SUMIFS($D:$D,$A:$A,$A16,$B:$B,"&lt;&gt;Patrícia Karla de Sousa Araújo",$B:$B,"&lt;&gt;Lorena Dias de Araujo",$B:$B,"&lt;&gt;Lucas Luiz Romero")*(28/1083),IF(C16="Técnico I",SUMIFS($D:$D,$A:$A,$A16,$B:$B,"&lt;&gt;Patrícia Karla de Sousa Araújo",$B:$B,"&lt;&gt;Lorena Dias de Araujo",$B:$B,"&lt;&gt;Lucas Luiz Romero")*(23/1083),IF(C16="JR",SUMIFS($D:$D,$A:$A,$A16,$B:$B,"&lt;&gt;Patrícia Karla de Sousa Araújo",$B:$B,"&lt;&gt;Lorena Dias de Araujo",$B:$B,"&lt;&gt;Lucas Luiz Romero")*(20/1083),IF(C16="Estágio",SUMIFS($D:$D,$A:$A,$A16,$B:$B,"&lt;&gt;Patrícia Karla de Sousa Araújo",$B:$B,"&lt;&gt;Lorena Dias de Araujo",$B:$B,"&lt;&gt;Lucas Luiz Romero")*(10/1083),0)))))),0)</f>
        <v/>
      </c>
      <c r="K16" s="3">
        <f>I16-J16</f>
        <v/>
      </c>
      <c r="L16" s="3">
        <f>IF(K16&lt;-5,"CRÍTICO",IF(K16&lt;0,"ATENÇÃO",IF(K16&lt;=5,"BOM","EXCELENTE")))</f>
        <v/>
      </c>
      <c r="M16" s="3" t="n">
        <v>2</v>
      </c>
      <c r="N16" s="3" t="n">
        <v>100</v>
      </c>
      <c r="O16" s="3" t="n">
        <v>29.03225806451613</v>
      </c>
    </row>
    <row r="17" hidden="1">
      <c r="A17" s="5" t="n">
        <v>46148</v>
      </c>
      <c r="B17" s="6" t="inlineStr">
        <is>
          <t>Maria Eduarda Sousa Costa</t>
        </is>
      </c>
      <c r="C17" s="3" t="inlineStr">
        <is>
          <t>Estágio</t>
        </is>
      </c>
      <c r="D17" s="3" t="n">
        <v>66</v>
      </c>
      <c r="E17" s="3" t="n">
        <v>38</v>
      </c>
      <c r="F17" t="n">
        <v>7.02</v>
      </c>
      <c r="G17" s="3" t="n">
        <v>0</v>
      </c>
      <c r="H17" s="3" t="n">
        <v>0</v>
      </c>
      <c r="I17" s="3">
        <f>E17+G17+H17</f>
        <v/>
      </c>
      <c r="J17" s="3">
        <f>ROUND(MIN(IF(C17="Técnico III",35,IF(C17="Técnico II",28,IF(C17="Técnico I",23,IF(C17="JR",20,IF(C17="Estágio",10,0))))),IF(C17="Técnico III",SUMIFS($D:$D,$A:$A,$A17,$B:$B,"&lt;&gt;Patrícia Karla de Sousa Araújo",$B:$B,"&lt;&gt;Lorena Dias de Araujo",$B:$B,"&lt;&gt;Lucas Luiz Romero")*(35/1083),IF(C17="Técnico II",SUMIFS($D:$D,$A:$A,$A17,$B:$B,"&lt;&gt;Patrícia Karla de Sousa Araújo",$B:$B,"&lt;&gt;Lorena Dias de Araujo",$B:$B,"&lt;&gt;Lucas Luiz Romero")*(28/1083),IF(C17="Técnico I",SUMIFS($D:$D,$A:$A,$A17,$B:$B,"&lt;&gt;Patrícia Karla de Sousa Araújo",$B:$B,"&lt;&gt;Lorena Dias de Araujo",$B:$B,"&lt;&gt;Lucas Luiz Romero")*(23/1083),IF(C17="JR",SUMIFS($D:$D,$A:$A,$A17,$B:$B,"&lt;&gt;Patrícia Karla de Sousa Araújo",$B:$B,"&lt;&gt;Lorena Dias de Araujo",$B:$B,"&lt;&gt;Lucas Luiz Romero")*(20/1083),IF(C17="Estágio",SUMIFS($D:$D,$A:$A,$A17,$B:$B,"&lt;&gt;Patrícia Karla de Sousa Araújo",$B:$B,"&lt;&gt;Lorena Dias de Araujo",$B:$B,"&lt;&gt;Lucas Luiz Romero")*(10/1083),0)))))),0)</f>
        <v/>
      </c>
      <c r="K17" s="3">
        <f>I17-J17</f>
        <v/>
      </c>
      <c r="L17" s="3">
        <f>IF(K17&lt;-5,"CRÍTICO",IF(K17&lt;0,"ATENÇÃO",IF(K17&lt;=5,"BOM","EXCELENTE")))</f>
        <v/>
      </c>
      <c r="M17" s="3" t="n">
        <v>3</v>
      </c>
      <c r="N17" s="3" t="n">
        <v>100</v>
      </c>
      <c r="O17" s="3" t="n">
        <v>11.86440677966102</v>
      </c>
    </row>
    <row r="18" hidden="1">
      <c r="A18" s="5" t="n">
        <v>46148</v>
      </c>
      <c r="B18" s="6" t="inlineStr">
        <is>
          <t>Michelle G Santos</t>
        </is>
      </c>
      <c r="C18" s="3" t="inlineStr">
        <is>
          <t>Estágio</t>
        </is>
      </c>
      <c r="D18" s="3" t="n">
        <v>9</v>
      </c>
      <c r="E18" s="3" t="n">
        <v>8</v>
      </c>
      <c r="F18" t="n">
        <v>30.08</v>
      </c>
      <c r="G18" s="3" t="n">
        <v>0</v>
      </c>
      <c r="H18" s="3" t="n">
        <v>0</v>
      </c>
      <c r="I18" s="3">
        <f>E18+G18+H18</f>
        <v/>
      </c>
      <c r="J18" s="3">
        <f>ROUND(MIN(IF(C18="Técnico III",35,IF(C18="Técnico II",28,IF(C18="Técnico I",23,IF(C18="JR",20,IF(C18="Estágio",10,0))))),IF(C18="Técnico III",SUMIFS($D:$D,$A:$A,$A18,$B:$B,"&lt;&gt;Patrícia Karla de Sousa Araújo",$B:$B,"&lt;&gt;Lorena Dias de Araujo",$B:$B,"&lt;&gt;Lucas Luiz Romero")*(35/1083),IF(C18="Técnico II",SUMIFS($D:$D,$A:$A,$A18,$B:$B,"&lt;&gt;Patrícia Karla de Sousa Araújo",$B:$B,"&lt;&gt;Lorena Dias de Araujo",$B:$B,"&lt;&gt;Lucas Luiz Romero")*(28/1083),IF(C18="Técnico I",SUMIFS($D:$D,$A:$A,$A18,$B:$B,"&lt;&gt;Patrícia Karla de Sousa Araújo",$B:$B,"&lt;&gt;Lorena Dias de Araujo",$B:$B,"&lt;&gt;Lucas Luiz Romero")*(23/1083),IF(C18="JR",SUMIFS($D:$D,$A:$A,$A18,$B:$B,"&lt;&gt;Patrícia Karla de Sousa Araújo",$B:$B,"&lt;&gt;Lorena Dias de Araujo",$B:$B,"&lt;&gt;Lucas Luiz Romero")*(20/1083),IF(C18="Estágio",SUMIFS($D:$D,$A:$A,$A18,$B:$B,"&lt;&gt;Patrícia Karla de Sousa Araújo",$B:$B,"&lt;&gt;Lorena Dias de Araujo",$B:$B,"&lt;&gt;Lucas Luiz Romero")*(10/1083),0)))))),0)</f>
        <v/>
      </c>
      <c r="K18" s="3">
        <f>I18-J18</f>
        <v/>
      </c>
      <c r="L18" s="3">
        <f>IF(K18&lt;-5,"CRÍTICO",IF(K18&lt;0,"ATENÇÃO",IF(K18&lt;=5,"BOM","EXCELENTE")))</f>
        <v/>
      </c>
      <c r="M18" s="3" t="n">
        <v>7</v>
      </c>
      <c r="N18" s="3" t="n">
        <v>100</v>
      </c>
      <c r="O18" s="3" t="n">
        <v>16.8141592920354</v>
      </c>
    </row>
    <row r="19" hidden="1">
      <c r="A19" s="11" t="n">
        <v>46024</v>
      </c>
      <c r="B19" t="inlineStr">
        <is>
          <t>Gabriel Gomes de Andrade</t>
        </is>
      </c>
      <c r="C19" t="inlineStr">
        <is>
          <t>Técnico I</t>
        </is>
      </c>
      <c r="D19" t="n">
        <v>17</v>
      </c>
      <c r="E19" t="n">
        <v>17</v>
      </c>
      <c r="F19" t="n">
        <v>27.06</v>
      </c>
      <c r="I19" s="3">
        <f>E19+G19+H19</f>
        <v/>
      </c>
      <c r="J19" s="3">
        <f>ROUND(MIN(IF(C19="Técnico III",35,IF(C19="Técnico II",28,IF(C19="Técnico I",23,IF(C19="JR",20,IF(C19="Estágio",10,0))))),IF(C19="Técnico III",SUMIFS($D:$D,$A:$A,$A19,$B:$B,"&lt;&gt;Patrícia Karla de Sousa Araújo",$B:$B,"&lt;&gt;Lorena Dias de Araujo",$B:$B,"&lt;&gt;Lucas Luiz Romero")*(35/1083),IF(C19="Técnico II",SUMIFS($D:$D,$A:$A,$A19,$B:$B,"&lt;&gt;Patrícia Karla de Sousa Araújo",$B:$B,"&lt;&gt;Lorena Dias de Araujo",$B:$B,"&lt;&gt;Lucas Luiz Romero")*(28/1083),IF(C19="Técnico I",SUMIFS($D:$D,$A:$A,$A19,$B:$B,"&lt;&gt;Patrícia Karla de Sousa Araújo",$B:$B,"&lt;&gt;Lorena Dias de Araujo",$B:$B,"&lt;&gt;Lucas Luiz Romero")*(23/1083),IF(C19="JR",SUMIFS($D:$D,$A:$A,$A19,$B:$B,"&lt;&gt;Patrícia Karla de Sousa Araújo",$B:$B,"&lt;&gt;Lorena Dias de Araujo",$B:$B,"&lt;&gt;Lucas Luiz Romero")*(20/1083),IF(C19="Estágio",SUMIFS($D:$D,$A:$A,$A19,$B:$B,"&lt;&gt;Patrícia Karla de Sousa Araújo",$B:$B,"&lt;&gt;Lorena Dias de Araujo",$B:$B,"&lt;&gt;Lucas Luiz Romero")*(10/1083),0)))))),0)</f>
        <v/>
      </c>
      <c r="K19" s="3">
        <f>I19-J19</f>
        <v/>
      </c>
      <c r="L19" s="3">
        <f>IF(K19&lt;-5,"CRÍTICO",IF(K19&lt;0,"ATENÇÃO",IF(K19&lt;=5,"BOM","EXCELENTE")))</f>
        <v/>
      </c>
      <c r="N19" t="n">
        <v>98.91</v>
      </c>
      <c r="O19" t="n">
        <v>31.36729222520107</v>
      </c>
    </row>
    <row r="20" hidden="1">
      <c r="A20" s="5" t="n">
        <v>46148</v>
      </c>
      <c r="B20" s="6" t="inlineStr">
        <is>
          <t>Quirino Diogo Leite Torres</t>
        </is>
      </c>
      <c r="C20" s="3" t="inlineStr">
        <is>
          <t>Estágio</t>
        </is>
      </c>
      <c r="D20" s="3" t="n">
        <v>17</v>
      </c>
      <c r="E20" s="3" t="n">
        <v>15</v>
      </c>
      <c r="F20" t="n">
        <v>22.06</v>
      </c>
      <c r="G20" s="3" t="n">
        <v>0</v>
      </c>
      <c r="H20" s="3" t="n">
        <v>0</v>
      </c>
      <c r="I20" s="3">
        <f>E20+G20+H20</f>
        <v/>
      </c>
      <c r="J20" s="3">
        <f>ROUND(MIN(IF(C20="Técnico III",35,IF(C20="Técnico II",28,IF(C20="Técnico I",23,IF(C20="JR",20,IF(C20="Estágio",10,0))))),IF(C20="Técnico III",SUMIFS($D:$D,$A:$A,$A20,$B:$B,"&lt;&gt;Patrícia Karla de Sousa Araújo",$B:$B,"&lt;&gt;Lorena Dias de Araujo",$B:$B,"&lt;&gt;Lucas Luiz Romero")*(35/1083),IF(C20="Técnico II",SUMIFS($D:$D,$A:$A,$A20,$B:$B,"&lt;&gt;Patrícia Karla de Sousa Araújo",$B:$B,"&lt;&gt;Lorena Dias de Araujo",$B:$B,"&lt;&gt;Lucas Luiz Romero")*(28/1083),IF(C20="Técnico I",SUMIFS($D:$D,$A:$A,$A20,$B:$B,"&lt;&gt;Patrícia Karla de Sousa Araújo",$B:$B,"&lt;&gt;Lorena Dias de Araujo",$B:$B,"&lt;&gt;Lucas Luiz Romero")*(23/1083),IF(C20="JR",SUMIFS($D:$D,$A:$A,$A20,$B:$B,"&lt;&gt;Patrícia Karla de Sousa Araújo",$B:$B,"&lt;&gt;Lorena Dias de Araujo",$B:$B,"&lt;&gt;Lucas Luiz Romero")*(20/1083),IF(C20="Estágio",SUMIFS($D:$D,$A:$A,$A20,$B:$B,"&lt;&gt;Patrícia Karla de Sousa Araújo",$B:$B,"&lt;&gt;Lorena Dias de Araujo",$B:$B,"&lt;&gt;Lucas Luiz Romero")*(10/1083),0)))))),0)</f>
        <v/>
      </c>
      <c r="K20" s="3">
        <f>I20-J20</f>
        <v/>
      </c>
      <c r="L20" s="3">
        <f>IF(K20&lt;-5,"CRÍTICO",IF(K20&lt;0,"ATENÇÃO",IF(K20&lt;=5,"BOM","EXCELENTE")))</f>
        <v/>
      </c>
      <c r="M20" s="3" t="n">
        <v>14</v>
      </c>
      <c r="N20" s="3" t="n">
        <v>98.11</v>
      </c>
      <c r="O20" s="3" t="n">
        <v>20.40816326530612</v>
      </c>
    </row>
    <row r="21" hidden="1">
      <c r="A21" s="5" t="n">
        <v>46149</v>
      </c>
      <c r="B21" s="6" t="inlineStr">
        <is>
          <t>Anna Luiza Rezende Tavares</t>
        </is>
      </c>
      <c r="C21" s="3" t="inlineStr">
        <is>
          <t>Estágio</t>
        </is>
      </c>
      <c r="D21" s="3" t="n">
        <v>33</v>
      </c>
      <c r="E21" s="3" t="n">
        <v>32</v>
      </c>
      <c r="F21" t="n">
        <v>19.09</v>
      </c>
      <c r="G21" s="3" t="n">
        <v>0</v>
      </c>
      <c r="H21" s="3" t="n">
        <v>0</v>
      </c>
      <c r="I21" s="3">
        <f>E21+G21+H21</f>
        <v/>
      </c>
      <c r="J21" s="3">
        <f>ROUND(MIN(IF(C21="Técnico III",35,IF(C21="Técnico II",28,IF(C21="Técnico I",23,IF(C21="JR",20,IF(C21="Estágio",10,0))))),IF(C21="Técnico III",SUMIFS($D:$D,$A:$A,$A21,$B:$B,"&lt;&gt;Patrícia Karla de Sousa Araújo",$B:$B,"&lt;&gt;Lorena Dias de Araujo",$B:$B,"&lt;&gt;Lucas Luiz Romero")*(35/1083),IF(C21="Técnico II",SUMIFS($D:$D,$A:$A,$A21,$B:$B,"&lt;&gt;Patrícia Karla de Sousa Araújo",$B:$B,"&lt;&gt;Lorena Dias de Araujo",$B:$B,"&lt;&gt;Lucas Luiz Romero")*(28/1083),IF(C21="Técnico I",SUMIFS($D:$D,$A:$A,$A21,$B:$B,"&lt;&gt;Patrícia Karla de Sousa Araújo",$B:$B,"&lt;&gt;Lorena Dias de Araujo",$B:$B,"&lt;&gt;Lucas Luiz Romero")*(23/1083),IF(C21="JR",SUMIFS($D:$D,$A:$A,$A21,$B:$B,"&lt;&gt;Patrícia Karla de Sousa Araújo",$B:$B,"&lt;&gt;Lorena Dias de Araujo",$B:$B,"&lt;&gt;Lucas Luiz Romero")*(20/1083),IF(C21="Estágio",SUMIFS($D:$D,$A:$A,$A21,$B:$B,"&lt;&gt;Patrícia Karla de Sousa Araújo",$B:$B,"&lt;&gt;Lorena Dias de Araujo",$B:$B,"&lt;&gt;Lucas Luiz Romero")*(10/1083),0)))))),0)</f>
        <v/>
      </c>
      <c r="K21" s="3">
        <f>I21-J21</f>
        <v/>
      </c>
      <c r="L21" s="3">
        <f>IF(K21&lt;-5,"CRÍTICO",IF(K21&lt;0,"ATENÇÃO",IF(K21&lt;=5,"BOM","EXCELENTE")))</f>
        <v/>
      </c>
      <c r="M21" s="3" t="n">
        <v>30</v>
      </c>
      <c r="N21" s="3" t="n">
        <v>99.11</v>
      </c>
      <c r="O21" s="3" t="n">
        <v>17.72151898734177</v>
      </c>
    </row>
    <row r="22" hidden="1">
      <c r="A22" s="5" t="n">
        <v>46149</v>
      </c>
      <c r="B22" s="6" t="inlineStr">
        <is>
          <t>Claudio de Sousa Velasco Filho</t>
        </is>
      </c>
      <c r="C22" s="3" t="inlineStr">
        <is>
          <t>Estágio</t>
        </is>
      </c>
      <c r="D22" s="3" t="n">
        <v>12</v>
      </c>
      <c r="E22" s="3" t="n">
        <v>12</v>
      </c>
      <c r="F22" t="n">
        <v>19.17</v>
      </c>
      <c r="G22" s="3" t="n">
        <v>0</v>
      </c>
      <c r="H22" s="3" t="n">
        <v>0</v>
      </c>
      <c r="I22" s="3">
        <f>E22+G22+H22</f>
        <v/>
      </c>
      <c r="J22" s="3">
        <f>ROUND(MIN(IF(C22="Técnico III",35,IF(C22="Técnico II",28,IF(C22="Técnico I",23,IF(C22="JR",20,IF(C22="Estágio",10,0))))),IF(C22="Técnico III",SUMIFS($D:$D,$A:$A,$A22,$B:$B,"&lt;&gt;Patrícia Karla de Sousa Araújo",$B:$B,"&lt;&gt;Lorena Dias de Araujo",$B:$B,"&lt;&gt;Lucas Luiz Romero")*(35/1083),IF(C22="Técnico II",SUMIFS($D:$D,$A:$A,$A22,$B:$B,"&lt;&gt;Patrícia Karla de Sousa Araújo",$B:$B,"&lt;&gt;Lorena Dias de Araujo",$B:$B,"&lt;&gt;Lucas Luiz Romero")*(28/1083),IF(C22="Técnico I",SUMIFS($D:$D,$A:$A,$A22,$B:$B,"&lt;&gt;Patrícia Karla de Sousa Araújo",$B:$B,"&lt;&gt;Lorena Dias de Araujo",$B:$B,"&lt;&gt;Lucas Luiz Romero")*(23/1083),IF(C22="JR",SUMIFS($D:$D,$A:$A,$A22,$B:$B,"&lt;&gt;Patrícia Karla de Sousa Araújo",$B:$B,"&lt;&gt;Lorena Dias de Araujo",$B:$B,"&lt;&gt;Lucas Luiz Romero")*(20/1083),IF(C22="Estágio",SUMIFS($D:$D,$A:$A,$A22,$B:$B,"&lt;&gt;Patrícia Karla de Sousa Araújo",$B:$B,"&lt;&gt;Lorena Dias de Araujo",$B:$B,"&lt;&gt;Lucas Luiz Romero")*(10/1083),0)))))),0)</f>
        <v/>
      </c>
      <c r="K22" s="3">
        <f>I22-J22</f>
        <v/>
      </c>
      <c r="L22" s="3">
        <f>IF(K22&lt;-5,"CRÍTICO",IF(K22&lt;0,"ATENÇÃO",IF(K22&lt;=5,"BOM","EXCELENTE")))</f>
        <v/>
      </c>
      <c r="M22" s="3" t="n">
        <v>9</v>
      </c>
      <c r="N22" s="3" t="n">
        <v>96.43000000000001</v>
      </c>
      <c r="O22" s="3" t="n">
        <v>20</v>
      </c>
    </row>
    <row r="23" hidden="1">
      <c r="A23" s="5" t="n">
        <v>46149</v>
      </c>
      <c r="B23" s="6" t="inlineStr">
        <is>
          <t>Emilly Caylane Costa</t>
        </is>
      </c>
      <c r="C23" s="3" t="inlineStr">
        <is>
          <t>Estágio</t>
        </is>
      </c>
      <c r="D23" s="3" t="n">
        <v>51</v>
      </c>
      <c r="E23" s="3" t="n">
        <v>32</v>
      </c>
      <c r="F23" t="n">
        <v>3.44</v>
      </c>
      <c r="G23" s="3" t="n">
        <v>0</v>
      </c>
      <c r="H23" s="3" t="n">
        <v>0</v>
      </c>
      <c r="I23" s="3">
        <f>E23+G23+H23</f>
        <v/>
      </c>
      <c r="J23" s="3">
        <f>ROUND(MIN(IF(C23="Técnico III",35,IF(C23="Técnico II",28,IF(C23="Técnico I",23,IF(C23="JR",20,IF(C23="Estágio",10,0))))),IF(C23="Técnico III",SUMIFS($D:$D,$A:$A,$A23,$B:$B,"&lt;&gt;Patrícia Karla de Sousa Araújo",$B:$B,"&lt;&gt;Lorena Dias de Araujo",$B:$B,"&lt;&gt;Lucas Luiz Romero")*(35/1083),IF(C23="Técnico II",SUMIFS($D:$D,$A:$A,$A23,$B:$B,"&lt;&gt;Patrícia Karla de Sousa Araújo",$B:$B,"&lt;&gt;Lorena Dias de Araujo",$B:$B,"&lt;&gt;Lucas Luiz Romero")*(28/1083),IF(C23="Técnico I",SUMIFS($D:$D,$A:$A,$A23,$B:$B,"&lt;&gt;Patrícia Karla de Sousa Araújo",$B:$B,"&lt;&gt;Lorena Dias de Araujo",$B:$B,"&lt;&gt;Lucas Luiz Romero")*(23/1083),IF(C23="JR",SUMIFS($D:$D,$A:$A,$A23,$B:$B,"&lt;&gt;Patrícia Karla de Sousa Araújo",$B:$B,"&lt;&gt;Lorena Dias de Araujo",$B:$B,"&lt;&gt;Lucas Luiz Romero")*(20/1083),IF(C23="Estágio",SUMIFS($D:$D,$A:$A,$A23,$B:$B,"&lt;&gt;Patrícia Karla de Sousa Araújo",$B:$B,"&lt;&gt;Lorena Dias de Araujo",$B:$B,"&lt;&gt;Lucas Luiz Romero")*(10/1083),0)))))),0)</f>
        <v/>
      </c>
      <c r="K23" s="3">
        <f>I23-J23</f>
        <v/>
      </c>
      <c r="L23" s="3">
        <f>IF(K23&lt;-5,"CRÍTICO",IF(K23&lt;0,"ATENÇÃO",IF(K23&lt;=5,"BOM","EXCELENTE")))</f>
        <v/>
      </c>
      <c r="M23" s="3" t="n">
        <v>1</v>
      </c>
      <c r="N23" s="3" t="n">
        <v>100</v>
      </c>
      <c r="O23" s="3" t="n">
        <v>29.03225806451613</v>
      </c>
    </row>
    <row r="24" hidden="1">
      <c r="A24" s="5" t="n">
        <v>46149</v>
      </c>
      <c r="B24" s="6" t="inlineStr">
        <is>
          <t>Maria Eduarda Sousa Costa</t>
        </is>
      </c>
      <c r="C24" s="3" t="inlineStr">
        <is>
          <t>Estágio</t>
        </is>
      </c>
      <c r="D24" s="3" t="n">
        <v>52</v>
      </c>
      <c r="E24" s="3" t="n">
        <v>37</v>
      </c>
      <c r="F24" t="n">
        <v>5.49</v>
      </c>
      <c r="G24" s="3" t="n">
        <v>0</v>
      </c>
      <c r="H24" s="3" t="n">
        <v>0</v>
      </c>
      <c r="I24" s="3">
        <f>E24+G24+H24</f>
        <v/>
      </c>
      <c r="J24" s="3">
        <f>ROUND(MIN(IF(C24="Técnico III",35,IF(C24="Técnico II",28,IF(C24="Técnico I",23,IF(C24="JR",20,IF(C24="Estágio",10,0))))),IF(C24="Técnico III",SUMIFS($D:$D,$A:$A,$A24,$B:$B,"&lt;&gt;Patrícia Karla de Sousa Araújo",$B:$B,"&lt;&gt;Lorena Dias de Araujo",$B:$B,"&lt;&gt;Lucas Luiz Romero")*(35/1083),IF(C24="Técnico II",SUMIFS($D:$D,$A:$A,$A24,$B:$B,"&lt;&gt;Patrícia Karla de Sousa Araújo",$B:$B,"&lt;&gt;Lorena Dias de Araujo",$B:$B,"&lt;&gt;Lucas Luiz Romero")*(28/1083),IF(C24="Técnico I",SUMIFS($D:$D,$A:$A,$A24,$B:$B,"&lt;&gt;Patrícia Karla de Sousa Araújo",$B:$B,"&lt;&gt;Lorena Dias de Araujo",$B:$B,"&lt;&gt;Lucas Luiz Romero")*(23/1083),IF(C24="JR",SUMIFS($D:$D,$A:$A,$A24,$B:$B,"&lt;&gt;Patrícia Karla de Sousa Araújo",$B:$B,"&lt;&gt;Lorena Dias de Araujo",$B:$B,"&lt;&gt;Lucas Luiz Romero")*(20/1083),IF(C24="Estágio",SUMIFS($D:$D,$A:$A,$A24,$B:$B,"&lt;&gt;Patrícia Karla de Sousa Araújo",$B:$B,"&lt;&gt;Lorena Dias de Araujo",$B:$B,"&lt;&gt;Lucas Luiz Romero")*(10/1083),0)))))),0)</f>
        <v/>
      </c>
      <c r="K24" s="3">
        <f>I24-J24</f>
        <v/>
      </c>
      <c r="L24" s="3">
        <f>IF(K24&lt;-5,"CRÍTICO",IF(K24&lt;0,"ATENÇÃO",IF(K24&lt;=5,"BOM","EXCELENTE")))</f>
        <v/>
      </c>
      <c r="M24" s="3" t="n">
        <v>4</v>
      </c>
      <c r="N24" s="3" t="n">
        <v>100</v>
      </c>
      <c r="O24" s="3" t="n">
        <v>11.86440677966102</v>
      </c>
    </row>
    <row r="25" hidden="1">
      <c r="A25" s="5" t="n">
        <v>46149</v>
      </c>
      <c r="B25" s="6" t="inlineStr">
        <is>
          <t>Michelle G Santos</t>
        </is>
      </c>
      <c r="C25" s="3" t="inlineStr">
        <is>
          <t>Estágio</t>
        </is>
      </c>
      <c r="D25" s="3" t="n">
        <v>16</v>
      </c>
      <c r="E25" s="3" t="n">
        <v>15</v>
      </c>
      <c r="F25" t="n">
        <v>27.04</v>
      </c>
      <c r="G25" s="3" t="n">
        <v>0</v>
      </c>
      <c r="H25" s="3" t="n">
        <v>0</v>
      </c>
      <c r="I25" s="3">
        <f>E25+G25+H25</f>
        <v/>
      </c>
      <c r="J25" s="3">
        <f>ROUND(MIN(IF(C25="Técnico III",35,IF(C25="Técnico II",28,IF(C25="Técnico I",23,IF(C25="JR",20,IF(C25="Estágio",10,0))))),IF(C25="Técnico III",SUMIFS($D:$D,$A:$A,$A25,$B:$B,"&lt;&gt;Patrícia Karla de Sousa Araújo",$B:$B,"&lt;&gt;Lorena Dias de Araujo",$B:$B,"&lt;&gt;Lucas Luiz Romero")*(35/1083),IF(C25="Técnico II",SUMIFS($D:$D,$A:$A,$A25,$B:$B,"&lt;&gt;Patrícia Karla de Sousa Araújo",$B:$B,"&lt;&gt;Lorena Dias de Araujo",$B:$B,"&lt;&gt;Lucas Luiz Romero")*(28/1083),IF(C25="Técnico I",SUMIFS($D:$D,$A:$A,$A25,$B:$B,"&lt;&gt;Patrícia Karla de Sousa Araújo",$B:$B,"&lt;&gt;Lorena Dias de Araujo",$B:$B,"&lt;&gt;Lucas Luiz Romero")*(23/1083),IF(C25="JR",SUMIFS($D:$D,$A:$A,$A25,$B:$B,"&lt;&gt;Patrícia Karla de Sousa Araújo",$B:$B,"&lt;&gt;Lorena Dias de Araujo",$B:$B,"&lt;&gt;Lucas Luiz Romero")*(20/1083),IF(C25="Estágio",SUMIFS($D:$D,$A:$A,$A25,$B:$B,"&lt;&gt;Patrícia Karla de Sousa Araújo",$B:$B,"&lt;&gt;Lorena Dias de Araujo",$B:$B,"&lt;&gt;Lucas Luiz Romero")*(10/1083),0)))))),0)</f>
        <v/>
      </c>
      <c r="K25" s="3">
        <f>I25-J25</f>
        <v/>
      </c>
      <c r="L25" s="3">
        <f>IF(K25&lt;-5,"CRÍTICO",IF(K25&lt;0,"ATENÇÃO",IF(K25&lt;=5,"BOM","EXCELENTE")))</f>
        <v/>
      </c>
      <c r="M25" s="3" t="n">
        <v>13</v>
      </c>
      <c r="N25" s="3" t="n">
        <v>100</v>
      </c>
      <c r="O25" s="3" t="n">
        <v>16.8141592920354</v>
      </c>
    </row>
    <row r="26" hidden="1">
      <c r="A26" s="5" t="n">
        <v>46149</v>
      </c>
      <c r="B26" s="6" t="inlineStr">
        <is>
          <t>Quirino Diogo Leite Torres</t>
        </is>
      </c>
      <c r="C26" s="3" t="inlineStr">
        <is>
          <t>Estágio</t>
        </is>
      </c>
      <c r="D26" s="3" t="n">
        <v>15</v>
      </c>
      <c r="E26" s="3" t="n">
        <v>15</v>
      </c>
      <c r="F26" t="n">
        <v>32.02</v>
      </c>
      <c r="G26" s="3" t="n">
        <v>0</v>
      </c>
      <c r="H26" s="3" t="n">
        <v>0</v>
      </c>
      <c r="I26" s="3">
        <f>E26+G26+H26</f>
        <v/>
      </c>
      <c r="J26" s="3">
        <f>ROUND(MIN(IF(C26="Técnico III",35,IF(C26="Técnico II",28,IF(C26="Técnico I",23,IF(C26="JR",20,IF(C26="Estágio",10,0))))),IF(C26="Técnico III",SUMIFS($D:$D,$A:$A,$A26,$B:$B,"&lt;&gt;Patrícia Karla de Sousa Araújo",$B:$B,"&lt;&gt;Lorena Dias de Araujo",$B:$B,"&lt;&gt;Lucas Luiz Romero")*(35/1083),IF(C26="Técnico II",SUMIFS($D:$D,$A:$A,$A26,$B:$B,"&lt;&gt;Patrícia Karla de Sousa Araújo",$B:$B,"&lt;&gt;Lorena Dias de Araujo",$B:$B,"&lt;&gt;Lucas Luiz Romero")*(28/1083),IF(C26="Técnico I",SUMIFS($D:$D,$A:$A,$A26,$B:$B,"&lt;&gt;Patrícia Karla de Sousa Araújo",$B:$B,"&lt;&gt;Lorena Dias de Araujo",$B:$B,"&lt;&gt;Lucas Luiz Romero")*(23/1083),IF(C26="JR",SUMIFS($D:$D,$A:$A,$A26,$B:$B,"&lt;&gt;Patrícia Karla de Sousa Araújo",$B:$B,"&lt;&gt;Lorena Dias de Araujo",$B:$B,"&lt;&gt;Lucas Luiz Romero")*(20/1083),IF(C26="Estágio",SUMIFS($D:$D,$A:$A,$A26,$B:$B,"&lt;&gt;Patrícia Karla de Sousa Araújo",$B:$B,"&lt;&gt;Lorena Dias de Araujo",$B:$B,"&lt;&gt;Lucas Luiz Romero")*(10/1083),0)))))),0)</f>
        <v/>
      </c>
      <c r="K26" s="3">
        <f>I26-J26</f>
        <v/>
      </c>
      <c r="L26" s="3">
        <f>IF(K26&lt;-5,"CRÍTICO",IF(K26&lt;0,"ATENÇÃO",IF(K26&lt;=5,"BOM","EXCELENTE")))</f>
        <v/>
      </c>
      <c r="M26" s="3" t="n">
        <v>13</v>
      </c>
      <c r="N26" s="3" t="n">
        <v>98.11</v>
      </c>
      <c r="O26" s="3" t="n">
        <v>20.40816326530612</v>
      </c>
    </row>
    <row r="27" hidden="1">
      <c r="A27" s="5" t="n">
        <v>46150</v>
      </c>
      <c r="B27" s="6" t="inlineStr">
        <is>
          <t>Anna Luiza Rezende Tavares</t>
        </is>
      </c>
      <c r="C27" s="3" t="inlineStr">
        <is>
          <t>Estágio</t>
        </is>
      </c>
      <c r="D27" s="3" t="n">
        <v>38</v>
      </c>
      <c r="E27" s="3" t="n">
        <v>35</v>
      </c>
      <c r="F27" t="n">
        <v>15.27</v>
      </c>
      <c r="G27" s="3" t="n">
        <v>0</v>
      </c>
      <c r="H27" s="3" t="n">
        <v>0</v>
      </c>
      <c r="I27" s="3">
        <f>E27+G27+H27</f>
        <v/>
      </c>
      <c r="J27" s="3">
        <f>ROUND(MIN(IF(C27="Técnico III",35,IF(C27="Técnico II",28,IF(C27="Técnico I",23,IF(C27="JR",20,IF(C27="Estágio",10,0))))),IF(C27="Técnico III",SUMIFS($D:$D,$A:$A,$A27,$B:$B,"&lt;&gt;Patrícia Karla de Sousa Araújo",$B:$B,"&lt;&gt;Lorena Dias de Araujo",$B:$B,"&lt;&gt;Lucas Luiz Romero")*(35/1083),IF(C27="Técnico II",SUMIFS($D:$D,$A:$A,$A27,$B:$B,"&lt;&gt;Patrícia Karla de Sousa Araújo",$B:$B,"&lt;&gt;Lorena Dias de Araujo",$B:$B,"&lt;&gt;Lucas Luiz Romero")*(28/1083),IF(C27="Técnico I",SUMIFS($D:$D,$A:$A,$A27,$B:$B,"&lt;&gt;Patrícia Karla de Sousa Araújo",$B:$B,"&lt;&gt;Lorena Dias de Araujo",$B:$B,"&lt;&gt;Lucas Luiz Romero")*(23/1083),IF(C27="JR",SUMIFS($D:$D,$A:$A,$A27,$B:$B,"&lt;&gt;Patrícia Karla de Sousa Araújo",$B:$B,"&lt;&gt;Lorena Dias de Araujo",$B:$B,"&lt;&gt;Lucas Luiz Romero")*(20/1083),IF(C27="Estágio",SUMIFS($D:$D,$A:$A,$A27,$B:$B,"&lt;&gt;Patrícia Karla de Sousa Araújo",$B:$B,"&lt;&gt;Lorena Dias de Araujo",$B:$B,"&lt;&gt;Lucas Luiz Romero")*(10/1083),0)))))),0)</f>
        <v/>
      </c>
      <c r="K27" s="3">
        <f>I27-J27</f>
        <v/>
      </c>
      <c r="L27" s="3">
        <f>IF(K27&lt;-5,"CRÍTICO",IF(K27&lt;0,"ATENÇÃO",IF(K27&lt;=5,"BOM","EXCELENTE")))</f>
        <v/>
      </c>
      <c r="M27" t="n">
        <v>29</v>
      </c>
      <c r="N27" t="n">
        <v>99.11</v>
      </c>
      <c r="O27" t="n">
        <v>17.72151898734177</v>
      </c>
    </row>
    <row r="28" hidden="1">
      <c r="A28" s="5" t="n">
        <v>46150</v>
      </c>
      <c r="B28" s="6" t="inlineStr">
        <is>
          <t>Claudio de Sousa Velasco Filho</t>
        </is>
      </c>
      <c r="C28" s="3" t="inlineStr">
        <is>
          <t>Estágio</t>
        </is>
      </c>
      <c r="D28" s="3" t="n">
        <v>10</v>
      </c>
      <c r="E28" s="3" t="n">
        <v>9</v>
      </c>
      <c r="F28" t="n">
        <v>17.38</v>
      </c>
      <c r="G28" s="3" t="n">
        <v>0</v>
      </c>
      <c r="H28" s="3" t="n">
        <v>0</v>
      </c>
      <c r="I28" s="3">
        <f>E28+G28+H28</f>
        <v/>
      </c>
      <c r="J28" s="3">
        <f>ROUND(MIN(IF(C28="Técnico III",35,IF(C28="Técnico II",28,IF(C28="Técnico I",23,IF(C28="JR",20,IF(C28="Estágio",10,0))))),IF(C28="Técnico III",SUMIFS($D:$D,$A:$A,$A28,$B:$B,"&lt;&gt;Patrícia Karla de Sousa Araújo",$B:$B,"&lt;&gt;Lorena Dias de Araujo",$B:$B,"&lt;&gt;Lucas Luiz Romero")*(35/1083),IF(C28="Técnico II",SUMIFS($D:$D,$A:$A,$A28,$B:$B,"&lt;&gt;Patrícia Karla de Sousa Araújo",$B:$B,"&lt;&gt;Lorena Dias de Araujo",$B:$B,"&lt;&gt;Lucas Luiz Romero")*(28/1083),IF(C28="Técnico I",SUMIFS($D:$D,$A:$A,$A28,$B:$B,"&lt;&gt;Patrícia Karla de Sousa Araújo",$B:$B,"&lt;&gt;Lorena Dias de Araujo",$B:$B,"&lt;&gt;Lucas Luiz Romero")*(23/1083),IF(C28="JR",SUMIFS($D:$D,$A:$A,$A28,$B:$B,"&lt;&gt;Patrícia Karla de Sousa Araújo",$B:$B,"&lt;&gt;Lorena Dias de Araujo",$B:$B,"&lt;&gt;Lucas Luiz Romero")*(20/1083),IF(C28="Estágio",SUMIFS($D:$D,$A:$A,$A28,$B:$B,"&lt;&gt;Patrícia Karla de Sousa Araújo",$B:$B,"&lt;&gt;Lorena Dias de Araujo",$B:$B,"&lt;&gt;Lucas Luiz Romero")*(10/1083),0)))))),0)</f>
        <v/>
      </c>
      <c r="K28" s="3">
        <f>I28-J28</f>
        <v/>
      </c>
      <c r="L28" s="3">
        <f>IF(K28&lt;-5,"CRÍTICO",IF(K28&lt;0,"ATENÇÃO",IF(K28&lt;=5,"BOM","EXCELENTE")))</f>
        <v/>
      </c>
      <c r="M28" t="n">
        <v>7</v>
      </c>
      <c r="N28" t="n">
        <v>96.43000000000001</v>
      </c>
      <c r="O28" t="n">
        <v>20</v>
      </c>
    </row>
    <row r="29" hidden="1">
      <c r="A29" s="5" t="n">
        <v>46150</v>
      </c>
      <c r="B29" s="6" t="inlineStr">
        <is>
          <t>Emilly Caylane Costa</t>
        </is>
      </c>
      <c r="C29" s="3" t="inlineStr">
        <is>
          <t>Estágio</t>
        </is>
      </c>
      <c r="D29" s="3" t="n">
        <v>9</v>
      </c>
      <c r="E29" s="3" t="n">
        <v>8</v>
      </c>
      <c r="F29" t="n">
        <v>27.06</v>
      </c>
      <c r="G29" s="3" t="n">
        <v>0</v>
      </c>
      <c r="H29" s="3" t="n">
        <v>0</v>
      </c>
      <c r="I29" s="3">
        <f>E29+G29+H29</f>
        <v/>
      </c>
      <c r="J29" s="3">
        <f>ROUND(MIN(IF(C29="Técnico III",35,IF(C29="Técnico II",28,IF(C29="Técnico I",23,IF(C29="JR",20,IF(C29="Estágio",10,0))))),IF(C29="Técnico III",SUMIFS($D:$D,$A:$A,$A29,$B:$B,"&lt;&gt;Patrícia Karla de Sousa Araújo",$B:$B,"&lt;&gt;Lorena Dias de Araujo",$B:$B,"&lt;&gt;Lucas Luiz Romero")*(35/1083),IF(C29="Técnico II",SUMIFS($D:$D,$A:$A,$A29,$B:$B,"&lt;&gt;Patrícia Karla de Sousa Araújo",$B:$B,"&lt;&gt;Lorena Dias de Araujo",$B:$B,"&lt;&gt;Lucas Luiz Romero")*(28/1083),IF(C29="Técnico I",SUMIFS($D:$D,$A:$A,$A29,$B:$B,"&lt;&gt;Patrícia Karla de Sousa Araújo",$B:$B,"&lt;&gt;Lorena Dias de Araujo",$B:$B,"&lt;&gt;Lucas Luiz Romero")*(23/1083),IF(C29="JR",SUMIFS($D:$D,$A:$A,$A29,$B:$B,"&lt;&gt;Patrícia Karla de Sousa Araújo",$B:$B,"&lt;&gt;Lorena Dias de Araujo",$B:$B,"&lt;&gt;Lucas Luiz Romero")*(20/1083),IF(C29="Estágio",SUMIFS($D:$D,$A:$A,$A29,$B:$B,"&lt;&gt;Patrícia Karla de Sousa Araújo",$B:$B,"&lt;&gt;Lorena Dias de Araujo",$B:$B,"&lt;&gt;Lucas Luiz Romero")*(10/1083),0)))))),0)</f>
        <v/>
      </c>
      <c r="K29" s="3">
        <f>I29-J29</f>
        <v/>
      </c>
      <c r="L29" s="3">
        <f>IF(K29&lt;-5,"CRÍTICO",IF(K29&lt;0,"ATENÇÃO",IF(K29&lt;=5,"BOM","EXCELENTE")))</f>
        <v/>
      </c>
      <c r="M29" t="n">
        <v>6</v>
      </c>
      <c r="N29" t="n">
        <v>100</v>
      </c>
      <c r="O29" t="n">
        <v>29.03225806451613</v>
      </c>
    </row>
    <row r="30" hidden="1">
      <c r="A30" s="5" t="n">
        <v>46150</v>
      </c>
      <c r="B30" s="6" t="inlineStr">
        <is>
          <t>Maria Eduarda Sousa Costa</t>
        </is>
      </c>
      <c r="C30" s="3" t="inlineStr">
        <is>
          <t>Estágio</t>
        </is>
      </c>
      <c r="D30" s="3" t="n">
        <v>55</v>
      </c>
      <c r="E30" s="3" t="n">
        <v>34</v>
      </c>
      <c r="F30" t="n">
        <v>5.58</v>
      </c>
      <c r="G30" s="3" t="n">
        <v>0</v>
      </c>
      <c r="H30" s="3" t="n">
        <v>0</v>
      </c>
      <c r="I30" s="3">
        <f>E30+G30+H30</f>
        <v/>
      </c>
      <c r="J30" s="3">
        <f>ROUND(MIN(IF(C30="Técnico III",35,IF(C30="Técnico II",28,IF(C30="Técnico I",23,IF(C30="JR",20,IF(C30="Estágio",10,0))))),IF(C30="Técnico III",SUMIFS($D:$D,$A:$A,$A30,$B:$B,"&lt;&gt;Patrícia Karla de Sousa Araújo",$B:$B,"&lt;&gt;Lorena Dias de Araujo",$B:$B,"&lt;&gt;Lucas Luiz Romero")*(35/1083),IF(C30="Técnico II",SUMIFS($D:$D,$A:$A,$A30,$B:$B,"&lt;&gt;Patrícia Karla de Sousa Araújo",$B:$B,"&lt;&gt;Lorena Dias de Araujo",$B:$B,"&lt;&gt;Lucas Luiz Romero")*(28/1083),IF(C30="Técnico I",SUMIFS($D:$D,$A:$A,$A30,$B:$B,"&lt;&gt;Patrícia Karla de Sousa Araújo",$B:$B,"&lt;&gt;Lorena Dias de Araujo",$B:$B,"&lt;&gt;Lucas Luiz Romero")*(23/1083),IF(C30="JR",SUMIFS($D:$D,$A:$A,$A30,$B:$B,"&lt;&gt;Patrícia Karla de Sousa Araújo",$B:$B,"&lt;&gt;Lorena Dias de Araujo",$B:$B,"&lt;&gt;Lucas Luiz Romero")*(20/1083),IF(C30="Estágio",SUMIFS($D:$D,$A:$A,$A30,$B:$B,"&lt;&gt;Patrícia Karla de Sousa Araújo",$B:$B,"&lt;&gt;Lorena Dias de Araujo",$B:$B,"&lt;&gt;Lucas Luiz Romero")*(10/1083),0)))))),0)</f>
        <v/>
      </c>
      <c r="K30" s="3">
        <f>I30-J30</f>
        <v/>
      </c>
      <c r="L30" s="3">
        <f>IF(K30&lt;-5,"CRÍTICO",IF(K30&lt;0,"ATENÇÃO",IF(K30&lt;=5,"BOM","EXCELENTE")))</f>
        <v/>
      </c>
      <c r="M30" t="n">
        <v>1</v>
      </c>
      <c r="N30" t="n">
        <v>100</v>
      </c>
      <c r="O30" t="n">
        <v>11.86440677966102</v>
      </c>
    </row>
    <row r="31" hidden="1">
      <c r="A31" s="5" t="n">
        <v>46150</v>
      </c>
      <c r="B31" s="6" t="inlineStr">
        <is>
          <t>Michelle G Santos</t>
        </is>
      </c>
      <c r="C31" s="3" t="inlineStr">
        <is>
          <t>Estágio</t>
        </is>
      </c>
      <c r="D31" s="3" t="n">
        <v>14</v>
      </c>
      <c r="E31" s="3" t="n">
        <v>13</v>
      </c>
      <c r="F31" t="n">
        <v>41.45</v>
      </c>
      <c r="G31" s="3" t="n">
        <v>0</v>
      </c>
      <c r="H31" s="3" t="n">
        <v>0</v>
      </c>
      <c r="I31" s="3">
        <f>E31+G31+H31</f>
        <v/>
      </c>
      <c r="J31" s="3">
        <f>ROUND(MIN(IF(C31="Técnico III",35,IF(C31="Técnico II",28,IF(C31="Técnico I",23,IF(C31="JR",20,IF(C31="Estágio",10,0))))),IF(C31="Técnico III",SUMIFS($D:$D,$A:$A,$A31,$B:$B,"&lt;&gt;Patrícia Karla de Sousa Araújo",$B:$B,"&lt;&gt;Lorena Dias de Araujo",$B:$B,"&lt;&gt;Lucas Luiz Romero")*(35/1083),IF(C31="Técnico II",SUMIFS($D:$D,$A:$A,$A31,$B:$B,"&lt;&gt;Patrícia Karla de Sousa Araújo",$B:$B,"&lt;&gt;Lorena Dias de Araujo",$B:$B,"&lt;&gt;Lucas Luiz Romero")*(28/1083),IF(C31="Técnico I",SUMIFS($D:$D,$A:$A,$A31,$B:$B,"&lt;&gt;Patrícia Karla de Sousa Araújo",$B:$B,"&lt;&gt;Lorena Dias de Araujo",$B:$B,"&lt;&gt;Lucas Luiz Romero")*(23/1083),IF(C31="JR",SUMIFS($D:$D,$A:$A,$A31,$B:$B,"&lt;&gt;Patrícia Karla de Sousa Araújo",$B:$B,"&lt;&gt;Lorena Dias de Araujo",$B:$B,"&lt;&gt;Lucas Luiz Romero")*(20/1083),IF(C31="Estágio",SUMIFS($D:$D,$A:$A,$A31,$B:$B,"&lt;&gt;Patrícia Karla de Sousa Araújo",$B:$B,"&lt;&gt;Lorena Dias de Araujo",$B:$B,"&lt;&gt;Lucas Luiz Romero")*(10/1083),0)))))),0)</f>
        <v/>
      </c>
      <c r="K31" s="3">
        <f>I31-J31</f>
        <v/>
      </c>
      <c r="L31" s="3">
        <f>IF(K31&lt;-5,"CRÍTICO",IF(K31&lt;0,"ATENÇÃO",IF(K31&lt;=5,"BOM","EXCELENTE")))</f>
        <v/>
      </c>
      <c r="M31" t="n">
        <v>9</v>
      </c>
      <c r="N31" t="n">
        <v>100</v>
      </c>
      <c r="O31" t="n">
        <v>16.8141592920354</v>
      </c>
    </row>
    <row r="32" hidden="1">
      <c r="A32" s="5" t="n">
        <v>46150</v>
      </c>
      <c r="B32" s="6" t="inlineStr">
        <is>
          <t>Quirino Diogo Leite Torres</t>
        </is>
      </c>
      <c r="C32" s="3" t="inlineStr">
        <is>
          <t>Estágio</t>
        </is>
      </c>
      <c r="D32" s="3" t="n">
        <v>17</v>
      </c>
      <c r="E32" s="3" t="n">
        <v>17</v>
      </c>
      <c r="F32" t="n">
        <v>28.35</v>
      </c>
      <c r="G32" s="3" t="n">
        <v>0</v>
      </c>
      <c r="H32" s="3" t="n">
        <v>0</v>
      </c>
      <c r="I32" s="3">
        <f>E32+G32+H32</f>
        <v/>
      </c>
      <c r="J32" s="3">
        <f>ROUND(MIN(IF(C32="Técnico III",35,IF(C32="Técnico II",28,IF(C32="Técnico I",23,IF(C32="JR",20,IF(C32="Estágio",10,0))))),IF(C32="Técnico III",SUMIFS($D:$D,$A:$A,$A32,$B:$B,"&lt;&gt;Patrícia Karla de Sousa Araújo",$B:$B,"&lt;&gt;Lorena Dias de Araujo",$B:$B,"&lt;&gt;Lucas Luiz Romero")*(35/1083),IF(C32="Técnico II",SUMIFS($D:$D,$A:$A,$A32,$B:$B,"&lt;&gt;Patrícia Karla de Sousa Araújo",$B:$B,"&lt;&gt;Lorena Dias de Araujo",$B:$B,"&lt;&gt;Lucas Luiz Romero")*(28/1083),IF(C32="Técnico I",SUMIFS($D:$D,$A:$A,$A32,$B:$B,"&lt;&gt;Patrícia Karla de Sousa Araújo",$B:$B,"&lt;&gt;Lorena Dias de Araujo",$B:$B,"&lt;&gt;Lucas Luiz Romero")*(23/1083),IF(C32="JR",SUMIFS($D:$D,$A:$A,$A32,$B:$B,"&lt;&gt;Patrícia Karla de Sousa Araújo",$B:$B,"&lt;&gt;Lorena Dias de Araujo",$B:$B,"&lt;&gt;Lucas Luiz Romero")*(20/1083),IF(C32="Estágio",SUMIFS($D:$D,$A:$A,$A32,$B:$B,"&lt;&gt;Patrícia Karla de Sousa Araújo",$B:$B,"&lt;&gt;Lorena Dias de Araujo",$B:$B,"&lt;&gt;Lucas Luiz Romero")*(10/1083),0)))))),0)</f>
        <v/>
      </c>
      <c r="K32" s="3">
        <f>I32-J32</f>
        <v/>
      </c>
      <c r="L32" s="3">
        <f>IF(K32&lt;-5,"CRÍTICO",IF(K32&lt;0,"ATENÇÃO",IF(K32&lt;=5,"BOM","EXCELENTE")))</f>
        <v/>
      </c>
      <c r="M32" t="n">
        <v>11</v>
      </c>
      <c r="N32" t="n">
        <v>98.11</v>
      </c>
      <c r="O32" t="n">
        <v>20.40816326530612</v>
      </c>
    </row>
    <row r="33" hidden="1">
      <c r="A33" s="5" t="n">
        <v>46153</v>
      </c>
      <c r="B33" s="6" t="inlineStr">
        <is>
          <t>Anna Luiza Rezende Tavares</t>
        </is>
      </c>
      <c r="C33" s="3" t="inlineStr">
        <is>
          <t>Estágio</t>
        </is>
      </c>
      <c r="D33" s="3" t="n">
        <v>32</v>
      </c>
      <c r="E33" s="3" t="n">
        <v>32</v>
      </c>
      <c r="F33" t="n">
        <v>15.35</v>
      </c>
      <c r="G33" s="3" t="n">
        <v>0</v>
      </c>
      <c r="H33" s="3" t="n">
        <v>0</v>
      </c>
      <c r="I33" s="3">
        <f>E33+G33+H33</f>
        <v/>
      </c>
      <c r="J33" s="3">
        <f>ROUND(MIN(IF(C33="Técnico III",35,IF(C33="Técnico II",28,IF(C33="Técnico I",23,IF(C33="JR",20,IF(C33="Estágio",10,0))))),IF(C33="Técnico III",SUMIFS($D:$D,$A:$A,$A33,$B:$B,"&lt;&gt;Patrícia Karla de Sousa Araújo",$B:$B,"&lt;&gt;Lorena Dias de Araujo",$B:$B,"&lt;&gt;Lucas Luiz Romero")*(35/1083),IF(C33="Técnico II",SUMIFS($D:$D,$A:$A,$A33,$B:$B,"&lt;&gt;Patrícia Karla de Sousa Araújo",$B:$B,"&lt;&gt;Lorena Dias de Araujo",$B:$B,"&lt;&gt;Lucas Luiz Romero")*(28/1083),IF(C33="Técnico I",SUMIFS($D:$D,$A:$A,$A33,$B:$B,"&lt;&gt;Patrícia Karla de Sousa Araújo",$B:$B,"&lt;&gt;Lorena Dias de Araujo",$B:$B,"&lt;&gt;Lucas Luiz Romero")*(23/1083),IF(C33="JR",SUMIFS($D:$D,$A:$A,$A33,$B:$B,"&lt;&gt;Patrícia Karla de Sousa Araújo",$B:$B,"&lt;&gt;Lorena Dias de Araujo",$B:$B,"&lt;&gt;Lucas Luiz Romero")*(20/1083),IF(C33="Estágio",SUMIFS($D:$D,$A:$A,$A33,$B:$B,"&lt;&gt;Patrícia Karla de Sousa Araújo",$B:$B,"&lt;&gt;Lorena Dias de Araujo",$B:$B,"&lt;&gt;Lucas Luiz Romero")*(10/1083),0)))))),0)</f>
        <v/>
      </c>
      <c r="K33" s="3">
        <f>I33-J33</f>
        <v/>
      </c>
      <c r="L33" s="3">
        <f>IF(K33&lt;-5,"CRÍTICO",IF(K33&lt;0,"ATENÇÃO",IF(K33&lt;=5,"BOM","EXCELENTE")))</f>
        <v/>
      </c>
      <c r="M33" t="n">
        <v>29</v>
      </c>
      <c r="N33" t="n">
        <v>99.11</v>
      </c>
      <c r="O33" t="n">
        <v>17.72151898734177</v>
      </c>
    </row>
    <row r="34" hidden="1">
      <c r="A34" s="5" t="n">
        <v>46153</v>
      </c>
      <c r="B34" s="6" t="inlineStr">
        <is>
          <t>Claudio de Sousa Velasco Filho</t>
        </is>
      </c>
      <c r="C34" s="3" t="inlineStr">
        <is>
          <t>Estágio</t>
        </is>
      </c>
      <c r="D34" s="3" t="n">
        <v>1</v>
      </c>
      <c r="E34" s="3" t="n">
        <v>1</v>
      </c>
      <c r="F34" t="n">
        <v>45.11</v>
      </c>
      <c r="G34" s="3" t="n">
        <v>0</v>
      </c>
      <c r="H34" s="3" t="n">
        <v>0</v>
      </c>
      <c r="I34" s="3">
        <f>E34+G34+H34</f>
        <v/>
      </c>
      <c r="J34" s="3">
        <f>ROUND(MIN(IF(C34="Técnico III",35,IF(C34="Técnico II",28,IF(C34="Técnico I",23,IF(C34="JR",20,IF(C34="Estágio",10,0))))),IF(C34="Técnico III",SUMIFS($D:$D,$A:$A,$A34,$B:$B,"&lt;&gt;Patrícia Karla de Sousa Araújo",$B:$B,"&lt;&gt;Lorena Dias de Araujo",$B:$B,"&lt;&gt;Lucas Luiz Romero")*(35/1083),IF(C34="Técnico II",SUMIFS($D:$D,$A:$A,$A34,$B:$B,"&lt;&gt;Patrícia Karla de Sousa Araújo",$B:$B,"&lt;&gt;Lorena Dias de Araujo",$B:$B,"&lt;&gt;Lucas Luiz Romero")*(28/1083),IF(C34="Técnico I",SUMIFS($D:$D,$A:$A,$A34,$B:$B,"&lt;&gt;Patrícia Karla de Sousa Araújo",$B:$B,"&lt;&gt;Lorena Dias de Araujo",$B:$B,"&lt;&gt;Lucas Luiz Romero")*(23/1083),IF(C34="JR",SUMIFS($D:$D,$A:$A,$A34,$B:$B,"&lt;&gt;Patrícia Karla de Sousa Araújo",$B:$B,"&lt;&gt;Lorena Dias de Araujo",$B:$B,"&lt;&gt;Lucas Luiz Romero")*(20/1083),IF(C34="Estágio",SUMIFS($D:$D,$A:$A,$A34,$B:$B,"&lt;&gt;Patrícia Karla de Sousa Araújo",$B:$B,"&lt;&gt;Lorena Dias de Araujo",$B:$B,"&lt;&gt;Lucas Luiz Romero")*(10/1083),0)))))),0)</f>
        <v/>
      </c>
      <c r="K34" s="3">
        <f>I34-J34</f>
        <v/>
      </c>
      <c r="L34" s="3">
        <f>IF(K34&lt;-5,"CRÍTICO",IF(K34&lt;0,"ATENÇÃO",IF(K34&lt;=5,"BOM","EXCELENTE")))</f>
        <v/>
      </c>
      <c r="M34" t="n">
        <v>1</v>
      </c>
      <c r="N34" t="n">
        <v>96.43000000000001</v>
      </c>
      <c r="O34" t="n">
        <v>20</v>
      </c>
    </row>
    <row r="35" hidden="1">
      <c r="A35" s="5" t="n">
        <v>46153</v>
      </c>
      <c r="B35" s="6" t="inlineStr">
        <is>
          <t>Emilly Caylane Costa</t>
        </is>
      </c>
      <c r="C35" s="3" t="inlineStr">
        <is>
          <t>Estágio</t>
        </is>
      </c>
      <c r="D35" s="3" t="n">
        <v>8</v>
      </c>
      <c r="E35" s="3" t="n">
        <v>5</v>
      </c>
      <c r="F35" t="n">
        <v>21.51</v>
      </c>
      <c r="G35" s="3" t="n">
        <v>0</v>
      </c>
      <c r="H35" s="3" t="n">
        <v>0</v>
      </c>
      <c r="I35" s="3">
        <f>E35+G35+H35</f>
        <v/>
      </c>
      <c r="J35" s="3">
        <f>ROUND(MIN(IF(C35="Técnico III",35,IF(C35="Técnico II",28,IF(C35="Técnico I",23,IF(C35="JR",20,IF(C35="Estágio",10,0))))),IF(C35="Técnico III",SUMIFS($D:$D,$A:$A,$A35,$B:$B,"&lt;&gt;Patrícia Karla de Sousa Araújo",$B:$B,"&lt;&gt;Lorena Dias de Araujo",$B:$B,"&lt;&gt;Lucas Luiz Romero")*(35/1083),IF(C35="Técnico II",SUMIFS($D:$D,$A:$A,$A35,$B:$B,"&lt;&gt;Patrícia Karla de Sousa Araújo",$B:$B,"&lt;&gt;Lorena Dias de Araujo",$B:$B,"&lt;&gt;Lucas Luiz Romero")*(28/1083),IF(C35="Técnico I",SUMIFS($D:$D,$A:$A,$A35,$B:$B,"&lt;&gt;Patrícia Karla de Sousa Araújo",$B:$B,"&lt;&gt;Lorena Dias de Araujo",$B:$B,"&lt;&gt;Lucas Luiz Romero")*(23/1083),IF(C35="JR",SUMIFS($D:$D,$A:$A,$A35,$B:$B,"&lt;&gt;Patrícia Karla de Sousa Araújo",$B:$B,"&lt;&gt;Lorena Dias de Araujo",$B:$B,"&lt;&gt;Lucas Luiz Romero")*(20/1083),IF(C35="Estágio",SUMIFS($D:$D,$A:$A,$A35,$B:$B,"&lt;&gt;Patrícia Karla de Sousa Araújo",$B:$B,"&lt;&gt;Lorena Dias de Araujo",$B:$B,"&lt;&gt;Lucas Luiz Romero")*(10/1083),0)))))),0)</f>
        <v/>
      </c>
      <c r="K35" s="3">
        <f>I35-J35</f>
        <v/>
      </c>
      <c r="L35" s="3">
        <f>IF(K35&lt;-5,"CRÍTICO",IF(K35&lt;0,"ATENÇÃO",IF(K35&lt;=5,"BOM","EXCELENTE")))</f>
        <v/>
      </c>
      <c r="M35" t="n">
        <v>2</v>
      </c>
      <c r="N35" t="n">
        <v>100</v>
      </c>
      <c r="O35" t="n">
        <v>29.03225806451613</v>
      </c>
    </row>
    <row r="36" hidden="1">
      <c r="A36" s="5" t="n">
        <v>46153</v>
      </c>
      <c r="B36" s="6" t="inlineStr">
        <is>
          <t>Maria Eduarda Sousa Costa</t>
        </is>
      </c>
      <c r="C36" s="3" t="inlineStr">
        <is>
          <t>Estágio</t>
        </is>
      </c>
      <c r="D36" s="3" t="n">
        <v>52</v>
      </c>
      <c r="E36" s="3" t="n">
        <v>32</v>
      </c>
      <c r="F36" t="n">
        <v>5.18</v>
      </c>
      <c r="G36" s="3" t="n">
        <v>0</v>
      </c>
      <c r="H36" s="3" t="n">
        <v>0</v>
      </c>
      <c r="I36" s="3">
        <f>E36+G36+H36</f>
        <v/>
      </c>
      <c r="J36" s="3">
        <f>ROUND(MIN(IF(C36="Técnico III",35,IF(C36="Técnico II",28,IF(C36="Técnico I",23,IF(C36="JR",20,IF(C36="Estágio",10,0))))),IF(C36="Técnico III",SUMIFS($D:$D,$A:$A,$A36,$B:$B,"&lt;&gt;Patrícia Karla de Sousa Araújo",$B:$B,"&lt;&gt;Lorena Dias de Araujo",$B:$B,"&lt;&gt;Lucas Luiz Romero")*(35/1083),IF(C36="Técnico II",SUMIFS($D:$D,$A:$A,$A36,$B:$B,"&lt;&gt;Patrícia Karla de Sousa Araújo",$B:$B,"&lt;&gt;Lorena Dias de Araujo",$B:$B,"&lt;&gt;Lucas Luiz Romero")*(28/1083),IF(C36="Técnico I",SUMIFS($D:$D,$A:$A,$A36,$B:$B,"&lt;&gt;Patrícia Karla de Sousa Araújo",$B:$B,"&lt;&gt;Lorena Dias de Araujo",$B:$B,"&lt;&gt;Lucas Luiz Romero")*(23/1083),IF(C36="JR",SUMIFS($D:$D,$A:$A,$A36,$B:$B,"&lt;&gt;Patrícia Karla de Sousa Araújo",$B:$B,"&lt;&gt;Lorena Dias de Araujo",$B:$B,"&lt;&gt;Lucas Luiz Romero")*(20/1083),IF(C36="Estágio",SUMIFS($D:$D,$A:$A,$A36,$B:$B,"&lt;&gt;Patrícia Karla de Sousa Araújo",$B:$B,"&lt;&gt;Lorena Dias de Araujo",$B:$B,"&lt;&gt;Lucas Luiz Romero")*(10/1083),0)))))),0)</f>
        <v/>
      </c>
      <c r="K36" s="3">
        <f>I36-J36</f>
        <v/>
      </c>
      <c r="L36" s="3">
        <f>IF(K36&lt;-5,"CRÍTICO",IF(K36&lt;0,"ATENÇÃO",IF(K36&lt;=5,"BOM","EXCELENTE")))</f>
        <v/>
      </c>
      <c r="M36" t="n">
        <v>4</v>
      </c>
      <c r="N36" t="n">
        <v>100</v>
      </c>
      <c r="O36" t="n">
        <v>11.86440677966102</v>
      </c>
    </row>
    <row r="37" hidden="1">
      <c r="A37" s="5" t="n">
        <v>46153</v>
      </c>
      <c r="B37" s="6" t="inlineStr">
        <is>
          <t>Michelle G Santos</t>
        </is>
      </c>
      <c r="C37" s="3" t="inlineStr">
        <is>
          <t>Estágio</t>
        </is>
      </c>
      <c r="D37" s="3" t="n">
        <v>7</v>
      </c>
      <c r="E37" s="3" t="n">
        <v>7</v>
      </c>
      <c r="F37" t="n">
        <v>29.17</v>
      </c>
      <c r="G37" s="3" t="n">
        <v>0</v>
      </c>
      <c r="H37" s="3" t="n">
        <v>0</v>
      </c>
      <c r="I37" s="3">
        <f>E37+G37+H37</f>
        <v/>
      </c>
      <c r="J37" s="3">
        <f>ROUND(MIN(IF(C37="Técnico III",35,IF(C37="Técnico II",28,IF(C37="Técnico I",23,IF(C37="JR",20,IF(C37="Estágio",10,0))))),IF(C37="Técnico III",SUMIFS($D:$D,$A:$A,$A37,$B:$B,"&lt;&gt;Patrícia Karla de Sousa Araújo",$B:$B,"&lt;&gt;Lorena Dias de Araujo",$B:$B,"&lt;&gt;Lucas Luiz Romero")*(35/1083),IF(C37="Técnico II",SUMIFS($D:$D,$A:$A,$A37,$B:$B,"&lt;&gt;Patrícia Karla de Sousa Araújo",$B:$B,"&lt;&gt;Lorena Dias de Araujo",$B:$B,"&lt;&gt;Lucas Luiz Romero")*(28/1083),IF(C37="Técnico I",SUMIFS($D:$D,$A:$A,$A37,$B:$B,"&lt;&gt;Patrícia Karla de Sousa Araújo",$B:$B,"&lt;&gt;Lorena Dias de Araujo",$B:$B,"&lt;&gt;Lucas Luiz Romero")*(23/1083),IF(C37="JR",SUMIFS($D:$D,$A:$A,$A37,$B:$B,"&lt;&gt;Patrícia Karla de Sousa Araújo",$B:$B,"&lt;&gt;Lorena Dias de Araujo",$B:$B,"&lt;&gt;Lucas Luiz Romero")*(20/1083),IF(C37="Estágio",SUMIFS($D:$D,$A:$A,$A37,$B:$B,"&lt;&gt;Patrícia Karla de Sousa Araújo",$B:$B,"&lt;&gt;Lorena Dias de Araujo",$B:$B,"&lt;&gt;Lucas Luiz Romero")*(10/1083),0)))))),0)</f>
        <v/>
      </c>
      <c r="K37" s="3">
        <f>I37-J37</f>
        <v/>
      </c>
      <c r="L37" s="3">
        <f>IF(K37&lt;-5,"CRÍTICO",IF(K37&lt;0,"ATENÇÃO",IF(K37&lt;=5,"BOM","EXCELENTE")))</f>
        <v/>
      </c>
      <c r="M37" t="n">
        <v>4</v>
      </c>
      <c r="N37" t="n">
        <v>100</v>
      </c>
      <c r="O37" t="n">
        <v>16.8141592920354</v>
      </c>
    </row>
    <row r="38" hidden="1">
      <c r="A38" s="5" t="n">
        <v>46153</v>
      </c>
      <c r="B38" s="6" t="inlineStr">
        <is>
          <t>Quirino Diogo Leite Torres</t>
        </is>
      </c>
      <c r="C38" s="3" t="inlineStr">
        <is>
          <t>Estágio</t>
        </is>
      </c>
      <c r="D38" s="3" t="n">
        <v>16</v>
      </c>
      <c r="E38" s="3" t="n">
        <v>16</v>
      </c>
      <c r="F38" t="n">
        <v>30.41</v>
      </c>
      <c r="G38" s="3" t="n">
        <v>0</v>
      </c>
      <c r="H38" s="3" t="n">
        <v>0</v>
      </c>
      <c r="I38" s="3">
        <f>E38+G38+H38</f>
        <v/>
      </c>
      <c r="J38" s="3">
        <f>ROUND(MIN(IF(C38="Técnico III",35,IF(C38="Técnico II",28,IF(C38="Técnico I",23,IF(C38="JR",20,IF(C38="Estágio",10,0))))),IF(C38="Técnico III",SUMIFS($D:$D,$A:$A,$A38,$B:$B,"&lt;&gt;Patrícia Karla de Sousa Araújo",$B:$B,"&lt;&gt;Lorena Dias de Araujo",$B:$B,"&lt;&gt;Lucas Luiz Romero")*(35/1083),IF(C38="Técnico II",SUMIFS($D:$D,$A:$A,$A38,$B:$B,"&lt;&gt;Patrícia Karla de Sousa Araújo",$B:$B,"&lt;&gt;Lorena Dias de Araujo",$B:$B,"&lt;&gt;Lucas Luiz Romero")*(28/1083),IF(C38="Técnico I",SUMIFS($D:$D,$A:$A,$A38,$B:$B,"&lt;&gt;Patrícia Karla de Sousa Araújo",$B:$B,"&lt;&gt;Lorena Dias de Araujo",$B:$B,"&lt;&gt;Lucas Luiz Romero")*(23/1083),IF(C38="JR",SUMIFS($D:$D,$A:$A,$A38,$B:$B,"&lt;&gt;Patrícia Karla de Sousa Araújo",$B:$B,"&lt;&gt;Lorena Dias de Araujo",$B:$B,"&lt;&gt;Lucas Luiz Romero")*(20/1083),IF(C38="Estágio",SUMIFS($D:$D,$A:$A,$A38,$B:$B,"&lt;&gt;Patrícia Karla de Sousa Araújo",$B:$B,"&lt;&gt;Lorena Dias de Araujo",$B:$B,"&lt;&gt;Lucas Luiz Romero")*(10/1083),0)))))),0)</f>
        <v/>
      </c>
      <c r="K38" s="3">
        <f>I38-J38</f>
        <v/>
      </c>
      <c r="L38" s="3">
        <f>IF(K38&lt;-5,"CRÍTICO",IF(K38&lt;0,"ATENÇÃO",IF(K38&lt;=5,"BOM","EXCELENTE")))</f>
        <v/>
      </c>
      <c r="M38" t="n">
        <v>15</v>
      </c>
      <c r="N38" t="n">
        <v>98.11</v>
      </c>
      <c r="O38" t="n">
        <v>20.40816326530612</v>
      </c>
    </row>
    <row r="39" hidden="1">
      <c r="A39" s="5" t="n">
        <v>46154</v>
      </c>
      <c r="B39" s="6" t="inlineStr">
        <is>
          <t>Anna Luiza Rezende Tavares</t>
        </is>
      </c>
      <c r="C39" s="3" t="inlineStr">
        <is>
          <t>Estágio</t>
        </is>
      </c>
      <c r="D39" s="3" t="n">
        <v>25</v>
      </c>
      <c r="E39" s="3" t="n">
        <v>25</v>
      </c>
      <c r="F39" t="n">
        <v>20.14</v>
      </c>
      <c r="G39" s="3" t="n">
        <v>0</v>
      </c>
      <c r="H39" s="3" t="n">
        <v>0</v>
      </c>
      <c r="I39" s="3">
        <f>E39+G39+H39</f>
        <v/>
      </c>
      <c r="J39" s="3">
        <f>ROUND(MIN(IF(C39="Técnico III",35,IF(C39="Técnico II",28,IF(C39="Técnico I",23,IF(C39="JR",20,IF(C39="Estágio",10,0))))),IF(C39="Técnico III",SUMIFS($D:$D,$A:$A,$A39,$B:$B,"&lt;&gt;Patrícia Karla de Sousa Araújo",$B:$B,"&lt;&gt;Lorena Dias de Araujo",$B:$B,"&lt;&gt;Lucas Luiz Romero")*(35/1083),IF(C39="Técnico II",SUMIFS($D:$D,$A:$A,$A39,$B:$B,"&lt;&gt;Patrícia Karla de Sousa Araújo",$B:$B,"&lt;&gt;Lorena Dias de Araujo",$B:$B,"&lt;&gt;Lucas Luiz Romero")*(28/1083),IF(C39="Técnico I",SUMIFS($D:$D,$A:$A,$A39,$B:$B,"&lt;&gt;Patrícia Karla de Sousa Araújo",$B:$B,"&lt;&gt;Lorena Dias de Araujo",$B:$B,"&lt;&gt;Lucas Luiz Romero")*(23/1083),IF(C39="JR",SUMIFS($D:$D,$A:$A,$A39,$B:$B,"&lt;&gt;Patrícia Karla de Sousa Araújo",$B:$B,"&lt;&gt;Lorena Dias de Araujo",$B:$B,"&lt;&gt;Lucas Luiz Romero")*(20/1083),IF(C39="Estágio",SUMIFS($D:$D,$A:$A,$A39,$B:$B,"&lt;&gt;Patrícia Karla de Sousa Araújo",$B:$B,"&lt;&gt;Lorena Dias de Araujo",$B:$B,"&lt;&gt;Lucas Luiz Romero")*(10/1083),0)))))),0)</f>
        <v/>
      </c>
      <c r="K39" s="3">
        <f>I39-J39</f>
        <v/>
      </c>
      <c r="L39" s="3">
        <f>IF(K39&lt;-5,"CRÍTICO",IF(K39&lt;0,"ATENÇÃO",IF(K39&lt;=5,"BOM","EXCELENTE")))</f>
        <v/>
      </c>
      <c r="M39" t="n">
        <v>18</v>
      </c>
      <c r="N39" t="n">
        <v>99.11</v>
      </c>
      <c r="O39" t="n">
        <v>17.72151898734177</v>
      </c>
    </row>
    <row r="40" hidden="1">
      <c r="A40" s="5" t="n">
        <v>46154</v>
      </c>
      <c r="B40" s="6" t="inlineStr">
        <is>
          <t>Claudio de Sousa Velasco Filho</t>
        </is>
      </c>
      <c r="C40" s="3" t="inlineStr">
        <is>
          <t>Estágio</t>
        </is>
      </c>
      <c r="D40" s="3" t="n">
        <v>8</v>
      </c>
      <c r="E40" s="3" t="n">
        <v>7</v>
      </c>
      <c r="F40" t="n">
        <v>33.4</v>
      </c>
      <c r="G40" s="3" t="n">
        <v>0</v>
      </c>
      <c r="H40" s="3" t="n">
        <v>0</v>
      </c>
      <c r="I40" s="3">
        <f>E40+G40+H40</f>
        <v/>
      </c>
      <c r="J40" s="3">
        <f>ROUND(MIN(IF(C40="Técnico III",35,IF(C40="Técnico II",28,IF(C40="Técnico I",23,IF(C40="JR",20,IF(C40="Estágio",10,0))))),IF(C40="Técnico III",SUMIFS($D:$D,$A:$A,$A40,$B:$B,"&lt;&gt;Patrícia Karla de Sousa Araújo",$B:$B,"&lt;&gt;Lorena Dias de Araujo",$B:$B,"&lt;&gt;Lucas Luiz Romero")*(35/1083),IF(C40="Técnico II",SUMIFS($D:$D,$A:$A,$A40,$B:$B,"&lt;&gt;Patrícia Karla de Sousa Araújo",$B:$B,"&lt;&gt;Lorena Dias de Araujo",$B:$B,"&lt;&gt;Lucas Luiz Romero")*(28/1083),IF(C40="Técnico I",SUMIFS($D:$D,$A:$A,$A40,$B:$B,"&lt;&gt;Patrícia Karla de Sousa Araújo",$B:$B,"&lt;&gt;Lorena Dias de Araujo",$B:$B,"&lt;&gt;Lucas Luiz Romero")*(23/1083),IF(C40="JR",SUMIFS($D:$D,$A:$A,$A40,$B:$B,"&lt;&gt;Patrícia Karla de Sousa Araújo",$B:$B,"&lt;&gt;Lorena Dias de Araujo",$B:$B,"&lt;&gt;Lucas Luiz Romero")*(20/1083),IF(C40="Estágio",SUMIFS($D:$D,$A:$A,$A40,$B:$B,"&lt;&gt;Patrícia Karla de Sousa Araújo",$B:$B,"&lt;&gt;Lorena Dias de Araujo",$B:$B,"&lt;&gt;Lucas Luiz Romero")*(10/1083),0)))))),0)</f>
        <v/>
      </c>
      <c r="K40" s="3">
        <f>I40-J40</f>
        <v/>
      </c>
      <c r="L40" s="3">
        <f>IF(K40&lt;-5,"CRÍTICO",IF(K40&lt;0,"ATENÇÃO",IF(K40&lt;=5,"BOM","EXCELENTE")))</f>
        <v/>
      </c>
      <c r="M40" t="n">
        <v>6</v>
      </c>
      <c r="N40" t="n">
        <v>96.43000000000001</v>
      </c>
      <c r="O40" t="n">
        <v>20</v>
      </c>
    </row>
    <row r="41" hidden="1">
      <c r="A41" s="5" t="n">
        <v>46154</v>
      </c>
      <c r="B41" s="6" t="inlineStr">
        <is>
          <t>Emilly Caylane Costa</t>
        </is>
      </c>
      <c r="C41" s="3" t="inlineStr">
        <is>
          <t>Estágio</t>
        </is>
      </c>
      <c r="D41" s="3" t="n">
        <v>28</v>
      </c>
      <c r="E41" s="3" t="n">
        <v>16</v>
      </c>
      <c r="F41" t="n">
        <v>3.55</v>
      </c>
      <c r="G41" s="3" t="n">
        <v>0</v>
      </c>
      <c r="H41" s="3" t="n">
        <v>0</v>
      </c>
      <c r="I41" s="3">
        <f>E41+G41+H41</f>
        <v/>
      </c>
      <c r="J41" s="3">
        <f>ROUND(MIN(IF(C41="Técnico III",35,IF(C41="Técnico II",28,IF(C41="Técnico I",23,IF(C41="JR",20,IF(C41="Estágio",10,0))))),IF(C41="Técnico III",SUMIFS($D:$D,$A:$A,$A41,$B:$B,"&lt;&gt;Patrícia Karla de Sousa Araújo",$B:$B,"&lt;&gt;Lorena Dias de Araujo",$B:$B,"&lt;&gt;Lucas Luiz Romero")*(35/1083),IF(C41="Técnico II",SUMIFS($D:$D,$A:$A,$A41,$B:$B,"&lt;&gt;Patrícia Karla de Sousa Araújo",$B:$B,"&lt;&gt;Lorena Dias de Araujo",$B:$B,"&lt;&gt;Lucas Luiz Romero")*(28/1083),IF(C41="Técnico I",SUMIFS($D:$D,$A:$A,$A41,$B:$B,"&lt;&gt;Patrícia Karla de Sousa Araújo",$B:$B,"&lt;&gt;Lorena Dias de Araujo",$B:$B,"&lt;&gt;Lucas Luiz Romero")*(23/1083),IF(C41="JR",SUMIFS($D:$D,$A:$A,$A41,$B:$B,"&lt;&gt;Patrícia Karla de Sousa Araújo",$B:$B,"&lt;&gt;Lorena Dias de Araujo",$B:$B,"&lt;&gt;Lucas Luiz Romero")*(20/1083),IF(C41="Estágio",SUMIFS($D:$D,$A:$A,$A41,$B:$B,"&lt;&gt;Patrícia Karla de Sousa Araújo",$B:$B,"&lt;&gt;Lorena Dias de Araujo",$B:$B,"&lt;&gt;Lucas Luiz Romero")*(10/1083),0)))))),0)</f>
        <v/>
      </c>
      <c r="K41" s="3">
        <f>I41-J41</f>
        <v/>
      </c>
      <c r="L41" s="3">
        <f>IF(K41&lt;-5,"CRÍTICO",IF(K41&lt;0,"ATENÇÃO",IF(K41&lt;=5,"BOM","EXCELENTE")))</f>
        <v/>
      </c>
      <c r="M41" t="n">
        <v>0</v>
      </c>
      <c r="N41" t="n">
        <v>100</v>
      </c>
      <c r="O41" t="n">
        <v>29.03225806451613</v>
      </c>
    </row>
    <row r="42" hidden="1">
      <c r="A42" s="5" t="n">
        <v>46154</v>
      </c>
      <c r="B42" s="6" t="inlineStr">
        <is>
          <t>Maria Eduarda Sousa Costa</t>
        </is>
      </c>
      <c r="C42" s="3" t="inlineStr">
        <is>
          <t>Estágio</t>
        </is>
      </c>
      <c r="D42" s="3" t="n">
        <v>45</v>
      </c>
      <c r="E42" s="3" t="n">
        <v>27</v>
      </c>
      <c r="F42" t="n">
        <v>7.15</v>
      </c>
      <c r="G42" s="3" t="n">
        <v>0</v>
      </c>
      <c r="H42" s="3" t="n">
        <v>0</v>
      </c>
      <c r="I42" s="3">
        <f>E42+G42+H42</f>
        <v/>
      </c>
      <c r="J42" s="3">
        <f>ROUND(MIN(IF(C42="Técnico III",35,IF(C42="Técnico II",28,IF(C42="Técnico I",23,IF(C42="JR",20,IF(C42="Estágio",10,0))))),IF(C42="Técnico III",SUMIFS($D:$D,$A:$A,$A42,$B:$B,"&lt;&gt;Patrícia Karla de Sousa Araújo",$B:$B,"&lt;&gt;Lorena Dias de Araujo",$B:$B,"&lt;&gt;Lucas Luiz Romero")*(35/1083),IF(C42="Técnico II",SUMIFS($D:$D,$A:$A,$A42,$B:$B,"&lt;&gt;Patrícia Karla de Sousa Araújo",$B:$B,"&lt;&gt;Lorena Dias de Araujo",$B:$B,"&lt;&gt;Lucas Luiz Romero")*(28/1083),IF(C42="Técnico I",SUMIFS($D:$D,$A:$A,$A42,$B:$B,"&lt;&gt;Patrícia Karla de Sousa Araújo",$B:$B,"&lt;&gt;Lorena Dias de Araujo",$B:$B,"&lt;&gt;Lucas Luiz Romero")*(23/1083),IF(C42="JR",SUMIFS($D:$D,$A:$A,$A42,$B:$B,"&lt;&gt;Patrícia Karla de Sousa Araújo",$B:$B,"&lt;&gt;Lorena Dias de Araujo",$B:$B,"&lt;&gt;Lucas Luiz Romero")*(20/1083),IF(C42="Estágio",SUMIFS($D:$D,$A:$A,$A42,$B:$B,"&lt;&gt;Patrícia Karla de Sousa Araújo",$B:$B,"&lt;&gt;Lorena Dias de Araujo",$B:$B,"&lt;&gt;Lucas Luiz Romero")*(10/1083),0)))))),0)</f>
        <v/>
      </c>
      <c r="K42" s="3">
        <f>I42-J42</f>
        <v/>
      </c>
      <c r="L42" s="3">
        <f>IF(K42&lt;-5,"CRÍTICO",IF(K42&lt;0,"ATENÇÃO",IF(K42&lt;=5,"BOM","EXCELENTE")))</f>
        <v/>
      </c>
      <c r="M42" t="n">
        <v>1</v>
      </c>
      <c r="N42" t="n">
        <v>100</v>
      </c>
      <c r="O42" t="n">
        <v>11.86440677966102</v>
      </c>
    </row>
    <row r="43" hidden="1">
      <c r="A43" s="5" t="n">
        <v>46154</v>
      </c>
      <c r="B43" s="6" t="inlineStr">
        <is>
          <t>Michelle G Santos</t>
        </is>
      </c>
      <c r="C43" s="3" t="inlineStr">
        <is>
          <t>Estágio</t>
        </is>
      </c>
      <c r="D43" s="3" t="n">
        <v>9</v>
      </c>
      <c r="E43" s="3" t="n">
        <v>7</v>
      </c>
      <c r="F43" t="n">
        <v>29.01</v>
      </c>
      <c r="G43" s="3" t="n">
        <v>0</v>
      </c>
      <c r="H43" s="3" t="n">
        <v>0</v>
      </c>
      <c r="I43" s="3">
        <f>E43+G43+H43</f>
        <v/>
      </c>
      <c r="J43" s="3">
        <f>ROUND(MIN(IF(C43="Técnico III",35,IF(C43="Técnico II",28,IF(C43="Técnico I",23,IF(C43="JR",20,IF(C43="Estágio",10,0))))),IF(C43="Técnico III",SUMIFS($D:$D,$A:$A,$A43,$B:$B,"&lt;&gt;Patrícia Karla de Sousa Araújo",$B:$B,"&lt;&gt;Lorena Dias de Araujo",$B:$B,"&lt;&gt;Lucas Luiz Romero")*(35/1083),IF(C43="Técnico II",SUMIFS($D:$D,$A:$A,$A43,$B:$B,"&lt;&gt;Patrícia Karla de Sousa Araújo",$B:$B,"&lt;&gt;Lorena Dias de Araujo",$B:$B,"&lt;&gt;Lucas Luiz Romero")*(28/1083),IF(C43="Técnico I",SUMIFS($D:$D,$A:$A,$A43,$B:$B,"&lt;&gt;Patrícia Karla de Sousa Araújo",$B:$B,"&lt;&gt;Lorena Dias de Araujo",$B:$B,"&lt;&gt;Lucas Luiz Romero")*(23/1083),IF(C43="JR",SUMIFS($D:$D,$A:$A,$A43,$B:$B,"&lt;&gt;Patrícia Karla de Sousa Araújo",$B:$B,"&lt;&gt;Lorena Dias de Araujo",$B:$B,"&lt;&gt;Lucas Luiz Romero")*(20/1083),IF(C43="Estágio",SUMIFS($D:$D,$A:$A,$A43,$B:$B,"&lt;&gt;Patrícia Karla de Sousa Araújo",$B:$B,"&lt;&gt;Lorena Dias de Araujo",$B:$B,"&lt;&gt;Lucas Luiz Romero")*(10/1083),0)))))),0)</f>
        <v/>
      </c>
      <c r="K43" s="3">
        <f>I43-J43</f>
        <v/>
      </c>
      <c r="L43" s="3">
        <f>IF(K43&lt;-5,"CRÍTICO",IF(K43&lt;0,"ATENÇÃO",IF(K43&lt;=5,"BOM","EXCELENTE")))</f>
        <v/>
      </c>
      <c r="M43" t="n">
        <v>4</v>
      </c>
      <c r="N43" t="n">
        <v>100</v>
      </c>
      <c r="O43" t="n">
        <v>16.8141592920354</v>
      </c>
    </row>
    <row r="44" hidden="1">
      <c r="A44" s="5" t="n">
        <v>46154</v>
      </c>
      <c r="B44" s="6" t="inlineStr">
        <is>
          <t>Quirino Diogo Leite Torres</t>
        </is>
      </c>
      <c r="C44" s="3" t="inlineStr">
        <is>
          <t>Estágio</t>
        </is>
      </c>
      <c r="D44" s="3" t="n">
        <v>20</v>
      </c>
      <c r="E44" s="3" t="n">
        <v>17</v>
      </c>
      <c r="F44" t="n">
        <v>24.05</v>
      </c>
      <c r="G44" s="3" t="n">
        <v>0</v>
      </c>
      <c r="H44" s="3" t="n">
        <v>0</v>
      </c>
      <c r="I44" s="3">
        <f>E44+G44+H44</f>
        <v/>
      </c>
      <c r="J44" s="3">
        <f>ROUND(MIN(IF(C44="Técnico III",35,IF(C44="Técnico II",28,IF(C44="Técnico I",23,IF(C44="JR",20,IF(C44="Estágio",10,0))))),IF(C44="Técnico III",SUMIFS($D:$D,$A:$A,$A44,$B:$B,"&lt;&gt;Patrícia Karla de Sousa Araújo",$B:$B,"&lt;&gt;Lorena Dias de Araujo",$B:$B,"&lt;&gt;Lucas Luiz Romero")*(35/1083),IF(C44="Técnico II",SUMIFS($D:$D,$A:$A,$A44,$B:$B,"&lt;&gt;Patrícia Karla de Sousa Araújo",$B:$B,"&lt;&gt;Lorena Dias de Araujo",$B:$B,"&lt;&gt;Lucas Luiz Romero")*(28/1083),IF(C44="Técnico I",SUMIFS($D:$D,$A:$A,$A44,$B:$B,"&lt;&gt;Patrícia Karla de Sousa Araújo",$B:$B,"&lt;&gt;Lorena Dias de Araujo",$B:$B,"&lt;&gt;Lucas Luiz Romero")*(23/1083),IF(C44="JR",SUMIFS($D:$D,$A:$A,$A44,$B:$B,"&lt;&gt;Patrícia Karla de Sousa Araújo",$B:$B,"&lt;&gt;Lorena Dias de Araujo",$B:$B,"&lt;&gt;Lucas Luiz Romero")*(20/1083),IF(C44="Estágio",SUMIFS($D:$D,$A:$A,$A44,$B:$B,"&lt;&gt;Patrícia Karla de Sousa Araújo",$B:$B,"&lt;&gt;Lorena Dias de Araujo",$B:$B,"&lt;&gt;Lucas Luiz Romero")*(10/1083),0)))))),0)</f>
        <v/>
      </c>
      <c r="K44" s="3">
        <f>I44-J44</f>
        <v/>
      </c>
      <c r="L44" s="3">
        <f>IF(K44&lt;-5,"CRÍTICO",IF(K44&lt;0,"ATENÇÃO",IF(K44&lt;=5,"BOM","EXCELENTE")))</f>
        <v/>
      </c>
      <c r="M44" t="n">
        <v>13</v>
      </c>
      <c r="N44" t="n">
        <v>98.11</v>
      </c>
      <c r="O44" t="n">
        <v>20.40816326530612</v>
      </c>
    </row>
    <row r="45" hidden="1">
      <c r="A45" s="5" t="n">
        <v>46155</v>
      </c>
      <c r="B45" s="6" t="inlineStr">
        <is>
          <t>Anna Luiza Rezende Tavares</t>
        </is>
      </c>
      <c r="C45" s="3" t="inlineStr">
        <is>
          <t>Estágio</t>
        </is>
      </c>
      <c r="D45" s="3" t="n">
        <v>23</v>
      </c>
      <c r="E45" s="3" t="n">
        <v>23</v>
      </c>
      <c r="F45" t="n">
        <v>15.57</v>
      </c>
      <c r="G45" s="3" t="n">
        <v>0</v>
      </c>
      <c r="H45" s="3" t="n">
        <v>0</v>
      </c>
      <c r="I45" s="3">
        <f>E45+G45+H45</f>
        <v/>
      </c>
      <c r="J45" s="3">
        <f>ROUND(MIN(IF(C45="Técnico III",35,IF(C45="Técnico II",28,IF(C45="Técnico I",23,IF(C45="JR",20,IF(C45="Estágio",10,0))))),IF(C45="Técnico III",SUMIFS($D:$D,$A:$A,$A45,$B:$B,"&lt;&gt;Patrícia Karla de Sousa Araújo",$B:$B,"&lt;&gt;Lorena Dias de Araujo",$B:$B,"&lt;&gt;Lucas Luiz Romero")*(35/1083),IF(C45="Técnico II",SUMIFS($D:$D,$A:$A,$A45,$B:$B,"&lt;&gt;Patrícia Karla de Sousa Araújo",$B:$B,"&lt;&gt;Lorena Dias de Araujo",$B:$B,"&lt;&gt;Lucas Luiz Romero")*(28/1083),IF(C45="Técnico I",SUMIFS($D:$D,$A:$A,$A45,$B:$B,"&lt;&gt;Patrícia Karla de Sousa Araújo",$B:$B,"&lt;&gt;Lorena Dias de Araujo",$B:$B,"&lt;&gt;Lucas Luiz Romero")*(23/1083),IF(C45="JR",SUMIFS($D:$D,$A:$A,$A45,$B:$B,"&lt;&gt;Patrícia Karla de Sousa Araújo",$B:$B,"&lt;&gt;Lorena Dias de Araujo",$B:$B,"&lt;&gt;Lucas Luiz Romero")*(20/1083),IF(C45="Estágio",SUMIFS($D:$D,$A:$A,$A45,$B:$B,"&lt;&gt;Patrícia Karla de Sousa Araújo",$B:$B,"&lt;&gt;Lorena Dias de Araujo",$B:$B,"&lt;&gt;Lucas Luiz Romero")*(10/1083),0)))))),0)</f>
        <v/>
      </c>
      <c r="K45" s="3">
        <f>I45-J45</f>
        <v/>
      </c>
      <c r="L45" s="3">
        <f>IF(K45&lt;-5,"CRÍTICO",IF(K45&lt;0,"ATENÇÃO",IF(K45&lt;=5,"BOM","EXCELENTE")))</f>
        <v/>
      </c>
      <c r="M45" t="n">
        <v>18</v>
      </c>
      <c r="N45" t="n">
        <v>99.11</v>
      </c>
      <c r="O45" t="n">
        <v>17.72151898734177</v>
      </c>
    </row>
    <row r="46" hidden="1">
      <c r="A46" s="5" t="n">
        <v>46155</v>
      </c>
      <c r="B46" s="6" t="inlineStr">
        <is>
          <t>Claudio de Sousa Velasco Filho</t>
        </is>
      </c>
      <c r="C46" s="3" t="inlineStr">
        <is>
          <t>Estágio</t>
        </is>
      </c>
      <c r="D46" s="3" t="n">
        <v>5</v>
      </c>
      <c r="E46" s="3" t="n">
        <v>5</v>
      </c>
      <c r="F46" t="n">
        <v>42.33</v>
      </c>
      <c r="G46" s="3" t="n">
        <v>0</v>
      </c>
      <c r="H46" s="3" t="n">
        <v>0</v>
      </c>
      <c r="I46" s="3">
        <f>E46+G46+H46</f>
        <v/>
      </c>
      <c r="J46" s="3">
        <f>ROUND(MIN(IF(C46="Técnico III",35,IF(C46="Técnico II",28,IF(C46="Técnico I",23,IF(C46="JR",20,IF(C46="Estágio",10,0))))),IF(C46="Técnico III",SUMIFS($D:$D,$A:$A,$A46,$B:$B,"&lt;&gt;Patrícia Karla de Sousa Araújo",$B:$B,"&lt;&gt;Lorena Dias de Araujo",$B:$B,"&lt;&gt;Lucas Luiz Romero")*(35/1083),IF(C46="Técnico II",SUMIFS($D:$D,$A:$A,$A46,$B:$B,"&lt;&gt;Patrícia Karla de Sousa Araújo",$B:$B,"&lt;&gt;Lorena Dias de Araujo",$B:$B,"&lt;&gt;Lucas Luiz Romero")*(28/1083),IF(C46="Técnico I",SUMIFS($D:$D,$A:$A,$A46,$B:$B,"&lt;&gt;Patrícia Karla de Sousa Araújo",$B:$B,"&lt;&gt;Lorena Dias de Araujo",$B:$B,"&lt;&gt;Lucas Luiz Romero")*(23/1083),IF(C46="JR",SUMIFS($D:$D,$A:$A,$A46,$B:$B,"&lt;&gt;Patrícia Karla de Sousa Araújo",$B:$B,"&lt;&gt;Lorena Dias de Araujo",$B:$B,"&lt;&gt;Lucas Luiz Romero")*(20/1083),IF(C46="Estágio",SUMIFS($D:$D,$A:$A,$A46,$B:$B,"&lt;&gt;Patrícia Karla de Sousa Araújo",$B:$B,"&lt;&gt;Lorena Dias de Araujo",$B:$B,"&lt;&gt;Lucas Luiz Romero")*(10/1083),0)))))),0)</f>
        <v/>
      </c>
      <c r="K46" s="3">
        <f>I46-J46</f>
        <v/>
      </c>
      <c r="L46" s="3">
        <f>IF(K46&lt;-5,"CRÍTICO",IF(K46&lt;0,"ATENÇÃO",IF(K46&lt;=5,"BOM","EXCELENTE")))</f>
        <v/>
      </c>
      <c r="M46" t="n">
        <v>5</v>
      </c>
      <c r="N46" t="n">
        <v>96.43000000000001</v>
      </c>
      <c r="O46" t="n">
        <v>20</v>
      </c>
    </row>
    <row r="47" hidden="1">
      <c r="A47" s="5" t="n">
        <v>46155</v>
      </c>
      <c r="B47" s="6" t="inlineStr">
        <is>
          <t>Emilly Caylane Costa</t>
        </is>
      </c>
      <c r="C47" s="3" t="inlineStr">
        <is>
          <t>Estágio</t>
        </is>
      </c>
      <c r="D47" s="3" t="n">
        <v>60</v>
      </c>
      <c r="E47" s="3" t="n">
        <v>19</v>
      </c>
      <c r="F47" t="n">
        <v>2.24</v>
      </c>
      <c r="G47" s="3" t="n">
        <v>0</v>
      </c>
      <c r="H47" s="3" t="n">
        <v>0</v>
      </c>
      <c r="I47" s="3">
        <f>E47+G47+H47</f>
        <v/>
      </c>
      <c r="J47" s="3">
        <f>ROUND(MIN(IF(C47="Técnico III",35,IF(C47="Técnico II",28,IF(C47="Técnico I",23,IF(C47="JR",20,IF(C47="Estágio",10,0))))),IF(C47="Técnico III",SUMIFS($D:$D,$A:$A,$A47,$B:$B,"&lt;&gt;Patrícia Karla de Sousa Araújo",$B:$B,"&lt;&gt;Lorena Dias de Araujo",$B:$B,"&lt;&gt;Lucas Luiz Romero")*(35/1083),IF(C47="Técnico II",SUMIFS($D:$D,$A:$A,$A47,$B:$B,"&lt;&gt;Patrícia Karla de Sousa Araújo",$B:$B,"&lt;&gt;Lorena Dias de Araujo",$B:$B,"&lt;&gt;Lucas Luiz Romero")*(28/1083),IF(C47="Técnico I",SUMIFS($D:$D,$A:$A,$A47,$B:$B,"&lt;&gt;Patrícia Karla de Sousa Araújo",$B:$B,"&lt;&gt;Lorena Dias de Araujo",$B:$B,"&lt;&gt;Lucas Luiz Romero")*(23/1083),IF(C47="JR",SUMIFS($D:$D,$A:$A,$A47,$B:$B,"&lt;&gt;Patrícia Karla de Sousa Araújo",$B:$B,"&lt;&gt;Lorena Dias de Araujo",$B:$B,"&lt;&gt;Lucas Luiz Romero")*(20/1083),IF(C47="Estágio",SUMIFS($D:$D,$A:$A,$A47,$B:$B,"&lt;&gt;Patrícia Karla de Sousa Araújo",$B:$B,"&lt;&gt;Lorena Dias de Araujo",$B:$B,"&lt;&gt;Lucas Luiz Romero")*(10/1083),0)))))),0)</f>
        <v/>
      </c>
      <c r="K47" s="3">
        <f>I47-J47</f>
        <v/>
      </c>
      <c r="L47" s="3">
        <f>IF(K47&lt;-5,"CRÍTICO",IF(K47&lt;0,"ATENÇÃO",IF(K47&lt;=5,"BOM","EXCELENTE")))</f>
        <v/>
      </c>
      <c r="M47" t="n">
        <v>0</v>
      </c>
      <c r="N47" t="n">
        <v>100</v>
      </c>
      <c r="O47" t="n">
        <v>29.03225806451613</v>
      </c>
    </row>
    <row r="48" hidden="1">
      <c r="A48" s="5" t="n">
        <v>46155</v>
      </c>
      <c r="B48" s="6" t="inlineStr">
        <is>
          <t>Maria Eduarda Sousa Costa</t>
        </is>
      </c>
      <c r="C48" s="3" t="inlineStr">
        <is>
          <t>Estágio</t>
        </is>
      </c>
      <c r="D48" s="3" t="n">
        <v>37</v>
      </c>
      <c r="E48" s="3" t="n">
        <v>23</v>
      </c>
      <c r="F48" t="n">
        <v>6.59</v>
      </c>
      <c r="G48" s="3" t="n">
        <v>0</v>
      </c>
      <c r="H48" s="3" t="n">
        <v>0</v>
      </c>
      <c r="I48" s="3">
        <f>E48+G48+H48</f>
        <v/>
      </c>
      <c r="J48" s="3">
        <f>ROUND(MIN(IF(C48="Técnico III",35,IF(C48="Técnico II",28,IF(C48="Técnico I",23,IF(C48="JR",20,IF(C48="Estágio",10,0))))),IF(C48="Técnico III",SUMIFS($D:$D,$A:$A,$A48,$B:$B,"&lt;&gt;Patrícia Karla de Sousa Araújo",$B:$B,"&lt;&gt;Lorena Dias de Araujo",$B:$B,"&lt;&gt;Lucas Luiz Romero")*(35/1083),IF(C48="Técnico II",SUMIFS($D:$D,$A:$A,$A48,$B:$B,"&lt;&gt;Patrícia Karla de Sousa Araújo",$B:$B,"&lt;&gt;Lorena Dias de Araujo",$B:$B,"&lt;&gt;Lucas Luiz Romero")*(28/1083),IF(C48="Técnico I",SUMIFS($D:$D,$A:$A,$A48,$B:$B,"&lt;&gt;Patrícia Karla de Sousa Araújo",$B:$B,"&lt;&gt;Lorena Dias de Araujo",$B:$B,"&lt;&gt;Lucas Luiz Romero")*(23/1083),IF(C48="JR",SUMIFS($D:$D,$A:$A,$A48,$B:$B,"&lt;&gt;Patrícia Karla de Sousa Araújo",$B:$B,"&lt;&gt;Lorena Dias de Araujo",$B:$B,"&lt;&gt;Lucas Luiz Romero")*(20/1083),IF(C48="Estágio",SUMIFS($D:$D,$A:$A,$A48,$B:$B,"&lt;&gt;Patrícia Karla de Sousa Araújo",$B:$B,"&lt;&gt;Lorena Dias de Araujo",$B:$B,"&lt;&gt;Lucas Luiz Romero")*(10/1083),0)))))),0)</f>
        <v/>
      </c>
      <c r="K48" s="3">
        <f>I48-J48</f>
        <v/>
      </c>
      <c r="L48" s="3">
        <f>IF(K48&lt;-5,"CRÍTICO",IF(K48&lt;0,"ATENÇÃO",IF(K48&lt;=5,"BOM","EXCELENTE")))</f>
        <v/>
      </c>
      <c r="M48" t="n">
        <v>1</v>
      </c>
      <c r="N48" t="n">
        <v>100</v>
      </c>
      <c r="O48" t="n">
        <v>11.86440677966102</v>
      </c>
    </row>
    <row r="49" hidden="1">
      <c r="A49" s="5" t="n">
        <v>46155</v>
      </c>
      <c r="B49" s="6" t="inlineStr">
        <is>
          <t>Michelle G Santos</t>
        </is>
      </c>
      <c r="C49" s="3" t="inlineStr">
        <is>
          <t>Estágio</t>
        </is>
      </c>
      <c r="D49" s="3" t="n">
        <v>6</v>
      </c>
      <c r="E49" s="3" t="n">
        <v>6</v>
      </c>
      <c r="F49" t="n">
        <v>29.1</v>
      </c>
      <c r="G49" s="3" t="n">
        <v>0</v>
      </c>
      <c r="H49" s="3" t="n">
        <v>0</v>
      </c>
      <c r="I49" s="3">
        <f>E49+G49+H49</f>
        <v/>
      </c>
      <c r="J49" s="3">
        <f>ROUND(MIN(IF(C49="Técnico III",35,IF(C49="Técnico II",28,IF(C49="Técnico I",23,IF(C49="JR",20,IF(C49="Estágio",10,0))))),IF(C49="Técnico III",SUMIFS($D:$D,$A:$A,$A49,$B:$B,"&lt;&gt;Patrícia Karla de Sousa Araújo",$B:$B,"&lt;&gt;Lorena Dias de Araujo",$B:$B,"&lt;&gt;Lucas Luiz Romero")*(35/1083),IF(C49="Técnico II",SUMIFS($D:$D,$A:$A,$A49,$B:$B,"&lt;&gt;Patrícia Karla de Sousa Araújo",$B:$B,"&lt;&gt;Lorena Dias de Araujo",$B:$B,"&lt;&gt;Lucas Luiz Romero")*(28/1083),IF(C49="Técnico I",SUMIFS($D:$D,$A:$A,$A49,$B:$B,"&lt;&gt;Patrícia Karla de Sousa Araújo",$B:$B,"&lt;&gt;Lorena Dias de Araujo",$B:$B,"&lt;&gt;Lucas Luiz Romero")*(23/1083),IF(C49="JR",SUMIFS($D:$D,$A:$A,$A49,$B:$B,"&lt;&gt;Patrícia Karla de Sousa Araújo",$B:$B,"&lt;&gt;Lorena Dias de Araujo",$B:$B,"&lt;&gt;Lucas Luiz Romero")*(20/1083),IF(C49="Estágio",SUMIFS($D:$D,$A:$A,$A49,$B:$B,"&lt;&gt;Patrícia Karla de Sousa Araújo",$B:$B,"&lt;&gt;Lorena Dias de Araujo",$B:$B,"&lt;&gt;Lucas Luiz Romero")*(10/1083),0)))))),0)</f>
        <v/>
      </c>
      <c r="K49" s="3">
        <f>I49-J49</f>
        <v/>
      </c>
      <c r="L49" s="3">
        <f>IF(K49&lt;-5,"CRÍTICO",IF(K49&lt;0,"ATENÇÃO",IF(K49&lt;=5,"BOM","EXCELENTE")))</f>
        <v/>
      </c>
      <c r="M49" t="n">
        <v>5</v>
      </c>
      <c r="N49" t="n">
        <v>100</v>
      </c>
      <c r="O49" t="n">
        <v>16.8141592920354</v>
      </c>
    </row>
    <row r="50" hidden="1">
      <c r="A50" s="5" t="n">
        <v>46155</v>
      </c>
      <c r="B50" s="6" t="inlineStr">
        <is>
          <t>Quirino Diogo Leite Torres</t>
        </is>
      </c>
      <c r="C50" s="3" t="inlineStr">
        <is>
          <t>Estágio</t>
        </is>
      </c>
      <c r="D50" s="3" t="n">
        <v>19</v>
      </c>
      <c r="E50" s="3" t="n">
        <v>18</v>
      </c>
      <c r="F50" t="n">
        <v>23.42</v>
      </c>
      <c r="G50" s="3" t="n">
        <v>0</v>
      </c>
      <c r="H50" s="3" t="n">
        <v>0</v>
      </c>
      <c r="I50" s="3">
        <f>E50+G50+H50</f>
        <v/>
      </c>
      <c r="J50" s="3">
        <f>ROUND(MIN(IF(C50="Técnico III",35,IF(C50="Técnico II",28,IF(C50="Técnico I",23,IF(C50="JR",20,IF(C50="Estágio",10,0))))),IF(C50="Técnico III",SUMIFS($D:$D,$A:$A,$A50,$B:$B,"&lt;&gt;Patrícia Karla de Sousa Araújo",$B:$B,"&lt;&gt;Lorena Dias de Araujo",$B:$B,"&lt;&gt;Lucas Luiz Romero")*(35/1083),IF(C50="Técnico II",SUMIFS($D:$D,$A:$A,$A50,$B:$B,"&lt;&gt;Patrícia Karla de Sousa Araújo",$B:$B,"&lt;&gt;Lorena Dias de Araujo",$B:$B,"&lt;&gt;Lucas Luiz Romero")*(28/1083),IF(C50="Técnico I",SUMIFS($D:$D,$A:$A,$A50,$B:$B,"&lt;&gt;Patrícia Karla de Sousa Araújo",$B:$B,"&lt;&gt;Lorena Dias de Araujo",$B:$B,"&lt;&gt;Lucas Luiz Romero")*(23/1083),IF(C50="JR",SUMIFS($D:$D,$A:$A,$A50,$B:$B,"&lt;&gt;Patrícia Karla de Sousa Araújo",$B:$B,"&lt;&gt;Lorena Dias de Araujo",$B:$B,"&lt;&gt;Lucas Luiz Romero")*(20/1083),IF(C50="Estágio",SUMIFS($D:$D,$A:$A,$A50,$B:$B,"&lt;&gt;Patrícia Karla de Sousa Araújo",$B:$B,"&lt;&gt;Lorena Dias de Araujo",$B:$B,"&lt;&gt;Lucas Luiz Romero")*(10/1083),0)))))),0)</f>
        <v/>
      </c>
      <c r="K50" s="3">
        <f>I50-J50</f>
        <v/>
      </c>
      <c r="L50" s="3">
        <f>IF(K50&lt;-5,"CRÍTICO",IF(K50&lt;0,"ATENÇÃO",IF(K50&lt;=5,"BOM","EXCELENTE")))</f>
        <v/>
      </c>
      <c r="M50" t="n">
        <v>13</v>
      </c>
      <c r="N50" t="n">
        <v>98.11</v>
      </c>
      <c r="O50" t="n">
        <v>20.40816326530612</v>
      </c>
    </row>
    <row r="51" hidden="1">
      <c r="A51" s="5" t="n">
        <v>46156</v>
      </c>
      <c r="B51" s="6" t="inlineStr">
        <is>
          <t>Anna Luiza Rezende Tavares</t>
        </is>
      </c>
      <c r="C51" s="3" t="inlineStr">
        <is>
          <t>Estágio</t>
        </is>
      </c>
      <c r="D51" s="3" t="n">
        <v>31</v>
      </c>
      <c r="E51" s="3" t="n">
        <v>29</v>
      </c>
      <c r="F51" t="n">
        <v>18.5</v>
      </c>
      <c r="G51" s="3" t="n">
        <v>0</v>
      </c>
      <c r="H51" s="3" t="n">
        <v>0</v>
      </c>
      <c r="I51" s="3">
        <f>E51+G51+H51</f>
        <v/>
      </c>
      <c r="J51" s="3">
        <f>ROUND(MIN(IF(C51="Técnico III",35,IF(C51="Técnico II",28,IF(C51="Técnico I",23,IF(C51="JR",20,IF(C51="Estágio",10,0))))),IF(C51="Técnico III",SUMIFS($D:$D,$A:$A,$A51,$B:$B,"&lt;&gt;Patrícia Karla de Sousa Araújo",$B:$B,"&lt;&gt;Lorena Dias de Araujo",$B:$B,"&lt;&gt;Lucas Luiz Romero")*(35/1083),IF(C51="Técnico II",SUMIFS($D:$D,$A:$A,$A51,$B:$B,"&lt;&gt;Patrícia Karla de Sousa Araújo",$B:$B,"&lt;&gt;Lorena Dias de Araujo",$B:$B,"&lt;&gt;Lucas Luiz Romero")*(28/1083),IF(C51="Técnico I",SUMIFS($D:$D,$A:$A,$A51,$B:$B,"&lt;&gt;Patrícia Karla de Sousa Araújo",$B:$B,"&lt;&gt;Lorena Dias de Araujo",$B:$B,"&lt;&gt;Lucas Luiz Romero")*(23/1083),IF(C51="JR",SUMIFS($D:$D,$A:$A,$A51,$B:$B,"&lt;&gt;Patrícia Karla de Sousa Araújo",$B:$B,"&lt;&gt;Lorena Dias de Araujo",$B:$B,"&lt;&gt;Lucas Luiz Romero")*(20/1083),IF(C51="Estágio",SUMIFS($D:$D,$A:$A,$A51,$B:$B,"&lt;&gt;Patrícia Karla de Sousa Araújo",$B:$B,"&lt;&gt;Lorena Dias de Araujo",$B:$B,"&lt;&gt;Lucas Luiz Romero")*(10/1083),0)))))),0)</f>
        <v/>
      </c>
      <c r="K51" s="3">
        <f>I51-J51</f>
        <v/>
      </c>
      <c r="L51" s="3">
        <f>IF(K51&lt;-5,"CRÍTICO",IF(K51&lt;0,"ATENÇÃO",IF(K51&lt;=5,"BOM","EXCELENTE")))</f>
        <v/>
      </c>
      <c r="M51" t="n">
        <v>26</v>
      </c>
      <c r="N51" t="n">
        <v>99.11</v>
      </c>
      <c r="O51" t="n">
        <v>17.72151898734177</v>
      </c>
    </row>
    <row r="52" hidden="1">
      <c r="A52" s="5" t="n">
        <v>46156</v>
      </c>
      <c r="B52" s="6" t="inlineStr">
        <is>
          <t>Claudio de Sousa Velasco Filho</t>
        </is>
      </c>
      <c r="C52" s="3" t="inlineStr">
        <is>
          <t>Estágio</t>
        </is>
      </c>
      <c r="D52" s="3" t="n">
        <v>9</v>
      </c>
      <c r="E52" s="3" t="n">
        <v>9</v>
      </c>
      <c r="F52" t="n">
        <v>24.16</v>
      </c>
      <c r="G52" s="3" t="n">
        <v>0</v>
      </c>
      <c r="H52" s="3" t="n">
        <v>0</v>
      </c>
      <c r="I52" s="3">
        <f>E52+G52+H52</f>
        <v/>
      </c>
      <c r="J52" s="3">
        <f>ROUND(MIN(IF(C52="Técnico III",35,IF(C52="Técnico II",28,IF(C52="Técnico I",23,IF(C52="JR",20,IF(C52="Estágio",10,0))))),IF(C52="Técnico III",SUMIFS($D:$D,$A:$A,$A52,$B:$B,"&lt;&gt;Patrícia Karla de Sousa Araújo",$B:$B,"&lt;&gt;Lorena Dias de Araujo",$B:$B,"&lt;&gt;Lucas Luiz Romero")*(35/1083),IF(C52="Técnico II",SUMIFS($D:$D,$A:$A,$A52,$B:$B,"&lt;&gt;Patrícia Karla de Sousa Araújo",$B:$B,"&lt;&gt;Lorena Dias de Araujo",$B:$B,"&lt;&gt;Lucas Luiz Romero")*(28/1083),IF(C52="Técnico I",SUMIFS($D:$D,$A:$A,$A52,$B:$B,"&lt;&gt;Patrícia Karla de Sousa Araújo",$B:$B,"&lt;&gt;Lorena Dias de Araujo",$B:$B,"&lt;&gt;Lucas Luiz Romero")*(23/1083),IF(C52="JR",SUMIFS($D:$D,$A:$A,$A52,$B:$B,"&lt;&gt;Patrícia Karla de Sousa Araújo",$B:$B,"&lt;&gt;Lorena Dias de Araujo",$B:$B,"&lt;&gt;Lucas Luiz Romero")*(20/1083),IF(C52="Estágio",SUMIFS($D:$D,$A:$A,$A52,$B:$B,"&lt;&gt;Patrícia Karla de Sousa Araújo",$B:$B,"&lt;&gt;Lorena Dias de Araujo",$B:$B,"&lt;&gt;Lucas Luiz Romero")*(10/1083),0)))))),0)</f>
        <v/>
      </c>
      <c r="K52" s="3">
        <f>I52-J52</f>
        <v/>
      </c>
      <c r="L52" s="3">
        <f>IF(K52&lt;-5,"CRÍTICO",IF(K52&lt;0,"ATENÇÃO",IF(K52&lt;=5,"BOM","EXCELENTE")))</f>
        <v/>
      </c>
      <c r="M52" t="n">
        <v>6</v>
      </c>
      <c r="N52" t="n">
        <v>96.43000000000001</v>
      </c>
      <c r="O52" t="n">
        <v>20</v>
      </c>
    </row>
    <row r="53" hidden="1">
      <c r="A53" s="5" t="n">
        <v>46156</v>
      </c>
      <c r="B53" s="6" t="inlineStr">
        <is>
          <t>Emilly Caylane Costa</t>
        </is>
      </c>
      <c r="C53" s="3" t="inlineStr">
        <is>
          <t>Estágio</t>
        </is>
      </c>
      <c r="D53" s="3" t="n">
        <v>21</v>
      </c>
      <c r="E53" s="3" t="n">
        <v>10</v>
      </c>
      <c r="F53" t="n">
        <v>3.22</v>
      </c>
      <c r="G53" s="3" t="n">
        <v>5</v>
      </c>
      <c r="H53" s="3" t="n">
        <v>0</v>
      </c>
      <c r="I53" s="3">
        <f>E53+G53+H53</f>
        <v/>
      </c>
      <c r="J53" s="3">
        <f>ROUND(MIN(IF(C53="Técnico III",35,IF(C53="Técnico II",28,IF(C53="Técnico I",23,IF(C53="JR",20,IF(C53="Estágio",10,0))))),IF(C53="Técnico III",SUMIFS($D:$D,$A:$A,$A53,$B:$B,"&lt;&gt;Patrícia Karla de Sousa Araújo",$B:$B,"&lt;&gt;Lorena Dias de Araujo",$B:$B,"&lt;&gt;Lucas Luiz Romero")*(35/1083),IF(C53="Técnico II",SUMIFS($D:$D,$A:$A,$A53,$B:$B,"&lt;&gt;Patrícia Karla de Sousa Araújo",$B:$B,"&lt;&gt;Lorena Dias de Araujo",$B:$B,"&lt;&gt;Lucas Luiz Romero")*(28/1083),IF(C53="Técnico I",SUMIFS($D:$D,$A:$A,$A53,$B:$B,"&lt;&gt;Patrícia Karla de Sousa Araújo",$B:$B,"&lt;&gt;Lorena Dias de Araujo",$B:$B,"&lt;&gt;Lucas Luiz Romero")*(23/1083),IF(C53="JR",SUMIFS($D:$D,$A:$A,$A53,$B:$B,"&lt;&gt;Patrícia Karla de Sousa Araújo",$B:$B,"&lt;&gt;Lorena Dias de Araujo",$B:$B,"&lt;&gt;Lucas Luiz Romero")*(20/1083),IF(C53="Estágio",SUMIFS($D:$D,$A:$A,$A53,$B:$B,"&lt;&gt;Patrícia Karla de Sousa Araújo",$B:$B,"&lt;&gt;Lorena Dias de Araujo",$B:$B,"&lt;&gt;Lucas Luiz Romero")*(10/1083),0)))))),0)</f>
        <v/>
      </c>
      <c r="K53" s="3">
        <f>I53-J53</f>
        <v/>
      </c>
      <c r="L53" s="3">
        <f>IF(K53&lt;-5,"CRÍTICO",IF(K53&lt;0,"ATENÇÃO",IF(K53&lt;=5,"BOM","EXCELENTE")))</f>
        <v/>
      </c>
      <c r="M53" t="n">
        <v>0</v>
      </c>
      <c r="N53" t="n">
        <v>100</v>
      </c>
      <c r="O53" t="n">
        <v>29.03225806451613</v>
      </c>
    </row>
    <row r="54" hidden="1">
      <c r="A54" s="5" t="n">
        <v>46156</v>
      </c>
      <c r="B54" s="6" t="inlineStr">
        <is>
          <t>Maria Eduarda Sousa Costa</t>
        </is>
      </c>
      <c r="C54" s="3" t="inlineStr">
        <is>
          <t>Estágio</t>
        </is>
      </c>
      <c r="D54" s="3" t="n">
        <v>63</v>
      </c>
      <c r="E54" s="3" t="n">
        <v>43</v>
      </c>
      <c r="F54" t="n">
        <v>6.57</v>
      </c>
      <c r="G54" s="3" t="n">
        <v>0</v>
      </c>
      <c r="H54" s="3" t="n">
        <v>0</v>
      </c>
      <c r="I54" s="3">
        <f>E54+G54+H54</f>
        <v/>
      </c>
      <c r="J54" s="3">
        <f>ROUND(MIN(IF(C54="Técnico III",35,IF(C54="Técnico II",28,IF(C54="Técnico I",23,IF(C54="JR",20,IF(C54="Estágio",10,0))))),IF(C54="Técnico III",SUMIFS($D:$D,$A:$A,$A54,$B:$B,"&lt;&gt;Patrícia Karla de Sousa Araújo",$B:$B,"&lt;&gt;Lorena Dias de Araujo",$B:$B,"&lt;&gt;Lucas Luiz Romero")*(35/1083),IF(C54="Técnico II",SUMIFS($D:$D,$A:$A,$A54,$B:$B,"&lt;&gt;Patrícia Karla de Sousa Araújo",$B:$B,"&lt;&gt;Lorena Dias de Araujo",$B:$B,"&lt;&gt;Lucas Luiz Romero")*(28/1083),IF(C54="Técnico I",SUMIFS($D:$D,$A:$A,$A54,$B:$B,"&lt;&gt;Patrícia Karla de Sousa Araújo",$B:$B,"&lt;&gt;Lorena Dias de Araujo",$B:$B,"&lt;&gt;Lucas Luiz Romero")*(23/1083),IF(C54="JR",SUMIFS($D:$D,$A:$A,$A54,$B:$B,"&lt;&gt;Patrícia Karla de Sousa Araújo",$B:$B,"&lt;&gt;Lorena Dias de Araujo",$B:$B,"&lt;&gt;Lucas Luiz Romero")*(20/1083),IF(C54="Estágio",SUMIFS($D:$D,$A:$A,$A54,$B:$B,"&lt;&gt;Patrícia Karla de Sousa Araújo",$B:$B,"&lt;&gt;Lorena Dias de Araujo",$B:$B,"&lt;&gt;Lucas Luiz Romero")*(10/1083),0)))))),0)</f>
        <v/>
      </c>
      <c r="K54" s="3">
        <f>I54-J54</f>
        <v/>
      </c>
      <c r="L54" s="3">
        <f>IF(K54&lt;-5,"CRÍTICO",IF(K54&lt;0,"ATENÇÃO",IF(K54&lt;=5,"BOM","EXCELENTE")))</f>
        <v/>
      </c>
      <c r="M54" t="n">
        <v>2</v>
      </c>
      <c r="N54" t="n">
        <v>100</v>
      </c>
      <c r="O54" t="n">
        <v>11.86440677966102</v>
      </c>
    </row>
    <row r="55" hidden="1">
      <c r="A55" s="5" t="n">
        <v>46156</v>
      </c>
      <c r="B55" s="6" t="inlineStr">
        <is>
          <t>Michelle G Santos</t>
        </is>
      </c>
      <c r="C55" s="3" t="inlineStr">
        <is>
          <t>Estágio</t>
        </is>
      </c>
      <c r="D55" s="3" t="n">
        <v>4</v>
      </c>
      <c r="E55" s="3" t="n">
        <v>4</v>
      </c>
      <c r="F55" t="n">
        <v>54.06</v>
      </c>
      <c r="G55" s="3" t="n">
        <v>0</v>
      </c>
      <c r="H55" s="3" t="n">
        <v>0</v>
      </c>
      <c r="I55" s="3">
        <f>E55+G55+H55</f>
        <v/>
      </c>
      <c r="J55" s="3">
        <f>ROUND(MIN(IF(C55="Técnico III",35,IF(C55="Técnico II",28,IF(C55="Técnico I",23,IF(C55="JR",20,IF(C55="Estágio",10,0))))),IF(C55="Técnico III",SUMIFS($D:$D,$A:$A,$A55,$B:$B,"&lt;&gt;Patrícia Karla de Sousa Araújo",$B:$B,"&lt;&gt;Lorena Dias de Araujo",$B:$B,"&lt;&gt;Lucas Luiz Romero")*(35/1083),IF(C55="Técnico II",SUMIFS($D:$D,$A:$A,$A55,$B:$B,"&lt;&gt;Patrícia Karla de Sousa Araújo",$B:$B,"&lt;&gt;Lorena Dias de Araujo",$B:$B,"&lt;&gt;Lucas Luiz Romero")*(28/1083),IF(C55="Técnico I",SUMIFS($D:$D,$A:$A,$A55,$B:$B,"&lt;&gt;Patrícia Karla de Sousa Araújo",$B:$B,"&lt;&gt;Lorena Dias de Araujo",$B:$B,"&lt;&gt;Lucas Luiz Romero")*(23/1083),IF(C55="JR",SUMIFS($D:$D,$A:$A,$A55,$B:$B,"&lt;&gt;Patrícia Karla de Sousa Araújo",$B:$B,"&lt;&gt;Lorena Dias de Araujo",$B:$B,"&lt;&gt;Lucas Luiz Romero")*(20/1083),IF(C55="Estágio",SUMIFS($D:$D,$A:$A,$A55,$B:$B,"&lt;&gt;Patrícia Karla de Sousa Araújo",$B:$B,"&lt;&gt;Lorena Dias de Araujo",$B:$B,"&lt;&gt;Lucas Luiz Romero")*(10/1083),0)))))),0)</f>
        <v/>
      </c>
      <c r="K55" s="3">
        <f>I55-J55</f>
        <v/>
      </c>
      <c r="L55" s="3">
        <f>IF(K55&lt;-5,"CRÍTICO",IF(K55&lt;0,"ATENÇÃO",IF(K55&lt;=5,"BOM","EXCELENTE")))</f>
        <v/>
      </c>
      <c r="M55" t="n">
        <v>3</v>
      </c>
      <c r="N55" t="n">
        <v>100</v>
      </c>
      <c r="O55" t="n">
        <v>16.8141592920354</v>
      </c>
    </row>
    <row r="56" hidden="1">
      <c r="A56" s="5" t="n">
        <v>46156</v>
      </c>
      <c r="B56" s="6" t="inlineStr">
        <is>
          <t>Quirino Diogo Leite Torres</t>
        </is>
      </c>
      <c r="C56" s="3" t="inlineStr">
        <is>
          <t>Estágio</t>
        </is>
      </c>
      <c r="D56" s="3" t="n">
        <v>19</v>
      </c>
      <c r="E56" s="3" t="n">
        <v>18</v>
      </c>
      <c r="F56" t="n">
        <v>24.18</v>
      </c>
      <c r="G56" s="3" t="n">
        <v>0</v>
      </c>
      <c r="H56" s="3" t="n">
        <v>0</v>
      </c>
      <c r="I56" s="3">
        <f>E56+G56+H56</f>
        <v/>
      </c>
      <c r="J56" s="3">
        <f>ROUND(MIN(IF(C56="Técnico III",35,IF(C56="Técnico II",28,IF(C56="Técnico I",23,IF(C56="JR",20,IF(C56="Estágio",10,0))))),IF(C56="Técnico III",SUMIFS($D:$D,$A:$A,$A56,$B:$B,"&lt;&gt;Patrícia Karla de Sousa Araújo",$B:$B,"&lt;&gt;Lorena Dias de Araujo",$B:$B,"&lt;&gt;Lucas Luiz Romero")*(35/1083),IF(C56="Técnico II",SUMIFS($D:$D,$A:$A,$A56,$B:$B,"&lt;&gt;Patrícia Karla de Sousa Araújo",$B:$B,"&lt;&gt;Lorena Dias de Araujo",$B:$B,"&lt;&gt;Lucas Luiz Romero")*(28/1083),IF(C56="Técnico I",SUMIFS($D:$D,$A:$A,$A56,$B:$B,"&lt;&gt;Patrícia Karla de Sousa Araújo",$B:$B,"&lt;&gt;Lorena Dias de Araujo",$B:$B,"&lt;&gt;Lucas Luiz Romero")*(23/1083),IF(C56="JR",SUMIFS($D:$D,$A:$A,$A56,$B:$B,"&lt;&gt;Patrícia Karla de Sousa Araújo",$B:$B,"&lt;&gt;Lorena Dias de Araujo",$B:$B,"&lt;&gt;Lucas Luiz Romero")*(20/1083),IF(C56="Estágio",SUMIFS($D:$D,$A:$A,$A56,$B:$B,"&lt;&gt;Patrícia Karla de Sousa Araújo",$B:$B,"&lt;&gt;Lorena Dias de Araujo",$B:$B,"&lt;&gt;Lucas Luiz Romero")*(10/1083),0)))))),0)</f>
        <v/>
      </c>
      <c r="K56" s="3">
        <f>I56-J56</f>
        <v/>
      </c>
      <c r="L56" s="3">
        <f>IF(K56&lt;-5,"CRÍTICO",IF(K56&lt;0,"ATENÇÃO",IF(K56&lt;=5,"BOM","EXCELENTE")))</f>
        <v/>
      </c>
      <c r="M56" t="n">
        <v>15</v>
      </c>
      <c r="N56" t="n">
        <v>98.11</v>
      </c>
      <c r="O56" t="n">
        <v>20.40816326530612</v>
      </c>
    </row>
    <row r="57" hidden="1">
      <c r="A57" s="5" t="n">
        <v>46157</v>
      </c>
      <c r="B57" s="6" t="inlineStr">
        <is>
          <t>Anna Luiza Rezende Tavares</t>
        </is>
      </c>
      <c r="C57" s="3" t="inlineStr">
        <is>
          <t>Estágio</t>
        </is>
      </c>
      <c r="D57" s="3" t="n">
        <v>42</v>
      </c>
      <c r="E57" s="3" t="n">
        <v>40</v>
      </c>
      <c r="F57" t="n">
        <v>15.42</v>
      </c>
      <c r="G57" s="3" t="n">
        <v>0</v>
      </c>
      <c r="H57" s="3" t="n">
        <v>0</v>
      </c>
      <c r="I57" s="3">
        <f>E57+G57+H57</f>
        <v/>
      </c>
      <c r="J57" s="3">
        <f>ROUND(MIN(IF(C57="Técnico III",35,IF(C57="Técnico II",28,IF(C57="Técnico I",23,IF(C57="JR",20,IF(C57="Estágio",10,0))))),IF(C57="Técnico III",SUMIFS($D:$D,$A:$A,$A57,$B:$B,"&lt;&gt;Patrícia Karla de Sousa Araújo",$B:$B,"&lt;&gt;Lorena Dias de Araujo",$B:$B,"&lt;&gt;Lucas Luiz Romero")*(35/1083),IF(C57="Técnico II",SUMIFS($D:$D,$A:$A,$A57,$B:$B,"&lt;&gt;Patrícia Karla de Sousa Araújo",$B:$B,"&lt;&gt;Lorena Dias de Araujo",$B:$B,"&lt;&gt;Lucas Luiz Romero")*(28/1083),IF(C57="Técnico I",SUMIFS($D:$D,$A:$A,$A57,$B:$B,"&lt;&gt;Patrícia Karla de Sousa Araújo",$B:$B,"&lt;&gt;Lorena Dias de Araujo",$B:$B,"&lt;&gt;Lucas Luiz Romero")*(23/1083),IF(C57="JR",SUMIFS($D:$D,$A:$A,$A57,$B:$B,"&lt;&gt;Patrícia Karla de Sousa Araújo",$B:$B,"&lt;&gt;Lorena Dias de Araujo",$B:$B,"&lt;&gt;Lucas Luiz Romero")*(20/1083),IF(C57="Estágio",SUMIFS($D:$D,$A:$A,$A57,$B:$B,"&lt;&gt;Patrícia Karla de Sousa Araújo",$B:$B,"&lt;&gt;Lorena Dias de Araujo",$B:$B,"&lt;&gt;Lucas Luiz Romero")*(10/1083),0)))))),0)</f>
        <v/>
      </c>
      <c r="K57" s="3">
        <f>I57-J57</f>
        <v/>
      </c>
      <c r="L57" s="3">
        <f>IF(K57&lt;-5,"CRÍTICO",IF(K57&lt;0,"ATENÇÃO",IF(K57&lt;=5,"BOM","EXCELENTE")))</f>
        <v/>
      </c>
      <c r="M57" t="n">
        <v>34</v>
      </c>
      <c r="N57" t="n">
        <v>99.11</v>
      </c>
      <c r="O57" t="n">
        <v>17.72151898734177</v>
      </c>
    </row>
    <row r="58" hidden="1">
      <c r="A58" s="5" t="n">
        <v>46157</v>
      </c>
      <c r="B58" s="6" t="inlineStr">
        <is>
          <t>Claudio de Sousa Velasco Filho</t>
        </is>
      </c>
      <c r="C58" s="3" t="inlineStr">
        <is>
          <t>Estágio</t>
        </is>
      </c>
      <c r="D58" s="3" t="n">
        <v>11</v>
      </c>
      <c r="E58" s="3" t="n">
        <v>10</v>
      </c>
      <c r="F58" t="n">
        <v>20.19</v>
      </c>
      <c r="G58" s="3" t="n">
        <v>0</v>
      </c>
      <c r="H58" s="3" t="n">
        <v>0</v>
      </c>
      <c r="I58" s="3">
        <f>E58+G58+H58</f>
        <v/>
      </c>
      <c r="J58" s="3">
        <f>ROUND(MIN(IF(C58="Técnico III",35,IF(C58="Técnico II",28,IF(C58="Técnico I",23,IF(C58="JR",20,IF(C58="Estágio",10,0))))),IF(C58="Técnico III",SUMIFS($D:$D,$A:$A,$A58,$B:$B,"&lt;&gt;Patrícia Karla de Sousa Araújo",$B:$B,"&lt;&gt;Lorena Dias de Araujo",$B:$B,"&lt;&gt;Lucas Luiz Romero")*(35/1083),IF(C58="Técnico II",SUMIFS($D:$D,$A:$A,$A58,$B:$B,"&lt;&gt;Patrícia Karla de Sousa Araújo",$B:$B,"&lt;&gt;Lorena Dias de Araujo",$B:$B,"&lt;&gt;Lucas Luiz Romero")*(28/1083),IF(C58="Técnico I",SUMIFS($D:$D,$A:$A,$A58,$B:$B,"&lt;&gt;Patrícia Karla de Sousa Araújo",$B:$B,"&lt;&gt;Lorena Dias de Araujo",$B:$B,"&lt;&gt;Lucas Luiz Romero")*(23/1083),IF(C58="JR",SUMIFS($D:$D,$A:$A,$A58,$B:$B,"&lt;&gt;Patrícia Karla de Sousa Araújo",$B:$B,"&lt;&gt;Lorena Dias de Araujo",$B:$B,"&lt;&gt;Lucas Luiz Romero")*(20/1083),IF(C58="Estágio",SUMIFS($D:$D,$A:$A,$A58,$B:$B,"&lt;&gt;Patrícia Karla de Sousa Araújo",$B:$B,"&lt;&gt;Lorena Dias de Araujo",$B:$B,"&lt;&gt;Lucas Luiz Romero")*(10/1083),0)))))),0)</f>
        <v/>
      </c>
      <c r="K58" s="3">
        <f>I58-J58</f>
        <v/>
      </c>
      <c r="L58" s="3">
        <f>IF(K58&lt;-5,"CRÍTICO",IF(K58&lt;0,"ATENÇÃO",IF(K58&lt;=5,"BOM","EXCELENTE")))</f>
        <v/>
      </c>
      <c r="M58" t="n">
        <v>8</v>
      </c>
      <c r="N58" t="n">
        <v>96.43000000000001</v>
      </c>
      <c r="O58" t="n">
        <v>20</v>
      </c>
    </row>
    <row r="59" hidden="1">
      <c r="A59" s="5" t="n">
        <v>46157</v>
      </c>
      <c r="B59" s="6" t="inlineStr">
        <is>
          <t>Emilly Caylane Costa</t>
        </is>
      </c>
      <c r="C59" s="3" t="inlineStr">
        <is>
          <t>Estágio</t>
        </is>
      </c>
      <c r="D59" s="3" t="n">
        <v>39</v>
      </c>
      <c r="E59" s="3" t="n">
        <v>24</v>
      </c>
      <c r="F59" t="n">
        <v>3.43</v>
      </c>
      <c r="G59" s="3" t="n">
        <v>0</v>
      </c>
      <c r="H59" s="3" t="n">
        <v>0</v>
      </c>
      <c r="I59" s="3">
        <f>E59+G59+H59</f>
        <v/>
      </c>
      <c r="J59" s="3">
        <f>ROUND(MIN(IF(C59="Técnico III",35,IF(C59="Técnico II",28,IF(C59="Técnico I",23,IF(C59="JR",20,IF(C59="Estágio",10,0))))),IF(C59="Técnico III",SUMIFS($D:$D,$A:$A,$A59,$B:$B,"&lt;&gt;Patrícia Karla de Sousa Araújo",$B:$B,"&lt;&gt;Lorena Dias de Araujo",$B:$B,"&lt;&gt;Lucas Luiz Romero")*(35/1083),IF(C59="Técnico II",SUMIFS($D:$D,$A:$A,$A59,$B:$B,"&lt;&gt;Patrícia Karla de Sousa Araújo",$B:$B,"&lt;&gt;Lorena Dias de Araujo",$B:$B,"&lt;&gt;Lucas Luiz Romero")*(28/1083),IF(C59="Técnico I",SUMIFS($D:$D,$A:$A,$A59,$B:$B,"&lt;&gt;Patrícia Karla de Sousa Araújo",$B:$B,"&lt;&gt;Lorena Dias de Araujo",$B:$B,"&lt;&gt;Lucas Luiz Romero")*(23/1083),IF(C59="JR",SUMIFS($D:$D,$A:$A,$A59,$B:$B,"&lt;&gt;Patrícia Karla de Sousa Araújo",$B:$B,"&lt;&gt;Lorena Dias de Araujo",$B:$B,"&lt;&gt;Lucas Luiz Romero")*(20/1083),IF(C59="Estágio",SUMIFS($D:$D,$A:$A,$A59,$B:$B,"&lt;&gt;Patrícia Karla de Sousa Araújo",$B:$B,"&lt;&gt;Lorena Dias de Araujo",$B:$B,"&lt;&gt;Lucas Luiz Romero")*(10/1083),0)))))),0)</f>
        <v/>
      </c>
      <c r="K59" s="3">
        <f>I59-J59</f>
        <v/>
      </c>
      <c r="L59" s="3">
        <f>IF(K59&lt;-5,"CRÍTICO",IF(K59&lt;0,"ATENÇÃO",IF(K59&lt;=5,"BOM","EXCELENTE")))</f>
        <v/>
      </c>
      <c r="M59" t="n">
        <v>0</v>
      </c>
      <c r="N59" t="n">
        <v>100</v>
      </c>
      <c r="O59" t="n">
        <v>29.03225806451613</v>
      </c>
    </row>
    <row r="60" hidden="1">
      <c r="A60" s="5" t="n">
        <v>46157</v>
      </c>
      <c r="B60" s="6" t="inlineStr">
        <is>
          <t>Maria Eduarda Sousa Costa</t>
        </is>
      </c>
      <c r="C60" s="3" t="inlineStr">
        <is>
          <t>Estágio</t>
        </is>
      </c>
      <c r="D60" s="3" t="n">
        <v>54</v>
      </c>
      <c r="E60" s="3" t="n">
        <v>32</v>
      </c>
      <c r="F60" t="n">
        <v>6.47</v>
      </c>
      <c r="G60" s="3" t="n">
        <v>0</v>
      </c>
      <c r="H60" s="3" t="n">
        <v>0</v>
      </c>
      <c r="I60" s="3">
        <f>E60+G60+H60</f>
        <v/>
      </c>
      <c r="J60" s="3">
        <f>ROUND(MIN(IF(C60="Técnico III",35,IF(C60="Técnico II",28,IF(C60="Técnico I",23,IF(C60="JR",20,IF(C60="Estágio",10,0))))),IF(C60="Técnico III",SUMIFS($D:$D,$A:$A,$A60,$B:$B,"&lt;&gt;Patrícia Karla de Sousa Araújo",$B:$B,"&lt;&gt;Lorena Dias de Araujo",$B:$B,"&lt;&gt;Lucas Luiz Romero")*(35/1083),IF(C60="Técnico II",SUMIFS($D:$D,$A:$A,$A60,$B:$B,"&lt;&gt;Patrícia Karla de Sousa Araújo",$B:$B,"&lt;&gt;Lorena Dias de Araujo",$B:$B,"&lt;&gt;Lucas Luiz Romero")*(28/1083),IF(C60="Técnico I",SUMIFS($D:$D,$A:$A,$A60,$B:$B,"&lt;&gt;Patrícia Karla de Sousa Araújo",$B:$B,"&lt;&gt;Lorena Dias de Araujo",$B:$B,"&lt;&gt;Lucas Luiz Romero")*(23/1083),IF(C60="JR",SUMIFS($D:$D,$A:$A,$A60,$B:$B,"&lt;&gt;Patrícia Karla de Sousa Araújo",$B:$B,"&lt;&gt;Lorena Dias de Araujo",$B:$B,"&lt;&gt;Lucas Luiz Romero")*(20/1083),IF(C60="Estágio",SUMIFS($D:$D,$A:$A,$A60,$B:$B,"&lt;&gt;Patrícia Karla de Sousa Araújo",$B:$B,"&lt;&gt;Lorena Dias de Araujo",$B:$B,"&lt;&gt;Lucas Luiz Romero")*(10/1083),0)))))),0)</f>
        <v/>
      </c>
      <c r="K60" s="3">
        <f>I60-J60</f>
        <v/>
      </c>
      <c r="L60" s="3">
        <f>IF(K60&lt;-5,"CRÍTICO",IF(K60&lt;0,"ATENÇÃO",IF(K60&lt;=5,"BOM","EXCELENTE")))</f>
        <v/>
      </c>
      <c r="M60" t="n">
        <v>1</v>
      </c>
      <c r="N60" t="n">
        <v>100</v>
      </c>
      <c r="O60" t="n">
        <v>11.86440677966102</v>
      </c>
    </row>
    <row r="61" hidden="1">
      <c r="A61" s="5" t="n">
        <v>46157</v>
      </c>
      <c r="B61" s="6" t="inlineStr">
        <is>
          <t>Michelle G Santos</t>
        </is>
      </c>
      <c r="C61" s="3" t="inlineStr">
        <is>
          <t>Estágio</t>
        </is>
      </c>
      <c r="D61" s="3" t="n">
        <v>9</v>
      </c>
      <c r="E61" s="3" t="n">
        <v>8</v>
      </c>
      <c r="F61" t="n">
        <v>39.06</v>
      </c>
      <c r="G61" s="3" t="n">
        <v>0</v>
      </c>
      <c r="H61" s="3" t="n">
        <v>0</v>
      </c>
      <c r="I61" s="3">
        <f>E61+G61+H61</f>
        <v/>
      </c>
      <c r="J61" s="3">
        <f>ROUND(MIN(IF(C61="Técnico III",35,IF(C61="Técnico II",28,IF(C61="Técnico I",23,IF(C61="JR",20,IF(C61="Estágio",10,0))))),IF(C61="Técnico III",SUMIFS($D:$D,$A:$A,$A61,$B:$B,"&lt;&gt;Patrícia Karla de Sousa Araújo",$B:$B,"&lt;&gt;Lorena Dias de Araujo",$B:$B,"&lt;&gt;Lucas Luiz Romero")*(35/1083),IF(C61="Técnico II",SUMIFS($D:$D,$A:$A,$A61,$B:$B,"&lt;&gt;Patrícia Karla de Sousa Araújo",$B:$B,"&lt;&gt;Lorena Dias de Araujo",$B:$B,"&lt;&gt;Lucas Luiz Romero")*(28/1083),IF(C61="Técnico I",SUMIFS($D:$D,$A:$A,$A61,$B:$B,"&lt;&gt;Patrícia Karla de Sousa Araújo",$B:$B,"&lt;&gt;Lorena Dias de Araujo",$B:$B,"&lt;&gt;Lucas Luiz Romero")*(23/1083),IF(C61="JR",SUMIFS($D:$D,$A:$A,$A61,$B:$B,"&lt;&gt;Patrícia Karla de Sousa Araújo",$B:$B,"&lt;&gt;Lorena Dias de Araujo",$B:$B,"&lt;&gt;Lucas Luiz Romero")*(20/1083),IF(C61="Estágio",SUMIFS($D:$D,$A:$A,$A61,$B:$B,"&lt;&gt;Patrícia Karla de Sousa Araújo",$B:$B,"&lt;&gt;Lorena Dias de Araujo",$B:$B,"&lt;&gt;Lucas Luiz Romero")*(10/1083),0)))))),0)</f>
        <v/>
      </c>
      <c r="K61" s="3">
        <f>I61-J61</f>
        <v/>
      </c>
      <c r="L61" s="3">
        <f>IF(K61&lt;-5,"CRÍTICO",IF(K61&lt;0,"ATENÇÃO",IF(K61&lt;=5,"BOM","EXCELENTE")))</f>
        <v/>
      </c>
      <c r="M61" t="n">
        <v>7</v>
      </c>
      <c r="N61" t="n">
        <v>100</v>
      </c>
      <c r="O61" t="n">
        <v>16.8141592920354</v>
      </c>
    </row>
    <row r="62" hidden="1">
      <c r="A62" s="5" t="n">
        <v>46157</v>
      </c>
      <c r="B62" s="6" t="inlineStr">
        <is>
          <t>Quirino Diogo Leite Torres</t>
        </is>
      </c>
      <c r="C62" s="3" t="inlineStr">
        <is>
          <t>Estágio</t>
        </is>
      </c>
      <c r="D62" s="3" t="n">
        <v>17</v>
      </c>
      <c r="E62" s="3" t="n">
        <v>15</v>
      </c>
      <c r="F62" t="n">
        <v>23.57</v>
      </c>
      <c r="G62" s="3" t="n">
        <v>0</v>
      </c>
      <c r="H62" s="3" t="n">
        <v>0</v>
      </c>
      <c r="I62" s="3">
        <f>E62+G62+H62</f>
        <v/>
      </c>
      <c r="J62" s="3">
        <f>ROUND(MIN(IF(C62="Técnico III",35,IF(C62="Técnico II",28,IF(C62="Técnico I",23,IF(C62="JR",20,IF(C62="Estágio",10,0))))),IF(C62="Técnico III",SUMIFS($D:$D,$A:$A,$A62,$B:$B,"&lt;&gt;Patrícia Karla de Sousa Araújo",$B:$B,"&lt;&gt;Lorena Dias de Araujo",$B:$B,"&lt;&gt;Lucas Luiz Romero")*(35/1083),IF(C62="Técnico II",SUMIFS($D:$D,$A:$A,$A62,$B:$B,"&lt;&gt;Patrícia Karla de Sousa Araújo",$B:$B,"&lt;&gt;Lorena Dias de Araujo",$B:$B,"&lt;&gt;Lucas Luiz Romero")*(28/1083),IF(C62="Técnico I",SUMIFS($D:$D,$A:$A,$A62,$B:$B,"&lt;&gt;Patrícia Karla de Sousa Araújo",$B:$B,"&lt;&gt;Lorena Dias de Araujo",$B:$B,"&lt;&gt;Lucas Luiz Romero")*(23/1083),IF(C62="JR",SUMIFS($D:$D,$A:$A,$A62,$B:$B,"&lt;&gt;Patrícia Karla de Sousa Araújo",$B:$B,"&lt;&gt;Lorena Dias de Araujo",$B:$B,"&lt;&gt;Lucas Luiz Romero")*(20/1083),IF(C62="Estágio",SUMIFS($D:$D,$A:$A,$A62,$B:$B,"&lt;&gt;Patrícia Karla de Sousa Araújo",$B:$B,"&lt;&gt;Lorena Dias de Araujo",$B:$B,"&lt;&gt;Lucas Luiz Romero")*(10/1083),0)))))),0)</f>
        <v/>
      </c>
      <c r="K62" s="3">
        <f>I62-J62</f>
        <v/>
      </c>
      <c r="L62" s="3">
        <f>IF(K62&lt;-5,"CRÍTICO",IF(K62&lt;0,"ATENÇÃO",IF(K62&lt;=5,"BOM","EXCELENTE")))</f>
        <v/>
      </c>
      <c r="M62" t="n">
        <v>14</v>
      </c>
      <c r="N62" t="n">
        <v>98.11</v>
      </c>
      <c r="O62" t="n">
        <v>20.40816326530612</v>
      </c>
    </row>
    <row r="63" hidden="1">
      <c r="A63" s="5" t="n">
        <v>46160</v>
      </c>
      <c r="B63" s="6" t="inlineStr">
        <is>
          <t>Claudio de Sousa Velasco Filho</t>
        </is>
      </c>
      <c r="C63" s="3" t="inlineStr">
        <is>
          <t>Estágio</t>
        </is>
      </c>
      <c r="D63" s="3" t="n">
        <v>6</v>
      </c>
      <c r="E63" s="3" t="n">
        <v>6</v>
      </c>
      <c r="F63" t="n">
        <v>15.59</v>
      </c>
      <c r="G63" s="3" t="n">
        <v>0</v>
      </c>
      <c r="H63" s="3" t="n">
        <v>0</v>
      </c>
      <c r="I63" s="3">
        <f>E63+G63+H63</f>
        <v/>
      </c>
      <c r="J63" s="3">
        <f>ROUND(MIN(IF(C63="Técnico III",35,IF(C63="Técnico II",28,IF(C63="Técnico I",23,IF(C63="JR",20,IF(C63="Estágio",10,0))))),IF(C63="Técnico III",SUMIFS($D:$D,$A:$A,$A63,$B:$B,"&lt;&gt;Patrícia Karla de Sousa Araújo",$B:$B,"&lt;&gt;Lorena Dias de Araujo",$B:$B,"&lt;&gt;Lucas Luiz Romero")*(35/1083),IF(C63="Técnico II",SUMIFS($D:$D,$A:$A,$A63,$B:$B,"&lt;&gt;Patrícia Karla de Sousa Araújo",$B:$B,"&lt;&gt;Lorena Dias de Araujo",$B:$B,"&lt;&gt;Lucas Luiz Romero")*(28/1083),IF(C63="Técnico I",SUMIFS($D:$D,$A:$A,$A63,$B:$B,"&lt;&gt;Patrícia Karla de Sousa Araújo",$B:$B,"&lt;&gt;Lorena Dias de Araujo",$B:$B,"&lt;&gt;Lucas Luiz Romero")*(23/1083),IF(C63="JR",SUMIFS($D:$D,$A:$A,$A63,$B:$B,"&lt;&gt;Patrícia Karla de Sousa Araújo",$B:$B,"&lt;&gt;Lorena Dias de Araujo",$B:$B,"&lt;&gt;Lucas Luiz Romero")*(20/1083),IF(C63="Estágio",SUMIFS($D:$D,$A:$A,$A63,$B:$B,"&lt;&gt;Patrícia Karla de Sousa Araújo",$B:$B,"&lt;&gt;Lorena Dias de Araujo",$B:$B,"&lt;&gt;Lucas Luiz Romero")*(10/1083),0)))))),0)</f>
        <v/>
      </c>
      <c r="K63" s="3">
        <f>I63-J63</f>
        <v/>
      </c>
      <c r="L63" s="3">
        <f>IF(K63&lt;-5,"CRÍTICO",IF(K63&lt;0,"ATENÇÃO",IF(K63&lt;=5,"BOM","EXCELENTE")))</f>
        <v/>
      </c>
      <c r="M63" t="n">
        <v>6</v>
      </c>
      <c r="N63" t="n">
        <v>96.43000000000001</v>
      </c>
      <c r="O63" t="n">
        <v>20</v>
      </c>
    </row>
    <row r="64" hidden="1">
      <c r="A64" s="5" t="n">
        <v>46160</v>
      </c>
      <c r="B64" s="6" t="inlineStr">
        <is>
          <t>Emilly Caylane Costa</t>
        </is>
      </c>
      <c r="C64" s="3" t="inlineStr">
        <is>
          <t>Estágio</t>
        </is>
      </c>
      <c r="D64" s="3" t="n">
        <v>32</v>
      </c>
      <c r="E64" s="3" t="n">
        <v>13</v>
      </c>
      <c r="F64" t="n">
        <v>4.16</v>
      </c>
      <c r="G64" s="3" t="n">
        <v>0</v>
      </c>
      <c r="H64" s="3" t="n">
        <v>0</v>
      </c>
      <c r="I64" s="3">
        <f>E64+G64+H64</f>
        <v/>
      </c>
      <c r="J64" s="3">
        <f>ROUND(MIN(IF(C64="Técnico III",35,IF(C64="Técnico II",28,IF(C64="Técnico I",23,IF(C64="JR",20,IF(C64="Estágio",10,0))))),IF(C64="Técnico III",SUMIFS($D:$D,$A:$A,$A64,$B:$B,"&lt;&gt;Patrícia Karla de Sousa Araújo",$B:$B,"&lt;&gt;Lorena Dias de Araujo",$B:$B,"&lt;&gt;Lucas Luiz Romero")*(35/1083),IF(C64="Técnico II",SUMIFS($D:$D,$A:$A,$A64,$B:$B,"&lt;&gt;Patrícia Karla de Sousa Araújo",$B:$B,"&lt;&gt;Lorena Dias de Araujo",$B:$B,"&lt;&gt;Lucas Luiz Romero")*(28/1083),IF(C64="Técnico I",SUMIFS($D:$D,$A:$A,$A64,$B:$B,"&lt;&gt;Patrícia Karla de Sousa Araújo",$B:$B,"&lt;&gt;Lorena Dias de Araujo",$B:$B,"&lt;&gt;Lucas Luiz Romero")*(23/1083),IF(C64="JR",SUMIFS($D:$D,$A:$A,$A64,$B:$B,"&lt;&gt;Patrícia Karla de Sousa Araújo",$B:$B,"&lt;&gt;Lorena Dias de Araujo",$B:$B,"&lt;&gt;Lucas Luiz Romero")*(20/1083),IF(C64="Estágio",SUMIFS($D:$D,$A:$A,$A64,$B:$B,"&lt;&gt;Patrícia Karla de Sousa Araújo",$B:$B,"&lt;&gt;Lorena Dias de Araujo",$B:$B,"&lt;&gt;Lucas Luiz Romero")*(10/1083),0)))))),0)</f>
        <v/>
      </c>
      <c r="K64" s="3">
        <f>I64-J64</f>
        <v/>
      </c>
      <c r="L64" s="3">
        <f>IF(K64&lt;-5,"CRÍTICO",IF(K64&lt;0,"ATENÇÃO",IF(K64&lt;=5,"BOM","EXCELENTE")))</f>
        <v/>
      </c>
      <c r="M64" t="n">
        <v>0</v>
      </c>
      <c r="N64" t="n">
        <v>100</v>
      </c>
      <c r="O64" t="n">
        <v>29.03225806451613</v>
      </c>
    </row>
    <row r="65" hidden="1">
      <c r="A65" s="5" t="n">
        <v>46160</v>
      </c>
      <c r="B65" s="6" t="inlineStr">
        <is>
          <t>Maria Eduarda Sousa Costa</t>
        </is>
      </c>
      <c r="C65" s="3" t="inlineStr">
        <is>
          <t>Estágio</t>
        </is>
      </c>
      <c r="D65" s="3" t="n">
        <v>72</v>
      </c>
      <c r="E65" s="3" t="n">
        <v>45</v>
      </c>
      <c r="F65" t="n">
        <v>8.210000000000001</v>
      </c>
      <c r="G65" s="3" t="n">
        <v>0</v>
      </c>
      <c r="H65" s="3" t="n">
        <v>0</v>
      </c>
      <c r="I65" s="3">
        <f>E65+G65+H65</f>
        <v/>
      </c>
      <c r="J65" s="3">
        <f>ROUND(MIN(IF(C65="Técnico III",35,IF(C65="Técnico II",28,IF(C65="Técnico I",23,IF(C65="JR",20,IF(C65="Estágio",10,0))))),IF(C65="Técnico III",SUMIFS($D:$D,$A:$A,$A65,$B:$B,"&lt;&gt;Patrícia Karla de Sousa Araújo",$B:$B,"&lt;&gt;Lorena Dias de Araujo",$B:$B,"&lt;&gt;Lucas Luiz Romero")*(35/1083),IF(C65="Técnico II",SUMIFS($D:$D,$A:$A,$A65,$B:$B,"&lt;&gt;Patrícia Karla de Sousa Araújo",$B:$B,"&lt;&gt;Lorena Dias de Araujo",$B:$B,"&lt;&gt;Lucas Luiz Romero")*(28/1083),IF(C65="Técnico I",SUMIFS($D:$D,$A:$A,$A65,$B:$B,"&lt;&gt;Patrícia Karla de Sousa Araújo",$B:$B,"&lt;&gt;Lorena Dias de Araujo",$B:$B,"&lt;&gt;Lucas Luiz Romero")*(23/1083),IF(C65="JR",SUMIFS($D:$D,$A:$A,$A65,$B:$B,"&lt;&gt;Patrícia Karla de Sousa Araújo",$B:$B,"&lt;&gt;Lorena Dias de Araujo",$B:$B,"&lt;&gt;Lucas Luiz Romero")*(20/1083),IF(C65="Estágio",SUMIFS($D:$D,$A:$A,$A65,$B:$B,"&lt;&gt;Patrícia Karla de Sousa Araújo",$B:$B,"&lt;&gt;Lorena Dias de Araujo",$B:$B,"&lt;&gt;Lucas Luiz Romero")*(10/1083),0)))))),0)</f>
        <v/>
      </c>
      <c r="K65" s="3">
        <f>I65-J65</f>
        <v/>
      </c>
      <c r="L65" s="3">
        <f>IF(K65&lt;-5,"CRÍTICO",IF(K65&lt;0,"ATENÇÃO",IF(K65&lt;=5,"BOM","EXCELENTE")))</f>
        <v/>
      </c>
      <c r="M65" t="n">
        <v>11</v>
      </c>
      <c r="N65" t="n">
        <v>100</v>
      </c>
      <c r="O65" t="n">
        <v>11.86440677966102</v>
      </c>
    </row>
    <row r="66" hidden="1">
      <c r="A66" s="11" t="n">
        <v>46027</v>
      </c>
      <c r="B66" t="inlineStr">
        <is>
          <t>Gabriel Gomes de Andrade</t>
        </is>
      </c>
      <c r="C66" t="inlineStr">
        <is>
          <t>Técnico I</t>
        </is>
      </c>
      <c r="D66" t="n">
        <v>21</v>
      </c>
      <c r="E66" t="n">
        <v>19</v>
      </c>
      <c r="F66" t="n">
        <v>21.5</v>
      </c>
      <c r="G66" t="n">
        <v>0</v>
      </c>
      <c r="H66" t="n">
        <v>0</v>
      </c>
      <c r="I66" s="3">
        <f>E66+G66+H66</f>
        <v/>
      </c>
      <c r="J66" s="3">
        <f>ROUND(MIN(IF(C66="Técnico III",35,IF(C66="Técnico II",28,IF(C66="Técnico I",23,IF(C66="JR",20,IF(C66="Estágio",10,0))))),IF(C66="Técnico III",SUMIFS($D:$D,$A:$A,$A66,$B:$B,"&lt;&gt;Patrícia Karla de Sousa Araújo",$B:$B,"&lt;&gt;Lorena Dias de Araujo",$B:$B,"&lt;&gt;Lucas Luiz Romero")*(35/1083),IF(C66="Técnico II",SUMIFS($D:$D,$A:$A,$A66,$B:$B,"&lt;&gt;Patrícia Karla de Sousa Araújo",$B:$B,"&lt;&gt;Lorena Dias de Araujo",$B:$B,"&lt;&gt;Lucas Luiz Romero")*(28/1083),IF(C66="Técnico I",SUMIFS($D:$D,$A:$A,$A66,$B:$B,"&lt;&gt;Patrícia Karla de Sousa Araújo",$B:$B,"&lt;&gt;Lorena Dias de Araujo",$B:$B,"&lt;&gt;Lucas Luiz Romero")*(23/1083),IF(C66="JR",SUMIFS($D:$D,$A:$A,$A66,$B:$B,"&lt;&gt;Patrícia Karla de Sousa Araújo",$B:$B,"&lt;&gt;Lorena Dias de Araujo",$B:$B,"&lt;&gt;Lucas Luiz Romero")*(20/1083),IF(C66="Estágio",SUMIFS($D:$D,$A:$A,$A66,$B:$B,"&lt;&gt;Patrícia Karla de Sousa Araújo",$B:$B,"&lt;&gt;Lorena Dias de Araujo",$B:$B,"&lt;&gt;Lucas Luiz Romero")*(10/1083),0)))))),0)</f>
        <v/>
      </c>
      <c r="K66" s="3">
        <f>I66-J66</f>
        <v/>
      </c>
      <c r="L66" s="3">
        <f>IF(K66&lt;-5,"CRÍTICO",IF(K66&lt;0,"ATENÇÃO",IF(K66&lt;=5,"BOM","EXCELENTE")))</f>
        <v/>
      </c>
      <c r="N66" t="n">
        <v>98.91</v>
      </c>
      <c r="O66" t="n">
        <v>31.36729222520107</v>
      </c>
    </row>
    <row r="67" hidden="1">
      <c r="A67" s="5" t="n">
        <v>46160</v>
      </c>
      <c r="B67" s="6" t="inlineStr">
        <is>
          <t>Michelle G Santos</t>
        </is>
      </c>
      <c r="C67" s="3" t="inlineStr">
        <is>
          <t>Estágio</t>
        </is>
      </c>
      <c r="D67" s="3" t="n">
        <v>7</v>
      </c>
      <c r="E67" s="3" t="n">
        <v>7</v>
      </c>
      <c r="F67" t="n">
        <v>30.49</v>
      </c>
      <c r="G67" s="3" t="n">
        <v>0</v>
      </c>
      <c r="H67" s="3" t="n">
        <v>0</v>
      </c>
      <c r="I67" s="3">
        <f>E67+G67+H67</f>
        <v/>
      </c>
      <c r="J67" s="3">
        <f>ROUND(MIN(IF(C67="Técnico III",35,IF(C67="Técnico II",28,IF(C67="Técnico I",23,IF(C67="JR",20,IF(C67="Estágio",10,0))))),IF(C67="Técnico III",SUMIFS($D:$D,$A:$A,$A67,$B:$B,"&lt;&gt;Patrícia Karla de Sousa Araújo",$B:$B,"&lt;&gt;Lorena Dias de Araujo",$B:$B,"&lt;&gt;Lucas Luiz Romero")*(35/1083),IF(C67="Técnico II",SUMIFS($D:$D,$A:$A,$A67,$B:$B,"&lt;&gt;Patrícia Karla de Sousa Araújo",$B:$B,"&lt;&gt;Lorena Dias de Araujo",$B:$B,"&lt;&gt;Lucas Luiz Romero")*(28/1083),IF(C67="Técnico I",SUMIFS($D:$D,$A:$A,$A67,$B:$B,"&lt;&gt;Patrícia Karla de Sousa Araújo",$B:$B,"&lt;&gt;Lorena Dias de Araujo",$B:$B,"&lt;&gt;Lucas Luiz Romero")*(23/1083),IF(C67="JR",SUMIFS($D:$D,$A:$A,$A67,$B:$B,"&lt;&gt;Patrícia Karla de Sousa Araújo",$B:$B,"&lt;&gt;Lorena Dias de Araujo",$B:$B,"&lt;&gt;Lucas Luiz Romero")*(20/1083),IF(C67="Estágio",SUMIFS($D:$D,$A:$A,$A67,$B:$B,"&lt;&gt;Patrícia Karla de Sousa Araújo",$B:$B,"&lt;&gt;Lorena Dias de Araujo",$B:$B,"&lt;&gt;Lucas Luiz Romero")*(10/1083),0)))))),0)</f>
        <v/>
      </c>
      <c r="K67" s="3">
        <f>I67-J67</f>
        <v/>
      </c>
      <c r="L67" s="3">
        <f>IF(K67&lt;-5,"CRÍTICO",IF(K67&lt;0,"ATENÇÃO",IF(K67&lt;=5,"BOM","EXCELENTE")))</f>
        <v/>
      </c>
      <c r="M67" t="n">
        <v>6</v>
      </c>
      <c r="N67" t="n">
        <v>100</v>
      </c>
      <c r="O67" t="n">
        <v>16.8141592920354</v>
      </c>
    </row>
    <row r="68" hidden="1">
      <c r="A68" s="5" t="n">
        <v>46160</v>
      </c>
      <c r="B68" s="6" t="inlineStr">
        <is>
          <t>Quirino Diogo Leite Torres</t>
        </is>
      </c>
      <c r="C68" s="3" t="inlineStr">
        <is>
          <t>Estágio</t>
        </is>
      </c>
      <c r="D68" s="3" t="n">
        <v>14</v>
      </c>
      <c r="E68" s="3" t="n">
        <v>13</v>
      </c>
      <c r="F68" t="n">
        <v>29.09</v>
      </c>
      <c r="G68" s="3" t="n">
        <v>0</v>
      </c>
      <c r="H68" s="3" t="n">
        <v>0</v>
      </c>
      <c r="I68" s="3">
        <f>E68+G68+H68</f>
        <v/>
      </c>
      <c r="J68" s="3">
        <f>ROUND(MIN(IF(C68="Técnico III",35,IF(C68="Técnico II",28,IF(C68="Técnico I",23,IF(C68="JR",20,IF(C68="Estágio",10,0))))),IF(C68="Técnico III",SUMIFS($D:$D,$A:$A,$A68,$B:$B,"&lt;&gt;Patrícia Karla de Sousa Araújo",$B:$B,"&lt;&gt;Lorena Dias de Araujo",$B:$B,"&lt;&gt;Lucas Luiz Romero")*(35/1083),IF(C68="Técnico II",SUMIFS($D:$D,$A:$A,$A68,$B:$B,"&lt;&gt;Patrícia Karla de Sousa Araújo",$B:$B,"&lt;&gt;Lorena Dias de Araujo",$B:$B,"&lt;&gt;Lucas Luiz Romero")*(28/1083),IF(C68="Técnico I",SUMIFS($D:$D,$A:$A,$A68,$B:$B,"&lt;&gt;Patrícia Karla de Sousa Araújo",$B:$B,"&lt;&gt;Lorena Dias de Araujo",$B:$B,"&lt;&gt;Lucas Luiz Romero")*(23/1083),IF(C68="JR",SUMIFS($D:$D,$A:$A,$A68,$B:$B,"&lt;&gt;Patrícia Karla de Sousa Araújo",$B:$B,"&lt;&gt;Lorena Dias de Araujo",$B:$B,"&lt;&gt;Lucas Luiz Romero")*(20/1083),IF(C68="Estágio",SUMIFS($D:$D,$A:$A,$A68,$B:$B,"&lt;&gt;Patrícia Karla de Sousa Araújo",$B:$B,"&lt;&gt;Lorena Dias de Araujo",$B:$B,"&lt;&gt;Lucas Luiz Romero")*(10/1083),0)))))),0)</f>
        <v/>
      </c>
      <c r="K68" s="3">
        <f>I68-J68</f>
        <v/>
      </c>
      <c r="L68" s="3">
        <f>IF(K68&lt;-5,"CRÍTICO",IF(K68&lt;0,"ATENÇÃO",IF(K68&lt;=5,"BOM","EXCELENTE")))</f>
        <v/>
      </c>
      <c r="M68" t="n">
        <v>9</v>
      </c>
      <c r="N68" t="n">
        <v>98.11</v>
      </c>
      <c r="O68" t="n">
        <v>20.40816326530612</v>
      </c>
    </row>
    <row r="69" hidden="1">
      <c r="A69" s="7" t="n">
        <v>46161</v>
      </c>
      <c r="B69" s="8" t="inlineStr">
        <is>
          <t>Claudio de Sousa Velasco Filho</t>
        </is>
      </c>
      <c r="C69" s="9" t="inlineStr">
        <is>
          <t>Estágio</t>
        </is>
      </c>
      <c r="D69" s="3" t="n">
        <v>9</v>
      </c>
      <c r="E69" s="3" t="n">
        <v>9</v>
      </c>
      <c r="F69" t="n">
        <v>25.28</v>
      </c>
      <c r="G69" s="3" t="n">
        <v>0</v>
      </c>
      <c r="H69" s="3" t="n">
        <v>0</v>
      </c>
      <c r="I69" s="3">
        <f>E69+G69+H69</f>
        <v/>
      </c>
      <c r="J69" s="3">
        <f>ROUND(MIN(IF(C69="Técnico III",35,IF(C69="Técnico II",28,IF(C69="Técnico I",23,IF(C69="JR",20,IF(C69="Estágio",10,0))))),IF(C69="Técnico III",SUMIFS($D:$D,$A:$A,$A69,$B:$B,"&lt;&gt;Patrícia Karla de Sousa Araújo",$B:$B,"&lt;&gt;Lorena Dias de Araujo",$B:$B,"&lt;&gt;Lucas Luiz Romero")*(35/1083),IF(C69="Técnico II",SUMIFS($D:$D,$A:$A,$A69,$B:$B,"&lt;&gt;Patrícia Karla de Sousa Araújo",$B:$B,"&lt;&gt;Lorena Dias de Araujo",$B:$B,"&lt;&gt;Lucas Luiz Romero")*(28/1083),IF(C69="Técnico I",SUMIFS($D:$D,$A:$A,$A69,$B:$B,"&lt;&gt;Patrícia Karla de Sousa Araújo",$B:$B,"&lt;&gt;Lorena Dias de Araujo",$B:$B,"&lt;&gt;Lucas Luiz Romero")*(23/1083),IF(C69="JR",SUMIFS($D:$D,$A:$A,$A69,$B:$B,"&lt;&gt;Patrícia Karla de Sousa Araújo",$B:$B,"&lt;&gt;Lorena Dias de Araujo",$B:$B,"&lt;&gt;Lucas Luiz Romero")*(20/1083),IF(C69="Estágio",SUMIFS($D:$D,$A:$A,$A69,$B:$B,"&lt;&gt;Patrícia Karla de Sousa Araújo",$B:$B,"&lt;&gt;Lorena Dias de Araujo",$B:$B,"&lt;&gt;Lucas Luiz Romero")*(10/1083),0)))))),0)</f>
        <v/>
      </c>
      <c r="K69" s="3">
        <f>I69-J69</f>
        <v/>
      </c>
      <c r="L69" s="3">
        <f>IF(K69&lt;-5,"CRÍTICO",IF(K69&lt;0,"ATENÇÃO",IF(K69&lt;=5,"BOM","EXCELENTE")))</f>
        <v/>
      </c>
      <c r="M69" t="n">
        <v>7</v>
      </c>
      <c r="N69" t="n">
        <v>96.43000000000001</v>
      </c>
      <c r="O69" t="n">
        <v>20</v>
      </c>
    </row>
    <row r="70" hidden="1">
      <c r="A70" s="7" t="n">
        <v>46161</v>
      </c>
      <c r="B70" s="8" t="inlineStr">
        <is>
          <t>Emilly Caylane Costa</t>
        </is>
      </c>
      <c r="C70" s="9" t="inlineStr">
        <is>
          <t>Estágio</t>
        </is>
      </c>
      <c r="D70" s="3" t="n">
        <v>17</v>
      </c>
      <c r="E70" s="3" t="n">
        <v>5</v>
      </c>
      <c r="F70" t="n">
        <v>2.2</v>
      </c>
      <c r="G70" s="3" t="n">
        <v>0</v>
      </c>
      <c r="H70" s="3" t="n">
        <v>0</v>
      </c>
      <c r="I70" s="3">
        <f>E70+G70+H70</f>
        <v/>
      </c>
      <c r="J70" s="3">
        <f>ROUND(MIN(IF(C70="Técnico III",35,IF(C70="Técnico II",28,IF(C70="Técnico I",23,IF(C70="JR",20,IF(C70="Estágio",10,0))))),IF(C70="Técnico III",SUMIFS($D:$D,$A:$A,$A70,$B:$B,"&lt;&gt;Patrícia Karla de Sousa Araújo",$B:$B,"&lt;&gt;Lorena Dias de Araujo",$B:$B,"&lt;&gt;Lucas Luiz Romero")*(35/1083),IF(C70="Técnico II",SUMIFS($D:$D,$A:$A,$A70,$B:$B,"&lt;&gt;Patrícia Karla de Sousa Araújo",$B:$B,"&lt;&gt;Lorena Dias de Araujo",$B:$B,"&lt;&gt;Lucas Luiz Romero")*(28/1083),IF(C70="Técnico I",SUMIFS($D:$D,$A:$A,$A70,$B:$B,"&lt;&gt;Patrícia Karla de Sousa Araújo",$B:$B,"&lt;&gt;Lorena Dias de Araujo",$B:$B,"&lt;&gt;Lucas Luiz Romero")*(23/1083),IF(C70="JR",SUMIFS($D:$D,$A:$A,$A70,$B:$B,"&lt;&gt;Patrícia Karla de Sousa Araújo",$B:$B,"&lt;&gt;Lorena Dias de Araujo",$B:$B,"&lt;&gt;Lucas Luiz Romero")*(20/1083),IF(C70="Estágio",SUMIFS($D:$D,$A:$A,$A70,$B:$B,"&lt;&gt;Patrícia Karla de Sousa Araújo",$B:$B,"&lt;&gt;Lorena Dias de Araujo",$B:$B,"&lt;&gt;Lucas Luiz Romero")*(10/1083),0)))))),0)</f>
        <v/>
      </c>
      <c r="K70" s="3">
        <f>I70-J70</f>
        <v/>
      </c>
      <c r="L70" s="3">
        <f>IF(K70&lt;-5,"CRÍTICO",IF(K70&lt;0,"ATENÇÃO",IF(K70&lt;=5,"BOM","EXCELENTE")))</f>
        <v/>
      </c>
      <c r="M70" t="n">
        <v>0</v>
      </c>
      <c r="N70" t="n">
        <v>100</v>
      </c>
      <c r="O70" t="n">
        <v>29.03225806451613</v>
      </c>
    </row>
    <row r="71" hidden="1">
      <c r="A71" s="7" t="n">
        <v>46161</v>
      </c>
      <c r="B71" s="8" t="inlineStr">
        <is>
          <t>Maria Eduarda Sousa Costa</t>
        </is>
      </c>
      <c r="C71" s="9" t="inlineStr">
        <is>
          <t>Estágio</t>
        </is>
      </c>
      <c r="D71" s="3" t="n">
        <v>36</v>
      </c>
      <c r="E71" s="3" t="n">
        <v>24</v>
      </c>
      <c r="F71" t="n">
        <v>13.26</v>
      </c>
      <c r="G71" s="3" t="n">
        <v>0</v>
      </c>
      <c r="H71" s="3" t="n">
        <v>0</v>
      </c>
      <c r="I71" s="3">
        <f>E71+G71+H71</f>
        <v/>
      </c>
      <c r="J71" s="3">
        <f>ROUND(MIN(IF(C71="Técnico III",35,IF(C71="Técnico II",28,IF(C71="Técnico I",23,IF(C71="JR",20,IF(C71="Estágio",10,0))))),IF(C71="Técnico III",SUMIFS($D:$D,$A:$A,$A71,$B:$B,"&lt;&gt;Patrícia Karla de Sousa Araújo",$B:$B,"&lt;&gt;Lorena Dias de Araujo",$B:$B,"&lt;&gt;Lucas Luiz Romero")*(35/1083),IF(C71="Técnico II",SUMIFS($D:$D,$A:$A,$A71,$B:$B,"&lt;&gt;Patrícia Karla de Sousa Araújo",$B:$B,"&lt;&gt;Lorena Dias de Araujo",$B:$B,"&lt;&gt;Lucas Luiz Romero")*(28/1083),IF(C71="Técnico I",SUMIFS($D:$D,$A:$A,$A71,$B:$B,"&lt;&gt;Patrícia Karla de Sousa Araújo",$B:$B,"&lt;&gt;Lorena Dias de Araujo",$B:$B,"&lt;&gt;Lucas Luiz Romero")*(23/1083),IF(C71="JR",SUMIFS($D:$D,$A:$A,$A71,$B:$B,"&lt;&gt;Patrícia Karla de Sousa Araújo",$B:$B,"&lt;&gt;Lorena Dias de Araujo",$B:$B,"&lt;&gt;Lucas Luiz Romero")*(20/1083),IF(C71="Estágio",SUMIFS($D:$D,$A:$A,$A71,$B:$B,"&lt;&gt;Patrícia Karla de Sousa Araújo",$B:$B,"&lt;&gt;Lorena Dias de Araujo",$B:$B,"&lt;&gt;Lucas Luiz Romero")*(10/1083),0)))))),0)</f>
        <v/>
      </c>
      <c r="K71" s="3">
        <f>I71-J71</f>
        <v/>
      </c>
      <c r="L71" s="3">
        <f>IF(K71&lt;-5,"CRÍTICO",IF(K71&lt;0,"ATENÇÃO",IF(K71&lt;=5,"BOM","EXCELENTE")))</f>
        <v/>
      </c>
      <c r="M71" t="n">
        <v>12</v>
      </c>
      <c r="N71" t="n">
        <v>100</v>
      </c>
      <c r="O71" t="n">
        <v>11.86440677966102</v>
      </c>
    </row>
    <row r="72" hidden="1">
      <c r="A72" s="7" t="n">
        <v>46161</v>
      </c>
      <c r="B72" s="8" t="inlineStr">
        <is>
          <t>Michelle G Santos</t>
        </is>
      </c>
      <c r="C72" s="9" t="inlineStr">
        <is>
          <t>Estágio</t>
        </is>
      </c>
      <c r="D72" s="3" t="n">
        <v>15</v>
      </c>
      <c r="E72" s="3" t="n">
        <v>13</v>
      </c>
      <c r="F72" t="n">
        <v>21.51</v>
      </c>
      <c r="G72" s="3" t="n">
        <v>0</v>
      </c>
      <c r="H72" s="3" t="n">
        <v>0</v>
      </c>
      <c r="I72" s="3">
        <f>E72+G72+H72</f>
        <v/>
      </c>
      <c r="J72" s="3">
        <f>ROUND(MIN(IF(C72="Técnico III",35,IF(C72="Técnico II",28,IF(C72="Técnico I",23,IF(C72="JR",20,IF(C72="Estágio",10,0))))),IF(C72="Técnico III",SUMIFS($D:$D,$A:$A,$A72,$B:$B,"&lt;&gt;Patrícia Karla de Sousa Araújo",$B:$B,"&lt;&gt;Lorena Dias de Araujo",$B:$B,"&lt;&gt;Lucas Luiz Romero")*(35/1083),IF(C72="Técnico II",SUMIFS($D:$D,$A:$A,$A72,$B:$B,"&lt;&gt;Patrícia Karla de Sousa Araújo",$B:$B,"&lt;&gt;Lorena Dias de Araujo",$B:$B,"&lt;&gt;Lucas Luiz Romero")*(28/1083),IF(C72="Técnico I",SUMIFS($D:$D,$A:$A,$A72,$B:$B,"&lt;&gt;Patrícia Karla de Sousa Araújo",$B:$B,"&lt;&gt;Lorena Dias de Araujo",$B:$B,"&lt;&gt;Lucas Luiz Romero")*(23/1083),IF(C72="JR",SUMIFS($D:$D,$A:$A,$A72,$B:$B,"&lt;&gt;Patrícia Karla de Sousa Araújo",$B:$B,"&lt;&gt;Lorena Dias de Araujo",$B:$B,"&lt;&gt;Lucas Luiz Romero")*(20/1083),IF(C72="Estágio",SUMIFS($D:$D,$A:$A,$A72,$B:$B,"&lt;&gt;Patrícia Karla de Sousa Araújo",$B:$B,"&lt;&gt;Lorena Dias de Araujo",$B:$B,"&lt;&gt;Lucas Luiz Romero")*(10/1083),0)))))),0)</f>
        <v/>
      </c>
      <c r="K72" s="3">
        <f>I72-J72</f>
        <v/>
      </c>
      <c r="L72" s="3">
        <f>IF(K72&lt;-5,"CRÍTICO",IF(K72&lt;0,"ATENÇÃO",IF(K72&lt;=5,"BOM","EXCELENTE")))</f>
        <v/>
      </c>
      <c r="M72" t="n">
        <v>9</v>
      </c>
      <c r="N72" t="n">
        <v>100</v>
      </c>
      <c r="O72" t="n">
        <v>16.8141592920354</v>
      </c>
    </row>
    <row r="73" hidden="1">
      <c r="A73" s="7" t="n">
        <v>46161</v>
      </c>
      <c r="B73" s="8" t="inlineStr">
        <is>
          <t>Quirino Diogo Leite Torres</t>
        </is>
      </c>
      <c r="C73" s="9" t="inlineStr">
        <is>
          <t>Estágio</t>
        </is>
      </c>
      <c r="D73" s="3" t="n">
        <v>20</v>
      </c>
      <c r="E73" s="3" t="n">
        <v>19</v>
      </c>
      <c r="F73" t="n">
        <v>25.31</v>
      </c>
      <c r="G73" s="3" t="n">
        <v>0</v>
      </c>
      <c r="H73" s="3" t="n">
        <v>0</v>
      </c>
      <c r="I73" s="3">
        <f>E73+G73+H73</f>
        <v/>
      </c>
      <c r="J73" s="3">
        <f>ROUND(MIN(IF(C73="Técnico III",35,IF(C73="Técnico II",28,IF(C73="Técnico I",23,IF(C73="JR",20,IF(C73="Estágio",10,0))))),IF(C73="Técnico III",SUMIFS($D:$D,$A:$A,$A73,$B:$B,"&lt;&gt;Patrícia Karla de Sousa Araújo",$B:$B,"&lt;&gt;Lorena Dias de Araujo",$B:$B,"&lt;&gt;Lucas Luiz Romero")*(35/1083),IF(C73="Técnico II",SUMIFS($D:$D,$A:$A,$A73,$B:$B,"&lt;&gt;Patrícia Karla de Sousa Araújo",$B:$B,"&lt;&gt;Lorena Dias de Araujo",$B:$B,"&lt;&gt;Lucas Luiz Romero")*(28/1083),IF(C73="Técnico I",SUMIFS($D:$D,$A:$A,$A73,$B:$B,"&lt;&gt;Patrícia Karla de Sousa Araújo",$B:$B,"&lt;&gt;Lorena Dias de Araujo",$B:$B,"&lt;&gt;Lucas Luiz Romero")*(23/1083),IF(C73="JR",SUMIFS($D:$D,$A:$A,$A73,$B:$B,"&lt;&gt;Patrícia Karla de Sousa Araújo",$B:$B,"&lt;&gt;Lorena Dias de Araujo",$B:$B,"&lt;&gt;Lucas Luiz Romero")*(20/1083),IF(C73="Estágio",SUMIFS($D:$D,$A:$A,$A73,$B:$B,"&lt;&gt;Patrícia Karla de Sousa Araújo",$B:$B,"&lt;&gt;Lorena Dias de Araujo",$B:$B,"&lt;&gt;Lucas Luiz Romero")*(10/1083),0)))))),0)</f>
        <v/>
      </c>
      <c r="K73" s="3">
        <f>I73-J73</f>
        <v/>
      </c>
      <c r="L73" s="3">
        <f>IF(K73&lt;-5,"CRÍTICO",IF(K73&lt;0,"ATENÇÃO",IF(K73&lt;=5,"BOM","EXCELENTE")))</f>
        <v/>
      </c>
      <c r="M73" t="n">
        <v>16</v>
      </c>
      <c r="N73" t="n">
        <v>98.11</v>
      </c>
      <c r="O73" t="n">
        <v>20.40816326530612</v>
      </c>
    </row>
    <row r="74" hidden="1">
      <c r="A74" s="7" t="n">
        <v>46162</v>
      </c>
      <c r="B74" s="8" t="inlineStr">
        <is>
          <t>Claudio de Sousa Velasco Filho</t>
        </is>
      </c>
      <c r="C74" s="9" t="inlineStr">
        <is>
          <t>Estágio</t>
        </is>
      </c>
      <c r="D74" s="3" t="n">
        <v>11</v>
      </c>
      <c r="E74" s="3" t="n">
        <v>10</v>
      </c>
      <c r="F74" s="3" t="n">
        <v>20.44</v>
      </c>
      <c r="G74" s="3" t="n">
        <v>0</v>
      </c>
      <c r="H74" s="3" t="n">
        <v>0</v>
      </c>
      <c r="I74" s="3">
        <f>E74+G74+H74</f>
        <v/>
      </c>
      <c r="J74" s="3">
        <f>ROUND(MIN(IF(C74="Técnico III",35,IF(C74="Técnico II",28,IF(C74="Técnico I",23,IF(C74="JR",20,IF(C74="Estágio",10,0))))),IF(C74="Técnico III",SUMIFS($D:$D,$A:$A,$A74,$B:$B,"&lt;&gt;Patrícia Karla de Sousa Araújo",$B:$B,"&lt;&gt;Lorena Dias de Araujo",$B:$B,"&lt;&gt;Lucas Luiz Romero")*(35/1083),IF(C74="Técnico II",SUMIFS($D:$D,$A:$A,$A74,$B:$B,"&lt;&gt;Patrícia Karla de Sousa Araújo",$B:$B,"&lt;&gt;Lorena Dias de Araujo",$B:$B,"&lt;&gt;Lucas Luiz Romero")*(28/1083),IF(C74="Técnico I",SUMIFS($D:$D,$A:$A,$A74,$B:$B,"&lt;&gt;Patrícia Karla de Sousa Araújo",$B:$B,"&lt;&gt;Lorena Dias de Araujo",$B:$B,"&lt;&gt;Lucas Luiz Romero")*(23/1083),IF(C74="JR",SUMIFS($D:$D,$A:$A,$A74,$B:$B,"&lt;&gt;Patrícia Karla de Sousa Araújo",$B:$B,"&lt;&gt;Lorena Dias de Araujo",$B:$B,"&lt;&gt;Lucas Luiz Romero")*(20/1083),IF(C74="Estágio",SUMIFS($D:$D,$A:$A,$A74,$B:$B,"&lt;&gt;Patrícia Karla de Sousa Araújo",$B:$B,"&lt;&gt;Lorena Dias de Araujo",$B:$B,"&lt;&gt;Lucas Luiz Romero")*(10/1083),0)))))),0)</f>
        <v/>
      </c>
      <c r="K74" s="3">
        <f>I74-J74</f>
        <v/>
      </c>
      <c r="L74" s="3">
        <f>IF(K74&lt;-5,"CRÍTICO",IF(K74&lt;0,"ATENÇÃO",IF(K74&lt;=5,"OPORTUNO","MUITO BOM")))</f>
        <v/>
      </c>
      <c r="M74" s="9" t="n">
        <v>8</v>
      </c>
      <c r="N74" s="9" t="n">
        <v>96.43000000000001</v>
      </c>
      <c r="O74" s="9" t="n">
        <v>20</v>
      </c>
    </row>
    <row r="75" hidden="1">
      <c r="A75" s="7" t="n">
        <v>46162</v>
      </c>
      <c r="B75" s="8" t="inlineStr">
        <is>
          <t>Emilly Caylane Costa</t>
        </is>
      </c>
      <c r="C75" s="9" t="inlineStr">
        <is>
          <t>Estágio</t>
        </is>
      </c>
      <c r="D75" s="3" t="n">
        <v>10</v>
      </c>
      <c r="E75" s="3" t="n">
        <v>4</v>
      </c>
      <c r="F75" s="3" t="n">
        <v>3.22</v>
      </c>
      <c r="G75" s="3" t="n">
        <v>0</v>
      </c>
      <c r="H75" s="3" t="n">
        <v>0</v>
      </c>
      <c r="I75" s="3">
        <f>E75+G75+H75</f>
        <v/>
      </c>
      <c r="J75" s="3">
        <f>ROUND(MIN(IF(C75="Técnico III",35,IF(C75="Técnico II",28,IF(C75="Técnico I",23,IF(C75="JR",20,IF(C75="Estágio",10,0))))),IF(C75="Técnico III",SUMIFS($D:$D,$A:$A,$A75,$B:$B,"&lt;&gt;Patrícia Karla de Sousa Araújo",$B:$B,"&lt;&gt;Lorena Dias de Araujo",$B:$B,"&lt;&gt;Lucas Luiz Romero")*(35/1083),IF(C75="Técnico II",SUMIFS($D:$D,$A:$A,$A75,$B:$B,"&lt;&gt;Patrícia Karla de Sousa Araújo",$B:$B,"&lt;&gt;Lorena Dias de Araujo",$B:$B,"&lt;&gt;Lucas Luiz Romero")*(28/1083),IF(C75="Técnico I",SUMIFS($D:$D,$A:$A,$A75,$B:$B,"&lt;&gt;Patrícia Karla de Sousa Araújo",$B:$B,"&lt;&gt;Lorena Dias de Araujo",$B:$B,"&lt;&gt;Lucas Luiz Romero")*(23/1083),IF(C75="JR",SUMIFS($D:$D,$A:$A,$A75,$B:$B,"&lt;&gt;Patrícia Karla de Sousa Araújo",$B:$B,"&lt;&gt;Lorena Dias de Araujo",$B:$B,"&lt;&gt;Lucas Luiz Romero")*(20/1083),IF(C75="Estágio",SUMIFS($D:$D,$A:$A,$A75,$B:$B,"&lt;&gt;Patrícia Karla de Sousa Araújo",$B:$B,"&lt;&gt;Lorena Dias de Araujo",$B:$B,"&lt;&gt;Lucas Luiz Romero")*(10/1083),0)))))),0)</f>
        <v/>
      </c>
      <c r="K75" s="3">
        <f>I75-J75</f>
        <v/>
      </c>
      <c r="L75" s="3">
        <f>IF(K75&lt;-5,"CRÍTICO",IF(K75&lt;0,"ATENÇÃO",IF(K75&lt;=5,"OPORTUNO","MUITO BOM")))</f>
        <v/>
      </c>
      <c r="M75" s="9" t="n">
        <v>0</v>
      </c>
      <c r="N75" s="9" t="n">
        <v>100</v>
      </c>
      <c r="O75" s="9" t="n">
        <v>29.03225806451613</v>
      </c>
    </row>
    <row r="76" hidden="1">
      <c r="A76" s="7" t="n">
        <v>46162</v>
      </c>
      <c r="B76" s="8" t="inlineStr">
        <is>
          <t>Maria Eduarda Sousa Costa</t>
        </is>
      </c>
      <c r="C76" s="9" t="inlineStr">
        <is>
          <t>Estágio</t>
        </is>
      </c>
      <c r="D76" s="3" t="n">
        <v>15</v>
      </c>
      <c r="E76" s="3" t="n">
        <v>10</v>
      </c>
      <c r="F76" s="3" t="n">
        <v>10.49</v>
      </c>
      <c r="G76" s="3" t="n">
        <v>0</v>
      </c>
      <c r="H76" s="3" t="n">
        <v>0</v>
      </c>
      <c r="I76" s="3">
        <f>E76+G76+H76</f>
        <v/>
      </c>
      <c r="J76" s="3">
        <f>ROUND(MIN(IF(C76="Técnico III",35,IF(C76="Técnico II",28,IF(C76="Técnico I",23,IF(C76="JR",20,IF(C76="Estágio",10,0))))),IF(C76="Técnico III",SUMIFS($D:$D,$A:$A,$A76,$B:$B,"&lt;&gt;Patrícia Karla de Sousa Araújo",$B:$B,"&lt;&gt;Lorena Dias de Araujo",$B:$B,"&lt;&gt;Lucas Luiz Romero")*(35/1083),IF(C76="Técnico II",SUMIFS($D:$D,$A:$A,$A76,$B:$B,"&lt;&gt;Patrícia Karla de Sousa Araújo",$B:$B,"&lt;&gt;Lorena Dias de Araujo",$B:$B,"&lt;&gt;Lucas Luiz Romero")*(28/1083),IF(C76="Técnico I",SUMIFS($D:$D,$A:$A,$A76,$B:$B,"&lt;&gt;Patrícia Karla de Sousa Araújo",$B:$B,"&lt;&gt;Lorena Dias de Araujo",$B:$B,"&lt;&gt;Lucas Luiz Romero")*(23/1083),IF(C76="JR",SUMIFS($D:$D,$A:$A,$A76,$B:$B,"&lt;&gt;Patrícia Karla de Sousa Araújo",$B:$B,"&lt;&gt;Lorena Dias de Araujo",$B:$B,"&lt;&gt;Lucas Luiz Romero")*(20/1083),IF(C76="Estágio",SUMIFS($D:$D,$A:$A,$A76,$B:$B,"&lt;&gt;Patrícia Karla de Sousa Araújo",$B:$B,"&lt;&gt;Lorena Dias de Araujo",$B:$B,"&lt;&gt;Lucas Luiz Romero")*(10/1083),0)))))),0)</f>
        <v/>
      </c>
      <c r="K76" s="3">
        <f>I76-J76</f>
        <v/>
      </c>
      <c r="L76" s="3">
        <f>IF(K76&lt;-5,"CRÍTICO",IF(K76&lt;0,"ATENÇÃO",IF(K76&lt;=5,"OPORTUNO","MUITO BOM")))</f>
        <v/>
      </c>
      <c r="M76" s="9" t="n">
        <v>5</v>
      </c>
      <c r="N76" s="9" t="n">
        <v>100</v>
      </c>
      <c r="O76" s="9" t="n">
        <v>11.86440677966102</v>
      </c>
    </row>
    <row r="77" hidden="1">
      <c r="A77" s="7" t="n">
        <v>46162</v>
      </c>
      <c r="B77" s="8" t="inlineStr">
        <is>
          <t>Michelle G Santos</t>
        </is>
      </c>
      <c r="C77" s="9" t="inlineStr">
        <is>
          <t>Estágio</t>
        </is>
      </c>
      <c r="D77" s="3" t="n">
        <v>19</v>
      </c>
      <c r="E77" s="3" t="n">
        <v>17</v>
      </c>
      <c r="F77" s="3" t="n">
        <v>22.03</v>
      </c>
      <c r="G77" s="3" t="n">
        <v>0</v>
      </c>
      <c r="H77" s="3" t="n">
        <v>0</v>
      </c>
      <c r="I77" s="3">
        <f>E77+G77+H77</f>
        <v/>
      </c>
      <c r="J77" s="3">
        <f>ROUND(MIN(IF(C77="Técnico III",35,IF(C77="Técnico II",28,IF(C77="Técnico I",23,IF(C77="JR",20,IF(C77="Estágio",10,0))))),IF(C77="Técnico III",SUMIFS($D:$D,$A:$A,$A77,$B:$B,"&lt;&gt;Patrícia Karla de Sousa Araújo",$B:$B,"&lt;&gt;Lorena Dias de Araujo",$B:$B,"&lt;&gt;Lucas Luiz Romero")*(35/1083),IF(C77="Técnico II",SUMIFS($D:$D,$A:$A,$A77,$B:$B,"&lt;&gt;Patrícia Karla de Sousa Araújo",$B:$B,"&lt;&gt;Lorena Dias de Araujo",$B:$B,"&lt;&gt;Lucas Luiz Romero")*(28/1083),IF(C77="Técnico I",SUMIFS($D:$D,$A:$A,$A77,$B:$B,"&lt;&gt;Patrícia Karla de Sousa Araújo",$B:$B,"&lt;&gt;Lorena Dias de Araujo",$B:$B,"&lt;&gt;Lucas Luiz Romero")*(23/1083),IF(C77="JR",SUMIFS($D:$D,$A:$A,$A77,$B:$B,"&lt;&gt;Patrícia Karla de Sousa Araújo",$B:$B,"&lt;&gt;Lorena Dias de Araujo",$B:$B,"&lt;&gt;Lucas Luiz Romero")*(20/1083),IF(C77="Estágio",SUMIFS($D:$D,$A:$A,$A77,$B:$B,"&lt;&gt;Patrícia Karla de Sousa Araújo",$B:$B,"&lt;&gt;Lorena Dias de Araujo",$B:$B,"&lt;&gt;Lucas Luiz Romero")*(10/1083),0)))))),0)</f>
        <v/>
      </c>
      <c r="K77" s="3">
        <f>I77-J77</f>
        <v/>
      </c>
      <c r="L77" s="3">
        <f>IF(K77&lt;-5,"CRÍTICO",IF(K77&lt;0,"ATENÇÃO",IF(K77&lt;=5,"OPORTUNO","MUITO BOM")))</f>
        <v/>
      </c>
      <c r="M77" s="9" t="n">
        <v>14</v>
      </c>
      <c r="N77" s="9" t="n">
        <v>100</v>
      </c>
      <c r="O77" s="9" t="n">
        <v>16.8141592920354</v>
      </c>
    </row>
    <row r="78" hidden="1">
      <c r="A78" s="7" t="n">
        <v>46162</v>
      </c>
      <c r="B78" s="8" t="inlineStr">
        <is>
          <t>Quirino Diogo Leite Torres</t>
        </is>
      </c>
      <c r="C78" s="9" t="inlineStr">
        <is>
          <t>Estágio</t>
        </is>
      </c>
      <c r="D78" s="3" t="n">
        <v>18</v>
      </c>
      <c r="E78" s="3" t="n">
        <v>15</v>
      </c>
      <c r="F78" s="3" t="n">
        <v>25.22</v>
      </c>
      <c r="G78" s="3" t="n">
        <v>0</v>
      </c>
      <c r="H78" s="3" t="n">
        <v>0</v>
      </c>
      <c r="I78" s="3">
        <f>E78+G78+H78</f>
        <v/>
      </c>
      <c r="J78" s="3">
        <f>ROUND(MIN(IF(C78="Técnico III",35,IF(C78="Técnico II",28,IF(C78="Técnico I",23,IF(C78="JR",20,IF(C78="Estágio",10,0))))),IF(C78="Técnico III",SUMIFS($D:$D,$A:$A,$A78,$B:$B,"&lt;&gt;Patrícia Karla de Sousa Araújo",$B:$B,"&lt;&gt;Lorena Dias de Araujo",$B:$B,"&lt;&gt;Lucas Luiz Romero")*(35/1083),IF(C78="Técnico II",SUMIFS($D:$D,$A:$A,$A78,$B:$B,"&lt;&gt;Patrícia Karla de Sousa Araújo",$B:$B,"&lt;&gt;Lorena Dias de Araujo",$B:$B,"&lt;&gt;Lucas Luiz Romero")*(28/1083),IF(C78="Técnico I",SUMIFS($D:$D,$A:$A,$A78,$B:$B,"&lt;&gt;Patrícia Karla de Sousa Araújo",$B:$B,"&lt;&gt;Lorena Dias de Araujo",$B:$B,"&lt;&gt;Lucas Luiz Romero")*(23/1083),IF(C78="JR",SUMIFS($D:$D,$A:$A,$A78,$B:$B,"&lt;&gt;Patrícia Karla de Sousa Araújo",$B:$B,"&lt;&gt;Lorena Dias de Araujo",$B:$B,"&lt;&gt;Lucas Luiz Romero")*(20/1083),IF(C78="Estágio",SUMIFS($D:$D,$A:$A,$A78,$B:$B,"&lt;&gt;Patrícia Karla de Sousa Araújo",$B:$B,"&lt;&gt;Lorena Dias de Araujo",$B:$B,"&lt;&gt;Lucas Luiz Romero")*(10/1083),0)))))),0)</f>
        <v/>
      </c>
      <c r="K78" s="3">
        <f>I78-J78</f>
        <v/>
      </c>
      <c r="L78" s="3">
        <f>IF(K78&lt;-5,"CRÍTICO",IF(K78&lt;0,"ATENÇÃO",IF(K78&lt;=5,"OPORTUNO","MUITO BOM")))</f>
        <v/>
      </c>
      <c r="M78" s="9" t="n">
        <v>13</v>
      </c>
      <c r="N78" s="9" t="n">
        <v>98.11</v>
      </c>
      <c r="O78" s="9" t="n">
        <v>20.40816326530612</v>
      </c>
    </row>
    <row r="79" hidden="1">
      <c r="A79" s="5" t="n">
        <v>46163</v>
      </c>
      <c r="B79" s="6" t="inlineStr">
        <is>
          <t>Claudio de Sousa Velasco Filho</t>
        </is>
      </c>
      <c r="C79" s="3" t="inlineStr">
        <is>
          <t>Estágio</t>
        </is>
      </c>
      <c r="D79" s="3" t="n">
        <v>7</v>
      </c>
      <c r="E79" s="3" t="n">
        <v>6</v>
      </c>
      <c r="F79" s="3" t="n">
        <v>27.14</v>
      </c>
      <c r="G79" s="3" t="n">
        <v>0</v>
      </c>
      <c r="H79" s="3" t="n">
        <v>0</v>
      </c>
      <c r="I79" s="3">
        <f>E79+G79+H79</f>
        <v/>
      </c>
      <c r="J79" s="3">
        <f>ROUND(MIN(IF(C79="Técnico III",35,IF(C79="Técnico II",28,IF(C79="Técnico I",23,IF(C79="JR",20,IF(C79="Estágio",10,0))))),IF(C79="Técnico III",SUMIFS($D:$D,$A:$A,$A79,$B:$B,"&lt;&gt;Patrícia Karla de Sousa Araújo",$B:$B,"&lt;&gt;Lorena Dias de Araujo",$B:$B,"&lt;&gt;Lucas Luiz Romero")*(35/1083),IF(C79="Técnico II",SUMIFS($D:$D,$A:$A,$A79,$B:$B,"&lt;&gt;Patrícia Karla de Sousa Araújo",$B:$B,"&lt;&gt;Lorena Dias de Araujo",$B:$B,"&lt;&gt;Lucas Luiz Romero")*(28/1083),IF(C79="Técnico I",SUMIFS($D:$D,$A:$A,$A79,$B:$B,"&lt;&gt;Patrícia Karla de Sousa Araújo",$B:$B,"&lt;&gt;Lorena Dias de Araujo",$B:$B,"&lt;&gt;Lucas Luiz Romero")*(23/1083),IF(C79="JR",SUMIFS($D:$D,$A:$A,$A79,$B:$B,"&lt;&gt;Patrícia Karla de Sousa Araújo",$B:$B,"&lt;&gt;Lorena Dias de Araujo",$B:$B,"&lt;&gt;Lucas Luiz Romero")*(20/1083),IF(C79="Estágio",SUMIFS($D:$D,$A:$A,$A79,$B:$B,"&lt;&gt;Patrícia Karla de Sousa Araújo",$B:$B,"&lt;&gt;Lorena Dias de Araujo",$B:$B,"&lt;&gt;Lucas Luiz Romero")*(10/1083),0)))))),0)</f>
        <v/>
      </c>
      <c r="K79" s="3">
        <f>I79-J79</f>
        <v/>
      </c>
      <c r="L79" s="3">
        <f>IF(K79&lt;-5,"CRÍTICO",IF(K79&lt;0,"ATENÇÃO",IF(K79&lt;=5,"OPORTUNO","MUITO BOM")))</f>
        <v/>
      </c>
      <c r="M79" s="3" t="n">
        <v>4</v>
      </c>
      <c r="N79" s="3" t="n">
        <v>96.43000000000001</v>
      </c>
      <c r="O79" s="3" t="n">
        <v>20</v>
      </c>
    </row>
    <row r="80" hidden="1">
      <c r="A80" s="5" t="n">
        <v>46163</v>
      </c>
      <c r="B80" s="6" t="inlineStr">
        <is>
          <t>Emilly Caylane Costa</t>
        </is>
      </c>
      <c r="C80" s="3" t="inlineStr">
        <is>
          <t>Estágio</t>
        </is>
      </c>
      <c r="D80" s="3" t="n">
        <v>9</v>
      </c>
      <c r="E80" s="3" t="n">
        <v>8</v>
      </c>
      <c r="F80" s="3" t="n">
        <v>23.57</v>
      </c>
      <c r="G80" s="3" t="n">
        <v>0</v>
      </c>
      <c r="H80" s="3" t="n">
        <v>0</v>
      </c>
      <c r="I80" s="3">
        <f>E80+G80+H80</f>
        <v/>
      </c>
      <c r="J80" s="3">
        <f>ROUND(MIN(IF(C80="Técnico III",35,IF(C80="Técnico II",28,IF(C80="Técnico I",23,IF(C80="JR",20,IF(C80="Estágio",10,0))))),IF(C80="Técnico III",SUMIFS($D:$D,$A:$A,$A80,$B:$B,"&lt;&gt;Patrícia Karla de Sousa Araújo",$B:$B,"&lt;&gt;Lorena Dias de Araujo",$B:$B,"&lt;&gt;Lucas Luiz Romero")*(35/1083),IF(C80="Técnico II",SUMIFS($D:$D,$A:$A,$A80,$B:$B,"&lt;&gt;Patrícia Karla de Sousa Araújo",$B:$B,"&lt;&gt;Lorena Dias de Araujo",$B:$B,"&lt;&gt;Lucas Luiz Romero")*(28/1083),IF(C80="Técnico I",SUMIFS($D:$D,$A:$A,$A80,$B:$B,"&lt;&gt;Patrícia Karla de Sousa Araújo",$B:$B,"&lt;&gt;Lorena Dias de Araujo",$B:$B,"&lt;&gt;Lucas Luiz Romero")*(23/1083),IF(C80="JR",SUMIFS($D:$D,$A:$A,$A80,$B:$B,"&lt;&gt;Patrícia Karla de Sousa Araújo",$B:$B,"&lt;&gt;Lorena Dias de Araujo",$B:$B,"&lt;&gt;Lucas Luiz Romero")*(20/1083),IF(C80="Estágio",SUMIFS($D:$D,$A:$A,$A80,$B:$B,"&lt;&gt;Patrícia Karla de Sousa Araújo",$B:$B,"&lt;&gt;Lorena Dias de Araujo",$B:$B,"&lt;&gt;Lucas Luiz Romero")*(10/1083),0)))))),0)</f>
        <v/>
      </c>
      <c r="K80" s="3">
        <f>I80-J80</f>
        <v/>
      </c>
      <c r="L80" s="3">
        <f>IF(K80&lt;-5,"CRÍTICO",IF(K80&lt;0,"ATENÇÃO",IF(K80&lt;=5,"OPORTUNO","MUITO BOM")))</f>
        <v/>
      </c>
      <c r="M80" s="3" t="n">
        <v>6</v>
      </c>
      <c r="N80" s="3" t="n">
        <v>100</v>
      </c>
      <c r="O80" s="3" t="n">
        <v>29.03225806451613</v>
      </c>
    </row>
    <row r="81" hidden="1">
      <c r="A81" s="5" t="n">
        <v>46163</v>
      </c>
      <c r="B81" s="6" t="inlineStr">
        <is>
          <t>Maria Eduarda Sousa Costa</t>
        </is>
      </c>
      <c r="C81" s="3" t="inlineStr">
        <is>
          <t>Estágio</t>
        </is>
      </c>
      <c r="D81" s="3" t="n">
        <v>12</v>
      </c>
      <c r="E81" s="3" t="n">
        <v>12</v>
      </c>
      <c r="F81" s="3" t="n">
        <v>21.43</v>
      </c>
      <c r="G81" s="3" t="n">
        <v>0</v>
      </c>
      <c r="H81" s="3" t="n">
        <v>0</v>
      </c>
      <c r="I81" s="3">
        <f>E81+G81+H81</f>
        <v/>
      </c>
      <c r="J81" s="3">
        <f>ROUND(MIN(IF(C81="Técnico III",35,IF(C81="Técnico II",28,IF(C81="Técnico I",23,IF(C81="JR",20,IF(C81="Estágio",10,0))))),IF(C81="Técnico III",SUMIFS($D:$D,$A:$A,$A81,$B:$B,"&lt;&gt;Patrícia Karla de Sousa Araújo",$B:$B,"&lt;&gt;Lorena Dias de Araujo",$B:$B,"&lt;&gt;Lucas Luiz Romero")*(35/1083),IF(C81="Técnico II",SUMIFS($D:$D,$A:$A,$A81,$B:$B,"&lt;&gt;Patrícia Karla de Sousa Araújo",$B:$B,"&lt;&gt;Lorena Dias de Araujo",$B:$B,"&lt;&gt;Lucas Luiz Romero")*(28/1083),IF(C81="Técnico I",SUMIFS($D:$D,$A:$A,$A81,$B:$B,"&lt;&gt;Patrícia Karla de Sousa Araújo",$B:$B,"&lt;&gt;Lorena Dias de Araujo",$B:$B,"&lt;&gt;Lucas Luiz Romero")*(23/1083),IF(C81="JR",SUMIFS($D:$D,$A:$A,$A81,$B:$B,"&lt;&gt;Patrícia Karla de Sousa Araújo",$B:$B,"&lt;&gt;Lorena Dias de Araujo",$B:$B,"&lt;&gt;Lucas Luiz Romero")*(20/1083),IF(C81="Estágio",SUMIFS($D:$D,$A:$A,$A81,$B:$B,"&lt;&gt;Patrícia Karla de Sousa Araújo",$B:$B,"&lt;&gt;Lorena Dias de Araujo",$B:$B,"&lt;&gt;Lucas Luiz Romero")*(10/1083),0)))))),0)</f>
        <v/>
      </c>
      <c r="K81" s="3">
        <f>I81-J81</f>
        <v/>
      </c>
      <c r="L81" s="3">
        <f>IF(K81&lt;-5,"CRÍTICO",IF(K81&lt;0,"ATENÇÃO",IF(K81&lt;=5,"OPORTUNO","MUITO BOM")))</f>
        <v/>
      </c>
      <c r="M81" s="3" t="n">
        <v>8</v>
      </c>
      <c r="N81" s="3" t="n">
        <v>100</v>
      </c>
      <c r="O81" s="3" t="n">
        <v>11.86440677966102</v>
      </c>
    </row>
    <row r="82" hidden="1">
      <c r="A82" s="5" t="n">
        <v>46163</v>
      </c>
      <c r="B82" s="6" t="inlineStr">
        <is>
          <t>Michelle G Santos</t>
        </is>
      </c>
      <c r="C82" s="3" t="inlineStr">
        <is>
          <t>Estágio</t>
        </is>
      </c>
      <c r="D82" s="3" t="n">
        <v>14</v>
      </c>
      <c r="E82" s="3" t="n">
        <v>13</v>
      </c>
      <c r="F82" s="3" t="n">
        <v>33.54</v>
      </c>
      <c r="G82" s="3" t="n">
        <v>0</v>
      </c>
      <c r="H82" s="3" t="n">
        <v>0</v>
      </c>
      <c r="I82" s="3">
        <f>E82+G82+H82</f>
        <v/>
      </c>
      <c r="J82" s="3">
        <f>ROUND(MIN(IF(C82="Técnico III",35,IF(C82="Técnico II",28,IF(C82="Técnico I",23,IF(C82="JR",20,IF(C82="Estágio",10,0))))),IF(C82="Técnico III",SUMIFS($D:$D,$A:$A,$A82,$B:$B,"&lt;&gt;Patrícia Karla de Sousa Araújo",$B:$B,"&lt;&gt;Lorena Dias de Araujo",$B:$B,"&lt;&gt;Lucas Luiz Romero")*(35/1083),IF(C82="Técnico II",SUMIFS($D:$D,$A:$A,$A82,$B:$B,"&lt;&gt;Patrícia Karla de Sousa Araújo",$B:$B,"&lt;&gt;Lorena Dias de Araujo",$B:$B,"&lt;&gt;Lucas Luiz Romero")*(28/1083),IF(C82="Técnico I",SUMIFS($D:$D,$A:$A,$A82,$B:$B,"&lt;&gt;Patrícia Karla de Sousa Araújo",$B:$B,"&lt;&gt;Lorena Dias de Araujo",$B:$B,"&lt;&gt;Lucas Luiz Romero")*(23/1083),IF(C82="JR",SUMIFS($D:$D,$A:$A,$A82,$B:$B,"&lt;&gt;Patrícia Karla de Sousa Araújo",$B:$B,"&lt;&gt;Lorena Dias de Araujo",$B:$B,"&lt;&gt;Lucas Luiz Romero")*(20/1083),IF(C82="Estágio",SUMIFS($D:$D,$A:$A,$A82,$B:$B,"&lt;&gt;Patrícia Karla de Sousa Araújo",$B:$B,"&lt;&gt;Lorena Dias de Araujo",$B:$B,"&lt;&gt;Lucas Luiz Romero")*(10/1083),0)))))),0)</f>
        <v/>
      </c>
      <c r="K82" s="3">
        <f>I82-J82</f>
        <v/>
      </c>
      <c r="L82" s="3">
        <f>IF(K82&lt;-5,"CRÍTICO",IF(K82&lt;0,"ATENÇÃO",IF(K82&lt;=5,"OPORTUNO","MUITO BOM")))</f>
        <v/>
      </c>
      <c r="M82" s="3" t="n">
        <v>8</v>
      </c>
      <c r="N82" s="3" t="n">
        <v>100</v>
      </c>
      <c r="O82" s="3" t="n">
        <v>16.8141592920354</v>
      </c>
    </row>
    <row r="83" hidden="1">
      <c r="A83" s="5" t="n">
        <v>46163</v>
      </c>
      <c r="B83" s="6" t="inlineStr">
        <is>
          <t>Quirino Diogo Leite Torres</t>
        </is>
      </c>
      <c r="C83" s="3" t="inlineStr">
        <is>
          <t>Estágio</t>
        </is>
      </c>
      <c r="D83" s="3" t="n">
        <v>20</v>
      </c>
      <c r="E83" s="3" t="n">
        <v>18</v>
      </c>
      <c r="F83" s="3" t="n">
        <v>16.49</v>
      </c>
      <c r="G83" s="3" t="n">
        <v>0</v>
      </c>
      <c r="H83" s="3" t="n">
        <v>0</v>
      </c>
      <c r="I83" s="3">
        <f>E83+G83+H83</f>
        <v/>
      </c>
      <c r="J83" s="3">
        <f>ROUND(MIN(IF(C83="Técnico III",35,IF(C83="Técnico II",28,IF(C83="Técnico I",23,IF(C83="JR",20,IF(C83="Estágio",10,0))))),IF(C83="Técnico III",SUMIFS($D:$D,$A:$A,$A83,$B:$B,"&lt;&gt;Patrícia Karla de Sousa Araújo",$B:$B,"&lt;&gt;Lorena Dias de Araujo",$B:$B,"&lt;&gt;Lucas Luiz Romero")*(35/1083),IF(C83="Técnico II",SUMIFS($D:$D,$A:$A,$A83,$B:$B,"&lt;&gt;Patrícia Karla de Sousa Araújo",$B:$B,"&lt;&gt;Lorena Dias de Araujo",$B:$B,"&lt;&gt;Lucas Luiz Romero")*(28/1083),IF(C83="Técnico I",SUMIFS($D:$D,$A:$A,$A83,$B:$B,"&lt;&gt;Patrícia Karla de Sousa Araújo",$B:$B,"&lt;&gt;Lorena Dias de Araujo",$B:$B,"&lt;&gt;Lucas Luiz Romero")*(23/1083),IF(C83="JR",SUMIFS($D:$D,$A:$A,$A83,$B:$B,"&lt;&gt;Patrícia Karla de Sousa Araújo",$B:$B,"&lt;&gt;Lorena Dias de Araujo",$B:$B,"&lt;&gt;Lucas Luiz Romero")*(20/1083),IF(C83="Estágio",SUMIFS($D:$D,$A:$A,$A83,$B:$B,"&lt;&gt;Patrícia Karla de Sousa Araújo",$B:$B,"&lt;&gt;Lorena Dias de Araujo",$B:$B,"&lt;&gt;Lucas Luiz Romero")*(10/1083),0)))))),0)</f>
        <v/>
      </c>
      <c r="K83" s="3">
        <f>I83-J83</f>
        <v/>
      </c>
      <c r="L83" s="3">
        <f>IF(K83&lt;-5,"CRÍTICO",IF(K83&lt;0,"ATENÇÃO",IF(K83&lt;=5,"OPORTUNO","MUITO BOM")))</f>
        <v/>
      </c>
      <c r="M83" s="3" t="n">
        <v>13</v>
      </c>
      <c r="N83" s="3" t="n">
        <v>98.11</v>
      </c>
      <c r="O83" s="3" t="n">
        <v>20.40816326530612</v>
      </c>
    </row>
    <row r="84" hidden="1">
      <c r="A84" s="10" t="n">
        <v>46164</v>
      </c>
      <c r="B84" s="6" t="inlineStr">
        <is>
          <t>Claudio de Sousa Velasco Filho</t>
        </is>
      </c>
      <c r="C84" s="3" t="inlineStr">
        <is>
          <t>Estágio</t>
        </is>
      </c>
      <c r="D84" s="3" t="n">
        <v>7</v>
      </c>
      <c r="E84" s="3" t="n">
        <v>7</v>
      </c>
      <c r="F84" s="3" t="n">
        <v>22.38</v>
      </c>
      <c r="G84" s="3" t="n">
        <v>0</v>
      </c>
      <c r="H84" s="3" t="n">
        <v>0</v>
      </c>
      <c r="I84" s="3">
        <f>E84+G84+H84</f>
        <v/>
      </c>
      <c r="J84" s="3">
        <f>ROUND(MIN(IF(C84="Técnico III",35,IF(C84="Técnico II",28,IF(C84="Técnico I",23,IF(C84="JR",20,IF(C84="Estágio",10,0))))),IF(C84="Técnico III",SUMIFS($D:$D,$A:$A,$A84,$B:$B,"&lt;&gt;Patrícia Karla de Sousa Araújo",$B:$B,"&lt;&gt;Lorena Dias de Araujo",$B:$B,"&lt;&gt;Lucas Luiz Romero")*(35/1083),IF(C84="Técnico II",SUMIFS($D:$D,$A:$A,$A84,$B:$B,"&lt;&gt;Patrícia Karla de Sousa Araújo",$B:$B,"&lt;&gt;Lorena Dias de Araujo",$B:$B,"&lt;&gt;Lucas Luiz Romero")*(28/1083),IF(C84="Técnico I",SUMIFS($D:$D,$A:$A,$A84,$B:$B,"&lt;&gt;Patrícia Karla de Sousa Araújo",$B:$B,"&lt;&gt;Lorena Dias de Araujo",$B:$B,"&lt;&gt;Lucas Luiz Romero")*(23/1083),IF(C84="JR",SUMIFS($D:$D,$A:$A,$A84,$B:$B,"&lt;&gt;Patrícia Karla de Sousa Araújo",$B:$B,"&lt;&gt;Lorena Dias de Araujo",$B:$B,"&lt;&gt;Lucas Luiz Romero")*(20/1083),IF(C84="Estágio",SUMIFS($D:$D,$A:$A,$A84,$B:$B,"&lt;&gt;Patrícia Karla de Sousa Araújo",$B:$B,"&lt;&gt;Lorena Dias de Araujo",$B:$B,"&lt;&gt;Lucas Luiz Romero")*(10/1083),0)))))),0)</f>
        <v/>
      </c>
      <c r="K84" s="3">
        <f>I84-J84</f>
        <v/>
      </c>
      <c r="L84" s="3">
        <f>IF(K84&lt;-5,"CRÍTICO",IF(K84&lt;0,"ATENÇÃO",IF(K84&lt;=5,"OPORTUNO","MUITO BOM")))</f>
        <v/>
      </c>
      <c r="M84" s="3" t="n">
        <v>3</v>
      </c>
      <c r="N84" s="3" t="n">
        <v>96.43000000000001</v>
      </c>
      <c r="O84" s="3" t="n">
        <v>20</v>
      </c>
    </row>
    <row r="85" hidden="1">
      <c r="A85" s="10" t="n">
        <v>46164</v>
      </c>
      <c r="B85" s="6" t="inlineStr">
        <is>
          <t>Emilly Caylane Costa</t>
        </is>
      </c>
      <c r="C85" s="3" t="inlineStr">
        <is>
          <t>Estágio</t>
        </is>
      </c>
      <c r="D85" s="3" t="n">
        <v>6</v>
      </c>
      <c r="E85" s="3" t="n">
        <v>6</v>
      </c>
      <c r="F85" s="3" t="n">
        <v>36.58</v>
      </c>
      <c r="G85" s="3" t="n">
        <v>0</v>
      </c>
      <c r="H85" s="3" t="n">
        <v>0</v>
      </c>
      <c r="I85" s="3">
        <f>E85+G85+H85</f>
        <v/>
      </c>
      <c r="J85" s="3">
        <f>ROUND(MIN(IF(C85="Técnico III",35,IF(C85="Técnico II",28,IF(C85="Técnico I",23,IF(C85="JR",20,IF(C85="Estágio",10,0))))),IF(C85="Técnico III",SUMIFS($D:$D,$A:$A,$A85,$B:$B,"&lt;&gt;Patrícia Karla de Sousa Araújo",$B:$B,"&lt;&gt;Lorena Dias de Araujo",$B:$B,"&lt;&gt;Lucas Luiz Romero")*(35/1083),IF(C85="Técnico II",SUMIFS($D:$D,$A:$A,$A85,$B:$B,"&lt;&gt;Patrícia Karla de Sousa Araújo",$B:$B,"&lt;&gt;Lorena Dias de Araujo",$B:$B,"&lt;&gt;Lucas Luiz Romero")*(28/1083),IF(C85="Técnico I",SUMIFS($D:$D,$A:$A,$A85,$B:$B,"&lt;&gt;Patrícia Karla de Sousa Araújo",$B:$B,"&lt;&gt;Lorena Dias de Araujo",$B:$B,"&lt;&gt;Lucas Luiz Romero")*(23/1083),IF(C85="JR",SUMIFS($D:$D,$A:$A,$A85,$B:$B,"&lt;&gt;Patrícia Karla de Sousa Araújo",$B:$B,"&lt;&gt;Lorena Dias de Araujo",$B:$B,"&lt;&gt;Lucas Luiz Romero")*(20/1083),IF(C85="Estágio",SUMIFS($D:$D,$A:$A,$A85,$B:$B,"&lt;&gt;Patrícia Karla de Sousa Araújo",$B:$B,"&lt;&gt;Lorena Dias de Araujo",$B:$B,"&lt;&gt;Lucas Luiz Romero")*(10/1083),0)))))),0)</f>
        <v/>
      </c>
      <c r="K85" s="3">
        <f>I85-J85</f>
        <v/>
      </c>
      <c r="L85" s="3">
        <f>IF(K85&lt;-5,"CRÍTICO",IF(K85&lt;0,"ATENÇÃO",IF(K85&lt;=5,"OPORTUNO","MUITO BOM")))</f>
        <v/>
      </c>
      <c r="M85" s="3" t="n">
        <v>6</v>
      </c>
      <c r="N85" s="3" t="n">
        <v>100</v>
      </c>
      <c r="O85" s="3" t="n">
        <v>29.03225806451613</v>
      </c>
    </row>
    <row r="86" hidden="1">
      <c r="A86" s="10" t="n">
        <v>46164</v>
      </c>
      <c r="B86" s="6" t="inlineStr">
        <is>
          <t>Maria Eduarda Sousa Costa</t>
        </is>
      </c>
      <c r="C86" s="3" t="inlineStr">
        <is>
          <t>Estágio</t>
        </is>
      </c>
      <c r="D86" s="3" t="n">
        <v>8</v>
      </c>
      <c r="E86" s="3" t="n">
        <v>8</v>
      </c>
      <c r="F86" s="3" t="n">
        <v>20.01</v>
      </c>
      <c r="G86" s="3" t="n">
        <v>0</v>
      </c>
      <c r="H86" s="3" t="n">
        <v>0</v>
      </c>
      <c r="I86" s="3">
        <f>E86+G86+H86</f>
        <v/>
      </c>
      <c r="J86" s="3">
        <f>ROUND(MIN(IF(C86="Técnico III",35,IF(C86="Técnico II",28,IF(C86="Técnico I",23,IF(C86="JR",20,IF(C86="Estágio",10,0))))),IF(C86="Técnico III",SUMIFS($D:$D,$A:$A,$A86,$B:$B,"&lt;&gt;Patrícia Karla de Sousa Araújo",$B:$B,"&lt;&gt;Lorena Dias de Araujo",$B:$B,"&lt;&gt;Lucas Luiz Romero")*(35/1083),IF(C86="Técnico II",SUMIFS($D:$D,$A:$A,$A86,$B:$B,"&lt;&gt;Patrícia Karla de Sousa Araújo",$B:$B,"&lt;&gt;Lorena Dias de Araujo",$B:$B,"&lt;&gt;Lucas Luiz Romero")*(28/1083),IF(C86="Técnico I",SUMIFS($D:$D,$A:$A,$A86,$B:$B,"&lt;&gt;Patrícia Karla de Sousa Araújo",$B:$B,"&lt;&gt;Lorena Dias de Araujo",$B:$B,"&lt;&gt;Lucas Luiz Romero")*(23/1083),IF(C86="JR",SUMIFS($D:$D,$A:$A,$A86,$B:$B,"&lt;&gt;Patrícia Karla de Sousa Araújo",$B:$B,"&lt;&gt;Lorena Dias de Araujo",$B:$B,"&lt;&gt;Lucas Luiz Romero")*(20/1083),IF(C86="Estágio",SUMIFS($D:$D,$A:$A,$A86,$B:$B,"&lt;&gt;Patrícia Karla de Sousa Araújo",$B:$B,"&lt;&gt;Lorena Dias de Araujo",$B:$B,"&lt;&gt;Lucas Luiz Romero")*(10/1083),0)))))),0)</f>
        <v/>
      </c>
      <c r="K86" s="3">
        <f>I86-J86</f>
        <v/>
      </c>
      <c r="L86" s="3">
        <f>IF(K86&lt;-5,"CRÍTICO",IF(K86&lt;0,"ATENÇÃO",IF(K86&lt;=5,"OPORTUNO","MUITO BOM")))</f>
        <v/>
      </c>
      <c r="M86" s="3" t="n">
        <v>6</v>
      </c>
      <c r="N86" s="3" t="n">
        <v>100</v>
      </c>
      <c r="O86" s="3" t="n">
        <v>11.86440677966102</v>
      </c>
    </row>
    <row r="87" hidden="1">
      <c r="A87" s="10" t="n">
        <v>46164</v>
      </c>
      <c r="B87" s="6" t="inlineStr">
        <is>
          <t>Michelle G Santos</t>
        </is>
      </c>
      <c r="C87" s="3" t="inlineStr">
        <is>
          <t>Estágio</t>
        </is>
      </c>
      <c r="D87" s="3" t="n">
        <v>15</v>
      </c>
      <c r="E87" s="3" t="n">
        <v>14</v>
      </c>
      <c r="F87" s="3" t="n">
        <v>31.4</v>
      </c>
      <c r="G87" s="3" t="n">
        <v>0</v>
      </c>
      <c r="H87" s="3" t="n">
        <v>0</v>
      </c>
      <c r="I87" s="3">
        <f>E87+G87+H87</f>
        <v/>
      </c>
      <c r="J87" s="3">
        <f>ROUND(MIN(IF(C87="Técnico III",35,IF(C87="Técnico II",28,IF(C87="Técnico I",23,IF(C87="JR",20,IF(C87="Estágio",10,0))))),IF(C87="Técnico III",SUMIFS($D:$D,$A:$A,$A87,$B:$B,"&lt;&gt;Patrícia Karla de Sousa Araújo",$B:$B,"&lt;&gt;Lorena Dias de Araujo",$B:$B,"&lt;&gt;Lucas Luiz Romero")*(35/1083),IF(C87="Técnico II",SUMIFS($D:$D,$A:$A,$A87,$B:$B,"&lt;&gt;Patrícia Karla de Sousa Araújo",$B:$B,"&lt;&gt;Lorena Dias de Araujo",$B:$B,"&lt;&gt;Lucas Luiz Romero")*(28/1083),IF(C87="Técnico I",SUMIFS($D:$D,$A:$A,$A87,$B:$B,"&lt;&gt;Patrícia Karla de Sousa Araújo",$B:$B,"&lt;&gt;Lorena Dias de Araujo",$B:$B,"&lt;&gt;Lucas Luiz Romero")*(23/1083),IF(C87="JR",SUMIFS($D:$D,$A:$A,$A87,$B:$B,"&lt;&gt;Patrícia Karla de Sousa Araújo",$B:$B,"&lt;&gt;Lorena Dias de Araujo",$B:$B,"&lt;&gt;Lucas Luiz Romero")*(20/1083),IF(C87="Estágio",SUMIFS($D:$D,$A:$A,$A87,$B:$B,"&lt;&gt;Patrícia Karla de Sousa Araújo",$B:$B,"&lt;&gt;Lorena Dias de Araujo",$B:$B,"&lt;&gt;Lucas Luiz Romero")*(10/1083),0)))))),0)</f>
        <v/>
      </c>
      <c r="K87" s="3">
        <f>I87-J87</f>
        <v/>
      </c>
      <c r="L87" s="3">
        <f>IF(K87&lt;-5,"CRÍTICO",IF(K87&lt;0,"ATENÇÃO",IF(K87&lt;=5,"OPORTUNO","MUITO BOM")))</f>
        <v/>
      </c>
      <c r="M87" s="3" t="n">
        <v>11</v>
      </c>
      <c r="N87" s="3" t="n">
        <v>100</v>
      </c>
      <c r="O87" s="3" t="n">
        <v>16.8141592920354</v>
      </c>
    </row>
    <row r="88" hidden="1">
      <c r="A88" s="10" t="n">
        <v>46164</v>
      </c>
      <c r="B88" s="6" t="inlineStr">
        <is>
          <t>Quirino Diogo Leite Torres</t>
        </is>
      </c>
      <c r="C88" s="3" t="inlineStr">
        <is>
          <t>Estágio</t>
        </is>
      </c>
      <c r="D88" s="3" t="n">
        <v>17</v>
      </c>
      <c r="E88" s="3" t="n">
        <v>15</v>
      </c>
      <c r="F88" s="3" t="n">
        <v>25.36</v>
      </c>
      <c r="G88" s="3" t="n">
        <v>0</v>
      </c>
      <c r="H88" s="3" t="n">
        <v>0</v>
      </c>
      <c r="I88" s="3">
        <f>E88+G88+H88</f>
        <v/>
      </c>
      <c r="J88" s="3">
        <f>ROUND(MIN(IF(C88="Técnico III",35,IF(C88="Técnico II",28,IF(C88="Técnico I",23,IF(C88="JR",20,IF(C88="Estágio",10,0))))),IF(C88="Técnico III",SUMIFS($D:$D,$A:$A,$A88,$B:$B,"&lt;&gt;Patrícia Karla de Sousa Araújo",$B:$B,"&lt;&gt;Lorena Dias de Araujo",$B:$B,"&lt;&gt;Lucas Luiz Romero")*(35/1083),IF(C88="Técnico II",SUMIFS($D:$D,$A:$A,$A88,$B:$B,"&lt;&gt;Patrícia Karla de Sousa Araújo",$B:$B,"&lt;&gt;Lorena Dias de Araujo",$B:$B,"&lt;&gt;Lucas Luiz Romero")*(28/1083),IF(C88="Técnico I",SUMIFS($D:$D,$A:$A,$A88,$B:$B,"&lt;&gt;Patrícia Karla de Sousa Araújo",$B:$B,"&lt;&gt;Lorena Dias de Araujo",$B:$B,"&lt;&gt;Lucas Luiz Romero")*(23/1083),IF(C88="JR",SUMIFS($D:$D,$A:$A,$A88,$B:$B,"&lt;&gt;Patrícia Karla de Sousa Araújo",$B:$B,"&lt;&gt;Lorena Dias de Araujo",$B:$B,"&lt;&gt;Lucas Luiz Romero")*(20/1083),IF(C88="Estágio",SUMIFS($D:$D,$A:$A,$A88,$B:$B,"&lt;&gt;Patrícia Karla de Sousa Araújo",$B:$B,"&lt;&gt;Lorena Dias de Araujo",$B:$B,"&lt;&gt;Lucas Luiz Romero")*(10/1083),0)))))),0)</f>
        <v/>
      </c>
      <c r="K88" s="3">
        <f>I88-J88</f>
        <v/>
      </c>
      <c r="L88" s="3">
        <f>IF(K88&lt;-5,"CRÍTICO",IF(K88&lt;0,"ATENÇÃO",IF(K88&lt;=5,"OPORTUNO","MUITO BOM")))</f>
        <v/>
      </c>
      <c r="M88" s="3" t="n">
        <v>9</v>
      </c>
      <c r="N88" s="3" t="n">
        <v>98.11</v>
      </c>
      <c r="O88" s="3" t="n">
        <v>20.40816326530612</v>
      </c>
    </row>
    <row r="89" hidden="1">
      <c r="A89" s="11" t="n">
        <v>46167</v>
      </c>
      <c r="B89" t="inlineStr">
        <is>
          <t>Claudio de Sousa Velasco Filho</t>
        </is>
      </c>
      <c r="C89" t="inlineStr">
        <is>
          <t>Estágio</t>
        </is>
      </c>
      <c r="D89" t="n">
        <v>6</v>
      </c>
      <c r="E89" t="n">
        <v>4</v>
      </c>
      <c r="F89" t="n">
        <v>26.55</v>
      </c>
      <c r="G89" t="n">
        <v>0</v>
      </c>
      <c r="H89" t="n">
        <v>0</v>
      </c>
      <c r="I89" s="3" t="n">
        <v>0</v>
      </c>
      <c r="J89" s="3" t="n">
        <v>0</v>
      </c>
      <c r="K89" s="3" t="n">
        <v>0</v>
      </c>
      <c r="L89" s="3">
        <f>IF(K89&lt;-5,"CRÍTICO",IF(K89&lt;0,"ATENÇÃO",IF(K89&lt;=5,"OPORTUNO","MUITO BOM")))</f>
        <v/>
      </c>
    </row>
    <row r="90" hidden="1">
      <c r="A90" s="11" t="n">
        <v>46167</v>
      </c>
      <c r="B90" t="inlineStr">
        <is>
          <t>Emilly Caylane Costa</t>
        </is>
      </c>
      <c r="C90" t="inlineStr">
        <is>
          <t>Estágio</t>
        </is>
      </c>
      <c r="D90" t="n">
        <v>1</v>
      </c>
      <c r="E90" t="n">
        <v>1</v>
      </c>
      <c r="F90" t="n">
        <v>72.06999999999999</v>
      </c>
      <c r="G90" t="n">
        <v>0</v>
      </c>
      <c r="H90" t="n">
        <v>0</v>
      </c>
      <c r="I90" s="3" t="n">
        <v>0</v>
      </c>
      <c r="J90" s="3" t="n">
        <v>0</v>
      </c>
      <c r="K90" s="3" t="n">
        <v>0</v>
      </c>
      <c r="L90" s="3">
        <f>IF(K90&lt;-5,"CRÍTICO",IF(K90&lt;0,"ATENÇÃO",IF(K90&lt;=5,"OPORTUNO","MUITO BOM")))</f>
        <v/>
      </c>
    </row>
    <row r="91" hidden="1">
      <c r="A91" s="11" t="n">
        <v>46167</v>
      </c>
      <c r="B91" t="inlineStr">
        <is>
          <t>Maria Eduarda Sousa Costa</t>
        </is>
      </c>
      <c r="C91" t="inlineStr">
        <is>
          <t>Estágio</t>
        </is>
      </c>
      <c r="D91" t="n">
        <v>9</v>
      </c>
      <c r="E91" t="n">
        <v>9</v>
      </c>
      <c r="F91" t="n">
        <v>20.48</v>
      </c>
      <c r="G91" t="n">
        <v>0</v>
      </c>
      <c r="H91" t="n">
        <v>0</v>
      </c>
      <c r="I91" s="3" t="n">
        <v>0</v>
      </c>
      <c r="J91" s="3" t="n">
        <v>0</v>
      </c>
      <c r="K91" s="3" t="n">
        <v>0</v>
      </c>
      <c r="L91" s="3">
        <f>IF(K91&lt;-5,"CRÍTICO",IF(K91&lt;0,"ATENÇÃO",IF(K91&lt;=5,"OPORTUNO","MUITO BOM")))</f>
        <v/>
      </c>
    </row>
    <row r="92" hidden="1">
      <c r="A92" s="11" t="n">
        <v>46167</v>
      </c>
      <c r="B92" t="inlineStr">
        <is>
          <t>Michelle G Santos</t>
        </is>
      </c>
      <c r="C92" t="inlineStr">
        <is>
          <t>Estágio</t>
        </is>
      </c>
      <c r="D92" t="n">
        <v>5</v>
      </c>
      <c r="E92" t="n">
        <v>5</v>
      </c>
      <c r="F92" t="n">
        <v>54.07</v>
      </c>
      <c r="G92" t="n">
        <v>0</v>
      </c>
      <c r="H92" t="n">
        <v>0</v>
      </c>
      <c r="I92" s="3" t="n">
        <v>0</v>
      </c>
      <c r="J92" s="3" t="n">
        <v>0</v>
      </c>
      <c r="K92" s="3" t="n">
        <v>0</v>
      </c>
      <c r="L92" s="3">
        <f>IF(K92&lt;-5,"CRÍTICO",IF(K92&lt;0,"ATENÇÃO",IF(K92&lt;=5,"OPORTUNO","MUITO BOM")))</f>
        <v/>
      </c>
    </row>
    <row r="93" hidden="1">
      <c r="A93" s="11" t="n">
        <v>46167</v>
      </c>
      <c r="B93" t="inlineStr">
        <is>
          <t>Quirino Diogo Leite Torres</t>
        </is>
      </c>
      <c r="C93" t="inlineStr">
        <is>
          <t>Estágio</t>
        </is>
      </c>
      <c r="D93" t="n">
        <v>17</v>
      </c>
      <c r="E93" t="n">
        <v>17</v>
      </c>
      <c r="F93" t="n">
        <v>32.24</v>
      </c>
      <c r="G93" t="n">
        <v>0</v>
      </c>
      <c r="H93" t="n">
        <v>0</v>
      </c>
      <c r="I93" s="3" t="n">
        <v>0</v>
      </c>
      <c r="J93" s="3" t="n">
        <v>0</v>
      </c>
      <c r="K93" s="3" t="n">
        <v>0</v>
      </c>
      <c r="L93" s="3">
        <f>IF(K93&lt;-5,"CRÍTICO",IF(K93&lt;0,"ATENÇÃO",IF(K93&lt;=5,"OPORTUNO","MUITO BOM")))</f>
        <v/>
      </c>
    </row>
    <row r="94" hidden="1">
      <c r="A94" s="5" t="n">
        <v>46150</v>
      </c>
      <c r="B94" s="6" t="inlineStr">
        <is>
          <t>Gabriel Alves</t>
        </is>
      </c>
      <c r="C94" s="3" t="inlineStr">
        <is>
          <t>Estágio</t>
        </is>
      </c>
      <c r="D94" s="3" t="n">
        <v>46</v>
      </c>
      <c r="E94" s="3" t="n">
        <v>42</v>
      </c>
      <c r="F94" t="n">
        <v>5.38</v>
      </c>
      <c r="G94" s="3" t="n">
        <v>0</v>
      </c>
      <c r="H94" s="3" t="n">
        <v>0</v>
      </c>
      <c r="I94" s="3">
        <f>E94+G94+H94</f>
        <v/>
      </c>
      <c r="J94" s="3">
        <f>ROUND(MIN(IF(C94="Técnico III",35,IF(C94="Técnico II",28,IF(C94="Técnico I",23,IF(C94="JR",20,IF(C94="Estágio",10,0))))),IF(C94="Técnico III",SUMIFS($D:$D,$A:$A,$A94,$B:$B,"&lt;&gt;Patrícia Karla de Sousa Araújo",$B:$B,"&lt;&gt;Lorena Dias de Araujo",$B:$B,"&lt;&gt;Lucas Luiz Romero")*(35/1083),IF(C94="Técnico II",SUMIFS($D:$D,$A:$A,$A94,$B:$B,"&lt;&gt;Patrícia Karla de Sousa Araújo",$B:$B,"&lt;&gt;Lorena Dias de Araujo",$B:$B,"&lt;&gt;Lucas Luiz Romero")*(28/1083),IF(C94="Técnico I",SUMIFS($D:$D,$A:$A,$A94,$B:$B,"&lt;&gt;Patrícia Karla de Sousa Araújo",$B:$B,"&lt;&gt;Lorena Dias de Araujo",$B:$B,"&lt;&gt;Lucas Luiz Romero")*(23/1083),IF(C94="JR",SUMIFS($D:$D,$A:$A,$A94,$B:$B,"&lt;&gt;Patrícia Karla de Sousa Araújo",$B:$B,"&lt;&gt;Lorena Dias de Araujo",$B:$B,"&lt;&gt;Lucas Luiz Romero")*(20/1083),IF(C94="Estágio",SUMIFS($D:$D,$A:$A,$A94,$B:$B,"&lt;&gt;Patrícia Karla de Sousa Araújo",$B:$B,"&lt;&gt;Lorena Dias de Araujo",$B:$B,"&lt;&gt;Lucas Luiz Romero")*(10/1083),0)))))),0)</f>
        <v/>
      </c>
      <c r="K94" s="3">
        <f>I94-J94</f>
        <v/>
      </c>
      <c r="L94" s="3">
        <f>IF(K94&lt;-5,"CRÍTICO",IF(K94&lt;0,"ATENÇÃO",IF(K94&lt;=5,"OPORTUNO","MUITO BOM")))</f>
        <v/>
      </c>
      <c r="M94" t="n">
        <v>0</v>
      </c>
      <c r="N94" t="n">
        <v>100</v>
      </c>
      <c r="O94" t="n">
        <v>14.28571428571428</v>
      </c>
    </row>
    <row r="95" hidden="1">
      <c r="A95" s="5" t="n">
        <v>46157</v>
      </c>
      <c r="B95" s="6" t="inlineStr">
        <is>
          <t>Gabriel Alves</t>
        </is>
      </c>
      <c r="C95" s="3" t="inlineStr">
        <is>
          <t>Estágio</t>
        </is>
      </c>
      <c r="D95" s="3" t="n">
        <v>4</v>
      </c>
      <c r="E95" s="3" t="n">
        <v>4</v>
      </c>
      <c r="F95" t="n">
        <v>55.52</v>
      </c>
      <c r="G95" s="3" t="n">
        <v>0</v>
      </c>
      <c r="H95" s="3" t="n">
        <v>0</v>
      </c>
      <c r="I95" s="3">
        <f>E95+G95+H95</f>
        <v/>
      </c>
      <c r="J95" s="3">
        <f>ROUND(MIN(IF(C95="Técnico III",35,IF(C95="Técnico II",28,IF(C95="Técnico I",23,IF(C95="JR",20,IF(C95="Estágio",10,0))))),IF(C95="Técnico III",SUMIFS($D:$D,$A:$A,$A95,$B:$B,"&lt;&gt;Patrícia Karla de Sousa Araújo",$B:$B,"&lt;&gt;Lorena Dias de Araujo",$B:$B,"&lt;&gt;Lucas Luiz Romero")*(35/1083),IF(C95="Técnico II",SUMIFS($D:$D,$A:$A,$A95,$B:$B,"&lt;&gt;Patrícia Karla de Sousa Araújo",$B:$B,"&lt;&gt;Lorena Dias de Araujo",$B:$B,"&lt;&gt;Lucas Luiz Romero")*(28/1083),IF(C95="Técnico I",SUMIFS($D:$D,$A:$A,$A95,$B:$B,"&lt;&gt;Patrícia Karla de Sousa Araújo",$B:$B,"&lt;&gt;Lorena Dias de Araujo",$B:$B,"&lt;&gt;Lucas Luiz Romero")*(23/1083),IF(C95="JR",SUMIFS($D:$D,$A:$A,$A95,$B:$B,"&lt;&gt;Patrícia Karla de Sousa Araújo",$B:$B,"&lt;&gt;Lorena Dias de Araujo",$B:$B,"&lt;&gt;Lucas Luiz Romero")*(20/1083),IF(C95="Estágio",SUMIFS($D:$D,$A:$A,$A95,$B:$B,"&lt;&gt;Patrícia Karla de Sousa Araújo",$B:$B,"&lt;&gt;Lorena Dias de Araujo",$B:$B,"&lt;&gt;Lucas Luiz Romero")*(10/1083),0)))))),0)</f>
        <v/>
      </c>
      <c r="K95" s="3">
        <f>I95-J95</f>
        <v/>
      </c>
      <c r="L95" s="3">
        <f>IF(K95&lt;-5,"CRÍTICO",IF(K95&lt;0,"ATENÇÃO",IF(K95&lt;=5,"OPORTUNO","MUITO BOM")))</f>
        <v/>
      </c>
      <c r="M95" t="n">
        <v>3</v>
      </c>
      <c r="N95" t="n">
        <v>100</v>
      </c>
      <c r="O95" t="n">
        <v>14.28571428571428</v>
      </c>
    </row>
    <row r="96" hidden="1">
      <c r="A96" s="5" t="n">
        <v>46160</v>
      </c>
      <c r="B96" s="6" t="inlineStr">
        <is>
          <t>Gabriel Alves</t>
        </is>
      </c>
      <c r="C96" s="3" t="inlineStr">
        <is>
          <t>Estágio</t>
        </is>
      </c>
      <c r="D96" s="3" t="n">
        <v>2</v>
      </c>
      <c r="E96" s="3" t="n">
        <v>2</v>
      </c>
      <c r="F96" t="n">
        <v>170.55</v>
      </c>
      <c r="G96" s="3" t="n">
        <v>0</v>
      </c>
      <c r="H96" s="3" t="n">
        <v>0</v>
      </c>
      <c r="I96" s="3">
        <f>E96+G96+H96</f>
        <v/>
      </c>
      <c r="J96" s="3">
        <f>ROUND(MIN(IF(C96="Técnico III",35,IF(C96="Técnico II",28,IF(C96="Técnico I",23,IF(C96="JR",20,IF(C96="Estágio",10,0))))),IF(C96="Técnico III",SUMIFS($D:$D,$A:$A,$A96,$B:$B,"&lt;&gt;Patrícia Karla de Sousa Araújo",$B:$B,"&lt;&gt;Lorena Dias de Araujo",$B:$B,"&lt;&gt;Lucas Luiz Romero")*(35/1083),IF(C96="Técnico II",SUMIFS($D:$D,$A:$A,$A96,$B:$B,"&lt;&gt;Patrícia Karla de Sousa Araújo",$B:$B,"&lt;&gt;Lorena Dias de Araujo",$B:$B,"&lt;&gt;Lucas Luiz Romero")*(28/1083),IF(C96="Técnico I",SUMIFS($D:$D,$A:$A,$A96,$B:$B,"&lt;&gt;Patrícia Karla de Sousa Araújo",$B:$B,"&lt;&gt;Lorena Dias de Araujo",$B:$B,"&lt;&gt;Lucas Luiz Romero")*(23/1083),IF(C96="JR",SUMIFS($D:$D,$A:$A,$A96,$B:$B,"&lt;&gt;Patrícia Karla de Sousa Araújo",$B:$B,"&lt;&gt;Lorena Dias de Araujo",$B:$B,"&lt;&gt;Lucas Luiz Romero")*(20/1083),IF(C96="Estágio",SUMIFS($D:$D,$A:$A,$A96,$B:$B,"&lt;&gt;Patrícia Karla de Sousa Araújo",$B:$B,"&lt;&gt;Lorena Dias de Araujo",$B:$B,"&lt;&gt;Lucas Luiz Romero")*(10/1083),0)))))),0)</f>
        <v/>
      </c>
      <c r="K96" s="3">
        <f>I96-J96</f>
        <v/>
      </c>
      <c r="L96" s="3">
        <f>IF(K96&lt;-5,"CRÍTICO",IF(K96&lt;0,"ATENÇÃO",IF(K96&lt;=5,"OPORTUNO","MUITO BOM")))</f>
        <v/>
      </c>
      <c r="M96" t="n">
        <v>2</v>
      </c>
      <c r="N96" t="n">
        <v>100</v>
      </c>
      <c r="O96" t="n">
        <v>14.28571428571428</v>
      </c>
    </row>
    <row r="97" hidden="1">
      <c r="A97" s="7" t="n">
        <v>46161</v>
      </c>
      <c r="B97" s="8" t="inlineStr">
        <is>
          <t>Gabriel Alves</t>
        </is>
      </c>
      <c r="C97" s="9" t="inlineStr">
        <is>
          <t>Estágio</t>
        </is>
      </c>
      <c r="D97" s="3" t="n">
        <v>4</v>
      </c>
      <c r="E97" s="3" t="n">
        <v>4</v>
      </c>
      <c r="F97" t="n">
        <v>56.44</v>
      </c>
      <c r="G97" s="3" t="n">
        <v>0</v>
      </c>
      <c r="H97" s="3" t="n">
        <v>0</v>
      </c>
      <c r="I97" s="3">
        <f>E97+G97+H97</f>
        <v/>
      </c>
      <c r="J97" s="3">
        <f>ROUND(MIN(IF(C97="Técnico III",35,IF(C97="Técnico II",28,IF(C97="Técnico I",23,IF(C97="JR",20,IF(C97="Estágio",10,0))))),IF(C97="Técnico III",SUMIFS($D:$D,$A:$A,$A97,$B:$B,"&lt;&gt;Patrícia Karla de Sousa Araújo",$B:$B,"&lt;&gt;Lorena Dias de Araujo",$B:$B,"&lt;&gt;Lucas Luiz Romero")*(35/1083),IF(C97="Técnico II",SUMIFS($D:$D,$A:$A,$A97,$B:$B,"&lt;&gt;Patrícia Karla de Sousa Araújo",$B:$B,"&lt;&gt;Lorena Dias de Araujo",$B:$B,"&lt;&gt;Lucas Luiz Romero")*(28/1083),IF(C97="Técnico I",SUMIFS($D:$D,$A:$A,$A97,$B:$B,"&lt;&gt;Patrícia Karla de Sousa Araújo",$B:$B,"&lt;&gt;Lorena Dias de Araujo",$B:$B,"&lt;&gt;Lucas Luiz Romero")*(23/1083),IF(C97="JR",SUMIFS($D:$D,$A:$A,$A97,$B:$B,"&lt;&gt;Patrícia Karla de Sousa Araújo",$B:$B,"&lt;&gt;Lorena Dias de Araujo",$B:$B,"&lt;&gt;Lucas Luiz Romero")*(20/1083),IF(C97="Estágio",SUMIFS($D:$D,$A:$A,$A97,$B:$B,"&lt;&gt;Patrícia Karla de Sousa Araújo",$B:$B,"&lt;&gt;Lorena Dias de Araujo",$B:$B,"&lt;&gt;Lucas Luiz Romero")*(10/1083),0)))))),0)</f>
        <v/>
      </c>
      <c r="K97" s="3">
        <f>I97-J97</f>
        <v/>
      </c>
      <c r="L97" s="3">
        <f>IF(K97&lt;-5,"CRÍTICO",IF(K97&lt;0,"ATENÇÃO",IF(K97&lt;=5,"OPORTUNO","MUITO BOM")))</f>
        <v/>
      </c>
      <c r="M97" t="n">
        <v>3</v>
      </c>
      <c r="N97" t="n">
        <v>100</v>
      </c>
      <c r="O97" t="n">
        <v>14.28571428571428</v>
      </c>
    </row>
    <row r="98" hidden="1">
      <c r="A98" s="7" t="n">
        <v>46162</v>
      </c>
      <c r="B98" s="8" t="inlineStr">
        <is>
          <t>Gabriel Alves</t>
        </is>
      </c>
      <c r="C98" s="9" t="inlineStr">
        <is>
          <t>Estágio</t>
        </is>
      </c>
      <c r="D98" s="3" t="n">
        <v>7</v>
      </c>
      <c r="E98" s="3" t="n">
        <v>7</v>
      </c>
      <c r="F98" s="3" t="n">
        <v>37.06</v>
      </c>
      <c r="G98" s="3" t="n">
        <v>0</v>
      </c>
      <c r="H98" s="3" t="n">
        <v>0</v>
      </c>
      <c r="I98" s="3">
        <f>E98+G98+H98</f>
        <v/>
      </c>
      <c r="J98" s="3">
        <f>ROUND(MIN(IF(C98="Técnico III",35,IF(C98="Técnico II",28,IF(C98="Técnico I",23,IF(C98="JR",20,IF(C98="Estágio",10,0))))),IF(C98="Técnico III",SUMIFS($D:$D,$A:$A,$A98,$B:$B,"&lt;&gt;Patrícia Karla de Sousa Araújo",$B:$B,"&lt;&gt;Lorena Dias de Araujo",$B:$B,"&lt;&gt;Lucas Luiz Romero")*(35/1083),IF(C98="Técnico II",SUMIFS($D:$D,$A:$A,$A98,$B:$B,"&lt;&gt;Patrícia Karla de Sousa Araújo",$B:$B,"&lt;&gt;Lorena Dias de Araujo",$B:$B,"&lt;&gt;Lucas Luiz Romero")*(28/1083),IF(C98="Técnico I",SUMIFS($D:$D,$A:$A,$A98,$B:$B,"&lt;&gt;Patrícia Karla de Sousa Araújo",$B:$B,"&lt;&gt;Lorena Dias de Araujo",$B:$B,"&lt;&gt;Lucas Luiz Romero")*(23/1083),IF(C98="JR",SUMIFS($D:$D,$A:$A,$A98,$B:$B,"&lt;&gt;Patrícia Karla de Sousa Araújo",$B:$B,"&lt;&gt;Lorena Dias de Araujo",$B:$B,"&lt;&gt;Lucas Luiz Romero")*(20/1083),IF(C98="Estágio",SUMIFS($D:$D,$A:$A,$A98,$B:$B,"&lt;&gt;Patrícia Karla de Sousa Araújo",$B:$B,"&lt;&gt;Lorena Dias de Araujo",$B:$B,"&lt;&gt;Lucas Luiz Romero")*(10/1083),0)))))),0)</f>
        <v/>
      </c>
      <c r="K98" s="3">
        <f>I98-J98</f>
        <v/>
      </c>
      <c r="L98" s="3">
        <f>IF(K98&lt;-5,"CRÍTICO",IF(K98&lt;0,"ATENÇÃO",IF(K98&lt;=5,"OPORTUNO","MUITO BOM")))</f>
        <v/>
      </c>
      <c r="M98" s="9" t="n">
        <v>6</v>
      </c>
      <c r="N98" s="9" t="n">
        <v>100</v>
      </c>
      <c r="O98" s="9" t="n">
        <v>14.28571428571428</v>
      </c>
    </row>
    <row r="99" hidden="1">
      <c r="A99" s="5" t="n">
        <v>46163</v>
      </c>
      <c r="B99" s="6" t="inlineStr">
        <is>
          <t>Gabriel Alves</t>
        </is>
      </c>
      <c r="C99" s="3" t="inlineStr">
        <is>
          <t>Estágio</t>
        </is>
      </c>
      <c r="D99" s="3" t="n">
        <v>0</v>
      </c>
      <c r="E99" s="3" t="n">
        <v>0</v>
      </c>
      <c r="F99" s="3" t="n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>
        <f>IF(K99&lt;-5,"CRÍTICO",IF(K99&lt;0,"ATENÇÃO",IF(K99&lt;=5,"OPORTUNO","MUITO BOM")))</f>
        <v/>
      </c>
      <c r="M99" s="3" t="n">
        <v>0</v>
      </c>
      <c r="N99" s="3" t="n">
        <v>100</v>
      </c>
      <c r="O99" s="3" t="n">
        <v>14.28571428571428</v>
      </c>
    </row>
    <row r="100" hidden="1">
      <c r="A100" s="10" t="n">
        <v>46164</v>
      </c>
      <c r="B100" s="6" t="inlineStr">
        <is>
          <t>Gabriel Alves</t>
        </is>
      </c>
      <c r="C100" s="3" t="inlineStr">
        <is>
          <t>Estágio</t>
        </is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>
        <f>IF(K100&lt;-5,"CRÍTICO",IF(K100&lt;0,"ATENÇÃO",IF(K100&lt;=5,"OPORTUNO","MUITO BOM")))</f>
        <v/>
      </c>
      <c r="M100" s="3" t="n">
        <v>0</v>
      </c>
      <c r="N100" s="3" t="n">
        <v>100</v>
      </c>
      <c r="O100" s="3" t="n">
        <v>14.28571428571428</v>
      </c>
    </row>
    <row r="101" hidden="1">
      <c r="A101" s="11" t="n">
        <v>46140</v>
      </c>
      <c r="B101" t="inlineStr">
        <is>
          <t>Anna Luiza Rezende Tavares</t>
        </is>
      </c>
      <c r="C101" t="inlineStr">
        <is>
          <t>Estágio</t>
        </is>
      </c>
      <c r="D101" t="n">
        <v>27</v>
      </c>
      <c r="E101" t="n">
        <v>27</v>
      </c>
      <c r="F101" t="n">
        <v>20.5</v>
      </c>
      <c r="G101" t="n">
        <v>0</v>
      </c>
      <c r="H101" t="n">
        <v>0</v>
      </c>
      <c r="I101" s="3">
        <f>E101+G101+H101</f>
        <v/>
      </c>
      <c r="J101" s="3">
        <f>ROUND(MIN(IF(C101="Técnico III",35,IF(C101="Técnico II",28,IF(C101="Técnico I",23,IF(C101="JR",20,IF(C101="Estágio",10,0))))),IF(C101="Técnico III",SUMIFS($D:$D,$A:$A,$A101,$B:$B,"&lt;&gt;Patrícia Karla de Sousa Araújo",$B:$B,"&lt;&gt;Lorena Dias de Araujo",$B:$B,"&lt;&gt;Lucas Luiz Romero")*(35/1083),IF(C101="Técnico II",SUMIFS($D:$D,$A:$A,$A101,$B:$B,"&lt;&gt;Patrícia Karla de Sousa Araújo",$B:$B,"&lt;&gt;Lorena Dias de Araujo",$B:$B,"&lt;&gt;Lucas Luiz Romero")*(28/1083),IF(C101="Técnico I",SUMIFS($D:$D,$A:$A,$A101,$B:$B,"&lt;&gt;Patrícia Karla de Sousa Araújo",$B:$B,"&lt;&gt;Lorena Dias de Araujo",$B:$B,"&lt;&gt;Lucas Luiz Romero")*(23/1083),IF(C101="JR",SUMIFS($D:$D,$A:$A,$A101,$B:$B,"&lt;&gt;Patrícia Karla de Sousa Araújo",$B:$B,"&lt;&gt;Lorena Dias de Araujo",$B:$B,"&lt;&gt;Lucas Luiz Romero")*(20/1083),IF(C101="Estágio",SUMIFS($D:$D,$A:$A,$A101,$B:$B,"&lt;&gt;Patrícia Karla de Sousa Araújo",$B:$B,"&lt;&gt;Lorena Dias de Araujo",$B:$B,"&lt;&gt;Lucas Luiz Romero")*(10/1083),0)))))),0)</f>
        <v/>
      </c>
      <c r="K101" s="3">
        <f>I101-J101</f>
        <v/>
      </c>
      <c r="L101" s="3">
        <f>IF(K101&lt;-5,"CRÍTICO",IF(K101&lt;0,"ATENÇÃO",IF(K101&lt;=5,"OPORTUNO","MUITO BOM")))</f>
        <v/>
      </c>
      <c r="N101" t="n">
        <v>96.73999999999999</v>
      </c>
      <c r="O101" t="n">
        <v>28.43137254901961</v>
      </c>
    </row>
    <row r="102" hidden="1">
      <c r="A102" s="11" t="n">
        <v>46140</v>
      </c>
      <c r="B102" t="inlineStr">
        <is>
          <t>Claudio de Sousa Velasco Filho</t>
        </is>
      </c>
      <c r="C102" t="inlineStr">
        <is>
          <t>Estágio</t>
        </is>
      </c>
      <c r="D102" t="n">
        <v>10</v>
      </c>
      <c r="E102" t="n">
        <v>9</v>
      </c>
      <c r="F102" t="n">
        <v>13.36</v>
      </c>
      <c r="G102" t="n">
        <v>0</v>
      </c>
      <c r="H102" t="n">
        <v>0</v>
      </c>
      <c r="I102" s="3">
        <f>E102+G102+H102</f>
        <v/>
      </c>
      <c r="J102" s="3">
        <f>ROUND(MIN(IF(C102="Técnico III",35,IF(C102="Técnico II",28,IF(C102="Técnico I",23,IF(C102="JR",20,IF(C102="Estágio",10,0))))),IF(C102="Técnico III",SUMIFS($D:$D,$A:$A,$A102,$B:$B,"&lt;&gt;Patrícia Karla de Sousa Araújo",$B:$B,"&lt;&gt;Lorena Dias de Araujo",$B:$B,"&lt;&gt;Lucas Luiz Romero")*(35/1083),IF(C102="Técnico II",SUMIFS($D:$D,$A:$A,$A102,$B:$B,"&lt;&gt;Patrícia Karla de Sousa Araújo",$B:$B,"&lt;&gt;Lorena Dias de Araujo",$B:$B,"&lt;&gt;Lucas Luiz Romero")*(28/1083),IF(C102="Técnico I",SUMIFS($D:$D,$A:$A,$A102,$B:$B,"&lt;&gt;Patrícia Karla de Sousa Araújo",$B:$B,"&lt;&gt;Lorena Dias de Araujo",$B:$B,"&lt;&gt;Lucas Luiz Romero")*(23/1083),IF(C102="JR",SUMIFS($D:$D,$A:$A,$A102,$B:$B,"&lt;&gt;Patrícia Karla de Sousa Araújo",$B:$B,"&lt;&gt;Lorena Dias de Araujo",$B:$B,"&lt;&gt;Lucas Luiz Romero")*(20/1083),IF(C102="Estágio",SUMIFS($D:$D,$A:$A,$A102,$B:$B,"&lt;&gt;Patrícia Karla de Sousa Araújo",$B:$B,"&lt;&gt;Lorena Dias de Araujo",$B:$B,"&lt;&gt;Lucas Luiz Romero")*(10/1083),0)))))),0)</f>
        <v/>
      </c>
      <c r="K102" s="3">
        <f>I102-J102</f>
        <v/>
      </c>
      <c r="L102" s="3">
        <f>IF(K102&lt;-5,"CRÍTICO",IF(K102&lt;0,"ATENÇÃO",IF(K102&lt;=5,"OPORTUNO","MUITO BOM")))</f>
        <v/>
      </c>
      <c r="N102" t="n">
        <v>100</v>
      </c>
      <c r="O102" t="n">
        <v>23.13432835820895</v>
      </c>
    </row>
    <row r="103" hidden="1">
      <c r="A103" s="11" t="n">
        <v>46140</v>
      </c>
      <c r="B103" t="inlineStr">
        <is>
          <t>Emilly Caylane Costa</t>
        </is>
      </c>
      <c r="C103" t="inlineStr">
        <is>
          <t>Estágio</t>
        </is>
      </c>
      <c r="D103" t="n">
        <v>8</v>
      </c>
      <c r="E103" t="n">
        <v>6</v>
      </c>
      <c r="F103" t="n">
        <v>39.18</v>
      </c>
      <c r="G103" t="n">
        <v>0</v>
      </c>
      <c r="H103" t="n">
        <v>0</v>
      </c>
      <c r="I103" s="3">
        <f>E103+G103+H103</f>
        <v/>
      </c>
      <c r="J103" s="3">
        <f>ROUND(MIN(IF(C103="Técnico III",35,IF(C103="Técnico II",28,IF(C103="Técnico I",23,IF(C103="JR",20,IF(C103="Estágio",10,0))))),IF(C103="Técnico III",SUMIFS($D:$D,$A:$A,$A103,$B:$B,"&lt;&gt;Patrícia Karla de Sousa Araújo",$B:$B,"&lt;&gt;Lorena Dias de Araujo",$B:$B,"&lt;&gt;Lucas Luiz Romero")*(35/1083),IF(C103="Técnico II",SUMIFS($D:$D,$A:$A,$A103,$B:$B,"&lt;&gt;Patrícia Karla de Sousa Araújo",$B:$B,"&lt;&gt;Lorena Dias de Araujo",$B:$B,"&lt;&gt;Lucas Luiz Romero")*(28/1083),IF(C103="Técnico I",SUMIFS($D:$D,$A:$A,$A103,$B:$B,"&lt;&gt;Patrícia Karla de Sousa Araújo",$B:$B,"&lt;&gt;Lorena Dias de Araujo",$B:$B,"&lt;&gt;Lucas Luiz Romero")*(23/1083),IF(C103="JR",SUMIFS($D:$D,$A:$A,$A103,$B:$B,"&lt;&gt;Patrícia Karla de Sousa Araújo",$B:$B,"&lt;&gt;Lorena Dias de Araujo",$B:$B,"&lt;&gt;Lucas Luiz Romero")*(20/1083),IF(C103="Estágio",SUMIFS($D:$D,$A:$A,$A103,$B:$B,"&lt;&gt;Patrícia Karla de Sousa Araújo",$B:$B,"&lt;&gt;Lorena Dias de Araujo",$B:$B,"&lt;&gt;Lucas Luiz Romero")*(10/1083),0)))))),0)</f>
        <v/>
      </c>
      <c r="K103" s="3">
        <f>I103-J103</f>
        <v/>
      </c>
      <c r="L103" s="3">
        <f>IF(K103&lt;-5,"CRÍTICO",IF(K103&lt;0,"ATENÇÃO",IF(K103&lt;=5,"OPORTUNO","MUITO BOM")))</f>
        <v/>
      </c>
      <c r="N103" t="n">
        <v>100</v>
      </c>
      <c r="O103" t="n">
        <v>27.36842105263158</v>
      </c>
    </row>
    <row r="104" hidden="1">
      <c r="A104" s="11" t="n">
        <v>46140</v>
      </c>
      <c r="B104" t="inlineStr">
        <is>
          <t>Maria Eduarda Sousa Costa</t>
        </is>
      </c>
      <c r="C104" t="inlineStr">
        <is>
          <t>Estágio</t>
        </is>
      </c>
      <c r="D104" t="n">
        <v>78</v>
      </c>
      <c r="E104" t="n">
        <v>47</v>
      </c>
      <c r="F104" t="n">
        <v>5.47</v>
      </c>
      <c r="G104" t="n">
        <v>0</v>
      </c>
      <c r="H104" t="n">
        <v>0</v>
      </c>
      <c r="I104" s="3">
        <f>E104+G104+H104</f>
        <v/>
      </c>
      <c r="J104" s="3">
        <f>ROUND(MIN(IF(C104="Técnico III",35,IF(C104="Técnico II",28,IF(C104="Técnico I",23,IF(C104="JR",20,IF(C104="Estágio",10,0))))),IF(C104="Técnico III",SUMIFS($D:$D,$A:$A,$A104,$B:$B,"&lt;&gt;Patrícia Karla de Sousa Araújo",$B:$B,"&lt;&gt;Lorena Dias de Araujo",$B:$B,"&lt;&gt;Lucas Luiz Romero")*(35/1083),IF(C104="Técnico II",SUMIFS($D:$D,$A:$A,$A104,$B:$B,"&lt;&gt;Patrícia Karla de Sousa Araújo",$B:$B,"&lt;&gt;Lorena Dias de Araujo",$B:$B,"&lt;&gt;Lucas Luiz Romero")*(28/1083),IF(C104="Técnico I",SUMIFS($D:$D,$A:$A,$A104,$B:$B,"&lt;&gt;Patrícia Karla de Sousa Araújo",$B:$B,"&lt;&gt;Lorena Dias de Araujo",$B:$B,"&lt;&gt;Lucas Luiz Romero")*(23/1083),IF(C104="JR",SUMIFS($D:$D,$A:$A,$A104,$B:$B,"&lt;&gt;Patrícia Karla de Sousa Araújo",$B:$B,"&lt;&gt;Lorena Dias de Araujo",$B:$B,"&lt;&gt;Lucas Luiz Romero")*(20/1083),IF(C104="Estágio",SUMIFS($D:$D,$A:$A,$A104,$B:$B,"&lt;&gt;Patrícia Karla de Sousa Araújo",$B:$B,"&lt;&gt;Lorena Dias de Araujo",$B:$B,"&lt;&gt;Lucas Luiz Romero")*(10/1083),0)))))),0)</f>
        <v/>
      </c>
      <c r="K104" s="3">
        <f>I104-J104</f>
        <v/>
      </c>
      <c r="L104" s="3">
        <f>IF(K104&lt;-5,"CRÍTICO",IF(K104&lt;0,"ATENÇÃO",IF(K104&lt;=5,"OPORTUNO","MUITO BOM")))</f>
        <v/>
      </c>
      <c r="N104" t="n">
        <v>100</v>
      </c>
      <c r="O104" t="n">
        <v>25</v>
      </c>
    </row>
    <row r="105" hidden="1">
      <c r="A105" s="11" t="n">
        <v>46140</v>
      </c>
      <c r="B105" t="inlineStr">
        <is>
          <t>Michelle G Santos</t>
        </is>
      </c>
      <c r="C105" t="inlineStr">
        <is>
          <t>Estágio</t>
        </is>
      </c>
      <c r="D105" t="n">
        <v>13</v>
      </c>
      <c r="E105" t="n">
        <v>13</v>
      </c>
      <c r="F105" t="n">
        <v>25.28</v>
      </c>
      <c r="G105" t="n">
        <v>0</v>
      </c>
      <c r="H105" t="n">
        <v>0</v>
      </c>
      <c r="I105" s="3">
        <f>E105+G105+H105</f>
        <v/>
      </c>
      <c r="J105" s="3">
        <f>ROUND(MIN(IF(C105="Técnico III",35,IF(C105="Técnico II",28,IF(C105="Técnico I",23,IF(C105="JR",20,IF(C105="Estágio",10,0))))),IF(C105="Técnico III",SUMIFS($D:$D,$A:$A,$A105,$B:$B,"&lt;&gt;Patrícia Karla de Sousa Araújo",$B:$B,"&lt;&gt;Lorena Dias de Araujo",$B:$B,"&lt;&gt;Lucas Luiz Romero")*(35/1083),IF(C105="Técnico II",SUMIFS($D:$D,$A:$A,$A105,$B:$B,"&lt;&gt;Patrícia Karla de Sousa Araújo",$B:$B,"&lt;&gt;Lorena Dias de Araujo",$B:$B,"&lt;&gt;Lucas Luiz Romero")*(28/1083),IF(C105="Técnico I",SUMIFS($D:$D,$A:$A,$A105,$B:$B,"&lt;&gt;Patrícia Karla de Sousa Araújo",$B:$B,"&lt;&gt;Lorena Dias de Araujo",$B:$B,"&lt;&gt;Lucas Luiz Romero")*(23/1083),IF(C105="JR",SUMIFS($D:$D,$A:$A,$A105,$B:$B,"&lt;&gt;Patrícia Karla de Sousa Araújo",$B:$B,"&lt;&gt;Lorena Dias de Araujo",$B:$B,"&lt;&gt;Lucas Luiz Romero")*(20/1083),IF(C105="Estágio",SUMIFS($D:$D,$A:$A,$A105,$B:$B,"&lt;&gt;Patrícia Karla de Sousa Araújo",$B:$B,"&lt;&gt;Lorena Dias de Araujo",$B:$B,"&lt;&gt;Lucas Luiz Romero")*(10/1083),0)))))),0)</f>
        <v/>
      </c>
      <c r="K105" s="3">
        <f>I105-J105</f>
        <v/>
      </c>
      <c r="L105" s="3">
        <f>IF(K105&lt;-5,"CRÍTICO",IF(K105&lt;0,"ATENÇÃO",IF(K105&lt;=5,"OPORTUNO","MUITO BOM")))</f>
        <v/>
      </c>
      <c r="N105" t="n">
        <v>100</v>
      </c>
      <c r="O105" t="n">
        <v>23.77622377622378</v>
      </c>
    </row>
    <row r="106" hidden="1">
      <c r="A106" s="11" t="n">
        <v>46140</v>
      </c>
      <c r="B106" t="inlineStr">
        <is>
          <t>Quirino Diogo Leite Torres</t>
        </is>
      </c>
      <c r="C106" t="inlineStr">
        <is>
          <t>Estágio</t>
        </is>
      </c>
      <c r="D106" t="n">
        <v>13</v>
      </c>
      <c r="E106" t="n">
        <v>13</v>
      </c>
      <c r="F106" t="n">
        <v>33.2</v>
      </c>
      <c r="G106" t="n">
        <v>0</v>
      </c>
      <c r="H106" t="n">
        <v>0</v>
      </c>
      <c r="I106" s="3">
        <f>E106+G106+H106</f>
        <v/>
      </c>
      <c r="J106" s="3">
        <f>ROUND(MIN(IF(C106="Técnico III",35,IF(C106="Técnico II",28,IF(C106="Técnico I",23,IF(C106="JR",20,IF(C106="Estágio",10,0))))),IF(C106="Técnico III",SUMIFS($D:$D,$A:$A,$A106,$B:$B,"&lt;&gt;Patrícia Karla de Sousa Araújo",$B:$B,"&lt;&gt;Lorena Dias de Araujo",$B:$B,"&lt;&gt;Lucas Luiz Romero")*(35/1083),IF(C106="Técnico II",SUMIFS($D:$D,$A:$A,$A106,$B:$B,"&lt;&gt;Patrícia Karla de Sousa Araújo",$B:$B,"&lt;&gt;Lorena Dias de Araujo",$B:$B,"&lt;&gt;Lucas Luiz Romero")*(28/1083),IF(C106="Técnico I",SUMIFS($D:$D,$A:$A,$A106,$B:$B,"&lt;&gt;Patrícia Karla de Sousa Araújo",$B:$B,"&lt;&gt;Lorena Dias de Araujo",$B:$B,"&lt;&gt;Lucas Luiz Romero")*(23/1083),IF(C106="JR",SUMIFS($D:$D,$A:$A,$A106,$B:$B,"&lt;&gt;Patrícia Karla de Sousa Araújo",$B:$B,"&lt;&gt;Lorena Dias de Araujo",$B:$B,"&lt;&gt;Lucas Luiz Romero")*(20/1083),IF(C106="Estágio",SUMIFS($D:$D,$A:$A,$A106,$B:$B,"&lt;&gt;Patrícia Karla de Sousa Araújo",$B:$B,"&lt;&gt;Lorena Dias de Araujo",$B:$B,"&lt;&gt;Lucas Luiz Romero")*(10/1083),0)))))),0)</f>
        <v/>
      </c>
      <c r="K106" s="3">
        <f>I106-J106</f>
        <v/>
      </c>
      <c r="L106" s="3">
        <f>IF(K106&lt;-5,"CRÍTICO",IF(K106&lt;0,"ATENÇÃO",IF(K106&lt;=5,"OPORTUNO","MUITO BOM")))</f>
        <v/>
      </c>
      <c r="N106" t="n">
        <v>94.12</v>
      </c>
      <c r="O106" t="n">
        <v>32.8</v>
      </c>
    </row>
    <row r="107" hidden="1">
      <c r="A107" s="11" t="n">
        <v>46141</v>
      </c>
      <c r="B107" t="inlineStr">
        <is>
          <t>Anna Luiza Rezende Tavares</t>
        </is>
      </c>
      <c r="C107" t="inlineStr">
        <is>
          <t>Estágio</t>
        </is>
      </c>
      <c r="D107" t="n">
        <v>34</v>
      </c>
      <c r="E107" t="n">
        <v>31</v>
      </c>
      <c r="F107" t="n">
        <v>15.45</v>
      </c>
      <c r="G107" t="n">
        <v>0</v>
      </c>
      <c r="H107" t="n">
        <v>0</v>
      </c>
      <c r="I107" s="3">
        <f>E107+G107+H107</f>
        <v/>
      </c>
      <c r="J107" s="3">
        <f>ROUND(MIN(IF(C107="Técnico III",35,IF(C107="Técnico II",28,IF(C107="Técnico I",23,IF(C107="JR",20,IF(C107="Estágio",10,0))))),IF(C107="Técnico III",SUMIFS($D:$D,$A:$A,$A107,$B:$B,"&lt;&gt;Patrícia Karla de Sousa Araújo",$B:$B,"&lt;&gt;Lorena Dias de Araujo",$B:$B,"&lt;&gt;Lucas Luiz Romero")*(35/1083),IF(C107="Técnico II",SUMIFS($D:$D,$A:$A,$A107,$B:$B,"&lt;&gt;Patrícia Karla de Sousa Araújo",$B:$B,"&lt;&gt;Lorena Dias de Araujo",$B:$B,"&lt;&gt;Lucas Luiz Romero")*(28/1083),IF(C107="Técnico I",SUMIFS($D:$D,$A:$A,$A107,$B:$B,"&lt;&gt;Patrícia Karla de Sousa Araújo",$B:$B,"&lt;&gt;Lorena Dias de Araujo",$B:$B,"&lt;&gt;Lucas Luiz Romero")*(23/1083),IF(C107="JR",SUMIFS($D:$D,$A:$A,$A107,$B:$B,"&lt;&gt;Patrícia Karla de Sousa Araújo",$B:$B,"&lt;&gt;Lorena Dias de Araujo",$B:$B,"&lt;&gt;Lucas Luiz Romero")*(20/1083),IF(C107="Estágio",SUMIFS($D:$D,$A:$A,$A107,$B:$B,"&lt;&gt;Patrícia Karla de Sousa Araújo",$B:$B,"&lt;&gt;Lorena Dias de Araujo",$B:$B,"&lt;&gt;Lucas Luiz Romero")*(10/1083),0)))))),0)</f>
        <v/>
      </c>
      <c r="K107" s="3">
        <f>I107-J107</f>
        <v/>
      </c>
      <c r="L107" s="3">
        <f>IF(K107&lt;-5,"CRÍTICO",IF(K107&lt;0,"ATENÇÃO",IF(K107&lt;=5,"OPORTUNO","MUITO BOM")))</f>
        <v/>
      </c>
      <c r="N107" t="n">
        <v>96.73999999999999</v>
      </c>
      <c r="O107" t="n">
        <v>28.43137254901961</v>
      </c>
    </row>
    <row r="108" hidden="1">
      <c r="A108" s="11" t="n">
        <v>46141</v>
      </c>
      <c r="B108" t="inlineStr">
        <is>
          <t>Claudio de Sousa Velasco Filho</t>
        </is>
      </c>
      <c r="C108" t="inlineStr">
        <is>
          <t>Estágio</t>
        </is>
      </c>
      <c r="D108" t="n">
        <v>22</v>
      </c>
      <c r="E108" t="n">
        <v>17</v>
      </c>
      <c r="F108" t="n">
        <v>10.53</v>
      </c>
      <c r="G108" t="n">
        <v>0</v>
      </c>
      <c r="H108" t="n">
        <v>0</v>
      </c>
      <c r="I108" s="3">
        <f>E108+G108+H108</f>
        <v/>
      </c>
      <c r="J108" s="3">
        <f>ROUND(MIN(IF(C108="Técnico III",35,IF(C108="Técnico II",28,IF(C108="Técnico I",23,IF(C108="JR",20,IF(C108="Estágio",10,0))))),IF(C108="Técnico III",SUMIFS($D:$D,$A:$A,$A108,$B:$B,"&lt;&gt;Patrícia Karla de Sousa Araújo",$B:$B,"&lt;&gt;Lorena Dias de Araujo",$B:$B,"&lt;&gt;Lucas Luiz Romero")*(35/1083),IF(C108="Técnico II",SUMIFS($D:$D,$A:$A,$A108,$B:$B,"&lt;&gt;Patrícia Karla de Sousa Araújo",$B:$B,"&lt;&gt;Lorena Dias de Araujo",$B:$B,"&lt;&gt;Lucas Luiz Romero")*(28/1083),IF(C108="Técnico I",SUMIFS($D:$D,$A:$A,$A108,$B:$B,"&lt;&gt;Patrícia Karla de Sousa Araújo",$B:$B,"&lt;&gt;Lorena Dias de Araujo",$B:$B,"&lt;&gt;Lucas Luiz Romero")*(23/1083),IF(C108="JR",SUMIFS($D:$D,$A:$A,$A108,$B:$B,"&lt;&gt;Patrícia Karla de Sousa Araújo",$B:$B,"&lt;&gt;Lorena Dias de Araujo",$B:$B,"&lt;&gt;Lucas Luiz Romero")*(20/1083),IF(C108="Estágio",SUMIFS($D:$D,$A:$A,$A108,$B:$B,"&lt;&gt;Patrícia Karla de Sousa Araújo",$B:$B,"&lt;&gt;Lorena Dias de Araujo",$B:$B,"&lt;&gt;Lucas Luiz Romero")*(10/1083),0)))))),0)</f>
        <v/>
      </c>
      <c r="K108" s="3">
        <f>I108-J108</f>
        <v/>
      </c>
      <c r="L108" s="3">
        <f>IF(K108&lt;-5,"CRÍTICO",IF(K108&lt;0,"ATENÇÃO",IF(K108&lt;=5,"OPORTUNO","MUITO BOM")))</f>
        <v/>
      </c>
      <c r="N108" t="n">
        <v>100</v>
      </c>
      <c r="O108" t="n">
        <v>23.13432835820895</v>
      </c>
    </row>
    <row r="109" hidden="1">
      <c r="A109" s="11" t="n">
        <v>46141</v>
      </c>
      <c r="B109" t="inlineStr">
        <is>
          <t>Emilly Caylane Costa</t>
        </is>
      </c>
      <c r="C109" t="inlineStr">
        <is>
          <t>Estágio</t>
        </is>
      </c>
      <c r="D109" t="n">
        <v>8</v>
      </c>
      <c r="E109" t="n">
        <v>8</v>
      </c>
      <c r="F109" t="n">
        <v>43.36</v>
      </c>
      <c r="G109" t="n">
        <v>0</v>
      </c>
      <c r="H109" t="n">
        <v>0</v>
      </c>
      <c r="I109" s="3">
        <f>E109+G109+H109</f>
        <v/>
      </c>
      <c r="J109" s="3">
        <f>ROUND(MIN(IF(C109="Técnico III",35,IF(C109="Técnico II",28,IF(C109="Técnico I",23,IF(C109="JR",20,IF(C109="Estágio",10,0))))),IF(C109="Técnico III",SUMIFS($D:$D,$A:$A,$A109,$B:$B,"&lt;&gt;Patrícia Karla de Sousa Araújo",$B:$B,"&lt;&gt;Lorena Dias de Araujo",$B:$B,"&lt;&gt;Lucas Luiz Romero")*(35/1083),IF(C109="Técnico II",SUMIFS($D:$D,$A:$A,$A109,$B:$B,"&lt;&gt;Patrícia Karla de Sousa Araújo",$B:$B,"&lt;&gt;Lorena Dias de Araujo",$B:$B,"&lt;&gt;Lucas Luiz Romero")*(28/1083),IF(C109="Técnico I",SUMIFS($D:$D,$A:$A,$A109,$B:$B,"&lt;&gt;Patrícia Karla de Sousa Araújo",$B:$B,"&lt;&gt;Lorena Dias de Araujo",$B:$B,"&lt;&gt;Lucas Luiz Romero")*(23/1083),IF(C109="JR",SUMIFS($D:$D,$A:$A,$A109,$B:$B,"&lt;&gt;Patrícia Karla de Sousa Araújo",$B:$B,"&lt;&gt;Lorena Dias de Araujo",$B:$B,"&lt;&gt;Lucas Luiz Romero")*(20/1083),IF(C109="Estágio",SUMIFS($D:$D,$A:$A,$A109,$B:$B,"&lt;&gt;Patrícia Karla de Sousa Araújo",$B:$B,"&lt;&gt;Lorena Dias de Araujo",$B:$B,"&lt;&gt;Lucas Luiz Romero")*(10/1083),0)))))),0)</f>
        <v/>
      </c>
      <c r="K109" s="3">
        <f>I109-J109</f>
        <v/>
      </c>
      <c r="L109" s="3">
        <f>IF(K109&lt;-5,"CRÍTICO",IF(K109&lt;0,"ATENÇÃO",IF(K109&lt;=5,"OPORTUNO","MUITO BOM")))</f>
        <v/>
      </c>
      <c r="N109" t="n">
        <v>100</v>
      </c>
      <c r="O109" t="n">
        <v>27.36842105263158</v>
      </c>
    </row>
    <row r="110" hidden="1">
      <c r="A110" s="11" t="n">
        <v>46028</v>
      </c>
      <c r="B110" t="inlineStr">
        <is>
          <t>Gabriel Gomes de Andrade</t>
        </is>
      </c>
      <c r="C110" t="inlineStr">
        <is>
          <t>Técnico I</t>
        </is>
      </c>
      <c r="D110" t="n">
        <v>34</v>
      </c>
      <c r="E110" t="n">
        <v>33</v>
      </c>
      <c r="F110" t="n">
        <v>18.57</v>
      </c>
      <c r="G110" t="n">
        <v>0</v>
      </c>
      <c r="H110" t="n">
        <v>0</v>
      </c>
      <c r="I110" s="3">
        <f>E110+G110+H110</f>
        <v/>
      </c>
      <c r="J110" s="3">
        <f>ROUND(MIN(IF(C110="Técnico III",35,IF(C110="Técnico II",28,IF(C110="Técnico I",23,IF(C110="JR",20,IF(C110="Estágio",10,0))))),IF(C110="Técnico III",SUMIFS($D:$D,$A:$A,$A110,$B:$B,"&lt;&gt;Patrícia Karla de Sousa Araújo",$B:$B,"&lt;&gt;Lorena Dias de Araujo",$B:$B,"&lt;&gt;Lucas Luiz Romero")*(35/1083),IF(C110="Técnico II",SUMIFS($D:$D,$A:$A,$A110,$B:$B,"&lt;&gt;Patrícia Karla de Sousa Araújo",$B:$B,"&lt;&gt;Lorena Dias de Araujo",$B:$B,"&lt;&gt;Lucas Luiz Romero")*(28/1083),IF(C110="Técnico I",SUMIFS($D:$D,$A:$A,$A110,$B:$B,"&lt;&gt;Patrícia Karla de Sousa Araújo",$B:$B,"&lt;&gt;Lorena Dias de Araujo",$B:$B,"&lt;&gt;Lucas Luiz Romero")*(23/1083),IF(C110="JR",SUMIFS($D:$D,$A:$A,$A110,$B:$B,"&lt;&gt;Patrícia Karla de Sousa Araújo",$B:$B,"&lt;&gt;Lorena Dias de Araujo",$B:$B,"&lt;&gt;Lucas Luiz Romero")*(20/1083),IF(C110="Estágio",SUMIFS($D:$D,$A:$A,$A110,$B:$B,"&lt;&gt;Patrícia Karla de Sousa Araújo",$B:$B,"&lt;&gt;Lorena Dias de Araujo",$B:$B,"&lt;&gt;Lucas Luiz Romero")*(10/1083),0)))))),0)</f>
        <v/>
      </c>
      <c r="K110" s="3">
        <f>I110-J110</f>
        <v/>
      </c>
      <c r="L110" s="3">
        <f>IF(K110&lt;-5,"CRÍTICO",IF(K110&lt;0,"ATENÇÃO",IF(K110&lt;=5,"BOM","EXCELENTE")))</f>
        <v/>
      </c>
      <c r="M110" t="n">
        <v>30</v>
      </c>
      <c r="N110" t="n">
        <v>100</v>
      </c>
      <c r="O110" t="n">
        <v>22.58064516129032</v>
      </c>
    </row>
    <row r="111" hidden="1">
      <c r="A111" s="11" t="n">
        <v>46167</v>
      </c>
      <c r="B111" t="inlineStr">
        <is>
          <t>Gabriel Alves</t>
        </is>
      </c>
      <c r="C111" t="inlineStr">
        <is>
          <t>Estágio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s="3" t="n">
        <v>0</v>
      </c>
      <c r="J111" s="3" t="n">
        <v>0</v>
      </c>
      <c r="K111" s="3" t="n">
        <v>0</v>
      </c>
      <c r="L111" s="3">
        <f>IF(K111&lt;-5,"CRÍTICO",IF(K111&lt;0,"ATENÇÃO",IF(K111&lt;=5,"OPORTUNO","MUITO BOM")))</f>
        <v/>
      </c>
    </row>
    <row r="112" hidden="1">
      <c r="A112" s="11" t="n">
        <v>46141</v>
      </c>
      <c r="B112" t="inlineStr">
        <is>
          <t>Maria Eduarda Sousa Costa</t>
        </is>
      </c>
      <c r="C112" t="inlineStr">
        <is>
          <t>Estágio</t>
        </is>
      </c>
      <c r="D112" t="n">
        <v>69</v>
      </c>
      <c r="E112" t="n">
        <v>34</v>
      </c>
      <c r="F112" t="n">
        <v>3.49</v>
      </c>
      <c r="G112" t="n">
        <v>0</v>
      </c>
      <c r="H112" t="n">
        <v>0</v>
      </c>
      <c r="I112" s="3">
        <f>E112+G112+H112</f>
        <v/>
      </c>
      <c r="J112" s="3">
        <f>ROUND(MIN(IF(C112="Técnico III",35,IF(C112="Técnico II",28,IF(C112="Técnico I",23,IF(C112="JR",20,IF(C112="Estágio",10,0))))),IF(C112="Técnico III",SUMIFS($D:$D,$A:$A,$A112,$B:$B,"&lt;&gt;Patrícia Karla de Sousa Araújo",$B:$B,"&lt;&gt;Lorena Dias de Araujo",$B:$B,"&lt;&gt;Lucas Luiz Romero")*(35/1083),IF(C112="Técnico II",SUMIFS($D:$D,$A:$A,$A112,$B:$B,"&lt;&gt;Patrícia Karla de Sousa Araújo",$B:$B,"&lt;&gt;Lorena Dias de Araujo",$B:$B,"&lt;&gt;Lucas Luiz Romero")*(28/1083),IF(C112="Técnico I",SUMIFS($D:$D,$A:$A,$A112,$B:$B,"&lt;&gt;Patrícia Karla de Sousa Araújo",$B:$B,"&lt;&gt;Lorena Dias de Araujo",$B:$B,"&lt;&gt;Lucas Luiz Romero")*(23/1083),IF(C112="JR",SUMIFS($D:$D,$A:$A,$A112,$B:$B,"&lt;&gt;Patrícia Karla de Sousa Araújo",$B:$B,"&lt;&gt;Lorena Dias de Araujo",$B:$B,"&lt;&gt;Lucas Luiz Romero")*(20/1083),IF(C112="Estágio",SUMIFS($D:$D,$A:$A,$A112,$B:$B,"&lt;&gt;Patrícia Karla de Sousa Araújo",$B:$B,"&lt;&gt;Lorena Dias de Araujo",$B:$B,"&lt;&gt;Lucas Luiz Romero")*(10/1083),0)))))),0)</f>
        <v/>
      </c>
      <c r="K112" s="3">
        <f>I112-J112</f>
        <v/>
      </c>
      <c r="L112" s="3">
        <f>IF(K112&lt;-5,"CRÍTICO",IF(K112&lt;0,"ATENÇÃO",IF(K112&lt;=5,"OPORTUNO","MUITO BOM")))</f>
        <v/>
      </c>
      <c r="N112" t="n">
        <v>100</v>
      </c>
      <c r="O112" t="n">
        <v>25</v>
      </c>
    </row>
    <row r="113" hidden="1">
      <c r="A113" s="11" t="n">
        <v>46141</v>
      </c>
      <c r="B113" t="inlineStr">
        <is>
          <t>Michelle G Santos</t>
        </is>
      </c>
      <c r="C113" t="inlineStr">
        <is>
          <t>Estágio</t>
        </is>
      </c>
      <c r="D113" t="n">
        <v>19</v>
      </c>
      <c r="E113" t="n">
        <v>15</v>
      </c>
      <c r="F113" t="n">
        <v>21.55</v>
      </c>
      <c r="G113" t="n">
        <v>0</v>
      </c>
      <c r="H113" t="n">
        <v>0</v>
      </c>
      <c r="I113" s="3">
        <f>E113+G113+H113</f>
        <v/>
      </c>
      <c r="J113" s="3">
        <f>ROUND(MIN(IF(C113="Técnico III",35,IF(C113="Técnico II",28,IF(C113="Técnico I",23,IF(C113="JR",20,IF(C113="Estágio",10,0))))),IF(C113="Técnico III",SUMIFS($D:$D,$A:$A,$A113,$B:$B,"&lt;&gt;Patrícia Karla de Sousa Araújo",$B:$B,"&lt;&gt;Lorena Dias de Araujo",$B:$B,"&lt;&gt;Lucas Luiz Romero")*(35/1083),IF(C113="Técnico II",SUMIFS($D:$D,$A:$A,$A113,$B:$B,"&lt;&gt;Patrícia Karla de Sousa Araújo",$B:$B,"&lt;&gt;Lorena Dias de Araujo",$B:$B,"&lt;&gt;Lucas Luiz Romero")*(28/1083),IF(C113="Técnico I",SUMIFS($D:$D,$A:$A,$A113,$B:$B,"&lt;&gt;Patrícia Karla de Sousa Araújo",$B:$B,"&lt;&gt;Lorena Dias de Araujo",$B:$B,"&lt;&gt;Lucas Luiz Romero")*(23/1083),IF(C113="JR",SUMIFS($D:$D,$A:$A,$A113,$B:$B,"&lt;&gt;Patrícia Karla de Sousa Araújo",$B:$B,"&lt;&gt;Lorena Dias de Araujo",$B:$B,"&lt;&gt;Lucas Luiz Romero")*(20/1083),IF(C113="Estágio",SUMIFS($D:$D,$A:$A,$A113,$B:$B,"&lt;&gt;Patrícia Karla de Sousa Araújo",$B:$B,"&lt;&gt;Lorena Dias de Araujo",$B:$B,"&lt;&gt;Lucas Luiz Romero")*(10/1083),0)))))),0)</f>
        <v/>
      </c>
      <c r="K113" s="3">
        <f>I113-J113</f>
        <v/>
      </c>
      <c r="L113" s="3">
        <f>IF(K113&lt;-5,"CRÍTICO",IF(K113&lt;0,"ATENÇÃO",IF(K113&lt;=5,"OPORTUNO","MUITO BOM")))</f>
        <v/>
      </c>
      <c r="N113" t="n">
        <v>100</v>
      </c>
      <c r="O113" t="n">
        <v>23.77622377622378</v>
      </c>
    </row>
    <row r="114" hidden="1">
      <c r="A114" s="11" t="n">
        <v>46141</v>
      </c>
      <c r="B114" t="inlineStr">
        <is>
          <t>Quirino Diogo Leite Torres</t>
        </is>
      </c>
      <c r="C114" t="inlineStr">
        <is>
          <t>Estágio</t>
        </is>
      </c>
      <c r="D114" t="n">
        <v>19</v>
      </c>
      <c r="E114" t="n">
        <v>17</v>
      </c>
      <c r="F114" t="n">
        <v>18.46</v>
      </c>
      <c r="G114" t="n">
        <v>0</v>
      </c>
      <c r="H114" t="n">
        <v>0</v>
      </c>
      <c r="I114" s="3">
        <f>E114+G114+H114</f>
        <v/>
      </c>
      <c r="J114" s="3">
        <f>ROUND(MIN(IF(C114="Técnico III",35,IF(C114="Técnico II",28,IF(C114="Técnico I",23,IF(C114="JR",20,IF(C114="Estágio",10,0))))),IF(C114="Técnico III",SUMIFS($D:$D,$A:$A,$A114,$B:$B,"&lt;&gt;Patrícia Karla de Sousa Araújo",$B:$B,"&lt;&gt;Lorena Dias de Araujo",$B:$B,"&lt;&gt;Lucas Luiz Romero")*(35/1083),IF(C114="Técnico II",SUMIFS($D:$D,$A:$A,$A114,$B:$B,"&lt;&gt;Patrícia Karla de Sousa Araújo",$B:$B,"&lt;&gt;Lorena Dias de Araujo",$B:$B,"&lt;&gt;Lucas Luiz Romero")*(28/1083),IF(C114="Técnico I",SUMIFS($D:$D,$A:$A,$A114,$B:$B,"&lt;&gt;Patrícia Karla de Sousa Araújo",$B:$B,"&lt;&gt;Lorena Dias de Araujo",$B:$B,"&lt;&gt;Lucas Luiz Romero")*(23/1083),IF(C114="JR",SUMIFS($D:$D,$A:$A,$A114,$B:$B,"&lt;&gt;Patrícia Karla de Sousa Araújo",$B:$B,"&lt;&gt;Lorena Dias de Araujo",$B:$B,"&lt;&gt;Lucas Luiz Romero")*(20/1083),IF(C114="Estágio",SUMIFS($D:$D,$A:$A,$A114,$B:$B,"&lt;&gt;Patrícia Karla de Sousa Araújo",$B:$B,"&lt;&gt;Lorena Dias de Araujo",$B:$B,"&lt;&gt;Lucas Luiz Romero")*(10/1083),0)))))),0)</f>
        <v/>
      </c>
      <c r="K114" s="3">
        <f>I114-J114</f>
        <v/>
      </c>
      <c r="L114" s="3">
        <f>IF(K114&lt;-5,"CRÍTICO",IF(K114&lt;0,"ATENÇÃO",IF(K114&lt;=5,"OPORTUNO","MUITO BOM")))</f>
        <v/>
      </c>
      <c r="N114" t="n">
        <v>94.12</v>
      </c>
      <c r="O114" t="n">
        <v>32.8</v>
      </c>
    </row>
    <row r="115" hidden="1">
      <c r="A115" s="11" t="n">
        <v>46142</v>
      </c>
      <c r="B115" t="inlineStr">
        <is>
          <t>Anna Luiza Rezende Tavares</t>
        </is>
      </c>
      <c r="C115" t="inlineStr">
        <is>
          <t>Estágio</t>
        </is>
      </c>
      <c r="D115" t="n">
        <v>34</v>
      </c>
      <c r="E115" t="n">
        <v>33</v>
      </c>
      <c r="F115" t="n">
        <v>14.16</v>
      </c>
      <c r="G115" t="n">
        <v>0</v>
      </c>
      <c r="H115" t="n">
        <v>0</v>
      </c>
      <c r="I115" s="3">
        <f>E115+G115+H115</f>
        <v/>
      </c>
      <c r="J115" s="3">
        <f>ROUND(MIN(IF(C115="Técnico III",35,IF(C115="Técnico II",28,IF(C115="Técnico I",23,IF(C115="JR",20,IF(C115="Estágio",10,0))))),IF(C115="Técnico III",SUMIFS($D:$D,$A:$A,$A115,$B:$B,"&lt;&gt;Patrícia Karla de Sousa Araújo",$B:$B,"&lt;&gt;Lorena Dias de Araujo",$B:$B,"&lt;&gt;Lucas Luiz Romero")*(35/1083),IF(C115="Técnico II",SUMIFS($D:$D,$A:$A,$A115,$B:$B,"&lt;&gt;Patrícia Karla de Sousa Araújo",$B:$B,"&lt;&gt;Lorena Dias de Araujo",$B:$B,"&lt;&gt;Lucas Luiz Romero")*(28/1083),IF(C115="Técnico I",SUMIFS($D:$D,$A:$A,$A115,$B:$B,"&lt;&gt;Patrícia Karla de Sousa Araújo",$B:$B,"&lt;&gt;Lorena Dias de Araujo",$B:$B,"&lt;&gt;Lucas Luiz Romero")*(23/1083),IF(C115="JR",SUMIFS($D:$D,$A:$A,$A115,$B:$B,"&lt;&gt;Patrícia Karla de Sousa Araújo",$B:$B,"&lt;&gt;Lorena Dias de Araujo",$B:$B,"&lt;&gt;Lucas Luiz Romero")*(20/1083),IF(C115="Estágio",SUMIFS($D:$D,$A:$A,$A115,$B:$B,"&lt;&gt;Patrícia Karla de Sousa Araújo",$B:$B,"&lt;&gt;Lorena Dias de Araujo",$B:$B,"&lt;&gt;Lucas Luiz Romero")*(10/1083),0)))))),0)</f>
        <v/>
      </c>
      <c r="K115" s="3">
        <f>I115-J115</f>
        <v/>
      </c>
      <c r="L115" s="3">
        <f>IF(K115&lt;-5,"CRÍTICO",IF(K115&lt;0,"ATENÇÃO",IF(K115&lt;=5,"OPORTUNO","MUITO BOM")))</f>
        <v/>
      </c>
      <c r="N115" t="n">
        <v>96.73999999999999</v>
      </c>
      <c r="O115" t="n">
        <v>28.43137254901961</v>
      </c>
    </row>
    <row r="116" hidden="1">
      <c r="A116" s="11" t="n">
        <v>46142</v>
      </c>
      <c r="B116" t="inlineStr">
        <is>
          <t>Claudio de Sousa Velasco Filho</t>
        </is>
      </c>
      <c r="C116" t="inlineStr">
        <is>
          <t>Estágio</t>
        </is>
      </c>
      <c r="D116" t="n">
        <v>6</v>
      </c>
      <c r="E116" t="n">
        <v>6</v>
      </c>
      <c r="F116" t="n">
        <v>28.42</v>
      </c>
      <c r="G116" t="n">
        <v>0</v>
      </c>
      <c r="H116" t="n">
        <v>0</v>
      </c>
      <c r="I116" s="3">
        <f>E116+G116+H116</f>
        <v/>
      </c>
      <c r="J116" s="3">
        <f>ROUND(MIN(IF(C116="Técnico III",35,IF(C116="Técnico II",28,IF(C116="Técnico I",23,IF(C116="JR",20,IF(C116="Estágio",10,0))))),IF(C116="Técnico III",SUMIFS($D:$D,$A:$A,$A116,$B:$B,"&lt;&gt;Patrícia Karla de Sousa Araújo",$B:$B,"&lt;&gt;Lorena Dias de Araujo",$B:$B,"&lt;&gt;Lucas Luiz Romero")*(35/1083),IF(C116="Técnico II",SUMIFS($D:$D,$A:$A,$A116,$B:$B,"&lt;&gt;Patrícia Karla de Sousa Araújo",$B:$B,"&lt;&gt;Lorena Dias de Araujo",$B:$B,"&lt;&gt;Lucas Luiz Romero")*(28/1083),IF(C116="Técnico I",SUMIFS($D:$D,$A:$A,$A116,$B:$B,"&lt;&gt;Patrícia Karla de Sousa Araújo",$B:$B,"&lt;&gt;Lorena Dias de Araujo",$B:$B,"&lt;&gt;Lucas Luiz Romero")*(23/1083),IF(C116="JR",SUMIFS($D:$D,$A:$A,$A116,$B:$B,"&lt;&gt;Patrícia Karla de Sousa Araújo",$B:$B,"&lt;&gt;Lorena Dias de Araujo",$B:$B,"&lt;&gt;Lucas Luiz Romero")*(20/1083),IF(C116="Estágio",SUMIFS($D:$D,$A:$A,$A116,$B:$B,"&lt;&gt;Patrícia Karla de Sousa Araújo",$B:$B,"&lt;&gt;Lorena Dias de Araujo",$B:$B,"&lt;&gt;Lucas Luiz Romero")*(10/1083),0)))))),0)</f>
        <v/>
      </c>
      <c r="K116" s="3">
        <f>I116-J116</f>
        <v/>
      </c>
      <c r="L116" s="3">
        <f>IF(K116&lt;-5,"CRÍTICO",IF(K116&lt;0,"ATENÇÃO",IF(K116&lt;=5,"OPORTUNO","MUITO BOM")))</f>
        <v/>
      </c>
      <c r="N116" t="n">
        <v>100</v>
      </c>
      <c r="O116" t="n">
        <v>23.13432835820895</v>
      </c>
    </row>
    <row r="117" hidden="1">
      <c r="A117" s="11" t="n">
        <v>46142</v>
      </c>
      <c r="B117" t="inlineStr">
        <is>
          <t>Emilly Caylane Costa</t>
        </is>
      </c>
      <c r="C117" t="inlineStr">
        <is>
          <t>Estágio</t>
        </is>
      </c>
      <c r="D117" t="n">
        <v>32</v>
      </c>
      <c r="E117" t="n">
        <v>23</v>
      </c>
      <c r="F117" t="n">
        <v>4.14</v>
      </c>
      <c r="G117" t="n">
        <v>0</v>
      </c>
      <c r="H117" t="n">
        <v>0</v>
      </c>
      <c r="I117" s="3">
        <f>E117+G117+H117</f>
        <v/>
      </c>
      <c r="J117" s="3">
        <f>ROUND(MIN(IF(C117="Técnico III",35,IF(C117="Técnico II",28,IF(C117="Técnico I",23,IF(C117="JR",20,IF(C117="Estágio",10,0))))),IF(C117="Técnico III",SUMIFS($D:$D,$A:$A,$A117,$B:$B,"&lt;&gt;Patrícia Karla de Sousa Araújo",$B:$B,"&lt;&gt;Lorena Dias de Araujo",$B:$B,"&lt;&gt;Lucas Luiz Romero")*(35/1083),IF(C117="Técnico II",SUMIFS($D:$D,$A:$A,$A117,$B:$B,"&lt;&gt;Patrícia Karla de Sousa Araújo",$B:$B,"&lt;&gt;Lorena Dias de Araujo",$B:$B,"&lt;&gt;Lucas Luiz Romero")*(28/1083),IF(C117="Técnico I",SUMIFS($D:$D,$A:$A,$A117,$B:$B,"&lt;&gt;Patrícia Karla de Sousa Araújo",$B:$B,"&lt;&gt;Lorena Dias de Araujo",$B:$B,"&lt;&gt;Lucas Luiz Romero")*(23/1083),IF(C117="JR",SUMIFS($D:$D,$A:$A,$A117,$B:$B,"&lt;&gt;Patrícia Karla de Sousa Araújo",$B:$B,"&lt;&gt;Lorena Dias de Araujo",$B:$B,"&lt;&gt;Lucas Luiz Romero")*(20/1083),IF(C117="Estágio",SUMIFS($D:$D,$A:$A,$A117,$B:$B,"&lt;&gt;Patrícia Karla de Sousa Araújo",$B:$B,"&lt;&gt;Lorena Dias de Araujo",$B:$B,"&lt;&gt;Lucas Luiz Romero")*(10/1083),0)))))),0)</f>
        <v/>
      </c>
      <c r="K117" s="3">
        <f>I117-J117</f>
        <v/>
      </c>
      <c r="L117" s="3">
        <f>IF(K117&lt;-5,"CRÍTICO",IF(K117&lt;0,"ATENÇÃO",IF(K117&lt;=5,"OPORTUNO","MUITO BOM")))</f>
        <v/>
      </c>
      <c r="N117" t="n">
        <v>100</v>
      </c>
      <c r="O117" t="n">
        <v>27.36842105263158</v>
      </c>
    </row>
    <row r="118" hidden="1">
      <c r="A118" s="11" t="n">
        <v>46142</v>
      </c>
      <c r="B118" t="inlineStr">
        <is>
          <t>Maria Eduarda Sousa Costa</t>
        </is>
      </c>
      <c r="C118" t="inlineStr">
        <is>
          <t>Estágio</t>
        </is>
      </c>
      <c r="D118" t="n">
        <v>80</v>
      </c>
      <c r="E118" t="n">
        <v>46</v>
      </c>
      <c r="F118" t="n">
        <v>5.06</v>
      </c>
      <c r="G118" t="n">
        <v>0</v>
      </c>
      <c r="H118" t="n">
        <v>0</v>
      </c>
      <c r="I118" s="3">
        <f>E118+G118+H118</f>
        <v/>
      </c>
      <c r="J118" s="3">
        <f>ROUND(MIN(IF(C118="Técnico III",35,IF(C118="Técnico II",28,IF(C118="Técnico I",23,IF(C118="JR",20,IF(C118="Estágio",10,0))))),IF(C118="Técnico III",SUMIFS($D:$D,$A:$A,$A118,$B:$B,"&lt;&gt;Patrícia Karla de Sousa Araújo",$B:$B,"&lt;&gt;Lorena Dias de Araujo",$B:$B,"&lt;&gt;Lucas Luiz Romero")*(35/1083),IF(C118="Técnico II",SUMIFS($D:$D,$A:$A,$A118,$B:$B,"&lt;&gt;Patrícia Karla de Sousa Araújo",$B:$B,"&lt;&gt;Lorena Dias de Araujo",$B:$B,"&lt;&gt;Lucas Luiz Romero")*(28/1083),IF(C118="Técnico I",SUMIFS($D:$D,$A:$A,$A118,$B:$B,"&lt;&gt;Patrícia Karla de Sousa Araújo",$B:$B,"&lt;&gt;Lorena Dias de Araujo",$B:$B,"&lt;&gt;Lucas Luiz Romero")*(23/1083),IF(C118="JR",SUMIFS($D:$D,$A:$A,$A118,$B:$B,"&lt;&gt;Patrícia Karla de Sousa Araújo",$B:$B,"&lt;&gt;Lorena Dias de Araujo",$B:$B,"&lt;&gt;Lucas Luiz Romero")*(20/1083),IF(C118="Estágio",SUMIFS($D:$D,$A:$A,$A118,$B:$B,"&lt;&gt;Patrícia Karla de Sousa Araújo",$B:$B,"&lt;&gt;Lorena Dias de Araujo",$B:$B,"&lt;&gt;Lucas Luiz Romero")*(10/1083),0)))))),0)</f>
        <v/>
      </c>
      <c r="K118" s="3">
        <f>I118-J118</f>
        <v/>
      </c>
      <c r="L118" s="3">
        <f>IF(K118&lt;-5,"CRÍTICO",IF(K118&lt;0,"ATENÇÃO",IF(K118&lt;=5,"OPORTUNO","MUITO BOM")))</f>
        <v/>
      </c>
      <c r="N118" t="n">
        <v>100</v>
      </c>
      <c r="O118" t="n">
        <v>25</v>
      </c>
    </row>
    <row r="119" hidden="1">
      <c r="A119" s="11" t="n">
        <v>46142</v>
      </c>
      <c r="B119" t="inlineStr">
        <is>
          <t>Michelle G Santos</t>
        </is>
      </c>
      <c r="C119" t="inlineStr">
        <is>
          <t>Estágio</t>
        </is>
      </c>
      <c r="D119" t="n">
        <v>19</v>
      </c>
      <c r="E119" t="n">
        <v>17</v>
      </c>
      <c r="F119" t="n">
        <v>24.14</v>
      </c>
      <c r="G119" t="n">
        <v>0</v>
      </c>
      <c r="H119" t="n">
        <v>0</v>
      </c>
      <c r="I119" s="3">
        <f>E119+G119+H119</f>
        <v/>
      </c>
      <c r="J119" s="3">
        <f>ROUND(MIN(IF(C119="Técnico III",35,IF(C119="Técnico II",28,IF(C119="Técnico I",23,IF(C119="JR",20,IF(C119="Estágio",10,0))))),IF(C119="Técnico III",SUMIFS($D:$D,$A:$A,$A119,$B:$B,"&lt;&gt;Patrícia Karla de Sousa Araújo",$B:$B,"&lt;&gt;Lorena Dias de Araujo",$B:$B,"&lt;&gt;Lucas Luiz Romero")*(35/1083),IF(C119="Técnico II",SUMIFS($D:$D,$A:$A,$A119,$B:$B,"&lt;&gt;Patrícia Karla de Sousa Araújo",$B:$B,"&lt;&gt;Lorena Dias de Araujo",$B:$B,"&lt;&gt;Lucas Luiz Romero")*(28/1083),IF(C119="Técnico I",SUMIFS($D:$D,$A:$A,$A119,$B:$B,"&lt;&gt;Patrícia Karla de Sousa Araújo",$B:$B,"&lt;&gt;Lorena Dias de Araujo",$B:$B,"&lt;&gt;Lucas Luiz Romero")*(23/1083),IF(C119="JR",SUMIFS($D:$D,$A:$A,$A119,$B:$B,"&lt;&gt;Patrícia Karla de Sousa Araújo",$B:$B,"&lt;&gt;Lorena Dias de Araujo",$B:$B,"&lt;&gt;Lucas Luiz Romero")*(20/1083),IF(C119="Estágio",SUMIFS($D:$D,$A:$A,$A119,$B:$B,"&lt;&gt;Patrícia Karla de Sousa Araújo",$B:$B,"&lt;&gt;Lorena Dias de Araujo",$B:$B,"&lt;&gt;Lucas Luiz Romero")*(10/1083),0)))))),0)</f>
        <v/>
      </c>
      <c r="K119" s="3">
        <f>I119-J119</f>
        <v/>
      </c>
      <c r="L119" s="3">
        <f>IF(K119&lt;-5,"CRÍTICO",IF(K119&lt;0,"ATENÇÃO",IF(K119&lt;=5,"OPORTUNO","MUITO BOM")))</f>
        <v/>
      </c>
      <c r="N119" t="n">
        <v>100</v>
      </c>
      <c r="O119" t="n">
        <v>23.77622377622378</v>
      </c>
    </row>
    <row r="120" hidden="1">
      <c r="A120" s="11" t="n">
        <v>46142</v>
      </c>
      <c r="B120" t="inlineStr">
        <is>
          <t>Quirino Diogo Leite Torres</t>
        </is>
      </c>
      <c r="C120" t="inlineStr">
        <is>
          <t>Estágio</t>
        </is>
      </c>
      <c r="D120" t="n">
        <v>18</v>
      </c>
      <c r="E120" t="n">
        <v>17</v>
      </c>
      <c r="F120" t="n">
        <v>28.41</v>
      </c>
      <c r="G120" t="n">
        <v>0</v>
      </c>
      <c r="H120" t="n">
        <v>0</v>
      </c>
      <c r="I120" s="3">
        <f>E120+G120+H120</f>
        <v/>
      </c>
      <c r="J120" s="3">
        <f>ROUND(MIN(IF(C120="Técnico III",35,IF(C120="Técnico II",28,IF(C120="Técnico I",23,IF(C120="JR",20,IF(C120="Estágio",10,0))))),IF(C120="Técnico III",SUMIFS($D:$D,$A:$A,$A120,$B:$B,"&lt;&gt;Patrícia Karla de Sousa Araújo",$B:$B,"&lt;&gt;Lorena Dias de Araujo",$B:$B,"&lt;&gt;Lucas Luiz Romero")*(35/1083),IF(C120="Técnico II",SUMIFS($D:$D,$A:$A,$A120,$B:$B,"&lt;&gt;Patrícia Karla de Sousa Araújo",$B:$B,"&lt;&gt;Lorena Dias de Araujo",$B:$B,"&lt;&gt;Lucas Luiz Romero")*(28/1083),IF(C120="Técnico I",SUMIFS($D:$D,$A:$A,$A120,$B:$B,"&lt;&gt;Patrícia Karla de Sousa Araújo",$B:$B,"&lt;&gt;Lorena Dias de Araujo",$B:$B,"&lt;&gt;Lucas Luiz Romero")*(23/1083),IF(C120="JR",SUMIFS($D:$D,$A:$A,$A120,$B:$B,"&lt;&gt;Patrícia Karla de Sousa Araújo",$B:$B,"&lt;&gt;Lorena Dias de Araujo",$B:$B,"&lt;&gt;Lucas Luiz Romero")*(20/1083),IF(C120="Estágio",SUMIFS($D:$D,$A:$A,$A120,$B:$B,"&lt;&gt;Patrícia Karla de Sousa Araújo",$B:$B,"&lt;&gt;Lorena Dias de Araujo",$B:$B,"&lt;&gt;Lucas Luiz Romero")*(10/1083),0)))))),0)</f>
        <v/>
      </c>
      <c r="K120" s="3">
        <f>I120-J120</f>
        <v/>
      </c>
      <c r="L120" s="3">
        <f>IF(K120&lt;-5,"CRÍTICO",IF(K120&lt;0,"ATENÇÃO",IF(K120&lt;=5,"OPORTUNO","MUITO BOM")))</f>
        <v/>
      </c>
      <c r="N120" t="n">
        <v>94.12</v>
      </c>
      <c r="O120" t="n">
        <v>32.8</v>
      </c>
    </row>
    <row r="121" hidden="1">
      <c r="A121" s="11" t="n">
        <v>46168</v>
      </c>
      <c r="B121" t="inlineStr">
        <is>
          <t>Claudio de Sousa Velasco Filho</t>
        </is>
      </c>
      <c r="C121" t="inlineStr">
        <is>
          <t>Estágio</t>
        </is>
      </c>
      <c r="D121" t="n">
        <v>9</v>
      </c>
      <c r="E121" t="n">
        <v>8</v>
      </c>
      <c r="F121" t="n">
        <v>22.08</v>
      </c>
      <c r="G121" t="n">
        <v>0</v>
      </c>
    </row>
    <row r="122" hidden="1">
      <c r="A122" s="11" t="n">
        <v>46168</v>
      </c>
      <c r="B122" t="inlineStr">
        <is>
          <t>Emilly Caylane Costa</t>
        </is>
      </c>
      <c r="C122" t="inlineStr">
        <is>
          <t>Estágio</t>
        </is>
      </c>
      <c r="D122" t="n">
        <v>7</v>
      </c>
      <c r="E122" t="n">
        <v>7</v>
      </c>
      <c r="F122" t="n">
        <v>41.42</v>
      </c>
      <c r="G122" t="n">
        <v>0</v>
      </c>
    </row>
    <row r="123" hidden="1">
      <c r="A123" s="11" t="n">
        <v>46168</v>
      </c>
      <c r="B123" t="inlineStr">
        <is>
          <t>Maria Eduarda Sousa Costa</t>
        </is>
      </c>
      <c r="C123" t="inlineStr">
        <is>
          <t>Estágio</t>
        </is>
      </c>
      <c r="D123" t="n">
        <v>24</v>
      </c>
      <c r="E123" t="n">
        <v>22</v>
      </c>
      <c r="F123" t="n">
        <v>20.59</v>
      </c>
      <c r="G123" t="n">
        <v>0</v>
      </c>
    </row>
    <row r="124" hidden="1">
      <c r="A124" s="11" t="n">
        <v>46168</v>
      </c>
      <c r="B124" t="inlineStr">
        <is>
          <t>Michelle G Santos</t>
        </is>
      </c>
      <c r="C124" t="inlineStr">
        <is>
          <t>Estágio</t>
        </is>
      </c>
      <c r="D124" t="n">
        <v>15</v>
      </c>
      <c r="E124" t="n">
        <v>15</v>
      </c>
      <c r="F124" t="n">
        <v>32.39</v>
      </c>
      <c r="G124" t="n">
        <v>0</v>
      </c>
    </row>
    <row r="125" hidden="1">
      <c r="A125" s="11" t="n">
        <v>46168</v>
      </c>
      <c r="B125" t="inlineStr">
        <is>
          <t>Quirino Diogo Leite Torres</t>
        </is>
      </c>
      <c r="C125" t="inlineStr">
        <is>
          <t>Estágio</t>
        </is>
      </c>
      <c r="D125" t="n">
        <v>14</v>
      </c>
      <c r="E125" t="n">
        <v>13</v>
      </c>
      <c r="F125" t="n">
        <v>29.12</v>
      </c>
      <c r="G125" t="n">
        <v>0</v>
      </c>
    </row>
    <row r="126" hidden="1">
      <c r="A126" s="11" t="n">
        <v>46168</v>
      </c>
      <c r="B126" t="inlineStr">
        <is>
          <t>Gabriel Alves</t>
        </is>
      </c>
      <c r="C126" t="inlineStr">
        <is>
          <t>Estágio</t>
        </is>
      </c>
      <c r="D126" t="n">
        <v>1</v>
      </c>
      <c r="E126" t="n">
        <v>1</v>
      </c>
      <c r="F126" t="n">
        <v>55.47</v>
      </c>
      <c r="G126" t="n">
        <v>0</v>
      </c>
    </row>
    <row r="127" hidden="1">
      <c r="A127" s="5" t="n">
        <v>46146</v>
      </c>
      <c r="B127" s="6" t="inlineStr">
        <is>
          <t>Karina Gonçalves Martins</t>
        </is>
      </c>
      <c r="C127" s="3" t="inlineStr">
        <is>
          <t>JR</t>
        </is>
      </c>
      <c r="D127" s="3" t="n">
        <v>24</v>
      </c>
      <c r="E127" s="3" t="n">
        <v>24</v>
      </c>
      <c r="F127" s="3" t="n">
        <v>18.51</v>
      </c>
      <c r="G127" s="3" t="n">
        <v>0</v>
      </c>
      <c r="H127" s="3" t="n">
        <v>0</v>
      </c>
      <c r="I127" s="3">
        <f>E127+G127+H127</f>
        <v/>
      </c>
      <c r="J127" s="3">
        <f>ROUND(MIN(IF(C127="Técnico III",35,IF(C127="Técnico II",28,IF(C127="Técnico I",23,IF(C127="JR",20,IF(C127="Estágio",10,0))))),IF(C127="Técnico III",SUMIFS($D:$D,$A:$A,$A127,$B:$B,"&lt;&gt;Patrícia Karla de Sousa Araújo",$B:$B,"&lt;&gt;Lorena Dias de Araujo",$B:$B,"&lt;&gt;Lucas Luiz Romero")*(35/1083),IF(C127="Técnico II",SUMIFS($D:$D,$A:$A,$A127,$B:$B,"&lt;&gt;Patrícia Karla de Sousa Araújo",$B:$B,"&lt;&gt;Lorena Dias de Araujo",$B:$B,"&lt;&gt;Lucas Luiz Romero")*(28/1083),IF(C127="Técnico I",SUMIFS($D:$D,$A:$A,$A127,$B:$B,"&lt;&gt;Patrícia Karla de Sousa Araújo",$B:$B,"&lt;&gt;Lorena Dias de Araujo",$B:$B,"&lt;&gt;Lucas Luiz Romero")*(23/1083),IF(C127="JR",SUMIFS($D:$D,$A:$A,$A127,$B:$B,"&lt;&gt;Patrícia Karla de Sousa Araújo",$B:$B,"&lt;&gt;Lorena Dias de Araujo",$B:$B,"&lt;&gt;Lucas Luiz Romero")*(20/1083),IF(C127="Estágio",SUMIFS($D:$D,$A:$A,$A127,$B:$B,"&lt;&gt;Patrícia Karla de Sousa Araújo",$B:$B,"&lt;&gt;Lorena Dias de Araujo",$B:$B,"&lt;&gt;Lucas Luiz Romero")*(10/1083),0)))))),0)</f>
        <v/>
      </c>
      <c r="K127" s="3">
        <f>I127-J127</f>
        <v/>
      </c>
      <c r="L127" s="3">
        <f>IF(K127&lt;-5,"CRÍTICO",IF(K127&lt;0,"ATENÇÃO",IF(K127&lt;=5,"BOM","EXCELENTE")))</f>
        <v/>
      </c>
      <c r="M127" s="9" t="n">
        <v>22</v>
      </c>
      <c r="N127" s="9" t="n">
        <v>97.01000000000001</v>
      </c>
      <c r="O127" s="9" t="n">
        <v>13.96103896103896</v>
      </c>
    </row>
    <row r="128" hidden="1">
      <c r="A128" s="5" t="n">
        <v>46146</v>
      </c>
      <c r="B128" s="6" t="inlineStr">
        <is>
          <t>Leandro de Souza Silva</t>
        </is>
      </c>
      <c r="C128" s="3" t="inlineStr">
        <is>
          <t>JR</t>
        </is>
      </c>
      <c r="D128" s="3" t="n">
        <v>12</v>
      </c>
      <c r="E128" s="3" t="n">
        <v>11</v>
      </c>
      <c r="F128" s="3" t="n">
        <v>25.03</v>
      </c>
      <c r="G128" s="3" t="n">
        <v>4</v>
      </c>
      <c r="H128" s="3" t="n">
        <v>0</v>
      </c>
      <c r="I128" s="3">
        <f>E128+G128+H128</f>
        <v/>
      </c>
      <c r="J128" s="3">
        <f>ROUND(MIN(IF(C128="Técnico III",35,IF(C128="Técnico II",28,IF(C128="Técnico I",23,IF(C128="JR",20,IF(C128="Estágio",10,0))))),IF(C128="Técnico III",SUMIFS($D:$D,$A:$A,$A128,$B:$B,"&lt;&gt;Patrícia Karla de Sousa Araújo",$B:$B,"&lt;&gt;Lorena Dias de Araujo",$B:$B,"&lt;&gt;Lucas Luiz Romero")*(35/1083),IF(C128="Técnico II",SUMIFS($D:$D,$A:$A,$A128,$B:$B,"&lt;&gt;Patrícia Karla de Sousa Araújo",$B:$B,"&lt;&gt;Lorena Dias de Araujo",$B:$B,"&lt;&gt;Lucas Luiz Romero")*(28/1083),IF(C128="Técnico I",SUMIFS($D:$D,$A:$A,$A128,$B:$B,"&lt;&gt;Patrícia Karla de Sousa Araújo",$B:$B,"&lt;&gt;Lorena Dias de Araujo",$B:$B,"&lt;&gt;Lucas Luiz Romero")*(23/1083),IF(C128="JR",SUMIFS($D:$D,$A:$A,$A128,$B:$B,"&lt;&gt;Patrícia Karla de Sousa Araújo",$B:$B,"&lt;&gt;Lorena Dias de Araujo",$B:$B,"&lt;&gt;Lucas Luiz Romero")*(20/1083),IF(C128="Estágio",SUMIFS($D:$D,$A:$A,$A128,$B:$B,"&lt;&gt;Patrícia Karla de Sousa Araújo",$B:$B,"&lt;&gt;Lorena Dias de Araujo",$B:$B,"&lt;&gt;Lucas Luiz Romero")*(10/1083),0)))))),0)</f>
        <v/>
      </c>
      <c r="K128" s="3">
        <f>I128-J128</f>
        <v/>
      </c>
      <c r="L128" s="3">
        <f>IF(K128&lt;-5,"CRÍTICO",IF(K128&lt;0,"ATENÇÃO",IF(K128&lt;=5,"BOM","EXCELENTE")))</f>
        <v/>
      </c>
      <c r="M128" s="9" t="n">
        <v>15</v>
      </c>
      <c r="N128" s="9" t="n">
        <v>100</v>
      </c>
      <c r="O128" s="9" t="n">
        <v>16.95906432748538</v>
      </c>
    </row>
    <row r="129" hidden="1">
      <c r="A129" s="5" t="n">
        <v>46146</v>
      </c>
      <c r="B129" s="6" t="inlineStr">
        <is>
          <t>Milena Sales</t>
        </is>
      </c>
      <c r="C129" s="3" t="inlineStr">
        <is>
          <t>JR</t>
        </is>
      </c>
      <c r="D129" s="3" t="n">
        <v>42</v>
      </c>
      <c r="E129" s="3" t="n">
        <v>23</v>
      </c>
      <c r="F129" s="3" t="n">
        <v>8.34</v>
      </c>
      <c r="G129" s="3" t="n">
        <v>0</v>
      </c>
      <c r="H129" s="3" t="n">
        <v>0</v>
      </c>
      <c r="I129" s="3">
        <f>E129+G129+H129</f>
        <v/>
      </c>
      <c r="J129" s="3">
        <f>ROUND(MIN(IF(C129="Técnico III",35,IF(C129="Técnico II",28,IF(C129="Técnico I",23,IF(C129="JR",20,IF(C129="Estágio",10,0))))),IF(C129="Técnico III",SUMIFS($D:$D,$A:$A,$A129,$B:$B,"&lt;&gt;Patrícia Karla de Sousa Araújo",$B:$B,"&lt;&gt;Lorena Dias de Araujo",$B:$B,"&lt;&gt;Lucas Luiz Romero")*(35/1083),IF(C129="Técnico II",SUMIFS($D:$D,$A:$A,$A129,$B:$B,"&lt;&gt;Patrícia Karla de Sousa Araújo",$B:$B,"&lt;&gt;Lorena Dias de Araujo",$B:$B,"&lt;&gt;Lucas Luiz Romero")*(28/1083),IF(C129="Técnico I",SUMIFS($D:$D,$A:$A,$A129,$B:$B,"&lt;&gt;Patrícia Karla de Sousa Araújo",$B:$B,"&lt;&gt;Lorena Dias de Araujo",$B:$B,"&lt;&gt;Lucas Luiz Romero")*(23/1083),IF(C129="JR",SUMIFS($D:$D,$A:$A,$A129,$B:$B,"&lt;&gt;Patrícia Karla de Sousa Araújo",$B:$B,"&lt;&gt;Lorena Dias de Araujo",$B:$B,"&lt;&gt;Lucas Luiz Romero")*(20/1083),IF(C129="Estágio",SUMIFS($D:$D,$A:$A,$A129,$B:$B,"&lt;&gt;Patrícia Karla de Sousa Araújo",$B:$B,"&lt;&gt;Lorena Dias de Araujo",$B:$B,"&lt;&gt;Lucas Luiz Romero")*(10/1083),0)))))),0)</f>
        <v/>
      </c>
      <c r="K129" s="3">
        <f>I129-J129</f>
        <v/>
      </c>
      <c r="L129" s="3">
        <f>IF(K129&lt;-5,"CRÍTICO",IF(K129&lt;0,"ATENÇÃO",IF(K129&lt;=5,"BOM","EXCELENTE")))</f>
        <v/>
      </c>
      <c r="M129" s="9" t="n">
        <v>19</v>
      </c>
      <c r="N129" s="9" t="n">
        <v>98</v>
      </c>
      <c r="O129" s="9" t="n">
        <v>16.43835616438356</v>
      </c>
    </row>
    <row r="130" hidden="1">
      <c r="A130" s="5" t="n">
        <v>46146</v>
      </c>
      <c r="B130" s="6" t="inlineStr">
        <is>
          <t>Paulo Ricardo Santos</t>
        </is>
      </c>
      <c r="C130" s="3" t="inlineStr">
        <is>
          <t>JR</t>
        </is>
      </c>
      <c r="D130" s="3" t="n">
        <v>23</v>
      </c>
      <c r="E130" s="3" t="n">
        <v>23</v>
      </c>
      <c r="F130" s="3" t="n">
        <v>17.35</v>
      </c>
      <c r="G130" s="3" t="n">
        <v>0</v>
      </c>
      <c r="H130" s="3" t="n">
        <v>0</v>
      </c>
      <c r="I130" s="3">
        <f>E130+G130+H130</f>
        <v/>
      </c>
      <c r="J130" s="3">
        <f>ROUND(MIN(IF(C130="Técnico III",35,IF(C130="Técnico II",28,IF(C130="Técnico I",23,IF(C130="JR",20,IF(C130="Estágio",10,0))))),IF(C130="Técnico III",SUMIFS($D:$D,$A:$A,$A130,$B:$B,"&lt;&gt;Patrícia Karla de Sousa Araújo",$B:$B,"&lt;&gt;Lorena Dias de Araujo",$B:$B,"&lt;&gt;Lucas Luiz Romero")*(35/1083),IF(C130="Técnico II",SUMIFS($D:$D,$A:$A,$A130,$B:$B,"&lt;&gt;Patrícia Karla de Sousa Araújo",$B:$B,"&lt;&gt;Lorena Dias de Araujo",$B:$B,"&lt;&gt;Lucas Luiz Romero")*(28/1083),IF(C130="Técnico I",SUMIFS($D:$D,$A:$A,$A130,$B:$B,"&lt;&gt;Patrícia Karla de Sousa Araújo",$B:$B,"&lt;&gt;Lorena Dias de Araujo",$B:$B,"&lt;&gt;Lucas Luiz Romero")*(23/1083),IF(C130="JR",SUMIFS($D:$D,$A:$A,$A130,$B:$B,"&lt;&gt;Patrícia Karla de Sousa Araújo",$B:$B,"&lt;&gt;Lorena Dias de Araujo",$B:$B,"&lt;&gt;Lucas Luiz Romero")*(20/1083),IF(C130="Estágio",SUMIFS($D:$D,$A:$A,$A130,$B:$B,"&lt;&gt;Patrícia Karla de Sousa Araújo",$B:$B,"&lt;&gt;Lorena Dias de Araujo",$B:$B,"&lt;&gt;Lucas Luiz Romero")*(10/1083),0)))))),0)</f>
        <v/>
      </c>
      <c r="K130" s="3">
        <f>I130-J130</f>
        <v/>
      </c>
      <c r="L130" s="3">
        <f>IF(K130&lt;-5,"CRÍTICO",IF(K130&lt;0,"ATENÇÃO",IF(K130&lt;=5,"BOM","EXCELENTE")))</f>
        <v/>
      </c>
      <c r="M130" s="9" t="n">
        <v>18</v>
      </c>
      <c r="N130" s="9" t="n">
        <v>100</v>
      </c>
      <c r="O130" s="9" t="n">
        <v>19.13875598086124</v>
      </c>
    </row>
    <row r="131" hidden="1">
      <c r="A131" s="5" t="n">
        <v>46146</v>
      </c>
      <c r="B131" s="6" t="inlineStr">
        <is>
          <t>Pedro Luiz Mota Sousa</t>
        </is>
      </c>
      <c r="C131" s="3" t="inlineStr">
        <is>
          <t>JR</t>
        </is>
      </c>
      <c r="D131" s="3" t="n">
        <v>23</v>
      </c>
      <c r="E131" s="3" t="n">
        <v>21</v>
      </c>
      <c r="F131" s="3" t="n">
        <v>17.11</v>
      </c>
      <c r="G131" s="3" t="n">
        <v>0</v>
      </c>
      <c r="H131" s="3" t="n">
        <v>0</v>
      </c>
      <c r="I131" s="3">
        <f>E131+G131+H131</f>
        <v/>
      </c>
      <c r="J131" s="3">
        <f>ROUND(MIN(IF(C131="Técnico III",35,IF(C131="Técnico II",28,IF(C131="Técnico I",23,IF(C131="JR",20,IF(C131="Estágio",10,0))))),IF(C131="Técnico III",SUMIFS($D:$D,$A:$A,$A131,$B:$B,"&lt;&gt;Patrícia Karla de Sousa Araújo",$B:$B,"&lt;&gt;Lorena Dias de Araujo",$B:$B,"&lt;&gt;Lucas Luiz Romero")*(35/1083),IF(C131="Técnico II",SUMIFS($D:$D,$A:$A,$A131,$B:$B,"&lt;&gt;Patrícia Karla de Sousa Araújo",$B:$B,"&lt;&gt;Lorena Dias de Araujo",$B:$B,"&lt;&gt;Lucas Luiz Romero")*(28/1083),IF(C131="Técnico I",SUMIFS($D:$D,$A:$A,$A131,$B:$B,"&lt;&gt;Patrícia Karla de Sousa Araújo",$B:$B,"&lt;&gt;Lorena Dias de Araujo",$B:$B,"&lt;&gt;Lucas Luiz Romero")*(23/1083),IF(C131="JR",SUMIFS($D:$D,$A:$A,$A131,$B:$B,"&lt;&gt;Patrícia Karla de Sousa Araújo",$B:$B,"&lt;&gt;Lorena Dias de Araujo",$B:$B,"&lt;&gt;Lucas Luiz Romero")*(20/1083),IF(C131="Estágio",SUMIFS($D:$D,$A:$A,$A131,$B:$B,"&lt;&gt;Patrícia Karla de Sousa Araújo",$B:$B,"&lt;&gt;Lorena Dias de Araujo",$B:$B,"&lt;&gt;Lucas Luiz Romero")*(10/1083),0)))))),0)</f>
        <v/>
      </c>
      <c r="K131" s="3">
        <f>I131-J131</f>
        <v/>
      </c>
      <c r="L131" s="3">
        <f>IF(K131&lt;-5,"CRÍTICO",IF(K131&lt;0,"ATENÇÃO",IF(K131&lt;=5,"BOM","EXCELENTE")))</f>
        <v/>
      </c>
      <c r="M131" s="9" t="n">
        <v>21</v>
      </c>
      <c r="N131" s="9" t="n">
        <v>100</v>
      </c>
      <c r="O131" s="9" t="n">
        <v>15.02145922746781</v>
      </c>
    </row>
    <row r="132" hidden="1">
      <c r="A132" s="5" t="n">
        <v>46147</v>
      </c>
      <c r="B132" s="6" t="inlineStr">
        <is>
          <t>Karina Gonçalves Martins</t>
        </is>
      </c>
      <c r="C132" s="3" t="inlineStr">
        <is>
          <t>JR</t>
        </is>
      </c>
      <c r="D132" s="3" t="n">
        <v>10</v>
      </c>
      <c r="E132" s="3" t="n">
        <v>10</v>
      </c>
      <c r="F132" s="3" t="n">
        <v>21.42</v>
      </c>
      <c r="G132" s="3" t="n">
        <v>10</v>
      </c>
      <c r="H132" s="3" t="n">
        <v>0</v>
      </c>
      <c r="I132" s="3">
        <f>E132+G132+H132</f>
        <v/>
      </c>
      <c r="J132" s="3">
        <f>ROUND(MIN(IF(C132="Técnico III",35,IF(C132="Técnico II",28,IF(C132="Técnico I",23,IF(C132="JR",20,IF(C132="Estágio",10,0))))),IF(C132="Técnico III",SUMIFS($D:$D,$A:$A,$A132,$B:$B,"&lt;&gt;Patrícia Karla de Sousa Araújo",$B:$B,"&lt;&gt;Lorena Dias de Araujo",$B:$B,"&lt;&gt;Lucas Luiz Romero")*(35/1083),IF(C132="Técnico II",SUMIFS($D:$D,$A:$A,$A132,$B:$B,"&lt;&gt;Patrícia Karla de Sousa Araújo",$B:$B,"&lt;&gt;Lorena Dias de Araujo",$B:$B,"&lt;&gt;Lucas Luiz Romero")*(28/1083),IF(C132="Técnico I",SUMIFS($D:$D,$A:$A,$A132,$B:$B,"&lt;&gt;Patrícia Karla de Sousa Araújo",$B:$B,"&lt;&gt;Lorena Dias de Araujo",$B:$B,"&lt;&gt;Lucas Luiz Romero")*(23/1083),IF(C132="JR",SUMIFS($D:$D,$A:$A,$A132,$B:$B,"&lt;&gt;Patrícia Karla de Sousa Araújo",$B:$B,"&lt;&gt;Lorena Dias de Araujo",$B:$B,"&lt;&gt;Lucas Luiz Romero")*(20/1083),IF(C132="Estágio",SUMIFS($D:$D,$A:$A,$A132,$B:$B,"&lt;&gt;Patrícia Karla de Sousa Araújo",$B:$B,"&lt;&gt;Lorena Dias de Araujo",$B:$B,"&lt;&gt;Lucas Luiz Romero")*(10/1083),0)))))),0)</f>
        <v/>
      </c>
      <c r="K132" s="3">
        <f>I132-J132</f>
        <v/>
      </c>
      <c r="L132" s="3">
        <f>IF(K132&lt;-5,"CRÍTICO",IF(K132&lt;0,"ATENÇÃO",IF(K132&lt;=5,"BOM","EXCELENTE")))</f>
        <v/>
      </c>
      <c r="M132" s="3" t="n">
        <v>27</v>
      </c>
      <c r="N132" s="3" t="n">
        <v>97.01000000000001</v>
      </c>
      <c r="O132" s="3" t="n">
        <v>13.96103896103896</v>
      </c>
    </row>
    <row r="133" hidden="1">
      <c r="A133" s="5" t="n">
        <v>46147</v>
      </c>
      <c r="B133" s="6" t="inlineStr">
        <is>
          <t>Leandro de Souza Silva</t>
        </is>
      </c>
      <c r="C133" s="3" t="inlineStr">
        <is>
          <t>JR</t>
        </is>
      </c>
      <c r="D133" s="3" t="n">
        <v>17</v>
      </c>
      <c r="E133" s="3" t="n">
        <v>17</v>
      </c>
      <c r="F133" s="3" t="n">
        <v>22.35</v>
      </c>
      <c r="G133" s="3" t="n">
        <v>5</v>
      </c>
      <c r="H133" s="3" t="n">
        <v>0</v>
      </c>
      <c r="I133" s="3">
        <f>E133+G133+H133</f>
        <v/>
      </c>
      <c r="J133" s="3">
        <f>ROUND(MIN(IF(C133="Técnico III",35,IF(C133="Técnico II",28,IF(C133="Técnico I",23,IF(C133="JR",20,IF(C133="Estágio",10,0))))),IF(C133="Técnico III",SUMIFS($D:$D,$A:$A,$A133,$B:$B,"&lt;&gt;Patrícia Karla de Sousa Araújo",$B:$B,"&lt;&gt;Lorena Dias de Araujo",$B:$B,"&lt;&gt;Lucas Luiz Romero")*(35/1083),IF(C133="Técnico II",SUMIFS($D:$D,$A:$A,$A133,$B:$B,"&lt;&gt;Patrícia Karla de Sousa Araújo",$B:$B,"&lt;&gt;Lorena Dias de Araujo",$B:$B,"&lt;&gt;Lucas Luiz Romero")*(28/1083),IF(C133="Técnico I",SUMIFS($D:$D,$A:$A,$A133,$B:$B,"&lt;&gt;Patrícia Karla de Sousa Araújo",$B:$B,"&lt;&gt;Lorena Dias de Araujo",$B:$B,"&lt;&gt;Lucas Luiz Romero")*(23/1083),IF(C133="JR",SUMIFS($D:$D,$A:$A,$A133,$B:$B,"&lt;&gt;Patrícia Karla de Sousa Araújo",$B:$B,"&lt;&gt;Lorena Dias de Araujo",$B:$B,"&lt;&gt;Lucas Luiz Romero")*(20/1083),IF(C133="Estágio",SUMIFS($D:$D,$A:$A,$A133,$B:$B,"&lt;&gt;Patrícia Karla de Sousa Araújo",$B:$B,"&lt;&gt;Lorena Dias de Araujo",$B:$B,"&lt;&gt;Lucas Luiz Romero")*(10/1083),0)))))),0)</f>
        <v/>
      </c>
      <c r="K133" s="3">
        <f>I133-J133</f>
        <v/>
      </c>
      <c r="L133" s="3">
        <f>IF(K133&lt;-5,"CRÍTICO",IF(K133&lt;0,"ATENÇÃO",IF(K133&lt;=5,"BOM","EXCELENTE")))</f>
        <v/>
      </c>
      <c r="M133" s="3" t="n">
        <v>16</v>
      </c>
      <c r="N133" s="3" t="n">
        <v>100</v>
      </c>
      <c r="O133" s="3" t="n">
        <v>16.95906432748538</v>
      </c>
    </row>
    <row r="134" hidden="1">
      <c r="A134" s="5" t="n">
        <v>46147</v>
      </c>
      <c r="B134" s="6" t="inlineStr">
        <is>
          <t>Milena Sales</t>
        </is>
      </c>
      <c r="C134" s="3" t="inlineStr">
        <is>
          <t>JR</t>
        </is>
      </c>
      <c r="D134" s="3" t="n">
        <v>56</v>
      </c>
      <c r="E134" s="3" t="n">
        <v>34</v>
      </c>
      <c r="F134" s="3" t="n">
        <v>11.53</v>
      </c>
      <c r="G134" s="3" t="n">
        <v>0</v>
      </c>
      <c r="H134" s="3" t="n">
        <v>0</v>
      </c>
      <c r="I134" s="3">
        <f>E134+G134+H134</f>
        <v/>
      </c>
      <c r="J134" s="3">
        <f>ROUND(MIN(IF(C134="Técnico III",35,IF(C134="Técnico II",28,IF(C134="Técnico I",23,IF(C134="JR",20,IF(C134="Estágio",10,0))))),IF(C134="Técnico III",SUMIFS($D:$D,$A:$A,$A134,$B:$B,"&lt;&gt;Patrícia Karla de Sousa Araújo",$B:$B,"&lt;&gt;Lorena Dias de Araujo",$B:$B,"&lt;&gt;Lucas Luiz Romero")*(35/1083),IF(C134="Técnico II",SUMIFS($D:$D,$A:$A,$A134,$B:$B,"&lt;&gt;Patrícia Karla de Sousa Araújo",$B:$B,"&lt;&gt;Lorena Dias de Araujo",$B:$B,"&lt;&gt;Lucas Luiz Romero")*(28/1083),IF(C134="Técnico I",SUMIFS($D:$D,$A:$A,$A134,$B:$B,"&lt;&gt;Patrícia Karla de Sousa Araújo",$B:$B,"&lt;&gt;Lorena Dias de Araujo",$B:$B,"&lt;&gt;Lucas Luiz Romero")*(23/1083),IF(C134="JR",SUMIFS($D:$D,$A:$A,$A134,$B:$B,"&lt;&gt;Patrícia Karla de Sousa Araújo",$B:$B,"&lt;&gt;Lorena Dias de Araujo",$B:$B,"&lt;&gt;Lucas Luiz Romero")*(20/1083),IF(C134="Estágio",SUMIFS($D:$D,$A:$A,$A134,$B:$B,"&lt;&gt;Patrícia Karla de Sousa Araújo",$B:$B,"&lt;&gt;Lorena Dias de Araujo",$B:$B,"&lt;&gt;Lucas Luiz Romero")*(10/1083),0)))))),0)</f>
        <v/>
      </c>
      <c r="K134" s="3">
        <f>I134-J134</f>
        <v/>
      </c>
      <c r="L134" s="3">
        <f>IF(K134&lt;-5,"CRÍTICO",IF(K134&lt;0,"ATENÇÃO",IF(K134&lt;=5,"BOM","EXCELENTE")))</f>
        <v/>
      </c>
      <c r="M134" s="3" t="n">
        <v>22</v>
      </c>
      <c r="N134" s="3" t="n">
        <v>98</v>
      </c>
      <c r="O134" s="3" t="n">
        <v>16.43835616438356</v>
      </c>
    </row>
    <row r="135" hidden="1">
      <c r="A135" s="5" t="n">
        <v>46147</v>
      </c>
      <c r="B135" s="6" t="inlineStr">
        <is>
          <t>Paulo Ricardo Santos</t>
        </is>
      </c>
      <c r="C135" s="3" t="inlineStr">
        <is>
          <t>JR</t>
        </is>
      </c>
      <c r="D135" s="3" t="n">
        <v>18</v>
      </c>
      <c r="E135" s="3" t="n">
        <v>17</v>
      </c>
      <c r="F135" s="3" t="n">
        <v>20.04</v>
      </c>
      <c r="G135" s="3" t="n">
        <v>0</v>
      </c>
      <c r="H135" s="3" t="n">
        <v>0</v>
      </c>
      <c r="I135" s="3">
        <f>E135+G135+H135</f>
        <v/>
      </c>
      <c r="J135" s="3">
        <f>ROUND(MIN(IF(C135="Técnico III",35,IF(C135="Técnico II",28,IF(C135="Técnico I",23,IF(C135="JR",20,IF(C135="Estágio",10,0))))),IF(C135="Técnico III",SUMIFS($D:$D,$A:$A,$A135,$B:$B,"&lt;&gt;Patrícia Karla de Sousa Araújo",$B:$B,"&lt;&gt;Lorena Dias de Araujo",$B:$B,"&lt;&gt;Lucas Luiz Romero")*(35/1083),IF(C135="Técnico II",SUMIFS($D:$D,$A:$A,$A135,$B:$B,"&lt;&gt;Patrícia Karla de Sousa Araújo",$B:$B,"&lt;&gt;Lorena Dias de Araujo",$B:$B,"&lt;&gt;Lucas Luiz Romero")*(28/1083),IF(C135="Técnico I",SUMIFS($D:$D,$A:$A,$A135,$B:$B,"&lt;&gt;Patrícia Karla de Sousa Araújo",$B:$B,"&lt;&gt;Lorena Dias de Araujo",$B:$B,"&lt;&gt;Lucas Luiz Romero")*(23/1083),IF(C135="JR",SUMIFS($D:$D,$A:$A,$A135,$B:$B,"&lt;&gt;Patrícia Karla de Sousa Araújo",$B:$B,"&lt;&gt;Lorena Dias de Araujo",$B:$B,"&lt;&gt;Lucas Luiz Romero")*(20/1083),IF(C135="Estágio",SUMIFS($D:$D,$A:$A,$A135,$B:$B,"&lt;&gt;Patrícia Karla de Sousa Araújo",$B:$B,"&lt;&gt;Lorena Dias de Araujo",$B:$B,"&lt;&gt;Lucas Luiz Romero")*(10/1083),0)))))),0)</f>
        <v/>
      </c>
      <c r="K135" s="3">
        <f>I135-J135</f>
        <v/>
      </c>
      <c r="L135" s="3">
        <f>IF(K135&lt;-5,"CRÍTICO",IF(K135&lt;0,"ATENÇÃO",IF(K135&lt;=5,"BOM","EXCELENTE")))</f>
        <v/>
      </c>
      <c r="M135" s="3" t="n">
        <v>17</v>
      </c>
      <c r="N135" s="3" t="n">
        <v>100</v>
      </c>
      <c r="O135" s="3" t="n">
        <v>19.13875598086124</v>
      </c>
    </row>
    <row r="136" hidden="1">
      <c r="A136" s="5" t="n">
        <v>46147</v>
      </c>
      <c r="B136" s="6" t="inlineStr">
        <is>
          <t>Pedro Luiz Mota Sousa</t>
        </is>
      </c>
      <c r="C136" s="3" t="inlineStr">
        <is>
          <t>JR</t>
        </is>
      </c>
      <c r="D136" s="3" t="n">
        <v>11</v>
      </c>
      <c r="E136" s="3" t="n">
        <v>11</v>
      </c>
      <c r="F136" s="3" t="n">
        <v>18.23</v>
      </c>
      <c r="G136" s="3" t="n">
        <v>9</v>
      </c>
      <c r="H136" s="3" t="n">
        <v>0</v>
      </c>
      <c r="I136" s="3">
        <f>E136+G136+H136</f>
        <v/>
      </c>
      <c r="J136" s="3">
        <f>ROUND(MIN(IF(C136="Técnico III",35,IF(C136="Técnico II",28,IF(C136="Técnico I",23,IF(C136="JR",20,IF(C136="Estágio",10,0))))),IF(C136="Técnico III",SUMIFS($D:$D,$A:$A,$A136,$B:$B,"&lt;&gt;Patrícia Karla de Sousa Araújo",$B:$B,"&lt;&gt;Lorena Dias de Araujo",$B:$B,"&lt;&gt;Lucas Luiz Romero")*(35/1083),IF(C136="Técnico II",SUMIFS($D:$D,$A:$A,$A136,$B:$B,"&lt;&gt;Patrícia Karla de Sousa Araújo",$B:$B,"&lt;&gt;Lorena Dias de Araujo",$B:$B,"&lt;&gt;Lucas Luiz Romero")*(28/1083),IF(C136="Técnico I",SUMIFS($D:$D,$A:$A,$A136,$B:$B,"&lt;&gt;Patrícia Karla de Sousa Araújo",$B:$B,"&lt;&gt;Lorena Dias de Araujo",$B:$B,"&lt;&gt;Lucas Luiz Romero")*(23/1083),IF(C136="JR",SUMIFS($D:$D,$A:$A,$A136,$B:$B,"&lt;&gt;Patrícia Karla de Sousa Araújo",$B:$B,"&lt;&gt;Lorena Dias de Araujo",$B:$B,"&lt;&gt;Lucas Luiz Romero")*(20/1083),IF(C136="Estágio",SUMIFS($D:$D,$A:$A,$A136,$B:$B,"&lt;&gt;Patrícia Karla de Sousa Araújo",$B:$B,"&lt;&gt;Lorena Dias de Araujo",$B:$B,"&lt;&gt;Lucas Luiz Romero")*(10/1083),0)))))),0)</f>
        <v/>
      </c>
      <c r="K136" s="3">
        <f>I136-J136</f>
        <v/>
      </c>
      <c r="L136" s="3">
        <f>IF(K136&lt;-5,"CRÍTICO",IF(K136&lt;0,"ATENÇÃO",IF(K136&lt;=5,"BOM","EXCELENTE")))</f>
        <v/>
      </c>
      <c r="M136" s="3" t="n">
        <v>19</v>
      </c>
      <c r="N136" s="3" t="n">
        <v>100</v>
      </c>
      <c r="O136" s="3" t="n">
        <v>15.02145922746781</v>
      </c>
    </row>
    <row r="137" hidden="1">
      <c r="A137" s="5" t="n">
        <v>46148</v>
      </c>
      <c r="B137" s="6" t="inlineStr">
        <is>
          <t>Karina Gonçalves Martins</t>
        </is>
      </c>
      <c r="C137" s="3" t="inlineStr">
        <is>
          <t>JR</t>
        </is>
      </c>
      <c r="D137" s="3" t="n">
        <v>22</v>
      </c>
      <c r="E137" s="3" t="n">
        <v>22</v>
      </c>
      <c r="F137" t="n">
        <v>30.08</v>
      </c>
      <c r="G137" s="3" t="n">
        <v>1</v>
      </c>
      <c r="H137" s="3" t="n">
        <v>0</v>
      </c>
      <c r="I137" s="3">
        <f>E137+G137+H137</f>
        <v/>
      </c>
      <c r="J137" s="3">
        <f>ROUND(MIN(IF(C137="Técnico III",35,IF(C137="Técnico II",28,IF(C137="Técnico I",23,IF(C137="JR",20,IF(C137="Estágio",10,0))))),IF(C137="Técnico III",SUMIFS($D:$D,$A:$A,$A137,$B:$B,"&lt;&gt;Patrícia Karla de Sousa Araújo",$B:$B,"&lt;&gt;Lorena Dias de Araujo",$B:$B,"&lt;&gt;Lucas Luiz Romero")*(35/1083),IF(C137="Técnico II",SUMIFS($D:$D,$A:$A,$A137,$B:$B,"&lt;&gt;Patrícia Karla de Sousa Araújo",$B:$B,"&lt;&gt;Lorena Dias de Araujo",$B:$B,"&lt;&gt;Lucas Luiz Romero")*(28/1083),IF(C137="Técnico I",SUMIFS($D:$D,$A:$A,$A137,$B:$B,"&lt;&gt;Patrícia Karla de Sousa Araújo",$B:$B,"&lt;&gt;Lorena Dias de Araujo",$B:$B,"&lt;&gt;Lucas Luiz Romero")*(23/1083),IF(C137="JR",SUMIFS($D:$D,$A:$A,$A137,$B:$B,"&lt;&gt;Patrícia Karla de Sousa Araújo",$B:$B,"&lt;&gt;Lorena Dias de Araujo",$B:$B,"&lt;&gt;Lucas Luiz Romero")*(20/1083),IF(C137="Estágio",SUMIFS($D:$D,$A:$A,$A137,$B:$B,"&lt;&gt;Patrícia Karla de Sousa Araújo",$B:$B,"&lt;&gt;Lorena Dias de Araujo",$B:$B,"&lt;&gt;Lucas Luiz Romero")*(10/1083),0)))))),0)</f>
        <v/>
      </c>
      <c r="K137" s="3">
        <f>I137-J137</f>
        <v/>
      </c>
      <c r="L137" s="3">
        <f>IF(K137&lt;-5,"CRÍTICO",IF(K137&lt;0,"ATENÇÃO",IF(K137&lt;=5,"BOM","EXCELENTE")))</f>
        <v/>
      </c>
      <c r="M137" s="3" t="n">
        <v>22</v>
      </c>
      <c r="N137" s="3" t="n">
        <v>97.01000000000001</v>
      </c>
      <c r="O137" s="3" t="n">
        <v>13.96103896103896</v>
      </c>
    </row>
    <row r="138" hidden="1">
      <c r="A138" s="5" t="n">
        <v>46148</v>
      </c>
      <c r="B138" s="6" t="inlineStr">
        <is>
          <t>Leandro de Souza Silva</t>
        </is>
      </c>
      <c r="C138" s="3" t="inlineStr">
        <is>
          <t>JR</t>
        </is>
      </c>
      <c r="D138" s="3" t="n">
        <v>13</v>
      </c>
      <c r="E138" s="3" t="n">
        <v>12</v>
      </c>
      <c r="F138" t="n">
        <v>30.43</v>
      </c>
      <c r="G138" s="3" t="n">
        <v>12</v>
      </c>
      <c r="H138" s="3" t="n">
        <v>0</v>
      </c>
      <c r="I138" s="3">
        <f>E138+G138+H138</f>
        <v/>
      </c>
      <c r="J138" s="3">
        <f>ROUND(MIN(IF(C138="Técnico III",35,IF(C138="Técnico II",28,IF(C138="Técnico I",23,IF(C138="JR",20,IF(C138="Estágio",10,0))))),IF(C138="Técnico III",SUMIFS($D:$D,$A:$A,$A138,$B:$B,"&lt;&gt;Patrícia Karla de Sousa Araújo",$B:$B,"&lt;&gt;Lorena Dias de Araujo",$B:$B,"&lt;&gt;Lucas Luiz Romero")*(35/1083),IF(C138="Técnico II",SUMIFS($D:$D,$A:$A,$A138,$B:$B,"&lt;&gt;Patrícia Karla de Sousa Araújo",$B:$B,"&lt;&gt;Lorena Dias de Araujo",$B:$B,"&lt;&gt;Lucas Luiz Romero")*(28/1083),IF(C138="Técnico I",SUMIFS($D:$D,$A:$A,$A138,$B:$B,"&lt;&gt;Patrícia Karla de Sousa Araújo",$B:$B,"&lt;&gt;Lorena Dias de Araujo",$B:$B,"&lt;&gt;Lucas Luiz Romero")*(23/1083),IF(C138="JR",SUMIFS($D:$D,$A:$A,$A138,$B:$B,"&lt;&gt;Patrícia Karla de Sousa Araújo",$B:$B,"&lt;&gt;Lorena Dias de Araujo",$B:$B,"&lt;&gt;Lucas Luiz Romero")*(20/1083),IF(C138="Estágio",SUMIFS($D:$D,$A:$A,$A138,$B:$B,"&lt;&gt;Patrícia Karla de Sousa Araújo",$B:$B,"&lt;&gt;Lorena Dias de Araujo",$B:$B,"&lt;&gt;Lucas Luiz Romero")*(10/1083),0)))))),0)</f>
        <v/>
      </c>
      <c r="K138" s="3">
        <f>I138-J138</f>
        <v/>
      </c>
      <c r="L138" s="3">
        <f>IF(K138&lt;-5,"CRÍTICO",IF(K138&lt;0,"ATENÇÃO",IF(K138&lt;=5,"BOM","EXCELENTE")))</f>
        <v/>
      </c>
      <c r="M138" s="3" t="n">
        <v>17</v>
      </c>
      <c r="N138" s="3" t="n">
        <v>100</v>
      </c>
      <c r="O138" s="3" t="n">
        <v>16.95906432748538</v>
      </c>
    </row>
    <row r="139" hidden="1">
      <c r="A139" s="5" t="n">
        <v>46148</v>
      </c>
      <c r="B139" s="6" t="inlineStr">
        <is>
          <t>Milena Sales</t>
        </is>
      </c>
      <c r="C139" s="3" t="inlineStr">
        <is>
          <t>JR</t>
        </is>
      </c>
      <c r="D139" s="3" t="n">
        <v>0</v>
      </c>
      <c r="E139" s="3" t="n">
        <v>0</v>
      </c>
      <c r="F139" s="3" t="n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>
        <f>IF(K139&lt;-5,"CRÍTICO",IF(K139&lt;0,"ATENÇÃO",IF(K139&lt;=5,"BOM","EXCELENTE")))</f>
        <v/>
      </c>
      <c r="M139" s="3" t="n">
        <v>0</v>
      </c>
      <c r="N139" s="3" t="n">
        <v>98</v>
      </c>
      <c r="O139" s="3" t="n">
        <v>16.43835616438356</v>
      </c>
    </row>
    <row r="140" hidden="1">
      <c r="A140" s="5" t="n">
        <v>46148</v>
      </c>
      <c r="B140" s="6" t="inlineStr">
        <is>
          <t>Paulo Ricardo Santos</t>
        </is>
      </c>
      <c r="C140" s="3" t="inlineStr">
        <is>
          <t>JR</t>
        </is>
      </c>
      <c r="D140" s="3" t="n">
        <v>17</v>
      </c>
      <c r="E140" s="3" t="n">
        <v>17</v>
      </c>
      <c r="F140" t="n">
        <v>20.34</v>
      </c>
      <c r="G140" s="3" t="n">
        <v>0</v>
      </c>
      <c r="H140" s="3" t="n">
        <v>0</v>
      </c>
      <c r="I140" s="3">
        <f>E140+G140+H140</f>
        <v/>
      </c>
      <c r="J140" s="3">
        <f>ROUND(MIN(IF(C140="Técnico III",35,IF(C140="Técnico II",28,IF(C140="Técnico I",23,IF(C140="JR",20,IF(C140="Estágio",10,0))))),IF(C140="Técnico III",SUMIFS($D:$D,$A:$A,$A140,$B:$B,"&lt;&gt;Patrícia Karla de Sousa Araújo",$B:$B,"&lt;&gt;Lorena Dias de Araujo",$B:$B,"&lt;&gt;Lucas Luiz Romero")*(35/1083),IF(C140="Técnico II",SUMIFS($D:$D,$A:$A,$A140,$B:$B,"&lt;&gt;Patrícia Karla de Sousa Araújo",$B:$B,"&lt;&gt;Lorena Dias de Araujo",$B:$B,"&lt;&gt;Lucas Luiz Romero")*(28/1083),IF(C140="Técnico I",SUMIFS($D:$D,$A:$A,$A140,$B:$B,"&lt;&gt;Patrícia Karla de Sousa Araújo",$B:$B,"&lt;&gt;Lorena Dias de Araujo",$B:$B,"&lt;&gt;Lucas Luiz Romero")*(23/1083),IF(C140="JR",SUMIFS($D:$D,$A:$A,$A140,$B:$B,"&lt;&gt;Patrícia Karla de Sousa Araújo",$B:$B,"&lt;&gt;Lorena Dias de Araujo",$B:$B,"&lt;&gt;Lucas Luiz Romero")*(20/1083),IF(C140="Estágio",SUMIFS($D:$D,$A:$A,$A140,$B:$B,"&lt;&gt;Patrícia Karla de Sousa Araújo",$B:$B,"&lt;&gt;Lorena Dias de Araujo",$B:$B,"&lt;&gt;Lucas Luiz Romero")*(10/1083),0)))))),0)</f>
        <v/>
      </c>
      <c r="K140" s="3">
        <f>I140-J140</f>
        <v/>
      </c>
      <c r="L140" s="3">
        <f>IF(K140&lt;-5,"CRÍTICO",IF(K140&lt;0,"ATENÇÃO",IF(K140&lt;=5,"BOM","EXCELENTE")))</f>
        <v/>
      </c>
      <c r="M140" s="3" t="n">
        <v>15</v>
      </c>
      <c r="N140" s="3" t="n">
        <v>100</v>
      </c>
      <c r="O140" s="3" t="n">
        <v>19.13875598086124</v>
      </c>
    </row>
    <row r="141" hidden="1">
      <c r="A141" s="5" t="n">
        <v>46148</v>
      </c>
      <c r="B141" s="6" t="inlineStr">
        <is>
          <t>Pedro Luiz Mota Sousa</t>
        </is>
      </c>
      <c r="C141" s="3" t="inlineStr">
        <is>
          <t>JR</t>
        </is>
      </c>
      <c r="D141" s="3" t="n">
        <v>22</v>
      </c>
      <c r="E141" s="3" t="n">
        <v>21</v>
      </c>
      <c r="F141" t="n">
        <v>17.24</v>
      </c>
      <c r="G141" s="3" t="n">
        <v>3</v>
      </c>
      <c r="H141" s="3" t="n">
        <v>0</v>
      </c>
      <c r="I141" s="3">
        <f>E141+G141+H141</f>
        <v/>
      </c>
      <c r="J141" s="3">
        <f>ROUND(MIN(IF(C141="Técnico III",35,IF(C141="Técnico II",28,IF(C141="Técnico I",23,IF(C141="JR",20,IF(C141="Estágio",10,0))))),IF(C141="Técnico III",SUMIFS($D:$D,$A:$A,$A141,$B:$B,"&lt;&gt;Patrícia Karla de Sousa Araújo",$B:$B,"&lt;&gt;Lorena Dias de Araujo",$B:$B,"&lt;&gt;Lucas Luiz Romero")*(35/1083),IF(C141="Técnico II",SUMIFS($D:$D,$A:$A,$A141,$B:$B,"&lt;&gt;Patrícia Karla de Sousa Araújo",$B:$B,"&lt;&gt;Lorena Dias de Araujo",$B:$B,"&lt;&gt;Lucas Luiz Romero")*(28/1083),IF(C141="Técnico I",SUMIFS($D:$D,$A:$A,$A141,$B:$B,"&lt;&gt;Patrícia Karla de Sousa Araújo",$B:$B,"&lt;&gt;Lorena Dias de Araujo",$B:$B,"&lt;&gt;Lucas Luiz Romero")*(23/1083),IF(C141="JR",SUMIFS($D:$D,$A:$A,$A141,$B:$B,"&lt;&gt;Patrícia Karla de Sousa Araújo",$B:$B,"&lt;&gt;Lorena Dias de Araujo",$B:$B,"&lt;&gt;Lucas Luiz Romero")*(20/1083),IF(C141="Estágio",SUMIFS($D:$D,$A:$A,$A141,$B:$B,"&lt;&gt;Patrícia Karla de Sousa Araújo",$B:$B,"&lt;&gt;Lorena Dias de Araujo",$B:$B,"&lt;&gt;Lucas Luiz Romero")*(10/1083),0)))))),0)</f>
        <v/>
      </c>
      <c r="K141" s="3">
        <f>I141-J141</f>
        <v/>
      </c>
      <c r="L141" s="3">
        <f>IF(K141&lt;-5,"CRÍTICO",IF(K141&lt;0,"ATENÇÃO",IF(K141&lt;=5,"BOM","EXCELENTE")))</f>
        <v/>
      </c>
      <c r="M141" s="3" t="n">
        <v>18</v>
      </c>
      <c r="N141" s="3" t="n">
        <v>100</v>
      </c>
      <c r="O141" s="3" t="n">
        <v>15.02145922746781</v>
      </c>
    </row>
    <row r="142" hidden="1">
      <c r="A142" s="5" t="n">
        <v>46149</v>
      </c>
      <c r="B142" s="6" t="inlineStr">
        <is>
          <t>Karina Gonçalves Martins</t>
        </is>
      </c>
      <c r="C142" s="3" t="inlineStr">
        <is>
          <t>JR</t>
        </is>
      </c>
      <c r="D142" s="3" t="n">
        <v>18</v>
      </c>
      <c r="E142" s="3" t="n">
        <v>17</v>
      </c>
      <c r="F142" t="n">
        <v>23.23</v>
      </c>
      <c r="G142" s="3" t="n">
        <v>9</v>
      </c>
      <c r="H142" s="3" t="n">
        <v>0</v>
      </c>
      <c r="I142" s="3">
        <f>E142+G142+H142</f>
        <v/>
      </c>
      <c r="J142" s="3">
        <f>ROUND(MIN(IF(C142="Técnico III",35,IF(C142="Técnico II",28,IF(C142="Técnico I",23,IF(C142="JR",20,IF(C142="Estágio",10,0))))),IF(C142="Técnico III",SUMIFS($D:$D,$A:$A,$A142,$B:$B,"&lt;&gt;Patrícia Karla de Sousa Araújo",$B:$B,"&lt;&gt;Lorena Dias de Araujo",$B:$B,"&lt;&gt;Lucas Luiz Romero")*(35/1083),IF(C142="Técnico II",SUMIFS($D:$D,$A:$A,$A142,$B:$B,"&lt;&gt;Patrícia Karla de Sousa Araújo",$B:$B,"&lt;&gt;Lorena Dias de Araujo",$B:$B,"&lt;&gt;Lucas Luiz Romero")*(28/1083),IF(C142="Técnico I",SUMIFS($D:$D,$A:$A,$A142,$B:$B,"&lt;&gt;Patrícia Karla de Sousa Araújo",$B:$B,"&lt;&gt;Lorena Dias de Araujo",$B:$B,"&lt;&gt;Lucas Luiz Romero")*(23/1083),IF(C142="JR",SUMIFS($D:$D,$A:$A,$A142,$B:$B,"&lt;&gt;Patrícia Karla de Sousa Araújo",$B:$B,"&lt;&gt;Lorena Dias de Araujo",$B:$B,"&lt;&gt;Lucas Luiz Romero")*(20/1083),IF(C142="Estágio",SUMIFS($D:$D,$A:$A,$A142,$B:$B,"&lt;&gt;Patrícia Karla de Sousa Araújo",$B:$B,"&lt;&gt;Lorena Dias de Araujo",$B:$B,"&lt;&gt;Lucas Luiz Romero")*(10/1083),0)))))),0)</f>
        <v/>
      </c>
      <c r="K142" s="3">
        <f>I142-J142</f>
        <v/>
      </c>
      <c r="L142" s="3">
        <f>IF(K142&lt;-5,"CRÍTICO",IF(K142&lt;0,"ATENÇÃO",IF(K142&lt;=5,"BOM","EXCELENTE")))</f>
        <v/>
      </c>
      <c r="M142" s="3" t="n">
        <v>22</v>
      </c>
      <c r="N142" s="3" t="n">
        <v>97.01000000000001</v>
      </c>
      <c r="O142" s="3" t="n">
        <v>13.96103896103896</v>
      </c>
    </row>
    <row r="143" hidden="1">
      <c r="A143" s="5" t="n">
        <v>46149</v>
      </c>
      <c r="B143" s="6" t="inlineStr">
        <is>
          <t>Leandro de Souza Silva</t>
        </is>
      </c>
      <c r="C143" s="3" t="inlineStr">
        <is>
          <t>JR</t>
        </is>
      </c>
      <c r="D143" s="3" t="n">
        <v>12</v>
      </c>
      <c r="E143" s="3" t="n">
        <v>11</v>
      </c>
      <c r="F143" t="n">
        <v>36.43</v>
      </c>
      <c r="G143" s="3" t="n">
        <v>4</v>
      </c>
      <c r="H143" s="3" t="n">
        <v>0</v>
      </c>
      <c r="I143" s="3">
        <f>E143+G143+H143</f>
        <v/>
      </c>
      <c r="J143" s="3">
        <f>ROUND(MIN(IF(C143="Técnico III",35,IF(C143="Técnico II",28,IF(C143="Técnico I",23,IF(C143="JR",20,IF(C143="Estágio",10,0))))),IF(C143="Técnico III",SUMIFS($D:$D,$A:$A,$A143,$B:$B,"&lt;&gt;Patrícia Karla de Sousa Araújo",$B:$B,"&lt;&gt;Lorena Dias de Araujo",$B:$B,"&lt;&gt;Lucas Luiz Romero")*(35/1083),IF(C143="Técnico II",SUMIFS($D:$D,$A:$A,$A143,$B:$B,"&lt;&gt;Patrícia Karla de Sousa Araújo",$B:$B,"&lt;&gt;Lorena Dias de Araujo",$B:$B,"&lt;&gt;Lucas Luiz Romero")*(28/1083),IF(C143="Técnico I",SUMIFS($D:$D,$A:$A,$A143,$B:$B,"&lt;&gt;Patrícia Karla de Sousa Araújo",$B:$B,"&lt;&gt;Lorena Dias de Araujo",$B:$B,"&lt;&gt;Lucas Luiz Romero")*(23/1083),IF(C143="JR",SUMIFS($D:$D,$A:$A,$A143,$B:$B,"&lt;&gt;Patrícia Karla de Sousa Araújo",$B:$B,"&lt;&gt;Lorena Dias de Araujo",$B:$B,"&lt;&gt;Lucas Luiz Romero")*(20/1083),IF(C143="Estágio",SUMIFS($D:$D,$A:$A,$A143,$B:$B,"&lt;&gt;Patrícia Karla de Sousa Araújo",$B:$B,"&lt;&gt;Lorena Dias de Araujo",$B:$B,"&lt;&gt;Lucas Luiz Romero")*(10/1083),0)))))),0)</f>
        <v/>
      </c>
      <c r="K143" s="3">
        <f>I143-J143</f>
        <v/>
      </c>
      <c r="L143" s="3">
        <f>IF(K143&lt;-5,"CRÍTICO",IF(K143&lt;0,"ATENÇÃO",IF(K143&lt;=5,"BOM","EXCELENTE")))</f>
        <v/>
      </c>
      <c r="M143" s="3" t="n">
        <v>8</v>
      </c>
      <c r="N143" s="3" t="n">
        <v>100</v>
      </c>
      <c r="O143" s="3" t="n">
        <v>16.95906432748538</v>
      </c>
    </row>
    <row r="144" hidden="1">
      <c r="A144" s="5" t="n">
        <v>46149</v>
      </c>
      <c r="B144" s="6" t="inlineStr">
        <is>
          <t>Milena Sales</t>
        </is>
      </c>
      <c r="C144" s="3" t="inlineStr">
        <is>
          <t>JR</t>
        </is>
      </c>
      <c r="D144" s="3" t="n">
        <v>0</v>
      </c>
      <c r="E144" s="3" t="n">
        <v>0</v>
      </c>
      <c r="F144" s="3" t="n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>
        <f>IF(K144&lt;-5,"CRÍTICO",IF(K144&lt;0,"ATENÇÃO",IF(K144&lt;=5,"BOM","EXCELENTE")))</f>
        <v/>
      </c>
      <c r="M144" s="3" t="n">
        <v>0</v>
      </c>
      <c r="N144" s="3" t="n">
        <v>98</v>
      </c>
      <c r="O144" s="3" t="n">
        <v>16.43835616438356</v>
      </c>
    </row>
    <row r="145" hidden="1">
      <c r="A145" s="5" t="n">
        <v>46149</v>
      </c>
      <c r="B145" s="6" t="inlineStr">
        <is>
          <t>Paulo Ricardo Santos</t>
        </is>
      </c>
      <c r="C145" s="3" t="inlineStr">
        <is>
          <t>JR</t>
        </is>
      </c>
      <c r="D145" s="3" t="n">
        <v>16</v>
      </c>
      <c r="E145" s="3" t="n">
        <v>16</v>
      </c>
      <c r="F145" t="n">
        <v>21.57</v>
      </c>
      <c r="G145" s="3" t="n">
        <v>8</v>
      </c>
      <c r="H145" s="3" t="n">
        <v>0</v>
      </c>
      <c r="I145" s="3">
        <f>E145+G145+H145</f>
        <v/>
      </c>
      <c r="J145" s="3">
        <f>ROUND(MIN(IF(C145="Técnico III",35,IF(C145="Técnico II",28,IF(C145="Técnico I",23,IF(C145="JR",20,IF(C145="Estágio",10,0))))),IF(C145="Técnico III",SUMIFS($D:$D,$A:$A,$A145,$B:$B,"&lt;&gt;Patrícia Karla de Sousa Araújo",$B:$B,"&lt;&gt;Lorena Dias de Araujo",$B:$B,"&lt;&gt;Lucas Luiz Romero")*(35/1083),IF(C145="Técnico II",SUMIFS($D:$D,$A:$A,$A145,$B:$B,"&lt;&gt;Patrícia Karla de Sousa Araújo",$B:$B,"&lt;&gt;Lorena Dias de Araujo",$B:$B,"&lt;&gt;Lucas Luiz Romero")*(28/1083),IF(C145="Técnico I",SUMIFS($D:$D,$A:$A,$A145,$B:$B,"&lt;&gt;Patrícia Karla de Sousa Araújo",$B:$B,"&lt;&gt;Lorena Dias de Araujo",$B:$B,"&lt;&gt;Lucas Luiz Romero")*(23/1083),IF(C145="JR",SUMIFS($D:$D,$A:$A,$A145,$B:$B,"&lt;&gt;Patrícia Karla de Sousa Araújo",$B:$B,"&lt;&gt;Lorena Dias de Araujo",$B:$B,"&lt;&gt;Lucas Luiz Romero")*(20/1083),IF(C145="Estágio",SUMIFS($D:$D,$A:$A,$A145,$B:$B,"&lt;&gt;Patrícia Karla de Sousa Araújo",$B:$B,"&lt;&gt;Lorena Dias de Araujo",$B:$B,"&lt;&gt;Lucas Luiz Romero")*(10/1083),0)))))),0)</f>
        <v/>
      </c>
      <c r="K145" s="3">
        <f>I145-J145</f>
        <v/>
      </c>
      <c r="L145" s="3">
        <f>IF(K145&lt;-5,"CRÍTICO",IF(K145&lt;0,"ATENÇÃO",IF(K145&lt;=5,"BOM","EXCELENTE")))</f>
        <v/>
      </c>
      <c r="M145" s="3" t="n">
        <v>18</v>
      </c>
      <c r="N145" s="3" t="n">
        <v>100</v>
      </c>
      <c r="O145" s="3" t="n">
        <v>19.13875598086124</v>
      </c>
    </row>
    <row r="146" hidden="1">
      <c r="A146" s="5" t="n">
        <v>46149</v>
      </c>
      <c r="B146" s="6" t="inlineStr">
        <is>
          <t>Pedro Luiz Mota Sousa</t>
        </is>
      </c>
      <c r="C146" s="3" t="inlineStr">
        <is>
          <t>JR</t>
        </is>
      </c>
      <c r="D146" s="3" t="n">
        <v>19</v>
      </c>
      <c r="E146" s="3" t="n">
        <v>19</v>
      </c>
      <c r="F146" t="n">
        <v>17.09</v>
      </c>
      <c r="G146" s="3" t="n">
        <v>5</v>
      </c>
      <c r="H146" s="3" t="n">
        <v>0</v>
      </c>
      <c r="I146" s="3">
        <f>E146+G146+H146</f>
        <v/>
      </c>
      <c r="J146" s="3">
        <f>ROUND(MIN(IF(C146="Técnico III",35,IF(C146="Técnico II",28,IF(C146="Técnico I",23,IF(C146="JR",20,IF(C146="Estágio",10,0))))),IF(C146="Técnico III",SUMIFS($D:$D,$A:$A,$A146,$B:$B,"&lt;&gt;Patrícia Karla de Sousa Araújo",$B:$B,"&lt;&gt;Lorena Dias de Araujo",$B:$B,"&lt;&gt;Lucas Luiz Romero")*(35/1083),IF(C146="Técnico II",SUMIFS($D:$D,$A:$A,$A146,$B:$B,"&lt;&gt;Patrícia Karla de Sousa Araújo",$B:$B,"&lt;&gt;Lorena Dias de Araujo",$B:$B,"&lt;&gt;Lucas Luiz Romero")*(28/1083),IF(C146="Técnico I",SUMIFS($D:$D,$A:$A,$A146,$B:$B,"&lt;&gt;Patrícia Karla de Sousa Araújo",$B:$B,"&lt;&gt;Lorena Dias de Araujo",$B:$B,"&lt;&gt;Lucas Luiz Romero")*(23/1083),IF(C146="JR",SUMIFS($D:$D,$A:$A,$A146,$B:$B,"&lt;&gt;Patrícia Karla de Sousa Araújo",$B:$B,"&lt;&gt;Lorena Dias de Araujo",$B:$B,"&lt;&gt;Lucas Luiz Romero")*(20/1083),IF(C146="Estágio",SUMIFS($D:$D,$A:$A,$A146,$B:$B,"&lt;&gt;Patrícia Karla de Sousa Araújo",$B:$B,"&lt;&gt;Lorena Dias de Araujo",$B:$B,"&lt;&gt;Lucas Luiz Romero")*(10/1083),0)))))),0)</f>
        <v/>
      </c>
      <c r="K146" s="3">
        <f>I146-J146</f>
        <v/>
      </c>
      <c r="L146" s="3">
        <f>IF(K146&lt;-5,"CRÍTICO",IF(K146&lt;0,"ATENÇÃO",IF(K146&lt;=5,"BOM","EXCELENTE")))</f>
        <v/>
      </c>
      <c r="M146" s="3" t="n">
        <v>25</v>
      </c>
      <c r="N146" s="3" t="n">
        <v>100</v>
      </c>
      <c r="O146" s="3" t="n">
        <v>15.02145922746781</v>
      </c>
    </row>
    <row r="147" hidden="1">
      <c r="A147" s="5" t="n">
        <v>46150</v>
      </c>
      <c r="B147" s="6" t="inlineStr">
        <is>
          <t>Karina Gonçalves Martins</t>
        </is>
      </c>
      <c r="C147" s="3" t="inlineStr">
        <is>
          <t>JR</t>
        </is>
      </c>
      <c r="D147" s="3" t="n">
        <v>21</v>
      </c>
      <c r="E147" s="3" t="n">
        <v>20</v>
      </c>
      <c r="F147" t="n">
        <v>22.21</v>
      </c>
      <c r="G147" s="3" t="n">
        <v>1</v>
      </c>
      <c r="H147" s="3" t="n">
        <v>0</v>
      </c>
      <c r="I147" s="3">
        <f>E147+G147+H147</f>
        <v/>
      </c>
      <c r="J147" s="3">
        <f>ROUND(MIN(IF(C147="Técnico III",35,IF(C147="Técnico II",28,IF(C147="Técnico I",23,IF(C147="JR",20,IF(C147="Estágio",10,0))))),IF(C147="Técnico III",SUMIFS($D:$D,$A:$A,$A147,$B:$B,"&lt;&gt;Patrícia Karla de Sousa Araújo",$B:$B,"&lt;&gt;Lorena Dias de Araujo",$B:$B,"&lt;&gt;Lucas Luiz Romero")*(35/1083),IF(C147="Técnico II",SUMIFS($D:$D,$A:$A,$A147,$B:$B,"&lt;&gt;Patrícia Karla de Sousa Araújo",$B:$B,"&lt;&gt;Lorena Dias de Araujo",$B:$B,"&lt;&gt;Lucas Luiz Romero")*(28/1083),IF(C147="Técnico I",SUMIFS($D:$D,$A:$A,$A147,$B:$B,"&lt;&gt;Patrícia Karla de Sousa Araújo",$B:$B,"&lt;&gt;Lorena Dias de Araujo",$B:$B,"&lt;&gt;Lucas Luiz Romero")*(23/1083),IF(C147="JR",SUMIFS($D:$D,$A:$A,$A147,$B:$B,"&lt;&gt;Patrícia Karla de Sousa Araújo",$B:$B,"&lt;&gt;Lorena Dias de Araujo",$B:$B,"&lt;&gt;Lucas Luiz Romero")*(20/1083),IF(C147="Estágio",SUMIFS($D:$D,$A:$A,$A147,$B:$B,"&lt;&gt;Patrícia Karla de Sousa Araújo",$B:$B,"&lt;&gt;Lorena Dias de Araujo",$B:$B,"&lt;&gt;Lucas Luiz Romero")*(10/1083),0)))))),0)</f>
        <v/>
      </c>
      <c r="K147" s="3">
        <f>I147-J147</f>
        <v/>
      </c>
      <c r="L147" s="3">
        <f>IF(K147&lt;-5,"CRÍTICO",IF(K147&lt;0,"ATENÇÃO",IF(K147&lt;=5,"BOM","EXCELENTE")))</f>
        <v/>
      </c>
      <c r="M147" t="n">
        <v>16</v>
      </c>
      <c r="N147" t="n">
        <v>97.01000000000001</v>
      </c>
      <c r="O147" t="n">
        <v>13.96103896103896</v>
      </c>
    </row>
    <row r="148" hidden="1">
      <c r="A148" s="5" t="n">
        <v>46150</v>
      </c>
      <c r="B148" s="6" t="inlineStr">
        <is>
          <t>Leandro de Souza Silva</t>
        </is>
      </c>
      <c r="C148" s="3" t="inlineStr">
        <is>
          <t>JR</t>
        </is>
      </c>
      <c r="D148" s="3" t="n">
        <v>11</v>
      </c>
      <c r="E148" s="3" t="n">
        <v>11</v>
      </c>
      <c r="F148" t="n">
        <v>33.55</v>
      </c>
      <c r="G148" s="3" t="n">
        <v>4</v>
      </c>
      <c r="H148" s="3" t="n">
        <v>0</v>
      </c>
      <c r="I148" s="3">
        <f>E148+G148+H148</f>
        <v/>
      </c>
      <c r="J148" s="3">
        <f>ROUND(MIN(IF(C148="Técnico III",35,IF(C148="Técnico II",28,IF(C148="Técnico I",23,IF(C148="JR",20,IF(C148="Estágio",10,0))))),IF(C148="Técnico III",SUMIFS($D:$D,$A:$A,$A148,$B:$B,"&lt;&gt;Patrícia Karla de Sousa Araújo",$B:$B,"&lt;&gt;Lorena Dias de Araujo",$B:$B,"&lt;&gt;Lucas Luiz Romero")*(35/1083),IF(C148="Técnico II",SUMIFS($D:$D,$A:$A,$A148,$B:$B,"&lt;&gt;Patrícia Karla de Sousa Araújo",$B:$B,"&lt;&gt;Lorena Dias de Araujo",$B:$B,"&lt;&gt;Lucas Luiz Romero")*(28/1083),IF(C148="Técnico I",SUMIFS($D:$D,$A:$A,$A148,$B:$B,"&lt;&gt;Patrícia Karla de Sousa Araújo",$B:$B,"&lt;&gt;Lorena Dias de Araujo",$B:$B,"&lt;&gt;Lucas Luiz Romero")*(23/1083),IF(C148="JR",SUMIFS($D:$D,$A:$A,$A148,$B:$B,"&lt;&gt;Patrícia Karla de Sousa Araújo",$B:$B,"&lt;&gt;Lorena Dias de Araujo",$B:$B,"&lt;&gt;Lucas Luiz Romero")*(20/1083),IF(C148="Estágio",SUMIFS($D:$D,$A:$A,$A148,$B:$B,"&lt;&gt;Patrícia Karla de Sousa Araújo",$B:$B,"&lt;&gt;Lorena Dias de Araujo",$B:$B,"&lt;&gt;Lucas Luiz Romero")*(10/1083),0)))))),0)</f>
        <v/>
      </c>
      <c r="K148" s="3">
        <f>I148-J148</f>
        <v/>
      </c>
      <c r="L148" s="3">
        <f>IF(K148&lt;-5,"CRÍTICO",IF(K148&lt;0,"ATENÇÃO",IF(K148&lt;=5,"BOM","EXCELENTE")))</f>
        <v/>
      </c>
      <c r="M148" t="n">
        <v>14</v>
      </c>
      <c r="N148" t="n">
        <v>100</v>
      </c>
      <c r="O148" t="n">
        <v>16.95906432748538</v>
      </c>
    </row>
    <row r="149" hidden="1">
      <c r="A149" s="5" t="n">
        <v>46150</v>
      </c>
      <c r="B149" s="6" t="inlineStr">
        <is>
          <t>Milena Sales</t>
        </is>
      </c>
      <c r="C149" s="3" t="inlineStr">
        <is>
          <t>JR</t>
        </is>
      </c>
      <c r="D149" s="3" t="n">
        <v>53</v>
      </c>
      <c r="E149" s="3" t="n">
        <v>26</v>
      </c>
      <c r="F149" t="n">
        <v>5.5</v>
      </c>
      <c r="G149" s="3" t="n">
        <v>0</v>
      </c>
      <c r="H149" s="3" t="n">
        <v>0</v>
      </c>
      <c r="I149" s="3">
        <f>E149+G149+H149</f>
        <v/>
      </c>
      <c r="J149" s="3">
        <f>ROUND(MIN(IF(C149="Técnico III",35,IF(C149="Técnico II",28,IF(C149="Técnico I",23,IF(C149="JR",20,IF(C149="Estágio",10,0))))),IF(C149="Técnico III",SUMIFS($D:$D,$A:$A,$A149,$B:$B,"&lt;&gt;Patrícia Karla de Sousa Araújo",$B:$B,"&lt;&gt;Lorena Dias de Araujo",$B:$B,"&lt;&gt;Lucas Luiz Romero")*(35/1083),IF(C149="Técnico II",SUMIFS($D:$D,$A:$A,$A149,$B:$B,"&lt;&gt;Patrícia Karla de Sousa Araújo",$B:$B,"&lt;&gt;Lorena Dias de Araujo",$B:$B,"&lt;&gt;Lucas Luiz Romero")*(28/1083),IF(C149="Técnico I",SUMIFS($D:$D,$A:$A,$A149,$B:$B,"&lt;&gt;Patrícia Karla de Sousa Araújo",$B:$B,"&lt;&gt;Lorena Dias de Araujo",$B:$B,"&lt;&gt;Lucas Luiz Romero")*(23/1083),IF(C149="JR",SUMIFS($D:$D,$A:$A,$A149,$B:$B,"&lt;&gt;Patrícia Karla de Sousa Araújo",$B:$B,"&lt;&gt;Lorena Dias de Araujo",$B:$B,"&lt;&gt;Lucas Luiz Romero")*(20/1083),IF(C149="Estágio",SUMIFS($D:$D,$A:$A,$A149,$B:$B,"&lt;&gt;Patrícia Karla de Sousa Araújo",$B:$B,"&lt;&gt;Lorena Dias de Araujo",$B:$B,"&lt;&gt;Lucas Luiz Romero")*(10/1083),0)))))),0)</f>
        <v/>
      </c>
      <c r="K149" s="3">
        <f>I149-J149</f>
        <v/>
      </c>
      <c r="L149" s="3">
        <f>IF(K149&lt;-5,"CRÍTICO",IF(K149&lt;0,"ATENÇÃO",IF(K149&lt;=5,"BOM","EXCELENTE")))</f>
        <v/>
      </c>
      <c r="M149" t="n">
        <v>20</v>
      </c>
      <c r="N149" t="n">
        <v>98</v>
      </c>
      <c r="O149" t="n">
        <v>16.43835616438356</v>
      </c>
    </row>
    <row r="150" hidden="1">
      <c r="A150" s="5" t="n">
        <v>46150</v>
      </c>
      <c r="B150" s="6" t="inlineStr">
        <is>
          <t>Paulo Ricardo Santos</t>
        </is>
      </c>
      <c r="C150" s="3" t="inlineStr">
        <is>
          <t>JR</t>
        </is>
      </c>
      <c r="D150" s="3" t="n">
        <v>14</v>
      </c>
      <c r="E150" s="3" t="n">
        <v>14</v>
      </c>
      <c r="F150" t="n">
        <v>23.46</v>
      </c>
      <c r="G150" s="3" t="n">
        <v>0</v>
      </c>
      <c r="H150" s="3" t="n">
        <v>0</v>
      </c>
      <c r="I150" s="3">
        <f>E150+G150+H150</f>
        <v/>
      </c>
      <c r="J150" s="3">
        <f>ROUND(MIN(IF(C150="Técnico III",35,IF(C150="Técnico II",28,IF(C150="Técnico I",23,IF(C150="JR",20,IF(C150="Estágio",10,0))))),IF(C150="Técnico III",SUMIFS($D:$D,$A:$A,$A150,$B:$B,"&lt;&gt;Patrícia Karla de Sousa Araújo",$B:$B,"&lt;&gt;Lorena Dias de Araujo",$B:$B,"&lt;&gt;Lucas Luiz Romero")*(35/1083),IF(C150="Técnico II",SUMIFS($D:$D,$A:$A,$A150,$B:$B,"&lt;&gt;Patrícia Karla de Sousa Araújo",$B:$B,"&lt;&gt;Lorena Dias de Araujo",$B:$B,"&lt;&gt;Lucas Luiz Romero")*(28/1083),IF(C150="Técnico I",SUMIFS($D:$D,$A:$A,$A150,$B:$B,"&lt;&gt;Patrícia Karla de Sousa Araújo",$B:$B,"&lt;&gt;Lorena Dias de Araujo",$B:$B,"&lt;&gt;Lucas Luiz Romero")*(23/1083),IF(C150="JR",SUMIFS($D:$D,$A:$A,$A150,$B:$B,"&lt;&gt;Patrícia Karla de Sousa Araújo",$B:$B,"&lt;&gt;Lorena Dias de Araujo",$B:$B,"&lt;&gt;Lucas Luiz Romero")*(20/1083),IF(C150="Estágio",SUMIFS($D:$D,$A:$A,$A150,$B:$B,"&lt;&gt;Patrícia Karla de Sousa Araújo",$B:$B,"&lt;&gt;Lorena Dias de Araujo",$B:$B,"&lt;&gt;Lucas Luiz Romero")*(10/1083),0)))))),0)</f>
        <v/>
      </c>
      <c r="K150" s="3">
        <f>I150-J150</f>
        <v/>
      </c>
      <c r="L150" s="3">
        <f>IF(K150&lt;-5,"CRÍTICO",IF(K150&lt;0,"ATENÇÃO",IF(K150&lt;=5,"BOM","EXCELENTE")))</f>
        <v/>
      </c>
      <c r="M150" t="n">
        <v>14</v>
      </c>
      <c r="N150" t="n">
        <v>100</v>
      </c>
      <c r="O150" t="n">
        <v>19.13875598086124</v>
      </c>
    </row>
    <row r="151" hidden="1">
      <c r="A151" s="5" t="n">
        <v>46150</v>
      </c>
      <c r="B151" s="6" t="inlineStr">
        <is>
          <t>Pedro Luiz Mota Sousa</t>
        </is>
      </c>
      <c r="C151" s="3" t="inlineStr">
        <is>
          <t>JR</t>
        </is>
      </c>
      <c r="D151" s="3" t="n">
        <v>18</v>
      </c>
      <c r="E151" s="3" t="n">
        <v>17</v>
      </c>
      <c r="F151" t="n">
        <v>18.3</v>
      </c>
      <c r="G151" s="3" t="n">
        <v>0</v>
      </c>
      <c r="H151" s="3" t="n">
        <v>0</v>
      </c>
      <c r="I151" s="3">
        <f>E151+G151+H151</f>
        <v/>
      </c>
      <c r="J151" s="3">
        <f>ROUND(MIN(IF(C151="Técnico III",35,IF(C151="Técnico II",28,IF(C151="Técnico I",23,IF(C151="JR",20,IF(C151="Estágio",10,0))))),IF(C151="Técnico III",SUMIFS($D:$D,$A:$A,$A151,$B:$B,"&lt;&gt;Patrícia Karla de Sousa Araújo",$B:$B,"&lt;&gt;Lorena Dias de Araujo",$B:$B,"&lt;&gt;Lucas Luiz Romero")*(35/1083),IF(C151="Técnico II",SUMIFS($D:$D,$A:$A,$A151,$B:$B,"&lt;&gt;Patrícia Karla de Sousa Araújo",$B:$B,"&lt;&gt;Lorena Dias de Araujo",$B:$B,"&lt;&gt;Lucas Luiz Romero")*(28/1083),IF(C151="Técnico I",SUMIFS($D:$D,$A:$A,$A151,$B:$B,"&lt;&gt;Patrícia Karla de Sousa Araújo",$B:$B,"&lt;&gt;Lorena Dias de Araujo",$B:$B,"&lt;&gt;Lucas Luiz Romero")*(23/1083),IF(C151="JR",SUMIFS($D:$D,$A:$A,$A151,$B:$B,"&lt;&gt;Patrícia Karla de Sousa Araújo",$B:$B,"&lt;&gt;Lorena Dias de Araujo",$B:$B,"&lt;&gt;Lucas Luiz Romero")*(20/1083),IF(C151="Estágio",SUMIFS($D:$D,$A:$A,$A151,$B:$B,"&lt;&gt;Patrícia Karla de Sousa Araújo",$B:$B,"&lt;&gt;Lorena Dias de Araujo",$B:$B,"&lt;&gt;Lucas Luiz Romero")*(10/1083),0)))))),0)</f>
        <v/>
      </c>
      <c r="K151" s="3">
        <f>I151-J151</f>
        <v/>
      </c>
      <c r="L151" s="3">
        <f>IF(K151&lt;-5,"CRÍTICO",IF(K151&lt;0,"ATENÇÃO",IF(K151&lt;=5,"BOM","EXCELENTE")))</f>
        <v/>
      </c>
      <c r="M151" t="n">
        <v>16</v>
      </c>
      <c r="N151" t="n">
        <v>100</v>
      </c>
      <c r="O151" t="n">
        <v>15.02145922746781</v>
      </c>
    </row>
    <row r="152" hidden="1">
      <c r="A152" s="5" t="n">
        <v>46153</v>
      </c>
      <c r="B152" s="6" t="inlineStr">
        <is>
          <t>Karina Gonçalves Martins</t>
        </is>
      </c>
      <c r="C152" s="3" t="inlineStr">
        <is>
          <t>JR</t>
        </is>
      </c>
      <c r="D152" s="3" t="n">
        <v>17</v>
      </c>
      <c r="E152" s="3" t="n">
        <v>17</v>
      </c>
      <c r="F152" t="n">
        <v>30.53</v>
      </c>
      <c r="G152" s="3" t="n">
        <v>2</v>
      </c>
      <c r="H152" s="3" t="n">
        <v>0</v>
      </c>
      <c r="I152" s="3">
        <f>E152+G152+H152</f>
        <v/>
      </c>
      <c r="J152" s="3">
        <f>ROUND(MIN(IF(C152="Técnico III",35,IF(C152="Técnico II",28,IF(C152="Técnico I",23,IF(C152="JR",20,IF(C152="Estágio",10,0))))),IF(C152="Técnico III",SUMIFS($D:$D,$A:$A,$A152,$B:$B,"&lt;&gt;Patrícia Karla de Sousa Araújo",$B:$B,"&lt;&gt;Lorena Dias de Araujo",$B:$B,"&lt;&gt;Lucas Luiz Romero")*(35/1083),IF(C152="Técnico II",SUMIFS($D:$D,$A:$A,$A152,$B:$B,"&lt;&gt;Patrícia Karla de Sousa Araújo",$B:$B,"&lt;&gt;Lorena Dias de Araujo",$B:$B,"&lt;&gt;Lucas Luiz Romero")*(28/1083),IF(C152="Técnico I",SUMIFS($D:$D,$A:$A,$A152,$B:$B,"&lt;&gt;Patrícia Karla de Sousa Araújo",$B:$B,"&lt;&gt;Lorena Dias de Araujo",$B:$B,"&lt;&gt;Lucas Luiz Romero")*(23/1083),IF(C152="JR",SUMIFS($D:$D,$A:$A,$A152,$B:$B,"&lt;&gt;Patrícia Karla de Sousa Araújo",$B:$B,"&lt;&gt;Lorena Dias de Araujo",$B:$B,"&lt;&gt;Lucas Luiz Romero")*(20/1083),IF(C152="Estágio",SUMIFS($D:$D,$A:$A,$A152,$B:$B,"&lt;&gt;Patrícia Karla de Sousa Araújo",$B:$B,"&lt;&gt;Lorena Dias de Araujo",$B:$B,"&lt;&gt;Lucas Luiz Romero")*(10/1083),0)))))),0)</f>
        <v/>
      </c>
      <c r="K152" s="3">
        <f>I152-J152</f>
        <v/>
      </c>
      <c r="L152" s="3">
        <f>IF(K152&lt;-5,"CRÍTICO",IF(K152&lt;0,"ATENÇÃO",IF(K152&lt;=5,"BOM","EXCELENTE")))</f>
        <v/>
      </c>
      <c r="M152" t="n">
        <v>18</v>
      </c>
      <c r="N152" t="n">
        <v>97.01000000000001</v>
      </c>
      <c r="O152" t="n">
        <v>13.96103896103896</v>
      </c>
    </row>
    <row r="153" hidden="1">
      <c r="A153" s="5" t="n">
        <v>46153</v>
      </c>
      <c r="B153" s="6" t="inlineStr">
        <is>
          <t>Leandro de Souza Silva</t>
        </is>
      </c>
      <c r="C153" s="3" t="inlineStr">
        <is>
          <t>JR</t>
        </is>
      </c>
      <c r="D153" s="3" t="n">
        <v>12</v>
      </c>
      <c r="E153" s="3" t="n">
        <v>11</v>
      </c>
      <c r="F153" t="n">
        <v>22.06</v>
      </c>
      <c r="G153" s="3" t="n">
        <v>1</v>
      </c>
      <c r="H153" s="3" t="n">
        <v>0</v>
      </c>
      <c r="I153" s="3">
        <f>E153+G153+H153</f>
        <v/>
      </c>
      <c r="J153" s="3">
        <f>ROUND(MIN(IF(C153="Técnico III",35,IF(C153="Técnico II",28,IF(C153="Técnico I",23,IF(C153="JR",20,IF(C153="Estágio",10,0))))),IF(C153="Técnico III",SUMIFS($D:$D,$A:$A,$A153,$B:$B,"&lt;&gt;Patrícia Karla de Sousa Araújo",$B:$B,"&lt;&gt;Lorena Dias de Araujo",$B:$B,"&lt;&gt;Lucas Luiz Romero")*(35/1083),IF(C153="Técnico II",SUMIFS($D:$D,$A:$A,$A153,$B:$B,"&lt;&gt;Patrícia Karla de Sousa Araújo",$B:$B,"&lt;&gt;Lorena Dias de Araujo",$B:$B,"&lt;&gt;Lucas Luiz Romero")*(28/1083),IF(C153="Técnico I",SUMIFS($D:$D,$A:$A,$A153,$B:$B,"&lt;&gt;Patrícia Karla de Sousa Araújo",$B:$B,"&lt;&gt;Lorena Dias de Araujo",$B:$B,"&lt;&gt;Lucas Luiz Romero")*(23/1083),IF(C153="JR",SUMIFS($D:$D,$A:$A,$A153,$B:$B,"&lt;&gt;Patrícia Karla de Sousa Araújo",$B:$B,"&lt;&gt;Lorena Dias de Araujo",$B:$B,"&lt;&gt;Lucas Luiz Romero")*(20/1083),IF(C153="Estágio",SUMIFS($D:$D,$A:$A,$A153,$B:$B,"&lt;&gt;Patrícia Karla de Sousa Araújo",$B:$B,"&lt;&gt;Lorena Dias de Araujo",$B:$B,"&lt;&gt;Lucas Luiz Romero")*(10/1083),0)))))),0)</f>
        <v/>
      </c>
      <c r="K153" s="3">
        <f>I153-J153</f>
        <v/>
      </c>
      <c r="L153" s="3">
        <f>IF(K153&lt;-5,"CRÍTICO",IF(K153&lt;0,"ATENÇÃO",IF(K153&lt;=5,"BOM","EXCELENTE")))</f>
        <v/>
      </c>
      <c r="M153" t="n">
        <v>11</v>
      </c>
      <c r="N153" t="n">
        <v>100</v>
      </c>
      <c r="O153" t="n">
        <v>16.95906432748538</v>
      </c>
    </row>
    <row r="154" hidden="1">
      <c r="A154" s="11" t="n">
        <v>46029</v>
      </c>
      <c r="B154" t="inlineStr">
        <is>
          <t>Gabriel Gomes de Andrade</t>
        </is>
      </c>
      <c r="C154" t="inlineStr">
        <is>
          <t>Técnico I</t>
        </is>
      </c>
      <c r="D154" t="n">
        <v>26</v>
      </c>
      <c r="E154" t="n">
        <v>25</v>
      </c>
      <c r="F154" t="n">
        <v>23.44</v>
      </c>
      <c r="G154" t="n">
        <v>0</v>
      </c>
      <c r="H154" t="n">
        <v>0</v>
      </c>
      <c r="I154" s="3">
        <f>E154+G154+H154</f>
        <v/>
      </c>
      <c r="J154" s="3">
        <f>ROUND(MIN(IF(C154="Técnico III",35,IF(C154="Técnico II",28,IF(C154="Técnico I",23,IF(C154="JR",20,IF(C154="Estágio",10,0))))),IF(C154="Técnico III",SUMIFS($D:$D,$A:$A,$A154,$B:$B,"&lt;&gt;Patrícia Karla de Sousa Araújo",$B:$B,"&lt;&gt;Lorena Dias de Araujo",$B:$B,"&lt;&gt;Lucas Luiz Romero")*(35/1083),IF(C154="Técnico II",SUMIFS($D:$D,$A:$A,$A154,$B:$B,"&lt;&gt;Patrícia Karla de Sousa Araújo",$B:$B,"&lt;&gt;Lorena Dias de Araujo",$B:$B,"&lt;&gt;Lucas Luiz Romero")*(28/1083),IF(C154="Técnico I",SUMIFS($D:$D,$A:$A,$A154,$B:$B,"&lt;&gt;Patrícia Karla de Sousa Araújo",$B:$B,"&lt;&gt;Lorena Dias de Araujo",$B:$B,"&lt;&gt;Lucas Luiz Romero")*(23/1083),IF(C154="JR",SUMIFS($D:$D,$A:$A,$A154,$B:$B,"&lt;&gt;Patrícia Karla de Sousa Araújo",$B:$B,"&lt;&gt;Lorena Dias de Araujo",$B:$B,"&lt;&gt;Lucas Luiz Romero")*(20/1083),IF(C154="Estágio",SUMIFS($D:$D,$A:$A,$A154,$B:$B,"&lt;&gt;Patrícia Karla de Sousa Araújo",$B:$B,"&lt;&gt;Lorena Dias de Araujo",$B:$B,"&lt;&gt;Lucas Luiz Romero")*(10/1083),0)))))),0)</f>
        <v/>
      </c>
      <c r="K154" s="3">
        <f>I154-J154</f>
        <v/>
      </c>
      <c r="L154" s="3">
        <f>IF(K154&lt;-5,"CRÍTICO",IF(K154&lt;0,"ATENÇÃO",IF(K154&lt;=5,"BOM","EXCELENTE")))</f>
        <v/>
      </c>
      <c r="M154" t="n">
        <v>23</v>
      </c>
      <c r="N154" t="n">
        <v>100</v>
      </c>
      <c r="O154" t="n">
        <v>27.05882352941176</v>
      </c>
    </row>
    <row r="155" hidden="1">
      <c r="A155" s="5" t="n">
        <v>46153</v>
      </c>
      <c r="B155" s="6" t="inlineStr">
        <is>
          <t>Milena Sales</t>
        </is>
      </c>
      <c r="C155" s="3" t="inlineStr">
        <is>
          <t>JR</t>
        </is>
      </c>
      <c r="D155" s="3" t="n">
        <v>44</v>
      </c>
      <c r="E155" s="3" t="n">
        <v>23</v>
      </c>
      <c r="F155" t="n">
        <v>10.02</v>
      </c>
      <c r="G155" s="3" t="n">
        <v>0</v>
      </c>
      <c r="H155" s="3" t="n">
        <v>0</v>
      </c>
      <c r="I155" s="3">
        <f>E155+G155+H155</f>
        <v/>
      </c>
      <c r="J155" s="3">
        <f>ROUND(MIN(IF(C155="Técnico III",35,IF(C155="Técnico II",28,IF(C155="Técnico I",23,IF(C155="JR",20,IF(C155="Estágio",10,0))))),IF(C155="Técnico III",SUMIFS($D:$D,$A:$A,$A155,$B:$B,"&lt;&gt;Patrícia Karla de Sousa Araújo",$B:$B,"&lt;&gt;Lorena Dias de Araujo",$B:$B,"&lt;&gt;Lucas Luiz Romero")*(35/1083),IF(C155="Técnico II",SUMIFS($D:$D,$A:$A,$A155,$B:$B,"&lt;&gt;Patrícia Karla de Sousa Araújo",$B:$B,"&lt;&gt;Lorena Dias de Araujo",$B:$B,"&lt;&gt;Lucas Luiz Romero")*(28/1083),IF(C155="Técnico I",SUMIFS($D:$D,$A:$A,$A155,$B:$B,"&lt;&gt;Patrícia Karla de Sousa Araújo",$B:$B,"&lt;&gt;Lorena Dias de Araujo",$B:$B,"&lt;&gt;Lucas Luiz Romero")*(23/1083),IF(C155="JR",SUMIFS($D:$D,$A:$A,$A155,$B:$B,"&lt;&gt;Patrícia Karla de Sousa Araújo",$B:$B,"&lt;&gt;Lorena Dias de Araujo",$B:$B,"&lt;&gt;Lucas Luiz Romero")*(20/1083),IF(C155="Estágio",SUMIFS($D:$D,$A:$A,$A155,$B:$B,"&lt;&gt;Patrícia Karla de Sousa Araújo",$B:$B,"&lt;&gt;Lorena Dias de Araujo",$B:$B,"&lt;&gt;Lucas Luiz Romero")*(10/1083),0)))))),0)</f>
        <v/>
      </c>
      <c r="K155" s="3">
        <f>I155-J155</f>
        <v/>
      </c>
      <c r="L155" s="3">
        <f>IF(K155&lt;-5,"CRÍTICO",IF(K155&lt;0,"ATENÇÃO",IF(K155&lt;=5,"BOM","EXCELENTE")))</f>
        <v/>
      </c>
      <c r="M155" t="n">
        <v>13</v>
      </c>
      <c r="N155" t="n">
        <v>98</v>
      </c>
      <c r="O155" t="n">
        <v>16.43835616438356</v>
      </c>
    </row>
    <row r="156" hidden="1">
      <c r="A156" s="5" t="n">
        <v>46153</v>
      </c>
      <c r="B156" s="6" t="inlineStr">
        <is>
          <t>Paulo Ricardo Santos</t>
        </is>
      </c>
      <c r="C156" s="3" t="inlineStr">
        <is>
          <t>JR</t>
        </is>
      </c>
      <c r="D156" s="3" t="n">
        <v>11</v>
      </c>
      <c r="E156" s="3" t="n">
        <v>11</v>
      </c>
      <c r="F156" t="n">
        <v>15.43</v>
      </c>
      <c r="G156" s="3" t="n">
        <v>0</v>
      </c>
      <c r="H156" s="3" t="n">
        <v>0</v>
      </c>
      <c r="I156" s="3">
        <f>E156+G156+H156</f>
        <v/>
      </c>
      <c r="J156" s="3">
        <f>ROUND(MIN(IF(C156="Técnico III",35,IF(C156="Técnico II",28,IF(C156="Técnico I",23,IF(C156="JR",20,IF(C156="Estágio",10,0))))),IF(C156="Técnico III",SUMIFS($D:$D,$A:$A,$A156,$B:$B,"&lt;&gt;Patrícia Karla de Sousa Araújo",$B:$B,"&lt;&gt;Lorena Dias de Araujo",$B:$B,"&lt;&gt;Lucas Luiz Romero")*(35/1083),IF(C156="Técnico II",SUMIFS($D:$D,$A:$A,$A156,$B:$B,"&lt;&gt;Patrícia Karla de Sousa Araújo",$B:$B,"&lt;&gt;Lorena Dias de Araujo",$B:$B,"&lt;&gt;Lucas Luiz Romero")*(28/1083),IF(C156="Técnico I",SUMIFS($D:$D,$A:$A,$A156,$B:$B,"&lt;&gt;Patrícia Karla de Sousa Araújo",$B:$B,"&lt;&gt;Lorena Dias de Araujo",$B:$B,"&lt;&gt;Lucas Luiz Romero")*(23/1083),IF(C156="JR",SUMIFS($D:$D,$A:$A,$A156,$B:$B,"&lt;&gt;Patrícia Karla de Sousa Araújo",$B:$B,"&lt;&gt;Lorena Dias de Araujo",$B:$B,"&lt;&gt;Lucas Luiz Romero")*(20/1083),IF(C156="Estágio",SUMIFS($D:$D,$A:$A,$A156,$B:$B,"&lt;&gt;Patrícia Karla de Sousa Araújo",$B:$B,"&lt;&gt;Lorena Dias de Araujo",$B:$B,"&lt;&gt;Lucas Luiz Romero")*(10/1083),0)))))),0)</f>
        <v/>
      </c>
      <c r="K156" s="3">
        <f>I156-J156</f>
        <v/>
      </c>
      <c r="L156" s="3">
        <f>IF(K156&lt;-5,"CRÍTICO",IF(K156&lt;0,"ATENÇÃO",IF(K156&lt;=5,"BOM","EXCELENTE")))</f>
        <v/>
      </c>
      <c r="M156" t="n">
        <v>12</v>
      </c>
      <c r="N156" t="n">
        <v>100</v>
      </c>
      <c r="O156" t="n">
        <v>19.13875598086124</v>
      </c>
    </row>
    <row r="157" hidden="1">
      <c r="A157" s="5" t="n">
        <v>46153</v>
      </c>
      <c r="B157" s="6" t="inlineStr">
        <is>
          <t>Pedro Luiz Mota Sousa</t>
        </is>
      </c>
      <c r="C157" s="3" t="inlineStr">
        <is>
          <t>JR</t>
        </is>
      </c>
      <c r="D157" s="3" t="n">
        <v>17</v>
      </c>
      <c r="E157" s="3" t="n">
        <v>17</v>
      </c>
      <c r="F157" t="n">
        <v>20.21</v>
      </c>
      <c r="G157" s="3" t="n">
        <v>3</v>
      </c>
      <c r="H157" s="3" t="n">
        <v>0</v>
      </c>
      <c r="I157" s="3">
        <f>E157+G157+H157</f>
        <v/>
      </c>
      <c r="J157" s="3">
        <f>ROUND(MIN(IF(C157="Técnico III",35,IF(C157="Técnico II",28,IF(C157="Técnico I",23,IF(C157="JR",20,IF(C157="Estágio",10,0))))),IF(C157="Técnico III",SUMIFS($D:$D,$A:$A,$A157,$B:$B,"&lt;&gt;Patrícia Karla de Sousa Araújo",$B:$B,"&lt;&gt;Lorena Dias de Araujo",$B:$B,"&lt;&gt;Lucas Luiz Romero")*(35/1083),IF(C157="Técnico II",SUMIFS($D:$D,$A:$A,$A157,$B:$B,"&lt;&gt;Patrícia Karla de Sousa Araújo",$B:$B,"&lt;&gt;Lorena Dias de Araujo",$B:$B,"&lt;&gt;Lucas Luiz Romero")*(28/1083),IF(C157="Técnico I",SUMIFS($D:$D,$A:$A,$A157,$B:$B,"&lt;&gt;Patrícia Karla de Sousa Araújo",$B:$B,"&lt;&gt;Lorena Dias de Araujo",$B:$B,"&lt;&gt;Lucas Luiz Romero")*(23/1083),IF(C157="JR",SUMIFS($D:$D,$A:$A,$A157,$B:$B,"&lt;&gt;Patrícia Karla de Sousa Araújo",$B:$B,"&lt;&gt;Lorena Dias de Araujo",$B:$B,"&lt;&gt;Lucas Luiz Romero")*(20/1083),IF(C157="Estágio",SUMIFS($D:$D,$A:$A,$A157,$B:$B,"&lt;&gt;Patrícia Karla de Sousa Araújo",$B:$B,"&lt;&gt;Lorena Dias de Araujo",$B:$B,"&lt;&gt;Lucas Luiz Romero")*(10/1083),0)))))),0)</f>
        <v/>
      </c>
      <c r="K157" s="3">
        <f>I157-J157</f>
        <v/>
      </c>
      <c r="L157" s="3">
        <f>IF(K157&lt;-5,"CRÍTICO",IF(K157&lt;0,"ATENÇÃO",IF(K157&lt;=5,"BOM","EXCELENTE")))</f>
        <v/>
      </c>
      <c r="M157" t="n">
        <v>17</v>
      </c>
      <c r="N157" t="n">
        <v>100</v>
      </c>
      <c r="O157" t="n">
        <v>15.02145922746781</v>
      </c>
    </row>
    <row r="158" hidden="1">
      <c r="A158" s="5" t="n">
        <v>46154</v>
      </c>
      <c r="B158" s="6" t="inlineStr">
        <is>
          <t>Karina Gonçalves Martins</t>
        </is>
      </c>
      <c r="C158" s="3" t="inlineStr">
        <is>
          <t>JR</t>
        </is>
      </c>
      <c r="D158" s="3" t="n">
        <v>26</v>
      </c>
      <c r="E158" s="3" t="n">
        <v>22</v>
      </c>
      <c r="F158" t="n">
        <v>21.43</v>
      </c>
      <c r="G158" s="3" t="n">
        <v>0</v>
      </c>
      <c r="H158" s="3" t="n">
        <v>0</v>
      </c>
      <c r="I158" s="3">
        <f>E158+G158+H158</f>
        <v/>
      </c>
      <c r="J158" s="3">
        <f>ROUND(MIN(IF(C158="Técnico III",35,IF(C158="Técnico II",28,IF(C158="Técnico I",23,IF(C158="JR",20,IF(C158="Estágio",10,0))))),IF(C158="Técnico III",SUMIFS($D:$D,$A:$A,$A158,$B:$B,"&lt;&gt;Patrícia Karla de Sousa Araújo",$B:$B,"&lt;&gt;Lorena Dias de Araujo",$B:$B,"&lt;&gt;Lucas Luiz Romero")*(35/1083),IF(C158="Técnico II",SUMIFS($D:$D,$A:$A,$A158,$B:$B,"&lt;&gt;Patrícia Karla de Sousa Araújo",$B:$B,"&lt;&gt;Lorena Dias de Araujo",$B:$B,"&lt;&gt;Lucas Luiz Romero")*(28/1083),IF(C158="Técnico I",SUMIFS($D:$D,$A:$A,$A158,$B:$B,"&lt;&gt;Patrícia Karla de Sousa Araújo",$B:$B,"&lt;&gt;Lorena Dias de Araujo",$B:$B,"&lt;&gt;Lucas Luiz Romero")*(23/1083),IF(C158="JR",SUMIFS($D:$D,$A:$A,$A158,$B:$B,"&lt;&gt;Patrícia Karla de Sousa Araújo",$B:$B,"&lt;&gt;Lorena Dias de Araujo",$B:$B,"&lt;&gt;Lucas Luiz Romero")*(20/1083),IF(C158="Estágio",SUMIFS($D:$D,$A:$A,$A158,$B:$B,"&lt;&gt;Patrícia Karla de Sousa Araújo",$B:$B,"&lt;&gt;Lorena Dias de Araujo",$B:$B,"&lt;&gt;Lucas Luiz Romero")*(10/1083),0)))))),0)</f>
        <v/>
      </c>
      <c r="K158" s="3">
        <f>I158-J158</f>
        <v/>
      </c>
      <c r="L158" s="3">
        <f>IF(K158&lt;-5,"CRÍTICO",IF(K158&lt;0,"ATENÇÃO",IF(K158&lt;=5,"BOM","EXCELENTE")))</f>
        <v/>
      </c>
      <c r="M158" t="n">
        <v>22</v>
      </c>
      <c r="N158" t="n">
        <v>97.01000000000001</v>
      </c>
      <c r="O158" t="n">
        <v>13.96103896103896</v>
      </c>
    </row>
    <row r="159" hidden="1">
      <c r="A159" s="5" t="n">
        <v>46154</v>
      </c>
      <c r="B159" s="6" t="inlineStr">
        <is>
          <t>Leandro de Souza Silva</t>
        </is>
      </c>
      <c r="C159" s="3" t="inlineStr">
        <is>
          <t>JR</t>
        </is>
      </c>
      <c r="D159" s="3" t="n">
        <v>10</v>
      </c>
      <c r="E159" s="3" t="n">
        <v>6</v>
      </c>
      <c r="F159" t="n">
        <v>33.28</v>
      </c>
      <c r="G159" s="3" t="n">
        <v>7</v>
      </c>
      <c r="H159" s="3" t="n">
        <v>0</v>
      </c>
      <c r="I159" s="3">
        <f>E159+G159+H159</f>
        <v/>
      </c>
      <c r="J159" s="3">
        <f>ROUND(MIN(IF(C159="Técnico III",35,IF(C159="Técnico II",28,IF(C159="Técnico I",23,IF(C159="JR",20,IF(C159="Estágio",10,0))))),IF(C159="Técnico III",SUMIFS($D:$D,$A:$A,$A159,$B:$B,"&lt;&gt;Patrícia Karla de Sousa Araújo",$B:$B,"&lt;&gt;Lorena Dias de Araujo",$B:$B,"&lt;&gt;Lucas Luiz Romero")*(35/1083),IF(C159="Técnico II",SUMIFS($D:$D,$A:$A,$A159,$B:$B,"&lt;&gt;Patrícia Karla de Sousa Araújo",$B:$B,"&lt;&gt;Lorena Dias de Araujo",$B:$B,"&lt;&gt;Lucas Luiz Romero")*(28/1083),IF(C159="Técnico I",SUMIFS($D:$D,$A:$A,$A159,$B:$B,"&lt;&gt;Patrícia Karla de Sousa Araújo",$B:$B,"&lt;&gt;Lorena Dias de Araujo",$B:$B,"&lt;&gt;Lucas Luiz Romero")*(23/1083),IF(C159="JR",SUMIFS($D:$D,$A:$A,$A159,$B:$B,"&lt;&gt;Patrícia Karla de Sousa Araújo",$B:$B,"&lt;&gt;Lorena Dias de Araujo",$B:$B,"&lt;&gt;Lucas Luiz Romero")*(20/1083),IF(C159="Estágio",SUMIFS($D:$D,$A:$A,$A159,$B:$B,"&lt;&gt;Patrícia Karla de Sousa Araújo",$B:$B,"&lt;&gt;Lorena Dias de Araujo",$B:$B,"&lt;&gt;Lucas Luiz Romero")*(10/1083),0)))))),0)</f>
        <v/>
      </c>
      <c r="K159" s="3">
        <f>I159-J159</f>
        <v/>
      </c>
      <c r="L159" s="3">
        <f>IF(K159&lt;-5,"CRÍTICO",IF(K159&lt;0,"ATENÇÃO",IF(K159&lt;=5,"BOM","EXCELENTE")))</f>
        <v/>
      </c>
      <c r="M159" t="n">
        <v>12</v>
      </c>
      <c r="N159" t="n">
        <v>100</v>
      </c>
      <c r="O159" t="n">
        <v>16.95906432748538</v>
      </c>
    </row>
    <row r="160" hidden="1">
      <c r="A160" s="5" t="n">
        <v>46154</v>
      </c>
      <c r="B160" s="6" t="inlineStr">
        <is>
          <t>Milena Sales</t>
        </is>
      </c>
      <c r="C160" s="3" t="inlineStr">
        <is>
          <t>JR</t>
        </is>
      </c>
      <c r="D160" s="3" t="n">
        <v>47</v>
      </c>
      <c r="E160" s="3" t="n">
        <v>23</v>
      </c>
      <c r="F160" t="n">
        <v>8.380000000000001</v>
      </c>
      <c r="G160" s="3" t="n">
        <v>0</v>
      </c>
      <c r="H160" s="3" t="n">
        <v>0</v>
      </c>
      <c r="I160" s="3">
        <f>E160+G160+H160</f>
        <v/>
      </c>
      <c r="J160" s="3">
        <f>ROUND(MIN(IF(C160="Técnico III",35,IF(C160="Técnico II",28,IF(C160="Técnico I",23,IF(C160="JR",20,IF(C160="Estágio",10,0))))),IF(C160="Técnico III",SUMIFS($D:$D,$A:$A,$A160,$B:$B,"&lt;&gt;Patrícia Karla de Sousa Araújo",$B:$B,"&lt;&gt;Lorena Dias de Araujo",$B:$B,"&lt;&gt;Lucas Luiz Romero")*(35/1083),IF(C160="Técnico II",SUMIFS($D:$D,$A:$A,$A160,$B:$B,"&lt;&gt;Patrícia Karla de Sousa Araújo",$B:$B,"&lt;&gt;Lorena Dias de Araujo",$B:$B,"&lt;&gt;Lucas Luiz Romero")*(28/1083),IF(C160="Técnico I",SUMIFS($D:$D,$A:$A,$A160,$B:$B,"&lt;&gt;Patrícia Karla de Sousa Araújo",$B:$B,"&lt;&gt;Lorena Dias de Araujo",$B:$B,"&lt;&gt;Lucas Luiz Romero")*(23/1083),IF(C160="JR",SUMIFS($D:$D,$A:$A,$A160,$B:$B,"&lt;&gt;Patrícia Karla de Sousa Araújo",$B:$B,"&lt;&gt;Lorena Dias de Araujo",$B:$B,"&lt;&gt;Lucas Luiz Romero")*(20/1083),IF(C160="Estágio",SUMIFS($D:$D,$A:$A,$A160,$B:$B,"&lt;&gt;Patrícia Karla de Sousa Araújo",$B:$B,"&lt;&gt;Lorena Dias de Araujo",$B:$B,"&lt;&gt;Lucas Luiz Romero")*(10/1083),0)))))),0)</f>
        <v/>
      </c>
      <c r="K160" s="3">
        <f>I160-J160</f>
        <v/>
      </c>
      <c r="L160" s="3">
        <f>IF(K160&lt;-5,"CRÍTICO",IF(K160&lt;0,"ATENÇÃO",IF(K160&lt;=5,"BOM","EXCELENTE")))</f>
        <v/>
      </c>
      <c r="M160" t="n">
        <v>15</v>
      </c>
      <c r="N160" t="n">
        <v>98</v>
      </c>
      <c r="O160" t="n">
        <v>16.43835616438356</v>
      </c>
    </row>
    <row r="161" hidden="1">
      <c r="A161" s="5" t="n">
        <v>46154</v>
      </c>
      <c r="B161" s="6" t="inlineStr">
        <is>
          <t>Paulo Ricardo Santos</t>
        </is>
      </c>
      <c r="C161" s="3" t="inlineStr">
        <is>
          <t>JR</t>
        </is>
      </c>
      <c r="D161" s="3" t="n">
        <v>21</v>
      </c>
      <c r="E161" s="3" t="n">
        <v>21</v>
      </c>
      <c r="F161" t="n">
        <v>21.44</v>
      </c>
      <c r="G161" s="3" t="n">
        <v>0</v>
      </c>
      <c r="H161" s="3" t="n">
        <v>0</v>
      </c>
      <c r="I161" s="3">
        <f>E161+G161+H161</f>
        <v/>
      </c>
      <c r="J161" s="3">
        <f>ROUND(MIN(IF(C161="Técnico III",35,IF(C161="Técnico II",28,IF(C161="Técnico I",23,IF(C161="JR",20,IF(C161="Estágio",10,0))))),IF(C161="Técnico III",SUMIFS($D:$D,$A:$A,$A161,$B:$B,"&lt;&gt;Patrícia Karla de Sousa Araújo",$B:$B,"&lt;&gt;Lorena Dias de Araujo",$B:$B,"&lt;&gt;Lucas Luiz Romero")*(35/1083),IF(C161="Técnico II",SUMIFS($D:$D,$A:$A,$A161,$B:$B,"&lt;&gt;Patrícia Karla de Sousa Araújo",$B:$B,"&lt;&gt;Lorena Dias de Araujo",$B:$B,"&lt;&gt;Lucas Luiz Romero")*(28/1083),IF(C161="Técnico I",SUMIFS($D:$D,$A:$A,$A161,$B:$B,"&lt;&gt;Patrícia Karla de Sousa Araújo",$B:$B,"&lt;&gt;Lorena Dias de Araujo",$B:$B,"&lt;&gt;Lucas Luiz Romero")*(23/1083),IF(C161="JR",SUMIFS($D:$D,$A:$A,$A161,$B:$B,"&lt;&gt;Patrícia Karla de Sousa Araújo",$B:$B,"&lt;&gt;Lorena Dias de Araujo",$B:$B,"&lt;&gt;Lucas Luiz Romero")*(20/1083),IF(C161="Estágio",SUMIFS($D:$D,$A:$A,$A161,$B:$B,"&lt;&gt;Patrícia Karla de Sousa Araújo",$B:$B,"&lt;&gt;Lorena Dias de Araujo",$B:$B,"&lt;&gt;Lucas Luiz Romero")*(10/1083),0)))))),0)</f>
        <v/>
      </c>
      <c r="K161" s="3">
        <f>I161-J161</f>
        <v/>
      </c>
      <c r="L161" s="3">
        <f>IF(K161&lt;-5,"CRÍTICO",IF(K161&lt;0,"ATENÇÃO",IF(K161&lt;=5,"BOM","EXCELENTE")))</f>
        <v/>
      </c>
      <c r="M161" t="n">
        <v>19</v>
      </c>
      <c r="N161" t="n">
        <v>100</v>
      </c>
      <c r="O161" t="n">
        <v>19.13875598086124</v>
      </c>
    </row>
    <row r="162" hidden="1">
      <c r="A162" s="5" t="n">
        <v>46154</v>
      </c>
      <c r="B162" s="6" t="inlineStr">
        <is>
          <t>Pedro Luiz Mota Sousa</t>
        </is>
      </c>
      <c r="C162" s="3" t="inlineStr">
        <is>
          <t>JR</t>
        </is>
      </c>
      <c r="D162" s="3" t="n">
        <v>12</v>
      </c>
      <c r="E162" s="3" t="n">
        <v>12</v>
      </c>
      <c r="F162" t="n">
        <v>21.47</v>
      </c>
      <c r="G162" s="3" t="n">
        <v>0</v>
      </c>
      <c r="H162" s="3" t="n">
        <v>0</v>
      </c>
      <c r="I162" s="3">
        <f>E162+G162+H162</f>
        <v/>
      </c>
      <c r="J162" s="3">
        <f>ROUND(MIN(IF(C162="Técnico III",35,IF(C162="Técnico II",28,IF(C162="Técnico I",23,IF(C162="JR",20,IF(C162="Estágio",10,0))))),IF(C162="Técnico III",SUMIFS($D:$D,$A:$A,$A162,$B:$B,"&lt;&gt;Patrícia Karla de Sousa Araújo",$B:$B,"&lt;&gt;Lorena Dias de Araujo",$B:$B,"&lt;&gt;Lucas Luiz Romero")*(35/1083),IF(C162="Técnico II",SUMIFS($D:$D,$A:$A,$A162,$B:$B,"&lt;&gt;Patrícia Karla de Sousa Araújo",$B:$B,"&lt;&gt;Lorena Dias de Araujo",$B:$B,"&lt;&gt;Lucas Luiz Romero")*(28/1083),IF(C162="Técnico I",SUMIFS($D:$D,$A:$A,$A162,$B:$B,"&lt;&gt;Patrícia Karla de Sousa Araújo",$B:$B,"&lt;&gt;Lorena Dias de Araujo",$B:$B,"&lt;&gt;Lucas Luiz Romero")*(23/1083),IF(C162="JR",SUMIFS($D:$D,$A:$A,$A162,$B:$B,"&lt;&gt;Patrícia Karla de Sousa Araújo",$B:$B,"&lt;&gt;Lorena Dias de Araujo",$B:$B,"&lt;&gt;Lucas Luiz Romero")*(20/1083),IF(C162="Estágio",SUMIFS($D:$D,$A:$A,$A162,$B:$B,"&lt;&gt;Patrícia Karla de Sousa Araújo",$B:$B,"&lt;&gt;Lorena Dias de Araujo",$B:$B,"&lt;&gt;Lucas Luiz Romero")*(10/1083),0)))))),0)</f>
        <v/>
      </c>
      <c r="K162" s="3">
        <f>I162-J162</f>
        <v/>
      </c>
      <c r="L162" s="3">
        <f>IF(K162&lt;-5,"CRÍTICO",IF(K162&lt;0,"ATENÇÃO",IF(K162&lt;=5,"BOM","EXCELENTE")))</f>
        <v/>
      </c>
      <c r="M162" t="n">
        <v>9</v>
      </c>
      <c r="N162" t="n">
        <v>100</v>
      </c>
      <c r="O162" t="n">
        <v>15.02145922746781</v>
      </c>
    </row>
    <row r="163" hidden="1">
      <c r="A163" s="5" t="n">
        <v>46155</v>
      </c>
      <c r="B163" s="6" t="inlineStr">
        <is>
          <t>Karina Gonçalves Martins</t>
        </is>
      </c>
      <c r="C163" s="3" t="inlineStr">
        <is>
          <t>JR</t>
        </is>
      </c>
      <c r="D163" s="3" t="n">
        <v>17</v>
      </c>
      <c r="E163" s="3" t="n">
        <v>14</v>
      </c>
      <c r="F163" t="n">
        <v>24.07</v>
      </c>
      <c r="G163" s="3" t="n">
        <v>6</v>
      </c>
      <c r="H163" s="3" t="n">
        <v>0</v>
      </c>
      <c r="I163" s="3">
        <f>E163+G163+H163</f>
        <v/>
      </c>
      <c r="J163" s="3">
        <f>ROUND(MIN(IF(C163="Técnico III",35,IF(C163="Técnico II",28,IF(C163="Técnico I",23,IF(C163="JR",20,IF(C163="Estágio",10,0))))),IF(C163="Técnico III",SUMIFS($D:$D,$A:$A,$A163,$B:$B,"&lt;&gt;Patrícia Karla de Sousa Araújo",$B:$B,"&lt;&gt;Lorena Dias de Araujo",$B:$B,"&lt;&gt;Lucas Luiz Romero")*(35/1083),IF(C163="Técnico II",SUMIFS($D:$D,$A:$A,$A163,$B:$B,"&lt;&gt;Patrícia Karla de Sousa Araújo",$B:$B,"&lt;&gt;Lorena Dias de Araujo",$B:$B,"&lt;&gt;Lucas Luiz Romero")*(28/1083),IF(C163="Técnico I",SUMIFS($D:$D,$A:$A,$A163,$B:$B,"&lt;&gt;Patrícia Karla de Sousa Araújo",$B:$B,"&lt;&gt;Lorena Dias de Araujo",$B:$B,"&lt;&gt;Lucas Luiz Romero")*(23/1083),IF(C163="JR",SUMIFS($D:$D,$A:$A,$A163,$B:$B,"&lt;&gt;Patrícia Karla de Sousa Araújo",$B:$B,"&lt;&gt;Lorena Dias de Araujo",$B:$B,"&lt;&gt;Lucas Luiz Romero")*(20/1083),IF(C163="Estágio",SUMIFS($D:$D,$A:$A,$A163,$B:$B,"&lt;&gt;Patrícia Karla de Sousa Araújo",$B:$B,"&lt;&gt;Lorena Dias de Araujo",$B:$B,"&lt;&gt;Lucas Luiz Romero")*(10/1083),0)))))),0)</f>
        <v/>
      </c>
      <c r="K163" s="3">
        <f>I163-J163</f>
        <v/>
      </c>
      <c r="L163" s="3">
        <f>IF(K163&lt;-5,"CRÍTICO",IF(K163&lt;0,"ATENÇÃO",IF(K163&lt;=5,"BOM","EXCELENTE")))</f>
        <v/>
      </c>
      <c r="M163" t="n">
        <v>18</v>
      </c>
      <c r="N163" t="n">
        <v>97.01000000000001</v>
      </c>
      <c r="O163" t="n">
        <v>13.96103896103896</v>
      </c>
    </row>
    <row r="164" hidden="1">
      <c r="A164" s="5" t="n">
        <v>46155</v>
      </c>
      <c r="B164" s="6" t="inlineStr">
        <is>
          <t>Leandro de Souza Silva</t>
        </is>
      </c>
      <c r="C164" s="3" t="inlineStr">
        <is>
          <t>JR</t>
        </is>
      </c>
      <c r="D164" s="3" t="n">
        <v>0</v>
      </c>
      <c r="E164" s="3" t="n">
        <v>0</v>
      </c>
      <c r="F164" s="3" t="n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>
        <f>IF(K164&lt;-5,"CRÍTICO",IF(K164&lt;0,"ATENÇÃO",IF(K164&lt;=5,"BOM","EXCELENTE")))</f>
        <v/>
      </c>
      <c r="M164" s="9" t="n">
        <v>0</v>
      </c>
      <c r="N164" s="9" t="n">
        <v>100</v>
      </c>
      <c r="O164" s="9" t="n">
        <v>16.95906432748538</v>
      </c>
    </row>
    <row r="165" hidden="1">
      <c r="A165" s="5" t="n">
        <v>46155</v>
      </c>
      <c r="B165" s="6" t="inlineStr">
        <is>
          <t>Milena Sales</t>
        </is>
      </c>
      <c r="C165" s="3" t="inlineStr">
        <is>
          <t>JR</t>
        </is>
      </c>
      <c r="D165" s="3" t="n">
        <v>27</v>
      </c>
      <c r="E165" s="3" t="n">
        <v>24</v>
      </c>
      <c r="F165" t="n">
        <v>17.14</v>
      </c>
      <c r="G165" s="3" t="n">
        <v>1</v>
      </c>
      <c r="H165" s="3" t="n">
        <v>0</v>
      </c>
      <c r="I165" s="3">
        <f>E165+G165+H165</f>
        <v/>
      </c>
      <c r="J165" s="3">
        <f>ROUND(MIN(IF(C165="Técnico III",35,IF(C165="Técnico II",28,IF(C165="Técnico I",23,IF(C165="JR",20,IF(C165="Estágio",10,0))))),IF(C165="Técnico III",SUMIFS($D:$D,$A:$A,$A165,$B:$B,"&lt;&gt;Patrícia Karla de Sousa Araújo",$B:$B,"&lt;&gt;Lorena Dias de Araujo",$B:$B,"&lt;&gt;Lucas Luiz Romero")*(35/1083),IF(C165="Técnico II",SUMIFS($D:$D,$A:$A,$A165,$B:$B,"&lt;&gt;Patrícia Karla de Sousa Araújo",$B:$B,"&lt;&gt;Lorena Dias de Araujo",$B:$B,"&lt;&gt;Lucas Luiz Romero")*(28/1083),IF(C165="Técnico I",SUMIFS($D:$D,$A:$A,$A165,$B:$B,"&lt;&gt;Patrícia Karla de Sousa Araújo",$B:$B,"&lt;&gt;Lorena Dias de Araujo",$B:$B,"&lt;&gt;Lucas Luiz Romero")*(23/1083),IF(C165="JR",SUMIFS($D:$D,$A:$A,$A165,$B:$B,"&lt;&gt;Patrícia Karla de Sousa Araújo",$B:$B,"&lt;&gt;Lorena Dias de Araujo",$B:$B,"&lt;&gt;Lucas Luiz Romero")*(20/1083),IF(C165="Estágio",SUMIFS($D:$D,$A:$A,$A165,$B:$B,"&lt;&gt;Patrícia Karla de Sousa Araújo",$B:$B,"&lt;&gt;Lorena Dias de Araujo",$B:$B,"&lt;&gt;Lucas Luiz Romero")*(10/1083),0)))))),0)</f>
        <v/>
      </c>
      <c r="K165" s="3">
        <f>I165-J165</f>
        <v/>
      </c>
      <c r="L165" s="3">
        <f>IF(K165&lt;-5,"CRÍTICO",IF(K165&lt;0,"ATENÇÃO",IF(K165&lt;=5,"BOM","EXCELENTE")))</f>
        <v/>
      </c>
      <c r="M165" t="n">
        <v>18</v>
      </c>
      <c r="N165" t="n">
        <v>98</v>
      </c>
      <c r="O165" t="n">
        <v>16.43835616438356</v>
      </c>
    </row>
    <row r="166" hidden="1">
      <c r="A166" s="5" t="n">
        <v>46155</v>
      </c>
      <c r="B166" s="6" t="inlineStr">
        <is>
          <t>Paulo Ricardo Santos</t>
        </is>
      </c>
      <c r="C166" s="3" t="inlineStr">
        <is>
          <t>JR</t>
        </is>
      </c>
      <c r="D166" s="3" t="n">
        <v>12</v>
      </c>
      <c r="E166" s="3" t="n">
        <v>11</v>
      </c>
      <c r="F166" t="n">
        <v>25.27</v>
      </c>
      <c r="G166" s="3" t="n">
        <v>0</v>
      </c>
      <c r="H166" s="3" t="n">
        <v>0</v>
      </c>
      <c r="I166" s="3">
        <f>E166+G166+H166</f>
        <v/>
      </c>
      <c r="J166" s="3">
        <f>ROUND(MIN(IF(C166="Técnico III",35,IF(C166="Técnico II",28,IF(C166="Técnico I",23,IF(C166="JR",20,IF(C166="Estágio",10,0))))),IF(C166="Técnico III",SUMIFS($D:$D,$A:$A,$A166,$B:$B,"&lt;&gt;Patrícia Karla de Sousa Araújo",$B:$B,"&lt;&gt;Lorena Dias de Araujo",$B:$B,"&lt;&gt;Lucas Luiz Romero")*(35/1083),IF(C166="Técnico II",SUMIFS($D:$D,$A:$A,$A166,$B:$B,"&lt;&gt;Patrícia Karla de Sousa Araújo",$B:$B,"&lt;&gt;Lorena Dias de Araujo",$B:$B,"&lt;&gt;Lucas Luiz Romero")*(28/1083),IF(C166="Técnico I",SUMIFS($D:$D,$A:$A,$A166,$B:$B,"&lt;&gt;Patrícia Karla de Sousa Araújo",$B:$B,"&lt;&gt;Lorena Dias de Araujo",$B:$B,"&lt;&gt;Lucas Luiz Romero")*(23/1083),IF(C166="JR",SUMIFS($D:$D,$A:$A,$A166,$B:$B,"&lt;&gt;Patrícia Karla de Sousa Araújo",$B:$B,"&lt;&gt;Lorena Dias de Araujo",$B:$B,"&lt;&gt;Lucas Luiz Romero")*(20/1083),IF(C166="Estágio",SUMIFS($D:$D,$A:$A,$A166,$B:$B,"&lt;&gt;Patrícia Karla de Sousa Araújo",$B:$B,"&lt;&gt;Lorena Dias de Araujo",$B:$B,"&lt;&gt;Lucas Luiz Romero")*(10/1083),0)))))),0)</f>
        <v/>
      </c>
      <c r="K166" s="3">
        <f>I166-J166</f>
        <v/>
      </c>
      <c r="L166" s="3">
        <f>IF(K166&lt;-5,"CRÍTICO",IF(K166&lt;0,"ATENÇÃO",IF(K166&lt;=5,"BOM","EXCELENTE")))</f>
        <v/>
      </c>
      <c r="M166" t="n">
        <v>14</v>
      </c>
      <c r="N166" t="n">
        <v>100</v>
      </c>
      <c r="O166" t="n">
        <v>19.13875598086124</v>
      </c>
    </row>
    <row r="167" hidden="1">
      <c r="A167" s="5" t="n">
        <v>46155</v>
      </c>
      <c r="B167" s="6" t="inlineStr">
        <is>
          <t>Pedro Luiz Mota Sousa</t>
        </is>
      </c>
      <c r="C167" s="3" t="inlineStr">
        <is>
          <t>JR</t>
        </is>
      </c>
      <c r="D167" s="3" t="n">
        <v>15</v>
      </c>
      <c r="E167" s="3" t="n">
        <v>14</v>
      </c>
      <c r="F167" t="n">
        <v>13.2</v>
      </c>
      <c r="G167" s="3" t="n">
        <v>4</v>
      </c>
      <c r="H167" s="3" t="n">
        <v>0</v>
      </c>
      <c r="I167" s="3">
        <f>E167+G167+H167</f>
        <v/>
      </c>
      <c r="J167" s="3">
        <f>ROUND(MIN(IF(C167="Técnico III",35,IF(C167="Técnico II",28,IF(C167="Técnico I",23,IF(C167="JR",20,IF(C167="Estágio",10,0))))),IF(C167="Técnico III",SUMIFS($D:$D,$A:$A,$A167,$B:$B,"&lt;&gt;Patrícia Karla de Sousa Araújo",$B:$B,"&lt;&gt;Lorena Dias de Araujo",$B:$B,"&lt;&gt;Lucas Luiz Romero")*(35/1083),IF(C167="Técnico II",SUMIFS($D:$D,$A:$A,$A167,$B:$B,"&lt;&gt;Patrícia Karla de Sousa Araújo",$B:$B,"&lt;&gt;Lorena Dias de Araujo",$B:$B,"&lt;&gt;Lucas Luiz Romero")*(28/1083),IF(C167="Técnico I",SUMIFS($D:$D,$A:$A,$A167,$B:$B,"&lt;&gt;Patrícia Karla de Sousa Araújo",$B:$B,"&lt;&gt;Lorena Dias de Araujo",$B:$B,"&lt;&gt;Lucas Luiz Romero")*(23/1083),IF(C167="JR",SUMIFS($D:$D,$A:$A,$A167,$B:$B,"&lt;&gt;Patrícia Karla de Sousa Araújo",$B:$B,"&lt;&gt;Lorena Dias de Araujo",$B:$B,"&lt;&gt;Lucas Luiz Romero")*(20/1083),IF(C167="Estágio",SUMIFS($D:$D,$A:$A,$A167,$B:$B,"&lt;&gt;Patrícia Karla de Sousa Araújo",$B:$B,"&lt;&gt;Lorena Dias de Araujo",$B:$B,"&lt;&gt;Lucas Luiz Romero")*(10/1083),0)))))),0)</f>
        <v/>
      </c>
      <c r="K167" s="3">
        <f>I167-J167</f>
        <v/>
      </c>
      <c r="L167" s="3">
        <f>IF(K167&lt;-5,"CRÍTICO",IF(K167&lt;0,"ATENÇÃO",IF(K167&lt;=5,"BOM","EXCELENTE")))</f>
        <v/>
      </c>
      <c r="M167" t="n">
        <v>18</v>
      </c>
      <c r="N167" t="n">
        <v>100</v>
      </c>
      <c r="O167" t="n">
        <v>15.02145922746781</v>
      </c>
    </row>
    <row r="168" hidden="1">
      <c r="A168" s="5" t="n">
        <v>46156</v>
      </c>
      <c r="B168" s="6" t="inlineStr">
        <is>
          <t>Karina Gonçalves Martins</t>
        </is>
      </c>
      <c r="C168" s="3" t="inlineStr">
        <is>
          <t>JR</t>
        </is>
      </c>
      <c r="D168" s="3" t="n">
        <v>23</v>
      </c>
      <c r="E168" s="3" t="n">
        <v>23</v>
      </c>
      <c r="F168" t="n">
        <v>25.1</v>
      </c>
      <c r="G168" s="3" t="n">
        <v>0</v>
      </c>
      <c r="H168" s="3" t="n">
        <v>0</v>
      </c>
      <c r="I168" s="3">
        <f>E168+G168+H168</f>
        <v/>
      </c>
      <c r="J168" s="3">
        <f>ROUND(MIN(IF(C168="Técnico III",35,IF(C168="Técnico II",28,IF(C168="Técnico I",23,IF(C168="JR",20,IF(C168="Estágio",10,0))))),IF(C168="Técnico III",SUMIFS($D:$D,$A:$A,$A168,$B:$B,"&lt;&gt;Patrícia Karla de Sousa Araújo",$B:$B,"&lt;&gt;Lorena Dias de Araujo",$B:$B,"&lt;&gt;Lucas Luiz Romero")*(35/1083),IF(C168="Técnico II",SUMIFS($D:$D,$A:$A,$A168,$B:$B,"&lt;&gt;Patrícia Karla de Sousa Araújo",$B:$B,"&lt;&gt;Lorena Dias de Araujo",$B:$B,"&lt;&gt;Lucas Luiz Romero")*(28/1083),IF(C168="Técnico I",SUMIFS($D:$D,$A:$A,$A168,$B:$B,"&lt;&gt;Patrícia Karla de Sousa Araújo",$B:$B,"&lt;&gt;Lorena Dias de Araujo",$B:$B,"&lt;&gt;Lucas Luiz Romero")*(23/1083),IF(C168="JR",SUMIFS($D:$D,$A:$A,$A168,$B:$B,"&lt;&gt;Patrícia Karla de Sousa Araújo",$B:$B,"&lt;&gt;Lorena Dias de Araujo",$B:$B,"&lt;&gt;Lucas Luiz Romero")*(20/1083),IF(C168="Estágio",SUMIFS($D:$D,$A:$A,$A168,$B:$B,"&lt;&gt;Patrícia Karla de Sousa Araújo",$B:$B,"&lt;&gt;Lorena Dias de Araujo",$B:$B,"&lt;&gt;Lucas Luiz Romero")*(10/1083),0)))))),0)</f>
        <v/>
      </c>
      <c r="K168" s="3">
        <f>I168-J168</f>
        <v/>
      </c>
      <c r="L168" s="3">
        <f>IF(K168&lt;-5,"CRÍTICO",IF(K168&lt;0,"ATENÇÃO",IF(K168&lt;=5,"BOM","EXCELENTE")))</f>
        <v/>
      </c>
      <c r="M168" t="n">
        <v>22</v>
      </c>
      <c r="N168" t="n">
        <v>97.01000000000001</v>
      </c>
      <c r="O168" t="n">
        <v>13.96103896103896</v>
      </c>
    </row>
    <row r="169" hidden="1">
      <c r="A169" s="5" t="n">
        <v>46156</v>
      </c>
      <c r="B169" s="6" t="inlineStr">
        <is>
          <t>Leandro de Souza Silva</t>
        </is>
      </c>
      <c r="C169" s="3" t="inlineStr">
        <is>
          <t>JR</t>
        </is>
      </c>
      <c r="D169" s="3" t="n">
        <v>9</v>
      </c>
      <c r="E169" s="3" t="n">
        <v>7</v>
      </c>
      <c r="F169" t="n">
        <v>27.03</v>
      </c>
      <c r="G169" s="3" t="n">
        <v>8</v>
      </c>
      <c r="H169" s="3" t="n">
        <v>0</v>
      </c>
      <c r="I169" s="3">
        <f>E169+G169+H169</f>
        <v/>
      </c>
      <c r="J169" s="3">
        <f>ROUND(MIN(IF(C169="Técnico III",35,IF(C169="Técnico II",28,IF(C169="Técnico I",23,IF(C169="JR",20,IF(C169="Estágio",10,0))))),IF(C169="Técnico III",SUMIFS($D:$D,$A:$A,$A169,$B:$B,"&lt;&gt;Patrícia Karla de Sousa Araújo",$B:$B,"&lt;&gt;Lorena Dias de Araujo",$B:$B,"&lt;&gt;Lucas Luiz Romero")*(35/1083),IF(C169="Técnico II",SUMIFS($D:$D,$A:$A,$A169,$B:$B,"&lt;&gt;Patrícia Karla de Sousa Araújo",$B:$B,"&lt;&gt;Lorena Dias de Araujo",$B:$B,"&lt;&gt;Lucas Luiz Romero")*(28/1083),IF(C169="Técnico I",SUMIFS($D:$D,$A:$A,$A169,$B:$B,"&lt;&gt;Patrícia Karla de Sousa Araújo",$B:$B,"&lt;&gt;Lorena Dias de Araujo",$B:$B,"&lt;&gt;Lucas Luiz Romero")*(23/1083),IF(C169="JR",SUMIFS($D:$D,$A:$A,$A169,$B:$B,"&lt;&gt;Patrícia Karla de Sousa Araújo",$B:$B,"&lt;&gt;Lorena Dias de Araujo",$B:$B,"&lt;&gt;Lucas Luiz Romero")*(20/1083),IF(C169="Estágio",SUMIFS($D:$D,$A:$A,$A169,$B:$B,"&lt;&gt;Patrícia Karla de Sousa Araújo",$B:$B,"&lt;&gt;Lorena Dias de Araujo",$B:$B,"&lt;&gt;Lucas Luiz Romero")*(10/1083),0)))))),0)</f>
        <v/>
      </c>
      <c r="K169" s="3">
        <f>I169-J169</f>
        <v/>
      </c>
      <c r="L169" s="3">
        <f>IF(K169&lt;-5,"CRÍTICO",IF(K169&lt;0,"ATENÇÃO",IF(K169&lt;=5,"BOM","EXCELENTE")))</f>
        <v/>
      </c>
      <c r="M169" t="n">
        <v>9</v>
      </c>
      <c r="N169" t="n">
        <v>100</v>
      </c>
      <c r="O169" t="n">
        <v>16.95906432748538</v>
      </c>
    </row>
    <row r="170" hidden="1">
      <c r="A170" s="5" t="n">
        <v>46156</v>
      </c>
      <c r="B170" s="6" t="inlineStr">
        <is>
          <t>Milena Sales</t>
        </is>
      </c>
      <c r="C170" s="3" t="inlineStr">
        <is>
          <t>JR</t>
        </is>
      </c>
      <c r="D170" s="3" t="n">
        <v>26</v>
      </c>
      <c r="E170" s="3" t="n">
        <v>19</v>
      </c>
      <c r="F170" t="n">
        <v>12.17</v>
      </c>
      <c r="G170" s="3" t="n">
        <v>4</v>
      </c>
      <c r="H170" s="3" t="n">
        <v>0</v>
      </c>
      <c r="I170" s="3">
        <f>E170+G170+H170</f>
        <v/>
      </c>
      <c r="J170" s="3">
        <f>ROUND(MIN(IF(C170="Técnico III",35,IF(C170="Técnico II",28,IF(C170="Técnico I",23,IF(C170="JR",20,IF(C170="Estágio",10,0))))),IF(C170="Técnico III",SUMIFS($D:$D,$A:$A,$A170,$B:$B,"&lt;&gt;Patrícia Karla de Sousa Araújo",$B:$B,"&lt;&gt;Lorena Dias de Araujo",$B:$B,"&lt;&gt;Lucas Luiz Romero")*(35/1083),IF(C170="Técnico II",SUMIFS($D:$D,$A:$A,$A170,$B:$B,"&lt;&gt;Patrícia Karla de Sousa Araújo",$B:$B,"&lt;&gt;Lorena Dias de Araujo",$B:$B,"&lt;&gt;Lucas Luiz Romero")*(28/1083),IF(C170="Técnico I",SUMIFS($D:$D,$A:$A,$A170,$B:$B,"&lt;&gt;Patrícia Karla de Sousa Araújo",$B:$B,"&lt;&gt;Lorena Dias de Araujo",$B:$B,"&lt;&gt;Lucas Luiz Romero")*(23/1083),IF(C170="JR",SUMIFS($D:$D,$A:$A,$A170,$B:$B,"&lt;&gt;Patrícia Karla de Sousa Araújo",$B:$B,"&lt;&gt;Lorena Dias de Araujo",$B:$B,"&lt;&gt;Lucas Luiz Romero")*(20/1083),IF(C170="Estágio",SUMIFS($D:$D,$A:$A,$A170,$B:$B,"&lt;&gt;Patrícia Karla de Sousa Araújo",$B:$B,"&lt;&gt;Lorena Dias de Araujo",$B:$B,"&lt;&gt;Lucas Luiz Romero")*(10/1083),0)))))),0)</f>
        <v/>
      </c>
      <c r="K170" s="3">
        <f>I170-J170</f>
        <v/>
      </c>
      <c r="L170" s="3">
        <f>IF(K170&lt;-5,"CRÍTICO",IF(K170&lt;0,"ATENÇÃO",IF(K170&lt;=5,"BOM","EXCELENTE")))</f>
        <v/>
      </c>
      <c r="M170" t="n">
        <v>15</v>
      </c>
      <c r="N170" t="n">
        <v>98</v>
      </c>
      <c r="O170" t="n">
        <v>16.43835616438356</v>
      </c>
    </row>
    <row r="171" hidden="1">
      <c r="A171" s="5" t="n">
        <v>46156</v>
      </c>
      <c r="B171" s="6" t="inlineStr">
        <is>
          <t>Paulo Ricardo Santos</t>
        </is>
      </c>
      <c r="C171" s="3" t="inlineStr">
        <is>
          <t>JR</t>
        </is>
      </c>
      <c r="D171" s="3" t="n">
        <v>15</v>
      </c>
      <c r="E171" s="3" t="n">
        <v>15</v>
      </c>
      <c r="F171" t="n">
        <v>19.08</v>
      </c>
      <c r="G171" s="3" t="n">
        <v>0</v>
      </c>
      <c r="H171" s="3" t="n">
        <v>0</v>
      </c>
      <c r="I171" s="3">
        <f>E171+G171+H171</f>
        <v/>
      </c>
      <c r="J171" s="3">
        <f>ROUND(MIN(IF(C171="Técnico III",35,IF(C171="Técnico II",28,IF(C171="Técnico I",23,IF(C171="JR",20,IF(C171="Estágio",10,0))))),IF(C171="Técnico III",SUMIFS($D:$D,$A:$A,$A171,$B:$B,"&lt;&gt;Patrícia Karla de Sousa Araújo",$B:$B,"&lt;&gt;Lorena Dias de Araujo",$B:$B,"&lt;&gt;Lucas Luiz Romero")*(35/1083),IF(C171="Técnico II",SUMIFS($D:$D,$A:$A,$A171,$B:$B,"&lt;&gt;Patrícia Karla de Sousa Araújo",$B:$B,"&lt;&gt;Lorena Dias de Araujo",$B:$B,"&lt;&gt;Lucas Luiz Romero")*(28/1083),IF(C171="Técnico I",SUMIFS($D:$D,$A:$A,$A171,$B:$B,"&lt;&gt;Patrícia Karla de Sousa Araújo",$B:$B,"&lt;&gt;Lorena Dias de Araujo",$B:$B,"&lt;&gt;Lucas Luiz Romero")*(23/1083),IF(C171="JR",SUMIFS($D:$D,$A:$A,$A171,$B:$B,"&lt;&gt;Patrícia Karla de Sousa Araújo",$B:$B,"&lt;&gt;Lorena Dias de Araujo",$B:$B,"&lt;&gt;Lucas Luiz Romero")*(20/1083),IF(C171="Estágio",SUMIFS($D:$D,$A:$A,$A171,$B:$B,"&lt;&gt;Patrícia Karla de Sousa Araújo",$B:$B,"&lt;&gt;Lorena Dias de Araujo",$B:$B,"&lt;&gt;Lucas Luiz Romero")*(10/1083),0)))))),0)</f>
        <v/>
      </c>
      <c r="K171" s="3">
        <f>I171-J171</f>
        <v/>
      </c>
      <c r="L171" s="3">
        <f>IF(K171&lt;-5,"CRÍTICO",IF(K171&lt;0,"ATENÇÃO",IF(K171&lt;=5,"BOM","EXCELENTE")))</f>
        <v/>
      </c>
      <c r="M171" t="n">
        <v>13</v>
      </c>
      <c r="N171" t="n">
        <v>100</v>
      </c>
      <c r="O171" t="n">
        <v>19.13875598086124</v>
      </c>
    </row>
    <row r="172" hidden="1">
      <c r="A172" s="5" t="n">
        <v>46156</v>
      </c>
      <c r="B172" s="6" t="inlineStr">
        <is>
          <t>Pedro Luiz Mota Sousa</t>
        </is>
      </c>
      <c r="C172" s="3" t="inlineStr">
        <is>
          <t>JR</t>
        </is>
      </c>
      <c r="D172" s="3" t="n">
        <v>6</v>
      </c>
      <c r="E172" s="3" t="n">
        <v>6</v>
      </c>
      <c r="F172" t="n">
        <v>23.26</v>
      </c>
      <c r="G172" s="3" t="n">
        <v>0</v>
      </c>
      <c r="H172" s="3" t="n">
        <v>0</v>
      </c>
      <c r="I172" s="3">
        <f>E172+G172+H172</f>
        <v/>
      </c>
      <c r="J172" s="3">
        <f>ROUND(MIN(IF(C172="Técnico III",35,IF(C172="Técnico II",28,IF(C172="Técnico I",23,IF(C172="JR",20,IF(C172="Estágio",10,0))))),IF(C172="Técnico III",SUMIFS($D:$D,$A:$A,$A172,$B:$B,"&lt;&gt;Patrícia Karla de Sousa Araújo",$B:$B,"&lt;&gt;Lorena Dias de Araujo",$B:$B,"&lt;&gt;Lucas Luiz Romero")*(35/1083),IF(C172="Técnico II",SUMIFS($D:$D,$A:$A,$A172,$B:$B,"&lt;&gt;Patrícia Karla de Sousa Araújo",$B:$B,"&lt;&gt;Lorena Dias de Araujo",$B:$B,"&lt;&gt;Lucas Luiz Romero")*(28/1083),IF(C172="Técnico I",SUMIFS($D:$D,$A:$A,$A172,$B:$B,"&lt;&gt;Patrícia Karla de Sousa Araújo",$B:$B,"&lt;&gt;Lorena Dias de Araujo",$B:$B,"&lt;&gt;Lucas Luiz Romero")*(23/1083),IF(C172="JR",SUMIFS($D:$D,$A:$A,$A172,$B:$B,"&lt;&gt;Patrícia Karla de Sousa Araújo",$B:$B,"&lt;&gt;Lorena Dias de Araujo",$B:$B,"&lt;&gt;Lucas Luiz Romero")*(20/1083),IF(C172="Estágio",SUMIFS($D:$D,$A:$A,$A172,$B:$B,"&lt;&gt;Patrícia Karla de Sousa Araújo",$B:$B,"&lt;&gt;Lorena Dias de Araujo",$B:$B,"&lt;&gt;Lucas Luiz Romero")*(10/1083),0)))))),0)</f>
        <v/>
      </c>
      <c r="K172" s="3">
        <f>I172-J172</f>
        <v/>
      </c>
      <c r="L172" s="3">
        <f>IF(K172&lt;-5,"CRÍTICO",IF(K172&lt;0,"ATENÇÃO",IF(K172&lt;=5,"BOM","EXCELENTE")))</f>
        <v/>
      </c>
      <c r="M172" t="n">
        <v>5</v>
      </c>
      <c r="N172" t="n">
        <v>100</v>
      </c>
      <c r="O172" t="n">
        <v>15.02145922746781</v>
      </c>
    </row>
    <row r="173" hidden="1">
      <c r="A173" s="5" t="n">
        <v>46157</v>
      </c>
      <c r="B173" s="6" t="inlineStr">
        <is>
          <t>Karina Gonçalves Martins</t>
        </is>
      </c>
      <c r="C173" s="3" t="inlineStr">
        <is>
          <t>JR</t>
        </is>
      </c>
      <c r="D173" s="3" t="n">
        <v>23</v>
      </c>
      <c r="E173" s="3" t="n">
        <v>20</v>
      </c>
      <c r="F173" t="n">
        <v>25.17</v>
      </c>
      <c r="G173" s="3" t="n">
        <v>5</v>
      </c>
      <c r="H173" s="3" t="n">
        <v>0</v>
      </c>
      <c r="I173" s="3">
        <f>E173+G173+H173</f>
        <v/>
      </c>
      <c r="J173" s="3">
        <f>ROUND(MIN(IF(C173="Técnico III",35,IF(C173="Técnico II",28,IF(C173="Técnico I",23,IF(C173="JR",20,IF(C173="Estágio",10,0))))),IF(C173="Técnico III",SUMIFS($D:$D,$A:$A,$A173,$B:$B,"&lt;&gt;Patrícia Karla de Sousa Araújo",$B:$B,"&lt;&gt;Lorena Dias de Araujo",$B:$B,"&lt;&gt;Lucas Luiz Romero")*(35/1083),IF(C173="Técnico II",SUMIFS($D:$D,$A:$A,$A173,$B:$B,"&lt;&gt;Patrícia Karla de Sousa Araújo",$B:$B,"&lt;&gt;Lorena Dias de Araujo",$B:$B,"&lt;&gt;Lucas Luiz Romero")*(28/1083),IF(C173="Técnico I",SUMIFS($D:$D,$A:$A,$A173,$B:$B,"&lt;&gt;Patrícia Karla de Sousa Araújo",$B:$B,"&lt;&gt;Lorena Dias de Araujo",$B:$B,"&lt;&gt;Lucas Luiz Romero")*(23/1083),IF(C173="JR",SUMIFS($D:$D,$A:$A,$A173,$B:$B,"&lt;&gt;Patrícia Karla de Sousa Araújo",$B:$B,"&lt;&gt;Lorena Dias de Araujo",$B:$B,"&lt;&gt;Lucas Luiz Romero")*(20/1083),IF(C173="Estágio",SUMIFS($D:$D,$A:$A,$A173,$B:$B,"&lt;&gt;Patrícia Karla de Sousa Araújo",$B:$B,"&lt;&gt;Lorena Dias de Araujo",$B:$B,"&lt;&gt;Lucas Luiz Romero")*(10/1083),0)))))),0)</f>
        <v/>
      </c>
      <c r="K173" s="3">
        <f>I173-J173</f>
        <v/>
      </c>
      <c r="L173" s="3">
        <f>IF(K173&lt;-5,"CRÍTICO",IF(K173&lt;0,"ATENÇÃO",IF(K173&lt;=5,"BOM","EXCELENTE")))</f>
        <v/>
      </c>
      <c r="M173" t="n">
        <v>23</v>
      </c>
      <c r="N173" t="n">
        <v>97.01000000000001</v>
      </c>
      <c r="O173" t="n">
        <v>13.96103896103896</v>
      </c>
    </row>
    <row r="174" hidden="1">
      <c r="A174" s="5" t="n">
        <v>46157</v>
      </c>
      <c r="B174" s="6" t="inlineStr">
        <is>
          <t>Leandro de Souza Silva</t>
        </is>
      </c>
      <c r="C174" s="3" t="inlineStr">
        <is>
          <t>JR</t>
        </is>
      </c>
      <c r="D174" s="3" t="n">
        <v>15</v>
      </c>
      <c r="E174" s="3" t="n">
        <v>14</v>
      </c>
      <c r="F174" t="n">
        <v>16.53</v>
      </c>
      <c r="G174" s="3" t="n">
        <v>2</v>
      </c>
      <c r="H174" s="3" t="n">
        <v>0</v>
      </c>
      <c r="I174" s="3">
        <f>E174+G174+H174</f>
        <v/>
      </c>
      <c r="J174" s="3">
        <f>ROUND(MIN(IF(C174="Técnico III",35,IF(C174="Técnico II",28,IF(C174="Técnico I",23,IF(C174="JR",20,IF(C174="Estágio",10,0))))),IF(C174="Técnico III",SUMIFS($D:$D,$A:$A,$A174,$B:$B,"&lt;&gt;Patrícia Karla de Sousa Araújo",$B:$B,"&lt;&gt;Lorena Dias de Araujo",$B:$B,"&lt;&gt;Lucas Luiz Romero")*(35/1083),IF(C174="Técnico II",SUMIFS($D:$D,$A:$A,$A174,$B:$B,"&lt;&gt;Patrícia Karla de Sousa Araújo",$B:$B,"&lt;&gt;Lorena Dias de Araujo",$B:$B,"&lt;&gt;Lucas Luiz Romero")*(28/1083),IF(C174="Técnico I",SUMIFS($D:$D,$A:$A,$A174,$B:$B,"&lt;&gt;Patrícia Karla de Sousa Araújo",$B:$B,"&lt;&gt;Lorena Dias de Araujo",$B:$B,"&lt;&gt;Lucas Luiz Romero")*(23/1083),IF(C174="JR",SUMIFS($D:$D,$A:$A,$A174,$B:$B,"&lt;&gt;Patrícia Karla de Sousa Araújo",$B:$B,"&lt;&gt;Lorena Dias de Araujo",$B:$B,"&lt;&gt;Lucas Luiz Romero")*(20/1083),IF(C174="Estágio",SUMIFS($D:$D,$A:$A,$A174,$B:$B,"&lt;&gt;Patrícia Karla de Sousa Araújo",$B:$B,"&lt;&gt;Lorena Dias de Araujo",$B:$B,"&lt;&gt;Lucas Luiz Romero")*(10/1083),0)))))),0)</f>
        <v/>
      </c>
      <c r="K174" s="3">
        <f>I174-J174</f>
        <v/>
      </c>
      <c r="L174" s="3">
        <f>IF(K174&lt;-5,"CRÍTICO",IF(K174&lt;0,"ATENÇÃO",IF(K174&lt;=5,"BOM","EXCELENTE")))</f>
        <v/>
      </c>
      <c r="M174" t="n">
        <v>11</v>
      </c>
      <c r="N174" t="n">
        <v>100</v>
      </c>
      <c r="O174" t="n">
        <v>16.95906432748538</v>
      </c>
    </row>
    <row r="175" hidden="1">
      <c r="A175" s="5" t="n">
        <v>46157</v>
      </c>
      <c r="B175" s="6" t="inlineStr">
        <is>
          <t>Milena Sales</t>
        </is>
      </c>
      <c r="C175" s="3" t="inlineStr">
        <is>
          <t>JR</t>
        </is>
      </c>
      <c r="D175" s="3" t="n">
        <v>29</v>
      </c>
      <c r="E175" s="3" t="n">
        <v>21</v>
      </c>
      <c r="F175" t="n">
        <v>13.55</v>
      </c>
      <c r="G175" s="3" t="n">
        <v>2</v>
      </c>
      <c r="H175" s="3" t="n">
        <v>0</v>
      </c>
      <c r="I175" s="3">
        <f>E175+G175+H175</f>
        <v/>
      </c>
      <c r="J175" s="3">
        <f>ROUND(MIN(IF(C175="Técnico III",35,IF(C175="Técnico II",28,IF(C175="Técnico I",23,IF(C175="JR",20,IF(C175="Estágio",10,0))))),IF(C175="Técnico III",SUMIFS($D:$D,$A:$A,$A175,$B:$B,"&lt;&gt;Patrícia Karla de Sousa Araújo",$B:$B,"&lt;&gt;Lorena Dias de Araujo",$B:$B,"&lt;&gt;Lucas Luiz Romero")*(35/1083),IF(C175="Técnico II",SUMIFS($D:$D,$A:$A,$A175,$B:$B,"&lt;&gt;Patrícia Karla de Sousa Araújo",$B:$B,"&lt;&gt;Lorena Dias de Araujo",$B:$B,"&lt;&gt;Lucas Luiz Romero")*(28/1083),IF(C175="Técnico I",SUMIFS($D:$D,$A:$A,$A175,$B:$B,"&lt;&gt;Patrícia Karla de Sousa Araújo",$B:$B,"&lt;&gt;Lorena Dias de Araujo",$B:$B,"&lt;&gt;Lucas Luiz Romero")*(23/1083),IF(C175="JR",SUMIFS($D:$D,$A:$A,$A175,$B:$B,"&lt;&gt;Patrícia Karla de Sousa Araújo",$B:$B,"&lt;&gt;Lorena Dias de Araujo",$B:$B,"&lt;&gt;Lucas Luiz Romero")*(20/1083),IF(C175="Estágio",SUMIFS($D:$D,$A:$A,$A175,$B:$B,"&lt;&gt;Patrícia Karla de Sousa Araújo",$B:$B,"&lt;&gt;Lorena Dias de Araujo",$B:$B,"&lt;&gt;Lucas Luiz Romero")*(10/1083),0)))))),0)</f>
        <v/>
      </c>
      <c r="K175" s="3">
        <f>I175-J175</f>
        <v/>
      </c>
      <c r="L175" s="3">
        <f>IF(K175&lt;-5,"CRÍTICO",IF(K175&lt;0,"ATENÇÃO",IF(K175&lt;=5,"BOM","EXCELENTE")))</f>
        <v/>
      </c>
      <c r="M175" t="n">
        <v>19</v>
      </c>
      <c r="N175" t="n">
        <v>98</v>
      </c>
      <c r="O175" t="n">
        <v>16.43835616438356</v>
      </c>
    </row>
    <row r="176" hidden="1">
      <c r="A176" s="5" t="n">
        <v>46157</v>
      </c>
      <c r="B176" s="6" t="inlineStr">
        <is>
          <t>Paulo Ricardo Santos</t>
        </is>
      </c>
      <c r="C176" s="3" t="inlineStr">
        <is>
          <t>JR</t>
        </is>
      </c>
      <c r="D176" s="3" t="n">
        <v>13</v>
      </c>
      <c r="E176" s="3" t="n">
        <v>13</v>
      </c>
      <c r="F176" t="n">
        <v>28.33</v>
      </c>
      <c r="G176" s="3" t="n">
        <v>0</v>
      </c>
      <c r="H176" s="3" t="n">
        <v>0</v>
      </c>
      <c r="I176" s="3">
        <f>E176+G176+H176</f>
        <v/>
      </c>
      <c r="J176" s="3">
        <f>ROUND(MIN(IF(C176="Técnico III",35,IF(C176="Técnico II",28,IF(C176="Técnico I",23,IF(C176="JR",20,IF(C176="Estágio",10,0))))),IF(C176="Técnico III",SUMIFS($D:$D,$A:$A,$A176,$B:$B,"&lt;&gt;Patrícia Karla de Sousa Araújo",$B:$B,"&lt;&gt;Lorena Dias de Araujo",$B:$B,"&lt;&gt;Lucas Luiz Romero")*(35/1083),IF(C176="Técnico II",SUMIFS($D:$D,$A:$A,$A176,$B:$B,"&lt;&gt;Patrícia Karla de Sousa Araújo",$B:$B,"&lt;&gt;Lorena Dias de Araujo",$B:$B,"&lt;&gt;Lucas Luiz Romero")*(28/1083),IF(C176="Técnico I",SUMIFS($D:$D,$A:$A,$A176,$B:$B,"&lt;&gt;Patrícia Karla de Sousa Araújo",$B:$B,"&lt;&gt;Lorena Dias de Araujo",$B:$B,"&lt;&gt;Lucas Luiz Romero")*(23/1083),IF(C176="JR",SUMIFS($D:$D,$A:$A,$A176,$B:$B,"&lt;&gt;Patrícia Karla de Sousa Araújo",$B:$B,"&lt;&gt;Lorena Dias de Araujo",$B:$B,"&lt;&gt;Lucas Luiz Romero")*(20/1083),IF(C176="Estágio",SUMIFS($D:$D,$A:$A,$A176,$B:$B,"&lt;&gt;Patrícia Karla de Sousa Araújo",$B:$B,"&lt;&gt;Lorena Dias de Araujo",$B:$B,"&lt;&gt;Lucas Luiz Romero")*(10/1083),0)))))),0)</f>
        <v/>
      </c>
      <c r="K176" s="3">
        <f>I176-J176</f>
        <v/>
      </c>
      <c r="L176" s="3">
        <f>IF(K176&lt;-5,"CRÍTICO",IF(K176&lt;0,"ATENÇÃO",IF(K176&lt;=5,"BOM","EXCELENTE")))</f>
        <v/>
      </c>
      <c r="M176" t="n">
        <v>14</v>
      </c>
      <c r="N176" t="n">
        <v>100</v>
      </c>
      <c r="O176" t="n">
        <v>19.13875598086124</v>
      </c>
    </row>
    <row r="177" hidden="1">
      <c r="A177" s="5" t="n">
        <v>46157</v>
      </c>
      <c r="B177" s="6" t="inlineStr">
        <is>
          <t>Pedro Luiz Mota Sousa</t>
        </is>
      </c>
      <c r="C177" s="3" t="inlineStr">
        <is>
          <t>JR</t>
        </is>
      </c>
      <c r="D177" s="3" t="n">
        <v>14</v>
      </c>
      <c r="E177" s="3" t="n">
        <v>12</v>
      </c>
      <c r="F177" t="n">
        <v>15.53</v>
      </c>
      <c r="G177" s="3" t="n">
        <v>2</v>
      </c>
      <c r="H177" s="3" t="n">
        <v>0</v>
      </c>
      <c r="I177" s="3">
        <f>E177+G177+H177</f>
        <v/>
      </c>
      <c r="J177" s="3">
        <f>ROUND(MIN(IF(C177="Técnico III",35,IF(C177="Técnico II",28,IF(C177="Técnico I",23,IF(C177="JR",20,IF(C177="Estágio",10,0))))),IF(C177="Técnico III",SUMIFS($D:$D,$A:$A,$A177,$B:$B,"&lt;&gt;Patrícia Karla de Sousa Araújo",$B:$B,"&lt;&gt;Lorena Dias de Araujo",$B:$B,"&lt;&gt;Lucas Luiz Romero")*(35/1083),IF(C177="Técnico II",SUMIFS($D:$D,$A:$A,$A177,$B:$B,"&lt;&gt;Patrícia Karla de Sousa Araújo",$B:$B,"&lt;&gt;Lorena Dias de Araujo",$B:$B,"&lt;&gt;Lucas Luiz Romero")*(28/1083),IF(C177="Técnico I",SUMIFS($D:$D,$A:$A,$A177,$B:$B,"&lt;&gt;Patrícia Karla de Sousa Araújo",$B:$B,"&lt;&gt;Lorena Dias de Araujo",$B:$B,"&lt;&gt;Lucas Luiz Romero")*(23/1083),IF(C177="JR",SUMIFS($D:$D,$A:$A,$A177,$B:$B,"&lt;&gt;Patrícia Karla de Sousa Araújo",$B:$B,"&lt;&gt;Lorena Dias de Araujo",$B:$B,"&lt;&gt;Lucas Luiz Romero")*(20/1083),IF(C177="Estágio",SUMIFS($D:$D,$A:$A,$A177,$B:$B,"&lt;&gt;Patrícia Karla de Sousa Araújo",$B:$B,"&lt;&gt;Lorena Dias de Araujo",$B:$B,"&lt;&gt;Lucas Luiz Romero")*(10/1083),0)))))),0)</f>
        <v/>
      </c>
      <c r="K177" s="3">
        <f>I177-J177</f>
        <v/>
      </c>
      <c r="L177" s="3">
        <f>IF(K177&lt;-5,"CRÍTICO",IF(K177&lt;0,"ATENÇÃO",IF(K177&lt;=5,"BOM","EXCELENTE")))</f>
        <v/>
      </c>
      <c r="M177" t="n">
        <v>15</v>
      </c>
      <c r="N177" t="n">
        <v>100</v>
      </c>
      <c r="O177" t="n">
        <v>15.02145922746781</v>
      </c>
    </row>
    <row r="178" hidden="1">
      <c r="A178" s="5" t="n">
        <v>46160</v>
      </c>
      <c r="B178" s="6" t="inlineStr">
        <is>
          <t>Anna Luiza Rezende Tavares</t>
        </is>
      </c>
      <c r="C178" s="3" t="inlineStr">
        <is>
          <t>JR</t>
        </is>
      </c>
      <c r="D178" s="3" t="n">
        <v>1</v>
      </c>
      <c r="E178" s="3" t="n">
        <v>1</v>
      </c>
      <c r="F178" t="n">
        <v>5.09</v>
      </c>
      <c r="G178" s="3" t="n">
        <v>0</v>
      </c>
      <c r="H178" s="3" t="n">
        <v>0</v>
      </c>
      <c r="I178" s="3">
        <f>E178+G178+H178</f>
        <v/>
      </c>
      <c r="J178" s="3">
        <f>ROUND(MIN(IF(C178="Técnico III",35,IF(C178="Técnico II",28,IF(C178="Técnico I",23,IF(C178="JR",20,IF(C178="Estágio",10,0))))),IF(C178="Técnico III",SUMIFS($D:$D,$A:$A,$A178,$B:$B,"&lt;&gt;Patrícia Karla de Sousa Araújo",$B:$B,"&lt;&gt;Lorena Dias de Araujo",$B:$B,"&lt;&gt;Lucas Luiz Romero")*(35/1083),IF(C178="Técnico II",SUMIFS($D:$D,$A:$A,$A178,$B:$B,"&lt;&gt;Patrícia Karla de Sousa Araújo",$B:$B,"&lt;&gt;Lorena Dias de Araujo",$B:$B,"&lt;&gt;Lucas Luiz Romero")*(28/1083),IF(C178="Técnico I",SUMIFS($D:$D,$A:$A,$A178,$B:$B,"&lt;&gt;Patrícia Karla de Sousa Araújo",$B:$B,"&lt;&gt;Lorena Dias de Araujo",$B:$B,"&lt;&gt;Lucas Luiz Romero")*(23/1083),IF(C178="JR",SUMIFS($D:$D,$A:$A,$A178,$B:$B,"&lt;&gt;Patrícia Karla de Sousa Araújo",$B:$B,"&lt;&gt;Lorena Dias de Araujo",$B:$B,"&lt;&gt;Lucas Luiz Romero")*(20/1083),IF(C178="Estágio",SUMIFS($D:$D,$A:$A,$A178,$B:$B,"&lt;&gt;Patrícia Karla de Sousa Araújo",$B:$B,"&lt;&gt;Lorena Dias de Araujo",$B:$B,"&lt;&gt;Lucas Luiz Romero")*(10/1083),0)))))),0)</f>
        <v/>
      </c>
      <c r="K178" s="3">
        <f>I178-J178</f>
        <v/>
      </c>
      <c r="L178" s="3">
        <f>IF(K178&lt;-5,"CRÍTICO",IF(K178&lt;0,"ATENÇÃO",IF(K178&lt;=5,"BOM","EXCELENTE")))</f>
        <v/>
      </c>
      <c r="M178" t="n">
        <v>28</v>
      </c>
      <c r="N178" t="n">
        <v>99.11</v>
      </c>
      <c r="O178" t="n">
        <v>17.72151898734177</v>
      </c>
    </row>
    <row r="179" hidden="1">
      <c r="A179" s="5" t="n">
        <v>46160</v>
      </c>
      <c r="B179" s="6" t="inlineStr">
        <is>
          <t>Karina Gonçalves Martins</t>
        </is>
      </c>
      <c r="C179" s="3" t="inlineStr">
        <is>
          <t>JR</t>
        </is>
      </c>
      <c r="D179" s="3" t="n">
        <v>18</v>
      </c>
      <c r="E179" s="3" t="n">
        <v>17</v>
      </c>
      <c r="F179" t="n">
        <v>30.41</v>
      </c>
      <c r="G179" s="3" t="n">
        <v>2</v>
      </c>
      <c r="H179" s="3" t="n">
        <v>0</v>
      </c>
      <c r="I179" s="3">
        <f>E179+G179+H179</f>
        <v/>
      </c>
      <c r="J179" s="3">
        <f>ROUND(MIN(IF(C179="Técnico III",35,IF(C179="Técnico II",28,IF(C179="Técnico I",23,IF(C179="JR",20,IF(C179="Estágio",10,0))))),IF(C179="Técnico III",SUMIFS($D:$D,$A:$A,$A179,$B:$B,"&lt;&gt;Patrícia Karla de Sousa Araújo",$B:$B,"&lt;&gt;Lorena Dias de Araujo",$B:$B,"&lt;&gt;Lucas Luiz Romero")*(35/1083),IF(C179="Técnico II",SUMIFS($D:$D,$A:$A,$A179,$B:$B,"&lt;&gt;Patrícia Karla de Sousa Araújo",$B:$B,"&lt;&gt;Lorena Dias de Araujo",$B:$B,"&lt;&gt;Lucas Luiz Romero")*(28/1083),IF(C179="Técnico I",SUMIFS($D:$D,$A:$A,$A179,$B:$B,"&lt;&gt;Patrícia Karla de Sousa Araújo",$B:$B,"&lt;&gt;Lorena Dias de Araujo",$B:$B,"&lt;&gt;Lucas Luiz Romero")*(23/1083),IF(C179="JR",SUMIFS($D:$D,$A:$A,$A179,$B:$B,"&lt;&gt;Patrícia Karla de Sousa Araújo",$B:$B,"&lt;&gt;Lorena Dias de Araujo",$B:$B,"&lt;&gt;Lucas Luiz Romero")*(20/1083),IF(C179="Estágio",SUMIFS($D:$D,$A:$A,$A179,$B:$B,"&lt;&gt;Patrícia Karla de Sousa Araújo",$B:$B,"&lt;&gt;Lorena Dias de Araujo",$B:$B,"&lt;&gt;Lucas Luiz Romero")*(10/1083),0)))))),0)</f>
        <v/>
      </c>
      <c r="K179" s="3">
        <f>I179-J179</f>
        <v/>
      </c>
      <c r="L179" s="3">
        <f>IF(K179&lt;-5,"CRÍTICO",IF(K179&lt;0,"ATENÇÃO",IF(K179&lt;=5,"BOM","EXCELENTE")))</f>
        <v/>
      </c>
      <c r="M179" t="n">
        <v>21</v>
      </c>
      <c r="N179" t="n">
        <v>97.01000000000001</v>
      </c>
      <c r="O179" t="n">
        <v>13.96103896103896</v>
      </c>
    </row>
    <row r="180" hidden="1">
      <c r="A180" s="5" t="n">
        <v>46160</v>
      </c>
      <c r="B180" s="6" t="inlineStr">
        <is>
          <t>Leandro de Souza Silva</t>
        </is>
      </c>
      <c r="C180" s="3" t="inlineStr">
        <is>
          <t>JR</t>
        </is>
      </c>
      <c r="D180" s="3" t="n">
        <v>16</v>
      </c>
      <c r="E180" s="3" t="n">
        <v>13</v>
      </c>
      <c r="F180" t="n">
        <v>21.58</v>
      </c>
      <c r="G180" s="3" t="n">
        <v>4</v>
      </c>
      <c r="H180" s="3" t="n">
        <v>0</v>
      </c>
      <c r="I180" s="3">
        <f>E180+G180+H180</f>
        <v/>
      </c>
      <c r="J180" s="3">
        <f>ROUND(MIN(IF(C180="Técnico III",35,IF(C180="Técnico II",28,IF(C180="Técnico I",23,IF(C180="JR",20,IF(C180="Estágio",10,0))))),IF(C180="Técnico III",SUMIFS($D:$D,$A:$A,$A180,$B:$B,"&lt;&gt;Patrícia Karla de Sousa Araújo",$B:$B,"&lt;&gt;Lorena Dias de Araujo",$B:$B,"&lt;&gt;Lucas Luiz Romero")*(35/1083),IF(C180="Técnico II",SUMIFS($D:$D,$A:$A,$A180,$B:$B,"&lt;&gt;Patrícia Karla de Sousa Araújo",$B:$B,"&lt;&gt;Lorena Dias de Araujo",$B:$B,"&lt;&gt;Lucas Luiz Romero")*(28/1083),IF(C180="Técnico I",SUMIFS($D:$D,$A:$A,$A180,$B:$B,"&lt;&gt;Patrícia Karla de Sousa Araújo",$B:$B,"&lt;&gt;Lorena Dias de Araujo",$B:$B,"&lt;&gt;Lucas Luiz Romero")*(23/1083),IF(C180="JR",SUMIFS($D:$D,$A:$A,$A180,$B:$B,"&lt;&gt;Patrícia Karla de Sousa Araújo",$B:$B,"&lt;&gt;Lorena Dias de Araujo",$B:$B,"&lt;&gt;Lucas Luiz Romero")*(20/1083),IF(C180="Estágio",SUMIFS($D:$D,$A:$A,$A180,$B:$B,"&lt;&gt;Patrícia Karla de Sousa Araújo",$B:$B,"&lt;&gt;Lorena Dias de Araujo",$B:$B,"&lt;&gt;Lucas Luiz Romero")*(10/1083),0)))))),0)</f>
        <v/>
      </c>
      <c r="K180" s="3">
        <f>I180-J180</f>
        <v/>
      </c>
      <c r="L180" s="3">
        <f>IF(K180&lt;-5,"CRÍTICO",IF(K180&lt;0,"ATENÇÃO",IF(K180&lt;=5,"BOM","EXCELENTE")))</f>
        <v/>
      </c>
      <c r="M180" t="n">
        <v>14</v>
      </c>
      <c r="N180" t="n">
        <v>100</v>
      </c>
      <c r="O180" t="n">
        <v>16.95906432748538</v>
      </c>
    </row>
    <row r="181" hidden="1">
      <c r="A181" s="5" t="n">
        <v>46160</v>
      </c>
      <c r="B181" s="6" t="inlineStr">
        <is>
          <t>Milena Sales</t>
        </is>
      </c>
      <c r="C181" s="3" t="inlineStr">
        <is>
          <t>JR</t>
        </is>
      </c>
      <c r="D181" s="3" t="n">
        <v>11</v>
      </c>
      <c r="E181" s="3" t="n">
        <v>9</v>
      </c>
      <c r="F181" t="n">
        <v>13.56</v>
      </c>
      <c r="G181" s="3" t="n">
        <v>1</v>
      </c>
      <c r="H181" s="3" t="n">
        <v>0</v>
      </c>
      <c r="I181" s="3">
        <f>E181+G181+H181</f>
        <v/>
      </c>
      <c r="J181" s="3">
        <f>ROUND(MIN(IF(C181="Técnico III",35,IF(C181="Técnico II",28,IF(C181="Técnico I",23,IF(C181="JR",20,IF(C181="Estágio",10,0))))),IF(C181="Técnico III",SUMIFS($D:$D,$A:$A,$A181,$B:$B,"&lt;&gt;Patrícia Karla de Sousa Araújo",$B:$B,"&lt;&gt;Lorena Dias de Araujo",$B:$B,"&lt;&gt;Lucas Luiz Romero")*(35/1083),IF(C181="Técnico II",SUMIFS($D:$D,$A:$A,$A181,$B:$B,"&lt;&gt;Patrícia Karla de Sousa Araújo",$B:$B,"&lt;&gt;Lorena Dias de Araujo",$B:$B,"&lt;&gt;Lucas Luiz Romero")*(28/1083),IF(C181="Técnico I",SUMIFS($D:$D,$A:$A,$A181,$B:$B,"&lt;&gt;Patrícia Karla de Sousa Araújo",$B:$B,"&lt;&gt;Lorena Dias de Araujo",$B:$B,"&lt;&gt;Lucas Luiz Romero")*(23/1083),IF(C181="JR",SUMIFS($D:$D,$A:$A,$A181,$B:$B,"&lt;&gt;Patrícia Karla de Sousa Araújo",$B:$B,"&lt;&gt;Lorena Dias de Araujo",$B:$B,"&lt;&gt;Lucas Luiz Romero")*(20/1083),IF(C181="Estágio",SUMIFS($D:$D,$A:$A,$A181,$B:$B,"&lt;&gt;Patrícia Karla de Sousa Araújo",$B:$B,"&lt;&gt;Lorena Dias de Araujo",$B:$B,"&lt;&gt;Lucas Luiz Romero")*(10/1083),0)))))),0)</f>
        <v/>
      </c>
      <c r="K181" s="3">
        <f>I181-J181</f>
        <v/>
      </c>
      <c r="L181" s="3">
        <f>IF(K181&lt;-5,"CRÍTICO",IF(K181&lt;0,"ATENÇÃO",IF(K181&lt;=5,"BOM","EXCELENTE")))</f>
        <v/>
      </c>
      <c r="M181" t="n">
        <v>6</v>
      </c>
      <c r="N181" t="n">
        <v>98</v>
      </c>
      <c r="O181" t="n">
        <v>16.43835616438356</v>
      </c>
    </row>
    <row r="182" hidden="1">
      <c r="A182" s="5" t="n">
        <v>46160</v>
      </c>
      <c r="B182" s="6" t="inlineStr">
        <is>
          <t>Paulo Ricardo Santos</t>
        </is>
      </c>
      <c r="C182" s="3" t="inlineStr">
        <is>
          <t>JR</t>
        </is>
      </c>
      <c r="D182" s="3" t="n">
        <v>11</v>
      </c>
      <c r="E182" s="3" t="n">
        <v>10</v>
      </c>
      <c r="F182" t="n">
        <v>22.14</v>
      </c>
      <c r="G182" s="3" t="n">
        <v>0</v>
      </c>
      <c r="H182" s="3" t="n">
        <v>0</v>
      </c>
      <c r="I182" s="3">
        <f>E182+G182+H182</f>
        <v/>
      </c>
      <c r="J182" s="3">
        <f>ROUND(MIN(IF(C182="Técnico III",35,IF(C182="Técnico II",28,IF(C182="Técnico I",23,IF(C182="JR",20,IF(C182="Estágio",10,0))))),IF(C182="Técnico III",SUMIFS($D:$D,$A:$A,$A182,$B:$B,"&lt;&gt;Patrícia Karla de Sousa Araújo",$B:$B,"&lt;&gt;Lorena Dias de Araujo",$B:$B,"&lt;&gt;Lucas Luiz Romero")*(35/1083),IF(C182="Técnico II",SUMIFS($D:$D,$A:$A,$A182,$B:$B,"&lt;&gt;Patrícia Karla de Sousa Araújo",$B:$B,"&lt;&gt;Lorena Dias de Araujo",$B:$B,"&lt;&gt;Lucas Luiz Romero")*(28/1083),IF(C182="Técnico I",SUMIFS($D:$D,$A:$A,$A182,$B:$B,"&lt;&gt;Patrícia Karla de Sousa Araújo",$B:$B,"&lt;&gt;Lorena Dias de Araujo",$B:$B,"&lt;&gt;Lucas Luiz Romero")*(23/1083),IF(C182="JR",SUMIFS($D:$D,$A:$A,$A182,$B:$B,"&lt;&gt;Patrícia Karla de Sousa Araújo",$B:$B,"&lt;&gt;Lorena Dias de Araujo",$B:$B,"&lt;&gt;Lucas Luiz Romero")*(20/1083),IF(C182="Estágio",SUMIFS($D:$D,$A:$A,$A182,$B:$B,"&lt;&gt;Patrícia Karla de Sousa Araújo",$B:$B,"&lt;&gt;Lorena Dias de Araujo",$B:$B,"&lt;&gt;Lucas Luiz Romero")*(10/1083),0)))))),0)</f>
        <v/>
      </c>
      <c r="K182" s="3">
        <f>I182-J182</f>
        <v/>
      </c>
      <c r="L182" s="3">
        <f>IF(K182&lt;-5,"CRÍTICO",IF(K182&lt;0,"ATENÇÃO",IF(K182&lt;=5,"BOM","EXCELENTE")))</f>
        <v/>
      </c>
      <c r="M182" t="n">
        <v>11</v>
      </c>
      <c r="N182" t="n">
        <v>100</v>
      </c>
      <c r="O182" t="n">
        <v>19.13875598086124</v>
      </c>
    </row>
    <row r="183" hidden="1">
      <c r="A183" s="5" t="n">
        <v>46160</v>
      </c>
      <c r="B183" s="6" t="inlineStr">
        <is>
          <t>Pedro Luiz Mota Sousa</t>
        </is>
      </c>
      <c r="C183" s="3" t="inlineStr">
        <is>
          <t>JR</t>
        </is>
      </c>
      <c r="D183" s="3" t="n">
        <v>14</v>
      </c>
      <c r="E183" s="3" t="n">
        <v>13</v>
      </c>
      <c r="F183" t="n">
        <v>20.47</v>
      </c>
      <c r="G183" s="3" t="n">
        <v>2</v>
      </c>
      <c r="H183" s="3" t="n">
        <v>0</v>
      </c>
      <c r="I183" s="3">
        <f>E183+G183+H183</f>
        <v/>
      </c>
      <c r="J183" s="3">
        <f>ROUND(MIN(IF(C183="Técnico III",35,IF(C183="Técnico II",28,IF(C183="Técnico I",23,IF(C183="JR",20,IF(C183="Estágio",10,0))))),IF(C183="Técnico III",SUMIFS($D:$D,$A:$A,$A183,$B:$B,"&lt;&gt;Patrícia Karla de Sousa Araújo",$B:$B,"&lt;&gt;Lorena Dias de Araujo",$B:$B,"&lt;&gt;Lucas Luiz Romero")*(35/1083),IF(C183="Técnico II",SUMIFS($D:$D,$A:$A,$A183,$B:$B,"&lt;&gt;Patrícia Karla de Sousa Araújo",$B:$B,"&lt;&gt;Lorena Dias de Araujo",$B:$B,"&lt;&gt;Lucas Luiz Romero")*(28/1083),IF(C183="Técnico I",SUMIFS($D:$D,$A:$A,$A183,$B:$B,"&lt;&gt;Patrícia Karla de Sousa Araújo",$B:$B,"&lt;&gt;Lorena Dias de Araujo",$B:$B,"&lt;&gt;Lucas Luiz Romero")*(23/1083),IF(C183="JR",SUMIFS($D:$D,$A:$A,$A183,$B:$B,"&lt;&gt;Patrícia Karla de Sousa Araújo",$B:$B,"&lt;&gt;Lorena Dias de Araujo",$B:$B,"&lt;&gt;Lucas Luiz Romero")*(20/1083),IF(C183="Estágio",SUMIFS($D:$D,$A:$A,$A183,$B:$B,"&lt;&gt;Patrícia Karla de Sousa Araújo",$B:$B,"&lt;&gt;Lorena Dias de Araujo",$B:$B,"&lt;&gt;Lucas Luiz Romero")*(10/1083),0)))))),0)</f>
        <v/>
      </c>
      <c r="K183" s="3">
        <f>I183-J183</f>
        <v/>
      </c>
      <c r="L183" s="3">
        <f>IF(K183&lt;-5,"CRÍTICO",IF(K183&lt;0,"ATENÇÃO",IF(K183&lt;=5,"BOM","EXCELENTE")))</f>
        <v/>
      </c>
      <c r="M183" t="n">
        <v>14</v>
      </c>
      <c r="N183" t="n">
        <v>100</v>
      </c>
      <c r="O183" t="n">
        <v>15.02145922746781</v>
      </c>
    </row>
    <row r="184" hidden="1">
      <c r="A184" s="7" t="n">
        <v>46161</v>
      </c>
      <c r="B184" s="8" t="inlineStr">
        <is>
          <t>Anna Luiza Rezende Tavares</t>
        </is>
      </c>
      <c r="C184" s="9" t="inlineStr">
        <is>
          <t>JR</t>
        </is>
      </c>
      <c r="D184" s="3" t="n">
        <v>30</v>
      </c>
      <c r="E184" s="3" t="n">
        <v>29</v>
      </c>
      <c r="F184" t="n">
        <v>18.21</v>
      </c>
      <c r="G184" s="3" t="n">
        <v>0</v>
      </c>
      <c r="H184" s="3" t="n">
        <v>0</v>
      </c>
      <c r="I184" s="3">
        <f>E184+G184+H184</f>
        <v/>
      </c>
      <c r="J184" s="3">
        <f>ROUND(MIN(IF(C184="Técnico III",35,IF(C184="Técnico II",28,IF(C184="Técnico I",23,IF(C184="JR",20,IF(C184="Estágio",10,0))))),IF(C184="Técnico III",SUMIFS($D:$D,$A:$A,$A184,$B:$B,"&lt;&gt;Patrícia Karla de Sousa Araújo",$B:$B,"&lt;&gt;Lorena Dias de Araujo",$B:$B,"&lt;&gt;Lucas Luiz Romero")*(35/1083),IF(C184="Técnico II",SUMIFS($D:$D,$A:$A,$A184,$B:$B,"&lt;&gt;Patrícia Karla de Sousa Araújo",$B:$B,"&lt;&gt;Lorena Dias de Araujo",$B:$B,"&lt;&gt;Lucas Luiz Romero")*(28/1083),IF(C184="Técnico I",SUMIFS($D:$D,$A:$A,$A184,$B:$B,"&lt;&gt;Patrícia Karla de Sousa Araújo",$B:$B,"&lt;&gt;Lorena Dias de Araujo",$B:$B,"&lt;&gt;Lucas Luiz Romero")*(23/1083),IF(C184="JR",SUMIFS($D:$D,$A:$A,$A184,$B:$B,"&lt;&gt;Patrícia Karla de Sousa Araújo",$B:$B,"&lt;&gt;Lorena Dias de Araujo",$B:$B,"&lt;&gt;Lucas Luiz Romero")*(20/1083),IF(C184="Estágio",SUMIFS($D:$D,$A:$A,$A184,$B:$B,"&lt;&gt;Patrícia Karla de Sousa Araújo",$B:$B,"&lt;&gt;Lorena Dias de Araujo",$B:$B,"&lt;&gt;Lucas Luiz Romero")*(10/1083),0)))))),0)</f>
        <v/>
      </c>
      <c r="K184" s="3">
        <f>I184-J184</f>
        <v/>
      </c>
      <c r="L184" s="3">
        <f>IF(K184&lt;-5,"CRÍTICO",IF(K184&lt;0,"ATENÇÃO",IF(K184&lt;=5,"BOM","EXCELENTE")))</f>
        <v/>
      </c>
      <c r="M184" t="n">
        <v>28</v>
      </c>
      <c r="N184" t="n">
        <v>99.11</v>
      </c>
      <c r="O184" t="n">
        <v>17.72151898734177</v>
      </c>
    </row>
    <row r="185" hidden="1">
      <c r="A185" s="7" t="n">
        <v>46161</v>
      </c>
      <c r="B185" s="8" t="inlineStr">
        <is>
          <t>Karina Gonçalves Martins</t>
        </is>
      </c>
      <c r="C185" s="9" t="inlineStr">
        <is>
          <t>JR</t>
        </is>
      </c>
      <c r="D185" s="3" t="n">
        <v>20</v>
      </c>
      <c r="E185" s="3" t="n">
        <v>19</v>
      </c>
      <c r="F185" t="n">
        <v>28.41</v>
      </c>
      <c r="G185" s="3" t="n">
        <v>2</v>
      </c>
      <c r="H185" s="3" t="n">
        <v>0</v>
      </c>
      <c r="I185" s="3">
        <f>E185+G185+H185</f>
        <v/>
      </c>
      <c r="J185" s="3">
        <f>ROUND(MIN(IF(C185="Técnico III",35,IF(C185="Técnico II",28,IF(C185="Técnico I",23,IF(C185="JR",20,IF(C185="Estágio",10,0))))),IF(C185="Técnico III",SUMIFS($D:$D,$A:$A,$A185,$B:$B,"&lt;&gt;Patrícia Karla de Sousa Araújo",$B:$B,"&lt;&gt;Lorena Dias de Araujo",$B:$B,"&lt;&gt;Lucas Luiz Romero")*(35/1083),IF(C185="Técnico II",SUMIFS($D:$D,$A:$A,$A185,$B:$B,"&lt;&gt;Patrícia Karla de Sousa Araújo",$B:$B,"&lt;&gt;Lorena Dias de Araujo",$B:$B,"&lt;&gt;Lucas Luiz Romero")*(28/1083),IF(C185="Técnico I",SUMIFS($D:$D,$A:$A,$A185,$B:$B,"&lt;&gt;Patrícia Karla de Sousa Araújo",$B:$B,"&lt;&gt;Lorena Dias de Araujo",$B:$B,"&lt;&gt;Lucas Luiz Romero")*(23/1083),IF(C185="JR",SUMIFS($D:$D,$A:$A,$A185,$B:$B,"&lt;&gt;Patrícia Karla de Sousa Araújo",$B:$B,"&lt;&gt;Lorena Dias de Araujo",$B:$B,"&lt;&gt;Lucas Luiz Romero")*(20/1083),IF(C185="Estágio",SUMIFS($D:$D,$A:$A,$A185,$B:$B,"&lt;&gt;Patrícia Karla de Sousa Araújo",$B:$B,"&lt;&gt;Lorena Dias de Araujo",$B:$B,"&lt;&gt;Lucas Luiz Romero")*(10/1083),0)))))),0)</f>
        <v/>
      </c>
      <c r="K185" s="3">
        <f>I185-J185</f>
        <v/>
      </c>
      <c r="L185" s="3">
        <f>IF(K185&lt;-5,"CRÍTICO",IF(K185&lt;0,"ATENÇÃO",IF(K185&lt;=5,"BOM","EXCELENTE")))</f>
        <v/>
      </c>
      <c r="M185" t="n">
        <v>20</v>
      </c>
      <c r="N185" t="n">
        <v>97.01000000000001</v>
      </c>
      <c r="O185" t="n">
        <v>13.96103896103896</v>
      </c>
    </row>
    <row r="186" hidden="1">
      <c r="A186" s="7" t="n">
        <v>46161</v>
      </c>
      <c r="B186" s="8" t="inlineStr">
        <is>
          <t>Leandro de Souza Silva</t>
        </is>
      </c>
      <c r="C186" s="9" t="inlineStr">
        <is>
          <t>JR</t>
        </is>
      </c>
      <c r="D186" s="3" t="n">
        <v>19</v>
      </c>
      <c r="E186" s="3" t="n">
        <v>17</v>
      </c>
      <c r="F186" t="n">
        <v>18.56</v>
      </c>
      <c r="G186" s="3" t="n">
        <v>1</v>
      </c>
      <c r="H186" s="3" t="n">
        <v>0</v>
      </c>
      <c r="I186" s="3">
        <f>E186+G186+H186</f>
        <v/>
      </c>
      <c r="J186" s="3">
        <f>ROUND(MIN(IF(C186="Técnico III",35,IF(C186="Técnico II",28,IF(C186="Técnico I",23,IF(C186="JR",20,IF(C186="Estágio",10,0))))),IF(C186="Técnico III",SUMIFS($D:$D,$A:$A,$A186,$B:$B,"&lt;&gt;Patrícia Karla de Sousa Araújo",$B:$B,"&lt;&gt;Lorena Dias de Araujo",$B:$B,"&lt;&gt;Lucas Luiz Romero")*(35/1083),IF(C186="Técnico II",SUMIFS($D:$D,$A:$A,$A186,$B:$B,"&lt;&gt;Patrícia Karla de Sousa Araújo",$B:$B,"&lt;&gt;Lorena Dias de Araujo",$B:$B,"&lt;&gt;Lucas Luiz Romero")*(28/1083),IF(C186="Técnico I",SUMIFS($D:$D,$A:$A,$A186,$B:$B,"&lt;&gt;Patrícia Karla de Sousa Araújo",$B:$B,"&lt;&gt;Lorena Dias de Araujo",$B:$B,"&lt;&gt;Lucas Luiz Romero")*(23/1083),IF(C186="JR",SUMIFS($D:$D,$A:$A,$A186,$B:$B,"&lt;&gt;Patrícia Karla de Sousa Araújo",$B:$B,"&lt;&gt;Lorena Dias de Araujo",$B:$B,"&lt;&gt;Lucas Luiz Romero")*(20/1083),IF(C186="Estágio",SUMIFS($D:$D,$A:$A,$A186,$B:$B,"&lt;&gt;Patrícia Karla de Sousa Araújo",$B:$B,"&lt;&gt;Lorena Dias de Araujo",$B:$B,"&lt;&gt;Lucas Luiz Romero")*(10/1083),0)))))),0)</f>
        <v/>
      </c>
      <c r="K186" s="3">
        <f>I186-J186</f>
        <v/>
      </c>
      <c r="L186" s="3">
        <f>IF(K186&lt;-5,"CRÍTICO",IF(K186&lt;0,"ATENÇÃO",IF(K186&lt;=5,"BOM","EXCELENTE")))</f>
        <v/>
      </c>
      <c r="M186" t="n">
        <v>15</v>
      </c>
      <c r="N186" t="n">
        <v>100</v>
      </c>
      <c r="O186" t="n">
        <v>16.95906432748538</v>
      </c>
    </row>
    <row r="187" hidden="1">
      <c r="A187" s="7" t="n">
        <v>46161</v>
      </c>
      <c r="B187" s="8" t="inlineStr">
        <is>
          <t>Milena Sales</t>
        </is>
      </c>
      <c r="C187" s="9" t="inlineStr">
        <is>
          <t>JR</t>
        </is>
      </c>
      <c r="D187" s="3" t="n">
        <v>42</v>
      </c>
      <c r="E187" s="3" t="n">
        <v>23</v>
      </c>
      <c r="F187" t="n">
        <v>11.43</v>
      </c>
      <c r="G187" s="3" t="n">
        <v>0</v>
      </c>
      <c r="H187" s="3" t="n">
        <v>0</v>
      </c>
      <c r="I187" s="3">
        <f>E187+G187+H187</f>
        <v/>
      </c>
      <c r="J187" s="3">
        <f>ROUND(MIN(IF(C187="Técnico III",35,IF(C187="Técnico II",28,IF(C187="Técnico I",23,IF(C187="JR",20,IF(C187="Estágio",10,0))))),IF(C187="Técnico III",SUMIFS($D:$D,$A:$A,$A187,$B:$B,"&lt;&gt;Patrícia Karla de Sousa Araújo",$B:$B,"&lt;&gt;Lorena Dias de Araujo",$B:$B,"&lt;&gt;Lucas Luiz Romero")*(35/1083),IF(C187="Técnico II",SUMIFS($D:$D,$A:$A,$A187,$B:$B,"&lt;&gt;Patrícia Karla de Sousa Araújo",$B:$B,"&lt;&gt;Lorena Dias de Araujo",$B:$B,"&lt;&gt;Lucas Luiz Romero")*(28/1083),IF(C187="Técnico I",SUMIFS($D:$D,$A:$A,$A187,$B:$B,"&lt;&gt;Patrícia Karla de Sousa Araújo",$B:$B,"&lt;&gt;Lorena Dias de Araujo",$B:$B,"&lt;&gt;Lucas Luiz Romero")*(23/1083),IF(C187="JR",SUMIFS($D:$D,$A:$A,$A187,$B:$B,"&lt;&gt;Patrícia Karla de Sousa Araújo",$B:$B,"&lt;&gt;Lorena Dias de Araujo",$B:$B,"&lt;&gt;Lucas Luiz Romero")*(20/1083),IF(C187="Estágio",SUMIFS($D:$D,$A:$A,$A187,$B:$B,"&lt;&gt;Patrícia Karla de Sousa Araújo",$B:$B,"&lt;&gt;Lorena Dias de Araujo",$B:$B,"&lt;&gt;Lucas Luiz Romero")*(10/1083),0)))))),0)</f>
        <v/>
      </c>
      <c r="K187" s="3">
        <f>I187-J187</f>
        <v/>
      </c>
      <c r="L187" s="3">
        <f>IF(K187&lt;-5,"CRÍTICO",IF(K187&lt;0,"ATENÇÃO",IF(K187&lt;=5,"BOM","EXCELENTE")))</f>
        <v/>
      </c>
      <c r="M187" t="n">
        <v>22</v>
      </c>
      <c r="N187" t="n">
        <v>98</v>
      </c>
      <c r="O187" t="n">
        <v>16.43835616438356</v>
      </c>
    </row>
    <row r="188" hidden="1">
      <c r="A188" s="7" t="n">
        <v>46161</v>
      </c>
      <c r="B188" s="8" t="inlineStr">
        <is>
          <t>Paulo Ricardo Santos</t>
        </is>
      </c>
      <c r="C188" s="9" t="inlineStr">
        <is>
          <t>JR</t>
        </is>
      </c>
      <c r="D188" s="3" t="n">
        <v>13</v>
      </c>
      <c r="E188" s="3" t="n">
        <v>13</v>
      </c>
      <c r="F188" t="n">
        <v>19.19</v>
      </c>
      <c r="G188" s="3" t="n">
        <v>0</v>
      </c>
      <c r="H188" s="3" t="n">
        <v>0</v>
      </c>
      <c r="I188" s="3">
        <f>E188+G188+H188</f>
        <v/>
      </c>
      <c r="J188" s="3">
        <f>ROUND(MIN(IF(C188="Técnico III",35,IF(C188="Técnico II",28,IF(C188="Técnico I",23,IF(C188="JR",20,IF(C188="Estágio",10,0))))),IF(C188="Técnico III",SUMIFS($D:$D,$A:$A,$A188,$B:$B,"&lt;&gt;Patrícia Karla de Sousa Araújo",$B:$B,"&lt;&gt;Lorena Dias de Araujo",$B:$B,"&lt;&gt;Lucas Luiz Romero")*(35/1083),IF(C188="Técnico II",SUMIFS($D:$D,$A:$A,$A188,$B:$B,"&lt;&gt;Patrícia Karla de Sousa Araújo",$B:$B,"&lt;&gt;Lorena Dias de Araujo",$B:$B,"&lt;&gt;Lucas Luiz Romero")*(28/1083),IF(C188="Técnico I",SUMIFS($D:$D,$A:$A,$A188,$B:$B,"&lt;&gt;Patrícia Karla de Sousa Araújo",$B:$B,"&lt;&gt;Lorena Dias de Araujo",$B:$B,"&lt;&gt;Lucas Luiz Romero")*(23/1083),IF(C188="JR",SUMIFS($D:$D,$A:$A,$A188,$B:$B,"&lt;&gt;Patrícia Karla de Sousa Araújo",$B:$B,"&lt;&gt;Lorena Dias de Araujo",$B:$B,"&lt;&gt;Lucas Luiz Romero")*(20/1083),IF(C188="Estágio",SUMIFS($D:$D,$A:$A,$A188,$B:$B,"&lt;&gt;Patrícia Karla de Sousa Araújo",$B:$B,"&lt;&gt;Lorena Dias de Araujo",$B:$B,"&lt;&gt;Lucas Luiz Romero")*(10/1083),0)))))),0)</f>
        <v/>
      </c>
      <c r="K188" s="3">
        <f>I188-J188</f>
        <v/>
      </c>
      <c r="L188" s="3">
        <f>IF(K188&lt;-5,"CRÍTICO",IF(K188&lt;0,"ATENÇÃO",IF(K188&lt;=5,"BOM","EXCELENTE")))</f>
        <v/>
      </c>
      <c r="M188" t="n">
        <v>12</v>
      </c>
      <c r="N188" t="n">
        <v>100</v>
      </c>
      <c r="O188" t="n">
        <v>19.13875598086124</v>
      </c>
    </row>
    <row r="189" hidden="1">
      <c r="A189" s="7" t="n">
        <v>46161</v>
      </c>
      <c r="B189" s="8" t="inlineStr">
        <is>
          <t>Pedro Luiz Mota Sousa</t>
        </is>
      </c>
      <c r="C189" s="9" t="inlineStr">
        <is>
          <t>JR</t>
        </is>
      </c>
      <c r="D189" s="3" t="n">
        <v>17</v>
      </c>
      <c r="E189" s="3" t="n">
        <v>17</v>
      </c>
      <c r="F189" t="n">
        <v>23.57</v>
      </c>
      <c r="G189" s="3" t="n">
        <v>0</v>
      </c>
      <c r="H189" s="3" t="n">
        <v>0</v>
      </c>
      <c r="I189" s="3">
        <f>E189+G189+H189</f>
        <v/>
      </c>
      <c r="J189" s="3">
        <f>ROUND(MIN(IF(C189="Técnico III",35,IF(C189="Técnico II",28,IF(C189="Técnico I",23,IF(C189="JR",20,IF(C189="Estágio",10,0))))),IF(C189="Técnico III",SUMIFS($D:$D,$A:$A,$A189,$B:$B,"&lt;&gt;Patrícia Karla de Sousa Araújo",$B:$B,"&lt;&gt;Lorena Dias de Araujo",$B:$B,"&lt;&gt;Lucas Luiz Romero")*(35/1083),IF(C189="Técnico II",SUMIFS($D:$D,$A:$A,$A189,$B:$B,"&lt;&gt;Patrícia Karla de Sousa Araújo",$B:$B,"&lt;&gt;Lorena Dias de Araujo",$B:$B,"&lt;&gt;Lucas Luiz Romero")*(28/1083),IF(C189="Técnico I",SUMIFS($D:$D,$A:$A,$A189,$B:$B,"&lt;&gt;Patrícia Karla de Sousa Araújo",$B:$B,"&lt;&gt;Lorena Dias de Araujo",$B:$B,"&lt;&gt;Lucas Luiz Romero")*(23/1083),IF(C189="JR",SUMIFS($D:$D,$A:$A,$A189,$B:$B,"&lt;&gt;Patrícia Karla de Sousa Araújo",$B:$B,"&lt;&gt;Lorena Dias de Araujo",$B:$B,"&lt;&gt;Lucas Luiz Romero")*(20/1083),IF(C189="Estágio",SUMIFS($D:$D,$A:$A,$A189,$B:$B,"&lt;&gt;Patrícia Karla de Sousa Araújo",$B:$B,"&lt;&gt;Lorena Dias de Araujo",$B:$B,"&lt;&gt;Lucas Luiz Romero")*(10/1083),0)))))),0)</f>
        <v/>
      </c>
      <c r="K189" s="3">
        <f>I189-J189</f>
        <v/>
      </c>
      <c r="L189" s="3">
        <f>IF(K189&lt;-5,"CRÍTICO",IF(K189&lt;0,"ATENÇÃO",IF(K189&lt;=5,"BOM","EXCELENTE")))</f>
        <v/>
      </c>
      <c r="M189" t="n">
        <v>15</v>
      </c>
      <c r="N189" t="n">
        <v>100</v>
      </c>
      <c r="O189" t="n">
        <v>15.02145922746781</v>
      </c>
    </row>
    <row r="190" hidden="1">
      <c r="A190" s="7" t="n">
        <v>46162</v>
      </c>
      <c r="B190" s="8" t="inlineStr">
        <is>
          <t>Anna Luiza Rezende Tavares</t>
        </is>
      </c>
      <c r="C190" s="9" t="inlineStr">
        <is>
          <t>JR</t>
        </is>
      </c>
      <c r="D190" s="3" t="n">
        <v>33</v>
      </c>
      <c r="E190" s="3" t="n">
        <v>33</v>
      </c>
      <c r="F190" s="3" t="n">
        <v>14.07</v>
      </c>
      <c r="G190" s="3" t="n">
        <v>0</v>
      </c>
      <c r="H190" s="3" t="n">
        <v>0</v>
      </c>
      <c r="I190" s="3">
        <f>E190+G190+H190</f>
        <v/>
      </c>
      <c r="J190" s="3">
        <f>ROUND(MIN(IF(C190="Técnico III",35,IF(C190="Técnico II",28,IF(C190="Técnico I",23,IF(C190="JR",20,IF(C190="Estágio",10,0))))),IF(C190="Técnico III",SUMIFS($D:$D,$A:$A,$A190,$B:$B,"&lt;&gt;Patrícia Karla de Sousa Araújo",$B:$B,"&lt;&gt;Lorena Dias de Araujo",$B:$B,"&lt;&gt;Lucas Luiz Romero")*(35/1083),IF(C190="Técnico II",SUMIFS($D:$D,$A:$A,$A190,$B:$B,"&lt;&gt;Patrícia Karla de Sousa Araújo",$B:$B,"&lt;&gt;Lorena Dias de Araujo",$B:$B,"&lt;&gt;Lucas Luiz Romero")*(28/1083),IF(C190="Técnico I",SUMIFS($D:$D,$A:$A,$A190,$B:$B,"&lt;&gt;Patrícia Karla de Sousa Araújo",$B:$B,"&lt;&gt;Lorena Dias de Araujo",$B:$B,"&lt;&gt;Lucas Luiz Romero")*(23/1083),IF(C190="JR",SUMIFS($D:$D,$A:$A,$A190,$B:$B,"&lt;&gt;Patrícia Karla de Sousa Araújo",$B:$B,"&lt;&gt;Lorena Dias de Araujo",$B:$B,"&lt;&gt;Lucas Luiz Romero")*(20/1083),IF(C190="Estágio",SUMIFS($D:$D,$A:$A,$A190,$B:$B,"&lt;&gt;Patrícia Karla de Sousa Araújo",$B:$B,"&lt;&gt;Lorena Dias de Araujo",$B:$B,"&lt;&gt;Lucas Luiz Romero")*(10/1083),0)))))),0)</f>
        <v/>
      </c>
      <c r="K190" s="3">
        <f>I190-J190</f>
        <v/>
      </c>
      <c r="L190" s="3">
        <f>IF(K190&lt;-5,"CRÍTICO",IF(K190&lt;0,"ATENÇÃO",IF(K190&lt;=5,"OPORTUNO","MUITO BOM")))</f>
        <v/>
      </c>
      <c r="M190" s="9" t="n">
        <v>32</v>
      </c>
      <c r="N190" s="9" t="n">
        <v>99.11</v>
      </c>
      <c r="O190" s="9" t="n">
        <v>17.72151898734177</v>
      </c>
    </row>
    <row r="191" hidden="1">
      <c r="A191" s="7" t="n">
        <v>46162</v>
      </c>
      <c r="B191" s="8" t="inlineStr">
        <is>
          <t>Karina Gonçalves Martins</t>
        </is>
      </c>
      <c r="C191" s="9" t="inlineStr">
        <is>
          <t>JR</t>
        </is>
      </c>
      <c r="D191" s="3" t="n">
        <v>21</v>
      </c>
      <c r="E191" s="3" t="n">
        <v>20</v>
      </c>
      <c r="F191" s="3" t="n">
        <v>23.27</v>
      </c>
      <c r="G191" s="3" t="n">
        <v>0</v>
      </c>
      <c r="H191" s="3" t="n">
        <v>0</v>
      </c>
      <c r="I191" s="3">
        <f>E191+G191+H191</f>
        <v/>
      </c>
      <c r="J191" s="3">
        <f>ROUND(MIN(IF(C191="Técnico III",35,IF(C191="Técnico II",28,IF(C191="Técnico I",23,IF(C191="JR",20,IF(C191="Estágio",10,0))))),IF(C191="Técnico III",SUMIFS($D:$D,$A:$A,$A191,$B:$B,"&lt;&gt;Patrícia Karla de Sousa Araújo",$B:$B,"&lt;&gt;Lorena Dias de Araujo",$B:$B,"&lt;&gt;Lucas Luiz Romero")*(35/1083),IF(C191="Técnico II",SUMIFS($D:$D,$A:$A,$A191,$B:$B,"&lt;&gt;Patrícia Karla de Sousa Araújo",$B:$B,"&lt;&gt;Lorena Dias de Araujo",$B:$B,"&lt;&gt;Lucas Luiz Romero")*(28/1083),IF(C191="Técnico I",SUMIFS($D:$D,$A:$A,$A191,$B:$B,"&lt;&gt;Patrícia Karla de Sousa Araújo",$B:$B,"&lt;&gt;Lorena Dias de Araujo",$B:$B,"&lt;&gt;Lucas Luiz Romero")*(23/1083),IF(C191="JR",SUMIFS($D:$D,$A:$A,$A191,$B:$B,"&lt;&gt;Patrícia Karla de Sousa Araújo",$B:$B,"&lt;&gt;Lorena Dias de Araujo",$B:$B,"&lt;&gt;Lucas Luiz Romero")*(20/1083),IF(C191="Estágio",SUMIFS($D:$D,$A:$A,$A191,$B:$B,"&lt;&gt;Patrícia Karla de Sousa Araújo",$B:$B,"&lt;&gt;Lorena Dias de Araujo",$B:$B,"&lt;&gt;Lucas Luiz Romero")*(10/1083),0)))))),0)</f>
        <v/>
      </c>
      <c r="K191" s="3">
        <f>I191-J191</f>
        <v/>
      </c>
      <c r="L191" s="3">
        <f>IF(K191&lt;-5,"CRÍTICO",IF(K191&lt;0,"ATENÇÃO",IF(K191&lt;=5,"OPORTUNO","MUITO BOM")))</f>
        <v/>
      </c>
      <c r="M191" s="9" t="n">
        <v>20</v>
      </c>
      <c r="N191" s="9" t="n">
        <v>97.01000000000001</v>
      </c>
      <c r="O191" s="9" t="n">
        <v>13.96103896103896</v>
      </c>
    </row>
    <row r="192" hidden="1">
      <c r="A192" s="11" t="n">
        <v>46030</v>
      </c>
      <c r="B192" t="inlineStr">
        <is>
          <t>Gabriel Gomes de Andrade</t>
        </is>
      </c>
      <c r="C192" t="inlineStr">
        <is>
          <t>Técnico I</t>
        </is>
      </c>
      <c r="D192" t="n">
        <v>17</v>
      </c>
      <c r="E192" t="n">
        <v>17</v>
      </c>
      <c r="F192" t="n">
        <v>38.39</v>
      </c>
      <c r="G192" t="n">
        <v>0</v>
      </c>
      <c r="H192" t="n">
        <v>0</v>
      </c>
      <c r="I192" s="3">
        <f>E192+G192+H192</f>
        <v/>
      </c>
      <c r="J192" s="3">
        <f>ROUND(MIN(IF(C192="Técnico III",35,IF(C192="Técnico II",28,IF(C192="Técnico I",23,IF(C192="JR",20,IF(C192="Estágio",10,0))))),IF(C192="Técnico III",SUMIFS($D:$D,$A:$A,$A192,$B:$B,"&lt;&gt;Patrícia Karla de Sousa Araújo",$B:$B,"&lt;&gt;Lorena Dias de Araujo",$B:$B,"&lt;&gt;Lucas Luiz Romero")*(35/1083),IF(C192="Técnico II",SUMIFS($D:$D,$A:$A,$A192,$B:$B,"&lt;&gt;Patrícia Karla de Sousa Araújo",$B:$B,"&lt;&gt;Lorena Dias de Araujo",$B:$B,"&lt;&gt;Lucas Luiz Romero")*(28/1083),IF(C192="Técnico I",SUMIFS($D:$D,$A:$A,$A192,$B:$B,"&lt;&gt;Patrícia Karla de Sousa Araújo",$B:$B,"&lt;&gt;Lorena Dias de Araujo",$B:$B,"&lt;&gt;Lucas Luiz Romero")*(23/1083),IF(C192="JR",SUMIFS($D:$D,$A:$A,$A192,$B:$B,"&lt;&gt;Patrícia Karla de Sousa Araújo",$B:$B,"&lt;&gt;Lorena Dias de Araujo",$B:$B,"&lt;&gt;Lucas Luiz Romero")*(20/1083),IF(C192="Estágio",SUMIFS($D:$D,$A:$A,$A192,$B:$B,"&lt;&gt;Patrícia Karla de Sousa Araújo",$B:$B,"&lt;&gt;Lorena Dias de Araujo",$B:$B,"&lt;&gt;Lucas Luiz Romero")*(10/1083),0)))))),0)</f>
        <v/>
      </c>
      <c r="K192" s="3">
        <f>I192-J192</f>
        <v/>
      </c>
      <c r="L192" s="3">
        <f>IF(K192&lt;-5,"CRÍTICO",IF(K192&lt;0,"ATENÇÃO",IF(K192&lt;=5,"BOM","EXCELENTE")))</f>
        <v/>
      </c>
      <c r="M192" t="n">
        <v>16</v>
      </c>
      <c r="N192" t="n">
        <v>92.86</v>
      </c>
      <c r="O192" t="n">
        <v>29.7029702970297</v>
      </c>
    </row>
    <row r="193" hidden="1">
      <c r="A193" s="7" t="n">
        <v>46162</v>
      </c>
      <c r="B193" s="8" t="inlineStr">
        <is>
          <t>Leandro de Souza Silva</t>
        </is>
      </c>
      <c r="C193" s="9" t="inlineStr">
        <is>
          <t>JR</t>
        </is>
      </c>
      <c r="D193" s="3" t="n">
        <v>11</v>
      </c>
      <c r="E193" s="3" t="n">
        <v>10</v>
      </c>
      <c r="F193" s="3" t="n">
        <v>28.22</v>
      </c>
      <c r="G193" s="3" t="n">
        <v>2</v>
      </c>
      <c r="H193" s="3" t="n">
        <v>0</v>
      </c>
      <c r="I193" s="3">
        <f>E193+G193+H193</f>
        <v/>
      </c>
      <c r="J193" s="3">
        <f>ROUND(MIN(IF(C193="Técnico III",35,IF(C193="Técnico II",28,IF(C193="Técnico I",23,IF(C193="JR",20,IF(C193="Estágio",10,0))))),IF(C193="Técnico III",SUMIFS($D:$D,$A:$A,$A193,$B:$B,"&lt;&gt;Patrícia Karla de Sousa Araújo",$B:$B,"&lt;&gt;Lorena Dias de Araujo",$B:$B,"&lt;&gt;Lucas Luiz Romero")*(35/1083),IF(C193="Técnico II",SUMIFS($D:$D,$A:$A,$A193,$B:$B,"&lt;&gt;Patrícia Karla de Sousa Araújo",$B:$B,"&lt;&gt;Lorena Dias de Araujo",$B:$B,"&lt;&gt;Lucas Luiz Romero")*(28/1083),IF(C193="Técnico I",SUMIFS($D:$D,$A:$A,$A193,$B:$B,"&lt;&gt;Patrícia Karla de Sousa Araújo",$B:$B,"&lt;&gt;Lorena Dias de Araujo",$B:$B,"&lt;&gt;Lucas Luiz Romero")*(23/1083),IF(C193="JR",SUMIFS($D:$D,$A:$A,$A193,$B:$B,"&lt;&gt;Patrícia Karla de Sousa Araújo",$B:$B,"&lt;&gt;Lorena Dias de Araujo",$B:$B,"&lt;&gt;Lucas Luiz Romero")*(20/1083),IF(C193="Estágio",SUMIFS($D:$D,$A:$A,$A193,$B:$B,"&lt;&gt;Patrícia Karla de Sousa Araújo",$B:$B,"&lt;&gt;Lorena Dias de Araujo",$B:$B,"&lt;&gt;Lucas Luiz Romero")*(10/1083),0)))))),0)</f>
        <v/>
      </c>
      <c r="K193" s="3">
        <f>I193-J193</f>
        <v/>
      </c>
      <c r="L193" s="3">
        <f>IF(K193&lt;-5,"CRÍTICO",IF(K193&lt;0,"ATENÇÃO",IF(K193&lt;=5,"OPORTUNO","MUITO BOM")))</f>
        <v/>
      </c>
      <c r="M193" s="9" t="n">
        <v>12</v>
      </c>
      <c r="N193" s="9" t="n">
        <v>100</v>
      </c>
      <c r="O193" s="9" t="n">
        <v>16.95906432748538</v>
      </c>
    </row>
    <row r="194" hidden="1">
      <c r="A194" s="7" t="n">
        <v>46162</v>
      </c>
      <c r="B194" s="8" t="inlineStr">
        <is>
          <t>Milena Sales</t>
        </is>
      </c>
      <c r="C194" s="9" t="inlineStr">
        <is>
          <t>JR</t>
        </is>
      </c>
      <c r="D194" s="3" t="n">
        <v>25</v>
      </c>
      <c r="E194" s="3" t="n">
        <v>20</v>
      </c>
      <c r="F194" s="3" t="n">
        <v>15.38</v>
      </c>
      <c r="G194" s="3" t="n">
        <v>1</v>
      </c>
      <c r="H194" s="3" t="n">
        <v>0</v>
      </c>
      <c r="I194" s="3">
        <f>E194+G194+H194</f>
        <v/>
      </c>
      <c r="J194" s="3">
        <f>ROUND(MIN(IF(C194="Técnico III",35,IF(C194="Técnico II",28,IF(C194="Técnico I",23,IF(C194="JR",20,IF(C194="Estágio",10,0))))),IF(C194="Técnico III",SUMIFS($D:$D,$A:$A,$A194,$B:$B,"&lt;&gt;Patrícia Karla de Sousa Araújo",$B:$B,"&lt;&gt;Lorena Dias de Araujo",$B:$B,"&lt;&gt;Lucas Luiz Romero")*(35/1083),IF(C194="Técnico II",SUMIFS($D:$D,$A:$A,$A194,$B:$B,"&lt;&gt;Patrícia Karla de Sousa Araújo",$B:$B,"&lt;&gt;Lorena Dias de Araujo",$B:$B,"&lt;&gt;Lucas Luiz Romero")*(28/1083),IF(C194="Técnico I",SUMIFS($D:$D,$A:$A,$A194,$B:$B,"&lt;&gt;Patrícia Karla de Sousa Araújo",$B:$B,"&lt;&gt;Lorena Dias de Araujo",$B:$B,"&lt;&gt;Lucas Luiz Romero")*(23/1083),IF(C194="JR",SUMIFS($D:$D,$A:$A,$A194,$B:$B,"&lt;&gt;Patrícia Karla de Sousa Araújo",$B:$B,"&lt;&gt;Lorena Dias de Araujo",$B:$B,"&lt;&gt;Lucas Luiz Romero")*(20/1083),IF(C194="Estágio",SUMIFS($D:$D,$A:$A,$A194,$B:$B,"&lt;&gt;Patrícia Karla de Sousa Araújo",$B:$B,"&lt;&gt;Lorena Dias de Araujo",$B:$B,"&lt;&gt;Lucas Luiz Romero")*(10/1083),0)))))),0)</f>
        <v/>
      </c>
      <c r="K194" s="3">
        <f>I194-J194</f>
        <v/>
      </c>
      <c r="L194" s="3">
        <f>IF(K194&lt;-5,"CRÍTICO",IF(K194&lt;0,"ATENÇÃO",IF(K194&lt;=5,"OPORTUNO","MUITO BOM")))</f>
        <v/>
      </c>
      <c r="M194" s="9" t="n">
        <v>19</v>
      </c>
      <c r="N194" s="9" t="n">
        <v>98</v>
      </c>
      <c r="O194" s="9" t="n">
        <v>16.43835616438356</v>
      </c>
    </row>
    <row r="195" hidden="1">
      <c r="A195" s="7" t="n">
        <v>46162</v>
      </c>
      <c r="B195" s="8" t="inlineStr">
        <is>
          <t>Paulo Ricardo Santos</t>
        </is>
      </c>
      <c r="C195" s="9" t="inlineStr">
        <is>
          <t>JR</t>
        </is>
      </c>
      <c r="D195" s="3" t="n">
        <v>14</v>
      </c>
      <c r="E195" s="3" t="n">
        <v>14</v>
      </c>
      <c r="F195" s="3" t="n">
        <v>22.09</v>
      </c>
      <c r="G195" s="3" t="n">
        <v>0</v>
      </c>
      <c r="H195" s="3" t="n">
        <v>0</v>
      </c>
      <c r="I195" s="3">
        <f>E195+G195+H195</f>
        <v/>
      </c>
      <c r="J195" s="3">
        <f>ROUND(MIN(IF(C195="Técnico III",35,IF(C195="Técnico II",28,IF(C195="Técnico I",23,IF(C195="JR",20,IF(C195="Estágio",10,0))))),IF(C195="Técnico III",SUMIFS($D:$D,$A:$A,$A195,$B:$B,"&lt;&gt;Patrícia Karla de Sousa Araújo",$B:$B,"&lt;&gt;Lorena Dias de Araujo",$B:$B,"&lt;&gt;Lucas Luiz Romero")*(35/1083),IF(C195="Técnico II",SUMIFS($D:$D,$A:$A,$A195,$B:$B,"&lt;&gt;Patrícia Karla de Sousa Araújo",$B:$B,"&lt;&gt;Lorena Dias de Araujo",$B:$B,"&lt;&gt;Lucas Luiz Romero")*(28/1083),IF(C195="Técnico I",SUMIFS($D:$D,$A:$A,$A195,$B:$B,"&lt;&gt;Patrícia Karla de Sousa Araújo",$B:$B,"&lt;&gt;Lorena Dias de Araujo",$B:$B,"&lt;&gt;Lucas Luiz Romero")*(23/1083),IF(C195="JR",SUMIFS($D:$D,$A:$A,$A195,$B:$B,"&lt;&gt;Patrícia Karla de Sousa Araújo",$B:$B,"&lt;&gt;Lorena Dias de Araujo",$B:$B,"&lt;&gt;Lucas Luiz Romero")*(20/1083),IF(C195="Estágio",SUMIFS($D:$D,$A:$A,$A195,$B:$B,"&lt;&gt;Patrícia Karla de Sousa Araújo",$B:$B,"&lt;&gt;Lorena Dias de Araujo",$B:$B,"&lt;&gt;Lucas Luiz Romero")*(10/1083),0)))))),0)</f>
        <v/>
      </c>
      <c r="K195" s="3">
        <f>I195-J195</f>
        <v/>
      </c>
      <c r="L195" s="3">
        <f>IF(K195&lt;-5,"CRÍTICO",IF(K195&lt;0,"ATENÇÃO",IF(K195&lt;=5,"OPORTUNO","MUITO BOM")))</f>
        <v/>
      </c>
      <c r="M195" s="9" t="n">
        <v>11</v>
      </c>
      <c r="N195" s="9" t="n">
        <v>100</v>
      </c>
      <c r="O195" s="9" t="n">
        <v>19.13875598086124</v>
      </c>
    </row>
    <row r="196" hidden="1">
      <c r="A196" s="7" t="n">
        <v>46162</v>
      </c>
      <c r="B196" s="8" t="inlineStr">
        <is>
          <t>Pedro Luiz Mota Sousa</t>
        </is>
      </c>
      <c r="C196" s="9" t="inlineStr">
        <is>
          <t>JR</t>
        </is>
      </c>
      <c r="D196" s="3" t="n">
        <v>15</v>
      </c>
      <c r="E196" s="3" t="n">
        <v>13</v>
      </c>
      <c r="F196" s="3" t="n">
        <v>18.21</v>
      </c>
      <c r="G196" s="3" t="n">
        <v>2</v>
      </c>
      <c r="H196" s="3" t="n">
        <v>0</v>
      </c>
      <c r="I196" s="3">
        <f>E196+G196+H196</f>
        <v/>
      </c>
      <c r="J196" s="3">
        <f>ROUND(MIN(IF(C196="Técnico III",35,IF(C196="Técnico II",28,IF(C196="Técnico I",23,IF(C196="JR",20,IF(C196="Estágio",10,0))))),IF(C196="Técnico III",SUMIFS($D:$D,$A:$A,$A196,$B:$B,"&lt;&gt;Patrícia Karla de Sousa Araújo",$B:$B,"&lt;&gt;Lorena Dias de Araujo",$B:$B,"&lt;&gt;Lucas Luiz Romero")*(35/1083),IF(C196="Técnico II",SUMIFS($D:$D,$A:$A,$A196,$B:$B,"&lt;&gt;Patrícia Karla de Sousa Araújo",$B:$B,"&lt;&gt;Lorena Dias de Araujo",$B:$B,"&lt;&gt;Lucas Luiz Romero")*(28/1083),IF(C196="Técnico I",SUMIFS($D:$D,$A:$A,$A196,$B:$B,"&lt;&gt;Patrícia Karla de Sousa Araújo",$B:$B,"&lt;&gt;Lorena Dias de Araujo",$B:$B,"&lt;&gt;Lucas Luiz Romero")*(23/1083),IF(C196="JR",SUMIFS($D:$D,$A:$A,$A196,$B:$B,"&lt;&gt;Patrícia Karla de Sousa Araújo",$B:$B,"&lt;&gt;Lorena Dias de Araujo",$B:$B,"&lt;&gt;Lucas Luiz Romero")*(20/1083),IF(C196="Estágio",SUMIFS($D:$D,$A:$A,$A196,$B:$B,"&lt;&gt;Patrícia Karla de Sousa Araújo",$B:$B,"&lt;&gt;Lorena Dias de Araujo",$B:$B,"&lt;&gt;Lucas Luiz Romero")*(10/1083),0)))))),0)</f>
        <v/>
      </c>
      <c r="K196" s="3">
        <f>I196-J196</f>
        <v/>
      </c>
      <c r="L196" s="3">
        <f>IF(K196&lt;-5,"CRÍTICO",IF(K196&lt;0,"ATENÇÃO",IF(K196&lt;=5,"OPORTUNO","MUITO BOM")))</f>
        <v/>
      </c>
      <c r="M196" s="9" t="n">
        <v>15</v>
      </c>
      <c r="N196" s="9" t="n">
        <v>100</v>
      </c>
      <c r="O196" s="9" t="n">
        <v>15.02145922746781</v>
      </c>
    </row>
    <row r="197" hidden="1">
      <c r="A197" s="5" t="n">
        <v>46163</v>
      </c>
      <c r="B197" s="6" t="inlineStr">
        <is>
          <t>Anna Luiza Rezende Tavares</t>
        </is>
      </c>
      <c r="C197" s="3" t="inlineStr">
        <is>
          <t>JR</t>
        </is>
      </c>
      <c r="D197" s="3" t="n">
        <v>24</v>
      </c>
      <c r="E197" s="3" t="n">
        <v>22</v>
      </c>
      <c r="F197" s="3" t="n">
        <v>15.57</v>
      </c>
      <c r="G197" s="3" t="n">
        <v>0</v>
      </c>
      <c r="H197" s="3" t="n">
        <v>0</v>
      </c>
      <c r="I197" s="3">
        <f>E197+G197+H197</f>
        <v/>
      </c>
      <c r="J197" s="3">
        <f>ROUND(MIN(IF(C197="Técnico III",35,IF(C197="Técnico II",28,IF(C197="Técnico I",23,IF(C197="JR",20,IF(C197="Estágio",10,0))))),IF(C197="Técnico III",SUMIFS($D:$D,$A:$A,$A197,$B:$B,"&lt;&gt;Patrícia Karla de Sousa Araújo",$B:$B,"&lt;&gt;Lorena Dias de Araujo",$B:$B,"&lt;&gt;Lucas Luiz Romero")*(35/1083),IF(C197="Técnico II",SUMIFS($D:$D,$A:$A,$A197,$B:$B,"&lt;&gt;Patrícia Karla de Sousa Araújo",$B:$B,"&lt;&gt;Lorena Dias de Araujo",$B:$B,"&lt;&gt;Lucas Luiz Romero")*(28/1083),IF(C197="Técnico I",SUMIFS($D:$D,$A:$A,$A197,$B:$B,"&lt;&gt;Patrícia Karla de Sousa Araújo",$B:$B,"&lt;&gt;Lorena Dias de Araujo",$B:$B,"&lt;&gt;Lucas Luiz Romero")*(23/1083),IF(C197="JR",SUMIFS($D:$D,$A:$A,$A197,$B:$B,"&lt;&gt;Patrícia Karla de Sousa Araújo",$B:$B,"&lt;&gt;Lorena Dias de Araujo",$B:$B,"&lt;&gt;Lucas Luiz Romero")*(20/1083),IF(C197="Estágio",SUMIFS($D:$D,$A:$A,$A197,$B:$B,"&lt;&gt;Patrícia Karla de Sousa Araújo",$B:$B,"&lt;&gt;Lorena Dias de Araujo",$B:$B,"&lt;&gt;Lucas Luiz Romero")*(10/1083),0)))))),0)</f>
        <v/>
      </c>
      <c r="K197" s="3">
        <f>I197-J197</f>
        <v/>
      </c>
      <c r="L197" s="3">
        <f>IF(K197&lt;-5,"CRÍTICO",IF(K197&lt;0,"ATENÇÃO",IF(K197&lt;=5,"OPORTUNO","MUITO BOM")))</f>
        <v/>
      </c>
      <c r="M197" s="3" t="n">
        <v>20</v>
      </c>
      <c r="N197" s="3" t="n">
        <v>99.11</v>
      </c>
      <c r="O197" s="3" t="n">
        <v>17.72151898734177</v>
      </c>
    </row>
    <row r="198" hidden="1">
      <c r="A198" s="5" t="n">
        <v>46163</v>
      </c>
      <c r="B198" s="6" t="inlineStr">
        <is>
          <t>Karina Gonçalves Martins</t>
        </is>
      </c>
      <c r="C198" s="3" t="inlineStr">
        <is>
          <t>JR</t>
        </is>
      </c>
      <c r="D198" s="3" t="n">
        <v>15</v>
      </c>
      <c r="E198" s="3" t="n">
        <v>13</v>
      </c>
      <c r="F198" s="3" t="n">
        <v>20.57</v>
      </c>
      <c r="G198" s="3" t="n">
        <v>1</v>
      </c>
      <c r="H198" s="3" t="n">
        <v>0</v>
      </c>
      <c r="I198" s="3">
        <f>E198+G198+H198</f>
        <v/>
      </c>
      <c r="J198" s="3">
        <f>ROUND(MIN(IF(C198="Técnico III",35,IF(C198="Técnico II",28,IF(C198="Técnico I",23,IF(C198="JR",20,IF(C198="Estágio",10,0))))),IF(C198="Técnico III",SUMIFS($D:$D,$A:$A,$A198,$B:$B,"&lt;&gt;Patrícia Karla de Sousa Araújo",$B:$B,"&lt;&gt;Lorena Dias de Araujo",$B:$B,"&lt;&gt;Lucas Luiz Romero")*(35/1083),IF(C198="Técnico II",SUMIFS($D:$D,$A:$A,$A198,$B:$B,"&lt;&gt;Patrícia Karla de Sousa Araújo",$B:$B,"&lt;&gt;Lorena Dias de Araujo",$B:$B,"&lt;&gt;Lucas Luiz Romero")*(28/1083),IF(C198="Técnico I",SUMIFS($D:$D,$A:$A,$A198,$B:$B,"&lt;&gt;Patrícia Karla de Sousa Araújo",$B:$B,"&lt;&gt;Lorena Dias de Araujo",$B:$B,"&lt;&gt;Lucas Luiz Romero")*(23/1083),IF(C198="JR",SUMIFS($D:$D,$A:$A,$A198,$B:$B,"&lt;&gt;Patrícia Karla de Sousa Araújo",$B:$B,"&lt;&gt;Lorena Dias de Araujo",$B:$B,"&lt;&gt;Lucas Luiz Romero")*(20/1083),IF(C198="Estágio",SUMIFS($D:$D,$A:$A,$A198,$B:$B,"&lt;&gt;Patrícia Karla de Sousa Araújo",$B:$B,"&lt;&gt;Lorena Dias de Araujo",$B:$B,"&lt;&gt;Lucas Luiz Romero")*(10/1083),0)))))),0)</f>
        <v/>
      </c>
      <c r="K198" s="3">
        <f>I198-J198</f>
        <v/>
      </c>
      <c r="L198" s="3">
        <f>IF(K198&lt;-5,"CRÍTICO",IF(K198&lt;0,"ATENÇÃO",IF(K198&lt;=5,"OPORTUNO","MUITO BOM")))</f>
        <v/>
      </c>
      <c r="M198" s="3" t="n">
        <v>15</v>
      </c>
      <c r="N198" s="3" t="n">
        <v>97.01000000000001</v>
      </c>
      <c r="O198" s="3" t="n">
        <v>13.96103896103896</v>
      </c>
    </row>
    <row r="199" hidden="1">
      <c r="A199" s="11" t="n">
        <v>46031</v>
      </c>
      <c r="B199" t="inlineStr">
        <is>
          <t>Gabriel Gomes de Andrade</t>
        </is>
      </c>
      <c r="C199" t="inlineStr">
        <is>
          <t>Técnico I</t>
        </is>
      </c>
      <c r="D199" t="n">
        <v>18</v>
      </c>
      <c r="E199" t="n">
        <v>17</v>
      </c>
      <c r="F199" t="n">
        <v>25.04</v>
      </c>
      <c r="G199" t="n">
        <v>0</v>
      </c>
      <c r="H199" t="n">
        <v>0</v>
      </c>
      <c r="I199" s="3">
        <f>E199+G199+H199</f>
        <v/>
      </c>
      <c r="J199" s="3">
        <f>ROUND(MIN(IF(C199="Técnico III",35,IF(C199="Técnico II",28,IF(C199="Técnico I",23,IF(C199="JR",20,IF(C199="Estágio",10,0))))),IF(C199="Técnico III",SUMIFS($D:$D,$A:$A,$A199,$B:$B,"&lt;&gt;Patrícia Karla de Sousa Araújo",$B:$B,"&lt;&gt;Lorena Dias de Araujo",$B:$B,"&lt;&gt;Lucas Luiz Romero")*(35/1083),IF(C199="Técnico II",SUMIFS($D:$D,$A:$A,$A199,$B:$B,"&lt;&gt;Patrícia Karla de Sousa Araújo",$B:$B,"&lt;&gt;Lorena Dias de Araujo",$B:$B,"&lt;&gt;Lucas Luiz Romero")*(28/1083),IF(C199="Técnico I",SUMIFS($D:$D,$A:$A,$A199,$B:$B,"&lt;&gt;Patrícia Karla de Sousa Araújo",$B:$B,"&lt;&gt;Lorena Dias de Araujo",$B:$B,"&lt;&gt;Lucas Luiz Romero")*(23/1083),IF(C199="JR",SUMIFS($D:$D,$A:$A,$A199,$B:$B,"&lt;&gt;Patrícia Karla de Sousa Araújo",$B:$B,"&lt;&gt;Lorena Dias de Araujo",$B:$B,"&lt;&gt;Lucas Luiz Romero")*(20/1083),IF(C199="Estágio",SUMIFS($D:$D,$A:$A,$A199,$B:$B,"&lt;&gt;Patrícia Karla de Sousa Araújo",$B:$B,"&lt;&gt;Lorena Dias de Araujo",$B:$B,"&lt;&gt;Lucas Luiz Romero")*(10/1083),0)))))),0)</f>
        <v/>
      </c>
      <c r="K199" s="3">
        <f>I199-J199</f>
        <v/>
      </c>
      <c r="L199" s="3">
        <f>IF(K199&lt;-5,"CRÍTICO",IF(K199&lt;0,"ATENÇÃO",IF(K199&lt;=5,"BOM","EXCELENTE")))</f>
        <v/>
      </c>
      <c r="M199" t="n">
        <v>15</v>
      </c>
      <c r="N199" t="n">
        <v>95</v>
      </c>
      <c r="O199" t="n">
        <v>31.89655172413793</v>
      </c>
    </row>
    <row r="200" hidden="1">
      <c r="A200" s="5" t="n">
        <v>46163</v>
      </c>
      <c r="B200" s="6" t="inlineStr">
        <is>
          <t>Leandro de Souza Silva</t>
        </is>
      </c>
      <c r="C200" s="3" t="inlineStr">
        <is>
          <t>JR</t>
        </is>
      </c>
      <c r="D200" s="3" t="n">
        <v>13</v>
      </c>
      <c r="E200" s="3" t="n">
        <v>11</v>
      </c>
      <c r="F200" s="3" t="n">
        <v>20.49</v>
      </c>
      <c r="G200" s="3" t="n">
        <v>1</v>
      </c>
      <c r="H200" s="3" t="n">
        <v>0</v>
      </c>
      <c r="I200" s="3">
        <f>E200+G200+H200</f>
        <v/>
      </c>
      <c r="J200" s="3">
        <f>ROUND(MIN(IF(C200="Técnico III",35,IF(C200="Técnico II",28,IF(C200="Técnico I",23,IF(C200="JR",20,IF(C200="Estágio",10,0))))),IF(C200="Técnico III",SUMIFS($D:$D,$A:$A,$A200,$B:$B,"&lt;&gt;Patrícia Karla de Sousa Araújo",$B:$B,"&lt;&gt;Lorena Dias de Araujo",$B:$B,"&lt;&gt;Lucas Luiz Romero")*(35/1083),IF(C200="Técnico II",SUMIFS($D:$D,$A:$A,$A200,$B:$B,"&lt;&gt;Patrícia Karla de Sousa Araújo",$B:$B,"&lt;&gt;Lorena Dias de Araujo",$B:$B,"&lt;&gt;Lucas Luiz Romero")*(28/1083),IF(C200="Técnico I",SUMIFS($D:$D,$A:$A,$A200,$B:$B,"&lt;&gt;Patrícia Karla de Sousa Araújo",$B:$B,"&lt;&gt;Lorena Dias de Araujo",$B:$B,"&lt;&gt;Lucas Luiz Romero")*(23/1083),IF(C200="JR",SUMIFS($D:$D,$A:$A,$A200,$B:$B,"&lt;&gt;Patrícia Karla de Sousa Araújo",$B:$B,"&lt;&gt;Lorena Dias de Araujo",$B:$B,"&lt;&gt;Lucas Luiz Romero")*(20/1083),IF(C200="Estágio",SUMIFS($D:$D,$A:$A,$A200,$B:$B,"&lt;&gt;Patrícia Karla de Sousa Araújo",$B:$B,"&lt;&gt;Lorena Dias de Araujo",$B:$B,"&lt;&gt;Lucas Luiz Romero")*(10/1083),0)))))),0)</f>
        <v/>
      </c>
      <c r="K200" s="3">
        <f>I200-J200</f>
        <v/>
      </c>
      <c r="L200" s="3">
        <f>IF(K200&lt;-5,"CRÍTICO",IF(K200&lt;0,"ATENÇÃO",IF(K200&lt;=5,"OPORTUNO","MUITO BOM")))</f>
        <v/>
      </c>
      <c r="M200" s="3" t="n">
        <v>10</v>
      </c>
      <c r="N200" s="3" t="n">
        <v>100</v>
      </c>
      <c r="O200" s="3" t="n">
        <v>16.95906432748538</v>
      </c>
    </row>
    <row r="201" hidden="1">
      <c r="A201" s="5" t="n">
        <v>46163</v>
      </c>
      <c r="B201" s="6" t="inlineStr">
        <is>
          <t>Milena Sales</t>
        </is>
      </c>
      <c r="C201" s="3" t="inlineStr">
        <is>
          <t>JR</t>
        </is>
      </c>
      <c r="D201" s="3" t="n">
        <v>26</v>
      </c>
      <c r="E201" s="3" t="n">
        <v>18</v>
      </c>
      <c r="F201" s="3" t="n">
        <v>12.17</v>
      </c>
      <c r="G201" s="3" t="n">
        <v>0</v>
      </c>
      <c r="H201" s="3" t="n">
        <v>0</v>
      </c>
      <c r="I201" s="3">
        <f>E201+G201+H201</f>
        <v/>
      </c>
      <c r="J201" s="3">
        <f>ROUND(MIN(IF(C201="Técnico III",35,IF(C201="Técnico II",28,IF(C201="Técnico I",23,IF(C201="JR",20,IF(C201="Estágio",10,0))))),IF(C201="Técnico III",SUMIFS($D:$D,$A:$A,$A201,$B:$B,"&lt;&gt;Patrícia Karla de Sousa Araújo",$B:$B,"&lt;&gt;Lorena Dias de Araujo",$B:$B,"&lt;&gt;Lucas Luiz Romero")*(35/1083),IF(C201="Técnico II",SUMIFS($D:$D,$A:$A,$A201,$B:$B,"&lt;&gt;Patrícia Karla de Sousa Araújo",$B:$B,"&lt;&gt;Lorena Dias de Araujo",$B:$B,"&lt;&gt;Lucas Luiz Romero")*(28/1083),IF(C201="Técnico I",SUMIFS($D:$D,$A:$A,$A201,$B:$B,"&lt;&gt;Patrícia Karla de Sousa Araújo",$B:$B,"&lt;&gt;Lorena Dias de Araujo",$B:$B,"&lt;&gt;Lucas Luiz Romero")*(23/1083),IF(C201="JR",SUMIFS($D:$D,$A:$A,$A201,$B:$B,"&lt;&gt;Patrícia Karla de Sousa Araújo",$B:$B,"&lt;&gt;Lorena Dias de Araujo",$B:$B,"&lt;&gt;Lucas Luiz Romero")*(20/1083),IF(C201="Estágio",SUMIFS($D:$D,$A:$A,$A201,$B:$B,"&lt;&gt;Patrícia Karla de Sousa Araújo",$B:$B,"&lt;&gt;Lorena Dias de Araujo",$B:$B,"&lt;&gt;Lucas Luiz Romero")*(10/1083),0)))))),0)</f>
        <v/>
      </c>
      <c r="K201" s="3">
        <f>I201-J201</f>
        <v/>
      </c>
      <c r="L201" s="3">
        <f>IF(K201&lt;-5,"CRÍTICO",IF(K201&lt;0,"ATENÇÃO",IF(K201&lt;=5,"OPORTUNO","MUITO BOM")))</f>
        <v/>
      </c>
      <c r="M201" s="3" t="n">
        <v>16</v>
      </c>
      <c r="N201" s="3" t="n">
        <v>98</v>
      </c>
      <c r="O201" s="3" t="n">
        <v>16.43835616438356</v>
      </c>
    </row>
    <row r="202" hidden="1">
      <c r="A202" s="5" t="n">
        <v>46163</v>
      </c>
      <c r="B202" s="6" t="inlineStr">
        <is>
          <t>Paulo Ricardo Santos</t>
        </is>
      </c>
      <c r="C202" s="3" t="inlineStr">
        <is>
          <t>JR</t>
        </is>
      </c>
      <c r="D202" s="3" t="n">
        <v>10</v>
      </c>
      <c r="E202" s="3" t="n">
        <v>10</v>
      </c>
      <c r="F202" s="3" t="n">
        <v>20.18</v>
      </c>
      <c r="G202" s="3" t="n">
        <v>0</v>
      </c>
      <c r="H202" s="3" t="n">
        <v>0</v>
      </c>
      <c r="I202" s="3">
        <f>E202+G202+H202</f>
        <v/>
      </c>
      <c r="J202" s="3">
        <f>ROUND(MIN(IF(C202="Técnico III",35,IF(C202="Técnico II",28,IF(C202="Técnico I",23,IF(C202="JR",20,IF(C202="Estágio",10,0))))),IF(C202="Técnico III",SUMIFS($D:$D,$A:$A,$A202,$B:$B,"&lt;&gt;Patrícia Karla de Sousa Araújo",$B:$B,"&lt;&gt;Lorena Dias de Araujo",$B:$B,"&lt;&gt;Lucas Luiz Romero")*(35/1083),IF(C202="Técnico II",SUMIFS($D:$D,$A:$A,$A202,$B:$B,"&lt;&gt;Patrícia Karla de Sousa Araújo",$B:$B,"&lt;&gt;Lorena Dias de Araujo",$B:$B,"&lt;&gt;Lucas Luiz Romero")*(28/1083),IF(C202="Técnico I",SUMIFS($D:$D,$A:$A,$A202,$B:$B,"&lt;&gt;Patrícia Karla de Sousa Araújo",$B:$B,"&lt;&gt;Lorena Dias de Araujo",$B:$B,"&lt;&gt;Lucas Luiz Romero")*(23/1083),IF(C202="JR",SUMIFS($D:$D,$A:$A,$A202,$B:$B,"&lt;&gt;Patrícia Karla de Sousa Araújo",$B:$B,"&lt;&gt;Lorena Dias de Araujo",$B:$B,"&lt;&gt;Lucas Luiz Romero")*(20/1083),IF(C202="Estágio",SUMIFS($D:$D,$A:$A,$A202,$B:$B,"&lt;&gt;Patrícia Karla de Sousa Araújo",$B:$B,"&lt;&gt;Lorena Dias de Araujo",$B:$B,"&lt;&gt;Lucas Luiz Romero")*(10/1083),0)))))),0)</f>
        <v/>
      </c>
      <c r="K202" s="3">
        <f>I202-J202</f>
        <v/>
      </c>
      <c r="L202" s="3">
        <f>IF(K202&lt;-5,"CRÍTICO",IF(K202&lt;0,"ATENÇÃO",IF(K202&lt;=5,"OPORTUNO","MUITO BOM")))</f>
        <v/>
      </c>
      <c r="M202" s="3" t="n">
        <v>12</v>
      </c>
      <c r="N202" s="3" t="n">
        <v>100</v>
      </c>
      <c r="O202" s="3" t="n">
        <v>19.13875598086124</v>
      </c>
    </row>
    <row r="203" hidden="1">
      <c r="A203" s="5" t="n">
        <v>46163</v>
      </c>
      <c r="B203" s="6" t="inlineStr">
        <is>
          <t>Pedro Luiz Mota Sousa</t>
        </is>
      </c>
      <c r="C203" s="3" t="inlineStr">
        <is>
          <t>JR</t>
        </is>
      </c>
      <c r="D203" s="3" t="n">
        <v>16</v>
      </c>
      <c r="E203" s="3" t="n">
        <v>14</v>
      </c>
      <c r="F203" s="3" t="n">
        <v>23.22</v>
      </c>
      <c r="G203" s="3" t="n">
        <v>0</v>
      </c>
      <c r="H203" s="3" t="n">
        <v>0</v>
      </c>
      <c r="I203" s="3">
        <f>E203+G203+H203</f>
        <v/>
      </c>
      <c r="J203" s="3">
        <f>ROUND(MIN(IF(C203="Técnico III",35,IF(C203="Técnico II",28,IF(C203="Técnico I",23,IF(C203="JR",20,IF(C203="Estágio",10,0))))),IF(C203="Técnico III",SUMIFS($D:$D,$A:$A,$A203,$B:$B,"&lt;&gt;Patrícia Karla de Sousa Araújo",$B:$B,"&lt;&gt;Lorena Dias de Araujo",$B:$B,"&lt;&gt;Lucas Luiz Romero")*(35/1083),IF(C203="Técnico II",SUMIFS($D:$D,$A:$A,$A203,$B:$B,"&lt;&gt;Patrícia Karla de Sousa Araújo",$B:$B,"&lt;&gt;Lorena Dias de Araujo",$B:$B,"&lt;&gt;Lucas Luiz Romero")*(28/1083),IF(C203="Técnico I",SUMIFS($D:$D,$A:$A,$A203,$B:$B,"&lt;&gt;Patrícia Karla de Sousa Araújo",$B:$B,"&lt;&gt;Lorena Dias de Araujo",$B:$B,"&lt;&gt;Lucas Luiz Romero")*(23/1083),IF(C203="JR",SUMIFS($D:$D,$A:$A,$A203,$B:$B,"&lt;&gt;Patrícia Karla de Sousa Araújo",$B:$B,"&lt;&gt;Lorena Dias de Araujo",$B:$B,"&lt;&gt;Lucas Luiz Romero")*(20/1083),IF(C203="Estágio",SUMIFS($D:$D,$A:$A,$A203,$B:$B,"&lt;&gt;Patrícia Karla de Sousa Araújo",$B:$B,"&lt;&gt;Lorena Dias de Araujo",$B:$B,"&lt;&gt;Lucas Luiz Romero")*(10/1083),0)))))),0)</f>
        <v/>
      </c>
      <c r="K203" s="3">
        <f>I203-J203</f>
        <v/>
      </c>
      <c r="L203" s="3">
        <f>IF(K203&lt;-5,"CRÍTICO",IF(K203&lt;0,"ATENÇÃO",IF(K203&lt;=5,"OPORTUNO","MUITO BOM")))</f>
        <v/>
      </c>
      <c r="M203" s="3" t="n">
        <v>12</v>
      </c>
      <c r="N203" s="3" t="n">
        <v>100</v>
      </c>
      <c r="O203" s="3" t="n">
        <v>15.02145922746781</v>
      </c>
    </row>
    <row r="204" hidden="1">
      <c r="A204" s="10" t="n">
        <v>46164</v>
      </c>
      <c r="B204" s="6" t="inlineStr">
        <is>
          <t>Anna Luiza Rezende Tavares</t>
        </is>
      </c>
      <c r="C204" s="3" t="inlineStr">
        <is>
          <t>JR</t>
        </is>
      </c>
      <c r="D204" s="3" t="n">
        <v>20</v>
      </c>
      <c r="E204" s="3" t="n">
        <v>19</v>
      </c>
      <c r="F204" s="3" t="n">
        <v>22.07</v>
      </c>
      <c r="G204" s="3" t="n">
        <v>0</v>
      </c>
      <c r="H204" s="3" t="n">
        <v>0</v>
      </c>
      <c r="I204" s="3">
        <f>E204+G204+H204</f>
        <v/>
      </c>
      <c r="J204" s="3">
        <f>ROUND(MIN(IF(C204="Técnico III",35,IF(C204="Técnico II",28,IF(C204="Técnico I",23,IF(C204="JR",20,IF(C204="Estágio",10,0))))),IF(C204="Técnico III",SUMIFS($D:$D,$A:$A,$A204,$B:$B,"&lt;&gt;Patrícia Karla de Sousa Araújo",$B:$B,"&lt;&gt;Lorena Dias de Araujo",$B:$B,"&lt;&gt;Lucas Luiz Romero")*(35/1083),IF(C204="Técnico II",SUMIFS($D:$D,$A:$A,$A204,$B:$B,"&lt;&gt;Patrícia Karla de Sousa Araújo",$B:$B,"&lt;&gt;Lorena Dias de Araujo",$B:$B,"&lt;&gt;Lucas Luiz Romero")*(28/1083),IF(C204="Técnico I",SUMIFS($D:$D,$A:$A,$A204,$B:$B,"&lt;&gt;Patrícia Karla de Sousa Araújo",$B:$B,"&lt;&gt;Lorena Dias de Araujo",$B:$B,"&lt;&gt;Lucas Luiz Romero")*(23/1083),IF(C204="JR",SUMIFS($D:$D,$A:$A,$A204,$B:$B,"&lt;&gt;Patrícia Karla de Sousa Araújo",$B:$B,"&lt;&gt;Lorena Dias de Araujo",$B:$B,"&lt;&gt;Lucas Luiz Romero")*(20/1083),IF(C204="Estágio",SUMIFS($D:$D,$A:$A,$A204,$B:$B,"&lt;&gt;Patrícia Karla de Sousa Araújo",$B:$B,"&lt;&gt;Lorena Dias de Araujo",$B:$B,"&lt;&gt;Lucas Luiz Romero")*(10/1083),0)))))),0)</f>
        <v/>
      </c>
      <c r="K204" s="3">
        <f>I204-J204</f>
        <v/>
      </c>
      <c r="L204" s="3">
        <f>IF(K204&lt;-5,"CRÍTICO",IF(K204&lt;0,"ATENÇÃO",IF(K204&lt;=5,"OPORTUNO","MUITO BOM")))</f>
        <v/>
      </c>
      <c r="M204" s="3" t="n">
        <v>18</v>
      </c>
      <c r="N204" s="3" t="n">
        <v>99.11</v>
      </c>
      <c r="O204" s="3" t="n">
        <v>17.72151898734177</v>
      </c>
    </row>
    <row r="205" hidden="1">
      <c r="A205" s="10" t="n">
        <v>46164</v>
      </c>
      <c r="B205" s="6" t="inlineStr">
        <is>
          <t>Karina Gonçalves Martins</t>
        </is>
      </c>
      <c r="C205" s="3" t="inlineStr">
        <is>
          <t>JR</t>
        </is>
      </c>
      <c r="D205" s="3" t="n">
        <v>19</v>
      </c>
      <c r="E205" s="3" t="n">
        <v>19</v>
      </c>
      <c r="F205" s="3" t="n">
        <v>21.43</v>
      </c>
      <c r="G205" s="3" t="n">
        <v>0</v>
      </c>
      <c r="H205" s="3" t="n">
        <v>0</v>
      </c>
      <c r="I205" s="3">
        <f>E205+G205+H205</f>
        <v/>
      </c>
      <c r="J205" s="3">
        <f>ROUND(MIN(IF(C205="Técnico III",35,IF(C205="Técnico II",28,IF(C205="Técnico I",23,IF(C205="JR",20,IF(C205="Estágio",10,0))))),IF(C205="Técnico III",SUMIFS($D:$D,$A:$A,$A205,$B:$B,"&lt;&gt;Patrícia Karla de Sousa Araújo",$B:$B,"&lt;&gt;Lorena Dias de Araujo",$B:$B,"&lt;&gt;Lucas Luiz Romero")*(35/1083),IF(C205="Técnico II",SUMIFS($D:$D,$A:$A,$A205,$B:$B,"&lt;&gt;Patrícia Karla de Sousa Araújo",$B:$B,"&lt;&gt;Lorena Dias de Araujo",$B:$B,"&lt;&gt;Lucas Luiz Romero")*(28/1083),IF(C205="Técnico I",SUMIFS($D:$D,$A:$A,$A205,$B:$B,"&lt;&gt;Patrícia Karla de Sousa Araújo",$B:$B,"&lt;&gt;Lorena Dias de Araujo",$B:$B,"&lt;&gt;Lucas Luiz Romero")*(23/1083),IF(C205="JR",SUMIFS($D:$D,$A:$A,$A205,$B:$B,"&lt;&gt;Patrícia Karla de Sousa Araújo",$B:$B,"&lt;&gt;Lorena Dias de Araujo",$B:$B,"&lt;&gt;Lucas Luiz Romero")*(20/1083),IF(C205="Estágio",SUMIFS($D:$D,$A:$A,$A205,$B:$B,"&lt;&gt;Patrícia Karla de Sousa Araújo",$B:$B,"&lt;&gt;Lorena Dias de Araujo",$B:$B,"&lt;&gt;Lucas Luiz Romero")*(10/1083),0)))))),0)</f>
        <v/>
      </c>
      <c r="K205" s="3">
        <f>I205-J205</f>
        <v/>
      </c>
      <c r="L205" s="3">
        <f>IF(K205&lt;-5,"CRÍTICO",IF(K205&lt;0,"ATENÇÃO",IF(K205&lt;=5,"OPORTUNO","MUITO BOM")))</f>
        <v/>
      </c>
      <c r="M205" s="3" t="n">
        <v>20</v>
      </c>
      <c r="N205" s="3" t="n">
        <v>97.01000000000001</v>
      </c>
      <c r="O205" s="3" t="n">
        <v>13.96103896103896</v>
      </c>
    </row>
    <row r="206" hidden="1">
      <c r="A206" s="10" t="n">
        <v>46164</v>
      </c>
      <c r="B206" s="6" t="inlineStr">
        <is>
          <t>Leandro de Souza Silva</t>
        </is>
      </c>
      <c r="C206" s="3" t="inlineStr">
        <is>
          <t>JR</t>
        </is>
      </c>
      <c r="D206" s="3" t="n">
        <v>10</v>
      </c>
      <c r="E206" s="3" t="n">
        <v>10</v>
      </c>
      <c r="F206" s="3" t="n">
        <v>27.18</v>
      </c>
      <c r="G206" s="3" t="n">
        <v>2</v>
      </c>
      <c r="H206" s="3" t="n">
        <v>0</v>
      </c>
      <c r="I206" s="3">
        <f>E206+G206+H206</f>
        <v/>
      </c>
      <c r="J206" s="3">
        <f>ROUND(MIN(IF(C206="Técnico III",35,IF(C206="Técnico II",28,IF(C206="Técnico I",23,IF(C206="JR",20,IF(C206="Estágio",10,0))))),IF(C206="Técnico III",SUMIFS($D:$D,$A:$A,$A206,$B:$B,"&lt;&gt;Patrícia Karla de Sousa Araújo",$B:$B,"&lt;&gt;Lorena Dias de Araujo",$B:$B,"&lt;&gt;Lucas Luiz Romero")*(35/1083),IF(C206="Técnico II",SUMIFS($D:$D,$A:$A,$A206,$B:$B,"&lt;&gt;Patrícia Karla de Sousa Araújo",$B:$B,"&lt;&gt;Lorena Dias de Araujo",$B:$B,"&lt;&gt;Lucas Luiz Romero")*(28/1083),IF(C206="Técnico I",SUMIFS($D:$D,$A:$A,$A206,$B:$B,"&lt;&gt;Patrícia Karla de Sousa Araújo",$B:$B,"&lt;&gt;Lorena Dias de Araujo",$B:$B,"&lt;&gt;Lucas Luiz Romero")*(23/1083),IF(C206="JR",SUMIFS($D:$D,$A:$A,$A206,$B:$B,"&lt;&gt;Patrícia Karla de Sousa Araújo",$B:$B,"&lt;&gt;Lorena Dias de Araujo",$B:$B,"&lt;&gt;Lucas Luiz Romero")*(20/1083),IF(C206="Estágio",SUMIFS($D:$D,$A:$A,$A206,$B:$B,"&lt;&gt;Patrícia Karla de Sousa Araújo",$B:$B,"&lt;&gt;Lorena Dias de Araujo",$B:$B,"&lt;&gt;Lucas Luiz Romero")*(10/1083),0)))))),0)</f>
        <v/>
      </c>
      <c r="K206" s="3">
        <f>I206-J206</f>
        <v/>
      </c>
      <c r="L206" s="3">
        <f>IF(K206&lt;-5,"CRÍTICO",IF(K206&lt;0,"ATENÇÃO",IF(K206&lt;=5,"OPORTUNO","MUITO BOM")))</f>
        <v/>
      </c>
      <c r="M206" s="3" t="n">
        <v>8</v>
      </c>
      <c r="N206" s="3" t="n">
        <v>100</v>
      </c>
      <c r="O206" s="3" t="n">
        <v>16.95906432748538</v>
      </c>
    </row>
    <row r="207" hidden="1">
      <c r="A207" s="10" t="n">
        <v>46164</v>
      </c>
      <c r="B207" s="6" t="inlineStr">
        <is>
          <t>Milena Sales</t>
        </is>
      </c>
      <c r="C207" s="3" t="inlineStr">
        <is>
          <t>JR</t>
        </is>
      </c>
      <c r="D207" s="3" t="n">
        <v>21</v>
      </c>
      <c r="E207" s="3" t="n">
        <v>18</v>
      </c>
      <c r="F207" s="3" t="n">
        <v>13.49</v>
      </c>
      <c r="G207" s="3" t="n">
        <v>0</v>
      </c>
      <c r="H207" s="3" t="n">
        <v>0</v>
      </c>
      <c r="I207" s="3">
        <f>E207+G207+H207</f>
        <v/>
      </c>
      <c r="J207" s="3">
        <f>ROUND(MIN(IF(C207="Técnico III",35,IF(C207="Técnico II",28,IF(C207="Técnico I",23,IF(C207="JR",20,IF(C207="Estágio",10,0))))),IF(C207="Técnico III",SUMIFS($D:$D,$A:$A,$A207,$B:$B,"&lt;&gt;Patrícia Karla de Sousa Araújo",$B:$B,"&lt;&gt;Lorena Dias de Araujo",$B:$B,"&lt;&gt;Lucas Luiz Romero")*(35/1083),IF(C207="Técnico II",SUMIFS($D:$D,$A:$A,$A207,$B:$B,"&lt;&gt;Patrícia Karla de Sousa Araújo",$B:$B,"&lt;&gt;Lorena Dias de Araujo",$B:$B,"&lt;&gt;Lucas Luiz Romero")*(28/1083),IF(C207="Técnico I",SUMIFS($D:$D,$A:$A,$A207,$B:$B,"&lt;&gt;Patrícia Karla de Sousa Araújo",$B:$B,"&lt;&gt;Lorena Dias de Araujo",$B:$B,"&lt;&gt;Lucas Luiz Romero")*(23/1083),IF(C207="JR",SUMIFS($D:$D,$A:$A,$A207,$B:$B,"&lt;&gt;Patrícia Karla de Sousa Araújo",$B:$B,"&lt;&gt;Lorena Dias de Araujo",$B:$B,"&lt;&gt;Lucas Luiz Romero")*(20/1083),IF(C207="Estágio",SUMIFS($D:$D,$A:$A,$A207,$B:$B,"&lt;&gt;Patrícia Karla de Sousa Araújo",$B:$B,"&lt;&gt;Lorena Dias de Araujo",$B:$B,"&lt;&gt;Lucas Luiz Romero")*(10/1083),0)))))),0)</f>
        <v/>
      </c>
      <c r="K207" s="3">
        <f>I207-J207</f>
        <v/>
      </c>
      <c r="L207" s="3">
        <f>IF(K207&lt;-5,"CRÍTICO",IF(K207&lt;0,"ATENÇÃO",IF(K207&lt;=5,"OPORTUNO","MUITO BOM")))</f>
        <v/>
      </c>
      <c r="M207" s="3" t="n">
        <v>16</v>
      </c>
      <c r="N207" s="3" t="n">
        <v>98</v>
      </c>
      <c r="O207" s="3" t="n">
        <v>16.43835616438356</v>
      </c>
    </row>
    <row r="208" hidden="1">
      <c r="A208" s="10" t="n">
        <v>46164</v>
      </c>
      <c r="B208" s="6" t="inlineStr">
        <is>
          <t>Paulo Ricardo Santos</t>
        </is>
      </c>
      <c r="C208" s="3" t="inlineStr">
        <is>
          <t>JR</t>
        </is>
      </c>
      <c r="D208" s="3" t="n">
        <v>13</v>
      </c>
      <c r="E208" s="3" t="n">
        <v>13</v>
      </c>
      <c r="F208" s="3" t="n">
        <v>27</v>
      </c>
      <c r="G208" s="3" t="n">
        <v>4</v>
      </c>
      <c r="H208" s="3" t="n">
        <v>0</v>
      </c>
      <c r="I208" s="3">
        <f>E208+G208+H208</f>
        <v/>
      </c>
      <c r="J208" s="3">
        <f>ROUND(MIN(IF(C208="Técnico III",35,IF(C208="Técnico II",28,IF(C208="Técnico I",23,IF(C208="JR",20,IF(C208="Estágio",10,0))))),IF(C208="Técnico III",SUMIFS($D:$D,$A:$A,$A208,$B:$B,"&lt;&gt;Patrícia Karla de Sousa Araújo",$B:$B,"&lt;&gt;Lorena Dias de Araujo",$B:$B,"&lt;&gt;Lucas Luiz Romero")*(35/1083),IF(C208="Técnico II",SUMIFS($D:$D,$A:$A,$A208,$B:$B,"&lt;&gt;Patrícia Karla de Sousa Araújo",$B:$B,"&lt;&gt;Lorena Dias de Araujo",$B:$B,"&lt;&gt;Lucas Luiz Romero")*(28/1083),IF(C208="Técnico I",SUMIFS($D:$D,$A:$A,$A208,$B:$B,"&lt;&gt;Patrícia Karla de Sousa Araújo",$B:$B,"&lt;&gt;Lorena Dias de Araujo",$B:$B,"&lt;&gt;Lucas Luiz Romero")*(23/1083),IF(C208="JR",SUMIFS($D:$D,$A:$A,$A208,$B:$B,"&lt;&gt;Patrícia Karla de Sousa Araújo",$B:$B,"&lt;&gt;Lorena Dias de Araujo",$B:$B,"&lt;&gt;Lucas Luiz Romero")*(20/1083),IF(C208="Estágio",SUMIFS($D:$D,$A:$A,$A208,$B:$B,"&lt;&gt;Patrícia Karla de Sousa Araújo",$B:$B,"&lt;&gt;Lorena Dias de Araujo",$B:$B,"&lt;&gt;Lucas Luiz Romero")*(10/1083),0)))))),0)</f>
        <v/>
      </c>
      <c r="K208" s="3">
        <f>I208-J208</f>
        <v/>
      </c>
      <c r="L208" s="3">
        <f>IF(K208&lt;-5,"CRÍTICO",IF(K208&lt;0,"ATENÇÃO",IF(K208&lt;=5,"OPORTUNO","MUITO BOM")))</f>
        <v/>
      </c>
      <c r="M208" s="3" t="n">
        <v>9</v>
      </c>
      <c r="N208" s="3" t="n">
        <v>100</v>
      </c>
      <c r="O208" s="3" t="n">
        <v>19.13875598086124</v>
      </c>
    </row>
    <row r="209" hidden="1">
      <c r="A209" s="10" t="n">
        <v>46164</v>
      </c>
      <c r="B209" s="6" t="inlineStr">
        <is>
          <t>Pedro Luiz Mota Sousa</t>
        </is>
      </c>
      <c r="C209" s="3" t="inlineStr">
        <is>
          <t>JR</t>
        </is>
      </c>
      <c r="D209" s="3" t="n">
        <v>17</v>
      </c>
      <c r="E209" s="3" t="n">
        <v>17</v>
      </c>
      <c r="F209" s="3" t="n">
        <v>17.24</v>
      </c>
      <c r="G209" s="3" t="n">
        <v>2</v>
      </c>
      <c r="H209" s="3" t="n">
        <v>0</v>
      </c>
      <c r="I209" s="3">
        <f>E209+G209+H209</f>
        <v/>
      </c>
      <c r="J209" s="3">
        <f>ROUND(MIN(IF(C209="Técnico III",35,IF(C209="Técnico II",28,IF(C209="Técnico I",23,IF(C209="JR",20,IF(C209="Estágio",10,0))))),IF(C209="Técnico III",SUMIFS($D:$D,$A:$A,$A209,$B:$B,"&lt;&gt;Patrícia Karla de Sousa Araújo",$B:$B,"&lt;&gt;Lorena Dias de Araujo",$B:$B,"&lt;&gt;Lucas Luiz Romero")*(35/1083),IF(C209="Técnico II",SUMIFS($D:$D,$A:$A,$A209,$B:$B,"&lt;&gt;Patrícia Karla de Sousa Araújo",$B:$B,"&lt;&gt;Lorena Dias de Araujo",$B:$B,"&lt;&gt;Lucas Luiz Romero")*(28/1083),IF(C209="Técnico I",SUMIFS($D:$D,$A:$A,$A209,$B:$B,"&lt;&gt;Patrícia Karla de Sousa Araújo",$B:$B,"&lt;&gt;Lorena Dias de Araujo",$B:$B,"&lt;&gt;Lucas Luiz Romero")*(23/1083),IF(C209="JR",SUMIFS($D:$D,$A:$A,$A209,$B:$B,"&lt;&gt;Patrícia Karla de Sousa Araújo",$B:$B,"&lt;&gt;Lorena Dias de Araujo",$B:$B,"&lt;&gt;Lucas Luiz Romero")*(20/1083),IF(C209="Estágio",SUMIFS($D:$D,$A:$A,$A209,$B:$B,"&lt;&gt;Patrícia Karla de Sousa Araújo",$B:$B,"&lt;&gt;Lorena Dias de Araujo",$B:$B,"&lt;&gt;Lucas Luiz Romero")*(10/1083),0)))))),0)</f>
        <v/>
      </c>
      <c r="K209" s="3">
        <f>I209-J209</f>
        <v/>
      </c>
      <c r="L209" s="3">
        <f>IF(K209&lt;-5,"CRÍTICO",IF(K209&lt;0,"ATENÇÃO",IF(K209&lt;=5,"OPORTUNO","MUITO BOM")))</f>
        <v/>
      </c>
      <c r="M209" s="3" t="n">
        <v>15</v>
      </c>
      <c r="N209" s="3" t="n">
        <v>100</v>
      </c>
      <c r="O209" s="3" t="n">
        <v>15.02145922746781</v>
      </c>
    </row>
    <row r="210" hidden="1">
      <c r="A210" s="11" t="n">
        <v>46167</v>
      </c>
      <c r="B210" t="inlineStr">
        <is>
          <t>Anna Luiza Rezende Tavares</t>
        </is>
      </c>
      <c r="C210" t="inlineStr">
        <is>
          <t>JR</t>
        </is>
      </c>
      <c r="D210" t="n">
        <v>25</v>
      </c>
      <c r="E210" t="n">
        <v>25</v>
      </c>
      <c r="F210" t="n">
        <v>15.22</v>
      </c>
      <c r="G210" t="n">
        <v>0</v>
      </c>
      <c r="H210" t="n">
        <v>0</v>
      </c>
      <c r="I210" s="3" t="n">
        <v>0</v>
      </c>
      <c r="J210" s="3" t="n">
        <v>0</v>
      </c>
      <c r="K210" s="3" t="n">
        <v>0</v>
      </c>
      <c r="L210" s="3">
        <f>IF(K210&lt;-5,"CRÍTICO",IF(K210&lt;0,"ATENÇÃO",IF(K210&lt;=5,"OPORTUNO","MUITO BOM")))</f>
        <v/>
      </c>
    </row>
    <row r="211" hidden="1">
      <c r="A211" s="11" t="n">
        <v>46167</v>
      </c>
      <c r="B211" t="inlineStr">
        <is>
          <t>Karina Gonçalves Martins</t>
        </is>
      </c>
      <c r="C211" t="inlineStr">
        <is>
          <t>JR</t>
        </is>
      </c>
      <c r="D211" t="n">
        <v>14</v>
      </c>
      <c r="E211" t="n">
        <v>13</v>
      </c>
      <c r="F211" t="n">
        <v>14.05</v>
      </c>
      <c r="G211" t="n">
        <v>0</v>
      </c>
      <c r="H211" t="n">
        <v>0</v>
      </c>
      <c r="I211" s="3" t="n">
        <v>0</v>
      </c>
      <c r="J211" s="3" t="n">
        <v>0</v>
      </c>
      <c r="K211" s="3" t="n">
        <v>0</v>
      </c>
      <c r="L211" s="3">
        <f>IF(K211&lt;-5,"CRÍTICO",IF(K211&lt;0,"ATENÇÃO",IF(K211&lt;=5,"OPORTUNO","MUITO BOM")))</f>
        <v/>
      </c>
    </row>
    <row r="212" hidden="1">
      <c r="A212" s="11" t="n">
        <v>46167</v>
      </c>
      <c r="B212" t="inlineStr">
        <is>
          <t>Leandro de Souza Silva</t>
        </is>
      </c>
      <c r="C212" t="inlineStr">
        <is>
          <t>JR</t>
        </is>
      </c>
      <c r="D212" t="n">
        <v>16</v>
      </c>
      <c r="E212" t="n">
        <v>16</v>
      </c>
      <c r="F212" t="n">
        <v>25.06</v>
      </c>
      <c r="G212" t="n">
        <v>0</v>
      </c>
      <c r="H212" t="n">
        <v>0</v>
      </c>
      <c r="I212" s="3" t="n">
        <v>0</v>
      </c>
      <c r="J212" s="3" t="n">
        <v>0</v>
      </c>
      <c r="K212" s="3" t="n">
        <v>0</v>
      </c>
      <c r="L212" s="3">
        <f>IF(K212&lt;-5,"CRÍTICO",IF(K212&lt;0,"ATENÇÃO",IF(K212&lt;=5,"OPORTUNO","MUITO BOM")))</f>
        <v/>
      </c>
    </row>
    <row r="213" hidden="1">
      <c r="A213" s="11" t="n">
        <v>46167</v>
      </c>
      <c r="B213" t="inlineStr">
        <is>
          <t>Milena Sales</t>
        </is>
      </c>
      <c r="C213" t="inlineStr">
        <is>
          <t>JR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s="3" t="n">
        <v>0</v>
      </c>
      <c r="J213" s="3" t="n">
        <v>0</v>
      </c>
      <c r="K213" s="3" t="n">
        <v>0</v>
      </c>
      <c r="L213" s="3">
        <f>IF(K213&lt;-5,"CRÍTICO",IF(K213&lt;0,"ATENÇÃO",IF(K213&lt;=5,"OPORTUNO","MUITO BOM")))</f>
        <v/>
      </c>
    </row>
    <row r="214" hidden="1">
      <c r="A214" s="11" t="n">
        <v>46167</v>
      </c>
      <c r="B214" t="inlineStr">
        <is>
          <t>Paulo Ricardo Santos</t>
        </is>
      </c>
      <c r="C214" t="inlineStr">
        <is>
          <t>JR</t>
        </is>
      </c>
      <c r="D214" t="n">
        <v>16</v>
      </c>
      <c r="E214" t="n">
        <v>16</v>
      </c>
      <c r="F214" t="n">
        <v>21.46</v>
      </c>
      <c r="G214" t="n">
        <v>0</v>
      </c>
      <c r="H214" t="n">
        <v>0</v>
      </c>
      <c r="I214" s="3" t="n">
        <v>0</v>
      </c>
      <c r="J214" s="3" t="n">
        <v>0</v>
      </c>
      <c r="K214" s="3" t="n">
        <v>0</v>
      </c>
      <c r="L214" s="3">
        <f>IF(K214&lt;-5,"CRÍTICO",IF(K214&lt;0,"ATENÇÃO",IF(K214&lt;=5,"OPORTUNO","MUITO BOM")))</f>
        <v/>
      </c>
    </row>
    <row r="215" hidden="1">
      <c r="A215" s="11" t="n">
        <v>46167</v>
      </c>
      <c r="B215" t="inlineStr">
        <is>
          <t>Pedro Luiz Mota Sousa</t>
        </is>
      </c>
      <c r="C215" t="inlineStr">
        <is>
          <t>JR</t>
        </is>
      </c>
      <c r="D215" t="n">
        <v>13</v>
      </c>
      <c r="E215" t="n">
        <v>12</v>
      </c>
      <c r="F215" t="n">
        <v>15.01</v>
      </c>
      <c r="G215" t="n">
        <v>0</v>
      </c>
      <c r="H215" t="n">
        <v>0</v>
      </c>
      <c r="I215" s="3" t="n">
        <v>0</v>
      </c>
      <c r="J215" s="3" t="n">
        <v>0</v>
      </c>
      <c r="K215" s="3" t="n">
        <v>0</v>
      </c>
      <c r="L215" s="3">
        <f>IF(K215&lt;-5,"CRÍTICO",IF(K215&lt;0,"ATENÇÃO",IF(K215&lt;=5,"OPORTUNO","MUITO BOM")))</f>
        <v/>
      </c>
    </row>
    <row r="216" hidden="1">
      <c r="A216" s="11" t="n">
        <v>46140</v>
      </c>
      <c r="B216" t="inlineStr">
        <is>
          <t>Karina Gonçalves Martins</t>
        </is>
      </c>
      <c r="C216" t="inlineStr">
        <is>
          <t>JR</t>
        </is>
      </c>
      <c r="D216" t="n">
        <v>27</v>
      </c>
      <c r="E216" t="n">
        <v>25</v>
      </c>
      <c r="F216" t="n">
        <v>16.48</v>
      </c>
      <c r="G216" t="n">
        <v>0</v>
      </c>
      <c r="H216" t="n">
        <v>0</v>
      </c>
      <c r="I216" s="3">
        <f>E216+G216+H216</f>
        <v/>
      </c>
      <c r="J216" s="3">
        <f>ROUND(MIN(IF(C216="Técnico III",35,IF(C216="Técnico II",28,IF(C216="Técnico I",23,IF(C216="JR",20,IF(C216="Estágio",10,0))))),IF(C216="Técnico III",SUMIFS($D:$D,$A:$A,$A216,$B:$B,"&lt;&gt;Patrícia Karla de Sousa Araújo",$B:$B,"&lt;&gt;Lorena Dias de Araujo",$B:$B,"&lt;&gt;Lucas Luiz Romero")*(35/1083),IF(C216="Técnico II",SUMIFS($D:$D,$A:$A,$A216,$B:$B,"&lt;&gt;Patrícia Karla de Sousa Araújo",$B:$B,"&lt;&gt;Lorena Dias de Araujo",$B:$B,"&lt;&gt;Lucas Luiz Romero")*(28/1083),IF(C216="Técnico I",SUMIFS($D:$D,$A:$A,$A216,$B:$B,"&lt;&gt;Patrícia Karla de Sousa Araújo",$B:$B,"&lt;&gt;Lorena Dias de Araujo",$B:$B,"&lt;&gt;Lucas Luiz Romero")*(23/1083),IF(C216="JR",SUMIFS($D:$D,$A:$A,$A216,$B:$B,"&lt;&gt;Patrícia Karla de Sousa Araújo",$B:$B,"&lt;&gt;Lorena Dias de Araujo",$B:$B,"&lt;&gt;Lucas Luiz Romero")*(20/1083),IF(C216="Estágio",SUMIFS($D:$D,$A:$A,$A216,$B:$B,"&lt;&gt;Patrícia Karla de Sousa Araújo",$B:$B,"&lt;&gt;Lorena Dias de Araujo",$B:$B,"&lt;&gt;Lucas Luiz Romero")*(10/1083),0)))))),0)</f>
        <v/>
      </c>
      <c r="K216" s="3">
        <f>I216-J216</f>
        <v/>
      </c>
      <c r="L216" s="3">
        <f>IF(K216&lt;-5,"CRÍTICO",IF(K216&lt;0,"ATENÇÃO",IF(K216&lt;=5,"OPORTUNO","MUITO BOM")))</f>
        <v/>
      </c>
      <c r="N216" t="n">
        <v>97.17</v>
      </c>
      <c r="O216" t="n">
        <v>28.81844380403458</v>
      </c>
    </row>
    <row r="217" hidden="1">
      <c r="A217" s="11" t="n">
        <v>46140</v>
      </c>
      <c r="B217" t="inlineStr">
        <is>
          <t>Leandro de Souza Silva</t>
        </is>
      </c>
      <c r="C217" t="inlineStr">
        <is>
          <t>JR</t>
        </is>
      </c>
      <c r="D217" t="n">
        <v>17</v>
      </c>
      <c r="E217" t="n">
        <v>14</v>
      </c>
      <c r="F217" t="n">
        <v>22.19</v>
      </c>
      <c r="G217" t="n">
        <v>0</v>
      </c>
      <c r="H217" t="n">
        <v>0</v>
      </c>
      <c r="I217" s="3">
        <f>E217+G217+H217</f>
        <v/>
      </c>
      <c r="J217" s="3">
        <f>ROUND(MIN(IF(C217="Técnico III",35,IF(C217="Técnico II",28,IF(C217="Técnico I",23,IF(C217="JR",20,IF(C217="Estágio",10,0))))),IF(C217="Técnico III",SUMIFS($D:$D,$A:$A,$A217,$B:$B,"&lt;&gt;Patrícia Karla de Sousa Araújo",$B:$B,"&lt;&gt;Lorena Dias de Araujo",$B:$B,"&lt;&gt;Lucas Luiz Romero")*(35/1083),IF(C217="Técnico II",SUMIFS($D:$D,$A:$A,$A217,$B:$B,"&lt;&gt;Patrícia Karla de Sousa Araújo",$B:$B,"&lt;&gt;Lorena Dias de Araujo",$B:$B,"&lt;&gt;Lucas Luiz Romero")*(28/1083),IF(C217="Técnico I",SUMIFS($D:$D,$A:$A,$A217,$B:$B,"&lt;&gt;Patrícia Karla de Sousa Araújo",$B:$B,"&lt;&gt;Lorena Dias de Araujo",$B:$B,"&lt;&gt;Lucas Luiz Romero")*(23/1083),IF(C217="JR",SUMIFS($D:$D,$A:$A,$A217,$B:$B,"&lt;&gt;Patrícia Karla de Sousa Araújo",$B:$B,"&lt;&gt;Lorena Dias de Araujo",$B:$B,"&lt;&gt;Lucas Luiz Romero")*(20/1083),IF(C217="Estágio",SUMIFS($D:$D,$A:$A,$A217,$B:$B,"&lt;&gt;Patrícia Karla de Sousa Araújo",$B:$B,"&lt;&gt;Lorena Dias de Araujo",$B:$B,"&lt;&gt;Lucas Luiz Romero")*(10/1083),0)))))),0)</f>
        <v/>
      </c>
      <c r="K217" s="3">
        <f>I217-J217</f>
        <v/>
      </c>
      <c r="L217" s="3">
        <f>IF(K217&lt;-5,"CRÍTICO",IF(K217&lt;0,"ATENÇÃO",IF(K217&lt;=5,"OPORTUNO","MUITO BOM")))</f>
        <v/>
      </c>
      <c r="N217" t="n">
        <v>98.15000000000001</v>
      </c>
      <c r="O217" t="n">
        <v>27.1551724137931</v>
      </c>
    </row>
    <row r="218" hidden="1">
      <c r="A218" s="11" t="n">
        <v>46140</v>
      </c>
      <c r="B218" t="inlineStr">
        <is>
          <t>Milena Sales</t>
        </is>
      </c>
      <c r="C218" t="inlineStr">
        <is>
          <t>JR</t>
        </is>
      </c>
      <c r="D218" t="n">
        <v>28</v>
      </c>
      <c r="E218" t="n">
        <v>18</v>
      </c>
      <c r="F218" t="n">
        <v>15.03</v>
      </c>
      <c r="G218" t="n">
        <v>0</v>
      </c>
      <c r="H218" t="n">
        <v>0</v>
      </c>
      <c r="I218" s="3">
        <f>E218+G218+H218</f>
        <v/>
      </c>
      <c r="J218" s="3">
        <f>ROUND(MIN(IF(C218="Técnico III",35,IF(C218="Técnico II",28,IF(C218="Técnico I",23,IF(C218="JR",20,IF(C218="Estágio",10,0))))),IF(C218="Técnico III",SUMIFS($D:$D,$A:$A,$A218,$B:$B,"&lt;&gt;Patrícia Karla de Sousa Araújo",$B:$B,"&lt;&gt;Lorena Dias de Araujo",$B:$B,"&lt;&gt;Lucas Luiz Romero")*(35/1083),IF(C218="Técnico II",SUMIFS($D:$D,$A:$A,$A218,$B:$B,"&lt;&gt;Patrícia Karla de Sousa Araújo",$B:$B,"&lt;&gt;Lorena Dias de Araujo",$B:$B,"&lt;&gt;Lucas Luiz Romero")*(28/1083),IF(C218="Técnico I",SUMIFS($D:$D,$A:$A,$A218,$B:$B,"&lt;&gt;Patrícia Karla de Sousa Araújo",$B:$B,"&lt;&gt;Lorena Dias de Araujo",$B:$B,"&lt;&gt;Lucas Luiz Romero")*(23/1083),IF(C218="JR",SUMIFS($D:$D,$A:$A,$A218,$B:$B,"&lt;&gt;Patrícia Karla de Sousa Araújo",$B:$B,"&lt;&gt;Lorena Dias de Araujo",$B:$B,"&lt;&gt;Lucas Luiz Romero")*(20/1083),IF(C218="Estágio",SUMIFS($D:$D,$A:$A,$A218,$B:$B,"&lt;&gt;Patrícia Karla de Sousa Araújo",$B:$B,"&lt;&gt;Lorena Dias de Araujo",$B:$B,"&lt;&gt;Lucas Luiz Romero")*(10/1083),0)))))),0)</f>
        <v/>
      </c>
      <c r="K218" s="3">
        <f>I218-J218</f>
        <v/>
      </c>
      <c r="L218" s="3">
        <f>IF(K218&lt;-5,"CRÍTICO",IF(K218&lt;0,"ATENÇÃO",IF(K218&lt;=5,"OPORTUNO","MUITO BOM")))</f>
        <v/>
      </c>
      <c r="N218" t="n">
        <v>96.15000000000001</v>
      </c>
      <c r="O218" t="n">
        <v>24.04580152671756</v>
      </c>
    </row>
    <row r="219" hidden="1">
      <c r="A219" s="11" t="n">
        <v>46140</v>
      </c>
      <c r="B219" t="inlineStr">
        <is>
          <t>Paulo Ricardo Santos</t>
        </is>
      </c>
      <c r="C219" t="inlineStr">
        <is>
          <t>JR</t>
        </is>
      </c>
      <c r="D219" t="n">
        <v>23</v>
      </c>
      <c r="E219" t="n">
        <v>22</v>
      </c>
      <c r="F219" t="n">
        <v>17.08</v>
      </c>
      <c r="G219" t="n">
        <v>0</v>
      </c>
      <c r="H219" t="n">
        <v>0</v>
      </c>
      <c r="I219" s="3">
        <f>E219+G219+H219</f>
        <v/>
      </c>
      <c r="J219" s="3">
        <f>ROUND(MIN(IF(C219="Técnico III",35,IF(C219="Técnico II",28,IF(C219="Técnico I",23,IF(C219="JR",20,IF(C219="Estágio",10,0))))),IF(C219="Técnico III",SUMIFS($D:$D,$A:$A,$A219,$B:$B,"&lt;&gt;Patrícia Karla de Sousa Araújo",$B:$B,"&lt;&gt;Lorena Dias de Araujo",$B:$B,"&lt;&gt;Lucas Luiz Romero")*(35/1083),IF(C219="Técnico II",SUMIFS($D:$D,$A:$A,$A219,$B:$B,"&lt;&gt;Patrícia Karla de Sousa Araújo",$B:$B,"&lt;&gt;Lorena Dias de Araujo",$B:$B,"&lt;&gt;Lucas Luiz Romero")*(28/1083),IF(C219="Técnico I",SUMIFS($D:$D,$A:$A,$A219,$B:$B,"&lt;&gt;Patrícia Karla de Sousa Araújo",$B:$B,"&lt;&gt;Lorena Dias de Araujo",$B:$B,"&lt;&gt;Lucas Luiz Romero")*(23/1083),IF(C219="JR",SUMIFS($D:$D,$A:$A,$A219,$B:$B,"&lt;&gt;Patrícia Karla de Sousa Araújo",$B:$B,"&lt;&gt;Lorena Dias de Araujo",$B:$B,"&lt;&gt;Lucas Luiz Romero")*(20/1083),IF(C219="Estágio",SUMIFS($D:$D,$A:$A,$A219,$B:$B,"&lt;&gt;Patrícia Karla de Sousa Araújo",$B:$B,"&lt;&gt;Lorena Dias de Araujo",$B:$B,"&lt;&gt;Lucas Luiz Romero")*(10/1083),0)))))),0)</f>
        <v/>
      </c>
      <c r="K219" s="3">
        <f>I219-J219</f>
        <v/>
      </c>
      <c r="L219" s="3">
        <f>IF(K219&lt;-5,"CRÍTICO",IF(K219&lt;0,"ATENÇÃO",IF(K219&lt;=5,"OPORTUNO","MUITO BOM")))</f>
        <v/>
      </c>
      <c r="N219" t="n">
        <v>98.84</v>
      </c>
      <c r="O219" t="n">
        <v>31.5018315018315</v>
      </c>
    </row>
    <row r="220" hidden="1">
      <c r="A220" s="11" t="n">
        <v>46140</v>
      </c>
      <c r="B220" t="inlineStr">
        <is>
          <t>Pedro Luiz Mota Sousa</t>
        </is>
      </c>
      <c r="C220" t="inlineStr">
        <is>
          <t>JR</t>
        </is>
      </c>
      <c r="D220" t="n">
        <v>19</v>
      </c>
      <c r="E220" t="n">
        <v>19</v>
      </c>
      <c r="F220" t="n">
        <v>17.21</v>
      </c>
      <c r="G220" t="n">
        <v>0</v>
      </c>
      <c r="H220" t="n">
        <v>0</v>
      </c>
      <c r="I220" s="3">
        <f>E220+G220+H220</f>
        <v/>
      </c>
      <c r="J220" s="3">
        <f>ROUND(MIN(IF(C220="Técnico III",35,IF(C220="Técnico II",28,IF(C220="Técnico I",23,IF(C220="JR",20,IF(C220="Estágio",10,0))))),IF(C220="Técnico III",SUMIFS($D:$D,$A:$A,$A220,$B:$B,"&lt;&gt;Patrícia Karla de Sousa Araújo",$B:$B,"&lt;&gt;Lorena Dias de Araujo",$B:$B,"&lt;&gt;Lucas Luiz Romero")*(35/1083),IF(C220="Técnico II",SUMIFS($D:$D,$A:$A,$A220,$B:$B,"&lt;&gt;Patrícia Karla de Sousa Araújo",$B:$B,"&lt;&gt;Lorena Dias de Araujo",$B:$B,"&lt;&gt;Lucas Luiz Romero")*(28/1083),IF(C220="Técnico I",SUMIFS($D:$D,$A:$A,$A220,$B:$B,"&lt;&gt;Patrícia Karla de Sousa Araújo",$B:$B,"&lt;&gt;Lorena Dias de Araujo",$B:$B,"&lt;&gt;Lucas Luiz Romero")*(23/1083),IF(C220="JR",SUMIFS($D:$D,$A:$A,$A220,$B:$B,"&lt;&gt;Patrícia Karla de Sousa Araújo",$B:$B,"&lt;&gt;Lorena Dias de Araujo",$B:$B,"&lt;&gt;Lucas Luiz Romero")*(20/1083),IF(C220="Estágio",SUMIFS($D:$D,$A:$A,$A220,$B:$B,"&lt;&gt;Patrícia Karla de Sousa Araújo",$B:$B,"&lt;&gt;Lorena Dias de Araujo",$B:$B,"&lt;&gt;Lucas Luiz Romero")*(10/1083),0)))))),0)</f>
        <v/>
      </c>
      <c r="K220" s="3">
        <f>I220-J220</f>
        <v/>
      </c>
      <c r="L220" s="3">
        <f>IF(K220&lt;-5,"CRÍTICO",IF(K220&lt;0,"ATENÇÃO",IF(K220&lt;=5,"OPORTUNO","MUITO BOM")))</f>
        <v/>
      </c>
      <c r="N220" t="n">
        <v>100</v>
      </c>
      <c r="O220" t="n">
        <v>34.66666666666667</v>
      </c>
    </row>
    <row r="221" hidden="1">
      <c r="A221" s="11" t="n">
        <v>46141</v>
      </c>
      <c r="B221" t="inlineStr">
        <is>
          <t>Karina Gonçalves Martins</t>
        </is>
      </c>
      <c r="C221" t="inlineStr">
        <is>
          <t>JR</t>
        </is>
      </c>
      <c r="D221" t="n">
        <v>24</v>
      </c>
      <c r="E221" t="n">
        <v>22</v>
      </c>
      <c r="F221" t="n">
        <v>19.14</v>
      </c>
      <c r="G221" t="n">
        <v>0</v>
      </c>
      <c r="H221" t="n">
        <v>0</v>
      </c>
      <c r="I221" s="3">
        <f>E221+G221+H221</f>
        <v/>
      </c>
      <c r="J221" s="3">
        <f>ROUND(MIN(IF(C221="Técnico III",35,IF(C221="Técnico II",28,IF(C221="Técnico I",23,IF(C221="JR",20,IF(C221="Estágio",10,0))))),IF(C221="Técnico III",SUMIFS($D:$D,$A:$A,$A221,$B:$B,"&lt;&gt;Patrícia Karla de Sousa Araújo",$B:$B,"&lt;&gt;Lorena Dias de Araujo",$B:$B,"&lt;&gt;Lucas Luiz Romero")*(35/1083),IF(C221="Técnico II",SUMIFS($D:$D,$A:$A,$A221,$B:$B,"&lt;&gt;Patrícia Karla de Sousa Araújo",$B:$B,"&lt;&gt;Lorena Dias de Araujo",$B:$B,"&lt;&gt;Lucas Luiz Romero")*(28/1083),IF(C221="Técnico I",SUMIFS($D:$D,$A:$A,$A221,$B:$B,"&lt;&gt;Patrícia Karla de Sousa Araújo",$B:$B,"&lt;&gt;Lorena Dias de Araujo",$B:$B,"&lt;&gt;Lucas Luiz Romero")*(23/1083),IF(C221="JR",SUMIFS($D:$D,$A:$A,$A221,$B:$B,"&lt;&gt;Patrícia Karla de Sousa Araújo",$B:$B,"&lt;&gt;Lorena Dias de Araujo",$B:$B,"&lt;&gt;Lucas Luiz Romero")*(20/1083),IF(C221="Estágio",SUMIFS($D:$D,$A:$A,$A221,$B:$B,"&lt;&gt;Patrícia Karla de Sousa Araújo",$B:$B,"&lt;&gt;Lorena Dias de Araujo",$B:$B,"&lt;&gt;Lucas Luiz Romero")*(10/1083),0)))))),0)</f>
        <v/>
      </c>
      <c r="K221" s="3">
        <f>I221-J221</f>
        <v/>
      </c>
      <c r="L221" s="3">
        <f>IF(K221&lt;-5,"CRÍTICO",IF(K221&lt;0,"ATENÇÃO",IF(K221&lt;=5,"OPORTUNO","MUITO BOM")))</f>
        <v/>
      </c>
      <c r="N221" t="n">
        <v>97.17</v>
      </c>
      <c r="O221" t="n">
        <v>28.81844380403458</v>
      </c>
    </row>
    <row r="222" hidden="1">
      <c r="A222" s="11" t="n">
        <v>46141</v>
      </c>
      <c r="B222" t="inlineStr">
        <is>
          <t>Leandro de Souza Silva</t>
        </is>
      </c>
      <c r="C222" t="inlineStr">
        <is>
          <t>JR</t>
        </is>
      </c>
      <c r="D222" t="n">
        <v>16</v>
      </c>
      <c r="E222" t="n">
        <v>14</v>
      </c>
      <c r="F222" t="n">
        <v>20.46</v>
      </c>
      <c r="G222" t="n">
        <v>0</v>
      </c>
      <c r="H222" t="n">
        <v>0</v>
      </c>
      <c r="I222" s="3">
        <f>E222+G222+H222</f>
        <v/>
      </c>
      <c r="J222" s="3">
        <f>ROUND(MIN(IF(C222="Técnico III",35,IF(C222="Técnico II",28,IF(C222="Técnico I",23,IF(C222="JR",20,IF(C222="Estágio",10,0))))),IF(C222="Técnico III",SUMIFS($D:$D,$A:$A,$A222,$B:$B,"&lt;&gt;Patrícia Karla de Sousa Araújo",$B:$B,"&lt;&gt;Lorena Dias de Araujo",$B:$B,"&lt;&gt;Lucas Luiz Romero")*(35/1083),IF(C222="Técnico II",SUMIFS($D:$D,$A:$A,$A222,$B:$B,"&lt;&gt;Patrícia Karla de Sousa Araújo",$B:$B,"&lt;&gt;Lorena Dias de Araujo",$B:$B,"&lt;&gt;Lucas Luiz Romero")*(28/1083),IF(C222="Técnico I",SUMIFS($D:$D,$A:$A,$A222,$B:$B,"&lt;&gt;Patrícia Karla de Sousa Araújo",$B:$B,"&lt;&gt;Lorena Dias de Araujo",$B:$B,"&lt;&gt;Lucas Luiz Romero")*(23/1083),IF(C222="JR",SUMIFS($D:$D,$A:$A,$A222,$B:$B,"&lt;&gt;Patrícia Karla de Sousa Araújo",$B:$B,"&lt;&gt;Lorena Dias de Araujo",$B:$B,"&lt;&gt;Lucas Luiz Romero")*(20/1083),IF(C222="Estágio",SUMIFS($D:$D,$A:$A,$A222,$B:$B,"&lt;&gt;Patrícia Karla de Sousa Araújo",$B:$B,"&lt;&gt;Lorena Dias de Araujo",$B:$B,"&lt;&gt;Lucas Luiz Romero")*(10/1083),0)))))),0)</f>
        <v/>
      </c>
      <c r="K222" s="3">
        <f>I222-J222</f>
        <v/>
      </c>
      <c r="L222" s="3">
        <f>IF(K222&lt;-5,"CRÍTICO",IF(K222&lt;0,"ATENÇÃO",IF(K222&lt;=5,"OPORTUNO","MUITO BOM")))</f>
        <v/>
      </c>
      <c r="N222" t="n">
        <v>98.15000000000001</v>
      </c>
      <c r="O222" t="n">
        <v>27.1551724137931</v>
      </c>
    </row>
    <row r="223" hidden="1">
      <c r="A223" s="11" t="n">
        <v>46141</v>
      </c>
      <c r="B223" t="inlineStr">
        <is>
          <t>Milena Sales</t>
        </is>
      </c>
      <c r="C223" t="inlineStr">
        <is>
          <t>JR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s="3" t="n">
        <v>0</v>
      </c>
      <c r="J223" s="3" t="n">
        <v>0</v>
      </c>
      <c r="K223" s="3" t="n">
        <v>0</v>
      </c>
      <c r="L223" s="3">
        <f>IF(K223&lt;-5,"CRÍTICO",IF(K223&lt;0,"ATENÇÃO",IF(K223&lt;=5,"OPORTUNO","MUITO BOM")))</f>
        <v/>
      </c>
      <c r="N223" t="n">
        <v>96.15000000000001</v>
      </c>
      <c r="O223" t="n">
        <v>24.04580152671756</v>
      </c>
    </row>
    <row r="224" hidden="1">
      <c r="A224" s="11" t="n">
        <v>46141</v>
      </c>
      <c r="B224" t="inlineStr">
        <is>
          <t>Paulo Ricardo Santos</t>
        </is>
      </c>
      <c r="C224" t="inlineStr">
        <is>
          <t>JR</t>
        </is>
      </c>
      <c r="D224" t="n">
        <v>23</v>
      </c>
      <c r="E224" t="n">
        <v>22</v>
      </c>
      <c r="F224" t="n">
        <v>17.07</v>
      </c>
      <c r="G224" t="n">
        <v>0</v>
      </c>
      <c r="H224" t="n">
        <v>0</v>
      </c>
      <c r="I224" s="3">
        <f>E224+G224+H224</f>
        <v/>
      </c>
      <c r="J224" s="3">
        <f>ROUND(MIN(IF(C224="Técnico III",35,IF(C224="Técnico II",28,IF(C224="Técnico I",23,IF(C224="JR",20,IF(C224="Estágio",10,0))))),IF(C224="Técnico III",SUMIFS($D:$D,$A:$A,$A224,$B:$B,"&lt;&gt;Patrícia Karla de Sousa Araújo",$B:$B,"&lt;&gt;Lorena Dias de Araujo",$B:$B,"&lt;&gt;Lucas Luiz Romero")*(35/1083),IF(C224="Técnico II",SUMIFS($D:$D,$A:$A,$A224,$B:$B,"&lt;&gt;Patrícia Karla de Sousa Araújo",$B:$B,"&lt;&gt;Lorena Dias de Araujo",$B:$B,"&lt;&gt;Lucas Luiz Romero")*(28/1083),IF(C224="Técnico I",SUMIFS($D:$D,$A:$A,$A224,$B:$B,"&lt;&gt;Patrícia Karla de Sousa Araújo",$B:$B,"&lt;&gt;Lorena Dias de Araujo",$B:$B,"&lt;&gt;Lucas Luiz Romero")*(23/1083),IF(C224="JR",SUMIFS($D:$D,$A:$A,$A224,$B:$B,"&lt;&gt;Patrícia Karla de Sousa Araújo",$B:$B,"&lt;&gt;Lorena Dias de Araujo",$B:$B,"&lt;&gt;Lucas Luiz Romero")*(20/1083),IF(C224="Estágio",SUMIFS($D:$D,$A:$A,$A224,$B:$B,"&lt;&gt;Patrícia Karla de Sousa Araújo",$B:$B,"&lt;&gt;Lorena Dias de Araujo",$B:$B,"&lt;&gt;Lucas Luiz Romero")*(10/1083),0)))))),0)</f>
        <v/>
      </c>
      <c r="K224" s="3">
        <f>I224-J224</f>
        <v/>
      </c>
      <c r="L224" s="3">
        <f>IF(K224&lt;-5,"CRÍTICO",IF(K224&lt;0,"ATENÇÃO",IF(K224&lt;=5,"OPORTUNO","MUITO BOM")))</f>
        <v/>
      </c>
      <c r="N224" t="n">
        <v>98.84</v>
      </c>
      <c r="O224" t="n">
        <v>31.5018315018315</v>
      </c>
    </row>
    <row r="225" hidden="1">
      <c r="A225" s="11" t="n">
        <v>46141</v>
      </c>
      <c r="B225" t="inlineStr">
        <is>
          <t>Pedro Luiz Mota Sousa</t>
        </is>
      </c>
      <c r="C225" t="inlineStr">
        <is>
          <t>JR</t>
        </is>
      </c>
      <c r="D225" t="n">
        <v>24</v>
      </c>
      <c r="E225" t="n">
        <v>23</v>
      </c>
      <c r="F225" t="n">
        <v>17.3</v>
      </c>
      <c r="G225" t="n">
        <v>0</v>
      </c>
      <c r="H225" t="n">
        <v>0</v>
      </c>
      <c r="I225" s="3">
        <f>E225+G225+H225</f>
        <v/>
      </c>
      <c r="J225" s="3">
        <f>ROUND(MIN(IF(C225="Técnico III",35,IF(C225="Técnico II",28,IF(C225="Técnico I",23,IF(C225="JR",20,IF(C225="Estágio",10,0))))),IF(C225="Técnico III",SUMIFS($D:$D,$A:$A,$A225,$B:$B,"&lt;&gt;Patrícia Karla de Sousa Araújo",$B:$B,"&lt;&gt;Lorena Dias de Araujo",$B:$B,"&lt;&gt;Lucas Luiz Romero")*(35/1083),IF(C225="Técnico II",SUMIFS($D:$D,$A:$A,$A225,$B:$B,"&lt;&gt;Patrícia Karla de Sousa Araújo",$B:$B,"&lt;&gt;Lorena Dias de Araujo",$B:$B,"&lt;&gt;Lucas Luiz Romero")*(28/1083),IF(C225="Técnico I",SUMIFS($D:$D,$A:$A,$A225,$B:$B,"&lt;&gt;Patrícia Karla de Sousa Araújo",$B:$B,"&lt;&gt;Lorena Dias de Araujo",$B:$B,"&lt;&gt;Lucas Luiz Romero")*(23/1083),IF(C225="JR",SUMIFS($D:$D,$A:$A,$A225,$B:$B,"&lt;&gt;Patrícia Karla de Sousa Araújo",$B:$B,"&lt;&gt;Lorena Dias de Araujo",$B:$B,"&lt;&gt;Lucas Luiz Romero")*(20/1083),IF(C225="Estágio",SUMIFS($D:$D,$A:$A,$A225,$B:$B,"&lt;&gt;Patrícia Karla de Sousa Araújo",$B:$B,"&lt;&gt;Lorena Dias de Araujo",$B:$B,"&lt;&gt;Lucas Luiz Romero")*(10/1083),0)))))),0)</f>
        <v/>
      </c>
      <c r="K225" s="3">
        <f>I225-J225</f>
        <v/>
      </c>
      <c r="L225" s="3">
        <f>IF(K225&lt;-5,"CRÍTICO",IF(K225&lt;0,"ATENÇÃO",IF(K225&lt;=5,"OPORTUNO","MUITO BOM")))</f>
        <v/>
      </c>
      <c r="N225" t="n">
        <v>100</v>
      </c>
      <c r="O225" t="n">
        <v>34.66666666666667</v>
      </c>
    </row>
    <row r="226" hidden="1">
      <c r="A226" s="11" t="n">
        <v>46142</v>
      </c>
      <c r="B226" t="inlineStr">
        <is>
          <t>Karina Gonçalves Martins</t>
        </is>
      </c>
      <c r="C226" t="inlineStr">
        <is>
          <t>JR</t>
        </is>
      </c>
      <c r="D226" t="n">
        <v>19</v>
      </c>
      <c r="E226" t="n">
        <v>17</v>
      </c>
      <c r="F226" t="n">
        <v>19.12</v>
      </c>
      <c r="G226" t="n">
        <v>0</v>
      </c>
      <c r="H226" t="n">
        <v>0</v>
      </c>
      <c r="I226" s="3">
        <f>E226+G226+H226</f>
        <v/>
      </c>
      <c r="J226" s="3">
        <f>ROUND(MIN(IF(C226="Técnico III",35,IF(C226="Técnico II",28,IF(C226="Técnico I",23,IF(C226="JR",20,IF(C226="Estágio",10,0))))),IF(C226="Técnico III",SUMIFS($D:$D,$A:$A,$A226,$B:$B,"&lt;&gt;Patrícia Karla de Sousa Araújo",$B:$B,"&lt;&gt;Lorena Dias de Araujo",$B:$B,"&lt;&gt;Lucas Luiz Romero")*(35/1083),IF(C226="Técnico II",SUMIFS($D:$D,$A:$A,$A226,$B:$B,"&lt;&gt;Patrícia Karla de Sousa Araújo",$B:$B,"&lt;&gt;Lorena Dias de Araujo",$B:$B,"&lt;&gt;Lucas Luiz Romero")*(28/1083),IF(C226="Técnico I",SUMIFS($D:$D,$A:$A,$A226,$B:$B,"&lt;&gt;Patrícia Karla de Sousa Araújo",$B:$B,"&lt;&gt;Lorena Dias de Araujo",$B:$B,"&lt;&gt;Lucas Luiz Romero")*(23/1083),IF(C226="JR",SUMIFS($D:$D,$A:$A,$A226,$B:$B,"&lt;&gt;Patrícia Karla de Sousa Araújo",$B:$B,"&lt;&gt;Lorena Dias de Araujo",$B:$B,"&lt;&gt;Lucas Luiz Romero")*(20/1083),IF(C226="Estágio",SUMIFS($D:$D,$A:$A,$A226,$B:$B,"&lt;&gt;Patrícia Karla de Sousa Araújo",$B:$B,"&lt;&gt;Lorena Dias de Araujo",$B:$B,"&lt;&gt;Lucas Luiz Romero")*(10/1083),0)))))),0)</f>
        <v/>
      </c>
      <c r="K226" s="3">
        <f>I226-J226</f>
        <v/>
      </c>
      <c r="L226" s="3">
        <f>IF(K226&lt;-5,"CRÍTICO",IF(K226&lt;0,"ATENÇÃO",IF(K226&lt;=5,"OPORTUNO","MUITO BOM")))</f>
        <v/>
      </c>
      <c r="N226" t="n">
        <v>97.17</v>
      </c>
      <c r="O226" t="n">
        <v>28.81844380403458</v>
      </c>
    </row>
    <row r="227" hidden="1">
      <c r="A227" s="11" t="n">
        <v>46142</v>
      </c>
      <c r="B227" t="inlineStr">
        <is>
          <t>Leandro de Souza Silva</t>
        </is>
      </c>
      <c r="C227" t="inlineStr">
        <is>
          <t>JR</t>
        </is>
      </c>
      <c r="D227" t="n">
        <v>22</v>
      </c>
      <c r="E227" t="n">
        <v>21</v>
      </c>
      <c r="F227" t="n">
        <v>17.26</v>
      </c>
      <c r="G227" t="n">
        <v>0</v>
      </c>
      <c r="H227" t="n">
        <v>0</v>
      </c>
      <c r="I227" s="3">
        <f>E227+G227+H227</f>
        <v/>
      </c>
      <c r="J227" s="3">
        <f>ROUND(MIN(IF(C227="Técnico III",35,IF(C227="Técnico II",28,IF(C227="Técnico I",23,IF(C227="JR",20,IF(C227="Estágio",10,0))))),IF(C227="Técnico III",SUMIFS($D:$D,$A:$A,$A227,$B:$B,"&lt;&gt;Patrícia Karla de Sousa Araújo",$B:$B,"&lt;&gt;Lorena Dias de Araujo",$B:$B,"&lt;&gt;Lucas Luiz Romero")*(35/1083),IF(C227="Técnico II",SUMIFS($D:$D,$A:$A,$A227,$B:$B,"&lt;&gt;Patrícia Karla de Sousa Araújo",$B:$B,"&lt;&gt;Lorena Dias de Araujo",$B:$B,"&lt;&gt;Lucas Luiz Romero")*(28/1083),IF(C227="Técnico I",SUMIFS($D:$D,$A:$A,$A227,$B:$B,"&lt;&gt;Patrícia Karla de Sousa Araújo",$B:$B,"&lt;&gt;Lorena Dias de Araujo",$B:$B,"&lt;&gt;Lucas Luiz Romero")*(23/1083),IF(C227="JR",SUMIFS($D:$D,$A:$A,$A227,$B:$B,"&lt;&gt;Patrícia Karla de Sousa Araújo",$B:$B,"&lt;&gt;Lorena Dias de Araujo",$B:$B,"&lt;&gt;Lucas Luiz Romero")*(20/1083),IF(C227="Estágio",SUMIFS($D:$D,$A:$A,$A227,$B:$B,"&lt;&gt;Patrícia Karla de Sousa Araújo",$B:$B,"&lt;&gt;Lorena Dias de Araujo",$B:$B,"&lt;&gt;Lucas Luiz Romero")*(10/1083),0)))))),0)</f>
        <v/>
      </c>
      <c r="K227" s="3">
        <f>I227-J227</f>
        <v/>
      </c>
      <c r="L227" s="3">
        <f>IF(K227&lt;-5,"CRÍTICO",IF(K227&lt;0,"ATENÇÃO",IF(K227&lt;=5,"OPORTUNO","MUITO BOM")))</f>
        <v/>
      </c>
      <c r="N227" t="n">
        <v>98.15000000000001</v>
      </c>
      <c r="O227" t="n">
        <v>27.1551724137931</v>
      </c>
    </row>
    <row r="228" hidden="1">
      <c r="A228" s="11" t="n">
        <v>46142</v>
      </c>
      <c r="B228" t="inlineStr">
        <is>
          <t>Milena Sales</t>
        </is>
      </c>
      <c r="C228" t="inlineStr">
        <is>
          <t>JR</t>
        </is>
      </c>
      <c r="D228" t="n">
        <v>36</v>
      </c>
      <c r="E228" t="n">
        <v>20</v>
      </c>
      <c r="F228" t="n">
        <v>9.19</v>
      </c>
      <c r="G228" t="n">
        <v>0</v>
      </c>
      <c r="H228" t="n">
        <v>0</v>
      </c>
      <c r="I228" s="3">
        <f>E228+G228+H228</f>
        <v/>
      </c>
      <c r="J228" s="3">
        <f>ROUND(MIN(IF(C228="Técnico III",35,IF(C228="Técnico II",28,IF(C228="Técnico I",23,IF(C228="JR",20,IF(C228="Estágio",10,0))))),IF(C228="Técnico III",SUMIFS($D:$D,$A:$A,$A228,$B:$B,"&lt;&gt;Patrícia Karla de Sousa Araújo",$B:$B,"&lt;&gt;Lorena Dias de Araujo",$B:$B,"&lt;&gt;Lucas Luiz Romero")*(35/1083),IF(C228="Técnico II",SUMIFS($D:$D,$A:$A,$A228,$B:$B,"&lt;&gt;Patrícia Karla de Sousa Araújo",$B:$B,"&lt;&gt;Lorena Dias de Araujo",$B:$B,"&lt;&gt;Lucas Luiz Romero")*(28/1083),IF(C228="Técnico I",SUMIFS($D:$D,$A:$A,$A228,$B:$B,"&lt;&gt;Patrícia Karla de Sousa Araújo",$B:$B,"&lt;&gt;Lorena Dias de Araujo",$B:$B,"&lt;&gt;Lucas Luiz Romero")*(23/1083),IF(C228="JR",SUMIFS($D:$D,$A:$A,$A228,$B:$B,"&lt;&gt;Patrícia Karla de Sousa Araújo",$B:$B,"&lt;&gt;Lorena Dias de Araujo",$B:$B,"&lt;&gt;Lucas Luiz Romero")*(20/1083),IF(C228="Estágio",SUMIFS($D:$D,$A:$A,$A228,$B:$B,"&lt;&gt;Patrícia Karla de Sousa Araújo",$B:$B,"&lt;&gt;Lorena Dias de Araujo",$B:$B,"&lt;&gt;Lucas Luiz Romero")*(10/1083),0)))))),0)</f>
        <v/>
      </c>
      <c r="K228" s="3">
        <f>I228-J228</f>
        <v/>
      </c>
      <c r="L228" s="3">
        <f>IF(K228&lt;-5,"CRÍTICO",IF(K228&lt;0,"ATENÇÃO",IF(K228&lt;=5,"OPORTUNO","MUITO BOM")))</f>
        <v/>
      </c>
      <c r="N228" t="n">
        <v>96.15000000000001</v>
      </c>
      <c r="O228" t="n">
        <v>24.04580152671756</v>
      </c>
    </row>
    <row r="229" hidden="1">
      <c r="A229" s="11" t="n">
        <v>46142</v>
      </c>
      <c r="B229" t="inlineStr">
        <is>
          <t>Paulo Ricardo Santos</t>
        </is>
      </c>
      <c r="C229" t="inlineStr">
        <is>
          <t>JR</t>
        </is>
      </c>
      <c r="D229" t="n">
        <v>19</v>
      </c>
      <c r="E229" t="n">
        <v>19</v>
      </c>
      <c r="F229" t="n">
        <v>20.08</v>
      </c>
      <c r="G229" t="n">
        <v>0</v>
      </c>
      <c r="H229" t="n">
        <v>0</v>
      </c>
      <c r="I229" s="3">
        <f>E229+G229+H229</f>
        <v/>
      </c>
      <c r="J229" s="3">
        <f>ROUND(MIN(IF(C229="Técnico III",35,IF(C229="Técnico II",28,IF(C229="Técnico I",23,IF(C229="JR",20,IF(C229="Estágio",10,0))))),IF(C229="Técnico III",SUMIFS($D:$D,$A:$A,$A229,$B:$B,"&lt;&gt;Patrícia Karla de Sousa Araújo",$B:$B,"&lt;&gt;Lorena Dias de Araujo",$B:$B,"&lt;&gt;Lucas Luiz Romero")*(35/1083),IF(C229="Técnico II",SUMIFS($D:$D,$A:$A,$A229,$B:$B,"&lt;&gt;Patrícia Karla de Sousa Araújo",$B:$B,"&lt;&gt;Lorena Dias de Araujo",$B:$B,"&lt;&gt;Lucas Luiz Romero")*(28/1083),IF(C229="Técnico I",SUMIFS($D:$D,$A:$A,$A229,$B:$B,"&lt;&gt;Patrícia Karla de Sousa Araújo",$B:$B,"&lt;&gt;Lorena Dias de Araujo",$B:$B,"&lt;&gt;Lucas Luiz Romero")*(23/1083),IF(C229="JR",SUMIFS($D:$D,$A:$A,$A229,$B:$B,"&lt;&gt;Patrícia Karla de Sousa Araújo",$B:$B,"&lt;&gt;Lorena Dias de Araujo",$B:$B,"&lt;&gt;Lucas Luiz Romero")*(20/1083),IF(C229="Estágio",SUMIFS($D:$D,$A:$A,$A229,$B:$B,"&lt;&gt;Patrícia Karla de Sousa Araújo",$B:$B,"&lt;&gt;Lorena Dias de Araujo",$B:$B,"&lt;&gt;Lucas Luiz Romero")*(10/1083),0)))))),0)</f>
        <v/>
      </c>
      <c r="K229" s="3">
        <f>I229-J229</f>
        <v/>
      </c>
      <c r="L229" s="3">
        <f>IF(K229&lt;-5,"CRÍTICO",IF(K229&lt;0,"ATENÇÃO",IF(K229&lt;=5,"OPORTUNO","MUITO BOM")))</f>
        <v/>
      </c>
      <c r="N229" t="n">
        <v>98.84</v>
      </c>
      <c r="O229" t="n">
        <v>31.5018315018315</v>
      </c>
    </row>
    <row r="230" hidden="1">
      <c r="A230" s="11" t="n">
        <v>46142</v>
      </c>
      <c r="B230" t="inlineStr">
        <is>
          <t>Pedro Luiz Mota Sousa</t>
        </is>
      </c>
      <c r="C230" t="inlineStr">
        <is>
          <t>JR</t>
        </is>
      </c>
      <c r="D230" t="n">
        <v>15</v>
      </c>
      <c r="E230" t="n">
        <v>13</v>
      </c>
      <c r="F230" t="n">
        <v>13.59</v>
      </c>
      <c r="G230" t="n">
        <v>0</v>
      </c>
      <c r="H230" t="n">
        <v>0</v>
      </c>
      <c r="I230" s="3">
        <f>E230+G230+H230</f>
        <v/>
      </c>
      <c r="J230" s="3">
        <f>ROUND(MIN(IF(C230="Técnico III",35,IF(C230="Técnico II",28,IF(C230="Técnico I",23,IF(C230="JR",20,IF(C230="Estágio",10,0))))),IF(C230="Técnico III",SUMIFS($D:$D,$A:$A,$A230,$B:$B,"&lt;&gt;Patrícia Karla de Sousa Araújo",$B:$B,"&lt;&gt;Lorena Dias de Araujo",$B:$B,"&lt;&gt;Lucas Luiz Romero")*(35/1083),IF(C230="Técnico II",SUMIFS($D:$D,$A:$A,$A230,$B:$B,"&lt;&gt;Patrícia Karla de Sousa Araújo",$B:$B,"&lt;&gt;Lorena Dias de Araujo",$B:$B,"&lt;&gt;Lucas Luiz Romero")*(28/1083),IF(C230="Técnico I",SUMIFS($D:$D,$A:$A,$A230,$B:$B,"&lt;&gt;Patrícia Karla de Sousa Araújo",$B:$B,"&lt;&gt;Lorena Dias de Araujo",$B:$B,"&lt;&gt;Lucas Luiz Romero")*(23/1083),IF(C230="JR",SUMIFS($D:$D,$A:$A,$A230,$B:$B,"&lt;&gt;Patrícia Karla de Sousa Araújo",$B:$B,"&lt;&gt;Lorena Dias de Araujo",$B:$B,"&lt;&gt;Lucas Luiz Romero")*(20/1083),IF(C230="Estágio",SUMIFS($D:$D,$A:$A,$A230,$B:$B,"&lt;&gt;Patrícia Karla de Sousa Araújo",$B:$B,"&lt;&gt;Lorena Dias de Araujo",$B:$B,"&lt;&gt;Lucas Luiz Romero")*(10/1083),0)))))),0)</f>
        <v/>
      </c>
      <c r="K230" s="3">
        <f>I230-J230</f>
        <v/>
      </c>
      <c r="L230" s="3">
        <f>IF(K230&lt;-5,"CRÍTICO",IF(K230&lt;0,"ATENÇÃO",IF(K230&lt;=5,"OPORTUNO","MUITO BOM")))</f>
        <v/>
      </c>
      <c r="N230" t="n">
        <v>100</v>
      </c>
      <c r="O230" t="n">
        <v>34.66666666666667</v>
      </c>
    </row>
    <row r="231" hidden="1">
      <c r="A231" s="11" t="n">
        <v>46168</v>
      </c>
      <c r="B231" t="inlineStr">
        <is>
          <t>Anna Luiza Rezende Tavares</t>
        </is>
      </c>
      <c r="C231" t="inlineStr">
        <is>
          <t>JR</t>
        </is>
      </c>
      <c r="D231" t="n">
        <v>27</v>
      </c>
      <c r="E231" t="n">
        <v>27</v>
      </c>
      <c r="F231" t="n">
        <v>19.04</v>
      </c>
      <c r="G231" t="n">
        <v>0</v>
      </c>
    </row>
    <row r="232" hidden="1">
      <c r="A232" s="11" t="n">
        <v>46168</v>
      </c>
      <c r="B232" t="inlineStr">
        <is>
          <t>Karina Gonçalves Martins</t>
        </is>
      </c>
      <c r="C232" t="inlineStr">
        <is>
          <t>JR</t>
        </is>
      </c>
      <c r="D232" t="n">
        <v>13</v>
      </c>
      <c r="E232" t="n">
        <v>12</v>
      </c>
      <c r="F232" t="n">
        <v>14.16</v>
      </c>
      <c r="G232" t="n">
        <v>2</v>
      </c>
    </row>
    <row r="233" hidden="1">
      <c r="A233" s="11" t="n">
        <v>46168</v>
      </c>
      <c r="B233" t="inlineStr">
        <is>
          <t>Leandro de Souza Silva</t>
        </is>
      </c>
      <c r="C233" t="inlineStr">
        <is>
          <t>JR</t>
        </is>
      </c>
      <c r="D233" t="n">
        <v>14</v>
      </c>
      <c r="E233" t="n">
        <v>13</v>
      </c>
      <c r="F233" t="n">
        <v>26.51</v>
      </c>
      <c r="G233" t="n">
        <v>3</v>
      </c>
    </row>
    <row r="234" hidden="1">
      <c r="A234" s="11" t="n">
        <v>46168</v>
      </c>
      <c r="B234" t="inlineStr">
        <is>
          <t>Milena Sales</t>
        </is>
      </c>
      <c r="C234" t="inlineStr">
        <is>
          <t>JR</t>
        </is>
      </c>
      <c r="D234" t="n">
        <v>33</v>
      </c>
      <c r="E234" t="n">
        <v>23</v>
      </c>
      <c r="F234" t="n">
        <v>11.5</v>
      </c>
      <c r="G234" t="n">
        <v>5</v>
      </c>
    </row>
    <row r="235" hidden="1">
      <c r="A235" s="11" t="n">
        <v>46168</v>
      </c>
      <c r="B235" t="inlineStr">
        <is>
          <t>Paulo Ricardo Santos</t>
        </is>
      </c>
      <c r="C235" t="inlineStr">
        <is>
          <t>JR</t>
        </is>
      </c>
      <c r="D235" t="n">
        <v>17</v>
      </c>
      <c r="E235" t="n">
        <v>16</v>
      </c>
      <c r="F235" t="n">
        <v>20.35</v>
      </c>
      <c r="G235" t="n">
        <v>3</v>
      </c>
    </row>
    <row r="236" hidden="1">
      <c r="A236" s="11" t="n">
        <v>46168</v>
      </c>
      <c r="B236" t="inlineStr">
        <is>
          <t>Pedro Luiz Mota Sousa</t>
        </is>
      </c>
      <c r="C236" t="inlineStr">
        <is>
          <t>JR</t>
        </is>
      </c>
      <c r="D236" t="n">
        <v>17</v>
      </c>
      <c r="E236" t="n">
        <v>16</v>
      </c>
      <c r="F236" t="n">
        <v>15.28</v>
      </c>
      <c r="G236" t="n">
        <v>2</v>
      </c>
    </row>
    <row r="237">
      <c r="A237" s="11" t="n">
        <v>46140</v>
      </c>
      <c r="B237" t="inlineStr">
        <is>
          <t>Amanda Moura Ferreira</t>
        </is>
      </c>
      <c r="C237" t="inlineStr">
        <is>
          <t>Técnico III</t>
        </is>
      </c>
      <c r="D237" s="9" t="n">
        <v>0</v>
      </c>
      <c r="E237" s="9" t="n">
        <v>0</v>
      </c>
      <c r="F237" s="9" t="n">
        <v>0</v>
      </c>
      <c r="G237" s="9" t="n">
        <v>0</v>
      </c>
      <c r="H237" s="9" t="n">
        <v>0</v>
      </c>
      <c r="I237" s="3" t="n">
        <v>0</v>
      </c>
      <c r="J237" s="3" t="n">
        <v>0</v>
      </c>
      <c r="K237" s="3" t="n">
        <v>0</v>
      </c>
      <c r="L237" s="3">
        <f>IF(K237&lt;-5,"CRÍTICO",IF(K237&lt;0,"ATENÇÃO",IF(K237&lt;=5,"OPORTUNO","MUITO BOM")))</f>
        <v/>
      </c>
      <c r="N237" s="9" t="n">
        <v>98.66</v>
      </c>
      <c r="O237" s="9" t="n">
        <v>35.15625</v>
      </c>
    </row>
    <row r="238">
      <c r="A238" s="11" t="n">
        <v>46141</v>
      </c>
      <c r="B238" t="inlineStr">
        <is>
          <t>Amanda Moura Ferreira</t>
        </is>
      </c>
      <c r="C238" t="inlineStr">
        <is>
          <t>Técnico III</t>
        </is>
      </c>
      <c r="D238" s="9" t="n">
        <v>0</v>
      </c>
      <c r="E238" s="9" t="n">
        <v>0</v>
      </c>
      <c r="F238" s="9" t="n">
        <v>0</v>
      </c>
      <c r="G238" s="9" t="n">
        <v>0</v>
      </c>
      <c r="H238" s="9" t="n">
        <v>0</v>
      </c>
      <c r="I238" s="3" t="n">
        <v>0</v>
      </c>
      <c r="J238" s="3" t="n">
        <v>0</v>
      </c>
      <c r="K238" s="3" t="n">
        <v>0</v>
      </c>
      <c r="L238" s="3">
        <f>IF(K238&lt;-5,"CRÍTICO",IF(K238&lt;0,"ATENÇÃO",IF(K238&lt;=5,"OPORTUNO","MUITO BOM")))</f>
        <v/>
      </c>
      <c r="N238" s="9" t="n">
        <v>98.66</v>
      </c>
      <c r="O238" s="9" t="n">
        <v>35.15625</v>
      </c>
    </row>
    <row r="239">
      <c r="A239" s="11" t="n">
        <v>46142</v>
      </c>
      <c r="B239" t="inlineStr">
        <is>
          <t>Amanda Moura Ferreira</t>
        </is>
      </c>
      <c r="C239" t="inlineStr">
        <is>
          <t>Técnico III</t>
        </is>
      </c>
      <c r="D239" s="9" t="n">
        <v>0</v>
      </c>
      <c r="E239" s="9" t="n">
        <v>0</v>
      </c>
      <c r="F239" s="9" t="n">
        <v>0</v>
      </c>
      <c r="G239" s="9" t="n">
        <v>0</v>
      </c>
      <c r="H239" s="9" t="n">
        <v>0</v>
      </c>
      <c r="I239" s="3" t="n">
        <v>0</v>
      </c>
      <c r="J239" s="3" t="n">
        <v>0</v>
      </c>
      <c r="K239" s="3" t="n">
        <v>0</v>
      </c>
      <c r="L239" s="3">
        <f>IF(K239&lt;-5,"CRÍTICO",IF(K239&lt;0,"ATENÇÃO",IF(K239&lt;=5,"OPORTUNO","MUITO BOM")))</f>
        <v/>
      </c>
      <c r="N239" s="9" t="n">
        <v>98.66</v>
      </c>
      <c r="O239" s="9" t="n">
        <v>35.15625</v>
      </c>
    </row>
    <row r="240">
      <c r="A240" s="5" t="n">
        <v>46146</v>
      </c>
      <c r="B240" s="6" t="inlineStr">
        <is>
          <t>Amanda Moura Ferreira</t>
        </is>
      </c>
      <c r="C240" s="3" t="inlineStr">
        <is>
          <t>Técnico III</t>
        </is>
      </c>
      <c r="D240" s="3" t="n">
        <v>0</v>
      </c>
      <c r="E240" s="3" t="n">
        <v>0</v>
      </c>
      <c r="F240" s="3" t="n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>
        <f>IF(K240&lt;-5,"CRÍTICO",IF(K240&lt;0,"ATENÇÃO",IF(K240&lt;=5,"BOM","EXCELENTE")))</f>
        <v/>
      </c>
      <c r="M240" s="9" t="n">
        <v>0</v>
      </c>
      <c r="N240" s="9" t="n">
        <v>100</v>
      </c>
      <c r="O240" s="9" t="n">
        <v>0</v>
      </c>
    </row>
    <row r="241">
      <c r="A241" s="5" t="n">
        <v>46147</v>
      </c>
      <c r="B241" s="6" t="inlineStr">
        <is>
          <t>Amanda Moura Ferreira</t>
        </is>
      </c>
      <c r="C241" s="3" t="inlineStr">
        <is>
          <t>Técnico III</t>
        </is>
      </c>
      <c r="D241" s="3" t="n">
        <v>0</v>
      </c>
      <c r="E241" s="3" t="n">
        <v>0</v>
      </c>
      <c r="F241" s="3" t="n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>
        <f>IF(K241&lt;-5,"CRÍTICO",IF(K241&lt;0,"ATENÇÃO",IF(K241&lt;=5,"BOM","EXCELENTE")))</f>
        <v/>
      </c>
      <c r="M241" s="9" t="n">
        <v>0</v>
      </c>
      <c r="N241" s="9" t="n">
        <v>100</v>
      </c>
      <c r="O241" s="9" t="n">
        <v>0</v>
      </c>
    </row>
    <row r="242">
      <c r="A242" s="5" t="n">
        <v>46148</v>
      </c>
      <c r="B242" s="6" t="inlineStr">
        <is>
          <t>Amanda Moura Ferreira</t>
        </is>
      </c>
      <c r="C242" s="3" t="inlineStr">
        <is>
          <t>Técnico III</t>
        </is>
      </c>
      <c r="D242" s="3" t="n">
        <v>0</v>
      </c>
      <c r="E242" s="3" t="n">
        <v>0</v>
      </c>
      <c r="F242" s="3" t="n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>
        <f>IF(K242&lt;-5,"CRÍTICO",IF(K242&lt;0,"ATENÇÃO",IF(K242&lt;=5,"BOM","EXCELENTE")))</f>
        <v/>
      </c>
      <c r="M242" s="9" t="n">
        <v>0</v>
      </c>
      <c r="N242" s="9" t="n">
        <v>100</v>
      </c>
      <c r="O242" s="9" t="n">
        <v>0</v>
      </c>
    </row>
    <row r="243" hidden="1">
      <c r="A243" s="11" t="n">
        <v>46034</v>
      </c>
      <c r="B243" t="inlineStr">
        <is>
          <t>Gabriel Gomes de Andrade</t>
        </is>
      </c>
      <c r="C243" t="inlineStr">
        <is>
          <t>Técnico I</t>
        </is>
      </c>
      <c r="D243" t="n">
        <v>22</v>
      </c>
      <c r="E243" t="n">
        <v>22</v>
      </c>
      <c r="F243" t="n">
        <v>20.39</v>
      </c>
      <c r="G243" t="n">
        <v>0</v>
      </c>
      <c r="H243" t="n">
        <v>0</v>
      </c>
      <c r="I243" s="3">
        <f>E243+G243+H243</f>
        <v/>
      </c>
      <c r="J243" s="3">
        <f>ROUND(MIN(IF(C243="Técnico III",35,IF(C243="Técnico II",28,IF(C243="Técnico I",23,IF(C243="JR",20,IF(C243="Estágio",10,0))))),IF(C243="Técnico III",SUMIFS($D:$D,$A:$A,$A243,$B:$B,"&lt;&gt;Patrícia Karla de Sousa Araújo",$B:$B,"&lt;&gt;Lorena Dias de Araujo",$B:$B,"&lt;&gt;Lucas Luiz Romero")*(35/1083),IF(C243="Técnico II",SUMIFS($D:$D,$A:$A,$A243,$B:$B,"&lt;&gt;Patrícia Karla de Sousa Araújo",$B:$B,"&lt;&gt;Lorena Dias de Araujo",$B:$B,"&lt;&gt;Lucas Luiz Romero")*(28/1083),IF(C243="Técnico I",SUMIFS($D:$D,$A:$A,$A243,$B:$B,"&lt;&gt;Patrícia Karla de Sousa Araújo",$B:$B,"&lt;&gt;Lorena Dias de Araujo",$B:$B,"&lt;&gt;Lucas Luiz Romero")*(23/1083),IF(C243="JR",SUMIFS($D:$D,$A:$A,$A243,$B:$B,"&lt;&gt;Patrícia Karla de Sousa Araújo",$B:$B,"&lt;&gt;Lorena Dias de Araujo",$B:$B,"&lt;&gt;Lucas Luiz Romero")*(20/1083),IF(C243="Estágio",SUMIFS($D:$D,$A:$A,$A243,$B:$B,"&lt;&gt;Patrícia Karla de Sousa Araújo",$B:$B,"&lt;&gt;Lorena Dias de Araujo",$B:$B,"&lt;&gt;Lucas Luiz Romero")*(10/1083),0)))))),0)</f>
        <v/>
      </c>
      <c r="K243" s="3">
        <f>I243-J243</f>
        <v/>
      </c>
      <c r="L243" s="3">
        <f>IF(K243&lt;-5,"CRÍTICO",IF(K243&lt;0,"ATENÇÃO",IF(K243&lt;=5,"BOM","EXCELENTE")))</f>
        <v/>
      </c>
      <c r="M243" t="n">
        <v>20</v>
      </c>
      <c r="N243" t="n">
        <v>95.23999999999999</v>
      </c>
      <c r="O243" t="n">
        <v>31.61764705882353</v>
      </c>
    </row>
    <row r="244">
      <c r="A244" s="11" t="n">
        <v>46168</v>
      </c>
      <c r="B244" t="inlineStr">
        <is>
          <t>Amanda Moura Ferreira</t>
        </is>
      </c>
      <c r="C244" t="inlineStr">
        <is>
          <t>Técnico III</t>
        </is>
      </c>
      <c r="D244" s="9" t="n">
        <v>0</v>
      </c>
      <c r="E244" s="9" t="n">
        <v>0</v>
      </c>
      <c r="F244" s="9" t="n">
        <v>0</v>
      </c>
      <c r="G244" s="9" t="n">
        <v>0</v>
      </c>
      <c r="H244" s="9" t="n">
        <v>0</v>
      </c>
      <c r="I244" s="9" t="n">
        <v>0</v>
      </c>
      <c r="J244" s="9" t="n">
        <v>0</v>
      </c>
      <c r="K244" s="9" t="n">
        <v>0</v>
      </c>
    </row>
    <row r="245">
      <c r="A245" s="11" t="n">
        <v>46140</v>
      </c>
      <c r="B245" t="inlineStr">
        <is>
          <t>Ana Paula Da Luz Silva Aleixo</t>
        </is>
      </c>
      <c r="C245" t="inlineStr">
        <is>
          <t>Técnico III</t>
        </is>
      </c>
      <c r="D245" s="9" t="n">
        <v>0</v>
      </c>
      <c r="E245" s="9" t="n">
        <v>0</v>
      </c>
      <c r="F245" s="9" t="n">
        <v>0</v>
      </c>
      <c r="G245" s="9" t="n">
        <v>0</v>
      </c>
      <c r="H245" s="9" t="n">
        <v>0</v>
      </c>
      <c r="I245" s="3" t="n">
        <v>0</v>
      </c>
      <c r="J245" s="3" t="n">
        <v>0</v>
      </c>
      <c r="K245" s="3" t="n">
        <v>0</v>
      </c>
      <c r="L245" s="3">
        <f>IF(K245&lt;-5,"CRÍTICO",IF(K245&lt;0,"ATENÇÃO",IF(K245&lt;=5,"OPORTUNO","MUITO BOM")))</f>
        <v/>
      </c>
      <c r="N245" s="9" t="n">
        <v>100</v>
      </c>
      <c r="O245" s="9" t="n">
        <v>27.80373831775701</v>
      </c>
    </row>
    <row r="246">
      <c r="A246" s="11" t="n">
        <v>46141</v>
      </c>
      <c r="B246" t="inlineStr">
        <is>
          <t>Ana Paula Da Luz Silva Aleixo</t>
        </is>
      </c>
      <c r="C246" t="inlineStr">
        <is>
          <t>Técnico III</t>
        </is>
      </c>
      <c r="D246" s="9" t="n">
        <v>0</v>
      </c>
      <c r="E246" s="9" t="n">
        <v>0</v>
      </c>
      <c r="F246" s="9" t="n">
        <v>0</v>
      </c>
      <c r="G246" s="9" t="n">
        <v>0</v>
      </c>
      <c r="H246" s="9" t="n">
        <v>0</v>
      </c>
      <c r="I246" s="3" t="n">
        <v>0</v>
      </c>
      <c r="J246" s="3" t="n">
        <v>0</v>
      </c>
      <c r="K246" s="3" t="n">
        <v>0</v>
      </c>
      <c r="L246" s="3">
        <f>IF(K246&lt;-5,"CRÍTICO",IF(K246&lt;0,"ATENÇÃO",IF(K246&lt;=5,"OPORTUNO","MUITO BOM")))</f>
        <v/>
      </c>
      <c r="N246" s="9" t="n">
        <v>100</v>
      </c>
      <c r="O246" s="9" t="n">
        <v>27.80373831775701</v>
      </c>
    </row>
    <row r="247">
      <c r="A247" s="11" t="n">
        <v>46142</v>
      </c>
      <c r="B247" t="inlineStr">
        <is>
          <t>Ana Paula Da Luz Silva Aleixo</t>
        </is>
      </c>
      <c r="C247" t="inlineStr">
        <is>
          <t>Técnico III</t>
        </is>
      </c>
      <c r="D247" s="9" t="n">
        <v>33</v>
      </c>
      <c r="E247" s="9" t="n">
        <v>32</v>
      </c>
      <c r="F247" s="9" t="n">
        <v>13.4</v>
      </c>
      <c r="G247" s="9" t="n">
        <v>0</v>
      </c>
      <c r="H247" s="9" t="n">
        <v>0</v>
      </c>
      <c r="I247" s="3">
        <f>E247+G247+H247</f>
        <v/>
      </c>
      <c r="J247" s="3">
        <f>ROUND(MIN(IF(C247="Técnico III",35,IF(C247="Técnico II",28,IF(C247="Técnico I",23,IF(C247="JR",20,IF(C247="Estágio",10,0))))),IF(C247="Técnico III",SUMIFS($D:$D,$A:$A,$A247,$B:$B,"&lt;&gt;Patrícia Karla de Sousa Araújo",$B:$B,"&lt;&gt;Lorena Dias de Araujo",$B:$B,"&lt;&gt;Lucas Luiz Romero")*(35/1083),IF(C247="Técnico II",SUMIFS($D:$D,$A:$A,$A247,$B:$B,"&lt;&gt;Patrícia Karla de Sousa Araújo",$B:$B,"&lt;&gt;Lorena Dias de Araujo",$B:$B,"&lt;&gt;Lucas Luiz Romero")*(28/1083),IF(C247="Técnico I",SUMIFS($D:$D,$A:$A,$A247,$B:$B,"&lt;&gt;Patrícia Karla de Sousa Araújo",$B:$B,"&lt;&gt;Lorena Dias de Araujo",$B:$B,"&lt;&gt;Lucas Luiz Romero")*(23/1083),IF(C247="JR",SUMIFS($D:$D,$A:$A,$A247,$B:$B,"&lt;&gt;Patrícia Karla de Sousa Araújo",$B:$B,"&lt;&gt;Lorena Dias de Araujo",$B:$B,"&lt;&gt;Lucas Luiz Romero")*(20/1083),IF(C247="Estágio",SUMIFS($D:$D,$A:$A,$A247,$B:$B,"&lt;&gt;Patrícia Karla de Sousa Araújo",$B:$B,"&lt;&gt;Lorena Dias de Araujo",$B:$B,"&lt;&gt;Lucas Luiz Romero")*(10/1083),0)))))),0)</f>
        <v/>
      </c>
      <c r="K247" s="3">
        <f>I247-J247</f>
        <v/>
      </c>
      <c r="L247" s="3">
        <f>IF(K247&lt;-5,"CRÍTICO",IF(K247&lt;0,"ATENÇÃO",IF(K247&lt;=5,"OPORTUNO","MUITO BOM")))</f>
        <v/>
      </c>
      <c r="N247" s="9" t="n">
        <v>100</v>
      </c>
      <c r="O247" s="9" t="n">
        <v>27.80373831775701</v>
      </c>
    </row>
    <row r="248">
      <c r="A248" s="5" t="n">
        <v>46146</v>
      </c>
      <c r="B248" s="6" t="inlineStr">
        <is>
          <t>Ana Paula Da Luz Silva Aleixo</t>
        </is>
      </c>
      <c r="C248" s="9" t="inlineStr">
        <is>
          <t>Técnico III</t>
        </is>
      </c>
      <c r="D248" s="3" t="n">
        <v>30</v>
      </c>
      <c r="E248" s="3" t="n">
        <v>27</v>
      </c>
      <c r="F248" s="3" t="n">
        <v>17.2</v>
      </c>
      <c r="G248" s="3" t="n">
        <v>0</v>
      </c>
      <c r="H248" s="3" t="n">
        <v>0</v>
      </c>
      <c r="I248" s="3">
        <f>E248+G248+H248</f>
        <v/>
      </c>
      <c r="J248" s="3">
        <f>ROUND(MIN(IF(C248="Técnico III",35,IF(C248="Técnico II",28,IF(C248="Técnico I",23,IF(C248="JR",20,IF(C248="Estágio",10,0))))),IF(C248="Técnico III",SUMIFS($D:$D,$A:$A,$A248,$B:$B,"&lt;&gt;Patrícia Karla de Sousa Araújo",$B:$B,"&lt;&gt;Lorena Dias de Araujo",$B:$B,"&lt;&gt;Lucas Luiz Romero")*(35/1083),IF(C248="Técnico II",SUMIFS($D:$D,$A:$A,$A248,$B:$B,"&lt;&gt;Patrícia Karla de Sousa Araújo",$B:$B,"&lt;&gt;Lorena Dias de Araujo",$B:$B,"&lt;&gt;Lucas Luiz Romero")*(28/1083),IF(C248="Técnico I",SUMIFS($D:$D,$A:$A,$A248,$B:$B,"&lt;&gt;Patrícia Karla de Sousa Araújo",$B:$B,"&lt;&gt;Lorena Dias de Araujo",$B:$B,"&lt;&gt;Lucas Luiz Romero")*(23/1083),IF(C248="JR",SUMIFS($D:$D,$A:$A,$A248,$B:$B,"&lt;&gt;Patrícia Karla de Sousa Araújo",$B:$B,"&lt;&gt;Lorena Dias de Araujo",$B:$B,"&lt;&gt;Lucas Luiz Romero")*(20/1083),IF(C248="Estágio",SUMIFS($D:$D,$A:$A,$A248,$B:$B,"&lt;&gt;Patrícia Karla de Sousa Araújo",$B:$B,"&lt;&gt;Lorena Dias de Araujo",$B:$B,"&lt;&gt;Lucas Luiz Romero")*(10/1083),0)))))),0)</f>
        <v/>
      </c>
      <c r="K248" s="3">
        <f>I248-J248</f>
        <v/>
      </c>
      <c r="L248" s="3">
        <f>IF(K248&lt;-5,"CRÍTICO",IF(K248&lt;0,"ATENÇÃO",IF(K248&lt;=5,"BOM","EXCELENTE")))</f>
        <v/>
      </c>
      <c r="M248" s="9" t="n">
        <v>31</v>
      </c>
      <c r="N248" s="9" t="n">
        <v>96.34</v>
      </c>
      <c r="O248" s="9" t="n">
        <v>17.57188498402556</v>
      </c>
    </row>
    <row r="249">
      <c r="A249" s="5" t="n">
        <v>46147</v>
      </c>
      <c r="B249" s="6" t="inlineStr">
        <is>
          <t>Ana Paula Da Luz Silva Aleixo</t>
        </is>
      </c>
      <c r="C249" s="9" t="inlineStr">
        <is>
          <t>Técnico III</t>
        </is>
      </c>
      <c r="D249" s="3" t="n">
        <v>30</v>
      </c>
      <c r="E249" s="3" t="n">
        <v>28</v>
      </c>
      <c r="F249" s="3" t="n">
        <v>18.41</v>
      </c>
      <c r="G249" s="3" t="n">
        <v>0</v>
      </c>
      <c r="H249" s="3" t="n">
        <v>0</v>
      </c>
      <c r="I249" s="3">
        <f>E249+G249+H249</f>
        <v/>
      </c>
      <c r="J249" s="3">
        <f>ROUND(MIN(IF(C249="Técnico III",35,IF(C249="Técnico II",28,IF(C249="Técnico I",23,IF(C249="JR",20,IF(C249="Estágio",10,0))))),IF(C249="Técnico III",SUMIFS($D:$D,$A:$A,$A249,$B:$B,"&lt;&gt;Patrícia Karla de Sousa Araújo",$B:$B,"&lt;&gt;Lorena Dias de Araujo",$B:$B,"&lt;&gt;Lucas Luiz Romero")*(35/1083),IF(C249="Técnico II",SUMIFS($D:$D,$A:$A,$A249,$B:$B,"&lt;&gt;Patrícia Karla de Sousa Araújo",$B:$B,"&lt;&gt;Lorena Dias de Araujo",$B:$B,"&lt;&gt;Lucas Luiz Romero")*(28/1083),IF(C249="Técnico I",SUMIFS($D:$D,$A:$A,$A249,$B:$B,"&lt;&gt;Patrícia Karla de Sousa Araújo",$B:$B,"&lt;&gt;Lorena Dias de Araujo",$B:$B,"&lt;&gt;Lucas Luiz Romero")*(23/1083),IF(C249="JR",SUMIFS($D:$D,$A:$A,$A249,$B:$B,"&lt;&gt;Patrícia Karla de Sousa Araújo",$B:$B,"&lt;&gt;Lorena Dias de Araujo",$B:$B,"&lt;&gt;Lucas Luiz Romero")*(20/1083),IF(C249="Estágio",SUMIFS($D:$D,$A:$A,$A249,$B:$B,"&lt;&gt;Patrícia Karla de Sousa Araújo",$B:$B,"&lt;&gt;Lorena Dias de Araujo",$B:$B,"&lt;&gt;Lucas Luiz Romero")*(10/1083),0)))))),0)</f>
        <v/>
      </c>
      <c r="K249" s="3">
        <f>I249-J249</f>
        <v/>
      </c>
      <c r="L249" s="3">
        <f>IF(K249&lt;-5,"CRÍTICO",IF(K249&lt;0,"ATENÇÃO",IF(K249&lt;=5,"BOM","EXCELENTE")))</f>
        <v/>
      </c>
      <c r="M249" s="3" t="n">
        <v>26</v>
      </c>
      <c r="N249" s="3" t="n">
        <v>96.34</v>
      </c>
      <c r="O249" s="3" t="n">
        <v>17.57188498402556</v>
      </c>
    </row>
    <row r="250">
      <c r="A250" s="5" t="n">
        <v>46148</v>
      </c>
      <c r="B250" s="6" t="inlineStr">
        <is>
          <t>Ana Paula Da Luz Silva Aleixo</t>
        </is>
      </c>
      <c r="C250" s="9" t="inlineStr">
        <is>
          <t>Técnico III</t>
        </is>
      </c>
      <c r="D250" s="3" t="n">
        <v>22</v>
      </c>
      <c r="E250" s="3" t="n">
        <v>20</v>
      </c>
      <c r="F250" s="9" t="n">
        <v>18.47</v>
      </c>
      <c r="G250" s="3" t="n">
        <v>12</v>
      </c>
      <c r="H250" s="3" t="n">
        <v>0</v>
      </c>
      <c r="I250" s="3">
        <f>E250+G250+H250</f>
        <v/>
      </c>
      <c r="J250" s="3">
        <f>ROUND(MIN(IF(C250="Técnico III",35,IF(C250="Técnico II",28,IF(C250="Técnico I",23,IF(C250="JR",20,IF(C250="Estágio",10,0))))),IF(C250="Técnico III",SUMIFS($D:$D,$A:$A,$A250,$B:$B,"&lt;&gt;Patrícia Karla de Sousa Araújo",$B:$B,"&lt;&gt;Lorena Dias de Araujo",$B:$B,"&lt;&gt;Lucas Luiz Romero")*(35/1083),IF(C250="Técnico II",SUMIFS($D:$D,$A:$A,$A250,$B:$B,"&lt;&gt;Patrícia Karla de Sousa Araújo",$B:$B,"&lt;&gt;Lorena Dias de Araujo",$B:$B,"&lt;&gt;Lucas Luiz Romero")*(28/1083),IF(C250="Técnico I",SUMIFS($D:$D,$A:$A,$A250,$B:$B,"&lt;&gt;Patrícia Karla de Sousa Araújo",$B:$B,"&lt;&gt;Lorena Dias de Araujo",$B:$B,"&lt;&gt;Lucas Luiz Romero")*(23/1083),IF(C250="JR",SUMIFS($D:$D,$A:$A,$A250,$B:$B,"&lt;&gt;Patrícia Karla de Sousa Araújo",$B:$B,"&lt;&gt;Lorena Dias de Araujo",$B:$B,"&lt;&gt;Lucas Luiz Romero")*(20/1083),IF(C250="Estágio",SUMIFS($D:$D,$A:$A,$A250,$B:$B,"&lt;&gt;Patrícia Karla de Sousa Araújo",$B:$B,"&lt;&gt;Lorena Dias de Araujo",$B:$B,"&lt;&gt;Lucas Luiz Romero")*(10/1083),0)))))),0)</f>
        <v/>
      </c>
      <c r="K250" s="3">
        <f>I250-J250</f>
        <v/>
      </c>
      <c r="L250" s="3">
        <f>IF(K250&lt;-5,"CRÍTICO",IF(K250&lt;0,"ATENÇÃO",IF(K250&lt;=5,"BOM","EXCELENTE")))</f>
        <v/>
      </c>
      <c r="M250" s="3" t="n">
        <v>30</v>
      </c>
      <c r="N250" s="3" t="n">
        <v>96.34</v>
      </c>
      <c r="O250" s="3" t="n">
        <v>17.57188498402556</v>
      </c>
    </row>
    <row r="251">
      <c r="A251" s="11" t="n">
        <v>46168</v>
      </c>
      <c r="B251" t="inlineStr">
        <is>
          <t>Ana Paula Da Luz Silva Aleixo</t>
        </is>
      </c>
      <c r="C251" t="inlineStr">
        <is>
          <t>Técnico III</t>
        </is>
      </c>
      <c r="D251" s="9" t="n">
        <v>33</v>
      </c>
      <c r="E251" s="9" t="n">
        <v>27</v>
      </c>
      <c r="F251" s="9" t="n">
        <v>12.19</v>
      </c>
      <c r="G251" s="9" t="n">
        <v>3</v>
      </c>
    </row>
    <row r="252">
      <c r="A252" s="11" t="n">
        <v>46140</v>
      </c>
      <c r="B252" t="inlineStr">
        <is>
          <t>Cristiane Ramos da Silva Rocha</t>
        </is>
      </c>
      <c r="C252" t="inlineStr">
        <is>
          <t>Técnico III</t>
        </is>
      </c>
      <c r="D252" s="9" t="n">
        <v>28</v>
      </c>
      <c r="E252" s="9" t="n">
        <v>24</v>
      </c>
      <c r="F252" s="9" t="n">
        <v>15.03</v>
      </c>
      <c r="G252" s="9" t="n">
        <v>0</v>
      </c>
      <c r="H252" s="9" t="n">
        <v>0</v>
      </c>
      <c r="I252" s="3">
        <f>E252+G252+H252</f>
        <v/>
      </c>
      <c r="J252" s="3">
        <f>ROUND(MIN(IF(C252="Técnico III",35,IF(C252="Técnico II",28,IF(C252="Técnico I",23,IF(C252="JR",20,IF(C252="Estágio",10,0))))),IF(C252="Técnico III",SUMIFS($D:$D,$A:$A,$A252,$B:$B,"&lt;&gt;Patrícia Karla de Sousa Araújo",$B:$B,"&lt;&gt;Lorena Dias de Araujo",$B:$B,"&lt;&gt;Lucas Luiz Romero")*(35/1083),IF(C252="Técnico II",SUMIFS($D:$D,$A:$A,$A252,$B:$B,"&lt;&gt;Patrícia Karla de Sousa Araújo",$B:$B,"&lt;&gt;Lorena Dias de Araujo",$B:$B,"&lt;&gt;Lucas Luiz Romero")*(28/1083),IF(C252="Técnico I",SUMIFS($D:$D,$A:$A,$A252,$B:$B,"&lt;&gt;Patrícia Karla de Sousa Araújo",$B:$B,"&lt;&gt;Lorena Dias de Araujo",$B:$B,"&lt;&gt;Lucas Luiz Romero")*(23/1083),IF(C252="JR",SUMIFS($D:$D,$A:$A,$A252,$B:$B,"&lt;&gt;Patrícia Karla de Sousa Araújo",$B:$B,"&lt;&gt;Lorena Dias de Araujo",$B:$B,"&lt;&gt;Lucas Luiz Romero")*(20/1083),IF(C252="Estágio",SUMIFS($D:$D,$A:$A,$A252,$B:$B,"&lt;&gt;Patrícia Karla de Sousa Araújo",$B:$B,"&lt;&gt;Lorena Dias de Araujo",$B:$B,"&lt;&gt;Lucas Luiz Romero")*(10/1083),0)))))),0)</f>
        <v/>
      </c>
      <c r="K252" s="3">
        <f>I252-J252</f>
        <v/>
      </c>
      <c r="L252" s="3">
        <f>IF(K252&lt;-5,"CRÍTICO",IF(K252&lt;0,"ATENÇÃO",IF(K252&lt;=5,"OPORTUNO","MUITO BOM")))</f>
        <v/>
      </c>
      <c r="N252" s="9" t="n">
        <v>93.75</v>
      </c>
      <c r="O252" s="9" t="n">
        <v>26.62835249042146</v>
      </c>
    </row>
    <row r="253">
      <c r="A253" s="11" t="n">
        <v>46141</v>
      </c>
      <c r="B253" t="inlineStr">
        <is>
          <t>Cristiane Ramos da Silva Rocha</t>
        </is>
      </c>
      <c r="C253" t="inlineStr">
        <is>
          <t>Técnico III</t>
        </is>
      </c>
      <c r="D253" s="9" t="n">
        <v>42</v>
      </c>
      <c r="E253" s="9" t="n">
        <v>35</v>
      </c>
      <c r="F253" s="9" t="n">
        <v>10.13</v>
      </c>
      <c r="G253" s="9" t="n">
        <v>0</v>
      </c>
      <c r="H253" s="9" t="n">
        <v>0</v>
      </c>
      <c r="I253" s="3">
        <f>E253+G253+H253</f>
        <v/>
      </c>
      <c r="J253" s="3">
        <f>ROUND(MIN(IF(C253="Técnico III",35,IF(C253="Técnico II",28,IF(C253="Técnico I",23,IF(C253="JR",20,IF(C253="Estágio",10,0))))),IF(C253="Técnico III",SUMIFS($D:$D,$A:$A,$A253,$B:$B,"&lt;&gt;Patrícia Karla de Sousa Araújo",$B:$B,"&lt;&gt;Lorena Dias de Araujo",$B:$B,"&lt;&gt;Lucas Luiz Romero")*(35/1083),IF(C253="Técnico II",SUMIFS($D:$D,$A:$A,$A253,$B:$B,"&lt;&gt;Patrícia Karla de Sousa Araújo",$B:$B,"&lt;&gt;Lorena Dias de Araujo",$B:$B,"&lt;&gt;Lucas Luiz Romero")*(28/1083),IF(C253="Técnico I",SUMIFS($D:$D,$A:$A,$A253,$B:$B,"&lt;&gt;Patrícia Karla de Sousa Araújo",$B:$B,"&lt;&gt;Lorena Dias de Araujo",$B:$B,"&lt;&gt;Lucas Luiz Romero")*(23/1083),IF(C253="JR",SUMIFS($D:$D,$A:$A,$A253,$B:$B,"&lt;&gt;Patrícia Karla de Sousa Araújo",$B:$B,"&lt;&gt;Lorena Dias de Araujo",$B:$B,"&lt;&gt;Lucas Luiz Romero")*(20/1083),IF(C253="Estágio",SUMIFS($D:$D,$A:$A,$A253,$B:$B,"&lt;&gt;Patrícia Karla de Sousa Araújo",$B:$B,"&lt;&gt;Lorena Dias de Araujo",$B:$B,"&lt;&gt;Lucas Luiz Romero")*(10/1083),0)))))),0)</f>
        <v/>
      </c>
      <c r="K253" s="3">
        <f>I253-J253</f>
        <v/>
      </c>
      <c r="L253" s="3">
        <f>IF(K253&lt;-5,"CRÍTICO",IF(K253&lt;0,"ATENÇÃO",IF(K253&lt;=5,"OPORTUNO","MUITO BOM")))</f>
        <v/>
      </c>
      <c r="N253" s="9" t="n">
        <v>93.75</v>
      </c>
      <c r="O253" s="9" t="n">
        <v>26.62835249042146</v>
      </c>
    </row>
    <row r="254">
      <c r="A254" s="11" t="n">
        <v>46142</v>
      </c>
      <c r="B254" t="inlineStr">
        <is>
          <t>Cristiane Ramos da Silva Rocha</t>
        </is>
      </c>
      <c r="C254" t="inlineStr">
        <is>
          <t>Técnico III</t>
        </is>
      </c>
      <c r="D254" s="9" t="n">
        <v>39</v>
      </c>
      <c r="E254" s="9" t="n">
        <v>37</v>
      </c>
      <c r="F254" s="9" t="n">
        <v>11.54</v>
      </c>
      <c r="G254" s="9" t="n">
        <v>0</v>
      </c>
      <c r="H254" s="9" t="n">
        <v>0</v>
      </c>
      <c r="I254" s="3">
        <f>E254+G254+H254</f>
        <v/>
      </c>
      <c r="J254" s="3">
        <f>ROUND(MIN(IF(C254="Técnico III",35,IF(C254="Técnico II",28,IF(C254="Técnico I",23,IF(C254="JR",20,IF(C254="Estágio",10,0))))),IF(C254="Técnico III",SUMIFS($D:$D,$A:$A,$A254,$B:$B,"&lt;&gt;Patrícia Karla de Sousa Araújo",$B:$B,"&lt;&gt;Lorena Dias de Araujo",$B:$B,"&lt;&gt;Lucas Luiz Romero")*(35/1083),IF(C254="Técnico II",SUMIFS($D:$D,$A:$A,$A254,$B:$B,"&lt;&gt;Patrícia Karla de Sousa Araújo",$B:$B,"&lt;&gt;Lorena Dias de Araujo",$B:$B,"&lt;&gt;Lucas Luiz Romero")*(28/1083),IF(C254="Técnico I",SUMIFS($D:$D,$A:$A,$A254,$B:$B,"&lt;&gt;Patrícia Karla de Sousa Araújo",$B:$B,"&lt;&gt;Lorena Dias de Araujo",$B:$B,"&lt;&gt;Lucas Luiz Romero")*(23/1083),IF(C254="JR",SUMIFS($D:$D,$A:$A,$A254,$B:$B,"&lt;&gt;Patrícia Karla de Sousa Araújo",$B:$B,"&lt;&gt;Lorena Dias de Araujo",$B:$B,"&lt;&gt;Lucas Luiz Romero")*(20/1083),IF(C254="Estágio",SUMIFS($D:$D,$A:$A,$A254,$B:$B,"&lt;&gt;Patrícia Karla de Sousa Araújo",$B:$B,"&lt;&gt;Lorena Dias de Araujo",$B:$B,"&lt;&gt;Lucas Luiz Romero")*(10/1083),0)))))),0)</f>
        <v/>
      </c>
      <c r="K254" s="3">
        <f>I254-J254</f>
        <v/>
      </c>
      <c r="L254" s="3">
        <f>IF(K254&lt;-5,"CRÍTICO",IF(K254&lt;0,"ATENÇÃO",IF(K254&lt;=5,"OPORTUNO","MUITO BOM")))</f>
        <v/>
      </c>
      <c r="N254" s="9" t="n">
        <v>93.75</v>
      </c>
      <c r="O254" s="9" t="n">
        <v>26.62835249042146</v>
      </c>
    </row>
    <row r="255">
      <c r="A255" s="5" t="n">
        <v>46146</v>
      </c>
      <c r="B255" s="6" t="inlineStr">
        <is>
          <t>Cristiane Ramos da Silva Rocha</t>
        </is>
      </c>
      <c r="C255" s="3" t="inlineStr">
        <is>
          <t>Técnico III</t>
        </is>
      </c>
      <c r="D255" s="3" t="n">
        <v>38</v>
      </c>
      <c r="E255" s="3" t="n">
        <v>37</v>
      </c>
      <c r="F255" s="3" t="n">
        <v>13.54</v>
      </c>
      <c r="G255" s="3" t="n">
        <v>1</v>
      </c>
      <c r="H255" s="3" t="n">
        <v>0</v>
      </c>
      <c r="I255" s="3">
        <f>E255+G255+H255</f>
        <v/>
      </c>
      <c r="J255" s="3">
        <f>ROUND(MIN(IF(C255="Técnico III",35,IF(C255="Técnico II",28,IF(C255="Técnico I",23,IF(C255="JR",20,IF(C255="Estágio",10,0))))),IF(C255="Técnico III",SUMIFS($D:$D,$A:$A,$A255,$B:$B,"&lt;&gt;Patrícia Karla de Sousa Araújo",$B:$B,"&lt;&gt;Lorena Dias de Araujo",$B:$B,"&lt;&gt;Lucas Luiz Romero")*(35/1083),IF(C255="Técnico II",SUMIFS($D:$D,$A:$A,$A255,$B:$B,"&lt;&gt;Patrícia Karla de Sousa Araújo",$B:$B,"&lt;&gt;Lorena Dias de Araujo",$B:$B,"&lt;&gt;Lucas Luiz Romero")*(28/1083),IF(C255="Técnico I",SUMIFS($D:$D,$A:$A,$A255,$B:$B,"&lt;&gt;Patrícia Karla de Sousa Araújo",$B:$B,"&lt;&gt;Lorena Dias de Araujo",$B:$B,"&lt;&gt;Lucas Luiz Romero")*(23/1083),IF(C255="JR",SUMIFS($D:$D,$A:$A,$A255,$B:$B,"&lt;&gt;Patrícia Karla de Sousa Araújo",$B:$B,"&lt;&gt;Lorena Dias de Araujo",$B:$B,"&lt;&gt;Lucas Luiz Romero")*(20/1083),IF(C255="Estágio",SUMIFS($D:$D,$A:$A,$A255,$B:$B,"&lt;&gt;Patrícia Karla de Sousa Araújo",$B:$B,"&lt;&gt;Lorena Dias de Araujo",$B:$B,"&lt;&gt;Lucas Luiz Romero")*(10/1083),0)))))),0)</f>
        <v/>
      </c>
      <c r="K255" s="3">
        <f>I255-J255</f>
        <v/>
      </c>
      <c r="L255" s="3">
        <f>IF(K255&lt;-5,"CRÍTICO",IF(K255&lt;0,"ATENÇÃO",IF(K255&lt;=5,"BOM","EXCELENTE")))</f>
        <v/>
      </c>
      <c r="M255" s="9" t="n">
        <v>32</v>
      </c>
      <c r="N255" s="9" t="n">
        <v>91.84999999999999</v>
      </c>
      <c r="O255" s="9" t="n">
        <v>20.87155963302752</v>
      </c>
    </row>
    <row r="256">
      <c r="A256" s="5" t="n">
        <v>46147</v>
      </c>
      <c r="B256" s="6" t="inlineStr">
        <is>
          <t>Cristiane Ramos da Silva Rocha</t>
        </is>
      </c>
      <c r="C256" s="3" t="inlineStr">
        <is>
          <t>Técnico III</t>
        </is>
      </c>
      <c r="D256" s="3" t="n">
        <v>46</v>
      </c>
      <c r="E256" s="3" t="n">
        <v>39</v>
      </c>
      <c r="F256" s="3" t="n">
        <v>10.45</v>
      </c>
      <c r="G256" s="3" t="n">
        <v>8</v>
      </c>
      <c r="H256" s="3" t="n">
        <v>0</v>
      </c>
      <c r="I256" s="3">
        <f>E256+G256+H256</f>
        <v/>
      </c>
      <c r="J256" s="3">
        <f>ROUND(MIN(IF(C256="Técnico III",35,IF(C256="Técnico II",28,IF(C256="Técnico I",23,IF(C256="JR",20,IF(C256="Estágio",10,0))))),IF(C256="Técnico III",SUMIFS($D:$D,$A:$A,$A256,$B:$B,"&lt;&gt;Patrícia Karla de Sousa Araújo",$B:$B,"&lt;&gt;Lorena Dias de Araujo",$B:$B,"&lt;&gt;Lucas Luiz Romero")*(35/1083),IF(C256="Técnico II",SUMIFS($D:$D,$A:$A,$A256,$B:$B,"&lt;&gt;Patrícia Karla de Sousa Araújo",$B:$B,"&lt;&gt;Lorena Dias de Araujo",$B:$B,"&lt;&gt;Lucas Luiz Romero")*(28/1083),IF(C256="Técnico I",SUMIFS($D:$D,$A:$A,$A256,$B:$B,"&lt;&gt;Patrícia Karla de Sousa Araújo",$B:$B,"&lt;&gt;Lorena Dias de Araujo",$B:$B,"&lt;&gt;Lucas Luiz Romero")*(23/1083),IF(C256="JR",SUMIFS($D:$D,$A:$A,$A256,$B:$B,"&lt;&gt;Patrícia Karla de Sousa Araújo",$B:$B,"&lt;&gt;Lorena Dias de Araujo",$B:$B,"&lt;&gt;Lucas Luiz Romero")*(20/1083),IF(C256="Estágio",SUMIFS($D:$D,$A:$A,$A256,$B:$B,"&lt;&gt;Patrícia Karla de Sousa Araújo",$B:$B,"&lt;&gt;Lorena Dias de Araujo",$B:$B,"&lt;&gt;Lucas Luiz Romero")*(10/1083),0)))))),0)</f>
        <v/>
      </c>
      <c r="K256" s="3">
        <f>I256-J256</f>
        <v/>
      </c>
      <c r="L256" s="3">
        <f>IF(K256&lt;-5,"CRÍTICO",IF(K256&lt;0,"ATENÇÃO",IF(K256&lt;=5,"BOM","EXCELENTE")))</f>
        <v/>
      </c>
      <c r="M256" s="3" t="n">
        <v>46</v>
      </c>
      <c r="N256" s="3" t="n">
        <v>91.84999999999999</v>
      </c>
      <c r="O256" s="3" t="n">
        <v>20.87155963302752</v>
      </c>
    </row>
    <row r="257">
      <c r="A257" s="5" t="n">
        <v>46148</v>
      </c>
      <c r="B257" s="6" t="inlineStr">
        <is>
          <t>Cristiane Ramos da Silva Rocha</t>
        </is>
      </c>
      <c r="C257" s="3" t="inlineStr">
        <is>
          <t>Técnico III</t>
        </is>
      </c>
      <c r="D257" s="3" t="n">
        <v>48</v>
      </c>
      <c r="E257" s="3" t="n">
        <v>44</v>
      </c>
      <c r="F257" s="9" t="n">
        <v>12.07</v>
      </c>
      <c r="G257" s="3" t="n">
        <v>0</v>
      </c>
      <c r="H257" s="3" t="n">
        <v>0</v>
      </c>
      <c r="I257" s="3">
        <f>E257+G257+H257</f>
        <v/>
      </c>
      <c r="J257" s="3">
        <f>ROUND(MIN(IF(C257="Técnico III",35,IF(C257="Técnico II",28,IF(C257="Técnico I",23,IF(C257="JR",20,IF(C257="Estágio",10,0))))),IF(C257="Técnico III",SUMIFS($D:$D,$A:$A,$A257,$B:$B,"&lt;&gt;Patrícia Karla de Sousa Araújo",$B:$B,"&lt;&gt;Lorena Dias de Araujo",$B:$B,"&lt;&gt;Lucas Luiz Romero")*(35/1083),IF(C257="Técnico II",SUMIFS($D:$D,$A:$A,$A257,$B:$B,"&lt;&gt;Patrícia Karla de Sousa Araújo",$B:$B,"&lt;&gt;Lorena Dias de Araujo",$B:$B,"&lt;&gt;Lucas Luiz Romero")*(28/1083),IF(C257="Técnico I",SUMIFS($D:$D,$A:$A,$A257,$B:$B,"&lt;&gt;Patrícia Karla de Sousa Araújo",$B:$B,"&lt;&gt;Lorena Dias de Araujo",$B:$B,"&lt;&gt;Lucas Luiz Romero")*(23/1083),IF(C257="JR",SUMIFS($D:$D,$A:$A,$A257,$B:$B,"&lt;&gt;Patrícia Karla de Sousa Araújo",$B:$B,"&lt;&gt;Lorena Dias de Araujo",$B:$B,"&lt;&gt;Lucas Luiz Romero")*(20/1083),IF(C257="Estágio",SUMIFS($D:$D,$A:$A,$A257,$B:$B,"&lt;&gt;Patrícia Karla de Sousa Araújo",$B:$B,"&lt;&gt;Lorena Dias de Araujo",$B:$B,"&lt;&gt;Lucas Luiz Romero")*(10/1083),0)))))),0)</f>
        <v/>
      </c>
      <c r="K257" s="3">
        <f>I257-J257</f>
        <v/>
      </c>
      <c r="L257" s="3">
        <f>IF(K257&lt;-5,"CRÍTICO",IF(K257&lt;0,"ATENÇÃO",IF(K257&lt;=5,"BOM","EXCELENTE")))</f>
        <v/>
      </c>
      <c r="M257" s="3" t="n">
        <v>41</v>
      </c>
      <c r="N257" s="3" t="n">
        <v>91.84999999999999</v>
      </c>
      <c r="O257" s="3" t="n">
        <v>20.87155963302752</v>
      </c>
    </row>
    <row r="258">
      <c r="A258" s="11" t="n">
        <v>46168</v>
      </c>
      <c r="B258" t="inlineStr">
        <is>
          <t>Cristiane Ramos da Silva Rocha</t>
        </is>
      </c>
      <c r="C258" t="inlineStr">
        <is>
          <t>Técnico III</t>
        </is>
      </c>
      <c r="D258" s="9" t="n">
        <v>24</v>
      </c>
      <c r="E258" s="9" t="n">
        <v>22</v>
      </c>
      <c r="F258" s="9" t="n">
        <v>10.43</v>
      </c>
      <c r="G258" s="9" t="n">
        <v>0</v>
      </c>
    </row>
    <row r="259">
      <c r="A259" s="11" t="n">
        <v>46140</v>
      </c>
      <c r="B259" t="inlineStr">
        <is>
          <t>Davylla Rodrigues Freitas Silva</t>
        </is>
      </c>
      <c r="C259" t="inlineStr">
        <is>
          <t>Técnico III</t>
        </is>
      </c>
      <c r="D259" s="9" t="n">
        <v>0</v>
      </c>
      <c r="E259" s="9" t="n">
        <v>0</v>
      </c>
      <c r="F259" s="9" t="n">
        <v>0</v>
      </c>
      <c r="G259" s="9" t="n">
        <v>0</v>
      </c>
      <c r="H259" s="9" t="n">
        <v>0</v>
      </c>
      <c r="I259" s="3" t="n">
        <v>0</v>
      </c>
      <c r="J259" s="3" t="n">
        <v>0</v>
      </c>
      <c r="K259" s="3" t="n">
        <v>0</v>
      </c>
      <c r="L259" s="3">
        <f>IF(K259&lt;-5,"CRÍTICO",IF(K259&lt;0,"ATENÇÃO",IF(K259&lt;=5,"OPORTUNO","MUITO BOM")))</f>
        <v/>
      </c>
      <c r="N259" s="9" t="n">
        <v>100</v>
      </c>
      <c r="O259" s="9" t="n">
        <v>38.26923076923077</v>
      </c>
    </row>
    <row r="260">
      <c r="A260" s="11" t="n">
        <v>46141</v>
      </c>
      <c r="B260" t="inlineStr">
        <is>
          <t>Davylla Rodrigues Freitas Silva</t>
        </is>
      </c>
      <c r="C260" t="inlineStr">
        <is>
          <t>Técnico III</t>
        </is>
      </c>
      <c r="D260" s="9" t="n">
        <v>0</v>
      </c>
      <c r="E260" s="9" t="n">
        <v>0</v>
      </c>
      <c r="F260" s="9" t="n">
        <v>0</v>
      </c>
      <c r="G260" s="9" t="n">
        <v>0</v>
      </c>
      <c r="H260" s="9" t="n">
        <v>0</v>
      </c>
      <c r="I260" s="3" t="n">
        <v>0</v>
      </c>
      <c r="J260" s="3" t="n">
        <v>0</v>
      </c>
      <c r="K260" s="3" t="n">
        <v>0</v>
      </c>
      <c r="L260" s="3">
        <f>IF(K260&lt;-5,"CRÍTICO",IF(K260&lt;0,"ATENÇÃO",IF(K260&lt;=5,"OPORTUNO","MUITO BOM")))</f>
        <v/>
      </c>
      <c r="N260" s="9" t="n">
        <v>100</v>
      </c>
      <c r="O260" s="9" t="n">
        <v>38.26923076923077</v>
      </c>
    </row>
    <row r="261">
      <c r="A261" s="11" t="n">
        <v>46142</v>
      </c>
      <c r="B261" t="inlineStr">
        <is>
          <t>Davylla Rodrigues Freitas Silva</t>
        </is>
      </c>
      <c r="C261" t="inlineStr">
        <is>
          <t>Técnico III</t>
        </is>
      </c>
      <c r="D261" s="9" t="n">
        <v>0</v>
      </c>
      <c r="E261" s="9" t="n">
        <v>0</v>
      </c>
      <c r="F261" s="9" t="n">
        <v>0</v>
      </c>
      <c r="G261" s="9" t="n">
        <v>0</v>
      </c>
      <c r="H261" s="9" t="n">
        <v>0</v>
      </c>
      <c r="I261" s="3" t="n">
        <v>0</v>
      </c>
      <c r="J261" s="3" t="n">
        <v>0</v>
      </c>
      <c r="K261" s="3" t="n">
        <v>0</v>
      </c>
      <c r="L261" s="3">
        <f>IF(K261&lt;-5,"CRÍTICO",IF(K261&lt;0,"ATENÇÃO",IF(K261&lt;=5,"OPORTUNO","MUITO BOM")))</f>
        <v/>
      </c>
      <c r="N261" s="9" t="n">
        <v>100</v>
      </c>
      <c r="O261" s="9" t="n">
        <v>38.26923076923077</v>
      </c>
    </row>
    <row r="262">
      <c r="A262" s="5" t="n">
        <v>46146</v>
      </c>
      <c r="B262" s="6" t="inlineStr">
        <is>
          <t>Davylla Rodrigues Freitas Silva</t>
        </is>
      </c>
      <c r="C262" s="9" t="inlineStr">
        <is>
          <t>Técnico III</t>
        </is>
      </c>
      <c r="D262" s="3" t="n">
        <v>21</v>
      </c>
      <c r="E262" s="3" t="n">
        <v>20</v>
      </c>
      <c r="F262" s="3" t="n">
        <v>21.4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>
        <f>IF(K262&lt;-5,"CRÍTICO",IF(K262&lt;0,"ATENÇÃO",IF(K262&lt;=5,"BOM","EXCELENTE")))</f>
        <v/>
      </c>
      <c r="M262" s="9" t="n">
        <v>25</v>
      </c>
      <c r="N262" s="9" t="n">
        <v>99.06</v>
      </c>
      <c r="O262" s="9" t="n">
        <v>22.95719844357977</v>
      </c>
    </row>
    <row r="263">
      <c r="A263" s="5" t="n">
        <v>46147</v>
      </c>
      <c r="B263" s="6" t="inlineStr">
        <is>
          <t>Davylla Rodrigues Freitas Silva</t>
        </is>
      </c>
      <c r="C263" s="9" t="inlineStr">
        <is>
          <t>Técnico III</t>
        </is>
      </c>
      <c r="D263" s="3" t="n">
        <v>27</v>
      </c>
      <c r="E263" s="3" t="n">
        <v>27</v>
      </c>
      <c r="F263" s="3" t="n">
        <v>24.15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>
        <f>IF(K263&lt;-5,"CRÍTICO",IF(K263&lt;0,"ATENÇÃO",IF(K263&lt;=5,"BOM","EXCELENTE")))</f>
        <v/>
      </c>
      <c r="M263" s="3" t="n">
        <v>28</v>
      </c>
      <c r="N263" s="3" t="n">
        <v>99.06</v>
      </c>
      <c r="O263" s="3" t="n">
        <v>22.95719844357977</v>
      </c>
    </row>
    <row r="264">
      <c r="A264" s="5" t="n">
        <v>46148</v>
      </c>
      <c r="B264" s="6" t="inlineStr">
        <is>
          <t>Davylla Rodrigues Freitas Silva</t>
        </is>
      </c>
      <c r="C264" s="9" t="inlineStr">
        <is>
          <t>Técnico III</t>
        </is>
      </c>
      <c r="D264" s="3" t="n">
        <v>24</v>
      </c>
      <c r="E264" s="3" t="n">
        <v>22</v>
      </c>
      <c r="F264" s="9" t="n">
        <v>17.18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>
        <f>IF(K264&lt;-5,"CRÍTICO",IF(K264&lt;0,"ATENÇÃO",IF(K264&lt;=5,"BOM","EXCELENTE")))</f>
        <v/>
      </c>
      <c r="M264" s="3" t="n">
        <v>32</v>
      </c>
      <c r="N264" s="3" t="n">
        <v>99.06</v>
      </c>
      <c r="O264" s="3" t="n">
        <v>22.95719844357977</v>
      </c>
    </row>
    <row r="265">
      <c r="A265" s="11" t="n">
        <v>46168</v>
      </c>
      <c r="B265" t="inlineStr">
        <is>
          <t>Davylla Rodrigues Freitas Silva</t>
        </is>
      </c>
      <c r="C265" t="inlineStr">
        <is>
          <t>Técnico III</t>
        </is>
      </c>
      <c r="D265" s="9" t="n">
        <v>0</v>
      </c>
      <c r="E265" s="9" t="n">
        <v>0</v>
      </c>
      <c r="F265" s="9" t="n">
        <v>0</v>
      </c>
      <c r="G265" s="9" t="n">
        <v>0</v>
      </c>
      <c r="H265" s="9" t="n">
        <v>0</v>
      </c>
      <c r="I265" s="9" t="n">
        <v>0</v>
      </c>
      <c r="J265" s="9" t="n">
        <v>0</v>
      </c>
      <c r="K265" s="9" t="n">
        <v>0</v>
      </c>
    </row>
    <row r="266">
      <c r="A266" s="11" t="n">
        <v>46140</v>
      </c>
      <c r="B266" t="inlineStr">
        <is>
          <t>Francielson de Oliveira</t>
        </is>
      </c>
      <c r="C266" t="inlineStr">
        <is>
          <t>Técnico III</t>
        </is>
      </c>
      <c r="D266" s="9" t="n">
        <v>32</v>
      </c>
      <c r="E266" s="9" t="n">
        <v>31</v>
      </c>
      <c r="F266" s="9" t="n">
        <v>18.49</v>
      </c>
      <c r="G266" s="9" t="n">
        <v>0</v>
      </c>
      <c r="H266" s="9" t="n">
        <v>0</v>
      </c>
      <c r="I266" s="3">
        <f>E266+G266+H266</f>
        <v/>
      </c>
      <c r="J266" s="3">
        <f>ROUND(MIN(IF(C266="Técnico III",35,IF(C266="Técnico II",28,IF(C266="Técnico I",23,IF(C266="JR",20,IF(C266="Estágio",10,0))))),IF(C266="Técnico III",SUMIFS($D:$D,$A:$A,$A266,$B:$B,"&lt;&gt;Patrícia Karla de Sousa Araújo",$B:$B,"&lt;&gt;Lorena Dias de Araujo",$B:$B,"&lt;&gt;Lucas Luiz Romero")*(35/1083),IF(C266="Técnico II",SUMIFS($D:$D,$A:$A,$A266,$B:$B,"&lt;&gt;Patrícia Karla de Sousa Araújo",$B:$B,"&lt;&gt;Lorena Dias de Araujo",$B:$B,"&lt;&gt;Lucas Luiz Romero")*(28/1083),IF(C266="Técnico I",SUMIFS($D:$D,$A:$A,$A266,$B:$B,"&lt;&gt;Patrícia Karla de Sousa Araújo",$B:$B,"&lt;&gt;Lorena Dias de Araujo",$B:$B,"&lt;&gt;Lucas Luiz Romero")*(23/1083),IF(C266="JR",SUMIFS($D:$D,$A:$A,$A266,$B:$B,"&lt;&gt;Patrícia Karla de Sousa Araújo",$B:$B,"&lt;&gt;Lorena Dias de Araujo",$B:$B,"&lt;&gt;Lucas Luiz Romero")*(20/1083),IF(C266="Estágio",SUMIFS($D:$D,$A:$A,$A266,$B:$B,"&lt;&gt;Patrícia Karla de Sousa Araújo",$B:$B,"&lt;&gt;Lorena Dias de Araujo",$B:$B,"&lt;&gt;Lucas Luiz Romero")*(10/1083),0)))))),0)</f>
        <v/>
      </c>
      <c r="K266" s="3">
        <f>I266-J266</f>
        <v/>
      </c>
      <c r="L266" s="3">
        <f>IF(K266&lt;-5,"CRÍTICO",IF(K266&lt;0,"ATENÇÃO",IF(K266&lt;=5,"OPORTUNO","MUITO BOM")))</f>
        <v/>
      </c>
      <c r="N266" s="9" t="n">
        <v>99.26000000000001</v>
      </c>
      <c r="O266" s="9" t="n">
        <v>29.57198443579767</v>
      </c>
    </row>
    <row r="267">
      <c r="A267" s="11" t="n">
        <v>46141</v>
      </c>
      <c r="B267" t="inlineStr">
        <is>
          <t>Francielson de Oliveira</t>
        </is>
      </c>
      <c r="C267" t="inlineStr">
        <is>
          <t>Técnico III</t>
        </is>
      </c>
      <c r="D267" s="9" t="n">
        <v>31</v>
      </c>
      <c r="E267" s="9" t="n">
        <v>29</v>
      </c>
      <c r="F267" s="9" t="n">
        <v>16.58</v>
      </c>
      <c r="G267" s="9" t="n">
        <v>0</v>
      </c>
      <c r="H267" s="9" t="n">
        <v>0</v>
      </c>
      <c r="I267" s="3">
        <f>E267+G267+H267</f>
        <v/>
      </c>
      <c r="J267" s="3">
        <f>ROUND(MIN(IF(C267="Técnico III",35,IF(C267="Técnico II",28,IF(C267="Técnico I",23,IF(C267="JR",20,IF(C267="Estágio",10,0))))),IF(C267="Técnico III",SUMIFS($D:$D,$A:$A,$A267,$B:$B,"&lt;&gt;Patrícia Karla de Sousa Araújo",$B:$B,"&lt;&gt;Lorena Dias de Araujo",$B:$B,"&lt;&gt;Lucas Luiz Romero")*(35/1083),IF(C267="Técnico II",SUMIFS($D:$D,$A:$A,$A267,$B:$B,"&lt;&gt;Patrícia Karla de Sousa Araújo",$B:$B,"&lt;&gt;Lorena Dias de Araujo",$B:$B,"&lt;&gt;Lucas Luiz Romero")*(28/1083),IF(C267="Técnico I",SUMIFS($D:$D,$A:$A,$A267,$B:$B,"&lt;&gt;Patrícia Karla de Sousa Araújo",$B:$B,"&lt;&gt;Lorena Dias de Araujo",$B:$B,"&lt;&gt;Lucas Luiz Romero")*(23/1083),IF(C267="JR",SUMIFS($D:$D,$A:$A,$A267,$B:$B,"&lt;&gt;Patrícia Karla de Sousa Araújo",$B:$B,"&lt;&gt;Lorena Dias de Araujo",$B:$B,"&lt;&gt;Lucas Luiz Romero")*(20/1083),IF(C267="Estágio",SUMIFS($D:$D,$A:$A,$A267,$B:$B,"&lt;&gt;Patrícia Karla de Sousa Araújo",$B:$B,"&lt;&gt;Lorena Dias de Araujo",$B:$B,"&lt;&gt;Lucas Luiz Romero")*(10/1083),0)))))),0)</f>
        <v/>
      </c>
      <c r="K267" s="3">
        <f>I267-J267</f>
        <v/>
      </c>
      <c r="L267" s="3">
        <f>IF(K267&lt;-5,"CRÍTICO",IF(K267&lt;0,"ATENÇÃO",IF(K267&lt;=5,"OPORTUNO","MUITO BOM")))</f>
        <v/>
      </c>
      <c r="N267" s="9" t="n">
        <v>99.26000000000001</v>
      </c>
      <c r="O267" s="9" t="n">
        <v>29.57198443579767</v>
      </c>
    </row>
    <row r="268">
      <c r="A268" s="11" t="n">
        <v>46142</v>
      </c>
      <c r="B268" t="inlineStr">
        <is>
          <t>Francielson de Oliveira</t>
        </is>
      </c>
      <c r="C268" t="inlineStr">
        <is>
          <t>Técnico III</t>
        </is>
      </c>
      <c r="D268" s="9" t="n">
        <v>29</v>
      </c>
      <c r="E268" s="9" t="n">
        <v>26</v>
      </c>
      <c r="F268" s="9" t="n">
        <v>15.07</v>
      </c>
      <c r="G268" s="9" t="n">
        <v>0</v>
      </c>
      <c r="H268" s="9" t="n">
        <v>0</v>
      </c>
      <c r="I268" s="3">
        <f>E268+G268+H268</f>
        <v/>
      </c>
      <c r="J268" s="3">
        <f>ROUND(MIN(IF(C268="Técnico III",35,IF(C268="Técnico II",28,IF(C268="Técnico I",23,IF(C268="JR",20,IF(C268="Estágio",10,0))))),IF(C268="Técnico III",SUMIFS($D:$D,$A:$A,$A268,$B:$B,"&lt;&gt;Patrícia Karla de Sousa Araújo",$B:$B,"&lt;&gt;Lorena Dias de Araujo",$B:$B,"&lt;&gt;Lucas Luiz Romero")*(35/1083),IF(C268="Técnico II",SUMIFS($D:$D,$A:$A,$A268,$B:$B,"&lt;&gt;Patrícia Karla de Sousa Araújo",$B:$B,"&lt;&gt;Lorena Dias de Araujo",$B:$B,"&lt;&gt;Lucas Luiz Romero")*(28/1083),IF(C268="Técnico I",SUMIFS($D:$D,$A:$A,$A268,$B:$B,"&lt;&gt;Patrícia Karla de Sousa Araújo",$B:$B,"&lt;&gt;Lorena Dias de Araujo",$B:$B,"&lt;&gt;Lucas Luiz Romero")*(23/1083),IF(C268="JR",SUMIFS($D:$D,$A:$A,$A268,$B:$B,"&lt;&gt;Patrícia Karla de Sousa Araújo",$B:$B,"&lt;&gt;Lorena Dias de Araujo",$B:$B,"&lt;&gt;Lucas Luiz Romero")*(20/1083),IF(C268="Estágio",SUMIFS($D:$D,$A:$A,$A268,$B:$B,"&lt;&gt;Patrícia Karla de Sousa Araújo",$B:$B,"&lt;&gt;Lorena Dias de Araujo",$B:$B,"&lt;&gt;Lucas Luiz Romero")*(10/1083),0)))))),0)</f>
        <v/>
      </c>
      <c r="K268" s="3">
        <f>I268-J268</f>
        <v/>
      </c>
      <c r="L268" s="3">
        <f>IF(K268&lt;-5,"CRÍTICO",IF(K268&lt;0,"ATENÇÃO",IF(K268&lt;=5,"OPORTUNO","MUITO BOM")))</f>
        <v/>
      </c>
      <c r="N268" s="9" t="n">
        <v>99.26000000000001</v>
      </c>
      <c r="O268" s="9" t="n">
        <v>29.57198443579767</v>
      </c>
    </row>
    <row r="269">
      <c r="A269" s="5" t="n">
        <v>46146</v>
      </c>
      <c r="B269" s="6" t="inlineStr">
        <is>
          <t>Francielson de Oliveira</t>
        </is>
      </c>
      <c r="C269" s="9" t="inlineStr">
        <is>
          <t>Técnico III</t>
        </is>
      </c>
      <c r="D269" s="3" t="n">
        <v>0</v>
      </c>
      <c r="E269" s="3" t="n">
        <v>0</v>
      </c>
      <c r="F269" s="3" t="n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>
        <f>IF(K269&lt;-5,"CRÍTICO",IF(K269&lt;0,"ATENÇÃO",IF(K269&lt;=5,"BOM","EXCELENTE")))</f>
        <v/>
      </c>
      <c r="M269" s="9" t="n">
        <v>0</v>
      </c>
      <c r="N269" s="9" t="n">
        <v>100</v>
      </c>
      <c r="O269" s="9" t="n">
        <v>9.523809523809524</v>
      </c>
    </row>
    <row r="270">
      <c r="A270" s="5" t="n">
        <v>46147</v>
      </c>
      <c r="B270" s="6" t="inlineStr">
        <is>
          <t>Francielson de Oliveira</t>
        </is>
      </c>
      <c r="C270" s="9" t="inlineStr">
        <is>
          <t>Técnico III</t>
        </is>
      </c>
      <c r="D270" s="3" t="n">
        <v>0</v>
      </c>
      <c r="E270" s="3" t="n">
        <v>0</v>
      </c>
      <c r="F270" s="3" t="n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>
        <f>IF(K270&lt;-5,"CRÍTICO",IF(K270&lt;0,"ATENÇÃO",IF(K270&lt;=5,"BOM","EXCELENTE")))</f>
        <v/>
      </c>
      <c r="M270" s="3" t="n">
        <v>0</v>
      </c>
      <c r="N270" s="3" t="n">
        <v>100</v>
      </c>
      <c r="O270" s="3" t="n">
        <v>9.523809523809524</v>
      </c>
    </row>
    <row r="271">
      <c r="A271" s="5" t="n">
        <v>46148</v>
      </c>
      <c r="B271" s="6" t="inlineStr">
        <is>
          <t>Francielson de Oliveira</t>
        </is>
      </c>
      <c r="C271" s="9" t="inlineStr">
        <is>
          <t>Técnico III</t>
        </is>
      </c>
      <c r="D271" s="3" t="n">
        <v>0</v>
      </c>
      <c r="E271" s="3" t="n">
        <v>0</v>
      </c>
      <c r="F271" s="3" t="n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>
        <f>IF(K271&lt;-5,"CRÍTICO",IF(K271&lt;0,"ATENÇÃO",IF(K271&lt;=5,"BOM","EXCELENTE")))</f>
        <v/>
      </c>
      <c r="M271" s="3" t="n">
        <v>0</v>
      </c>
      <c r="N271" s="3" t="n">
        <v>100</v>
      </c>
      <c r="O271" s="3" t="n">
        <v>9.523809523809524</v>
      </c>
    </row>
    <row r="272">
      <c r="A272" s="11" t="n">
        <v>46168</v>
      </c>
      <c r="B272" t="inlineStr">
        <is>
          <t>Francielson de Oliveira</t>
        </is>
      </c>
      <c r="C272" t="inlineStr">
        <is>
          <t>Técnico III</t>
        </is>
      </c>
      <c r="D272" s="9" t="n">
        <v>38</v>
      </c>
      <c r="E272" s="9" t="n">
        <v>35</v>
      </c>
      <c r="F272" s="9" t="n">
        <v>12</v>
      </c>
      <c r="G272" s="9" t="n">
        <v>3</v>
      </c>
    </row>
    <row r="273">
      <c r="A273" s="11" t="n">
        <v>46140</v>
      </c>
      <c r="B273" t="inlineStr">
        <is>
          <t>Janaina Lima dos Reis Urany</t>
        </is>
      </c>
      <c r="C273" t="inlineStr">
        <is>
          <t>Técnico III</t>
        </is>
      </c>
      <c r="D273" s="9" t="n">
        <v>38</v>
      </c>
      <c r="E273" s="9" t="n">
        <v>35</v>
      </c>
      <c r="F273" s="9" t="n">
        <v>16.57</v>
      </c>
      <c r="G273" s="9" t="n">
        <v>0</v>
      </c>
      <c r="H273" s="9" t="n">
        <v>0</v>
      </c>
      <c r="I273" s="3">
        <f>E273+G273+H273</f>
        <v/>
      </c>
      <c r="J273" s="3">
        <f>ROUND(MIN(IF(C273="Técnico III",35,IF(C273="Técnico II",28,IF(C273="Técnico I",23,IF(C273="JR",20,IF(C273="Estágio",10,0))))),IF(C273="Técnico III",SUMIFS($D:$D,$A:$A,$A273,$B:$B,"&lt;&gt;Patrícia Karla de Sousa Araújo",$B:$B,"&lt;&gt;Lorena Dias de Araujo",$B:$B,"&lt;&gt;Lucas Luiz Romero")*(35/1083),IF(C273="Técnico II",SUMIFS($D:$D,$A:$A,$A273,$B:$B,"&lt;&gt;Patrícia Karla de Sousa Araújo",$B:$B,"&lt;&gt;Lorena Dias de Araujo",$B:$B,"&lt;&gt;Lucas Luiz Romero")*(28/1083),IF(C273="Técnico I",SUMIFS($D:$D,$A:$A,$A273,$B:$B,"&lt;&gt;Patrícia Karla de Sousa Araújo",$B:$B,"&lt;&gt;Lorena Dias de Araujo",$B:$B,"&lt;&gt;Lucas Luiz Romero")*(23/1083),IF(C273="JR",SUMIFS($D:$D,$A:$A,$A273,$B:$B,"&lt;&gt;Patrícia Karla de Sousa Araújo",$B:$B,"&lt;&gt;Lorena Dias de Araujo",$B:$B,"&lt;&gt;Lucas Luiz Romero")*(20/1083),IF(C273="Estágio",SUMIFS($D:$D,$A:$A,$A273,$B:$B,"&lt;&gt;Patrícia Karla de Sousa Araújo",$B:$B,"&lt;&gt;Lorena Dias de Araujo",$B:$B,"&lt;&gt;Lucas Luiz Romero")*(10/1083),0)))))),0)</f>
        <v/>
      </c>
      <c r="K273" s="3">
        <f>I273-J273</f>
        <v/>
      </c>
      <c r="L273" s="3">
        <f>IF(K273&lt;-5,"CRÍTICO",IF(K273&lt;0,"ATENÇÃO",IF(K273&lt;=5,"OPORTUNO","MUITO BOM")))</f>
        <v/>
      </c>
      <c r="N273" s="9" t="n">
        <v>99.56999999999999</v>
      </c>
      <c r="O273" s="9" t="n">
        <v>29.91329479768786</v>
      </c>
    </row>
    <row r="274">
      <c r="A274" s="11" t="n">
        <v>46141</v>
      </c>
      <c r="B274" t="inlineStr">
        <is>
          <t>Janaina Lima dos Reis Urany</t>
        </is>
      </c>
      <c r="C274" t="inlineStr">
        <is>
          <t>Técnico III</t>
        </is>
      </c>
      <c r="D274" s="9" t="n">
        <v>44</v>
      </c>
      <c r="E274" s="9" t="n">
        <v>40</v>
      </c>
      <c r="F274" s="9" t="n">
        <v>12.14</v>
      </c>
      <c r="G274" s="9" t="n">
        <v>0</v>
      </c>
      <c r="H274" s="9" t="n">
        <v>0</v>
      </c>
      <c r="I274" s="3">
        <f>E274+G274+H274</f>
        <v/>
      </c>
      <c r="J274" s="3">
        <f>ROUND(MIN(IF(C274="Técnico III",35,IF(C274="Técnico II",28,IF(C274="Técnico I",23,IF(C274="JR",20,IF(C274="Estágio",10,0))))),IF(C274="Técnico III",SUMIFS($D:$D,$A:$A,$A274,$B:$B,"&lt;&gt;Patrícia Karla de Sousa Araújo",$B:$B,"&lt;&gt;Lorena Dias de Araujo",$B:$B,"&lt;&gt;Lucas Luiz Romero")*(35/1083),IF(C274="Técnico II",SUMIFS($D:$D,$A:$A,$A274,$B:$B,"&lt;&gt;Patrícia Karla de Sousa Araújo",$B:$B,"&lt;&gt;Lorena Dias de Araujo",$B:$B,"&lt;&gt;Lucas Luiz Romero")*(28/1083),IF(C274="Técnico I",SUMIFS($D:$D,$A:$A,$A274,$B:$B,"&lt;&gt;Patrícia Karla de Sousa Araújo",$B:$B,"&lt;&gt;Lorena Dias de Araujo",$B:$B,"&lt;&gt;Lucas Luiz Romero")*(23/1083),IF(C274="JR",SUMIFS($D:$D,$A:$A,$A274,$B:$B,"&lt;&gt;Patrícia Karla de Sousa Araújo",$B:$B,"&lt;&gt;Lorena Dias de Araujo",$B:$B,"&lt;&gt;Lucas Luiz Romero")*(20/1083),IF(C274="Estágio",SUMIFS($D:$D,$A:$A,$A274,$B:$B,"&lt;&gt;Patrícia Karla de Sousa Araújo",$B:$B,"&lt;&gt;Lorena Dias de Araujo",$B:$B,"&lt;&gt;Lucas Luiz Romero")*(10/1083),0)))))),0)</f>
        <v/>
      </c>
      <c r="K274" s="3">
        <f>I274-J274</f>
        <v/>
      </c>
      <c r="L274" s="3">
        <f>IF(K274&lt;-5,"CRÍTICO",IF(K274&lt;0,"ATENÇÃO",IF(K274&lt;=5,"OPORTUNO","MUITO BOM")))</f>
        <v/>
      </c>
      <c r="N274" s="9" t="n">
        <v>99.56999999999999</v>
      </c>
      <c r="O274" s="9" t="n">
        <v>29.91329479768786</v>
      </c>
    </row>
    <row r="275">
      <c r="A275" s="11" t="n">
        <v>46142</v>
      </c>
      <c r="B275" t="inlineStr">
        <is>
          <t>Janaina Lima dos Reis Urany</t>
        </is>
      </c>
      <c r="C275" t="inlineStr">
        <is>
          <t>Técnico III</t>
        </is>
      </c>
      <c r="D275" s="9" t="n">
        <v>47</v>
      </c>
      <c r="E275" s="9" t="n">
        <v>42</v>
      </c>
      <c r="F275" s="9" t="n">
        <v>12.14</v>
      </c>
      <c r="G275" s="9" t="n">
        <v>0</v>
      </c>
      <c r="H275" s="9" t="n">
        <v>0</v>
      </c>
      <c r="I275" s="3">
        <f>E275+G275+H275</f>
        <v/>
      </c>
      <c r="J275" s="3">
        <f>ROUND(MIN(IF(C275="Técnico III",35,IF(C275="Técnico II",28,IF(C275="Técnico I",23,IF(C275="JR",20,IF(C275="Estágio",10,0))))),IF(C275="Técnico III",SUMIFS($D:$D,$A:$A,$A275,$B:$B,"&lt;&gt;Patrícia Karla de Sousa Araújo",$B:$B,"&lt;&gt;Lorena Dias de Araujo",$B:$B,"&lt;&gt;Lucas Luiz Romero")*(35/1083),IF(C275="Técnico II",SUMIFS($D:$D,$A:$A,$A275,$B:$B,"&lt;&gt;Patrícia Karla de Sousa Araújo",$B:$B,"&lt;&gt;Lorena Dias de Araujo",$B:$B,"&lt;&gt;Lucas Luiz Romero")*(28/1083),IF(C275="Técnico I",SUMIFS($D:$D,$A:$A,$A275,$B:$B,"&lt;&gt;Patrícia Karla de Sousa Araújo",$B:$B,"&lt;&gt;Lorena Dias de Araujo",$B:$B,"&lt;&gt;Lucas Luiz Romero")*(23/1083),IF(C275="JR",SUMIFS($D:$D,$A:$A,$A275,$B:$B,"&lt;&gt;Patrícia Karla de Sousa Araújo",$B:$B,"&lt;&gt;Lorena Dias de Araujo",$B:$B,"&lt;&gt;Lucas Luiz Romero")*(20/1083),IF(C275="Estágio",SUMIFS($D:$D,$A:$A,$A275,$B:$B,"&lt;&gt;Patrícia Karla de Sousa Araújo",$B:$B,"&lt;&gt;Lorena Dias de Araujo",$B:$B,"&lt;&gt;Lucas Luiz Romero")*(10/1083),0)))))),0)</f>
        <v/>
      </c>
      <c r="K275" s="3">
        <f>I275-J275</f>
        <v/>
      </c>
      <c r="L275" s="3">
        <f>IF(K275&lt;-5,"CRÍTICO",IF(K275&lt;0,"ATENÇÃO",IF(K275&lt;=5,"OPORTUNO","MUITO BOM")))</f>
        <v/>
      </c>
      <c r="N275" s="9" t="n">
        <v>99.56999999999999</v>
      </c>
      <c r="O275" s="9" t="n">
        <v>29.91329479768786</v>
      </c>
    </row>
    <row r="276">
      <c r="A276" s="5" t="n">
        <v>46146</v>
      </c>
      <c r="B276" s="6" t="inlineStr">
        <is>
          <t>Janaina Lima dos Reis Urany</t>
        </is>
      </c>
      <c r="C276" s="3" t="inlineStr">
        <is>
          <t>Técnico III</t>
        </is>
      </c>
      <c r="D276" s="3" t="n">
        <v>47</v>
      </c>
      <c r="E276" s="3" t="n">
        <v>44</v>
      </c>
      <c r="F276" s="3" t="n">
        <v>12.18</v>
      </c>
      <c r="G276" s="3" t="n">
        <v>5</v>
      </c>
      <c r="H276" s="3" t="n">
        <v>0</v>
      </c>
      <c r="I276" s="3">
        <f>E276+G276+H276</f>
        <v/>
      </c>
      <c r="J276" s="3">
        <f>ROUND(MIN(IF(C276="Técnico III",35,IF(C276="Técnico II",28,IF(C276="Técnico I",23,IF(C276="JR",20,IF(C276="Estágio",10,0))))),IF(C276="Técnico III",SUMIFS($D:$D,$A:$A,$A276,$B:$B,"&lt;&gt;Patrícia Karla de Sousa Araújo",$B:$B,"&lt;&gt;Lorena Dias de Araujo",$B:$B,"&lt;&gt;Lucas Luiz Romero")*(35/1083),IF(C276="Técnico II",SUMIFS($D:$D,$A:$A,$A276,$B:$B,"&lt;&gt;Patrícia Karla de Sousa Araújo",$B:$B,"&lt;&gt;Lorena Dias de Araujo",$B:$B,"&lt;&gt;Lucas Luiz Romero")*(28/1083),IF(C276="Técnico I",SUMIFS($D:$D,$A:$A,$A276,$B:$B,"&lt;&gt;Patrícia Karla de Sousa Araújo",$B:$B,"&lt;&gt;Lorena Dias de Araujo",$B:$B,"&lt;&gt;Lucas Luiz Romero")*(23/1083),IF(C276="JR",SUMIFS($D:$D,$A:$A,$A276,$B:$B,"&lt;&gt;Patrícia Karla de Sousa Araújo",$B:$B,"&lt;&gt;Lorena Dias de Araujo",$B:$B,"&lt;&gt;Lucas Luiz Romero")*(20/1083),IF(C276="Estágio",SUMIFS($D:$D,$A:$A,$A276,$B:$B,"&lt;&gt;Patrícia Karla de Sousa Araújo",$B:$B,"&lt;&gt;Lorena Dias de Araujo",$B:$B,"&lt;&gt;Lucas Luiz Romero")*(10/1083),0)))))),0)</f>
        <v/>
      </c>
      <c r="K276" s="3">
        <f>I276-J276</f>
        <v/>
      </c>
      <c r="L276" s="3">
        <f>IF(K276&lt;-5,"CRÍTICO",IF(K276&lt;0,"ATENÇÃO",IF(K276&lt;=5,"BOM","EXCELENTE")))</f>
        <v/>
      </c>
      <c r="M276" s="9" t="n">
        <v>46</v>
      </c>
      <c r="N276" s="9" t="n">
        <v>98.64</v>
      </c>
      <c r="O276" s="9" t="n">
        <v>16.6383701188455</v>
      </c>
    </row>
    <row r="277">
      <c r="A277" s="5" t="n">
        <v>46147</v>
      </c>
      <c r="B277" s="6" t="inlineStr">
        <is>
          <t>Janaina Lima dos Reis Urany</t>
        </is>
      </c>
      <c r="C277" s="3" t="inlineStr">
        <is>
          <t>Técnico III</t>
        </is>
      </c>
      <c r="D277" s="3" t="n">
        <v>40</v>
      </c>
      <c r="E277" s="3" t="n">
        <v>40</v>
      </c>
      <c r="F277" s="9" t="n">
        <v>15.42</v>
      </c>
      <c r="G277" s="3" t="n">
        <v>2</v>
      </c>
      <c r="H277" s="3" t="n">
        <v>0</v>
      </c>
      <c r="I277" s="3">
        <f>E277+G277+H277</f>
        <v/>
      </c>
      <c r="J277" s="3">
        <f>ROUND(MIN(IF(C277="Técnico III",35,IF(C277="Técnico II",28,IF(C277="Técnico I",23,IF(C277="JR",20,IF(C277="Estágio",10,0))))),IF(C277="Técnico III",SUMIFS($D:$D,$A:$A,$A277,$B:$B,"&lt;&gt;Patrícia Karla de Sousa Araújo",$B:$B,"&lt;&gt;Lorena Dias de Araujo",$B:$B,"&lt;&gt;Lucas Luiz Romero")*(35/1083),IF(C277="Técnico II",SUMIFS($D:$D,$A:$A,$A277,$B:$B,"&lt;&gt;Patrícia Karla de Sousa Araújo",$B:$B,"&lt;&gt;Lorena Dias de Araujo",$B:$B,"&lt;&gt;Lucas Luiz Romero")*(28/1083),IF(C277="Técnico I",SUMIFS($D:$D,$A:$A,$A277,$B:$B,"&lt;&gt;Patrícia Karla de Sousa Araújo",$B:$B,"&lt;&gt;Lorena Dias de Araujo",$B:$B,"&lt;&gt;Lucas Luiz Romero")*(23/1083),IF(C277="JR",SUMIFS($D:$D,$A:$A,$A277,$B:$B,"&lt;&gt;Patrícia Karla de Sousa Araújo",$B:$B,"&lt;&gt;Lorena Dias de Araujo",$B:$B,"&lt;&gt;Lucas Luiz Romero")*(20/1083),IF(C277="Estágio",SUMIFS($D:$D,$A:$A,$A277,$B:$B,"&lt;&gt;Patrícia Karla de Sousa Araújo",$B:$B,"&lt;&gt;Lorena Dias de Araujo",$B:$B,"&lt;&gt;Lucas Luiz Romero")*(10/1083),0)))))),0)</f>
        <v/>
      </c>
      <c r="K277" s="3">
        <f>I277-J277</f>
        <v/>
      </c>
      <c r="L277" s="3">
        <f>IF(K277&lt;-5,"CRÍTICO",IF(K277&lt;0,"ATENÇÃO",IF(K277&lt;=5,"BOM","EXCELENTE")))</f>
        <v/>
      </c>
      <c r="M277" s="3" t="n">
        <v>40</v>
      </c>
      <c r="N277" s="3" t="n">
        <v>98.64</v>
      </c>
      <c r="O277" s="3" t="n">
        <v>16.6383701188455</v>
      </c>
    </row>
    <row r="278">
      <c r="A278" s="5" t="n">
        <v>46148</v>
      </c>
      <c r="B278" s="6" t="inlineStr">
        <is>
          <t>Janaina Lima dos Reis Urany</t>
        </is>
      </c>
      <c r="C278" s="3" t="inlineStr">
        <is>
          <t>Técnico III</t>
        </is>
      </c>
      <c r="D278" s="3" t="n">
        <v>52</v>
      </c>
      <c r="E278" s="3" t="n">
        <v>45</v>
      </c>
      <c r="F278" s="9" t="n">
        <v>13.59</v>
      </c>
      <c r="G278" s="3" t="n">
        <v>23</v>
      </c>
      <c r="H278" s="3" t="n">
        <v>0</v>
      </c>
      <c r="I278" s="3">
        <f>E278+G278+H278</f>
        <v/>
      </c>
      <c r="J278" s="3">
        <f>ROUND(MIN(IF(C278="Técnico III",35,IF(C278="Técnico II",28,IF(C278="Técnico I",23,IF(C278="JR",20,IF(C278="Estágio",10,0))))),IF(C278="Técnico III",SUMIFS($D:$D,$A:$A,$A278,$B:$B,"&lt;&gt;Patrícia Karla de Sousa Araújo",$B:$B,"&lt;&gt;Lorena Dias de Araujo",$B:$B,"&lt;&gt;Lucas Luiz Romero")*(35/1083),IF(C278="Técnico II",SUMIFS($D:$D,$A:$A,$A278,$B:$B,"&lt;&gt;Patrícia Karla de Sousa Araújo",$B:$B,"&lt;&gt;Lorena Dias de Araujo",$B:$B,"&lt;&gt;Lucas Luiz Romero")*(28/1083),IF(C278="Técnico I",SUMIFS($D:$D,$A:$A,$A278,$B:$B,"&lt;&gt;Patrícia Karla de Sousa Araújo",$B:$B,"&lt;&gt;Lorena Dias de Araujo",$B:$B,"&lt;&gt;Lucas Luiz Romero")*(23/1083),IF(C278="JR",SUMIFS($D:$D,$A:$A,$A278,$B:$B,"&lt;&gt;Patrícia Karla de Sousa Araújo",$B:$B,"&lt;&gt;Lorena Dias de Araujo",$B:$B,"&lt;&gt;Lucas Luiz Romero")*(20/1083),IF(C278="Estágio",SUMIFS($D:$D,$A:$A,$A278,$B:$B,"&lt;&gt;Patrícia Karla de Sousa Araújo",$B:$B,"&lt;&gt;Lorena Dias de Araujo",$B:$B,"&lt;&gt;Lucas Luiz Romero")*(10/1083),0)))))),0)</f>
        <v/>
      </c>
      <c r="K278" s="3">
        <f>I278-J278</f>
        <v/>
      </c>
      <c r="L278" s="3">
        <f>IF(K278&lt;-5,"CRÍTICO",IF(K278&lt;0,"ATENÇÃO",IF(K278&lt;=5,"BOM","EXCELENTE")))</f>
        <v/>
      </c>
      <c r="M278" s="3" t="n">
        <v>55</v>
      </c>
      <c r="N278" s="3" t="n">
        <v>98.64</v>
      </c>
      <c r="O278" s="3" t="n">
        <v>16.6383701188455</v>
      </c>
    </row>
    <row r="279">
      <c r="A279" s="11" t="n">
        <v>46168</v>
      </c>
      <c r="B279" t="inlineStr">
        <is>
          <t>Janaina Lima dos Reis Urany</t>
        </is>
      </c>
      <c r="C279" t="inlineStr">
        <is>
          <t>Técnico III</t>
        </is>
      </c>
      <c r="D279" s="9" t="n">
        <v>38</v>
      </c>
      <c r="E279" s="9" t="n">
        <v>35</v>
      </c>
      <c r="F279" s="9" t="n">
        <v>13.38</v>
      </c>
      <c r="G279" s="9" t="n">
        <v>5</v>
      </c>
    </row>
    <row r="280">
      <c r="A280" s="11" t="n">
        <v>46140</v>
      </c>
      <c r="B280" t="inlineStr">
        <is>
          <t>Jaqueline Evangelista da Silva Martins</t>
        </is>
      </c>
      <c r="C280" t="inlineStr">
        <is>
          <t>Técnico III</t>
        </is>
      </c>
      <c r="D280" s="9" t="n">
        <v>28</v>
      </c>
      <c r="E280" s="9" t="n">
        <v>28</v>
      </c>
      <c r="F280" s="9" t="n">
        <v>14.08</v>
      </c>
      <c r="G280" s="9" t="n">
        <v>0</v>
      </c>
      <c r="H280" s="9" t="n">
        <v>0</v>
      </c>
      <c r="I280" s="3">
        <f>E280+G280+H280</f>
        <v/>
      </c>
      <c r="J280" s="3">
        <f>ROUND(MIN(IF(C280="Técnico III",35,IF(C280="Técnico II",28,IF(C280="Técnico I",23,IF(C280="JR",20,IF(C280="Estágio",10,0))))),IF(C280="Técnico III",SUMIFS($D:$D,$A:$A,$A280,$B:$B,"&lt;&gt;Patrícia Karla de Sousa Araújo",$B:$B,"&lt;&gt;Lorena Dias de Araujo",$B:$B,"&lt;&gt;Lucas Luiz Romero")*(35/1083),IF(C280="Técnico II",SUMIFS($D:$D,$A:$A,$A280,$B:$B,"&lt;&gt;Patrícia Karla de Sousa Araújo",$B:$B,"&lt;&gt;Lorena Dias de Araujo",$B:$B,"&lt;&gt;Lucas Luiz Romero")*(28/1083),IF(C280="Técnico I",SUMIFS($D:$D,$A:$A,$A280,$B:$B,"&lt;&gt;Patrícia Karla de Sousa Araújo",$B:$B,"&lt;&gt;Lorena Dias de Araujo",$B:$B,"&lt;&gt;Lucas Luiz Romero")*(23/1083),IF(C280="JR",SUMIFS($D:$D,$A:$A,$A280,$B:$B,"&lt;&gt;Patrícia Karla de Sousa Araújo",$B:$B,"&lt;&gt;Lorena Dias de Araujo",$B:$B,"&lt;&gt;Lucas Luiz Romero")*(20/1083),IF(C280="Estágio",SUMIFS($D:$D,$A:$A,$A280,$B:$B,"&lt;&gt;Patrícia Karla de Sousa Araújo",$B:$B,"&lt;&gt;Lorena Dias de Araujo",$B:$B,"&lt;&gt;Lucas Luiz Romero")*(10/1083),0)))))),0)</f>
        <v/>
      </c>
      <c r="K280" s="3">
        <f>I280-J280</f>
        <v/>
      </c>
      <c r="L280" s="3">
        <f>IF(K280&lt;-5,"CRÍTICO",IF(K280&lt;0,"ATENÇÃO",IF(K280&lt;=5,"OPORTUNO","MUITO BOM")))</f>
        <v/>
      </c>
      <c r="N280" s="9" t="n">
        <v>95.65000000000001</v>
      </c>
      <c r="O280" s="9" t="n">
        <v>31.08108108108108</v>
      </c>
    </row>
    <row r="281">
      <c r="A281" s="11" t="n">
        <v>46141</v>
      </c>
      <c r="B281" t="inlineStr">
        <is>
          <t>Jaqueline Evangelista da Silva Martins</t>
        </is>
      </c>
      <c r="C281" t="inlineStr">
        <is>
          <t>Técnico III</t>
        </is>
      </c>
      <c r="D281" s="9" t="n">
        <v>22</v>
      </c>
      <c r="E281" s="9" t="n">
        <v>20</v>
      </c>
      <c r="F281" s="9" t="n">
        <v>15.05</v>
      </c>
      <c r="G281" s="9" t="n">
        <v>0</v>
      </c>
      <c r="H281" s="9" t="n">
        <v>0</v>
      </c>
      <c r="I281" s="3">
        <f>E281+G281+H281</f>
        <v/>
      </c>
      <c r="J281" s="3">
        <f>ROUND(MIN(IF(C281="Técnico III",35,IF(C281="Técnico II",28,IF(C281="Técnico I",23,IF(C281="JR",20,IF(C281="Estágio",10,0))))),IF(C281="Técnico III",SUMIFS($D:$D,$A:$A,$A281,$B:$B,"&lt;&gt;Patrícia Karla de Sousa Araújo",$B:$B,"&lt;&gt;Lorena Dias de Araujo",$B:$B,"&lt;&gt;Lucas Luiz Romero")*(35/1083),IF(C281="Técnico II",SUMIFS($D:$D,$A:$A,$A281,$B:$B,"&lt;&gt;Patrícia Karla de Sousa Araújo",$B:$B,"&lt;&gt;Lorena Dias de Araujo",$B:$B,"&lt;&gt;Lucas Luiz Romero")*(28/1083),IF(C281="Técnico I",SUMIFS($D:$D,$A:$A,$A281,$B:$B,"&lt;&gt;Patrícia Karla de Sousa Araújo",$B:$B,"&lt;&gt;Lorena Dias de Araujo",$B:$B,"&lt;&gt;Lucas Luiz Romero")*(23/1083),IF(C281="JR",SUMIFS($D:$D,$A:$A,$A281,$B:$B,"&lt;&gt;Patrícia Karla de Sousa Araújo",$B:$B,"&lt;&gt;Lorena Dias de Araujo",$B:$B,"&lt;&gt;Lucas Luiz Romero")*(20/1083),IF(C281="Estágio",SUMIFS($D:$D,$A:$A,$A281,$B:$B,"&lt;&gt;Patrícia Karla de Sousa Araújo",$B:$B,"&lt;&gt;Lorena Dias de Araujo",$B:$B,"&lt;&gt;Lucas Luiz Romero")*(10/1083),0)))))),0)</f>
        <v/>
      </c>
      <c r="K281" s="3">
        <f>I281-J281</f>
        <v/>
      </c>
      <c r="L281" s="3">
        <f>IF(K281&lt;-5,"CRÍTICO",IF(K281&lt;0,"ATENÇÃO",IF(K281&lt;=5,"OPORTUNO","MUITO BOM")))</f>
        <v/>
      </c>
      <c r="N281" s="9" t="n">
        <v>95.65000000000001</v>
      </c>
      <c r="O281" s="9" t="n">
        <v>31.08108108108108</v>
      </c>
    </row>
    <row r="282" hidden="1">
      <c r="A282" s="11" t="n">
        <v>46035</v>
      </c>
      <c r="B282" t="inlineStr">
        <is>
          <t>Gabriel Gomes de Andrade</t>
        </is>
      </c>
      <c r="C282" t="inlineStr">
        <is>
          <t>Técnico I</t>
        </is>
      </c>
      <c r="D282" t="n">
        <v>27</v>
      </c>
      <c r="E282" t="n">
        <v>24</v>
      </c>
      <c r="F282" t="n">
        <v>16.46</v>
      </c>
      <c r="G282" t="n">
        <v>0</v>
      </c>
      <c r="H282" t="n">
        <v>0</v>
      </c>
      <c r="I282" s="3">
        <f>E282+G282+H282</f>
        <v/>
      </c>
      <c r="J282" s="3">
        <f>ROUND(MIN(IF(C282="Técnico III",35,IF(C282="Técnico II",28,IF(C282="Técnico I",23,IF(C282="JR",20,IF(C282="Estágio",10,0))))),IF(C282="Técnico III",SUMIFS($D:$D,$A:$A,$A282,$B:$B,"&lt;&gt;Patrícia Karla de Sousa Araújo",$B:$B,"&lt;&gt;Lorena Dias de Araujo",$B:$B,"&lt;&gt;Lucas Luiz Romero")*(35/1083),IF(C282="Técnico II",SUMIFS($D:$D,$A:$A,$A282,$B:$B,"&lt;&gt;Patrícia Karla de Sousa Araújo",$B:$B,"&lt;&gt;Lorena Dias de Araujo",$B:$B,"&lt;&gt;Lucas Luiz Romero")*(28/1083),IF(C282="Técnico I",SUMIFS($D:$D,$A:$A,$A282,$B:$B,"&lt;&gt;Patrícia Karla de Sousa Araújo",$B:$B,"&lt;&gt;Lorena Dias de Araujo",$B:$B,"&lt;&gt;Lucas Luiz Romero")*(23/1083),IF(C282="JR",SUMIFS($D:$D,$A:$A,$A282,$B:$B,"&lt;&gt;Patrícia Karla de Sousa Araújo",$B:$B,"&lt;&gt;Lorena Dias de Araujo",$B:$B,"&lt;&gt;Lucas Luiz Romero")*(20/1083),IF(C282="Estágio",SUMIFS($D:$D,$A:$A,$A282,$B:$B,"&lt;&gt;Patrícia Karla de Sousa Araújo",$B:$B,"&lt;&gt;Lorena Dias de Araujo",$B:$B,"&lt;&gt;Lucas Luiz Romero")*(10/1083),0)))))),0)</f>
        <v/>
      </c>
      <c r="K282" s="3">
        <f>I282-J282</f>
        <v/>
      </c>
      <c r="L282" s="3">
        <f>IF(K282&lt;-5,"CRÍTICO",IF(K282&lt;0,"ATENÇÃO",IF(K282&lt;=5,"BOM","EXCELENTE")))</f>
        <v/>
      </c>
      <c r="M282" t="n">
        <v>22</v>
      </c>
      <c r="N282" t="n">
        <v>95.65000000000001</v>
      </c>
      <c r="O282" t="n">
        <v>30.37974683544304</v>
      </c>
    </row>
    <row r="283">
      <c r="A283" s="11" t="n">
        <v>46142</v>
      </c>
      <c r="B283" t="inlineStr">
        <is>
          <t>Jaqueline Evangelista da Silva Martins</t>
        </is>
      </c>
      <c r="C283" t="inlineStr">
        <is>
          <t>Técnico III</t>
        </is>
      </c>
      <c r="D283" s="9" t="n">
        <v>0</v>
      </c>
      <c r="E283" s="9" t="n">
        <v>0</v>
      </c>
      <c r="F283" s="9" t="n">
        <v>0</v>
      </c>
      <c r="G283" s="9" t="n">
        <v>0</v>
      </c>
      <c r="H283" s="9" t="n">
        <v>0</v>
      </c>
      <c r="I283" s="3" t="n">
        <v>0</v>
      </c>
      <c r="J283" s="3" t="n">
        <v>0</v>
      </c>
      <c r="K283" s="3" t="n">
        <v>0</v>
      </c>
      <c r="L283" s="3">
        <f>IF(K283&lt;-5,"CRÍTICO",IF(K283&lt;0,"ATENÇÃO",IF(K283&lt;=5,"OPORTUNO","MUITO BOM")))</f>
        <v/>
      </c>
      <c r="N283" s="9" t="n">
        <v>95.65000000000001</v>
      </c>
      <c r="O283" s="9" t="n">
        <v>31.08108108108108</v>
      </c>
    </row>
    <row r="284" hidden="1">
      <c r="A284" s="5" t="n">
        <v>46149</v>
      </c>
      <c r="B284" s="6" t="inlineStr">
        <is>
          <t>Amanda Moura Ferreira</t>
        </is>
      </c>
      <c r="C284" s="3" t="inlineStr">
        <is>
          <t>Técnico III</t>
        </is>
      </c>
      <c r="D284" s="3" t="n">
        <v>0</v>
      </c>
      <c r="E284" s="3" t="n">
        <v>0</v>
      </c>
      <c r="F284" s="3" t="n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>
        <f>IF(K284&lt;-5,"CRÍTICO",IF(K284&lt;0,"ATENÇÃO",IF(K284&lt;=5,"BOM","EXCELENTE")))</f>
        <v/>
      </c>
      <c r="M284" s="9" t="n">
        <v>0</v>
      </c>
      <c r="N284" s="9" t="n">
        <v>100</v>
      </c>
      <c r="O284" s="9" t="n">
        <v>0</v>
      </c>
    </row>
    <row r="285" hidden="1">
      <c r="A285" s="5" t="n">
        <v>46149</v>
      </c>
      <c r="B285" s="6" t="inlineStr">
        <is>
          <t>Ana Paula Da Luz Silva Aleixo</t>
        </is>
      </c>
      <c r="C285" s="9" t="inlineStr">
        <is>
          <t>Técnico III</t>
        </is>
      </c>
      <c r="D285" s="3" t="n">
        <v>32</v>
      </c>
      <c r="E285" s="3" t="n">
        <v>32</v>
      </c>
      <c r="F285" t="n">
        <v>17.26</v>
      </c>
      <c r="G285" s="3" t="n">
        <v>0</v>
      </c>
      <c r="H285" s="3" t="n">
        <v>0</v>
      </c>
      <c r="I285" s="3">
        <f>E285+G285+H285</f>
        <v/>
      </c>
      <c r="J285" s="3">
        <f>ROUND(MIN(IF(C285="Técnico III",35,IF(C285="Técnico II",28,IF(C285="Técnico I",23,IF(C285="JR",20,IF(C285="Estágio",10,0))))),IF(C285="Técnico III",SUMIFS($D:$D,$A:$A,$A285,$B:$B,"&lt;&gt;Patrícia Karla de Sousa Araújo",$B:$B,"&lt;&gt;Lorena Dias de Araujo",$B:$B,"&lt;&gt;Lucas Luiz Romero")*(35/1083),IF(C285="Técnico II",SUMIFS($D:$D,$A:$A,$A285,$B:$B,"&lt;&gt;Patrícia Karla de Sousa Araújo",$B:$B,"&lt;&gt;Lorena Dias de Araujo",$B:$B,"&lt;&gt;Lucas Luiz Romero")*(28/1083),IF(C285="Técnico I",SUMIFS($D:$D,$A:$A,$A285,$B:$B,"&lt;&gt;Patrícia Karla de Sousa Araújo",$B:$B,"&lt;&gt;Lorena Dias de Araujo",$B:$B,"&lt;&gt;Lucas Luiz Romero")*(23/1083),IF(C285="JR",SUMIFS($D:$D,$A:$A,$A285,$B:$B,"&lt;&gt;Patrícia Karla de Sousa Araújo",$B:$B,"&lt;&gt;Lorena Dias de Araujo",$B:$B,"&lt;&gt;Lucas Luiz Romero")*(20/1083),IF(C285="Estágio",SUMIFS($D:$D,$A:$A,$A285,$B:$B,"&lt;&gt;Patrícia Karla de Sousa Araújo",$B:$B,"&lt;&gt;Lorena Dias de Araujo",$B:$B,"&lt;&gt;Lucas Luiz Romero")*(10/1083),0)))))),0)</f>
        <v/>
      </c>
      <c r="K285" s="3">
        <f>I285-J285</f>
        <v/>
      </c>
      <c r="L285" s="3">
        <f>IF(K285&lt;-5,"CRÍTICO",IF(K285&lt;0,"ATENÇÃO",IF(K285&lt;=5,"BOM","EXCELENTE")))</f>
        <v/>
      </c>
      <c r="M285" s="3" t="n">
        <v>33</v>
      </c>
      <c r="N285" s="3" t="n">
        <v>96.34</v>
      </c>
      <c r="O285" s="3" t="n">
        <v>17.57188498402556</v>
      </c>
    </row>
    <row r="286" hidden="1">
      <c r="A286" s="5" t="n">
        <v>46149</v>
      </c>
      <c r="B286" s="6" t="inlineStr">
        <is>
          <t>Cristiane Ramos da Silva Rocha</t>
        </is>
      </c>
      <c r="C286" s="3" t="inlineStr">
        <is>
          <t>Técnico III</t>
        </is>
      </c>
      <c r="D286" s="3" t="n">
        <v>47</v>
      </c>
      <c r="E286" s="3" t="n">
        <v>44</v>
      </c>
      <c r="F286" t="n">
        <v>11.45</v>
      </c>
      <c r="G286" s="3" t="n">
        <v>0</v>
      </c>
      <c r="H286" s="3" t="n">
        <v>0</v>
      </c>
      <c r="I286" s="3">
        <f>E286+G286+H286</f>
        <v/>
      </c>
      <c r="J286" s="3">
        <f>ROUND(MIN(IF(C286="Técnico III",35,IF(C286="Técnico II",28,IF(C286="Técnico I",23,IF(C286="JR",20,IF(C286="Estágio",10,0))))),IF(C286="Técnico III",SUMIFS($D:$D,$A:$A,$A286,$B:$B,"&lt;&gt;Patrícia Karla de Sousa Araújo",$B:$B,"&lt;&gt;Lorena Dias de Araujo",$B:$B,"&lt;&gt;Lucas Luiz Romero")*(35/1083),IF(C286="Técnico II",SUMIFS($D:$D,$A:$A,$A286,$B:$B,"&lt;&gt;Patrícia Karla de Sousa Araújo",$B:$B,"&lt;&gt;Lorena Dias de Araujo",$B:$B,"&lt;&gt;Lucas Luiz Romero")*(28/1083),IF(C286="Técnico I",SUMIFS($D:$D,$A:$A,$A286,$B:$B,"&lt;&gt;Patrícia Karla de Sousa Araújo",$B:$B,"&lt;&gt;Lorena Dias de Araujo",$B:$B,"&lt;&gt;Lucas Luiz Romero")*(23/1083),IF(C286="JR",SUMIFS($D:$D,$A:$A,$A286,$B:$B,"&lt;&gt;Patrícia Karla de Sousa Araújo",$B:$B,"&lt;&gt;Lorena Dias de Araujo",$B:$B,"&lt;&gt;Lucas Luiz Romero")*(20/1083),IF(C286="Estágio",SUMIFS($D:$D,$A:$A,$A286,$B:$B,"&lt;&gt;Patrícia Karla de Sousa Araújo",$B:$B,"&lt;&gt;Lorena Dias de Araujo",$B:$B,"&lt;&gt;Lucas Luiz Romero")*(10/1083),0)))))),0)</f>
        <v/>
      </c>
      <c r="K286" s="3">
        <f>I286-J286</f>
        <v/>
      </c>
      <c r="L286" s="3">
        <f>IF(K286&lt;-5,"CRÍTICO",IF(K286&lt;0,"ATENÇÃO",IF(K286&lt;=5,"BOM","EXCELENTE")))</f>
        <v/>
      </c>
      <c r="M286" s="3" t="n">
        <v>38</v>
      </c>
      <c r="N286" s="3" t="n">
        <v>91.84999999999999</v>
      </c>
      <c r="O286" s="3" t="n">
        <v>20.87155963302752</v>
      </c>
    </row>
    <row r="287" hidden="1">
      <c r="A287" s="5" t="n">
        <v>46149</v>
      </c>
      <c r="B287" s="6" t="inlineStr">
        <is>
          <t>Davylla Rodrigues Freitas Silva</t>
        </is>
      </c>
      <c r="C287" s="9" t="inlineStr">
        <is>
          <t>Técnico III</t>
        </is>
      </c>
      <c r="D287" s="3" t="n">
        <v>31</v>
      </c>
      <c r="E287" s="3" t="n">
        <v>30</v>
      </c>
      <c r="F287" t="n">
        <v>21.48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>
        <f>IF(K287&lt;-5,"CRÍTICO",IF(K287&lt;0,"ATENÇÃO",IF(K287&lt;=5,"BOM","EXCELENTE")))</f>
        <v/>
      </c>
      <c r="M287" s="3" t="n">
        <v>29</v>
      </c>
      <c r="N287" s="3" t="n">
        <v>99.06</v>
      </c>
      <c r="O287" s="3" t="n">
        <v>22.95719844357977</v>
      </c>
    </row>
    <row r="288" hidden="1">
      <c r="A288" s="5" t="n">
        <v>46149</v>
      </c>
      <c r="B288" s="6" t="inlineStr">
        <is>
          <t>Francielson de Oliveira</t>
        </is>
      </c>
      <c r="C288" s="9" t="inlineStr">
        <is>
          <t>Técnico III</t>
        </is>
      </c>
      <c r="D288" s="3" t="n">
        <v>0</v>
      </c>
      <c r="E288" s="3" t="n">
        <v>0</v>
      </c>
      <c r="F288" s="3" t="n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>
        <f>IF(K288&lt;-5,"CRÍTICO",IF(K288&lt;0,"ATENÇÃO",IF(K288&lt;=5,"BOM","EXCELENTE")))</f>
        <v/>
      </c>
      <c r="M288" s="3" t="n">
        <v>0</v>
      </c>
      <c r="N288" s="3" t="n">
        <v>100</v>
      </c>
      <c r="O288" s="3" t="n">
        <v>9.523809523809524</v>
      </c>
    </row>
    <row r="289" hidden="1">
      <c r="A289" s="5" t="n">
        <v>46149</v>
      </c>
      <c r="B289" s="6" t="inlineStr">
        <is>
          <t>Janaina Lima dos Reis Urany</t>
        </is>
      </c>
      <c r="C289" s="3" t="inlineStr">
        <is>
          <t>Técnico III</t>
        </is>
      </c>
      <c r="D289" s="3" t="n">
        <v>56</v>
      </c>
      <c r="E289" s="3" t="n">
        <v>51</v>
      </c>
      <c r="F289" t="n">
        <v>13.48</v>
      </c>
      <c r="G289" s="3" t="n">
        <v>9</v>
      </c>
      <c r="H289" s="3" t="n">
        <v>0</v>
      </c>
      <c r="I289" s="3">
        <f>E289+G289+H289</f>
        <v/>
      </c>
      <c r="J289" s="3">
        <f>ROUND(MIN(IF(C289="Técnico III",35,IF(C289="Técnico II",28,IF(C289="Técnico I",23,IF(C289="JR",20,IF(C289="Estágio",10,0))))),IF(C289="Técnico III",SUMIFS($D:$D,$A:$A,$A289,$B:$B,"&lt;&gt;Patrícia Karla de Sousa Araújo",$B:$B,"&lt;&gt;Lorena Dias de Araujo",$B:$B,"&lt;&gt;Lucas Luiz Romero")*(35/1083),IF(C289="Técnico II",SUMIFS($D:$D,$A:$A,$A289,$B:$B,"&lt;&gt;Patrícia Karla de Sousa Araújo",$B:$B,"&lt;&gt;Lorena Dias de Araujo",$B:$B,"&lt;&gt;Lucas Luiz Romero")*(28/1083),IF(C289="Técnico I",SUMIFS($D:$D,$A:$A,$A289,$B:$B,"&lt;&gt;Patrícia Karla de Sousa Araújo",$B:$B,"&lt;&gt;Lorena Dias de Araujo",$B:$B,"&lt;&gt;Lucas Luiz Romero")*(23/1083),IF(C289="JR",SUMIFS($D:$D,$A:$A,$A289,$B:$B,"&lt;&gt;Patrícia Karla de Sousa Araújo",$B:$B,"&lt;&gt;Lorena Dias de Araujo",$B:$B,"&lt;&gt;Lucas Luiz Romero")*(20/1083),IF(C289="Estágio",SUMIFS($D:$D,$A:$A,$A289,$B:$B,"&lt;&gt;Patrícia Karla de Sousa Araújo",$B:$B,"&lt;&gt;Lorena Dias de Araujo",$B:$B,"&lt;&gt;Lucas Luiz Romero")*(10/1083),0)))))),0)</f>
        <v/>
      </c>
      <c r="K289" s="3">
        <f>I289-J289</f>
        <v/>
      </c>
      <c r="L289" s="3">
        <f>IF(K289&lt;-5,"CRÍTICO",IF(K289&lt;0,"ATENÇÃO",IF(K289&lt;=5,"BOM","EXCELENTE")))</f>
        <v/>
      </c>
      <c r="M289" s="3" t="n">
        <v>49</v>
      </c>
      <c r="N289" s="3" t="n">
        <v>98.64</v>
      </c>
      <c r="O289" s="3" t="n">
        <v>16.6383701188455</v>
      </c>
    </row>
    <row r="290" hidden="1">
      <c r="A290" s="5" t="n">
        <v>46149</v>
      </c>
      <c r="B290" s="6" t="inlineStr">
        <is>
          <t>Jaqueline Evangelista da Silva Martins</t>
        </is>
      </c>
      <c r="C290" s="3" t="inlineStr">
        <is>
          <t>Técnico III</t>
        </is>
      </c>
      <c r="D290" s="3" t="n">
        <v>48</v>
      </c>
      <c r="E290" s="3" t="n">
        <v>39</v>
      </c>
      <c r="F290" t="n">
        <v>10.43</v>
      </c>
      <c r="G290" s="3" t="n">
        <v>6</v>
      </c>
      <c r="H290" s="3" t="n">
        <v>0</v>
      </c>
      <c r="I290" s="3">
        <f>E290+G290+H290</f>
        <v/>
      </c>
      <c r="J290" s="3">
        <f>ROUND(MIN(IF(C290="Técnico III",35,IF(C290="Técnico II",28,IF(C290="Técnico I",23,IF(C290="JR",20,IF(C290="Estágio",10,0))))),IF(C290="Técnico III",SUMIFS($D:$D,$A:$A,$A290,$B:$B,"&lt;&gt;Patrícia Karla de Sousa Araújo",$B:$B,"&lt;&gt;Lorena Dias de Araujo",$B:$B,"&lt;&gt;Lucas Luiz Romero")*(35/1083),IF(C290="Técnico II",SUMIFS($D:$D,$A:$A,$A290,$B:$B,"&lt;&gt;Patrícia Karla de Sousa Araújo",$B:$B,"&lt;&gt;Lorena Dias de Araujo",$B:$B,"&lt;&gt;Lucas Luiz Romero")*(28/1083),IF(C290="Técnico I",SUMIFS($D:$D,$A:$A,$A290,$B:$B,"&lt;&gt;Patrícia Karla de Sousa Araújo",$B:$B,"&lt;&gt;Lorena Dias de Araujo",$B:$B,"&lt;&gt;Lucas Luiz Romero")*(23/1083),IF(C290="JR",SUMIFS($D:$D,$A:$A,$A290,$B:$B,"&lt;&gt;Patrícia Karla de Sousa Araújo",$B:$B,"&lt;&gt;Lorena Dias de Araujo",$B:$B,"&lt;&gt;Lucas Luiz Romero")*(20/1083),IF(C290="Estágio",SUMIFS($D:$D,$A:$A,$A290,$B:$B,"&lt;&gt;Patrícia Karla de Sousa Araújo",$B:$B,"&lt;&gt;Lorena Dias de Araujo",$B:$B,"&lt;&gt;Lucas Luiz Romero")*(10/1083),0)))))),0)</f>
        <v/>
      </c>
      <c r="K290" s="3">
        <f>I290-J290</f>
        <v/>
      </c>
      <c r="L290" s="3">
        <f>IF(K290&lt;-5,"CRÍTICO",IF(K290&lt;0,"ATENÇÃO",IF(K290&lt;=5,"BOM","EXCELENTE")))</f>
        <v/>
      </c>
      <c r="M290" s="3" t="n">
        <v>41</v>
      </c>
      <c r="N290" s="3" t="n">
        <v>95.40000000000001</v>
      </c>
      <c r="O290" s="3" t="n">
        <v>20.53333333333333</v>
      </c>
    </row>
    <row r="291" hidden="1">
      <c r="A291" s="5" t="n">
        <v>46149</v>
      </c>
      <c r="B291" s="6" t="inlineStr">
        <is>
          <t>Jéssica Fé Moura</t>
        </is>
      </c>
      <c r="C291" s="3" t="inlineStr">
        <is>
          <t>Técnico III</t>
        </is>
      </c>
      <c r="D291" s="3" t="n">
        <v>0</v>
      </c>
      <c r="E291" s="3" t="n">
        <v>0</v>
      </c>
      <c r="F291" s="3" t="n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>
        <f>IF(K291&lt;-5,"CRÍTICO",IF(K291&lt;0,"ATENÇÃO",IF(K291&lt;=5,"BOM","EXCELENTE")))</f>
        <v/>
      </c>
      <c r="M291" s="3" t="n">
        <v>0</v>
      </c>
      <c r="N291" s="3" t="n">
        <v>0</v>
      </c>
      <c r="O291" s="3" t="n">
        <v>0</v>
      </c>
    </row>
    <row r="292" hidden="1">
      <c r="A292" s="5" t="n">
        <v>46149</v>
      </c>
      <c r="B292" s="6" t="inlineStr">
        <is>
          <t>Kerollen Cristielly de Jesus Siqueira</t>
        </is>
      </c>
      <c r="C292" s="9" t="inlineStr">
        <is>
          <t>Técnico III</t>
        </is>
      </c>
      <c r="D292" s="3" t="n">
        <v>20</v>
      </c>
      <c r="E292" s="3" t="n">
        <v>19</v>
      </c>
      <c r="F292" t="n">
        <v>20.33</v>
      </c>
      <c r="G292" s="3" t="n">
        <v>4</v>
      </c>
      <c r="H292" s="3" t="n">
        <v>0</v>
      </c>
      <c r="I292" s="3">
        <f>E292+G292+H292</f>
        <v/>
      </c>
      <c r="J292" s="3">
        <f>ROUND(MIN(IF(C292="Técnico III",35,IF(C292="Técnico II",28,IF(C292="Técnico I",23,IF(C292="JR",20,IF(C292="Estágio",10,0))))),IF(C292="Técnico III",SUMIFS($D:$D,$A:$A,$A292,$B:$B,"&lt;&gt;Patrícia Karla de Sousa Araújo",$B:$B,"&lt;&gt;Lorena Dias de Araujo",$B:$B,"&lt;&gt;Lucas Luiz Romero")*(35/1083),IF(C292="Técnico II",SUMIFS($D:$D,$A:$A,$A292,$B:$B,"&lt;&gt;Patrícia Karla de Sousa Araújo",$B:$B,"&lt;&gt;Lorena Dias de Araujo",$B:$B,"&lt;&gt;Lucas Luiz Romero")*(28/1083),IF(C292="Técnico I",SUMIFS($D:$D,$A:$A,$A292,$B:$B,"&lt;&gt;Patrícia Karla de Sousa Araújo",$B:$B,"&lt;&gt;Lorena Dias de Araujo",$B:$B,"&lt;&gt;Lucas Luiz Romero")*(23/1083),IF(C292="JR",SUMIFS($D:$D,$A:$A,$A292,$B:$B,"&lt;&gt;Patrícia Karla de Sousa Araújo",$B:$B,"&lt;&gt;Lorena Dias de Araujo",$B:$B,"&lt;&gt;Lucas Luiz Romero")*(20/1083),IF(C292="Estágio",SUMIFS($D:$D,$A:$A,$A292,$B:$B,"&lt;&gt;Patrícia Karla de Sousa Araújo",$B:$B,"&lt;&gt;Lorena Dias de Araujo",$B:$B,"&lt;&gt;Lucas Luiz Romero")*(10/1083),0)))))),0)</f>
        <v/>
      </c>
      <c r="K292" s="3">
        <f>I292-J292</f>
        <v/>
      </c>
      <c r="L292" s="3">
        <f>IF(K292&lt;-5,"CRÍTICO",IF(K292&lt;0,"ATENÇÃO",IF(K292&lt;=5,"BOM","EXCELENTE")))</f>
        <v/>
      </c>
      <c r="M292" s="3" t="n">
        <v>23</v>
      </c>
      <c r="N292" s="3" t="n">
        <v>95.52</v>
      </c>
      <c r="O292" s="3" t="n">
        <v>10.56105610561056</v>
      </c>
    </row>
    <row r="293" hidden="1">
      <c r="A293" s="5" t="n">
        <v>46149</v>
      </c>
      <c r="B293" s="6" t="inlineStr">
        <is>
          <t>Leandro Oliveira de Sousa</t>
        </is>
      </c>
      <c r="C293" s="9" t="inlineStr">
        <is>
          <t>Técnico III</t>
        </is>
      </c>
      <c r="D293" s="3" t="n">
        <v>25</v>
      </c>
      <c r="E293" s="3" t="n">
        <v>23</v>
      </c>
      <c r="F293" t="n">
        <v>20.42</v>
      </c>
      <c r="G293" s="3" t="n">
        <v>0</v>
      </c>
      <c r="H293" s="3" t="n">
        <v>0</v>
      </c>
      <c r="I293" s="3">
        <f>E293+G293+H293</f>
        <v/>
      </c>
      <c r="J293" s="3">
        <f>ROUND(MIN(IF(C293="Técnico III",35,IF(C293="Técnico II",28,IF(C293="Técnico I",23,IF(C293="JR",20,IF(C293="Estágio",10,0))))),IF(C293="Técnico III",SUMIFS($D:$D,$A:$A,$A293,$B:$B,"&lt;&gt;Patrícia Karla de Sousa Araújo",$B:$B,"&lt;&gt;Lorena Dias de Araujo",$B:$B,"&lt;&gt;Lucas Luiz Romero")*(35/1083),IF(C293="Técnico II",SUMIFS($D:$D,$A:$A,$A293,$B:$B,"&lt;&gt;Patrícia Karla de Sousa Araújo",$B:$B,"&lt;&gt;Lorena Dias de Araujo",$B:$B,"&lt;&gt;Lucas Luiz Romero")*(28/1083),IF(C293="Técnico I",SUMIFS($D:$D,$A:$A,$A293,$B:$B,"&lt;&gt;Patrícia Karla de Sousa Araújo",$B:$B,"&lt;&gt;Lorena Dias de Araujo",$B:$B,"&lt;&gt;Lucas Luiz Romero")*(23/1083),IF(C293="JR",SUMIFS($D:$D,$A:$A,$A293,$B:$B,"&lt;&gt;Patrícia Karla de Sousa Araújo",$B:$B,"&lt;&gt;Lorena Dias de Araujo",$B:$B,"&lt;&gt;Lucas Luiz Romero")*(20/1083),IF(C293="Estágio",SUMIFS($D:$D,$A:$A,$A293,$B:$B,"&lt;&gt;Patrícia Karla de Sousa Araújo",$B:$B,"&lt;&gt;Lorena Dias de Araujo",$B:$B,"&lt;&gt;Lucas Luiz Romero")*(10/1083),0)))))),0)</f>
        <v/>
      </c>
      <c r="K293" s="3">
        <f>I293-J293</f>
        <v/>
      </c>
      <c r="L293" s="3">
        <f>IF(K293&lt;-5,"CRÍTICO",IF(K293&lt;0,"ATENÇÃO",IF(K293&lt;=5,"BOM","EXCELENTE")))</f>
        <v/>
      </c>
      <c r="M293" s="3" t="n">
        <v>25</v>
      </c>
      <c r="N293" s="3" t="n">
        <v>100</v>
      </c>
      <c r="O293" s="3" t="n">
        <v>15.58441558441558</v>
      </c>
    </row>
    <row r="294" hidden="1">
      <c r="A294" s="5" t="n">
        <v>46149</v>
      </c>
      <c r="B294" s="6" t="inlineStr">
        <is>
          <t>Lucas Luiz Romero</t>
        </is>
      </c>
      <c r="C294" s="3" t="inlineStr">
        <is>
          <t>Técnico III</t>
        </is>
      </c>
      <c r="D294" s="3" t="n">
        <v>0</v>
      </c>
      <c r="E294" s="3" t="n">
        <v>0</v>
      </c>
      <c r="F294" s="3" t="n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>
        <f>IF(K294&lt;-5,"CRÍTICO",IF(K294&lt;0,"ATENÇÃO",IF(K294&lt;=5,"BOM","EXCELENTE")))</f>
        <v/>
      </c>
      <c r="M294" s="3" t="n">
        <v>0</v>
      </c>
      <c r="N294" s="3" t="n">
        <v>100</v>
      </c>
      <c r="O294" s="3" t="n">
        <v>4.347826086956522</v>
      </c>
    </row>
    <row r="295" hidden="1">
      <c r="A295" s="5" t="n">
        <v>46149</v>
      </c>
      <c r="B295" s="6" t="inlineStr">
        <is>
          <t>Matheus Farias De Souza</t>
        </is>
      </c>
      <c r="C295" s="3" t="inlineStr">
        <is>
          <t>Técnico III</t>
        </is>
      </c>
      <c r="D295" s="3" t="n">
        <v>15</v>
      </c>
      <c r="E295" s="3" t="n">
        <v>14</v>
      </c>
      <c r="F295" t="n">
        <v>9.02</v>
      </c>
      <c r="G295" s="3" t="n">
        <v>0</v>
      </c>
      <c r="H295" s="3" t="n">
        <v>32</v>
      </c>
      <c r="I295" s="3">
        <f>E295+G295+H295</f>
        <v/>
      </c>
      <c r="J295" s="3">
        <f>ROUND(MIN(IF(C295="Técnico III",35,IF(C295="Técnico II",28,IF(C295="Técnico I",23,IF(C295="JR",20,IF(C295="Estágio",10,0))))),IF(C295="Técnico III",SUMIFS($D:$D,$A:$A,$A295,$B:$B,"&lt;&gt;Patrícia Karla de Sousa Araújo",$B:$B,"&lt;&gt;Lorena Dias de Araujo",$B:$B,"&lt;&gt;Lucas Luiz Romero")*(35/1083),IF(C295="Técnico II",SUMIFS($D:$D,$A:$A,$A295,$B:$B,"&lt;&gt;Patrícia Karla de Sousa Araújo",$B:$B,"&lt;&gt;Lorena Dias de Araujo",$B:$B,"&lt;&gt;Lucas Luiz Romero")*(28/1083),IF(C295="Técnico I",SUMIFS($D:$D,$A:$A,$A295,$B:$B,"&lt;&gt;Patrícia Karla de Sousa Araújo",$B:$B,"&lt;&gt;Lorena Dias de Araujo",$B:$B,"&lt;&gt;Lucas Luiz Romero")*(23/1083),IF(C295="JR",SUMIFS($D:$D,$A:$A,$A295,$B:$B,"&lt;&gt;Patrícia Karla de Sousa Araújo",$B:$B,"&lt;&gt;Lorena Dias de Araujo",$B:$B,"&lt;&gt;Lucas Luiz Romero")*(20/1083),IF(C295="Estágio",SUMIFS($D:$D,$A:$A,$A295,$B:$B,"&lt;&gt;Patrícia Karla de Sousa Araújo",$B:$B,"&lt;&gt;Lorena Dias de Araujo",$B:$B,"&lt;&gt;Lucas Luiz Romero")*(10/1083),0)))))),0)</f>
        <v/>
      </c>
      <c r="K295" s="3">
        <f>I295-J295</f>
        <v/>
      </c>
      <c r="L295" s="3">
        <f>IF(K295&lt;-5,"CRÍTICO",IF(K295&lt;0,"ATENÇÃO",IF(K295&lt;=5,"BOM","EXCELENTE")))</f>
        <v/>
      </c>
      <c r="M295" s="3" t="n">
        <v>35</v>
      </c>
      <c r="N295" s="3" t="n">
        <v>98.28</v>
      </c>
      <c r="O295" s="3" t="n">
        <v>9.037900874635568</v>
      </c>
    </row>
    <row r="296" hidden="1">
      <c r="A296" s="5" t="n">
        <v>46149</v>
      </c>
      <c r="B296" s="6" t="inlineStr">
        <is>
          <t>Maysa Victoria Dias Moura</t>
        </is>
      </c>
      <c r="C296" s="3" t="inlineStr">
        <is>
          <t>Técnico III</t>
        </is>
      </c>
      <c r="D296" s="3" t="n">
        <v>26</v>
      </c>
      <c r="E296" s="3" t="n">
        <v>23</v>
      </c>
      <c r="F296" t="n">
        <v>15.28</v>
      </c>
      <c r="G296" s="3" t="n">
        <v>6</v>
      </c>
      <c r="H296" s="3" t="n">
        <v>0</v>
      </c>
      <c r="I296" s="3">
        <f>E296+G296+H296</f>
        <v/>
      </c>
      <c r="J296" s="3">
        <f>ROUND(MIN(IF(C296="Técnico III",35,IF(C296="Técnico II",28,IF(C296="Técnico I",23,IF(C296="JR",20,IF(C296="Estágio",10,0))))),IF(C296="Técnico III",SUMIFS($D:$D,$A:$A,$A296,$B:$B,"&lt;&gt;Patrícia Karla de Sousa Araújo",$B:$B,"&lt;&gt;Lorena Dias de Araujo",$B:$B,"&lt;&gt;Lucas Luiz Romero")*(35/1083),IF(C296="Técnico II",SUMIFS($D:$D,$A:$A,$A296,$B:$B,"&lt;&gt;Patrícia Karla de Sousa Araújo",$B:$B,"&lt;&gt;Lorena Dias de Araujo",$B:$B,"&lt;&gt;Lucas Luiz Romero")*(28/1083),IF(C296="Técnico I",SUMIFS($D:$D,$A:$A,$A296,$B:$B,"&lt;&gt;Patrícia Karla de Sousa Araújo",$B:$B,"&lt;&gt;Lorena Dias de Araujo",$B:$B,"&lt;&gt;Lucas Luiz Romero")*(23/1083),IF(C296="JR",SUMIFS($D:$D,$A:$A,$A296,$B:$B,"&lt;&gt;Patrícia Karla de Sousa Araújo",$B:$B,"&lt;&gt;Lorena Dias de Araujo",$B:$B,"&lt;&gt;Lucas Luiz Romero")*(20/1083),IF(C296="Estágio",SUMIFS($D:$D,$A:$A,$A296,$B:$B,"&lt;&gt;Patrícia Karla de Sousa Araújo",$B:$B,"&lt;&gt;Lorena Dias de Araujo",$B:$B,"&lt;&gt;Lucas Luiz Romero")*(10/1083),0)))))),0)</f>
        <v/>
      </c>
      <c r="K296" s="3">
        <f>I296-J296</f>
        <v/>
      </c>
      <c r="L296" s="3">
        <f>IF(K296&lt;-5,"CRÍTICO",IF(K296&lt;0,"ATENÇÃO",IF(K296&lt;=5,"BOM","EXCELENTE")))</f>
        <v/>
      </c>
      <c r="M296" s="3" t="n">
        <v>26</v>
      </c>
      <c r="N296" s="3" t="n">
        <v>97.22</v>
      </c>
      <c r="O296" s="3" t="n">
        <v>19.09547738693467</v>
      </c>
    </row>
    <row r="297" hidden="1">
      <c r="A297" s="5" t="n">
        <v>46149</v>
      </c>
      <c r="B297" s="6" t="inlineStr">
        <is>
          <t>Rafael Gomes de Morais</t>
        </is>
      </c>
      <c r="C297" s="3" t="inlineStr">
        <is>
          <t>Técnico III</t>
        </is>
      </c>
      <c r="D297" s="3" t="n">
        <v>35</v>
      </c>
      <c r="E297" s="3" t="n">
        <v>30</v>
      </c>
      <c r="F297" t="n">
        <v>13.33</v>
      </c>
      <c r="G297" s="3" t="n">
        <v>8</v>
      </c>
      <c r="H297" s="3" t="n">
        <v>0</v>
      </c>
      <c r="I297" s="3">
        <f>E297+G297+H297</f>
        <v/>
      </c>
      <c r="J297" s="3">
        <f>ROUND(MIN(IF(C297="Técnico III",35,IF(C297="Técnico II",28,IF(C297="Técnico I",23,IF(C297="JR",20,IF(C297="Estágio",10,0))))),IF(C297="Técnico III",SUMIFS($D:$D,$A:$A,$A297,$B:$B,"&lt;&gt;Patrícia Karla de Sousa Araújo",$B:$B,"&lt;&gt;Lorena Dias de Araujo",$B:$B,"&lt;&gt;Lucas Luiz Romero")*(35/1083),IF(C297="Técnico II",SUMIFS($D:$D,$A:$A,$A297,$B:$B,"&lt;&gt;Patrícia Karla de Sousa Araújo",$B:$B,"&lt;&gt;Lorena Dias de Araujo",$B:$B,"&lt;&gt;Lucas Luiz Romero")*(28/1083),IF(C297="Técnico I",SUMIFS($D:$D,$A:$A,$A297,$B:$B,"&lt;&gt;Patrícia Karla de Sousa Araújo",$B:$B,"&lt;&gt;Lorena Dias de Araujo",$B:$B,"&lt;&gt;Lucas Luiz Romero")*(23/1083),IF(C297="JR",SUMIFS($D:$D,$A:$A,$A297,$B:$B,"&lt;&gt;Patrícia Karla de Sousa Araújo",$B:$B,"&lt;&gt;Lorena Dias de Araujo",$B:$B,"&lt;&gt;Lucas Luiz Romero")*(20/1083),IF(C297="Estágio",SUMIFS($D:$D,$A:$A,$A297,$B:$B,"&lt;&gt;Patrícia Karla de Sousa Araújo",$B:$B,"&lt;&gt;Lorena Dias de Araujo",$B:$B,"&lt;&gt;Lucas Luiz Romero")*(10/1083),0)))))),0)</f>
        <v/>
      </c>
      <c r="K297" s="3">
        <f>I297-J297</f>
        <v/>
      </c>
      <c r="L297" s="3">
        <f>IF(K297&lt;-5,"CRÍTICO",IF(K297&lt;0,"ATENÇÃO",IF(K297&lt;=5,"BOM","EXCELENTE")))</f>
        <v/>
      </c>
      <c r="M297" s="3" t="n">
        <v>37</v>
      </c>
      <c r="N297" s="3" t="n">
        <v>99.29000000000001</v>
      </c>
      <c r="O297" s="3" t="n">
        <v>22.49443207126949</v>
      </c>
    </row>
    <row r="298" hidden="1">
      <c r="A298" s="5" t="n">
        <v>46149</v>
      </c>
      <c r="B298" s="6" t="inlineStr">
        <is>
          <t>Sarah Steffanie de Lima Borges</t>
        </is>
      </c>
      <c r="C298" s="3" t="inlineStr">
        <is>
          <t>Técnico III</t>
        </is>
      </c>
      <c r="D298" s="3" t="n">
        <v>34</v>
      </c>
      <c r="E298" s="3" t="n">
        <v>31</v>
      </c>
      <c r="F298" t="n">
        <v>15.09</v>
      </c>
      <c r="G298" s="3" t="n">
        <v>1</v>
      </c>
      <c r="H298" s="3" t="n">
        <v>0</v>
      </c>
      <c r="I298" s="3">
        <f>E298+G298+H298</f>
        <v/>
      </c>
      <c r="J298" s="3">
        <f>ROUND(MIN(IF(C298="Técnico III",35,IF(C298="Técnico II",28,IF(C298="Técnico I",23,IF(C298="JR",20,IF(C298="Estágio",10,0))))),IF(C298="Técnico III",SUMIFS($D:$D,$A:$A,$A298,$B:$B,"&lt;&gt;Patrícia Karla de Sousa Araújo",$B:$B,"&lt;&gt;Lorena Dias de Araujo",$B:$B,"&lt;&gt;Lucas Luiz Romero")*(35/1083),IF(C298="Técnico II",SUMIFS($D:$D,$A:$A,$A298,$B:$B,"&lt;&gt;Patrícia Karla de Sousa Araújo",$B:$B,"&lt;&gt;Lorena Dias de Araujo",$B:$B,"&lt;&gt;Lucas Luiz Romero")*(28/1083),IF(C298="Técnico I",SUMIFS($D:$D,$A:$A,$A298,$B:$B,"&lt;&gt;Patrícia Karla de Sousa Araújo",$B:$B,"&lt;&gt;Lorena Dias de Araujo",$B:$B,"&lt;&gt;Lucas Luiz Romero")*(23/1083),IF(C298="JR",SUMIFS($D:$D,$A:$A,$A298,$B:$B,"&lt;&gt;Patrícia Karla de Sousa Araújo",$B:$B,"&lt;&gt;Lorena Dias de Araujo",$B:$B,"&lt;&gt;Lucas Luiz Romero")*(20/1083),IF(C298="Estágio",SUMIFS($D:$D,$A:$A,$A298,$B:$B,"&lt;&gt;Patrícia Karla de Sousa Araújo",$B:$B,"&lt;&gt;Lorena Dias de Araujo",$B:$B,"&lt;&gt;Lucas Luiz Romero")*(10/1083),0)))))),0)</f>
        <v/>
      </c>
      <c r="K298" s="3">
        <f>I298-J298</f>
        <v/>
      </c>
      <c r="L298" s="3">
        <f>IF(K298&lt;-5,"CRÍTICO",IF(K298&lt;0,"ATENÇÃO",IF(K298&lt;=5,"BOM","EXCELENTE")))</f>
        <v/>
      </c>
      <c r="M298" s="3" t="n">
        <v>28</v>
      </c>
      <c r="N298" s="3" t="n">
        <v>97.33</v>
      </c>
      <c r="O298" s="3" t="n">
        <v>15.80547112462006</v>
      </c>
    </row>
    <row r="299" hidden="1">
      <c r="A299" s="5" t="n">
        <v>46150</v>
      </c>
      <c r="B299" s="6" t="inlineStr">
        <is>
          <t>Amanda Moura Ferreira</t>
        </is>
      </c>
      <c r="C299" s="3" t="inlineStr">
        <is>
          <t>Técnico III</t>
        </is>
      </c>
      <c r="D299" s="3" t="n">
        <v>0</v>
      </c>
      <c r="E299" s="3" t="n">
        <v>0</v>
      </c>
      <c r="F299" s="3" t="n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>
        <f>IF(K299&lt;-5,"CRÍTICO",IF(K299&lt;0,"ATENÇÃO",IF(K299&lt;=5,"BOM","EXCELENTE")))</f>
        <v/>
      </c>
      <c r="M299" s="9" t="n">
        <v>0</v>
      </c>
      <c r="N299" s="9" t="n">
        <v>100</v>
      </c>
      <c r="O299" s="9" t="n">
        <v>0</v>
      </c>
    </row>
    <row r="300" hidden="1">
      <c r="A300" s="5" t="n">
        <v>46150</v>
      </c>
      <c r="B300" s="6" t="inlineStr">
        <is>
          <t>Ana Paula Da Luz Silva Aleixo</t>
        </is>
      </c>
      <c r="C300" s="9" t="inlineStr">
        <is>
          <t>Técnico III</t>
        </is>
      </c>
      <c r="D300" s="3" t="n">
        <v>22</v>
      </c>
      <c r="E300" s="3" t="n">
        <v>21</v>
      </c>
      <c r="F300" t="n">
        <v>16.5</v>
      </c>
      <c r="G300" s="3" t="n">
        <v>3</v>
      </c>
      <c r="H300" s="3" t="n">
        <v>0</v>
      </c>
      <c r="I300" s="3">
        <f>E300+G300+H300</f>
        <v/>
      </c>
      <c r="J300" s="3">
        <f>ROUND(MIN(IF(C300="Técnico III",35,IF(C300="Técnico II",28,IF(C300="Técnico I",23,IF(C300="JR",20,IF(C300="Estágio",10,0))))),IF(C300="Técnico III",SUMIFS($D:$D,$A:$A,$A300,$B:$B,"&lt;&gt;Patrícia Karla de Sousa Araújo",$B:$B,"&lt;&gt;Lorena Dias de Araujo",$B:$B,"&lt;&gt;Lucas Luiz Romero")*(35/1083),IF(C300="Técnico II",SUMIFS($D:$D,$A:$A,$A300,$B:$B,"&lt;&gt;Patrícia Karla de Sousa Araújo",$B:$B,"&lt;&gt;Lorena Dias de Araujo",$B:$B,"&lt;&gt;Lucas Luiz Romero")*(28/1083),IF(C300="Técnico I",SUMIFS($D:$D,$A:$A,$A300,$B:$B,"&lt;&gt;Patrícia Karla de Sousa Araújo",$B:$B,"&lt;&gt;Lorena Dias de Araujo",$B:$B,"&lt;&gt;Lucas Luiz Romero")*(23/1083),IF(C300="JR",SUMIFS($D:$D,$A:$A,$A300,$B:$B,"&lt;&gt;Patrícia Karla de Sousa Araújo",$B:$B,"&lt;&gt;Lorena Dias de Araujo",$B:$B,"&lt;&gt;Lucas Luiz Romero")*(20/1083),IF(C300="Estágio",SUMIFS($D:$D,$A:$A,$A300,$B:$B,"&lt;&gt;Patrícia Karla de Sousa Araújo",$B:$B,"&lt;&gt;Lorena Dias de Araujo",$B:$B,"&lt;&gt;Lucas Luiz Romero")*(10/1083),0)))))),0)</f>
        <v/>
      </c>
      <c r="K300" s="3">
        <f>I300-J300</f>
        <v/>
      </c>
      <c r="L300" s="3">
        <f>IF(K300&lt;-5,"CRÍTICO",IF(K300&lt;0,"ATENÇÃO",IF(K300&lt;=5,"BOM","EXCELENTE")))</f>
        <v/>
      </c>
      <c r="M300" t="n">
        <v>20</v>
      </c>
      <c r="N300" t="n">
        <v>96.34</v>
      </c>
      <c r="O300" t="n">
        <v>17.57188498402556</v>
      </c>
    </row>
    <row r="301" hidden="1">
      <c r="A301" s="5" t="n">
        <v>46150</v>
      </c>
      <c r="B301" s="6" t="inlineStr">
        <is>
          <t>Cristiane Ramos da Silva Rocha</t>
        </is>
      </c>
      <c r="C301" s="3" t="inlineStr">
        <is>
          <t>Técnico III</t>
        </is>
      </c>
      <c r="D301" s="3" t="n">
        <v>27</v>
      </c>
      <c r="E301" s="3" t="n">
        <v>26</v>
      </c>
      <c r="F301" t="n">
        <v>17.37</v>
      </c>
      <c r="G301" s="3" t="n">
        <v>0</v>
      </c>
      <c r="H301" s="3" t="n">
        <v>0</v>
      </c>
      <c r="I301" s="3">
        <f>E301+G301+H301</f>
        <v/>
      </c>
      <c r="J301" s="3">
        <f>ROUND(MIN(IF(C301="Técnico III",35,IF(C301="Técnico II",28,IF(C301="Técnico I",23,IF(C301="JR",20,IF(C301="Estágio",10,0))))),IF(C301="Técnico III",SUMIFS($D:$D,$A:$A,$A301,$B:$B,"&lt;&gt;Patrícia Karla de Sousa Araújo",$B:$B,"&lt;&gt;Lorena Dias de Araujo",$B:$B,"&lt;&gt;Lucas Luiz Romero")*(35/1083),IF(C301="Técnico II",SUMIFS($D:$D,$A:$A,$A301,$B:$B,"&lt;&gt;Patrícia Karla de Sousa Araújo",$B:$B,"&lt;&gt;Lorena Dias de Araujo",$B:$B,"&lt;&gt;Lucas Luiz Romero")*(28/1083),IF(C301="Técnico I",SUMIFS($D:$D,$A:$A,$A301,$B:$B,"&lt;&gt;Patrícia Karla de Sousa Araújo",$B:$B,"&lt;&gt;Lorena Dias de Araujo",$B:$B,"&lt;&gt;Lucas Luiz Romero")*(23/1083),IF(C301="JR",SUMIFS($D:$D,$A:$A,$A301,$B:$B,"&lt;&gt;Patrícia Karla de Sousa Araújo",$B:$B,"&lt;&gt;Lorena Dias de Araujo",$B:$B,"&lt;&gt;Lucas Luiz Romero")*(20/1083),IF(C301="Estágio",SUMIFS($D:$D,$A:$A,$A301,$B:$B,"&lt;&gt;Patrícia Karla de Sousa Araújo",$B:$B,"&lt;&gt;Lorena Dias de Araujo",$B:$B,"&lt;&gt;Lucas Luiz Romero")*(10/1083),0)))))),0)</f>
        <v/>
      </c>
      <c r="K301" s="3">
        <f>I301-J301</f>
        <v/>
      </c>
      <c r="L301" s="3">
        <f>IF(K301&lt;-5,"CRÍTICO",IF(K301&lt;0,"ATENÇÃO",IF(K301&lt;=5,"BOM","EXCELENTE")))</f>
        <v/>
      </c>
      <c r="M301" t="n">
        <v>25</v>
      </c>
      <c r="N301" t="n">
        <v>91.84999999999999</v>
      </c>
      <c r="O301" t="n">
        <v>20.87155963302752</v>
      </c>
    </row>
    <row r="302" hidden="1">
      <c r="A302" s="5" t="n">
        <v>46150</v>
      </c>
      <c r="B302" s="6" t="inlineStr">
        <is>
          <t>Davylla Rodrigues Freitas Silva</t>
        </is>
      </c>
      <c r="C302" s="9" t="inlineStr">
        <is>
          <t>Técnico III</t>
        </is>
      </c>
      <c r="D302" s="3" t="n">
        <v>17</v>
      </c>
      <c r="E302" s="3" t="n">
        <v>17</v>
      </c>
      <c r="F302" t="n">
        <v>25.05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>
        <f>IF(K302&lt;-5,"CRÍTICO",IF(K302&lt;0,"ATENÇÃO",IF(K302&lt;=5,"BOM","EXCELENTE")))</f>
        <v/>
      </c>
      <c r="M302" t="n">
        <v>22</v>
      </c>
      <c r="N302" t="n">
        <v>99.06</v>
      </c>
      <c r="O302" t="n">
        <v>22.95719844357977</v>
      </c>
    </row>
    <row r="303" hidden="1">
      <c r="A303" s="5" t="n">
        <v>46150</v>
      </c>
      <c r="B303" s="6" t="inlineStr">
        <is>
          <t>Francielson de Oliveira</t>
        </is>
      </c>
      <c r="C303" s="9" t="inlineStr">
        <is>
          <t>Técnico III</t>
        </is>
      </c>
      <c r="D303" s="3" t="n">
        <v>0</v>
      </c>
      <c r="E303" s="3" t="n">
        <v>0</v>
      </c>
      <c r="F303" s="3" t="n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>
        <f>IF(K303&lt;-5,"CRÍTICO",IF(K303&lt;0,"ATENÇÃO",IF(K303&lt;=5,"BOM","EXCELENTE")))</f>
        <v/>
      </c>
      <c r="M303" s="9" t="n">
        <v>0</v>
      </c>
      <c r="N303" s="9" t="n">
        <v>100</v>
      </c>
      <c r="O303" s="9" t="n">
        <v>9.523809523809524</v>
      </c>
    </row>
    <row r="304" hidden="1">
      <c r="A304" s="5" t="n">
        <v>46150</v>
      </c>
      <c r="B304" s="6" t="inlineStr">
        <is>
          <t>Janaina Lima dos Reis Urany</t>
        </is>
      </c>
      <c r="C304" s="3" t="inlineStr">
        <is>
          <t>Técnico III</t>
        </is>
      </c>
      <c r="D304" s="3" t="n">
        <v>41</v>
      </c>
      <c r="E304" s="3" t="n">
        <v>37</v>
      </c>
      <c r="F304" t="n">
        <v>14.1</v>
      </c>
      <c r="G304" s="3" t="n">
        <v>8</v>
      </c>
      <c r="H304" s="3" t="n">
        <v>0</v>
      </c>
      <c r="I304" s="3">
        <f>E304+G304+H304</f>
        <v/>
      </c>
      <c r="J304" s="3">
        <f>ROUND(MIN(IF(C304="Técnico III",35,IF(C304="Técnico II",28,IF(C304="Técnico I",23,IF(C304="JR",20,IF(C304="Estágio",10,0))))),IF(C304="Técnico III",SUMIFS($D:$D,$A:$A,$A304,$B:$B,"&lt;&gt;Patrícia Karla de Sousa Araújo",$B:$B,"&lt;&gt;Lorena Dias de Araujo",$B:$B,"&lt;&gt;Lucas Luiz Romero")*(35/1083),IF(C304="Técnico II",SUMIFS($D:$D,$A:$A,$A304,$B:$B,"&lt;&gt;Patrícia Karla de Sousa Araújo",$B:$B,"&lt;&gt;Lorena Dias de Araujo",$B:$B,"&lt;&gt;Lucas Luiz Romero")*(28/1083),IF(C304="Técnico I",SUMIFS($D:$D,$A:$A,$A304,$B:$B,"&lt;&gt;Patrícia Karla de Sousa Araújo",$B:$B,"&lt;&gt;Lorena Dias de Araujo",$B:$B,"&lt;&gt;Lucas Luiz Romero")*(23/1083),IF(C304="JR",SUMIFS($D:$D,$A:$A,$A304,$B:$B,"&lt;&gt;Patrícia Karla de Sousa Araújo",$B:$B,"&lt;&gt;Lorena Dias de Araujo",$B:$B,"&lt;&gt;Lucas Luiz Romero")*(20/1083),IF(C304="Estágio",SUMIFS($D:$D,$A:$A,$A304,$B:$B,"&lt;&gt;Patrícia Karla de Sousa Araújo",$B:$B,"&lt;&gt;Lorena Dias de Araujo",$B:$B,"&lt;&gt;Lucas Luiz Romero")*(10/1083),0)))))),0)</f>
        <v/>
      </c>
      <c r="K304" s="3">
        <f>I304-J304</f>
        <v/>
      </c>
      <c r="L304" s="3">
        <f>IF(K304&lt;-5,"CRÍTICO",IF(K304&lt;0,"ATENÇÃO",IF(K304&lt;=5,"BOM","EXCELENTE")))</f>
        <v/>
      </c>
      <c r="M304" t="n">
        <v>41</v>
      </c>
      <c r="N304" t="n">
        <v>98.64</v>
      </c>
      <c r="O304" t="n">
        <v>16.6383701188455</v>
      </c>
    </row>
    <row r="305" hidden="1">
      <c r="A305" s="5" t="n">
        <v>46150</v>
      </c>
      <c r="B305" s="6" t="inlineStr">
        <is>
          <t>Jaqueline Evangelista da Silva Martins</t>
        </is>
      </c>
      <c r="C305" s="3" t="inlineStr">
        <is>
          <t>Técnico III</t>
        </is>
      </c>
      <c r="D305" s="3" t="n">
        <v>20</v>
      </c>
      <c r="E305" s="3" t="n">
        <v>19</v>
      </c>
      <c r="F305" t="n">
        <v>12.31</v>
      </c>
      <c r="G305" s="3" t="n">
        <v>5</v>
      </c>
      <c r="H305" s="3" t="n">
        <v>0</v>
      </c>
      <c r="I305" s="3">
        <f>E305+G305+H305</f>
        <v/>
      </c>
      <c r="J305" s="3">
        <f>ROUND(MIN(IF(C305="Técnico III",35,IF(C305="Técnico II",28,IF(C305="Técnico I",23,IF(C305="JR",20,IF(C305="Estágio",10,0))))),IF(C305="Técnico III",SUMIFS($D:$D,$A:$A,$A305,$B:$B,"&lt;&gt;Patrícia Karla de Sousa Araújo",$B:$B,"&lt;&gt;Lorena Dias de Araujo",$B:$B,"&lt;&gt;Lucas Luiz Romero")*(35/1083),IF(C305="Técnico II",SUMIFS($D:$D,$A:$A,$A305,$B:$B,"&lt;&gt;Patrícia Karla de Sousa Araújo",$B:$B,"&lt;&gt;Lorena Dias de Araujo",$B:$B,"&lt;&gt;Lucas Luiz Romero")*(28/1083),IF(C305="Técnico I",SUMIFS($D:$D,$A:$A,$A305,$B:$B,"&lt;&gt;Patrícia Karla de Sousa Araújo",$B:$B,"&lt;&gt;Lorena Dias de Araujo",$B:$B,"&lt;&gt;Lucas Luiz Romero")*(23/1083),IF(C305="JR",SUMIFS($D:$D,$A:$A,$A305,$B:$B,"&lt;&gt;Patrícia Karla de Sousa Araújo",$B:$B,"&lt;&gt;Lorena Dias de Araujo",$B:$B,"&lt;&gt;Lucas Luiz Romero")*(20/1083),IF(C305="Estágio",SUMIFS($D:$D,$A:$A,$A305,$B:$B,"&lt;&gt;Patrícia Karla de Sousa Araújo",$B:$B,"&lt;&gt;Lorena Dias de Araujo",$B:$B,"&lt;&gt;Lucas Luiz Romero")*(10/1083),0)))))),0)</f>
        <v/>
      </c>
      <c r="K305" s="3">
        <f>I305-J305</f>
        <v/>
      </c>
      <c r="L305" s="3">
        <f>IF(K305&lt;-5,"CRÍTICO",IF(K305&lt;0,"ATENÇÃO",IF(K305&lt;=5,"BOM","EXCELENTE")))</f>
        <v/>
      </c>
      <c r="M305" t="n">
        <v>21</v>
      </c>
      <c r="N305" t="n">
        <v>95.40000000000001</v>
      </c>
      <c r="O305" t="n">
        <v>20.53333333333333</v>
      </c>
    </row>
    <row r="306" hidden="1">
      <c r="A306" s="5" t="n">
        <v>46150</v>
      </c>
      <c r="B306" s="6" t="inlineStr">
        <is>
          <t>Jéssica Fé Moura</t>
        </is>
      </c>
      <c r="C306" s="3" t="inlineStr">
        <is>
          <t>Técnico III</t>
        </is>
      </c>
      <c r="D306" s="3" t="n">
        <v>0</v>
      </c>
      <c r="E306" s="3" t="n">
        <v>0</v>
      </c>
      <c r="F306" s="3" t="n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>
        <f>IF(K306&lt;-5,"CRÍTICO",IF(K306&lt;0,"ATENÇÃO",IF(K306&lt;=5,"BOM","EXCELENTE")))</f>
        <v/>
      </c>
      <c r="M306" s="9" t="n">
        <v>0</v>
      </c>
      <c r="N306" s="9" t="n">
        <v>0</v>
      </c>
      <c r="O306" s="9" t="n">
        <v>0</v>
      </c>
    </row>
    <row r="307" hidden="1">
      <c r="A307" s="5" t="n">
        <v>46150</v>
      </c>
      <c r="B307" s="6" t="inlineStr">
        <is>
          <t>Kerollen Cristielly de Jesus Siqueira</t>
        </is>
      </c>
      <c r="C307" s="9" t="inlineStr">
        <is>
          <t>Técnico III</t>
        </is>
      </c>
      <c r="D307" s="3" t="n">
        <v>4</v>
      </c>
      <c r="E307" s="3" t="n">
        <v>4</v>
      </c>
      <c r="F307" t="n">
        <v>30.5</v>
      </c>
      <c r="G307" s="3" t="n">
        <v>0</v>
      </c>
      <c r="H307" s="3" t="n">
        <v>0</v>
      </c>
      <c r="I307" s="3">
        <f>E307+G307+H307</f>
        <v/>
      </c>
      <c r="J307" s="3">
        <f>ROUND(MIN(IF(C307="Técnico III",35,IF(C307="Técnico II",28,IF(C307="Técnico I",23,IF(C307="JR",20,IF(C307="Estágio",10,0))))),IF(C307="Técnico III",SUMIFS($D:$D,$A:$A,$A307,$B:$B,"&lt;&gt;Patrícia Karla de Sousa Araújo",$B:$B,"&lt;&gt;Lorena Dias de Araujo",$B:$B,"&lt;&gt;Lucas Luiz Romero")*(35/1083),IF(C307="Técnico II",SUMIFS($D:$D,$A:$A,$A307,$B:$B,"&lt;&gt;Patrícia Karla de Sousa Araújo",$B:$B,"&lt;&gt;Lorena Dias de Araujo",$B:$B,"&lt;&gt;Lucas Luiz Romero")*(28/1083),IF(C307="Técnico I",SUMIFS($D:$D,$A:$A,$A307,$B:$B,"&lt;&gt;Patrícia Karla de Sousa Araújo",$B:$B,"&lt;&gt;Lorena Dias de Araujo",$B:$B,"&lt;&gt;Lucas Luiz Romero")*(23/1083),IF(C307="JR",SUMIFS($D:$D,$A:$A,$A307,$B:$B,"&lt;&gt;Patrícia Karla de Sousa Araújo",$B:$B,"&lt;&gt;Lorena Dias de Araujo",$B:$B,"&lt;&gt;Lucas Luiz Romero")*(20/1083),IF(C307="Estágio",SUMIFS($D:$D,$A:$A,$A307,$B:$B,"&lt;&gt;Patrícia Karla de Sousa Araújo",$B:$B,"&lt;&gt;Lorena Dias de Araujo",$B:$B,"&lt;&gt;Lucas Luiz Romero")*(10/1083),0)))))),0)</f>
        <v/>
      </c>
      <c r="K307" s="3">
        <f>I307-J307</f>
        <v/>
      </c>
      <c r="L307" s="3">
        <f>IF(K307&lt;-5,"CRÍTICO",IF(K307&lt;0,"ATENÇÃO",IF(K307&lt;=5,"BOM","EXCELENTE")))</f>
        <v/>
      </c>
      <c r="M307" t="n">
        <v>4</v>
      </c>
      <c r="N307" t="n">
        <v>95.52</v>
      </c>
      <c r="O307" t="n">
        <v>10.56105610561056</v>
      </c>
    </row>
    <row r="308" hidden="1">
      <c r="A308" s="5" t="n">
        <v>46150</v>
      </c>
      <c r="B308" s="6" t="inlineStr">
        <is>
          <t>Leandro Oliveira de Sousa</t>
        </is>
      </c>
      <c r="C308" s="9" t="inlineStr">
        <is>
          <t>Técnico III</t>
        </is>
      </c>
      <c r="D308" s="3" t="n">
        <v>29</v>
      </c>
      <c r="E308" s="3" t="n">
        <v>28</v>
      </c>
      <c r="F308" t="n">
        <v>22.03</v>
      </c>
      <c r="G308" s="3" t="n">
        <v>0</v>
      </c>
      <c r="H308" s="3" t="n">
        <v>0</v>
      </c>
      <c r="I308" s="3">
        <f>E308+G308+H308</f>
        <v/>
      </c>
      <c r="J308" s="3">
        <f>ROUND(MIN(IF(C308="Técnico III",35,IF(C308="Técnico II",28,IF(C308="Técnico I",23,IF(C308="JR",20,IF(C308="Estágio",10,0))))),IF(C308="Técnico III",SUMIFS($D:$D,$A:$A,$A308,$B:$B,"&lt;&gt;Patrícia Karla de Sousa Araújo",$B:$B,"&lt;&gt;Lorena Dias de Araujo",$B:$B,"&lt;&gt;Lucas Luiz Romero")*(35/1083),IF(C308="Técnico II",SUMIFS($D:$D,$A:$A,$A308,$B:$B,"&lt;&gt;Patrícia Karla de Sousa Araújo",$B:$B,"&lt;&gt;Lorena Dias de Araujo",$B:$B,"&lt;&gt;Lucas Luiz Romero")*(28/1083),IF(C308="Técnico I",SUMIFS($D:$D,$A:$A,$A308,$B:$B,"&lt;&gt;Patrícia Karla de Sousa Araújo",$B:$B,"&lt;&gt;Lorena Dias de Araujo",$B:$B,"&lt;&gt;Lucas Luiz Romero")*(23/1083),IF(C308="JR",SUMIFS($D:$D,$A:$A,$A308,$B:$B,"&lt;&gt;Patrícia Karla de Sousa Araújo",$B:$B,"&lt;&gt;Lorena Dias de Araujo",$B:$B,"&lt;&gt;Lucas Luiz Romero")*(20/1083),IF(C308="Estágio",SUMIFS($D:$D,$A:$A,$A308,$B:$B,"&lt;&gt;Patrícia Karla de Sousa Araújo",$B:$B,"&lt;&gt;Lorena Dias de Araujo",$B:$B,"&lt;&gt;Lucas Luiz Romero")*(10/1083),0)))))),0)</f>
        <v/>
      </c>
      <c r="K308" s="3">
        <f>I308-J308</f>
        <v/>
      </c>
      <c r="L308" s="3">
        <f>IF(K308&lt;-5,"CRÍTICO",IF(K308&lt;0,"ATENÇÃO",IF(K308&lt;=5,"BOM","EXCELENTE")))</f>
        <v/>
      </c>
      <c r="M308" t="n">
        <v>24</v>
      </c>
      <c r="N308" t="n">
        <v>100</v>
      </c>
      <c r="O308" t="n">
        <v>15.58441558441558</v>
      </c>
    </row>
    <row r="309" hidden="1">
      <c r="A309" s="5" t="n">
        <v>46150</v>
      </c>
      <c r="B309" s="6" t="inlineStr">
        <is>
          <t>Lucas Luiz Romero</t>
        </is>
      </c>
      <c r="C309" s="3" t="inlineStr">
        <is>
          <t>Técnico III</t>
        </is>
      </c>
      <c r="D309" s="3" t="n">
        <v>0</v>
      </c>
      <c r="E309" s="3" t="n">
        <v>0</v>
      </c>
      <c r="F309" s="3" t="n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>
        <f>IF(K309&lt;-5,"CRÍTICO",IF(K309&lt;0,"ATENÇÃO",IF(K309&lt;=5,"BOM","EXCELENTE")))</f>
        <v/>
      </c>
      <c r="M309" s="9" t="n">
        <v>0</v>
      </c>
      <c r="N309" s="9" t="n">
        <v>100</v>
      </c>
      <c r="O309" s="9" t="n">
        <v>4.347826086956522</v>
      </c>
    </row>
    <row r="310" hidden="1">
      <c r="A310" s="5" t="n">
        <v>46150</v>
      </c>
      <c r="B310" s="6" t="inlineStr">
        <is>
          <t>Matheus Farias De Souza</t>
        </is>
      </c>
      <c r="C310" s="3" t="inlineStr">
        <is>
          <t>Técnico III</t>
        </is>
      </c>
      <c r="D310" s="3" t="n">
        <v>0</v>
      </c>
      <c r="E310" s="3" t="n">
        <v>0</v>
      </c>
      <c r="F310" t="n">
        <v>0</v>
      </c>
      <c r="G310" s="3" t="n">
        <v>0</v>
      </c>
      <c r="H310" s="3" t="n">
        <v>31</v>
      </c>
      <c r="I310" s="3">
        <f>E310+G310+H310</f>
        <v/>
      </c>
      <c r="J310" s="3">
        <f>ROUND(MIN(IF(C310="Técnico III",35,IF(C310="Técnico II",28,IF(C310="Técnico I",23,IF(C310="JR",20,IF(C310="Estágio",10,0))))),IF(C310="Técnico III",SUMIFS($D:$D,$A:$A,$A310,$B:$B,"&lt;&gt;Patrícia Karla de Sousa Araújo",$B:$B,"&lt;&gt;Lorena Dias de Araujo",$B:$B,"&lt;&gt;Lucas Luiz Romero")*(35/1083),IF(C310="Técnico II",SUMIFS($D:$D,$A:$A,$A310,$B:$B,"&lt;&gt;Patrícia Karla de Sousa Araújo",$B:$B,"&lt;&gt;Lorena Dias de Araujo",$B:$B,"&lt;&gt;Lucas Luiz Romero")*(28/1083),IF(C310="Técnico I",SUMIFS($D:$D,$A:$A,$A310,$B:$B,"&lt;&gt;Patrícia Karla de Sousa Araújo",$B:$B,"&lt;&gt;Lorena Dias de Araujo",$B:$B,"&lt;&gt;Lucas Luiz Romero")*(23/1083),IF(C310="JR",SUMIFS($D:$D,$A:$A,$A310,$B:$B,"&lt;&gt;Patrícia Karla de Sousa Araújo",$B:$B,"&lt;&gt;Lorena Dias de Araujo",$B:$B,"&lt;&gt;Lucas Luiz Romero")*(20/1083),IF(C310="Estágio",SUMIFS($D:$D,$A:$A,$A310,$B:$B,"&lt;&gt;Patrícia Karla de Sousa Araújo",$B:$B,"&lt;&gt;Lorena Dias de Araujo",$B:$B,"&lt;&gt;Lucas Luiz Romero")*(10/1083),0)))))),0)</f>
        <v/>
      </c>
      <c r="K310" s="3">
        <f>I310-J310</f>
        <v/>
      </c>
      <c r="L310" s="3">
        <f>IF(K310&lt;-5,"CRÍTICO",IF(K310&lt;0,"ATENÇÃO",IF(K310&lt;=5,"BOM","EXCELENTE")))</f>
        <v/>
      </c>
      <c r="M310" t="n">
        <v>21</v>
      </c>
      <c r="N310" t="n">
        <v>98.28</v>
      </c>
      <c r="O310" t="n">
        <v>9.037900874635568</v>
      </c>
    </row>
    <row r="311" hidden="1">
      <c r="A311" s="5" t="n">
        <v>46150</v>
      </c>
      <c r="B311" s="6" t="inlineStr">
        <is>
          <t>Maysa Victoria Dias Moura</t>
        </is>
      </c>
      <c r="C311" s="3" t="inlineStr">
        <is>
          <t>Técnico III</t>
        </is>
      </c>
      <c r="D311" s="3" t="n">
        <v>30</v>
      </c>
      <c r="E311" s="3" t="n">
        <v>28</v>
      </c>
      <c r="F311" t="n">
        <v>13.33</v>
      </c>
      <c r="G311" s="3" t="n">
        <v>1</v>
      </c>
      <c r="H311" s="3" t="n">
        <v>0</v>
      </c>
      <c r="I311" s="3">
        <f>E311+G311+H311</f>
        <v/>
      </c>
      <c r="J311" s="3">
        <f>ROUND(MIN(IF(C311="Técnico III",35,IF(C311="Técnico II",28,IF(C311="Técnico I",23,IF(C311="JR",20,IF(C311="Estágio",10,0))))),IF(C311="Técnico III",SUMIFS($D:$D,$A:$A,$A311,$B:$B,"&lt;&gt;Patrícia Karla de Sousa Araújo",$B:$B,"&lt;&gt;Lorena Dias de Araujo",$B:$B,"&lt;&gt;Lucas Luiz Romero")*(35/1083),IF(C311="Técnico II",SUMIFS($D:$D,$A:$A,$A311,$B:$B,"&lt;&gt;Patrícia Karla de Sousa Araújo",$B:$B,"&lt;&gt;Lorena Dias de Araujo",$B:$B,"&lt;&gt;Lucas Luiz Romero")*(28/1083),IF(C311="Técnico I",SUMIFS($D:$D,$A:$A,$A311,$B:$B,"&lt;&gt;Patrícia Karla de Sousa Araújo",$B:$B,"&lt;&gt;Lorena Dias de Araujo",$B:$B,"&lt;&gt;Lucas Luiz Romero")*(23/1083),IF(C311="JR",SUMIFS($D:$D,$A:$A,$A311,$B:$B,"&lt;&gt;Patrícia Karla de Sousa Araújo",$B:$B,"&lt;&gt;Lorena Dias de Araujo",$B:$B,"&lt;&gt;Lucas Luiz Romero")*(20/1083),IF(C311="Estágio",SUMIFS($D:$D,$A:$A,$A311,$B:$B,"&lt;&gt;Patrícia Karla de Sousa Araújo",$B:$B,"&lt;&gt;Lorena Dias de Araujo",$B:$B,"&lt;&gt;Lucas Luiz Romero")*(10/1083),0)))))),0)</f>
        <v/>
      </c>
      <c r="K311" s="3">
        <f>I311-J311</f>
        <v/>
      </c>
      <c r="L311" s="3">
        <f>IF(K311&lt;-5,"CRÍTICO",IF(K311&lt;0,"ATENÇÃO",IF(K311&lt;=5,"BOM","EXCELENTE")))</f>
        <v/>
      </c>
      <c r="M311" t="n">
        <v>23</v>
      </c>
      <c r="N311" t="n">
        <v>97.22</v>
      </c>
      <c r="O311" t="n">
        <v>19.09547738693467</v>
      </c>
    </row>
    <row r="312" hidden="1">
      <c r="A312" s="5" t="n">
        <v>46150</v>
      </c>
      <c r="B312" s="6" t="inlineStr">
        <is>
          <t>Rafael Gomes de Morais</t>
        </is>
      </c>
      <c r="C312" s="3" t="inlineStr">
        <is>
          <t>Técnico III</t>
        </is>
      </c>
      <c r="D312" s="3" t="n">
        <v>44</v>
      </c>
      <c r="E312" s="3" t="n">
        <v>38</v>
      </c>
      <c r="F312" t="n">
        <v>10.22</v>
      </c>
      <c r="G312" s="3" t="n">
        <v>0</v>
      </c>
      <c r="H312" s="3" t="n">
        <v>0</v>
      </c>
      <c r="I312" s="3">
        <f>E312+G312+H312</f>
        <v/>
      </c>
      <c r="J312" s="3">
        <f>ROUND(MIN(IF(C312="Técnico III",35,IF(C312="Técnico II",28,IF(C312="Técnico I",23,IF(C312="JR",20,IF(C312="Estágio",10,0))))),IF(C312="Técnico III",SUMIFS($D:$D,$A:$A,$A312,$B:$B,"&lt;&gt;Patrícia Karla de Sousa Araújo",$B:$B,"&lt;&gt;Lorena Dias de Araujo",$B:$B,"&lt;&gt;Lucas Luiz Romero")*(35/1083),IF(C312="Técnico II",SUMIFS($D:$D,$A:$A,$A312,$B:$B,"&lt;&gt;Patrícia Karla de Sousa Araújo",$B:$B,"&lt;&gt;Lorena Dias de Araujo",$B:$B,"&lt;&gt;Lucas Luiz Romero")*(28/1083),IF(C312="Técnico I",SUMIFS($D:$D,$A:$A,$A312,$B:$B,"&lt;&gt;Patrícia Karla de Sousa Araújo",$B:$B,"&lt;&gt;Lorena Dias de Araujo",$B:$B,"&lt;&gt;Lucas Luiz Romero")*(23/1083),IF(C312="JR",SUMIFS($D:$D,$A:$A,$A312,$B:$B,"&lt;&gt;Patrícia Karla de Sousa Araújo",$B:$B,"&lt;&gt;Lorena Dias de Araujo",$B:$B,"&lt;&gt;Lucas Luiz Romero")*(20/1083),IF(C312="Estágio",SUMIFS($D:$D,$A:$A,$A312,$B:$B,"&lt;&gt;Patrícia Karla de Sousa Araújo",$B:$B,"&lt;&gt;Lorena Dias de Araujo",$B:$B,"&lt;&gt;Lucas Luiz Romero")*(10/1083),0)))))),0)</f>
        <v/>
      </c>
      <c r="K312" s="3">
        <f>I312-J312</f>
        <v/>
      </c>
      <c r="L312" s="3">
        <f>IF(K312&lt;-5,"CRÍTICO",IF(K312&lt;0,"ATENÇÃO",IF(K312&lt;=5,"BOM","EXCELENTE")))</f>
        <v/>
      </c>
      <c r="M312" t="n">
        <v>26</v>
      </c>
      <c r="N312" t="n">
        <v>99.29000000000001</v>
      </c>
      <c r="O312" t="n">
        <v>22.49443207126949</v>
      </c>
    </row>
    <row r="313" hidden="1">
      <c r="A313" s="5" t="n">
        <v>46150</v>
      </c>
      <c r="B313" s="6" t="inlineStr">
        <is>
          <t>Sarah Steffanie de Lima Borges</t>
        </is>
      </c>
      <c r="C313" s="3" t="inlineStr">
        <is>
          <t>Técnico III</t>
        </is>
      </c>
      <c r="D313" s="3" t="n">
        <v>22</v>
      </c>
      <c r="E313" s="3" t="n">
        <v>21</v>
      </c>
      <c r="F313" t="n">
        <v>14.04</v>
      </c>
      <c r="G313" s="3" t="n">
        <v>5</v>
      </c>
      <c r="H313" s="3" t="n">
        <v>0</v>
      </c>
      <c r="I313" s="3">
        <f>E313+G313+H313</f>
        <v/>
      </c>
      <c r="J313" s="3">
        <f>ROUND(MIN(IF(C313="Técnico III",35,IF(C313="Técnico II",28,IF(C313="Técnico I",23,IF(C313="JR",20,IF(C313="Estágio",10,0))))),IF(C313="Técnico III",SUMIFS($D:$D,$A:$A,$A313,$B:$B,"&lt;&gt;Patrícia Karla de Sousa Araújo",$B:$B,"&lt;&gt;Lorena Dias de Araujo",$B:$B,"&lt;&gt;Lucas Luiz Romero")*(35/1083),IF(C313="Técnico II",SUMIFS($D:$D,$A:$A,$A313,$B:$B,"&lt;&gt;Patrícia Karla de Sousa Araújo",$B:$B,"&lt;&gt;Lorena Dias de Araujo",$B:$B,"&lt;&gt;Lucas Luiz Romero")*(28/1083),IF(C313="Técnico I",SUMIFS($D:$D,$A:$A,$A313,$B:$B,"&lt;&gt;Patrícia Karla de Sousa Araújo",$B:$B,"&lt;&gt;Lorena Dias de Araujo",$B:$B,"&lt;&gt;Lucas Luiz Romero")*(23/1083),IF(C313="JR",SUMIFS($D:$D,$A:$A,$A313,$B:$B,"&lt;&gt;Patrícia Karla de Sousa Araújo",$B:$B,"&lt;&gt;Lorena Dias de Araujo",$B:$B,"&lt;&gt;Lucas Luiz Romero")*(20/1083),IF(C313="Estágio",SUMIFS($D:$D,$A:$A,$A313,$B:$B,"&lt;&gt;Patrícia Karla de Sousa Araújo",$B:$B,"&lt;&gt;Lorena Dias de Araujo",$B:$B,"&lt;&gt;Lucas Luiz Romero")*(10/1083),0)))))),0)</f>
        <v/>
      </c>
      <c r="K313" s="3">
        <f>I313-J313</f>
        <v/>
      </c>
      <c r="L313" s="3">
        <f>IF(K313&lt;-5,"CRÍTICO",IF(K313&lt;0,"ATENÇÃO",IF(K313&lt;=5,"BOM","EXCELENTE")))</f>
        <v/>
      </c>
      <c r="M313" t="n">
        <v>25</v>
      </c>
      <c r="N313" t="n">
        <v>97.33</v>
      </c>
      <c r="O313" t="n">
        <v>15.80547112462006</v>
      </c>
    </row>
    <row r="314" hidden="1">
      <c r="A314" s="5" t="n">
        <v>46153</v>
      </c>
      <c r="B314" s="6" t="inlineStr">
        <is>
          <t>Amanda Moura Ferreira</t>
        </is>
      </c>
      <c r="C314" s="3" t="inlineStr">
        <is>
          <t>Técnico III</t>
        </is>
      </c>
      <c r="D314" s="3" t="n">
        <v>0</v>
      </c>
      <c r="E314" s="3" t="n">
        <v>0</v>
      </c>
      <c r="F314" s="3" t="n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>
        <f>IF(K314&lt;-5,"CRÍTICO",IF(K314&lt;0,"ATENÇÃO",IF(K314&lt;=5,"BOM","EXCELENTE")))</f>
        <v/>
      </c>
      <c r="M314" s="9" t="n">
        <v>0</v>
      </c>
      <c r="N314" s="9" t="n">
        <v>100</v>
      </c>
      <c r="O314" s="9" t="n">
        <v>0</v>
      </c>
    </row>
    <row r="315" hidden="1">
      <c r="A315" s="5" t="n">
        <v>46153</v>
      </c>
      <c r="B315" s="6" t="inlineStr">
        <is>
          <t>Ana Paula Da Luz Silva Aleixo</t>
        </is>
      </c>
      <c r="C315" s="9" t="inlineStr">
        <is>
          <t>Técnico III</t>
        </is>
      </c>
      <c r="D315" s="3" t="n">
        <v>18</v>
      </c>
      <c r="E315" s="3" t="n">
        <v>16</v>
      </c>
      <c r="F315" t="n">
        <v>23.31</v>
      </c>
      <c r="G315" s="3" t="n">
        <v>0</v>
      </c>
      <c r="H315" s="3" t="n">
        <v>0</v>
      </c>
      <c r="I315" s="3">
        <f>E315+G315+H315</f>
        <v/>
      </c>
      <c r="J315" s="3">
        <f>ROUND(MIN(IF(C315="Técnico III",35,IF(C315="Técnico II",28,IF(C315="Técnico I",23,IF(C315="JR",20,IF(C315="Estágio",10,0))))),IF(C315="Técnico III",SUMIFS($D:$D,$A:$A,$A315,$B:$B,"&lt;&gt;Patrícia Karla de Sousa Araújo",$B:$B,"&lt;&gt;Lorena Dias de Araujo",$B:$B,"&lt;&gt;Lucas Luiz Romero")*(35/1083),IF(C315="Técnico II",SUMIFS($D:$D,$A:$A,$A315,$B:$B,"&lt;&gt;Patrícia Karla de Sousa Araújo",$B:$B,"&lt;&gt;Lorena Dias de Araujo",$B:$B,"&lt;&gt;Lucas Luiz Romero")*(28/1083),IF(C315="Técnico I",SUMIFS($D:$D,$A:$A,$A315,$B:$B,"&lt;&gt;Patrícia Karla de Sousa Araújo",$B:$B,"&lt;&gt;Lorena Dias de Araujo",$B:$B,"&lt;&gt;Lucas Luiz Romero")*(23/1083),IF(C315="JR",SUMIFS($D:$D,$A:$A,$A315,$B:$B,"&lt;&gt;Patrícia Karla de Sousa Araújo",$B:$B,"&lt;&gt;Lorena Dias de Araujo",$B:$B,"&lt;&gt;Lucas Luiz Romero")*(20/1083),IF(C315="Estágio",SUMIFS($D:$D,$A:$A,$A315,$B:$B,"&lt;&gt;Patrícia Karla de Sousa Araújo",$B:$B,"&lt;&gt;Lorena Dias de Araujo",$B:$B,"&lt;&gt;Lucas Luiz Romero")*(10/1083),0)))))),0)</f>
        <v/>
      </c>
      <c r="K315" s="3">
        <f>I315-J315</f>
        <v/>
      </c>
      <c r="L315" s="3">
        <f>IF(K315&lt;-5,"CRÍTICO",IF(K315&lt;0,"ATENÇÃO",IF(K315&lt;=5,"BOM","EXCELENTE")))</f>
        <v/>
      </c>
      <c r="M315" t="n">
        <v>13</v>
      </c>
      <c r="N315" t="n">
        <v>96.34</v>
      </c>
      <c r="O315" t="n">
        <v>17.57188498402556</v>
      </c>
    </row>
    <row r="316" hidden="1">
      <c r="A316" s="5" t="n">
        <v>46153</v>
      </c>
      <c r="B316" s="6" t="inlineStr">
        <is>
          <t>Cristiane Ramos da Silva Rocha</t>
        </is>
      </c>
      <c r="C316" s="3" t="inlineStr">
        <is>
          <t>Técnico III</t>
        </is>
      </c>
      <c r="D316" s="3" t="n">
        <v>35</v>
      </c>
      <c r="E316" s="3" t="n">
        <v>35</v>
      </c>
      <c r="F316" t="n">
        <v>12.1</v>
      </c>
      <c r="G316" s="3" t="n">
        <v>0</v>
      </c>
      <c r="H316" s="3" t="n">
        <v>0</v>
      </c>
      <c r="I316" s="3">
        <f>E316+G316+H316</f>
        <v/>
      </c>
      <c r="J316" s="3">
        <f>ROUND(MIN(IF(C316="Técnico III",35,IF(C316="Técnico II",28,IF(C316="Técnico I",23,IF(C316="JR",20,IF(C316="Estágio",10,0))))),IF(C316="Técnico III",SUMIFS($D:$D,$A:$A,$A316,$B:$B,"&lt;&gt;Patrícia Karla de Sousa Araújo",$B:$B,"&lt;&gt;Lorena Dias de Araujo",$B:$B,"&lt;&gt;Lucas Luiz Romero")*(35/1083),IF(C316="Técnico II",SUMIFS($D:$D,$A:$A,$A316,$B:$B,"&lt;&gt;Patrícia Karla de Sousa Araújo",$B:$B,"&lt;&gt;Lorena Dias de Araujo",$B:$B,"&lt;&gt;Lucas Luiz Romero")*(28/1083),IF(C316="Técnico I",SUMIFS($D:$D,$A:$A,$A316,$B:$B,"&lt;&gt;Patrícia Karla de Sousa Araújo",$B:$B,"&lt;&gt;Lorena Dias de Araujo",$B:$B,"&lt;&gt;Lucas Luiz Romero")*(23/1083),IF(C316="JR",SUMIFS($D:$D,$A:$A,$A316,$B:$B,"&lt;&gt;Patrícia Karla de Sousa Araújo",$B:$B,"&lt;&gt;Lorena Dias de Araujo",$B:$B,"&lt;&gt;Lucas Luiz Romero")*(20/1083),IF(C316="Estágio",SUMIFS($D:$D,$A:$A,$A316,$B:$B,"&lt;&gt;Patrícia Karla de Sousa Araújo",$B:$B,"&lt;&gt;Lorena Dias de Araujo",$B:$B,"&lt;&gt;Lucas Luiz Romero")*(10/1083),0)))))),0)</f>
        <v/>
      </c>
      <c r="K316" s="3">
        <f>I316-J316</f>
        <v/>
      </c>
      <c r="L316" s="3">
        <f>IF(K316&lt;-5,"CRÍTICO",IF(K316&lt;0,"ATENÇÃO",IF(K316&lt;=5,"BOM","EXCELENTE")))</f>
        <v/>
      </c>
      <c r="M316" t="n">
        <v>31</v>
      </c>
      <c r="N316" t="n">
        <v>91.84999999999999</v>
      </c>
      <c r="O316" t="n">
        <v>20.87155963302752</v>
      </c>
    </row>
    <row r="317" hidden="1">
      <c r="A317" s="5" t="n">
        <v>46153</v>
      </c>
      <c r="B317" s="6" t="inlineStr">
        <is>
          <t>Davylla Rodrigues Freitas Silva</t>
        </is>
      </c>
      <c r="C317" s="9" t="inlineStr">
        <is>
          <t>Técnico III</t>
        </is>
      </c>
      <c r="D317" s="3" t="n">
        <v>25</v>
      </c>
      <c r="E317" s="3" t="n">
        <v>25</v>
      </c>
      <c r="F317" t="n">
        <v>29.18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>
        <f>IF(K317&lt;-5,"CRÍTICO",IF(K317&lt;0,"ATENÇÃO",IF(K317&lt;=5,"BOM","EXCELENTE")))</f>
        <v/>
      </c>
      <c r="M317" t="n">
        <v>25</v>
      </c>
      <c r="N317" t="n">
        <v>99.06</v>
      </c>
      <c r="O317" t="n">
        <v>22.95719844357977</v>
      </c>
    </row>
    <row r="318" hidden="1">
      <c r="A318" s="5" t="n">
        <v>46153</v>
      </c>
      <c r="B318" s="6" t="inlineStr">
        <is>
          <t>Francielson de Oliveira</t>
        </is>
      </c>
      <c r="C318" s="9" t="inlineStr">
        <is>
          <t>Técnico III</t>
        </is>
      </c>
      <c r="D318" s="3" t="n">
        <v>0</v>
      </c>
      <c r="E318" s="3" t="n">
        <v>0</v>
      </c>
      <c r="F318" s="3" t="n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>
        <f>IF(K318&lt;-5,"CRÍTICO",IF(K318&lt;0,"ATENÇÃO",IF(K318&lt;=5,"BOM","EXCELENTE")))</f>
        <v/>
      </c>
      <c r="M318" s="9" t="n">
        <v>0</v>
      </c>
      <c r="N318" s="9" t="n">
        <v>100</v>
      </c>
      <c r="O318" s="9" t="n">
        <v>9.523809523809524</v>
      </c>
    </row>
    <row r="319" hidden="1">
      <c r="A319" s="5" t="n">
        <v>46153</v>
      </c>
      <c r="B319" s="6" t="inlineStr">
        <is>
          <t>Janaina Lima dos Reis Urany</t>
        </is>
      </c>
      <c r="C319" s="3" t="inlineStr">
        <is>
          <t>Técnico III</t>
        </is>
      </c>
      <c r="D319" s="3" t="n">
        <v>53</v>
      </c>
      <c r="E319" s="3" t="n">
        <v>46</v>
      </c>
      <c r="F319" t="n">
        <v>11.56</v>
      </c>
      <c r="G319" s="3" t="n">
        <v>3</v>
      </c>
      <c r="H319" s="3" t="n">
        <v>0</v>
      </c>
      <c r="I319" s="3">
        <f>E319+G319+H319</f>
        <v/>
      </c>
      <c r="J319" s="3">
        <f>ROUND(MIN(IF(C319="Técnico III",35,IF(C319="Técnico II",28,IF(C319="Técnico I",23,IF(C319="JR",20,IF(C319="Estágio",10,0))))),IF(C319="Técnico III",SUMIFS($D:$D,$A:$A,$A319,$B:$B,"&lt;&gt;Patrícia Karla de Sousa Araújo",$B:$B,"&lt;&gt;Lorena Dias de Araujo",$B:$B,"&lt;&gt;Lucas Luiz Romero")*(35/1083),IF(C319="Técnico II",SUMIFS($D:$D,$A:$A,$A319,$B:$B,"&lt;&gt;Patrícia Karla de Sousa Araújo",$B:$B,"&lt;&gt;Lorena Dias de Araujo",$B:$B,"&lt;&gt;Lucas Luiz Romero")*(28/1083),IF(C319="Técnico I",SUMIFS($D:$D,$A:$A,$A319,$B:$B,"&lt;&gt;Patrícia Karla de Sousa Araújo",$B:$B,"&lt;&gt;Lorena Dias de Araujo",$B:$B,"&lt;&gt;Lucas Luiz Romero")*(23/1083),IF(C319="JR",SUMIFS($D:$D,$A:$A,$A319,$B:$B,"&lt;&gt;Patrícia Karla de Sousa Araújo",$B:$B,"&lt;&gt;Lorena Dias de Araujo",$B:$B,"&lt;&gt;Lucas Luiz Romero")*(20/1083),IF(C319="Estágio",SUMIFS($D:$D,$A:$A,$A319,$B:$B,"&lt;&gt;Patrícia Karla de Sousa Araújo",$B:$B,"&lt;&gt;Lorena Dias de Araujo",$B:$B,"&lt;&gt;Lucas Luiz Romero")*(10/1083),0)))))),0)</f>
        <v/>
      </c>
      <c r="K319" s="3">
        <f>I319-J319</f>
        <v/>
      </c>
      <c r="L319" s="3">
        <f>IF(K319&lt;-5,"CRÍTICO",IF(K319&lt;0,"ATENÇÃO",IF(K319&lt;=5,"BOM","EXCELENTE")))</f>
        <v/>
      </c>
      <c r="M319" t="n">
        <v>44</v>
      </c>
      <c r="N319" t="n">
        <v>98.64</v>
      </c>
      <c r="O319" t="n">
        <v>16.6383701188455</v>
      </c>
    </row>
    <row r="320" hidden="1">
      <c r="A320" s="5" t="n">
        <v>46153</v>
      </c>
      <c r="B320" s="6" t="inlineStr">
        <is>
          <t>Jaqueline Evangelista da Silva Martins</t>
        </is>
      </c>
      <c r="C320" s="3" t="inlineStr">
        <is>
          <t>Técnico III</t>
        </is>
      </c>
      <c r="D320" s="3" t="n">
        <v>22</v>
      </c>
      <c r="E320" s="3" t="n">
        <v>20</v>
      </c>
      <c r="F320" t="n">
        <v>11.59</v>
      </c>
      <c r="G320" s="3" t="n">
        <v>4</v>
      </c>
      <c r="H320" s="3" t="n">
        <v>0</v>
      </c>
      <c r="I320" s="3">
        <f>E320+G320+H320</f>
        <v/>
      </c>
      <c r="J320" s="3">
        <f>ROUND(MIN(IF(C320="Técnico III",35,IF(C320="Técnico II",28,IF(C320="Técnico I",23,IF(C320="JR",20,IF(C320="Estágio",10,0))))),IF(C320="Técnico III",SUMIFS($D:$D,$A:$A,$A320,$B:$B,"&lt;&gt;Patrícia Karla de Sousa Araújo",$B:$B,"&lt;&gt;Lorena Dias de Araujo",$B:$B,"&lt;&gt;Lucas Luiz Romero")*(35/1083),IF(C320="Técnico II",SUMIFS($D:$D,$A:$A,$A320,$B:$B,"&lt;&gt;Patrícia Karla de Sousa Araújo",$B:$B,"&lt;&gt;Lorena Dias de Araujo",$B:$B,"&lt;&gt;Lucas Luiz Romero")*(28/1083),IF(C320="Técnico I",SUMIFS($D:$D,$A:$A,$A320,$B:$B,"&lt;&gt;Patrícia Karla de Sousa Araújo",$B:$B,"&lt;&gt;Lorena Dias de Araujo",$B:$B,"&lt;&gt;Lucas Luiz Romero")*(23/1083),IF(C320="JR",SUMIFS($D:$D,$A:$A,$A320,$B:$B,"&lt;&gt;Patrícia Karla de Sousa Araújo",$B:$B,"&lt;&gt;Lorena Dias de Araujo",$B:$B,"&lt;&gt;Lucas Luiz Romero")*(20/1083),IF(C320="Estágio",SUMIFS($D:$D,$A:$A,$A320,$B:$B,"&lt;&gt;Patrícia Karla de Sousa Araújo",$B:$B,"&lt;&gt;Lorena Dias de Araujo",$B:$B,"&lt;&gt;Lucas Luiz Romero")*(10/1083),0)))))),0)</f>
        <v/>
      </c>
      <c r="K320" s="3">
        <f>I320-J320</f>
        <v/>
      </c>
      <c r="L320" s="3">
        <f>IF(K320&lt;-5,"CRÍTICO",IF(K320&lt;0,"ATENÇÃO",IF(K320&lt;=5,"BOM","EXCELENTE")))</f>
        <v/>
      </c>
      <c r="M320" t="n">
        <v>17</v>
      </c>
      <c r="N320" t="n">
        <v>95.40000000000001</v>
      </c>
      <c r="O320" t="n">
        <v>20.53333333333333</v>
      </c>
    </row>
    <row r="321" hidden="1">
      <c r="A321" s="5" t="n">
        <v>46153</v>
      </c>
      <c r="B321" s="6" t="inlineStr">
        <is>
          <t>Jéssica Fé Moura</t>
        </is>
      </c>
      <c r="C321" s="3" t="inlineStr">
        <is>
          <t>Técnico III</t>
        </is>
      </c>
      <c r="D321" s="3" t="n">
        <v>0</v>
      </c>
      <c r="E321" s="3" t="n">
        <v>0</v>
      </c>
      <c r="F321" s="3" t="n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>
        <f>IF(K321&lt;-5,"CRÍTICO",IF(K321&lt;0,"ATENÇÃO",IF(K321&lt;=5,"BOM","EXCELENTE")))</f>
        <v/>
      </c>
      <c r="M321" s="9" t="n">
        <v>0</v>
      </c>
      <c r="N321" s="9" t="n">
        <v>0</v>
      </c>
      <c r="O321" s="9" t="n">
        <v>0</v>
      </c>
    </row>
    <row r="322" hidden="1">
      <c r="A322" s="5" t="n">
        <v>46153</v>
      </c>
      <c r="B322" s="6" t="inlineStr">
        <is>
          <t>Kerollen Cristielly de Jesus Siqueira</t>
        </is>
      </c>
      <c r="C322" s="9" t="inlineStr">
        <is>
          <t>Técnico III</t>
        </is>
      </c>
      <c r="D322" s="3" t="n">
        <v>24</v>
      </c>
      <c r="E322" s="3" t="n">
        <v>23</v>
      </c>
      <c r="F322" t="n">
        <v>20</v>
      </c>
      <c r="G322" s="3" t="n">
        <v>1</v>
      </c>
      <c r="H322" s="3" t="n">
        <v>0</v>
      </c>
      <c r="I322" s="3">
        <f>E322+G322+H322</f>
        <v/>
      </c>
      <c r="J322" s="3">
        <f>ROUND(MIN(IF(C322="Técnico III",35,IF(C322="Técnico II",28,IF(C322="Técnico I",23,IF(C322="JR",20,IF(C322="Estágio",10,0))))),IF(C322="Técnico III",SUMIFS($D:$D,$A:$A,$A322,$B:$B,"&lt;&gt;Patrícia Karla de Sousa Araújo",$B:$B,"&lt;&gt;Lorena Dias de Araujo",$B:$B,"&lt;&gt;Lucas Luiz Romero")*(35/1083),IF(C322="Técnico II",SUMIFS($D:$D,$A:$A,$A322,$B:$B,"&lt;&gt;Patrícia Karla de Sousa Araújo",$B:$B,"&lt;&gt;Lorena Dias de Araujo",$B:$B,"&lt;&gt;Lucas Luiz Romero")*(28/1083),IF(C322="Técnico I",SUMIFS($D:$D,$A:$A,$A322,$B:$B,"&lt;&gt;Patrícia Karla de Sousa Araújo",$B:$B,"&lt;&gt;Lorena Dias de Araujo",$B:$B,"&lt;&gt;Lucas Luiz Romero")*(23/1083),IF(C322="JR",SUMIFS($D:$D,$A:$A,$A322,$B:$B,"&lt;&gt;Patrícia Karla de Sousa Araújo",$B:$B,"&lt;&gt;Lorena Dias de Araujo",$B:$B,"&lt;&gt;Lucas Luiz Romero")*(20/1083),IF(C322="Estágio",SUMIFS($D:$D,$A:$A,$A322,$B:$B,"&lt;&gt;Patrícia Karla de Sousa Araújo",$B:$B,"&lt;&gt;Lorena Dias de Araujo",$B:$B,"&lt;&gt;Lucas Luiz Romero")*(10/1083),0)))))),0)</f>
        <v/>
      </c>
      <c r="K322" s="3">
        <f>I322-J322</f>
        <v/>
      </c>
      <c r="L322" s="3">
        <f>IF(K322&lt;-5,"CRÍTICO",IF(K322&lt;0,"ATENÇÃO",IF(K322&lt;=5,"BOM","EXCELENTE")))</f>
        <v/>
      </c>
      <c r="M322" t="n">
        <v>23</v>
      </c>
      <c r="N322" t="n">
        <v>95.52</v>
      </c>
      <c r="O322" t="n">
        <v>10.56105610561056</v>
      </c>
    </row>
    <row r="323" hidden="1">
      <c r="A323" s="5" t="n">
        <v>46153</v>
      </c>
      <c r="B323" s="6" t="inlineStr">
        <is>
          <t>Leandro Oliveira de Sousa</t>
        </is>
      </c>
      <c r="C323" s="9" t="inlineStr">
        <is>
          <t>Técnico III</t>
        </is>
      </c>
      <c r="D323" s="3" t="n">
        <v>31</v>
      </c>
      <c r="E323" s="3" t="n">
        <v>29</v>
      </c>
      <c r="F323" t="n">
        <v>14.18</v>
      </c>
      <c r="G323" s="3" t="n">
        <v>0</v>
      </c>
      <c r="H323" s="3" t="n">
        <v>0</v>
      </c>
      <c r="I323" s="3">
        <f>E323+G323+H323</f>
        <v/>
      </c>
      <c r="J323" s="3">
        <f>ROUND(MIN(IF(C323="Técnico III",35,IF(C323="Técnico II",28,IF(C323="Técnico I",23,IF(C323="JR",20,IF(C323="Estágio",10,0))))),IF(C323="Técnico III",SUMIFS($D:$D,$A:$A,$A323,$B:$B,"&lt;&gt;Patrícia Karla de Sousa Araújo",$B:$B,"&lt;&gt;Lorena Dias de Araujo",$B:$B,"&lt;&gt;Lucas Luiz Romero")*(35/1083),IF(C323="Técnico II",SUMIFS($D:$D,$A:$A,$A323,$B:$B,"&lt;&gt;Patrícia Karla de Sousa Araújo",$B:$B,"&lt;&gt;Lorena Dias de Araujo",$B:$B,"&lt;&gt;Lucas Luiz Romero")*(28/1083),IF(C323="Técnico I",SUMIFS($D:$D,$A:$A,$A323,$B:$B,"&lt;&gt;Patrícia Karla de Sousa Araújo",$B:$B,"&lt;&gt;Lorena Dias de Araujo",$B:$B,"&lt;&gt;Lucas Luiz Romero")*(23/1083),IF(C323="JR",SUMIFS($D:$D,$A:$A,$A323,$B:$B,"&lt;&gt;Patrícia Karla de Sousa Araújo",$B:$B,"&lt;&gt;Lorena Dias de Araujo",$B:$B,"&lt;&gt;Lucas Luiz Romero")*(20/1083),IF(C323="Estágio",SUMIFS($D:$D,$A:$A,$A323,$B:$B,"&lt;&gt;Patrícia Karla de Sousa Araújo",$B:$B,"&lt;&gt;Lorena Dias de Araujo",$B:$B,"&lt;&gt;Lucas Luiz Romero")*(10/1083),0)))))),0)</f>
        <v/>
      </c>
      <c r="K323" s="3">
        <f>I323-J323</f>
        <v/>
      </c>
      <c r="L323" s="3">
        <f>IF(K323&lt;-5,"CRÍTICO",IF(K323&lt;0,"ATENÇÃO",IF(K323&lt;=5,"BOM","EXCELENTE")))</f>
        <v/>
      </c>
      <c r="M323" t="n">
        <v>29</v>
      </c>
      <c r="N323" t="n">
        <v>100</v>
      </c>
      <c r="O323" t="n">
        <v>15.58441558441558</v>
      </c>
    </row>
    <row r="324" hidden="1">
      <c r="A324" s="5" t="n">
        <v>46153</v>
      </c>
      <c r="B324" s="6" t="inlineStr">
        <is>
          <t>Lucas Luiz Romero</t>
        </is>
      </c>
      <c r="C324" s="3" t="inlineStr">
        <is>
          <t>Técnico III</t>
        </is>
      </c>
      <c r="D324" s="3" t="n">
        <v>0</v>
      </c>
      <c r="E324" s="3" t="n">
        <v>0</v>
      </c>
      <c r="F324" s="3" t="n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>
        <f>IF(K324&lt;-5,"CRÍTICO",IF(K324&lt;0,"ATENÇÃO",IF(K324&lt;=5,"BOM","EXCELENTE")))</f>
        <v/>
      </c>
      <c r="M324" s="9" t="n">
        <v>0</v>
      </c>
      <c r="N324" s="9" t="n">
        <v>100</v>
      </c>
      <c r="O324" s="9" t="n">
        <v>4.347826086956522</v>
      </c>
    </row>
    <row r="325" hidden="1">
      <c r="A325" s="11" t="n">
        <v>46036</v>
      </c>
      <c r="B325" t="inlineStr">
        <is>
          <t>Gabriel Gomes de Andrade</t>
        </is>
      </c>
      <c r="C325" t="inlineStr">
        <is>
          <t>Técnico I</t>
        </is>
      </c>
      <c r="D325" t="n">
        <v>17</v>
      </c>
      <c r="E325" t="n">
        <v>16</v>
      </c>
      <c r="F325" t="n">
        <v>22.33</v>
      </c>
      <c r="G325" t="n">
        <v>0</v>
      </c>
      <c r="H325" t="n">
        <v>0</v>
      </c>
      <c r="I325" s="3">
        <f>E325+G325+H325</f>
        <v/>
      </c>
      <c r="J325" s="3">
        <f>ROUND(MIN(IF(C325="Técnico III",35,IF(C325="Técnico II",28,IF(C325="Técnico I",23,IF(C325="JR",20,IF(C325="Estágio",10,0))))),IF(C325="Técnico III",SUMIFS($D:$D,$A:$A,$A325,$B:$B,"&lt;&gt;Patrícia Karla de Sousa Araújo",$B:$B,"&lt;&gt;Lorena Dias de Araujo",$B:$B,"&lt;&gt;Lucas Luiz Romero")*(35/1083),IF(C325="Técnico II",SUMIFS($D:$D,$A:$A,$A325,$B:$B,"&lt;&gt;Patrícia Karla de Sousa Araújo",$B:$B,"&lt;&gt;Lorena Dias de Araujo",$B:$B,"&lt;&gt;Lucas Luiz Romero")*(28/1083),IF(C325="Técnico I",SUMIFS($D:$D,$A:$A,$A325,$B:$B,"&lt;&gt;Patrícia Karla de Sousa Araújo",$B:$B,"&lt;&gt;Lorena Dias de Araujo",$B:$B,"&lt;&gt;Lucas Luiz Romero")*(23/1083),IF(C325="JR",SUMIFS($D:$D,$A:$A,$A325,$B:$B,"&lt;&gt;Patrícia Karla de Sousa Araújo",$B:$B,"&lt;&gt;Lorena Dias de Araujo",$B:$B,"&lt;&gt;Lucas Luiz Romero")*(20/1083),IF(C325="Estágio",SUMIFS($D:$D,$A:$A,$A325,$B:$B,"&lt;&gt;Patrícia Karla de Sousa Araújo",$B:$B,"&lt;&gt;Lorena Dias de Araujo",$B:$B,"&lt;&gt;Lucas Luiz Romero")*(10/1083),0)))))),0)</f>
        <v/>
      </c>
      <c r="K325" s="3">
        <f>I325-J325</f>
        <v/>
      </c>
      <c r="L325" s="3">
        <f>IF(K325&lt;-5,"CRÍTICO",IF(K325&lt;0,"ATENÇÃO",IF(K325&lt;=5,"BOM","EXCELENTE")))</f>
        <v/>
      </c>
      <c r="M325" t="n">
        <v>16</v>
      </c>
      <c r="N325" t="n">
        <v>96</v>
      </c>
      <c r="O325" t="n">
        <v>29.88505747126437</v>
      </c>
    </row>
    <row r="326" hidden="1">
      <c r="A326" s="5" t="n">
        <v>46153</v>
      </c>
      <c r="B326" s="6" t="inlineStr">
        <is>
          <t>Matheus Farias De Souza</t>
        </is>
      </c>
      <c r="C326" s="3" t="inlineStr">
        <is>
          <t>Técnico III</t>
        </is>
      </c>
      <c r="D326" s="3" t="n">
        <v>0</v>
      </c>
      <c r="E326" s="3" t="n">
        <v>0</v>
      </c>
      <c r="F326" t="n">
        <v>0</v>
      </c>
      <c r="H326" s="3" t="n">
        <v>46</v>
      </c>
      <c r="I326" s="3">
        <f>E326+G326+H326</f>
        <v/>
      </c>
      <c r="J326" s="3">
        <f>ROUND(MIN(IF(C326="Técnico III",35,IF(C326="Técnico II",28,IF(C326="Técnico I",23,IF(C326="JR",20,IF(C326="Estágio",10,0))))),IF(C326="Técnico III",SUMIFS($D:$D,$A:$A,$A326,$B:$B,"&lt;&gt;Patrícia Karla de Sousa Araújo",$B:$B,"&lt;&gt;Lorena Dias de Araujo",$B:$B,"&lt;&gt;Lucas Luiz Romero")*(35/1083),IF(C326="Técnico II",SUMIFS($D:$D,$A:$A,$A326,$B:$B,"&lt;&gt;Patrícia Karla de Sousa Araújo",$B:$B,"&lt;&gt;Lorena Dias de Araujo",$B:$B,"&lt;&gt;Lucas Luiz Romero")*(28/1083),IF(C326="Técnico I",SUMIFS($D:$D,$A:$A,$A326,$B:$B,"&lt;&gt;Patrícia Karla de Sousa Araújo",$B:$B,"&lt;&gt;Lorena Dias de Araujo",$B:$B,"&lt;&gt;Lucas Luiz Romero")*(23/1083),IF(C326="JR",SUMIFS($D:$D,$A:$A,$A326,$B:$B,"&lt;&gt;Patrícia Karla de Sousa Araújo",$B:$B,"&lt;&gt;Lorena Dias de Araujo",$B:$B,"&lt;&gt;Lucas Luiz Romero")*(20/1083),IF(C326="Estágio",SUMIFS($D:$D,$A:$A,$A326,$B:$B,"&lt;&gt;Patrícia Karla de Sousa Araújo",$B:$B,"&lt;&gt;Lorena Dias de Araujo",$B:$B,"&lt;&gt;Lucas Luiz Romero")*(10/1083),0)))))),0)</f>
        <v/>
      </c>
      <c r="K326" s="3">
        <f>I326-J326</f>
        <v/>
      </c>
      <c r="L326" s="3">
        <f>IF(K326&lt;-5,"CRÍTICO",IF(K326&lt;0,"ATENÇÃO",IF(K326&lt;=5,"BOM","EXCELENTE")))</f>
        <v/>
      </c>
      <c r="M326" t="n">
        <v>27</v>
      </c>
      <c r="N326" t="n">
        <v>98.28</v>
      </c>
      <c r="O326" t="n">
        <v>9.037900874635568</v>
      </c>
    </row>
    <row r="327" hidden="1">
      <c r="A327" s="5" t="n">
        <v>46153</v>
      </c>
      <c r="B327" s="6" t="inlineStr">
        <is>
          <t>Maysa Victoria Dias Moura</t>
        </is>
      </c>
      <c r="C327" s="3" t="inlineStr">
        <is>
          <t>Técnico III</t>
        </is>
      </c>
      <c r="D327" s="3" t="n">
        <v>33</v>
      </c>
      <c r="E327" s="3" t="n">
        <v>24</v>
      </c>
      <c r="F327" t="n">
        <v>8.43</v>
      </c>
      <c r="G327" s="3" t="n">
        <v>5</v>
      </c>
      <c r="H327" s="3" t="n">
        <v>0</v>
      </c>
      <c r="I327" s="3">
        <f>E327+G327+H327</f>
        <v/>
      </c>
      <c r="J327" s="3">
        <f>ROUND(MIN(IF(C327="Técnico III",35,IF(C327="Técnico II",28,IF(C327="Técnico I",23,IF(C327="JR",20,IF(C327="Estágio",10,0))))),IF(C327="Técnico III",SUMIFS($D:$D,$A:$A,$A327,$B:$B,"&lt;&gt;Patrícia Karla de Sousa Araújo",$B:$B,"&lt;&gt;Lorena Dias de Araujo",$B:$B,"&lt;&gt;Lucas Luiz Romero")*(35/1083),IF(C327="Técnico II",SUMIFS($D:$D,$A:$A,$A327,$B:$B,"&lt;&gt;Patrícia Karla de Sousa Araújo",$B:$B,"&lt;&gt;Lorena Dias de Araujo",$B:$B,"&lt;&gt;Lucas Luiz Romero")*(28/1083),IF(C327="Técnico I",SUMIFS($D:$D,$A:$A,$A327,$B:$B,"&lt;&gt;Patrícia Karla de Sousa Araújo",$B:$B,"&lt;&gt;Lorena Dias de Araujo",$B:$B,"&lt;&gt;Lucas Luiz Romero")*(23/1083),IF(C327="JR",SUMIFS($D:$D,$A:$A,$A327,$B:$B,"&lt;&gt;Patrícia Karla de Sousa Araújo",$B:$B,"&lt;&gt;Lorena Dias de Araujo",$B:$B,"&lt;&gt;Lucas Luiz Romero")*(20/1083),IF(C327="Estágio",SUMIFS($D:$D,$A:$A,$A327,$B:$B,"&lt;&gt;Patrícia Karla de Sousa Araújo",$B:$B,"&lt;&gt;Lorena Dias de Araujo",$B:$B,"&lt;&gt;Lucas Luiz Romero")*(10/1083),0)))))),0)</f>
        <v/>
      </c>
      <c r="K327" s="3">
        <f>I327-J327</f>
        <v/>
      </c>
      <c r="L327" s="3">
        <f>IF(K327&lt;-5,"CRÍTICO",IF(K327&lt;0,"ATENÇÃO",IF(K327&lt;=5,"BOM","EXCELENTE")))</f>
        <v/>
      </c>
      <c r="M327" t="n">
        <v>26</v>
      </c>
      <c r="N327" t="n">
        <v>97.22</v>
      </c>
      <c r="O327" t="n">
        <v>19.09547738693467</v>
      </c>
    </row>
    <row r="328" hidden="1">
      <c r="A328" s="5" t="n">
        <v>46153</v>
      </c>
      <c r="B328" s="6" t="inlineStr">
        <is>
          <t>Rafael Gomes de Morais</t>
        </is>
      </c>
      <c r="C328" s="3" t="inlineStr">
        <is>
          <t>Técnico III</t>
        </is>
      </c>
      <c r="D328" s="3" t="n">
        <v>23</v>
      </c>
      <c r="E328" s="3" t="n">
        <v>21</v>
      </c>
      <c r="F328" t="n">
        <v>17.37</v>
      </c>
      <c r="G328" s="3" t="n">
        <v>2</v>
      </c>
      <c r="H328" s="3" t="n">
        <v>0</v>
      </c>
      <c r="I328" s="3">
        <f>E328+G328+H328</f>
        <v/>
      </c>
      <c r="J328" s="3">
        <f>ROUND(MIN(IF(C328="Técnico III",35,IF(C328="Técnico II",28,IF(C328="Técnico I",23,IF(C328="JR",20,IF(C328="Estágio",10,0))))),IF(C328="Técnico III",SUMIFS($D:$D,$A:$A,$A328,$B:$B,"&lt;&gt;Patrícia Karla de Sousa Araújo",$B:$B,"&lt;&gt;Lorena Dias de Araujo",$B:$B,"&lt;&gt;Lucas Luiz Romero")*(35/1083),IF(C328="Técnico II",SUMIFS($D:$D,$A:$A,$A328,$B:$B,"&lt;&gt;Patrícia Karla de Sousa Araújo",$B:$B,"&lt;&gt;Lorena Dias de Araujo",$B:$B,"&lt;&gt;Lucas Luiz Romero")*(28/1083),IF(C328="Técnico I",SUMIFS($D:$D,$A:$A,$A328,$B:$B,"&lt;&gt;Patrícia Karla de Sousa Araújo",$B:$B,"&lt;&gt;Lorena Dias de Araujo",$B:$B,"&lt;&gt;Lucas Luiz Romero")*(23/1083),IF(C328="JR",SUMIFS($D:$D,$A:$A,$A328,$B:$B,"&lt;&gt;Patrícia Karla de Sousa Araújo",$B:$B,"&lt;&gt;Lorena Dias de Araujo",$B:$B,"&lt;&gt;Lucas Luiz Romero")*(20/1083),IF(C328="Estágio",SUMIFS($D:$D,$A:$A,$A328,$B:$B,"&lt;&gt;Patrícia Karla de Sousa Araújo",$B:$B,"&lt;&gt;Lorena Dias de Araujo",$B:$B,"&lt;&gt;Lucas Luiz Romero")*(10/1083),0)))))),0)</f>
        <v/>
      </c>
      <c r="K328" s="3">
        <f>I328-J328</f>
        <v/>
      </c>
      <c r="L328" s="3">
        <f>IF(K328&lt;-5,"CRÍTICO",IF(K328&lt;0,"ATENÇÃO",IF(K328&lt;=5,"BOM","EXCELENTE")))</f>
        <v/>
      </c>
      <c r="M328" t="n">
        <v>17</v>
      </c>
      <c r="N328" t="n">
        <v>99.29000000000001</v>
      </c>
      <c r="O328" t="n">
        <v>22.49443207126949</v>
      </c>
    </row>
    <row r="329" hidden="1">
      <c r="A329" s="5" t="n">
        <v>46153</v>
      </c>
      <c r="B329" s="6" t="inlineStr">
        <is>
          <t>Sarah Steffanie de Lima Borges</t>
        </is>
      </c>
      <c r="C329" s="3" t="inlineStr">
        <is>
          <t>Técnico III</t>
        </is>
      </c>
      <c r="D329" s="3" t="n">
        <v>25</v>
      </c>
      <c r="E329" s="3" t="n">
        <v>21</v>
      </c>
      <c r="F329" t="n">
        <v>15.04</v>
      </c>
      <c r="G329" s="3" t="n">
        <v>0</v>
      </c>
      <c r="H329" s="3" t="n">
        <v>0</v>
      </c>
      <c r="I329" s="3">
        <f>E329+G329+H329</f>
        <v/>
      </c>
      <c r="J329" s="3">
        <f>ROUND(MIN(IF(C329="Técnico III",35,IF(C329="Técnico II",28,IF(C329="Técnico I",23,IF(C329="JR",20,IF(C329="Estágio",10,0))))),IF(C329="Técnico III",SUMIFS($D:$D,$A:$A,$A329,$B:$B,"&lt;&gt;Patrícia Karla de Sousa Araújo",$B:$B,"&lt;&gt;Lorena Dias de Araujo",$B:$B,"&lt;&gt;Lucas Luiz Romero")*(35/1083),IF(C329="Técnico II",SUMIFS($D:$D,$A:$A,$A329,$B:$B,"&lt;&gt;Patrícia Karla de Sousa Araújo",$B:$B,"&lt;&gt;Lorena Dias de Araujo",$B:$B,"&lt;&gt;Lucas Luiz Romero")*(28/1083),IF(C329="Técnico I",SUMIFS($D:$D,$A:$A,$A329,$B:$B,"&lt;&gt;Patrícia Karla de Sousa Araújo",$B:$B,"&lt;&gt;Lorena Dias de Araujo",$B:$B,"&lt;&gt;Lucas Luiz Romero")*(23/1083),IF(C329="JR",SUMIFS($D:$D,$A:$A,$A329,$B:$B,"&lt;&gt;Patrícia Karla de Sousa Araújo",$B:$B,"&lt;&gt;Lorena Dias de Araujo",$B:$B,"&lt;&gt;Lucas Luiz Romero")*(20/1083),IF(C329="Estágio",SUMIFS($D:$D,$A:$A,$A329,$B:$B,"&lt;&gt;Patrícia Karla de Sousa Araújo",$B:$B,"&lt;&gt;Lorena Dias de Araujo",$B:$B,"&lt;&gt;Lucas Luiz Romero")*(10/1083),0)))))),0)</f>
        <v/>
      </c>
      <c r="K329" s="3">
        <f>I329-J329</f>
        <v/>
      </c>
      <c r="L329" s="3">
        <f>IF(K329&lt;-5,"CRÍTICO",IF(K329&lt;0,"ATENÇÃO",IF(K329&lt;=5,"BOM","EXCELENTE")))</f>
        <v/>
      </c>
      <c r="M329" t="n">
        <v>16</v>
      </c>
      <c r="N329" t="n">
        <v>97.33</v>
      </c>
      <c r="O329" t="n">
        <v>15.80547112462006</v>
      </c>
    </row>
    <row r="330" hidden="1">
      <c r="A330" s="5" t="n">
        <v>46154</v>
      </c>
      <c r="B330" s="6" t="inlineStr">
        <is>
          <t>Amanda Moura Ferreira</t>
        </is>
      </c>
      <c r="C330" s="3" t="inlineStr">
        <is>
          <t>Técnico III</t>
        </is>
      </c>
      <c r="D330" s="3" t="n">
        <v>0</v>
      </c>
      <c r="E330" s="3" t="n">
        <v>0</v>
      </c>
      <c r="F330" s="3" t="n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>
        <f>IF(K330&lt;-5,"CRÍTICO",IF(K330&lt;0,"ATENÇÃO",IF(K330&lt;=5,"BOM","EXCELENTE")))</f>
        <v/>
      </c>
      <c r="M330" s="9" t="n">
        <v>0</v>
      </c>
      <c r="N330" s="9" t="n">
        <v>100</v>
      </c>
      <c r="O330" s="9" t="n">
        <v>0</v>
      </c>
    </row>
    <row r="331" hidden="1">
      <c r="A331" s="5" t="n">
        <v>46154</v>
      </c>
      <c r="B331" s="6" t="inlineStr">
        <is>
          <t>Ana Paula Da Luz Silva Aleixo</t>
        </is>
      </c>
      <c r="C331" s="9" t="inlineStr">
        <is>
          <t>Técnico III</t>
        </is>
      </c>
      <c r="D331" s="3" t="n">
        <v>28</v>
      </c>
      <c r="E331" s="3" t="n">
        <v>24</v>
      </c>
      <c r="F331" t="n">
        <v>15.56</v>
      </c>
      <c r="G331" s="3" t="n">
        <v>4</v>
      </c>
      <c r="H331" s="3" t="n">
        <v>0</v>
      </c>
      <c r="I331" s="3">
        <f>E331+G331+H331</f>
        <v/>
      </c>
      <c r="J331" s="3">
        <f>ROUND(MIN(IF(C331="Técnico III",35,IF(C331="Técnico II",28,IF(C331="Técnico I",23,IF(C331="JR",20,IF(C331="Estágio",10,0))))),IF(C331="Técnico III",SUMIFS($D:$D,$A:$A,$A331,$B:$B,"&lt;&gt;Patrícia Karla de Sousa Araújo",$B:$B,"&lt;&gt;Lorena Dias de Araujo",$B:$B,"&lt;&gt;Lucas Luiz Romero")*(35/1083),IF(C331="Técnico II",SUMIFS($D:$D,$A:$A,$A331,$B:$B,"&lt;&gt;Patrícia Karla de Sousa Araújo",$B:$B,"&lt;&gt;Lorena Dias de Araujo",$B:$B,"&lt;&gt;Lucas Luiz Romero")*(28/1083),IF(C331="Técnico I",SUMIFS($D:$D,$A:$A,$A331,$B:$B,"&lt;&gt;Patrícia Karla de Sousa Araújo",$B:$B,"&lt;&gt;Lorena Dias de Araujo",$B:$B,"&lt;&gt;Lucas Luiz Romero")*(23/1083),IF(C331="JR",SUMIFS($D:$D,$A:$A,$A331,$B:$B,"&lt;&gt;Patrícia Karla de Sousa Araújo",$B:$B,"&lt;&gt;Lorena Dias de Araujo",$B:$B,"&lt;&gt;Lucas Luiz Romero")*(20/1083),IF(C331="Estágio",SUMIFS($D:$D,$A:$A,$A331,$B:$B,"&lt;&gt;Patrícia Karla de Sousa Araújo",$B:$B,"&lt;&gt;Lorena Dias de Araujo",$B:$B,"&lt;&gt;Lucas Luiz Romero")*(10/1083),0)))))),0)</f>
        <v/>
      </c>
      <c r="K331" s="3">
        <f>I331-J331</f>
        <v/>
      </c>
      <c r="L331" s="3">
        <f>IF(K331&lt;-5,"CRÍTICO",IF(K331&lt;0,"ATENÇÃO",IF(K331&lt;=5,"BOM","EXCELENTE")))</f>
        <v/>
      </c>
      <c r="M331" t="n">
        <v>25</v>
      </c>
      <c r="N331" t="n">
        <v>96.34</v>
      </c>
      <c r="O331" t="n">
        <v>17.57188498402556</v>
      </c>
    </row>
    <row r="332" hidden="1">
      <c r="A332" s="5" t="n">
        <v>46154</v>
      </c>
      <c r="B332" s="6" t="inlineStr">
        <is>
          <t>Cristiane Ramos da Silva Rocha</t>
        </is>
      </c>
      <c r="C332" s="3" t="inlineStr">
        <is>
          <t>Técnico III</t>
        </is>
      </c>
      <c r="D332" s="3" t="n">
        <v>41</v>
      </c>
      <c r="E332" s="3" t="n">
        <v>39</v>
      </c>
      <c r="F332" t="n">
        <v>10.52</v>
      </c>
      <c r="G332" s="3" t="n">
        <v>0</v>
      </c>
      <c r="H332" s="3" t="n">
        <v>0</v>
      </c>
      <c r="I332" s="3">
        <f>E332+G332+H332</f>
        <v/>
      </c>
      <c r="J332" s="3">
        <f>ROUND(MIN(IF(C332="Técnico III",35,IF(C332="Técnico II",28,IF(C332="Técnico I",23,IF(C332="JR",20,IF(C332="Estágio",10,0))))),IF(C332="Técnico III",SUMIFS($D:$D,$A:$A,$A332,$B:$B,"&lt;&gt;Patrícia Karla de Sousa Araújo",$B:$B,"&lt;&gt;Lorena Dias de Araujo",$B:$B,"&lt;&gt;Lucas Luiz Romero")*(35/1083),IF(C332="Técnico II",SUMIFS($D:$D,$A:$A,$A332,$B:$B,"&lt;&gt;Patrícia Karla de Sousa Araújo",$B:$B,"&lt;&gt;Lorena Dias de Araujo",$B:$B,"&lt;&gt;Lucas Luiz Romero")*(28/1083),IF(C332="Técnico I",SUMIFS($D:$D,$A:$A,$A332,$B:$B,"&lt;&gt;Patrícia Karla de Sousa Araújo",$B:$B,"&lt;&gt;Lorena Dias de Araujo",$B:$B,"&lt;&gt;Lucas Luiz Romero")*(23/1083),IF(C332="JR",SUMIFS($D:$D,$A:$A,$A332,$B:$B,"&lt;&gt;Patrícia Karla de Sousa Araújo",$B:$B,"&lt;&gt;Lorena Dias de Araujo",$B:$B,"&lt;&gt;Lucas Luiz Romero")*(20/1083),IF(C332="Estágio",SUMIFS($D:$D,$A:$A,$A332,$B:$B,"&lt;&gt;Patrícia Karla de Sousa Araújo",$B:$B,"&lt;&gt;Lorena Dias de Araujo",$B:$B,"&lt;&gt;Lucas Luiz Romero")*(10/1083),0)))))),0)</f>
        <v/>
      </c>
      <c r="K332" s="3">
        <f>I332-J332</f>
        <v/>
      </c>
      <c r="L332" s="3">
        <f>IF(K332&lt;-5,"CRÍTICO",IF(K332&lt;0,"ATENÇÃO",IF(K332&lt;=5,"BOM","EXCELENTE")))</f>
        <v/>
      </c>
      <c r="M332" t="n">
        <v>33</v>
      </c>
      <c r="N332" t="n">
        <v>91.84999999999999</v>
      </c>
      <c r="O332" t="n">
        <v>20.87155963302752</v>
      </c>
    </row>
    <row r="333" hidden="1">
      <c r="A333" s="5" t="n">
        <v>46154</v>
      </c>
      <c r="B333" s="6" t="inlineStr">
        <is>
          <t>Davylla Rodrigues Freitas Silva</t>
        </is>
      </c>
      <c r="C333" s="9" t="inlineStr">
        <is>
          <t>Técnico III</t>
        </is>
      </c>
      <c r="D333" s="3" t="n">
        <v>23</v>
      </c>
      <c r="E333" s="3" t="n">
        <v>23</v>
      </c>
      <c r="F333" t="n">
        <v>25.03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>
        <f>IF(K333&lt;-5,"CRÍTICO",IF(K333&lt;0,"ATENÇÃO",IF(K333&lt;=5,"BOM","EXCELENTE")))</f>
        <v/>
      </c>
      <c r="M333" t="n">
        <v>27</v>
      </c>
      <c r="N333" t="n">
        <v>99.06</v>
      </c>
      <c r="O333" t="n">
        <v>22.95719844357977</v>
      </c>
    </row>
    <row r="334" hidden="1">
      <c r="A334" s="5" t="n">
        <v>46154</v>
      </c>
      <c r="B334" s="6" t="inlineStr">
        <is>
          <t>Francielson de Oliveira</t>
        </is>
      </c>
      <c r="C334" s="9" t="inlineStr">
        <is>
          <t>Técnico III</t>
        </is>
      </c>
      <c r="D334" s="3" t="n">
        <v>0</v>
      </c>
      <c r="E334" s="3" t="n">
        <v>0</v>
      </c>
      <c r="F334" s="3" t="n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>
        <f>IF(K334&lt;-5,"CRÍTICO",IF(K334&lt;0,"ATENÇÃO",IF(K334&lt;=5,"BOM","EXCELENTE")))</f>
        <v/>
      </c>
      <c r="M334" s="9" t="n">
        <v>0</v>
      </c>
      <c r="N334" s="9" t="n">
        <v>100</v>
      </c>
      <c r="O334" s="9" t="n">
        <v>9.523809523809524</v>
      </c>
    </row>
    <row r="335" hidden="1">
      <c r="A335" s="5" t="n">
        <v>46154</v>
      </c>
      <c r="B335" s="6" t="inlineStr">
        <is>
          <t>Janaina Lima dos Reis Urany</t>
        </is>
      </c>
      <c r="C335" s="3" t="inlineStr">
        <is>
          <t>Técnico III</t>
        </is>
      </c>
      <c r="D335" s="3" t="n">
        <v>47</v>
      </c>
      <c r="E335" s="3" t="n">
        <v>43</v>
      </c>
      <c r="F335" t="n">
        <v>10.34</v>
      </c>
      <c r="G335" s="3" t="n">
        <v>8</v>
      </c>
      <c r="H335" s="3" t="n">
        <v>0</v>
      </c>
      <c r="I335" s="3">
        <f>E335+G335+H335</f>
        <v/>
      </c>
      <c r="J335" s="3">
        <f>ROUND(MIN(IF(C335="Técnico III",35,IF(C335="Técnico II",28,IF(C335="Técnico I",23,IF(C335="JR",20,IF(C335="Estágio",10,0))))),IF(C335="Técnico III",SUMIFS($D:$D,$A:$A,$A335,$B:$B,"&lt;&gt;Patrícia Karla de Sousa Araújo",$B:$B,"&lt;&gt;Lorena Dias de Araujo",$B:$B,"&lt;&gt;Lucas Luiz Romero")*(35/1083),IF(C335="Técnico II",SUMIFS($D:$D,$A:$A,$A335,$B:$B,"&lt;&gt;Patrícia Karla de Sousa Araújo",$B:$B,"&lt;&gt;Lorena Dias de Araujo",$B:$B,"&lt;&gt;Lucas Luiz Romero")*(28/1083),IF(C335="Técnico I",SUMIFS($D:$D,$A:$A,$A335,$B:$B,"&lt;&gt;Patrícia Karla de Sousa Araújo",$B:$B,"&lt;&gt;Lorena Dias de Araujo",$B:$B,"&lt;&gt;Lucas Luiz Romero")*(23/1083),IF(C335="JR",SUMIFS($D:$D,$A:$A,$A335,$B:$B,"&lt;&gt;Patrícia Karla de Sousa Araújo",$B:$B,"&lt;&gt;Lorena Dias de Araujo",$B:$B,"&lt;&gt;Lucas Luiz Romero")*(20/1083),IF(C335="Estágio",SUMIFS($D:$D,$A:$A,$A335,$B:$B,"&lt;&gt;Patrícia Karla de Sousa Araújo",$B:$B,"&lt;&gt;Lorena Dias de Araujo",$B:$B,"&lt;&gt;Lucas Luiz Romero")*(10/1083),0)))))),0)</f>
        <v/>
      </c>
      <c r="K335" s="3">
        <f>I335-J335</f>
        <v/>
      </c>
      <c r="L335" s="3">
        <f>IF(K335&lt;-5,"CRÍTICO",IF(K335&lt;0,"ATENÇÃO",IF(K335&lt;=5,"BOM","EXCELENTE")))</f>
        <v/>
      </c>
      <c r="M335" t="n">
        <v>45</v>
      </c>
      <c r="N335" t="n">
        <v>98.64</v>
      </c>
      <c r="O335" t="n">
        <v>16.6383701188455</v>
      </c>
    </row>
    <row r="336" hidden="1">
      <c r="A336" s="5" t="n">
        <v>46154</v>
      </c>
      <c r="B336" s="6" t="inlineStr">
        <is>
          <t>Jaqueline Evangelista da Silva Martins</t>
        </is>
      </c>
      <c r="C336" s="3" t="inlineStr">
        <is>
          <t>Técnico III</t>
        </is>
      </c>
      <c r="D336" s="3" t="n">
        <v>42</v>
      </c>
      <c r="E336" s="3" t="n">
        <v>37</v>
      </c>
      <c r="F336" t="n">
        <v>10.49</v>
      </c>
      <c r="G336" s="3" t="n">
        <v>9</v>
      </c>
      <c r="H336" s="3" t="n">
        <v>0</v>
      </c>
      <c r="I336" s="3">
        <f>E336+G336+H336</f>
        <v/>
      </c>
      <c r="J336" s="3">
        <f>ROUND(MIN(IF(C336="Técnico III",35,IF(C336="Técnico II",28,IF(C336="Técnico I",23,IF(C336="JR",20,IF(C336="Estágio",10,0))))),IF(C336="Técnico III",SUMIFS($D:$D,$A:$A,$A336,$B:$B,"&lt;&gt;Patrícia Karla de Sousa Araújo",$B:$B,"&lt;&gt;Lorena Dias de Araujo",$B:$B,"&lt;&gt;Lucas Luiz Romero")*(35/1083),IF(C336="Técnico II",SUMIFS($D:$D,$A:$A,$A336,$B:$B,"&lt;&gt;Patrícia Karla de Sousa Araújo",$B:$B,"&lt;&gt;Lorena Dias de Araujo",$B:$B,"&lt;&gt;Lucas Luiz Romero")*(28/1083),IF(C336="Técnico I",SUMIFS($D:$D,$A:$A,$A336,$B:$B,"&lt;&gt;Patrícia Karla de Sousa Araújo",$B:$B,"&lt;&gt;Lorena Dias de Araujo",$B:$B,"&lt;&gt;Lucas Luiz Romero")*(23/1083),IF(C336="JR",SUMIFS($D:$D,$A:$A,$A336,$B:$B,"&lt;&gt;Patrícia Karla de Sousa Araújo",$B:$B,"&lt;&gt;Lorena Dias de Araujo",$B:$B,"&lt;&gt;Lucas Luiz Romero")*(20/1083),IF(C336="Estágio",SUMIFS($D:$D,$A:$A,$A336,$B:$B,"&lt;&gt;Patrícia Karla de Sousa Araújo",$B:$B,"&lt;&gt;Lorena Dias de Araujo",$B:$B,"&lt;&gt;Lucas Luiz Romero")*(10/1083),0)))))),0)</f>
        <v/>
      </c>
      <c r="K336" s="3">
        <f>I336-J336</f>
        <v/>
      </c>
      <c r="L336" s="3">
        <f>IF(K336&lt;-5,"CRÍTICO",IF(K336&lt;0,"ATENÇÃO",IF(K336&lt;=5,"BOM","EXCELENTE")))</f>
        <v/>
      </c>
      <c r="M336" t="n">
        <v>37</v>
      </c>
      <c r="N336" t="n">
        <v>95.40000000000001</v>
      </c>
      <c r="O336" t="n">
        <v>20.53333333333333</v>
      </c>
    </row>
    <row r="337" hidden="1">
      <c r="A337" s="5" t="n">
        <v>46154</v>
      </c>
      <c r="B337" s="6" t="inlineStr">
        <is>
          <t>Jéssica Fé Moura</t>
        </is>
      </c>
      <c r="C337" s="3" t="inlineStr">
        <is>
          <t>Técnico III</t>
        </is>
      </c>
      <c r="D337" s="3" t="n">
        <v>0</v>
      </c>
      <c r="E337" s="3" t="n">
        <v>0</v>
      </c>
      <c r="F337" s="3" t="n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>
        <f>IF(K337&lt;-5,"CRÍTICO",IF(K337&lt;0,"ATENÇÃO",IF(K337&lt;=5,"BOM","EXCELENTE")))</f>
        <v/>
      </c>
      <c r="M337" s="9" t="n">
        <v>0</v>
      </c>
      <c r="N337" s="9" t="n">
        <v>0</v>
      </c>
      <c r="O337" s="9" t="n">
        <v>0</v>
      </c>
    </row>
    <row r="338" hidden="1">
      <c r="A338" s="5" t="n">
        <v>46154</v>
      </c>
      <c r="B338" s="6" t="inlineStr">
        <is>
          <t>Kerollen Cristielly de Jesus Siqueira</t>
        </is>
      </c>
      <c r="C338" s="9" t="inlineStr">
        <is>
          <t>Técnico III</t>
        </is>
      </c>
      <c r="D338" s="3" t="n">
        <v>19</v>
      </c>
      <c r="E338" s="3" t="n">
        <v>17</v>
      </c>
      <c r="F338" t="n">
        <v>25.12</v>
      </c>
      <c r="G338" s="3" t="n">
        <v>1</v>
      </c>
      <c r="H338" s="3" t="n">
        <v>0</v>
      </c>
      <c r="I338" s="3">
        <f>E338+G338+H338</f>
        <v/>
      </c>
      <c r="J338" s="3">
        <f>ROUND(MIN(IF(C338="Técnico III",35,IF(C338="Técnico II",28,IF(C338="Técnico I",23,IF(C338="JR",20,IF(C338="Estágio",10,0))))),IF(C338="Técnico III",SUMIFS($D:$D,$A:$A,$A338,$B:$B,"&lt;&gt;Patrícia Karla de Sousa Araújo",$B:$B,"&lt;&gt;Lorena Dias de Araujo",$B:$B,"&lt;&gt;Lucas Luiz Romero")*(35/1083),IF(C338="Técnico II",SUMIFS($D:$D,$A:$A,$A338,$B:$B,"&lt;&gt;Patrícia Karla de Sousa Araújo",$B:$B,"&lt;&gt;Lorena Dias de Araujo",$B:$B,"&lt;&gt;Lucas Luiz Romero")*(28/1083),IF(C338="Técnico I",SUMIFS($D:$D,$A:$A,$A338,$B:$B,"&lt;&gt;Patrícia Karla de Sousa Araújo",$B:$B,"&lt;&gt;Lorena Dias de Araujo",$B:$B,"&lt;&gt;Lucas Luiz Romero")*(23/1083),IF(C338="JR",SUMIFS($D:$D,$A:$A,$A338,$B:$B,"&lt;&gt;Patrícia Karla de Sousa Araújo",$B:$B,"&lt;&gt;Lorena Dias de Araujo",$B:$B,"&lt;&gt;Lucas Luiz Romero")*(20/1083),IF(C338="Estágio",SUMIFS($D:$D,$A:$A,$A338,$B:$B,"&lt;&gt;Patrícia Karla de Sousa Araújo",$B:$B,"&lt;&gt;Lorena Dias de Araujo",$B:$B,"&lt;&gt;Lucas Luiz Romero")*(10/1083),0)))))),0)</f>
        <v/>
      </c>
      <c r="K338" s="3">
        <f>I338-J338</f>
        <v/>
      </c>
      <c r="L338" s="3">
        <f>IF(K338&lt;-5,"CRÍTICO",IF(K338&lt;0,"ATENÇÃO",IF(K338&lt;=5,"BOM","EXCELENTE")))</f>
        <v/>
      </c>
      <c r="M338" t="n">
        <v>18</v>
      </c>
      <c r="N338" t="n">
        <v>95.52</v>
      </c>
      <c r="O338" t="n">
        <v>10.56105610561056</v>
      </c>
    </row>
    <row r="339" hidden="1">
      <c r="A339" s="5" t="n">
        <v>46154</v>
      </c>
      <c r="B339" s="6" t="inlineStr">
        <is>
          <t>Leandro Oliveira de Sousa</t>
        </is>
      </c>
      <c r="C339" s="9" t="inlineStr">
        <is>
          <t>Técnico III</t>
        </is>
      </c>
      <c r="D339" s="3" t="n">
        <v>31</v>
      </c>
      <c r="E339" s="3" t="n">
        <v>25</v>
      </c>
      <c r="F339" t="n">
        <v>16.55</v>
      </c>
      <c r="G339" s="3" t="n">
        <v>0</v>
      </c>
      <c r="H339" s="3" t="n">
        <v>0</v>
      </c>
      <c r="I339" s="3">
        <f>E339+G339+H339</f>
        <v/>
      </c>
      <c r="J339" s="3">
        <f>ROUND(MIN(IF(C339="Técnico III",35,IF(C339="Técnico II",28,IF(C339="Técnico I",23,IF(C339="JR",20,IF(C339="Estágio",10,0))))),IF(C339="Técnico III",SUMIFS($D:$D,$A:$A,$A339,$B:$B,"&lt;&gt;Patrícia Karla de Sousa Araújo",$B:$B,"&lt;&gt;Lorena Dias de Araujo",$B:$B,"&lt;&gt;Lucas Luiz Romero")*(35/1083),IF(C339="Técnico II",SUMIFS($D:$D,$A:$A,$A339,$B:$B,"&lt;&gt;Patrícia Karla de Sousa Araújo",$B:$B,"&lt;&gt;Lorena Dias de Araujo",$B:$B,"&lt;&gt;Lucas Luiz Romero")*(28/1083),IF(C339="Técnico I",SUMIFS($D:$D,$A:$A,$A339,$B:$B,"&lt;&gt;Patrícia Karla de Sousa Araújo",$B:$B,"&lt;&gt;Lorena Dias de Araujo",$B:$B,"&lt;&gt;Lucas Luiz Romero")*(23/1083),IF(C339="JR",SUMIFS($D:$D,$A:$A,$A339,$B:$B,"&lt;&gt;Patrícia Karla de Sousa Araújo",$B:$B,"&lt;&gt;Lorena Dias de Araujo",$B:$B,"&lt;&gt;Lucas Luiz Romero")*(20/1083),IF(C339="Estágio",SUMIFS($D:$D,$A:$A,$A339,$B:$B,"&lt;&gt;Patrícia Karla de Sousa Araújo",$B:$B,"&lt;&gt;Lorena Dias de Araujo",$B:$B,"&lt;&gt;Lucas Luiz Romero")*(10/1083),0)))))),0)</f>
        <v/>
      </c>
      <c r="K339" s="3">
        <f>I339-J339</f>
        <v/>
      </c>
      <c r="L339" s="3">
        <f>IF(K339&lt;-5,"CRÍTICO",IF(K339&lt;0,"ATENÇÃO",IF(K339&lt;=5,"BOM","EXCELENTE")))</f>
        <v/>
      </c>
      <c r="M339" t="n">
        <v>28</v>
      </c>
      <c r="N339" t="n">
        <v>100</v>
      </c>
      <c r="O339" t="n">
        <v>15.58441558441558</v>
      </c>
    </row>
    <row r="340" hidden="1">
      <c r="A340" s="5" t="n">
        <v>46154</v>
      </c>
      <c r="B340" s="6" t="inlineStr">
        <is>
          <t>Lucas Luiz Romero</t>
        </is>
      </c>
      <c r="C340" s="3" t="inlineStr">
        <is>
          <t>Técnico III</t>
        </is>
      </c>
      <c r="D340" s="3" t="n">
        <v>0</v>
      </c>
      <c r="E340" s="3" t="n">
        <v>0</v>
      </c>
      <c r="F340" s="3" t="n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>
        <f>IF(K340&lt;-5,"CRÍTICO",IF(K340&lt;0,"ATENÇÃO",IF(K340&lt;=5,"BOM","EXCELENTE")))</f>
        <v/>
      </c>
      <c r="M340" s="9" t="n">
        <v>0</v>
      </c>
      <c r="N340" s="9" t="n">
        <v>100</v>
      </c>
      <c r="O340" s="9" t="n">
        <v>4.347826086956522</v>
      </c>
    </row>
    <row r="341" hidden="1">
      <c r="A341" s="5" t="n">
        <v>46154</v>
      </c>
      <c r="B341" s="6" t="inlineStr">
        <is>
          <t>Matheus Farias De Souza</t>
        </is>
      </c>
      <c r="C341" s="3" t="inlineStr">
        <is>
          <t>Técnico III</t>
        </is>
      </c>
      <c r="D341" s="3" t="n">
        <v>0</v>
      </c>
      <c r="E341" s="3" t="n">
        <v>0</v>
      </c>
      <c r="F341" t="n">
        <v>0</v>
      </c>
      <c r="H341" s="3" t="n">
        <v>51</v>
      </c>
      <c r="I341" s="3">
        <f>E341+G341+H341</f>
        <v/>
      </c>
      <c r="J341" s="3">
        <f>ROUND(MIN(IF(C341="Técnico III",35,IF(C341="Técnico II",28,IF(C341="Técnico I",23,IF(C341="JR",20,IF(C341="Estágio",10,0))))),IF(C341="Técnico III",SUMIFS($D:$D,$A:$A,$A341,$B:$B,"&lt;&gt;Patrícia Karla de Sousa Araújo",$B:$B,"&lt;&gt;Lorena Dias de Araujo",$B:$B,"&lt;&gt;Lucas Luiz Romero")*(35/1083),IF(C341="Técnico II",SUMIFS($D:$D,$A:$A,$A341,$B:$B,"&lt;&gt;Patrícia Karla de Sousa Araújo",$B:$B,"&lt;&gt;Lorena Dias de Araujo",$B:$B,"&lt;&gt;Lucas Luiz Romero")*(28/1083),IF(C341="Técnico I",SUMIFS($D:$D,$A:$A,$A341,$B:$B,"&lt;&gt;Patrícia Karla de Sousa Araújo",$B:$B,"&lt;&gt;Lorena Dias de Araujo",$B:$B,"&lt;&gt;Lucas Luiz Romero")*(23/1083),IF(C341="JR",SUMIFS($D:$D,$A:$A,$A341,$B:$B,"&lt;&gt;Patrícia Karla de Sousa Araújo",$B:$B,"&lt;&gt;Lorena Dias de Araujo",$B:$B,"&lt;&gt;Lucas Luiz Romero")*(20/1083),IF(C341="Estágio",SUMIFS($D:$D,$A:$A,$A341,$B:$B,"&lt;&gt;Patrícia Karla de Sousa Araújo",$B:$B,"&lt;&gt;Lorena Dias de Araujo",$B:$B,"&lt;&gt;Lucas Luiz Romero")*(10/1083),0)))))),0)</f>
        <v/>
      </c>
      <c r="K341" s="3">
        <f>I341-J341</f>
        <v/>
      </c>
      <c r="L341" s="3">
        <f>IF(K341&lt;-5,"CRÍTICO",IF(K341&lt;0,"ATENÇÃO",IF(K341&lt;=5,"BOM","EXCELENTE")))</f>
        <v/>
      </c>
      <c r="M341" t="n">
        <v>25</v>
      </c>
      <c r="N341" t="n">
        <v>98.28</v>
      </c>
      <c r="O341" t="n">
        <v>9.037900874635568</v>
      </c>
    </row>
    <row r="342" hidden="1">
      <c r="A342" s="5" t="n">
        <v>46154</v>
      </c>
      <c r="B342" s="6" t="inlineStr">
        <is>
          <t>Maysa Victoria Dias Moura</t>
        </is>
      </c>
      <c r="C342" s="3" t="inlineStr">
        <is>
          <t>Técnico III</t>
        </is>
      </c>
      <c r="D342" s="3" t="n">
        <v>36</v>
      </c>
      <c r="E342" s="3" t="n">
        <v>31</v>
      </c>
      <c r="F342" t="n">
        <v>13.49</v>
      </c>
      <c r="G342" s="3" t="n">
        <v>2</v>
      </c>
      <c r="H342" s="3" t="n">
        <v>0</v>
      </c>
      <c r="I342" s="3">
        <f>E342+G342+H342</f>
        <v/>
      </c>
      <c r="J342" s="3">
        <f>ROUND(MIN(IF(C342="Técnico III",35,IF(C342="Técnico II",28,IF(C342="Técnico I",23,IF(C342="JR",20,IF(C342="Estágio",10,0))))),IF(C342="Técnico III",SUMIFS($D:$D,$A:$A,$A342,$B:$B,"&lt;&gt;Patrícia Karla de Sousa Araújo",$B:$B,"&lt;&gt;Lorena Dias de Araujo",$B:$B,"&lt;&gt;Lucas Luiz Romero")*(35/1083),IF(C342="Técnico II",SUMIFS($D:$D,$A:$A,$A342,$B:$B,"&lt;&gt;Patrícia Karla de Sousa Araújo",$B:$B,"&lt;&gt;Lorena Dias de Araujo",$B:$B,"&lt;&gt;Lucas Luiz Romero")*(28/1083),IF(C342="Técnico I",SUMIFS($D:$D,$A:$A,$A342,$B:$B,"&lt;&gt;Patrícia Karla de Sousa Araújo",$B:$B,"&lt;&gt;Lorena Dias de Araujo",$B:$B,"&lt;&gt;Lucas Luiz Romero")*(23/1083),IF(C342="JR",SUMIFS($D:$D,$A:$A,$A342,$B:$B,"&lt;&gt;Patrícia Karla de Sousa Araújo",$B:$B,"&lt;&gt;Lorena Dias de Araujo",$B:$B,"&lt;&gt;Lucas Luiz Romero")*(20/1083),IF(C342="Estágio",SUMIFS($D:$D,$A:$A,$A342,$B:$B,"&lt;&gt;Patrícia Karla de Sousa Araújo",$B:$B,"&lt;&gt;Lorena Dias de Araujo",$B:$B,"&lt;&gt;Lucas Luiz Romero")*(10/1083),0)))))),0)</f>
        <v/>
      </c>
      <c r="K342" s="3">
        <f>I342-J342</f>
        <v/>
      </c>
      <c r="L342" s="3">
        <f>IF(K342&lt;-5,"CRÍTICO",IF(K342&lt;0,"ATENÇÃO",IF(K342&lt;=5,"BOM","EXCELENTE")))</f>
        <v/>
      </c>
      <c r="M342" t="n">
        <v>28</v>
      </c>
      <c r="N342" t="n">
        <v>97.22</v>
      </c>
      <c r="O342" t="n">
        <v>19.09547738693467</v>
      </c>
    </row>
    <row r="343" hidden="1">
      <c r="A343" s="5" t="n">
        <v>46154</v>
      </c>
      <c r="B343" s="6" t="inlineStr">
        <is>
          <t>Rafael Gomes de Morais</t>
        </is>
      </c>
      <c r="C343" s="3" t="inlineStr">
        <is>
          <t>Técnico III</t>
        </is>
      </c>
      <c r="D343" s="3" t="n">
        <v>33</v>
      </c>
      <c r="E343" s="3" t="n">
        <v>28</v>
      </c>
      <c r="F343" t="n">
        <v>13.43</v>
      </c>
      <c r="G343" s="3" t="n">
        <v>1</v>
      </c>
      <c r="H343" s="3" t="n">
        <v>0</v>
      </c>
      <c r="I343" s="3">
        <f>E343+G343+H343</f>
        <v/>
      </c>
      <c r="J343" s="3">
        <f>ROUND(MIN(IF(C343="Técnico III",35,IF(C343="Técnico II",28,IF(C343="Técnico I",23,IF(C343="JR",20,IF(C343="Estágio",10,0))))),IF(C343="Técnico III",SUMIFS($D:$D,$A:$A,$A343,$B:$B,"&lt;&gt;Patrícia Karla de Sousa Araújo",$B:$B,"&lt;&gt;Lorena Dias de Araujo",$B:$B,"&lt;&gt;Lucas Luiz Romero")*(35/1083),IF(C343="Técnico II",SUMIFS($D:$D,$A:$A,$A343,$B:$B,"&lt;&gt;Patrícia Karla de Sousa Araújo",$B:$B,"&lt;&gt;Lorena Dias de Araujo",$B:$B,"&lt;&gt;Lucas Luiz Romero")*(28/1083),IF(C343="Técnico I",SUMIFS($D:$D,$A:$A,$A343,$B:$B,"&lt;&gt;Patrícia Karla de Sousa Araújo",$B:$B,"&lt;&gt;Lorena Dias de Araujo",$B:$B,"&lt;&gt;Lucas Luiz Romero")*(23/1083),IF(C343="JR",SUMIFS($D:$D,$A:$A,$A343,$B:$B,"&lt;&gt;Patrícia Karla de Sousa Araújo",$B:$B,"&lt;&gt;Lorena Dias de Araujo",$B:$B,"&lt;&gt;Lucas Luiz Romero")*(20/1083),IF(C343="Estágio",SUMIFS($D:$D,$A:$A,$A343,$B:$B,"&lt;&gt;Patrícia Karla de Sousa Araújo",$B:$B,"&lt;&gt;Lorena Dias de Araujo",$B:$B,"&lt;&gt;Lucas Luiz Romero")*(10/1083),0)))))),0)</f>
        <v/>
      </c>
      <c r="K343" s="3">
        <f>I343-J343</f>
        <v/>
      </c>
      <c r="L343" s="3">
        <f>IF(K343&lt;-5,"CRÍTICO",IF(K343&lt;0,"ATENÇÃO",IF(K343&lt;=5,"BOM","EXCELENTE")))</f>
        <v/>
      </c>
      <c r="M343" t="n">
        <v>22</v>
      </c>
      <c r="N343" t="n">
        <v>99.29000000000001</v>
      </c>
      <c r="O343" t="n">
        <v>22.49443207126949</v>
      </c>
    </row>
    <row r="344" hidden="1">
      <c r="A344" s="5" t="n">
        <v>46154</v>
      </c>
      <c r="B344" s="6" t="inlineStr">
        <is>
          <t>Sarah Steffanie de Lima Borges</t>
        </is>
      </c>
      <c r="C344" s="3" t="inlineStr">
        <is>
          <t>Técnico III</t>
        </is>
      </c>
      <c r="D344" s="3" t="n">
        <v>29</v>
      </c>
      <c r="E344" s="3" t="n">
        <v>28</v>
      </c>
      <c r="F344" t="n">
        <v>14.1</v>
      </c>
      <c r="G344" s="3" t="n">
        <v>4</v>
      </c>
      <c r="H344" s="3" t="n">
        <v>0</v>
      </c>
      <c r="I344" s="3">
        <f>E344+G344+H344</f>
        <v/>
      </c>
      <c r="J344" s="3">
        <f>ROUND(MIN(IF(C344="Técnico III",35,IF(C344="Técnico II",28,IF(C344="Técnico I",23,IF(C344="JR",20,IF(C344="Estágio",10,0))))),IF(C344="Técnico III",SUMIFS($D:$D,$A:$A,$A344,$B:$B,"&lt;&gt;Patrícia Karla de Sousa Araújo",$B:$B,"&lt;&gt;Lorena Dias de Araujo",$B:$B,"&lt;&gt;Lucas Luiz Romero")*(35/1083),IF(C344="Técnico II",SUMIFS($D:$D,$A:$A,$A344,$B:$B,"&lt;&gt;Patrícia Karla de Sousa Araújo",$B:$B,"&lt;&gt;Lorena Dias de Araujo",$B:$B,"&lt;&gt;Lucas Luiz Romero")*(28/1083),IF(C344="Técnico I",SUMIFS($D:$D,$A:$A,$A344,$B:$B,"&lt;&gt;Patrícia Karla de Sousa Araújo",$B:$B,"&lt;&gt;Lorena Dias de Araujo",$B:$B,"&lt;&gt;Lucas Luiz Romero")*(23/1083),IF(C344="JR",SUMIFS($D:$D,$A:$A,$A344,$B:$B,"&lt;&gt;Patrícia Karla de Sousa Araújo",$B:$B,"&lt;&gt;Lorena Dias de Araujo",$B:$B,"&lt;&gt;Lucas Luiz Romero")*(20/1083),IF(C344="Estágio",SUMIFS($D:$D,$A:$A,$A344,$B:$B,"&lt;&gt;Patrícia Karla de Sousa Araújo",$B:$B,"&lt;&gt;Lorena Dias de Araujo",$B:$B,"&lt;&gt;Lucas Luiz Romero")*(10/1083),0)))))),0)</f>
        <v/>
      </c>
      <c r="K344" s="3">
        <f>I344-J344</f>
        <v/>
      </c>
      <c r="L344" s="3">
        <f>IF(K344&lt;-5,"CRÍTICO",IF(K344&lt;0,"ATENÇÃO",IF(K344&lt;=5,"BOM","EXCELENTE")))</f>
        <v/>
      </c>
      <c r="M344" t="n">
        <v>25</v>
      </c>
      <c r="N344" t="n">
        <v>97.33</v>
      </c>
      <c r="O344" t="n">
        <v>15.80547112462006</v>
      </c>
    </row>
    <row r="345" hidden="1">
      <c r="A345" s="5" t="n">
        <v>46155</v>
      </c>
      <c r="B345" s="6" t="inlineStr">
        <is>
          <t>Amanda Moura Ferreira</t>
        </is>
      </c>
      <c r="C345" s="3" t="inlineStr">
        <is>
          <t>Técnico III</t>
        </is>
      </c>
      <c r="D345" s="3" t="n">
        <v>0</v>
      </c>
      <c r="E345" s="3" t="n">
        <v>0</v>
      </c>
      <c r="F345" s="3" t="n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>
        <f>IF(K345&lt;-5,"CRÍTICO",IF(K345&lt;0,"ATENÇÃO",IF(K345&lt;=5,"BOM","EXCELENTE")))</f>
        <v/>
      </c>
      <c r="M345" s="9" t="n">
        <v>0</v>
      </c>
      <c r="N345" s="9" t="n">
        <v>100</v>
      </c>
      <c r="O345" s="9" t="n">
        <v>0</v>
      </c>
    </row>
    <row r="346" hidden="1">
      <c r="A346" s="5" t="n">
        <v>46155</v>
      </c>
      <c r="B346" s="6" t="inlineStr">
        <is>
          <t>Ana Paula Da Luz Silva Aleixo</t>
        </is>
      </c>
      <c r="C346" s="9" t="inlineStr">
        <is>
          <t>Técnico III</t>
        </is>
      </c>
      <c r="D346" s="3" t="n">
        <v>26</v>
      </c>
      <c r="E346" s="3" t="n">
        <v>23</v>
      </c>
      <c r="F346" t="n">
        <v>18.24</v>
      </c>
      <c r="G346" s="3" t="n">
        <v>0</v>
      </c>
      <c r="H346" s="3" t="n">
        <v>0</v>
      </c>
      <c r="I346" s="3">
        <f>E346+G346+H346</f>
        <v/>
      </c>
      <c r="J346" s="3">
        <f>ROUND(MIN(IF(C346="Técnico III",35,IF(C346="Técnico II",28,IF(C346="Técnico I",23,IF(C346="JR",20,IF(C346="Estágio",10,0))))),IF(C346="Técnico III",SUMIFS($D:$D,$A:$A,$A346,$B:$B,"&lt;&gt;Patrícia Karla de Sousa Araújo",$B:$B,"&lt;&gt;Lorena Dias de Araujo",$B:$B,"&lt;&gt;Lucas Luiz Romero")*(35/1083),IF(C346="Técnico II",SUMIFS($D:$D,$A:$A,$A346,$B:$B,"&lt;&gt;Patrícia Karla de Sousa Araújo",$B:$B,"&lt;&gt;Lorena Dias de Araujo",$B:$B,"&lt;&gt;Lucas Luiz Romero")*(28/1083),IF(C346="Técnico I",SUMIFS($D:$D,$A:$A,$A346,$B:$B,"&lt;&gt;Patrícia Karla de Sousa Araújo",$B:$B,"&lt;&gt;Lorena Dias de Araujo",$B:$B,"&lt;&gt;Lucas Luiz Romero")*(23/1083),IF(C346="JR",SUMIFS($D:$D,$A:$A,$A346,$B:$B,"&lt;&gt;Patrícia Karla de Sousa Araújo",$B:$B,"&lt;&gt;Lorena Dias de Araujo",$B:$B,"&lt;&gt;Lucas Luiz Romero")*(20/1083),IF(C346="Estágio",SUMIFS($D:$D,$A:$A,$A346,$B:$B,"&lt;&gt;Patrícia Karla de Sousa Araújo",$B:$B,"&lt;&gt;Lorena Dias de Araujo",$B:$B,"&lt;&gt;Lucas Luiz Romero")*(10/1083),0)))))),0)</f>
        <v/>
      </c>
      <c r="K346" s="3">
        <f>I346-J346</f>
        <v/>
      </c>
      <c r="L346" s="3">
        <f>IF(K346&lt;-5,"CRÍTICO",IF(K346&lt;0,"ATENÇÃO",IF(K346&lt;=5,"BOM","EXCELENTE")))</f>
        <v/>
      </c>
      <c r="M346" t="n">
        <v>21</v>
      </c>
      <c r="N346" t="n">
        <v>96.34</v>
      </c>
      <c r="O346" t="n">
        <v>17.57188498402556</v>
      </c>
    </row>
    <row r="347" hidden="1">
      <c r="A347" s="5" t="n">
        <v>46155</v>
      </c>
      <c r="B347" s="6" t="inlineStr">
        <is>
          <t>Cristiane Ramos da Silva Rocha</t>
        </is>
      </c>
      <c r="C347" s="3" t="inlineStr">
        <is>
          <t>Técnico III</t>
        </is>
      </c>
      <c r="D347" s="3" t="n">
        <v>34</v>
      </c>
      <c r="E347" s="3" t="n">
        <v>30</v>
      </c>
      <c r="F347" t="n">
        <v>12.09</v>
      </c>
      <c r="G347" s="3" t="n">
        <v>0</v>
      </c>
      <c r="H347" s="3" t="n">
        <v>0</v>
      </c>
      <c r="I347" s="3">
        <f>E347+G347+H347</f>
        <v/>
      </c>
      <c r="J347" s="3">
        <f>ROUND(MIN(IF(C347="Técnico III",35,IF(C347="Técnico II",28,IF(C347="Técnico I",23,IF(C347="JR",20,IF(C347="Estágio",10,0))))),IF(C347="Técnico III",SUMIFS($D:$D,$A:$A,$A347,$B:$B,"&lt;&gt;Patrícia Karla de Sousa Araújo",$B:$B,"&lt;&gt;Lorena Dias de Araujo",$B:$B,"&lt;&gt;Lucas Luiz Romero")*(35/1083),IF(C347="Técnico II",SUMIFS($D:$D,$A:$A,$A347,$B:$B,"&lt;&gt;Patrícia Karla de Sousa Araújo",$B:$B,"&lt;&gt;Lorena Dias de Araujo",$B:$B,"&lt;&gt;Lucas Luiz Romero")*(28/1083),IF(C347="Técnico I",SUMIFS($D:$D,$A:$A,$A347,$B:$B,"&lt;&gt;Patrícia Karla de Sousa Araújo",$B:$B,"&lt;&gt;Lorena Dias de Araujo",$B:$B,"&lt;&gt;Lucas Luiz Romero")*(23/1083),IF(C347="JR",SUMIFS($D:$D,$A:$A,$A347,$B:$B,"&lt;&gt;Patrícia Karla de Sousa Araújo",$B:$B,"&lt;&gt;Lorena Dias de Araujo",$B:$B,"&lt;&gt;Lucas Luiz Romero")*(20/1083),IF(C347="Estágio",SUMIFS($D:$D,$A:$A,$A347,$B:$B,"&lt;&gt;Patrícia Karla de Sousa Araújo",$B:$B,"&lt;&gt;Lorena Dias de Araujo",$B:$B,"&lt;&gt;Lucas Luiz Romero")*(10/1083),0)))))),0)</f>
        <v/>
      </c>
      <c r="K347" s="3">
        <f>I347-J347</f>
        <v/>
      </c>
      <c r="L347" s="3">
        <f>IF(K347&lt;-5,"CRÍTICO",IF(K347&lt;0,"ATENÇÃO",IF(K347&lt;=5,"BOM","EXCELENTE")))</f>
        <v/>
      </c>
      <c r="M347" t="n">
        <v>31</v>
      </c>
      <c r="N347" t="n">
        <v>91.84999999999999</v>
      </c>
      <c r="O347" t="n">
        <v>20.87155963302752</v>
      </c>
    </row>
    <row r="348" hidden="1">
      <c r="A348" s="5" t="n">
        <v>46155</v>
      </c>
      <c r="B348" s="6" t="inlineStr">
        <is>
          <t>Davylla Rodrigues Freitas Silva</t>
        </is>
      </c>
      <c r="C348" s="9" t="inlineStr">
        <is>
          <t>Técnico III</t>
        </is>
      </c>
      <c r="D348" s="3" t="n">
        <v>23</v>
      </c>
      <c r="E348" s="3" t="n">
        <v>23</v>
      </c>
      <c r="F348" t="n">
        <v>25.33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>
        <f>IF(K348&lt;-5,"CRÍTICO",IF(K348&lt;0,"ATENÇÃO",IF(K348&lt;=5,"BOM","EXCELENTE")))</f>
        <v/>
      </c>
      <c r="M348" t="n">
        <v>21</v>
      </c>
      <c r="N348" t="n">
        <v>99.06</v>
      </c>
      <c r="O348" t="n">
        <v>22.95719844357977</v>
      </c>
    </row>
    <row r="349" hidden="1">
      <c r="A349" s="5" t="n">
        <v>46155</v>
      </c>
      <c r="B349" s="6" t="inlineStr">
        <is>
          <t>Francielson de Oliveira</t>
        </is>
      </c>
      <c r="C349" s="9" t="inlineStr">
        <is>
          <t>Técnico III</t>
        </is>
      </c>
      <c r="D349" s="3" t="n">
        <v>0</v>
      </c>
      <c r="E349" s="3" t="n">
        <v>0</v>
      </c>
      <c r="F349" s="3" t="n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>
        <f>IF(K349&lt;-5,"CRÍTICO",IF(K349&lt;0,"ATENÇÃO",IF(K349&lt;=5,"BOM","EXCELENTE")))</f>
        <v/>
      </c>
      <c r="M349" s="9" t="n">
        <v>0</v>
      </c>
      <c r="N349" s="9" t="n">
        <v>100</v>
      </c>
      <c r="O349" s="9" t="n">
        <v>9.523809523809524</v>
      </c>
    </row>
    <row r="350" hidden="1">
      <c r="A350" s="5" t="n">
        <v>46155</v>
      </c>
      <c r="B350" s="6" t="inlineStr">
        <is>
          <t>Janaina Lima dos Reis Urany</t>
        </is>
      </c>
      <c r="C350" s="3" t="inlineStr">
        <is>
          <t>Técnico III</t>
        </is>
      </c>
      <c r="D350" s="3" t="n">
        <v>46</v>
      </c>
      <c r="E350" s="3" t="n">
        <v>40</v>
      </c>
      <c r="F350" t="n">
        <v>16.42</v>
      </c>
      <c r="G350" s="3" t="n">
        <v>3</v>
      </c>
      <c r="H350" s="3" t="n">
        <v>0</v>
      </c>
      <c r="I350" s="3">
        <f>E350+G350+H350</f>
        <v/>
      </c>
      <c r="J350" s="3">
        <f>ROUND(MIN(IF(C350="Técnico III",35,IF(C350="Técnico II",28,IF(C350="Técnico I",23,IF(C350="JR",20,IF(C350="Estágio",10,0))))),IF(C350="Técnico III",SUMIFS($D:$D,$A:$A,$A350,$B:$B,"&lt;&gt;Patrícia Karla de Sousa Araújo",$B:$B,"&lt;&gt;Lorena Dias de Araujo",$B:$B,"&lt;&gt;Lucas Luiz Romero")*(35/1083),IF(C350="Técnico II",SUMIFS($D:$D,$A:$A,$A350,$B:$B,"&lt;&gt;Patrícia Karla de Sousa Araújo",$B:$B,"&lt;&gt;Lorena Dias de Araujo",$B:$B,"&lt;&gt;Lucas Luiz Romero")*(28/1083),IF(C350="Técnico I",SUMIFS($D:$D,$A:$A,$A350,$B:$B,"&lt;&gt;Patrícia Karla de Sousa Araújo",$B:$B,"&lt;&gt;Lorena Dias de Araujo",$B:$B,"&lt;&gt;Lucas Luiz Romero")*(23/1083),IF(C350="JR",SUMIFS($D:$D,$A:$A,$A350,$B:$B,"&lt;&gt;Patrícia Karla de Sousa Araújo",$B:$B,"&lt;&gt;Lorena Dias de Araujo",$B:$B,"&lt;&gt;Lucas Luiz Romero")*(20/1083),IF(C350="Estágio",SUMIFS($D:$D,$A:$A,$A350,$B:$B,"&lt;&gt;Patrícia Karla de Sousa Araújo",$B:$B,"&lt;&gt;Lorena Dias de Araujo",$B:$B,"&lt;&gt;Lucas Luiz Romero")*(10/1083),0)))))),0)</f>
        <v/>
      </c>
      <c r="K350" s="3">
        <f>I350-J350</f>
        <v/>
      </c>
      <c r="L350" s="3">
        <f>IF(K350&lt;-5,"CRÍTICO",IF(K350&lt;0,"ATENÇÃO",IF(K350&lt;=5,"BOM","EXCELENTE")))</f>
        <v/>
      </c>
      <c r="M350" t="n">
        <v>37</v>
      </c>
      <c r="N350" t="n">
        <v>98.64</v>
      </c>
      <c r="O350" t="n">
        <v>16.6383701188455</v>
      </c>
    </row>
    <row r="351" hidden="1">
      <c r="A351" s="5" t="n">
        <v>46155</v>
      </c>
      <c r="B351" s="6" t="inlineStr">
        <is>
          <t>Jaqueline Evangelista da Silva Martins</t>
        </is>
      </c>
      <c r="C351" s="3" t="inlineStr">
        <is>
          <t>Técnico III</t>
        </is>
      </c>
      <c r="D351" s="3" t="n">
        <v>30</v>
      </c>
      <c r="E351" s="3" t="n">
        <v>29</v>
      </c>
      <c r="F351" t="n">
        <v>12.34</v>
      </c>
      <c r="G351" s="3" t="n">
        <v>5</v>
      </c>
      <c r="H351" s="3" t="n">
        <v>0</v>
      </c>
      <c r="I351" s="3">
        <f>E351+G351+H351</f>
        <v/>
      </c>
      <c r="J351" s="3">
        <f>ROUND(MIN(IF(C351="Técnico III",35,IF(C351="Técnico II",28,IF(C351="Técnico I",23,IF(C351="JR",20,IF(C351="Estágio",10,0))))),IF(C351="Técnico III",SUMIFS($D:$D,$A:$A,$A351,$B:$B,"&lt;&gt;Patrícia Karla de Sousa Araújo",$B:$B,"&lt;&gt;Lorena Dias de Araujo",$B:$B,"&lt;&gt;Lucas Luiz Romero")*(35/1083),IF(C351="Técnico II",SUMIFS($D:$D,$A:$A,$A351,$B:$B,"&lt;&gt;Patrícia Karla de Sousa Araújo",$B:$B,"&lt;&gt;Lorena Dias de Araujo",$B:$B,"&lt;&gt;Lucas Luiz Romero")*(28/1083),IF(C351="Técnico I",SUMIFS($D:$D,$A:$A,$A351,$B:$B,"&lt;&gt;Patrícia Karla de Sousa Araújo",$B:$B,"&lt;&gt;Lorena Dias de Araujo",$B:$B,"&lt;&gt;Lucas Luiz Romero")*(23/1083),IF(C351="JR",SUMIFS($D:$D,$A:$A,$A351,$B:$B,"&lt;&gt;Patrícia Karla de Sousa Araújo",$B:$B,"&lt;&gt;Lorena Dias de Araujo",$B:$B,"&lt;&gt;Lucas Luiz Romero")*(20/1083),IF(C351="Estágio",SUMIFS($D:$D,$A:$A,$A351,$B:$B,"&lt;&gt;Patrícia Karla de Sousa Araújo",$B:$B,"&lt;&gt;Lorena Dias de Araujo",$B:$B,"&lt;&gt;Lucas Luiz Romero")*(10/1083),0)))))),0)</f>
        <v/>
      </c>
      <c r="K351" s="3">
        <f>I351-J351</f>
        <v/>
      </c>
      <c r="L351" s="3">
        <f>IF(K351&lt;-5,"CRÍTICO",IF(K351&lt;0,"ATENÇÃO",IF(K351&lt;=5,"BOM","EXCELENTE")))</f>
        <v/>
      </c>
      <c r="M351" t="n">
        <v>31</v>
      </c>
      <c r="N351" t="n">
        <v>95.40000000000001</v>
      </c>
      <c r="O351" t="n">
        <v>20.53333333333333</v>
      </c>
    </row>
    <row r="352" hidden="1">
      <c r="A352" s="5" t="n">
        <v>46155</v>
      </c>
      <c r="B352" s="6" t="inlineStr">
        <is>
          <t>Jéssica Fé Moura</t>
        </is>
      </c>
      <c r="C352" s="3" t="inlineStr">
        <is>
          <t>Técnico III</t>
        </is>
      </c>
      <c r="D352" s="3" t="n">
        <v>0</v>
      </c>
      <c r="E352" s="3" t="n">
        <v>0</v>
      </c>
      <c r="F352" s="3" t="n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>
        <f>IF(K352&lt;-5,"CRÍTICO",IF(K352&lt;0,"ATENÇÃO",IF(K352&lt;=5,"BOM","EXCELENTE")))</f>
        <v/>
      </c>
      <c r="M352" s="9" t="n">
        <v>0</v>
      </c>
      <c r="N352" s="9" t="n">
        <v>0</v>
      </c>
      <c r="O352" s="9" t="n">
        <v>0</v>
      </c>
    </row>
    <row r="353" hidden="1">
      <c r="A353" s="5" t="n">
        <v>46155</v>
      </c>
      <c r="B353" s="6" t="inlineStr">
        <is>
          <t>Kerollen Cristielly de Jesus Siqueira</t>
        </is>
      </c>
      <c r="C353" s="9" t="inlineStr">
        <is>
          <t>Técnico III</t>
        </is>
      </c>
      <c r="D353" s="3" t="n">
        <v>27</v>
      </c>
      <c r="E353" s="3" t="n">
        <v>26</v>
      </c>
      <c r="F353" t="n">
        <v>15.44</v>
      </c>
      <c r="G353" s="3" t="n">
        <v>0</v>
      </c>
      <c r="H353" s="3" t="n">
        <v>0</v>
      </c>
      <c r="I353" s="3">
        <f>E353+G353+H353</f>
        <v/>
      </c>
      <c r="J353" s="3">
        <f>ROUND(MIN(IF(C353="Técnico III",35,IF(C353="Técnico II",28,IF(C353="Técnico I",23,IF(C353="JR",20,IF(C353="Estágio",10,0))))),IF(C353="Técnico III",SUMIFS($D:$D,$A:$A,$A353,$B:$B,"&lt;&gt;Patrícia Karla de Sousa Araújo",$B:$B,"&lt;&gt;Lorena Dias de Araujo",$B:$B,"&lt;&gt;Lucas Luiz Romero")*(35/1083),IF(C353="Técnico II",SUMIFS($D:$D,$A:$A,$A353,$B:$B,"&lt;&gt;Patrícia Karla de Sousa Araújo",$B:$B,"&lt;&gt;Lorena Dias de Araujo",$B:$B,"&lt;&gt;Lucas Luiz Romero")*(28/1083),IF(C353="Técnico I",SUMIFS($D:$D,$A:$A,$A353,$B:$B,"&lt;&gt;Patrícia Karla de Sousa Araújo",$B:$B,"&lt;&gt;Lorena Dias de Araujo",$B:$B,"&lt;&gt;Lucas Luiz Romero")*(23/1083),IF(C353="JR",SUMIFS($D:$D,$A:$A,$A353,$B:$B,"&lt;&gt;Patrícia Karla de Sousa Araújo",$B:$B,"&lt;&gt;Lorena Dias de Araujo",$B:$B,"&lt;&gt;Lucas Luiz Romero")*(20/1083),IF(C353="Estágio",SUMIFS($D:$D,$A:$A,$A353,$B:$B,"&lt;&gt;Patrícia Karla de Sousa Araújo",$B:$B,"&lt;&gt;Lorena Dias de Araujo",$B:$B,"&lt;&gt;Lucas Luiz Romero")*(10/1083),0)))))),0)</f>
        <v/>
      </c>
      <c r="K353" s="3">
        <f>I353-J353</f>
        <v/>
      </c>
      <c r="L353" s="3">
        <f>IF(K353&lt;-5,"CRÍTICO",IF(K353&lt;0,"ATENÇÃO",IF(K353&lt;=5,"BOM","EXCELENTE")))</f>
        <v/>
      </c>
      <c r="M353" t="n">
        <v>20</v>
      </c>
      <c r="N353" t="n">
        <v>95.52</v>
      </c>
      <c r="O353" t="n">
        <v>10.56105610561056</v>
      </c>
    </row>
    <row r="354" hidden="1">
      <c r="A354" s="5" t="n">
        <v>46155</v>
      </c>
      <c r="B354" s="6" t="inlineStr">
        <is>
          <t>Leandro Oliveira de Sousa</t>
        </is>
      </c>
      <c r="C354" s="9" t="inlineStr">
        <is>
          <t>Técnico III</t>
        </is>
      </c>
      <c r="D354" s="3" t="n">
        <v>25</v>
      </c>
      <c r="E354" s="3" t="n">
        <v>24</v>
      </c>
      <c r="F354" t="n">
        <v>20</v>
      </c>
      <c r="G354" s="3" t="n">
        <v>1</v>
      </c>
      <c r="H354" s="3" t="n">
        <v>0</v>
      </c>
      <c r="I354" s="3">
        <f>E354+G354+H354</f>
        <v/>
      </c>
      <c r="J354" s="3">
        <f>ROUND(MIN(IF(C354="Técnico III",35,IF(C354="Técnico II",28,IF(C354="Técnico I",23,IF(C354="JR",20,IF(C354="Estágio",10,0))))),IF(C354="Técnico III",SUMIFS($D:$D,$A:$A,$A354,$B:$B,"&lt;&gt;Patrícia Karla de Sousa Araújo",$B:$B,"&lt;&gt;Lorena Dias de Araujo",$B:$B,"&lt;&gt;Lucas Luiz Romero")*(35/1083),IF(C354="Técnico II",SUMIFS($D:$D,$A:$A,$A354,$B:$B,"&lt;&gt;Patrícia Karla de Sousa Araújo",$B:$B,"&lt;&gt;Lorena Dias de Araujo",$B:$B,"&lt;&gt;Lucas Luiz Romero")*(28/1083),IF(C354="Técnico I",SUMIFS($D:$D,$A:$A,$A354,$B:$B,"&lt;&gt;Patrícia Karla de Sousa Araújo",$B:$B,"&lt;&gt;Lorena Dias de Araujo",$B:$B,"&lt;&gt;Lucas Luiz Romero")*(23/1083),IF(C354="JR",SUMIFS($D:$D,$A:$A,$A354,$B:$B,"&lt;&gt;Patrícia Karla de Sousa Araújo",$B:$B,"&lt;&gt;Lorena Dias de Araujo",$B:$B,"&lt;&gt;Lucas Luiz Romero")*(20/1083),IF(C354="Estágio",SUMIFS($D:$D,$A:$A,$A354,$B:$B,"&lt;&gt;Patrícia Karla de Sousa Araújo",$B:$B,"&lt;&gt;Lorena Dias de Araujo",$B:$B,"&lt;&gt;Lucas Luiz Romero")*(10/1083),0)))))),0)</f>
        <v/>
      </c>
      <c r="K354" s="3">
        <f>I354-J354</f>
        <v/>
      </c>
      <c r="L354" s="3">
        <f>IF(K354&lt;-5,"CRÍTICO",IF(K354&lt;0,"ATENÇÃO",IF(K354&lt;=5,"BOM","EXCELENTE")))</f>
        <v/>
      </c>
      <c r="M354" t="n">
        <v>26</v>
      </c>
      <c r="N354" t="n">
        <v>100</v>
      </c>
      <c r="O354" t="n">
        <v>15.58441558441558</v>
      </c>
    </row>
    <row r="355" hidden="1">
      <c r="A355" s="5" t="n">
        <v>46155</v>
      </c>
      <c r="B355" s="6" t="inlineStr">
        <is>
          <t>Lucas Luiz Romero</t>
        </is>
      </c>
      <c r="C355" s="3" t="inlineStr">
        <is>
          <t>Técnico III</t>
        </is>
      </c>
      <c r="D355" s="3" t="n">
        <v>0</v>
      </c>
      <c r="E355" s="3" t="n">
        <v>0</v>
      </c>
      <c r="F355" s="3" t="n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>
        <f>IF(K355&lt;-5,"CRÍTICO",IF(K355&lt;0,"ATENÇÃO",IF(K355&lt;=5,"BOM","EXCELENTE")))</f>
        <v/>
      </c>
      <c r="M355" s="9" t="n">
        <v>0</v>
      </c>
      <c r="N355" s="9" t="n">
        <v>100</v>
      </c>
      <c r="O355" s="9" t="n">
        <v>4.347826086956522</v>
      </c>
    </row>
    <row r="356" hidden="1">
      <c r="A356" s="5" t="n">
        <v>46155</v>
      </c>
      <c r="B356" s="6" t="inlineStr">
        <is>
          <t>Matheus Farias De Souza</t>
        </is>
      </c>
      <c r="C356" s="3" t="inlineStr">
        <is>
          <t>Técnico III</t>
        </is>
      </c>
      <c r="D356" s="3" t="n">
        <v>0</v>
      </c>
      <c r="E356" s="3" t="n">
        <v>0</v>
      </c>
      <c r="F356" t="n">
        <v>0</v>
      </c>
      <c r="G356" s="3" t="n">
        <v>0</v>
      </c>
      <c r="H356" s="3" t="n">
        <v>41</v>
      </c>
      <c r="I356" s="3">
        <f>E356+G356+H356</f>
        <v/>
      </c>
      <c r="J356" s="3">
        <f>ROUND(MIN(IF(C356="Técnico III",35,IF(C356="Técnico II",28,IF(C356="Técnico I",23,IF(C356="JR",20,IF(C356="Estágio",10,0))))),IF(C356="Técnico III",SUMIFS($D:$D,$A:$A,$A356,$B:$B,"&lt;&gt;Patrícia Karla de Sousa Araújo",$B:$B,"&lt;&gt;Lorena Dias de Araujo",$B:$B,"&lt;&gt;Lucas Luiz Romero")*(35/1083),IF(C356="Técnico II",SUMIFS($D:$D,$A:$A,$A356,$B:$B,"&lt;&gt;Patrícia Karla de Sousa Araújo",$B:$B,"&lt;&gt;Lorena Dias de Araujo",$B:$B,"&lt;&gt;Lucas Luiz Romero")*(28/1083),IF(C356="Técnico I",SUMIFS($D:$D,$A:$A,$A356,$B:$B,"&lt;&gt;Patrícia Karla de Sousa Araújo",$B:$B,"&lt;&gt;Lorena Dias de Araujo",$B:$B,"&lt;&gt;Lucas Luiz Romero")*(23/1083),IF(C356="JR",SUMIFS($D:$D,$A:$A,$A356,$B:$B,"&lt;&gt;Patrícia Karla de Sousa Araújo",$B:$B,"&lt;&gt;Lorena Dias de Araujo",$B:$B,"&lt;&gt;Lucas Luiz Romero")*(20/1083),IF(C356="Estágio",SUMIFS($D:$D,$A:$A,$A356,$B:$B,"&lt;&gt;Patrícia Karla de Sousa Araújo",$B:$B,"&lt;&gt;Lorena Dias de Araujo",$B:$B,"&lt;&gt;Lucas Luiz Romero")*(10/1083),0)))))),0)</f>
        <v/>
      </c>
      <c r="K356" s="3">
        <f>I356-J356</f>
        <v/>
      </c>
      <c r="L356" s="3">
        <f>IF(K356&lt;-5,"CRÍTICO",IF(K356&lt;0,"ATENÇÃO",IF(K356&lt;=5,"BOM","EXCELENTE")))</f>
        <v/>
      </c>
      <c r="M356" t="n">
        <v>28</v>
      </c>
      <c r="N356" t="n">
        <v>98.28</v>
      </c>
      <c r="O356" t="n">
        <v>9.037900874635568</v>
      </c>
    </row>
    <row r="357" hidden="1">
      <c r="A357" s="5" t="n">
        <v>46155</v>
      </c>
      <c r="B357" s="6" t="inlineStr">
        <is>
          <t>Maysa Victoria Dias Moura</t>
        </is>
      </c>
      <c r="C357" s="3" t="inlineStr">
        <is>
          <t>Técnico III</t>
        </is>
      </c>
      <c r="D357" s="3" t="n">
        <v>36</v>
      </c>
      <c r="E357" s="3" t="n">
        <v>30</v>
      </c>
      <c r="F357" t="n">
        <v>10.47</v>
      </c>
      <c r="G357" s="3" t="n">
        <v>4</v>
      </c>
      <c r="H357" s="3" t="n">
        <v>0</v>
      </c>
      <c r="I357" s="3">
        <f>E357+G357+H357</f>
        <v/>
      </c>
      <c r="J357" s="3">
        <f>ROUND(MIN(IF(C357="Técnico III",35,IF(C357="Técnico II",28,IF(C357="Técnico I",23,IF(C357="JR",20,IF(C357="Estágio",10,0))))),IF(C357="Técnico III",SUMIFS($D:$D,$A:$A,$A357,$B:$B,"&lt;&gt;Patrícia Karla de Sousa Araújo",$B:$B,"&lt;&gt;Lorena Dias de Araujo",$B:$B,"&lt;&gt;Lucas Luiz Romero")*(35/1083),IF(C357="Técnico II",SUMIFS($D:$D,$A:$A,$A357,$B:$B,"&lt;&gt;Patrícia Karla de Sousa Araújo",$B:$B,"&lt;&gt;Lorena Dias de Araujo",$B:$B,"&lt;&gt;Lucas Luiz Romero")*(28/1083),IF(C357="Técnico I",SUMIFS($D:$D,$A:$A,$A357,$B:$B,"&lt;&gt;Patrícia Karla de Sousa Araújo",$B:$B,"&lt;&gt;Lorena Dias de Araujo",$B:$B,"&lt;&gt;Lucas Luiz Romero")*(23/1083),IF(C357="JR",SUMIFS($D:$D,$A:$A,$A357,$B:$B,"&lt;&gt;Patrícia Karla de Sousa Araújo",$B:$B,"&lt;&gt;Lorena Dias de Araujo",$B:$B,"&lt;&gt;Lucas Luiz Romero")*(20/1083),IF(C357="Estágio",SUMIFS($D:$D,$A:$A,$A357,$B:$B,"&lt;&gt;Patrícia Karla de Sousa Araújo",$B:$B,"&lt;&gt;Lorena Dias de Araujo",$B:$B,"&lt;&gt;Lucas Luiz Romero")*(10/1083),0)))))),0)</f>
        <v/>
      </c>
      <c r="K357" s="3">
        <f>I357-J357</f>
        <v/>
      </c>
      <c r="L357" s="3">
        <f>IF(K357&lt;-5,"CRÍTICO",IF(K357&lt;0,"ATENÇÃO",IF(K357&lt;=5,"BOM","EXCELENTE")))</f>
        <v/>
      </c>
      <c r="M357" t="n">
        <v>29</v>
      </c>
      <c r="N357" t="n">
        <v>97.22</v>
      </c>
      <c r="O357" t="n">
        <v>19.09547738693467</v>
      </c>
    </row>
    <row r="358" hidden="1">
      <c r="A358" s="5" t="n">
        <v>46155</v>
      </c>
      <c r="B358" s="6" t="inlineStr">
        <is>
          <t>Rafael Gomes de Morais</t>
        </is>
      </c>
      <c r="C358" s="3" t="inlineStr">
        <is>
          <t>Técnico III</t>
        </is>
      </c>
      <c r="D358" s="3" t="n">
        <v>36</v>
      </c>
      <c r="E358" s="3" t="n">
        <v>32</v>
      </c>
      <c r="F358" t="n">
        <v>13.49</v>
      </c>
      <c r="G358" s="3" t="n">
        <v>5</v>
      </c>
      <c r="H358" s="3" t="n">
        <v>0</v>
      </c>
      <c r="I358" s="3">
        <f>E358+G358+H358</f>
        <v/>
      </c>
      <c r="J358" s="3">
        <f>ROUND(MIN(IF(C358="Técnico III",35,IF(C358="Técnico II",28,IF(C358="Técnico I",23,IF(C358="JR",20,IF(C358="Estágio",10,0))))),IF(C358="Técnico III",SUMIFS($D:$D,$A:$A,$A358,$B:$B,"&lt;&gt;Patrícia Karla de Sousa Araújo",$B:$B,"&lt;&gt;Lorena Dias de Araujo",$B:$B,"&lt;&gt;Lucas Luiz Romero")*(35/1083),IF(C358="Técnico II",SUMIFS($D:$D,$A:$A,$A358,$B:$B,"&lt;&gt;Patrícia Karla de Sousa Araújo",$B:$B,"&lt;&gt;Lorena Dias de Araujo",$B:$B,"&lt;&gt;Lucas Luiz Romero")*(28/1083),IF(C358="Técnico I",SUMIFS($D:$D,$A:$A,$A358,$B:$B,"&lt;&gt;Patrícia Karla de Sousa Araújo",$B:$B,"&lt;&gt;Lorena Dias de Araujo",$B:$B,"&lt;&gt;Lucas Luiz Romero")*(23/1083),IF(C358="JR",SUMIFS($D:$D,$A:$A,$A358,$B:$B,"&lt;&gt;Patrícia Karla de Sousa Araújo",$B:$B,"&lt;&gt;Lorena Dias de Araujo",$B:$B,"&lt;&gt;Lucas Luiz Romero")*(20/1083),IF(C358="Estágio",SUMIFS($D:$D,$A:$A,$A358,$B:$B,"&lt;&gt;Patrícia Karla de Sousa Araújo",$B:$B,"&lt;&gt;Lorena Dias de Araujo",$B:$B,"&lt;&gt;Lucas Luiz Romero")*(10/1083),0)))))),0)</f>
        <v/>
      </c>
      <c r="K358" s="3">
        <f>I358-J358</f>
        <v/>
      </c>
      <c r="L358" s="3">
        <f>IF(K358&lt;-5,"CRÍTICO",IF(K358&lt;0,"ATENÇÃO",IF(K358&lt;=5,"BOM","EXCELENTE")))</f>
        <v/>
      </c>
      <c r="M358" t="n">
        <v>32</v>
      </c>
      <c r="N358" t="n">
        <v>99.29000000000001</v>
      </c>
      <c r="O358" t="n">
        <v>22.49443207126949</v>
      </c>
    </row>
    <row r="359" hidden="1">
      <c r="A359" s="5" t="n">
        <v>46155</v>
      </c>
      <c r="B359" s="6" t="inlineStr">
        <is>
          <t>Sarah Steffanie de Lima Borges</t>
        </is>
      </c>
      <c r="C359" s="3" t="inlineStr">
        <is>
          <t>Técnico III</t>
        </is>
      </c>
      <c r="D359" s="3" t="n">
        <v>25</v>
      </c>
      <c r="E359" s="3" t="n">
        <v>23</v>
      </c>
      <c r="F359" t="n">
        <v>17.29</v>
      </c>
      <c r="G359" s="3" t="n">
        <v>0</v>
      </c>
      <c r="H359" s="3" t="n">
        <v>0</v>
      </c>
      <c r="I359" s="3">
        <f>E359+G359+H359</f>
        <v/>
      </c>
      <c r="J359" s="3">
        <f>ROUND(MIN(IF(C359="Técnico III",35,IF(C359="Técnico II",28,IF(C359="Técnico I",23,IF(C359="JR",20,IF(C359="Estágio",10,0))))),IF(C359="Técnico III",SUMIFS($D:$D,$A:$A,$A359,$B:$B,"&lt;&gt;Patrícia Karla de Sousa Araújo",$B:$B,"&lt;&gt;Lorena Dias de Araujo",$B:$B,"&lt;&gt;Lucas Luiz Romero")*(35/1083),IF(C359="Técnico II",SUMIFS($D:$D,$A:$A,$A359,$B:$B,"&lt;&gt;Patrícia Karla de Sousa Araújo",$B:$B,"&lt;&gt;Lorena Dias de Araujo",$B:$B,"&lt;&gt;Lucas Luiz Romero")*(28/1083),IF(C359="Técnico I",SUMIFS($D:$D,$A:$A,$A359,$B:$B,"&lt;&gt;Patrícia Karla de Sousa Araújo",$B:$B,"&lt;&gt;Lorena Dias de Araujo",$B:$B,"&lt;&gt;Lucas Luiz Romero")*(23/1083),IF(C359="JR",SUMIFS($D:$D,$A:$A,$A359,$B:$B,"&lt;&gt;Patrícia Karla de Sousa Araújo",$B:$B,"&lt;&gt;Lorena Dias de Araujo",$B:$B,"&lt;&gt;Lucas Luiz Romero")*(20/1083),IF(C359="Estágio",SUMIFS($D:$D,$A:$A,$A359,$B:$B,"&lt;&gt;Patrícia Karla de Sousa Araújo",$B:$B,"&lt;&gt;Lorena Dias de Araujo",$B:$B,"&lt;&gt;Lucas Luiz Romero")*(10/1083),0)))))),0)</f>
        <v/>
      </c>
      <c r="K359" s="3">
        <f>I359-J359</f>
        <v/>
      </c>
      <c r="L359" s="3">
        <f>IF(K359&lt;-5,"CRÍTICO",IF(K359&lt;0,"ATENÇÃO",IF(K359&lt;=5,"BOM","EXCELENTE")))</f>
        <v/>
      </c>
      <c r="M359" t="n">
        <v>21</v>
      </c>
      <c r="N359" t="n">
        <v>97.33</v>
      </c>
      <c r="O359" t="n">
        <v>15.80547112462006</v>
      </c>
    </row>
    <row r="360" hidden="1">
      <c r="A360" s="5" t="n">
        <v>46156</v>
      </c>
      <c r="B360" s="6" t="inlineStr">
        <is>
          <t>Amanda Moura Ferreira</t>
        </is>
      </c>
      <c r="C360" s="3" t="inlineStr">
        <is>
          <t>Técnico III</t>
        </is>
      </c>
      <c r="D360" s="3" t="n">
        <v>0</v>
      </c>
      <c r="E360" s="3" t="n">
        <v>0</v>
      </c>
      <c r="F360" s="3" t="n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>
        <f>IF(K360&lt;-5,"CRÍTICO",IF(K360&lt;0,"ATENÇÃO",IF(K360&lt;=5,"BOM","EXCELENTE")))</f>
        <v/>
      </c>
      <c r="M360" s="9" t="n">
        <v>0</v>
      </c>
      <c r="N360" s="9" t="n">
        <v>100</v>
      </c>
      <c r="O360" s="9" t="n">
        <v>0</v>
      </c>
    </row>
    <row r="361" hidden="1">
      <c r="A361" s="5" t="n">
        <v>46156</v>
      </c>
      <c r="B361" s="6" t="inlineStr">
        <is>
          <t>Ana Paula Da Luz Silva Aleixo</t>
        </is>
      </c>
      <c r="C361" s="9" t="inlineStr">
        <is>
          <t>Técnico III</t>
        </is>
      </c>
      <c r="D361" s="3" t="n">
        <v>25</v>
      </c>
      <c r="E361" s="3" t="n">
        <v>25</v>
      </c>
      <c r="F361" t="n">
        <v>17.34</v>
      </c>
      <c r="G361" s="3" t="n">
        <v>5</v>
      </c>
      <c r="H361" s="3" t="n">
        <v>0</v>
      </c>
      <c r="I361" s="3">
        <f>E361+G361+H361</f>
        <v/>
      </c>
      <c r="J361" s="3">
        <f>ROUND(MIN(IF(C361="Técnico III",35,IF(C361="Técnico II",28,IF(C361="Técnico I",23,IF(C361="JR",20,IF(C361="Estágio",10,0))))),IF(C361="Técnico III",SUMIFS($D:$D,$A:$A,$A361,$B:$B,"&lt;&gt;Patrícia Karla de Sousa Araújo",$B:$B,"&lt;&gt;Lorena Dias de Araujo",$B:$B,"&lt;&gt;Lucas Luiz Romero")*(35/1083),IF(C361="Técnico II",SUMIFS($D:$D,$A:$A,$A361,$B:$B,"&lt;&gt;Patrícia Karla de Sousa Araújo",$B:$B,"&lt;&gt;Lorena Dias de Araujo",$B:$B,"&lt;&gt;Lucas Luiz Romero")*(28/1083),IF(C361="Técnico I",SUMIFS($D:$D,$A:$A,$A361,$B:$B,"&lt;&gt;Patrícia Karla de Sousa Araújo",$B:$B,"&lt;&gt;Lorena Dias de Araujo",$B:$B,"&lt;&gt;Lucas Luiz Romero")*(23/1083),IF(C361="JR",SUMIFS($D:$D,$A:$A,$A361,$B:$B,"&lt;&gt;Patrícia Karla de Sousa Araújo",$B:$B,"&lt;&gt;Lorena Dias de Araujo",$B:$B,"&lt;&gt;Lucas Luiz Romero")*(20/1083),IF(C361="Estágio",SUMIFS($D:$D,$A:$A,$A361,$B:$B,"&lt;&gt;Patrícia Karla de Sousa Araújo",$B:$B,"&lt;&gt;Lorena Dias de Araujo",$B:$B,"&lt;&gt;Lucas Luiz Romero")*(10/1083),0)))))),0)</f>
        <v/>
      </c>
      <c r="K361" s="3">
        <f>I361-J361</f>
        <v/>
      </c>
      <c r="L361" s="3">
        <f>IF(K361&lt;-5,"CRÍTICO",IF(K361&lt;0,"ATENÇÃO",IF(K361&lt;=5,"BOM","EXCELENTE")))</f>
        <v/>
      </c>
      <c r="M361" t="n">
        <v>27</v>
      </c>
      <c r="N361" t="n">
        <v>96.34</v>
      </c>
      <c r="O361" t="n">
        <v>17.57188498402556</v>
      </c>
    </row>
    <row r="362" hidden="1">
      <c r="A362" s="5" t="n">
        <v>46156</v>
      </c>
      <c r="B362" s="6" t="inlineStr">
        <is>
          <t>Cristiane Ramos da Silva Rocha</t>
        </is>
      </c>
      <c r="C362" s="3" t="inlineStr">
        <is>
          <t>Técnico III</t>
        </is>
      </c>
      <c r="D362" s="3" t="n">
        <v>22</v>
      </c>
      <c r="E362" s="3" t="n">
        <v>18</v>
      </c>
      <c r="F362" t="n">
        <v>11.42</v>
      </c>
      <c r="G362" s="3" t="n">
        <v>0</v>
      </c>
      <c r="H362" s="3" t="n">
        <v>0</v>
      </c>
      <c r="I362" s="3">
        <f>E362+G362+H362</f>
        <v/>
      </c>
      <c r="J362" s="3">
        <f>ROUND(MIN(IF(C362="Técnico III",35,IF(C362="Técnico II",28,IF(C362="Técnico I",23,IF(C362="JR",20,IF(C362="Estágio",10,0))))),IF(C362="Técnico III",SUMIFS($D:$D,$A:$A,$A362,$B:$B,"&lt;&gt;Patrícia Karla de Sousa Araújo",$B:$B,"&lt;&gt;Lorena Dias de Araujo",$B:$B,"&lt;&gt;Lucas Luiz Romero")*(35/1083),IF(C362="Técnico II",SUMIFS($D:$D,$A:$A,$A362,$B:$B,"&lt;&gt;Patrícia Karla de Sousa Araújo",$B:$B,"&lt;&gt;Lorena Dias de Araujo",$B:$B,"&lt;&gt;Lucas Luiz Romero")*(28/1083),IF(C362="Técnico I",SUMIFS($D:$D,$A:$A,$A362,$B:$B,"&lt;&gt;Patrícia Karla de Sousa Araújo",$B:$B,"&lt;&gt;Lorena Dias de Araujo",$B:$B,"&lt;&gt;Lucas Luiz Romero")*(23/1083),IF(C362="JR",SUMIFS($D:$D,$A:$A,$A362,$B:$B,"&lt;&gt;Patrícia Karla de Sousa Araújo",$B:$B,"&lt;&gt;Lorena Dias de Araujo",$B:$B,"&lt;&gt;Lucas Luiz Romero")*(20/1083),IF(C362="Estágio",SUMIFS($D:$D,$A:$A,$A362,$B:$B,"&lt;&gt;Patrícia Karla de Sousa Araújo",$B:$B,"&lt;&gt;Lorena Dias de Araujo",$B:$B,"&lt;&gt;Lucas Luiz Romero")*(10/1083),0)))))),0)</f>
        <v/>
      </c>
      <c r="K362" s="3">
        <f>I362-J362</f>
        <v/>
      </c>
      <c r="L362" s="3">
        <f>IF(K362&lt;-5,"CRÍTICO",IF(K362&lt;0,"ATENÇÃO",IF(K362&lt;=5,"BOM","EXCELENTE")))</f>
        <v/>
      </c>
      <c r="M362" t="n">
        <v>14</v>
      </c>
      <c r="N362" t="n">
        <v>91.84999999999999</v>
      </c>
      <c r="O362" t="n">
        <v>20.87155963302752</v>
      </c>
    </row>
    <row r="363" hidden="1">
      <c r="A363" s="5" t="n">
        <v>46156</v>
      </c>
      <c r="B363" s="6" t="inlineStr">
        <is>
          <t>Davylla Rodrigues Freitas Silva</t>
        </is>
      </c>
      <c r="C363" s="9" t="inlineStr">
        <is>
          <t>Técnico III</t>
        </is>
      </c>
      <c r="D363" s="3" t="n">
        <v>22</v>
      </c>
      <c r="E363" s="3" t="n">
        <v>21</v>
      </c>
      <c r="F363" t="n">
        <v>22.3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>
        <f>IF(K363&lt;-5,"CRÍTICO",IF(K363&lt;0,"ATENÇÃO",IF(K363&lt;=5,"BOM","EXCELENTE")))</f>
        <v/>
      </c>
      <c r="M363" t="n">
        <v>26</v>
      </c>
      <c r="N363" t="n">
        <v>99.06</v>
      </c>
      <c r="O363" t="n">
        <v>22.95719844357977</v>
      </c>
    </row>
    <row r="364" hidden="1">
      <c r="A364" s="5" t="n">
        <v>46156</v>
      </c>
      <c r="B364" s="6" t="inlineStr">
        <is>
          <t>Francielson de Oliveira</t>
        </is>
      </c>
      <c r="C364" s="9" t="inlineStr">
        <is>
          <t>Técnico III</t>
        </is>
      </c>
      <c r="D364" s="3" t="n">
        <v>0</v>
      </c>
      <c r="E364" s="3" t="n">
        <v>0</v>
      </c>
      <c r="F364" s="3" t="n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>
        <f>IF(K364&lt;-5,"CRÍTICO",IF(K364&lt;0,"ATENÇÃO",IF(K364&lt;=5,"BOM","EXCELENTE")))</f>
        <v/>
      </c>
      <c r="M364" s="9" t="n">
        <v>0</v>
      </c>
      <c r="N364" s="9" t="n">
        <v>100</v>
      </c>
      <c r="O364" s="9" t="n">
        <v>9.523809523809524</v>
      </c>
    </row>
    <row r="365" hidden="1">
      <c r="A365" s="5" t="n">
        <v>46156</v>
      </c>
      <c r="B365" s="6" t="inlineStr">
        <is>
          <t>Janaina Lima dos Reis Urany</t>
        </is>
      </c>
      <c r="C365" s="3" t="inlineStr">
        <is>
          <t>Técnico III</t>
        </is>
      </c>
      <c r="D365" s="3" t="n">
        <v>35</v>
      </c>
      <c r="E365" s="3" t="n">
        <v>34</v>
      </c>
      <c r="F365" t="n">
        <v>13.41</v>
      </c>
      <c r="G365" s="3" t="n">
        <v>6</v>
      </c>
      <c r="H365" s="3" t="n">
        <v>0</v>
      </c>
      <c r="I365" s="3">
        <f>E365+G365+H365</f>
        <v/>
      </c>
      <c r="J365" s="3">
        <f>ROUND(MIN(IF(C365="Técnico III",35,IF(C365="Técnico II",28,IF(C365="Técnico I",23,IF(C365="JR",20,IF(C365="Estágio",10,0))))),IF(C365="Técnico III",SUMIFS($D:$D,$A:$A,$A365,$B:$B,"&lt;&gt;Patrícia Karla de Sousa Araújo",$B:$B,"&lt;&gt;Lorena Dias de Araujo",$B:$B,"&lt;&gt;Lucas Luiz Romero")*(35/1083),IF(C365="Técnico II",SUMIFS($D:$D,$A:$A,$A365,$B:$B,"&lt;&gt;Patrícia Karla de Sousa Araújo",$B:$B,"&lt;&gt;Lorena Dias de Araujo",$B:$B,"&lt;&gt;Lucas Luiz Romero")*(28/1083),IF(C365="Técnico I",SUMIFS($D:$D,$A:$A,$A365,$B:$B,"&lt;&gt;Patrícia Karla de Sousa Araújo",$B:$B,"&lt;&gt;Lorena Dias de Araujo",$B:$B,"&lt;&gt;Lucas Luiz Romero")*(23/1083),IF(C365="JR",SUMIFS($D:$D,$A:$A,$A365,$B:$B,"&lt;&gt;Patrícia Karla de Sousa Araújo",$B:$B,"&lt;&gt;Lorena Dias de Araujo",$B:$B,"&lt;&gt;Lucas Luiz Romero")*(20/1083),IF(C365="Estágio",SUMIFS($D:$D,$A:$A,$A365,$B:$B,"&lt;&gt;Patrícia Karla de Sousa Araújo",$B:$B,"&lt;&gt;Lorena Dias de Araujo",$B:$B,"&lt;&gt;Lucas Luiz Romero")*(10/1083),0)))))),0)</f>
        <v/>
      </c>
      <c r="K365" s="3">
        <f>I365-J365</f>
        <v/>
      </c>
      <c r="L365" s="3">
        <f>IF(K365&lt;-5,"CRÍTICO",IF(K365&lt;0,"ATENÇÃO",IF(K365&lt;=5,"BOM","EXCELENTE")))</f>
        <v/>
      </c>
      <c r="M365" t="n">
        <v>38</v>
      </c>
      <c r="N365" t="n">
        <v>98.64</v>
      </c>
      <c r="O365" t="n">
        <v>16.6383701188455</v>
      </c>
    </row>
    <row r="366" hidden="1">
      <c r="A366" s="5" t="n">
        <v>46156</v>
      </c>
      <c r="B366" s="6" t="inlineStr">
        <is>
          <t>Jaqueline Evangelista da Silva Martins</t>
        </is>
      </c>
      <c r="C366" s="3" t="inlineStr">
        <is>
          <t>Técnico III</t>
        </is>
      </c>
      <c r="D366" s="3" t="n">
        <v>42</v>
      </c>
      <c r="E366" s="3" t="n">
        <v>40</v>
      </c>
      <c r="F366" t="n">
        <v>10.52</v>
      </c>
      <c r="G366" s="3" t="n">
        <v>8</v>
      </c>
      <c r="H366" s="3" t="n">
        <v>0</v>
      </c>
      <c r="I366" s="3">
        <f>E366+G366+H366</f>
        <v/>
      </c>
      <c r="J366" s="3">
        <f>ROUND(MIN(IF(C366="Técnico III",35,IF(C366="Técnico II",28,IF(C366="Técnico I",23,IF(C366="JR",20,IF(C366="Estágio",10,0))))),IF(C366="Técnico III",SUMIFS($D:$D,$A:$A,$A366,$B:$B,"&lt;&gt;Patrícia Karla de Sousa Araújo",$B:$B,"&lt;&gt;Lorena Dias de Araujo",$B:$B,"&lt;&gt;Lucas Luiz Romero")*(35/1083),IF(C366="Técnico II",SUMIFS($D:$D,$A:$A,$A366,$B:$B,"&lt;&gt;Patrícia Karla de Sousa Araújo",$B:$B,"&lt;&gt;Lorena Dias de Araujo",$B:$B,"&lt;&gt;Lucas Luiz Romero")*(28/1083),IF(C366="Técnico I",SUMIFS($D:$D,$A:$A,$A366,$B:$B,"&lt;&gt;Patrícia Karla de Sousa Araújo",$B:$B,"&lt;&gt;Lorena Dias de Araujo",$B:$B,"&lt;&gt;Lucas Luiz Romero")*(23/1083),IF(C366="JR",SUMIFS($D:$D,$A:$A,$A366,$B:$B,"&lt;&gt;Patrícia Karla de Sousa Araújo",$B:$B,"&lt;&gt;Lorena Dias de Araujo",$B:$B,"&lt;&gt;Lucas Luiz Romero")*(20/1083),IF(C366="Estágio",SUMIFS($D:$D,$A:$A,$A366,$B:$B,"&lt;&gt;Patrícia Karla de Sousa Araújo",$B:$B,"&lt;&gt;Lorena Dias de Araujo",$B:$B,"&lt;&gt;Lucas Luiz Romero")*(10/1083),0)))))),0)</f>
        <v/>
      </c>
      <c r="K366" s="3">
        <f>I366-J366</f>
        <v/>
      </c>
      <c r="L366" s="3">
        <f>IF(K366&lt;-5,"CRÍTICO",IF(K366&lt;0,"ATENÇÃO",IF(K366&lt;=5,"BOM","EXCELENTE")))</f>
        <v/>
      </c>
      <c r="M366" t="n">
        <v>44</v>
      </c>
      <c r="N366" t="n">
        <v>95.40000000000001</v>
      </c>
      <c r="O366" t="n">
        <v>20.53333333333333</v>
      </c>
    </row>
    <row r="367" hidden="1">
      <c r="A367" s="5" t="n">
        <v>46156</v>
      </c>
      <c r="B367" s="6" t="inlineStr">
        <is>
          <t>Jéssica Fé Moura</t>
        </is>
      </c>
      <c r="C367" s="3" t="inlineStr">
        <is>
          <t>Técnico III</t>
        </is>
      </c>
      <c r="D367" s="3" t="n">
        <v>0</v>
      </c>
      <c r="E367" s="3" t="n">
        <v>0</v>
      </c>
      <c r="F367" s="3" t="n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>
        <f>IF(K367&lt;-5,"CRÍTICO",IF(K367&lt;0,"ATENÇÃO",IF(K367&lt;=5,"BOM","EXCELENTE")))</f>
        <v/>
      </c>
      <c r="M367" s="9" t="n">
        <v>0</v>
      </c>
      <c r="N367" s="9" t="n">
        <v>0</v>
      </c>
      <c r="O367" s="9" t="n">
        <v>0</v>
      </c>
    </row>
    <row r="368" hidden="1">
      <c r="A368" s="5" t="n">
        <v>46156</v>
      </c>
      <c r="B368" s="6" t="inlineStr">
        <is>
          <t>Kerollen Cristielly de Jesus Siqueira</t>
        </is>
      </c>
      <c r="C368" s="9" t="inlineStr">
        <is>
          <t>Técnico III</t>
        </is>
      </c>
      <c r="D368" s="3" t="n">
        <v>30</v>
      </c>
      <c r="E368" s="3" t="n">
        <v>29</v>
      </c>
      <c r="F368" t="n">
        <v>17.03</v>
      </c>
      <c r="G368" s="3" t="n">
        <v>0</v>
      </c>
      <c r="H368" s="3" t="n">
        <v>0</v>
      </c>
      <c r="I368" s="3">
        <f>E368+G368+H368</f>
        <v/>
      </c>
      <c r="J368" s="3">
        <f>ROUND(MIN(IF(C368="Técnico III",35,IF(C368="Técnico II",28,IF(C368="Técnico I",23,IF(C368="JR",20,IF(C368="Estágio",10,0))))),IF(C368="Técnico III",SUMIFS($D:$D,$A:$A,$A368,$B:$B,"&lt;&gt;Patrícia Karla de Sousa Araújo",$B:$B,"&lt;&gt;Lorena Dias de Araujo",$B:$B,"&lt;&gt;Lucas Luiz Romero")*(35/1083),IF(C368="Técnico II",SUMIFS($D:$D,$A:$A,$A368,$B:$B,"&lt;&gt;Patrícia Karla de Sousa Araújo",$B:$B,"&lt;&gt;Lorena Dias de Araujo",$B:$B,"&lt;&gt;Lucas Luiz Romero")*(28/1083),IF(C368="Técnico I",SUMIFS($D:$D,$A:$A,$A368,$B:$B,"&lt;&gt;Patrícia Karla de Sousa Araújo",$B:$B,"&lt;&gt;Lorena Dias de Araujo",$B:$B,"&lt;&gt;Lucas Luiz Romero")*(23/1083),IF(C368="JR",SUMIFS($D:$D,$A:$A,$A368,$B:$B,"&lt;&gt;Patrícia Karla de Sousa Araújo",$B:$B,"&lt;&gt;Lorena Dias de Araujo",$B:$B,"&lt;&gt;Lucas Luiz Romero")*(20/1083),IF(C368="Estágio",SUMIFS($D:$D,$A:$A,$A368,$B:$B,"&lt;&gt;Patrícia Karla de Sousa Araújo",$B:$B,"&lt;&gt;Lorena Dias de Araujo",$B:$B,"&lt;&gt;Lucas Luiz Romero")*(10/1083),0)))))),0)</f>
        <v/>
      </c>
      <c r="K368" s="3">
        <f>I368-J368</f>
        <v/>
      </c>
      <c r="L368" s="3">
        <f>IF(K368&lt;-5,"CRÍTICO",IF(K368&lt;0,"ATENÇÃO",IF(K368&lt;=5,"BOM","EXCELENTE")))</f>
        <v/>
      </c>
      <c r="M368" t="n">
        <v>28</v>
      </c>
      <c r="N368" t="n">
        <v>95.52</v>
      </c>
      <c r="O368" t="n">
        <v>10.56105610561056</v>
      </c>
    </row>
    <row r="369" hidden="1">
      <c r="A369" s="11" t="n">
        <v>46037</v>
      </c>
      <c r="B369" t="inlineStr">
        <is>
          <t>Gabriel Gomes de Andrade</t>
        </is>
      </c>
      <c r="C369" t="inlineStr">
        <is>
          <t>Técnico I</t>
        </is>
      </c>
      <c r="D369" t="n">
        <v>27</v>
      </c>
      <c r="E369" t="n">
        <v>27</v>
      </c>
      <c r="F369" t="n">
        <v>18.35</v>
      </c>
      <c r="G369" t="n">
        <v>0</v>
      </c>
      <c r="H369" t="n">
        <v>0</v>
      </c>
      <c r="I369" s="3">
        <f>E369+G369+H369</f>
        <v/>
      </c>
      <c r="J369" s="3">
        <f>ROUND(MIN(IF(C369="Técnico III",35,IF(C369="Técnico II",28,IF(C369="Técnico I",23,IF(C369="JR",20,IF(C369="Estágio",10,0))))),IF(C369="Técnico III",SUMIFS($D:$D,$A:$A,$A369,$B:$B,"&lt;&gt;Patrícia Karla de Sousa Araújo",$B:$B,"&lt;&gt;Lorena Dias de Araujo",$B:$B,"&lt;&gt;Lucas Luiz Romero")*(35/1083),IF(C369="Técnico II",SUMIFS($D:$D,$A:$A,$A369,$B:$B,"&lt;&gt;Patrícia Karla de Sousa Araújo",$B:$B,"&lt;&gt;Lorena Dias de Araujo",$B:$B,"&lt;&gt;Lucas Luiz Romero")*(28/1083),IF(C369="Técnico I",SUMIFS($D:$D,$A:$A,$A369,$B:$B,"&lt;&gt;Patrícia Karla de Sousa Araújo",$B:$B,"&lt;&gt;Lorena Dias de Araujo",$B:$B,"&lt;&gt;Lucas Luiz Romero")*(23/1083),IF(C369="JR",SUMIFS($D:$D,$A:$A,$A369,$B:$B,"&lt;&gt;Patrícia Karla de Sousa Araújo",$B:$B,"&lt;&gt;Lorena Dias de Araujo",$B:$B,"&lt;&gt;Lucas Luiz Romero")*(20/1083),IF(C369="Estágio",SUMIFS($D:$D,$A:$A,$A369,$B:$B,"&lt;&gt;Patrícia Karla de Sousa Araújo",$B:$B,"&lt;&gt;Lorena Dias de Araujo",$B:$B,"&lt;&gt;Lucas Luiz Romero")*(10/1083),0)))))),0)</f>
        <v/>
      </c>
      <c r="K369" s="3">
        <f>I369-J369</f>
        <v/>
      </c>
      <c r="L369" s="3">
        <f>IF(K369&lt;-5,"CRÍTICO",IF(K369&lt;0,"ATENÇÃO",IF(K369&lt;=5,"BOM","EXCELENTE")))</f>
        <v/>
      </c>
      <c r="M369" t="n">
        <v>24</v>
      </c>
      <c r="N369" t="n">
        <v>96.55</v>
      </c>
      <c r="O369" t="n">
        <v>31.81818181818182</v>
      </c>
    </row>
    <row r="370" hidden="1">
      <c r="A370" s="5" t="n">
        <v>46156</v>
      </c>
      <c r="B370" s="6" t="inlineStr">
        <is>
          <t>Leandro Oliveira de Sousa</t>
        </is>
      </c>
      <c r="C370" s="9" t="inlineStr">
        <is>
          <t>Técnico III</t>
        </is>
      </c>
      <c r="D370" s="3" t="n">
        <v>30</v>
      </c>
      <c r="E370" s="3" t="n">
        <v>27</v>
      </c>
      <c r="F370" t="n">
        <v>19.05</v>
      </c>
      <c r="G370" s="3" t="n">
        <v>0</v>
      </c>
      <c r="H370" s="3" t="n">
        <v>0</v>
      </c>
      <c r="I370" s="3">
        <f>E370+G370+H370</f>
        <v/>
      </c>
      <c r="J370" s="3">
        <f>ROUND(MIN(IF(C370="Técnico III",35,IF(C370="Técnico II",28,IF(C370="Técnico I",23,IF(C370="JR",20,IF(C370="Estágio",10,0))))),IF(C370="Técnico III",SUMIFS($D:$D,$A:$A,$A370,$B:$B,"&lt;&gt;Patrícia Karla de Sousa Araújo",$B:$B,"&lt;&gt;Lorena Dias de Araujo",$B:$B,"&lt;&gt;Lucas Luiz Romero")*(35/1083),IF(C370="Técnico II",SUMIFS($D:$D,$A:$A,$A370,$B:$B,"&lt;&gt;Patrícia Karla de Sousa Araújo",$B:$B,"&lt;&gt;Lorena Dias de Araujo",$B:$B,"&lt;&gt;Lucas Luiz Romero")*(28/1083),IF(C370="Técnico I",SUMIFS($D:$D,$A:$A,$A370,$B:$B,"&lt;&gt;Patrícia Karla de Sousa Araújo",$B:$B,"&lt;&gt;Lorena Dias de Araujo",$B:$B,"&lt;&gt;Lucas Luiz Romero")*(23/1083),IF(C370="JR",SUMIFS($D:$D,$A:$A,$A370,$B:$B,"&lt;&gt;Patrícia Karla de Sousa Araújo",$B:$B,"&lt;&gt;Lorena Dias de Araujo",$B:$B,"&lt;&gt;Lucas Luiz Romero")*(20/1083),IF(C370="Estágio",SUMIFS($D:$D,$A:$A,$A370,$B:$B,"&lt;&gt;Patrícia Karla de Sousa Araújo",$B:$B,"&lt;&gt;Lorena Dias de Araujo",$B:$B,"&lt;&gt;Lucas Luiz Romero")*(10/1083),0)))))),0)</f>
        <v/>
      </c>
      <c r="K370" s="3">
        <f>I370-J370</f>
        <v/>
      </c>
      <c r="L370" s="3">
        <f>IF(K370&lt;-5,"CRÍTICO",IF(K370&lt;0,"ATENÇÃO",IF(K370&lt;=5,"BOM","EXCELENTE")))</f>
        <v/>
      </c>
      <c r="M370" t="n">
        <v>23</v>
      </c>
      <c r="N370" t="n">
        <v>100</v>
      </c>
      <c r="O370" t="n">
        <v>15.58441558441558</v>
      </c>
    </row>
    <row r="371" hidden="1">
      <c r="A371" s="5" t="n">
        <v>46156</v>
      </c>
      <c r="B371" s="6" t="inlineStr">
        <is>
          <t>Lucas Luiz Romero</t>
        </is>
      </c>
      <c r="C371" s="3" t="inlineStr">
        <is>
          <t>Técnico III</t>
        </is>
      </c>
      <c r="D371" s="3" t="n">
        <v>0</v>
      </c>
      <c r="E371" s="3" t="n">
        <v>0</v>
      </c>
      <c r="F371" s="3" t="n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>
        <f>IF(K371&lt;-5,"CRÍTICO",IF(K371&lt;0,"ATENÇÃO",IF(K371&lt;=5,"BOM","EXCELENTE")))</f>
        <v/>
      </c>
      <c r="M371" s="9" t="n">
        <v>0</v>
      </c>
      <c r="N371" s="9" t="n">
        <v>100</v>
      </c>
      <c r="O371" s="9" t="n">
        <v>4.347826086956522</v>
      </c>
    </row>
    <row r="372" hidden="1">
      <c r="A372" s="5" t="n">
        <v>46156</v>
      </c>
      <c r="B372" s="6" t="inlineStr">
        <is>
          <t>Matheus Farias De Souza</t>
        </is>
      </c>
      <c r="C372" s="3" t="inlineStr">
        <is>
          <t>Técnico III</t>
        </is>
      </c>
      <c r="D372" s="3" t="n">
        <v>0</v>
      </c>
      <c r="E372" s="3" t="n">
        <v>0</v>
      </c>
      <c r="F372" t="n">
        <v>0</v>
      </c>
      <c r="G372" s="3" t="n">
        <v>0</v>
      </c>
      <c r="H372" s="3" t="n">
        <v>52</v>
      </c>
      <c r="I372" s="3">
        <f>E372+G372+H372</f>
        <v/>
      </c>
      <c r="J372" s="3">
        <f>ROUND(MIN(IF(C372="Técnico III",35,IF(C372="Técnico II",28,IF(C372="Técnico I",23,IF(C372="JR",20,IF(C372="Estágio",10,0))))),IF(C372="Técnico III",SUMIFS($D:$D,$A:$A,$A372,$B:$B,"&lt;&gt;Patrícia Karla de Sousa Araújo",$B:$B,"&lt;&gt;Lorena Dias de Araujo",$B:$B,"&lt;&gt;Lucas Luiz Romero")*(35/1083),IF(C372="Técnico II",SUMIFS($D:$D,$A:$A,$A372,$B:$B,"&lt;&gt;Patrícia Karla de Sousa Araújo",$B:$B,"&lt;&gt;Lorena Dias de Araujo",$B:$B,"&lt;&gt;Lucas Luiz Romero")*(28/1083),IF(C372="Técnico I",SUMIFS($D:$D,$A:$A,$A372,$B:$B,"&lt;&gt;Patrícia Karla de Sousa Araújo",$B:$B,"&lt;&gt;Lorena Dias de Araujo",$B:$B,"&lt;&gt;Lucas Luiz Romero")*(23/1083),IF(C372="JR",SUMIFS($D:$D,$A:$A,$A372,$B:$B,"&lt;&gt;Patrícia Karla de Sousa Araújo",$B:$B,"&lt;&gt;Lorena Dias de Araujo",$B:$B,"&lt;&gt;Lucas Luiz Romero")*(20/1083),IF(C372="Estágio",SUMIFS($D:$D,$A:$A,$A372,$B:$B,"&lt;&gt;Patrícia Karla de Sousa Araújo",$B:$B,"&lt;&gt;Lorena Dias de Araujo",$B:$B,"&lt;&gt;Lucas Luiz Romero")*(10/1083),0)))))),0)</f>
        <v/>
      </c>
      <c r="K372" s="3">
        <f>I372-J372</f>
        <v/>
      </c>
      <c r="L372" s="3">
        <f>IF(K372&lt;-5,"CRÍTICO",IF(K372&lt;0,"ATENÇÃO",IF(K372&lt;=5,"BOM","EXCELENTE")))</f>
        <v/>
      </c>
      <c r="M372" t="n">
        <v>30</v>
      </c>
      <c r="N372" t="n">
        <v>98.28</v>
      </c>
      <c r="O372" t="n">
        <v>9.037900874635568</v>
      </c>
    </row>
    <row r="373" hidden="1">
      <c r="A373" s="5" t="n">
        <v>46156</v>
      </c>
      <c r="B373" s="6" t="inlineStr">
        <is>
          <t>Maysa Victoria Dias Moura</t>
        </is>
      </c>
      <c r="C373" s="3" t="inlineStr">
        <is>
          <t>Técnico III</t>
        </is>
      </c>
      <c r="D373" s="3" t="n">
        <v>39</v>
      </c>
      <c r="E373" s="3" t="n">
        <v>32</v>
      </c>
      <c r="F373" t="n">
        <v>9</v>
      </c>
      <c r="G373" s="3" t="n">
        <v>3</v>
      </c>
      <c r="H373" s="3" t="n">
        <v>0</v>
      </c>
      <c r="I373" s="3">
        <f>E373+G373+H373</f>
        <v/>
      </c>
      <c r="J373" s="3">
        <f>ROUND(MIN(IF(C373="Técnico III",35,IF(C373="Técnico II",28,IF(C373="Técnico I",23,IF(C373="JR",20,IF(C373="Estágio",10,0))))),IF(C373="Técnico III",SUMIFS($D:$D,$A:$A,$A373,$B:$B,"&lt;&gt;Patrícia Karla de Sousa Araújo",$B:$B,"&lt;&gt;Lorena Dias de Araujo",$B:$B,"&lt;&gt;Lucas Luiz Romero")*(35/1083),IF(C373="Técnico II",SUMIFS($D:$D,$A:$A,$A373,$B:$B,"&lt;&gt;Patrícia Karla de Sousa Araújo",$B:$B,"&lt;&gt;Lorena Dias de Araujo",$B:$B,"&lt;&gt;Lucas Luiz Romero")*(28/1083),IF(C373="Técnico I",SUMIFS($D:$D,$A:$A,$A373,$B:$B,"&lt;&gt;Patrícia Karla de Sousa Araújo",$B:$B,"&lt;&gt;Lorena Dias de Araujo",$B:$B,"&lt;&gt;Lucas Luiz Romero")*(23/1083),IF(C373="JR",SUMIFS($D:$D,$A:$A,$A373,$B:$B,"&lt;&gt;Patrícia Karla de Sousa Araújo",$B:$B,"&lt;&gt;Lorena Dias de Araujo",$B:$B,"&lt;&gt;Lucas Luiz Romero")*(20/1083),IF(C373="Estágio",SUMIFS($D:$D,$A:$A,$A373,$B:$B,"&lt;&gt;Patrícia Karla de Sousa Araújo",$B:$B,"&lt;&gt;Lorena Dias de Araujo",$B:$B,"&lt;&gt;Lucas Luiz Romero")*(10/1083),0)))))),0)</f>
        <v/>
      </c>
      <c r="K373" s="3">
        <f>I373-J373</f>
        <v/>
      </c>
      <c r="L373" s="3">
        <f>IF(K373&lt;-5,"CRÍTICO",IF(K373&lt;0,"ATENÇÃO",IF(K373&lt;=5,"BOM","EXCELENTE")))</f>
        <v/>
      </c>
      <c r="M373" t="n">
        <v>29</v>
      </c>
      <c r="N373" t="n">
        <v>97.22</v>
      </c>
      <c r="O373" t="n">
        <v>19.09547738693467</v>
      </c>
    </row>
    <row r="374" hidden="1">
      <c r="A374" s="5" t="n">
        <v>46156</v>
      </c>
      <c r="B374" s="6" t="inlineStr">
        <is>
          <t>Rafael Gomes de Morais</t>
        </is>
      </c>
      <c r="C374" s="3" t="inlineStr">
        <is>
          <t>Técnico III</t>
        </is>
      </c>
      <c r="D374" s="3" t="n">
        <v>38</v>
      </c>
      <c r="E374" s="3" t="n">
        <v>37</v>
      </c>
      <c r="F374" t="n">
        <v>13.51</v>
      </c>
      <c r="G374" s="3" t="n">
        <v>0</v>
      </c>
      <c r="H374" s="3" t="n">
        <v>0</v>
      </c>
      <c r="I374" s="3">
        <f>E374+G374+H374</f>
        <v/>
      </c>
      <c r="J374" s="3">
        <f>ROUND(MIN(IF(C374="Técnico III",35,IF(C374="Técnico II",28,IF(C374="Técnico I",23,IF(C374="JR",20,IF(C374="Estágio",10,0))))),IF(C374="Técnico III",SUMIFS($D:$D,$A:$A,$A374,$B:$B,"&lt;&gt;Patrícia Karla de Sousa Araújo",$B:$B,"&lt;&gt;Lorena Dias de Araujo",$B:$B,"&lt;&gt;Lucas Luiz Romero")*(35/1083),IF(C374="Técnico II",SUMIFS($D:$D,$A:$A,$A374,$B:$B,"&lt;&gt;Patrícia Karla de Sousa Araújo",$B:$B,"&lt;&gt;Lorena Dias de Araujo",$B:$B,"&lt;&gt;Lucas Luiz Romero")*(28/1083),IF(C374="Técnico I",SUMIFS($D:$D,$A:$A,$A374,$B:$B,"&lt;&gt;Patrícia Karla de Sousa Araújo",$B:$B,"&lt;&gt;Lorena Dias de Araujo",$B:$B,"&lt;&gt;Lucas Luiz Romero")*(23/1083),IF(C374="JR",SUMIFS($D:$D,$A:$A,$A374,$B:$B,"&lt;&gt;Patrícia Karla de Sousa Araújo",$B:$B,"&lt;&gt;Lorena Dias de Araujo",$B:$B,"&lt;&gt;Lucas Luiz Romero")*(20/1083),IF(C374="Estágio",SUMIFS($D:$D,$A:$A,$A374,$B:$B,"&lt;&gt;Patrícia Karla de Sousa Araújo",$B:$B,"&lt;&gt;Lorena Dias de Araujo",$B:$B,"&lt;&gt;Lucas Luiz Romero")*(10/1083),0)))))),0)</f>
        <v/>
      </c>
      <c r="K374" s="3">
        <f>I374-J374</f>
        <v/>
      </c>
      <c r="L374" s="3">
        <f>IF(K374&lt;-5,"CRÍTICO",IF(K374&lt;0,"ATENÇÃO",IF(K374&lt;=5,"BOM","EXCELENTE")))</f>
        <v/>
      </c>
      <c r="M374" t="n">
        <v>40</v>
      </c>
      <c r="N374" t="n">
        <v>99.29000000000001</v>
      </c>
      <c r="O374" t="n">
        <v>22.49443207126949</v>
      </c>
    </row>
    <row r="375" hidden="1">
      <c r="A375" s="5" t="n">
        <v>46156</v>
      </c>
      <c r="B375" s="6" t="inlineStr">
        <is>
          <t>Sarah Steffanie de Lima Borges</t>
        </is>
      </c>
      <c r="C375" s="3" t="inlineStr">
        <is>
          <t>Técnico III</t>
        </is>
      </c>
      <c r="D375" s="3" t="n">
        <v>22</v>
      </c>
      <c r="E375" s="3" t="n">
        <v>22</v>
      </c>
      <c r="F375" t="n">
        <v>13.43</v>
      </c>
      <c r="G375" s="3" t="n">
        <v>5</v>
      </c>
      <c r="H375" s="3" t="n">
        <v>0</v>
      </c>
      <c r="I375" s="3">
        <f>E375+G375+H375</f>
        <v/>
      </c>
      <c r="J375" s="3">
        <f>ROUND(MIN(IF(C375="Técnico III",35,IF(C375="Técnico II",28,IF(C375="Técnico I",23,IF(C375="JR",20,IF(C375="Estágio",10,0))))),IF(C375="Técnico III",SUMIFS($D:$D,$A:$A,$A375,$B:$B,"&lt;&gt;Patrícia Karla de Sousa Araújo",$B:$B,"&lt;&gt;Lorena Dias de Araujo",$B:$B,"&lt;&gt;Lucas Luiz Romero")*(35/1083),IF(C375="Técnico II",SUMIFS($D:$D,$A:$A,$A375,$B:$B,"&lt;&gt;Patrícia Karla de Sousa Araújo",$B:$B,"&lt;&gt;Lorena Dias de Araujo",$B:$B,"&lt;&gt;Lucas Luiz Romero")*(28/1083),IF(C375="Técnico I",SUMIFS($D:$D,$A:$A,$A375,$B:$B,"&lt;&gt;Patrícia Karla de Sousa Araújo",$B:$B,"&lt;&gt;Lorena Dias de Araujo",$B:$B,"&lt;&gt;Lucas Luiz Romero")*(23/1083),IF(C375="JR",SUMIFS($D:$D,$A:$A,$A375,$B:$B,"&lt;&gt;Patrícia Karla de Sousa Araújo",$B:$B,"&lt;&gt;Lorena Dias de Araujo",$B:$B,"&lt;&gt;Lucas Luiz Romero")*(20/1083),IF(C375="Estágio",SUMIFS($D:$D,$A:$A,$A375,$B:$B,"&lt;&gt;Patrícia Karla de Sousa Araújo",$B:$B,"&lt;&gt;Lorena Dias de Araujo",$B:$B,"&lt;&gt;Lucas Luiz Romero")*(10/1083),0)))))),0)</f>
        <v/>
      </c>
      <c r="K375" s="3">
        <f>I375-J375</f>
        <v/>
      </c>
      <c r="L375" s="3">
        <f>IF(K375&lt;-5,"CRÍTICO",IF(K375&lt;0,"ATENÇÃO",IF(K375&lt;=5,"BOM","EXCELENTE")))</f>
        <v/>
      </c>
      <c r="M375" t="n">
        <v>21</v>
      </c>
      <c r="N375" t="n">
        <v>97.33</v>
      </c>
      <c r="O375" t="n">
        <v>15.80547112462006</v>
      </c>
    </row>
    <row r="376" hidden="1">
      <c r="A376" s="5" t="n">
        <v>46157</v>
      </c>
      <c r="B376" s="6" t="inlineStr">
        <is>
          <t>Amanda Moura Ferreira</t>
        </is>
      </c>
      <c r="C376" s="3" t="inlineStr">
        <is>
          <t>Técnico III</t>
        </is>
      </c>
      <c r="D376" s="3" t="n">
        <v>0</v>
      </c>
      <c r="E376" s="3" t="n">
        <v>0</v>
      </c>
      <c r="F376" s="3" t="n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>
        <f>IF(K376&lt;-5,"CRÍTICO",IF(K376&lt;0,"ATENÇÃO",IF(K376&lt;=5,"BOM","EXCELENTE")))</f>
        <v/>
      </c>
      <c r="M376" s="9" t="n">
        <v>0</v>
      </c>
      <c r="N376" s="9" t="n">
        <v>100</v>
      </c>
      <c r="O376" s="9" t="n">
        <v>0</v>
      </c>
    </row>
    <row r="377" hidden="1">
      <c r="A377" s="5" t="n">
        <v>46157</v>
      </c>
      <c r="B377" s="6" t="inlineStr">
        <is>
          <t>Ana Paula Da Luz Silva Aleixo</t>
        </is>
      </c>
      <c r="C377" s="9" t="inlineStr">
        <is>
          <t>Técnico III</t>
        </is>
      </c>
      <c r="D377" s="3" t="n">
        <v>29</v>
      </c>
      <c r="E377" s="3" t="n">
        <v>28</v>
      </c>
      <c r="F377" t="n">
        <v>13.59</v>
      </c>
      <c r="G377" s="3" t="n">
        <v>3</v>
      </c>
      <c r="H377" s="3" t="n">
        <v>0</v>
      </c>
      <c r="I377" s="3">
        <f>E377+G377+H377</f>
        <v/>
      </c>
      <c r="J377" s="3">
        <f>ROUND(MIN(IF(C377="Técnico III",35,IF(C377="Técnico II",28,IF(C377="Técnico I",23,IF(C377="JR",20,IF(C377="Estágio",10,0))))),IF(C377="Técnico III",SUMIFS($D:$D,$A:$A,$A377,$B:$B,"&lt;&gt;Patrícia Karla de Sousa Araújo",$B:$B,"&lt;&gt;Lorena Dias de Araujo",$B:$B,"&lt;&gt;Lucas Luiz Romero")*(35/1083),IF(C377="Técnico II",SUMIFS($D:$D,$A:$A,$A377,$B:$B,"&lt;&gt;Patrícia Karla de Sousa Araújo",$B:$B,"&lt;&gt;Lorena Dias de Araujo",$B:$B,"&lt;&gt;Lucas Luiz Romero")*(28/1083),IF(C377="Técnico I",SUMIFS($D:$D,$A:$A,$A377,$B:$B,"&lt;&gt;Patrícia Karla de Sousa Araújo",$B:$B,"&lt;&gt;Lorena Dias de Araujo",$B:$B,"&lt;&gt;Lucas Luiz Romero")*(23/1083),IF(C377="JR",SUMIFS($D:$D,$A:$A,$A377,$B:$B,"&lt;&gt;Patrícia Karla de Sousa Araújo",$B:$B,"&lt;&gt;Lorena Dias de Araujo",$B:$B,"&lt;&gt;Lucas Luiz Romero")*(20/1083),IF(C377="Estágio",SUMIFS($D:$D,$A:$A,$A377,$B:$B,"&lt;&gt;Patrícia Karla de Sousa Araújo",$B:$B,"&lt;&gt;Lorena Dias de Araujo",$B:$B,"&lt;&gt;Lucas Luiz Romero")*(10/1083),0)))))),0)</f>
        <v/>
      </c>
      <c r="K377" s="3">
        <f>I377-J377</f>
        <v/>
      </c>
      <c r="L377" s="3">
        <f>IF(K377&lt;-5,"CRÍTICO",IF(K377&lt;0,"ATENÇÃO",IF(K377&lt;=5,"BOM","EXCELENTE")))</f>
        <v/>
      </c>
      <c r="M377" t="n">
        <v>25</v>
      </c>
      <c r="N377" t="n">
        <v>96.34</v>
      </c>
      <c r="O377" t="n">
        <v>17.57188498402556</v>
      </c>
    </row>
    <row r="378" hidden="1">
      <c r="A378" s="5" t="n">
        <v>46157</v>
      </c>
      <c r="B378" s="6" t="inlineStr">
        <is>
          <t>Cristiane Ramos da Silva Rocha</t>
        </is>
      </c>
      <c r="C378" s="3" t="inlineStr">
        <is>
          <t>Técnico III</t>
        </is>
      </c>
      <c r="D378" s="3" t="n">
        <v>37</v>
      </c>
      <c r="E378" s="3" t="n">
        <v>31</v>
      </c>
      <c r="F378" t="n">
        <v>11.51</v>
      </c>
      <c r="G378" s="3" t="n">
        <v>0</v>
      </c>
      <c r="H378" s="3" t="n">
        <v>0</v>
      </c>
      <c r="I378" s="3">
        <f>E378+G378+H378</f>
        <v/>
      </c>
      <c r="J378" s="3">
        <f>ROUND(MIN(IF(C378="Técnico III",35,IF(C378="Técnico II",28,IF(C378="Técnico I",23,IF(C378="JR",20,IF(C378="Estágio",10,0))))),IF(C378="Técnico III",SUMIFS($D:$D,$A:$A,$A378,$B:$B,"&lt;&gt;Patrícia Karla de Sousa Araújo",$B:$B,"&lt;&gt;Lorena Dias de Araujo",$B:$B,"&lt;&gt;Lucas Luiz Romero")*(35/1083),IF(C378="Técnico II",SUMIFS($D:$D,$A:$A,$A378,$B:$B,"&lt;&gt;Patrícia Karla de Sousa Araújo",$B:$B,"&lt;&gt;Lorena Dias de Araujo",$B:$B,"&lt;&gt;Lucas Luiz Romero")*(28/1083),IF(C378="Técnico I",SUMIFS($D:$D,$A:$A,$A378,$B:$B,"&lt;&gt;Patrícia Karla de Sousa Araújo",$B:$B,"&lt;&gt;Lorena Dias de Araujo",$B:$B,"&lt;&gt;Lucas Luiz Romero")*(23/1083),IF(C378="JR",SUMIFS($D:$D,$A:$A,$A378,$B:$B,"&lt;&gt;Patrícia Karla de Sousa Araújo",$B:$B,"&lt;&gt;Lorena Dias de Araujo",$B:$B,"&lt;&gt;Lucas Luiz Romero")*(20/1083),IF(C378="Estágio",SUMIFS($D:$D,$A:$A,$A378,$B:$B,"&lt;&gt;Patrícia Karla de Sousa Araújo",$B:$B,"&lt;&gt;Lorena Dias de Araujo",$B:$B,"&lt;&gt;Lucas Luiz Romero")*(10/1083),0)))))),0)</f>
        <v/>
      </c>
      <c r="K378" s="3">
        <f>I378-J378</f>
        <v/>
      </c>
      <c r="L378" s="3">
        <f>IF(K378&lt;-5,"CRÍTICO",IF(K378&lt;0,"ATENÇÃO",IF(K378&lt;=5,"BOM","EXCELENTE")))</f>
        <v/>
      </c>
      <c r="M378" t="n">
        <v>29</v>
      </c>
      <c r="N378" t="n">
        <v>91.84999999999999</v>
      </c>
      <c r="O378" t="n">
        <v>20.87155963302752</v>
      </c>
    </row>
    <row r="379" hidden="1">
      <c r="A379" s="5" t="n">
        <v>46157</v>
      </c>
      <c r="B379" s="6" t="inlineStr">
        <is>
          <t>Davylla Rodrigues Freitas Silva</t>
        </is>
      </c>
      <c r="C379" s="9" t="inlineStr">
        <is>
          <t>Técnico III</t>
        </is>
      </c>
      <c r="D379" s="3" t="n">
        <v>20</v>
      </c>
      <c r="E379" s="3" t="n">
        <v>20</v>
      </c>
      <c r="F379" t="n">
        <v>20.33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>
        <f>IF(K379&lt;-5,"CRÍTICO",IF(K379&lt;0,"ATENÇÃO",IF(K379&lt;=5,"BOM","EXCELENTE")))</f>
        <v/>
      </c>
      <c r="M379" t="n">
        <v>23</v>
      </c>
      <c r="N379" t="n">
        <v>99.06</v>
      </c>
      <c r="O379" t="n">
        <v>22.95719844357977</v>
      </c>
    </row>
    <row r="380" hidden="1">
      <c r="A380" s="5" t="n">
        <v>46157</v>
      </c>
      <c r="B380" s="6" t="inlineStr">
        <is>
          <t>Janaina Lima dos Reis Urany</t>
        </is>
      </c>
      <c r="C380" s="3" t="inlineStr">
        <is>
          <t>Técnico III</t>
        </is>
      </c>
      <c r="D380" s="3" t="n">
        <v>44</v>
      </c>
      <c r="E380" s="3" t="n">
        <v>38</v>
      </c>
      <c r="F380" t="n">
        <v>12.34</v>
      </c>
      <c r="G380" s="3" t="n">
        <v>6</v>
      </c>
      <c r="H380" s="3" t="n">
        <v>0</v>
      </c>
      <c r="I380" s="3">
        <f>E380+G380+H380</f>
        <v/>
      </c>
      <c r="J380" s="3">
        <f>ROUND(MIN(IF(C380="Técnico III",35,IF(C380="Técnico II",28,IF(C380="Técnico I",23,IF(C380="JR",20,IF(C380="Estágio",10,0))))),IF(C380="Técnico III",SUMIFS($D:$D,$A:$A,$A380,$B:$B,"&lt;&gt;Patrícia Karla de Sousa Araújo",$B:$B,"&lt;&gt;Lorena Dias de Araujo",$B:$B,"&lt;&gt;Lucas Luiz Romero")*(35/1083),IF(C380="Técnico II",SUMIFS($D:$D,$A:$A,$A380,$B:$B,"&lt;&gt;Patrícia Karla de Sousa Araújo",$B:$B,"&lt;&gt;Lorena Dias de Araujo",$B:$B,"&lt;&gt;Lucas Luiz Romero")*(28/1083),IF(C380="Técnico I",SUMIFS($D:$D,$A:$A,$A380,$B:$B,"&lt;&gt;Patrícia Karla de Sousa Araújo",$B:$B,"&lt;&gt;Lorena Dias de Araujo",$B:$B,"&lt;&gt;Lucas Luiz Romero")*(23/1083),IF(C380="JR",SUMIFS($D:$D,$A:$A,$A380,$B:$B,"&lt;&gt;Patrícia Karla de Sousa Araújo",$B:$B,"&lt;&gt;Lorena Dias de Araujo",$B:$B,"&lt;&gt;Lucas Luiz Romero")*(20/1083),IF(C380="Estágio",SUMIFS($D:$D,$A:$A,$A380,$B:$B,"&lt;&gt;Patrícia Karla de Sousa Araújo",$B:$B,"&lt;&gt;Lorena Dias de Araujo",$B:$B,"&lt;&gt;Lucas Luiz Romero")*(10/1083),0)))))),0)</f>
        <v/>
      </c>
      <c r="K380" s="3">
        <f>I380-J380</f>
        <v/>
      </c>
      <c r="L380" s="3">
        <f>IF(K380&lt;-5,"CRÍTICO",IF(K380&lt;0,"ATENÇÃO",IF(K380&lt;=5,"BOM","EXCELENTE")))</f>
        <v/>
      </c>
      <c r="M380" t="n">
        <v>39</v>
      </c>
      <c r="N380" t="n">
        <v>98.64</v>
      </c>
      <c r="O380" t="n">
        <v>16.6383701188455</v>
      </c>
    </row>
    <row r="381" hidden="1">
      <c r="A381" s="5" t="n">
        <v>46157</v>
      </c>
      <c r="B381" s="6" t="inlineStr">
        <is>
          <t>Jaqueline Evangelista da Silva Martins</t>
        </is>
      </c>
      <c r="C381" s="3" t="inlineStr">
        <is>
          <t>Técnico III</t>
        </is>
      </c>
      <c r="D381" s="3" t="n">
        <v>30</v>
      </c>
      <c r="E381" s="3" t="n">
        <v>29</v>
      </c>
      <c r="F381" t="n">
        <v>13.38</v>
      </c>
      <c r="G381" s="3" t="n">
        <v>5</v>
      </c>
      <c r="H381" s="3" t="n">
        <v>0</v>
      </c>
      <c r="I381" s="3">
        <f>E381+G381+H381</f>
        <v/>
      </c>
      <c r="J381" s="3">
        <f>ROUND(MIN(IF(C381="Técnico III",35,IF(C381="Técnico II",28,IF(C381="Técnico I",23,IF(C381="JR",20,IF(C381="Estágio",10,0))))),IF(C381="Técnico III",SUMIFS($D:$D,$A:$A,$A381,$B:$B,"&lt;&gt;Patrícia Karla de Sousa Araújo",$B:$B,"&lt;&gt;Lorena Dias de Araujo",$B:$B,"&lt;&gt;Lucas Luiz Romero")*(35/1083),IF(C381="Técnico II",SUMIFS($D:$D,$A:$A,$A381,$B:$B,"&lt;&gt;Patrícia Karla de Sousa Araújo",$B:$B,"&lt;&gt;Lorena Dias de Araujo",$B:$B,"&lt;&gt;Lucas Luiz Romero")*(28/1083),IF(C381="Técnico I",SUMIFS($D:$D,$A:$A,$A381,$B:$B,"&lt;&gt;Patrícia Karla de Sousa Araújo",$B:$B,"&lt;&gt;Lorena Dias de Araujo",$B:$B,"&lt;&gt;Lucas Luiz Romero")*(23/1083),IF(C381="JR",SUMIFS($D:$D,$A:$A,$A381,$B:$B,"&lt;&gt;Patrícia Karla de Sousa Araújo",$B:$B,"&lt;&gt;Lorena Dias de Araujo",$B:$B,"&lt;&gt;Lucas Luiz Romero")*(20/1083),IF(C381="Estágio",SUMIFS($D:$D,$A:$A,$A381,$B:$B,"&lt;&gt;Patrícia Karla de Sousa Araújo",$B:$B,"&lt;&gt;Lorena Dias de Araujo",$B:$B,"&lt;&gt;Lucas Luiz Romero")*(10/1083),0)))))),0)</f>
        <v/>
      </c>
      <c r="K381" s="3">
        <f>I381-J381</f>
        <v/>
      </c>
      <c r="L381" s="3">
        <f>IF(K381&lt;-5,"CRÍTICO",IF(K381&lt;0,"ATENÇÃO",IF(K381&lt;=5,"BOM","EXCELENTE")))</f>
        <v/>
      </c>
      <c r="M381" t="n">
        <v>23</v>
      </c>
      <c r="N381" t="n">
        <v>95.40000000000001</v>
      </c>
      <c r="O381" t="n">
        <v>20.53333333333333</v>
      </c>
    </row>
    <row r="382" hidden="1">
      <c r="A382" s="5" t="n">
        <v>46157</v>
      </c>
      <c r="B382" s="6" t="inlineStr">
        <is>
          <t>Jéssica Fé Moura</t>
        </is>
      </c>
      <c r="C382" s="3" t="inlineStr">
        <is>
          <t>Técnico III</t>
        </is>
      </c>
      <c r="D382" s="3" t="n">
        <v>0</v>
      </c>
      <c r="E382" s="3" t="n">
        <v>0</v>
      </c>
      <c r="F382" s="3" t="n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>
        <f>IF(K382&lt;-5,"CRÍTICO",IF(K382&lt;0,"ATENÇÃO",IF(K382&lt;=5,"BOM","EXCELENTE")))</f>
        <v/>
      </c>
      <c r="M382" s="9" t="n">
        <v>0</v>
      </c>
      <c r="N382" s="9" t="n">
        <v>0</v>
      </c>
      <c r="O382" s="9" t="n">
        <v>0</v>
      </c>
    </row>
    <row r="383" hidden="1">
      <c r="A383" s="5" t="n">
        <v>46157</v>
      </c>
      <c r="B383" s="6" t="inlineStr">
        <is>
          <t>Leandro Oliveira de Sousa</t>
        </is>
      </c>
      <c r="C383" s="9" t="inlineStr">
        <is>
          <t>Técnico III</t>
        </is>
      </c>
      <c r="D383" s="3" t="n">
        <v>23</v>
      </c>
      <c r="E383" s="3" t="n">
        <v>22</v>
      </c>
      <c r="F383" t="n">
        <v>27.02</v>
      </c>
      <c r="G383" s="3" t="n">
        <v>1</v>
      </c>
      <c r="H383" s="3" t="n">
        <v>0</v>
      </c>
      <c r="I383" s="3">
        <f>E383+G383+H383</f>
        <v/>
      </c>
      <c r="J383" s="3">
        <f>ROUND(MIN(IF(C383="Técnico III",35,IF(C383="Técnico II",28,IF(C383="Técnico I",23,IF(C383="JR",20,IF(C383="Estágio",10,0))))),IF(C383="Técnico III",SUMIFS($D:$D,$A:$A,$A383,$B:$B,"&lt;&gt;Patrícia Karla de Sousa Araújo",$B:$B,"&lt;&gt;Lorena Dias de Araujo",$B:$B,"&lt;&gt;Lucas Luiz Romero")*(35/1083),IF(C383="Técnico II",SUMIFS($D:$D,$A:$A,$A383,$B:$B,"&lt;&gt;Patrícia Karla de Sousa Araújo",$B:$B,"&lt;&gt;Lorena Dias de Araujo",$B:$B,"&lt;&gt;Lucas Luiz Romero")*(28/1083),IF(C383="Técnico I",SUMIFS($D:$D,$A:$A,$A383,$B:$B,"&lt;&gt;Patrícia Karla de Sousa Araújo",$B:$B,"&lt;&gt;Lorena Dias de Araujo",$B:$B,"&lt;&gt;Lucas Luiz Romero")*(23/1083),IF(C383="JR",SUMIFS($D:$D,$A:$A,$A383,$B:$B,"&lt;&gt;Patrícia Karla de Sousa Araújo",$B:$B,"&lt;&gt;Lorena Dias de Araujo",$B:$B,"&lt;&gt;Lucas Luiz Romero")*(20/1083),IF(C383="Estágio",SUMIFS($D:$D,$A:$A,$A383,$B:$B,"&lt;&gt;Patrícia Karla de Sousa Araújo",$B:$B,"&lt;&gt;Lorena Dias de Araujo",$B:$B,"&lt;&gt;Lucas Luiz Romero")*(10/1083),0)))))),0)</f>
        <v/>
      </c>
      <c r="K383" s="3">
        <f>I383-J383</f>
        <v/>
      </c>
      <c r="L383" s="3">
        <f>IF(K383&lt;-5,"CRÍTICO",IF(K383&lt;0,"ATENÇÃO",IF(K383&lt;=5,"BOM","EXCELENTE")))</f>
        <v/>
      </c>
      <c r="M383" t="n">
        <v>19</v>
      </c>
      <c r="N383" t="n">
        <v>100</v>
      </c>
      <c r="O383" t="n">
        <v>15.58441558441558</v>
      </c>
    </row>
    <row r="384" hidden="1">
      <c r="A384" s="5" t="n">
        <v>46157</v>
      </c>
      <c r="B384" s="6" t="inlineStr">
        <is>
          <t>Lucas Luiz Romero</t>
        </is>
      </c>
      <c r="C384" s="3" t="inlineStr">
        <is>
          <t>Técnico III</t>
        </is>
      </c>
      <c r="D384" s="3" t="n">
        <v>0</v>
      </c>
      <c r="E384" s="3" t="n">
        <v>0</v>
      </c>
      <c r="F384" s="3" t="n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>
        <f>IF(K384&lt;-5,"CRÍTICO",IF(K384&lt;0,"ATENÇÃO",IF(K384&lt;=5,"BOM","EXCELENTE")))</f>
        <v/>
      </c>
      <c r="M384" s="9" t="n">
        <v>0</v>
      </c>
      <c r="N384" s="9" t="n">
        <v>100</v>
      </c>
      <c r="O384" s="9" t="n">
        <v>4.347826086956522</v>
      </c>
    </row>
    <row r="385" hidden="1">
      <c r="A385" s="5" t="n">
        <v>46157</v>
      </c>
      <c r="B385" s="6" t="inlineStr">
        <is>
          <t>Matheus Farias De Souza</t>
        </is>
      </c>
      <c r="C385" s="3" t="inlineStr">
        <is>
          <t>Técnico III</t>
        </is>
      </c>
      <c r="D385" s="3" t="n">
        <v>0</v>
      </c>
      <c r="E385" s="3" t="n">
        <v>0</v>
      </c>
      <c r="F385" t="n">
        <v>0</v>
      </c>
      <c r="G385" s="3" t="n">
        <v>0</v>
      </c>
      <c r="H385" s="3" t="n">
        <v>31</v>
      </c>
      <c r="I385" s="3">
        <f>E385+G385+H385</f>
        <v/>
      </c>
      <c r="J385" s="3">
        <f>ROUND(MIN(IF(C385="Técnico III",35,IF(C385="Técnico II",28,IF(C385="Técnico I",23,IF(C385="JR",20,IF(C385="Estágio",10,0))))),IF(C385="Técnico III",SUMIFS($D:$D,$A:$A,$A385,$B:$B,"&lt;&gt;Patrícia Karla de Sousa Araújo",$B:$B,"&lt;&gt;Lorena Dias de Araujo",$B:$B,"&lt;&gt;Lucas Luiz Romero")*(35/1083),IF(C385="Técnico II",SUMIFS($D:$D,$A:$A,$A385,$B:$B,"&lt;&gt;Patrícia Karla de Sousa Araújo",$B:$B,"&lt;&gt;Lorena Dias de Araujo",$B:$B,"&lt;&gt;Lucas Luiz Romero")*(28/1083),IF(C385="Técnico I",SUMIFS($D:$D,$A:$A,$A385,$B:$B,"&lt;&gt;Patrícia Karla de Sousa Araújo",$B:$B,"&lt;&gt;Lorena Dias de Araujo",$B:$B,"&lt;&gt;Lucas Luiz Romero")*(23/1083),IF(C385="JR",SUMIFS($D:$D,$A:$A,$A385,$B:$B,"&lt;&gt;Patrícia Karla de Sousa Araújo",$B:$B,"&lt;&gt;Lorena Dias de Araujo",$B:$B,"&lt;&gt;Lucas Luiz Romero")*(20/1083),IF(C385="Estágio",SUMIFS($D:$D,$A:$A,$A385,$B:$B,"&lt;&gt;Patrícia Karla de Sousa Araújo",$B:$B,"&lt;&gt;Lorena Dias de Araujo",$B:$B,"&lt;&gt;Lucas Luiz Romero")*(10/1083),0)))))),0)</f>
        <v/>
      </c>
      <c r="K385" s="3">
        <f>I385-J385</f>
        <v/>
      </c>
      <c r="L385" s="3">
        <f>IF(K385&lt;-5,"CRÍTICO",IF(K385&lt;0,"ATENÇÃO",IF(K385&lt;=5,"BOM","EXCELENTE")))</f>
        <v/>
      </c>
      <c r="M385" t="n">
        <v>19</v>
      </c>
      <c r="N385" t="n">
        <v>98.28</v>
      </c>
      <c r="O385" t="n">
        <v>9.037900874635568</v>
      </c>
    </row>
    <row r="386" hidden="1">
      <c r="A386" s="5" t="n">
        <v>46157</v>
      </c>
      <c r="B386" s="6" t="inlineStr">
        <is>
          <t>Maysa Victoria Dias Moura</t>
        </is>
      </c>
      <c r="C386" s="3" t="inlineStr">
        <is>
          <t>Técnico III</t>
        </is>
      </c>
      <c r="D386" s="3" t="n">
        <v>26</v>
      </c>
      <c r="E386" s="3" t="n">
        <v>24</v>
      </c>
      <c r="F386" t="n">
        <v>12.18</v>
      </c>
      <c r="G386" s="3" t="n">
        <v>2</v>
      </c>
      <c r="H386" s="3" t="n">
        <v>0</v>
      </c>
      <c r="I386" s="3">
        <f>E386+G386+H386</f>
        <v/>
      </c>
      <c r="J386" s="3">
        <f>ROUND(MIN(IF(C386="Técnico III",35,IF(C386="Técnico II",28,IF(C386="Técnico I",23,IF(C386="JR",20,IF(C386="Estágio",10,0))))),IF(C386="Técnico III",SUMIFS($D:$D,$A:$A,$A386,$B:$B,"&lt;&gt;Patrícia Karla de Sousa Araújo",$B:$B,"&lt;&gt;Lorena Dias de Araujo",$B:$B,"&lt;&gt;Lucas Luiz Romero")*(35/1083),IF(C386="Técnico II",SUMIFS($D:$D,$A:$A,$A386,$B:$B,"&lt;&gt;Patrícia Karla de Sousa Araújo",$B:$B,"&lt;&gt;Lorena Dias de Araujo",$B:$B,"&lt;&gt;Lucas Luiz Romero")*(28/1083),IF(C386="Técnico I",SUMIFS($D:$D,$A:$A,$A386,$B:$B,"&lt;&gt;Patrícia Karla de Sousa Araújo",$B:$B,"&lt;&gt;Lorena Dias de Araujo",$B:$B,"&lt;&gt;Lucas Luiz Romero")*(23/1083),IF(C386="JR",SUMIFS($D:$D,$A:$A,$A386,$B:$B,"&lt;&gt;Patrícia Karla de Sousa Araújo",$B:$B,"&lt;&gt;Lorena Dias de Araujo",$B:$B,"&lt;&gt;Lucas Luiz Romero")*(20/1083),IF(C386="Estágio",SUMIFS($D:$D,$A:$A,$A386,$B:$B,"&lt;&gt;Patrícia Karla de Sousa Araújo",$B:$B,"&lt;&gt;Lorena Dias de Araujo",$B:$B,"&lt;&gt;Lucas Luiz Romero")*(10/1083),0)))))),0)</f>
        <v/>
      </c>
      <c r="K386" s="3">
        <f>I386-J386</f>
        <v/>
      </c>
      <c r="L386" s="3">
        <f>IF(K386&lt;-5,"CRÍTICO",IF(K386&lt;0,"ATENÇÃO",IF(K386&lt;=5,"BOM","EXCELENTE")))</f>
        <v/>
      </c>
      <c r="M386" t="n">
        <v>22</v>
      </c>
      <c r="N386" t="n">
        <v>97.22</v>
      </c>
      <c r="O386" t="n">
        <v>19.09547738693467</v>
      </c>
    </row>
    <row r="387" hidden="1">
      <c r="A387" s="5" t="n">
        <v>46157</v>
      </c>
      <c r="B387" s="6" t="inlineStr">
        <is>
          <t>Rafael Gomes de Morais</t>
        </is>
      </c>
      <c r="C387" s="3" t="inlineStr">
        <is>
          <t>Técnico III</t>
        </is>
      </c>
      <c r="D387" s="3" t="n">
        <v>31</v>
      </c>
      <c r="E387" s="3" t="n">
        <v>29</v>
      </c>
      <c r="F387" t="n">
        <v>13.49</v>
      </c>
      <c r="G387" s="3" t="n">
        <v>2</v>
      </c>
      <c r="H387" s="3" t="n">
        <v>0</v>
      </c>
      <c r="I387" s="3">
        <f>E387+G387+H387</f>
        <v/>
      </c>
      <c r="J387" s="3">
        <f>ROUND(MIN(IF(C387="Técnico III",35,IF(C387="Técnico II",28,IF(C387="Técnico I",23,IF(C387="JR",20,IF(C387="Estágio",10,0))))),IF(C387="Técnico III",SUMIFS($D:$D,$A:$A,$A387,$B:$B,"&lt;&gt;Patrícia Karla de Sousa Araújo",$B:$B,"&lt;&gt;Lorena Dias de Araujo",$B:$B,"&lt;&gt;Lucas Luiz Romero")*(35/1083),IF(C387="Técnico II",SUMIFS($D:$D,$A:$A,$A387,$B:$B,"&lt;&gt;Patrícia Karla de Sousa Araújo",$B:$B,"&lt;&gt;Lorena Dias de Araujo",$B:$B,"&lt;&gt;Lucas Luiz Romero")*(28/1083),IF(C387="Técnico I",SUMIFS($D:$D,$A:$A,$A387,$B:$B,"&lt;&gt;Patrícia Karla de Sousa Araújo",$B:$B,"&lt;&gt;Lorena Dias de Araujo",$B:$B,"&lt;&gt;Lucas Luiz Romero")*(23/1083),IF(C387="JR",SUMIFS($D:$D,$A:$A,$A387,$B:$B,"&lt;&gt;Patrícia Karla de Sousa Araújo",$B:$B,"&lt;&gt;Lorena Dias de Araujo",$B:$B,"&lt;&gt;Lucas Luiz Romero")*(20/1083),IF(C387="Estágio",SUMIFS($D:$D,$A:$A,$A387,$B:$B,"&lt;&gt;Patrícia Karla de Sousa Araújo",$B:$B,"&lt;&gt;Lorena Dias de Araujo",$B:$B,"&lt;&gt;Lucas Luiz Romero")*(10/1083),0)))))),0)</f>
        <v/>
      </c>
      <c r="K387" s="3">
        <f>I387-J387</f>
        <v/>
      </c>
      <c r="L387" s="3">
        <f>IF(K387&lt;-5,"CRÍTICO",IF(K387&lt;0,"ATENÇÃO",IF(K387&lt;=5,"BOM","EXCELENTE")))</f>
        <v/>
      </c>
      <c r="M387" t="n">
        <v>29</v>
      </c>
      <c r="N387" t="n">
        <v>99.29000000000001</v>
      </c>
      <c r="O387" t="n">
        <v>22.49443207126949</v>
      </c>
    </row>
    <row r="388" hidden="1">
      <c r="A388" s="5" t="n">
        <v>46157</v>
      </c>
      <c r="B388" s="6" t="inlineStr">
        <is>
          <t>Sarah Steffanie de Lima Borges</t>
        </is>
      </c>
      <c r="C388" s="3" t="inlineStr">
        <is>
          <t>Técnico III</t>
        </is>
      </c>
      <c r="D388" s="3" t="n">
        <v>20</v>
      </c>
      <c r="E388" s="3" t="n">
        <v>20</v>
      </c>
      <c r="F388" t="n">
        <v>17.35</v>
      </c>
      <c r="G388" s="3" t="n">
        <v>1</v>
      </c>
      <c r="H388" s="3" t="n">
        <v>0</v>
      </c>
      <c r="I388" s="3">
        <f>E388+G388+H388</f>
        <v/>
      </c>
      <c r="J388" s="3">
        <f>ROUND(MIN(IF(C388="Técnico III",35,IF(C388="Técnico II",28,IF(C388="Técnico I",23,IF(C388="JR",20,IF(C388="Estágio",10,0))))),IF(C388="Técnico III",SUMIFS($D:$D,$A:$A,$A388,$B:$B,"&lt;&gt;Patrícia Karla de Sousa Araújo",$B:$B,"&lt;&gt;Lorena Dias de Araujo",$B:$B,"&lt;&gt;Lucas Luiz Romero")*(35/1083),IF(C388="Técnico II",SUMIFS($D:$D,$A:$A,$A388,$B:$B,"&lt;&gt;Patrícia Karla de Sousa Araújo",$B:$B,"&lt;&gt;Lorena Dias de Araujo",$B:$B,"&lt;&gt;Lucas Luiz Romero")*(28/1083),IF(C388="Técnico I",SUMIFS($D:$D,$A:$A,$A388,$B:$B,"&lt;&gt;Patrícia Karla de Sousa Araújo",$B:$B,"&lt;&gt;Lorena Dias de Araujo",$B:$B,"&lt;&gt;Lucas Luiz Romero")*(23/1083),IF(C388="JR",SUMIFS($D:$D,$A:$A,$A388,$B:$B,"&lt;&gt;Patrícia Karla de Sousa Araújo",$B:$B,"&lt;&gt;Lorena Dias de Araujo",$B:$B,"&lt;&gt;Lucas Luiz Romero")*(20/1083),IF(C388="Estágio",SUMIFS($D:$D,$A:$A,$A388,$B:$B,"&lt;&gt;Patrícia Karla de Sousa Araújo",$B:$B,"&lt;&gt;Lorena Dias de Araujo",$B:$B,"&lt;&gt;Lucas Luiz Romero")*(10/1083),0)))))),0)</f>
        <v/>
      </c>
      <c r="K388" s="3">
        <f>I388-J388</f>
        <v/>
      </c>
      <c r="L388" s="3">
        <f>IF(K388&lt;-5,"CRÍTICO",IF(K388&lt;0,"ATENÇÃO",IF(K388&lt;=5,"BOM","EXCELENTE")))</f>
        <v/>
      </c>
      <c r="M388" t="n">
        <v>17</v>
      </c>
      <c r="N388" t="n">
        <v>97.33</v>
      </c>
      <c r="O388" t="n">
        <v>15.80547112462006</v>
      </c>
    </row>
    <row r="389" hidden="1">
      <c r="A389" s="5" t="n">
        <v>46160</v>
      </c>
      <c r="B389" s="6" t="inlineStr">
        <is>
          <t>Amanda Moura Ferreira</t>
        </is>
      </c>
      <c r="C389" s="3" t="inlineStr">
        <is>
          <t>Técnico III</t>
        </is>
      </c>
      <c r="D389" s="3" t="n">
        <v>0</v>
      </c>
      <c r="E389" s="3" t="n">
        <v>0</v>
      </c>
      <c r="F389" s="3" t="n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>
        <f>IF(K389&lt;-5,"CRÍTICO",IF(K389&lt;0,"ATENÇÃO",IF(K389&lt;=5,"BOM","EXCELENTE")))</f>
        <v/>
      </c>
      <c r="M389" s="9" t="n">
        <v>0</v>
      </c>
      <c r="N389" s="9" t="n">
        <v>100</v>
      </c>
      <c r="O389" s="9" t="n">
        <v>0</v>
      </c>
    </row>
    <row r="390" hidden="1">
      <c r="A390" s="5" t="n">
        <v>46160</v>
      </c>
      <c r="B390" s="6" t="inlineStr">
        <is>
          <t>Ana Paula Da Luz Silva Aleixo</t>
        </is>
      </c>
      <c r="C390" s="9" t="inlineStr">
        <is>
          <t>Técnico III</t>
        </is>
      </c>
      <c r="D390" s="3" t="n">
        <v>0</v>
      </c>
      <c r="E390" s="3" t="n">
        <v>0</v>
      </c>
      <c r="F390" s="3" t="n">
        <v>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</v>
      </c>
      <c r="L390" s="3">
        <f>IF(K390&lt;-5,"CRÍTICO",IF(K390&lt;0,"ATENÇÃO",IF(K390&lt;=5,"BOM","EXCELENTE")))</f>
        <v/>
      </c>
      <c r="M390" s="9" t="n">
        <v>0</v>
      </c>
      <c r="N390" s="9" t="n">
        <v>96.34</v>
      </c>
      <c r="O390" s="9" t="n">
        <v>17.57188498402556</v>
      </c>
    </row>
    <row r="391" hidden="1">
      <c r="A391" s="5" t="n">
        <v>46160</v>
      </c>
      <c r="B391" s="6" t="inlineStr">
        <is>
          <t>Cristiane Ramos da Silva Rocha</t>
        </is>
      </c>
      <c r="C391" s="3" t="inlineStr">
        <is>
          <t>Técnico III</t>
        </is>
      </c>
      <c r="D391" s="3" t="n">
        <v>30</v>
      </c>
      <c r="E391" s="3" t="n">
        <v>27</v>
      </c>
      <c r="F391" t="n">
        <v>13.29</v>
      </c>
      <c r="G391" s="3" t="n">
        <v>0</v>
      </c>
      <c r="H391" s="3" t="n">
        <v>0</v>
      </c>
      <c r="I391" s="3">
        <f>E391+G391+H391</f>
        <v/>
      </c>
      <c r="J391" s="3">
        <f>ROUND(MIN(IF(C391="Técnico III",35,IF(C391="Técnico II",28,IF(C391="Técnico I",23,IF(C391="JR",20,IF(C391="Estágio",10,0))))),IF(C391="Técnico III",SUMIFS($D:$D,$A:$A,$A391,$B:$B,"&lt;&gt;Patrícia Karla de Sousa Araújo",$B:$B,"&lt;&gt;Lorena Dias de Araujo",$B:$B,"&lt;&gt;Lucas Luiz Romero")*(35/1083),IF(C391="Técnico II",SUMIFS($D:$D,$A:$A,$A391,$B:$B,"&lt;&gt;Patrícia Karla de Sousa Araújo",$B:$B,"&lt;&gt;Lorena Dias de Araujo",$B:$B,"&lt;&gt;Lucas Luiz Romero")*(28/1083),IF(C391="Técnico I",SUMIFS($D:$D,$A:$A,$A391,$B:$B,"&lt;&gt;Patrícia Karla de Sousa Araújo",$B:$B,"&lt;&gt;Lorena Dias de Araujo",$B:$B,"&lt;&gt;Lucas Luiz Romero")*(23/1083),IF(C391="JR",SUMIFS($D:$D,$A:$A,$A391,$B:$B,"&lt;&gt;Patrícia Karla de Sousa Araújo",$B:$B,"&lt;&gt;Lorena Dias de Araujo",$B:$B,"&lt;&gt;Lucas Luiz Romero")*(20/1083),IF(C391="Estágio",SUMIFS($D:$D,$A:$A,$A391,$B:$B,"&lt;&gt;Patrícia Karla de Sousa Araújo",$B:$B,"&lt;&gt;Lorena Dias de Araujo",$B:$B,"&lt;&gt;Lucas Luiz Romero")*(10/1083),0)))))),0)</f>
        <v/>
      </c>
      <c r="K391" s="3">
        <f>I391-J391</f>
        <v/>
      </c>
      <c r="L391" s="3">
        <f>IF(K391&lt;-5,"CRÍTICO",IF(K391&lt;0,"ATENÇÃO",IF(K391&lt;=5,"BOM","EXCELENTE")))</f>
        <v/>
      </c>
      <c r="M391" t="n">
        <v>25</v>
      </c>
      <c r="N391" t="n">
        <v>91.84999999999999</v>
      </c>
      <c r="O391" t="n">
        <v>20.87155963302752</v>
      </c>
    </row>
    <row r="392" hidden="1">
      <c r="A392" s="5" t="n">
        <v>46160</v>
      </c>
      <c r="B392" s="6" t="inlineStr">
        <is>
          <t>Davylla Rodrigues Freitas Silva</t>
        </is>
      </c>
      <c r="C392" s="9" t="inlineStr">
        <is>
          <t>Técnico III</t>
        </is>
      </c>
      <c r="D392" s="3" t="n">
        <v>0</v>
      </c>
      <c r="E392" s="3" t="n">
        <v>0</v>
      </c>
      <c r="F392" s="3" t="n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>
        <f>IF(K392&lt;-5,"CRÍTICO",IF(K392&lt;0,"ATENÇÃO",IF(K392&lt;=5,"BOM","EXCELENTE")))</f>
        <v/>
      </c>
      <c r="M392" s="9" t="n">
        <v>0</v>
      </c>
      <c r="N392" s="9" t="n">
        <v>99.06</v>
      </c>
      <c r="O392" s="9" t="n">
        <v>22.95719844357977</v>
      </c>
    </row>
    <row r="393" hidden="1">
      <c r="A393" s="5" t="n">
        <v>46160</v>
      </c>
      <c r="B393" s="6" t="inlineStr">
        <is>
          <t>Janaina Lima dos Reis Urany</t>
        </is>
      </c>
      <c r="C393" s="3" t="inlineStr">
        <is>
          <t>Técnico III</t>
        </is>
      </c>
      <c r="D393" s="3" t="n">
        <v>37</v>
      </c>
      <c r="E393" s="3" t="n">
        <v>32</v>
      </c>
      <c r="F393" t="n">
        <v>15.11</v>
      </c>
      <c r="G393" s="3" t="n">
        <v>5</v>
      </c>
      <c r="H393" s="3" t="n">
        <v>0</v>
      </c>
      <c r="I393" s="3">
        <f>E393+G393+H393</f>
        <v/>
      </c>
      <c r="J393" s="3">
        <f>ROUND(MIN(IF(C393="Técnico III",35,IF(C393="Técnico II",28,IF(C393="Técnico I",23,IF(C393="JR",20,IF(C393="Estágio",10,0))))),IF(C393="Técnico III",SUMIFS($D:$D,$A:$A,$A393,$B:$B,"&lt;&gt;Patrícia Karla de Sousa Araújo",$B:$B,"&lt;&gt;Lorena Dias de Araujo",$B:$B,"&lt;&gt;Lucas Luiz Romero")*(35/1083),IF(C393="Técnico II",SUMIFS($D:$D,$A:$A,$A393,$B:$B,"&lt;&gt;Patrícia Karla de Sousa Araújo",$B:$B,"&lt;&gt;Lorena Dias de Araujo",$B:$B,"&lt;&gt;Lucas Luiz Romero")*(28/1083),IF(C393="Técnico I",SUMIFS($D:$D,$A:$A,$A393,$B:$B,"&lt;&gt;Patrícia Karla de Sousa Araújo",$B:$B,"&lt;&gt;Lorena Dias de Araujo",$B:$B,"&lt;&gt;Lucas Luiz Romero")*(23/1083),IF(C393="JR",SUMIFS($D:$D,$A:$A,$A393,$B:$B,"&lt;&gt;Patrícia Karla de Sousa Araújo",$B:$B,"&lt;&gt;Lorena Dias de Araujo",$B:$B,"&lt;&gt;Lucas Luiz Romero")*(20/1083),IF(C393="Estágio",SUMIFS($D:$D,$A:$A,$A393,$B:$B,"&lt;&gt;Patrícia Karla de Sousa Araújo",$B:$B,"&lt;&gt;Lorena Dias de Araujo",$B:$B,"&lt;&gt;Lucas Luiz Romero")*(10/1083),0)))))),0)</f>
        <v/>
      </c>
      <c r="K393" s="3">
        <f>I393-J393</f>
        <v/>
      </c>
      <c r="L393" s="3">
        <f>IF(K393&lt;-5,"CRÍTICO",IF(K393&lt;0,"ATENÇÃO",IF(K393&lt;=5,"BOM","EXCELENTE")))</f>
        <v/>
      </c>
      <c r="M393" t="n">
        <v>34</v>
      </c>
      <c r="N393" t="n">
        <v>98.64</v>
      </c>
      <c r="O393" t="n">
        <v>16.6383701188455</v>
      </c>
    </row>
    <row r="394" hidden="1">
      <c r="A394" s="5" t="n">
        <v>46160</v>
      </c>
      <c r="B394" s="6" t="inlineStr">
        <is>
          <t>Jaqueline Evangelista da Silva Martins</t>
        </is>
      </c>
      <c r="C394" s="3" t="inlineStr">
        <is>
          <t>Técnico III</t>
        </is>
      </c>
      <c r="D394" s="3" t="n">
        <v>26</v>
      </c>
      <c r="E394" s="3" t="n">
        <v>25</v>
      </c>
      <c r="F394" t="n">
        <v>13.21</v>
      </c>
      <c r="G394" s="3" t="n">
        <v>6</v>
      </c>
      <c r="H394" s="3" t="n">
        <v>0</v>
      </c>
      <c r="I394" s="3">
        <f>E394+G394+H394</f>
        <v/>
      </c>
      <c r="J394" s="3">
        <f>ROUND(MIN(IF(C394="Técnico III",35,IF(C394="Técnico II",28,IF(C394="Técnico I",23,IF(C394="JR",20,IF(C394="Estágio",10,0))))),IF(C394="Técnico III",SUMIFS($D:$D,$A:$A,$A394,$B:$B,"&lt;&gt;Patrícia Karla de Sousa Araújo",$B:$B,"&lt;&gt;Lorena Dias de Araujo",$B:$B,"&lt;&gt;Lucas Luiz Romero")*(35/1083),IF(C394="Técnico II",SUMIFS($D:$D,$A:$A,$A394,$B:$B,"&lt;&gt;Patrícia Karla de Sousa Araújo",$B:$B,"&lt;&gt;Lorena Dias de Araujo",$B:$B,"&lt;&gt;Lucas Luiz Romero")*(28/1083),IF(C394="Técnico I",SUMIFS($D:$D,$A:$A,$A394,$B:$B,"&lt;&gt;Patrícia Karla de Sousa Araújo",$B:$B,"&lt;&gt;Lorena Dias de Araujo",$B:$B,"&lt;&gt;Lucas Luiz Romero")*(23/1083),IF(C394="JR",SUMIFS($D:$D,$A:$A,$A394,$B:$B,"&lt;&gt;Patrícia Karla de Sousa Araújo",$B:$B,"&lt;&gt;Lorena Dias de Araujo",$B:$B,"&lt;&gt;Lucas Luiz Romero")*(20/1083),IF(C394="Estágio",SUMIFS($D:$D,$A:$A,$A394,$B:$B,"&lt;&gt;Patrícia Karla de Sousa Araújo",$B:$B,"&lt;&gt;Lorena Dias de Araujo",$B:$B,"&lt;&gt;Lucas Luiz Romero")*(10/1083),0)))))),0)</f>
        <v/>
      </c>
      <c r="K394" s="3">
        <f>I394-J394</f>
        <v/>
      </c>
      <c r="L394" s="3">
        <f>IF(K394&lt;-5,"CRÍTICO",IF(K394&lt;0,"ATENÇÃO",IF(K394&lt;=5,"BOM","EXCELENTE")))</f>
        <v/>
      </c>
      <c r="M394" t="n">
        <v>23</v>
      </c>
      <c r="N394" t="n">
        <v>95.40000000000001</v>
      </c>
      <c r="O394" t="n">
        <v>20.53333333333333</v>
      </c>
    </row>
    <row r="395" hidden="1">
      <c r="A395" s="5" t="n">
        <v>46160</v>
      </c>
      <c r="B395" s="6" t="inlineStr">
        <is>
          <t>Jéssica Fé Moura</t>
        </is>
      </c>
      <c r="C395" s="3" t="inlineStr">
        <is>
          <t>Técnico III</t>
        </is>
      </c>
      <c r="D395" s="3" t="n">
        <v>0</v>
      </c>
      <c r="E395" s="3" t="n">
        <v>0</v>
      </c>
      <c r="F395" s="3" t="n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>
        <f>IF(K395&lt;-5,"CRÍTICO",IF(K395&lt;0,"ATENÇÃO",IF(K395&lt;=5,"BOM","EXCELENTE")))</f>
        <v/>
      </c>
      <c r="M395" s="9" t="n">
        <v>0</v>
      </c>
      <c r="N395" s="9" t="n">
        <v>0</v>
      </c>
      <c r="O395" s="9" t="n">
        <v>0</v>
      </c>
    </row>
    <row r="396" hidden="1">
      <c r="A396" s="5" t="n">
        <v>46160</v>
      </c>
      <c r="B396" s="6" t="inlineStr">
        <is>
          <t>Kerollen Cristielly de Jesus Siqueira</t>
        </is>
      </c>
      <c r="C396" s="9" t="inlineStr">
        <is>
          <t>Técnico III</t>
        </is>
      </c>
      <c r="D396" s="3" t="n">
        <v>25</v>
      </c>
      <c r="E396" s="3" t="n">
        <v>24</v>
      </c>
      <c r="F396" t="n">
        <v>23.54</v>
      </c>
      <c r="G396" s="3" t="n">
        <v>0</v>
      </c>
      <c r="H396" s="3" t="n">
        <v>0</v>
      </c>
      <c r="I396" s="3">
        <f>E396+G396+H396</f>
        <v/>
      </c>
      <c r="J396" s="3">
        <f>ROUND(MIN(IF(C396="Técnico III",35,IF(C396="Técnico II",28,IF(C396="Técnico I",23,IF(C396="JR",20,IF(C396="Estágio",10,0))))),IF(C396="Técnico III",SUMIFS($D:$D,$A:$A,$A396,$B:$B,"&lt;&gt;Patrícia Karla de Sousa Araújo",$B:$B,"&lt;&gt;Lorena Dias de Araujo",$B:$B,"&lt;&gt;Lucas Luiz Romero")*(35/1083),IF(C396="Técnico II",SUMIFS($D:$D,$A:$A,$A396,$B:$B,"&lt;&gt;Patrícia Karla de Sousa Araújo",$B:$B,"&lt;&gt;Lorena Dias de Araujo",$B:$B,"&lt;&gt;Lucas Luiz Romero")*(28/1083),IF(C396="Técnico I",SUMIFS($D:$D,$A:$A,$A396,$B:$B,"&lt;&gt;Patrícia Karla de Sousa Araújo",$B:$B,"&lt;&gt;Lorena Dias de Araujo",$B:$B,"&lt;&gt;Lucas Luiz Romero")*(23/1083),IF(C396="JR",SUMIFS($D:$D,$A:$A,$A396,$B:$B,"&lt;&gt;Patrícia Karla de Sousa Araújo",$B:$B,"&lt;&gt;Lorena Dias de Araujo",$B:$B,"&lt;&gt;Lucas Luiz Romero")*(20/1083),IF(C396="Estágio",SUMIFS($D:$D,$A:$A,$A396,$B:$B,"&lt;&gt;Patrícia Karla de Sousa Araújo",$B:$B,"&lt;&gt;Lorena Dias de Araujo",$B:$B,"&lt;&gt;Lucas Luiz Romero")*(10/1083),0)))))),0)</f>
        <v/>
      </c>
      <c r="K396" s="3">
        <f>I396-J396</f>
        <v/>
      </c>
      <c r="L396" s="3">
        <f>IF(K396&lt;-5,"CRÍTICO",IF(K396&lt;0,"ATENÇÃO",IF(K396&lt;=5,"BOM","EXCELENTE")))</f>
        <v/>
      </c>
      <c r="M396" t="n">
        <v>21</v>
      </c>
      <c r="N396" t="n">
        <v>95.52</v>
      </c>
      <c r="O396" t="n">
        <v>10.56105610561056</v>
      </c>
    </row>
    <row r="397" hidden="1">
      <c r="A397" s="5" t="n">
        <v>46160</v>
      </c>
      <c r="B397" s="6" t="inlineStr">
        <is>
          <t>Leandro Oliveira de Sousa</t>
        </is>
      </c>
      <c r="C397" s="9" t="inlineStr">
        <is>
          <t>Técnico III</t>
        </is>
      </c>
      <c r="D397" s="3" t="n">
        <v>28</v>
      </c>
      <c r="E397" s="3" t="n">
        <v>25</v>
      </c>
      <c r="F397" t="n">
        <v>15.47</v>
      </c>
      <c r="G397" s="3" t="n">
        <v>0</v>
      </c>
      <c r="H397" s="3" t="n">
        <v>0</v>
      </c>
      <c r="I397" s="3">
        <f>E397+G397+H397</f>
        <v/>
      </c>
      <c r="J397" s="3">
        <f>ROUND(MIN(IF(C397="Técnico III",35,IF(C397="Técnico II",28,IF(C397="Técnico I",23,IF(C397="JR",20,IF(C397="Estágio",10,0))))),IF(C397="Técnico III",SUMIFS($D:$D,$A:$A,$A397,$B:$B,"&lt;&gt;Patrícia Karla de Sousa Araújo",$B:$B,"&lt;&gt;Lorena Dias de Araujo",$B:$B,"&lt;&gt;Lucas Luiz Romero")*(35/1083),IF(C397="Técnico II",SUMIFS($D:$D,$A:$A,$A397,$B:$B,"&lt;&gt;Patrícia Karla de Sousa Araújo",$B:$B,"&lt;&gt;Lorena Dias de Araujo",$B:$B,"&lt;&gt;Lucas Luiz Romero")*(28/1083),IF(C397="Técnico I",SUMIFS($D:$D,$A:$A,$A397,$B:$B,"&lt;&gt;Patrícia Karla de Sousa Araújo",$B:$B,"&lt;&gt;Lorena Dias de Araujo",$B:$B,"&lt;&gt;Lucas Luiz Romero")*(23/1083),IF(C397="JR",SUMIFS($D:$D,$A:$A,$A397,$B:$B,"&lt;&gt;Patrícia Karla de Sousa Araújo",$B:$B,"&lt;&gt;Lorena Dias de Araujo",$B:$B,"&lt;&gt;Lucas Luiz Romero")*(20/1083),IF(C397="Estágio",SUMIFS($D:$D,$A:$A,$A397,$B:$B,"&lt;&gt;Patrícia Karla de Sousa Araújo",$B:$B,"&lt;&gt;Lorena Dias de Araujo",$B:$B,"&lt;&gt;Lucas Luiz Romero")*(10/1083),0)))))),0)</f>
        <v/>
      </c>
      <c r="K397" s="3">
        <f>I397-J397</f>
        <v/>
      </c>
      <c r="L397" s="3">
        <f>IF(K397&lt;-5,"CRÍTICO",IF(K397&lt;0,"ATENÇÃO",IF(K397&lt;=5,"BOM","EXCELENTE")))</f>
        <v/>
      </c>
      <c r="M397" t="n">
        <v>25</v>
      </c>
      <c r="N397" t="n">
        <v>100</v>
      </c>
      <c r="O397" t="n">
        <v>15.58441558441558</v>
      </c>
    </row>
    <row r="398" hidden="1">
      <c r="A398" s="5" t="n">
        <v>46160</v>
      </c>
      <c r="B398" s="6" t="inlineStr">
        <is>
          <t>Lucas Luiz Romero</t>
        </is>
      </c>
      <c r="C398" s="3" t="inlineStr">
        <is>
          <t>Técnico III</t>
        </is>
      </c>
      <c r="D398" s="3" t="n">
        <v>0</v>
      </c>
      <c r="E398" s="3" t="n">
        <v>0</v>
      </c>
      <c r="F398" s="3" t="n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>
        <f>IF(K398&lt;-5,"CRÍTICO",IF(K398&lt;0,"ATENÇÃO",IF(K398&lt;=5,"BOM","EXCELENTE")))</f>
        <v/>
      </c>
      <c r="M398" s="9" t="n">
        <v>0</v>
      </c>
      <c r="N398" s="9" t="n">
        <v>100</v>
      </c>
      <c r="O398" s="9" t="n">
        <v>4.347826086956522</v>
      </c>
    </row>
    <row r="399" hidden="1">
      <c r="A399" s="5" t="n">
        <v>46160</v>
      </c>
      <c r="B399" s="6" t="inlineStr">
        <is>
          <t>Matheus Farias De Souza</t>
        </is>
      </c>
      <c r="C399" s="3" t="inlineStr">
        <is>
          <t>Técnico III</t>
        </is>
      </c>
      <c r="D399" s="3" t="n">
        <v>0</v>
      </c>
      <c r="E399" s="3" t="n">
        <v>0</v>
      </c>
      <c r="F399" t="n">
        <v>0</v>
      </c>
      <c r="G399" s="3" t="n">
        <v>0</v>
      </c>
      <c r="H399" s="3" t="n">
        <v>32</v>
      </c>
      <c r="I399" s="3">
        <f>E399+G399+H399</f>
        <v/>
      </c>
      <c r="J399" s="3">
        <f>ROUND(MIN(IF(C399="Técnico III",35,IF(C399="Técnico II",28,IF(C399="Técnico I",23,IF(C399="JR",20,IF(C399="Estágio",10,0))))),IF(C399="Técnico III",SUMIFS($D:$D,$A:$A,$A399,$B:$B,"&lt;&gt;Patrícia Karla de Sousa Araújo",$B:$B,"&lt;&gt;Lorena Dias de Araujo",$B:$B,"&lt;&gt;Lucas Luiz Romero")*(35/1083),IF(C399="Técnico II",SUMIFS($D:$D,$A:$A,$A399,$B:$B,"&lt;&gt;Patrícia Karla de Sousa Araújo",$B:$B,"&lt;&gt;Lorena Dias de Araujo",$B:$B,"&lt;&gt;Lucas Luiz Romero")*(28/1083),IF(C399="Técnico I",SUMIFS($D:$D,$A:$A,$A399,$B:$B,"&lt;&gt;Patrícia Karla de Sousa Araújo",$B:$B,"&lt;&gt;Lorena Dias de Araujo",$B:$B,"&lt;&gt;Lucas Luiz Romero")*(23/1083),IF(C399="JR",SUMIFS($D:$D,$A:$A,$A399,$B:$B,"&lt;&gt;Patrícia Karla de Sousa Araújo",$B:$B,"&lt;&gt;Lorena Dias de Araujo",$B:$B,"&lt;&gt;Lucas Luiz Romero")*(20/1083),IF(C399="Estágio",SUMIFS($D:$D,$A:$A,$A399,$B:$B,"&lt;&gt;Patrícia Karla de Sousa Araújo",$B:$B,"&lt;&gt;Lorena Dias de Araujo",$B:$B,"&lt;&gt;Lucas Luiz Romero")*(10/1083),0)))))),0)</f>
        <v/>
      </c>
      <c r="K399" s="3">
        <f>I399-J399</f>
        <v/>
      </c>
      <c r="L399" s="3">
        <f>IF(K399&lt;-5,"CRÍTICO",IF(K399&lt;0,"ATENÇÃO",IF(K399&lt;=5,"BOM","EXCELENTE")))</f>
        <v/>
      </c>
      <c r="M399" t="n">
        <v>16</v>
      </c>
      <c r="N399" t="n">
        <v>98.28</v>
      </c>
      <c r="O399" t="n">
        <v>9.037900874635568</v>
      </c>
    </row>
    <row r="400" hidden="1">
      <c r="A400" s="5" t="n">
        <v>46160</v>
      </c>
      <c r="B400" s="6" t="inlineStr">
        <is>
          <t>Maysa Victoria Dias Moura</t>
        </is>
      </c>
      <c r="C400" s="3" t="inlineStr">
        <is>
          <t>Técnico III</t>
        </is>
      </c>
      <c r="D400" s="3" t="n">
        <v>30</v>
      </c>
      <c r="E400" s="3" t="n">
        <v>27</v>
      </c>
      <c r="F400" t="n">
        <v>10.14</v>
      </c>
      <c r="G400" s="3" t="n">
        <v>2</v>
      </c>
      <c r="H400" s="3" t="n">
        <v>0</v>
      </c>
      <c r="I400" s="3">
        <f>E400+G400+H400</f>
        <v/>
      </c>
      <c r="J400" s="3">
        <f>ROUND(MIN(IF(C400="Técnico III",35,IF(C400="Técnico II",28,IF(C400="Técnico I",23,IF(C400="JR",20,IF(C400="Estágio",10,0))))),IF(C400="Técnico III",SUMIFS($D:$D,$A:$A,$A400,$B:$B,"&lt;&gt;Patrícia Karla de Sousa Araújo",$B:$B,"&lt;&gt;Lorena Dias de Araujo",$B:$B,"&lt;&gt;Lucas Luiz Romero")*(35/1083),IF(C400="Técnico II",SUMIFS($D:$D,$A:$A,$A400,$B:$B,"&lt;&gt;Patrícia Karla de Sousa Araújo",$B:$B,"&lt;&gt;Lorena Dias de Araujo",$B:$B,"&lt;&gt;Lucas Luiz Romero")*(28/1083),IF(C400="Técnico I",SUMIFS($D:$D,$A:$A,$A400,$B:$B,"&lt;&gt;Patrícia Karla de Sousa Araújo",$B:$B,"&lt;&gt;Lorena Dias de Araujo",$B:$B,"&lt;&gt;Lucas Luiz Romero")*(23/1083),IF(C400="JR",SUMIFS($D:$D,$A:$A,$A400,$B:$B,"&lt;&gt;Patrícia Karla de Sousa Araújo",$B:$B,"&lt;&gt;Lorena Dias de Araujo",$B:$B,"&lt;&gt;Lucas Luiz Romero")*(20/1083),IF(C400="Estágio",SUMIFS($D:$D,$A:$A,$A400,$B:$B,"&lt;&gt;Patrícia Karla de Sousa Araújo",$B:$B,"&lt;&gt;Lorena Dias de Araujo",$B:$B,"&lt;&gt;Lucas Luiz Romero")*(10/1083),0)))))),0)</f>
        <v/>
      </c>
      <c r="K400" s="3">
        <f>I400-J400</f>
        <v/>
      </c>
      <c r="L400" s="3">
        <f>IF(K400&lt;-5,"CRÍTICO",IF(K400&lt;0,"ATENÇÃO",IF(K400&lt;=5,"BOM","EXCELENTE")))</f>
        <v/>
      </c>
      <c r="M400" t="n">
        <v>27</v>
      </c>
      <c r="N400" t="n">
        <v>97.22</v>
      </c>
      <c r="O400" t="n">
        <v>19.09547738693467</v>
      </c>
    </row>
    <row r="401" hidden="1">
      <c r="A401" s="5" t="n">
        <v>46160</v>
      </c>
      <c r="B401" s="6" t="inlineStr">
        <is>
          <t>Rafael Gomes de Morais</t>
        </is>
      </c>
      <c r="C401" s="3" t="inlineStr">
        <is>
          <t>Técnico III</t>
        </is>
      </c>
      <c r="D401" s="3" t="n">
        <v>34</v>
      </c>
      <c r="E401" s="3" t="n">
        <v>28</v>
      </c>
      <c r="F401" t="n">
        <v>13.56</v>
      </c>
      <c r="G401" s="3" t="n">
        <v>3</v>
      </c>
      <c r="H401" s="3" t="n">
        <v>0</v>
      </c>
      <c r="I401" s="3">
        <f>E401+G401+H401</f>
        <v/>
      </c>
      <c r="J401" s="3">
        <f>ROUND(MIN(IF(C401="Técnico III",35,IF(C401="Técnico II",28,IF(C401="Técnico I",23,IF(C401="JR",20,IF(C401="Estágio",10,0))))),IF(C401="Técnico III",SUMIFS($D:$D,$A:$A,$A401,$B:$B,"&lt;&gt;Patrícia Karla de Sousa Araújo",$B:$B,"&lt;&gt;Lorena Dias de Araujo",$B:$B,"&lt;&gt;Lucas Luiz Romero")*(35/1083),IF(C401="Técnico II",SUMIFS($D:$D,$A:$A,$A401,$B:$B,"&lt;&gt;Patrícia Karla de Sousa Araújo",$B:$B,"&lt;&gt;Lorena Dias de Araujo",$B:$B,"&lt;&gt;Lucas Luiz Romero")*(28/1083),IF(C401="Técnico I",SUMIFS($D:$D,$A:$A,$A401,$B:$B,"&lt;&gt;Patrícia Karla de Sousa Araújo",$B:$B,"&lt;&gt;Lorena Dias de Araujo",$B:$B,"&lt;&gt;Lucas Luiz Romero")*(23/1083),IF(C401="JR",SUMIFS($D:$D,$A:$A,$A401,$B:$B,"&lt;&gt;Patrícia Karla de Sousa Araújo",$B:$B,"&lt;&gt;Lorena Dias de Araujo",$B:$B,"&lt;&gt;Lucas Luiz Romero")*(20/1083),IF(C401="Estágio",SUMIFS($D:$D,$A:$A,$A401,$B:$B,"&lt;&gt;Patrícia Karla de Sousa Araújo",$B:$B,"&lt;&gt;Lorena Dias de Araujo",$B:$B,"&lt;&gt;Lucas Luiz Romero")*(10/1083),0)))))),0)</f>
        <v/>
      </c>
      <c r="K401" s="3">
        <f>I401-J401</f>
        <v/>
      </c>
      <c r="L401" s="3">
        <f>IF(K401&lt;-5,"CRÍTICO",IF(K401&lt;0,"ATENÇÃO",IF(K401&lt;=5,"BOM","EXCELENTE")))</f>
        <v/>
      </c>
      <c r="M401" t="n">
        <v>26</v>
      </c>
      <c r="N401" t="n">
        <v>99.29000000000001</v>
      </c>
      <c r="O401" t="n">
        <v>22.49443207126949</v>
      </c>
    </row>
    <row r="402" hidden="1">
      <c r="A402" s="5" t="n">
        <v>46160</v>
      </c>
      <c r="B402" s="6" t="inlineStr">
        <is>
          <t>Sarah Steffanie de Lima Borges</t>
        </is>
      </c>
      <c r="C402" s="3" t="inlineStr">
        <is>
          <t>Técnico III</t>
        </is>
      </c>
      <c r="D402" s="3" t="n">
        <v>25</v>
      </c>
      <c r="E402" s="3" t="n">
        <v>22</v>
      </c>
      <c r="F402" t="n">
        <v>17.29</v>
      </c>
      <c r="G402" s="3" t="n">
        <v>4</v>
      </c>
      <c r="H402" s="3" t="n">
        <v>0</v>
      </c>
      <c r="I402" s="3">
        <f>E402+G402+H402</f>
        <v/>
      </c>
      <c r="J402" s="3">
        <f>ROUND(MIN(IF(C402="Técnico III",35,IF(C402="Técnico II",28,IF(C402="Técnico I",23,IF(C402="JR",20,IF(C402="Estágio",10,0))))),IF(C402="Técnico III",SUMIFS($D:$D,$A:$A,$A402,$B:$B,"&lt;&gt;Patrícia Karla de Sousa Araújo",$B:$B,"&lt;&gt;Lorena Dias de Araujo",$B:$B,"&lt;&gt;Lucas Luiz Romero")*(35/1083),IF(C402="Técnico II",SUMIFS($D:$D,$A:$A,$A402,$B:$B,"&lt;&gt;Patrícia Karla de Sousa Araújo",$B:$B,"&lt;&gt;Lorena Dias de Araujo",$B:$B,"&lt;&gt;Lucas Luiz Romero")*(28/1083),IF(C402="Técnico I",SUMIFS($D:$D,$A:$A,$A402,$B:$B,"&lt;&gt;Patrícia Karla de Sousa Araújo",$B:$B,"&lt;&gt;Lorena Dias de Araujo",$B:$B,"&lt;&gt;Lucas Luiz Romero")*(23/1083),IF(C402="JR",SUMIFS($D:$D,$A:$A,$A402,$B:$B,"&lt;&gt;Patrícia Karla de Sousa Araújo",$B:$B,"&lt;&gt;Lorena Dias de Araujo",$B:$B,"&lt;&gt;Lucas Luiz Romero")*(20/1083),IF(C402="Estágio",SUMIFS($D:$D,$A:$A,$A402,$B:$B,"&lt;&gt;Patrícia Karla de Sousa Araújo",$B:$B,"&lt;&gt;Lorena Dias de Araujo",$B:$B,"&lt;&gt;Lucas Luiz Romero")*(10/1083),0)))))),0)</f>
        <v/>
      </c>
      <c r="K402" s="3">
        <f>I402-J402</f>
        <v/>
      </c>
      <c r="L402" s="3">
        <f>IF(K402&lt;-5,"CRÍTICO",IF(K402&lt;0,"ATENÇÃO",IF(K402&lt;=5,"BOM","EXCELENTE")))</f>
        <v/>
      </c>
      <c r="M402" t="n">
        <v>21</v>
      </c>
      <c r="N402" t="n">
        <v>97.33</v>
      </c>
      <c r="O402" t="n">
        <v>15.80547112462006</v>
      </c>
    </row>
    <row r="403" hidden="1">
      <c r="A403" s="7" t="n">
        <v>46161</v>
      </c>
      <c r="B403" s="8" t="inlineStr">
        <is>
          <t>Amanda Moura Ferreira</t>
        </is>
      </c>
      <c r="C403" s="9" t="inlineStr">
        <is>
          <t>Técnico III</t>
        </is>
      </c>
      <c r="D403" s="3" t="n">
        <v>0</v>
      </c>
      <c r="E403" s="3" t="n">
        <v>0</v>
      </c>
      <c r="F403" s="3" t="n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>
        <f>IF(K403&lt;-5,"CRÍTICO",IF(K403&lt;0,"ATENÇÃO",IF(K403&lt;=5,"BOM","EXCELENTE")))</f>
        <v/>
      </c>
      <c r="M403" s="9" t="n">
        <v>0</v>
      </c>
      <c r="N403" s="9" t="n">
        <v>100</v>
      </c>
      <c r="O403" s="9" t="n">
        <v>0</v>
      </c>
    </row>
    <row r="404" hidden="1">
      <c r="A404" s="7" t="n">
        <v>46161</v>
      </c>
      <c r="B404" s="8" t="inlineStr">
        <is>
          <t>Ana Paula Da Luz Silva Aleixo</t>
        </is>
      </c>
      <c r="C404" s="9" t="inlineStr">
        <is>
          <t>Técnico III</t>
        </is>
      </c>
      <c r="D404" s="3" t="n">
        <v>22</v>
      </c>
      <c r="E404" s="3" t="n">
        <v>19</v>
      </c>
      <c r="F404" t="n">
        <v>20.44</v>
      </c>
      <c r="G404" s="3" t="n">
        <v>1</v>
      </c>
      <c r="H404" s="3" t="n">
        <v>0</v>
      </c>
      <c r="I404" s="3">
        <f>E404+G404+H404</f>
        <v/>
      </c>
      <c r="J404" s="3">
        <f>ROUND(MIN(IF(C404="Técnico III",35,IF(C404="Técnico II",28,IF(C404="Técnico I",23,IF(C404="JR",20,IF(C404="Estágio",10,0))))),IF(C404="Técnico III",SUMIFS($D:$D,$A:$A,$A404,$B:$B,"&lt;&gt;Patrícia Karla de Sousa Araújo",$B:$B,"&lt;&gt;Lorena Dias de Araujo",$B:$B,"&lt;&gt;Lucas Luiz Romero")*(35/1083),IF(C404="Técnico II",SUMIFS($D:$D,$A:$A,$A404,$B:$B,"&lt;&gt;Patrícia Karla de Sousa Araújo",$B:$B,"&lt;&gt;Lorena Dias de Araujo",$B:$B,"&lt;&gt;Lucas Luiz Romero")*(28/1083),IF(C404="Técnico I",SUMIFS($D:$D,$A:$A,$A404,$B:$B,"&lt;&gt;Patrícia Karla de Sousa Araújo",$B:$B,"&lt;&gt;Lorena Dias de Araujo",$B:$B,"&lt;&gt;Lucas Luiz Romero")*(23/1083),IF(C404="JR",SUMIFS($D:$D,$A:$A,$A404,$B:$B,"&lt;&gt;Patrícia Karla de Sousa Araújo",$B:$B,"&lt;&gt;Lorena Dias de Araujo",$B:$B,"&lt;&gt;Lucas Luiz Romero")*(20/1083),IF(C404="Estágio",SUMIFS($D:$D,$A:$A,$A404,$B:$B,"&lt;&gt;Patrícia Karla de Sousa Araújo",$B:$B,"&lt;&gt;Lorena Dias de Araujo",$B:$B,"&lt;&gt;Lucas Luiz Romero")*(10/1083),0)))))),0)</f>
        <v/>
      </c>
      <c r="K404" s="3">
        <f>I404-J404</f>
        <v/>
      </c>
      <c r="L404" s="3">
        <f>IF(K404&lt;-5,"CRÍTICO",IF(K404&lt;0,"ATENÇÃO",IF(K404&lt;=5,"BOM","EXCELENTE")))</f>
        <v/>
      </c>
      <c r="M404" s="3" t="n">
        <v>16</v>
      </c>
      <c r="N404" s="3" t="n">
        <v>96.34</v>
      </c>
      <c r="O404" s="3" t="n">
        <v>17.57188498402556</v>
      </c>
    </row>
    <row r="405" hidden="1">
      <c r="A405" s="7" t="n">
        <v>46161</v>
      </c>
      <c r="B405" s="8" t="inlineStr">
        <is>
          <t>Cristiane Ramos da Silva Rocha</t>
        </is>
      </c>
      <c r="C405" s="9" t="inlineStr">
        <is>
          <t>Técnico III</t>
        </is>
      </c>
      <c r="D405" s="3" t="n">
        <v>33</v>
      </c>
      <c r="E405" s="3" t="n">
        <v>30</v>
      </c>
      <c r="F405" t="n">
        <v>11.55</v>
      </c>
      <c r="G405" s="3" t="n">
        <v>0</v>
      </c>
      <c r="H405" s="3" t="n">
        <v>0</v>
      </c>
      <c r="I405" s="3">
        <f>E405+G405+H405</f>
        <v/>
      </c>
      <c r="J405" s="3">
        <f>ROUND(MIN(IF(C405="Técnico III",35,IF(C405="Técnico II",28,IF(C405="Técnico I",23,IF(C405="JR",20,IF(C405="Estágio",10,0))))),IF(C405="Técnico III",SUMIFS($D:$D,$A:$A,$A405,$B:$B,"&lt;&gt;Patrícia Karla de Sousa Araújo",$B:$B,"&lt;&gt;Lorena Dias de Araujo",$B:$B,"&lt;&gt;Lucas Luiz Romero")*(35/1083),IF(C405="Técnico II",SUMIFS($D:$D,$A:$A,$A405,$B:$B,"&lt;&gt;Patrícia Karla de Sousa Araújo",$B:$B,"&lt;&gt;Lorena Dias de Araujo",$B:$B,"&lt;&gt;Lucas Luiz Romero")*(28/1083),IF(C405="Técnico I",SUMIFS($D:$D,$A:$A,$A405,$B:$B,"&lt;&gt;Patrícia Karla de Sousa Araújo",$B:$B,"&lt;&gt;Lorena Dias de Araujo",$B:$B,"&lt;&gt;Lucas Luiz Romero")*(23/1083),IF(C405="JR",SUMIFS($D:$D,$A:$A,$A405,$B:$B,"&lt;&gt;Patrícia Karla de Sousa Araújo",$B:$B,"&lt;&gt;Lorena Dias de Araujo",$B:$B,"&lt;&gt;Lucas Luiz Romero")*(20/1083),IF(C405="Estágio",SUMIFS($D:$D,$A:$A,$A405,$B:$B,"&lt;&gt;Patrícia Karla de Sousa Araújo",$B:$B,"&lt;&gt;Lorena Dias de Araujo",$B:$B,"&lt;&gt;Lucas Luiz Romero")*(10/1083),0)))))),0)</f>
        <v/>
      </c>
      <c r="K405" s="3">
        <f>I405-J405</f>
        <v/>
      </c>
      <c r="L405" s="3">
        <f>IF(K405&lt;-5,"CRÍTICO",IF(K405&lt;0,"ATENÇÃO",IF(K405&lt;=5,"BOM","EXCELENTE")))</f>
        <v/>
      </c>
      <c r="M405" t="n">
        <v>30</v>
      </c>
      <c r="N405" t="n">
        <v>91.84999999999999</v>
      </c>
      <c r="O405" t="n">
        <v>20.87155963302752</v>
      </c>
    </row>
    <row r="406" hidden="1">
      <c r="A406" s="7" t="n">
        <v>46161</v>
      </c>
      <c r="B406" s="8" t="inlineStr">
        <is>
          <t>Davylla Rodrigues Freitas Silva</t>
        </is>
      </c>
      <c r="C406" s="9" t="inlineStr">
        <is>
          <t>Técnico III</t>
        </is>
      </c>
      <c r="D406" s="3" t="n">
        <v>0</v>
      </c>
      <c r="E406" s="3" t="n">
        <v>0</v>
      </c>
      <c r="F406" s="3" t="n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>
        <f>IF(K406&lt;-5,"CRÍTICO",IF(K406&lt;0,"ATENÇÃO",IF(K406&lt;=5,"BOM","EXCELENTE")))</f>
        <v/>
      </c>
      <c r="M406" s="9" t="n">
        <v>0</v>
      </c>
      <c r="N406" s="9" t="n">
        <v>99.06</v>
      </c>
      <c r="O406" s="9" t="n">
        <v>22.95719844357977</v>
      </c>
    </row>
    <row r="407" hidden="1">
      <c r="A407" s="7" t="n">
        <v>46161</v>
      </c>
      <c r="B407" s="8" t="inlineStr">
        <is>
          <t>Francielson de Oliveira</t>
        </is>
      </c>
      <c r="C407" s="9" t="inlineStr">
        <is>
          <t>Técnico III</t>
        </is>
      </c>
      <c r="D407" s="3" t="n">
        <v>12</v>
      </c>
      <c r="E407" s="3" t="n">
        <v>12</v>
      </c>
      <c r="F407" s="3" t="n">
        <v>18.2</v>
      </c>
      <c r="G407" s="3" t="n">
        <v>0</v>
      </c>
      <c r="H407" s="3" t="n">
        <v>0</v>
      </c>
      <c r="I407" s="3">
        <f>E407+G407+H407</f>
        <v/>
      </c>
      <c r="J407" s="3">
        <f>ROUND(MIN(IF(C407="Técnico III",35,IF(C407="Técnico II",28,IF(C407="Técnico I",23,IF(C407="JR",20,IF(C407="Estágio",10,0))))),IF(C407="Técnico III",SUMIFS($D:$D,$A:$A,$A407,$B:$B,"&lt;&gt;Patrícia Karla de Sousa Araújo",$B:$B,"&lt;&gt;Lorena Dias de Araujo",$B:$B,"&lt;&gt;Lucas Luiz Romero")*(35/1083),IF(C407="Técnico II",SUMIFS($D:$D,$A:$A,$A407,$B:$B,"&lt;&gt;Patrícia Karla de Sousa Araújo",$B:$B,"&lt;&gt;Lorena Dias de Araujo",$B:$B,"&lt;&gt;Lucas Luiz Romero")*(28/1083),IF(C407="Técnico I",SUMIFS($D:$D,$A:$A,$A407,$B:$B,"&lt;&gt;Patrícia Karla de Sousa Araújo",$B:$B,"&lt;&gt;Lorena Dias de Araujo",$B:$B,"&lt;&gt;Lucas Luiz Romero")*(23/1083),IF(C407="JR",SUMIFS($D:$D,$A:$A,$A407,$B:$B,"&lt;&gt;Patrícia Karla de Sousa Araújo",$B:$B,"&lt;&gt;Lorena Dias de Araujo",$B:$B,"&lt;&gt;Lucas Luiz Romero")*(20/1083),IF(C407="Estágio",SUMIFS($D:$D,$A:$A,$A407,$B:$B,"&lt;&gt;Patrícia Karla de Sousa Araújo",$B:$B,"&lt;&gt;Lorena Dias de Araujo",$B:$B,"&lt;&gt;Lucas Luiz Romero")*(10/1083),0)))))),0)</f>
        <v/>
      </c>
      <c r="K407" s="3">
        <f>I407-J407</f>
        <v/>
      </c>
      <c r="L407" s="3">
        <f>IF(K407&lt;-5,"CRÍTICO",IF(K407&lt;0,"ATENÇÃO",IF(K407&lt;=5,"BOM","EXCELENTE")))</f>
        <v/>
      </c>
      <c r="M407" t="n">
        <v>11</v>
      </c>
      <c r="N407" t="n">
        <v>100</v>
      </c>
      <c r="O407" t="n">
        <v>9.523809523809524</v>
      </c>
    </row>
    <row r="408" hidden="1">
      <c r="A408" s="7" t="n">
        <v>46161</v>
      </c>
      <c r="B408" s="8" t="inlineStr">
        <is>
          <t>Janaina Lima dos Reis Urany</t>
        </is>
      </c>
      <c r="C408" s="9" t="inlineStr">
        <is>
          <t>Técnico III</t>
        </is>
      </c>
      <c r="D408" s="3" t="n">
        <v>43</v>
      </c>
      <c r="E408" s="3" t="n">
        <v>39</v>
      </c>
      <c r="F408" t="n">
        <v>13.55</v>
      </c>
      <c r="G408" s="3" t="n">
        <v>3</v>
      </c>
      <c r="H408" s="3" t="n">
        <v>0</v>
      </c>
      <c r="I408" s="3">
        <f>E408+G408+H408</f>
        <v/>
      </c>
      <c r="J408" s="3">
        <f>ROUND(MIN(IF(C408="Técnico III",35,IF(C408="Técnico II",28,IF(C408="Técnico I",23,IF(C408="JR",20,IF(C408="Estágio",10,0))))),IF(C408="Técnico III",SUMIFS($D:$D,$A:$A,$A408,$B:$B,"&lt;&gt;Patrícia Karla de Sousa Araújo",$B:$B,"&lt;&gt;Lorena Dias de Araujo",$B:$B,"&lt;&gt;Lucas Luiz Romero")*(35/1083),IF(C408="Técnico II",SUMIFS($D:$D,$A:$A,$A408,$B:$B,"&lt;&gt;Patrícia Karla de Sousa Araújo",$B:$B,"&lt;&gt;Lorena Dias de Araujo",$B:$B,"&lt;&gt;Lucas Luiz Romero")*(28/1083),IF(C408="Técnico I",SUMIFS($D:$D,$A:$A,$A408,$B:$B,"&lt;&gt;Patrícia Karla de Sousa Araújo",$B:$B,"&lt;&gt;Lorena Dias de Araujo",$B:$B,"&lt;&gt;Lucas Luiz Romero")*(23/1083),IF(C408="JR",SUMIFS($D:$D,$A:$A,$A408,$B:$B,"&lt;&gt;Patrícia Karla de Sousa Araújo",$B:$B,"&lt;&gt;Lorena Dias de Araujo",$B:$B,"&lt;&gt;Lucas Luiz Romero")*(20/1083),IF(C408="Estágio",SUMIFS($D:$D,$A:$A,$A408,$B:$B,"&lt;&gt;Patrícia Karla de Sousa Araújo",$B:$B,"&lt;&gt;Lorena Dias de Araujo",$B:$B,"&lt;&gt;Lucas Luiz Romero")*(10/1083),0)))))),0)</f>
        <v/>
      </c>
      <c r="K408" s="3">
        <f>I408-J408</f>
        <v/>
      </c>
      <c r="L408" s="3">
        <f>IF(K408&lt;-5,"CRÍTICO",IF(K408&lt;0,"ATENÇÃO",IF(K408&lt;=5,"BOM","EXCELENTE")))</f>
        <v/>
      </c>
      <c r="M408" t="n">
        <v>40</v>
      </c>
      <c r="N408" t="n">
        <v>98.64</v>
      </c>
      <c r="O408" t="n">
        <v>16.6383701188455</v>
      </c>
    </row>
    <row r="409" hidden="1">
      <c r="A409" s="7" t="n">
        <v>46161</v>
      </c>
      <c r="B409" s="8" t="inlineStr">
        <is>
          <t>Jaqueline Evangelista da Silva Martins</t>
        </is>
      </c>
      <c r="C409" s="9" t="inlineStr">
        <is>
          <t>Técnico III</t>
        </is>
      </c>
      <c r="D409" s="3" t="n">
        <v>11</v>
      </c>
      <c r="E409" s="3" t="n">
        <v>10</v>
      </c>
      <c r="F409" t="n">
        <v>14.08</v>
      </c>
      <c r="G409" s="3" t="n">
        <v>4</v>
      </c>
      <c r="H409" s="3" t="n">
        <v>0</v>
      </c>
      <c r="I409" s="3">
        <f>E409+G409+H409</f>
        <v/>
      </c>
      <c r="J409" s="3">
        <f>ROUND(MIN(IF(C409="Técnico III",35,IF(C409="Técnico II",28,IF(C409="Técnico I",23,IF(C409="JR",20,IF(C409="Estágio",10,0))))),IF(C409="Técnico III",SUMIFS($D:$D,$A:$A,$A409,$B:$B,"&lt;&gt;Patrícia Karla de Sousa Araújo",$B:$B,"&lt;&gt;Lorena Dias de Araujo",$B:$B,"&lt;&gt;Lucas Luiz Romero")*(35/1083),IF(C409="Técnico II",SUMIFS($D:$D,$A:$A,$A409,$B:$B,"&lt;&gt;Patrícia Karla de Sousa Araújo",$B:$B,"&lt;&gt;Lorena Dias de Araujo",$B:$B,"&lt;&gt;Lucas Luiz Romero")*(28/1083),IF(C409="Técnico I",SUMIFS($D:$D,$A:$A,$A409,$B:$B,"&lt;&gt;Patrícia Karla de Sousa Araújo",$B:$B,"&lt;&gt;Lorena Dias de Araujo",$B:$B,"&lt;&gt;Lucas Luiz Romero")*(23/1083),IF(C409="JR",SUMIFS($D:$D,$A:$A,$A409,$B:$B,"&lt;&gt;Patrícia Karla de Sousa Araújo",$B:$B,"&lt;&gt;Lorena Dias de Araujo",$B:$B,"&lt;&gt;Lucas Luiz Romero")*(20/1083),IF(C409="Estágio",SUMIFS($D:$D,$A:$A,$A409,$B:$B,"&lt;&gt;Patrícia Karla de Sousa Araújo",$B:$B,"&lt;&gt;Lorena Dias de Araujo",$B:$B,"&lt;&gt;Lucas Luiz Romero")*(10/1083),0)))))),0)</f>
        <v/>
      </c>
      <c r="K409" s="3">
        <f>I409-J409</f>
        <v/>
      </c>
      <c r="L409" s="3">
        <f>IF(K409&lt;-5,"CRÍTICO",IF(K409&lt;0,"ATENÇÃO",IF(K409&lt;=5,"BOM","EXCELENTE")))</f>
        <v/>
      </c>
      <c r="M409" t="n">
        <v>12</v>
      </c>
      <c r="N409" t="n">
        <v>95.40000000000001</v>
      </c>
      <c r="O409" t="n">
        <v>20.53333333333333</v>
      </c>
    </row>
    <row r="410" hidden="1">
      <c r="A410" s="7" t="n">
        <v>46161</v>
      </c>
      <c r="B410" s="8" t="inlineStr">
        <is>
          <t>Jéssica Fé Moura</t>
        </is>
      </c>
      <c r="C410" s="9" t="inlineStr">
        <is>
          <t>Técnico III</t>
        </is>
      </c>
      <c r="D410" s="3" t="n">
        <v>0</v>
      </c>
      <c r="E410" s="3" t="n">
        <v>0</v>
      </c>
      <c r="F410" s="3" t="n">
        <v>0</v>
      </c>
      <c r="G410" s="3" t="n">
        <v>0</v>
      </c>
      <c r="H410" s="3" t="n">
        <v>0</v>
      </c>
      <c r="I410" s="3" t="n">
        <v>0</v>
      </c>
      <c r="J410" s="3" t="n">
        <v>0</v>
      </c>
      <c r="K410" s="3" t="n">
        <v>0</v>
      </c>
      <c r="L410" s="3">
        <f>IF(K410&lt;-5,"CRÍTICO",IF(K410&lt;0,"ATENÇÃO",IF(K410&lt;=5,"BOM","EXCELENTE")))</f>
        <v/>
      </c>
      <c r="M410" s="9" t="n">
        <v>0</v>
      </c>
      <c r="N410" s="9" t="n">
        <v>0</v>
      </c>
      <c r="O410" s="9" t="n">
        <v>0</v>
      </c>
    </row>
    <row r="411" hidden="1">
      <c r="A411" s="7" t="n">
        <v>46161</v>
      </c>
      <c r="B411" s="8" t="inlineStr">
        <is>
          <t>Kerollen Cristielly de Jesus Siqueira</t>
        </is>
      </c>
      <c r="C411" s="9" t="inlineStr">
        <is>
          <t>Técnico III</t>
        </is>
      </c>
      <c r="D411" s="3" t="n">
        <v>32</v>
      </c>
      <c r="E411" s="3" t="n">
        <v>32</v>
      </c>
      <c r="F411" t="n">
        <v>17.18</v>
      </c>
      <c r="G411" s="3" t="n">
        <v>0</v>
      </c>
      <c r="H411" s="3" t="n">
        <v>0</v>
      </c>
      <c r="I411" s="3">
        <f>E411+G411+H411</f>
        <v/>
      </c>
      <c r="J411" s="3">
        <f>ROUND(MIN(IF(C411="Técnico III",35,IF(C411="Técnico II",28,IF(C411="Técnico I",23,IF(C411="JR",20,IF(C411="Estágio",10,0))))),IF(C411="Técnico III",SUMIFS($D:$D,$A:$A,$A411,$B:$B,"&lt;&gt;Patrícia Karla de Sousa Araújo",$B:$B,"&lt;&gt;Lorena Dias de Araujo",$B:$B,"&lt;&gt;Lucas Luiz Romero")*(35/1083),IF(C411="Técnico II",SUMIFS($D:$D,$A:$A,$A411,$B:$B,"&lt;&gt;Patrícia Karla de Sousa Araújo",$B:$B,"&lt;&gt;Lorena Dias de Araujo",$B:$B,"&lt;&gt;Lucas Luiz Romero")*(28/1083),IF(C411="Técnico I",SUMIFS($D:$D,$A:$A,$A411,$B:$B,"&lt;&gt;Patrícia Karla de Sousa Araújo",$B:$B,"&lt;&gt;Lorena Dias de Araujo",$B:$B,"&lt;&gt;Lucas Luiz Romero")*(23/1083),IF(C411="JR",SUMIFS($D:$D,$A:$A,$A411,$B:$B,"&lt;&gt;Patrícia Karla de Sousa Araújo",$B:$B,"&lt;&gt;Lorena Dias de Araujo",$B:$B,"&lt;&gt;Lucas Luiz Romero")*(20/1083),IF(C411="Estágio",SUMIFS($D:$D,$A:$A,$A411,$B:$B,"&lt;&gt;Patrícia Karla de Sousa Araújo",$B:$B,"&lt;&gt;Lorena Dias de Araujo",$B:$B,"&lt;&gt;Lucas Luiz Romero")*(10/1083),0)))))),0)</f>
        <v/>
      </c>
      <c r="K411" s="3">
        <f>I411-J411</f>
        <v/>
      </c>
      <c r="L411" s="3">
        <f>IF(K411&lt;-5,"CRÍTICO",IF(K411&lt;0,"ATENÇÃO",IF(K411&lt;=5,"BOM","EXCELENTE")))</f>
        <v/>
      </c>
      <c r="M411" t="n">
        <v>28</v>
      </c>
      <c r="N411" t="n">
        <v>95.52</v>
      </c>
      <c r="O411" t="n">
        <v>10.56105610561056</v>
      </c>
    </row>
    <row r="412" hidden="1">
      <c r="A412" s="11" t="n">
        <v>46038</v>
      </c>
      <c r="B412" t="inlineStr">
        <is>
          <t>Gabriel Gomes de Andrade</t>
        </is>
      </c>
      <c r="C412" t="inlineStr">
        <is>
          <t>Técnico I</t>
        </is>
      </c>
      <c r="D412" t="n">
        <v>19</v>
      </c>
      <c r="E412" t="n">
        <v>19</v>
      </c>
      <c r="F412" t="n">
        <v>24.19</v>
      </c>
      <c r="G412" t="n">
        <v>0</v>
      </c>
      <c r="H412" t="n">
        <v>0</v>
      </c>
      <c r="I412" s="3">
        <f>E412+G412+H412</f>
        <v/>
      </c>
      <c r="J412" s="3">
        <f>ROUND(MIN(IF(C412="Técnico III",35,IF(C412="Técnico II",28,IF(C412="Técnico I",23,IF(C412="JR",20,IF(C412="Estágio",10,0))))),IF(C412="Técnico III",SUMIFS($D:$D,$A:$A,$A412,$B:$B,"&lt;&gt;Patrícia Karla de Sousa Araújo",$B:$B,"&lt;&gt;Lorena Dias de Araujo",$B:$B,"&lt;&gt;Lucas Luiz Romero")*(35/1083),IF(C412="Técnico II",SUMIFS($D:$D,$A:$A,$A412,$B:$B,"&lt;&gt;Patrícia Karla de Sousa Araújo",$B:$B,"&lt;&gt;Lorena Dias de Araujo",$B:$B,"&lt;&gt;Lucas Luiz Romero")*(28/1083),IF(C412="Técnico I",SUMIFS($D:$D,$A:$A,$A412,$B:$B,"&lt;&gt;Patrícia Karla de Sousa Araújo",$B:$B,"&lt;&gt;Lorena Dias de Araujo",$B:$B,"&lt;&gt;Lucas Luiz Romero")*(23/1083),IF(C412="JR",SUMIFS($D:$D,$A:$A,$A412,$B:$B,"&lt;&gt;Patrícia Karla de Sousa Araújo",$B:$B,"&lt;&gt;Lorena Dias de Araujo",$B:$B,"&lt;&gt;Lucas Luiz Romero")*(20/1083),IF(C412="Estágio",SUMIFS($D:$D,$A:$A,$A412,$B:$B,"&lt;&gt;Patrícia Karla de Sousa Araújo",$B:$B,"&lt;&gt;Lorena Dias de Araujo",$B:$B,"&lt;&gt;Lucas Luiz Romero")*(10/1083),0)))))),0)</f>
        <v/>
      </c>
      <c r="K412" s="3">
        <f>I412-J412</f>
        <v/>
      </c>
      <c r="L412" s="3">
        <f>IF(K412&lt;-5,"CRÍTICO",IF(K412&lt;0,"ATENÇÃO",IF(K412&lt;=5,"BOM","EXCELENTE")))</f>
        <v/>
      </c>
      <c r="M412" t="n">
        <v>16</v>
      </c>
      <c r="N412" t="n">
        <v>96.88</v>
      </c>
      <c r="O412" t="n">
        <v>30.37383177570093</v>
      </c>
    </row>
    <row r="413" hidden="1">
      <c r="A413" s="7" t="n">
        <v>46161</v>
      </c>
      <c r="B413" s="8" t="inlineStr">
        <is>
          <t>Leandro Oliveira de Sousa</t>
        </is>
      </c>
      <c r="C413" s="9" t="inlineStr">
        <is>
          <t>Técnico III</t>
        </is>
      </c>
      <c r="D413" s="3" t="n">
        <v>27</v>
      </c>
      <c r="E413" s="3" t="n">
        <v>26</v>
      </c>
      <c r="F413" t="n">
        <v>15.39</v>
      </c>
      <c r="G413" s="3" t="n">
        <v>0</v>
      </c>
      <c r="H413" s="3" t="n">
        <v>0</v>
      </c>
      <c r="I413" s="3">
        <f>E413+G413+H413</f>
        <v/>
      </c>
      <c r="J413" s="3">
        <f>ROUND(MIN(IF(C413="Técnico III",35,IF(C413="Técnico II",28,IF(C413="Técnico I",23,IF(C413="JR",20,IF(C413="Estágio",10,0))))),IF(C413="Técnico III",SUMIFS($D:$D,$A:$A,$A413,$B:$B,"&lt;&gt;Patrícia Karla de Sousa Araújo",$B:$B,"&lt;&gt;Lorena Dias de Araujo",$B:$B,"&lt;&gt;Lucas Luiz Romero")*(35/1083),IF(C413="Técnico II",SUMIFS($D:$D,$A:$A,$A413,$B:$B,"&lt;&gt;Patrícia Karla de Sousa Araújo",$B:$B,"&lt;&gt;Lorena Dias de Araujo",$B:$B,"&lt;&gt;Lucas Luiz Romero")*(28/1083),IF(C413="Técnico I",SUMIFS($D:$D,$A:$A,$A413,$B:$B,"&lt;&gt;Patrícia Karla de Sousa Araújo",$B:$B,"&lt;&gt;Lorena Dias de Araujo",$B:$B,"&lt;&gt;Lucas Luiz Romero")*(23/1083),IF(C413="JR",SUMIFS($D:$D,$A:$A,$A413,$B:$B,"&lt;&gt;Patrícia Karla de Sousa Araújo",$B:$B,"&lt;&gt;Lorena Dias de Araujo",$B:$B,"&lt;&gt;Lucas Luiz Romero")*(20/1083),IF(C413="Estágio",SUMIFS($D:$D,$A:$A,$A413,$B:$B,"&lt;&gt;Patrícia Karla de Sousa Araújo",$B:$B,"&lt;&gt;Lorena Dias de Araujo",$B:$B,"&lt;&gt;Lucas Luiz Romero")*(10/1083),0)))))),0)</f>
        <v/>
      </c>
      <c r="K413" s="3">
        <f>I413-J413</f>
        <v/>
      </c>
      <c r="L413" s="3">
        <f>IF(K413&lt;-5,"CRÍTICO",IF(K413&lt;0,"ATENÇÃO",IF(K413&lt;=5,"BOM","EXCELENTE")))</f>
        <v/>
      </c>
      <c r="M413" t="n">
        <v>24</v>
      </c>
      <c r="N413" t="n">
        <v>100</v>
      </c>
      <c r="O413" t="n">
        <v>15.58441558441558</v>
      </c>
    </row>
    <row r="414" hidden="1">
      <c r="A414" s="7" t="n">
        <v>46161</v>
      </c>
      <c r="B414" s="8" t="inlineStr">
        <is>
          <t>Lucas Luiz Romero</t>
        </is>
      </c>
      <c r="C414" s="9" t="inlineStr">
        <is>
          <t>Técnico III</t>
        </is>
      </c>
      <c r="D414" s="3" t="n">
        <v>22</v>
      </c>
      <c r="E414" s="3" t="n">
        <v>20</v>
      </c>
      <c r="F414" t="n">
        <v>21.49</v>
      </c>
      <c r="G414" s="3" t="n">
        <v>0</v>
      </c>
      <c r="H414" s="3" t="n">
        <v>0</v>
      </c>
      <c r="I414" s="3">
        <f>E414+G414+H414</f>
        <v/>
      </c>
      <c r="J414" s="3">
        <f>ROUND(MIN(IF(C414="Técnico III",35,IF(C414="Técnico II",28,IF(C414="Técnico I",23,IF(C414="JR",20,IF(C414="Estágio",10,0))))),IF(C414="Técnico III",SUMIFS($D:$D,$A:$A,$A414,$B:$B,"&lt;&gt;Patrícia Karla de Sousa Araújo",$B:$B,"&lt;&gt;Lorena Dias de Araujo",$B:$B,"&lt;&gt;Lucas Luiz Romero")*(35/1083),IF(C414="Técnico II",SUMIFS($D:$D,$A:$A,$A414,$B:$B,"&lt;&gt;Patrícia Karla de Sousa Araújo",$B:$B,"&lt;&gt;Lorena Dias de Araujo",$B:$B,"&lt;&gt;Lucas Luiz Romero")*(28/1083),IF(C414="Técnico I",SUMIFS($D:$D,$A:$A,$A414,$B:$B,"&lt;&gt;Patrícia Karla de Sousa Araújo",$B:$B,"&lt;&gt;Lorena Dias de Araujo",$B:$B,"&lt;&gt;Lucas Luiz Romero")*(23/1083),IF(C414="JR",SUMIFS($D:$D,$A:$A,$A414,$B:$B,"&lt;&gt;Patrícia Karla de Sousa Araújo",$B:$B,"&lt;&gt;Lorena Dias de Araujo",$B:$B,"&lt;&gt;Lucas Luiz Romero")*(20/1083),IF(C414="Estágio",SUMIFS($D:$D,$A:$A,$A414,$B:$B,"&lt;&gt;Patrícia Karla de Sousa Araújo",$B:$B,"&lt;&gt;Lorena Dias de Araujo",$B:$B,"&lt;&gt;Lucas Luiz Romero")*(10/1083),0)))))),0)</f>
        <v/>
      </c>
      <c r="K414" s="3">
        <f>I414-J414</f>
        <v/>
      </c>
      <c r="L414" s="3">
        <f>IF(K414&lt;-5,"CRÍTICO",IF(K414&lt;0,"ATENÇÃO",IF(K414&lt;=5,"BOM","EXCELENTE")))</f>
        <v/>
      </c>
      <c r="M414" t="n">
        <v>18</v>
      </c>
      <c r="N414" t="n">
        <v>100</v>
      </c>
      <c r="O414" t="n">
        <v>4.347826086956522</v>
      </c>
    </row>
    <row r="415" hidden="1">
      <c r="A415" s="7" t="n">
        <v>46161</v>
      </c>
      <c r="B415" s="8" t="inlineStr">
        <is>
          <t>Matheus Farias De Souza</t>
        </is>
      </c>
      <c r="C415" s="9" t="inlineStr">
        <is>
          <t>Técnico III</t>
        </is>
      </c>
      <c r="D415" s="3" t="n">
        <v>0</v>
      </c>
      <c r="E415" s="3" t="n">
        <v>0</v>
      </c>
      <c r="F415" t="n">
        <v>0</v>
      </c>
      <c r="G415" s="3" t="n">
        <v>0</v>
      </c>
      <c r="H415" s="3" t="n">
        <v>33</v>
      </c>
      <c r="I415" s="3">
        <f>E415+G415+H415</f>
        <v/>
      </c>
      <c r="J415" s="3">
        <f>ROUND(MIN(IF(C415="Técnico III",35,IF(C415="Técnico II",28,IF(C415="Técnico I",23,IF(C415="JR",20,IF(C415="Estágio",10,0))))),IF(C415="Técnico III",SUMIFS($D:$D,$A:$A,$A415,$B:$B,"&lt;&gt;Patrícia Karla de Sousa Araújo",$B:$B,"&lt;&gt;Lorena Dias de Araujo",$B:$B,"&lt;&gt;Lucas Luiz Romero")*(35/1083),IF(C415="Técnico II",SUMIFS($D:$D,$A:$A,$A415,$B:$B,"&lt;&gt;Patrícia Karla de Sousa Araújo",$B:$B,"&lt;&gt;Lorena Dias de Araujo",$B:$B,"&lt;&gt;Lucas Luiz Romero")*(28/1083),IF(C415="Técnico I",SUMIFS($D:$D,$A:$A,$A415,$B:$B,"&lt;&gt;Patrícia Karla de Sousa Araújo",$B:$B,"&lt;&gt;Lorena Dias de Araujo",$B:$B,"&lt;&gt;Lucas Luiz Romero")*(23/1083),IF(C415="JR",SUMIFS($D:$D,$A:$A,$A415,$B:$B,"&lt;&gt;Patrícia Karla de Sousa Araújo",$B:$B,"&lt;&gt;Lorena Dias de Araujo",$B:$B,"&lt;&gt;Lucas Luiz Romero")*(20/1083),IF(C415="Estágio",SUMIFS($D:$D,$A:$A,$A415,$B:$B,"&lt;&gt;Patrícia Karla de Sousa Araújo",$B:$B,"&lt;&gt;Lorena Dias de Araujo",$B:$B,"&lt;&gt;Lucas Luiz Romero")*(10/1083),0)))))),0)</f>
        <v/>
      </c>
      <c r="K415" s="3">
        <f>I415-J415</f>
        <v/>
      </c>
      <c r="L415" s="3">
        <f>IF(K415&lt;-5,"CRÍTICO",IF(K415&lt;0,"ATENÇÃO",IF(K415&lt;=5,"BOM","EXCELENTE")))</f>
        <v/>
      </c>
      <c r="M415" t="n">
        <v>14</v>
      </c>
      <c r="N415" t="n">
        <v>98.28</v>
      </c>
      <c r="O415" t="n">
        <v>9.037900874635568</v>
      </c>
    </row>
    <row r="416" hidden="1">
      <c r="A416" s="7" t="n">
        <v>46161</v>
      </c>
      <c r="B416" s="8" t="inlineStr">
        <is>
          <t>Maysa Victoria Dias Moura</t>
        </is>
      </c>
      <c r="C416" s="9" t="inlineStr">
        <is>
          <t>Técnico III</t>
        </is>
      </c>
      <c r="D416" s="3" t="n">
        <v>35</v>
      </c>
      <c r="E416" s="3" t="n">
        <v>31</v>
      </c>
      <c r="F416" t="n">
        <v>10.43</v>
      </c>
      <c r="G416" s="3" t="n">
        <v>4</v>
      </c>
      <c r="H416" s="3" t="n">
        <v>0</v>
      </c>
      <c r="I416" s="3">
        <f>E416+G416+H416</f>
        <v/>
      </c>
      <c r="J416" s="3">
        <f>ROUND(MIN(IF(C416="Técnico III",35,IF(C416="Técnico II",28,IF(C416="Técnico I",23,IF(C416="JR",20,IF(C416="Estágio",10,0))))),IF(C416="Técnico III",SUMIFS($D:$D,$A:$A,$A416,$B:$B,"&lt;&gt;Patrícia Karla de Sousa Araújo",$B:$B,"&lt;&gt;Lorena Dias de Araujo",$B:$B,"&lt;&gt;Lucas Luiz Romero")*(35/1083),IF(C416="Técnico II",SUMIFS($D:$D,$A:$A,$A416,$B:$B,"&lt;&gt;Patrícia Karla de Sousa Araújo",$B:$B,"&lt;&gt;Lorena Dias de Araujo",$B:$B,"&lt;&gt;Lucas Luiz Romero")*(28/1083),IF(C416="Técnico I",SUMIFS($D:$D,$A:$A,$A416,$B:$B,"&lt;&gt;Patrícia Karla de Sousa Araújo",$B:$B,"&lt;&gt;Lorena Dias de Araujo",$B:$B,"&lt;&gt;Lucas Luiz Romero")*(23/1083),IF(C416="JR",SUMIFS($D:$D,$A:$A,$A416,$B:$B,"&lt;&gt;Patrícia Karla de Sousa Araújo",$B:$B,"&lt;&gt;Lorena Dias de Araujo",$B:$B,"&lt;&gt;Lucas Luiz Romero")*(20/1083),IF(C416="Estágio",SUMIFS($D:$D,$A:$A,$A416,$B:$B,"&lt;&gt;Patrícia Karla de Sousa Araújo",$B:$B,"&lt;&gt;Lorena Dias de Araujo",$B:$B,"&lt;&gt;Lucas Luiz Romero")*(10/1083),0)))))),0)</f>
        <v/>
      </c>
      <c r="K416" s="3">
        <f>I416-J416</f>
        <v/>
      </c>
      <c r="L416" s="3">
        <f>IF(K416&lt;-5,"CRÍTICO",IF(K416&lt;0,"ATENÇÃO",IF(K416&lt;=5,"BOM","EXCELENTE")))</f>
        <v/>
      </c>
      <c r="M416" t="n">
        <v>30</v>
      </c>
      <c r="N416" t="n">
        <v>97.22</v>
      </c>
      <c r="O416" t="n">
        <v>19.09547738693467</v>
      </c>
    </row>
    <row r="417" hidden="1">
      <c r="A417" s="7" t="n">
        <v>46161</v>
      </c>
      <c r="B417" s="8" t="inlineStr">
        <is>
          <t>Rafael Gomes de Morais</t>
        </is>
      </c>
      <c r="C417" s="9" t="inlineStr">
        <is>
          <t>Técnico III</t>
        </is>
      </c>
      <c r="D417" s="3" t="n">
        <v>39</v>
      </c>
      <c r="E417" s="3" t="n">
        <v>35</v>
      </c>
      <c r="F417" t="n">
        <v>10.55</v>
      </c>
      <c r="G417" s="3" t="n">
        <v>3</v>
      </c>
      <c r="H417" s="3" t="n">
        <v>0</v>
      </c>
      <c r="I417" s="3">
        <f>E417+G417+H417</f>
        <v/>
      </c>
      <c r="J417" s="3">
        <f>ROUND(MIN(IF(C417="Técnico III",35,IF(C417="Técnico II",28,IF(C417="Técnico I",23,IF(C417="JR",20,IF(C417="Estágio",10,0))))),IF(C417="Técnico III",SUMIFS($D:$D,$A:$A,$A417,$B:$B,"&lt;&gt;Patrícia Karla de Sousa Araújo",$B:$B,"&lt;&gt;Lorena Dias de Araujo",$B:$B,"&lt;&gt;Lucas Luiz Romero")*(35/1083),IF(C417="Técnico II",SUMIFS($D:$D,$A:$A,$A417,$B:$B,"&lt;&gt;Patrícia Karla de Sousa Araújo",$B:$B,"&lt;&gt;Lorena Dias de Araujo",$B:$B,"&lt;&gt;Lucas Luiz Romero")*(28/1083),IF(C417="Técnico I",SUMIFS($D:$D,$A:$A,$A417,$B:$B,"&lt;&gt;Patrícia Karla de Sousa Araújo",$B:$B,"&lt;&gt;Lorena Dias de Araujo",$B:$B,"&lt;&gt;Lucas Luiz Romero")*(23/1083),IF(C417="JR",SUMIFS($D:$D,$A:$A,$A417,$B:$B,"&lt;&gt;Patrícia Karla de Sousa Araújo",$B:$B,"&lt;&gt;Lorena Dias de Araujo",$B:$B,"&lt;&gt;Lucas Luiz Romero")*(20/1083),IF(C417="Estágio",SUMIFS($D:$D,$A:$A,$A417,$B:$B,"&lt;&gt;Patrícia Karla de Sousa Araújo",$B:$B,"&lt;&gt;Lorena Dias de Araujo",$B:$B,"&lt;&gt;Lucas Luiz Romero")*(10/1083),0)))))),0)</f>
        <v/>
      </c>
      <c r="K417" s="3">
        <f>I417-J417</f>
        <v/>
      </c>
      <c r="L417" s="3">
        <f>IF(K417&lt;-5,"CRÍTICO",IF(K417&lt;0,"ATENÇÃO",IF(K417&lt;=5,"BOM","EXCELENTE")))</f>
        <v/>
      </c>
      <c r="M417" t="n">
        <v>34</v>
      </c>
      <c r="N417" t="n">
        <v>99.29000000000001</v>
      </c>
      <c r="O417" t="n">
        <v>22.49443207126949</v>
      </c>
    </row>
    <row r="418" hidden="1">
      <c r="A418" s="7" t="n">
        <v>46161</v>
      </c>
      <c r="B418" s="8" t="inlineStr">
        <is>
          <t>Sarah Steffanie de Lima Borges</t>
        </is>
      </c>
      <c r="C418" s="9" t="inlineStr">
        <is>
          <t>Técnico III</t>
        </is>
      </c>
      <c r="D418" s="3" t="n">
        <v>25</v>
      </c>
      <c r="E418" s="3" t="n">
        <v>24</v>
      </c>
      <c r="F418" t="n">
        <v>18.25</v>
      </c>
      <c r="G418" s="3" t="n">
        <v>3</v>
      </c>
      <c r="H418" s="3" t="n">
        <v>0</v>
      </c>
      <c r="I418" s="3">
        <f>E418+G418+H418</f>
        <v/>
      </c>
      <c r="J418" s="3">
        <f>ROUND(MIN(IF(C418="Técnico III",35,IF(C418="Técnico II",28,IF(C418="Técnico I",23,IF(C418="JR",20,IF(C418="Estágio",10,0))))),IF(C418="Técnico III",SUMIFS($D:$D,$A:$A,$A418,$B:$B,"&lt;&gt;Patrícia Karla de Sousa Araújo",$B:$B,"&lt;&gt;Lorena Dias de Araujo",$B:$B,"&lt;&gt;Lucas Luiz Romero")*(35/1083),IF(C418="Técnico II",SUMIFS($D:$D,$A:$A,$A418,$B:$B,"&lt;&gt;Patrícia Karla de Sousa Araújo",$B:$B,"&lt;&gt;Lorena Dias de Araujo",$B:$B,"&lt;&gt;Lucas Luiz Romero")*(28/1083),IF(C418="Técnico I",SUMIFS($D:$D,$A:$A,$A418,$B:$B,"&lt;&gt;Patrícia Karla de Sousa Araújo",$B:$B,"&lt;&gt;Lorena Dias de Araujo",$B:$B,"&lt;&gt;Lucas Luiz Romero")*(23/1083),IF(C418="JR",SUMIFS($D:$D,$A:$A,$A418,$B:$B,"&lt;&gt;Patrícia Karla de Sousa Araújo",$B:$B,"&lt;&gt;Lorena Dias de Araujo",$B:$B,"&lt;&gt;Lucas Luiz Romero")*(20/1083),IF(C418="Estágio",SUMIFS($D:$D,$A:$A,$A418,$B:$B,"&lt;&gt;Patrícia Karla de Sousa Araújo",$B:$B,"&lt;&gt;Lorena Dias de Araujo",$B:$B,"&lt;&gt;Lucas Luiz Romero")*(10/1083),0)))))),0)</f>
        <v/>
      </c>
      <c r="K418" s="3">
        <f>I418-J418</f>
        <v/>
      </c>
      <c r="L418" s="3">
        <f>IF(K418&lt;-5,"CRÍTICO",IF(K418&lt;0,"ATENÇÃO",IF(K418&lt;=5,"BOM","EXCELENTE")))</f>
        <v/>
      </c>
      <c r="M418" t="n">
        <v>21</v>
      </c>
      <c r="N418" t="n">
        <v>97.33</v>
      </c>
      <c r="O418" t="n">
        <v>15.80547112462006</v>
      </c>
    </row>
    <row r="419" hidden="1">
      <c r="A419" s="7" t="n">
        <v>46162</v>
      </c>
      <c r="B419" s="8" t="inlineStr">
        <is>
          <t>Amanda Moura Ferreira</t>
        </is>
      </c>
      <c r="C419" s="9" t="inlineStr">
        <is>
          <t>Técnico III</t>
        </is>
      </c>
      <c r="D419" s="3" t="n">
        <v>0</v>
      </c>
      <c r="E419" s="3" t="n">
        <v>0</v>
      </c>
      <c r="F419" s="3" t="n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>
        <f>IF(K419&lt;-5,"CRÍTICO",IF(K419&lt;0,"ATENÇÃO",IF(K419&lt;=5,"OPORTUNO","MUITO BOM")))</f>
        <v/>
      </c>
      <c r="M419" s="9" t="n">
        <v>0</v>
      </c>
      <c r="N419" s="9" t="n">
        <v>100</v>
      </c>
      <c r="O419" s="9" t="n">
        <v>0</v>
      </c>
    </row>
    <row r="420" hidden="1">
      <c r="A420" s="7" t="n">
        <v>46162</v>
      </c>
      <c r="B420" s="8" t="inlineStr">
        <is>
          <t>Ana Paula Da Luz Silva Aleixo</t>
        </is>
      </c>
      <c r="C420" s="9" t="inlineStr">
        <is>
          <t>Técnico III</t>
        </is>
      </c>
      <c r="D420" s="3" t="n">
        <v>22</v>
      </c>
      <c r="E420" s="3" t="n">
        <v>21</v>
      </c>
      <c r="F420" s="3" t="n">
        <v>18.34</v>
      </c>
      <c r="G420" s="3" t="n">
        <v>1</v>
      </c>
      <c r="H420" s="3" t="n">
        <v>0</v>
      </c>
      <c r="I420" s="3">
        <f>E420+G420+H420</f>
        <v/>
      </c>
      <c r="J420" s="3">
        <f>ROUND(MIN(IF(C420="Técnico III",35,IF(C420="Técnico II",28,IF(C420="Técnico I",23,IF(C420="JR",20,IF(C420="Estágio",10,0))))),IF(C420="Técnico III",SUMIFS($D:$D,$A:$A,$A420,$B:$B,"&lt;&gt;Patrícia Karla de Sousa Araújo",$B:$B,"&lt;&gt;Lorena Dias de Araujo",$B:$B,"&lt;&gt;Lucas Luiz Romero")*(35/1083),IF(C420="Técnico II",SUMIFS($D:$D,$A:$A,$A420,$B:$B,"&lt;&gt;Patrícia Karla de Sousa Araújo",$B:$B,"&lt;&gt;Lorena Dias de Araujo",$B:$B,"&lt;&gt;Lucas Luiz Romero")*(28/1083),IF(C420="Técnico I",SUMIFS($D:$D,$A:$A,$A420,$B:$B,"&lt;&gt;Patrícia Karla de Sousa Araújo",$B:$B,"&lt;&gt;Lorena Dias de Araujo",$B:$B,"&lt;&gt;Lucas Luiz Romero")*(23/1083),IF(C420="JR",SUMIFS($D:$D,$A:$A,$A420,$B:$B,"&lt;&gt;Patrícia Karla de Sousa Araújo",$B:$B,"&lt;&gt;Lorena Dias de Araujo",$B:$B,"&lt;&gt;Lucas Luiz Romero")*(20/1083),IF(C420="Estágio",SUMIFS($D:$D,$A:$A,$A420,$B:$B,"&lt;&gt;Patrícia Karla de Sousa Araújo",$B:$B,"&lt;&gt;Lorena Dias de Araujo",$B:$B,"&lt;&gt;Lucas Luiz Romero")*(10/1083),0)))))),0)</f>
        <v/>
      </c>
      <c r="K420" s="3">
        <f>I420-J420</f>
        <v/>
      </c>
      <c r="L420" s="3">
        <f>IF(K420&lt;-5,"CRÍTICO",IF(K420&lt;0,"ATENÇÃO",IF(K420&lt;=5,"OPORTUNO","MUITO BOM")))</f>
        <v/>
      </c>
      <c r="M420" s="9" t="n">
        <v>18</v>
      </c>
      <c r="N420" s="9" t="n">
        <v>96.34</v>
      </c>
      <c r="O420" s="9" t="n">
        <v>17.57188498402556</v>
      </c>
    </row>
    <row r="421" hidden="1">
      <c r="A421" s="7" t="n">
        <v>46162</v>
      </c>
      <c r="B421" s="8" t="inlineStr">
        <is>
          <t>Cristiane Ramos da Silva Rocha</t>
        </is>
      </c>
      <c r="C421" s="9" t="inlineStr">
        <is>
          <t>Técnico III</t>
        </is>
      </c>
      <c r="D421" s="3" t="n">
        <v>31</v>
      </c>
      <c r="E421" s="3" t="n">
        <v>26</v>
      </c>
      <c r="F421" s="3" t="n">
        <v>14</v>
      </c>
      <c r="G421" s="3" t="n">
        <v>0</v>
      </c>
      <c r="H421" s="3" t="n">
        <v>0</v>
      </c>
      <c r="I421" s="3">
        <f>E421+G421+H421</f>
        <v/>
      </c>
      <c r="J421" s="3">
        <f>ROUND(MIN(IF(C421="Técnico III",35,IF(C421="Técnico II",28,IF(C421="Técnico I",23,IF(C421="JR",20,IF(C421="Estágio",10,0))))),IF(C421="Técnico III",SUMIFS($D:$D,$A:$A,$A421,$B:$B,"&lt;&gt;Patrícia Karla de Sousa Araújo",$B:$B,"&lt;&gt;Lorena Dias de Araujo",$B:$B,"&lt;&gt;Lucas Luiz Romero")*(35/1083),IF(C421="Técnico II",SUMIFS($D:$D,$A:$A,$A421,$B:$B,"&lt;&gt;Patrícia Karla de Sousa Araújo",$B:$B,"&lt;&gt;Lorena Dias de Araujo",$B:$B,"&lt;&gt;Lucas Luiz Romero")*(28/1083),IF(C421="Técnico I",SUMIFS($D:$D,$A:$A,$A421,$B:$B,"&lt;&gt;Patrícia Karla de Sousa Araújo",$B:$B,"&lt;&gt;Lorena Dias de Araujo",$B:$B,"&lt;&gt;Lucas Luiz Romero")*(23/1083),IF(C421="JR",SUMIFS($D:$D,$A:$A,$A421,$B:$B,"&lt;&gt;Patrícia Karla de Sousa Araújo",$B:$B,"&lt;&gt;Lorena Dias de Araujo",$B:$B,"&lt;&gt;Lucas Luiz Romero")*(20/1083),IF(C421="Estágio",SUMIFS($D:$D,$A:$A,$A421,$B:$B,"&lt;&gt;Patrícia Karla de Sousa Araújo",$B:$B,"&lt;&gt;Lorena Dias de Araujo",$B:$B,"&lt;&gt;Lucas Luiz Romero")*(10/1083),0)))))),0)</f>
        <v/>
      </c>
      <c r="K421" s="3">
        <f>I421-J421</f>
        <v/>
      </c>
      <c r="L421" s="3">
        <f>IF(K421&lt;-5,"CRÍTICO",IF(K421&lt;0,"ATENÇÃO",IF(K421&lt;=5,"OPORTUNO","MUITO BOM")))</f>
        <v/>
      </c>
      <c r="M421" s="9" t="n">
        <v>21</v>
      </c>
      <c r="N421" s="9" t="n">
        <v>91.84999999999999</v>
      </c>
      <c r="O421" s="9" t="n">
        <v>20.87155963302752</v>
      </c>
    </row>
    <row r="422" hidden="1">
      <c r="A422" s="7" t="n">
        <v>46162</v>
      </c>
      <c r="B422" s="8" t="inlineStr">
        <is>
          <t>Davylla Rodrigues Freitas Silva</t>
        </is>
      </c>
      <c r="C422" s="9" t="inlineStr">
        <is>
          <t>Técnico III</t>
        </is>
      </c>
      <c r="D422" s="3" t="n">
        <v>0</v>
      </c>
      <c r="E422" s="3" t="n">
        <v>0</v>
      </c>
      <c r="F422" s="3" t="n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>
        <f>IF(K422&lt;-5,"CRÍTICO",IF(K422&lt;0,"ATENÇÃO",IF(K422&lt;=5,"OPORTUNO","MUITO BOM")))</f>
        <v/>
      </c>
      <c r="M422" s="9" t="n">
        <v>0</v>
      </c>
      <c r="N422" s="9" t="n">
        <v>99.06</v>
      </c>
      <c r="O422" s="9" t="n">
        <v>22.95719844357977</v>
      </c>
    </row>
    <row r="423" hidden="1">
      <c r="A423" s="7" t="n">
        <v>46162</v>
      </c>
      <c r="B423" s="8" t="inlineStr">
        <is>
          <t>Francielson de Oliveira</t>
        </is>
      </c>
      <c r="C423" s="9" t="inlineStr">
        <is>
          <t>Técnico III</t>
        </is>
      </c>
      <c r="D423" s="3" t="n">
        <v>0</v>
      </c>
      <c r="E423" s="3" t="n">
        <v>0</v>
      </c>
      <c r="F423" s="3" t="n">
        <v>0</v>
      </c>
      <c r="G423" s="3" t="n">
        <v>0</v>
      </c>
      <c r="H423" s="3" t="n">
        <v>0</v>
      </c>
      <c r="I423" s="3" t="n">
        <v>0</v>
      </c>
      <c r="J423" s="3" t="n">
        <v>0</v>
      </c>
      <c r="K423" s="3" t="n">
        <v>0</v>
      </c>
      <c r="L423" s="3">
        <f>IF(K423&lt;-5,"CRÍTICO",IF(K423&lt;0,"ATENÇÃO",IF(K423&lt;=5,"OPORTUNO","MUITO BOM")))</f>
        <v/>
      </c>
      <c r="M423" s="9" t="n">
        <v>0</v>
      </c>
      <c r="N423" s="9" t="n">
        <v>100</v>
      </c>
      <c r="O423" s="9" t="n">
        <v>9.523809523809524</v>
      </c>
    </row>
    <row r="424" hidden="1">
      <c r="A424" s="7" t="n">
        <v>46162</v>
      </c>
      <c r="B424" s="8" t="inlineStr">
        <is>
          <t>Janaina Lima dos Reis Urany</t>
        </is>
      </c>
      <c r="C424" s="9" t="inlineStr">
        <is>
          <t>Técnico III</t>
        </is>
      </c>
      <c r="D424" s="3" t="n">
        <v>38</v>
      </c>
      <c r="E424" s="3" t="n">
        <v>35</v>
      </c>
      <c r="F424" s="3" t="n">
        <v>13.25</v>
      </c>
      <c r="G424" s="3" t="n">
        <v>3</v>
      </c>
      <c r="H424" s="3" t="n">
        <v>0</v>
      </c>
      <c r="I424" s="3">
        <f>E424+G424+H424</f>
        <v/>
      </c>
      <c r="J424" s="3">
        <f>ROUND(MIN(IF(C424="Técnico III",35,IF(C424="Técnico II",28,IF(C424="Técnico I",23,IF(C424="JR",20,IF(C424="Estágio",10,0))))),IF(C424="Técnico III",SUMIFS($D:$D,$A:$A,$A424,$B:$B,"&lt;&gt;Patrícia Karla de Sousa Araújo",$B:$B,"&lt;&gt;Lorena Dias de Araujo",$B:$B,"&lt;&gt;Lucas Luiz Romero")*(35/1083),IF(C424="Técnico II",SUMIFS($D:$D,$A:$A,$A424,$B:$B,"&lt;&gt;Patrícia Karla de Sousa Araújo",$B:$B,"&lt;&gt;Lorena Dias de Araujo",$B:$B,"&lt;&gt;Lucas Luiz Romero")*(28/1083),IF(C424="Técnico I",SUMIFS($D:$D,$A:$A,$A424,$B:$B,"&lt;&gt;Patrícia Karla de Sousa Araújo",$B:$B,"&lt;&gt;Lorena Dias de Araujo",$B:$B,"&lt;&gt;Lucas Luiz Romero")*(23/1083),IF(C424="JR",SUMIFS($D:$D,$A:$A,$A424,$B:$B,"&lt;&gt;Patrícia Karla de Sousa Araújo",$B:$B,"&lt;&gt;Lorena Dias de Araujo",$B:$B,"&lt;&gt;Lucas Luiz Romero")*(20/1083),IF(C424="Estágio",SUMIFS($D:$D,$A:$A,$A424,$B:$B,"&lt;&gt;Patrícia Karla de Sousa Araújo",$B:$B,"&lt;&gt;Lorena Dias de Araujo",$B:$B,"&lt;&gt;Lucas Luiz Romero")*(10/1083),0)))))),0)</f>
        <v/>
      </c>
      <c r="K424" s="3">
        <f>I424-J424</f>
        <v/>
      </c>
      <c r="L424" s="3">
        <f>IF(K424&lt;-5,"CRÍTICO",IF(K424&lt;0,"ATENÇÃO",IF(K424&lt;=5,"OPORTUNO","MUITO BOM")))</f>
        <v/>
      </c>
      <c r="M424" s="9" t="n">
        <v>34</v>
      </c>
      <c r="N424" s="9" t="n">
        <v>98.64</v>
      </c>
      <c r="O424" s="9" t="n">
        <v>16.6383701188455</v>
      </c>
    </row>
    <row r="425" hidden="1">
      <c r="A425" s="7" t="n">
        <v>46162</v>
      </c>
      <c r="B425" s="8" t="inlineStr">
        <is>
          <t>Jaqueline Evangelista da Silva Martins</t>
        </is>
      </c>
      <c r="C425" s="9" t="inlineStr">
        <is>
          <t>Técnico III</t>
        </is>
      </c>
      <c r="D425" s="3" t="n">
        <v>24</v>
      </c>
      <c r="E425" s="3" t="n">
        <v>21</v>
      </c>
      <c r="F425" s="3" t="n">
        <v>15.53</v>
      </c>
      <c r="G425" s="3" t="n">
        <v>2</v>
      </c>
      <c r="H425" s="3" t="n">
        <v>0</v>
      </c>
      <c r="I425" s="3">
        <f>E425+G425+H425</f>
        <v/>
      </c>
      <c r="J425" s="3">
        <f>ROUND(MIN(IF(C425="Técnico III",35,IF(C425="Técnico II",28,IF(C425="Técnico I",23,IF(C425="JR",20,IF(C425="Estágio",10,0))))),IF(C425="Técnico III",SUMIFS($D:$D,$A:$A,$A425,$B:$B,"&lt;&gt;Patrícia Karla de Sousa Araújo",$B:$B,"&lt;&gt;Lorena Dias de Araujo",$B:$B,"&lt;&gt;Lucas Luiz Romero")*(35/1083),IF(C425="Técnico II",SUMIFS($D:$D,$A:$A,$A425,$B:$B,"&lt;&gt;Patrícia Karla de Sousa Araújo",$B:$B,"&lt;&gt;Lorena Dias de Araujo",$B:$B,"&lt;&gt;Lucas Luiz Romero")*(28/1083),IF(C425="Técnico I",SUMIFS($D:$D,$A:$A,$A425,$B:$B,"&lt;&gt;Patrícia Karla de Sousa Araújo",$B:$B,"&lt;&gt;Lorena Dias de Araujo",$B:$B,"&lt;&gt;Lucas Luiz Romero")*(23/1083),IF(C425="JR",SUMIFS($D:$D,$A:$A,$A425,$B:$B,"&lt;&gt;Patrícia Karla de Sousa Araújo",$B:$B,"&lt;&gt;Lorena Dias de Araujo",$B:$B,"&lt;&gt;Lucas Luiz Romero")*(20/1083),IF(C425="Estágio",SUMIFS($D:$D,$A:$A,$A425,$B:$B,"&lt;&gt;Patrícia Karla de Sousa Araújo",$B:$B,"&lt;&gt;Lorena Dias de Araujo",$B:$B,"&lt;&gt;Lucas Luiz Romero")*(10/1083),0)))))),0)</f>
        <v/>
      </c>
      <c r="K425" s="3">
        <f>I425-J425</f>
        <v/>
      </c>
      <c r="L425" s="3">
        <f>IF(K425&lt;-5,"CRÍTICO",IF(K425&lt;0,"ATENÇÃO",IF(K425&lt;=5,"OPORTUNO","MUITO BOM")))</f>
        <v/>
      </c>
      <c r="M425" s="9" t="n">
        <v>19</v>
      </c>
      <c r="N425" s="9" t="n">
        <v>95.40000000000001</v>
      </c>
      <c r="O425" s="9" t="n">
        <v>20.53333333333333</v>
      </c>
    </row>
    <row r="426" hidden="1">
      <c r="A426" s="7" t="n">
        <v>46162</v>
      </c>
      <c r="B426" s="8" t="inlineStr">
        <is>
          <t>Jéssica Fé Moura</t>
        </is>
      </c>
      <c r="C426" s="9" t="inlineStr">
        <is>
          <t>Técnico III</t>
        </is>
      </c>
      <c r="D426" s="3" t="n">
        <v>0</v>
      </c>
      <c r="E426" s="3" t="n">
        <v>0</v>
      </c>
      <c r="F426" s="3" t="n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>
        <f>IF(K426&lt;-5,"CRÍTICO",IF(K426&lt;0,"ATENÇÃO",IF(K426&lt;=5,"OPORTUNO","MUITO BOM")))</f>
        <v/>
      </c>
      <c r="M426" s="9" t="n">
        <v>0</v>
      </c>
      <c r="N426" s="9" t="n">
        <v>0</v>
      </c>
      <c r="O426" s="9" t="n">
        <v>0</v>
      </c>
    </row>
    <row r="427" hidden="1">
      <c r="A427" s="7" t="n">
        <v>46162</v>
      </c>
      <c r="B427" s="8" t="inlineStr">
        <is>
          <t>Kerollen Cristielly de Jesus Siqueira</t>
        </is>
      </c>
      <c r="C427" s="9" t="inlineStr">
        <is>
          <t>Técnico III</t>
        </is>
      </c>
      <c r="D427" s="3" t="n">
        <v>17</v>
      </c>
      <c r="E427" s="3" t="n">
        <v>16</v>
      </c>
      <c r="F427" s="3" t="n">
        <v>23.31</v>
      </c>
      <c r="G427" s="3" t="n">
        <v>1</v>
      </c>
      <c r="H427" s="3" t="n">
        <v>0</v>
      </c>
      <c r="I427" s="3">
        <f>E427+G427+H427</f>
        <v/>
      </c>
      <c r="J427" s="3">
        <f>ROUND(MIN(IF(C427="Técnico III",35,IF(C427="Técnico II",28,IF(C427="Técnico I",23,IF(C427="JR",20,IF(C427="Estágio",10,0))))),IF(C427="Técnico III",SUMIFS($D:$D,$A:$A,$A427,$B:$B,"&lt;&gt;Patrícia Karla de Sousa Araújo",$B:$B,"&lt;&gt;Lorena Dias de Araujo",$B:$B,"&lt;&gt;Lucas Luiz Romero")*(35/1083),IF(C427="Técnico II",SUMIFS($D:$D,$A:$A,$A427,$B:$B,"&lt;&gt;Patrícia Karla de Sousa Araújo",$B:$B,"&lt;&gt;Lorena Dias de Araujo",$B:$B,"&lt;&gt;Lucas Luiz Romero")*(28/1083),IF(C427="Técnico I",SUMIFS($D:$D,$A:$A,$A427,$B:$B,"&lt;&gt;Patrícia Karla de Sousa Araújo",$B:$B,"&lt;&gt;Lorena Dias de Araujo",$B:$B,"&lt;&gt;Lucas Luiz Romero")*(23/1083),IF(C427="JR",SUMIFS($D:$D,$A:$A,$A427,$B:$B,"&lt;&gt;Patrícia Karla de Sousa Araújo",$B:$B,"&lt;&gt;Lorena Dias de Araujo",$B:$B,"&lt;&gt;Lucas Luiz Romero")*(20/1083),IF(C427="Estágio",SUMIFS($D:$D,$A:$A,$A427,$B:$B,"&lt;&gt;Patrícia Karla de Sousa Araújo",$B:$B,"&lt;&gt;Lorena Dias de Araujo",$B:$B,"&lt;&gt;Lucas Luiz Romero")*(10/1083),0)))))),0)</f>
        <v/>
      </c>
      <c r="K427" s="3">
        <f>I427-J427</f>
        <v/>
      </c>
      <c r="L427" s="3">
        <f>IF(K427&lt;-5,"CRÍTICO",IF(K427&lt;0,"ATENÇÃO",IF(K427&lt;=5,"OPORTUNO","MUITO BOM")))</f>
        <v/>
      </c>
      <c r="M427" s="9" t="n">
        <v>18</v>
      </c>
      <c r="N427" s="9" t="n">
        <v>95.52</v>
      </c>
      <c r="O427" s="9" t="n">
        <v>10.56105610561056</v>
      </c>
    </row>
    <row r="428" hidden="1">
      <c r="A428" s="7" t="n">
        <v>46162</v>
      </c>
      <c r="B428" s="8" t="inlineStr">
        <is>
          <t>Leandro Oliveira de Sousa</t>
        </is>
      </c>
      <c r="C428" s="9" t="inlineStr">
        <is>
          <t>Técnico III</t>
        </is>
      </c>
      <c r="D428" s="3" t="n">
        <v>34</v>
      </c>
      <c r="E428" s="3" t="n">
        <v>29</v>
      </c>
      <c r="F428" s="3" t="n">
        <v>12.33</v>
      </c>
      <c r="G428" s="3" t="n">
        <v>0</v>
      </c>
      <c r="H428" s="3" t="n">
        <v>0</v>
      </c>
      <c r="I428" s="3">
        <f>E428+G428+H428</f>
        <v/>
      </c>
      <c r="J428" s="3">
        <f>ROUND(MIN(IF(C428="Técnico III",35,IF(C428="Técnico II",28,IF(C428="Técnico I",23,IF(C428="JR",20,IF(C428="Estágio",10,0))))),IF(C428="Técnico III",SUMIFS($D:$D,$A:$A,$A428,$B:$B,"&lt;&gt;Patrícia Karla de Sousa Araújo",$B:$B,"&lt;&gt;Lorena Dias de Araujo",$B:$B,"&lt;&gt;Lucas Luiz Romero")*(35/1083),IF(C428="Técnico II",SUMIFS($D:$D,$A:$A,$A428,$B:$B,"&lt;&gt;Patrícia Karla de Sousa Araújo",$B:$B,"&lt;&gt;Lorena Dias de Araujo",$B:$B,"&lt;&gt;Lucas Luiz Romero")*(28/1083),IF(C428="Técnico I",SUMIFS($D:$D,$A:$A,$A428,$B:$B,"&lt;&gt;Patrícia Karla de Sousa Araújo",$B:$B,"&lt;&gt;Lorena Dias de Araujo",$B:$B,"&lt;&gt;Lucas Luiz Romero")*(23/1083),IF(C428="JR",SUMIFS($D:$D,$A:$A,$A428,$B:$B,"&lt;&gt;Patrícia Karla de Sousa Araújo",$B:$B,"&lt;&gt;Lorena Dias de Araujo",$B:$B,"&lt;&gt;Lucas Luiz Romero")*(20/1083),IF(C428="Estágio",SUMIFS($D:$D,$A:$A,$A428,$B:$B,"&lt;&gt;Patrícia Karla de Sousa Araújo",$B:$B,"&lt;&gt;Lorena Dias de Araujo",$B:$B,"&lt;&gt;Lucas Luiz Romero")*(10/1083),0)))))),0)</f>
        <v/>
      </c>
      <c r="K428" s="3">
        <f>I428-J428</f>
        <v/>
      </c>
      <c r="L428" s="3">
        <f>IF(K428&lt;-5,"CRÍTICO",IF(K428&lt;0,"ATENÇÃO",IF(K428&lt;=5,"OPORTUNO","MUITO BOM")))</f>
        <v/>
      </c>
      <c r="M428" s="9" t="n">
        <v>28</v>
      </c>
      <c r="N428" s="9" t="n">
        <v>100</v>
      </c>
      <c r="O428" s="9" t="n">
        <v>15.58441558441558</v>
      </c>
    </row>
    <row r="429" hidden="1">
      <c r="A429" s="7" t="n">
        <v>46162</v>
      </c>
      <c r="B429" s="8" t="inlineStr">
        <is>
          <t>Lucas Luiz Romero</t>
        </is>
      </c>
      <c r="C429" s="9" t="inlineStr">
        <is>
          <t>Técnico III</t>
        </is>
      </c>
      <c r="D429" s="3" t="n">
        <v>26</v>
      </c>
      <c r="E429" s="3" t="n">
        <v>21</v>
      </c>
      <c r="F429" s="3" t="n">
        <v>15.25</v>
      </c>
      <c r="G429" s="3" t="n">
        <v>0</v>
      </c>
      <c r="H429" s="3" t="n">
        <v>0</v>
      </c>
      <c r="I429" s="3">
        <f>E429+G429+H429</f>
        <v/>
      </c>
      <c r="J429" s="3">
        <f>ROUND(MIN(IF(C429="Técnico III",35,IF(C429="Técnico II",28,IF(C429="Técnico I",23,IF(C429="JR",20,IF(C429="Estágio",10,0))))),IF(C429="Técnico III",SUMIFS($D:$D,$A:$A,$A429,$B:$B,"&lt;&gt;Patrícia Karla de Sousa Araújo",$B:$B,"&lt;&gt;Lorena Dias de Araujo",$B:$B,"&lt;&gt;Lucas Luiz Romero")*(35/1083),IF(C429="Técnico II",SUMIFS($D:$D,$A:$A,$A429,$B:$B,"&lt;&gt;Patrícia Karla de Sousa Araújo",$B:$B,"&lt;&gt;Lorena Dias de Araujo",$B:$B,"&lt;&gt;Lucas Luiz Romero")*(28/1083),IF(C429="Técnico I",SUMIFS($D:$D,$A:$A,$A429,$B:$B,"&lt;&gt;Patrícia Karla de Sousa Araújo",$B:$B,"&lt;&gt;Lorena Dias de Araujo",$B:$B,"&lt;&gt;Lucas Luiz Romero")*(23/1083),IF(C429="JR",SUMIFS($D:$D,$A:$A,$A429,$B:$B,"&lt;&gt;Patrícia Karla de Sousa Araújo",$B:$B,"&lt;&gt;Lorena Dias de Araujo",$B:$B,"&lt;&gt;Lucas Luiz Romero")*(20/1083),IF(C429="Estágio",SUMIFS($D:$D,$A:$A,$A429,$B:$B,"&lt;&gt;Patrícia Karla de Sousa Araújo",$B:$B,"&lt;&gt;Lorena Dias de Araujo",$B:$B,"&lt;&gt;Lucas Luiz Romero")*(10/1083),0)))))),0)</f>
        <v/>
      </c>
      <c r="K429" s="3">
        <f>I429-J429</f>
        <v/>
      </c>
      <c r="L429" s="3">
        <f>IF(K429&lt;-5,"CRÍTICO",IF(K429&lt;0,"ATENÇÃO",IF(K429&lt;=5,"OPORTUNO","MUITO BOM")))</f>
        <v/>
      </c>
      <c r="M429" s="9" t="n">
        <v>18</v>
      </c>
      <c r="N429" s="9" t="n">
        <v>100</v>
      </c>
      <c r="O429" s="9" t="n">
        <v>4.347826086956522</v>
      </c>
    </row>
    <row r="430" hidden="1">
      <c r="A430" s="11" t="n">
        <v>46041</v>
      </c>
      <c r="B430" t="inlineStr">
        <is>
          <t>Gabriel Gomes de Andrade</t>
        </is>
      </c>
      <c r="C430" t="inlineStr">
        <is>
          <t>Técnico I</t>
        </is>
      </c>
      <c r="D430" t="n">
        <v>13</v>
      </c>
      <c r="E430" t="n">
        <v>13</v>
      </c>
      <c r="F430" t="n">
        <v>29.11</v>
      </c>
      <c r="G430" t="n">
        <v>0</v>
      </c>
      <c r="H430" t="n">
        <v>0</v>
      </c>
      <c r="I430" s="3">
        <f>E430+G430+H430</f>
        <v/>
      </c>
      <c r="J430" s="3">
        <f>ROUND(MIN(IF(C430="Técnico III",35,IF(C430="Técnico II",28,IF(C430="Técnico I",23,IF(C430="JR",20,IF(C430="Estágio",10,0))))),IF(C430="Técnico III",SUMIFS($D:$D,$A:$A,$A430,$B:$B,"&lt;&gt;Patrícia Karla de Sousa Araújo",$B:$B,"&lt;&gt;Lorena Dias de Araujo",$B:$B,"&lt;&gt;Lucas Luiz Romero")*(35/1083),IF(C430="Técnico II",SUMIFS($D:$D,$A:$A,$A430,$B:$B,"&lt;&gt;Patrícia Karla de Sousa Araújo",$B:$B,"&lt;&gt;Lorena Dias de Araujo",$B:$B,"&lt;&gt;Lucas Luiz Romero")*(28/1083),IF(C430="Técnico I",SUMIFS($D:$D,$A:$A,$A430,$B:$B,"&lt;&gt;Patrícia Karla de Sousa Araújo",$B:$B,"&lt;&gt;Lorena Dias de Araujo",$B:$B,"&lt;&gt;Lucas Luiz Romero")*(23/1083),IF(C430="JR",SUMIFS($D:$D,$A:$A,$A430,$B:$B,"&lt;&gt;Patrícia Karla de Sousa Araújo",$B:$B,"&lt;&gt;Lorena Dias de Araujo",$B:$B,"&lt;&gt;Lucas Luiz Romero")*(20/1083),IF(C430="Estágio",SUMIFS($D:$D,$A:$A,$A430,$B:$B,"&lt;&gt;Patrícia Karla de Sousa Araújo",$B:$B,"&lt;&gt;Lorena Dias de Araujo",$B:$B,"&lt;&gt;Lucas Luiz Romero")*(10/1083),0)))))),0)</f>
        <v/>
      </c>
      <c r="K430" s="3">
        <f>I430-J430</f>
        <v/>
      </c>
      <c r="L430" s="3">
        <f>IF(K430&lt;-5,"CRÍTICO",IF(K430&lt;0,"ATENÇÃO",IF(K430&lt;=5,"BOM","EXCELENTE")))</f>
        <v/>
      </c>
      <c r="M430" t="n">
        <v>12</v>
      </c>
      <c r="N430" t="n">
        <v>97.14</v>
      </c>
      <c r="O430" t="n">
        <v>30.08849557522124</v>
      </c>
    </row>
    <row r="431" hidden="1">
      <c r="A431" s="7" t="n">
        <v>46162</v>
      </c>
      <c r="B431" s="8" t="inlineStr">
        <is>
          <t>Matheus Farias De Souza</t>
        </is>
      </c>
      <c r="C431" s="9" t="inlineStr">
        <is>
          <t>Técnico III</t>
        </is>
      </c>
      <c r="D431" s="3" t="n">
        <v>0</v>
      </c>
      <c r="E431" s="3" t="n">
        <v>0</v>
      </c>
      <c r="F431" s="3" t="n">
        <v>0</v>
      </c>
      <c r="G431" s="3" t="n">
        <v>0</v>
      </c>
      <c r="H431" s="3" t="n">
        <v>25</v>
      </c>
      <c r="I431" s="3">
        <f>E431+G431+H431</f>
        <v/>
      </c>
      <c r="J431" s="3">
        <f>ROUND(MIN(IF(C431="Técnico III",35,IF(C431="Técnico II",28,IF(C431="Técnico I",23,IF(C431="JR",20,IF(C431="Estágio",10,0))))),IF(C431="Técnico III",SUMIFS($D:$D,$A:$A,$A431,$B:$B,"&lt;&gt;Patrícia Karla de Sousa Araújo",$B:$B,"&lt;&gt;Lorena Dias de Araujo",$B:$B,"&lt;&gt;Lucas Luiz Romero")*(35/1083),IF(C431="Técnico II",SUMIFS($D:$D,$A:$A,$A431,$B:$B,"&lt;&gt;Patrícia Karla de Sousa Araújo",$B:$B,"&lt;&gt;Lorena Dias de Araujo",$B:$B,"&lt;&gt;Lucas Luiz Romero")*(28/1083),IF(C431="Técnico I",SUMIFS($D:$D,$A:$A,$A431,$B:$B,"&lt;&gt;Patrícia Karla de Sousa Araújo",$B:$B,"&lt;&gt;Lorena Dias de Araujo",$B:$B,"&lt;&gt;Lucas Luiz Romero")*(23/1083),IF(C431="JR",SUMIFS($D:$D,$A:$A,$A431,$B:$B,"&lt;&gt;Patrícia Karla de Sousa Araújo",$B:$B,"&lt;&gt;Lorena Dias de Araujo",$B:$B,"&lt;&gt;Lucas Luiz Romero")*(20/1083),IF(C431="Estágio",SUMIFS($D:$D,$A:$A,$A431,$B:$B,"&lt;&gt;Patrícia Karla de Sousa Araújo",$B:$B,"&lt;&gt;Lorena Dias de Araujo",$B:$B,"&lt;&gt;Lucas Luiz Romero")*(10/1083),0)))))),0)</f>
        <v/>
      </c>
      <c r="K431" s="3">
        <f>I431-J431</f>
        <v/>
      </c>
      <c r="L431" s="3">
        <f>IF(K431&lt;-5,"CRÍTICO",IF(K431&lt;0,"ATENÇÃO",IF(K431&lt;=5,"OPORTUNO","MUITO BOM")))</f>
        <v/>
      </c>
      <c r="M431" s="9" t="n">
        <v>16</v>
      </c>
      <c r="N431" s="9" t="n">
        <v>98.28</v>
      </c>
      <c r="O431" s="9" t="n">
        <v>9.037900874635568</v>
      </c>
    </row>
    <row r="432" hidden="1">
      <c r="A432" s="7" t="n">
        <v>46162</v>
      </c>
      <c r="B432" s="8" t="inlineStr">
        <is>
          <t>Maysa Victoria Dias Moura</t>
        </is>
      </c>
      <c r="C432" s="9" t="inlineStr">
        <is>
          <t>Técnico III</t>
        </is>
      </c>
      <c r="D432" s="3" t="n">
        <v>27</v>
      </c>
      <c r="E432" s="3" t="n">
        <v>25</v>
      </c>
      <c r="F432" s="3" t="n">
        <v>15.01</v>
      </c>
      <c r="G432" s="3" t="n">
        <v>2</v>
      </c>
      <c r="H432" s="3" t="n">
        <v>0</v>
      </c>
      <c r="I432" s="3">
        <f>E432+G432+H432</f>
        <v/>
      </c>
      <c r="J432" s="3">
        <f>ROUND(MIN(IF(C432="Técnico III",35,IF(C432="Técnico II",28,IF(C432="Técnico I",23,IF(C432="JR",20,IF(C432="Estágio",10,0))))),IF(C432="Técnico III",SUMIFS($D:$D,$A:$A,$A432,$B:$B,"&lt;&gt;Patrícia Karla de Sousa Araújo",$B:$B,"&lt;&gt;Lorena Dias de Araujo",$B:$B,"&lt;&gt;Lucas Luiz Romero")*(35/1083),IF(C432="Técnico II",SUMIFS($D:$D,$A:$A,$A432,$B:$B,"&lt;&gt;Patrícia Karla de Sousa Araújo",$B:$B,"&lt;&gt;Lorena Dias de Araujo",$B:$B,"&lt;&gt;Lucas Luiz Romero")*(28/1083),IF(C432="Técnico I",SUMIFS($D:$D,$A:$A,$A432,$B:$B,"&lt;&gt;Patrícia Karla de Sousa Araújo",$B:$B,"&lt;&gt;Lorena Dias de Araujo",$B:$B,"&lt;&gt;Lucas Luiz Romero")*(23/1083),IF(C432="JR",SUMIFS($D:$D,$A:$A,$A432,$B:$B,"&lt;&gt;Patrícia Karla de Sousa Araújo",$B:$B,"&lt;&gt;Lorena Dias de Araujo",$B:$B,"&lt;&gt;Lucas Luiz Romero")*(20/1083),IF(C432="Estágio",SUMIFS($D:$D,$A:$A,$A432,$B:$B,"&lt;&gt;Patrícia Karla de Sousa Araújo",$B:$B,"&lt;&gt;Lorena Dias de Araujo",$B:$B,"&lt;&gt;Lucas Luiz Romero")*(10/1083),0)))))),0)</f>
        <v/>
      </c>
      <c r="K432" s="3">
        <f>I432-J432</f>
        <v/>
      </c>
      <c r="L432" s="3">
        <f>IF(K432&lt;-5,"CRÍTICO",IF(K432&lt;0,"ATENÇÃO",IF(K432&lt;=5,"OPORTUNO","MUITO BOM")))</f>
        <v/>
      </c>
      <c r="M432" s="9" t="n">
        <v>23</v>
      </c>
      <c r="N432" s="9" t="n">
        <v>97.22</v>
      </c>
      <c r="O432" s="9" t="n">
        <v>19.09547738693467</v>
      </c>
    </row>
    <row r="433" hidden="1">
      <c r="A433" s="7" t="n">
        <v>46162</v>
      </c>
      <c r="B433" s="8" t="inlineStr">
        <is>
          <t>Rafael Gomes de Morais</t>
        </is>
      </c>
      <c r="C433" s="9" t="inlineStr">
        <is>
          <t>Técnico III</t>
        </is>
      </c>
      <c r="D433" s="3" t="n">
        <v>37</v>
      </c>
      <c r="E433" s="3" t="n">
        <v>33</v>
      </c>
      <c r="F433" s="3" t="n">
        <v>15.26</v>
      </c>
      <c r="G433" s="3" t="n">
        <v>0</v>
      </c>
      <c r="H433" s="3" t="n">
        <v>0</v>
      </c>
      <c r="I433" s="3">
        <f>E433+G433+H433</f>
        <v/>
      </c>
      <c r="J433" s="3">
        <f>ROUND(MIN(IF(C433="Técnico III",35,IF(C433="Técnico II",28,IF(C433="Técnico I",23,IF(C433="JR",20,IF(C433="Estágio",10,0))))),IF(C433="Técnico III",SUMIFS($D:$D,$A:$A,$A433,$B:$B,"&lt;&gt;Patrícia Karla de Sousa Araújo",$B:$B,"&lt;&gt;Lorena Dias de Araujo",$B:$B,"&lt;&gt;Lucas Luiz Romero")*(35/1083),IF(C433="Técnico II",SUMIFS($D:$D,$A:$A,$A433,$B:$B,"&lt;&gt;Patrícia Karla de Sousa Araújo",$B:$B,"&lt;&gt;Lorena Dias de Araujo",$B:$B,"&lt;&gt;Lucas Luiz Romero")*(28/1083),IF(C433="Técnico I",SUMIFS($D:$D,$A:$A,$A433,$B:$B,"&lt;&gt;Patrícia Karla de Sousa Araújo",$B:$B,"&lt;&gt;Lorena Dias de Araujo",$B:$B,"&lt;&gt;Lucas Luiz Romero")*(23/1083),IF(C433="JR",SUMIFS($D:$D,$A:$A,$A433,$B:$B,"&lt;&gt;Patrícia Karla de Sousa Araújo",$B:$B,"&lt;&gt;Lorena Dias de Araujo",$B:$B,"&lt;&gt;Lucas Luiz Romero")*(20/1083),IF(C433="Estágio",SUMIFS($D:$D,$A:$A,$A433,$B:$B,"&lt;&gt;Patrícia Karla de Sousa Araújo",$B:$B,"&lt;&gt;Lorena Dias de Araujo",$B:$B,"&lt;&gt;Lucas Luiz Romero")*(10/1083),0)))))),0)</f>
        <v/>
      </c>
      <c r="K433" s="3">
        <f>I433-J433</f>
        <v/>
      </c>
      <c r="L433" s="3">
        <f>IF(K433&lt;-5,"CRÍTICO",IF(K433&lt;0,"ATENÇÃO",IF(K433&lt;=5,"OPORTUNO","MUITO BOM")))</f>
        <v/>
      </c>
      <c r="M433" s="9" t="n">
        <v>28</v>
      </c>
      <c r="N433" s="9" t="n">
        <v>99.29000000000001</v>
      </c>
      <c r="O433" s="9" t="n">
        <v>22.49443207126949</v>
      </c>
    </row>
    <row r="434" hidden="1">
      <c r="A434" s="7" t="n">
        <v>46162</v>
      </c>
      <c r="B434" s="8" t="inlineStr">
        <is>
          <t>Sarah Steffanie de Lima Borges</t>
        </is>
      </c>
      <c r="C434" s="9" t="inlineStr">
        <is>
          <t>Técnico III</t>
        </is>
      </c>
      <c r="D434" s="3" t="n">
        <v>25</v>
      </c>
      <c r="E434" s="3" t="n">
        <v>23</v>
      </c>
      <c r="F434" s="3" t="n">
        <v>12.07</v>
      </c>
      <c r="G434" s="3" t="n">
        <v>1</v>
      </c>
      <c r="H434" s="3" t="n">
        <v>0</v>
      </c>
      <c r="I434" s="3">
        <f>E434+G434+H434</f>
        <v/>
      </c>
      <c r="J434" s="3">
        <f>ROUND(MIN(IF(C434="Técnico III",35,IF(C434="Técnico II",28,IF(C434="Técnico I",23,IF(C434="JR",20,IF(C434="Estágio",10,0))))),IF(C434="Técnico III",SUMIFS($D:$D,$A:$A,$A434,$B:$B,"&lt;&gt;Patrícia Karla de Sousa Araújo",$B:$B,"&lt;&gt;Lorena Dias de Araujo",$B:$B,"&lt;&gt;Lucas Luiz Romero")*(35/1083),IF(C434="Técnico II",SUMIFS($D:$D,$A:$A,$A434,$B:$B,"&lt;&gt;Patrícia Karla de Sousa Araújo",$B:$B,"&lt;&gt;Lorena Dias de Araujo",$B:$B,"&lt;&gt;Lucas Luiz Romero")*(28/1083),IF(C434="Técnico I",SUMIFS($D:$D,$A:$A,$A434,$B:$B,"&lt;&gt;Patrícia Karla de Sousa Araújo",$B:$B,"&lt;&gt;Lorena Dias de Araujo",$B:$B,"&lt;&gt;Lucas Luiz Romero")*(23/1083),IF(C434="JR",SUMIFS($D:$D,$A:$A,$A434,$B:$B,"&lt;&gt;Patrícia Karla de Sousa Araújo",$B:$B,"&lt;&gt;Lorena Dias de Araujo",$B:$B,"&lt;&gt;Lucas Luiz Romero")*(20/1083),IF(C434="Estágio",SUMIFS($D:$D,$A:$A,$A434,$B:$B,"&lt;&gt;Patrícia Karla de Sousa Araújo",$B:$B,"&lt;&gt;Lorena Dias de Araujo",$B:$B,"&lt;&gt;Lucas Luiz Romero")*(10/1083),0)))))),0)</f>
        <v/>
      </c>
      <c r="K434" s="3">
        <f>I434-J434</f>
        <v/>
      </c>
      <c r="L434" s="3">
        <f>IF(K434&lt;-5,"CRÍTICO",IF(K434&lt;0,"ATENÇÃO",IF(K434&lt;=5,"OPORTUNO","MUITO BOM")))</f>
        <v/>
      </c>
      <c r="M434" s="9" t="n">
        <v>21</v>
      </c>
      <c r="N434" s="9" t="n">
        <v>97.33</v>
      </c>
      <c r="O434" s="9" t="n">
        <v>15.80547112462006</v>
      </c>
    </row>
    <row r="435" hidden="1">
      <c r="A435" s="5" t="n">
        <v>46163</v>
      </c>
      <c r="B435" s="6" t="inlineStr">
        <is>
          <t>Amanda Moura Ferreira</t>
        </is>
      </c>
      <c r="C435" s="3" t="inlineStr">
        <is>
          <t>Técnico III</t>
        </is>
      </c>
      <c r="D435" s="3" t="n">
        <v>0</v>
      </c>
      <c r="E435" s="3" t="n">
        <v>0</v>
      </c>
      <c r="F435" s="3" t="n">
        <v>0</v>
      </c>
      <c r="G435" s="3" t="n">
        <v>0</v>
      </c>
      <c r="H435" s="3" t="n">
        <v>0</v>
      </c>
      <c r="I435" s="3" t="n">
        <v>0</v>
      </c>
      <c r="J435" s="3" t="n">
        <v>0</v>
      </c>
      <c r="K435" s="3" t="n">
        <v>0</v>
      </c>
      <c r="L435" s="3">
        <f>IF(K435&lt;-5,"CRÍTICO",IF(K435&lt;0,"ATENÇÃO",IF(K435&lt;=5,"OPORTUNO","MUITO BOM")))</f>
        <v/>
      </c>
      <c r="M435" s="3" t="n">
        <v>0</v>
      </c>
      <c r="N435" s="3" t="n">
        <v>100</v>
      </c>
      <c r="O435" s="3" t="n">
        <v>0</v>
      </c>
    </row>
    <row r="436" hidden="1">
      <c r="A436" s="5" t="n">
        <v>46163</v>
      </c>
      <c r="B436" s="6" t="inlineStr">
        <is>
          <t>Ana Paula Da Luz Silva Aleixo</t>
        </is>
      </c>
      <c r="C436" s="3" t="inlineStr">
        <is>
          <t>Técnico III</t>
        </is>
      </c>
      <c r="D436" s="3" t="n">
        <v>17</v>
      </c>
      <c r="E436" s="3" t="n">
        <v>15</v>
      </c>
      <c r="F436" s="3" t="n">
        <v>20.24</v>
      </c>
      <c r="G436" s="3" t="n">
        <v>0</v>
      </c>
      <c r="H436" s="3" t="n">
        <v>0</v>
      </c>
      <c r="I436" s="3">
        <f>E436+G436+H436</f>
        <v/>
      </c>
      <c r="J436" s="3">
        <f>ROUND(MIN(IF(C436="Técnico III",35,IF(C436="Técnico II",28,IF(C436="Técnico I",23,IF(C436="JR",20,IF(C436="Estágio",10,0))))),IF(C436="Técnico III",SUMIFS($D:$D,$A:$A,$A436,$B:$B,"&lt;&gt;Patrícia Karla de Sousa Araújo",$B:$B,"&lt;&gt;Lorena Dias de Araujo",$B:$B,"&lt;&gt;Lucas Luiz Romero")*(35/1083),IF(C436="Técnico II",SUMIFS($D:$D,$A:$A,$A436,$B:$B,"&lt;&gt;Patrícia Karla de Sousa Araújo",$B:$B,"&lt;&gt;Lorena Dias de Araujo",$B:$B,"&lt;&gt;Lucas Luiz Romero")*(28/1083),IF(C436="Técnico I",SUMIFS($D:$D,$A:$A,$A436,$B:$B,"&lt;&gt;Patrícia Karla de Sousa Araújo",$B:$B,"&lt;&gt;Lorena Dias de Araujo",$B:$B,"&lt;&gt;Lucas Luiz Romero")*(23/1083),IF(C436="JR",SUMIFS($D:$D,$A:$A,$A436,$B:$B,"&lt;&gt;Patrícia Karla de Sousa Araújo",$B:$B,"&lt;&gt;Lorena Dias de Araujo",$B:$B,"&lt;&gt;Lucas Luiz Romero")*(20/1083),IF(C436="Estágio",SUMIFS($D:$D,$A:$A,$A436,$B:$B,"&lt;&gt;Patrícia Karla de Sousa Araújo",$B:$B,"&lt;&gt;Lorena Dias de Araujo",$B:$B,"&lt;&gt;Lucas Luiz Romero")*(10/1083),0)))))),0)</f>
        <v/>
      </c>
      <c r="K436" s="3">
        <f>I436-J436</f>
        <v/>
      </c>
      <c r="L436" s="3">
        <f>IF(K436&lt;-5,"CRÍTICO",IF(K436&lt;0,"ATENÇÃO",IF(K436&lt;=5,"OPORTUNO","MUITO BOM")))</f>
        <v/>
      </c>
      <c r="M436" s="3" t="n">
        <v>13</v>
      </c>
      <c r="N436" s="3" t="n">
        <v>96.34</v>
      </c>
      <c r="O436" s="3" t="n">
        <v>17.57188498402556</v>
      </c>
    </row>
    <row r="437" hidden="1">
      <c r="A437" s="5" t="n">
        <v>46163</v>
      </c>
      <c r="B437" s="6" t="inlineStr">
        <is>
          <t>Cristiane Ramos da Silva Rocha</t>
        </is>
      </c>
      <c r="C437" s="3" t="inlineStr">
        <is>
          <t>Técnico III</t>
        </is>
      </c>
      <c r="D437" s="3" t="n">
        <v>22</v>
      </c>
      <c r="E437" s="3" t="n">
        <v>22</v>
      </c>
      <c r="F437" s="3" t="n">
        <v>13.42</v>
      </c>
      <c r="G437" s="3" t="n">
        <v>0</v>
      </c>
      <c r="H437" s="3" t="n">
        <v>0</v>
      </c>
      <c r="I437" s="3">
        <f>E437+G437+H437</f>
        <v/>
      </c>
      <c r="J437" s="3">
        <f>ROUND(MIN(IF(C437="Técnico III",35,IF(C437="Técnico II",28,IF(C437="Técnico I",23,IF(C437="JR",20,IF(C437="Estágio",10,0))))),IF(C437="Técnico III",SUMIFS($D:$D,$A:$A,$A437,$B:$B,"&lt;&gt;Patrícia Karla de Sousa Araújo",$B:$B,"&lt;&gt;Lorena Dias de Araujo",$B:$B,"&lt;&gt;Lucas Luiz Romero")*(35/1083),IF(C437="Técnico II",SUMIFS($D:$D,$A:$A,$A437,$B:$B,"&lt;&gt;Patrícia Karla de Sousa Araújo",$B:$B,"&lt;&gt;Lorena Dias de Araujo",$B:$B,"&lt;&gt;Lucas Luiz Romero")*(28/1083),IF(C437="Técnico I",SUMIFS($D:$D,$A:$A,$A437,$B:$B,"&lt;&gt;Patrícia Karla de Sousa Araújo",$B:$B,"&lt;&gt;Lorena Dias de Araujo",$B:$B,"&lt;&gt;Lucas Luiz Romero")*(23/1083),IF(C437="JR",SUMIFS($D:$D,$A:$A,$A437,$B:$B,"&lt;&gt;Patrícia Karla de Sousa Araújo",$B:$B,"&lt;&gt;Lorena Dias de Araujo",$B:$B,"&lt;&gt;Lucas Luiz Romero")*(20/1083),IF(C437="Estágio",SUMIFS($D:$D,$A:$A,$A437,$B:$B,"&lt;&gt;Patrícia Karla de Sousa Araújo",$B:$B,"&lt;&gt;Lorena Dias de Araujo",$B:$B,"&lt;&gt;Lucas Luiz Romero")*(10/1083),0)))))),0)</f>
        <v/>
      </c>
      <c r="K437" s="3">
        <f>I437-J437</f>
        <v/>
      </c>
      <c r="L437" s="3">
        <f>IF(K437&lt;-5,"CRÍTICO",IF(K437&lt;0,"ATENÇÃO",IF(K437&lt;=5,"OPORTUNO","MUITO BOM")))</f>
        <v/>
      </c>
      <c r="M437" s="3" t="n">
        <v>20</v>
      </c>
      <c r="N437" s="3" t="n">
        <v>91.84999999999999</v>
      </c>
      <c r="O437" s="3" t="n">
        <v>20.87155963302752</v>
      </c>
    </row>
    <row r="438" hidden="1">
      <c r="A438" s="5" t="n">
        <v>46163</v>
      </c>
      <c r="B438" s="6" t="inlineStr">
        <is>
          <t>Davylla Rodrigues Freitas Silva</t>
        </is>
      </c>
      <c r="C438" s="3" t="inlineStr">
        <is>
          <t>Técnico III</t>
        </is>
      </c>
      <c r="D438" s="3" t="n">
        <v>0</v>
      </c>
      <c r="E438" s="3" t="n">
        <v>0</v>
      </c>
      <c r="F438" s="3" t="n">
        <v>0</v>
      </c>
      <c r="G438" s="3" t="n">
        <v>0</v>
      </c>
      <c r="H438" s="3" t="n">
        <v>0</v>
      </c>
      <c r="I438" s="3" t="n">
        <v>0</v>
      </c>
      <c r="J438" s="3" t="n">
        <v>0</v>
      </c>
      <c r="K438" s="3" t="n">
        <v>0</v>
      </c>
      <c r="L438" s="3">
        <f>IF(K438&lt;-5,"CRÍTICO",IF(K438&lt;0,"ATENÇÃO",IF(K438&lt;=5,"OPORTUNO","MUITO BOM")))</f>
        <v/>
      </c>
      <c r="M438" s="3" t="n">
        <v>0</v>
      </c>
      <c r="N438" s="3" t="n">
        <v>99.06</v>
      </c>
      <c r="O438" s="3" t="n">
        <v>22.95719844357977</v>
      </c>
    </row>
    <row r="439" hidden="1">
      <c r="A439" s="5" t="n">
        <v>46163</v>
      </c>
      <c r="B439" s="6" t="inlineStr">
        <is>
          <t>Francielson de Oliveira</t>
        </is>
      </c>
      <c r="C439" s="3" t="inlineStr">
        <is>
          <t>Técnico III</t>
        </is>
      </c>
      <c r="D439" s="3" t="n">
        <v>0</v>
      </c>
      <c r="E439" s="3" t="n">
        <v>0</v>
      </c>
      <c r="F439" s="3" t="n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>
        <f>IF(K439&lt;-5,"CRÍTICO",IF(K439&lt;0,"ATENÇÃO",IF(K439&lt;=5,"OPORTUNO","MUITO BOM")))</f>
        <v/>
      </c>
      <c r="M439" s="3" t="n">
        <v>0</v>
      </c>
      <c r="N439" s="3" t="n">
        <v>100</v>
      </c>
      <c r="O439" s="3" t="n">
        <v>9.523809523809524</v>
      </c>
    </row>
    <row r="440" hidden="1">
      <c r="A440" s="5" t="n">
        <v>46163</v>
      </c>
      <c r="B440" s="6" t="inlineStr">
        <is>
          <t>Janaina Lima dos Reis Urany</t>
        </is>
      </c>
      <c r="C440" s="3" t="inlineStr">
        <is>
          <t>Técnico III</t>
        </is>
      </c>
      <c r="D440" s="3" t="n">
        <v>31</v>
      </c>
      <c r="E440" s="3" t="n">
        <v>28</v>
      </c>
      <c r="F440" s="3" t="n">
        <v>13.35</v>
      </c>
      <c r="G440" s="3" t="n">
        <v>2</v>
      </c>
      <c r="H440" s="3" t="n">
        <v>0</v>
      </c>
      <c r="I440" s="3">
        <f>E440+G440+H440</f>
        <v/>
      </c>
      <c r="J440" s="3">
        <f>ROUND(MIN(IF(C440="Técnico III",35,IF(C440="Técnico II",28,IF(C440="Técnico I",23,IF(C440="JR",20,IF(C440="Estágio",10,0))))),IF(C440="Técnico III",SUMIFS($D:$D,$A:$A,$A440,$B:$B,"&lt;&gt;Patrícia Karla de Sousa Araújo",$B:$B,"&lt;&gt;Lorena Dias de Araujo",$B:$B,"&lt;&gt;Lucas Luiz Romero")*(35/1083),IF(C440="Técnico II",SUMIFS($D:$D,$A:$A,$A440,$B:$B,"&lt;&gt;Patrícia Karla de Sousa Araújo",$B:$B,"&lt;&gt;Lorena Dias de Araujo",$B:$B,"&lt;&gt;Lucas Luiz Romero")*(28/1083),IF(C440="Técnico I",SUMIFS($D:$D,$A:$A,$A440,$B:$B,"&lt;&gt;Patrícia Karla de Sousa Araújo",$B:$B,"&lt;&gt;Lorena Dias de Araujo",$B:$B,"&lt;&gt;Lucas Luiz Romero")*(23/1083),IF(C440="JR",SUMIFS($D:$D,$A:$A,$A440,$B:$B,"&lt;&gt;Patrícia Karla de Sousa Araújo",$B:$B,"&lt;&gt;Lorena Dias de Araujo",$B:$B,"&lt;&gt;Lucas Luiz Romero")*(20/1083),IF(C440="Estágio",SUMIFS($D:$D,$A:$A,$A440,$B:$B,"&lt;&gt;Patrícia Karla de Sousa Araújo",$B:$B,"&lt;&gt;Lorena Dias de Araujo",$B:$B,"&lt;&gt;Lucas Luiz Romero")*(10/1083),0)))))),0)</f>
        <v/>
      </c>
      <c r="K440" s="3">
        <f>I440-J440</f>
        <v/>
      </c>
      <c r="L440" s="3">
        <f>IF(K440&lt;-5,"CRÍTICO",IF(K440&lt;0,"ATENÇÃO",IF(K440&lt;=5,"OPORTUNO","MUITO BOM")))</f>
        <v/>
      </c>
      <c r="M440" s="3" t="n">
        <v>28</v>
      </c>
      <c r="N440" s="3" t="n">
        <v>98.64</v>
      </c>
      <c r="O440" s="3" t="n">
        <v>16.6383701188455</v>
      </c>
    </row>
    <row r="441" hidden="1">
      <c r="A441" s="5" t="n">
        <v>46163</v>
      </c>
      <c r="B441" s="6" t="inlineStr">
        <is>
          <t>Jaqueline Evangelista da Silva Martins</t>
        </is>
      </c>
      <c r="C441" s="3" t="inlineStr">
        <is>
          <t>Técnico III</t>
        </is>
      </c>
      <c r="D441" s="3" t="n">
        <v>10</v>
      </c>
      <c r="E441" s="3" t="n">
        <v>10</v>
      </c>
      <c r="F441" s="3" t="n">
        <v>19.12</v>
      </c>
      <c r="G441" s="3" t="n">
        <v>2</v>
      </c>
      <c r="H441" s="3" t="n">
        <v>0</v>
      </c>
      <c r="I441" s="3">
        <f>E441+G441+H441</f>
        <v/>
      </c>
      <c r="J441" s="3">
        <f>ROUND(MIN(IF(C441="Técnico III",35,IF(C441="Técnico II",28,IF(C441="Técnico I",23,IF(C441="JR",20,IF(C441="Estágio",10,0))))),IF(C441="Técnico III",SUMIFS($D:$D,$A:$A,$A441,$B:$B,"&lt;&gt;Patrícia Karla de Sousa Araújo",$B:$B,"&lt;&gt;Lorena Dias de Araujo",$B:$B,"&lt;&gt;Lucas Luiz Romero")*(35/1083),IF(C441="Técnico II",SUMIFS($D:$D,$A:$A,$A441,$B:$B,"&lt;&gt;Patrícia Karla de Sousa Araújo",$B:$B,"&lt;&gt;Lorena Dias de Araujo",$B:$B,"&lt;&gt;Lucas Luiz Romero")*(28/1083),IF(C441="Técnico I",SUMIFS($D:$D,$A:$A,$A441,$B:$B,"&lt;&gt;Patrícia Karla de Sousa Araújo",$B:$B,"&lt;&gt;Lorena Dias de Araujo",$B:$B,"&lt;&gt;Lucas Luiz Romero")*(23/1083),IF(C441="JR",SUMIFS($D:$D,$A:$A,$A441,$B:$B,"&lt;&gt;Patrícia Karla de Sousa Araújo",$B:$B,"&lt;&gt;Lorena Dias de Araujo",$B:$B,"&lt;&gt;Lucas Luiz Romero")*(20/1083),IF(C441="Estágio",SUMIFS($D:$D,$A:$A,$A441,$B:$B,"&lt;&gt;Patrícia Karla de Sousa Araújo",$B:$B,"&lt;&gt;Lorena Dias de Araujo",$B:$B,"&lt;&gt;Lucas Luiz Romero")*(10/1083),0)))))),0)</f>
        <v/>
      </c>
      <c r="K441" s="3">
        <f>I441-J441</f>
        <v/>
      </c>
      <c r="L441" s="3">
        <f>IF(K441&lt;-5,"CRÍTICO",IF(K441&lt;0,"ATENÇÃO",IF(K441&lt;=5,"OPORTUNO","MUITO BOM")))</f>
        <v/>
      </c>
      <c r="M441" s="3" t="n">
        <v>10</v>
      </c>
      <c r="N441" s="3" t="n">
        <v>95.40000000000001</v>
      </c>
      <c r="O441" s="3" t="n">
        <v>20.53333333333333</v>
      </c>
    </row>
    <row r="442" hidden="1">
      <c r="A442" s="5" t="n">
        <v>46163</v>
      </c>
      <c r="B442" s="6" t="inlineStr">
        <is>
          <t>Jéssica Fé Moura</t>
        </is>
      </c>
      <c r="C442" s="3" t="inlineStr">
        <is>
          <t>Técnico III</t>
        </is>
      </c>
      <c r="D442" s="3" t="n">
        <v>0</v>
      </c>
      <c r="E442" s="3" t="n">
        <v>0</v>
      </c>
      <c r="F442" s="3" t="n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>
        <f>IF(K442&lt;-5,"CRÍTICO",IF(K442&lt;0,"ATENÇÃO",IF(K442&lt;=5,"OPORTUNO","MUITO BOM")))</f>
        <v/>
      </c>
      <c r="M442" s="3" t="n">
        <v>0</v>
      </c>
      <c r="N442" s="3" t="n">
        <v>0</v>
      </c>
      <c r="O442" s="3" t="n">
        <v>0</v>
      </c>
    </row>
    <row r="443" hidden="1">
      <c r="A443" s="5" t="n">
        <v>46163</v>
      </c>
      <c r="B443" s="6" t="inlineStr">
        <is>
          <t>Kerollen Cristielly de Jesus Siqueira</t>
        </is>
      </c>
      <c r="C443" s="3" t="inlineStr">
        <is>
          <t>Técnico III</t>
        </is>
      </c>
      <c r="D443" s="3" t="n">
        <v>21</v>
      </c>
      <c r="E443" s="3" t="n">
        <v>20</v>
      </c>
      <c r="F443" s="3" t="n">
        <v>23.33</v>
      </c>
      <c r="G443" s="3" t="n">
        <v>1</v>
      </c>
      <c r="H443" s="3" t="n">
        <v>0</v>
      </c>
      <c r="I443" s="3">
        <f>E443+G443+H443</f>
        <v/>
      </c>
      <c r="J443" s="3">
        <f>ROUND(MIN(IF(C443="Técnico III",35,IF(C443="Técnico II",28,IF(C443="Técnico I",23,IF(C443="JR",20,IF(C443="Estágio",10,0))))),IF(C443="Técnico III",SUMIFS($D:$D,$A:$A,$A443,$B:$B,"&lt;&gt;Patrícia Karla de Sousa Araújo",$B:$B,"&lt;&gt;Lorena Dias de Araujo",$B:$B,"&lt;&gt;Lucas Luiz Romero")*(35/1083),IF(C443="Técnico II",SUMIFS($D:$D,$A:$A,$A443,$B:$B,"&lt;&gt;Patrícia Karla de Sousa Araújo",$B:$B,"&lt;&gt;Lorena Dias de Araujo",$B:$B,"&lt;&gt;Lucas Luiz Romero")*(28/1083),IF(C443="Técnico I",SUMIFS($D:$D,$A:$A,$A443,$B:$B,"&lt;&gt;Patrícia Karla de Sousa Araújo",$B:$B,"&lt;&gt;Lorena Dias de Araujo",$B:$B,"&lt;&gt;Lucas Luiz Romero")*(23/1083),IF(C443="JR",SUMIFS($D:$D,$A:$A,$A443,$B:$B,"&lt;&gt;Patrícia Karla de Sousa Araújo",$B:$B,"&lt;&gt;Lorena Dias de Araujo",$B:$B,"&lt;&gt;Lucas Luiz Romero")*(20/1083),IF(C443="Estágio",SUMIFS($D:$D,$A:$A,$A443,$B:$B,"&lt;&gt;Patrícia Karla de Sousa Araújo",$B:$B,"&lt;&gt;Lorena Dias de Araujo",$B:$B,"&lt;&gt;Lucas Luiz Romero")*(10/1083),0)))))),0)</f>
        <v/>
      </c>
      <c r="K443" s="3">
        <f>I443-J443</f>
        <v/>
      </c>
      <c r="L443" s="3">
        <f>IF(K443&lt;-5,"CRÍTICO",IF(K443&lt;0,"ATENÇÃO",IF(K443&lt;=5,"OPORTUNO","MUITO BOM")))</f>
        <v/>
      </c>
      <c r="M443" s="3" t="n">
        <v>21</v>
      </c>
      <c r="N443" s="3" t="n">
        <v>95.52</v>
      </c>
      <c r="O443" s="3" t="n">
        <v>10.56105610561056</v>
      </c>
    </row>
    <row r="444" hidden="1">
      <c r="A444" s="5" t="n">
        <v>46163</v>
      </c>
      <c r="B444" s="6" t="inlineStr">
        <is>
          <t>Leandro Oliveira de Sousa</t>
        </is>
      </c>
      <c r="C444" s="3" t="inlineStr">
        <is>
          <t>Técnico III</t>
        </is>
      </c>
      <c r="D444" s="3" t="n">
        <v>22</v>
      </c>
      <c r="E444" s="3" t="n">
        <v>21</v>
      </c>
      <c r="F444" s="3" t="n">
        <v>15.35</v>
      </c>
      <c r="G444" s="3" t="n">
        <v>0</v>
      </c>
      <c r="H444" s="3" t="n">
        <v>0</v>
      </c>
      <c r="I444" s="3">
        <f>E444+G444+H444</f>
        <v/>
      </c>
      <c r="J444" s="3">
        <f>ROUND(MIN(IF(C444="Técnico III",35,IF(C444="Técnico II",28,IF(C444="Técnico I",23,IF(C444="JR",20,IF(C444="Estágio",10,0))))),IF(C444="Técnico III",SUMIFS($D:$D,$A:$A,$A444,$B:$B,"&lt;&gt;Patrícia Karla de Sousa Araújo",$B:$B,"&lt;&gt;Lorena Dias de Araujo",$B:$B,"&lt;&gt;Lucas Luiz Romero")*(35/1083),IF(C444="Técnico II",SUMIFS($D:$D,$A:$A,$A444,$B:$B,"&lt;&gt;Patrícia Karla de Sousa Araújo",$B:$B,"&lt;&gt;Lorena Dias de Araujo",$B:$B,"&lt;&gt;Lucas Luiz Romero")*(28/1083),IF(C444="Técnico I",SUMIFS($D:$D,$A:$A,$A444,$B:$B,"&lt;&gt;Patrícia Karla de Sousa Araújo",$B:$B,"&lt;&gt;Lorena Dias de Araujo",$B:$B,"&lt;&gt;Lucas Luiz Romero")*(23/1083),IF(C444="JR",SUMIFS($D:$D,$A:$A,$A444,$B:$B,"&lt;&gt;Patrícia Karla de Sousa Araújo",$B:$B,"&lt;&gt;Lorena Dias de Araujo",$B:$B,"&lt;&gt;Lucas Luiz Romero")*(20/1083),IF(C444="Estágio",SUMIFS($D:$D,$A:$A,$A444,$B:$B,"&lt;&gt;Patrícia Karla de Sousa Araújo",$B:$B,"&lt;&gt;Lorena Dias de Araujo",$B:$B,"&lt;&gt;Lucas Luiz Romero")*(10/1083),0)))))),0)</f>
        <v/>
      </c>
      <c r="K444" s="3">
        <f>I444-J444</f>
        <v/>
      </c>
      <c r="L444" s="3">
        <f>IF(K444&lt;-5,"CRÍTICO",IF(K444&lt;0,"ATENÇÃO",IF(K444&lt;=5,"OPORTUNO","MUITO BOM")))</f>
        <v/>
      </c>
      <c r="M444" s="3" t="n">
        <v>20</v>
      </c>
      <c r="N444" s="3" t="n">
        <v>100</v>
      </c>
      <c r="O444" s="3" t="n">
        <v>15.58441558441558</v>
      </c>
    </row>
    <row r="445" hidden="1">
      <c r="A445" s="5" t="n">
        <v>46163</v>
      </c>
      <c r="B445" s="6" t="inlineStr">
        <is>
          <t>Lucas Luiz Romero</t>
        </is>
      </c>
      <c r="C445" s="3" t="inlineStr">
        <is>
          <t>Técnico III</t>
        </is>
      </c>
      <c r="D445" s="3" t="n">
        <v>29</v>
      </c>
      <c r="E445" s="3" t="n">
        <v>27</v>
      </c>
      <c r="F445" s="3" t="n">
        <v>15.54</v>
      </c>
      <c r="G445" s="3" t="n">
        <v>0</v>
      </c>
      <c r="H445" s="3" t="n">
        <v>0</v>
      </c>
      <c r="I445" s="3">
        <f>E445+G445+H445</f>
        <v/>
      </c>
      <c r="J445" s="3">
        <f>ROUND(MIN(IF(C445="Técnico III",35,IF(C445="Técnico II",28,IF(C445="Técnico I",23,IF(C445="JR",20,IF(C445="Estágio",10,0))))),IF(C445="Técnico III",SUMIFS($D:$D,$A:$A,$A445,$B:$B,"&lt;&gt;Patrícia Karla de Sousa Araújo",$B:$B,"&lt;&gt;Lorena Dias de Araujo",$B:$B,"&lt;&gt;Lucas Luiz Romero")*(35/1083),IF(C445="Técnico II",SUMIFS($D:$D,$A:$A,$A445,$B:$B,"&lt;&gt;Patrícia Karla de Sousa Araújo",$B:$B,"&lt;&gt;Lorena Dias de Araujo",$B:$B,"&lt;&gt;Lucas Luiz Romero")*(28/1083),IF(C445="Técnico I",SUMIFS($D:$D,$A:$A,$A445,$B:$B,"&lt;&gt;Patrícia Karla de Sousa Araújo",$B:$B,"&lt;&gt;Lorena Dias de Araujo",$B:$B,"&lt;&gt;Lucas Luiz Romero")*(23/1083),IF(C445="JR",SUMIFS($D:$D,$A:$A,$A445,$B:$B,"&lt;&gt;Patrícia Karla de Sousa Araújo",$B:$B,"&lt;&gt;Lorena Dias de Araujo",$B:$B,"&lt;&gt;Lucas Luiz Romero")*(20/1083),IF(C445="Estágio",SUMIFS($D:$D,$A:$A,$A445,$B:$B,"&lt;&gt;Patrícia Karla de Sousa Araújo",$B:$B,"&lt;&gt;Lorena Dias de Araujo",$B:$B,"&lt;&gt;Lucas Luiz Romero")*(10/1083),0)))))),0)</f>
        <v/>
      </c>
      <c r="K445" s="3">
        <f>I445-J445</f>
        <v/>
      </c>
      <c r="L445" s="3">
        <f>IF(K445&lt;-5,"CRÍTICO",IF(K445&lt;0,"ATENÇÃO",IF(K445&lt;=5,"OPORTUNO","MUITO BOM")))</f>
        <v/>
      </c>
      <c r="M445" s="3" t="n">
        <v>18</v>
      </c>
      <c r="N445" s="3" t="n">
        <v>100</v>
      </c>
      <c r="O445" s="3" t="n">
        <v>4.347826086956522</v>
      </c>
    </row>
    <row r="446" hidden="1">
      <c r="A446" s="5" t="n">
        <v>46163</v>
      </c>
      <c r="B446" s="6" t="inlineStr">
        <is>
          <t>Matheus Farias De Souza</t>
        </is>
      </c>
      <c r="C446" s="3" t="inlineStr">
        <is>
          <t>Técnico III</t>
        </is>
      </c>
      <c r="D446" s="3" t="n">
        <v>0</v>
      </c>
      <c r="E446" s="3" t="n">
        <v>0</v>
      </c>
      <c r="F446" s="3" t="n">
        <v>0</v>
      </c>
      <c r="G446" s="3" t="n">
        <v>0</v>
      </c>
      <c r="H446" s="3" t="n">
        <v>30</v>
      </c>
      <c r="I446" s="3">
        <f>E446+G446+H446</f>
        <v/>
      </c>
      <c r="J446" s="3">
        <f>ROUND(MIN(IF(C446="Técnico III",35,IF(C446="Técnico II",28,IF(C446="Técnico I",23,IF(C446="JR",20,IF(C446="Estágio",10,0))))),IF(C446="Técnico III",SUMIFS($D:$D,$A:$A,$A446,$B:$B,"&lt;&gt;Patrícia Karla de Sousa Araújo",$B:$B,"&lt;&gt;Lorena Dias de Araujo",$B:$B,"&lt;&gt;Lucas Luiz Romero")*(35/1083),IF(C446="Técnico II",SUMIFS($D:$D,$A:$A,$A446,$B:$B,"&lt;&gt;Patrícia Karla de Sousa Araújo",$B:$B,"&lt;&gt;Lorena Dias de Araujo",$B:$B,"&lt;&gt;Lucas Luiz Romero")*(28/1083),IF(C446="Técnico I",SUMIFS($D:$D,$A:$A,$A446,$B:$B,"&lt;&gt;Patrícia Karla de Sousa Araújo",$B:$B,"&lt;&gt;Lorena Dias de Araujo",$B:$B,"&lt;&gt;Lucas Luiz Romero")*(23/1083),IF(C446="JR",SUMIFS($D:$D,$A:$A,$A446,$B:$B,"&lt;&gt;Patrícia Karla de Sousa Araújo",$B:$B,"&lt;&gt;Lorena Dias de Araujo",$B:$B,"&lt;&gt;Lucas Luiz Romero")*(20/1083),IF(C446="Estágio",SUMIFS($D:$D,$A:$A,$A446,$B:$B,"&lt;&gt;Patrícia Karla de Sousa Araújo",$B:$B,"&lt;&gt;Lorena Dias de Araujo",$B:$B,"&lt;&gt;Lucas Luiz Romero")*(10/1083),0)))))),0)</f>
        <v/>
      </c>
      <c r="K446" s="3">
        <f>I446-J446</f>
        <v/>
      </c>
      <c r="L446" s="3">
        <f>IF(K446&lt;-5,"CRÍTICO",IF(K446&lt;0,"ATENÇÃO",IF(K446&lt;=5,"OPORTUNO","MUITO BOM")))</f>
        <v/>
      </c>
      <c r="M446" s="3" t="n">
        <v>15</v>
      </c>
      <c r="N446" s="3" t="n">
        <v>98.28</v>
      </c>
      <c r="O446" s="3" t="n">
        <v>9.037900874635568</v>
      </c>
    </row>
    <row r="447" hidden="1">
      <c r="A447" s="5" t="n">
        <v>46163</v>
      </c>
      <c r="B447" s="6" t="inlineStr">
        <is>
          <t>Maysa Victoria Dias Moura</t>
        </is>
      </c>
      <c r="C447" s="3" t="inlineStr">
        <is>
          <t>Técnico III</t>
        </is>
      </c>
      <c r="D447" s="3" t="n">
        <v>27</v>
      </c>
      <c r="E447" s="3" t="n">
        <v>22</v>
      </c>
      <c r="F447" s="3" t="n">
        <v>15.16</v>
      </c>
      <c r="G447" s="3" t="n">
        <v>3</v>
      </c>
      <c r="H447" s="3" t="n">
        <v>0</v>
      </c>
      <c r="I447" s="3">
        <f>E447+G447+H447</f>
        <v/>
      </c>
      <c r="J447" s="3">
        <f>ROUND(MIN(IF(C447="Técnico III",35,IF(C447="Técnico II",28,IF(C447="Técnico I",23,IF(C447="JR",20,IF(C447="Estágio",10,0))))),IF(C447="Técnico III",SUMIFS($D:$D,$A:$A,$A447,$B:$B,"&lt;&gt;Patrícia Karla de Sousa Araújo",$B:$B,"&lt;&gt;Lorena Dias de Araujo",$B:$B,"&lt;&gt;Lucas Luiz Romero")*(35/1083),IF(C447="Técnico II",SUMIFS($D:$D,$A:$A,$A447,$B:$B,"&lt;&gt;Patrícia Karla de Sousa Araújo",$B:$B,"&lt;&gt;Lorena Dias de Araujo",$B:$B,"&lt;&gt;Lucas Luiz Romero")*(28/1083),IF(C447="Técnico I",SUMIFS($D:$D,$A:$A,$A447,$B:$B,"&lt;&gt;Patrícia Karla de Sousa Araújo",$B:$B,"&lt;&gt;Lorena Dias de Araujo",$B:$B,"&lt;&gt;Lucas Luiz Romero")*(23/1083),IF(C447="JR",SUMIFS($D:$D,$A:$A,$A447,$B:$B,"&lt;&gt;Patrícia Karla de Sousa Araújo",$B:$B,"&lt;&gt;Lorena Dias de Araujo",$B:$B,"&lt;&gt;Lucas Luiz Romero")*(20/1083),IF(C447="Estágio",SUMIFS($D:$D,$A:$A,$A447,$B:$B,"&lt;&gt;Patrícia Karla de Sousa Araújo",$B:$B,"&lt;&gt;Lorena Dias de Araujo",$B:$B,"&lt;&gt;Lucas Luiz Romero")*(10/1083),0)))))),0)</f>
        <v/>
      </c>
      <c r="K447" s="3">
        <f>I447-J447</f>
        <v/>
      </c>
      <c r="L447" s="3">
        <f>IF(K447&lt;-5,"CRÍTICO",IF(K447&lt;0,"ATENÇÃO",IF(K447&lt;=5,"OPORTUNO","MUITO BOM")))</f>
        <v/>
      </c>
      <c r="M447" s="3" t="n">
        <v>21</v>
      </c>
      <c r="N447" s="3" t="n">
        <v>97.22</v>
      </c>
      <c r="O447" s="3" t="n">
        <v>19.09547738693467</v>
      </c>
    </row>
    <row r="448" hidden="1">
      <c r="A448" s="5" t="n">
        <v>46163</v>
      </c>
      <c r="B448" s="6" t="inlineStr">
        <is>
          <t>Rafael Gomes de Morais</t>
        </is>
      </c>
      <c r="C448" s="3" t="inlineStr">
        <is>
          <t>Técnico III</t>
        </is>
      </c>
      <c r="D448" s="3" t="n">
        <v>35</v>
      </c>
      <c r="E448" s="3" t="n">
        <v>31</v>
      </c>
      <c r="F448" s="3" t="n">
        <v>8.300000000000001</v>
      </c>
      <c r="G448" s="3" t="n">
        <v>2</v>
      </c>
      <c r="H448" s="3" t="n">
        <v>0</v>
      </c>
      <c r="I448" s="3">
        <f>E448+G448+H448</f>
        <v/>
      </c>
      <c r="J448" s="3">
        <f>ROUND(MIN(IF(C448="Técnico III",35,IF(C448="Técnico II",28,IF(C448="Técnico I",23,IF(C448="JR",20,IF(C448="Estágio",10,0))))),IF(C448="Técnico III",SUMIFS($D:$D,$A:$A,$A448,$B:$B,"&lt;&gt;Patrícia Karla de Sousa Araújo",$B:$B,"&lt;&gt;Lorena Dias de Araujo",$B:$B,"&lt;&gt;Lucas Luiz Romero")*(35/1083),IF(C448="Técnico II",SUMIFS($D:$D,$A:$A,$A448,$B:$B,"&lt;&gt;Patrícia Karla de Sousa Araújo",$B:$B,"&lt;&gt;Lorena Dias de Araujo",$B:$B,"&lt;&gt;Lucas Luiz Romero")*(28/1083),IF(C448="Técnico I",SUMIFS($D:$D,$A:$A,$A448,$B:$B,"&lt;&gt;Patrícia Karla de Sousa Araújo",$B:$B,"&lt;&gt;Lorena Dias de Araujo",$B:$B,"&lt;&gt;Lucas Luiz Romero")*(23/1083),IF(C448="JR",SUMIFS($D:$D,$A:$A,$A448,$B:$B,"&lt;&gt;Patrícia Karla de Sousa Araújo",$B:$B,"&lt;&gt;Lorena Dias de Araujo",$B:$B,"&lt;&gt;Lucas Luiz Romero")*(20/1083),IF(C448="Estágio",SUMIFS($D:$D,$A:$A,$A448,$B:$B,"&lt;&gt;Patrícia Karla de Sousa Araújo",$B:$B,"&lt;&gt;Lorena Dias de Araujo",$B:$B,"&lt;&gt;Lucas Luiz Romero")*(10/1083),0)))))),0)</f>
        <v/>
      </c>
      <c r="K448" s="3">
        <f>I448-J448</f>
        <v/>
      </c>
      <c r="L448" s="3">
        <f>IF(K448&lt;-5,"CRÍTICO",IF(K448&lt;0,"ATENÇÃO",IF(K448&lt;=5,"OPORTUNO","MUITO BOM")))</f>
        <v/>
      </c>
      <c r="M448" s="3" t="n">
        <v>22</v>
      </c>
      <c r="N448" s="3" t="n">
        <v>99.29000000000001</v>
      </c>
      <c r="O448" s="3" t="n">
        <v>22.49443207126949</v>
      </c>
    </row>
    <row r="449" hidden="1">
      <c r="A449" s="5" t="n">
        <v>46163</v>
      </c>
      <c r="B449" s="6" t="inlineStr">
        <is>
          <t>Sarah Steffanie de Lima Borges</t>
        </is>
      </c>
      <c r="C449" s="3" t="inlineStr">
        <is>
          <t>Técnico III</t>
        </is>
      </c>
      <c r="D449" s="3" t="n">
        <v>23</v>
      </c>
      <c r="E449" s="3" t="n">
        <v>22</v>
      </c>
      <c r="F449" s="3" t="n">
        <v>17.08</v>
      </c>
      <c r="G449" s="3" t="n">
        <v>1</v>
      </c>
      <c r="H449" s="3" t="n">
        <v>0</v>
      </c>
      <c r="I449" s="3">
        <f>E449+G449+H449</f>
        <v/>
      </c>
      <c r="J449" s="3">
        <f>ROUND(MIN(IF(C449="Técnico III",35,IF(C449="Técnico II",28,IF(C449="Técnico I",23,IF(C449="JR",20,IF(C449="Estágio",10,0))))),IF(C449="Técnico III",SUMIFS($D:$D,$A:$A,$A449,$B:$B,"&lt;&gt;Patrícia Karla de Sousa Araújo",$B:$B,"&lt;&gt;Lorena Dias de Araujo",$B:$B,"&lt;&gt;Lucas Luiz Romero")*(35/1083),IF(C449="Técnico II",SUMIFS($D:$D,$A:$A,$A449,$B:$B,"&lt;&gt;Patrícia Karla de Sousa Araújo",$B:$B,"&lt;&gt;Lorena Dias de Araujo",$B:$B,"&lt;&gt;Lucas Luiz Romero")*(28/1083),IF(C449="Técnico I",SUMIFS($D:$D,$A:$A,$A449,$B:$B,"&lt;&gt;Patrícia Karla de Sousa Araújo",$B:$B,"&lt;&gt;Lorena Dias de Araujo",$B:$B,"&lt;&gt;Lucas Luiz Romero")*(23/1083),IF(C449="JR",SUMIFS($D:$D,$A:$A,$A449,$B:$B,"&lt;&gt;Patrícia Karla de Sousa Araújo",$B:$B,"&lt;&gt;Lorena Dias de Araujo",$B:$B,"&lt;&gt;Lucas Luiz Romero")*(20/1083),IF(C449="Estágio",SUMIFS($D:$D,$A:$A,$A449,$B:$B,"&lt;&gt;Patrícia Karla de Sousa Araújo",$B:$B,"&lt;&gt;Lorena Dias de Araujo",$B:$B,"&lt;&gt;Lucas Luiz Romero")*(10/1083),0)))))),0)</f>
        <v/>
      </c>
      <c r="K449" s="3">
        <f>I449-J449</f>
        <v/>
      </c>
      <c r="L449" s="3">
        <f>IF(K449&lt;-5,"CRÍTICO",IF(K449&lt;0,"ATENÇÃO",IF(K449&lt;=5,"OPORTUNO","MUITO BOM")))</f>
        <v/>
      </c>
      <c r="M449" s="3" t="n">
        <v>21</v>
      </c>
      <c r="N449" s="3" t="n">
        <v>97.33</v>
      </c>
      <c r="O449" s="3" t="n">
        <v>15.80547112462006</v>
      </c>
    </row>
    <row r="450" hidden="1">
      <c r="A450" s="10" t="n">
        <v>46164</v>
      </c>
      <c r="B450" s="6" t="inlineStr">
        <is>
          <t>Amanda Moura Ferreira</t>
        </is>
      </c>
      <c r="C450" s="3" t="inlineStr">
        <is>
          <t>Técnico III</t>
        </is>
      </c>
      <c r="D450" s="3" t="n">
        <v>0</v>
      </c>
      <c r="E450" s="3" t="n">
        <v>0</v>
      </c>
      <c r="F450" s="3" t="n">
        <v>0</v>
      </c>
      <c r="G450" s="3" t="n">
        <v>0</v>
      </c>
      <c r="H450" s="3" t="n">
        <v>0</v>
      </c>
      <c r="I450" s="3" t="n">
        <v>0</v>
      </c>
      <c r="J450" s="3" t="n">
        <v>0</v>
      </c>
      <c r="K450" s="3" t="n">
        <v>0</v>
      </c>
      <c r="L450" s="3">
        <f>IF(K450&lt;-5,"CRÍTICO",IF(K450&lt;0,"ATENÇÃO",IF(K450&lt;=5,"OPORTUNO","MUITO BOM")))</f>
        <v/>
      </c>
      <c r="M450" s="3" t="n">
        <v>0</v>
      </c>
      <c r="N450" s="3" t="n">
        <v>100</v>
      </c>
      <c r="O450" s="3" t="n">
        <v>0</v>
      </c>
    </row>
    <row r="451" hidden="1">
      <c r="A451" s="10" t="n">
        <v>46164</v>
      </c>
      <c r="B451" s="6" t="inlineStr">
        <is>
          <t>Ana Paula Da Luz Silva Aleixo</t>
        </is>
      </c>
      <c r="C451" s="3" t="inlineStr">
        <is>
          <t>Técnico III</t>
        </is>
      </c>
      <c r="D451" s="3" t="n">
        <v>20</v>
      </c>
      <c r="E451" s="3" t="n">
        <v>20</v>
      </c>
      <c r="F451" s="3" t="n">
        <v>20.44</v>
      </c>
      <c r="G451" s="3" t="n">
        <v>3</v>
      </c>
      <c r="H451" s="3" t="n">
        <v>0</v>
      </c>
      <c r="I451" s="3">
        <f>E451+G451+H451</f>
        <v/>
      </c>
      <c r="J451" s="3">
        <f>ROUND(MIN(IF(C451="Técnico III",35,IF(C451="Técnico II",28,IF(C451="Técnico I",23,IF(C451="JR",20,IF(C451="Estágio",10,0))))),IF(C451="Técnico III",SUMIFS($D:$D,$A:$A,$A451,$B:$B,"&lt;&gt;Patrícia Karla de Sousa Araújo",$B:$B,"&lt;&gt;Lorena Dias de Araujo",$B:$B,"&lt;&gt;Lucas Luiz Romero")*(35/1083),IF(C451="Técnico II",SUMIFS($D:$D,$A:$A,$A451,$B:$B,"&lt;&gt;Patrícia Karla de Sousa Araújo",$B:$B,"&lt;&gt;Lorena Dias de Araujo",$B:$B,"&lt;&gt;Lucas Luiz Romero")*(28/1083),IF(C451="Técnico I",SUMIFS($D:$D,$A:$A,$A451,$B:$B,"&lt;&gt;Patrícia Karla de Sousa Araújo",$B:$B,"&lt;&gt;Lorena Dias de Araujo",$B:$B,"&lt;&gt;Lucas Luiz Romero")*(23/1083),IF(C451="JR",SUMIFS($D:$D,$A:$A,$A451,$B:$B,"&lt;&gt;Patrícia Karla de Sousa Araújo",$B:$B,"&lt;&gt;Lorena Dias de Araujo",$B:$B,"&lt;&gt;Lucas Luiz Romero")*(20/1083),IF(C451="Estágio",SUMIFS($D:$D,$A:$A,$A451,$B:$B,"&lt;&gt;Patrícia Karla de Sousa Araújo",$B:$B,"&lt;&gt;Lorena Dias de Araujo",$B:$B,"&lt;&gt;Lucas Luiz Romero")*(10/1083),0)))))),0)</f>
        <v/>
      </c>
      <c r="K451" s="3">
        <f>I451-J451</f>
        <v/>
      </c>
      <c r="L451" s="3">
        <f>IF(K451&lt;-5,"CRÍTICO",IF(K451&lt;0,"ATENÇÃO",IF(K451&lt;=5,"OPORTUNO","MUITO BOM")))</f>
        <v/>
      </c>
      <c r="M451" s="3" t="n">
        <v>16</v>
      </c>
      <c r="N451" s="3" t="n">
        <v>96.34</v>
      </c>
      <c r="O451" s="3" t="n">
        <v>17.57188498402556</v>
      </c>
    </row>
    <row r="452" hidden="1">
      <c r="A452" s="10" t="n">
        <v>46164</v>
      </c>
      <c r="B452" s="6" t="inlineStr">
        <is>
          <t>Cristiane Ramos da Silva Rocha</t>
        </is>
      </c>
      <c r="C452" s="3" t="inlineStr">
        <is>
          <t>Técnico III</t>
        </is>
      </c>
      <c r="D452" s="3" t="n">
        <v>25</v>
      </c>
      <c r="E452" s="3" t="n">
        <v>24</v>
      </c>
      <c r="F452" s="3" t="n">
        <v>15.42</v>
      </c>
      <c r="G452" s="3" t="n">
        <v>0</v>
      </c>
      <c r="H452" s="3" t="n">
        <v>0</v>
      </c>
      <c r="I452" s="3">
        <f>E452+G452+H452</f>
        <v/>
      </c>
      <c r="J452" s="3">
        <f>ROUND(MIN(IF(C452="Técnico III",35,IF(C452="Técnico II",28,IF(C452="Técnico I",23,IF(C452="JR",20,IF(C452="Estágio",10,0))))),IF(C452="Técnico III",SUMIFS($D:$D,$A:$A,$A452,$B:$B,"&lt;&gt;Patrícia Karla de Sousa Araújo",$B:$B,"&lt;&gt;Lorena Dias de Araujo",$B:$B,"&lt;&gt;Lucas Luiz Romero")*(35/1083),IF(C452="Técnico II",SUMIFS($D:$D,$A:$A,$A452,$B:$B,"&lt;&gt;Patrícia Karla de Sousa Araújo",$B:$B,"&lt;&gt;Lorena Dias de Araujo",$B:$B,"&lt;&gt;Lucas Luiz Romero")*(28/1083),IF(C452="Técnico I",SUMIFS($D:$D,$A:$A,$A452,$B:$B,"&lt;&gt;Patrícia Karla de Sousa Araújo",$B:$B,"&lt;&gt;Lorena Dias de Araujo",$B:$B,"&lt;&gt;Lucas Luiz Romero")*(23/1083),IF(C452="JR",SUMIFS($D:$D,$A:$A,$A452,$B:$B,"&lt;&gt;Patrícia Karla de Sousa Araújo",$B:$B,"&lt;&gt;Lorena Dias de Araujo",$B:$B,"&lt;&gt;Lucas Luiz Romero")*(20/1083),IF(C452="Estágio",SUMIFS($D:$D,$A:$A,$A452,$B:$B,"&lt;&gt;Patrícia Karla de Sousa Araújo",$B:$B,"&lt;&gt;Lorena Dias de Araujo",$B:$B,"&lt;&gt;Lucas Luiz Romero")*(10/1083),0)))))),0)</f>
        <v/>
      </c>
      <c r="K452" s="3">
        <f>I452-J452</f>
        <v/>
      </c>
      <c r="L452" s="3">
        <f>IF(K452&lt;-5,"CRÍTICO",IF(K452&lt;0,"ATENÇÃO",IF(K452&lt;=5,"OPORTUNO","MUITO BOM")))</f>
        <v/>
      </c>
      <c r="M452" s="3" t="n">
        <v>22</v>
      </c>
      <c r="N452" s="3" t="n">
        <v>91.84999999999999</v>
      </c>
      <c r="O452" s="3" t="n">
        <v>20.87155963302752</v>
      </c>
    </row>
    <row r="453" hidden="1">
      <c r="A453" s="10" t="n">
        <v>46164</v>
      </c>
      <c r="B453" s="6" t="inlineStr">
        <is>
          <t>Davylla Rodrigues Freitas Silva</t>
        </is>
      </c>
      <c r="C453" s="3" t="inlineStr">
        <is>
          <t>Técnico III</t>
        </is>
      </c>
      <c r="D453" s="3" t="n">
        <v>0</v>
      </c>
      <c r="E453" s="3" t="n">
        <v>0</v>
      </c>
      <c r="F453" s="3" t="n">
        <v>0</v>
      </c>
      <c r="G453" s="3" t="n">
        <v>0</v>
      </c>
      <c r="H453" s="3" t="n">
        <v>0</v>
      </c>
      <c r="I453" s="3" t="n">
        <v>0</v>
      </c>
      <c r="J453" s="3" t="n">
        <v>0</v>
      </c>
      <c r="K453" s="3" t="n">
        <v>0</v>
      </c>
      <c r="L453" s="3">
        <f>IF(K453&lt;-5,"CRÍTICO",IF(K453&lt;0,"ATENÇÃO",IF(K453&lt;=5,"OPORTUNO","MUITO BOM")))</f>
        <v/>
      </c>
      <c r="M453" s="3" t="n">
        <v>0</v>
      </c>
      <c r="N453" s="3" t="n">
        <v>99.06</v>
      </c>
      <c r="O453" s="3" t="n">
        <v>22.95719844357977</v>
      </c>
    </row>
    <row r="454" hidden="1">
      <c r="A454" s="10" t="n">
        <v>46164</v>
      </c>
      <c r="B454" s="6" t="inlineStr">
        <is>
          <t>Francielson de Oliveira</t>
        </is>
      </c>
      <c r="C454" s="3" t="inlineStr">
        <is>
          <t>Técnico III</t>
        </is>
      </c>
      <c r="D454" s="3" t="n">
        <v>12</v>
      </c>
      <c r="E454" s="3" t="n">
        <v>11</v>
      </c>
      <c r="F454" s="3" t="n">
        <v>12.15</v>
      </c>
      <c r="G454" s="3" t="n">
        <v>1</v>
      </c>
      <c r="H454" s="3" t="n">
        <v>0</v>
      </c>
      <c r="I454" s="3">
        <f>E454+G454+H454</f>
        <v/>
      </c>
      <c r="J454" s="3">
        <f>ROUND(MIN(IF(C454="Técnico III",35,IF(C454="Técnico II",28,IF(C454="Técnico I",23,IF(C454="JR",20,IF(C454="Estágio",10,0))))),IF(C454="Técnico III",SUMIFS($D:$D,$A:$A,$A454,$B:$B,"&lt;&gt;Patrícia Karla de Sousa Araújo",$B:$B,"&lt;&gt;Lorena Dias de Araujo",$B:$B,"&lt;&gt;Lucas Luiz Romero")*(35/1083),IF(C454="Técnico II",SUMIFS($D:$D,$A:$A,$A454,$B:$B,"&lt;&gt;Patrícia Karla de Sousa Araújo",$B:$B,"&lt;&gt;Lorena Dias de Araujo",$B:$B,"&lt;&gt;Lucas Luiz Romero")*(28/1083),IF(C454="Técnico I",SUMIFS($D:$D,$A:$A,$A454,$B:$B,"&lt;&gt;Patrícia Karla de Sousa Araújo",$B:$B,"&lt;&gt;Lorena Dias de Araujo",$B:$B,"&lt;&gt;Lucas Luiz Romero")*(23/1083),IF(C454="JR",SUMIFS($D:$D,$A:$A,$A454,$B:$B,"&lt;&gt;Patrícia Karla de Sousa Araújo",$B:$B,"&lt;&gt;Lorena Dias de Araujo",$B:$B,"&lt;&gt;Lucas Luiz Romero")*(20/1083),IF(C454="Estágio",SUMIFS($D:$D,$A:$A,$A454,$B:$B,"&lt;&gt;Patrícia Karla de Sousa Araújo",$B:$B,"&lt;&gt;Lorena Dias de Araujo",$B:$B,"&lt;&gt;Lucas Luiz Romero")*(10/1083),0)))))),0)</f>
        <v/>
      </c>
      <c r="K454" s="3">
        <f>I454-J454</f>
        <v/>
      </c>
      <c r="L454" s="3">
        <f>IF(K454&lt;-5,"CRÍTICO",IF(K454&lt;0,"ATENÇÃO",IF(K454&lt;=5,"OPORTUNO","MUITO BOM")))</f>
        <v/>
      </c>
      <c r="M454" s="3" t="n">
        <v>10</v>
      </c>
      <c r="N454" s="3" t="n">
        <v>100</v>
      </c>
      <c r="O454" s="3" t="n">
        <v>9.523809523809524</v>
      </c>
    </row>
    <row r="455" hidden="1">
      <c r="A455" s="10" t="n">
        <v>46164</v>
      </c>
      <c r="B455" s="6" t="inlineStr">
        <is>
          <t>Janaina Lima dos Reis Urany</t>
        </is>
      </c>
      <c r="C455" s="3" t="inlineStr">
        <is>
          <t>Técnico III</t>
        </is>
      </c>
      <c r="D455" s="3" t="n">
        <v>28</v>
      </c>
      <c r="E455" s="3" t="n">
        <v>26</v>
      </c>
      <c r="F455" s="3" t="n">
        <v>12.35</v>
      </c>
      <c r="G455" s="3" t="n">
        <v>5</v>
      </c>
      <c r="H455" s="3" t="n">
        <v>0</v>
      </c>
      <c r="I455" s="3">
        <f>E455+G455+H455</f>
        <v/>
      </c>
      <c r="J455" s="3">
        <f>ROUND(MIN(IF(C455="Técnico III",35,IF(C455="Técnico II",28,IF(C455="Técnico I",23,IF(C455="JR",20,IF(C455="Estágio",10,0))))),IF(C455="Técnico III",SUMIFS($D:$D,$A:$A,$A455,$B:$B,"&lt;&gt;Patrícia Karla de Sousa Araújo",$B:$B,"&lt;&gt;Lorena Dias de Araujo",$B:$B,"&lt;&gt;Lucas Luiz Romero")*(35/1083),IF(C455="Técnico II",SUMIFS($D:$D,$A:$A,$A455,$B:$B,"&lt;&gt;Patrícia Karla de Sousa Araújo",$B:$B,"&lt;&gt;Lorena Dias de Araujo",$B:$B,"&lt;&gt;Lucas Luiz Romero")*(28/1083),IF(C455="Técnico I",SUMIFS($D:$D,$A:$A,$A455,$B:$B,"&lt;&gt;Patrícia Karla de Sousa Araújo",$B:$B,"&lt;&gt;Lorena Dias de Araujo",$B:$B,"&lt;&gt;Lucas Luiz Romero")*(23/1083),IF(C455="JR",SUMIFS($D:$D,$A:$A,$A455,$B:$B,"&lt;&gt;Patrícia Karla de Sousa Araújo",$B:$B,"&lt;&gt;Lorena Dias de Araujo",$B:$B,"&lt;&gt;Lucas Luiz Romero")*(20/1083),IF(C455="Estágio",SUMIFS($D:$D,$A:$A,$A455,$B:$B,"&lt;&gt;Patrícia Karla de Sousa Araújo",$B:$B,"&lt;&gt;Lorena Dias de Araujo",$B:$B,"&lt;&gt;Lucas Luiz Romero")*(10/1083),0)))))),0)</f>
        <v/>
      </c>
      <c r="K455" s="3">
        <f>I455-J455</f>
        <v/>
      </c>
      <c r="L455" s="3">
        <f>IF(K455&lt;-5,"CRÍTICO",IF(K455&lt;0,"ATENÇÃO",IF(K455&lt;=5,"OPORTUNO","MUITO BOM")))</f>
        <v/>
      </c>
      <c r="M455" s="3" t="n">
        <v>23</v>
      </c>
      <c r="N455" s="3" t="n">
        <v>98.64</v>
      </c>
      <c r="O455" s="3" t="n">
        <v>16.6383701188455</v>
      </c>
    </row>
    <row r="456" hidden="1">
      <c r="A456" s="11" t="n">
        <v>46042</v>
      </c>
      <c r="B456" t="inlineStr">
        <is>
          <t>Gabriel Gomes de Andrade</t>
        </is>
      </c>
      <c r="C456" t="inlineStr">
        <is>
          <t>Técnico I</t>
        </is>
      </c>
      <c r="D456" t="n">
        <v>12</v>
      </c>
      <c r="E456" t="n">
        <v>9</v>
      </c>
      <c r="F456" t="n">
        <v>10.01</v>
      </c>
      <c r="G456" t="n">
        <v>0</v>
      </c>
      <c r="H456" t="n">
        <v>0</v>
      </c>
      <c r="I456" s="3">
        <f>E456+G456+H456</f>
        <v/>
      </c>
      <c r="J456" s="3">
        <f>ROUND(MIN(IF(C456="Técnico III",35,IF(C456="Técnico II",28,IF(C456="Técnico I",23,IF(C456="JR",20,IF(C456="Estágio",10,0))))),IF(C456="Técnico III",SUMIFS($D:$D,$A:$A,$A456,$B:$B,"&lt;&gt;Patrícia Karla de Sousa Araújo",$B:$B,"&lt;&gt;Lorena Dias de Araujo",$B:$B,"&lt;&gt;Lucas Luiz Romero")*(35/1083),IF(C456="Técnico II",SUMIFS($D:$D,$A:$A,$A456,$B:$B,"&lt;&gt;Patrícia Karla de Sousa Araújo",$B:$B,"&lt;&gt;Lorena Dias de Araujo",$B:$B,"&lt;&gt;Lucas Luiz Romero")*(28/1083),IF(C456="Técnico I",SUMIFS($D:$D,$A:$A,$A456,$B:$B,"&lt;&gt;Patrícia Karla de Sousa Araújo",$B:$B,"&lt;&gt;Lorena Dias de Araujo",$B:$B,"&lt;&gt;Lucas Luiz Romero")*(23/1083),IF(C456="JR",SUMIFS($D:$D,$A:$A,$A456,$B:$B,"&lt;&gt;Patrícia Karla de Sousa Araújo",$B:$B,"&lt;&gt;Lorena Dias de Araujo",$B:$B,"&lt;&gt;Lucas Luiz Romero")*(20/1083),IF(C456="Estágio",SUMIFS($D:$D,$A:$A,$A456,$B:$B,"&lt;&gt;Patrícia Karla de Sousa Araújo",$B:$B,"&lt;&gt;Lorena Dias de Araujo",$B:$B,"&lt;&gt;Lucas Luiz Romero")*(10/1083),0)))))),0)</f>
        <v/>
      </c>
      <c r="K456" s="3">
        <f>I456-J456</f>
        <v/>
      </c>
      <c r="L456" s="3">
        <f>IF(K456&lt;-5,"CRÍTICO",IF(K456&lt;0,"ATENÇÃO",IF(K456&lt;=5,"BOM","EXCELENTE")))</f>
        <v/>
      </c>
      <c r="M456" t="n">
        <v>6</v>
      </c>
      <c r="N456" t="n">
        <v>97.67</v>
      </c>
      <c r="O456" t="n">
        <v>30.17241379310345</v>
      </c>
    </row>
    <row r="457" hidden="1">
      <c r="A457" s="10" t="n">
        <v>46164</v>
      </c>
      <c r="B457" s="6" t="inlineStr">
        <is>
          <t>Jaqueline Evangelista da Silva Martins</t>
        </is>
      </c>
      <c r="C457" s="3" t="inlineStr">
        <is>
          <t>Técnico III</t>
        </is>
      </c>
      <c r="D457" s="3" t="n">
        <v>14</v>
      </c>
      <c r="E457" s="3" t="n">
        <v>14</v>
      </c>
      <c r="F457" s="3" t="n">
        <v>21.55</v>
      </c>
      <c r="G457" s="3" t="n">
        <v>0</v>
      </c>
      <c r="H457" s="3" t="n">
        <v>0</v>
      </c>
      <c r="I457" s="3">
        <f>E457+G457+H457</f>
        <v/>
      </c>
      <c r="J457" s="3">
        <f>ROUND(MIN(IF(C457="Técnico III",35,IF(C457="Técnico II",28,IF(C457="Técnico I",23,IF(C457="JR",20,IF(C457="Estágio",10,0))))),IF(C457="Técnico III",SUMIFS($D:$D,$A:$A,$A457,$B:$B,"&lt;&gt;Patrícia Karla de Sousa Araújo",$B:$B,"&lt;&gt;Lorena Dias de Araujo",$B:$B,"&lt;&gt;Lucas Luiz Romero")*(35/1083),IF(C457="Técnico II",SUMIFS($D:$D,$A:$A,$A457,$B:$B,"&lt;&gt;Patrícia Karla de Sousa Araújo",$B:$B,"&lt;&gt;Lorena Dias de Araujo",$B:$B,"&lt;&gt;Lucas Luiz Romero")*(28/1083),IF(C457="Técnico I",SUMIFS($D:$D,$A:$A,$A457,$B:$B,"&lt;&gt;Patrícia Karla de Sousa Araújo",$B:$B,"&lt;&gt;Lorena Dias de Araujo",$B:$B,"&lt;&gt;Lucas Luiz Romero")*(23/1083),IF(C457="JR",SUMIFS($D:$D,$A:$A,$A457,$B:$B,"&lt;&gt;Patrícia Karla de Sousa Araújo",$B:$B,"&lt;&gt;Lorena Dias de Araujo",$B:$B,"&lt;&gt;Lucas Luiz Romero")*(20/1083),IF(C457="Estágio",SUMIFS($D:$D,$A:$A,$A457,$B:$B,"&lt;&gt;Patrícia Karla de Sousa Araújo",$B:$B,"&lt;&gt;Lorena Dias de Araujo",$B:$B,"&lt;&gt;Lucas Luiz Romero")*(10/1083),0)))))),0)</f>
        <v/>
      </c>
      <c r="K457" s="3">
        <f>I457-J457</f>
        <v/>
      </c>
      <c r="L457" s="3">
        <f>IF(K457&lt;-5,"CRÍTICO",IF(K457&lt;0,"ATENÇÃO",IF(K457&lt;=5,"OPORTUNO","MUITO BOM")))</f>
        <v/>
      </c>
      <c r="M457" s="3" t="n">
        <v>14</v>
      </c>
      <c r="N457" s="3" t="n">
        <v>95.40000000000001</v>
      </c>
      <c r="O457" s="3" t="n">
        <v>20.53333333333333</v>
      </c>
    </row>
    <row r="458" hidden="1">
      <c r="A458" s="10" t="n">
        <v>46164</v>
      </c>
      <c r="B458" s="6" t="inlineStr">
        <is>
          <t>Jéssica Fé Moura</t>
        </is>
      </c>
      <c r="C458" s="3" t="inlineStr">
        <is>
          <t>Técnico III</t>
        </is>
      </c>
      <c r="D458" s="3" t="n">
        <v>0</v>
      </c>
      <c r="E458" s="3" t="n">
        <v>0</v>
      </c>
      <c r="F458" s="3" t="n">
        <v>0</v>
      </c>
      <c r="G458" s="3" t="n">
        <v>0</v>
      </c>
      <c r="H458" s="3" t="n">
        <v>0</v>
      </c>
      <c r="I458" s="3" t="n">
        <v>0</v>
      </c>
      <c r="J458" s="3" t="n">
        <v>0</v>
      </c>
      <c r="K458" s="3" t="n">
        <v>0</v>
      </c>
      <c r="L458" s="3">
        <f>IF(K458&lt;-5,"CRÍTICO",IF(K458&lt;0,"ATENÇÃO",IF(K458&lt;=5,"OPORTUNO","MUITO BOM")))</f>
        <v/>
      </c>
      <c r="M458" s="3" t="n">
        <v>0</v>
      </c>
      <c r="N458" s="3" t="n">
        <v>0</v>
      </c>
      <c r="O458" s="3" t="n">
        <v>0</v>
      </c>
    </row>
    <row r="459" hidden="1">
      <c r="A459" s="10" t="n">
        <v>46164</v>
      </c>
      <c r="B459" s="6" t="inlineStr">
        <is>
          <t>Kerollen Cristielly de Jesus Siqueira</t>
        </is>
      </c>
      <c r="C459" s="3" t="inlineStr">
        <is>
          <t>Técnico III</t>
        </is>
      </c>
      <c r="D459" s="3" t="n">
        <v>19</v>
      </c>
      <c r="E459" s="3" t="n">
        <v>19</v>
      </c>
      <c r="F459" s="3" t="n">
        <v>16.57</v>
      </c>
      <c r="G459" s="3" t="n">
        <v>0</v>
      </c>
      <c r="H459" s="3" t="n">
        <v>0</v>
      </c>
      <c r="I459" s="3">
        <f>E459+G459+H459</f>
        <v/>
      </c>
      <c r="J459" s="3">
        <f>ROUND(MIN(IF(C459="Técnico III",35,IF(C459="Técnico II",28,IF(C459="Técnico I",23,IF(C459="JR",20,IF(C459="Estágio",10,0))))),IF(C459="Técnico III",SUMIFS($D:$D,$A:$A,$A459,$B:$B,"&lt;&gt;Patrícia Karla de Sousa Araújo",$B:$B,"&lt;&gt;Lorena Dias de Araujo",$B:$B,"&lt;&gt;Lucas Luiz Romero")*(35/1083),IF(C459="Técnico II",SUMIFS($D:$D,$A:$A,$A459,$B:$B,"&lt;&gt;Patrícia Karla de Sousa Araújo",$B:$B,"&lt;&gt;Lorena Dias de Araujo",$B:$B,"&lt;&gt;Lucas Luiz Romero")*(28/1083),IF(C459="Técnico I",SUMIFS($D:$D,$A:$A,$A459,$B:$B,"&lt;&gt;Patrícia Karla de Sousa Araújo",$B:$B,"&lt;&gt;Lorena Dias de Araujo",$B:$B,"&lt;&gt;Lucas Luiz Romero")*(23/1083),IF(C459="JR",SUMIFS($D:$D,$A:$A,$A459,$B:$B,"&lt;&gt;Patrícia Karla de Sousa Araújo",$B:$B,"&lt;&gt;Lorena Dias de Araujo",$B:$B,"&lt;&gt;Lucas Luiz Romero")*(20/1083),IF(C459="Estágio",SUMIFS($D:$D,$A:$A,$A459,$B:$B,"&lt;&gt;Patrícia Karla de Sousa Araújo",$B:$B,"&lt;&gt;Lorena Dias de Araujo",$B:$B,"&lt;&gt;Lucas Luiz Romero")*(10/1083),0)))))),0)</f>
        <v/>
      </c>
      <c r="K459" s="3">
        <f>I459-J459</f>
        <v/>
      </c>
      <c r="L459" s="3">
        <f>IF(K459&lt;-5,"CRÍTICO",IF(K459&lt;0,"ATENÇÃO",IF(K459&lt;=5,"OPORTUNO","MUITO BOM")))</f>
        <v/>
      </c>
      <c r="M459" s="3" t="n">
        <v>21</v>
      </c>
      <c r="N459" s="3" t="n">
        <v>95.52</v>
      </c>
      <c r="O459" s="3" t="n">
        <v>10.56105610561056</v>
      </c>
    </row>
    <row r="460" hidden="1">
      <c r="A460" s="10" t="n">
        <v>46164</v>
      </c>
      <c r="B460" s="6" t="inlineStr">
        <is>
          <t>Leandro Oliveira de Sousa</t>
        </is>
      </c>
      <c r="C460" s="3" t="inlineStr">
        <is>
          <t>Técnico III</t>
        </is>
      </c>
      <c r="D460" s="3" t="n">
        <v>21</v>
      </c>
      <c r="E460" s="3" t="n">
        <v>20</v>
      </c>
      <c r="F460" s="3" t="n">
        <v>16.59</v>
      </c>
      <c r="G460" s="3" t="n">
        <v>0</v>
      </c>
      <c r="H460" s="3" t="n">
        <v>0</v>
      </c>
      <c r="I460" s="3">
        <f>E460+G460+H460</f>
        <v/>
      </c>
      <c r="J460" s="3">
        <f>ROUND(MIN(IF(C460="Técnico III",35,IF(C460="Técnico II",28,IF(C460="Técnico I",23,IF(C460="JR",20,IF(C460="Estágio",10,0))))),IF(C460="Técnico III",SUMIFS($D:$D,$A:$A,$A460,$B:$B,"&lt;&gt;Patrícia Karla de Sousa Araújo",$B:$B,"&lt;&gt;Lorena Dias de Araujo",$B:$B,"&lt;&gt;Lucas Luiz Romero")*(35/1083),IF(C460="Técnico II",SUMIFS($D:$D,$A:$A,$A460,$B:$B,"&lt;&gt;Patrícia Karla de Sousa Araújo",$B:$B,"&lt;&gt;Lorena Dias de Araujo",$B:$B,"&lt;&gt;Lucas Luiz Romero")*(28/1083),IF(C460="Técnico I",SUMIFS($D:$D,$A:$A,$A460,$B:$B,"&lt;&gt;Patrícia Karla de Sousa Araújo",$B:$B,"&lt;&gt;Lorena Dias de Araujo",$B:$B,"&lt;&gt;Lucas Luiz Romero")*(23/1083),IF(C460="JR",SUMIFS($D:$D,$A:$A,$A460,$B:$B,"&lt;&gt;Patrícia Karla de Sousa Araújo",$B:$B,"&lt;&gt;Lorena Dias de Araujo",$B:$B,"&lt;&gt;Lucas Luiz Romero")*(20/1083),IF(C460="Estágio",SUMIFS($D:$D,$A:$A,$A460,$B:$B,"&lt;&gt;Patrícia Karla de Sousa Araújo",$B:$B,"&lt;&gt;Lorena Dias de Araujo",$B:$B,"&lt;&gt;Lucas Luiz Romero")*(10/1083),0)))))),0)</f>
        <v/>
      </c>
      <c r="K460" s="3">
        <f>I460-J460</f>
        <v/>
      </c>
      <c r="L460" s="3">
        <f>IF(K460&lt;-5,"CRÍTICO",IF(K460&lt;0,"ATENÇÃO",IF(K460&lt;=5,"OPORTUNO","MUITO BOM")))</f>
        <v/>
      </c>
      <c r="M460" s="3" t="n">
        <v>20</v>
      </c>
      <c r="N460" s="3" t="n">
        <v>100</v>
      </c>
      <c r="O460" s="3" t="n">
        <v>15.58441558441558</v>
      </c>
    </row>
    <row r="461" hidden="1">
      <c r="A461" s="10" t="n">
        <v>46164</v>
      </c>
      <c r="B461" s="6" t="inlineStr">
        <is>
          <t>Lucas Luiz Romero</t>
        </is>
      </c>
      <c r="C461" s="3" t="inlineStr">
        <is>
          <t>Técnico III</t>
        </is>
      </c>
      <c r="D461" s="3" t="n">
        <v>26</v>
      </c>
      <c r="E461" s="3" t="n">
        <v>19</v>
      </c>
      <c r="F461" s="3" t="n">
        <v>12.11</v>
      </c>
      <c r="G461" s="3" t="n">
        <v>0</v>
      </c>
      <c r="H461" s="3" t="n">
        <v>0</v>
      </c>
      <c r="I461" s="3">
        <f>E461+G461+H461</f>
        <v/>
      </c>
      <c r="J461" s="3">
        <f>ROUND(MIN(IF(C461="Técnico III",35,IF(C461="Técnico II",28,IF(C461="Técnico I",23,IF(C461="JR",20,IF(C461="Estágio",10,0))))),IF(C461="Técnico III",SUMIFS($D:$D,$A:$A,$A461,$B:$B,"&lt;&gt;Patrícia Karla de Sousa Araújo",$B:$B,"&lt;&gt;Lorena Dias de Araujo",$B:$B,"&lt;&gt;Lucas Luiz Romero")*(35/1083),IF(C461="Técnico II",SUMIFS($D:$D,$A:$A,$A461,$B:$B,"&lt;&gt;Patrícia Karla de Sousa Araújo",$B:$B,"&lt;&gt;Lorena Dias de Araujo",$B:$B,"&lt;&gt;Lucas Luiz Romero")*(28/1083),IF(C461="Técnico I",SUMIFS($D:$D,$A:$A,$A461,$B:$B,"&lt;&gt;Patrícia Karla de Sousa Araújo",$B:$B,"&lt;&gt;Lorena Dias de Araujo",$B:$B,"&lt;&gt;Lucas Luiz Romero")*(23/1083),IF(C461="JR",SUMIFS($D:$D,$A:$A,$A461,$B:$B,"&lt;&gt;Patrícia Karla de Sousa Araújo",$B:$B,"&lt;&gt;Lorena Dias de Araujo",$B:$B,"&lt;&gt;Lucas Luiz Romero")*(20/1083),IF(C461="Estágio",SUMIFS($D:$D,$A:$A,$A461,$B:$B,"&lt;&gt;Patrícia Karla de Sousa Araújo",$B:$B,"&lt;&gt;Lorena Dias de Araujo",$B:$B,"&lt;&gt;Lucas Luiz Romero")*(10/1083),0)))))),0)</f>
        <v/>
      </c>
      <c r="K461" s="3">
        <f>I461-J461</f>
        <v/>
      </c>
      <c r="L461" s="3">
        <f>IF(K461&lt;-5,"CRÍTICO",IF(K461&lt;0,"ATENÇÃO",IF(K461&lt;=5,"OPORTUNO","MUITO BOM")))</f>
        <v/>
      </c>
      <c r="M461" s="3" t="n">
        <v>15</v>
      </c>
      <c r="N461" s="3" t="n">
        <v>100</v>
      </c>
      <c r="O461" s="3" t="n">
        <v>4.347826086956522</v>
      </c>
    </row>
    <row r="462" hidden="1">
      <c r="A462" s="10" t="n">
        <v>46164</v>
      </c>
      <c r="B462" s="6" t="inlineStr">
        <is>
          <t>Matheus Farias De Souza</t>
        </is>
      </c>
      <c r="C462" s="3" t="inlineStr">
        <is>
          <t>Técnico III</t>
        </is>
      </c>
      <c r="D462" s="3" t="n">
        <v>0</v>
      </c>
      <c r="E462" s="3" t="n">
        <v>0</v>
      </c>
      <c r="F462" s="3" t="n">
        <v>0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0</v>
      </c>
      <c r="L462" s="3">
        <f>IF(K462&lt;-5,"CRÍTICO",IF(K462&lt;0,"ATENÇÃO",IF(K462&lt;=5,"OPORTUNO","MUITO BOM")))</f>
        <v/>
      </c>
      <c r="M462" s="3" t="n">
        <v>3</v>
      </c>
      <c r="N462" s="3" t="n">
        <v>98.28</v>
      </c>
      <c r="O462" s="3" t="n">
        <v>9.037900874635568</v>
      </c>
    </row>
    <row r="463" hidden="1">
      <c r="A463" s="10" t="n">
        <v>46164</v>
      </c>
      <c r="B463" s="6" t="inlineStr">
        <is>
          <t>Maysa Victoria Dias Moura</t>
        </is>
      </c>
      <c r="C463" s="3" t="inlineStr">
        <is>
          <t>Técnico III</t>
        </is>
      </c>
      <c r="D463" s="3" t="n">
        <v>23</v>
      </c>
      <c r="E463" s="3" t="n">
        <v>20</v>
      </c>
      <c r="F463" s="3" t="n">
        <v>13.5</v>
      </c>
      <c r="G463" s="3" t="n">
        <v>5</v>
      </c>
      <c r="H463" s="3" t="n">
        <v>0</v>
      </c>
      <c r="I463" s="3">
        <f>E463+G463+H463</f>
        <v/>
      </c>
      <c r="J463" s="3">
        <f>ROUND(MIN(IF(C463="Técnico III",35,IF(C463="Técnico II",28,IF(C463="Técnico I",23,IF(C463="JR",20,IF(C463="Estágio",10,0))))),IF(C463="Técnico III",SUMIFS($D:$D,$A:$A,$A463,$B:$B,"&lt;&gt;Patrícia Karla de Sousa Araújo",$B:$B,"&lt;&gt;Lorena Dias de Araujo",$B:$B,"&lt;&gt;Lucas Luiz Romero")*(35/1083),IF(C463="Técnico II",SUMIFS($D:$D,$A:$A,$A463,$B:$B,"&lt;&gt;Patrícia Karla de Sousa Araújo",$B:$B,"&lt;&gt;Lorena Dias de Araujo",$B:$B,"&lt;&gt;Lucas Luiz Romero")*(28/1083),IF(C463="Técnico I",SUMIFS($D:$D,$A:$A,$A463,$B:$B,"&lt;&gt;Patrícia Karla de Sousa Araújo",$B:$B,"&lt;&gt;Lorena Dias de Araujo",$B:$B,"&lt;&gt;Lucas Luiz Romero")*(23/1083),IF(C463="JR",SUMIFS($D:$D,$A:$A,$A463,$B:$B,"&lt;&gt;Patrícia Karla de Sousa Araújo",$B:$B,"&lt;&gt;Lorena Dias de Araujo",$B:$B,"&lt;&gt;Lucas Luiz Romero")*(20/1083),IF(C463="Estágio",SUMIFS($D:$D,$A:$A,$A463,$B:$B,"&lt;&gt;Patrícia Karla de Sousa Araújo",$B:$B,"&lt;&gt;Lorena Dias de Araujo",$B:$B,"&lt;&gt;Lucas Luiz Romero")*(10/1083),0)))))),0)</f>
        <v/>
      </c>
      <c r="K463" s="3">
        <f>I463-J463</f>
        <v/>
      </c>
      <c r="L463" s="3">
        <f>IF(K463&lt;-5,"CRÍTICO",IF(K463&lt;0,"ATENÇÃO",IF(K463&lt;=5,"OPORTUNO","MUITO BOM")))</f>
        <v/>
      </c>
      <c r="M463" s="3" t="n">
        <v>16</v>
      </c>
      <c r="N463" s="3" t="n">
        <v>97.22</v>
      </c>
      <c r="O463" s="3" t="n">
        <v>19.09547738693467</v>
      </c>
    </row>
    <row r="464" hidden="1">
      <c r="A464" s="10" t="n">
        <v>46164</v>
      </c>
      <c r="B464" s="6" t="inlineStr">
        <is>
          <t>Rafael Gomes de Morais</t>
        </is>
      </c>
      <c r="C464" s="3" t="inlineStr">
        <is>
          <t>Técnico III</t>
        </is>
      </c>
      <c r="D464" s="3" t="n">
        <v>25</v>
      </c>
      <c r="E464" s="3" t="n">
        <v>22</v>
      </c>
      <c r="F464" s="3" t="n">
        <v>13.32</v>
      </c>
      <c r="G464" s="3" t="n">
        <v>0</v>
      </c>
      <c r="H464" s="3" t="n">
        <v>0</v>
      </c>
      <c r="I464" s="3">
        <f>E464+G464+H464</f>
        <v/>
      </c>
      <c r="J464" s="3">
        <f>ROUND(MIN(IF(C464="Técnico III",35,IF(C464="Técnico II",28,IF(C464="Técnico I",23,IF(C464="JR",20,IF(C464="Estágio",10,0))))),IF(C464="Técnico III",SUMIFS($D:$D,$A:$A,$A464,$B:$B,"&lt;&gt;Patrícia Karla de Sousa Araújo",$B:$B,"&lt;&gt;Lorena Dias de Araujo",$B:$B,"&lt;&gt;Lucas Luiz Romero")*(35/1083),IF(C464="Técnico II",SUMIFS($D:$D,$A:$A,$A464,$B:$B,"&lt;&gt;Patrícia Karla de Sousa Araújo",$B:$B,"&lt;&gt;Lorena Dias de Araujo",$B:$B,"&lt;&gt;Lucas Luiz Romero")*(28/1083),IF(C464="Técnico I",SUMIFS($D:$D,$A:$A,$A464,$B:$B,"&lt;&gt;Patrícia Karla de Sousa Araújo",$B:$B,"&lt;&gt;Lorena Dias de Araujo",$B:$B,"&lt;&gt;Lucas Luiz Romero")*(23/1083),IF(C464="JR",SUMIFS($D:$D,$A:$A,$A464,$B:$B,"&lt;&gt;Patrícia Karla de Sousa Araújo",$B:$B,"&lt;&gt;Lorena Dias de Araujo",$B:$B,"&lt;&gt;Lucas Luiz Romero")*(20/1083),IF(C464="Estágio",SUMIFS($D:$D,$A:$A,$A464,$B:$B,"&lt;&gt;Patrícia Karla de Sousa Araújo",$B:$B,"&lt;&gt;Lorena Dias de Araujo",$B:$B,"&lt;&gt;Lucas Luiz Romero")*(10/1083),0)))))),0)</f>
        <v/>
      </c>
      <c r="K464" s="3">
        <f>I464-J464</f>
        <v/>
      </c>
      <c r="L464" s="3">
        <f>IF(K464&lt;-5,"CRÍTICO",IF(K464&lt;0,"ATENÇÃO",IF(K464&lt;=5,"OPORTUNO","MUITO BOM")))</f>
        <v/>
      </c>
      <c r="M464" s="3" t="n">
        <v>18</v>
      </c>
      <c r="N464" s="3" t="n">
        <v>99.29000000000001</v>
      </c>
      <c r="O464" s="3" t="n">
        <v>22.49443207126949</v>
      </c>
    </row>
    <row r="465" hidden="1">
      <c r="A465" s="10" t="n">
        <v>46164</v>
      </c>
      <c r="B465" s="6" t="inlineStr">
        <is>
          <t>Sarah Steffanie de Lima Borges</t>
        </is>
      </c>
      <c r="C465" s="3" t="inlineStr">
        <is>
          <t>Técnico III</t>
        </is>
      </c>
      <c r="D465" s="3" t="n">
        <v>26</v>
      </c>
      <c r="E465" s="3" t="n">
        <v>22</v>
      </c>
      <c r="F465" s="3" t="n">
        <v>13.4</v>
      </c>
      <c r="G465" s="3" t="n">
        <v>0</v>
      </c>
      <c r="H465" s="3" t="n">
        <v>0</v>
      </c>
      <c r="I465" s="3">
        <f>E465+G465+H465</f>
        <v/>
      </c>
      <c r="J465" s="3">
        <f>ROUND(MIN(IF(C465="Técnico III",35,IF(C465="Técnico II",28,IF(C465="Técnico I",23,IF(C465="JR",20,IF(C465="Estágio",10,0))))),IF(C465="Técnico III",SUMIFS($D:$D,$A:$A,$A465,$B:$B,"&lt;&gt;Patrícia Karla de Sousa Araújo",$B:$B,"&lt;&gt;Lorena Dias de Araujo",$B:$B,"&lt;&gt;Lucas Luiz Romero")*(35/1083),IF(C465="Técnico II",SUMIFS($D:$D,$A:$A,$A465,$B:$B,"&lt;&gt;Patrícia Karla de Sousa Araújo",$B:$B,"&lt;&gt;Lorena Dias de Araujo",$B:$B,"&lt;&gt;Lucas Luiz Romero")*(28/1083),IF(C465="Técnico I",SUMIFS($D:$D,$A:$A,$A465,$B:$B,"&lt;&gt;Patrícia Karla de Sousa Araújo",$B:$B,"&lt;&gt;Lorena Dias de Araujo",$B:$B,"&lt;&gt;Lucas Luiz Romero")*(23/1083),IF(C465="JR",SUMIFS($D:$D,$A:$A,$A465,$B:$B,"&lt;&gt;Patrícia Karla de Sousa Araújo",$B:$B,"&lt;&gt;Lorena Dias de Araujo",$B:$B,"&lt;&gt;Lucas Luiz Romero")*(20/1083),IF(C465="Estágio",SUMIFS($D:$D,$A:$A,$A465,$B:$B,"&lt;&gt;Patrícia Karla de Sousa Araújo",$B:$B,"&lt;&gt;Lorena Dias de Araujo",$B:$B,"&lt;&gt;Lucas Luiz Romero")*(10/1083),0)))))),0)</f>
        <v/>
      </c>
      <c r="K465" s="3">
        <f>I465-J465</f>
        <v/>
      </c>
      <c r="L465" s="3">
        <f>IF(K465&lt;-5,"CRÍTICO",IF(K465&lt;0,"ATENÇÃO",IF(K465&lt;=5,"OPORTUNO","MUITO BOM")))</f>
        <v/>
      </c>
      <c r="M465" s="3" t="n">
        <v>17</v>
      </c>
      <c r="N465" s="3" t="n">
        <v>97.33</v>
      </c>
      <c r="O465" s="3" t="n">
        <v>15.80547112462006</v>
      </c>
    </row>
    <row r="466" hidden="1">
      <c r="A466" s="11" t="n">
        <v>46167</v>
      </c>
      <c r="B466" t="inlineStr">
        <is>
          <t>Amanda Moura Ferreira</t>
        </is>
      </c>
      <c r="C466" t="inlineStr">
        <is>
          <t>Técnico III</t>
        </is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s="3" t="n">
        <v>0</v>
      </c>
      <c r="J466" s="3" t="n">
        <v>0</v>
      </c>
      <c r="K466" s="3" t="n">
        <v>0</v>
      </c>
      <c r="L466" s="3">
        <f>IF(K466&lt;-5,"CRÍTICO",IF(K466&lt;0,"ATENÇÃO",IF(K466&lt;=5,"OPORTUNO","MUITO BOM")))</f>
        <v/>
      </c>
    </row>
    <row r="467" hidden="1">
      <c r="A467" s="11" t="n">
        <v>46167</v>
      </c>
      <c r="B467" t="inlineStr">
        <is>
          <t>Ana Paula Da Luz Silva Aleixo</t>
        </is>
      </c>
      <c r="C467" t="inlineStr">
        <is>
          <t>Técnico III</t>
        </is>
      </c>
      <c r="D467" t="n">
        <v>27</v>
      </c>
      <c r="E467" t="n">
        <v>23</v>
      </c>
      <c r="F467" t="n">
        <v>13.5</v>
      </c>
      <c r="G467" t="n">
        <v>0</v>
      </c>
      <c r="H467" t="n">
        <v>0</v>
      </c>
      <c r="I467" s="3" t="n">
        <v>0</v>
      </c>
      <c r="J467" s="3" t="n">
        <v>0</v>
      </c>
      <c r="K467" s="3" t="n">
        <v>0</v>
      </c>
      <c r="L467" s="3">
        <f>IF(K467&lt;-5,"CRÍTICO",IF(K467&lt;0,"ATENÇÃO",IF(K467&lt;=5,"OPORTUNO","MUITO BOM")))</f>
        <v/>
      </c>
    </row>
    <row r="468" hidden="1">
      <c r="A468" s="11" t="n">
        <v>46167</v>
      </c>
      <c r="B468" t="inlineStr">
        <is>
          <t>Cristiane Ramos da Silva Rocha</t>
        </is>
      </c>
      <c r="C468" t="inlineStr">
        <is>
          <t>Técnico III</t>
        </is>
      </c>
      <c r="D468" t="n">
        <v>25</v>
      </c>
      <c r="E468" t="n">
        <v>22</v>
      </c>
      <c r="F468" t="n">
        <v>12.25</v>
      </c>
      <c r="G468" t="n">
        <v>0</v>
      </c>
      <c r="H468" t="n">
        <v>0</v>
      </c>
      <c r="I468" s="3" t="n">
        <v>0</v>
      </c>
      <c r="J468" s="3" t="n">
        <v>0</v>
      </c>
      <c r="K468" s="3" t="n">
        <v>0</v>
      </c>
      <c r="L468" s="3">
        <f>IF(K468&lt;-5,"CRÍTICO",IF(K468&lt;0,"ATENÇÃO",IF(K468&lt;=5,"OPORTUNO","MUITO BOM")))</f>
        <v/>
      </c>
    </row>
    <row r="469" hidden="1">
      <c r="A469" s="11" t="n">
        <v>46167</v>
      </c>
      <c r="B469" t="inlineStr">
        <is>
          <t>Davylla Rodrigues Freitas Silva</t>
        </is>
      </c>
      <c r="C469" t="inlineStr">
        <is>
          <t>Técnico III</t>
        </is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s="3" t="n">
        <v>0</v>
      </c>
      <c r="J469" s="3" t="n">
        <v>0</v>
      </c>
      <c r="K469" s="3" t="n">
        <v>0</v>
      </c>
      <c r="L469" s="3">
        <f>IF(K469&lt;-5,"CRÍTICO",IF(K469&lt;0,"ATENÇÃO",IF(K469&lt;=5,"OPORTUNO","MUITO BOM")))</f>
        <v/>
      </c>
    </row>
    <row r="470" hidden="1">
      <c r="A470" s="11" t="n">
        <v>46167</v>
      </c>
      <c r="B470" t="inlineStr">
        <is>
          <t>Francielson de Oliveira</t>
        </is>
      </c>
      <c r="C470" t="inlineStr">
        <is>
          <t>Técnico III</t>
        </is>
      </c>
      <c r="D470" t="n">
        <v>20</v>
      </c>
      <c r="E470" t="n">
        <v>19</v>
      </c>
      <c r="F470" t="n">
        <v>17.3</v>
      </c>
      <c r="G470" t="n">
        <v>0</v>
      </c>
      <c r="H470" t="n">
        <v>0</v>
      </c>
      <c r="I470" s="3" t="n">
        <v>0</v>
      </c>
      <c r="J470" s="3" t="n">
        <v>0</v>
      </c>
      <c r="K470" s="3" t="n">
        <v>0</v>
      </c>
      <c r="L470" s="3">
        <f>IF(K470&lt;-5,"CRÍTICO",IF(K470&lt;0,"ATENÇÃO",IF(K470&lt;=5,"OPORTUNO","MUITO BOM")))</f>
        <v/>
      </c>
    </row>
    <row r="471" hidden="1">
      <c r="A471" s="11" t="n">
        <v>46167</v>
      </c>
      <c r="B471" t="inlineStr">
        <is>
          <t>Janaina Lima dos Reis Urany</t>
        </is>
      </c>
      <c r="C471" t="inlineStr">
        <is>
          <t>Técnico III</t>
        </is>
      </c>
      <c r="D471" t="n">
        <v>22</v>
      </c>
      <c r="E471" t="n">
        <v>21</v>
      </c>
      <c r="F471" t="n">
        <v>17.1</v>
      </c>
      <c r="G471" t="n">
        <v>0</v>
      </c>
      <c r="H471" t="n">
        <v>0</v>
      </c>
      <c r="I471" s="3" t="n">
        <v>0</v>
      </c>
      <c r="J471" s="3" t="n">
        <v>0</v>
      </c>
      <c r="K471" s="3" t="n">
        <v>0</v>
      </c>
      <c r="L471" s="3">
        <f>IF(K471&lt;-5,"CRÍTICO",IF(K471&lt;0,"ATENÇÃO",IF(K471&lt;=5,"OPORTUNO","MUITO BOM")))</f>
        <v/>
      </c>
    </row>
    <row r="472" hidden="1">
      <c r="A472" s="11" t="n">
        <v>46167</v>
      </c>
      <c r="B472" t="inlineStr">
        <is>
          <t>Jaqueline Evangelista da Silva Martins</t>
        </is>
      </c>
      <c r="C472" t="inlineStr">
        <is>
          <t>Técnico III</t>
        </is>
      </c>
      <c r="D472" t="n">
        <v>17</v>
      </c>
      <c r="E472" t="n">
        <v>16</v>
      </c>
      <c r="F472" t="n">
        <v>18.3</v>
      </c>
      <c r="G472" t="n">
        <v>0</v>
      </c>
      <c r="H472" t="n">
        <v>0</v>
      </c>
      <c r="I472" s="3" t="n">
        <v>0</v>
      </c>
      <c r="J472" s="3" t="n">
        <v>0</v>
      </c>
      <c r="K472" s="3" t="n">
        <v>0</v>
      </c>
      <c r="L472" s="3">
        <f>IF(K472&lt;-5,"CRÍTICO",IF(K472&lt;0,"ATENÇÃO",IF(K472&lt;=5,"OPORTUNO","MUITO BOM")))</f>
        <v/>
      </c>
    </row>
    <row r="473" hidden="1">
      <c r="A473" s="11" t="n">
        <v>46167</v>
      </c>
      <c r="B473" t="inlineStr">
        <is>
          <t>Jéssica Fé Moura</t>
        </is>
      </c>
      <c r="C473" t="inlineStr">
        <is>
          <t>Técnico III</t>
        </is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s="3" t="n">
        <v>0</v>
      </c>
      <c r="J473" s="3" t="n">
        <v>0</v>
      </c>
      <c r="K473" s="3" t="n">
        <v>0</v>
      </c>
      <c r="L473" s="3">
        <f>IF(K473&lt;-5,"CRÍTICO",IF(K473&lt;0,"ATENÇÃO",IF(K473&lt;=5,"OPORTUNO","MUITO BOM")))</f>
        <v/>
      </c>
    </row>
    <row r="474" hidden="1">
      <c r="A474" s="11" t="n">
        <v>46167</v>
      </c>
      <c r="B474" t="inlineStr">
        <is>
          <t>Kerollen Cristielly de Jesus Siqueira</t>
        </is>
      </c>
      <c r="C474" t="inlineStr">
        <is>
          <t>Técnico III</t>
        </is>
      </c>
      <c r="D474" t="n">
        <v>27</v>
      </c>
      <c r="E474" t="n">
        <v>27</v>
      </c>
      <c r="F474" t="n">
        <v>13.4</v>
      </c>
      <c r="G474" t="n">
        <v>0</v>
      </c>
      <c r="H474" t="n">
        <v>0</v>
      </c>
      <c r="I474" s="3" t="n">
        <v>0</v>
      </c>
      <c r="J474" s="3" t="n">
        <v>0</v>
      </c>
      <c r="K474" s="3" t="n">
        <v>0</v>
      </c>
      <c r="L474" s="3">
        <f>IF(K474&lt;-5,"CRÍTICO",IF(K474&lt;0,"ATENÇÃO",IF(K474&lt;=5,"OPORTUNO","MUITO BOM")))</f>
        <v/>
      </c>
    </row>
    <row r="475" hidden="1">
      <c r="A475" s="11" t="n">
        <v>46167</v>
      </c>
      <c r="B475" t="inlineStr">
        <is>
          <t>Leandro Oliveira de Sousa</t>
        </is>
      </c>
      <c r="C475" t="inlineStr">
        <is>
          <t>Técnico III</t>
        </is>
      </c>
      <c r="D475" t="n">
        <v>26</v>
      </c>
      <c r="E475" t="n">
        <v>24</v>
      </c>
      <c r="F475" t="n">
        <v>16.44</v>
      </c>
      <c r="G475" t="n">
        <v>0</v>
      </c>
      <c r="H475" t="n">
        <v>0</v>
      </c>
      <c r="I475" s="3" t="n">
        <v>0</v>
      </c>
      <c r="J475" s="3" t="n">
        <v>0</v>
      </c>
      <c r="K475" s="3" t="n">
        <v>0</v>
      </c>
      <c r="L475" s="3">
        <f>IF(K475&lt;-5,"CRÍTICO",IF(K475&lt;0,"ATENÇÃO",IF(K475&lt;=5,"OPORTUNO","MUITO BOM")))</f>
        <v/>
      </c>
    </row>
    <row r="476" hidden="1">
      <c r="A476" s="11" t="n">
        <v>46167</v>
      </c>
      <c r="B476" t="inlineStr">
        <is>
          <t>Lucas Luiz Romero</t>
        </is>
      </c>
      <c r="C476" t="inlineStr">
        <is>
          <t>Técnico III</t>
        </is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s="3" t="n">
        <v>0</v>
      </c>
      <c r="J476" s="3" t="n">
        <v>0</v>
      </c>
      <c r="K476" s="3" t="n">
        <v>0</v>
      </c>
      <c r="L476" s="3">
        <f>IF(K476&lt;-5,"CRÍTICO",IF(K476&lt;0,"ATENÇÃO",IF(K476&lt;=5,"OPORTUNO","MUITO BOM")))</f>
        <v/>
      </c>
    </row>
    <row r="477" hidden="1">
      <c r="A477" s="11" t="n">
        <v>46167</v>
      </c>
      <c r="B477" t="inlineStr">
        <is>
          <t>Matheus Farias De Souza</t>
        </is>
      </c>
      <c r="C477" t="inlineStr">
        <is>
          <t>Técnico III</t>
        </is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s="3" t="n">
        <v>0</v>
      </c>
      <c r="J477" s="3" t="n">
        <v>0</v>
      </c>
      <c r="K477" s="3" t="n">
        <v>0</v>
      </c>
      <c r="L477" s="3">
        <f>IF(K477&lt;-5,"CRÍTICO",IF(K477&lt;0,"ATENÇÃO",IF(K477&lt;=5,"OPORTUNO","MUITO BOM")))</f>
        <v/>
      </c>
    </row>
    <row r="478" hidden="1">
      <c r="A478" s="11" t="n">
        <v>46043</v>
      </c>
      <c r="B478" t="inlineStr">
        <is>
          <t>Gabriel Gomes de Andrade</t>
        </is>
      </c>
      <c r="C478" t="inlineStr">
        <is>
          <t>Técnico I</t>
        </is>
      </c>
      <c r="D478" t="n">
        <v>17</v>
      </c>
      <c r="E478" t="n">
        <v>17</v>
      </c>
      <c r="F478" t="n">
        <v>26.55</v>
      </c>
      <c r="G478" t="n">
        <v>0</v>
      </c>
      <c r="H478" t="n">
        <v>0</v>
      </c>
      <c r="I478" s="3">
        <f>E478+G478+H478</f>
        <v/>
      </c>
      <c r="J478" s="3">
        <f>ROUND(MIN(IF(C478="Técnico III",35,IF(C478="Técnico II",28,IF(C478="Técnico I",23,IF(C478="JR",20,IF(C478="Estágio",10,0))))),IF(C478="Técnico III",SUMIFS($D:$D,$A:$A,$A478,$B:$B,"&lt;&gt;Patrícia Karla de Sousa Araújo",$B:$B,"&lt;&gt;Lorena Dias de Araujo",$B:$B,"&lt;&gt;Lucas Luiz Romero")*(35/1083),IF(C478="Técnico II",SUMIFS($D:$D,$A:$A,$A478,$B:$B,"&lt;&gt;Patrícia Karla de Sousa Araújo",$B:$B,"&lt;&gt;Lorena Dias de Araujo",$B:$B,"&lt;&gt;Lucas Luiz Romero")*(28/1083),IF(C478="Técnico I",SUMIFS($D:$D,$A:$A,$A478,$B:$B,"&lt;&gt;Patrícia Karla de Sousa Araújo",$B:$B,"&lt;&gt;Lorena Dias de Araujo",$B:$B,"&lt;&gt;Lucas Luiz Romero")*(23/1083),IF(C478="JR",SUMIFS($D:$D,$A:$A,$A478,$B:$B,"&lt;&gt;Patrícia Karla de Sousa Araújo",$B:$B,"&lt;&gt;Lorena Dias de Araujo",$B:$B,"&lt;&gt;Lucas Luiz Romero")*(20/1083),IF(C478="Estágio",SUMIFS($D:$D,$A:$A,$A478,$B:$B,"&lt;&gt;Patrícia Karla de Sousa Araújo",$B:$B,"&lt;&gt;Lorena Dias de Araujo",$B:$B,"&lt;&gt;Lucas Luiz Romero")*(10/1083),0)))))),0)</f>
        <v/>
      </c>
      <c r="K478" s="3">
        <f>I478-J478</f>
        <v/>
      </c>
      <c r="L478" s="3">
        <f>IF(K478&lt;-5,"CRÍTICO",IF(K478&lt;0,"ATENÇÃO",IF(K478&lt;=5,"BOM","EXCELENTE")))</f>
        <v/>
      </c>
      <c r="N478" t="n">
        <v>98.91</v>
      </c>
      <c r="O478" t="n">
        <v>31.36729222520107</v>
      </c>
    </row>
    <row r="479" hidden="1">
      <c r="A479" s="11" t="n">
        <v>46167</v>
      </c>
      <c r="B479" t="inlineStr">
        <is>
          <t>Maysa Victoria Dias Moura</t>
        </is>
      </c>
      <c r="C479" t="inlineStr">
        <is>
          <t>Técnico III</t>
        </is>
      </c>
      <c r="D479" t="n">
        <v>25</v>
      </c>
      <c r="E479" t="n">
        <v>24</v>
      </c>
      <c r="F479" t="n">
        <v>17.35</v>
      </c>
      <c r="G479" t="n">
        <v>0</v>
      </c>
      <c r="H479" t="n">
        <v>0</v>
      </c>
      <c r="I479" s="3" t="n">
        <v>0</v>
      </c>
      <c r="J479" s="3" t="n">
        <v>0</v>
      </c>
      <c r="K479" s="3" t="n">
        <v>0</v>
      </c>
      <c r="L479" s="3">
        <f>IF(K479&lt;-5,"CRÍTICO",IF(K479&lt;0,"ATENÇÃO",IF(K479&lt;=5,"OPORTUNO","MUITO BOM")))</f>
        <v/>
      </c>
    </row>
    <row r="480" hidden="1">
      <c r="A480" s="11" t="n">
        <v>46167</v>
      </c>
      <c r="B480" t="inlineStr">
        <is>
          <t>Rafael Gomes de Morais</t>
        </is>
      </c>
      <c r="C480" t="inlineStr">
        <is>
          <t>Técnico III</t>
        </is>
      </c>
      <c r="D480" t="n">
        <v>27</v>
      </c>
      <c r="E480" t="n">
        <v>24</v>
      </c>
      <c r="F480" t="n">
        <v>13.43</v>
      </c>
      <c r="G480" t="n">
        <v>0</v>
      </c>
      <c r="H480" t="n">
        <v>0</v>
      </c>
      <c r="I480" s="3" t="n">
        <v>0</v>
      </c>
      <c r="J480" s="3" t="n">
        <v>0</v>
      </c>
      <c r="K480" s="3" t="n">
        <v>0</v>
      </c>
      <c r="L480" s="3">
        <f>IF(K480&lt;-5,"CRÍTICO",IF(K480&lt;0,"ATENÇÃO",IF(K480&lt;=5,"OPORTUNO","MUITO BOM")))</f>
        <v/>
      </c>
    </row>
    <row r="481" hidden="1">
      <c r="A481" s="11" t="n">
        <v>46167</v>
      </c>
      <c r="B481" t="inlineStr">
        <is>
          <t>Sarah Steffanie de Lima Borges</t>
        </is>
      </c>
      <c r="C481" t="inlineStr">
        <is>
          <t>Técnico III</t>
        </is>
      </c>
      <c r="D481" t="n">
        <v>27</v>
      </c>
      <c r="E481" t="n">
        <v>25</v>
      </c>
      <c r="F481" t="n">
        <v>10.34</v>
      </c>
      <c r="G481" t="n">
        <v>0</v>
      </c>
      <c r="H481" t="n">
        <v>0</v>
      </c>
      <c r="I481" s="3" t="n">
        <v>0</v>
      </c>
      <c r="J481" s="3" t="n">
        <v>0</v>
      </c>
      <c r="K481" s="3" t="n">
        <v>0</v>
      </c>
      <c r="L481" s="3">
        <f>IF(K481&lt;-5,"CRÍTICO",IF(K481&lt;0,"ATENÇÃO",IF(K481&lt;=5,"OPORTUNO","MUITO BOM")))</f>
        <v/>
      </c>
    </row>
    <row r="482">
      <c r="A482" s="5" t="n">
        <v>46146</v>
      </c>
      <c r="B482" s="6" t="inlineStr">
        <is>
          <t>Jaqueline Evangelista da Silva Martins</t>
        </is>
      </c>
      <c r="C482" s="3" t="inlineStr">
        <is>
          <t>Técnico III</t>
        </is>
      </c>
      <c r="D482" s="3" t="n">
        <v>11</v>
      </c>
      <c r="E482" s="3" t="n">
        <v>11</v>
      </c>
      <c r="F482" s="3" t="n">
        <v>22</v>
      </c>
      <c r="G482" s="3" t="n">
        <v>5</v>
      </c>
      <c r="H482" s="3" t="n">
        <v>0</v>
      </c>
      <c r="I482" s="3">
        <f>E482+G482+H482</f>
        <v/>
      </c>
      <c r="J482" s="3">
        <f>ROUND(MIN(IF(C482="Técnico III",35,IF(C482="Técnico II",28,IF(C482="Técnico I",23,IF(C482="JR",20,IF(C482="Estágio",10,0))))),IF(C482="Técnico III",SUMIFS($D:$D,$A:$A,$A482,$B:$B,"&lt;&gt;Patrícia Karla de Sousa Araújo",$B:$B,"&lt;&gt;Lorena Dias de Araujo",$B:$B,"&lt;&gt;Lucas Luiz Romero")*(35/1083),IF(C482="Técnico II",SUMIFS($D:$D,$A:$A,$A482,$B:$B,"&lt;&gt;Patrícia Karla de Sousa Araújo",$B:$B,"&lt;&gt;Lorena Dias de Araujo",$B:$B,"&lt;&gt;Lucas Luiz Romero")*(28/1083),IF(C482="Técnico I",SUMIFS($D:$D,$A:$A,$A482,$B:$B,"&lt;&gt;Patrícia Karla de Sousa Araújo",$B:$B,"&lt;&gt;Lorena Dias de Araujo",$B:$B,"&lt;&gt;Lucas Luiz Romero")*(23/1083),IF(C482="JR",SUMIFS($D:$D,$A:$A,$A482,$B:$B,"&lt;&gt;Patrícia Karla de Sousa Araújo",$B:$B,"&lt;&gt;Lorena Dias de Araujo",$B:$B,"&lt;&gt;Lucas Luiz Romero")*(20/1083),IF(C482="Estágio",SUMIFS($D:$D,$A:$A,$A482,$B:$B,"&lt;&gt;Patrícia Karla de Sousa Araújo",$B:$B,"&lt;&gt;Lorena Dias de Araujo",$B:$B,"&lt;&gt;Lucas Luiz Romero")*(10/1083),0)))))),0)</f>
        <v/>
      </c>
      <c r="K482" s="3">
        <f>I482-J482</f>
        <v/>
      </c>
      <c r="L482" s="3">
        <f>IF(K482&lt;-5,"CRÍTICO",IF(K482&lt;0,"ATENÇÃO",IF(K482&lt;=5,"BOM","EXCELENTE")))</f>
        <v/>
      </c>
      <c r="M482" s="9" t="n">
        <v>18</v>
      </c>
      <c r="N482" s="9" t="n">
        <v>95.40000000000001</v>
      </c>
      <c r="O482" s="9" t="n">
        <v>20.53333333333333</v>
      </c>
    </row>
    <row r="483">
      <c r="A483" s="5" t="n">
        <v>46147</v>
      </c>
      <c r="B483" s="6" t="inlineStr">
        <is>
          <t>Jaqueline Evangelista da Silva Martins</t>
        </is>
      </c>
      <c r="C483" s="3" t="inlineStr">
        <is>
          <t>Técnico III</t>
        </is>
      </c>
      <c r="D483" s="3" t="n">
        <v>42</v>
      </c>
      <c r="E483" s="3" t="n">
        <v>41</v>
      </c>
      <c r="F483" s="3" t="n">
        <v>13.26</v>
      </c>
      <c r="G483" s="3" t="n">
        <v>2</v>
      </c>
      <c r="H483" s="3" t="n">
        <v>0</v>
      </c>
      <c r="I483" s="3">
        <f>E483+G483+H483</f>
        <v/>
      </c>
      <c r="J483" s="3">
        <f>ROUND(MIN(IF(C483="Técnico III",35,IF(C483="Técnico II",28,IF(C483="Técnico I",23,IF(C483="JR",20,IF(C483="Estágio",10,0))))),IF(C483="Técnico III",SUMIFS($D:$D,$A:$A,$A483,$B:$B,"&lt;&gt;Patrícia Karla de Sousa Araújo",$B:$B,"&lt;&gt;Lorena Dias de Araujo",$B:$B,"&lt;&gt;Lucas Luiz Romero")*(35/1083),IF(C483="Técnico II",SUMIFS($D:$D,$A:$A,$A483,$B:$B,"&lt;&gt;Patrícia Karla de Sousa Araújo",$B:$B,"&lt;&gt;Lorena Dias de Araujo",$B:$B,"&lt;&gt;Lucas Luiz Romero")*(28/1083),IF(C483="Técnico I",SUMIFS($D:$D,$A:$A,$A483,$B:$B,"&lt;&gt;Patrícia Karla de Sousa Araújo",$B:$B,"&lt;&gt;Lorena Dias de Araujo",$B:$B,"&lt;&gt;Lucas Luiz Romero")*(23/1083),IF(C483="JR",SUMIFS($D:$D,$A:$A,$A483,$B:$B,"&lt;&gt;Patrícia Karla de Sousa Araújo",$B:$B,"&lt;&gt;Lorena Dias de Araujo",$B:$B,"&lt;&gt;Lucas Luiz Romero")*(20/1083),IF(C483="Estágio",SUMIFS($D:$D,$A:$A,$A483,$B:$B,"&lt;&gt;Patrícia Karla de Sousa Araújo",$B:$B,"&lt;&gt;Lorena Dias de Araujo",$B:$B,"&lt;&gt;Lucas Luiz Romero")*(10/1083),0)))))),0)</f>
        <v/>
      </c>
      <c r="K483" s="3">
        <f>I483-J483</f>
        <v/>
      </c>
      <c r="L483" s="3">
        <f>IF(K483&lt;-5,"CRÍTICO",IF(K483&lt;0,"ATENÇÃO",IF(K483&lt;=5,"BOM","EXCELENTE")))</f>
        <v/>
      </c>
      <c r="M483" s="3" t="n">
        <v>41</v>
      </c>
      <c r="N483" s="3" t="n">
        <v>95.40000000000001</v>
      </c>
      <c r="O483" s="3" t="n">
        <v>20.53333333333333</v>
      </c>
    </row>
    <row r="484">
      <c r="A484" s="5" t="n">
        <v>46148</v>
      </c>
      <c r="B484" s="6" t="inlineStr">
        <is>
          <t>Jaqueline Evangelista da Silva Martins</t>
        </is>
      </c>
      <c r="C484" s="3" t="inlineStr">
        <is>
          <t>Técnico III</t>
        </is>
      </c>
      <c r="D484" s="3" t="n">
        <v>27</v>
      </c>
      <c r="E484" s="3" t="n">
        <v>26</v>
      </c>
      <c r="F484" s="9" t="n">
        <v>12.18</v>
      </c>
      <c r="G484" s="3" t="n">
        <v>7</v>
      </c>
      <c r="H484" s="3" t="n">
        <v>0</v>
      </c>
      <c r="I484" s="3">
        <f>E484+G484+H484</f>
        <v/>
      </c>
      <c r="J484" s="3">
        <f>ROUND(MIN(IF(C484="Técnico III",35,IF(C484="Técnico II",28,IF(C484="Técnico I",23,IF(C484="JR",20,IF(C484="Estágio",10,0))))),IF(C484="Técnico III",SUMIFS($D:$D,$A:$A,$A484,$B:$B,"&lt;&gt;Patrícia Karla de Sousa Araújo",$B:$B,"&lt;&gt;Lorena Dias de Araujo",$B:$B,"&lt;&gt;Lucas Luiz Romero")*(35/1083),IF(C484="Técnico II",SUMIFS($D:$D,$A:$A,$A484,$B:$B,"&lt;&gt;Patrícia Karla de Sousa Araújo",$B:$B,"&lt;&gt;Lorena Dias de Araujo",$B:$B,"&lt;&gt;Lucas Luiz Romero")*(28/1083),IF(C484="Técnico I",SUMIFS($D:$D,$A:$A,$A484,$B:$B,"&lt;&gt;Patrícia Karla de Sousa Araújo",$B:$B,"&lt;&gt;Lorena Dias de Araujo",$B:$B,"&lt;&gt;Lucas Luiz Romero")*(23/1083),IF(C484="JR",SUMIFS($D:$D,$A:$A,$A484,$B:$B,"&lt;&gt;Patrícia Karla de Sousa Araújo",$B:$B,"&lt;&gt;Lorena Dias de Araujo",$B:$B,"&lt;&gt;Lucas Luiz Romero")*(20/1083),IF(C484="Estágio",SUMIFS($D:$D,$A:$A,$A484,$B:$B,"&lt;&gt;Patrícia Karla de Sousa Araújo",$B:$B,"&lt;&gt;Lorena Dias de Araujo",$B:$B,"&lt;&gt;Lucas Luiz Romero")*(10/1083),0)))))),0)</f>
        <v/>
      </c>
      <c r="K484" s="3">
        <f>I484-J484</f>
        <v/>
      </c>
      <c r="L484" s="3">
        <f>IF(K484&lt;-5,"CRÍTICO",IF(K484&lt;0,"ATENÇÃO",IF(K484&lt;=5,"BOM","EXCELENTE")))</f>
        <v/>
      </c>
      <c r="M484" s="3" t="n">
        <v>26</v>
      </c>
      <c r="N484" s="3" t="n">
        <v>95.40000000000001</v>
      </c>
      <c r="O484" s="3" t="n">
        <v>20.53333333333333</v>
      </c>
    </row>
    <row r="485">
      <c r="A485" s="11" t="n">
        <v>46168</v>
      </c>
      <c r="B485" t="inlineStr">
        <is>
          <t>Jaqueline Evangelista da Silva Martins</t>
        </is>
      </c>
      <c r="C485" t="inlineStr">
        <is>
          <t>Técnico III</t>
        </is>
      </c>
      <c r="D485" s="9" t="n">
        <v>18</v>
      </c>
      <c r="E485" s="9" t="n">
        <v>16</v>
      </c>
      <c r="F485" s="9" t="n">
        <v>10.14</v>
      </c>
      <c r="G485" s="9" t="n">
        <v>4</v>
      </c>
    </row>
    <row r="486">
      <c r="A486" s="11" t="n">
        <v>46140</v>
      </c>
      <c r="B486" t="inlineStr">
        <is>
          <t>Jéssica Fé Moura</t>
        </is>
      </c>
      <c r="C486" t="inlineStr">
        <is>
          <t>Técnico III</t>
        </is>
      </c>
      <c r="D486" s="9" t="n">
        <v>0</v>
      </c>
      <c r="E486" s="9" t="n">
        <v>0</v>
      </c>
      <c r="F486" s="9" t="n">
        <v>0</v>
      </c>
      <c r="G486" s="9" t="n">
        <v>0</v>
      </c>
      <c r="H486" s="9" t="n">
        <v>0</v>
      </c>
      <c r="I486" s="3" t="n">
        <v>0</v>
      </c>
      <c r="J486" s="3" t="n">
        <v>0</v>
      </c>
      <c r="K486" s="3" t="n">
        <v>0</v>
      </c>
      <c r="L486" s="3">
        <f>IF(K486&lt;-5,"CRÍTICO",IF(K486&lt;0,"ATENÇÃO",IF(K486&lt;=5,"OPORTUNO","MUITO BOM")))</f>
        <v/>
      </c>
      <c r="N486" s="9" t="n">
        <v>0</v>
      </c>
      <c r="O486" s="9" t="n">
        <v>0</v>
      </c>
    </row>
    <row r="487">
      <c r="A487" s="11" t="n">
        <v>46141</v>
      </c>
      <c r="B487" t="inlineStr">
        <is>
          <t>Jéssica Fé Moura</t>
        </is>
      </c>
      <c r="C487" t="inlineStr">
        <is>
          <t>Técnico III</t>
        </is>
      </c>
      <c r="D487" s="9" t="n">
        <v>0</v>
      </c>
      <c r="E487" s="9" t="n">
        <v>0</v>
      </c>
      <c r="F487" s="9" t="n">
        <v>0</v>
      </c>
      <c r="G487" s="9" t="n">
        <v>0</v>
      </c>
      <c r="H487" s="9" t="n">
        <v>0</v>
      </c>
      <c r="I487" s="3" t="n">
        <v>0</v>
      </c>
      <c r="J487" s="3" t="n">
        <v>0</v>
      </c>
      <c r="K487" s="3" t="n">
        <v>0</v>
      </c>
      <c r="L487" s="3">
        <f>IF(K487&lt;-5,"CRÍTICO",IF(K487&lt;0,"ATENÇÃO",IF(K487&lt;=5,"OPORTUNO","MUITO BOM")))</f>
        <v/>
      </c>
      <c r="N487" s="9" t="n">
        <v>0</v>
      </c>
      <c r="O487" s="9" t="n">
        <v>0</v>
      </c>
    </row>
    <row r="488">
      <c r="A488" s="11" t="n">
        <v>46142</v>
      </c>
      <c r="B488" t="inlineStr">
        <is>
          <t>Jéssica Fé Moura</t>
        </is>
      </c>
      <c r="C488" t="inlineStr">
        <is>
          <t>Técnico III</t>
        </is>
      </c>
      <c r="D488" s="9" t="n">
        <v>0</v>
      </c>
      <c r="E488" s="9" t="n">
        <v>0</v>
      </c>
      <c r="F488" s="9" t="n">
        <v>0</v>
      </c>
      <c r="G488" s="9" t="n">
        <v>0</v>
      </c>
      <c r="H488" s="9" t="n">
        <v>0</v>
      </c>
      <c r="I488" s="3" t="n">
        <v>0</v>
      </c>
      <c r="J488" s="3" t="n">
        <v>0</v>
      </c>
      <c r="K488" s="3" t="n">
        <v>0</v>
      </c>
      <c r="L488" s="3">
        <f>IF(K488&lt;-5,"CRÍTICO",IF(K488&lt;0,"ATENÇÃO",IF(K488&lt;=5,"OPORTUNO","MUITO BOM")))</f>
        <v/>
      </c>
      <c r="N488" s="9" t="n">
        <v>0</v>
      </c>
      <c r="O488" s="9" t="n">
        <v>0</v>
      </c>
    </row>
    <row r="489">
      <c r="A489" s="5" t="n">
        <v>46146</v>
      </c>
      <c r="B489" s="6" t="inlineStr">
        <is>
          <t>Jéssica Fé Moura</t>
        </is>
      </c>
      <c r="C489" s="3" t="inlineStr">
        <is>
          <t>Técnico III</t>
        </is>
      </c>
      <c r="D489" s="3" t="n">
        <v>0</v>
      </c>
      <c r="E489" s="3" t="n">
        <v>0</v>
      </c>
      <c r="F489" s="3" t="n">
        <v>0</v>
      </c>
      <c r="G489" s="3" t="n">
        <v>0</v>
      </c>
      <c r="H489" s="3" t="n">
        <v>0</v>
      </c>
      <c r="I489" s="3" t="n">
        <v>0</v>
      </c>
      <c r="J489" s="3" t="n">
        <v>0</v>
      </c>
      <c r="K489" s="3" t="n">
        <v>0</v>
      </c>
      <c r="L489" s="3">
        <f>IF(K489&lt;-5,"CRÍTICO",IF(K489&lt;0,"ATENÇÃO",IF(K489&lt;=5,"BOM","EXCELENTE")))</f>
        <v/>
      </c>
      <c r="M489" s="9" t="n">
        <v>0</v>
      </c>
      <c r="N489" s="9" t="n">
        <v>0</v>
      </c>
      <c r="O489" s="9" t="n">
        <v>0</v>
      </c>
    </row>
    <row r="490">
      <c r="A490" s="5" t="n">
        <v>46147</v>
      </c>
      <c r="B490" s="6" t="inlineStr">
        <is>
          <t>Jéssica Fé Moura</t>
        </is>
      </c>
      <c r="C490" s="3" t="inlineStr">
        <is>
          <t>Técnico III</t>
        </is>
      </c>
      <c r="D490" s="3" t="n">
        <v>0</v>
      </c>
      <c r="E490" s="3" t="n">
        <v>0</v>
      </c>
      <c r="F490" s="3" t="n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>
        <f>IF(K490&lt;-5,"CRÍTICO",IF(K490&lt;0,"ATENÇÃO",IF(K490&lt;=5,"BOM","EXCELENTE")))</f>
        <v/>
      </c>
      <c r="M490" s="3" t="n">
        <v>0</v>
      </c>
      <c r="N490" s="3" t="n">
        <v>0</v>
      </c>
      <c r="O490" s="3" t="n">
        <v>0</v>
      </c>
    </row>
    <row r="491">
      <c r="A491" s="5" t="n">
        <v>46148</v>
      </c>
      <c r="B491" s="6" t="inlineStr">
        <is>
          <t>Jéssica Fé Moura</t>
        </is>
      </c>
      <c r="C491" s="3" t="inlineStr">
        <is>
          <t>Técnico III</t>
        </is>
      </c>
      <c r="D491" s="3" t="n">
        <v>0</v>
      </c>
      <c r="E491" s="3" t="n">
        <v>0</v>
      </c>
      <c r="F491" s="3" t="n">
        <v>0</v>
      </c>
      <c r="G491" s="3" t="n">
        <v>0</v>
      </c>
      <c r="H491" s="3" t="n">
        <v>0</v>
      </c>
      <c r="I491" s="3" t="n">
        <v>0</v>
      </c>
      <c r="J491" s="3" t="n">
        <v>0</v>
      </c>
      <c r="K491" s="3" t="n">
        <v>0</v>
      </c>
      <c r="L491" s="3">
        <f>IF(K491&lt;-5,"CRÍTICO",IF(K491&lt;0,"ATENÇÃO",IF(K491&lt;=5,"BOM","EXCELENTE")))</f>
        <v/>
      </c>
      <c r="M491" s="3" t="n">
        <v>0</v>
      </c>
      <c r="N491" s="3" t="n">
        <v>0</v>
      </c>
      <c r="O491" s="3" t="n">
        <v>0</v>
      </c>
    </row>
    <row r="492">
      <c r="A492" s="11" t="n">
        <v>46168</v>
      </c>
      <c r="B492" t="inlineStr">
        <is>
          <t>Jéssica Fé Moura</t>
        </is>
      </c>
      <c r="C492" t="inlineStr">
        <is>
          <t>Técnico III</t>
        </is>
      </c>
      <c r="D492" s="9" t="n">
        <v>0</v>
      </c>
      <c r="E492" s="9" t="n">
        <v>0</v>
      </c>
      <c r="F492" s="9" t="n">
        <v>0</v>
      </c>
      <c r="G492" s="9" t="n">
        <v>0</v>
      </c>
      <c r="H492" s="9" t="n">
        <v>0</v>
      </c>
      <c r="I492" s="9" t="n">
        <v>0</v>
      </c>
      <c r="J492" s="9" t="n">
        <v>0</v>
      </c>
      <c r="K492" s="9" t="n">
        <v>0</v>
      </c>
    </row>
    <row r="493">
      <c r="A493" s="11" t="n">
        <v>46140</v>
      </c>
      <c r="B493" t="inlineStr">
        <is>
          <t>Kerollen Cristielly de Jesus Siqueira</t>
        </is>
      </c>
      <c r="C493" t="inlineStr">
        <is>
          <t>Técnico III</t>
        </is>
      </c>
      <c r="D493" s="9" t="n">
        <v>0</v>
      </c>
      <c r="E493" s="9" t="n">
        <v>0</v>
      </c>
      <c r="F493" s="9" t="n">
        <v>0</v>
      </c>
      <c r="G493" s="9" t="n">
        <v>0</v>
      </c>
      <c r="H493" s="9" t="n">
        <v>0</v>
      </c>
      <c r="I493" s="3" t="n">
        <v>0</v>
      </c>
      <c r="J493" s="3" t="n">
        <v>0</v>
      </c>
      <c r="K493" s="3" t="n">
        <v>0</v>
      </c>
      <c r="L493" s="3">
        <f>IF(K493&lt;-5,"CRÍTICO",IF(K493&lt;0,"ATENÇÃO",IF(K493&lt;=5,"OPORTUNO","MUITO BOM")))</f>
        <v/>
      </c>
      <c r="N493" s="9" t="n">
        <v>96.81</v>
      </c>
      <c r="O493" s="9" t="n">
        <v>48.01864801864802</v>
      </c>
    </row>
    <row r="494">
      <c r="A494" s="11" t="n">
        <v>46141</v>
      </c>
      <c r="B494" t="inlineStr">
        <is>
          <t>Kerollen Cristielly de Jesus Siqueira</t>
        </is>
      </c>
      <c r="C494" t="inlineStr">
        <is>
          <t>Técnico III</t>
        </is>
      </c>
      <c r="D494" s="9" t="n">
        <v>0</v>
      </c>
      <c r="E494" s="9" t="n">
        <v>0</v>
      </c>
      <c r="F494" s="9" t="n">
        <v>0</v>
      </c>
      <c r="G494" s="9" t="n">
        <v>0</v>
      </c>
      <c r="H494" s="9" t="n">
        <v>0</v>
      </c>
      <c r="I494" s="3" t="n">
        <v>0</v>
      </c>
      <c r="J494" s="3" t="n">
        <v>0</v>
      </c>
      <c r="K494" s="3" t="n">
        <v>0</v>
      </c>
      <c r="L494" s="3">
        <f>IF(K494&lt;-5,"CRÍTICO",IF(K494&lt;0,"ATENÇÃO",IF(K494&lt;=5,"OPORTUNO","MUITO BOM")))</f>
        <v/>
      </c>
      <c r="N494" s="9" t="n">
        <v>96.81</v>
      </c>
      <c r="O494" s="9" t="n">
        <v>48.01864801864802</v>
      </c>
    </row>
    <row r="495">
      <c r="A495" s="11" t="n">
        <v>46142</v>
      </c>
      <c r="B495" t="inlineStr">
        <is>
          <t>Kerollen Cristielly de Jesus Siqueira</t>
        </is>
      </c>
      <c r="C495" t="inlineStr">
        <is>
          <t>Técnico III</t>
        </is>
      </c>
      <c r="D495" s="9" t="n">
        <v>0</v>
      </c>
      <c r="E495" s="9" t="n">
        <v>0</v>
      </c>
      <c r="F495" s="9" t="n">
        <v>0</v>
      </c>
      <c r="G495" s="9" t="n">
        <v>0</v>
      </c>
      <c r="H495" s="9" t="n">
        <v>0</v>
      </c>
      <c r="I495" s="3" t="n">
        <v>0</v>
      </c>
      <c r="J495" s="3" t="n">
        <v>0</v>
      </c>
      <c r="K495" s="3" t="n">
        <v>0</v>
      </c>
      <c r="L495" s="3">
        <f>IF(K495&lt;-5,"CRÍTICO",IF(K495&lt;0,"ATENÇÃO",IF(K495&lt;=5,"OPORTUNO","MUITO BOM")))</f>
        <v/>
      </c>
      <c r="N495" s="9" t="n">
        <v>96.81</v>
      </c>
      <c r="O495" s="9" t="n">
        <v>48.01864801864802</v>
      </c>
    </row>
    <row r="496">
      <c r="A496" s="5" t="n">
        <v>46146</v>
      </c>
      <c r="B496" s="6" t="inlineStr">
        <is>
          <t>Kerollen Cristielly de Jesus Siqueira</t>
        </is>
      </c>
      <c r="C496" s="9" t="inlineStr">
        <is>
          <t>Técnico III</t>
        </is>
      </c>
      <c r="D496" s="3" t="n">
        <v>20</v>
      </c>
      <c r="E496" s="3" t="n">
        <v>20</v>
      </c>
      <c r="F496" s="3" t="n">
        <v>20.48</v>
      </c>
      <c r="G496" s="3" t="n">
        <v>0</v>
      </c>
      <c r="H496" s="3" t="n">
        <v>0</v>
      </c>
      <c r="I496" s="3">
        <f>E496+G496+H496</f>
        <v/>
      </c>
      <c r="J496" s="3">
        <f>ROUND(MIN(IF(C496="Técnico III",35,IF(C496="Técnico II",28,IF(C496="Técnico I",23,IF(C496="JR",20,IF(C496="Estágio",10,0))))),IF(C496="Técnico III",SUMIFS($D:$D,$A:$A,$A496,$B:$B,"&lt;&gt;Patrícia Karla de Sousa Araújo",$B:$B,"&lt;&gt;Lorena Dias de Araujo",$B:$B,"&lt;&gt;Lucas Luiz Romero")*(35/1083),IF(C496="Técnico II",SUMIFS($D:$D,$A:$A,$A496,$B:$B,"&lt;&gt;Patrícia Karla de Sousa Araújo",$B:$B,"&lt;&gt;Lorena Dias de Araujo",$B:$B,"&lt;&gt;Lucas Luiz Romero")*(28/1083),IF(C496="Técnico I",SUMIFS($D:$D,$A:$A,$A496,$B:$B,"&lt;&gt;Patrícia Karla de Sousa Araújo",$B:$B,"&lt;&gt;Lorena Dias de Araujo",$B:$B,"&lt;&gt;Lucas Luiz Romero")*(23/1083),IF(C496="JR",SUMIFS($D:$D,$A:$A,$A496,$B:$B,"&lt;&gt;Patrícia Karla de Sousa Araújo",$B:$B,"&lt;&gt;Lorena Dias de Araujo",$B:$B,"&lt;&gt;Lucas Luiz Romero")*(20/1083),IF(C496="Estágio",SUMIFS($D:$D,$A:$A,$A496,$B:$B,"&lt;&gt;Patrícia Karla de Sousa Araújo",$B:$B,"&lt;&gt;Lorena Dias de Araujo",$B:$B,"&lt;&gt;Lucas Luiz Romero")*(10/1083),0)))))),0)</f>
        <v/>
      </c>
      <c r="K496" s="3">
        <f>I496-J496</f>
        <v/>
      </c>
      <c r="L496" s="3">
        <f>IF(K496&lt;-5,"CRÍTICO",IF(K496&lt;0,"ATENÇÃO",IF(K496&lt;=5,"BOM","EXCELENTE")))</f>
        <v/>
      </c>
      <c r="M496" s="9" t="n">
        <v>20</v>
      </c>
      <c r="N496" s="9" t="n">
        <v>95.52</v>
      </c>
      <c r="O496" s="9" t="n">
        <v>10.56105610561056</v>
      </c>
    </row>
    <row r="497">
      <c r="A497" s="5" t="n">
        <v>46147</v>
      </c>
      <c r="B497" s="6" t="inlineStr">
        <is>
          <t>Kerollen Cristielly de Jesus Siqueira</t>
        </is>
      </c>
      <c r="C497" s="9" t="inlineStr">
        <is>
          <t>Técnico III</t>
        </is>
      </c>
      <c r="D497" s="3" t="n">
        <v>26</v>
      </c>
      <c r="E497" s="3" t="n">
        <v>26</v>
      </c>
      <c r="F497" s="3" t="n">
        <v>18.42</v>
      </c>
      <c r="G497" s="3" t="n">
        <v>1</v>
      </c>
      <c r="H497" s="3" t="n">
        <v>0</v>
      </c>
      <c r="I497" s="3">
        <f>E497+G497+H497</f>
        <v/>
      </c>
      <c r="J497" s="3">
        <f>ROUND(MIN(IF(C497="Técnico III",35,IF(C497="Técnico II",28,IF(C497="Técnico I",23,IF(C497="JR",20,IF(C497="Estágio",10,0))))),IF(C497="Técnico III",SUMIFS($D:$D,$A:$A,$A497,$B:$B,"&lt;&gt;Patrícia Karla de Sousa Araújo",$B:$B,"&lt;&gt;Lorena Dias de Araujo",$B:$B,"&lt;&gt;Lucas Luiz Romero")*(35/1083),IF(C497="Técnico II",SUMIFS($D:$D,$A:$A,$A497,$B:$B,"&lt;&gt;Patrícia Karla de Sousa Araújo",$B:$B,"&lt;&gt;Lorena Dias de Araujo",$B:$B,"&lt;&gt;Lucas Luiz Romero")*(28/1083),IF(C497="Técnico I",SUMIFS($D:$D,$A:$A,$A497,$B:$B,"&lt;&gt;Patrícia Karla de Sousa Araújo",$B:$B,"&lt;&gt;Lorena Dias de Araujo",$B:$B,"&lt;&gt;Lucas Luiz Romero")*(23/1083),IF(C497="JR",SUMIFS($D:$D,$A:$A,$A497,$B:$B,"&lt;&gt;Patrícia Karla de Sousa Araújo",$B:$B,"&lt;&gt;Lorena Dias de Araujo",$B:$B,"&lt;&gt;Lucas Luiz Romero")*(20/1083),IF(C497="Estágio",SUMIFS($D:$D,$A:$A,$A497,$B:$B,"&lt;&gt;Patrícia Karla de Sousa Araújo",$B:$B,"&lt;&gt;Lorena Dias de Araujo",$B:$B,"&lt;&gt;Lucas Luiz Romero")*(10/1083),0)))))),0)</f>
        <v/>
      </c>
      <c r="K497" s="3">
        <f>I497-J497</f>
        <v/>
      </c>
      <c r="L497" s="3">
        <f>IF(K497&lt;-5,"CRÍTICO",IF(K497&lt;0,"ATENÇÃO",IF(K497&lt;=5,"BOM","EXCELENTE")))</f>
        <v/>
      </c>
      <c r="M497" s="3" t="n">
        <v>22</v>
      </c>
      <c r="N497" s="3" t="n">
        <v>95.52</v>
      </c>
      <c r="O497" s="3" t="n">
        <v>10.56105610561056</v>
      </c>
    </row>
    <row r="498">
      <c r="A498" s="5" t="n">
        <v>46148</v>
      </c>
      <c r="B498" s="6" t="inlineStr">
        <is>
          <t>Kerollen Cristielly de Jesus Siqueira</t>
        </is>
      </c>
      <c r="C498" s="9" t="inlineStr">
        <is>
          <t>Técnico III</t>
        </is>
      </c>
      <c r="D498" s="3" t="n">
        <v>27</v>
      </c>
      <c r="E498" s="3" t="n">
        <v>25</v>
      </c>
      <c r="F498" s="9" t="n">
        <v>22.17</v>
      </c>
      <c r="G498" s="3" t="n">
        <v>1</v>
      </c>
      <c r="H498" s="3" t="n">
        <v>0</v>
      </c>
      <c r="I498" s="3">
        <f>E498+G498+H498</f>
        <v/>
      </c>
      <c r="J498" s="3">
        <f>ROUND(MIN(IF(C498="Técnico III",35,IF(C498="Técnico II",28,IF(C498="Técnico I",23,IF(C498="JR",20,IF(C498="Estágio",10,0))))),IF(C498="Técnico III",SUMIFS($D:$D,$A:$A,$A498,$B:$B,"&lt;&gt;Patrícia Karla de Sousa Araújo",$B:$B,"&lt;&gt;Lorena Dias de Araujo",$B:$B,"&lt;&gt;Lucas Luiz Romero")*(35/1083),IF(C498="Técnico II",SUMIFS($D:$D,$A:$A,$A498,$B:$B,"&lt;&gt;Patrícia Karla de Sousa Araújo",$B:$B,"&lt;&gt;Lorena Dias de Araujo",$B:$B,"&lt;&gt;Lucas Luiz Romero")*(28/1083),IF(C498="Técnico I",SUMIFS($D:$D,$A:$A,$A498,$B:$B,"&lt;&gt;Patrícia Karla de Sousa Araújo",$B:$B,"&lt;&gt;Lorena Dias de Araujo",$B:$B,"&lt;&gt;Lucas Luiz Romero")*(23/1083),IF(C498="JR",SUMIFS($D:$D,$A:$A,$A498,$B:$B,"&lt;&gt;Patrícia Karla de Sousa Araújo",$B:$B,"&lt;&gt;Lorena Dias de Araujo",$B:$B,"&lt;&gt;Lucas Luiz Romero")*(20/1083),IF(C498="Estágio",SUMIFS($D:$D,$A:$A,$A498,$B:$B,"&lt;&gt;Patrícia Karla de Sousa Araújo",$B:$B,"&lt;&gt;Lorena Dias de Araujo",$B:$B,"&lt;&gt;Lucas Luiz Romero")*(10/1083),0)))))),0)</f>
        <v/>
      </c>
      <c r="K498" s="3">
        <f>I498-J498</f>
        <v/>
      </c>
      <c r="L498" s="3">
        <f>IF(K498&lt;-5,"CRÍTICO",IF(K498&lt;0,"ATENÇÃO",IF(K498&lt;=5,"BOM","EXCELENTE")))</f>
        <v/>
      </c>
      <c r="M498" s="3" t="n">
        <v>26</v>
      </c>
      <c r="N498" s="3" t="n">
        <v>95.52</v>
      </c>
      <c r="O498" s="3" t="n">
        <v>10.56105610561056</v>
      </c>
    </row>
    <row r="499">
      <c r="A499" s="11" t="n">
        <v>46168</v>
      </c>
      <c r="B499" t="inlineStr">
        <is>
          <t>Kerollen Cristielly de Jesus Siqueira</t>
        </is>
      </c>
      <c r="C499" t="inlineStr">
        <is>
          <t>Técnico III</t>
        </is>
      </c>
      <c r="D499" s="9" t="n">
        <v>30</v>
      </c>
      <c r="E499" s="9" t="n">
        <v>29</v>
      </c>
      <c r="F499" s="9" t="n">
        <v>15.33</v>
      </c>
      <c r="G499" s="9" t="n">
        <v>2</v>
      </c>
    </row>
    <row r="500">
      <c r="A500" s="11" t="n">
        <v>46140</v>
      </c>
      <c r="B500" t="inlineStr">
        <is>
          <t>Leandro Oliveira de Sousa</t>
        </is>
      </c>
      <c r="C500" t="inlineStr">
        <is>
          <t>Técnico III</t>
        </is>
      </c>
      <c r="D500" s="9" t="n">
        <v>29</v>
      </c>
      <c r="E500" s="9" t="n">
        <v>28</v>
      </c>
      <c r="F500" s="9" t="n">
        <v>17.31</v>
      </c>
      <c r="G500" s="9" t="n">
        <v>0</v>
      </c>
      <c r="H500" s="9" t="n">
        <v>0</v>
      </c>
      <c r="I500" s="3">
        <f>E500+G500+H500</f>
        <v/>
      </c>
      <c r="J500" s="3">
        <f>ROUND(MIN(IF(C500="Técnico III",35,IF(C500="Técnico II",28,IF(C500="Técnico I",23,IF(C500="JR",20,IF(C500="Estágio",10,0))))),IF(C500="Técnico III",SUMIFS($D:$D,$A:$A,$A500,$B:$B,"&lt;&gt;Patrícia Karla de Sousa Araújo",$B:$B,"&lt;&gt;Lorena Dias de Araujo",$B:$B,"&lt;&gt;Lucas Luiz Romero")*(35/1083),IF(C500="Técnico II",SUMIFS($D:$D,$A:$A,$A500,$B:$B,"&lt;&gt;Patrícia Karla de Sousa Araújo",$B:$B,"&lt;&gt;Lorena Dias de Araujo",$B:$B,"&lt;&gt;Lucas Luiz Romero")*(28/1083),IF(C500="Técnico I",SUMIFS($D:$D,$A:$A,$A500,$B:$B,"&lt;&gt;Patrícia Karla de Sousa Araújo",$B:$B,"&lt;&gt;Lorena Dias de Araujo",$B:$B,"&lt;&gt;Lucas Luiz Romero")*(23/1083),IF(C500="JR",SUMIFS($D:$D,$A:$A,$A500,$B:$B,"&lt;&gt;Patrícia Karla de Sousa Araújo",$B:$B,"&lt;&gt;Lorena Dias de Araujo",$B:$B,"&lt;&gt;Lucas Luiz Romero")*(20/1083),IF(C500="Estágio",SUMIFS($D:$D,$A:$A,$A500,$B:$B,"&lt;&gt;Patrícia Karla de Sousa Araújo",$B:$B,"&lt;&gt;Lorena Dias de Araujo",$B:$B,"&lt;&gt;Lucas Luiz Romero")*(10/1083),0)))))),0)</f>
        <v/>
      </c>
      <c r="K500" s="3">
        <f>I500-J500</f>
        <v/>
      </c>
      <c r="L500" s="3">
        <f>IF(K500&lt;-5,"CRÍTICO",IF(K500&lt;0,"ATENÇÃO",IF(K500&lt;=5,"OPORTUNO","MUITO BOM")))</f>
        <v/>
      </c>
      <c r="N500" s="9" t="n">
        <v>99.15000000000001</v>
      </c>
      <c r="O500" s="9" t="n">
        <v>27.37068965517241</v>
      </c>
    </row>
    <row r="501">
      <c r="A501" s="11" t="n">
        <v>46141</v>
      </c>
      <c r="B501" t="inlineStr">
        <is>
          <t>Leandro Oliveira de Sousa</t>
        </is>
      </c>
      <c r="C501" t="inlineStr">
        <is>
          <t>Técnico III</t>
        </is>
      </c>
      <c r="D501" s="9" t="n">
        <v>32</v>
      </c>
      <c r="E501" s="9" t="n">
        <v>26</v>
      </c>
      <c r="F501" s="9" t="n">
        <v>12.16</v>
      </c>
      <c r="G501" s="9" t="n">
        <v>0</v>
      </c>
      <c r="H501" s="9" t="n">
        <v>0</v>
      </c>
      <c r="I501" s="3">
        <f>E501+G501+H501</f>
        <v/>
      </c>
      <c r="J501" s="3">
        <f>ROUND(MIN(IF(C501="Técnico III",35,IF(C501="Técnico II",28,IF(C501="Técnico I",23,IF(C501="JR",20,IF(C501="Estágio",10,0))))),IF(C501="Técnico III",SUMIFS($D:$D,$A:$A,$A501,$B:$B,"&lt;&gt;Patrícia Karla de Sousa Araújo",$B:$B,"&lt;&gt;Lorena Dias de Araujo",$B:$B,"&lt;&gt;Lucas Luiz Romero")*(35/1083),IF(C501="Técnico II",SUMIFS($D:$D,$A:$A,$A501,$B:$B,"&lt;&gt;Patrícia Karla de Sousa Araújo",$B:$B,"&lt;&gt;Lorena Dias de Araujo",$B:$B,"&lt;&gt;Lucas Luiz Romero")*(28/1083),IF(C501="Técnico I",SUMIFS($D:$D,$A:$A,$A501,$B:$B,"&lt;&gt;Patrícia Karla de Sousa Araújo",$B:$B,"&lt;&gt;Lorena Dias de Araujo",$B:$B,"&lt;&gt;Lucas Luiz Romero")*(23/1083),IF(C501="JR",SUMIFS($D:$D,$A:$A,$A501,$B:$B,"&lt;&gt;Patrícia Karla de Sousa Araújo",$B:$B,"&lt;&gt;Lorena Dias de Araujo",$B:$B,"&lt;&gt;Lucas Luiz Romero")*(20/1083),IF(C501="Estágio",SUMIFS($D:$D,$A:$A,$A501,$B:$B,"&lt;&gt;Patrícia Karla de Sousa Araújo",$B:$B,"&lt;&gt;Lorena Dias de Araujo",$B:$B,"&lt;&gt;Lucas Luiz Romero")*(10/1083),0)))))),0)</f>
        <v/>
      </c>
      <c r="K501" s="3">
        <f>I501-J501</f>
        <v/>
      </c>
      <c r="L501" s="3">
        <f>IF(K501&lt;-5,"CRÍTICO",IF(K501&lt;0,"ATENÇÃO",IF(K501&lt;=5,"OPORTUNO","MUITO BOM")))</f>
        <v/>
      </c>
      <c r="N501" s="9" t="n">
        <v>99.15000000000001</v>
      </c>
      <c r="O501" s="9" t="n">
        <v>27.37068965517241</v>
      </c>
    </row>
    <row r="502">
      <c r="A502" s="11" t="n">
        <v>46142</v>
      </c>
      <c r="B502" t="inlineStr">
        <is>
          <t>Leandro Oliveira de Sousa</t>
        </is>
      </c>
      <c r="C502" t="inlineStr">
        <is>
          <t>Técnico III</t>
        </is>
      </c>
      <c r="D502" s="9" t="n">
        <v>31</v>
      </c>
      <c r="E502" s="9" t="n">
        <v>29</v>
      </c>
      <c r="F502" s="9" t="n">
        <v>13.5</v>
      </c>
      <c r="G502" s="9" t="n">
        <v>0</v>
      </c>
      <c r="H502" s="9" t="n">
        <v>0</v>
      </c>
      <c r="I502" s="3">
        <f>E502+G502+H502</f>
        <v/>
      </c>
      <c r="J502" s="3">
        <f>ROUND(MIN(IF(C502="Técnico III",35,IF(C502="Técnico II",28,IF(C502="Técnico I",23,IF(C502="JR",20,IF(C502="Estágio",10,0))))),IF(C502="Técnico III",SUMIFS($D:$D,$A:$A,$A502,$B:$B,"&lt;&gt;Patrícia Karla de Sousa Araújo",$B:$B,"&lt;&gt;Lorena Dias de Araujo",$B:$B,"&lt;&gt;Lucas Luiz Romero")*(35/1083),IF(C502="Técnico II",SUMIFS($D:$D,$A:$A,$A502,$B:$B,"&lt;&gt;Patrícia Karla de Sousa Araújo",$B:$B,"&lt;&gt;Lorena Dias de Araujo",$B:$B,"&lt;&gt;Lucas Luiz Romero")*(28/1083),IF(C502="Técnico I",SUMIFS($D:$D,$A:$A,$A502,$B:$B,"&lt;&gt;Patrícia Karla de Sousa Araújo",$B:$B,"&lt;&gt;Lorena Dias de Araujo",$B:$B,"&lt;&gt;Lucas Luiz Romero")*(23/1083),IF(C502="JR",SUMIFS($D:$D,$A:$A,$A502,$B:$B,"&lt;&gt;Patrícia Karla de Sousa Araújo",$B:$B,"&lt;&gt;Lorena Dias de Araujo",$B:$B,"&lt;&gt;Lucas Luiz Romero")*(20/1083),IF(C502="Estágio",SUMIFS($D:$D,$A:$A,$A502,$B:$B,"&lt;&gt;Patrícia Karla de Sousa Araújo",$B:$B,"&lt;&gt;Lorena Dias de Araujo",$B:$B,"&lt;&gt;Lucas Luiz Romero")*(10/1083),0)))))),0)</f>
        <v/>
      </c>
      <c r="K502" s="3">
        <f>I502-J502</f>
        <v/>
      </c>
      <c r="L502" s="3">
        <f>IF(K502&lt;-5,"CRÍTICO",IF(K502&lt;0,"ATENÇÃO",IF(K502&lt;=5,"OPORTUNO","MUITO BOM")))</f>
        <v/>
      </c>
      <c r="N502" s="9" t="n">
        <v>99.15000000000001</v>
      </c>
      <c r="O502" s="9" t="n">
        <v>27.37068965517241</v>
      </c>
    </row>
    <row r="503" hidden="1">
      <c r="A503" s="11" t="n">
        <v>46044</v>
      </c>
      <c r="B503" t="inlineStr">
        <is>
          <t>Gabriel Gomes de Andrade</t>
        </is>
      </c>
      <c r="C503" t="inlineStr">
        <is>
          <t>Técnico I</t>
        </is>
      </c>
      <c r="D503" t="n">
        <v>23</v>
      </c>
      <c r="E503" t="n">
        <v>22</v>
      </c>
      <c r="F503" t="n">
        <v>23.38</v>
      </c>
      <c r="G503" t="n">
        <v>0</v>
      </c>
      <c r="H503" t="n">
        <v>0</v>
      </c>
      <c r="I503" s="3">
        <f>E503+G503+H503</f>
        <v/>
      </c>
      <c r="J503" s="3">
        <f>ROUND(MIN(IF(C503="Técnico III",35,IF(C503="Técnico II",28,IF(C503="Técnico I",23,IF(C503="JR",20,IF(C503="Estágio",10,0))))),IF(C503="Técnico III",SUMIFS($D:$D,$A:$A,$A503,$B:$B,"&lt;&gt;Patrícia Karla de Sousa Araújo",$B:$B,"&lt;&gt;Lorena Dias de Araujo",$B:$B,"&lt;&gt;Lucas Luiz Romero")*(35/1083),IF(C503="Técnico II",SUMIFS($D:$D,$A:$A,$A503,$B:$B,"&lt;&gt;Patrícia Karla de Sousa Araújo",$B:$B,"&lt;&gt;Lorena Dias de Araujo",$B:$B,"&lt;&gt;Lucas Luiz Romero")*(28/1083),IF(C503="Técnico I",SUMIFS($D:$D,$A:$A,$A503,$B:$B,"&lt;&gt;Patrícia Karla de Sousa Araújo",$B:$B,"&lt;&gt;Lorena Dias de Araujo",$B:$B,"&lt;&gt;Lucas Luiz Romero")*(23/1083),IF(C503="JR",SUMIFS($D:$D,$A:$A,$A503,$B:$B,"&lt;&gt;Patrícia Karla de Sousa Araújo",$B:$B,"&lt;&gt;Lorena Dias de Araujo",$B:$B,"&lt;&gt;Lucas Luiz Romero")*(20/1083),IF(C503="Estágio",SUMIFS($D:$D,$A:$A,$A503,$B:$B,"&lt;&gt;Patrícia Karla de Sousa Araújo",$B:$B,"&lt;&gt;Lorena Dias de Araujo",$B:$B,"&lt;&gt;Lucas Luiz Romero")*(10/1083),0)))))),0)</f>
        <v/>
      </c>
      <c r="K503" s="3">
        <f>I503-J503</f>
        <v/>
      </c>
      <c r="L503" s="3">
        <f>IF(K503&lt;-5,"CRÍTICO",IF(K503&lt;0,"ATENÇÃO",IF(K503&lt;=5,"BOM","EXCELENTE")))</f>
        <v/>
      </c>
      <c r="N503" t="n">
        <v>98.91</v>
      </c>
      <c r="O503" t="n">
        <v>31.36729222520107</v>
      </c>
    </row>
    <row r="504" hidden="1">
      <c r="A504" s="11" t="n">
        <v>46045</v>
      </c>
      <c r="B504" t="inlineStr">
        <is>
          <t>Gabriel Gomes de Andrade</t>
        </is>
      </c>
      <c r="C504" t="inlineStr">
        <is>
          <t>Técnico I</t>
        </is>
      </c>
      <c r="D504" t="n">
        <v>17</v>
      </c>
      <c r="E504" t="n">
        <v>17</v>
      </c>
      <c r="F504" t="n">
        <v>17</v>
      </c>
      <c r="G504" t="n">
        <v>0</v>
      </c>
      <c r="H504" t="n">
        <v>0</v>
      </c>
      <c r="I504" s="3">
        <f>E504+G504+H504</f>
        <v/>
      </c>
      <c r="J504" s="3">
        <f>ROUND(MIN(IF(C504="Técnico III",35,IF(C504="Técnico II",28,IF(C504="Técnico I",23,IF(C504="JR",20,IF(C504="Estágio",10,0))))),IF(C504="Técnico III",SUMIFS($D:$D,$A:$A,$A504,$B:$B,"&lt;&gt;Patrícia Karla de Sousa Araújo",$B:$B,"&lt;&gt;Lorena Dias de Araujo",$B:$B,"&lt;&gt;Lucas Luiz Romero")*(35/1083),IF(C504="Técnico II",SUMIFS($D:$D,$A:$A,$A504,$B:$B,"&lt;&gt;Patrícia Karla de Sousa Araújo",$B:$B,"&lt;&gt;Lorena Dias de Araujo",$B:$B,"&lt;&gt;Lucas Luiz Romero")*(28/1083),IF(C504="Técnico I",SUMIFS($D:$D,$A:$A,$A504,$B:$B,"&lt;&gt;Patrícia Karla de Sousa Araújo",$B:$B,"&lt;&gt;Lorena Dias de Araujo",$B:$B,"&lt;&gt;Lucas Luiz Romero")*(23/1083),IF(C504="JR",SUMIFS($D:$D,$A:$A,$A504,$B:$B,"&lt;&gt;Patrícia Karla de Sousa Araújo",$B:$B,"&lt;&gt;Lorena Dias de Araujo",$B:$B,"&lt;&gt;Lucas Luiz Romero")*(20/1083),IF(C504="Estágio",SUMIFS($D:$D,$A:$A,$A504,$B:$B,"&lt;&gt;Patrícia Karla de Sousa Araújo",$B:$B,"&lt;&gt;Lorena Dias de Araujo",$B:$B,"&lt;&gt;Lucas Luiz Romero")*(10/1083),0)))))),0)</f>
        <v/>
      </c>
      <c r="K504" s="3">
        <f>I504-J504</f>
        <v/>
      </c>
      <c r="L504" s="3">
        <f>IF(K504&lt;-5,"CRÍTICO",IF(K504&lt;0,"ATENÇÃO",IF(K504&lt;=5,"BOM","EXCELENTE")))</f>
        <v/>
      </c>
      <c r="N504" t="n">
        <v>98.91</v>
      </c>
      <c r="O504" t="n">
        <v>31.36729222520107</v>
      </c>
    </row>
    <row r="505">
      <c r="A505" s="5" t="n">
        <v>46146</v>
      </c>
      <c r="B505" s="6" t="inlineStr">
        <is>
          <t>Leandro Oliveira de Sousa</t>
        </is>
      </c>
      <c r="C505" s="9" t="inlineStr">
        <is>
          <t>Técnico III</t>
        </is>
      </c>
      <c r="D505" s="3" t="n">
        <v>32</v>
      </c>
      <c r="E505" s="3" t="n">
        <v>29</v>
      </c>
      <c r="F505" s="3" t="n">
        <v>15.44</v>
      </c>
      <c r="G505" s="3" t="n">
        <v>0</v>
      </c>
      <c r="H505" s="3" t="n">
        <v>0</v>
      </c>
      <c r="I505" s="3">
        <f>E505+G505+H505</f>
        <v/>
      </c>
      <c r="J505" s="3">
        <f>ROUND(MIN(IF(C505="Técnico III",35,IF(C505="Técnico II",28,IF(C505="Técnico I",23,IF(C505="JR",20,IF(C505="Estágio",10,0))))),IF(C505="Técnico III",SUMIFS($D:$D,$A:$A,$A505,$B:$B,"&lt;&gt;Patrícia Karla de Sousa Araújo",$B:$B,"&lt;&gt;Lorena Dias de Araujo",$B:$B,"&lt;&gt;Lucas Luiz Romero")*(35/1083),IF(C505="Técnico II",SUMIFS($D:$D,$A:$A,$A505,$B:$B,"&lt;&gt;Patrícia Karla de Sousa Araújo",$B:$B,"&lt;&gt;Lorena Dias de Araujo",$B:$B,"&lt;&gt;Lucas Luiz Romero")*(28/1083),IF(C505="Técnico I",SUMIFS($D:$D,$A:$A,$A505,$B:$B,"&lt;&gt;Patrícia Karla de Sousa Araújo",$B:$B,"&lt;&gt;Lorena Dias de Araujo",$B:$B,"&lt;&gt;Lucas Luiz Romero")*(23/1083),IF(C505="JR",SUMIFS($D:$D,$A:$A,$A505,$B:$B,"&lt;&gt;Patrícia Karla de Sousa Araújo",$B:$B,"&lt;&gt;Lorena Dias de Araujo",$B:$B,"&lt;&gt;Lucas Luiz Romero")*(20/1083),IF(C505="Estágio",SUMIFS($D:$D,$A:$A,$A505,$B:$B,"&lt;&gt;Patrícia Karla de Sousa Araújo",$B:$B,"&lt;&gt;Lorena Dias de Araujo",$B:$B,"&lt;&gt;Lucas Luiz Romero")*(10/1083),0)))))),0)</f>
        <v/>
      </c>
      <c r="K505" s="3">
        <f>I505-J505</f>
        <v/>
      </c>
      <c r="L505" s="3">
        <f>IF(K505&lt;-5,"CRÍTICO",IF(K505&lt;0,"ATENÇÃO",IF(K505&lt;=5,"BOM","EXCELENTE")))</f>
        <v/>
      </c>
      <c r="M505" s="9" t="n">
        <v>27</v>
      </c>
      <c r="N505" s="9" t="n">
        <v>100</v>
      </c>
      <c r="O505" s="9" t="n">
        <v>15.58441558441558</v>
      </c>
    </row>
    <row r="506">
      <c r="A506" s="5" t="n">
        <v>46147</v>
      </c>
      <c r="B506" s="6" t="inlineStr">
        <is>
          <t>Leandro Oliveira de Sousa</t>
        </is>
      </c>
      <c r="C506" s="9" t="inlineStr">
        <is>
          <t>Técnico III</t>
        </is>
      </c>
      <c r="D506" s="3" t="n">
        <v>29</v>
      </c>
      <c r="E506" s="3" t="n">
        <v>25</v>
      </c>
      <c r="F506" s="3" t="n">
        <v>16.4</v>
      </c>
      <c r="G506" s="3" t="n">
        <v>0</v>
      </c>
      <c r="H506" s="3" t="n">
        <v>0</v>
      </c>
      <c r="I506" s="3">
        <f>E506+G506+H506</f>
        <v/>
      </c>
      <c r="J506" s="3">
        <f>ROUND(MIN(IF(C506="Técnico III",35,IF(C506="Técnico II",28,IF(C506="Técnico I",23,IF(C506="JR",20,IF(C506="Estágio",10,0))))),IF(C506="Técnico III",SUMIFS($D:$D,$A:$A,$A506,$B:$B,"&lt;&gt;Patrícia Karla de Sousa Araújo",$B:$B,"&lt;&gt;Lorena Dias de Araujo",$B:$B,"&lt;&gt;Lucas Luiz Romero")*(35/1083),IF(C506="Técnico II",SUMIFS($D:$D,$A:$A,$A506,$B:$B,"&lt;&gt;Patrícia Karla de Sousa Araújo",$B:$B,"&lt;&gt;Lorena Dias de Araujo",$B:$B,"&lt;&gt;Lucas Luiz Romero")*(28/1083),IF(C506="Técnico I",SUMIFS($D:$D,$A:$A,$A506,$B:$B,"&lt;&gt;Patrícia Karla de Sousa Araújo",$B:$B,"&lt;&gt;Lorena Dias de Araujo",$B:$B,"&lt;&gt;Lucas Luiz Romero")*(23/1083),IF(C506="JR",SUMIFS($D:$D,$A:$A,$A506,$B:$B,"&lt;&gt;Patrícia Karla de Sousa Araújo",$B:$B,"&lt;&gt;Lorena Dias de Araujo",$B:$B,"&lt;&gt;Lucas Luiz Romero")*(20/1083),IF(C506="Estágio",SUMIFS($D:$D,$A:$A,$A506,$B:$B,"&lt;&gt;Patrícia Karla de Sousa Araújo",$B:$B,"&lt;&gt;Lorena Dias de Araujo",$B:$B,"&lt;&gt;Lucas Luiz Romero")*(10/1083),0)))))),0)</f>
        <v/>
      </c>
      <c r="K506" s="3">
        <f>I506-J506</f>
        <v/>
      </c>
      <c r="L506" s="3">
        <f>IF(K506&lt;-5,"CRÍTICO",IF(K506&lt;0,"ATENÇÃO",IF(K506&lt;=5,"BOM","EXCELENTE")))</f>
        <v/>
      </c>
      <c r="M506" s="3" t="n">
        <v>32</v>
      </c>
      <c r="N506" s="3" t="n">
        <v>100</v>
      </c>
      <c r="O506" s="3" t="n">
        <v>15.58441558441558</v>
      </c>
    </row>
    <row r="507">
      <c r="A507" s="5" t="n">
        <v>46148</v>
      </c>
      <c r="B507" s="6" t="inlineStr">
        <is>
          <t>Leandro Oliveira de Sousa</t>
        </is>
      </c>
      <c r="C507" s="9" t="inlineStr">
        <is>
          <t>Técnico III</t>
        </is>
      </c>
      <c r="D507" s="3" t="n">
        <v>38</v>
      </c>
      <c r="E507" s="3" t="n">
        <v>38</v>
      </c>
      <c r="F507" s="9" t="n">
        <v>16.42</v>
      </c>
      <c r="G507" s="3" t="n">
        <v>0</v>
      </c>
      <c r="H507" s="3" t="n">
        <v>0</v>
      </c>
      <c r="I507" s="3">
        <f>E507+G507+H507</f>
        <v/>
      </c>
      <c r="J507" s="3">
        <f>ROUND(MIN(IF(C507="Técnico III",35,IF(C507="Técnico II",28,IF(C507="Técnico I",23,IF(C507="JR",20,IF(C507="Estágio",10,0))))),IF(C507="Técnico III",SUMIFS($D:$D,$A:$A,$A507,$B:$B,"&lt;&gt;Patrícia Karla de Sousa Araújo",$B:$B,"&lt;&gt;Lorena Dias de Araujo",$B:$B,"&lt;&gt;Lucas Luiz Romero")*(35/1083),IF(C507="Técnico II",SUMIFS($D:$D,$A:$A,$A507,$B:$B,"&lt;&gt;Patrícia Karla de Sousa Araújo",$B:$B,"&lt;&gt;Lorena Dias de Araujo",$B:$B,"&lt;&gt;Lucas Luiz Romero")*(28/1083),IF(C507="Técnico I",SUMIFS($D:$D,$A:$A,$A507,$B:$B,"&lt;&gt;Patrícia Karla de Sousa Araújo",$B:$B,"&lt;&gt;Lorena Dias de Araujo",$B:$B,"&lt;&gt;Lucas Luiz Romero")*(23/1083),IF(C507="JR",SUMIFS($D:$D,$A:$A,$A507,$B:$B,"&lt;&gt;Patrícia Karla de Sousa Araújo",$B:$B,"&lt;&gt;Lorena Dias de Araujo",$B:$B,"&lt;&gt;Lucas Luiz Romero")*(20/1083),IF(C507="Estágio",SUMIFS($D:$D,$A:$A,$A507,$B:$B,"&lt;&gt;Patrícia Karla de Sousa Araújo",$B:$B,"&lt;&gt;Lorena Dias de Araujo",$B:$B,"&lt;&gt;Lucas Luiz Romero")*(10/1083),0)))))),0)</f>
        <v/>
      </c>
      <c r="K507" s="3">
        <f>I507-J507</f>
        <v/>
      </c>
      <c r="L507" s="3">
        <f>IF(K507&lt;-5,"CRÍTICO",IF(K507&lt;0,"ATENÇÃO",IF(K507&lt;=5,"BOM","EXCELENTE")))</f>
        <v/>
      </c>
      <c r="M507" s="3" t="n">
        <v>36</v>
      </c>
      <c r="N507" s="3" t="n">
        <v>100</v>
      </c>
      <c r="O507" s="3" t="n">
        <v>15.58441558441558</v>
      </c>
    </row>
    <row r="508">
      <c r="A508" s="11" t="n">
        <v>46168</v>
      </c>
      <c r="B508" t="inlineStr">
        <is>
          <t>Leandro Oliveira de Sousa</t>
        </is>
      </c>
      <c r="C508" t="inlineStr">
        <is>
          <t>Técnico III</t>
        </is>
      </c>
      <c r="D508" s="9" t="n">
        <v>29</v>
      </c>
      <c r="E508" s="9" t="n">
        <v>26</v>
      </c>
      <c r="F508" s="9" t="n">
        <v>15.05</v>
      </c>
      <c r="G508" s="9" t="n">
        <v>0</v>
      </c>
    </row>
    <row r="509">
      <c r="A509" s="11" t="n">
        <v>46140</v>
      </c>
      <c r="B509" t="inlineStr">
        <is>
          <t>Lucas Luiz Romero</t>
        </is>
      </c>
      <c r="C509" t="inlineStr">
        <is>
          <t>Técnico III</t>
        </is>
      </c>
      <c r="D509" s="9" t="n">
        <v>0</v>
      </c>
      <c r="E509" s="9" t="n">
        <v>0</v>
      </c>
      <c r="F509" s="9" t="n">
        <v>0</v>
      </c>
      <c r="G509" s="9" t="n">
        <v>0</v>
      </c>
      <c r="H509" s="9" t="n">
        <v>0</v>
      </c>
      <c r="I509" s="3" t="n">
        <v>0</v>
      </c>
      <c r="J509" s="3" t="n">
        <v>0</v>
      </c>
      <c r="K509" s="3" t="n">
        <v>0</v>
      </c>
      <c r="L509" s="3">
        <f>IF(K509&lt;-5,"CRÍTICO",IF(K509&lt;0,"ATENÇÃO",IF(K509&lt;=5,"OPORTUNO","MUITO BOM")))</f>
        <v/>
      </c>
      <c r="N509" s="9" t="n">
        <v>88.68000000000001</v>
      </c>
      <c r="O509" s="9" t="n">
        <v>22.03389830508474</v>
      </c>
    </row>
    <row r="510">
      <c r="A510" s="11" t="n">
        <v>46141</v>
      </c>
      <c r="B510" t="inlineStr">
        <is>
          <t>Lucas Luiz Romero</t>
        </is>
      </c>
      <c r="C510" t="inlineStr">
        <is>
          <t>Técnico III</t>
        </is>
      </c>
      <c r="D510" s="9" t="n">
        <v>0</v>
      </c>
      <c r="E510" s="9" t="n">
        <v>0</v>
      </c>
      <c r="F510" s="9" t="n">
        <v>0</v>
      </c>
      <c r="G510" s="9" t="n">
        <v>0</v>
      </c>
      <c r="H510" s="9" t="n">
        <v>0</v>
      </c>
      <c r="I510" s="3" t="n">
        <v>0</v>
      </c>
      <c r="J510" s="3" t="n">
        <v>0</v>
      </c>
      <c r="K510" s="3" t="n">
        <v>0</v>
      </c>
      <c r="L510" s="3">
        <f>IF(K510&lt;-5,"CRÍTICO",IF(K510&lt;0,"ATENÇÃO",IF(K510&lt;=5,"OPORTUNO","MUITO BOM")))</f>
        <v/>
      </c>
      <c r="N510" s="9" t="n">
        <v>88.68000000000001</v>
      </c>
      <c r="O510" s="9" t="n">
        <v>22.03389830508474</v>
      </c>
    </row>
    <row r="511">
      <c r="A511" s="11" t="n">
        <v>46142</v>
      </c>
      <c r="B511" t="inlineStr">
        <is>
          <t>Lucas Luiz Romero</t>
        </is>
      </c>
      <c r="C511" t="inlineStr">
        <is>
          <t>Técnico III</t>
        </is>
      </c>
      <c r="D511" s="9" t="n">
        <v>0</v>
      </c>
      <c r="E511" s="9" t="n">
        <v>0</v>
      </c>
      <c r="F511" s="9" t="n">
        <v>0</v>
      </c>
      <c r="G511" s="9" t="n">
        <v>0</v>
      </c>
      <c r="H511" s="9" t="n">
        <v>0</v>
      </c>
      <c r="I511" s="3" t="n">
        <v>0</v>
      </c>
      <c r="J511" s="3" t="n">
        <v>0</v>
      </c>
      <c r="K511" s="3" t="n">
        <v>0</v>
      </c>
      <c r="L511" s="3">
        <f>IF(K511&lt;-5,"CRÍTICO",IF(K511&lt;0,"ATENÇÃO",IF(K511&lt;=5,"OPORTUNO","MUITO BOM")))</f>
        <v/>
      </c>
      <c r="N511" s="9" t="n">
        <v>88.68000000000001</v>
      </c>
      <c r="O511" s="9" t="n">
        <v>22.03389830508474</v>
      </c>
    </row>
    <row r="512">
      <c r="A512" s="5" t="n">
        <v>46146</v>
      </c>
      <c r="B512" s="6" t="inlineStr">
        <is>
          <t>Lucas Luiz Romero</t>
        </is>
      </c>
      <c r="C512" s="3" t="inlineStr">
        <is>
          <t>Técnico III</t>
        </is>
      </c>
      <c r="D512" s="3" t="n">
        <v>0</v>
      </c>
      <c r="E512" s="3" t="n">
        <v>0</v>
      </c>
      <c r="F512" s="3" t="n">
        <v>0</v>
      </c>
      <c r="G512" s="3" t="n">
        <v>0</v>
      </c>
      <c r="H512" s="3" t="n">
        <v>0</v>
      </c>
      <c r="I512" s="3" t="n">
        <v>0</v>
      </c>
      <c r="J512" s="3" t="n">
        <v>0</v>
      </c>
      <c r="K512" s="3" t="n">
        <v>0</v>
      </c>
      <c r="L512" s="3">
        <f>IF(K512&lt;-5,"CRÍTICO",IF(K512&lt;0,"ATENÇÃO",IF(K512&lt;=5,"BOM","EXCELENTE")))</f>
        <v/>
      </c>
      <c r="M512" s="9" t="n">
        <v>0</v>
      </c>
      <c r="N512" s="9" t="n">
        <v>100</v>
      </c>
      <c r="O512" s="9" t="n">
        <v>4.347826086956522</v>
      </c>
    </row>
    <row r="513">
      <c r="A513" s="5" t="n">
        <v>46147</v>
      </c>
      <c r="B513" s="6" t="inlineStr">
        <is>
          <t>Lucas Luiz Romero</t>
        </is>
      </c>
      <c r="C513" s="3" t="inlineStr">
        <is>
          <t>Técnico III</t>
        </is>
      </c>
      <c r="D513" s="3" t="n">
        <v>0</v>
      </c>
      <c r="E513" s="3" t="n">
        <v>0</v>
      </c>
      <c r="F513" s="3" t="n">
        <v>0</v>
      </c>
      <c r="G513" s="3" t="n">
        <v>0</v>
      </c>
      <c r="H513" s="3" t="n">
        <v>0</v>
      </c>
      <c r="I513" s="3" t="n">
        <v>0</v>
      </c>
      <c r="J513" s="3" t="n">
        <v>0</v>
      </c>
      <c r="K513" s="3" t="n">
        <v>0</v>
      </c>
      <c r="L513" s="3">
        <f>IF(K513&lt;-5,"CRÍTICO",IF(K513&lt;0,"ATENÇÃO",IF(K513&lt;=5,"BOM","EXCELENTE")))</f>
        <v/>
      </c>
      <c r="M513" s="3" t="n">
        <v>0</v>
      </c>
      <c r="N513" s="3" t="n">
        <v>100</v>
      </c>
      <c r="O513" s="3" t="n">
        <v>4.347826086956522</v>
      </c>
    </row>
    <row r="514">
      <c r="A514" s="5" t="n">
        <v>46148</v>
      </c>
      <c r="B514" s="6" t="inlineStr">
        <is>
          <t>Lucas Luiz Romero</t>
        </is>
      </c>
      <c r="C514" s="3" t="inlineStr">
        <is>
          <t>Técnico III</t>
        </is>
      </c>
      <c r="D514" s="3" t="n">
        <v>0</v>
      </c>
      <c r="E514" s="3" t="n">
        <v>0</v>
      </c>
      <c r="F514" s="3" t="n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>
        <f>IF(K514&lt;-5,"CRÍTICO",IF(K514&lt;0,"ATENÇÃO",IF(K514&lt;=5,"BOM","EXCELENTE")))</f>
        <v/>
      </c>
      <c r="M514" s="3" t="n">
        <v>0</v>
      </c>
      <c r="N514" s="3" t="n">
        <v>100</v>
      </c>
      <c r="O514" s="3" t="n">
        <v>4.347826086956522</v>
      </c>
    </row>
    <row r="515">
      <c r="A515" s="11" t="n">
        <v>46168</v>
      </c>
      <c r="B515" t="inlineStr">
        <is>
          <t>Lucas Luiz Romero</t>
        </is>
      </c>
      <c r="C515" t="inlineStr">
        <is>
          <t>Técnico III</t>
        </is>
      </c>
      <c r="D515" s="9" t="n">
        <v>0</v>
      </c>
      <c r="E515" s="9" t="n">
        <v>0</v>
      </c>
      <c r="F515" s="9" t="n">
        <v>0</v>
      </c>
      <c r="G515" s="9" t="n">
        <v>0</v>
      </c>
      <c r="H515" s="9" t="n">
        <v>0</v>
      </c>
      <c r="I515" s="9" t="n">
        <v>0</v>
      </c>
      <c r="J515" s="9" t="n">
        <v>0</v>
      </c>
      <c r="K515" s="9" t="n">
        <v>0</v>
      </c>
    </row>
    <row r="516">
      <c r="A516" s="11" t="n">
        <v>46140</v>
      </c>
      <c r="B516" t="inlineStr">
        <is>
          <t>Matheus Farias De Souza</t>
        </is>
      </c>
      <c r="C516" t="inlineStr">
        <is>
          <t>Técnico III</t>
        </is>
      </c>
      <c r="D516" s="9" t="n">
        <v>35</v>
      </c>
      <c r="E516" s="9" t="n">
        <v>34</v>
      </c>
      <c r="F516" s="9" t="n">
        <v>15.13</v>
      </c>
      <c r="G516" s="9" t="n">
        <v>0</v>
      </c>
      <c r="H516" s="9" t="n">
        <v>0</v>
      </c>
      <c r="I516" s="3">
        <f>E516+G516+H516</f>
        <v/>
      </c>
      <c r="J516" s="3">
        <f>ROUND(MIN(IF(C516="Técnico III",35,IF(C516="Técnico II",28,IF(C516="Técnico I",23,IF(C516="JR",20,IF(C516="Estágio",10,0))))),IF(C516="Técnico III",SUMIFS($D:$D,$A:$A,$A516,$B:$B,"&lt;&gt;Patrícia Karla de Sousa Araújo",$B:$B,"&lt;&gt;Lorena Dias de Araujo",$B:$B,"&lt;&gt;Lucas Luiz Romero")*(35/1083),IF(C516="Técnico II",SUMIFS($D:$D,$A:$A,$A516,$B:$B,"&lt;&gt;Patrícia Karla de Sousa Araújo",$B:$B,"&lt;&gt;Lorena Dias de Araujo",$B:$B,"&lt;&gt;Lucas Luiz Romero")*(28/1083),IF(C516="Técnico I",SUMIFS($D:$D,$A:$A,$A516,$B:$B,"&lt;&gt;Patrícia Karla de Sousa Araújo",$B:$B,"&lt;&gt;Lorena Dias de Araujo",$B:$B,"&lt;&gt;Lucas Luiz Romero")*(23/1083),IF(C516="JR",SUMIFS($D:$D,$A:$A,$A516,$B:$B,"&lt;&gt;Patrícia Karla de Sousa Araújo",$B:$B,"&lt;&gt;Lorena Dias de Araujo",$B:$B,"&lt;&gt;Lucas Luiz Romero")*(20/1083),IF(C516="Estágio",SUMIFS($D:$D,$A:$A,$A516,$B:$B,"&lt;&gt;Patrícia Karla de Sousa Araújo",$B:$B,"&lt;&gt;Lorena Dias de Araujo",$B:$B,"&lt;&gt;Lucas Luiz Romero")*(10/1083),0)))))),0)</f>
        <v/>
      </c>
      <c r="K516" s="3">
        <f>I516-J516</f>
        <v/>
      </c>
      <c r="L516" s="3">
        <f>IF(K516&lt;-5,"CRÍTICO",IF(K516&lt;0,"ATENÇÃO",IF(K516&lt;=5,"OPORTUNO","MUITO BOM")))</f>
        <v/>
      </c>
      <c r="N516" s="9" t="n">
        <v>100</v>
      </c>
      <c r="O516" s="9" t="n">
        <v>23.9870340356564</v>
      </c>
    </row>
    <row r="517">
      <c r="A517" s="11" t="n">
        <v>46141</v>
      </c>
      <c r="B517" t="inlineStr">
        <is>
          <t>Matheus Farias De Souza</t>
        </is>
      </c>
      <c r="C517" t="inlineStr">
        <is>
          <t>Técnico III</t>
        </is>
      </c>
      <c r="D517" s="9" t="n">
        <v>26</v>
      </c>
      <c r="E517" s="9" t="n">
        <v>23</v>
      </c>
      <c r="F517" s="9" t="n">
        <v>11.5</v>
      </c>
      <c r="G517" s="9" t="n">
        <v>0</v>
      </c>
      <c r="H517" s="9" t="n">
        <v>0</v>
      </c>
      <c r="I517" s="3">
        <f>E517+G517+H517</f>
        <v/>
      </c>
      <c r="J517" s="3">
        <f>ROUND(MIN(IF(C517="Técnico III",35,IF(C517="Técnico II",28,IF(C517="Técnico I",23,IF(C517="JR",20,IF(C517="Estágio",10,0))))),IF(C517="Técnico III",SUMIFS($D:$D,$A:$A,$A517,$B:$B,"&lt;&gt;Patrícia Karla de Sousa Araújo",$B:$B,"&lt;&gt;Lorena Dias de Araujo",$B:$B,"&lt;&gt;Lucas Luiz Romero")*(35/1083),IF(C517="Técnico II",SUMIFS($D:$D,$A:$A,$A517,$B:$B,"&lt;&gt;Patrícia Karla de Sousa Araújo",$B:$B,"&lt;&gt;Lorena Dias de Araujo",$B:$B,"&lt;&gt;Lucas Luiz Romero")*(28/1083),IF(C517="Técnico I",SUMIFS($D:$D,$A:$A,$A517,$B:$B,"&lt;&gt;Patrícia Karla de Sousa Araújo",$B:$B,"&lt;&gt;Lorena Dias de Araujo",$B:$B,"&lt;&gt;Lucas Luiz Romero")*(23/1083),IF(C517="JR",SUMIFS($D:$D,$A:$A,$A517,$B:$B,"&lt;&gt;Patrícia Karla de Sousa Araújo",$B:$B,"&lt;&gt;Lorena Dias de Araujo",$B:$B,"&lt;&gt;Lucas Luiz Romero")*(20/1083),IF(C517="Estágio",SUMIFS($D:$D,$A:$A,$A517,$B:$B,"&lt;&gt;Patrícia Karla de Sousa Araújo",$B:$B,"&lt;&gt;Lorena Dias de Araujo",$B:$B,"&lt;&gt;Lucas Luiz Romero")*(10/1083),0)))))),0)</f>
        <v/>
      </c>
      <c r="K517" s="3">
        <f>I517-J517</f>
        <v/>
      </c>
      <c r="L517" s="3">
        <f>IF(K517&lt;-5,"CRÍTICO",IF(K517&lt;0,"ATENÇÃO",IF(K517&lt;=5,"OPORTUNO","MUITO BOM")))</f>
        <v/>
      </c>
      <c r="N517" s="9" t="n">
        <v>100</v>
      </c>
      <c r="O517" s="9" t="n">
        <v>23.9870340356564</v>
      </c>
    </row>
    <row r="518">
      <c r="A518" s="11" t="n">
        <v>46142</v>
      </c>
      <c r="B518" t="inlineStr">
        <is>
          <t>Matheus Farias De Souza</t>
        </is>
      </c>
      <c r="C518" t="inlineStr">
        <is>
          <t>Técnico III</t>
        </is>
      </c>
      <c r="D518" s="9" t="n">
        <v>15</v>
      </c>
      <c r="E518" s="9" t="n">
        <v>13</v>
      </c>
      <c r="F518" s="9" t="n">
        <v>11.57</v>
      </c>
      <c r="G518" s="9" t="n">
        <v>0</v>
      </c>
      <c r="H518" s="9" t="n">
        <v>0</v>
      </c>
      <c r="I518" s="3">
        <f>E518+G518+H518</f>
        <v/>
      </c>
      <c r="J518" s="3">
        <f>ROUND(MIN(IF(C518="Técnico III",35,IF(C518="Técnico II",28,IF(C518="Técnico I",23,IF(C518="JR",20,IF(C518="Estágio",10,0))))),IF(C518="Técnico III",SUMIFS($D:$D,$A:$A,$A518,$B:$B,"&lt;&gt;Patrícia Karla de Sousa Araújo",$B:$B,"&lt;&gt;Lorena Dias de Araujo",$B:$B,"&lt;&gt;Lucas Luiz Romero")*(35/1083),IF(C518="Técnico II",SUMIFS($D:$D,$A:$A,$A518,$B:$B,"&lt;&gt;Patrícia Karla de Sousa Araújo",$B:$B,"&lt;&gt;Lorena Dias de Araujo",$B:$B,"&lt;&gt;Lucas Luiz Romero")*(28/1083),IF(C518="Técnico I",SUMIFS($D:$D,$A:$A,$A518,$B:$B,"&lt;&gt;Patrícia Karla de Sousa Araújo",$B:$B,"&lt;&gt;Lorena Dias de Araujo",$B:$B,"&lt;&gt;Lucas Luiz Romero")*(23/1083),IF(C518="JR",SUMIFS($D:$D,$A:$A,$A518,$B:$B,"&lt;&gt;Patrícia Karla de Sousa Araújo",$B:$B,"&lt;&gt;Lorena Dias de Araujo",$B:$B,"&lt;&gt;Lucas Luiz Romero")*(20/1083),IF(C518="Estágio",SUMIFS($D:$D,$A:$A,$A518,$B:$B,"&lt;&gt;Patrícia Karla de Sousa Araújo",$B:$B,"&lt;&gt;Lorena Dias de Araujo",$B:$B,"&lt;&gt;Lucas Luiz Romero")*(10/1083),0)))))),0)</f>
        <v/>
      </c>
      <c r="K518" s="3">
        <f>I518-J518</f>
        <v/>
      </c>
      <c r="L518" s="3">
        <f>IF(K518&lt;-5,"CRÍTICO",IF(K518&lt;0,"ATENÇÃO",IF(K518&lt;=5,"OPORTUNO","MUITO BOM")))</f>
        <v/>
      </c>
      <c r="N518" s="9" t="n">
        <v>100</v>
      </c>
      <c r="O518" s="9" t="n">
        <v>23.9870340356564</v>
      </c>
    </row>
    <row r="519">
      <c r="A519" s="5" t="n">
        <v>46146</v>
      </c>
      <c r="B519" s="6" t="inlineStr">
        <is>
          <t>Matheus Farias De Souza</t>
        </is>
      </c>
      <c r="C519" s="3" t="inlineStr">
        <is>
          <t>Técnico III</t>
        </is>
      </c>
      <c r="D519" s="3" t="n">
        <v>32</v>
      </c>
      <c r="E519" s="3" t="n">
        <v>31</v>
      </c>
      <c r="F519" s="3" t="n">
        <v>10.27</v>
      </c>
      <c r="G519" s="3" t="n">
        <v>1</v>
      </c>
      <c r="H519" s="3" t="n">
        <v>25</v>
      </c>
      <c r="I519" s="3">
        <f>E519+G519+H519</f>
        <v/>
      </c>
      <c r="J519" s="3">
        <f>ROUND(MIN(IF(C519="Técnico III",35,IF(C519="Técnico II",28,IF(C519="Técnico I",23,IF(C519="JR",20,IF(C519="Estágio",10,0))))),IF(C519="Técnico III",SUMIFS($D:$D,$A:$A,$A519,$B:$B,"&lt;&gt;Patrícia Karla de Sousa Araújo",$B:$B,"&lt;&gt;Lorena Dias de Araujo",$B:$B,"&lt;&gt;Lucas Luiz Romero")*(35/1083),IF(C519="Técnico II",SUMIFS($D:$D,$A:$A,$A519,$B:$B,"&lt;&gt;Patrícia Karla de Sousa Araújo",$B:$B,"&lt;&gt;Lorena Dias de Araujo",$B:$B,"&lt;&gt;Lucas Luiz Romero")*(28/1083),IF(C519="Técnico I",SUMIFS($D:$D,$A:$A,$A519,$B:$B,"&lt;&gt;Patrícia Karla de Sousa Araújo",$B:$B,"&lt;&gt;Lorena Dias de Araujo",$B:$B,"&lt;&gt;Lucas Luiz Romero")*(23/1083),IF(C519="JR",SUMIFS($D:$D,$A:$A,$A519,$B:$B,"&lt;&gt;Patrícia Karla de Sousa Araújo",$B:$B,"&lt;&gt;Lorena Dias de Araujo",$B:$B,"&lt;&gt;Lucas Luiz Romero")*(20/1083),IF(C519="Estágio",SUMIFS($D:$D,$A:$A,$A519,$B:$B,"&lt;&gt;Patrícia Karla de Sousa Araújo",$B:$B,"&lt;&gt;Lorena Dias de Araujo",$B:$B,"&lt;&gt;Lucas Luiz Romero")*(10/1083),0)))))),0)</f>
        <v/>
      </c>
      <c r="K519" s="3">
        <f>I519-J519</f>
        <v/>
      </c>
      <c r="L519" s="3">
        <f>IF(K519&lt;-5,"CRÍTICO",IF(K519&lt;0,"ATENÇÃO",IF(K519&lt;=5,"BOM","EXCELENTE")))</f>
        <v/>
      </c>
      <c r="M519" s="9" t="n">
        <v>36</v>
      </c>
      <c r="N519" s="9" t="n">
        <v>98.28</v>
      </c>
      <c r="O519" s="9" t="n">
        <v>9.037900874635568</v>
      </c>
    </row>
    <row r="520">
      <c r="A520" s="5" t="n">
        <v>46147</v>
      </c>
      <c r="B520" s="6" t="inlineStr">
        <is>
          <t>Matheus Farias De Souza</t>
        </is>
      </c>
      <c r="C520" s="3" t="inlineStr">
        <is>
          <t>Técnico III</t>
        </is>
      </c>
      <c r="D520" s="3" t="n">
        <v>14</v>
      </c>
      <c r="E520" s="3" t="n">
        <v>14</v>
      </c>
      <c r="F520" s="3" t="n">
        <v>15.35</v>
      </c>
      <c r="G520" s="3" t="n">
        <v>0</v>
      </c>
      <c r="H520" s="3" t="n">
        <v>21</v>
      </c>
      <c r="I520" s="3">
        <f>E520+G520+H520</f>
        <v/>
      </c>
      <c r="J520" s="3">
        <f>ROUND(MIN(IF(C520="Técnico III",35,IF(C520="Técnico II",28,IF(C520="Técnico I",23,IF(C520="JR",20,IF(C520="Estágio",10,0))))),IF(C520="Técnico III",SUMIFS($D:$D,$A:$A,$A520,$B:$B,"&lt;&gt;Patrícia Karla de Sousa Araújo",$B:$B,"&lt;&gt;Lorena Dias de Araujo",$B:$B,"&lt;&gt;Lucas Luiz Romero")*(35/1083),IF(C520="Técnico II",SUMIFS($D:$D,$A:$A,$A520,$B:$B,"&lt;&gt;Patrícia Karla de Sousa Araújo",$B:$B,"&lt;&gt;Lorena Dias de Araujo",$B:$B,"&lt;&gt;Lucas Luiz Romero")*(28/1083),IF(C520="Técnico I",SUMIFS($D:$D,$A:$A,$A520,$B:$B,"&lt;&gt;Patrícia Karla de Sousa Araújo",$B:$B,"&lt;&gt;Lorena Dias de Araujo",$B:$B,"&lt;&gt;Lucas Luiz Romero")*(23/1083),IF(C520="JR",SUMIFS($D:$D,$A:$A,$A520,$B:$B,"&lt;&gt;Patrícia Karla de Sousa Araújo",$B:$B,"&lt;&gt;Lorena Dias de Araujo",$B:$B,"&lt;&gt;Lucas Luiz Romero")*(20/1083),IF(C520="Estágio",SUMIFS($D:$D,$A:$A,$A520,$B:$B,"&lt;&gt;Patrícia Karla de Sousa Araújo",$B:$B,"&lt;&gt;Lorena Dias de Araujo",$B:$B,"&lt;&gt;Lucas Luiz Romero")*(10/1083),0)))))),0)</f>
        <v/>
      </c>
      <c r="K520" s="3">
        <f>I520-J520</f>
        <v/>
      </c>
      <c r="L520" s="3">
        <f>IF(K520&lt;-5,"CRÍTICO",IF(K520&lt;0,"ATENÇÃO",IF(K520&lt;=5,"BOM","EXCELENTE")))</f>
        <v/>
      </c>
      <c r="M520" s="3" t="n">
        <v>28</v>
      </c>
      <c r="N520" s="3" t="n">
        <v>98.28</v>
      </c>
      <c r="O520" s="3" t="n">
        <v>9.037900874635568</v>
      </c>
    </row>
    <row r="521">
      <c r="A521" s="5" t="n">
        <v>46148</v>
      </c>
      <c r="B521" s="6" t="inlineStr">
        <is>
          <t>Matheus Farias De Souza</t>
        </is>
      </c>
      <c r="C521" s="3" t="inlineStr">
        <is>
          <t>Técnico III</t>
        </is>
      </c>
      <c r="D521" s="3" t="n">
        <v>24</v>
      </c>
      <c r="E521" s="3" t="n">
        <v>24</v>
      </c>
      <c r="F521" s="9" t="n">
        <v>18.39</v>
      </c>
      <c r="G521" s="3" t="n">
        <v>0</v>
      </c>
      <c r="H521" s="3" t="n">
        <v>17</v>
      </c>
      <c r="I521" s="3">
        <f>E521+G521+H521</f>
        <v/>
      </c>
      <c r="J521" s="3">
        <f>ROUND(MIN(IF(C521="Técnico III",35,IF(C521="Técnico II",28,IF(C521="Técnico I",23,IF(C521="JR",20,IF(C521="Estágio",10,0))))),IF(C521="Técnico III",SUMIFS($D:$D,$A:$A,$A521,$B:$B,"&lt;&gt;Patrícia Karla de Sousa Araújo",$B:$B,"&lt;&gt;Lorena Dias de Araujo",$B:$B,"&lt;&gt;Lucas Luiz Romero")*(35/1083),IF(C521="Técnico II",SUMIFS($D:$D,$A:$A,$A521,$B:$B,"&lt;&gt;Patrícia Karla de Sousa Araújo",$B:$B,"&lt;&gt;Lorena Dias de Araujo",$B:$B,"&lt;&gt;Lucas Luiz Romero")*(28/1083),IF(C521="Técnico I",SUMIFS($D:$D,$A:$A,$A521,$B:$B,"&lt;&gt;Patrícia Karla de Sousa Araújo",$B:$B,"&lt;&gt;Lorena Dias de Araujo",$B:$B,"&lt;&gt;Lucas Luiz Romero")*(23/1083),IF(C521="JR",SUMIFS($D:$D,$A:$A,$A521,$B:$B,"&lt;&gt;Patrícia Karla de Sousa Araújo",$B:$B,"&lt;&gt;Lorena Dias de Araujo",$B:$B,"&lt;&gt;Lucas Luiz Romero")*(20/1083),IF(C521="Estágio",SUMIFS($D:$D,$A:$A,$A521,$B:$B,"&lt;&gt;Patrícia Karla de Sousa Araújo",$B:$B,"&lt;&gt;Lorena Dias de Araujo",$B:$B,"&lt;&gt;Lucas Luiz Romero")*(10/1083),0)))))),0)</f>
        <v/>
      </c>
      <c r="K521" s="3">
        <f>I521-J521</f>
        <v/>
      </c>
      <c r="L521" s="3">
        <f>IF(K521&lt;-5,"CRÍTICO",IF(K521&lt;0,"ATENÇÃO",IF(K521&lt;=5,"BOM","EXCELENTE")))</f>
        <v/>
      </c>
      <c r="M521" s="3" t="n">
        <v>31</v>
      </c>
      <c r="N521" s="3" t="n">
        <v>98.28</v>
      </c>
      <c r="O521" s="3" t="n">
        <v>9.037900874635568</v>
      </c>
    </row>
    <row r="522">
      <c r="A522" s="11" t="n">
        <v>46168</v>
      </c>
      <c r="B522" t="inlineStr">
        <is>
          <t>Matheus Farias De Souza</t>
        </is>
      </c>
      <c r="C522" t="inlineStr">
        <is>
          <t>Técnico III</t>
        </is>
      </c>
      <c r="D522" s="9" t="n">
        <v>0</v>
      </c>
      <c r="E522" s="9" t="n">
        <v>0</v>
      </c>
      <c r="F522" s="9" t="n">
        <v>0</v>
      </c>
      <c r="G522" s="9" t="n">
        <v>0</v>
      </c>
      <c r="H522" s="9" t="n">
        <v>0</v>
      </c>
      <c r="I522" s="9" t="n">
        <v>0</v>
      </c>
      <c r="J522" s="9" t="n">
        <v>0</v>
      </c>
      <c r="K522" s="9" t="n">
        <v>0</v>
      </c>
    </row>
    <row r="523">
      <c r="A523" s="11" t="n">
        <v>46140</v>
      </c>
      <c r="B523" t="inlineStr">
        <is>
          <t>Maysa Victoria Dias Moura</t>
        </is>
      </c>
      <c r="C523" t="inlineStr">
        <is>
          <t>Técnico III</t>
        </is>
      </c>
      <c r="D523" s="9" t="n">
        <v>38</v>
      </c>
      <c r="E523" s="9" t="n">
        <v>32</v>
      </c>
      <c r="F523" s="9" t="n">
        <v>12.32</v>
      </c>
      <c r="G523" s="9" t="n">
        <v>0</v>
      </c>
      <c r="H523" s="9" t="n">
        <v>0</v>
      </c>
      <c r="I523" s="3">
        <f>E523+G523+H523</f>
        <v/>
      </c>
      <c r="J523" s="3">
        <f>ROUND(MIN(IF(C523="Técnico III",35,IF(C523="Técnico II",28,IF(C523="Técnico I",23,IF(C523="JR",20,IF(C523="Estágio",10,0))))),IF(C523="Técnico III",SUMIFS($D:$D,$A:$A,$A523,$B:$B,"&lt;&gt;Patrícia Karla de Sousa Araújo",$B:$B,"&lt;&gt;Lorena Dias de Araujo",$B:$B,"&lt;&gt;Lucas Luiz Romero")*(35/1083),IF(C523="Técnico II",SUMIFS($D:$D,$A:$A,$A523,$B:$B,"&lt;&gt;Patrícia Karla de Sousa Araújo",$B:$B,"&lt;&gt;Lorena Dias de Araujo",$B:$B,"&lt;&gt;Lucas Luiz Romero")*(28/1083),IF(C523="Técnico I",SUMIFS($D:$D,$A:$A,$A523,$B:$B,"&lt;&gt;Patrícia Karla de Sousa Araújo",$B:$B,"&lt;&gt;Lorena Dias de Araujo",$B:$B,"&lt;&gt;Lucas Luiz Romero")*(23/1083),IF(C523="JR",SUMIFS($D:$D,$A:$A,$A523,$B:$B,"&lt;&gt;Patrícia Karla de Sousa Araújo",$B:$B,"&lt;&gt;Lorena Dias de Araujo",$B:$B,"&lt;&gt;Lucas Luiz Romero")*(20/1083),IF(C523="Estágio",SUMIFS($D:$D,$A:$A,$A523,$B:$B,"&lt;&gt;Patrícia Karla de Sousa Araújo",$B:$B,"&lt;&gt;Lorena Dias de Araujo",$B:$B,"&lt;&gt;Lucas Luiz Romero")*(10/1083),0)))))),0)</f>
        <v/>
      </c>
      <c r="K523" s="3">
        <f>I523-J523</f>
        <v/>
      </c>
      <c r="L523" s="3">
        <f>IF(K523&lt;-5,"CRÍTICO",IF(K523&lt;0,"ATENÇÃO",IF(K523&lt;=5,"OPORTUNO","MUITO BOM")))</f>
        <v/>
      </c>
      <c r="N523" s="9" t="n">
        <v>95.48999999999999</v>
      </c>
      <c r="O523" s="9" t="n">
        <v>28.16901408450704</v>
      </c>
    </row>
    <row r="524">
      <c r="A524" s="11" t="n">
        <v>46141</v>
      </c>
      <c r="B524" t="inlineStr">
        <is>
          <t>Maysa Victoria Dias Moura</t>
        </is>
      </c>
      <c r="C524" t="inlineStr">
        <is>
          <t>Técnico III</t>
        </is>
      </c>
      <c r="D524" s="9" t="n">
        <v>32</v>
      </c>
      <c r="E524" s="9" t="n">
        <v>29</v>
      </c>
      <c r="F524" s="9" t="n">
        <v>12.35</v>
      </c>
      <c r="G524" s="9" t="n">
        <v>0</v>
      </c>
      <c r="H524" s="9" t="n">
        <v>0</v>
      </c>
      <c r="I524" s="3">
        <f>E524+G524+H524</f>
        <v/>
      </c>
      <c r="J524" s="3">
        <f>ROUND(MIN(IF(C524="Técnico III",35,IF(C524="Técnico II",28,IF(C524="Técnico I",23,IF(C524="JR",20,IF(C524="Estágio",10,0))))),IF(C524="Técnico III",SUMIFS($D:$D,$A:$A,$A524,$B:$B,"&lt;&gt;Patrícia Karla de Sousa Araújo",$B:$B,"&lt;&gt;Lorena Dias de Araujo",$B:$B,"&lt;&gt;Lucas Luiz Romero")*(35/1083),IF(C524="Técnico II",SUMIFS($D:$D,$A:$A,$A524,$B:$B,"&lt;&gt;Patrícia Karla de Sousa Araújo",$B:$B,"&lt;&gt;Lorena Dias de Araujo",$B:$B,"&lt;&gt;Lucas Luiz Romero")*(28/1083),IF(C524="Técnico I",SUMIFS($D:$D,$A:$A,$A524,$B:$B,"&lt;&gt;Patrícia Karla de Sousa Araújo",$B:$B,"&lt;&gt;Lorena Dias de Araujo",$B:$B,"&lt;&gt;Lucas Luiz Romero")*(23/1083),IF(C524="JR",SUMIFS($D:$D,$A:$A,$A524,$B:$B,"&lt;&gt;Patrícia Karla de Sousa Araújo",$B:$B,"&lt;&gt;Lorena Dias de Araujo",$B:$B,"&lt;&gt;Lucas Luiz Romero")*(20/1083),IF(C524="Estágio",SUMIFS($D:$D,$A:$A,$A524,$B:$B,"&lt;&gt;Patrícia Karla de Sousa Araújo",$B:$B,"&lt;&gt;Lorena Dias de Araujo",$B:$B,"&lt;&gt;Lucas Luiz Romero")*(10/1083),0)))))),0)</f>
        <v/>
      </c>
      <c r="K524" s="3">
        <f>I524-J524</f>
        <v/>
      </c>
      <c r="L524" s="3">
        <f>IF(K524&lt;-5,"CRÍTICO",IF(K524&lt;0,"ATENÇÃO",IF(K524&lt;=5,"OPORTUNO","MUITO BOM")))</f>
        <v/>
      </c>
      <c r="N524" s="9" t="n">
        <v>95.48999999999999</v>
      </c>
      <c r="O524" s="9" t="n">
        <v>28.16901408450704</v>
      </c>
    </row>
    <row r="525">
      <c r="A525" s="11" t="n">
        <v>46142</v>
      </c>
      <c r="B525" t="inlineStr">
        <is>
          <t>Maysa Victoria Dias Moura</t>
        </is>
      </c>
      <c r="C525" t="inlineStr">
        <is>
          <t>Técnico III</t>
        </is>
      </c>
      <c r="D525" s="9" t="n">
        <v>35</v>
      </c>
      <c r="E525" s="9" t="n">
        <v>34</v>
      </c>
      <c r="F525" s="9" t="n">
        <v>14.14</v>
      </c>
      <c r="G525" s="9" t="n">
        <v>0</v>
      </c>
      <c r="H525" s="9" t="n">
        <v>0</v>
      </c>
      <c r="I525" s="3">
        <f>E525+G525+H525</f>
        <v/>
      </c>
      <c r="J525" s="3">
        <f>ROUND(MIN(IF(C525="Técnico III",35,IF(C525="Técnico II",28,IF(C525="Técnico I",23,IF(C525="JR",20,IF(C525="Estágio",10,0))))),IF(C525="Técnico III",SUMIFS($D:$D,$A:$A,$A525,$B:$B,"&lt;&gt;Patrícia Karla de Sousa Araújo",$B:$B,"&lt;&gt;Lorena Dias de Araujo",$B:$B,"&lt;&gt;Lucas Luiz Romero")*(35/1083),IF(C525="Técnico II",SUMIFS($D:$D,$A:$A,$A525,$B:$B,"&lt;&gt;Patrícia Karla de Sousa Araújo",$B:$B,"&lt;&gt;Lorena Dias de Araujo",$B:$B,"&lt;&gt;Lucas Luiz Romero")*(28/1083),IF(C525="Técnico I",SUMIFS($D:$D,$A:$A,$A525,$B:$B,"&lt;&gt;Patrícia Karla de Sousa Araújo",$B:$B,"&lt;&gt;Lorena Dias de Araujo",$B:$B,"&lt;&gt;Lucas Luiz Romero")*(23/1083),IF(C525="JR",SUMIFS($D:$D,$A:$A,$A525,$B:$B,"&lt;&gt;Patrícia Karla de Sousa Araújo",$B:$B,"&lt;&gt;Lorena Dias de Araujo",$B:$B,"&lt;&gt;Lucas Luiz Romero")*(20/1083),IF(C525="Estágio",SUMIFS($D:$D,$A:$A,$A525,$B:$B,"&lt;&gt;Patrícia Karla de Sousa Araújo",$B:$B,"&lt;&gt;Lorena Dias de Araujo",$B:$B,"&lt;&gt;Lucas Luiz Romero")*(10/1083),0)))))),0)</f>
        <v/>
      </c>
      <c r="K525" s="3">
        <f>I525-J525</f>
        <v/>
      </c>
      <c r="L525" s="3">
        <f>IF(K525&lt;-5,"CRÍTICO",IF(K525&lt;0,"ATENÇÃO",IF(K525&lt;=5,"OPORTUNO","MUITO BOM")))</f>
        <v/>
      </c>
      <c r="N525" s="9" t="n">
        <v>95.48999999999999</v>
      </c>
      <c r="O525" s="9" t="n">
        <v>28.16901408450704</v>
      </c>
    </row>
    <row r="526">
      <c r="A526" s="5" t="n">
        <v>46146</v>
      </c>
      <c r="B526" s="6" t="inlineStr">
        <is>
          <t>Maysa Victoria Dias Moura</t>
        </is>
      </c>
      <c r="C526" s="3" t="inlineStr">
        <is>
          <t>Técnico III</t>
        </is>
      </c>
      <c r="D526" s="3" t="n">
        <v>40</v>
      </c>
      <c r="E526" s="3" t="n">
        <v>37</v>
      </c>
      <c r="F526" s="3" t="n">
        <v>10.48</v>
      </c>
      <c r="G526" s="3" t="n">
        <v>1</v>
      </c>
      <c r="H526" s="3" t="n">
        <v>0</v>
      </c>
      <c r="I526" s="3">
        <f>E526+G526+H526</f>
        <v/>
      </c>
      <c r="J526" s="3">
        <f>ROUND(MIN(IF(C526="Técnico III",35,IF(C526="Técnico II",28,IF(C526="Técnico I",23,IF(C526="JR",20,IF(C526="Estágio",10,0))))),IF(C526="Técnico III",SUMIFS($D:$D,$A:$A,$A526,$B:$B,"&lt;&gt;Patrícia Karla de Sousa Araújo",$B:$B,"&lt;&gt;Lorena Dias de Araujo",$B:$B,"&lt;&gt;Lucas Luiz Romero")*(35/1083),IF(C526="Técnico II",SUMIFS($D:$D,$A:$A,$A526,$B:$B,"&lt;&gt;Patrícia Karla de Sousa Araújo",$B:$B,"&lt;&gt;Lorena Dias de Araujo",$B:$B,"&lt;&gt;Lucas Luiz Romero")*(28/1083),IF(C526="Técnico I",SUMIFS($D:$D,$A:$A,$A526,$B:$B,"&lt;&gt;Patrícia Karla de Sousa Araújo",$B:$B,"&lt;&gt;Lorena Dias de Araujo",$B:$B,"&lt;&gt;Lucas Luiz Romero")*(23/1083),IF(C526="JR",SUMIFS($D:$D,$A:$A,$A526,$B:$B,"&lt;&gt;Patrícia Karla de Sousa Araújo",$B:$B,"&lt;&gt;Lorena Dias de Araujo",$B:$B,"&lt;&gt;Lucas Luiz Romero")*(20/1083),IF(C526="Estágio",SUMIFS($D:$D,$A:$A,$A526,$B:$B,"&lt;&gt;Patrícia Karla de Sousa Araújo",$B:$B,"&lt;&gt;Lorena Dias de Araujo",$B:$B,"&lt;&gt;Lucas Luiz Romero")*(10/1083),0)))))),0)</f>
        <v/>
      </c>
      <c r="K526" s="3">
        <f>I526-J526</f>
        <v/>
      </c>
      <c r="L526" s="3">
        <f>IF(K526&lt;-5,"CRÍTICO",IF(K526&lt;0,"ATENÇÃO",IF(K526&lt;=5,"BOM","EXCELENTE")))</f>
        <v/>
      </c>
      <c r="M526" s="9" t="n">
        <v>33</v>
      </c>
      <c r="N526" s="9" t="n">
        <v>97.22</v>
      </c>
      <c r="O526" s="9" t="n">
        <v>19.09547738693467</v>
      </c>
    </row>
    <row r="527">
      <c r="A527" s="5" t="n">
        <v>46147</v>
      </c>
      <c r="B527" s="6" t="inlineStr">
        <is>
          <t>Maysa Victoria Dias Moura</t>
        </is>
      </c>
      <c r="C527" s="3" t="inlineStr">
        <is>
          <t>Técnico III</t>
        </is>
      </c>
      <c r="D527" s="3" t="n">
        <v>32</v>
      </c>
      <c r="E527" s="3" t="n">
        <v>30</v>
      </c>
      <c r="F527" s="3" t="n">
        <v>15.03</v>
      </c>
      <c r="G527" s="3" t="n">
        <v>10</v>
      </c>
      <c r="H527" s="3" t="n">
        <v>0</v>
      </c>
      <c r="I527" s="3">
        <f>E527+G527+H527</f>
        <v/>
      </c>
      <c r="J527" s="3">
        <f>ROUND(MIN(IF(C527="Técnico III",35,IF(C527="Técnico II",28,IF(C527="Técnico I",23,IF(C527="JR",20,IF(C527="Estágio",10,0))))),IF(C527="Técnico III",SUMIFS($D:$D,$A:$A,$A527,$B:$B,"&lt;&gt;Patrícia Karla de Sousa Araújo",$B:$B,"&lt;&gt;Lorena Dias de Araujo",$B:$B,"&lt;&gt;Lucas Luiz Romero")*(35/1083),IF(C527="Técnico II",SUMIFS($D:$D,$A:$A,$A527,$B:$B,"&lt;&gt;Patrícia Karla de Sousa Araújo",$B:$B,"&lt;&gt;Lorena Dias de Araujo",$B:$B,"&lt;&gt;Lucas Luiz Romero")*(28/1083),IF(C527="Técnico I",SUMIFS($D:$D,$A:$A,$A527,$B:$B,"&lt;&gt;Patrícia Karla de Sousa Araújo",$B:$B,"&lt;&gt;Lorena Dias de Araujo",$B:$B,"&lt;&gt;Lucas Luiz Romero")*(23/1083),IF(C527="JR",SUMIFS($D:$D,$A:$A,$A527,$B:$B,"&lt;&gt;Patrícia Karla de Sousa Araújo",$B:$B,"&lt;&gt;Lorena Dias de Araujo",$B:$B,"&lt;&gt;Lucas Luiz Romero")*(20/1083),IF(C527="Estágio",SUMIFS($D:$D,$A:$A,$A527,$B:$B,"&lt;&gt;Patrícia Karla de Sousa Araújo",$B:$B,"&lt;&gt;Lorena Dias de Araujo",$B:$B,"&lt;&gt;Lucas Luiz Romero")*(10/1083),0)))))),0)</f>
        <v/>
      </c>
      <c r="K527" s="3">
        <f>I527-J527</f>
        <v/>
      </c>
      <c r="L527" s="3">
        <f>IF(K527&lt;-5,"CRÍTICO",IF(K527&lt;0,"ATENÇÃO",IF(K527&lt;=5,"BOM","EXCELENTE")))</f>
        <v/>
      </c>
      <c r="M527" s="3" t="n">
        <v>37</v>
      </c>
      <c r="N527" s="3" t="n">
        <v>97.22</v>
      </c>
      <c r="O527" s="3" t="n">
        <v>19.09547738693467</v>
      </c>
    </row>
    <row r="528">
      <c r="A528" s="5" t="n">
        <v>46148</v>
      </c>
      <c r="B528" s="6" t="inlineStr">
        <is>
          <t>Maysa Victoria Dias Moura</t>
        </is>
      </c>
      <c r="C528" s="3" t="inlineStr">
        <is>
          <t>Técnico III</t>
        </is>
      </c>
      <c r="D528" s="3" t="n">
        <v>32</v>
      </c>
      <c r="E528" s="3" t="n">
        <v>30</v>
      </c>
      <c r="F528" s="9" t="n">
        <v>19.04</v>
      </c>
      <c r="G528" s="3" t="n">
        <v>1</v>
      </c>
      <c r="H528" s="3" t="n">
        <v>0</v>
      </c>
      <c r="I528" s="3">
        <f>E528+G528+H528</f>
        <v/>
      </c>
      <c r="J528" s="3">
        <f>ROUND(MIN(IF(C528="Técnico III",35,IF(C528="Técnico II",28,IF(C528="Técnico I",23,IF(C528="JR",20,IF(C528="Estágio",10,0))))),IF(C528="Técnico III",SUMIFS($D:$D,$A:$A,$A528,$B:$B,"&lt;&gt;Patrícia Karla de Sousa Araújo",$B:$B,"&lt;&gt;Lorena Dias de Araujo",$B:$B,"&lt;&gt;Lucas Luiz Romero")*(35/1083),IF(C528="Técnico II",SUMIFS($D:$D,$A:$A,$A528,$B:$B,"&lt;&gt;Patrícia Karla de Sousa Araújo",$B:$B,"&lt;&gt;Lorena Dias de Araujo",$B:$B,"&lt;&gt;Lucas Luiz Romero")*(28/1083),IF(C528="Técnico I",SUMIFS($D:$D,$A:$A,$A528,$B:$B,"&lt;&gt;Patrícia Karla de Sousa Araújo",$B:$B,"&lt;&gt;Lorena Dias de Araujo",$B:$B,"&lt;&gt;Lucas Luiz Romero")*(23/1083),IF(C528="JR",SUMIFS($D:$D,$A:$A,$A528,$B:$B,"&lt;&gt;Patrícia Karla de Sousa Araújo",$B:$B,"&lt;&gt;Lorena Dias de Araujo",$B:$B,"&lt;&gt;Lucas Luiz Romero")*(20/1083),IF(C528="Estágio",SUMIFS($D:$D,$A:$A,$A528,$B:$B,"&lt;&gt;Patrícia Karla de Sousa Araújo",$B:$B,"&lt;&gt;Lorena Dias de Araujo",$B:$B,"&lt;&gt;Lucas Luiz Romero")*(10/1083),0)))))),0)</f>
        <v/>
      </c>
      <c r="K528" s="3">
        <f>I528-J528</f>
        <v/>
      </c>
      <c r="L528" s="3">
        <f>IF(K528&lt;-5,"CRÍTICO",IF(K528&lt;0,"ATENÇÃO",IF(K528&lt;=5,"BOM","EXCELENTE")))</f>
        <v/>
      </c>
      <c r="M528" s="3" t="n">
        <v>31</v>
      </c>
      <c r="N528" s="3" t="n">
        <v>97.22</v>
      </c>
      <c r="O528" s="3" t="n">
        <v>19.09547738693467</v>
      </c>
    </row>
    <row r="529">
      <c r="A529" s="11" t="n">
        <v>46168</v>
      </c>
      <c r="B529" t="inlineStr">
        <is>
          <t>Maysa Victoria Dias Moura</t>
        </is>
      </c>
      <c r="C529" t="inlineStr">
        <is>
          <t>Técnico III</t>
        </is>
      </c>
      <c r="D529" s="9" t="n">
        <v>33</v>
      </c>
      <c r="E529" s="9" t="n">
        <v>30</v>
      </c>
      <c r="F529" s="9" t="n">
        <v>10.1</v>
      </c>
      <c r="G529" s="9" t="n">
        <v>2</v>
      </c>
    </row>
    <row r="530">
      <c r="A530" s="11" t="n">
        <v>46140</v>
      </c>
      <c r="B530" t="inlineStr">
        <is>
          <t>Rafael Gomes de Morais</t>
        </is>
      </c>
      <c r="C530" t="inlineStr">
        <is>
          <t>Técnico III</t>
        </is>
      </c>
      <c r="D530" s="9" t="n">
        <v>43</v>
      </c>
      <c r="E530" s="9" t="n">
        <v>39</v>
      </c>
      <c r="F530" s="9" t="n">
        <v>12.1</v>
      </c>
      <c r="G530" s="9" t="n">
        <v>0</v>
      </c>
      <c r="H530" s="9" t="n">
        <v>0</v>
      </c>
      <c r="I530" s="3">
        <f>E530+G530+H530</f>
        <v/>
      </c>
      <c r="J530" s="3">
        <f>ROUND(MIN(IF(C530="Técnico III",35,IF(C530="Técnico II",28,IF(C530="Técnico I",23,IF(C530="JR",20,IF(C530="Estágio",10,0))))),IF(C530="Técnico III",SUMIFS($D:$D,$A:$A,$A530,$B:$B,"&lt;&gt;Patrícia Karla de Sousa Araújo",$B:$B,"&lt;&gt;Lorena Dias de Araujo",$B:$B,"&lt;&gt;Lucas Luiz Romero")*(35/1083),IF(C530="Técnico II",SUMIFS($D:$D,$A:$A,$A530,$B:$B,"&lt;&gt;Patrícia Karla de Sousa Araújo",$B:$B,"&lt;&gt;Lorena Dias de Araujo",$B:$B,"&lt;&gt;Lucas Luiz Romero")*(28/1083),IF(C530="Técnico I",SUMIFS($D:$D,$A:$A,$A530,$B:$B,"&lt;&gt;Patrícia Karla de Sousa Araújo",$B:$B,"&lt;&gt;Lorena Dias de Araujo",$B:$B,"&lt;&gt;Lucas Luiz Romero")*(23/1083),IF(C530="JR",SUMIFS($D:$D,$A:$A,$A530,$B:$B,"&lt;&gt;Patrícia Karla de Sousa Araújo",$B:$B,"&lt;&gt;Lorena Dias de Araujo",$B:$B,"&lt;&gt;Lucas Luiz Romero")*(20/1083),IF(C530="Estágio",SUMIFS($D:$D,$A:$A,$A530,$B:$B,"&lt;&gt;Patrícia Karla de Sousa Araújo",$B:$B,"&lt;&gt;Lorena Dias de Araujo",$B:$B,"&lt;&gt;Lucas Luiz Romero")*(10/1083),0)))))),0)</f>
        <v/>
      </c>
      <c r="K530" s="3">
        <f>I530-J530</f>
        <v/>
      </c>
      <c r="L530" s="3">
        <f>IF(K530&lt;-5,"CRÍTICO",IF(K530&lt;0,"ATENÇÃO",IF(K530&lt;=5,"OPORTUNO","MUITO BOM")))</f>
        <v/>
      </c>
      <c r="N530" s="9" t="n">
        <v>100</v>
      </c>
      <c r="O530" s="9" t="n">
        <v>31.13553113553114</v>
      </c>
    </row>
    <row r="531">
      <c r="A531" s="11" t="n">
        <v>46141</v>
      </c>
      <c r="B531" t="inlineStr">
        <is>
          <t>Rafael Gomes de Morais</t>
        </is>
      </c>
      <c r="C531" t="inlineStr">
        <is>
          <t>Técnico III</t>
        </is>
      </c>
      <c r="D531" s="9" t="n">
        <v>52</v>
      </c>
      <c r="E531" s="9" t="n">
        <v>48</v>
      </c>
      <c r="F531" s="9" t="n">
        <v>10.56</v>
      </c>
      <c r="G531" s="9" t="n">
        <v>0</v>
      </c>
      <c r="H531" s="9" t="n">
        <v>0</v>
      </c>
      <c r="I531" s="3">
        <f>E531+G531+H531</f>
        <v/>
      </c>
      <c r="J531" s="3">
        <f>ROUND(MIN(IF(C531="Técnico III",35,IF(C531="Técnico II",28,IF(C531="Técnico I",23,IF(C531="JR",20,IF(C531="Estágio",10,0))))),IF(C531="Técnico III",SUMIFS($D:$D,$A:$A,$A531,$B:$B,"&lt;&gt;Patrícia Karla de Sousa Araújo",$B:$B,"&lt;&gt;Lorena Dias de Araujo",$B:$B,"&lt;&gt;Lucas Luiz Romero")*(35/1083),IF(C531="Técnico II",SUMIFS($D:$D,$A:$A,$A531,$B:$B,"&lt;&gt;Patrícia Karla de Sousa Araújo",$B:$B,"&lt;&gt;Lorena Dias de Araujo",$B:$B,"&lt;&gt;Lucas Luiz Romero")*(28/1083),IF(C531="Técnico I",SUMIFS($D:$D,$A:$A,$A531,$B:$B,"&lt;&gt;Patrícia Karla de Sousa Araújo",$B:$B,"&lt;&gt;Lorena Dias de Araujo",$B:$B,"&lt;&gt;Lucas Luiz Romero")*(23/1083),IF(C531="JR",SUMIFS($D:$D,$A:$A,$A531,$B:$B,"&lt;&gt;Patrícia Karla de Sousa Araújo",$B:$B,"&lt;&gt;Lorena Dias de Araujo",$B:$B,"&lt;&gt;Lucas Luiz Romero")*(20/1083),IF(C531="Estágio",SUMIFS($D:$D,$A:$A,$A531,$B:$B,"&lt;&gt;Patrícia Karla de Sousa Araújo",$B:$B,"&lt;&gt;Lorena Dias de Araujo",$B:$B,"&lt;&gt;Lucas Luiz Romero")*(10/1083),0)))))),0)</f>
        <v/>
      </c>
      <c r="K531" s="3">
        <f>I531-J531</f>
        <v/>
      </c>
      <c r="L531" s="3">
        <f>IF(K531&lt;-5,"CRÍTICO",IF(K531&lt;0,"ATENÇÃO",IF(K531&lt;=5,"OPORTUNO","MUITO BOM")))</f>
        <v/>
      </c>
      <c r="N531" s="9" t="n">
        <v>100</v>
      </c>
      <c r="O531" s="9" t="n">
        <v>31.13553113553114</v>
      </c>
    </row>
    <row r="532">
      <c r="A532" s="11" t="n">
        <v>46142</v>
      </c>
      <c r="B532" t="inlineStr">
        <is>
          <t>Rafael Gomes de Morais</t>
        </is>
      </c>
      <c r="C532" t="inlineStr">
        <is>
          <t>Técnico III</t>
        </is>
      </c>
      <c r="D532" s="9" t="n">
        <v>36</v>
      </c>
      <c r="E532" s="9" t="n">
        <v>33</v>
      </c>
      <c r="F532" s="9" t="n">
        <v>18.2</v>
      </c>
      <c r="G532" s="9" t="n">
        <v>0</v>
      </c>
      <c r="H532" s="9" t="n">
        <v>0</v>
      </c>
      <c r="I532" s="3">
        <f>E532+G532+H532</f>
        <v/>
      </c>
      <c r="J532" s="3">
        <f>ROUND(MIN(IF(C532="Técnico III",35,IF(C532="Técnico II",28,IF(C532="Técnico I",23,IF(C532="JR",20,IF(C532="Estágio",10,0))))),IF(C532="Técnico III",SUMIFS($D:$D,$A:$A,$A532,$B:$B,"&lt;&gt;Patrícia Karla de Sousa Araújo",$B:$B,"&lt;&gt;Lorena Dias de Araujo",$B:$B,"&lt;&gt;Lucas Luiz Romero")*(35/1083),IF(C532="Técnico II",SUMIFS($D:$D,$A:$A,$A532,$B:$B,"&lt;&gt;Patrícia Karla de Sousa Araújo",$B:$B,"&lt;&gt;Lorena Dias de Araujo",$B:$B,"&lt;&gt;Lucas Luiz Romero")*(28/1083),IF(C532="Técnico I",SUMIFS($D:$D,$A:$A,$A532,$B:$B,"&lt;&gt;Patrícia Karla de Sousa Araújo",$B:$B,"&lt;&gt;Lorena Dias de Araujo",$B:$B,"&lt;&gt;Lucas Luiz Romero")*(23/1083),IF(C532="JR",SUMIFS($D:$D,$A:$A,$A532,$B:$B,"&lt;&gt;Patrícia Karla de Sousa Araújo",$B:$B,"&lt;&gt;Lorena Dias de Araujo",$B:$B,"&lt;&gt;Lucas Luiz Romero")*(20/1083),IF(C532="Estágio",SUMIFS($D:$D,$A:$A,$A532,$B:$B,"&lt;&gt;Patrícia Karla de Sousa Araújo",$B:$B,"&lt;&gt;Lorena Dias de Araujo",$B:$B,"&lt;&gt;Lucas Luiz Romero")*(10/1083),0)))))),0)</f>
        <v/>
      </c>
      <c r="K532" s="3">
        <f>I532-J532</f>
        <v/>
      </c>
      <c r="L532" s="3">
        <f>IF(K532&lt;-5,"CRÍTICO",IF(K532&lt;0,"ATENÇÃO",IF(K532&lt;=5,"OPORTUNO","MUITO BOM")))</f>
        <v/>
      </c>
      <c r="N532" s="9" t="n">
        <v>100</v>
      </c>
      <c r="O532" s="9" t="n">
        <v>31.13553113553114</v>
      </c>
    </row>
    <row r="533">
      <c r="A533" s="5" t="n">
        <v>46146</v>
      </c>
      <c r="B533" s="6" t="inlineStr">
        <is>
          <t>Rafael Gomes de Morais</t>
        </is>
      </c>
      <c r="C533" s="3" t="inlineStr">
        <is>
          <t>Técnico III</t>
        </is>
      </c>
      <c r="D533" s="3" t="n">
        <v>50</v>
      </c>
      <c r="E533" s="3" t="n">
        <v>46</v>
      </c>
      <c r="F533" s="3" t="n">
        <v>12.23</v>
      </c>
      <c r="G533" s="3" t="n">
        <v>1</v>
      </c>
      <c r="H533" s="3" t="n">
        <v>0</v>
      </c>
      <c r="I533" s="3">
        <f>E533+G533+H533</f>
        <v/>
      </c>
      <c r="J533" s="3">
        <f>ROUND(MIN(IF(C533="Técnico III",35,IF(C533="Técnico II",28,IF(C533="Técnico I",23,IF(C533="JR",20,IF(C533="Estágio",10,0))))),IF(C533="Técnico III",SUMIFS($D:$D,$A:$A,$A533,$B:$B,"&lt;&gt;Patrícia Karla de Sousa Araújo",$B:$B,"&lt;&gt;Lorena Dias de Araujo",$B:$B,"&lt;&gt;Lucas Luiz Romero")*(35/1083),IF(C533="Técnico II",SUMIFS($D:$D,$A:$A,$A533,$B:$B,"&lt;&gt;Patrícia Karla de Sousa Araújo",$B:$B,"&lt;&gt;Lorena Dias de Araujo",$B:$B,"&lt;&gt;Lucas Luiz Romero")*(28/1083),IF(C533="Técnico I",SUMIFS($D:$D,$A:$A,$A533,$B:$B,"&lt;&gt;Patrícia Karla de Sousa Araújo",$B:$B,"&lt;&gt;Lorena Dias de Araujo",$B:$B,"&lt;&gt;Lucas Luiz Romero")*(23/1083),IF(C533="JR",SUMIFS($D:$D,$A:$A,$A533,$B:$B,"&lt;&gt;Patrícia Karla de Sousa Araújo",$B:$B,"&lt;&gt;Lorena Dias de Araujo",$B:$B,"&lt;&gt;Lucas Luiz Romero")*(20/1083),IF(C533="Estágio",SUMIFS($D:$D,$A:$A,$A533,$B:$B,"&lt;&gt;Patrícia Karla de Sousa Araújo",$B:$B,"&lt;&gt;Lorena Dias de Araujo",$B:$B,"&lt;&gt;Lucas Luiz Romero")*(10/1083),0)))))),0)</f>
        <v/>
      </c>
      <c r="K533" s="3">
        <f>I533-J533</f>
        <v/>
      </c>
      <c r="L533" s="3">
        <f>IF(K533&lt;-5,"CRÍTICO",IF(K533&lt;0,"ATENÇÃO",IF(K533&lt;=5,"BOM","EXCELENTE")))</f>
        <v/>
      </c>
      <c r="M533" s="9" t="n">
        <v>32</v>
      </c>
      <c r="N533" s="9" t="n">
        <v>99.29000000000001</v>
      </c>
      <c r="O533" s="9" t="n">
        <v>22.49443207126949</v>
      </c>
    </row>
    <row r="534">
      <c r="A534" s="5" t="n">
        <v>46147</v>
      </c>
      <c r="B534" s="6" t="inlineStr">
        <is>
          <t>Rafael Gomes de Morais</t>
        </is>
      </c>
      <c r="C534" s="3" t="inlineStr">
        <is>
          <t>Técnico III</t>
        </is>
      </c>
      <c r="D534" s="3" t="n">
        <v>49</v>
      </c>
      <c r="E534" s="3" t="n">
        <v>45</v>
      </c>
      <c r="F534" s="3" t="n">
        <v>10.46</v>
      </c>
      <c r="G534" s="3" t="n">
        <v>9</v>
      </c>
      <c r="H534" s="3" t="n">
        <v>0</v>
      </c>
      <c r="I534" s="3">
        <f>E534+G534+H534</f>
        <v/>
      </c>
      <c r="J534" s="3">
        <f>ROUND(MIN(IF(C534="Técnico III",35,IF(C534="Técnico II",28,IF(C534="Técnico I",23,IF(C534="JR",20,IF(C534="Estágio",10,0))))),IF(C534="Técnico III",SUMIFS($D:$D,$A:$A,$A534,$B:$B,"&lt;&gt;Patrícia Karla de Sousa Araújo",$B:$B,"&lt;&gt;Lorena Dias de Araujo",$B:$B,"&lt;&gt;Lucas Luiz Romero")*(35/1083),IF(C534="Técnico II",SUMIFS($D:$D,$A:$A,$A534,$B:$B,"&lt;&gt;Patrícia Karla de Sousa Araújo",$B:$B,"&lt;&gt;Lorena Dias de Araujo",$B:$B,"&lt;&gt;Lucas Luiz Romero")*(28/1083),IF(C534="Técnico I",SUMIFS($D:$D,$A:$A,$A534,$B:$B,"&lt;&gt;Patrícia Karla de Sousa Araújo",$B:$B,"&lt;&gt;Lorena Dias de Araujo",$B:$B,"&lt;&gt;Lucas Luiz Romero")*(23/1083),IF(C534="JR",SUMIFS($D:$D,$A:$A,$A534,$B:$B,"&lt;&gt;Patrícia Karla de Sousa Araújo",$B:$B,"&lt;&gt;Lorena Dias de Araujo",$B:$B,"&lt;&gt;Lucas Luiz Romero")*(20/1083),IF(C534="Estágio",SUMIFS($D:$D,$A:$A,$A534,$B:$B,"&lt;&gt;Patrícia Karla de Sousa Araújo",$B:$B,"&lt;&gt;Lorena Dias de Araujo",$B:$B,"&lt;&gt;Lucas Luiz Romero")*(10/1083),0)))))),0)</f>
        <v/>
      </c>
      <c r="K534" s="3">
        <f>I534-J534</f>
        <v/>
      </c>
      <c r="L534" s="3">
        <f>IF(K534&lt;-5,"CRÍTICO",IF(K534&lt;0,"ATENÇÃO",IF(K534&lt;=5,"BOM","EXCELENTE")))</f>
        <v/>
      </c>
      <c r="M534" s="3" t="n">
        <v>49</v>
      </c>
      <c r="N534" s="3" t="n">
        <v>99.29000000000001</v>
      </c>
      <c r="O534" s="3" t="n">
        <v>22.49443207126949</v>
      </c>
    </row>
    <row r="535">
      <c r="A535" s="5" t="n">
        <v>46148</v>
      </c>
      <c r="B535" s="6" t="inlineStr">
        <is>
          <t>Rafael Gomes de Morais</t>
        </is>
      </c>
      <c r="C535" s="3" t="inlineStr">
        <is>
          <t>Técnico III</t>
        </is>
      </c>
      <c r="D535" s="3" t="n">
        <v>57</v>
      </c>
      <c r="E535" s="3" t="n">
        <v>51</v>
      </c>
      <c r="F535" s="9" t="n">
        <v>10.53</v>
      </c>
      <c r="G535" s="3" t="n">
        <v>1</v>
      </c>
      <c r="H535" s="3" t="n">
        <v>0</v>
      </c>
      <c r="I535" s="3">
        <f>E535+G535+H535</f>
        <v/>
      </c>
      <c r="J535" s="3">
        <f>ROUND(MIN(IF(C535="Técnico III",35,IF(C535="Técnico II",28,IF(C535="Técnico I",23,IF(C535="JR",20,IF(C535="Estágio",10,0))))),IF(C535="Técnico III",SUMIFS($D:$D,$A:$A,$A535,$B:$B,"&lt;&gt;Patrícia Karla de Sousa Araújo",$B:$B,"&lt;&gt;Lorena Dias de Araujo",$B:$B,"&lt;&gt;Lucas Luiz Romero")*(35/1083),IF(C535="Técnico II",SUMIFS($D:$D,$A:$A,$A535,$B:$B,"&lt;&gt;Patrícia Karla de Sousa Araújo",$B:$B,"&lt;&gt;Lorena Dias de Araujo",$B:$B,"&lt;&gt;Lucas Luiz Romero")*(28/1083),IF(C535="Técnico I",SUMIFS($D:$D,$A:$A,$A535,$B:$B,"&lt;&gt;Patrícia Karla de Sousa Araújo",$B:$B,"&lt;&gt;Lorena Dias de Araujo",$B:$B,"&lt;&gt;Lucas Luiz Romero")*(23/1083),IF(C535="JR",SUMIFS($D:$D,$A:$A,$A535,$B:$B,"&lt;&gt;Patrícia Karla de Sousa Araújo",$B:$B,"&lt;&gt;Lorena Dias de Araujo",$B:$B,"&lt;&gt;Lucas Luiz Romero")*(20/1083),IF(C535="Estágio",SUMIFS($D:$D,$A:$A,$A535,$B:$B,"&lt;&gt;Patrícia Karla de Sousa Araújo",$B:$B,"&lt;&gt;Lorena Dias de Araujo",$B:$B,"&lt;&gt;Lucas Luiz Romero")*(10/1083),0)))))),0)</f>
        <v/>
      </c>
      <c r="K535" s="3">
        <f>I535-J535</f>
        <v/>
      </c>
      <c r="L535" s="3">
        <f>IF(K535&lt;-5,"CRÍTICO",IF(K535&lt;0,"ATENÇÃO",IF(K535&lt;=5,"BOM","EXCELENTE")))</f>
        <v/>
      </c>
      <c r="M535" s="3" t="n">
        <v>37</v>
      </c>
      <c r="N535" s="3" t="n">
        <v>99.29000000000001</v>
      </c>
      <c r="O535" s="3" t="n">
        <v>22.49443207126949</v>
      </c>
    </row>
    <row r="536">
      <c r="A536" s="11" t="n">
        <v>46168</v>
      </c>
      <c r="B536" t="inlineStr">
        <is>
          <t>Rafael Gomes de Morais</t>
        </is>
      </c>
      <c r="C536" t="inlineStr">
        <is>
          <t>Técnico III</t>
        </is>
      </c>
      <c r="D536" s="9" t="n">
        <v>37</v>
      </c>
      <c r="E536" s="9" t="n">
        <v>33</v>
      </c>
      <c r="F536" s="9" t="n">
        <v>11.48</v>
      </c>
      <c r="G536" s="9" t="n">
        <v>0</v>
      </c>
    </row>
    <row r="537">
      <c r="A537" s="11" t="n">
        <v>46140</v>
      </c>
      <c r="B537" t="inlineStr">
        <is>
          <t>Sarah Steffanie de Lima Borges</t>
        </is>
      </c>
      <c r="C537" t="inlineStr">
        <is>
          <t>Técnico III</t>
        </is>
      </c>
      <c r="D537" s="9" t="n">
        <v>30</v>
      </c>
      <c r="E537" s="9" t="n">
        <v>28</v>
      </c>
      <c r="F537" s="9" t="n">
        <v>17.33</v>
      </c>
      <c r="G537" s="9" t="n">
        <v>0</v>
      </c>
      <c r="H537" s="9" t="n">
        <v>0</v>
      </c>
      <c r="I537" s="3">
        <f>E537+G537+H537</f>
        <v/>
      </c>
      <c r="J537" s="3">
        <f>ROUND(MIN(IF(C537="Técnico III",35,IF(C537="Técnico II",28,IF(C537="Técnico I",23,IF(C537="JR",20,IF(C537="Estágio",10,0))))),IF(C537="Técnico III",SUMIFS($D:$D,$A:$A,$A537,$B:$B,"&lt;&gt;Patrícia Karla de Sousa Araújo",$B:$B,"&lt;&gt;Lorena Dias de Araujo",$B:$B,"&lt;&gt;Lucas Luiz Romero")*(35/1083),IF(C537="Técnico II",SUMIFS($D:$D,$A:$A,$A537,$B:$B,"&lt;&gt;Patrícia Karla de Sousa Araújo",$B:$B,"&lt;&gt;Lorena Dias de Araujo",$B:$B,"&lt;&gt;Lucas Luiz Romero")*(28/1083),IF(C537="Técnico I",SUMIFS($D:$D,$A:$A,$A537,$B:$B,"&lt;&gt;Patrícia Karla de Sousa Araújo",$B:$B,"&lt;&gt;Lorena Dias de Araujo",$B:$B,"&lt;&gt;Lucas Luiz Romero")*(23/1083),IF(C537="JR",SUMIFS($D:$D,$A:$A,$A537,$B:$B,"&lt;&gt;Patrícia Karla de Sousa Araújo",$B:$B,"&lt;&gt;Lorena Dias de Araujo",$B:$B,"&lt;&gt;Lucas Luiz Romero")*(20/1083),IF(C537="Estágio",SUMIFS($D:$D,$A:$A,$A537,$B:$B,"&lt;&gt;Patrícia Karla de Sousa Araújo",$B:$B,"&lt;&gt;Lorena Dias de Araujo",$B:$B,"&lt;&gt;Lucas Luiz Romero")*(10/1083),0)))))),0)</f>
        <v/>
      </c>
      <c r="K537" s="3">
        <f>I537-J537</f>
        <v/>
      </c>
      <c r="L537" s="3">
        <f>IF(K537&lt;-5,"CRÍTICO",IF(K537&lt;0,"ATENÇÃO",IF(K537&lt;=5,"OPORTUNO","MUITO BOM")))</f>
        <v/>
      </c>
      <c r="N537" s="9" t="n">
        <v>99.20999999999999</v>
      </c>
      <c r="O537" s="9" t="n">
        <v>24.93702770780856</v>
      </c>
    </row>
    <row r="538">
      <c r="A538" s="11" t="n">
        <v>46141</v>
      </c>
      <c r="B538" t="inlineStr">
        <is>
          <t>Sarah Steffanie de Lima Borges</t>
        </is>
      </c>
      <c r="C538" t="inlineStr">
        <is>
          <t>Técnico III</t>
        </is>
      </c>
      <c r="D538" s="9" t="n">
        <v>30</v>
      </c>
      <c r="E538" s="9" t="n">
        <v>30</v>
      </c>
      <c r="F538" s="9" t="n">
        <v>15</v>
      </c>
      <c r="G538" s="9" t="n">
        <v>0</v>
      </c>
      <c r="H538" s="9" t="n">
        <v>0</v>
      </c>
      <c r="I538" s="3">
        <f>E538+G538+H538</f>
        <v/>
      </c>
      <c r="J538" s="3">
        <f>ROUND(MIN(IF(C538="Técnico III",35,IF(C538="Técnico II",28,IF(C538="Técnico I",23,IF(C538="JR",20,IF(C538="Estágio",10,0))))),IF(C538="Técnico III",SUMIFS($D:$D,$A:$A,$A538,$B:$B,"&lt;&gt;Patrícia Karla de Sousa Araújo",$B:$B,"&lt;&gt;Lorena Dias de Araujo",$B:$B,"&lt;&gt;Lucas Luiz Romero")*(35/1083),IF(C538="Técnico II",SUMIFS($D:$D,$A:$A,$A538,$B:$B,"&lt;&gt;Patrícia Karla de Sousa Araújo",$B:$B,"&lt;&gt;Lorena Dias de Araujo",$B:$B,"&lt;&gt;Lucas Luiz Romero")*(28/1083),IF(C538="Técnico I",SUMIFS($D:$D,$A:$A,$A538,$B:$B,"&lt;&gt;Patrícia Karla de Sousa Araújo",$B:$B,"&lt;&gt;Lorena Dias de Araujo",$B:$B,"&lt;&gt;Lucas Luiz Romero")*(23/1083),IF(C538="JR",SUMIFS($D:$D,$A:$A,$A538,$B:$B,"&lt;&gt;Patrícia Karla de Sousa Araújo",$B:$B,"&lt;&gt;Lorena Dias de Araujo",$B:$B,"&lt;&gt;Lucas Luiz Romero")*(20/1083),IF(C538="Estágio",SUMIFS($D:$D,$A:$A,$A538,$B:$B,"&lt;&gt;Patrícia Karla de Sousa Araújo",$B:$B,"&lt;&gt;Lorena Dias de Araujo",$B:$B,"&lt;&gt;Lucas Luiz Romero")*(10/1083),0)))))),0)</f>
        <v/>
      </c>
      <c r="K538" s="3">
        <f>I538-J538</f>
        <v/>
      </c>
      <c r="L538" s="3">
        <f>IF(K538&lt;-5,"CRÍTICO",IF(K538&lt;0,"ATENÇÃO",IF(K538&lt;=5,"OPORTUNO","MUITO BOM")))</f>
        <v/>
      </c>
      <c r="N538" s="9" t="n">
        <v>99.20999999999999</v>
      </c>
      <c r="O538" s="9" t="n">
        <v>24.93702770780856</v>
      </c>
    </row>
    <row r="539">
      <c r="A539" s="11" t="n">
        <v>46142</v>
      </c>
      <c r="B539" t="inlineStr">
        <is>
          <t>Sarah Steffanie de Lima Borges</t>
        </is>
      </c>
      <c r="C539" t="inlineStr">
        <is>
          <t>Técnico III</t>
        </is>
      </c>
      <c r="D539" s="9" t="n">
        <v>10</v>
      </c>
      <c r="E539" s="9" t="n">
        <v>10</v>
      </c>
      <c r="F539" s="9" t="n">
        <v>20.23</v>
      </c>
      <c r="G539" s="9" t="n">
        <v>0</v>
      </c>
      <c r="H539" s="9" t="n">
        <v>0</v>
      </c>
      <c r="I539" s="3">
        <f>E539+G539+H539</f>
        <v/>
      </c>
      <c r="J539" s="3">
        <f>ROUND(MIN(IF(C539="Técnico III",35,IF(C539="Técnico II",28,IF(C539="Técnico I",23,IF(C539="JR",20,IF(C539="Estágio",10,0))))),IF(C539="Técnico III",SUMIFS($D:$D,$A:$A,$A539,$B:$B,"&lt;&gt;Patrícia Karla de Sousa Araújo",$B:$B,"&lt;&gt;Lorena Dias de Araujo",$B:$B,"&lt;&gt;Lucas Luiz Romero")*(35/1083),IF(C539="Técnico II",SUMIFS($D:$D,$A:$A,$A539,$B:$B,"&lt;&gt;Patrícia Karla de Sousa Araújo",$B:$B,"&lt;&gt;Lorena Dias de Araujo",$B:$B,"&lt;&gt;Lucas Luiz Romero")*(28/1083),IF(C539="Técnico I",SUMIFS($D:$D,$A:$A,$A539,$B:$B,"&lt;&gt;Patrícia Karla de Sousa Araújo",$B:$B,"&lt;&gt;Lorena Dias de Araujo",$B:$B,"&lt;&gt;Lucas Luiz Romero")*(23/1083),IF(C539="JR",SUMIFS($D:$D,$A:$A,$A539,$B:$B,"&lt;&gt;Patrícia Karla de Sousa Araújo",$B:$B,"&lt;&gt;Lorena Dias de Araujo",$B:$B,"&lt;&gt;Lucas Luiz Romero")*(20/1083),IF(C539="Estágio",SUMIFS($D:$D,$A:$A,$A539,$B:$B,"&lt;&gt;Patrícia Karla de Sousa Araújo",$B:$B,"&lt;&gt;Lorena Dias de Araujo",$B:$B,"&lt;&gt;Lucas Luiz Romero")*(10/1083),0)))))),0)</f>
        <v/>
      </c>
      <c r="K539" s="3">
        <f>I539-J539</f>
        <v/>
      </c>
      <c r="L539" s="3">
        <f>IF(K539&lt;-5,"CRÍTICO",IF(K539&lt;0,"ATENÇÃO",IF(K539&lt;=5,"OPORTUNO","MUITO BOM")))</f>
        <v/>
      </c>
      <c r="N539" s="9" t="n">
        <v>99.20999999999999</v>
      </c>
      <c r="O539" s="9" t="n">
        <v>24.93702770780856</v>
      </c>
    </row>
    <row r="540">
      <c r="A540" s="5" t="n">
        <v>46146</v>
      </c>
      <c r="B540" s="6" t="inlineStr">
        <is>
          <t>Sarah Steffanie de Lima Borges</t>
        </is>
      </c>
      <c r="C540" s="3" t="inlineStr">
        <is>
          <t>Técnico III</t>
        </is>
      </c>
      <c r="D540" s="3" t="n">
        <v>26</v>
      </c>
      <c r="E540" s="3" t="n">
        <v>25</v>
      </c>
      <c r="F540" s="3" t="n">
        <v>17.25</v>
      </c>
      <c r="G540" s="3" t="n">
        <v>4</v>
      </c>
      <c r="H540" s="3" t="n">
        <v>0</v>
      </c>
      <c r="I540" s="3">
        <f>E540+G540+H540</f>
        <v/>
      </c>
      <c r="J540" s="3">
        <f>ROUND(MIN(IF(C540="Técnico III",35,IF(C540="Técnico II",28,IF(C540="Técnico I",23,IF(C540="JR",20,IF(C540="Estágio",10,0))))),IF(C540="Técnico III",SUMIFS($D:$D,$A:$A,$A540,$B:$B,"&lt;&gt;Patrícia Karla de Sousa Araújo",$B:$B,"&lt;&gt;Lorena Dias de Araujo",$B:$B,"&lt;&gt;Lucas Luiz Romero")*(35/1083),IF(C540="Técnico II",SUMIFS($D:$D,$A:$A,$A540,$B:$B,"&lt;&gt;Patrícia Karla de Sousa Araújo",$B:$B,"&lt;&gt;Lorena Dias de Araujo",$B:$B,"&lt;&gt;Lucas Luiz Romero")*(28/1083),IF(C540="Técnico I",SUMIFS($D:$D,$A:$A,$A540,$B:$B,"&lt;&gt;Patrícia Karla de Sousa Araújo",$B:$B,"&lt;&gt;Lorena Dias de Araujo",$B:$B,"&lt;&gt;Lucas Luiz Romero")*(23/1083),IF(C540="JR",SUMIFS($D:$D,$A:$A,$A540,$B:$B,"&lt;&gt;Patrícia Karla de Sousa Araújo",$B:$B,"&lt;&gt;Lorena Dias de Araujo",$B:$B,"&lt;&gt;Lucas Luiz Romero")*(20/1083),IF(C540="Estágio",SUMIFS($D:$D,$A:$A,$A540,$B:$B,"&lt;&gt;Patrícia Karla de Sousa Araújo",$B:$B,"&lt;&gt;Lorena Dias de Araujo",$B:$B,"&lt;&gt;Lucas Luiz Romero")*(10/1083),0)))))),0)</f>
        <v/>
      </c>
      <c r="K540" s="3">
        <f>I540-J540</f>
        <v/>
      </c>
      <c r="L540" s="3">
        <f>IF(K540&lt;-5,"CRÍTICO",IF(K540&lt;0,"ATENÇÃO",IF(K540&lt;=5,"BOM","EXCELENTE")))</f>
        <v/>
      </c>
      <c r="M540" s="9" t="n">
        <v>26</v>
      </c>
      <c r="N540" s="9" t="n">
        <v>97.33</v>
      </c>
      <c r="O540" s="9" t="n">
        <v>15.80547112462006</v>
      </c>
    </row>
    <row r="541">
      <c r="A541" s="5" t="n">
        <v>46147</v>
      </c>
      <c r="B541" s="6" t="inlineStr">
        <is>
          <t>Sarah Steffanie de Lima Borges</t>
        </is>
      </c>
      <c r="C541" s="3" t="inlineStr">
        <is>
          <t>Técnico III</t>
        </is>
      </c>
      <c r="D541" s="3" t="n">
        <v>33</v>
      </c>
      <c r="E541" s="3" t="n">
        <v>32</v>
      </c>
      <c r="F541" s="3" t="n">
        <v>15.31</v>
      </c>
      <c r="G541" s="3" t="n">
        <v>0</v>
      </c>
      <c r="H541" s="3" t="n">
        <v>0</v>
      </c>
      <c r="I541" s="3">
        <f>E541+G541+H541</f>
        <v/>
      </c>
      <c r="J541" s="3">
        <f>ROUND(MIN(IF(C541="Técnico III",35,IF(C541="Técnico II",28,IF(C541="Técnico I",23,IF(C541="JR",20,IF(C541="Estágio",10,0))))),IF(C541="Técnico III",SUMIFS($D:$D,$A:$A,$A541,$B:$B,"&lt;&gt;Patrícia Karla de Sousa Araújo",$B:$B,"&lt;&gt;Lorena Dias de Araujo",$B:$B,"&lt;&gt;Lucas Luiz Romero")*(35/1083),IF(C541="Técnico II",SUMIFS($D:$D,$A:$A,$A541,$B:$B,"&lt;&gt;Patrícia Karla de Sousa Araújo",$B:$B,"&lt;&gt;Lorena Dias de Araujo",$B:$B,"&lt;&gt;Lucas Luiz Romero")*(28/1083),IF(C541="Técnico I",SUMIFS($D:$D,$A:$A,$A541,$B:$B,"&lt;&gt;Patrícia Karla de Sousa Araújo",$B:$B,"&lt;&gt;Lorena Dias de Araujo",$B:$B,"&lt;&gt;Lucas Luiz Romero")*(23/1083),IF(C541="JR",SUMIFS($D:$D,$A:$A,$A541,$B:$B,"&lt;&gt;Patrícia Karla de Sousa Araújo",$B:$B,"&lt;&gt;Lorena Dias de Araujo",$B:$B,"&lt;&gt;Lucas Luiz Romero")*(20/1083),IF(C541="Estágio",SUMIFS($D:$D,$A:$A,$A541,$B:$B,"&lt;&gt;Patrícia Karla de Sousa Araújo",$B:$B,"&lt;&gt;Lorena Dias de Araujo",$B:$B,"&lt;&gt;Lucas Luiz Romero")*(10/1083),0)))))),0)</f>
        <v/>
      </c>
      <c r="K541" s="3">
        <f>I541-J541</f>
        <v/>
      </c>
      <c r="L541" s="3">
        <f>IF(K541&lt;-5,"CRÍTICO",IF(K541&lt;0,"ATENÇÃO",IF(K541&lt;=5,"BOM","EXCELENTE")))</f>
        <v/>
      </c>
      <c r="M541" s="3" t="n">
        <v>28</v>
      </c>
      <c r="N541" s="3" t="n">
        <v>97.33</v>
      </c>
      <c r="O541" s="3" t="n">
        <v>15.80547112462006</v>
      </c>
    </row>
    <row r="542">
      <c r="A542" s="5" t="n">
        <v>46148</v>
      </c>
      <c r="B542" s="6" t="inlineStr">
        <is>
          <t>Sarah Steffanie de Lima Borges</t>
        </is>
      </c>
      <c r="C542" s="3" t="inlineStr">
        <is>
          <t>Técnico III</t>
        </is>
      </c>
      <c r="D542" s="3" t="n">
        <v>21</v>
      </c>
      <c r="E542" s="3" t="n">
        <v>20</v>
      </c>
      <c r="F542" s="9" t="n">
        <v>18.47</v>
      </c>
      <c r="G542" s="3" t="n">
        <v>8</v>
      </c>
      <c r="H542" s="3" t="n">
        <v>0</v>
      </c>
      <c r="I542" s="3">
        <f>E542+G542+H542</f>
        <v/>
      </c>
      <c r="J542" s="3">
        <f>ROUND(MIN(IF(C542="Técnico III",35,IF(C542="Técnico II",28,IF(C542="Técnico I",23,IF(C542="JR",20,IF(C542="Estágio",10,0))))),IF(C542="Técnico III",SUMIFS($D:$D,$A:$A,$A542,$B:$B,"&lt;&gt;Patrícia Karla de Sousa Araújo",$B:$B,"&lt;&gt;Lorena Dias de Araujo",$B:$B,"&lt;&gt;Lucas Luiz Romero")*(35/1083),IF(C542="Técnico II",SUMIFS($D:$D,$A:$A,$A542,$B:$B,"&lt;&gt;Patrícia Karla de Sousa Araújo",$B:$B,"&lt;&gt;Lorena Dias de Araujo",$B:$B,"&lt;&gt;Lucas Luiz Romero")*(28/1083),IF(C542="Técnico I",SUMIFS($D:$D,$A:$A,$A542,$B:$B,"&lt;&gt;Patrícia Karla de Sousa Araújo",$B:$B,"&lt;&gt;Lorena Dias de Araujo",$B:$B,"&lt;&gt;Lucas Luiz Romero")*(23/1083),IF(C542="JR",SUMIFS($D:$D,$A:$A,$A542,$B:$B,"&lt;&gt;Patrícia Karla de Sousa Araújo",$B:$B,"&lt;&gt;Lorena Dias de Araujo",$B:$B,"&lt;&gt;Lucas Luiz Romero")*(20/1083),IF(C542="Estágio",SUMIFS($D:$D,$A:$A,$A542,$B:$B,"&lt;&gt;Patrícia Karla de Sousa Araújo",$B:$B,"&lt;&gt;Lorena Dias de Araujo",$B:$B,"&lt;&gt;Lucas Luiz Romero")*(10/1083),0)))))),0)</f>
        <v/>
      </c>
      <c r="K542" s="3">
        <f>I542-J542</f>
        <v/>
      </c>
      <c r="L542" s="3">
        <f>IF(K542&lt;-5,"CRÍTICO",IF(K542&lt;0,"ATENÇÃO",IF(K542&lt;=5,"BOM","EXCELENTE")))</f>
        <v/>
      </c>
      <c r="M542" s="3" t="n">
        <v>25</v>
      </c>
      <c r="N542" s="3" t="n">
        <v>97.33</v>
      </c>
      <c r="O542" s="3" t="n">
        <v>15.80547112462006</v>
      </c>
    </row>
    <row r="543">
      <c r="A543" s="11" t="n">
        <v>46168</v>
      </c>
      <c r="B543" t="inlineStr">
        <is>
          <t>Sarah Steffanie de Lima Borges</t>
        </is>
      </c>
      <c r="C543" t="inlineStr">
        <is>
          <t>Técnico III</t>
        </is>
      </c>
      <c r="D543" s="9" t="n">
        <v>24</v>
      </c>
      <c r="E543" s="9" t="n">
        <v>22</v>
      </c>
      <c r="F543" s="9" t="n">
        <v>15.22</v>
      </c>
      <c r="G543" s="9" t="n">
        <v>0</v>
      </c>
    </row>
    <row r="544" hidden="1">
      <c r="A544" s="5" t="n">
        <v>46146</v>
      </c>
      <c r="B544" s="6" t="inlineStr">
        <is>
          <t>Alisson de Freitas Silva</t>
        </is>
      </c>
      <c r="C544" s="3" t="inlineStr">
        <is>
          <t>Técnico II</t>
        </is>
      </c>
      <c r="D544" s="3" t="n">
        <v>40</v>
      </c>
      <c r="E544" s="3" t="n">
        <v>38</v>
      </c>
      <c r="F544" s="3" t="n">
        <v>13.5</v>
      </c>
      <c r="G544" s="3" t="n">
        <v>4</v>
      </c>
      <c r="H544" s="3" t="n">
        <v>0</v>
      </c>
      <c r="I544" s="3">
        <f>E544+G544+H544</f>
        <v/>
      </c>
      <c r="J544" s="3">
        <f>ROUND(MIN(IF(C544="Técnico III",35,IF(C544="Técnico II",28,IF(C544="Técnico I",23,IF(C544="JR",20,IF(C544="Estágio",10,0))))),IF(C544="Técnico III",SUMIFS($D:$D,$A:$A,$A544,$B:$B,"&lt;&gt;Patrícia Karla de Sousa Araújo",$B:$B,"&lt;&gt;Lorena Dias de Araujo",$B:$B,"&lt;&gt;Lucas Luiz Romero")*(35/1083),IF(C544="Técnico II",SUMIFS($D:$D,$A:$A,$A544,$B:$B,"&lt;&gt;Patrícia Karla de Sousa Araújo",$B:$B,"&lt;&gt;Lorena Dias de Araujo",$B:$B,"&lt;&gt;Lucas Luiz Romero")*(28/1083),IF(C544="Técnico I",SUMIFS($D:$D,$A:$A,$A544,$B:$B,"&lt;&gt;Patrícia Karla de Sousa Araújo",$B:$B,"&lt;&gt;Lorena Dias de Araujo",$B:$B,"&lt;&gt;Lucas Luiz Romero")*(23/1083),IF(C544="JR",SUMIFS($D:$D,$A:$A,$A544,$B:$B,"&lt;&gt;Patrícia Karla de Sousa Araújo",$B:$B,"&lt;&gt;Lorena Dias de Araujo",$B:$B,"&lt;&gt;Lucas Luiz Romero")*(20/1083),IF(C544="Estágio",SUMIFS($D:$D,$A:$A,$A544,$B:$B,"&lt;&gt;Patrícia Karla de Sousa Araújo",$B:$B,"&lt;&gt;Lorena Dias de Araujo",$B:$B,"&lt;&gt;Lucas Luiz Romero")*(10/1083),0)))))),0)</f>
        <v/>
      </c>
      <c r="K544" s="3">
        <f>I544-J544</f>
        <v/>
      </c>
      <c r="L544" s="3">
        <f>IF(K544&lt;-5,"CRÍTICO",IF(K544&lt;0,"ATENÇÃO",IF(K544&lt;=5,"BOM","EXCELENTE")))</f>
        <v/>
      </c>
      <c r="M544" s="9" t="n">
        <v>36</v>
      </c>
      <c r="N544" s="9" t="n">
        <v>98.94</v>
      </c>
      <c r="O544" s="9" t="n">
        <v>19.61414790996785</v>
      </c>
    </row>
    <row r="545" hidden="1">
      <c r="A545" s="5" t="n">
        <v>46146</v>
      </c>
      <c r="B545" s="6" t="inlineStr">
        <is>
          <t>Brenda de Menezes Silva</t>
        </is>
      </c>
      <c r="C545" s="3" t="inlineStr">
        <is>
          <t>Técnico II</t>
        </is>
      </c>
      <c r="D545" s="3" t="n">
        <v>41</v>
      </c>
      <c r="E545" s="3" t="n">
        <v>38</v>
      </c>
      <c r="F545" s="3" t="n">
        <v>11.44</v>
      </c>
      <c r="G545" s="3" t="n">
        <v>5</v>
      </c>
      <c r="H545" s="3" t="n">
        <v>0</v>
      </c>
      <c r="I545" s="3">
        <f>E545+G545+H545</f>
        <v/>
      </c>
      <c r="J545" s="3">
        <f>ROUND(MIN(IF(C545="Técnico III",35,IF(C545="Técnico II",28,IF(C545="Técnico I",23,IF(C545="JR",20,IF(C545="Estágio",10,0))))),IF(C545="Técnico III",SUMIFS($D:$D,$A:$A,$A545,$B:$B,"&lt;&gt;Patrícia Karla de Sousa Araújo",$B:$B,"&lt;&gt;Lorena Dias de Araujo",$B:$B,"&lt;&gt;Lucas Luiz Romero")*(35/1083),IF(C545="Técnico II",SUMIFS($D:$D,$A:$A,$A545,$B:$B,"&lt;&gt;Patrícia Karla de Sousa Araújo",$B:$B,"&lt;&gt;Lorena Dias de Araujo",$B:$B,"&lt;&gt;Lucas Luiz Romero")*(28/1083),IF(C545="Técnico I",SUMIFS($D:$D,$A:$A,$A545,$B:$B,"&lt;&gt;Patrícia Karla de Sousa Araújo",$B:$B,"&lt;&gt;Lorena Dias de Araujo",$B:$B,"&lt;&gt;Lucas Luiz Romero")*(23/1083),IF(C545="JR",SUMIFS($D:$D,$A:$A,$A545,$B:$B,"&lt;&gt;Patrícia Karla de Sousa Araújo",$B:$B,"&lt;&gt;Lorena Dias de Araujo",$B:$B,"&lt;&gt;Lucas Luiz Romero")*(20/1083),IF(C545="Estágio",SUMIFS($D:$D,$A:$A,$A545,$B:$B,"&lt;&gt;Patrícia Karla de Sousa Araújo",$B:$B,"&lt;&gt;Lorena Dias de Araujo",$B:$B,"&lt;&gt;Lucas Luiz Romero")*(10/1083),0)))))),0)</f>
        <v/>
      </c>
      <c r="K545" s="3">
        <f>I545-J545</f>
        <v/>
      </c>
      <c r="L545" s="3">
        <f>IF(K545&lt;-5,"CRÍTICO",IF(K545&lt;0,"ATENÇÃO",IF(K545&lt;=5,"BOM","EXCELENTE")))</f>
        <v/>
      </c>
      <c r="M545" s="9" t="n">
        <v>43</v>
      </c>
      <c r="N545" s="9" t="n">
        <v>99.13</v>
      </c>
      <c r="O545" s="9" t="n">
        <v>14.7239263803681</v>
      </c>
    </row>
    <row r="546" hidden="1">
      <c r="A546" s="5" t="n">
        <v>46146</v>
      </c>
      <c r="B546" s="6" t="inlineStr">
        <is>
          <t>Carlos Mateus Cassimiro Nunes</t>
        </is>
      </c>
      <c r="C546" s="9" t="inlineStr">
        <is>
          <t>Técnico II</t>
        </is>
      </c>
      <c r="D546" s="3" t="n">
        <v>31</v>
      </c>
      <c r="E546" s="3" t="n">
        <v>29</v>
      </c>
      <c r="F546" s="3" t="n">
        <v>20.3</v>
      </c>
      <c r="G546" s="3" t="n">
        <v>0</v>
      </c>
      <c r="H546" s="3" t="n">
        <v>0</v>
      </c>
      <c r="I546" s="3">
        <f>E546+G546+H546</f>
        <v/>
      </c>
      <c r="J546" s="3">
        <f>ROUND(MIN(IF(C546="Técnico III",35,IF(C546="Técnico II",28,IF(C546="Técnico I",23,IF(C546="JR",20,IF(C546="Estágio",10,0))))),IF(C546="Técnico III",SUMIFS($D:$D,$A:$A,$A546,$B:$B,"&lt;&gt;Patrícia Karla de Sousa Araújo",$B:$B,"&lt;&gt;Lorena Dias de Araujo",$B:$B,"&lt;&gt;Lucas Luiz Romero")*(35/1083),IF(C546="Técnico II",SUMIFS($D:$D,$A:$A,$A546,$B:$B,"&lt;&gt;Patrícia Karla de Sousa Araújo",$B:$B,"&lt;&gt;Lorena Dias de Araujo",$B:$B,"&lt;&gt;Lucas Luiz Romero")*(28/1083),IF(C546="Técnico I",SUMIFS($D:$D,$A:$A,$A546,$B:$B,"&lt;&gt;Patrícia Karla de Sousa Araújo",$B:$B,"&lt;&gt;Lorena Dias de Araujo",$B:$B,"&lt;&gt;Lucas Luiz Romero")*(23/1083),IF(C546="JR",SUMIFS($D:$D,$A:$A,$A546,$B:$B,"&lt;&gt;Patrícia Karla de Sousa Araújo",$B:$B,"&lt;&gt;Lorena Dias de Araujo",$B:$B,"&lt;&gt;Lucas Luiz Romero")*(20/1083),IF(C546="Estágio",SUMIFS($D:$D,$A:$A,$A546,$B:$B,"&lt;&gt;Patrícia Karla de Sousa Araújo",$B:$B,"&lt;&gt;Lorena Dias de Araujo",$B:$B,"&lt;&gt;Lucas Luiz Romero")*(10/1083),0)))))),0)</f>
        <v/>
      </c>
      <c r="K546" s="3">
        <f>I546-J546</f>
        <v/>
      </c>
      <c r="L546" s="3">
        <f>IF(K546&lt;-5,"CRÍTICO",IF(K546&lt;0,"ATENÇÃO",IF(K546&lt;=5,"BOM","EXCELENTE")))</f>
        <v/>
      </c>
      <c r="M546" s="9" t="n">
        <v>28</v>
      </c>
      <c r="N546" s="9" t="n">
        <v>98.8</v>
      </c>
      <c r="O546" s="9" t="n">
        <v>16.89750692520776</v>
      </c>
    </row>
    <row r="547" hidden="1">
      <c r="A547" s="5" t="n">
        <v>46146</v>
      </c>
      <c r="B547" s="6" t="inlineStr">
        <is>
          <t>Damyllis Lorraine de Oliveira Gonçalves</t>
        </is>
      </c>
      <c r="C547" s="3" t="inlineStr">
        <is>
          <t>Técnico II</t>
        </is>
      </c>
      <c r="D547" s="3" t="n">
        <v>37</v>
      </c>
      <c r="E547" s="3" t="n">
        <v>30</v>
      </c>
      <c r="F547" s="3" t="n">
        <v>15.15</v>
      </c>
      <c r="G547" s="3" t="n">
        <v>0</v>
      </c>
      <c r="H547" s="3" t="n">
        <v>0</v>
      </c>
      <c r="I547" s="3" t="n">
        <v>0</v>
      </c>
      <c r="J547" s="3" t="n">
        <v>0</v>
      </c>
      <c r="K547" s="3" t="n">
        <v>0</v>
      </c>
      <c r="L547" s="3">
        <f>IF(K547&lt;-5,"CRÍTICO",IF(K547&lt;0,"ATENÇÃO",IF(K547&lt;=5,"BOM","EXCELENTE")))</f>
        <v/>
      </c>
      <c r="M547" s="9" t="n">
        <v>25</v>
      </c>
      <c r="N547" s="9" t="n">
        <v>98.63</v>
      </c>
      <c r="O547" s="9" t="n">
        <v>18.75</v>
      </c>
    </row>
    <row r="548" hidden="1">
      <c r="A548" s="11" t="n">
        <v>46048</v>
      </c>
      <c r="B548" t="inlineStr">
        <is>
          <t>Gabriel Gomes de Andrade</t>
        </is>
      </c>
      <c r="C548" t="inlineStr">
        <is>
          <t>Técnico I</t>
        </is>
      </c>
      <c r="D548" t="n">
        <v>17</v>
      </c>
      <c r="E548" t="n">
        <v>17</v>
      </c>
      <c r="F548" t="n">
        <v>27.39</v>
      </c>
      <c r="G548" t="n">
        <v>0</v>
      </c>
      <c r="H548" t="n">
        <v>0</v>
      </c>
      <c r="I548" s="3">
        <f>E548+G548+H548</f>
        <v/>
      </c>
      <c r="J548" s="3">
        <f>ROUND(MIN(IF(C548="Técnico III",35,IF(C548="Técnico II",28,IF(C548="Técnico I",23,IF(C548="JR",20,IF(C548="Estágio",10,0))))),IF(C548="Técnico III",SUMIFS($D:$D,$A:$A,$A548,$B:$B,"&lt;&gt;Patrícia Karla de Sousa Araújo",$B:$B,"&lt;&gt;Lorena Dias de Araujo",$B:$B,"&lt;&gt;Lucas Luiz Romero")*(35/1083),IF(C548="Técnico II",SUMIFS($D:$D,$A:$A,$A548,$B:$B,"&lt;&gt;Patrícia Karla de Sousa Araújo",$B:$B,"&lt;&gt;Lorena Dias de Araujo",$B:$B,"&lt;&gt;Lucas Luiz Romero")*(28/1083),IF(C548="Técnico I",SUMIFS($D:$D,$A:$A,$A548,$B:$B,"&lt;&gt;Patrícia Karla de Sousa Araújo",$B:$B,"&lt;&gt;Lorena Dias de Araujo",$B:$B,"&lt;&gt;Lucas Luiz Romero")*(23/1083),IF(C548="JR",SUMIFS($D:$D,$A:$A,$A548,$B:$B,"&lt;&gt;Patrícia Karla de Sousa Araújo",$B:$B,"&lt;&gt;Lorena Dias de Araujo",$B:$B,"&lt;&gt;Lucas Luiz Romero")*(20/1083),IF(C548="Estágio",SUMIFS($D:$D,$A:$A,$A548,$B:$B,"&lt;&gt;Patrícia Karla de Sousa Araújo",$B:$B,"&lt;&gt;Lorena Dias de Araujo",$B:$B,"&lt;&gt;Lucas Luiz Romero")*(10/1083),0)))))),0)</f>
        <v/>
      </c>
      <c r="K548" s="3">
        <f>I548-J548</f>
        <v/>
      </c>
      <c r="L548" s="3">
        <f>IF(K548&lt;-5,"CRÍTICO",IF(K548&lt;0,"ATENÇÃO",IF(K548&lt;=5,"BOM","EXCELENTE")))</f>
        <v/>
      </c>
      <c r="M548" t="n">
        <v>17</v>
      </c>
      <c r="N548" t="n">
        <v>98.59</v>
      </c>
      <c r="O548" t="n">
        <v>31.8936877076412</v>
      </c>
    </row>
    <row r="549" hidden="1">
      <c r="A549" s="11" t="n">
        <v>46049</v>
      </c>
      <c r="B549" t="inlineStr">
        <is>
          <t>Gabriel Gomes de Andrade</t>
        </is>
      </c>
      <c r="C549" t="inlineStr">
        <is>
          <t>Técnico I</t>
        </is>
      </c>
      <c r="D549" t="n">
        <v>20</v>
      </c>
      <c r="E549" t="n">
        <v>20</v>
      </c>
      <c r="F549" t="n">
        <v>30.07</v>
      </c>
      <c r="G549" t="n">
        <v>0</v>
      </c>
      <c r="H549" t="n">
        <v>0</v>
      </c>
      <c r="I549" s="3">
        <f>E549+G549+H549</f>
        <v/>
      </c>
      <c r="J549" s="3">
        <f>ROUND(MIN(IF(C549="Técnico III",35,IF(C549="Técnico II",28,IF(C549="Técnico I",23,IF(C549="JR",20,IF(C549="Estágio",10,0))))),IF(C549="Técnico III",SUMIFS($D:$D,$A:$A,$A549,$B:$B,"&lt;&gt;Patrícia Karla de Sousa Araújo",$B:$B,"&lt;&gt;Lorena Dias de Araujo",$B:$B,"&lt;&gt;Lucas Luiz Romero")*(35/1083),IF(C549="Técnico II",SUMIFS($D:$D,$A:$A,$A549,$B:$B,"&lt;&gt;Patrícia Karla de Sousa Araújo",$B:$B,"&lt;&gt;Lorena Dias de Araujo",$B:$B,"&lt;&gt;Lucas Luiz Romero")*(28/1083),IF(C549="Técnico I",SUMIFS($D:$D,$A:$A,$A549,$B:$B,"&lt;&gt;Patrícia Karla de Sousa Araújo",$B:$B,"&lt;&gt;Lorena Dias de Araujo",$B:$B,"&lt;&gt;Lucas Luiz Romero")*(23/1083),IF(C549="JR",SUMIFS($D:$D,$A:$A,$A549,$B:$B,"&lt;&gt;Patrícia Karla de Sousa Araújo",$B:$B,"&lt;&gt;Lorena Dias de Araujo",$B:$B,"&lt;&gt;Lucas Luiz Romero")*(20/1083),IF(C549="Estágio",SUMIFS($D:$D,$A:$A,$A549,$B:$B,"&lt;&gt;Patrícia Karla de Sousa Araújo",$B:$B,"&lt;&gt;Lorena Dias de Araujo",$B:$B,"&lt;&gt;Lucas Luiz Romero")*(10/1083),0)))))),0)</f>
        <v/>
      </c>
      <c r="K549" s="3">
        <f>I549-J549</f>
        <v/>
      </c>
      <c r="L549" s="3">
        <f>IF(K549&lt;-5,"CRÍTICO",IF(K549&lt;0,"ATENÇÃO",IF(K549&lt;=5,"BOM","EXCELENTE")))</f>
        <v/>
      </c>
      <c r="M549" t="n">
        <v>20</v>
      </c>
      <c r="N549" t="n">
        <v>98.72</v>
      </c>
      <c r="O549" t="n">
        <v>31.77570093457944</v>
      </c>
    </row>
    <row r="550" hidden="1">
      <c r="A550" s="5" t="n">
        <v>46146</v>
      </c>
      <c r="B550" s="6" t="inlineStr">
        <is>
          <t>Emilly Kamilly Medeiros Miranda</t>
        </is>
      </c>
      <c r="C550" s="3" t="inlineStr">
        <is>
          <t>Técnico II</t>
        </is>
      </c>
      <c r="D550" s="3" t="n">
        <v>31</v>
      </c>
      <c r="E550" s="3" t="n">
        <v>28</v>
      </c>
      <c r="F550" s="3" t="n">
        <v>15.09</v>
      </c>
      <c r="G550" s="3" t="n">
        <v>7</v>
      </c>
      <c r="H550" s="3" t="n">
        <v>0</v>
      </c>
      <c r="I550" s="3">
        <f>E550+G550+H550</f>
        <v/>
      </c>
      <c r="J550" s="3">
        <f>ROUND(MIN(IF(C550="Técnico III",35,IF(C550="Técnico II",28,IF(C550="Técnico I",23,IF(C550="JR",20,IF(C550="Estágio",10,0))))),IF(C550="Técnico III",SUMIFS($D:$D,$A:$A,$A550,$B:$B,"&lt;&gt;Patrícia Karla de Sousa Araújo",$B:$B,"&lt;&gt;Lorena Dias de Araujo",$B:$B,"&lt;&gt;Lucas Luiz Romero")*(35/1083),IF(C550="Técnico II",SUMIFS($D:$D,$A:$A,$A550,$B:$B,"&lt;&gt;Patrícia Karla de Sousa Araújo",$B:$B,"&lt;&gt;Lorena Dias de Araujo",$B:$B,"&lt;&gt;Lucas Luiz Romero")*(28/1083),IF(C550="Técnico I",SUMIFS($D:$D,$A:$A,$A550,$B:$B,"&lt;&gt;Patrícia Karla de Sousa Araújo",$B:$B,"&lt;&gt;Lorena Dias de Araujo",$B:$B,"&lt;&gt;Lucas Luiz Romero")*(23/1083),IF(C550="JR",SUMIFS($D:$D,$A:$A,$A550,$B:$B,"&lt;&gt;Patrícia Karla de Sousa Araújo",$B:$B,"&lt;&gt;Lorena Dias de Araujo",$B:$B,"&lt;&gt;Lucas Luiz Romero")*(20/1083),IF(C550="Estágio",SUMIFS($D:$D,$A:$A,$A550,$B:$B,"&lt;&gt;Patrícia Karla de Sousa Araújo",$B:$B,"&lt;&gt;Lorena Dias de Araujo",$B:$B,"&lt;&gt;Lucas Luiz Romero")*(10/1083),0)))))),0)</f>
        <v/>
      </c>
      <c r="K550" s="3">
        <f>I550-J550</f>
        <v/>
      </c>
      <c r="L550" s="3">
        <f>IF(K550&lt;-5,"CRÍTICO",IF(K550&lt;0,"ATENÇÃO",IF(K550&lt;=5,"BOM","EXCELENTE")))</f>
        <v/>
      </c>
      <c r="M550" s="9" t="n">
        <v>29</v>
      </c>
      <c r="N550" s="9" t="n">
        <v>100</v>
      </c>
      <c r="O550" s="9" t="n">
        <v>13.8121546961326</v>
      </c>
    </row>
    <row r="551" hidden="1">
      <c r="A551" s="5" t="n">
        <v>46146</v>
      </c>
      <c r="B551" s="6" t="inlineStr">
        <is>
          <t>Francilene Ferreira de Jesus</t>
        </is>
      </c>
      <c r="C551" s="3" t="inlineStr">
        <is>
          <t>Técnico II</t>
        </is>
      </c>
      <c r="D551" s="3" t="n">
        <v>36</v>
      </c>
      <c r="E551" s="3" t="n">
        <v>33</v>
      </c>
      <c r="F551" s="3" t="n">
        <v>18.37</v>
      </c>
      <c r="G551" s="3" t="n">
        <v>0</v>
      </c>
      <c r="H551" s="3" t="n">
        <v>0</v>
      </c>
      <c r="I551" s="3">
        <f>E551+G551+H551</f>
        <v/>
      </c>
      <c r="J551" s="3">
        <f>ROUND(MIN(IF(C551="Técnico III",35,IF(C551="Técnico II",28,IF(C551="Técnico I",23,IF(C551="JR",20,IF(C551="Estágio",10,0))))),IF(C551="Técnico III",SUMIFS($D:$D,$A:$A,$A551,$B:$B,"&lt;&gt;Patrícia Karla de Sousa Araújo",$B:$B,"&lt;&gt;Lorena Dias de Araujo",$B:$B,"&lt;&gt;Lucas Luiz Romero")*(35/1083),IF(C551="Técnico II",SUMIFS($D:$D,$A:$A,$A551,$B:$B,"&lt;&gt;Patrícia Karla de Sousa Araújo",$B:$B,"&lt;&gt;Lorena Dias de Araujo",$B:$B,"&lt;&gt;Lucas Luiz Romero")*(28/1083),IF(C551="Técnico I",SUMIFS($D:$D,$A:$A,$A551,$B:$B,"&lt;&gt;Patrícia Karla de Sousa Araújo",$B:$B,"&lt;&gt;Lorena Dias de Araujo",$B:$B,"&lt;&gt;Lucas Luiz Romero")*(23/1083),IF(C551="JR",SUMIFS($D:$D,$A:$A,$A551,$B:$B,"&lt;&gt;Patrícia Karla de Sousa Araújo",$B:$B,"&lt;&gt;Lorena Dias de Araujo",$B:$B,"&lt;&gt;Lucas Luiz Romero")*(20/1083),IF(C551="Estágio",SUMIFS($D:$D,$A:$A,$A551,$B:$B,"&lt;&gt;Patrícia Karla de Sousa Araújo",$B:$B,"&lt;&gt;Lorena Dias de Araujo",$B:$B,"&lt;&gt;Lucas Luiz Romero")*(10/1083),0)))))),0)</f>
        <v/>
      </c>
      <c r="K551" s="3">
        <f>I551-J551</f>
        <v/>
      </c>
      <c r="L551" s="3">
        <f>IF(K551&lt;-5,"CRÍTICO",IF(K551&lt;0,"ATENÇÃO",IF(K551&lt;=5,"BOM","EXCELENTE")))</f>
        <v/>
      </c>
      <c r="M551" s="9" t="n">
        <v>29</v>
      </c>
      <c r="N551" s="9" t="n">
        <v>100</v>
      </c>
      <c r="O551" s="9" t="n">
        <v>17.24137931034483</v>
      </c>
    </row>
    <row r="552" hidden="1">
      <c r="A552" s="5" t="n">
        <v>46146</v>
      </c>
      <c r="B552" s="6" t="inlineStr">
        <is>
          <t>Isabella Borges de Oliveira</t>
        </is>
      </c>
      <c r="C552" s="9" t="inlineStr">
        <is>
          <t>Técnico II</t>
        </is>
      </c>
      <c r="D552" s="3" t="n">
        <v>36</v>
      </c>
      <c r="E552" s="3" t="n">
        <v>34</v>
      </c>
      <c r="F552" s="3" t="n">
        <v>14.11</v>
      </c>
      <c r="G552" s="3" t="n">
        <v>0</v>
      </c>
      <c r="H552" s="3" t="n">
        <v>0</v>
      </c>
      <c r="I552" s="3">
        <f>E552+G552+H552</f>
        <v/>
      </c>
      <c r="J552" s="3">
        <f>ROUND(MIN(IF(C552="Técnico III",35,IF(C552="Técnico II",28,IF(C552="Técnico I",23,IF(C552="JR",20,IF(C552="Estágio",10,0))))),IF(C552="Técnico III",SUMIFS($D:$D,$A:$A,$A552,$B:$B,"&lt;&gt;Patrícia Karla de Sousa Araújo",$B:$B,"&lt;&gt;Lorena Dias de Araujo",$B:$B,"&lt;&gt;Lucas Luiz Romero")*(35/1083),IF(C552="Técnico II",SUMIFS($D:$D,$A:$A,$A552,$B:$B,"&lt;&gt;Patrícia Karla de Sousa Araújo",$B:$B,"&lt;&gt;Lorena Dias de Araujo",$B:$B,"&lt;&gt;Lucas Luiz Romero")*(28/1083),IF(C552="Técnico I",SUMIFS($D:$D,$A:$A,$A552,$B:$B,"&lt;&gt;Patrícia Karla de Sousa Araújo",$B:$B,"&lt;&gt;Lorena Dias de Araujo",$B:$B,"&lt;&gt;Lucas Luiz Romero")*(23/1083),IF(C552="JR",SUMIFS($D:$D,$A:$A,$A552,$B:$B,"&lt;&gt;Patrícia Karla de Sousa Araújo",$B:$B,"&lt;&gt;Lorena Dias de Araujo",$B:$B,"&lt;&gt;Lucas Luiz Romero")*(20/1083),IF(C552="Estágio",SUMIFS($D:$D,$A:$A,$A552,$B:$B,"&lt;&gt;Patrícia Karla de Sousa Araújo",$B:$B,"&lt;&gt;Lorena Dias de Araujo",$B:$B,"&lt;&gt;Lucas Luiz Romero")*(10/1083),0)))))),0)</f>
        <v/>
      </c>
      <c r="K552" s="3">
        <f>I552-J552</f>
        <v/>
      </c>
      <c r="L552" s="3">
        <f>IF(K552&lt;-5,"CRÍTICO",IF(K552&lt;0,"ATENÇÃO",IF(K552&lt;=5,"BOM","EXCELENTE")))</f>
        <v/>
      </c>
      <c r="M552" s="9" t="n">
        <v>33</v>
      </c>
      <c r="N552" s="9" t="n">
        <v>98.63</v>
      </c>
      <c r="O552" s="9" t="n">
        <v>15.75757575757576</v>
      </c>
    </row>
    <row r="553" hidden="1">
      <c r="A553" s="5" t="n">
        <v>46146</v>
      </c>
      <c r="B553" s="6" t="inlineStr">
        <is>
          <t>Jessica Faria da Silveira</t>
        </is>
      </c>
      <c r="C553" s="3" t="inlineStr">
        <is>
          <t>Técnico II</t>
        </is>
      </c>
      <c r="D553" s="3" t="n">
        <v>32</v>
      </c>
      <c r="E553" s="3" t="n">
        <v>28</v>
      </c>
      <c r="F553" s="3" t="n">
        <v>14.15</v>
      </c>
      <c r="G553" s="3" t="n">
        <v>4</v>
      </c>
      <c r="H553" s="3" t="n">
        <v>0</v>
      </c>
      <c r="I553" s="3">
        <f>E553+G553+H553</f>
        <v/>
      </c>
      <c r="J553" s="3">
        <f>ROUND(MIN(IF(C553="Técnico III",35,IF(C553="Técnico II",28,IF(C553="Técnico I",23,IF(C553="JR",20,IF(C553="Estágio",10,0))))),IF(C553="Técnico III",SUMIFS($D:$D,$A:$A,$A553,$B:$B,"&lt;&gt;Patrícia Karla de Sousa Araújo",$B:$B,"&lt;&gt;Lorena Dias de Araujo",$B:$B,"&lt;&gt;Lucas Luiz Romero")*(35/1083),IF(C553="Técnico II",SUMIFS($D:$D,$A:$A,$A553,$B:$B,"&lt;&gt;Patrícia Karla de Sousa Araújo",$B:$B,"&lt;&gt;Lorena Dias de Araujo",$B:$B,"&lt;&gt;Lucas Luiz Romero")*(28/1083),IF(C553="Técnico I",SUMIFS($D:$D,$A:$A,$A553,$B:$B,"&lt;&gt;Patrícia Karla de Sousa Araújo",$B:$B,"&lt;&gt;Lorena Dias de Araujo",$B:$B,"&lt;&gt;Lucas Luiz Romero")*(23/1083),IF(C553="JR",SUMIFS($D:$D,$A:$A,$A553,$B:$B,"&lt;&gt;Patrícia Karla de Sousa Araújo",$B:$B,"&lt;&gt;Lorena Dias de Araujo",$B:$B,"&lt;&gt;Lucas Luiz Romero")*(20/1083),IF(C553="Estágio",SUMIFS($D:$D,$A:$A,$A553,$B:$B,"&lt;&gt;Patrícia Karla de Sousa Araújo",$B:$B,"&lt;&gt;Lorena Dias de Araujo",$B:$B,"&lt;&gt;Lucas Luiz Romero")*(10/1083),0)))))),0)</f>
        <v/>
      </c>
      <c r="K553" s="3">
        <f>I553-J553</f>
        <v/>
      </c>
      <c r="L553" s="3">
        <f>IF(K553&lt;-5,"CRÍTICO",IF(K553&lt;0,"ATENÇÃO",IF(K553&lt;=5,"BOM","EXCELENTE")))</f>
        <v/>
      </c>
      <c r="M553" s="9" t="n">
        <v>31</v>
      </c>
      <c r="N553" s="9" t="n">
        <v>98.61</v>
      </c>
      <c r="O553" s="9" t="n">
        <v>16.97530864197531</v>
      </c>
    </row>
    <row r="554" hidden="1">
      <c r="A554" s="5" t="n">
        <v>46146</v>
      </c>
      <c r="B554" s="6" t="inlineStr">
        <is>
          <t>Lizandra Gomes Duarte</t>
        </is>
      </c>
      <c r="C554" s="3" t="inlineStr">
        <is>
          <t>Técnico II</t>
        </is>
      </c>
      <c r="D554" s="3" t="n">
        <v>29</v>
      </c>
      <c r="E554" s="3" t="n">
        <v>26</v>
      </c>
      <c r="F554" s="3" t="n">
        <v>15.47</v>
      </c>
      <c r="G554" s="3" t="n">
        <v>0</v>
      </c>
      <c r="H554" s="3" t="n">
        <v>0</v>
      </c>
      <c r="I554" s="3">
        <f>E554+G554+H554</f>
        <v/>
      </c>
      <c r="J554" s="3">
        <f>ROUND(MIN(IF(C554="Técnico III",35,IF(C554="Técnico II",28,IF(C554="Técnico I",23,IF(C554="JR",20,IF(C554="Estágio",10,0))))),IF(C554="Técnico III",SUMIFS($D:$D,$A:$A,$A554,$B:$B,"&lt;&gt;Patrícia Karla de Sousa Araújo",$B:$B,"&lt;&gt;Lorena Dias de Araujo",$B:$B,"&lt;&gt;Lucas Luiz Romero")*(35/1083),IF(C554="Técnico II",SUMIFS($D:$D,$A:$A,$A554,$B:$B,"&lt;&gt;Patrícia Karla de Sousa Araújo",$B:$B,"&lt;&gt;Lorena Dias de Araujo",$B:$B,"&lt;&gt;Lucas Luiz Romero")*(28/1083),IF(C554="Técnico I",SUMIFS($D:$D,$A:$A,$A554,$B:$B,"&lt;&gt;Patrícia Karla de Sousa Araújo",$B:$B,"&lt;&gt;Lorena Dias de Araujo",$B:$B,"&lt;&gt;Lucas Luiz Romero")*(23/1083),IF(C554="JR",SUMIFS($D:$D,$A:$A,$A554,$B:$B,"&lt;&gt;Patrícia Karla de Sousa Araújo",$B:$B,"&lt;&gt;Lorena Dias de Araujo",$B:$B,"&lt;&gt;Lucas Luiz Romero")*(20/1083),IF(C554="Estágio",SUMIFS($D:$D,$A:$A,$A554,$B:$B,"&lt;&gt;Patrícia Karla de Sousa Araújo",$B:$B,"&lt;&gt;Lorena Dias de Araujo",$B:$B,"&lt;&gt;Lucas Luiz Romero")*(10/1083),0)))))),0)</f>
        <v/>
      </c>
      <c r="K554" s="3">
        <f>I554-J554</f>
        <v/>
      </c>
      <c r="L554" s="3">
        <f>IF(K554&lt;-5,"CRÍTICO",IF(K554&lt;0,"ATENÇÃO",IF(K554&lt;=5,"BOM","EXCELENTE")))</f>
        <v/>
      </c>
      <c r="M554" s="9" t="n">
        <v>15</v>
      </c>
      <c r="N554" s="9" t="n">
        <v>98.61</v>
      </c>
      <c r="O554" s="9" t="n">
        <v>16.86746987951807</v>
      </c>
    </row>
    <row r="555" hidden="1">
      <c r="A555" s="5" t="n">
        <v>46146</v>
      </c>
      <c r="B555" s="6" t="inlineStr">
        <is>
          <t>Lorena Dias de Araujo</t>
        </is>
      </c>
      <c r="C555" s="3" t="inlineStr">
        <is>
          <t>Técnico II</t>
        </is>
      </c>
      <c r="D555" s="3" t="n">
        <v>41</v>
      </c>
      <c r="E555" s="3" t="n">
        <v>40</v>
      </c>
      <c r="F555" s="3" t="n">
        <v>15.1</v>
      </c>
      <c r="G555" s="3" t="n">
        <v>0</v>
      </c>
      <c r="H555" s="3" t="n">
        <v>0</v>
      </c>
      <c r="I555" s="3" t="n">
        <v>0</v>
      </c>
      <c r="J555" s="3" t="n">
        <v>0</v>
      </c>
      <c r="K555" s="3" t="n">
        <v>0</v>
      </c>
      <c r="L555" s="3">
        <f>IF(K555&lt;-5,"CRÍTICO",IF(K555&lt;0,"ATENÇÃO",IF(K555&lt;=5,"BOM","EXCELENTE")))</f>
        <v/>
      </c>
      <c r="M555" s="9" t="n">
        <v>31</v>
      </c>
      <c r="N555" s="9" t="n">
        <v>100</v>
      </c>
      <c r="O555" s="9" t="n">
        <v>20.82018927444795</v>
      </c>
    </row>
    <row r="556" hidden="1">
      <c r="A556" s="5" t="n">
        <v>46146</v>
      </c>
      <c r="B556" s="6" t="inlineStr">
        <is>
          <t>Patrícia Karla de Sousa Araújo</t>
        </is>
      </c>
      <c r="C556" s="3" t="inlineStr">
        <is>
          <t>Técnico II</t>
        </is>
      </c>
      <c r="D556" s="3" t="n">
        <v>20</v>
      </c>
      <c r="E556" s="3" t="n">
        <v>16</v>
      </c>
      <c r="F556" s="3" t="n">
        <v>16.51</v>
      </c>
      <c r="G556" s="3" t="n">
        <v>0</v>
      </c>
      <c r="H556" s="3" t="n">
        <v>0</v>
      </c>
      <c r="I556" s="3">
        <f>E556+G556+H556</f>
        <v/>
      </c>
      <c r="J556" s="3">
        <f>ROUND(MIN(IF(C556="Técnico III",35,IF(C556="Técnico II",28,IF(C556="Técnico I",23,IF(C556="JR",20,IF(C556="Estágio",10,0))))),IF(C556="Técnico III",SUMIFS($D:$D,$A:$A,$A556,$B:$B,"&lt;&gt;Patrícia Karla de Sousa Araújo",$B:$B,"&lt;&gt;Lorena Dias de Araujo",$B:$B,"&lt;&gt;Lucas Luiz Romero")*(35/1083),IF(C556="Técnico II",SUMIFS($D:$D,$A:$A,$A556,$B:$B,"&lt;&gt;Patrícia Karla de Sousa Araújo",$B:$B,"&lt;&gt;Lorena Dias de Araujo",$B:$B,"&lt;&gt;Lucas Luiz Romero")*(28/1083),IF(C556="Técnico I",SUMIFS($D:$D,$A:$A,$A556,$B:$B,"&lt;&gt;Patrícia Karla de Sousa Araújo",$B:$B,"&lt;&gt;Lorena Dias de Araujo",$B:$B,"&lt;&gt;Lucas Luiz Romero")*(23/1083),IF(C556="JR",SUMIFS($D:$D,$A:$A,$A556,$B:$B,"&lt;&gt;Patrícia Karla de Sousa Araújo",$B:$B,"&lt;&gt;Lorena Dias de Araujo",$B:$B,"&lt;&gt;Lucas Luiz Romero")*(20/1083),IF(C556="Estágio",SUMIFS($D:$D,$A:$A,$A556,$B:$B,"&lt;&gt;Patrícia Karla de Sousa Araújo",$B:$B,"&lt;&gt;Lorena Dias de Araujo",$B:$B,"&lt;&gt;Lucas Luiz Romero")*(10/1083),0)))))),0)</f>
        <v/>
      </c>
      <c r="K556" s="3">
        <f>I556-J556</f>
        <v/>
      </c>
      <c r="L556" s="3">
        <f>IF(K556&lt;-5,"CRÍTICO",IF(K556&lt;0,"ATENÇÃO",IF(K556&lt;=5,"BOM","EXCELENTE")))</f>
        <v/>
      </c>
      <c r="M556" s="9" t="n">
        <v>14</v>
      </c>
      <c r="N556" s="9" t="n">
        <v>100</v>
      </c>
      <c r="O556" s="9" t="n">
        <v>16.89497716894977</v>
      </c>
    </row>
    <row r="557" hidden="1">
      <c r="A557" s="5" t="n">
        <v>46147</v>
      </c>
      <c r="B557" s="6" t="inlineStr">
        <is>
          <t>Alisson de Freitas Silva</t>
        </is>
      </c>
      <c r="C557" s="3" t="inlineStr">
        <is>
          <t>Técnico II</t>
        </is>
      </c>
      <c r="D557" s="3" t="n">
        <v>42</v>
      </c>
      <c r="E557" s="3" t="n">
        <v>37</v>
      </c>
      <c r="F557" s="3" t="n">
        <v>12.29</v>
      </c>
      <c r="G557" s="3" t="n">
        <v>4</v>
      </c>
      <c r="H557" s="3" t="n">
        <v>0</v>
      </c>
      <c r="I557" s="3">
        <f>E557+G557+H557</f>
        <v/>
      </c>
      <c r="J557" s="3">
        <f>ROUND(MIN(IF(C557="Técnico III",35,IF(C557="Técnico II",28,IF(C557="Técnico I",23,IF(C557="JR",20,IF(C557="Estágio",10,0))))),IF(C557="Técnico III",SUMIFS($D:$D,$A:$A,$A557,$B:$B,"&lt;&gt;Patrícia Karla de Sousa Araújo",$B:$B,"&lt;&gt;Lorena Dias de Araujo",$B:$B,"&lt;&gt;Lucas Luiz Romero")*(35/1083),IF(C557="Técnico II",SUMIFS($D:$D,$A:$A,$A557,$B:$B,"&lt;&gt;Patrícia Karla de Sousa Araújo",$B:$B,"&lt;&gt;Lorena Dias de Araujo",$B:$B,"&lt;&gt;Lucas Luiz Romero")*(28/1083),IF(C557="Técnico I",SUMIFS($D:$D,$A:$A,$A557,$B:$B,"&lt;&gt;Patrícia Karla de Sousa Araújo",$B:$B,"&lt;&gt;Lorena Dias de Araujo",$B:$B,"&lt;&gt;Lucas Luiz Romero")*(23/1083),IF(C557="JR",SUMIFS($D:$D,$A:$A,$A557,$B:$B,"&lt;&gt;Patrícia Karla de Sousa Araújo",$B:$B,"&lt;&gt;Lorena Dias de Araujo",$B:$B,"&lt;&gt;Lucas Luiz Romero")*(20/1083),IF(C557="Estágio",SUMIFS($D:$D,$A:$A,$A557,$B:$B,"&lt;&gt;Patrícia Karla de Sousa Araújo",$B:$B,"&lt;&gt;Lorena Dias de Araujo",$B:$B,"&lt;&gt;Lucas Luiz Romero")*(10/1083),0)))))),0)</f>
        <v/>
      </c>
      <c r="K557" s="3">
        <f>I557-J557</f>
        <v/>
      </c>
      <c r="L557" s="3">
        <f>IF(K557&lt;-5,"CRÍTICO",IF(K557&lt;0,"ATENÇÃO",IF(K557&lt;=5,"BOM","EXCELENTE")))</f>
        <v/>
      </c>
      <c r="M557" s="3" t="n">
        <v>32</v>
      </c>
      <c r="N557" s="3" t="n">
        <v>98.94</v>
      </c>
      <c r="O557" s="3" t="n">
        <v>19.61414790996785</v>
      </c>
    </row>
    <row r="558" hidden="1">
      <c r="A558" s="5" t="n">
        <v>46147</v>
      </c>
      <c r="B558" s="6" t="inlineStr">
        <is>
          <t>Brenda de Menezes Silva</t>
        </is>
      </c>
      <c r="C558" s="3" t="inlineStr">
        <is>
          <t>Técnico II</t>
        </is>
      </c>
      <c r="D558" s="3" t="n">
        <v>45</v>
      </c>
      <c r="E558" s="3" t="n">
        <v>37</v>
      </c>
      <c r="F558" s="3" t="n">
        <v>13.52</v>
      </c>
      <c r="G558" s="3" t="n">
        <v>6</v>
      </c>
      <c r="H558" s="3" t="n">
        <v>0</v>
      </c>
      <c r="I558" s="3">
        <f>E558+G558+H558</f>
        <v/>
      </c>
      <c r="J558" s="3">
        <f>ROUND(MIN(IF(C558="Técnico III",35,IF(C558="Técnico II",28,IF(C558="Técnico I",23,IF(C558="JR",20,IF(C558="Estágio",10,0))))),IF(C558="Técnico III",SUMIFS($D:$D,$A:$A,$A558,$B:$B,"&lt;&gt;Patrícia Karla de Sousa Araújo",$B:$B,"&lt;&gt;Lorena Dias de Araujo",$B:$B,"&lt;&gt;Lucas Luiz Romero")*(35/1083),IF(C558="Técnico II",SUMIFS($D:$D,$A:$A,$A558,$B:$B,"&lt;&gt;Patrícia Karla de Sousa Araújo",$B:$B,"&lt;&gt;Lorena Dias de Araujo",$B:$B,"&lt;&gt;Lucas Luiz Romero")*(28/1083),IF(C558="Técnico I",SUMIFS($D:$D,$A:$A,$A558,$B:$B,"&lt;&gt;Patrícia Karla de Sousa Araújo",$B:$B,"&lt;&gt;Lorena Dias de Araujo",$B:$B,"&lt;&gt;Lucas Luiz Romero")*(23/1083),IF(C558="JR",SUMIFS($D:$D,$A:$A,$A558,$B:$B,"&lt;&gt;Patrícia Karla de Sousa Araújo",$B:$B,"&lt;&gt;Lorena Dias de Araujo",$B:$B,"&lt;&gt;Lucas Luiz Romero")*(20/1083),IF(C558="Estágio",SUMIFS($D:$D,$A:$A,$A558,$B:$B,"&lt;&gt;Patrícia Karla de Sousa Araújo",$B:$B,"&lt;&gt;Lorena Dias de Araujo",$B:$B,"&lt;&gt;Lucas Luiz Romero")*(10/1083),0)))))),0)</f>
        <v/>
      </c>
      <c r="K558" s="3">
        <f>I558-J558</f>
        <v/>
      </c>
      <c r="L558" s="3">
        <f>IF(K558&lt;-5,"CRÍTICO",IF(K558&lt;0,"ATENÇÃO",IF(K558&lt;=5,"BOM","EXCELENTE")))</f>
        <v/>
      </c>
      <c r="M558" s="3" t="n">
        <v>43</v>
      </c>
      <c r="N558" s="3" t="n">
        <v>99.13</v>
      </c>
      <c r="O558" s="3" t="n">
        <v>14.7239263803681</v>
      </c>
    </row>
    <row r="559" hidden="1">
      <c r="A559" s="5" t="n">
        <v>46147</v>
      </c>
      <c r="B559" s="6" t="inlineStr">
        <is>
          <t>Carlos Mateus Cassimiro Nunes</t>
        </is>
      </c>
      <c r="C559" s="9" t="inlineStr">
        <is>
          <t>Técnico II</t>
        </is>
      </c>
      <c r="D559" s="3" t="n">
        <v>19</v>
      </c>
      <c r="E559" s="3" t="n">
        <v>18</v>
      </c>
      <c r="F559" s="3" t="n">
        <v>26.46</v>
      </c>
      <c r="G559" s="3" t="n">
        <v>9</v>
      </c>
      <c r="H559" s="3" t="n">
        <v>0</v>
      </c>
      <c r="I559" s="3">
        <f>E559+G559+H559</f>
        <v/>
      </c>
      <c r="J559" s="3">
        <f>ROUND(MIN(IF(C559="Técnico III",35,IF(C559="Técnico II",28,IF(C559="Técnico I",23,IF(C559="JR",20,IF(C559="Estágio",10,0))))),IF(C559="Técnico III",SUMIFS($D:$D,$A:$A,$A559,$B:$B,"&lt;&gt;Patrícia Karla de Sousa Araújo",$B:$B,"&lt;&gt;Lorena Dias de Araujo",$B:$B,"&lt;&gt;Lucas Luiz Romero")*(35/1083),IF(C559="Técnico II",SUMIFS($D:$D,$A:$A,$A559,$B:$B,"&lt;&gt;Patrícia Karla de Sousa Araújo",$B:$B,"&lt;&gt;Lorena Dias de Araujo",$B:$B,"&lt;&gt;Lucas Luiz Romero")*(28/1083),IF(C559="Técnico I",SUMIFS($D:$D,$A:$A,$A559,$B:$B,"&lt;&gt;Patrícia Karla de Sousa Araújo",$B:$B,"&lt;&gt;Lorena Dias de Araujo",$B:$B,"&lt;&gt;Lucas Luiz Romero")*(23/1083),IF(C559="JR",SUMIFS($D:$D,$A:$A,$A559,$B:$B,"&lt;&gt;Patrícia Karla de Sousa Araújo",$B:$B,"&lt;&gt;Lorena Dias de Araujo",$B:$B,"&lt;&gt;Lucas Luiz Romero")*(20/1083),IF(C559="Estágio",SUMIFS($D:$D,$A:$A,$A559,$B:$B,"&lt;&gt;Patrícia Karla de Sousa Araújo",$B:$B,"&lt;&gt;Lorena Dias de Araujo",$B:$B,"&lt;&gt;Lucas Luiz Romero")*(10/1083),0)))))),0)</f>
        <v/>
      </c>
      <c r="K559" s="3">
        <f>I559-J559</f>
        <v/>
      </c>
      <c r="L559" s="3">
        <f>IF(K559&lt;-5,"CRÍTICO",IF(K559&lt;0,"ATENÇÃO",IF(K559&lt;=5,"BOM","EXCELENTE")))</f>
        <v/>
      </c>
      <c r="M559" s="3" t="n">
        <v>27</v>
      </c>
      <c r="N559" s="3" t="n">
        <v>98.8</v>
      </c>
      <c r="O559" s="3" t="n">
        <v>16.89750692520776</v>
      </c>
    </row>
    <row r="560" hidden="1">
      <c r="A560" s="5" t="n">
        <v>46147</v>
      </c>
      <c r="B560" s="6" t="inlineStr">
        <is>
          <t>Damyllis Lorraine de Oliveira Gonçalves</t>
        </is>
      </c>
      <c r="C560" s="3" t="inlineStr">
        <is>
          <t>Técnico II</t>
        </is>
      </c>
      <c r="D560" s="3" t="n">
        <v>23</v>
      </c>
      <c r="E560" s="3" t="n">
        <v>21</v>
      </c>
      <c r="F560" s="3" t="n">
        <v>19.19</v>
      </c>
      <c r="G560" s="3" t="n">
        <v>0</v>
      </c>
      <c r="H560" s="3" t="n">
        <v>0</v>
      </c>
      <c r="I560" s="3" t="n">
        <v>0</v>
      </c>
      <c r="J560" s="3" t="n">
        <v>0</v>
      </c>
      <c r="K560" s="3" t="n">
        <v>0</v>
      </c>
      <c r="L560" s="3">
        <f>IF(K560&lt;-5,"CRÍTICO",IF(K560&lt;0,"ATENÇÃO",IF(K560&lt;=5,"BOM","EXCELENTE")))</f>
        <v/>
      </c>
      <c r="M560" s="3" t="n">
        <v>26</v>
      </c>
      <c r="N560" s="3" t="n">
        <v>98.63</v>
      </c>
      <c r="O560" s="3" t="n">
        <v>18.75</v>
      </c>
    </row>
    <row r="561" hidden="1">
      <c r="A561" s="5" t="n">
        <v>46147</v>
      </c>
      <c r="B561" s="6" t="inlineStr">
        <is>
          <t>Emilly Kamilly Medeiros Miranda</t>
        </is>
      </c>
      <c r="C561" s="3" t="inlineStr">
        <is>
          <t>Técnico II</t>
        </is>
      </c>
      <c r="D561" s="3" t="n">
        <v>34</v>
      </c>
      <c r="E561" s="3" t="n">
        <v>31</v>
      </c>
      <c r="F561" s="3" t="n">
        <v>14.15</v>
      </c>
      <c r="G561" s="3" t="n">
        <v>3</v>
      </c>
      <c r="H561" s="3" t="n">
        <v>0</v>
      </c>
      <c r="I561" s="3">
        <f>E561+G561+H561</f>
        <v/>
      </c>
      <c r="J561" s="3">
        <f>ROUND(MIN(IF(C561="Técnico III",35,IF(C561="Técnico II",28,IF(C561="Técnico I",23,IF(C561="JR",20,IF(C561="Estágio",10,0))))),IF(C561="Técnico III",SUMIFS($D:$D,$A:$A,$A561,$B:$B,"&lt;&gt;Patrícia Karla de Sousa Araújo",$B:$B,"&lt;&gt;Lorena Dias de Araujo",$B:$B,"&lt;&gt;Lucas Luiz Romero")*(35/1083),IF(C561="Técnico II",SUMIFS($D:$D,$A:$A,$A561,$B:$B,"&lt;&gt;Patrícia Karla de Sousa Araújo",$B:$B,"&lt;&gt;Lorena Dias de Araujo",$B:$B,"&lt;&gt;Lucas Luiz Romero")*(28/1083),IF(C561="Técnico I",SUMIFS($D:$D,$A:$A,$A561,$B:$B,"&lt;&gt;Patrícia Karla de Sousa Araújo",$B:$B,"&lt;&gt;Lorena Dias de Araujo",$B:$B,"&lt;&gt;Lucas Luiz Romero")*(23/1083),IF(C561="JR",SUMIFS($D:$D,$A:$A,$A561,$B:$B,"&lt;&gt;Patrícia Karla de Sousa Araújo",$B:$B,"&lt;&gt;Lorena Dias de Araujo",$B:$B,"&lt;&gt;Lucas Luiz Romero")*(20/1083),IF(C561="Estágio",SUMIFS($D:$D,$A:$A,$A561,$B:$B,"&lt;&gt;Patrícia Karla de Sousa Araújo",$B:$B,"&lt;&gt;Lorena Dias de Araujo",$B:$B,"&lt;&gt;Lucas Luiz Romero")*(10/1083),0)))))),0)</f>
        <v/>
      </c>
      <c r="K561" s="3">
        <f>I561-J561</f>
        <v/>
      </c>
      <c r="L561" s="3">
        <f>IF(K561&lt;-5,"CRÍTICO",IF(K561&lt;0,"ATENÇÃO",IF(K561&lt;=5,"BOM","EXCELENTE")))</f>
        <v/>
      </c>
      <c r="M561" s="3" t="n">
        <v>31</v>
      </c>
      <c r="N561" s="3" t="n">
        <v>100</v>
      </c>
      <c r="O561" s="3" t="n">
        <v>13.8121546961326</v>
      </c>
    </row>
    <row r="562" hidden="1">
      <c r="A562" s="5" t="n">
        <v>46147</v>
      </c>
      <c r="B562" s="6" t="inlineStr">
        <is>
          <t>Francilene Ferreira de Jesus</t>
        </is>
      </c>
      <c r="C562" s="3" t="inlineStr">
        <is>
          <t>Técnico II</t>
        </is>
      </c>
      <c r="D562" s="3" t="n">
        <v>0</v>
      </c>
      <c r="E562" s="3" t="n">
        <v>0</v>
      </c>
      <c r="F562" s="3" t="n">
        <v>0</v>
      </c>
      <c r="G562" s="3" t="n">
        <v>0</v>
      </c>
      <c r="H562" s="3" t="n">
        <v>0</v>
      </c>
      <c r="I562" s="3" t="n">
        <v>0</v>
      </c>
      <c r="J562" s="3" t="n">
        <v>0</v>
      </c>
      <c r="K562" s="3" t="n">
        <v>0</v>
      </c>
      <c r="L562" s="3">
        <f>IF(K562&lt;-5,"CRÍTICO",IF(K562&lt;0,"ATENÇÃO",IF(K562&lt;=5,"BOM","EXCELENTE")))</f>
        <v/>
      </c>
      <c r="M562" s="3" t="n">
        <v>0</v>
      </c>
      <c r="N562" s="3" t="n">
        <v>100</v>
      </c>
      <c r="O562" s="3" t="n">
        <v>17.24137931034483</v>
      </c>
    </row>
    <row r="563" hidden="1">
      <c r="A563" s="5" t="n">
        <v>46147</v>
      </c>
      <c r="B563" s="6" t="inlineStr">
        <is>
          <t>Isabella Borges de Oliveira</t>
        </is>
      </c>
      <c r="C563" s="9" t="inlineStr">
        <is>
          <t>Técnico II</t>
        </is>
      </c>
      <c r="D563" s="3" t="n">
        <v>26</v>
      </c>
      <c r="E563" s="3" t="n">
        <v>26</v>
      </c>
      <c r="F563" s="3" t="n">
        <v>20.01</v>
      </c>
      <c r="G563" s="3" t="n">
        <v>1</v>
      </c>
      <c r="H563" s="3" t="n">
        <v>0</v>
      </c>
      <c r="I563" s="3">
        <f>E563+G563+H563</f>
        <v/>
      </c>
      <c r="J563" s="3">
        <f>ROUND(MIN(IF(C563="Técnico III",35,IF(C563="Técnico II",28,IF(C563="Técnico I",23,IF(C563="JR",20,IF(C563="Estágio",10,0))))),IF(C563="Técnico III",SUMIFS($D:$D,$A:$A,$A563,$B:$B,"&lt;&gt;Patrícia Karla de Sousa Araújo",$B:$B,"&lt;&gt;Lorena Dias de Araujo",$B:$B,"&lt;&gt;Lucas Luiz Romero")*(35/1083),IF(C563="Técnico II",SUMIFS($D:$D,$A:$A,$A563,$B:$B,"&lt;&gt;Patrícia Karla de Sousa Araújo",$B:$B,"&lt;&gt;Lorena Dias de Araujo",$B:$B,"&lt;&gt;Lucas Luiz Romero")*(28/1083),IF(C563="Técnico I",SUMIFS($D:$D,$A:$A,$A563,$B:$B,"&lt;&gt;Patrícia Karla de Sousa Araújo",$B:$B,"&lt;&gt;Lorena Dias de Araujo",$B:$B,"&lt;&gt;Lucas Luiz Romero")*(23/1083),IF(C563="JR",SUMIFS($D:$D,$A:$A,$A563,$B:$B,"&lt;&gt;Patrícia Karla de Sousa Araújo",$B:$B,"&lt;&gt;Lorena Dias de Araujo",$B:$B,"&lt;&gt;Lucas Luiz Romero")*(20/1083),IF(C563="Estágio",SUMIFS($D:$D,$A:$A,$A563,$B:$B,"&lt;&gt;Patrícia Karla de Sousa Araújo",$B:$B,"&lt;&gt;Lorena Dias de Araujo",$B:$B,"&lt;&gt;Lucas Luiz Romero")*(10/1083),0)))))),0)</f>
        <v/>
      </c>
      <c r="K563" s="3">
        <f>I563-J563</f>
        <v/>
      </c>
      <c r="L563" s="3">
        <f>IF(K563&lt;-5,"CRÍTICO",IF(K563&lt;0,"ATENÇÃO",IF(K563&lt;=5,"BOM","EXCELENTE")))</f>
        <v/>
      </c>
      <c r="M563" s="3" t="n">
        <v>31</v>
      </c>
      <c r="N563" s="3" t="n">
        <v>98.63</v>
      </c>
      <c r="O563" s="3" t="n">
        <v>15.75757575757576</v>
      </c>
    </row>
    <row r="564" hidden="1">
      <c r="A564" s="5" t="n">
        <v>46147</v>
      </c>
      <c r="B564" s="6" t="inlineStr">
        <is>
          <t>Jessica Faria da Silveira</t>
        </is>
      </c>
      <c r="C564" s="3" t="inlineStr">
        <is>
          <t>Técnico II</t>
        </is>
      </c>
      <c r="D564" s="3" t="n">
        <v>39</v>
      </c>
      <c r="E564" s="3" t="n">
        <v>30</v>
      </c>
      <c r="F564" s="3" t="n">
        <v>14.13</v>
      </c>
      <c r="G564" s="3" t="n">
        <v>0</v>
      </c>
      <c r="H564" s="3" t="n">
        <v>0</v>
      </c>
      <c r="I564" s="3">
        <f>E564+G564+H564</f>
        <v/>
      </c>
      <c r="J564" s="3">
        <f>ROUND(MIN(IF(C564="Técnico III",35,IF(C564="Técnico II",28,IF(C564="Técnico I",23,IF(C564="JR",20,IF(C564="Estágio",10,0))))),IF(C564="Técnico III",SUMIFS($D:$D,$A:$A,$A564,$B:$B,"&lt;&gt;Patrícia Karla de Sousa Araújo",$B:$B,"&lt;&gt;Lorena Dias de Araujo",$B:$B,"&lt;&gt;Lucas Luiz Romero")*(35/1083),IF(C564="Técnico II",SUMIFS($D:$D,$A:$A,$A564,$B:$B,"&lt;&gt;Patrícia Karla de Sousa Araújo",$B:$B,"&lt;&gt;Lorena Dias de Araujo",$B:$B,"&lt;&gt;Lucas Luiz Romero")*(28/1083),IF(C564="Técnico I",SUMIFS($D:$D,$A:$A,$A564,$B:$B,"&lt;&gt;Patrícia Karla de Sousa Araújo",$B:$B,"&lt;&gt;Lorena Dias de Araujo",$B:$B,"&lt;&gt;Lucas Luiz Romero")*(23/1083),IF(C564="JR",SUMIFS($D:$D,$A:$A,$A564,$B:$B,"&lt;&gt;Patrícia Karla de Sousa Araújo",$B:$B,"&lt;&gt;Lorena Dias de Araujo",$B:$B,"&lt;&gt;Lucas Luiz Romero")*(20/1083),IF(C564="Estágio",SUMIFS($D:$D,$A:$A,$A564,$B:$B,"&lt;&gt;Patrícia Karla de Sousa Araújo",$B:$B,"&lt;&gt;Lorena Dias de Araujo",$B:$B,"&lt;&gt;Lucas Luiz Romero")*(10/1083),0)))))),0)</f>
        <v/>
      </c>
      <c r="K564" s="3">
        <f>I564-J564</f>
        <v/>
      </c>
      <c r="L564" s="3">
        <f>IF(K564&lt;-5,"CRÍTICO",IF(K564&lt;0,"ATENÇÃO",IF(K564&lt;=5,"BOM","EXCELENTE")))</f>
        <v/>
      </c>
      <c r="M564" s="3" t="n">
        <v>30</v>
      </c>
      <c r="N564" s="3" t="n">
        <v>98.61</v>
      </c>
      <c r="O564" s="3" t="n">
        <v>16.97530864197531</v>
      </c>
    </row>
    <row r="565" hidden="1">
      <c r="A565" s="5" t="n">
        <v>46147</v>
      </c>
      <c r="B565" s="6" t="inlineStr">
        <is>
          <t>Lizandra Gomes Duarte</t>
        </is>
      </c>
      <c r="C565" s="3" t="inlineStr">
        <is>
          <t>Técnico II</t>
        </is>
      </c>
      <c r="D565" s="3" t="n">
        <v>18</v>
      </c>
      <c r="E565" s="3" t="n">
        <v>18</v>
      </c>
      <c r="F565" s="3" t="n">
        <v>18.28</v>
      </c>
      <c r="G565" s="3" t="n">
        <v>4</v>
      </c>
      <c r="H565" s="3" t="n">
        <v>0</v>
      </c>
      <c r="I565" s="3">
        <f>E565+G565+H565</f>
        <v/>
      </c>
      <c r="J565" s="3">
        <f>ROUND(MIN(IF(C565="Técnico III",35,IF(C565="Técnico II",28,IF(C565="Técnico I",23,IF(C565="JR",20,IF(C565="Estágio",10,0))))),IF(C565="Técnico III",SUMIFS($D:$D,$A:$A,$A565,$B:$B,"&lt;&gt;Patrícia Karla de Sousa Araújo",$B:$B,"&lt;&gt;Lorena Dias de Araujo",$B:$B,"&lt;&gt;Lucas Luiz Romero")*(35/1083),IF(C565="Técnico II",SUMIFS($D:$D,$A:$A,$A565,$B:$B,"&lt;&gt;Patrícia Karla de Sousa Araújo",$B:$B,"&lt;&gt;Lorena Dias de Araujo",$B:$B,"&lt;&gt;Lucas Luiz Romero")*(28/1083),IF(C565="Técnico I",SUMIFS($D:$D,$A:$A,$A565,$B:$B,"&lt;&gt;Patrícia Karla de Sousa Araújo",$B:$B,"&lt;&gt;Lorena Dias de Araujo",$B:$B,"&lt;&gt;Lucas Luiz Romero")*(23/1083),IF(C565="JR",SUMIFS($D:$D,$A:$A,$A565,$B:$B,"&lt;&gt;Patrícia Karla de Sousa Araújo",$B:$B,"&lt;&gt;Lorena Dias de Araujo",$B:$B,"&lt;&gt;Lucas Luiz Romero")*(20/1083),IF(C565="Estágio",SUMIFS($D:$D,$A:$A,$A565,$B:$B,"&lt;&gt;Patrícia Karla de Sousa Araújo",$B:$B,"&lt;&gt;Lorena Dias de Araujo",$B:$B,"&lt;&gt;Lucas Luiz Romero")*(10/1083),0)))))),0)</f>
        <v/>
      </c>
      <c r="K565" s="3">
        <f>I565-J565</f>
        <v/>
      </c>
      <c r="L565" s="3">
        <f>IF(K565&lt;-5,"CRÍTICO",IF(K565&lt;0,"ATENÇÃO",IF(K565&lt;=5,"BOM","EXCELENTE")))</f>
        <v/>
      </c>
      <c r="M565" s="3" t="n">
        <v>25</v>
      </c>
      <c r="N565" s="3" t="n">
        <v>98.61</v>
      </c>
      <c r="O565" s="3" t="n">
        <v>16.86746987951807</v>
      </c>
    </row>
    <row r="566" hidden="1">
      <c r="A566" s="5" t="n">
        <v>46147</v>
      </c>
      <c r="B566" s="6" t="inlineStr">
        <is>
          <t>Lorena Dias de Araujo</t>
        </is>
      </c>
      <c r="C566" s="3" t="inlineStr">
        <is>
          <t>Técnico II</t>
        </is>
      </c>
      <c r="D566" s="3" t="n">
        <v>37</v>
      </c>
      <c r="E566" s="3" t="n">
        <v>35</v>
      </c>
      <c r="F566" s="3" t="n">
        <v>15.27</v>
      </c>
      <c r="G566" s="3" t="n">
        <v>0</v>
      </c>
      <c r="H566" s="3" t="n">
        <v>0</v>
      </c>
      <c r="I566" s="3" t="n">
        <v>0</v>
      </c>
      <c r="J566" s="3" t="n">
        <v>0</v>
      </c>
      <c r="K566" s="3" t="n">
        <v>0</v>
      </c>
      <c r="L566" s="3">
        <f>IF(K566&lt;-5,"CRÍTICO",IF(K566&lt;0,"ATENÇÃO",IF(K566&lt;=5,"BOM","EXCELENTE")))</f>
        <v/>
      </c>
      <c r="M566" s="3" t="n">
        <v>37</v>
      </c>
      <c r="N566" s="3" t="n">
        <v>100</v>
      </c>
      <c r="O566" s="3" t="n">
        <v>20.82018927444795</v>
      </c>
    </row>
    <row r="567" hidden="1">
      <c r="A567" s="5" t="n">
        <v>46147</v>
      </c>
      <c r="B567" s="6" t="inlineStr">
        <is>
          <t>Patrícia Karla de Sousa Araújo</t>
        </is>
      </c>
      <c r="C567" s="3" t="inlineStr">
        <is>
          <t>Técnico II</t>
        </is>
      </c>
      <c r="D567" s="3" t="n">
        <v>27</v>
      </c>
      <c r="E567" s="3" t="n">
        <v>25</v>
      </c>
      <c r="F567" s="3" t="n">
        <v>17.39</v>
      </c>
      <c r="G567" s="3" t="n">
        <v>0</v>
      </c>
      <c r="H567" s="3" t="n">
        <v>0</v>
      </c>
      <c r="I567" s="3">
        <f>E567+G567+H567</f>
        <v/>
      </c>
      <c r="J567" s="3">
        <f>ROUND(MIN(IF(C567="Técnico III",35,IF(C567="Técnico II",28,IF(C567="Técnico I",23,IF(C567="JR",20,IF(C567="Estágio",10,0))))),IF(C567="Técnico III",SUMIFS($D:$D,$A:$A,$A567,$B:$B,"&lt;&gt;Patrícia Karla de Sousa Araújo",$B:$B,"&lt;&gt;Lorena Dias de Araujo",$B:$B,"&lt;&gt;Lucas Luiz Romero")*(35/1083),IF(C567="Técnico II",SUMIFS($D:$D,$A:$A,$A567,$B:$B,"&lt;&gt;Patrícia Karla de Sousa Araújo",$B:$B,"&lt;&gt;Lorena Dias de Araujo",$B:$B,"&lt;&gt;Lucas Luiz Romero")*(28/1083),IF(C567="Técnico I",SUMIFS($D:$D,$A:$A,$A567,$B:$B,"&lt;&gt;Patrícia Karla de Sousa Araújo",$B:$B,"&lt;&gt;Lorena Dias de Araujo",$B:$B,"&lt;&gt;Lucas Luiz Romero")*(23/1083),IF(C567="JR",SUMIFS($D:$D,$A:$A,$A567,$B:$B,"&lt;&gt;Patrícia Karla de Sousa Araújo",$B:$B,"&lt;&gt;Lorena Dias de Araujo",$B:$B,"&lt;&gt;Lucas Luiz Romero")*(20/1083),IF(C567="Estágio",SUMIFS($D:$D,$A:$A,$A567,$B:$B,"&lt;&gt;Patrícia Karla de Sousa Araújo",$B:$B,"&lt;&gt;Lorena Dias de Araujo",$B:$B,"&lt;&gt;Lucas Luiz Romero")*(10/1083),0)))))),0)</f>
        <v/>
      </c>
      <c r="K567" s="3">
        <f>I567-J567</f>
        <v/>
      </c>
      <c r="L567" s="3">
        <f>IF(K567&lt;-5,"CRÍTICO",IF(K567&lt;0,"ATENÇÃO",IF(K567&lt;=5,"BOM","EXCELENTE")))</f>
        <v/>
      </c>
      <c r="M567" s="3" t="n">
        <v>21</v>
      </c>
      <c r="N567" s="3" t="n">
        <v>100</v>
      </c>
      <c r="O567" s="3" t="n">
        <v>16.89497716894977</v>
      </c>
    </row>
    <row r="568" hidden="1">
      <c r="A568" s="5" t="n">
        <v>46148</v>
      </c>
      <c r="B568" s="6" t="inlineStr">
        <is>
          <t>Alisson de Freitas Silva</t>
        </is>
      </c>
      <c r="C568" s="3" t="inlineStr">
        <is>
          <t>Técnico II</t>
        </is>
      </c>
      <c r="D568" s="3" t="n">
        <v>35</v>
      </c>
      <c r="E568" s="3" t="n">
        <v>29</v>
      </c>
      <c r="F568" t="n">
        <v>12.32</v>
      </c>
      <c r="G568" s="3" t="n">
        <v>11</v>
      </c>
      <c r="H568" s="3" t="n">
        <v>0</v>
      </c>
      <c r="I568" s="3">
        <f>E568+G568+H568</f>
        <v/>
      </c>
      <c r="J568" s="3">
        <f>ROUND(MIN(IF(C568="Técnico III",35,IF(C568="Técnico II",28,IF(C568="Técnico I",23,IF(C568="JR",20,IF(C568="Estágio",10,0))))),IF(C568="Técnico III",SUMIFS($D:$D,$A:$A,$A568,$B:$B,"&lt;&gt;Patrícia Karla de Sousa Araújo",$B:$B,"&lt;&gt;Lorena Dias de Araujo",$B:$B,"&lt;&gt;Lucas Luiz Romero")*(35/1083),IF(C568="Técnico II",SUMIFS($D:$D,$A:$A,$A568,$B:$B,"&lt;&gt;Patrícia Karla de Sousa Araújo",$B:$B,"&lt;&gt;Lorena Dias de Araujo",$B:$B,"&lt;&gt;Lucas Luiz Romero")*(28/1083),IF(C568="Técnico I",SUMIFS($D:$D,$A:$A,$A568,$B:$B,"&lt;&gt;Patrícia Karla de Sousa Araújo",$B:$B,"&lt;&gt;Lorena Dias de Araujo",$B:$B,"&lt;&gt;Lucas Luiz Romero")*(23/1083),IF(C568="JR",SUMIFS($D:$D,$A:$A,$A568,$B:$B,"&lt;&gt;Patrícia Karla de Sousa Araújo",$B:$B,"&lt;&gt;Lorena Dias de Araujo",$B:$B,"&lt;&gt;Lucas Luiz Romero")*(20/1083),IF(C568="Estágio",SUMIFS($D:$D,$A:$A,$A568,$B:$B,"&lt;&gt;Patrícia Karla de Sousa Araújo",$B:$B,"&lt;&gt;Lorena Dias de Araujo",$B:$B,"&lt;&gt;Lucas Luiz Romero")*(10/1083),0)))))),0)</f>
        <v/>
      </c>
      <c r="K568" s="3">
        <f>I568-J568</f>
        <v/>
      </c>
      <c r="L568" s="3">
        <f>IF(K568&lt;-5,"CRÍTICO",IF(K568&lt;0,"ATENÇÃO",IF(K568&lt;=5,"BOM","EXCELENTE")))</f>
        <v/>
      </c>
      <c r="M568" s="3" t="n">
        <v>32</v>
      </c>
      <c r="N568" s="3" t="n">
        <v>98.94</v>
      </c>
      <c r="O568" s="3" t="n">
        <v>19.61414790996785</v>
      </c>
    </row>
    <row r="569" hidden="1">
      <c r="A569" s="5" t="n">
        <v>46148</v>
      </c>
      <c r="B569" s="6" t="inlineStr">
        <is>
          <t>Brenda de Menezes Silva</t>
        </is>
      </c>
      <c r="C569" s="3" t="inlineStr">
        <is>
          <t>Técnico II</t>
        </is>
      </c>
      <c r="D569" s="3" t="n">
        <v>31</v>
      </c>
      <c r="E569" s="3" t="n">
        <v>28</v>
      </c>
      <c r="F569" t="n">
        <v>18.45</v>
      </c>
      <c r="G569" s="3" t="n">
        <v>9</v>
      </c>
      <c r="H569" s="3" t="n">
        <v>0</v>
      </c>
      <c r="I569" s="3">
        <f>E569+G569+H569</f>
        <v/>
      </c>
      <c r="J569" s="3">
        <f>ROUND(MIN(IF(C569="Técnico III",35,IF(C569="Técnico II",28,IF(C569="Técnico I",23,IF(C569="JR",20,IF(C569="Estágio",10,0))))),IF(C569="Técnico III",SUMIFS($D:$D,$A:$A,$A569,$B:$B,"&lt;&gt;Patrícia Karla de Sousa Araújo",$B:$B,"&lt;&gt;Lorena Dias de Araujo",$B:$B,"&lt;&gt;Lucas Luiz Romero")*(35/1083),IF(C569="Técnico II",SUMIFS($D:$D,$A:$A,$A569,$B:$B,"&lt;&gt;Patrícia Karla de Sousa Araújo",$B:$B,"&lt;&gt;Lorena Dias de Araujo",$B:$B,"&lt;&gt;Lucas Luiz Romero")*(28/1083),IF(C569="Técnico I",SUMIFS($D:$D,$A:$A,$A569,$B:$B,"&lt;&gt;Patrícia Karla de Sousa Araújo",$B:$B,"&lt;&gt;Lorena Dias de Araujo",$B:$B,"&lt;&gt;Lucas Luiz Romero")*(23/1083),IF(C569="JR",SUMIFS($D:$D,$A:$A,$A569,$B:$B,"&lt;&gt;Patrícia Karla de Sousa Araújo",$B:$B,"&lt;&gt;Lorena Dias de Araujo",$B:$B,"&lt;&gt;Lucas Luiz Romero")*(20/1083),IF(C569="Estágio",SUMIFS($D:$D,$A:$A,$A569,$B:$B,"&lt;&gt;Patrícia Karla de Sousa Araújo",$B:$B,"&lt;&gt;Lorena Dias de Araujo",$B:$B,"&lt;&gt;Lucas Luiz Romero")*(10/1083),0)))))),0)</f>
        <v/>
      </c>
      <c r="K569" s="3">
        <f>I569-J569</f>
        <v/>
      </c>
      <c r="L569" s="3">
        <f>IF(K569&lt;-5,"CRÍTICO",IF(K569&lt;0,"ATENÇÃO",IF(K569&lt;=5,"BOM","EXCELENTE")))</f>
        <v/>
      </c>
      <c r="M569" s="3" t="n">
        <v>35</v>
      </c>
      <c r="N569" s="3" t="n">
        <v>99.13</v>
      </c>
      <c r="O569" s="3" t="n">
        <v>14.7239263803681</v>
      </c>
    </row>
    <row r="570" hidden="1">
      <c r="A570" s="5" t="n">
        <v>46148</v>
      </c>
      <c r="B570" s="6" t="inlineStr">
        <is>
          <t>Carlos Mateus Cassimiro Nunes</t>
        </is>
      </c>
      <c r="C570" s="9" t="inlineStr">
        <is>
          <t>Técnico II</t>
        </is>
      </c>
      <c r="D570" s="3" t="n">
        <v>34</v>
      </c>
      <c r="E570" s="3" t="n">
        <v>32</v>
      </c>
      <c r="F570" t="n">
        <v>14.16</v>
      </c>
      <c r="G570" s="3" t="n">
        <v>1</v>
      </c>
      <c r="H570" s="3" t="n">
        <v>0</v>
      </c>
      <c r="I570" s="3">
        <f>E570+G570+H570</f>
        <v/>
      </c>
      <c r="J570" s="3">
        <f>ROUND(MIN(IF(C570="Técnico III",35,IF(C570="Técnico II",28,IF(C570="Técnico I",23,IF(C570="JR",20,IF(C570="Estágio",10,0))))),IF(C570="Técnico III",SUMIFS($D:$D,$A:$A,$A570,$B:$B,"&lt;&gt;Patrícia Karla de Sousa Araújo",$B:$B,"&lt;&gt;Lorena Dias de Araujo",$B:$B,"&lt;&gt;Lucas Luiz Romero")*(35/1083),IF(C570="Técnico II",SUMIFS($D:$D,$A:$A,$A570,$B:$B,"&lt;&gt;Patrícia Karla de Sousa Araújo",$B:$B,"&lt;&gt;Lorena Dias de Araujo",$B:$B,"&lt;&gt;Lucas Luiz Romero")*(28/1083),IF(C570="Técnico I",SUMIFS($D:$D,$A:$A,$A570,$B:$B,"&lt;&gt;Patrícia Karla de Sousa Araújo",$B:$B,"&lt;&gt;Lorena Dias de Araujo",$B:$B,"&lt;&gt;Lucas Luiz Romero")*(23/1083),IF(C570="JR",SUMIFS($D:$D,$A:$A,$A570,$B:$B,"&lt;&gt;Patrícia Karla de Sousa Araújo",$B:$B,"&lt;&gt;Lorena Dias de Araujo",$B:$B,"&lt;&gt;Lucas Luiz Romero")*(20/1083),IF(C570="Estágio",SUMIFS($D:$D,$A:$A,$A570,$B:$B,"&lt;&gt;Patrícia Karla de Sousa Araújo",$B:$B,"&lt;&gt;Lorena Dias de Araujo",$B:$B,"&lt;&gt;Lucas Luiz Romero")*(10/1083),0)))))),0)</f>
        <v/>
      </c>
      <c r="K570" s="3">
        <f>I570-J570</f>
        <v/>
      </c>
      <c r="L570" s="3">
        <f>IF(K570&lt;-5,"CRÍTICO",IF(K570&lt;0,"ATENÇÃO",IF(K570&lt;=5,"BOM","EXCELENTE")))</f>
        <v/>
      </c>
      <c r="M570" s="3" t="n">
        <v>31</v>
      </c>
      <c r="N570" s="3" t="n">
        <v>98.8</v>
      </c>
      <c r="O570" s="3" t="n">
        <v>16.89750692520776</v>
      </c>
    </row>
    <row r="571" hidden="1">
      <c r="A571" s="5" t="n">
        <v>46148</v>
      </c>
      <c r="B571" s="6" t="inlineStr">
        <is>
          <t>Damyllis Lorraine de Oliveira Gonçalves</t>
        </is>
      </c>
      <c r="C571" s="3" t="inlineStr">
        <is>
          <t>Técnico II</t>
        </is>
      </c>
      <c r="D571" s="3" t="n">
        <v>40</v>
      </c>
      <c r="E571" s="3" t="n">
        <v>35</v>
      </c>
      <c r="F571" t="n">
        <v>15.25</v>
      </c>
      <c r="G571" s="3" t="n">
        <v>0</v>
      </c>
      <c r="H571" s="3" t="n">
        <v>0</v>
      </c>
      <c r="I571" s="3" t="n">
        <v>0</v>
      </c>
      <c r="J571" s="3" t="n">
        <v>0</v>
      </c>
      <c r="K571" s="3" t="n">
        <v>0</v>
      </c>
      <c r="L571" s="3">
        <f>IF(K571&lt;-5,"CRÍTICO",IF(K571&lt;0,"ATENÇÃO",IF(K571&lt;=5,"BOM","EXCELENTE")))</f>
        <v/>
      </c>
      <c r="M571" s="3" t="n">
        <v>29</v>
      </c>
      <c r="N571" s="3" t="n">
        <v>98.63</v>
      </c>
      <c r="O571" s="3" t="n">
        <v>18.75</v>
      </c>
    </row>
    <row r="572" hidden="1">
      <c r="A572" s="5" t="n">
        <v>46148</v>
      </c>
      <c r="B572" s="6" t="inlineStr">
        <is>
          <t>Emilly Kamilly Medeiros Miranda</t>
        </is>
      </c>
      <c r="C572" s="3" t="inlineStr">
        <is>
          <t>Técnico II</t>
        </is>
      </c>
      <c r="D572" s="3" t="n">
        <v>15</v>
      </c>
      <c r="E572" s="3" t="n">
        <v>14</v>
      </c>
      <c r="F572" t="n">
        <v>17.31</v>
      </c>
      <c r="G572" s="3" t="n">
        <v>9</v>
      </c>
      <c r="H572" s="3" t="n">
        <v>0</v>
      </c>
      <c r="I572" s="3">
        <f>E572+G572+H572</f>
        <v/>
      </c>
      <c r="J572" s="3">
        <f>ROUND(MIN(IF(C572="Técnico III",35,IF(C572="Técnico II",28,IF(C572="Técnico I",23,IF(C572="JR",20,IF(C572="Estágio",10,0))))),IF(C572="Técnico III",SUMIFS($D:$D,$A:$A,$A572,$B:$B,"&lt;&gt;Patrícia Karla de Sousa Araújo",$B:$B,"&lt;&gt;Lorena Dias de Araujo",$B:$B,"&lt;&gt;Lucas Luiz Romero")*(35/1083),IF(C572="Técnico II",SUMIFS($D:$D,$A:$A,$A572,$B:$B,"&lt;&gt;Patrícia Karla de Sousa Araújo",$B:$B,"&lt;&gt;Lorena Dias de Araujo",$B:$B,"&lt;&gt;Lucas Luiz Romero")*(28/1083),IF(C572="Técnico I",SUMIFS($D:$D,$A:$A,$A572,$B:$B,"&lt;&gt;Patrícia Karla de Sousa Araújo",$B:$B,"&lt;&gt;Lorena Dias de Araujo",$B:$B,"&lt;&gt;Lucas Luiz Romero")*(23/1083),IF(C572="JR",SUMIFS($D:$D,$A:$A,$A572,$B:$B,"&lt;&gt;Patrícia Karla de Sousa Araújo",$B:$B,"&lt;&gt;Lorena Dias de Araujo",$B:$B,"&lt;&gt;Lucas Luiz Romero")*(20/1083),IF(C572="Estágio",SUMIFS($D:$D,$A:$A,$A572,$B:$B,"&lt;&gt;Patrícia Karla de Sousa Araújo",$B:$B,"&lt;&gt;Lorena Dias de Araujo",$B:$B,"&lt;&gt;Lucas Luiz Romero")*(10/1083),0)))))),0)</f>
        <v/>
      </c>
      <c r="K572" s="3">
        <f>I572-J572</f>
        <v/>
      </c>
      <c r="L572" s="3">
        <f>IF(K572&lt;-5,"CRÍTICO",IF(K572&lt;0,"ATENÇÃO",IF(K572&lt;=5,"BOM","EXCELENTE")))</f>
        <v/>
      </c>
      <c r="M572" s="3" t="n">
        <v>22</v>
      </c>
      <c r="N572" s="3" t="n">
        <v>100</v>
      </c>
      <c r="O572" s="3" t="n">
        <v>13.8121546961326</v>
      </c>
    </row>
    <row r="573" hidden="1">
      <c r="A573" s="5" t="n">
        <v>46148</v>
      </c>
      <c r="B573" s="6" t="inlineStr">
        <is>
          <t>Francilene Ferreira de Jesus</t>
        </is>
      </c>
      <c r="C573" s="3" t="inlineStr">
        <is>
          <t>Técnico II</t>
        </is>
      </c>
      <c r="D573" s="3" t="n">
        <v>0</v>
      </c>
      <c r="E573" s="3" t="n">
        <v>0</v>
      </c>
      <c r="F573" s="3" t="n">
        <v>0</v>
      </c>
      <c r="G573" s="3" t="n">
        <v>0</v>
      </c>
      <c r="H573" s="3" t="n">
        <v>0</v>
      </c>
      <c r="I573" s="3" t="n">
        <v>0</v>
      </c>
      <c r="J573" s="3" t="n">
        <v>0</v>
      </c>
      <c r="K573" s="3" t="n">
        <v>0</v>
      </c>
      <c r="L573" s="3">
        <f>IF(K573&lt;-5,"CRÍTICO",IF(K573&lt;0,"ATENÇÃO",IF(K573&lt;=5,"BOM","EXCELENTE")))</f>
        <v/>
      </c>
      <c r="M573" s="3" t="n">
        <v>0</v>
      </c>
      <c r="N573" s="3" t="n">
        <v>100</v>
      </c>
      <c r="O573" s="3" t="n">
        <v>17.24137931034483</v>
      </c>
    </row>
    <row r="574" hidden="1">
      <c r="A574" s="5" t="n">
        <v>46148</v>
      </c>
      <c r="B574" s="6" t="inlineStr">
        <is>
          <t>Isabella Borges de Oliveira</t>
        </is>
      </c>
      <c r="C574" s="9" t="inlineStr">
        <is>
          <t>Técnico II</t>
        </is>
      </c>
      <c r="D574" s="3" t="n">
        <v>33</v>
      </c>
      <c r="E574" s="3" t="n">
        <v>32</v>
      </c>
      <c r="F574" t="n">
        <v>20.01</v>
      </c>
      <c r="G574" s="3" t="n">
        <v>9</v>
      </c>
      <c r="H574" s="3" t="n">
        <v>0</v>
      </c>
      <c r="I574" s="3">
        <f>E574+G574+H574</f>
        <v/>
      </c>
      <c r="J574" s="3">
        <f>ROUND(MIN(IF(C574="Técnico III",35,IF(C574="Técnico II",28,IF(C574="Técnico I",23,IF(C574="JR",20,IF(C574="Estágio",10,0))))),IF(C574="Técnico III",SUMIFS($D:$D,$A:$A,$A574,$B:$B,"&lt;&gt;Patrícia Karla de Sousa Araújo",$B:$B,"&lt;&gt;Lorena Dias de Araujo",$B:$B,"&lt;&gt;Lucas Luiz Romero")*(35/1083),IF(C574="Técnico II",SUMIFS($D:$D,$A:$A,$A574,$B:$B,"&lt;&gt;Patrícia Karla de Sousa Araújo",$B:$B,"&lt;&gt;Lorena Dias de Araujo",$B:$B,"&lt;&gt;Lucas Luiz Romero")*(28/1083),IF(C574="Técnico I",SUMIFS($D:$D,$A:$A,$A574,$B:$B,"&lt;&gt;Patrícia Karla de Sousa Araújo",$B:$B,"&lt;&gt;Lorena Dias de Araujo",$B:$B,"&lt;&gt;Lucas Luiz Romero")*(23/1083),IF(C574="JR",SUMIFS($D:$D,$A:$A,$A574,$B:$B,"&lt;&gt;Patrícia Karla de Sousa Araújo",$B:$B,"&lt;&gt;Lorena Dias de Araujo",$B:$B,"&lt;&gt;Lucas Luiz Romero")*(20/1083),IF(C574="Estágio",SUMIFS($D:$D,$A:$A,$A574,$B:$B,"&lt;&gt;Patrícia Karla de Sousa Araújo",$B:$B,"&lt;&gt;Lorena Dias de Araujo",$B:$B,"&lt;&gt;Lucas Luiz Romero")*(10/1083),0)))))),0)</f>
        <v/>
      </c>
      <c r="K574" s="3">
        <f>I574-J574</f>
        <v/>
      </c>
      <c r="L574" s="3">
        <f>IF(K574&lt;-5,"CRÍTICO",IF(K574&lt;0,"ATENÇÃO",IF(K574&lt;=5,"BOM","EXCELENTE")))</f>
        <v/>
      </c>
      <c r="M574" s="3" t="n">
        <v>30</v>
      </c>
      <c r="N574" s="3" t="n">
        <v>98.63</v>
      </c>
      <c r="O574" s="3" t="n">
        <v>15.75757575757576</v>
      </c>
    </row>
    <row r="575" hidden="1">
      <c r="A575" s="5" t="n">
        <v>46148</v>
      </c>
      <c r="B575" s="6" t="inlineStr">
        <is>
          <t>Jessica Faria da Silveira</t>
        </is>
      </c>
      <c r="C575" s="3" t="inlineStr">
        <is>
          <t>Técnico II</t>
        </is>
      </c>
      <c r="D575" s="3" t="n">
        <v>29</v>
      </c>
      <c r="E575" s="3" t="n">
        <v>28</v>
      </c>
      <c r="F575" t="n">
        <v>10.28</v>
      </c>
      <c r="G575" s="3" t="n">
        <v>7</v>
      </c>
      <c r="H575" s="3" t="n">
        <v>0</v>
      </c>
      <c r="I575" s="3">
        <f>E575+G575+H575</f>
        <v/>
      </c>
      <c r="J575" s="3">
        <f>ROUND(MIN(IF(C575="Técnico III",35,IF(C575="Técnico II",28,IF(C575="Técnico I",23,IF(C575="JR",20,IF(C575="Estágio",10,0))))),IF(C575="Técnico III",SUMIFS($D:$D,$A:$A,$A575,$B:$B,"&lt;&gt;Patrícia Karla de Sousa Araújo",$B:$B,"&lt;&gt;Lorena Dias de Araujo",$B:$B,"&lt;&gt;Lucas Luiz Romero")*(35/1083),IF(C575="Técnico II",SUMIFS($D:$D,$A:$A,$A575,$B:$B,"&lt;&gt;Patrícia Karla de Sousa Araújo",$B:$B,"&lt;&gt;Lorena Dias de Araujo",$B:$B,"&lt;&gt;Lucas Luiz Romero")*(28/1083),IF(C575="Técnico I",SUMIFS($D:$D,$A:$A,$A575,$B:$B,"&lt;&gt;Patrícia Karla de Sousa Araújo",$B:$B,"&lt;&gt;Lorena Dias de Araujo",$B:$B,"&lt;&gt;Lucas Luiz Romero")*(23/1083),IF(C575="JR",SUMIFS($D:$D,$A:$A,$A575,$B:$B,"&lt;&gt;Patrícia Karla de Sousa Araújo",$B:$B,"&lt;&gt;Lorena Dias de Araujo",$B:$B,"&lt;&gt;Lucas Luiz Romero")*(20/1083),IF(C575="Estágio",SUMIFS($D:$D,$A:$A,$A575,$B:$B,"&lt;&gt;Patrícia Karla de Sousa Araújo",$B:$B,"&lt;&gt;Lorena Dias de Araujo",$B:$B,"&lt;&gt;Lucas Luiz Romero")*(10/1083),0)))))),0)</f>
        <v/>
      </c>
      <c r="K575" s="3">
        <f>I575-J575</f>
        <v/>
      </c>
      <c r="L575" s="3">
        <f>IF(K575&lt;-5,"CRÍTICO",IF(K575&lt;0,"ATENÇÃO",IF(K575&lt;=5,"BOM","EXCELENTE")))</f>
        <v/>
      </c>
      <c r="M575" s="3" t="n">
        <v>34</v>
      </c>
      <c r="N575" s="3" t="n">
        <v>98.61</v>
      </c>
      <c r="O575" s="3" t="n">
        <v>16.97530864197531</v>
      </c>
    </row>
    <row r="576" hidden="1">
      <c r="A576" s="5" t="n">
        <v>46148</v>
      </c>
      <c r="B576" s="6" t="inlineStr">
        <is>
          <t>Lizandra Gomes Duarte</t>
        </is>
      </c>
      <c r="C576" s="3" t="inlineStr">
        <is>
          <t>Técnico II</t>
        </is>
      </c>
      <c r="D576" s="3" t="n">
        <v>38</v>
      </c>
      <c r="E576" s="3" t="n">
        <v>36</v>
      </c>
      <c r="F576" t="n">
        <v>15.35</v>
      </c>
      <c r="G576" s="3" t="n">
        <v>2</v>
      </c>
      <c r="H576" s="3" t="n">
        <v>0</v>
      </c>
      <c r="I576" s="3">
        <f>E576+G576+H576</f>
        <v/>
      </c>
      <c r="J576" s="3">
        <f>ROUND(MIN(IF(C576="Técnico III",35,IF(C576="Técnico II",28,IF(C576="Técnico I",23,IF(C576="JR",20,IF(C576="Estágio",10,0))))),IF(C576="Técnico III",SUMIFS($D:$D,$A:$A,$A576,$B:$B,"&lt;&gt;Patrícia Karla de Sousa Araújo",$B:$B,"&lt;&gt;Lorena Dias de Araujo",$B:$B,"&lt;&gt;Lucas Luiz Romero")*(35/1083),IF(C576="Técnico II",SUMIFS($D:$D,$A:$A,$A576,$B:$B,"&lt;&gt;Patrícia Karla de Sousa Araújo",$B:$B,"&lt;&gt;Lorena Dias de Araujo",$B:$B,"&lt;&gt;Lucas Luiz Romero")*(28/1083),IF(C576="Técnico I",SUMIFS($D:$D,$A:$A,$A576,$B:$B,"&lt;&gt;Patrícia Karla de Sousa Araújo",$B:$B,"&lt;&gt;Lorena Dias de Araujo",$B:$B,"&lt;&gt;Lucas Luiz Romero")*(23/1083),IF(C576="JR",SUMIFS($D:$D,$A:$A,$A576,$B:$B,"&lt;&gt;Patrícia Karla de Sousa Araújo",$B:$B,"&lt;&gt;Lorena Dias de Araujo",$B:$B,"&lt;&gt;Lucas Luiz Romero")*(20/1083),IF(C576="Estágio",SUMIFS($D:$D,$A:$A,$A576,$B:$B,"&lt;&gt;Patrícia Karla de Sousa Araújo",$B:$B,"&lt;&gt;Lorena Dias de Araujo",$B:$B,"&lt;&gt;Lucas Luiz Romero")*(10/1083),0)))))),0)</f>
        <v/>
      </c>
      <c r="K576" s="3">
        <f>I576-J576</f>
        <v/>
      </c>
      <c r="L576" s="3">
        <f>IF(K576&lt;-5,"CRÍTICO",IF(K576&lt;0,"ATENÇÃO",IF(K576&lt;=5,"BOM","EXCELENTE")))</f>
        <v/>
      </c>
      <c r="M576" s="3" t="n">
        <v>16</v>
      </c>
      <c r="N576" s="3" t="n">
        <v>98.61</v>
      </c>
      <c r="O576" s="3" t="n">
        <v>16.86746987951807</v>
      </c>
    </row>
    <row r="577" hidden="1">
      <c r="A577" s="5" t="n">
        <v>46148</v>
      </c>
      <c r="B577" s="6" t="inlineStr">
        <is>
          <t>Lorena Dias de Araujo</t>
        </is>
      </c>
      <c r="C577" s="3" t="inlineStr">
        <is>
          <t>Técnico II</t>
        </is>
      </c>
      <c r="D577" s="3" t="n">
        <v>34</v>
      </c>
      <c r="E577" s="3" t="n">
        <v>31</v>
      </c>
      <c r="F577" t="n">
        <v>16.42</v>
      </c>
      <c r="G577" s="3" t="n">
        <v>0</v>
      </c>
      <c r="H577" s="3" t="n">
        <v>0</v>
      </c>
      <c r="I577" s="3" t="n">
        <v>0</v>
      </c>
      <c r="J577" s="3" t="n">
        <v>0</v>
      </c>
      <c r="K577" s="3" t="n">
        <v>0</v>
      </c>
      <c r="L577" s="3">
        <f>IF(K577&lt;-5,"CRÍTICO",IF(K577&lt;0,"ATENÇÃO",IF(K577&lt;=5,"BOM","EXCELENTE")))</f>
        <v/>
      </c>
      <c r="M577" s="3" t="n">
        <v>28</v>
      </c>
      <c r="N577" s="3" t="n">
        <v>100</v>
      </c>
      <c r="O577" s="3" t="n">
        <v>20.82018927444795</v>
      </c>
    </row>
    <row r="578" hidden="1">
      <c r="A578" s="5" t="n">
        <v>46148</v>
      </c>
      <c r="B578" s="6" t="inlineStr">
        <is>
          <t>Patrícia Karla de Sousa Araújo</t>
        </is>
      </c>
      <c r="C578" s="3" t="inlineStr">
        <is>
          <t>Técnico II</t>
        </is>
      </c>
      <c r="D578" s="3" t="n">
        <v>35</v>
      </c>
      <c r="E578" s="3" t="n">
        <v>33</v>
      </c>
      <c r="F578" t="n">
        <v>15.19</v>
      </c>
      <c r="G578" s="3" t="n">
        <v>0</v>
      </c>
      <c r="H578" s="3" t="n">
        <v>0</v>
      </c>
      <c r="I578" s="3">
        <f>E578+G578+H578</f>
        <v/>
      </c>
      <c r="J578" s="3">
        <f>ROUND(MIN(IF(C578="Técnico III",35,IF(C578="Técnico II",28,IF(C578="Técnico I",23,IF(C578="JR",20,IF(C578="Estágio",10,0))))),IF(C578="Técnico III",SUMIFS($D:$D,$A:$A,$A578,$B:$B,"&lt;&gt;Patrícia Karla de Sousa Araújo",$B:$B,"&lt;&gt;Lorena Dias de Araujo",$B:$B,"&lt;&gt;Lucas Luiz Romero")*(35/1083),IF(C578="Técnico II",SUMIFS($D:$D,$A:$A,$A578,$B:$B,"&lt;&gt;Patrícia Karla de Sousa Araújo",$B:$B,"&lt;&gt;Lorena Dias de Araujo",$B:$B,"&lt;&gt;Lucas Luiz Romero")*(28/1083),IF(C578="Técnico I",SUMIFS($D:$D,$A:$A,$A578,$B:$B,"&lt;&gt;Patrícia Karla de Sousa Araújo",$B:$B,"&lt;&gt;Lorena Dias de Araujo",$B:$B,"&lt;&gt;Lucas Luiz Romero")*(23/1083),IF(C578="JR",SUMIFS($D:$D,$A:$A,$A578,$B:$B,"&lt;&gt;Patrícia Karla de Sousa Araújo",$B:$B,"&lt;&gt;Lorena Dias de Araujo",$B:$B,"&lt;&gt;Lucas Luiz Romero")*(20/1083),IF(C578="Estágio",SUMIFS($D:$D,$A:$A,$A578,$B:$B,"&lt;&gt;Patrícia Karla de Sousa Araújo",$B:$B,"&lt;&gt;Lorena Dias de Araujo",$B:$B,"&lt;&gt;Lucas Luiz Romero")*(10/1083),0)))))),0)</f>
        <v/>
      </c>
      <c r="K578" s="3">
        <f>I578-J578</f>
        <v/>
      </c>
      <c r="L578" s="3">
        <f>IF(K578&lt;-5,"CRÍTICO",IF(K578&lt;0,"ATENÇÃO",IF(K578&lt;=5,"BOM","EXCELENTE")))</f>
        <v/>
      </c>
      <c r="M578" s="3" t="n">
        <v>30</v>
      </c>
      <c r="N578" s="3" t="n">
        <v>100</v>
      </c>
      <c r="O578" s="3" t="n">
        <v>16.89497716894977</v>
      </c>
    </row>
    <row r="579" hidden="1">
      <c r="A579" s="5" t="n">
        <v>46149</v>
      </c>
      <c r="B579" s="6" t="inlineStr">
        <is>
          <t>Alisson de Freitas Silva</t>
        </is>
      </c>
      <c r="C579" s="3" t="inlineStr">
        <is>
          <t>Técnico II</t>
        </is>
      </c>
      <c r="D579" s="3" t="n">
        <v>39</v>
      </c>
      <c r="E579" s="3" t="n">
        <v>34</v>
      </c>
      <c r="F579" t="n">
        <v>8.33</v>
      </c>
      <c r="G579" s="3" t="n">
        <v>0</v>
      </c>
      <c r="H579" s="3" t="n">
        <v>0</v>
      </c>
      <c r="I579" s="3">
        <f>E579+G579+H579</f>
        <v/>
      </c>
      <c r="J579" s="3">
        <f>ROUND(MIN(IF(C579="Técnico III",35,IF(C579="Técnico II",28,IF(C579="Técnico I",23,IF(C579="JR",20,IF(C579="Estágio",10,0))))),IF(C579="Técnico III",SUMIFS($D:$D,$A:$A,$A579,$B:$B,"&lt;&gt;Patrícia Karla de Sousa Araújo",$B:$B,"&lt;&gt;Lorena Dias de Araujo",$B:$B,"&lt;&gt;Lucas Luiz Romero")*(35/1083),IF(C579="Técnico II",SUMIFS($D:$D,$A:$A,$A579,$B:$B,"&lt;&gt;Patrícia Karla de Sousa Araújo",$B:$B,"&lt;&gt;Lorena Dias de Araujo",$B:$B,"&lt;&gt;Lucas Luiz Romero")*(28/1083),IF(C579="Técnico I",SUMIFS($D:$D,$A:$A,$A579,$B:$B,"&lt;&gt;Patrícia Karla de Sousa Araújo",$B:$B,"&lt;&gt;Lorena Dias de Araujo",$B:$B,"&lt;&gt;Lucas Luiz Romero")*(23/1083),IF(C579="JR",SUMIFS($D:$D,$A:$A,$A579,$B:$B,"&lt;&gt;Patrícia Karla de Sousa Araújo",$B:$B,"&lt;&gt;Lorena Dias de Araujo",$B:$B,"&lt;&gt;Lucas Luiz Romero")*(20/1083),IF(C579="Estágio",SUMIFS($D:$D,$A:$A,$A579,$B:$B,"&lt;&gt;Patrícia Karla de Sousa Araújo",$B:$B,"&lt;&gt;Lorena Dias de Araujo",$B:$B,"&lt;&gt;Lucas Luiz Romero")*(10/1083),0)))))),0)</f>
        <v/>
      </c>
      <c r="K579" s="3">
        <f>I579-J579</f>
        <v/>
      </c>
      <c r="L579" s="3">
        <f>IF(K579&lt;-5,"CRÍTICO",IF(K579&lt;0,"ATENÇÃO",IF(K579&lt;=5,"BOM","EXCELENTE")))</f>
        <v/>
      </c>
      <c r="M579" s="3" t="n">
        <v>19</v>
      </c>
      <c r="N579" s="3" t="n">
        <v>98.94</v>
      </c>
      <c r="O579" s="3" t="n">
        <v>19.61414790996785</v>
      </c>
    </row>
    <row r="580" hidden="1">
      <c r="A580" s="5" t="n">
        <v>46149</v>
      </c>
      <c r="B580" s="6" t="inlineStr">
        <is>
          <t>Brenda de Menezes Silva</t>
        </is>
      </c>
      <c r="C580" s="3" t="inlineStr">
        <is>
          <t>Técnico II</t>
        </is>
      </c>
      <c r="D580" s="3" t="n">
        <v>33</v>
      </c>
      <c r="E580" s="3" t="n">
        <v>29</v>
      </c>
      <c r="F580" t="n">
        <v>13.37</v>
      </c>
      <c r="G580" s="3" t="n">
        <v>5</v>
      </c>
      <c r="H580" s="3" t="n">
        <v>0</v>
      </c>
      <c r="I580" s="3">
        <f>E580+G580+H580</f>
        <v/>
      </c>
      <c r="J580" s="3">
        <f>ROUND(MIN(IF(C580="Técnico III",35,IF(C580="Técnico II",28,IF(C580="Técnico I",23,IF(C580="JR",20,IF(C580="Estágio",10,0))))),IF(C580="Técnico III",SUMIFS($D:$D,$A:$A,$A580,$B:$B,"&lt;&gt;Patrícia Karla de Sousa Araújo",$B:$B,"&lt;&gt;Lorena Dias de Araujo",$B:$B,"&lt;&gt;Lucas Luiz Romero")*(35/1083),IF(C580="Técnico II",SUMIFS($D:$D,$A:$A,$A580,$B:$B,"&lt;&gt;Patrícia Karla de Sousa Araújo",$B:$B,"&lt;&gt;Lorena Dias de Araujo",$B:$B,"&lt;&gt;Lucas Luiz Romero")*(28/1083),IF(C580="Técnico I",SUMIFS($D:$D,$A:$A,$A580,$B:$B,"&lt;&gt;Patrícia Karla de Sousa Araújo",$B:$B,"&lt;&gt;Lorena Dias de Araujo",$B:$B,"&lt;&gt;Lucas Luiz Romero")*(23/1083),IF(C580="JR",SUMIFS($D:$D,$A:$A,$A580,$B:$B,"&lt;&gt;Patrícia Karla de Sousa Araújo",$B:$B,"&lt;&gt;Lorena Dias de Araujo",$B:$B,"&lt;&gt;Lucas Luiz Romero")*(20/1083),IF(C580="Estágio",SUMIFS($D:$D,$A:$A,$A580,$B:$B,"&lt;&gt;Patrícia Karla de Sousa Araújo",$B:$B,"&lt;&gt;Lorena Dias de Araujo",$B:$B,"&lt;&gt;Lucas Luiz Romero")*(10/1083),0)))))),0)</f>
        <v/>
      </c>
      <c r="K580" s="3">
        <f>I580-J580</f>
        <v/>
      </c>
      <c r="L580" s="3">
        <f>IF(K580&lt;-5,"CRÍTICO",IF(K580&lt;0,"ATENÇÃO",IF(K580&lt;=5,"BOM","EXCELENTE")))</f>
        <v/>
      </c>
      <c r="M580" s="3" t="n">
        <v>31</v>
      </c>
      <c r="N580" s="3" t="n">
        <v>99.13</v>
      </c>
      <c r="O580" s="3" t="n">
        <v>14.7239263803681</v>
      </c>
    </row>
    <row r="581" hidden="1">
      <c r="A581" s="5" t="n">
        <v>46149</v>
      </c>
      <c r="B581" s="6" t="inlineStr">
        <is>
          <t>Carlos Mateus Cassimiro Nunes</t>
        </is>
      </c>
      <c r="C581" s="9" t="inlineStr">
        <is>
          <t>Técnico II</t>
        </is>
      </c>
      <c r="D581" s="3" t="n">
        <v>24</v>
      </c>
      <c r="E581" s="3" t="n">
        <v>24</v>
      </c>
      <c r="F581" t="n">
        <v>25.23</v>
      </c>
      <c r="G581" s="3" t="n">
        <v>5</v>
      </c>
      <c r="H581" s="3" t="n">
        <v>0</v>
      </c>
      <c r="I581" s="3">
        <f>E581+G581+H581</f>
        <v/>
      </c>
      <c r="J581" s="3">
        <f>ROUND(MIN(IF(C581="Técnico III",35,IF(C581="Técnico II",28,IF(C581="Técnico I",23,IF(C581="JR",20,IF(C581="Estágio",10,0))))),IF(C581="Técnico III",SUMIFS($D:$D,$A:$A,$A581,$B:$B,"&lt;&gt;Patrícia Karla de Sousa Araújo",$B:$B,"&lt;&gt;Lorena Dias de Araujo",$B:$B,"&lt;&gt;Lucas Luiz Romero")*(35/1083),IF(C581="Técnico II",SUMIFS($D:$D,$A:$A,$A581,$B:$B,"&lt;&gt;Patrícia Karla de Sousa Araújo",$B:$B,"&lt;&gt;Lorena Dias de Araujo",$B:$B,"&lt;&gt;Lucas Luiz Romero")*(28/1083),IF(C581="Técnico I",SUMIFS($D:$D,$A:$A,$A581,$B:$B,"&lt;&gt;Patrícia Karla de Sousa Araújo",$B:$B,"&lt;&gt;Lorena Dias de Araujo",$B:$B,"&lt;&gt;Lucas Luiz Romero")*(23/1083),IF(C581="JR",SUMIFS($D:$D,$A:$A,$A581,$B:$B,"&lt;&gt;Patrícia Karla de Sousa Araújo",$B:$B,"&lt;&gt;Lorena Dias de Araujo",$B:$B,"&lt;&gt;Lucas Luiz Romero")*(20/1083),IF(C581="Estágio",SUMIFS($D:$D,$A:$A,$A581,$B:$B,"&lt;&gt;Patrícia Karla de Sousa Araújo",$B:$B,"&lt;&gt;Lorena Dias de Araujo",$B:$B,"&lt;&gt;Lucas Luiz Romero")*(10/1083),0)))))),0)</f>
        <v/>
      </c>
      <c r="K581" s="3">
        <f>I581-J581</f>
        <v/>
      </c>
      <c r="L581" s="3">
        <f>IF(K581&lt;-5,"CRÍTICO",IF(K581&lt;0,"ATENÇÃO",IF(K581&lt;=5,"BOM","EXCELENTE")))</f>
        <v/>
      </c>
      <c r="M581" s="3" t="n">
        <v>27</v>
      </c>
      <c r="N581" s="3" t="n">
        <v>98.8</v>
      </c>
      <c r="O581" s="3" t="n">
        <v>16.89750692520776</v>
      </c>
    </row>
    <row r="582" hidden="1">
      <c r="A582" s="5" t="n">
        <v>46149</v>
      </c>
      <c r="B582" s="6" t="inlineStr">
        <is>
          <t>Damyllis Lorraine de Oliveira Gonçalves</t>
        </is>
      </c>
      <c r="C582" s="3" t="inlineStr">
        <is>
          <t>Técnico II</t>
        </is>
      </c>
      <c r="D582" s="3" t="n">
        <v>17</v>
      </c>
      <c r="E582" s="3" t="n">
        <v>16</v>
      </c>
      <c r="F582" t="n">
        <v>30.25</v>
      </c>
      <c r="G582" s="3" t="n">
        <v>0</v>
      </c>
      <c r="H582" s="3" t="n">
        <v>0</v>
      </c>
      <c r="I582" s="3" t="n">
        <v>0</v>
      </c>
      <c r="J582" s="3" t="n">
        <v>0</v>
      </c>
      <c r="K582" s="3" t="n">
        <v>0</v>
      </c>
      <c r="L582" s="3">
        <f>IF(K582&lt;-5,"CRÍTICO",IF(K582&lt;0,"ATENÇÃO",IF(K582&lt;=5,"BOM","EXCELENTE")))</f>
        <v/>
      </c>
      <c r="M582" s="3" t="n">
        <v>19</v>
      </c>
      <c r="N582" s="3" t="n">
        <v>98.63</v>
      </c>
      <c r="O582" s="3" t="n">
        <v>18.75</v>
      </c>
    </row>
    <row r="583" hidden="1">
      <c r="A583" s="5" t="n">
        <v>46149</v>
      </c>
      <c r="B583" s="6" t="inlineStr">
        <is>
          <t>Emilly Kamilly Medeiros Miranda</t>
        </is>
      </c>
      <c r="C583" s="3" t="inlineStr">
        <is>
          <t>Técnico II</t>
        </is>
      </c>
      <c r="D583" s="3" t="n">
        <v>30</v>
      </c>
      <c r="E583" s="3" t="n">
        <v>29</v>
      </c>
      <c r="F583" t="n">
        <v>17.1</v>
      </c>
      <c r="G583" s="3" t="n">
        <v>2</v>
      </c>
      <c r="H583" s="3" t="n">
        <v>0</v>
      </c>
      <c r="I583" s="3">
        <f>E583+G583+H583</f>
        <v/>
      </c>
      <c r="J583" s="3">
        <f>ROUND(MIN(IF(C583="Técnico III",35,IF(C583="Técnico II",28,IF(C583="Técnico I",23,IF(C583="JR",20,IF(C583="Estágio",10,0))))),IF(C583="Técnico III",SUMIFS($D:$D,$A:$A,$A583,$B:$B,"&lt;&gt;Patrícia Karla de Sousa Araújo",$B:$B,"&lt;&gt;Lorena Dias de Araujo",$B:$B,"&lt;&gt;Lucas Luiz Romero")*(35/1083),IF(C583="Técnico II",SUMIFS($D:$D,$A:$A,$A583,$B:$B,"&lt;&gt;Patrícia Karla de Sousa Araújo",$B:$B,"&lt;&gt;Lorena Dias de Araujo",$B:$B,"&lt;&gt;Lucas Luiz Romero")*(28/1083),IF(C583="Técnico I",SUMIFS($D:$D,$A:$A,$A583,$B:$B,"&lt;&gt;Patrícia Karla de Sousa Araújo",$B:$B,"&lt;&gt;Lorena Dias de Araujo",$B:$B,"&lt;&gt;Lucas Luiz Romero")*(23/1083),IF(C583="JR",SUMIFS($D:$D,$A:$A,$A583,$B:$B,"&lt;&gt;Patrícia Karla de Sousa Araújo",$B:$B,"&lt;&gt;Lorena Dias de Araujo",$B:$B,"&lt;&gt;Lucas Luiz Romero")*(20/1083),IF(C583="Estágio",SUMIFS($D:$D,$A:$A,$A583,$B:$B,"&lt;&gt;Patrícia Karla de Sousa Araújo",$B:$B,"&lt;&gt;Lorena Dias de Araujo",$B:$B,"&lt;&gt;Lucas Luiz Romero")*(10/1083),0)))))),0)</f>
        <v/>
      </c>
      <c r="K583" s="3">
        <f>I583-J583</f>
        <v/>
      </c>
      <c r="L583" s="3">
        <f>IF(K583&lt;-5,"CRÍTICO",IF(K583&lt;0,"ATENÇÃO",IF(K583&lt;=5,"BOM","EXCELENTE")))</f>
        <v/>
      </c>
      <c r="M583" s="3" t="n">
        <v>28</v>
      </c>
      <c r="N583" s="3" t="n">
        <v>100</v>
      </c>
      <c r="O583" s="3" t="n">
        <v>13.8121546961326</v>
      </c>
    </row>
    <row r="584" hidden="1">
      <c r="A584" s="5" t="n">
        <v>46149</v>
      </c>
      <c r="B584" s="6" t="inlineStr">
        <is>
          <t>Francilene Ferreira de Jesus</t>
        </is>
      </c>
      <c r="C584" s="3" t="inlineStr">
        <is>
          <t>Técnico II</t>
        </is>
      </c>
      <c r="D584" s="3" t="n">
        <v>0</v>
      </c>
      <c r="E584" s="3" t="n">
        <v>0</v>
      </c>
      <c r="F584" s="3" t="n">
        <v>0</v>
      </c>
      <c r="G584" s="3" t="n">
        <v>0</v>
      </c>
      <c r="H584" s="3" t="n">
        <v>0</v>
      </c>
      <c r="I584" s="3" t="n">
        <v>0</v>
      </c>
      <c r="J584" s="3" t="n">
        <v>0</v>
      </c>
      <c r="K584" s="3" t="n">
        <v>0</v>
      </c>
      <c r="L584" s="3">
        <f>IF(K584&lt;-5,"CRÍTICO",IF(K584&lt;0,"ATENÇÃO",IF(K584&lt;=5,"BOM","EXCELENTE")))</f>
        <v/>
      </c>
      <c r="M584" s="3" t="n">
        <v>0</v>
      </c>
      <c r="N584" s="3" t="n">
        <v>100</v>
      </c>
      <c r="O584" s="3" t="n">
        <v>17.24137931034483</v>
      </c>
    </row>
    <row r="585" hidden="1">
      <c r="A585" s="5" t="n">
        <v>46149</v>
      </c>
      <c r="B585" s="6" t="inlineStr">
        <is>
          <t>Isabella Borges de Oliveira</t>
        </is>
      </c>
      <c r="C585" s="9" t="inlineStr">
        <is>
          <t>Técnico II</t>
        </is>
      </c>
      <c r="D585" s="3" t="n">
        <v>25</v>
      </c>
      <c r="E585" s="3" t="n">
        <v>24</v>
      </c>
      <c r="F585" t="n">
        <v>24.02</v>
      </c>
      <c r="G585" s="3" t="n">
        <v>0</v>
      </c>
      <c r="H585" s="3" t="n">
        <v>0</v>
      </c>
      <c r="I585" s="3">
        <f>E585+G585+H585</f>
        <v/>
      </c>
      <c r="J585" s="3">
        <f>ROUND(MIN(IF(C585="Técnico III",35,IF(C585="Técnico II",28,IF(C585="Técnico I",23,IF(C585="JR",20,IF(C585="Estágio",10,0))))),IF(C585="Técnico III",SUMIFS($D:$D,$A:$A,$A585,$B:$B,"&lt;&gt;Patrícia Karla de Sousa Araújo",$B:$B,"&lt;&gt;Lorena Dias de Araujo",$B:$B,"&lt;&gt;Lucas Luiz Romero")*(35/1083),IF(C585="Técnico II",SUMIFS($D:$D,$A:$A,$A585,$B:$B,"&lt;&gt;Patrícia Karla de Sousa Araújo",$B:$B,"&lt;&gt;Lorena Dias de Araujo",$B:$B,"&lt;&gt;Lucas Luiz Romero")*(28/1083),IF(C585="Técnico I",SUMIFS($D:$D,$A:$A,$A585,$B:$B,"&lt;&gt;Patrícia Karla de Sousa Araújo",$B:$B,"&lt;&gt;Lorena Dias de Araujo",$B:$B,"&lt;&gt;Lucas Luiz Romero")*(23/1083),IF(C585="JR",SUMIFS($D:$D,$A:$A,$A585,$B:$B,"&lt;&gt;Patrícia Karla de Sousa Araújo",$B:$B,"&lt;&gt;Lorena Dias de Araujo",$B:$B,"&lt;&gt;Lucas Luiz Romero")*(20/1083),IF(C585="Estágio",SUMIFS($D:$D,$A:$A,$A585,$B:$B,"&lt;&gt;Patrícia Karla de Sousa Araújo",$B:$B,"&lt;&gt;Lorena Dias de Araujo",$B:$B,"&lt;&gt;Lucas Luiz Romero")*(10/1083),0)))))),0)</f>
        <v/>
      </c>
      <c r="K585" s="3">
        <f>I585-J585</f>
        <v/>
      </c>
      <c r="L585" s="3">
        <f>IF(K585&lt;-5,"CRÍTICO",IF(K585&lt;0,"ATENÇÃO",IF(K585&lt;=5,"BOM","EXCELENTE")))</f>
        <v/>
      </c>
      <c r="M585" s="3" t="n">
        <v>22</v>
      </c>
      <c r="N585" s="3" t="n">
        <v>98.63</v>
      </c>
      <c r="O585" s="3" t="n">
        <v>15.75757575757576</v>
      </c>
    </row>
    <row r="586" hidden="1">
      <c r="A586" s="5" t="n">
        <v>46149</v>
      </c>
      <c r="B586" s="6" t="inlineStr">
        <is>
          <t>Jessica Faria da Silveira</t>
        </is>
      </c>
      <c r="C586" s="3" t="inlineStr">
        <is>
          <t>Técnico II</t>
        </is>
      </c>
      <c r="D586" s="3" t="n">
        <v>34</v>
      </c>
      <c r="E586" s="3" t="n">
        <v>28</v>
      </c>
      <c r="F586" t="n">
        <v>13.53</v>
      </c>
      <c r="G586" s="3" t="n">
        <v>0</v>
      </c>
      <c r="H586" s="3" t="n">
        <v>0</v>
      </c>
      <c r="I586" s="3">
        <f>E586+G586+H586</f>
        <v/>
      </c>
      <c r="J586" s="3">
        <f>ROUND(MIN(IF(C586="Técnico III",35,IF(C586="Técnico II",28,IF(C586="Técnico I",23,IF(C586="JR",20,IF(C586="Estágio",10,0))))),IF(C586="Técnico III",SUMIFS($D:$D,$A:$A,$A586,$B:$B,"&lt;&gt;Patrícia Karla de Sousa Araújo",$B:$B,"&lt;&gt;Lorena Dias de Araujo",$B:$B,"&lt;&gt;Lucas Luiz Romero")*(35/1083),IF(C586="Técnico II",SUMIFS($D:$D,$A:$A,$A586,$B:$B,"&lt;&gt;Patrícia Karla de Sousa Araújo",$B:$B,"&lt;&gt;Lorena Dias de Araujo",$B:$B,"&lt;&gt;Lucas Luiz Romero")*(28/1083),IF(C586="Técnico I",SUMIFS($D:$D,$A:$A,$A586,$B:$B,"&lt;&gt;Patrícia Karla de Sousa Araújo",$B:$B,"&lt;&gt;Lorena Dias de Araujo",$B:$B,"&lt;&gt;Lucas Luiz Romero")*(23/1083),IF(C586="JR",SUMIFS($D:$D,$A:$A,$A586,$B:$B,"&lt;&gt;Patrícia Karla de Sousa Araújo",$B:$B,"&lt;&gt;Lorena Dias de Araujo",$B:$B,"&lt;&gt;Lucas Luiz Romero")*(20/1083),IF(C586="Estágio",SUMIFS($D:$D,$A:$A,$A586,$B:$B,"&lt;&gt;Patrícia Karla de Sousa Araújo",$B:$B,"&lt;&gt;Lorena Dias de Araujo",$B:$B,"&lt;&gt;Lucas Luiz Romero")*(10/1083),0)))))),0)</f>
        <v/>
      </c>
      <c r="K586" s="3">
        <f>I586-J586</f>
        <v/>
      </c>
      <c r="L586" s="3">
        <f>IF(K586&lt;-5,"CRÍTICO",IF(K586&lt;0,"ATENÇÃO",IF(K586&lt;=5,"BOM","EXCELENTE")))</f>
        <v/>
      </c>
      <c r="M586" s="3" t="n">
        <v>26</v>
      </c>
      <c r="N586" s="3" t="n">
        <v>98.61</v>
      </c>
      <c r="O586" s="3" t="n">
        <v>16.97530864197531</v>
      </c>
    </row>
    <row r="587" hidden="1">
      <c r="A587" s="5" t="n">
        <v>46149</v>
      </c>
      <c r="B587" s="6" t="inlineStr">
        <is>
          <t>Lizandra Gomes Duarte</t>
        </is>
      </c>
      <c r="C587" s="3" t="inlineStr">
        <is>
          <t>Técnico II</t>
        </is>
      </c>
      <c r="D587" s="3" t="n">
        <v>40</v>
      </c>
      <c r="E587" s="3" t="n">
        <v>37</v>
      </c>
      <c r="F587" t="n">
        <v>13.54</v>
      </c>
      <c r="G587" s="3" t="n">
        <v>6</v>
      </c>
      <c r="H587" s="3" t="n">
        <v>0</v>
      </c>
      <c r="I587" s="3">
        <f>E587+G587+H587</f>
        <v/>
      </c>
      <c r="J587" s="3">
        <f>ROUND(MIN(IF(C587="Técnico III",35,IF(C587="Técnico II",28,IF(C587="Técnico I",23,IF(C587="JR",20,IF(C587="Estágio",10,0))))),IF(C587="Técnico III",SUMIFS($D:$D,$A:$A,$A587,$B:$B,"&lt;&gt;Patrícia Karla de Sousa Araújo",$B:$B,"&lt;&gt;Lorena Dias de Araujo",$B:$B,"&lt;&gt;Lucas Luiz Romero")*(35/1083),IF(C587="Técnico II",SUMIFS($D:$D,$A:$A,$A587,$B:$B,"&lt;&gt;Patrícia Karla de Sousa Araújo",$B:$B,"&lt;&gt;Lorena Dias de Araujo",$B:$B,"&lt;&gt;Lucas Luiz Romero")*(28/1083),IF(C587="Técnico I",SUMIFS($D:$D,$A:$A,$A587,$B:$B,"&lt;&gt;Patrícia Karla de Sousa Araújo",$B:$B,"&lt;&gt;Lorena Dias de Araujo",$B:$B,"&lt;&gt;Lucas Luiz Romero")*(23/1083),IF(C587="JR",SUMIFS($D:$D,$A:$A,$A587,$B:$B,"&lt;&gt;Patrícia Karla de Sousa Araújo",$B:$B,"&lt;&gt;Lorena Dias de Araujo",$B:$B,"&lt;&gt;Lucas Luiz Romero")*(20/1083),IF(C587="Estágio",SUMIFS($D:$D,$A:$A,$A587,$B:$B,"&lt;&gt;Patrícia Karla de Sousa Araújo",$B:$B,"&lt;&gt;Lorena Dias de Araujo",$B:$B,"&lt;&gt;Lucas Luiz Romero")*(10/1083),0)))))),0)</f>
        <v/>
      </c>
      <c r="K587" s="3">
        <f>I587-J587</f>
        <v/>
      </c>
      <c r="L587" s="3">
        <f>IF(K587&lt;-5,"CRÍTICO",IF(K587&lt;0,"ATENÇÃO",IF(K587&lt;=5,"BOM","EXCELENTE")))</f>
        <v/>
      </c>
      <c r="M587" s="3" t="n">
        <v>51</v>
      </c>
      <c r="N587" s="3" t="n">
        <v>98.61</v>
      </c>
      <c r="O587" s="3" t="n">
        <v>16.86746987951807</v>
      </c>
    </row>
    <row r="588" hidden="1">
      <c r="A588" s="5" t="n">
        <v>46149</v>
      </c>
      <c r="B588" s="6" t="inlineStr">
        <is>
          <t>Lorena Dias de Araujo</t>
        </is>
      </c>
      <c r="C588" s="3" t="inlineStr">
        <is>
          <t>Técnico II</t>
        </is>
      </c>
      <c r="D588" s="3" t="n">
        <v>26</v>
      </c>
      <c r="E588" s="3" t="n">
        <v>24</v>
      </c>
      <c r="F588" t="n">
        <v>18.21</v>
      </c>
      <c r="G588" s="3" t="n">
        <v>0</v>
      </c>
      <c r="H588" s="3" t="n">
        <v>0</v>
      </c>
      <c r="I588" s="3" t="n">
        <v>0</v>
      </c>
      <c r="J588" s="3" t="n">
        <v>0</v>
      </c>
      <c r="K588" s="3" t="n">
        <v>0</v>
      </c>
      <c r="L588" s="3">
        <f>IF(K588&lt;-5,"CRÍTICO",IF(K588&lt;0,"ATENÇÃO",IF(K588&lt;=5,"BOM","EXCELENTE")))</f>
        <v/>
      </c>
      <c r="M588" s="3" t="n">
        <v>26</v>
      </c>
      <c r="N588" s="3" t="n">
        <v>100</v>
      </c>
      <c r="O588" s="3" t="n">
        <v>20.82018927444795</v>
      </c>
    </row>
    <row r="589" hidden="1">
      <c r="A589" s="5" t="n">
        <v>46149</v>
      </c>
      <c r="B589" s="6" t="inlineStr">
        <is>
          <t>Patrícia Karla de Sousa Araújo</t>
        </is>
      </c>
      <c r="C589" s="3" t="inlineStr">
        <is>
          <t>Técnico II</t>
        </is>
      </c>
      <c r="D589" s="3" t="n">
        <v>10</v>
      </c>
      <c r="E589" s="3" t="n">
        <v>10</v>
      </c>
      <c r="F589" t="n">
        <v>28.38</v>
      </c>
      <c r="G589" s="3" t="n">
        <v>0</v>
      </c>
      <c r="H589" s="3" t="n">
        <v>0</v>
      </c>
      <c r="I589" s="3">
        <f>E589+G589+H589</f>
        <v/>
      </c>
      <c r="J589" s="3">
        <f>ROUND(MIN(IF(C589="Técnico III",35,IF(C589="Técnico II",28,IF(C589="Técnico I",23,IF(C589="JR",20,IF(C589="Estágio",10,0))))),IF(C589="Técnico III",SUMIFS($D:$D,$A:$A,$A589,$B:$B,"&lt;&gt;Patrícia Karla de Sousa Araújo",$B:$B,"&lt;&gt;Lorena Dias de Araujo",$B:$B,"&lt;&gt;Lucas Luiz Romero")*(35/1083),IF(C589="Técnico II",SUMIFS($D:$D,$A:$A,$A589,$B:$B,"&lt;&gt;Patrícia Karla de Sousa Araújo",$B:$B,"&lt;&gt;Lorena Dias de Araujo",$B:$B,"&lt;&gt;Lucas Luiz Romero")*(28/1083),IF(C589="Técnico I",SUMIFS($D:$D,$A:$A,$A589,$B:$B,"&lt;&gt;Patrícia Karla de Sousa Araújo",$B:$B,"&lt;&gt;Lorena Dias de Araujo",$B:$B,"&lt;&gt;Lucas Luiz Romero")*(23/1083),IF(C589="JR",SUMIFS($D:$D,$A:$A,$A589,$B:$B,"&lt;&gt;Patrícia Karla de Sousa Araújo",$B:$B,"&lt;&gt;Lorena Dias de Araujo",$B:$B,"&lt;&gt;Lucas Luiz Romero")*(20/1083),IF(C589="Estágio",SUMIFS($D:$D,$A:$A,$A589,$B:$B,"&lt;&gt;Patrícia Karla de Sousa Araújo",$B:$B,"&lt;&gt;Lorena Dias de Araujo",$B:$B,"&lt;&gt;Lucas Luiz Romero")*(10/1083),0)))))),0)</f>
        <v/>
      </c>
      <c r="K589" s="3">
        <f>I589-J589</f>
        <v/>
      </c>
      <c r="L589" s="3">
        <f>IF(K589&lt;-5,"CRÍTICO",IF(K589&lt;0,"ATENÇÃO",IF(K589&lt;=5,"BOM","EXCELENTE")))</f>
        <v/>
      </c>
      <c r="M589" s="3" t="n">
        <v>9</v>
      </c>
      <c r="N589" s="3" t="n">
        <v>100</v>
      </c>
      <c r="O589" s="3" t="n">
        <v>16.89497716894977</v>
      </c>
    </row>
    <row r="590" hidden="1">
      <c r="A590" s="5" t="n">
        <v>46150</v>
      </c>
      <c r="B590" s="6" t="inlineStr">
        <is>
          <t>Alisson de Freitas Silva</t>
        </is>
      </c>
      <c r="C590" s="3" t="inlineStr">
        <is>
          <t>Técnico II</t>
        </is>
      </c>
      <c r="D590" s="3" t="n">
        <v>34</v>
      </c>
      <c r="E590" s="3" t="n">
        <v>30</v>
      </c>
      <c r="F590" t="n">
        <v>11.56</v>
      </c>
      <c r="G590" s="3" t="n">
        <v>4</v>
      </c>
      <c r="H590" s="3" t="n">
        <v>0</v>
      </c>
      <c r="I590" s="3">
        <f>E590+G590+H590</f>
        <v/>
      </c>
      <c r="J590" s="3">
        <f>ROUND(MIN(IF(C590="Técnico III",35,IF(C590="Técnico II",28,IF(C590="Técnico I",23,IF(C590="JR",20,IF(C590="Estágio",10,0))))),IF(C590="Técnico III",SUMIFS($D:$D,$A:$A,$A590,$B:$B,"&lt;&gt;Patrícia Karla de Sousa Araújo",$B:$B,"&lt;&gt;Lorena Dias de Araujo",$B:$B,"&lt;&gt;Lucas Luiz Romero")*(35/1083),IF(C590="Técnico II",SUMIFS($D:$D,$A:$A,$A590,$B:$B,"&lt;&gt;Patrícia Karla de Sousa Araújo",$B:$B,"&lt;&gt;Lorena Dias de Araujo",$B:$B,"&lt;&gt;Lucas Luiz Romero")*(28/1083),IF(C590="Técnico I",SUMIFS($D:$D,$A:$A,$A590,$B:$B,"&lt;&gt;Patrícia Karla de Sousa Araújo",$B:$B,"&lt;&gt;Lorena Dias de Araujo",$B:$B,"&lt;&gt;Lucas Luiz Romero")*(23/1083),IF(C590="JR",SUMIFS($D:$D,$A:$A,$A590,$B:$B,"&lt;&gt;Patrícia Karla de Sousa Araújo",$B:$B,"&lt;&gt;Lorena Dias de Araujo",$B:$B,"&lt;&gt;Lucas Luiz Romero")*(20/1083),IF(C590="Estágio",SUMIFS($D:$D,$A:$A,$A590,$B:$B,"&lt;&gt;Patrícia Karla de Sousa Araújo",$B:$B,"&lt;&gt;Lorena Dias de Araujo",$B:$B,"&lt;&gt;Lucas Luiz Romero")*(10/1083),0)))))),0)</f>
        <v/>
      </c>
      <c r="K590" s="3">
        <f>I590-J590</f>
        <v/>
      </c>
      <c r="L590" s="3">
        <f>IF(K590&lt;-5,"CRÍTICO",IF(K590&lt;0,"ATENÇÃO",IF(K590&lt;=5,"BOM","EXCELENTE")))</f>
        <v/>
      </c>
      <c r="M590" s="3" t="n">
        <v>21</v>
      </c>
      <c r="N590" s="3" t="n">
        <v>98.94</v>
      </c>
      <c r="O590" s="3" t="n">
        <v>19.61414790996785</v>
      </c>
    </row>
    <row r="591" hidden="1">
      <c r="A591" s="5" t="n">
        <v>46150</v>
      </c>
      <c r="B591" s="6" t="inlineStr">
        <is>
          <t>Brenda de Menezes Silva</t>
        </is>
      </c>
      <c r="C591" s="3" t="inlineStr">
        <is>
          <t>Técnico II</t>
        </is>
      </c>
      <c r="D591" s="3" t="n">
        <v>31</v>
      </c>
      <c r="E591" s="3" t="n">
        <v>28</v>
      </c>
      <c r="F591" t="n">
        <v>15.19</v>
      </c>
      <c r="G591" s="3" t="n">
        <v>4</v>
      </c>
      <c r="H591" s="3" t="n">
        <v>0</v>
      </c>
      <c r="I591" s="3">
        <f>E591+G591+H591</f>
        <v/>
      </c>
      <c r="J591" s="3">
        <f>ROUND(MIN(IF(C591="Técnico III",35,IF(C591="Técnico II",28,IF(C591="Técnico I",23,IF(C591="JR",20,IF(C591="Estágio",10,0))))),IF(C591="Técnico III",SUMIFS($D:$D,$A:$A,$A591,$B:$B,"&lt;&gt;Patrícia Karla de Sousa Araújo",$B:$B,"&lt;&gt;Lorena Dias de Araujo",$B:$B,"&lt;&gt;Lucas Luiz Romero")*(35/1083),IF(C591="Técnico II",SUMIFS($D:$D,$A:$A,$A591,$B:$B,"&lt;&gt;Patrícia Karla de Sousa Araújo",$B:$B,"&lt;&gt;Lorena Dias de Araujo",$B:$B,"&lt;&gt;Lucas Luiz Romero")*(28/1083),IF(C591="Técnico I",SUMIFS($D:$D,$A:$A,$A591,$B:$B,"&lt;&gt;Patrícia Karla de Sousa Araújo",$B:$B,"&lt;&gt;Lorena Dias de Araujo",$B:$B,"&lt;&gt;Lucas Luiz Romero")*(23/1083),IF(C591="JR",SUMIFS($D:$D,$A:$A,$A591,$B:$B,"&lt;&gt;Patrícia Karla de Sousa Araújo",$B:$B,"&lt;&gt;Lorena Dias de Araujo",$B:$B,"&lt;&gt;Lucas Luiz Romero")*(20/1083),IF(C591="Estágio",SUMIFS($D:$D,$A:$A,$A591,$B:$B,"&lt;&gt;Patrícia Karla de Sousa Araújo",$B:$B,"&lt;&gt;Lorena Dias de Araujo",$B:$B,"&lt;&gt;Lucas Luiz Romero")*(10/1083),0)))))),0)</f>
        <v/>
      </c>
      <c r="K591" s="3">
        <f>I591-J591</f>
        <v/>
      </c>
      <c r="L591" s="3">
        <f>IF(K591&lt;-5,"CRÍTICO",IF(K591&lt;0,"ATENÇÃO",IF(K591&lt;=5,"BOM","EXCELENTE")))</f>
        <v/>
      </c>
      <c r="M591" t="n">
        <v>35</v>
      </c>
      <c r="N591" t="n">
        <v>99.13</v>
      </c>
      <c r="O591" t="n">
        <v>14.7239263803681</v>
      </c>
    </row>
    <row r="592" hidden="1">
      <c r="A592" s="5" t="n">
        <v>46150</v>
      </c>
      <c r="B592" s="6" t="inlineStr">
        <is>
          <t>Carlos Mateus Cassimiro Nunes</t>
        </is>
      </c>
      <c r="C592" s="9" t="inlineStr">
        <is>
          <t>Técnico II</t>
        </is>
      </c>
      <c r="D592" s="3" t="n">
        <v>12</v>
      </c>
      <c r="E592" s="3" t="n">
        <v>12</v>
      </c>
      <c r="F592" t="n">
        <v>38.58</v>
      </c>
      <c r="G592" s="3" t="n">
        <v>0</v>
      </c>
      <c r="H592" s="3" t="n">
        <v>0</v>
      </c>
      <c r="I592" s="3">
        <f>E592+G592+H592</f>
        <v/>
      </c>
      <c r="J592" s="3">
        <f>ROUND(MIN(IF(C592="Técnico III",35,IF(C592="Técnico II",28,IF(C592="Técnico I",23,IF(C592="JR",20,IF(C592="Estágio",10,0))))),IF(C592="Técnico III",SUMIFS($D:$D,$A:$A,$A592,$B:$B,"&lt;&gt;Patrícia Karla de Sousa Araújo",$B:$B,"&lt;&gt;Lorena Dias de Araujo",$B:$B,"&lt;&gt;Lucas Luiz Romero")*(35/1083),IF(C592="Técnico II",SUMIFS($D:$D,$A:$A,$A592,$B:$B,"&lt;&gt;Patrícia Karla de Sousa Araújo",$B:$B,"&lt;&gt;Lorena Dias de Araujo",$B:$B,"&lt;&gt;Lucas Luiz Romero")*(28/1083),IF(C592="Técnico I",SUMIFS($D:$D,$A:$A,$A592,$B:$B,"&lt;&gt;Patrícia Karla de Sousa Araújo",$B:$B,"&lt;&gt;Lorena Dias de Araujo",$B:$B,"&lt;&gt;Lucas Luiz Romero")*(23/1083),IF(C592="JR",SUMIFS($D:$D,$A:$A,$A592,$B:$B,"&lt;&gt;Patrícia Karla de Sousa Araújo",$B:$B,"&lt;&gt;Lorena Dias de Araujo",$B:$B,"&lt;&gt;Lucas Luiz Romero")*(20/1083),IF(C592="Estágio",SUMIFS($D:$D,$A:$A,$A592,$B:$B,"&lt;&gt;Patrícia Karla de Sousa Araújo",$B:$B,"&lt;&gt;Lorena Dias de Araujo",$B:$B,"&lt;&gt;Lucas Luiz Romero")*(10/1083),0)))))),0)</f>
        <v/>
      </c>
      <c r="K592" s="3">
        <f>I592-J592</f>
        <v/>
      </c>
      <c r="L592" s="3">
        <f>IF(K592&lt;-5,"CRÍTICO",IF(K592&lt;0,"ATENÇÃO",IF(K592&lt;=5,"BOM","EXCELENTE")))</f>
        <v/>
      </c>
      <c r="M592" t="n">
        <v>12</v>
      </c>
      <c r="N592" t="n">
        <v>98.8</v>
      </c>
      <c r="O592" t="n">
        <v>16.89750692520776</v>
      </c>
    </row>
    <row r="593" hidden="1">
      <c r="A593" s="11" t="n">
        <v>46050</v>
      </c>
      <c r="B593" t="inlineStr">
        <is>
          <t>Gabriel Gomes de Andrade</t>
        </is>
      </c>
      <c r="C593" t="inlineStr">
        <is>
          <t>Técnico I</t>
        </is>
      </c>
      <c r="D593" t="n">
        <v>26</v>
      </c>
      <c r="E593" t="n">
        <v>25</v>
      </c>
      <c r="F593" t="n">
        <v>23.42</v>
      </c>
      <c r="G593" t="n">
        <v>0</v>
      </c>
      <c r="H593" t="n">
        <v>0</v>
      </c>
      <c r="I593" s="3">
        <f>E593+G593+H593</f>
        <v/>
      </c>
      <c r="J593" s="3">
        <f>ROUND(MIN(IF(C593="Técnico III",35,IF(C593="Técnico II",28,IF(C593="Técnico I",23,IF(C593="JR",20,IF(C593="Estágio",10,0))))),IF(C593="Técnico III",SUMIFS($D:$D,$A:$A,$A593,$B:$B,"&lt;&gt;Patrícia Karla de Sousa Araújo",$B:$B,"&lt;&gt;Lorena Dias de Araujo",$B:$B,"&lt;&gt;Lucas Luiz Romero")*(35/1083),IF(C593="Técnico II",SUMIFS($D:$D,$A:$A,$A593,$B:$B,"&lt;&gt;Patrícia Karla de Sousa Araújo",$B:$B,"&lt;&gt;Lorena Dias de Araujo",$B:$B,"&lt;&gt;Lucas Luiz Romero")*(28/1083),IF(C593="Técnico I",SUMIFS($D:$D,$A:$A,$A593,$B:$B,"&lt;&gt;Patrícia Karla de Sousa Araújo",$B:$B,"&lt;&gt;Lorena Dias de Araujo",$B:$B,"&lt;&gt;Lucas Luiz Romero")*(23/1083),IF(C593="JR",SUMIFS($D:$D,$A:$A,$A593,$B:$B,"&lt;&gt;Patrícia Karla de Sousa Araújo",$B:$B,"&lt;&gt;Lorena Dias de Araujo",$B:$B,"&lt;&gt;Lucas Luiz Romero")*(20/1083),IF(C593="Estágio",SUMIFS($D:$D,$A:$A,$A593,$B:$B,"&lt;&gt;Patrícia Karla de Sousa Araújo",$B:$B,"&lt;&gt;Lorena Dias de Araujo",$B:$B,"&lt;&gt;Lucas Luiz Romero")*(10/1083),0)))))),0)</f>
        <v/>
      </c>
      <c r="K593" s="3">
        <f>I593-J593</f>
        <v/>
      </c>
      <c r="L593" s="3">
        <f>IF(K593&lt;-5,"CRÍTICO",IF(K593&lt;0,"ATENÇÃO",IF(K593&lt;=5,"BOM","EXCELENTE")))</f>
        <v/>
      </c>
      <c r="M593" t="n">
        <v>21</v>
      </c>
      <c r="N593" t="n">
        <v>98.81</v>
      </c>
      <c r="O593" t="n">
        <v>31.87134502923977</v>
      </c>
    </row>
    <row r="594" hidden="1">
      <c r="A594" s="11" t="n">
        <v>46051</v>
      </c>
      <c r="B594" t="inlineStr">
        <is>
          <t>Gabriel Gomes de Andrade</t>
        </is>
      </c>
      <c r="C594" t="inlineStr">
        <is>
          <t>Técnico I</t>
        </is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s="3" t="n">
        <v>0</v>
      </c>
      <c r="J594" s="3" t="n">
        <v>0</v>
      </c>
      <c r="K594" s="3" t="n">
        <v>0</v>
      </c>
      <c r="L594" s="3">
        <f>IF(K594&lt;-5,"CRÍTICO",IF(K594&lt;0,"ATENÇÃO",IF(K594&lt;=5,"BOM","EXCELENTE")))</f>
        <v/>
      </c>
      <c r="M594" t="n">
        <v>0</v>
      </c>
      <c r="N594" t="n">
        <v>98.84999999999999</v>
      </c>
      <c r="O594" t="n">
        <v>31.87134502923977</v>
      </c>
    </row>
    <row r="595" hidden="1">
      <c r="A595" s="5" t="n">
        <v>46150</v>
      </c>
      <c r="B595" s="6" t="inlineStr">
        <is>
          <t>Damyllis Lorraine de Oliveira Gonçalves</t>
        </is>
      </c>
      <c r="C595" s="3" t="inlineStr">
        <is>
          <t>Técnico II</t>
        </is>
      </c>
      <c r="D595" s="3" t="n">
        <v>19</v>
      </c>
      <c r="E595" s="3" t="n">
        <v>17</v>
      </c>
      <c r="F595" t="n">
        <v>23.59</v>
      </c>
      <c r="G595" s="3" t="n">
        <v>0</v>
      </c>
      <c r="H595" s="3" t="n">
        <v>0</v>
      </c>
      <c r="I595" s="3" t="n">
        <v>0</v>
      </c>
      <c r="J595" s="3" t="n">
        <v>0</v>
      </c>
      <c r="K595" s="3" t="n">
        <v>0</v>
      </c>
      <c r="L595" s="3">
        <f>IF(K595&lt;-5,"CRÍTICO",IF(K595&lt;0,"ATENÇÃO",IF(K595&lt;=5,"BOM","EXCELENTE")))</f>
        <v/>
      </c>
      <c r="M595" t="n">
        <v>16</v>
      </c>
      <c r="N595" t="n">
        <v>98.63</v>
      </c>
      <c r="O595" t="n">
        <v>18.75</v>
      </c>
    </row>
    <row r="596" hidden="1">
      <c r="A596" s="5" t="n">
        <v>46150</v>
      </c>
      <c r="B596" s="6" t="inlineStr">
        <is>
          <t>Emilly Kamilly Medeiros Miranda</t>
        </is>
      </c>
      <c r="C596" s="3" t="inlineStr">
        <is>
          <t>Técnico II</t>
        </is>
      </c>
      <c r="D596" s="3" t="n">
        <v>25</v>
      </c>
      <c r="E596" s="3" t="n">
        <v>23</v>
      </c>
      <c r="F596" t="n">
        <v>12.17</v>
      </c>
      <c r="G596" s="3" t="n">
        <v>6</v>
      </c>
      <c r="H596" s="3" t="n">
        <v>0</v>
      </c>
      <c r="I596" s="3">
        <f>E596+G596+H596</f>
        <v/>
      </c>
      <c r="J596" s="3">
        <f>ROUND(MIN(IF(C596="Técnico III",35,IF(C596="Técnico II",28,IF(C596="Técnico I",23,IF(C596="JR",20,IF(C596="Estágio",10,0))))),IF(C596="Técnico III",SUMIFS($D:$D,$A:$A,$A596,$B:$B,"&lt;&gt;Patrícia Karla de Sousa Araújo",$B:$B,"&lt;&gt;Lorena Dias de Araujo",$B:$B,"&lt;&gt;Lucas Luiz Romero")*(35/1083),IF(C596="Técnico II",SUMIFS($D:$D,$A:$A,$A596,$B:$B,"&lt;&gt;Patrícia Karla de Sousa Araújo",$B:$B,"&lt;&gt;Lorena Dias de Araujo",$B:$B,"&lt;&gt;Lucas Luiz Romero")*(28/1083),IF(C596="Técnico I",SUMIFS($D:$D,$A:$A,$A596,$B:$B,"&lt;&gt;Patrícia Karla de Sousa Araújo",$B:$B,"&lt;&gt;Lorena Dias de Araujo",$B:$B,"&lt;&gt;Lucas Luiz Romero")*(23/1083),IF(C596="JR",SUMIFS($D:$D,$A:$A,$A596,$B:$B,"&lt;&gt;Patrícia Karla de Sousa Araújo",$B:$B,"&lt;&gt;Lorena Dias de Araujo",$B:$B,"&lt;&gt;Lucas Luiz Romero")*(20/1083),IF(C596="Estágio",SUMIFS($D:$D,$A:$A,$A596,$B:$B,"&lt;&gt;Patrícia Karla de Sousa Araújo",$B:$B,"&lt;&gt;Lorena Dias de Araujo",$B:$B,"&lt;&gt;Lucas Luiz Romero")*(10/1083),0)))))),0)</f>
        <v/>
      </c>
      <c r="K596" s="3">
        <f>I596-J596</f>
        <v/>
      </c>
      <c r="L596" s="3">
        <f>IF(K596&lt;-5,"CRÍTICO",IF(K596&lt;0,"ATENÇÃO",IF(K596&lt;=5,"BOM","EXCELENTE")))</f>
        <v/>
      </c>
      <c r="M596" t="n">
        <v>26</v>
      </c>
      <c r="N596" t="n">
        <v>100</v>
      </c>
      <c r="O596" t="n">
        <v>13.8121546961326</v>
      </c>
    </row>
    <row r="597" hidden="1">
      <c r="A597" s="5" t="n">
        <v>46150</v>
      </c>
      <c r="B597" s="6" t="inlineStr">
        <is>
          <t>Francilene Ferreira de Jesus</t>
        </is>
      </c>
      <c r="C597" s="3" t="inlineStr">
        <is>
          <t>Técnico II</t>
        </is>
      </c>
      <c r="D597" s="3" t="n">
        <v>0</v>
      </c>
      <c r="E597" s="3" t="n">
        <v>0</v>
      </c>
      <c r="F597" s="3" t="n">
        <v>0</v>
      </c>
      <c r="G597" s="3" t="n">
        <v>0</v>
      </c>
      <c r="H597" s="3" t="n">
        <v>0</v>
      </c>
      <c r="I597" s="3" t="n">
        <v>0</v>
      </c>
      <c r="J597" s="3" t="n">
        <v>0</v>
      </c>
      <c r="K597" s="3" t="n">
        <v>0</v>
      </c>
      <c r="L597" s="3">
        <f>IF(K597&lt;-5,"CRÍTICO",IF(K597&lt;0,"ATENÇÃO",IF(K597&lt;=5,"BOM","EXCELENTE")))</f>
        <v/>
      </c>
      <c r="M597" s="9" t="n">
        <v>0</v>
      </c>
      <c r="N597" s="9" t="n">
        <v>100</v>
      </c>
      <c r="O597" s="9" t="n">
        <v>17.24137931034483</v>
      </c>
    </row>
    <row r="598" hidden="1">
      <c r="A598" s="5" t="n">
        <v>46150</v>
      </c>
      <c r="B598" s="6" t="inlineStr">
        <is>
          <t>Isabella Borges de Oliveira</t>
        </is>
      </c>
      <c r="C598" s="9" t="inlineStr">
        <is>
          <t>Técnico II</t>
        </is>
      </c>
      <c r="D598" s="3" t="n">
        <v>30</v>
      </c>
      <c r="E598" s="3" t="n">
        <v>27</v>
      </c>
      <c r="F598" t="n">
        <v>15.28</v>
      </c>
      <c r="G598" s="3" t="n">
        <v>0</v>
      </c>
      <c r="H598" s="3" t="n">
        <v>0</v>
      </c>
      <c r="I598" s="3">
        <f>E598+G598+H598</f>
        <v/>
      </c>
      <c r="J598" s="3">
        <f>ROUND(MIN(IF(C598="Técnico III",35,IF(C598="Técnico II",28,IF(C598="Técnico I",23,IF(C598="JR",20,IF(C598="Estágio",10,0))))),IF(C598="Técnico III",SUMIFS($D:$D,$A:$A,$A598,$B:$B,"&lt;&gt;Patrícia Karla de Sousa Araújo",$B:$B,"&lt;&gt;Lorena Dias de Araujo",$B:$B,"&lt;&gt;Lucas Luiz Romero")*(35/1083),IF(C598="Técnico II",SUMIFS($D:$D,$A:$A,$A598,$B:$B,"&lt;&gt;Patrícia Karla de Sousa Araújo",$B:$B,"&lt;&gt;Lorena Dias de Araujo",$B:$B,"&lt;&gt;Lucas Luiz Romero")*(28/1083),IF(C598="Técnico I",SUMIFS($D:$D,$A:$A,$A598,$B:$B,"&lt;&gt;Patrícia Karla de Sousa Araújo",$B:$B,"&lt;&gt;Lorena Dias de Araujo",$B:$B,"&lt;&gt;Lucas Luiz Romero")*(23/1083),IF(C598="JR",SUMIFS($D:$D,$A:$A,$A598,$B:$B,"&lt;&gt;Patrícia Karla de Sousa Araújo",$B:$B,"&lt;&gt;Lorena Dias de Araujo",$B:$B,"&lt;&gt;Lucas Luiz Romero")*(20/1083),IF(C598="Estágio",SUMIFS($D:$D,$A:$A,$A598,$B:$B,"&lt;&gt;Patrícia Karla de Sousa Araújo",$B:$B,"&lt;&gt;Lorena Dias de Araujo",$B:$B,"&lt;&gt;Lucas Luiz Romero")*(10/1083),0)))))),0)</f>
        <v/>
      </c>
      <c r="K598" s="3">
        <f>I598-J598</f>
        <v/>
      </c>
      <c r="L598" s="3">
        <f>IF(K598&lt;-5,"CRÍTICO",IF(K598&lt;0,"ATENÇÃO",IF(K598&lt;=5,"BOM","EXCELENTE")))</f>
        <v/>
      </c>
      <c r="M598" t="n">
        <v>22</v>
      </c>
      <c r="N598" t="n">
        <v>98.63</v>
      </c>
      <c r="O598" t="n">
        <v>15.75757575757576</v>
      </c>
    </row>
    <row r="599" hidden="1">
      <c r="A599" s="5" t="n">
        <v>46150</v>
      </c>
      <c r="B599" s="6" t="inlineStr">
        <is>
          <t>Jessica Faria da Silveira</t>
        </is>
      </c>
      <c r="C599" s="3" t="inlineStr">
        <is>
          <t>Técnico II</t>
        </is>
      </c>
      <c r="D599" s="3" t="n">
        <v>25</v>
      </c>
      <c r="E599" s="3" t="n">
        <v>20</v>
      </c>
      <c r="F599" t="n">
        <v>14.16</v>
      </c>
      <c r="G599" s="3" t="n">
        <v>3</v>
      </c>
      <c r="H599" s="3" t="n">
        <v>0</v>
      </c>
      <c r="I599" s="3">
        <f>E599+G599+H599</f>
        <v/>
      </c>
      <c r="J599" s="3">
        <f>ROUND(MIN(IF(C599="Técnico III",35,IF(C599="Técnico II",28,IF(C599="Técnico I",23,IF(C599="JR",20,IF(C599="Estágio",10,0))))),IF(C599="Técnico III",SUMIFS($D:$D,$A:$A,$A599,$B:$B,"&lt;&gt;Patrícia Karla de Sousa Araújo",$B:$B,"&lt;&gt;Lorena Dias de Araujo",$B:$B,"&lt;&gt;Lucas Luiz Romero")*(35/1083),IF(C599="Técnico II",SUMIFS($D:$D,$A:$A,$A599,$B:$B,"&lt;&gt;Patrícia Karla de Sousa Araújo",$B:$B,"&lt;&gt;Lorena Dias de Araujo",$B:$B,"&lt;&gt;Lucas Luiz Romero")*(28/1083),IF(C599="Técnico I",SUMIFS($D:$D,$A:$A,$A599,$B:$B,"&lt;&gt;Patrícia Karla de Sousa Araújo",$B:$B,"&lt;&gt;Lorena Dias de Araujo",$B:$B,"&lt;&gt;Lucas Luiz Romero")*(23/1083),IF(C599="JR",SUMIFS($D:$D,$A:$A,$A599,$B:$B,"&lt;&gt;Patrícia Karla de Sousa Araújo",$B:$B,"&lt;&gt;Lorena Dias de Araujo",$B:$B,"&lt;&gt;Lucas Luiz Romero")*(20/1083),IF(C599="Estágio",SUMIFS($D:$D,$A:$A,$A599,$B:$B,"&lt;&gt;Patrícia Karla de Sousa Araújo",$B:$B,"&lt;&gt;Lorena Dias de Araujo",$B:$B,"&lt;&gt;Lucas Luiz Romero")*(10/1083),0)))))),0)</f>
        <v/>
      </c>
      <c r="K599" s="3">
        <f>I599-J599</f>
        <v/>
      </c>
      <c r="L599" s="3">
        <f>IF(K599&lt;-5,"CRÍTICO",IF(K599&lt;0,"ATENÇÃO",IF(K599&lt;=5,"BOM","EXCELENTE")))</f>
        <v/>
      </c>
      <c r="M599" t="n">
        <v>24</v>
      </c>
      <c r="N599" t="n">
        <v>98.61</v>
      </c>
      <c r="O599" t="n">
        <v>16.97530864197531</v>
      </c>
    </row>
    <row r="600" hidden="1">
      <c r="A600" s="5" t="n">
        <v>46150</v>
      </c>
      <c r="B600" s="6" t="inlineStr">
        <is>
          <t>Lizandra Gomes Duarte</t>
        </is>
      </c>
      <c r="C600" s="3" t="inlineStr">
        <is>
          <t>Técnico II</t>
        </is>
      </c>
      <c r="D600" s="3" t="n">
        <v>22</v>
      </c>
      <c r="E600" s="3" t="n">
        <v>18</v>
      </c>
      <c r="F600" t="n">
        <v>15.45</v>
      </c>
      <c r="G600" s="3" t="n">
        <v>3</v>
      </c>
      <c r="H600" s="3" t="n">
        <v>0</v>
      </c>
      <c r="I600" s="3">
        <f>E600+G600+H600</f>
        <v/>
      </c>
      <c r="J600" s="3">
        <f>ROUND(MIN(IF(C600="Técnico III",35,IF(C600="Técnico II",28,IF(C600="Técnico I",23,IF(C600="JR",20,IF(C600="Estágio",10,0))))),IF(C600="Técnico III",SUMIFS($D:$D,$A:$A,$A600,$B:$B,"&lt;&gt;Patrícia Karla de Sousa Araújo",$B:$B,"&lt;&gt;Lorena Dias de Araujo",$B:$B,"&lt;&gt;Lucas Luiz Romero")*(35/1083),IF(C600="Técnico II",SUMIFS($D:$D,$A:$A,$A600,$B:$B,"&lt;&gt;Patrícia Karla de Sousa Araújo",$B:$B,"&lt;&gt;Lorena Dias de Araujo",$B:$B,"&lt;&gt;Lucas Luiz Romero")*(28/1083),IF(C600="Técnico I",SUMIFS($D:$D,$A:$A,$A600,$B:$B,"&lt;&gt;Patrícia Karla de Sousa Araújo",$B:$B,"&lt;&gt;Lorena Dias de Araujo",$B:$B,"&lt;&gt;Lucas Luiz Romero")*(23/1083),IF(C600="JR",SUMIFS($D:$D,$A:$A,$A600,$B:$B,"&lt;&gt;Patrícia Karla de Sousa Araújo",$B:$B,"&lt;&gt;Lorena Dias de Araujo",$B:$B,"&lt;&gt;Lucas Luiz Romero")*(20/1083),IF(C600="Estágio",SUMIFS($D:$D,$A:$A,$A600,$B:$B,"&lt;&gt;Patrícia Karla de Sousa Araújo",$B:$B,"&lt;&gt;Lorena Dias de Araujo",$B:$B,"&lt;&gt;Lucas Luiz Romero")*(10/1083),0)))))),0)</f>
        <v/>
      </c>
      <c r="K600" s="3">
        <f>I600-J600</f>
        <v/>
      </c>
      <c r="L600" s="3">
        <f>IF(K600&lt;-5,"CRÍTICO",IF(K600&lt;0,"ATENÇÃO",IF(K600&lt;=5,"BOM","EXCELENTE")))</f>
        <v/>
      </c>
      <c r="M600" t="n">
        <v>18</v>
      </c>
      <c r="N600" t="n">
        <v>98.61</v>
      </c>
      <c r="O600" t="n">
        <v>16.86746987951807</v>
      </c>
    </row>
    <row r="601" hidden="1">
      <c r="A601" s="5" t="n">
        <v>46150</v>
      </c>
      <c r="B601" s="6" t="inlineStr">
        <is>
          <t>Lorena Dias de Araujo</t>
        </is>
      </c>
      <c r="C601" s="3" t="inlineStr">
        <is>
          <t>Técnico II</t>
        </is>
      </c>
      <c r="D601" s="3" t="n">
        <v>26</v>
      </c>
      <c r="E601" s="3" t="n">
        <v>26</v>
      </c>
      <c r="F601" t="n">
        <v>20.06</v>
      </c>
      <c r="G601" s="3" t="n">
        <v>0</v>
      </c>
      <c r="H601" s="3" t="n">
        <v>0</v>
      </c>
      <c r="I601" s="3" t="n">
        <v>0</v>
      </c>
      <c r="J601" s="3" t="n">
        <v>0</v>
      </c>
      <c r="K601" s="3" t="n">
        <v>0</v>
      </c>
      <c r="L601" s="3">
        <f>IF(K601&lt;-5,"CRÍTICO",IF(K601&lt;0,"ATENÇÃO",IF(K601&lt;=5,"BOM","EXCELENTE")))</f>
        <v/>
      </c>
      <c r="M601" t="n">
        <v>21</v>
      </c>
      <c r="N601" t="n">
        <v>100</v>
      </c>
      <c r="O601" t="n">
        <v>20.82018927444795</v>
      </c>
    </row>
    <row r="602" hidden="1">
      <c r="A602" s="5" t="n">
        <v>46150</v>
      </c>
      <c r="B602" s="6" t="inlineStr">
        <is>
          <t>Patrícia Karla de Sousa Araújo</t>
        </is>
      </c>
      <c r="C602" s="3" t="inlineStr">
        <is>
          <t>Técnico II</t>
        </is>
      </c>
      <c r="D602" s="3" t="n">
        <v>19</v>
      </c>
      <c r="E602" s="3" t="n">
        <v>19</v>
      </c>
      <c r="F602" t="n">
        <v>17.08</v>
      </c>
      <c r="G602" s="3" t="n">
        <v>0</v>
      </c>
      <c r="H602" s="3" t="n">
        <v>0</v>
      </c>
      <c r="I602" s="3">
        <f>E602+G602+H602</f>
        <v/>
      </c>
      <c r="J602" s="3">
        <f>ROUND(MIN(IF(C602="Técnico III",35,IF(C602="Técnico II",28,IF(C602="Técnico I",23,IF(C602="JR",20,IF(C602="Estágio",10,0))))),IF(C602="Técnico III",SUMIFS($D:$D,$A:$A,$A602,$B:$B,"&lt;&gt;Patrícia Karla de Sousa Araújo",$B:$B,"&lt;&gt;Lorena Dias de Araujo",$B:$B,"&lt;&gt;Lucas Luiz Romero")*(35/1083),IF(C602="Técnico II",SUMIFS($D:$D,$A:$A,$A602,$B:$B,"&lt;&gt;Patrícia Karla de Sousa Araújo",$B:$B,"&lt;&gt;Lorena Dias de Araujo",$B:$B,"&lt;&gt;Lucas Luiz Romero")*(28/1083),IF(C602="Técnico I",SUMIFS($D:$D,$A:$A,$A602,$B:$B,"&lt;&gt;Patrícia Karla de Sousa Araújo",$B:$B,"&lt;&gt;Lorena Dias de Araujo",$B:$B,"&lt;&gt;Lucas Luiz Romero")*(23/1083),IF(C602="JR",SUMIFS($D:$D,$A:$A,$A602,$B:$B,"&lt;&gt;Patrícia Karla de Sousa Araújo",$B:$B,"&lt;&gt;Lorena Dias de Araujo",$B:$B,"&lt;&gt;Lucas Luiz Romero")*(20/1083),IF(C602="Estágio",SUMIFS($D:$D,$A:$A,$A602,$B:$B,"&lt;&gt;Patrícia Karla de Sousa Araújo",$B:$B,"&lt;&gt;Lorena Dias de Araujo",$B:$B,"&lt;&gt;Lucas Luiz Romero")*(10/1083),0)))))),0)</f>
        <v/>
      </c>
      <c r="K602" s="3">
        <f>I602-J602</f>
        <v/>
      </c>
      <c r="L602" s="3">
        <f>IF(K602&lt;-5,"CRÍTICO",IF(K602&lt;0,"ATENÇÃO",IF(K602&lt;=5,"BOM","EXCELENTE")))</f>
        <v/>
      </c>
      <c r="M602" t="n">
        <v>17</v>
      </c>
      <c r="N602" t="n">
        <v>100</v>
      </c>
      <c r="O602" t="n">
        <v>16.89497716894977</v>
      </c>
    </row>
    <row r="603" hidden="1">
      <c r="A603" s="5" t="n">
        <v>46153</v>
      </c>
      <c r="B603" s="6" t="inlineStr">
        <is>
          <t>Alisson de Freitas Silva</t>
        </is>
      </c>
      <c r="C603" s="3" t="inlineStr">
        <is>
          <t>Técnico II</t>
        </is>
      </c>
      <c r="D603" s="3" t="n">
        <v>36</v>
      </c>
      <c r="E603" s="3" t="n">
        <v>29</v>
      </c>
      <c r="F603" t="n">
        <v>11.5</v>
      </c>
      <c r="G603" s="3" t="n">
        <v>5</v>
      </c>
      <c r="H603" s="3" t="n">
        <v>0</v>
      </c>
      <c r="I603" s="3">
        <f>E603+G603+H603</f>
        <v/>
      </c>
      <c r="J603" s="3">
        <f>ROUND(MIN(IF(C603="Técnico III",35,IF(C603="Técnico II",28,IF(C603="Técnico I",23,IF(C603="JR",20,IF(C603="Estágio",10,0))))),IF(C603="Técnico III",SUMIFS($D:$D,$A:$A,$A603,$B:$B,"&lt;&gt;Patrícia Karla de Sousa Araújo",$B:$B,"&lt;&gt;Lorena Dias de Araujo",$B:$B,"&lt;&gt;Lucas Luiz Romero")*(35/1083),IF(C603="Técnico II",SUMIFS($D:$D,$A:$A,$A603,$B:$B,"&lt;&gt;Patrícia Karla de Sousa Araújo",$B:$B,"&lt;&gt;Lorena Dias de Araujo",$B:$B,"&lt;&gt;Lucas Luiz Romero")*(28/1083),IF(C603="Técnico I",SUMIFS($D:$D,$A:$A,$A603,$B:$B,"&lt;&gt;Patrícia Karla de Sousa Araújo",$B:$B,"&lt;&gt;Lorena Dias de Araujo",$B:$B,"&lt;&gt;Lucas Luiz Romero")*(23/1083),IF(C603="JR",SUMIFS($D:$D,$A:$A,$A603,$B:$B,"&lt;&gt;Patrícia Karla de Sousa Araújo",$B:$B,"&lt;&gt;Lorena Dias de Araujo",$B:$B,"&lt;&gt;Lucas Luiz Romero")*(20/1083),IF(C603="Estágio",SUMIFS($D:$D,$A:$A,$A603,$B:$B,"&lt;&gt;Patrícia Karla de Sousa Araújo",$B:$B,"&lt;&gt;Lorena Dias de Araujo",$B:$B,"&lt;&gt;Lucas Luiz Romero")*(10/1083),0)))))),0)</f>
        <v/>
      </c>
      <c r="K603" s="3">
        <f>I603-J603</f>
        <v/>
      </c>
      <c r="L603" s="3">
        <f>IF(K603&lt;-5,"CRÍTICO",IF(K603&lt;0,"ATENÇÃO",IF(K603&lt;=5,"BOM","EXCELENTE")))</f>
        <v/>
      </c>
      <c r="M603" s="3" t="n">
        <v>18</v>
      </c>
      <c r="N603" s="3" t="n">
        <v>98.94</v>
      </c>
      <c r="O603" s="3" t="n">
        <v>19.61414790996785</v>
      </c>
    </row>
    <row r="604" hidden="1">
      <c r="A604" s="5" t="n">
        <v>46153</v>
      </c>
      <c r="B604" s="6" t="inlineStr">
        <is>
          <t>Brenda de Menezes Silva</t>
        </is>
      </c>
      <c r="C604" s="3" t="inlineStr">
        <is>
          <t>Técnico II</t>
        </is>
      </c>
      <c r="D604" s="3" t="n">
        <v>31</v>
      </c>
      <c r="E604" s="3" t="n">
        <v>29</v>
      </c>
      <c r="F604" t="n">
        <v>17.13</v>
      </c>
      <c r="G604" s="3" t="n">
        <v>1</v>
      </c>
      <c r="H604" s="3" t="n">
        <v>0</v>
      </c>
      <c r="I604" s="3">
        <f>E604+G604+H604</f>
        <v/>
      </c>
      <c r="J604" s="3">
        <f>ROUND(MIN(IF(C604="Técnico III",35,IF(C604="Técnico II",28,IF(C604="Técnico I",23,IF(C604="JR",20,IF(C604="Estágio",10,0))))),IF(C604="Técnico III",SUMIFS($D:$D,$A:$A,$A604,$B:$B,"&lt;&gt;Patrícia Karla de Sousa Araújo",$B:$B,"&lt;&gt;Lorena Dias de Araujo",$B:$B,"&lt;&gt;Lucas Luiz Romero")*(35/1083),IF(C604="Técnico II",SUMIFS($D:$D,$A:$A,$A604,$B:$B,"&lt;&gt;Patrícia Karla de Sousa Araújo",$B:$B,"&lt;&gt;Lorena Dias de Araujo",$B:$B,"&lt;&gt;Lucas Luiz Romero")*(28/1083),IF(C604="Técnico I",SUMIFS($D:$D,$A:$A,$A604,$B:$B,"&lt;&gt;Patrícia Karla de Sousa Araújo",$B:$B,"&lt;&gt;Lorena Dias de Araujo",$B:$B,"&lt;&gt;Lucas Luiz Romero")*(23/1083),IF(C604="JR",SUMIFS($D:$D,$A:$A,$A604,$B:$B,"&lt;&gt;Patrícia Karla de Sousa Araújo",$B:$B,"&lt;&gt;Lorena Dias de Araujo",$B:$B,"&lt;&gt;Lucas Luiz Romero")*(20/1083),IF(C604="Estágio",SUMIFS($D:$D,$A:$A,$A604,$B:$B,"&lt;&gt;Patrícia Karla de Sousa Araújo",$B:$B,"&lt;&gt;Lorena Dias de Araujo",$B:$B,"&lt;&gt;Lucas Luiz Romero")*(10/1083),0)))))),0)</f>
        <v/>
      </c>
      <c r="K604" s="3">
        <f>I604-J604</f>
        <v/>
      </c>
      <c r="L604" s="3">
        <f>IF(K604&lt;-5,"CRÍTICO",IF(K604&lt;0,"ATENÇÃO",IF(K604&lt;=5,"BOM","EXCELENTE")))</f>
        <v/>
      </c>
      <c r="M604" t="n">
        <v>30</v>
      </c>
      <c r="N604" t="n">
        <v>99.13</v>
      </c>
      <c r="O604" t="n">
        <v>14.7239263803681</v>
      </c>
    </row>
    <row r="605" hidden="1">
      <c r="A605" s="5" t="n">
        <v>46153</v>
      </c>
      <c r="B605" s="6" t="inlineStr">
        <is>
          <t>Carlos Mateus Cassimiro Nunes</t>
        </is>
      </c>
      <c r="C605" s="9" t="inlineStr">
        <is>
          <t>Técnico II</t>
        </is>
      </c>
      <c r="D605" s="3" t="n">
        <v>22</v>
      </c>
      <c r="E605" s="3" t="n">
        <v>22</v>
      </c>
      <c r="F605" t="n">
        <v>26.55</v>
      </c>
      <c r="G605" s="3" t="n">
        <v>4</v>
      </c>
      <c r="H605" s="3" t="n">
        <v>0</v>
      </c>
      <c r="I605" s="3">
        <f>E605+G605+H605</f>
        <v/>
      </c>
      <c r="J605" s="3">
        <f>ROUND(MIN(IF(C605="Técnico III",35,IF(C605="Técnico II",28,IF(C605="Técnico I",23,IF(C605="JR",20,IF(C605="Estágio",10,0))))),IF(C605="Técnico III",SUMIFS($D:$D,$A:$A,$A605,$B:$B,"&lt;&gt;Patrícia Karla de Sousa Araújo",$B:$B,"&lt;&gt;Lorena Dias de Araujo",$B:$B,"&lt;&gt;Lucas Luiz Romero")*(35/1083),IF(C605="Técnico II",SUMIFS($D:$D,$A:$A,$A605,$B:$B,"&lt;&gt;Patrícia Karla de Sousa Araújo",$B:$B,"&lt;&gt;Lorena Dias de Araujo",$B:$B,"&lt;&gt;Lucas Luiz Romero")*(28/1083),IF(C605="Técnico I",SUMIFS($D:$D,$A:$A,$A605,$B:$B,"&lt;&gt;Patrícia Karla de Sousa Araújo",$B:$B,"&lt;&gt;Lorena Dias de Araujo",$B:$B,"&lt;&gt;Lucas Luiz Romero")*(23/1083),IF(C605="JR",SUMIFS($D:$D,$A:$A,$A605,$B:$B,"&lt;&gt;Patrícia Karla de Sousa Araújo",$B:$B,"&lt;&gt;Lorena Dias de Araujo",$B:$B,"&lt;&gt;Lucas Luiz Romero")*(20/1083),IF(C605="Estágio",SUMIFS($D:$D,$A:$A,$A605,$B:$B,"&lt;&gt;Patrícia Karla de Sousa Araújo",$B:$B,"&lt;&gt;Lorena Dias de Araujo",$B:$B,"&lt;&gt;Lucas Luiz Romero")*(10/1083),0)))))),0)</f>
        <v/>
      </c>
      <c r="K605" s="3">
        <f>I605-J605</f>
        <v/>
      </c>
      <c r="L605" s="3">
        <f>IF(K605&lt;-5,"CRÍTICO",IF(K605&lt;0,"ATENÇÃO",IF(K605&lt;=5,"BOM","EXCELENTE")))</f>
        <v/>
      </c>
      <c r="M605" t="n">
        <v>26</v>
      </c>
      <c r="N605" t="n">
        <v>98.8</v>
      </c>
      <c r="O605" t="n">
        <v>16.89750692520776</v>
      </c>
    </row>
    <row r="606" hidden="1">
      <c r="A606" s="5" t="n">
        <v>46153</v>
      </c>
      <c r="B606" s="6" t="inlineStr">
        <is>
          <t>Damyllis Lorraine de Oliveira Gonçalves</t>
        </is>
      </c>
      <c r="C606" s="3" t="inlineStr">
        <is>
          <t>Técnico II</t>
        </is>
      </c>
      <c r="D606" s="3" t="n">
        <v>30</v>
      </c>
      <c r="E606" s="3" t="n">
        <v>27</v>
      </c>
      <c r="F606" t="n">
        <v>16.46</v>
      </c>
      <c r="G606" s="3" t="n">
        <v>0</v>
      </c>
      <c r="H606" s="3" t="n">
        <v>0</v>
      </c>
      <c r="I606" s="3" t="n">
        <v>0</v>
      </c>
      <c r="J606" s="3" t="n">
        <v>0</v>
      </c>
      <c r="K606" s="3" t="n">
        <v>0</v>
      </c>
      <c r="L606" s="3">
        <f>IF(K606&lt;-5,"CRÍTICO",IF(K606&lt;0,"ATENÇÃO",IF(K606&lt;=5,"BOM","EXCELENTE")))</f>
        <v/>
      </c>
      <c r="M606" t="n">
        <v>22</v>
      </c>
      <c r="N606" t="n">
        <v>98.63</v>
      </c>
      <c r="O606" t="n">
        <v>18.75</v>
      </c>
    </row>
    <row r="607" hidden="1">
      <c r="A607" s="5" t="n">
        <v>46153</v>
      </c>
      <c r="B607" s="6" t="inlineStr">
        <is>
          <t>Emilly Kamilly Medeiros Miranda</t>
        </is>
      </c>
      <c r="C607" s="3" t="inlineStr">
        <is>
          <t>Técnico II</t>
        </is>
      </c>
      <c r="D607" s="3" t="n">
        <v>28</v>
      </c>
      <c r="E607" s="3" t="n">
        <v>27</v>
      </c>
      <c r="F607" t="n">
        <v>15.05</v>
      </c>
      <c r="G607" s="3" t="n">
        <v>4</v>
      </c>
      <c r="H607" s="3" t="n">
        <v>0</v>
      </c>
      <c r="I607" s="3">
        <f>E607+G607+H607</f>
        <v/>
      </c>
      <c r="J607" s="3">
        <f>ROUND(MIN(IF(C607="Técnico III",35,IF(C607="Técnico II",28,IF(C607="Técnico I",23,IF(C607="JR",20,IF(C607="Estágio",10,0))))),IF(C607="Técnico III",SUMIFS($D:$D,$A:$A,$A607,$B:$B,"&lt;&gt;Patrícia Karla de Sousa Araújo",$B:$B,"&lt;&gt;Lorena Dias de Araujo",$B:$B,"&lt;&gt;Lucas Luiz Romero")*(35/1083),IF(C607="Técnico II",SUMIFS($D:$D,$A:$A,$A607,$B:$B,"&lt;&gt;Patrícia Karla de Sousa Araújo",$B:$B,"&lt;&gt;Lorena Dias de Araujo",$B:$B,"&lt;&gt;Lucas Luiz Romero")*(28/1083),IF(C607="Técnico I",SUMIFS($D:$D,$A:$A,$A607,$B:$B,"&lt;&gt;Patrícia Karla de Sousa Araújo",$B:$B,"&lt;&gt;Lorena Dias de Araujo",$B:$B,"&lt;&gt;Lucas Luiz Romero")*(23/1083),IF(C607="JR",SUMIFS($D:$D,$A:$A,$A607,$B:$B,"&lt;&gt;Patrícia Karla de Sousa Araújo",$B:$B,"&lt;&gt;Lorena Dias de Araujo",$B:$B,"&lt;&gt;Lucas Luiz Romero")*(20/1083),IF(C607="Estágio",SUMIFS($D:$D,$A:$A,$A607,$B:$B,"&lt;&gt;Patrícia Karla de Sousa Araújo",$B:$B,"&lt;&gt;Lorena Dias de Araujo",$B:$B,"&lt;&gt;Lucas Luiz Romero")*(10/1083),0)))))),0)</f>
        <v/>
      </c>
      <c r="K607" s="3">
        <f>I607-J607</f>
        <v/>
      </c>
      <c r="L607" s="3">
        <f>IF(K607&lt;-5,"CRÍTICO",IF(K607&lt;0,"ATENÇÃO",IF(K607&lt;=5,"BOM","EXCELENTE")))</f>
        <v/>
      </c>
      <c r="M607" t="n">
        <v>27</v>
      </c>
      <c r="N607" t="n">
        <v>100</v>
      </c>
      <c r="O607" t="n">
        <v>13.8121546961326</v>
      </c>
    </row>
    <row r="608" hidden="1">
      <c r="A608" s="5" t="n">
        <v>46153</v>
      </c>
      <c r="B608" s="6" t="inlineStr">
        <is>
          <t>Francilene Ferreira de Jesus</t>
        </is>
      </c>
      <c r="C608" s="3" t="inlineStr">
        <is>
          <t>Técnico II</t>
        </is>
      </c>
      <c r="D608" s="3" t="n">
        <v>0</v>
      </c>
      <c r="E608" s="3" t="n">
        <v>0</v>
      </c>
      <c r="F608" s="3" t="n">
        <v>0</v>
      </c>
      <c r="G608" s="3" t="n">
        <v>0</v>
      </c>
      <c r="H608" s="3" t="n">
        <v>0</v>
      </c>
      <c r="I608" s="3" t="n">
        <v>0</v>
      </c>
      <c r="J608" s="3" t="n">
        <v>0</v>
      </c>
      <c r="K608" s="3" t="n">
        <v>0</v>
      </c>
      <c r="L608" s="3">
        <f>IF(K608&lt;-5,"CRÍTICO",IF(K608&lt;0,"ATENÇÃO",IF(K608&lt;=5,"BOM","EXCELENTE")))</f>
        <v/>
      </c>
      <c r="M608" s="9" t="n">
        <v>0</v>
      </c>
      <c r="N608" s="9" t="n">
        <v>100</v>
      </c>
      <c r="O608" s="9" t="n">
        <v>17.24137931034483</v>
      </c>
    </row>
    <row r="609" hidden="1">
      <c r="A609" s="5" t="n">
        <v>46153</v>
      </c>
      <c r="B609" s="6" t="inlineStr">
        <is>
          <t>Isabella Borges de Oliveira</t>
        </is>
      </c>
      <c r="C609" s="9" t="inlineStr">
        <is>
          <t>Técnico II</t>
        </is>
      </c>
      <c r="D609" s="3" t="n">
        <v>26</v>
      </c>
      <c r="E609" s="3" t="n">
        <v>24</v>
      </c>
      <c r="F609" t="n">
        <v>18.31</v>
      </c>
      <c r="G609" s="3" t="n">
        <v>0</v>
      </c>
      <c r="H609" s="3" t="n">
        <v>0</v>
      </c>
      <c r="I609" s="3">
        <f>E609+G609+H609</f>
        <v/>
      </c>
      <c r="J609" s="3">
        <f>ROUND(MIN(IF(C609="Técnico III",35,IF(C609="Técnico II",28,IF(C609="Técnico I",23,IF(C609="JR",20,IF(C609="Estágio",10,0))))),IF(C609="Técnico III",SUMIFS($D:$D,$A:$A,$A609,$B:$B,"&lt;&gt;Patrícia Karla de Sousa Araújo",$B:$B,"&lt;&gt;Lorena Dias de Araujo",$B:$B,"&lt;&gt;Lucas Luiz Romero")*(35/1083),IF(C609="Técnico II",SUMIFS($D:$D,$A:$A,$A609,$B:$B,"&lt;&gt;Patrícia Karla de Sousa Araújo",$B:$B,"&lt;&gt;Lorena Dias de Araujo",$B:$B,"&lt;&gt;Lucas Luiz Romero")*(28/1083),IF(C609="Técnico I",SUMIFS($D:$D,$A:$A,$A609,$B:$B,"&lt;&gt;Patrícia Karla de Sousa Araújo",$B:$B,"&lt;&gt;Lorena Dias de Araujo",$B:$B,"&lt;&gt;Lucas Luiz Romero")*(23/1083),IF(C609="JR",SUMIFS($D:$D,$A:$A,$A609,$B:$B,"&lt;&gt;Patrícia Karla de Sousa Araújo",$B:$B,"&lt;&gt;Lorena Dias de Araujo",$B:$B,"&lt;&gt;Lucas Luiz Romero")*(20/1083),IF(C609="Estágio",SUMIFS($D:$D,$A:$A,$A609,$B:$B,"&lt;&gt;Patrícia Karla de Sousa Araújo",$B:$B,"&lt;&gt;Lorena Dias de Araujo",$B:$B,"&lt;&gt;Lucas Luiz Romero")*(10/1083),0)))))),0)</f>
        <v/>
      </c>
      <c r="K609" s="3">
        <f>I609-J609</f>
        <v/>
      </c>
      <c r="L609" s="3">
        <f>IF(K609&lt;-5,"CRÍTICO",IF(K609&lt;0,"ATENÇÃO",IF(K609&lt;=5,"BOM","EXCELENTE")))</f>
        <v/>
      </c>
      <c r="M609" t="n">
        <v>23</v>
      </c>
      <c r="N609" t="n">
        <v>98.63</v>
      </c>
      <c r="O609" t="n">
        <v>15.75757575757576</v>
      </c>
    </row>
    <row r="610" hidden="1">
      <c r="A610" s="5" t="n">
        <v>46153</v>
      </c>
      <c r="B610" s="6" t="inlineStr">
        <is>
          <t>Jessica Faria da Silveira</t>
        </is>
      </c>
      <c r="C610" s="3" t="inlineStr">
        <is>
          <t>Técnico II</t>
        </is>
      </c>
      <c r="D610" s="3" t="n">
        <v>39</v>
      </c>
      <c r="E610" s="3" t="n">
        <v>31</v>
      </c>
      <c r="F610" t="n">
        <v>12</v>
      </c>
      <c r="G610" s="3" t="n">
        <v>1</v>
      </c>
      <c r="H610" s="3" t="n">
        <v>0</v>
      </c>
      <c r="I610" s="3">
        <f>E610+G610+H610</f>
        <v/>
      </c>
      <c r="J610" s="3">
        <f>ROUND(MIN(IF(C610="Técnico III",35,IF(C610="Técnico II",28,IF(C610="Técnico I",23,IF(C610="JR",20,IF(C610="Estágio",10,0))))),IF(C610="Técnico III",SUMIFS($D:$D,$A:$A,$A610,$B:$B,"&lt;&gt;Patrícia Karla de Sousa Araújo",$B:$B,"&lt;&gt;Lorena Dias de Araujo",$B:$B,"&lt;&gt;Lucas Luiz Romero")*(35/1083),IF(C610="Técnico II",SUMIFS($D:$D,$A:$A,$A610,$B:$B,"&lt;&gt;Patrícia Karla de Sousa Araújo",$B:$B,"&lt;&gt;Lorena Dias de Araujo",$B:$B,"&lt;&gt;Lucas Luiz Romero")*(28/1083),IF(C610="Técnico I",SUMIFS($D:$D,$A:$A,$A610,$B:$B,"&lt;&gt;Patrícia Karla de Sousa Araújo",$B:$B,"&lt;&gt;Lorena Dias de Araujo",$B:$B,"&lt;&gt;Lucas Luiz Romero")*(23/1083),IF(C610="JR",SUMIFS($D:$D,$A:$A,$A610,$B:$B,"&lt;&gt;Patrícia Karla de Sousa Araújo",$B:$B,"&lt;&gt;Lorena Dias de Araujo",$B:$B,"&lt;&gt;Lucas Luiz Romero")*(20/1083),IF(C610="Estágio",SUMIFS($D:$D,$A:$A,$A610,$B:$B,"&lt;&gt;Patrícia Karla de Sousa Araújo",$B:$B,"&lt;&gt;Lorena Dias de Araujo",$B:$B,"&lt;&gt;Lucas Luiz Romero")*(10/1083),0)))))),0)</f>
        <v/>
      </c>
      <c r="K610" s="3">
        <f>I610-J610</f>
        <v/>
      </c>
      <c r="L610" s="3">
        <f>IF(K610&lt;-5,"CRÍTICO",IF(K610&lt;0,"ATENÇÃO",IF(K610&lt;=5,"BOM","EXCELENTE")))</f>
        <v/>
      </c>
      <c r="M610" t="n">
        <v>25</v>
      </c>
      <c r="N610" t="n">
        <v>98.61</v>
      </c>
      <c r="O610" t="n">
        <v>16.97530864197531</v>
      </c>
    </row>
    <row r="611" hidden="1">
      <c r="A611" s="5" t="n">
        <v>46153</v>
      </c>
      <c r="B611" s="6" t="inlineStr">
        <is>
          <t>Lizandra Gomes Duarte</t>
        </is>
      </c>
      <c r="C611" s="3" t="inlineStr">
        <is>
          <t>Técnico II</t>
        </is>
      </c>
      <c r="D611" s="3" t="n">
        <v>25</v>
      </c>
      <c r="E611" s="3" t="n">
        <v>22</v>
      </c>
      <c r="F611" t="n">
        <v>17.13</v>
      </c>
      <c r="G611" s="3" t="n">
        <v>2</v>
      </c>
      <c r="H611" s="3" t="n">
        <v>0</v>
      </c>
      <c r="I611" s="3">
        <f>E611+G611+H611</f>
        <v/>
      </c>
      <c r="J611" s="3">
        <f>ROUND(MIN(IF(C611="Técnico III",35,IF(C611="Técnico II",28,IF(C611="Técnico I",23,IF(C611="JR",20,IF(C611="Estágio",10,0))))),IF(C611="Técnico III",SUMIFS($D:$D,$A:$A,$A611,$B:$B,"&lt;&gt;Patrícia Karla de Sousa Araújo",$B:$B,"&lt;&gt;Lorena Dias de Araujo",$B:$B,"&lt;&gt;Lucas Luiz Romero")*(35/1083),IF(C611="Técnico II",SUMIFS($D:$D,$A:$A,$A611,$B:$B,"&lt;&gt;Patrícia Karla de Sousa Araújo",$B:$B,"&lt;&gt;Lorena Dias de Araujo",$B:$B,"&lt;&gt;Lucas Luiz Romero")*(28/1083),IF(C611="Técnico I",SUMIFS($D:$D,$A:$A,$A611,$B:$B,"&lt;&gt;Patrícia Karla de Sousa Araújo",$B:$B,"&lt;&gt;Lorena Dias de Araujo",$B:$B,"&lt;&gt;Lucas Luiz Romero")*(23/1083),IF(C611="JR",SUMIFS($D:$D,$A:$A,$A611,$B:$B,"&lt;&gt;Patrícia Karla de Sousa Araújo",$B:$B,"&lt;&gt;Lorena Dias de Araujo",$B:$B,"&lt;&gt;Lucas Luiz Romero")*(20/1083),IF(C611="Estágio",SUMIFS($D:$D,$A:$A,$A611,$B:$B,"&lt;&gt;Patrícia Karla de Sousa Araújo",$B:$B,"&lt;&gt;Lorena Dias de Araujo",$B:$B,"&lt;&gt;Lucas Luiz Romero")*(10/1083),0)))))),0)</f>
        <v/>
      </c>
      <c r="K611" s="3">
        <f>I611-J611</f>
        <v/>
      </c>
      <c r="L611" s="3">
        <f>IF(K611&lt;-5,"CRÍTICO",IF(K611&lt;0,"ATENÇÃO",IF(K611&lt;=5,"BOM","EXCELENTE")))</f>
        <v/>
      </c>
      <c r="M611" t="n">
        <v>21</v>
      </c>
      <c r="N611" t="n">
        <v>98.61</v>
      </c>
      <c r="O611" t="n">
        <v>16.86746987951807</v>
      </c>
    </row>
    <row r="612" hidden="1">
      <c r="A612" s="5" t="n">
        <v>46153</v>
      </c>
      <c r="B612" s="6" t="inlineStr">
        <is>
          <t>Lorena Dias de Araujo</t>
        </is>
      </c>
      <c r="C612" s="3" t="inlineStr">
        <is>
          <t>Técnico II</t>
        </is>
      </c>
      <c r="D612" s="3" t="n">
        <v>31</v>
      </c>
      <c r="E612" s="3" t="n">
        <v>30</v>
      </c>
      <c r="F612" t="n">
        <v>17.05</v>
      </c>
      <c r="G612" s="3" t="n">
        <v>0</v>
      </c>
      <c r="H612" s="3" t="n">
        <v>0</v>
      </c>
      <c r="I612" s="3" t="n">
        <v>0</v>
      </c>
      <c r="J612" s="3" t="n">
        <v>0</v>
      </c>
      <c r="K612" s="3" t="n">
        <v>0</v>
      </c>
      <c r="L612" s="3">
        <f>IF(K612&lt;-5,"CRÍTICO",IF(K612&lt;0,"ATENÇÃO",IF(K612&lt;=5,"BOM","EXCELENTE")))</f>
        <v/>
      </c>
      <c r="M612" t="n">
        <v>25</v>
      </c>
      <c r="N612" t="n">
        <v>100</v>
      </c>
      <c r="O612" t="n">
        <v>20.82018927444795</v>
      </c>
    </row>
    <row r="613" hidden="1">
      <c r="A613" s="5" t="n">
        <v>46153</v>
      </c>
      <c r="B613" s="6" t="inlineStr">
        <is>
          <t>Patrícia Karla de Sousa Araújo</t>
        </is>
      </c>
      <c r="C613" s="3" t="inlineStr">
        <is>
          <t>Técnico II</t>
        </is>
      </c>
      <c r="D613" s="3" t="n">
        <v>9</v>
      </c>
      <c r="E613" s="3" t="n">
        <v>8</v>
      </c>
      <c r="F613" t="n">
        <v>23.37</v>
      </c>
      <c r="G613" s="3" t="n">
        <v>0</v>
      </c>
      <c r="H613" s="3" t="n">
        <v>0</v>
      </c>
      <c r="I613" s="3">
        <f>E613+G613+H613</f>
        <v/>
      </c>
      <c r="J613" s="3">
        <f>ROUND(MIN(IF(C613="Técnico III",35,IF(C613="Técnico II",28,IF(C613="Técnico I",23,IF(C613="JR",20,IF(C613="Estágio",10,0))))),IF(C613="Técnico III",SUMIFS($D:$D,$A:$A,$A613,$B:$B,"&lt;&gt;Patrícia Karla de Sousa Araújo",$B:$B,"&lt;&gt;Lorena Dias de Araujo",$B:$B,"&lt;&gt;Lucas Luiz Romero")*(35/1083),IF(C613="Técnico II",SUMIFS($D:$D,$A:$A,$A613,$B:$B,"&lt;&gt;Patrícia Karla de Sousa Araújo",$B:$B,"&lt;&gt;Lorena Dias de Araujo",$B:$B,"&lt;&gt;Lucas Luiz Romero")*(28/1083),IF(C613="Técnico I",SUMIFS($D:$D,$A:$A,$A613,$B:$B,"&lt;&gt;Patrícia Karla de Sousa Araújo",$B:$B,"&lt;&gt;Lorena Dias de Araujo",$B:$B,"&lt;&gt;Lucas Luiz Romero")*(23/1083),IF(C613="JR",SUMIFS($D:$D,$A:$A,$A613,$B:$B,"&lt;&gt;Patrícia Karla de Sousa Araújo",$B:$B,"&lt;&gt;Lorena Dias de Araujo",$B:$B,"&lt;&gt;Lucas Luiz Romero")*(20/1083),IF(C613="Estágio",SUMIFS($D:$D,$A:$A,$A613,$B:$B,"&lt;&gt;Patrícia Karla de Sousa Araújo",$B:$B,"&lt;&gt;Lorena Dias de Araujo",$B:$B,"&lt;&gt;Lucas Luiz Romero")*(10/1083),0)))))),0)</f>
        <v/>
      </c>
      <c r="K613" s="3">
        <f>I613-J613</f>
        <v/>
      </c>
      <c r="L613" s="3">
        <f>IF(K613&lt;-5,"CRÍTICO",IF(K613&lt;0,"ATENÇÃO",IF(K613&lt;=5,"BOM","EXCELENTE")))</f>
        <v/>
      </c>
      <c r="M613" t="n">
        <v>7</v>
      </c>
      <c r="N613" t="n">
        <v>100</v>
      </c>
      <c r="O613" t="n">
        <v>16.89497716894977</v>
      </c>
    </row>
    <row r="614" hidden="1">
      <c r="A614" s="5" t="n">
        <v>46154</v>
      </c>
      <c r="B614" s="6" t="inlineStr">
        <is>
          <t>Alisson de Freitas Silva</t>
        </is>
      </c>
      <c r="C614" s="3" t="inlineStr">
        <is>
          <t>Técnico II</t>
        </is>
      </c>
      <c r="D614" s="3" t="n">
        <v>25</v>
      </c>
      <c r="E614" s="3" t="n">
        <v>18</v>
      </c>
      <c r="F614" t="n">
        <v>9</v>
      </c>
      <c r="G614" s="3" t="n">
        <v>8</v>
      </c>
      <c r="H614" s="3" t="n">
        <v>0</v>
      </c>
      <c r="I614" s="3">
        <f>E614+G614+H614</f>
        <v/>
      </c>
      <c r="J614" s="3">
        <f>ROUND(MIN(IF(C614="Técnico III",35,IF(C614="Técnico II",28,IF(C614="Técnico I",23,IF(C614="JR",20,IF(C614="Estágio",10,0))))),IF(C614="Técnico III",SUMIFS($D:$D,$A:$A,$A614,$B:$B,"&lt;&gt;Patrícia Karla de Sousa Araújo",$B:$B,"&lt;&gt;Lorena Dias de Araujo",$B:$B,"&lt;&gt;Lucas Luiz Romero")*(35/1083),IF(C614="Técnico II",SUMIFS($D:$D,$A:$A,$A614,$B:$B,"&lt;&gt;Patrícia Karla de Sousa Araújo",$B:$B,"&lt;&gt;Lorena Dias de Araujo",$B:$B,"&lt;&gt;Lucas Luiz Romero")*(28/1083),IF(C614="Técnico I",SUMIFS($D:$D,$A:$A,$A614,$B:$B,"&lt;&gt;Patrícia Karla de Sousa Araújo",$B:$B,"&lt;&gt;Lorena Dias de Araujo",$B:$B,"&lt;&gt;Lucas Luiz Romero")*(23/1083),IF(C614="JR",SUMIFS($D:$D,$A:$A,$A614,$B:$B,"&lt;&gt;Patrícia Karla de Sousa Araújo",$B:$B,"&lt;&gt;Lorena Dias de Araujo",$B:$B,"&lt;&gt;Lucas Luiz Romero")*(20/1083),IF(C614="Estágio",SUMIFS($D:$D,$A:$A,$A614,$B:$B,"&lt;&gt;Patrícia Karla de Sousa Araújo",$B:$B,"&lt;&gt;Lorena Dias de Araujo",$B:$B,"&lt;&gt;Lucas Luiz Romero")*(10/1083),0)))))),0)</f>
        <v/>
      </c>
      <c r="K614" s="3">
        <f>I614-J614</f>
        <v/>
      </c>
      <c r="L614" s="3">
        <f>IF(K614&lt;-5,"CRÍTICO",IF(K614&lt;0,"ATENÇÃO",IF(K614&lt;=5,"BOM","EXCELENTE")))</f>
        <v/>
      </c>
      <c r="M614" s="3" t="n">
        <v>17</v>
      </c>
      <c r="N614" s="3" t="n">
        <v>98.94</v>
      </c>
      <c r="O614" s="3" t="n">
        <v>19.61414790996785</v>
      </c>
    </row>
    <row r="615" hidden="1">
      <c r="A615" s="5" t="n">
        <v>46154</v>
      </c>
      <c r="B615" s="6" t="inlineStr">
        <is>
          <t>Brenda de Menezes Silva</t>
        </is>
      </c>
      <c r="C615" s="3" t="inlineStr">
        <is>
          <t>Técnico II</t>
        </is>
      </c>
      <c r="D615" s="3" t="n">
        <v>38</v>
      </c>
      <c r="E615" s="3" t="n">
        <v>35</v>
      </c>
      <c r="F615" t="n">
        <v>12.22</v>
      </c>
      <c r="G615" s="3" t="n">
        <v>3</v>
      </c>
      <c r="H615" s="3" t="n">
        <v>0</v>
      </c>
      <c r="I615" s="3">
        <f>E615+G615+H615</f>
        <v/>
      </c>
      <c r="J615" s="3">
        <f>ROUND(MIN(IF(C615="Técnico III",35,IF(C615="Técnico II",28,IF(C615="Técnico I",23,IF(C615="JR",20,IF(C615="Estágio",10,0))))),IF(C615="Técnico III",SUMIFS($D:$D,$A:$A,$A615,$B:$B,"&lt;&gt;Patrícia Karla de Sousa Araújo",$B:$B,"&lt;&gt;Lorena Dias de Araujo",$B:$B,"&lt;&gt;Lucas Luiz Romero")*(35/1083),IF(C615="Técnico II",SUMIFS($D:$D,$A:$A,$A615,$B:$B,"&lt;&gt;Patrícia Karla de Sousa Araújo",$B:$B,"&lt;&gt;Lorena Dias de Araujo",$B:$B,"&lt;&gt;Lucas Luiz Romero")*(28/1083),IF(C615="Técnico I",SUMIFS($D:$D,$A:$A,$A615,$B:$B,"&lt;&gt;Patrícia Karla de Sousa Araújo",$B:$B,"&lt;&gt;Lorena Dias de Araujo",$B:$B,"&lt;&gt;Lucas Luiz Romero")*(23/1083),IF(C615="JR",SUMIFS($D:$D,$A:$A,$A615,$B:$B,"&lt;&gt;Patrícia Karla de Sousa Araújo",$B:$B,"&lt;&gt;Lorena Dias de Araujo",$B:$B,"&lt;&gt;Lucas Luiz Romero")*(20/1083),IF(C615="Estágio",SUMIFS($D:$D,$A:$A,$A615,$B:$B,"&lt;&gt;Patrícia Karla de Sousa Araújo",$B:$B,"&lt;&gt;Lorena Dias de Araujo",$B:$B,"&lt;&gt;Lucas Luiz Romero")*(10/1083),0)))))),0)</f>
        <v/>
      </c>
      <c r="K615" s="3">
        <f>I615-J615</f>
        <v/>
      </c>
      <c r="L615" s="3">
        <f>IF(K615&lt;-5,"CRÍTICO",IF(K615&lt;0,"ATENÇÃO",IF(K615&lt;=5,"BOM","EXCELENTE")))</f>
        <v/>
      </c>
      <c r="M615" t="n">
        <v>34</v>
      </c>
      <c r="N615" t="n">
        <v>99.13</v>
      </c>
      <c r="O615" t="n">
        <v>14.7239263803681</v>
      </c>
    </row>
    <row r="616" hidden="1">
      <c r="A616" s="5" t="n">
        <v>46154</v>
      </c>
      <c r="B616" s="6" t="inlineStr">
        <is>
          <t>Carlos Mateus Cassimiro Nunes</t>
        </is>
      </c>
      <c r="C616" s="9" t="inlineStr">
        <is>
          <t>Técnico II</t>
        </is>
      </c>
      <c r="D616" s="3" t="n">
        <v>26</v>
      </c>
      <c r="E616" s="3" t="n">
        <v>26</v>
      </c>
      <c r="F616" t="n">
        <v>27</v>
      </c>
      <c r="G616" s="3" t="n">
        <v>0</v>
      </c>
      <c r="H616" s="3" t="n">
        <v>0</v>
      </c>
      <c r="I616" s="3">
        <f>E616+G616+H616</f>
        <v/>
      </c>
      <c r="J616" s="3">
        <f>ROUND(MIN(IF(C616="Técnico III",35,IF(C616="Técnico II",28,IF(C616="Técnico I",23,IF(C616="JR",20,IF(C616="Estágio",10,0))))),IF(C616="Técnico III",SUMIFS($D:$D,$A:$A,$A616,$B:$B,"&lt;&gt;Patrícia Karla de Sousa Araújo",$B:$B,"&lt;&gt;Lorena Dias de Araujo",$B:$B,"&lt;&gt;Lucas Luiz Romero")*(35/1083),IF(C616="Técnico II",SUMIFS($D:$D,$A:$A,$A616,$B:$B,"&lt;&gt;Patrícia Karla de Sousa Araújo",$B:$B,"&lt;&gt;Lorena Dias de Araujo",$B:$B,"&lt;&gt;Lucas Luiz Romero")*(28/1083),IF(C616="Técnico I",SUMIFS($D:$D,$A:$A,$A616,$B:$B,"&lt;&gt;Patrícia Karla de Sousa Araújo",$B:$B,"&lt;&gt;Lorena Dias de Araujo",$B:$B,"&lt;&gt;Lucas Luiz Romero")*(23/1083),IF(C616="JR",SUMIFS($D:$D,$A:$A,$A616,$B:$B,"&lt;&gt;Patrícia Karla de Sousa Araújo",$B:$B,"&lt;&gt;Lorena Dias de Araujo",$B:$B,"&lt;&gt;Lucas Luiz Romero")*(20/1083),IF(C616="Estágio",SUMIFS($D:$D,$A:$A,$A616,$B:$B,"&lt;&gt;Patrícia Karla de Sousa Araújo",$B:$B,"&lt;&gt;Lorena Dias de Araujo",$B:$B,"&lt;&gt;Lucas Luiz Romero")*(10/1083),0)))))),0)</f>
        <v/>
      </c>
      <c r="K616" s="3">
        <f>I616-J616</f>
        <v/>
      </c>
      <c r="L616" s="3">
        <f>IF(K616&lt;-5,"CRÍTICO",IF(K616&lt;0,"ATENÇÃO",IF(K616&lt;=5,"BOM","EXCELENTE")))</f>
        <v/>
      </c>
      <c r="M616" t="n">
        <v>24</v>
      </c>
      <c r="N616" t="n">
        <v>98.8</v>
      </c>
      <c r="O616" t="n">
        <v>16.89750692520776</v>
      </c>
    </row>
    <row r="617" hidden="1">
      <c r="A617" s="5" t="n">
        <v>46154</v>
      </c>
      <c r="B617" s="6" t="inlineStr">
        <is>
          <t>Damyllis Lorraine de Oliveira Gonçalves</t>
        </is>
      </c>
      <c r="C617" s="3" t="inlineStr">
        <is>
          <t>Técnico II</t>
        </is>
      </c>
      <c r="D617" s="3" t="n">
        <v>37</v>
      </c>
      <c r="E617" s="3" t="n">
        <v>30</v>
      </c>
      <c r="F617" t="n">
        <v>13.28</v>
      </c>
      <c r="G617" s="3" t="n">
        <v>0</v>
      </c>
      <c r="H617" s="3" t="n">
        <v>0</v>
      </c>
      <c r="I617" s="3" t="n">
        <v>0</v>
      </c>
      <c r="J617" s="3" t="n">
        <v>0</v>
      </c>
      <c r="K617" s="3" t="n">
        <v>0</v>
      </c>
      <c r="L617" s="3">
        <f>IF(K617&lt;-5,"CRÍTICO",IF(K617&lt;0,"ATENÇÃO",IF(K617&lt;=5,"BOM","EXCELENTE")))</f>
        <v/>
      </c>
      <c r="M617" t="n">
        <v>27</v>
      </c>
      <c r="N617" t="n">
        <v>98.63</v>
      </c>
      <c r="O617" t="n">
        <v>18.75</v>
      </c>
    </row>
    <row r="618" hidden="1">
      <c r="A618" s="5" t="n">
        <v>46154</v>
      </c>
      <c r="B618" s="6" t="inlineStr">
        <is>
          <t>Emilly Kamilly Medeiros Miranda</t>
        </is>
      </c>
      <c r="C618" s="3" t="inlineStr">
        <is>
          <t>Técnico II</t>
        </is>
      </c>
      <c r="D618" s="3" t="n">
        <v>25</v>
      </c>
      <c r="E618" s="3" t="n">
        <v>24</v>
      </c>
      <c r="F618" t="n">
        <v>17.21</v>
      </c>
      <c r="G618" s="3" t="n">
        <v>5</v>
      </c>
      <c r="H618" s="3" t="n">
        <v>0</v>
      </c>
      <c r="I618" s="3">
        <f>E618+G618+H618</f>
        <v/>
      </c>
      <c r="J618" s="3">
        <f>ROUND(MIN(IF(C618="Técnico III",35,IF(C618="Técnico II",28,IF(C618="Técnico I",23,IF(C618="JR",20,IF(C618="Estágio",10,0))))),IF(C618="Técnico III",SUMIFS($D:$D,$A:$A,$A618,$B:$B,"&lt;&gt;Patrícia Karla de Sousa Araújo",$B:$B,"&lt;&gt;Lorena Dias de Araujo",$B:$B,"&lt;&gt;Lucas Luiz Romero")*(35/1083),IF(C618="Técnico II",SUMIFS($D:$D,$A:$A,$A618,$B:$B,"&lt;&gt;Patrícia Karla de Sousa Araújo",$B:$B,"&lt;&gt;Lorena Dias de Araujo",$B:$B,"&lt;&gt;Lucas Luiz Romero")*(28/1083),IF(C618="Técnico I",SUMIFS($D:$D,$A:$A,$A618,$B:$B,"&lt;&gt;Patrícia Karla de Sousa Araújo",$B:$B,"&lt;&gt;Lorena Dias de Araujo",$B:$B,"&lt;&gt;Lucas Luiz Romero")*(23/1083),IF(C618="JR",SUMIFS($D:$D,$A:$A,$A618,$B:$B,"&lt;&gt;Patrícia Karla de Sousa Araújo",$B:$B,"&lt;&gt;Lorena Dias de Araujo",$B:$B,"&lt;&gt;Lucas Luiz Romero")*(20/1083),IF(C618="Estágio",SUMIFS($D:$D,$A:$A,$A618,$B:$B,"&lt;&gt;Patrícia Karla de Sousa Araújo",$B:$B,"&lt;&gt;Lorena Dias de Araujo",$B:$B,"&lt;&gt;Lucas Luiz Romero")*(10/1083),0)))))),0)</f>
        <v/>
      </c>
      <c r="K618" s="3">
        <f>I618-J618</f>
        <v/>
      </c>
      <c r="L618" s="3">
        <f>IF(K618&lt;-5,"CRÍTICO",IF(K618&lt;0,"ATENÇÃO",IF(K618&lt;=5,"BOM","EXCELENTE")))</f>
        <v/>
      </c>
      <c r="M618" t="n">
        <v>26</v>
      </c>
      <c r="N618" t="n">
        <v>100</v>
      </c>
      <c r="O618" t="n">
        <v>13.8121546961326</v>
      </c>
    </row>
    <row r="619" hidden="1">
      <c r="A619" s="5" t="n">
        <v>46154</v>
      </c>
      <c r="B619" s="6" t="inlineStr">
        <is>
          <t>Francilene Ferreira de Jesus</t>
        </is>
      </c>
      <c r="C619" s="3" t="inlineStr">
        <is>
          <t>Técnico II</t>
        </is>
      </c>
      <c r="D619" s="3" t="n">
        <v>0</v>
      </c>
      <c r="E619" s="3" t="n">
        <v>0</v>
      </c>
      <c r="F619" s="3" t="n">
        <v>0</v>
      </c>
      <c r="G619" s="3" t="n">
        <v>0</v>
      </c>
      <c r="H619" s="3" t="n">
        <v>0</v>
      </c>
      <c r="I619" s="3" t="n">
        <v>0</v>
      </c>
      <c r="J619" s="3" t="n">
        <v>0</v>
      </c>
      <c r="K619" s="3" t="n">
        <v>0</v>
      </c>
      <c r="L619" s="3">
        <f>IF(K619&lt;-5,"CRÍTICO",IF(K619&lt;0,"ATENÇÃO",IF(K619&lt;=5,"BOM","EXCELENTE")))</f>
        <v/>
      </c>
      <c r="M619" s="9" t="n">
        <v>0</v>
      </c>
      <c r="N619" s="9" t="n">
        <v>100</v>
      </c>
      <c r="O619" s="9" t="n">
        <v>17.24137931034483</v>
      </c>
    </row>
    <row r="620" hidden="1">
      <c r="A620" s="5" t="n">
        <v>46154</v>
      </c>
      <c r="B620" s="6" t="inlineStr">
        <is>
          <t>Isabella Borges de Oliveira</t>
        </is>
      </c>
      <c r="C620" s="9" t="inlineStr">
        <is>
          <t>Técnico II</t>
        </is>
      </c>
      <c r="D620" s="3" t="n">
        <v>26</v>
      </c>
      <c r="E620" s="3" t="n">
        <v>24</v>
      </c>
      <c r="F620" t="n">
        <v>25.14</v>
      </c>
      <c r="G620" s="3" t="n">
        <v>0</v>
      </c>
      <c r="H620" s="3" t="n">
        <v>0</v>
      </c>
      <c r="I620" s="3">
        <f>E620+G620+H620</f>
        <v/>
      </c>
      <c r="J620" s="3">
        <f>ROUND(MIN(IF(C620="Técnico III",35,IF(C620="Técnico II",28,IF(C620="Técnico I",23,IF(C620="JR",20,IF(C620="Estágio",10,0))))),IF(C620="Técnico III",SUMIFS($D:$D,$A:$A,$A620,$B:$B,"&lt;&gt;Patrícia Karla de Sousa Araújo",$B:$B,"&lt;&gt;Lorena Dias de Araujo",$B:$B,"&lt;&gt;Lucas Luiz Romero")*(35/1083),IF(C620="Técnico II",SUMIFS($D:$D,$A:$A,$A620,$B:$B,"&lt;&gt;Patrícia Karla de Sousa Araújo",$B:$B,"&lt;&gt;Lorena Dias de Araujo",$B:$B,"&lt;&gt;Lucas Luiz Romero")*(28/1083),IF(C620="Técnico I",SUMIFS($D:$D,$A:$A,$A620,$B:$B,"&lt;&gt;Patrícia Karla de Sousa Araújo",$B:$B,"&lt;&gt;Lorena Dias de Araujo",$B:$B,"&lt;&gt;Lucas Luiz Romero")*(23/1083),IF(C620="JR",SUMIFS($D:$D,$A:$A,$A620,$B:$B,"&lt;&gt;Patrícia Karla de Sousa Araújo",$B:$B,"&lt;&gt;Lorena Dias de Araujo",$B:$B,"&lt;&gt;Lucas Luiz Romero")*(20/1083),IF(C620="Estágio",SUMIFS($D:$D,$A:$A,$A620,$B:$B,"&lt;&gt;Patrícia Karla de Sousa Araújo",$B:$B,"&lt;&gt;Lorena Dias de Araujo",$B:$B,"&lt;&gt;Lucas Luiz Romero")*(10/1083),0)))))),0)</f>
        <v/>
      </c>
      <c r="K620" s="3">
        <f>I620-J620</f>
        <v/>
      </c>
      <c r="L620" s="3">
        <f>IF(K620&lt;-5,"CRÍTICO",IF(K620&lt;0,"ATENÇÃO",IF(K620&lt;=5,"BOM","EXCELENTE")))</f>
        <v/>
      </c>
      <c r="M620" t="n">
        <v>18</v>
      </c>
      <c r="N620" t="n">
        <v>98.63</v>
      </c>
      <c r="O620" t="n">
        <v>15.75757575757576</v>
      </c>
    </row>
    <row r="621" hidden="1">
      <c r="A621" s="5" t="n">
        <v>46154</v>
      </c>
      <c r="B621" s="6" t="inlineStr">
        <is>
          <t>Jessica Faria da Silveira</t>
        </is>
      </c>
      <c r="C621" s="3" t="inlineStr">
        <is>
          <t>Técnico II</t>
        </is>
      </c>
      <c r="D621" s="3" t="n">
        <v>29</v>
      </c>
      <c r="E621" s="3" t="n">
        <v>26</v>
      </c>
      <c r="F621" t="n">
        <v>15.07</v>
      </c>
      <c r="G621" s="3" t="n">
        <v>5</v>
      </c>
      <c r="H621" s="3" t="n">
        <v>0</v>
      </c>
      <c r="I621" s="3">
        <f>E621+G621+H621</f>
        <v/>
      </c>
      <c r="J621" s="3">
        <f>ROUND(MIN(IF(C621="Técnico III",35,IF(C621="Técnico II",28,IF(C621="Técnico I",23,IF(C621="JR",20,IF(C621="Estágio",10,0))))),IF(C621="Técnico III",SUMIFS($D:$D,$A:$A,$A621,$B:$B,"&lt;&gt;Patrícia Karla de Sousa Araújo",$B:$B,"&lt;&gt;Lorena Dias de Araujo",$B:$B,"&lt;&gt;Lucas Luiz Romero")*(35/1083),IF(C621="Técnico II",SUMIFS($D:$D,$A:$A,$A621,$B:$B,"&lt;&gt;Patrícia Karla de Sousa Araújo",$B:$B,"&lt;&gt;Lorena Dias de Araujo",$B:$B,"&lt;&gt;Lucas Luiz Romero")*(28/1083),IF(C621="Técnico I",SUMIFS($D:$D,$A:$A,$A621,$B:$B,"&lt;&gt;Patrícia Karla de Sousa Araújo",$B:$B,"&lt;&gt;Lorena Dias de Araujo",$B:$B,"&lt;&gt;Lucas Luiz Romero")*(23/1083),IF(C621="JR",SUMIFS($D:$D,$A:$A,$A621,$B:$B,"&lt;&gt;Patrícia Karla de Sousa Araújo",$B:$B,"&lt;&gt;Lorena Dias de Araujo",$B:$B,"&lt;&gt;Lucas Luiz Romero")*(20/1083),IF(C621="Estágio",SUMIFS($D:$D,$A:$A,$A621,$B:$B,"&lt;&gt;Patrícia Karla de Sousa Araújo",$B:$B,"&lt;&gt;Lorena Dias de Araujo",$B:$B,"&lt;&gt;Lucas Luiz Romero")*(10/1083),0)))))),0)</f>
        <v/>
      </c>
      <c r="K621" s="3">
        <f>I621-J621</f>
        <v/>
      </c>
      <c r="L621" s="3">
        <f>IF(K621&lt;-5,"CRÍTICO",IF(K621&lt;0,"ATENÇÃO",IF(K621&lt;=5,"BOM","EXCELENTE")))</f>
        <v/>
      </c>
      <c r="M621" t="n">
        <v>26</v>
      </c>
      <c r="N621" t="n">
        <v>98.61</v>
      </c>
      <c r="O621" t="n">
        <v>16.97530864197531</v>
      </c>
    </row>
    <row r="622" hidden="1">
      <c r="A622" s="5" t="n">
        <v>46154</v>
      </c>
      <c r="B622" s="6" t="inlineStr">
        <is>
          <t>Lizandra Gomes Duarte</t>
        </is>
      </c>
      <c r="C622" s="3" t="inlineStr">
        <is>
          <t>Técnico II</t>
        </is>
      </c>
      <c r="D622" s="3" t="n">
        <v>28</v>
      </c>
      <c r="E622" s="3" t="n">
        <v>26</v>
      </c>
      <c r="F622" t="n">
        <v>23.59</v>
      </c>
      <c r="G622" s="3" t="n">
        <v>2</v>
      </c>
      <c r="H622" s="3" t="n">
        <v>0</v>
      </c>
      <c r="I622" s="3">
        <f>E622+G622+H622</f>
        <v/>
      </c>
      <c r="J622" s="3">
        <f>ROUND(MIN(IF(C622="Técnico III",35,IF(C622="Técnico II",28,IF(C622="Técnico I",23,IF(C622="JR",20,IF(C622="Estágio",10,0))))),IF(C622="Técnico III",SUMIFS($D:$D,$A:$A,$A622,$B:$B,"&lt;&gt;Patrícia Karla de Sousa Araújo",$B:$B,"&lt;&gt;Lorena Dias de Araujo",$B:$B,"&lt;&gt;Lucas Luiz Romero")*(35/1083),IF(C622="Técnico II",SUMIFS($D:$D,$A:$A,$A622,$B:$B,"&lt;&gt;Patrícia Karla de Sousa Araújo",$B:$B,"&lt;&gt;Lorena Dias de Araujo",$B:$B,"&lt;&gt;Lucas Luiz Romero")*(28/1083),IF(C622="Técnico I",SUMIFS($D:$D,$A:$A,$A622,$B:$B,"&lt;&gt;Patrícia Karla de Sousa Araújo",$B:$B,"&lt;&gt;Lorena Dias de Araujo",$B:$B,"&lt;&gt;Lucas Luiz Romero")*(23/1083),IF(C622="JR",SUMIFS($D:$D,$A:$A,$A622,$B:$B,"&lt;&gt;Patrícia Karla de Sousa Araújo",$B:$B,"&lt;&gt;Lorena Dias de Araujo",$B:$B,"&lt;&gt;Lucas Luiz Romero")*(20/1083),IF(C622="Estágio",SUMIFS($D:$D,$A:$A,$A622,$B:$B,"&lt;&gt;Patrícia Karla de Sousa Araújo",$B:$B,"&lt;&gt;Lorena Dias de Araujo",$B:$B,"&lt;&gt;Lucas Luiz Romero")*(10/1083),0)))))),0)</f>
        <v/>
      </c>
      <c r="K622" s="3">
        <f>I622-J622</f>
        <v/>
      </c>
      <c r="L622" s="3">
        <f>IF(K622&lt;-5,"CRÍTICO",IF(K622&lt;0,"ATENÇÃO",IF(K622&lt;=5,"BOM","EXCELENTE")))</f>
        <v/>
      </c>
      <c r="M622" t="n">
        <v>22</v>
      </c>
      <c r="N622" t="n">
        <v>98.61</v>
      </c>
      <c r="O622" t="n">
        <v>16.86746987951807</v>
      </c>
    </row>
    <row r="623" hidden="1">
      <c r="A623" s="5" t="n">
        <v>46154</v>
      </c>
      <c r="B623" s="6" t="inlineStr">
        <is>
          <t>Lorena Dias de Araujo</t>
        </is>
      </c>
      <c r="C623" s="3" t="inlineStr">
        <is>
          <t>Técnico II</t>
        </is>
      </c>
      <c r="D623" s="3" t="n">
        <v>25</v>
      </c>
      <c r="E623" s="3" t="n">
        <v>24</v>
      </c>
      <c r="F623" t="n">
        <v>25.44</v>
      </c>
      <c r="G623" s="3" t="n">
        <v>0</v>
      </c>
      <c r="H623" s="3" t="n">
        <v>0</v>
      </c>
      <c r="I623" s="3" t="n">
        <v>0</v>
      </c>
      <c r="J623" s="3" t="n">
        <v>0</v>
      </c>
      <c r="K623" s="3" t="n">
        <v>0</v>
      </c>
      <c r="L623" s="3">
        <f>IF(K623&lt;-5,"CRÍTICO",IF(K623&lt;0,"ATENÇÃO",IF(K623&lt;=5,"BOM","EXCELENTE")))</f>
        <v/>
      </c>
      <c r="M623" t="n">
        <v>19</v>
      </c>
      <c r="N623" t="n">
        <v>100</v>
      </c>
      <c r="O623" t="n">
        <v>20.82018927444795</v>
      </c>
    </row>
    <row r="624" hidden="1">
      <c r="A624" s="5" t="n">
        <v>46154</v>
      </c>
      <c r="B624" s="6" t="inlineStr">
        <is>
          <t>Patrícia Karla de Sousa Araújo</t>
        </is>
      </c>
      <c r="C624" s="3" t="inlineStr">
        <is>
          <t>Técnico II</t>
        </is>
      </c>
      <c r="D624" s="3" t="n">
        <v>30</v>
      </c>
      <c r="E624" s="3" t="n">
        <v>26</v>
      </c>
      <c r="F624" t="n">
        <v>17.19</v>
      </c>
      <c r="G624" s="3" t="n">
        <v>0</v>
      </c>
      <c r="H624" s="3" t="n">
        <v>0</v>
      </c>
      <c r="I624" s="3">
        <f>E624+G624+H624</f>
        <v/>
      </c>
      <c r="J624" s="3">
        <f>ROUND(MIN(IF(C624="Técnico III",35,IF(C624="Técnico II",28,IF(C624="Técnico I",23,IF(C624="JR",20,IF(C624="Estágio",10,0))))),IF(C624="Técnico III",SUMIFS($D:$D,$A:$A,$A624,$B:$B,"&lt;&gt;Patrícia Karla de Sousa Araújo",$B:$B,"&lt;&gt;Lorena Dias de Araujo",$B:$B,"&lt;&gt;Lucas Luiz Romero")*(35/1083),IF(C624="Técnico II",SUMIFS($D:$D,$A:$A,$A624,$B:$B,"&lt;&gt;Patrícia Karla de Sousa Araújo",$B:$B,"&lt;&gt;Lorena Dias de Araujo",$B:$B,"&lt;&gt;Lucas Luiz Romero")*(28/1083),IF(C624="Técnico I",SUMIFS($D:$D,$A:$A,$A624,$B:$B,"&lt;&gt;Patrícia Karla de Sousa Araújo",$B:$B,"&lt;&gt;Lorena Dias de Araujo",$B:$B,"&lt;&gt;Lucas Luiz Romero")*(23/1083),IF(C624="JR",SUMIFS($D:$D,$A:$A,$A624,$B:$B,"&lt;&gt;Patrícia Karla de Sousa Araújo",$B:$B,"&lt;&gt;Lorena Dias de Araujo",$B:$B,"&lt;&gt;Lucas Luiz Romero")*(20/1083),IF(C624="Estágio",SUMIFS($D:$D,$A:$A,$A624,$B:$B,"&lt;&gt;Patrícia Karla de Sousa Araújo",$B:$B,"&lt;&gt;Lorena Dias de Araujo",$B:$B,"&lt;&gt;Lucas Luiz Romero")*(10/1083),0)))))),0)</f>
        <v/>
      </c>
      <c r="K624" s="3">
        <f>I624-J624</f>
        <v/>
      </c>
      <c r="L624" s="3">
        <f>IF(K624&lt;-5,"CRÍTICO",IF(K624&lt;0,"ATENÇÃO",IF(K624&lt;=5,"BOM","EXCELENTE")))</f>
        <v/>
      </c>
      <c r="M624" t="n">
        <v>22</v>
      </c>
      <c r="N624" t="n">
        <v>100</v>
      </c>
      <c r="O624" t="n">
        <v>16.89497716894977</v>
      </c>
    </row>
    <row r="625" hidden="1">
      <c r="A625" s="5" t="n">
        <v>46155</v>
      </c>
      <c r="B625" s="6" t="inlineStr">
        <is>
          <t>Alisson de Freitas Silva</t>
        </is>
      </c>
      <c r="C625" s="3" t="inlineStr">
        <is>
          <t>Técnico II</t>
        </is>
      </c>
      <c r="D625" s="3" t="n">
        <v>28</v>
      </c>
      <c r="E625" s="3" t="n">
        <v>21</v>
      </c>
      <c r="F625" t="n">
        <v>17.22</v>
      </c>
      <c r="G625" s="3" t="n">
        <v>2</v>
      </c>
      <c r="H625" s="3" t="n">
        <v>0</v>
      </c>
      <c r="I625" s="3">
        <f>E625+G625+H625</f>
        <v/>
      </c>
      <c r="J625" s="3">
        <f>ROUND(MIN(IF(C625="Técnico III",35,IF(C625="Técnico II",28,IF(C625="Técnico I",23,IF(C625="JR",20,IF(C625="Estágio",10,0))))),IF(C625="Técnico III",SUMIFS($D:$D,$A:$A,$A625,$B:$B,"&lt;&gt;Patrícia Karla de Sousa Araújo",$B:$B,"&lt;&gt;Lorena Dias de Araujo",$B:$B,"&lt;&gt;Lucas Luiz Romero")*(35/1083),IF(C625="Técnico II",SUMIFS($D:$D,$A:$A,$A625,$B:$B,"&lt;&gt;Patrícia Karla de Sousa Araújo",$B:$B,"&lt;&gt;Lorena Dias de Araujo",$B:$B,"&lt;&gt;Lucas Luiz Romero")*(28/1083),IF(C625="Técnico I",SUMIFS($D:$D,$A:$A,$A625,$B:$B,"&lt;&gt;Patrícia Karla de Sousa Araújo",$B:$B,"&lt;&gt;Lorena Dias de Araujo",$B:$B,"&lt;&gt;Lucas Luiz Romero")*(23/1083),IF(C625="JR",SUMIFS($D:$D,$A:$A,$A625,$B:$B,"&lt;&gt;Patrícia Karla de Sousa Araújo",$B:$B,"&lt;&gt;Lorena Dias de Araujo",$B:$B,"&lt;&gt;Lucas Luiz Romero")*(20/1083),IF(C625="Estágio",SUMIFS($D:$D,$A:$A,$A625,$B:$B,"&lt;&gt;Patrícia Karla de Sousa Araújo",$B:$B,"&lt;&gt;Lorena Dias de Araujo",$B:$B,"&lt;&gt;Lucas Luiz Romero")*(10/1083),0)))))),0)</f>
        <v/>
      </c>
      <c r="K625" s="3">
        <f>I625-J625</f>
        <v/>
      </c>
      <c r="L625" s="3">
        <f>IF(K625&lt;-5,"CRÍTICO",IF(K625&lt;0,"ATENÇÃO",IF(K625&lt;=5,"BOM","EXCELENTE")))</f>
        <v/>
      </c>
      <c r="M625" s="3" t="n">
        <v>17</v>
      </c>
      <c r="N625" s="3" t="n">
        <v>98.94</v>
      </c>
      <c r="O625" s="3" t="n">
        <v>19.61414790996785</v>
      </c>
    </row>
    <row r="626" hidden="1">
      <c r="A626" s="5" t="n">
        <v>46155</v>
      </c>
      <c r="B626" s="6" t="inlineStr">
        <is>
          <t>Brenda de Menezes Silva</t>
        </is>
      </c>
      <c r="C626" s="3" t="inlineStr">
        <is>
          <t>Técnico II</t>
        </is>
      </c>
      <c r="D626" s="3" t="n">
        <v>33</v>
      </c>
      <c r="E626" s="3" t="n">
        <v>29</v>
      </c>
      <c r="F626" t="n">
        <v>18.31</v>
      </c>
      <c r="G626" s="3" t="n">
        <v>1</v>
      </c>
      <c r="H626" s="3" t="n">
        <v>0</v>
      </c>
      <c r="I626" s="3">
        <f>E626+G626+H626</f>
        <v/>
      </c>
      <c r="J626" s="3">
        <f>ROUND(MIN(IF(C626="Técnico III",35,IF(C626="Técnico II",28,IF(C626="Técnico I",23,IF(C626="JR",20,IF(C626="Estágio",10,0))))),IF(C626="Técnico III",SUMIFS($D:$D,$A:$A,$A626,$B:$B,"&lt;&gt;Patrícia Karla de Sousa Araújo",$B:$B,"&lt;&gt;Lorena Dias de Araujo",$B:$B,"&lt;&gt;Lucas Luiz Romero")*(35/1083),IF(C626="Técnico II",SUMIFS($D:$D,$A:$A,$A626,$B:$B,"&lt;&gt;Patrícia Karla de Sousa Araújo",$B:$B,"&lt;&gt;Lorena Dias de Araujo",$B:$B,"&lt;&gt;Lucas Luiz Romero")*(28/1083),IF(C626="Técnico I",SUMIFS($D:$D,$A:$A,$A626,$B:$B,"&lt;&gt;Patrícia Karla de Sousa Araújo",$B:$B,"&lt;&gt;Lorena Dias de Araujo",$B:$B,"&lt;&gt;Lucas Luiz Romero")*(23/1083),IF(C626="JR",SUMIFS($D:$D,$A:$A,$A626,$B:$B,"&lt;&gt;Patrícia Karla de Sousa Araújo",$B:$B,"&lt;&gt;Lorena Dias de Araujo",$B:$B,"&lt;&gt;Lucas Luiz Romero")*(20/1083),IF(C626="Estágio",SUMIFS($D:$D,$A:$A,$A626,$B:$B,"&lt;&gt;Patrícia Karla de Sousa Araújo",$B:$B,"&lt;&gt;Lorena Dias de Araujo",$B:$B,"&lt;&gt;Lucas Luiz Romero")*(10/1083),0)))))),0)</f>
        <v/>
      </c>
      <c r="K626" s="3">
        <f>I626-J626</f>
        <v/>
      </c>
      <c r="L626" s="3">
        <f>IF(K626&lt;-5,"CRÍTICO",IF(K626&lt;0,"ATENÇÃO",IF(K626&lt;=5,"BOM","EXCELENTE")))</f>
        <v/>
      </c>
      <c r="M626" t="n">
        <v>30</v>
      </c>
      <c r="N626" t="n">
        <v>99.13</v>
      </c>
      <c r="O626" t="n">
        <v>14.7239263803681</v>
      </c>
    </row>
    <row r="627" hidden="1">
      <c r="A627" s="5" t="n">
        <v>46155</v>
      </c>
      <c r="B627" s="6" t="inlineStr">
        <is>
          <t>Carlos Mateus Cassimiro Nunes</t>
        </is>
      </c>
      <c r="C627" s="9" t="inlineStr">
        <is>
          <t>Técnico II</t>
        </is>
      </c>
      <c r="D627" s="3" t="n">
        <v>17</v>
      </c>
      <c r="E627" s="3" t="n">
        <v>16</v>
      </c>
      <c r="F627" t="n">
        <v>28.53</v>
      </c>
      <c r="G627" s="3" t="n">
        <v>5</v>
      </c>
      <c r="H627" s="3" t="n">
        <v>0</v>
      </c>
      <c r="I627" s="3">
        <f>E627+G627+H627</f>
        <v/>
      </c>
      <c r="J627" s="3">
        <f>ROUND(MIN(IF(C627="Técnico III",35,IF(C627="Técnico II",28,IF(C627="Técnico I",23,IF(C627="JR",20,IF(C627="Estágio",10,0))))),IF(C627="Técnico III",SUMIFS($D:$D,$A:$A,$A627,$B:$B,"&lt;&gt;Patrícia Karla de Sousa Araújo",$B:$B,"&lt;&gt;Lorena Dias de Araujo",$B:$B,"&lt;&gt;Lucas Luiz Romero")*(35/1083),IF(C627="Técnico II",SUMIFS($D:$D,$A:$A,$A627,$B:$B,"&lt;&gt;Patrícia Karla de Sousa Araújo",$B:$B,"&lt;&gt;Lorena Dias de Araujo",$B:$B,"&lt;&gt;Lucas Luiz Romero")*(28/1083),IF(C627="Técnico I",SUMIFS($D:$D,$A:$A,$A627,$B:$B,"&lt;&gt;Patrícia Karla de Sousa Araújo",$B:$B,"&lt;&gt;Lorena Dias de Araujo",$B:$B,"&lt;&gt;Lucas Luiz Romero")*(23/1083),IF(C627="JR",SUMIFS($D:$D,$A:$A,$A627,$B:$B,"&lt;&gt;Patrícia Karla de Sousa Araújo",$B:$B,"&lt;&gt;Lorena Dias de Araujo",$B:$B,"&lt;&gt;Lucas Luiz Romero")*(20/1083),IF(C627="Estágio",SUMIFS($D:$D,$A:$A,$A627,$B:$B,"&lt;&gt;Patrícia Karla de Sousa Araújo",$B:$B,"&lt;&gt;Lorena Dias de Araujo",$B:$B,"&lt;&gt;Lucas Luiz Romero")*(10/1083),0)))))),0)</f>
        <v/>
      </c>
      <c r="K627" s="3">
        <f>I627-J627</f>
        <v/>
      </c>
      <c r="L627" s="3">
        <f>IF(K627&lt;-5,"CRÍTICO",IF(K627&lt;0,"ATENÇÃO",IF(K627&lt;=5,"BOM","EXCELENTE")))</f>
        <v/>
      </c>
      <c r="M627" t="n">
        <v>19</v>
      </c>
      <c r="N627" t="n">
        <v>98.8</v>
      </c>
      <c r="O627" t="n">
        <v>16.89750692520776</v>
      </c>
    </row>
    <row r="628" hidden="1">
      <c r="A628" s="5" t="n">
        <v>46155</v>
      </c>
      <c r="B628" s="6" t="inlineStr">
        <is>
          <t>Damyllis Lorraine de Oliveira Gonçalves</t>
        </is>
      </c>
      <c r="C628" s="3" t="inlineStr">
        <is>
          <t>Técnico II</t>
        </is>
      </c>
      <c r="D628" s="3" t="n">
        <v>12</v>
      </c>
      <c r="E628" s="3" t="n">
        <v>9</v>
      </c>
      <c r="F628" t="n">
        <v>22.13</v>
      </c>
      <c r="G628" s="3" t="n">
        <v>0</v>
      </c>
      <c r="H628" s="3" t="n">
        <v>0</v>
      </c>
      <c r="I628" s="3" t="n">
        <v>0</v>
      </c>
      <c r="J628" s="3" t="n">
        <v>0</v>
      </c>
      <c r="K628" s="3" t="n">
        <v>0</v>
      </c>
      <c r="L628" s="3">
        <f>IF(K628&lt;-5,"CRÍTICO",IF(K628&lt;0,"ATENÇÃO",IF(K628&lt;=5,"BOM","EXCELENTE")))</f>
        <v/>
      </c>
      <c r="M628" t="n">
        <v>13</v>
      </c>
      <c r="N628" t="n">
        <v>98.63</v>
      </c>
      <c r="O628" t="n">
        <v>18.75</v>
      </c>
    </row>
    <row r="629" hidden="1">
      <c r="A629" s="5" t="n">
        <v>46155</v>
      </c>
      <c r="B629" s="6" t="inlineStr">
        <is>
          <t>Emilly Kamilly Medeiros Miranda</t>
        </is>
      </c>
      <c r="C629" s="3" t="inlineStr">
        <is>
          <t>Técnico II</t>
        </is>
      </c>
      <c r="D629" s="3" t="n">
        <v>28</v>
      </c>
      <c r="E629" s="3" t="n">
        <v>25</v>
      </c>
      <c r="F629" t="n">
        <v>20.05</v>
      </c>
      <c r="G629" s="3" t="n">
        <v>2</v>
      </c>
      <c r="H629" s="3" t="n">
        <v>0</v>
      </c>
      <c r="I629" s="3">
        <f>E629+G629+H629</f>
        <v/>
      </c>
      <c r="J629" s="3">
        <f>ROUND(MIN(IF(C629="Técnico III",35,IF(C629="Técnico II",28,IF(C629="Técnico I",23,IF(C629="JR",20,IF(C629="Estágio",10,0))))),IF(C629="Técnico III",SUMIFS($D:$D,$A:$A,$A629,$B:$B,"&lt;&gt;Patrícia Karla de Sousa Araújo",$B:$B,"&lt;&gt;Lorena Dias de Araujo",$B:$B,"&lt;&gt;Lucas Luiz Romero")*(35/1083),IF(C629="Técnico II",SUMIFS($D:$D,$A:$A,$A629,$B:$B,"&lt;&gt;Patrícia Karla de Sousa Araújo",$B:$B,"&lt;&gt;Lorena Dias de Araujo",$B:$B,"&lt;&gt;Lucas Luiz Romero")*(28/1083),IF(C629="Técnico I",SUMIFS($D:$D,$A:$A,$A629,$B:$B,"&lt;&gt;Patrícia Karla de Sousa Araújo",$B:$B,"&lt;&gt;Lorena Dias de Araujo",$B:$B,"&lt;&gt;Lucas Luiz Romero")*(23/1083),IF(C629="JR",SUMIFS($D:$D,$A:$A,$A629,$B:$B,"&lt;&gt;Patrícia Karla de Sousa Araújo",$B:$B,"&lt;&gt;Lorena Dias de Araujo",$B:$B,"&lt;&gt;Lucas Luiz Romero")*(20/1083),IF(C629="Estágio",SUMIFS($D:$D,$A:$A,$A629,$B:$B,"&lt;&gt;Patrícia Karla de Sousa Araújo",$B:$B,"&lt;&gt;Lorena Dias de Araujo",$B:$B,"&lt;&gt;Lucas Luiz Romero")*(10/1083),0)))))),0)</f>
        <v/>
      </c>
      <c r="K629" s="3">
        <f>I629-J629</f>
        <v/>
      </c>
      <c r="L629" s="3">
        <f>IF(K629&lt;-5,"CRÍTICO",IF(K629&lt;0,"ATENÇÃO",IF(K629&lt;=5,"BOM","EXCELENTE")))</f>
        <v/>
      </c>
      <c r="M629" t="n">
        <v>19</v>
      </c>
      <c r="N629" t="n">
        <v>100</v>
      </c>
      <c r="O629" t="n">
        <v>13.8121546961326</v>
      </c>
    </row>
    <row r="630" hidden="1">
      <c r="A630" s="5" t="n">
        <v>46155</v>
      </c>
      <c r="B630" s="6" t="inlineStr">
        <is>
          <t>Francilene Ferreira de Jesus</t>
        </is>
      </c>
      <c r="C630" s="3" t="inlineStr">
        <is>
          <t>Técnico II</t>
        </is>
      </c>
      <c r="D630" s="3" t="n">
        <v>0</v>
      </c>
      <c r="E630" s="3" t="n">
        <v>0</v>
      </c>
      <c r="F630" s="3" t="n">
        <v>0</v>
      </c>
      <c r="G630" s="3" t="n">
        <v>0</v>
      </c>
      <c r="H630" s="3" t="n">
        <v>0</v>
      </c>
      <c r="I630" s="3" t="n">
        <v>0</v>
      </c>
      <c r="J630" s="3" t="n">
        <v>0</v>
      </c>
      <c r="K630" s="3" t="n">
        <v>0</v>
      </c>
      <c r="L630" s="3">
        <f>IF(K630&lt;-5,"CRÍTICO",IF(K630&lt;0,"ATENÇÃO",IF(K630&lt;=5,"BOM","EXCELENTE")))</f>
        <v/>
      </c>
      <c r="M630" s="9" t="n">
        <v>0</v>
      </c>
      <c r="N630" s="9" t="n">
        <v>100</v>
      </c>
      <c r="O630" s="9" t="n">
        <v>17.24137931034483</v>
      </c>
    </row>
    <row r="631" hidden="1">
      <c r="A631" s="5" t="n">
        <v>46155</v>
      </c>
      <c r="B631" s="6" t="inlineStr">
        <is>
          <t>Isabella Borges de Oliveira</t>
        </is>
      </c>
      <c r="C631" s="9" t="inlineStr">
        <is>
          <t>Técnico II</t>
        </is>
      </c>
      <c r="D631" s="3" t="n">
        <v>21</v>
      </c>
      <c r="E631" s="3" t="n">
        <v>21</v>
      </c>
      <c r="F631" t="n">
        <v>28.56</v>
      </c>
      <c r="G631" s="3" t="n">
        <v>1</v>
      </c>
      <c r="H631" s="3" t="n">
        <v>0</v>
      </c>
      <c r="I631" s="3">
        <f>E631+G631+H631</f>
        <v/>
      </c>
      <c r="J631" s="3">
        <f>ROUND(MIN(IF(C631="Técnico III",35,IF(C631="Técnico II",28,IF(C631="Técnico I",23,IF(C631="JR",20,IF(C631="Estágio",10,0))))),IF(C631="Técnico III",SUMIFS($D:$D,$A:$A,$A631,$B:$B,"&lt;&gt;Patrícia Karla de Sousa Araújo",$B:$B,"&lt;&gt;Lorena Dias de Araujo",$B:$B,"&lt;&gt;Lucas Luiz Romero")*(35/1083),IF(C631="Técnico II",SUMIFS($D:$D,$A:$A,$A631,$B:$B,"&lt;&gt;Patrícia Karla de Sousa Araújo",$B:$B,"&lt;&gt;Lorena Dias de Araujo",$B:$B,"&lt;&gt;Lucas Luiz Romero")*(28/1083),IF(C631="Técnico I",SUMIFS($D:$D,$A:$A,$A631,$B:$B,"&lt;&gt;Patrícia Karla de Sousa Araújo",$B:$B,"&lt;&gt;Lorena Dias de Araujo",$B:$B,"&lt;&gt;Lucas Luiz Romero")*(23/1083),IF(C631="JR",SUMIFS($D:$D,$A:$A,$A631,$B:$B,"&lt;&gt;Patrícia Karla de Sousa Araújo",$B:$B,"&lt;&gt;Lorena Dias de Araujo",$B:$B,"&lt;&gt;Lucas Luiz Romero")*(20/1083),IF(C631="Estágio",SUMIFS($D:$D,$A:$A,$A631,$B:$B,"&lt;&gt;Patrícia Karla de Sousa Araújo",$B:$B,"&lt;&gt;Lorena Dias de Araujo",$B:$B,"&lt;&gt;Lucas Luiz Romero")*(10/1083),0)))))),0)</f>
        <v/>
      </c>
      <c r="K631" s="3">
        <f>I631-J631</f>
        <v/>
      </c>
      <c r="L631" s="3">
        <f>IF(K631&lt;-5,"CRÍTICO",IF(K631&lt;0,"ATENÇÃO",IF(K631&lt;=5,"BOM","EXCELENTE")))</f>
        <v/>
      </c>
      <c r="M631" t="n">
        <v>22</v>
      </c>
      <c r="N631" t="n">
        <v>98.63</v>
      </c>
      <c r="O631" t="n">
        <v>15.75757575757576</v>
      </c>
    </row>
    <row r="632" hidden="1">
      <c r="A632" s="5" t="n">
        <v>46155</v>
      </c>
      <c r="B632" s="6" t="inlineStr">
        <is>
          <t>Jessica Faria da Silveira</t>
        </is>
      </c>
      <c r="C632" s="3" t="inlineStr">
        <is>
          <t>Técnico II</t>
        </is>
      </c>
      <c r="D632" s="3" t="n">
        <v>33</v>
      </c>
      <c r="E632" s="3" t="n">
        <v>27</v>
      </c>
      <c r="F632" t="n">
        <v>15.43</v>
      </c>
      <c r="G632" s="3" t="n">
        <v>0</v>
      </c>
      <c r="H632" s="3" t="n">
        <v>0</v>
      </c>
      <c r="I632" s="3">
        <f>E632+G632+H632</f>
        <v/>
      </c>
      <c r="J632" s="3">
        <f>ROUND(MIN(IF(C632="Técnico III",35,IF(C632="Técnico II",28,IF(C632="Técnico I",23,IF(C632="JR",20,IF(C632="Estágio",10,0))))),IF(C632="Técnico III",SUMIFS($D:$D,$A:$A,$A632,$B:$B,"&lt;&gt;Patrícia Karla de Sousa Araújo",$B:$B,"&lt;&gt;Lorena Dias de Araujo",$B:$B,"&lt;&gt;Lucas Luiz Romero")*(35/1083),IF(C632="Técnico II",SUMIFS($D:$D,$A:$A,$A632,$B:$B,"&lt;&gt;Patrícia Karla de Sousa Araújo",$B:$B,"&lt;&gt;Lorena Dias de Araujo",$B:$B,"&lt;&gt;Lucas Luiz Romero")*(28/1083),IF(C632="Técnico I",SUMIFS($D:$D,$A:$A,$A632,$B:$B,"&lt;&gt;Patrícia Karla de Sousa Araújo",$B:$B,"&lt;&gt;Lorena Dias de Araujo",$B:$B,"&lt;&gt;Lucas Luiz Romero")*(23/1083),IF(C632="JR",SUMIFS($D:$D,$A:$A,$A632,$B:$B,"&lt;&gt;Patrícia Karla de Sousa Araújo",$B:$B,"&lt;&gt;Lorena Dias de Araujo",$B:$B,"&lt;&gt;Lucas Luiz Romero")*(20/1083),IF(C632="Estágio",SUMIFS($D:$D,$A:$A,$A632,$B:$B,"&lt;&gt;Patrícia Karla de Sousa Araújo",$B:$B,"&lt;&gt;Lorena Dias de Araujo",$B:$B,"&lt;&gt;Lucas Luiz Romero")*(10/1083),0)))))),0)</f>
        <v/>
      </c>
      <c r="K632" s="3">
        <f>I632-J632</f>
        <v/>
      </c>
      <c r="L632" s="3">
        <f>IF(K632&lt;-5,"CRÍTICO",IF(K632&lt;0,"ATENÇÃO",IF(K632&lt;=5,"BOM","EXCELENTE")))</f>
        <v/>
      </c>
      <c r="M632" t="n">
        <v>23</v>
      </c>
      <c r="N632" t="n">
        <v>98.61</v>
      </c>
      <c r="O632" t="n">
        <v>16.97530864197531</v>
      </c>
    </row>
    <row r="633" hidden="1">
      <c r="A633" s="5" t="n">
        <v>46155</v>
      </c>
      <c r="B633" s="6" t="inlineStr">
        <is>
          <t>Lizandra Gomes Duarte</t>
        </is>
      </c>
      <c r="C633" s="3" t="inlineStr">
        <is>
          <t>Técnico II</t>
        </is>
      </c>
      <c r="D633" s="3" t="n">
        <v>21</v>
      </c>
      <c r="E633" s="3" t="n">
        <v>20</v>
      </c>
      <c r="F633" t="n">
        <v>22.3</v>
      </c>
      <c r="G633" s="3" t="n">
        <v>5</v>
      </c>
      <c r="H633" s="3" t="n">
        <v>0</v>
      </c>
      <c r="I633" s="3">
        <f>E633+G633+H633</f>
        <v/>
      </c>
      <c r="J633" s="3">
        <f>ROUND(MIN(IF(C633="Técnico III",35,IF(C633="Técnico II",28,IF(C633="Técnico I",23,IF(C633="JR",20,IF(C633="Estágio",10,0))))),IF(C633="Técnico III",SUMIFS($D:$D,$A:$A,$A633,$B:$B,"&lt;&gt;Patrícia Karla de Sousa Araújo",$B:$B,"&lt;&gt;Lorena Dias de Araujo",$B:$B,"&lt;&gt;Lucas Luiz Romero")*(35/1083),IF(C633="Técnico II",SUMIFS($D:$D,$A:$A,$A633,$B:$B,"&lt;&gt;Patrícia Karla de Sousa Araújo",$B:$B,"&lt;&gt;Lorena Dias de Araujo",$B:$B,"&lt;&gt;Lucas Luiz Romero")*(28/1083),IF(C633="Técnico I",SUMIFS($D:$D,$A:$A,$A633,$B:$B,"&lt;&gt;Patrícia Karla de Sousa Araújo",$B:$B,"&lt;&gt;Lorena Dias de Araujo",$B:$B,"&lt;&gt;Lucas Luiz Romero")*(23/1083),IF(C633="JR",SUMIFS($D:$D,$A:$A,$A633,$B:$B,"&lt;&gt;Patrícia Karla de Sousa Araújo",$B:$B,"&lt;&gt;Lorena Dias de Araujo",$B:$B,"&lt;&gt;Lucas Luiz Romero")*(20/1083),IF(C633="Estágio",SUMIFS($D:$D,$A:$A,$A633,$B:$B,"&lt;&gt;Patrícia Karla de Sousa Araújo",$B:$B,"&lt;&gt;Lorena Dias de Araujo",$B:$B,"&lt;&gt;Lucas Luiz Romero")*(10/1083),0)))))),0)</f>
        <v/>
      </c>
      <c r="K633" s="3">
        <f>I633-J633</f>
        <v/>
      </c>
      <c r="L633" s="3">
        <f>IF(K633&lt;-5,"CRÍTICO",IF(K633&lt;0,"ATENÇÃO",IF(K633&lt;=5,"BOM","EXCELENTE")))</f>
        <v/>
      </c>
      <c r="M633" t="n">
        <v>22</v>
      </c>
      <c r="N633" t="n">
        <v>98.61</v>
      </c>
      <c r="O633" t="n">
        <v>16.86746987951807</v>
      </c>
    </row>
    <row r="634" hidden="1">
      <c r="A634" s="5" t="n">
        <v>46155</v>
      </c>
      <c r="B634" s="6" t="inlineStr">
        <is>
          <t>Lorena Dias de Araujo</t>
        </is>
      </c>
      <c r="C634" s="3" t="inlineStr">
        <is>
          <t>Técnico II</t>
        </is>
      </c>
      <c r="D634" s="3" t="n">
        <v>30</v>
      </c>
      <c r="E634" s="3" t="n">
        <v>29</v>
      </c>
      <c r="F634" t="n">
        <v>15.49</v>
      </c>
      <c r="G634" s="3" t="n">
        <v>0</v>
      </c>
      <c r="H634" s="3" t="n">
        <v>0</v>
      </c>
      <c r="I634" s="3" t="n">
        <v>0</v>
      </c>
      <c r="J634" s="3" t="n">
        <v>0</v>
      </c>
      <c r="K634" s="3" t="n">
        <v>0</v>
      </c>
      <c r="L634" s="3">
        <f>IF(K634&lt;-5,"CRÍTICO",IF(K634&lt;0,"ATENÇÃO",IF(K634&lt;=5,"BOM","EXCELENTE")))</f>
        <v/>
      </c>
      <c r="M634" t="n">
        <v>26</v>
      </c>
      <c r="N634" t="n">
        <v>100</v>
      </c>
      <c r="O634" t="n">
        <v>20.82018927444795</v>
      </c>
    </row>
    <row r="635" hidden="1">
      <c r="A635" s="5" t="n">
        <v>46155</v>
      </c>
      <c r="B635" s="6" t="inlineStr">
        <is>
          <t>Patrícia Karla de Sousa Araújo</t>
        </is>
      </c>
      <c r="C635" s="3" t="inlineStr">
        <is>
          <t>Técnico II</t>
        </is>
      </c>
      <c r="D635" s="3" t="n">
        <v>24</v>
      </c>
      <c r="E635" s="3" t="n">
        <v>22</v>
      </c>
      <c r="F635" t="n">
        <v>21.47</v>
      </c>
      <c r="G635" s="3" t="n">
        <v>0</v>
      </c>
      <c r="H635" s="3" t="n">
        <v>0</v>
      </c>
      <c r="I635" s="3">
        <f>E635+G635+H635</f>
        <v/>
      </c>
      <c r="J635" s="3">
        <f>ROUND(MIN(IF(C635="Técnico III",35,IF(C635="Técnico II",28,IF(C635="Técnico I",23,IF(C635="JR",20,IF(C635="Estágio",10,0))))),IF(C635="Técnico III",SUMIFS($D:$D,$A:$A,$A635,$B:$B,"&lt;&gt;Patrícia Karla de Sousa Araújo",$B:$B,"&lt;&gt;Lorena Dias de Araujo",$B:$B,"&lt;&gt;Lucas Luiz Romero")*(35/1083),IF(C635="Técnico II",SUMIFS($D:$D,$A:$A,$A635,$B:$B,"&lt;&gt;Patrícia Karla de Sousa Araújo",$B:$B,"&lt;&gt;Lorena Dias de Araujo",$B:$B,"&lt;&gt;Lucas Luiz Romero")*(28/1083),IF(C635="Técnico I",SUMIFS($D:$D,$A:$A,$A635,$B:$B,"&lt;&gt;Patrícia Karla de Sousa Araújo",$B:$B,"&lt;&gt;Lorena Dias de Araujo",$B:$B,"&lt;&gt;Lucas Luiz Romero")*(23/1083),IF(C635="JR",SUMIFS($D:$D,$A:$A,$A635,$B:$B,"&lt;&gt;Patrícia Karla de Sousa Araújo",$B:$B,"&lt;&gt;Lorena Dias de Araujo",$B:$B,"&lt;&gt;Lucas Luiz Romero")*(20/1083),IF(C635="Estágio",SUMIFS($D:$D,$A:$A,$A635,$B:$B,"&lt;&gt;Patrícia Karla de Sousa Araújo",$B:$B,"&lt;&gt;Lorena Dias de Araujo",$B:$B,"&lt;&gt;Lucas Luiz Romero")*(10/1083),0)))))),0)</f>
        <v/>
      </c>
      <c r="K635" s="3">
        <f>I635-J635</f>
        <v/>
      </c>
      <c r="L635" s="3">
        <f>IF(K635&lt;-5,"CRÍTICO",IF(K635&lt;0,"ATENÇÃO",IF(K635&lt;=5,"BOM","EXCELENTE")))</f>
        <v/>
      </c>
      <c r="M635" t="n">
        <v>18</v>
      </c>
      <c r="N635" t="n">
        <v>100</v>
      </c>
      <c r="O635" t="n">
        <v>16.89497716894977</v>
      </c>
    </row>
    <row r="636" hidden="1">
      <c r="A636" s="5" t="n">
        <v>46156</v>
      </c>
      <c r="B636" s="6" t="inlineStr">
        <is>
          <t>Alisson de Freitas Silva</t>
        </is>
      </c>
      <c r="C636" s="3" t="inlineStr">
        <is>
          <t>Técnico II</t>
        </is>
      </c>
      <c r="D636" s="3" t="n">
        <v>33</v>
      </c>
      <c r="E636" s="3" t="n">
        <v>28</v>
      </c>
      <c r="F636" t="n">
        <v>10.58</v>
      </c>
      <c r="G636" s="3" t="n">
        <v>6</v>
      </c>
      <c r="H636" s="3" t="n">
        <v>0</v>
      </c>
      <c r="I636" s="3">
        <f>E636+G636+H636</f>
        <v/>
      </c>
      <c r="J636" s="3">
        <f>ROUND(MIN(IF(C636="Técnico III",35,IF(C636="Técnico II",28,IF(C636="Técnico I",23,IF(C636="JR",20,IF(C636="Estágio",10,0))))),IF(C636="Técnico III",SUMIFS($D:$D,$A:$A,$A636,$B:$B,"&lt;&gt;Patrícia Karla de Sousa Araújo",$B:$B,"&lt;&gt;Lorena Dias de Araujo",$B:$B,"&lt;&gt;Lucas Luiz Romero")*(35/1083),IF(C636="Técnico II",SUMIFS($D:$D,$A:$A,$A636,$B:$B,"&lt;&gt;Patrícia Karla de Sousa Araújo",$B:$B,"&lt;&gt;Lorena Dias de Araujo",$B:$B,"&lt;&gt;Lucas Luiz Romero")*(28/1083),IF(C636="Técnico I",SUMIFS($D:$D,$A:$A,$A636,$B:$B,"&lt;&gt;Patrícia Karla de Sousa Araújo",$B:$B,"&lt;&gt;Lorena Dias de Araujo",$B:$B,"&lt;&gt;Lucas Luiz Romero")*(23/1083),IF(C636="JR",SUMIFS($D:$D,$A:$A,$A636,$B:$B,"&lt;&gt;Patrícia Karla de Sousa Araújo",$B:$B,"&lt;&gt;Lorena Dias de Araujo",$B:$B,"&lt;&gt;Lucas Luiz Romero")*(20/1083),IF(C636="Estágio",SUMIFS($D:$D,$A:$A,$A636,$B:$B,"&lt;&gt;Patrícia Karla de Sousa Araújo",$B:$B,"&lt;&gt;Lorena Dias de Araujo",$B:$B,"&lt;&gt;Lucas Luiz Romero")*(10/1083),0)))))),0)</f>
        <v/>
      </c>
      <c r="K636" s="3">
        <f>I636-J636</f>
        <v/>
      </c>
      <c r="L636" s="3">
        <f>IF(K636&lt;-5,"CRÍTICO",IF(K636&lt;0,"ATENÇÃO",IF(K636&lt;=5,"BOM","EXCELENTE")))</f>
        <v/>
      </c>
      <c r="M636" s="3" t="n">
        <v>23</v>
      </c>
      <c r="N636" s="3" t="n">
        <v>98.94</v>
      </c>
      <c r="O636" s="3" t="n">
        <v>19.61414790996785</v>
      </c>
    </row>
    <row r="637" hidden="1">
      <c r="A637" s="5" t="n">
        <v>46156</v>
      </c>
      <c r="B637" s="6" t="inlineStr">
        <is>
          <t>Brenda de Menezes Silva</t>
        </is>
      </c>
      <c r="C637" s="3" t="inlineStr">
        <is>
          <t>Técnico II</t>
        </is>
      </c>
      <c r="D637" s="3" t="n">
        <v>29</v>
      </c>
      <c r="E637" s="3" t="n">
        <v>29</v>
      </c>
      <c r="F637" t="n">
        <v>12.28</v>
      </c>
      <c r="G637" s="3" t="n">
        <v>4</v>
      </c>
      <c r="H637" s="3" t="n">
        <v>0</v>
      </c>
      <c r="I637" s="3">
        <f>E637+G637+H637</f>
        <v/>
      </c>
      <c r="J637" s="3">
        <f>ROUND(MIN(IF(C637="Técnico III",35,IF(C637="Técnico II",28,IF(C637="Técnico I",23,IF(C637="JR",20,IF(C637="Estágio",10,0))))),IF(C637="Técnico III",SUMIFS($D:$D,$A:$A,$A637,$B:$B,"&lt;&gt;Patrícia Karla de Sousa Araújo",$B:$B,"&lt;&gt;Lorena Dias de Araujo",$B:$B,"&lt;&gt;Lucas Luiz Romero")*(35/1083),IF(C637="Técnico II",SUMIFS($D:$D,$A:$A,$A637,$B:$B,"&lt;&gt;Patrícia Karla de Sousa Araújo",$B:$B,"&lt;&gt;Lorena Dias de Araujo",$B:$B,"&lt;&gt;Lucas Luiz Romero")*(28/1083),IF(C637="Técnico I",SUMIFS($D:$D,$A:$A,$A637,$B:$B,"&lt;&gt;Patrícia Karla de Sousa Araújo",$B:$B,"&lt;&gt;Lorena Dias de Araujo",$B:$B,"&lt;&gt;Lucas Luiz Romero")*(23/1083),IF(C637="JR",SUMIFS($D:$D,$A:$A,$A637,$B:$B,"&lt;&gt;Patrícia Karla de Sousa Araújo",$B:$B,"&lt;&gt;Lorena Dias de Araujo",$B:$B,"&lt;&gt;Lucas Luiz Romero")*(20/1083),IF(C637="Estágio",SUMIFS($D:$D,$A:$A,$A637,$B:$B,"&lt;&gt;Patrícia Karla de Sousa Araújo",$B:$B,"&lt;&gt;Lorena Dias de Araujo",$B:$B,"&lt;&gt;Lucas Luiz Romero")*(10/1083),0)))))),0)</f>
        <v/>
      </c>
      <c r="K637" s="3">
        <f>I637-J637</f>
        <v/>
      </c>
      <c r="L637" s="3">
        <f>IF(K637&lt;-5,"CRÍTICO",IF(K637&lt;0,"ATENÇÃO",IF(K637&lt;=5,"BOM","EXCELENTE")))</f>
        <v/>
      </c>
      <c r="M637" t="n">
        <v>33</v>
      </c>
      <c r="N637" t="n">
        <v>99.13</v>
      </c>
      <c r="O637" t="n">
        <v>14.7239263803681</v>
      </c>
    </row>
    <row r="638" hidden="1">
      <c r="A638" s="11" t="n">
        <v>46052</v>
      </c>
      <c r="B638" t="inlineStr">
        <is>
          <t>Gabriel Gomes de Andrade</t>
        </is>
      </c>
      <c r="C638" t="inlineStr">
        <is>
          <t>Técnico I</t>
        </is>
      </c>
      <c r="D638" t="n">
        <v>32</v>
      </c>
      <c r="E638" t="n">
        <v>31</v>
      </c>
      <c r="F638" t="n">
        <v>20.39</v>
      </c>
      <c r="G638" t="n">
        <v>0</v>
      </c>
      <c r="H638" t="n">
        <v>0</v>
      </c>
      <c r="I638" s="3">
        <f>E638+G638+H638</f>
        <v/>
      </c>
      <c r="J638" s="3">
        <f>ROUND(MIN(IF(C638="Técnico III",35,IF(C638="Técnico II",28,IF(C638="Técnico I",23,IF(C638="JR",20,IF(C638="Estágio",10,0))))),IF(C638="Técnico III",SUMIFS($D:$D,$A:$A,$A638,$B:$B,"&lt;&gt;Patrícia Karla de Sousa Araújo",$B:$B,"&lt;&gt;Lorena Dias de Araujo",$B:$B,"&lt;&gt;Lucas Luiz Romero")*(35/1083),IF(C638="Técnico II",SUMIFS($D:$D,$A:$A,$A638,$B:$B,"&lt;&gt;Patrícia Karla de Sousa Araújo",$B:$B,"&lt;&gt;Lorena Dias de Araujo",$B:$B,"&lt;&gt;Lucas Luiz Romero")*(28/1083),IF(C638="Técnico I",SUMIFS($D:$D,$A:$A,$A638,$B:$B,"&lt;&gt;Patrícia Karla de Sousa Araújo",$B:$B,"&lt;&gt;Lorena Dias de Araujo",$B:$B,"&lt;&gt;Lucas Luiz Romero")*(23/1083),IF(C638="JR",SUMIFS($D:$D,$A:$A,$A638,$B:$B,"&lt;&gt;Patrícia Karla de Sousa Araújo",$B:$B,"&lt;&gt;Lorena Dias de Araujo",$B:$B,"&lt;&gt;Lucas Luiz Romero")*(20/1083),IF(C638="Estágio",SUMIFS($D:$D,$A:$A,$A638,$B:$B,"&lt;&gt;Patrícia Karla de Sousa Araújo",$B:$B,"&lt;&gt;Lorena Dias de Araujo",$B:$B,"&lt;&gt;Lucas Luiz Romero")*(10/1083),0)))))),0)</f>
        <v/>
      </c>
      <c r="K638" s="3">
        <f>I638-J638</f>
        <v/>
      </c>
      <c r="L638" s="3">
        <f>IF(K638&lt;-5,"CRÍTICO",IF(K638&lt;0,"ATENÇÃO",IF(K638&lt;=5,"BOM","EXCELENTE")))</f>
        <v/>
      </c>
      <c r="M638" t="n">
        <v>31</v>
      </c>
      <c r="N638" t="n">
        <v>98.91</v>
      </c>
      <c r="O638" t="n">
        <v>31.36729222520107</v>
      </c>
    </row>
    <row r="639" hidden="1">
      <c r="A639" s="11" t="n">
        <v>46055</v>
      </c>
      <c r="B639" t="inlineStr">
        <is>
          <t>Gabriel Gomes de Andrade</t>
        </is>
      </c>
      <c r="C639" t="inlineStr">
        <is>
          <t>Técnico I</t>
        </is>
      </c>
      <c r="D639" t="n">
        <v>17</v>
      </c>
      <c r="E639" t="n">
        <v>15</v>
      </c>
      <c r="F639" t="n">
        <v>25.08</v>
      </c>
      <c r="G639" t="n">
        <v>0</v>
      </c>
      <c r="H639" t="n">
        <v>0</v>
      </c>
      <c r="I639" s="3">
        <f>E639+G639+H639</f>
        <v/>
      </c>
      <c r="J639" s="3">
        <f>ROUND(MIN(IF(C639="Técnico III",35,IF(C639="Técnico II",28,IF(C639="Técnico I",23,IF(C639="JR",20,IF(C639="Estágio",10,0))))),IF(C639="Técnico III",SUMIFS($D:$D,$A:$A,$A639,$B:$B,"&lt;&gt;Patrícia Karla de Sousa Araújo",$B:$B,"&lt;&gt;Lorena Dias de Araujo",$B:$B,"&lt;&gt;Lucas Luiz Romero")*(35/1083),IF(C639="Técnico II",SUMIFS($D:$D,$A:$A,$A639,$B:$B,"&lt;&gt;Patrícia Karla de Sousa Araújo",$B:$B,"&lt;&gt;Lorena Dias de Araujo",$B:$B,"&lt;&gt;Lucas Luiz Romero")*(28/1083),IF(C639="Técnico I",SUMIFS($D:$D,$A:$A,$A639,$B:$B,"&lt;&gt;Patrícia Karla de Sousa Araújo",$B:$B,"&lt;&gt;Lorena Dias de Araujo",$B:$B,"&lt;&gt;Lucas Luiz Romero")*(23/1083),IF(C639="JR",SUMIFS($D:$D,$A:$A,$A639,$B:$B,"&lt;&gt;Patrícia Karla de Sousa Araújo",$B:$B,"&lt;&gt;Lorena Dias de Araujo",$B:$B,"&lt;&gt;Lucas Luiz Romero")*(20/1083),IF(C639="Estágio",SUMIFS($D:$D,$A:$A,$A639,$B:$B,"&lt;&gt;Patrícia Karla de Sousa Araújo",$B:$B,"&lt;&gt;Lorena Dias de Araujo",$B:$B,"&lt;&gt;Lucas Luiz Romero")*(10/1083),0)))))),0)</f>
        <v/>
      </c>
      <c r="K639" s="3">
        <f>I639-J639</f>
        <v/>
      </c>
      <c r="L639" s="3">
        <f>IF(K639&lt;-5,"CRÍTICO",IF(K639&lt;0,"ATENÇÃO",IF(K639&lt;=5,"BOM","EXCELENTE")))</f>
        <v/>
      </c>
      <c r="M639" t="n">
        <v>14</v>
      </c>
      <c r="N639" t="n">
        <v>100</v>
      </c>
      <c r="O639" t="n">
        <v>28.57142857142857</v>
      </c>
    </row>
    <row r="640" hidden="1">
      <c r="A640" s="5" t="n">
        <v>46156</v>
      </c>
      <c r="B640" s="6" t="inlineStr">
        <is>
          <t>Carlos Mateus Cassimiro Nunes</t>
        </is>
      </c>
      <c r="C640" s="9" t="inlineStr">
        <is>
          <t>Técnico II</t>
        </is>
      </c>
      <c r="D640" s="3" t="n">
        <v>25</v>
      </c>
      <c r="E640" s="3" t="n">
        <v>23</v>
      </c>
      <c r="F640" t="n">
        <v>20.56</v>
      </c>
      <c r="G640" s="3" t="n">
        <v>4</v>
      </c>
      <c r="H640" s="3" t="n">
        <v>0</v>
      </c>
      <c r="I640" s="3">
        <f>E640+G640+H640</f>
        <v/>
      </c>
      <c r="J640" s="3">
        <f>ROUND(MIN(IF(C640="Técnico III",35,IF(C640="Técnico II",28,IF(C640="Técnico I",23,IF(C640="JR",20,IF(C640="Estágio",10,0))))),IF(C640="Técnico III",SUMIFS($D:$D,$A:$A,$A640,$B:$B,"&lt;&gt;Patrícia Karla de Sousa Araújo",$B:$B,"&lt;&gt;Lorena Dias de Araujo",$B:$B,"&lt;&gt;Lucas Luiz Romero")*(35/1083),IF(C640="Técnico II",SUMIFS($D:$D,$A:$A,$A640,$B:$B,"&lt;&gt;Patrícia Karla de Sousa Araújo",$B:$B,"&lt;&gt;Lorena Dias de Araujo",$B:$B,"&lt;&gt;Lucas Luiz Romero")*(28/1083),IF(C640="Técnico I",SUMIFS($D:$D,$A:$A,$A640,$B:$B,"&lt;&gt;Patrícia Karla de Sousa Araújo",$B:$B,"&lt;&gt;Lorena Dias de Araujo",$B:$B,"&lt;&gt;Lucas Luiz Romero")*(23/1083),IF(C640="JR",SUMIFS($D:$D,$A:$A,$A640,$B:$B,"&lt;&gt;Patrícia Karla de Sousa Araújo",$B:$B,"&lt;&gt;Lorena Dias de Araujo",$B:$B,"&lt;&gt;Lucas Luiz Romero")*(20/1083),IF(C640="Estágio",SUMIFS($D:$D,$A:$A,$A640,$B:$B,"&lt;&gt;Patrícia Karla de Sousa Araújo",$B:$B,"&lt;&gt;Lorena Dias de Araujo",$B:$B,"&lt;&gt;Lucas Luiz Romero")*(10/1083),0)))))),0)</f>
        <v/>
      </c>
      <c r="K640" s="3">
        <f>I640-J640</f>
        <v/>
      </c>
      <c r="L640" s="3">
        <f>IF(K640&lt;-5,"CRÍTICO",IF(K640&lt;0,"ATENÇÃO",IF(K640&lt;=5,"BOM","EXCELENTE")))</f>
        <v/>
      </c>
      <c r="M640" t="n">
        <v>25</v>
      </c>
      <c r="N640" t="n">
        <v>98.8</v>
      </c>
      <c r="O640" t="n">
        <v>16.89750692520776</v>
      </c>
    </row>
    <row r="641" hidden="1">
      <c r="A641" s="5" t="n">
        <v>46156</v>
      </c>
      <c r="B641" s="6" t="inlineStr">
        <is>
          <t>Damyllis Lorraine de Oliveira Gonçalves</t>
        </is>
      </c>
      <c r="C641" s="3" t="inlineStr">
        <is>
          <t>Técnico II</t>
        </is>
      </c>
      <c r="D641" s="3" t="n">
        <v>22</v>
      </c>
      <c r="E641" s="3" t="n">
        <v>18</v>
      </c>
      <c r="F641" t="n">
        <v>25.02</v>
      </c>
      <c r="G641" s="3" t="n">
        <v>0</v>
      </c>
      <c r="H641" s="3" t="n">
        <v>0</v>
      </c>
      <c r="I641" s="3" t="n">
        <v>0</v>
      </c>
      <c r="J641" s="3" t="n">
        <v>0</v>
      </c>
      <c r="K641" s="3" t="n">
        <v>0</v>
      </c>
      <c r="L641" s="3">
        <f>IF(K641&lt;-5,"CRÍTICO",IF(K641&lt;0,"ATENÇÃO",IF(K641&lt;=5,"BOM","EXCELENTE")))</f>
        <v/>
      </c>
      <c r="M641" t="n">
        <v>17</v>
      </c>
      <c r="N641" t="n">
        <v>98.63</v>
      </c>
      <c r="O641" t="n">
        <v>18.75</v>
      </c>
    </row>
    <row r="642" hidden="1">
      <c r="A642" s="5" t="n">
        <v>46156</v>
      </c>
      <c r="B642" s="6" t="inlineStr">
        <is>
          <t>Emilly Kamilly Medeiros Miranda</t>
        </is>
      </c>
      <c r="C642" s="3" t="inlineStr">
        <is>
          <t>Técnico II</t>
        </is>
      </c>
      <c r="D642" s="3" t="n">
        <v>14</v>
      </c>
      <c r="E642" s="3" t="n">
        <v>13</v>
      </c>
      <c r="F642" t="n">
        <v>19.05</v>
      </c>
      <c r="G642" s="3" t="n">
        <v>0</v>
      </c>
      <c r="H642" s="3" t="n">
        <v>0</v>
      </c>
      <c r="I642" s="3">
        <f>E642+G642+H642</f>
        <v/>
      </c>
      <c r="J642" s="3">
        <f>ROUND(MIN(IF(C642="Técnico III",35,IF(C642="Técnico II",28,IF(C642="Técnico I",23,IF(C642="JR",20,IF(C642="Estágio",10,0))))),IF(C642="Técnico III",SUMIFS($D:$D,$A:$A,$A642,$B:$B,"&lt;&gt;Patrícia Karla de Sousa Araújo",$B:$B,"&lt;&gt;Lorena Dias de Araujo",$B:$B,"&lt;&gt;Lucas Luiz Romero")*(35/1083),IF(C642="Técnico II",SUMIFS($D:$D,$A:$A,$A642,$B:$B,"&lt;&gt;Patrícia Karla de Sousa Araújo",$B:$B,"&lt;&gt;Lorena Dias de Araujo",$B:$B,"&lt;&gt;Lucas Luiz Romero")*(28/1083),IF(C642="Técnico I",SUMIFS($D:$D,$A:$A,$A642,$B:$B,"&lt;&gt;Patrícia Karla de Sousa Araújo",$B:$B,"&lt;&gt;Lorena Dias de Araujo",$B:$B,"&lt;&gt;Lucas Luiz Romero")*(23/1083),IF(C642="JR",SUMIFS($D:$D,$A:$A,$A642,$B:$B,"&lt;&gt;Patrícia Karla de Sousa Araújo",$B:$B,"&lt;&gt;Lorena Dias de Araujo",$B:$B,"&lt;&gt;Lucas Luiz Romero")*(20/1083),IF(C642="Estágio",SUMIFS($D:$D,$A:$A,$A642,$B:$B,"&lt;&gt;Patrícia Karla de Sousa Araújo",$B:$B,"&lt;&gt;Lorena Dias de Araujo",$B:$B,"&lt;&gt;Lucas Luiz Romero")*(10/1083),0)))))),0)</f>
        <v/>
      </c>
      <c r="K642" s="3">
        <f>I642-J642</f>
        <v/>
      </c>
      <c r="L642" s="3">
        <f>IF(K642&lt;-5,"CRÍTICO",IF(K642&lt;0,"ATENÇÃO",IF(K642&lt;=5,"BOM","EXCELENTE")))</f>
        <v/>
      </c>
      <c r="M642" t="n">
        <v>18</v>
      </c>
      <c r="N642" t="n">
        <v>100</v>
      </c>
      <c r="O642" t="n">
        <v>13.8121546961326</v>
      </c>
    </row>
    <row r="643" hidden="1">
      <c r="A643" s="5" t="n">
        <v>46156</v>
      </c>
      <c r="B643" s="6" t="inlineStr">
        <is>
          <t>Francilene Ferreira de Jesus</t>
        </is>
      </c>
      <c r="C643" s="3" t="inlineStr">
        <is>
          <t>Técnico II</t>
        </is>
      </c>
      <c r="D643" s="3" t="n">
        <v>0</v>
      </c>
      <c r="E643" s="3" t="n">
        <v>0</v>
      </c>
      <c r="F643" s="3" t="n">
        <v>0</v>
      </c>
      <c r="G643" s="3" t="n">
        <v>0</v>
      </c>
      <c r="H643" s="3" t="n">
        <v>0</v>
      </c>
      <c r="I643" s="3" t="n">
        <v>0</v>
      </c>
      <c r="J643" s="3" t="n">
        <v>0</v>
      </c>
      <c r="K643" s="3" t="n">
        <v>0</v>
      </c>
      <c r="L643" s="3">
        <f>IF(K643&lt;-5,"CRÍTICO",IF(K643&lt;0,"ATENÇÃO",IF(K643&lt;=5,"BOM","EXCELENTE")))</f>
        <v/>
      </c>
      <c r="M643" s="9" t="n">
        <v>0</v>
      </c>
      <c r="N643" s="9" t="n">
        <v>100</v>
      </c>
      <c r="O643" s="9" t="n">
        <v>17.24137931034483</v>
      </c>
    </row>
    <row r="644" hidden="1">
      <c r="A644" s="5" t="n">
        <v>46156</v>
      </c>
      <c r="B644" s="6" t="inlineStr">
        <is>
          <t>Isabella Borges de Oliveira</t>
        </is>
      </c>
      <c r="C644" s="9" t="inlineStr">
        <is>
          <t>Técnico II</t>
        </is>
      </c>
      <c r="D644" s="3" t="n">
        <v>17</v>
      </c>
      <c r="E644" s="3" t="n">
        <v>17</v>
      </c>
      <c r="F644" t="n">
        <v>28.35</v>
      </c>
      <c r="G644" s="3" t="n">
        <v>0</v>
      </c>
      <c r="H644" s="3" t="n">
        <v>0</v>
      </c>
      <c r="I644" s="3">
        <f>E644+G644+H644</f>
        <v/>
      </c>
      <c r="J644" s="3">
        <f>ROUND(MIN(IF(C644="Técnico III",35,IF(C644="Técnico II",28,IF(C644="Técnico I",23,IF(C644="JR",20,IF(C644="Estágio",10,0))))),IF(C644="Técnico III",SUMIFS($D:$D,$A:$A,$A644,$B:$B,"&lt;&gt;Patrícia Karla de Sousa Araújo",$B:$B,"&lt;&gt;Lorena Dias de Araujo",$B:$B,"&lt;&gt;Lucas Luiz Romero")*(35/1083),IF(C644="Técnico II",SUMIFS($D:$D,$A:$A,$A644,$B:$B,"&lt;&gt;Patrícia Karla de Sousa Araújo",$B:$B,"&lt;&gt;Lorena Dias de Araujo",$B:$B,"&lt;&gt;Lucas Luiz Romero")*(28/1083),IF(C644="Técnico I",SUMIFS($D:$D,$A:$A,$A644,$B:$B,"&lt;&gt;Patrícia Karla de Sousa Araújo",$B:$B,"&lt;&gt;Lorena Dias de Araujo",$B:$B,"&lt;&gt;Lucas Luiz Romero")*(23/1083),IF(C644="JR",SUMIFS($D:$D,$A:$A,$A644,$B:$B,"&lt;&gt;Patrícia Karla de Sousa Araújo",$B:$B,"&lt;&gt;Lorena Dias de Araujo",$B:$B,"&lt;&gt;Lucas Luiz Romero")*(20/1083),IF(C644="Estágio",SUMIFS($D:$D,$A:$A,$A644,$B:$B,"&lt;&gt;Patrícia Karla de Sousa Araújo",$B:$B,"&lt;&gt;Lorena Dias de Araujo",$B:$B,"&lt;&gt;Lucas Luiz Romero")*(10/1083),0)))))),0)</f>
        <v/>
      </c>
      <c r="K644" s="3">
        <f>I644-J644</f>
        <v/>
      </c>
      <c r="L644" s="3">
        <f>IF(K644&lt;-5,"CRÍTICO",IF(K644&lt;0,"ATENÇÃO",IF(K644&lt;=5,"BOM","EXCELENTE")))</f>
        <v/>
      </c>
      <c r="M644" t="n">
        <v>13</v>
      </c>
      <c r="N644" t="n">
        <v>98.63</v>
      </c>
      <c r="O644" t="n">
        <v>15.75757575757576</v>
      </c>
    </row>
    <row r="645" hidden="1">
      <c r="A645" s="5" t="n">
        <v>46156</v>
      </c>
      <c r="B645" s="6" t="inlineStr">
        <is>
          <t>Jessica Faria da Silveira</t>
        </is>
      </c>
      <c r="C645" s="3" t="inlineStr">
        <is>
          <t>Técnico II</t>
        </is>
      </c>
      <c r="D645" s="3" t="n">
        <v>9</v>
      </c>
      <c r="E645" s="3" t="n">
        <v>9</v>
      </c>
      <c r="F645" t="n">
        <v>25.25</v>
      </c>
      <c r="G645" s="3" t="n">
        <v>1</v>
      </c>
      <c r="H645" s="3" t="n">
        <v>0</v>
      </c>
      <c r="I645" s="3">
        <f>E645+G645+H645</f>
        <v/>
      </c>
      <c r="J645" s="3">
        <f>ROUND(MIN(IF(C645="Técnico III",35,IF(C645="Técnico II",28,IF(C645="Técnico I",23,IF(C645="JR",20,IF(C645="Estágio",10,0))))),IF(C645="Técnico III",SUMIFS($D:$D,$A:$A,$A645,$B:$B,"&lt;&gt;Patrícia Karla de Sousa Araújo",$B:$B,"&lt;&gt;Lorena Dias de Araujo",$B:$B,"&lt;&gt;Lucas Luiz Romero")*(35/1083),IF(C645="Técnico II",SUMIFS($D:$D,$A:$A,$A645,$B:$B,"&lt;&gt;Patrícia Karla de Sousa Araújo",$B:$B,"&lt;&gt;Lorena Dias de Araujo",$B:$B,"&lt;&gt;Lucas Luiz Romero")*(28/1083),IF(C645="Técnico I",SUMIFS($D:$D,$A:$A,$A645,$B:$B,"&lt;&gt;Patrícia Karla de Sousa Araújo",$B:$B,"&lt;&gt;Lorena Dias de Araujo",$B:$B,"&lt;&gt;Lucas Luiz Romero")*(23/1083),IF(C645="JR",SUMIFS($D:$D,$A:$A,$A645,$B:$B,"&lt;&gt;Patrícia Karla de Sousa Araújo",$B:$B,"&lt;&gt;Lorena Dias de Araujo",$B:$B,"&lt;&gt;Lucas Luiz Romero")*(20/1083),IF(C645="Estágio",SUMIFS($D:$D,$A:$A,$A645,$B:$B,"&lt;&gt;Patrícia Karla de Sousa Araújo",$B:$B,"&lt;&gt;Lorena Dias de Araujo",$B:$B,"&lt;&gt;Lucas Luiz Romero")*(10/1083),0)))))),0)</f>
        <v/>
      </c>
      <c r="K645" s="3">
        <f>I645-J645</f>
        <v/>
      </c>
      <c r="L645" s="3">
        <f>IF(K645&lt;-5,"CRÍTICO",IF(K645&lt;0,"ATENÇÃO",IF(K645&lt;=5,"BOM","EXCELENTE")))</f>
        <v/>
      </c>
      <c r="M645" t="n">
        <v>9</v>
      </c>
      <c r="N645" t="n">
        <v>98.61</v>
      </c>
      <c r="O645" t="n">
        <v>16.97530864197531</v>
      </c>
    </row>
    <row r="646" hidden="1">
      <c r="A646" s="5" t="n">
        <v>46156</v>
      </c>
      <c r="B646" s="6" t="inlineStr">
        <is>
          <t>Lizandra Gomes Duarte</t>
        </is>
      </c>
      <c r="C646" s="3" t="inlineStr">
        <is>
          <t>Técnico II</t>
        </is>
      </c>
      <c r="D646" s="3" t="n">
        <v>26</v>
      </c>
      <c r="E646" s="3" t="n">
        <v>24</v>
      </c>
      <c r="F646" t="n">
        <v>18.58</v>
      </c>
      <c r="G646" s="3" t="n">
        <v>0</v>
      </c>
      <c r="H646" s="3" t="n">
        <v>0</v>
      </c>
      <c r="I646" s="3">
        <f>E646+G646+H646</f>
        <v/>
      </c>
      <c r="J646" s="3">
        <f>ROUND(MIN(IF(C646="Técnico III",35,IF(C646="Técnico II",28,IF(C646="Técnico I",23,IF(C646="JR",20,IF(C646="Estágio",10,0))))),IF(C646="Técnico III",SUMIFS($D:$D,$A:$A,$A646,$B:$B,"&lt;&gt;Patrícia Karla de Sousa Araújo",$B:$B,"&lt;&gt;Lorena Dias de Araujo",$B:$B,"&lt;&gt;Lucas Luiz Romero")*(35/1083),IF(C646="Técnico II",SUMIFS($D:$D,$A:$A,$A646,$B:$B,"&lt;&gt;Patrícia Karla de Sousa Araújo",$B:$B,"&lt;&gt;Lorena Dias de Araujo",$B:$B,"&lt;&gt;Lucas Luiz Romero")*(28/1083),IF(C646="Técnico I",SUMIFS($D:$D,$A:$A,$A646,$B:$B,"&lt;&gt;Patrícia Karla de Sousa Araújo",$B:$B,"&lt;&gt;Lorena Dias de Araujo",$B:$B,"&lt;&gt;Lucas Luiz Romero")*(23/1083),IF(C646="JR",SUMIFS($D:$D,$A:$A,$A646,$B:$B,"&lt;&gt;Patrícia Karla de Sousa Araújo",$B:$B,"&lt;&gt;Lorena Dias de Araujo",$B:$B,"&lt;&gt;Lucas Luiz Romero")*(20/1083),IF(C646="Estágio",SUMIFS($D:$D,$A:$A,$A646,$B:$B,"&lt;&gt;Patrícia Karla de Sousa Araújo",$B:$B,"&lt;&gt;Lorena Dias de Araujo",$B:$B,"&lt;&gt;Lucas Luiz Romero")*(10/1083),0)))))),0)</f>
        <v/>
      </c>
      <c r="K646" s="3">
        <f>I646-J646</f>
        <v/>
      </c>
      <c r="L646" s="3">
        <f>IF(K646&lt;-5,"CRÍTICO",IF(K646&lt;0,"ATENÇÃO",IF(K646&lt;=5,"BOM","EXCELENTE")))</f>
        <v/>
      </c>
      <c r="M646" t="n">
        <v>12</v>
      </c>
      <c r="N646" t="n">
        <v>98.61</v>
      </c>
      <c r="O646" t="n">
        <v>16.86746987951807</v>
      </c>
    </row>
    <row r="647" hidden="1">
      <c r="A647" s="5" t="n">
        <v>46156</v>
      </c>
      <c r="B647" s="6" t="inlineStr">
        <is>
          <t>Lorena Dias de Araujo</t>
        </is>
      </c>
      <c r="C647" s="3" t="inlineStr">
        <is>
          <t>Técnico II</t>
        </is>
      </c>
      <c r="D647" s="3" t="n">
        <v>22</v>
      </c>
      <c r="E647" s="3" t="n">
        <v>18</v>
      </c>
      <c r="F647" t="n">
        <v>23.52</v>
      </c>
      <c r="G647" s="3" t="n">
        <v>0</v>
      </c>
      <c r="H647" s="3" t="n">
        <v>0</v>
      </c>
      <c r="I647" s="3" t="n">
        <v>0</v>
      </c>
      <c r="J647" s="3" t="n">
        <v>0</v>
      </c>
      <c r="K647" s="3" t="n">
        <v>0</v>
      </c>
      <c r="L647" s="3">
        <f>IF(K647&lt;-5,"CRÍTICO",IF(K647&lt;0,"ATENÇÃO",IF(K647&lt;=5,"BOM","EXCELENTE")))</f>
        <v/>
      </c>
      <c r="M647" t="n">
        <v>16</v>
      </c>
      <c r="N647" t="n">
        <v>100</v>
      </c>
      <c r="O647" t="n">
        <v>20.82018927444795</v>
      </c>
    </row>
    <row r="648" hidden="1">
      <c r="A648" s="5" t="n">
        <v>46156</v>
      </c>
      <c r="B648" s="6" t="inlineStr">
        <is>
          <t>Patrícia Karla de Sousa Araújo</t>
        </is>
      </c>
      <c r="C648" s="3" t="inlineStr">
        <is>
          <t>Técnico II</t>
        </is>
      </c>
      <c r="D648" s="3" t="n">
        <v>29</v>
      </c>
      <c r="E648" s="3" t="n">
        <v>26</v>
      </c>
      <c r="F648" t="n">
        <v>20.36</v>
      </c>
      <c r="G648" s="3" t="n">
        <v>0</v>
      </c>
      <c r="H648" s="3" t="n">
        <v>0</v>
      </c>
      <c r="I648" s="3">
        <f>E648+G648+H648</f>
        <v/>
      </c>
      <c r="J648" s="3">
        <f>ROUND(MIN(IF(C648="Técnico III",35,IF(C648="Técnico II",28,IF(C648="Técnico I",23,IF(C648="JR",20,IF(C648="Estágio",10,0))))),IF(C648="Técnico III",SUMIFS($D:$D,$A:$A,$A648,$B:$B,"&lt;&gt;Patrícia Karla de Sousa Araújo",$B:$B,"&lt;&gt;Lorena Dias de Araujo",$B:$B,"&lt;&gt;Lucas Luiz Romero")*(35/1083),IF(C648="Técnico II",SUMIFS($D:$D,$A:$A,$A648,$B:$B,"&lt;&gt;Patrícia Karla de Sousa Araújo",$B:$B,"&lt;&gt;Lorena Dias de Araujo",$B:$B,"&lt;&gt;Lucas Luiz Romero")*(28/1083),IF(C648="Técnico I",SUMIFS($D:$D,$A:$A,$A648,$B:$B,"&lt;&gt;Patrícia Karla de Sousa Araújo",$B:$B,"&lt;&gt;Lorena Dias de Araujo",$B:$B,"&lt;&gt;Lucas Luiz Romero")*(23/1083),IF(C648="JR",SUMIFS($D:$D,$A:$A,$A648,$B:$B,"&lt;&gt;Patrícia Karla de Sousa Araújo",$B:$B,"&lt;&gt;Lorena Dias de Araujo",$B:$B,"&lt;&gt;Lucas Luiz Romero")*(20/1083),IF(C648="Estágio",SUMIFS($D:$D,$A:$A,$A648,$B:$B,"&lt;&gt;Patrícia Karla de Sousa Araújo",$B:$B,"&lt;&gt;Lorena Dias de Araujo",$B:$B,"&lt;&gt;Lucas Luiz Romero")*(10/1083),0)))))),0)</f>
        <v/>
      </c>
      <c r="K648" s="3">
        <f>I648-J648</f>
        <v/>
      </c>
      <c r="L648" s="3">
        <f>IF(K648&lt;-5,"CRÍTICO",IF(K648&lt;0,"ATENÇÃO",IF(K648&lt;=5,"BOM","EXCELENTE")))</f>
        <v/>
      </c>
      <c r="M648" t="n">
        <v>23</v>
      </c>
      <c r="N648" t="n">
        <v>100</v>
      </c>
      <c r="O648" t="n">
        <v>16.89497716894977</v>
      </c>
    </row>
    <row r="649" hidden="1">
      <c r="A649" s="5" t="n">
        <v>46157</v>
      </c>
      <c r="B649" s="6" t="inlineStr">
        <is>
          <t>Alisson de Freitas Silva</t>
        </is>
      </c>
      <c r="C649" s="3" t="inlineStr">
        <is>
          <t>Técnico II</t>
        </is>
      </c>
      <c r="D649" s="3" t="n">
        <v>20</v>
      </c>
      <c r="E649" s="3" t="n">
        <v>19</v>
      </c>
      <c r="F649" t="n">
        <v>13.2</v>
      </c>
      <c r="G649" s="3" t="n">
        <v>1</v>
      </c>
      <c r="H649" s="3" t="n">
        <v>0</v>
      </c>
      <c r="I649" s="3">
        <f>E649+G649+H649</f>
        <v/>
      </c>
      <c r="J649" s="3">
        <f>ROUND(MIN(IF(C649="Técnico III",35,IF(C649="Técnico II",28,IF(C649="Técnico I",23,IF(C649="JR",20,IF(C649="Estágio",10,0))))),IF(C649="Técnico III",SUMIFS($D:$D,$A:$A,$A649,$B:$B,"&lt;&gt;Patrícia Karla de Sousa Araújo",$B:$B,"&lt;&gt;Lorena Dias de Araujo",$B:$B,"&lt;&gt;Lucas Luiz Romero")*(35/1083),IF(C649="Técnico II",SUMIFS($D:$D,$A:$A,$A649,$B:$B,"&lt;&gt;Patrícia Karla de Sousa Araújo",$B:$B,"&lt;&gt;Lorena Dias de Araujo",$B:$B,"&lt;&gt;Lucas Luiz Romero")*(28/1083),IF(C649="Técnico I",SUMIFS($D:$D,$A:$A,$A649,$B:$B,"&lt;&gt;Patrícia Karla de Sousa Araújo",$B:$B,"&lt;&gt;Lorena Dias de Araujo",$B:$B,"&lt;&gt;Lucas Luiz Romero")*(23/1083),IF(C649="JR",SUMIFS($D:$D,$A:$A,$A649,$B:$B,"&lt;&gt;Patrícia Karla de Sousa Araújo",$B:$B,"&lt;&gt;Lorena Dias de Araujo",$B:$B,"&lt;&gt;Lucas Luiz Romero")*(20/1083),IF(C649="Estágio",SUMIFS($D:$D,$A:$A,$A649,$B:$B,"&lt;&gt;Patrícia Karla de Sousa Araújo",$B:$B,"&lt;&gt;Lorena Dias de Araujo",$B:$B,"&lt;&gt;Lucas Luiz Romero")*(10/1083),0)))))),0)</f>
        <v/>
      </c>
      <c r="K649" s="3">
        <f>I649-J649</f>
        <v/>
      </c>
      <c r="L649" s="3">
        <f>IF(K649&lt;-5,"CRÍTICO",IF(K649&lt;0,"ATENÇÃO",IF(K649&lt;=5,"BOM","EXCELENTE")))</f>
        <v/>
      </c>
      <c r="M649" s="3" t="n">
        <v>12</v>
      </c>
      <c r="N649" s="3" t="n">
        <v>98.94</v>
      </c>
      <c r="O649" s="3" t="n">
        <v>19.61414790996785</v>
      </c>
    </row>
    <row r="650" hidden="1">
      <c r="A650" s="5" t="n">
        <v>46157</v>
      </c>
      <c r="B650" s="6" t="inlineStr">
        <is>
          <t>Brenda de Menezes Silva</t>
        </is>
      </c>
      <c r="C650" s="3" t="inlineStr">
        <is>
          <t>Técnico II</t>
        </is>
      </c>
      <c r="D650" s="3" t="n">
        <v>20</v>
      </c>
      <c r="E650" s="3" t="n">
        <v>19</v>
      </c>
      <c r="F650" t="n">
        <v>23.34</v>
      </c>
      <c r="G650" s="3" t="n">
        <v>2</v>
      </c>
      <c r="H650" s="3" t="n">
        <v>0</v>
      </c>
      <c r="I650" s="3">
        <f>E650+G650+H650</f>
        <v/>
      </c>
      <c r="J650" s="3">
        <f>ROUND(MIN(IF(C650="Técnico III",35,IF(C650="Técnico II",28,IF(C650="Técnico I",23,IF(C650="JR",20,IF(C650="Estágio",10,0))))),IF(C650="Técnico III",SUMIFS($D:$D,$A:$A,$A650,$B:$B,"&lt;&gt;Patrícia Karla de Sousa Araújo",$B:$B,"&lt;&gt;Lorena Dias de Araujo",$B:$B,"&lt;&gt;Lucas Luiz Romero")*(35/1083),IF(C650="Técnico II",SUMIFS($D:$D,$A:$A,$A650,$B:$B,"&lt;&gt;Patrícia Karla de Sousa Araújo",$B:$B,"&lt;&gt;Lorena Dias de Araujo",$B:$B,"&lt;&gt;Lucas Luiz Romero")*(28/1083),IF(C650="Técnico I",SUMIFS($D:$D,$A:$A,$A650,$B:$B,"&lt;&gt;Patrícia Karla de Sousa Araújo",$B:$B,"&lt;&gt;Lorena Dias de Araujo",$B:$B,"&lt;&gt;Lucas Luiz Romero")*(23/1083),IF(C650="JR",SUMIFS($D:$D,$A:$A,$A650,$B:$B,"&lt;&gt;Patrícia Karla de Sousa Araújo",$B:$B,"&lt;&gt;Lorena Dias de Araujo",$B:$B,"&lt;&gt;Lucas Luiz Romero")*(20/1083),IF(C650="Estágio",SUMIFS($D:$D,$A:$A,$A650,$B:$B,"&lt;&gt;Patrícia Karla de Sousa Araújo",$B:$B,"&lt;&gt;Lorena Dias de Araujo",$B:$B,"&lt;&gt;Lucas Luiz Romero")*(10/1083),0)))))),0)</f>
        <v/>
      </c>
      <c r="K650" s="3">
        <f>I650-J650</f>
        <v/>
      </c>
      <c r="L650" s="3">
        <f>IF(K650&lt;-5,"CRÍTICO",IF(K650&lt;0,"ATENÇÃO",IF(K650&lt;=5,"BOM","EXCELENTE")))</f>
        <v/>
      </c>
      <c r="M650" t="n">
        <v>21</v>
      </c>
      <c r="N650" t="n">
        <v>99.13</v>
      </c>
      <c r="O650" t="n">
        <v>14.7239263803681</v>
      </c>
    </row>
    <row r="651" hidden="1">
      <c r="A651" s="5" t="n">
        <v>46157</v>
      </c>
      <c r="B651" s="6" t="inlineStr">
        <is>
          <t>Carlos Mateus Cassimiro Nunes</t>
        </is>
      </c>
      <c r="C651" s="9" t="inlineStr">
        <is>
          <t>Técnico II</t>
        </is>
      </c>
      <c r="D651" s="3" t="n">
        <v>26</v>
      </c>
      <c r="E651" s="3" t="n">
        <v>26</v>
      </c>
      <c r="F651" t="n">
        <v>25.22</v>
      </c>
      <c r="G651" s="3" t="n">
        <v>3</v>
      </c>
      <c r="H651" s="3" t="n">
        <v>0</v>
      </c>
      <c r="I651" s="3">
        <f>E651+G651+H651</f>
        <v/>
      </c>
      <c r="J651" s="3">
        <f>ROUND(MIN(IF(C651="Técnico III",35,IF(C651="Técnico II",28,IF(C651="Técnico I",23,IF(C651="JR",20,IF(C651="Estágio",10,0))))),IF(C651="Técnico III",SUMIFS($D:$D,$A:$A,$A651,$B:$B,"&lt;&gt;Patrícia Karla de Sousa Araújo",$B:$B,"&lt;&gt;Lorena Dias de Araujo",$B:$B,"&lt;&gt;Lucas Luiz Romero")*(35/1083),IF(C651="Técnico II",SUMIFS($D:$D,$A:$A,$A651,$B:$B,"&lt;&gt;Patrícia Karla de Sousa Araújo",$B:$B,"&lt;&gt;Lorena Dias de Araujo",$B:$B,"&lt;&gt;Lucas Luiz Romero")*(28/1083),IF(C651="Técnico I",SUMIFS($D:$D,$A:$A,$A651,$B:$B,"&lt;&gt;Patrícia Karla de Sousa Araújo",$B:$B,"&lt;&gt;Lorena Dias de Araujo",$B:$B,"&lt;&gt;Lucas Luiz Romero")*(23/1083),IF(C651="JR",SUMIFS($D:$D,$A:$A,$A651,$B:$B,"&lt;&gt;Patrícia Karla de Sousa Araújo",$B:$B,"&lt;&gt;Lorena Dias de Araujo",$B:$B,"&lt;&gt;Lucas Luiz Romero")*(20/1083),IF(C651="Estágio",SUMIFS($D:$D,$A:$A,$A651,$B:$B,"&lt;&gt;Patrícia Karla de Sousa Araújo",$B:$B,"&lt;&gt;Lorena Dias de Araujo",$B:$B,"&lt;&gt;Lucas Luiz Romero")*(10/1083),0)))))),0)</f>
        <v/>
      </c>
      <c r="K651" s="3">
        <f>I651-J651</f>
        <v/>
      </c>
      <c r="L651" s="3">
        <f>IF(K651&lt;-5,"CRÍTICO",IF(K651&lt;0,"ATENÇÃO",IF(K651&lt;=5,"BOM","EXCELENTE")))</f>
        <v/>
      </c>
      <c r="M651" t="n">
        <v>29</v>
      </c>
      <c r="N651" t="n">
        <v>98.8</v>
      </c>
      <c r="O651" t="n">
        <v>16.89750692520776</v>
      </c>
    </row>
    <row r="652" hidden="1">
      <c r="A652" s="5" t="n">
        <v>46157</v>
      </c>
      <c r="B652" s="6" t="inlineStr">
        <is>
          <t>Damyllis Lorraine de Oliveira Gonçalves</t>
        </is>
      </c>
      <c r="C652" s="3" t="inlineStr">
        <is>
          <t>Técnico II</t>
        </is>
      </c>
      <c r="D652" s="3" t="n">
        <v>35</v>
      </c>
      <c r="E652" s="3" t="n">
        <v>31</v>
      </c>
      <c r="F652" t="n">
        <v>18.53</v>
      </c>
      <c r="G652" s="3" t="n">
        <v>0</v>
      </c>
      <c r="H652" s="3" t="n">
        <v>0</v>
      </c>
      <c r="I652" s="3" t="n">
        <v>0</v>
      </c>
      <c r="J652" s="3" t="n">
        <v>0</v>
      </c>
      <c r="K652" s="3" t="n">
        <v>0</v>
      </c>
      <c r="L652" s="3">
        <f>IF(K652&lt;-5,"CRÍTICO",IF(K652&lt;0,"ATENÇÃO",IF(K652&lt;=5,"BOM","EXCELENTE")))</f>
        <v/>
      </c>
      <c r="M652" t="n">
        <v>30</v>
      </c>
      <c r="N652" t="n">
        <v>98.63</v>
      </c>
      <c r="O652" t="n">
        <v>18.75</v>
      </c>
    </row>
    <row r="653" hidden="1">
      <c r="A653" s="5" t="n">
        <v>46157</v>
      </c>
      <c r="B653" s="6" t="inlineStr">
        <is>
          <t>Emilly Kamilly Medeiros Miranda</t>
        </is>
      </c>
      <c r="C653" s="3" t="inlineStr">
        <is>
          <t>Técnico II</t>
        </is>
      </c>
      <c r="D653" s="3" t="n">
        <v>27</v>
      </c>
      <c r="E653" s="3" t="n">
        <v>25</v>
      </c>
      <c r="F653" t="n">
        <v>18.42</v>
      </c>
      <c r="G653" s="3" t="n">
        <v>2</v>
      </c>
      <c r="H653" s="3" t="n">
        <v>0</v>
      </c>
      <c r="I653" s="3">
        <f>E653+G653+H653</f>
        <v/>
      </c>
      <c r="J653" s="3">
        <f>ROUND(MIN(IF(C653="Técnico III",35,IF(C653="Técnico II",28,IF(C653="Técnico I",23,IF(C653="JR",20,IF(C653="Estágio",10,0))))),IF(C653="Técnico III",SUMIFS($D:$D,$A:$A,$A653,$B:$B,"&lt;&gt;Patrícia Karla de Sousa Araújo",$B:$B,"&lt;&gt;Lorena Dias de Araujo",$B:$B,"&lt;&gt;Lucas Luiz Romero")*(35/1083),IF(C653="Técnico II",SUMIFS($D:$D,$A:$A,$A653,$B:$B,"&lt;&gt;Patrícia Karla de Sousa Araújo",$B:$B,"&lt;&gt;Lorena Dias de Araujo",$B:$B,"&lt;&gt;Lucas Luiz Romero")*(28/1083),IF(C653="Técnico I",SUMIFS($D:$D,$A:$A,$A653,$B:$B,"&lt;&gt;Patrícia Karla de Sousa Araújo",$B:$B,"&lt;&gt;Lorena Dias de Araujo",$B:$B,"&lt;&gt;Lucas Luiz Romero")*(23/1083),IF(C653="JR",SUMIFS($D:$D,$A:$A,$A653,$B:$B,"&lt;&gt;Patrícia Karla de Sousa Araújo",$B:$B,"&lt;&gt;Lorena Dias de Araujo",$B:$B,"&lt;&gt;Lucas Luiz Romero")*(20/1083),IF(C653="Estágio",SUMIFS($D:$D,$A:$A,$A653,$B:$B,"&lt;&gt;Patrícia Karla de Sousa Araújo",$B:$B,"&lt;&gt;Lorena Dias de Araujo",$B:$B,"&lt;&gt;Lucas Luiz Romero")*(10/1083),0)))))),0)</f>
        <v/>
      </c>
      <c r="K653" s="3">
        <f>I653-J653</f>
        <v/>
      </c>
      <c r="L653" s="3">
        <f>IF(K653&lt;-5,"CRÍTICO",IF(K653&lt;0,"ATENÇÃO",IF(K653&lt;=5,"BOM","EXCELENTE")))</f>
        <v/>
      </c>
      <c r="M653" t="n">
        <v>23</v>
      </c>
      <c r="N653" t="n">
        <v>100</v>
      </c>
      <c r="O653" t="n">
        <v>13.8121546961326</v>
      </c>
    </row>
    <row r="654" hidden="1">
      <c r="A654" s="5" t="n">
        <v>46157</v>
      </c>
      <c r="B654" s="6" t="inlineStr">
        <is>
          <t>Francilene Ferreira de Jesus</t>
        </is>
      </c>
      <c r="C654" s="3" t="inlineStr">
        <is>
          <t>Técnico II</t>
        </is>
      </c>
      <c r="D654" s="3" t="n">
        <v>0</v>
      </c>
      <c r="E654" s="3" t="n">
        <v>0</v>
      </c>
      <c r="F654" s="3" t="n">
        <v>0</v>
      </c>
      <c r="G654" s="3" t="n">
        <v>0</v>
      </c>
      <c r="H654" s="3" t="n">
        <v>0</v>
      </c>
      <c r="I654" s="3" t="n">
        <v>0</v>
      </c>
      <c r="J654" s="3" t="n">
        <v>0</v>
      </c>
      <c r="K654" s="3" t="n">
        <v>0</v>
      </c>
      <c r="L654" s="3">
        <f>IF(K654&lt;-5,"CRÍTICO",IF(K654&lt;0,"ATENÇÃO",IF(K654&lt;=5,"BOM","EXCELENTE")))</f>
        <v/>
      </c>
      <c r="M654" s="9" t="n">
        <v>0</v>
      </c>
      <c r="N654" s="9" t="n">
        <v>100</v>
      </c>
      <c r="O654" s="9" t="n">
        <v>17.24137931034483</v>
      </c>
    </row>
    <row r="655" hidden="1">
      <c r="A655" s="5" t="n">
        <v>46157</v>
      </c>
      <c r="B655" s="6" t="inlineStr">
        <is>
          <t>Isabella Borges de Oliveira</t>
        </is>
      </c>
      <c r="C655" s="9" t="inlineStr">
        <is>
          <t>Técnico II</t>
        </is>
      </c>
      <c r="D655" s="3" t="n">
        <v>28</v>
      </c>
      <c r="E655" s="3" t="n">
        <v>25</v>
      </c>
      <c r="F655" t="n">
        <v>22.04</v>
      </c>
      <c r="G655" s="3" t="n">
        <v>0</v>
      </c>
      <c r="H655" s="3" t="n">
        <v>0</v>
      </c>
      <c r="I655" s="3">
        <f>E655+G655+H655</f>
        <v/>
      </c>
      <c r="J655" s="3">
        <f>ROUND(MIN(IF(C655="Técnico III",35,IF(C655="Técnico II",28,IF(C655="Técnico I",23,IF(C655="JR",20,IF(C655="Estágio",10,0))))),IF(C655="Técnico III",SUMIFS($D:$D,$A:$A,$A655,$B:$B,"&lt;&gt;Patrícia Karla de Sousa Araújo",$B:$B,"&lt;&gt;Lorena Dias de Araujo",$B:$B,"&lt;&gt;Lucas Luiz Romero")*(35/1083),IF(C655="Técnico II",SUMIFS($D:$D,$A:$A,$A655,$B:$B,"&lt;&gt;Patrícia Karla de Sousa Araújo",$B:$B,"&lt;&gt;Lorena Dias de Araujo",$B:$B,"&lt;&gt;Lucas Luiz Romero")*(28/1083),IF(C655="Técnico I",SUMIFS($D:$D,$A:$A,$A655,$B:$B,"&lt;&gt;Patrícia Karla de Sousa Araújo",$B:$B,"&lt;&gt;Lorena Dias de Araujo",$B:$B,"&lt;&gt;Lucas Luiz Romero")*(23/1083),IF(C655="JR",SUMIFS($D:$D,$A:$A,$A655,$B:$B,"&lt;&gt;Patrícia Karla de Sousa Araújo",$B:$B,"&lt;&gt;Lorena Dias de Araujo",$B:$B,"&lt;&gt;Lucas Luiz Romero")*(20/1083),IF(C655="Estágio",SUMIFS($D:$D,$A:$A,$A655,$B:$B,"&lt;&gt;Patrícia Karla de Sousa Araújo",$B:$B,"&lt;&gt;Lorena Dias de Araujo",$B:$B,"&lt;&gt;Lucas Luiz Romero")*(10/1083),0)))))),0)</f>
        <v/>
      </c>
      <c r="K655" s="3">
        <f>I655-J655</f>
        <v/>
      </c>
      <c r="L655" s="3">
        <f>IF(K655&lt;-5,"CRÍTICO",IF(K655&lt;0,"ATENÇÃO",IF(K655&lt;=5,"BOM","EXCELENTE")))</f>
        <v/>
      </c>
      <c r="M655" t="n">
        <v>23</v>
      </c>
      <c r="N655" t="n">
        <v>98.63</v>
      </c>
      <c r="O655" t="n">
        <v>15.75757575757576</v>
      </c>
    </row>
    <row r="656" hidden="1">
      <c r="A656" s="5" t="n">
        <v>46157</v>
      </c>
      <c r="B656" s="6" t="inlineStr">
        <is>
          <t>Jessica Faria da Silveira</t>
        </is>
      </c>
      <c r="C656" s="3" t="inlineStr">
        <is>
          <t>Técnico II</t>
        </is>
      </c>
      <c r="D656" s="3" t="n">
        <v>17</v>
      </c>
      <c r="E656" s="3" t="n">
        <v>14</v>
      </c>
      <c r="F656" t="n">
        <v>15.05</v>
      </c>
      <c r="G656" s="3" t="n">
        <v>1</v>
      </c>
      <c r="H656" s="3" t="n">
        <v>0</v>
      </c>
      <c r="I656" s="3">
        <f>E656+G656+H656</f>
        <v/>
      </c>
      <c r="J656" s="3">
        <f>ROUND(MIN(IF(C656="Técnico III",35,IF(C656="Técnico II",28,IF(C656="Técnico I",23,IF(C656="JR",20,IF(C656="Estágio",10,0))))),IF(C656="Técnico III",SUMIFS($D:$D,$A:$A,$A656,$B:$B,"&lt;&gt;Patrícia Karla de Sousa Araújo",$B:$B,"&lt;&gt;Lorena Dias de Araujo",$B:$B,"&lt;&gt;Lucas Luiz Romero")*(35/1083),IF(C656="Técnico II",SUMIFS($D:$D,$A:$A,$A656,$B:$B,"&lt;&gt;Patrícia Karla de Sousa Araújo",$B:$B,"&lt;&gt;Lorena Dias de Araujo",$B:$B,"&lt;&gt;Lucas Luiz Romero")*(28/1083),IF(C656="Técnico I",SUMIFS($D:$D,$A:$A,$A656,$B:$B,"&lt;&gt;Patrícia Karla de Sousa Araújo",$B:$B,"&lt;&gt;Lorena Dias de Araujo",$B:$B,"&lt;&gt;Lucas Luiz Romero")*(23/1083),IF(C656="JR",SUMIFS($D:$D,$A:$A,$A656,$B:$B,"&lt;&gt;Patrícia Karla de Sousa Araújo",$B:$B,"&lt;&gt;Lorena Dias de Araujo",$B:$B,"&lt;&gt;Lucas Luiz Romero")*(20/1083),IF(C656="Estágio",SUMIFS($D:$D,$A:$A,$A656,$B:$B,"&lt;&gt;Patrícia Karla de Sousa Araújo",$B:$B,"&lt;&gt;Lorena Dias de Araujo",$B:$B,"&lt;&gt;Lucas Luiz Romero")*(10/1083),0)))))),0)</f>
        <v/>
      </c>
      <c r="K656" s="3">
        <f>I656-J656</f>
        <v/>
      </c>
      <c r="L656" s="3">
        <f>IF(K656&lt;-5,"CRÍTICO",IF(K656&lt;0,"ATENÇÃO",IF(K656&lt;=5,"BOM","EXCELENTE")))</f>
        <v/>
      </c>
      <c r="M656" t="n">
        <v>14</v>
      </c>
      <c r="N656" t="n">
        <v>98.61</v>
      </c>
      <c r="O656" t="n">
        <v>16.97530864197531</v>
      </c>
    </row>
    <row r="657" hidden="1">
      <c r="A657" s="5" t="n">
        <v>46157</v>
      </c>
      <c r="B657" s="6" t="inlineStr">
        <is>
          <t>Lizandra Gomes Duarte</t>
        </is>
      </c>
      <c r="C657" s="3" t="inlineStr">
        <is>
          <t>Técnico II</t>
        </is>
      </c>
      <c r="D657" s="3" t="n">
        <v>34</v>
      </c>
      <c r="E657" s="3" t="n">
        <v>32</v>
      </c>
      <c r="F657" t="n">
        <v>15.4</v>
      </c>
      <c r="G657" s="3" t="n">
        <v>0</v>
      </c>
      <c r="H657" s="3" t="n">
        <v>0</v>
      </c>
      <c r="I657" s="3">
        <f>E657+G657+H657</f>
        <v/>
      </c>
      <c r="J657" s="3">
        <f>ROUND(MIN(IF(C657="Técnico III",35,IF(C657="Técnico II",28,IF(C657="Técnico I",23,IF(C657="JR",20,IF(C657="Estágio",10,0))))),IF(C657="Técnico III",SUMIFS($D:$D,$A:$A,$A657,$B:$B,"&lt;&gt;Patrícia Karla de Sousa Araújo",$B:$B,"&lt;&gt;Lorena Dias de Araujo",$B:$B,"&lt;&gt;Lucas Luiz Romero")*(35/1083),IF(C657="Técnico II",SUMIFS($D:$D,$A:$A,$A657,$B:$B,"&lt;&gt;Patrícia Karla de Sousa Araújo",$B:$B,"&lt;&gt;Lorena Dias de Araujo",$B:$B,"&lt;&gt;Lucas Luiz Romero")*(28/1083),IF(C657="Técnico I",SUMIFS($D:$D,$A:$A,$A657,$B:$B,"&lt;&gt;Patrícia Karla de Sousa Araújo",$B:$B,"&lt;&gt;Lorena Dias de Araujo",$B:$B,"&lt;&gt;Lucas Luiz Romero")*(23/1083),IF(C657="JR",SUMIFS($D:$D,$A:$A,$A657,$B:$B,"&lt;&gt;Patrícia Karla de Sousa Araújo",$B:$B,"&lt;&gt;Lorena Dias de Araujo",$B:$B,"&lt;&gt;Lucas Luiz Romero")*(20/1083),IF(C657="Estágio",SUMIFS($D:$D,$A:$A,$A657,$B:$B,"&lt;&gt;Patrícia Karla de Sousa Araújo",$B:$B,"&lt;&gt;Lorena Dias de Araujo",$B:$B,"&lt;&gt;Lucas Luiz Romero")*(10/1083),0)))))),0)</f>
        <v/>
      </c>
      <c r="K657" s="3">
        <f>I657-J657</f>
        <v/>
      </c>
      <c r="L657" s="3">
        <f>IF(K657&lt;-5,"CRÍTICO",IF(K657&lt;0,"ATENÇÃO",IF(K657&lt;=5,"BOM","EXCELENTE")))</f>
        <v/>
      </c>
      <c r="M657" t="n">
        <v>13</v>
      </c>
      <c r="N657" t="n">
        <v>98.61</v>
      </c>
      <c r="O657" t="n">
        <v>16.86746987951807</v>
      </c>
    </row>
    <row r="658" hidden="1">
      <c r="A658" s="5" t="n">
        <v>46157</v>
      </c>
      <c r="B658" s="6" t="inlineStr">
        <is>
          <t>Lorena Dias de Araujo</t>
        </is>
      </c>
      <c r="C658" s="3" t="inlineStr">
        <is>
          <t>Técnico II</t>
        </is>
      </c>
      <c r="D658" s="3" t="n">
        <v>28</v>
      </c>
      <c r="E658" s="3" t="n">
        <v>25</v>
      </c>
      <c r="F658" t="n">
        <v>25.42</v>
      </c>
      <c r="G658" s="3" t="n">
        <v>0</v>
      </c>
      <c r="H658" s="3" t="n">
        <v>0</v>
      </c>
      <c r="I658" s="3" t="n">
        <v>0</v>
      </c>
      <c r="J658" s="3" t="n">
        <v>0</v>
      </c>
      <c r="K658" s="3" t="n">
        <v>0</v>
      </c>
      <c r="L658" s="3">
        <f>IF(K658&lt;-5,"CRÍTICO",IF(K658&lt;0,"ATENÇÃO",IF(K658&lt;=5,"BOM","EXCELENTE")))</f>
        <v/>
      </c>
      <c r="M658" t="n">
        <v>24</v>
      </c>
      <c r="N658" t="n">
        <v>100</v>
      </c>
      <c r="O658" t="n">
        <v>20.82018927444795</v>
      </c>
    </row>
    <row r="659" hidden="1">
      <c r="A659" s="5" t="n">
        <v>46157</v>
      </c>
      <c r="B659" s="6" t="inlineStr">
        <is>
          <t>Patrícia Karla de Sousa Araújo</t>
        </is>
      </c>
      <c r="C659" s="3" t="inlineStr">
        <is>
          <t>Técnico II</t>
        </is>
      </c>
      <c r="D659" s="3" t="n">
        <v>13</v>
      </c>
      <c r="E659" s="3" t="n">
        <v>13</v>
      </c>
      <c r="F659" t="n">
        <v>33.59</v>
      </c>
      <c r="G659" s="3" t="n">
        <v>0</v>
      </c>
      <c r="H659" s="3" t="n">
        <v>0</v>
      </c>
      <c r="I659" s="3">
        <f>E659+G659+H659</f>
        <v/>
      </c>
      <c r="J659" s="3">
        <f>ROUND(MIN(IF(C659="Técnico III",35,IF(C659="Técnico II",28,IF(C659="Técnico I",23,IF(C659="JR",20,IF(C659="Estágio",10,0))))),IF(C659="Técnico III",SUMIFS($D:$D,$A:$A,$A659,$B:$B,"&lt;&gt;Patrícia Karla de Sousa Araújo",$B:$B,"&lt;&gt;Lorena Dias de Araujo",$B:$B,"&lt;&gt;Lucas Luiz Romero")*(35/1083),IF(C659="Técnico II",SUMIFS($D:$D,$A:$A,$A659,$B:$B,"&lt;&gt;Patrícia Karla de Sousa Araújo",$B:$B,"&lt;&gt;Lorena Dias de Araujo",$B:$B,"&lt;&gt;Lucas Luiz Romero")*(28/1083),IF(C659="Técnico I",SUMIFS($D:$D,$A:$A,$A659,$B:$B,"&lt;&gt;Patrícia Karla de Sousa Araújo",$B:$B,"&lt;&gt;Lorena Dias de Araujo",$B:$B,"&lt;&gt;Lucas Luiz Romero")*(23/1083),IF(C659="JR",SUMIFS($D:$D,$A:$A,$A659,$B:$B,"&lt;&gt;Patrícia Karla de Sousa Araújo",$B:$B,"&lt;&gt;Lorena Dias de Araujo",$B:$B,"&lt;&gt;Lucas Luiz Romero")*(20/1083),IF(C659="Estágio",SUMIFS($D:$D,$A:$A,$A659,$B:$B,"&lt;&gt;Patrícia Karla de Sousa Araújo",$B:$B,"&lt;&gt;Lorena Dias de Araujo",$B:$B,"&lt;&gt;Lucas Luiz Romero")*(10/1083),0)))))),0)</f>
        <v/>
      </c>
      <c r="K659" s="3">
        <f>I659-J659</f>
        <v/>
      </c>
      <c r="L659" s="3">
        <f>IF(K659&lt;-5,"CRÍTICO",IF(K659&lt;0,"ATENÇÃO",IF(K659&lt;=5,"BOM","EXCELENTE")))</f>
        <v/>
      </c>
      <c r="M659" t="n">
        <v>12</v>
      </c>
      <c r="N659" t="n">
        <v>100</v>
      </c>
      <c r="O659" t="n">
        <v>16.89497716894977</v>
      </c>
    </row>
    <row r="660" hidden="1">
      <c r="A660" s="5" t="n">
        <v>46160</v>
      </c>
      <c r="B660" s="6" t="inlineStr">
        <is>
          <t>Alisson de Freitas Silva</t>
        </is>
      </c>
      <c r="C660" s="3" t="inlineStr">
        <is>
          <t>Técnico II</t>
        </is>
      </c>
      <c r="D660" s="3" t="n">
        <v>42</v>
      </c>
      <c r="E660" s="3" t="n">
        <v>27</v>
      </c>
      <c r="F660" t="n">
        <v>7.38</v>
      </c>
      <c r="G660" s="3" t="n">
        <v>4</v>
      </c>
      <c r="H660" s="3" t="n">
        <v>0</v>
      </c>
      <c r="I660" s="3">
        <f>E660+G660+H660</f>
        <v/>
      </c>
      <c r="J660" s="3">
        <f>ROUND(MIN(IF(C660="Técnico III",35,IF(C660="Técnico II",28,IF(C660="Técnico I",23,IF(C660="JR",20,IF(C660="Estágio",10,0))))),IF(C660="Técnico III",SUMIFS($D:$D,$A:$A,$A660,$B:$B,"&lt;&gt;Patrícia Karla de Sousa Araújo",$B:$B,"&lt;&gt;Lorena Dias de Araujo",$B:$B,"&lt;&gt;Lucas Luiz Romero")*(35/1083),IF(C660="Técnico II",SUMIFS($D:$D,$A:$A,$A660,$B:$B,"&lt;&gt;Patrícia Karla de Sousa Araújo",$B:$B,"&lt;&gt;Lorena Dias de Araujo",$B:$B,"&lt;&gt;Lucas Luiz Romero")*(28/1083),IF(C660="Técnico I",SUMIFS($D:$D,$A:$A,$A660,$B:$B,"&lt;&gt;Patrícia Karla de Sousa Araújo",$B:$B,"&lt;&gt;Lorena Dias de Araujo",$B:$B,"&lt;&gt;Lucas Luiz Romero")*(23/1083),IF(C660="JR",SUMIFS($D:$D,$A:$A,$A660,$B:$B,"&lt;&gt;Patrícia Karla de Sousa Araújo",$B:$B,"&lt;&gt;Lorena Dias de Araujo",$B:$B,"&lt;&gt;Lucas Luiz Romero")*(20/1083),IF(C660="Estágio",SUMIFS($D:$D,$A:$A,$A660,$B:$B,"&lt;&gt;Patrícia Karla de Sousa Araújo",$B:$B,"&lt;&gt;Lorena Dias de Araujo",$B:$B,"&lt;&gt;Lucas Luiz Romero")*(10/1083),0)))))),0)</f>
        <v/>
      </c>
      <c r="K660" s="3">
        <f>I660-J660</f>
        <v/>
      </c>
      <c r="L660" s="3">
        <f>IF(K660&lt;-5,"CRÍTICO",IF(K660&lt;0,"ATENÇÃO",IF(K660&lt;=5,"BOM","EXCELENTE")))</f>
        <v/>
      </c>
      <c r="M660" s="3" t="n">
        <v>19</v>
      </c>
      <c r="N660" s="3" t="n">
        <v>98.94</v>
      </c>
      <c r="O660" s="3" t="n">
        <v>19.61414790996785</v>
      </c>
    </row>
    <row r="661" hidden="1">
      <c r="A661" s="5" t="n">
        <v>46160</v>
      </c>
      <c r="B661" s="6" t="inlineStr">
        <is>
          <t>Brenda de Menezes Silva</t>
        </is>
      </c>
      <c r="C661" s="3" t="inlineStr">
        <is>
          <t>Técnico II</t>
        </is>
      </c>
      <c r="D661" s="3" t="n">
        <v>46</v>
      </c>
      <c r="E661" s="3" t="n">
        <v>39</v>
      </c>
      <c r="F661" t="n">
        <v>11.41</v>
      </c>
      <c r="G661" s="3" t="n">
        <v>7</v>
      </c>
      <c r="H661" s="3" t="n">
        <v>0</v>
      </c>
      <c r="I661" s="3">
        <f>E661+G661+H661</f>
        <v/>
      </c>
      <c r="J661" s="3">
        <f>ROUND(MIN(IF(C661="Técnico III",35,IF(C661="Técnico II",28,IF(C661="Técnico I",23,IF(C661="JR",20,IF(C661="Estágio",10,0))))),IF(C661="Técnico III",SUMIFS($D:$D,$A:$A,$A661,$B:$B,"&lt;&gt;Patrícia Karla de Sousa Araújo",$B:$B,"&lt;&gt;Lorena Dias de Araujo",$B:$B,"&lt;&gt;Lucas Luiz Romero")*(35/1083),IF(C661="Técnico II",SUMIFS($D:$D,$A:$A,$A661,$B:$B,"&lt;&gt;Patrícia Karla de Sousa Araújo",$B:$B,"&lt;&gt;Lorena Dias de Araujo",$B:$B,"&lt;&gt;Lucas Luiz Romero")*(28/1083),IF(C661="Técnico I",SUMIFS($D:$D,$A:$A,$A661,$B:$B,"&lt;&gt;Patrícia Karla de Sousa Araújo",$B:$B,"&lt;&gt;Lorena Dias de Araujo",$B:$B,"&lt;&gt;Lucas Luiz Romero")*(23/1083),IF(C661="JR",SUMIFS($D:$D,$A:$A,$A661,$B:$B,"&lt;&gt;Patrícia Karla de Sousa Araújo",$B:$B,"&lt;&gt;Lorena Dias de Araujo",$B:$B,"&lt;&gt;Lucas Luiz Romero")*(20/1083),IF(C661="Estágio",SUMIFS($D:$D,$A:$A,$A661,$B:$B,"&lt;&gt;Patrícia Karla de Sousa Araújo",$B:$B,"&lt;&gt;Lorena Dias de Araujo",$B:$B,"&lt;&gt;Lucas Luiz Romero")*(10/1083),0)))))),0)</f>
        <v/>
      </c>
      <c r="K661" s="3">
        <f>I661-J661</f>
        <v/>
      </c>
      <c r="L661" s="3">
        <f>IF(K661&lt;-5,"CRÍTICO",IF(K661&lt;0,"ATENÇÃO",IF(K661&lt;=5,"BOM","EXCELENTE")))</f>
        <v/>
      </c>
      <c r="M661" t="n">
        <v>42</v>
      </c>
      <c r="N661" t="n">
        <v>99.13</v>
      </c>
      <c r="O661" t="n">
        <v>14.7239263803681</v>
      </c>
    </row>
    <row r="662" hidden="1">
      <c r="A662" s="5" t="n">
        <v>46160</v>
      </c>
      <c r="B662" s="6" t="inlineStr">
        <is>
          <t>Carlos Mateus Cassimiro Nunes</t>
        </is>
      </c>
      <c r="C662" s="9" t="inlineStr">
        <is>
          <t>Técnico II</t>
        </is>
      </c>
      <c r="D662" s="3" t="n">
        <v>23</v>
      </c>
      <c r="E662" s="3" t="n">
        <v>23</v>
      </c>
      <c r="F662" t="n">
        <v>21.44</v>
      </c>
      <c r="G662" s="3" t="n">
        <v>3</v>
      </c>
      <c r="H662" s="3" t="n">
        <v>0</v>
      </c>
      <c r="I662" s="3">
        <f>E662+G662+H662</f>
        <v/>
      </c>
      <c r="J662" s="3">
        <f>ROUND(MIN(IF(C662="Técnico III",35,IF(C662="Técnico II",28,IF(C662="Técnico I",23,IF(C662="JR",20,IF(C662="Estágio",10,0))))),IF(C662="Técnico III",SUMIFS($D:$D,$A:$A,$A662,$B:$B,"&lt;&gt;Patrícia Karla de Sousa Araújo",$B:$B,"&lt;&gt;Lorena Dias de Araujo",$B:$B,"&lt;&gt;Lucas Luiz Romero")*(35/1083),IF(C662="Técnico II",SUMIFS($D:$D,$A:$A,$A662,$B:$B,"&lt;&gt;Patrícia Karla de Sousa Araújo",$B:$B,"&lt;&gt;Lorena Dias de Araujo",$B:$B,"&lt;&gt;Lucas Luiz Romero")*(28/1083),IF(C662="Técnico I",SUMIFS($D:$D,$A:$A,$A662,$B:$B,"&lt;&gt;Patrícia Karla de Sousa Araújo",$B:$B,"&lt;&gt;Lorena Dias de Araujo",$B:$B,"&lt;&gt;Lucas Luiz Romero")*(23/1083),IF(C662="JR",SUMIFS($D:$D,$A:$A,$A662,$B:$B,"&lt;&gt;Patrícia Karla de Sousa Araújo",$B:$B,"&lt;&gt;Lorena Dias de Araujo",$B:$B,"&lt;&gt;Lucas Luiz Romero")*(20/1083),IF(C662="Estágio",SUMIFS($D:$D,$A:$A,$A662,$B:$B,"&lt;&gt;Patrícia Karla de Sousa Araújo",$B:$B,"&lt;&gt;Lorena Dias de Araujo",$B:$B,"&lt;&gt;Lucas Luiz Romero")*(10/1083),0)))))),0)</f>
        <v/>
      </c>
      <c r="K662" s="3">
        <f>I662-J662</f>
        <v/>
      </c>
      <c r="L662" s="3">
        <f>IF(K662&lt;-5,"CRÍTICO",IF(K662&lt;0,"ATENÇÃO",IF(K662&lt;=5,"BOM","EXCELENTE")))</f>
        <v/>
      </c>
      <c r="M662" t="n">
        <v>26</v>
      </c>
      <c r="N662" t="n">
        <v>98.8</v>
      </c>
      <c r="O662" t="n">
        <v>16.89750692520776</v>
      </c>
    </row>
    <row r="663" hidden="1">
      <c r="A663" s="5" t="n">
        <v>46160</v>
      </c>
      <c r="B663" s="6" t="inlineStr">
        <is>
          <t>Damyllis Lorraine de Oliveira Gonçalves</t>
        </is>
      </c>
      <c r="C663" s="3" t="inlineStr">
        <is>
          <t>Técnico II</t>
        </is>
      </c>
      <c r="D663" s="3" t="n">
        <v>0</v>
      </c>
      <c r="E663" s="3" t="n">
        <v>0</v>
      </c>
      <c r="F663" s="3" t="n">
        <v>0</v>
      </c>
      <c r="G663" s="3" t="n">
        <v>0</v>
      </c>
      <c r="H663" s="3" t="n">
        <v>0</v>
      </c>
      <c r="I663" s="3" t="n">
        <v>0</v>
      </c>
      <c r="J663" s="3" t="n">
        <v>0</v>
      </c>
      <c r="K663" s="3" t="n">
        <v>0</v>
      </c>
      <c r="L663" s="3">
        <f>IF(K663&lt;-5,"CRÍTICO",IF(K663&lt;0,"ATENÇÃO",IF(K663&lt;=5,"BOM","EXCELENTE")))</f>
        <v/>
      </c>
      <c r="M663" s="9" t="n">
        <v>0</v>
      </c>
      <c r="N663" s="9" t="n">
        <v>98.63</v>
      </c>
      <c r="O663" s="9" t="n">
        <v>18.75</v>
      </c>
    </row>
    <row r="664" hidden="1">
      <c r="A664" s="5" t="n">
        <v>46160</v>
      </c>
      <c r="B664" s="6" t="inlineStr">
        <is>
          <t>Emilly Kamilly Medeiros Miranda</t>
        </is>
      </c>
      <c r="C664" s="3" t="inlineStr">
        <is>
          <t>Técnico II</t>
        </is>
      </c>
      <c r="D664" s="3" t="n">
        <v>29</v>
      </c>
      <c r="E664" s="3" t="n">
        <v>27</v>
      </c>
      <c r="F664" t="n">
        <v>12.34</v>
      </c>
      <c r="G664" s="3" t="n">
        <v>3</v>
      </c>
      <c r="H664" s="3" t="n">
        <v>0</v>
      </c>
      <c r="I664" s="3">
        <f>E664+G664+H664</f>
        <v/>
      </c>
      <c r="J664" s="3">
        <f>ROUND(MIN(IF(C664="Técnico III",35,IF(C664="Técnico II",28,IF(C664="Técnico I",23,IF(C664="JR",20,IF(C664="Estágio",10,0))))),IF(C664="Técnico III",SUMIFS($D:$D,$A:$A,$A664,$B:$B,"&lt;&gt;Patrícia Karla de Sousa Araújo",$B:$B,"&lt;&gt;Lorena Dias de Araujo",$B:$B,"&lt;&gt;Lucas Luiz Romero")*(35/1083),IF(C664="Técnico II",SUMIFS($D:$D,$A:$A,$A664,$B:$B,"&lt;&gt;Patrícia Karla de Sousa Araújo",$B:$B,"&lt;&gt;Lorena Dias de Araujo",$B:$B,"&lt;&gt;Lucas Luiz Romero")*(28/1083),IF(C664="Técnico I",SUMIFS($D:$D,$A:$A,$A664,$B:$B,"&lt;&gt;Patrícia Karla de Sousa Araújo",$B:$B,"&lt;&gt;Lorena Dias de Araujo",$B:$B,"&lt;&gt;Lucas Luiz Romero")*(23/1083),IF(C664="JR",SUMIFS($D:$D,$A:$A,$A664,$B:$B,"&lt;&gt;Patrícia Karla de Sousa Araújo",$B:$B,"&lt;&gt;Lorena Dias de Araujo",$B:$B,"&lt;&gt;Lucas Luiz Romero")*(20/1083),IF(C664="Estágio",SUMIFS($D:$D,$A:$A,$A664,$B:$B,"&lt;&gt;Patrícia Karla de Sousa Araújo",$B:$B,"&lt;&gt;Lorena Dias de Araujo",$B:$B,"&lt;&gt;Lucas Luiz Romero")*(10/1083),0)))))),0)</f>
        <v/>
      </c>
      <c r="K664" s="3">
        <f>I664-J664</f>
        <v/>
      </c>
      <c r="L664" s="3">
        <f>IF(K664&lt;-5,"CRÍTICO",IF(K664&lt;0,"ATENÇÃO",IF(K664&lt;=5,"BOM","EXCELENTE")))</f>
        <v/>
      </c>
      <c r="M664" t="n">
        <v>25</v>
      </c>
      <c r="N664" t="n">
        <v>100</v>
      </c>
      <c r="O664" t="n">
        <v>13.8121546961326</v>
      </c>
    </row>
    <row r="665" hidden="1">
      <c r="A665" s="5" t="n">
        <v>46160</v>
      </c>
      <c r="B665" s="6" t="inlineStr">
        <is>
          <t>Francilene Ferreira de Jesus</t>
        </is>
      </c>
      <c r="C665" s="3" t="inlineStr">
        <is>
          <t>Técnico II</t>
        </is>
      </c>
      <c r="D665" s="3" t="n">
        <v>0</v>
      </c>
      <c r="E665" s="3" t="n">
        <v>0</v>
      </c>
      <c r="F665" s="3" t="n">
        <v>0</v>
      </c>
      <c r="G665" s="3" t="n">
        <v>0</v>
      </c>
      <c r="H665" s="3" t="n">
        <v>0</v>
      </c>
      <c r="I665" s="3" t="n">
        <v>0</v>
      </c>
      <c r="J665" s="3" t="n">
        <v>0</v>
      </c>
      <c r="K665" s="3" t="n">
        <v>0</v>
      </c>
      <c r="L665" s="3">
        <f>IF(K665&lt;-5,"CRÍTICO",IF(K665&lt;0,"ATENÇÃO",IF(K665&lt;=5,"BOM","EXCELENTE")))</f>
        <v/>
      </c>
      <c r="M665" s="9" t="n">
        <v>0</v>
      </c>
      <c r="N665" s="9" t="n">
        <v>100</v>
      </c>
      <c r="O665" s="9" t="n">
        <v>17.24137931034483</v>
      </c>
    </row>
    <row r="666" hidden="1">
      <c r="D666" s="3" t="n">
        <v>0</v>
      </c>
      <c r="E666" s="3" t="n">
        <v>0</v>
      </c>
      <c r="F666" s="3" t="n">
        <v>0</v>
      </c>
      <c r="G666" s="3" t="n">
        <v>0</v>
      </c>
      <c r="H666" s="3" t="n">
        <v>0</v>
      </c>
      <c r="I666" s="3" t="n">
        <v>0</v>
      </c>
      <c r="J666" s="3" t="n">
        <v>0</v>
      </c>
      <c r="K666" s="3" t="n">
        <v>0</v>
      </c>
    </row>
    <row r="667" hidden="1">
      <c r="D667" s="3" t="n">
        <v>0</v>
      </c>
      <c r="E667" s="3" t="n">
        <v>0</v>
      </c>
      <c r="F667" s="3" t="n">
        <v>0</v>
      </c>
      <c r="G667" s="3" t="n">
        <v>0</v>
      </c>
      <c r="H667" s="3" t="n">
        <v>0</v>
      </c>
      <c r="I667" s="3" t="n">
        <v>0</v>
      </c>
      <c r="J667" s="3" t="n">
        <v>0</v>
      </c>
      <c r="K667" s="3" t="n">
        <v>0</v>
      </c>
    </row>
    <row r="668" hidden="1">
      <c r="D668" s="3" t="n">
        <v>0</v>
      </c>
      <c r="E668" s="3" t="n">
        <v>0</v>
      </c>
      <c r="F668" s="3" t="n">
        <v>0</v>
      </c>
      <c r="G668" s="3" t="n">
        <v>0</v>
      </c>
      <c r="H668" s="3" t="n">
        <v>0</v>
      </c>
      <c r="I668" s="3" t="n">
        <v>0</v>
      </c>
      <c r="J668" s="3" t="n">
        <v>0</v>
      </c>
      <c r="K668" s="3" t="n">
        <v>0</v>
      </c>
    </row>
    <row r="669" hidden="1">
      <c r="D669" s="3" t="n">
        <v>0</v>
      </c>
      <c r="E669" s="3" t="n">
        <v>0</v>
      </c>
      <c r="F669" s="3" t="n">
        <v>0</v>
      </c>
      <c r="G669" s="3" t="n">
        <v>0</v>
      </c>
      <c r="H669" s="3" t="n">
        <v>0</v>
      </c>
      <c r="I669" s="3" t="n">
        <v>0</v>
      </c>
      <c r="J669" s="3" t="n">
        <v>0</v>
      </c>
      <c r="K669" s="3" t="n">
        <v>0</v>
      </c>
    </row>
    <row r="670" hidden="1">
      <c r="D670" s="3" t="n">
        <v>0</v>
      </c>
      <c r="E670" s="3" t="n">
        <v>0</v>
      </c>
      <c r="F670" s="3" t="n">
        <v>0</v>
      </c>
      <c r="G670" s="3" t="n">
        <v>0</v>
      </c>
      <c r="H670" s="3" t="n">
        <v>0</v>
      </c>
      <c r="I670" s="3" t="n">
        <v>0</v>
      </c>
      <c r="J670" s="3" t="n">
        <v>0</v>
      </c>
      <c r="K670" s="3" t="n">
        <v>0</v>
      </c>
    </row>
    <row r="671" hidden="1">
      <c r="D671" s="3" t="n">
        <v>0</v>
      </c>
      <c r="E671" s="3" t="n">
        <v>0</v>
      </c>
      <c r="F671" s="3" t="n">
        <v>0</v>
      </c>
      <c r="G671" s="3" t="n">
        <v>0</v>
      </c>
      <c r="H671" s="3" t="n">
        <v>0</v>
      </c>
      <c r="I671" s="3" t="n">
        <v>0</v>
      </c>
      <c r="J671" s="3" t="n">
        <v>0</v>
      </c>
      <c r="K671" s="3" t="n">
        <v>0</v>
      </c>
    </row>
    <row r="672" hidden="1">
      <c r="D672" s="3" t="n">
        <v>0</v>
      </c>
      <c r="E672" s="3" t="n">
        <v>0</v>
      </c>
      <c r="F672" s="3" t="n">
        <v>0</v>
      </c>
      <c r="G672" s="3" t="n">
        <v>0</v>
      </c>
      <c r="H672" s="3" t="n">
        <v>0</v>
      </c>
      <c r="I672" s="3" t="n">
        <v>0</v>
      </c>
      <c r="J672" s="3" t="n">
        <v>0</v>
      </c>
      <c r="K672" s="3" t="n">
        <v>0</v>
      </c>
    </row>
    <row r="673" hidden="1">
      <c r="D673" s="3" t="n">
        <v>0</v>
      </c>
      <c r="E673" s="3" t="n">
        <v>0</v>
      </c>
      <c r="F673" s="3" t="n">
        <v>0</v>
      </c>
      <c r="G673" s="3" t="n">
        <v>0</v>
      </c>
      <c r="H673" s="3" t="n">
        <v>0</v>
      </c>
      <c r="I673" s="3" t="n">
        <v>0</v>
      </c>
      <c r="J673" s="3" t="n">
        <v>0</v>
      </c>
      <c r="K673" s="3" t="n">
        <v>0</v>
      </c>
    </row>
    <row r="674" hidden="1">
      <c r="D674" s="3" t="n">
        <v>0</v>
      </c>
      <c r="E674" s="3" t="n">
        <v>0</v>
      </c>
      <c r="F674" s="3" t="n">
        <v>0</v>
      </c>
      <c r="G674" s="3" t="n">
        <v>0</v>
      </c>
      <c r="H674" s="3" t="n">
        <v>0</v>
      </c>
      <c r="I674" s="3" t="n">
        <v>0</v>
      </c>
      <c r="J674" s="3" t="n">
        <v>0</v>
      </c>
      <c r="K674" s="3" t="n">
        <v>0</v>
      </c>
    </row>
    <row r="675" hidden="1">
      <c r="D675" s="3" t="n">
        <v>0</v>
      </c>
      <c r="E675" s="3" t="n">
        <v>0</v>
      </c>
      <c r="F675" s="3" t="n">
        <v>0</v>
      </c>
      <c r="G675" s="3" t="n">
        <v>0</v>
      </c>
      <c r="H675" s="3" t="n">
        <v>0</v>
      </c>
      <c r="I675" s="3" t="n">
        <v>0</v>
      </c>
      <c r="J675" s="3" t="n">
        <v>0</v>
      </c>
      <c r="K675" s="3" t="n">
        <v>0</v>
      </c>
    </row>
    <row r="676" hidden="1">
      <c r="D676" s="3" t="n">
        <v>0</v>
      </c>
      <c r="E676" s="3" t="n">
        <v>0</v>
      </c>
      <c r="F676" s="3" t="n">
        <v>0</v>
      </c>
      <c r="G676" s="3" t="n">
        <v>0</v>
      </c>
      <c r="H676" s="3" t="n">
        <v>0</v>
      </c>
      <c r="I676" s="3" t="n">
        <v>0</v>
      </c>
      <c r="J676" s="3" t="n">
        <v>0</v>
      </c>
      <c r="K676" s="3" t="n">
        <v>0</v>
      </c>
    </row>
    <row r="677" hidden="1">
      <c r="D677" s="3" t="n">
        <v>0</v>
      </c>
      <c r="E677" s="3" t="n">
        <v>0</v>
      </c>
      <c r="F677" s="3" t="n">
        <v>0</v>
      </c>
      <c r="G677" s="3" t="n">
        <v>0</v>
      </c>
      <c r="H677" s="3" t="n">
        <v>0</v>
      </c>
      <c r="I677" s="3" t="n">
        <v>0</v>
      </c>
      <c r="J677" s="3" t="n">
        <v>0</v>
      </c>
      <c r="K677" s="3" t="n">
        <v>0</v>
      </c>
    </row>
    <row r="678" hidden="1">
      <c r="D678" s="3" t="n">
        <v>0</v>
      </c>
      <c r="E678" s="3" t="n">
        <v>0</v>
      </c>
      <c r="F678" s="3" t="n">
        <v>0</v>
      </c>
      <c r="G678" s="3" t="n">
        <v>0</v>
      </c>
      <c r="H678" s="3" t="n">
        <v>0</v>
      </c>
      <c r="I678" s="3" t="n">
        <v>0</v>
      </c>
      <c r="J678" s="3" t="n">
        <v>0</v>
      </c>
      <c r="K678" s="3" t="n">
        <v>0</v>
      </c>
    </row>
    <row r="679" hidden="1">
      <c r="D679" s="3" t="n">
        <v>0</v>
      </c>
      <c r="E679" s="3" t="n">
        <v>0</v>
      </c>
      <c r="F679" s="3" t="n">
        <v>0</v>
      </c>
      <c r="G679" s="3" t="n">
        <v>0</v>
      </c>
      <c r="H679" s="3" t="n">
        <v>0</v>
      </c>
      <c r="I679" s="3" t="n">
        <v>0</v>
      </c>
      <c r="J679" s="3" t="n">
        <v>0</v>
      </c>
      <c r="K679" s="3" t="n">
        <v>0</v>
      </c>
    </row>
    <row r="680" hidden="1">
      <c r="D680" s="3" t="n">
        <v>0</v>
      </c>
      <c r="E680" s="3" t="n">
        <v>0</v>
      </c>
      <c r="F680" s="3" t="n">
        <v>0</v>
      </c>
      <c r="G680" s="3" t="n">
        <v>0</v>
      </c>
      <c r="H680" s="3" t="n">
        <v>0</v>
      </c>
      <c r="I680" s="3" t="n">
        <v>0</v>
      </c>
      <c r="J680" s="3" t="n">
        <v>0</v>
      </c>
      <c r="K680" s="3" t="n">
        <v>0</v>
      </c>
    </row>
    <row r="681" hidden="1">
      <c r="D681" s="3" t="n">
        <v>0</v>
      </c>
      <c r="E681" s="3" t="n">
        <v>0</v>
      </c>
      <c r="F681" s="3" t="n">
        <v>0</v>
      </c>
      <c r="G681" s="3" t="n">
        <v>0</v>
      </c>
      <c r="H681" s="3" t="n">
        <v>0</v>
      </c>
      <c r="I681" s="3" t="n">
        <v>0</v>
      </c>
      <c r="J681" s="3" t="n">
        <v>0</v>
      </c>
      <c r="K681" s="3" t="n">
        <v>0</v>
      </c>
    </row>
    <row r="682" hidden="1">
      <c r="D682" s="3" t="n">
        <v>0</v>
      </c>
      <c r="E682" s="3" t="n">
        <v>0</v>
      </c>
      <c r="F682" s="3" t="n">
        <v>0</v>
      </c>
      <c r="G682" s="3" t="n">
        <v>0</v>
      </c>
      <c r="H682" s="3" t="n">
        <v>0</v>
      </c>
      <c r="I682" s="3" t="n">
        <v>0</v>
      </c>
      <c r="J682" s="3" t="n">
        <v>0</v>
      </c>
      <c r="K682" s="3" t="n">
        <v>0</v>
      </c>
    </row>
    <row r="683" hidden="1">
      <c r="D683" s="3" t="n">
        <v>0</v>
      </c>
      <c r="E683" s="3" t="n">
        <v>0</v>
      </c>
      <c r="F683" s="3" t="n">
        <v>0</v>
      </c>
      <c r="G683" s="3" t="n">
        <v>0</v>
      </c>
      <c r="H683" s="3" t="n">
        <v>0</v>
      </c>
      <c r="I683" s="3" t="n">
        <v>0</v>
      </c>
      <c r="J683" s="3" t="n">
        <v>0</v>
      </c>
      <c r="K683" s="3" t="n">
        <v>0</v>
      </c>
    </row>
    <row r="684" hidden="1">
      <c r="D684" s="3" t="n">
        <v>0</v>
      </c>
      <c r="E684" s="3" t="n">
        <v>0</v>
      </c>
      <c r="F684" s="3" t="n">
        <v>0</v>
      </c>
      <c r="G684" s="3" t="n">
        <v>0</v>
      </c>
      <c r="H684" s="3" t="n">
        <v>0</v>
      </c>
      <c r="I684" s="3" t="n">
        <v>0</v>
      </c>
      <c r="J684" s="3" t="n">
        <v>0</v>
      </c>
      <c r="K684" s="3" t="n">
        <v>0</v>
      </c>
    </row>
    <row r="685" hidden="1">
      <c r="D685" s="3" t="n">
        <v>0</v>
      </c>
      <c r="E685" s="3" t="n">
        <v>0</v>
      </c>
      <c r="F685" s="3" t="n">
        <v>0</v>
      </c>
      <c r="G685" s="3" t="n">
        <v>0</v>
      </c>
      <c r="H685" s="3" t="n">
        <v>0</v>
      </c>
      <c r="I685" s="3" t="n">
        <v>0</v>
      </c>
      <c r="J685" s="3" t="n">
        <v>0</v>
      </c>
      <c r="K685" s="3" t="n">
        <v>0</v>
      </c>
    </row>
    <row r="686" hidden="1">
      <c r="D686" s="3" t="n">
        <v>0</v>
      </c>
      <c r="E686" s="3" t="n">
        <v>0</v>
      </c>
      <c r="F686" s="3" t="n">
        <v>0</v>
      </c>
      <c r="G686" s="3" t="n">
        <v>0</v>
      </c>
      <c r="H686" s="3" t="n">
        <v>0</v>
      </c>
      <c r="I686" s="3" t="n">
        <v>0</v>
      </c>
      <c r="J686" s="3" t="n">
        <v>0</v>
      </c>
      <c r="K686" s="3" t="n">
        <v>0</v>
      </c>
    </row>
    <row r="687" hidden="1">
      <c r="D687" s="3" t="n">
        <v>0</v>
      </c>
      <c r="E687" s="3" t="n">
        <v>0</v>
      </c>
      <c r="F687" s="3" t="n">
        <v>0</v>
      </c>
      <c r="G687" s="3" t="n">
        <v>0</v>
      </c>
      <c r="H687" s="3" t="n">
        <v>0</v>
      </c>
      <c r="I687" s="3" t="n">
        <v>0</v>
      </c>
      <c r="J687" s="3" t="n">
        <v>0</v>
      </c>
      <c r="K687" s="3" t="n">
        <v>0</v>
      </c>
    </row>
    <row r="688" hidden="1">
      <c r="D688" s="3" t="n">
        <v>0</v>
      </c>
      <c r="E688" s="3" t="n">
        <v>0</v>
      </c>
      <c r="F688" s="3" t="n">
        <v>0</v>
      </c>
      <c r="G688" s="3" t="n">
        <v>0</v>
      </c>
      <c r="H688" s="3" t="n">
        <v>0</v>
      </c>
      <c r="I688" s="3" t="n">
        <v>0</v>
      </c>
      <c r="J688" s="3" t="n">
        <v>0</v>
      </c>
      <c r="K688" s="3" t="n">
        <v>0</v>
      </c>
    </row>
    <row r="689" hidden="1">
      <c r="D689" s="3" t="n">
        <v>0</v>
      </c>
      <c r="E689" s="3" t="n">
        <v>0</v>
      </c>
      <c r="F689" s="3" t="n">
        <v>0</v>
      </c>
      <c r="G689" s="3" t="n">
        <v>0</v>
      </c>
      <c r="H689" s="3" t="n">
        <v>0</v>
      </c>
      <c r="I689" s="3" t="n">
        <v>0</v>
      </c>
      <c r="J689" s="3" t="n">
        <v>0</v>
      </c>
      <c r="K689" s="3" t="n">
        <v>0</v>
      </c>
    </row>
    <row r="690" hidden="1">
      <c r="D690" s="3" t="n">
        <v>0</v>
      </c>
      <c r="E690" s="3" t="n">
        <v>0</v>
      </c>
      <c r="F690" s="3" t="n">
        <v>0</v>
      </c>
      <c r="G690" s="3" t="n">
        <v>0</v>
      </c>
      <c r="H690" s="3" t="n">
        <v>0</v>
      </c>
      <c r="I690" s="3" t="n">
        <v>0</v>
      </c>
      <c r="J690" s="3" t="n">
        <v>0</v>
      </c>
      <c r="K690" s="3" t="n">
        <v>0</v>
      </c>
    </row>
    <row r="691" hidden="1">
      <c r="D691" s="3" t="n">
        <v>0</v>
      </c>
      <c r="E691" s="3" t="n">
        <v>0</v>
      </c>
      <c r="F691" s="3" t="n">
        <v>0</v>
      </c>
      <c r="G691" s="3" t="n">
        <v>0</v>
      </c>
      <c r="H691" s="3" t="n">
        <v>0</v>
      </c>
      <c r="I691" s="3" t="n">
        <v>0</v>
      </c>
      <c r="J691" s="3" t="n">
        <v>0</v>
      </c>
      <c r="K691" s="3" t="n">
        <v>0</v>
      </c>
    </row>
    <row r="692" hidden="1">
      <c r="D692" s="3" t="n">
        <v>0</v>
      </c>
      <c r="E692" s="3" t="n">
        <v>0</v>
      </c>
      <c r="F692" s="3" t="n">
        <v>0</v>
      </c>
      <c r="G692" s="3" t="n">
        <v>0</v>
      </c>
      <c r="H692" s="3" t="n">
        <v>0</v>
      </c>
      <c r="I692" s="3" t="n">
        <v>0</v>
      </c>
      <c r="J692" s="3" t="n">
        <v>0</v>
      </c>
      <c r="K692" s="3" t="n">
        <v>0</v>
      </c>
    </row>
    <row r="693" hidden="1">
      <c r="D693" s="3" t="n">
        <v>0</v>
      </c>
      <c r="E693" s="3" t="n">
        <v>0</v>
      </c>
      <c r="F693" s="3" t="n">
        <v>0</v>
      </c>
      <c r="G693" s="3" t="n">
        <v>0</v>
      </c>
      <c r="H693" s="3" t="n">
        <v>0</v>
      </c>
      <c r="I693" s="3" t="n">
        <v>0</v>
      </c>
      <c r="J693" s="3" t="n">
        <v>0</v>
      </c>
      <c r="K693" s="3" t="n">
        <v>0</v>
      </c>
    </row>
    <row r="694" hidden="1">
      <c r="D694" s="3" t="n">
        <v>0</v>
      </c>
      <c r="E694" s="3" t="n">
        <v>0</v>
      </c>
      <c r="F694" s="3" t="n">
        <v>0</v>
      </c>
      <c r="G694" s="3" t="n">
        <v>0</v>
      </c>
      <c r="H694" s="3" t="n">
        <v>0</v>
      </c>
      <c r="I694" s="3" t="n">
        <v>0</v>
      </c>
      <c r="J694" s="3" t="n">
        <v>0</v>
      </c>
      <c r="K694" s="3" t="n">
        <v>0</v>
      </c>
    </row>
    <row r="695" hidden="1">
      <c r="D695" s="3" t="n">
        <v>0</v>
      </c>
      <c r="E695" s="3" t="n">
        <v>0</v>
      </c>
      <c r="F695" s="3" t="n">
        <v>0</v>
      </c>
      <c r="G695" s="3" t="n">
        <v>0</v>
      </c>
      <c r="H695" s="3" t="n">
        <v>0</v>
      </c>
      <c r="I695" s="3" t="n">
        <v>0</v>
      </c>
      <c r="J695" s="3" t="n">
        <v>0</v>
      </c>
      <c r="K695" s="3" t="n">
        <v>0</v>
      </c>
    </row>
    <row r="696" hidden="1">
      <c r="D696" s="3" t="n">
        <v>0</v>
      </c>
      <c r="E696" s="3" t="n">
        <v>0</v>
      </c>
      <c r="F696" s="3" t="n">
        <v>0</v>
      </c>
      <c r="G696" s="3" t="n">
        <v>0</v>
      </c>
      <c r="H696" s="3" t="n">
        <v>0</v>
      </c>
      <c r="I696" s="3" t="n">
        <v>0</v>
      </c>
      <c r="J696" s="3" t="n">
        <v>0</v>
      </c>
      <c r="K696" s="3" t="n">
        <v>0</v>
      </c>
    </row>
    <row r="697" hidden="1">
      <c r="D697" s="3" t="n">
        <v>0</v>
      </c>
      <c r="E697" s="3" t="n">
        <v>0</v>
      </c>
      <c r="F697" s="3" t="n">
        <v>0</v>
      </c>
      <c r="G697" s="3" t="n">
        <v>0</v>
      </c>
      <c r="H697" s="3" t="n">
        <v>0</v>
      </c>
      <c r="I697" s="3" t="n">
        <v>0</v>
      </c>
      <c r="J697" s="3" t="n">
        <v>0</v>
      </c>
      <c r="K697" s="3" t="n">
        <v>0</v>
      </c>
    </row>
    <row r="698" hidden="1">
      <c r="D698" s="3" t="n">
        <v>0</v>
      </c>
      <c r="E698" s="3" t="n">
        <v>0</v>
      </c>
      <c r="F698" s="3" t="n">
        <v>0</v>
      </c>
      <c r="G698" s="3" t="n">
        <v>0</v>
      </c>
      <c r="H698" s="3" t="n">
        <v>0</v>
      </c>
      <c r="I698" s="3" t="n">
        <v>0</v>
      </c>
      <c r="J698" s="3" t="n">
        <v>0</v>
      </c>
      <c r="K698" s="3" t="n">
        <v>0</v>
      </c>
    </row>
    <row r="699" hidden="1">
      <c r="D699" s="3" t="n">
        <v>0</v>
      </c>
      <c r="E699" s="3" t="n">
        <v>0</v>
      </c>
      <c r="F699" s="3" t="n">
        <v>0</v>
      </c>
      <c r="G699" s="3" t="n">
        <v>0</v>
      </c>
      <c r="H699" s="3" t="n">
        <v>0</v>
      </c>
      <c r="I699" s="3" t="n">
        <v>0</v>
      </c>
      <c r="J699" s="3" t="n">
        <v>0</v>
      </c>
      <c r="K699" s="3" t="n">
        <v>0</v>
      </c>
    </row>
    <row r="700" hidden="1">
      <c r="D700" s="3" t="n">
        <v>0</v>
      </c>
      <c r="E700" s="3" t="n">
        <v>0</v>
      </c>
      <c r="F700" s="3" t="n">
        <v>0</v>
      </c>
      <c r="G700" s="3" t="n">
        <v>0</v>
      </c>
      <c r="H700" s="3" t="n">
        <v>0</v>
      </c>
      <c r="I700" s="3" t="n">
        <v>0</v>
      </c>
      <c r="J700" s="3" t="n">
        <v>0</v>
      </c>
      <c r="K700" s="3" t="n">
        <v>0</v>
      </c>
    </row>
    <row r="701" hidden="1">
      <c r="D701" s="3" t="n">
        <v>0</v>
      </c>
      <c r="E701" s="3" t="n">
        <v>0</v>
      </c>
      <c r="F701" s="3" t="n">
        <v>0</v>
      </c>
      <c r="G701" s="3" t="n">
        <v>0</v>
      </c>
      <c r="H701" s="3" t="n">
        <v>0</v>
      </c>
      <c r="I701" s="3" t="n">
        <v>0</v>
      </c>
      <c r="J701" s="3" t="n">
        <v>0</v>
      </c>
      <c r="K701" s="3" t="n">
        <v>0</v>
      </c>
    </row>
    <row r="702" hidden="1">
      <c r="D702" s="3" t="n">
        <v>0</v>
      </c>
      <c r="E702" s="3" t="n">
        <v>0</v>
      </c>
      <c r="F702" s="3" t="n">
        <v>0</v>
      </c>
      <c r="G702" s="3" t="n">
        <v>0</v>
      </c>
      <c r="H702" s="3" t="n">
        <v>0</v>
      </c>
      <c r="I702" s="3" t="n">
        <v>0</v>
      </c>
      <c r="J702" s="3" t="n">
        <v>0</v>
      </c>
      <c r="K702" s="3" t="n">
        <v>0</v>
      </c>
    </row>
    <row r="703" hidden="1">
      <c r="D703" s="3" t="n">
        <v>0</v>
      </c>
      <c r="E703" s="3" t="n">
        <v>0</v>
      </c>
      <c r="F703" s="3" t="n">
        <v>0</v>
      </c>
      <c r="G703" s="3" t="n">
        <v>0</v>
      </c>
      <c r="H703" s="3" t="n">
        <v>0</v>
      </c>
      <c r="I703" s="3" t="n">
        <v>0</v>
      </c>
      <c r="J703" s="3" t="n">
        <v>0</v>
      </c>
      <c r="K703" s="3" t="n">
        <v>0</v>
      </c>
    </row>
    <row r="704" hidden="1">
      <c r="D704" s="3" t="n">
        <v>0</v>
      </c>
      <c r="E704" s="3" t="n">
        <v>0</v>
      </c>
      <c r="F704" s="3" t="n">
        <v>0</v>
      </c>
      <c r="G704" s="3" t="n">
        <v>0</v>
      </c>
      <c r="H704" s="3" t="n">
        <v>0</v>
      </c>
      <c r="I704" s="3" t="n">
        <v>0</v>
      </c>
      <c r="J704" s="3" t="n">
        <v>0</v>
      </c>
      <c r="K704" s="3" t="n">
        <v>0</v>
      </c>
    </row>
    <row r="705" hidden="1">
      <c r="D705" s="3" t="n">
        <v>0</v>
      </c>
      <c r="E705" s="3" t="n">
        <v>0</v>
      </c>
      <c r="F705" s="3" t="n">
        <v>0</v>
      </c>
      <c r="G705" s="3" t="n">
        <v>0</v>
      </c>
      <c r="H705" s="3" t="n">
        <v>0</v>
      </c>
      <c r="I705" s="3" t="n">
        <v>0</v>
      </c>
      <c r="J705" s="3" t="n">
        <v>0</v>
      </c>
      <c r="K705" s="3" t="n">
        <v>0</v>
      </c>
    </row>
    <row r="706" hidden="1">
      <c r="D706" s="3" t="n">
        <v>0</v>
      </c>
      <c r="E706" s="3" t="n">
        <v>0</v>
      </c>
      <c r="F706" s="3" t="n">
        <v>0</v>
      </c>
      <c r="G706" s="3" t="n">
        <v>0</v>
      </c>
      <c r="H706" s="3" t="n">
        <v>0</v>
      </c>
      <c r="I706" s="3" t="n">
        <v>0</v>
      </c>
      <c r="J706" s="3" t="n">
        <v>0</v>
      </c>
      <c r="K706" s="3" t="n">
        <v>0</v>
      </c>
    </row>
    <row r="707" hidden="1">
      <c r="D707" s="3" t="n">
        <v>0</v>
      </c>
      <c r="E707" s="3" t="n">
        <v>0</v>
      </c>
      <c r="F707" s="3" t="n">
        <v>0</v>
      </c>
      <c r="G707" s="3" t="n">
        <v>0</v>
      </c>
      <c r="H707" s="3" t="n">
        <v>0</v>
      </c>
      <c r="I707" s="3" t="n">
        <v>0</v>
      </c>
      <c r="J707" s="3" t="n">
        <v>0</v>
      </c>
      <c r="K707" s="3" t="n">
        <v>0</v>
      </c>
    </row>
    <row r="708" hidden="1">
      <c r="D708" s="3" t="n">
        <v>0</v>
      </c>
      <c r="E708" s="3" t="n">
        <v>0</v>
      </c>
      <c r="F708" s="3" t="n">
        <v>0</v>
      </c>
      <c r="G708" s="3" t="n">
        <v>0</v>
      </c>
      <c r="H708" s="3" t="n">
        <v>0</v>
      </c>
      <c r="I708" s="3" t="n">
        <v>0</v>
      </c>
      <c r="J708" s="3" t="n">
        <v>0</v>
      </c>
      <c r="K708" s="3" t="n">
        <v>0</v>
      </c>
    </row>
    <row r="709" hidden="1">
      <c r="D709" s="3" t="n">
        <v>0</v>
      </c>
      <c r="E709" s="3" t="n">
        <v>0</v>
      </c>
      <c r="F709" s="3" t="n">
        <v>0</v>
      </c>
      <c r="G709" s="3" t="n">
        <v>0</v>
      </c>
      <c r="H709" s="3" t="n">
        <v>0</v>
      </c>
      <c r="I709" s="3" t="n">
        <v>0</v>
      </c>
      <c r="J709" s="3" t="n">
        <v>0</v>
      </c>
      <c r="K709" s="3" t="n">
        <v>0</v>
      </c>
    </row>
    <row r="710" hidden="1">
      <c r="D710" s="3" t="n">
        <v>0</v>
      </c>
      <c r="E710" s="3" t="n">
        <v>0</v>
      </c>
      <c r="F710" s="3" t="n">
        <v>0</v>
      </c>
      <c r="G710" s="3" t="n">
        <v>0</v>
      </c>
      <c r="H710" s="3" t="n">
        <v>0</v>
      </c>
      <c r="I710" s="3" t="n">
        <v>0</v>
      </c>
      <c r="J710" s="3" t="n">
        <v>0</v>
      </c>
      <c r="K710" s="3" t="n">
        <v>0</v>
      </c>
    </row>
    <row r="711" hidden="1">
      <c r="D711" s="3" t="n">
        <v>0</v>
      </c>
      <c r="E711" s="3" t="n">
        <v>0</v>
      </c>
      <c r="F711" s="3" t="n">
        <v>0</v>
      </c>
      <c r="G711" s="3" t="n">
        <v>0</v>
      </c>
      <c r="H711" s="3" t="n">
        <v>0</v>
      </c>
      <c r="I711" s="3" t="n">
        <v>0</v>
      </c>
      <c r="J711" s="3" t="n">
        <v>0</v>
      </c>
      <c r="K711" s="3" t="n">
        <v>0</v>
      </c>
    </row>
    <row r="712" hidden="1">
      <c r="D712" s="3" t="n">
        <v>0</v>
      </c>
      <c r="E712" s="3" t="n">
        <v>0</v>
      </c>
      <c r="F712" s="3" t="n">
        <v>0</v>
      </c>
      <c r="G712" s="3" t="n">
        <v>0</v>
      </c>
      <c r="H712" s="3" t="n">
        <v>0</v>
      </c>
      <c r="I712" s="3" t="n">
        <v>0</v>
      </c>
      <c r="J712" s="3" t="n">
        <v>0</v>
      </c>
      <c r="K712" s="3" t="n">
        <v>0</v>
      </c>
    </row>
    <row r="713" hidden="1">
      <c r="D713" s="3" t="n">
        <v>0</v>
      </c>
      <c r="E713" s="3" t="n">
        <v>0</v>
      </c>
      <c r="F713" s="3" t="n">
        <v>0</v>
      </c>
      <c r="G713" s="3" t="n">
        <v>0</v>
      </c>
      <c r="H713" s="3" t="n">
        <v>0</v>
      </c>
      <c r="I713" s="3" t="n">
        <v>0</v>
      </c>
      <c r="J713" s="3" t="n">
        <v>0</v>
      </c>
      <c r="K713" s="3" t="n">
        <v>0</v>
      </c>
    </row>
    <row r="714" hidden="1">
      <c r="D714" s="3" t="n">
        <v>0</v>
      </c>
      <c r="E714" s="3" t="n">
        <v>0</v>
      </c>
      <c r="F714" s="3" t="n">
        <v>0</v>
      </c>
      <c r="G714" s="3" t="n">
        <v>0</v>
      </c>
      <c r="H714" s="3" t="n">
        <v>0</v>
      </c>
      <c r="I714" s="3" t="n">
        <v>0</v>
      </c>
      <c r="J714" s="3" t="n">
        <v>0</v>
      </c>
      <c r="K714" s="3" t="n">
        <v>0</v>
      </c>
    </row>
    <row r="715" hidden="1">
      <c r="D715" s="3" t="n">
        <v>0</v>
      </c>
      <c r="E715" s="3" t="n">
        <v>0</v>
      </c>
      <c r="F715" s="3" t="n">
        <v>0</v>
      </c>
      <c r="G715" s="3" t="n">
        <v>0</v>
      </c>
      <c r="H715" s="3" t="n">
        <v>0</v>
      </c>
      <c r="I715" s="3" t="n">
        <v>0</v>
      </c>
      <c r="J715" s="3" t="n">
        <v>0</v>
      </c>
      <c r="K715" s="3" t="n">
        <v>0</v>
      </c>
    </row>
    <row r="716" hidden="1">
      <c r="D716" s="3" t="n">
        <v>0</v>
      </c>
      <c r="E716" s="3" t="n">
        <v>0</v>
      </c>
      <c r="F716" s="3" t="n">
        <v>0</v>
      </c>
      <c r="G716" s="3" t="n">
        <v>0</v>
      </c>
      <c r="H716" s="3" t="n">
        <v>0</v>
      </c>
      <c r="I716" s="3" t="n">
        <v>0</v>
      </c>
      <c r="J716" s="3" t="n">
        <v>0</v>
      </c>
      <c r="K716" s="3" t="n">
        <v>0</v>
      </c>
    </row>
    <row r="717" hidden="1">
      <c r="D717" s="3" t="n">
        <v>0</v>
      </c>
      <c r="E717" s="3" t="n">
        <v>0</v>
      </c>
      <c r="F717" s="3" t="n">
        <v>0</v>
      </c>
      <c r="G717" s="3" t="n">
        <v>0</v>
      </c>
      <c r="H717" s="3" t="n">
        <v>0</v>
      </c>
      <c r="I717" s="3" t="n">
        <v>0</v>
      </c>
      <c r="J717" s="3" t="n">
        <v>0</v>
      </c>
      <c r="K717" s="3" t="n">
        <v>0</v>
      </c>
    </row>
    <row r="718" hidden="1">
      <c r="D718" s="3" t="n">
        <v>0</v>
      </c>
      <c r="E718" s="3" t="n">
        <v>0</v>
      </c>
      <c r="F718" s="3" t="n">
        <v>0</v>
      </c>
      <c r="G718" s="3" t="n">
        <v>0</v>
      </c>
      <c r="H718" s="3" t="n">
        <v>0</v>
      </c>
      <c r="I718" s="3" t="n">
        <v>0</v>
      </c>
      <c r="J718" s="3" t="n">
        <v>0</v>
      </c>
      <c r="K718" s="3" t="n">
        <v>0</v>
      </c>
    </row>
    <row r="719" hidden="1">
      <c r="D719" s="3" t="n">
        <v>0</v>
      </c>
      <c r="E719" s="3" t="n">
        <v>0</v>
      </c>
      <c r="F719" s="3" t="n">
        <v>0</v>
      </c>
      <c r="G719" s="3" t="n">
        <v>0</v>
      </c>
      <c r="H719" s="3" t="n">
        <v>0</v>
      </c>
      <c r="I719" s="3" t="n">
        <v>0</v>
      </c>
      <c r="J719" s="3" t="n">
        <v>0</v>
      </c>
      <c r="K719" s="3" t="n">
        <v>0</v>
      </c>
    </row>
    <row r="720" hidden="1">
      <c r="D720" s="3" t="n">
        <v>0</v>
      </c>
      <c r="E720" s="3" t="n">
        <v>0</v>
      </c>
      <c r="F720" s="3" t="n">
        <v>0</v>
      </c>
      <c r="G720" s="3" t="n">
        <v>0</v>
      </c>
      <c r="H720" s="3" t="n">
        <v>0</v>
      </c>
      <c r="I720" s="3" t="n">
        <v>0</v>
      </c>
      <c r="J720" s="3" t="n">
        <v>0</v>
      </c>
      <c r="K720" s="3" t="n">
        <v>0</v>
      </c>
    </row>
    <row r="721" hidden="1">
      <c r="D721" s="3" t="n">
        <v>0</v>
      </c>
      <c r="E721" s="3" t="n">
        <v>0</v>
      </c>
      <c r="F721" s="3" t="n">
        <v>0</v>
      </c>
      <c r="G721" s="3" t="n">
        <v>0</v>
      </c>
      <c r="H721" s="3" t="n">
        <v>0</v>
      </c>
      <c r="I721" s="3" t="n">
        <v>0</v>
      </c>
      <c r="J721" s="3" t="n">
        <v>0</v>
      </c>
      <c r="K721" s="3" t="n">
        <v>0</v>
      </c>
    </row>
    <row r="722" hidden="1">
      <c r="D722" s="3" t="n">
        <v>0</v>
      </c>
      <c r="E722" s="3" t="n">
        <v>0</v>
      </c>
      <c r="F722" s="3" t="n">
        <v>0</v>
      </c>
      <c r="G722" s="3" t="n">
        <v>0</v>
      </c>
      <c r="H722" s="3" t="n">
        <v>0</v>
      </c>
      <c r="I722" s="3" t="n">
        <v>0</v>
      </c>
      <c r="J722" s="3" t="n">
        <v>0</v>
      </c>
      <c r="K722" s="3" t="n">
        <v>0</v>
      </c>
    </row>
    <row r="723" hidden="1">
      <c r="D723" s="3" t="n">
        <v>0</v>
      </c>
      <c r="E723" s="3" t="n">
        <v>0</v>
      </c>
      <c r="F723" s="3" t="n">
        <v>0</v>
      </c>
      <c r="G723" s="3" t="n">
        <v>0</v>
      </c>
      <c r="H723" s="3" t="n">
        <v>0</v>
      </c>
      <c r="I723" s="3" t="n">
        <v>0</v>
      </c>
      <c r="J723" s="3" t="n">
        <v>0</v>
      </c>
      <c r="K723" s="3" t="n">
        <v>0</v>
      </c>
    </row>
    <row r="724" hidden="1">
      <c r="D724" s="3" t="n">
        <v>0</v>
      </c>
      <c r="E724" s="3" t="n">
        <v>0</v>
      </c>
      <c r="F724" s="3" t="n">
        <v>0</v>
      </c>
      <c r="G724" s="3" t="n">
        <v>0</v>
      </c>
      <c r="H724" s="3" t="n">
        <v>0</v>
      </c>
      <c r="I724" s="3" t="n">
        <v>0</v>
      </c>
      <c r="J724" s="3" t="n">
        <v>0</v>
      </c>
      <c r="K724" s="3" t="n">
        <v>0</v>
      </c>
    </row>
    <row r="725" hidden="1">
      <c r="D725" s="3" t="n">
        <v>0</v>
      </c>
      <c r="E725" s="3" t="n">
        <v>0</v>
      </c>
      <c r="F725" s="3" t="n">
        <v>0</v>
      </c>
      <c r="G725" s="3" t="n">
        <v>0</v>
      </c>
      <c r="H725" s="3" t="n">
        <v>0</v>
      </c>
      <c r="I725" s="3" t="n">
        <v>0</v>
      </c>
      <c r="J725" s="3" t="n">
        <v>0</v>
      </c>
      <c r="K725" s="3" t="n">
        <v>0</v>
      </c>
    </row>
    <row r="726" hidden="1">
      <c r="D726" s="3" t="n">
        <v>0</v>
      </c>
      <c r="E726" s="3" t="n">
        <v>0</v>
      </c>
      <c r="F726" s="3" t="n">
        <v>0</v>
      </c>
      <c r="G726" s="3" t="n">
        <v>0</v>
      </c>
      <c r="H726" s="3" t="n">
        <v>0</v>
      </c>
      <c r="I726" s="3" t="n">
        <v>0</v>
      </c>
      <c r="J726" s="3" t="n">
        <v>0</v>
      </c>
      <c r="K726" s="3" t="n">
        <v>0</v>
      </c>
    </row>
    <row r="727" hidden="1">
      <c r="D727" s="3" t="n">
        <v>0</v>
      </c>
      <c r="E727" s="3" t="n">
        <v>0</v>
      </c>
      <c r="F727" s="3" t="n">
        <v>0</v>
      </c>
      <c r="G727" s="3" t="n">
        <v>0</v>
      </c>
      <c r="H727" s="3" t="n">
        <v>0</v>
      </c>
      <c r="I727" s="3" t="n">
        <v>0</v>
      </c>
      <c r="J727" s="3" t="n">
        <v>0</v>
      </c>
      <c r="K727" s="3" t="n">
        <v>0</v>
      </c>
    </row>
    <row r="728" hidden="1">
      <c r="D728" s="3" t="n">
        <v>0</v>
      </c>
      <c r="E728" s="3" t="n">
        <v>0</v>
      </c>
      <c r="F728" s="3" t="n">
        <v>0</v>
      </c>
      <c r="G728" s="3" t="n">
        <v>0</v>
      </c>
      <c r="H728" s="3" t="n">
        <v>0</v>
      </c>
      <c r="I728" s="3" t="n">
        <v>0</v>
      </c>
      <c r="J728" s="3" t="n">
        <v>0</v>
      </c>
      <c r="K728" s="3" t="n">
        <v>0</v>
      </c>
    </row>
    <row r="729" hidden="1">
      <c r="D729" s="3" t="n">
        <v>0</v>
      </c>
      <c r="E729" s="3" t="n">
        <v>0</v>
      </c>
      <c r="F729" s="3" t="n">
        <v>0</v>
      </c>
      <c r="G729" s="3" t="n">
        <v>0</v>
      </c>
      <c r="H729" s="3" t="n">
        <v>0</v>
      </c>
      <c r="I729" s="3" t="n">
        <v>0</v>
      </c>
      <c r="J729" s="3" t="n">
        <v>0</v>
      </c>
      <c r="K729" s="3" t="n">
        <v>0</v>
      </c>
    </row>
    <row r="730" hidden="1">
      <c r="A730" s="5" t="n">
        <v>46160</v>
      </c>
      <c r="B730" s="6" t="inlineStr">
        <is>
          <t>Isabella Borges de Oliveira</t>
        </is>
      </c>
      <c r="C730" s="9" t="inlineStr">
        <is>
          <t>Técnico II</t>
        </is>
      </c>
      <c r="D730" s="3" t="n">
        <v>20</v>
      </c>
      <c r="E730" s="3" t="n">
        <v>20</v>
      </c>
      <c r="F730" t="n">
        <v>24.07</v>
      </c>
      <c r="G730" s="3" t="n">
        <v>3</v>
      </c>
      <c r="H730" s="3" t="n">
        <v>0</v>
      </c>
      <c r="I730" s="3">
        <f>E730+G730+H730</f>
        <v/>
      </c>
      <c r="J730" s="3">
        <f>ROUND(MIN(IF(C730="Técnico III",35,IF(C730="Técnico II",28,IF(C730="Técnico I",23,IF(C730="JR",20,IF(C730="Estágio",10,0))))),IF(C730="Técnico III",SUMIFS($D:$D,$A:$A,$A730,$B:$B,"&lt;&gt;Patrícia Karla de Sousa Araújo",$B:$B,"&lt;&gt;Lorena Dias de Araujo",$B:$B,"&lt;&gt;Lucas Luiz Romero")*(35/1083),IF(C730="Técnico II",SUMIFS($D:$D,$A:$A,$A730,$B:$B,"&lt;&gt;Patrícia Karla de Sousa Araújo",$B:$B,"&lt;&gt;Lorena Dias de Araujo",$B:$B,"&lt;&gt;Lucas Luiz Romero")*(28/1083),IF(C730="Técnico I",SUMIFS($D:$D,$A:$A,$A730,$B:$B,"&lt;&gt;Patrícia Karla de Sousa Araújo",$B:$B,"&lt;&gt;Lorena Dias de Araujo",$B:$B,"&lt;&gt;Lucas Luiz Romero")*(23/1083),IF(C730="JR",SUMIFS($D:$D,$A:$A,$A730,$B:$B,"&lt;&gt;Patrícia Karla de Sousa Araújo",$B:$B,"&lt;&gt;Lorena Dias de Araujo",$B:$B,"&lt;&gt;Lucas Luiz Romero")*(20/1083),IF(C730="Estágio",SUMIFS($D:$D,$A:$A,$A730,$B:$B,"&lt;&gt;Patrícia Karla de Sousa Araújo",$B:$B,"&lt;&gt;Lorena Dias de Araujo",$B:$B,"&lt;&gt;Lucas Luiz Romero")*(10/1083),0)))))),0)</f>
        <v/>
      </c>
      <c r="K730" s="3">
        <f>I730-J730</f>
        <v/>
      </c>
      <c r="L730" s="3">
        <f>IF(K730&lt;-5,"CRÍTICO",IF(K730&lt;0,"ATENÇÃO",IF(K730&lt;=5,"BOM","EXCELENTE")))</f>
        <v/>
      </c>
      <c r="M730" t="n">
        <v>21</v>
      </c>
      <c r="N730" t="n">
        <v>98.63</v>
      </c>
      <c r="O730" t="n">
        <v>15.75757575757576</v>
      </c>
    </row>
    <row r="731" hidden="1">
      <c r="A731" s="5" t="n">
        <v>46160</v>
      </c>
      <c r="B731" s="6" t="inlineStr">
        <is>
          <t>Jessica Faria da Silveira</t>
        </is>
      </c>
      <c r="C731" s="3" t="inlineStr">
        <is>
          <t>Técnico II</t>
        </is>
      </c>
      <c r="D731" s="3" t="n">
        <v>28</v>
      </c>
      <c r="E731" s="3" t="n">
        <v>22</v>
      </c>
      <c r="F731" t="n">
        <v>17.15</v>
      </c>
      <c r="G731" s="3" t="n">
        <v>0</v>
      </c>
      <c r="H731" s="3" t="n">
        <v>0</v>
      </c>
      <c r="I731" s="3">
        <f>E731+G731+H731</f>
        <v/>
      </c>
      <c r="J731" s="3">
        <f>ROUND(MIN(IF(C731="Técnico III",35,IF(C731="Técnico II",28,IF(C731="Técnico I",23,IF(C731="JR",20,IF(C731="Estágio",10,0))))),IF(C731="Técnico III",SUMIFS($D:$D,$A:$A,$A731,$B:$B,"&lt;&gt;Patrícia Karla de Sousa Araújo",$B:$B,"&lt;&gt;Lorena Dias de Araujo",$B:$B,"&lt;&gt;Lucas Luiz Romero")*(35/1083),IF(C731="Técnico II",SUMIFS($D:$D,$A:$A,$A731,$B:$B,"&lt;&gt;Patrícia Karla de Sousa Araújo",$B:$B,"&lt;&gt;Lorena Dias de Araujo",$B:$B,"&lt;&gt;Lucas Luiz Romero")*(28/1083),IF(C731="Técnico I",SUMIFS($D:$D,$A:$A,$A731,$B:$B,"&lt;&gt;Patrícia Karla de Sousa Araújo",$B:$B,"&lt;&gt;Lorena Dias de Araujo",$B:$B,"&lt;&gt;Lucas Luiz Romero")*(23/1083),IF(C731="JR",SUMIFS($D:$D,$A:$A,$A731,$B:$B,"&lt;&gt;Patrícia Karla de Sousa Araújo",$B:$B,"&lt;&gt;Lorena Dias de Araujo",$B:$B,"&lt;&gt;Lucas Luiz Romero")*(20/1083),IF(C731="Estágio",SUMIFS($D:$D,$A:$A,$A731,$B:$B,"&lt;&gt;Patrícia Karla de Sousa Araújo",$B:$B,"&lt;&gt;Lorena Dias de Araujo",$B:$B,"&lt;&gt;Lucas Luiz Romero")*(10/1083),0)))))),0)</f>
        <v/>
      </c>
      <c r="K731" s="3">
        <f>I731-J731</f>
        <v/>
      </c>
      <c r="L731" s="3">
        <f>IF(K731&lt;-5,"CRÍTICO",IF(K731&lt;0,"ATENÇÃO",IF(K731&lt;=5,"BOM","EXCELENTE")))</f>
        <v/>
      </c>
      <c r="M731" t="n">
        <v>19</v>
      </c>
      <c r="N731" t="n">
        <v>98.61</v>
      </c>
      <c r="O731" t="n">
        <v>16.97530864197531</v>
      </c>
    </row>
    <row r="732" hidden="1">
      <c r="A732" s="5" t="n">
        <v>46160</v>
      </c>
      <c r="B732" s="6" t="inlineStr">
        <is>
          <t>Lizandra Gomes Duarte</t>
        </is>
      </c>
      <c r="C732" s="3" t="inlineStr">
        <is>
          <t>Técnico II</t>
        </is>
      </c>
      <c r="D732" s="3" t="n">
        <v>25</v>
      </c>
      <c r="E732" s="3" t="n">
        <v>23</v>
      </c>
      <c r="F732" t="n">
        <v>16.55</v>
      </c>
      <c r="G732" s="3" t="n">
        <v>2</v>
      </c>
      <c r="H732" s="3" t="n">
        <v>0</v>
      </c>
      <c r="I732" s="3">
        <f>E732+G732+H732</f>
        <v/>
      </c>
      <c r="J732" s="3">
        <f>ROUND(MIN(IF(C732="Técnico III",35,IF(C732="Técnico II",28,IF(C732="Técnico I",23,IF(C732="JR",20,IF(C732="Estágio",10,0))))),IF(C732="Técnico III",SUMIFS($D:$D,$A:$A,$A732,$B:$B,"&lt;&gt;Patrícia Karla de Sousa Araújo",$B:$B,"&lt;&gt;Lorena Dias de Araujo",$B:$B,"&lt;&gt;Lucas Luiz Romero")*(35/1083),IF(C732="Técnico II",SUMIFS($D:$D,$A:$A,$A732,$B:$B,"&lt;&gt;Patrícia Karla de Sousa Araújo",$B:$B,"&lt;&gt;Lorena Dias de Araujo",$B:$B,"&lt;&gt;Lucas Luiz Romero")*(28/1083),IF(C732="Técnico I",SUMIFS($D:$D,$A:$A,$A732,$B:$B,"&lt;&gt;Patrícia Karla de Sousa Araújo",$B:$B,"&lt;&gt;Lorena Dias de Araujo",$B:$B,"&lt;&gt;Lucas Luiz Romero")*(23/1083),IF(C732="JR",SUMIFS($D:$D,$A:$A,$A732,$B:$B,"&lt;&gt;Patrícia Karla de Sousa Araújo",$B:$B,"&lt;&gt;Lorena Dias de Araujo",$B:$B,"&lt;&gt;Lucas Luiz Romero")*(20/1083),IF(C732="Estágio",SUMIFS($D:$D,$A:$A,$A732,$B:$B,"&lt;&gt;Patrícia Karla de Sousa Araújo",$B:$B,"&lt;&gt;Lorena Dias de Araujo",$B:$B,"&lt;&gt;Lucas Luiz Romero")*(10/1083),0)))))),0)</f>
        <v/>
      </c>
      <c r="K732" s="3">
        <f>I732-J732</f>
        <v/>
      </c>
      <c r="L732" s="3">
        <f>IF(K732&lt;-5,"CRÍTICO",IF(K732&lt;0,"ATENÇÃO",IF(K732&lt;=5,"BOM","EXCELENTE")))</f>
        <v/>
      </c>
      <c r="M732" t="n">
        <v>20</v>
      </c>
      <c r="N732" t="n">
        <v>98.61</v>
      </c>
      <c r="O732" t="n">
        <v>16.86746987951807</v>
      </c>
    </row>
    <row r="733" hidden="1">
      <c r="A733" s="5" t="n">
        <v>46160</v>
      </c>
      <c r="B733" s="6" t="inlineStr">
        <is>
          <t>Lorena Dias de Araujo</t>
        </is>
      </c>
      <c r="C733" s="3" t="inlineStr">
        <is>
          <t>Técnico II</t>
        </is>
      </c>
      <c r="D733" s="3" t="n">
        <v>28</v>
      </c>
      <c r="E733" s="3" t="n">
        <v>26</v>
      </c>
      <c r="F733" t="n">
        <v>13.58</v>
      </c>
      <c r="G733" s="3" t="n">
        <v>0</v>
      </c>
      <c r="H733" s="3" t="n">
        <v>0</v>
      </c>
      <c r="I733" s="3" t="n">
        <v>0</v>
      </c>
      <c r="J733" s="3" t="n">
        <v>0</v>
      </c>
      <c r="K733" s="3" t="n">
        <v>0</v>
      </c>
      <c r="L733" s="3">
        <f>IF(K733&lt;-5,"CRÍTICO",IF(K733&lt;0,"ATENÇÃO",IF(K733&lt;=5,"BOM","EXCELENTE")))</f>
        <v/>
      </c>
      <c r="M733" t="n">
        <v>23</v>
      </c>
      <c r="N733" t="n">
        <v>100</v>
      </c>
      <c r="O733" t="n">
        <v>20.82018927444795</v>
      </c>
    </row>
    <row r="734" hidden="1">
      <c r="A734" s="5" t="n">
        <v>46160</v>
      </c>
      <c r="B734" s="6" t="inlineStr">
        <is>
          <t>Patrícia Karla de Sousa Araújo</t>
        </is>
      </c>
      <c r="C734" s="3" t="inlineStr">
        <is>
          <t>Técnico II</t>
        </is>
      </c>
      <c r="D734" s="3" t="n">
        <v>16</v>
      </c>
      <c r="E734" s="3" t="n">
        <v>15</v>
      </c>
      <c r="F734" t="n">
        <v>19.19</v>
      </c>
      <c r="G734" s="3" t="n">
        <v>0</v>
      </c>
      <c r="H734" s="3" t="n">
        <v>0</v>
      </c>
      <c r="I734" s="3">
        <f>E734+G734+H734</f>
        <v/>
      </c>
      <c r="J734" s="3">
        <f>ROUND(MIN(IF(C734="Técnico III",35,IF(C734="Técnico II",28,IF(C734="Técnico I",23,IF(C734="JR",20,IF(C734="Estágio",10,0))))),IF(C734="Técnico III",SUMIFS($D:$D,$A:$A,$A734,$B:$B,"&lt;&gt;Patrícia Karla de Sousa Araújo",$B:$B,"&lt;&gt;Lorena Dias de Araujo",$B:$B,"&lt;&gt;Lucas Luiz Romero")*(35/1083),IF(C734="Técnico II",SUMIFS($D:$D,$A:$A,$A734,$B:$B,"&lt;&gt;Patrícia Karla de Sousa Araújo",$B:$B,"&lt;&gt;Lorena Dias de Araujo",$B:$B,"&lt;&gt;Lucas Luiz Romero")*(28/1083),IF(C734="Técnico I",SUMIFS($D:$D,$A:$A,$A734,$B:$B,"&lt;&gt;Patrícia Karla de Sousa Araújo",$B:$B,"&lt;&gt;Lorena Dias de Araujo",$B:$B,"&lt;&gt;Lucas Luiz Romero")*(23/1083),IF(C734="JR",SUMIFS($D:$D,$A:$A,$A734,$B:$B,"&lt;&gt;Patrícia Karla de Sousa Araújo",$B:$B,"&lt;&gt;Lorena Dias de Araujo",$B:$B,"&lt;&gt;Lucas Luiz Romero")*(20/1083),IF(C734="Estágio",SUMIFS($D:$D,$A:$A,$A734,$B:$B,"&lt;&gt;Patrícia Karla de Sousa Araújo",$B:$B,"&lt;&gt;Lorena Dias de Araujo",$B:$B,"&lt;&gt;Lucas Luiz Romero")*(10/1083),0)))))),0)</f>
        <v/>
      </c>
      <c r="K734" s="3">
        <f>I734-J734</f>
        <v/>
      </c>
      <c r="L734" s="3">
        <f>IF(K734&lt;-5,"CRÍTICO",IF(K734&lt;0,"ATENÇÃO",IF(K734&lt;=5,"BOM","EXCELENTE")))</f>
        <v/>
      </c>
      <c r="M734" t="n">
        <v>13</v>
      </c>
      <c r="N734" t="n">
        <v>100</v>
      </c>
      <c r="O734" t="n">
        <v>16.89497716894977</v>
      </c>
    </row>
    <row r="735" hidden="1">
      <c r="A735" s="7" t="n">
        <v>46161</v>
      </c>
      <c r="B735" s="8" t="inlineStr">
        <is>
          <t>Alisson de Freitas Silva</t>
        </is>
      </c>
      <c r="C735" s="9" t="inlineStr">
        <is>
          <t>Técnico II</t>
        </is>
      </c>
      <c r="D735" s="3" t="n">
        <v>38</v>
      </c>
      <c r="E735" s="3" t="n">
        <v>33</v>
      </c>
      <c r="F735" t="n">
        <v>12.17</v>
      </c>
      <c r="G735" s="3" t="n">
        <v>1</v>
      </c>
      <c r="H735" s="3" t="n">
        <v>0</v>
      </c>
      <c r="I735" s="3">
        <f>E735+G735+H735</f>
        <v/>
      </c>
      <c r="J735" s="3">
        <f>ROUND(MIN(IF(C735="Técnico III",35,IF(C735="Técnico II",28,IF(C735="Técnico I",23,IF(C735="JR",20,IF(C735="Estágio",10,0))))),IF(C735="Técnico III",SUMIFS($D:$D,$A:$A,$A735,$B:$B,"&lt;&gt;Patrícia Karla de Sousa Araújo",$B:$B,"&lt;&gt;Lorena Dias de Araujo",$B:$B,"&lt;&gt;Lucas Luiz Romero")*(35/1083),IF(C735="Técnico II",SUMIFS($D:$D,$A:$A,$A735,$B:$B,"&lt;&gt;Patrícia Karla de Sousa Araújo",$B:$B,"&lt;&gt;Lorena Dias de Araujo",$B:$B,"&lt;&gt;Lucas Luiz Romero")*(28/1083),IF(C735="Técnico I",SUMIFS($D:$D,$A:$A,$A735,$B:$B,"&lt;&gt;Patrícia Karla de Sousa Araújo",$B:$B,"&lt;&gt;Lorena Dias de Araujo",$B:$B,"&lt;&gt;Lucas Luiz Romero")*(23/1083),IF(C735="JR",SUMIFS($D:$D,$A:$A,$A735,$B:$B,"&lt;&gt;Patrícia Karla de Sousa Araújo",$B:$B,"&lt;&gt;Lorena Dias de Araujo",$B:$B,"&lt;&gt;Lucas Luiz Romero")*(20/1083),IF(C735="Estágio",SUMIFS($D:$D,$A:$A,$A735,$B:$B,"&lt;&gt;Patrícia Karla de Sousa Araújo",$B:$B,"&lt;&gt;Lorena Dias de Araujo",$B:$B,"&lt;&gt;Lucas Luiz Romero")*(10/1083),0)))))),0)</f>
        <v/>
      </c>
      <c r="K735" s="3">
        <f>I735-J735</f>
        <v/>
      </c>
      <c r="L735" s="3">
        <f>IF(K735&lt;-5,"CRÍTICO",IF(K735&lt;0,"ATENÇÃO",IF(K735&lt;=5,"BOM","EXCELENTE")))</f>
        <v/>
      </c>
      <c r="M735" s="3" t="n">
        <v>17</v>
      </c>
      <c r="N735" s="3" t="n">
        <v>98.94</v>
      </c>
      <c r="O735" s="3" t="n">
        <v>19.61414790996785</v>
      </c>
    </row>
    <row r="736" hidden="1">
      <c r="A736" s="7" t="n">
        <v>46161</v>
      </c>
      <c r="B736" s="8" t="inlineStr">
        <is>
          <t>Brenda de Menezes Silva</t>
        </is>
      </c>
      <c r="C736" s="9" t="inlineStr">
        <is>
          <t>Técnico II</t>
        </is>
      </c>
      <c r="D736" s="3" t="n">
        <v>33</v>
      </c>
      <c r="E736" s="3" t="n">
        <v>31</v>
      </c>
      <c r="F736" t="n">
        <v>16.46</v>
      </c>
      <c r="G736" s="3" t="n">
        <v>3</v>
      </c>
      <c r="H736" s="3" t="n">
        <v>0</v>
      </c>
      <c r="I736" s="3">
        <f>E736+G736+H736</f>
        <v/>
      </c>
      <c r="J736" s="3">
        <f>ROUND(MIN(IF(C736="Técnico III",35,IF(C736="Técnico II",28,IF(C736="Técnico I",23,IF(C736="JR",20,IF(C736="Estágio",10,0))))),IF(C736="Técnico III",SUMIFS($D:$D,$A:$A,$A736,$B:$B,"&lt;&gt;Patrícia Karla de Sousa Araújo",$B:$B,"&lt;&gt;Lorena Dias de Araujo",$B:$B,"&lt;&gt;Lucas Luiz Romero")*(35/1083),IF(C736="Técnico II",SUMIFS($D:$D,$A:$A,$A736,$B:$B,"&lt;&gt;Patrícia Karla de Sousa Araújo",$B:$B,"&lt;&gt;Lorena Dias de Araujo",$B:$B,"&lt;&gt;Lucas Luiz Romero")*(28/1083),IF(C736="Técnico I",SUMIFS($D:$D,$A:$A,$A736,$B:$B,"&lt;&gt;Patrícia Karla de Sousa Araújo",$B:$B,"&lt;&gt;Lorena Dias de Araujo",$B:$B,"&lt;&gt;Lucas Luiz Romero")*(23/1083),IF(C736="JR",SUMIFS($D:$D,$A:$A,$A736,$B:$B,"&lt;&gt;Patrícia Karla de Sousa Araújo",$B:$B,"&lt;&gt;Lorena Dias de Araujo",$B:$B,"&lt;&gt;Lucas Luiz Romero")*(20/1083),IF(C736="Estágio",SUMIFS($D:$D,$A:$A,$A736,$B:$B,"&lt;&gt;Patrícia Karla de Sousa Araújo",$B:$B,"&lt;&gt;Lorena Dias de Araujo",$B:$B,"&lt;&gt;Lucas Luiz Romero")*(10/1083),0)))))),0)</f>
        <v/>
      </c>
      <c r="K736" s="3">
        <f>I736-J736</f>
        <v/>
      </c>
      <c r="L736" s="3">
        <f>IF(K736&lt;-5,"CRÍTICO",IF(K736&lt;0,"ATENÇÃO",IF(K736&lt;=5,"BOM","EXCELENTE")))</f>
        <v/>
      </c>
      <c r="M736" t="n">
        <v>33</v>
      </c>
      <c r="N736" t="n">
        <v>99.13</v>
      </c>
      <c r="O736" t="n">
        <v>14.7239263803681</v>
      </c>
    </row>
    <row r="737" hidden="1">
      <c r="A737" s="7" t="n">
        <v>46161</v>
      </c>
      <c r="B737" s="8" t="inlineStr">
        <is>
          <t>Carlos Mateus Cassimiro Nunes</t>
        </is>
      </c>
      <c r="C737" s="9" t="inlineStr">
        <is>
          <t>Técnico II</t>
        </is>
      </c>
      <c r="D737" s="3" t="n">
        <v>33</v>
      </c>
      <c r="E737" s="3" t="n">
        <v>32</v>
      </c>
      <c r="F737" t="n">
        <v>16.54</v>
      </c>
      <c r="G737" s="3" t="n">
        <v>2</v>
      </c>
      <c r="H737" s="3" t="n">
        <v>0</v>
      </c>
      <c r="I737" s="3">
        <f>E737+G737+H737</f>
        <v/>
      </c>
      <c r="J737" s="3">
        <f>ROUND(MIN(IF(C737="Técnico III",35,IF(C737="Técnico II",28,IF(C737="Técnico I",23,IF(C737="JR",20,IF(C737="Estágio",10,0))))),IF(C737="Técnico III",SUMIFS($D:$D,$A:$A,$A737,$B:$B,"&lt;&gt;Patrícia Karla de Sousa Araújo",$B:$B,"&lt;&gt;Lorena Dias de Araujo",$B:$B,"&lt;&gt;Lucas Luiz Romero")*(35/1083),IF(C737="Técnico II",SUMIFS($D:$D,$A:$A,$A737,$B:$B,"&lt;&gt;Patrícia Karla de Sousa Araújo",$B:$B,"&lt;&gt;Lorena Dias de Araujo",$B:$B,"&lt;&gt;Lucas Luiz Romero")*(28/1083),IF(C737="Técnico I",SUMIFS($D:$D,$A:$A,$A737,$B:$B,"&lt;&gt;Patrícia Karla de Sousa Araújo",$B:$B,"&lt;&gt;Lorena Dias de Araujo",$B:$B,"&lt;&gt;Lucas Luiz Romero")*(23/1083),IF(C737="JR",SUMIFS($D:$D,$A:$A,$A737,$B:$B,"&lt;&gt;Patrícia Karla de Sousa Araújo",$B:$B,"&lt;&gt;Lorena Dias de Araujo",$B:$B,"&lt;&gt;Lucas Luiz Romero")*(20/1083),IF(C737="Estágio",SUMIFS($D:$D,$A:$A,$A737,$B:$B,"&lt;&gt;Patrícia Karla de Sousa Araújo",$B:$B,"&lt;&gt;Lorena Dias de Araujo",$B:$B,"&lt;&gt;Lucas Luiz Romero")*(10/1083),0)))))),0)</f>
        <v/>
      </c>
      <c r="K737" s="3">
        <f>I737-J737</f>
        <v/>
      </c>
      <c r="L737" s="3">
        <f>IF(K737&lt;-5,"CRÍTICO",IF(K737&lt;0,"ATENÇÃO",IF(K737&lt;=5,"BOM","EXCELENTE")))</f>
        <v/>
      </c>
      <c r="M737" t="n">
        <v>29</v>
      </c>
      <c r="N737" t="n">
        <v>98.8</v>
      </c>
      <c r="O737" t="n">
        <v>16.89750692520776</v>
      </c>
    </row>
    <row r="738" hidden="1">
      <c r="A738" s="7" t="n">
        <v>46161</v>
      </c>
      <c r="B738" s="8" t="inlineStr">
        <is>
          <t>Damyllis Lorraine de Oliveira Gonçalves</t>
        </is>
      </c>
      <c r="C738" s="9" t="inlineStr">
        <is>
          <t>Técnico II</t>
        </is>
      </c>
      <c r="D738" s="3" t="n">
        <v>0</v>
      </c>
      <c r="E738" s="3" t="n">
        <v>0</v>
      </c>
      <c r="F738" s="3" t="n">
        <v>0</v>
      </c>
      <c r="G738" s="3" t="n">
        <v>0</v>
      </c>
      <c r="H738" s="3" t="n">
        <v>0</v>
      </c>
      <c r="I738" s="3" t="n">
        <v>0</v>
      </c>
      <c r="J738" s="3" t="n">
        <v>0</v>
      </c>
      <c r="K738" s="3" t="n">
        <v>0</v>
      </c>
      <c r="L738" s="3">
        <f>IF(K738&lt;-5,"CRÍTICO",IF(K738&lt;0,"ATENÇÃO",IF(K738&lt;=5,"BOM","EXCELENTE")))</f>
        <v/>
      </c>
      <c r="M738" s="9" t="n">
        <v>0</v>
      </c>
      <c r="N738" s="9" t="n">
        <v>98.63</v>
      </c>
      <c r="O738" s="9" t="n">
        <v>18.75</v>
      </c>
    </row>
    <row r="739" hidden="1">
      <c r="A739" s="7" t="n">
        <v>46161</v>
      </c>
      <c r="B739" s="8" t="inlineStr">
        <is>
          <t>Emilly Kamilly Medeiros Miranda</t>
        </is>
      </c>
      <c r="C739" s="9" t="inlineStr">
        <is>
          <t>Técnico II</t>
        </is>
      </c>
      <c r="D739" s="3" t="n">
        <v>23</v>
      </c>
      <c r="E739" s="3" t="n">
        <v>22</v>
      </c>
      <c r="F739" t="n">
        <v>13.4</v>
      </c>
      <c r="G739" s="3" t="n">
        <v>2</v>
      </c>
      <c r="H739" s="3" t="n">
        <v>0</v>
      </c>
      <c r="I739" s="3">
        <f>E739+G739+H739</f>
        <v/>
      </c>
      <c r="J739" s="3">
        <f>ROUND(MIN(IF(C739="Técnico III",35,IF(C739="Técnico II",28,IF(C739="Técnico I",23,IF(C739="JR",20,IF(C739="Estágio",10,0))))),IF(C739="Técnico III",SUMIFS($D:$D,$A:$A,$A739,$B:$B,"&lt;&gt;Patrícia Karla de Sousa Araújo",$B:$B,"&lt;&gt;Lorena Dias de Araujo",$B:$B,"&lt;&gt;Lucas Luiz Romero")*(35/1083),IF(C739="Técnico II",SUMIFS($D:$D,$A:$A,$A739,$B:$B,"&lt;&gt;Patrícia Karla de Sousa Araújo",$B:$B,"&lt;&gt;Lorena Dias de Araujo",$B:$B,"&lt;&gt;Lucas Luiz Romero")*(28/1083),IF(C739="Técnico I",SUMIFS($D:$D,$A:$A,$A739,$B:$B,"&lt;&gt;Patrícia Karla de Sousa Araújo",$B:$B,"&lt;&gt;Lorena Dias de Araujo",$B:$B,"&lt;&gt;Lucas Luiz Romero")*(23/1083),IF(C739="JR",SUMIFS($D:$D,$A:$A,$A739,$B:$B,"&lt;&gt;Patrícia Karla de Sousa Araújo",$B:$B,"&lt;&gt;Lorena Dias de Araujo",$B:$B,"&lt;&gt;Lucas Luiz Romero")*(20/1083),IF(C739="Estágio",SUMIFS($D:$D,$A:$A,$A739,$B:$B,"&lt;&gt;Patrícia Karla de Sousa Araújo",$B:$B,"&lt;&gt;Lorena Dias de Araujo",$B:$B,"&lt;&gt;Lucas Luiz Romero")*(10/1083),0)))))),0)</f>
        <v/>
      </c>
      <c r="K739" s="3">
        <f>I739-J739</f>
        <v/>
      </c>
      <c r="L739" s="3">
        <f>IF(K739&lt;-5,"CRÍTICO",IF(K739&lt;0,"ATENÇÃO",IF(K739&lt;=5,"BOM","EXCELENTE")))</f>
        <v/>
      </c>
      <c r="M739" t="n">
        <v>23</v>
      </c>
      <c r="N739" t="n">
        <v>100</v>
      </c>
      <c r="O739" t="n">
        <v>13.8121546961326</v>
      </c>
    </row>
    <row r="740" hidden="1">
      <c r="A740" s="7" t="n">
        <v>46161</v>
      </c>
      <c r="B740" s="8" t="inlineStr">
        <is>
          <t>Francilene Ferreira de Jesus</t>
        </is>
      </c>
      <c r="C740" s="9" t="inlineStr">
        <is>
          <t>Técnico II</t>
        </is>
      </c>
      <c r="D740" s="3" t="n">
        <v>0</v>
      </c>
      <c r="E740" s="3" t="n">
        <v>0</v>
      </c>
      <c r="F740" s="3" t="n">
        <v>0</v>
      </c>
      <c r="G740" s="3" t="n">
        <v>0</v>
      </c>
      <c r="H740" s="3" t="n">
        <v>0</v>
      </c>
      <c r="I740" s="3" t="n">
        <v>0</v>
      </c>
      <c r="J740" s="3" t="n">
        <v>0</v>
      </c>
      <c r="K740" s="3" t="n">
        <v>0</v>
      </c>
      <c r="L740" s="3">
        <f>IF(K740&lt;-5,"CRÍTICO",IF(K740&lt;0,"ATENÇÃO",IF(K740&lt;=5,"BOM","EXCELENTE")))</f>
        <v/>
      </c>
      <c r="M740" s="9" t="n">
        <v>0</v>
      </c>
      <c r="N740" s="9" t="n">
        <v>100</v>
      </c>
      <c r="O740" s="9" t="n">
        <v>17.24137931034483</v>
      </c>
    </row>
    <row r="741" hidden="1">
      <c r="A741" s="7" t="n">
        <v>46161</v>
      </c>
      <c r="B741" s="8" t="inlineStr">
        <is>
          <t>Isabella Borges de Oliveira</t>
        </is>
      </c>
      <c r="C741" s="9" t="inlineStr">
        <is>
          <t>Técnico II</t>
        </is>
      </c>
      <c r="D741" s="3" t="n">
        <v>28</v>
      </c>
      <c r="E741" s="3" t="n">
        <v>25</v>
      </c>
      <c r="F741" t="n">
        <v>16.55</v>
      </c>
      <c r="G741" s="3" t="n">
        <v>0</v>
      </c>
      <c r="H741" s="3" t="n">
        <v>0</v>
      </c>
      <c r="I741" s="3">
        <f>E741+G741+H741</f>
        <v/>
      </c>
      <c r="J741" s="3">
        <f>ROUND(MIN(IF(C741="Técnico III",35,IF(C741="Técnico II",28,IF(C741="Técnico I",23,IF(C741="JR",20,IF(C741="Estágio",10,0))))),IF(C741="Técnico III",SUMIFS($D:$D,$A:$A,$A741,$B:$B,"&lt;&gt;Patrícia Karla de Sousa Araújo",$B:$B,"&lt;&gt;Lorena Dias de Araujo",$B:$B,"&lt;&gt;Lucas Luiz Romero")*(35/1083),IF(C741="Técnico II",SUMIFS($D:$D,$A:$A,$A741,$B:$B,"&lt;&gt;Patrícia Karla de Sousa Araújo",$B:$B,"&lt;&gt;Lorena Dias de Araujo",$B:$B,"&lt;&gt;Lucas Luiz Romero")*(28/1083),IF(C741="Técnico I",SUMIFS($D:$D,$A:$A,$A741,$B:$B,"&lt;&gt;Patrícia Karla de Sousa Araújo",$B:$B,"&lt;&gt;Lorena Dias de Araujo",$B:$B,"&lt;&gt;Lucas Luiz Romero")*(23/1083),IF(C741="JR",SUMIFS($D:$D,$A:$A,$A741,$B:$B,"&lt;&gt;Patrícia Karla de Sousa Araújo",$B:$B,"&lt;&gt;Lorena Dias de Araujo",$B:$B,"&lt;&gt;Lucas Luiz Romero")*(20/1083),IF(C741="Estágio",SUMIFS($D:$D,$A:$A,$A741,$B:$B,"&lt;&gt;Patrícia Karla de Sousa Araújo",$B:$B,"&lt;&gt;Lorena Dias de Araujo",$B:$B,"&lt;&gt;Lucas Luiz Romero")*(10/1083),0)))))),0)</f>
        <v/>
      </c>
      <c r="K741" s="3">
        <f>I741-J741</f>
        <v/>
      </c>
      <c r="L741" s="3">
        <f>IF(K741&lt;-5,"CRÍTICO",IF(K741&lt;0,"ATENÇÃO",IF(K741&lt;=5,"BOM","EXCELENTE")))</f>
        <v/>
      </c>
      <c r="M741" t="n">
        <v>22</v>
      </c>
      <c r="N741" t="n">
        <v>98.63</v>
      </c>
      <c r="O741" t="n">
        <v>15.75757575757576</v>
      </c>
    </row>
    <row r="742" hidden="1">
      <c r="A742" s="7" t="n">
        <v>46161</v>
      </c>
      <c r="B742" s="8" t="inlineStr">
        <is>
          <t>Jessica Faria da Silveira</t>
        </is>
      </c>
      <c r="C742" s="9" t="inlineStr">
        <is>
          <t>Técnico II</t>
        </is>
      </c>
      <c r="D742" s="3" t="n">
        <v>24</v>
      </c>
      <c r="E742" s="3" t="n">
        <v>20</v>
      </c>
      <c r="F742" t="n">
        <v>17</v>
      </c>
      <c r="G742" s="3" t="n">
        <v>2</v>
      </c>
      <c r="H742" s="3" t="n">
        <v>0</v>
      </c>
      <c r="I742" s="3">
        <f>E742+G742+H742</f>
        <v/>
      </c>
      <c r="J742" s="3">
        <f>ROUND(MIN(IF(C742="Técnico III",35,IF(C742="Técnico II",28,IF(C742="Técnico I",23,IF(C742="JR",20,IF(C742="Estágio",10,0))))),IF(C742="Técnico III",SUMIFS($D:$D,$A:$A,$A742,$B:$B,"&lt;&gt;Patrícia Karla de Sousa Araújo",$B:$B,"&lt;&gt;Lorena Dias de Araujo",$B:$B,"&lt;&gt;Lucas Luiz Romero")*(35/1083),IF(C742="Técnico II",SUMIFS($D:$D,$A:$A,$A742,$B:$B,"&lt;&gt;Patrícia Karla de Sousa Araújo",$B:$B,"&lt;&gt;Lorena Dias de Araujo",$B:$B,"&lt;&gt;Lucas Luiz Romero")*(28/1083),IF(C742="Técnico I",SUMIFS($D:$D,$A:$A,$A742,$B:$B,"&lt;&gt;Patrícia Karla de Sousa Araújo",$B:$B,"&lt;&gt;Lorena Dias de Araujo",$B:$B,"&lt;&gt;Lucas Luiz Romero")*(23/1083),IF(C742="JR",SUMIFS($D:$D,$A:$A,$A742,$B:$B,"&lt;&gt;Patrícia Karla de Sousa Araújo",$B:$B,"&lt;&gt;Lorena Dias de Araujo",$B:$B,"&lt;&gt;Lucas Luiz Romero")*(20/1083),IF(C742="Estágio",SUMIFS($D:$D,$A:$A,$A742,$B:$B,"&lt;&gt;Patrícia Karla de Sousa Araújo",$B:$B,"&lt;&gt;Lorena Dias de Araujo",$B:$B,"&lt;&gt;Lucas Luiz Romero")*(10/1083),0)))))),0)</f>
        <v/>
      </c>
      <c r="K742" s="3">
        <f>I742-J742</f>
        <v/>
      </c>
      <c r="L742" s="3">
        <f>IF(K742&lt;-5,"CRÍTICO",IF(K742&lt;0,"ATENÇÃO",IF(K742&lt;=5,"BOM","EXCELENTE")))</f>
        <v/>
      </c>
      <c r="M742" t="n">
        <v>16</v>
      </c>
      <c r="N742" t="n">
        <v>98.61</v>
      </c>
      <c r="O742" t="n">
        <v>16.97530864197531</v>
      </c>
    </row>
    <row r="743" hidden="1">
      <c r="A743" s="7" t="n">
        <v>46161</v>
      </c>
      <c r="B743" s="8" t="inlineStr">
        <is>
          <t>Lizandra Gomes Duarte</t>
        </is>
      </c>
      <c r="C743" s="9" t="inlineStr">
        <is>
          <t>Técnico II</t>
        </is>
      </c>
      <c r="D743" s="3" t="n">
        <v>28</v>
      </c>
      <c r="E743" s="3" t="n">
        <v>25</v>
      </c>
      <c r="F743" t="n">
        <v>19.03</v>
      </c>
      <c r="G743" s="3" t="n">
        <v>3</v>
      </c>
      <c r="H743" s="3" t="n">
        <v>0</v>
      </c>
      <c r="I743" s="3">
        <f>E743+G743+H743</f>
        <v/>
      </c>
      <c r="J743" s="3">
        <f>ROUND(MIN(IF(C743="Técnico III",35,IF(C743="Técnico II",28,IF(C743="Técnico I",23,IF(C743="JR",20,IF(C743="Estágio",10,0))))),IF(C743="Técnico III",SUMIFS($D:$D,$A:$A,$A743,$B:$B,"&lt;&gt;Patrícia Karla de Sousa Araújo",$B:$B,"&lt;&gt;Lorena Dias de Araujo",$B:$B,"&lt;&gt;Lucas Luiz Romero")*(35/1083),IF(C743="Técnico II",SUMIFS($D:$D,$A:$A,$A743,$B:$B,"&lt;&gt;Patrícia Karla de Sousa Araújo",$B:$B,"&lt;&gt;Lorena Dias de Araujo",$B:$B,"&lt;&gt;Lucas Luiz Romero")*(28/1083),IF(C743="Técnico I",SUMIFS($D:$D,$A:$A,$A743,$B:$B,"&lt;&gt;Patrícia Karla de Sousa Araújo",$B:$B,"&lt;&gt;Lorena Dias de Araujo",$B:$B,"&lt;&gt;Lucas Luiz Romero")*(23/1083),IF(C743="JR",SUMIFS($D:$D,$A:$A,$A743,$B:$B,"&lt;&gt;Patrícia Karla de Sousa Araújo",$B:$B,"&lt;&gt;Lorena Dias de Araujo",$B:$B,"&lt;&gt;Lucas Luiz Romero")*(20/1083),IF(C743="Estágio",SUMIFS($D:$D,$A:$A,$A743,$B:$B,"&lt;&gt;Patrícia Karla de Sousa Araújo",$B:$B,"&lt;&gt;Lorena Dias de Araujo",$B:$B,"&lt;&gt;Lucas Luiz Romero")*(10/1083),0)))))),0)</f>
        <v/>
      </c>
      <c r="K743" s="3">
        <f>I743-J743</f>
        <v/>
      </c>
      <c r="L743" s="3">
        <f>IF(K743&lt;-5,"CRÍTICO",IF(K743&lt;0,"ATENÇÃO",IF(K743&lt;=5,"BOM","EXCELENTE")))</f>
        <v/>
      </c>
      <c r="M743" t="n">
        <v>45</v>
      </c>
      <c r="N743" t="n">
        <v>98.61</v>
      </c>
      <c r="O743" t="n">
        <v>16.86746987951807</v>
      </c>
    </row>
    <row r="744" hidden="1">
      <c r="A744" s="7" t="n">
        <v>46161</v>
      </c>
      <c r="B744" s="8" t="inlineStr">
        <is>
          <t>Lorena Dias de Araujo</t>
        </is>
      </c>
      <c r="C744" s="9" t="inlineStr">
        <is>
          <t>Técnico II</t>
        </is>
      </c>
      <c r="D744" s="3" t="n">
        <v>22</v>
      </c>
      <c r="E744" s="3" t="n">
        <v>21</v>
      </c>
      <c r="F744" t="n">
        <v>24.02</v>
      </c>
      <c r="G744" s="3" t="n">
        <v>0</v>
      </c>
      <c r="H744" s="3" t="n">
        <v>0</v>
      </c>
      <c r="I744" s="3" t="n">
        <v>0</v>
      </c>
      <c r="J744" s="3" t="n">
        <v>0</v>
      </c>
      <c r="K744" s="3" t="n">
        <v>0</v>
      </c>
      <c r="L744" s="3">
        <f>IF(K744&lt;-5,"CRÍTICO",IF(K744&lt;0,"ATENÇÃO",IF(K744&lt;=5,"BOM","EXCELENTE")))</f>
        <v/>
      </c>
      <c r="M744" t="n">
        <v>19</v>
      </c>
      <c r="N744" t="n">
        <v>100</v>
      </c>
      <c r="O744" t="n">
        <v>20.82018927444795</v>
      </c>
    </row>
    <row r="745" hidden="1">
      <c r="A745" s="7" t="n">
        <v>46161</v>
      </c>
      <c r="B745" s="8" t="inlineStr">
        <is>
          <t>Patrícia Karla de Sousa Araújo</t>
        </is>
      </c>
      <c r="C745" s="9" t="inlineStr">
        <is>
          <t>Técnico II</t>
        </is>
      </c>
      <c r="D745" s="3" t="n">
        <v>25</v>
      </c>
      <c r="E745" s="3" t="n">
        <v>23</v>
      </c>
      <c r="F745" t="n">
        <v>17.03</v>
      </c>
      <c r="G745" s="3" t="n">
        <v>0</v>
      </c>
      <c r="H745" s="3" t="n">
        <v>0</v>
      </c>
      <c r="I745" s="3">
        <f>E745+G745+H745</f>
        <v/>
      </c>
      <c r="J745" s="3">
        <f>ROUND(MIN(IF(C745="Técnico III",35,IF(C745="Técnico II",28,IF(C745="Técnico I",23,IF(C745="JR",20,IF(C745="Estágio",10,0))))),IF(C745="Técnico III",SUMIFS($D:$D,$A:$A,$A745,$B:$B,"&lt;&gt;Patrícia Karla de Sousa Araújo",$B:$B,"&lt;&gt;Lorena Dias de Araujo",$B:$B,"&lt;&gt;Lucas Luiz Romero")*(35/1083),IF(C745="Técnico II",SUMIFS($D:$D,$A:$A,$A745,$B:$B,"&lt;&gt;Patrícia Karla de Sousa Araújo",$B:$B,"&lt;&gt;Lorena Dias de Araujo",$B:$B,"&lt;&gt;Lucas Luiz Romero")*(28/1083),IF(C745="Técnico I",SUMIFS($D:$D,$A:$A,$A745,$B:$B,"&lt;&gt;Patrícia Karla de Sousa Araújo",$B:$B,"&lt;&gt;Lorena Dias de Araujo",$B:$B,"&lt;&gt;Lucas Luiz Romero")*(23/1083),IF(C745="JR",SUMIFS($D:$D,$A:$A,$A745,$B:$B,"&lt;&gt;Patrícia Karla de Sousa Araújo",$B:$B,"&lt;&gt;Lorena Dias de Araujo",$B:$B,"&lt;&gt;Lucas Luiz Romero")*(20/1083),IF(C745="Estágio",SUMIFS($D:$D,$A:$A,$A745,$B:$B,"&lt;&gt;Patrícia Karla de Sousa Araújo",$B:$B,"&lt;&gt;Lorena Dias de Araujo",$B:$B,"&lt;&gt;Lucas Luiz Romero")*(10/1083),0)))))),0)</f>
        <v/>
      </c>
      <c r="K745" s="3">
        <f>I745-J745</f>
        <v/>
      </c>
      <c r="L745" s="3">
        <f>IF(K745&lt;-5,"CRÍTICO",IF(K745&lt;0,"ATENÇÃO",IF(K745&lt;=5,"BOM","EXCELENTE")))</f>
        <v/>
      </c>
      <c r="M745" t="n">
        <v>22</v>
      </c>
      <c r="N745" t="n">
        <v>100</v>
      </c>
      <c r="O745" t="n">
        <v>16.89497716894977</v>
      </c>
    </row>
    <row r="746" hidden="1">
      <c r="A746" s="7" t="n">
        <v>46162</v>
      </c>
      <c r="B746" s="8" t="inlineStr">
        <is>
          <t>Alisson de Freitas Silva</t>
        </is>
      </c>
      <c r="C746" s="9" t="inlineStr">
        <is>
          <t>Técnico II</t>
        </is>
      </c>
      <c r="D746" s="3" t="n">
        <v>36</v>
      </c>
      <c r="E746" s="3" t="n">
        <v>25</v>
      </c>
      <c r="F746" s="3" t="n">
        <v>11.43</v>
      </c>
      <c r="G746" s="3" t="n">
        <v>6</v>
      </c>
      <c r="H746" s="3" t="n">
        <v>0</v>
      </c>
      <c r="I746" s="3">
        <f>E746+G746+H746</f>
        <v/>
      </c>
      <c r="J746" s="3">
        <f>ROUND(MIN(IF(C746="Técnico III",35,IF(C746="Técnico II",28,IF(C746="Técnico I",23,IF(C746="JR",20,IF(C746="Estágio",10,0))))),IF(C746="Técnico III",SUMIFS($D:$D,$A:$A,$A746,$B:$B,"&lt;&gt;Patrícia Karla de Sousa Araújo",$B:$B,"&lt;&gt;Lorena Dias de Araujo",$B:$B,"&lt;&gt;Lucas Luiz Romero")*(35/1083),IF(C746="Técnico II",SUMIFS($D:$D,$A:$A,$A746,$B:$B,"&lt;&gt;Patrícia Karla de Sousa Araújo",$B:$B,"&lt;&gt;Lorena Dias de Araujo",$B:$B,"&lt;&gt;Lucas Luiz Romero")*(28/1083),IF(C746="Técnico I",SUMIFS($D:$D,$A:$A,$A746,$B:$B,"&lt;&gt;Patrícia Karla de Sousa Araújo",$B:$B,"&lt;&gt;Lorena Dias de Araujo",$B:$B,"&lt;&gt;Lucas Luiz Romero")*(23/1083),IF(C746="JR",SUMIFS($D:$D,$A:$A,$A746,$B:$B,"&lt;&gt;Patrícia Karla de Sousa Araújo",$B:$B,"&lt;&gt;Lorena Dias de Araujo",$B:$B,"&lt;&gt;Lucas Luiz Romero")*(20/1083),IF(C746="Estágio",SUMIFS($D:$D,$A:$A,$A746,$B:$B,"&lt;&gt;Patrícia Karla de Sousa Araújo",$B:$B,"&lt;&gt;Lorena Dias de Araujo",$B:$B,"&lt;&gt;Lucas Luiz Romero")*(10/1083),0)))))),0)</f>
        <v/>
      </c>
      <c r="K746" s="3">
        <f>I746-J746</f>
        <v/>
      </c>
      <c r="L746" s="3">
        <f>IF(K746&lt;-5,"CRÍTICO",IF(K746&lt;0,"ATENÇÃO",IF(K746&lt;=5,"OPORTUNO","MUITO BOM")))</f>
        <v/>
      </c>
      <c r="M746" s="3" t="n">
        <v>20</v>
      </c>
      <c r="N746" s="3" t="n">
        <v>98.94</v>
      </c>
      <c r="O746" s="3" t="n">
        <v>19.61414790996785</v>
      </c>
    </row>
    <row r="747" hidden="1">
      <c r="A747" s="11" t="n">
        <v>46056</v>
      </c>
      <c r="B747" t="inlineStr">
        <is>
          <t>Gabriel Gomes de Andrade</t>
        </is>
      </c>
      <c r="C747" t="inlineStr">
        <is>
          <t>Técnico I</t>
        </is>
      </c>
      <c r="D747" t="n">
        <v>32</v>
      </c>
      <c r="E747" t="n">
        <v>31</v>
      </c>
      <c r="F747" t="n">
        <v>18.29</v>
      </c>
      <c r="G747" t="n">
        <v>0</v>
      </c>
      <c r="H747" t="n">
        <v>0</v>
      </c>
      <c r="I747" s="3">
        <f>E747+G747+H747</f>
        <v/>
      </c>
      <c r="J747" s="3">
        <f>ROUND(MIN(IF(C747="Técnico III",35,IF(C747="Técnico II",28,IF(C747="Técnico I",23,IF(C747="JR",20,IF(C747="Estágio",10,0))))),IF(C747="Técnico III",SUMIFS($D:$D,$A:$A,$A747,$B:$B,"&lt;&gt;Patrícia Karla de Sousa Araújo",$B:$B,"&lt;&gt;Lorena Dias de Araujo",$B:$B,"&lt;&gt;Lucas Luiz Romero")*(35/1083),IF(C747="Técnico II",SUMIFS($D:$D,$A:$A,$A747,$B:$B,"&lt;&gt;Patrícia Karla de Sousa Araújo",$B:$B,"&lt;&gt;Lorena Dias de Araujo",$B:$B,"&lt;&gt;Lucas Luiz Romero")*(28/1083),IF(C747="Técnico I",SUMIFS($D:$D,$A:$A,$A747,$B:$B,"&lt;&gt;Patrícia Karla de Sousa Araújo",$B:$B,"&lt;&gt;Lorena Dias de Araujo",$B:$B,"&lt;&gt;Lucas Luiz Romero")*(23/1083),IF(C747="JR",SUMIFS($D:$D,$A:$A,$A747,$B:$B,"&lt;&gt;Patrícia Karla de Sousa Araújo",$B:$B,"&lt;&gt;Lorena Dias de Araujo",$B:$B,"&lt;&gt;Lucas Luiz Romero")*(20/1083),IF(C747="Estágio",SUMIFS($D:$D,$A:$A,$A747,$B:$B,"&lt;&gt;Patrícia Karla de Sousa Araújo",$B:$B,"&lt;&gt;Lorena Dias de Araujo",$B:$B,"&lt;&gt;Lucas Luiz Romero")*(10/1083),0)))))),0)</f>
        <v/>
      </c>
      <c r="K747" s="3">
        <f>I747-J747</f>
        <v/>
      </c>
      <c r="L747" s="3">
        <f>IF(K747&lt;-5,"CRÍTICO",IF(K747&lt;0,"ATENÇÃO",IF(K747&lt;=5,"BOM","EXCELENTE")))</f>
        <v/>
      </c>
      <c r="N747" t="n">
        <v>96.67</v>
      </c>
      <c r="O747" t="n">
        <v>31.45161290322581</v>
      </c>
    </row>
    <row r="748" hidden="1">
      <c r="A748" s="11" t="n">
        <v>46057</v>
      </c>
      <c r="B748" t="inlineStr">
        <is>
          <t>Gabriel Gomes de Andrade</t>
        </is>
      </c>
      <c r="C748" t="inlineStr">
        <is>
          <t>Técnico I</t>
        </is>
      </c>
      <c r="D748" t="n">
        <v>20</v>
      </c>
      <c r="E748" t="n">
        <v>19</v>
      </c>
      <c r="F748" t="n">
        <v>24.04</v>
      </c>
      <c r="G748" t="n">
        <v>0</v>
      </c>
      <c r="H748" t="n">
        <v>0</v>
      </c>
      <c r="I748" s="3">
        <f>E748+G748+H748</f>
        <v/>
      </c>
      <c r="J748" s="3">
        <f>ROUND(MIN(IF(C748="Técnico III",35,IF(C748="Técnico II",28,IF(C748="Técnico I",23,IF(C748="JR",20,IF(C748="Estágio",10,0))))),IF(C748="Técnico III",SUMIFS($D:$D,$A:$A,$A748,$B:$B,"&lt;&gt;Patrícia Karla de Sousa Araújo",$B:$B,"&lt;&gt;Lorena Dias de Araujo",$B:$B,"&lt;&gt;Lucas Luiz Romero")*(35/1083),IF(C748="Técnico II",SUMIFS($D:$D,$A:$A,$A748,$B:$B,"&lt;&gt;Patrícia Karla de Sousa Araújo",$B:$B,"&lt;&gt;Lorena Dias de Araujo",$B:$B,"&lt;&gt;Lucas Luiz Romero")*(28/1083),IF(C748="Técnico I",SUMIFS($D:$D,$A:$A,$A748,$B:$B,"&lt;&gt;Patrícia Karla de Sousa Araújo",$B:$B,"&lt;&gt;Lorena Dias de Araujo",$B:$B,"&lt;&gt;Lucas Luiz Romero")*(23/1083),IF(C748="JR",SUMIFS($D:$D,$A:$A,$A748,$B:$B,"&lt;&gt;Patrícia Karla de Sousa Araújo",$B:$B,"&lt;&gt;Lorena Dias de Araujo",$B:$B,"&lt;&gt;Lucas Luiz Romero")*(20/1083),IF(C748="Estágio",SUMIFS($D:$D,$A:$A,$A748,$B:$B,"&lt;&gt;Patrícia Karla de Sousa Araújo",$B:$B,"&lt;&gt;Lorena Dias de Araujo",$B:$B,"&lt;&gt;Lucas Luiz Romero")*(10/1083),0)))))),0)</f>
        <v/>
      </c>
      <c r="K748" s="3">
        <f>I748-J748</f>
        <v/>
      </c>
      <c r="L748" s="3">
        <f>IF(K748&lt;-5,"CRÍTICO",IF(K748&lt;0,"ATENÇÃO",IF(K748&lt;=5,"BOM","EXCELENTE")))</f>
        <v/>
      </c>
      <c r="N748" t="n">
        <v>96.67</v>
      </c>
      <c r="O748" t="n">
        <v>31.45161290322581</v>
      </c>
    </row>
    <row r="749" hidden="1">
      <c r="A749" s="7" t="n">
        <v>46162</v>
      </c>
      <c r="B749" s="8" t="inlineStr">
        <is>
          <t>Brenda de Menezes Silva</t>
        </is>
      </c>
      <c r="C749" s="9" t="inlineStr">
        <is>
          <t>Técnico II</t>
        </is>
      </c>
      <c r="D749" s="3" t="n">
        <v>25</v>
      </c>
      <c r="E749" s="3" t="n">
        <v>23</v>
      </c>
      <c r="F749" s="3" t="n">
        <v>15.11</v>
      </c>
      <c r="G749" s="3" t="n">
        <v>2</v>
      </c>
      <c r="H749" s="3" t="n">
        <v>0</v>
      </c>
      <c r="I749" s="3">
        <f>E749+G749+H749</f>
        <v/>
      </c>
      <c r="J749" s="3">
        <f>ROUND(MIN(IF(C749="Técnico III",35,IF(C749="Técnico II",28,IF(C749="Técnico I",23,IF(C749="JR",20,IF(C749="Estágio",10,0))))),IF(C749="Técnico III",SUMIFS($D:$D,$A:$A,$A749,$B:$B,"&lt;&gt;Patrícia Karla de Sousa Araújo",$B:$B,"&lt;&gt;Lorena Dias de Araujo",$B:$B,"&lt;&gt;Lucas Luiz Romero")*(35/1083),IF(C749="Técnico II",SUMIFS($D:$D,$A:$A,$A749,$B:$B,"&lt;&gt;Patrícia Karla de Sousa Araújo",$B:$B,"&lt;&gt;Lorena Dias de Araujo",$B:$B,"&lt;&gt;Lucas Luiz Romero")*(28/1083),IF(C749="Técnico I",SUMIFS($D:$D,$A:$A,$A749,$B:$B,"&lt;&gt;Patrícia Karla de Sousa Araújo",$B:$B,"&lt;&gt;Lorena Dias de Araujo",$B:$B,"&lt;&gt;Lucas Luiz Romero")*(23/1083),IF(C749="JR",SUMIFS($D:$D,$A:$A,$A749,$B:$B,"&lt;&gt;Patrícia Karla de Sousa Araújo",$B:$B,"&lt;&gt;Lorena Dias de Araujo",$B:$B,"&lt;&gt;Lucas Luiz Romero")*(20/1083),IF(C749="Estágio",SUMIFS($D:$D,$A:$A,$A749,$B:$B,"&lt;&gt;Patrícia Karla de Sousa Araújo",$B:$B,"&lt;&gt;Lorena Dias de Araujo",$B:$B,"&lt;&gt;Lucas Luiz Romero")*(10/1083),0)))))),0)</f>
        <v/>
      </c>
      <c r="K749" s="3">
        <f>I749-J749</f>
        <v/>
      </c>
      <c r="L749" s="3">
        <f>IF(K749&lt;-5,"CRÍTICO",IF(K749&lt;0,"ATENÇÃO",IF(K749&lt;=5,"OPORTUNO","MUITO BOM")))</f>
        <v/>
      </c>
      <c r="M749" s="9" t="n">
        <v>29</v>
      </c>
      <c r="N749" s="9" t="n">
        <v>99.13</v>
      </c>
      <c r="O749" s="9" t="n">
        <v>14.7239263803681</v>
      </c>
    </row>
    <row r="750" hidden="1">
      <c r="A750" s="7" t="n">
        <v>46162</v>
      </c>
      <c r="B750" s="8" t="inlineStr">
        <is>
          <t>Carlos Mateus Cassimiro Nunes</t>
        </is>
      </c>
      <c r="C750" s="9" t="inlineStr">
        <is>
          <t>Técnico II</t>
        </is>
      </c>
      <c r="D750" s="3" t="n">
        <v>27</v>
      </c>
      <c r="E750" s="3" t="n">
        <v>26</v>
      </c>
      <c r="F750" s="3" t="n">
        <v>18.58</v>
      </c>
      <c r="G750" s="3" t="n">
        <v>1</v>
      </c>
      <c r="H750" s="3" t="n">
        <v>0</v>
      </c>
      <c r="I750" s="3">
        <f>E750+G750+H750</f>
        <v/>
      </c>
      <c r="J750" s="3">
        <f>ROUND(MIN(IF(C750="Técnico III",35,IF(C750="Técnico II",28,IF(C750="Técnico I",23,IF(C750="JR",20,IF(C750="Estágio",10,0))))),IF(C750="Técnico III",SUMIFS($D:$D,$A:$A,$A750,$B:$B,"&lt;&gt;Patrícia Karla de Sousa Araújo",$B:$B,"&lt;&gt;Lorena Dias de Araujo",$B:$B,"&lt;&gt;Lucas Luiz Romero")*(35/1083),IF(C750="Técnico II",SUMIFS($D:$D,$A:$A,$A750,$B:$B,"&lt;&gt;Patrícia Karla de Sousa Araújo",$B:$B,"&lt;&gt;Lorena Dias de Araujo",$B:$B,"&lt;&gt;Lucas Luiz Romero")*(28/1083),IF(C750="Técnico I",SUMIFS($D:$D,$A:$A,$A750,$B:$B,"&lt;&gt;Patrícia Karla de Sousa Araújo",$B:$B,"&lt;&gt;Lorena Dias de Araujo",$B:$B,"&lt;&gt;Lucas Luiz Romero")*(23/1083),IF(C750="JR",SUMIFS($D:$D,$A:$A,$A750,$B:$B,"&lt;&gt;Patrícia Karla de Sousa Araújo",$B:$B,"&lt;&gt;Lorena Dias de Araujo",$B:$B,"&lt;&gt;Lucas Luiz Romero")*(20/1083),IF(C750="Estágio",SUMIFS($D:$D,$A:$A,$A750,$B:$B,"&lt;&gt;Patrícia Karla de Sousa Araújo",$B:$B,"&lt;&gt;Lorena Dias de Araujo",$B:$B,"&lt;&gt;Lucas Luiz Romero")*(10/1083),0)))))),0)</f>
        <v/>
      </c>
      <c r="K750" s="3">
        <f>I750-J750</f>
        <v/>
      </c>
      <c r="L750" s="3">
        <f>IF(K750&lt;-5,"CRÍTICO",IF(K750&lt;0,"ATENÇÃO",IF(K750&lt;=5,"OPORTUNO","MUITO BOM")))</f>
        <v/>
      </c>
      <c r="M750" s="9" t="n">
        <v>25</v>
      </c>
      <c r="N750" s="9" t="n">
        <v>98.8</v>
      </c>
      <c r="O750" s="9" t="n">
        <v>16.89750692520776</v>
      </c>
    </row>
    <row r="751" hidden="1">
      <c r="A751" s="7" t="n">
        <v>46162</v>
      </c>
      <c r="B751" s="8" t="inlineStr">
        <is>
          <t>Damyllis Lorraine de Oliveira Gonçalves</t>
        </is>
      </c>
      <c r="C751" s="9" t="inlineStr">
        <is>
          <t>Técnico II</t>
        </is>
      </c>
      <c r="D751" s="3" t="n">
        <v>0</v>
      </c>
      <c r="E751" s="3" t="n">
        <v>0</v>
      </c>
      <c r="F751" s="3" t="n">
        <v>0</v>
      </c>
      <c r="G751" s="3" t="n">
        <v>0</v>
      </c>
      <c r="H751" s="3" t="n">
        <v>0</v>
      </c>
      <c r="I751" s="3" t="n">
        <v>0</v>
      </c>
      <c r="J751" s="3" t="n">
        <v>0</v>
      </c>
      <c r="K751" s="3" t="n">
        <v>0</v>
      </c>
      <c r="L751" s="3">
        <f>IF(K751&lt;-5,"CRÍTICO",IF(K751&lt;0,"ATENÇÃO",IF(K751&lt;=5,"OPORTUNO","MUITO BOM")))</f>
        <v/>
      </c>
      <c r="M751" s="9" t="n">
        <v>0</v>
      </c>
      <c r="N751" s="9" t="n">
        <v>98.63</v>
      </c>
      <c r="O751" s="9" t="n">
        <v>18.75</v>
      </c>
    </row>
    <row r="752" hidden="1">
      <c r="A752" s="7" t="n">
        <v>46162</v>
      </c>
      <c r="B752" s="8" t="inlineStr">
        <is>
          <t>Emilly Kamilly Medeiros Miranda</t>
        </is>
      </c>
      <c r="C752" s="9" t="inlineStr">
        <is>
          <t>Técnico II</t>
        </is>
      </c>
      <c r="D752" s="3" t="n">
        <v>30</v>
      </c>
      <c r="E752" s="3" t="n">
        <v>28</v>
      </c>
      <c r="F752" s="3" t="n">
        <v>10.26</v>
      </c>
      <c r="G752" s="3" t="n">
        <v>2</v>
      </c>
      <c r="H752" s="3" t="n">
        <v>0</v>
      </c>
      <c r="I752" s="3">
        <f>E752+G752+H752</f>
        <v/>
      </c>
      <c r="J752" s="3">
        <f>ROUND(MIN(IF(C752="Técnico III",35,IF(C752="Técnico II",28,IF(C752="Técnico I",23,IF(C752="JR",20,IF(C752="Estágio",10,0))))),IF(C752="Técnico III",SUMIFS($D:$D,$A:$A,$A752,$B:$B,"&lt;&gt;Patrícia Karla de Sousa Araújo",$B:$B,"&lt;&gt;Lorena Dias de Araujo",$B:$B,"&lt;&gt;Lucas Luiz Romero")*(35/1083),IF(C752="Técnico II",SUMIFS($D:$D,$A:$A,$A752,$B:$B,"&lt;&gt;Patrícia Karla de Sousa Araújo",$B:$B,"&lt;&gt;Lorena Dias de Araujo",$B:$B,"&lt;&gt;Lucas Luiz Romero")*(28/1083),IF(C752="Técnico I",SUMIFS($D:$D,$A:$A,$A752,$B:$B,"&lt;&gt;Patrícia Karla de Sousa Araújo",$B:$B,"&lt;&gt;Lorena Dias de Araujo",$B:$B,"&lt;&gt;Lucas Luiz Romero")*(23/1083),IF(C752="JR",SUMIFS($D:$D,$A:$A,$A752,$B:$B,"&lt;&gt;Patrícia Karla de Sousa Araújo",$B:$B,"&lt;&gt;Lorena Dias de Araujo",$B:$B,"&lt;&gt;Lucas Luiz Romero")*(20/1083),IF(C752="Estágio",SUMIFS($D:$D,$A:$A,$A752,$B:$B,"&lt;&gt;Patrícia Karla de Sousa Araújo",$B:$B,"&lt;&gt;Lorena Dias de Araujo",$B:$B,"&lt;&gt;Lucas Luiz Romero")*(10/1083),0)))))),0)</f>
        <v/>
      </c>
      <c r="K752" s="3">
        <f>I752-J752</f>
        <v/>
      </c>
      <c r="L752" s="3">
        <f>IF(K752&lt;-5,"CRÍTICO",IF(K752&lt;0,"ATENÇÃO",IF(K752&lt;=5,"OPORTUNO","MUITO BOM")))</f>
        <v/>
      </c>
      <c r="M752" s="9" t="n">
        <v>28</v>
      </c>
      <c r="N752" s="9" t="n">
        <v>100</v>
      </c>
      <c r="O752" s="9" t="n">
        <v>13.8121546961326</v>
      </c>
    </row>
    <row r="753" hidden="1">
      <c r="A753" s="7" t="n">
        <v>46162</v>
      </c>
      <c r="B753" s="8" t="inlineStr">
        <is>
          <t>Francilene Ferreira de Jesus</t>
        </is>
      </c>
      <c r="C753" s="9" t="inlineStr">
        <is>
          <t>Técnico II</t>
        </is>
      </c>
      <c r="D753" s="3" t="n">
        <v>0</v>
      </c>
      <c r="E753" s="3" t="n">
        <v>0</v>
      </c>
      <c r="F753" s="3" t="n">
        <v>0</v>
      </c>
      <c r="G753" s="3" t="n">
        <v>0</v>
      </c>
      <c r="H753" s="3" t="n">
        <v>0</v>
      </c>
      <c r="I753" s="3" t="n">
        <v>0</v>
      </c>
      <c r="J753" s="3" t="n">
        <v>0</v>
      </c>
      <c r="K753" s="3" t="n">
        <v>0</v>
      </c>
      <c r="L753" s="3">
        <f>IF(K753&lt;-5,"CRÍTICO",IF(K753&lt;0,"ATENÇÃO",IF(K753&lt;=5,"OPORTUNO","MUITO BOM")))</f>
        <v/>
      </c>
      <c r="M753" s="9" t="n">
        <v>0</v>
      </c>
      <c r="N753" s="9" t="n">
        <v>100</v>
      </c>
      <c r="O753" s="9" t="n">
        <v>17.24137931034483</v>
      </c>
    </row>
    <row r="754" hidden="1">
      <c r="A754" s="7" t="n">
        <v>46162</v>
      </c>
      <c r="B754" s="8" t="inlineStr">
        <is>
          <t>Isabella Borges de Oliveira</t>
        </is>
      </c>
      <c r="C754" s="9" t="inlineStr">
        <is>
          <t>Técnico II</t>
        </is>
      </c>
      <c r="D754" s="3" t="n">
        <v>24</v>
      </c>
      <c r="E754" s="3" t="n">
        <v>24</v>
      </c>
      <c r="F754" s="3" t="n">
        <v>23.52</v>
      </c>
      <c r="G754" s="3" t="n">
        <v>1</v>
      </c>
      <c r="H754" s="3" t="n">
        <v>0</v>
      </c>
      <c r="I754" s="3">
        <f>E754+G754+H754</f>
        <v/>
      </c>
      <c r="J754" s="3">
        <f>ROUND(MIN(IF(C754="Técnico III",35,IF(C754="Técnico II",28,IF(C754="Técnico I",23,IF(C754="JR",20,IF(C754="Estágio",10,0))))),IF(C754="Técnico III",SUMIFS($D:$D,$A:$A,$A754,$B:$B,"&lt;&gt;Patrícia Karla de Sousa Araújo",$B:$B,"&lt;&gt;Lorena Dias de Araujo",$B:$B,"&lt;&gt;Lucas Luiz Romero")*(35/1083),IF(C754="Técnico II",SUMIFS($D:$D,$A:$A,$A754,$B:$B,"&lt;&gt;Patrícia Karla de Sousa Araújo",$B:$B,"&lt;&gt;Lorena Dias de Araujo",$B:$B,"&lt;&gt;Lucas Luiz Romero")*(28/1083),IF(C754="Técnico I",SUMIFS($D:$D,$A:$A,$A754,$B:$B,"&lt;&gt;Patrícia Karla de Sousa Araújo",$B:$B,"&lt;&gt;Lorena Dias de Araujo",$B:$B,"&lt;&gt;Lucas Luiz Romero")*(23/1083),IF(C754="JR",SUMIFS($D:$D,$A:$A,$A754,$B:$B,"&lt;&gt;Patrícia Karla de Sousa Araújo",$B:$B,"&lt;&gt;Lorena Dias de Araujo",$B:$B,"&lt;&gt;Lucas Luiz Romero")*(20/1083),IF(C754="Estágio",SUMIFS($D:$D,$A:$A,$A754,$B:$B,"&lt;&gt;Patrícia Karla de Sousa Araújo",$B:$B,"&lt;&gt;Lorena Dias de Araujo",$B:$B,"&lt;&gt;Lucas Luiz Romero")*(10/1083),0)))))),0)</f>
        <v/>
      </c>
      <c r="K754" s="3">
        <f>I754-J754</f>
        <v/>
      </c>
      <c r="L754" s="3">
        <f>IF(K754&lt;-5,"CRÍTICO",IF(K754&lt;0,"ATENÇÃO",IF(K754&lt;=5,"OPORTUNO","MUITO BOM")))</f>
        <v/>
      </c>
      <c r="M754" s="9" t="n">
        <v>22</v>
      </c>
      <c r="N754" s="9" t="n">
        <v>98.63</v>
      </c>
      <c r="O754" s="9" t="n">
        <v>15.75757575757576</v>
      </c>
    </row>
    <row r="755" hidden="1">
      <c r="A755" s="7" t="n">
        <v>46162</v>
      </c>
      <c r="B755" s="8" t="inlineStr">
        <is>
          <t>Jessica Faria da Silveira</t>
        </is>
      </c>
      <c r="C755" s="9" t="inlineStr">
        <is>
          <t>Técnico II</t>
        </is>
      </c>
      <c r="D755" s="3" t="n">
        <v>32</v>
      </c>
      <c r="E755" s="3" t="n">
        <v>26</v>
      </c>
      <c r="F755" s="3" t="n">
        <v>14.11</v>
      </c>
      <c r="G755" s="3" t="n">
        <v>0</v>
      </c>
      <c r="H755" s="3" t="n">
        <v>0</v>
      </c>
      <c r="I755" s="3">
        <f>E755+G755+H755</f>
        <v/>
      </c>
      <c r="J755" s="3">
        <f>ROUND(MIN(IF(C755="Técnico III",35,IF(C755="Técnico II",28,IF(C755="Técnico I",23,IF(C755="JR",20,IF(C755="Estágio",10,0))))),IF(C755="Técnico III",SUMIFS($D:$D,$A:$A,$A755,$B:$B,"&lt;&gt;Patrícia Karla de Sousa Araújo",$B:$B,"&lt;&gt;Lorena Dias de Araujo",$B:$B,"&lt;&gt;Lucas Luiz Romero")*(35/1083),IF(C755="Técnico II",SUMIFS($D:$D,$A:$A,$A755,$B:$B,"&lt;&gt;Patrícia Karla de Sousa Araújo",$B:$B,"&lt;&gt;Lorena Dias de Araujo",$B:$B,"&lt;&gt;Lucas Luiz Romero")*(28/1083),IF(C755="Técnico I",SUMIFS($D:$D,$A:$A,$A755,$B:$B,"&lt;&gt;Patrícia Karla de Sousa Araújo",$B:$B,"&lt;&gt;Lorena Dias de Araujo",$B:$B,"&lt;&gt;Lucas Luiz Romero")*(23/1083),IF(C755="JR",SUMIFS($D:$D,$A:$A,$A755,$B:$B,"&lt;&gt;Patrícia Karla de Sousa Araújo",$B:$B,"&lt;&gt;Lorena Dias de Araujo",$B:$B,"&lt;&gt;Lucas Luiz Romero")*(20/1083),IF(C755="Estágio",SUMIFS($D:$D,$A:$A,$A755,$B:$B,"&lt;&gt;Patrícia Karla de Sousa Araújo",$B:$B,"&lt;&gt;Lorena Dias de Araujo",$B:$B,"&lt;&gt;Lucas Luiz Romero")*(10/1083),0)))))),0)</f>
        <v/>
      </c>
      <c r="K755" s="3">
        <f>I755-J755</f>
        <v/>
      </c>
      <c r="L755" s="3">
        <f>IF(K755&lt;-5,"CRÍTICO",IF(K755&lt;0,"ATENÇÃO",IF(K755&lt;=5,"OPORTUNO","MUITO BOM")))</f>
        <v/>
      </c>
      <c r="M755" s="9" t="n">
        <v>23</v>
      </c>
      <c r="N755" s="9" t="n">
        <v>98.61</v>
      </c>
      <c r="O755" s="9" t="n">
        <v>16.97530864197531</v>
      </c>
    </row>
    <row r="756" hidden="1">
      <c r="A756" s="7" t="n">
        <v>46162</v>
      </c>
      <c r="B756" s="8" t="inlineStr">
        <is>
          <t>Lizandra Gomes Duarte</t>
        </is>
      </c>
      <c r="C756" s="9" t="inlineStr">
        <is>
          <t>Técnico II</t>
        </is>
      </c>
      <c r="D756" s="3" t="n">
        <v>25</v>
      </c>
      <c r="E756" s="3" t="n">
        <v>23</v>
      </c>
      <c r="F756" s="3" t="n">
        <v>20.02</v>
      </c>
      <c r="G756" s="3" t="n">
        <v>2</v>
      </c>
      <c r="H756" s="3" t="n">
        <v>0</v>
      </c>
      <c r="I756" s="3">
        <f>E756+G756+H756</f>
        <v/>
      </c>
      <c r="J756" s="3">
        <f>ROUND(MIN(IF(C756="Técnico III",35,IF(C756="Técnico II",28,IF(C756="Técnico I",23,IF(C756="JR",20,IF(C756="Estágio",10,0))))),IF(C756="Técnico III",SUMIFS($D:$D,$A:$A,$A756,$B:$B,"&lt;&gt;Patrícia Karla de Sousa Araújo",$B:$B,"&lt;&gt;Lorena Dias de Araujo",$B:$B,"&lt;&gt;Lucas Luiz Romero")*(35/1083),IF(C756="Técnico II",SUMIFS($D:$D,$A:$A,$A756,$B:$B,"&lt;&gt;Patrícia Karla de Sousa Araújo",$B:$B,"&lt;&gt;Lorena Dias de Araujo",$B:$B,"&lt;&gt;Lucas Luiz Romero")*(28/1083),IF(C756="Técnico I",SUMIFS($D:$D,$A:$A,$A756,$B:$B,"&lt;&gt;Patrícia Karla de Sousa Araújo",$B:$B,"&lt;&gt;Lorena Dias de Araujo",$B:$B,"&lt;&gt;Lucas Luiz Romero")*(23/1083),IF(C756="JR",SUMIFS($D:$D,$A:$A,$A756,$B:$B,"&lt;&gt;Patrícia Karla de Sousa Araújo",$B:$B,"&lt;&gt;Lorena Dias de Araujo",$B:$B,"&lt;&gt;Lucas Luiz Romero")*(20/1083),IF(C756="Estágio",SUMIFS($D:$D,$A:$A,$A756,$B:$B,"&lt;&gt;Patrícia Karla de Sousa Araújo",$B:$B,"&lt;&gt;Lorena Dias de Araujo",$B:$B,"&lt;&gt;Lucas Luiz Romero")*(10/1083),0)))))),0)</f>
        <v/>
      </c>
      <c r="K756" s="3">
        <f>I756-J756</f>
        <v/>
      </c>
      <c r="L756" s="3">
        <f>IF(K756&lt;-5,"CRÍTICO",IF(K756&lt;0,"ATENÇÃO",IF(K756&lt;=5,"OPORTUNO","MUITO BOM")))</f>
        <v/>
      </c>
      <c r="M756" s="9" t="n">
        <v>19</v>
      </c>
      <c r="N756" s="9" t="n">
        <v>98.61</v>
      </c>
      <c r="O756" s="9" t="n">
        <v>16.86746987951807</v>
      </c>
    </row>
    <row r="757" hidden="1">
      <c r="A757" s="7" t="n">
        <v>46162</v>
      </c>
      <c r="B757" s="8" t="inlineStr">
        <is>
          <t>Lorena Dias de Araujo</t>
        </is>
      </c>
      <c r="C757" s="9" t="inlineStr">
        <is>
          <t>Técnico II</t>
        </is>
      </c>
      <c r="D757" s="3" t="n">
        <v>16</v>
      </c>
      <c r="E757" s="3" t="n">
        <v>13</v>
      </c>
      <c r="F757" s="3" t="n">
        <v>25.44</v>
      </c>
      <c r="G757" s="3" t="n">
        <v>0</v>
      </c>
      <c r="H757" s="3" t="n">
        <v>0</v>
      </c>
      <c r="I757" s="3" t="n">
        <v>0</v>
      </c>
      <c r="J757" s="3" t="n">
        <v>0</v>
      </c>
      <c r="K757" s="3" t="n">
        <v>0</v>
      </c>
      <c r="L757" s="3">
        <f>IF(K757&lt;-5,"CRÍTICO",IF(K757&lt;0,"ATENÇÃO",IF(K757&lt;=5,"OPORTUNO","MUITO BOM")))</f>
        <v/>
      </c>
      <c r="M757" s="9" t="n">
        <v>8</v>
      </c>
      <c r="N757" s="9" t="n">
        <v>100</v>
      </c>
      <c r="O757" s="9" t="n">
        <v>20.82018927444795</v>
      </c>
    </row>
    <row r="758" hidden="1">
      <c r="A758" s="7" t="n">
        <v>46162</v>
      </c>
      <c r="B758" s="8" t="inlineStr">
        <is>
          <t>Patrícia Karla de Sousa Araújo</t>
        </is>
      </c>
      <c r="C758" s="9" t="inlineStr">
        <is>
          <t>Técnico II</t>
        </is>
      </c>
      <c r="D758" s="3" t="n">
        <v>0</v>
      </c>
      <c r="E758" s="3" t="n">
        <v>0</v>
      </c>
      <c r="F758" s="3" t="n">
        <v>0</v>
      </c>
      <c r="G758" s="3" t="n">
        <v>0</v>
      </c>
      <c r="H758" s="3" t="n">
        <v>0</v>
      </c>
      <c r="I758" s="3" t="n">
        <v>0</v>
      </c>
      <c r="J758" s="3" t="n">
        <v>0</v>
      </c>
      <c r="K758" s="3" t="n">
        <v>0</v>
      </c>
      <c r="L758" s="3">
        <f>IF(K758&lt;-5,"CRÍTICO",IF(K758&lt;0,"ATENÇÃO",IF(K758&lt;=5,"OPORTUNO","MUITO BOM")))</f>
        <v/>
      </c>
      <c r="M758" s="9" t="n">
        <v>0</v>
      </c>
      <c r="N758" s="9" t="n">
        <v>100</v>
      </c>
      <c r="O758" s="9" t="n">
        <v>16.89497716894977</v>
      </c>
    </row>
    <row r="759" hidden="1">
      <c r="A759" s="5" t="n">
        <v>46163</v>
      </c>
      <c r="B759" s="6" t="inlineStr">
        <is>
          <t>Alisson de Freitas Silva</t>
        </is>
      </c>
      <c r="C759" s="3" t="inlineStr">
        <is>
          <t>Técnico II</t>
        </is>
      </c>
      <c r="D759" s="3" t="n">
        <v>31</v>
      </c>
      <c r="E759" s="3" t="n">
        <v>19</v>
      </c>
      <c r="F759" s="3" t="n">
        <v>5.55</v>
      </c>
      <c r="G759" s="3" t="n">
        <v>1</v>
      </c>
      <c r="H759" s="3" t="n">
        <v>0</v>
      </c>
      <c r="I759" s="3">
        <f>E759+G759+H759</f>
        <v/>
      </c>
      <c r="J759" s="3">
        <f>ROUND(MIN(IF(C759="Técnico III",35,IF(C759="Técnico II",28,IF(C759="Técnico I",23,IF(C759="JR",20,IF(C759="Estágio",10,0))))),IF(C759="Técnico III",SUMIFS($D:$D,$A:$A,$A759,$B:$B,"&lt;&gt;Patrícia Karla de Sousa Araújo",$B:$B,"&lt;&gt;Lorena Dias de Araujo",$B:$B,"&lt;&gt;Lucas Luiz Romero")*(35/1083),IF(C759="Técnico II",SUMIFS($D:$D,$A:$A,$A759,$B:$B,"&lt;&gt;Patrícia Karla de Sousa Araújo",$B:$B,"&lt;&gt;Lorena Dias de Araujo",$B:$B,"&lt;&gt;Lucas Luiz Romero")*(28/1083),IF(C759="Técnico I",SUMIFS($D:$D,$A:$A,$A759,$B:$B,"&lt;&gt;Patrícia Karla de Sousa Araújo",$B:$B,"&lt;&gt;Lorena Dias de Araujo",$B:$B,"&lt;&gt;Lucas Luiz Romero")*(23/1083),IF(C759="JR",SUMIFS($D:$D,$A:$A,$A759,$B:$B,"&lt;&gt;Patrícia Karla de Sousa Araújo",$B:$B,"&lt;&gt;Lorena Dias de Araujo",$B:$B,"&lt;&gt;Lucas Luiz Romero")*(20/1083),IF(C759="Estágio",SUMIFS($D:$D,$A:$A,$A759,$B:$B,"&lt;&gt;Patrícia Karla de Sousa Araújo",$B:$B,"&lt;&gt;Lorena Dias de Araujo",$B:$B,"&lt;&gt;Lucas Luiz Romero")*(10/1083),0)))))),0)</f>
        <v/>
      </c>
      <c r="K759" s="3">
        <f>I759-J759</f>
        <v/>
      </c>
      <c r="L759" s="3">
        <f>IF(K759&lt;-5,"CRÍTICO",IF(K759&lt;0,"ATENÇÃO",IF(K759&lt;=5,"OPORTUNO","MUITO BOM")))</f>
        <v/>
      </c>
      <c r="M759" s="3" t="n">
        <v>17</v>
      </c>
      <c r="N759" s="3" t="n">
        <v>98.94</v>
      </c>
      <c r="O759" s="3" t="n">
        <v>19.61414790996785</v>
      </c>
    </row>
    <row r="760" hidden="1">
      <c r="A760" s="5" t="n">
        <v>46163</v>
      </c>
      <c r="B760" s="6" t="inlineStr">
        <is>
          <t>Brenda de Menezes Silva</t>
        </is>
      </c>
      <c r="C760" s="3" t="inlineStr">
        <is>
          <t>Técnico II</t>
        </is>
      </c>
      <c r="D760" s="3" t="n">
        <v>31</v>
      </c>
      <c r="E760" s="3" t="n">
        <v>27</v>
      </c>
      <c r="F760" s="3" t="n">
        <v>10.15</v>
      </c>
      <c r="G760" s="3" t="n">
        <v>4</v>
      </c>
      <c r="H760" s="3" t="n">
        <v>0</v>
      </c>
      <c r="I760" s="3">
        <f>E760+G760+H760</f>
        <v/>
      </c>
      <c r="J760" s="3">
        <f>ROUND(MIN(IF(C760="Técnico III",35,IF(C760="Técnico II",28,IF(C760="Técnico I",23,IF(C760="JR",20,IF(C760="Estágio",10,0))))),IF(C760="Técnico III",SUMIFS($D:$D,$A:$A,$A760,$B:$B,"&lt;&gt;Patrícia Karla de Sousa Araújo",$B:$B,"&lt;&gt;Lorena Dias de Araujo",$B:$B,"&lt;&gt;Lucas Luiz Romero")*(35/1083),IF(C760="Técnico II",SUMIFS($D:$D,$A:$A,$A760,$B:$B,"&lt;&gt;Patrícia Karla de Sousa Araújo",$B:$B,"&lt;&gt;Lorena Dias de Araujo",$B:$B,"&lt;&gt;Lucas Luiz Romero")*(28/1083),IF(C760="Técnico I",SUMIFS($D:$D,$A:$A,$A760,$B:$B,"&lt;&gt;Patrícia Karla de Sousa Araújo",$B:$B,"&lt;&gt;Lorena Dias de Araujo",$B:$B,"&lt;&gt;Lucas Luiz Romero")*(23/1083),IF(C760="JR",SUMIFS($D:$D,$A:$A,$A760,$B:$B,"&lt;&gt;Patrícia Karla de Sousa Araújo",$B:$B,"&lt;&gt;Lorena Dias de Araujo",$B:$B,"&lt;&gt;Lucas Luiz Romero")*(20/1083),IF(C760="Estágio",SUMIFS($D:$D,$A:$A,$A760,$B:$B,"&lt;&gt;Patrícia Karla de Sousa Araújo",$B:$B,"&lt;&gt;Lorena Dias de Araujo",$B:$B,"&lt;&gt;Lucas Luiz Romero")*(10/1083),0)))))),0)</f>
        <v/>
      </c>
      <c r="K760" s="3">
        <f>I760-J760</f>
        <v/>
      </c>
      <c r="L760" s="3">
        <f>IF(K760&lt;-5,"CRÍTICO",IF(K760&lt;0,"ATENÇÃO",IF(K760&lt;=5,"OPORTUNO","MUITO BOM")))</f>
        <v/>
      </c>
      <c r="M760" s="3" t="n">
        <v>28</v>
      </c>
      <c r="N760" s="3" t="n">
        <v>99.13</v>
      </c>
      <c r="O760" s="3" t="n">
        <v>14.7239263803681</v>
      </c>
    </row>
    <row r="761" hidden="1">
      <c r="A761" s="5" t="n">
        <v>46163</v>
      </c>
      <c r="B761" s="6" t="inlineStr">
        <is>
          <t>Carlos Mateus Cassimiro Nunes</t>
        </is>
      </c>
      <c r="C761" s="3" t="inlineStr">
        <is>
          <t>Técnico II</t>
        </is>
      </c>
      <c r="D761" s="3" t="n">
        <v>24</v>
      </c>
      <c r="E761" s="3" t="n">
        <v>22</v>
      </c>
      <c r="F761" s="3" t="n">
        <v>18.55</v>
      </c>
      <c r="G761" s="3" t="n">
        <v>1</v>
      </c>
      <c r="H761" s="3" t="n">
        <v>0</v>
      </c>
      <c r="I761" s="3">
        <f>E761+G761+H761</f>
        <v/>
      </c>
      <c r="J761" s="3">
        <f>ROUND(MIN(IF(C761="Técnico III",35,IF(C761="Técnico II",28,IF(C761="Técnico I",23,IF(C761="JR",20,IF(C761="Estágio",10,0))))),IF(C761="Técnico III",SUMIFS($D:$D,$A:$A,$A761,$B:$B,"&lt;&gt;Patrícia Karla de Sousa Araújo",$B:$B,"&lt;&gt;Lorena Dias de Araujo",$B:$B,"&lt;&gt;Lucas Luiz Romero")*(35/1083),IF(C761="Técnico II",SUMIFS($D:$D,$A:$A,$A761,$B:$B,"&lt;&gt;Patrícia Karla de Sousa Araújo",$B:$B,"&lt;&gt;Lorena Dias de Araujo",$B:$B,"&lt;&gt;Lucas Luiz Romero")*(28/1083),IF(C761="Técnico I",SUMIFS($D:$D,$A:$A,$A761,$B:$B,"&lt;&gt;Patrícia Karla de Sousa Araújo",$B:$B,"&lt;&gt;Lorena Dias de Araujo",$B:$B,"&lt;&gt;Lucas Luiz Romero")*(23/1083),IF(C761="JR",SUMIFS($D:$D,$A:$A,$A761,$B:$B,"&lt;&gt;Patrícia Karla de Sousa Araújo",$B:$B,"&lt;&gt;Lorena Dias de Araujo",$B:$B,"&lt;&gt;Lucas Luiz Romero")*(20/1083),IF(C761="Estágio",SUMIFS($D:$D,$A:$A,$A761,$B:$B,"&lt;&gt;Patrícia Karla de Sousa Araújo",$B:$B,"&lt;&gt;Lorena Dias de Araujo",$B:$B,"&lt;&gt;Lucas Luiz Romero")*(10/1083),0)))))),0)</f>
        <v/>
      </c>
      <c r="K761" s="3">
        <f>I761-J761</f>
        <v/>
      </c>
      <c r="L761" s="3">
        <f>IF(K761&lt;-5,"CRÍTICO",IF(K761&lt;0,"ATENÇÃO",IF(K761&lt;=5,"OPORTUNO","MUITO BOM")))</f>
        <v/>
      </c>
      <c r="M761" s="3" t="n">
        <v>21</v>
      </c>
      <c r="N761" s="3" t="n">
        <v>98.8</v>
      </c>
      <c r="O761" s="3" t="n">
        <v>16.89750692520776</v>
      </c>
    </row>
    <row r="762" hidden="1">
      <c r="A762" s="5" t="n">
        <v>46163</v>
      </c>
      <c r="B762" s="6" t="inlineStr">
        <is>
          <t>Damyllis Lorraine de Oliveira Gonçalves</t>
        </is>
      </c>
      <c r="C762" s="3" t="inlineStr">
        <is>
          <t>Técnico II</t>
        </is>
      </c>
      <c r="D762" s="3" t="n">
        <v>0</v>
      </c>
      <c r="E762" s="3" t="n">
        <v>0</v>
      </c>
      <c r="F762" s="3" t="n">
        <v>0</v>
      </c>
      <c r="G762" s="3" t="n">
        <v>0</v>
      </c>
      <c r="H762" s="3" t="n">
        <v>0</v>
      </c>
      <c r="I762" s="3" t="n">
        <v>0</v>
      </c>
      <c r="J762" s="3" t="n">
        <v>0</v>
      </c>
      <c r="K762" s="3" t="n">
        <v>0</v>
      </c>
      <c r="L762" s="3">
        <f>IF(K762&lt;-5,"CRÍTICO",IF(K762&lt;0,"ATENÇÃO",IF(K762&lt;=5,"OPORTUNO","MUITO BOM")))</f>
        <v/>
      </c>
      <c r="M762" s="3" t="n">
        <v>0</v>
      </c>
      <c r="N762" s="3" t="n">
        <v>98.63</v>
      </c>
      <c r="O762" s="3" t="n">
        <v>18.75</v>
      </c>
    </row>
    <row r="763" hidden="1">
      <c r="A763" s="5" t="n">
        <v>46163</v>
      </c>
      <c r="B763" s="6" t="inlineStr">
        <is>
          <t>Emilly Kamilly Medeiros Miranda</t>
        </is>
      </c>
      <c r="C763" s="3" t="inlineStr">
        <is>
          <t>Técnico II</t>
        </is>
      </c>
      <c r="D763" s="3" t="n">
        <v>28</v>
      </c>
      <c r="E763" s="3" t="n">
        <v>23</v>
      </c>
      <c r="F763" s="3" t="n">
        <v>9.02</v>
      </c>
      <c r="G763" s="3" t="n">
        <v>3</v>
      </c>
      <c r="H763" s="3" t="n">
        <v>0</v>
      </c>
      <c r="I763" s="3">
        <f>E763+G763+H763</f>
        <v/>
      </c>
      <c r="J763" s="3">
        <f>ROUND(MIN(IF(C763="Técnico III",35,IF(C763="Técnico II",28,IF(C763="Técnico I",23,IF(C763="JR",20,IF(C763="Estágio",10,0))))),IF(C763="Técnico III",SUMIFS($D:$D,$A:$A,$A763,$B:$B,"&lt;&gt;Patrícia Karla de Sousa Araújo",$B:$B,"&lt;&gt;Lorena Dias de Araujo",$B:$B,"&lt;&gt;Lucas Luiz Romero")*(35/1083),IF(C763="Técnico II",SUMIFS($D:$D,$A:$A,$A763,$B:$B,"&lt;&gt;Patrícia Karla de Sousa Araújo",$B:$B,"&lt;&gt;Lorena Dias de Araujo",$B:$B,"&lt;&gt;Lucas Luiz Romero")*(28/1083),IF(C763="Técnico I",SUMIFS($D:$D,$A:$A,$A763,$B:$B,"&lt;&gt;Patrícia Karla de Sousa Araújo",$B:$B,"&lt;&gt;Lorena Dias de Araujo",$B:$B,"&lt;&gt;Lucas Luiz Romero")*(23/1083),IF(C763="JR",SUMIFS($D:$D,$A:$A,$A763,$B:$B,"&lt;&gt;Patrícia Karla de Sousa Araújo",$B:$B,"&lt;&gt;Lorena Dias de Araujo",$B:$B,"&lt;&gt;Lucas Luiz Romero")*(20/1083),IF(C763="Estágio",SUMIFS($D:$D,$A:$A,$A763,$B:$B,"&lt;&gt;Patrícia Karla de Sousa Araújo",$B:$B,"&lt;&gt;Lorena Dias de Araujo",$B:$B,"&lt;&gt;Lucas Luiz Romero")*(10/1083),0)))))),0)</f>
        <v/>
      </c>
      <c r="K763" s="3">
        <f>I763-J763</f>
        <v/>
      </c>
      <c r="L763" s="3">
        <f>IF(K763&lt;-5,"CRÍTICO",IF(K763&lt;0,"ATENÇÃO",IF(K763&lt;=5,"OPORTUNO","MUITO BOM")))</f>
        <v/>
      </c>
      <c r="M763" s="3" t="n">
        <v>25</v>
      </c>
      <c r="N763" s="3" t="n">
        <v>100</v>
      </c>
      <c r="O763" s="3" t="n">
        <v>13.8121546961326</v>
      </c>
    </row>
    <row r="764" hidden="1">
      <c r="A764" s="5" t="n">
        <v>46163</v>
      </c>
      <c r="B764" s="6" t="inlineStr">
        <is>
          <t>Francilene Ferreira de Jesus</t>
        </is>
      </c>
      <c r="C764" s="3" t="inlineStr">
        <is>
          <t>Técnico II</t>
        </is>
      </c>
      <c r="D764" s="3" t="n">
        <v>0</v>
      </c>
      <c r="E764" s="3" t="n">
        <v>0</v>
      </c>
      <c r="F764" s="3" t="n">
        <v>0</v>
      </c>
      <c r="G764" s="3" t="n">
        <v>0</v>
      </c>
      <c r="H764" s="3" t="n">
        <v>0</v>
      </c>
      <c r="I764" s="3" t="n">
        <v>0</v>
      </c>
      <c r="J764" s="3" t="n">
        <v>0</v>
      </c>
      <c r="K764" s="3" t="n">
        <v>0</v>
      </c>
      <c r="L764" s="3">
        <f>IF(K764&lt;-5,"CRÍTICO",IF(K764&lt;0,"ATENÇÃO",IF(K764&lt;=5,"OPORTUNO","MUITO BOM")))</f>
        <v/>
      </c>
      <c r="M764" s="3" t="n">
        <v>0</v>
      </c>
      <c r="N764" s="3" t="n">
        <v>100</v>
      </c>
      <c r="O764" s="3" t="n">
        <v>17.24137931034483</v>
      </c>
    </row>
    <row r="765" hidden="1">
      <c r="A765" s="5" t="n">
        <v>46163</v>
      </c>
      <c r="B765" s="6" t="inlineStr">
        <is>
          <t>Isabella Borges de Oliveira</t>
        </is>
      </c>
      <c r="C765" s="3" t="inlineStr">
        <is>
          <t>Técnico II</t>
        </is>
      </c>
      <c r="D765" s="3" t="n">
        <v>22</v>
      </c>
      <c r="E765" s="3" t="n">
        <v>21</v>
      </c>
      <c r="F765" s="3" t="n">
        <v>19.05</v>
      </c>
      <c r="G765" s="3" t="n">
        <v>1</v>
      </c>
      <c r="H765" s="3" t="n">
        <v>0</v>
      </c>
      <c r="I765" s="3">
        <f>E765+G765+H765</f>
        <v/>
      </c>
      <c r="J765" s="3">
        <f>ROUND(MIN(IF(C765="Técnico III",35,IF(C765="Técnico II",28,IF(C765="Técnico I",23,IF(C765="JR",20,IF(C765="Estágio",10,0))))),IF(C765="Técnico III",SUMIFS($D:$D,$A:$A,$A765,$B:$B,"&lt;&gt;Patrícia Karla de Sousa Araújo",$B:$B,"&lt;&gt;Lorena Dias de Araujo",$B:$B,"&lt;&gt;Lucas Luiz Romero")*(35/1083),IF(C765="Técnico II",SUMIFS($D:$D,$A:$A,$A765,$B:$B,"&lt;&gt;Patrícia Karla de Sousa Araújo",$B:$B,"&lt;&gt;Lorena Dias de Araujo",$B:$B,"&lt;&gt;Lucas Luiz Romero")*(28/1083),IF(C765="Técnico I",SUMIFS($D:$D,$A:$A,$A765,$B:$B,"&lt;&gt;Patrícia Karla de Sousa Araújo",$B:$B,"&lt;&gt;Lorena Dias de Araujo",$B:$B,"&lt;&gt;Lucas Luiz Romero")*(23/1083),IF(C765="JR",SUMIFS($D:$D,$A:$A,$A765,$B:$B,"&lt;&gt;Patrícia Karla de Sousa Araújo",$B:$B,"&lt;&gt;Lorena Dias de Araujo",$B:$B,"&lt;&gt;Lucas Luiz Romero")*(20/1083),IF(C765="Estágio",SUMIFS($D:$D,$A:$A,$A765,$B:$B,"&lt;&gt;Patrícia Karla de Sousa Araújo",$B:$B,"&lt;&gt;Lorena Dias de Araujo",$B:$B,"&lt;&gt;Lucas Luiz Romero")*(10/1083),0)))))),0)</f>
        <v/>
      </c>
      <c r="K765" s="3">
        <f>I765-J765</f>
        <v/>
      </c>
      <c r="L765" s="3">
        <f>IF(K765&lt;-5,"CRÍTICO",IF(K765&lt;0,"ATENÇÃO",IF(K765&lt;=5,"OPORTUNO","MUITO BOM")))</f>
        <v/>
      </c>
      <c r="M765" s="3" t="n">
        <v>19</v>
      </c>
      <c r="N765" s="3" t="n">
        <v>98.63</v>
      </c>
      <c r="O765" s="3" t="n">
        <v>15.75757575757576</v>
      </c>
    </row>
    <row r="766" hidden="1">
      <c r="A766" s="5" t="n">
        <v>46163</v>
      </c>
      <c r="B766" s="6" t="inlineStr">
        <is>
          <t>Jessica Faria da Silveira</t>
        </is>
      </c>
      <c r="C766" s="3" t="inlineStr">
        <is>
          <t>Técnico II</t>
        </is>
      </c>
      <c r="D766" s="3" t="n">
        <v>17</v>
      </c>
      <c r="E766" s="3" t="n">
        <v>14</v>
      </c>
      <c r="F766" s="3" t="n">
        <v>17.2</v>
      </c>
      <c r="G766" s="3" t="n">
        <v>0</v>
      </c>
      <c r="H766" s="3" t="n">
        <v>0</v>
      </c>
      <c r="I766" s="3">
        <f>E766+G766+H766</f>
        <v/>
      </c>
      <c r="J766" s="3">
        <f>ROUND(MIN(IF(C766="Técnico III",35,IF(C766="Técnico II",28,IF(C766="Técnico I",23,IF(C766="JR",20,IF(C766="Estágio",10,0))))),IF(C766="Técnico III",SUMIFS($D:$D,$A:$A,$A766,$B:$B,"&lt;&gt;Patrícia Karla de Sousa Araújo",$B:$B,"&lt;&gt;Lorena Dias de Araujo",$B:$B,"&lt;&gt;Lucas Luiz Romero")*(35/1083),IF(C766="Técnico II",SUMIFS($D:$D,$A:$A,$A766,$B:$B,"&lt;&gt;Patrícia Karla de Sousa Araújo",$B:$B,"&lt;&gt;Lorena Dias de Araujo",$B:$B,"&lt;&gt;Lucas Luiz Romero")*(28/1083),IF(C766="Técnico I",SUMIFS($D:$D,$A:$A,$A766,$B:$B,"&lt;&gt;Patrícia Karla de Sousa Araújo",$B:$B,"&lt;&gt;Lorena Dias de Araujo",$B:$B,"&lt;&gt;Lucas Luiz Romero")*(23/1083),IF(C766="JR",SUMIFS($D:$D,$A:$A,$A766,$B:$B,"&lt;&gt;Patrícia Karla de Sousa Araújo",$B:$B,"&lt;&gt;Lorena Dias de Araujo",$B:$B,"&lt;&gt;Lucas Luiz Romero")*(20/1083),IF(C766="Estágio",SUMIFS($D:$D,$A:$A,$A766,$B:$B,"&lt;&gt;Patrícia Karla de Sousa Araújo",$B:$B,"&lt;&gt;Lorena Dias de Araujo",$B:$B,"&lt;&gt;Lucas Luiz Romero")*(10/1083),0)))))),0)</f>
        <v/>
      </c>
      <c r="K766" s="3">
        <f>I766-J766</f>
        <v/>
      </c>
      <c r="L766" s="3">
        <f>IF(K766&lt;-5,"CRÍTICO",IF(K766&lt;0,"ATENÇÃO",IF(K766&lt;=5,"OPORTUNO","MUITO BOM")))</f>
        <v/>
      </c>
      <c r="M766" s="3" t="n">
        <v>14</v>
      </c>
      <c r="N766" s="3" t="n">
        <v>98.61</v>
      </c>
      <c r="O766" s="3" t="n">
        <v>16.97530864197531</v>
      </c>
    </row>
    <row r="767" hidden="1">
      <c r="A767" s="5" t="n">
        <v>46163</v>
      </c>
      <c r="B767" s="6" t="inlineStr">
        <is>
          <t>Lizandra Gomes Duarte</t>
        </is>
      </c>
      <c r="C767" s="3" t="inlineStr">
        <is>
          <t>Técnico II</t>
        </is>
      </c>
      <c r="D767" s="3" t="n">
        <v>19</v>
      </c>
      <c r="E767" s="3" t="n">
        <v>19</v>
      </c>
      <c r="F767" s="3" t="n">
        <v>24.12</v>
      </c>
      <c r="G767" s="3" t="n">
        <v>0</v>
      </c>
      <c r="H767" s="3" t="n">
        <v>0</v>
      </c>
      <c r="I767" s="3">
        <f>E767+G767+H767</f>
        <v/>
      </c>
      <c r="J767" s="3">
        <f>ROUND(MIN(IF(C767="Técnico III",35,IF(C767="Técnico II",28,IF(C767="Técnico I",23,IF(C767="JR",20,IF(C767="Estágio",10,0))))),IF(C767="Técnico III",SUMIFS($D:$D,$A:$A,$A767,$B:$B,"&lt;&gt;Patrícia Karla de Sousa Araújo",$B:$B,"&lt;&gt;Lorena Dias de Araujo",$B:$B,"&lt;&gt;Lucas Luiz Romero")*(35/1083),IF(C767="Técnico II",SUMIFS($D:$D,$A:$A,$A767,$B:$B,"&lt;&gt;Patrícia Karla de Sousa Araújo",$B:$B,"&lt;&gt;Lorena Dias de Araujo",$B:$B,"&lt;&gt;Lucas Luiz Romero")*(28/1083),IF(C767="Técnico I",SUMIFS($D:$D,$A:$A,$A767,$B:$B,"&lt;&gt;Patrícia Karla de Sousa Araújo",$B:$B,"&lt;&gt;Lorena Dias de Araujo",$B:$B,"&lt;&gt;Lucas Luiz Romero")*(23/1083),IF(C767="JR",SUMIFS($D:$D,$A:$A,$A767,$B:$B,"&lt;&gt;Patrícia Karla de Sousa Araújo",$B:$B,"&lt;&gt;Lorena Dias de Araujo",$B:$B,"&lt;&gt;Lucas Luiz Romero")*(20/1083),IF(C767="Estágio",SUMIFS($D:$D,$A:$A,$A767,$B:$B,"&lt;&gt;Patrícia Karla de Sousa Araújo",$B:$B,"&lt;&gt;Lorena Dias de Araujo",$B:$B,"&lt;&gt;Lucas Luiz Romero")*(10/1083),0)))))),0)</f>
        <v/>
      </c>
      <c r="K767" s="3">
        <f>I767-J767</f>
        <v/>
      </c>
      <c r="L767" s="3">
        <f>IF(K767&lt;-5,"CRÍTICO",IF(K767&lt;0,"ATENÇÃO",IF(K767&lt;=5,"OPORTUNO","MUITO BOM")))</f>
        <v/>
      </c>
      <c r="M767" s="3" t="n">
        <v>17</v>
      </c>
      <c r="N767" s="3" t="n">
        <v>98.61</v>
      </c>
      <c r="O767" s="3" t="n">
        <v>16.86746987951807</v>
      </c>
    </row>
    <row r="768" hidden="1">
      <c r="A768" s="5" t="n">
        <v>46163</v>
      </c>
      <c r="B768" s="6" t="inlineStr">
        <is>
          <t>Lorena Dias de Araujo</t>
        </is>
      </c>
      <c r="C768" s="3" t="inlineStr">
        <is>
          <t>Técnico II</t>
        </is>
      </c>
      <c r="D768" s="3" t="n">
        <v>18</v>
      </c>
      <c r="E768" s="3" t="n">
        <v>15</v>
      </c>
      <c r="F768" s="3" t="n">
        <v>14.09</v>
      </c>
      <c r="G768" s="3" t="n">
        <v>0</v>
      </c>
      <c r="H768" s="3" t="n">
        <v>0</v>
      </c>
      <c r="I768" s="3" t="n">
        <v>0</v>
      </c>
      <c r="J768" s="3" t="n">
        <v>0</v>
      </c>
      <c r="K768" s="3" t="n">
        <v>0</v>
      </c>
      <c r="L768" s="3">
        <f>IF(K768&lt;-5,"CRÍTICO",IF(K768&lt;0,"ATENÇÃO",IF(K768&lt;=5,"OPORTUNO","MUITO BOM")))</f>
        <v/>
      </c>
      <c r="M768" s="3" t="n">
        <v>15</v>
      </c>
      <c r="N768" s="3" t="n">
        <v>100</v>
      </c>
      <c r="O768" s="3" t="n">
        <v>20.82018927444795</v>
      </c>
    </row>
    <row r="769" hidden="1">
      <c r="A769" s="5" t="n">
        <v>46163</v>
      </c>
      <c r="B769" s="6" t="inlineStr">
        <is>
          <t>Patrícia Karla de Sousa Araújo</t>
        </is>
      </c>
      <c r="C769" s="3" t="inlineStr">
        <is>
          <t>Técnico II</t>
        </is>
      </c>
      <c r="D769" s="3" t="n">
        <v>0</v>
      </c>
      <c r="E769" s="3" t="n">
        <v>0</v>
      </c>
      <c r="F769" s="3" t="n">
        <v>0</v>
      </c>
      <c r="G769" s="3" t="n">
        <v>0</v>
      </c>
      <c r="H769" s="3" t="n">
        <v>0</v>
      </c>
      <c r="I769" s="3" t="n">
        <v>0</v>
      </c>
      <c r="J769" s="3" t="n">
        <v>0</v>
      </c>
      <c r="K769" s="3" t="n">
        <v>0</v>
      </c>
      <c r="L769" s="3">
        <f>IF(K769&lt;-5,"CRÍTICO",IF(K769&lt;0,"ATENÇÃO",IF(K769&lt;=5,"OPORTUNO","MUITO BOM")))</f>
        <v/>
      </c>
      <c r="M769" s="3" t="n">
        <v>0</v>
      </c>
      <c r="N769" s="3" t="n">
        <v>100</v>
      </c>
      <c r="O769" s="3" t="n">
        <v>16.89497716894977</v>
      </c>
    </row>
    <row r="770" hidden="1">
      <c r="A770" s="10" t="n">
        <v>46164</v>
      </c>
      <c r="B770" s="6" t="inlineStr">
        <is>
          <t>Alisson de Freitas Silva</t>
        </is>
      </c>
      <c r="C770" s="3" t="inlineStr">
        <is>
          <t>Técnico II</t>
        </is>
      </c>
      <c r="D770" s="3" t="n">
        <v>23</v>
      </c>
      <c r="E770" s="3" t="n">
        <v>15</v>
      </c>
      <c r="F770" s="3" t="n">
        <v>15.08</v>
      </c>
      <c r="G770" s="3" t="n">
        <v>1</v>
      </c>
      <c r="H770" s="3" t="n">
        <v>0</v>
      </c>
      <c r="I770" s="3">
        <f>E770+G770+H770</f>
        <v/>
      </c>
      <c r="J770" s="3">
        <f>ROUND(MIN(IF(C770="Técnico III",35,IF(C770="Técnico II",28,IF(C770="Técnico I",23,IF(C770="JR",20,IF(C770="Estágio",10,0))))),IF(C770="Técnico III",SUMIFS($D:$D,$A:$A,$A770,$B:$B,"&lt;&gt;Patrícia Karla de Sousa Araújo",$B:$B,"&lt;&gt;Lorena Dias de Araujo",$B:$B,"&lt;&gt;Lucas Luiz Romero")*(35/1083),IF(C770="Técnico II",SUMIFS($D:$D,$A:$A,$A770,$B:$B,"&lt;&gt;Patrícia Karla de Sousa Araújo",$B:$B,"&lt;&gt;Lorena Dias de Araujo",$B:$B,"&lt;&gt;Lucas Luiz Romero")*(28/1083),IF(C770="Técnico I",SUMIFS($D:$D,$A:$A,$A770,$B:$B,"&lt;&gt;Patrícia Karla de Sousa Araújo",$B:$B,"&lt;&gt;Lorena Dias de Araujo",$B:$B,"&lt;&gt;Lucas Luiz Romero")*(23/1083),IF(C770="JR",SUMIFS($D:$D,$A:$A,$A770,$B:$B,"&lt;&gt;Patrícia Karla de Sousa Araújo",$B:$B,"&lt;&gt;Lorena Dias de Araujo",$B:$B,"&lt;&gt;Lucas Luiz Romero")*(20/1083),IF(C770="Estágio",SUMIFS($D:$D,$A:$A,$A770,$B:$B,"&lt;&gt;Patrícia Karla de Sousa Araújo",$B:$B,"&lt;&gt;Lorena Dias de Araujo",$B:$B,"&lt;&gt;Lucas Luiz Romero")*(10/1083),0)))))),0)</f>
        <v/>
      </c>
      <c r="K770" s="3">
        <f>I770-J770</f>
        <v/>
      </c>
      <c r="L770" s="3">
        <f>IF(K770&lt;-5,"CRÍTICO",IF(K770&lt;0,"ATENÇÃO",IF(K770&lt;=5,"OPORTUNO","MUITO BOM")))</f>
        <v/>
      </c>
      <c r="M770" s="3" t="n">
        <v>11</v>
      </c>
      <c r="N770" s="3" t="n">
        <v>98.94</v>
      </c>
      <c r="O770" s="3" t="n">
        <v>19.61414790996785</v>
      </c>
    </row>
    <row r="771" hidden="1">
      <c r="A771" s="10" t="n">
        <v>46164</v>
      </c>
      <c r="B771" s="6" t="inlineStr">
        <is>
          <t>Brenda de Menezes Silva</t>
        </is>
      </c>
      <c r="C771" s="3" t="inlineStr">
        <is>
          <t>Técnico II</t>
        </is>
      </c>
      <c r="D771" s="3" t="n">
        <v>30</v>
      </c>
      <c r="E771" s="3" t="n">
        <v>27</v>
      </c>
      <c r="F771" s="3" t="n">
        <v>9.15</v>
      </c>
      <c r="G771" s="3" t="n">
        <v>6</v>
      </c>
      <c r="H771" s="3" t="n">
        <v>0</v>
      </c>
      <c r="I771" s="3">
        <f>E771+G771+H771</f>
        <v/>
      </c>
      <c r="J771" s="3">
        <f>ROUND(MIN(IF(C771="Técnico III",35,IF(C771="Técnico II",28,IF(C771="Técnico I",23,IF(C771="JR",20,IF(C771="Estágio",10,0))))),IF(C771="Técnico III",SUMIFS($D:$D,$A:$A,$A771,$B:$B,"&lt;&gt;Patrícia Karla de Sousa Araújo",$B:$B,"&lt;&gt;Lorena Dias de Araujo",$B:$B,"&lt;&gt;Lucas Luiz Romero")*(35/1083),IF(C771="Técnico II",SUMIFS($D:$D,$A:$A,$A771,$B:$B,"&lt;&gt;Patrícia Karla de Sousa Araújo",$B:$B,"&lt;&gt;Lorena Dias de Araujo",$B:$B,"&lt;&gt;Lucas Luiz Romero")*(28/1083),IF(C771="Técnico I",SUMIFS($D:$D,$A:$A,$A771,$B:$B,"&lt;&gt;Patrícia Karla de Sousa Araújo",$B:$B,"&lt;&gt;Lorena Dias de Araujo",$B:$B,"&lt;&gt;Lucas Luiz Romero")*(23/1083),IF(C771="JR",SUMIFS($D:$D,$A:$A,$A771,$B:$B,"&lt;&gt;Patrícia Karla de Sousa Araújo",$B:$B,"&lt;&gt;Lorena Dias de Araujo",$B:$B,"&lt;&gt;Lucas Luiz Romero")*(20/1083),IF(C771="Estágio",SUMIFS($D:$D,$A:$A,$A771,$B:$B,"&lt;&gt;Patrícia Karla de Sousa Araújo",$B:$B,"&lt;&gt;Lorena Dias de Araujo",$B:$B,"&lt;&gt;Lucas Luiz Romero")*(10/1083),0)))))),0)</f>
        <v/>
      </c>
      <c r="K771" s="3">
        <f>I771-J771</f>
        <v/>
      </c>
      <c r="L771" s="3">
        <f>IF(K771&lt;-5,"CRÍTICO",IF(K771&lt;0,"ATENÇÃO",IF(K771&lt;=5,"OPORTUNO","MUITO BOM")))</f>
        <v/>
      </c>
      <c r="M771" s="3" t="n">
        <v>24</v>
      </c>
      <c r="N771" s="3" t="n">
        <v>99.13</v>
      </c>
      <c r="O771" s="3" t="n">
        <v>14.7239263803681</v>
      </c>
    </row>
    <row r="772" hidden="1">
      <c r="A772" s="10" t="n">
        <v>46164</v>
      </c>
      <c r="B772" s="6" t="inlineStr">
        <is>
          <t>Carlos Mateus Cassimiro Nunes</t>
        </is>
      </c>
      <c r="C772" s="3" t="inlineStr">
        <is>
          <t>Técnico II</t>
        </is>
      </c>
      <c r="D772" s="3" t="n">
        <v>13</v>
      </c>
      <c r="E772" s="3" t="n">
        <v>12</v>
      </c>
      <c r="F772" s="3" t="n">
        <v>16.53</v>
      </c>
      <c r="G772" s="3" t="n">
        <v>0</v>
      </c>
      <c r="H772" s="3" t="n">
        <v>0</v>
      </c>
      <c r="I772" s="3">
        <f>E772+G772+H772</f>
        <v/>
      </c>
      <c r="J772" s="3">
        <f>ROUND(MIN(IF(C772="Técnico III",35,IF(C772="Técnico II",28,IF(C772="Técnico I",23,IF(C772="JR",20,IF(C772="Estágio",10,0))))),IF(C772="Técnico III",SUMIFS($D:$D,$A:$A,$A772,$B:$B,"&lt;&gt;Patrícia Karla de Sousa Araújo",$B:$B,"&lt;&gt;Lorena Dias de Araujo",$B:$B,"&lt;&gt;Lucas Luiz Romero")*(35/1083),IF(C772="Técnico II",SUMIFS($D:$D,$A:$A,$A772,$B:$B,"&lt;&gt;Patrícia Karla de Sousa Araújo",$B:$B,"&lt;&gt;Lorena Dias de Araujo",$B:$B,"&lt;&gt;Lucas Luiz Romero")*(28/1083),IF(C772="Técnico I",SUMIFS($D:$D,$A:$A,$A772,$B:$B,"&lt;&gt;Patrícia Karla de Sousa Araújo",$B:$B,"&lt;&gt;Lorena Dias de Araujo",$B:$B,"&lt;&gt;Lucas Luiz Romero")*(23/1083),IF(C772="JR",SUMIFS($D:$D,$A:$A,$A772,$B:$B,"&lt;&gt;Patrícia Karla de Sousa Araújo",$B:$B,"&lt;&gt;Lorena Dias de Araujo",$B:$B,"&lt;&gt;Lucas Luiz Romero")*(20/1083),IF(C772="Estágio",SUMIFS($D:$D,$A:$A,$A772,$B:$B,"&lt;&gt;Patrícia Karla de Sousa Araújo",$B:$B,"&lt;&gt;Lorena Dias de Araujo",$B:$B,"&lt;&gt;Lucas Luiz Romero")*(10/1083),0)))))),0)</f>
        <v/>
      </c>
      <c r="K772" s="3">
        <f>I772-J772</f>
        <v/>
      </c>
      <c r="L772" s="3">
        <f>IF(K772&lt;-5,"CRÍTICO",IF(K772&lt;0,"ATENÇÃO",IF(K772&lt;=5,"OPORTUNO","MUITO BOM")))</f>
        <v/>
      </c>
      <c r="M772" s="3" t="n">
        <v>12</v>
      </c>
      <c r="N772" s="3" t="n">
        <v>98.8</v>
      </c>
      <c r="O772" s="3" t="n">
        <v>16.89750692520776</v>
      </c>
    </row>
    <row r="773" hidden="1">
      <c r="A773" s="10" t="n">
        <v>46164</v>
      </c>
      <c r="B773" s="6" t="inlineStr">
        <is>
          <t>Damyllis Lorraine de Oliveira Gonçalves</t>
        </is>
      </c>
      <c r="C773" s="3" t="inlineStr">
        <is>
          <t>Técnico II</t>
        </is>
      </c>
      <c r="D773" s="3" t="n">
        <v>0</v>
      </c>
      <c r="E773" s="3" t="n">
        <v>0</v>
      </c>
      <c r="F773" s="3" t="n">
        <v>0</v>
      </c>
      <c r="G773" s="3" t="n">
        <v>0</v>
      </c>
      <c r="H773" s="3" t="n">
        <v>0</v>
      </c>
      <c r="I773" s="3" t="n">
        <v>0</v>
      </c>
      <c r="J773" s="3" t="n">
        <v>0</v>
      </c>
      <c r="K773" s="3" t="n">
        <v>0</v>
      </c>
      <c r="L773" s="3">
        <f>IF(K773&lt;-5,"CRÍTICO",IF(K773&lt;0,"ATENÇÃO",IF(K773&lt;=5,"OPORTUNO","MUITO BOM")))</f>
        <v/>
      </c>
      <c r="M773" s="3" t="n">
        <v>0</v>
      </c>
      <c r="N773" s="3" t="n">
        <v>98.63</v>
      </c>
      <c r="O773" s="3" t="n">
        <v>18.75</v>
      </c>
    </row>
    <row r="774" hidden="1">
      <c r="A774" s="10" t="n">
        <v>46164</v>
      </c>
      <c r="B774" s="6" t="inlineStr">
        <is>
          <t>Emilly Kamilly Medeiros Miranda</t>
        </is>
      </c>
      <c r="C774" s="3" t="inlineStr">
        <is>
          <t>Técnico II</t>
        </is>
      </c>
      <c r="D774" s="3" t="n">
        <v>17</v>
      </c>
      <c r="E774" s="3" t="n">
        <v>14</v>
      </c>
      <c r="F774" s="3" t="n">
        <v>13.23</v>
      </c>
      <c r="G774" s="3" t="n">
        <v>1</v>
      </c>
      <c r="H774" s="3" t="n">
        <v>0</v>
      </c>
      <c r="I774" s="3">
        <f>E774+G774+H774</f>
        <v/>
      </c>
      <c r="J774" s="3">
        <f>ROUND(MIN(IF(C774="Técnico III",35,IF(C774="Técnico II",28,IF(C774="Técnico I",23,IF(C774="JR",20,IF(C774="Estágio",10,0))))),IF(C774="Técnico III",SUMIFS($D:$D,$A:$A,$A774,$B:$B,"&lt;&gt;Patrícia Karla de Sousa Araújo",$B:$B,"&lt;&gt;Lorena Dias de Araujo",$B:$B,"&lt;&gt;Lucas Luiz Romero")*(35/1083),IF(C774="Técnico II",SUMIFS($D:$D,$A:$A,$A774,$B:$B,"&lt;&gt;Patrícia Karla de Sousa Araújo",$B:$B,"&lt;&gt;Lorena Dias de Araujo",$B:$B,"&lt;&gt;Lucas Luiz Romero")*(28/1083),IF(C774="Técnico I",SUMIFS($D:$D,$A:$A,$A774,$B:$B,"&lt;&gt;Patrícia Karla de Sousa Araújo",$B:$B,"&lt;&gt;Lorena Dias de Araujo",$B:$B,"&lt;&gt;Lucas Luiz Romero")*(23/1083),IF(C774="JR",SUMIFS($D:$D,$A:$A,$A774,$B:$B,"&lt;&gt;Patrícia Karla de Sousa Araújo",$B:$B,"&lt;&gt;Lorena Dias de Araujo",$B:$B,"&lt;&gt;Lucas Luiz Romero")*(20/1083),IF(C774="Estágio",SUMIFS($D:$D,$A:$A,$A774,$B:$B,"&lt;&gt;Patrícia Karla de Sousa Araújo",$B:$B,"&lt;&gt;Lorena Dias de Araujo",$B:$B,"&lt;&gt;Lucas Luiz Romero")*(10/1083),0)))))),0)</f>
        <v/>
      </c>
      <c r="K774" s="3">
        <f>I774-J774</f>
        <v/>
      </c>
      <c r="L774" s="3">
        <f>IF(K774&lt;-5,"CRÍTICO",IF(K774&lt;0,"ATENÇÃO",IF(K774&lt;=5,"OPORTUNO","MUITO BOM")))</f>
        <v/>
      </c>
      <c r="M774" s="3" t="n">
        <v>15</v>
      </c>
      <c r="N774" s="3" t="n">
        <v>100</v>
      </c>
      <c r="O774" s="3" t="n">
        <v>13.8121546961326</v>
      </c>
    </row>
    <row r="775" hidden="1">
      <c r="A775" s="11" t="n">
        <v>46024</v>
      </c>
      <c r="B775" t="inlineStr">
        <is>
          <t>Alisson de Freitas Silva</t>
        </is>
      </c>
      <c r="C775" t="inlineStr">
        <is>
          <t>Técnico II</t>
        </is>
      </c>
      <c r="D775" t="n">
        <v>21</v>
      </c>
      <c r="E775" t="n">
        <v>17</v>
      </c>
      <c r="F775" t="n">
        <v>12.2</v>
      </c>
      <c r="I775" s="3">
        <f>E775+G775+H775</f>
        <v/>
      </c>
      <c r="J775" s="3">
        <f>ROUND(MIN(IF(C775="Técnico III",35,IF(C775="Técnico II",28,IF(C775="Técnico I",23,IF(C775="JR",20,IF(C775="Estágio",10,0))))),IF(C775="Técnico III",SUMIFS($D:$D,$A:$A,$A775,$B:$B,"&lt;&gt;Patrícia Karla de Sousa Araújo",$B:$B,"&lt;&gt;Lorena Dias de Araujo",$B:$B,"&lt;&gt;Lucas Luiz Romero")*(35/1083),IF(C775="Técnico II",SUMIFS($D:$D,$A:$A,$A775,$B:$B,"&lt;&gt;Patrícia Karla de Sousa Araújo",$B:$B,"&lt;&gt;Lorena Dias de Araujo",$B:$B,"&lt;&gt;Lucas Luiz Romero")*(28/1083),IF(C775="Técnico I",SUMIFS($D:$D,$A:$A,$A775,$B:$B,"&lt;&gt;Patrícia Karla de Sousa Araújo",$B:$B,"&lt;&gt;Lorena Dias de Araujo",$B:$B,"&lt;&gt;Lucas Luiz Romero")*(23/1083),IF(C775="JR",SUMIFS($D:$D,$A:$A,$A775,$B:$B,"&lt;&gt;Patrícia Karla de Sousa Araújo",$B:$B,"&lt;&gt;Lorena Dias de Araujo",$B:$B,"&lt;&gt;Lucas Luiz Romero")*(20/1083),IF(C775="Estágio",SUMIFS($D:$D,$A:$A,$A775,$B:$B,"&lt;&gt;Patrícia Karla de Sousa Araújo",$B:$B,"&lt;&gt;Lorena Dias de Araujo",$B:$B,"&lt;&gt;Lucas Luiz Romero")*(10/1083),0)))))),0)</f>
        <v/>
      </c>
      <c r="K775" s="3">
        <f>I775-J775</f>
        <v/>
      </c>
      <c r="L775" s="3">
        <f>IF(K775&lt;-5,"CRÍTICO",IF(K775&lt;0,"ATENÇÃO",IF(K775&lt;=5,"BOM","EXCELENTE")))</f>
        <v/>
      </c>
      <c r="N775" t="n">
        <v>96.81</v>
      </c>
      <c r="O775" t="n">
        <v>27.98053527980535</v>
      </c>
    </row>
    <row r="776" hidden="1">
      <c r="A776" s="11" t="n">
        <v>46024</v>
      </c>
      <c r="B776" t="inlineStr">
        <is>
          <t>Amanda Moura Ferreira</t>
        </is>
      </c>
      <c r="C776" t="inlineStr">
        <is>
          <t>Técnico III</t>
        </is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s="3" t="n">
        <v>0</v>
      </c>
      <c r="J776" s="3" t="n">
        <v>0</v>
      </c>
      <c r="K776" s="3" t="n">
        <v>0</v>
      </c>
      <c r="L776" s="3">
        <f>IF(K776&lt;-5,"CRÍTICO",IF(K776&lt;0,"ATENÇÃO",IF(K776&lt;=5,"BOM","EXCELENTE")))</f>
        <v/>
      </c>
      <c r="N776" t="n">
        <v>98.73</v>
      </c>
      <c r="O776" t="n">
        <v>35.75638506876228</v>
      </c>
    </row>
    <row r="777" hidden="1">
      <c r="A777" s="11" t="n">
        <v>46024</v>
      </c>
      <c r="B777" t="inlineStr">
        <is>
          <t>Ana Karollyne Souza Faria</t>
        </is>
      </c>
      <c r="C777" t="inlineStr">
        <is>
          <t>Técnico I</t>
        </is>
      </c>
      <c r="D777" t="n">
        <v>21</v>
      </c>
      <c r="E777" t="n">
        <v>19</v>
      </c>
      <c r="F777" t="n">
        <v>20.15</v>
      </c>
      <c r="I777" s="3">
        <f>E777+G777+H777</f>
        <v/>
      </c>
      <c r="J777" s="3">
        <f>ROUND(MIN(IF(C777="Técnico III",35,IF(C777="Técnico II",28,IF(C777="Técnico I",23,IF(C777="JR",20,IF(C777="Estágio",10,0))))),IF(C777="Técnico III",SUMIFS($D:$D,$A:$A,$A777,$B:$B,"&lt;&gt;Patrícia Karla de Sousa Araújo",$B:$B,"&lt;&gt;Lorena Dias de Araujo",$B:$B,"&lt;&gt;Lucas Luiz Romero")*(35/1083),IF(C777="Técnico II",SUMIFS($D:$D,$A:$A,$A777,$B:$B,"&lt;&gt;Patrícia Karla de Sousa Araújo",$B:$B,"&lt;&gt;Lorena Dias de Araujo",$B:$B,"&lt;&gt;Lucas Luiz Romero")*(28/1083),IF(C777="Técnico I",SUMIFS($D:$D,$A:$A,$A777,$B:$B,"&lt;&gt;Patrícia Karla de Sousa Araújo",$B:$B,"&lt;&gt;Lorena Dias de Araujo",$B:$B,"&lt;&gt;Lucas Luiz Romero")*(23/1083),IF(C777="JR",SUMIFS($D:$D,$A:$A,$A777,$B:$B,"&lt;&gt;Patrícia Karla de Sousa Araújo",$B:$B,"&lt;&gt;Lorena Dias de Araujo",$B:$B,"&lt;&gt;Lucas Luiz Romero")*(20/1083),IF(C777="Estágio",SUMIFS($D:$D,$A:$A,$A777,$B:$B,"&lt;&gt;Patrícia Karla de Sousa Araújo",$B:$B,"&lt;&gt;Lorena Dias de Araujo",$B:$B,"&lt;&gt;Lucas Luiz Romero")*(10/1083),0)))))),0)</f>
        <v/>
      </c>
      <c r="K777" s="3">
        <f>I777-J777</f>
        <v/>
      </c>
      <c r="L777" s="3">
        <f>IF(K777&lt;-5,"CRÍTICO",IF(K777&lt;0,"ATENÇÃO",IF(K777&lt;=5,"BOM","EXCELENTE")))</f>
        <v/>
      </c>
      <c r="N777" t="n">
        <v>98.31999999999999</v>
      </c>
      <c r="O777" t="n">
        <v>26.76348547717842</v>
      </c>
    </row>
    <row r="778" hidden="1">
      <c r="A778" s="11" t="n">
        <v>46024</v>
      </c>
      <c r="B778" t="inlineStr">
        <is>
          <t>Ana Paula Da Luz Silva Aleixo</t>
        </is>
      </c>
      <c r="C778" t="inlineStr">
        <is>
          <t>Técnico III</t>
        </is>
      </c>
      <c r="D778" t="n">
        <v>21</v>
      </c>
      <c r="E778" t="n">
        <v>20</v>
      </c>
      <c r="F778" t="n">
        <v>21.43</v>
      </c>
      <c r="I778" s="3">
        <f>E778+G778+H778</f>
        <v/>
      </c>
      <c r="J778" s="3">
        <f>ROUND(MIN(IF(C778="Técnico III",35,IF(C778="Técnico II",28,IF(C778="Técnico I",23,IF(C778="JR",20,IF(C778="Estágio",10,0))))),IF(C778="Técnico III",SUMIFS($D:$D,$A:$A,$A778,$B:$B,"&lt;&gt;Patrícia Karla de Sousa Araújo",$B:$B,"&lt;&gt;Lorena Dias de Araujo",$B:$B,"&lt;&gt;Lucas Luiz Romero")*(35/1083),IF(C778="Técnico II",SUMIFS($D:$D,$A:$A,$A778,$B:$B,"&lt;&gt;Patrícia Karla de Sousa Araújo",$B:$B,"&lt;&gt;Lorena Dias de Araujo",$B:$B,"&lt;&gt;Lucas Luiz Romero")*(28/1083),IF(C778="Técnico I",SUMIFS($D:$D,$A:$A,$A778,$B:$B,"&lt;&gt;Patrícia Karla de Sousa Araújo",$B:$B,"&lt;&gt;Lorena Dias de Araujo",$B:$B,"&lt;&gt;Lucas Luiz Romero")*(23/1083),IF(C778="JR",SUMIFS($D:$D,$A:$A,$A778,$B:$B,"&lt;&gt;Patrícia Karla de Sousa Araújo",$B:$B,"&lt;&gt;Lorena Dias de Araujo",$B:$B,"&lt;&gt;Lucas Luiz Romero")*(20/1083),IF(C778="Estágio",SUMIFS($D:$D,$A:$A,$A778,$B:$B,"&lt;&gt;Patrícia Karla de Sousa Araújo",$B:$B,"&lt;&gt;Lorena Dias de Araujo",$B:$B,"&lt;&gt;Lucas Luiz Romero")*(10/1083),0)))))),0)</f>
        <v/>
      </c>
      <c r="K778" s="3">
        <f>I778-J778</f>
        <v/>
      </c>
      <c r="L778" s="3">
        <f>IF(K778&lt;-5,"CRÍTICO",IF(K778&lt;0,"ATENÇÃO",IF(K778&lt;=5,"BOM","EXCELENTE")))</f>
        <v/>
      </c>
      <c r="N778" t="n">
        <v>99.19</v>
      </c>
      <c r="O778" t="n">
        <v>27.63713080168776</v>
      </c>
    </row>
    <row r="779" hidden="1">
      <c r="A779" s="11" t="n">
        <v>46024</v>
      </c>
      <c r="B779" t="inlineStr">
        <is>
          <t>Anna Luiza Rezende Tavares</t>
        </is>
      </c>
      <c r="C779" t="inlineStr">
        <is>
          <t>Estágio</t>
        </is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s="3" t="n">
        <v>0</v>
      </c>
      <c r="J779" s="3" t="n">
        <v>0</v>
      </c>
      <c r="K779" s="3" t="n">
        <v>0</v>
      </c>
      <c r="L779" s="3">
        <f>IF(K779&lt;-5,"CRÍTICO",IF(K779&lt;0,"ATENÇÃO",IF(K779&lt;=5,"BOM","EXCELENTE")))</f>
        <v/>
      </c>
      <c r="N779" t="n">
        <v>100</v>
      </c>
      <c r="O779" t="n">
        <v>39.56834532374101</v>
      </c>
    </row>
    <row r="780" hidden="1">
      <c r="A780" s="11" t="n">
        <v>46024</v>
      </c>
      <c r="B780" t="inlineStr">
        <is>
          <t>Brenda de Menezes Silva</t>
        </is>
      </c>
      <c r="C780" t="inlineStr">
        <is>
          <t>Técnico II</t>
        </is>
      </c>
      <c r="D780" t="n">
        <v>28</v>
      </c>
      <c r="E780" t="n">
        <v>25</v>
      </c>
      <c r="F780" t="n">
        <v>13.37</v>
      </c>
      <c r="I780" s="3">
        <f>E780+G780+H780</f>
        <v/>
      </c>
      <c r="J780" s="3">
        <f>ROUND(MIN(IF(C780="Técnico III",35,IF(C780="Técnico II",28,IF(C780="Técnico I",23,IF(C780="JR",20,IF(C780="Estágio",10,0))))),IF(C780="Técnico III",SUMIFS($D:$D,$A:$A,$A780,$B:$B,"&lt;&gt;Patrícia Karla de Sousa Araújo",$B:$B,"&lt;&gt;Lorena Dias de Araujo",$B:$B,"&lt;&gt;Lucas Luiz Romero")*(35/1083),IF(C780="Técnico II",SUMIFS($D:$D,$A:$A,$A780,$B:$B,"&lt;&gt;Patrícia Karla de Sousa Araújo",$B:$B,"&lt;&gt;Lorena Dias de Araujo",$B:$B,"&lt;&gt;Lucas Luiz Romero")*(28/1083),IF(C780="Técnico I",SUMIFS($D:$D,$A:$A,$A780,$B:$B,"&lt;&gt;Patrícia Karla de Sousa Araújo",$B:$B,"&lt;&gt;Lorena Dias de Araujo",$B:$B,"&lt;&gt;Lucas Luiz Romero")*(23/1083),IF(C780="JR",SUMIFS($D:$D,$A:$A,$A780,$B:$B,"&lt;&gt;Patrícia Karla de Sousa Araújo",$B:$B,"&lt;&gt;Lorena Dias de Araujo",$B:$B,"&lt;&gt;Lucas Luiz Romero")*(20/1083),IF(C780="Estágio",SUMIFS($D:$D,$A:$A,$A780,$B:$B,"&lt;&gt;Patrícia Karla de Sousa Araújo",$B:$B,"&lt;&gt;Lorena Dias de Araujo",$B:$B,"&lt;&gt;Lucas Luiz Romero")*(10/1083),0)))))),0)</f>
        <v/>
      </c>
      <c r="K780" s="3">
        <f>I780-J780</f>
        <v/>
      </c>
      <c r="L780" s="3">
        <f>IF(K780&lt;-5,"CRÍTICO",IF(K780&lt;0,"ATENÇÃO",IF(K780&lt;=5,"BOM","EXCELENTE")))</f>
        <v/>
      </c>
      <c r="N780" t="n">
        <v>98.54000000000001</v>
      </c>
      <c r="O780" t="n">
        <v>28.54477611940299</v>
      </c>
    </row>
    <row r="781" hidden="1">
      <c r="A781" s="11" t="n">
        <v>46024</v>
      </c>
      <c r="B781" t="inlineStr">
        <is>
          <t>Carlos Mateus Cassimiro Nunes</t>
        </is>
      </c>
      <c r="C781" t="inlineStr">
        <is>
          <t>Técnico II</t>
        </is>
      </c>
      <c r="D781" t="n">
        <v>22</v>
      </c>
      <c r="E781" t="n">
        <v>19</v>
      </c>
      <c r="F781" t="n">
        <v>16.58</v>
      </c>
      <c r="I781" s="3">
        <f>E781+G781+H781</f>
        <v/>
      </c>
      <c r="J781" s="3">
        <f>ROUND(MIN(IF(C781="Técnico III",35,IF(C781="Técnico II",28,IF(C781="Técnico I",23,IF(C781="JR",20,IF(C781="Estágio",10,0))))),IF(C781="Técnico III",SUMIFS($D:$D,$A:$A,$A781,$B:$B,"&lt;&gt;Patrícia Karla de Sousa Araújo",$B:$B,"&lt;&gt;Lorena Dias de Araujo",$B:$B,"&lt;&gt;Lucas Luiz Romero")*(35/1083),IF(C781="Técnico II",SUMIFS($D:$D,$A:$A,$A781,$B:$B,"&lt;&gt;Patrícia Karla de Sousa Araújo",$B:$B,"&lt;&gt;Lorena Dias de Araujo",$B:$B,"&lt;&gt;Lucas Luiz Romero")*(28/1083),IF(C781="Técnico I",SUMIFS($D:$D,$A:$A,$A781,$B:$B,"&lt;&gt;Patrícia Karla de Sousa Araújo",$B:$B,"&lt;&gt;Lorena Dias de Araujo",$B:$B,"&lt;&gt;Lucas Luiz Romero")*(23/1083),IF(C781="JR",SUMIFS($D:$D,$A:$A,$A781,$B:$B,"&lt;&gt;Patrícia Karla de Sousa Araújo",$B:$B,"&lt;&gt;Lorena Dias de Araujo",$B:$B,"&lt;&gt;Lucas Luiz Romero")*(20/1083),IF(C781="Estágio",SUMIFS($D:$D,$A:$A,$A781,$B:$B,"&lt;&gt;Patrícia Karla de Sousa Araújo",$B:$B,"&lt;&gt;Lorena Dias de Araujo",$B:$B,"&lt;&gt;Lucas Luiz Romero")*(10/1083),0)))))),0)</f>
        <v/>
      </c>
      <c r="K781" s="3">
        <f>I781-J781</f>
        <v/>
      </c>
      <c r="L781" s="3">
        <f>IF(K781&lt;-5,"CRÍTICO",IF(K781&lt;0,"ATENÇÃO",IF(K781&lt;=5,"BOM","EXCELENTE")))</f>
        <v/>
      </c>
      <c r="N781" t="n">
        <v>100</v>
      </c>
      <c r="O781" t="n">
        <v>34.36692506459949</v>
      </c>
    </row>
    <row r="782" hidden="1">
      <c r="A782" s="11" t="n">
        <v>46024</v>
      </c>
      <c r="B782" t="inlineStr">
        <is>
          <t>Claudio de Sousa Velasco Filho</t>
        </is>
      </c>
      <c r="C782" t="inlineStr">
        <is>
          <t>Estágio</t>
        </is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s="3" t="n">
        <v>0</v>
      </c>
      <c r="J782" s="3" t="n">
        <v>0</v>
      </c>
      <c r="K782" s="3" t="n">
        <v>0</v>
      </c>
      <c r="L782" s="3">
        <f>IF(K782&lt;-5,"CRÍTICO",IF(K782&lt;0,"ATENÇÃO",IF(K782&lt;=5,"BOM","EXCELENTE")))</f>
        <v/>
      </c>
      <c r="N782" t="n">
        <v>0</v>
      </c>
      <c r="O782" t="n">
        <v>0</v>
      </c>
    </row>
    <row r="783" hidden="1">
      <c r="A783" s="11" t="n">
        <v>46024</v>
      </c>
      <c r="B783" t="inlineStr">
        <is>
          <t>Clessiane Pereira dos Santos</t>
        </is>
      </c>
      <c r="C783" t="inlineStr">
        <is>
          <t>Técnico I</t>
        </is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s="3" t="n">
        <v>0</v>
      </c>
      <c r="J783" s="3" t="n">
        <v>0</v>
      </c>
      <c r="K783" s="3" t="n">
        <v>0</v>
      </c>
      <c r="L783" s="3">
        <f>IF(K783&lt;-5,"CRÍTICO",IF(K783&lt;0,"ATENÇÃO",IF(K783&lt;=5,"BOM","EXCELENTE")))</f>
        <v/>
      </c>
      <c r="N783" t="n">
        <v>100</v>
      </c>
      <c r="O783" t="n">
        <v>29.51807228915663</v>
      </c>
    </row>
    <row r="784" hidden="1">
      <c r="A784" s="11" t="n">
        <v>46024</v>
      </c>
      <c r="B784" t="inlineStr">
        <is>
          <t>Cristiane Ramos da Silva Rocha</t>
        </is>
      </c>
      <c r="C784" t="inlineStr">
        <is>
          <t>Técnico III</t>
        </is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s="3" t="n">
        <v>0</v>
      </c>
      <c r="J784" s="3" t="n">
        <v>0</v>
      </c>
      <c r="K784" s="3" t="n">
        <v>0</v>
      </c>
      <c r="L784" s="3">
        <f>IF(K784&lt;-5,"CRÍTICO",IF(K784&lt;0,"ATENÇÃO",IF(K784&lt;=5,"BOM","EXCELENTE")))</f>
        <v/>
      </c>
      <c r="N784" t="n">
        <v>97.45</v>
      </c>
      <c r="O784" t="n">
        <v>41.421143847487</v>
      </c>
    </row>
    <row r="785" hidden="1">
      <c r="A785" s="11" t="n">
        <v>46024</v>
      </c>
      <c r="B785" t="inlineStr">
        <is>
          <t>Damyllis Lorraine de Oliveira Gonçalves</t>
        </is>
      </c>
      <c r="C785" t="inlineStr">
        <is>
          <t>Técnico II</t>
        </is>
      </c>
      <c r="D785" t="n">
        <v>25</v>
      </c>
      <c r="E785" t="n">
        <v>16</v>
      </c>
      <c r="F785" t="n">
        <v>8.369999999999999</v>
      </c>
      <c r="G785" t="n">
        <v>0</v>
      </c>
      <c r="H785" t="n">
        <v>0</v>
      </c>
      <c r="I785" s="3" t="n">
        <v>0</v>
      </c>
      <c r="J785" s="3" t="n">
        <v>0</v>
      </c>
      <c r="K785" s="3" t="n">
        <v>0</v>
      </c>
      <c r="L785" s="3">
        <f>IF(K785&lt;-5,"CRÍTICO",IF(K785&lt;0,"ATENÇÃO",IF(K785&lt;=5,"BOM","EXCELENTE")))</f>
        <v/>
      </c>
      <c r="N785" t="n">
        <v>96.58</v>
      </c>
      <c r="O785" t="n">
        <v>30.39647577092511</v>
      </c>
    </row>
    <row r="786" hidden="1">
      <c r="A786" s="11" t="n">
        <v>46024</v>
      </c>
      <c r="B786" t="inlineStr">
        <is>
          <t>Daniel Gomes da Silva</t>
        </is>
      </c>
      <c r="C786" t="inlineStr">
        <is>
          <t>Técnico I</t>
        </is>
      </c>
      <c r="D786" t="n">
        <v>14</v>
      </c>
      <c r="E786" t="n">
        <v>14</v>
      </c>
      <c r="F786" t="n">
        <v>26.53</v>
      </c>
      <c r="I786" s="3">
        <f>E786+G786+H786</f>
        <v/>
      </c>
      <c r="J786" s="3">
        <f>ROUND(MIN(IF(C786="Técnico III",35,IF(C786="Técnico II",28,IF(C786="Técnico I",23,IF(C786="JR",20,IF(C786="Estágio",10,0))))),IF(C786="Técnico III",SUMIFS($D:$D,$A:$A,$A786,$B:$B,"&lt;&gt;Patrícia Karla de Sousa Araújo",$B:$B,"&lt;&gt;Lorena Dias de Araujo",$B:$B,"&lt;&gt;Lucas Luiz Romero")*(35/1083),IF(C786="Técnico II",SUMIFS($D:$D,$A:$A,$A786,$B:$B,"&lt;&gt;Patrícia Karla de Sousa Araújo",$B:$B,"&lt;&gt;Lorena Dias de Araujo",$B:$B,"&lt;&gt;Lucas Luiz Romero")*(28/1083),IF(C786="Técnico I",SUMIFS($D:$D,$A:$A,$A786,$B:$B,"&lt;&gt;Patrícia Karla de Sousa Araújo",$B:$B,"&lt;&gt;Lorena Dias de Araujo",$B:$B,"&lt;&gt;Lucas Luiz Romero")*(23/1083),IF(C786="JR",SUMIFS($D:$D,$A:$A,$A786,$B:$B,"&lt;&gt;Patrícia Karla de Sousa Araújo",$B:$B,"&lt;&gt;Lorena Dias de Araujo",$B:$B,"&lt;&gt;Lucas Luiz Romero")*(20/1083),IF(C786="Estágio",SUMIFS($D:$D,$A:$A,$A786,$B:$B,"&lt;&gt;Patrícia Karla de Sousa Araújo",$B:$B,"&lt;&gt;Lorena Dias de Araujo",$B:$B,"&lt;&gt;Lucas Luiz Romero")*(10/1083),0)))))),0)</f>
        <v/>
      </c>
      <c r="K786" s="3">
        <f>I786-J786</f>
        <v/>
      </c>
      <c r="L786" s="3">
        <f>IF(K786&lt;-5,"CRÍTICO",IF(K786&lt;0,"ATENÇÃO",IF(K786&lt;=5,"BOM","EXCELENTE")))</f>
        <v/>
      </c>
      <c r="N786" t="n">
        <v>100</v>
      </c>
      <c r="O786" t="n">
        <v>27.44282744282744</v>
      </c>
    </row>
    <row r="787" hidden="1">
      <c r="A787" s="11" t="n">
        <v>46024</v>
      </c>
      <c r="B787" t="inlineStr">
        <is>
          <t>Davylla Rodrigues Freitas Silva</t>
        </is>
      </c>
      <c r="C787" t="inlineStr">
        <is>
          <t>Técnico III</t>
        </is>
      </c>
      <c r="D787" t="n">
        <v>18</v>
      </c>
      <c r="E787" t="n">
        <v>16</v>
      </c>
      <c r="F787" t="n">
        <v>27.31</v>
      </c>
      <c r="G787" t="n">
        <v>0</v>
      </c>
      <c r="H787" t="n">
        <v>0</v>
      </c>
      <c r="I787" s="3" t="n">
        <v>0</v>
      </c>
      <c r="J787" s="3" t="n">
        <v>0</v>
      </c>
      <c r="K787" s="3" t="n">
        <v>0</v>
      </c>
      <c r="L787" s="3">
        <f>IF(K787&lt;-5,"CRÍTICO",IF(K787&lt;0,"ATENÇÃO",IF(K787&lt;=5,"BOM","EXCELENTE")))</f>
        <v/>
      </c>
      <c r="N787" t="n">
        <v>99.48999999999999</v>
      </c>
      <c r="O787" t="n">
        <v>40.2</v>
      </c>
    </row>
    <row r="788" hidden="1">
      <c r="A788" s="11" t="n">
        <v>46024</v>
      </c>
      <c r="B788" t="inlineStr">
        <is>
          <t>Emilly Caylane Costa</t>
        </is>
      </c>
      <c r="C788" t="inlineStr">
        <is>
          <t>Estágio</t>
        </is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s="3" t="n">
        <v>0</v>
      </c>
      <c r="J788" s="3" t="n">
        <v>0</v>
      </c>
      <c r="K788" s="3" t="n">
        <v>0</v>
      </c>
      <c r="L788" s="3">
        <f>IF(K788&lt;-5,"CRÍTICO",IF(K788&lt;0,"ATENÇÃO",IF(K788&lt;=5,"BOM","EXCELENTE")))</f>
        <v/>
      </c>
      <c r="N788" t="n">
        <v>100</v>
      </c>
      <c r="O788" t="n">
        <v>25</v>
      </c>
    </row>
    <row r="789" hidden="1">
      <c r="A789" s="11" t="n">
        <v>46024</v>
      </c>
      <c r="B789" t="inlineStr">
        <is>
          <t>Emilly Kamilly Medeiros Miranda</t>
        </is>
      </c>
      <c r="C789" t="inlineStr">
        <is>
          <t>Técnico II</t>
        </is>
      </c>
      <c r="D789" t="n">
        <v>27</v>
      </c>
      <c r="E789" t="n">
        <v>26</v>
      </c>
      <c r="F789" t="n">
        <v>12.32</v>
      </c>
      <c r="I789" s="3">
        <f>E789+G789+H789</f>
        <v/>
      </c>
      <c r="J789" s="3">
        <f>ROUND(MIN(IF(C789="Técnico III",35,IF(C789="Técnico II",28,IF(C789="Técnico I",23,IF(C789="JR",20,IF(C789="Estágio",10,0))))),IF(C789="Técnico III",SUMIFS($D:$D,$A:$A,$A789,$B:$B,"&lt;&gt;Patrícia Karla de Sousa Araújo",$B:$B,"&lt;&gt;Lorena Dias de Araujo",$B:$B,"&lt;&gt;Lucas Luiz Romero")*(35/1083),IF(C789="Técnico II",SUMIFS($D:$D,$A:$A,$A789,$B:$B,"&lt;&gt;Patrícia Karla de Sousa Araújo",$B:$B,"&lt;&gt;Lorena Dias de Araujo",$B:$B,"&lt;&gt;Lucas Luiz Romero")*(28/1083),IF(C789="Técnico I",SUMIFS($D:$D,$A:$A,$A789,$B:$B,"&lt;&gt;Patrícia Karla de Sousa Araújo",$B:$B,"&lt;&gt;Lorena Dias de Araujo",$B:$B,"&lt;&gt;Lucas Luiz Romero")*(23/1083),IF(C789="JR",SUMIFS($D:$D,$A:$A,$A789,$B:$B,"&lt;&gt;Patrícia Karla de Sousa Araújo",$B:$B,"&lt;&gt;Lorena Dias de Araujo",$B:$B,"&lt;&gt;Lucas Luiz Romero")*(20/1083),IF(C789="Estágio",SUMIFS($D:$D,$A:$A,$A789,$B:$B,"&lt;&gt;Patrícia Karla de Sousa Araújo",$B:$B,"&lt;&gt;Lorena Dias de Araujo",$B:$B,"&lt;&gt;Lucas Luiz Romero")*(10/1083),0)))))),0)</f>
        <v/>
      </c>
      <c r="K789" s="3">
        <f>I789-J789</f>
        <v/>
      </c>
      <c r="L789" s="3">
        <f>IF(K789&lt;-5,"CRÍTICO",IF(K789&lt;0,"ATENÇÃO",IF(K789&lt;=5,"BOM","EXCELENTE")))</f>
        <v/>
      </c>
      <c r="N789" t="n">
        <v>100</v>
      </c>
      <c r="O789" t="n">
        <v>34.15094339622641</v>
      </c>
    </row>
    <row r="790" hidden="1">
      <c r="A790" s="11" t="n">
        <v>46024</v>
      </c>
      <c r="B790" t="inlineStr">
        <is>
          <t>Francielson de Oliveira</t>
        </is>
      </c>
      <c r="C790" t="inlineStr">
        <is>
          <t>Técnico III</t>
        </is>
      </c>
      <c r="D790" t="n">
        <v>17</v>
      </c>
      <c r="E790" t="n">
        <v>17</v>
      </c>
      <c r="F790" t="n">
        <v>16.5</v>
      </c>
      <c r="I790" s="3">
        <f>E790+G790+H790</f>
        <v/>
      </c>
      <c r="J790" s="3">
        <f>ROUND(MIN(IF(C790="Técnico III",35,IF(C790="Técnico II",28,IF(C790="Técnico I",23,IF(C790="JR",20,IF(C790="Estágio",10,0))))),IF(C790="Técnico III",SUMIFS($D:$D,$A:$A,$A790,$B:$B,"&lt;&gt;Patrícia Karla de Sousa Araújo",$B:$B,"&lt;&gt;Lorena Dias de Araujo",$B:$B,"&lt;&gt;Lucas Luiz Romero")*(35/1083),IF(C790="Técnico II",SUMIFS($D:$D,$A:$A,$A790,$B:$B,"&lt;&gt;Patrícia Karla de Sousa Araújo",$B:$B,"&lt;&gt;Lorena Dias de Araujo",$B:$B,"&lt;&gt;Lucas Luiz Romero")*(28/1083),IF(C790="Técnico I",SUMIFS($D:$D,$A:$A,$A790,$B:$B,"&lt;&gt;Patrícia Karla de Sousa Araújo",$B:$B,"&lt;&gt;Lorena Dias de Araujo",$B:$B,"&lt;&gt;Lucas Luiz Romero")*(23/1083),IF(C790="JR",SUMIFS($D:$D,$A:$A,$A790,$B:$B,"&lt;&gt;Patrícia Karla de Sousa Araújo",$B:$B,"&lt;&gt;Lorena Dias de Araujo",$B:$B,"&lt;&gt;Lucas Luiz Romero")*(20/1083),IF(C790="Estágio",SUMIFS($D:$D,$A:$A,$A790,$B:$B,"&lt;&gt;Patrícia Karla de Sousa Araújo",$B:$B,"&lt;&gt;Lorena Dias de Araujo",$B:$B,"&lt;&gt;Lucas Luiz Romero")*(10/1083),0)))))),0)</f>
        <v/>
      </c>
      <c r="K790" s="3">
        <f>I790-J790</f>
        <v/>
      </c>
      <c r="L790" s="3">
        <f>IF(K790&lt;-5,"CRÍTICO",IF(K790&lt;0,"ATENÇÃO",IF(K790&lt;=5,"BOM","EXCELENTE")))</f>
        <v/>
      </c>
      <c r="N790" t="n">
        <v>100</v>
      </c>
      <c r="O790" t="n">
        <v>32.7313769751693</v>
      </c>
    </row>
    <row r="791" hidden="1">
      <c r="A791" s="11" t="n">
        <v>46024</v>
      </c>
      <c r="B791" t="inlineStr">
        <is>
          <t>Francilene Ferreira de Jesus</t>
        </is>
      </c>
      <c r="C791" t="inlineStr">
        <is>
          <t>Técnico II</t>
        </is>
      </c>
      <c r="D791" t="n">
        <v>27</v>
      </c>
      <c r="E791" t="n">
        <v>25</v>
      </c>
      <c r="F791" t="n">
        <v>14.1</v>
      </c>
      <c r="I791" s="3">
        <f>E791+G791+H791</f>
        <v/>
      </c>
      <c r="J791" s="3">
        <f>ROUND(MIN(IF(C791="Técnico III",35,IF(C791="Técnico II",28,IF(C791="Técnico I",23,IF(C791="JR",20,IF(C791="Estágio",10,0))))),IF(C791="Técnico III",SUMIFS($D:$D,$A:$A,$A791,$B:$B,"&lt;&gt;Patrícia Karla de Sousa Araújo",$B:$B,"&lt;&gt;Lorena Dias de Araujo",$B:$B,"&lt;&gt;Lucas Luiz Romero")*(35/1083),IF(C791="Técnico II",SUMIFS($D:$D,$A:$A,$A791,$B:$B,"&lt;&gt;Patrícia Karla de Sousa Araújo",$B:$B,"&lt;&gt;Lorena Dias de Araujo",$B:$B,"&lt;&gt;Lucas Luiz Romero")*(28/1083),IF(C791="Técnico I",SUMIFS($D:$D,$A:$A,$A791,$B:$B,"&lt;&gt;Patrícia Karla de Sousa Araújo",$B:$B,"&lt;&gt;Lorena Dias de Araujo",$B:$B,"&lt;&gt;Lucas Luiz Romero")*(23/1083),IF(C791="JR",SUMIFS($D:$D,$A:$A,$A791,$B:$B,"&lt;&gt;Patrícia Karla de Sousa Araújo",$B:$B,"&lt;&gt;Lorena Dias de Araujo",$B:$B,"&lt;&gt;Lucas Luiz Romero")*(20/1083),IF(C791="Estágio",SUMIFS($D:$D,$A:$A,$A791,$B:$B,"&lt;&gt;Patrícia Karla de Sousa Araújo",$B:$B,"&lt;&gt;Lorena Dias de Araujo",$B:$B,"&lt;&gt;Lucas Luiz Romero")*(10/1083),0)))))),0)</f>
        <v/>
      </c>
      <c r="K791" s="3">
        <f>I791-J791</f>
        <v/>
      </c>
      <c r="L791" s="3">
        <f>IF(K791&lt;-5,"CRÍTICO",IF(K791&lt;0,"ATENÇÃO",IF(K791&lt;=5,"BOM","EXCELENTE")))</f>
        <v/>
      </c>
      <c r="N791" t="n">
        <v>99.31</v>
      </c>
      <c r="O791" t="n">
        <v>30.96234309623431</v>
      </c>
    </row>
    <row r="792" hidden="1">
      <c r="A792" s="11" t="n">
        <v>46058</v>
      </c>
      <c r="B792" t="inlineStr">
        <is>
          <t>Gabriel Gomes de Andrade</t>
        </is>
      </c>
      <c r="C792" t="inlineStr">
        <is>
          <t>Técnico I</t>
        </is>
      </c>
      <c r="D792" t="n">
        <v>27</v>
      </c>
      <c r="E792" t="n">
        <v>26</v>
      </c>
      <c r="F792" t="n">
        <v>20.02</v>
      </c>
      <c r="G792" t="n">
        <v>0</v>
      </c>
      <c r="H792" t="n">
        <v>0</v>
      </c>
      <c r="I792" s="3">
        <f>E792+G792+H792</f>
        <v/>
      </c>
      <c r="J792" s="3">
        <f>ROUND(MIN(IF(C792="Técnico III",35,IF(C792="Técnico II",28,IF(C792="Técnico I",23,IF(C792="JR",20,IF(C792="Estágio",10,0))))),IF(C792="Técnico III",SUMIFS($D:$D,$A:$A,$A792,$B:$B,"&lt;&gt;Patrícia Karla de Sousa Araújo",$B:$B,"&lt;&gt;Lorena Dias de Araujo",$B:$B,"&lt;&gt;Lucas Luiz Romero")*(35/1083),IF(C792="Técnico II",SUMIFS($D:$D,$A:$A,$A792,$B:$B,"&lt;&gt;Patrícia Karla de Sousa Araújo",$B:$B,"&lt;&gt;Lorena Dias de Araujo",$B:$B,"&lt;&gt;Lucas Luiz Romero")*(28/1083),IF(C792="Técnico I",SUMIFS($D:$D,$A:$A,$A792,$B:$B,"&lt;&gt;Patrícia Karla de Sousa Araújo",$B:$B,"&lt;&gt;Lorena Dias de Araujo",$B:$B,"&lt;&gt;Lucas Luiz Romero")*(23/1083),IF(C792="JR",SUMIFS($D:$D,$A:$A,$A792,$B:$B,"&lt;&gt;Patrícia Karla de Sousa Araújo",$B:$B,"&lt;&gt;Lorena Dias de Araujo",$B:$B,"&lt;&gt;Lucas Luiz Romero")*(20/1083),IF(C792="Estágio",SUMIFS($D:$D,$A:$A,$A792,$B:$B,"&lt;&gt;Patrícia Karla de Sousa Araújo",$B:$B,"&lt;&gt;Lorena Dias de Araujo",$B:$B,"&lt;&gt;Lucas Luiz Romero")*(10/1083),0)))))),0)</f>
        <v/>
      </c>
      <c r="K792" s="3">
        <f>I792-J792</f>
        <v/>
      </c>
      <c r="L792" s="3">
        <f>IF(K792&lt;-5,"CRÍTICO",IF(K792&lt;0,"ATENÇÃO",IF(K792&lt;=5,"BOM","EXCELENTE")))</f>
        <v/>
      </c>
      <c r="N792" t="n">
        <v>96.67</v>
      </c>
      <c r="O792" t="n">
        <v>31.45161290322581</v>
      </c>
    </row>
    <row r="793" hidden="1">
      <c r="A793" s="11" t="n">
        <v>46024</v>
      </c>
      <c r="B793" t="inlineStr">
        <is>
          <t>Isabella Borges de Oliveira</t>
        </is>
      </c>
      <c r="C793" t="inlineStr">
        <is>
          <t>Técnico II</t>
        </is>
      </c>
      <c r="D793" t="n">
        <v>21</v>
      </c>
      <c r="E793" t="n">
        <v>21</v>
      </c>
      <c r="F793" t="n">
        <v>20.28</v>
      </c>
      <c r="I793" s="3">
        <f>E793+G793+H793</f>
        <v/>
      </c>
      <c r="J793" s="3">
        <f>ROUND(MIN(IF(C793="Técnico III",35,IF(C793="Técnico II",28,IF(C793="Técnico I",23,IF(C793="JR",20,IF(C793="Estágio",10,0))))),IF(C793="Técnico III",SUMIFS($D:$D,$A:$A,$A793,$B:$B,"&lt;&gt;Patrícia Karla de Sousa Araújo",$B:$B,"&lt;&gt;Lorena Dias de Araujo",$B:$B,"&lt;&gt;Lucas Luiz Romero")*(35/1083),IF(C793="Técnico II",SUMIFS($D:$D,$A:$A,$A793,$B:$B,"&lt;&gt;Patrícia Karla de Sousa Araújo",$B:$B,"&lt;&gt;Lorena Dias de Araujo",$B:$B,"&lt;&gt;Lucas Luiz Romero")*(28/1083),IF(C793="Técnico I",SUMIFS($D:$D,$A:$A,$A793,$B:$B,"&lt;&gt;Patrícia Karla de Sousa Araújo",$B:$B,"&lt;&gt;Lorena Dias de Araujo",$B:$B,"&lt;&gt;Lucas Luiz Romero")*(23/1083),IF(C793="JR",SUMIFS($D:$D,$A:$A,$A793,$B:$B,"&lt;&gt;Patrícia Karla de Sousa Araújo",$B:$B,"&lt;&gt;Lorena Dias de Araujo",$B:$B,"&lt;&gt;Lucas Luiz Romero")*(20/1083),IF(C793="Estágio",SUMIFS($D:$D,$A:$A,$A793,$B:$B,"&lt;&gt;Patrícia Karla de Sousa Araújo",$B:$B,"&lt;&gt;Lorena Dias de Araujo",$B:$B,"&lt;&gt;Lucas Luiz Romero")*(10/1083),0)))))),0)</f>
        <v/>
      </c>
      <c r="K793" s="3">
        <f>I793-J793</f>
        <v/>
      </c>
      <c r="L793" s="3">
        <f>IF(K793&lt;-5,"CRÍTICO",IF(K793&lt;0,"ATENÇÃO",IF(K793&lt;=5,"BOM","EXCELENTE")))</f>
        <v/>
      </c>
      <c r="N793" t="n">
        <v>100</v>
      </c>
      <c r="O793" t="n">
        <v>27.67676767676768</v>
      </c>
    </row>
    <row r="794" hidden="1">
      <c r="A794" s="11" t="n">
        <v>46024</v>
      </c>
      <c r="B794" t="inlineStr">
        <is>
          <t>Janaina Lima dos Reis Urany</t>
        </is>
      </c>
      <c r="C794" t="inlineStr">
        <is>
          <t>Técnico III</t>
        </is>
      </c>
      <c r="D794" t="n">
        <v>30</v>
      </c>
      <c r="E794" t="n">
        <v>27</v>
      </c>
      <c r="F794" t="n">
        <v>12.25</v>
      </c>
      <c r="I794" s="3">
        <f>E794+G794+H794</f>
        <v/>
      </c>
      <c r="J794" s="3">
        <f>ROUND(MIN(IF(C794="Técnico III",35,IF(C794="Técnico II",28,IF(C794="Técnico I",23,IF(C794="JR",20,IF(C794="Estágio",10,0))))),IF(C794="Técnico III",SUMIFS($D:$D,$A:$A,$A794,$B:$B,"&lt;&gt;Patrícia Karla de Sousa Araújo",$B:$B,"&lt;&gt;Lorena Dias de Araujo",$B:$B,"&lt;&gt;Lucas Luiz Romero")*(35/1083),IF(C794="Técnico II",SUMIFS($D:$D,$A:$A,$A794,$B:$B,"&lt;&gt;Patrícia Karla de Sousa Araújo",$B:$B,"&lt;&gt;Lorena Dias de Araujo",$B:$B,"&lt;&gt;Lucas Luiz Romero")*(28/1083),IF(C794="Técnico I",SUMIFS($D:$D,$A:$A,$A794,$B:$B,"&lt;&gt;Patrícia Karla de Sousa Araújo",$B:$B,"&lt;&gt;Lorena Dias de Araujo",$B:$B,"&lt;&gt;Lucas Luiz Romero")*(23/1083),IF(C794="JR",SUMIFS($D:$D,$A:$A,$A794,$B:$B,"&lt;&gt;Patrícia Karla de Sousa Araújo",$B:$B,"&lt;&gt;Lorena Dias de Araujo",$B:$B,"&lt;&gt;Lucas Luiz Romero")*(20/1083),IF(C794="Estágio",SUMIFS($D:$D,$A:$A,$A794,$B:$B,"&lt;&gt;Patrícia Karla de Sousa Araújo",$B:$B,"&lt;&gt;Lorena Dias de Araujo",$B:$B,"&lt;&gt;Lucas Luiz Romero")*(10/1083),0)))))),0)</f>
        <v/>
      </c>
      <c r="K794" s="3">
        <f>I794-J794</f>
        <v/>
      </c>
      <c r="L794" s="3">
        <f>IF(K794&lt;-5,"CRÍTICO",IF(K794&lt;0,"ATENÇÃO",IF(K794&lt;=5,"BOM","EXCELENTE")))</f>
        <v/>
      </c>
      <c r="N794" t="n">
        <v>100</v>
      </c>
      <c r="O794" t="n">
        <v>31.17723156532988</v>
      </c>
    </row>
    <row r="795" hidden="1">
      <c r="A795" s="11" t="n">
        <v>46024</v>
      </c>
      <c r="B795" t="inlineStr">
        <is>
          <t>Jaqueline Evangelista da Silva Martins</t>
        </is>
      </c>
      <c r="C795" t="inlineStr">
        <is>
          <t>Técnico III</t>
        </is>
      </c>
      <c r="D795" t="n">
        <v>14</v>
      </c>
      <c r="E795" t="n">
        <v>9</v>
      </c>
      <c r="F795" t="n">
        <v>8.59</v>
      </c>
      <c r="I795" s="3">
        <f>E795+G795+H795</f>
        <v/>
      </c>
      <c r="J795" s="3">
        <f>ROUND(MIN(IF(C795="Técnico III",35,IF(C795="Técnico II",28,IF(C795="Técnico I",23,IF(C795="JR",20,IF(C795="Estágio",10,0))))),IF(C795="Técnico III",SUMIFS($D:$D,$A:$A,$A795,$B:$B,"&lt;&gt;Patrícia Karla de Sousa Araújo",$B:$B,"&lt;&gt;Lorena Dias de Araujo",$B:$B,"&lt;&gt;Lucas Luiz Romero")*(35/1083),IF(C795="Técnico II",SUMIFS($D:$D,$A:$A,$A795,$B:$B,"&lt;&gt;Patrícia Karla de Sousa Araújo",$B:$B,"&lt;&gt;Lorena Dias de Araujo",$B:$B,"&lt;&gt;Lucas Luiz Romero")*(28/1083),IF(C795="Técnico I",SUMIFS($D:$D,$A:$A,$A795,$B:$B,"&lt;&gt;Patrícia Karla de Sousa Araújo",$B:$B,"&lt;&gt;Lorena Dias de Araujo",$B:$B,"&lt;&gt;Lucas Luiz Romero")*(23/1083),IF(C795="JR",SUMIFS($D:$D,$A:$A,$A795,$B:$B,"&lt;&gt;Patrícia Karla de Sousa Araújo",$B:$B,"&lt;&gt;Lorena Dias de Araujo",$B:$B,"&lt;&gt;Lucas Luiz Romero")*(20/1083),IF(C795="Estágio",SUMIFS($D:$D,$A:$A,$A795,$B:$B,"&lt;&gt;Patrícia Karla de Sousa Araújo",$B:$B,"&lt;&gt;Lorena Dias de Araujo",$B:$B,"&lt;&gt;Lucas Luiz Romero")*(10/1083),0)))))),0)</f>
        <v/>
      </c>
      <c r="K795" s="3">
        <f>I795-J795</f>
        <v/>
      </c>
      <c r="L795" s="3">
        <f>IF(K795&lt;-5,"CRÍTICO",IF(K795&lt;0,"ATENÇÃO",IF(K795&lt;=5,"BOM","EXCELENTE")))</f>
        <v/>
      </c>
      <c r="N795" t="n">
        <v>100</v>
      </c>
      <c r="O795" t="n">
        <v>27.60942760942761</v>
      </c>
    </row>
    <row r="796" hidden="1">
      <c r="A796" s="11" t="n">
        <v>46024</v>
      </c>
      <c r="B796" t="inlineStr">
        <is>
          <t>Jessica Faria da Silveira</t>
        </is>
      </c>
      <c r="C796" t="inlineStr">
        <is>
          <t>Técnico II</t>
        </is>
      </c>
      <c r="D796" t="n">
        <v>28</v>
      </c>
      <c r="E796" t="n">
        <v>24</v>
      </c>
      <c r="F796" t="n">
        <v>10.21</v>
      </c>
      <c r="I796" s="3">
        <f>E796+G796+H796</f>
        <v/>
      </c>
      <c r="J796" s="3">
        <f>ROUND(MIN(IF(C796="Técnico III",35,IF(C796="Técnico II",28,IF(C796="Técnico I",23,IF(C796="JR",20,IF(C796="Estágio",10,0))))),IF(C796="Técnico III",SUMIFS($D:$D,$A:$A,$A796,$B:$B,"&lt;&gt;Patrícia Karla de Sousa Araújo",$B:$B,"&lt;&gt;Lorena Dias de Araujo",$B:$B,"&lt;&gt;Lucas Luiz Romero")*(35/1083),IF(C796="Técnico II",SUMIFS($D:$D,$A:$A,$A796,$B:$B,"&lt;&gt;Patrícia Karla de Sousa Araújo",$B:$B,"&lt;&gt;Lorena Dias de Araujo",$B:$B,"&lt;&gt;Lucas Luiz Romero")*(28/1083),IF(C796="Técnico I",SUMIFS($D:$D,$A:$A,$A796,$B:$B,"&lt;&gt;Patrícia Karla de Sousa Araújo",$B:$B,"&lt;&gt;Lorena Dias de Araujo",$B:$B,"&lt;&gt;Lucas Luiz Romero")*(23/1083),IF(C796="JR",SUMIFS($D:$D,$A:$A,$A796,$B:$B,"&lt;&gt;Patrícia Karla de Sousa Araújo",$B:$B,"&lt;&gt;Lorena Dias de Araujo",$B:$B,"&lt;&gt;Lucas Luiz Romero")*(20/1083),IF(C796="Estágio",SUMIFS($D:$D,$A:$A,$A796,$B:$B,"&lt;&gt;Patrícia Karla de Sousa Araújo",$B:$B,"&lt;&gt;Lorena Dias de Araujo",$B:$B,"&lt;&gt;Lucas Luiz Romero")*(10/1083),0)))))),0)</f>
        <v/>
      </c>
      <c r="K796" s="3">
        <f>I796-J796</f>
        <v/>
      </c>
      <c r="L796" s="3">
        <f>IF(K796&lt;-5,"CRÍTICO",IF(K796&lt;0,"ATENÇÃO",IF(K796&lt;=5,"BOM","EXCELENTE")))</f>
        <v/>
      </c>
      <c r="N796" t="n">
        <v>96.40000000000001</v>
      </c>
      <c r="O796" t="n">
        <v>28.76404494382023</v>
      </c>
    </row>
    <row r="797" hidden="1">
      <c r="A797" s="11" t="n">
        <v>46024</v>
      </c>
      <c r="B797" t="inlineStr">
        <is>
          <t>Jéssica Fé Moura</t>
        </is>
      </c>
      <c r="C797" t="inlineStr">
        <is>
          <t>Técnico III</t>
        </is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s="3" t="n">
        <v>0</v>
      </c>
      <c r="J797" s="3" t="n">
        <v>0</v>
      </c>
      <c r="K797" s="3" t="n">
        <v>0</v>
      </c>
      <c r="L797" s="3">
        <f>IF(K797&lt;-5,"CRÍTICO",IF(K797&lt;0,"ATENÇÃO",IF(K797&lt;=5,"BOM","EXCELENTE")))</f>
        <v/>
      </c>
      <c r="N797" t="n">
        <v>100</v>
      </c>
      <c r="O797" t="n">
        <v>33.98058252427185</v>
      </c>
    </row>
    <row r="798" hidden="1">
      <c r="A798" s="11" t="n">
        <v>46024</v>
      </c>
      <c r="B798" t="inlineStr">
        <is>
          <t>Karina Gonçalves Martins</t>
        </is>
      </c>
      <c r="C798" t="inlineStr">
        <is>
          <t>JR</t>
        </is>
      </c>
      <c r="D798" t="n">
        <v>7</v>
      </c>
      <c r="E798" t="n">
        <v>7</v>
      </c>
      <c r="F798" t="n">
        <v>29.05</v>
      </c>
      <c r="I798" s="3">
        <f>E798+G798+H798</f>
        <v/>
      </c>
      <c r="J798" s="3">
        <f>ROUND(MIN(IF(C798="Técnico III",35,IF(C798="Técnico II",28,IF(C798="Técnico I",23,IF(C798="JR",20,IF(C798="Estágio",10,0))))),IF(C798="Técnico III",SUMIFS($D:$D,$A:$A,$A798,$B:$B,"&lt;&gt;Patrícia Karla de Sousa Araújo",$B:$B,"&lt;&gt;Lorena Dias de Araujo",$B:$B,"&lt;&gt;Lucas Luiz Romero")*(35/1083),IF(C798="Técnico II",SUMIFS($D:$D,$A:$A,$A798,$B:$B,"&lt;&gt;Patrícia Karla de Sousa Araújo",$B:$B,"&lt;&gt;Lorena Dias de Araujo",$B:$B,"&lt;&gt;Lucas Luiz Romero")*(28/1083),IF(C798="Técnico I",SUMIFS($D:$D,$A:$A,$A798,$B:$B,"&lt;&gt;Patrícia Karla de Sousa Araújo",$B:$B,"&lt;&gt;Lorena Dias de Araujo",$B:$B,"&lt;&gt;Lucas Luiz Romero")*(23/1083),IF(C798="JR",SUMIFS($D:$D,$A:$A,$A798,$B:$B,"&lt;&gt;Patrícia Karla de Sousa Araújo",$B:$B,"&lt;&gt;Lorena Dias de Araujo",$B:$B,"&lt;&gt;Lucas Luiz Romero")*(20/1083),IF(C798="Estágio",SUMIFS($D:$D,$A:$A,$A798,$B:$B,"&lt;&gt;Patrícia Karla de Sousa Araújo",$B:$B,"&lt;&gt;Lorena Dias de Araujo",$B:$B,"&lt;&gt;Lucas Luiz Romero")*(10/1083),0)))))),0)</f>
        <v/>
      </c>
      <c r="K798" s="3">
        <f>I798-J798</f>
        <v/>
      </c>
      <c r="L798" s="3">
        <f>IF(K798&lt;-5,"CRÍTICO",IF(K798&lt;0,"ATENÇÃO",IF(K798&lt;=5,"BOM","EXCELENTE")))</f>
        <v/>
      </c>
      <c r="N798" t="n">
        <v>97.56</v>
      </c>
      <c r="O798" t="n">
        <v>32.51533742331289</v>
      </c>
    </row>
    <row r="799" hidden="1">
      <c r="A799" s="11" t="n">
        <v>46024</v>
      </c>
      <c r="B799" t="inlineStr">
        <is>
          <t>Kerollen Cristielly de Jesus Siqueira</t>
        </is>
      </c>
      <c r="C799" t="inlineStr">
        <is>
          <t>Técnico III</t>
        </is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s="3" t="n">
        <v>0</v>
      </c>
      <c r="J799" s="3" t="n">
        <v>0</v>
      </c>
      <c r="K799" s="3" t="n">
        <v>0</v>
      </c>
      <c r="L799" s="3">
        <f>IF(K799&lt;-5,"CRÍTICO",IF(K799&lt;0,"ATENÇÃO",IF(K799&lt;=5,"BOM","EXCELENTE")))</f>
        <v/>
      </c>
      <c r="N799" t="n">
        <v>97.11</v>
      </c>
      <c r="O799" t="n">
        <v>37.40831295843521</v>
      </c>
    </row>
    <row r="800" hidden="1">
      <c r="A800" s="11" t="n">
        <v>46024</v>
      </c>
      <c r="B800" t="inlineStr">
        <is>
          <t>Leandro de Souza Silva</t>
        </is>
      </c>
      <c r="C800" t="inlineStr">
        <is>
          <t>JR</t>
        </is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s="3" t="n">
        <v>0</v>
      </c>
      <c r="J800" s="3" t="n">
        <v>0</v>
      </c>
      <c r="K800" s="3" t="n">
        <v>0</v>
      </c>
      <c r="L800" s="3">
        <f>IF(K800&lt;-5,"CRÍTICO",IF(K800&lt;0,"ATENÇÃO",IF(K800&lt;=5,"BOM","EXCELENTE")))</f>
        <v/>
      </c>
      <c r="N800" t="n">
        <v>0</v>
      </c>
      <c r="O800" t="n">
        <v>0</v>
      </c>
    </row>
    <row r="801" hidden="1">
      <c r="A801" s="11" t="n">
        <v>46024</v>
      </c>
      <c r="B801" t="inlineStr">
        <is>
          <t>Leandro Oliveira de Sousa</t>
        </is>
      </c>
      <c r="C801" t="inlineStr">
        <is>
          <t>Técnico III</t>
        </is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s="3" t="n">
        <v>0</v>
      </c>
      <c r="J801" s="3" t="n">
        <v>0</v>
      </c>
      <c r="K801" s="3" t="n">
        <v>0</v>
      </c>
      <c r="L801" s="3">
        <f>IF(K801&lt;-5,"CRÍTICO",IF(K801&lt;0,"ATENÇÃO",IF(K801&lt;=5,"BOM","EXCELENTE")))</f>
        <v/>
      </c>
      <c r="N801" t="n">
        <v>100</v>
      </c>
      <c r="O801" t="n">
        <v>30.47034764826176</v>
      </c>
    </row>
    <row r="802" hidden="1">
      <c r="A802" s="11" t="n">
        <v>46024</v>
      </c>
      <c r="B802" t="inlineStr">
        <is>
          <t>Lizandra Gomes Duarte</t>
        </is>
      </c>
      <c r="C802" t="inlineStr">
        <is>
          <t>Técnico II</t>
        </is>
      </c>
      <c r="D802" t="n">
        <v>18</v>
      </c>
      <c r="E802" t="n">
        <v>17</v>
      </c>
      <c r="F802" t="n">
        <v>20.36</v>
      </c>
      <c r="I802" s="3">
        <f>E802+G802+H802</f>
        <v/>
      </c>
      <c r="J802" s="3">
        <f>ROUND(MIN(IF(C802="Técnico III",35,IF(C802="Técnico II",28,IF(C802="Técnico I",23,IF(C802="JR",20,IF(C802="Estágio",10,0))))),IF(C802="Técnico III",SUMIFS($D:$D,$A:$A,$A802,$B:$B,"&lt;&gt;Patrícia Karla de Sousa Araújo",$B:$B,"&lt;&gt;Lorena Dias de Araujo",$B:$B,"&lt;&gt;Lucas Luiz Romero")*(35/1083),IF(C802="Técnico II",SUMIFS($D:$D,$A:$A,$A802,$B:$B,"&lt;&gt;Patrícia Karla de Sousa Araújo",$B:$B,"&lt;&gt;Lorena Dias de Araujo",$B:$B,"&lt;&gt;Lucas Luiz Romero")*(28/1083),IF(C802="Técnico I",SUMIFS($D:$D,$A:$A,$A802,$B:$B,"&lt;&gt;Patrícia Karla de Sousa Araújo",$B:$B,"&lt;&gt;Lorena Dias de Araujo",$B:$B,"&lt;&gt;Lucas Luiz Romero")*(23/1083),IF(C802="JR",SUMIFS($D:$D,$A:$A,$A802,$B:$B,"&lt;&gt;Patrícia Karla de Sousa Araújo",$B:$B,"&lt;&gt;Lorena Dias de Araujo",$B:$B,"&lt;&gt;Lucas Luiz Romero")*(20/1083),IF(C802="Estágio",SUMIFS($D:$D,$A:$A,$A802,$B:$B,"&lt;&gt;Patrícia Karla de Sousa Araújo",$B:$B,"&lt;&gt;Lorena Dias de Araujo",$B:$B,"&lt;&gt;Lucas Luiz Romero")*(10/1083),0)))))),0)</f>
        <v/>
      </c>
      <c r="K802" s="3">
        <f>I802-J802</f>
        <v/>
      </c>
      <c r="L802" s="3">
        <f>IF(K802&lt;-5,"CRÍTICO",IF(K802&lt;0,"ATENÇÃO",IF(K802&lt;=5,"BOM","EXCELENTE")))</f>
        <v/>
      </c>
      <c r="N802" t="n">
        <v>100</v>
      </c>
      <c r="O802" t="n">
        <v>32.37113402061856</v>
      </c>
    </row>
    <row r="803" hidden="1">
      <c r="A803" s="11" t="n">
        <v>46024</v>
      </c>
      <c r="B803" t="inlineStr">
        <is>
          <t>Lorena Dias de Araujo</t>
        </is>
      </c>
      <c r="C803" t="inlineStr">
        <is>
          <t>Técnico II</t>
        </is>
      </c>
      <c r="D803" t="n">
        <v>12</v>
      </c>
      <c r="E803" t="n">
        <v>12</v>
      </c>
      <c r="F803" t="n">
        <v>29.09</v>
      </c>
      <c r="G803" t="n">
        <v>0</v>
      </c>
      <c r="H803" t="n">
        <v>0</v>
      </c>
      <c r="I803" s="3" t="n">
        <v>0</v>
      </c>
      <c r="J803" s="3" t="n">
        <v>0</v>
      </c>
      <c r="K803" s="3" t="n">
        <v>0</v>
      </c>
      <c r="L803" s="3">
        <f>IF(K803&lt;-5,"CRÍTICO",IF(K803&lt;0,"ATENÇÃO",IF(K803&lt;=5,"BOM","EXCELENTE")))</f>
        <v/>
      </c>
      <c r="N803" t="n">
        <v>98.31999999999999</v>
      </c>
      <c r="O803" t="n">
        <v>32.31850117096019</v>
      </c>
    </row>
    <row r="804" hidden="1">
      <c r="A804" s="11" t="n">
        <v>46024</v>
      </c>
      <c r="B804" t="inlineStr">
        <is>
          <t>Lucas Luiz Romero</t>
        </is>
      </c>
      <c r="C804" t="inlineStr">
        <is>
          <t>Técnico III</t>
        </is>
      </c>
      <c r="D804" t="n">
        <v>32</v>
      </c>
      <c r="E804" t="n">
        <v>21</v>
      </c>
      <c r="F804" t="n">
        <v>15.38</v>
      </c>
      <c r="I804" s="3">
        <f>E804+G804+H804</f>
        <v/>
      </c>
      <c r="J804" s="3">
        <f>ROUND(MIN(IF(C804="Técnico III",35,IF(C804="Técnico II",28,IF(C804="Técnico I",23,IF(C804="JR",20,IF(C804="Estágio",10,0))))),IF(C804="Técnico III",SUMIFS($D:$D,$A:$A,$A804,$B:$B,"&lt;&gt;Patrícia Karla de Sousa Araújo",$B:$B,"&lt;&gt;Lorena Dias de Araujo",$B:$B,"&lt;&gt;Lucas Luiz Romero")*(35/1083),IF(C804="Técnico II",SUMIFS($D:$D,$A:$A,$A804,$B:$B,"&lt;&gt;Patrícia Karla de Sousa Araújo",$B:$B,"&lt;&gt;Lorena Dias de Araujo",$B:$B,"&lt;&gt;Lucas Luiz Romero")*(28/1083),IF(C804="Técnico I",SUMIFS($D:$D,$A:$A,$A804,$B:$B,"&lt;&gt;Patrícia Karla de Sousa Araújo",$B:$B,"&lt;&gt;Lorena Dias de Araujo",$B:$B,"&lt;&gt;Lucas Luiz Romero")*(23/1083),IF(C804="JR",SUMIFS($D:$D,$A:$A,$A804,$B:$B,"&lt;&gt;Patrícia Karla de Sousa Araújo",$B:$B,"&lt;&gt;Lorena Dias de Araujo",$B:$B,"&lt;&gt;Lucas Luiz Romero")*(20/1083),IF(C804="Estágio",SUMIFS($D:$D,$A:$A,$A804,$B:$B,"&lt;&gt;Patrícia Karla de Sousa Araújo",$B:$B,"&lt;&gt;Lorena Dias de Araujo",$B:$B,"&lt;&gt;Lucas Luiz Romero")*(10/1083),0)))))),0)</f>
        <v/>
      </c>
      <c r="K804" s="3">
        <f>I804-J804</f>
        <v/>
      </c>
      <c r="L804" s="3">
        <f>IF(K804&lt;-5,"CRÍTICO",IF(K804&lt;0,"ATENÇÃO",IF(K804&lt;=5,"BOM","EXCELENTE")))</f>
        <v/>
      </c>
      <c r="N804" t="n">
        <v>96.43000000000001</v>
      </c>
      <c r="O804" t="n">
        <v>27.01525054466231</v>
      </c>
    </row>
    <row r="805" hidden="1">
      <c r="A805" s="11" t="n">
        <v>46024</v>
      </c>
      <c r="B805" t="inlineStr">
        <is>
          <t>Luiz Fernando de Carvalho Junior</t>
        </is>
      </c>
      <c r="C805" t="inlineStr">
        <is>
          <t>Técnico I</t>
        </is>
      </c>
      <c r="D805" t="n">
        <v>22</v>
      </c>
      <c r="E805" t="n">
        <v>20</v>
      </c>
      <c r="F805" t="n">
        <v>17.17</v>
      </c>
      <c r="I805" s="3">
        <f>E805+G805+H805</f>
        <v/>
      </c>
      <c r="J805" s="3">
        <f>ROUND(MIN(IF(C805="Técnico III",35,IF(C805="Técnico II",28,IF(C805="Técnico I",23,IF(C805="JR",20,IF(C805="Estágio",10,0))))),IF(C805="Técnico III",SUMIFS($D:$D,$A:$A,$A805,$B:$B,"&lt;&gt;Patrícia Karla de Sousa Araújo",$B:$B,"&lt;&gt;Lorena Dias de Araujo",$B:$B,"&lt;&gt;Lucas Luiz Romero")*(35/1083),IF(C805="Técnico II",SUMIFS($D:$D,$A:$A,$A805,$B:$B,"&lt;&gt;Patrícia Karla de Sousa Araújo",$B:$B,"&lt;&gt;Lorena Dias de Araujo",$B:$B,"&lt;&gt;Lucas Luiz Romero")*(28/1083),IF(C805="Técnico I",SUMIFS($D:$D,$A:$A,$A805,$B:$B,"&lt;&gt;Patrícia Karla de Sousa Araújo",$B:$B,"&lt;&gt;Lorena Dias de Araujo",$B:$B,"&lt;&gt;Lucas Luiz Romero")*(23/1083),IF(C805="JR",SUMIFS($D:$D,$A:$A,$A805,$B:$B,"&lt;&gt;Patrícia Karla de Sousa Araújo",$B:$B,"&lt;&gt;Lorena Dias de Araujo",$B:$B,"&lt;&gt;Lucas Luiz Romero")*(20/1083),IF(C805="Estágio",SUMIFS($D:$D,$A:$A,$A805,$B:$B,"&lt;&gt;Patrícia Karla de Sousa Araújo",$B:$B,"&lt;&gt;Lorena Dias de Araujo",$B:$B,"&lt;&gt;Lucas Luiz Romero")*(10/1083),0)))))),0)</f>
        <v/>
      </c>
      <c r="K805" s="3">
        <f>I805-J805</f>
        <v/>
      </c>
      <c r="L805" s="3">
        <f>IF(K805&lt;-5,"CRÍTICO",IF(K805&lt;0,"ATENÇÃO",IF(K805&lt;=5,"BOM","EXCELENTE")))</f>
        <v/>
      </c>
      <c r="N805" t="n">
        <v>98.89</v>
      </c>
      <c r="O805" t="n">
        <v>28.02197802197802</v>
      </c>
    </row>
    <row r="806" hidden="1">
      <c r="A806" s="11" t="n">
        <v>46024</v>
      </c>
      <c r="B806" t="inlineStr">
        <is>
          <t>Maria Eduarda Sousa Costa</t>
        </is>
      </c>
      <c r="C806" t="inlineStr">
        <is>
          <t>Estágio</t>
        </is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s="3" t="n">
        <v>0</v>
      </c>
      <c r="J806" s="3" t="n">
        <v>0</v>
      </c>
      <c r="K806" s="3" t="n">
        <v>0</v>
      </c>
      <c r="L806" s="3">
        <f>IF(K806&lt;-5,"CRÍTICO",IF(K806&lt;0,"ATENÇÃO",IF(K806&lt;=5,"BOM","EXCELENTE")))</f>
        <v/>
      </c>
      <c r="N806" t="n">
        <v>100</v>
      </c>
      <c r="O806" t="n">
        <v>33.33333333333333</v>
      </c>
    </row>
    <row r="807" hidden="1">
      <c r="A807" s="11" t="n">
        <v>46024</v>
      </c>
      <c r="B807" t="inlineStr">
        <is>
          <t>Matheus Farias De Souza</t>
        </is>
      </c>
      <c r="C807" t="inlineStr">
        <is>
          <t>Técnico III</t>
        </is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s="3" t="n">
        <v>0</v>
      </c>
      <c r="J807" s="3" t="n">
        <v>0</v>
      </c>
      <c r="K807" s="3" t="n">
        <v>0</v>
      </c>
      <c r="L807" s="3">
        <f>IF(K807&lt;-5,"CRÍTICO",IF(K807&lt;0,"ATENÇÃO",IF(K807&lt;=5,"BOM","EXCELENTE")))</f>
        <v/>
      </c>
      <c r="N807" t="n">
        <v>100</v>
      </c>
      <c r="O807" t="n">
        <v>27.43362831858407</v>
      </c>
    </row>
    <row r="808" hidden="1">
      <c r="A808" s="11" t="n">
        <v>46024</v>
      </c>
      <c r="B808" t="inlineStr">
        <is>
          <t>Maysa Victoria Dias Moura</t>
        </is>
      </c>
      <c r="C808" t="inlineStr">
        <is>
          <t>Técnico III</t>
        </is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s="3" t="n">
        <v>0</v>
      </c>
      <c r="J808" s="3" t="n">
        <v>0</v>
      </c>
      <c r="K808" s="3" t="n">
        <v>0</v>
      </c>
      <c r="L808" s="3">
        <f>IF(K808&lt;-5,"CRÍTICO",IF(K808&lt;0,"ATENÇÃO",IF(K808&lt;=5,"BOM","EXCELENTE")))</f>
        <v/>
      </c>
      <c r="N808" t="n">
        <v>98.65000000000001</v>
      </c>
      <c r="O808" t="n">
        <v>30.97826086956522</v>
      </c>
    </row>
    <row r="809" hidden="1">
      <c r="A809" s="11" t="n">
        <v>46024</v>
      </c>
      <c r="B809" t="inlineStr">
        <is>
          <t>Michelle G Santos</t>
        </is>
      </c>
      <c r="C809" t="inlineStr">
        <is>
          <t>Estágio</t>
        </is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s="3" t="n">
        <v>0</v>
      </c>
      <c r="J809" s="3" t="n">
        <v>0</v>
      </c>
      <c r="K809" s="3" t="n">
        <v>0</v>
      </c>
      <c r="L809" s="3">
        <f>IF(K809&lt;-5,"CRÍTICO",IF(K809&lt;0,"ATENÇÃO",IF(K809&lt;=5,"BOM","EXCELENTE")))</f>
        <v/>
      </c>
      <c r="N809" t="n">
        <v>100</v>
      </c>
      <c r="O809" t="n">
        <v>12</v>
      </c>
    </row>
    <row r="810" hidden="1">
      <c r="A810" s="11" t="n">
        <v>46024</v>
      </c>
      <c r="B810" t="inlineStr">
        <is>
          <t>Milena Sales</t>
        </is>
      </c>
      <c r="C810" t="inlineStr">
        <is>
          <t>JR</t>
        </is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s="3" t="n">
        <v>0</v>
      </c>
      <c r="J810" s="3" t="n">
        <v>0</v>
      </c>
      <c r="K810" s="3" t="n">
        <v>0</v>
      </c>
      <c r="L810" s="3">
        <f>IF(K810&lt;-5,"CRÍTICO",IF(K810&lt;0,"ATENÇÃO",IF(K810&lt;=5,"BOM","EXCELENTE")))</f>
        <v/>
      </c>
      <c r="N810" t="n">
        <v>0</v>
      </c>
      <c r="O810" t="n">
        <v>0</v>
      </c>
    </row>
    <row r="811" hidden="1">
      <c r="A811" s="11" t="n">
        <v>46024</v>
      </c>
      <c r="B811" t="inlineStr">
        <is>
          <t>Patrícia Karla de Sousa Araújo</t>
        </is>
      </c>
      <c r="C811" t="inlineStr">
        <is>
          <t>Técnico II</t>
        </is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s="3" t="n">
        <v>0</v>
      </c>
      <c r="J811" s="3" t="n">
        <v>0</v>
      </c>
      <c r="K811" s="3" t="n">
        <v>0</v>
      </c>
      <c r="L811" s="3">
        <f>IF(K811&lt;-5,"CRÍTICO",IF(K811&lt;0,"ATENÇÃO",IF(K811&lt;=5,"BOM","EXCELENTE")))</f>
        <v/>
      </c>
      <c r="N811" t="n">
        <v>97.56</v>
      </c>
      <c r="O811" t="n">
        <v>31.06796116504854</v>
      </c>
    </row>
    <row r="812" hidden="1">
      <c r="A812" s="11" t="n">
        <v>46024</v>
      </c>
      <c r="B812" t="inlineStr">
        <is>
          <t>Paulo Ricardo Santos</t>
        </is>
      </c>
      <c r="C812" t="inlineStr">
        <is>
          <t>JR</t>
        </is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s="3" t="n">
        <v>0</v>
      </c>
      <c r="J812" s="3" t="n">
        <v>0</v>
      </c>
      <c r="K812" s="3" t="n">
        <v>0</v>
      </c>
      <c r="L812" s="3">
        <f>IF(K812&lt;-5,"CRÍTICO",IF(K812&lt;0,"ATENÇÃO",IF(K812&lt;=5,"BOM","EXCELENTE")))</f>
        <v/>
      </c>
      <c r="N812" t="n">
        <v>0</v>
      </c>
      <c r="O812" t="n">
        <v>0</v>
      </c>
    </row>
    <row r="813" hidden="1">
      <c r="A813" s="11" t="n">
        <v>46024</v>
      </c>
      <c r="B813" t="inlineStr">
        <is>
          <t>Pedro Luiz Mota Sousa</t>
        </is>
      </c>
      <c r="C813" t="inlineStr">
        <is>
          <t>JR</t>
        </is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s="3" t="n">
        <v>0</v>
      </c>
      <c r="J813" s="3" t="n">
        <v>0</v>
      </c>
      <c r="K813" s="3" t="n">
        <v>0</v>
      </c>
      <c r="L813" s="3">
        <f>IF(K813&lt;-5,"CRÍTICO",IF(K813&lt;0,"ATENÇÃO",IF(K813&lt;=5,"BOM","EXCELENTE")))</f>
        <v/>
      </c>
      <c r="N813" t="n">
        <v>0</v>
      </c>
      <c r="O813" t="n">
        <v>0</v>
      </c>
    </row>
    <row r="814" hidden="1">
      <c r="A814" s="11" t="n">
        <v>46024</v>
      </c>
      <c r="B814" t="inlineStr">
        <is>
          <t>Quirino Diogo Leite Torres</t>
        </is>
      </c>
      <c r="C814" t="inlineStr">
        <is>
          <t>Estágio</t>
        </is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s="3" t="n">
        <v>0</v>
      </c>
      <c r="J814" s="3" t="n">
        <v>0</v>
      </c>
      <c r="K814" s="3" t="n">
        <v>0</v>
      </c>
      <c r="L814" s="3">
        <f>IF(K814&lt;-5,"CRÍTICO",IF(K814&lt;0,"ATENÇÃO",IF(K814&lt;=5,"BOM","EXCELENTE")))</f>
        <v/>
      </c>
      <c r="N814" t="n">
        <v>0</v>
      </c>
      <c r="O814" t="n">
        <v>0</v>
      </c>
    </row>
    <row r="815" hidden="1">
      <c r="A815" s="11" t="n">
        <v>46024</v>
      </c>
      <c r="B815" t="inlineStr">
        <is>
          <t>Raane Batista Matos</t>
        </is>
      </c>
      <c r="C815" t="inlineStr">
        <is>
          <t>Técnico I</t>
        </is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s="3" t="n">
        <v>0</v>
      </c>
      <c r="J815" s="3" t="n">
        <v>0</v>
      </c>
      <c r="K815" s="3" t="n">
        <v>0</v>
      </c>
      <c r="L815" s="3">
        <f>IF(K815&lt;-5,"CRÍTICO",IF(K815&lt;0,"ATENÇÃO",IF(K815&lt;=5,"BOM","EXCELENTE")))</f>
        <v/>
      </c>
      <c r="N815" t="n">
        <v>100</v>
      </c>
      <c r="O815" t="n">
        <v>53.84615384615385</v>
      </c>
    </row>
    <row r="816" hidden="1">
      <c r="A816" s="11" t="n">
        <v>46024</v>
      </c>
      <c r="B816" t="inlineStr">
        <is>
          <t>Rafael Gomes de Morais</t>
        </is>
      </c>
      <c r="C816" t="inlineStr">
        <is>
          <t>Técnico III</t>
        </is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s="3" t="n">
        <v>0</v>
      </c>
      <c r="J816" s="3" t="n">
        <v>0</v>
      </c>
      <c r="K816" s="3" t="n">
        <v>0</v>
      </c>
      <c r="L816" s="3">
        <f>IF(K816&lt;-5,"CRÍTICO",IF(K816&lt;0,"ATENÇÃO",IF(K816&lt;=5,"BOM","EXCELENTE")))</f>
        <v/>
      </c>
      <c r="N816" t="n">
        <v>100</v>
      </c>
      <c r="O816" t="n">
        <v>44.05594405594406</v>
      </c>
    </row>
    <row r="817" hidden="1">
      <c r="A817" s="11" t="n">
        <v>46024</v>
      </c>
      <c r="B817" t="inlineStr">
        <is>
          <t>Sara Maria Monteiro Lopes</t>
        </is>
      </c>
      <c r="C817" t="inlineStr">
        <is>
          <t>Técnico I</t>
        </is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s="3" t="n">
        <v>0</v>
      </c>
      <c r="J817" s="3" t="n">
        <v>0</v>
      </c>
      <c r="K817" s="3" t="n">
        <v>0</v>
      </c>
      <c r="L817" s="3">
        <f>IF(K817&lt;-5,"CRÍTICO",IF(K817&lt;0,"ATENÇÃO",IF(K817&lt;=5,"BOM","EXCELENTE")))</f>
        <v/>
      </c>
      <c r="N817" t="n">
        <v>100</v>
      </c>
      <c r="O817" t="n">
        <v>31.87250996015936</v>
      </c>
    </row>
    <row r="818" hidden="1">
      <c r="A818" s="11" t="n">
        <v>46024</v>
      </c>
      <c r="B818" t="inlineStr">
        <is>
          <t>Sarah Steffanie de Lima Borges</t>
        </is>
      </c>
      <c r="C818" t="inlineStr">
        <is>
          <t>Técnico III</t>
        </is>
      </c>
      <c r="D818" t="n">
        <v>25</v>
      </c>
      <c r="E818" t="n">
        <v>24</v>
      </c>
      <c r="F818" t="n">
        <v>10.49</v>
      </c>
      <c r="I818" s="3">
        <f>E818+G818+H818</f>
        <v/>
      </c>
      <c r="J818" s="3">
        <f>ROUND(MIN(IF(C818="Técnico III",35,IF(C818="Técnico II",28,IF(C818="Técnico I",23,IF(C818="JR",20,IF(C818="Estágio",10,0))))),IF(C818="Técnico III",SUMIFS($D:$D,$A:$A,$A818,$B:$B,"&lt;&gt;Patrícia Karla de Sousa Araújo",$B:$B,"&lt;&gt;Lorena Dias de Araujo",$B:$B,"&lt;&gt;Lucas Luiz Romero")*(35/1083),IF(C818="Técnico II",SUMIFS($D:$D,$A:$A,$A818,$B:$B,"&lt;&gt;Patrícia Karla de Sousa Araújo",$B:$B,"&lt;&gt;Lorena Dias de Araujo",$B:$B,"&lt;&gt;Lucas Luiz Romero")*(28/1083),IF(C818="Técnico I",SUMIFS($D:$D,$A:$A,$A818,$B:$B,"&lt;&gt;Patrícia Karla de Sousa Araújo",$B:$B,"&lt;&gt;Lorena Dias de Araujo",$B:$B,"&lt;&gt;Lucas Luiz Romero")*(23/1083),IF(C818="JR",SUMIFS($D:$D,$A:$A,$A818,$B:$B,"&lt;&gt;Patrícia Karla de Sousa Araújo",$B:$B,"&lt;&gt;Lorena Dias de Araujo",$B:$B,"&lt;&gt;Lucas Luiz Romero")*(20/1083),IF(C818="Estágio",SUMIFS($D:$D,$A:$A,$A818,$B:$B,"&lt;&gt;Patrícia Karla de Sousa Araújo",$B:$B,"&lt;&gt;Lorena Dias de Araujo",$B:$B,"&lt;&gt;Lucas Luiz Romero")*(10/1083),0)))))),0)</f>
        <v/>
      </c>
      <c r="K818" s="3">
        <f>I818-J818</f>
        <v/>
      </c>
      <c r="L818" s="3">
        <f>IF(K818&lt;-5,"CRÍTICO",IF(K818&lt;0,"ATENÇÃO",IF(K818&lt;=5,"BOM","EXCELENTE")))</f>
        <v/>
      </c>
      <c r="N818" t="n">
        <v>98.41</v>
      </c>
      <c r="O818" t="n">
        <v>29.22465208747515</v>
      </c>
    </row>
    <row r="819" hidden="1">
      <c r="A819" s="11" t="n">
        <v>46027</v>
      </c>
      <c r="B819" t="inlineStr">
        <is>
          <t>Alisson de Freitas Silva</t>
        </is>
      </c>
      <c r="C819" t="inlineStr">
        <is>
          <t>Técnico II</t>
        </is>
      </c>
      <c r="D819" t="n">
        <v>36</v>
      </c>
      <c r="E819" t="n">
        <v>25</v>
      </c>
      <c r="F819" t="n">
        <v>11.48</v>
      </c>
      <c r="G819" t="n">
        <v>0</v>
      </c>
      <c r="H819" t="n">
        <v>0</v>
      </c>
      <c r="I819" s="3">
        <f>E819+G819+H819</f>
        <v/>
      </c>
      <c r="J819" s="3">
        <f>ROUND(MIN(IF(C819="Técnico III",35,IF(C819="Técnico II",28,IF(C819="Técnico I",23,IF(C819="JR",20,IF(C819="Estágio",10,0))))),IF(C819="Técnico III",SUMIFS($D:$D,$A:$A,$A819,$B:$B,"&lt;&gt;Patrícia Karla de Sousa Araújo",$B:$B,"&lt;&gt;Lorena Dias de Araujo",$B:$B,"&lt;&gt;Lucas Luiz Romero")*(35/1083),IF(C819="Técnico II",SUMIFS($D:$D,$A:$A,$A819,$B:$B,"&lt;&gt;Patrícia Karla de Sousa Araújo",$B:$B,"&lt;&gt;Lorena Dias de Araujo",$B:$B,"&lt;&gt;Lucas Luiz Romero")*(28/1083),IF(C819="Técnico I",SUMIFS($D:$D,$A:$A,$A819,$B:$B,"&lt;&gt;Patrícia Karla de Sousa Araújo",$B:$B,"&lt;&gt;Lorena Dias de Araujo",$B:$B,"&lt;&gt;Lucas Luiz Romero")*(23/1083),IF(C819="JR",SUMIFS($D:$D,$A:$A,$A819,$B:$B,"&lt;&gt;Patrícia Karla de Sousa Araújo",$B:$B,"&lt;&gt;Lorena Dias de Araujo",$B:$B,"&lt;&gt;Lucas Luiz Romero")*(20/1083),IF(C819="Estágio",SUMIFS($D:$D,$A:$A,$A819,$B:$B,"&lt;&gt;Patrícia Karla de Sousa Araújo",$B:$B,"&lt;&gt;Lorena Dias de Araujo",$B:$B,"&lt;&gt;Lucas Luiz Romero")*(10/1083),0)))))),0)</f>
        <v/>
      </c>
      <c r="K819" s="3">
        <f>I819-J819</f>
        <v/>
      </c>
      <c r="L819" s="3">
        <f>IF(K819&lt;-5,"CRÍTICO",IF(K819&lt;0,"ATENÇÃO",IF(K819&lt;=5,"BOM","EXCELENTE")))</f>
        <v/>
      </c>
      <c r="N819" t="n">
        <v>96.81</v>
      </c>
      <c r="O819" t="n">
        <v>27.98053527980535</v>
      </c>
    </row>
    <row r="820" hidden="1">
      <c r="A820" s="11" t="n">
        <v>46027</v>
      </c>
      <c r="B820" t="inlineStr">
        <is>
          <t>Amanda Moura Ferreira</t>
        </is>
      </c>
      <c r="C820" t="inlineStr">
        <is>
          <t>Técnico III</t>
        </is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s="3" t="n">
        <v>0</v>
      </c>
      <c r="J820" s="3" t="n">
        <v>0</v>
      </c>
      <c r="K820" s="3" t="n">
        <v>0</v>
      </c>
      <c r="L820" s="3">
        <f>IF(K820&lt;-5,"CRÍTICO",IF(K820&lt;0,"ATENÇÃO",IF(K820&lt;=5,"BOM","EXCELENTE")))</f>
        <v/>
      </c>
      <c r="N820" t="n">
        <v>98.73</v>
      </c>
      <c r="O820" t="n">
        <v>35.75638506876228</v>
      </c>
    </row>
    <row r="821" hidden="1">
      <c r="A821" s="11" t="n">
        <v>46027</v>
      </c>
      <c r="B821" t="inlineStr">
        <is>
          <t>Ana Karollyne Souza Faria</t>
        </is>
      </c>
      <c r="C821" t="inlineStr">
        <is>
          <t>Técnico I</t>
        </is>
      </c>
      <c r="D821" t="n">
        <v>36</v>
      </c>
      <c r="E821" t="n">
        <v>32</v>
      </c>
      <c r="F821" t="n">
        <v>18.56</v>
      </c>
      <c r="G821" t="n">
        <v>0</v>
      </c>
      <c r="H821" t="n">
        <v>0</v>
      </c>
      <c r="I821" s="3">
        <f>E821+G821+H821</f>
        <v/>
      </c>
      <c r="J821" s="3">
        <f>ROUND(MIN(IF(C821="Técnico III",35,IF(C821="Técnico II",28,IF(C821="Técnico I",23,IF(C821="JR",20,IF(C821="Estágio",10,0))))),IF(C821="Técnico III",SUMIFS($D:$D,$A:$A,$A821,$B:$B,"&lt;&gt;Patrícia Karla de Sousa Araújo",$B:$B,"&lt;&gt;Lorena Dias de Araujo",$B:$B,"&lt;&gt;Lucas Luiz Romero")*(35/1083),IF(C821="Técnico II",SUMIFS($D:$D,$A:$A,$A821,$B:$B,"&lt;&gt;Patrícia Karla de Sousa Araújo",$B:$B,"&lt;&gt;Lorena Dias de Araujo",$B:$B,"&lt;&gt;Lucas Luiz Romero")*(28/1083),IF(C821="Técnico I",SUMIFS($D:$D,$A:$A,$A821,$B:$B,"&lt;&gt;Patrícia Karla de Sousa Araújo",$B:$B,"&lt;&gt;Lorena Dias de Araujo",$B:$B,"&lt;&gt;Lucas Luiz Romero")*(23/1083),IF(C821="JR",SUMIFS($D:$D,$A:$A,$A821,$B:$B,"&lt;&gt;Patrícia Karla de Sousa Araújo",$B:$B,"&lt;&gt;Lorena Dias de Araujo",$B:$B,"&lt;&gt;Lucas Luiz Romero")*(20/1083),IF(C821="Estágio",SUMIFS($D:$D,$A:$A,$A821,$B:$B,"&lt;&gt;Patrícia Karla de Sousa Araújo",$B:$B,"&lt;&gt;Lorena Dias de Araujo",$B:$B,"&lt;&gt;Lucas Luiz Romero")*(10/1083),0)))))),0)</f>
        <v/>
      </c>
      <c r="K821" s="3">
        <f>I821-J821</f>
        <v/>
      </c>
      <c r="L821" s="3">
        <f>IF(K821&lt;-5,"CRÍTICO",IF(K821&lt;0,"ATENÇÃO",IF(K821&lt;=5,"BOM","EXCELENTE")))</f>
        <v/>
      </c>
      <c r="N821" t="n">
        <v>98.31999999999999</v>
      </c>
      <c r="O821" t="n">
        <v>26.76348547717842</v>
      </c>
    </row>
    <row r="822" hidden="1">
      <c r="A822" s="11" t="n">
        <v>46027</v>
      </c>
      <c r="B822" t="inlineStr">
        <is>
          <t>Ana Paula Da Luz Silva Aleixo</t>
        </is>
      </c>
      <c r="C822" t="inlineStr">
        <is>
          <t>Técnico III</t>
        </is>
      </c>
      <c r="D822" t="n">
        <v>32</v>
      </c>
      <c r="E822" t="n">
        <v>32</v>
      </c>
      <c r="F822" t="n">
        <v>15.4</v>
      </c>
      <c r="G822" t="n">
        <v>0</v>
      </c>
      <c r="H822" t="n">
        <v>0</v>
      </c>
      <c r="I822" s="3">
        <f>E822+G822+H822</f>
        <v/>
      </c>
      <c r="J822" s="3">
        <f>ROUND(MIN(IF(C822="Técnico III",35,IF(C822="Técnico II",28,IF(C822="Técnico I",23,IF(C822="JR",20,IF(C822="Estágio",10,0))))),IF(C822="Técnico III",SUMIFS($D:$D,$A:$A,$A822,$B:$B,"&lt;&gt;Patrícia Karla de Sousa Araújo",$B:$B,"&lt;&gt;Lorena Dias de Araujo",$B:$B,"&lt;&gt;Lucas Luiz Romero")*(35/1083),IF(C822="Técnico II",SUMIFS($D:$D,$A:$A,$A822,$B:$B,"&lt;&gt;Patrícia Karla de Sousa Araújo",$B:$B,"&lt;&gt;Lorena Dias de Araujo",$B:$B,"&lt;&gt;Lucas Luiz Romero")*(28/1083),IF(C822="Técnico I",SUMIFS($D:$D,$A:$A,$A822,$B:$B,"&lt;&gt;Patrícia Karla de Sousa Araújo",$B:$B,"&lt;&gt;Lorena Dias de Araujo",$B:$B,"&lt;&gt;Lucas Luiz Romero")*(23/1083),IF(C822="JR",SUMIFS($D:$D,$A:$A,$A822,$B:$B,"&lt;&gt;Patrícia Karla de Sousa Araújo",$B:$B,"&lt;&gt;Lorena Dias de Araujo",$B:$B,"&lt;&gt;Lucas Luiz Romero")*(20/1083),IF(C822="Estágio",SUMIFS($D:$D,$A:$A,$A822,$B:$B,"&lt;&gt;Patrícia Karla de Sousa Araújo",$B:$B,"&lt;&gt;Lorena Dias de Araujo",$B:$B,"&lt;&gt;Lucas Luiz Romero")*(10/1083),0)))))),0)</f>
        <v/>
      </c>
      <c r="K822" s="3">
        <f>I822-J822</f>
        <v/>
      </c>
      <c r="L822" s="3">
        <f>IF(K822&lt;-5,"CRÍTICO",IF(K822&lt;0,"ATENÇÃO",IF(K822&lt;=5,"BOM","EXCELENTE")))</f>
        <v/>
      </c>
      <c r="N822" t="n">
        <v>99.19</v>
      </c>
      <c r="O822" t="n">
        <v>27.63713080168776</v>
      </c>
    </row>
    <row r="823" hidden="1">
      <c r="A823" s="11" t="n">
        <v>46027</v>
      </c>
      <c r="B823" t="inlineStr">
        <is>
          <t>Anna Luiza Rezende Tavares</t>
        </is>
      </c>
      <c r="C823" t="inlineStr">
        <is>
          <t>Estágio</t>
        </is>
      </c>
      <c r="D823" t="n">
        <v>9</v>
      </c>
      <c r="E823" t="n">
        <v>9</v>
      </c>
      <c r="F823" t="n">
        <v>20.23</v>
      </c>
      <c r="G823" t="n">
        <v>0</v>
      </c>
      <c r="H823" t="n">
        <v>0</v>
      </c>
      <c r="I823" s="3">
        <f>E823+G823+H823</f>
        <v/>
      </c>
      <c r="J823" s="3">
        <f>ROUND(MIN(IF(C823="Técnico III",35,IF(C823="Técnico II",28,IF(C823="Técnico I",23,IF(C823="JR",20,IF(C823="Estágio",10,0))))),IF(C823="Técnico III",SUMIFS($D:$D,$A:$A,$A823,$B:$B,"&lt;&gt;Patrícia Karla de Sousa Araújo",$B:$B,"&lt;&gt;Lorena Dias de Araujo",$B:$B,"&lt;&gt;Lucas Luiz Romero")*(35/1083),IF(C823="Técnico II",SUMIFS($D:$D,$A:$A,$A823,$B:$B,"&lt;&gt;Patrícia Karla de Sousa Araújo",$B:$B,"&lt;&gt;Lorena Dias de Araujo",$B:$B,"&lt;&gt;Lucas Luiz Romero")*(28/1083),IF(C823="Técnico I",SUMIFS($D:$D,$A:$A,$A823,$B:$B,"&lt;&gt;Patrícia Karla de Sousa Araújo",$B:$B,"&lt;&gt;Lorena Dias de Araujo",$B:$B,"&lt;&gt;Lucas Luiz Romero")*(23/1083),IF(C823="JR",SUMIFS($D:$D,$A:$A,$A823,$B:$B,"&lt;&gt;Patrícia Karla de Sousa Araújo",$B:$B,"&lt;&gt;Lorena Dias de Araujo",$B:$B,"&lt;&gt;Lucas Luiz Romero")*(20/1083),IF(C823="Estágio",SUMIFS($D:$D,$A:$A,$A823,$B:$B,"&lt;&gt;Patrícia Karla de Sousa Araújo",$B:$B,"&lt;&gt;Lorena Dias de Araujo",$B:$B,"&lt;&gt;Lucas Luiz Romero")*(10/1083),0)))))),0)</f>
        <v/>
      </c>
      <c r="K823" s="3">
        <f>I823-J823</f>
        <v/>
      </c>
      <c r="L823" s="3">
        <f>IF(K823&lt;-5,"CRÍTICO",IF(K823&lt;0,"ATENÇÃO",IF(K823&lt;=5,"BOM","EXCELENTE")))</f>
        <v/>
      </c>
      <c r="N823" t="n">
        <v>100</v>
      </c>
      <c r="O823" t="n">
        <v>39.56834532374101</v>
      </c>
    </row>
    <row r="824" hidden="1">
      <c r="A824" s="11" t="n">
        <v>46027</v>
      </c>
      <c r="B824" t="inlineStr">
        <is>
          <t>Brenda de Menezes Silva</t>
        </is>
      </c>
      <c r="C824" t="inlineStr">
        <is>
          <t>Técnico II</t>
        </is>
      </c>
      <c r="D824" t="n">
        <v>28</v>
      </c>
      <c r="E824" t="n">
        <v>26</v>
      </c>
      <c r="F824" t="n">
        <v>18.22</v>
      </c>
      <c r="G824" t="n">
        <v>0</v>
      </c>
      <c r="H824" t="n">
        <v>0</v>
      </c>
      <c r="I824" s="3">
        <f>E824+G824+H824</f>
        <v/>
      </c>
      <c r="J824" s="3">
        <f>ROUND(MIN(IF(C824="Técnico III",35,IF(C824="Técnico II",28,IF(C824="Técnico I",23,IF(C824="JR",20,IF(C824="Estágio",10,0))))),IF(C824="Técnico III",SUMIFS($D:$D,$A:$A,$A824,$B:$B,"&lt;&gt;Patrícia Karla de Sousa Araújo",$B:$B,"&lt;&gt;Lorena Dias de Araujo",$B:$B,"&lt;&gt;Lucas Luiz Romero")*(35/1083),IF(C824="Técnico II",SUMIFS($D:$D,$A:$A,$A824,$B:$B,"&lt;&gt;Patrícia Karla de Sousa Araújo",$B:$B,"&lt;&gt;Lorena Dias de Araujo",$B:$B,"&lt;&gt;Lucas Luiz Romero")*(28/1083),IF(C824="Técnico I",SUMIFS($D:$D,$A:$A,$A824,$B:$B,"&lt;&gt;Patrícia Karla de Sousa Araújo",$B:$B,"&lt;&gt;Lorena Dias de Araujo",$B:$B,"&lt;&gt;Lucas Luiz Romero")*(23/1083),IF(C824="JR",SUMIFS($D:$D,$A:$A,$A824,$B:$B,"&lt;&gt;Patrícia Karla de Sousa Araújo",$B:$B,"&lt;&gt;Lorena Dias de Araujo",$B:$B,"&lt;&gt;Lucas Luiz Romero")*(20/1083),IF(C824="Estágio",SUMIFS($D:$D,$A:$A,$A824,$B:$B,"&lt;&gt;Patrícia Karla de Sousa Araújo",$B:$B,"&lt;&gt;Lorena Dias de Araujo",$B:$B,"&lt;&gt;Lucas Luiz Romero")*(10/1083),0)))))),0)</f>
        <v/>
      </c>
      <c r="K824" s="3">
        <f>I824-J824</f>
        <v/>
      </c>
      <c r="L824" s="3">
        <f>IF(K824&lt;-5,"CRÍTICO",IF(K824&lt;0,"ATENÇÃO",IF(K824&lt;=5,"BOM","EXCELENTE")))</f>
        <v/>
      </c>
      <c r="N824" t="n">
        <v>98.54000000000001</v>
      </c>
      <c r="O824" t="n">
        <v>28.54477611940299</v>
      </c>
    </row>
    <row r="825" hidden="1">
      <c r="A825" s="11" t="n">
        <v>46027</v>
      </c>
      <c r="B825" t="inlineStr">
        <is>
          <t>Carlos Mateus Cassimiro Nunes</t>
        </is>
      </c>
      <c r="C825" t="inlineStr">
        <is>
          <t>Técnico II</t>
        </is>
      </c>
      <c r="D825" t="n">
        <v>33</v>
      </c>
      <c r="E825" t="n">
        <v>31</v>
      </c>
      <c r="F825" t="n">
        <v>15.32</v>
      </c>
      <c r="G825" t="n">
        <v>0</v>
      </c>
      <c r="H825" t="n">
        <v>0</v>
      </c>
      <c r="I825" s="3">
        <f>E825+G825+H825</f>
        <v/>
      </c>
      <c r="J825" s="3">
        <f>ROUND(MIN(IF(C825="Técnico III",35,IF(C825="Técnico II",28,IF(C825="Técnico I",23,IF(C825="JR",20,IF(C825="Estágio",10,0))))),IF(C825="Técnico III",SUMIFS($D:$D,$A:$A,$A825,$B:$B,"&lt;&gt;Patrícia Karla de Sousa Araújo",$B:$B,"&lt;&gt;Lorena Dias de Araujo",$B:$B,"&lt;&gt;Lucas Luiz Romero")*(35/1083),IF(C825="Técnico II",SUMIFS($D:$D,$A:$A,$A825,$B:$B,"&lt;&gt;Patrícia Karla de Sousa Araújo",$B:$B,"&lt;&gt;Lorena Dias de Araujo",$B:$B,"&lt;&gt;Lucas Luiz Romero")*(28/1083),IF(C825="Técnico I",SUMIFS($D:$D,$A:$A,$A825,$B:$B,"&lt;&gt;Patrícia Karla de Sousa Araújo",$B:$B,"&lt;&gt;Lorena Dias de Araujo",$B:$B,"&lt;&gt;Lucas Luiz Romero")*(23/1083),IF(C825="JR",SUMIFS($D:$D,$A:$A,$A825,$B:$B,"&lt;&gt;Patrícia Karla de Sousa Araújo",$B:$B,"&lt;&gt;Lorena Dias de Araujo",$B:$B,"&lt;&gt;Lucas Luiz Romero")*(20/1083),IF(C825="Estágio",SUMIFS($D:$D,$A:$A,$A825,$B:$B,"&lt;&gt;Patrícia Karla de Sousa Araújo",$B:$B,"&lt;&gt;Lorena Dias de Araujo",$B:$B,"&lt;&gt;Lucas Luiz Romero")*(10/1083),0)))))),0)</f>
        <v/>
      </c>
      <c r="K825" s="3">
        <f>I825-J825</f>
        <v/>
      </c>
      <c r="L825" s="3">
        <f>IF(K825&lt;-5,"CRÍTICO",IF(K825&lt;0,"ATENÇÃO",IF(K825&lt;=5,"BOM","EXCELENTE")))</f>
        <v/>
      </c>
      <c r="N825" t="n">
        <v>100</v>
      </c>
      <c r="O825" t="n">
        <v>34.36692506459949</v>
      </c>
    </row>
    <row r="826" hidden="1">
      <c r="A826" s="11" t="n">
        <v>46027</v>
      </c>
      <c r="B826" t="inlineStr">
        <is>
          <t>Claudio de Sousa Velasco Filho</t>
        </is>
      </c>
      <c r="C826" t="inlineStr">
        <is>
          <t>Estágio</t>
        </is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s="3" t="n">
        <v>0</v>
      </c>
      <c r="J826" s="3" t="n">
        <v>0</v>
      </c>
      <c r="K826" s="3" t="n">
        <v>0</v>
      </c>
      <c r="L826" s="3">
        <f>IF(K826&lt;-5,"CRÍTICO",IF(K826&lt;0,"ATENÇÃO",IF(K826&lt;=5,"BOM","EXCELENTE")))</f>
        <v/>
      </c>
      <c r="N826" t="n">
        <v>0</v>
      </c>
      <c r="O826" t="n">
        <v>0</v>
      </c>
    </row>
    <row r="827" hidden="1">
      <c r="A827" s="11" t="n">
        <v>46027</v>
      </c>
      <c r="B827" t="inlineStr">
        <is>
          <t>Clessiane Pereira dos Santos</t>
        </is>
      </c>
      <c r="C827" t="inlineStr">
        <is>
          <t>Técnico I</t>
        </is>
      </c>
      <c r="D827" t="n">
        <v>22</v>
      </c>
      <c r="E827" t="n">
        <v>20</v>
      </c>
      <c r="F827" t="n">
        <v>18.23</v>
      </c>
      <c r="G827" t="n">
        <v>0</v>
      </c>
      <c r="H827" t="n">
        <v>0</v>
      </c>
      <c r="I827" s="3">
        <f>E827+G827+H827</f>
        <v/>
      </c>
      <c r="J827" s="3">
        <f>ROUND(MIN(IF(C827="Técnico III",35,IF(C827="Técnico II",28,IF(C827="Técnico I",23,IF(C827="JR",20,IF(C827="Estágio",10,0))))),IF(C827="Técnico III",SUMIFS($D:$D,$A:$A,$A827,$B:$B,"&lt;&gt;Patrícia Karla de Sousa Araújo",$B:$B,"&lt;&gt;Lorena Dias de Araujo",$B:$B,"&lt;&gt;Lucas Luiz Romero")*(35/1083),IF(C827="Técnico II",SUMIFS($D:$D,$A:$A,$A827,$B:$B,"&lt;&gt;Patrícia Karla de Sousa Araújo",$B:$B,"&lt;&gt;Lorena Dias de Araujo",$B:$B,"&lt;&gt;Lucas Luiz Romero")*(28/1083),IF(C827="Técnico I",SUMIFS($D:$D,$A:$A,$A827,$B:$B,"&lt;&gt;Patrícia Karla de Sousa Araújo",$B:$B,"&lt;&gt;Lorena Dias de Araujo",$B:$B,"&lt;&gt;Lucas Luiz Romero")*(23/1083),IF(C827="JR",SUMIFS($D:$D,$A:$A,$A827,$B:$B,"&lt;&gt;Patrícia Karla de Sousa Araújo",$B:$B,"&lt;&gt;Lorena Dias de Araujo",$B:$B,"&lt;&gt;Lucas Luiz Romero")*(20/1083),IF(C827="Estágio",SUMIFS($D:$D,$A:$A,$A827,$B:$B,"&lt;&gt;Patrícia Karla de Sousa Araújo",$B:$B,"&lt;&gt;Lorena Dias de Araujo",$B:$B,"&lt;&gt;Lucas Luiz Romero")*(10/1083),0)))))),0)</f>
        <v/>
      </c>
      <c r="K827" s="3">
        <f>I827-J827</f>
        <v/>
      </c>
      <c r="L827" s="3">
        <f>IF(K827&lt;-5,"CRÍTICO",IF(K827&lt;0,"ATENÇÃO",IF(K827&lt;=5,"BOM","EXCELENTE")))</f>
        <v/>
      </c>
      <c r="N827" t="n">
        <v>100</v>
      </c>
      <c r="O827" t="n">
        <v>29.51807228915663</v>
      </c>
    </row>
    <row r="828" hidden="1">
      <c r="A828" s="11" t="n">
        <v>46027</v>
      </c>
      <c r="B828" t="inlineStr">
        <is>
          <t>Cristiane Ramos da Silva Rocha</t>
        </is>
      </c>
      <c r="C828" t="inlineStr">
        <is>
          <t>Técnico III</t>
        </is>
      </c>
      <c r="D828" t="n">
        <v>42</v>
      </c>
      <c r="E828" t="n">
        <v>40</v>
      </c>
      <c r="F828" t="n">
        <v>12.27</v>
      </c>
      <c r="G828" t="n">
        <v>0</v>
      </c>
      <c r="H828" t="n">
        <v>0</v>
      </c>
      <c r="I828" s="3">
        <f>E828+G828+H828</f>
        <v/>
      </c>
      <c r="J828" s="3">
        <f>ROUND(MIN(IF(C828="Técnico III",35,IF(C828="Técnico II",28,IF(C828="Técnico I",23,IF(C828="JR",20,IF(C828="Estágio",10,0))))),IF(C828="Técnico III",SUMIFS($D:$D,$A:$A,$A828,$B:$B,"&lt;&gt;Patrícia Karla de Sousa Araújo",$B:$B,"&lt;&gt;Lorena Dias de Araujo",$B:$B,"&lt;&gt;Lucas Luiz Romero")*(35/1083),IF(C828="Técnico II",SUMIFS($D:$D,$A:$A,$A828,$B:$B,"&lt;&gt;Patrícia Karla de Sousa Araújo",$B:$B,"&lt;&gt;Lorena Dias de Araujo",$B:$B,"&lt;&gt;Lucas Luiz Romero")*(28/1083),IF(C828="Técnico I",SUMIFS($D:$D,$A:$A,$A828,$B:$B,"&lt;&gt;Patrícia Karla de Sousa Araújo",$B:$B,"&lt;&gt;Lorena Dias de Araujo",$B:$B,"&lt;&gt;Lucas Luiz Romero")*(23/1083),IF(C828="JR",SUMIFS($D:$D,$A:$A,$A828,$B:$B,"&lt;&gt;Patrícia Karla de Sousa Araújo",$B:$B,"&lt;&gt;Lorena Dias de Araujo",$B:$B,"&lt;&gt;Lucas Luiz Romero")*(20/1083),IF(C828="Estágio",SUMIFS($D:$D,$A:$A,$A828,$B:$B,"&lt;&gt;Patrícia Karla de Sousa Araújo",$B:$B,"&lt;&gt;Lorena Dias de Araujo",$B:$B,"&lt;&gt;Lucas Luiz Romero")*(10/1083),0)))))),0)</f>
        <v/>
      </c>
      <c r="K828" s="3">
        <f>I828-J828</f>
        <v/>
      </c>
      <c r="L828" s="3">
        <f>IF(K828&lt;-5,"CRÍTICO",IF(K828&lt;0,"ATENÇÃO",IF(K828&lt;=5,"BOM","EXCELENTE")))</f>
        <v/>
      </c>
      <c r="N828" t="n">
        <v>97.45</v>
      </c>
      <c r="O828" t="n">
        <v>41.421143847487</v>
      </c>
    </row>
    <row r="829" hidden="1">
      <c r="A829" s="11" t="n">
        <v>46027</v>
      </c>
      <c r="B829" t="inlineStr">
        <is>
          <t>Damyllis Lorraine de Oliveira Gonçalves</t>
        </is>
      </c>
      <c r="C829" t="inlineStr">
        <is>
          <t>Técnico II</t>
        </is>
      </c>
      <c r="D829" t="n">
        <v>33</v>
      </c>
      <c r="E829" t="n">
        <v>23</v>
      </c>
      <c r="F829" t="n">
        <v>13.36</v>
      </c>
      <c r="G829" t="n">
        <v>0</v>
      </c>
      <c r="H829" t="n">
        <v>0</v>
      </c>
      <c r="I829" s="3" t="n">
        <v>0</v>
      </c>
      <c r="J829" s="3" t="n">
        <v>0</v>
      </c>
      <c r="K829" s="3" t="n">
        <v>0</v>
      </c>
      <c r="L829" s="3">
        <f>IF(K829&lt;-5,"CRÍTICO",IF(K829&lt;0,"ATENÇÃO",IF(K829&lt;=5,"BOM","EXCELENTE")))</f>
        <v/>
      </c>
      <c r="N829" t="n">
        <v>96.58</v>
      </c>
      <c r="O829" t="n">
        <v>30.39647577092511</v>
      </c>
    </row>
    <row r="830" hidden="1">
      <c r="A830" s="11" t="n">
        <v>46027</v>
      </c>
      <c r="B830" t="inlineStr">
        <is>
          <t>Daniel Gomes da Silva</t>
        </is>
      </c>
      <c r="C830" t="inlineStr">
        <is>
          <t>Técnico I</t>
        </is>
      </c>
      <c r="D830" t="n">
        <v>26</v>
      </c>
      <c r="E830" t="n">
        <v>22</v>
      </c>
      <c r="F830" t="n">
        <v>19.13</v>
      </c>
      <c r="G830" t="n">
        <v>0</v>
      </c>
      <c r="H830" t="n">
        <v>0</v>
      </c>
      <c r="I830" s="3">
        <f>E830+G830+H830</f>
        <v/>
      </c>
      <c r="J830" s="3">
        <f>ROUND(MIN(IF(C830="Técnico III",35,IF(C830="Técnico II",28,IF(C830="Técnico I",23,IF(C830="JR",20,IF(C830="Estágio",10,0))))),IF(C830="Técnico III",SUMIFS($D:$D,$A:$A,$A830,$B:$B,"&lt;&gt;Patrícia Karla de Sousa Araújo",$B:$B,"&lt;&gt;Lorena Dias de Araujo",$B:$B,"&lt;&gt;Lucas Luiz Romero")*(35/1083),IF(C830="Técnico II",SUMIFS($D:$D,$A:$A,$A830,$B:$B,"&lt;&gt;Patrícia Karla de Sousa Araújo",$B:$B,"&lt;&gt;Lorena Dias de Araujo",$B:$B,"&lt;&gt;Lucas Luiz Romero")*(28/1083),IF(C830="Técnico I",SUMIFS($D:$D,$A:$A,$A830,$B:$B,"&lt;&gt;Patrícia Karla de Sousa Araújo",$B:$B,"&lt;&gt;Lorena Dias de Araujo",$B:$B,"&lt;&gt;Lucas Luiz Romero")*(23/1083),IF(C830="JR",SUMIFS($D:$D,$A:$A,$A830,$B:$B,"&lt;&gt;Patrícia Karla de Sousa Araújo",$B:$B,"&lt;&gt;Lorena Dias de Araujo",$B:$B,"&lt;&gt;Lucas Luiz Romero")*(20/1083),IF(C830="Estágio",SUMIFS($D:$D,$A:$A,$A830,$B:$B,"&lt;&gt;Patrícia Karla de Sousa Araújo",$B:$B,"&lt;&gt;Lorena Dias de Araujo",$B:$B,"&lt;&gt;Lucas Luiz Romero")*(10/1083),0)))))),0)</f>
        <v/>
      </c>
      <c r="K830" s="3">
        <f>I830-J830</f>
        <v/>
      </c>
      <c r="L830" s="3">
        <f>IF(K830&lt;-5,"CRÍTICO",IF(K830&lt;0,"ATENÇÃO",IF(K830&lt;=5,"BOM","EXCELENTE")))</f>
        <v/>
      </c>
      <c r="N830" t="n">
        <v>100</v>
      </c>
      <c r="O830" t="n">
        <v>27.44282744282744</v>
      </c>
    </row>
    <row r="831" hidden="1">
      <c r="A831" s="11" t="n">
        <v>46027</v>
      </c>
      <c r="B831" t="inlineStr">
        <is>
          <t>Davylla Rodrigues Freitas Silva</t>
        </is>
      </c>
      <c r="C831" t="inlineStr">
        <is>
          <t>Técnico III</t>
        </is>
      </c>
      <c r="D831" t="n">
        <v>22</v>
      </c>
      <c r="E831" t="n">
        <v>22</v>
      </c>
      <c r="F831" t="n">
        <v>23.55</v>
      </c>
      <c r="G831" t="n">
        <v>0</v>
      </c>
      <c r="H831" t="n">
        <v>0</v>
      </c>
      <c r="I831" s="3" t="n">
        <v>0</v>
      </c>
      <c r="J831" s="3" t="n">
        <v>0</v>
      </c>
      <c r="K831" s="3" t="n">
        <v>0</v>
      </c>
      <c r="L831" s="3">
        <f>IF(K831&lt;-5,"CRÍTICO",IF(K831&lt;0,"ATENÇÃO",IF(K831&lt;=5,"BOM","EXCELENTE")))</f>
        <v/>
      </c>
      <c r="N831" t="n">
        <v>99.48999999999999</v>
      </c>
      <c r="O831" t="n">
        <v>40.2</v>
      </c>
    </row>
    <row r="832" hidden="1">
      <c r="A832" s="11" t="n">
        <v>46027</v>
      </c>
      <c r="B832" t="inlineStr">
        <is>
          <t>Emilly Caylane Costa</t>
        </is>
      </c>
      <c r="C832" t="inlineStr">
        <is>
          <t>Estágio</t>
        </is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s="3" t="n">
        <v>0</v>
      </c>
      <c r="J832" s="3" t="n">
        <v>0</v>
      </c>
      <c r="K832" s="3" t="n">
        <v>0</v>
      </c>
      <c r="L832" s="3">
        <f>IF(K832&lt;-5,"CRÍTICO",IF(K832&lt;0,"ATENÇÃO",IF(K832&lt;=5,"BOM","EXCELENTE")))</f>
        <v/>
      </c>
      <c r="N832" t="n">
        <v>100</v>
      </c>
      <c r="O832" t="n">
        <v>25</v>
      </c>
    </row>
    <row r="833" hidden="1">
      <c r="A833" s="11" t="n">
        <v>46027</v>
      </c>
      <c r="B833" t="inlineStr">
        <is>
          <t>Emilly Kamilly Medeiros Miranda</t>
        </is>
      </c>
      <c r="C833" t="inlineStr">
        <is>
          <t>Técnico II</t>
        </is>
      </c>
      <c r="D833" t="n">
        <v>39</v>
      </c>
      <c r="E833" t="n">
        <v>38</v>
      </c>
      <c r="F833" t="n">
        <v>12.19</v>
      </c>
      <c r="G833" t="n">
        <v>0</v>
      </c>
      <c r="H833" t="n">
        <v>0</v>
      </c>
      <c r="I833" s="3">
        <f>E833+G833+H833</f>
        <v/>
      </c>
      <c r="J833" s="3">
        <f>ROUND(MIN(IF(C833="Técnico III",35,IF(C833="Técnico II",28,IF(C833="Técnico I",23,IF(C833="JR",20,IF(C833="Estágio",10,0))))),IF(C833="Técnico III",SUMIFS($D:$D,$A:$A,$A833,$B:$B,"&lt;&gt;Patrícia Karla de Sousa Araújo",$B:$B,"&lt;&gt;Lorena Dias de Araujo",$B:$B,"&lt;&gt;Lucas Luiz Romero")*(35/1083),IF(C833="Técnico II",SUMIFS($D:$D,$A:$A,$A833,$B:$B,"&lt;&gt;Patrícia Karla de Sousa Araújo",$B:$B,"&lt;&gt;Lorena Dias de Araujo",$B:$B,"&lt;&gt;Lucas Luiz Romero")*(28/1083),IF(C833="Técnico I",SUMIFS($D:$D,$A:$A,$A833,$B:$B,"&lt;&gt;Patrícia Karla de Sousa Araújo",$B:$B,"&lt;&gt;Lorena Dias de Araujo",$B:$B,"&lt;&gt;Lucas Luiz Romero")*(23/1083),IF(C833="JR",SUMIFS($D:$D,$A:$A,$A833,$B:$B,"&lt;&gt;Patrícia Karla de Sousa Araújo",$B:$B,"&lt;&gt;Lorena Dias de Araujo",$B:$B,"&lt;&gt;Lucas Luiz Romero")*(20/1083),IF(C833="Estágio",SUMIFS($D:$D,$A:$A,$A833,$B:$B,"&lt;&gt;Patrícia Karla de Sousa Araújo",$B:$B,"&lt;&gt;Lorena Dias de Araujo",$B:$B,"&lt;&gt;Lucas Luiz Romero")*(10/1083),0)))))),0)</f>
        <v/>
      </c>
      <c r="K833" s="3">
        <f>I833-J833</f>
        <v/>
      </c>
      <c r="L833" s="3">
        <f>IF(K833&lt;-5,"CRÍTICO",IF(K833&lt;0,"ATENÇÃO",IF(K833&lt;=5,"BOM","EXCELENTE")))</f>
        <v/>
      </c>
      <c r="N833" t="n">
        <v>100</v>
      </c>
      <c r="O833" t="n">
        <v>34.15094339622641</v>
      </c>
    </row>
    <row r="834" hidden="1">
      <c r="A834" s="11" t="n">
        <v>46027</v>
      </c>
      <c r="B834" t="inlineStr">
        <is>
          <t>Francielson de Oliveira</t>
        </is>
      </c>
      <c r="C834" t="inlineStr">
        <is>
          <t>Técnico III</t>
        </is>
      </c>
      <c r="D834" t="n">
        <v>32</v>
      </c>
      <c r="E834" t="n">
        <v>29</v>
      </c>
      <c r="F834" t="n">
        <v>11.53</v>
      </c>
      <c r="G834" t="n">
        <v>0</v>
      </c>
      <c r="H834" t="n">
        <v>0</v>
      </c>
      <c r="I834" s="3">
        <f>E834+G834+H834</f>
        <v/>
      </c>
      <c r="J834" s="3">
        <f>ROUND(MIN(IF(C834="Técnico III",35,IF(C834="Técnico II",28,IF(C834="Técnico I",23,IF(C834="JR",20,IF(C834="Estágio",10,0))))),IF(C834="Técnico III",SUMIFS($D:$D,$A:$A,$A834,$B:$B,"&lt;&gt;Patrícia Karla de Sousa Araújo",$B:$B,"&lt;&gt;Lorena Dias de Araujo",$B:$B,"&lt;&gt;Lucas Luiz Romero")*(35/1083),IF(C834="Técnico II",SUMIFS($D:$D,$A:$A,$A834,$B:$B,"&lt;&gt;Patrícia Karla de Sousa Araújo",$B:$B,"&lt;&gt;Lorena Dias de Araujo",$B:$B,"&lt;&gt;Lucas Luiz Romero")*(28/1083),IF(C834="Técnico I",SUMIFS($D:$D,$A:$A,$A834,$B:$B,"&lt;&gt;Patrícia Karla de Sousa Araújo",$B:$B,"&lt;&gt;Lorena Dias de Araujo",$B:$B,"&lt;&gt;Lucas Luiz Romero")*(23/1083),IF(C834="JR",SUMIFS($D:$D,$A:$A,$A834,$B:$B,"&lt;&gt;Patrícia Karla de Sousa Araújo",$B:$B,"&lt;&gt;Lorena Dias de Araujo",$B:$B,"&lt;&gt;Lucas Luiz Romero")*(20/1083),IF(C834="Estágio",SUMIFS($D:$D,$A:$A,$A834,$B:$B,"&lt;&gt;Patrícia Karla de Sousa Araújo",$B:$B,"&lt;&gt;Lorena Dias de Araujo",$B:$B,"&lt;&gt;Lucas Luiz Romero")*(10/1083),0)))))),0)</f>
        <v/>
      </c>
      <c r="K834" s="3">
        <f>I834-J834</f>
        <v/>
      </c>
      <c r="L834" s="3">
        <f>IF(K834&lt;-5,"CRÍTICO",IF(K834&lt;0,"ATENÇÃO",IF(K834&lt;=5,"BOM","EXCELENTE")))</f>
        <v/>
      </c>
      <c r="N834" t="n">
        <v>100</v>
      </c>
      <c r="O834" t="n">
        <v>32.7313769751693</v>
      </c>
    </row>
    <row r="835" hidden="1">
      <c r="A835" s="11" t="n">
        <v>46027</v>
      </c>
      <c r="B835" t="inlineStr">
        <is>
          <t>Francilene Ferreira de Jesus</t>
        </is>
      </c>
      <c r="C835" t="inlineStr">
        <is>
          <t>Técnico II</t>
        </is>
      </c>
      <c r="D835" t="n">
        <v>32</v>
      </c>
      <c r="E835" t="n">
        <v>27</v>
      </c>
      <c r="F835" t="n">
        <v>20.36</v>
      </c>
      <c r="G835" t="n">
        <v>0</v>
      </c>
      <c r="H835" t="n">
        <v>0</v>
      </c>
      <c r="I835" s="3">
        <f>E835+G835+H835</f>
        <v/>
      </c>
      <c r="J835" s="3">
        <f>ROUND(MIN(IF(C835="Técnico III",35,IF(C835="Técnico II",28,IF(C835="Técnico I",23,IF(C835="JR",20,IF(C835="Estágio",10,0))))),IF(C835="Técnico III",SUMIFS($D:$D,$A:$A,$A835,$B:$B,"&lt;&gt;Patrícia Karla de Sousa Araújo",$B:$B,"&lt;&gt;Lorena Dias de Araujo",$B:$B,"&lt;&gt;Lucas Luiz Romero")*(35/1083),IF(C835="Técnico II",SUMIFS($D:$D,$A:$A,$A835,$B:$B,"&lt;&gt;Patrícia Karla de Sousa Araújo",$B:$B,"&lt;&gt;Lorena Dias de Araujo",$B:$B,"&lt;&gt;Lucas Luiz Romero")*(28/1083),IF(C835="Técnico I",SUMIFS($D:$D,$A:$A,$A835,$B:$B,"&lt;&gt;Patrícia Karla de Sousa Araújo",$B:$B,"&lt;&gt;Lorena Dias de Araujo",$B:$B,"&lt;&gt;Lucas Luiz Romero")*(23/1083),IF(C835="JR",SUMIFS($D:$D,$A:$A,$A835,$B:$B,"&lt;&gt;Patrícia Karla de Sousa Araújo",$B:$B,"&lt;&gt;Lorena Dias de Araujo",$B:$B,"&lt;&gt;Lucas Luiz Romero")*(20/1083),IF(C835="Estágio",SUMIFS($D:$D,$A:$A,$A835,$B:$B,"&lt;&gt;Patrícia Karla de Sousa Araújo",$B:$B,"&lt;&gt;Lorena Dias de Araujo",$B:$B,"&lt;&gt;Lucas Luiz Romero")*(10/1083),0)))))),0)</f>
        <v/>
      </c>
      <c r="K835" s="3">
        <f>I835-J835</f>
        <v/>
      </c>
      <c r="L835" s="3">
        <f>IF(K835&lt;-5,"CRÍTICO",IF(K835&lt;0,"ATENÇÃO",IF(K835&lt;=5,"BOM","EXCELENTE")))</f>
        <v/>
      </c>
      <c r="N835" t="n">
        <v>99.31</v>
      </c>
      <c r="O835" t="n">
        <v>30.96234309623431</v>
      </c>
    </row>
    <row r="836" hidden="1">
      <c r="A836" s="11" t="n">
        <v>46059</v>
      </c>
      <c r="B836" t="inlineStr">
        <is>
          <t>Gabriel Gomes de Andrade</t>
        </is>
      </c>
      <c r="C836" t="inlineStr">
        <is>
          <t>Técnico I</t>
        </is>
      </c>
      <c r="D836" t="n">
        <v>18</v>
      </c>
      <c r="E836" t="n">
        <v>16</v>
      </c>
      <c r="F836" t="n">
        <v>27.15</v>
      </c>
      <c r="G836" t="n">
        <v>0</v>
      </c>
      <c r="H836" t="n">
        <v>0</v>
      </c>
      <c r="I836" s="3">
        <f>E836+G836+H836</f>
        <v/>
      </c>
      <c r="J836" s="3">
        <f>ROUND(MIN(IF(C836="Técnico III",35,IF(C836="Técnico II",28,IF(C836="Técnico I",23,IF(C836="JR",20,IF(C836="Estágio",10,0))))),IF(C836="Técnico III",SUMIFS($D:$D,$A:$A,$A836,$B:$B,"&lt;&gt;Patrícia Karla de Sousa Araújo",$B:$B,"&lt;&gt;Lorena Dias de Araujo",$B:$B,"&lt;&gt;Lucas Luiz Romero")*(35/1083),IF(C836="Técnico II",SUMIFS($D:$D,$A:$A,$A836,$B:$B,"&lt;&gt;Patrícia Karla de Sousa Araújo",$B:$B,"&lt;&gt;Lorena Dias de Araujo",$B:$B,"&lt;&gt;Lucas Luiz Romero")*(28/1083),IF(C836="Técnico I",SUMIFS($D:$D,$A:$A,$A836,$B:$B,"&lt;&gt;Patrícia Karla de Sousa Araújo",$B:$B,"&lt;&gt;Lorena Dias de Araujo",$B:$B,"&lt;&gt;Lucas Luiz Romero")*(23/1083),IF(C836="JR",SUMIFS($D:$D,$A:$A,$A836,$B:$B,"&lt;&gt;Patrícia Karla de Sousa Araújo",$B:$B,"&lt;&gt;Lorena Dias de Araujo",$B:$B,"&lt;&gt;Lucas Luiz Romero")*(20/1083),IF(C836="Estágio",SUMIFS($D:$D,$A:$A,$A836,$B:$B,"&lt;&gt;Patrícia Karla de Sousa Araújo",$B:$B,"&lt;&gt;Lorena Dias de Araujo",$B:$B,"&lt;&gt;Lucas Luiz Romero")*(10/1083),0)))))),0)</f>
        <v/>
      </c>
      <c r="K836" s="3">
        <f>I836-J836</f>
        <v/>
      </c>
      <c r="L836" s="3">
        <f>IF(K836&lt;-5,"CRÍTICO",IF(K836&lt;0,"ATENÇÃO",IF(K836&lt;=5,"BOM","EXCELENTE")))</f>
        <v/>
      </c>
      <c r="N836" t="n">
        <v>96.67</v>
      </c>
      <c r="O836" t="n">
        <v>31.45161290322581</v>
      </c>
    </row>
    <row r="837" hidden="1">
      <c r="A837" s="11" t="n">
        <v>46027</v>
      </c>
      <c r="B837" t="inlineStr">
        <is>
          <t>Isabella Borges de Oliveira</t>
        </is>
      </c>
      <c r="C837" t="inlineStr">
        <is>
          <t>Técnico II</t>
        </is>
      </c>
      <c r="D837" t="n">
        <v>27</v>
      </c>
      <c r="E837" t="n">
        <v>24</v>
      </c>
      <c r="F837" t="n">
        <v>22.12</v>
      </c>
      <c r="G837" t="n">
        <v>0</v>
      </c>
      <c r="H837" t="n">
        <v>0</v>
      </c>
      <c r="I837" s="3">
        <f>E837+G837+H837</f>
        <v/>
      </c>
      <c r="J837" s="3">
        <f>ROUND(MIN(IF(C837="Técnico III",35,IF(C837="Técnico II",28,IF(C837="Técnico I",23,IF(C837="JR",20,IF(C837="Estágio",10,0))))),IF(C837="Técnico III",SUMIFS($D:$D,$A:$A,$A837,$B:$B,"&lt;&gt;Patrícia Karla de Sousa Araújo",$B:$B,"&lt;&gt;Lorena Dias de Araujo",$B:$B,"&lt;&gt;Lucas Luiz Romero")*(35/1083),IF(C837="Técnico II",SUMIFS($D:$D,$A:$A,$A837,$B:$B,"&lt;&gt;Patrícia Karla de Sousa Araújo",$B:$B,"&lt;&gt;Lorena Dias de Araujo",$B:$B,"&lt;&gt;Lucas Luiz Romero")*(28/1083),IF(C837="Técnico I",SUMIFS($D:$D,$A:$A,$A837,$B:$B,"&lt;&gt;Patrícia Karla de Sousa Araújo",$B:$B,"&lt;&gt;Lorena Dias de Araujo",$B:$B,"&lt;&gt;Lucas Luiz Romero")*(23/1083),IF(C837="JR",SUMIFS($D:$D,$A:$A,$A837,$B:$B,"&lt;&gt;Patrícia Karla de Sousa Araújo",$B:$B,"&lt;&gt;Lorena Dias de Araujo",$B:$B,"&lt;&gt;Lucas Luiz Romero")*(20/1083),IF(C837="Estágio",SUMIFS($D:$D,$A:$A,$A837,$B:$B,"&lt;&gt;Patrícia Karla de Sousa Araújo",$B:$B,"&lt;&gt;Lorena Dias de Araujo",$B:$B,"&lt;&gt;Lucas Luiz Romero")*(10/1083),0)))))),0)</f>
        <v/>
      </c>
      <c r="K837" s="3">
        <f>I837-J837</f>
        <v/>
      </c>
      <c r="L837" s="3">
        <f>IF(K837&lt;-5,"CRÍTICO",IF(K837&lt;0,"ATENÇÃO",IF(K837&lt;=5,"BOM","EXCELENTE")))</f>
        <v/>
      </c>
      <c r="N837" t="n">
        <v>100</v>
      </c>
      <c r="O837" t="n">
        <v>27.67676767676768</v>
      </c>
    </row>
    <row r="838" hidden="1">
      <c r="A838" s="11" t="n">
        <v>46027</v>
      </c>
      <c r="B838" t="inlineStr">
        <is>
          <t>Janaina Lima dos Reis Urany</t>
        </is>
      </c>
      <c r="C838" t="inlineStr">
        <is>
          <t>Técnico III</t>
        </is>
      </c>
      <c r="D838" t="n">
        <v>53</v>
      </c>
      <c r="E838" t="n">
        <v>44</v>
      </c>
      <c r="F838" t="n">
        <v>12.26</v>
      </c>
      <c r="G838" t="n">
        <v>0</v>
      </c>
      <c r="H838" t="n">
        <v>0</v>
      </c>
      <c r="I838" s="3">
        <f>E838+G838+H838</f>
        <v/>
      </c>
      <c r="J838" s="3">
        <f>ROUND(MIN(IF(C838="Técnico III",35,IF(C838="Técnico II",28,IF(C838="Técnico I",23,IF(C838="JR",20,IF(C838="Estágio",10,0))))),IF(C838="Técnico III",SUMIFS($D:$D,$A:$A,$A838,$B:$B,"&lt;&gt;Patrícia Karla de Sousa Araújo",$B:$B,"&lt;&gt;Lorena Dias de Araujo",$B:$B,"&lt;&gt;Lucas Luiz Romero")*(35/1083),IF(C838="Técnico II",SUMIFS($D:$D,$A:$A,$A838,$B:$B,"&lt;&gt;Patrícia Karla de Sousa Araújo",$B:$B,"&lt;&gt;Lorena Dias de Araujo",$B:$B,"&lt;&gt;Lucas Luiz Romero")*(28/1083),IF(C838="Técnico I",SUMIFS($D:$D,$A:$A,$A838,$B:$B,"&lt;&gt;Patrícia Karla de Sousa Araújo",$B:$B,"&lt;&gt;Lorena Dias de Araujo",$B:$B,"&lt;&gt;Lucas Luiz Romero")*(23/1083),IF(C838="JR",SUMIFS($D:$D,$A:$A,$A838,$B:$B,"&lt;&gt;Patrícia Karla de Sousa Araújo",$B:$B,"&lt;&gt;Lorena Dias de Araujo",$B:$B,"&lt;&gt;Lucas Luiz Romero")*(20/1083),IF(C838="Estágio",SUMIFS($D:$D,$A:$A,$A838,$B:$B,"&lt;&gt;Patrícia Karla de Sousa Araújo",$B:$B,"&lt;&gt;Lorena Dias de Araujo",$B:$B,"&lt;&gt;Lucas Luiz Romero")*(10/1083),0)))))),0)</f>
        <v/>
      </c>
      <c r="K838" s="3">
        <f>I838-J838</f>
        <v/>
      </c>
      <c r="L838" s="3">
        <f>IF(K838&lt;-5,"CRÍTICO",IF(K838&lt;0,"ATENÇÃO",IF(K838&lt;=5,"BOM","EXCELENTE")))</f>
        <v/>
      </c>
      <c r="N838" t="n">
        <v>100</v>
      </c>
      <c r="O838" t="n">
        <v>31.17723156532988</v>
      </c>
    </row>
    <row r="839" hidden="1">
      <c r="A839" s="11" t="n">
        <v>46027</v>
      </c>
      <c r="B839" t="inlineStr">
        <is>
          <t>Jaqueline Evangelista da Silva Martins</t>
        </is>
      </c>
      <c r="C839" t="inlineStr">
        <is>
          <t>Técnico III</t>
        </is>
      </c>
      <c r="D839" t="n">
        <v>14</v>
      </c>
      <c r="E839" t="n">
        <v>12</v>
      </c>
      <c r="F839" t="n">
        <v>15.15</v>
      </c>
      <c r="G839" t="n">
        <v>0</v>
      </c>
      <c r="H839" t="n">
        <v>0</v>
      </c>
      <c r="I839" s="3">
        <f>E839+G839+H839</f>
        <v/>
      </c>
      <c r="J839" s="3">
        <f>ROUND(MIN(IF(C839="Técnico III",35,IF(C839="Técnico II",28,IF(C839="Técnico I",23,IF(C839="JR",20,IF(C839="Estágio",10,0))))),IF(C839="Técnico III",SUMIFS($D:$D,$A:$A,$A839,$B:$B,"&lt;&gt;Patrícia Karla de Sousa Araújo",$B:$B,"&lt;&gt;Lorena Dias de Araujo",$B:$B,"&lt;&gt;Lucas Luiz Romero")*(35/1083),IF(C839="Técnico II",SUMIFS($D:$D,$A:$A,$A839,$B:$B,"&lt;&gt;Patrícia Karla de Sousa Araújo",$B:$B,"&lt;&gt;Lorena Dias de Araujo",$B:$B,"&lt;&gt;Lucas Luiz Romero")*(28/1083),IF(C839="Técnico I",SUMIFS($D:$D,$A:$A,$A839,$B:$B,"&lt;&gt;Patrícia Karla de Sousa Araújo",$B:$B,"&lt;&gt;Lorena Dias de Araujo",$B:$B,"&lt;&gt;Lucas Luiz Romero")*(23/1083),IF(C839="JR",SUMIFS($D:$D,$A:$A,$A839,$B:$B,"&lt;&gt;Patrícia Karla de Sousa Araújo",$B:$B,"&lt;&gt;Lorena Dias de Araujo",$B:$B,"&lt;&gt;Lucas Luiz Romero")*(20/1083),IF(C839="Estágio",SUMIFS($D:$D,$A:$A,$A839,$B:$B,"&lt;&gt;Patrícia Karla de Sousa Araújo",$B:$B,"&lt;&gt;Lorena Dias de Araujo",$B:$B,"&lt;&gt;Lucas Luiz Romero")*(10/1083),0)))))),0)</f>
        <v/>
      </c>
      <c r="K839" s="3">
        <f>I839-J839</f>
        <v/>
      </c>
      <c r="L839" s="3">
        <f>IF(K839&lt;-5,"CRÍTICO",IF(K839&lt;0,"ATENÇÃO",IF(K839&lt;=5,"BOM","EXCELENTE")))</f>
        <v/>
      </c>
      <c r="N839" t="n">
        <v>100</v>
      </c>
      <c r="O839" t="n">
        <v>27.60942760942761</v>
      </c>
    </row>
    <row r="840" hidden="1">
      <c r="A840" s="11" t="n">
        <v>46027</v>
      </c>
      <c r="B840" t="inlineStr">
        <is>
          <t>Jessica Faria da Silveira</t>
        </is>
      </c>
      <c r="C840" t="inlineStr">
        <is>
          <t>Técnico II</t>
        </is>
      </c>
      <c r="D840" t="n">
        <v>40</v>
      </c>
      <c r="E840" t="n">
        <v>30</v>
      </c>
      <c r="F840" t="n">
        <v>11.52</v>
      </c>
      <c r="G840" t="n">
        <v>0</v>
      </c>
      <c r="H840" t="n">
        <v>0</v>
      </c>
      <c r="I840" s="3">
        <f>E840+G840+H840</f>
        <v/>
      </c>
      <c r="J840" s="3">
        <f>ROUND(MIN(IF(C840="Técnico III",35,IF(C840="Técnico II",28,IF(C840="Técnico I",23,IF(C840="JR",20,IF(C840="Estágio",10,0))))),IF(C840="Técnico III",SUMIFS($D:$D,$A:$A,$A840,$B:$B,"&lt;&gt;Patrícia Karla de Sousa Araújo",$B:$B,"&lt;&gt;Lorena Dias de Araujo",$B:$B,"&lt;&gt;Lucas Luiz Romero")*(35/1083),IF(C840="Técnico II",SUMIFS($D:$D,$A:$A,$A840,$B:$B,"&lt;&gt;Patrícia Karla de Sousa Araújo",$B:$B,"&lt;&gt;Lorena Dias de Araujo",$B:$B,"&lt;&gt;Lucas Luiz Romero")*(28/1083),IF(C840="Técnico I",SUMIFS($D:$D,$A:$A,$A840,$B:$B,"&lt;&gt;Patrícia Karla de Sousa Araújo",$B:$B,"&lt;&gt;Lorena Dias de Araujo",$B:$B,"&lt;&gt;Lucas Luiz Romero")*(23/1083),IF(C840="JR",SUMIFS($D:$D,$A:$A,$A840,$B:$B,"&lt;&gt;Patrícia Karla de Sousa Araújo",$B:$B,"&lt;&gt;Lorena Dias de Araujo",$B:$B,"&lt;&gt;Lucas Luiz Romero")*(20/1083),IF(C840="Estágio",SUMIFS($D:$D,$A:$A,$A840,$B:$B,"&lt;&gt;Patrícia Karla de Sousa Araújo",$B:$B,"&lt;&gt;Lorena Dias de Araujo",$B:$B,"&lt;&gt;Lucas Luiz Romero")*(10/1083),0)))))),0)</f>
        <v/>
      </c>
      <c r="K840" s="3">
        <f>I840-J840</f>
        <v/>
      </c>
      <c r="L840" s="3">
        <f>IF(K840&lt;-5,"CRÍTICO",IF(K840&lt;0,"ATENÇÃO",IF(K840&lt;=5,"BOM","EXCELENTE")))</f>
        <v/>
      </c>
      <c r="N840" t="n">
        <v>96.40000000000001</v>
      </c>
      <c r="O840" t="n">
        <v>28.76404494382023</v>
      </c>
    </row>
    <row r="841" hidden="1">
      <c r="A841" s="11" t="n">
        <v>46027</v>
      </c>
      <c r="B841" t="inlineStr">
        <is>
          <t>Jéssica Fé Moura</t>
        </is>
      </c>
      <c r="C841" t="inlineStr">
        <is>
          <t>Técnico III</t>
        </is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s="3" t="n">
        <v>0</v>
      </c>
      <c r="J841" s="3" t="n">
        <v>0</v>
      </c>
      <c r="K841" s="3" t="n">
        <v>0</v>
      </c>
      <c r="L841" s="3">
        <f>IF(K841&lt;-5,"CRÍTICO",IF(K841&lt;0,"ATENÇÃO",IF(K841&lt;=5,"BOM","EXCELENTE")))</f>
        <v/>
      </c>
      <c r="N841" t="n">
        <v>100</v>
      </c>
      <c r="O841" t="n">
        <v>33.98058252427185</v>
      </c>
    </row>
    <row r="842" hidden="1">
      <c r="A842" s="11" t="n">
        <v>46027</v>
      </c>
      <c r="B842" t="inlineStr">
        <is>
          <t>Karina Gonçalves Martins</t>
        </is>
      </c>
      <c r="C842" t="inlineStr">
        <is>
          <t>JR</t>
        </is>
      </c>
      <c r="D842" t="n">
        <v>7</v>
      </c>
      <c r="E842" t="n">
        <v>6</v>
      </c>
      <c r="F842" t="n">
        <v>29.13</v>
      </c>
      <c r="G842" t="n">
        <v>0</v>
      </c>
      <c r="H842" t="n">
        <v>0</v>
      </c>
      <c r="I842" s="3">
        <f>E842+G842+H842</f>
        <v/>
      </c>
      <c r="J842" s="3">
        <f>ROUND(MIN(IF(C842="Técnico III",35,IF(C842="Técnico II",28,IF(C842="Técnico I",23,IF(C842="JR",20,IF(C842="Estágio",10,0))))),IF(C842="Técnico III",SUMIFS($D:$D,$A:$A,$A842,$B:$B,"&lt;&gt;Patrícia Karla de Sousa Araújo",$B:$B,"&lt;&gt;Lorena Dias de Araujo",$B:$B,"&lt;&gt;Lucas Luiz Romero")*(35/1083),IF(C842="Técnico II",SUMIFS($D:$D,$A:$A,$A842,$B:$B,"&lt;&gt;Patrícia Karla de Sousa Araújo",$B:$B,"&lt;&gt;Lorena Dias de Araujo",$B:$B,"&lt;&gt;Lucas Luiz Romero")*(28/1083),IF(C842="Técnico I",SUMIFS($D:$D,$A:$A,$A842,$B:$B,"&lt;&gt;Patrícia Karla de Sousa Araújo",$B:$B,"&lt;&gt;Lorena Dias de Araujo",$B:$B,"&lt;&gt;Lucas Luiz Romero")*(23/1083),IF(C842="JR",SUMIFS($D:$D,$A:$A,$A842,$B:$B,"&lt;&gt;Patrícia Karla de Sousa Araújo",$B:$B,"&lt;&gt;Lorena Dias de Araujo",$B:$B,"&lt;&gt;Lucas Luiz Romero")*(20/1083),IF(C842="Estágio",SUMIFS($D:$D,$A:$A,$A842,$B:$B,"&lt;&gt;Patrícia Karla de Sousa Araújo",$B:$B,"&lt;&gt;Lorena Dias de Araujo",$B:$B,"&lt;&gt;Lucas Luiz Romero")*(10/1083),0)))))),0)</f>
        <v/>
      </c>
      <c r="K842" s="3">
        <f>I842-J842</f>
        <v/>
      </c>
      <c r="L842" s="3">
        <f>IF(K842&lt;-5,"CRÍTICO",IF(K842&lt;0,"ATENÇÃO",IF(K842&lt;=5,"BOM","EXCELENTE")))</f>
        <v/>
      </c>
      <c r="N842" t="n">
        <v>97.56</v>
      </c>
      <c r="O842" t="n">
        <v>32.51533742331289</v>
      </c>
    </row>
    <row r="843" hidden="1">
      <c r="A843" s="11" t="n">
        <v>46027</v>
      </c>
      <c r="B843" t="inlineStr">
        <is>
          <t>Kerollen Cristielly de Jesus Siqueira</t>
        </is>
      </c>
      <c r="C843" t="inlineStr">
        <is>
          <t>Técnico III</t>
        </is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s="3" t="n">
        <v>0</v>
      </c>
      <c r="J843" s="3" t="n">
        <v>0</v>
      </c>
      <c r="K843" s="3" t="n">
        <v>0</v>
      </c>
      <c r="L843" s="3">
        <f>IF(K843&lt;-5,"CRÍTICO",IF(K843&lt;0,"ATENÇÃO",IF(K843&lt;=5,"BOM","EXCELENTE")))</f>
        <v/>
      </c>
      <c r="N843" t="n">
        <v>97.11</v>
      </c>
      <c r="O843" t="n">
        <v>37.40831295843521</v>
      </c>
    </row>
    <row r="844" hidden="1">
      <c r="A844" s="11" t="n">
        <v>46027</v>
      </c>
      <c r="B844" t="inlineStr">
        <is>
          <t>Leandro de Souza Silva</t>
        </is>
      </c>
      <c r="C844" t="inlineStr">
        <is>
          <t>JR</t>
        </is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s="3" t="n">
        <v>0</v>
      </c>
      <c r="J844" s="3" t="n">
        <v>0</v>
      </c>
      <c r="K844" s="3" t="n">
        <v>0</v>
      </c>
      <c r="L844" s="3">
        <f>IF(K844&lt;-5,"CRÍTICO",IF(K844&lt;0,"ATENÇÃO",IF(K844&lt;=5,"BOM","EXCELENTE")))</f>
        <v/>
      </c>
      <c r="N844" t="n">
        <v>0</v>
      </c>
      <c r="O844" t="n">
        <v>0</v>
      </c>
    </row>
    <row r="845" hidden="1">
      <c r="A845" s="11" t="n">
        <v>46027</v>
      </c>
      <c r="B845" t="inlineStr">
        <is>
          <t>Leandro Oliveira de Sousa</t>
        </is>
      </c>
      <c r="C845" t="inlineStr">
        <is>
          <t>Técnico III</t>
        </is>
      </c>
      <c r="D845" t="n">
        <v>31</v>
      </c>
      <c r="E845" t="n">
        <v>29</v>
      </c>
      <c r="F845" t="n">
        <v>15.57</v>
      </c>
      <c r="G845" t="n">
        <v>0</v>
      </c>
      <c r="H845" t="n">
        <v>0</v>
      </c>
      <c r="I845" s="3">
        <f>E845+G845+H845</f>
        <v/>
      </c>
      <c r="J845" s="3">
        <f>ROUND(MIN(IF(C845="Técnico III",35,IF(C845="Técnico II",28,IF(C845="Técnico I",23,IF(C845="JR",20,IF(C845="Estágio",10,0))))),IF(C845="Técnico III",SUMIFS($D:$D,$A:$A,$A845,$B:$B,"&lt;&gt;Patrícia Karla de Sousa Araújo",$B:$B,"&lt;&gt;Lorena Dias de Araujo",$B:$B,"&lt;&gt;Lucas Luiz Romero")*(35/1083),IF(C845="Técnico II",SUMIFS($D:$D,$A:$A,$A845,$B:$B,"&lt;&gt;Patrícia Karla de Sousa Araújo",$B:$B,"&lt;&gt;Lorena Dias de Araujo",$B:$B,"&lt;&gt;Lucas Luiz Romero")*(28/1083),IF(C845="Técnico I",SUMIFS($D:$D,$A:$A,$A845,$B:$B,"&lt;&gt;Patrícia Karla de Sousa Araújo",$B:$B,"&lt;&gt;Lorena Dias de Araujo",$B:$B,"&lt;&gt;Lucas Luiz Romero")*(23/1083),IF(C845="JR",SUMIFS($D:$D,$A:$A,$A845,$B:$B,"&lt;&gt;Patrícia Karla de Sousa Araújo",$B:$B,"&lt;&gt;Lorena Dias de Araujo",$B:$B,"&lt;&gt;Lucas Luiz Romero")*(20/1083),IF(C845="Estágio",SUMIFS($D:$D,$A:$A,$A845,$B:$B,"&lt;&gt;Patrícia Karla de Sousa Araújo",$B:$B,"&lt;&gt;Lorena Dias de Araujo",$B:$B,"&lt;&gt;Lucas Luiz Romero")*(10/1083),0)))))),0)</f>
        <v/>
      </c>
      <c r="K845" s="3">
        <f>I845-J845</f>
        <v/>
      </c>
      <c r="L845" s="3">
        <f>IF(K845&lt;-5,"CRÍTICO",IF(K845&lt;0,"ATENÇÃO",IF(K845&lt;=5,"BOM","EXCELENTE")))</f>
        <v/>
      </c>
      <c r="N845" t="n">
        <v>100</v>
      </c>
      <c r="O845" t="n">
        <v>30.47034764826176</v>
      </c>
    </row>
    <row r="846" hidden="1">
      <c r="A846" s="11" t="n">
        <v>46027</v>
      </c>
      <c r="B846" t="inlineStr">
        <is>
          <t>Lizandra Gomes Duarte</t>
        </is>
      </c>
      <c r="C846" t="inlineStr">
        <is>
          <t>Técnico II</t>
        </is>
      </c>
      <c r="D846" t="n">
        <v>32</v>
      </c>
      <c r="E846" t="n">
        <v>28</v>
      </c>
      <c r="F846" t="n">
        <v>17.1</v>
      </c>
      <c r="G846" t="n">
        <v>0</v>
      </c>
      <c r="H846" t="n">
        <v>0</v>
      </c>
      <c r="I846" s="3">
        <f>E846+G846+H846</f>
        <v/>
      </c>
      <c r="J846" s="3">
        <f>ROUND(MIN(IF(C846="Técnico III",35,IF(C846="Técnico II",28,IF(C846="Técnico I",23,IF(C846="JR",20,IF(C846="Estágio",10,0))))),IF(C846="Técnico III",SUMIFS($D:$D,$A:$A,$A846,$B:$B,"&lt;&gt;Patrícia Karla de Sousa Araújo",$B:$B,"&lt;&gt;Lorena Dias de Araujo",$B:$B,"&lt;&gt;Lucas Luiz Romero")*(35/1083),IF(C846="Técnico II",SUMIFS($D:$D,$A:$A,$A846,$B:$B,"&lt;&gt;Patrícia Karla de Sousa Araújo",$B:$B,"&lt;&gt;Lorena Dias de Araujo",$B:$B,"&lt;&gt;Lucas Luiz Romero")*(28/1083),IF(C846="Técnico I",SUMIFS($D:$D,$A:$A,$A846,$B:$B,"&lt;&gt;Patrícia Karla de Sousa Araújo",$B:$B,"&lt;&gt;Lorena Dias de Araujo",$B:$B,"&lt;&gt;Lucas Luiz Romero")*(23/1083),IF(C846="JR",SUMIFS($D:$D,$A:$A,$A846,$B:$B,"&lt;&gt;Patrícia Karla de Sousa Araújo",$B:$B,"&lt;&gt;Lorena Dias de Araujo",$B:$B,"&lt;&gt;Lucas Luiz Romero")*(20/1083),IF(C846="Estágio",SUMIFS($D:$D,$A:$A,$A846,$B:$B,"&lt;&gt;Patrícia Karla de Sousa Araújo",$B:$B,"&lt;&gt;Lorena Dias de Araujo",$B:$B,"&lt;&gt;Lucas Luiz Romero")*(10/1083),0)))))),0)</f>
        <v/>
      </c>
      <c r="K846" s="3">
        <f>I846-J846</f>
        <v/>
      </c>
      <c r="L846" s="3">
        <f>IF(K846&lt;-5,"CRÍTICO",IF(K846&lt;0,"ATENÇÃO",IF(K846&lt;=5,"BOM","EXCELENTE")))</f>
        <v/>
      </c>
      <c r="N846" t="n">
        <v>100</v>
      </c>
      <c r="O846" t="n">
        <v>32.37113402061856</v>
      </c>
    </row>
    <row r="847" hidden="1">
      <c r="A847" s="11" t="n">
        <v>46027</v>
      </c>
      <c r="B847" t="inlineStr">
        <is>
          <t>Lorena Dias de Araujo</t>
        </is>
      </c>
      <c r="C847" t="inlineStr">
        <is>
          <t>Técnico II</t>
        </is>
      </c>
      <c r="D847" t="n">
        <v>28</v>
      </c>
      <c r="E847" t="n">
        <v>26</v>
      </c>
      <c r="F847" t="n">
        <v>17.28</v>
      </c>
      <c r="G847" t="n">
        <v>0</v>
      </c>
      <c r="H847" t="n">
        <v>0</v>
      </c>
      <c r="I847" s="3" t="n">
        <v>0</v>
      </c>
      <c r="J847" s="3" t="n">
        <v>0</v>
      </c>
      <c r="K847" s="3" t="n">
        <v>0</v>
      </c>
      <c r="L847" s="3">
        <f>IF(K847&lt;-5,"CRÍTICO",IF(K847&lt;0,"ATENÇÃO",IF(K847&lt;=5,"BOM","EXCELENTE")))</f>
        <v/>
      </c>
      <c r="N847" t="n">
        <v>98.31999999999999</v>
      </c>
      <c r="O847" t="n">
        <v>32.31850117096019</v>
      </c>
    </row>
    <row r="848" hidden="1">
      <c r="A848" s="11" t="n">
        <v>46027</v>
      </c>
      <c r="B848" t="inlineStr">
        <is>
          <t>Lucas Luiz Romero</t>
        </is>
      </c>
      <c r="C848" t="inlineStr">
        <is>
          <t>Técnico III</t>
        </is>
      </c>
      <c r="D848" t="n">
        <v>47</v>
      </c>
      <c r="E848" t="n">
        <v>40</v>
      </c>
      <c r="F848" t="n">
        <v>9</v>
      </c>
      <c r="G848" t="n">
        <v>0</v>
      </c>
      <c r="H848" t="n">
        <v>0</v>
      </c>
      <c r="I848" s="3">
        <f>E848+G848+H848</f>
        <v/>
      </c>
      <c r="J848" s="3">
        <f>ROUND(MIN(IF(C848="Técnico III",35,IF(C848="Técnico II",28,IF(C848="Técnico I",23,IF(C848="JR",20,IF(C848="Estágio",10,0))))),IF(C848="Técnico III",SUMIFS($D:$D,$A:$A,$A848,$B:$B,"&lt;&gt;Patrícia Karla de Sousa Araújo",$B:$B,"&lt;&gt;Lorena Dias de Araujo",$B:$B,"&lt;&gt;Lucas Luiz Romero")*(35/1083),IF(C848="Técnico II",SUMIFS($D:$D,$A:$A,$A848,$B:$B,"&lt;&gt;Patrícia Karla de Sousa Araújo",$B:$B,"&lt;&gt;Lorena Dias de Araujo",$B:$B,"&lt;&gt;Lucas Luiz Romero")*(28/1083),IF(C848="Técnico I",SUMIFS($D:$D,$A:$A,$A848,$B:$B,"&lt;&gt;Patrícia Karla de Sousa Araújo",$B:$B,"&lt;&gt;Lorena Dias de Araujo",$B:$B,"&lt;&gt;Lucas Luiz Romero")*(23/1083),IF(C848="JR",SUMIFS($D:$D,$A:$A,$A848,$B:$B,"&lt;&gt;Patrícia Karla de Sousa Araújo",$B:$B,"&lt;&gt;Lorena Dias de Araujo",$B:$B,"&lt;&gt;Lucas Luiz Romero")*(20/1083),IF(C848="Estágio",SUMIFS($D:$D,$A:$A,$A848,$B:$B,"&lt;&gt;Patrícia Karla de Sousa Araújo",$B:$B,"&lt;&gt;Lorena Dias de Araujo",$B:$B,"&lt;&gt;Lucas Luiz Romero")*(10/1083),0)))))),0)</f>
        <v/>
      </c>
      <c r="K848" s="3">
        <f>I848-J848</f>
        <v/>
      </c>
      <c r="L848" s="3">
        <f>IF(K848&lt;-5,"CRÍTICO",IF(K848&lt;0,"ATENÇÃO",IF(K848&lt;=5,"BOM","EXCELENTE")))</f>
        <v/>
      </c>
      <c r="N848" t="n">
        <v>96.43000000000001</v>
      </c>
      <c r="O848" t="n">
        <v>27.01525054466231</v>
      </c>
    </row>
    <row r="849" hidden="1">
      <c r="A849" s="11" t="n">
        <v>46027</v>
      </c>
      <c r="B849" t="inlineStr">
        <is>
          <t>Luiz Fernando de Carvalho Junior</t>
        </is>
      </c>
      <c r="C849" t="inlineStr">
        <is>
          <t>Técnico I</t>
        </is>
      </c>
      <c r="D849" t="n">
        <v>29</v>
      </c>
      <c r="E849" t="n">
        <v>28</v>
      </c>
      <c r="F849" t="n">
        <v>16.5</v>
      </c>
      <c r="G849" t="n">
        <v>0</v>
      </c>
      <c r="H849" t="n">
        <v>0</v>
      </c>
      <c r="I849" s="3">
        <f>E849+G849+H849</f>
        <v/>
      </c>
      <c r="J849" s="3">
        <f>ROUND(MIN(IF(C849="Técnico III",35,IF(C849="Técnico II",28,IF(C849="Técnico I",23,IF(C849="JR",20,IF(C849="Estágio",10,0))))),IF(C849="Técnico III",SUMIFS($D:$D,$A:$A,$A849,$B:$B,"&lt;&gt;Patrícia Karla de Sousa Araújo",$B:$B,"&lt;&gt;Lorena Dias de Araujo",$B:$B,"&lt;&gt;Lucas Luiz Romero")*(35/1083),IF(C849="Técnico II",SUMIFS($D:$D,$A:$A,$A849,$B:$B,"&lt;&gt;Patrícia Karla de Sousa Araújo",$B:$B,"&lt;&gt;Lorena Dias de Araujo",$B:$B,"&lt;&gt;Lucas Luiz Romero")*(28/1083),IF(C849="Técnico I",SUMIFS($D:$D,$A:$A,$A849,$B:$B,"&lt;&gt;Patrícia Karla de Sousa Araújo",$B:$B,"&lt;&gt;Lorena Dias de Araujo",$B:$B,"&lt;&gt;Lucas Luiz Romero")*(23/1083),IF(C849="JR",SUMIFS($D:$D,$A:$A,$A849,$B:$B,"&lt;&gt;Patrícia Karla de Sousa Araújo",$B:$B,"&lt;&gt;Lorena Dias de Araujo",$B:$B,"&lt;&gt;Lucas Luiz Romero")*(20/1083),IF(C849="Estágio",SUMIFS($D:$D,$A:$A,$A849,$B:$B,"&lt;&gt;Patrícia Karla de Sousa Araújo",$B:$B,"&lt;&gt;Lorena Dias de Araujo",$B:$B,"&lt;&gt;Lucas Luiz Romero")*(10/1083),0)))))),0)</f>
        <v/>
      </c>
      <c r="K849" s="3">
        <f>I849-J849</f>
        <v/>
      </c>
      <c r="L849" s="3">
        <f>IF(K849&lt;-5,"CRÍTICO",IF(K849&lt;0,"ATENÇÃO",IF(K849&lt;=5,"BOM","EXCELENTE")))</f>
        <v/>
      </c>
      <c r="N849" t="n">
        <v>98.89</v>
      </c>
      <c r="O849" t="n">
        <v>28.02197802197802</v>
      </c>
    </row>
    <row r="850" hidden="1">
      <c r="A850" s="11" t="n">
        <v>46027</v>
      </c>
      <c r="B850" t="inlineStr">
        <is>
          <t>Maria Eduarda Sousa Costa</t>
        </is>
      </c>
      <c r="C850" t="inlineStr">
        <is>
          <t>Estágio</t>
        </is>
      </c>
      <c r="D850" t="n">
        <v>10</v>
      </c>
      <c r="E850" t="n">
        <v>9</v>
      </c>
      <c r="F850" t="n">
        <v>34.12</v>
      </c>
      <c r="G850" t="n">
        <v>0</v>
      </c>
      <c r="H850" t="n">
        <v>0</v>
      </c>
      <c r="I850" s="3">
        <f>E850+G850+H850</f>
        <v/>
      </c>
      <c r="J850" s="3">
        <f>ROUND(MIN(IF(C850="Técnico III",35,IF(C850="Técnico II",28,IF(C850="Técnico I",23,IF(C850="JR",20,IF(C850="Estágio",10,0))))),IF(C850="Técnico III",SUMIFS($D:$D,$A:$A,$A850,$B:$B,"&lt;&gt;Patrícia Karla de Sousa Araújo",$B:$B,"&lt;&gt;Lorena Dias de Araujo",$B:$B,"&lt;&gt;Lucas Luiz Romero")*(35/1083),IF(C850="Técnico II",SUMIFS($D:$D,$A:$A,$A850,$B:$B,"&lt;&gt;Patrícia Karla de Sousa Araújo",$B:$B,"&lt;&gt;Lorena Dias de Araujo",$B:$B,"&lt;&gt;Lucas Luiz Romero")*(28/1083),IF(C850="Técnico I",SUMIFS($D:$D,$A:$A,$A850,$B:$B,"&lt;&gt;Patrícia Karla de Sousa Araújo",$B:$B,"&lt;&gt;Lorena Dias de Araujo",$B:$B,"&lt;&gt;Lucas Luiz Romero")*(23/1083),IF(C850="JR",SUMIFS($D:$D,$A:$A,$A850,$B:$B,"&lt;&gt;Patrícia Karla de Sousa Araújo",$B:$B,"&lt;&gt;Lorena Dias de Araujo",$B:$B,"&lt;&gt;Lucas Luiz Romero")*(20/1083),IF(C850="Estágio",SUMIFS($D:$D,$A:$A,$A850,$B:$B,"&lt;&gt;Patrícia Karla de Sousa Araújo",$B:$B,"&lt;&gt;Lorena Dias de Araujo",$B:$B,"&lt;&gt;Lucas Luiz Romero")*(10/1083),0)))))),0)</f>
        <v/>
      </c>
      <c r="K850" s="3">
        <f>I850-J850</f>
        <v/>
      </c>
      <c r="L850" s="3">
        <f>IF(K850&lt;-5,"CRÍTICO",IF(K850&lt;0,"ATENÇÃO",IF(K850&lt;=5,"BOM","EXCELENTE")))</f>
        <v/>
      </c>
      <c r="N850" t="n">
        <v>100</v>
      </c>
      <c r="O850" t="n">
        <v>33.33333333333333</v>
      </c>
    </row>
    <row r="851" hidden="1">
      <c r="A851" s="11" t="n">
        <v>46027</v>
      </c>
      <c r="B851" t="inlineStr">
        <is>
          <t>Matheus Farias De Souza</t>
        </is>
      </c>
      <c r="C851" t="inlineStr">
        <is>
          <t>Técnico III</t>
        </is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s="3" t="n">
        <v>0</v>
      </c>
      <c r="J851" s="3" t="n">
        <v>0</v>
      </c>
      <c r="K851" s="3" t="n">
        <v>0</v>
      </c>
      <c r="L851" s="3">
        <f>IF(K851&lt;-5,"CRÍTICO",IF(K851&lt;0,"ATENÇÃO",IF(K851&lt;=5,"BOM","EXCELENTE")))</f>
        <v/>
      </c>
      <c r="N851" t="n">
        <v>100</v>
      </c>
      <c r="O851" t="n">
        <v>27.43362831858407</v>
      </c>
    </row>
    <row r="852" hidden="1">
      <c r="A852" s="11" t="n">
        <v>46027</v>
      </c>
      <c r="B852" t="inlineStr">
        <is>
          <t>Maysa Victoria Dias Moura</t>
        </is>
      </c>
      <c r="C852" t="inlineStr">
        <is>
          <t>Técnico III</t>
        </is>
      </c>
      <c r="D852" t="n">
        <v>44</v>
      </c>
      <c r="E852" t="n">
        <v>32</v>
      </c>
      <c r="F852" t="n">
        <v>10.58</v>
      </c>
      <c r="G852" t="n">
        <v>0</v>
      </c>
      <c r="H852" t="n">
        <v>0</v>
      </c>
      <c r="I852" s="3">
        <f>E852+G852+H852</f>
        <v/>
      </c>
      <c r="J852" s="3">
        <f>ROUND(MIN(IF(C852="Técnico III",35,IF(C852="Técnico II",28,IF(C852="Técnico I",23,IF(C852="JR",20,IF(C852="Estágio",10,0))))),IF(C852="Técnico III",SUMIFS($D:$D,$A:$A,$A852,$B:$B,"&lt;&gt;Patrícia Karla de Sousa Araújo",$B:$B,"&lt;&gt;Lorena Dias de Araujo",$B:$B,"&lt;&gt;Lucas Luiz Romero")*(35/1083),IF(C852="Técnico II",SUMIFS($D:$D,$A:$A,$A852,$B:$B,"&lt;&gt;Patrícia Karla de Sousa Araújo",$B:$B,"&lt;&gt;Lorena Dias de Araujo",$B:$B,"&lt;&gt;Lucas Luiz Romero")*(28/1083),IF(C852="Técnico I",SUMIFS($D:$D,$A:$A,$A852,$B:$B,"&lt;&gt;Patrícia Karla de Sousa Araújo",$B:$B,"&lt;&gt;Lorena Dias de Araujo",$B:$B,"&lt;&gt;Lucas Luiz Romero")*(23/1083),IF(C852="JR",SUMIFS($D:$D,$A:$A,$A852,$B:$B,"&lt;&gt;Patrícia Karla de Sousa Araújo",$B:$B,"&lt;&gt;Lorena Dias de Araujo",$B:$B,"&lt;&gt;Lucas Luiz Romero")*(20/1083),IF(C852="Estágio",SUMIFS($D:$D,$A:$A,$A852,$B:$B,"&lt;&gt;Patrícia Karla de Sousa Araújo",$B:$B,"&lt;&gt;Lorena Dias de Araujo",$B:$B,"&lt;&gt;Lucas Luiz Romero")*(10/1083),0)))))),0)</f>
        <v/>
      </c>
      <c r="K852" s="3">
        <f>I852-J852</f>
        <v/>
      </c>
      <c r="L852" s="3">
        <f>IF(K852&lt;-5,"CRÍTICO",IF(K852&lt;0,"ATENÇÃO",IF(K852&lt;=5,"BOM","EXCELENTE")))</f>
        <v/>
      </c>
      <c r="N852" t="n">
        <v>98.65000000000001</v>
      </c>
      <c r="O852" t="n">
        <v>30.97826086956522</v>
      </c>
    </row>
    <row r="853" hidden="1">
      <c r="A853" s="11" t="n">
        <v>46027</v>
      </c>
      <c r="B853" t="inlineStr">
        <is>
          <t>Michelle G Santos</t>
        </is>
      </c>
      <c r="C853" t="inlineStr">
        <is>
          <t>Estágio</t>
        </is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s="3" t="n">
        <v>0</v>
      </c>
      <c r="J853" s="3" t="n">
        <v>0</v>
      </c>
      <c r="K853" s="3" t="n">
        <v>0</v>
      </c>
      <c r="L853" s="3">
        <f>IF(K853&lt;-5,"CRÍTICO",IF(K853&lt;0,"ATENÇÃO",IF(K853&lt;=5,"BOM","EXCELENTE")))</f>
        <v/>
      </c>
      <c r="N853" t="n">
        <v>100</v>
      </c>
      <c r="O853" t="n">
        <v>12</v>
      </c>
    </row>
    <row r="854" hidden="1">
      <c r="A854" s="11" t="n">
        <v>46027</v>
      </c>
      <c r="B854" t="inlineStr">
        <is>
          <t>Milena Sales</t>
        </is>
      </c>
      <c r="C854" t="inlineStr">
        <is>
          <t>JR</t>
        </is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s="3" t="n">
        <v>0</v>
      </c>
      <c r="J854" s="3" t="n">
        <v>0</v>
      </c>
      <c r="K854" s="3" t="n">
        <v>0</v>
      </c>
      <c r="L854" s="3">
        <f>IF(K854&lt;-5,"CRÍTICO",IF(K854&lt;0,"ATENÇÃO",IF(K854&lt;=5,"BOM","EXCELENTE")))</f>
        <v/>
      </c>
      <c r="N854" t="n">
        <v>0</v>
      </c>
      <c r="O854" t="n">
        <v>0</v>
      </c>
    </row>
    <row r="855" hidden="1">
      <c r="A855" s="11" t="n">
        <v>46027</v>
      </c>
      <c r="B855" t="inlineStr">
        <is>
          <t>Patrícia Karla de Sousa Araújo</t>
        </is>
      </c>
      <c r="C855" t="inlineStr">
        <is>
          <t>Técnico II</t>
        </is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s="3" t="n">
        <v>0</v>
      </c>
      <c r="J855" s="3" t="n">
        <v>0</v>
      </c>
      <c r="K855" s="3" t="n">
        <v>0</v>
      </c>
      <c r="L855" s="3">
        <f>IF(K855&lt;-5,"CRÍTICO",IF(K855&lt;0,"ATENÇÃO",IF(K855&lt;=5,"BOM","EXCELENTE")))</f>
        <v/>
      </c>
      <c r="N855" t="n">
        <v>97.56</v>
      </c>
      <c r="O855" t="n">
        <v>31.06796116504854</v>
      </c>
    </row>
    <row r="856" hidden="1">
      <c r="A856" s="11" t="n">
        <v>46027</v>
      </c>
      <c r="B856" t="inlineStr">
        <is>
          <t>Paulo Ricardo Santos</t>
        </is>
      </c>
      <c r="C856" t="inlineStr">
        <is>
          <t>JR</t>
        </is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s="3" t="n">
        <v>0</v>
      </c>
      <c r="J856" s="3" t="n">
        <v>0</v>
      </c>
      <c r="K856" s="3" t="n">
        <v>0</v>
      </c>
      <c r="L856" s="3">
        <f>IF(K856&lt;-5,"CRÍTICO",IF(K856&lt;0,"ATENÇÃO",IF(K856&lt;=5,"BOM","EXCELENTE")))</f>
        <v/>
      </c>
      <c r="N856" t="n">
        <v>0</v>
      </c>
      <c r="O856" t="n">
        <v>0</v>
      </c>
    </row>
    <row r="857" hidden="1">
      <c r="A857" s="11" t="n">
        <v>46027</v>
      </c>
      <c r="B857" t="inlineStr">
        <is>
          <t>Pedro Luiz Mota Sousa</t>
        </is>
      </c>
      <c r="C857" t="inlineStr">
        <is>
          <t>JR</t>
        </is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s="3" t="n">
        <v>0</v>
      </c>
      <c r="J857" s="3" t="n">
        <v>0</v>
      </c>
      <c r="K857" s="3" t="n">
        <v>0</v>
      </c>
      <c r="L857" s="3">
        <f>IF(K857&lt;-5,"CRÍTICO",IF(K857&lt;0,"ATENÇÃO",IF(K857&lt;=5,"BOM","EXCELENTE")))</f>
        <v/>
      </c>
      <c r="N857" t="n">
        <v>0</v>
      </c>
      <c r="O857" t="n">
        <v>0</v>
      </c>
    </row>
    <row r="858" hidden="1">
      <c r="A858" s="11" t="n">
        <v>46027</v>
      </c>
      <c r="B858" t="inlineStr">
        <is>
          <t>Quirino Diogo Leite Torres</t>
        </is>
      </c>
      <c r="C858" t="inlineStr">
        <is>
          <t>Estágio</t>
        </is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s="3" t="n">
        <v>0</v>
      </c>
      <c r="J858" s="3" t="n">
        <v>0</v>
      </c>
      <c r="K858" s="3" t="n">
        <v>0</v>
      </c>
      <c r="L858" s="3">
        <f>IF(K858&lt;-5,"CRÍTICO",IF(K858&lt;0,"ATENÇÃO",IF(K858&lt;=5,"BOM","EXCELENTE")))</f>
        <v/>
      </c>
      <c r="N858" t="n">
        <v>0</v>
      </c>
      <c r="O858" t="n">
        <v>0</v>
      </c>
    </row>
    <row r="859" hidden="1">
      <c r="A859" s="11" t="n">
        <v>46027</v>
      </c>
      <c r="B859" t="inlineStr">
        <is>
          <t>Raane Batista Matos</t>
        </is>
      </c>
      <c r="C859" t="inlineStr">
        <is>
          <t>Técnico I</t>
        </is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s="3" t="n">
        <v>0</v>
      </c>
      <c r="J859" s="3" t="n">
        <v>0</v>
      </c>
      <c r="K859" s="3" t="n">
        <v>0</v>
      </c>
      <c r="L859" s="3">
        <f>IF(K859&lt;-5,"CRÍTICO",IF(K859&lt;0,"ATENÇÃO",IF(K859&lt;=5,"BOM","EXCELENTE")))</f>
        <v/>
      </c>
      <c r="N859" t="n">
        <v>100</v>
      </c>
      <c r="O859" t="n">
        <v>53.84615384615385</v>
      </c>
    </row>
    <row r="860" hidden="1">
      <c r="A860" s="11" t="n">
        <v>46027</v>
      </c>
      <c r="B860" t="inlineStr">
        <is>
          <t>Rafael Gomes de Morais</t>
        </is>
      </c>
      <c r="C860" t="inlineStr">
        <is>
          <t>Técnico III</t>
        </is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s="3" t="n">
        <v>0</v>
      </c>
      <c r="J860" s="3" t="n">
        <v>0</v>
      </c>
      <c r="K860" s="3" t="n">
        <v>0</v>
      </c>
      <c r="L860" s="3">
        <f>IF(K860&lt;-5,"CRÍTICO",IF(K860&lt;0,"ATENÇÃO",IF(K860&lt;=5,"BOM","EXCELENTE")))</f>
        <v/>
      </c>
      <c r="N860" t="n">
        <v>100</v>
      </c>
      <c r="O860" t="n">
        <v>44.05594405594406</v>
      </c>
    </row>
    <row r="861" hidden="1">
      <c r="A861" s="11" t="n">
        <v>46027</v>
      </c>
      <c r="B861" t="inlineStr">
        <is>
          <t>Sara Maria Monteiro Lopes</t>
        </is>
      </c>
      <c r="C861" t="inlineStr">
        <is>
          <t>Técnico I</t>
        </is>
      </c>
      <c r="D861" t="n">
        <v>22</v>
      </c>
      <c r="E861" t="n">
        <v>19</v>
      </c>
      <c r="F861" t="n">
        <v>26.57</v>
      </c>
      <c r="G861" t="n">
        <v>0</v>
      </c>
      <c r="H861" t="n">
        <v>0</v>
      </c>
      <c r="I861" s="3">
        <f>E861+G861+H861</f>
        <v/>
      </c>
      <c r="J861" s="3">
        <f>ROUND(MIN(IF(C861="Técnico III",35,IF(C861="Técnico II",28,IF(C861="Técnico I",23,IF(C861="JR",20,IF(C861="Estágio",10,0))))),IF(C861="Técnico III",SUMIFS($D:$D,$A:$A,$A861,$B:$B,"&lt;&gt;Patrícia Karla de Sousa Araújo",$B:$B,"&lt;&gt;Lorena Dias de Araujo",$B:$B,"&lt;&gt;Lucas Luiz Romero")*(35/1083),IF(C861="Técnico II",SUMIFS($D:$D,$A:$A,$A861,$B:$B,"&lt;&gt;Patrícia Karla de Sousa Araújo",$B:$B,"&lt;&gt;Lorena Dias de Araujo",$B:$B,"&lt;&gt;Lucas Luiz Romero")*(28/1083),IF(C861="Técnico I",SUMIFS($D:$D,$A:$A,$A861,$B:$B,"&lt;&gt;Patrícia Karla de Sousa Araújo",$B:$B,"&lt;&gt;Lorena Dias de Araujo",$B:$B,"&lt;&gt;Lucas Luiz Romero")*(23/1083),IF(C861="JR",SUMIFS($D:$D,$A:$A,$A861,$B:$B,"&lt;&gt;Patrícia Karla de Sousa Araújo",$B:$B,"&lt;&gt;Lorena Dias de Araujo",$B:$B,"&lt;&gt;Lucas Luiz Romero")*(20/1083),IF(C861="Estágio",SUMIFS($D:$D,$A:$A,$A861,$B:$B,"&lt;&gt;Patrícia Karla de Sousa Araújo",$B:$B,"&lt;&gt;Lorena Dias de Araujo",$B:$B,"&lt;&gt;Lucas Luiz Romero")*(10/1083),0)))))),0)</f>
        <v/>
      </c>
      <c r="K861" s="3">
        <f>I861-J861</f>
        <v/>
      </c>
      <c r="L861" s="3">
        <f>IF(K861&lt;-5,"CRÍTICO",IF(K861&lt;0,"ATENÇÃO",IF(K861&lt;=5,"BOM","EXCELENTE")))</f>
        <v/>
      </c>
      <c r="N861" t="n">
        <v>100</v>
      </c>
      <c r="O861" t="n">
        <v>31.87250996015936</v>
      </c>
    </row>
    <row r="862" hidden="1">
      <c r="A862" s="11" t="n">
        <v>46027</v>
      </c>
      <c r="B862" t="inlineStr">
        <is>
          <t>Sarah Steffanie de Lima Borges</t>
        </is>
      </c>
      <c r="C862" t="inlineStr">
        <is>
          <t>Técnico III</t>
        </is>
      </c>
      <c r="D862" t="n">
        <v>30</v>
      </c>
      <c r="E862" t="n">
        <v>28</v>
      </c>
      <c r="F862" t="n">
        <v>18.21</v>
      </c>
      <c r="G862" t="n">
        <v>0</v>
      </c>
      <c r="H862" t="n">
        <v>0</v>
      </c>
      <c r="I862" s="3">
        <f>E862+G862+H862</f>
        <v/>
      </c>
      <c r="J862" s="3">
        <f>ROUND(MIN(IF(C862="Técnico III",35,IF(C862="Técnico II",28,IF(C862="Técnico I",23,IF(C862="JR",20,IF(C862="Estágio",10,0))))),IF(C862="Técnico III",SUMIFS($D:$D,$A:$A,$A862,$B:$B,"&lt;&gt;Patrícia Karla de Sousa Araújo",$B:$B,"&lt;&gt;Lorena Dias de Araujo",$B:$B,"&lt;&gt;Lucas Luiz Romero")*(35/1083),IF(C862="Técnico II",SUMIFS($D:$D,$A:$A,$A862,$B:$B,"&lt;&gt;Patrícia Karla de Sousa Araújo",$B:$B,"&lt;&gt;Lorena Dias de Araujo",$B:$B,"&lt;&gt;Lucas Luiz Romero")*(28/1083),IF(C862="Técnico I",SUMIFS($D:$D,$A:$A,$A862,$B:$B,"&lt;&gt;Patrícia Karla de Sousa Araújo",$B:$B,"&lt;&gt;Lorena Dias de Araujo",$B:$B,"&lt;&gt;Lucas Luiz Romero")*(23/1083),IF(C862="JR",SUMIFS($D:$D,$A:$A,$A862,$B:$B,"&lt;&gt;Patrícia Karla de Sousa Araújo",$B:$B,"&lt;&gt;Lorena Dias de Araujo",$B:$B,"&lt;&gt;Lucas Luiz Romero")*(20/1083),IF(C862="Estágio",SUMIFS($D:$D,$A:$A,$A862,$B:$B,"&lt;&gt;Patrícia Karla de Sousa Araújo",$B:$B,"&lt;&gt;Lorena Dias de Araujo",$B:$B,"&lt;&gt;Lucas Luiz Romero")*(10/1083),0)))))),0)</f>
        <v/>
      </c>
      <c r="K862" s="3">
        <f>I862-J862</f>
        <v/>
      </c>
      <c r="L862" s="3">
        <f>IF(K862&lt;-5,"CRÍTICO",IF(K862&lt;0,"ATENÇÃO",IF(K862&lt;=5,"BOM","EXCELENTE")))</f>
        <v/>
      </c>
      <c r="N862" t="n">
        <v>98.41</v>
      </c>
      <c r="O862" t="n">
        <v>29.22465208747515</v>
      </c>
    </row>
    <row r="863" hidden="1">
      <c r="A863" s="11" t="n">
        <v>46028</v>
      </c>
      <c r="B863" t="inlineStr">
        <is>
          <t>Alisson de Freitas Silva</t>
        </is>
      </c>
      <c r="C863" t="inlineStr">
        <is>
          <t>Técnico II</t>
        </is>
      </c>
      <c r="D863" t="n">
        <v>28</v>
      </c>
      <c r="E863" t="n">
        <v>25</v>
      </c>
      <c r="F863" t="n">
        <v>20.2</v>
      </c>
      <c r="G863" t="n">
        <v>0</v>
      </c>
      <c r="H863" t="n">
        <v>0</v>
      </c>
      <c r="I863" s="3">
        <f>E863+G863+H863</f>
        <v/>
      </c>
      <c r="J863" s="3">
        <f>ROUND(MIN(IF(C863="Técnico III",35,IF(C863="Técnico II",28,IF(C863="Técnico I",23,IF(C863="JR",20,IF(C863="Estágio",10,0))))),IF(C863="Técnico III",SUMIFS($D:$D,$A:$A,$A863,$B:$B,"&lt;&gt;Patrícia Karla de Sousa Araújo",$B:$B,"&lt;&gt;Lorena Dias de Araujo",$B:$B,"&lt;&gt;Lucas Luiz Romero")*(35/1083),IF(C863="Técnico II",SUMIFS($D:$D,$A:$A,$A863,$B:$B,"&lt;&gt;Patrícia Karla de Sousa Araújo",$B:$B,"&lt;&gt;Lorena Dias de Araujo",$B:$B,"&lt;&gt;Lucas Luiz Romero")*(28/1083),IF(C863="Técnico I",SUMIFS($D:$D,$A:$A,$A863,$B:$B,"&lt;&gt;Patrícia Karla de Sousa Araújo",$B:$B,"&lt;&gt;Lorena Dias de Araujo",$B:$B,"&lt;&gt;Lucas Luiz Romero")*(23/1083),IF(C863="JR",SUMIFS($D:$D,$A:$A,$A863,$B:$B,"&lt;&gt;Patrícia Karla de Sousa Araújo",$B:$B,"&lt;&gt;Lorena Dias de Araujo",$B:$B,"&lt;&gt;Lucas Luiz Romero")*(20/1083),IF(C863="Estágio",SUMIFS($D:$D,$A:$A,$A863,$B:$B,"&lt;&gt;Patrícia Karla de Sousa Araújo",$B:$B,"&lt;&gt;Lorena Dias de Araujo",$B:$B,"&lt;&gt;Lucas Luiz Romero")*(10/1083),0)))))),0)</f>
        <v/>
      </c>
      <c r="K863" s="3">
        <f>I863-J863</f>
        <v/>
      </c>
      <c r="L863" s="3">
        <f>IF(K863&lt;-5,"CRÍTICO",IF(K863&lt;0,"ATENÇÃO",IF(K863&lt;=5,"BOM","EXCELENTE")))</f>
        <v/>
      </c>
      <c r="M863" t="n">
        <v>17</v>
      </c>
      <c r="N863" t="n">
        <v>100</v>
      </c>
      <c r="O863" t="n">
        <v>28.57142857142857</v>
      </c>
    </row>
    <row r="864" hidden="1">
      <c r="A864" s="11" t="n">
        <v>46028</v>
      </c>
      <c r="B864" t="inlineStr">
        <is>
          <t>Amanda Moura Ferreira</t>
        </is>
      </c>
      <c r="C864" t="inlineStr">
        <is>
          <t>Técnico III</t>
        </is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s="3" t="n">
        <v>0</v>
      </c>
      <c r="J864" s="3" t="n">
        <v>0</v>
      </c>
      <c r="K864" s="3" t="n">
        <v>0</v>
      </c>
      <c r="L864" s="3">
        <f>IF(K864&lt;-5,"CRÍTICO",IF(K864&lt;0,"ATENÇÃO",IF(K864&lt;=5,"BOM","EXCELENTE")))</f>
        <v/>
      </c>
      <c r="M864" t="n">
        <v>30</v>
      </c>
      <c r="N864" t="n">
        <v>100</v>
      </c>
      <c r="O864" t="n">
        <v>25</v>
      </c>
    </row>
    <row r="865" hidden="1">
      <c r="A865" s="11" t="n">
        <v>46028</v>
      </c>
      <c r="B865" t="inlineStr">
        <is>
          <t>Ana Karollyne Souza Faria</t>
        </is>
      </c>
      <c r="C865" t="inlineStr">
        <is>
          <t>Técnico I</t>
        </is>
      </c>
      <c r="D865" t="n">
        <v>33</v>
      </c>
      <c r="E865" t="n">
        <v>30</v>
      </c>
      <c r="F865" t="n">
        <v>22.04</v>
      </c>
      <c r="G865" t="n">
        <v>0</v>
      </c>
      <c r="H865" t="n">
        <v>0</v>
      </c>
      <c r="I865" s="3">
        <f>E865+G865+H865</f>
        <v/>
      </c>
      <c r="J865" s="3">
        <f>ROUND(MIN(IF(C865="Técnico III",35,IF(C865="Técnico II",28,IF(C865="Técnico I",23,IF(C865="JR",20,IF(C865="Estágio",10,0))))),IF(C865="Técnico III",SUMIFS($D:$D,$A:$A,$A865,$B:$B,"&lt;&gt;Patrícia Karla de Sousa Araújo",$B:$B,"&lt;&gt;Lorena Dias de Araujo",$B:$B,"&lt;&gt;Lucas Luiz Romero")*(35/1083),IF(C865="Técnico II",SUMIFS($D:$D,$A:$A,$A865,$B:$B,"&lt;&gt;Patrícia Karla de Sousa Araújo",$B:$B,"&lt;&gt;Lorena Dias de Araujo",$B:$B,"&lt;&gt;Lucas Luiz Romero")*(28/1083),IF(C865="Técnico I",SUMIFS($D:$D,$A:$A,$A865,$B:$B,"&lt;&gt;Patrícia Karla de Sousa Araújo",$B:$B,"&lt;&gt;Lorena Dias de Araujo",$B:$B,"&lt;&gt;Lucas Luiz Romero")*(23/1083),IF(C865="JR",SUMIFS($D:$D,$A:$A,$A865,$B:$B,"&lt;&gt;Patrícia Karla de Sousa Araújo",$B:$B,"&lt;&gt;Lorena Dias de Araujo",$B:$B,"&lt;&gt;Lucas Luiz Romero")*(20/1083),IF(C865="Estágio",SUMIFS($D:$D,$A:$A,$A865,$B:$B,"&lt;&gt;Patrícia Karla de Sousa Araújo",$B:$B,"&lt;&gt;Lorena Dias de Araujo",$B:$B,"&lt;&gt;Lucas Luiz Romero")*(10/1083),0)))))),0)</f>
        <v/>
      </c>
      <c r="K865" s="3">
        <f>I865-J865</f>
        <v/>
      </c>
      <c r="L865" s="3">
        <f>IF(K865&lt;-5,"CRÍTICO",IF(K865&lt;0,"ATENÇÃO",IF(K865&lt;=5,"BOM","EXCELENTE")))</f>
        <v/>
      </c>
      <c r="M865" t="n">
        <v>33</v>
      </c>
      <c r="N865" t="n">
        <v>100</v>
      </c>
      <c r="O865" t="n">
        <v>26.25</v>
      </c>
    </row>
    <row r="866" hidden="1">
      <c r="A866" s="11" t="n">
        <v>46028</v>
      </c>
      <c r="B866" t="inlineStr">
        <is>
          <t>Ana Paula Da Luz Silva Aleixo</t>
        </is>
      </c>
      <c r="C866" t="inlineStr">
        <is>
          <t>Técnico III</t>
        </is>
      </c>
      <c r="D866" t="n">
        <v>40</v>
      </c>
      <c r="E866" t="n">
        <v>36</v>
      </c>
      <c r="F866" t="n">
        <v>15.18</v>
      </c>
      <c r="G866" t="n">
        <v>0</v>
      </c>
      <c r="H866" t="n">
        <v>0</v>
      </c>
      <c r="I866" s="3">
        <f>E866+G866+H866</f>
        <v/>
      </c>
      <c r="J866" s="3">
        <f>ROUND(MIN(IF(C866="Técnico III",35,IF(C866="Técnico II",28,IF(C866="Técnico I",23,IF(C866="JR",20,IF(C866="Estágio",10,0))))),IF(C866="Técnico III",SUMIFS($D:$D,$A:$A,$A866,$B:$B,"&lt;&gt;Patrícia Karla de Sousa Araújo",$B:$B,"&lt;&gt;Lorena Dias de Araujo",$B:$B,"&lt;&gt;Lucas Luiz Romero")*(35/1083),IF(C866="Técnico II",SUMIFS($D:$D,$A:$A,$A866,$B:$B,"&lt;&gt;Patrícia Karla de Sousa Araújo",$B:$B,"&lt;&gt;Lorena Dias de Araujo",$B:$B,"&lt;&gt;Lucas Luiz Romero")*(28/1083),IF(C866="Técnico I",SUMIFS($D:$D,$A:$A,$A866,$B:$B,"&lt;&gt;Patrícia Karla de Sousa Araújo",$B:$B,"&lt;&gt;Lorena Dias de Araujo",$B:$B,"&lt;&gt;Lucas Luiz Romero")*(23/1083),IF(C866="JR",SUMIFS($D:$D,$A:$A,$A866,$B:$B,"&lt;&gt;Patrícia Karla de Sousa Araújo",$B:$B,"&lt;&gt;Lorena Dias de Araujo",$B:$B,"&lt;&gt;Lucas Luiz Romero")*(20/1083),IF(C866="Estágio",SUMIFS($D:$D,$A:$A,$A866,$B:$B,"&lt;&gt;Patrícia Karla de Sousa Araújo",$B:$B,"&lt;&gt;Lorena Dias de Araujo",$B:$B,"&lt;&gt;Lucas Luiz Romero")*(10/1083),0)))))),0)</f>
        <v/>
      </c>
      <c r="K866" s="3">
        <f>I866-J866</f>
        <v/>
      </c>
      <c r="L866" s="3">
        <f>IF(K866&lt;-5,"CRÍTICO",IF(K866&lt;0,"ATENÇÃO",IF(K866&lt;=5,"BOM","EXCELENTE")))</f>
        <v/>
      </c>
      <c r="M866" t="n">
        <v>34</v>
      </c>
      <c r="N866" t="n">
        <v>100</v>
      </c>
      <c r="O866" t="n">
        <v>29.48717948717949</v>
      </c>
    </row>
    <row r="867" hidden="1">
      <c r="A867" s="11" t="n">
        <v>46028</v>
      </c>
      <c r="B867" t="inlineStr">
        <is>
          <t>Anna Luiza Rezende Tavares</t>
        </is>
      </c>
      <c r="C867" t="inlineStr">
        <is>
          <t>Estágio</t>
        </is>
      </c>
      <c r="D867" t="n">
        <v>9</v>
      </c>
      <c r="E867" t="n">
        <v>9</v>
      </c>
      <c r="F867" t="n">
        <v>38.24</v>
      </c>
      <c r="G867" t="n">
        <v>0</v>
      </c>
      <c r="H867" t="n">
        <v>0</v>
      </c>
      <c r="I867" s="3">
        <f>E867+G867+H867</f>
        <v/>
      </c>
      <c r="J867" s="3">
        <f>ROUND(MIN(IF(C867="Técnico III",35,IF(C867="Técnico II",28,IF(C867="Técnico I",23,IF(C867="JR",20,IF(C867="Estágio",10,0))))),IF(C867="Técnico III",SUMIFS($D:$D,$A:$A,$A867,$B:$B,"&lt;&gt;Patrícia Karla de Sousa Araújo",$B:$B,"&lt;&gt;Lorena Dias de Araujo",$B:$B,"&lt;&gt;Lucas Luiz Romero")*(35/1083),IF(C867="Técnico II",SUMIFS($D:$D,$A:$A,$A867,$B:$B,"&lt;&gt;Patrícia Karla de Sousa Araújo",$B:$B,"&lt;&gt;Lorena Dias de Araujo",$B:$B,"&lt;&gt;Lucas Luiz Romero")*(28/1083),IF(C867="Técnico I",SUMIFS($D:$D,$A:$A,$A867,$B:$B,"&lt;&gt;Patrícia Karla de Sousa Araújo",$B:$B,"&lt;&gt;Lorena Dias de Araujo",$B:$B,"&lt;&gt;Lucas Luiz Romero")*(23/1083),IF(C867="JR",SUMIFS($D:$D,$A:$A,$A867,$B:$B,"&lt;&gt;Patrícia Karla de Sousa Araújo",$B:$B,"&lt;&gt;Lorena Dias de Araujo",$B:$B,"&lt;&gt;Lucas Luiz Romero")*(20/1083),IF(C867="Estágio",SUMIFS($D:$D,$A:$A,$A867,$B:$B,"&lt;&gt;Patrícia Karla de Sousa Araújo",$B:$B,"&lt;&gt;Lorena Dias de Araujo",$B:$B,"&lt;&gt;Lucas Luiz Romero")*(10/1083),0)))))),0)</f>
        <v/>
      </c>
      <c r="K867" s="3">
        <f>I867-J867</f>
        <v/>
      </c>
      <c r="L867" s="3">
        <f>IF(K867&lt;-5,"CRÍTICO",IF(K867&lt;0,"ATENÇÃO",IF(K867&lt;=5,"BOM","EXCELENTE")))</f>
        <v/>
      </c>
      <c r="M867" t="n">
        <v>8</v>
      </c>
      <c r="N867" t="n">
        <v>100</v>
      </c>
      <c r="O867" t="n">
        <v>41.17647058823529</v>
      </c>
    </row>
    <row r="868" hidden="1">
      <c r="A868" s="11" t="n">
        <v>46028</v>
      </c>
      <c r="B868" t="inlineStr">
        <is>
          <t>Brenda de Menezes Silva</t>
        </is>
      </c>
      <c r="C868" t="inlineStr">
        <is>
          <t>Técnico II</t>
        </is>
      </c>
      <c r="D868" t="n">
        <v>27</v>
      </c>
      <c r="E868" t="n">
        <v>25</v>
      </c>
      <c r="F868" t="n">
        <v>23.35</v>
      </c>
      <c r="G868" t="n">
        <v>0</v>
      </c>
      <c r="H868" t="n">
        <v>0</v>
      </c>
      <c r="I868" s="3">
        <f>E868+G868+H868</f>
        <v/>
      </c>
      <c r="J868" s="3">
        <f>ROUND(MIN(IF(C868="Técnico III",35,IF(C868="Técnico II",28,IF(C868="Técnico I",23,IF(C868="JR",20,IF(C868="Estágio",10,0))))),IF(C868="Técnico III",SUMIFS($D:$D,$A:$A,$A868,$B:$B,"&lt;&gt;Patrícia Karla de Sousa Araújo",$B:$B,"&lt;&gt;Lorena Dias de Araujo",$B:$B,"&lt;&gt;Lucas Luiz Romero")*(35/1083),IF(C868="Técnico II",SUMIFS($D:$D,$A:$A,$A868,$B:$B,"&lt;&gt;Patrícia Karla de Sousa Araújo",$B:$B,"&lt;&gt;Lorena Dias de Araujo",$B:$B,"&lt;&gt;Lucas Luiz Romero")*(28/1083),IF(C868="Técnico I",SUMIFS($D:$D,$A:$A,$A868,$B:$B,"&lt;&gt;Patrícia Karla de Sousa Araújo",$B:$B,"&lt;&gt;Lorena Dias de Araujo",$B:$B,"&lt;&gt;Lucas Luiz Romero")*(23/1083),IF(C868="JR",SUMIFS($D:$D,$A:$A,$A868,$B:$B,"&lt;&gt;Patrícia Karla de Sousa Araújo",$B:$B,"&lt;&gt;Lorena Dias de Araujo",$B:$B,"&lt;&gt;Lucas Luiz Romero")*(20/1083),IF(C868="Estágio",SUMIFS($D:$D,$A:$A,$A868,$B:$B,"&lt;&gt;Patrícia Karla de Sousa Araújo",$B:$B,"&lt;&gt;Lorena Dias de Araujo",$B:$B,"&lt;&gt;Lucas Luiz Romero")*(10/1083),0)))))),0)</f>
        <v/>
      </c>
      <c r="K868" s="3">
        <f>I868-J868</f>
        <v/>
      </c>
      <c r="L868" s="3">
        <f>IF(K868&lt;-5,"CRÍTICO",IF(K868&lt;0,"ATENÇÃO",IF(K868&lt;=5,"BOM","EXCELENTE")))</f>
        <v/>
      </c>
      <c r="M868" t="n">
        <v>26</v>
      </c>
      <c r="N868" t="n">
        <v>100</v>
      </c>
      <c r="O868" t="n">
        <v>26.66666666666667</v>
      </c>
    </row>
    <row r="869" hidden="1">
      <c r="A869" s="11" t="n">
        <v>46028</v>
      </c>
      <c r="B869" t="inlineStr">
        <is>
          <t>Carlos Mateus Cassimiro Nunes</t>
        </is>
      </c>
      <c r="C869" t="inlineStr">
        <is>
          <t>Técnico II</t>
        </is>
      </c>
      <c r="D869" t="n">
        <v>6</v>
      </c>
      <c r="E869" t="n">
        <v>6</v>
      </c>
      <c r="F869" t="n">
        <v>50.57</v>
      </c>
      <c r="G869" t="n">
        <v>0</v>
      </c>
      <c r="H869" t="n">
        <v>0</v>
      </c>
      <c r="I869" s="3">
        <f>E869+G869+H869</f>
        <v/>
      </c>
      <c r="J869" s="3">
        <f>ROUND(MIN(IF(C869="Técnico III",35,IF(C869="Técnico II",28,IF(C869="Técnico I",23,IF(C869="JR",20,IF(C869="Estágio",10,0))))),IF(C869="Técnico III",SUMIFS($D:$D,$A:$A,$A869,$B:$B,"&lt;&gt;Patrícia Karla de Sousa Araújo",$B:$B,"&lt;&gt;Lorena Dias de Araujo",$B:$B,"&lt;&gt;Lucas Luiz Romero")*(35/1083),IF(C869="Técnico II",SUMIFS($D:$D,$A:$A,$A869,$B:$B,"&lt;&gt;Patrícia Karla de Sousa Araújo",$B:$B,"&lt;&gt;Lorena Dias de Araujo",$B:$B,"&lt;&gt;Lucas Luiz Romero")*(28/1083),IF(C869="Técnico I",SUMIFS($D:$D,$A:$A,$A869,$B:$B,"&lt;&gt;Patrícia Karla de Sousa Araújo",$B:$B,"&lt;&gt;Lorena Dias de Araujo",$B:$B,"&lt;&gt;Lucas Luiz Romero")*(23/1083),IF(C869="JR",SUMIFS($D:$D,$A:$A,$A869,$B:$B,"&lt;&gt;Patrícia Karla de Sousa Araújo",$B:$B,"&lt;&gt;Lorena Dias de Araujo",$B:$B,"&lt;&gt;Lucas Luiz Romero")*(20/1083),IF(C869="Estágio",SUMIFS($D:$D,$A:$A,$A869,$B:$B,"&lt;&gt;Patrícia Karla de Sousa Araújo",$B:$B,"&lt;&gt;Lorena Dias de Araujo",$B:$B,"&lt;&gt;Lucas Luiz Romero")*(10/1083),0)))))),0)</f>
        <v/>
      </c>
      <c r="K869" s="3">
        <f>I869-J869</f>
        <v/>
      </c>
      <c r="L869" s="3">
        <f>IF(K869&lt;-5,"CRÍTICO",IF(K869&lt;0,"ATENÇÃO",IF(K869&lt;=5,"BOM","EXCELENTE")))</f>
        <v/>
      </c>
      <c r="M869" t="n">
        <v>6</v>
      </c>
      <c r="N869" t="n">
        <v>100</v>
      </c>
      <c r="O869" t="n">
        <v>37.73584905660378</v>
      </c>
    </row>
    <row r="870" hidden="1">
      <c r="A870" s="11" t="n">
        <v>46028</v>
      </c>
      <c r="B870" t="inlineStr">
        <is>
          <t>Claudio de Sousa Velasco Filho</t>
        </is>
      </c>
      <c r="C870" t="inlineStr">
        <is>
          <t>Estágio</t>
        </is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s="3" t="n">
        <v>0</v>
      </c>
      <c r="J870" s="3" t="n">
        <v>0</v>
      </c>
      <c r="K870" s="3" t="n">
        <v>0</v>
      </c>
      <c r="L870" s="3">
        <f>IF(K870&lt;-5,"CRÍTICO",IF(K870&lt;0,"ATENÇÃO",IF(K870&lt;=5,"BOM","EXCELENTE")))</f>
        <v/>
      </c>
      <c r="M870" t="n">
        <v>0</v>
      </c>
      <c r="N870" t="n">
        <v>0</v>
      </c>
      <c r="O870" t="n">
        <v>0</v>
      </c>
    </row>
    <row r="871" hidden="1">
      <c r="A871" s="11" t="n">
        <v>46028</v>
      </c>
      <c r="B871" t="inlineStr">
        <is>
          <t>Clessiane Pereira dos Santos</t>
        </is>
      </c>
      <c r="C871" t="inlineStr">
        <is>
          <t>Técnico I</t>
        </is>
      </c>
      <c r="D871" t="n">
        <v>21</v>
      </c>
      <c r="E871" t="n">
        <v>21</v>
      </c>
      <c r="F871" t="n">
        <v>30.15</v>
      </c>
      <c r="G871" t="n">
        <v>0</v>
      </c>
      <c r="H871" t="n">
        <v>0</v>
      </c>
      <c r="I871" s="3">
        <f>E871+G871+H871</f>
        <v/>
      </c>
      <c r="J871" s="3">
        <f>ROUND(MIN(IF(C871="Técnico III",35,IF(C871="Técnico II",28,IF(C871="Técnico I",23,IF(C871="JR",20,IF(C871="Estágio",10,0))))),IF(C871="Técnico III",SUMIFS($D:$D,$A:$A,$A871,$B:$B,"&lt;&gt;Patrícia Karla de Sousa Araújo",$B:$B,"&lt;&gt;Lorena Dias de Araujo",$B:$B,"&lt;&gt;Lucas Luiz Romero")*(35/1083),IF(C871="Técnico II",SUMIFS($D:$D,$A:$A,$A871,$B:$B,"&lt;&gt;Patrícia Karla de Sousa Araújo",$B:$B,"&lt;&gt;Lorena Dias de Araujo",$B:$B,"&lt;&gt;Lucas Luiz Romero")*(28/1083),IF(C871="Técnico I",SUMIFS($D:$D,$A:$A,$A871,$B:$B,"&lt;&gt;Patrícia Karla de Sousa Araújo",$B:$B,"&lt;&gt;Lorena Dias de Araujo",$B:$B,"&lt;&gt;Lucas Luiz Romero")*(23/1083),IF(C871="JR",SUMIFS($D:$D,$A:$A,$A871,$B:$B,"&lt;&gt;Patrícia Karla de Sousa Araújo",$B:$B,"&lt;&gt;Lorena Dias de Araujo",$B:$B,"&lt;&gt;Lucas Luiz Romero")*(20/1083),IF(C871="Estágio",SUMIFS($D:$D,$A:$A,$A871,$B:$B,"&lt;&gt;Patrícia Karla de Sousa Araújo",$B:$B,"&lt;&gt;Lorena Dias de Araujo",$B:$B,"&lt;&gt;Lucas Luiz Romero")*(10/1083),0)))))),0)</f>
        <v/>
      </c>
      <c r="K871" s="3">
        <f>I871-J871</f>
        <v/>
      </c>
      <c r="L871" s="3">
        <f>IF(K871&lt;-5,"CRÍTICO",IF(K871&lt;0,"ATENÇÃO",IF(K871&lt;=5,"BOM","EXCELENTE")))</f>
        <v/>
      </c>
      <c r="M871" t="n">
        <v>20</v>
      </c>
      <c r="N871" t="n">
        <v>100</v>
      </c>
      <c r="O871" t="n">
        <v>40.54054054054054</v>
      </c>
    </row>
    <row r="872" hidden="1">
      <c r="A872" s="11" t="n">
        <v>46028</v>
      </c>
      <c r="B872" t="inlineStr">
        <is>
          <t>Cristiane Ramos da Silva Rocha</t>
        </is>
      </c>
      <c r="C872" t="inlineStr">
        <is>
          <t>Técnico III</t>
        </is>
      </c>
      <c r="D872" t="n">
        <v>44</v>
      </c>
      <c r="E872" t="n">
        <v>41</v>
      </c>
      <c r="F872" t="n">
        <v>13.2</v>
      </c>
      <c r="G872" t="n">
        <v>0</v>
      </c>
      <c r="H872" t="n">
        <v>0</v>
      </c>
      <c r="I872" s="3">
        <f>E872+G872+H872</f>
        <v/>
      </c>
      <c r="J872" s="3">
        <f>ROUND(MIN(IF(C872="Técnico III",35,IF(C872="Técnico II",28,IF(C872="Técnico I",23,IF(C872="JR",20,IF(C872="Estágio",10,0))))),IF(C872="Técnico III",SUMIFS($D:$D,$A:$A,$A872,$B:$B,"&lt;&gt;Patrícia Karla de Sousa Araújo",$B:$B,"&lt;&gt;Lorena Dias de Araujo",$B:$B,"&lt;&gt;Lucas Luiz Romero")*(35/1083),IF(C872="Técnico II",SUMIFS($D:$D,$A:$A,$A872,$B:$B,"&lt;&gt;Patrícia Karla de Sousa Araújo",$B:$B,"&lt;&gt;Lorena Dias de Araujo",$B:$B,"&lt;&gt;Lucas Luiz Romero")*(28/1083),IF(C872="Técnico I",SUMIFS($D:$D,$A:$A,$A872,$B:$B,"&lt;&gt;Patrícia Karla de Sousa Araújo",$B:$B,"&lt;&gt;Lorena Dias de Araujo",$B:$B,"&lt;&gt;Lucas Luiz Romero")*(23/1083),IF(C872="JR",SUMIFS($D:$D,$A:$A,$A872,$B:$B,"&lt;&gt;Patrícia Karla de Sousa Araújo",$B:$B,"&lt;&gt;Lorena Dias de Araujo",$B:$B,"&lt;&gt;Lucas Luiz Romero")*(20/1083),IF(C872="Estágio",SUMIFS($D:$D,$A:$A,$A872,$B:$B,"&lt;&gt;Patrícia Karla de Sousa Araújo",$B:$B,"&lt;&gt;Lorena Dias de Araujo",$B:$B,"&lt;&gt;Lucas Luiz Romero")*(10/1083),0)))))),0)</f>
        <v/>
      </c>
      <c r="K872" s="3">
        <f>I872-J872</f>
        <v/>
      </c>
      <c r="L872" s="3">
        <f>IF(K872&lt;-5,"CRÍTICO",IF(K872&lt;0,"ATENÇÃO",IF(K872&lt;=5,"BOM","EXCELENTE")))</f>
        <v/>
      </c>
      <c r="M872" t="n">
        <v>38</v>
      </c>
      <c r="N872" t="n">
        <v>100</v>
      </c>
      <c r="O872" t="n">
        <v>34.21052631578947</v>
      </c>
    </row>
    <row r="873" hidden="1">
      <c r="A873" s="11" t="n">
        <v>46028</v>
      </c>
      <c r="B873" t="inlineStr">
        <is>
          <t>Damyllis Lorraine de Oliveira Gonçalves</t>
        </is>
      </c>
      <c r="C873" t="inlineStr">
        <is>
          <t>Técnico II</t>
        </is>
      </c>
      <c r="D873" t="n">
        <v>29</v>
      </c>
      <c r="E873" t="n">
        <v>25</v>
      </c>
      <c r="F873" t="n">
        <v>19.06</v>
      </c>
      <c r="G873" t="n">
        <v>0</v>
      </c>
      <c r="H873" t="n">
        <v>0</v>
      </c>
      <c r="I873" s="3" t="n">
        <v>0</v>
      </c>
      <c r="J873" s="3" t="n">
        <v>0</v>
      </c>
      <c r="K873" s="3" t="n">
        <v>0</v>
      </c>
      <c r="L873" s="3">
        <f>IF(K873&lt;-5,"CRÍTICO",IF(K873&lt;0,"ATENÇÃO",IF(K873&lt;=5,"BOM","EXCELENTE")))</f>
        <v/>
      </c>
      <c r="M873" t="n">
        <v>27</v>
      </c>
      <c r="N873" t="n">
        <v>91.67</v>
      </c>
      <c r="O873" t="n">
        <v>36.92307692307693</v>
      </c>
    </row>
    <row r="874" hidden="1">
      <c r="A874" s="11" t="n">
        <v>46028</v>
      </c>
      <c r="B874" t="inlineStr">
        <is>
          <t>Daniel Gomes da Silva</t>
        </is>
      </c>
      <c r="C874" t="inlineStr">
        <is>
          <t>Técnico I</t>
        </is>
      </c>
      <c r="D874" t="n">
        <v>23</v>
      </c>
      <c r="E874" t="n">
        <v>23</v>
      </c>
      <c r="F874" t="n">
        <v>23.51</v>
      </c>
      <c r="G874" t="n">
        <v>0</v>
      </c>
      <c r="H874" t="n">
        <v>0</v>
      </c>
      <c r="I874" s="3">
        <f>E874+G874+H874</f>
        <v/>
      </c>
      <c r="J874" s="3">
        <f>ROUND(MIN(IF(C874="Técnico III",35,IF(C874="Técnico II",28,IF(C874="Técnico I",23,IF(C874="JR",20,IF(C874="Estágio",10,0))))),IF(C874="Técnico III",SUMIFS($D:$D,$A:$A,$A874,$B:$B,"&lt;&gt;Patrícia Karla de Sousa Araújo",$B:$B,"&lt;&gt;Lorena Dias de Araujo",$B:$B,"&lt;&gt;Lucas Luiz Romero")*(35/1083),IF(C874="Técnico II",SUMIFS($D:$D,$A:$A,$A874,$B:$B,"&lt;&gt;Patrícia Karla de Sousa Araújo",$B:$B,"&lt;&gt;Lorena Dias de Araujo",$B:$B,"&lt;&gt;Lucas Luiz Romero")*(28/1083),IF(C874="Técnico I",SUMIFS($D:$D,$A:$A,$A874,$B:$B,"&lt;&gt;Patrícia Karla de Sousa Araújo",$B:$B,"&lt;&gt;Lorena Dias de Araujo",$B:$B,"&lt;&gt;Lucas Luiz Romero")*(23/1083),IF(C874="JR",SUMIFS($D:$D,$A:$A,$A874,$B:$B,"&lt;&gt;Patrícia Karla de Sousa Araújo",$B:$B,"&lt;&gt;Lorena Dias de Araujo",$B:$B,"&lt;&gt;Lucas Luiz Romero")*(20/1083),IF(C874="Estágio",SUMIFS($D:$D,$A:$A,$A874,$B:$B,"&lt;&gt;Patrícia Karla de Sousa Araújo",$B:$B,"&lt;&gt;Lorena Dias de Araujo",$B:$B,"&lt;&gt;Lucas Luiz Romero")*(10/1083),0)))))),0)</f>
        <v/>
      </c>
      <c r="K874" s="3">
        <f>I874-J874</f>
        <v/>
      </c>
      <c r="L874" s="3">
        <f>IF(K874&lt;-5,"CRÍTICO",IF(K874&lt;0,"ATENÇÃO",IF(K874&lt;=5,"BOM","EXCELENTE")))</f>
        <v/>
      </c>
      <c r="M874" t="n">
        <v>24</v>
      </c>
      <c r="N874" t="n">
        <v>100</v>
      </c>
      <c r="O874" t="n">
        <v>22.22222222222222</v>
      </c>
    </row>
    <row r="875" hidden="1">
      <c r="A875" s="11" t="n">
        <v>46028</v>
      </c>
      <c r="B875" t="inlineStr">
        <is>
          <t>Davylla Rodrigues Freitas Silva</t>
        </is>
      </c>
      <c r="C875" t="inlineStr">
        <is>
          <t>Técnico III</t>
        </is>
      </c>
      <c r="D875" t="n">
        <v>27</v>
      </c>
      <c r="E875" t="n">
        <v>26</v>
      </c>
      <c r="F875" t="n">
        <v>26.51</v>
      </c>
      <c r="G875" t="n">
        <v>0</v>
      </c>
      <c r="H875" t="n">
        <v>0</v>
      </c>
      <c r="I875" s="3" t="n">
        <v>0</v>
      </c>
      <c r="J875" s="3" t="n">
        <v>0</v>
      </c>
      <c r="K875" s="3" t="n">
        <v>0</v>
      </c>
      <c r="L875" s="3">
        <f>IF(K875&lt;-5,"CRÍTICO",IF(K875&lt;0,"ATENÇÃO",IF(K875&lt;=5,"BOM","EXCELENTE")))</f>
        <v/>
      </c>
      <c r="M875" t="n">
        <v>27</v>
      </c>
      <c r="N875" t="n">
        <v>100</v>
      </c>
      <c r="O875" t="n">
        <v>37.3134328358209</v>
      </c>
    </row>
    <row r="876" hidden="1">
      <c r="A876" s="11" t="n">
        <v>46028</v>
      </c>
      <c r="B876" t="inlineStr">
        <is>
          <t>Emilly Caylane Costa</t>
        </is>
      </c>
      <c r="C876" t="inlineStr">
        <is>
          <t>Estágio</t>
        </is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s="3" t="n">
        <v>0</v>
      </c>
      <c r="J876" s="3" t="n">
        <v>0</v>
      </c>
      <c r="K876" s="3" t="n">
        <v>0</v>
      </c>
      <c r="L876" s="3">
        <f>IF(K876&lt;-5,"CRÍTICO",IF(K876&lt;0,"ATENÇÃO",IF(K876&lt;=5,"BOM","EXCELENTE")))</f>
        <v/>
      </c>
      <c r="M876" t="n">
        <v>0</v>
      </c>
      <c r="N876" t="n">
        <v>0</v>
      </c>
      <c r="O876" t="n">
        <v>0</v>
      </c>
    </row>
    <row r="877" hidden="1">
      <c r="A877" s="11" t="n">
        <v>46028</v>
      </c>
      <c r="B877" t="inlineStr">
        <is>
          <t>Emilly Kamilly Medeiros Miranda</t>
        </is>
      </c>
      <c r="C877" t="inlineStr">
        <is>
          <t>Técnico II</t>
        </is>
      </c>
      <c r="D877" t="n">
        <v>30</v>
      </c>
      <c r="E877" t="n">
        <v>27</v>
      </c>
      <c r="F877" t="n">
        <v>15.04</v>
      </c>
      <c r="G877" t="n">
        <v>0</v>
      </c>
      <c r="H877" t="n">
        <v>0</v>
      </c>
      <c r="I877" s="3">
        <f>E877+G877+H877</f>
        <v/>
      </c>
      <c r="J877" s="3">
        <f>ROUND(MIN(IF(C877="Técnico III",35,IF(C877="Técnico II",28,IF(C877="Técnico I",23,IF(C877="JR",20,IF(C877="Estágio",10,0))))),IF(C877="Técnico III",SUMIFS($D:$D,$A:$A,$A877,$B:$B,"&lt;&gt;Patrícia Karla de Sousa Araújo",$B:$B,"&lt;&gt;Lorena Dias de Araujo",$B:$B,"&lt;&gt;Lucas Luiz Romero")*(35/1083),IF(C877="Técnico II",SUMIFS($D:$D,$A:$A,$A877,$B:$B,"&lt;&gt;Patrícia Karla de Sousa Araújo",$B:$B,"&lt;&gt;Lorena Dias de Araujo",$B:$B,"&lt;&gt;Lucas Luiz Romero")*(28/1083),IF(C877="Técnico I",SUMIFS($D:$D,$A:$A,$A877,$B:$B,"&lt;&gt;Patrícia Karla de Sousa Araújo",$B:$B,"&lt;&gt;Lorena Dias de Araujo",$B:$B,"&lt;&gt;Lucas Luiz Romero")*(23/1083),IF(C877="JR",SUMIFS($D:$D,$A:$A,$A877,$B:$B,"&lt;&gt;Patrícia Karla de Sousa Araújo",$B:$B,"&lt;&gt;Lorena Dias de Araujo",$B:$B,"&lt;&gt;Lucas Luiz Romero")*(20/1083),IF(C877="Estágio",SUMIFS($D:$D,$A:$A,$A877,$B:$B,"&lt;&gt;Patrícia Karla de Sousa Araújo",$B:$B,"&lt;&gt;Lorena Dias de Araujo",$B:$B,"&lt;&gt;Lucas Luiz Romero")*(10/1083),0)))))),0)</f>
        <v/>
      </c>
      <c r="K877" s="3">
        <f>I877-J877</f>
        <v/>
      </c>
      <c r="L877" s="3">
        <f>IF(K877&lt;-5,"CRÍTICO",IF(K877&lt;0,"ATENÇÃO",IF(K877&lt;=5,"BOM","EXCELENTE")))</f>
        <v/>
      </c>
      <c r="M877" t="n">
        <v>27</v>
      </c>
      <c r="N877" t="n">
        <v>100</v>
      </c>
      <c r="O877" t="n">
        <v>25.88235294117647</v>
      </c>
    </row>
    <row r="878" hidden="1">
      <c r="A878" s="11" t="n">
        <v>46028</v>
      </c>
      <c r="B878" t="inlineStr">
        <is>
          <t>Francielson de Oliveira</t>
        </is>
      </c>
      <c r="C878" t="inlineStr">
        <is>
          <t>Técnico III</t>
        </is>
      </c>
      <c r="D878" t="n">
        <v>22</v>
      </c>
      <c r="E878" t="n">
        <v>17</v>
      </c>
      <c r="F878" t="n">
        <v>13.56</v>
      </c>
      <c r="G878" t="n">
        <v>0</v>
      </c>
      <c r="H878" t="n">
        <v>0</v>
      </c>
      <c r="I878" s="3">
        <f>E878+G878+H878</f>
        <v/>
      </c>
      <c r="J878" s="3">
        <f>ROUND(MIN(IF(C878="Técnico III",35,IF(C878="Técnico II",28,IF(C878="Técnico I",23,IF(C878="JR",20,IF(C878="Estágio",10,0))))),IF(C878="Técnico III",SUMIFS($D:$D,$A:$A,$A878,$B:$B,"&lt;&gt;Patrícia Karla de Sousa Araújo",$B:$B,"&lt;&gt;Lorena Dias de Araujo",$B:$B,"&lt;&gt;Lucas Luiz Romero")*(35/1083),IF(C878="Técnico II",SUMIFS($D:$D,$A:$A,$A878,$B:$B,"&lt;&gt;Patrícia Karla de Sousa Araújo",$B:$B,"&lt;&gt;Lorena Dias de Araujo",$B:$B,"&lt;&gt;Lucas Luiz Romero")*(28/1083),IF(C878="Técnico I",SUMIFS($D:$D,$A:$A,$A878,$B:$B,"&lt;&gt;Patrícia Karla de Sousa Araújo",$B:$B,"&lt;&gt;Lorena Dias de Araujo",$B:$B,"&lt;&gt;Lucas Luiz Romero")*(23/1083),IF(C878="JR",SUMIFS($D:$D,$A:$A,$A878,$B:$B,"&lt;&gt;Patrícia Karla de Sousa Araújo",$B:$B,"&lt;&gt;Lorena Dias de Araujo",$B:$B,"&lt;&gt;Lucas Luiz Romero")*(20/1083),IF(C878="Estágio",SUMIFS($D:$D,$A:$A,$A878,$B:$B,"&lt;&gt;Patrícia Karla de Sousa Araújo",$B:$B,"&lt;&gt;Lorena Dias de Araujo",$B:$B,"&lt;&gt;Lucas Luiz Romero")*(10/1083),0)))))),0)</f>
        <v/>
      </c>
      <c r="K878" s="3">
        <f>I878-J878</f>
        <v/>
      </c>
      <c r="L878" s="3">
        <f>IF(K878&lt;-5,"CRÍTICO",IF(K878&lt;0,"ATENÇÃO",IF(K878&lt;=5,"BOM","EXCELENTE")))</f>
        <v/>
      </c>
      <c r="M878" t="n">
        <v>15</v>
      </c>
      <c r="N878" t="n">
        <v>100</v>
      </c>
      <c r="O878" t="n">
        <v>28.33333333333333</v>
      </c>
    </row>
    <row r="879" hidden="1">
      <c r="A879" s="11" t="n">
        <v>46028</v>
      </c>
      <c r="B879" t="inlineStr">
        <is>
          <t>Francilene Ferreira de Jesus</t>
        </is>
      </c>
      <c r="C879" t="inlineStr">
        <is>
          <t>Técnico II</t>
        </is>
      </c>
      <c r="D879" t="n">
        <v>46</v>
      </c>
      <c r="E879" t="n">
        <v>45</v>
      </c>
      <c r="F879" t="n">
        <v>18.35</v>
      </c>
      <c r="G879" t="n">
        <v>0</v>
      </c>
      <c r="H879" t="n">
        <v>0</v>
      </c>
      <c r="I879" s="3">
        <f>E879+G879+H879</f>
        <v/>
      </c>
      <c r="J879" s="3">
        <f>ROUND(MIN(IF(C879="Técnico III",35,IF(C879="Técnico II",28,IF(C879="Técnico I",23,IF(C879="JR",20,IF(C879="Estágio",10,0))))),IF(C879="Técnico III",SUMIFS($D:$D,$A:$A,$A879,$B:$B,"&lt;&gt;Patrícia Karla de Sousa Araújo",$B:$B,"&lt;&gt;Lorena Dias de Araujo",$B:$B,"&lt;&gt;Lucas Luiz Romero")*(35/1083),IF(C879="Técnico II",SUMIFS($D:$D,$A:$A,$A879,$B:$B,"&lt;&gt;Patrícia Karla de Sousa Araújo",$B:$B,"&lt;&gt;Lorena Dias de Araujo",$B:$B,"&lt;&gt;Lucas Luiz Romero")*(28/1083),IF(C879="Técnico I",SUMIFS($D:$D,$A:$A,$A879,$B:$B,"&lt;&gt;Patrícia Karla de Sousa Araújo",$B:$B,"&lt;&gt;Lorena Dias de Araujo",$B:$B,"&lt;&gt;Lucas Luiz Romero")*(23/1083),IF(C879="JR",SUMIFS($D:$D,$A:$A,$A879,$B:$B,"&lt;&gt;Patrícia Karla de Sousa Araújo",$B:$B,"&lt;&gt;Lorena Dias de Araujo",$B:$B,"&lt;&gt;Lucas Luiz Romero")*(20/1083),IF(C879="Estágio",SUMIFS($D:$D,$A:$A,$A879,$B:$B,"&lt;&gt;Patrícia Karla de Sousa Araújo",$B:$B,"&lt;&gt;Lorena Dias de Araujo",$B:$B,"&lt;&gt;Lucas Luiz Romero")*(10/1083),0)))))),0)</f>
        <v/>
      </c>
      <c r="K879" s="3">
        <f>I879-J879</f>
        <v/>
      </c>
      <c r="L879" s="3">
        <f>IF(K879&lt;-5,"CRÍTICO",IF(K879&lt;0,"ATENÇÃO",IF(K879&lt;=5,"BOM","EXCELENTE")))</f>
        <v/>
      </c>
      <c r="M879" t="n">
        <v>38</v>
      </c>
      <c r="N879" t="n">
        <v>100</v>
      </c>
      <c r="O879" t="n">
        <v>36.04651162790697</v>
      </c>
    </row>
    <row r="880" hidden="1">
      <c r="A880" s="11" t="n">
        <v>46062</v>
      </c>
      <c r="B880" t="inlineStr">
        <is>
          <t>Gabriel Gomes de Andrade</t>
        </is>
      </c>
      <c r="C880" t="inlineStr">
        <is>
          <t>Técnico I</t>
        </is>
      </c>
      <c r="D880" t="n">
        <v>14</v>
      </c>
      <c r="E880" t="n">
        <v>13</v>
      </c>
      <c r="F880" t="n">
        <v>29.08</v>
      </c>
      <c r="G880" t="n">
        <v>0</v>
      </c>
      <c r="H880" t="n">
        <v>0</v>
      </c>
      <c r="I880" s="3">
        <f>E880+G880+H880</f>
        <v/>
      </c>
      <c r="J880" s="3">
        <f>ROUND(MIN(IF(C880="Técnico III",35,IF(C880="Técnico II",28,IF(C880="Técnico I",23,IF(C880="JR",20,IF(C880="Estágio",10,0))))),IF(C880="Técnico III",SUMIFS($D:$D,$A:$A,$A880,$B:$B,"&lt;&gt;Patrícia Karla de Sousa Araújo",$B:$B,"&lt;&gt;Lorena Dias de Araujo",$B:$B,"&lt;&gt;Lucas Luiz Romero")*(35/1083),IF(C880="Técnico II",SUMIFS($D:$D,$A:$A,$A880,$B:$B,"&lt;&gt;Patrícia Karla de Sousa Araújo",$B:$B,"&lt;&gt;Lorena Dias de Araujo",$B:$B,"&lt;&gt;Lucas Luiz Romero")*(28/1083),IF(C880="Técnico I",SUMIFS($D:$D,$A:$A,$A880,$B:$B,"&lt;&gt;Patrícia Karla de Sousa Araújo",$B:$B,"&lt;&gt;Lorena Dias de Araujo",$B:$B,"&lt;&gt;Lucas Luiz Romero")*(23/1083),IF(C880="JR",SUMIFS($D:$D,$A:$A,$A880,$B:$B,"&lt;&gt;Patrícia Karla de Sousa Araújo",$B:$B,"&lt;&gt;Lorena Dias de Araujo",$B:$B,"&lt;&gt;Lucas Luiz Romero")*(20/1083),IF(C880="Estágio",SUMIFS($D:$D,$A:$A,$A880,$B:$B,"&lt;&gt;Patrícia Karla de Sousa Araújo",$B:$B,"&lt;&gt;Lorena Dias de Araujo",$B:$B,"&lt;&gt;Lucas Luiz Romero")*(10/1083),0)))))),0)</f>
        <v/>
      </c>
      <c r="K880" s="3">
        <f>I880-J880</f>
        <v/>
      </c>
      <c r="L880" s="3">
        <f>IF(K880&lt;-5,"CRÍTICO",IF(K880&lt;0,"ATENÇÃO",IF(K880&lt;=5,"BOM","EXCELENTE")))</f>
        <v/>
      </c>
      <c r="M880" t="n">
        <v>0</v>
      </c>
      <c r="N880" t="n">
        <v>96.43000000000001</v>
      </c>
      <c r="O880" t="n">
        <v>31.46853146853147</v>
      </c>
    </row>
    <row r="881" hidden="1">
      <c r="A881" s="11" t="n">
        <v>46028</v>
      </c>
      <c r="B881" t="inlineStr">
        <is>
          <t>Isabella Borges de Oliveira</t>
        </is>
      </c>
      <c r="C881" t="inlineStr">
        <is>
          <t>Técnico II</t>
        </is>
      </c>
      <c r="D881" t="n">
        <v>24</v>
      </c>
      <c r="E881" t="n">
        <v>21</v>
      </c>
      <c r="F881" t="n">
        <v>13.58</v>
      </c>
      <c r="G881" t="n">
        <v>0</v>
      </c>
      <c r="H881" t="n">
        <v>0</v>
      </c>
      <c r="I881" s="3">
        <f>E881+G881+H881</f>
        <v/>
      </c>
      <c r="J881" s="3">
        <f>ROUND(MIN(IF(C881="Técnico III",35,IF(C881="Técnico II",28,IF(C881="Técnico I",23,IF(C881="JR",20,IF(C881="Estágio",10,0))))),IF(C881="Técnico III",SUMIFS($D:$D,$A:$A,$A881,$B:$B,"&lt;&gt;Patrícia Karla de Sousa Araújo",$B:$B,"&lt;&gt;Lorena Dias de Araujo",$B:$B,"&lt;&gt;Lucas Luiz Romero")*(35/1083),IF(C881="Técnico II",SUMIFS($D:$D,$A:$A,$A881,$B:$B,"&lt;&gt;Patrícia Karla de Sousa Araújo",$B:$B,"&lt;&gt;Lorena Dias de Araujo",$B:$B,"&lt;&gt;Lucas Luiz Romero")*(28/1083),IF(C881="Técnico I",SUMIFS($D:$D,$A:$A,$A881,$B:$B,"&lt;&gt;Patrícia Karla de Sousa Araújo",$B:$B,"&lt;&gt;Lorena Dias de Araujo",$B:$B,"&lt;&gt;Lucas Luiz Romero")*(23/1083),IF(C881="JR",SUMIFS($D:$D,$A:$A,$A881,$B:$B,"&lt;&gt;Patrícia Karla de Sousa Araújo",$B:$B,"&lt;&gt;Lorena Dias de Araujo",$B:$B,"&lt;&gt;Lucas Luiz Romero")*(20/1083),IF(C881="Estágio",SUMIFS($D:$D,$A:$A,$A881,$B:$B,"&lt;&gt;Patrícia Karla de Sousa Araújo",$B:$B,"&lt;&gt;Lorena Dias de Araujo",$B:$B,"&lt;&gt;Lucas Luiz Romero")*(10/1083),0)))))),0)</f>
        <v/>
      </c>
      <c r="K881" s="3">
        <f>I881-J881</f>
        <v/>
      </c>
      <c r="L881" s="3">
        <f>IF(K881&lt;-5,"CRÍTICO",IF(K881&lt;0,"ATENÇÃO",IF(K881&lt;=5,"BOM","EXCELENTE")))</f>
        <v/>
      </c>
      <c r="M881" t="n">
        <v>20</v>
      </c>
      <c r="N881" t="n">
        <v>100</v>
      </c>
      <c r="O881" t="n">
        <v>32.30769230769231</v>
      </c>
    </row>
    <row r="882" hidden="1">
      <c r="A882" s="11" t="n">
        <v>46028</v>
      </c>
      <c r="B882" t="inlineStr">
        <is>
          <t>Janaina Lima dos Reis Urany</t>
        </is>
      </c>
      <c r="C882" t="inlineStr">
        <is>
          <t>Técnico III</t>
        </is>
      </c>
      <c r="D882" t="n">
        <v>53</v>
      </c>
      <c r="E882" t="n">
        <v>46</v>
      </c>
      <c r="F882" t="n">
        <v>12.3</v>
      </c>
      <c r="G882" t="n">
        <v>0</v>
      </c>
      <c r="H882" t="n">
        <v>0</v>
      </c>
      <c r="I882" s="3">
        <f>E882+G882+H882</f>
        <v/>
      </c>
      <c r="J882" s="3">
        <f>ROUND(MIN(IF(C882="Técnico III",35,IF(C882="Técnico II",28,IF(C882="Técnico I",23,IF(C882="JR",20,IF(C882="Estágio",10,0))))),IF(C882="Técnico III",SUMIFS($D:$D,$A:$A,$A882,$B:$B,"&lt;&gt;Patrícia Karla de Sousa Araújo",$B:$B,"&lt;&gt;Lorena Dias de Araujo",$B:$B,"&lt;&gt;Lucas Luiz Romero")*(35/1083),IF(C882="Técnico II",SUMIFS($D:$D,$A:$A,$A882,$B:$B,"&lt;&gt;Patrícia Karla de Sousa Araújo",$B:$B,"&lt;&gt;Lorena Dias de Araujo",$B:$B,"&lt;&gt;Lucas Luiz Romero")*(28/1083),IF(C882="Técnico I",SUMIFS($D:$D,$A:$A,$A882,$B:$B,"&lt;&gt;Patrícia Karla de Sousa Araújo",$B:$B,"&lt;&gt;Lorena Dias de Araujo",$B:$B,"&lt;&gt;Lucas Luiz Romero")*(23/1083),IF(C882="JR",SUMIFS($D:$D,$A:$A,$A882,$B:$B,"&lt;&gt;Patrícia Karla de Sousa Araújo",$B:$B,"&lt;&gt;Lorena Dias de Araujo",$B:$B,"&lt;&gt;Lucas Luiz Romero")*(20/1083),IF(C882="Estágio",SUMIFS($D:$D,$A:$A,$A882,$B:$B,"&lt;&gt;Patrícia Karla de Sousa Araújo",$B:$B,"&lt;&gt;Lorena Dias de Araujo",$B:$B,"&lt;&gt;Lucas Luiz Romero")*(10/1083),0)))))),0)</f>
        <v/>
      </c>
      <c r="K882" s="3">
        <f>I882-J882</f>
        <v/>
      </c>
      <c r="L882" s="3">
        <f>IF(K882&lt;-5,"CRÍTICO",IF(K882&lt;0,"ATENÇÃO",IF(K882&lt;=5,"BOM","EXCELENTE")))</f>
        <v/>
      </c>
      <c r="M882" t="n">
        <v>49</v>
      </c>
      <c r="N882" t="n">
        <v>100</v>
      </c>
      <c r="O882" t="n">
        <v>30.32786885245902</v>
      </c>
    </row>
    <row r="883" hidden="1">
      <c r="A883" s="11" t="n">
        <v>46028</v>
      </c>
      <c r="B883" t="inlineStr">
        <is>
          <t>Jaqueline Evangelista da Silva Martins</t>
        </is>
      </c>
      <c r="C883" t="inlineStr">
        <is>
          <t>Técnico III</t>
        </is>
      </c>
      <c r="D883" t="n">
        <v>41</v>
      </c>
      <c r="E883" t="n">
        <v>41</v>
      </c>
      <c r="F883" t="n">
        <v>13.35</v>
      </c>
      <c r="G883" t="n">
        <v>0</v>
      </c>
      <c r="H883" t="n">
        <v>0</v>
      </c>
      <c r="I883" s="3">
        <f>E883+G883+H883</f>
        <v/>
      </c>
      <c r="J883" s="3">
        <f>ROUND(MIN(IF(C883="Técnico III",35,IF(C883="Técnico II",28,IF(C883="Técnico I",23,IF(C883="JR",20,IF(C883="Estágio",10,0))))),IF(C883="Técnico III",SUMIFS($D:$D,$A:$A,$A883,$B:$B,"&lt;&gt;Patrícia Karla de Sousa Araújo",$B:$B,"&lt;&gt;Lorena Dias de Araujo",$B:$B,"&lt;&gt;Lucas Luiz Romero")*(35/1083),IF(C883="Técnico II",SUMIFS($D:$D,$A:$A,$A883,$B:$B,"&lt;&gt;Patrícia Karla de Sousa Araújo",$B:$B,"&lt;&gt;Lorena Dias de Araujo",$B:$B,"&lt;&gt;Lucas Luiz Romero")*(28/1083),IF(C883="Técnico I",SUMIFS($D:$D,$A:$A,$A883,$B:$B,"&lt;&gt;Patrícia Karla de Sousa Araújo",$B:$B,"&lt;&gt;Lorena Dias de Araujo",$B:$B,"&lt;&gt;Lucas Luiz Romero")*(23/1083),IF(C883="JR",SUMIFS($D:$D,$A:$A,$A883,$B:$B,"&lt;&gt;Patrícia Karla de Sousa Araújo",$B:$B,"&lt;&gt;Lorena Dias de Araujo",$B:$B,"&lt;&gt;Lucas Luiz Romero")*(20/1083),IF(C883="Estágio",SUMIFS($D:$D,$A:$A,$A883,$B:$B,"&lt;&gt;Patrícia Karla de Sousa Araújo",$B:$B,"&lt;&gt;Lorena Dias de Araujo",$B:$B,"&lt;&gt;Lucas Luiz Romero")*(10/1083),0)))))),0)</f>
        <v/>
      </c>
      <c r="K883" s="3">
        <f>I883-J883</f>
        <v/>
      </c>
      <c r="L883" s="3">
        <f>IF(K883&lt;-5,"CRÍTICO",IF(K883&lt;0,"ATENÇÃO",IF(K883&lt;=5,"BOM","EXCELENTE")))</f>
        <v/>
      </c>
      <c r="M883" t="n">
        <v>38</v>
      </c>
      <c r="N883" t="n">
        <v>100</v>
      </c>
      <c r="O883" t="n">
        <v>28.8135593220339</v>
      </c>
    </row>
    <row r="884" hidden="1">
      <c r="A884" s="11" t="n">
        <v>46028</v>
      </c>
      <c r="B884" t="inlineStr">
        <is>
          <t>Jessica Faria da Silveira</t>
        </is>
      </c>
      <c r="C884" t="inlineStr">
        <is>
          <t>Técnico II</t>
        </is>
      </c>
      <c r="D884" t="n">
        <v>38</v>
      </c>
      <c r="E884" t="n">
        <v>30</v>
      </c>
      <c r="F884" t="n">
        <v>13.52</v>
      </c>
      <c r="G884" t="n">
        <v>0</v>
      </c>
      <c r="H884" t="n">
        <v>0</v>
      </c>
      <c r="I884" s="3">
        <f>E884+G884+H884</f>
        <v/>
      </c>
      <c r="J884" s="3">
        <f>ROUND(MIN(IF(C884="Técnico III",35,IF(C884="Técnico II",28,IF(C884="Técnico I",23,IF(C884="JR",20,IF(C884="Estágio",10,0))))),IF(C884="Técnico III",SUMIFS($D:$D,$A:$A,$A884,$B:$B,"&lt;&gt;Patrícia Karla de Sousa Araújo",$B:$B,"&lt;&gt;Lorena Dias de Araujo",$B:$B,"&lt;&gt;Lucas Luiz Romero")*(35/1083),IF(C884="Técnico II",SUMIFS($D:$D,$A:$A,$A884,$B:$B,"&lt;&gt;Patrícia Karla de Sousa Araújo",$B:$B,"&lt;&gt;Lorena Dias de Araujo",$B:$B,"&lt;&gt;Lucas Luiz Romero")*(28/1083),IF(C884="Técnico I",SUMIFS($D:$D,$A:$A,$A884,$B:$B,"&lt;&gt;Patrícia Karla de Sousa Araújo",$B:$B,"&lt;&gt;Lorena Dias de Araujo",$B:$B,"&lt;&gt;Lucas Luiz Romero")*(23/1083),IF(C884="JR",SUMIFS($D:$D,$A:$A,$A884,$B:$B,"&lt;&gt;Patrícia Karla de Sousa Araújo",$B:$B,"&lt;&gt;Lorena Dias de Araujo",$B:$B,"&lt;&gt;Lucas Luiz Romero")*(20/1083),IF(C884="Estágio",SUMIFS($D:$D,$A:$A,$A884,$B:$B,"&lt;&gt;Patrícia Karla de Sousa Araújo",$B:$B,"&lt;&gt;Lorena Dias de Araujo",$B:$B,"&lt;&gt;Lucas Luiz Romero")*(10/1083),0)))))),0)</f>
        <v/>
      </c>
      <c r="K884" s="3">
        <f>I884-J884</f>
        <v/>
      </c>
      <c r="L884" s="3">
        <f>IF(K884&lt;-5,"CRÍTICO",IF(K884&lt;0,"ATENÇÃO",IF(K884&lt;=5,"BOM","EXCELENTE")))</f>
        <v/>
      </c>
      <c r="M884" t="n">
        <v>28</v>
      </c>
      <c r="N884" t="n">
        <v>100</v>
      </c>
      <c r="O884" t="n">
        <v>24.35897435897436</v>
      </c>
    </row>
    <row r="885" hidden="1">
      <c r="A885" s="11" t="n">
        <v>46028</v>
      </c>
      <c r="B885" t="inlineStr">
        <is>
          <t>Jéssica Fé Moura</t>
        </is>
      </c>
      <c r="C885" t="inlineStr">
        <is>
          <t>Técnico III</t>
        </is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s="3" t="n">
        <v>0</v>
      </c>
      <c r="J885" s="3" t="n">
        <v>0</v>
      </c>
      <c r="K885" s="3" t="n">
        <v>0</v>
      </c>
      <c r="L885" s="3">
        <f>IF(K885&lt;-5,"CRÍTICO",IF(K885&lt;0,"ATENÇÃO",IF(K885&lt;=5,"BOM","EXCELENTE")))</f>
        <v/>
      </c>
      <c r="M885" t="n">
        <v>26</v>
      </c>
      <c r="N885" t="n">
        <v>100</v>
      </c>
      <c r="O885" t="n">
        <v>38.29787234042553</v>
      </c>
    </row>
    <row r="886" hidden="1">
      <c r="A886" s="11" t="n">
        <v>46028</v>
      </c>
      <c r="B886" t="inlineStr">
        <is>
          <t>Karina Gonçalves Martins</t>
        </is>
      </c>
      <c r="C886" t="inlineStr">
        <is>
          <t>JR</t>
        </is>
      </c>
      <c r="D886" t="n">
        <v>3</v>
      </c>
      <c r="E886" t="n">
        <v>3</v>
      </c>
      <c r="F886" t="n">
        <v>57.08</v>
      </c>
      <c r="G886" t="n">
        <v>0</v>
      </c>
      <c r="H886" t="n">
        <v>0</v>
      </c>
      <c r="I886" s="3">
        <f>E886+G886+H886</f>
        <v/>
      </c>
      <c r="J886" s="3">
        <f>ROUND(MIN(IF(C886="Técnico III",35,IF(C886="Técnico II",28,IF(C886="Técnico I",23,IF(C886="JR",20,IF(C886="Estágio",10,0))))),IF(C886="Técnico III",SUMIFS($D:$D,$A:$A,$A886,$B:$B,"&lt;&gt;Patrícia Karla de Sousa Araújo",$B:$B,"&lt;&gt;Lorena Dias de Araujo",$B:$B,"&lt;&gt;Lucas Luiz Romero")*(35/1083),IF(C886="Técnico II",SUMIFS($D:$D,$A:$A,$A886,$B:$B,"&lt;&gt;Patrícia Karla de Sousa Araújo",$B:$B,"&lt;&gt;Lorena Dias de Araujo",$B:$B,"&lt;&gt;Lucas Luiz Romero")*(28/1083),IF(C886="Técnico I",SUMIFS($D:$D,$A:$A,$A886,$B:$B,"&lt;&gt;Patrícia Karla de Sousa Araújo",$B:$B,"&lt;&gt;Lorena Dias de Araujo",$B:$B,"&lt;&gt;Lucas Luiz Romero")*(23/1083),IF(C886="JR",SUMIFS($D:$D,$A:$A,$A886,$B:$B,"&lt;&gt;Patrícia Karla de Sousa Araújo",$B:$B,"&lt;&gt;Lorena Dias de Araujo",$B:$B,"&lt;&gt;Lucas Luiz Romero")*(20/1083),IF(C886="Estágio",SUMIFS($D:$D,$A:$A,$A886,$B:$B,"&lt;&gt;Patrícia Karla de Sousa Araújo",$B:$B,"&lt;&gt;Lorena Dias de Araujo",$B:$B,"&lt;&gt;Lucas Luiz Romero")*(10/1083),0)))))),0)</f>
        <v/>
      </c>
      <c r="K886" s="3">
        <f>I886-J886</f>
        <v/>
      </c>
      <c r="L886" s="3">
        <f>IF(K886&lt;-5,"CRÍTICO",IF(K886&lt;0,"ATENÇÃO",IF(K886&lt;=5,"BOM","EXCELENTE")))</f>
        <v/>
      </c>
      <c r="M886" t="n">
        <v>3</v>
      </c>
      <c r="N886" t="n">
        <v>100</v>
      </c>
      <c r="O886" t="n">
        <v>33.33333333333333</v>
      </c>
    </row>
    <row r="887" hidden="1">
      <c r="A887" s="11" t="n">
        <v>46028</v>
      </c>
      <c r="B887" t="inlineStr">
        <is>
          <t>Kerollen Cristielly de Jesus Siqueira</t>
        </is>
      </c>
      <c r="C887" t="inlineStr">
        <is>
          <t>Técnico III</t>
        </is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s="3" t="n">
        <v>0</v>
      </c>
      <c r="J887" s="3" t="n">
        <v>0</v>
      </c>
      <c r="K887" s="3" t="n">
        <v>0</v>
      </c>
      <c r="L887" s="3">
        <f>IF(K887&lt;-5,"CRÍTICO",IF(K887&lt;0,"ATENÇÃO",IF(K887&lt;=5,"BOM","EXCELENTE")))</f>
        <v/>
      </c>
      <c r="M887" t="n">
        <v>46</v>
      </c>
      <c r="N887" t="n">
        <v>93.09999999999999</v>
      </c>
      <c r="O887" t="n">
        <v>56.75675675675676</v>
      </c>
    </row>
    <row r="888" hidden="1">
      <c r="A888" s="11" t="n">
        <v>46028</v>
      </c>
      <c r="B888" t="inlineStr">
        <is>
          <t>Leandro de Souza Silva</t>
        </is>
      </c>
      <c r="C888" t="inlineStr">
        <is>
          <t>JR</t>
        </is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s="3" t="n">
        <v>0</v>
      </c>
      <c r="J888" s="3" t="n">
        <v>0</v>
      </c>
      <c r="K888" s="3" t="n">
        <v>0</v>
      </c>
      <c r="L888" s="3">
        <f>IF(K888&lt;-5,"CRÍTICO",IF(K888&lt;0,"ATENÇÃO",IF(K888&lt;=5,"BOM","EXCELENTE")))</f>
        <v/>
      </c>
      <c r="M888" t="n">
        <v>0</v>
      </c>
      <c r="N888" t="n">
        <v>0</v>
      </c>
      <c r="O888" t="n">
        <v>0</v>
      </c>
    </row>
    <row r="889" hidden="1">
      <c r="A889" s="11" t="n">
        <v>46028</v>
      </c>
      <c r="B889" t="inlineStr">
        <is>
          <t>Leandro Oliveira de Sousa</t>
        </is>
      </c>
      <c r="C889" t="inlineStr">
        <is>
          <t>Técnico III</t>
        </is>
      </c>
      <c r="D889" t="n">
        <v>45</v>
      </c>
      <c r="E889" t="n">
        <v>41</v>
      </c>
      <c r="F889" t="n">
        <v>15.19</v>
      </c>
      <c r="G889" t="n">
        <v>0</v>
      </c>
      <c r="H889" t="n">
        <v>0</v>
      </c>
      <c r="I889" s="3">
        <f>E889+G889+H889</f>
        <v/>
      </c>
      <c r="J889" s="3">
        <f>ROUND(MIN(IF(C889="Técnico III",35,IF(C889="Técnico II",28,IF(C889="Técnico I",23,IF(C889="JR",20,IF(C889="Estágio",10,0))))),IF(C889="Técnico III",SUMIFS($D:$D,$A:$A,$A889,$B:$B,"&lt;&gt;Patrícia Karla de Sousa Araújo",$B:$B,"&lt;&gt;Lorena Dias de Araujo",$B:$B,"&lt;&gt;Lucas Luiz Romero")*(35/1083),IF(C889="Técnico II",SUMIFS($D:$D,$A:$A,$A889,$B:$B,"&lt;&gt;Patrícia Karla de Sousa Araújo",$B:$B,"&lt;&gt;Lorena Dias de Araujo",$B:$B,"&lt;&gt;Lucas Luiz Romero")*(28/1083),IF(C889="Técnico I",SUMIFS($D:$D,$A:$A,$A889,$B:$B,"&lt;&gt;Patrícia Karla de Sousa Araújo",$B:$B,"&lt;&gt;Lorena Dias de Araujo",$B:$B,"&lt;&gt;Lucas Luiz Romero")*(23/1083),IF(C889="JR",SUMIFS($D:$D,$A:$A,$A889,$B:$B,"&lt;&gt;Patrícia Karla de Sousa Araújo",$B:$B,"&lt;&gt;Lorena Dias de Araujo",$B:$B,"&lt;&gt;Lucas Luiz Romero")*(20/1083),IF(C889="Estágio",SUMIFS($D:$D,$A:$A,$A889,$B:$B,"&lt;&gt;Patrícia Karla de Sousa Araújo",$B:$B,"&lt;&gt;Lorena Dias de Araujo",$B:$B,"&lt;&gt;Lucas Luiz Romero")*(10/1083),0)))))),0)</f>
        <v/>
      </c>
      <c r="K889" s="3">
        <f>I889-J889</f>
        <v/>
      </c>
      <c r="L889" s="3">
        <f>IF(K889&lt;-5,"CRÍTICO",IF(K889&lt;0,"ATENÇÃO",IF(K889&lt;=5,"BOM","EXCELENTE")))</f>
        <v/>
      </c>
      <c r="M889" t="n">
        <v>37</v>
      </c>
      <c r="N889" t="n">
        <v>100</v>
      </c>
      <c r="O889" t="n">
        <v>27.41935483870968</v>
      </c>
    </row>
    <row r="890" hidden="1">
      <c r="A890" s="11" t="n">
        <v>46028</v>
      </c>
      <c r="B890" t="inlineStr">
        <is>
          <t>Lizandra Gomes Duarte</t>
        </is>
      </c>
      <c r="C890" t="inlineStr">
        <is>
          <t>Técnico II</t>
        </is>
      </c>
      <c r="D890" t="n">
        <v>31</v>
      </c>
      <c r="E890" t="n">
        <v>29</v>
      </c>
      <c r="F890" t="n">
        <v>16.57</v>
      </c>
      <c r="G890" t="n">
        <v>0</v>
      </c>
      <c r="H890" t="n">
        <v>0</v>
      </c>
      <c r="I890" s="3">
        <f>E890+G890+H890</f>
        <v/>
      </c>
      <c r="J890" s="3">
        <f>ROUND(MIN(IF(C890="Técnico III",35,IF(C890="Técnico II",28,IF(C890="Técnico I",23,IF(C890="JR",20,IF(C890="Estágio",10,0))))),IF(C890="Técnico III",SUMIFS($D:$D,$A:$A,$A890,$B:$B,"&lt;&gt;Patrícia Karla de Sousa Araújo",$B:$B,"&lt;&gt;Lorena Dias de Araujo",$B:$B,"&lt;&gt;Lucas Luiz Romero")*(35/1083),IF(C890="Técnico II",SUMIFS($D:$D,$A:$A,$A890,$B:$B,"&lt;&gt;Patrícia Karla de Sousa Araújo",$B:$B,"&lt;&gt;Lorena Dias de Araujo",$B:$B,"&lt;&gt;Lucas Luiz Romero")*(28/1083),IF(C890="Técnico I",SUMIFS($D:$D,$A:$A,$A890,$B:$B,"&lt;&gt;Patrícia Karla de Sousa Araújo",$B:$B,"&lt;&gt;Lorena Dias de Araujo",$B:$B,"&lt;&gt;Lucas Luiz Romero")*(23/1083),IF(C890="JR",SUMIFS($D:$D,$A:$A,$A890,$B:$B,"&lt;&gt;Patrícia Karla de Sousa Araújo",$B:$B,"&lt;&gt;Lorena Dias de Araujo",$B:$B,"&lt;&gt;Lucas Luiz Romero")*(20/1083),IF(C890="Estágio",SUMIFS($D:$D,$A:$A,$A890,$B:$B,"&lt;&gt;Patrícia Karla de Sousa Araújo",$B:$B,"&lt;&gt;Lorena Dias de Araujo",$B:$B,"&lt;&gt;Lucas Luiz Romero")*(10/1083),0)))))),0)</f>
        <v/>
      </c>
      <c r="K890" s="3">
        <f>I890-J890</f>
        <v/>
      </c>
      <c r="L890" s="3">
        <f>IF(K890&lt;-5,"CRÍTICO",IF(K890&lt;0,"ATENÇÃO",IF(K890&lt;=5,"BOM","EXCELENTE")))</f>
        <v/>
      </c>
      <c r="M890" t="n">
        <v>28</v>
      </c>
      <c r="N890" t="n">
        <v>100</v>
      </c>
      <c r="O890" t="n">
        <v>29.16666666666667</v>
      </c>
    </row>
    <row r="891" hidden="1">
      <c r="A891" s="11" t="n">
        <v>46028</v>
      </c>
      <c r="B891" t="inlineStr">
        <is>
          <t>Lorena Dias de Araujo</t>
        </is>
      </c>
      <c r="C891" t="inlineStr">
        <is>
          <t>Técnico II</t>
        </is>
      </c>
      <c r="D891" t="n">
        <v>33</v>
      </c>
      <c r="E891" t="n">
        <v>32</v>
      </c>
      <c r="F891" t="n">
        <v>17.16</v>
      </c>
      <c r="G891" t="n">
        <v>0</v>
      </c>
      <c r="H891" t="n">
        <v>0</v>
      </c>
      <c r="I891" s="3" t="n">
        <v>0</v>
      </c>
      <c r="J891" s="3" t="n">
        <v>0</v>
      </c>
      <c r="K891" s="3" t="n">
        <v>0</v>
      </c>
      <c r="L891" s="3">
        <f>IF(K891&lt;-5,"CRÍTICO",IF(K891&lt;0,"ATENÇÃO",IF(K891&lt;=5,"BOM","EXCELENTE")))</f>
        <v/>
      </c>
      <c r="M891" t="n">
        <v>26</v>
      </c>
      <c r="N891" t="n">
        <v>100</v>
      </c>
      <c r="O891" t="n">
        <v>22.58064516129032</v>
      </c>
    </row>
    <row r="892" hidden="1">
      <c r="A892" s="11" t="n">
        <v>46028</v>
      </c>
      <c r="B892" t="inlineStr">
        <is>
          <t>Lucas Luiz Romero</t>
        </is>
      </c>
      <c r="C892" t="inlineStr">
        <is>
          <t>Técnico III</t>
        </is>
      </c>
      <c r="D892" t="n">
        <v>21</v>
      </c>
      <c r="E892" t="n">
        <v>16</v>
      </c>
      <c r="F892" t="n">
        <v>15.06</v>
      </c>
      <c r="G892" t="n">
        <v>0</v>
      </c>
      <c r="H892" t="n">
        <v>0</v>
      </c>
      <c r="I892" s="3">
        <f>E892+G892+H892</f>
        <v/>
      </c>
      <c r="J892" s="3">
        <f>ROUND(MIN(IF(C892="Técnico III",35,IF(C892="Técnico II",28,IF(C892="Técnico I",23,IF(C892="JR",20,IF(C892="Estágio",10,0))))),IF(C892="Técnico III",SUMIFS($D:$D,$A:$A,$A892,$B:$B,"&lt;&gt;Patrícia Karla de Sousa Araújo",$B:$B,"&lt;&gt;Lorena Dias de Araujo",$B:$B,"&lt;&gt;Lucas Luiz Romero")*(35/1083),IF(C892="Técnico II",SUMIFS($D:$D,$A:$A,$A892,$B:$B,"&lt;&gt;Patrícia Karla de Sousa Araújo",$B:$B,"&lt;&gt;Lorena Dias de Araujo",$B:$B,"&lt;&gt;Lucas Luiz Romero")*(28/1083),IF(C892="Técnico I",SUMIFS($D:$D,$A:$A,$A892,$B:$B,"&lt;&gt;Patrícia Karla de Sousa Araújo",$B:$B,"&lt;&gt;Lorena Dias de Araujo",$B:$B,"&lt;&gt;Lucas Luiz Romero")*(23/1083),IF(C892="JR",SUMIFS($D:$D,$A:$A,$A892,$B:$B,"&lt;&gt;Patrícia Karla de Sousa Araújo",$B:$B,"&lt;&gt;Lorena Dias de Araujo",$B:$B,"&lt;&gt;Lucas Luiz Romero")*(20/1083),IF(C892="Estágio",SUMIFS($D:$D,$A:$A,$A892,$B:$B,"&lt;&gt;Patrícia Karla de Sousa Araújo",$B:$B,"&lt;&gt;Lorena Dias de Araujo",$B:$B,"&lt;&gt;Lucas Luiz Romero")*(10/1083),0)))))),0)</f>
        <v/>
      </c>
      <c r="K892" s="3">
        <f>I892-J892</f>
        <v/>
      </c>
      <c r="L892" s="3">
        <f>IF(K892&lt;-5,"CRÍTICO",IF(K892&lt;0,"ATENÇÃO",IF(K892&lt;=5,"BOM","EXCELENTE")))</f>
        <v/>
      </c>
      <c r="M892" t="n">
        <v>13</v>
      </c>
      <c r="N892" t="n">
        <v>87.5</v>
      </c>
      <c r="O892" t="n">
        <v>35.71428571428572</v>
      </c>
    </row>
    <row r="893" hidden="1">
      <c r="A893" s="11" t="n">
        <v>46028</v>
      </c>
      <c r="B893" t="inlineStr">
        <is>
          <t>Luiz Fernando de Carvalho Junior</t>
        </is>
      </c>
      <c r="C893" t="inlineStr">
        <is>
          <t>Técnico I</t>
        </is>
      </c>
      <c r="D893" t="n">
        <v>21</v>
      </c>
      <c r="E893" t="n">
        <v>21</v>
      </c>
      <c r="F893" t="n">
        <v>29.07</v>
      </c>
      <c r="G893" t="n">
        <v>0</v>
      </c>
      <c r="H893" t="n">
        <v>0</v>
      </c>
      <c r="I893" s="3">
        <f>E893+G893+H893</f>
        <v/>
      </c>
      <c r="J893" s="3">
        <f>ROUND(MIN(IF(C893="Técnico III",35,IF(C893="Técnico II",28,IF(C893="Técnico I",23,IF(C893="JR",20,IF(C893="Estágio",10,0))))),IF(C893="Técnico III",SUMIFS($D:$D,$A:$A,$A893,$B:$B,"&lt;&gt;Patrícia Karla de Sousa Araújo",$B:$B,"&lt;&gt;Lorena Dias de Araujo",$B:$B,"&lt;&gt;Lucas Luiz Romero")*(35/1083),IF(C893="Técnico II",SUMIFS($D:$D,$A:$A,$A893,$B:$B,"&lt;&gt;Patrícia Karla de Sousa Araújo",$B:$B,"&lt;&gt;Lorena Dias de Araujo",$B:$B,"&lt;&gt;Lucas Luiz Romero")*(28/1083),IF(C893="Técnico I",SUMIFS($D:$D,$A:$A,$A893,$B:$B,"&lt;&gt;Patrícia Karla de Sousa Araújo",$B:$B,"&lt;&gt;Lorena Dias de Araujo",$B:$B,"&lt;&gt;Lucas Luiz Romero")*(23/1083),IF(C893="JR",SUMIFS($D:$D,$A:$A,$A893,$B:$B,"&lt;&gt;Patrícia Karla de Sousa Araújo",$B:$B,"&lt;&gt;Lorena Dias de Araujo",$B:$B,"&lt;&gt;Lucas Luiz Romero")*(20/1083),IF(C893="Estágio",SUMIFS($D:$D,$A:$A,$A893,$B:$B,"&lt;&gt;Patrícia Karla de Sousa Araújo",$B:$B,"&lt;&gt;Lorena Dias de Araujo",$B:$B,"&lt;&gt;Lucas Luiz Romero")*(10/1083),0)))))),0)</f>
        <v/>
      </c>
      <c r="K893" s="3">
        <f>I893-J893</f>
        <v/>
      </c>
      <c r="L893" s="3">
        <f>IF(K893&lt;-5,"CRÍTICO",IF(K893&lt;0,"ATENÇÃO",IF(K893&lt;=5,"BOM","EXCELENTE")))</f>
        <v/>
      </c>
      <c r="M893" t="n">
        <v>19</v>
      </c>
      <c r="N893" t="n">
        <v>100</v>
      </c>
      <c r="O893" t="n">
        <v>21.875</v>
      </c>
    </row>
    <row r="894" hidden="1">
      <c r="A894" s="11" t="n">
        <v>46028</v>
      </c>
      <c r="B894" t="inlineStr">
        <is>
          <t>Maria Eduarda Sousa Costa</t>
        </is>
      </c>
      <c r="C894" t="inlineStr">
        <is>
          <t>Estágio</t>
        </is>
      </c>
      <c r="D894" t="n">
        <v>11</v>
      </c>
      <c r="E894" t="n">
        <v>10</v>
      </c>
      <c r="F894" t="n">
        <v>37.26</v>
      </c>
      <c r="G894" t="n">
        <v>0</v>
      </c>
      <c r="H894" t="n">
        <v>0</v>
      </c>
      <c r="I894" s="3">
        <f>E894+G894+H894</f>
        <v/>
      </c>
      <c r="J894" s="3">
        <f>ROUND(MIN(IF(C894="Técnico III",35,IF(C894="Técnico II",28,IF(C894="Técnico I",23,IF(C894="JR",20,IF(C894="Estágio",10,0))))),IF(C894="Técnico III",SUMIFS($D:$D,$A:$A,$A894,$B:$B,"&lt;&gt;Patrícia Karla de Sousa Araújo",$B:$B,"&lt;&gt;Lorena Dias de Araujo",$B:$B,"&lt;&gt;Lucas Luiz Romero")*(35/1083),IF(C894="Técnico II",SUMIFS($D:$D,$A:$A,$A894,$B:$B,"&lt;&gt;Patrícia Karla de Sousa Araújo",$B:$B,"&lt;&gt;Lorena Dias de Araujo",$B:$B,"&lt;&gt;Lucas Luiz Romero")*(28/1083),IF(C894="Técnico I",SUMIFS($D:$D,$A:$A,$A894,$B:$B,"&lt;&gt;Patrícia Karla de Sousa Araújo",$B:$B,"&lt;&gt;Lorena Dias de Araujo",$B:$B,"&lt;&gt;Lucas Luiz Romero")*(23/1083),IF(C894="JR",SUMIFS($D:$D,$A:$A,$A894,$B:$B,"&lt;&gt;Patrícia Karla de Sousa Araújo",$B:$B,"&lt;&gt;Lorena Dias de Araujo",$B:$B,"&lt;&gt;Lucas Luiz Romero")*(20/1083),IF(C894="Estágio",SUMIFS($D:$D,$A:$A,$A894,$B:$B,"&lt;&gt;Patrícia Karla de Sousa Araújo",$B:$B,"&lt;&gt;Lorena Dias de Araujo",$B:$B,"&lt;&gt;Lucas Luiz Romero")*(10/1083),0)))))),0)</f>
        <v/>
      </c>
      <c r="K894" s="3">
        <f>I894-J894</f>
        <v/>
      </c>
      <c r="L894" s="3">
        <f>IF(K894&lt;-5,"CRÍTICO",IF(K894&lt;0,"ATENÇÃO",IF(K894&lt;=5,"BOM","EXCELENTE")))</f>
        <v/>
      </c>
      <c r="M894" t="n">
        <v>8</v>
      </c>
      <c r="N894" t="n">
        <v>100</v>
      </c>
      <c r="O894" t="n">
        <v>41.17647058823529</v>
      </c>
    </row>
    <row r="895" hidden="1">
      <c r="A895" s="11" t="n">
        <v>46028</v>
      </c>
      <c r="B895" t="inlineStr">
        <is>
          <t>Matheus Farias De Souza</t>
        </is>
      </c>
      <c r="C895" t="inlineStr">
        <is>
          <t>Técnico III</t>
        </is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s="3" t="n">
        <v>0</v>
      </c>
      <c r="J895" s="3" t="n">
        <v>0</v>
      </c>
      <c r="K895" s="3" t="n">
        <v>0</v>
      </c>
      <c r="L895" s="3">
        <f>IF(K895&lt;-5,"CRÍTICO",IF(K895&lt;0,"ATENÇÃO",IF(K895&lt;=5,"BOM","EXCELENTE")))</f>
        <v/>
      </c>
      <c r="M895" t="n">
        <v>0</v>
      </c>
      <c r="N895" t="n">
        <v>100</v>
      </c>
      <c r="O895" t="n">
        <v>0</v>
      </c>
    </row>
    <row r="896" hidden="1">
      <c r="A896" s="11" t="n">
        <v>46028</v>
      </c>
      <c r="B896" t="inlineStr">
        <is>
          <t>Maysa Victoria Dias Moura</t>
        </is>
      </c>
      <c r="C896" t="inlineStr">
        <is>
          <t>Técnico III</t>
        </is>
      </c>
      <c r="D896" t="n">
        <v>49</v>
      </c>
      <c r="E896" t="n">
        <v>42</v>
      </c>
      <c r="F896" t="n">
        <v>10.4</v>
      </c>
      <c r="G896" t="n">
        <v>0</v>
      </c>
      <c r="H896" t="n">
        <v>0</v>
      </c>
      <c r="I896" s="3">
        <f>E896+G896+H896</f>
        <v/>
      </c>
      <c r="J896" s="3">
        <f>ROUND(MIN(IF(C896="Técnico III",35,IF(C896="Técnico II",28,IF(C896="Técnico I",23,IF(C896="JR",20,IF(C896="Estágio",10,0))))),IF(C896="Técnico III",SUMIFS($D:$D,$A:$A,$A896,$B:$B,"&lt;&gt;Patrícia Karla de Sousa Araújo",$B:$B,"&lt;&gt;Lorena Dias de Araujo",$B:$B,"&lt;&gt;Lucas Luiz Romero")*(35/1083),IF(C896="Técnico II",SUMIFS($D:$D,$A:$A,$A896,$B:$B,"&lt;&gt;Patrícia Karla de Sousa Araújo",$B:$B,"&lt;&gt;Lorena Dias de Araujo",$B:$B,"&lt;&gt;Lucas Luiz Romero")*(28/1083),IF(C896="Técnico I",SUMIFS($D:$D,$A:$A,$A896,$B:$B,"&lt;&gt;Patrícia Karla de Sousa Araújo",$B:$B,"&lt;&gt;Lorena Dias de Araujo",$B:$B,"&lt;&gt;Lucas Luiz Romero")*(23/1083),IF(C896="JR",SUMIFS($D:$D,$A:$A,$A896,$B:$B,"&lt;&gt;Patrícia Karla de Sousa Araújo",$B:$B,"&lt;&gt;Lorena Dias de Araujo",$B:$B,"&lt;&gt;Lucas Luiz Romero")*(20/1083),IF(C896="Estágio",SUMIFS($D:$D,$A:$A,$A896,$B:$B,"&lt;&gt;Patrícia Karla de Sousa Araújo",$B:$B,"&lt;&gt;Lorena Dias de Araujo",$B:$B,"&lt;&gt;Lucas Luiz Romero")*(10/1083),0)))))),0)</f>
        <v/>
      </c>
      <c r="K896" s="3">
        <f>I896-J896</f>
        <v/>
      </c>
      <c r="L896" s="3">
        <f>IF(K896&lt;-5,"CRÍTICO",IF(K896&lt;0,"ATENÇÃO",IF(K896&lt;=5,"BOM","EXCELENTE")))</f>
        <v/>
      </c>
      <c r="M896" t="n">
        <v>45</v>
      </c>
      <c r="N896" t="n">
        <v>100</v>
      </c>
      <c r="O896" t="n">
        <v>32.46753246753246</v>
      </c>
    </row>
    <row r="897" hidden="1">
      <c r="A897" s="11" t="n">
        <v>46028</v>
      </c>
      <c r="B897" t="inlineStr">
        <is>
          <t>Michelle G Santos</t>
        </is>
      </c>
      <c r="C897" t="inlineStr">
        <is>
          <t>Estágio</t>
        </is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s="3" t="n">
        <v>0</v>
      </c>
      <c r="J897" s="3" t="n">
        <v>0</v>
      </c>
      <c r="K897" s="3" t="n">
        <v>0</v>
      </c>
      <c r="L897" s="3">
        <f>IF(K897&lt;-5,"CRÍTICO",IF(K897&lt;0,"ATENÇÃO",IF(K897&lt;=5,"BOM","EXCELENTE")))</f>
        <v/>
      </c>
      <c r="M897" t="n">
        <v>0</v>
      </c>
      <c r="N897" t="n">
        <v>0</v>
      </c>
      <c r="O897" t="n">
        <v>0</v>
      </c>
    </row>
    <row r="898" hidden="1">
      <c r="A898" s="11" t="n">
        <v>46028</v>
      </c>
      <c r="B898" t="inlineStr">
        <is>
          <t>Milena Sales</t>
        </is>
      </c>
      <c r="C898" t="inlineStr">
        <is>
          <t>JR</t>
        </is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s="3" t="n">
        <v>0</v>
      </c>
      <c r="J898" s="3" t="n">
        <v>0</v>
      </c>
      <c r="K898" s="3" t="n">
        <v>0</v>
      </c>
      <c r="L898" s="3">
        <f>IF(K898&lt;-5,"CRÍTICO",IF(K898&lt;0,"ATENÇÃO",IF(K898&lt;=5,"BOM","EXCELENTE")))</f>
        <v/>
      </c>
      <c r="M898" t="n">
        <v>0</v>
      </c>
      <c r="N898" t="n">
        <v>0</v>
      </c>
      <c r="O898" t="n">
        <v>0</v>
      </c>
    </row>
    <row r="899" hidden="1">
      <c r="A899" s="11" t="n">
        <v>46028</v>
      </c>
      <c r="B899" t="inlineStr">
        <is>
          <t>Patrícia Karla de Sousa Araújo</t>
        </is>
      </c>
      <c r="C899" t="inlineStr">
        <is>
          <t>Técnico II</t>
        </is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s="3" t="n">
        <v>0</v>
      </c>
      <c r="J899" s="3" t="n">
        <v>0</v>
      </c>
      <c r="K899" s="3" t="n">
        <v>0</v>
      </c>
      <c r="L899" s="3">
        <f>IF(K899&lt;-5,"CRÍTICO",IF(K899&lt;0,"ATENÇÃO",IF(K899&lt;=5,"BOM","EXCELENTE")))</f>
        <v/>
      </c>
      <c r="M899" t="n">
        <v>0</v>
      </c>
      <c r="N899" t="n">
        <v>100</v>
      </c>
      <c r="O899" t="n">
        <v>0</v>
      </c>
    </row>
    <row r="900" hidden="1">
      <c r="A900" s="11" t="n">
        <v>46028</v>
      </c>
      <c r="B900" t="inlineStr">
        <is>
          <t>Paulo Ricardo Santos</t>
        </is>
      </c>
      <c r="C900" t="inlineStr">
        <is>
          <t>JR</t>
        </is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s="3" t="n">
        <v>0</v>
      </c>
      <c r="J900" s="3" t="n">
        <v>0</v>
      </c>
      <c r="K900" s="3" t="n">
        <v>0</v>
      </c>
      <c r="L900" s="3">
        <f>IF(K900&lt;-5,"CRÍTICO",IF(K900&lt;0,"ATENÇÃO",IF(K900&lt;=5,"BOM","EXCELENTE")))</f>
        <v/>
      </c>
      <c r="M900" t="n">
        <v>0</v>
      </c>
      <c r="N900" t="n">
        <v>0</v>
      </c>
      <c r="O900" t="n">
        <v>0</v>
      </c>
    </row>
    <row r="901" hidden="1">
      <c r="A901" s="11" t="n">
        <v>46028</v>
      </c>
      <c r="B901" t="inlineStr">
        <is>
          <t>Pedro Luiz Mota Sousa</t>
        </is>
      </c>
      <c r="C901" t="inlineStr">
        <is>
          <t>JR</t>
        </is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s="3" t="n">
        <v>0</v>
      </c>
      <c r="J901" s="3" t="n">
        <v>0</v>
      </c>
      <c r="K901" s="3" t="n">
        <v>0</v>
      </c>
      <c r="L901" s="3">
        <f>IF(K901&lt;-5,"CRÍTICO",IF(K901&lt;0,"ATENÇÃO",IF(K901&lt;=5,"BOM","EXCELENTE")))</f>
        <v/>
      </c>
      <c r="M901" t="n">
        <v>0</v>
      </c>
      <c r="N901" t="n">
        <v>0</v>
      </c>
      <c r="O901" t="n">
        <v>0</v>
      </c>
    </row>
    <row r="902" hidden="1">
      <c r="A902" s="11" t="n">
        <v>46028</v>
      </c>
      <c r="B902" t="inlineStr">
        <is>
          <t>Quirino Diogo Leite Torres</t>
        </is>
      </c>
      <c r="C902" t="inlineStr">
        <is>
          <t>Estágio</t>
        </is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s="3" t="n">
        <v>0</v>
      </c>
      <c r="J902" s="3" t="n">
        <v>0</v>
      </c>
      <c r="K902" s="3" t="n">
        <v>0</v>
      </c>
      <c r="L902" s="3">
        <f>IF(K902&lt;-5,"CRÍTICO",IF(K902&lt;0,"ATENÇÃO",IF(K902&lt;=5,"BOM","EXCELENTE")))</f>
        <v/>
      </c>
      <c r="M902" t="n">
        <v>0</v>
      </c>
      <c r="N902" t="n">
        <v>0</v>
      </c>
      <c r="O902" t="n">
        <v>0</v>
      </c>
    </row>
    <row r="903" hidden="1">
      <c r="A903" s="11" t="n">
        <v>46028</v>
      </c>
      <c r="B903" t="inlineStr">
        <is>
          <t>Raane Batista Matos</t>
        </is>
      </c>
      <c r="C903" t="inlineStr">
        <is>
          <t>Técnico I</t>
        </is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s="3" t="n">
        <v>0</v>
      </c>
      <c r="J903" s="3" t="n">
        <v>0</v>
      </c>
      <c r="K903" s="3" t="n">
        <v>0</v>
      </c>
      <c r="L903" s="3">
        <f>IF(K903&lt;-5,"CRÍTICO",IF(K903&lt;0,"ATENÇÃO",IF(K903&lt;=5,"BOM","EXCELENTE")))</f>
        <v/>
      </c>
      <c r="M903" t="n">
        <v>0</v>
      </c>
      <c r="N903" t="n">
        <v>0</v>
      </c>
      <c r="O903" t="n">
        <v>0</v>
      </c>
    </row>
    <row r="904" hidden="1">
      <c r="A904" s="11" t="n">
        <v>46028</v>
      </c>
      <c r="B904" t="inlineStr">
        <is>
          <t>Rafael Gomes de Morais</t>
        </is>
      </c>
      <c r="C904" t="inlineStr">
        <is>
          <t>Técnico III</t>
        </is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s="3" t="n">
        <v>0</v>
      </c>
      <c r="J904" s="3" t="n">
        <v>0</v>
      </c>
      <c r="K904" s="3" t="n">
        <v>0</v>
      </c>
      <c r="L904" s="3">
        <f>IF(K904&lt;-5,"CRÍTICO",IF(K904&lt;0,"ATENÇÃO",IF(K904&lt;=5,"BOM","EXCELENTE")))</f>
        <v/>
      </c>
      <c r="M904" t="n">
        <v>0</v>
      </c>
      <c r="N904" t="n">
        <v>0</v>
      </c>
      <c r="O904" t="n">
        <v>0</v>
      </c>
    </row>
    <row r="905" hidden="1">
      <c r="A905" s="11" t="n">
        <v>46028</v>
      </c>
      <c r="B905" t="inlineStr">
        <is>
          <t>Sara Maria Monteiro Lopes</t>
        </is>
      </c>
      <c r="C905" t="inlineStr">
        <is>
          <t>Técnico I</t>
        </is>
      </c>
      <c r="D905" t="n">
        <v>15</v>
      </c>
      <c r="E905" t="n">
        <v>11</v>
      </c>
      <c r="F905" t="n">
        <v>27.36</v>
      </c>
      <c r="G905" t="n">
        <v>0</v>
      </c>
      <c r="H905" t="n">
        <v>0</v>
      </c>
      <c r="I905" s="3">
        <f>E905+G905+H905</f>
        <v/>
      </c>
      <c r="J905" s="3">
        <f>ROUND(MIN(IF(C905="Técnico III",35,IF(C905="Técnico II",28,IF(C905="Técnico I",23,IF(C905="JR",20,IF(C905="Estágio",10,0))))),IF(C905="Técnico III",SUMIFS($D:$D,$A:$A,$A905,$B:$B,"&lt;&gt;Patrícia Karla de Sousa Araújo",$B:$B,"&lt;&gt;Lorena Dias de Araujo",$B:$B,"&lt;&gt;Lucas Luiz Romero")*(35/1083),IF(C905="Técnico II",SUMIFS($D:$D,$A:$A,$A905,$B:$B,"&lt;&gt;Patrícia Karla de Sousa Araújo",$B:$B,"&lt;&gt;Lorena Dias de Araujo",$B:$B,"&lt;&gt;Lucas Luiz Romero")*(28/1083),IF(C905="Técnico I",SUMIFS($D:$D,$A:$A,$A905,$B:$B,"&lt;&gt;Patrícia Karla de Sousa Araújo",$B:$B,"&lt;&gt;Lorena Dias de Araujo",$B:$B,"&lt;&gt;Lucas Luiz Romero")*(23/1083),IF(C905="JR",SUMIFS($D:$D,$A:$A,$A905,$B:$B,"&lt;&gt;Patrícia Karla de Sousa Araújo",$B:$B,"&lt;&gt;Lorena Dias de Araujo",$B:$B,"&lt;&gt;Lucas Luiz Romero")*(20/1083),IF(C905="Estágio",SUMIFS($D:$D,$A:$A,$A905,$B:$B,"&lt;&gt;Patrícia Karla de Sousa Araújo",$B:$B,"&lt;&gt;Lorena Dias de Araujo",$B:$B,"&lt;&gt;Lucas Luiz Romero")*(10/1083),0)))))),0)</f>
        <v/>
      </c>
      <c r="K905" s="3">
        <f>I905-J905</f>
        <v/>
      </c>
      <c r="L905" s="3">
        <f>IF(K905&lt;-5,"CRÍTICO",IF(K905&lt;0,"ATENÇÃO",IF(K905&lt;=5,"BOM","EXCELENTE")))</f>
        <v/>
      </c>
      <c r="M905" t="n">
        <v>12</v>
      </c>
      <c r="N905" t="n">
        <v>100</v>
      </c>
      <c r="O905" t="n">
        <v>33.33333333333333</v>
      </c>
    </row>
    <row r="906" hidden="1">
      <c r="A906" s="11" t="n">
        <v>46028</v>
      </c>
      <c r="B906" t="inlineStr">
        <is>
          <t>Sarah Steffanie de Lima Borges</t>
        </is>
      </c>
      <c r="C906" t="inlineStr">
        <is>
          <t>Técnico III</t>
        </is>
      </c>
      <c r="D906" t="n">
        <v>29</v>
      </c>
      <c r="E906" t="n">
        <v>27</v>
      </c>
      <c r="F906" t="n">
        <v>18.4</v>
      </c>
      <c r="G906" t="n">
        <v>0</v>
      </c>
      <c r="H906" t="n">
        <v>0</v>
      </c>
      <c r="I906" s="3">
        <f>E906+G906+H906</f>
        <v/>
      </c>
      <c r="J906" s="3">
        <f>ROUND(MIN(IF(C906="Técnico III",35,IF(C906="Técnico II",28,IF(C906="Técnico I",23,IF(C906="JR",20,IF(C906="Estágio",10,0))))),IF(C906="Técnico III",SUMIFS($D:$D,$A:$A,$A906,$B:$B,"&lt;&gt;Patrícia Karla de Sousa Araújo",$B:$B,"&lt;&gt;Lorena Dias de Araujo",$B:$B,"&lt;&gt;Lucas Luiz Romero")*(35/1083),IF(C906="Técnico II",SUMIFS($D:$D,$A:$A,$A906,$B:$B,"&lt;&gt;Patrícia Karla de Sousa Araújo",$B:$B,"&lt;&gt;Lorena Dias de Araujo",$B:$B,"&lt;&gt;Lucas Luiz Romero")*(28/1083),IF(C906="Técnico I",SUMIFS($D:$D,$A:$A,$A906,$B:$B,"&lt;&gt;Patrícia Karla de Sousa Araújo",$B:$B,"&lt;&gt;Lorena Dias de Araujo",$B:$B,"&lt;&gt;Lucas Luiz Romero")*(23/1083),IF(C906="JR",SUMIFS($D:$D,$A:$A,$A906,$B:$B,"&lt;&gt;Patrícia Karla de Sousa Araújo",$B:$B,"&lt;&gt;Lorena Dias de Araujo",$B:$B,"&lt;&gt;Lucas Luiz Romero")*(20/1083),IF(C906="Estágio",SUMIFS($D:$D,$A:$A,$A906,$B:$B,"&lt;&gt;Patrícia Karla de Sousa Araújo",$B:$B,"&lt;&gt;Lorena Dias de Araujo",$B:$B,"&lt;&gt;Lucas Luiz Romero")*(10/1083),0)))))),0)</f>
        <v/>
      </c>
      <c r="K906" s="3">
        <f>I906-J906</f>
        <v/>
      </c>
      <c r="L906" s="3">
        <f>IF(K906&lt;-5,"CRÍTICO",IF(K906&lt;0,"ATENÇÃO",IF(K906&lt;=5,"BOM","EXCELENTE")))</f>
        <v/>
      </c>
      <c r="M906" t="n">
        <v>25</v>
      </c>
      <c r="N906" t="n">
        <v>100</v>
      </c>
      <c r="O906" t="n">
        <v>26.02739726027397</v>
      </c>
    </row>
    <row r="907" hidden="1">
      <c r="A907" s="11" t="n">
        <v>46029</v>
      </c>
      <c r="B907" t="inlineStr">
        <is>
          <t>Alisson de Freitas Silva</t>
        </is>
      </c>
      <c r="C907" t="inlineStr">
        <is>
          <t>Técnico II</t>
        </is>
      </c>
      <c r="D907" t="n">
        <v>26</v>
      </c>
      <c r="E907" t="n">
        <v>23</v>
      </c>
      <c r="F907" t="n">
        <v>20.57</v>
      </c>
      <c r="G907" t="n">
        <v>0</v>
      </c>
      <c r="H907" t="n">
        <v>0</v>
      </c>
      <c r="I907" s="3">
        <f>E907+G907+H907</f>
        <v/>
      </c>
      <c r="J907" s="3">
        <f>ROUND(MIN(IF(C907="Técnico III",35,IF(C907="Técnico II",28,IF(C907="Técnico I",23,IF(C907="JR",20,IF(C907="Estágio",10,0))))),IF(C907="Técnico III",SUMIFS($D:$D,$A:$A,$A907,$B:$B,"&lt;&gt;Patrícia Karla de Sousa Araújo",$B:$B,"&lt;&gt;Lorena Dias de Araujo",$B:$B,"&lt;&gt;Lucas Luiz Romero")*(35/1083),IF(C907="Técnico II",SUMIFS($D:$D,$A:$A,$A907,$B:$B,"&lt;&gt;Patrícia Karla de Sousa Araújo",$B:$B,"&lt;&gt;Lorena Dias de Araujo",$B:$B,"&lt;&gt;Lucas Luiz Romero")*(28/1083),IF(C907="Técnico I",SUMIFS($D:$D,$A:$A,$A907,$B:$B,"&lt;&gt;Patrícia Karla de Sousa Araújo",$B:$B,"&lt;&gt;Lorena Dias de Araujo",$B:$B,"&lt;&gt;Lucas Luiz Romero")*(23/1083),IF(C907="JR",SUMIFS($D:$D,$A:$A,$A907,$B:$B,"&lt;&gt;Patrícia Karla de Sousa Araújo",$B:$B,"&lt;&gt;Lorena Dias de Araujo",$B:$B,"&lt;&gt;Lucas Luiz Romero")*(20/1083),IF(C907="Estágio",SUMIFS($D:$D,$A:$A,$A907,$B:$B,"&lt;&gt;Patrícia Karla de Sousa Araújo",$B:$B,"&lt;&gt;Lorena Dias de Araujo",$B:$B,"&lt;&gt;Lucas Luiz Romero")*(10/1083),0)))))),0)</f>
        <v/>
      </c>
      <c r="K907" s="3">
        <f>I907-J907</f>
        <v/>
      </c>
      <c r="L907" s="3">
        <f>IF(K907&lt;-5,"CRÍTICO",IF(K907&lt;0,"ATENÇÃO",IF(K907&lt;=5,"BOM","EXCELENTE")))</f>
        <v/>
      </c>
      <c r="M907" t="n">
        <v>19</v>
      </c>
      <c r="N907" t="n">
        <v>100</v>
      </c>
      <c r="O907" t="n">
        <v>29.33333333333333</v>
      </c>
    </row>
    <row r="908" hidden="1">
      <c r="A908" s="11" t="n">
        <v>46029</v>
      </c>
      <c r="B908" t="inlineStr">
        <is>
          <t>Amanda Moura Ferreira</t>
        </is>
      </c>
      <c r="C908" t="inlineStr">
        <is>
          <t>Técnico III</t>
        </is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s="3" t="n">
        <v>0</v>
      </c>
      <c r="J908" s="3" t="n">
        <v>0</v>
      </c>
      <c r="K908" s="3" t="n">
        <v>0</v>
      </c>
      <c r="L908" s="3">
        <f>IF(K908&lt;-5,"CRÍTICO",IF(K908&lt;0,"ATENÇÃO",IF(K908&lt;=5,"BOM","EXCELENTE")))</f>
        <v/>
      </c>
      <c r="M908" t="n">
        <v>26</v>
      </c>
      <c r="N908" t="n">
        <v>95.23999999999999</v>
      </c>
      <c r="O908" t="n">
        <v>29.7029702970297</v>
      </c>
    </row>
    <row r="909" hidden="1">
      <c r="A909" s="11" t="n">
        <v>46029</v>
      </c>
      <c r="B909" t="inlineStr">
        <is>
          <t>Ana Karollyne Souza Faria</t>
        </is>
      </c>
      <c r="C909" t="inlineStr">
        <is>
          <t>Técnico I</t>
        </is>
      </c>
      <c r="D909" t="n">
        <v>30</v>
      </c>
      <c r="E909" t="n">
        <v>25</v>
      </c>
      <c r="F909" t="n">
        <v>15.14</v>
      </c>
      <c r="G909" t="n">
        <v>0</v>
      </c>
      <c r="H909" t="n">
        <v>0</v>
      </c>
      <c r="I909" s="3">
        <f>E909+G909+H909</f>
        <v/>
      </c>
      <c r="J909" s="3">
        <f>ROUND(MIN(IF(C909="Técnico III",35,IF(C909="Técnico II",28,IF(C909="Técnico I",23,IF(C909="JR",20,IF(C909="Estágio",10,0))))),IF(C909="Técnico III",SUMIFS($D:$D,$A:$A,$A909,$B:$B,"&lt;&gt;Patrícia Karla de Sousa Araújo",$B:$B,"&lt;&gt;Lorena Dias de Araujo",$B:$B,"&lt;&gt;Lucas Luiz Romero")*(35/1083),IF(C909="Técnico II",SUMIFS($D:$D,$A:$A,$A909,$B:$B,"&lt;&gt;Patrícia Karla de Sousa Araújo",$B:$B,"&lt;&gt;Lorena Dias de Araujo",$B:$B,"&lt;&gt;Lucas Luiz Romero")*(28/1083),IF(C909="Técnico I",SUMIFS($D:$D,$A:$A,$A909,$B:$B,"&lt;&gt;Patrícia Karla de Sousa Araújo",$B:$B,"&lt;&gt;Lorena Dias de Araujo",$B:$B,"&lt;&gt;Lucas Luiz Romero")*(23/1083),IF(C909="JR",SUMIFS($D:$D,$A:$A,$A909,$B:$B,"&lt;&gt;Patrícia Karla de Sousa Araújo",$B:$B,"&lt;&gt;Lorena Dias de Araujo",$B:$B,"&lt;&gt;Lucas Luiz Romero")*(20/1083),IF(C909="Estágio",SUMIFS($D:$D,$A:$A,$A909,$B:$B,"&lt;&gt;Patrícia Karla de Sousa Araújo",$B:$B,"&lt;&gt;Lorena Dias de Araujo",$B:$B,"&lt;&gt;Lucas Luiz Romero")*(10/1083),0)))))),0)</f>
        <v/>
      </c>
      <c r="K909" s="3">
        <f>I909-J909</f>
        <v/>
      </c>
      <c r="L909" s="3">
        <f>IF(K909&lt;-5,"CRÍTICO",IF(K909&lt;0,"ATENÇÃO",IF(K909&lt;=5,"BOM","EXCELENTE")))</f>
        <v/>
      </c>
      <c r="M909" t="n">
        <v>24</v>
      </c>
      <c r="N909" t="n">
        <v>100</v>
      </c>
      <c r="O909" t="n">
        <v>25.96153846153846</v>
      </c>
    </row>
    <row r="910" hidden="1">
      <c r="A910" s="11" t="n">
        <v>46029</v>
      </c>
      <c r="B910" t="inlineStr">
        <is>
          <t>Ana Paula Da Luz Silva Aleixo</t>
        </is>
      </c>
      <c r="C910" t="inlineStr">
        <is>
          <t>Técnico III</t>
        </is>
      </c>
      <c r="D910" t="n">
        <v>31</v>
      </c>
      <c r="E910" t="n">
        <v>30</v>
      </c>
      <c r="F910" t="n">
        <v>20.06</v>
      </c>
      <c r="G910" t="n">
        <v>0</v>
      </c>
      <c r="H910" t="n">
        <v>0</v>
      </c>
      <c r="I910" s="3">
        <f>E910+G910+H910</f>
        <v/>
      </c>
      <c r="J910" s="3">
        <f>ROUND(MIN(IF(C910="Técnico III",35,IF(C910="Técnico II",28,IF(C910="Técnico I",23,IF(C910="JR",20,IF(C910="Estágio",10,0))))),IF(C910="Técnico III",SUMIFS($D:$D,$A:$A,$A910,$B:$B,"&lt;&gt;Patrícia Karla de Sousa Araújo",$B:$B,"&lt;&gt;Lorena Dias de Araujo",$B:$B,"&lt;&gt;Lucas Luiz Romero")*(35/1083),IF(C910="Técnico II",SUMIFS($D:$D,$A:$A,$A910,$B:$B,"&lt;&gt;Patrícia Karla de Sousa Araújo",$B:$B,"&lt;&gt;Lorena Dias de Araujo",$B:$B,"&lt;&gt;Lucas Luiz Romero")*(28/1083),IF(C910="Técnico I",SUMIFS($D:$D,$A:$A,$A910,$B:$B,"&lt;&gt;Patrícia Karla de Sousa Araújo",$B:$B,"&lt;&gt;Lorena Dias de Araujo",$B:$B,"&lt;&gt;Lucas Luiz Romero")*(23/1083),IF(C910="JR",SUMIFS($D:$D,$A:$A,$A910,$B:$B,"&lt;&gt;Patrícia Karla de Sousa Araújo",$B:$B,"&lt;&gt;Lorena Dias de Araujo",$B:$B,"&lt;&gt;Lucas Luiz Romero")*(20/1083),IF(C910="Estágio",SUMIFS($D:$D,$A:$A,$A910,$B:$B,"&lt;&gt;Patrícia Karla de Sousa Araújo",$B:$B,"&lt;&gt;Lorena Dias de Araujo",$B:$B,"&lt;&gt;Lucas Luiz Romero")*(10/1083),0)))))),0)</f>
        <v/>
      </c>
      <c r="K910" s="3">
        <f>I910-J910</f>
        <v/>
      </c>
      <c r="L910" s="3">
        <f>IF(K910&lt;-5,"CRÍTICO",IF(K910&lt;0,"ATENÇÃO",IF(K910&lt;=5,"BOM","EXCELENTE")))</f>
        <v/>
      </c>
      <c r="M910" t="n">
        <v>28</v>
      </c>
      <c r="N910" t="n">
        <v>100</v>
      </c>
      <c r="O910" t="n">
        <v>31.13207547169811</v>
      </c>
    </row>
    <row r="911" hidden="1">
      <c r="A911" s="11" t="n">
        <v>46029</v>
      </c>
      <c r="B911" t="inlineStr">
        <is>
          <t>Anna Luiza Rezende Tavares</t>
        </is>
      </c>
      <c r="C911" t="inlineStr">
        <is>
          <t>Estágio</t>
        </is>
      </c>
      <c r="D911" t="n">
        <v>15</v>
      </c>
      <c r="E911" t="n">
        <v>14</v>
      </c>
      <c r="F911" t="n">
        <v>32.35</v>
      </c>
      <c r="G911" t="n">
        <v>0</v>
      </c>
      <c r="H911" t="n">
        <v>0</v>
      </c>
      <c r="I911" s="3">
        <f>E911+G911+H911</f>
        <v/>
      </c>
      <c r="J911" s="3">
        <f>ROUND(MIN(IF(C911="Técnico III",35,IF(C911="Técnico II",28,IF(C911="Técnico I",23,IF(C911="JR",20,IF(C911="Estágio",10,0))))),IF(C911="Técnico III",SUMIFS($D:$D,$A:$A,$A911,$B:$B,"&lt;&gt;Patrícia Karla de Sousa Araújo",$B:$B,"&lt;&gt;Lorena Dias de Araujo",$B:$B,"&lt;&gt;Lucas Luiz Romero")*(35/1083),IF(C911="Técnico II",SUMIFS($D:$D,$A:$A,$A911,$B:$B,"&lt;&gt;Patrícia Karla de Sousa Araújo",$B:$B,"&lt;&gt;Lorena Dias de Araujo",$B:$B,"&lt;&gt;Lucas Luiz Romero")*(28/1083),IF(C911="Técnico I",SUMIFS($D:$D,$A:$A,$A911,$B:$B,"&lt;&gt;Patrícia Karla de Sousa Araújo",$B:$B,"&lt;&gt;Lorena Dias de Araujo",$B:$B,"&lt;&gt;Lucas Luiz Romero")*(23/1083),IF(C911="JR",SUMIFS($D:$D,$A:$A,$A911,$B:$B,"&lt;&gt;Patrícia Karla de Sousa Araújo",$B:$B,"&lt;&gt;Lorena Dias de Araujo",$B:$B,"&lt;&gt;Lucas Luiz Romero")*(20/1083),IF(C911="Estágio",SUMIFS($D:$D,$A:$A,$A911,$B:$B,"&lt;&gt;Patrícia Karla de Sousa Araújo",$B:$B,"&lt;&gt;Lorena Dias de Araujo",$B:$B,"&lt;&gt;Lucas Luiz Romero")*(10/1083),0)))))),0)</f>
        <v/>
      </c>
      <c r="K911" s="3">
        <f>I911-J911</f>
        <v/>
      </c>
      <c r="L911" s="3">
        <f>IF(K911&lt;-5,"CRÍTICO",IF(K911&lt;0,"ATENÇÃO",IF(K911&lt;=5,"BOM","EXCELENTE")))</f>
        <v/>
      </c>
      <c r="M911" t="n">
        <v>13</v>
      </c>
      <c r="N911" t="n">
        <v>100</v>
      </c>
      <c r="O911" t="n">
        <v>46.66666666666666</v>
      </c>
    </row>
    <row r="912" hidden="1">
      <c r="A912" s="11" t="n">
        <v>46029</v>
      </c>
      <c r="B912" t="inlineStr">
        <is>
          <t>Brenda de Menezes Silva</t>
        </is>
      </c>
      <c r="C912" t="inlineStr">
        <is>
          <t>Técnico II</t>
        </is>
      </c>
      <c r="D912" t="n">
        <v>31</v>
      </c>
      <c r="E912" t="n">
        <v>28</v>
      </c>
      <c r="F912" t="n">
        <v>20.12</v>
      </c>
      <c r="G912" t="n">
        <v>0</v>
      </c>
      <c r="H912" t="n">
        <v>0</v>
      </c>
      <c r="I912" s="3">
        <f>E912+G912+H912</f>
        <v/>
      </c>
      <c r="J912" s="3">
        <f>ROUND(MIN(IF(C912="Técnico III",35,IF(C912="Técnico II",28,IF(C912="Técnico I",23,IF(C912="JR",20,IF(C912="Estágio",10,0))))),IF(C912="Técnico III",SUMIFS($D:$D,$A:$A,$A912,$B:$B,"&lt;&gt;Patrícia Karla de Sousa Araújo",$B:$B,"&lt;&gt;Lorena Dias de Araujo",$B:$B,"&lt;&gt;Lucas Luiz Romero")*(35/1083),IF(C912="Técnico II",SUMIFS($D:$D,$A:$A,$A912,$B:$B,"&lt;&gt;Patrícia Karla de Sousa Araújo",$B:$B,"&lt;&gt;Lorena Dias de Araujo",$B:$B,"&lt;&gt;Lucas Luiz Romero")*(28/1083),IF(C912="Técnico I",SUMIFS($D:$D,$A:$A,$A912,$B:$B,"&lt;&gt;Patrícia Karla de Sousa Araújo",$B:$B,"&lt;&gt;Lorena Dias de Araujo",$B:$B,"&lt;&gt;Lucas Luiz Romero")*(23/1083),IF(C912="JR",SUMIFS($D:$D,$A:$A,$A912,$B:$B,"&lt;&gt;Patrícia Karla de Sousa Araújo",$B:$B,"&lt;&gt;Lorena Dias de Araujo",$B:$B,"&lt;&gt;Lucas Luiz Romero")*(20/1083),IF(C912="Estágio",SUMIFS($D:$D,$A:$A,$A912,$B:$B,"&lt;&gt;Patrícia Karla de Sousa Araújo",$B:$B,"&lt;&gt;Lorena Dias de Araujo",$B:$B,"&lt;&gt;Lucas Luiz Romero")*(10/1083),0)))))),0)</f>
        <v/>
      </c>
      <c r="K912" s="3">
        <f>I912-J912</f>
        <v/>
      </c>
      <c r="L912" s="3">
        <f>IF(K912&lt;-5,"CRÍTICO",IF(K912&lt;0,"ATENÇÃO",IF(K912&lt;=5,"BOM","EXCELENTE")))</f>
        <v/>
      </c>
      <c r="M912" t="n">
        <v>26</v>
      </c>
      <c r="N912" t="n">
        <v>100</v>
      </c>
      <c r="O912" t="n">
        <v>26.73267326732674</v>
      </c>
    </row>
    <row r="913" hidden="1">
      <c r="A913" s="11" t="n">
        <v>46029</v>
      </c>
      <c r="B913" t="inlineStr">
        <is>
          <t>Carlos Mateus Cassimiro Nunes</t>
        </is>
      </c>
      <c r="C913" t="inlineStr">
        <is>
          <t>Técnico II</t>
        </is>
      </c>
      <c r="D913" t="n">
        <v>28</v>
      </c>
      <c r="E913" t="n">
        <v>23</v>
      </c>
      <c r="F913" t="n">
        <v>19.14</v>
      </c>
      <c r="G913" t="n">
        <v>0</v>
      </c>
      <c r="H913" t="n">
        <v>0</v>
      </c>
      <c r="I913" s="3">
        <f>E913+G913+H913</f>
        <v/>
      </c>
      <c r="J913" s="3">
        <f>ROUND(MIN(IF(C913="Técnico III",35,IF(C913="Técnico II",28,IF(C913="Técnico I",23,IF(C913="JR",20,IF(C913="Estágio",10,0))))),IF(C913="Técnico III",SUMIFS($D:$D,$A:$A,$A913,$B:$B,"&lt;&gt;Patrícia Karla de Sousa Araújo",$B:$B,"&lt;&gt;Lorena Dias de Araujo",$B:$B,"&lt;&gt;Lucas Luiz Romero")*(35/1083),IF(C913="Técnico II",SUMIFS($D:$D,$A:$A,$A913,$B:$B,"&lt;&gt;Patrícia Karla de Sousa Araújo",$B:$B,"&lt;&gt;Lorena Dias de Araujo",$B:$B,"&lt;&gt;Lucas Luiz Romero")*(28/1083),IF(C913="Técnico I",SUMIFS($D:$D,$A:$A,$A913,$B:$B,"&lt;&gt;Patrícia Karla de Sousa Araújo",$B:$B,"&lt;&gt;Lorena Dias de Araujo",$B:$B,"&lt;&gt;Lucas Luiz Romero")*(23/1083),IF(C913="JR",SUMIFS($D:$D,$A:$A,$A913,$B:$B,"&lt;&gt;Patrícia Karla de Sousa Araújo",$B:$B,"&lt;&gt;Lorena Dias de Araujo",$B:$B,"&lt;&gt;Lucas Luiz Romero")*(20/1083),IF(C913="Estágio",SUMIFS($D:$D,$A:$A,$A913,$B:$B,"&lt;&gt;Patrícia Karla de Sousa Araújo",$B:$B,"&lt;&gt;Lorena Dias de Araujo",$B:$B,"&lt;&gt;Lucas Luiz Romero")*(10/1083),0)))))),0)</f>
        <v/>
      </c>
      <c r="K913" s="3">
        <f>I913-J913</f>
        <v/>
      </c>
      <c r="L913" s="3">
        <f>IF(K913&lt;-5,"CRÍTICO",IF(K913&lt;0,"ATENÇÃO",IF(K913&lt;=5,"BOM","EXCELENTE")))</f>
        <v/>
      </c>
      <c r="M913" t="n">
        <v>20</v>
      </c>
      <c r="N913" t="n">
        <v>100</v>
      </c>
      <c r="O913" t="n">
        <v>35.61643835616438</v>
      </c>
    </row>
    <row r="914" hidden="1">
      <c r="A914" s="11" t="n">
        <v>46029</v>
      </c>
      <c r="B914" t="inlineStr">
        <is>
          <t>Claudio de Sousa Velasco Filho</t>
        </is>
      </c>
      <c r="C914" t="inlineStr">
        <is>
          <t>Estágio</t>
        </is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s="3" t="n">
        <v>0</v>
      </c>
      <c r="J914" s="3" t="n">
        <v>0</v>
      </c>
      <c r="K914" s="3" t="n">
        <v>0</v>
      </c>
      <c r="L914" s="3">
        <f>IF(K914&lt;-5,"CRÍTICO",IF(K914&lt;0,"ATENÇÃO",IF(K914&lt;=5,"BOM","EXCELENTE")))</f>
        <v/>
      </c>
      <c r="M914" t="n">
        <v>0</v>
      </c>
      <c r="N914" t="n">
        <v>0</v>
      </c>
      <c r="O914" t="n">
        <v>0</v>
      </c>
    </row>
    <row r="915" hidden="1">
      <c r="A915" s="11" t="n">
        <v>46029</v>
      </c>
      <c r="B915" t="inlineStr">
        <is>
          <t>Clessiane Pereira dos Santos</t>
        </is>
      </c>
      <c r="C915" t="inlineStr">
        <is>
          <t>Técnico I</t>
        </is>
      </c>
      <c r="D915" t="n">
        <v>17</v>
      </c>
      <c r="E915" t="n">
        <v>17</v>
      </c>
      <c r="F915" t="n">
        <v>30.57</v>
      </c>
      <c r="G915" t="n">
        <v>0</v>
      </c>
      <c r="H915" t="n">
        <v>0</v>
      </c>
      <c r="I915" s="3">
        <f>E915+G915+H915</f>
        <v/>
      </c>
      <c r="J915" s="3">
        <f>ROUND(MIN(IF(C915="Técnico III",35,IF(C915="Técnico II",28,IF(C915="Técnico I",23,IF(C915="JR",20,IF(C915="Estágio",10,0))))),IF(C915="Técnico III",SUMIFS($D:$D,$A:$A,$A915,$B:$B,"&lt;&gt;Patrícia Karla de Sousa Araújo",$B:$B,"&lt;&gt;Lorena Dias de Araujo",$B:$B,"&lt;&gt;Lucas Luiz Romero")*(35/1083),IF(C915="Técnico II",SUMIFS($D:$D,$A:$A,$A915,$B:$B,"&lt;&gt;Patrícia Karla de Sousa Araújo",$B:$B,"&lt;&gt;Lorena Dias de Araujo",$B:$B,"&lt;&gt;Lucas Luiz Romero")*(28/1083),IF(C915="Técnico I",SUMIFS($D:$D,$A:$A,$A915,$B:$B,"&lt;&gt;Patrícia Karla de Sousa Araújo",$B:$B,"&lt;&gt;Lorena Dias de Araujo",$B:$B,"&lt;&gt;Lucas Luiz Romero")*(23/1083),IF(C915="JR",SUMIFS($D:$D,$A:$A,$A915,$B:$B,"&lt;&gt;Patrícia Karla de Sousa Araújo",$B:$B,"&lt;&gt;Lorena Dias de Araujo",$B:$B,"&lt;&gt;Lucas Luiz Romero")*(20/1083),IF(C915="Estágio",SUMIFS($D:$D,$A:$A,$A915,$B:$B,"&lt;&gt;Patrícia Karla de Sousa Araújo",$B:$B,"&lt;&gt;Lorena Dias de Araujo",$B:$B,"&lt;&gt;Lucas Luiz Romero")*(10/1083),0)))))),0)</f>
        <v/>
      </c>
      <c r="K915" s="3">
        <f>I915-J915</f>
        <v/>
      </c>
      <c r="L915" s="3">
        <f>IF(K915&lt;-5,"CRÍTICO",IF(K915&lt;0,"ATENÇÃO",IF(K915&lt;=5,"BOM","EXCELENTE")))</f>
        <v/>
      </c>
      <c r="M915" t="n">
        <v>14</v>
      </c>
      <c r="N915" t="n">
        <v>100</v>
      </c>
      <c r="O915" t="n">
        <v>41.17647058823529</v>
      </c>
    </row>
    <row r="916" hidden="1">
      <c r="A916" s="11" t="n">
        <v>46029</v>
      </c>
      <c r="B916" t="inlineStr">
        <is>
          <t>Cristiane Ramos da Silva Rocha</t>
        </is>
      </c>
      <c r="C916" t="inlineStr">
        <is>
          <t>Técnico III</t>
        </is>
      </c>
      <c r="D916" t="n">
        <v>55</v>
      </c>
      <c r="E916" t="n">
        <v>45</v>
      </c>
      <c r="F916" t="n">
        <v>9.109999999999999</v>
      </c>
      <c r="G916" t="n">
        <v>0</v>
      </c>
      <c r="H916" t="n">
        <v>0</v>
      </c>
      <c r="I916" s="3">
        <f>E916+G916+H916</f>
        <v/>
      </c>
      <c r="J916" s="3">
        <f>ROUND(MIN(IF(C916="Técnico III",35,IF(C916="Técnico II",28,IF(C916="Técnico I",23,IF(C916="JR",20,IF(C916="Estágio",10,0))))),IF(C916="Técnico III",SUMIFS($D:$D,$A:$A,$A916,$B:$B,"&lt;&gt;Patrícia Karla de Sousa Araújo",$B:$B,"&lt;&gt;Lorena Dias de Araujo",$B:$B,"&lt;&gt;Lucas Luiz Romero")*(35/1083),IF(C916="Técnico II",SUMIFS($D:$D,$A:$A,$A916,$B:$B,"&lt;&gt;Patrícia Karla de Sousa Araújo",$B:$B,"&lt;&gt;Lorena Dias de Araujo",$B:$B,"&lt;&gt;Lucas Luiz Romero")*(28/1083),IF(C916="Técnico I",SUMIFS($D:$D,$A:$A,$A916,$B:$B,"&lt;&gt;Patrícia Karla de Sousa Araújo",$B:$B,"&lt;&gt;Lorena Dias de Araujo",$B:$B,"&lt;&gt;Lucas Luiz Romero")*(23/1083),IF(C916="JR",SUMIFS($D:$D,$A:$A,$A916,$B:$B,"&lt;&gt;Patrícia Karla de Sousa Araújo",$B:$B,"&lt;&gt;Lorena Dias de Araujo",$B:$B,"&lt;&gt;Lucas Luiz Romero")*(20/1083),IF(C916="Estágio",SUMIFS($D:$D,$A:$A,$A916,$B:$B,"&lt;&gt;Patrícia Karla de Sousa Araújo",$B:$B,"&lt;&gt;Lorena Dias de Araujo",$B:$B,"&lt;&gt;Lucas Luiz Romero")*(10/1083),0)))))),0)</f>
        <v/>
      </c>
      <c r="K916" s="3">
        <f>I916-J916</f>
        <v/>
      </c>
      <c r="L916" s="3">
        <f>IF(K916&lt;-5,"CRÍTICO",IF(K916&lt;0,"ATENÇÃO",IF(K916&lt;=5,"BOM","EXCELENTE")))</f>
        <v/>
      </c>
      <c r="M916" t="n">
        <v>42</v>
      </c>
      <c r="N916" t="n">
        <v>94.44</v>
      </c>
      <c r="O916" t="n">
        <v>32.20338983050847</v>
      </c>
    </row>
    <row r="917" hidden="1">
      <c r="A917" s="11" t="n">
        <v>46029</v>
      </c>
      <c r="B917" t="inlineStr">
        <is>
          <t>Damyllis Lorraine de Oliveira Gonçalves</t>
        </is>
      </c>
      <c r="C917" t="inlineStr">
        <is>
          <t>Técnico II</t>
        </is>
      </c>
      <c r="D917" t="n">
        <v>37</v>
      </c>
      <c r="E917" t="n">
        <v>33</v>
      </c>
      <c r="F917" t="n">
        <v>15.37</v>
      </c>
      <c r="G917" t="n">
        <v>0</v>
      </c>
      <c r="H917" t="n">
        <v>0</v>
      </c>
      <c r="I917" s="3" t="n">
        <v>0</v>
      </c>
      <c r="J917" s="3" t="n">
        <v>0</v>
      </c>
      <c r="K917" s="3" t="n">
        <v>0</v>
      </c>
      <c r="L917" s="3">
        <f>IF(K917&lt;-5,"CRÍTICO",IF(K917&lt;0,"ATENÇÃO",IF(K917&lt;=5,"BOM","EXCELENTE")))</f>
        <v/>
      </c>
      <c r="M917" t="n">
        <v>26</v>
      </c>
      <c r="N917" t="n">
        <v>94.44</v>
      </c>
      <c r="O917" t="n">
        <v>37.36263736263736</v>
      </c>
    </row>
    <row r="918" hidden="1">
      <c r="A918" s="11" t="n">
        <v>46029</v>
      </c>
      <c r="B918" t="inlineStr">
        <is>
          <t>Daniel Gomes da Silva</t>
        </is>
      </c>
      <c r="C918" t="inlineStr">
        <is>
          <t>Técnico I</t>
        </is>
      </c>
      <c r="D918" t="n">
        <v>27</v>
      </c>
      <c r="E918" t="n">
        <v>27</v>
      </c>
      <c r="F918" t="n">
        <v>21.4</v>
      </c>
      <c r="G918" t="n">
        <v>0</v>
      </c>
      <c r="H918" t="n">
        <v>0</v>
      </c>
      <c r="I918" s="3">
        <f>E918+G918+H918</f>
        <v/>
      </c>
      <c r="J918" s="3">
        <f>ROUND(MIN(IF(C918="Técnico III",35,IF(C918="Técnico II",28,IF(C918="Técnico I",23,IF(C918="JR",20,IF(C918="Estágio",10,0))))),IF(C918="Técnico III",SUMIFS($D:$D,$A:$A,$A918,$B:$B,"&lt;&gt;Patrícia Karla de Sousa Araújo",$B:$B,"&lt;&gt;Lorena Dias de Araujo",$B:$B,"&lt;&gt;Lucas Luiz Romero")*(35/1083),IF(C918="Técnico II",SUMIFS($D:$D,$A:$A,$A918,$B:$B,"&lt;&gt;Patrícia Karla de Sousa Araújo",$B:$B,"&lt;&gt;Lorena Dias de Araujo",$B:$B,"&lt;&gt;Lucas Luiz Romero")*(28/1083),IF(C918="Técnico I",SUMIFS($D:$D,$A:$A,$A918,$B:$B,"&lt;&gt;Patrícia Karla de Sousa Araújo",$B:$B,"&lt;&gt;Lorena Dias de Araujo",$B:$B,"&lt;&gt;Lucas Luiz Romero")*(23/1083),IF(C918="JR",SUMIFS($D:$D,$A:$A,$A918,$B:$B,"&lt;&gt;Patrícia Karla de Sousa Araújo",$B:$B,"&lt;&gt;Lorena Dias de Araujo",$B:$B,"&lt;&gt;Lucas Luiz Romero")*(20/1083),IF(C918="Estágio",SUMIFS($D:$D,$A:$A,$A918,$B:$B,"&lt;&gt;Patrícia Karla de Sousa Araújo",$B:$B,"&lt;&gt;Lorena Dias de Araujo",$B:$B,"&lt;&gt;Lucas Luiz Romero")*(10/1083),0)))))),0)</f>
        <v/>
      </c>
      <c r="K918" s="3">
        <f>I918-J918</f>
        <v/>
      </c>
      <c r="L918" s="3">
        <f>IF(K918&lt;-5,"CRÍTICO",IF(K918&lt;0,"ATENÇÃO",IF(K918&lt;=5,"BOM","EXCELENTE")))</f>
        <v/>
      </c>
      <c r="M918" t="n">
        <v>25</v>
      </c>
      <c r="N918" t="n">
        <v>100</v>
      </c>
      <c r="O918" t="n">
        <v>32.95454545454545</v>
      </c>
    </row>
    <row r="919" hidden="1">
      <c r="A919" s="11" t="n">
        <v>46029</v>
      </c>
      <c r="B919" t="inlineStr">
        <is>
          <t>Davylla Rodrigues Freitas Silva</t>
        </is>
      </c>
      <c r="C919" t="inlineStr">
        <is>
          <t>Técnico III</t>
        </is>
      </c>
      <c r="D919" t="n">
        <v>34</v>
      </c>
      <c r="E919" t="n">
        <v>33</v>
      </c>
      <c r="F919" t="n">
        <v>21.41</v>
      </c>
      <c r="G919" t="n">
        <v>0</v>
      </c>
      <c r="H919" t="n">
        <v>0</v>
      </c>
      <c r="I919" s="3" t="n">
        <v>0</v>
      </c>
      <c r="J919" s="3" t="n">
        <v>0</v>
      </c>
      <c r="K919" s="3" t="n">
        <v>0</v>
      </c>
      <c r="L919" s="3">
        <f>IF(K919&lt;-5,"CRÍTICO",IF(K919&lt;0,"ATENÇÃO",IF(K919&lt;=5,"BOM","EXCELENTE")))</f>
        <v/>
      </c>
      <c r="M919" t="n">
        <v>33</v>
      </c>
      <c r="N919" t="n">
        <v>100</v>
      </c>
      <c r="O919" t="n">
        <v>40</v>
      </c>
    </row>
    <row r="920" hidden="1">
      <c r="A920" s="11" t="n">
        <v>46029</v>
      </c>
      <c r="B920" t="inlineStr">
        <is>
          <t>Emilly Caylane Costa</t>
        </is>
      </c>
      <c r="C920" t="inlineStr">
        <is>
          <t>Estágio</t>
        </is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s="3" t="n">
        <v>0</v>
      </c>
      <c r="J920" s="3" t="n">
        <v>0</v>
      </c>
      <c r="K920" s="3" t="n">
        <v>0</v>
      </c>
      <c r="L920" s="3">
        <f>IF(K920&lt;-5,"CRÍTICO",IF(K920&lt;0,"ATENÇÃO",IF(K920&lt;=5,"BOM","EXCELENTE")))</f>
        <v/>
      </c>
      <c r="M920" t="n">
        <v>0</v>
      </c>
      <c r="N920" t="n">
        <v>0</v>
      </c>
      <c r="O920" t="n">
        <v>0</v>
      </c>
    </row>
    <row r="921" hidden="1">
      <c r="A921" s="11" t="n">
        <v>46029</v>
      </c>
      <c r="B921" t="inlineStr">
        <is>
          <t>Emilly Kamilly Medeiros Miranda</t>
        </is>
      </c>
      <c r="C921" t="inlineStr">
        <is>
          <t>Técnico II</t>
        </is>
      </c>
      <c r="D921" t="n">
        <v>34</v>
      </c>
      <c r="E921" t="n">
        <v>33</v>
      </c>
      <c r="F921" t="n">
        <v>16.43</v>
      </c>
      <c r="G921" t="n">
        <v>0</v>
      </c>
      <c r="H921" t="n">
        <v>0</v>
      </c>
      <c r="I921" s="3">
        <f>E921+G921+H921</f>
        <v/>
      </c>
      <c r="J921" s="3">
        <f>ROUND(MIN(IF(C921="Técnico III",35,IF(C921="Técnico II",28,IF(C921="Técnico I",23,IF(C921="JR",20,IF(C921="Estágio",10,0))))),IF(C921="Técnico III",SUMIFS($D:$D,$A:$A,$A921,$B:$B,"&lt;&gt;Patrícia Karla de Sousa Araújo",$B:$B,"&lt;&gt;Lorena Dias de Araujo",$B:$B,"&lt;&gt;Lucas Luiz Romero")*(35/1083),IF(C921="Técnico II",SUMIFS($D:$D,$A:$A,$A921,$B:$B,"&lt;&gt;Patrícia Karla de Sousa Araújo",$B:$B,"&lt;&gt;Lorena Dias de Araujo",$B:$B,"&lt;&gt;Lucas Luiz Romero")*(28/1083),IF(C921="Técnico I",SUMIFS($D:$D,$A:$A,$A921,$B:$B,"&lt;&gt;Patrícia Karla de Sousa Araújo",$B:$B,"&lt;&gt;Lorena Dias de Araujo",$B:$B,"&lt;&gt;Lucas Luiz Romero")*(23/1083),IF(C921="JR",SUMIFS($D:$D,$A:$A,$A921,$B:$B,"&lt;&gt;Patrícia Karla de Sousa Araújo",$B:$B,"&lt;&gt;Lorena Dias de Araujo",$B:$B,"&lt;&gt;Lucas Luiz Romero")*(20/1083),IF(C921="Estágio",SUMIFS($D:$D,$A:$A,$A921,$B:$B,"&lt;&gt;Patrícia Karla de Sousa Araújo",$B:$B,"&lt;&gt;Lorena Dias de Araujo",$B:$B,"&lt;&gt;Lucas Luiz Romero")*(10/1083),0)))))),0)</f>
        <v/>
      </c>
      <c r="K921" s="3">
        <f>I921-J921</f>
        <v/>
      </c>
      <c r="L921" s="3">
        <f>IF(K921&lt;-5,"CRÍTICO",IF(K921&lt;0,"ATENÇÃO",IF(K921&lt;=5,"BOM","EXCELENTE")))</f>
        <v/>
      </c>
      <c r="M921" t="n">
        <v>27</v>
      </c>
      <c r="N921" t="n">
        <v>100</v>
      </c>
      <c r="O921" t="n">
        <v>25.89285714285715</v>
      </c>
    </row>
    <row r="922" hidden="1">
      <c r="A922" s="11" t="n">
        <v>46029</v>
      </c>
      <c r="B922" t="inlineStr">
        <is>
          <t>Francielson de Oliveira</t>
        </is>
      </c>
      <c r="C922" t="inlineStr">
        <is>
          <t>Técnico III</t>
        </is>
      </c>
      <c r="D922" t="n">
        <v>34</v>
      </c>
      <c r="E922" t="n">
        <v>31</v>
      </c>
      <c r="F922" t="n">
        <v>12.38</v>
      </c>
      <c r="G922" t="n">
        <v>0</v>
      </c>
      <c r="H922" t="n">
        <v>0</v>
      </c>
      <c r="I922" s="3">
        <f>E922+G922+H922</f>
        <v/>
      </c>
      <c r="J922" s="3">
        <f>ROUND(MIN(IF(C922="Técnico III",35,IF(C922="Técnico II",28,IF(C922="Técnico I",23,IF(C922="JR",20,IF(C922="Estágio",10,0))))),IF(C922="Técnico III",SUMIFS($D:$D,$A:$A,$A922,$B:$B,"&lt;&gt;Patrícia Karla de Sousa Araújo",$B:$B,"&lt;&gt;Lorena Dias de Araujo",$B:$B,"&lt;&gt;Lucas Luiz Romero")*(35/1083),IF(C922="Técnico II",SUMIFS($D:$D,$A:$A,$A922,$B:$B,"&lt;&gt;Patrícia Karla de Sousa Araújo",$B:$B,"&lt;&gt;Lorena Dias de Araujo",$B:$B,"&lt;&gt;Lucas Luiz Romero")*(28/1083),IF(C922="Técnico I",SUMIFS($D:$D,$A:$A,$A922,$B:$B,"&lt;&gt;Patrícia Karla de Sousa Araújo",$B:$B,"&lt;&gt;Lorena Dias de Araujo",$B:$B,"&lt;&gt;Lucas Luiz Romero")*(23/1083),IF(C922="JR",SUMIFS($D:$D,$A:$A,$A922,$B:$B,"&lt;&gt;Patrícia Karla de Sousa Araújo",$B:$B,"&lt;&gt;Lorena Dias de Araujo",$B:$B,"&lt;&gt;Lucas Luiz Romero")*(20/1083),IF(C922="Estágio",SUMIFS($D:$D,$A:$A,$A922,$B:$B,"&lt;&gt;Patrícia Karla de Sousa Araújo",$B:$B,"&lt;&gt;Lorena Dias de Araujo",$B:$B,"&lt;&gt;Lucas Luiz Romero")*(10/1083),0)))))),0)</f>
        <v/>
      </c>
      <c r="K922" s="3">
        <f>I922-J922</f>
        <v/>
      </c>
      <c r="L922" s="3">
        <f>IF(K922&lt;-5,"CRÍTICO",IF(K922&lt;0,"ATENÇÃO",IF(K922&lt;=5,"BOM","EXCELENTE")))</f>
        <v/>
      </c>
      <c r="M922" t="n">
        <v>32</v>
      </c>
      <c r="N922" t="n">
        <v>100</v>
      </c>
      <c r="O922" t="n">
        <v>30.43478260869566</v>
      </c>
    </row>
    <row r="923" hidden="1">
      <c r="A923" s="11" t="n">
        <v>46029</v>
      </c>
      <c r="B923" t="inlineStr">
        <is>
          <t>Francilene Ferreira de Jesus</t>
        </is>
      </c>
      <c r="C923" t="inlineStr">
        <is>
          <t>Técnico II</t>
        </is>
      </c>
      <c r="D923" t="n">
        <v>33</v>
      </c>
      <c r="E923" t="n">
        <v>31</v>
      </c>
      <c r="F923" t="n">
        <v>25.16</v>
      </c>
      <c r="G923" t="n">
        <v>0</v>
      </c>
      <c r="H923" t="n">
        <v>0</v>
      </c>
      <c r="I923" s="3">
        <f>E923+G923+H923</f>
        <v/>
      </c>
      <c r="J923" s="3">
        <f>ROUND(MIN(IF(C923="Técnico III",35,IF(C923="Técnico II",28,IF(C923="Técnico I",23,IF(C923="JR",20,IF(C923="Estágio",10,0))))),IF(C923="Técnico III",SUMIFS($D:$D,$A:$A,$A923,$B:$B,"&lt;&gt;Patrícia Karla de Sousa Araújo",$B:$B,"&lt;&gt;Lorena Dias de Araujo",$B:$B,"&lt;&gt;Lucas Luiz Romero")*(35/1083),IF(C923="Técnico II",SUMIFS($D:$D,$A:$A,$A923,$B:$B,"&lt;&gt;Patrícia Karla de Sousa Araújo",$B:$B,"&lt;&gt;Lorena Dias de Araujo",$B:$B,"&lt;&gt;Lucas Luiz Romero")*(28/1083),IF(C923="Técnico I",SUMIFS($D:$D,$A:$A,$A923,$B:$B,"&lt;&gt;Patrícia Karla de Sousa Araújo",$B:$B,"&lt;&gt;Lorena Dias de Araujo",$B:$B,"&lt;&gt;Lucas Luiz Romero")*(23/1083),IF(C923="JR",SUMIFS($D:$D,$A:$A,$A923,$B:$B,"&lt;&gt;Patrícia Karla de Sousa Araújo",$B:$B,"&lt;&gt;Lorena Dias de Araujo",$B:$B,"&lt;&gt;Lucas Luiz Romero")*(20/1083),IF(C923="Estágio",SUMIFS($D:$D,$A:$A,$A923,$B:$B,"&lt;&gt;Patrícia Karla de Sousa Araújo",$B:$B,"&lt;&gt;Lorena Dias de Araujo",$B:$B,"&lt;&gt;Lucas Luiz Romero")*(10/1083),0)))))),0)</f>
        <v/>
      </c>
      <c r="K923" s="3">
        <f>I923-J923</f>
        <v/>
      </c>
      <c r="L923" s="3">
        <f>IF(K923&lt;-5,"CRÍTICO",IF(K923&lt;0,"ATENÇÃO",IF(K923&lt;=5,"BOM","EXCELENTE")))</f>
        <v/>
      </c>
      <c r="M923" t="n">
        <v>29</v>
      </c>
      <c r="N923" t="n">
        <v>100</v>
      </c>
      <c r="O923" t="n">
        <v>36.52173913043478</v>
      </c>
    </row>
    <row r="924" hidden="1">
      <c r="A924" s="11" t="n">
        <v>46063</v>
      </c>
      <c r="B924" t="inlineStr">
        <is>
          <t>Gabriel Gomes de Andrade</t>
        </is>
      </c>
      <c r="C924" t="inlineStr">
        <is>
          <t>Técnico I</t>
        </is>
      </c>
      <c r="D924" t="n">
        <v>6</v>
      </c>
      <c r="E924" t="n">
        <v>6</v>
      </c>
      <c r="F924" t="n">
        <v>20.39</v>
      </c>
      <c r="G924" t="n">
        <v>0</v>
      </c>
      <c r="H924" t="n">
        <v>0</v>
      </c>
      <c r="I924" s="3">
        <f>E924+G924+H924</f>
        <v/>
      </c>
      <c r="J924" s="3">
        <f>ROUND(MIN(IF(C924="Técnico III",35,IF(C924="Técnico II",28,IF(C924="Técnico I",23,IF(C924="JR",20,IF(C924="Estágio",10,0))))),IF(C924="Técnico III",SUMIFS($D:$D,$A:$A,$A924,$B:$B,"&lt;&gt;Patrícia Karla de Sousa Araújo",$B:$B,"&lt;&gt;Lorena Dias de Araujo",$B:$B,"&lt;&gt;Lucas Luiz Romero")*(35/1083),IF(C924="Técnico II",SUMIFS($D:$D,$A:$A,$A924,$B:$B,"&lt;&gt;Patrícia Karla de Sousa Araújo",$B:$B,"&lt;&gt;Lorena Dias de Araujo",$B:$B,"&lt;&gt;Lucas Luiz Romero")*(28/1083),IF(C924="Técnico I",SUMIFS($D:$D,$A:$A,$A924,$B:$B,"&lt;&gt;Patrícia Karla de Sousa Araújo",$B:$B,"&lt;&gt;Lorena Dias de Araujo",$B:$B,"&lt;&gt;Lucas Luiz Romero")*(23/1083),IF(C924="JR",SUMIFS($D:$D,$A:$A,$A924,$B:$B,"&lt;&gt;Patrícia Karla de Sousa Araújo",$B:$B,"&lt;&gt;Lorena Dias de Araujo",$B:$B,"&lt;&gt;Lucas Luiz Romero")*(20/1083),IF(C924="Estágio",SUMIFS($D:$D,$A:$A,$A924,$B:$B,"&lt;&gt;Patrícia Karla de Sousa Araújo",$B:$B,"&lt;&gt;Lorena Dias de Araujo",$B:$B,"&lt;&gt;Lucas Luiz Romero")*(10/1083),0)))))),0)</f>
        <v/>
      </c>
      <c r="K924" s="3">
        <f>I924-J924</f>
        <v/>
      </c>
      <c r="L924" s="3">
        <f>IF(K924&lt;-5,"CRÍTICO",IF(K924&lt;0,"ATENÇÃO",IF(K924&lt;=5,"BOM","EXCELENTE")))</f>
        <v/>
      </c>
      <c r="N924" t="n">
        <v>96.67</v>
      </c>
      <c r="O924" t="n">
        <v>31.45161290322581</v>
      </c>
    </row>
    <row r="925" hidden="1">
      <c r="A925" s="11" t="n">
        <v>46029</v>
      </c>
      <c r="B925" t="inlineStr">
        <is>
          <t>Isabella Borges de Oliveira</t>
        </is>
      </c>
      <c r="C925" t="inlineStr">
        <is>
          <t>Técnico II</t>
        </is>
      </c>
      <c r="D925" t="n">
        <v>28</v>
      </c>
      <c r="E925" t="n">
        <v>25</v>
      </c>
      <c r="F925" t="n">
        <v>15.12</v>
      </c>
      <c r="G925" t="n">
        <v>0</v>
      </c>
      <c r="H925" t="n">
        <v>0</v>
      </c>
      <c r="I925" s="3">
        <f>E925+G925+H925</f>
        <v/>
      </c>
      <c r="J925" s="3">
        <f>ROUND(MIN(IF(C925="Técnico III",35,IF(C925="Técnico II",28,IF(C925="Técnico I",23,IF(C925="JR",20,IF(C925="Estágio",10,0))))),IF(C925="Técnico III",SUMIFS($D:$D,$A:$A,$A925,$B:$B,"&lt;&gt;Patrícia Karla de Sousa Araújo",$B:$B,"&lt;&gt;Lorena Dias de Araujo",$B:$B,"&lt;&gt;Lucas Luiz Romero")*(35/1083),IF(C925="Técnico II",SUMIFS($D:$D,$A:$A,$A925,$B:$B,"&lt;&gt;Patrícia Karla de Sousa Araújo",$B:$B,"&lt;&gt;Lorena Dias de Araujo",$B:$B,"&lt;&gt;Lucas Luiz Romero")*(28/1083),IF(C925="Técnico I",SUMIFS($D:$D,$A:$A,$A925,$B:$B,"&lt;&gt;Patrícia Karla de Sousa Araújo",$B:$B,"&lt;&gt;Lorena Dias de Araujo",$B:$B,"&lt;&gt;Lucas Luiz Romero")*(23/1083),IF(C925="JR",SUMIFS($D:$D,$A:$A,$A925,$B:$B,"&lt;&gt;Patrícia Karla de Sousa Araújo",$B:$B,"&lt;&gt;Lorena Dias de Araujo",$B:$B,"&lt;&gt;Lucas Luiz Romero")*(20/1083),IF(C925="Estágio",SUMIFS($D:$D,$A:$A,$A925,$B:$B,"&lt;&gt;Patrícia Karla de Sousa Araújo",$B:$B,"&lt;&gt;Lorena Dias de Araujo",$B:$B,"&lt;&gt;Lucas Luiz Romero")*(10/1083),0)))))),0)</f>
        <v/>
      </c>
      <c r="K925" s="3">
        <f>I925-J925</f>
        <v/>
      </c>
      <c r="L925" s="3">
        <f>IF(K925&lt;-5,"CRÍTICO",IF(K925&lt;0,"ATENÇÃO",IF(K925&lt;=5,"BOM","EXCELENTE")))</f>
        <v/>
      </c>
      <c r="M925" t="n">
        <v>27</v>
      </c>
      <c r="N925" t="n">
        <v>100</v>
      </c>
      <c r="O925" t="n">
        <v>33.69565217391305</v>
      </c>
    </row>
    <row r="926" hidden="1">
      <c r="A926" s="11" t="n">
        <v>46029</v>
      </c>
      <c r="B926" t="inlineStr">
        <is>
          <t>Janaina Lima dos Reis Urany</t>
        </is>
      </c>
      <c r="C926" t="inlineStr">
        <is>
          <t>Técnico III</t>
        </is>
      </c>
      <c r="D926" t="n">
        <v>59</v>
      </c>
      <c r="E926" t="n">
        <v>53</v>
      </c>
      <c r="F926" t="n">
        <v>10.35</v>
      </c>
      <c r="G926" t="n">
        <v>0</v>
      </c>
      <c r="H926" t="n">
        <v>0</v>
      </c>
      <c r="I926" s="3">
        <f>E926+G926+H926</f>
        <v/>
      </c>
      <c r="J926" s="3">
        <f>ROUND(MIN(IF(C926="Técnico III",35,IF(C926="Técnico II",28,IF(C926="Técnico I",23,IF(C926="JR",20,IF(C926="Estágio",10,0))))),IF(C926="Técnico III",SUMIFS($D:$D,$A:$A,$A926,$B:$B,"&lt;&gt;Patrícia Karla de Sousa Araújo",$B:$B,"&lt;&gt;Lorena Dias de Araujo",$B:$B,"&lt;&gt;Lucas Luiz Romero")*(35/1083),IF(C926="Técnico II",SUMIFS($D:$D,$A:$A,$A926,$B:$B,"&lt;&gt;Patrícia Karla de Sousa Araújo",$B:$B,"&lt;&gt;Lorena Dias de Araujo",$B:$B,"&lt;&gt;Lucas Luiz Romero")*(28/1083),IF(C926="Técnico I",SUMIFS($D:$D,$A:$A,$A926,$B:$B,"&lt;&gt;Patrícia Karla de Sousa Araújo",$B:$B,"&lt;&gt;Lorena Dias de Araujo",$B:$B,"&lt;&gt;Lucas Luiz Romero")*(23/1083),IF(C926="JR",SUMIFS($D:$D,$A:$A,$A926,$B:$B,"&lt;&gt;Patrícia Karla de Sousa Araújo",$B:$B,"&lt;&gt;Lorena Dias de Araujo",$B:$B,"&lt;&gt;Lucas Luiz Romero")*(20/1083),IF(C926="Estágio",SUMIFS($D:$D,$A:$A,$A926,$B:$B,"&lt;&gt;Patrícia Karla de Sousa Araújo",$B:$B,"&lt;&gt;Lorena Dias de Araujo",$B:$B,"&lt;&gt;Lucas Luiz Romero")*(10/1083),0)))))),0)</f>
        <v/>
      </c>
      <c r="K926" s="3">
        <f>I926-J926</f>
        <v/>
      </c>
      <c r="L926" s="3">
        <f>IF(K926&lt;-5,"CRÍTICO",IF(K926&lt;0,"ATENÇÃO",IF(K926&lt;=5,"BOM","EXCELENTE")))</f>
        <v/>
      </c>
      <c r="M926" t="n">
        <v>51</v>
      </c>
      <c r="N926" t="n">
        <v>100</v>
      </c>
      <c r="O926" t="n">
        <v>29.06976744186047</v>
      </c>
    </row>
    <row r="927" hidden="1">
      <c r="A927" s="11" t="n">
        <v>46029</v>
      </c>
      <c r="B927" t="inlineStr">
        <is>
          <t>Jaqueline Evangelista da Silva Martins</t>
        </is>
      </c>
      <c r="C927" t="inlineStr">
        <is>
          <t>Técnico III</t>
        </is>
      </c>
      <c r="D927" t="n">
        <v>30</v>
      </c>
      <c r="E927" t="n">
        <v>27</v>
      </c>
      <c r="F927" t="n">
        <v>12.23</v>
      </c>
      <c r="G927" t="n">
        <v>0</v>
      </c>
      <c r="H927" t="n">
        <v>0</v>
      </c>
      <c r="I927" s="3">
        <f>E927+G927+H927</f>
        <v/>
      </c>
      <c r="J927" s="3">
        <f>ROUND(MIN(IF(C927="Técnico III",35,IF(C927="Técnico II",28,IF(C927="Técnico I",23,IF(C927="JR",20,IF(C927="Estágio",10,0))))),IF(C927="Técnico III",SUMIFS($D:$D,$A:$A,$A927,$B:$B,"&lt;&gt;Patrícia Karla de Sousa Araújo",$B:$B,"&lt;&gt;Lorena Dias de Araujo",$B:$B,"&lt;&gt;Lucas Luiz Romero")*(35/1083),IF(C927="Técnico II",SUMIFS($D:$D,$A:$A,$A927,$B:$B,"&lt;&gt;Patrícia Karla de Sousa Araújo",$B:$B,"&lt;&gt;Lorena Dias de Araujo",$B:$B,"&lt;&gt;Lucas Luiz Romero")*(28/1083),IF(C927="Técnico I",SUMIFS($D:$D,$A:$A,$A927,$B:$B,"&lt;&gt;Patrícia Karla de Sousa Araújo",$B:$B,"&lt;&gt;Lorena Dias de Araujo",$B:$B,"&lt;&gt;Lucas Luiz Romero")*(23/1083),IF(C927="JR",SUMIFS($D:$D,$A:$A,$A927,$B:$B,"&lt;&gt;Patrícia Karla de Sousa Araújo",$B:$B,"&lt;&gt;Lorena Dias de Araujo",$B:$B,"&lt;&gt;Lucas Luiz Romero")*(20/1083),IF(C927="Estágio",SUMIFS($D:$D,$A:$A,$A927,$B:$B,"&lt;&gt;Patrícia Karla de Sousa Araújo",$B:$B,"&lt;&gt;Lorena Dias de Araujo",$B:$B,"&lt;&gt;Lucas Luiz Romero")*(10/1083),0)))))),0)</f>
        <v/>
      </c>
      <c r="K927" s="3">
        <f>I927-J927</f>
        <v/>
      </c>
      <c r="L927" s="3">
        <f>IF(K927&lt;-5,"CRÍTICO",IF(K927&lt;0,"ATENÇÃO",IF(K927&lt;=5,"BOM","EXCELENTE")))</f>
        <v/>
      </c>
      <c r="M927" t="n">
        <v>24</v>
      </c>
      <c r="N927" t="n">
        <v>100</v>
      </c>
      <c r="O927" t="n">
        <v>26.50602409638554</v>
      </c>
    </row>
    <row r="928" hidden="1">
      <c r="A928" s="11" t="n">
        <v>46029</v>
      </c>
      <c r="B928" t="inlineStr">
        <is>
          <t>Jessica Faria da Silveira</t>
        </is>
      </c>
      <c r="C928" t="inlineStr">
        <is>
          <t>Técnico II</t>
        </is>
      </c>
      <c r="D928" t="n">
        <v>33</v>
      </c>
      <c r="E928" t="n">
        <v>27</v>
      </c>
      <c r="F928" t="n">
        <v>11.54</v>
      </c>
      <c r="G928" t="n">
        <v>0</v>
      </c>
      <c r="H928" t="n">
        <v>0</v>
      </c>
      <c r="I928" s="3">
        <f>E928+G928+H928</f>
        <v/>
      </c>
      <c r="J928" s="3">
        <f>ROUND(MIN(IF(C928="Técnico III",35,IF(C928="Técnico II",28,IF(C928="Técnico I",23,IF(C928="JR",20,IF(C928="Estágio",10,0))))),IF(C928="Técnico III",SUMIFS($D:$D,$A:$A,$A928,$B:$B,"&lt;&gt;Patrícia Karla de Sousa Araújo",$B:$B,"&lt;&gt;Lorena Dias de Araujo",$B:$B,"&lt;&gt;Lucas Luiz Romero")*(35/1083),IF(C928="Técnico II",SUMIFS($D:$D,$A:$A,$A928,$B:$B,"&lt;&gt;Patrícia Karla de Sousa Araújo",$B:$B,"&lt;&gt;Lorena Dias de Araujo",$B:$B,"&lt;&gt;Lucas Luiz Romero")*(28/1083),IF(C928="Técnico I",SUMIFS($D:$D,$A:$A,$A928,$B:$B,"&lt;&gt;Patrícia Karla de Sousa Araújo",$B:$B,"&lt;&gt;Lorena Dias de Araujo",$B:$B,"&lt;&gt;Lucas Luiz Romero")*(23/1083),IF(C928="JR",SUMIFS($D:$D,$A:$A,$A928,$B:$B,"&lt;&gt;Patrícia Karla de Sousa Araújo",$B:$B,"&lt;&gt;Lorena Dias de Araujo",$B:$B,"&lt;&gt;Lucas Luiz Romero")*(20/1083),IF(C928="Estágio",SUMIFS($D:$D,$A:$A,$A928,$B:$B,"&lt;&gt;Patrícia Karla de Sousa Araújo",$B:$B,"&lt;&gt;Lorena Dias de Araujo",$B:$B,"&lt;&gt;Lucas Luiz Romero")*(10/1083),0)))))),0)</f>
        <v/>
      </c>
      <c r="K928" s="3">
        <f>I928-J928</f>
        <v/>
      </c>
      <c r="L928" s="3">
        <f>IF(K928&lt;-5,"CRÍTICO",IF(K928&lt;0,"ATENÇÃO",IF(K928&lt;=5,"BOM","EXCELENTE")))</f>
        <v/>
      </c>
      <c r="M928" t="n">
        <v>26</v>
      </c>
      <c r="N928" t="n">
        <v>93.33</v>
      </c>
      <c r="O928" t="n">
        <v>25.96153846153846</v>
      </c>
    </row>
    <row r="929" hidden="1">
      <c r="A929" s="11" t="n">
        <v>46029</v>
      </c>
      <c r="B929" t="inlineStr">
        <is>
          <t>Jéssica Fé Moura</t>
        </is>
      </c>
      <c r="C929" t="inlineStr">
        <is>
          <t>Técnico III</t>
        </is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s="3" t="n">
        <v>0</v>
      </c>
      <c r="J929" s="3" t="n">
        <v>0</v>
      </c>
      <c r="K929" s="3" t="n">
        <v>0</v>
      </c>
      <c r="L929" s="3">
        <f>IF(K929&lt;-5,"CRÍTICO",IF(K929&lt;0,"ATENÇÃO",IF(K929&lt;=5,"BOM","EXCELENTE")))</f>
        <v/>
      </c>
      <c r="M929" t="n">
        <v>28</v>
      </c>
      <c r="N929" t="n">
        <v>100</v>
      </c>
      <c r="O929" t="n">
        <v>36.48648648648648</v>
      </c>
    </row>
    <row r="930" hidden="1">
      <c r="A930" s="11" t="n">
        <v>46029</v>
      </c>
      <c r="B930" t="inlineStr">
        <is>
          <t>Karina Gonçalves Martins</t>
        </is>
      </c>
      <c r="C930" t="inlineStr">
        <is>
          <t>JR</t>
        </is>
      </c>
      <c r="D930" t="n">
        <v>8</v>
      </c>
      <c r="E930" t="n">
        <v>8</v>
      </c>
      <c r="F930" t="n">
        <v>33.34</v>
      </c>
      <c r="G930" t="n">
        <v>0</v>
      </c>
      <c r="H930" t="n">
        <v>0</v>
      </c>
      <c r="I930" s="3">
        <f>E930+G930+H930</f>
        <v/>
      </c>
      <c r="J930" s="3">
        <f>ROUND(MIN(IF(C930="Técnico III",35,IF(C930="Técnico II",28,IF(C930="Técnico I",23,IF(C930="JR",20,IF(C930="Estágio",10,0))))),IF(C930="Técnico III",SUMIFS($D:$D,$A:$A,$A930,$B:$B,"&lt;&gt;Patrícia Karla de Sousa Araújo",$B:$B,"&lt;&gt;Lorena Dias de Araujo",$B:$B,"&lt;&gt;Lucas Luiz Romero")*(35/1083),IF(C930="Técnico II",SUMIFS($D:$D,$A:$A,$A930,$B:$B,"&lt;&gt;Patrícia Karla de Sousa Araújo",$B:$B,"&lt;&gt;Lorena Dias de Araujo",$B:$B,"&lt;&gt;Lucas Luiz Romero")*(28/1083),IF(C930="Técnico I",SUMIFS($D:$D,$A:$A,$A930,$B:$B,"&lt;&gt;Patrícia Karla de Sousa Araújo",$B:$B,"&lt;&gt;Lorena Dias de Araujo",$B:$B,"&lt;&gt;Lucas Luiz Romero")*(23/1083),IF(C930="JR",SUMIFS($D:$D,$A:$A,$A930,$B:$B,"&lt;&gt;Patrícia Karla de Sousa Araújo",$B:$B,"&lt;&gt;Lorena Dias de Araujo",$B:$B,"&lt;&gt;Lucas Luiz Romero")*(20/1083),IF(C930="Estágio",SUMIFS($D:$D,$A:$A,$A930,$B:$B,"&lt;&gt;Patrícia Karla de Sousa Araújo",$B:$B,"&lt;&gt;Lorena Dias de Araujo",$B:$B,"&lt;&gt;Lucas Luiz Romero")*(10/1083),0)))))),0)</f>
        <v/>
      </c>
      <c r="K930" s="3">
        <f>I930-J930</f>
        <v/>
      </c>
      <c r="L930" s="3">
        <f>IF(K930&lt;-5,"CRÍTICO",IF(K930&lt;0,"ATENÇÃO",IF(K930&lt;=5,"BOM","EXCELENTE")))</f>
        <v/>
      </c>
      <c r="M930" t="n">
        <v>7</v>
      </c>
      <c r="N930" t="n">
        <v>100</v>
      </c>
      <c r="O930" t="n">
        <v>36.36363636363637</v>
      </c>
    </row>
    <row r="931" hidden="1">
      <c r="A931" s="11" t="n">
        <v>46029</v>
      </c>
      <c r="B931" t="inlineStr">
        <is>
          <t>Kerollen Cristielly de Jesus Siqueira</t>
        </is>
      </c>
      <c r="C931" t="inlineStr">
        <is>
          <t>Técnico III</t>
        </is>
      </c>
      <c r="D931" t="n">
        <v>15</v>
      </c>
      <c r="E931" t="n">
        <v>15</v>
      </c>
      <c r="F931" t="n">
        <v>34.14</v>
      </c>
      <c r="G931" t="n">
        <v>0</v>
      </c>
      <c r="H931" t="n">
        <v>0</v>
      </c>
      <c r="I931" s="3">
        <f>E931+G931+H931</f>
        <v/>
      </c>
      <c r="J931" s="3">
        <f>ROUND(MIN(IF(C931="Técnico III",35,IF(C931="Técnico II",28,IF(C931="Técnico I",23,IF(C931="JR",20,IF(C931="Estágio",10,0))))),IF(C931="Técnico III",SUMIFS($D:$D,$A:$A,$A931,$B:$B,"&lt;&gt;Patrícia Karla de Sousa Araújo",$B:$B,"&lt;&gt;Lorena Dias de Araujo",$B:$B,"&lt;&gt;Lucas Luiz Romero")*(35/1083),IF(C931="Técnico II",SUMIFS($D:$D,$A:$A,$A931,$B:$B,"&lt;&gt;Patrícia Karla de Sousa Araújo",$B:$B,"&lt;&gt;Lorena Dias de Araujo",$B:$B,"&lt;&gt;Lucas Luiz Romero")*(28/1083),IF(C931="Técnico I",SUMIFS($D:$D,$A:$A,$A931,$B:$B,"&lt;&gt;Patrícia Karla de Sousa Araújo",$B:$B,"&lt;&gt;Lorena Dias de Araujo",$B:$B,"&lt;&gt;Lucas Luiz Romero")*(23/1083),IF(C931="JR",SUMIFS($D:$D,$A:$A,$A931,$B:$B,"&lt;&gt;Patrícia Karla de Sousa Araújo",$B:$B,"&lt;&gt;Lorena Dias de Araujo",$B:$B,"&lt;&gt;Lucas Luiz Romero")*(20/1083),IF(C931="Estágio",SUMIFS($D:$D,$A:$A,$A931,$B:$B,"&lt;&gt;Patrícia Karla de Sousa Araújo",$B:$B,"&lt;&gt;Lorena Dias de Araujo",$B:$B,"&lt;&gt;Lucas Luiz Romero")*(10/1083),0)))))),0)</f>
        <v/>
      </c>
      <c r="K931" s="3">
        <f>I931-J931</f>
        <v/>
      </c>
      <c r="L931" s="3">
        <f>IF(K931&lt;-5,"CRÍTICO",IF(K931&lt;0,"ATENÇÃO",IF(K931&lt;=5,"BOM","EXCELENTE")))</f>
        <v/>
      </c>
      <c r="M931" t="n">
        <v>15</v>
      </c>
      <c r="N931" t="n">
        <v>94.12</v>
      </c>
      <c r="O931" t="n">
        <v>55.17241379310344</v>
      </c>
    </row>
    <row r="932" hidden="1">
      <c r="A932" s="11" t="n">
        <v>46029</v>
      </c>
      <c r="B932" t="inlineStr">
        <is>
          <t>Leandro de Souza Silva</t>
        </is>
      </c>
      <c r="C932" t="inlineStr">
        <is>
          <t>JR</t>
        </is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s="3" t="n">
        <v>0</v>
      </c>
      <c r="J932" s="3" t="n">
        <v>0</v>
      </c>
      <c r="K932" s="3" t="n">
        <v>0</v>
      </c>
      <c r="L932" s="3">
        <f>IF(K932&lt;-5,"CRÍTICO",IF(K932&lt;0,"ATENÇÃO",IF(K932&lt;=5,"BOM","EXCELENTE")))</f>
        <v/>
      </c>
      <c r="M932" t="n">
        <v>0</v>
      </c>
      <c r="N932" t="n">
        <v>0</v>
      </c>
      <c r="O932" t="n">
        <v>0</v>
      </c>
    </row>
    <row r="933" hidden="1">
      <c r="A933" s="11" t="n">
        <v>46029</v>
      </c>
      <c r="B933" t="inlineStr">
        <is>
          <t>Leandro Oliveira de Sousa</t>
        </is>
      </c>
      <c r="C933" t="inlineStr">
        <is>
          <t>Técnico III</t>
        </is>
      </c>
      <c r="D933" t="n">
        <v>33</v>
      </c>
      <c r="E933" t="n">
        <v>30</v>
      </c>
      <c r="F933" t="n">
        <v>17.1</v>
      </c>
      <c r="G933" t="n">
        <v>0</v>
      </c>
      <c r="H933" t="n">
        <v>0</v>
      </c>
      <c r="I933" s="3">
        <f>E933+G933+H933</f>
        <v/>
      </c>
      <c r="J933" s="3">
        <f>ROUND(MIN(IF(C933="Técnico III",35,IF(C933="Técnico II",28,IF(C933="Técnico I",23,IF(C933="JR",20,IF(C933="Estágio",10,0))))),IF(C933="Técnico III",SUMIFS($D:$D,$A:$A,$A933,$B:$B,"&lt;&gt;Patrícia Karla de Sousa Araújo",$B:$B,"&lt;&gt;Lorena Dias de Araujo",$B:$B,"&lt;&gt;Lucas Luiz Romero")*(35/1083),IF(C933="Técnico II",SUMIFS($D:$D,$A:$A,$A933,$B:$B,"&lt;&gt;Patrícia Karla de Sousa Araújo",$B:$B,"&lt;&gt;Lorena Dias de Araujo",$B:$B,"&lt;&gt;Lucas Luiz Romero")*(28/1083),IF(C933="Técnico I",SUMIFS($D:$D,$A:$A,$A933,$B:$B,"&lt;&gt;Patrícia Karla de Sousa Araújo",$B:$B,"&lt;&gt;Lorena Dias de Araujo",$B:$B,"&lt;&gt;Lucas Luiz Romero")*(23/1083),IF(C933="JR",SUMIFS($D:$D,$A:$A,$A933,$B:$B,"&lt;&gt;Patrícia Karla de Sousa Araújo",$B:$B,"&lt;&gt;Lorena Dias de Araujo",$B:$B,"&lt;&gt;Lucas Luiz Romero")*(20/1083),IF(C933="Estágio",SUMIFS($D:$D,$A:$A,$A933,$B:$B,"&lt;&gt;Patrícia Karla de Sousa Araújo",$B:$B,"&lt;&gt;Lorena Dias de Araujo",$B:$B,"&lt;&gt;Lucas Luiz Romero")*(10/1083),0)))))),0)</f>
        <v/>
      </c>
      <c r="K933" s="3">
        <f>I933-J933</f>
        <v/>
      </c>
      <c r="L933" s="3">
        <f>IF(K933&lt;-5,"CRÍTICO",IF(K933&lt;0,"ATENÇÃO",IF(K933&lt;=5,"BOM","EXCELENTE")))</f>
        <v/>
      </c>
      <c r="M933" t="n">
        <v>33</v>
      </c>
      <c r="N933" t="n">
        <v>100</v>
      </c>
      <c r="O933" t="n">
        <v>25.26315789473684</v>
      </c>
    </row>
    <row r="934" hidden="1">
      <c r="A934" s="11" t="n">
        <v>46029</v>
      </c>
      <c r="B934" t="inlineStr">
        <is>
          <t>Lizandra Gomes Duarte</t>
        </is>
      </c>
      <c r="C934" t="inlineStr">
        <is>
          <t>Técnico II</t>
        </is>
      </c>
      <c r="D934" t="n">
        <v>29</v>
      </c>
      <c r="E934" t="n">
        <v>26</v>
      </c>
      <c r="F934" t="n">
        <v>20.34</v>
      </c>
      <c r="G934" t="n">
        <v>0</v>
      </c>
      <c r="H934" t="n">
        <v>0</v>
      </c>
      <c r="I934" s="3">
        <f>E934+G934+H934</f>
        <v/>
      </c>
      <c r="J934" s="3">
        <f>ROUND(MIN(IF(C934="Técnico III",35,IF(C934="Técnico II",28,IF(C934="Técnico I",23,IF(C934="JR",20,IF(C934="Estágio",10,0))))),IF(C934="Técnico III",SUMIFS($D:$D,$A:$A,$A934,$B:$B,"&lt;&gt;Patrícia Karla de Sousa Araújo",$B:$B,"&lt;&gt;Lorena Dias de Araujo",$B:$B,"&lt;&gt;Lucas Luiz Romero")*(35/1083),IF(C934="Técnico II",SUMIFS($D:$D,$A:$A,$A934,$B:$B,"&lt;&gt;Patrícia Karla de Sousa Araújo",$B:$B,"&lt;&gt;Lorena Dias de Araujo",$B:$B,"&lt;&gt;Lucas Luiz Romero")*(28/1083),IF(C934="Técnico I",SUMIFS($D:$D,$A:$A,$A934,$B:$B,"&lt;&gt;Patrícia Karla de Sousa Araújo",$B:$B,"&lt;&gt;Lorena Dias de Araujo",$B:$B,"&lt;&gt;Lucas Luiz Romero")*(23/1083),IF(C934="JR",SUMIFS($D:$D,$A:$A,$A934,$B:$B,"&lt;&gt;Patrícia Karla de Sousa Araújo",$B:$B,"&lt;&gt;Lorena Dias de Araujo",$B:$B,"&lt;&gt;Lucas Luiz Romero")*(20/1083),IF(C934="Estágio",SUMIFS($D:$D,$A:$A,$A934,$B:$B,"&lt;&gt;Patrícia Karla de Sousa Araújo",$B:$B,"&lt;&gt;Lorena Dias de Araujo",$B:$B,"&lt;&gt;Lucas Luiz Romero")*(10/1083),0)))))),0)</f>
        <v/>
      </c>
      <c r="K934" s="3">
        <f>I934-J934</f>
        <v/>
      </c>
      <c r="L934" s="3">
        <f>IF(K934&lt;-5,"CRÍTICO",IF(K934&lt;0,"ATENÇÃO",IF(K934&lt;=5,"BOM","EXCELENTE")))</f>
        <v/>
      </c>
      <c r="M934" t="n">
        <v>23</v>
      </c>
      <c r="N934" t="n">
        <v>100</v>
      </c>
      <c r="O934" t="n">
        <v>31.91489361702128</v>
      </c>
    </row>
    <row r="935" hidden="1">
      <c r="A935" s="11" t="n">
        <v>46029</v>
      </c>
      <c r="B935" t="inlineStr">
        <is>
          <t>Lorena Dias de Araujo</t>
        </is>
      </c>
      <c r="C935" t="inlineStr">
        <is>
          <t>Técnico II</t>
        </is>
      </c>
      <c r="D935" t="n">
        <v>21</v>
      </c>
      <c r="E935" t="n">
        <v>21</v>
      </c>
      <c r="F935" t="n">
        <v>20.1</v>
      </c>
      <c r="G935" t="n">
        <v>0</v>
      </c>
      <c r="H935" t="n">
        <v>0</v>
      </c>
      <c r="I935" s="3" t="n">
        <v>0</v>
      </c>
      <c r="J935" s="3" t="n">
        <v>0</v>
      </c>
      <c r="K935" s="3" t="n">
        <v>0</v>
      </c>
      <c r="L935" s="3">
        <f>IF(K935&lt;-5,"CRÍTICO",IF(K935&lt;0,"ATENÇÃO",IF(K935&lt;=5,"BOM","EXCELENTE")))</f>
        <v/>
      </c>
      <c r="M935" t="n">
        <v>18</v>
      </c>
      <c r="N935" t="n">
        <v>100</v>
      </c>
      <c r="O935" t="n">
        <v>25</v>
      </c>
    </row>
    <row r="936" hidden="1">
      <c r="A936" s="11" t="n">
        <v>46029</v>
      </c>
      <c r="B936" t="inlineStr">
        <is>
          <t>Lucas Luiz Romero</t>
        </is>
      </c>
      <c r="C936" t="inlineStr">
        <is>
          <t>Técnico III</t>
        </is>
      </c>
      <c r="D936" t="n">
        <v>48</v>
      </c>
      <c r="E936" t="n">
        <v>43</v>
      </c>
      <c r="F936" t="n">
        <v>17.34</v>
      </c>
      <c r="G936" t="n">
        <v>0</v>
      </c>
      <c r="H936" t="n">
        <v>0</v>
      </c>
      <c r="I936" s="3">
        <f>E936+G936+H936</f>
        <v/>
      </c>
      <c r="J936" s="3">
        <f>ROUND(MIN(IF(C936="Técnico III",35,IF(C936="Técnico II",28,IF(C936="Técnico I",23,IF(C936="JR",20,IF(C936="Estágio",10,0))))),IF(C936="Técnico III",SUMIFS($D:$D,$A:$A,$A936,$B:$B,"&lt;&gt;Patrícia Karla de Sousa Araújo",$B:$B,"&lt;&gt;Lorena Dias de Araujo",$B:$B,"&lt;&gt;Lucas Luiz Romero")*(35/1083),IF(C936="Técnico II",SUMIFS($D:$D,$A:$A,$A936,$B:$B,"&lt;&gt;Patrícia Karla de Sousa Araújo",$B:$B,"&lt;&gt;Lorena Dias de Araujo",$B:$B,"&lt;&gt;Lucas Luiz Romero")*(28/1083),IF(C936="Técnico I",SUMIFS($D:$D,$A:$A,$A936,$B:$B,"&lt;&gt;Patrícia Karla de Sousa Araújo",$B:$B,"&lt;&gt;Lorena Dias de Araujo",$B:$B,"&lt;&gt;Lucas Luiz Romero")*(23/1083),IF(C936="JR",SUMIFS($D:$D,$A:$A,$A936,$B:$B,"&lt;&gt;Patrícia Karla de Sousa Araújo",$B:$B,"&lt;&gt;Lorena Dias de Araujo",$B:$B,"&lt;&gt;Lucas Luiz Romero")*(20/1083),IF(C936="Estágio",SUMIFS($D:$D,$A:$A,$A936,$B:$B,"&lt;&gt;Patrícia Karla de Sousa Araújo",$B:$B,"&lt;&gt;Lorena Dias de Araujo",$B:$B,"&lt;&gt;Lucas Luiz Romero")*(10/1083),0)))))),0)</f>
        <v/>
      </c>
      <c r="K936" s="3">
        <f>I936-J936</f>
        <v/>
      </c>
      <c r="L936" s="3">
        <f>IF(K936&lt;-5,"CRÍTICO",IF(K936&lt;0,"ATENÇÃO",IF(K936&lt;=5,"BOM","EXCELENTE")))</f>
        <v/>
      </c>
      <c r="M936" t="n">
        <v>39</v>
      </c>
      <c r="N936" t="n">
        <v>90.91</v>
      </c>
      <c r="O936" t="n">
        <v>28.44036697247707</v>
      </c>
    </row>
    <row r="937" hidden="1">
      <c r="A937" s="11" t="n">
        <v>46029</v>
      </c>
      <c r="B937" t="inlineStr">
        <is>
          <t>Luiz Fernando de Carvalho Junior</t>
        </is>
      </c>
      <c r="C937" t="inlineStr">
        <is>
          <t>Técnico I</t>
        </is>
      </c>
      <c r="D937" t="n">
        <v>26</v>
      </c>
      <c r="E937" t="n">
        <v>26</v>
      </c>
      <c r="F937" t="n">
        <v>20.06</v>
      </c>
      <c r="G937" t="n">
        <v>0</v>
      </c>
      <c r="H937" t="n">
        <v>0</v>
      </c>
      <c r="I937" s="3">
        <f>E937+G937+H937</f>
        <v/>
      </c>
      <c r="J937" s="3">
        <f>ROUND(MIN(IF(C937="Técnico III",35,IF(C937="Técnico II",28,IF(C937="Técnico I",23,IF(C937="JR",20,IF(C937="Estágio",10,0))))),IF(C937="Técnico III",SUMIFS($D:$D,$A:$A,$A937,$B:$B,"&lt;&gt;Patrícia Karla de Sousa Araújo",$B:$B,"&lt;&gt;Lorena Dias de Araujo",$B:$B,"&lt;&gt;Lucas Luiz Romero")*(35/1083),IF(C937="Técnico II",SUMIFS($D:$D,$A:$A,$A937,$B:$B,"&lt;&gt;Patrícia Karla de Sousa Araújo",$B:$B,"&lt;&gt;Lorena Dias de Araujo",$B:$B,"&lt;&gt;Lucas Luiz Romero")*(28/1083),IF(C937="Técnico I",SUMIFS($D:$D,$A:$A,$A937,$B:$B,"&lt;&gt;Patrícia Karla de Sousa Araújo",$B:$B,"&lt;&gt;Lorena Dias de Araujo",$B:$B,"&lt;&gt;Lucas Luiz Romero")*(23/1083),IF(C937="JR",SUMIFS($D:$D,$A:$A,$A937,$B:$B,"&lt;&gt;Patrícia Karla de Sousa Araújo",$B:$B,"&lt;&gt;Lorena Dias de Araujo",$B:$B,"&lt;&gt;Lucas Luiz Romero")*(20/1083),IF(C937="Estágio",SUMIFS($D:$D,$A:$A,$A937,$B:$B,"&lt;&gt;Patrícia Karla de Sousa Araújo",$B:$B,"&lt;&gt;Lorena Dias de Araujo",$B:$B,"&lt;&gt;Lucas Luiz Romero")*(10/1083),0)))))),0)</f>
        <v/>
      </c>
      <c r="K937" s="3">
        <f>I937-J937</f>
        <v/>
      </c>
      <c r="L937" s="3">
        <f>IF(K937&lt;-5,"CRÍTICO",IF(K937&lt;0,"ATENÇÃO",IF(K937&lt;=5,"BOM","EXCELENTE")))</f>
        <v/>
      </c>
      <c r="M937" t="n">
        <v>22</v>
      </c>
      <c r="N937" t="n">
        <v>100</v>
      </c>
      <c r="O937" t="n">
        <v>20.93023255813954</v>
      </c>
    </row>
    <row r="938" hidden="1">
      <c r="A938" s="11" t="n">
        <v>46029</v>
      </c>
      <c r="B938" t="inlineStr">
        <is>
          <t>Maria Eduarda Sousa Costa</t>
        </is>
      </c>
      <c r="C938" t="inlineStr">
        <is>
          <t>Estágio</t>
        </is>
      </c>
      <c r="D938" t="n">
        <v>18</v>
      </c>
      <c r="E938" t="n">
        <v>17</v>
      </c>
      <c r="F938" t="n">
        <v>37.01</v>
      </c>
      <c r="G938" t="n">
        <v>0</v>
      </c>
      <c r="H938" t="n">
        <v>0</v>
      </c>
      <c r="I938" s="3">
        <f>E938+G938+H938</f>
        <v/>
      </c>
      <c r="J938" s="3">
        <f>ROUND(MIN(IF(C938="Técnico III",35,IF(C938="Técnico II",28,IF(C938="Técnico I",23,IF(C938="JR",20,IF(C938="Estágio",10,0))))),IF(C938="Técnico III",SUMIFS($D:$D,$A:$A,$A938,$B:$B,"&lt;&gt;Patrícia Karla de Sousa Araújo",$B:$B,"&lt;&gt;Lorena Dias de Araujo",$B:$B,"&lt;&gt;Lucas Luiz Romero")*(35/1083),IF(C938="Técnico II",SUMIFS($D:$D,$A:$A,$A938,$B:$B,"&lt;&gt;Patrícia Karla de Sousa Araújo",$B:$B,"&lt;&gt;Lorena Dias de Araujo",$B:$B,"&lt;&gt;Lucas Luiz Romero")*(28/1083),IF(C938="Técnico I",SUMIFS($D:$D,$A:$A,$A938,$B:$B,"&lt;&gt;Patrícia Karla de Sousa Araújo",$B:$B,"&lt;&gt;Lorena Dias de Araujo",$B:$B,"&lt;&gt;Lucas Luiz Romero")*(23/1083),IF(C938="JR",SUMIFS($D:$D,$A:$A,$A938,$B:$B,"&lt;&gt;Patrícia Karla de Sousa Araújo",$B:$B,"&lt;&gt;Lorena Dias de Araujo",$B:$B,"&lt;&gt;Lucas Luiz Romero")*(20/1083),IF(C938="Estágio",SUMIFS($D:$D,$A:$A,$A938,$B:$B,"&lt;&gt;Patrícia Karla de Sousa Araújo",$B:$B,"&lt;&gt;Lorena Dias de Araujo",$B:$B,"&lt;&gt;Lucas Luiz Romero")*(10/1083),0)))))),0)</f>
        <v/>
      </c>
      <c r="K938" s="3">
        <f>I938-J938</f>
        <v/>
      </c>
      <c r="L938" s="3">
        <f>IF(K938&lt;-5,"CRÍTICO",IF(K938&lt;0,"ATENÇÃO",IF(K938&lt;=5,"BOM","EXCELENTE")))</f>
        <v/>
      </c>
      <c r="M938" t="n">
        <v>14</v>
      </c>
      <c r="N938" t="n">
        <v>100</v>
      </c>
      <c r="O938" t="n">
        <v>35.48387096774194</v>
      </c>
    </row>
    <row r="939" hidden="1">
      <c r="A939" s="11" t="n">
        <v>46029</v>
      </c>
      <c r="B939" t="inlineStr">
        <is>
          <t>Matheus Farias De Souza</t>
        </is>
      </c>
      <c r="C939" t="inlineStr">
        <is>
          <t>Técnico III</t>
        </is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s="3" t="n">
        <v>0</v>
      </c>
      <c r="J939" s="3" t="n">
        <v>0</v>
      </c>
      <c r="K939" s="3" t="n">
        <v>0</v>
      </c>
      <c r="L939" s="3">
        <f>IF(K939&lt;-5,"CRÍTICO",IF(K939&lt;0,"ATENÇÃO",IF(K939&lt;=5,"BOM","EXCELENTE")))</f>
        <v/>
      </c>
      <c r="M939" t="n">
        <v>0</v>
      </c>
      <c r="N939" t="n">
        <v>100</v>
      </c>
      <c r="O939" t="n">
        <v>0</v>
      </c>
    </row>
    <row r="940" hidden="1">
      <c r="A940" s="11" t="n">
        <v>46029</v>
      </c>
      <c r="B940" t="inlineStr">
        <is>
          <t>Maysa Victoria Dias Moura</t>
        </is>
      </c>
      <c r="C940" t="inlineStr">
        <is>
          <t>Técnico III</t>
        </is>
      </c>
      <c r="D940" t="n">
        <v>32</v>
      </c>
      <c r="E940" t="n">
        <v>30</v>
      </c>
      <c r="F940" t="n">
        <v>20.05</v>
      </c>
      <c r="G940" t="n">
        <v>0</v>
      </c>
      <c r="H940" t="n">
        <v>0</v>
      </c>
      <c r="I940" s="3">
        <f>E940+G940+H940</f>
        <v/>
      </c>
      <c r="J940" s="3">
        <f>ROUND(MIN(IF(C940="Técnico III",35,IF(C940="Técnico II",28,IF(C940="Técnico I",23,IF(C940="JR",20,IF(C940="Estágio",10,0))))),IF(C940="Técnico III",SUMIFS($D:$D,$A:$A,$A940,$B:$B,"&lt;&gt;Patrícia Karla de Sousa Araújo",$B:$B,"&lt;&gt;Lorena Dias de Araujo",$B:$B,"&lt;&gt;Lucas Luiz Romero")*(35/1083),IF(C940="Técnico II",SUMIFS($D:$D,$A:$A,$A940,$B:$B,"&lt;&gt;Patrícia Karla de Sousa Araújo",$B:$B,"&lt;&gt;Lorena Dias de Araujo",$B:$B,"&lt;&gt;Lucas Luiz Romero")*(28/1083),IF(C940="Técnico I",SUMIFS($D:$D,$A:$A,$A940,$B:$B,"&lt;&gt;Patrícia Karla de Sousa Araújo",$B:$B,"&lt;&gt;Lorena Dias de Araujo",$B:$B,"&lt;&gt;Lucas Luiz Romero")*(23/1083),IF(C940="JR",SUMIFS($D:$D,$A:$A,$A940,$B:$B,"&lt;&gt;Patrícia Karla de Sousa Araújo",$B:$B,"&lt;&gt;Lorena Dias de Araujo",$B:$B,"&lt;&gt;Lucas Luiz Romero")*(20/1083),IF(C940="Estágio",SUMIFS($D:$D,$A:$A,$A940,$B:$B,"&lt;&gt;Patrícia Karla de Sousa Araújo",$B:$B,"&lt;&gt;Lorena Dias de Araujo",$B:$B,"&lt;&gt;Lucas Luiz Romero")*(10/1083),0)))))),0)</f>
        <v/>
      </c>
      <c r="K940" s="3">
        <f>I940-J940</f>
        <v/>
      </c>
      <c r="L940" s="3">
        <f>IF(K940&lt;-5,"CRÍTICO",IF(K940&lt;0,"ATENÇÃO",IF(K940&lt;=5,"BOM","EXCELENTE")))</f>
        <v/>
      </c>
      <c r="M940" t="n">
        <v>27</v>
      </c>
      <c r="N940" t="n">
        <v>100</v>
      </c>
      <c r="O940" t="n">
        <v>32.69230769230769</v>
      </c>
    </row>
    <row r="941" hidden="1">
      <c r="A941" s="11" t="n">
        <v>46029</v>
      </c>
      <c r="B941" t="inlineStr">
        <is>
          <t>Michelle G Santos</t>
        </is>
      </c>
      <c r="C941" t="inlineStr">
        <is>
          <t>Estágio</t>
        </is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s="3" t="n">
        <v>0</v>
      </c>
      <c r="J941" s="3" t="n">
        <v>0</v>
      </c>
      <c r="K941" s="3" t="n">
        <v>0</v>
      </c>
      <c r="L941" s="3">
        <f>IF(K941&lt;-5,"CRÍTICO",IF(K941&lt;0,"ATENÇÃO",IF(K941&lt;=5,"BOM","EXCELENTE")))</f>
        <v/>
      </c>
      <c r="M941" t="n">
        <v>0</v>
      </c>
      <c r="N941" t="n">
        <v>0</v>
      </c>
      <c r="O941" t="n">
        <v>0</v>
      </c>
    </row>
    <row r="942" hidden="1">
      <c r="A942" s="11" t="n">
        <v>46029</v>
      </c>
      <c r="B942" t="inlineStr">
        <is>
          <t>Milena Sales</t>
        </is>
      </c>
      <c r="C942" t="inlineStr">
        <is>
          <t>JR</t>
        </is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s="3" t="n">
        <v>0</v>
      </c>
      <c r="J942" s="3" t="n">
        <v>0</v>
      </c>
      <c r="K942" s="3" t="n">
        <v>0</v>
      </c>
      <c r="L942" s="3">
        <f>IF(K942&lt;-5,"CRÍTICO",IF(K942&lt;0,"ATENÇÃO",IF(K942&lt;=5,"BOM","EXCELENTE")))</f>
        <v/>
      </c>
      <c r="M942" t="n">
        <v>0</v>
      </c>
      <c r="N942" t="n">
        <v>0</v>
      </c>
      <c r="O942" t="n">
        <v>0</v>
      </c>
    </row>
    <row r="943" hidden="1">
      <c r="A943" s="11" t="n">
        <v>46029</v>
      </c>
      <c r="B943" t="inlineStr">
        <is>
          <t>Patrícia Karla de Sousa Araújo</t>
        </is>
      </c>
      <c r="C943" t="inlineStr">
        <is>
          <t>Técnico II</t>
        </is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s="3" t="n">
        <v>0</v>
      </c>
      <c r="J943" s="3" t="n">
        <v>0</v>
      </c>
      <c r="K943" s="3" t="n">
        <v>0</v>
      </c>
      <c r="L943" s="3">
        <f>IF(K943&lt;-5,"CRÍTICO",IF(K943&lt;0,"ATENÇÃO",IF(K943&lt;=5,"BOM","EXCELENTE")))</f>
        <v/>
      </c>
      <c r="M943" t="n">
        <v>0</v>
      </c>
      <c r="N943" t="n">
        <v>100</v>
      </c>
      <c r="O943" t="n">
        <v>0</v>
      </c>
    </row>
    <row r="944" hidden="1">
      <c r="A944" s="11" t="n">
        <v>46029</v>
      </c>
      <c r="B944" t="inlineStr">
        <is>
          <t>Paulo Ricardo Santos</t>
        </is>
      </c>
      <c r="C944" t="inlineStr">
        <is>
          <t>JR</t>
        </is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s="3" t="n">
        <v>0</v>
      </c>
      <c r="J944" s="3" t="n">
        <v>0</v>
      </c>
      <c r="K944" s="3" t="n">
        <v>0</v>
      </c>
      <c r="L944" s="3">
        <f>IF(K944&lt;-5,"CRÍTICO",IF(K944&lt;0,"ATENÇÃO",IF(K944&lt;=5,"BOM","EXCELENTE")))</f>
        <v/>
      </c>
      <c r="M944" t="n">
        <v>0</v>
      </c>
      <c r="N944" t="n">
        <v>0</v>
      </c>
      <c r="O944" t="n">
        <v>0</v>
      </c>
    </row>
    <row r="945" hidden="1">
      <c r="A945" s="11" t="n">
        <v>46029</v>
      </c>
      <c r="B945" t="inlineStr">
        <is>
          <t>Pedro Luiz Mota Sousa</t>
        </is>
      </c>
      <c r="C945" t="inlineStr">
        <is>
          <t>JR</t>
        </is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s="3" t="n">
        <v>0</v>
      </c>
      <c r="J945" s="3" t="n">
        <v>0</v>
      </c>
      <c r="K945" s="3" t="n">
        <v>0</v>
      </c>
      <c r="L945" s="3">
        <f>IF(K945&lt;-5,"CRÍTICO",IF(K945&lt;0,"ATENÇÃO",IF(K945&lt;=5,"BOM","EXCELENTE")))</f>
        <v/>
      </c>
      <c r="M945" t="n">
        <v>0</v>
      </c>
      <c r="N945" t="n">
        <v>0</v>
      </c>
      <c r="O945" t="n">
        <v>0</v>
      </c>
    </row>
    <row r="946" hidden="1">
      <c r="A946" s="11" t="n">
        <v>46029</v>
      </c>
      <c r="B946" t="inlineStr">
        <is>
          <t>Quirino Diogo Leite Torres</t>
        </is>
      </c>
      <c r="C946" t="inlineStr">
        <is>
          <t>Estágio</t>
        </is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s="3" t="n">
        <v>0</v>
      </c>
      <c r="J946" s="3" t="n">
        <v>0</v>
      </c>
      <c r="K946" s="3" t="n">
        <v>0</v>
      </c>
      <c r="L946" s="3">
        <f>IF(K946&lt;-5,"CRÍTICO",IF(K946&lt;0,"ATENÇÃO",IF(K946&lt;=5,"BOM","EXCELENTE")))</f>
        <v/>
      </c>
      <c r="M946" t="n">
        <v>0</v>
      </c>
      <c r="N946" t="n">
        <v>0</v>
      </c>
      <c r="O946" t="n">
        <v>0</v>
      </c>
    </row>
    <row r="947" hidden="1">
      <c r="A947" s="11" t="n">
        <v>46029</v>
      </c>
      <c r="B947" t="inlineStr">
        <is>
          <t>Raane Batista Matos</t>
        </is>
      </c>
      <c r="C947" t="inlineStr">
        <is>
          <t>Técnico I</t>
        </is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s="3" t="n">
        <v>0</v>
      </c>
      <c r="J947" s="3" t="n">
        <v>0</v>
      </c>
      <c r="K947" s="3" t="n">
        <v>0</v>
      </c>
      <c r="L947" s="3">
        <f>IF(K947&lt;-5,"CRÍTICO",IF(K947&lt;0,"ATENÇÃO",IF(K947&lt;=5,"BOM","EXCELENTE")))</f>
        <v/>
      </c>
      <c r="M947" t="n">
        <v>0</v>
      </c>
      <c r="N947" t="n">
        <v>0</v>
      </c>
      <c r="O947" t="n">
        <v>0</v>
      </c>
    </row>
    <row r="948" hidden="1">
      <c r="A948" s="11" t="n">
        <v>46029</v>
      </c>
      <c r="B948" t="inlineStr">
        <is>
          <t>Rafael Gomes de Morais</t>
        </is>
      </c>
      <c r="C948" t="inlineStr">
        <is>
          <t>Técnico III</t>
        </is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s="3" t="n">
        <v>0</v>
      </c>
      <c r="J948" s="3" t="n">
        <v>0</v>
      </c>
      <c r="K948" s="3" t="n">
        <v>0</v>
      </c>
      <c r="L948" s="3">
        <f>IF(K948&lt;-5,"CRÍTICO",IF(K948&lt;0,"ATENÇÃO",IF(K948&lt;=5,"BOM","EXCELENTE")))</f>
        <v/>
      </c>
      <c r="M948" t="n">
        <v>0</v>
      </c>
      <c r="N948" t="n">
        <v>0</v>
      </c>
      <c r="O948" t="n">
        <v>0</v>
      </c>
    </row>
    <row r="949" hidden="1">
      <c r="A949" s="11" t="n">
        <v>46029</v>
      </c>
      <c r="B949" t="inlineStr">
        <is>
          <t>Sara Maria Monteiro Lopes</t>
        </is>
      </c>
      <c r="C949" t="inlineStr">
        <is>
          <t>Técnico I</t>
        </is>
      </c>
      <c r="D949" t="n">
        <v>18</v>
      </c>
      <c r="E949" t="n">
        <v>17</v>
      </c>
      <c r="F949" t="n">
        <v>30.15</v>
      </c>
      <c r="G949" t="n">
        <v>0</v>
      </c>
      <c r="H949" t="n">
        <v>0</v>
      </c>
      <c r="I949" s="3">
        <f>E949+G949+H949</f>
        <v/>
      </c>
      <c r="J949" s="3">
        <f>ROUND(MIN(IF(C949="Técnico III",35,IF(C949="Técnico II",28,IF(C949="Técnico I",23,IF(C949="JR",20,IF(C949="Estágio",10,0))))),IF(C949="Técnico III",SUMIFS($D:$D,$A:$A,$A949,$B:$B,"&lt;&gt;Patrícia Karla de Sousa Araújo",$B:$B,"&lt;&gt;Lorena Dias de Araujo",$B:$B,"&lt;&gt;Lucas Luiz Romero")*(35/1083),IF(C949="Técnico II",SUMIFS($D:$D,$A:$A,$A949,$B:$B,"&lt;&gt;Patrícia Karla de Sousa Araújo",$B:$B,"&lt;&gt;Lorena Dias de Araujo",$B:$B,"&lt;&gt;Lucas Luiz Romero")*(28/1083),IF(C949="Técnico I",SUMIFS($D:$D,$A:$A,$A949,$B:$B,"&lt;&gt;Patrícia Karla de Sousa Araújo",$B:$B,"&lt;&gt;Lorena Dias de Araujo",$B:$B,"&lt;&gt;Lucas Luiz Romero")*(23/1083),IF(C949="JR",SUMIFS($D:$D,$A:$A,$A949,$B:$B,"&lt;&gt;Patrícia Karla de Sousa Araújo",$B:$B,"&lt;&gt;Lorena Dias de Araujo",$B:$B,"&lt;&gt;Lucas Luiz Romero")*(20/1083),IF(C949="Estágio",SUMIFS($D:$D,$A:$A,$A949,$B:$B,"&lt;&gt;Patrícia Karla de Sousa Araújo",$B:$B,"&lt;&gt;Lorena Dias de Araujo",$B:$B,"&lt;&gt;Lucas Luiz Romero")*(10/1083),0)))))),0)</f>
        <v/>
      </c>
      <c r="K949" s="3">
        <f>I949-J949</f>
        <v/>
      </c>
      <c r="L949" s="3">
        <f>IF(K949&lt;-5,"CRÍTICO",IF(K949&lt;0,"ATENÇÃO",IF(K949&lt;=5,"BOM","EXCELENTE")))</f>
        <v/>
      </c>
      <c r="M949" t="n">
        <v>16</v>
      </c>
      <c r="N949" t="n">
        <v>100</v>
      </c>
      <c r="O949" t="n">
        <v>34.78260869565217</v>
      </c>
    </row>
    <row r="950" hidden="1">
      <c r="A950" s="11" t="n">
        <v>46029</v>
      </c>
      <c r="B950" t="inlineStr">
        <is>
          <t>Sarah Steffanie de Lima Borges</t>
        </is>
      </c>
      <c r="C950" t="inlineStr">
        <is>
          <t>Técnico III</t>
        </is>
      </c>
      <c r="D950" t="n">
        <v>30</v>
      </c>
      <c r="E950" t="n">
        <v>26</v>
      </c>
      <c r="F950" t="n">
        <v>18.53</v>
      </c>
      <c r="G950" t="n">
        <v>0</v>
      </c>
      <c r="H950" t="n">
        <v>0</v>
      </c>
      <c r="I950" s="3">
        <f>E950+G950+H950</f>
        <v/>
      </c>
      <c r="J950" s="3">
        <f>ROUND(MIN(IF(C950="Técnico III",35,IF(C950="Técnico II",28,IF(C950="Técnico I",23,IF(C950="JR",20,IF(C950="Estágio",10,0))))),IF(C950="Técnico III",SUMIFS($D:$D,$A:$A,$A950,$B:$B,"&lt;&gt;Patrícia Karla de Sousa Araújo",$B:$B,"&lt;&gt;Lorena Dias de Araujo",$B:$B,"&lt;&gt;Lucas Luiz Romero")*(35/1083),IF(C950="Técnico II",SUMIFS($D:$D,$A:$A,$A950,$B:$B,"&lt;&gt;Patrícia Karla de Sousa Araújo",$B:$B,"&lt;&gt;Lorena Dias de Araujo",$B:$B,"&lt;&gt;Lucas Luiz Romero")*(28/1083),IF(C950="Técnico I",SUMIFS($D:$D,$A:$A,$A950,$B:$B,"&lt;&gt;Patrícia Karla de Sousa Araújo",$B:$B,"&lt;&gt;Lorena Dias de Araujo",$B:$B,"&lt;&gt;Lucas Luiz Romero")*(23/1083),IF(C950="JR",SUMIFS($D:$D,$A:$A,$A950,$B:$B,"&lt;&gt;Patrícia Karla de Sousa Araújo",$B:$B,"&lt;&gt;Lorena Dias de Araujo",$B:$B,"&lt;&gt;Lucas Luiz Romero")*(20/1083),IF(C950="Estágio",SUMIFS($D:$D,$A:$A,$A950,$B:$B,"&lt;&gt;Patrícia Karla de Sousa Araújo",$B:$B,"&lt;&gt;Lorena Dias de Araujo",$B:$B,"&lt;&gt;Lucas Luiz Romero")*(10/1083),0)))))),0)</f>
        <v/>
      </c>
      <c r="K950" s="3">
        <f>I950-J950</f>
        <v/>
      </c>
      <c r="L950" s="3">
        <f>IF(K950&lt;-5,"CRÍTICO",IF(K950&lt;0,"ATENÇÃO",IF(K950&lt;=5,"BOM","EXCELENTE")))</f>
        <v/>
      </c>
      <c r="M950" t="n">
        <v>23</v>
      </c>
      <c r="N950" t="n">
        <v>100</v>
      </c>
      <c r="O950" t="n">
        <v>27.08333333333333</v>
      </c>
    </row>
    <row r="951" hidden="1">
      <c r="A951" s="11" t="n">
        <v>46030</v>
      </c>
      <c r="B951" t="inlineStr">
        <is>
          <t>Alisson de Freitas Silva</t>
        </is>
      </c>
      <c r="C951" t="inlineStr">
        <is>
          <t>Técnico II</t>
        </is>
      </c>
      <c r="D951" t="n">
        <v>33</v>
      </c>
      <c r="E951" t="n">
        <v>27</v>
      </c>
      <c r="F951" t="n">
        <v>9.06</v>
      </c>
      <c r="G951" t="n">
        <v>0</v>
      </c>
      <c r="H951" t="n">
        <v>0</v>
      </c>
      <c r="I951" s="3">
        <f>E951+G951+H951</f>
        <v/>
      </c>
      <c r="J951" s="3">
        <f>ROUND(MIN(IF(C951="Técnico III",35,IF(C951="Técnico II",28,IF(C951="Técnico I",23,IF(C951="JR",20,IF(C951="Estágio",10,0))))),IF(C951="Técnico III",SUMIFS($D:$D,$A:$A,$A951,$B:$B,"&lt;&gt;Patrícia Karla de Sousa Araújo",$B:$B,"&lt;&gt;Lorena Dias de Araujo",$B:$B,"&lt;&gt;Lucas Luiz Romero")*(35/1083),IF(C951="Técnico II",SUMIFS($D:$D,$A:$A,$A951,$B:$B,"&lt;&gt;Patrícia Karla de Sousa Araújo",$B:$B,"&lt;&gt;Lorena Dias de Araujo",$B:$B,"&lt;&gt;Lucas Luiz Romero")*(28/1083),IF(C951="Técnico I",SUMIFS($D:$D,$A:$A,$A951,$B:$B,"&lt;&gt;Patrícia Karla de Sousa Araújo",$B:$B,"&lt;&gt;Lorena Dias de Araujo",$B:$B,"&lt;&gt;Lucas Luiz Romero")*(23/1083),IF(C951="JR",SUMIFS($D:$D,$A:$A,$A951,$B:$B,"&lt;&gt;Patrícia Karla de Sousa Araújo",$B:$B,"&lt;&gt;Lorena Dias de Araujo",$B:$B,"&lt;&gt;Lucas Luiz Romero")*(20/1083),IF(C951="Estágio",SUMIFS($D:$D,$A:$A,$A951,$B:$B,"&lt;&gt;Patrícia Karla de Sousa Araújo",$B:$B,"&lt;&gt;Lorena Dias de Araujo",$B:$B,"&lt;&gt;Lucas Luiz Romero")*(10/1083),0)))))),0)</f>
        <v/>
      </c>
      <c r="K951" s="3">
        <f>I951-J951</f>
        <v/>
      </c>
      <c r="L951" s="3">
        <f>IF(K951&lt;-5,"CRÍTICO",IF(K951&lt;0,"ATENÇÃO",IF(K951&lt;=5,"BOM","EXCELENTE")))</f>
        <v/>
      </c>
      <c r="M951" t="n">
        <v>21</v>
      </c>
      <c r="N951" t="n">
        <v>100</v>
      </c>
      <c r="O951" t="n">
        <v>27.08333333333333</v>
      </c>
    </row>
    <row r="952" hidden="1">
      <c r="A952" s="11" t="n">
        <v>46030</v>
      </c>
      <c r="B952" t="inlineStr">
        <is>
          <t>Amanda Moura Ferreira</t>
        </is>
      </c>
      <c r="C952" t="inlineStr">
        <is>
          <t>Técnico III</t>
        </is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s="3" t="n">
        <v>0</v>
      </c>
      <c r="J952" s="3" t="n">
        <v>0</v>
      </c>
      <c r="K952" s="3" t="n">
        <v>0</v>
      </c>
      <c r="L952" s="3">
        <f>IF(K952&lt;-5,"CRÍTICO",IF(K952&lt;0,"ATENÇÃO",IF(K952&lt;=5,"BOM","EXCELENTE")))</f>
        <v/>
      </c>
      <c r="M952" t="n">
        <v>23</v>
      </c>
      <c r="N952" t="n">
        <v>96.3</v>
      </c>
      <c r="O952" t="n">
        <v>26.61290322580645</v>
      </c>
    </row>
    <row r="953" hidden="1">
      <c r="A953" s="11" t="n">
        <v>46030</v>
      </c>
      <c r="B953" t="inlineStr">
        <is>
          <t>Ana Karollyne Souza Faria</t>
        </is>
      </c>
      <c r="C953" t="inlineStr">
        <is>
          <t>Técnico I</t>
        </is>
      </c>
      <c r="D953" t="n">
        <v>21</v>
      </c>
      <c r="E953" t="n">
        <v>17</v>
      </c>
      <c r="F953" t="n">
        <v>22.09</v>
      </c>
      <c r="G953" t="n">
        <v>0</v>
      </c>
      <c r="H953" t="n">
        <v>0</v>
      </c>
      <c r="I953" s="3">
        <f>E953+G953+H953</f>
        <v/>
      </c>
      <c r="J953" s="3">
        <f>ROUND(MIN(IF(C953="Técnico III",35,IF(C953="Técnico II",28,IF(C953="Técnico I",23,IF(C953="JR",20,IF(C953="Estágio",10,0))))),IF(C953="Técnico III",SUMIFS($D:$D,$A:$A,$A953,$B:$B,"&lt;&gt;Patrícia Karla de Sousa Araújo",$B:$B,"&lt;&gt;Lorena Dias de Araujo",$B:$B,"&lt;&gt;Lucas Luiz Romero")*(35/1083),IF(C953="Técnico II",SUMIFS($D:$D,$A:$A,$A953,$B:$B,"&lt;&gt;Patrícia Karla de Sousa Araújo",$B:$B,"&lt;&gt;Lorena Dias de Araujo",$B:$B,"&lt;&gt;Lucas Luiz Romero")*(28/1083),IF(C953="Técnico I",SUMIFS($D:$D,$A:$A,$A953,$B:$B,"&lt;&gt;Patrícia Karla de Sousa Araújo",$B:$B,"&lt;&gt;Lorena Dias de Araujo",$B:$B,"&lt;&gt;Lucas Luiz Romero")*(23/1083),IF(C953="JR",SUMIFS($D:$D,$A:$A,$A953,$B:$B,"&lt;&gt;Patrícia Karla de Sousa Araújo",$B:$B,"&lt;&gt;Lorena Dias de Araujo",$B:$B,"&lt;&gt;Lucas Luiz Romero")*(20/1083),IF(C953="Estágio",SUMIFS($D:$D,$A:$A,$A953,$B:$B,"&lt;&gt;Patrícia Karla de Sousa Araújo",$B:$B,"&lt;&gt;Lorena Dias de Araujo",$B:$B,"&lt;&gt;Lucas Luiz Romero")*(10/1083),0)))))),0)</f>
        <v/>
      </c>
      <c r="K953" s="3">
        <f>I953-J953</f>
        <v/>
      </c>
      <c r="L953" s="3">
        <f>IF(K953&lt;-5,"CRÍTICO",IF(K953&lt;0,"ATENÇÃO",IF(K953&lt;=5,"BOM","EXCELENTE")))</f>
        <v/>
      </c>
      <c r="M953" t="n">
        <v>17</v>
      </c>
      <c r="N953" t="n">
        <v>100</v>
      </c>
      <c r="O953" t="n">
        <v>28.92561983471074</v>
      </c>
    </row>
    <row r="954" hidden="1">
      <c r="A954" s="11" t="n">
        <v>46030</v>
      </c>
      <c r="B954" t="inlineStr">
        <is>
          <t>Ana Paula Da Luz Silva Aleixo</t>
        </is>
      </c>
      <c r="C954" t="inlineStr">
        <is>
          <t>Técnico III</t>
        </is>
      </c>
      <c r="D954" t="n">
        <v>45</v>
      </c>
      <c r="E954" t="n">
        <v>41</v>
      </c>
      <c r="F954" t="n">
        <v>13.52</v>
      </c>
      <c r="G954" t="n">
        <v>0</v>
      </c>
      <c r="H954" t="n">
        <v>0</v>
      </c>
      <c r="I954" s="3">
        <f>E954+G954+H954</f>
        <v/>
      </c>
      <c r="J954" s="3">
        <f>ROUND(MIN(IF(C954="Técnico III",35,IF(C954="Técnico II",28,IF(C954="Técnico I",23,IF(C954="JR",20,IF(C954="Estágio",10,0))))),IF(C954="Técnico III",SUMIFS($D:$D,$A:$A,$A954,$B:$B,"&lt;&gt;Patrícia Karla de Sousa Araújo",$B:$B,"&lt;&gt;Lorena Dias de Araujo",$B:$B,"&lt;&gt;Lucas Luiz Romero")*(35/1083),IF(C954="Técnico II",SUMIFS($D:$D,$A:$A,$A954,$B:$B,"&lt;&gt;Patrícia Karla de Sousa Araújo",$B:$B,"&lt;&gt;Lorena Dias de Araujo",$B:$B,"&lt;&gt;Lucas Luiz Romero")*(28/1083),IF(C954="Técnico I",SUMIFS($D:$D,$A:$A,$A954,$B:$B,"&lt;&gt;Patrícia Karla de Sousa Araújo",$B:$B,"&lt;&gt;Lorena Dias de Araujo",$B:$B,"&lt;&gt;Lucas Luiz Romero")*(23/1083),IF(C954="JR",SUMIFS($D:$D,$A:$A,$A954,$B:$B,"&lt;&gt;Patrícia Karla de Sousa Araújo",$B:$B,"&lt;&gt;Lorena Dias de Araujo",$B:$B,"&lt;&gt;Lucas Luiz Romero")*(20/1083),IF(C954="Estágio",SUMIFS($D:$D,$A:$A,$A954,$B:$B,"&lt;&gt;Patrícia Karla de Sousa Araújo",$B:$B,"&lt;&gt;Lorena Dias de Araujo",$B:$B,"&lt;&gt;Lucas Luiz Romero")*(10/1083),0)))))),0)</f>
        <v/>
      </c>
      <c r="K954" s="3">
        <f>I954-J954</f>
        <v/>
      </c>
      <c r="L954" s="3">
        <f>IF(K954&lt;-5,"CRÍTICO",IF(K954&lt;0,"ATENÇÃO",IF(K954&lt;=5,"BOM","EXCELENTE")))</f>
        <v/>
      </c>
      <c r="M954" t="n">
        <v>36</v>
      </c>
      <c r="N954" t="n">
        <v>100</v>
      </c>
      <c r="O954" t="n">
        <v>31.69014084507042</v>
      </c>
    </row>
    <row r="955" hidden="1">
      <c r="A955" s="11" t="n">
        <v>46030</v>
      </c>
      <c r="B955" t="inlineStr">
        <is>
          <t>Anna Luiza Rezende Tavares</t>
        </is>
      </c>
      <c r="C955" t="inlineStr">
        <is>
          <t>Estágio</t>
        </is>
      </c>
      <c r="D955" t="n">
        <v>9</v>
      </c>
      <c r="E955" t="n">
        <v>9</v>
      </c>
      <c r="F955" t="n">
        <v>38.53</v>
      </c>
      <c r="G955" t="n">
        <v>0</v>
      </c>
      <c r="H955" t="n">
        <v>0</v>
      </c>
      <c r="I955" s="3">
        <f>E955+G955+H955</f>
        <v/>
      </c>
      <c r="J955" s="3">
        <f>ROUND(MIN(IF(C955="Técnico III",35,IF(C955="Técnico II",28,IF(C955="Técnico I",23,IF(C955="JR",20,IF(C955="Estágio",10,0))))),IF(C955="Técnico III",SUMIFS($D:$D,$A:$A,$A955,$B:$B,"&lt;&gt;Patrícia Karla de Sousa Araújo",$B:$B,"&lt;&gt;Lorena Dias de Araujo",$B:$B,"&lt;&gt;Lucas Luiz Romero")*(35/1083),IF(C955="Técnico II",SUMIFS($D:$D,$A:$A,$A955,$B:$B,"&lt;&gt;Patrícia Karla de Sousa Araújo",$B:$B,"&lt;&gt;Lorena Dias de Araujo",$B:$B,"&lt;&gt;Lucas Luiz Romero")*(28/1083),IF(C955="Técnico I",SUMIFS($D:$D,$A:$A,$A955,$B:$B,"&lt;&gt;Patrícia Karla de Sousa Araújo",$B:$B,"&lt;&gt;Lorena Dias de Araujo",$B:$B,"&lt;&gt;Lucas Luiz Romero")*(23/1083),IF(C955="JR",SUMIFS($D:$D,$A:$A,$A955,$B:$B,"&lt;&gt;Patrícia Karla de Sousa Araújo",$B:$B,"&lt;&gt;Lorena Dias de Araujo",$B:$B,"&lt;&gt;Lucas Luiz Romero")*(20/1083),IF(C955="Estágio",SUMIFS($D:$D,$A:$A,$A955,$B:$B,"&lt;&gt;Patrícia Karla de Sousa Araújo",$B:$B,"&lt;&gt;Lorena Dias de Araujo",$B:$B,"&lt;&gt;Lucas Luiz Romero")*(10/1083),0)))))),0)</f>
        <v/>
      </c>
      <c r="K955" s="3">
        <f>I955-J955</f>
        <v/>
      </c>
      <c r="L955" s="3">
        <f>IF(K955&lt;-5,"CRÍTICO",IF(K955&lt;0,"ATENÇÃO",IF(K955&lt;=5,"BOM","EXCELENTE")))</f>
        <v/>
      </c>
      <c r="M955" t="n">
        <v>7</v>
      </c>
      <c r="N955" t="n">
        <v>100</v>
      </c>
      <c r="O955" t="n">
        <v>45.94594594594595</v>
      </c>
    </row>
    <row r="956" hidden="1">
      <c r="A956" s="11" t="n">
        <v>46030</v>
      </c>
      <c r="B956" t="inlineStr">
        <is>
          <t>Brenda de Menezes Silva</t>
        </is>
      </c>
      <c r="C956" t="inlineStr">
        <is>
          <t>Técnico II</t>
        </is>
      </c>
      <c r="D956" t="n">
        <v>34</v>
      </c>
      <c r="E956" t="n">
        <v>31</v>
      </c>
      <c r="F956" t="n">
        <v>16.59</v>
      </c>
      <c r="G956" t="n">
        <v>0</v>
      </c>
      <c r="H956" t="n">
        <v>0</v>
      </c>
      <c r="I956" s="3">
        <f>E956+G956+H956</f>
        <v/>
      </c>
      <c r="J956" s="3">
        <f>ROUND(MIN(IF(C956="Técnico III",35,IF(C956="Técnico II",28,IF(C956="Técnico I",23,IF(C956="JR",20,IF(C956="Estágio",10,0))))),IF(C956="Técnico III",SUMIFS($D:$D,$A:$A,$A956,$B:$B,"&lt;&gt;Patrícia Karla de Sousa Araújo",$B:$B,"&lt;&gt;Lorena Dias de Araujo",$B:$B,"&lt;&gt;Lucas Luiz Romero")*(35/1083),IF(C956="Técnico II",SUMIFS($D:$D,$A:$A,$A956,$B:$B,"&lt;&gt;Patrícia Karla de Sousa Araújo",$B:$B,"&lt;&gt;Lorena Dias de Araujo",$B:$B,"&lt;&gt;Lucas Luiz Romero")*(28/1083),IF(C956="Técnico I",SUMIFS($D:$D,$A:$A,$A956,$B:$B,"&lt;&gt;Patrícia Karla de Sousa Araújo",$B:$B,"&lt;&gt;Lorena Dias de Araujo",$B:$B,"&lt;&gt;Lucas Luiz Romero")*(23/1083),IF(C956="JR",SUMIFS($D:$D,$A:$A,$A956,$B:$B,"&lt;&gt;Patrícia Karla de Sousa Araújo",$B:$B,"&lt;&gt;Lorena Dias de Araujo",$B:$B,"&lt;&gt;Lucas Luiz Romero")*(20/1083),IF(C956="Estágio",SUMIFS($D:$D,$A:$A,$A956,$B:$B,"&lt;&gt;Patrícia Karla de Sousa Araújo",$B:$B,"&lt;&gt;Lorena Dias de Araujo",$B:$B,"&lt;&gt;Lucas Luiz Romero")*(10/1083),0)))))),0)</f>
        <v/>
      </c>
      <c r="K956" s="3">
        <f>I956-J956</f>
        <v/>
      </c>
      <c r="L956" s="3">
        <f>IF(K956&lt;-5,"CRÍTICO",IF(K956&lt;0,"ATENÇÃO",IF(K956&lt;=5,"BOM","EXCELENTE")))</f>
        <v/>
      </c>
      <c r="M956" t="n">
        <v>31</v>
      </c>
      <c r="N956" t="n">
        <v>100</v>
      </c>
      <c r="O956" t="n">
        <v>25</v>
      </c>
    </row>
    <row r="957" hidden="1">
      <c r="A957" s="11" t="n">
        <v>46030</v>
      </c>
      <c r="B957" t="inlineStr">
        <is>
          <t>Carlos Mateus Cassimiro Nunes</t>
        </is>
      </c>
      <c r="C957" t="inlineStr">
        <is>
          <t>Técnico II</t>
        </is>
      </c>
      <c r="D957" t="n">
        <v>16</v>
      </c>
      <c r="E957" t="n">
        <v>16</v>
      </c>
      <c r="F957" t="n">
        <v>24.05</v>
      </c>
      <c r="G957" t="n">
        <v>0</v>
      </c>
      <c r="H957" t="n">
        <v>0</v>
      </c>
      <c r="I957" s="3">
        <f>E957+G957+H957</f>
        <v/>
      </c>
      <c r="J957" s="3">
        <f>ROUND(MIN(IF(C957="Técnico III",35,IF(C957="Técnico II",28,IF(C957="Técnico I",23,IF(C957="JR",20,IF(C957="Estágio",10,0))))),IF(C957="Técnico III",SUMIFS($D:$D,$A:$A,$A957,$B:$B,"&lt;&gt;Patrícia Karla de Sousa Araújo",$B:$B,"&lt;&gt;Lorena Dias de Araujo",$B:$B,"&lt;&gt;Lucas Luiz Romero")*(35/1083),IF(C957="Técnico II",SUMIFS($D:$D,$A:$A,$A957,$B:$B,"&lt;&gt;Patrícia Karla de Sousa Araújo",$B:$B,"&lt;&gt;Lorena Dias de Araujo",$B:$B,"&lt;&gt;Lucas Luiz Romero")*(28/1083),IF(C957="Técnico I",SUMIFS($D:$D,$A:$A,$A957,$B:$B,"&lt;&gt;Patrícia Karla de Sousa Araújo",$B:$B,"&lt;&gt;Lorena Dias de Araujo",$B:$B,"&lt;&gt;Lucas Luiz Romero")*(23/1083),IF(C957="JR",SUMIFS($D:$D,$A:$A,$A957,$B:$B,"&lt;&gt;Patrícia Karla de Sousa Araújo",$B:$B,"&lt;&gt;Lorena Dias de Araujo",$B:$B,"&lt;&gt;Lucas Luiz Romero")*(20/1083),IF(C957="Estágio",SUMIFS($D:$D,$A:$A,$A957,$B:$B,"&lt;&gt;Patrícia Karla de Sousa Araújo",$B:$B,"&lt;&gt;Lorena Dias de Araujo",$B:$B,"&lt;&gt;Lucas Luiz Romero")*(10/1083),0)))))),0)</f>
        <v/>
      </c>
      <c r="K957" s="3">
        <f>I957-J957</f>
        <v/>
      </c>
      <c r="L957" s="3">
        <f>IF(K957&lt;-5,"CRÍTICO",IF(K957&lt;0,"ATENÇÃO",IF(K957&lt;=5,"BOM","EXCELENTE")))</f>
        <v/>
      </c>
      <c r="M957" t="n">
        <v>16</v>
      </c>
      <c r="N957" t="n">
        <v>100</v>
      </c>
      <c r="O957" t="n">
        <v>34.83146067415731</v>
      </c>
    </row>
    <row r="958" hidden="1">
      <c r="A958" s="11" t="n">
        <v>46030</v>
      </c>
      <c r="B958" t="inlineStr">
        <is>
          <t>Claudio de Sousa Velasco Filho</t>
        </is>
      </c>
      <c r="C958" t="inlineStr">
        <is>
          <t>Estágio</t>
        </is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s="3" t="n">
        <v>0</v>
      </c>
      <c r="J958" s="3" t="n">
        <v>0</v>
      </c>
      <c r="K958" s="3" t="n">
        <v>0</v>
      </c>
      <c r="L958" s="3">
        <f>IF(K958&lt;-5,"CRÍTICO",IF(K958&lt;0,"ATENÇÃO",IF(K958&lt;=5,"BOM","EXCELENTE")))</f>
        <v/>
      </c>
      <c r="M958" t="n">
        <v>0</v>
      </c>
      <c r="N958" t="n">
        <v>0</v>
      </c>
      <c r="O958" t="n">
        <v>0</v>
      </c>
    </row>
    <row r="959" hidden="1">
      <c r="A959" s="11" t="n">
        <v>46030</v>
      </c>
      <c r="B959" t="inlineStr">
        <is>
          <t>Clessiane Pereira dos Santos</t>
        </is>
      </c>
      <c r="C959" t="inlineStr">
        <is>
          <t>Técnico I</t>
        </is>
      </c>
      <c r="D959" t="n">
        <v>30</v>
      </c>
      <c r="E959" t="n">
        <v>29</v>
      </c>
      <c r="F959" t="n">
        <v>18.4</v>
      </c>
      <c r="G959" t="n">
        <v>0</v>
      </c>
      <c r="H959" t="n">
        <v>0</v>
      </c>
      <c r="I959" s="3">
        <f>E959+G959+H959</f>
        <v/>
      </c>
      <c r="J959" s="3">
        <f>ROUND(MIN(IF(C959="Técnico III",35,IF(C959="Técnico II",28,IF(C959="Técnico I",23,IF(C959="JR",20,IF(C959="Estágio",10,0))))),IF(C959="Técnico III",SUMIFS($D:$D,$A:$A,$A959,$B:$B,"&lt;&gt;Patrícia Karla de Sousa Araújo",$B:$B,"&lt;&gt;Lorena Dias de Araujo",$B:$B,"&lt;&gt;Lucas Luiz Romero")*(35/1083),IF(C959="Técnico II",SUMIFS($D:$D,$A:$A,$A959,$B:$B,"&lt;&gt;Patrícia Karla de Sousa Araújo",$B:$B,"&lt;&gt;Lorena Dias de Araujo",$B:$B,"&lt;&gt;Lucas Luiz Romero")*(28/1083),IF(C959="Técnico I",SUMIFS($D:$D,$A:$A,$A959,$B:$B,"&lt;&gt;Patrícia Karla de Sousa Araújo",$B:$B,"&lt;&gt;Lorena Dias de Araujo",$B:$B,"&lt;&gt;Lucas Luiz Romero")*(23/1083),IF(C959="JR",SUMIFS($D:$D,$A:$A,$A959,$B:$B,"&lt;&gt;Patrícia Karla de Sousa Araújo",$B:$B,"&lt;&gt;Lorena Dias de Araujo",$B:$B,"&lt;&gt;Lucas Luiz Romero")*(20/1083),IF(C959="Estágio",SUMIFS($D:$D,$A:$A,$A959,$B:$B,"&lt;&gt;Patrícia Karla de Sousa Araújo",$B:$B,"&lt;&gt;Lorena Dias de Araujo",$B:$B,"&lt;&gt;Lucas Luiz Romero")*(10/1083),0)))))),0)</f>
        <v/>
      </c>
      <c r="K959" s="3">
        <f>I959-J959</f>
        <v/>
      </c>
      <c r="L959" s="3">
        <f>IF(K959&lt;-5,"CRÍTICO",IF(K959&lt;0,"ATENÇÃO",IF(K959&lt;=5,"BOM","EXCELENTE")))</f>
        <v/>
      </c>
      <c r="M959" t="n">
        <v>22</v>
      </c>
      <c r="N959" t="n">
        <v>100</v>
      </c>
      <c r="O959" t="n">
        <v>32.87671232876712</v>
      </c>
    </row>
    <row r="960" hidden="1">
      <c r="A960" s="11" t="n">
        <v>46030</v>
      </c>
      <c r="B960" t="inlineStr">
        <is>
          <t>Cristiane Ramos da Silva Rocha</t>
        </is>
      </c>
      <c r="C960" t="inlineStr">
        <is>
          <t>Técnico III</t>
        </is>
      </c>
      <c r="D960" t="n">
        <v>32</v>
      </c>
      <c r="E960" t="n">
        <v>29</v>
      </c>
      <c r="F960" t="n">
        <v>17.01</v>
      </c>
      <c r="G960" t="n">
        <v>0</v>
      </c>
      <c r="H960" t="n">
        <v>0</v>
      </c>
      <c r="I960" s="3">
        <f>E960+G960+H960</f>
        <v/>
      </c>
      <c r="J960" s="3">
        <f>ROUND(MIN(IF(C960="Técnico III",35,IF(C960="Técnico II",28,IF(C960="Técnico I",23,IF(C960="JR",20,IF(C960="Estágio",10,0))))),IF(C960="Técnico III",SUMIFS($D:$D,$A:$A,$A960,$B:$B,"&lt;&gt;Patrícia Karla de Sousa Araújo",$B:$B,"&lt;&gt;Lorena Dias de Araujo",$B:$B,"&lt;&gt;Lucas Luiz Romero")*(35/1083),IF(C960="Técnico II",SUMIFS($D:$D,$A:$A,$A960,$B:$B,"&lt;&gt;Patrícia Karla de Sousa Araújo",$B:$B,"&lt;&gt;Lorena Dias de Araujo",$B:$B,"&lt;&gt;Lucas Luiz Romero")*(28/1083),IF(C960="Técnico I",SUMIFS($D:$D,$A:$A,$A960,$B:$B,"&lt;&gt;Patrícia Karla de Sousa Araújo",$B:$B,"&lt;&gt;Lorena Dias de Araujo",$B:$B,"&lt;&gt;Lucas Luiz Romero")*(23/1083),IF(C960="JR",SUMIFS($D:$D,$A:$A,$A960,$B:$B,"&lt;&gt;Patrícia Karla de Sousa Araújo",$B:$B,"&lt;&gt;Lorena Dias de Araujo",$B:$B,"&lt;&gt;Lucas Luiz Romero")*(20/1083),IF(C960="Estágio",SUMIFS($D:$D,$A:$A,$A960,$B:$B,"&lt;&gt;Patrícia Karla de Sousa Araújo",$B:$B,"&lt;&gt;Lorena Dias de Araujo",$B:$B,"&lt;&gt;Lucas Luiz Romero")*(10/1083),0)))))),0)</f>
        <v/>
      </c>
      <c r="K960" s="3">
        <f>I960-J960</f>
        <v/>
      </c>
      <c r="L960" s="3">
        <f>IF(K960&lt;-5,"CRÍTICO",IF(K960&lt;0,"ATENÇÃO",IF(K960&lt;=5,"BOM","EXCELENTE")))</f>
        <v/>
      </c>
      <c r="M960" t="n">
        <v>29</v>
      </c>
      <c r="N960" t="n">
        <v>96.88</v>
      </c>
      <c r="O960" t="n">
        <v>36.73469387755102</v>
      </c>
    </row>
    <row r="961" hidden="1">
      <c r="A961" s="11" t="n">
        <v>46030</v>
      </c>
      <c r="B961" t="inlineStr">
        <is>
          <t>Damyllis Lorraine de Oliveira Gonçalves</t>
        </is>
      </c>
      <c r="C961" t="inlineStr">
        <is>
          <t>Técnico II</t>
        </is>
      </c>
      <c r="D961" t="n">
        <v>33</v>
      </c>
      <c r="E961" t="n">
        <v>28</v>
      </c>
      <c r="F961" t="n">
        <v>17.26</v>
      </c>
      <c r="G961" t="n">
        <v>0</v>
      </c>
      <c r="H961" t="n">
        <v>0</v>
      </c>
      <c r="I961" s="3" t="n">
        <v>0</v>
      </c>
      <c r="J961" s="3" t="n">
        <v>0</v>
      </c>
      <c r="K961" s="3" t="n">
        <v>0</v>
      </c>
      <c r="L961" s="3">
        <f>IF(K961&lt;-5,"CRÍTICO",IF(K961&lt;0,"ATENÇÃO",IF(K961&lt;=5,"BOM","EXCELENTE")))</f>
        <v/>
      </c>
      <c r="M961" t="n">
        <v>23</v>
      </c>
      <c r="N961" t="n">
        <v>95.45</v>
      </c>
      <c r="O961" t="n">
        <v>36.84210526315789</v>
      </c>
    </row>
    <row r="962" hidden="1">
      <c r="A962" s="11" t="n">
        <v>46030</v>
      </c>
      <c r="B962" t="inlineStr">
        <is>
          <t>Daniel Gomes da Silva</t>
        </is>
      </c>
      <c r="C962" t="inlineStr">
        <is>
          <t>Técnico I</t>
        </is>
      </c>
      <c r="D962" t="n">
        <v>24</v>
      </c>
      <c r="E962" t="n">
        <v>24</v>
      </c>
      <c r="F962" t="n">
        <v>22.02</v>
      </c>
      <c r="G962" t="n">
        <v>0</v>
      </c>
      <c r="H962" t="n">
        <v>0</v>
      </c>
      <c r="I962" s="3">
        <f>E962+G962+H962</f>
        <v/>
      </c>
      <c r="J962" s="3">
        <f>ROUND(MIN(IF(C962="Técnico III",35,IF(C962="Técnico II",28,IF(C962="Técnico I",23,IF(C962="JR",20,IF(C962="Estágio",10,0))))),IF(C962="Técnico III",SUMIFS($D:$D,$A:$A,$A962,$B:$B,"&lt;&gt;Patrícia Karla de Sousa Araújo",$B:$B,"&lt;&gt;Lorena Dias de Araujo",$B:$B,"&lt;&gt;Lucas Luiz Romero")*(35/1083),IF(C962="Técnico II",SUMIFS($D:$D,$A:$A,$A962,$B:$B,"&lt;&gt;Patrícia Karla de Sousa Araújo",$B:$B,"&lt;&gt;Lorena Dias de Araujo",$B:$B,"&lt;&gt;Lucas Luiz Romero")*(28/1083),IF(C962="Técnico I",SUMIFS($D:$D,$A:$A,$A962,$B:$B,"&lt;&gt;Patrícia Karla de Sousa Araújo",$B:$B,"&lt;&gt;Lorena Dias de Araujo",$B:$B,"&lt;&gt;Lucas Luiz Romero")*(23/1083),IF(C962="JR",SUMIFS($D:$D,$A:$A,$A962,$B:$B,"&lt;&gt;Patrícia Karla de Sousa Araújo",$B:$B,"&lt;&gt;Lorena Dias de Araujo",$B:$B,"&lt;&gt;Lucas Luiz Romero")*(20/1083),IF(C962="Estágio",SUMIFS($D:$D,$A:$A,$A962,$B:$B,"&lt;&gt;Patrícia Karla de Sousa Araújo",$B:$B,"&lt;&gt;Lorena Dias de Araujo",$B:$B,"&lt;&gt;Lucas Luiz Romero")*(10/1083),0)))))),0)</f>
        <v/>
      </c>
      <c r="K962" s="3">
        <f>I962-J962</f>
        <v/>
      </c>
      <c r="L962" s="3">
        <f>IF(K962&lt;-5,"CRÍTICO",IF(K962&lt;0,"ATENÇÃO",IF(K962&lt;=5,"BOM","EXCELENTE")))</f>
        <v/>
      </c>
      <c r="M962" t="n">
        <v>22</v>
      </c>
      <c r="N962" t="n">
        <v>100</v>
      </c>
      <c r="O962" t="n">
        <v>32.72727272727273</v>
      </c>
    </row>
    <row r="963" hidden="1">
      <c r="A963" s="11" t="n">
        <v>46030</v>
      </c>
      <c r="B963" t="inlineStr">
        <is>
          <t>Davylla Rodrigues Freitas Silva</t>
        </is>
      </c>
      <c r="C963" t="inlineStr">
        <is>
          <t>Técnico III</t>
        </is>
      </c>
      <c r="D963" t="n">
        <v>29</v>
      </c>
      <c r="E963" t="n">
        <v>28</v>
      </c>
      <c r="F963" t="n">
        <v>26.59</v>
      </c>
      <c r="G963" t="n">
        <v>0</v>
      </c>
      <c r="H963" t="n">
        <v>0</v>
      </c>
      <c r="I963" s="3" t="n">
        <v>0</v>
      </c>
      <c r="J963" s="3" t="n">
        <v>0</v>
      </c>
      <c r="K963" s="3" t="n">
        <v>0</v>
      </c>
      <c r="L963" s="3">
        <f>IF(K963&lt;-5,"CRÍTICO",IF(K963&lt;0,"ATENÇÃO",IF(K963&lt;=5,"BOM","EXCELENTE")))</f>
        <v/>
      </c>
      <c r="M963" t="n">
        <v>28</v>
      </c>
      <c r="N963" t="n">
        <v>100</v>
      </c>
      <c r="O963" t="n">
        <v>41.40625</v>
      </c>
    </row>
    <row r="964" hidden="1">
      <c r="A964" s="11" t="n">
        <v>46030</v>
      </c>
      <c r="B964" t="inlineStr">
        <is>
          <t>Emilly Caylane Costa</t>
        </is>
      </c>
      <c r="C964" t="inlineStr">
        <is>
          <t>Estágio</t>
        </is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s="3" t="n">
        <v>0</v>
      </c>
      <c r="J964" s="3" t="n">
        <v>0</v>
      </c>
      <c r="K964" s="3" t="n">
        <v>0</v>
      </c>
      <c r="L964" s="3">
        <f>IF(K964&lt;-5,"CRÍTICO",IF(K964&lt;0,"ATENÇÃO",IF(K964&lt;=5,"BOM","EXCELENTE")))</f>
        <v/>
      </c>
      <c r="M964" t="n">
        <v>0</v>
      </c>
      <c r="N964" t="n">
        <v>0</v>
      </c>
      <c r="O964" t="n">
        <v>0</v>
      </c>
    </row>
    <row r="965" hidden="1">
      <c r="A965" s="11" t="n">
        <v>46030</v>
      </c>
      <c r="B965" t="inlineStr">
        <is>
          <t>Emilly Kamilly Medeiros Miranda</t>
        </is>
      </c>
      <c r="C965" t="inlineStr">
        <is>
          <t>Técnico II</t>
        </is>
      </c>
      <c r="D965" t="n">
        <v>28</v>
      </c>
      <c r="E965" t="n">
        <v>26</v>
      </c>
      <c r="F965" t="n">
        <v>14.1</v>
      </c>
      <c r="G965" t="n">
        <v>0</v>
      </c>
      <c r="H965" t="n">
        <v>0</v>
      </c>
      <c r="I965" s="3">
        <f>E965+G965+H965</f>
        <v/>
      </c>
      <c r="J965" s="3">
        <f>ROUND(MIN(IF(C965="Técnico III",35,IF(C965="Técnico II",28,IF(C965="Técnico I",23,IF(C965="JR",20,IF(C965="Estágio",10,0))))),IF(C965="Técnico III",SUMIFS($D:$D,$A:$A,$A965,$B:$B,"&lt;&gt;Patrícia Karla de Sousa Araújo",$B:$B,"&lt;&gt;Lorena Dias de Araujo",$B:$B,"&lt;&gt;Lucas Luiz Romero")*(35/1083),IF(C965="Técnico II",SUMIFS($D:$D,$A:$A,$A965,$B:$B,"&lt;&gt;Patrícia Karla de Sousa Araújo",$B:$B,"&lt;&gt;Lorena Dias de Araujo",$B:$B,"&lt;&gt;Lucas Luiz Romero")*(28/1083),IF(C965="Técnico I",SUMIFS($D:$D,$A:$A,$A965,$B:$B,"&lt;&gt;Patrícia Karla de Sousa Araújo",$B:$B,"&lt;&gt;Lorena Dias de Araujo",$B:$B,"&lt;&gt;Lucas Luiz Romero")*(23/1083),IF(C965="JR",SUMIFS($D:$D,$A:$A,$A965,$B:$B,"&lt;&gt;Patrícia Karla de Sousa Araújo",$B:$B,"&lt;&gt;Lorena Dias de Araujo",$B:$B,"&lt;&gt;Lucas Luiz Romero")*(20/1083),IF(C965="Estágio",SUMIFS($D:$D,$A:$A,$A965,$B:$B,"&lt;&gt;Patrícia Karla de Sousa Araújo",$B:$B,"&lt;&gt;Lorena Dias de Araujo",$B:$B,"&lt;&gt;Lucas Luiz Romero")*(10/1083),0)))))),0)</f>
        <v/>
      </c>
      <c r="K965" s="3">
        <f>I965-J965</f>
        <v/>
      </c>
      <c r="L965" s="3">
        <f>IF(K965&lt;-5,"CRÍTICO",IF(K965&lt;0,"ATENÇÃO",IF(K965&lt;=5,"BOM","EXCELENTE")))</f>
        <v/>
      </c>
      <c r="M965" t="n">
        <v>26</v>
      </c>
      <c r="N965" t="n">
        <v>100</v>
      </c>
      <c r="O965" t="n">
        <v>27.53623188405797</v>
      </c>
    </row>
    <row r="966" hidden="1">
      <c r="A966" s="11" t="n">
        <v>46030</v>
      </c>
      <c r="B966" t="inlineStr">
        <is>
          <t>Francielson de Oliveira</t>
        </is>
      </c>
      <c r="C966" t="inlineStr">
        <is>
          <t>Técnico III</t>
        </is>
      </c>
      <c r="D966" t="n">
        <v>18</v>
      </c>
      <c r="E966" t="n">
        <v>15</v>
      </c>
      <c r="F966" t="n">
        <v>15</v>
      </c>
      <c r="G966" t="n">
        <v>0</v>
      </c>
      <c r="H966" t="n">
        <v>0</v>
      </c>
      <c r="I966" s="3">
        <f>E966+G966+H966</f>
        <v/>
      </c>
      <c r="J966" s="3">
        <f>ROUND(MIN(IF(C966="Técnico III",35,IF(C966="Técnico II",28,IF(C966="Técnico I",23,IF(C966="JR",20,IF(C966="Estágio",10,0))))),IF(C966="Técnico III",SUMIFS($D:$D,$A:$A,$A966,$B:$B,"&lt;&gt;Patrícia Karla de Sousa Araújo",$B:$B,"&lt;&gt;Lorena Dias de Araujo",$B:$B,"&lt;&gt;Lucas Luiz Romero")*(35/1083),IF(C966="Técnico II",SUMIFS($D:$D,$A:$A,$A966,$B:$B,"&lt;&gt;Patrícia Karla de Sousa Araújo",$B:$B,"&lt;&gt;Lorena Dias de Araujo",$B:$B,"&lt;&gt;Lucas Luiz Romero")*(28/1083),IF(C966="Técnico I",SUMIFS($D:$D,$A:$A,$A966,$B:$B,"&lt;&gt;Patrícia Karla de Sousa Araújo",$B:$B,"&lt;&gt;Lorena Dias de Araujo",$B:$B,"&lt;&gt;Lucas Luiz Romero")*(23/1083),IF(C966="JR",SUMIFS($D:$D,$A:$A,$A966,$B:$B,"&lt;&gt;Patrícia Karla de Sousa Araújo",$B:$B,"&lt;&gt;Lorena Dias de Araujo",$B:$B,"&lt;&gt;Lucas Luiz Romero")*(20/1083),IF(C966="Estágio",SUMIFS($D:$D,$A:$A,$A966,$B:$B,"&lt;&gt;Patrícia Karla de Sousa Araújo",$B:$B,"&lt;&gt;Lorena Dias de Araujo",$B:$B,"&lt;&gt;Lucas Luiz Romero")*(10/1083),0)))))),0)</f>
        <v/>
      </c>
      <c r="K966" s="3">
        <f>I966-J966</f>
        <v/>
      </c>
      <c r="L966" s="3">
        <f>IF(K966&lt;-5,"CRÍTICO",IF(K966&lt;0,"ATENÇÃO",IF(K966&lt;=5,"BOM","EXCELENTE")))</f>
        <v/>
      </c>
      <c r="M966" t="n">
        <v>17</v>
      </c>
      <c r="N966" t="n">
        <v>100</v>
      </c>
      <c r="O966" t="n">
        <v>29.35779816513762</v>
      </c>
    </row>
    <row r="967" hidden="1">
      <c r="A967" s="11" t="n">
        <v>46030</v>
      </c>
      <c r="B967" t="inlineStr">
        <is>
          <t>Francilene Ferreira de Jesus</t>
        </is>
      </c>
      <c r="C967" t="inlineStr">
        <is>
          <t>Técnico II</t>
        </is>
      </c>
      <c r="D967" t="n">
        <v>38</v>
      </c>
      <c r="E967" t="n">
        <v>33</v>
      </c>
      <c r="F967" t="n">
        <v>15.26</v>
      </c>
      <c r="G967" t="n">
        <v>0</v>
      </c>
      <c r="H967" t="n">
        <v>0</v>
      </c>
      <c r="I967" s="3">
        <f>E967+G967+H967</f>
        <v/>
      </c>
      <c r="J967" s="3">
        <f>ROUND(MIN(IF(C967="Técnico III",35,IF(C967="Técnico II",28,IF(C967="Técnico I",23,IF(C967="JR",20,IF(C967="Estágio",10,0))))),IF(C967="Técnico III",SUMIFS($D:$D,$A:$A,$A967,$B:$B,"&lt;&gt;Patrícia Karla de Sousa Araújo",$B:$B,"&lt;&gt;Lorena Dias de Araujo",$B:$B,"&lt;&gt;Lucas Luiz Romero")*(35/1083),IF(C967="Técnico II",SUMIFS($D:$D,$A:$A,$A967,$B:$B,"&lt;&gt;Patrícia Karla de Sousa Araújo",$B:$B,"&lt;&gt;Lorena Dias de Araujo",$B:$B,"&lt;&gt;Lucas Luiz Romero")*(28/1083),IF(C967="Técnico I",SUMIFS($D:$D,$A:$A,$A967,$B:$B,"&lt;&gt;Patrícia Karla de Sousa Araújo",$B:$B,"&lt;&gt;Lorena Dias de Araujo",$B:$B,"&lt;&gt;Lucas Luiz Romero")*(23/1083),IF(C967="JR",SUMIFS($D:$D,$A:$A,$A967,$B:$B,"&lt;&gt;Patrícia Karla de Sousa Araújo",$B:$B,"&lt;&gt;Lorena Dias de Araujo",$B:$B,"&lt;&gt;Lucas Luiz Romero")*(20/1083),IF(C967="Estágio",SUMIFS($D:$D,$A:$A,$A967,$B:$B,"&lt;&gt;Patrícia Karla de Sousa Araújo",$B:$B,"&lt;&gt;Lorena Dias de Araujo",$B:$B,"&lt;&gt;Lucas Luiz Romero")*(10/1083),0)))))),0)</f>
        <v/>
      </c>
      <c r="K967" s="3">
        <f>I967-J967</f>
        <v/>
      </c>
      <c r="L967" s="3">
        <f>IF(K967&lt;-5,"CRÍTICO",IF(K967&lt;0,"ATENÇÃO",IF(K967&lt;=5,"BOM","EXCELENTE")))</f>
        <v/>
      </c>
      <c r="M967" t="n">
        <v>32</v>
      </c>
      <c r="N967" t="n">
        <v>100</v>
      </c>
      <c r="O967" t="n">
        <v>33.33333333333333</v>
      </c>
    </row>
    <row r="968" hidden="1">
      <c r="A968" s="11" t="n">
        <v>46064</v>
      </c>
      <c r="B968" t="inlineStr">
        <is>
          <t>Gabriel Gomes de Andrade</t>
        </is>
      </c>
      <c r="C968" t="inlineStr">
        <is>
          <t>Técnico I</t>
        </is>
      </c>
      <c r="D968" t="n">
        <v>2</v>
      </c>
      <c r="E968" t="n">
        <v>2</v>
      </c>
      <c r="F968" t="n">
        <v>37.04</v>
      </c>
      <c r="G968" t="n">
        <v>0</v>
      </c>
      <c r="H968" t="n">
        <v>0</v>
      </c>
      <c r="I968" s="3">
        <f>E968+G968+H968</f>
        <v/>
      </c>
      <c r="J968" s="3">
        <f>ROUND(MIN(IF(C968="Técnico III",35,IF(C968="Técnico II",28,IF(C968="Técnico I",23,IF(C968="JR",20,IF(C968="Estágio",10,0))))),IF(C968="Técnico III",SUMIFS($D:$D,$A:$A,$A968,$B:$B,"&lt;&gt;Patrícia Karla de Sousa Araújo",$B:$B,"&lt;&gt;Lorena Dias de Araujo",$B:$B,"&lt;&gt;Lucas Luiz Romero")*(35/1083),IF(C968="Técnico II",SUMIFS($D:$D,$A:$A,$A968,$B:$B,"&lt;&gt;Patrícia Karla de Sousa Araújo",$B:$B,"&lt;&gt;Lorena Dias de Araujo",$B:$B,"&lt;&gt;Lucas Luiz Romero")*(28/1083),IF(C968="Técnico I",SUMIFS($D:$D,$A:$A,$A968,$B:$B,"&lt;&gt;Patrícia Karla de Sousa Araújo",$B:$B,"&lt;&gt;Lorena Dias de Araujo",$B:$B,"&lt;&gt;Lucas Luiz Romero")*(23/1083),IF(C968="JR",SUMIFS($D:$D,$A:$A,$A968,$B:$B,"&lt;&gt;Patrícia Karla de Sousa Araújo",$B:$B,"&lt;&gt;Lorena Dias de Araujo",$B:$B,"&lt;&gt;Lucas Luiz Romero")*(20/1083),IF(C968="Estágio",SUMIFS($D:$D,$A:$A,$A968,$B:$B,"&lt;&gt;Patrícia Karla de Sousa Araújo",$B:$B,"&lt;&gt;Lorena Dias de Araujo",$B:$B,"&lt;&gt;Lucas Luiz Romero")*(10/1083),0)))))),0)</f>
        <v/>
      </c>
      <c r="K968" s="3">
        <f>I968-J968</f>
        <v/>
      </c>
      <c r="L968" s="3">
        <f>IF(K968&lt;-5,"CRÍTICO",IF(K968&lt;0,"ATENÇÃO",IF(K968&lt;=5,"BOM","EXCELENTE")))</f>
        <v/>
      </c>
      <c r="M968" t="n">
        <v>28</v>
      </c>
      <c r="N968" t="n">
        <v>95.83</v>
      </c>
      <c r="O968" t="n">
        <v>34.17085427135678</v>
      </c>
    </row>
    <row r="969" hidden="1">
      <c r="A969" s="11" t="n">
        <v>46030</v>
      </c>
      <c r="B969" t="inlineStr">
        <is>
          <t>Isabella Borges de Oliveira</t>
        </is>
      </c>
      <c r="C969" t="inlineStr">
        <is>
          <t>Técnico II</t>
        </is>
      </c>
      <c r="D969" t="n">
        <v>37</v>
      </c>
      <c r="E969" t="n">
        <v>36</v>
      </c>
      <c r="F969" t="n">
        <v>15.06</v>
      </c>
      <c r="G969" t="n">
        <v>0</v>
      </c>
      <c r="H969" t="n">
        <v>0</v>
      </c>
      <c r="I969" s="3">
        <f>E969+G969+H969</f>
        <v/>
      </c>
      <c r="J969" s="3">
        <f>ROUND(MIN(IF(C969="Técnico III",35,IF(C969="Técnico II",28,IF(C969="Técnico I",23,IF(C969="JR",20,IF(C969="Estágio",10,0))))),IF(C969="Técnico III",SUMIFS($D:$D,$A:$A,$A969,$B:$B,"&lt;&gt;Patrícia Karla de Sousa Araújo",$B:$B,"&lt;&gt;Lorena Dias de Araujo",$B:$B,"&lt;&gt;Lucas Luiz Romero")*(35/1083),IF(C969="Técnico II",SUMIFS($D:$D,$A:$A,$A969,$B:$B,"&lt;&gt;Patrícia Karla de Sousa Araújo",$B:$B,"&lt;&gt;Lorena Dias de Araujo",$B:$B,"&lt;&gt;Lucas Luiz Romero")*(28/1083),IF(C969="Técnico I",SUMIFS($D:$D,$A:$A,$A969,$B:$B,"&lt;&gt;Patrícia Karla de Sousa Araújo",$B:$B,"&lt;&gt;Lorena Dias de Araujo",$B:$B,"&lt;&gt;Lucas Luiz Romero")*(23/1083),IF(C969="JR",SUMIFS($D:$D,$A:$A,$A969,$B:$B,"&lt;&gt;Patrícia Karla de Sousa Araújo",$B:$B,"&lt;&gt;Lorena Dias de Araujo",$B:$B,"&lt;&gt;Lucas Luiz Romero")*(20/1083),IF(C969="Estágio",SUMIFS($D:$D,$A:$A,$A969,$B:$B,"&lt;&gt;Patrícia Karla de Sousa Araújo",$B:$B,"&lt;&gt;Lorena Dias de Araujo",$B:$B,"&lt;&gt;Lucas Luiz Romero")*(10/1083),0)))))),0)</f>
        <v/>
      </c>
      <c r="K969" s="3">
        <f>I969-J969</f>
        <v/>
      </c>
      <c r="L969" s="3">
        <f>IF(K969&lt;-5,"CRÍTICO",IF(K969&lt;0,"ATENÇÃO",IF(K969&lt;=5,"BOM","EXCELENTE")))</f>
        <v/>
      </c>
      <c r="M969" t="n">
        <v>28</v>
      </c>
      <c r="N969" t="n">
        <v>100</v>
      </c>
      <c r="O969" t="n">
        <v>28.33333333333333</v>
      </c>
    </row>
    <row r="970" hidden="1">
      <c r="A970" s="11" t="n">
        <v>46030</v>
      </c>
      <c r="B970" t="inlineStr">
        <is>
          <t>Janaina Lima dos Reis Urany</t>
        </is>
      </c>
      <c r="C970" t="inlineStr">
        <is>
          <t>Técnico III</t>
        </is>
      </c>
      <c r="D970" t="n">
        <v>51</v>
      </c>
      <c r="E970" t="n">
        <v>44</v>
      </c>
      <c r="F970" t="n">
        <v>11.53</v>
      </c>
      <c r="G970" t="n">
        <v>0</v>
      </c>
      <c r="H970" t="n">
        <v>0</v>
      </c>
      <c r="I970" s="3">
        <f>E970+G970+H970</f>
        <v/>
      </c>
      <c r="J970" s="3">
        <f>ROUND(MIN(IF(C970="Técnico III",35,IF(C970="Técnico II",28,IF(C970="Técnico I",23,IF(C970="JR",20,IF(C970="Estágio",10,0))))),IF(C970="Técnico III",SUMIFS($D:$D,$A:$A,$A970,$B:$B,"&lt;&gt;Patrícia Karla de Sousa Araújo",$B:$B,"&lt;&gt;Lorena Dias de Araujo",$B:$B,"&lt;&gt;Lucas Luiz Romero")*(35/1083),IF(C970="Técnico II",SUMIFS($D:$D,$A:$A,$A970,$B:$B,"&lt;&gt;Patrícia Karla de Sousa Araújo",$B:$B,"&lt;&gt;Lorena Dias de Araujo",$B:$B,"&lt;&gt;Lucas Luiz Romero")*(28/1083),IF(C970="Técnico I",SUMIFS($D:$D,$A:$A,$A970,$B:$B,"&lt;&gt;Patrícia Karla de Sousa Araújo",$B:$B,"&lt;&gt;Lorena Dias de Araujo",$B:$B,"&lt;&gt;Lucas Luiz Romero")*(23/1083),IF(C970="JR",SUMIFS($D:$D,$A:$A,$A970,$B:$B,"&lt;&gt;Patrícia Karla de Sousa Araújo",$B:$B,"&lt;&gt;Lorena Dias de Araujo",$B:$B,"&lt;&gt;Lucas Luiz Romero")*(20/1083),IF(C970="Estágio",SUMIFS($D:$D,$A:$A,$A970,$B:$B,"&lt;&gt;Patrícia Karla de Sousa Araújo",$B:$B,"&lt;&gt;Lorena Dias de Araujo",$B:$B,"&lt;&gt;Lucas Luiz Romero")*(10/1083),0)))))),0)</f>
        <v/>
      </c>
      <c r="K970" s="3">
        <f>I970-J970</f>
        <v/>
      </c>
      <c r="L970" s="3">
        <f>IF(K970&lt;-5,"CRÍTICO",IF(K970&lt;0,"ATENÇÃO",IF(K970&lt;=5,"BOM","EXCELENTE")))</f>
        <v/>
      </c>
      <c r="M970" t="n">
        <v>42</v>
      </c>
      <c r="N970" t="n">
        <v>100</v>
      </c>
      <c r="O970" t="n">
        <v>29.4392523364486</v>
      </c>
    </row>
    <row r="971" hidden="1">
      <c r="A971" s="11" t="n">
        <v>46030</v>
      </c>
      <c r="B971" t="inlineStr">
        <is>
          <t>Jaqueline Evangelista da Silva Martins</t>
        </is>
      </c>
      <c r="C971" t="inlineStr">
        <is>
          <t>Técnico III</t>
        </is>
      </c>
      <c r="D971" t="n">
        <v>22</v>
      </c>
      <c r="E971" t="n">
        <v>21</v>
      </c>
      <c r="F971" t="n">
        <v>15.46</v>
      </c>
      <c r="G971" t="n">
        <v>0</v>
      </c>
      <c r="H971" t="n">
        <v>0</v>
      </c>
      <c r="I971" s="3">
        <f>E971+G971+H971</f>
        <v/>
      </c>
      <c r="J971" s="3">
        <f>ROUND(MIN(IF(C971="Técnico III",35,IF(C971="Técnico II",28,IF(C971="Técnico I",23,IF(C971="JR",20,IF(C971="Estágio",10,0))))),IF(C971="Técnico III",SUMIFS($D:$D,$A:$A,$A971,$B:$B,"&lt;&gt;Patrícia Karla de Sousa Araújo",$B:$B,"&lt;&gt;Lorena Dias de Araujo",$B:$B,"&lt;&gt;Lucas Luiz Romero")*(35/1083),IF(C971="Técnico II",SUMIFS($D:$D,$A:$A,$A971,$B:$B,"&lt;&gt;Patrícia Karla de Sousa Araújo",$B:$B,"&lt;&gt;Lorena Dias de Araujo",$B:$B,"&lt;&gt;Lucas Luiz Romero")*(28/1083),IF(C971="Técnico I",SUMIFS($D:$D,$A:$A,$A971,$B:$B,"&lt;&gt;Patrícia Karla de Sousa Araújo",$B:$B,"&lt;&gt;Lorena Dias de Araujo",$B:$B,"&lt;&gt;Lucas Luiz Romero")*(23/1083),IF(C971="JR",SUMIFS($D:$D,$A:$A,$A971,$B:$B,"&lt;&gt;Patrícia Karla de Sousa Araújo",$B:$B,"&lt;&gt;Lorena Dias de Araujo",$B:$B,"&lt;&gt;Lucas Luiz Romero")*(20/1083),IF(C971="Estágio",SUMIFS($D:$D,$A:$A,$A971,$B:$B,"&lt;&gt;Patrícia Karla de Sousa Araújo",$B:$B,"&lt;&gt;Lorena Dias de Araujo",$B:$B,"&lt;&gt;Lucas Luiz Romero")*(10/1083),0)))))),0)</f>
        <v/>
      </c>
      <c r="K971" s="3">
        <f>I971-J971</f>
        <v/>
      </c>
      <c r="L971" s="3">
        <f>IF(K971&lt;-5,"CRÍTICO",IF(K971&lt;0,"ATENÇÃO",IF(K971&lt;=5,"BOM","EXCELENTE")))</f>
        <v/>
      </c>
      <c r="M971" t="n">
        <v>16</v>
      </c>
      <c r="N971" t="n">
        <v>100</v>
      </c>
      <c r="O971" t="n">
        <v>28.28282828282828</v>
      </c>
    </row>
    <row r="972" hidden="1">
      <c r="A972" s="11" t="n">
        <v>46030</v>
      </c>
      <c r="B972" t="inlineStr">
        <is>
          <t>Jessica Faria da Silveira</t>
        </is>
      </c>
      <c r="C972" t="inlineStr">
        <is>
          <t>Técnico II</t>
        </is>
      </c>
      <c r="D972" t="n">
        <v>24</v>
      </c>
      <c r="E972" t="n">
        <v>22</v>
      </c>
      <c r="F972" t="n">
        <v>23.45</v>
      </c>
      <c r="G972" t="n">
        <v>0</v>
      </c>
      <c r="H972" t="n">
        <v>0</v>
      </c>
      <c r="I972" s="3">
        <f>E972+G972+H972</f>
        <v/>
      </c>
      <c r="J972" s="3">
        <f>ROUND(MIN(IF(C972="Técnico III",35,IF(C972="Técnico II",28,IF(C972="Técnico I",23,IF(C972="JR",20,IF(C972="Estágio",10,0))))),IF(C972="Técnico III",SUMIFS($D:$D,$A:$A,$A972,$B:$B,"&lt;&gt;Patrícia Karla de Sousa Araújo",$B:$B,"&lt;&gt;Lorena Dias de Araujo",$B:$B,"&lt;&gt;Lucas Luiz Romero")*(35/1083),IF(C972="Técnico II",SUMIFS($D:$D,$A:$A,$A972,$B:$B,"&lt;&gt;Patrícia Karla de Sousa Araújo",$B:$B,"&lt;&gt;Lorena Dias de Araujo",$B:$B,"&lt;&gt;Lucas Luiz Romero")*(28/1083),IF(C972="Técnico I",SUMIFS($D:$D,$A:$A,$A972,$B:$B,"&lt;&gt;Patrícia Karla de Sousa Araújo",$B:$B,"&lt;&gt;Lorena Dias de Araujo",$B:$B,"&lt;&gt;Lucas Luiz Romero")*(23/1083),IF(C972="JR",SUMIFS($D:$D,$A:$A,$A972,$B:$B,"&lt;&gt;Patrícia Karla de Sousa Araújo",$B:$B,"&lt;&gt;Lorena Dias de Araujo",$B:$B,"&lt;&gt;Lucas Luiz Romero")*(20/1083),IF(C972="Estágio",SUMIFS($D:$D,$A:$A,$A972,$B:$B,"&lt;&gt;Patrícia Karla de Sousa Araújo",$B:$B,"&lt;&gt;Lorena Dias de Araujo",$B:$B,"&lt;&gt;Lucas Luiz Romero")*(10/1083),0)))))),0)</f>
        <v/>
      </c>
      <c r="K972" s="3">
        <f>I972-J972</f>
        <v/>
      </c>
      <c r="L972" s="3">
        <f>IF(K972&lt;-5,"CRÍTICO",IF(K972&lt;0,"ATENÇÃO",IF(K972&lt;=5,"BOM","EXCELENTE")))</f>
        <v/>
      </c>
      <c r="M972" t="n">
        <v>22</v>
      </c>
      <c r="N972" t="n">
        <v>94.12</v>
      </c>
      <c r="O972" t="n">
        <v>23.80952380952381</v>
      </c>
    </row>
    <row r="973" hidden="1">
      <c r="A973" s="11" t="n">
        <v>46030</v>
      </c>
      <c r="B973" t="inlineStr">
        <is>
          <t>Jéssica Fé Moura</t>
        </is>
      </c>
      <c r="C973" t="inlineStr">
        <is>
          <t>Técnico III</t>
        </is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s="3" t="n">
        <v>0</v>
      </c>
      <c r="J973" s="3" t="n">
        <v>0</v>
      </c>
      <c r="K973" s="3" t="n">
        <v>0</v>
      </c>
      <c r="L973" s="3">
        <f>IF(K973&lt;-5,"CRÍTICO",IF(K973&lt;0,"ATENÇÃO",IF(K973&lt;=5,"BOM","EXCELENTE")))</f>
        <v/>
      </c>
      <c r="M973" t="n">
        <v>25</v>
      </c>
      <c r="N973" t="n">
        <v>100</v>
      </c>
      <c r="O973" t="n">
        <v>37.37373737373738</v>
      </c>
    </row>
    <row r="974" hidden="1">
      <c r="A974" s="11" t="n">
        <v>46030</v>
      </c>
      <c r="B974" t="inlineStr">
        <is>
          <t>Karina Gonçalves Martins</t>
        </is>
      </c>
      <c r="C974" t="inlineStr">
        <is>
          <t>JR</t>
        </is>
      </c>
      <c r="D974" t="n">
        <v>8</v>
      </c>
      <c r="E974" t="n">
        <v>8</v>
      </c>
      <c r="F974" t="n">
        <v>16.42</v>
      </c>
      <c r="G974" t="n">
        <v>0</v>
      </c>
      <c r="H974" t="n">
        <v>0</v>
      </c>
      <c r="I974" s="3">
        <f>E974+G974+H974</f>
        <v/>
      </c>
      <c r="J974" s="3">
        <f>ROUND(MIN(IF(C974="Técnico III",35,IF(C974="Técnico II",28,IF(C974="Técnico I",23,IF(C974="JR",20,IF(C974="Estágio",10,0))))),IF(C974="Técnico III",SUMIFS($D:$D,$A:$A,$A974,$B:$B,"&lt;&gt;Patrícia Karla de Sousa Araújo",$B:$B,"&lt;&gt;Lorena Dias de Araujo",$B:$B,"&lt;&gt;Lucas Luiz Romero")*(35/1083),IF(C974="Técnico II",SUMIFS($D:$D,$A:$A,$A974,$B:$B,"&lt;&gt;Patrícia Karla de Sousa Araújo",$B:$B,"&lt;&gt;Lorena Dias de Araujo",$B:$B,"&lt;&gt;Lucas Luiz Romero")*(28/1083),IF(C974="Técnico I",SUMIFS($D:$D,$A:$A,$A974,$B:$B,"&lt;&gt;Patrícia Karla de Sousa Araújo",$B:$B,"&lt;&gt;Lorena Dias de Araujo",$B:$B,"&lt;&gt;Lucas Luiz Romero")*(23/1083),IF(C974="JR",SUMIFS($D:$D,$A:$A,$A974,$B:$B,"&lt;&gt;Patrícia Karla de Sousa Araújo",$B:$B,"&lt;&gt;Lorena Dias de Araujo",$B:$B,"&lt;&gt;Lucas Luiz Romero")*(20/1083),IF(C974="Estágio",SUMIFS($D:$D,$A:$A,$A974,$B:$B,"&lt;&gt;Patrícia Karla de Sousa Araújo",$B:$B,"&lt;&gt;Lorena Dias de Araujo",$B:$B,"&lt;&gt;Lucas Luiz Romero")*(10/1083),0)))))),0)</f>
        <v/>
      </c>
      <c r="K974" s="3">
        <f>I974-J974</f>
        <v/>
      </c>
      <c r="L974" s="3">
        <f>IF(K974&lt;-5,"CRÍTICO",IF(K974&lt;0,"ATENÇÃO",IF(K974&lt;=5,"BOM","EXCELENTE")))</f>
        <v/>
      </c>
      <c r="M974" t="n">
        <v>8</v>
      </c>
      <c r="N974" t="n">
        <v>100</v>
      </c>
      <c r="O974" t="n">
        <v>36.66666666666666</v>
      </c>
    </row>
    <row r="975" hidden="1">
      <c r="A975" s="11" t="n">
        <v>46030</v>
      </c>
      <c r="B975" t="inlineStr">
        <is>
          <t>Kerollen Cristielly de Jesus Siqueira</t>
        </is>
      </c>
      <c r="C975" t="inlineStr">
        <is>
          <t>Técnico III</t>
        </is>
      </c>
      <c r="D975" t="n">
        <v>24</v>
      </c>
      <c r="E975" t="n">
        <v>22</v>
      </c>
      <c r="F975" t="n">
        <v>17.37</v>
      </c>
      <c r="G975" t="n">
        <v>0</v>
      </c>
      <c r="H975" t="n">
        <v>0</v>
      </c>
      <c r="I975" s="3">
        <f>E975+G975+H975</f>
        <v/>
      </c>
      <c r="J975" s="3">
        <f>ROUND(MIN(IF(C975="Técnico III",35,IF(C975="Técnico II",28,IF(C975="Técnico I",23,IF(C975="JR",20,IF(C975="Estágio",10,0))))),IF(C975="Técnico III",SUMIFS($D:$D,$A:$A,$A975,$B:$B,"&lt;&gt;Patrícia Karla de Sousa Araújo",$B:$B,"&lt;&gt;Lorena Dias de Araujo",$B:$B,"&lt;&gt;Lucas Luiz Romero")*(35/1083),IF(C975="Técnico II",SUMIFS($D:$D,$A:$A,$A975,$B:$B,"&lt;&gt;Patrícia Karla de Sousa Araújo",$B:$B,"&lt;&gt;Lorena Dias de Araujo",$B:$B,"&lt;&gt;Lucas Luiz Romero")*(28/1083),IF(C975="Técnico I",SUMIFS($D:$D,$A:$A,$A975,$B:$B,"&lt;&gt;Patrícia Karla de Sousa Araújo",$B:$B,"&lt;&gt;Lorena Dias de Araujo",$B:$B,"&lt;&gt;Lucas Luiz Romero")*(23/1083),IF(C975="JR",SUMIFS($D:$D,$A:$A,$A975,$B:$B,"&lt;&gt;Patrícia Karla de Sousa Araújo",$B:$B,"&lt;&gt;Lorena Dias de Araujo",$B:$B,"&lt;&gt;Lucas Luiz Romero")*(20/1083),IF(C975="Estágio",SUMIFS($D:$D,$A:$A,$A975,$B:$B,"&lt;&gt;Patrícia Karla de Sousa Araújo",$B:$B,"&lt;&gt;Lorena Dias de Araujo",$B:$B,"&lt;&gt;Lucas Luiz Romero")*(10/1083),0)))))),0)</f>
        <v/>
      </c>
      <c r="K975" s="3">
        <f>I975-J975</f>
        <v/>
      </c>
      <c r="L975" s="3">
        <f>IF(K975&lt;-5,"CRÍTICO",IF(K975&lt;0,"ATENÇÃO",IF(K975&lt;=5,"BOM","EXCELENTE")))</f>
        <v/>
      </c>
      <c r="M975" t="n">
        <v>21</v>
      </c>
      <c r="N975" t="n">
        <v>95.34999999999999</v>
      </c>
      <c r="O975" t="n">
        <v>50.92592592592593</v>
      </c>
    </row>
    <row r="976" hidden="1">
      <c r="A976" s="11" t="n">
        <v>46030</v>
      </c>
      <c r="B976" t="inlineStr">
        <is>
          <t>Leandro de Souza Silva</t>
        </is>
      </c>
      <c r="C976" t="inlineStr">
        <is>
          <t>JR</t>
        </is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s="3" t="n">
        <v>0</v>
      </c>
      <c r="J976" s="3" t="n">
        <v>0</v>
      </c>
      <c r="K976" s="3" t="n">
        <v>0</v>
      </c>
      <c r="L976" s="3">
        <f>IF(K976&lt;-5,"CRÍTICO",IF(K976&lt;0,"ATENÇÃO",IF(K976&lt;=5,"BOM","EXCELENTE")))</f>
        <v/>
      </c>
      <c r="M976" t="n">
        <v>0</v>
      </c>
      <c r="N976" t="n">
        <v>0</v>
      </c>
      <c r="O976" t="n">
        <v>0</v>
      </c>
    </row>
    <row r="977" hidden="1">
      <c r="A977" s="11" t="n">
        <v>46030</v>
      </c>
      <c r="B977" t="inlineStr">
        <is>
          <t>Leandro Oliveira de Sousa</t>
        </is>
      </c>
      <c r="C977" t="inlineStr">
        <is>
          <t>Técnico III</t>
        </is>
      </c>
      <c r="D977" t="n">
        <v>34</v>
      </c>
      <c r="E977" t="n">
        <v>29</v>
      </c>
      <c r="F977" t="n">
        <v>14.16</v>
      </c>
      <c r="G977" t="n">
        <v>0</v>
      </c>
      <c r="H977" t="n">
        <v>0</v>
      </c>
      <c r="I977" s="3">
        <f>E977+G977+H977</f>
        <v/>
      </c>
      <c r="J977" s="3">
        <f>ROUND(MIN(IF(C977="Técnico III",35,IF(C977="Técnico II",28,IF(C977="Técnico I",23,IF(C977="JR",20,IF(C977="Estágio",10,0))))),IF(C977="Técnico III",SUMIFS($D:$D,$A:$A,$A977,$B:$B,"&lt;&gt;Patrícia Karla de Sousa Araújo",$B:$B,"&lt;&gt;Lorena Dias de Araujo",$B:$B,"&lt;&gt;Lucas Luiz Romero")*(35/1083),IF(C977="Técnico II",SUMIFS($D:$D,$A:$A,$A977,$B:$B,"&lt;&gt;Patrícia Karla de Sousa Araújo",$B:$B,"&lt;&gt;Lorena Dias de Araujo",$B:$B,"&lt;&gt;Lucas Luiz Romero")*(28/1083),IF(C977="Técnico I",SUMIFS($D:$D,$A:$A,$A977,$B:$B,"&lt;&gt;Patrícia Karla de Sousa Araújo",$B:$B,"&lt;&gt;Lorena Dias de Araujo",$B:$B,"&lt;&gt;Lucas Luiz Romero")*(23/1083),IF(C977="JR",SUMIFS($D:$D,$A:$A,$A977,$B:$B,"&lt;&gt;Patrícia Karla de Sousa Araújo",$B:$B,"&lt;&gt;Lorena Dias de Araujo",$B:$B,"&lt;&gt;Lucas Luiz Romero")*(20/1083),IF(C977="Estágio",SUMIFS($D:$D,$A:$A,$A977,$B:$B,"&lt;&gt;Patrícia Karla de Sousa Araújo",$B:$B,"&lt;&gt;Lorena Dias de Araujo",$B:$B,"&lt;&gt;Lucas Luiz Romero")*(10/1083),0)))))),0)</f>
        <v/>
      </c>
      <c r="K977" s="3">
        <f>I977-J977</f>
        <v/>
      </c>
      <c r="L977" s="3">
        <f>IF(K977&lt;-5,"CRÍTICO",IF(K977&lt;0,"ATENÇÃO",IF(K977&lt;=5,"BOM","EXCELENTE")))</f>
        <v/>
      </c>
      <c r="M977" t="n">
        <v>31</v>
      </c>
      <c r="N977" t="n">
        <v>100</v>
      </c>
      <c r="O977" t="n">
        <v>24.6031746031746</v>
      </c>
    </row>
    <row r="978" hidden="1">
      <c r="A978" s="11" t="n">
        <v>46030</v>
      </c>
      <c r="B978" t="inlineStr">
        <is>
          <t>Lizandra Gomes Duarte</t>
        </is>
      </c>
      <c r="C978" t="inlineStr">
        <is>
          <t>Técnico II</t>
        </is>
      </c>
      <c r="D978" t="n">
        <v>32</v>
      </c>
      <c r="E978" t="n">
        <v>31</v>
      </c>
      <c r="F978" t="n">
        <v>19.15</v>
      </c>
      <c r="G978" t="n">
        <v>0</v>
      </c>
      <c r="H978" t="n">
        <v>0</v>
      </c>
      <c r="I978" s="3">
        <f>E978+G978+H978</f>
        <v/>
      </c>
      <c r="J978" s="3">
        <f>ROUND(MIN(IF(C978="Técnico III",35,IF(C978="Técnico II",28,IF(C978="Técnico I",23,IF(C978="JR",20,IF(C978="Estágio",10,0))))),IF(C978="Técnico III",SUMIFS($D:$D,$A:$A,$A978,$B:$B,"&lt;&gt;Patrícia Karla de Sousa Araújo",$B:$B,"&lt;&gt;Lorena Dias de Araujo",$B:$B,"&lt;&gt;Lucas Luiz Romero")*(35/1083),IF(C978="Técnico II",SUMIFS($D:$D,$A:$A,$A978,$B:$B,"&lt;&gt;Patrícia Karla de Sousa Araújo",$B:$B,"&lt;&gt;Lorena Dias de Araujo",$B:$B,"&lt;&gt;Lucas Luiz Romero")*(28/1083),IF(C978="Técnico I",SUMIFS($D:$D,$A:$A,$A978,$B:$B,"&lt;&gt;Patrícia Karla de Sousa Araújo",$B:$B,"&lt;&gt;Lorena Dias de Araujo",$B:$B,"&lt;&gt;Lucas Luiz Romero")*(23/1083),IF(C978="JR",SUMIFS($D:$D,$A:$A,$A978,$B:$B,"&lt;&gt;Patrícia Karla de Sousa Araújo",$B:$B,"&lt;&gt;Lorena Dias de Araujo",$B:$B,"&lt;&gt;Lucas Luiz Romero")*(20/1083),IF(C978="Estágio",SUMIFS($D:$D,$A:$A,$A978,$B:$B,"&lt;&gt;Patrícia Karla de Sousa Araújo",$B:$B,"&lt;&gt;Lorena Dias de Araujo",$B:$B,"&lt;&gt;Lucas Luiz Romero")*(10/1083),0)))))),0)</f>
        <v/>
      </c>
      <c r="K978" s="3">
        <f>I978-J978</f>
        <v/>
      </c>
      <c r="L978" s="3">
        <f>IF(K978&lt;-5,"CRÍTICO",IF(K978&lt;0,"ATENÇÃO",IF(K978&lt;=5,"BOM","EXCELENTE")))</f>
        <v/>
      </c>
      <c r="M978" t="n">
        <v>18</v>
      </c>
      <c r="N978" t="n">
        <v>100</v>
      </c>
      <c r="O978" t="n">
        <v>33.03571428571428</v>
      </c>
    </row>
    <row r="979" hidden="1">
      <c r="A979" s="11" t="n">
        <v>46030</v>
      </c>
      <c r="B979" t="inlineStr">
        <is>
          <t>Lorena Dias de Araujo</t>
        </is>
      </c>
      <c r="C979" t="inlineStr">
        <is>
          <t>Técnico II</t>
        </is>
      </c>
      <c r="D979" t="n">
        <v>28</v>
      </c>
      <c r="E979" t="n">
        <v>27</v>
      </c>
      <c r="F979" t="n">
        <v>20.25</v>
      </c>
      <c r="G979" t="n">
        <v>0</v>
      </c>
      <c r="H979" t="n">
        <v>0</v>
      </c>
      <c r="I979" s="3" t="n">
        <v>0</v>
      </c>
      <c r="J979" s="3" t="n">
        <v>0</v>
      </c>
      <c r="K979" s="3" t="n">
        <v>0</v>
      </c>
      <c r="L979" s="3">
        <f>IF(K979&lt;-5,"CRÍTICO",IF(K979&lt;0,"ATENÇÃO",IF(K979&lt;=5,"BOM","EXCELENTE")))</f>
        <v/>
      </c>
      <c r="M979" t="n">
        <v>20</v>
      </c>
      <c r="N979" t="n">
        <v>100</v>
      </c>
      <c r="O979" t="n">
        <v>29</v>
      </c>
    </row>
    <row r="980" hidden="1">
      <c r="A980" s="11" t="n">
        <v>46030</v>
      </c>
      <c r="B980" t="inlineStr">
        <is>
          <t>Lucas Luiz Romero</t>
        </is>
      </c>
      <c r="C980" t="inlineStr">
        <is>
          <t>Técnico III</t>
        </is>
      </c>
      <c r="D980" t="n">
        <v>46</v>
      </c>
      <c r="E980" t="n">
        <v>31</v>
      </c>
      <c r="F980" t="n">
        <v>8.48</v>
      </c>
      <c r="G980" t="n">
        <v>0</v>
      </c>
      <c r="H980" t="n">
        <v>0</v>
      </c>
      <c r="I980" s="3">
        <f>E980+G980+H980</f>
        <v/>
      </c>
      <c r="J980" s="3">
        <f>ROUND(MIN(IF(C980="Técnico III",35,IF(C980="Técnico II",28,IF(C980="Técnico I",23,IF(C980="JR",20,IF(C980="Estágio",10,0))))),IF(C980="Técnico III",SUMIFS($D:$D,$A:$A,$A980,$B:$B,"&lt;&gt;Patrícia Karla de Sousa Araújo",$B:$B,"&lt;&gt;Lorena Dias de Araujo",$B:$B,"&lt;&gt;Lucas Luiz Romero")*(35/1083),IF(C980="Técnico II",SUMIFS($D:$D,$A:$A,$A980,$B:$B,"&lt;&gt;Patrícia Karla de Sousa Araújo",$B:$B,"&lt;&gt;Lorena Dias de Araujo",$B:$B,"&lt;&gt;Lucas Luiz Romero")*(28/1083),IF(C980="Técnico I",SUMIFS($D:$D,$A:$A,$A980,$B:$B,"&lt;&gt;Patrícia Karla de Sousa Araújo",$B:$B,"&lt;&gt;Lorena Dias de Araujo",$B:$B,"&lt;&gt;Lucas Luiz Romero")*(23/1083),IF(C980="JR",SUMIFS($D:$D,$A:$A,$A980,$B:$B,"&lt;&gt;Patrícia Karla de Sousa Araújo",$B:$B,"&lt;&gt;Lorena Dias de Araujo",$B:$B,"&lt;&gt;Lucas Luiz Romero")*(20/1083),IF(C980="Estágio",SUMIFS($D:$D,$A:$A,$A980,$B:$B,"&lt;&gt;Patrícia Karla de Sousa Araújo",$B:$B,"&lt;&gt;Lorena Dias de Araujo",$B:$B,"&lt;&gt;Lucas Luiz Romero")*(10/1083),0)))))),0)</f>
        <v/>
      </c>
      <c r="K980" s="3">
        <f>I980-J980</f>
        <v/>
      </c>
      <c r="L980" s="3">
        <f>IF(K980&lt;-5,"CRÍTICO",IF(K980&lt;0,"ATENÇÃO",IF(K980&lt;=5,"BOM","EXCELENTE")))</f>
        <v/>
      </c>
      <c r="M980" t="n">
        <v>29</v>
      </c>
      <c r="N980" t="n">
        <v>93.75</v>
      </c>
      <c r="O980" t="n">
        <v>27.53623188405797</v>
      </c>
    </row>
    <row r="981" hidden="1">
      <c r="A981" s="11" t="n">
        <v>46030</v>
      </c>
      <c r="B981" t="inlineStr">
        <is>
          <t>Luiz Fernando de Carvalho Junior</t>
        </is>
      </c>
      <c r="C981" t="inlineStr">
        <is>
          <t>Técnico I</t>
        </is>
      </c>
      <c r="D981" t="n">
        <v>15</v>
      </c>
      <c r="E981" t="n">
        <v>14</v>
      </c>
      <c r="F981" t="n">
        <v>34</v>
      </c>
      <c r="G981" t="n">
        <v>0</v>
      </c>
      <c r="H981" t="n">
        <v>0</v>
      </c>
      <c r="I981" s="3">
        <f>E981+G981+H981</f>
        <v/>
      </c>
      <c r="J981" s="3">
        <f>ROUND(MIN(IF(C981="Técnico III",35,IF(C981="Técnico II",28,IF(C981="Técnico I",23,IF(C981="JR",20,IF(C981="Estágio",10,0))))),IF(C981="Técnico III",SUMIFS($D:$D,$A:$A,$A981,$B:$B,"&lt;&gt;Patrícia Karla de Sousa Araújo",$B:$B,"&lt;&gt;Lorena Dias de Araujo",$B:$B,"&lt;&gt;Lucas Luiz Romero")*(35/1083),IF(C981="Técnico II",SUMIFS($D:$D,$A:$A,$A981,$B:$B,"&lt;&gt;Patrícia Karla de Sousa Araújo",$B:$B,"&lt;&gt;Lorena Dias de Araujo",$B:$B,"&lt;&gt;Lucas Luiz Romero")*(28/1083),IF(C981="Técnico I",SUMIFS($D:$D,$A:$A,$A981,$B:$B,"&lt;&gt;Patrícia Karla de Sousa Araújo",$B:$B,"&lt;&gt;Lorena Dias de Araujo",$B:$B,"&lt;&gt;Lucas Luiz Romero")*(23/1083),IF(C981="JR",SUMIFS($D:$D,$A:$A,$A981,$B:$B,"&lt;&gt;Patrícia Karla de Sousa Araújo",$B:$B,"&lt;&gt;Lorena Dias de Araujo",$B:$B,"&lt;&gt;Lucas Luiz Romero")*(20/1083),IF(C981="Estágio",SUMIFS($D:$D,$A:$A,$A981,$B:$B,"&lt;&gt;Patrícia Karla de Sousa Araújo",$B:$B,"&lt;&gt;Lorena Dias de Araujo",$B:$B,"&lt;&gt;Lucas Luiz Romero")*(10/1083),0)))))),0)</f>
        <v/>
      </c>
      <c r="K981" s="3">
        <f>I981-J981</f>
        <v/>
      </c>
      <c r="L981" s="3">
        <f>IF(K981&lt;-5,"CRÍTICO",IF(K981&lt;0,"ATENÇÃO",IF(K981&lt;=5,"BOM","EXCELENTE")))</f>
        <v/>
      </c>
      <c r="M981" t="n">
        <v>16</v>
      </c>
      <c r="N981" t="n">
        <v>100</v>
      </c>
      <c r="O981" t="n">
        <v>24.50980392156863</v>
      </c>
    </row>
    <row r="982" hidden="1">
      <c r="A982" s="11" t="n">
        <v>46030</v>
      </c>
      <c r="B982" t="inlineStr">
        <is>
          <t>Maria Eduarda Sousa Costa</t>
        </is>
      </c>
      <c r="C982" t="inlineStr">
        <is>
          <t>Estágio</t>
        </is>
      </c>
      <c r="D982" t="n">
        <v>12</v>
      </c>
      <c r="E982" t="n">
        <v>12</v>
      </c>
      <c r="F982" t="n">
        <v>51.49</v>
      </c>
      <c r="G982" t="n">
        <v>0</v>
      </c>
      <c r="H982" t="n">
        <v>0</v>
      </c>
      <c r="I982" s="3">
        <f>E982+G982+H982</f>
        <v/>
      </c>
      <c r="J982" s="3">
        <f>ROUND(MIN(IF(C982="Técnico III",35,IF(C982="Técnico II",28,IF(C982="Técnico I",23,IF(C982="JR",20,IF(C982="Estágio",10,0))))),IF(C982="Técnico III",SUMIFS($D:$D,$A:$A,$A982,$B:$B,"&lt;&gt;Patrícia Karla de Sousa Araújo",$B:$B,"&lt;&gt;Lorena Dias de Araujo",$B:$B,"&lt;&gt;Lucas Luiz Romero")*(35/1083),IF(C982="Técnico II",SUMIFS($D:$D,$A:$A,$A982,$B:$B,"&lt;&gt;Patrícia Karla de Sousa Araújo",$B:$B,"&lt;&gt;Lorena Dias de Araujo",$B:$B,"&lt;&gt;Lucas Luiz Romero")*(28/1083),IF(C982="Técnico I",SUMIFS($D:$D,$A:$A,$A982,$B:$B,"&lt;&gt;Patrícia Karla de Sousa Araújo",$B:$B,"&lt;&gt;Lorena Dias de Araujo",$B:$B,"&lt;&gt;Lucas Luiz Romero")*(23/1083),IF(C982="JR",SUMIFS($D:$D,$A:$A,$A982,$B:$B,"&lt;&gt;Patrícia Karla de Sousa Araújo",$B:$B,"&lt;&gt;Lorena Dias de Araujo",$B:$B,"&lt;&gt;Lucas Luiz Romero")*(20/1083),IF(C982="Estágio",SUMIFS($D:$D,$A:$A,$A982,$B:$B,"&lt;&gt;Patrícia Karla de Sousa Araújo",$B:$B,"&lt;&gt;Lorena Dias de Araujo",$B:$B,"&lt;&gt;Lucas Luiz Romero")*(10/1083),0)))))),0)</f>
        <v/>
      </c>
      <c r="K982" s="3">
        <f>I982-J982</f>
        <v/>
      </c>
      <c r="L982" s="3">
        <f>IF(K982&lt;-5,"CRÍTICO",IF(K982&lt;0,"ATENÇÃO",IF(K982&lt;=5,"BOM","EXCELENTE")))</f>
        <v/>
      </c>
      <c r="M982" t="n">
        <v>10</v>
      </c>
      <c r="N982" t="n">
        <v>100</v>
      </c>
      <c r="O982" t="n">
        <v>31.70731707317073</v>
      </c>
    </row>
    <row r="983" hidden="1">
      <c r="A983" s="11" t="n">
        <v>46030</v>
      </c>
      <c r="B983" t="inlineStr">
        <is>
          <t>Matheus Farias De Souza</t>
        </is>
      </c>
      <c r="C983" t="inlineStr">
        <is>
          <t>Técnico III</t>
        </is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s="3" t="n">
        <v>0</v>
      </c>
      <c r="J983" s="3" t="n">
        <v>0</v>
      </c>
      <c r="K983" s="3" t="n">
        <v>0</v>
      </c>
      <c r="L983" s="3">
        <f>IF(K983&lt;-5,"CRÍTICO",IF(K983&lt;0,"ATENÇÃO",IF(K983&lt;=5,"BOM","EXCELENTE")))</f>
        <v/>
      </c>
      <c r="M983" t="n">
        <v>0</v>
      </c>
      <c r="N983" t="n">
        <v>100</v>
      </c>
      <c r="O983" t="n">
        <v>0</v>
      </c>
    </row>
    <row r="984" hidden="1">
      <c r="A984" s="11" t="n">
        <v>46030</v>
      </c>
      <c r="B984" t="inlineStr">
        <is>
          <t>Maysa Victoria Dias Moura</t>
        </is>
      </c>
      <c r="C984" t="inlineStr">
        <is>
          <t>Técnico III</t>
        </is>
      </c>
      <c r="D984" t="n">
        <v>35</v>
      </c>
      <c r="E984" t="n">
        <v>32</v>
      </c>
      <c r="F984" t="n">
        <v>16.46</v>
      </c>
      <c r="G984" t="n">
        <v>0</v>
      </c>
      <c r="H984" t="n">
        <v>0</v>
      </c>
      <c r="I984" s="3">
        <f>E984+G984+H984</f>
        <v/>
      </c>
      <c r="J984" s="3">
        <f>ROUND(MIN(IF(C984="Técnico III",35,IF(C984="Técnico II",28,IF(C984="Técnico I",23,IF(C984="JR",20,IF(C984="Estágio",10,0))))),IF(C984="Técnico III",SUMIFS($D:$D,$A:$A,$A984,$B:$B,"&lt;&gt;Patrícia Karla de Sousa Araújo",$B:$B,"&lt;&gt;Lorena Dias de Araujo",$B:$B,"&lt;&gt;Lucas Luiz Romero")*(35/1083),IF(C984="Técnico II",SUMIFS($D:$D,$A:$A,$A984,$B:$B,"&lt;&gt;Patrícia Karla de Sousa Araújo",$B:$B,"&lt;&gt;Lorena Dias de Araujo",$B:$B,"&lt;&gt;Lucas Luiz Romero")*(28/1083),IF(C984="Técnico I",SUMIFS($D:$D,$A:$A,$A984,$B:$B,"&lt;&gt;Patrícia Karla de Sousa Araújo",$B:$B,"&lt;&gt;Lorena Dias de Araujo",$B:$B,"&lt;&gt;Lucas Luiz Romero")*(23/1083),IF(C984="JR",SUMIFS($D:$D,$A:$A,$A984,$B:$B,"&lt;&gt;Patrícia Karla de Sousa Araújo",$B:$B,"&lt;&gt;Lorena Dias de Araujo",$B:$B,"&lt;&gt;Lucas Luiz Romero")*(20/1083),IF(C984="Estágio",SUMIFS($D:$D,$A:$A,$A984,$B:$B,"&lt;&gt;Patrícia Karla de Sousa Araújo",$B:$B,"&lt;&gt;Lorena Dias de Araujo",$B:$B,"&lt;&gt;Lucas Luiz Romero")*(10/1083),0)))))),0)</f>
        <v/>
      </c>
      <c r="K984" s="3">
        <f>I984-J984</f>
        <v/>
      </c>
      <c r="L984" s="3">
        <f>IF(K984&lt;-5,"CRÍTICO",IF(K984&lt;0,"ATENÇÃO",IF(K984&lt;=5,"BOM","EXCELENTE")))</f>
        <v/>
      </c>
      <c r="M984" t="n">
        <v>24</v>
      </c>
      <c r="N984" t="n">
        <v>100</v>
      </c>
      <c r="O984" t="n">
        <v>33.59375</v>
      </c>
    </row>
    <row r="985" hidden="1">
      <c r="A985" s="11" t="n">
        <v>46030</v>
      </c>
      <c r="B985" t="inlineStr">
        <is>
          <t>Michelle G Santos</t>
        </is>
      </c>
      <c r="C985" t="inlineStr">
        <is>
          <t>Estágio</t>
        </is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s="3" t="n">
        <v>0</v>
      </c>
      <c r="J985" s="3" t="n">
        <v>0</v>
      </c>
      <c r="K985" s="3" t="n">
        <v>0</v>
      </c>
      <c r="L985" s="3">
        <f>IF(K985&lt;-5,"CRÍTICO",IF(K985&lt;0,"ATENÇÃO",IF(K985&lt;=5,"BOM","EXCELENTE")))</f>
        <v/>
      </c>
      <c r="M985" t="n">
        <v>0</v>
      </c>
      <c r="N985" t="n">
        <v>0</v>
      </c>
      <c r="O985" t="n">
        <v>0</v>
      </c>
    </row>
    <row r="986" hidden="1">
      <c r="A986" s="11" t="n">
        <v>46030</v>
      </c>
      <c r="B986" t="inlineStr">
        <is>
          <t>Milena Sales</t>
        </is>
      </c>
      <c r="C986" t="inlineStr">
        <is>
          <t>JR</t>
        </is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s="3" t="n">
        <v>0</v>
      </c>
      <c r="J986" s="3" t="n">
        <v>0</v>
      </c>
      <c r="K986" s="3" t="n">
        <v>0</v>
      </c>
      <c r="L986" s="3">
        <f>IF(K986&lt;-5,"CRÍTICO",IF(K986&lt;0,"ATENÇÃO",IF(K986&lt;=5,"BOM","EXCELENTE")))</f>
        <v/>
      </c>
      <c r="M986" t="n">
        <v>0</v>
      </c>
      <c r="N986" t="n">
        <v>0</v>
      </c>
      <c r="O986" t="n">
        <v>0</v>
      </c>
    </row>
    <row r="987" hidden="1">
      <c r="A987" s="11" t="n">
        <v>46030</v>
      </c>
      <c r="B987" t="inlineStr">
        <is>
          <t>Patrícia Karla de Sousa Araújo</t>
        </is>
      </c>
      <c r="C987" t="inlineStr">
        <is>
          <t>Técnico II</t>
        </is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s="3" t="n">
        <v>0</v>
      </c>
      <c r="J987" s="3" t="n">
        <v>0</v>
      </c>
      <c r="K987" s="3" t="n">
        <v>0</v>
      </c>
      <c r="L987" s="3">
        <f>IF(K987&lt;-5,"CRÍTICO",IF(K987&lt;0,"ATENÇÃO",IF(K987&lt;=5,"BOM","EXCELENTE")))</f>
        <v/>
      </c>
      <c r="M987" t="n">
        <v>0</v>
      </c>
      <c r="N987" t="n">
        <v>100</v>
      </c>
      <c r="O987" t="n">
        <v>0</v>
      </c>
    </row>
    <row r="988" hidden="1">
      <c r="A988" s="11" t="n">
        <v>46030</v>
      </c>
      <c r="B988" t="inlineStr">
        <is>
          <t>Paulo Ricardo Santos</t>
        </is>
      </c>
      <c r="C988" t="inlineStr">
        <is>
          <t>JR</t>
        </is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s="3" t="n">
        <v>0</v>
      </c>
      <c r="J988" s="3" t="n">
        <v>0</v>
      </c>
      <c r="K988" s="3" t="n">
        <v>0</v>
      </c>
      <c r="L988" s="3">
        <f>IF(K988&lt;-5,"CRÍTICO",IF(K988&lt;0,"ATENÇÃO",IF(K988&lt;=5,"BOM","EXCELENTE")))</f>
        <v/>
      </c>
      <c r="M988" t="n">
        <v>0</v>
      </c>
      <c r="N988" t="n">
        <v>0</v>
      </c>
      <c r="O988" t="n">
        <v>0</v>
      </c>
    </row>
    <row r="989" hidden="1">
      <c r="A989" s="11" t="n">
        <v>46030</v>
      </c>
      <c r="B989" t="inlineStr">
        <is>
          <t>Pedro Luiz Mota Sousa</t>
        </is>
      </c>
      <c r="C989" t="inlineStr">
        <is>
          <t>JR</t>
        </is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s="3" t="n">
        <v>0</v>
      </c>
      <c r="J989" s="3" t="n">
        <v>0</v>
      </c>
      <c r="K989" s="3" t="n">
        <v>0</v>
      </c>
      <c r="L989" s="3">
        <f>IF(K989&lt;-5,"CRÍTICO",IF(K989&lt;0,"ATENÇÃO",IF(K989&lt;=5,"BOM","EXCELENTE")))</f>
        <v/>
      </c>
      <c r="M989" t="n">
        <v>0</v>
      </c>
      <c r="N989" t="n">
        <v>0</v>
      </c>
      <c r="O989" t="n">
        <v>0</v>
      </c>
    </row>
    <row r="990" hidden="1">
      <c r="A990" s="11" t="n">
        <v>46030</v>
      </c>
      <c r="B990" t="inlineStr">
        <is>
          <t>Quirino Diogo Leite Torres</t>
        </is>
      </c>
      <c r="C990" t="inlineStr">
        <is>
          <t>Estágio</t>
        </is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s="3" t="n">
        <v>0</v>
      </c>
      <c r="J990" s="3" t="n">
        <v>0</v>
      </c>
      <c r="K990" s="3" t="n">
        <v>0</v>
      </c>
      <c r="L990" s="3">
        <f>IF(K990&lt;-5,"CRÍTICO",IF(K990&lt;0,"ATENÇÃO",IF(K990&lt;=5,"BOM","EXCELENTE")))</f>
        <v/>
      </c>
      <c r="M990" t="n">
        <v>0</v>
      </c>
      <c r="N990" t="n">
        <v>0</v>
      </c>
      <c r="O990" t="n">
        <v>0</v>
      </c>
    </row>
    <row r="991" hidden="1">
      <c r="A991" s="11" t="n">
        <v>46030</v>
      </c>
      <c r="B991" t="inlineStr">
        <is>
          <t>Raane Batista Matos</t>
        </is>
      </c>
      <c r="C991" t="inlineStr">
        <is>
          <t>Técnico I</t>
        </is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s="3" t="n">
        <v>0</v>
      </c>
      <c r="J991" s="3" t="n">
        <v>0</v>
      </c>
      <c r="K991" s="3" t="n">
        <v>0</v>
      </c>
      <c r="L991" s="3">
        <f>IF(K991&lt;-5,"CRÍTICO",IF(K991&lt;0,"ATENÇÃO",IF(K991&lt;=5,"BOM","EXCELENTE")))</f>
        <v/>
      </c>
      <c r="M991" t="n">
        <v>0</v>
      </c>
      <c r="N991" t="n">
        <v>0</v>
      </c>
      <c r="O991" t="n">
        <v>0</v>
      </c>
    </row>
    <row r="992" hidden="1">
      <c r="A992" s="11" t="n">
        <v>46030</v>
      </c>
      <c r="B992" t="inlineStr">
        <is>
          <t>Rafael Gomes de Morais</t>
        </is>
      </c>
      <c r="C992" t="inlineStr">
        <is>
          <t>Técnico III</t>
        </is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s="3" t="n">
        <v>0</v>
      </c>
      <c r="J992" s="3" t="n">
        <v>0</v>
      </c>
      <c r="K992" s="3" t="n">
        <v>0</v>
      </c>
      <c r="L992" s="3">
        <f>IF(K992&lt;-5,"CRÍTICO",IF(K992&lt;0,"ATENÇÃO",IF(K992&lt;=5,"BOM","EXCELENTE")))</f>
        <v/>
      </c>
      <c r="M992" t="n">
        <v>0</v>
      </c>
      <c r="N992" t="n">
        <v>0</v>
      </c>
      <c r="O992" t="n">
        <v>0</v>
      </c>
    </row>
    <row r="993" hidden="1">
      <c r="A993" s="11" t="n">
        <v>46030</v>
      </c>
      <c r="B993" t="inlineStr">
        <is>
          <t>Sara Maria Monteiro Lopes</t>
        </is>
      </c>
      <c r="C993" t="inlineStr">
        <is>
          <t>Técnico I</t>
        </is>
      </c>
      <c r="D993" t="n">
        <v>10</v>
      </c>
      <c r="E993" t="n">
        <v>10</v>
      </c>
      <c r="F993" t="n">
        <v>42.21</v>
      </c>
      <c r="G993" t="n">
        <v>0</v>
      </c>
      <c r="H993" t="n">
        <v>0</v>
      </c>
      <c r="I993" s="3">
        <f>E993+G993+H993</f>
        <v/>
      </c>
      <c r="J993" s="3">
        <f>ROUND(MIN(IF(C993="Técnico III",35,IF(C993="Técnico II",28,IF(C993="Técnico I",23,IF(C993="JR",20,IF(C993="Estágio",10,0))))),IF(C993="Técnico III",SUMIFS($D:$D,$A:$A,$A993,$B:$B,"&lt;&gt;Patrícia Karla de Sousa Araújo",$B:$B,"&lt;&gt;Lorena Dias de Araujo",$B:$B,"&lt;&gt;Lucas Luiz Romero")*(35/1083),IF(C993="Técnico II",SUMIFS($D:$D,$A:$A,$A993,$B:$B,"&lt;&gt;Patrícia Karla de Sousa Araújo",$B:$B,"&lt;&gt;Lorena Dias de Araujo",$B:$B,"&lt;&gt;Lucas Luiz Romero")*(28/1083),IF(C993="Técnico I",SUMIFS($D:$D,$A:$A,$A993,$B:$B,"&lt;&gt;Patrícia Karla de Sousa Araújo",$B:$B,"&lt;&gt;Lorena Dias de Araujo",$B:$B,"&lt;&gt;Lucas Luiz Romero")*(23/1083),IF(C993="JR",SUMIFS($D:$D,$A:$A,$A993,$B:$B,"&lt;&gt;Patrícia Karla de Sousa Araújo",$B:$B,"&lt;&gt;Lorena Dias de Araujo",$B:$B,"&lt;&gt;Lucas Luiz Romero")*(20/1083),IF(C993="Estágio",SUMIFS($D:$D,$A:$A,$A993,$B:$B,"&lt;&gt;Patrícia Karla de Sousa Araújo",$B:$B,"&lt;&gt;Lorena Dias de Araujo",$B:$B,"&lt;&gt;Lucas Luiz Romero")*(10/1083),0)))))),0)</f>
        <v/>
      </c>
      <c r="K993" s="3">
        <f>I993-J993</f>
        <v/>
      </c>
      <c r="L993" s="3">
        <f>IF(K993&lt;-5,"CRÍTICO",IF(K993&lt;0,"ATENÇÃO",IF(K993&lt;=5,"BOM","EXCELENTE")))</f>
        <v/>
      </c>
      <c r="M993" t="n">
        <v>8</v>
      </c>
      <c r="N993" t="n">
        <v>100</v>
      </c>
      <c r="O993" t="n">
        <v>37.03703703703704</v>
      </c>
    </row>
    <row r="994" hidden="1">
      <c r="A994" s="11" t="n">
        <v>46030</v>
      </c>
      <c r="B994" t="inlineStr">
        <is>
          <t>Sarah Steffanie de Lima Borges</t>
        </is>
      </c>
      <c r="C994" t="inlineStr">
        <is>
          <t>Técnico III</t>
        </is>
      </c>
      <c r="D994" t="n">
        <v>27</v>
      </c>
      <c r="E994" t="n">
        <v>26</v>
      </c>
      <c r="F994" t="n">
        <v>18.43</v>
      </c>
      <c r="G994" t="n">
        <v>0</v>
      </c>
      <c r="H994" t="n">
        <v>0</v>
      </c>
      <c r="I994" s="3">
        <f>E994+G994+H994</f>
        <v/>
      </c>
      <c r="J994" s="3">
        <f>ROUND(MIN(IF(C994="Técnico III",35,IF(C994="Técnico II",28,IF(C994="Técnico I",23,IF(C994="JR",20,IF(C994="Estágio",10,0))))),IF(C994="Técnico III",SUMIFS($D:$D,$A:$A,$A994,$B:$B,"&lt;&gt;Patrícia Karla de Sousa Araújo",$B:$B,"&lt;&gt;Lorena Dias de Araujo",$B:$B,"&lt;&gt;Lucas Luiz Romero")*(35/1083),IF(C994="Técnico II",SUMIFS($D:$D,$A:$A,$A994,$B:$B,"&lt;&gt;Patrícia Karla de Sousa Araújo",$B:$B,"&lt;&gt;Lorena Dias de Araujo",$B:$B,"&lt;&gt;Lucas Luiz Romero")*(28/1083),IF(C994="Técnico I",SUMIFS($D:$D,$A:$A,$A994,$B:$B,"&lt;&gt;Patrícia Karla de Sousa Araújo",$B:$B,"&lt;&gt;Lorena Dias de Araujo",$B:$B,"&lt;&gt;Lucas Luiz Romero")*(23/1083),IF(C994="JR",SUMIFS($D:$D,$A:$A,$A994,$B:$B,"&lt;&gt;Patrícia Karla de Sousa Araújo",$B:$B,"&lt;&gt;Lorena Dias de Araujo",$B:$B,"&lt;&gt;Lucas Luiz Romero")*(20/1083),IF(C994="Estágio",SUMIFS($D:$D,$A:$A,$A994,$B:$B,"&lt;&gt;Patrícia Karla de Sousa Araújo",$B:$B,"&lt;&gt;Lorena Dias de Araujo",$B:$B,"&lt;&gt;Lucas Luiz Romero")*(10/1083),0)))))),0)</f>
        <v/>
      </c>
      <c r="K994" s="3">
        <f>I994-J994</f>
        <v/>
      </c>
      <c r="L994" s="3">
        <f>IF(K994&lt;-5,"CRÍTICO",IF(K994&lt;0,"ATENÇÃO",IF(K994&lt;=5,"BOM","EXCELENTE")))</f>
        <v/>
      </c>
      <c r="M994" t="n">
        <v>24</v>
      </c>
      <c r="N994" t="n">
        <v>100</v>
      </c>
      <c r="O994" t="n">
        <v>26.66666666666667</v>
      </c>
    </row>
    <row r="995" hidden="1">
      <c r="A995" s="11" t="n">
        <v>46031</v>
      </c>
      <c r="B995" t="inlineStr">
        <is>
          <t>Alisson de Freitas Silva</t>
        </is>
      </c>
      <c r="C995" t="inlineStr">
        <is>
          <t>Técnico II</t>
        </is>
      </c>
      <c r="D995" t="n">
        <v>22</v>
      </c>
      <c r="E995" t="n">
        <v>19</v>
      </c>
      <c r="F995" t="n">
        <v>22.01</v>
      </c>
      <c r="G995" t="n">
        <v>0</v>
      </c>
      <c r="H995" t="n">
        <v>0</v>
      </c>
      <c r="I995" s="3">
        <f>E995+G995+H995</f>
        <v/>
      </c>
      <c r="J995" s="3">
        <f>ROUND(MIN(IF(C995="Técnico III",35,IF(C995="Técnico II",28,IF(C995="Técnico I",23,IF(C995="JR",20,IF(C995="Estágio",10,0))))),IF(C995="Técnico III",SUMIFS($D:$D,$A:$A,$A995,$B:$B,"&lt;&gt;Patrícia Karla de Sousa Araújo",$B:$B,"&lt;&gt;Lorena Dias de Araujo",$B:$B,"&lt;&gt;Lucas Luiz Romero")*(35/1083),IF(C995="Técnico II",SUMIFS($D:$D,$A:$A,$A995,$B:$B,"&lt;&gt;Patrícia Karla de Sousa Araújo",$B:$B,"&lt;&gt;Lorena Dias de Araujo",$B:$B,"&lt;&gt;Lucas Luiz Romero")*(28/1083),IF(C995="Técnico I",SUMIFS($D:$D,$A:$A,$A995,$B:$B,"&lt;&gt;Patrícia Karla de Sousa Araújo",$B:$B,"&lt;&gt;Lorena Dias de Araujo",$B:$B,"&lt;&gt;Lucas Luiz Romero")*(23/1083),IF(C995="JR",SUMIFS($D:$D,$A:$A,$A995,$B:$B,"&lt;&gt;Patrícia Karla de Sousa Araújo",$B:$B,"&lt;&gt;Lorena Dias de Araujo",$B:$B,"&lt;&gt;Lucas Luiz Romero")*(20/1083),IF(C995="Estágio",SUMIFS($D:$D,$A:$A,$A995,$B:$B,"&lt;&gt;Patrícia Karla de Sousa Araújo",$B:$B,"&lt;&gt;Lorena Dias de Araujo",$B:$B,"&lt;&gt;Lucas Luiz Romero")*(10/1083),0)))))),0)</f>
        <v/>
      </c>
      <c r="K995" s="3">
        <f>I995-J995</f>
        <v/>
      </c>
      <c r="L995" s="3">
        <f>IF(K995&lt;-5,"CRÍTICO",IF(K995&lt;0,"ATENÇÃO",IF(K995&lt;=5,"BOM","EXCELENTE")))</f>
        <v/>
      </c>
      <c r="M995" t="n">
        <v>10</v>
      </c>
      <c r="N995" t="n">
        <v>100</v>
      </c>
      <c r="O995" t="n">
        <v>26.41509433962264</v>
      </c>
    </row>
    <row r="996" hidden="1">
      <c r="A996" s="11" t="n">
        <v>46031</v>
      </c>
      <c r="B996" t="inlineStr">
        <is>
          <t>Amanda Moura Ferreira</t>
        </is>
      </c>
      <c r="C996" t="inlineStr">
        <is>
          <t>Técnico III</t>
        </is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s="3" t="n">
        <v>0</v>
      </c>
      <c r="J996" s="3" t="n">
        <v>0</v>
      </c>
      <c r="K996" s="3" t="n">
        <v>0</v>
      </c>
      <c r="L996" s="3">
        <f>IF(K996&lt;-5,"CRÍTICO",IF(K996&lt;0,"ATENÇÃO",IF(K996&lt;=5,"BOM","EXCELENTE")))</f>
        <v/>
      </c>
      <c r="M996" t="n">
        <v>28</v>
      </c>
      <c r="N996" t="n">
        <v>96.55</v>
      </c>
      <c r="O996" t="n">
        <v>26.31578947368421</v>
      </c>
    </row>
    <row r="997" hidden="1">
      <c r="A997" s="11" t="n">
        <v>46031</v>
      </c>
      <c r="B997" t="inlineStr">
        <is>
          <t>Ana Karollyne Souza Faria</t>
        </is>
      </c>
      <c r="C997" t="inlineStr">
        <is>
          <t>Técnico I</t>
        </is>
      </c>
      <c r="D997" t="n">
        <v>27</v>
      </c>
      <c r="E997" t="n">
        <v>23</v>
      </c>
      <c r="F997" t="n">
        <v>15.41</v>
      </c>
      <c r="G997" t="n">
        <v>0</v>
      </c>
      <c r="H997" t="n">
        <v>0</v>
      </c>
      <c r="I997" s="3">
        <f>E997+G997+H997</f>
        <v/>
      </c>
      <c r="J997" s="3">
        <f>ROUND(MIN(IF(C997="Técnico III",35,IF(C997="Técnico II",28,IF(C997="Técnico I",23,IF(C997="JR",20,IF(C997="Estágio",10,0))))),IF(C997="Técnico III",SUMIFS($D:$D,$A:$A,$A997,$B:$B,"&lt;&gt;Patrícia Karla de Sousa Araújo",$B:$B,"&lt;&gt;Lorena Dias de Araujo",$B:$B,"&lt;&gt;Lucas Luiz Romero")*(35/1083),IF(C997="Técnico II",SUMIFS($D:$D,$A:$A,$A997,$B:$B,"&lt;&gt;Patrícia Karla de Sousa Araújo",$B:$B,"&lt;&gt;Lorena Dias de Araujo",$B:$B,"&lt;&gt;Lucas Luiz Romero")*(28/1083),IF(C997="Técnico I",SUMIFS($D:$D,$A:$A,$A997,$B:$B,"&lt;&gt;Patrícia Karla de Sousa Araújo",$B:$B,"&lt;&gt;Lorena Dias de Araujo",$B:$B,"&lt;&gt;Lucas Luiz Romero")*(23/1083),IF(C997="JR",SUMIFS($D:$D,$A:$A,$A997,$B:$B,"&lt;&gt;Patrícia Karla de Sousa Araújo",$B:$B,"&lt;&gt;Lorena Dias de Araujo",$B:$B,"&lt;&gt;Lucas Luiz Romero")*(20/1083),IF(C997="Estágio",SUMIFS($D:$D,$A:$A,$A997,$B:$B,"&lt;&gt;Patrícia Karla de Sousa Araújo",$B:$B,"&lt;&gt;Lorena Dias de Araujo",$B:$B,"&lt;&gt;Lucas Luiz Romero")*(10/1083),0)))))),0)</f>
        <v/>
      </c>
      <c r="K997" s="3">
        <f>I997-J997</f>
        <v/>
      </c>
      <c r="L997" s="3">
        <f>IF(K997&lt;-5,"CRÍTICO",IF(K997&lt;0,"ATENÇÃO",IF(K997&lt;=5,"BOM","EXCELENTE")))</f>
        <v/>
      </c>
      <c r="M997" t="n">
        <v>25</v>
      </c>
      <c r="N997" t="n">
        <v>100</v>
      </c>
      <c r="O997" t="n">
        <v>26.02739726027397</v>
      </c>
    </row>
    <row r="998" hidden="1">
      <c r="A998" s="11" t="n">
        <v>46031</v>
      </c>
      <c r="B998" t="inlineStr">
        <is>
          <t>Ana Paula Da Luz Silva Aleixo</t>
        </is>
      </c>
      <c r="C998" t="inlineStr">
        <is>
          <t>Técnico III</t>
        </is>
      </c>
      <c r="D998" t="n">
        <v>27</v>
      </c>
      <c r="E998" t="n">
        <v>24</v>
      </c>
      <c r="F998" t="n">
        <v>15.19</v>
      </c>
      <c r="G998" t="n">
        <v>0</v>
      </c>
      <c r="H998" t="n">
        <v>0</v>
      </c>
      <c r="I998" s="3">
        <f>E998+G998+H998</f>
        <v/>
      </c>
      <c r="J998" s="3">
        <f>ROUND(MIN(IF(C998="Técnico III",35,IF(C998="Técnico II",28,IF(C998="Técnico I",23,IF(C998="JR",20,IF(C998="Estágio",10,0))))),IF(C998="Técnico III",SUMIFS($D:$D,$A:$A,$A998,$B:$B,"&lt;&gt;Patrícia Karla de Sousa Araújo",$B:$B,"&lt;&gt;Lorena Dias de Araujo",$B:$B,"&lt;&gt;Lucas Luiz Romero")*(35/1083),IF(C998="Técnico II",SUMIFS($D:$D,$A:$A,$A998,$B:$B,"&lt;&gt;Patrícia Karla de Sousa Araújo",$B:$B,"&lt;&gt;Lorena Dias de Araujo",$B:$B,"&lt;&gt;Lucas Luiz Romero")*(28/1083),IF(C998="Técnico I",SUMIFS($D:$D,$A:$A,$A998,$B:$B,"&lt;&gt;Patrícia Karla de Sousa Araújo",$B:$B,"&lt;&gt;Lorena Dias de Araujo",$B:$B,"&lt;&gt;Lucas Luiz Romero")*(23/1083),IF(C998="JR",SUMIFS($D:$D,$A:$A,$A998,$B:$B,"&lt;&gt;Patrícia Karla de Sousa Araújo",$B:$B,"&lt;&gt;Lorena Dias de Araujo",$B:$B,"&lt;&gt;Lucas Luiz Romero")*(20/1083),IF(C998="Estágio",SUMIFS($D:$D,$A:$A,$A998,$B:$B,"&lt;&gt;Patrícia Karla de Sousa Araújo",$B:$B,"&lt;&gt;Lorena Dias de Araujo",$B:$B,"&lt;&gt;Lucas Luiz Romero")*(10/1083),0)))))),0)</f>
        <v/>
      </c>
      <c r="K998" s="3">
        <f>I998-J998</f>
        <v/>
      </c>
      <c r="L998" s="3">
        <f>IF(K998&lt;-5,"CRÍTICO",IF(K998&lt;0,"ATENÇÃO",IF(K998&lt;=5,"BOM","EXCELENTE")))</f>
        <v/>
      </c>
      <c r="M998" t="n">
        <v>22</v>
      </c>
      <c r="N998" t="n">
        <v>100</v>
      </c>
      <c r="O998" t="n">
        <v>31.70731707317073</v>
      </c>
    </row>
    <row r="999" hidden="1">
      <c r="A999" s="11" t="n">
        <v>46031</v>
      </c>
      <c r="B999" t="inlineStr">
        <is>
          <t>Anna Luiza Rezende Tavares</t>
        </is>
      </c>
      <c r="C999" t="inlineStr">
        <is>
          <t>Estágio</t>
        </is>
      </c>
      <c r="D999" t="n">
        <v>12</v>
      </c>
      <c r="E999" t="n">
        <v>11</v>
      </c>
      <c r="F999" t="n">
        <v>30.49</v>
      </c>
      <c r="G999" t="n">
        <v>0</v>
      </c>
      <c r="H999" t="n">
        <v>0</v>
      </c>
      <c r="I999" s="3">
        <f>E999+G999+H999</f>
        <v/>
      </c>
      <c r="J999" s="3">
        <f>ROUND(MIN(IF(C999="Técnico III",35,IF(C999="Técnico II",28,IF(C999="Técnico I",23,IF(C999="JR",20,IF(C999="Estágio",10,0))))),IF(C999="Técnico III",SUMIFS($D:$D,$A:$A,$A999,$B:$B,"&lt;&gt;Patrícia Karla de Sousa Araújo",$B:$B,"&lt;&gt;Lorena Dias de Araujo",$B:$B,"&lt;&gt;Lucas Luiz Romero")*(35/1083),IF(C999="Técnico II",SUMIFS($D:$D,$A:$A,$A999,$B:$B,"&lt;&gt;Patrícia Karla de Sousa Araújo",$B:$B,"&lt;&gt;Lorena Dias de Araujo",$B:$B,"&lt;&gt;Lucas Luiz Romero")*(28/1083),IF(C999="Técnico I",SUMIFS($D:$D,$A:$A,$A999,$B:$B,"&lt;&gt;Patrícia Karla de Sousa Araújo",$B:$B,"&lt;&gt;Lorena Dias de Araujo",$B:$B,"&lt;&gt;Lucas Luiz Romero")*(23/1083),IF(C999="JR",SUMIFS($D:$D,$A:$A,$A999,$B:$B,"&lt;&gt;Patrícia Karla de Sousa Araújo",$B:$B,"&lt;&gt;Lorena Dias de Araujo",$B:$B,"&lt;&gt;Lucas Luiz Romero")*(20/1083),IF(C999="Estágio",SUMIFS($D:$D,$A:$A,$A999,$B:$B,"&lt;&gt;Patrícia Karla de Sousa Araújo",$B:$B,"&lt;&gt;Lorena Dias de Araujo",$B:$B,"&lt;&gt;Lucas Luiz Romero")*(10/1083),0)))))),0)</f>
        <v/>
      </c>
      <c r="K999" s="3">
        <f>I999-J999</f>
        <v/>
      </c>
      <c r="L999" s="3">
        <f>IF(K999&lt;-5,"CRÍTICO",IF(K999&lt;0,"ATENÇÃO",IF(K999&lt;=5,"BOM","EXCELENTE")))</f>
        <v/>
      </c>
      <c r="M999" t="n">
        <v>9</v>
      </c>
      <c r="N999" t="n">
        <v>100</v>
      </c>
      <c r="O999" t="n">
        <v>43.47826086956522</v>
      </c>
    </row>
    <row r="1000" hidden="1">
      <c r="A1000" s="11" t="n">
        <v>46031</v>
      </c>
      <c r="B1000" t="inlineStr">
        <is>
          <t>Brenda de Menezes Silva</t>
        </is>
      </c>
      <c r="C1000" t="inlineStr">
        <is>
          <t>Técnico II</t>
        </is>
      </c>
      <c r="D1000" t="n">
        <v>17</v>
      </c>
      <c r="E1000" t="n">
        <v>16</v>
      </c>
      <c r="F1000" t="n">
        <v>18.34</v>
      </c>
      <c r="G1000" t="n">
        <v>0</v>
      </c>
      <c r="H1000" t="n">
        <v>0</v>
      </c>
      <c r="I1000" s="3">
        <f>E1000+G1000+H1000</f>
        <v/>
      </c>
      <c r="J1000" s="3">
        <f>ROUND(MIN(IF(C1000="Técnico III",35,IF(C1000="Técnico II",28,IF(C1000="Técnico I",23,IF(C1000="JR",20,IF(C1000="Estágio",10,0))))),IF(C1000="Técnico III",SUMIFS($D:$D,$A:$A,$A1000,$B:$B,"&lt;&gt;Patrícia Karla de Sousa Araújo",$B:$B,"&lt;&gt;Lorena Dias de Araujo",$B:$B,"&lt;&gt;Lucas Luiz Romero")*(35/1083),IF(C1000="Técnico II",SUMIFS($D:$D,$A:$A,$A1000,$B:$B,"&lt;&gt;Patrícia Karla de Sousa Araújo",$B:$B,"&lt;&gt;Lorena Dias de Araujo",$B:$B,"&lt;&gt;Lucas Luiz Romero")*(28/1083),IF(C1000="Técnico I",SUMIFS($D:$D,$A:$A,$A1000,$B:$B,"&lt;&gt;Patrícia Karla de Sousa Araújo",$B:$B,"&lt;&gt;Lorena Dias de Araujo",$B:$B,"&lt;&gt;Lucas Luiz Romero")*(23/1083),IF(C1000="JR",SUMIFS($D:$D,$A:$A,$A1000,$B:$B,"&lt;&gt;Patrícia Karla de Sousa Araújo",$B:$B,"&lt;&gt;Lorena Dias de Araujo",$B:$B,"&lt;&gt;Lucas Luiz Romero")*(20/1083),IF(C1000="Estágio",SUMIFS($D:$D,$A:$A,$A1000,$B:$B,"&lt;&gt;Patrícia Karla de Sousa Araújo",$B:$B,"&lt;&gt;Lorena Dias de Araujo",$B:$B,"&lt;&gt;Lucas Luiz Romero")*(10/1083),0)))))),0)</f>
        <v/>
      </c>
      <c r="K1000" s="3">
        <f>I1000-J1000</f>
        <v/>
      </c>
      <c r="L1000" s="3">
        <f>IF(K1000&lt;-5,"CRÍTICO",IF(K1000&lt;0,"ATENÇÃO",IF(K1000&lt;=5,"BOM","EXCELENTE")))</f>
        <v/>
      </c>
      <c r="M1000" t="n">
        <v>16</v>
      </c>
      <c r="N1000" t="n">
        <v>100</v>
      </c>
      <c r="O1000" t="n">
        <v>22.97297297297298</v>
      </c>
    </row>
    <row r="1001" hidden="1">
      <c r="A1001" s="11" t="n">
        <v>46031</v>
      </c>
      <c r="B1001" t="inlineStr">
        <is>
          <t>Carlos Mateus Cassimiro Nunes</t>
        </is>
      </c>
      <c r="C1001" t="inlineStr">
        <is>
          <t>Técnico II</t>
        </is>
      </c>
      <c r="D1001" t="n">
        <v>18</v>
      </c>
      <c r="E1001" t="n">
        <v>16</v>
      </c>
      <c r="F1001" t="n">
        <v>30.06</v>
      </c>
      <c r="G1001" t="n">
        <v>0</v>
      </c>
      <c r="H1001" t="n">
        <v>0</v>
      </c>
      <c r="I1001" s="3">
        <f>E1001+G1001+H1001</f>
        <v/>
      </c>
      <c r="J1001" s="3">
        <f>ROUND(MIN(IF(C1001="Técnico III",35,IF(C1001="Técnico II",28,IF(C1001="Técnico I",23,IF(C1001="JR",20,IF(C1001="Estágio",10,0))))),IF(C1001="Técnico III",SUMIFS($D:$D,$A:$A,$A1001,$B:$B,"&lt;&gt;Patrícia Karla de Sousa Araújo",$B:$B,"&lt;&gt;Lorena Dias de Araujo",$B:$B,"&lt;&gt;Lucas Luiz Romero")*(35/1083),IF(C1001="Técnico II",SUMIFS($D:$D,$A:$A,$A1001,$B:$B,"&lt;&gt;Patrícia Karla de Sousa Araújo",$B:$B,"&lt;&gt;Lorena Dias de Araujo",$B:$B,"&lt;&gt;Lucas Luiz Romero")*(28/1083),IF(C1001="Técnico I",SUMIFS($D:$D,$A:$A,$A1001,$B:$B,"&lt;&gt;Patrícia Karla de Sousa Araújo",$B:$B,"&lt;&gt;Lorena Dias de Araujo",$B:$B,"&lt;&gt;Lucas Luiz Romero")*(23/1083),IF(C1001="JR",SUMIFS($D:$D,$A:$A,$A1001,$B:$B,"&lt;&gt;Patrícia Karla de Sousa Araújo",$B:$B,"&lt;&gt;Lorena Dias de Araujo",$B:$B,"&lt;&gt;Lucas Luiz Romero")*(20/1083),IF(C1001="Estágio",SUMIFS($D:$D,$A:$A,$A1001,$B:$B,"&lt;&gt;Patrícia Karla de Sousa Araújo",$B:$B,"&lt;&gt;Lorena Dias de Araujo",$B:$B,"&lt;&gt;Lucas Luiz Romero")*(10/1083),0)))))),0)</f>
        <v/>
      </c>
      <c r="K1001" s="3">
        <f>I1001-J1001</f>
        <v/>
      </c>
      <c r="L1001" s="3">
        <f>IF(K1001&lt;-5,"CRÍTICO",IF(K1001&lt;0,"ATENÇÃO",IF(K1001&lt;=5,"BOM","EXCELENTE")))</f>
        <v/>
      </c>
      <c r="M1001" t="n">
        <v>16</v>
      </c>
      <c r="N1001" t="n">
        <v>100</v>
      </c>
      <c r="O1001" t="n">
        <v>38.09523809523809</v>
      </c>
    </row>
    <row r="1002" hidden="1">
      <c r="A1002" s="11" t="n">
        <v>46031</v>
      </c>
      <c r="B1002" t="inlineStr">
        <is>
          <t>Claudio de Sousa Velasco Filho</t>
        </is>
      </c>
      <c r="C1002" t="inlineStr">
        <is>
          <t>Estágio</t>
        </is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s="3" t="n">
        <v>0</v>
      </c>
      <c r="J1002" s="3" t="n">
        <v>0</v>
      </c>
      <c r="K1002" s="3" t="n">
        <v>0</v>
      </c>
      <c r="L1002" s="3">
        <f>IF(K1002&lt;-5,"CRÍTICO",IF(K1002&lt;0,"ATENÇÃO",IF(K1002&lt;=5,"BOM","EXCELENTE")))</f>
        <v/>
      </c>
      <c r="M1002" t="n">
        <v>0</v>
      </c>
      <c r="N1002" t="n">
        <v>0</v>
      </c>
      <c r="O1002" t="n">
        <v>0</v>
      </c>
    </row>
    <row r="1003" hidden="1">
      <c r="A1003" s="11" t="n">
        <v>46031</v>
      </c>
      <c r="B1003" t="inlineStr">
        <is>
          <t>Clessiane Pereira dos Santos</t>
        </is>
      </c>
      <c r="C1003" t="inlineStr">
        <is>
          <t>Técnico I</t>
        </is>
      </c>
      <c r="D1003" t="n">
        <v>15</v>
      </c>
      <c r="E1003" t="n">
        <v>15</v>
      </c>
      <c r="F1003" t="n">
        <v>37.02</v>
      </c>
      <c r="G1003" t="n">
        <v>0</v>
      </c>
      <c r="H1003" t="n">
        <v>0</v>
      </c>
      <c r="I1003" s="3">
        <f>E1003+G1003+H1003</f>
        <v/>
      </c>
      <c r="J1003" s="3">
        <f>ROUND(MIN(IF(C1003="Técnico III",35,IF(C1003="Técnico II",28,IF(C1003="Técnico I",23,IF(C1003="JR",20,IF(C1003="Estágio",10,0))))),IF(C1003="Técnico III",SUMIFS($D:$D,$A:$A,$A1003,$B:$B,"&lt;&gt;Patrícia Karla de Sousa Araújo",$B:$B,"&lt;&gt;Lorena Dias de Araujo",$B:$B,"&lt;&gt;Lucas Luiz Romero")*(35/1083),IF(C1003="Técnico II",SUMIFS($D:$D,$A:$A,$A1003,$B:$B,"&lt;&gt;Patrícia Karla de Sousa Araújo",$B:$B,"&lt;&gt;Lorena Dias de Araujo",$B:$B,"&lt;&gt;Lucas Luiz Romero")*(28/1083),IF(C1003="Técnico I",SUMIFS($D:$D,$A:$A,$A1003,$B:$B,"&lt;&gt;Patrícia Karla de Sousa Araújo",$B:$B,"&lt;&gt;Lorena Dias de Araujo",$B:$B,"&lt;&gt;Lucas Luiz Romero")*(23/1083),IF(C1003="JR",SUMIFS($D:$D,$A:$A,$A1003,$B:$B,"&lt;&gt;Patrícia Karla de Sousa Araújo",$B:$B,"&lt;&gt;Lorena Dias de Araujo",$B:$B,"&lt;&gt;Lucas Luiz Romero")*(20/1083),IF(C1003="Estágio",SUMIFS($D:$D,$A:$A,$A1003,$B:$B,"&lt;&gt;Patrícia Karla de Sousa Araújo",$B:$B,"&lt;&gt;Lorena Dias de Araujo",$B:$B,"&lt;&gt;Lucas Luiz Romero")*(10/1083),0)))))),0)</f>
        <v/>
      </c>
      <c r="K1003" s="3">
        <f>I1003-J1003</f>
        <v/>
      </c>
      <c r="L1003" s="3">
        <f>IF(K1003&lt;-5,"CRÍTICO",IF(K1003&lt;0,"ATENÇÃO",IF(K1003&lt;=5,"BOM","EXCELENTE")))</f>
        <v/>
      </c>
      <c r="M1003" t="n">
        <v>14</v>
      </c>
      <c r="N1003" t="n">
        <v>100</v>
      </c>
      <c r="O1003" t="n">
        <v>31.03448275862069</v>
      </c>
    </row>
    <row r="1004" hidden="1">
      <c r="A1004" s="11" t="n">
        <v>46031</v>
      </c>
      <c r="B1004" t="inlineStr">
        <is>
          <t>Cristiane Ramos da Silva Rocha</t>
        </is>
      </c>
      <c r="C1004" t="inlineStr">
        <is>
          <t>Técnico III</t>
        </is>
      </c>
      <c r="D1004" t="n">
        <v>31</v>
      </c>
      <c r="E1004" t="n">
        <v>27</v>
      </c>
      <c r="F1004" t="n">
        <v>11.49</v>
      </c>
      <c r="G1004" t="n">
        <v>0</v>
      </c>
      <c r="H1004" t="n">
        <v>0</v>
      </c>
      <c r="I1004" s="3">
        <f>E1004+G1004+H1004</f>
        <v/>
      </c>
      <c r="J1004" s="3">
        <f>ROUND(MIN(IF(C1004="Técnico III",35,IF(C1004="Técnico II",28,IF(C1004="Técnico I",23,IF(C1004="JR",20,IF(C1004="Estágio",10,0))))),IF(C1004="Técnico III",SUMIFS($D:$D,$A:$A,$A1004,$B:$B,"&lt;&gt;Patrícia Karla de Sousa Araújo",$B:$B,"&lt;&gt;Lorena Dias de Araujo",$B:$B,"&lt;&gt;Lucas Luiz Romero")*(35/1083),IF(C1004="Técnico II",SUMIFS($D:$D,$A:$A,$A1004,$B:$B,"&lt;&gt;Patrícia Karla de Sousa Araújo",$B:$B,"&lt;&gt;Lorena Dias de Araujo",$B:$B,"&lt;&gt;Lucas Luiz Romero")*(28/1083),IF(C1004="Técnico I",SUMIFS($D:$D,$A:$A,$A1004,$B:$B,"&lt;&gt;Patrícia Karla de Sousa Araújo",$B:$B,"&lt;&gt;Lorena Dias de Araujo",$B:$B,"&lt;&gt;Lucas Luiz Romero")*(23/1083),IF(C1004="JR",SUMIFS($D:$D,$A:$A,$A1004,$B:$B,"&lt;&gt;Patrícia Karla de Sousa Araújo",$B:$B,"&lt;&gt;Lorena Dias de Araujo",$B:$B,"&lt;&gt;Lucas Luiz Romero")*(20/1083),IF(C1004="Estágio",SUMIFS($D:$D,$A:$A,$A1004,$B:$B,"&lt;&gt;Patrícia Karla de Sousa Araújo",$B:$B,"&lt;&gt;Lorena Dias de Araujo",$B:$B,"&lt;&gt;Lucas Luiz Romero")*(10/1083),0)))))),0)</f>
        <v/>
      </c>
      <c r="K1004" s="3">
        <f>I1004-J1004</f>
        <v/>
      </c>
      <c r="L1004" s="3">
        <f>IF(K1004&lt;-5,"CRÍTICO",IF(K1004&lt;0,"ATENÇÃO",IF(K1004&lt;=5,"BOM","EXCELENTE")))</f>
        <v/>
      </c>
      <c r="M1004" t="n">
        <v>27</v>
      </c>
      <c r="N1004" t="n">
        <v>95.23999999999999</v>
      </c>
      <c r="O1004" t="n">
        <v>40.22988505747126</v>
      </c>
    </row>
    <row r="1005" hidden="1">
      <c r="A1005" s="11" t="n">
        <v>46031</v>
      </c>
      <c r="B1005" t="inlineStr">
        <is>
          <t>Damyllis Lorraine de Oliveira Gonçalves</t>
        </is>
      </c>
      <c r="C1005" t="inlineStr">
        <is>
          <t>Técnico II</t>
        </is>
      </c>
      <c r="D1005" t="n">
        <v>26</v>
      </c>
      <c r="E1005" t="n">
        <v>18</v>
      </c>
      <c r="F1005" t="n">
        <v>15.06</v>
      </c>
      <c r="G1005" t="n">
        <v>0</v>
      </c>
      <c r="H1005" t="n">
        <v>0</v>
      </c>
      <c r="I1005" s="3" t="n">
        <v>0</v>
      </c>
      <c r="J1005" s="3" t="n">
        <v>0</v>
      </c>
      <c r="K1005" s="3" t="n">
        <v>0</v>
      </c>
      <c r="L1005" s="3">
        <f>IF(K1005&lt;-5,"CRÍTICO",IF(K1005&lt;0,"ATENÇÃO",IF(K1005&lt;=5,"BOM","EXCELENTE")))</f>
        <v/>
      </c>
      <c r="M1005" t="n">
        <v>15</v>
      </c>
      <c r="N1005" t="n">
        <v>96.88</v>
      </c>
      <c r="O1005" t="n">
        <v>35.65891472868217</v>
      </c>
    </row>
    <row r="1006" hidden="1">
      <c r="A1006" s="11" t="n">
        <v>46031</v>
      </c>
      <c r="B1006" t="inlineStr">
        <is>
          <t>Daniel Gomes da Silva</t>
        </is>
      </c>
      <c r="C1006" t="inlineStr">
        <is>
          <t>Técnico I</t>
        </is>
      </c>
      <c r="D1006" t="n">
        <v>20</v>
      </c>
      <c r="E1006" t="n">
        <v>20</v>
      </c>
      <c r="F1006" t="n">
        <v>25.59</v>
      </c>
      <c r="G1006" t="n">
        <v>0</v>
      </c>
      <c r="H1006" t="n">
        <v>0</v>
      </c>
      <c r="I1006" s="3">
        <f>E1006+G1006+H1006</f>
        <v/>
      </c>
      <c r="J1006" s="3">
        <f>ROUND(MIN(IF(C1006="Técnico III",35,IF(C1006="Técnico II",28,IF(C1006="Técnico I",23,IF(C1006="JR",20,IF(C1006="Estágio",10,0))))),IF(C1006="Técnico III",SUMIFS($D:$D,$A:$A,$A1006,$B:$B,"&lt;&gt;Patrícia Karla de Sousa Araújo",$B:$B,"&lt;&gt;Lorena Dias de Araujo",$B:$B,"&lt;&gt;Lucas Luiz Romero")*(35/1083),IF(C1006="Técnico II",SUMIFS($D:$D,$A:$A,$A1006,$B:$B,"&lt;&gt;Patrícia Karla de Sousa Araújo",$B:$B,"&lt;&gt;Lorena Dias de Araujo",$B:$B,"&lt;&gt;Lucas Luiz Romero")*(28/1083),IF(C1006="Técnico I",SUMIFS($D:$D,$A:$A,$A1006,$B:$B,"&lt;&gt;Patrícia Karla de Sousa Araújo",$B:$B,"&lt;&gt;Lorena Dias de Araujo",$B:$B,"&lt;&gt;Lucas Luiz Romero")*(23/1083),IF(C1006="JR",SUMIFS($D:$D,$A:$A,$A1006,$B:$B,"&lt;&gt;Patrícia Karla de Sousa Araújo",$B:$B,"&lt;&gt;Lorena Dias de Araujo",$B:$B,"&lt;&gt;Lucas Luiz Romero")*(20/1083),IF(C1006="Estágio",SUMIFS($D:$D,$A:$A,$A1006,$B:$B,"&lt;&gt;Patrícia Karla de Sousa Araújo",$B:$B,"&lt;&gt;Lorena Dias de Araujo",$B:$B,"&lt;&gt;Lucas Luiz Romero")*(10/1083),0)))))),0)</f>
        <v/>
      </c>
      <c r="K1006" s="3">
        <f>I1006-J1006</f>
        <v/>
      </c>
      <c r="L1006" s="3">
        <f>IF(K1006&lt;-5,"CRÍTICO",IF(K1006&lt;0,"ATENÇÃO",IF(K1006&lt;=5,"BOM","EXCELENTE")))</f>
        <v/>
      </c>
      <c r="M1006" t="n">
        <v>22</v>
      </c>
      <c r="N1006" t="n">
        <v>100</v>
      </c>
      <c r="O1006" t="n">
        <v>31.06060606060606</v>
      </c>
    </row>
    <row r="1007" hidden="1">
      <c r="A1007" s="11" t="n">
        <v>46031</v>
      </c>
      <c r="B1007" t="inlineStr">
        <is>
          <t>Davylla Rodrigues Freitas Silva</t>
        </is>
      </c>
      <c r="C1007" t="inlineStr">
        <is>
          <t>Técnico III</t>
        </is>
      </c>
      <c r="D1007" t="n">
        <v>19</v>
      </c>
      <c r="E1007" t="n">
        <v>18</v>
      </c>
      <c r="F1007" t="n">
        <v>25.36</v>
      </c>
      <c r="G1007" t="n">
        <v>0</v>
      </c>
      <c r="H1007" t="n">
        <v>0</v>
      </c>
      <c r="I1007" s="3" t="n">
        <v>0</v>
      </c>
      <c r="J1007" s="3" t="n">
        <v>0</v>
      </c>
      <c r="K1007" s="3" t="n">
        <v>0</v>
      </c>
      <c r="L1007" s="3">
        <f>IF(K1007&lt;-5,"CRÍTICO",IF(K1007&lt;0,"ATENÇÃO",IF(K1007&lt;=5,"BOM","EXCELENTE")))</f>
        <v/>
      </c>
      <c r="M1007" t="n">
        <v>18</v>
      </c>
      <c r="N1007" t="n">
        <v>100</v>
      </c>
      <c r="O1007" t="n">
        <v>42.46575342465754</v>
      </c>
    </row>
    <row r="1008" hidden="1">
      <c r="A1008" s="11" t="n">
        <v>46031</v>
      </c>
      <c r="B1008" t="inlineStr">
        <is>
          <t>Emilly Caylane Costa</t>
        </is>
      </c>
      <c r="C1008" t="inlineStr">
        <is>
          <t>Estágio</t>
        </is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s="3" t="n">
        <v>0</v>
      </c>
      <c r="J1008" s="3" t="n">
        <v>0</v>
      </c>
      <c r="K1008" s="3" t="n">
        <v>0</v>
      </c>
      <c r="L1008" s="3">
        <f>IF(K1008&lt;-5,"CRÍTICO",IF(K1008&lt;0,"ATENÇÃO",IF(K1008&lt;=5,"BOM","EXCELENTE")))</f>
        <v/>
      </c>
      <c r="M1008" t="n">
        <v>0</v>
      </c>
      <c r="N1008" t="n">
        <v>0</v>
      </c>
      <c r="O1008" t="n">
        <v>0</v>
      </c>
    </row>
    <row r="1009" hidden="1">
      <c r="A1009" s="11" t="n">
        <v>46031</v>
      </c>
      <c r="B1009" t="inlineStr">
        <is>
          <t>Emilly Kamilly Medeiros Miranda</t>
        </is>
      </c>
      <c r="C1009" t="inlineStr">
        <is>
          <t>Técnico II</t>
        </is>
      </c>
      <c r="D1009" t="n">
        <v>27</v>
      </c>
      <c r="E1009" t="n">
        <v>24</v>
      </c>
      <c r="F1009" t="n">
        <v>22.01</v>
      </c>
      <c r="G1009" t="n">
        <v>0</v>
      </c>
      <c r="H1009" t="n">
        <v>0</v>
      </c>
      <c r="I1009" s="3">
        <f>E1009+G1009+H1009</f>
        <v/>
      </c>
      <c r="J1009" s="3">
        <f>ROUND(MIN(IF(C1009="Técnico III",35,IF(C1009="Técnico II",28,IF(C1009="Técnico I",23,IF(C1009="JR",20,IF(C1009="Estágio",10,0))))),IF(C1009="Técnico III",SUMIFS($D:$D,$A:$A,$A1009,$B:$B,"&lt;&gt;Patrícia Karla de Sousa Araújo",$B:$B,"&lt;&gt;Lorena Dias de Araujo",$B:$B,"&lt;&gt;Lucas Luiz Romero")*(35/1083),IF(C1009="Técnico II",SUMIFS($D:$D,$A:$A,$A1009,$B:$B,"&lt;&gt;Patrícia Karla de Sousa Araújo",$B:$B,"&lt;&gt;Lorena Dias de Araujo",$B:$B,"&lt;&gt;Lucas Luiz Romero")*(28/1083),IF(C1009="Técnico I",SUMIFS($D:$D,$A:$A,$A1009,$B:$B,"&lt;&gt;Patrícia Karla de Sousa Araújo",$B:$B,"&lt;&gt;Lorena Dias de Araujo",$B:$B,"&lt;&gt;Lucas Luiz Romero")*(23/1083),IF(C1009="JR",SUMIFS($D:$D,$A:$A,$A1009,$B:$B,"&lt;&gt;Patrícia Karla de Sousa Araújo",$B:$B,"&lt;&gt;Lorena Dias de Araujo",$B:$B,"&lt;&gt;Lucas Luiz Romero")*(20/1083),IF(C1009="Estágio",SUMIFS($D:$D,$A:$A,$A1009,$B:$B,"&lt;&gt;Patrícia Karla de Sousa Araújo",$B:$B,"&lt;&gt;Lorena Dias de Araujo",$B:$B,"&lt;&gt;Lucas Luiz Romero")*(10/1083),0)))))),0)</f>
        <v/>
      </c>
      <c r="K1009" s="3">
        <f>I1009-J1009</f>
        <v/>
      </c>
      <c r="L1009" s="3">
        <f>IF(K1009&lt;-5,"CRÍTICO",IF(K1009&lt;0,"ATENÇÃO",IF(K1009&lt;=5,"BOM","EXCELENTE")))</f>
        <v/>
      </c>
      <c r="M1009" t="n">
        <v>17</v>
      </c>
      <c r="N1009" t="n">
        <v>100</v>
      </c>
      <c r="O1009" t="n">
        <v>26.45161290322581</v>
      </c>
    </row>
    <row r="1010" hidden="1">
      <c r="A1010" s="11" t="n">
        <v>46031</v>
      </c>
      <c r="B1010" t="inlineStr">
        <is>
          <t>Francielson de Oliveira</t>
        </is>
      </c>
      <c r="C1010" t="inlineStr">
        <is>
          <t>Técnico III</t>
        </is>
      </c>
      <c r="D1010" t="n">
        <v>21</v>
      </c>
      <c r="E1010" t="n">
        <v>19</v>
      </c>
      <c r="F1010" t="n">
        <v>16.53</v>
      </c>
      <c r="G1010" t="n">
        <v>0</v>
      </c>
      <c r="H1010" t="n">
        <v>0</v>
      </c>
      <c r="I1010" s="3">
        <f>E1010+G1010+H1010</f>
        <v/>
      </c>
      <c r="J1010" s="3">
        <f>ROUND(MIN(IF(C1010="Técnico III",35,IF(C1010="Técnico II",28,IF(C1010="Técnico I",23,IF(C1010="JR",20,IF(C1010="Estágio",10,0))))),IF(C1010="Técnico III",SUMIFS($D:$D,$A:$A,$A1010,$B:$B,"&lt;&gt;Patrícia Karla de Sousa Araújo",$B:$B,"&lt;&gt;Lorena Dias de Araujo",$B:$B,"&lt;&gt;Lucas Luiz Romero")*(35/1083),IF(C1010="Técnico II",SUMIFS($D:$D,$A:$A,$A1010,$B:$B,"&lt;&gt;Patrícia Karla de Sousa Araújo",$B:$B,"&lt;&gt;Lorena Dias de Araujo",$B:$B,"&lt;&gt;Lucas Luiz Romero")*(28/1083),IF(C1010="Técnico I",SUMIFS($D:$D,$A:$A,$A1010,$B:$B,"&lt;&gt;Patrícia Karla de Sousa Araújo",$B:$B,"&lt;&gt;Lorena Dias de Araujo",$B:$B,"&lt;&gt;Lucas Luiz Romero")*(23/1083),IF(C1010="JR",SUMIFS($D:$D,$A:$A,$A1010,$B:$B,"&lt;&gt;Patrícia Karla de Sousa Araújo",$B:$B,"&lt;&gt;Lorena Dias de Araujo",$B:$B,"&lt;&gt;Lucas Luiz Romero")*(20/1083),IF(C1010="Estágio",SUMIFS($D:$D,$A:$A,$A1010,$B:$B,"&lt;&gt;Patrícia Karla de Sousa Araújo",$B:$B,"&lt;&gt;Lorena Dias de Araujo",$B:$B,"&lt;&gt;Lucas Luiz Romero")*(10/1083),0)))))),0)</f>
        <v/>
      </c>
      <c r="K1010" s="3">
        <f>I1010-J1010</f>
        <v/>
      </c>
      <c r="L1010" s="3">
        <f>IF(K1010&lt;-5,"CRÍTICO",IF(K1010&lt;0,"ATENÇÃO",IF(K1010&lt;=5,"BOM","EXCELENTE")))</f>
        <v/>
      </c>
      <c r="M1010" t="n">
        <v>18</v>
      </c>
      <c r="N1010" t="n">
        <v>100</v>
      </c>
      <c r="O1010" t="n">
        <v>32.28346456692913</v>
      </c>
    </row>
    <row r="1011" hidden="1">
      <c r="A1011" s="11" t="n">
        <v>46031</v>
      </c>
      <c r="B1011" t="inlineStr">
        <is>
          <t>Francilene Ferreira de Jesus</t>
        </is>
      </c>
      <c r="C1011" t="inlineStr">
        <is>
          <t>Técnico II</t>
        </is>
      </c>
      <c r="D1011" t="n">
        <v>30</v>
      </c>
      <c r="E1011" t="n">
        <v>25</v>
      </c>
      <c r="F1011" t="n">
        <v>15.23</v>
      </c>
      <c r="G1011" t="n">
        <v>0</v>
      </c>
      <c r="H1011" t="n">
        <v>0</v>
      </c>
      <c r="I1011" s="3">
        <f>E1011+G1011+H1011</f>
        <v/>
      </c>
      <c r="J1011" s="3">
        <f>ROUND(MIN(IF(C1011="Técnico III",35,IF(C1011="Técnico II",28,IF(C1011="Técnico I",23,IF(C1011="JR",20,IF(C1011="Estágio",10,0))))),IF(C1011="Técnico III",SUMIFS($D:$D,$A:$A,$A1011,$B:$B,"&lt;&gt;Patrícia Karla de Sousa Araújo",$B:$B,"&lt;&gt;Lorena Dias de Araujo",$B:$B,"&lt;&gt;Lucas Luiz Romero")*(35/1083),IF(C1011="Técnico II",SUMIFS($D:$D,$A:$A,$A1011,$B:$B,"&lt;&gt;Patrícia Karla de Sousa Araújo",$B:$B,"&lt;&gt;Lorena Dias de Araujo",$B:$B,"&lt;&gt;Lucas Luiz Romero")*(28/1083),IF(C1011="Técnico I",SUMIFS($D:$D,$A:$A,$A1011,$B:$B,"&lt;&gt;Patrícia Karla de Sousa Araújo",$B:$B,"&lt;&gt;Lorena Dias de Araujo",$B:$B,"&lt;&gt;Lucas Luiz Romero")*(23/1083),IF(C1011="JR",SUMIFS($D:$D,$A:$A,$A1011,$B:$B,"&lt;&gt;Patrícia Karla de Sousa Araújo",$B:$B,"&lt;&gt;Lorena Dias de Araujo",$B:$B,"&lt;&gt;Lucas Luiz Romero")*(20/1083),IF(C1011="Estágio",SUMIFS($D:$D,$A:$A,$A1011,$B:$B,"&lt;&gt;Patrícia Karla de Sousa Araújo",$B:$B,"&lt;&gt;Lorena Dias de Araujo",$B:$B,"&lt;&gt;Lucas Luiz Romero")*(10/1083),0)))))),0)</f>
        <v/>
      </c>
      <c r="K1011" s="3">
        <f>I1011-J1011</f>
        <v/>
      </c>
      <c r="L1011" s="3">
        <f>IF(K1011&lt;-5,"CRÍTICO",IF(K1011&lt;0,"ATENÇÃO",IF(K1011&lt;=5,"BOM","EXCELENTE")))</f>
        <v/>
      </c>
      <c r="M1011" t="n">
        <v>24</v>
      </c>
      <c r="N1011" t="n">
        <v>100</v>
      </c>
      <c r="O1011" t="n">
        <v>35.67251461988304</v>
      </c>
    </row>
    <row r="1012" hidden="1">
      <c r="A1012" s="11" t="n">
        <v>46065</v>
      </c>
      <c r="B1012" t="inlineStr">
        <is>
          <t>Gabriel Gomes de Andrade</t>
        </is>
      </c>
      <c r="C1012" t="inlineStr">
        <is>
          <t>Técnico I</t>
        </is>
      </c>
      <c r="D1012" t="n">
        <v>5</v>
      </c>
      <c r="E1012" t="n">
        <v>5</v>
      </c>
      <c r="F1012" t="n">
        <v>30.56</v>
      </c>
      <c r="G1012" t="n">
        <v>0</v>
      </c>
      <c r="H1012" t="n">
        <v>0</v>
      </c>
      <c r="I1012" s="3">
        <f>E1012+G1012+H1012</f>
        <v/>
      </c>
      <c r="J1012" s="3">
        <f>ROUND(MIN(IF(C1012="Técnico III",35,IF(C1012="Técnico II",28,IF(C1012="Técnico I",23,IF(C1012="JR",20,IF(C1012="Estágio",10,0))))),IF(C1012="Técnico III",SUMIFS($D:$D,$A:$A,$A1012,$B:$B,"&lt;&gt;Patrícia Karla de Sousa Araújo",$B:$B,"&lt;&gt;Lorena Dias de Araujo",$B:$B,"&lt;&gt;Lucas Luiz Romero")*(35/1083),IF(C1012="Técnico II",SUMIFS($D:$D,$A:$A,$A1012,$B:$B,"&lt;&gt;Patrícia Karla de Sousa Araújo",$B:$B,"&lt;&gt;Lorena Dias de Araujo",$B:$B,"&lt;&gt;Lucas Luiz Romero")*(28/1083),IF(C1012="Técnico I",SUMIFS($D:$D,$A:$A,$A1012,$B:$B,"&lt;&gt;Patrícia Karla de Sousa Araújo",$B:$B,"&lt;&gt;Lorena Dias de Araujo",$B:$B,"&lt;&gt;Lucas Luiz Romero")*(23/1083),IF(C1012="JR",SUMIFS($D:$D,$A:$A,$A1012,$B:$B,"&lt;&gt;Patrícia Karla de Sousa Araújo",$B:$B,"&lt;&gt;Lorena Dias de Araujo",$B:$B,"&lt;&gt;Lucas Luiz Romero")*(20/1083),IF(C1012="Estágio",SUMIFS($D:$D,$A:$A,$A1012,$B:$B,"&lt;&gt;Patrícia Karla de Sousa Araújo",$B:$B,"&lt;&gt;Lorena Dias de Araujo",$B:$B,"&lt;&gt;Lucas Luiz Romero")*(10/1083),0)))))),0)</f>
        <v/>
      </c>
      <c r="K1012" s="3">
        <f>I1012-J1012</f>
        <v/>
      </c>
      <c r="L1012" s="3">
        <f>IF(K1012&lt;-5,"CRÍTICO",IF(K1012&lt;0,"ATENÇÃO",IF(K1012&lt;=5,"BOM","EXCELENTE")))</f>
        <v/>
      </c>
      <c r="M1012" t="n">
        <v>22</v>
      </c>
      <c r="N1012" t="n">
        <v>96.36</v>
      </c>
      <c r="O1012" t="n">
        <v>32.57918552036199</v>
      </c>
    </row>
    <row r="1013" hidden="1">
      <c r="A1013" s="11" t="n">
        <v>46031</v>
      </c>
      <c r="B1013" t="inlineStr">
        <is>
          <t>Isabella Borges de Oliveira</t>
        </is>
      </c>
      <c r="C1013" t="inlineStr">
        <is>
          <t>Técnico II</t>
        </is>
      </c>
      <c r="D1013" t="n">
        <v>29</v>
      </c>
      <c r="E1013" t="n">
        <v>26</v>
      </c>
      <c r="F1013" t="n">
        <v>15.04</v>
      </c>
      <c r="G1013" t="n">
        <v>0</v>
      </c>
      <c r="H1013" t="n">
        <v>0</v>
      </c>
      <c r="I1013" s="3">
        <f>E1013+G1013+H1013</f>
        <v/>
      </c>
      <c r="J1013" s="3">
        <f>ROUND(MIN(IF(C1013="Técnico III",35,IF(C1013="Técnico II",28,IF(C1013="Técnico I",23,IF(C1013="JR",20,IF(C1013="Estágio",10,0))))),IF(C1013="Técnico III",SUMIFS($D:$D,$A:$A,$A1013,$B:$B,"&lt;&gt;Patrícia Karla de Sousa Araújo",$B:$B,"&lt;&gt;Lorena Dias de Araujo",$B:$B,"&lt;&gt;Lucas Luiz Romero")*(35/1083),IF(C1013="Técnico II",SUMIFS($D:$D,$A:$A,$A1013,$B:$B,"&lt;&gt;Patrícia Karla de Sousa Araújo",$B:$B,"&lt;&gt;Lorena Dias de Araujo",$B:$B,"&lt;&gt;Lucas Luiz Romero")*(28/1083),IF(C1013="Técnico I",SUMIFS($D:$D,$A:$A,$A1013,$B:$B,"&lt;&gt;Patrícia Karla de Sousa Araújo",$B:$B,"&lt;&gt;Lorena Dias de Araujo",$B:$B,"&lt;&gt;Lucas Luiz Romero")*(23/1083),IF(C1013="JR",SUMIFS($D:$D,$A:$A,$A1013,$B:$B,"&lt;&gt;Patrícia Karla de Sousa Araújo",$B:$B,"&lt;&gt;Lorena Dias de Araujo",$B:$B,"&lt;&gt;Lucas Luiz Romero")*(20/1083),IF(C1013="Estágio",SUMIFS($D:$D,$A:$A,$A1013,$B:$B,"&lt;&gt;Patrícia Karla de Sousa Araújo",$B:$B,"&lt;&gt;Lorena Dias de Araujo",$B:$B,"&lt;&gt;Lucas Luiz Romero")*(10/1083),0)))))),0)</f>
        <v/>
      </c>
      <c r="K1013" s="3">
        <f>I1013-J1013</f>
        <v/>
      </c>
      <c r="L1013" s="3">
        <f>IF(K1013&lt;-5,"CRÍTICO",IF(K1013&lt;0,"ATENÇÃO",IF(K1013&lt;=5,"BOM","EXCELENTE")))</f>
        <v/>
      </c>
      <c r="M1013" t="n">
        <v>23</v>
      </c>
      <c r="N1013" t="n">
        <v>100</v>
      </c>
      <c r="O1013" t="n">
        <v>28.87323943661972</v>
      </c>
    </row>
    <row r="1014" hidden="1">
      <c r="A1014" s="11" t="n">
        <v>46031</v>
      </c>
      <c r="B1014" t="inlineStr">
        <is>
          <t>Janaina Lima dos Reis Urany</t>
        </is>
      </c>
      <c r="C1014" t="inlineStr">
        <is>
          <t>Técnico III</t>
        </is>
      </c>
      <c r="D1014" t="n">
        <v>29</v>
      </c>
      <c r="E1014" t="n">
        <v>27</v>
      </c>
      <c r="F1014" t="n">
        <v>17.24</v>
      </c>
      <c r="G1014" t="n">
        <v>0</v>
      </c>
      <c r="H1014" t="n">
        <v>0</v>
      </c>
      <c r="I1014" s="3">
        <f>E1014+G1014+H1014</f>
        <v/>
      </c>
      <c r="J1014" s="3">
        <f>ROUND(MIN(IF(C1014="Técnico III",35,IF(C1014="Técnico II",28,IF(C1014="Técnico I",23,IF(C1014="JR",20,IF(C1014="Estágio",10,0))))),IF(C1014="Técnico III",SUMIFS($D:$D,$A:$A,$A1014,$B:$B,"&lt;&gt;Patrícia Karla de Sousa Araújo",$B:$B,"&lt;&gt;Lorena Dias de Araujo",$B:$B,"&lt;&gt;Lucas Luiz Romero")*(35/1083),IF(C1014="Técnico II",SUMIFS($D:$D,$A:$A,$A1014,$B:$B,"&lt;&gt;Patrícia Karla de Sousa Araújo",$B:$B,"&lt;&gt;Lorena Dias de Araujo",$B:$B,"&lt;&gt;Lucas Luiz Romero")*(28/1083),IF(C1014="Técnico I",SUMIFS($D:$D,$A:$A,$A1014,$B:$B,"&lt;&gt;Patrícia Karla de Sousa Araújo",$B:$B,"&lt;&gt;Lorena Dias de Araujo",$B:$B,"&lt;&gt;Lucas Luiz Romero")*(23/1083),IF(C1014="JR",SUMIFS($D:$D,$A:$A,$A1014,$B:$B,"&lt;&gt;Patrícia Karla de Sousa Araújo",$B:$B,"&lt;&gt;Lorena Dias de Araujo",$B:$B,"&lt;&gt;Lucas Luiz Romero")*(20/1083),IF(C1014="Estágio",SUMIFS($D:$D,$A:$A,$A1014,$B:$B,"&lt;&gt;Patrícia Karla de Sousa Araújo",$B:$B,"&lt;&gt;Lorena Dias de Araujo",$B:$B,"&lt;&gt;Lucas Luiz Romero")*(10/1083),0)))))),0)</f>
        <v/>
      </c>
      <c r="K1014" s="3">
        <f>I1014-J1014</f>
        <v/>
      </c>
      <c r="L1014" s="3">
        <f>IF(K1014&lt;-5,"CRÍTICO",IF(K1014&lt;0,"ATENÇÃO",IF(K1014&lt;=5,"BOM","EXCELENTE")))</f>
        <v/>
      </c>
      <c r="M1014" t="n">
        <v>28</v>
      </c>
      <c r="N1014" t="n">
        <v>100</v>
      </c>
      <c r="O1014" t="n">
        <v>30.16528925619835</v>
      </c>
    </row>
    <row r="1015" hidden="1">
      <c r="A1015" s="11" t="n">
        <v>46031</v>
      </c>
      <c r="B1015" t="inlineStr">
        <is>
          <t>Jaqueline Evangelista da Silva Martins</t>
        </is>
      </c>
      <c r="C1015" t="inlineStr">
        <is>
          <t>Técnico III</t>
        </is>
      </c>
      <c r="D1015" t="n">
        <v>22</v>
      </c>
      <c r="E1015" t="n">
        <v>21</v>
      </c>
      <c r="F1015" t="n">
        <v>12.38</v>
      </c>
      <c r="G1015" t="n">
        <v>0</v>
      </c>
      <c r="H1015" t="n">
        <v>0</v>
      </c>
      <c r="I1015" s="3">
        <f>E1015+G1015+H1015</f>
        <v/>
      </c>
      <c r="J1015" s="3">
        <f>ROUND(MIN(IF(C1015="Técnico III",35,IF(C1015="Técnico II",28,IF(C1015="Técnico I",23,IF(C1015="JR",20,IF(C1015="Estágio",10,0))))),IF(C1015="Técnico III",SUMIFS($D:$D,$A:$A,$A1015,$B:$B,"&lt;&gt;Patrícia Karla de Sousa Araújo",$B:$B,"&lt;&gt;Lorena Dias de Araujo",$B:$B,"&lt;&gt;Lucas Luiz Romero")*(35/1083),IF(C1015="Técnico II",SUMIFS($D:$D,$A:$A,$A1015,$B:$B,"&lt;&gt;Patrícia Karla de Sousa Araújo",$B:$B,"&lt;&gt;Lorena Dias de Araujo",$B:$B,"&lt;&gt;Lucas Luiz Romero")*(28/1083),IF(C1015="Técnico I",SUMIFS($D:$D,$A:$A,$A1015,$B:$B,"&lt;&gt;Patrícia Karla de Sousa Araújo",$B:$B,"&lt;&gt;Lorena Dias de Araujo",$B:$B,"&lt;&gt;Lucas Luiz Romero")*(23/1083),IF(C1015="JR",SUMIFS($D:$D,$A:$A,$A1015,$B:$B,"&lt;&gt;Patrícia Karla de Sousa Araújo",$B:$B,"&lt;&gt;Lorena Dias de Araujo",$B:$B,"&lt;&gt;Lucas Luiz Romero")*(20/1083),IF(C1015="Estágio",SUMIFS($D:$D,$A:$A,$A1015,$B:$B,"&lt;&gt;Patrícia Karla de Sousa Araújo",$B:$B,"&lt;&gt;Lorena Dias de Araujo",$B:$B,"&lt;&gt;Lucas Luiz Romero")*(10/1083),0)))))),0)</f>
        <v/>
      </c>
      <c r="K1015" s="3">
        <f>I1015-J1015</f>
        <v/>
      </c>
      <c r="L1015" s="3">
        <f>IF(K1015&lt;-5,"CRÍTICO",IF(K1015&lt;0,"ATENÇÃO",IF(K1015&lt;=5,"BOM","EXCELENTE")))</f>
        <v/>
      </c>
      <c r="M1015" t="n">
        <v>21</v>
      </c>
      <c r="N1015" t="n">
        <v>100</v>
      </c>
      <c r="O1015" t="n">
        <v>28.33333333333333</v>
      </c>
    </row>
    <row r="1016" hidden="1">
      <c r="A1016" s="11" t="n">
        <v>46031</v>
      </c>
      <c r="B1016" t="inlineStr">
        <is>
          <t>Jessica Faria da Silveira</t>
        </is>
      </c>
      <c r="C1016" t="inlineStr">
        <is>
          <t>Técnico II</t>
        </is>
      </c>
      <c r="D1016" t="n">
        <v>25</v>
      </c>
      <c r="E1016" t="n">
        <v>19</v>
      </c>
      <c r="F1016" t="n">
        <v>17.03</v>
      </c>
      <c r="G1016" t="n">
        <v>0</v>
      </c>
      <c r="H1016" t="n">
        <v>0</v>
      </c>
      <c r="I1016" s="3">
        <f>E1016+G1016+H1016</f>
        <v/>
      </c>
      <c r="J1016" s="3">
        <f>ROUND(MIN(IF(C1016="Técnico III",35,IF(C1016="Técnico II",28,IF(C1016="Técnico I",23,IF(C1016="JR",20,IF(C1016="Estágio",10,0))))),IF(C1016="Técnico III",SUMIFS($D:$D,$A:$A,$A1016,$B:$B,"&lt;&gt;Patrícia Karla de Sousa Araújo",$B:$B,"&lt;&gt;Lorena Dias de Araujo",$B:$B,"&lt;&gt;Lucas Luiz Romero")*(35/1083),IF(C1016="Técnico II",SUMIFS($D:$D,$A:$A,$A1016,$B:$B,"&lt;&gt;Patrícia Karla de Sousa Araújo",$B:$B,"&lt;&gt;Lorena Dias de Araujo",$B:$B,"&lt;&gt;Lucas Luiz Romero")*(28/1083),IF(C1016="Técnico I",SUMIFS($D:$D,$A:$A,$A1016,$B:$B,"&lt;&gt;Patrícia Karla de Sousa Araújo",$B:$B,"&lt;&gt;Lorena Dias de Araujo",$B:$B,"&lt;&gt;Lucas Luiz Romero")*(23/1083),IF(C1016="JR",SUMIFS($D:$D,$A:$A,$A1016,$B:$B,"&lt;&gt;Patrícia Karla de Sousa Araújo",$B:$B,"&lt;&gt;Lorena Dias de Araujo",$B:$B,"&lt;&gt;Lucas Luiz Romero")*(20/1083),IF(C1016="Estágio",SUMIFS($D:$D,$A:$A,$A1016,$B:$B,"&lt;&gt;Patrícia Karla de Sousa Araújo",$B:$B,"&lt;&gt;Lorena Dias de Araujo",$B:$B,"&lt;&gt;Lucas Luiz Romero")*(10/1083),0)))))),0)</f>
        <v/>
      </c>
      <c r="K1016" s="3">
        <f>I1016-J1016</f>
        <v/>
      </c>
      <c r="L1016" s="3">
        <f>IF(K1016&lt;-5,"CRÍTICO",IF(K1016&lt;0,"ATENÇÃO",IF(K1016&lt;=5,"BOM","EXCELENTE")))</f>
        <v/>
      </c>
      <c r="M1016" t="n">
        <v>19</v>
      </c>
      <c r="N1016" t="n">
        <v>91.3</v>
      </c>
      <c r="O1016" t="n">
        <v>24.13793103448276</v>
      </c>
    </row>
    <row r="1017" hidden="1">
      <c r="A1017" s="11" t="n">
        <v>46031</v>
      </c>
      <c r="B1017" t="inlineStr">
        <is>
          <t>Jéssica Fé Moura</t>
        </is>
      </c>
      <c r="C1017" t="inlineStr">
        <is>
          <t>Técnico III</t>
        </is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s="3" t="n">
        <v>0</v>
      </c>
      <c r="J1017" s="3" t="n">
        <v>0</v>
      </c>
      <c r="K1017" s="3" t="n">
        <v>0</v>
      </c>
      <c r="L1017" s="3">
        <f>IF(K1017&lt;-5,"CRÍTICO",IF(K1017&lt;0,"ATENÇÃO",IF(K1017&lt;=5,"BOM","EXCELENTE")))</f>
        <v/>
      </c>
      <c r="M1017" t="n">
        <v>15</v>
      </c>
      <c r="N1017" t="n">
        <v>100</v>
      </c>
      <c r="O1017" t="n">
        <v>36.84210526315789</v>
      </c>
    </row>
    <row r="1018" hidden="1">
      <c r="A1018" s="11" t="n">
        <v>46031</v>
      </c>
      <c r="B1018" t="inlineStr">
        <is>
          <t>Karina Gonçalves Martins</t>
        </is>
      </c>
      <c r="C1018" t="inlineStr">
        <is>
          <t>JR</t>
        </is>
      </c>
      <c r="D1018" t="n">
        <v>8</v>
      </c>
      <c r="E1018" t="n">
        <v>8</v>
      </c>
      <c r="F1018" t="n">
        <v>26.49</v>
      </c>
      <c r="G1018" t="n">
        <v>0</v>
      </c>
      <c r="H1018" t="n">
        <v>0</v>
      </c>
      <c r="I1018" s="3">
        <f>E1018+G1018+H1018</f>
        <v/>
      </c>
      <c r="J1018" s="3">
        <f>ROUND(MIN(IF(C1018="Técnico III",35,IF(C1018="Técnico II",28,IF(C1018="Técnico I",23,IF(C1018="JR",20,IF(C1018="Estágio",10,0))))),IF(C1018="Técnico III",SUMIFS($D:$D,$A:$A,$A1018,$B:$B,"&lt;&gt;Patrícia Karla de Sousa Araújo",$B:$B,"&lt;&gt;Lorena Dias de Araujo",$B:$B,"&lt;&gt;Lucas Luiz Romero")*(35/1083),IF(C1018="Técnico II",SUMIFS($D:$D,$A:$A,$A1018,$B:$B,"&lt;&gt;Patrícia Karla de Sousa Araújo",$B:$B,"&lt;&gt;Lorena Dias de Araujo",$B:$B,"&lt;&gt;Lucas Luiz Romero")*(28/1083),IF(C1018="Técnico I",SUMIFS($D:$D,$A:$A,$A1018,$B:$B,"&lt;&gt;Patrícia Karla de Sousa Araújo",$B:$B,"&lt;&gt;Lorena Dias de Araujo",$B:$B,"&lt;&gt;Lucas Luiz Romero")*(23/1083),IF(C1018="JR",SUMIFS($D:$D,$A:$A,$A1018,$B:$B,"&lt;&gt;Patrícia Karla de Sousa Araújo",$B:$B,"&lt;&gt;Lorena Dias de Araujo",$B:$B,"&lt;&gt;Lucas Luiz Romero")*(20/1083),IF(C1018="Estágio",SUMIFS($D:$D,$A:$A,$A1018,$B:$B,"&lt;&gt;Patrícia Karla de Sousa Araújo",$B:$B,"&lt;&gt;Lorena Dias de Araujo",$B:$B,"&lt;&gt;Lucas Luiz Romero")*(10/1083),0)))))),0)</f>
        <v/>
      </c>
      <c r="K1018" s="3">
        <f>I1018-J1018</f>
        <v/>
      </c>
      <c r="L1018" s="3">
        <f>IF(K1018&lt;-5,"CRÍTICO",IF(K1018&lt;0,"ATENÇÃO",IF(K1018&lt;=5,"BOM","EXCELENTE")))</f>
        <v/>
      </c>
      <c r="M1018" t="n">
        <v>8</v>
      </c>
      <c r="N1018" t="n">
        <v>100</v>
      </c>
      <c r="O1018" t="n">
        <v>31.57894736842105</v>
      </c>
    </row>
    <row r="1019" hidden="1">
      <c r="A1019" s="11" t="n">
        <v>46031</v>
      </c>
      <c r="B1019" t="inlineStr">
        <is>
          <t>Kerollen Cristielly de Jesus Siqueira</t>
        </is>
      </c>
      <c r="C1019" t="inlineStr">
        <is>
          <t>Técnico III</t>
        </is>
      </c>
      <c r="D1019" t="n">
        <v>21</v>
      </c>
      <c r="E1019" t="n">
        <v>19</v>
      </c>
      <c r="F1019" t="n">
        <v>15.59</v>
      </c>
      <c r="G1019" t="n">
        <v>0</v>
      </c>
      <c r="H1019" t="n">
        <v>0</v>
      </c>
      <c r="I1019" s="3">
        <f>E1019+G1019+H1019</f>
        <v/>
      </c>
      <c r="J1019" s="3">
        <f>ROUND(MIN(IF(C1019="Técnico III",35,IF(C1019="Técnico II",28,IF(C1019="Técnico I",23,IF(C1019="JR",20,IF(C1019="Estágio",10,0))))),IF(C1019="Técnico III",SUMIFS($D:$D,$A:$A,$A1019,$B:$B,"&lt;&gt;Patrícia Karla de Sousa Araújo",$B:$B,"&lt;&gt;Lorena Dias de Araujo",$B:$B,"&lt;&gt;Lucas Luiz Romero")*(35/1083),IF(C1019="Técnico II",SUMIFS($D:$D,$A:$A,$A1019,$B:$B,"&lt;&gt;Patrícia Karla de Sousa Araújo",$B:$B,"&lt;&gt;Lorena Dias de Araujo",$B:$B,"&lt;&gt;Lucas Luiz Romero")*(28/1083),IF(C1019="Técnico I",SUMIFS($D:$D,$A:$A,$A1019,$B:$B,"&lt;&gt;Patrícia Karla de Sousa Araújo",$B:$B,"&lt;&gt;Lorena Dias de Araujo",$B:$B,"&lt;&gt;Lucas Luiz Romero")*(23/1083),IF(C1019="JR",SUMIFS($D:$D,$A:$A,$A1019,$B:$B,"&lt;&gt;Patrícia Karla de Sousa Araújo",$B:$B,"&lt;&gt;Lorena Dias de Araujo",$B:$B,"&lt;&gt;Lucas Luiz Romero")*(20/1083),IF(C1019="Estágio",SUMIFS($D:$D,$A:$A,$A1019,$B:$B,"&lt;&gt;Patrícia Karla de Sousa Araújo",$B:$B,"&lt;&gt;Lorena Dias de Araujo",$B:$B,"&lt;&gt;Lucas Luiz Romero")*(10/1083),0)))))),0)</f>
        <v/>
      </c>
      <c r="K1019" s="3">
        <f>I1019-J1019</f>
        <v/>
      </c>
      <c r="L1019" s="3">
        <f>IF(K1019&lt;-5,"CRÍTICO",IF(K1019&lt;0,"ATENÇÃO",IF(K1019&lt;=5,"BOM","EXCELENTE")))</f>
        <v/>
      </c>
      <c r="M1019" t="n">
        <v>18</v>
      </c>
      <c r="N1019" t="n">
        <v>96.3</v>
      </c>
      <c r="O1019" t="n">
        <v>46.82539682539682</v>
      </c>
    </row>
    <row r="1020" hidden="1">
      <c r="A1020" s="11" t="n">
        <v>46031</v>
      </c>
      <c r="B1020" t="inlineStr">
        <is>
          <t>Leandro de Souza Silva</t>
        </is>
      </c>
      <c r="C1020" t="inlineStr">
        <is>
          <t>JR</t>
        </is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s="3" t="n">
        <v>0</v>
      </c>
      <c r="J1020" s="3" t="n">
        <v>0</v>
      </c>
      <c r="K1020" s="3" t="n">
        <v>0</v>
      </c>
      <c r="L1020" s="3">
        <f>IF(K1020&lt;-5,"CRÍTICO",IF(K1020&lt;0,"ATENÇÃO",IF(K1020&lt;=5,"BOM","EXCELENTE")))</f>
        <v/>
      </c>
      <c r="M1020" t="n">
        <v>0</v>
      </c>
      <c r="N1020" t="n">
        <v>0</v>
      </c>
      <c r="O1020" t="n">
        <v>0</v>
      </c>
    </row>
    <row r="1021" hidden="1">
      <c r="A1021" s="11" t="n">
        <v>46031</v>
      </c>
      <c r="B1021" t="inlineStr">
        <is>
          <t>Leandro Oliveira de Sousa</t>
        </is>
      </c>
      <c r="C1021" t="inlineStr">
        <is>
          <t>Técnico III</t>
        </is>
      </c>
      <c r="D1021" t="n">
        <v>28</v>
      </c>
      <c r="E1021" t="n">
        <v>24</v>
      </c>
      <c r="F1021" t="n">
        <v>15.43</v>
      </c>
      <c r="G1021" t="n">
        <v>0</v>
      </c>
      <c r="H1021" t="n">
        <v>0</v>
      </c>
      <c r="I1021" s="3">
        <f>E1021+G1021+H1021</f>
        <v/>
      </c>
      <c r="J1021" s="3">
        <f>ROUND(MIN(IF(C1021="Técnico III",35,IF(C1021="Técnico II",28,IF(C1021="Técnico I",23,IF(C1021="JR",20,IF(C1021="Estágio",10,0))))),IF(C1021="Técnico III",SUMIFS($D:$D,$A:$A,$A1021,$B:$B,"&lt;&gt;Patrícia Karla de Sousa Araújo",$B:$B,"&lt;&gt;Lorena Dias de Araujo",$B:$B,"&lt;&gt;Lucas Luiz Romero")*(35/1083),IF(C1021="Técnico II",SUMIFS($D:$D,$A:$A,$A1021,$B:$B,"&lt;&gt;Patrícia Karla de Sousa Araújo",$B:$B,"&lt;&gt;Lorena Dias de Araujo",$B:$B,"&lt;&gt;Lucas Luiz Romero")*(28/1083),IF(C1021="Técnico I",SUMIFS($D:$D,$A:$A,$A1021,$B:$B,"&lt;&gt;Patrícia Karla de Sousa Araújo",$B:$B,"&lt;&gt;Lorena Dias de Araujo",$B:$B,"&lt;&gt;Lucas Luiz Romero")*(23/1083),IF(C1021="JR",SUMIFS($D:$D,$A:$A,$A1021,$B:$B,"&lt;&gt;Patrícia Karla de Sousa Araújo",$B:$B,"&lt;&gt;Lorena Dias de Araujo",$B:$B,"&lt;&gt;Lucas Luiz Romero")*(20/1083),IF(C1021="Estágio",SUMIFS($D:$D,$A:$A,$A1021,$B:$B,"&lt;&gt;Patrícia Karla de Sousa Araújo",$B:$B,"&lt;&gt;Lorena Dias de Araujo",$B:$B,"&lt;&gt;Lucas Luiz Romero")*(10/1083),0)))))),0)</f>
        <v/>
      </c>
      <c r="K1021" s="3">
        <f>I1021-J1021</f>
        <v/>
      </c>
      <c r="L1021" s="3">
        <f>IF(K1021&lt;-5,"CRÍTICO",IF(K1021&lt;0,"ATENÇÃO",IF(K1021&lt;=5,"BOM","EXCELENTE")))</f>
        <v/>
      </c>
      <c r="M1021" t="n">
        <v>26</v>
      </c>
      <c r="N1021" t="n">
        <v>100</v>
      </c>
      <c r="O1021" t="n">
        <v>25.65789473684211</v>
      </c>
    </row>
    <row r="1022" hidden="1">
      <c r="A1022" s="11" t="n">
        <v>46031</v>
      </c>
      <c r="B1022" t="inlineStr">
        <is>
          <t>Lizandra Gomes Duarte</t>
        </is>
      </c>
      <c r="C1022" t="inlineStr">
        <is>
          <t>Técnico II</t>
        </is>
      </c>
      <c r="D1022" t="n">
        <v>30</v>
      </c>
      <c r="E1022" t="n">
        <v>28</v>
      </c>
      <c r="F1022" t="n">
        <v>18.45</v>
      </c>
      <c r="G1022" t="n">
        <v>0</v>
      </c>
      <c r="H1022" t="n">
        <v>0</v>
      </c>
      <c r="I1022" s="3">
        <f>E1022+G1022+H1022</f>
        <v/>
      </c>
      <c r="J1022" s="3">
        <f>ROUND(MIN(IF(C1022="Técnico III",35,IF(C1022="Técnico II",28,IF(C1022="Técnico I",23,IF(C1022="JR",20,IF(C1022="Estágio",10,0))))),IF(C1022="Técnico III",SUMIFS($D:$D,$A:$A,$A1022,$B:$B,"&lt;&gt;Patrícia Karla de Sousa Araújo",$B:$B,"&lt;&gt;Lorena Dias de Araujo",$B:$B,"&lt;&gt;Lucas Luiz Romero")*(35/1083),IF(C1022="Técnico II",SUMIFS($D:$D,$A:$A,$A1022,$B:$B,"&lt;&gt;Patrícia Karla de Sousa Araújo",$B:$B,"&lt;&gt;Lorena Dias de Araujo",$B:$B,"&lt;&gt;Lucas Luiz Romero")*(28/1083),IF(C1022="Técnico I",SUMIFS($D:$D,$A:$A,$A1022,$B:$B,"&lt;&gt;Patrícia Karla de Sousa Araújo",$B:$B,"&lt;&gt;Lorena Dias de Araujo",$B:$B,"&lt;&gt;Lucas Luiz Romero")*(23/1083),IF(C1022="JR",SUMIFS($D:$D,$A:$A,$A1022,$B:$B,"&lt;&gt;Patrícia Karla de Sousa Araújo",$B:$B,"&lt;&gt;Lorena Dias de Araujo",$B:$B,"&lt;&gt;Lucas Luiz Romero")*(20/1083),IF(C1022="Estágio",SUMIFS($D:$D,$A:$A,$A1022,$B:$B,"&lt;&gt;Patrícia Karla de Sousa Araújo",$B:$B,"&lt;&gt;Lorena Dias de Araujo",$B:$B,"&lt;&gt;Lucas Luiz Romero")*(10/1083),0)))))),0)</f>
        <v/>
      </c>
      <c r="K1022" s="3">
        <f>I1022-J1022</f>
        <v/>
      </c>
      <c r="L1022" s="3">
        <f>IF(K1022&lt;-5,"CRÍTICO",IF(K1022&lt;0,"ATENÇÃO",IF(K1022&lt;=5,"BOM","EXCELENTE")))</f>
        <v/>
      </c>
      <c r="M1022" t="n">
        <v>24</v>
      </c>
      <c r="N1022" t="n">
        <v>100</v>
      </c>
      <c r="O1022" t="n">
        <v>34.55882352941176</v>
      </c>
    </row>
    <row r="1023" hidden="1">
      <c r="A1023" s="11" t="n">
        <v>46031</v>
      </c>
      <c r="B1023" t="inlineStr">
        <is>
          <t>Lorena Dias de Araujo</t>
        </is>
      </c>
      <c r="C1023" t="inlineStr">
        <is>
          <t>Técnico II</t>
        </is>
      </c>
      <c r="D1023" t="n">
        <v>21</v>
      </c>
      <c r="E1023" t="n">
        <v>17</v>
      </c>
      <c r="F1023" t="n">
        <v>17.12</v>
      </c>
      <c r="G1023" t="n">
        <v>0</v>
      </c>
      <c r="H1023" t="n">
        <v>0</v>
      </c>
      <c r="I1023" s="3" t="n">
        <v>0</v>
      </c>
      <c r="J1023" s="3" t="n">
        <v>0</v>
      </c>
      <c r="K1023" s="3" t="n">
        <v>0</v>
      </c>
      <c r="L1023" s="3">
        <f>IF(K1023&lt;-5,"CRÍTICO",IF(K1023&lt;0,"ATENÇÃO",IF(K1023&lt;=5,"BOM","EXCELENTE")))</f>
        <v/>
      </c>
      <c r="M1023" t="n">
        <v>16</v>
      </c>
      <c r="N1023" t="n">
        <v>100</v>
      </c>
      <c r="O1023" t="n">
        <v>29.3103448275862</v>
      </c>
    </row>
    <row r="1024" hidden="1">
      <c r="A1024" s="11" t="n">
        <v>46031</v>
      </c>
      <c r="B1024" t="inlineStr">
        <is>
          <t>Lucas Luiz Romero</t>
        </is>
      </c>
      <c r="C1024" t="inlineStr">
        <is>
          <t>Técnico III</t>
        </is>
      </c>
      <c r="D1024" t="n">
        <v>44</v>
      </c>
      <c r="E1024" t="n">
        <v>34</v>
      </c>
      <c r="F1024" t="n">
        <v>12.04</v>
      </c>
      <c r="G1024" t="n">
        <v>0</v>
      </c>
      <c r="H1024" t="n">
        <v>0</v>
      </c>
      <c r="I1024" s="3">
        <f>E1024+G1024+H1024</f>
        <v/>
      </c>
      <c r="J1024" s="3">
        <f>ROUND(MIN(IF(C1024="Técnico III",35,IF(C1024="Técnico II",28,IF(C1024="Técnico I",23,IF(C1024="JR",20,IF(C1024="Estágio",10,0))))),IF(C1024="Técnico III",SUMIFS($D:$D,$A:$A,$A1024,$B:$B,"&lt;&gt;Patrícia Karla de Sousa Araújo",$B:$B,"&lt;&gt;Lorena Dias de Araujo",$B:$B,"&lt;&gt;Lucas Luiz Romero")*(35/1083),IF(C1024="Técnico II",SUMIFS($D:$D,$A:$A,$A1024,$B:$B,"&lt;&gt;Patrícia Karla de Sousa Araújo",$B:$B,"&lt;&gt;Lorena Dias de Araujo",$B:$B,"&lt;&gt;Lucas Luiz Romero")*(28/1083),IF(C1024="Técnico I",SUMIFS($D:$D,$A:$A,$A1024,$B:$B,"&lt;&gt;Patrícia Karla de Sousa Araújo",$B:$B,"&lt;&gt;Lorena Dias de Araujo",$B:$B,"&lt;&gt;Lucas Luiz Romero")*(23/1083),IF(C1024="JR",SUMIFS($D:$D,$A:$A,$A1024,$B:$B,"&lt;&gt;Patrícia Karla de Sousa Araújo",$B:$B,"&lt;&gt;Lorena Dias de Araujo",$B:$B,"&lt;&gt;Lucas Luiz Romero")*(20/1083),IF(C1024="Estágio",SUMIFS($D:$D,$A:$A,$A1024,$B:$B,"&lt;&gt;Patrícia Karla de Sousa Araújo",$B:$B,"&lt;&gt;Lorena Dias de Araujo",$B:$B,"&lt;&gt;Lucas Luiz Romero")*(10/1083),0)))))),0)</f>
        <v/>
      </c>
      <c r="K1024" s="3">
        <f>I1024-J1024</f>
        <v/>
      </c>
      <c r="L1024" s="3">
        <f>IF(K1024&lt;-5,"CRÍTICO",IF(K1024&lt;0,"ATENÇÃO",IF(K1024&lt;=5,"BOM","EXCELENTE")))</f>
        <v/>
      </c>
      <c r="M1024" t="n">
        <v>29</v>
      </c>
      <c r="N1024" t="n">
        <v>96.15000000000001</v>
      </c>
      <c r="O1024" t="n">
        <v>28.1437125748503</v>
      </c>
    </row>
    <row r="1025" hidden="1">
      <c r="A1025" s="11" t="n">
        <v>46031</v>
      </c>
      <c r="B1025" t="inlineStr">
        <is>
          <t>Luiz Fernando de Carvalho Junior</t>
        </is>
      </c>
      <c r="C1025" t="inlineStr">
        <is>
          <t>Técnico I</t>
        </is>
      </c>
      <c r="D1025" t="n">
        <v>14</v>
      </c>
      <c r="E1025" t="n">
        <v>14</v>
      </c>
      <c r="F1025" t="n">
        <v>30.13</v>
      </c>
      <c r="G1025" t="n">
        <v>0</v>
      </c>
      <c r="H1025" t="n">
        <v>0</v>
      </c>
      <c r="I1025" s="3">
        <f>E1025+G1025+H1025</f>
        <v/>
      </c>
      <c r="J1025" s="3">
        <f>ROUND(MIN(IF(C1025="Técnico III",35,IF(C1025="Técnico II",28,IF(C1025="Técnico I",23,IF(C1025="JR",20,IF(C1025="Estágio",10,0))))),IF(C1025="Técnico III",SUMIFS($D:$D,$A:$A,$A1025,$B:$B,"&lt;&gt;Patrícia Karla de Sousa Araújo",$B:$B,"&lt;&gt;Lorena Dias de Araujo",$B:$B,"&lt;&gt;Lucas Luiz Romero")*(35/1083),IF(C1025="Técnico II",SUMIFS($D:$D,$A:$A,$A1025,$B:$B,"&lt;&gt;Patrícia Karla de Sousa Araújo",$B:$B,"&lt;&gt;Lorena Dias de Araujo",$B:$B,"&lt;&gt;Lucas Luiz Romero")*(28/1083),IF(C1025="Técnico I",SUMIFS($D:$D,$A:$A,$A1025,$B:$B,"&lt;&gt;Patrícia Karla de Sousa Araújo",$B:$B,"&lt;&gt;Lorena Dias de Araujo",$B:$B,"&lt;&gt;Lucas Luiz Romero")*(23/1083),IF(C1025="JR",SUMIFS($D:$D,$A:$A,$A1025,$B:$B,"&lt;&gt;Patrícia Karla de Sousa Araújo",$B:$B,"&lt;&gt;Lorena Dias de Araujo",$B:$B,"&lt;&gt;Lucas Luiz Romero")*(20/1083),IF(C1025="Estágio",SUMIFS($D:$D,$A:$A,$A1025,$B:$B,"&lt;&gt;Patrícia Karla de Sousa Araújo",$B:$B,"&lt;&gt;Lorena Dias de Araujo",$B:$B,"&lt;&gt;Lucas Luiz Romero")*(10/1083),0)))))),0)</f>
        <v/>
      </c>
      <c r="K1025" s="3">
        <f>I1025-J1025</f>
        <v/>
      </c>
      <c r="L1025" s="3">
        <f>IF(K1025&lt;-5,"CRÍTICO",IF(K1025&lt;0,"ATENÇÃO",IF(K1025&lt;=5,"BOM","EXCELENTE")))</f>
        <v/>
      </c>
      <c r="M1025" t="n">
        <v>12</v>
      </c>
      <c r="N1025" t="n">
        <v>100</v>
      </c>
      <c r="O1025" t="n">
        <v>24.56140350877193</v>
      </c>
    </row>
    <row r="1026" hidden="1">
      <c r="A1026" s="11" t="n">
        <v>46031</v>
      </c>
      <c r="B1026" t="inlineStr">
        <is>
          <t>Maria Eduarda Sousa Costa</t>
        </is>
      </c>
      <c r="C1026" t="inlineStr">
        <is>
          <t>Estágio</t>
        </is>
      </c>
      <c r="D1026" t="n">
        <v>12</v>
      </c>
      <c r="E1026" t="n">
        <v>10</v>
      </c>
      <c r="F1026" t="n">
        <v>21.46</v>
      </c>
      <c r="G1026" t="n">
        <v>0</v>
      </c>
      <c r="H1026" t="n">
        <v>0</v>
      </c>
      <c r="I1026" s="3">
        <f>E1026+G1026+H1026</f>
        <v/>
      </c>
      <c r="J1026" s="3">
        <f>ROUND(MIN(IF(C1026="Técnico III",35,IF(C1026="Técnico II",28,IF(C1026="Técnico I",23,IF(C1026="JR",20,IF(C1026="Estágio",10,0))))),IF(C1026="Técnico III",SUMIFS($D:$D,$A:$A,$A1026,$B:$B,"&lt;&gt;Patrícia Karla de Sousa Araújo",$B:$B,"&lt;&gt;Lorena Dias de Araujo",$B:$B,"&lt;&gt;Lucas Luiz Romero")*(35/1083),IF(C1026="Técnico II",SUMIFS($D:$D,$A:$A,$A1026,$B:$B,"&lt;&gt;Patrícia Karla de Sousa Araújo",$B:$B,"&lt;&gt;Lorena Dias de Araujo",$B:$B,"&lt;&gt;Lucas Luiz Romero")*(28/1083),IF(C1026="Técnico I",SUMIFS($D:$D,$A:$A,$A1026,$B:$B,"&lt;&gt;Patrícia Karla de Sousa Araújo",$B:$B,"&lt;&gt;Lorena Dias de Araujo",$B:$B,"&lt;&gt;Lucas Luiz Romero")*(23/1083),IF(C1026="JR",SUMIFS($D:$D,$A:$A,$A1026,$B:$B,"&lt;&gt;Patrícia Karla de Sousa Araújo",$B:$B,"&lt;&gt;Lorena Dias de Araujo",$B:$B,"&lt;&gt;Lucas Luiz Romero")*(20/1083),IF(C1026="Estágio",SUMIFS($D:$D,$A:$A,$A1026,$B:$B,"&lt;&gt;Patrícia Karla de Sousa Araújo",$B:$B,"&lt;&gt;Lorena Dias de Araujo",$B:$B,"&lt;&gt;Lucas Luiz Romero")*(10/1083),0)))))),0)</f>
        <v/>
      </c>
      <c r="K1026" s="3">
        <f>I1026-J1026</f>
        <v/>
      </c>
      <c r="L1026" s="3">
        <f>IF(K1026&lt;-5,"CRÍTICO",IF(K1026&lt;0,"ATENÇÃO",IF(K1026&lt;=5,"BOM","EXCELENTE")))</f>
        <v/>
      </c>
      <c r="M1026" t="n">
        <v>8</v>
      </c>
      <c r="N1026" t="n">
        <v>100</v>
      </c>
      <c r="O1026" t="n">
        <v>34.69387755102041</v>
      </c>
    </row>
    <row r="1027" hidden="1">
      <c r="A1027" s="11" t="n">
        <v>46031</v>
      </c>
      <c r="B1027" t="inlineStr">
        <is>
          <t>Matheus Farias De Souza</t>
        </is>
      </c>
      <c r="C1027" t="inlineStr">
        <is>
          <t>Técnico III</t>
        </is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s="3" t="n">
        <v>0</v>
      </c>
      <c r="J1027" s="3" t="n">
        <v>0</v>
      </c>
      <c r="K1027" s="3" t="n">
        <v>0</v>
      </c>
      <c r="L1027" s="3">
        <f>IF(K1027&lt;-5,"CRÍTICO",IF(K1027&lt;0,"ATENÇÃO",IF(K1027&lt;=5,"BOM","EXCELENTE")))</f>
        <v/>
      </c>
      <c r="M1027" t="n">
        <v>0</v>
      </c>
      <c r="N1027" t="n">
        <v>100</v>
      </c>
      <c r="O1027" t="n">
        <v>0</v>
      </c>
    </row>
    <row r="1028" hidden="1">
      <c r="A1028" s="11" t="n">
        <v>46031</v>
      </c>
      <c r="B1028" t="inlineStr">
        <is>
          <t>Maysa Victoria Dias Moura</t>
        </is>
      </c>
      <c r="C1028" t="inlineStr">
        <is>
          <t>Técnico III</t>
        </is>
      </c>
      <c r="D1028" t="n">
        <v>37</v>
      </c>
      <c r="E1028" t="n">
        <v>29</v>
      </c>
      <c r="F1028" t="n">
        <v>8.359999999999999</v>
      </c>
      <c r="G1028" t="n">
        <v>0</v>
      </c>
      <c r="H1028" t="n">
        <v>0</v>
      </c>
      <c r="I1028" s="3">
        <f>E1028+G1028+H1028</f>
        <v/>
      </c>
      <c r="J1028" s="3">
        <f>ROUND(MIN(IF(C1028="Técnico III",35,IF(C1028="Técnico II",28,IF(C1028="Técnico I",23,IF(C1028="JR",20,IF(C1028="Estágio",10,0))))),IF(C1028="Técnico III",SUMIFS($D:$D,$A:$A,$A1028,$B:$B,"&lt;&gt;Patrícia Karla de Sousa Araújo",$B:$B,"&lt;&gt;Lorena Dias de Araujo",$B:$B,"&lt;&gt;Lucas Luiz Romero")*(35/1083),IF(C1028="Técnico II",SUMIFS($D:$D,$A:$A,$A1028,$B:$B,"&lt;&gt;Patrícia Karla de Sousa Araújo",$B:$B,"&lt;&gt;Lorena Dias de Araujo",$B:$B,"&lt;&gt;Lucas Luiz Romero")*(28/1083),IF(C1028="Técnico I",SUMIFS($D:$D,$A:$A,$A1028,$B:$B,"&lt;&gt;Patrícia Karla de Sousa Araújo",$B:$B,"&lt;&gt;Lorena Dias de Araujo",$B:$B,"&lt;&gt;Lucas Luiz Romero")*(23/1083),IF(C1028="JR",SUMIFS($D:$D,$A:$A,$A1028,$B:$B,"&lt;&gt;Patrícia Karla de Sousa Araújo",$B:$B,"&lt;&gt;Lorena Dias de Araujo",$B:$B,"&lt;&gt;Lucas Luiz Romero")*(20/1083),IF(C1028="Estágio",SUMIFS($D:$D,$A:$A,$A1028,$B:$B,"&lt;&gt;Patrícia Karla de Sousa Araújo",$B:$B,"&lt;&gt;Lorena Dias de Araujo",$B:$B,"&lt;&gt;Lucas Luiz Romero")*(10/1083),0)))))),0)</f>
        <v/>
      </c>
      <c r="K1028" s="3">
        <f>I1028-J1028</f>
        <v/>
      </c>
      <c r="L1028" s="3">
        <f>IF(K1028&lt;-5,"CRÍTICO",IF(K1028&lt;0,"ATENÇÃO",IF(K1028&lt;=5,"BOM","EXCELENTE")))</f>
        <v/>
      </c>
      <c r="M1028" t="n">
        <v>24</v>
      </c>
      <c r="N1028" t="n">
        <v>100</v>
      </c>
      <c r="O1028" t="n">
        <v>32.89473684210527</v>
      </c>
    </row>
    <row r="1029" hidden="1">
      <c r="A1029" s="11" t="n">
        <v>46031</v>
      </c>
      <c r="B1029" t="inlineStr">
        <is>
          <t>Michelle G Santos</t>
        </is>
      </c>
      <c r="C1029" t="inlineStr">
        <is>
          <t>Estágio</t>
        </is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s="3" t="n">
        <v>0</v>
      </c>
      <c r="J1029" s="3" t="n">
        <v>0</v>
      </c>
      <c r="K1029" s="3" t="n">
        <v>0</v>
      </c>
      <c r="L1029" s="3">
        <f>IF(K1029&lt;-5,"CRÍTICO",IF(K1029&lt;0,"ATENÇÃO",IF(K1029&lt;=5,"BOM","EXCELENTE")))</f>
        <v/>
      </c>
      <c r="M1029" t="n">
        <v>0</v>
      </c>
      <c r="N1029" t="n">
        <v>0</v>
      </c>
      <c r="O1029" t="n">
        <v>0</v>
      </c>
    </row>
    <row r="1030" hidden="1">
      <c r="A1030" s="11" t="n">
        <v>46031</v>
      </c>
      <c r="B1030" t="inlineStr">
        <is>
          <t>Milena Sales</t>
        </is>
      </c>
      <c r="C1030" t="inlineStr">
        <is>
          <t>JR</t>
        </is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s="3" t="n">
        <v>0</v>
      </c>
      <c r="J1030" s="3" t="n">
        <v>0</v>
      </c>
      <c r="K1030" s="3" t="n">
        <v>0</v>
      </c>
      <c r="L1030" s="3">
        <f>IF(K1030&lt;-5,"CRÍTICO",IF(K1030&lt;0,"ATENÇÃO",IF(K1030&lt;=5,"BOM","EXCELENTE")))</f>
        <v/>
      </c>
      <c r="M1030" t="n">
        <v>0</v>
      </c>
      <c r="N1030" t="n">
        <v>0</v>
      </c>
      <c r="O1030" t="n">
        <v>0</v>
      </c>
    </row>
    <row r="1031" hidden="1">
      <c r="A1031" s="11" t="n">
        <v>46031</v>
      </c>
      <c r="B1031" t="inlineStr">
        <is>
          <t>Patrícia Karla de Sousa Araújo</t>
        </is>
      </c>
      <c r="C1031" t="inlineStr">
        <is>
          <t>Técnico II</t>
        </is>
      </c>
      <c r="D1031" t="n">
        <v>24</v>
      </c>
      <c r="E1031" t="n">
        <v>20</v>
      </c>
      <c r="F1031" t="n">
        <v>12.24</v>
      </c>
      <c r="G1031" t="n">
        <v>0</v>
      </c>
      <c r="H1031" t="n">
        <v>0</v>
      </c>
      <c r="I1031" s="3">
        <f>E1031+G1031+H1031</f>
        <v/>
      </c>
      <c r="J1031" s="3">
        <f>ROUND(MIN(IF(C1031="Técnico III",35,IF(C1031="Técnico II",28,IF(C1031="Técnico I",23,IF(C1031="JR",20,IF(C1031="Estágio",10,0))))),IF(C1031="Técnico III",SUMIFS($D:$D,$A:$A,$A1031,$B:$B,"&lt;&gt;Patrícia Karla de Sousa Araújo",$B:$B,"&lt;&gt;Lorena Dias de Araujo",$B:$B,"&lt;&gt;Lucas Luiz Romero")*(35/1083),IF(C1031="Técnico II",SUMIFS($D:$D,$A:$A,$A1031,$B:$B,"&lt;&gt;Patrícia Karla de Sousa Araújo",$B:$B,"&lt;&gt;Lorena Dias de Araujo",$B:$B,"&lt;&gt;Lucas Luiz Romero")*(28/1083),IF(C1031="Técnico I",SUMIFS($D:$D,$A:$A,$A1031,$B:$B,"&lt;&gt;Patrícia Karla de Sousa Araújo",$B:$B,"&lt;&gt;Lorena Dias de Araujo",$B:$B,"&lt;&gt;Lucas Luiz Romero")*(23/1083),IF(C1031="JR",SUMIFS($D:$D,$A:$A,$A1031,$B:$B,"&lt;&gt;Patrícia Karla de Sousa Araújo",$B:$B,"&lt;&gt;Lorena Dias de Araujo",$B:$B,"&lt;&gt;Lucas Luiz Romero")*(20/1083),IF(C1031="Estágio",SUMIFS($D:$D,$A:$A,$A1031,$B:$B,"&lt;&gt;Patrícia Karla de Sousa Araújo",$B:$B,"&lt;&gt;Lorena Dias de Araujo",$B:$B,"&lt;&gt;Lucas Luiz Romero")*(10/1083),0)))))),0)</f>
        <v/>
      </c>
      <c r="K1031" s="3">
        <f>I1031-J1031</f>
        <v/>
      </c>
      <c r="L1031" s="3">
        <f>IF(K1031&lt;-5,"CRÍTICO",IF(K1031&lt;0,"ATENÇÃO",IF(K1031&lt;=5,"BOM","EXCELENTE")))</f>
        <v/>
      </c>
      <c r="M1031" t="n">
        <v>15</v>
      </c>
      <c r="N1031" t="n">
        <v>100</v>
      </c>
      <c r="O1031" t="n">
        <v>40</v>
      </c>
    </row>
    <row r="1032" hidden="1">
      <c r="A1032" s="11" t="n">
        <v>46031</v>
      </c>
      <c r="B1032" t="inlineStr">
        <is>
          <t>Paulo Ricardo Santos</t>
        </is>
      </c>
      <c r="C1032" t="inlineStr">
        <is>
          <t>JR</t>
        </is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s="3" t="n">
        <v>0</v>
      </c>
      <c r="J1032" s="3" t="n">
        <v>0</v>
      </c>
      <c r="K1032" s="3" t="n">
        <v>0</v>
      </c>
      <c r="L1032" s="3">
        <f>IF(K1032&lt;-5,"CRÍTICO",IF(K1032&lt;0,"ATENÇÃO",IF(K1032&lt;=5,"BOM","EXCELENTE")))</f>
        <v/>
      </c>
      <c r="M1032" t="n">
        <v>0</v>
      </c>
      <c r="N1032" t="n">
        <v>0</v>
      </c>
      <c r="O1032" t="n">
        <v>0</v>
      </c>
    </row>
    <row r="1033" hidden="1">
      <c r="A1033" s="11" t="n">
        <v>46031</v>
      </c>
      <c r="B1033" t="inlineStr">
        <is>
          <t>Pedro Luiz Mota Sousa</t>
        </is>
      </c>
      <c r="C1033" t="inlineStr">
        <is>
          <t>JR</t>
        </is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s="3" t="n">
        <v>0</v>
      </c>
      <c r="J1033" s="3" t="n">
        <v>0</v>
      </c>
      <c r="K1033" s="3" t="n">
        <v>0</v>
      </c>
      <c r="L1033" s="3">
        <f>IF(K1033&lt;-5,"CRÍTICO",IF(K1033&lt;0,"ATENÇÃO",IF(K1033&lt;=5,"BOM","EXCELENTE")))</f>
        <v/>
      </c>
      <c r="M1033" t="n">
        <v>0</v>
      </c>
      <c r="N1033" t="n">
        <v>0</v>
      </c>
      <c r="O1033" t="n">
        <v>0</v>
      </c>
    </row>
    <row r="1034" hidden="1">
      <c r="A1034" s="11" t="n">
        <v>46031</v>
      </c>
      <c r="B1034" t="inlineStr">
        <is>
          <t>Quirino Diogo Leite Torres</t>
        </is>
      </c>
      <c r="C1034" t="inlineStr">
        <is>
          <t>Estágio</t>
        </is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s="3" t="n">
        <v>0</v>
      </c>
      <c r="J1034" s="3" t="n">
        <v>0</v>
      </c>
      <c r="K1034" s="3" t="n">
        <v>0</v>
      </c>
      <c r="L1034" s="3">
        <f>IF(K1034&lt;-5,"CRÍTICO",IF(K1034&lt;0,"ATENÇÃO",IF(K1034&lt;=5,"BOM","EXCELENTE")))</f>
        <v/>
      </c>
      <c r="M1034" t="n">
        <v>0</v>
      </c>
      <c r="N1034" t="n">
        <v>0</v>
      </c>
      <c r="O1034" t="n">
        <v>0</v>
      </c>
    </row>
    <row r="1035" hidden="1">
      <c r="A1035" s="11" t="n">
        <v>46031</v>
      </c>
      <c r="B1035" t="inlineStr">
        <is>
          <t>Raane Batista Matos</t>
        </is>
      </c>
      <c r="C1035" t="inlineStr">
        <is>
          <t>Técnico I</t>
        </is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s="3" t="n">
        <v>0</v>
      </c>
      <c r="J1035" s="3" t="n">
        <v>0</v>
      </c>
      <c r="K1035" s="3" t="n">
        <v>0</v>
      </c>
      <c r="L1035" s="3">
        <f>IF(K1035&lt;-5,"CRÍTICO",IF(K1035&lt;0,"ATENÇÃO",IF(K1035&lt;=5,"BOM","EXCELENTE")))</f>
        <v/>
      </c>
      <c r="M1035" t="n">
        <v>0</v>
      </c>
      <c r="N1035" t="n">
        <v>0</v>
      </c>
      <c r="O1035" t="n">
        <v>0</v>
      </c>
    </row>
    <row r="1036" hidden="1">
      <c r="A1036" s="11" t="n">
        <v>46031</v>
      </c>
      <c r="B1036" t="inlineStr">
        <is>
          <t>Rafael Gomes de Morais</t>
        </is>
      </c>
      <c r="C1036" t="inlineStr">
        <is>
          <t>Técnico III</t>
        </is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s="3" t="n">
        <v>0</v>
      </c>
      <c r="J1036" s="3" t="n">
        <v>0</v>
      </c>
      <c r="K1036" s="3" t="n">
        <v>0</v>
      </c>
      <c r="L1036" s="3">
        <f>IF(K1036&lt;-5,"CRÍTICO",IF(K1036&lt;0,"ATENÇÃO",IF(K1036&lt;=5,"BOM","EXCELENTE")))</f>
        <v/>
      </c>
      <c r="M1036" t="n">
        <v>0</v>
      </c>
      <c r="N1036" t="n">
        <v>0</v>
      </c>
      <c r="O1036" t="n">
        <v>0</v>
      </c>
    </row>
    <row r="1037" hidden="1">
      <c r="A1037" s="11" t="n">
        <v>46031</v>
      </c>
      <c r="B1037" t="inlineStr">
        <is>
          <t>Sara Maria Monteiro Lopes</t>
        </is>
      </c>
      <c r="C1037" t="inlineStr">
        <is>
          <t>Técnico I</t>
        </is>
      </c>
      <c r="D1037" t="n">
        <v>17</v>
      </c>
      <c r="E1037" t="n">
        <v>16</v>
      </c>
      <c r="F1037" t="n">
        <v>24.06</v>
      </c>
      <c r="G1037" t="n">
        <v>0</v>
      </c>
      <c r="H1037" t="n">
        <v>0</v>
      </c>
      <c r="I1037" s="3">
        <f>E1037+G1037+H1037</f>
        <v/>
      </c>
      <c r="J1037" s="3">
        <f>ROUND(MIN(IF(C1037="Técnico III",35,IF(C1037="Técnico II",28,IF(C1037="Técnico I",23,IF(C1037="JR",20,IF(C1037="Estágio",10,0))))),IF(C1037="Técnico III",SUMIFS($D:$D,$A:$A,$A1037,$B:$B,"&lt;&gt;Patrícia Karla de Sousa Araújo",$B:$B,"&lt;&gt;Lorena Dias de Araujo",$B:$B,"&lt;&gt;Lucas Luiz Romero")*(35/1083),IF(C1037="Técnico II",SUMIFS($D:$D,$A:$A,$A1037,$B:$B,"&lt;&gt;Patrícia Karla de Sousa Araújo",$B:$B,"&lt;&gt;Lorena Dias de Araujo",$B:$B,"&lt;&gt;Lucas Luiz Romero")*(28/1083),IF(C1037="Técnico I",SUMIFS($D:$D,$A:$A,$A1037,$B:$B,"&lt;&gt;Patrícia Karla de Sousa Araújo",$B:$B,"&lt;&gt;Lorena Dias de Araujo",$B:$B,"&lt;&gt;Lucas Luiz Romero")*(23/1083),IF(C1037="JR",SUMIFS($D:$D,$A:$A,$A1037,$B:$B,"&lt;&gt;Patrícia Karla de Sousa Araújo",$B:$B,"&lt;&gt;Lorena Dias de Araujo",$B:$B,"&lt;&gt;Lucas Luiz Romero")*(20/1083),IF(C1037="Estágio",SUMIFS($D:$D,$A:$A,$A1037,$B:$B,"&lt;&gt;Patrícia Karla de Sousa Araújo",$B:$B,"&lt;&gt;Lorena Dias de Araujo",$B:$B,"&lt;&gt;Lucas Luiz Romero")*(10/1083),0)))))),0)</f>
        <v/>
      </c>
      <c r="K1037" s="3">
        <f>I1037-J1037</f>
        <v/>
      </c>
      <c r="L1037" s="3">
        <f>IF(K1037&lt;-5,"CRÍTICO",IF(K1037&lt;0,"ATENÇÃO",IF(K1037&lt;=5,"BOM","EXCELENTE")))</f>
        <v/>
      </c>
      <c r="M1037" t="n">
        <v>16</v>
      </c>
      <c r="N1037" t="n">
        <v>100</v>
      </c>
      <c r="O1037" t="n">
        <v>34.28571428571428</v>
      </c>
    </row>
    <row r="1038" hidden="1">
      <c r="A1038" s="11" t="n">
        <v>46031</v>
      </c>
      <c r="B1038" t="inlineStr">
        <is>
          <t>Sarah Steffanie de Lima Borges</t>
        </is>
      </c>
      <c r="C1038" t="inlineStr">
        <is>
          <t>Técnico III</t>
        </is>
      </c>
      <c r="D1038" t="n">
        <v>27</v>
      </c>
      <c r="E1038" t="n">
        <v>27</v>
      </c>
      <c r="F1038" t="n">
        <v>16.42</v>
      </c>
      <c r="G1038" t="n">
        <v>0</v>
      </c>
      <c r="H1038" t="n">
        <v>0</v>
      </c>
      <c r="I1038" s="3">
        <f>E1038+G1038+H1038</f>
        <v/>
      </c>
      <c r="J1038" s="3">
        <f>ROUND(MIN(IF(C1038="Técnico III",35,IF(C1038="Técnico II",28,IF(C1038="Técnico I",23,IF(C1038="JR",20,IF(C1038="Estágio",10,0))))),IF(C1038="Técnico III",SUMIFS($D:$D,$A:$A,$A1038,$B:$B,"&lt;&gt;Patrícia Karla de Sousa Araújo",$B:$B,"&lt;&gt;Lorena Dias de Araujo",$B:$B,"&lt;&gt;Lucas Luiz Romero")*(35/1083),IF(C1038="Técnico II",SUMIFS($D:$D,$A:$A,$A1038,$B:$B,"&lt;&gt;Patrícia Karla de Sousa Araújo",$B:$B,"&lt;&gt;Lorena Dias de Araujo",$B:$B,"&lt;&gt;Lucas Luiz Romero")*(28/1083),IF(C1038="Técnico I",SUMIFS($D:$D,$A:$A,$A1038,$B:$B,"&lt;&gt;Patrícia Karla de Sousa Araújo",$B:$B,"&lt;&gt;Lorena Dias de Araujo",$B:$B,"&lt;&gt;Lucas Luiz Romero")*(23/1083),IF(C1038="JR",SUMIFS($D:$D,$A:$A,$A1038,$B:$B,"&lt;&gt;Patrícia Karla de Sousa Araújo",$B:$B,"&lt;&gt;Lorena Dias de Araujo",$B:$B,"&lt;&gt;Lucas Luiz Romero")*(20/1083),IF(C1038="Estágio",SUMIFS($D:$D,$A:$A,$A1038,$B:$B,"&lt;&gt;Patrícia Karla de Sousa Araújo",$B:$B,"&lt;&gt;Lorena Dias de Araujo",$B:$B,"&lt;&gt;Lucas Luiz Romero")*(10/1083),0)))))),0)</f>
        <v/>
      </c>
      <c r="K1038" s="3">
        <f>I1038-J1038</f>
        <v/>
      </c>
      <c r="L1038" s="3">
        <f>IF(K1038&lt;-5,"CRÍTICO",IF(K1038&lt;0,"ATENÇÃO",IF(K1038&lt;=5,"BOM","EXCELENTE")))</f>
        <v/>
      </c>
      <c r="M1038" t="n">
        <v>24</v>
      </c>
      <c r="N1038" t="n">
        <v>100</v>
      </c>
      <c r="O1038" t="n">
        <v>25</v>
      </c>
    </row>
    <row r="1039" hidden="1">
      <c r="A1039" s="11" t="n">
        <v>46034</v>
      </c>
      <c r="B1039" t="inlineStr">
        <is>
          <t>Alisson de Freitas Silva</t>
        </is>
      </c>
      <c r="C1039" t="inlineStr">
        <is>
          <t>Técnico II</t>
        </is>
      </c>
      <c r="D1039" t="n">
        <v>23</v>
      </c>
      <c r="E1039" t="n">
        <v>19</v>
      </c>
      <c r="F1039" t="n">
        <v>19.11</v>
      </c>
      <c r="G1039" t="n">
        <v>0</v>
      </c>
      <c r="H1039" t="n">
        <v>0</v>
      </c>
      <c r="I1039" s="3">
        <f>E1039+G1039+H1039</f>
        <v/>
      </c>
      <c r="J1039" s="3">
        <f>ROUND(MIN(IF(C1039="Técnico III",35,IF(C1039="Técnico II",28,IF(C1039="Técnico I",23,IF(C1039="JR",20,IF(C1039="Estágio",10,0))))),IF(C1039="Técnico III",SUMIFS($D:$D,$A:$A,$A1039,$B:$B,"&lt;&gt;Patrícia Karla de Sousa Araújo",$B:$B,"&lt;&gt;Lorena Dias de Araujo",$B:$B,"&lt;&gt;Lucas Luiz Romero")*(35/1083),IF(C1039="Técnico II",SUMIFS($D:$D,$A:$A,$A1039,$B:$B,"&lt;&gt;Patrícia Karla de Sousa Araújo",$B:$B,"&lt;&gt;Lorena Dias de Araujo",$B:$B,"&lt;&gt;Lucas Luiz Romero")*(28/1083),IF(C1039="Técnico I",SUMIFS($D:$D,$A:$A,$A1039,$B:$B,"&lt;&gt;Patrícia Karla de Sousa Araújo",$B:$B,"&lt;&gt;Lorena Dias de Araujo",$B:$B,"&lt;&gt;Lucas Luiz Romero")*(23/1083),IF(C1039="JR",SUMIFS($D:$D,$A:$A,$A1039,$B:$B,"&lt;&gt;Patrícia Karla de Sousa Araújo",$B:$B,"&lt;&gt;Lorena Dias de Araujo",$B:$B,"&lt;&gt;Lucas Luiz Romero")*(20/1083),IF(C1039="Estágio",SUMIFS($D:$D,$A:$A,$A1039,$B:$B,"&lt;&gt;Patrícia Karla de Sousa Araújo",$B:$B,"&lt;&gt;Lorena Dias de Araujo",$B:$B,"&lt;&gt;Lucas Luiz Romero")*(10/1083),0)))))),0)</f>
        <v/>
      </c>
      <c r="K1039" s="3">
        <f>I1039-J1039</f>
        <v/>
      </c>
      <c r="L1039" s="3">
        <f>IF(K1039&lt;-5,"CRÍTICO",IF(K1039&lt;0,"ATENÇÃO",IF(K1039&lt;=5,"BOM","EXCELENTE")))</f>
        <v/>
      </c>
      <c r="M1039" t="n">
        <v>16</v>
      </c>
      <c r="N1039" t="n">
        <v>100</v>
      </c>
      <c r="O1039" t="n">
        <v>25.40983606557377</v>
      </c>
    </row>
    <row r="1040" hidden="1">
      <c r="A1040" s="11" t="n">
        <v>46034</v>
      </c>
      <c r="B1040" t="inlineStr">
        <is>
          <t>Amanda Moura Ferreira</t>
        </is>
      </c>
      <c r="C1040" t="inlineStr">
        <is>
          <t>Técnico III</t>
        </is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s="3" t="n">
        <v>0</v>
      </c>
      <c r="J1040" s="3" t="n">
        <v>0</v>
      </c>
      <c r="K1040" s="3" t="n">
        <v>0</v>
      </c>
      <c r="L1040" s="3">
        <f>IF(K1040&lt;-5,"CRÍTICO",IF(K1040&lt;0,"ATENÇÃO",IF(K1040&lt;=5,"BOM","EXCELENTE")))</f>
        <v/>
      </c>
      <c r="M1040" t="n">
        <v>23</v>
      </c>
      <c r="N1040" t="n">
        <v>96.88</v>
      </c>
      <c r="O1040" t="n">
        <v>28</v>
      </c>
    </row>
    <row r="1041" hidden="1">
      <c r="A1041" s="11" t="n">
        <v>46034</v>
      </c>
      <c r="B1041" t="inlineStr">
        <is>
          <t>Ana Karollyne Souza Faria</t>
        </is>
      </c>
      <c r="C1041" t="inlineStr">
        <is>
          <t>Técnico I</t>
        </is>
      </c>
      <c r="D1041" t="n">
        <v>29</v>
      </c>
      <c r="E1041" t="n">
        <v>28</v>
      </c>
      <c r="F1041" t="n">
        <v>22.38</v>
      </c>
      <c r="G1041" t="n">
        <v>0</v>
      </c>
      <c r="H1041" t="n">
        <v>0</v>
      </c>
      <c r="I1041" s="3">
        <f>E1041+G1041+H1041</f>
        <v/>
      </c>
      <c r="J1041" s="3">
        <f>ROUND(MIN(IF(C1041="Técnico III",35,IF(C1041="Técnico II",28,IF(C1041="Técnico I",23,IF(C1041="JR",20,IF(C1041="Estágio",10,0))))),IF(C1041="Técnico III",SUMIFS($D:$D,$A:$A,$A1041,$B:$B,"&lt;&gt;Patrícia Karla de Sousa Araújo",$B:$B,"&lt;&gt;Lorena Dias de Araujo",$B:$B,"&lt;&gt;Lucas Luiz Romero")*(35/1083),IF(C1041="Técnico II",SUMIFS($D:$D,$A:$A,$A1041,$B:$B,"&lt;&gt;Patrícia Karla de Sousa Araújo",$B:$B,"&lt;&gt;Lorena Dias de Araujo",$B:$B,"&lt;&gt;Lucas Luiz Romero")*(28/1083),IF(C1041="Técnico I",SUMIFS($D:$D,$A:$A,$A1041,$B:$B,"&lt;&gt;Patrícia Karla de Sousa Araújo",$B:$B,"&lt;&gt;Lorena Dias de Araujo",$B:$B,"&lt;&gt;Lucas Luiz Romero")*(23/1083),IF(C1041="JR",SUMIFS($D:$D,$A:$A,$A1041,$B:$B,"&lt;&gt;Patrícia Karla de Sousa Araújo",$B:$B,"&lt;&gt;Lorena Dias de Araujo",$B:$B,"&lt;&gt;Lucas Luiz Romero")*(20/1083),IF(C1041="Estágio",SUMIFS($D:$D,$A:$A,$A1041,$B:$B,"&lt;&gt;Patrícia Karla de Sousa Araújo",$B:$B,"&lt;&gt;Lorena Dias de Araujo",$B:$B,"&lt;&gt;Lucas Luiz Romero")*(10/1083),0)))))),0)</f>
        <v/>
      </c>
      <c r="K1041" s="3">
        <f>I1041-J1041</f>
        <v/>
      </c>
      <c r="L1041" s="3">
        <f>IF(K1041&lt;-5,"CRÍTICO",IF(K1041&lt;0,"ATENÇÃO",IF(K1041&lt;=5,"BOM","EXCELENTE")))</f>
        <v/>
      </c>
      <c r="M1041" t="n">
        <v>20</v>
      </c>
      <c r="N1041" t="n">
        <v>100</v>
      </c>
      <c r="O1041" t="n">
        <v>25.90361445783132</v>
      </c>
    </row>
    <row r="1042" hidden="1">
      <c r="A1042" s="11" t="n">
        <v>46034</v>
      </c>
      <c r="B1042" t="inlineStr">
        <is>
          <t>Ana Paula Da Luz Silva Aleixo</t>
        </is>
      </c>
      <c r="C1042" t="inlineStr">
        <is>
          <t>Técnico III</t>
        </is>
      </c>
      <c r="D1042" t="n">
        <v>33</v>
      </c>
      <c r="E1042" t="n">
        <v>30</v>
      </c>
      <c r="F1042" t="n">
        <v>16.41</v>
      </c>
      <c r="G1042" t="n">
        <v>0</v>
      </c>
      <c r="H1042" t="n">
        <v>0</v>
      </c>
      <c r="I1042" s="3">
        <f>E1042+G1042+H1042</f>
        <v/>
      </c>
      <c r="J1042" s="3">
        <f>ROUND(MIN(IF(C1042="Técnico III",35,IF(C1042="Técnico II",28,IF(C1042="Técnico I",23,IF(C1042="JR",20,IF(C1042="Estágio",10,0))))),IF(C1042="Técnico III",SUMIFS($D:$D,$A:$A,$A1042,$B:$B,"&lt;&gt;Patrícia Karla de Sousa Araújo",$B:$B,"&lt;&gt;Lorena Dias de Araujo",$B:$B,"&lt;&gt;Lucas Luiz Romero")*(35/1083),IF(C1042="Técnico II",SUMIFS($D:$D,$A:$A,$A1042,$B:$B,"&lt;&gt;Patrícia Karla de Sousa Araújo",$B:$B,"&lt;&gt;Lorena Dias de Araujo",$B:$B,"&lt;&gt;Lucas Luiz Romero")*(28/1083),IF(C1042="Técnico I",SUMIFS($D:$D,$A:$A,$A1042,$B:$B,"&lt;&gt;Patrícia Karla de Sousa Araújo",$B:$B,"&lt;&gt;Lorena Dias de Araujo",$B:$B,"&lt;&gt;Lucas Luiz Romero")*(23/1083),IF(C1042="JR",SUMIFS($D:$D,$A:$A,$A1042,$B:$B,"&lt;&gt;Patrícia Karla de Sousa Araújo",$B:$B,"&lt;&gt;Lorena Dias de Araujo",$B:$B,"&lt;&gt;Lucas Luiz Romero")*(20/1083),IF(C1042="Estágio",SUMIFS($D:$D,$A:$A,$A1042,$B:$B,"&lt;&gt;Patrícia Karla de Sousa Araújo",$B:$B,"&lt;&gt;Lorena Dias de Araujo",$B:$B,"&lt;&gt;Lucas Luiz Romero")*(10/1083),0)))))),0)</f>
        <v/>
      </c>
      <c r="K1042" s="3">
        <f>I1042-J1042</f>
        <v/>
      </c>
      <c r="L1042" s="3">
        <f>IF(K1042&lt;-5,"CRÍTICO",IF(K1042&lt;0,"ATENÇÃO",IF(K1042&lt;=5,"BOM","EXCELENTE")))</f>
        <v/>
      </c>
      <c r="M1042" t="n">
        <v>24</v>
      </c>
      <c r="N1042" t="n">
        <v>100</v>
      </c>
      <c r="O1042" t="n">
        <v>31.38297872340425</v>
      </c>
    </row>
    <row r="1043" hidden="1">
      <c r="A1043" s="11" t="n">
        <v>46034</v>
      </c>
      <c r="B1043" t="inlineStr">
        <is>
          <t>Anna Luiza Rezende Tavares</t>
        </is>
      </c>
      <c r="C1043" t="inlineStr">
        <is>
          <t>Estágio</t>
        </is>
      </c>
      <c r="D1043" t="n">
        <v>7</v>
      </c>
      <c r="E1043" t="n">
        <v>7</v>
      </c>
      <c r="F1043" t="n">
        <v>41.4</v>
      </c>
      <c r="G1043" t="n">
        <v>0</v>
      </c>
      <c r="H1043" t="n">
        <v>0</v>
      </c>
      <c r="I1043" s="3">
        <f>E1043+G1043+H1043</f>
        <v/>
      </c>
      <c r="J1043" s="3">
        <f>ROUND(MIN(IF(C1043="Técnico III",35,IF(C1043="Técnico II",28,IF(C1043="Técnico I",23,IF(C1043="JR",20,IF(C1043="Estágio",10,0))))),IF(C1043="Técnico III",SUMIFS($D:$D,$A:$A,$A1043,$B:$B,"&lt;&gt;Patrícia Karla de Sousa Araújo",$B:$B,"&lt;&gt;Lorena Dias de Araujo",$B:$B,"&lt;&gt;Lucas Luiz Romero")*(35/1083),IF(C1043="Técnico II",SUMIFS($D:$D,$A:$A,$A1043,$B:$B,"&lt;&gt;Patrícia Karla de Sousa Araújo",$B:$B,"&lt;&gt;Lorena Dias de Araujo",$B:$B,"&lt;&gt;Lucas Luiz Romero")*(28/1083),IF(C1043="Técnico I",SUMIFS($D:$D,$A:$A,$A1043,$B:$B,"&lt;&gt;Patrícia Karla de Sousa Araújo",$B:$B,"&lt;&gt;Lorena Dias de Araujo",$B:$B,"&lt;&gt;Lucas Luiz Romero")*(23/1083),IF(C1043="JR",SUMIFS($D:$D,$A:$A,$A1043,$B:$B,"&lt;&gt;Patrícia Karla de Sousa Araújo",$B:$B,"&lt;&gt;Lorena Dias de Araujo",$B:$B,"&lt;&gt;Lucas Luiz Romero")*(20/1083),IF(C1043="Estágio",SUMIFS($D:$D,$A:$A,$A1043,$B:$B,"&lt;&gt;Patrícia Karla de Sousa Araújo",$B:$B,"&lt;&gt;Lorena Dias de Araujo",$B:$B,"&lt;&gt;Lucas Luiz Romero")*(10/1083),0)))))),0)</f>
        <v/>
      </c>
      <c r="K1043" s="3">
        <f>I1043-J1043</f>
        <v/>
      </c>
      <c r="L1043" s="3">
        <f>IF(K1043&lt;-5,"CRÍTICO",IF(K1043&lt;0,"ATENÇÃO",IF(K1043&lt;=5,"BOM","EXCELENTE")))</f>
        <v/>
      </c>
      <c r="M1043" t="n">
        <v>5</v>
      </c>
      <c r="N1043" t="n">
        <v>100</v>
      </c>
      <c r="O1043" t="n">
        <v>45.09803921568628</v>
      </c>
    </row>
    <row r="1044" hidden="1">
      <c r="A1044" s="11" t="n">
        <v>46034</v>
      </c>
      <c r="B1044" t="inlineStr">
        <is>
          <t>Brenda de Menezes Silva</t>
        </is>
      </c>
      <c r="C1044" t="inlineStr">
        <is>
          <t>Técnico II</t>
        </is>
      </c>
      <c r="D1044" t="n">
        <v>38</v>
      </c>
      <c r="E1044" t="n">
        <v>30</v>
      </c>
      <c r="F1044" t="n">
        <v>15.37</v>
      </c>
      <c r="G1044" t="n">
        <v>0</v>
      </c>
      <c r="H1044" t="n">
        <v>0</v>
      </c>
      <c r="I1044" s="3">
        <f>E1044+G1044+H1044</f>
        <v/>
      </c>
      <c r="J1044" s="3">
        <f>ROUND(MIN(IF(C1044="Técnico III",35,IF(C1044="Técnico II",28,IF(C1044="Técnico I",23,IF(C1044="JR",20,IF(C1044="Estágio",10,0))))),IF(C1044="Técnico III",SUMIFS($D:$D,$A:$A,$A1044,$B:$B,"&lt;&gt;Patrícia Karla de Sousa Araújo",$B:$B,"&lt;&gt;Lorena Dias de Araujo",$B:$B,"&lt;&gt;Lucas Luiz Romero")*(35/1083),IF(C1044="Técnico II",SUMIFS($D:$D,$A:$A,$A1044,$B:$B,"&lt;&gt;Patrícia Karla de Sousa Araújo",$B:$B,"&lt;&gt;Lorena Dias de Araujo",$B:$B,"&lt;&gt;Lucas Luiz Romero")*(28/1083),IF(C1044="Técnico I",SUMIFS($D:$D,$A:$A,$A1044,$B:$B,"&lt;&gt;Patrícia Karla de Sousa Araújo",$B:$B,"&lt;&gt;Lorena Dias de Araujo",$B:$B,"&lt;&gt;Lucas Luiz Romero")*(23/1083),IF(C1044="JR",SUMIFS($D:$D,$A:$A,$A1044,$B:$B,"&lt;&gt;Patrícia Karla de Sousa Araújo",$B:$B,"&lt;&gt;Lorena Dias de Araujo",$B:$B,"&lt;&gt;Lucas Luiz Romero")*(20/1083),IF(C1044="Estágio",SUMIFS($D:$D,$A:$A,$A1044,$B:$B,"&lt;&gt;Patrícia Karla de Sousa Araújo",$B:$B,"&lt;&gt;Lorena Dias de Araujo",$B:$B,"&lt;&gt;Lucas Luiz Romero")*(10/1083),0)))))),0)</f>
        <v/>
      </c>
      <c r="K1044" s="3">
        <f>I1044-J1044</f>
        <v/>
      </c>
      <c r="L1044" s="3">
        <f>IF(K1044&lt;-5,"CRÍTICO",IF(K1044&lt;0,"ATENÇÃO",IF(K1044&lt;=5,"BOM","EXCELENTE")))</f>
        <v/>
      </c>
      <c r="M1044" t="n">
        <v>32</v>
      </c>
      <c r="N1044" t="n">
        <v>100</v>
      </c>
      <c r="O1044" t="n">
        <v>28.33333333333333</v>
      </c>
    </row>
    <row r="1045" hidden="1">
      <c r="A1045" s="11" t="n">
        <v>46034</v>
      </c>
      <c r="B1045" t="inlineStr">
        <is>
          <t>Carlos Mateus Cassimiro Nunes</t>
        </is>
      </c>
      <c r="C1045" t="inlineStr">
        <is>
          <t>Técnico II</t>
        </is>
      </c>
      <c r="D1045" t="n">
        <v>11</v>
      </c>
      <c r="E1045" t="n">
        <v>11</v>
      </c>
      <c r="F1045" t="n">
        <v>58.32</v>
      </c>
      <c r="G1045" t="n">
        <v>0</v>
      </c>
      <c r="H1045" t="n">
        <v>0</v>
      </c>
      <c r="I1045" s="3">
        <f>E1045+G1045+H1045</f>
        <v/>
      </c>
      <c r="J1045" s="3">
        <f>ROUND(MIN(IF(C1045="Técnico III",35,IF(C1045="Técnico II",28,IF(C1045="Técnico I",23,IF(C1045="JR",20,IF(C1045="Estágio",10,0))))),IF(C1045="Técnico III",SUMIFS($D:$D,$A:$A,$A1045,$B:$B,"&lt;&gt;Patrícia Karla de Sousa Araújo",$B:$B,"&lt;&gt;Lorena Dias de Araujo",$B:$B,"&lt;&gt;Lucas Luiz Romero")*(35/1083),IF(C1045="Técnico II",SUMIFS($D:$D,$A:$A,$A1045,$B:$B,"&lt;&gt;Patrícia Karla de Sousa Araújo",$B:$B,"&lt;&gt;Lorena Dias de Araujo",$B:$B,"&lt;&gt;Lucas Luiz Romero")*(28/1083),IF(C1045="Técnico I",SUMIFS($D:$D,$A:$A,$A1045,$B:$B,"&lt;&gt;Patrícia Karla de Sousa Araújo",$B:$B,"&lt;&gt;Lorena Dias de Araujo",$B:$B,"&lt;&gt;Lucas Luiz Romero")*(23/1083),IF(C1045="JR",SUMIFS($D:$D,$A:$A,$A1045,$B:$B,"&lt;&gt;Patrícia Karla de Sousa Araújo",$B:$B,"&lt;&gt;Lorena Dias de Araujo",$B:$B,"&lt;&gt;Lucas Luiz Romero")*(20/1083),IF(C1045="Estágio",SUMIFS($D:$D,$A:$A,$A1045,$B:$B,"&lt;&gt;Patrícia Karla de Sousa Araújo",$B:$B,"&lt;&gt;Lorena Dias de Araujo",$B:$B,"&lt;&gt;Lucas Luiz Romero")*(10/1083),0)))))),0)</f>
        <v/>
      </c>
      <c r="K1045" s="3">
        <f>I1045-J1045</f>
        <v/>
      </c>
      <c r="L1045" s="3">
        <f>IF(K1045&lt;-5,"CRÍTICO",IF(K1045&lt;0,"ATENÇÃO",IF(K1045&lt;=5,"BOM","EXCELENTE")))</f>
        <v/>
      </c>
      <c r="M1045" t="n">
        <v>12</v>
      </c>
      <c r="N1045" t="n">
        <v>100</v>
      </c>
      <c r="O1045" t="n">
        <v>37.60683760683761</v>
      </c>
    </row>
    <row r="1046" hidden="1">
      <c r="A1046" s="11" t="n">
        <v>46034</v>
      </c>
      <c r="B1046" t="inlineStr">
        <is>
          <t>Claudio de Sousa Velasco Filho</t>
        </is>
      </c>
      <c r="C1046" t="inlineStr">
        <is>
          <t>Estágio</t>
        </is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s="3" t="n">
        <v>0</v>
      </c>
      <c r="J1046" s="3" t="n">
        <v>0</v>
      </c>
      <c r="K1046" s="3" t="n">
        <v>0</v>
      </c>
      <c r="L1046" s="3">
        <f>IF(K1046&lt;-5,"CRÍTICO",IF(K1046&lt;0,"ATENÇÃO",IF(K1046&lt;=5,"BOM","EXCELENTE")))</f>
        <v/>
      </c>
      <c r="M1046" t="n">
        <v>0</v>
      </c>
      <c r="N1046" t="n">
        <v>0</v>
      </c>
      <c r="O1046" t="n">
        <v>0</v>
      </c>
    </row>
    <row r="1047" hidden="1">
      <c r="A1047" s="11" t="n">
        <v>46034</v>
      </c>
      <c r="B1047" t="inlineStr">
        <is>
          <t>Clessiane Pereira dos Santos</t>
        </is>
      </c>
      <c r="C1047" t="inlineStr">
        <is>
          <t>Técnico I</t>
        </is>
      </c>
      <c r="D1047" t="n">
        <v>21</v>
      </c>
      <c r="E1047" t="n">
        <v>19</v>
      </c>
      <c r="F1047" t="n">
        <v>30.21</v>
      </c>
      <c r="G1047" t="n">
        <v>0</v>
      </c>
      <c r="H1047" t="n">
        <v>0</v>
      </c>
      <c r="I1047" s="3">
        <f>E1047+G1047+H1047</f>
        <v/>
      </c>
      <c r="J1047" s="3">
        <f>ROUND(MIN(IF(C1047="Técnico III",35,IF(C1047="Técnico II",28,IF(C1047="Técnico I",23,IF(C1047="JR",20,IF(C1047="Estágio",10,0))))),IF(C1047="Técnico III",SUMIFS($D:$D,$A:$A,$A1047,$B:$B,"&lt;&gt;Patrícia Karla de Sousa Araújo",$B:$B,"&lt;&gt;Lorena Dias de Araujo",$B:$B,"&lt;&gt;Lucas Luiz Romero")*(35/1083),IF(C1047="Técnico II",SUMIFS($D:$D,$A:$A,$A1047,$B:$B,"&lt;&gt;Patrícia Karla de Sousa Araújo",$B:$B,"&lt;&gt;Lorena Dias de Araujo",$B:$B,"&lt;&gt;Lucas Luiz Romero")*(28/1083),IF(C1047="Técnico I",SUMIFS($D:$D,$A:$A,$A1047,$B:$B,"&lt;&gt;Patrícia Karla de Sousa Araújo",$B:$B,"&lt;&gt;Lorena Dias de Araujo",$B:$B,"&lt;&gt;Lucas Luiz Romero")*(23/1083),IF(C1047="JR",SUMIFS($D:$D,$A:$A,$A1047,$B:$B,"&lt;&gt;Patrícia Karla de Sousa Araújo",$B:$B,"&lt;&gt;Lorena Dias de Araujo",$B:$B,"&lt;&gt;Lucas Luiz Romero")*(20/1083),IF(C1047="Estágio",SUMIFS($D:$D,$A:$A,$A1047,$B:$B,"&lt;&gt;Patrícia Karla de Sousa Araújo",$B:$B,"&lt;&gt;Lorena Dias de Araujo",$B:$B,"&lt;&gt;Lucas Luiz Romero")*(10/1083),0)))))),0)</f>
        <v/>
      </c>
      <c r="K1047" s="3">
        <f>I1047-J1047</f>
        <v/>
      </c>
      <c r="L1047" s="3">
        <f>IF(K1047&lt;-5,"CRÍTICO",IF(K1047&lt;0,"ATENÇÃO",IF(K1047&lt;=5,"BOM","EXCELENTE")))</f>
        <v/>
      </c>
      <c r="M1047" t="n">
        <v>15</v>
      </c>
      <c r="N1047" t="n">
        <v>100</v>
      </c>
      <c r="O1047" t="n">
        <v>30.3921568627451</v>
      </c>
    </row>
    <row r="1048" hidden="1">
      <c r="A1048" s="11" t="n">
        <v>46034</v>
      </c>
      <c r="B1048" t="inlineStr">
        <is>
          <t>Cristiane Ramos da Silva Rocha</t>
        </is>
      </c>
      <c r="C1048" t="inlineStr">
        <is>
          <t>Técnico III</t>
        </is>
      </c>
      <c r="D1048" t="n">
        <v>35</v>
      </c>
      <c r="E1048" t="n">
        <v>28</v>
      </c>
      <c r="F1048" t="n">
        <v>10.58</v>
      </c>
      <c r="G1048" t="n">
        <v>0</v>
      </c>
      <c r="H1048" t="n">
        <v>0</v>
      </c>
      <c r="I1048" s="3">
        <f>E1048+G1048+H1048</f>
        <v/>
      </c>
      <c r="J1048" s="3">
        <f>ROUND(MIN(IF(C1048="Técnico III",35,IF(C1048="Técnico II",28,IF(C1048="Técnico I",23,IF(C1048="JR",20,IF(C1048="Estágio",10,0))))),IF(C1048="Técnico III",SUMIFS($D:$D,$A:$A,$A1048,$B:$B,"&lt;&gt;Patrícia Karla de Sousa Araújo",$B:$B,"&lt;&gt;Lorena Dias de Araujo",$B:$B,"&lt;&gt;Lucas Luiz Romero")*(35/1083),IF(C1048="Técnico II",SUMIFS($D:$D,$A:$A,$A1048,$B:$B,"&lt;&gt;Patrícia Karla de Sousa Araújo",$B:$B,"&lt;&gt;Lorena Dias de Araujo",$B:$B,"&lt;&gt;Lucas Luiz Romero")*(28/1083),IF(C1048="Técnico I",SUMIFS($D:$D,$A:$A,$A1048,$B:$B,"&lt;&gt;Patrícia Karla de Sousa Araújo",$B:$B,"&lt;&gt;Lorena Dias de Araujo",$B:$B,"&lt;&gt;Lucas Luiz Romero")*(23/1083),IF(C1048="JR",SUMIFS($D:$D,$A:$A,$A1048,$B:$B,"&lt;&gt;Patrícia Karla de Sousa Araújo",$B:$B,"&lt;&gt;Lorena Dias de Araujo",$B:$B,"&lt;&gt;Lucas Luiz Romero")*(20/1083),IF(C1048="Estágio",SUMIFS($D:$D,$A:$A,$A1048,$B:$B,"&lt;&gt;Patrícia Karla de Sousa Araújo",$B:$B,"&lt;&gt;Lorena Dias de Araujo",$B:$B,"&lt;&gt;Lucas Luiz Romero")*(10/1083),0)))))),0)</f>
        <v/>
      </c>
      <c r="K1048" s="3">
        <f>I1048-J1048</f>
        <v/>
      </c>
      <c r="L1048" s="3">
        <f>IF(K1048&lt;-5,"CRÍTICO",IF(K1048&lt;0,"ATENÇÃO",IF(K1048&lt;=5,"BOM","EXCELENTE")))</f>
        <v/>
      </c>
      <c r="M1048" t="n">
        <v>27</v>
      </c>
      <c r="N1048" t="n">
        <v>96</v>
      </c>
      <c r="O1048" t="n">
        <v>40.7035175879397</v>
      </c>
    </row>
    <row r="1049" hidden="1">
      <c r="A1049" s="11" t="n">
        <v>46034</v>
      </c>
      <c r="B1049" t="inlineStr">
        <is>
          <t>Damyllis Lorraine de Oliveira Gonçalves</t>
        </is>
      </c>
      <c r="C1049" t="inlineStr">
        <is>
          <t>Técnico II</t>
        </is>
      </c>
      <c r="D1049" t="n">
        <v>31</v>
      </c>
      <c r="E1049" t="n">
        <v>20</v>
      </c>
      <c r="F1049" t="n">
        <v>15.46</v>
      </c>
      <c r="G1049" t="n">
        <v>0</v>
      </c>
      <c r="H1049" t="n">
        <v>0</v>
      </c>
      <c r="I1049" s="3" t="n">
        <v>0</v>
      </c>
      <c r="J1049" s="3" t="n">
        <v>0</v>
      </c>
      <c r="K1049" s="3" t="n">
        <v>0</v>
      </c>
      <c r="L1049" s="3">
        <f>IF(K1049&lt;-5,"CRÍTICO",IF(K1049&lt;0,"ATENÇÃO",IF(K1049&lt;=5,"BOM","EXCELENTE")))</f>
        <v/>
      </c>
      <c r="M1049" t="n">
        <v>21</v>
      </c>
      <c r="N1049" t="n">
        <v>97.22</v>
      </c>
      <c r="O1049" t="n">
        <v>31.33333333333334</v>
      </c>
    </row>
    <row r="1050" hidden="1">
      <c r="A1050" s="11" t="n">
        <v>46034</v>
      </c>
      <c r="B1050" t="inlineStr">
        <is>
          <t>Daniel Gomes da Silva</t>
        </is>
      </c>
      <c r="C1050" t="inlineStr">
        <is>
          <t>Técnico I</t>
        </is>
      </c>
      <c r="D1050" t="n">
        <v>32</v>
      </c>
      <c r="E1050" t="n">
        <v>32</v>
      </c>
      <c r="F1050" t="n">
        <v>16.51</v>
      </c>
      <c r="G1050" t="n">
        <v>0</v>
      </c>
      <c r="H1050" t="n">
        <v>0</v>
      </c>
      <c r="I1050" s="3">
        <f>E1050+G1050+H1050</f>
        <v/>
      </c>
      <c r="J1050" s="3">
        <f>ROUND(MIN(IF(C1050="Técnico III",35,IF(C1050="Técnico II",28,IF(C1050="Técnico I",23,IF(C1050="JR",20,IF(C1050="Estágio",10,0))))),IF(C1050="Técnico III",SUMIFS($D:$D,$A:$A,$A1050,$B:$B,"&lt;&gt;Patrícia Karla de Sousa Araújo",$B:$B,"&lt;&gt;Lorena Dias de Araujo",$B:$B,"&lt;&gt;Lucas Luiz Romero")*(35/1083),IF(C1050="Técnico II",SUMIFS($D:$D,$A:$A,$A1050,$B:$B,"&lt;&gt;Patrícia Karla de Sousa Araújo",$B:$B,"&lt;&gt;Lorena Dias de Araujo",$B:$B,"&lt;&gt;Lucas Luiz Romero")*(28/1083),IF(C1050="Técnico I",SUMIFS($D:$D,$A:$A,$A1050,$B:$B,"&lt;&gt;Patrícia Karla de Sousa Araújo",$B:$B,"&lt;&gt;Lorena Dias de Araujo",$B:$B,"&lt;&gt;Lucas Luiz Romero")*(23/1083),IF(C1050="JR",SUMIFS($D:$D,$A:$A,$A1050,$B:$B,"&lt;&gt;Patrícia Karla de Sousa Araújo",$B:$B,"&lt;&gt;Lorena Dias de Araujo",$B:$B,"&lt;&gt;Lucas Luiz Romero")*(20/1083),IF(C1050="Estágio",SUMIFS($D:$D,$A:$A,$A1050,$B:$B,"&lt;&gt;Patrícia Karla de Sousa Araújo",$B:$B,"&lt;&gt;Lorena Dias de Araujo",$B:$B,"&lt;&gt;Lucas Luiz Romero")*(10/1083),0)))))),0)</f>
        <v/>
      </c>
      <c r="K1050" s="3">
        <f>I1050-J1050</f>
        <v/>
      </c>
      <c r="L1050" s="3">
        <f>IF(K1050&lt;-5,"CRÍTICO",IF(K1050&lt;0,"ATENÇÃO",IF(K1050&lt;=5,"BOM","EXCELENTE")))</f>
        <v/>
      </c>
      <c r="M1050" t="n">
        <v>38</v>
      </c>
      <c r="N1050" t="n">
        <v>100</v>
      </c>
      <c r="O1050" t="n">
        <v>28.8235294117647</v>
      </c>
    </row>
    <row r="1051" hidden="1">
      <c r="A1051" s="11" t="n">
        <v>46034</v>
      </c>
      <c r="B1051" t="inlineStr">
        <is>
          <t>Davylla Rodrigues Freitas Silva</t>
        </is>
      </c>
      <c r="C1051" t="inlineStr">
        <is>
          <t>Técnico III</t>
        </is>
      </c>
      <c r="D1051" t="n">
        <v>19</v>
      </c>
      <c r="E1051" t="n">
        <v>17</v>
      </c>
      <c r="F1051" t="n">
        <v>30.09</v>
      </c>
      <c r="G1051" t="n">
        <v>0</v>
      </c>
      <c r="H1051" t="n">
        <v>0</v>
      </c>
      <c r="I1051" s="3" t="n">
        <v>0</v>
      </c>
      <c r="J1051" s="3" t="n">
        <v>0</v>
      </c>
      <c r="K1051" s="3" t="n">
        <v>0</v>
      </c>
      <c r="L1051" s="3">
        <f>IF(K1051&lt;-5,"CRÍTICO",IF(K1051&lt;0,"ATENÇÃO",IF(K1051&lt;=5,"BOM","EXCELENTE")))</f>
        <v/>
      </c>
      <c r="M1051" t="n">
        <v>18</v>
      </c>
      <c r="N1051" t="n">
        <v>100</v>
      </c>
      <c r="O1051" t="n">
        <v>44.1717791411043</v>
      </c>
    </row>
    <row r="1052" hidden="1">
      <c r="A1052" s="11" t="n">
        <v>46034</v>
      </c>
      <c r="B1052" t="inlineStr">
        <is>
          <t>Emilly Caylane Costa</t>
        </is>
      </c>
      <c r="C1052" t="inlineStr">
        <is>
          <t>Estágio</t>
        </is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s="3" t="n">
        <v>0</v>
      </c>
      <c r="J1052" s="3" t="n">
        <v>0</v>
      </c>
      <c r="K1052" s="3" t="n">
        <v>0</v>
      </c>
      <c r="L1052" s="3">
        <f>IF(K1052&lt;-5,"CRÍTICO",IF(K1052&lt;0,"ATENÇÃO",IF(K1052&lt;=5,"BOM","EXCELENTE")))</f>
        <v/>
      </c>
      <c r="M1052" t="n">
        <v>0</v>
      </c>
      <c r="N1052" t="n">
        <v>0</v>
      </c>
      <c r="O1052" t="n">
        <v>0</v>
      </c>
    </row>
    <row r="1053" hidden="1">
      <c r="A1053" s="11" t="n">
        <v>46034</v>
      </c>
      <c r="B1053" t="inlineStr">
        <is>
          <t>Emilly Kamilly Medeiros Miranda</t>
        </is>
      </c>
      <c r="C1053" t="inlineStr">
        <is>
          <t>Técnico II</t>
        </is>
      </c>
      <c r="D1053" t="n">
        <v>28</v>
      </c>
      <c r="E1053" t="n">
        <v>28</v>
      </c>
      <c r="F1053" t="n">
        <v>17.05</v>
      </c>
      <c r="G1053" t="n">
        <v>0</v>
      </c>
      <c r="H1053" t="n">
        <v>0</v>
      </c>
      <c r="I1053" s="3">
        <f>E1053+G1053+H1053</f>
        <v/>
      </c>
      <c r="J1053" s="3">
        <f>ROUND(MIN(IF(C1053="Técnico III",35,IF(C1053="Técnico II",28,IF(C1053="Técnico I",23,IF(C1053="JR",20,IF(C1053="Estágio",10,0))))),IF(C1053="Técnico III",SUMIFS($D:$D,$A:$A,$A1053,$B:$B,"&lt;&gt;Patrícia Karla de Sousa Araújo",$B:$B,"&lt;&gt;Lorena Dias de Araujo",$B:$B,"&lt;&gt;Lucas Luiz Romero")*(35/1083),IF(C1053="Técnico II",SUMIFS($D:$D,$A:$A,$A1053,$B:$B,"&lt;&gt;Patrícia Karla de Sousa Araújo",$B:$B,"&lt;&gt;Lorena Dias de Araujo",$B:$B,"&lt;&gt;Lucas Luiz Romero")*(28/1083),IF(C1053="Técnico I",SUMIFS($D:$D,$A:$A,$A1053,$B:$B,"&lt;&gt;Patrícia Karla de Sousa Araújo",$B:$B,"&lt;&gt;Lorena Dias de Araujo",$B:$B,"&lt;&gt;Lucas Luiz Romero")*(23/1083),IF(C1053="JR",SUMIFS($D:$D,$A:$A,$A1053,$B:$B,"&lt;&gt;Patrícia Karla de Sousa Araújo",$B:$B,"&lt;&gt;Lorena Dias de Araujo",$B:$B,"&lt;&gt;Lucas Luiz Romero")*(20/1083),IF(C1053="Estágio",SUMIFS($D:$D,$A:$A,$A1053,$B:$B,"&lt;&gt;Patrícia Karla de Sousa Araújo",$B:$B,"&lt;&gt;Lorena Dias de Araujo",$B:$B,"&lt;&gt;Lucas Luiz Romero")*(10/1083),0)))))),0)</f>
        <v/>
      </c>
      <c r="K1053" s="3">
        <f>I1053-J1053</f>
        <v/>
      </c>
      <c r="L1053" s="3">
        <f>IF(K1053&lt;-5,"CRÍTICO",IF(K1053&lt;0,"ATENÇÃO",IF(K1053&lt;=5,"BOM","EXCELENTE")))</f>
        <v/>
      </c>
      <c r="M1053" t="n">
        <v>25</v>
      </c>
      <c r="N1053" t="n">
        <v>100</v>
      </c>
      <c r="O1053" t="n">
        <v>27.22222222222222</v>
      </c>
    </row>
    <row r="1054" hidden="1">
      <c r="A1054" s="11" t="n">
        <v>46034</v>
      </c>
      <c r="B1054" t="inlineStr">
        <is>
          <t>Francielson de Oliveira</t>
        </is>
      </c>
      <c r="C1054" t="inlineStr">
        <is>
          <t>Técnico III</t>
        </is>
      </c>
      <c r="D1054" t="n">
        <v>19</v>
      </c>
      <c r="E1054" t="n">
        <v>16</v>
      </c>
      <c r="F1054" t="n">
        <v>15.49</v>
      </c>
      <c r="G1054" t="n">
        <v>0</v>
      </c>
      <c r="H1054" t="n">
        <v>0</v>
      </c>
      <c r="I1054" s="3">
        <f>E1054+G1054+H1054</f>
        <v/>
      </c>
      <c r="J1054" s="3">
        <f>ROUND(MIN(IF(C1054="Técnico III",35,IF(C1054="Técnico II",28,IF(C1054="Técnico I",23,IF(C1054="JR",20,IF(C1054="Estágio",10,0))))),IF(C1054="Técnico III",SUMIFS($D:$D,$A:$A,$A1054,$B:$B,"&lt;&gt;Patrícia Karla de Sousa Araújo",$B:$B,"&lt;&gt;Lorena Dias de Araujo",$B:$B,"&lt;&gt;Lucas Luiz Romero")*(35/1083),IF(C1054="Técnico II",SUMIFS($D:$D,$A:$A,$A1054,$B:$B,"&lt;&gt;Patrícia Karla de Sousa Araújo",$B:$B,"&lt;&gt;Lorena Dias de Araujo",$B:$B,"&lt;&gt;Lucas Luiz Romero")*(28/1083),IF(C1054="Técnico I",SUMIFS($D:$D,$A:$A,$A1054,$B:$B,"&lt;&gt;Patrícia Karla de Sousa Araújo",$B:$B,"&lt;&gt;Lorena Dias de Araujo",$B:$B,"&lt;&gt;Lucas Luiz Romero")*(23/1083),IF(C1054="JR",SUMIFS($D:$D,$A:$A,$A1054,$B:$B,"&lt;&gt;Patrícia Karla de Sousa Araújo",$B:$B,"&lt;&gt;Lorena Dias de Araujo",$B:$B,"&lt;&gt;Lucas Luiz Romero")*(20/1083),IF(C1054="Estágio",SUMIFS($D:$D,$A:$A,$A1054,$B:$B,"&lt;&gt;Patrícia Karla de Sousa Araújo",$B:$B,"&lt;&gt;Lorena Dias de Araujo",$B:$B,"&lt;&gt;Lucas Luiz Romero")*(10/1083),0)))))),0)</f>
        <v/>
      </c>
      <c r="K1054" s="3">
        <f>I1054-J1054</f>
        <v/>
      </c>
      <c r="L1054" s="3">
        <f>IF(K1054&lt;-5,"CRÍTICO",IF(K1054&lt;0,"ATENÇÃO",IF(K1054&lt;=5,"BOM","EXCELENTE")))</f>
        <v/>
      </c>
      <c r="M1054" t="n">
        <v>17</v>
      </c>
      <c r="N1054" t="n">
        <v>100</v>
      </c>
      <c r="O1054" t="n">
        <v>30.55555555555556</v>
      </c>
    </row>
    <row r="1055" hidden="1">
      <c r="A1055" s="11" t="n">
        <v>46034</v>
      </c>
      <c r="B1055" t="inlineStr">
        <is>
          <t>Francilene Ferreira de Jesus</t>
        </is>
      </c>
      <c r="C1055" t="inlineStr">
        <is>
          <t>Técnico II</t>
        </is>
      </c>
      <c r="D1055" t="n">
        <v>21</v>
      </c>
      <c r="E1055" t="n">
        <v>21</v>
      </c>
      <c r="F1055" t="n">
        <v>33.55</v>
      </c>
      <c r="G1055" t="n">
        <v>0</v>
      </c>
      <c r="H1055" t="n">
        <v>0</v>
      </c>
      <c r="I1055" s="3">
        <f>E1055+G1055+H1055</f>
        <v/>
      </c>
      <c r="J1055" s="3">
        <f>ROUND(MIN(IF(C1055="Técnico III",35,IF(C1055="Técnico II",28,IF(C1055="Técnico I",23,IF(C1055="JR",20,IF(C1055="Estágio",10,0))))),IF(C1055="Técnico III",SUMIFS($D:$D,$A:$A,$A1055,$B:$B,"&lt;&gt;Patrícia Karla de Sousa Araújo",$B:$B,"&lt;&gt;Lorena Dias de Araujo",$B:$B,"&lt;&gt;Lucas Luiz Romero")*(35/1083),IF(C1055="Técnico II",SUMIFS($D:$D,$A:$A,$A1055,$B:$B,"&lt;&gt;Patrícia Karla de Sousa Araújo",$B:$B,"&lt;&gt;Lorena Dias de Araujo",$B:$B,"&lt;&gt;Lucas Luiz Romero")*(28/1083),IF(C1055="Técnico I",SUMIFS($D:$D,$A:$A,$A1055,$B:$B,"&lt;&gt;Patrícia Karla de Sousa Araújo",$B:$B,"&lt;&gt;Lorena Dias de Araujo",$B:$B,"&lt;&gt;Lucas Luiz Romero")*(23/1083),IF(C1055="JR",SUMIFS($D:$D,$A:$A,$A1055,$B:$B,"&lt;&gt;Patrícia Karla de Sousa Araújo",$B:$B,"&lt;&gt;Lorena Dias de Araujo",$B:$B,"&lt;&gt;Lucas Luiz Romero")*(20/1083),IF(C1055="Estágio",SUMIFS($D:$D,$A:$A,$A1055,$B:$B,"&lt;&gt;Patrícia Karla de Sousa Araújo",$B:$B,"&lt;&gt;Lorena Dias de Araujo",$B:$B,"&lt;&gt;Lucas Luiz Romero")*(10/1083),0)))))),0)</f>
        <v/>
      </c>
      <c r="K1055" s="3">
        <f>I1055-J1055</f>
        <v/>
      </c>
      <c r="L1055" s="3">
        <f>IF(K1055&lt;-5,"CRÍTICO",IF(K1055&lt;0,"ATENÇÃO",IF(K1055&lt;=5,"BOM","EXCELENTE")))</f>
        <v/>
      </c>
      <c r="M1055" t="n">
        <v>16</v>
      </c>
      <c r="N1055" t="n">
        <v>100</v>
      </c>
      <c r="O1055" t="n">
        <v>34.75935828877005</v>
      </c>
    </row>
    <row r="1056" hidden="1">
      <c r="A1056" s="11" t="n">
        <v>46066</v>
      </c>
      <c r="B1056" t="inlineStr">
        <is>
          <t>Gabriel Gomes de Andrade</t>
        </is>
      </c>
      <c r="C1056" t="inlineStr">
        <is>
          <t>Técnico I</t>
        </is>
      </c>
      <c r="D1056" t="n">
        <v>1</v>
      </c>
      <c r="E1056" t="n">
        <v>1</v>
      </c>
      <c r="F1056" t="n">
        <v>40.4</v>
      </c>
      <c r="G1056" t="n">
        <v>0</v>
      </c>
      <c r="H1056" t="n">
        <v>0</v>
      </c>
      <c r="I1056" s="3">
        <f>E1056+G1056+H1056</f>
        <v/>
      </c>
      <c r="J1056" s="3">
        <f>ROUND(MIN(IF(C1056="Técnico III",35,IF(C1056="Técnico II",28,IF(C1056="Técnico I",23,IF(C1056="JR",20,IF(C1056="Estágio",10,0))))),IF(C1056="Técnico III",SUMIFS($D:$D,$A:$A,$A1056,$B:$B,"&lt;&gt;Patrícia Karla de Sousa Araújo",$B:$B,"&lt;&gt;Lorena Dias de Araujo",$B:$B,"&lt;&gt;Lucas Luiz Romero")*(35/1083),IF(C1056="Técnico II",SUMIFS($D:$D,$A:$A,$A1056,$B:$B,"&lt;&gt;Patrícia Karla de Sousa Araújo",$B:$B,"&lt;&gt;Lorena Dias de Araujo",$B:$B,"&lt;&gt;Lucas Luiz Romero")*(28/1083),IF(C1056="Técnico I",SUMIFS($D:$D,$A:$A,$A1056,$B:$B,"&lt;&gt;Patrícia Karla de Sousa Araújo",$B:$B,"&lt;&gt;Lorena Dias de Araujo",$B:$B,"&lt;&gt;Lucas Luiz Romero")*(23/1083),IF(C1056="JR",SUMIFS($D:$D,$A:$A,$A1056,$B:$B,"&lt;&gt;Patrícia Karla de Sousa Araújo",$B:$B,"&lt;&gt;Lorena Dias de Araujo",$B:$B,"&lt;&gt;Lucas Luiz Romero")*(20/1083),IF(C1056="Estágio",SUMIFS($D:$D,$A:$A,$A1056,$B:$B,"&lt;&gt;Patrícia Karla de Sousa Araújo",$B:$B,"&lt;&gt;Lorena Dias de Araujo",$B:$B,"&lt;&gt;Lucas Luiz Romero")*(10/1083),0)))))),0)</f>
        <v/>
      </c>
      <c r="K1056" s="3">
        <f>I1056-J1056</f>
        <v/>
      </c>
      <c r="L1056" s="3">
        <f>IF(K1056&lt;-5,"CRÍTICO",IF(K1056&lt;0,"ATENÇÃO",IF(K1056&lt;=5,"BOM","EXCELENTE")))</f>
        <v/>
      </c>
      <c r="M1056" t="n">
        <v>14</v>
      </c>
      <c r="N1056" t="n">
        <v>93.55</v>
      </c>
      <c r="O1056" t="n">
        <v>32.3404255319149</v>
      </c>
    </row>
    <row r="1057" hidden="1">
      <c r="A1057" s="11" t="n">
        <v>46034</v>
      </c>
      <c r="B1057" t="inlineStr">
        <is>
          <t>Isabella Borges de Oliveira</t>
        </is>
      </c>
      <c r="C1057" t="inlineStr">
        <is>
          <t>Técnico II</t>
        </is>
      </c>
      <c r="D1057" t="n">
        <v>26</v>
      </c>
      <c r="E1057" t="n">
        <v>25</v>
      </c>
      <c r="F1057" t="n">
        <v>17.17</v>
      </c>
      <c r="G1057" t="n">
        <v>0</v>
      </c>
      <c r="H1057" t="n">
        <v>0</v>
      </c>
      <c r="I1057" s="3">
        <f>E1057+G1057+H1057</f>
        <v/>
      </c>
      <c r="J1057" s="3">
        <f>ROUND(MIN(IF(C1057="Técnico III",35,IF(C1057="Técnico II",28,IF(C1057="Técnico I",23,IF(C1057="JR",20,IF(C1057="Estágio",10,0))))),IF(C1057="Técnico III",SUMIFS($D:$D,$A:$A,$A1057,$B:$B,"&lt;&gt;Patrícia Karla de Sousa Araújo",$B:$B,"&lt;&gt;Lorena Dias de Araujo",$B:$B,"&lt;&gt;Lucas Luiz Romero")*(35/1083),IF(C1057="Técnico II",SUMIFS($D:$D,$A:$A,$A1057,$B:$B,"&lt;&gt;Patrícia Karla de Sousa Araújo",$B:$B,"&lt;&gt;Lorena Dias de Araujo",$B:$B,"&lt;&gt;Lucas Luiz Romero")*(28/1083),IF(C1057="Técnico I",SUMIFS($D:$D,$A:$A,$A1057,$B:$B,"&lt;&gt;Patrícia Karla de Sousa Araújo",$B:$B,"&lt;&gt;Lorena Dias de Araujo",$B:$B,"&lt;&gt;Lucas Luiz Romero")*(23/1083),IF(C1057="JR",SUMIFS($D:$D,$A:$A,$A1057,$B:$B,"&lt;&gt;Patrícia Karla de Sousa Araújo",$B:$B,"&lt;&gt;Lorena Dias de Araujo",$B:$B,"&lt;&gt;Lucas Luiz Romero")*(20/1083),IF(C1057="Estágio",SUMIFS($D:$D,$A:$A,$A1057,$B:$B,"&lt;&gt;Patrícia Karla de Sousa Araújo",$B:$B,"&lt;&gt;Lorena Dias de Araujo",$B:$B,"&lt;&gt;Lucas Luiz Romero")*(10/1083),0)))))),0)</f>
        <v/>
      </c>
      <c r="K1057" s="3">
        <f>I1057-J1057</f>
        <v/>
      </c>
      <c r="L1057" s="3">
        <f>IF(K1057&lt;-5,"CRÍTICO",IF(K1057&lt;0,"ATENÇÃO",IF(K1057&lt;=5,"BOM","EXCELENTE")))</f>
        <v/>
      </c>
      <c r="M1057" t="n">
        <v>19</v>
      </c>
      <c r="N1057" t="n">
        <v>100</v>
      </c>
      <c r="O1057" t="n">
        <v>29.19254658385093</v>
      </c>
    </row>
    <row r="1058" hidden="1">
      <c r="A1058" s="11" t="n">
        <v>46034</v>
      </c>
      <c r="B1058" t="inlineStr">
        <is>
          <t>Janaina Lima dos Reis Urany</t>
        </is>
      </c>
      <c r="C1058" t="inlineStr">
        <is>
          <t>Técnico III</t>
        </is>
      </c>
      <c r="D1058" t="n">
        <v>37</v>
      </c>
      <c r="E1058" t="n">
        <v>34</v>
      </c>
      <c r="F1058" t="n">
        <v>17.27</v>
      </c>
      <c r="G1058" t="n">
        <v>0</v>
      </c>
      <c r="H1058" t="n">
        <v>0</v>
      </c>
      <c r="I1058" s="3">
        <f>E1058+G1058+H1058</f>
        <v/>
      </c>
      <c r="J1058" s="3">
        <f>ROUND(MIN(IF(C1058="Técnico III",35,IF(C1058="Técnico II",28,IF(C1058="Técnico I",23,IF(C1058="JR",20,IF(C1058="Estágio",10,0))))),IF(C1058="Técnico III",SUMIFS($D:$D,$A:$A,$A1058,$B:$B,"&lt;&gt;Patrícia Karla de Sousa Araújo",$B:$B,"&lt;&gt;Lorena Dias de Araujo",$B:$B,"&lt;&gt;Lucas Luiz Romero")*(35/1083),IF(C1058="Técnico II",SUMIFS($D:$D,$A:$A,$A1058,$B:$B,"&lt;&gt;Patrícia Karla de Sousa Araújo",$B:$B,"&lt;&gt;Lorena Dias de Araujo",$B:$B,"&lt;&gt;Lucas Luiz Romero")*(28/1083),IF(C1058="Técnico I",SUMIFS($D:$D,$A:$A,$A1058,$B:$B,"&lt;&gt;Patrícia Karla de Sousa Araújo",$B:$B,"&lt;&gt;Lorena Dias de Araujo",$B:$B,"&lt;&gt;Lucas Luiz Romero")*(23/1083),IF(C1058="JR",SUMIFS($D:$D,$A:$A,$A1058,$B:$B,"&lt;&gt;Patrícia Karla de Sousa Araújo",$B:$B,"&lt;&gt;Lorena Dias de Araujo",$B:$B,"&lt;&gt;Lucas Luiz Romero")*(20/1083),IF(C1058="Estágio",SUMIFS($D:$D,$A:$A,$A1058,$B:$B,"&lt;&gt;Patrícia Karla de Sousa Araújo",$B:$B,"&lt;&gt;Lorena Dias de Araujo",$B:$B,"&lt;&gt;Lucas Luiz Romero")*(10/1083),0)))))),0)</f>
        <v/>
      </c>
      <c r="K1058" s="3">
        <f>I1058-J1058</f>
        <v/>
      </c>
      <c r="L1058" s="3">
        <f>IF(K1058&lt;-5,"CRÍTICO",IF(K1058&lt;0,"ATENÇÃO",IF(K1058&lt;=5,"BOM","EXCELENTE")))</f>
        <v/>
      </c>
      <c r="M1058" t="n">
        <v>33</v>
      </c>
      <c r="N1058" t="n">
        <v>100</v>
      </c>
      <c r="O1058" t="n">
        <v>30.18181818181818</v>
      </c>
    </row>
    <row r="1059" hidden="1">
      <c r="A1059" s="11" t="n">
        <v>46034</v>
      </c>
      <c r="B1059" t="inlineStr">
        <is>
          <t>Jaqueline Evangelista da Silva Martins</t>
        </is>
      </c>
      <c r="C1059" t="inlineStr">
        <is>
          <t>Técnico III</t>
        </is>
      </c>
      <c r="D1059" t="n">
        <v>1</v>
      </c>
      <c r="E1059" t="n">
        <v>1</v>
      </c>
      <c r="F1059" t="n">
        <v>31.49</v>
      </c>
      <c r="G1059" t="n">
        <v>0</v>
      </c>
      <c r="H1059" t="n">
        <v>0</v>
      </c>
      <c r="I1059" s="3">
        <f>E1059+G1059+H1059</f>
        <v/>
      </c>
      <c r="J1059" s="3">
        <f>ROUND(MIN(IF(C1059="Técnico III",35,IF(C1059="Técnico II",28,IF(C1059="Técnico I",23,IF(C1059="JR",20,IF(C1059="Estágio",10,0))))),IF(C1059="Técnico III",SUMIFS($D:$D,$A:$A,$A1059,$B:$B,"&lt;&gt;Patrícia Karla de Sousa Araújo",$B:$B,"&lt;&gt;Lorena Dias de Araujo",$B:$B,"&lt;&gt;Lucas Luiz Romero")*(35/1083),IF(C1059="Técnico II",SUMIFS($D:$D,$A:$A,$A1059,$B:$B,"&lt;&gt;Patrícia Karla de Sousa Araújo",$B:$B,"&lt;&gt;Lorena Dias de Araujo",$B:$B,"&lt;&gt;Lucas Luiz Romero")*(28/1083),IF(C1059="Técnico I",SUMIFS($D:$D,$A:$A,$A1059,$B:$B,"&lt;&gt;Patrícia Karla de Sousa Araújo",$B:$B,"&lt;&gt;Lorena Dias de Araujo",$B:$B,"&lt;&gt;Lucas Luiz Romero")*(23/1083),IF(C1059="JR",SUMIFS($D:$D,$A:$A,$A1059,$B:$B,"&lt;&gt;Patrícia Karla de Sousa Araújo",$B:$B,"&lt;&gt;Lorena Dias de Araujo",$B:$B,"&lt;&gt;Lucas Luiz Romero")*(20/1083),IF(C1059="Estágio",SUMIFS($D:$D,$A:$A,$A1059,$B:$B,"&lt;&gt;Patrícia Karla de Sousa Araújo",$B:$B,"&lt;&gt;Lorena Dias de Araujo",$B:$B,"&lt;&gt;Lucas Luiz Romero")*(10/1083),0)))))),0)</f>
        <v/>
      </c>
      <c r="K1059" s="3">
        <f>I1059-J1059</f>
        <v/>
      </c>
      <c r="L1059" s="3">
        <f>IF(K1059&lt;-5,"CRÍTICO",IF(K1059&lt;0,"ATENÇÃO",IF(K1059&lt;=5,"BOM","EXCELENTE")))</f>
        <v/>
      </c>
      <c r="M1059" t="n">
        <v>1</v>
      </c>
      <c r="N1059" t="n">
        <v>100</v>
      </c>
      <c r="O1059" t="n">
        <v>28.09917355371901</v>
      </c>
    </row>
    <row r="1060" hidden="1">
      <c r="A1060" s="11" t="n">
        <v>46034</v>
      </c>
      <c r="B1060" t="inlineStr">
        <is>
          <t>Jessica Faria da Silveira</t>
        </is>
      </c>
      <c r="C1060" t="inlineStr">
        <is>
          <t>Técnico II</t>
        </is>
      </c>
      <c r="D1060" t="n">
        <v>34</v>
      </c>
      <c r="E1060" t="n">
        <v>24</v>
      </c>
      <c r="F1060" t="n">
        <v>16.5</v>
      </c>
      <c r="G1060" t="n">
        <v>0</v>
      </c>
      <c r="H1060" t="n">
        <v>0</v>
      </c>
      <c r="I1060" s="3">
        <f>E1060+G1060+H1060</f>
        <v/>
      </c>
      <c r="J1060" s="3">
        <f>ROUND(MIN(IF(C1060="Técnico III",35,IF(C1060="Técnico II",28,IF(C1060="Técnico I",23,IF(C1060="JR",20,IF(C1060="Estágio",10,0))))),IF(C1060="Técnico III",SUMIFS($D:$D,$A:$A,$A1060,$B:$B,"&lt;&gt;Patrícia Karla de Sousa Araújo",$B:$B,"&lt;&gt;Lorena Dias de Araujo",$B:$B,"&lt;&gt;Lucas Luiz Romero")*(35/1083),IF(C1060="Técnico II",SUMIFS($D:$D,$A:$A,$A1060,$B:$B,"&lt;&gt;Patrícia Karla de Sousa Araújo",$B:$B,"&lt;&gt;Lorena Dias de Araujo",$B:$B,"&lt;&gt;Lucas Luiz Romero")*(28/1083),IF(C1060="Técnico I",SUMIFS($D:$D,$A:$A,$A1060,$B:$B,"&lt;&gt;Patrícia Karla de Sousa Araújo",$B:$B,"&lt;&gt;Lorena Dias de Araujo",$B:$B,"&lt;&gt;Lucas Luiz Romero")*(23/1083),IF(C1060="JR",SUMIFS($D:$D,$A:$A,$A1060,$B:$B,"&lt;&gt;Patrícia Karla de Sousa Araújo",$B:$B,"&lt;&gt;Lorena Dias de Araujo",$B:$B,"&lt;&gt;Lucas Luiz Romero")*(20/1083),IF(C1060="Estágio",SUMIFS($D:$D,$A:$A,$A1060,$B:$B,"&lt;&gt;Patrícia Karla de Sousa Araújo",$B:$B,"&lt;&gt;Lorena Dias de Araujo",$B:$B,"&lt;&gt;Lucas Luiz Romero")*(10/1083),0)))))),0)</f>
        <v/>
      </c>
      <c r="K1060" s="3">
        <f>I1060-J1060</f>
        <v/>
      </c>
      <c r="L1060" s="3">
        <f>IF(K1060&lt;-5,"CRÍTICO",IF(K1060&lt;0,"ATENÇÃO",IF(K1060&lt;=5,"BOM","EXCELENTE")))</f>
        <v/>
      </c>
      <c r="M1060" t="n">
        <v>21</v>
      </c>
      <c r="N1060" t="n">
        <v>93.09999999999999</v>
      </c>
      <c r="O1060" t="n">
        <v>24.09638554216868</v>
      </c>
    </row>
    <row r="1061" hidden="1">
      <c r="A1061" s="11" t="n">
        <v>46034</v>
      </c>
      <c r="B1061" t="inlineStr">
        <is>
          <t>Jéssica Fé Moura</t>
        </is>
      </c>
      <c r="C1061" t="inlineStr">
        <is>
          <t>Técnico III</t>
        </is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s="3" t="n">
        <v>0</v>
      </c>
      <c r="J1061" s="3" t="n">
        <v>0</v>
      </c>
      <c r="K1061" s="3" t="n">
        <v>0</v>
      </c>
      <c r="L1061" s="3">
        <f>IF(K1061&lt;-5,"CRÍTICO",IF(K1061&lt;0,"ATENÇÃO",IF(K1061&lt;=5,"BOM","EXCELENTE")))</f>
        <v/>
      </c>
      <c r="M1061" t="n">
        <v>14</v>
      </c>
      <c r="N1061" t="n">
        <v>100</v>
      </c>
      <c r="O1061" t="n">
        <v>35.9375</v>
      </c>
    </row>
    <row r="1062" hidden="1">
      <c r="A1062" s="11" t="n">
        <v>46034</v>
      </c>
      <c r="B1062" t="inlineStr">
        <is>
          <t>Karina Gonçalves Martins</t>
        </is>
      </c>
      <c r="C1062" t="inlineStr">
        <is>
          <t>JR</t>
        </is>
      </c>
      <c r="D1062" t="n">
        <v>11</v>
      </c>
      <c r="E1062" t="n">
        <v>11</v>
      </c>
      <c r="F1062" t="n">
        <v>17.1</v>
      </c>
      <c r="G1062" t="n">
        <v>0</v>
      </c>
      <c r="H1062" t="n">
        <v>0</v>
      </c>
      <c r="I1062" s="3">
        <f>E1062+G1062+H1062</f>
        <v/>
      </c>
      <c r="J1062" s="3">
        <f>ROUND(MIN(IF(C1062="Técnico III",35,IF(C1062="Técnico II",28,IF(C1062="Técnico I",23,IF(C1062="JR",20,IF(C1062="Estágio",10,0))))),IF(C1062="Técnico III",SUMIFS($D:$D,$A:$A,$A1062,$B:$B,"&lt;&gt;Patrícia Karla de Sousa Araújo",$B:$B,"&lt;&gt;Lorena Dias de Araujo",$B:$B,"&lt;&gt;Lucas Luiz Romero")*(35/1083),IF(C1062="Técnico II",SUMIFS($D:$D,$A:$A,$A1062,$B:$B,"&lt;&gt;Patrícia Karla de Sousa Araújo",$B:$B,"&lt;&gt;Lorena Dias de Araujo",$B:$B,"&lt;&gt;Lucas Luiz Romero")*(28/1083),IF(C1062="Técnico I",SUMIFS($D:$D,$A:$A,$A1062,$B:$B,"&lt;&gt;Patrícia Karla de Sousa Araújo",$B:$B,"&lt;&gt;Lorena Dias de Araujo",$B:$B,"&lt;&gt;Lucas Luiz Romero")*(23/1083),IF(C1062="JR",SUMIFS($D:$D,$A:$A,$A1062,$B:$B,"&lt;&gt;Patrícia Karla de Sousa Araújo",$B:$B,"&lt;&gt;Lorena Dias de Araujo",$B:$B,"&lt;&gt;Lucas Luiz Romero")*(20/1083),IF(C1062="Estágio",SUMIFS($D:$D,$A:$A,$A1062,$B:$B,"&lt;&gt;Patrícia Karla de Sousa Araújo",$B:$B,"&lt;&gt;Lorena Dias de Araujo",$B:$B,"&lt;&gt;Lucas Luiz Romero")*(10/1083),0)))))),0)</f>
        <v/>
      </c>
      <c r="K1062" s="3">
        <f>I1062-J1062</f>
        <v/>
      </c>
      <c r="L1062" s="3">
        <f>IF(K1062&lt;-5,"CRÍTICO",IF(K1062&lt;0,"ATENÇÃO",IF(K1062&lt;=5,"BOM","EXCELENTE")))</f>
        <v/>
      </c>
      <c r="M1062" t="n">
        <v>11</v>
      </c>
      <c r="N1062" t="n">
        <v>100</v>
      </c>
      <c r="O1062" t="n">
        <v>34.69387755102041</v>
      </c>
    </row>
    <row r="1063" hidden="1">
      <c r="A1063" s="11" t="n">
        <v>46034</v>
      </c>
      <c r="B1063" t="inlineStr">
        <is>
          <t>Kerollen Cristielly de Jesus Siqueira</t>
        </is>
      </c>
      <c r="C1063" t="inlineStr">
        <is>
          <t>Técnico III</t>
        </is>
      </c>
      <c r="D1063" t="n">
        <v>1</v>
      </c>
      <c r="E1063" t="n">
        <v>1</v>
      </c>
      <c r="F1063" t="n">
        <v>15.48</v>
      </c>
      <c r="G1063" t="n">
        <v>0</v>
      </c>
      <c r="H1063" t="n">
        <v>0</v>
      </c>
      <c r="I1063" s="3">
        <f>E1063+G1063+H1063</f>
        <v/>
      </c>
      <c r="J1063" s="3">
        <f>ROUND(MIN(IF(C1063="Técnico III",35,IF(C1063="Técnico II",28,IF(C1063="Técnico I",23,IF(C1063="JR",20,IF(C1063="Estágio",10,0))))),IF(C1063="Técnico III",SUMIFS($D:$D,$A:$A,$A1063,$B:$B,"&lt;&gt;Patrícia Karla de Sousa Araújo",$B:$B,"&lt;&gt;Lorena Dias de Araujo",$B:$B,"&lt;&gt;Lucas Luiz Romero")*(35/1083),IF(C1063="Técnico II",SUMIFS($D:$D,$A:$A,$A1063,$B:$B,"&lt;&gt;Patrícia Karla de Sousa Araújo",$B:$B,"&lt;&gt;Lorena Dias de Araujo",$B:$B,"&lt;&gt;Lucas Luiz Romero")*(28/1083),IF(C1063="Técnico I",SUMIFS($D:$D,$A:$A,$A1063,$B:$B,"&lt;&gt;Patrícia Karla de Sousa Araújo",$B:$B,"&lt;&gt;Lorena Dias de Araujo",$B:$B,"&lt;&gt;Lucas Luiz Romero")*(23/1083),IF(C1063="JR",SUMIFS($D:$D,$A:$A,$A1063,$B:$B,"&lt;&gt;Patrícia Karla de Sousa Araújo",$B:$B,"&lt;&gt;Lorena Dias de Araujo",$B:$B,"&lt;&gt;Lucas Luiz Romero")*(20/1083),IF(C1063="Estágio",SUMIFS($D:$D,$A:$A,$A1063,$B:$B,"&lt;&gt;Patrícia Karla de Sousa Araújo",$B:$B,"&lt;&gt;Lorena Dias de Araujo",$B:$B,"&lt;&gt;Lucas Luiz Romero")*(10/1083),0)))))),0)</f>
        <v/>
      </c>
      <c r="K1063" s="3">
        <f>I1063-J1063</f>
        <v/>
      </c>
      <c r="L1063" s="3">
        <f>IF(K1063&lt;-5,"CRÍTICO",IF(K1063&lt;0,"ATENÇÃO",IF(K1063&lt;=5,"BOM","EXCELENTE")))</f>
        <v/>
      </c>
      <c r="M1063" t="n">
        <v>29</v>
      </c>
      <c r="N1063" t="n">
        <v>97.06</v>
      </c>
      <c r="O1063" t="n">
        <v>50.96774193548386</v>
      </c>
    </row>
    <row r="1064" hidden="1">
      <c r="A1064" s="11" t="n">
        <v>46034</v>
      </c>
      <c r="B1064" t="inlineStr">
        <is>
          <t>Leandro de Souza Silva</t>
        </is>
      </c>
      <c r="C1064" t="inlineStr">
        <is>
          <t>JR</t>
        </is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s="3" t="n">
        <v>0</v>
      </c>
      <c r="J1064" s="3" t="n">
        <v>0</v>
      </c>
      <c r="K1064" s="3" t="n">
        <v>0</v>
      </c>
      <c r="L1064" s="3">
        <f>IF(K1064&lt;-5,"CRÍTICO",IF(K1064&lt;0,"ATENÇÃO",IF(K1064&lt;=5,"BOM","EXCELENTE")))</f>
        <v/>
      </c>
      <c r="M1064" t="n">
        <v>0</v>
      </c>
      <c r="N1064" t="n">
        <v>0</v>
      </c>
      <c r="O1064" t="n">
        <v>0</v>
      </c>
    </row>
    <row r="1065" hidden="1">
      <c r="A1065" s="11" t="n">
        <v>46034</v>
      </c>
      <c r="B1065" t="inlineStr">
        <is>
          <t>Leandro Oliveira de Sousa</t>
        </is>
      </c>
      <c r="C1065" t="inlineStr">
        <is>
          <t>Técnico III</t>
        </is>
      </c>
      <c r="D1065" t="n">
        <v>29</v>
      </c>
      <c r="E1065" t="n">
        <v>26</v>
      </c>
      <c r="F1065" t="n">
        <v>13.35</v>
      </c>
      <c r="G1065" t="n">
        <v>0</v>
      </c>
      <c r="H1065" t="n">
        <v>0</v>
      </c>
      <c r="I1065" s="3">
        <f>E1065+G1065+H1065</f>
        <v/>
      </c>
      <c r="J1065" s="3">
        <f>ROUND(MIN(IF(C1065="Técnico III",35,IF(C1065="Técnico II",28,IF(C1065="Técnico I",23,IF(C1065="JR",20,IF(C1065="Estágio",10,0))))),IF(C1065="Técnico III",SUMIFS($D:$D,$A:$A,$A1065,$B:$B,"&lt;&gt;Patrícia Karla de Sousa Araújo",$B:$B,"&lt;&gt;Lorena Dias de Araujo",$B:$B,"&lt;&gt;Lucas Luiz Romero")*(35/1083),IF(C1065="Técnico II",SUMIFS($D:$D,$A:$A,$A1065,$B:$B,"&lt;&gt;Patrícia Karla de Sousa Araújo",$B:$B,"&lt;&gt;Lorena Dias de Araujo",$B:$B,"&lt;&gt;Lucas Luiz Romero")*(28/1083),IF(C1065="Técnico I",SUMIFS($D:$D,$A:$A,$A1065,$B:$B,"&lt;&gt;Patrícia Karla de Sousa Araújo",$B:$B,"&lt;&gt;Lorena Dias de Araujo",$B:$B,"&lt;&gt;Lucas Luiz Romero")*(23/1083),IF(C1065="JR",SUMIFS($D:$D,$A:$A,$A1065,$B:$B,"&lt;&gt;Patrícia Karla de Sousa Araújo",$B:$B,"&lt;&gt;Lorena Dias de Araujo",$B:$B,"&lt;&gt;Lucas Luiz Romero")*(20/1083),IF(C1065="Estágio",SUMIFS($D:$D,$A:$A,$A1065,$B:$B,"&lt;&gt;Patrícia Karla de Sousa Araújo",$B:$B,"&lt;&gt;Lorena Dias de Araujo",$B:$B,"&lt;&gt;Lucas Luiz Romero")*(10/1083),0)))))),0)</f>
        <v/>
      </c>
      <c r="K1065" s="3">
        <f>I1065-J1065</f>
        <v/>
      </c>
      <c r="L1065" s="3">
        <f>IF(K1065&lt;-5,"CRÍTICO",IF(K1065&lt;0,"ATENÇÃO",IF(K1065&lt;=5,"BOM","EXCELENTE")))</f>
        <v/>
      </c>
      <c r="M1065" t="n">
        <v>28</v>
      </c>
      <c r="N1065" t="n">
        <v>100</v>
      </c>
      <c r="O1065" t="n">
        <v>27.77777777777778</v>
      </c>
    </row>
    <row r="1066" hidden="1">
      <c r="A1066" s="11" t="n">
        <v>46034</v>
      </c>
      <c r="B1066" t="inlineStr">
        <is>
          <t>Lizandra Gomes Duarte</t>
        </is>
      </c>
      <c r="C1066" t="inlineStr">
        <is>
          <t>Técnico II</t>
        </is>
      </c>
      <c r="D1066" t="n">
        <v>26</v>
      </c>
      <c r="E1066" t="n">
        <v>25</v>
      </c>
      <c r="F1066" t="n">
        <v>20.58</v>
      </c>
      <c r="G1066" t="n">
        <v>0</v>
      </c>
      <c r="H1066" t="n">
        <v>0</v>
      </c>
      <c r="I1066" s="3">
        <f>E1066+G1066+H1066</f>
        <v/>
      </c>
      <c r="J1066" s="3">
        <f>ROUND(MIN(IF(C1066="Técnico III",35,IF(C1066="Técnico II",28,IF(C1066="Técnico I",23,IF(C1066="JR",20,IF(C1066="Estágio",10,0))))),IF(C1066="Técnico III",SUMIFS($D:$D,$A:$A,$A1066,$B:$B,"&lt;&gt;Patrícia Karla de Sousa Araújo",$B:$B,"&lt;&gt;Lorena Dias de Araujo",$B:$B,"&lt;&gt;Lucas Luiz Romero")*(35/1083),IF(C1066="Técnico II",SUMIFS($D:$D,$A:$A,$A1066,$B:$B,"&lt;&gt;Patrícia Karla de Sousa Araújo",$B:$B,"&lt;&gt;Lorena Dias de Araujo",$B:$B,"&lt;&gt;Lucas Luiz Romero")*(28/1083),IF(C1066="Técnico I",SUMIFS($D:$D,$A:$A,$A1066,$B:$B,"&lt;&gt;Patrícia Karla de Sousa Araújo",$B:$B,"&lt;&gt;Lorena Dias de Araujo",$B:$B,"&lt;&gt;Lucas Luiz Romero")*(23/1083),IF(C1066="JR",SUMIFS($D:$D,$A:$A,$A1066,$B:$B,"&lt;&gt;Patrícia Karla de Sousa Araújo",$B:$B,"&lt;&gt;Lorena Dias de Araujo",$B:$B,"&lt;&gt;Lucas Luiz Romero")*(20/1083),IF(C1066="Estágio",SUMIFS($D:$D,$A:$A,$A1066,$B:$B,"&lt;&gt;Patrícia Karla de Sousa Araújo",$B:$B,"&lt;&gt;Lorena Dias de Araujo",$B:$B,"&lt;&gt;Lucas Luiz Romero")*(10/1083),0)))))),0)</f>
        <v/>
      </c>
      <c r="K1066" s="3">
        <f>I1066-J1066</f>
        <v/>
      </c>
      <c r="L1066" s="3">
        <f>IF(K1066&lt;-5,"CRÍTICO",IF(K1066&lt;0,"ATENÇÃO",IF(K1066&lt;=5,"BOM","EXCELENTE")))</f>
        <v/>
      </c>
      <c r="M1066" t="n">
        <v>22</v>
      </c>
      <c r="N1066" t="n">
        <v>100</v>
      </c>
      <c r="O1066" t="n">
        <v>34.17721518987342</v>
      </c>
    </row>
    <row r="1067" hidden="1">
      <c r="A1067" s="11" t="n">
        <v>46034</v>
      </c>
      <c r="B1067" t="inlineStr">
        <is>
          <t>Lorena Dias de Araujo</t>
        </is>
      </c>
      <c r="C1067" t="inlineStr">
        <is>
          <t>Técnico II</t>
        </is>
      </c>
      <c r="D1067" t="n">
        <v>14</v>
      </c>
      <c r="E1067" t="n">
        <v>14</v>
      </c>
      <c r="F1067" t="n">
        <v>25.14</v>
      </c>
      <c r="G1067" t="n">
        <v>0</v>
      </c>
      <c r="H1067" t="n">
        <v>0</v>
      </c>
      <c r="I1067" s="3" t="n">
        <v>0</v>
      </c>
      <c r="J1067" s="3" t="n">
        <v>0</v>
      </c>
      <c r="K1067" s="3" t="n">
        <v>0</v>
      </c>
      <c r="L1067" s="3">
        <f>IF(K1067&lt;-5,"CRÍTICO",IF(K1067&lt;0,"ATENÇÃO",IF(K1067&lt;=5,"BOM","EXCELENTE")))</f>
        <v/>
      </c>
      <c r="M1067" t="n">
        <v>14</v>
      </c>
      <c r="N1067" t="n">
        <v>100</v>
      </c>
      <c r="O1067" t="n">
        <v>29.23076923076923</v>
      </c>
    </row>
    <row r="1068" hidden="1">
      <c r="A1068" s="11" t="n">
        <v>46034</v>
      </c>
      <c r="B1068" t="inlineStr">
        <is>
          <t>Lucas Luiz Romero</t>
        </is>
      </c>
      <c r="C1068" t="inlineStr">
        <is>
          <t>Técnico III</t>
        </is>
      </c>
      <c r="D1068" t="n">
        <v>37</v>
      </c>
      <c r="E1068" t="n">
        <v>27</v>
      </c>
      <c r="F1068" t="n">
        <v>10.15</v>
      </c>
      <c r="G1068" t="n">
        <v>0</v>
      </c>
      <c r="H1068" t="n">
        <v>0</v>
      </c>
      <c r="I1068" s="3">
        <f>E1068+G1068+H1068</f>
        <v/>
      </c>
      <c r="J1068" s="3">
        <f>ROUND(MIN(IF(C1068="Técnico III",35,IF(C1068="Técnico II",28,IF(C1068="Técnico I",23,IF(C1068="JR",20,IF(C1068="Estágio",10,0))))),IF(C1068="Técnico III",SUMIFS($D:$D,$A:$A,$A1068,$B:$B,"&lt;&gt;Patrícia Karla de Sousa Araújo",$B:$B,"&lt;&gt;Lorena Dias de Araujo",$B:$B,"&lt;&gt;Lucas Luiz Romero")*(35/1083),IF(C1068="Técnico II",SUMIFS($D:$D,$A:$A,$A1068,$B:$B,"&lt;&gt;Patrícia Karla de Sousa Araújo",$B:$B,"&lt;&gt;Lorena Dias de Araujo",$B:$B,"&lt;&gt;Lucas Luiz Romero")*(28/1083),IF(C1068="Técnico I",SUMIFS($D:$D,$A:$A,$A1068,$B:$B,"&lt;&gt;Patrícia Karla de Sousa Araújo",$B:$B,"&lt;&gt;Lorena Dias de Araujo",$B:$B,"&lt;&gt;Lucas Luiz Romero")*(23/1083),IF(C1068="JR",SUMIFS($D:$D,$A:$A,$A1068,$B:$B,"&lt;&gt;Patrícia Karla de Sousa Araújo",$B:$B,"&lt;&gt;Lorena Dias de Araujo",$B:$B,"&lt;&gt;Lucas Luiz Romero")*(20/1083),IF(C1068="Estágio",SUMIFS($D:$D,$A:$A,$A1068,$B:$B,"&lt;&gt;Patrícia Karla de Sousa Araújo",$B:$B,"&lt;&gt;Lorena Dias de Araujo",$B:$B,"&lt;&gt;Lucas Luiz Romero")*(10/1083),0)))))),0)</f>
        <v/>
      </c>
      <c r="K1068" s="3">
        <f>I1068-J1068</f>
        <v/>
      </c>
      <c r="L1068" s="3">
        <f>IF(K1068&lt;-5,"CRÍTICO",IF(K1068&lt;0,"ATENÇÃO",IF(K1068&lt;=5,"BOM","EXCELENTE")))</f>
        <v/>
      </c>
      <c r="M1068" t="n">
        <v>25</v>
      </c>
      <c r="N1068" t="n">
        <v>97.06</v>
      </c>
      <c r="O1068" t="n">
        <v>27.60416666666667</v>
      </c>
    </row>
    <row r="1069" hidden="1">
      <c r="A1069" s="11" t="n">
        <v>46034</v>
      </c>
      <c r="B1069" t="inlineStr">
        <is>
          <t>Luiz Fernando de Carvalho Junior</t>
        </is>
      </c>
      <c r="C1069" t="inlineStr">
        <is>
          <t>Técnico I</t>
        </is>
      </c>
      <c r="D1069" t="n">
        <v>20</v>
      </c>
      <c r="E1069" t="n">
        <v>19</v>
      </c>
      <c r="F1069" t="n">
        <v>18.59</v>
      </c>
      <c r="G1069" t="n">
        <v>0</v>
      </c>
      <c r="H1069" t="n">
        <v>0</v>
      </c>
      <c r="I1069" s="3">
        <f>E1069+G1069+H1069</f>
        <v/>
      </c>
      <c r="J1069" s="3">
        <f>ROUND(MIN(IF(C1069="Técnico III",35,IF(C1069="Técnico II",28,IF(C1069="Técnico I",23,IF(C1069="JR",20,IF(C1069="Estágio",10,0))))),IF(C1069="Técnico III",SUMIFS($D:$D,$A:$A,$A1069,$B:$B,"&lt;&gt;Patrícia Karla de Sousa Araújo",$B:$B,"&lt;&gt;Lorena Dias de Araujo",$B:$B,"&lt;&gt;Lucas Luiz Romero")*(35/1083),IF(C1069="Técnico II",SUMIFS($D:$D,$A:$A,$A1069,$B:$B,"&lt;&gt;Patrícia Karla de Sousa Araújo",$B:$B,"&lt;&gt;Lorena Dias de Araujo",$B:$B,"&lt;&gt;Lucas Luiz Romero")*(28/1083),IF(C1069="Técnico I",SUMIFS($D:$D,$A:$A,$A1069,$B:$B,"&lt;&gt;Patrícia Karla de Sousa Araújo",$B:$B,"&lt;&gt;Lorena Dias de Araujo",$B:$B,"&lt;&gt;Lucas Luiz Romero")*(23/1083),IF(C1069="JR",SUMIFS($D:$D,$A:$A,$A1069,$B:$B,"&lt;&gt;Patrícia Karla de Sousa Araújo",$B:$B,"&lt;&gt;Lorena Dias de Araujo",$B:$B,"&lt;&gt;Lucas Luiz Romero")*(20/1083),IF(C1069="Estágio",SUMIFS($D:$D,$A:$A,$A1069,$B:$B,"&lt;&gt;Patrícia Karla de Sousa Araújo",$B:$B,"&lt;&gt;Lorena Dias de Araujo",$B:$B,"&lt;&gt;Lucas Luiz Romero")*(10/1083),0)))))),0)</f>
        <v/>
      </c>
      <c r="K1069" s="3">
        <f>I1069-J1069</f>
        <v/>
      </c>
      <c r="L1069" s="3">
        <f>IF(K1069&lt;-5,"CRÍTICO",IF(K1069&lt;0,"ATENÇÃO",IF(K1069&lt;=5,"BOM","EXCELENTE")))</f>
        <v/>
      </c>
      <c r="M1069" t="n">
        <v>18</v>
      </c>
      <c r="N1069" t="n">
        <v>100</v>
      </c>
      <c r="O1069" t="n">
        <v>28.03030303030303</v>
      </c>
    </row>
    <row r="1070" hidden="1">
      <c r="A1070" s="11" t="n">
        <v>46034</v>
      </c>
      <c r="B1070" t="inlineStr">
        <is>
          <t>Maria Eduarda Sousa Costa</t>
        </is>
      </c>
      <c r="C1070" t="inlineStr">
        <is>
          <t>Estágio</t>
        </is>
      </c>
      <c r="D1070" t="n">
        <v>4</v>
      </c>
      <c r="E1070" t="n">
        <v>4</v>
      </c>
      <c r="F1070" t="n">
        <v>96.56</v>
      </c>
      <c r="G1070" t="n">
        <v>0</v>
      </c>
      <c r="H1070" t="n">
        <v>0</v>
      </c>
      <c r="I1070" s="3">
        <f>E1070+G1070+H1070</f>
        <v/>
      </c>
      <c r="J1070" s="3">
        <f>ROUND(MIN(IF(C1070="Técnico III",35,IF(C1070="Técnico II",28,IF(C1070="Técnico I",23,IF(C1070="JR",20,IF(C1070="Estágio",10,0))))),IF(C1070="Técnico III",SUMIFS($D:$D,$A:$A,$A1070,$B:$B,"&lt;&gt;Patrícia Karla de Sousa Araújo",$B:$B,"&lt;&gt;Lorena Dias de Araujo",$B:$B,"&lt;&gt;Lucas Luiz Romero")*(35/1083),IF(C1070="Técnico II",SUMIFS($D:$D,$A:$A,$A1070,$B:$B,"&lt;&gt;Patrícia Karla de Sousa Araújo",$B:$B,"&lt;&gt;Lorena Dias de Araujo",$B:$B,"&lt;&gt;Lucas Luiz Romero")*(28/1083),IF(C1070="Técnico I",SUMIFS($D:$D,$A:$A,$A1070,$B:$B,"&lt;&gt;Patrícia Karla de Sousa Araújo",$B:$B,"&lt;&gt;Lorena Dias de Araujo",$B:$B,"&lt;&gt;Lucas Luiz Romero")*(23/1083),IF(C1070="JR",SUMIFS($D:$D,$A:$A,$A1070,$B:$B,"&lt;&gt;Patrícia Karla de Sousa Araújo",$B:$B,"&lt;&gt;Lorena Dias de Araujo",$B:$B,"&lt;&gt;Lucas Luiz Romero")*(20/1083),IF(C1070="Estágio",SUMIFS($D:$D,$A:$A,$A1070,$B:$B,"&lt;&gt;Patrícia Karla de Sousa Araújo",$B:$B,"&lt;&gt;Lorena Dias de Araujo",$B:$B,"&lt;&gt;Lucas Luiz Romero")*(10/1083),0)))))),0)</f>
        <v/>
      </c>
      <c r="K1070" s="3">
        <f>I1070-J1070</f>
        <v/>
      </c>
      <c r="L1070" s="3">
        <f>IF(K1070&lt;-5,"CRÍTICO",IF(K1070&lt;0,"ATENÇÃO",IF(K1070&lt;=5,"BOM","EXCELENTE")))</f>
        <v/>
      </c>
      <c r="M1070" t="n">
        <v>4</v>
      </c>
      <c r="N1070" t="n">
        <v>100</v>
      </c>
      <c r="O1070" t="n">
        <v>33.9622641509434</v>
      </c>
    </row>
    <row r="1071" hidden="1">
      <c r="A1071" s="11" t="n">
        <v>46034</v>
      </c>
      <c r="B1071" t="inlineStr">
        <is>
          <t>Matheus Farias De Souza</t>
        </is>
      </c>
      <c r="C1071" t="inlineStr">
        <is>
          <t>Técnico III</t>
        </is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s="3" t="n">
        <v>0</v>
      </c>
      <c r="J1071" s="3" t="n">
        <v>0</v>
      </c>
      <c r="K1071" s="3" t="n">
        <v>0</v>
      </c>
      <c r="L1071" s="3">
        <f>IF(K1071&lt;-5,"CRÍTICO",IF(K1071&lt;0,"ATENÇÃO",IF(K1071&lt;=5,"BOM","EXCELENTE")))</f>
        <v/>
      </c>
      <c r="M1071" t="n">
        <v>0</v>
      </c>
      <c r="N1071" t="n">
        <v>100</v>
      </c>
      <c r="O1071" t="n">
        <v>0</v>
      </c>
    </row>
    <row r="1072" hidden="1">
      <c r="A1072" s="11" t="n">
        <v>46034</v>
      </c>
      <c r="B1072" t="inlineStr">
        <is>
          <t>Maysa Victoria Dias Moura</t>
        </is>
      </c>
      <c r="C1072" t="inlineStr">
        <is>
          <t>Técnico III</t>
        </is>
      </c>
      <c r="D1072" t="n">
        <v>35</v>
      </c>
      <c r="E1072" t="n">
        <v>30</v>
      </c>
      <c r="F1072" t="n">
        <v>15.19</v>
      </c>
      <c r="G1072" t="n">
        <v>0</v>
      </c>
      <c r="H1072" t="n">
        <v>0</v>
      </c>
      <c r="I1072" s="3">
        <f>E1072+G1072+H1072</f>
        <v/>
      </c>
      <c r="J1072" s="3">
        <f>ROUND(MIN(IF(C1072="Técnico III",35,IF(C1072="Técnico II",28,IF(C1072="Técnico I",23,IF(C1072="JR",20,IF(C1072="Estágio",10,0))))),IF(C1072="Técnico III",SUMIFS($D:$D,$A:$A,$A1072,$B:$B,"&lt;&gt;Patrícia Karla de Sousa Araújo",$B:$B,"&lt;&gt;Lorena Dias de Araujo",$B:$B,"&lt;&gt;Lucas Luiz Romero")*(35/1083),IF(C1072="Técnico II",SUMIFS($D:$D,$A:$A,$A1072,$B:$B,"&lt;&gt;Patrícia Karla de Sousa Araújo",$B:$B,"&lt;&gt;Lorena Dias de Araujo",$B:$B,"&lt;&gt;Lucas Luiz Romero")*(28/1083),IF(C1072="Técnico I",SUMIFS($D:$D,$A:$A,$A1072,$B:$B,"&lt;&gt;Patrícia Karla de Sousa Araújo",$B:$B,"&lt;&gt;Lorena Dias de Araujo",$B:$B,"&lt;&gt;Lucas Luiz Romero")*(23/1083),IF(C1072="JR",SUMIFS($D:$D,$A:$A,$A1072,$B:$B,"&lt;&gt;Patrícia Karla de Sousa Araújo",$B:$B,"&lt;&gt;Lorena Dias de Araujo",$B:$B,"&lt;&gt;Lucas Luiz Romero")*(20/1083),IF(C1072="Estágio",SUMIFS($D:$D,$A:$A,$A1072,$B:$B,"&lt;&gt;Patrícia Karla de Sousa Araújo",$B:$B,"&lt;&gt;Lorena Dias de Araujo",$B:$B,"&lt;&gt;Lucas Luiz Romero")*(10/1083),0)))))),0)</f>
        <v/>
      </c>
      <c r="K1072" s="3">
        <f>I1072-J1072</f>
        <v/>
      </c>
      <c r="L1072" s="3">
        <f>IF(K1072&lt;-5,"CRÍTICO",IF(K1072&lt;0,"ATENÇÃO",IF(K1072&lt;=5,"BOM","EXCELENTE")))</f>
        <v/>
      </c>
      <c r="M1072" t="n">
        <v>30</v>
      </c>
      <c r="N1072" t="n">
        <v>100</v>
      </c>
      <c r="O1072" t="n">
        <v>32.41758241758242</v>
      </c>
    </row>
    <row r="1073" hidden="1">
      <c r="A1073" s="11" t="n">
        <v>46034</v>
      </c>
      <c r="B1073" t="inlineStr">
        <is>
          <t>Michelle G Santos</t>
        </is>
      </c>
      <c r="C1073" t="inlineStr">
        <is>
          <t>Estágio</t>
        </is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s="3" t="n">
        <v>0</v>
      </c>
      <c r="J1073" s="3" t="n">
        <v>0</v>
      </c>
      <c r="K1073" s="3" t="n">
        <v>0</v>
      </c>
      <c r="L1073" s="3">
        <f>IF(K1073&lt;-5,"CRÍTICO",IF(K1073&lt;0,"ATENÇÃO",IF(K1073&lt;=5,"BOM","EXCELENTE")))</f>
        <v/>
      </c>
      <c r="M1073" t="n">
        <v>0</v>
      </c>
      <c r="N1073" t="n">
        <v>0</v>
      </c>
      <c r="O1073" t="n">
        <v>0</v>
      </c>
    </row>
    <row r="1074" hidden="1">
      <c r="A1074" s="11" t="n">
        <v>46034</v>
      </c>
      <c r="B1074" t="inlineStr">
        <is>
          <t>Milena Sales</t>
        </is>
      </c>
      <c r="C1074" t="inlineStr">
        <is>
          <t>JR</t>
        </is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s="3" t="n">
        <v>0</v>
      </c>
      <c r="J1074" s="3" t="n">
        <v>0</v>
      </c>
      <c r="K1074" s="3" t="n">
        <v>0</v>
      </c>
      <c r="L1074" s="3">
        <f>IF(K1074&lt;-5,"CRÍTICO",IF(K1074&lt;0,"ATENÇÃO",IF(K1074&lt;=5,"BOM","EXCELENTE")))</f>
        <v/>
      </c>
      <c r="M1074" t="n">
        <v>0</v>
      </c>
      <c r="N1074" t="n">
        <v>0</v>
      </c>
      <c r="O1074" t="n">
        <v>0</v>
      </c>
    </row>
    <row r="1075" hidden="1">
      <c r="A1075" s="11" t="n">
        <v>46034</v>
      </c>
      <c r="B1075" t="inlineStr">
        <is>
          <t>Patrícia Karla de Sousa Araújo</t>
        </is>
      </c>
      <c r="C1075" t="inlineStr">
        <is>
          <t>Técnico II</t>
        </is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s="3" t="n">
        <v>0</v>
      </c>
      <c r="J1075" s="3" t="n">
        <v>0</v>
      </c>
      <c r="K1075" s="3" t="n">
        <v>0</v>
      </c>
      <c r="L1075" s="3">
        <f>IF(K1075&lt;-5,"CRÍTICO",IF(K1075&lt;0,"ATENÇÃO",IF(K1075&lt;=5,"BOM","EXCELENTE")))</f>
        <v/>
      </c>
      <c r="M1075" t="n">
        <v>0</v>
      </c>
      <c r="N1075" t="n">
        <v>100</v>
      </c>
      <c r="O1075" t="n">
        <v>40</v>
      </c>
    </row>
    <row r="1076" hidden="1">
      <c r="A1076" s="11" t="n">
        <v>46034</v>
      </c>
      <c r="B1076" t="inlineStr">
        <is>
          <t>Paulo Ricardo Santos</t>
        </is>
      </c>
      <c r="C1076" t="inlineStr">
        <is>
          <t>JR</t>
        </is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s="3" t="n">
        <v>0</v>
      </c>
      <c r="J1076" s="3" t="n">
        <v>0</v>
      </c>
      <c r="K1076" s="3" t="n">
        <v>0</v>
      </c>
      <c r="L1076" s="3">
        <f>IF(K1076&lt;-5,"CRÍTICO",IF(K1076&lt;0,"ATENÇÃO",IF(K1076&lt;=5,"BOM","EXCELENTE")))</f>
        <v/>
      </c>
      <c r="M1076" t="n">
        <v>0</v>
      </c>
      <c r="N1076" t="n">
        <v>0</v>
      </c>
      <c r="O1076" t="n">
        <v>0</v>
      </c>
    </row>
    <row r="1077" hidden="1">
      <c r="A1077" s="11" t="n">
        <v>46034</v>
      </c>
      <c r="B1077" t="inlineStr">
        <is>
          <t>Pedro Luiz Mota Sousa</t>
        </is>
      </c>
      <c r="C1077" t="inlineStr">
        <is>
          <t>JR</t>
        </is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s="3" t="n">
        <v>0</v>
      </c>
      <c r="J1077" s="3" t="n">
        <v>0</v>
      </c>
      <c r="K1077" s="3" t="n">
        <v>0</v>
      </c>
      <c r="L1077" s="3">
        <f>IF(K1077&lt;-5,"CRÍTICO",IF(K1077&lt;0,"ATENÇÃO",IF(K1077&lt;=5,"BOM","EXCELENTE")))</f>
        <v/>
      </c>
      <c r="M1077" t="n">
        <v>0</v>
      </c>
      <c r="N1077" t="n">
        <v>0</v>
      </c>
      <c r="O1077" t="n">
        <v>0</v>
      </c>
    </row>
    <row r="1078" hidden="1">
      <c r="A1078" s="11" t="n">
        <v>46034</v>
      </c>
      <c r="B1078" t="inlineStr">
        <is>
          <t>Quirino Diogo Leite Torres</t>
        </is>
      </c>
      <c r="C1078" t="inlineStr">
        <is>
          <t>Estágio</t>
        </is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s="3" t="n">
        <v>0</v>
      </c>
      <c r="J1078" s="3" t="n">
        <v>0</v>
      </c>
      <c r="K1078" s="3" t="n">
        <v>0</v>
      </c>
      <c r="L1078" s="3">
        <f>IF(K1078&lt;-5,"CRÍTICO",IF(K1078&lt;0,"ATENÇÃO",IF(K1078&lt;=5,"BOM","EXCELENTE")))</f>
        <v/>
      </c>
      <c r="M1078" t="n">
        <v>0</v>
      </c>
      <c r="N1078" t="n">
        <v>0</v>
      </c>
      <c r="O1078" t="n">
        <v>0</v>
      </c>
    </row>
    <row r="1079" hidden="1">
      <c r="A1079" s="11" t="n">
        <v>46034</v>
      </c>
      <c r="B1079" t="inlineStr">
        <is>
          <t>Raane Batista Matos</t>
        </is>
      </c>
      <c r="C1079" t="inlineStr">
        <is>
          <t>Técnico I</t>
        </is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s="3" t="n">
        <v>0</v>
      </c>
      <c r="J1079" s="3" t="n">
        <v>0</v>
      </c>
      <c r="K1079" s="3" t="n">
        <v>0</v>
      </c>
      <c r="L1079" s="3">
        <f>IF(K1079&lt;-5,"CRÍTICO",IF(K1079&lt;0,"ATENÇÃO",IF(K1079&lt;=5,"BOM","EXCELENTE")))</f>
        <v/>
      </c>
      <c r="M1079" t="n">
        <v>0</v>
      </c>
      <c r="N1079" t="n">
        <v>0</v>
      </c>
      <c r="O1079" t="n">
        <v>0</v>
      </c>
    </row>
    <row r="1080" hidden="1">
      <c r="A1080" s="11" t="n">
        <v>46034</v>
      </c>
      <c r="B1080" t="inlineStr">
        <is>
          <t>Rafael Gomes de Morais</t>
        </is>
      </c>
      <c r="C1080" t="inlineStr">
        <is>
          <t>Técnico III</t>
        </is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s="3" t="n">
        <v>0</v>
      </c>
      <c r="J1080" s="3" t="n">
        <v>0</v>
      </c>
      <c r="K1080" s="3" t="n">
        <v>0</v>
      </c>
      <c r="L1080" s="3">
        <f>IF(K1080&lt;-5,"CRÍTICO",IF(K1080&lt;0,"ATENÇÃO",IF(K1080&lt;=5,"BOM","EXCELENTE")))</f>
        <v/>
      </c>
      <c r="M1080" t="n">
        <v>0</v>
      </c>
      <c r="N1080" t="n">
        <v>0</v>
      </c>
      <c r="O1080" t="n">
        <v>0</v>
      </c>
    </row>
    <row r="1081" hidden="1">
      <c r="A1081" s="11" t="n">
        <v>46034</v>
      </c>
      <c r="B1081" t="inlineStr">
        <is>
          <t>Sara Maria Monteiro Lopes</t>
        </is>
      </c>
      <c r="C1081" t="inlineStr">
        <is>
          <t>Técnico I</t>
        </is>
      </c>
      <c r="D1081" t="n">
        <v>17</v>
      </c>
      <c r="E1081" t="n">
        <v>16</v>
      </c>
      <c r="F1081" t="n">
        <v>27.23</v>
      </c>
      <c r="G1081" t="n">
        <v>0</v>
      </c>
      <c r="H1081" t="n">
        <v>0</v>
      </c>
      <c r="I1081" s="3">
        <f>E1081+G1081+H1081</f>
        <v/>
      </c>
      <c r="J1081" s="3">
        <f>ROUND(MIN(IF(C1081="Técnico III",35,IF(C1081="Técnico II",28,IF(C1081="Técnico I",23,IF(C1081="JR",20,IF(C1081="Estágio",10,0))))),IF(C1081="Técnico III",SUMIFS($D:$D,$A:$A,$A1081,$B:$B,"&lt;&gt;Patrícia Karla de Sousa Araújo",$B:$B,"&lt;&gt;Lorena Dias de Araujo",$B:$B,"&lt;&gt;Lucas Luiz Romero")*(35/1083),IF(C1081="Técnico II",SUMIFS($D:$D,$A:$A,$A1081,$B:$B,"&lt;&gt;Patrícia Karla de Sousa Araújo",$B:$B,"&lt;&gt;Lorena Dias de Araujo",$B:$B,"&lt;&gt;Lucas Luiz Romero")*(28/1083),IF(C1081="Técnico I",SUMIFS($D:$D,$A:$A,$A1081,$B:$B,"&lt;&gt;Patrícia Karla de Sousa Araújo",$B:$B,"&lt;&gt;Lorena Dias de Araujo",$B:$B,"&lt;&gt;Lucas Luiz Romero")*(23/1083),IF(C1081="JR",SUMIFS($D:$D,$A:$A,$A1081,$B:$B,"&lt;&gt;Patrícia Karla de Sousa Araújo",$B:$B,"&lt;&gt;Lorena Dias de Araujo",$B:$B,"&lt;&gt;Lucas Luiz Romero")*(20/1083),IF(C1081="Estágio",SUMIFS($D:$D,$A:$A,$A1081,$B:$B,"&lt;&gt;Patrícia Karla de Sousa Araújo",$B:$B,"&lt;&gt;Lorena Dias de Araujo",$B:$B,"&lt;&gt;Lucas Luiz Romero")*(10/1083),0)))))),0)</f>
        <v/>
      </c>
      <c r="K1081" s="3">
        <f>I1081-J1081</f>
        <v/>
      </c>
      <c r="L1081" s="3">
        <f>IF(K1081&lt;-5,"CRÍTICO",IF(K1081&lt;0,"ATENÇÃO",IF(K1081&lt;=5,"BOM","EXCELENTE")))</f>
        <v/>
      </c>
      <c r="M1081" t="n">
        <v>13</v>
      </c>
      <c r="N1081" t="n">
        <v>100</v>
      </c>
      <c r="O1081" t="n">
        <v>33.73493975903614</v>
      </c>
    </row>
    <row r="1082" hidden="1">
      <c r="A1082" s="11" t="n">
        <v>46034</v>
      </c>
      <c r="B1082" t="inlineStr">
        <is>
          <t>Sarah Steffanie de Lima Borges</t>
        </is>
      </c>
      <c r="C1082" t="inlineStr">
        <is>
          <t>Técnico III</t>
        </is>
      </c>
      <c r="D1082" t="n">
        <v>20</v>
      </c>
      <c r="E1082" t="n">
        <v>20</v>
      </c>
      <c r="F1082" t="n">
        <v>23.24</v>
      </c>
      <c r="G1082" t="n">
        <v>0</v>
      </c>
      <c r="H1082" t="n">
        <v>0</v>
      </c>
      <c r="I1082" s="3">
        <f>E1082+G1082+H1082</f>
        <v/>
      </c>
      <c r="J1082" s="3">
        <f>ROUND(MIN(IF(C1082="Técnico III",35,IF(C1082="Técnico II",28,IF(C1082="Técnico I",23,IF(C1082="JR",20,IF(C1082="Estágio",10,0))))),IF(C1082="Técnico III",SUMIFS($D:$D,$A:$A,$A1082,$B:$B,"&lt;&gt;Patrícia Karla de Sousa Araújo",$B:$B,"&lt;&gt;Lorena Dias de Araujo",$B:$B,"&lt;&gt;Lucas Luiz Romero")*(35/1083),IF(C1082="Técnico II",SUMIFS($D:$D,$A:$A,$A1082,$B:$B,"&lt;&gt;Patrícia Karla de Sousa Araújo",$B:$B,"&lt;&gt;Lorena Dias de Araujo",$B:$B,"&lt;&gt;Lucas Luiz Romero")*(28/1083),IF(C1082="Técnico I",SUMIFS($D:$D,$A:$A,$A1082,$B:$B,"&lt;&gt;Patrícia Karla de Sousa Araújo",$B:$B,"&lt;&gt;Lorena Dias de Araujo",$B:$B,"&lt;&gt;Lucas Luiz Romero")*(23/1083),IF(C1082="JR",SUMIFS($D:$D,$A:$A,$A1082,$B:$B,"&lt;&gt;Patrícia Karla de Sousa Araújo",$B:$B,"&lt;&gt;Lorena Dias de Araujo",$B:$B,"&lt;&gt;Lucas Luiz Romero")*(20/1083),IF(C1082="Estágio",SUMIFS($D:$D,$A:$A,$A1082,$B:$B,"&lt;&gt;Patrícia Karla de Sousa Araújo",$B:$B,"&lt;&gt;Lorena Dias de Araujo",$B:$B,"&lt;&gt;Lucas Luiz Romero")*(10/1083),0)))))),0)</f>
        <v/>
      </c>
      <c r="K1082" s="3">
        <f>I1082-J1082</f>
        <v/>
      </c>
      <c r="L1082" s="3">
        <f>IF(K1082&lt;-5,"CRÍTICO",IF(K1082&lt;0,"ATENÇÃO",IF(K1082&lt;=5,"BOM","EXCELENTE")))</f>
        <v/>
      </c>
      <c r="M1082" t="n">
        <v>20</v>
      </c>
      <c r="N1082" t="n">
        <v>100</v>
      </c>
      <c r="O1082" t="n">
        <v>26.21951219512195</v>
      </c>
    </row>
    <row r="1083" hidden="1">
      <c r="A1083" s="11" t="n">
        <v>46035</v>
      </c>
      <c r="B1083" t="inlineStr">
        <is>
          <t>Alisson de Freitas Silva</t>
        </is>
      </c>
      <c r="C1083" t="inlineStr">
        <is>
          <t>Técnico II</t>
        </is>
      </c>
      <c r="D1083" t="n">
        <v>29</v>
      </c>
      <c r="E1083" t="n">
        <v>26</v>
      </c>
      <c r="F1083" t="n">
        <v>23.34</v>
      </c>
      <c r="G1083" t="n">
        <v>0</v>
      </c>
      <c r="H1083" t="n">
        <v>0</v>
      </c>
      <c r="I1083" s="3">
        <f>E1083+G1083+H1083</f>
        <v/>
      </c>
      <c r="J1083" s="3">
        <f>ROUND(MIN(IF(C1083="Técnico III",35,IF(C1083="Técnico II",28,IF(C1083="Técnico I",23,IF(C1083="JR",20,IF(C1083="Estágio",10,0))))),IF(C1083="Técnico III",SUMIFS($D:$D,$A:$A,$A1083,$B:$B,"&lt;&gt;Patrícia Karla de Sousa Araújo",$B:$B,"&lt;&gt;Lorena Dias de Araujo",$B:$B,"&lt;&gt;Lucas Luiz Romero")*(35/1083),IF(C1083="Técnico II",SUMIFS($D:$D,$A:$A,$A1083,$B:$B,"&lt;&gt;Patrícia Karla de Sousa Araújo",$B:$B,"&lt;&gt;Lorena Dias de Araujo",$B:$B,"&lt;&gt;Lucas Luiz Romero")*(28/1083),IF(C1083="Técnico I",SUMIFS($D:$D,$A:$A,$A1083,$B:$B,"&lt;&gt;Patrícia Karla de Sousa Araújo",$B:$B,"&lt;&gt;Lorena Dias de Araujo",$B:$B,"&lt;&gt;Lucas Luiz Romero")*(23/1083),IF(C1083="JR",SUMIFS($D:$D,$A:$A,$A1083,$B:$B,"&lt;&gt;Patrícia Karla de Sousa Araújo",$B:$B,"&lt;&gt;Lorena Dias de Araujo",$B:$B,"&lt;&gt;Lucas Luiz Romero")*(20/1083),IF(C1083="Estágio",SUMIFS($D:$D,$A:$A,$A1083,$B:$B,"&lt;&gt;Patrícia Karla de Sousa Araújo",$B:$B,"&lt;&gt;Lorena Dias de Araujo",$B:$B,"&lt;&gt;Lucas Luiz Romero")*(10/1083),0)))))),0)</f>
        <v/>
      </c>
      <c r="K1083" s="3">
        <f>I1083-J1083</f>
        <v/>
      </c>
      <c r="L1083" s="3">
        <f>IF(K1083&lt;-5,"CRÍTICO",IF(K1083&lt;0,"ATENÇÃO",IF(K1083&lt;=5,"BOM","EXCELENTE")))</f>
        <v/>
      </c>
      <c r="M1083" t="n">
        <v>20</v>
      </c>
      <c r="N1083" t="n">
        <v>100</v>
      </c>
      <c r="O1083" t="n">
        <v>26.76056338028169</v>
      </c>
    </row>
    <row r="1084" hidden="1">
      <c r="A1084" s="11" t="n">
        <v>46035</v>
      </c>
      <c r="B1084" t="inlineStr">
        <is>
          <t>Amanda Moura Ferreira</t>
        </is>
      </c>
      <c r="C1084" t="inlineStr">
        <is>
          <t>Técnico III</t>
        </is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s="3" t="n">
        <v>0</v>
      </c>
      <c r="J1084" s="3" t="n">
        <v>0</v>
      </c>
      <c r="K1084" s="3" t="n">
        <v>0</v>
      </c>
      <c r="L1084" s="3">
        <f>IF(K1084&lt;-5,"CRÍTICO",IF(K1084&lt;0,"ATENÇÃO",IF(K1084&lt;=5,"BOM","EXCELENTE")))</f>
        <v/>
      </c>
      <c r="M1084" t="n">
        <v>15</v>
      </c>
      <c r="N1084" t="n">
        <v>97.44</v>
      </c>
      <c r="O1084" t="n">
        <v>27.36842105263158</v>
      </c>
    </row>
    <row r="1085" hidden="1">
      <c r="A1085" s="11" t="n">
        <v>46035</v>
      </c>
      <c r="B1085" t="inlineStr">
        <is>
          <t>Ana Karollyne Souza Faria</t>
        </is>
      </c>
      <c r="C1085" t="inlineStr">
        <is>
          <t>Técnico I</t>
        </is>
      </c>
      <c r="D1085" t="n">
        <v>26</v>
      </c>
      <c r="E1085" t="n">
        <v>21</v>
      </c>
      <c r="F1085" t="n">
        <v>19.16</v>
      </c>
      <c r="G1085" t="n">
        <v>0</v>
      </c>
      <c r="H1085" t="n">
        <v>0</v>
      </c>
      <c r="I1085" s="3">
        <f>E1085+G1085+H1085</f>
        <v/>
      </c>
      <c r="J1085" s="3">
        <f>ROUND(MIN(IF(C1085="Técnico III",35,IF(C1085="Técnico II",28,IF(C1085="Técnico I",23,IF(C1085="JR",20,IF(C1085="Estágio",10,0))))),IF(C1085="Técnico III",SUMIFS($D:$D,$A:$A,$A1085,$B:$B,"&lt;&gt;Patrícia Karla de Sousa Araújo",$B:$B,"&lt;&gt;Lorena Dias de Araujo",$B:$B,"&lt;&gt;Lucas Luiz Romero")*(35/1083),IF(C1085="Técnico II",SUMIFS($D:$D,$A:$A,$A1085,$B:$B,"&lt;&gt;Patrícia Karla de Sousa Araújo",$B:$B,"&lt;&gt;Lorena Dias de Araujo",$B:$B,"&lt;&gt;Lucas Luiz Romero")*(28/1083),IF(C1085="Técnico I",SUMIFS($D:$D,$A:$A,$A1085,$B:$B,"&lt;&gt;Patrícia Karla de Sousa Araújo",$B:$B,"&lt;&gt;Lorena Dias de Araujo",$B:$B,"&lt;&gt;Lucas Luiz Romero")*(23/1083),IF(C1085="JR",SUMIFS($D:$D,$A:$A,$A1085,$B:$B,"&lt;&gt;Patrícia Karla de Sousa Araújo",$B:$B,"&lt;&gt;Lorena Dias de Araujo",$B:$B,"&lt;&gt;Lucas Luiz Romero")*(20/1083),IF(C1085="Estágio",SUMIFS($D:$D,$A:$A,$A1085,$B:$B,"&lt;&gt;Patrícia Karla de Sousa Araújo",$B:$B,"&lt;&gt;Lorena Dias de Araujo",$B:$B,"&lt;&gt;Lucas Luiz Romero")*(10/1083),0)))))),0)</f>
        <v/>
      </c>
      <c r="K1085" s="3">
        <f>I1085-J1085</f>
        <v/>
      </c>
      <c r="L1085" s="3">
        <f>IF(K1085&lt;-5,"CRÍTICO",IF(K1085&lt;0,"ATENÇÃO",IF(K1085&lt;=5,"BOM","EXCELENTE")))</f>
        <v/>
      </c>
      <c r="M1085" t="n">
        <v>22</v>
      </c>
      <c r="N1085" t="n">
        <v>100</v>
      </c>
      <c r="O1085" t="n">
        <v>26.06382978723405</v>
      </c>
    </row>
    <row r="1086" hidden="1">
      <c r="A1086" s="11" t="n">
        <v>46035</v>
      </c>
      <c r="B1086" t="inlineStr">
        <is>
          <t>Ana Paula Da Luz Silva Aleixo</t>
        </is>
      </c>
      <c r="C1086" t="inlineStr">
        <is>
          <t>Técnico III</t>
        </is>
      </c>
      <c r="D1086" t="n">
        <v>22</v>
      </c>
      <c r="E1086" t="n">
        <v>19</v>
      </c>
      <c r="F1086" t="n">
        <v>22.28</v>
      </c>
      <c r="G1086" t="n">
        <v>0</v>
      </c>
      <c r="H1086" t="n">
        <v>0</v>
      </c>
      <c r="I1086" s="3">
        <f>E1086+G1086+H1086</f>
        <v/>
      </c>
      <c r="J1086" s="3">
        <f>ROUND(MIN(IF(C1086="Técnico III",35,IF(C1086="Técnico II",28,IF(C1086="Técnico I",23,IF(C1086="JR",20,IF(C1086="Estágio",10,0))))),IF(C1086="Técnico III",SUMIFS($D:$D,$A:$A,$A1086,$B:$B,"&lt;&gt;Patrícia Karla de Sousa Araújo",$B:$B,"&lt;&gt;Lorena Dias de Araujo",$B:$B,"&lt;&gt;Lucas Luiz Romero")*(35/1083),IF(C1086="Técnico II",SUMIFS($D:$D,$A:$A,$A1086,$B:$B,"&lt;&gt;Patrícia Karla de Sousa Araújo",$B:$B,"&lt;&gt;Lorena Dias de Araujo",$B:$B,"&lt;&gt;Lucas Luiz Romero")*(28/1083),IF(C1086="Técnico I",SUMIFS($D:$D,$A:$A,$A1086,$B:$B,"&lt;&gt;Patrícia Karla de Sousa Araújo",$B:$B,"&lt;&gt;Lorena Dias de Araujo",$B:$B,"&lt;&gt;Lucas Luiz Romero")*(23/1083),IF(C1086="JR",SUMIFS($D:$D,$A:$A,$A1086,$B:$B,"&lt;&gt;Patrícia Karla de Sousa Araújo",$B:$B,"&lt;&gt;Lorena Dias de Araujo",$B:$B,"&lt;&gt;Lucas Luiz Romero")*(20/1083),IF(C1086="Estágio",SUMIFS($D:$D,$A:$A,$A1086,$B:$B,"&lt;&gt;Patrícia Karla de Sousa Araújo",$B:$B,"&lt;&gt;Lorena Dias de Araujo",$B:$B,"&lt;&gt;Lucas Luiz Romero")*(10/1083),0)))))),0)</f>
        <v/>
      </c>
      <c r="K1086" s="3">
        <f>I1086-J1086</f>
        <v/>
      </c>
      <c r="L1086" s="3">
        <f>IF(K1086&lt;-5,"CRÍTICO",IF(K1086&lt;0,"ATENÇÃO",IF(K1086&lt;=5,"BOM","EXCELENTE")))</f>
        <v/>
      </c>
      <c r="M1086" t="n">
        <v>16</v>
      </c>
      <c r="N1086" t="n">
        <v>100</v>
      </c>
      <c r="O1086" t="n">
        <v>31.86274509803921</v>
      </c>
    </row>
    <row r="1087" hidden="1">
      <c r="A1087" s="11" t="n">
        <v>46035</v>
      </c>
      <c r="B1087" t="inlineStr">
        <is>
          <t>Anna Luiza Rezende Tavares</t>
        </is>
      </c>
      <c r="C1087" t="inlineStr">
        <is>
          <t>Estágio</t>
        </is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s="3" t="n">
        <v>0</v>
      </c>
      <c r="J1087" s="3" t="n">
        <v>0</v>
      </c>
      <c r="K1087" s="3" t="n">
        <v>0</v>
      </c>
      <c r="L1087" s="3">
        <f>IF(K1087&lt;-5,"CRÍTICO",IF(K1087&lt;0,"ATENÇÃO",IF(K1087&lt;=5,"BOM","EXCELENTE")))</f>
        <v/>
      </c>
      <c r="M1087" t="n">
        <v>0</v>
      </c>
      <c r="N1087" t="n">
        <v>100</v>
      </c>
      <c r="O1087" t="n">
        <v>45.09803921568628</v>
      </c>
    </row>
    <row r="1088" hidden="1">
      <c r="A1088" s="11" t="n">
        <v>46035</v>
      </c>
      <c r="B1088" t="inlineStr">
        <is>
          <t>Brenda de Menezes Silva</t>
        </is>
      </c>
      <c r="C1088" t="inlineStr">
        <is>
          <t>Técnico II</t>
        </is>
      </c>
      <c r="D1088" t="n">
        <v>30</v>
      </c>
      <c r="E1088" t="n">
        <v>26</v>
      </c>
      <c r="F1088" t="n">
        <v>17.39</v>
      </c>
      <c r="G1088" t="n">
        <v>0</v>
      </c>
      <c r="H1088" t="n">
        <v>0</v>
      </c>
      <c r="I1088" s="3">
        <f>E1088+G1088+H1088</f>
        <v/>
      </c>
      <c r="J1088" s="3">
        <f>ROUND(MIN(IF(C1088="Técnico III",35,IF(C1088="Técnico II",28,IF(C1088="Técnico I",23,IF(C1088="JR",20,IF(C1088="Estágio",10,0))))),IF(C1088="Técnico III",SUMIFS($D:$D,$A:$A,$A1088,$B:$B,"&lt;&gt;Patrícia Karla de Sousa Araújo",$B:$B,"&lt;&gt;Lorena Dias de Araujo",$B:$B,"&lt;&gt;Lucas Luiz Romero")*(35/1083),IF(C1088="Técnico II",SUMIFS($D:$D,$A:$A,$A1088,$B:$B,"&lt;&gt;Patrícia Karla de Sousa Araújo",$B:$B,"&lt;&gt;Lorena Dias de Araujo",$B:$B,"&lt;&gt;Lucas Luiz Romero")*(28/1083),IF(C1088="Técnico I",SUMIFS($D:$D,$A:$A,$A1088,$B:$B,"&lt;&gt;Patrícia Karla de Sousa Araújo",$B:$B,"&lt;&gt;Lorena Dias de Araujo",$B:$B,"&lt;&gt;Lucas Luiz Romero")*(23/1083),IF(C1088="JR",SUMIFS($D:$D,$A:$A,$A1088,$B:$B,"&lt;&gt;Patrícia Karla de Sousa Araújo",$B:$B,"&lt;&gt;Lorena Dias de Araujo",$B:$B,"&lt;&gt;Lucas Luiz Romero")*(20/1083),IF(C1088="Estágio",SUMIFS($D:$D,$A:$A,$A1088,$B:$B,"&lt;&gt;Patrícia Karla de Sousa Araújo",$B:$B,"&lt;&gt;Lorena Dias de Araujo",$B:$B,"&lt;&gt;Lucas Luiz Romero")*(10/1083),0)))))),0)</f>
        <v/>
      </c>
      <c r="K1088" s="3">
        <f>I1088-J1088</f>
        <v/>
      </c>
      <c r="L1088" s="3">
        <f>IF(K1088&lt;-5,"CRÍTICO",IF(K1088&lt;0,"ATENÇÃO",IF(K1088&lt;=5,"BOM","EXCELENTE")))</f>
        <v/>
      </c>
      <c r="M1088" t="n">
        <v>25</v>
      </c>
      <c r="N1088" t="n">
        <v>100</v>
      </c>
      <c r="O1088" t="n">
        <v>28.29268292682926</v>
      </c>
    </row>
    <row r="1089" hidden="1">
      <c r="A1089" s="11" t="n">
        <v>46035</v>
      </c>
      <c r="B1089" t="inlineStr">
        <is>
          <t>Carlos Mateus Cassimiro Nunes</t>
        </is>
      </c>
      <c r="C1089" t="inlineStr">
        <is>
          <t>Técnico II</t>
        </is>
      </c>
      <c r="D1089" t="n">
        <v>25</v>
      </c>
      <c r="E1089" t="n">
        <v>24</v>
      </c>
      <c r="F1089" t="n">
        <v>25.12</v>
      </c>
      <c r="G1089" t="n">
        <v>0</v>
      </c>
      <c r="H1089" t="n">
        <v>0</v>
      </c>
      <c r="I1089" s="3">
        <f>E1089+G1089+H1089</f>
        <v/>
      </c>
      <c r="J1089" s="3">
        <f>ROUND(MIN(IF(C1089="Técnico III",35,IF(C1089="Técnico II",28,IF(C1089="Técnico I",23,IF(C1089="JR",20,IF(C1089="Estágio",10,0))))),IF(C1089="Técnico III",SUMIFS($D:$D,$A:$A,$A1089,$B:$B,"&lt;&gt;Patrícia Karla de Sousa Araújo",$B:$B,"&lt;&gt;Lorena Dias de Araujo",$B:$B,"&lt;&gt;Lucas Luiz Romero")*(35/1083),IF(C1089="Técnico II",SUMIFS($D:$D,$A:$A,$A1089,$B:$B,"&lt;&gt;Patrícia Karla de Sousa Araújo",$B:$B,"&lt;&gt;Lorena Dias de Araujo",$B:$B,"&lt;&gt;Lucas Luiz Romero")*(28/1083),IF(C1089="Técnico I",SUMIFS($D:$D,$A:$A,$A1089,$B:$B,"&lt;&gt;Patrícia Karla de Sousa Araújo",$B:$B,"&lt;&gt;Lorena Dias de Araujo",$B:$B,"&lt;&gt;Lucas Luiz Romero")*(23/1083),IF(C1089="JR",SUMIFS($D:$D,$A:$A,$A1089,$B:$B,"&lt;&gt;Patrícia Karla de Sousa Araújo",$B:$B,"&lt;&gt;Lorena Dias de Araujo",$B:$B,"&lt;&gt;Lucas Luiz Romero")*(20/1083),IF(C1089="Estágio",SUMIFS($D:$D,$A:$A,$A1089,$B:$B,"&lt;&gt;Patrícia Karla de Sousa Araújo",$B:$B,"&lt;&gt;Lorena Dias de Araujo",$B:$B,"&lt;&gt;Lucas Luiz Romero")*(10/1083),0)))))),0)</f>
        <v/>
      </c>
      <c r="K1089" s="3">
        <f>I1089-J1089</f>
        <v/>
      </c>
      <c r="L1089" s="3">
        <f>IF(K1089&lt;-5,"CRÍTICO",IF(K1089&lt;0,"ATENÇÃO",IF(K1089&lt;=5,"BOM","EXCELENTE")))</f>
        <v/>
      </c>
      <c r="M1089" t="n">
        <v>23</v>
      </c>
      <c r="N1089" t="n">
        <v>100</v>
      </c>
      <c r="O1089" t="n">
        <v>35.71428571428572</v>
      </c>
    </row>
    <row r="1090" hidden="1">
      <c r="A1090" s="11" t="n">
        <v>46035</v>
      </c>
      <c r="B1090" t="inlineStr">
        <is>
          <t>Claudio de Sousa Velasco Filho</t>
        </is>
      </c>
      <c r="C1090" t="inlineStr">
        <is>
          <t>Estágio</t>
        </is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s="3" t="n">
        <v>0</v>
      </c>
      <c r="J1090" s="3" t="n">
        <v>0</v>
      </c>
      <c r="K1090" s="3" t="n">
        <v>0</v>
      </c>
      <c r="L1090" s="3">
        <f>IF(K1090&lt;-5,"CRÍTICO",IF(K1090&lt;0,"ATENÇÃO",IF(K1090&lt;=5,"BOM","EXCELENTE")))</f>
        <v/>
      </c>
      <c r="M1090" t="n">
        <v>0</v>
      </c>
      <c r="N1090" t="n">
        <v>0</v>
      </c>
      <c r="O1090" t="n">
        <v>0</v>
      </c>
    </row>
    <row r="1091" hidden="1">
      <c r="A1091" s="11" t="n">
        <v>46035</v>
      </c>
      <c r="B1091" t="inlineStr">
        <is>
          <t>Clessiane Pereira dos Santos</t>
        </is>
      </c>
      <c r="C1091" t="inlineStr">
        <is>
          <t>Técnico I</t>
        </is>
      </c>
      <c r="D1091" t="n">
        <v>17</v>
      </c>
      <c r="E1091" t="n">
        <v>17</v>
      </c>
      <c r="F1091" t="n">
        <v>27.32</v>
      </c>
      <c r="G1091" t="n">
        <v>0</v>
      </c>
      <c r="H1091" t="n">
        <v>0</v>
      </c>
      <c r="I1091" s="3">
        <f>E1091+G1091+H1091</f>
        <v/>
      </c>
      <c r="J1091" s="3">
        <f>ROUND(MIN(IF(C1091="Técnico III",35,IF(C1091="Técnico II",28,IF(C1091="Técnico I",23,IF(C1091="JR",20,IF(C1091="Estágio",10,0))))),IF(C1091="Técnico III",SUMIFS($D:$D,$A:$A,$A1091,$B:$B,"&lt;&gt;Patrícia Karla de Sousa Araújo",$B:$B,"&lt;&gt;Lorena Dias de Araujo",$B:$B,"&lt;&gt;Lucas Luiz Romero")*(35/1083),IF(C1091="Técnico II",SUMIFS($D:$D,$A:$A,$A1091,$B:$B,"&lt;&gt;Patrícia Karla de Sousa Araújo",$B:$B,"&lt;&gt;Lorena Dias de Araujo",$B:$B,"&lt;&gt;Lucas Luiz Romero")*(28/1083),IF(C1091="Técnico I",SUMIFS($D:$D,$A:$A,$A1091,$B:$B,"&lt;&gt;Patrícia Karla de Sousa Araújo",$B:$B,"&lt;&gt;Lorena Dias de Araujo",$B:$B,"&lt;&gt;Lucas Luiz Romero")*(23/1083),IF(C1091="JR",SUMIFS($D:$D,$A:$A,$A1091,$B:$B,"&lt;&gt;Patrícia Karla de Sousa Araújo",$B:$B,"&lt;&gt;Lorena Dias de Araujo",$B:$B,"&lt;&gt;Lucas Luiz Romero")*(20/1083),IF(C1091="Estágio",SUMIFS($D:$D,$A:$A,$A1091,$B:$B,"&lt;&gt;Patrícia Karla de Sousa Araújo",$B:$B,"&lt;&gt;Lorena Dias de Araujo",$B:$B,"&lt;&gt;Lucas Luiz Romero")*(10/1083),0)))))),0)</f>
        <v/>
      </c>
      <c r="K1091" s="3">
        <f>I1091-J1091</f>
        <v/>
      </c>
      <c r="L1091" s="3">
        <f>IF(K1091&lt;-5,"CRÍTICO",IF(K1091&lt;0,"ATENÇÃO",IF(K1091&lt;=5,"BOM","EXCELENTE")))</f>
        <v/>
      </c>
      <c r="M1091" t="n">
        <v>13</v>
      </c>
      <c r="N1091" t="n">
        <v>100</v>
      </c>
      <c r="O1091" t="n">
        <v>29.56521739130435</v>
      </c>
    </row>
    <row r="1092" hidden="1">
      <c r="A1092" s="11" t="n">
        <v>46035</v>
      </c>
      <c r="B1092" t="inlineStr">
        <is>
          <t>Cristiane Ramos da Silva Rocha</t>
        </is>
      </c>
      <c r="C1092" t="inlineStr">
        <is>
          <t>Técnico III</t>
        </is>
      </c>
      <c r="D1092" t="n">
        <v>36</v>
      </c>
      <c r="E1092" t="n">
        <v>35</v>
      </c>
      <c r="F1092" t="n">
        <v>15.3</v>
      </c>
      <c r="G1092" t="n">
        <v>0</v>
      </c>
      <c r="H1092" t="n">
        <v>0</v>
      </c>
      <c r="I1092" s="3">
        <f>E1092+G1092+H1092</f>
        <v/>
      </c>
      <c r="J1092" s="3">
        <f>ROUND(MIN(IF(C1092="Técnico III",35,IF(C1092="Técnico II",28,IF(C1092="Técnico I",23,IF(C1092="JR",20,IF(C1092="Estágio",10,0))))),IF(C1092="Técnico III",SUMIFS($D:$D,$A:$A,$A1092,$B:$B,"&lt;&gt;Patrícia Karla de Sousa Araújo",$B:$B,"&lt;&gt;Lorena Dias de Araujo",$B:$B,"&lt;&gt;Lucas Luiz Romero")*(35/1083),IF(C1092="Técnico II",SUMIFS($D:$D,$A:$A,$A1092,$B:$B,"&lt;&gt;Patrícia Karla de Sousa Araújo",$B:$B,"&lt;&gt;Lorena Dias de Araujo",$B:$B,"&lt;&gt;Lucas Luiz Romero")*(28/1083),IF(C1092="Técnico I",SUMIFS($D:$D,$A:$A,$A1092,$B:$B,"&lt;&gt;Patrícia Karla de Sousa Araújo",$B:$B,"&lt;&gt;Lorena Dias de Araujo",$B:$B,"&lt;&gt;Lucas Luiz Romero")*(23/1083),IF(C1092="JR",SUMIFS($D:$D,$A:$A,$A1092,$B:$B,"&lt;&gt;Patrícia Karla de Sousa Araújo",$B:$B,"&lt;&gt;Lorena Dias de Araujo",$B:$B,"&lt;&gt;Lucas Luiz Romero")*(20/1083),IF(C1092="Estágio",SUMIFS($D:$D,$A:$A,$A1092,$B:$B,"&lt;&gt;Patrícia Karla de Sousa Araújo",$B:$B,"&lt;&gt;Lorena Dias de Araujo",$B:$B,"&lt;&gt;Lucas Luiz Romero")*(10/1083),0)))))),0)</f>
        <v/>
      </c>
      <c r="K1092" s="3">
        <f>I1092-J1092</f>
        <v/>
      </c>
      <c r="L1092" s="3">
        <f>IF(K1092&lt;-5,"CRÍTICO",IF(K1092&lt;0,"ATENÇÃO",IF(K1092&lt;=5,"BOM","EXCELENTE")))</f>
        <v/>
      </c>
      <c r="M1092" t="n">
        <v>28</v>
      </c>
      <c r="N1092" t="n">
        <v>96.83</v>
      </c>
      <c r="O1092" t="n">
        <v>42.92035398230089</v>
      </c>
    </row>
    <row r="1093" hidden="1">
      <c r="A1093" s="11" t="n">
        <v>46035</v>
      </c>
      <c r="B1093" t="inlineStr">
        <is>
          <t>Damyllis Lorraine de Oliveira Gonçalves</t>
        </is>
      </c>
      <c r="C1093" t="inlineStr">
        <is>
          <t>Técnico II</t>
        </is>
      </c>
      <c r="D1093" t="n">
        <v>30</v>
      </c>
      <c r="E1093" t="n">
        <v>24</v>
      </c>
      <c r="F1093" t="n">
        <v>17.15</v>
      </c>
      <c r="G1093" t="n">
        <v>0</v>
      </c>
      <c r="H1093" t="n">
        <v>0</v>
      </c>
      <c r="I1093" s="3" t="n">
        <v>0</v>
      </c>
      <c r="J1093" s="3" t="n">
        <v>0</v>
      </c>
      <c r="K1093" s="3" t="n">
        <v>0</v>
      </c>
      <c r="L1093" s="3">
        <f>IF(K1093&lt;-5,"CRÍTICO",IF(K1093&lt;0,"ATENÇÃO",IF(K1093&lt;=5,"BOM","EXCELENTE")))</f>
        <v/>
      </c>
      <c r="M1093" t="n">
        <v>17</v>
      </c>
      <c r="N1093" t="n">
        <v>97.3</v>
      </c>
      <c r="O1093" t="n">
        <v>32.33532934131736</v>
      </c>
    </row>
    <row r="1094" hidden="1">
      <c r="A1094" s="11" t="n">
        <v>46035</v>
      </c>
      <c r="B1094" t="inlineStr">
        <is>
          <t>Daniel Gomes da Silva</t>
        </is>
      </c>
      <c r="C1094" t="inlineStr">
        <is>
          <t>Técnico I</t>
        </is>
      </c>
      <c r="D1094" t="n">
        <v>25</v>
      </c>
      <c r="E1094" t="n">
        <v>25</v>
      </c>
      <c r="F1094" t="n">
        <v>21.5</v>
      </c>
      <c r="G1094" t="n">
        <v>0</v>
      </c>
      <c r="H1094" t="n">
        <v>0</v>
      </c>
      <c r="I1094" s="3">
        <f>E1094+G1094+H1094</f>
        <v/>
      </c>
      <c r="J1094" s="3">
        <f>ROUND(MIN(IF(C1094="Técnico III",35,IF(C1094="Técnico II",28,IF(C1094="Técnico I",23,IF(C1094="JR",20,IF(C1094="Estágio",10,0))))),IF(C1094="Técnico III",SUMIFS($D:$D,$A:$A,$A1094,$B:$B,"&lt;&gt;Patrícia Karla de Sousa Araújo",$B:$B,"&lt;&gt;Lorena Dias de Araujo",$B:$B,"&lt;&gt;Lucas Luiz Romero")*(35/1083),IF(C1094="Técnico II",SUMIFS($D:$D,$A:$A,$A1094,$B:$B,"&lt;&gt;Patrícia Karla de Sousa Araújo",$B:$B,"&lt;&gt;Lorena Dias de Araujo",$B:$B,"&lt;&gt;Lucas Luiz Romero")*(28/1083),IF(C1094="Técnico I",SUMIFS($D:$D,$A:$A,$A1094,$B:$B,"&lt;&gt;Patrícia Karla de Sousa Araújo",$B:$B,"&lt;&gt;Lorena Dias de Araujo",$B:$B,"&lt;&gt;Lucas Luiz Romero")*(23/1083),IF(C1094="JR",SUMIFS($D:$D,$A:$A,$A1094,$B:$B,"&lt;&gt;Patrícia Karla de Sousa Araújo",$B:$B,"&lt;&gt;Lorena Dias de Araujo",$B:$B,"&lt;&gt;Lucas Luiz Romero")*(20/1083),IF(C1094="Estágio",SUMIFS($D:$D,$A:$A,$A1094,$B:$B,"&lt;&gt;Patrícia Karla de Sousa Araújo",$B:$B,"&lt;&gt;Lorena Dias de Araujo",$B:$B,"&lt;&gt;Lucas Luiz Romero")*(10/1083),0)))))),0)</f>
        <v/>
      </c>
      <c r="K1094" s="3">
        <f>I1094-J1094</f>
        <v/>
      </c>
      <c r="L1094" s="3">
        <f>IF(K1094&lt;-5,"CRÍTICO",IF(K1094&lt;0,"ATENÇÃO",IF(K1094&lt;=5,"BOM","EXCELENTE")))</f>
        <v/>
      </c>
      <c r="M1094" t="n">
        <v>26</v>
      </c>
      <c r="N1094" t="n">
        <v>100</v>
      </c>
      <c r="O1094" t="n">
        <v>28.57142857142857</v>
      </c>
    </row>
    <row r="1095" hidden="1">
      <c r="A1095" s="11" t="n">
        <v>46035</v>
      </c>
      <c r="B1095" t="inlineStr">
        <is>
          <t>Davylla Rodrigues Freitas Silva</t>
        </is>
      </c>
      <c r="C1095" t="inlineStr">
        <is>
          <t>Técnico III</t>
        </is>
      </c>
      <c r="D1095" t="n">
        <v>29</v>
      </c>
      <c r="E1095" t="n">
        <v>29</v>
      </c>
      <c r="F1095" t="n">
        <v>23.57</v>
      </c>
      <c r="G1095" t="n">
        <v>0</v>
      </c>
      <c r="H1095" t="n">
        <v>0</v>
      </c>
      <c r="I1095" s="3" t="n">
        <v>0</v>
      </c>
      <c r="J1095" s="3" t="n">
        <v>0</v>
      </c>
      <c r="K1095" s="3" t="n">
        <v>0</v>
      </c>
      <c r="L1095" s="3">
        <f>IF(K1095&lt;-5,"CRÍTICO",IF(K1095&lt;0,"ATENÇÃO",IF(K1095&lt;=5,"BOM","EXCELENTE")))</f>
        <v/>
      </c>
      <c r="M1095" t="n">
        <v>29</v>
      </c>
      <c r="N1095" t="n">
        <v>100</v>
      </c>
      <c r="O1095" t="n">
        <v>45.83333333333333</v>
      </c>
    </row>
    <row r="1096" hidden="1">
      <c r="A1096" s="11" t="n">
        <v>46035</v>
      </c>
      <c r="B1096" t="inlineStr">
        <is>
          <t>Emilly Caylane Costa</t>
        </is>
      </c>
      <c r="C1096" t="inlineStr">
        <is>
          <t>Estágio</t>
        </is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s="3" t="n">
        <v>0</v>
      </c>
      <c r="J1096" s="3" t="n">
        <v>0</v>
      </c>
      <c r="K1096" s="3" t="n">
        <v>0</v>
      </c>
      <c r="L1096" s="3">
        <f>IF(K1096&lt;-5,"CRÍTICO",IF(K1096&lt;0,"ATENÇÃO",IF(K1096&lt;=5,"BOM","EXCELENTE")))</f>
        <v/>
      </c>
      <c r="M1096" t="n">
        <v>0</v>
      </c>
      <c r="N1096" t="n">
        <v>0</v>
      </c>
      <c r="O1096" t="n">
        <v>0</v>
      </c>
    </row>
    <row r="1097" hidden="1">
      <c r="A1097" s="11" t="n">
        <v>46035</v>
      </c>
      <c r="B1097" t="inlineStr">
        <is>
          <t>Emilly Kamilly Medeiros Miranda</t>
        </is>
      </c>
      <c r="C1097" t="inlineStr">
        <is>
          <t>Técnico II</t>
        </is>
      </c>
      <c r="D1097" t="n">
        <v>39</v>
      </c>
      <c r="E1097" t="n">
        <v>35</v>
      </c>
      <c r="F1097" t="n">
        <v>17.18</v>
      </c>
      <c r="G1097" t="n">
        <v>0</v>
      </c>
      <c r="H1097" t="n">
        <v>0</v>
      </c>
      <c r="I1097" s="3">
        <f>E1097+G1097+H1097</f>
        <v/>
      </c>
      <c r="J1097" s="3">
        <f>ROUND(MIN(IF(C1097="Técnico III",35,IF(C1097="Técnico II",28,IF(C1097="Técnico I",23,IF(C1097="JR",20,IF(C1097="Estágio",10,0))))),IF(C1097="Técnico III",SUMIFS($D:$D,$A:$A,$A1097,$B:$B,"&lt;&gt;Patrícia Karla de Sousa Araújo",$B:$B,"&lt;&gt;Lorena Dias de Araujo",$B:$B,"&lt;&gt;Lucas Luiz Romero")*(35/1083),IF(C1097="Técnico II",SUMIFS($D:$D,$A:$A,$A1097,$B:$B,"&lt;&gt;Patrícia Karla de Sousa Araújo",$B:$B,"&lt;&gt;Lorena Dias de Araujo",$B:$B,"&lt;&gt;Lucas Luiz Romero")*(28/1083),IF(C1097="Técnico I",SUMIFS($D:$D,$A:$A,$A1097,$B:$B,"&lt;&gt;Patrícia Karla de Sousa Araújo",$B:$B,"&lt;&gt;Lorena Dias de Araujo",$B:$B,"&lt;&gt;Lucas Luiz Romero")*(23/1083),IF(C1097="JR",SUMIFS($D:$D,$A:$A,$A1097,$B:$B,"&lt;&gt;Patrícia Karla de Sousa Araújo",$B:$B,"&lt;&gt;Lorena Dias de Araujo",$B:$B,"&lt;&gt;Lucas Luiz Romero")*(20/1083),IF(C1097="Estágio",SUMIFS($D:$D,$A:$A,$A1097,$B:$B,"&lt;&gt;Patrícia Karla de Sousa Araújo",$B:$B,"&lt;&gt;Lorena Dias de Araujo",$B:$B,"&lt;&gt;Lucas Luiz Romero")*(10/1083),0)))))),0)</f>
        <v/>
      </c>
      <c r="K1097" s="3">
        <f>I1097-J1097</f>
        <v/>
      </c>
      <c r="L1097" s="3">
        <f>IF(K1097&lt;-5,"CRÍTICO",IF(K1097&lt;0,"ATENÇÃO",IF(K1097&lt;=5,"BOM","EXCELENTE")))</f>
        <v/>
      </c>
      <c r="M1097" t="n">
        <v>32</v>
      </c>
      <c r="N1097" t="n">
        <v>100</v>
      </c>
      <c r="O1097" t="n">
        <v>28.30188679245283</v>
      </c>
    </row>
    <row r="1098" hidden="1">
      <c r="A1098" s="11" t="n">
        <v>46035</v>
      </c>
      <c r="B1098" t="inlineStr">
        <is>
          <t>Francielson de Oliveira</t>
        </is>
      </c>
      <c r="C1098" t="inlineStr">
        <is>
          <t>Técnico III</t>
        </is>
      </c>
      <c r="D1098" t="n">
        <v>22</v>
      </c>
      <c r="E1098" t="n">
        <v>21</v>
      </c>
      <c r="F1098" t="n">
        <v>18.4</v>
      </c>
      <c r="G1098" t="n">
        <v>0</v>
      </c>
      <c r="H1098" t="n">
        <v>0</v>
      </c>
      <c r="I1098" s="3">
        <f>E1098+G1098+H1098</f>
        <v/>
      </c>
      <c r="J1098" s="3">
        <f>ROUND(MIN(IF(C1098="Técnico III",35,IF(C1098="Técnico II",28,IF(C1098="Técnico I",23,IF(C1098="JR",20,IF(C1098="Estágio",10,0))))),IF(C1098="Técnico III",SUMIFS($D:$D,$A:$A,$A1098,$B:$B,"&lt;&gt;Patrícia Karla de Sousa Araújo",$B:$B,"&lt;&gt;Lorena Dias de Araujo",$B:$B,"&lt;&gt;Lucas Luiz Romero")*(35/1083),IF(C1098="Técnico II",SUMIFS($D:$D,$A:$A,$A1098,$B:$B,"&lt;&gt;Patrícia Karla de Sousa Araújo",$B:$B,"&lt;&gt;Lorena Dias de Araujo",$B:$B,"&lt;&gt;Lucas Luiz Romero")*(28/1083),IF(C1098="Técnico I",SUMIFS($D:$D,$A:$A,$A1098,$B:$B,"&lt;&gt;Patrícia Karla de Sousa Araújo",$B:$B,"&lt;&gt;Lorena Dias de Araujo",$B:$B,"&lt;&gt;Lucas Luiz Romero")*(23/1083),IF(C1098="JR",SUMIFS($D:$D,$A:$A,$A1098,$B:$B,"&lt;&gt;Patrícia Karla de Sousa Araújo",$B:$B,"&lt;&gt;Lorena Dias de Araujo",$B:$B,"&lt;&gt;Lucas Luiz Romero")*(20/1083),IF(C1098="Estágio",SUMIFS($D:$D,$A:$A,$A1098,$B:$B,"&lt;&gt;Patrícia Karla de Sousa Araújo",$B:$B,"&lt;&gt;Lorena Dias de Araujo",$B:$B,"&lt;&gt;Lucas Luiz Romero")*(10/1083),0)))))),0)</f>
        <v/>
      </c>
      <c r="K1098" s="3">
        <f>I1098-J1098</f>
        <v/>
      </c>
      <c r="L1098" s="3">
        <f>IF(K1098&lt;-5,"CRÍTICO",IF(K1098&lt;0,"ATENÇÃO",IF(K1098&lt;=5,"BOM","EXCELENTE")))</f>
        <v/>
      </c>
      <c r="M1098" t="n">
        <v>19</v>
      </c>
      <c r="N1098" t="n">
        <v>100</v>
      </c>
      <c r="O1098" t="n">
        <v>30.67484662576687</v>
      </c>
    </row>
    <row r="1099" hidden="1">
      <c r="A1099" s="11" t="n">
        <v>46035</v>
      </c>
      <c r="B1099" t="inlineStr">
        <is>
          <t>Francilene Ferreira de Jesus</t>
        </is>
      </c>
      <c r="C1099" t="inlineStr">
        <is>
          <t>Técnico II</t>
        </is>
      </c>
      <c r="D1099" t="n">
        <v>31</v>
      </c>
      <c r="E1099" t="n">
        <v>30</v>
      </c>
      <c r="F1099" t="n">
        <v>22.04</v>
      </c>
      <c r="G1099" t="n">
        <v>0</v>
      </c>
      <c r="H1099" t="n">
        <v>0</v>
      </c>
      <c r="I1099" s="3">
        <f>E1099+G1099+H1099</f>
        <v/>
      </c>
      <c r="J1099" s="3">
        <f>ROUND(MIN(IF(C1099="Técnico III",35,IF(C1099="Técnico II",28,IF(C1099="Técnico I",23,IF(C1099="JR",20,IF(C1099="Estágio",10,0))))),IF(C1099="Técnico III",SUMIFS($D:$D,$A:$A,$A1099,$B:$B,"&lt;&gt;Patrícia Karla de Sousa Araújo",$B:$B,"&lt;&gt;Lorena Dias de Araujo",$B:$B,"&lt;&gt;Lucas Luiz Romero")*(35/1083),IF(C1099="Técnico II",SUMIFS($D:$D,$A:$A,$A1099,$B:$B,"&lt;&gt;Patrícia Karla de Sousa Araújo",$B:$B,"&lt;&gt;Lorena Dias de Araujo",$B:$B,"&lt;&gt;Lucas Luiz Romero")*(28/1083),IF(C1099="Técnico I",SUMIFS($D:$D,$A:$A,$A1099,$B:$B,"&lt;&gt;Patrícia Karla de Sousa Araújo",$B:$B,"&lt;&gt;Lorena Dias de Araujo",$B:$B,"&lt;&gt;Lucas Luiz Romero")*(23/1083),IF(C1099="JR",SUMIFS($D:$D,$A:$A,$A1099,$B:$B,"&lt;&gt;Patrícia Karla de Sousa Araújo",$B:$B,"&lt;&gt;Lorena Dias de Araujo",$B:$B,"&lt;&gt;Lucas Luiz Romero")*(20/1083),IF(C1099="Estágio",SUMIFS($D:$D,$A:$A,$A1099,$B:$B,"&lt;&gt;Patrícia Karla de Sousa Araújo",$B:$B,"&lt;&gt;Lorena Dias de Araujo",$B:$B,"&lt;&gt;Lucas Luiz Romero")*(10/1083),0)))))),0)</f>
        <v/>
      </c>
      <c r="K1099" s="3">
        <f>I1099-J1099</f>
        <v/>
      </c>
      <c r="L1099" s="3">
        <f>IF(K1099&lt;-5,"CRÍTICO",IF(K1099&lt;0,"ATENÇÃO",IF(K1099&lt;=5,"BOM","EXCELENTE")))</f>
        <v/>
      </c>
      <c r="M1099" t="n">
        <v>25</v>
      </c>
      <c r="N1099" t="n">
        <v>100</v>
      </c>
      <c r="O1099" t="n">
        <v>33.9622641509434</v>
      </c>
    </row>
    <row r="1100" hidden="1">
      <c r="A1100" s="11" t="n">
        <v>46069</v>
      </c>
      <c r="B1100" t="inlineStr">
        <is>
          <t>Gabriel Gomes de Andrade</t>
        </is>
      </c>
      <c r="C1100" t="inlineStr">
        <is>
          <t>Técnico I</t>
        </is>
      </c>
      <c r="D1100" t="n">
        <v>6</v>
      </c>
      <c r="E1100" t="n">
        <v>5</v>
      </c>
      <c r="F1100" t="n">
        <v>27.03</v>
      </c>
      <c r="G1100" t="n">
        <v>0</v>
      </c>
      <c r="H1100" t="n">
        <v>0</v>
      </c>
      <c r="I1100" s="3">
        <f>E1100+G1100+H1100</f>
        <v/>
      </c>
      <c r="J1100" s="3">
        <f>ROUND(MIN(IF(C1100="Técnico III",35,IF(C1100="Técnico II",28,IF(C1100="Técnico I",23,IF(C1100="JR",20,IF(C1100="Estágio",10,0))))),IF(C1100="Técnico III",SUMIFS($D:$D,$A:$A,$A1100,$B:$B,"&lt;&gt;Patrícia Karla de Sousa Araújo",$B:$B,"&lt;&gt;Lorena Dias de Araujo",$B:$B,"&lt;&gt;Lucas Luiz Romero")*(35/1083),IF(C1100="Técnico II",SUMIFS($D:$D,$A:$A,$A1100,$B:$B,"&lt;&gt;Patrícia Karla de Sousa Araújo",$B:$B,"&lt;&gt;Lorena Dias de Araujo",$B:$B,"&lt;&gt;Lucas Luiz Romero")*(28/1083),IF(C1100="Técnico I",SUMIFS($D:$D,$A:$A,$A1100,$B:$B,"&lt;&gt;Patrícia Karla de Sousa Araújo",$B:$B,"&lt;&gt;Lorena Dias de Araujo",$B:$B,"&lt;&gt;Lucas Luiz Romero")*(23/1083),IF(C1100="JR",SUMIFS($D:$D,$A:$A,$A1100,$B:$B,"&lt;&gt;Patrícia Karla de Sousa Araújo",$B:$B,"&lt;&gt;Lorena Dias de Araujo",$B:$B,"&lt;&gt;Lucas Luiz Romero")*(20/1083),IF(C1100="Estágio",SUMIFS($D:$D,$A:$A,$A1100,$B:$B,"&lt;&gt;Patrícia Karla de Sousa Araújo",$B:$B,"&lt;&gt;Lorena Dias de Araujo",$B:$B,"&lt;&gt;Lucas Luiz Romero")*(10/1083),0)))))),0)</f>
        <v/>
      </c>
      <c r="K1100" s="3">
        <f>I1100-J1100</f>
        <v/>
      </c>
      <c r="L1100" s="3">
        <f>IF(K1100&lt;-5,"CRÍTICO",IF(K1100&lt;0,"ATENÇÃO",IF(K1100&lt;=5,"BOM","EXCELENTE")))</f>
        <v/>
      </c>
      <c r="M1100" t="n">
        <v>5</v>
      </c>
      <c r="N1100" t="n">
        <v>93.65000000000001</v>
      </c>
      <c r="O1100" t="n">
        <v>32.91666666666666</v>
      </c>
    </row>
    <row r="1101" hidden="1">
      <c r="A1101" s="11" t="n">
        <v>46035</v>
      </c>
      <c r="B1101" t="inlineStr">
        <is>
          <t>Isabella Borges de Oliveira</t>
        </is>
      </c>
      <c r="C1101" t="inlineStr">
        <is>
          <t>Técnico II</t>
        </is>
      </c>
      <c r="D1101" t="n">
        <v>32</v>
      </c>
      <c r="E1101" t="n">
        <v>32</v>
      </c>
      <c r="F1101" t="n">
        <v>20.41</v>
      </c>
      <c r="G1101" t="n">
        <v>0</v>
      </c>
      <c r="H1101" t="n">
        <v>0</v>
      </c>
      <c r="I1101" s="3">
        <f>E1101+G1101+H1101</f>
        <v/>
      </c>
      <c r="J1101" s="3">
        <f>ROUND(MIN(IF(C1101="Técnico III",35,IF(C1101="Técnico II",28,IF(C1101="Técnico I",23,IF(C1101="JR",20,IF(C1101="Estágio",10,0))))),IF(C1101="Técnico III",SUMIFS($D:$D,$A:$A,$A1101,$B:$B,"&lt;&gt;Patrícia Karla de Sousa Araújo",$B:$B,"&lt;&gt;Lorena Dias de Araujo",$B:$B,"&lt;&gt;Lucas Luiz Romero")*(35/1083),IF(C1101="Técnico II",SUMIFS($D:$D,$A:$A,$A1101,$B:$B,"&lt;&gt;Patrícia Karla de Sousa Araújo",$B:$B,"&lt;&gt;Lorena Dias de Araujo",$B:$B,"&lt;&gt;Lucas Luiz Romero")*(28/1083),IF(C1101="Técnico I",SUMIFS($D:$D,$A:$A,$A1101,$B:$B,"&lt;&gt;Patrícia Karla de Sousa Araújo",$B:$B,"&lt;&gt;Lorena Dias de Araujo",$B:$B,"&lt;&gt;Lucas Luiz Romero")*(23/1083),IF(C1101="JR",SUMIFS($D:$D,$A:$A,$A1101,$B:$B,"&lt;&gt;Patrícia Karla de Sousa Araújo",$B:$B,"&lt;&gt;Lorena Dias de Araujo",$B:$B,"&lt;&gt;Lucas Luiz Romero")*(20/1083),IF(C1101="Estágio",SUMIFS($D:$D,$A:$A,$A1101,$B:$B,"&lt;&gt;Patrícia Karla de Sousa Araújo",$B:$B,"&lt;&gt;Lorena Dias de Araujo",$B:$B,"&lt;&gt;Lucas Luiz Romero")*(10/1083),0)))))),0)</f>
        <v/>
      </c>
      <c r="K1101" s="3">
        <f>I1101-J1101</f>
        <v/>
      </c>
      <c r="L1101" s="3">
        <f>IF(K1101&lt;-5,"CRÍTICO",IF(K1101&lt;0,"ATENÇÃO",IF(K1101&lt;=5,"BOM","EXCELENTE")))</f>
        <v/>
      </c>
      <c r="M1101" t="n">
        <v>29</v>
      </c>
      <c r="N1101" t="n">
        <v>100</v>
      </c>
      <c r="O1101" t="n">
        <v>30</v>
      </c>
    </row>
    <row r="1102" hidden="1">
      <c r="A1102" s="11" t="n">
        <v>46035</v>
      </c>
      <c r="B1102" t="inlineStr">
        <is>
          <t>Janaina Lima dos Reis Urany</t>
        </is>
      </c>
      <c r="C1102" t="inlineStr">
        <is>
          <t>Técnico III</t>
        </is>
      </c>
      <c r="D1102" t="n">
        <v>47</v>
      </c>
      <c r="E1102" t="n">
        <v>44</v>
      </c>
      <c r="F1102" t="n">
        <v>15.07</v>
      </c>
      <c r="G1102" t="n">
        <v>0</v>
      </c>
      <c r="H1102" t="n">
        <v>0</v>
      </c>
      <c r="I1102" s="3">
        <f>E1102+G1102+H1102</f>
        <v/>
      </c>
      <c r="J1102" s="3">
        <f>ROUND(MIN(IF(C1102="Técnico III",35,IF(C1102="Técnico II",28,IF(C1102="Técnico I",23,IF(C1102="JR",20,IF(C1102="Estágio",10,0))))),IF(C1102="Técnico III",SUMIFS($D:$D,$A:$A,$A1102,$B:$B,"&lt;&gt;Patrícia Karla de Sousa Araújo",$B:$B,"&lt;&gt;Lorena Dias de Araujo",$B:$B,"&lt;&gt;Lucas Luiz Romero")*(35/1083),IF(C1102="Técnico II",SUMIFS($D:$D,$A:$A,$A1102,$B:$B,"&lt;&gt;Patrícia Karla de Sousa Araújo",$B:$B,"&lt;&gt;Lorena Dias de Araujo",$B:$B,"&lt;&gt;Lucas Luiz Romero")*(28/1083),IF(C1102="Técnico I",SUMIFS($D:$D,$A:$A,$A1102,$B:$B,"&lt;&gt;Patrícia Karla de Sousa Araújo",$B:$B,"&lt;&gt;Lorena Dias de Araujo",$B:$B,"&lt;&gt;Lucas Luiz Romero")*(23/1083),IF(C1102="JR",SUMIFS($D:$D,$A:$A,$A1102,$B:$B,"&lt;&gt;Patrícia Karla de Sousa Araújo",$B:$B,"&lt;&gt;Lorena Dias de Araujo",$B:$B,"&lt;&gt;Lucas Luiz Romero")*(20/1083),IF(C1102="Estágio",SUMIFS($D:$D,$A:$A,$A1102,$B:$B,"&lt;&gt;Patrícia Karla de Sousa Araújo",$B:$B,"&lt;&gt;Lorena Dias de Araujo",$B:$B,"&lt;&gt;Lucas Luiz Romero")*(10/1083),0)))))),0)</f>
        <v/>
      </c>
      <c r="K1102" s="3">
        <f>I1102-J1102</f>
        <v/>
      </c>
      <c r="L1102" s="3">
        <f>IF(K1102&lt;-5,"CRÍTICO",IF(K1102&lt;0,"ATENÇÃO",IF(K1102&lt;=5,"BOM","EXCELENTE")))</f>
        <v/>
      </c>
      <c r="M1102" t="n">
        <v>43</v>
      </c>
      <c r="N1102" t="n">
        <v>100</v>
      </c>
      <c r="O1102" t="n">
        <v>31.13207547169811</v>
      </c>
    </row>
    <row r="1103" hidden="1">
      <c r="A1103" s="11" t="n">
        <v>46035</v>
      </c>
      <c r="B1103" t="inlineStr">
        <is>
          <t>Jaqueline Evangelista da Silva Martins</t>
        </is>
      </c>
      <c r="C1103" t="inlineStr">
        <is>
          <t>Técnico III</t>
        </is>
      </c>
      <c r="D1103" t="n">
        <v>21</v>
      </c>
      <c r="E1103" t="n">
        <v>20</v>
      </c>
      <c r="F1103" t="n">
        <v>13.52</v>
      </c>
      <c r="G1103" t="n">
        <v>0</v>
      </c>
      <c r="H1103" t="n">
        <v>0</v>
      </c>
      <c r="I1103" s="3">
        <f>E1103+G1103+H1103</f>
        <v/>
      </c>
      <c r="J1103" s="3">
        <f>ROUND(MIN(IF(C1103="Técnico III",35,IF(C1103="Técnico II",28,IF(C1103="Técnico I",23,IF(C1103="JR",20,IF(C1103="Estágio",10,0))))),IF(C1103="Técnico III",SUMIFS($D:$D,$A:$A,$A1103,$B:$B,"&lt;&gt;Patrícia Karla de Sousa Araújo",$B:$B,"&lt;&gt;Lorena Dias de Araujo",$B:$B,"&lt;&gt;Lucas Luiz Romero")*(35/1083),IF(C1103="Técnico II",SUMIFS($D:$D,$A:$A,$A1103,$B:$B,"&lt;&gt;Patrícia Karla de Sousa Araújo",$B:$B,"&lt;&gt;Lorena Dias de Araujo",$B:$B,"&lt;&gt;Lucas Luiz Romero")*(28/1083),IF(C1103="Técnico I",SUMIFS($D:$D,$A:$A,$A1103,$B:$B,"&lt;&gt;Patrícia Karla de Sousa Araújo",$B:$B,"&lt;&gt;Lorena Dias de Araujo",$B:$B,"&lt;&gt;Lucas Luiz Romero")*(23/1083),IF(C1103="JR",SUMIFS($D:$D,$A:$A,$A1103,$B:$B,"&lt;&gt;Patrícia Karla de Sousa Araújo",$B:$B,"&lt;&gt;Lorena Dias de Araujo",$B:$B,"&lt;&gt;Lucas Luiz Romero")*(20/1083),IF(C1103="Estágio",SUMIFS($D:$D,$A:$A,$A1103,$B:$B,"&lt;&gt;Patrícia Karla de Sousa Araújo",$B:$B,"&lt;&gt;Lorena Dias de Araujo",$B:$B,"&lt;&gt;Lucas Luiz Romero")*(10/1083),0)))))),0)</f>
        <v/>
      </c>
      <c r="K1103" s="3">
        <f>I1103-J1103</f>
        <v/>
      </c>
      <c r="L1103" s="3">
        <f>IF(K1103&lt;-5,"CRÍTICO",IF(K1103&lt;0,"ATENÇÃO",IF(K1103&lt;=5,"BOM","EXCELENTE")))</f>
        <v/>
      </c>
      <c r="M1103" t="n">
        <v>18</v>
      </c>
      <c r="N1103" t="n">
        <v>100</v>
      </c>
      <c r="O1103" t="n">
        <v>28.77697841726619</v>
      </c>
    </row>
    <row r="1104" hidden="1">
      <c r="A1104" s="11" t="n">
        <v>46035</v>
      </c>
      <c r="B1104" t="inlineStr">
        <is>
          <t>Jessica Faria da Silveira</t>
        </is>
      </c>
      <c r="C1104" t="inlineStr">
        <is>
          <t>Técnico II</t>
        </is>
      </c>
      <c r="D1104" t="n">
        <v>28</v>
      </c>
      <c r="E1104" t="n">
        <v>21</v>
      </c>
      <c r="F1104" t="n">
        <v>10.59</v>
      </c>
      <c r="G1104" t="n">
        <v>0</v>
      </c>
      <c r="H1104" t="n">
        <v>0</v>
      </c>
      <c r="I1104" s="3">
        <f>E1104+G1104+H1104</f>
        <v/>
      </c>
      <c r="J1104" s="3">
        <f>ROUND(MIN(IF(C1104="Técnico III",35,IF(C1104="Técnico II",28,IF(C1104="Técnico I",23,IF(C1104="JR",20,IF(C1104="Estágio",10,0))))),IF(C1104="Técnico III",SUMIFS($D:$D,$A:$A,$A1104,$B:$B,"&lt;&gt;Patrícia Karla de Sousa Araújo",$B:$B,"&lt;&gt;Lorena Dias de Araujo",$B:$B,"&lt;&gt;Lucas Luiz Romero")*(35/1083),IF(C1104="Técnico II",SUMIFS($D:$D,$A:$A,$A1104,$B:$B,"&lt;&gt;Patrícia Karla de Sousa Araújo",$B:$B,"&lt;&gt;Lorena Dias de Araujo",$B:$B,"&lt;&gt;Lucas Luiz Romero")*(28/1083),IF(C1104="Técnico I",SUMIFS($D:$D,$A:$A,$A1104,$B:$B,"&lt;&gt;Patrícia Karla de Sousa Araújo",$B:$B,"&lt;&gt;Lorena Dias de Araujo",$B:$B,"&lt;&gt;Lucas Luiz Romero")*(23/1083),IF(C1104="JR",SUMIFS($D:$D,$A:$A,$A1104,$B:$B,"&lt;&gt;Patrícia Karla de Sousa Araújo",$B:$B,"&lt;&gt;Lorena Dias de Araujo",$B:$B,"&lt;&gt;Lucas Luiz Romero")*(20/1083),IF(C1104="Estágio",SUMIFS($D:$D,$A:$A,$A1104,$B:$B,"&lt;&gt;Patrícia Karla de Sousa Araújo",$B:$B,"&lt;&gt;Lorena Dias de Araujo",$B:$B,"&lt;&gt;Lucas Luiz Romero")*(10/1083),0)))))),0)</f>
        <v/>
      </c>
      <c r="K1104" s="3">
        <f>I1104-J1104</f>
        <v/>
      </c>
      <c r="L1104" s="3">
        <f>IF(K1104&lt;-5,"CRÍTICO",IF(K1104&lt;0,"ATENÇÃO",IF(K1104&lt;=5,"BOM","EXCELENTE")))</f>
        <v/>
      </c>
      <c r="M1104" t="n">
        <v>21</v>
      </c>
      <c r="N1104" t="n">
        <v>94.29000000000001</v>
      </c>
      <c r="O1104" t="n">
        <v>24.73118279569892</v>
      </c>
    </row>
    <row r="1105" hidden="1">
      <c r="A1105" s="11" t="n">
        <v>46035</v>
      </c>
      <c r="B1105" t="inlineStr">
        <is>
          <t>Jéssica Fé Moura</t>
        </is>
      </c>
      <c r="C1105" t="inlineStr">
        <is>
          <t>Técnico III</t>
        </is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s="3" t="n">
        <v>0</v>
      </c>
      <c r="J1105" s="3" t="n">
        <v>0</v>
      </c>
      <c r="K1105" s="3" t="n">
        <v>0</v>
      </c>
      <c r="L1105" s="3">
        <f>IF(K1105&lt;-5,"CRÍTICO",IF(K1105&lt;0,"ATENÇÃO",IF(K1105&lt;=5,"BOM","EXCELENTE")))</f>
        <v/>
      </c>
      <c r="M1105" t="n">
        <v>13</v>
      </c>
      <c r="N1105" t="n">
        <v>100</v>
      </c>
      <c r="O1105" t="n">
        <v>34.75177304964539</v>
      </c>
    </row>
    <row r="1106" hidden="1">
      <c r="A1106" s="11" t="n">
        <v>46035</v>
      </c>
      <c r="B1106" t="inlineStr">
        <is>
          <t>Karina Gonçalves Martins</t>
        </is>
      </c>
      <c r="C1106" t="inlineStr">
        <is>
          <t>JR</t>
        </is>
      </c>
      <c r="D1106" t="n">
        <v>5</v>
      </c>
      <c r="E1106" t="n">
        <v>5</v>
      </c>
      <c r="F1106" t="n">
        <v>55.15</v>
      </c>
      <c r="G1106" t="n">
        <v>0</v>
      </c>
      <c r="H1106" t="n">
        <v>0</v>
      </c>
      <c r="I1106" s="3">
        <f>E1106+G1106+H1106</f>
        <v/>
      </c>
      <c r="J1106" s="3">
        <f>ROUND(MIN(IF(C1106="Técnico III",35,IF(C1106="Técnico II",28,IF(C1106="Técnico I",23,IF(C1106="JR",20,IF(C1106="Estágio",10,0))))),IF(C1106="Técnico III",SUMIFS($D:$D,$A:$A,$A1106,$B:$B,"&lt;&gt;Patrícia Karla de Sousa Araújo",$B:$B,"&lt;&gt;Lorena Dias de Araujo",$B:$B,"&lt;&gt;Lucas Luiz Romero")*(35/1083),IF(C1106="Técnico II",SUMIFS($D:$D,$A:$A,$A1106,$B:$B,"&lt;&gt;Patrícia Karla de Sousa Araújo",$B:$B,"&lt;&gt;Lorena Dias de Araujo",$B:$B,"&lt;&gt;Lucas Luiz Romero")*(28/1083),IF(C1106="Técnico I",SUMIFS($D:$D,$A:$A,$A1106,$B:$B,"&lt;&gt;Patrícia Karla de Sousa Araújo",$B:$B,"&lt;&gt;Lorena Dias de Araujo",$B:$B,"&lt;&gt;Lucas Luiz Romero")*(23/1083),IF(C1106="JR",SUMIFS($D:$D,$A:$A,$A1106,$B:$B,"&lt;&gt;Patrícia Karla de Sousa Araújo",$B:$B,"&lt;&gt;Lorena Dias de Araujo",$B:$B,"&lt;&gt;Lucas Luiz Romero")*(20/1083),IF(C1106="Estágio",SUMIFS($D:$D,$A:$A,$A1106,$B:$B,"&lt;&gt;Patrícia Karla de Sousa Araújo",$B:$B,"&lt;&gt;Lorena Dias de Araujo",$B:$B,"&lt;&gt;Lucas Luiz Romero")*(10/1083),0)))))),0)</f>
        <v/>
      </c>
      <c r="K1106" s="3">
        <f>I1106-J1106</f>
        <v/>
      </c>
      <c r="L1106" s="3">
        <f>IF(K1106&lt;-5,"CRÍTICO",IF(K1106&lt;0,"ATENÇÃO",IF(K1106&lt;=5,"BOM","EXCELENTE")))</f>
        <v/>
      </c>
      <c r="M1106" t="n">
        <v>5</v>
      </c>
      <c r="N1106" t="n">
        <v>100</v>
      </c>
      <c r="O1106" t="n">
        <v>33.33333333333333</v>
      </c>
    </row>
    <row r="1107" hidden="1">
      <c r="A1107" s="11" t="n">
        <v>46035</v>
      </c>
      <c r="B1107" t="inlineStr">
        <is>
          <t>Kerollen Cristielly de Jesus Siqueira</t>
        </is>
      </c>
      <c r="C1107" t="inlineStr">
        <is>
          <t>Técnico III</t>
        </is>
      </c>
      <c r="D1107" t="n">
        <v>23</v>
      </c>
      <c r="E1107" t="n">
        <v>23</v>
      </c>
      <c r="F1107" t="n">
        <v>22.39</v>
      </c>
      <c r="G1107" t="n">
        <v>0</v>
      </c>
      <c r="H1107" t="n">
        <v>0</v>
      </c>
      <c r="I1107" s="3">
        <f>E1107+G1107+H1107</f>
        <v/>
      </c>
      <c r="J1107" s="3">
        <f>ROUND(MIN(IF(C1107="Técnico III",35,IF(C1107="Técnico II",28,IF(C1107="Técnico I",23,IF(C1107="JR",20,IF(C1107="Estágio",10,0))))),IF(C1107="Técnico III",SUMIFS($D:$D,$A:$A,$A1107,$B:$B,"&lt;&gt;Patrícia Karla de Sousa Araújo",$B:$B,"&lt;&gt;Lorena Dias de Araujo",$B:$B,"&lt;&gt;Lucas Luiz Romero")*(35/1083),IF(C1107="Técnico II",SUMIFS($D:$D,$A:$A,$A1107,$B:$B,"&lt;&gt;Patrícia Karla de Sousa Araújo",$B:$B,"&lt;&gt;Lorena Dias de Araujo",$B:$B,"&lt;&gt;Lucas Luiz Romero")*(28/1083),IF(C1107="Técnico I",SUMIFS($D:$D,$A:$A,$A1107,$B:$B,"&lt;&gt;Patrícia Karla de Sousa Araújo",$B:$B,"&lt;&gt;Lorena Dias de Araujo",$B:$B,"&lt;&gt;Lucas Luiz Romero")*(23/1083),IF(C1107="JR",SUMIFS($D:$D,$A:$A,$A1107,$B:$B,"&lt;&gt;Patrícia Karla de Sousa Araújo",$B:$B,"&lt;&gt;Lorena Dias de Araujo",$B:$B,"&lt;&gt;Lucas Luiz Romero")*(20/1083),IF(C1107="Estágio",SUMIFS($D:$D,$A:$A,$A1107,$B:$B,"&lt;&gt;Patrícia Karla de Sousa Araújo",$B:$B,"&lt;&gt;Lorena Dias de Araujo",$B:$B,"&lt;&gt;Lucas Luiz Romero")*(10/1083),0)))))),0)</f>
        <v/>
      </c>
      <c r="K1107" s="3">
        <f>I1107-J1107</f>
        <v/>
      </c>
      <c r="L1107" s="3">
        <f>IF(K1107&lt;-5,"CRÍTICO",IF(K1107&lt;0,"ATENÇÃO",IF(K1107&lt;=5,"BOM","EXCELENTE")))</f>
        <v/>
      </c>
      <c r="M1107" t="n">
        <v>18</v>
      </c>
      <c r="N1107" t="n">
        <v>97.26000000000001</v>
      </c>
      <c r="O1107" t="n">
        <v>46.82080924855491</v>
      </c>
    </row>
    <row r="1108" hidden="1">
      <c r="A1108" s="11" t="n">
        <v>46035</v>
      </c>
      <c r="B1108" t="inlineStr">
        <is>
          <t>Leandro de Souza Silva</t>
        </is>
      </c>
      <c r="C1108" t="inlineStr">
        <is>
          <t>JR</t>
        </is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s="3" t="n">
        <v>0</v>
      </c>
      <c r="J1108" s="3" t="n">
        <v>0</v>
      </c>
      <c r="K1108" s="3" t="n">
        <v>0</v>
      </c>
      <c r="L1108" s="3">
        <f>IF(K1108&lt;-5,"CRÍTICO",IF(K1108&lt;0,"ATENÇÃO",IF(K1108&lt;=5,"BOM","EXCELENTE")))</f>
        <v/>
      </c>
      <c r="M1108" t="n">
        <v>0</v>
      </c>
      <c r="N1108" t="n">
        <v>0</v>
      </c>
      <c r="O1108" t="n">
        <v>0</v>
      </c>
    </row>
    <row r="1109" hidden="1">
      <c r="A1109" s="11" t="n">
        <v>46035</v>
      </c>
      <c r="B1109" t="inlineStr">
        <is>
          <t>Leandro Oliveira de Sousa</t>
        </is>
      </c>
      <c r="C1109" t="inlineStr">
        <is>
          <t>Técnico III</t>
        </is>
      </c>
      <c r="D1109" t="n">
        <v>26</v>
      </c>
      <c r="E1109" t="n">
        <v>25</v>
      </c>
      <c r="F1109" t="n">
        <v>20.39</v>
      </c>
      <c r="G1109" t="n">
        <v>0</v>
      </c>
      <c r="H1109" t="n">
        <v>0</v>
      </c>
      <c r="I1109" s="3">
        <f>E1109+G1109+H1109</f>
        <v/>
      </c>
      <c r="J1109" s="3">
        <f>ROUND(MIN(IF(C1109="Técnico III",35,IF(C1109="Técnico II",28,IF(C1109="Técnico I",23,IF(C1109="JR",20,IF(C1109="Estágio",10,0))))),IF(C1109="Técnico III",SUMIFS($D:$D,$A:$A,$A1109,$B:$B,"&lt;&gt;Patrícia Karla de Sousa Araújo",$B:$B,"&lt;&gt;Lorena Dias de Araujo",$B:$B,"&lt;&gt;Lucas Luiz Romero")*(35/1083),IF(C1109="Técnico II",SUMIFS($D:$D,$A:$A,$A1109,$B:$B,"&lt;&gt;Patrícia Karla de Sousa Araújo",$B:$B,"&lt;&gt;Lorena Dias de Araujo",$B:$B,"&lt;&gt;Lucas Luiz Romero")*(28/1083),IF(C1109="Técnico I",SUMIFS($D:$D,$A:$A,$A1109,$B:$B,"&lt;&gt;Patrícia Karla de Sousa Araújo",$B:$B,"&lt;&gt;Lorena Dias de Araujo",$B:$B,"&lt;&gt;Lucas Luiz Romero")*(23/1083),IF(C1109="JR",SUMIFS($D:$D,$A:$A,$A1109,$B:$B,"&lt;&gt;Patrícia Karla de Sousa Araújo",$B:$B,"&lt;&gt;Lorena Dias de Araujo",$B:$B,"&lt;&gt;Lucas Luiz Romero")*(20/1083),IF(C1109="Estágio",SUMIFS($D:$D,$A:$A,$A1109,$B:$B,"&lt;&gt;Patrícia Karla de Sousa Araújo",$B:$B,"&lt;&gt;Lorena Dias de Araujo",$B:$B,"&lt;&gt;Lucas Luiz Romero")*(10/1083),0)))))),0)</f>
        <v/>
      </c>
      <c r="K1109" s="3">
        <f>I1109-J1109</f>
        <v/>
      </c>
      <c r="L1109" s="3">
        <f>IF(K1109&lt;-5,"CRÍTICO",IF(K1109&lt;0,"ATENÇÃO",IF(K1109&lt;=5,"BOM","EXCELENTE")))</f>
        <v/>
      </c>
      <c r="M1109" t="n">
        <v>20</v>
      </c>
      <c r="N1109" t="n">
        <v>100</v>
      </c>
      <c r="O1109" t="n">
        <v>28.5</v>
      </c>
    </row>
    <row r="1110" hidden="1">
      <c r="A1110" s="11" t="n">
        <v>46035</v>
      </c>
      <c r="B1110" t="inlineStr">
        <is>
          <t>Lizandra Gomes Duarte</t>
        </is>
      </c>
      <c r="C1110" t="inlineStr">
        <is>
          <t>Técnico II</t>
        </is>
      </c>
      <c r="D1110" t="n">
        <v>15</v>
      </c>
      <c r="E1110" t="n">
        <v>15</v>
      </c>
      <c r="F1110" t="n">
        <v>18.41</v>
      </c>
      <c r="G1110" t="n">
        <v>0</v>
      </c>
      <c r="H1110" t="n">
        <v>0</v>
      </c>
      <c r="I1110" s="3">
        <f>E1110+G1110+H1110</f>
        <v/>
      </c>
      <c r="J1110" s="3">
        <f>ROUND(MIN(IF(C1110="Técnico III",35,IF(C1110="Técnico II",28,IF(C1110="Técnico I",23,IF(C1110="JR",20,IF(C1110="Estágio",10,0))))),IF(C1110="Técnico III",SUMIFS($D:$D,$A:$A,$A1110,$B:$B,"&lt;&gt;Patrícia Karla de Sousa Araújo",$B:$B,"&lt;&gt;Lorena Dias de Araujo",$B:$B,"&lt;&gt;Lucas Luiz Romero")*(35/1083),IF(C1110="Técnico II",SUMIFS($D:$D,$A:$A,$A1110,$B:$B,"&lt;&gt;Patrícia Karla de Sousa Araújo",$B:$B,"&lt;&gt;Lorena Dias de Araujo",$B:$B,"&lt;&gt;Lucas Luiz Romero")*(28/1083),IF(C1110="Técnico I",SUMIFS($D:$D,$A:$A,$A1110,$B:$B,"&lt;&gt;Patrícia Karla de Sousa Araújo",$B:$B,"&lt;&gt;Lorena Dias de Araujo",$B:$B,"&lt;&gt;Lucas Luiz Romero")*(23/1083),IF(C1110="JR",SUMIFS($D:$D,$A:$A,$A1110,$B:$B,"&lt;&gt;Patrícia Karla de Sousa Araújo",$B:$B,"&lt;&gt;Lorena Dias de Araujo",$B:$B,"&lt;&gt;Lucas Luiz Romero")*(20/1083),IF(C1110="Estágio",SUMIFS($D:$D,$A:$A,$A1110,$B:$B,"&lt;&gt;Patrícia Karla de Sousa Araújo",$B:$B,"&lt;&gt;Lorena Dias de Araujo",$B:$B,"&lt;&gt;Lucas Luiz Romero")*(10/1083),0)))))),0)</f>
        <v/>
      </c>
      <c r="K1110" s="3">
        <f>I1110-J1110</f>
        <v/>
      </c>
      <c r="L1110" s="3">
        <f>IF(K1110&lt;-5,"CRÍTICO",IF(K1110&lt;0,"ATENÇÃO",IF(K1110&lt;=5,"BOM","EXCELENTE")))</f>
        <v/>
      </c>
      <c r="M1110" t="n">
        <v>10</v>
      </c>
      <c r="N1110" t="n">
        <v>100</v>
      </c>
      <c r="O1110" t="n">
        <v>35.71428571428572</v>
      </c>
    </row>
    <row r="1111" hidden="1">
      <c r="A1111" s="11" t="n">
        <v>46035</v>
      </c>
      <c r="B1111" t="inlineStr">
        <is>
          <t>Lorena Dias de Araujo</t>
        </is>
      </c>
      <c r="C1111" t="inlineStr">
        <is>
          <t>Técnico II</t>
        </is>
      </c>
      <c r="D1111" t="n">
        <v>23</v>
      </c>
      <c r="E1111" t="n">
        <v>20</v>
      </c>
      <c r="F1111" t="n">
        <v>20.24</v>
      </c>
      <c r="G1111" t="n">
        <v>0</v>
      </c>
      <c r="H1111" t="n">
        <v>0</v>
      </c>
      <c r="I1111" s="3" t="n">
        <v>0</v>
      </c>
      <c r="J1111" s="3" t="n">
        <v>0</v>
      </c>
      <c r="K1111" s="3" t="n">
        <v>0</v>
      </c>
      <c r="L1111" s="3">
        <f>IF(K1111&lt;-5,"CRÍTICO",IF(K1111&lt;0,"ATENÇÃO",IF(K1111&lt;=5,"BOM","EXCELENTE")))</f>
        <v/>
      </c>
      <c r="M1111" t="n">
        <v>18</v>
      </c>
      <c r="N1111" t="n">
        <v>100</v>
      </c>
      <c r="O1111" t="n">
        <v>29.05405405405405</v>
      </c>
    </row>
    <row r="1112" hidden="1">
      <c r="A1112" s="11" t="n">
        <v>46035</v>
      </c>
      <c r="B1112" t="inlineStr">
        <is>
          <t>Lucas Luiz Romero</t>
        </is>
      </c>
      <c r="C1112" t="inlineStr">
        <is>
          <t>Técnico III</t>
        </is>
      </c>
      <c r="D1112" t="n">
        <v>35</v>
      </c>
      <c r="E1112" t="n">
        <v>29</v>
      </c>
      <c r="F1112" t="n">
        <v>16.43</v>
      </c>
      <c r="G1112" t="n">
        <v>0</v>
      </c>
      <c r="H1112" t="n">
        <v>0</v>
      </c>
      <c r="I1112" s="3">
        <f>E1112+G1112+H1112</f>
        <v/>
      </c>
      <c r="J1112" s="3">
        <f>ROUND(MIN(IF(C1112="Técnico III",35,IF(C1112="Técnico II",28,IF(C1112="Técnico I",23,IF(C1112="JR",20,IF(C1112="Estágio",10,0))))),IF(C1112="Técnico III",SUMIFS($D:$D,$A:$A,$A1112,$B:$B,"&lt;&gt;Patrícia Karla de Sousa Araújo",$B:$B,"&lt;&gt;Lorena Dias de Araujo",$B:$B,"&lt;&gt;Lucas Luiz Romero")*(35/1083),IF(C1112="Técnico II",SUMIFS($D:$D,$A:$A,$A1112,$B:$B,"&lt;&gt;Patrícia Karla de Sousa Araújo",$B:$B,"&lt;&gt;Lorena Dias de Araujo",$B:$B,"&lt;&gt;Lucas Luiz Romero")*(28/1083),IF(C1112="Técnico I",SUMIFS($D:$D,$A:$A,$A1112,$B:$B,"&lt;&gt;Patrícia Karla de Sousa Araújo",$B:$B,"&lt;&gt;Lorena Dias de Araujo",$B:$B,"&lt;&gt;Lucas Luiz Romero")*(23/1083),IF(C1112="JR",SUMIFS($D:$D,$A:$A,$A1112,$B:$B,"&lt;&gt;Patrícia Karla de Sousa Araújo",$B:$B,"&lt;&gt;Lorena Dias de Araujo",$B:$B,"&lt;&gt;Lucas Luiz Romero")*(20/1083),IF(C1112="Estágio",SUMIFS($D:$D,$A:$A,$A1112,$B:$B,"&lt;&gt;Patrícia Karla de Sousa Araújo",$B:$B,"&lt;&gt;Lorena Dias de Araujo",$B:$B,"&lt;&gt;Lucas Luiz Romero")*(10/1083),0)))))),0)</f>
        <v/>
      </c>
      <c r="K1112" s="3">
        <f>I1112-J1112</f>
        <v/>
      </c>
      <c r="L1112" s="3">
        <f>IF(K1112&lt;-5,"CRÍTICO",IF(K1112&lt;0,"ATENÇÃO",IF(K1112&lt;=5,"BOM","EXCELENTE")))</f>
        <v/>
      </c>
      <c r="M1112" t="n">
        <v>18</v>
      </c>
      <c r="N1112" t="n">
        <v>97.37</v>
      </c>
      <c r="O1112" t="n">
        <v>27.61904761904762</v>
      </c>
    </row>
    <row r="1113" hidden="1">
      <c r="A1113" s="11" t="n">
        <v>46035</v>
      </c>
      <c r="B1113" t="inlineStr">
        <is>
          <t>Luiz Fernando de Carvalho Junior</t>
        </is>
      </c>
      <c r="C1113" t="inlineStr">
        <is>
          <t>Técnico I</t>
        </is>
      </c>
      <c r="D1113" t="n">
        <v>14</v>
      </c>
      <c r="E1113" t="n">
        <v>13</v>
      </c>
      <c r="F1113" t="n">
        <v>33.42</v>
      </c>
      <c r="G1113" t="n">
        <v>0</v>
      </c>
      <c r="H1113" t="n">
        <v>0</v>
      </c>
      <c r="I1113" s="3">
        <f>E1113+G1113+H1113</f>
        <v/>
      </c>
      <c r="J1113" s="3">
        <f>ROUND(MIN(IF(C1113="Técnico III",35,IF(C1113="Técnico II",28,IF(C1113="Técnico I",23,IF(C1113="JR",20,IF(C1113="Estágio",10,0))))),IF(C1113="Técnico III",SUMIFS($D:$D,$A:$A,$A1113,$B:$B,"&lt;&gt;Patrícia Karla de Sousa Araújo",$B:$B,"&lt;&gt;Lorena Dias de Araujo",$B:$B,"&lt;&gt;Lucas Luiz Romero")*(35/1083),IF(C1113="Técnico II",SUMIFS($D:$D,$A:$A,$A1113,$B:$B,"&lt;&gt;Patrícia Karla de Sousa Araújo",$B:$B,"&lt;&gt;Lorena Dias de Araujo",$B:$B,"&lt;&gt;Lucas Luiz Romero")*(28/1083),IF(C1113="Técnico I",SUMIFS($D:$D,$A:$A,$A1113,$B:$B,"&lt;&gt;Patrícia Karla de Sousa Araújo",$B:$B,"&lt;&gt;Lorena Dias de Araujo",$B:$B,"&lt;&gt;Lucas Luiz Romero")*(23/1083),IF(C1113="JR",SUMIFS($D:$D,$A:$A,$A1113,$B:$B,"&lt;&gt;Patrícia Karla de Sousa Araújo",$B:$B,"&lt;&gt;Lorena Dias de Araujo",$B:$B,"&lt;&gt;Lucas Luiz Romero")*(20/1083),IF(C1113="Estágio",SUMIFS($D:$D,$A:$A,$A1113,$B:$B,"&lt;&gt;Patrícia Karla de Sousa Araújo",$B:$B,"&lt;&gt;Lorena Dias de Araujo",$B:$B,"&lt;&gt;Lucas Luiz Romero")*(10/1083),0)))))),0)</f>
        <v/>
      </c>
      <c r="K1113" s="3">
        <f>I1113-J1113</f>
        <v/>
      </c>
      <c r="L1113" s="3">
        <f>IF(K1113&lt;-5,"CRÍTICO",IF(K1113&lt;0,"ATENÇÃO",IF(K1113&lt;=5,"BOM","EXCELENTE")))</f>
        <v/>
      </c>
      <c r="M1113" t="n">
        <v>12</v>
      </c>
      <c r="N1113" t="n">
        <v>100</v>
      </c>
      <c r="O1113" t="n">
        <v>27.77777777777778</v>
      </c>
    </row>
    <row r="1114" hidden="1">
      <c r="A1114" s="11" t="n">
        <v>46035</v>
      </c>
      <c r="B1114" t="inlineStr">
        <is>
          <t>Maria Eduarda Sousa Costa</t>
        </is>
      </c>
      <c r="C1114" t="inlineStr">
        <is>
          <t>Estágio</t>
        </is>
      </c>
      <c r="D1114" t="n">
        <v>7</v>
      </c>
      <c r="E1114" t="n">
        <v>6</v>
      </c>
      <c r="F1114" t="n">
        <v>42.32</v>
      </c>
      <c r="G1114" t="n">
        <v>0</v>
      </c>
      <c r="H1114" t="n">
        <v>0</v>
      </c>
      <c r="I1114" s="3">
        <f>E1114+G1114+H1114</f>
        <v/>
      </c>
      <c r="J1114" s="3">
        <f>ROUND(MIN(IF(C1114="Técnico III",35,IF(C1114="Técnico II",28,IF(C1114="Técnico I",23,IF(C1114="JR",20,IF(C1114="Estágio",10,0))))),IF(C1114="Técnico III",SUMIFS($D:$D,$A:$A,$A1114,$B:$B,"&lt;&gt;Patrícia Karla de Sousa Araújo",$B:$B,"&lt;&gt;Lorena Dias de Araujo",$B:$B,"&lt;&gt;Lucas Luiz Romero")*(35/1083),IF(C1114="Técnico II",SUMIFS($D:$D,$A:$A,$A1114,$B:$B,"&lt;&gt;Patrícia Karla de Sousa Araújo",$B:$B,"&lt;&gt;Lorena Dias de Araujo",$B:$B,"&lt;&gt;Lucas Luiz Romero")*(28/1083),IF(C1114="Técnico I",SUMIFS($D:$D,$A:$A,$A1114,$B:$B,"&lt;&gt;Patrícia Karla de Sousa Araújo",$B:$B,"&lt;&gt;Lorena Dias de Araujo",$B:$B,"&lt;&gt;Lucas Luiz Romero")*(23/1083),IF(C1114="JR",SUMIFS($D:$D,$A:$A,$A1114,$B:$B,"&lt;&gt;Patrícia Karla de Sousa Araújo",$B:$B,"&lt;&gt;Lorena Dias de Araujo",$B:$B,"&lt;&gt;Lucas Luiz Romero")*(20/1083),IF(C1114="Estágio",SUMIFS($D:$D,$A:$A,$A1114,$B:$B,"&lt;&gt;Patrícia Karla de Sousa Araújo",$B:$B,"&lt;&gt;Lorena Dias de Araujo",$B:$B,"&lt;&gt;Lucas Luiz Romero")*(10/1083),0)))))),0)</f>
        <v/>
      </c>
      <c r="K1114" s="3">
        <f>I1114-J1114</f>
        <v/>
      </c>
      <c r="L1114" s="3">
        <f>IF(K1114&lt;-5,"CRÍTICO",IF(K1114&lt;0,"ATENÇÃO",IF(K1114&lt;=5,"BOM","EXCELENTE")))</f>
        <v/>
      </c>
      <c r="M1114" t="n">
        <v>3</v>
      </c>
      <c r="N1114" t="n">
        <v>100</v>
      </c>
      <c r="O1114" t="n">
        <v>33.92857142857143</v>
      </c>
    </row>
    <row r="1115" hidden="1">
      <c r="A1115" s="11" t="n">
        <v>46035</v>
      </c>
      <c r="B1115" t="inlineStr">
        <is>
          <t>Matheus Farias De Souza</t>
        </is>
      </c>
      <c r="C1115" t="inlineStr">
        <is>
          <t>Técnico III</t>
        </is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s="3" t="n">
        <v>0</v>
      </c>
      <c r="J1115" s="3" t="n">
        <v>0</v>
      </c>
      <c r="K1115" s="3" t="n">
        <v>0</v>
      </c>
      <c r="L1115" s="3">
        <f>IF(K1115&lt;-5,"CRÍTICO",IF(K1115&lt;0,"ATENÇÃO",IF(K1115&lt;=5,"BOM","EXCELENTE")))</f>
        <v/>
      </c>
      <c r="M1115" t="n">
        <v>0</v>
      </c>
      <c r="N1115" t="n">
        <v>100</v>
      </c>
      <c r="O1115" t="n">
        <v>0</v>
      </c>
    </row>
    <row r="1116" hidden="1">
      <c r="A1116" s="11" t="n">
        <v>46035</v>
      </c>
      <c r="B1116" t="inlineStr">
        <is>
          <t>Maysa Victoria Dias Moura</t>
        </is>
      </c>
      <c r="C1116" t="inlineStr">
        <is>
          <t>Técnico III</t>
        </is>
      </c>
      <c r="D1116" t="n">
        <v>35</v>
      </c>
      <c r="E1116" t="n">
        <v>32</v>
      </c>
      <c r="F1116" t="n">
        <v>10.59</v>
      </c>
      <c r="G1116" t="n">
        <v>0</v>
      </c>
      <c r="H1116" t="n">
        <v>0</v>
      </c>
      <c r="I1116" s="3">
        <f>E1116+G1116+H1116</f>
        <v/>
      </c>
      <c r="J1116" s="3">
        <f>ROUND(MIN(IF(C1116="Técnico III",35,IF(C1116="Técnico II",28,IF(C1116="Técnico I",23,IF(C1116="JR",20,IF(C1116="Estágio",10,0))))),IF(C1116="Técnico III",SUMIFS($D:$D,$A:$A,$A1116,$B:$B,"&lt;&gt;Patrícia Karla de Sousa Araújo",$B:$B,"&lt;&gt;Lorena Dias de Araujo",$B:$B,"&lt;&gt;Lucas Luiz Romero")*(35/1083),IF(C1116="Técnico II",SUMIFS($D:$D,$A:$A,$A1116,$B:$B,"&lt;&gt;Patrícia Karla de Sousa Araújo",$B:$B,"&lt;&gt;Lorena Dias de Araujo",$B:$B,"&lt;&gt;Lucas Luiz Romero")*(28/1083),IF(C1116="Técnico I",SUMIFS($D:$D,$A:$A,$A1116,$B:$B,"&lt;&gt;Patrícia Karla de Sousa Araújo",$B:$B,"&lt;&gt;Lorena Dias de Araujo",$B:$B,"&lt;&gt;Lucas Luiz Romero")*(23/1083),IF(C1116="JR",SUMIFS($D:$D,$A:$A,$A1116,$B:$B,"&lt;&gt;Patrícia Karla de Sousa Araújo",$B:$B,"&lt;&gt;Lorena Dias de Araujo",$B:$B,"&lt;&gt;Lucas Luiz Romero")*(20/1083),IF(C1116="Estágio",SUMIFS($D:$D,$A:$A,$A1116,$B:$B,"&lt;&gt;Patrícia Karla de Sousa Araújo",$B:$B,"&lt;&gt;Lorena Dias de Araujo",$B:$B,"&lt;&gt;Lucas Luiz Romero")*(10/1083),0)))))),0)</f>
        <v/>
      </c>
      <c r="K1116" s="3">
        <f>I1116-J1116</f>
        <v/>
      </c>
      <c r="L1116" s="3">
        <f>IF(K1116&lt;-5,"CRÍTICO",IF(K1116&lt;0,"ATENÇÃO",IF(K1116&lt;=5,"BOM","EXCELENTE")))</f>
        <v/>
      </c>
      <c r="M1116" t="n">
        <v>29</v>
      </c>
      <c r="N1116" t="n">
        <v>100</v>
      </c>
      <c r="O1116" t="n">
        <v>32.22748815165877</v>
      </c>
    </row>
    <row r="1117" hidden="1">
      <c r="A1117" s="11" t="n">
        <v>46035</v>
      </c>
      <c r="B1117" t="inlineStr">
        <is>
          <t>Michelle G Santos</t>
        </is>
      </c>
      <c r="C1117" t="inlineStr">
        <is>
          <t>Estágio</t>
        </is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s="3" t="n">
        <v>0</v>
      </c>
      <c r="J1117" s="3" t="n">
        <v>0</v>
      </c>
      <c r="K1117" s="3" t="n">
        <v>0</v>
      </c>
      <c r="L1117" s="3">
        <f>IF(K1117&lt;-5,"CRÍTICO",IF(K1117&lt;0,"ATENÇÃO",IF(K1117&lt;=5,"BOM","EXCELENTE")))</f>
        <v/>
      </c>
      <c r="M1117" t="n">
        <v>0</v>
      </c>
      <c r="N1117" t="n">
        <v>0</v>
      </c>
      <c r="O1117" t="n">
        <v>0</v>
      </c>
    </row>
    <row r="1118" hidden="1">
      <c r="A1118" s="11" t="n">
        <v>46035</v>
      </c>
      <c r="B1118" t="inlineStr">
        <is>
          <t>Milena Sales</t>
        </is>
      </c>
      <c r="C1118" t="inlineStr">
        <is>
          <t>JR</t>
        </is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s="3" t="n">
        <v>0</v>
      </c>
      <c r="J1118" s="3" t="n">
        <v>0</v>
      </c>
      <c r="K1118" s="3" t="n">
        <v>0</v>
      </c>
      <c r="L1118" s="3">
        <f>IF(K1118&lt;-5,"CRÍTICO",IF(K1118&lt;0,"ATENÇÃO",IF(K1118&lt;=5,"BOM","EXCELENTE")))</f>
        <v/>
      </c>
      <c r="M1118" t="n">
        <v>0</v>
      </c>
      <c r="N1118" t="n">
        <v>0</v>
      </c>
      <c r="O1118" t="n">
        <v>0</v>
      </c>
    </row>
    <row r="1119" hidden="1">
      <c r="A1119" s="11" t="n">
        <v>46035</v>
      </c>
      <c r="B1119" t="inlineStr">
        <is>
          <t>Patrícia Karla de Sousa Araújo</t>
        </is>
      </c>
      <c r="C1119" t="inlineStr">
        <is>
          <t>Técnico II</t>
        </is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s="3" t="n">
        <v>0</v>
      </c>
      <c r="J1119" s="3" t="n">
        <v>0</v>
      </c>
      <c r="K1119" s="3" t="n">
        <v>0</v>
      </c>
      <c r="L1119" s="3">
        <f>IF(K1119&lt;-5,"CRÍTICO",IF(K1119&lt;0,"ATENÇÃO",IF(K1119&lt;=5,"BOM","EXCELENTE")))</f>
        <v/>
      </c>
      <c r="M1119" t="n">
        <v>0</v>
      </c>
      <c r="N1119" t="n">
        <v>100</v>
      </c>
      <c r="O1119" t="n">
        <v>40</v>
      </c>
    </row>
    <row r="1120" hidden="1">
      <c r="A1120" s="11" t="n">
        <v>46035</v>
      </c>
      <c r="B1120" t="inlineStr">
        <is>
          <t>Paulo Ricardo Santos</t>
        </is>
      </c>
      <c r="C1120" t="inlineStr">
        <is>
          <t>JR</t>
        </is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s="3" t="n">
        <v>0</v>
      </c>
      <c r="J1120" s="3" t="n">
        <v>0</v>
      </c>
      <c r="K1120" s="3" t="n">
        <v>0</v>
      </c>
      <c r="L1120" s="3">
        <f>IF(K1120&lt;-5,"CRÍTICO",IF(K1120&lt;0,"ATENÇÃO",IF(K1120&lt;=5,"BOM","EXCELENTE")))</f>
        <v/>
      </c>
      <c r="M1120" t="n">
        <v>0</v>
      </c>
      <c r="N1120" t="n">
        <v>0</v>
      </c>
      <c r="O1120" t="n">
        <v>0</v>
      </c>
    </row>
    <row r="1121" hidden="1">
      <c r="A1121" s="11" t="n">
        <v>46035</v>
      </c>
      <c r="B1121" t="inlineStr">
        <is>
          <t>Pedro Luiz Mota Sousa</t>
        </is>
      </c>
      <c r="C1121" t="inlineStr">
        <is>
          <t>JR</t>
        </is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s="3" t="n">
        <v>0</v>
      </c>
      <c r="J1121" s="3" t="n">
        <v>0</v>
      </c>
      <c r="K1121" s="3" t="n">
        <v>0</v>
      </c>
      <c r="L1121" s="3">
        <f>IF(K1121&lt;-5,"CRÍTICO",IF(K1121&lt;0,"ATENÇÃO",IF(K1121&lt;=5,"BOM","EXCELENTE")))</f>
        <v/>
      </c>
      <c r="M1121" t="n">
        <v>0</v>
      </c>
      <c r="N1121" t="n">
        <v>0</v>
      </c>
      <c r="O1121" t="n">
        <v>0</v>
      </c>
    </row>
    <row r="1122" hidden="1">
      <c r="A1122" s="11" t="n">
        <v>46035</v>
      </c>
      <c r="B1122" t="inlineStr">
        <is>
          <t>Quirino Diogo Leite Torres</t>
        </is>
      </c>
      <c r="C1122" t="inlineStr">
        <is>
          <t>Estágio</t>
        </is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s="3" t="n">
        <v>0</v>
      </c>
      <c r="J1122" s="3" t="n">
        <v>0</v>
      </c>
      <c r="K1122" s="3" t="n">
        <v>0</v>
      </c>
      <c r="L1122" s="3">
        <f>IF(K1122&lt;-5,"CRÍTICO",IF(K1122&lt;0,"ATENÇÃO",IF(K1122&lt;=5,"BOM","EXCELENTE")))</f>
        <v/>
      </c>
      <c r="M1122" t="n">
        <v>0</v>
      </c>
      <c r="N1122" t="n">
        <v>0</v>
      </c>
      <c r="O1122" t="n">
        <v>0</v>
      </c>
    </row>
    <row r="1123" hidden="1">
      <c r="A1123" s="11" t="n">
        <v>46035</v>
      </c>
      <c r="B1123" t="inlineStr">
        <is>
          <t>Raane Batista Matos</t>
        </is>
      </c>
      <c r="C1123" t="inlineStr">
        <is>
          <t>Técnico I</t>
        </is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s="3" t="n">
        <v>0</v>
      </c>
      <c r="J1123" s="3" t="n">
        <v>0</v>
      </c>
      <c r="K1123" s="3" t="n">
        <v>0</v>
      </c>
      <c r="L1123" s="3">
        <f>IF(K1123&lt;-5,"CRÍTICO",IF(K1123&lt;0,"ATENÇÃO",IF(K1123&lt;=5,"BOM","EXCELENTE")))</f>
        <v/>
      </c>
      <c r="M1123" t="n">
        <v>0</v>
      </c>
      <c r="N1123" t="n">
        <v>0</v>
      </c>
      <c r="O1123" t="n">
        <v>0</v>
      </c>
    </row>
    <row r="1124" hidden="1">
      <c r="A1124" s="11" t="n">
        <v>46035</v>
      </c>
      <c r="B1124" t="inlineStr">
        <is>
          <t>Rafael Gomes de Morais</t>
        </is>
      </c>
      <c r="C1124" t="inlineStr">
        <is>
          <t>Técnico III</t>
        </is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s="3" t="n">
        <v>0</v>
      </c>
      <c r="J1124" s="3" t="n">
        <v>0</v>
      </c>
      <c r="K1124" s="3" t="n">
        <v>0</v>
      </c>
      <c r="L1124" s="3">
        <f>IF(K1124&lt;-5,"CRÍTICO",IF(K1124&lt;0,"ATENÇÃO",IF(K1124&lt;=5,"BOM","EXCELENTE")))</f>
        <v/>
      </c>
      <c r="M1124" t="n">
        <v>0</v>
      </c>
      <c r="N1124" t="n">
        <v>0</v>
      </c>
      <c r="O1124" t="n">
        <v>0</v>
      </c>
    </row>
    <row r="1125" hidden="1">
      <c r="A1125" s="11" t="n">
        <v>46035</v>
      </c>
      <c r="B1125" t="inlineStr">
        <is>
          <t>Sara Maria Monteiro Lopes</t>
        </is>
      </c>
      <c r="C1125" t="inlineStr">
        <is>
          <t>Técnico I</t>
        </is>
      </c>
      <c r="D1125" t="n">
        <v>9</v>
      </c>
      <c r="E1125" t="n">
        <v>9</v>
      </c>
      <c r="F1125" t="n">
        <v>69.09999999999999</v>
      </c>
      <c r="G1125" t="n">
        <v>0</v>
      </c>
      <c r="H1125" t="n">
        <v>0</v>
      </c>
      <c r="I1125" s="3">
        <f>E1125+G1125+H1125</f>
        <v/>
      </c>
      <c r="J1125" s="3">
        <f>ROUND(MIN(IF(C1125="Técnico III",35,IF(C1125="Técnico II",28,IF(C1125="Técnico I",23,IF(C1125="JR",20,IF(C1125="Estágio",10,0))))),IF(C1125="Técnico III",SUMIFS($D:$D,$A:$A,$A1125,$B:$B,"&lt;&gt;Patrícia Karla de Sousa Araújo",$B:$B,"&lt;&gt;Lorena Dias de Araujo",$B:$B,"&lt;&gt;Lucas Luiz Romero")*(35/1083),IF(C1125="Técnico II",SUMIFS($D:$D,$A:$A,$A1125,$B:$B,"&lt;&gt;Patrícia Karla de Sousa Araújo",$B:$B,"&lt;&gt;Lorena Dias de Araujo",$B:$B,"&lt;&gt;Lucas Luiz Romero")*(28/1083),IF(C1125="Técnico I",SUMIFS($D:$D,$A:$A,$A1125,$B:$B,"&lt;&gt;Patrícia Karla de Sousa Araújo",$B:$B,"&lt;&gt;Lorena Dias de Araujo",$B:$B,"&lt;&gt;Lucas Luiz Romero")*(23/1083),IF(C1125="JR",SUMIFS($D:$D,$A:$A,$A1125,$B:$B,"&lt;&gt;Patrícia Karla de Sousa Araújo",$B:$B,"&lt;&gt;Lorena Dias de Araujo",$B:$B,"&lt;&gt;Lucas Luiz Romero")*(20/1083),IF(C1125="Estágio",SUMIFS($D:$D,$A:$A,$A1125,$B:$B,"&lt;&gt;Patrícia Karla de Sousa Araújo",$B:$B,"&lt;&gt;Lorena Dias de Araujo",$B:$B,"&lt;&gt;Lucas Luiz Romero")*(10/1083),0)))))),0)</f>
        <v/>
      </c>
      <c r="K1125" s="3">
        <f>I1125-J1125</f>
        <v/>
      </c>
      <c r="L1125" s="3">
        <f>IF(K1125&lt;-5,"CRÍTICO",IF(K1125&lt;0,"ATENÇÃO",IF(K1125&lt;=5,"BOM","EXCELENTE")))</f>
        <v/>
      </c>
      <c r="M1125" t="n">
        <v>8</v>
      </c>
      <c r="N1125" t="n">
        <v>100</v>
      </c>
      <c r="O1125" t="n">
        <v>35.16483516483517</v>
      </c>
    </row>
    <row r="1126" hidden="1">
      <c r="A1126" s="11" t="n">
        <v>46035</v>
      </c>
      <c r="B1126" t="inlineStr">
        <is>
          <t>Sarah Steffanie de Lima Borges</t>
        </is>
      </c>
      <c r="C1126" t="inlineStr">
        <is>
          <t>Técnico III</t>
        </is>
      </c>
      <c r="D1126" t="n">
        <v>28</v>
      </c>
      <c r="E1126" t="n">
        <v>25</v>
      </c>
      <c r="F1126" t="n">
        <v>14.14</v>
      </c>
      <c r="G1126" t="n">
        <v>0</v>
      </c>
      <c r="H1126" t="n">
        <v>0</v>
      </c>
      <c r="I1126" s="3">
        <f>E1126+G1126+H1126</f>
        <v/>
      </c>
      <c r="J1126" s="3">
        <f>ROUND(MIN(IF(C1126="Técnico III",35,IF(C1126="Técnico II",28,IF(C1126="Técnico I",23,IF(C1126="JR",20,IF(C1126="Estágio",10,0))))),IF(C1126="Técnico III",SUMIFS($D:$D,$A:$A,$A1126,$B:$B,"&lt;&gt;Patrícia Karla de Sousa Araújo",$B:$B,"&lt;&gt;Lorena Dias de Araujo",$B:$B,"&lt;&gt;Lucas Luiz Romero")*(35/1083),IF(C1126="Técnico II",SUMIFS($D:$D,$A:$A,$A1126,$B:$B,"&lt;&gt;Patrícia Karla de Sousa Araújo",$B:$B,"&lt;&gt;Lorena Dias de Araujo",$B:$B,"&lt;&gt;Lucas Luiz Romero")*(28/1083),IF(C1126="Técnico I",SUMIFS($D:$D,$A:$A,$A1126,$B:$B,"&lt;&gt;Patrícia Karla de Sousa Araújo",$B:$B,"&lt;&gt;Lorena Dias de Araujo",$B:$B,"&lt;&gt;Lucas Luiz Romero")*(23/1083),IF(C1126="JR",SUMIFS($D:$D,$A:$A,$A1126,$B:$B,"&lt;&gt;Patrícia Karla de Sousa Araújo",$B:$B,"&lt;&gt;Lorena Dias de Araujo",$B:$B,"&lt;&gt;Lucas Luiz Romero")*(20/1083),IF(C1126="Estágio",SUMIFS($D:$D,$A:$A,$A1126,$B:$B,"&lt;&gt;Patrícia Karla de Sousa Araújo",$B:$B,"&lt;&gt;Lorena Dias de Araujo",$B:$B,"&lt;&gt;Lucas Luiz Romero")*(10/1083),0)))))),0)</f>
        <v/>
      </c>
      <c r="K1126" s="3">
        <f>I1126-J1126</f>
        <v/>
      </c>
      <c r="L1126" s="3">
        <f>IF(K1126&lt;-5,"CRÍTICO",IF(K1126&lt;0,"ATENÇÃO",IF(K1126&lt;=5,"BOM","EXCELENTE")))</f>
        <v/>
      </c>
      <c r="M1126" t="n">
        <v>19</v>
      </c>
      <c r="N1126" t="n">
        <v>100</v>
      </c>
      <c r="O1126" t="n">
        <v>24.59016393442623</v>
      </c>
    </row>
    <row r="1127" hidden="1">
      <c r="A1127" s="11" t="n">
        <v>46036</v>
      </c>
      <c r="B1127" t="inlineStr">
        <is>
          <t>Alisson de Freitas Silva</t>
        </is>
      </c>
      <c r="C1127" t="inlineStr">
        <is>
          <t>Técnico II</t>
        </is>
      </c>
      <c r="D1127" t="n">
        <v>18</v>
      </c>
      <c r="E1127" t="n">
        <v>15</v>
      </c>
      <c r="F1127" t="n">
        <v>27.01</v>
      </c>
      <c r="G1127" t="n">
        <v>0</v>
      </c>
      <c r="H1127" t="n">
        <v>0</v>
      </c>
      <c r="I1127" s="3">
        <f>E1127+G1127+H1127</f>
        <v/>
      </c>
      <c r="J1127" s="3">
        <f>ROUND(MIN(IF(C1127="Técnico III",35,IF(C1127="Técnico II",28,IF(C1127="Técnico I",23,IF(C1127="JR",20,IF(C1127="Estágio",10,0))))),IF(C1127="Técnico III",SUMIFS($D:$D,$A:$A,$A1127,$B:$B,"&lt;&gt;Patrícia Karla de Sousa Araújo",$B:$B,"&lt;&gt;Lorena Dias de Araujo",$B:$B,"&lt;&gt;Lucas Luiz Romero")*(35/1083),IF(C1127="Técnico II",SUMIFS($D:$D,$A:$A,$A1127,$B:$B,"&lt;&gt;Patrícia Karla de Sousa Araújo",$B:$B,"&lt;&gt;Lorena Dias de Araujo",$B:$B,"&lt;&gt;Lucas Luiz Romero")*(28/1083),IF(C1127="Técnico I",SUMIFS($D:$D,$A:$A,$A1127,$B:$B,"&lt;&gt;Patrícia Karla de Sousa Araújo",$B:$B,"&lt;&gt;Lorena Dias de Araujo",$B:$B,"&lt;&gt;Lucas Luiz Romero")*(23/1083),IF(C1127="JR",SUMIFS($D:$D,$A:$A,$A1127,$B:$B,"&lt;&gt;Patrícia Karla de Sousa Araújo",$B:$B,"&lt;&gt;Lorena Dias de Araujo",$B:$B,"&lt;&gt;Lucas Luiz Romero")*(20/1083),IF(C1127="Estágio",SUMIFS($D:$D,$A:$A,$A1127,$B:$B,"&lt;&gt;Patrícia Karla de Sousa Araújo",$B:$B,"&lt;&gt;Lorena Dias de Araujo",$B:$B,"&lt;&gt;Lucas Luiz Romero")*(10/1083),0)))))),0)</f>
        <v/>
      </c>
      <c r="K1127" s="3">
        <f>I1127-J1127</f>
        <v/>
      </c>
      <c r="L1127" s="3">
        <f>IF(K1127&lt;-5,"CRÍTICO",IF(K1127&lt;0,"ATENÇÃO",IF(K1127&lt;=5,"BOM","EXCELENTE")))</f>
        <v/>
      </c>
      <c r="M1127" t="n">
        <v>17</v>
      </c>
      <c r="N1127" t="n">
        <v>100</v>
      </c>
      <c r="O1127" t="n">
        <v>26.41509433962264</v>
      </c>
    </row>
    <row r="1128" hidden="1">
      <c r="A1128" s="11" t="n">
        <v>46036</v>
      </c>
      <c r="B1128" t="inlineStr">
        <is>
          <t>Amanda Moura Ferreira</t>
        </is>
      </c>
      <c r="C1128" t="inlineStr">
        <is>
          <t>Técnico III</t>
        </is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s="3" t="n">
        <v>0</v>
      </c>
      <c r="J1128" s="3" t="n">
        <v>0</v>
      </c>
      <c r="K1128" s="3" t="n">
        <v>0</v>
      </c>
      <c r="L1128" s="3">
        <f>IF(K1128&lt;-5,"CRÍTICO",IF(K1128&lt;0,"ATENÇÃO",IF(K1128&lt;=5,"BOM","EXCELENTE")))</f>
        <v/>
      </c>
      <c r="M1128" t="n">
        <v>20</v>
      </c>
      <c r="N1128" t="n">
        <v>97.73</v>
      </c>
      <c r="O1128" t="n">
        <v>28.09523809523809</v>
      </c>
    </row>
    <row r="1129" hidden="1">
      <c r="A1129" s="11" t="n">
        <v>46036</v>
      </c>
      <c r="B1129" t="inlineStr">
        <is>
          <t>Ana Karollyne Souza Faria</t>
        </is>
      </c>
      <c r="C1129" t="inlineStr">
        <is>
          <t>Técnico I</t>
        </is>
      </c>
      <c r="D1129" t="n">
        <v>21</v>
      </c>
      <c r="E1129" t="n">
        <v>20</v>
      </c>
      <c r="F1129" t="n">
        <v>30.51</v>
      </c>
      <c r="G1129" t="n">
        <v>0</v>
      </c>
      <c r="H1129" t="n">
        <v>0</v>
      </c>
      <c r="I1129" s="3">
        <f>E1129+G1129+H1129</f>
        <v/>
      </c>
      <c r="J1129" s="3">
        <f>ROUND(MIN(IF(C1129="Técnico III",35,IF(C1129="Técnico II",28,IF(C1129="Técnico I",23,IF(C1129="JR",20,IF(C1129="Estágio",10,0))))),IF(C1129="Técnico III",SUMIFS($D:$D,$A:$A,$A1129,$B:$B,"&lt;&gt;Patrícia Karla de Sousa Araújo",$B:$B,"&lt;&gt;Lorena Dias de Araujo",$B:$B,"&lt;&gt;Lucas Luiz Romero")*(35/1083),IF(C1129="Técnico II",SUMIFS($D:$D,$A:$A,$A1129,$B:$B,"&lt;&gt;Patrícia Karla de Sousa Araújo",$B:$B,"&lt;&gt;Lorena Dias de Araujo",$B:$B,"&lt;&gt;Lucas Luiz Romero")*(28/1083),IF(C1129="Técnico I",SUMIFS($D:$D,$A:$A,$A1129,$B:$B,"&lt;&gt;Patrícia Karla de Sousa Araújo",$B:$B,"&lt;&gt;Lorena Dias de Araujo",$B:$B,"&lt;&gt;Lucas Luiz Romero")*(23/1083),IF(C1129="JR",SUMIFS($D:$D,$A:$A,$A1129,$B:$B,"&lt;&gt;Patrícia Karla de Sousa Araújo",$B:$B,"&lt;&gt;Lorena Dias de Araujo",$B:$B,"&lt;&gt;Lucas Luiz Romero")*(20/1083),IF(C1129="Estágio",SUMIFS($D:$D,$A:$A,$A1129,$B:$B,"&lt;&gt;Patrícia Karla de Sousa Araújo",$B:$B,"&lt;&gt;Lorena Dias de Araujo",$B:$B,"&lt;&gt;Lucas Luiz Romero")*(10/1083),0)))))),0)</f>
        <v/>
      </c>
      <c r="K1129" s="3">
        <f>I1129-J1129</f>
        <v/>
      </c>
      <c r="L1129" s="3">
        <f>IF(K1129&lt;-5,"CRÍTICO",IF(K1129&lt;0,"ATENÇÃO",IF(K1129&lt;=5,"BOM","EXCELENTE")))</f>
        <v/>
      </c>
      <c r="M1129" t="n">
        <v>19</v>
      </c>
      <c r="N1129" t="n">
        <v>100</v>
      </c>
      <c r="O1129" t="n">
        <v>25.60386473429952</v>
      </c>
    </row>
    <row r="1130" hidden="1">
      <c r="A1130" s="11" t="n">
        <v>46036</v>
      </c>
      <c r="B1130" t="inlineStr">
        <is>
          <t>Ana Paula Da Luz Silva Aleixo</t>
        </is>
      </c>
      <c r="C1130" t="inlineStr">
        <is>
          <t>Técnico III</t>
        </is>
      </c>
      <c r="D1130" t="n">
        <v>6</v>
      </c>
      <c r="E1130" t="n">
        <v>6</v>
      </c>
      <c r="F1130" t="n">
        <v>23.54</v>
      </c>
      <c r="G1130" t="n">
        <v>0</v>
      </c>
      <c r="H1130" t="n">
        <v>0</v>
      </c>
      <c r="I1130" s="3">
        <f>E1130+G1130+H1130</f>
        <v/>
      </c>
      <c r="J1130" s="3">
        <f>ROUND(MIN(IF(C1130="Técnico III",35,IF(C1130="Técnico II",28,IF(C1130="Técnico I",23,IF(C1130="JR",20,IF(C1130="Estágio",10,0))))),IF(C1130="Técnico III",SUMIFS($D:$D,$A:$A,$A1130,$B:$B,"&lt;&gt;Patrícia Karla de Sousa Araújo",$B:$B,"&lt;&gt;Lorena Dias de Araujo",$B:$B,"&lt;&gt;Lucas Luiz Romero")*(35/1083),IF(C1130="Técnico II",SUMIFS($D:$D,$A:$A,$A1130,$B:$B,"&lt;&gt;Patrícia Karla de Sousa Araújo",$B:$B,"&lt;&gt;Lorena Dias de Araujo",$B:$B,"&lt;&gt;Lucas Luiz Romero")*(28/1083),IF(C1130="Técnico I",SUMIFS($D:$D,$A:$A,$A1130,$B:$B,"&lt;&gt;Patrícia Karla de Sousa Araújo",$B:$B,"&lt;&gt;Lorena Dias de Araujo",$B:$B,"&lt;&gt;Lucas Luiz Romero")*(23/1083),IF(C1130="JR",SUMIFS($D:$D,$A:$A,$A1130,$B:$B,"&lt;&gt;Patrícia Karla de Sousa Araújo",$B:$B,"&lt;&gt;Lorena Dias de Araujo",$B:$B,"&lt;&gt;Lucas Luiz Romero")*(20/1083),IF(C1130="Estágio",SUMIFS($D:$D,$A:$A,$A1130,$B:$B,"&lt;&gt;Patrícia Karla de Sousa Araújo",$B:$B,"&lt;&gt;Lorena Dias de Araujo",$B:$B,"&lt;&gt;Lucas Luiz Romero")*(10/1083),0)))))),0)</f>
        <v/>
      </c>
      <c r="K1130" s="3">
        <f>I1130-J1130</f>
        <v/>
      </c>
      <c r="L1130" s="3">
        <f>IF(K1130&lt;-5,"CRÍTICO",IF(K1130&lt;0,"ATENÇÃO",IF(K1130&lt;=5,"BOM","EXCELENTE")))</f>
        <v/>
      </c>
      <c r="M1130" t="n">
        <v>4</v>
      </c>
      <c r="N1130" t="n">
        <v>97.67</v>
      </c>
      <c r="O1130" t="n">
        <v>31.25</v>
      </c>
    </row>
    <row r="1131" hidden="1">
      <c r="A1131" s="11" t="n">
        <v>46036</v>
      </c>
      <c r="B1131" t="inlineStr">
        <is>
          <t>Anna Luiza Rezende Tavares</t>
        </is>
      </c>
      <c r="C1131" t="inlineStr">
        <is>
          <t>Estágio</t>
        </is>
      </c>
      <c r="D1131" t="n">
        <v>9</v>
      </c>
      <c r="E1131" t="n">
        <v>9</v>
      </c>
      <c r="F1131" t="n">
        <v>49.18</v>
      </c>
      <c r="G1131" t="n">
        <v>0</v>
      </c>
      <c r="H1131" t="n">
        <v>0</v>
      </c>
      <c r="I1131" s="3">
        <f>E1131+G1131+H1131</f>
        <v/>
      </c>
      <c r="J1131" s="3">
        <f>ROUND(MIN(IF(C1131="Técnico III",35,IF(C1131="Técnico II",28,IF(C1131="Técnico I",23,IF(C1131="JR",20,IF(C1131="Estágio",10,0))))),IF(C1131="Técnico III",SUMIFS($D:$D,$A:$A,$A1131,$B:$B,"&lt;&gt;Patrícia Karla de Sousa Araújo",$B:$B,"&lt;&gt;Lorena Dias de Araujo",$B:$B,"&lt;&gt;Lucas Luiz Romero")*(35/1083),IF(C1131="Técnico II",SUMIFS($D:$D,$A:$A,$A1131,$B:$B,"&lt;&gt;Patrícia Karla de Sousa Araújo",$B:$B,"&lt;&gt;Lorena Dias de Araujo",$B:$B,"&lt;&gt;Lucas Luiz Romero")*(28/1083),IF(C1131="Técnico I",SUMIFS($D:$D,$A:$A,$A1131,$B:$B,"&lt;&gt;Patrícia Karla de Sousa Araújo",$B:$B,"&lt;&gt;Lorena Dias de Araujo",$B:$B,"&lt;&gt;Lucas Luiz Romero")*(23/1083),IF(C1131="JR",SUMIFS($D:$D,$A:$A,$A1131,$B:$B,"&lt;&gt;Patrícia Karla de Sousa Araújo",$B:$B,"&lt;&gt;Lorena Dias de Araujo",$B:$B,"&lt;&gt;Lucas Luiz Romero")*(20/1083),IF(C1131="Estágio",SUMIFS($D:$D,$A:$A,$A1131,$B:$B,"&lt;&gt;Patrícia Karla de Sousa Araújo",$B:$B,"&lt;&gt;Lorena Dias de Araujo",$B:$B,"&lt;&gt;Lucas Luiz Romero")*(10/1083),0)))))),0)</f>
        <v/>
      </c>
      <c r="K1131" s="3">
        <f>I1131-J1131</f>
        <v/>
      </c>
      <c r="L1131" s="3">
        <f>IF(K1131&lt;-5,"CRÍTICO",IF(K1131&lt;0,"ATENÇÃO",IF(K1131&lt;=5,"BOM","EXCELENTE")))</f>
        <v/>
      </c>
      <c r="M1131" t="n">
        <v>7</v>
      </c>
      <c r="N1131" t="n">
        <v>100</v>
      </c>
      <c r="O1131" t="n">
        <v>46.55172413793103</v>
      </c>
    </row>
    <row r="1132" hidden="1">
      <c r="A1132" s="11" t="n">
        <v>46036</v>
      </c>
      <c r="B1132" t="inlineStr">
        <is>
          <t>Brenda de Menezes Silva</t>
        </is>
      </c>
      <c r="C1132" t="inlineStr">
        <is>
          <t>Técnico II</t>
        </is>
      </c>
      <c r="D1132" t="n">
        <v>30</v>
      </c>
      <c r="E1132" t="n">
        <v>27</v>
      </c>
      <c r="F1132" t="n">
        <v>20.06</v>
      </c>
      <c r="G1132" t="n">
        <v>0</v>
      </c>
      <c r="H1132" t="n">
        <v>0</v>
      </c>
      <c r="I1132" s="3">
        <f>E1132+G1132+H1132</f>
        <v/>
      </c>
      <c r="J1132" s="3">
        <f>ROUND(MIN(IF(C1132="Técnico III",35,IF(C1132="Técnico II",28,IF(C1132="Técnico I",23,IF(C1132="JR",20,IF(C1132="Estágio",10,0))))),IF(C1132="Técnico III",SUMIFS($D:$D,$A:$A,$A1132,$B:$B,"&lt;&gt;Patrícia Karla de Sousa Araújo",$B:$B,"&lt;&gt;Lorena Dias de Araujo",$B:$B,"&lt;&gt;Lucas Luiz Romero")*(35/1083),IF(C1132="Técnico II",SUMIFS($D:$D,$A:$A,$A1132,$B:$B,"&lt;&gt;Patrícia Karla de Sousa Araújo",$B:$B,"&lt;&gt;Lorena Dias de Araujo",$B:$B,"&lt;&gt;Lucas Luiz Romero")*(28/1083),IF(C1132="Técnico I",SUMIFS($D:$D,$A:$A,$A1132,$B:$B,"&lt;&gt;Patrícia Karla de Sousa Araújo",$B:$B,"&lt;&gt;Lorena Dias de Araujo",$B:$B,"&lt;&gt;Lucas Luiz Romero")*(23/1083),IF(C1132="JR",SUMIFS($D:$D,$A:$A,$A1132,$B:$B,"&lt;&gt;Patrícia Karla de Sousa Araújo",$B:$B,"&lt;&gt;Lorena Dias de Araujo",$B:$B,"&lt;&gt;Lucas Luiz Romero")*(20/1083),IF(C1132="Estágio",SUMIFS($D:$D,$A:$A,$A1132,$B:$B,"&lt;&gt;Patrícia Karla de Sousa Araújo",$B:$B,"&lt;&gt;Lorena Dias de Araujo",$B:$B,"&lt;&gt;Lucas Luiz Romero")*(10/1083),0)))))),0)</f>
        <v/>
      </c>
      <c r="K1132" s="3">
        <f>I1132-J1132</f>
        <v/>
      </c>
      <c r="L1132" s="3">
        <f>IF(K1132&lt;-5,"CRÍTICO",IF(K1132&lt;0,"ATENÇÃO",IF(K1132&lt;=5,"BOM","EXCELENTE")))</f>
        <v/>
      </c>
      <c r="M1132" t="n">
        <v>26</v>
      </c>
      <c r="N1132" t="n">
        <v>100</v>
      </c>
      <c r="O1132" t="n">
        <v>29.004329004329</v>
      </c>
    </row>
    <row r="1133" hidden="1">
      <c r="A1133" s="11" t="n">
        <v>46036</v>
      </c>
      <c r="B1133" t="inlineStr">
        <is>
          <t>Carlos Mateus Cassimiro Nunes</t>
        </is>
      </c>
      <c r="C1133" t="inlineStr">
        <is>
          <t>Técnico II</t>
        </is>
      </c>
      <c r="D1133" t="n">
        <v>25</v>
      </c>
      <c r="E1133" t="n">
        <v>23</v>
      </c>
      <c r="F1133" t="n">
        <v>22.36</v>
      </c>
      <c r="G1133" t="n">
        <v>0</v>
      </c>
      <c r="H1133" t="n">
        <v>0</v>
      </c>
      <c r="I1133" s="3">
        <f>E1133+G1133+H1133</f>
        <v/>
      </c>
      <c r="J1133" s="3">
        <f>ROUND(MIN(IF(C1133="Técnico III",35,IF(C1133="Técnico II",28,IF(C1133="Técnico I",23,IF(C1133="JR",20,IF(C1133="Estágio",10,0))))),IF(C1133="Técnico III",SUMIFS($D:$D,$A:$A,$A1133,$B:$B,"&lt;&gt;Patrícia Karla de Sousa Araújo",$B:$B,"&lt;&gt;Lorena Dias de Araujo",$B:$B,"&lt;&gt;Lucas Luiz Romero")*(35/1083),IF(C1133="Técnico II",SUMIFS($D:$D,$A:$A,$A1133,$B:$B,"&lt;&gt;Patrícia Karla de Sousa Araújo",$B:$B,"&lt;&gt;Lorena Dias de Araujo",$B:$B,"&lt;&gt;Lucas Luiz Romero")*(28/1083),IF(C1133="Técnico I",SUMIFS($D:$D,$A:$A,$A1133,$B:$B,"&lt;&gt;Patrícia Karla de Sousa Araújo",$B:$B,"&lt;&gt;Lorena Dias de Araujo",$B:$B,"&lt;&gt;Lucas Luiz Romero")*(23/1083),IF(C1133="JR",SUMIFS($D:$D,$A:$A,$A1133,$B:$B,"&lt;&gt;Patrícia Karla de Sousa Araújo",$B:$B,"&lt;&gt;Lorena Dias de Araujo",$B:$B,"&lt;&gt;Lucas Luiz Romero")*(20/1083),IF(C1133="Estágio",SUMIFS($D:$D,$A:$A,$A1133,$B:$B,"&lt;&gt;Patrícia Karla de Sousa Araújo",$B:$B,"&lt;&gt;Lorena Dias de Araujo",$B:$B,"&lt;&gt;Lucas Luiz Romero")*(10/1083),0)))))),0)</f>
        <v/>
      </c>
      <c r="K1133" s="3">
        <f>I1133-J1133</f>
        <v/>
      </c>
      <c r="L1133" s="3">
        <f>IF(K1133&lt;-5,"CRÍTICO",IF(K1133&lt;0,"ATENÇÃO",IF(K1133&lt;=5,"BOM","EXCELENTE")))</f>
        <v/>
      </c>
      <c r="M1133" t="n">
        <v>24</v>
      </c>
      <c r="N1133" t="n">
        <v>100</v>
      </c>
      <c r="O1133" t="n">
        <v>38.41463414634146</v>
      </c>
    </row>
    <row r="1134" hidden="1">
      <c r="A1134" s="11" t="n">
        <v>46036</v>
      </c>
      <c r="B1134" t="inlineStr">
        <is>
          <t>Claudio de Sousa Velasco Filho</t>
        </is>
      </c>
      <c r="C1134" t="inlineStr">
        <is>
          <t>Estágio</t>
        </is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s="3" t="n">
        <v>0</v>
      </c>
      <c r="J1134" s="3" t="n">
        <v>0</v>
      </c>
      <c r="K1134" s="3" t="n">
        <v>0</v>
      </c>
      <c r="L1134" s="3">
        <f>IF(K1134&lt;-5,"CRÍTICO",IF(K1134&lt;0,"ATENÇÃO",IF(K1134&lt;=5,"BOM","EXCELENTE")))</f>
        <v/>
      </c>
      <c r="M1134" t="n">
        <v>0</v>
      </c>
      <c r="N1134" t="n">
        <v>0</v>
      </c>
      <c r="O1134" t="n">
        <v>0</v>
      </c>
    </row>
    <row r="1135" hidden="1">
      <c r="A1135" s="11" t="n">
        <v>46036</v>
      </c>
      <c r="B1135" t="inlineStr">
        <is>
          <t>Clessiane Pereira dos Santos</t>
        </is>
      </c>
      <c r="C1135" t="inlineStr">
        <is>
          <t>Técnico I</t>
        </is>
      </c>
      <c r="D1135" t="n">
        <v>16</v>
      </c>
      <c r="E1135" t="n">
        <v>16</v>
      </c>
      <c r="F1135" t="n">
        <v>29.13</v>
      </c>
      <c r="G1135" t="n">
        <v>0</v>
      </c>
      <c r="H1135" t="n">
        <v>0</v>
      </c>
      <c r="I1135" s="3">
        <f>E1135+G1135+H1135</f>
        <v/>
      </c>
      <c r="J1135" s="3">
        <f>ROUND(MIN(IF(C1135="Técnico III",35,IF(C1135="Técnico II",28,IF(C1135="Técnico I",23,IF(C1135="JR",20,IF(C1135="Estágio",10,0))))),IF(C1135="Técnico III",SUMIFS($D:$D,$A:$A,$A1135,$B:$B,"&lt;&gt;Patrícia Karla de Sousa Araújo",$B:$B,"&lt;&gt;Lorena Dias de Araujo",$B:$B,"&lt;&gt;Lucas Luiz Romero")*(35/1083),IF(C1135="Técnico II",SUMIFS($D:$D,$A:$A,$A1135,$B:$B,"&lt;&gt;Patrícia Karla de Sousa Araújo",$B:$B,"&lt;&gt;Lorena Dias de Araujo",$B:$B,"&lt;&gt;Lucas Luiz Romero")*(28/1083),IF(C1135="Técnico I",SUMIFS($D:$D,$A:$A,$A1135,$B:$B,"&lt;&gt;Patrícia Karla de Sousa Araújo",$B:$B,"&lt;&gt;Lorena Dias de Araujo",$B:$B,"&lt;&gt;Lucas Luiz Romero")*(23/1083),IF(C1135="JR",SUMIFS($D:$D,$A:$A,$A1135,$B:$B,"&lt;&gt;Patrícia Karla de Sousa Araújo",$B:$B,"&lt;&gt;Lorena Dias de Araujo",$B:$B,"&lt;&gt;Lucas Luiz Romero")*(20/1083),IF(C1135="Estágio",SUMIFS($D:$D,$A:$A,$A1135,$B:$B,"&lt;&gt;Patrícia Karla de Sousa Araújo",$B:$B,"&lt;&gt;Lorena Dias de Araujo",$B:$B,"&lt;&gt;Lucas Luiz Romero")*(10/1083),0)))))),0)</f>
        <v/>
      </c>
      <c r="K1135" s="3">
        <f>I1135-J1135</f>
        <v/>
      </c>
      <c r="L1135" s="3">
        <f>IF(K1135&lt;-5,"CRÍTICO",IF(K1135&lt;0,"ATENÇÃO",IF(K1135&lt;=5,"BOM","EXCELENTE")))</f>
        <v/>
      </c>
      <c r="M1135" t="n">
        <v>14</v>
      </c>
      <c r="N1135" t="n">
        <v>100</v>
      </c>
      <c r="O1135" t="n">
        <v>31.25</v>
      </c>
    </row>
    <row r="1136" hidden="1">
      <c r="A1136" s="11" t="n">
        <v>46036</v>
      </c>
      <c r="B1136" t="inlineStr">
        <is>
          <t>Cristiane Ramos da Silva Rocha</t>
        </is>
      </c>
      <c r="C1136" t="inlineStr">
        <is>
          <t>Técnico III</t>
        </is>
      </c>
      <c r="D1136" t="n">
        <v>35</v>
      </c>
      <c r="E1136" t="n">
        <v>32</v>
      </c>
      <c r="F1136" t="n">
        <v>15.37</v>
      </c>
      <c r="G1136" t="n">
        <v>0</v>
      </c>
      <c r="H1136" t="n">
        <v>0</v>
      </c>
      <c r="I1136" s="3">
        <f>E1136+G1136+H1136</f>
        <v/>
      </c>
      <c r="J1136" s="3">
        <f>ROUND(MIN(IF(C1136="Técnico III",35,IF(C1136="Técnico II",28,IF(C1136="Técnico I",23,IF(C1136="JR",20,IF(C1136="Estágio",10,0))))),IF(C1136="Técnico III",SUMIFS($D:$D,$A:$A,$A1136,$B:$B,"&lt;&gt;Patrícia Karla de Sousa Araújo",$B:$B,"&lt;&gt;Lorena Dias de Araujo",$B:$B,"&lt;&gt;Lucas Luiz Romero")*(35/1083),IF(C1136="Técnico II",SUMIFS($D:$D,$A:$A,$A1136,$B:$B,"&lt;&gt;Patrícia Karla de Sousa Araújo",$B:$B,"&lt;&gt;Lorena Dias de Araujo",$B:$B,"&lt;&gt;Lucas Luiz Romero")*(28/1083),IF(C1136="Técnico I",SUMIFS($D:$D,$A:$A,$A1136,$B:$B,"&lt;&gt;Patrícia Karla de Sousa Araújo",$B:$B,"&lt;&gt;Lorena Dias de Araujo",$B:$B,"&lt;&gt;Lucas Luiz Romero")*(23/1083),IF(C1136="JR",SUMIFS($D:$D,$A:$A,$A1136,$B:$B,"&lt;&gt;Patrícia Karla de Sousa Araújo",$B:$B,"&lt;&gt;Lorena Dias de Araujo",$B:$B,"&lt;&gt;Lucas Luiz Romero")*(20/1083),IF(C1136="Estágio",SUMIFS($D:$D,$A:$A,$A1136,$B:$B,"&lt;&gt;Patrícia Karla de Sousa Araújo",$B:$B,"&lt;&gt;Lorena Dias de Araujo",$B:$B,"&lt;&gt;Lucas Luiz Romero")*(10/1083),0)))))),0)</f>
        <v/>
      </c>
      <c r="K1136" s="3">
        <f>I1136-J1136</f>
        <v/>
      </c>
      <c r="L1136" s="3">
        <f>IF(K1136&lt;-5,"CRÍTICO",IF(K1136&lt;0,"ATENÇÃO",IF(K1136&lt;=5,"BOM","EXCELENTE")))</f>
        <v/>
      </c>
      <c r="M1136" t="n">
        <v>28</v>
      </c>
      <c r="N1136" t="n">
        <v>97.14</v>
      </c>
      <c r="O1136" t="n">
        <v>40.55118110236221</v>
      </c>
    </row>
    <row r="1137" hidden="1">
      <c r="A1137" s="11" t="n">
        <v>46036</v>
      </c>
      <c r="B1137" t="inlineStr">
        <is>
          <t>Damyllis Lorraine de Oliveira Gonçalves</t>
        </is>
      </c>
      <c r="C1137" t="inlineStr">
        <is>
          <t>Técnico II</t>
        </is>
      </c>
      <c r="D1137" t="n">
        <v>20</v>
      </c>
      <c r="E1137" t="n">
        <v>13</v>
      </c>
      <c r="F1137" t="n">
        <v>27.1</v>
      </c>
      <c r="G1137" t="n">
        <v>0</v>
      </c>
      <c r="H1137" t="n">
        <v>0</v>
      </c>
      <c r="I1137" s="3" t="n">
        <v>0</v>
      </c>
      <c r="J1137" s="3" t="n">
        <v>0</v>
      </c>
      <c r="K1137" s="3" t="n">
        <v>0</v>
      </c>
      <c r="L1137" s="3">
        <f>IF(K1137&lt;-5,"CRÍTICO",IF(K1137&lt;0,"ATENÇÃO",IF(K1137&lt;=5,"BOM","EXCELENTE")))</f>
        <v/>
      </c>
      <c r="M1137" t="n">
        <v>12</v>
      </c>
      <c r="N1137" t="n">
        <v>97.56</v>
      </c>
      <c r="O1137" t="n">
        <v>33.5195530726257</v>
      </c>
    </row>
    <row r="1138" hidden="1">
      <c r="A1138" s="11" t="n">
        <v>46036</v>
      </c>
      <c r="B1138" t="inlineStr">
        <is>
          <t>Daniel Gomes da Silva</t>
        </is>
      </c>
      <c r="C1138" t="inlineStr">
        <is>
          <t>Técnico I</t>
        </is>
      </c>
      <c r="D1138" t="n">
        <v>22</v>
      </c>
      <c r="E1138" t="n">
        <v>22</v>
      </c>
      <c r="F1138" t="n">
        <v>18.22</v>
      </c>
      <c r="G1138" t="n">
        <v>0</v>
      </c>
      <c r="H1138" t="n">
        <v>0</v>
      </c>
      <c r="I1138" s="3">
        <f>E1138+G1138+H1138</f>
        <v/>
      </c>
      <c r="J1138" s="3">
        <f>ROUND(MIN(IF(C1138="Técnico III",35,IF(C1138="Técnico II",28,IF(C1138="Técnico I",23,IF(C1138="JR",20,IF(C1138="Estágio",10,0))))),IF(C1138="Técnico III",SUMIFS($D:$D,$A:$A,$A1138,$B:$B,"&lt;&gt;Patrícia Karla de Sousa Araújo",$B:$B,"&lt;&gt;Lorena Dias de Araujo",$B:$B,"&lt;&gt;Lucas Luiz Romero")*(35/1083),IF(C1138="Técnico II",SUMIFS($D:$D,$A:$A,$A1138,$B:$B,"&lt;&gt;Patrícia Karla de Sousa Araújo",$B:$B,"&lt;&gt;Lorena Dias de Araujo",$B:$B,"&lt;&gt;Lucas Luiz Romero")*(28/1083),IF(C1138="Técnico I",SUMIFS($D:$D,$A:$A,$A1138,$B:$B,"&lt;&gt;Patrícia Karla de Sousa Araújo",$B:$B,"&lt;&gt;Lorena Dias de Araujo",$B:$B,"&lt;&gt;Lucas Luiz Romero")*(23/1083),IF(C1138="JR",SUMIFS($D:$D,$A:$A,$A1138,$B:$B,"&lt;&gt;Patrícia Karla de Sousa Araújo",$B:$B,"&lt;&gt;Lorena Dias de Araujo",$B:$B,"&lt;&gt;Lucas Luiz Romero")*(20/1083),IF(C1138="Estágio",SUMIFS($D:$D,$A:$A,$A1138,$B:$B,"&lt;&gt;Patrícia Karla de Sousa Araújo",$B:$B,"&lt;&gt;Lorena Dias de Araujo",$B:$B,"&lt;&gt;Lucas Luiz Romero")*(10/1083),0)))))),0)</f>
        <v/>
      </c>
      <c r="K1138" s="3">
        <f>I1138-J1138</f>
        <v/>
      </c>
      <c r="L1138" s="3">
        <f>IF(K1138&lt;-5,"CRÍTICO",IF(K1138&lt;0,"ATENÇÃO",IF(K1138&lt;=5,"BOM","EXCELENTE")))</f>
        <v/>
      </c>
      <c r="M1138" t="n">
        <v>28</v>
      </c>
      <c r="N1138" t="n">
        <v>100</v>
      </c>
      <c r="O1138" t="n">
        <v>25.89285714285715</v>
      </c>
    </row>
    <row r="1139" hidden="1">
      <c r="A1139" s="11" t="n">
        <v>46036</v>
      </c>
      <c r="B1139" t="inlineStr">
        <is>
          <t>Davylla Rodrigues Freitas Silva</t>
        </is>
      </c>
      <c r="C1139" t="inlineStr">
        <is>
          <t>Técnico III</t>
        </is>
      </c>
      <c r="D1139" t="n">
        <v>28</v>
      </c>
      <c r="E1139" t="n">
        <v>28</v>
      </c>
      <c r="F1139" t="n">
        <v>22.34</v>
      </c>
      <c r="G1139" t="n">
        <v>0</v>
      </c>
      <c r="H1139" t="n">
        <v>0</v>
      </c>
      <c r="I1139" s="3" t="n">
        <v>0</v>
      </c>
      <c r="J1139" s="3" t="n">
        <v>0</v>
      </c>
      <c r="K1139" s="3" t="n">
        <v>0</v>
      </c>
      <c r="L1139" s="3">
        <f>IF(K1139&lt;-5,"CRÍTICO",IF(K1139&lt;0,"ATENÇÃO",IF(K1139&lt;=5,"BOM","EXCELENTE")))</f>
        <v/>
      </c>
      <c r="M1139" t="n">
        <v>27</v>
      </c>
      <c r="N1139" t="n">
        <v>100</v>
      </c>
      <c r="O1139" t="n">
        <v>45.20547945205479</v>
      </c>
    </row>
    <row r="1140" hidden="1">
      <c r="A1140" s="11" t="n">
        <v>46036</v>
      </c>
      <c r="B1140" t="inlineStr">
        <is>
          <t>Emilly Caylane Costa</t>
        </is>
      </c>
      <c r="C1140" t="inlineStr">
        <is>
          <t>Estágio</t>
        </is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s="3" t="n">
        <v>0</v>
      </c>
      <c r="J1140" s="3" t="n">
        <v>0</v>
      </c>
      <c r="K1140" s="3" t="n">
        <v>0</v>
      </c>
      <c r="L1140" s="3">
        <f>IF(K1140&lt;-5,"CRÍTICO",IF(K1140&lt;0,"ATENÇÃO",IF(K1140&lt;=5,"BOM","EXCELENTE")))</f>
        <v/>
      </c>
      <c r="M1140" t="n">
        <v>0</v>
      </c>
      <c r="N1140" t="n">
        <v>0</v>
      </c>
      <c r="O1140" t="n">
        <v>0</v>
      </c>
    </row>
    <row r="1141" hidden="1">
      <c r="A1141" s="11" t="n">
        <v>46036</v>
      </c>
      <c r="B1141" t="inlineStr">
        <is>
          <t>Emilly Kamilly Medeiros Miranda</t>
        </is>
      </c>
      <c r="C1141" t="inlineStr">
        <is>
          <t>Técnico II</t>
        </is>
      </c>
      <c r="D1141" t="n">
        <v>24</v>
      </c>
      <c r="E1141" t="n">
        <v>21</v>
      </c>
      <c r="F1141" t="n">
        <v>20.02</v>
      </c>
      <c r="G1141" t="n">
        <v>0</v>
      </c>
      <c r="H1141" t="n">
        <v>0</v>
      </c>
      <c r="I1141" s="3">
        <f>E1141+G1141+H1141</f>
        <v/>
      </c>
      <c r="J1141" s="3">
        <f>ROUND(MIN(IF(C1141="Técnico III",35,IF(C1141="Técnico II",28,IF(C1141="Técnico I",23,IF(C1141="JR",20,IF(C1141="Estágio",10,0))))),IF(C1141="Técnico III",SUMIFS($D:$D,$A:$A,$A1141,$B:$B,"&lt;&gt;Patrícia Karla de Sousa Araújo",$B:$B,"&lt;&gt;Lorena Dias de Araujo",$B:$B,"&lt;&gt;Lucas Luiz Romero")*(35/1083),IF(C1141="Técnico II",SUMIFS($D:$D,$A:$A,$A1141,$B:$B,"&lt;&gt;Patrícia Karla de Sousa Araújo",$B:$B,"&lt;&gt;Lorena Dias de Araujo",$B:$B,"&lt;&gt;Lucas Luiz Romero")*(28/1083),IF(C1141="Técnico I",SUMIFS($D:$D,$A:$A,$A1141,$B:$B,"&lt;&gt;Patrícia Karla de Sousa Araújo",$B:$B,"&lt;&gt;Lorena Dias de Araujo",$B:$B,"&lt;&gt;Lucas Luiz Romero")*(23/1083),IF(C1141="JR",SUMIFS($D:$D,$A:$A,$A1141,$B:$B,"&lt;&gt;Patrícia Karla de Sousa Araújo",$B:$B,"&lt;&gt;Lorena Dias de Araujo",$B:$B,"&lt;&gt;Lucas Luiz Romero")*(20/1083),IF(C1141="Estágio",SUMIFS($D:$D,$A:$A,$A1141,$B:$B,"&lt;&gt;Patrícia Karla de Sousa Araújo",$B:$B,"&lt;&gt;Lorena Dias de Araujo",$B:$B,"&lt;&gt;Lucas Luiz Romero")*(10/1083),0)))))),0)</f>
        <v/>
      </c>
      <c r="K1141" s="3">
        <f>I1141-J1141</f>
        <v/>
      </c>
      <c r="L1141" s="3">
        <f>IF(K1141&lt;-5,"CRÍTICO",IF(K1141&lt;0,"ATENÇÃO",IF(K1141&lt;=5,"BOM","EXCELENTE")))</f>
        <v/>
      </c>
      <c r="M1141" t="n">
        <v>22</v>
      </c>
      <c r="N1141" t="n">
        <v>100</v>
      </c>
      <c r="O1141" t="n">
        <v>30.76923076923077</v>
      </c>
    </row>
    <row r="1142" hidden="1">
      <c r="A1142" s="11" t="n">
        <v>46036</v>
      </c>
      <c r="B1142" t="inlineStr">
        <is>
          <t>Francielson de Oliveira</t>
        </is>
      </c>
      <c r="C1142" t="inlineStr">
        <is>
          <t>Técnico III</t>
        </is>
      </c>
      <c r="D1142" t="n">
        <v>15</v>
      </c>
      <c r="E1142" t="n">
        <v>13</v>
      </c>
      <c r="F1142" t="n">
        <v>18.46</v>
      </c>
      <c r="G1142" t="n">
        <v>0</v>
      </c>
      <c r="H1142" t="n">
        <v>0</v>
      </c>
      <c r="I1142" s="3">
        <f>E1142+G1142+H1142</f>
        <v/>
      </c>
      <c r="J1142" s="3">
        <f>ROUND(MIN(IF(C1142="Técnico III",35,IF(C1142="Técnico II",28,IF(C1142="Técnico I",23,IF(C1142="JR",20,IF(C1142="Estágio",10,0))))),IF(C1142="Técnico III",SUMIFS($D:$D,$A:$A,$A1142,$B:$B,"&lt;&gt;Patrícia Karla de Sousa Araújo",$B:$B,"&lt;&gt;Lorena Dias de Araujo",$B:$B,"&lt;&gt;Lucas Luiz Romero")*(35/1083),IF(C1142="Técnico II",SUMIFS($D:$D,$A:$A,$A1142,$B:$B,"&lt;&gt;Patrícia Karla de Sousa Araújo",$B:$B,"&lt;&gt;Lorena Dias de Araujo",$B:$B,"&lt;&gt;Lucas Luiz Romero")*(28/1083),IF(C1142="Técnico I",SUMIFS($D:$D,$A:$A,$A1142,$B:$B,"&lt;&gt;Patrícia Karla de Sousa Araújo",$B:$B,"&lt;&gt;Lorena Dias de Araujo",$B:$B,"&lt;&gt;Lucas Luiz Romero")*(23/1083),IF(C1142="JR",SUMIFS($D:$D,$A:$A,$A1142,$B:$B,"&lt;&gt;Patrícia Karla de Sousa Araújo",$B:$B,"&lt;&gt;Lorena Dias de Araujo",$B:$B,"&lt;&gt;Lucas Luiz Romero")*(20/1083),IF(C1142="Estágio",SUMIFS($D:$D,$A:$A,$A1142,$B:$B,"&lt;&gt;Patrícia Karla de Sousa Araújo",$B:$B,"&lt;&gt;Lorena Dias de Araujo",$B:$B,"&lt;&gt;Lucas Luiz Romero")*(10/1083),0)))))),0)</f>
        <v/>
      </c>
      <c r="K1142" s="3">
        <f>I1142-J1142</f>
        <v/>
      </c>
      <c r="L1142" s="3">
        <f>IF(K1142&lt;-5,"CRÍTICO",IF(K1142&lt;0,"ATENÇÃO",IF(K1142&lt;=5,"BOM","EXCELENTE")))</f>
        <v/>
      </c>
      <c r="M1142" t="n">
        <v>10</v>
      </c>
      <c r="N1142" t="n">
        <v>100</v>
      </c>
      <c r="O1142" t="n">
        <v>31.21387283236994</v>
      </c>
    </row>
    <row r="1143" hidden="1">
      <c r="A1143" s="11" t="n">
        <v>46036</v>
      </c>
      <c r="B1143" t="inlineStr">
        <is>
          <t>Francilene Ferreira de Jesus</t>
        </is>
      </c>
      <c r="C1143" t="inlineStr">
        <is>
          <t>Técnico II</t>
        </is>
      </c>
      <c r="D1143" t="n">
        <v>18</v>
      </c>
      <c r="E1143" t="n">
        <v>18</v>
      </c>
      <c r="F1143" t="n">
        <v>25.05</v>
      </c>
      <c r="G1143" t="n">
        <v>0</v>
      </c>
      <c r="H1143" t="n">
        <v>0</v>
      </c>
      <c r="I1143" s="3">
        <f>E1143+G1143+H1143</f>
        <v/>
      </c>
      <c r="J1143" s="3">
        <f>ROUND(MIN(IF(C1143="Técnico III",35,IF(C1143="Técnico II",28,IF(C1143="Técnico I",23,IF(C1143="JR",20,IF(C1143="Estágio",10,0))))),IF(C1143="Técnico III",SUMIFS($D:$D,$A:$A,$A1143,$B:$B,"&lt;&gt;Patrícia Karla de Sousa Araújo",$B:$B,"&lt;&gt;Lorena Dias de Araujo",$B:$B,"&lt;&gt;Lucas Luiz Romero")*(35/1083),IF(C1143="Técnico II",SUMIFS($D:$D,$A:$A,$A1143,$B:$B,"&lt;&gt;Patrícia Karla de Sousa Araújo",$B:$B,"&lt;&gt;Lorena Dias de Araujo",$B:$B,"&lt;&gt;Lucas Luiz Romero")*(28/1083),IF(C1143="Técnico I",SUMIFS($D:$D,$A:$A,$A1143,$B:$B,"&lt;&gt;Patrícia Karla de Sousa Araújo",$B:$B,"&lt;&gt;Lorena Dias de Araujo",$B:$B,"&lt;&gt;Lucas Luiz Romero")*(23/1083),IF(C1143="JR",SUMIFS($D:$D,$A:$A,$A1143,$B:$B,"&lt;&gt;Patrícia Karla de Sousa Araújo",$B:$B,"&lt;&gt;Lorena Dias de Araujo",$B:$B,"&lt;&gt;Lucas Luiz Romero")*(20/1083),IF(C1143="Estágio",SUMIFS($D:$D,$A:$A,$A1143,$B:$B,"&lt;&gt;Patrícia Karla de Sousa Araújo",$B:$B,"&lt;&gt;Lorena Dias de Araujo",$B:$B,"&lt;&gt;Lucas Luiz Romero")*(10/1083),0)))))),0)</f>
        <v/>
      </c>
      <c r="K1143" s="3">
        <f>I1143-J1143</f>
        <v/>
      </c>
      <c r="L1143" s="3">
        <f>IF(K1143&lt;-5,"CRÍTICO",IF(K1143&lt;0,"ATENÇÃO",IF(K1143&lt;=5,"BOM","EXCELENTE")))</f>
        <v/>
      </c>
      <c r="M1143" t="n">
        <v>16</v>
      </c>
      <c r="N1143" t="n">
        <v>98.31</v>
      </c>
      <c r="O1143" t="n">
        <v>32.89473684210527</v>
      </c>
    </row>
    <row r="1144" hidden="1">
      <c r="A1144" s="11" t="n">
        <v>46070</v>
      </c>
      <c r="B1144" t="inlineStr">
        <is>
          <t>Gabriel Gomes de Andrade</t>
        </is>
      </c>
      <c r="C1144" t="inlineStr">
        <is>
          <t>Técnico I</t>
        </is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s="3" t="n">
        <v>0</v>
      </c>
      <c r="J1144" s="3" t="n">
        <v>0</v>
      </c>
      <c r="K1144" s="3" t="n">
        <v>0</v>
      </c>
      <c r="L1144" s="3">
        <f>IF(K1144&lt;-5,"CRÍTICO",IF(K1144&lt;0,"ATENÇÃO",IF(K1144&lt;=5,"BOM","EXCELENTE")))</f>
        <v/>
      </c>
      <c r="M1144" t="n">
        <v>0</v>
      </c>
      <c r="N1144" t="n">
        <v>93.65000000000001</v>
      </c>
      <c r="O1144" t="n">
        <v>32.91666666666666</v>
      </c>
    </row>
    <row r="1145" hidden="1">
      <c r="A1145" s="11" t="n">
        <v>46036</v>
      </c>
      <c r="B1145" t="inlineStr">
        <is>
          <t>Isabella Borges de Oliveira</t>
        </is>
      </c>
      <c r="C1145" t="inlineStr">
        <is>
          <t>Técnico II</t>
        </is>
      </c>
      <c r="D1145" t="n">
        <v>31</v>
      </c>
      <c r="E1145" t="n">
        <v>29</v>
      </c>
      <c r="F1145" t="n">
        <v>20.33</v>
      </c>
      <c r="G1145" t="n">
        <v>0</v>
      </c>
      <c r="H1145" t="n">
        <v>0</v>
      </c>
      <c r="I1145" s="3">
        <f>E1145+G1145+H1145</f>
        <v/>
      </c>
      <c r="J1145" s="3">
        <f>ROUND(MIN(IF(C1145="Técnico III",35,IF(C1145="Técnico II",28,IF(C1145="Técnico I",23,IF(C1145="JR",20,IF(C1145="Estágio",10,0))))),IF(C1145="Técnico III",SUMIFS($D:$D,$A:$A,$A1145,$B:$B,"&lt;&gt;Patrícia Karla de Sousa Araújo",$B:$B,"&lt;&gt;Lorena Dias de Araujo",$B:$B,"&lt;&gt;Lucas Luiz Romero")*(35/1083),IF(C1145="Técnico II",SUMIFS($D:$D,$A:$A,$A1145,$B:$B,"&lt;&gt;Patrícia Karla de Sousa Araújo",$B:$B,"&lt;&gt;Lorena Dias de Araujo",$B:$B,"&lt;&gt;Lucas Luiz Romero")*(28/1083),IF(C1145="Técnico I",SUMIFS($D:$D,$A:$A,$A1145,$B:$B,"&lt;&gt;Patrícia Karla de Sousa Araújo",$B:$B,"&lt;&gt;Lorena Dias de Araujo",$B:$B,"&lt;&gt;Lucas Luiz Romero")*(23/1083),IF(C1145="JR",SUMIFS($D:$D,$A:$A,$A1145,$B:$B,"&lt;&gt;Patrícia Karla de Sousa Araújo",$B:$B,"&lt;&gt;Lorena Dias de Araujo",$B:$B,"&lt;&gt;Lucas Luiz Romero")*(20/1083),IF(C1145="Estágio",SUMIFS($D:$D,$A:$A,$A1145,$B:$B,"&lt;&gt;Patrícia Karla de Sousa Araújo",$B:$B,"&lt;&gt;Lorena Dias de Araujo",$B:$B,"&lt;&gt;Lucas Luiz Romero")*(10/1083),0)))))),0)</f>
        <v/>
      </c>
      <c r="K1145" s="3">
        <f>I1145-J1145</f>
        <v/>
      </c>
      <c r="L1145" s="3">
        <f>IF(K1145&lt;-5,"CRÍTICO",IF(K1145&lt;0,"ATENÇÃO",IF(K1145&lt;=5,"BOM","EXCELENTE")))</f>
        <v/>
      </c>
      <c r="M1145" t="n">
        <v>22</v>
      </c>
      <c r="N1145" t="n">
        <v>100</v>
      </c>
      <c r="O1145" t="n">
        <v>29.85781990521327</v>
      </c>
    </row>
    <row r="1146" hidden="1">
      <c r="A1146" s="11" t="n">
        <v>46036</v>
      </c>
      <c r="B1146" t="inlineStr">
        <is>
          <t>Janaina Lima dos Reis Urany</t>
        </is>
      </c>
      <c r="C1146" t="inlineStr">
        <is>
          <t>Técnico III</t>
        </is>
      </c>
      <c r="D1146" t="n">
        <v>37</v>
      </c>
      <c r="E1146" t="n">
        <v>33</v>
      </c>
      <c r="F1146" t="n">
        <v>18.26</v>
      </c>
      <c r="G1146" t="n">
        <v>0</v>
      </c>
      <c r="H1146" t="n">
        <v>0</v>
      </c>
      <c r="I1146" s="3">
        <f>E1146+G1146+H1146</f>
        <v/>
      </c>
      <c r="J1146" s="3">
        <f>ROUND(MIN(IF(C1146="Técnico III",35,IF(C1146="Técnico II",28,IF(C1146="Técnico I",23,IF(C1146="JR",20,IF(C1146="Estágio",10,0))))),IF(C1146="Técnico III",SUMIFS($D:$D,$A:$A,$A1146,$B:$B,"&lt;&gt;Patrícia Karla de Sousa Araújo",$B:$B,"&lt;&gt;Lorena Dias de Araujo",$B:$B,"&lt;&gt;Lucas Luiz Romero")*(35/1083),IF(C1146="Técnico II",SUMIFS($D:$D,$A:$A,$A1146,$B:$B,"&lt;&gt;Patrícia Karla de Sousa Araújo",$B:$B,"&lt;&gt;Lorena Dias de Araujo",$B:$B,"&lt;&gt;Lucas Luiz Romero")*(28/1083),IF(C1146="Técnico I",SUMIFS($D:$D,$A:$A,$A1146,$B:$B,"&lt;&gt;Patrícia Karla de Sousa Araújo",$B:$B,"&lt;&gt;Lorena Dias de Araujo",$B:$B,"&lt;&gt;Lucas Luiz Romero")*(23/1083),IF(C1146="JR",SUMIFS($D:$D,$A:$A,$A1146,$B:$B,"&lt;&gt;Patrícia Karla de Sousa Araújo",$B:$B,"&lt;&gt;Lorena Dias de Araujo",$B:$B,"&lt;&gt;Lucas Luiz Romero")*(20/1083),IF(C1146="Estágio",SUMIFS($D:$D,$A:$A,$A1146,$B:$B,"&lt;&gt;Patrícia Karla de Sousa Araújo",$B:$B,"&lt;&gt;Lorena Dias de Araujo",$B:$B,"&lt;&gt;Lucas Luiz Romero")*(10/1083),0)))))),0)</f>
        <v/>
      </c>
      <c r="K1146" s="3">
        <f>I1146-J1146</f>
        <v/>
      </c>
      <c r="L1146" s="3">
        <f>IF(K1146&lt;-5,"CRÍTICO",IF(K1146&lt;0,"ATENÇÃO",IF(K1146&lt;=5,"BOM","EXCELENTE")))</f>
        <v/>
      </c>
      <c r="M1146" t="n">
        <v>32</v>
      </c>
      <c r="N1146" t="n">
        <v>100</v>
      </c>
      <c r="O1146" t="n">
        <v>30</v>
      </c>
    </row>
    <row r="1147" hidden="1">
      <c r="A1147" s="11" t="n">
        <v>46036</v>
      </c>
      <c r="B1147" t="inlineStr">
        <is>
          <t>Jaqueline Evangelista da Silva Martins</t>
        </is>
      </c>
      <c r="C1147" t="inlineStr">
        <is>
          <t>Técnico III</t>
        </is>
      </c>
      <c r="D1147" t="n">
        <v>21</v>
      </c>
      <c r="E1147" t="n">
        <v>17</v>
      </c>
      <c r="F1147" t="n">
        <v>8.35</v>
      </c>
      <c r="G1147" t="n">
        <v>0</v>
      </c>
      <c r="H1147" t="n">
        <v>0</v>
      </c>
      <c r="I1147" s="3">
        <f>E1147+G1147+H1147</f>
        <v/>
      </c>
      <c r="J1147" s="3">
        <f>ROUND(MIN(IF(C1147="Técnico III",35,IF(C1147="Técnico II",28,IF(C1147="Técnico I",23,IF(C1147="JR",20,IF(C1147="Estágio",10,0))))),IF(C1147="Técnico III",SUMIFS($D:$D,$A:$A,$A1147,$B:$B,"&lt;&gt;Patrícia Karla de Sousa Araújo",$B:$B,"&lt;&gt;Lorena Dias de Araujo",$B:$B,"&lt;&gt;Lucas Luiz Romero")*(35/1083),IF(C1147="Técnico II",SUMIFS($D:$D,$A:$A,$A1147,$B:$B,"&lt;&gt;Patrícia Karla de Sousa Araújo",$B:$B,"&lt;&gt;Lorena Dias de Araujo",$B:$B,"&lt;&gt;Lucas Luiz Romero")*(28/1083),IF(C1147="Técnico I",SUMIFS($D:$D,$A:$A,$A1147,$B:$B,"&lt;&gt;Patrícia Karla de Sousa Araújo",$B:$B,"&lt;&gt;Lorena Dias de Araujo",$B:$B,"&lt;&gt;Lucas Luiz Romero")*(23/1083),IF(C1147="JR",SUMIFS($D:$D,$A:$A,$A1147,$B:$B,"&lt;&gt;Patrícia Karla de Sousa Araújo",$B:$B,"&lt;&gt;Lorena Dias de Araujo",$B:$B,"&lt;&gt;Lucas Luiz Romero")*(20/1083),IF(C1147="Estágio",SUMIFS($D:$D,$A:$A,$A1147,$B:$B,"&lt;&gt;Patrícia Karla de Sousa Araújo",$B:$B,"&lt;&gt;Lorena Dias de Araujo",$B:$B,"&lt;&gt;Lucas Luiz Romero")*(10/1083),0)))))),0)</f>
        <v/>
      </c>
      <c r="K1147" s="3">
        <f>I1147-J1147</f>
        <v/>
      </c>
      <c r="L1147" s="3">
        <f>IF(K1147&lt;-5,"CRÍTICO",IF(K1147&lt;0,"ATENÇÃO",IF(K1147&lt;=5,"BOM","EXCELENTE")))</f>
        <v/>
      </c>
      <c r="M1147" t="n">
        <v>16</v>
      </c>
      <c r="N1147" t="n">
        <v>100</v>
      </c>
      <c r="O1147" t="n">
        <v>29.03225806451613</v>
      </c>
    </row>
    <row r="1148" hidden="1">
      <c r="A1148" s="11" t="n">
        <v>46036</v>
      </c>
      <c r="B1148" t="inlineStr">
        <is>
          <t>Jessica Faria da Silveira</t>
        </is>
      </c>
      <c r="C1148" t="inlineStr">
        <is>
          <t>Técnico II</t>
        </is>
      </c>
      <c r="D1148" t="n">
        <v>30</v>
      </c>
      <c r="E1148" t="n">
        <v>24</v>
      </c>
      <c r="F1148" t="n">
        <v>13.22</v>
      </c>
      <c r="G1148" t="n">
        <v>0</v>
      </c>
      <c r="H1148" t="n">
        <v>0</v>
      </c>
      <c r="I1148" s="3">
        <f>E1148+G1148+H1148</f>
        <v/>
      </c>
      <c r="J1148" s="3">
        <f>ROUND(MIN(IF(C1148="Técnico III",35,IF(C1148="Técnico II",28,IF(C1148="Técnico I",23,IF(C1148="JR",20,IF(C1148="Estágio",10,0))))),IF(C1148="Técnico III",SUMIFS($D:$D,$A:$A,$A1148,$B:$B,"&lt;&gt;Patrícia Karla de Sousa Araújo",$B:$B,"&lt;&gt;Lorena Dias de Araujo",$B:$B,"&lt;&gt;Lucas Luiz Romero")*(35/1083),IF(C1148="Técnico II",SUMIFS($D:$D,$A:$A,$A1148,$B:$B,"&lt;&gt;Patrícia Karla de Sousa Araújo",$B:$B,"&lt;&gt;Lorena Dias de Araujo",$B:$B,"&lt;&gt;Lucas Luiz Romero")*(28/1083),IF(C1148="Técnico I",SUMIFS($D:$D,$A:$A,$A1148,$B:$B,"&lt;&gt;Patrícia Karla de Sousa Araújo",$B:$B,"&lt;&gt;Lorena Dias de Araujo",$B:$B,"&lt;&gt;Lucas Luiz Romero")*(23/1083),IF(C1148="JR",SUMIFS($D:$D,$A:$A,$A1148,$B:$B,"&lt;&gt;Patrícia Karla de Sousa Araújo",$B:$B,"&lt;&gt;Lorena Dias de Araujo",$B:$B,"&lt;&gt;Lucas Luiz Romero")*(20/1083),IF(C1148="Estágio",SUMIFS($D:$D,$A:$A,$A1148,$B:$B,"&lt;&gt;Patrícia Karla de Sousa Araújo",$B:$B,"&lt;&gt;Lorena Dias de Araujo",$B:$B,"&lt;&gt;Lucas Luiz Romero")*(10/1083),0)))))),0)</f>
        <v/>
      </c>
      <c r="K1148" s="3">
        <f>I1148-J1148</f>
        <v/>
      </c>
      <c r="L1148" s="3">
        <f>IF(K1148&lt;-5,"CRÍTICO",IF(K1148&lt;0,"ATENÇÃO",IF(K1148&lt;=5,"BOM","EXCELENTE")))</f>
        <v/>
      </c>
      <c r="M1148" t="n">
        <v>23</v>
      </c>
      <c r="N1148" t="n">
        <v>94.73999999999999</v>
      </c>
      <c r="O1148" t="n">
        <v>26.79425837320574</v>
      </c>
    </row>
    <row r="1149" hidden="1">
      <c r="A1149" s="11" t="n">
        <v>46036</v>
      </c>
      <c r="B1149" t="inlineStr">
        <is>
          <t>Jéssica Fé Moura</t>
        </is>
      </c>
      <c r="C1149" t="inlineStr">
        <is>
          <t>Técnico III</t>
        </is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s="3" t="n">
        <v>0</v>
      </c>
      <c r="J1149" s="3" t="n">
        <v>0</v>
      </c>
      <c r="K1149" s="3" t="n">
        <v>0</v>
      </c>
      <c r="L1149" s="3">
        <f>IF(K1149&lt;-5,"CRÍTICO",IF(K1149&lt;0,"ATENÇÃO",IF(K1149&lt;=5,"BOM","EXCELENTE")))</f>
        <v/>
      </c>
      <c r="M1149" t="n">
        <v>20</v>
      </c>
      <c r="N1149" t="n">
        <v>100</v>
      </c>
      <c r="O1149" t="n">
        <v>33.54037267080746</v>
      </c>
    </row>
    <row r="1150" hidden="1">
      <c r="A1150" s="11" t="n">
        <v>46036</v>
      </c>
      <c r="B1150" t="inlineStr">
        <is>
          <t>Karina Gonçalves Martins</t>
        </is>
      </c>
      <c r="C1150" t="inlineStr">
        <is>
          <t>JR</t>
        </is>
      </c>
      <c r="D1150" t="n">
        <v>4</v>
      </c>
      <c r="E1150" t="n">
        <v>4</v>
      </c>
      <c r="F1150" t="n">
        <v>87.34</v>
      </c>
      <c r="G1150" t="n">
        <v>0</v>
      </c>
      <c r="H1150" t="n">
        <v>0</v>
      </c>
      <c r="I1150" s="3">
        <f>E1150+G1150+H1150</f>
        <v/>
      </c>
      <c r="J1150" s="3">
        <f>ROUND(MIN(IF(C1150="Técnico III",35,IF(C1150="Técnico II",28,IF(C1150="Técnico I",23,IF(C1150="JR",20,IF(C1150="Estágio",10,0))))),IF(C1150="Técnico III",SUMIFS($D:$D,$A:$A,$A1150,$B:$B,"&lt;&gt;Patrícia Karla de Sousa Araújo",$B:$B,"&lt;&gt;Lorena Dias de Araujo",$B:$B,"&lt;&gt;Lucas Luiz Romero")*(35/1083),IF(C1150="Técnico II",SUMIFS($D:$D,$A:$A,$A1150,$B:$B,"&lt;&gt;Patrícia Karla de Sousa Araújo",$B:$B,"&lt;&gt;Lorena Dias de Araujo",$B:$B,"&lt;&gt;Lucas Luiz Romero")*(28/1083),IF(C1150="Técnico I",SUMIFS($D:$D,$A:$A,$A1150,$B:$B,"&lt;&gt;Patrícia Karla de Sousa Araújo",$B:$B,"&lt;&gt;Lorena Dias de Araujo",$B:$B,"&lt;&gt;Lucas Luiz Romero")*(23/1083),IF(C1150="JR",SUMIFS($D:$D,$A:$A,$A1150,$B:$B,"&lt;&gt;Patrícia Karla de Sousa Araújo",$B:$B,"&lt;&gt;Lorena Dias de Araujo",$B:$B,"&lt;&gt;Lucas Luiz Romero")*(20/1083),IF(C1150="Estágio",SUMIFS($D:$D,$A:$A,$A1150,$B:$B,"&lt;&gt;Patrícia Karla de Sousa Araújo",$B:$B,"&lt;&gt;Lorena Dias de Araujo",$B:$B,"&lt;&gt;Lucas Luiz Romero")*(10/1083),0)))))),0)</f>
        <v/>
      </c>
      <c r="K1150" s="3">
        <f>I1150-J1150</f>
        <v/>
      </c>
      <c r="L1150" s="3">
        <f>IF(K1150&lt;-5,"CRÍTICO",IF(K1150&lt;0,"ATENÇÃO",IF(K1150&lt;=5,"BOM","EXCELENTE")))</f>
        <v/>
      </c>
      <c r="M1150" t="n">
        <v>3</v>
      </c>
      <c r="N1150" t="n">
        <v>100</v>
      </c>
      <c r="O1150" t="n">
        <v>31.57894736842105</v>
      </c>
    </row>
    <row r="1151" hidden="1">
      <c r="A1151" s="11" t="n">
        <v>46036</v>
      </c>
      <c r="B1151" t="inlineStr">
        <is>
          <t>Kerollen Cristielly de Jesus Siqueira</t>
        </is>
      </c>
      <c r="C1151" t="inlineStr">
        <is>
          <t>Técnico III</t>
        </is>
      </c>
      <c r="D1151" t="n">
        <v>18</v>
      </c>
      <c r="E1151" t="n">
        <v>17</v>
      </c>
      <c r="F1151" t="n">
        <v>27.03</v>
      </c>
      <c r="G1151" t="n">
        <v>0</v>
      </c>
      <c r="H1151" t="n">
        <v>0</v>
      </c>
      <c r="I1151" s="3">
        <f>E1151+G1151+H1151</f>
        <v/>
      </c>
      <c r="J1151" s="3">
        <f>ROUND(MIN(IF(C1151="Técnico III",35,IF(C1151="Técnico II",28,IF(C1151="Técnico I",23,IF(C1151="JR",20,IF(C1151="Estágio",10,0))))),IF(C1151="Técnico III",SUMIFS($D:$D,$A:$A,$A1151,$B:$B,"&lt;&gt;Patrícia Karla de Sousa Araújo",$B:$B,"&lt;&gt;Lorena Dias de Araujo",$B:$B,"&lt;&gt;Lucas Luiz Romero")*(35/1083),IF(C1151="Técnico II",SUMIFS($D:$D,$A:$A,$A1151,$B:$B,"&lt;&gt;Patrícia Karla de Sousa Araújo",$B:$B,"&lt;&gt;Lorena Dias de Araujo",$B:$B,"&lt;&gt;Lucas Luiz Romero")*(28/1083),IF(C1151="Técnico I",SUMIFS($D:$D,$A:$A,$A1151,$B:$B,"&lt;&gt;Patrícia Karla de Sousa Araújo",$B:$B,"&lt;&gt;Lorena Dias de Araujo",$B:$B,"&lt;&gt;Lucas Luiz Romero")*(23/1083),IF(C1151="JR",SUMIFS($D:$D,$A:$A,$A1151,$B:$B,"&lt;&gt;Patrícia Karla de Sousa Araújo",$B:$B,"&lt;&gt;Lorena Dias de Araujo",$B:$B,"&lt;&gt;Lucas Luiz Romero")*(20/1083),IF(C1151="Estágio",SUMIFS($D:$D,$A:$A,$A1151,$B:$B,"&lt;&gt;Patrícia Karla de Sousa Araújo",$B:$B,"&lt;&gt;Lorena Dias de Araujo",$B:$B,"&lt;&gt;Lucas Luiz Romero")*(10/1083),0)))))),0)</f>
        <v/>
      </c>
      <c r="K1151" s="3">
        <f>I1151-J1151</f>
        <v/>
      </c>
      <c r="L1151" s="3">
        <f>IF(K1151&lt;-5,"CRÍTICO",IF(K1151&lt;0,"ATENÇÃO",IF(K1151&lt;=5,"BOM","EXCELENTE")))</f>
        <v/>
      </c>
      <c r="M1151" t="n">
        <v>24</v>
      </c>
      <c r="N1151" t="n">
        <v>97.67</v>
      </c>
      <c r="O1151" t="n">
        <v>47.44897959183674</v>
      </c>
    </row>
    <row r="1152" hidden="1">
      <c r="A1152" s="11" t="n">
        <v>46036</v>
      </c>
      <c r="B1152" t="inlineStr">
        <is>
          <t>Leandro de Souza Silva</t>
        </is>
      </c>
      <c r="C1152" t="inlineStr">
        <is>
          <t>JR</t>
        </is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s="3" t="n">
        <v>0</v>
      </c>
      <c r="J1152" s="3" t="n">
        <v>0</v>
      </c>
      <c r="K1152" s="3" t="n">
        <v>0</v>
      </c>
      <c r="L1152" s="3">
        <f>IF(K1152&lt;-5,"CRÍTICO",IF(K1152&lt;0,"ATENÇÃO",IF(K1152&lt;=5,"BOM","EXCELENTE")))</f>
        <v/>
      </c>
      <c r="M1152" t="n">
        <v>0</v>
      </c>
      <c r="N1152" t="n">
        <v>0</v>
      </c>
      <c r="O1152" t="n">
        <v>0</v>
      </c>
    </row>
    <row r="1153" hidden="1">
      <c r="A1153" s="11" t="n">
        <v>46036</v>
      </c>
      <c r="B1153" t="inlineStr">
        <is>
          <t>Leandro Oliveira de Sousa</t>
        </is>
      </c>
      <c r="C1153" t="inlineStr">
        <is>
          <t>Técnico III</t>
        </is>
      </c>
      <c r="D1153" t="n">
        <v>35</v>
      </c>
      <c r="E1153" t="n">
        <v>30</v>
      </c>
      <c r="F1153" t="n">
        <v>15.4</v>
      </c>
      <c r="G1153" t="n">
        <v>0</v>
      </c>
      <c r="H1153" t="n">
        <v>0</v>
      </c>
      <c r="I1153" s="3">
        <f>E1153+G1153+H1153</f>
        <v/>
      </c>
      <c r="J1153" s="3">
        <f>ROUND(MIN(IF(C1153="Técnico III",35,IF(C1153="Técnico II",28,IF(C1153="Técnico I",23,IF(C1153="JR",20,IF(C1153="Estágio",10,0))))),IF(C1153="Técnico III",SUMIFS($D:$D,$A:$A,$A1153,$B:$B,"&lt;&gt;Patrícia Karla de Sousa Araújo",$B:$B,"&lt;&gt;Lorena Dias de Araujo",$B:$B,"&lt;&gt;Lucas Luiz Romero")*(35/1083),IF(C1153="Técnico II",SUMIFS($D:$D,$A:$A,$A1153,$B:$B,"&lt;&gt;Patrícia Karla de Sousa Araújo",$B:$B,"&lt;&gt;Lorena Dias de Araujo",$B:$B,"&lt;&gt;Lucas Luiz Romero")*(28/1083),IF(C1153="Técnico I",SUMIFS($D:$D,$A:$A,$A1153,$B:$B,"&lt;&gt;Patrícia Karla de Sousa Araújo",$B:$B,"&lt;&gt;Lorena Dias de Araujo",$B:$B,"&lt;&gt;Lucas Luiz Romero")*(23/1083),IF(C1153="JR",SUMIFS($D:$D,$A:$A,$A1153,$B:$B,"&lt;&gt;Patrícia Karla de Sousa Araújo",$B:$B,"&lt;&gt;Lorena Dias de Araujo",$B:$B,"&lt;&gt;Lucas Luiz Romero")*(20/1083),IF(C1153="Estágio",SUMIFS($D:$D,$A:$A,$A1153,$B:$B,"&lt;&gt;Patrícia Karla de Sousa Araújo",$B:$B,"&lt;&gt;Lorena Dias de Araujo",$B:$B,"&lt;&gt;Lucas Luiz Romero")*(10/1083),0)))))),0)</f>
        <v/>
      </c>
      <c r="K1153" s="3">
        <f>I1153-J1153</f>
        <v/>
      </c>
      <c r="L1153" s="3">
        <f>IF(K1153&lt;-5,"CRÍTICO",IF(K1153&lt;0,"ATENÇÃO",IF(K1153&lt;=5,"BOM","EXCELENTE")))</f>
        <v/>
      </c>
      <c r="M1153" t="n">
        <v>28</v>
      </c>
      <c r="N1153" t="n">
        <v>100</v>
      </c>
      <c r="O1153" t="n">
        <v>28.07017543859649</v>
      </c>
    </row>
    <row r="1154" hidden="1">
      <c r="A1154" s="11" t="n">
        <v>46036</v>
      </c>
      <c r="B1154" t="inlineStr">
        <is>
          <t>Lizandra Gomes Duarte</t>
        </is>
      </c>
      <c r="C1154" t="inlineStr">
        <is>
          <t>Técnico II</t>
        </is>
      </c>
      <c r="D1154" t="n">
        <v>41</v>
      </c>
      <c r="E1154" t="n">
        <v>35</v>
      </c>
      <c r="F1154" t="n">
        <v>12.39</v>
      </c>
      <c r="G1154" t="n">
        <v>0</v>
      </c>
      <c r="H1154" t="n">
        <v>0</v>
      </c>
      <c r="I1154" s="3">
        <f>E1154+G1154+H1154</f>
        <v/>
      </c>
      <c r="J1154" s="3">
        <f>ROUND(MIN(IF(C1154="Técnico III",35,IF(C1154="Técnico II",28,IF(C1154="Técnico I",23,IF(C1154="JR",20,IF(C1154="Estágio",10,0))))),IF(C1154="Técnico III",SUMIFS($D:$D,$A:$A,$A1154,$B:$B,"&lt;&gt;Patrícia Karla de Sousa Araújo",$B:$B,"&lt;&gt;Lorena Dias de Araujo",$B:$B,"&lt;&gt;Lucas Luiz Romero")*(35/1083),IF(C1154="Técnico II",SUMIFS($D:$D,$A:$A,$A1154,$B:$B,"&lt;&gt;Patrícia Karla de Sousa Araújo",$B:$B,"&lt;&gt;Lorena Dias de Araujo",$B:$B,"&lt;&gt;Lucas Luiz Romero")*(28/1083),IF(C1154="Técnico I",SUMIFS($D:$D,$A:$A,$A1154,$B:$B,"&lt;&gt;Patrícia Karla de Sousa Araújo",$B:$B,"&lt;&gt;Lorena Dias de Araujo",$B:$B,"&lt;&gt;Lucas Luiz Romero")*(23/1083),IF(C1154="JR",SUMIFS($D:$D,$A:$A,$A1154,$B:$B,"&lt;&gt;Patrícia Karla de Sousa Araújo",$B:$B,"&lt;&gt;Lorena Dias de Araujo",$B:$B,"&lt;&gt;Lucas Luiz Romero")*(20/1083),IF(C1154="Estágio",SUMIFS($D:$D,$A:$A,$A1154,$B:$B,"&lt;&gt;Patrícia Karla de Sousa Araújo",$B:$B,"&lt;&gt;Lorena Dias de Araujo",$B:$B,"&lt;&gt;Lucas Luiz Romero")*(10/1083),0)))))),0)</f>
        <v/>
      </c>
      <c r="K1154" s="3">
        <f>I1154-J1154</f>
        <v/>
      </c>
      <c r="L1154" s="3">
        <f>IF(K1154&lt;-5,"CRÍTICO",IF(K1154&lt;0,"ATENÇÃO",IF(K1154&lt;=5,"BOM","EXCELENTE")))</f>
        <v/>
      </c>
      <c r="M1154" t="n">
        <v>35</v>
      </c>
      <c r="N1154" t="n">
        <v>100</v>
      </c>
      <c r="O1154" t="n">
        <v>34.97536945812808</v>
      </c>
    </row>
    <row r="1155" hidden="1">
      <c r="A1155" s="11" t="n">
        <v>46036</v>
      </c>
      <c r="B1155" t="inlineStr">
        <is>
          <t>Lorena Dias de Araujo</t>
        </is>
      </c>
      <c r="C1155" t="inlineStr">
        <is>
          <t>Técnico II</t>
        </is>
      </c>
      <c r="D1155" t="n">
        <v>36</v>
      </c>
      <c r="E1155" t="n">
        <v>33</v>
      </c>
      <c r="F1155" t="n">
        <v>13.28</v>
      </c>
      <c r="G1155" t="n">
        <v>0</v>
      </c>
      <c r="H1155" t="n">
        <v>0</v>
      </c>
      <c r="I1155" s="3" t="n">
        <v>0</v>
      </c>
      <c r="J1155" s="3" t="n">
        <v>0</v>
      </c>
      <c r="K1155" s="3" t="n">
        <v>0</v>
      </c>
      <c r="L1155" s="3">
        <f>IF(K1155&lt;-5,"CRÍTICO",IF(K1155&lt;0,"ATENÇÃO",IF(K1155&lt;=5,"BOM","EXCELENTE")))</f>
        <v/>
      </c>
      <c r="M1155" t="n">
        <v>31</v>
      </c>
      <c r="N1155" t="n">
        <v>100</v>
      </c>
      <c r="O1155" t="n">
        <v>30.89887640449438</v>
      </c>
    </row>
    <row r="1156" hidden="1">
      <c r="A1156" s="11" t="n">
        <v>46036</v>
      </c>
      <c r="B1156" t="inlineStr">
        <is>
          <t>Lucas Luiz Romero</t>
        </is>
      </c>
      <c r="C1156" t="inlineStr">
        <is>
          <t>Técnico III</t>
        </is>
      </c>
      <c r="D1156" t="n">
        <v>51</v>
      </c>
      <c r="E1156" t="n">
        <v>42</v>
      </c>
      <c r="F1156" t="n">
        <v>8.33</v>
      </c>
      <c r="G1156" t="n">
        <v>0</v>
      </c>
      <c r="H1156" t="n">
        <v>0</v>
      </c>
      <c r="I1156" s="3">
        <f>E1156+G1156+H1156</f>
        <v/>
      </c>
      <c r="J1156" s="3">
        <f>ROUND(MIN(IF(C1156="Técnico III",35,IF(C1156="Técnico II",28,IF(C1156="Técnico I",23,IF(C1156="JR",20,IF(C1156="Estágio",10,0))))),IF(C1156="Técnico III",SUMIFS($D:$D,$A:$A,$A1156,$B:$B,"&lt;&gt;Patrícia Karla de Sousa Araújo",$B:$B,"&lt;&gt;Lorena Dias de Araujo",$B:$B,"&lt;&gt;Lucas Luiz Romero")*(35/1083),IF(C1156="Técnico II",SUMIFS($D:$D,$A:$A,$A1156,$B:$B,"&lt;&gt;Patrícia Karla de Sousa Araújo",$B:$B,"&lt;&gt;Lorena Dias de Araujo",$B:$B,"&lt;&gt;Lucas Luiz Romero")*(28/1083),IF(C1156="Técnico I",SUMIFS($D:$D,$A:$A,$A1156,$B:$B,"&lt;&gt;Patrícia Karla de Sousa Araújo",$B:$B,"&lt;&gt;Lorena Dias de Araujo",$B:$B,"&lt;&gt;Lucas Luiz Romero")*(23/1083),IF(C1156="JR",SUMIFS($D:$D,$A:$A,$A1156,$B:$B,"&lt;&gt;Patrícia Karla de Sousa Araújo",$B:$B,"&lt;&gt;Lorena Dias de Araujo",$B:$B,"&lt;&gt;Lucas Luiz Romero")*(20/1083),IF(C1156="Estágio",SUMIFS($D:$D,$A:$A,$A1156,$B:$B,"&lt;&gt;Patrícia Karla de Sousa Araújo",$B:$B,"&lt;&gt;Lorena Dias de Araujo",$B:$B,"&lt;&gt;Lucas Luiz Romero")*(10/1083),0)))))),0)</f>
        <v/>
      </c>
      <c r="K1156" s="3">
        <f>I1156-J1156</f>
        <v/>
      </c>
      <c r="L1156" s="3">
        <f>IF(K1156&lt;-5,"CRÍTICO",IF(K1156&lt;0,"ATENÇÃO",IF(K1156&lt;=5,"BOM","EXCELENTE")))</f>
        <v/>
      </c>
      <c r="M1156" t="n">
        <v>37</v>
      </c>
      <c r="N1156" t="n">
        <v>97.62</v>
      </c>
      <c r="O1156" t="n">
        <v>26.31578947368421</v>
      </c>
    </row>
    <row r="1157" hidden="1">
      <c r="A1157" s="11" t="n">
        <v>46036</v>
      </c>
      <c r="B1157" t="inlineStr">
        <is>
          <t>Luiz Fernando de Carvalho Junior</t>
        </is>
      </c>
      <c r="C1157" t="inlineStr">
        <is>
          <t>Técnico I</t>
        </is>
      </c>
      <c r="D1157" t="n">
        <v>17</v>
      </c>
      <c r="E1157" t="n">
        <v>16</v>
      </c>
      <c r="F1157" t="n">
        <v>23.32</v>
      </c>
      <c r="G1157" t="n">
        <v>0</v>
      </c>
      <c r="H1157" t="n">
        <v>0</v>
      </c>
      <c r="I1157" s="3">
        <f>E1157+G1157+H1157</f>
        <v/>
      </c>
      <c r="J1157" s="3">
        <f>ROUND(MIN(IF(C1157="Técnico III",35,IF(C1157="Técnico II",28,IF(C1157="Técnico I",23,IF(C1157="JR",20,IF(C1157="Estágio",10,0))))),IF(C1157="Técnico III",SUMIFS($D:$D,$A:$A,$A1157,$B:$B,"&lt;&gt;Patrícia Karla de Sousa Araújo",$B:$B,"&lt;&gt;Lorena Dias de Araujo",$B:$B,"&lt;&gt;Lucas Luiz Romero")*(35/1083),IF(C1157="Técnico II",SUMIFS($D:$D,$A:$A,$A1157,$B:$B,"&lt;&gt;Patrícia Karla de Sousa Araújo",$B:$B,"&lt;&gt;Lorena Dias de Araujo",$B:$B,"&lt;&gt;Lucas Luiz Romero")*(28/1083),IF(C1157="Técnico I",SUMIFS($D:$D,$A:$A,$A1157,$B:$B,"&lt;&gt;Patrícia Karla de Sousa Araújo",$B:$B,"&lt;&gt;Lorena Dias de Araujo",$B:$B,"&lt;&gt;Lucas Luiz Romero")*(23/1083),IF(C1157="JR",SUMIFS($D:$D,$A:$A,$A1157,$B:$B,"&lt;&gt;Patrícia Karla de Sousa Araújo",$B:$B,"&lt;&gt;Lorena Dias de Araujo",$B:$B,"&lt;&gt;Lucas Luiz Romero")*(20/1083),IF(C1157="Estágio",SUMIFS($D:$D,$A:$A,$A1157,$B:$B,"&lt;&gt;Patrícia Karla de Sousa Araújo",$B:$B,"&lt;&gt;Lorena Dias de Araujo",$B:$B,"&lt;&gt;Lucas Luiz Romero")*(10/1083),0)))))),0)</f>
        <v/>
      </c>
      <c r="K1157" s="3">
        <f>I1157-J1157</f>
        <v/>
      </c>
      <c r="L1157" s="3">
        <f>IF(K1157&lt;-5,"CRÍTICO",IF(K1157&lt;0,"ATENÇÃO",IF(K1157&lt;=5,"BOM","EXCELENTE")))</f>
        <v/>
      </c>
      <c r="M1157" t="n">
        <v>14</v>
      </c>
      <c r="N1157" t="n">
        <v>100</v>
      </c>
      <c r="O1157" t="n">
        <v>27.21518987341772</v>
      </c>
    </row>
    <row r="1158" hidden="1">
      <c r="A1158" s="11" t="n">
        <v>46036</v>
      </c>
      <c r="B1158" t="inlineStr">
        <is>
          <t>Maria Eduarda Sousa Costa</t>
        </is>
      </c>
      <c r="C1158" t="inlineStr">
        <is>
          <t>Estágio</t>
        </is>
      </c>
      <c r="D1158" t="n">
        <v>2</v>
      </c>
      <c r="E1158" t="n">
        <v>2</v>
      </c>
      <c r="F1158" t="n">
        <v>249.04</v>
      </c>
      <c r="G1158" t="n">
        <v>0</v>
      </c>
      <c r="H1158" t="n">
        <v>0</v>
      </c>
      <c r="I1158" s="3">
        <f>E1158+G1158+H1158</f>
        <v/>
      </c>
      <c r="J1158" s="3">
        <f>ROUND(MIN(IF(C1158="Técnico III",35,IF(C1158="Técnico II",28,IF(C1158="Técnico I",23,IF(C1158="JR",20,IF(C1158="Estágio",10,0))))),IF(C1158="Técnico III",SUMIFS($D:$D,$A:$A,$A1158,$B:$B,"&lt;&gt;Patrícia Karla de Sousa Araújo",$B:$B,"&lt;&gt;Lorena Dias de Araujo",$B:$B,"&lt;&gt;Lucas Luiz Romero")*(35/1083),IF(C1158="Técnico II",SUMIFS($D:$D,$A:$A,$A1158,$B:$B,"&lt;&gt;Patrícia Karla de Sousa Araújo",$B:$B,"&lt;&gt;Lorena Dias de Araujo",$B:$B,"&lt;&gt;Lucas Luiz Romero")*(28/1083),IF(C1158="Técnico I",SUMIFS($D:$D,$A:$A,$A1158,$B:$B,"&lt;&gt;Patrícia Karla de Sousa Araújo",$B:$B,"&lt;&gt;Lorena Dias de Araujo",$B:$B,"&lt;&gt;Lucas Luiz Romero")*(23/1083),IF(C1158="JR",SUMIFS($D:$D,$A:$A,$A1158,$B:$B,"&lt;&gt;Patrícia Karla de Sousa Araújo",$B:$B,"&lt;&gt;Lorena Dias de Araujo",$B:$B,"&lt;&gt;Lucas Luiz Romero")*(20/1083),IF(C1158="Estágio",SUMIFS($D:$D,$A:$A,$A1158,$B:$B,"&lt;&gt;Patrícia Karla de Sousa Araújo",$B:$B,"&lt;&gt;Lorena Dias de Araujo",$B:$B,"&lt;&gt;Lucas Luiz Romero")*(10/1083),0)))))),0)</f>
        <v/>
      </c>
      <c r="K1158" s="3">
        <f>I1158-J1158</f>
        <v/>
      </c>
      <c r="L1158" s="3">
        <f>IF(K1158&lt;-5,"CRÍTICO",IF(K1158&lt;0,"ATENÇÃO",IF(K1158&lt;=5,"BOM","EXCELENTE")))</f>
        <v/>
      </c>
      <c r="M1158" t="n">
        <v>1</v>
      </c>
      <c r="N1158" t="n">
        <v>100</v>
      </c>
      <c r="O1158" t="n">
        <v>33.33333333333333</v>
      </c>
    </row>
    <row r="1159" hidden="1">
      <c r="A1159" s="11" t="n">
        <v>46036</v>
      </c>
      <c r="B1159" t="inlineStr">
        <is>
          <t>Matheus Farias De Souza</t>
        </is>
      </c>
      <c r="C1159" t="inlineStr">
        <is>
          <t>Técnico III</t>
        </is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s="3" t="n">
        <v>0</v>
      </c>
      <c r="J1159" s="3" t="n">
        <v>0</v>
      </c>
      <c r="K1159" s="3" t="n">
        <v>0</v>
      </c>
      <c r="L1159" s="3">
        <f>IF(K1159&lt;-5,"CRÍTICO",IF(K1159&lt;0,"ATENÇÃO",IF(K1159&lt;=5,"BOM","EXCELENTE")))</f>
        <v/>
      </c>
      <c r="M1159" t="n">
        <v>0</v>
      </c>
      <c r="N1159" t="n">
        <v>100</v>
      </c>
      <c r="O1159" t="n">
        <v>0</v>
      </c>
    </row>
    <row r="1160" hidden="1">
      <c r="A1160" s="11" t="n">
        <v>46036</v>
      </c>
      <c r="B1160" t="inlineStr">
        <is>
          <t>Maysa Victoria Dias Moura</t>
        </is>
      </c>
      <c r="C1160" t="inlineStr">
        <is>
          <t>Técnico III</t>
        </is>
      </c>
      <c r="D1160" t="n">
        <v>37</v>
      </c>
      <c r="E1160" t="n">
        <v>31</v>
      </c>
      <c r="F1160" t="n">
        <v>14.18</v>
      </c>
      <c r="G1160" t="n">
        <v>0</v>
      </c>
      <c r="H1160" t="n">
        <v>0</v>
      </c>
      <c r="I1160" s="3">
        <f>E1160+G1160+H1160</f>
        <v/>
      </c>
      <c r="J1160" s="3">
        <f>ROUND(MIN(IF(C1160="Técnico III",35,IF(C1160="Técnico II",28,IF(C1160="Técnico I",23,IF(C1160="JR",20,IF(C1160="Estágio",10,0))))),IF(C1160="Técnico III",SUMIFS($D:$D,$A:$A,$A1160,$B:$B,"&lt;&gt;Patrícia Karla de Sousa Araújo",$B:$B,"&lt;&gt;Lorena Dias de Araujo",$B:$B,"&lt;&gt;Lucas Luiz Romero")*(35/1083),IF(C1160="Técnico II",SUMIFS($D:$D,$A:$A,$A1160,$B:$B,"&lt;&gt;Patrícia Karla de Sousa Araújo",$B:$B,"&lt;&gt;Lorena Dias de Araujo",$B:$B,"&lt;&gt;Lucas Luiz Romero")*(28/1083),IF(C1160="Técnico I",SUMIFS($D:$D,$A:$A,$A1160,$B:$B,"&lt;&gt;Patrícia Karla de Sousa Araújo",$B:$B,"&lt;&gt;Lorena Dias de Araujo",$B:$B,"&lt;&gt;Lucas Luiz Romero")*(23/1083),IF(C1160="JR",SUMIFS($D:$D,$A:$A,$A1160,$B:$B,"&lt;&gt;Patrícia Karla de Sousa Araújo",$B:$B,"&lt;&gt;Lorena Dias de Araujo",$B:$B,"&lt;&gt;Lucas Luiz Romero")*(20/1083),IF(C1160="Estágio",SUMIFS($D:$D,$A:$A,$A1160,$B:$B,"&lt;&gt;Patrícia Karla de Sousa Araújo",$B:$B,"&lt;&gt;Lorena Dias de Araujo",$B:$B,"&lt;&gt;Lucas Luiz Romero")*(10/1083),0)))))),0)</f>
        <v/>
      </c>
      <c r="K1160" s="3">
        <f>I1160-J1160</f>
        <v/>
      </c>
      <c r="L1160" s="3">
        <f>IF(K1160&lt;-5,"CRÍTICO",IF(K1160&lt;0,"ATENÇÃO",IF(K1160&lt;=5,"BOM","EXCELENTE")))</f>
        <v/>
      </c>
      <c r="M1160" t="n">
        <v>28</v>
      </c>
      <c r="N1160" t="n">
        <v>100</v>
      </c>
      <c r="O1160" t="n">
        <v>31.38075313807531</v>
      </c>
    </row>
    <row r="1161" hidden="1">
      <c r="A1161" s="11" t="n">
        <v>46036</v>
      </c>
      <c r="B1161" t="inlineStr">
        <is>
          <t>Michelle G Santos</t>
        </is>
      </c>
      <c r="C1161" t="inlineStr">
        <is>
          <t>Estágio</t>
        </is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s="3" t="n">
        <v>0</v>
      </c>
      <c r="J1161" s="3" t="n">
        <v>0</v>
      </c>
      <c r="K1161" s="3" t="n">
        <v>0</v>
      </c>
      <c r="L1161" s="3">
        <f>IF(K1161&lt;-5,"CRÍTICO",IF(K1161&lt;0,"ATENÇÃO",IF(K1161&lt;=5,"BOM","EXCELENTE")))</f>
        <v/>
      </c>
      <c r="M1161" t="n">
        <v>0</v>
      </c>
      <c r="N1161" t="n">
        <v>0</v>
      </c>
      <c r="O1161" t="n">
        <v>0</v>
      </c>
    </row>
    <row r="1162" hidden="1">
      <c r="A1162" s="11" t="n">
        <v>46036</v>
      </c>
      <c r="B1162" t="inlineStr">
        <is>
          <t>Milena Sales</t>
        </is>
      </c>
      <c r="C1162" t="inlineStr">
        <is>
          <t>JR</t>
        </is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s="3" t="n">
        <v>0</v>
      </c>
      <c r="J1162" s="3" t="n">
        <v>0</v>
      </c>
      <c r="K1162" s="3" t="n">
        <v>0</v>
      </c>
      <c r="L1162" s="3">
        <f>IF(K1162&lt;-5,"CRÍTICO",IF(K1162&lt;0,"ATENÇÃO",IF(K1162&lt;=5,"BOM","EXCELENTE")))</f>
        <v/>
      </c>
      <c r="M1162" t="n">
        <v>0</v>
      </c>
      <c r="N1162" t="n">
        <v>0</v>
      </c>
      <c r="O1162" t="n">
        <v>0</v>
      </c>
    </row>
    <row r="1163" hidden="1">
      <c r="A1163" s="11" t="n">
        <v>46036</v>
      </c>
      <c r="B1163" t="inlineStr">
        <is>
          <t>Patrícia Karla de Sousa Araújo</t>
        </is>
      </c>
      <c r="C1163" t="inlineStr">
        <is>
          <t>Técnico II</t>
        </is>
      </c>
      <c r="D1163" t="n">
        <v>26</v>
      </c>
      <c r="E1163" t="n">
        <v>25</v>
      </c>
      <c r="F1163" t="n">
        <v>20.51</v>
      </c>
      <c r="G1163" t="n">
        <v>0</v>
      </c>
      <c r="H1163" t="n">
        <v>0</v>
      </c>
      <c r="I1163" s="3">
        <f>E1163+G1163+H1163</f>
        <v/>
      </c>
      <c r="J1163" s="3">
        <f>ROUND(MIN(IF(C1163="Técnico III",35,IF(C1163="Técnico II",28,IF(C1163="Técnico I",23,IF(C1163="JR",20,IF(C1163="Estágio",10,0))))),IF(C1163="Técnico III",SUMIFS($D:$D,$A:$A,$A1163,$B:$B,"&lt;&gt;Patrícia Karla de Sousa Araújo",$B:$B,"&lt;&gt;Lorena Dias de Araujo",$B:$B,"&lt;&gt;Lucas Luiz Romero")*(35/1083),IF(C1163="Técnico II",SUMIFS($D:$D,$A:$A,$A1163,$B:$B,"&lt;&gt;Patrícia Karla de Sousa Araújo",$B:$B,"&lt;&gt;Lorena Dias de Araujo",$B:$B,"&lt;&gt;Lucas Luiz Romero")*(28/1083),IF(C1163="Técnico I",SUMIFS($D:$D,$A:$A,$A1163,$B:$B,"&lt;&gt;Patrícia Karla de Sousa Araújo",$B:$B,"&lt;&gt;Lorena Dias de Araujo",$B:$B,"&lt;&gt;Lucas Luiz Romero")*(23/1083),IF(C1163="JR",SUMIFS($D:$D,$A:$A,$A1163,$B:$B,"&lt;&gt;Patrícia Karla de Sousa Araújo",$B:$B,"&lt;&gt;Lorena Dias de Araujo",$B:$B,"&lt;&gt;Lucas Luiz Romero")*(20/1083),IF(C1163="Estágio",SUMIFS($D:$D,$A:$A,$A1163,$B:$B,"&lt;&gt;Patrícia Karla de Sousa Araújo",$B:$B,"&lt;&gt;Lorena Dias de Araujo",$B:$B,"&lt;&gt;Lucas Luiz Romero")*(10/1083),0)))))),0)</f>
        <v/>
      </c>
      <c r="K1163" s="3">
        <f>I1163-J1163</f>
        <v/>
      </c>
      <c r="L1163" s="3">
        <f>IF(K1163&lt;-5,"CRÍTICO",IF(K1163&lt;0,"ATENÇÃO",IF(K1163&lt;=5,"BOM","EXCELENTE")))</f>
        <v/>
      </c>
      <c r="M1163" t="n">
        <v>21</v>
      </c>
      <c r="N1163" t="n">
        <v>100</v>
      </c>
      <c r="O1163" t="n">
        <v>25</v>
      </c>
    </row>
    <row r="1164" hidden="1">
      <c r="A1164" s="11" t="n">
        <v>46036</v>
      </c>
      <c r="B1164" t="inlineStr">
        <is>
          <t>Paulo Ricardo Santos</t>
        </is>
      </c>
      <c r="C1164" t="inlineStr">
        <is>
          <t>JR</t>
        </is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s="3" t="n">
        <v>0</v>
      </c>
      <c r="J1164" s="3" t="n">
        <v>0</v>
      </c>
      <c r="K1164" s="3" t="n">
        <v>0</v>
      </c>
      <c r="L1164" s="3">
        <f>IF(K1164&lt;-5,"CRÍTICO",IF(K1164&lt;0,"ATENÇÃO",IF(K1164&lt;=5,"BOM","EXCELENTE")))</f>
        <v/>
      </c>
      <c r="M1164" t="n">
        <v>0</v>
      </c>
      <c r="N1164" t="n">
        <v>0</v>
      </c>
      <c r="O1164" t="n">
        <v>0</v>
      </c>
    </row>
    <row r="1165" hidden="1">
      <c r="A1165" s="11" t="n">
        <v>46036</v>
      </c>
      <c r="B1165" t="inlineStr">
        <is>
          <t>Pedro Luiz Mota Sousa</t>
        </is>
      </c>
      <c r="C1165" t="inlineStr">
        <is>
          <t>JR</t>
        </is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s="3" t="n">
        <v>0</v>
      </c>
      <c r="J1165" s="3" t="n">
        <v>0</v>
      </c>
      <c r="K1165" s="3" t="n">
        <v>0</v>
      </c>
      <c r="L1165" s="3">
        <f>IF(K1165&lt;-5,"CRÍTICO",IF(K1165&lt;0,"ATENÇÃO",IF(K1165&lt;=5,"BOM","EXCELENTE")))</f>
        <v/>
      </c>
      <c r="M1165" t="n">
        <v>0</v>
      </c>
      <c r="N1165" t="n">
        <v>0</v>
      </c>
      <c r="O1165" t="n">
        <v>0</v>
      </c>
    </row>
    <row r="1166" hidden="1">
      <c r="A1166" s="11" t="n">
        <v>46036</v>
      </c>
      <c r="B1166" t="inlineStr">
        <is>
          <t>Quirino Diogo Leite Torres</t>
        </is>
      </c>
      <c r="C1166" t="inlineStr">
        <is>
          <t>Estágio</t>
        </is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s="3" t="n">
        <v>0</v>
      </c>
      <c r="J1166" s="3" t="n">
        <v>0</v>
      </c>
      <c r="K1166" s="3" t="n">
        <v>0</v>
      </c>
      <c r="L1166" s="3">
        <f>IF(K1166&lt;-5,"CRÍTICO",IF(K1166&lt;0,"ATENÇÃO",IF(K1166&lt;=5,"BOM","EXCELENTE")))</f>
        <v/>
      </c>
      <c r="M1166" t="n">
        <v>0</v>
      </c>
      <c r="N1166" t="n">
        <v>0</v>
      </c>
      <c r="O1166" t="n">
        <v>0</v>
      </c>
    </row>
    <row r="1167" hidden="1">
      <c r="A1167" s="11" t="n">
        <v>46036</v>
      </c>
      <c r="B1167" t="inlineStr">
        <is>
          <t>Raane Batista Matos</t>
        </is>
      </c>
      <c r="C1167" t="inlineStr">
        <is>
          <t>Técnico I</t>
        </is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s="3" t="n">
        <v>0</v>
      </c>
      <c r="J1167" s="3" t="n">
        <v>0</v>
      </c>
      <c r="K1167" s="3" t="n">
        <v>0</v>
      </c>
      <c r="L1167" s="3">
        <f>IF(K1167&lt;-5,"CRÍTICO",IF(K1167&lt;0,"ATENÇÃO",IF(K1167&lt;=5,"BOM","EXCELENTE")))</f>
        <v/>
      </c>
      <c r="M1167" t="n">
        <v>0</v>
      </c>
      <c r="N1167" t="n">
        <v>0</v>
      </c>
      <c r="O1167" t="n">
        <v>0</v>
      </c>
    </row>
    <row r="1168" hidden="1">
      <c r="A1168" s="11" t="n">
        <v>46036</v>
      </c>
      <c r="B1168" t="inlineStr">
        <is>
          <t>Rafael Gomes de Morais</t>
        </is>
      </c>
      <c r="C1168" t="inlineStr">
        <is>
          <t>Técnico III</t>
        </is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s="3" t="n">
        <v>0</v>
      </c>
      <c r="J1168" s="3" t="n">
        <v>0</v>
      </c>
      <c r="K1168" s="3" t="n">
        <v>0</v>
      </c>
      <c r="L1168" s="3">
        <f>IF(K1168&lt;-5,"CRÍTICO",IF(K1168&lt;0,"ATENÇÃO",IF(K1168&lt;=5,"BOM","EXCELENTE")))</f>
        <v/>
      </c>
      <c r="M1168" t="n">
        <v>0</v>
      </c>
      <c r="N1168" t="n">
        <v>0</v>
      </c>
      <c r="O1168" t="n">
        <v>0</v>
      </c>
    </row>
    <row r="1169" hidden="1">
      <c r="A1169" s="11" t="n">
        <v>46036</v>
      </c>
      <c r="B1169" t="inlineStr">
        <is>
          <t>Sara Maria Monteiro Lopes</t>
        </is>
      </c>
      <c r="C1169" t="inlineStr">
        <is>
          <t>Técnico I</t>
        </is>
      </c>
      <c r="D1169" t="n">
        <v>17</v>
      </c>
      <c r="E1169" t="n">
        <v>17</v>
      </c>
      <c r="F1169" t="n">
        <v>25.5</v>
      </c>
      <c r="G1169" t="n">
        <v>0</v>
      </c>
      <c r="H1169" t="n">
        <v>0</v>
      </c>
      <c r="I1169" s="3">
        <f>E1169+G1169+H1169</f>
        <v/>
      </c>
      <c r="J1169" s="3">
        <f>ROUND(MIN(IF(C1169="Técnico III",35,IF(C1169="Técnico II",28,IF(C1169="Técnico I",23,IF(C1169="JR",20,IF(C1169="Estágio",10,0))))),IF(C1169="Técnico III",SUMIFS($D:$D,$A:$A,$A1169,$B:$B,"&lt;&gt;Patrícia Karla de Sousa Araújo",$B:$B,"&lt;&gt;Lorena Dias de Araujo",$B:$B,"&lt;&gt;Lucas Luiz Romero")*(35/1083),IF(C1169="Técnico II",SUMIFS($D:$D,$A:$A,$A1169,$B:$B,"&lt;&gt;Patrícia Karla de Sousa Araújo",$B:$B,"&lt;&gt;Lorena Dias de Araujo",$B:$B,"&lt;&gt;Lucas Luiz Romero")*(28/1083),IF(C1169="Técnico I",SUMIFS($D:$D,$A:$A,$A1169,$B:$B,"&lt;&gt;Patrícia Karla de Sousa Araújo",$B:$B,"&lt;&gt;Lorena Dias de Araujo",$B:$B,"&lt;&gt;Lucas Luiz Romero")*(23/1083),IF(C1169="JR",SUMIFS($D:$D,$A:$A,$A1169,$B:$B,"&lt;&gt;Patrícia Karla de Sousa Araújo",$B:$B,"&lt;&gt;Lorena Dias de Araujo",$B:$B,"&lt;&gt;Lucas Luiz Romero")*(20/1083),IF(C1169="Estágio",SUMIFS($D:$D,$A:$A,$A1169,$B:$B,"&lt;&gt;Patrícia Karla de Sousa Araújo",$B:$B,"&lt;&gt;Lorena Dias de Araujo",$B:$B,"&lt;&gt;Lucas Luiz Romero")*(10/1083),0)))))),0)</f>
        <v/>
      </c>
      <c r="K1169" s="3">
        <f>I1169-J1169</f>
        <v/>
      </c>
      <c r="L1169" s="3">
        <f>IF(K1169&lt;-5,"CRÍTICO",IF(K1169&lt;0,"ATENÇÃO",IF(K1169&lt;=5,"BOM","EXCELENTE")))</f>
        <v/>
      </c>
      <c r="M1169" t="n">
        <v>15</v>
      </c>
      <c r="N1169" t="n">
        <v>100</v>
      </c>
      <c r="O1169" t="n">
        <v>34.90566037735849</v>
      </c>
    </row>
    <row r="1170" hidden="1">
      <c r="A1170" s="11" t="n">
        <v>46036</v>
      </c>
      <c r="B1170" t="inlineStr">
        <is>
          <t>Sarah Steffanie de Lima Borges</t>
        </is>
      </c>
      <c r="C1170" t="inlineStr">
        <is>
          <t>Técnico III</t>
        </is>
      </c>
      <c r="D1170" t="n">
        <v>31</v>
      </c>
      <c r="E1170" t="n">
        <v>31</v>
      </c>
      <c r="F1170" t="n">
        <v>18.52</v>
      </c>
      <c r="G1170" t="n">
        <v>0</v>
      </c>
      <c r="H1170" t="n">
        <v>0</v>
      </c>
      <c r="I1170" s="3">
        <f>E1170+G1170+H1170</f>
        <v/>
      </c>
      <c r="J1170" s="3">
        <f>ROUND(MIN(IF(C1170="Técnico III",35,IF(C1170="Técnico II",28,IF(C1170="Técnico I",23,IF(C1170="JR",20,IF(C1170="Estágio",10,0))))),IF(C1170="Técnico III",SUMIFS($D:$D,$A:$A,$A1170,$B:$B,"&lt;&gt;Patrícia Karla de Sousa Araújo",$B:$B,"&lt;&gt;Lorena Dias de Araujo",$B:$B,"&lt;&gt;Lucas Luiz Romero")*(35/1083),IF(C1170="Técnico II",SUMIFS($D:$D,$A:$A,$A1170,$B:$B,"&lt;&gt;Patrícia Karla de Sousa Araújo",$B:$B,"&lt;&gt;Lorena Dias de Araujo",$B:$B,"&lt;&gt;Lucas Luiz Romero")*(28/1083),IF(C1170="Técnico I",SUMIFS($D:$D,$A:$A,$A1170,$B:$B,"&lt;&gt;Patrícia Karla de Sousa Araújo",$B:$B,"&lt;&gt;Lorena Dias de Araujo",$B:$B,"&lt;&gt;Lucas Luiz Romero")*(23/1083),IF(C1170="JR",SUMIFS($D:$D,$A:$A,$A1170,$B:$B,"&lt;&gt;Patrícia Karla de Sousa Araújo",$B:$B,"&lt;&gt;Lorena Dias de Araujo",$B:$B,"&lt;&gt;Lucas Luiz Romero")*(20/1083),IF(C1170="Estágio",SUMIFS($D:$D,$A:$A,$A1170,$B:$B,"&lt;&gt;Patrícia Karla de Sousa Araújo",$B:$B,"&lt;&gt;Lorena Dias de Araujo",$B:$B,"&lt;&gt;Lucas Luiz Romero")*(10/1083),0)))))),0)</f>
        <v/>
      </c>
      <c r="K1170" s="3">
        <f>I1170-J1170</f>
        <v/>
      </c>
      <c r="L1170" s="3">
        <f>IF(K1170&lt;-5,"CRÍTICO",IF(K1170&lt;0,"ATENÇÃO",IF(K1170&lt;=5,"BOM","EXCELENTE")))</f>
        <v/>
      </c>
      <c r="M1170" t="n">
        <v>26</v>
      </c>
      <c r="N1170" t="n">
        <v>100</v>
      </c>
      <c r="O1170" t="n">
        <v>24.88038277511962</v>
      </c>
    </row>
    <row r="1171" hidden="1">
      <c r="A1171" s="11" t="n">
        <v>46037</v>
      </c>
      <c r="B1171" t="inlineStr">
        <is>
          <t>Alisson de Freitas Silva</t>
        </is>
      </c>
      <c r="C1171" t="inlineStr">
        <is>
          <t>Técnico II</t>
        </is>
      </c>
      <c r="D1171" t="n">
        <v>26</v>
      </c>
      <c r="E1171" t="n">
        <v>26</v>
      </c>
      <c r="F1171" t="n">
        <v>23.28</v>
      </c>
      <c r="G1171" t="n">
        <v>0</v>
      </c>
      <c r="H1171" t="n">
        <v>0</v>
      </c>
      <c r="I1171" s="3">
        <f>E1171+G1171+H1171</f>
        <v/>
      </c>
      <c r="J1171" s="3">
        <f>ROUND(MIN(IF(C1171="Técnico III",35,IF(C1171="Técnico II",28,IF(C1171="Técnico I",23,IF(C1171="JR",20,IF(C1171="Estágio",10,0))))),IF(C1171="Técnico III",SUMIFS($D:$D,$A:$A,$A1171,$B:$B,"&lt;&gt;Patrícia Karla de Sousa Araújo",$B:$B,"&lt;&gt;Lorena Dias de Araujo",$B:$B,"&lt;&gt;Lucas Luiz Romero")*(35/1083),IF(C1171="Técnico II",SUMIFS($D:$D,$A:$A,$A1171,$B:$B,"&lt;&gt;Patrícia Karla de Sousa Araújo",$B:$B,"&lt;&gt;Lorena Dias de Araujo",$B:$B,"&lt;&gt;Lucas Luiz Romero")*(28/1083),IF(C1171="Técnico I",SUMIFS($D:$D,$A:$A,$A1171,$B:$B,"&lt;&gt;Patrícia Karla de Sousa Araújo",$B:$B,"&lt;&gt;Lorena Dias de Araujo",$B:$B,"&lt;&gt;Lucas Luiz Romero")*(23/1083),IF(C1171="JR",SUMIFS($D:$D,$A:$A,$A1171,$B:$B,"&lt;&gt;Patrícia Karla de Sousa Araújo",$B:$B,"&lt;&gt;Lorena Dias de Araujo",$B:$B,"&lt;&gt;Lucas Luiz Romero")*(20/1083),IF(C1171="Estágio",SUMIFS($D:$D,$A:$A,$A1171,$B:$B,"&lt;&gt;Patrícia Karla de Sousa Araújo",$B:$B,"&lt;&gt;Lorena Dias de Araujo",$B:$B,"&lt;&gt;Lucas Luiz Romero")*(10/1083),0)))))),0)</f>
        <v/>
      </c>
      <c r="K1171" s="3">
        <f>I1171-J1171</f>
        <v/>
      </c>
      <c r="L1171" s="3">
        <f>IF(K1171&lt;-5,"CRÍTICO",IF(K1171&lt;0,"ATENÇÃO",IF(K1171&lt;=5,"BOM","EXCELENTE")))</f>
        <v/>
      </c>
      <c r="M1171" t="n">
        <v>22</v>
      </c>
      <c r="N1171" t="n">
        <v>100</v>
      </c>
      <c r="O1171" t="n">
        <v>28.1767955801105</v>
      </c>
    </row>
    <row r="1172" hidden="1">
      <c r="A1172" s="11" t="n">
        <v>46037</v>
      </c>
      <c r="B1172" t="inlineStr">
        <is>
          <t>Amanda Moura Ferreira</t>
        </is>
      </c>
      <c r="C1172" t="inlineStr">
        <is>
          <t>Técnico III</t>
        </is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s="3" t="n">
        <v>0</v>
      </c>
      <c r="J1172" s="3" t="n">
        <v>0</v>
      </c>
      <c r="K1172" s="3" t="n">
        <v>0</v>
      </c>
      <c r="L1172" s="3">
        <f>IF(K1172&lt;-5,"CRÍTICO",IF(K1172&lt;0,"ATENÇÃO",IF(K1172&lt;=5,"BOM","EXCELENTE")))</f>
        <v/>
      </c>
      <c r="M1172" t="n">
        <v>21</v>
      </c>
      <c r="N1172" t="n">
        <v>98.08</v>
      </c>
      <c r="O1172" t="n">
        <v>29.87012987012987</v>
      </c>
    </row>
    <row r="1173" hidden="1">
      <c r="A1173" s="11" t="n">
        <v>46037</v>
      </c>
      <c r="B1173" t="inlineStr">
        <is>
          <t>Ana Karollyne Souza Faria</t>
        </is>
      </c>
      <c r="C1173" t="inlineStr">
        <is>
          <t>Técnico I</t>
        </is>
      </c>
      <c r="D1173" t="n">
        <v>34</v>
      </c>
      <c r="E1173" t="n">
        <v>30</v>
      </c>
      <c r="F1173" t="n">
        <v>18.51</v>
      </c>
      <c r="G1173" t="n">
        <v>0</v>
      </c>
      <c r="H1173" t="n">
        <v>0</v>
      </c>
      <c r="I1173" s="3">
        <f>E1173+G1173+H1173</f>
        <v/>
      </c>
      <c r="J1173" s="3">
        <f>ROUND(MIN(IF(C1173="Técnico III",35,IF(C1173="Técnico II",28,IF(C1173="Técnico I",23,IF(C1173="JR",20,IF(C1173="Estágio",10,0))))),IF(C1173="Técnico III",SUMIFS($D:$D,$A:$A,$A1173,$B:$B,"&lt;&gt;Patrícia Karla de Sousa Araújo",$B:$B,"&lt;&gt;Lorena Dias de Araujo",$B:$B,"&lt;&gt;Lucas Luiz Romero")*(35/1083),IF(C1173="Técnico II",SUMIFS($D:$D,$A:$A,$A1173,$B:$B,"&lt;&gt;Patrícia Karla de Sousa Araújo",$B:$B,"&lt;&gt;Lorena Dias de Araujo",$B:$B,"&lt;&gt;Lucas Luiz Romero")*(28/1083),IF(C1173="Técnico I",SUMIFS($D:$D,$A:$A,$A1173,$B:$B,"&lt;&gt;Patrícia Karla de Sousa Araújo",$B:$B,"&lt;&gt;Lorena Dias de Araujo",$B:$B,"&lt;&gt;Lucas Luiz Romero")*(23/1083),IF(C1173="JR",SUMIFS($D:$D,$A:$A,$A1173,$B:$B,"&lt;&gt;Patrícia Karla de Sousa Araújo",$B:$B,"&lt;&gt;Lorena Dias de Araujo",$B:$B,"&lt;&gt;Lucas Luiz Romero")*(20/1083),IF(C1173="Estágio",SUMIFS($D:$D,$A:$A,$A1173,$B:$B,"&lt;&gt;Patrícia Karla de Sousa Araújo",$B:$B,"&lt;&gt;Lorena Dias de Araujo",$B:$B,"&lt;&gt;Lucas Luiz Romero")*(10/1083),0)))))),0)</f>
        <v/>
      </c>
      <c r="K1173" s="3">
        <f>I1173-J1173</f>
        <v/>
      </c>
      <c r="L1173" s="3">
        <f>IF(K1173&lt;-5,"CRÍTICO",IF(K1173&lt;0,"ATENÇÃO",IF(K1173&lt;=5,"BOM","EXCELENTE")))</f>
        <v/>
      </c>
      <c r="M1173" t="n">
        <v>29</v>
      </c>
      <c r="N1173" t="n">
        <v>100</v>
      </c>
      <c r="O1173" t="n">
        <v>25.84745762711864</v>
      </c>
    </row>
    <row r="1174" hidden="1">
      <c r="A1174" s="11" t="n">
        <v>46037</v>
      </c>
      <c r="B1174" t="inlineStr">
        <is>
          <t>Ana Paula Da Luz Silva Aleixo</t>
        </is>
      </c>
      <c r="C1174" t="inlineStr">
        <is>
          <t>Técnico III</t>
        </is>
      </c>
      <c r="D1174" t="n">
        <v>13</v>
      </c>
      <c r="E1174" t="n">
        <v>13</v>
      </c>
      <c r="F1174" t="n">
        <v>20.14</v>
      </c>
      <c r="G1174" t="n">
        <v>0</v>
      </c>
      <c r="H1174" t="n">
        <v>0</v>
      </c>
      <c r="I1174" s="3">
        <f>E1174+G1174+H1174</f>
        <v/>
      </c>
      <c r="J1174" s="3">
        <f>ROUND(MIN(IF(C1174="Técnico III",35,IF(C1174="Técnico II",28,IF(C1174="Técnico I",23,IF(C1174="JR",20,IF(C1174="Estágio",10,0))))),IF(C1174="Técnico III",SUMIFS($D:$D,$A:$A,$A1174,$B:$B,"&lt;&gt;Patrícia Karla de Sousa Araújo",$B:$B,"&lt;&gt;Lorena Dias de Araujo",$B:$B,"&lt;&gt;Lucas Luiz Romero")*(35/1083),IF(C1174="Técnico II",SUMIFS($D:$D,$A:$A,$A1174,$B:$B,"&lt;&gt;Patrícia Karla de Sousa Araújo",$B:$B,"&lt;&gt;Lorena Dias de Araujo",$B:$B,"&lt;&gt;Lucas Luiz Romero")*(28/1083),IF(C1174="Técnico I",SUMIFS($D:$D,$A:$A,$A1174,$B:$B,"&lt;&gt;Patrícia Karla de Sousa Araújo",$B:$B,"&lt;&gt;Lorena Dias de Araujo",$B:$B,"&lt;&gt;Lucas Luiz Romero")*(23/1083),IF(C1174="JR",SUMIFS($D:$D,$A:$A,$A1174,$B:$B,"&lt;&gt;Patrícia Karla de Sousa Araújo",$B:$B,"&lt;&gt;Lorena Dias de Araujo",$B:$B,"&lt;&gt;Lucas Luiz Romero")*(20/1083),IF(C1174="Estágio",SUMIFS($D:$D,$A:$A,$A1174,$B:$B,"&lt;&gt;Patrícia Karla de Sousa Araújo",$B:$B,"&lt;&gt;Lorena Dias de Araujo",$B:$B,"&lt;&gt;Lucas Luiz Romero")*(10/1083),0)))))),0)</f>
        <v/>
      </c>
      <c r="K1174" s="3">
        <f>I1174-J1174</f>
        <v/>
      </c>
      <c r="L1174" s="3">
        <f>IF(K1174&lt;-5,"CRÍTICO",IF(K1174&lt;0,"ATENÇÃO",IF(K1174&lt;=5,"BOM","EXCELENTE")))</f>
        <v/>
      </c>
      <c r="M1174" t="n">
        <v>13</v>
      </c>
      <c r="N1174" t="n">
        <v>98.15000000000001</v>
      </c>
      <c r="O1174" t="n">
        <v>30.31674208144796</v>
      </c>
    </row>
    <row r="1175" hidden="1">
      <c r="A1175" s="11" t="n">
        <v>46037</v>
      </c>
      <c r="B1175" t="inlineStr">
        <is>
          <t>Anna Luiza Rezende Tavares</t>
        </is>
      </c>
      <c r="C1175" t="inlineStr">
        <is>
          <t>Estágio</t>
        </is>
      </c>
      <c r="D1175" t="n">
        <v>8</v>
      </c>
      <c r="E1175" t="n">
        <v>8</v>
      </c>
      <c r="F1175" t="n">
        <v>27.33</v>
      </c>
      <c r="G1175" t="n">
        <v>0</v>
      </c>
      <c r="H1175" t="n">
        <v>0</v>
      </c>
      <c r="I1175" s="3">
        <f>E1175+G1175+H1175</f>
        <v/>
      </c>
      <c r="J1175" s="3">
        <f>ROUND(MIN(IF(C1175="Técnico III",35,IF(C1175="Técnico II",28,IF(C1175="Técnico I",23,IF(C1175="JR",20,IF(C1175="Estágio",10,0))))),IF(C1175="Técnico III",SUMIFS($D:$D,$A:$A,$A1175,$B:$B,"&lt;&gt;Patrícia Karla de Sousa Araújo",$B:$B,"&lt;&gt;Lorena Dias de Araujo",$B:$B,"&lt;&gt;Lucas Luiz Romero")*(35/1083),IF(C1175="Técnico II",SUMIFS($D:$D,$A:$A,$A1175,$B:$B,"&lt;&gt;Patrícia Karla de Sousa Araújo",$B:$B,"&lt;&gt;Lorena Dias de Araujo",$B:$B,"&lt;&gt;Lucas Luiz Romero")*(28/1083),IF(C1175="Técnico I",SUMIFS($D:$D,$A:$A,$A1175,$B:$B,"&lt;&gt;Patrícia Karla de Sousa Araújo",$B:$B,"&lt;&gt;Lorena Dias de Araujo",$B:$B,"&lt;&gt;Lucas Luiz Romero")*(23/1083),IF(C1175="JR",SUMIFS($D:$D,$A:$A,$A1175,$B:$B,"&lt;&gt;Patrícia Karla de Sousa Araújo",$B:$B,"&lt;&gt;Lorena Dias de Araujo",$B:$B,"&lt;&gt;Lucas Luiz Romero")*(20/1083),IF(C1175="Estágio",SUMIFS($D:$D,$A:$A,$A1175,$B:$B,"&lt;&gt;Patrícia Karla de Sousa Araújo",$B:$B,"&lt;&gt;Lorena Dias de Araujo",$B:$B,"&lt;&gt;Lucas Luiz Romero")*(10/1083),0)))))),0)</f>
        <v/>
      </c>
      <c r="K1175" s="3">
        <f>I1175-J1175</f>
        <v/>
      </c>
      <c r="L1175" s="3">
        <f>IF(K1175&lt;-5,"CRÍTICO",IF(K1175&lt;0,"ATENÇÃO",IF(K1175&lt;=5,"BOM","EXCELENTE")))</f>
        <v/>
      </c>
      <c r="M1175" t="n">
        <v>7</v>
      </c>
      <c r="N1175" t="n">
        <v>100</v>
      </c>
      <c r="O1175" t="n">
        <v>47.69230769230769</v>
      </c>
    </row>
    <row r="1176" hidden="1">
      <c r="A1176" s="11" t="n">
        <v>46037</v>
      </c>
      <c r="B1176" t="inlineStr">
        <is>
          <t>Brenda de Menezes Silva</t>
        </is>
      </c>
      <c r="C1176" t="inlineStr">
        <is>
          <t>Técnico II</t>
        </is>
      </c>
      <c r="D1176" t="n">
        <v>24</v>
      </c>
      <c r="E1176" t="n">
        <v>21</v>
      </c>
      <c r="F1176" t="n">
        <v>27.13</v>
      </c>
      <c r="G1176" t="n">
        <v>0</v>
      </c>
      <c r="H1176" t="n">
        <v>0</v>
      </c>
      <c r="I1176" s="3">
        <f>E1176+G1176+H1176</f>
        <v/>
      </c>
      <c r="J1176" s="3">
        <f>ROUND(MIN(IF(C1176="Técnico III",35,IF(C1176="Técnico II",28,IF(C1176="Técnico I",23,IF(C1176="JR",20,IF(C1176="Estágio",10,0))))),IF(C1176="Técnico III",SUMIFS($D:$D,$A:$A,$A1176,$B:$B,"&lt;&gt;Patrícia Karla de Sousa Araújo",$B:$B,"&lt;&gt;Lorena Dias de Araujo",$B:$B,"&lt;&gt;Lucas Luiz Romero")*(35/1083),IF(C1176="Técnico II",SUMIFS($D:$D,$A:$A,$A1176,$B:$B,"&lt;&gt;Patrícia Karla de Sousa Araújo",$B:$B,"&lt;&gt;Lorena Dias de Araujo",$B:$B,"&lt;&gt;Lucas Luiz Romero")*(28/1083),IF(C1176="Técnico I",SUMIFS($D:$D,$A:$A,$A1176,$B:$B,"&lt;&gt;Patrícia Karla de Sousa Araújo",$B:$B,"&lt;&gt;Lorena Dias de Araujo",$B:$B,"&lt;&gt;Lucas Luiz Romero")*(23/1083),IF(C1176="JR",SUMIFS($D:$D,$A:$A,$A1176,$B:$B,"&lt;&gt;Patrícia Karla de Sousa Araújo",$B:$B,"&lt;&gt;Lorena Dias de Araujo",$B:$B,"&lt;&gt;Lucas Luiz Romero")*(20/1083),IF(C1176="Estágio",SUMIFS($D:$D,$A:$A,$A1176,$B:$B,"&lt;&gt;Patrícia Karla de Sousa Araújo",$B:$B,"&lt;&gt;Lorena Dias de Araujo",$B:$B,"&lt;&gt;Lucas Luiz Romero")*(10/1083),0)))))),0)</f>
        <v/>
      </c>
      <c r="K1176" s="3">
        <f>I1176-J1176</f>
        <v/>
      </c>
      <c r="L1176" s="3">
        <f>IF(K1176&lt;-5,"CRÍTICO",IF(K1176&lt;0,"ATENÇÃO",IF(K1176&lt;=5,"BOM","EXCELENTE")))</f>
        <v/>
      </c>
      <c r="M1176" t="n">
        <v>22</v>
      </c>
      <c r="N1176" t="n">
        <v>100</v>
      </c>
      <c r="O1176" t="n">
        <v>27.27272727272727</v>
      </c>
    </row>
    <row r="1177" hidden="1">
      <c r="A1177" s="11" t="n">
        <v>46037</v>
      </c>
      <c r="B1177" t="inlineStr">
        <is>
          <t>Carlos Mateus Cassimiro Nunes</t>
        </is>
      </c>
      <c r="C1177" t="inlineStr">
        <is>
          <t>Técnico II</t>
        </is>
      </c>
      <c r="D1177" t="n">
        <v>21</v>
      </c>
      <c r="E1177" t="n">
        <v>21</v>
      </c>
      <c r="F1177" t="n">
        <v>34.01</v>
      </c>
      <c r="G1177" t="n">
        <v>0</v>
      </c>
      <c r="H1177" t="n">
        <v>0</v>
      </c>
      <c r="I1177" s="3">
        <f>E1177+G1177+H1177</f>
        <v/>
      </c>
      <c r="J1177" s="3">
        <f>ROUND(MIN(IF(C1177="Técnico III",35,IF(C1177="Técnico II",28,IF(C1177="Técnico I",23,IF(C1177="JR",20,IF(C1177="Estágio",10,0))))),IF(C1177="Técnico III",SUMIFS($D:$D,$A:$A,$A1177,$B:$B,"&lt;&gt;Patrícia Karla de Sousa Araújo",$B:$B,"&lt;&gt;Lorena Dias de Araujo",$B:$B,"&lt;&gt;Lucas Luiz Romero")*(35/1083),IF(C1177="Técnico II",SUMIFS($D:$D,$A:$A,$A1177,$B:$B,"&lt;&gt;Patrícia Karla de Sousa Araújo",$B:$B,"&lt;&gt;Lorena Dias de Araujo",$B:$B,"&lt;&gt;Lucas Luiz Romero")*(28/1083),IF(C1177="Técnico I",SUMIFS($D:$D,$A:$A,$A1177,$B:$B,"&lt;&gt;Patrícia Karla de Sousa Araújo",$B:$B,"&lt;&gt;Lorena Dias de Araujo",$B:$B,"&lt;&gt;Lucas Luiz Romero")*(23/1083),IF(C1177="JR",SUMIFS($D:$D,$A:$A,$A1177,$B:$B,"&lt;&gt;Patrícia Karla de Sousa Araújo",$B:$B,"&lt;&gt;Lorena Dias de Araujo",$B:$B,"&lt;&gt;Lucas Luiz Romero")*(20/1083),IF(C1177="Estágio",SUMIFS($D:$D,$A:$A,$A1177,$B:$B,"&lt;&gt;Patrícia Karla de Sousa Araújo",$B:$B,"&lt;&gt;Lorena Dias de Araujo",$B:$B,"&lt;&gt;Lucas Luiz Romero")*(10/1083),0)))))),0)</f>
        <v/>
      </c>
      <c r="K1177" s="3">
        <f>I1177-J1177</f>
        <v/>
      </c>
      <c r="L1177" s="3">
        <f>IF(K1177&lt;-5,"CRÍTICO",IF(K1177&lt;0,"ATENÇÃO",IF(K1177&lt;=5,"BOM","EXCELENTE")))</f>
        <v/>
      </c>
      <c r="M1177" t="n">
        <v>19</v>
      </c>
      <c r="N1177" t="n">
        <v>100</v>
      </c>
      <c r="O1177" t="n">
        <v>39.34426229508197</v>
      </c>
    </row>
    <row r="1178" hidden="1">
      <c r="A1178" s="11" t="n">
        <v>46037</v>
      </c>
      <c r="B1178" t="inlineStr">
        <is>
          <t>Claudio de Sousa Velasco Filho</t>
        </is>
      </c>
      <c r="C1178" t="inlineStr">
        <is>
          <t>Estágio</t>
        </is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s="3" t="n">
        <v>0</v>
      </c>
      <c r="J1178" s="3" t="n">
        <v>0</v>
      </c>
      <c r="K1178" s="3" t="n">
        <v>0</v>
      </c>
      <c r="L1178" s="3">
        <f>IF(K1178&lt;-5,"CRÍTICO",IF(K1178&lt;0,"ATENÇÃO",IF(K1178&lt;=5,"BOM","EXCELENTE")))</f>
        <v/>
      </c>
      <c r="M1178" t="n">
        <v>0</v>
      </c>
      <c r="N1178" t="n">
        <v>0</v>
      </c>
      <c r="O1178" t="n">
        <v>0</v>
      </c>
    </row>
    <row r="1179" hidden="1">
      <c r="A1179" s="11" t="n">
        <v>46037</v>
      </c>
      <c r="B1179" t="inlineStr">
        <is>
          <t>Clessiane Pereira dos Santos</t>
        </is>
      </c>
      <c r="C1179" t="inlineStr">
        <is>
          <t>Técnico I</t>
        </is>
      </c>
      <c r="D1179" t="n">
        <v>9</v>
      </c>
      <c r="E1179" t="n">
        <v>9</v>
      </c>
      <c r="F1179" t="n">
        <v>69.19</v>
      </c>
      <c r="G1179" t="n">
        <v>0</v>
      </c>
      <c r="H1179" t="n">
        <v>0</v>
      </c>
      <c r="I1179" s="3">
        <f>E1179+G1179+H1179</f>
        <v/>
      </c>
      <c r="J1179" s="3">
        <f>ROUND(MIN(IF(C1179="Técnico III",35,IF(C1179="Técnico II",28,IF(C1179="Técnico I",23,IF(C1179="JR",20,IF(C1179="Estágio",10,0))))),IF(C1179="Técnico III",SUMIFS($D:$D,$A:$A,$A1179,$B:$B,"&lt;&gt;Patrícia Karla de Sousa Araújo",$B:$B,"&lt;&gt;Lorena Dias de Araujo",$B:$B,"&lt;&gt;Lucas Luiz Romero")*(35/1083),IF(C1179="Técnico II",SUMIFS($D:$D,$A:$A,$A1179,$B:$B,"&lt;&gt;Patrícia Karla de Sousa Araújo",$B:$B,"&lt;&gt;Lorena Dias de Araujo",$B:$B,"&lt;&gt;Lucas Luiz Romero")*(28/1083),IF(C1179="Técnico I",SUMIFS($D:$D,$A:$A,$A1179,$B:$B,"&lt;&gt;Patrícia Karla de Sousa Araújo",$B:$B,"&lt;&gt;Lorena Dias de Araujo",$B:$B,"&lt;&gt;Lucas Luiz Romero")*(23/1083),IF(C1179="JR",SUMIFS($D:$D,$A:$A,$A1179,$B:$B,"&lt;&gt;Patrícia Karla de Sousa Araújo",$B:$B,"&lt;&gt;Lorena Dias de Araujo",$B:$B,"&lt;&gt;Lucas Luiz Romero")*(20/1083),IF(C1179="Estágio",SUMIFS($D:$D,$A:$A,$A1179,$B:$B,"&lt;&gt;Patrícia Karla de Sousa Araújo",$B:$B,"&lt;&gt;Lorena Dias de Araujo",$B:$B,"&lt;&gt;Lucas Luiz Romero")*(10/1083),0)))))),0)</f>
        <v/>
      </c>
      <c r="K1179" s="3">
        <f>I1179-J1179</f>
        <v/>
      </c>
      <c r="L1179" s="3">
        <f>IF(K1179&lt;-5,"CRÍTICO",IF(K1179&lt;0,"ATENÇÃO",IF(K1179&lt;=5,"BOM","EXCELENTE")))</f>
        <v/>
      </c>
      <c r="M1179" t="n">
        <v>8</v>
      </c>
      <c r="N1179" t="n">
        <v>100</v>
      </c>
      <c r="O1179" t="n">
        <v>30.88235294117647</v>
      </c>
    </row>
    <row r="1180" hidden="1">
      <c r="A1180" s="11" t="n">
        <v>46037</v>
      </c>
      <c r="B1180" t="inlineStr">
        <is>
          <t>Cristiane Ramos da Silva Rocha</t>
        </is>
      </c>
      <c r="C1180" t="inlineStr">
        <is>
          <t>Técnico III</t>
        </is>
      </c>
      <c r="D1180" t="n">
        <v>46</v>
      </c>
      <c r="E1180" t="n">
        <v>43</v>
      </c>
      <c r="F1180" t="n">
        <v>10.02</v>
      </c>
      <c r="G1180" t="n">
        <v>0</v>
      </c>
      <c r="H1180" t="n">
        <v>0</v>
      </c>
      <c r="I1180" s="3">
        <f>E1180+G1180+H1180</f>
        <v/>
      </c>
      <c r="J1180" s="3">
        <f>ROUND(MIN(IF(C1180="Técnico III",35,IF(C1180="Técnico II",28,IF(C1180="Técnico I",23,IF(C1180="JR",20,IF(C1180="Estágio",10,0))))),IF(C1180="Técnico III",SUMIFS($D:$D,$A:$A,$A1180,$B:$B,"&lt;&gt;Patrícia Karla de Sousa Araújo",$B:$B,"&lt;&gt;Lorena Dias de Araujo",$B:$B,"&lt;&gt;Lucas Luiz Romero")*(35/1083),IF(C1180="Técnico II",SUMIFS($D:$D,$A:$A,$A1180,$B:$B,"&lt;&gt;Patrícia Karla de Sousa Araújo",$B:$B,"&lt;&gt;Lorena Dias de Araujo",$B:$B,"&lt;&gt;Lucas Luiz Romero")*(28/1083),IF(C1180="Técnico I",SUMIFS($D:$D,$A:$A,$A1180,$B:$B,"&lt;&gt;Patrícia Karla de Sousa Araújo",$B:$B,"&lt;&gt;Lorena Dias de Araujo",$B:$B,"&lt;&gt;Lucas Luiz Romero")*(23/1083),IF(C1180="JR",SUMIFS($D:$D,$A:$A,$A1180,$B:$B,"&lt;&gt;Patrícia Karla de Sousa Araújo",$B:$B,"&lt;&gt;Lorena Dias de Araujo",$B:$B,"&lt;&gt;Lucas Luiz Romero")*(20/1083),IF(C1180="Estágio",SUMIFS($D:$D,$A:$A,$A1180,$B:$B,"&lt;&gt;Patrícia Karla de Sousa Araújo",$B:$B,"&lt;&gt;Lorena Dias de Araujo",$B:$B,"&lt;&gt;Lucas Luiz Romero")*(10/1083),0)))))),0)</f>
        <v/>
      </c>
      <c r="K1180" s="3">
        <f>I1180-J1180</f>
        <v/>
      </c>
      <c r="L1180" s="3">
        <f>IF(K1180&lt;-5,"CRÍTICO",IF(K1180&lt;0,"ATENÇÃO",IF(K1180&lt;=5,"BOM","EXCELENTE")))</f>
        <v/>
      </c>
      <c r="M1180" t="n">
        <v>39</v>
      </c>
      <c r="N1180" t="n">
        <v>96.34</v>
      </c>
      <c r="O1180" t="n">
        <v>39.59044368600683</v>
      </c>
    </row>
    <row r="1181" hidden="1">
      <c r="A1181" s="11" t="n">
        <v>46037</v>
      </c>
      <c r="B1181" t="inlineStr">
        <is>
          <t>Damyllis Lorraine de Oliveira Gonçalves</t>
        </is>
      </c>
      <c r="C1181" t="inlineStr">
        <is>
          <t>Técnico II</t>
        </is>
      </c>
      <c r="D1181" t="n">
        <v>35</v>
      </c>
      <c r="E1181" t="n">
        <v>27</v>
      </c>
      <c r="F1181" t="n">
        <v>17.01</v>
      </c>
      <c r="G1181" t="n">
        <v>0</v>
      </c>
      <c r="H1181" t="n">
        <v>0</v>
      </c>
      <c r="I1181" s="3" t="n">
        <v>0</v>
      </c>
      <c r="J1181" s="3" t="n">
        <v>0</v>
      </c>
      <c r="K1181" s="3" t="n">
        <v>0</v>
      </c>
      <c r="L1181" s="3">
        <f>IF(K1181&lt;-5,"CRÍTICO",IF(K1181&lt;0,"ATENÇÃO",IF(K1181&lt;=5,"BOM","EXCELENTE")))</f>
        <v/>
      </c>
      <c r="M1181" t="n">
        <v>29</v>
      </c>
      <c r="N1181" t="n">
        <v>97.83</v>
      </c>
      <c r="O1181" t="n">
        <v>33.17307692307692</v>
      </c>
    </row>
    <row r="1182" hidden="1">
      <c r="A1182" s="11" t="n">
        <v>46037</v>
      </c>
      <c r="B1182" t="inlineStr">
        <is>
          <t>Daniel Gomes da Silva</t>
        </is>
      </c>
      <c r="C1182" t="inlineStr">
        <is>
          <t>Técnico I</t>
        </is>
      </c>
      <c r="D1182" t="n">
        <v>18</v>
      </c>
      <c r="E1182" t="n">
        <v>16</v>
      </c>
      <c r="F1182" t="n">
        <v>33.21</v>
      </c>
      <c r="G1182" t="n">
        <v>0</v>
      </c>
      <c r="H1182" t="n">
        <v>0</v>
      </c>
      <c r="I1182" s="3">
        <f>E1182+G1182+H1182</f>
        <v/>
      </c>
      <c r="J1182" s="3">
        <f>ROUND(MIN(IF(C1182="Técnico III",35,IF(C1182="Técnico II",28,IF(C1182="Técnico I",23,IF(C1182="JR",20,IF(C1182="Estágio",10,0))))),IF(C1182="Técnico III",SUMIFS($D:$D,$A:$A,$A1182,$B:$B,"&lt;&gt;Patrícia Karla de Sousa Araújo",$B:$B,"&lt;&gt;Lorena Dias de Araujo",$B:$B,"&lt;&gt;Lucas Luiz Romero")*(35/1083),IF(C1182="Técnico II",SUMIFS($D:$D,$A:$A,$A1182,$B:$B,"&lt;&gt;Patrícia Karla de Sousa Araújo",$B:$B,"&lt;&gt;Lorena Dias de Araujo",$B:$B,"&lt;&gt;Lucas Luiz Romero")*(28/1083),IF(C1182="Técnico I",SUMIFS($D:$D,$A:$A,$A1182,$B:$B,"&lt;&gt;Patrícia Karla de Sousa Araújo",$B:$B,"&lt;&gt;Lorena Dias de Araujo",$B:$B,"&lt;&gt;Lucas Luiz Romero")*(23/1083),IF(C1182="JR",SUMIFS($D:$D,$A:$A,$A1182,$B:$B,"&lt;&gt;Patrícia Karla de Sousa Araújo",$B:$B,"&lt;&gt;Lorena Dias de Araujo",$B:$B,"&lt;&gt;Lucas Luiz Romero")*(20/1083),IF(C1182="Estágio",SUMIFS($D:$D,$A:$A,$A1182,$B:$B,"&lt;&gt;Patrícia Karla de Sousa Araújo",$B:$B,"&lt;&gt;Lorena Dias de Araujo",$B:$B,"&lt;&gt;Lucas Luiz Romero")*(10/1083),0)))))),0)</f>
        <v/>
      </c>
      <c r="K1182" s="3">
        <f>I1182-J1182</f>
        <v/>
      </c>
      <c r="L1182" s="3">
        <f>IF(K1182&lt;-5,"CRÍTICO",IF(K1182&lt;0,"ATENÇÃO",IF(K1182&lt;=5,"BOM","EXCELENTE")))</f>
        <v/>
      </c>
      <c r="M1182" t="n">
        <v>20</v>
      </c>
      <c r="N1182" t="n">
        <v>100</v>
      </c>
      <c r="O1182" t="n">
        <v>27.04918032786885</v>
      </c>
    </row>
    <row r="1183" hidden="1">
      <c r="A1183" s="11" t="n">
        <v>46037</v>
      </c>
      <c r="B1183" t="inlineStr">
        <is>
          <t>Davylla Rodrigues Freitas Silva</t>
        </is>
      </c>
      <c r="C1183" t="inlineStr">
        <is>
          <t>Técnico III</t>
        </is>
      </c>
      <c r="D1183" t="n">
        <v>20</v>
      </c>
      <c r="E1183" t="n">
        <v>20</v>
      </c>
      <c r="F1183" t="n">
        <v>25.03</v>
      </c>
      <c r="G1183" t="n">
        <v>0</v>
      </c>
      <c r="H1183" t="n">
        <v>0</v>
      </c>
      <c r="I1183" s="3" t="n">
        <v>0</v>
      </c>
      <c r="J1183" s="3" t="n">
        <v>0</v>
      </c>
      <c r="K1183" s="3" t="n">
        <v>0</v>
      </c>
      <c r="L1183" s="3">
        <f>IF(K1183&lt;-5,"CRÍTICO",IF(K1183&lt;0,"ATENÇÃO",IF(K1183&lt;=5,"BOM","EXCELENTE")))</f>
        <v/>
      </c>
      <c r="M1183" t="n">
        <v>20</v>
      </c>
      <c r="N1183" t="n">
        <v>100</v>
      </c>
      <c r="O1183" t="n">
        <v>44.76987447698745</v>
      </c>
    </row>
    <row r="1184" hidden="1">
      <c r="A1184" s="11" t="n">
        <v>46037</v>
      </c>
      <c r="B1184" t="inlineStr">
        <is>
          <t>Emilly Caylane Costa</t>
        </is>
      </c>
      <c r="C1184" t="inlineStr">
        <is>
          <t>Estágio</t>
        </is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s="3" t="n">
        <v>0</v>
      </c>
      <c r="J1184" s="3" t="n">
        <v>0</v>
      </c>
      <c r="K1184" s="3" t="n">
        <v>0</v>
      </c>
      <c r="L1184" s="3">
        <f>IF(K1184&lt;-5,"CRÍTICO",IF(K1184&lt;0,"ATENÇÃO",IF(K1184&lt;=5,"BOM","EXCELENTE")))</f>
        <v/>
      </c>
      <c r="M1184" t="n">
        <v>0</v>
      </c>
      <c r="N1184" t="n">
        <v>0</v>
      </c>
      <c r="O1184" t="n">
        <v>0</v>
      </c>
    </row>
    <row r="1185" hidden="1">
      <c r="A1185" s="11" t="n">
        <v>46037</v>
      </c>
      <c r="B1185" t="inlineStr">
        <is>
          <t>Emilly Kamilly Medeiros Miranda</t>
        </is>
      </c>
      <c r="C1185" t="inlineStr">
        <is>
          <t>Técnico II</t>
        </is>
      </c>
      <c r="D1185" t="n">
        <v>27</v>
      </c>
      <c r="E1185" t="n">
        <v>25</v>
      </c>
      <c r="F1185" t="n">
        <v>22.21</v>
      </c>
      <c r="G1185" t="n">
        <v>0</v>
      </c>
      <c r="H1185" t="n">
        <v>0</v>
      </c>
      <c r="I1185" s="3">
        <f>E1185+G1185+H1185</f>
        <v/>
      </c>
      <c r="J1185" s="3">
        <f>ROUND(MIN(IF(C1185="Técnico III",35,IF(C1185="Técnico II",28,IF(C1185="Técnico I",23,IF(C1185="JR",20,IF(C1185="Estágio",10,0))))),IF(C1185="Técnico III",SUMIFS($D:$D,$A:$A,$A1185,$B:$B,"&lt;&gt;Patrícia Karla de Sousa Araújo",$B:$B,"&lt;&gt;Lorena Dias de Araujo",$B:$B,"&lt;&gt;Lucas Luiz Romero")*(35/1083),IF(C1185="Técnico II",SUMIFS($D:$D,$A:$A,$A1185,$B:$B,"&lt;&gt;Patrícia Karla de Sousa Araújo",$B:$B,"&lt;&gt;Lorena Dias de Araujo",$B:$B,"&lt;&gt;Lucas Luiz Romero")*(28/1083),IF(C1185="Técnico I",SUMIFS($D:$D,$A:$A,$A1185,$B:$B,"&lt;&gt;Patrícia Karla de Sousa Araújo",$B:$B,"&lt;&gt;Lorena Dias de Araujo",$B:$B,"&lt;&gt;Lucas Luiz Romero")*(23/1083),IF(C1185="JR",SUMIFS($D:$D,$A:$A,$A1185,$B:$B,"&lt;&gt;Patrícia Karla de Sousa Araújo",$B:$B,"&lt;&gt;Lorena Dias de Araujo",$B:$B,"&lt;&gt;Lucas Luiz Romero")*(20/1083),IF(C1185="Estágio",SUMIFS($D:$D,$A:$A,$A1185,$B:$B,"&lt;&gt;Patrícia Karla de Sousa Araújo",$B:$B,"&lt;&gt;Lorena Dias de Araujo",$B:$B,"&lt;&gt;Lucas Luiz Romero")*(10/1083),0)))))),0)</f>
        <v/>
      </c>
      <c r="K1185" s="3">
        <f>I1185-J1185</f>
        <v/>
      </c>
      <c r="L1185" s="3">
        <f>IF(K1185&lt;-5,"CRÍTICO",IF(K1185&lt;0,"ATENÇÃO",IF(K1185&lt;=5,"BOM","EXCELENTE")))</f>
        <v/>
      </c>
      <c r="M1185" t="n">
        <v>22</v>
      </c>
      <c r="N1185" t="n">
        <v>100</v>
      </c>
      <c r="O1185" t="n">
        <v>32.03125</v>
      </c>
    </row>
    <row r="1186" hidden="1">
      <c r="A1186" s="11" t="n">
        <v>46037</v>
      </c>
      <c r="B1186" t="inlineStr">
        <is>
          <t>Francielson de Oliveira</t>
        </is>
      </c>
      <c r="C1186" t="inlineStr">
        <is>
          <t>Técnico III</t>
        </is>
      </c>
      <c r="D1186" t="n">
        <v>33</v>
      </c>
      <c r="E1186" t="n">
        <v>32</v>
      </c>
      <c r="F1186" t="n">
        <v>20.06</v>
      </c>
      <c r="G1186" t="n">
        <v>0</v>
      </c>
      <c r="H1186" t="n">
        <v>0</v>
      </c>
      <c r="I1186" s="3">
        <f>E1186+G1186+H1186</f>
        <v/>
      </c>
      <c r="J1186" s="3">
        <f>ROUND(MIN(IF(C1186="Técnico III",35,IF(C1186="Técnico II",28,IF(C1186="Técnico I",23,IF(C1186="JR",20,IF(C1186="Estágio",10,0))))),IF(C1186="Técnico III",SUMIFS($D:$D,$A:$A,$A1186,$B:$B,"&lt;&gt;Patrícia Karla de Sousa Araújo",$B:$B,"&lt;&gt;Lorena Dias de Araujo",$B:$B,"&lt;&gt;Lucas Luiz Romero")*(35/1083),IF(C1186="Técnico II",SUMIFS($D:$D,$A:$A,$A1186,$B:$B,"&lt;&gt;Patrícia Karla de Sousa Araújo",$B:$B,"&lt;&gt;Lorena Dias de Araujo",$B:$B,"&lt;&gt;Lucas Luiz Romero")*(28/1083),IF(C1186="Técnico I",SUMIFS($D:$D,$A:$A,$A1186,$B:$B,"&lt;&gt;Patrícia Karla de Sousa Araújo",$B:$B,"&lt;&gt;Lorena Dias de Araujo",$B:$B,"&lt;&gt;Lucas Luiz Romero")*(23/1083),IF(C1186="JR",SUMIFS($D:$D,$A:$A,$A1186,$B:$B,"&lt;&gt;Patrícia Karla de Sousa Araújo",$B:$B,"&lt;&gt;Lorena Dias de Araujo",$B:$B,"&lt;&gt;Lucas Luiz Romero")*(20/1083),IF(C1186="Estágio",SUMIFS($D:$D,$A:$A,$A1186,$B:$B,"&lt;&gt;Patrícia Karla de Sousa Araújo",$B:$B,"&lt;&gt;Lorena Dias de Araujo",$B:$B,"&lt;&gt;Lucas Luiz Romero")*(10/1083),0)))))),0)</f>
        <v/>
      </c>
      <c r="K1186" s="3">
        <f>I1186-J1186</f>
        <v/>
      </c>
      <c r="L1186" s="3">
        <f>IF(K1186&lt;-5,"CRÍTICO",IF(K1186&lt;0,"ATENÇÃO",IF(K1186&lt;=5,"BOM","EXCELENTE")))</f>
        <v/>
      </c>
      <c r="M1186" t="n">
        <v>28</v>
      </c>
      <c r="N1186" t="n">
        <v>100</v>
      </c>
      <c r="O1186" t="n">
        <v>32.83582089552239</v>
      </c>
    </row>
    <row r="1187" hidden="1">
      <c r="A1187" s="11" t="n">
        <v>46037</v>
      </c>
      <c r="B1187" t="inlineStr">
        <is>
          <t>Francilene Ferreira de Jesus</t>
        </is>
      </c>
      <c r="C1187" t="inlineStr">
        <is>
          <t>Técnico II</t>
        </is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s="3" t="n">
        <v>0</v>
      </c>
      <c r="J1187" s="3" t="n">
        <v>0</v>
      </c>
      <c r="K1187" s="3" t="n">
        <v>0</v>
      </c>
      <c r="L1187" s="3">
        <f>IF(K1187&lt;-5,"CRÍTICO",IF(K1187&lt;0,"ATENÇÃO",IF(K1187&lt;=5,"BOM","EXCELENTE")))</f>
        <v/>
      </c>
      <c r="M1187" t="n">
        <v>1</v>
      </c>
      <c r="N1187" t="n">
        <v>98.44</v>
      </c>
      <c r="O1187" t="n">
        <v>32.75109170305677</v>
      </c>
    </row>
    <row r="1188" hidden="1">
      <c r="A1188" s="11" t="n">
        <v>46071</v>
      </c>
      <c r="B1188" t="inlineStr">
        <is>
          <t>Gabriel Gomes de Andrade</t>
        </is>
      </c>
      <c r="C1188" t="inlineStr">
        <is>
          <t>Técnico I</t>
        </is>
      </c>
      <c r="D1188" t="n">
        <v>18</v>
      </c>
      <c r="E1188" t="n">
        <v>18</v>
      </c>
      <c r="F1188" t="n">
        <v>24.18</v>
      </c>
      <c r="G1188" t="n">
        <v>0</v>
      </c>
      <c r="H1188" t="n">
        <v>0</v>
      </c>
      <c r="I1188" s="3">
        <f>E1188+G1188+H1188</f>
        <v/>
      </c>
      <c r="J1188" s="3">
        <f>ROUND(MIN(IF(C1188="Técnico III",35,IF(C1188="Técnico II",28,IF(C1188="Técnico I",23,IF(C1188="JR",20,IF(C1188="Estágio",10,0))))),IF(C1188="Técnico III",SUMIFS($D:$D,$A:$A,$A1188,$B:$B,"&lt;&gt;Patrícia Karla de Sousa Araújo",$B:$B,"&lt;&gt;Lorena Dias de Araujo",$B:$B,"&lt;&gt;Lucas Luiz Romero")*(35/1083),IF(C1188="Técnico II",SUMIFS($D:$D,$A:$A,$A1188,$B:$B,"&lt;&gt;Patrícia Karla de Sousa Araújo",$B:$B,"&lt;&gt;Lorena Dias de Araujo",$B:$B,"&lt;&gt;Lucas Luiz Romero")*(28/1083),IF(C1188="Técnico I",SUMIFS($D:$D,$A:$A,$A1188,$B:$B,"&lt;&gt;Patrícia Karla de Sousa Araújo",$B:$B,"&lt;&gt;Lorena Dias de Araujo",$B:$B,"&lt;&gt;Lucas Luiz Romero")*(23/1083),IF(C1188="JR",SUMIFS($D:$D,$A:$A,$A1188,$B:$B,"&lt;&gt;Patrícia Karla de Sousa Araújo",$B:$B,"&lt;&gt;Lorena Dias de Araujo",$B:$B,"&lt;&gt;Lucas Luiz Romero")*(20/1083),IF(C1188="Estágio",SUMIFS($D:$D,$A:$A,$A1188,$B:$B,"&lt;&gt;Patrícia Karla de Sousa Araújo",$B:$B,"&lt;&gt;Lorena Dias de Araujo",$B:$B,"&lt;&gt;Lucas Luiz Romero")*(10/1083),0)))))),0)</f>
        <v/>
      </c>
      <c r="K1188" s="3">
        <f>I1188-J1188</f>
        <v/>
      </c>
      <c r="L1188" s="3">
        <f>IF(K1188&lt;-5,"CRÍTICO",IF(K1188&lt;0,"ATENÇÃO",IF(K1188&lt;=5,"BOM","EXCELENTE")))</f>
        <v/>
      </c>
      <c r="M1188" t="n">
        <v>18</v>
      </c>
      <c r="N1188" t="n">
        <v>94.37</v>
      </c>
      <c r="O1188" t="n">
        <v>32.55813953488372</v>
      </c>
    </row>
    <row r="1189" hidden="1">
      <c r="A1189" s="11" t="n">
        <v>46037</v>
      </c>
      <c r="B1189" t="inlineStr">
        <is>
          <t>Isabella Borges de Oliveira</t>
        </is>
      </c>
      <c r="C1189" t="inlineStr">
        <is>
          <t>Técnico II</t>
        </is>
      </c>
      <c r="D1189" t="n">
        <v>31</v>
      </c>
      <c r="E1189" t="n">
        <v>30</v>
      </c>
      <c r="F1189" t="n">
        <v>19.09</v>
      </c>
      <c r="G1189" t="n">
        <v>0</v>
      </c>
      <c r="H1189" t="n">
        <v>0</v>
      </c>
      <c r="I1189" s="3">
        <f>E1189+G1189+H1189</f>
        <v/>
      </c>
      <c r="J1189" s="3">
        <f>ROUND(MIN(IF(C1189="Técnico III",35,IF(C1189="Técnico II",28,IF(C1189="Técnico I",23,IF(C1189="JR",20,IF(C1189="Estágio",10,0))))),IF(C1189="Técnico III",SUMIFS($D:$D,$A:$A,$A1189,$B:$B,"&lt;&gt;Patrícia Karla de Sousa Araújo",$B:$B,"&lt;&gt;Lorena Dias de Araujo",$B:$B,"&lt;&gt;Lucas Luiz Romero")*(35/1083),IF(C1189="Técnico II",SUMIFS($D:$D,$A:$A,$A1189,$B:$B,"&lt;&gt;Patrícia Karla de Sousa Araújo",$B:$B,"&lt;&gt;Lorena Dias de Araujo",$B:$B,"&lt;&gt;Lucas Luiz Romero")*(28/1083),IF(C1189="Técnico I",SUMIFS($D:$D,$A:$A,$A1189,$B:$B,"&lt;&gt;Patrícia Karla de Sousa Araújo",$B:$B,"&lt;&gt;Lorena Dias de Araujo",$B:$B,"&lt;&gt;Lucas Luiz Romero")*(23/1083),IF(C1189="JR",SUMIFS($D:$D,$A:$A,$A1189,$B:$B,"&lt;&gt;Patrícia Karla de Sousa Araújo",$B:$B,"&lt;&gt;Lorena Dias de Araujo",$B:$B,"&lt;&gt;Lucas Luiz Romero")*(20/1083),IF(C1189="Estágio",SUMIFS($D:$D,$A:$A,$A1189,$B:$B,"&lt;&gt;Patrícia Karla de Sousa Araújo",$B:$B,"&lt;&gt;Lorena Dias de Araujo",$B:$B,"&lt;&gt;Lucas Luiz Romero")*(10/1083),0)))))),0)</f>
        <v/>
      </c>
      <c r="K1189" s="3">
        <f>I1189-J1189</f>
        <v/>
      </c>
      <c r="L1189" s="3">
        <f>IF(K1189&lt;-5,"CRÍTICO",IF(K1189&lt;0,"ATENÇÃO",IF(K1189&lt;=5,"BOM","EXCELENTE")))</f>
        <v/>
      </c>
      <c r="M1189" t="n">
        <v>29</v>
      </c>
      <c r="N1189" t="n">
        <v>100</v>
      </c>
      <c r="O1189" t="n">
        <v>30</v>
      </c>
    </row>
    <row r="1190" hidden="1">
      <c r="A1190" s="11" t="n">
        <v>46037</v>
      </c>
      <c r="B1190" t="inlineStr">
        <is>
          <t>Janaina Lima dos Reis Urany</t>
        </is>
      </c>
      <c r="C1190" t="inlineStr">
        <is>
          <t>Técnico III</t>
        </is>
      </c>
      <c r="D1190" t="n">
        <v>53</v>
      </c>
      <c r="E1190" t="n">
        <v>50</v>
      </c>
      <c r="F1190" t="n">
        <v>12.03</v>
      </c>
      <c r="G1190" t="n">
        <v>0</v>
      </c>
      <c r="H1190" t="n">
        <v>0</v>
      </c>
      <c r="I1190" s="3">
        <f>E1190+G1190+H1190</f>
        <v/>
      </c>
      <c r="J1190" s="3">
        <f>ROUND(MIN(IF(C1190="Técnico III",35,IF(C1190="Técnico II",28,IF(C1190="Técnico I",23,IF(C1190="JR",20,IF(C1190="Estágio",10,0))))),IF(C1190="Técnico III",SUMIFS($D:$D,$A:$A,$A1190,$B:$B,"&lt;&gt;Patrícia Karla de Sousa Araújo",$B:$B,"&lt;&gt;Lorena Dias de Araujo",$B:$B,"&lt;&gt;Lucas Luiz Romero")*(35/1083),IF(C1190="Técnico II",SUMIFS($D:$D,$A:$A,$A1190,$B:$B,"&lt;&gt;Patrícia Karla de Sousa Araújo",$B:$B,"&lt;&gt;Lorena Dias de Araujo",$B:$B,"&lt;&gt;Lucas Luiz Romero")*(28/1083),IF(C1190="Técnico I",SUMIFS($D:$D,$A:$A,$A1190,$B:$B,"&lt;&gt;Patrícia Karla de Sousa Araújo",$B:$B,"&lt;&gt;Lorena Dias de Araujo",$B:$B,"&lt;&gt;Lucas Luiz Romero")*(23/1083),IF(C1190="JR",SUMIFS($D:$D,$A:$A,$A1190,$B:$B,"&lt;&gt;Patrícia Karla de Sousa Araújo",$B:$B,"&lt;&gt;Lorena Dias de Araujo",$B:$B,"&lt;&gt;Lucas Luiz Romero")*(20/1083),IF(C1190="Estágio",SUMIFS($D:$D,$A:$A,$A1190,$B:$B,"&lt;&gt;Patrícia Karla de Sousa Araújo",$B:$B,"&lt;&gt;Lorena Dias de Araujo",$B:$B,"&lt;&gt;Lucas Luiz Romero")*(10/1083),0)))))),0)</f>
        <v/>
      </c>
      <c r="K1190" s="3">
        <f>I1190-J1190</f>
        <v/>
      </c>
      <c r="L1190" s="3">
        <f>IF(K1190&lt;-5,"CRÍTICO",IF(K1190&lt;0,"ATENÇÃO",IF(K1190&lt;=5,"BOM","EXCELENTE")))</f>
        <v/>
      </c>
      <c r="M1190" t="n">
        <v>48</v>
      </c>
      <c r="N1190" t="n">
        <v>100</v>
      </c>
      <c r="O1190" t="n">
        <v>30.65326633165829</v>
      </c>
    </row>
    <row r="1191" hidden="1">
      <c r="A1191" s="11" t="n">
        <v>46037</v>
      </c>
      <c r="B1191" t="inlineStr">
        <is>
          <t>Jaqueline Evangelista da Silva Martins</t>
        </is>
      </c>
      <c r="C1191" t="inlineStr">
        <is>
          <t>Técnico III</t>
        </is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s="3" t="n">
        <v>0</v>
      </c>
      <c r="J1191" s="3" t="n">
        <v>0</v>
      </c>
      <c r="K1191" s="3" t="n">
        <v>0</v>
      </c>
      <c r="L1191" s="3">
        <f>IF(K1191&lt;-5,"CRÍTICO",IF(K1191&lt;0,"ATENÇÃO",IF(K1191&lt;=5,"BOM","EXCELENTE")))</f>
        <v/>
      </c>
      <c r="M1191" t="n">
        <v>0</v>
      </c>
      <c r="N1191" t="n">
        <v>100</v>
      </c>
      <c r="O1191" t="n">
        <v>29.03225806451613</v>
      </c>
    </row>
    <row r="1192" hidden="1">
      <c r="A1192" s="11" t="n">
        <v>46037</v>
      </c>
      <c r="B1192" t="inlineStr">
        <is>
          <t>Jessica Faria da Silveira</t>
        </is>
      </c>
      <c r="C1192" t="inlineStr">
        <is>
          <t>Técnico II</t>
        </is>
      </c>
      <c r="D1192" t="n">
        <v>31</v>
      </c>
      <c r="E1192" t="n">
        <v>24</v>
      </c>
      <c r="F1192" t="n">
        <v>22.26</v>
      </c>
      <c r="G1192" t="n">
        <v>0</v>
      </c>
      <c r="H1192" t="n">
        <v>0</v>
      </c>
      <c r="I1192" s="3">
        <f>E1192+G1192+H1192</f>
        <v/>
      </c>
      <c r="J1192" s="3">
        <f>ROUND(MIN(IF(C1192="Técnico III",35,IF(C1192="Técnico II",28,IF(C1192="Técnico I",23,IF(C1192="JR",20,IF(C1192="Estágio",10,0))))),IF(C1192="Técnico III",SUMIFS($D:$D,$A:$A,$A1192,$B:$B,"&lt;&gt;Patrícia Karla de Sousa Araújo",$B:$B,"&lt;&gt;Lorena Dias de Araujo",$B:$B,"&lt;&gt;Lucas Luiz Romero")*(35/1083),IF(C1192="Técnico II",SUMIFS($D:$D,$A:$A,$A1192,$B:$B,"&lt;&gt;Patrícia Karla de Sousa Araújo",$B:$B,"&lt;&gt;Lorena Dias de Araujo",$B:$B,"&lt;&gt;Lucas Luiz Romero")*(28/1083),IF(C1192="Técnico I",SUMIFS($D:$D,$A:$A,$A1192,$B:$B,"&lt;&gt;Patrícia Karla de Sousa Araújo",$B:$B,"&lt;&gt;Lorena Dias de Araujo",$B:$B,"&lt;&gt;Lucas Luiz Romero")*(23/1083),IF(C1192="JR",SUMIFS($D:$D,$A:$A,$A1192,$B:$B,"&lt;&gt;Patrícia Karla de Sousa Araújo",$B:$B,"&lt;&gt;Lorena Dias de Araujo",$B:$B,"&lt;&gt;Lucas Luiz Romero")*(20/1083),IF(C1192="Estágio",SUMIFS($D:$D,$A:$A,$A1192,$B:$B,"&lt;&gt;Patrícia Karla de Sousa Araújo",$B:$B,"&lt;&gt;Lorena Dias de Araujo",$B:$B,"&lt;&gt;Lucas Luiz Romero")*(10/1083),0)))))),0)</f>
        <v/>
      </c>
      <c r="K1192" s="3">
        <f>I1192-J1192</f>
        <v/>
      </c>
      <c r="L1192" s="3">
        <f>IF(K1192&lt;-5,"CRÍTICO",IF(K1192&lt;0,"ATENÇÃO",IF(K1192&lt;=5,"BOM","EXCELENTE")))</f>
        <v/>
      </c>
      <c r="M1192" t="n">
        <v>22</v>
      </c>
      <c r="N1192" t="n">
        <v>95.23999999999999</v>
      </c>
      <c r="O1192" t="n">
        <v>26.83982683982684</v>
      </c>
    </row>
    <row r="1193" hidden="1">
      <c r="A1193" s="11" t="n">
        <v>46037</v>
      </c>
      <c r="B1193" t="inlineStr">
        <is>
          <t>Jéssica Fé Moura</t>
        </is>
      </c>
      <c r="C1193" t="inlineStr">
        <is>
          <t>Técnico III</t>
        </is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s="3" t="n">
        <v>0</v>
      </c>
      <c r="J1193" s="3" t="n">
        <v>0</v>
      </c>
      <c r="K1193" s="3" t="n">
        <v>0</v>
      </c>
      <c r="L1193" s="3">
        <f>IF(K1193&lt;-5,"CRÍTICO",IF(K1193&lt;0,"ATENÇÃO",IF(K1193&lt;=5,"BOM","EXCELENTE")))</f>
        <v/>
      </c>
      <c r="M1193" t="n">
        <v>19</v>
      </c>
      <c r="N1193" t="n">
        <v>100</v>
      </c>
      <c r="O1193" t="n">
        <v>33.33333333333333</v>
      </c>
    </row>
    <row r="1194" hidden="1">
      <c r="A1194" s="11" t="n">
        <v>46037</v>
      </c>
      <c r="B1194" t="inlineStr">
        <is>
          <t>Karina Gonçalves Martins</t>
        </is>
      </c>
      <c r="C1194" t="inlineStr">
        <is>
          <t>JR</t>
        </is>
      </c>
      <c r="D1194" t="n">
        <v>10</v>
      </c>
      <c r="E1194" t="n">
        <v>7</v>
      </c>
      <c r="F1194" t="n">
        <v>19</v>
      </c>
      <c r="G1194" t="n">
        <v>0</v>
      </c>
      <c r="H1194" t="n">
        <v>0</v>
      </c>
      <c r="I1194" s="3">
        <f>E1194+G1194+H1194</f>
        <v/>
      </c>
      <c r="J1194" s="3">
        <f>ROUND(MIN(IF(C1194="Técnico III",35,IF(C1194="Técnico II",28,IF(C1194="Técnico I",23,IF(C1194="JR",20,IF(C1194="Estágio",10,0))))),IF(C1194="Técnico III",SUMIFS($D:$D,$A:$A,$A1194,$B:$B,"&lt;&gt;Patrícia Karla de Sousa Araújo",$B:$B,"&lt;&gt;Lorena Dias de Araujo",$B:$B,"&lt;&gt;Lucas Luiz Romero")*(35/1083),IF(C1194="Técnico II",SUMIFS($D:$D,$A:$A,$A1194,$B:$B,"&lt;&gt;Patrícia Karla de Sousa Araújo",$B:$B,"&lt;&gt;Lorena Dias de Araujo",$B:$B,"&lt;&gt;Lucas Luiz Romero")*(28/1083),IF(C1194="Técnico I",SUMIFS($D:$D,$A:$A,$A1194,$B:$B,"&lt;&gt;Patrícia Karla de Sousa Araújo",$B:$B,"&lt;&gt;Lorena Dias de Araujo",$B:$B,"&lt;&gt;Lucas Luiz Romero")*(23/1083),IF(C1194="JR",SUMIFS($D:$D,$A:$A,$A1194,$B:$B,"&lt;&gt;Patrícia Karla de Sousa Araújo",$B:$B,"&lt;&gt;Lorena Dias de Araujo",$B:$B,"&lt;&gt;Lucas Luiz Romero")*(20/1083),IF(C1194="Estágio",SUMIFS($D:$D,$A:$A,$A1194,$B:$B,"&lt;&gt;Patrícia Karla de Sousa Araújo",$B:$B,"&lt;&gt;Lorena Dias de Araujo",$B:$B,"&lt;&gt;Lucas Luiz Romero")*(10/1083),0)))))),0)</f>
        <v/>
      </c>
      <c r="K1194" s="3">
        <f>I1194-J1194</f>
        <v/>
      </c>
      <c r="L1194" s="3">
        <f>IF(K1194&lt;-5,"CRÍTICO",IF(K1194&lt;0,"ATENÇÃO",IF(K1194&lt;=5,"BOM","EXCELENTE")))</f>
        <v/>
      </c>
      <c r="M1194" t="n">
        <v>7</v>
      </c>
      <c r="N1194" t="n">
        <v>100</v>
      </c>
      <c r="O1194" t="n">
        <v>32.8125</v>
      </c>
    </row>
    <row r="1195" hidden="1">
      <c r="A1195" s="11" t="n">
        <v>46037</v>
      </c>
      <c r="B1195" t="inlineStr">
        <is>
          <t>Kerollen Cristielly de Jesus Siqueira</t>
        </is>
      </c>
      <c r="C1195" t="inlineStr">
        <is>
          <t>Técnico III</t>
        </is>
      </c>
      <c r="D1195" t="n">
        <v>22</v>
      </c>
      <c r="E1195" t="n">
        <v>21</v>
      </c>
      <c r="F1195" t="n">
        <v>28.57</v>
      </c>
      <c r="G1195" t="n">
        <v>0</v>
      </c>
      <c r="H1195" t="n">
        <v>0</v>
      </c>
      <c r="I1195" s="3">
        <f>E1195+G1195+H1195</f>
        <v/>
      </c>
      <c r="J1195" s="3">
        <f>ROUND(MIN(IF(C1195="Técnico III",35,IF(C1195="Técnico II",28,IF(C1195="Técnico I",23,IF(C1195="JR",20,IF(C1195="Estágio",10,0))))),IF(C1195="Técnico III",SUMIFS($D:$D,$A:$A,$A1195,$B:$B,"&lt;&gt;Patrícia Karla de Sousa Araújo",$B:$B,"&lt;&gt;Lorena Dias de Araujo",$B:$B,"&lt;&gt;Lucas Luiz Romero")*(35/1083),IF(C1195="Técnico II",SUMIFS($D:$D,$A:$A,$A1195,$B:$B,"&lt;&gt;Patrícia Karla de Sousa Araújo",$B:$B,"&lt;&gt;Lorena Dias de Araujo",$B:$B,"&lt;&gt;Lucas Luiz Romero")*(28/1083),IF(C1195="Técnico I",SUMIFS($D:$D,$A:$A,$A1195,$B:$B,"&lt;&gt;Patrícia Karla de Sousa Araújo",$B:$B,"&lt;&gt;Lorena Dias de Araujo",$B:$B,"&lt;&gt;Lucas Luiz Romero")*(23/1083),IF(C1195="JR",SUMIFS($D:$D,$A:$A,$A1195,$B:$B,"&lt;&gt;Patrícia Karla de Sousa Araújo",$B:$B,"&lt;&gt;Lorena Dias de Araujo",$B:$B,"&lt;&gt;Lucas Luiz Romero")*(20/1083),IF(C1195="Estágio",SUMIFS($D:$D,$A:$A,$A1195,$B:$B,"&lt;&gt;Patrícia Karla de Sousa Araújo",$B:$B,"&lt;&gt;Lorena Dias de Araujo",$B:$B,"&lt;&gt;Lucas Luiz Romero")*(10/1083),0)))))),0)</f>
        <v/>
      </c>
      <c r="K1195" s="3">
        <f>I1195-J1195</f>
        <v/>
      </c>
      <c r="L1195" s="3">
        <f>IF(K1195&lt;-5,"CRÍTICO",IF(K1195&lt;0,"ATENÇÃO",IF(K1195&lt;=5,"BOM","EXCELENTE")))</f>
        <v/>
      </c>
      <c r="M1195" t="n">
        <v>21</v>
      </c>
      <c r="N1195" t="n">
        <v>97.89</v>
      </c>
      <c r="O1195" t="n">
        <v>44.70046082949309</v>
      </c>
    </row>
    <row r="1196" hidden="1">
      <c r="A1196" s="11" t="n">
        <v>46037</v>
      </c>
      <c r="B1196" t="inlineStr">
        <is>
          <t>Leandro de Souza Silva</t>
        </is>
      </c>
      <c r="C1196" t="inlineStr">
        <is>
          <t>JR</t>
        </is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s="3" t="n">
        <v>0</v>
      </c>
      <c r="J1196" s="3" t="n">
        <v>0</v>
      </c>
      <c r="K1196" s="3" t="n">
        <v>0</v>
      </c>
      <c r="L1196" s="3">
        <f>IF(K1196&lt;-5,"CRÍTICO",IF(K1196&lt;0,"ATENÇÃO",IF(K1196&lt;=5,"BOM","EXCELENTE")))</f>
        <v/>
      </c>
      <c r="M1196" t="n">
        <v>0</v>
      </c>
      <c r="N1196" t="n">
        <v>0</v>
      </c>
      <c r="O1196" t="n">
        <v>0</v>
      </c>
    </row>
    <row r="1197" hidden="1">
      <c r="A1197" s="11" t="n">
        <v>46037</v>
      </c>
      <c r="B1197" t="inlineStr">
        <is>
          <t>Leandro Oliveira de Sousa</t>
        </is>
      </c>
      <c r="C1197" t="inlineStr">
        <is>
          <t>Técnico III</t>
        </is>
      </c>
      <c r="D1197" t="n">
        <v>39</v>
      </c>
      <c r="E1197" t="n">
        <v>32</v>
      </c>
      <c r="F1197" t="n">
        <v>20.5</v>
      </c>
      <c r="G1197" t="n">
        <v>0</v>
      </c>
      <c r="H1197" t="n">
        <v>0</v>
      </c>
      <c r="I1197" s="3">
        <f>E1197+G1197+H1197</f>
        <v/>
      </c>
      <c r="J1197" s="3">
        <f>ROUND(MIN(IF(C1197="Técnico III",35,IF(C1197="Técnico II",28,IF(C1197="Técnico I",23,IF(C1197="JR",20,IF(C1197="Estágio",10,0))))),IF(C1197="Técnico III",SUMIFS($D:$D,$A:$A,$A1197,$B:$B,"&lt;&gt;Patrícia Karla de Sousa Araújo",$B:$B,"&lt;&gt;Lorena Dias de Araujo",$B:$B,"&lt;&gt;Lucas Luiz Romero")*(35/1083),IF(C1197="Técnico II",SUMIFS($D:$D,$A:$A,$A1197,$B:$B,"&lt;&gt;Patrícia Karla de Sousa Araújo",$B:$B,"&lt;&gt;Lorena Dias de Araujo",$B:$B,"&lt;&gt;Lucas Luiz Romero")*(28/1083),IF(C1197="Técnico I",SUMIFS($D:$D,$A:$A,$A1197,$B:$B,"&lt;&gt;Patrícia Karla de Sousa Araújo",$B:$B,"&lt;&gt;Lorena Dias de Araujo",$B:$B,"&lt;&gt;Lucas Luiz Romero")*(23/1083),IF(C1197="JR",SUMIFS($D:$D,$A:$A,$A1197,$B:$B,"&lt;&gt;Patrícia Karla de Sousa Araújo",$B:$B,"&lt;&gt;Lorena Dias de Araujo",$B:$B,"&lt;&gt;Lucas Luiz Romero")*(20/1083),IF(C1197="Estágio",SUMIFS($D:$D,$A:$A,$A1197,$B:$B,"&lt;&gt;Patrícia Karla de Sousa Araújo",$B:$B,"&lt;&gt;Lorena Dias de Araujo",$B:$B,"&lt;&gt;Lucas Luiz Romero")*(10/1083),0)))))),0)</f>
        <v/>
      </c>
      <c r="K1197" s="3">
        <f>I1197-J1197</f>
        <v/>
      </c>
      <c r="L1197" s="3">
        <f>IF(K1197&lt;-5,"CRÍTICO",IF(K1197&lt;0,"ATENÇÃO",IF(K1197&lt;=5,"BOM","EXCELENTE")))</f>
        <v/>
      </c>
      <c r="M1197" t="n">
        <v>27</v>
      </c>
      <c r="N1197" t="n">
        <v>100</v>
      </c>
      <c r="O1197" t="n">
        <v>27.45098039215686</v>
      </c>
    </row>
    <row r="1198" hidden="1">
      <c r="A1198" s="11" t="n">
        <v>46037</v>
      </c>
      <c r="B1198" t="inlineStr">
        <is>
          <t>Lizandra Gomes Duarte</t>
        </is>
      </c>
      <c r="C1198" t="inlineStr">
        <is>
          <t>Técnico II</t>
        </is>
      </c>
      <c r="D1198" t="n">
        <v>32</v>
      </c>
      <c r="E1198" t="n">
        <v>31</v>
      </c>
      <c r="F1198" t="n">
        <v>23.47</v>
      </c>
      <c r="G1198" t="n">
        <v>0</v>
      </c>
      <c r="H1198" t="n">
        <v>0</v>
      </c>
      <c r="I1198" s="3">
        <f>E1198+G1198+H1198</f>
        <v/>
      </c>
      <c r="J1198" s="3">
        <f>ROUND(MIN(IF(C1198="Técnico III",35,IF(C1198="Técnico II",28,IF(C1198="Técnico I",23,IF(C1198="JR",20,IF(C1198="Estágio",10,0))))),IF(C1198="Técnico III",SUMIFS($D:$D,$A:$A,$A1198,$B:$B,"&lt;&gt;Patrícia Karla de Sousa Araújo",$B:$B,"&lt;&gt;Lorena Dias de Araujo",$B:$B,"&lt;&gt;Lucas Luiz Romero")*(35/1083),IF(C1198="Técnico II",SUMIFS($D:$D,$A:$A,$A1198,$B:$B,"&lt;&gt;Patrícia Karla de Sousa Araújo",$B:$B,"&lt;&gt;Lorena Dias de Araujo",$B:$B,"&lt;&gt;Lucas Luiz Romero")*(28/1083),IF(C1198="Técnico I",SUMIFS($D:$D,$A:$A,$A1198,$B:$B,"&lt;&gt;Patrícia Karla de Sousa Araújo",$B:$B,"&lt;&gt;Lorena Dias de Araujo",$B:$B,"&lt;&gt;Lucas Luiz Romero")*(23/1083),IF(C1198="JR",SUMIFS($D:$D,$A:$A,$A1198,$B:$B,"&lt;&gt;Patrícia Karla de Sousa Araújo",$B:$B,"&lt;&gt;Lorena Dias de Araujo",$B:$B,"&lt;&gt;Lucas Luiz Romero")*(20/1083),IF(C1198="Estágio",SUMIFS($D:$D,$A:$A,$A1198,$B:$B,"&lt;&gt;Patrícia Karla de Sousa Araújo",$B:$B,"&lt;&gt;Lorena Dias de Araujo",$B:$B,"&lt;&gt;Lucas Luiz Romero")*(10/1083),0)))))),0)</f>
        <v/>
      </c>
      <c r="K1198" s="3">
        <f>I1198-J1198</f>
        <v/>
      </c>
      <c r="L1198" s="3">
        <f>IF(K1198&lt;-5,"CRÍTICO",IF(K1198&lt;0,"ATENÇÃO",IF(K1198&lt;=5,"BOM","EXCELENTE")))</f>
        <v/>
      </c>
      <c r="M1198" t="n">
        <v>29</v>
      </c>
      <c r="N1198" t="n">
        <v>100</v>
      </c>
      <c r="O1198" t="n">
        <v>36.20689655172414</v>
      </c>
    </row>
    <row r="1199" hidden="1">
      <c r="A1199" s="11" t="n">
        <v>46037</v>
      </c>
      <c r="B1199" t="inlineStr">
        <is>
          <t>Lorena Dias de Araujo</t>
        </is>
      </c>
      <c r="C1199" t="inlineStr">
        <is>
          <t>Técnico II</t>
        </is>
      </c>
      <c r="D1199" t="n">
        <v>28</v>
      </c>
      <c r="E1199" t="n">
        <v>26</v>
      </c>
      <c r="F1199" t="n">
        <v>19.04</v>
      </c>
      <c r="G1199" t="n">
        <v>0</v>
      </c>
      <c r="H1199" t="n">
        <v>0</v>
      </c>
      <c r="I1199" s="3" t="n">
        <v>0</v>
      </c>
      <c r="J1199" s="3" t="n">
        <v>0</v>
      </c>
      <c r="K1199" s="3" t="n">
        <v>0</v>
      </c>
      <c r="L1199" s="3">
        <f>IF(K1199&lt;-5,"CRÍTICO",IF(K1199&lt;0,"ATENÇÃO",IF(K1199&lt;=5,"BOM","EXCELENTE")))</f>
        <v/>
      </c>
      <c r="M1199" t="n">
        <v>25</v>
      </c>
      <c r="N1199" t="n">
        <v>100</v>
      </c>
      <c r="O1199" t="n">
        <v>30.54187192118227</v>
      </c>
    </row>
    <row r="1200" hidden="1">
      <c r="A1200" s="11" t="n">
        <v>46037</v>
      </c>
      <c r="B1200" t="inlineStr">
        <is>
          <t>Lucas Luiz Romero</t>
        </is>
      </c>
      <c r="C1200" t="inlineStr">
        <is>
          <t>Técnico III</t>
        </is>
      </c>
      <c r="D1200" t="n">
        <v>71</v>
      </c>
      <c r="E1200" t="n">
        <v>51</v>
      </c>
      <c r="F1200" t="n">
        <v>10.42</v>
      </c>
      <c r="G1200" t="n">
        <v>0</v>
      </c>
      <c r="H1200" t="n">
        <v>0</v>
      </c>
      <c r="I1200" s="3">
        <f>E1200+G1200+H1200</f>
        <v/>
      </c>
      <c r="J1200" s="3">
        <f>ROUND(MIN(IF(C1200="Técnico III",35,IF(C1200="Técnico II",28,IF(C1200="Técnico I",23,IF(C1200="JR",20,IF(C1200="Estágio",10,0))))),IF(C1200="Técnico III",SUMIFS($D:$D,$A:$A,$A1200,$B:$B,"&lt;&gt;Patrícia Karla de Sousa Araújo",$B:$B,"&lt;&gt;Lorena Dias de Araujo",$B:$B,"&lt;&gt;Lucas Luiz Romero")*(35/1083),IF(C1200="Técnico II",SUMIFS($D:$D,$A:$A,$A1200,$B:$B,"&lt;&gt;Patrícia Karla de Sousa Araújo",$B:$B,"&lt;&gt;Lorena Dias de Araujo",$B:$B,"&lt;&gt;Lucas Luiz Romero")*(28/1083),IF(C1200="Técnico I",SUMIFS($D:$D,$A:$A,$A1200,$B:$B,"&lt;&gt;Patrícia Karla de Sousa Araújo",$B:$B,"&lt;&gt;Lorena Dias de Araujo",$B:$B,"&lt;&gt;Lucas Luiz Romero")*(23/1083),IF(C1200="JR",SUMIFS($D:$D,$A:$A,$A1200,$B:$B,"&lt;&gt;Patrícia Karla de Sousa Araújo",$B:$B,"&lt;&gt;Lorena Dias de Araujo",$B:$B,"&lt;&gt;Lucas Luiz Romero")*(20/1083),IF(C1200="Estágio",SUMIFS($D:$D,$A:$A,$A1200,$B:$B,"&lt;&gt;Patrícia Karla de Sousa Araújo",$B:$B,"&lt;&gt;Lorena Dias de Araujo",$B:$B,"&lt;&gt;Lucas Luiz Romero")*(10/1083),0)))))),0)</f>
        <v/>
      </c>
      <c r="K1200" s="3">
        <f>I1200-J1200</f>
        <v/>
      </c>
      <c r="L1200" s="3">
        <f>IF(K1200&lt;-5,"CRÍTICO",IF(K1200&lt;0,"ATENÇÃO",IF(K1200&lt;=5,"BOM","EXCELENTE")))</f>
        <v/>
      </c>
      <c r="M1200" t="n">
        <v>38</v>
      </c>
      <c r="N1200" t="n">
        <v>97.92</v>
      </c>
      <c r="O1200" t="n">
        <v>27.36842105263158</v>
      </c>
    </row>
    <row r="1201" hidden="1">
      <c r="A1201" s="11" t="n">
        <v>46037</v>
      </c>
      <c r="B1201" t="inlineStr">
        <is>
          <t>Luiz Fernando de Carvalho Junior</t>
        </is>
      </c>
      <c r="C1201" t="inlineStr">
        <is>
          <t>Técnico I</t>
        </is>
      </c>
      <c r="D1201" t="n">
        <v>19</v>
      </c>
      <c r="E1201" t="n">
        <v>17</v>
      </c>
      <c r="F1201" t="n">
        <v>21.58</v>
      </c>
      <c r="G1201" t="n">
        <v>0</v>
      </c>
      <c r="H1201" t="n">
        <v>0</v>
      </c>
      <c r="I1201" s="3">
        <f>E1201+G1201+H1201</f>
        <v/>
      </c>
      <c r="J1201" s="3">
        <f>ROUND(MIN(IF(C1201="Técnico III",35,IF(C1201="Técnico II",28,IF(C1201="Técnico I",23,IF(C1201="JR",20,IF(C1201="Estágio",10,0))))),IF(C1201="Técnico III",SUMIFS($D:$D,$A:$A,$A1201,$B:$B,"&lt;&gt;Patrícia Karla de Sousa Araújo",$B:$B,"&lt;&gt;Lorena Dias de Araujo",$B:$B,"&lt;&gt;Lucas Luiz Romero")*(35/1083),IF(C1201="Técnico II",SUMIFS($D:$D,$A:$A,$A1201,$B:$B,"&lt;&gt;Patrícia Karla de Sousa Araújo",$B:$B,"&lt;&gt;Lorena Dias de Araujo",$B:$B,"&lt;&gt;Lucas Luiz Romero")*(28/1083),IF(C1201="Técnico I",SUMIFS($D:$D,$A:$A,$A1201,$B:$B,"&lt;&gt;Patrícia Karla de Sousa Araújo",$B:$B,"&lt;&gt;Lorena Dias de Araujo",$B:$B,"&lt;&gt;Lucas Luiz Romero")*(23/1083),IF(C1201="JR",SUMIFS($D:$D,$A:$A,$A1201,$B:$B,"&lt;&gt;Patrícia Karla de Sousa Araújo",$B:$B,"&lt;&gt;Lorena Dias de Araujo",$B:$B,"&lt;&gt;Lucas Luiz Romero")*(20/1083),IF(C1201="Estágio",SUMIFS($D:$D,$A:$A,$A1201,$B:$B,"&lt;&gt;Patrícia Karla de Sousa Araújo",$B:$B,"&lt;&gt;Lorena Dias de Araujo",$B:$B,"&lt;&gt;Lucas Luiz Romero")*(10/1083),0)))))),0)</f>
        <v/>
      </c>
      <c r="K1201" s="3">
        <f>I1201-J1201</f>
        <v/>
      </c>
      <c r="L1201" s="3">
        <f>IF(K1201&lt;-5,"CRÍTICO",IF(K1201&lt;0,"ATENÇÃO",IF(K1201&lt;=5,"BOM","EXCELENTE")))</f>
        <v/>
      </c>
      <c r="M1201" t="n">
        <v>15</v>
      </c>
      <c r="N1201" t="n">
        <v>100</v>
      </c>
      <c r="O1201" t="n">
        <v>27.74566473988439</v>
      </c>
    </row>
    <row r="1202" hidden="1">
      <c r="A1202" s="11" t="n">
        <v>46037</v>
      </c>
      <c r="B1202" t="inlineStr">
        <is>
          <t>Maria Eduarda Sousa Costa</t>
        </is>
      </c>
      <c r="C1202" t="inlineStr">
        <is>
          <t>Estágio</t>
        </is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s="3" t="n">
        <v>0</v>
      </c>
      <c r="J1202" s="3" t="n">
        <v>0</v>
      </c>
      <c r="K1202" s="3" t="n">
        <v>0</v>
      </c>
      <c r="L1202" s="3">
        <f>IF(K1202&lt;-5,"CRÍTICO",IF(K1202&lt;0,"ATENÇÃO",IF(K1202&lt;=5,"BOM","EXCELENTE")))</f>
        <v/>
      </c>
      <c r="M1202" t="n">
        <v>0</v>
      </c>
      <c r="N1202" t="n">
        <v>100</v>
      </c>
      <c r="O1202" t="n">
        <v>33.33333333333333</v>
      </c>
    </row>
    <row r="1203" hidden="1">
      <c r="A1203" s="11" t="n">
        <v>46037</v>
      </c>
      <c r="B1203" t="inlineStr">
        <is>
          <t>Matheus Farias De Souza</t>
        </is>
      </c>
      <c r="C1203" t="inlineStr">
        <is>
          <t>Técnico III</t>
        </is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s="3" t="n">
        <v>0</v>
      </c>
      <c r="J1203" s="3" t="n">
        <v>0</v>
      </c>
      <c r="K1203" s="3" t="n">
        <v>0</v>
      </c>
      <c r="L1203" s="3">
        <f>IF(K1203&lt;-5,"CRÍTICO",IF(K1203&lt;0,"ATENÇÃO",IF(K1203&lt;=5,"BOM","EXCELENTE")))</f>
        <v/>
      </c>
      <c r="M1203" t="n">
        <v>0</v>
      </c>
      <c r="N1203" t="n">
        <v>100</v>
      </c>
      <c r="O1203" t="n">
        <v>0</v>
      </c>
    </row>
    <row r="1204" hidden="1">
      <c r="A1204" s="11" t="n">
        <v>46037</v>
      </c>
      <c r="B1204" t="inlineStr">
        <is>
          <t>Maysa Victoria Dias Moura</t>
        </is>
      </c>
      <c r="C1204" t="inlineStr">
        <is>
          <t>Técnico III</t>
        </is>
      </c>
      <c r="D1204" t="n">
        <v>53</v>
      </c>
      <c r="E1204" t="n">
        <v>48</v>
      </c>
      <c r="F1204" t="n">
        <v>9.18</v>
      </c>
      <c r="G1204" t="n">
        <v>0</v>
      </c>
      <c r="H1204" t="n">
        <v>0</v>
      </c>
      <c r="I1204" s="3">
        <f>E1204+G1204+H1204</f>
        <v/>
      </c>
      <c r="J1204" s="3">
        <f>ROUND(MIN(IF(C1204="Técnico III",35,IF(C1204="Técnico II",28,IF(C1204="Técnico I",23,IF(C1204="JR",20,IF(C1204="Estágio",10,0))))),IF(C1204="Técnico III",SUMIFS($D:$D,$A:$A,$A1204,$B:$B,"&lt;&gt;Patrícia Karla de Sousa Araújo",$B:$B,"&lt;&gt;Lorena Dias de Araujo",$B:$B,"&lt;&gt;Lucas Luiz Romero")*(35/1083),IF(C1204="Técnico II",SUMIFS($D:$D,$A:$A,$A1204,$B:$B,"&lt;&gt;Patrícia Karla de Sousa Araújo",$B:$B,"&lt;&gt;Lorena Dias de Araujo",$B:$B,"&lt;&gt;Lucas Luiz Romero")*(28/1083),IF(C1204="Técnico I",SUMIFS($D:$D,$A:$A,$A1204,$B:$B,"&lt;&gt;Patrícia Karla de Sousa Araújo",$B:$B,"&lt;&gt;Lorena Dias de Araujo",$B:$B,"&lt;&gt;Lucas Luiz Romero")*(23/1083),IF(C1204="JR",SUMIFS($D:$D,$A:$A,$A1204,$B:$B,"&lt;&gt;Patrícia Karla de Sousa Araújo",$B:$B,"&lt;&gt;Lorena Dias de Araujo",$B:$B,"&lt;&gt;Lucas Luiz Romero")*(20/1083),IF(C1204="Estágio",SUMIFS($D:$D,$A:$A,$A1204,$B:$B,"&lt;&gt;Patrícia Karla de Sousa Araújo",$B:$B,"&lt;&gt;Lorena Dias de Araujo",$B:$B,"&lt;&gt;Lucas Luiz Romero")*(10/1083),0)))))),0)</f>
        <v/>
      </c>
      <c r="K1204" s="3">
        <f>I1204-J1204</f>
        <v/>
      </c>
      <c r="L1204" s="3">
        <f>IF(K1204&lt;-5,"CRÍTICO",IF(K1204&lt;0,"ATENÇÃO",IF(K1204&lt;=5,"BOM","EXCELENTE")))</f>
        <v/>
      </c>
      <c r="M1204" t="n">
        <v>40</v>
      </c>
      <c r="N1204" t="n">
        <v>100</v>
      </c>
      <c r="O1204" t="n">
        <v>30.46594982078853</v>
      </c>
    </row>
    <row r="1205" hidden="1">
      <c r="A1205" s="11" t="n">
        <v>46037</v>
      </c>
      <c r="B1205" t="inlineStr">
        <is>
          <t>Michelle G Santos</t>
        </is>
      </c>
      <c r="C1205" t="inlineStr">
        <is>
          <t>Estágio</t>
        </is>
      </c>
      <c r="D1205" t="n">
        <v>1</v>
      </c>
      <c r="E1205" t="n">
        <v>1</v>
      </c>
      <c r="F1205" t="n">
        <v>12.38</v>
      </c>
      <c r="G1205" t="n">
        <v>0</v>
      </c>
      <c r="H1205" t="n">
        <v>0</v>
      </c>
      <c r="I1205" s="3">
        <f>E1205+G1205+H1205</f>
        <v/>
      </c>
      <c r="J1205" s="3">
        <f>ROUND(MIN(IF(C1205="Técnico III",35,IF(C1205="Técnico II",28,IF(C1205="Técnico I",23,IF(C1205="JR",20,IF(C1205="Estágio",10,0))))),IF(C1205="Técnico III",SUMIFS($D:$D,$A:$A,$A1205,$B:$B,"&lt;&gt;Patrícia Karla de Sousa Araújo",$B:$B,"&lt;&gt;Lorena Dias de Araujo",$B:$B,"&lt;&gt;Lucas Luiz Romero")*(35/1083),IF(C1205="Técnico II",SUMIFS($D:$D,$A:$A,$A1205,$B:$B,"&lt;&gt;Patrícia Karla de Sousa Araújo",$B:$B,"&lt;&gt;Lorena Dias de Araujo",$B:$B,"&lt;&gt;Lucas Luiz Romero")*(28/1083),IF(C1205="Técnico I",SUMIFS($D:$D,$A:$A,$A1205,$B:$B,"&lt;&gt;Patrícia Karla de Sousa Araújo",$B:$B,"&lt;&gt;Lorena Dias de Araujo",$B:$B,"&lt;&gt;Lucas Luiz Romero")*(23/1083),IF(C1205="JR",SUMIFS($D:$D,$A:$A,$A1205,$B:$B,"&lt;&gt;Patrícia Karla de Sousa Araújo",$B:$B,"&lt;&gt;Lorena Dias de Araujo",$B:$B,"&lt;&gt;Lucas Luiz Romero")*(20/1083),IF(C1205="Estágio",SUMIFS($D:$D,$A:$A,$A1205,$B:$B,"&lt;&gt;Patrícia Karla de Sousa Araújo",$B:$B,"&lt;&gt;Lorena Dias de Araujo",$B:$B,"&lt;&gt;Lucas Luiz Romero")*(10/1083),0)))))),0)</f>
        <v/>
      </c>
      <c r="K1205" s="3">
        <f>I1205-J1205</f>
        <v/>
      </c>
      <c r="L1205" s="3">
        <f>IF(K1205&lt;-5,"CRÍTICO",IF(K1205&lt;0,"ATENÇÃO",IF(K1205&lt;=5,"BOM","EXCELENTE")))</f>
        <v/>
      </c>
      <c r="M1205" t="n">
        <v>0</v>
      </c>
      <c r="N1205" t="n">
        <v>0</v>
      </c>
      <c r="O1205" t="n">
        <v>0</v>
      </c>
    </row>
    <row r="1206" hidden="1">
      <c r="A1206" s="11" t="n">
        <v>46037</v>
      </c>
      <c r="B1206" t="inlineStr">
        <is>
          <t>Milena Sales</t>
        </is>
      </c>
      <c r="C1206" t="inlineStr">
        <is>
          <t>JR</t>
        </is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s="3" t="n">
        <v>0</v>
      </c>
      <c r="J1206" s="3" t="n">
        <v>0</v>
      </c>
      <c r="K1206" s="3" t="n">
        <v>0</v>
      </c>
      <c r="L1206" s="3">
        <f>IF(K1206&lt;-5,"CRÍTICO",IF(K1206&lt;0,"ATENÇÃO",IF(K1206&lt;=5,"BOM","EXCELENTE")))</f>
        <v/>
      </c>
      <c r="M1206" t="n">
        <v>0</v>
      </c>
      <c r="N1206" t="n">
        <v>0</v>
      </c>
      <c r="O1206" t="n">
        <v>0</v>
      </c>
    </row>
    <row r="1207" hidden="1">
      <c r="A1207" s="11" t="n">
        <v>46037</v>
      </c>
      <c r="B1207" t="inlineStr">
        <is>
          <t>Patrícia Karla de Sousa Araújo</t>
        </is>
      </c>
      <c r="C1207" t="inlineStr">
        <is>
          <t>Técnico II</t>
        </is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s="3" t="n">
        <v>0</v>
      </c>
      <c r="J1207" s="3" t="n">
        <v>0</v>
      </c>
      <c r="K1207" s="3" t="n">
        <v>0</v>
      </c>
      <c r="L1207" s="3">
        <f>IF(K1207&lt;-5,"CRÍTICO",IF(K1207&lt;0,"ATENÇÃO",IF(K1207&lt;=5,"BOM","EXCELENTE")))</f>
        <v/>
      </c>
      <c r="M1207" t="n">
        <v>0</v>
      </c>
      <c r="N1207" t="n">
        <v>100</v>
      </c>
      <c r="O1207" t="n">
        <v>25</v>
      </c>
    </row>
    <row r="1208" hidden="1">
      <c r="A1208" s="11" t="n">
        <v>46037</v>
      </c>
      <c r="B1208" t="inlineStr">
        <is>
          <t>Paulo Ricardo Santos</t>
        </is>
      </c>
      <c r="C1208" t="inlineStr">
        <is>
          <t>JR</t>
        </is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s="3" t="n">
        <v>0</v>
      </c>
      <c r="J1208" s="3" t="n">
        <v>0</v>
      </c>
      <c r="K1208" s="3" t="n">
        <v>0</v>
      </c>
      <c r="L1208" s="3">
        <f>IF(K1208&lt;-5,"CRÍTICO",IF(K1208&lt;0,"ATENÇÃO",IF(K1208&lt;=5,"BOM","EXCELENTE")))</f>
        <v/>
      </c>
      <c r="M1208" t="n">
        <v>0</v>
      </c>
      <c r="N1208" t="n">
        <v>0</v>
      </c>
      <c r="O1208" t="n">
        <v>0</v>
      </c>
    </row>
    <row r="1209" hidden="1">
      <c r="A1209" s="11" t="n">
        <v>46037</v>
      </c>
      <c r="B1209" t="inlineStr">
        <is>
          <t>Pedro Luiz Mota Sousa</t>
        </is>
      </c>
      <c r="C1209" t="inlineStr">
        <is>
          <t>JR</t>
        </is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s="3" t="n">
        <v>0</v>
      </c>
      <c r="J1209" s="3" t="n">
        <v>0</v>
      </c>
      <c r="K1209" s="3" t="n">
        <v>0</v>
      </c>
      <c r="L1209" s="3">
        <f>IF(K1209&lt;-5,"CRÍTICO",IF(K1209&lt;0,"ATENÇÃO",IF(K1209&lt;=5,"BOM","EXCELENTE")))</f>
        <v/>
      </c>
      <c r="M1209" t="n">
        <v>0</v>
      </c>
      <c r="N1209" t="n">
        <v>0</v>
      </c>
      <c r="O1209" t="n">
        <v>0</v>
      </c>
    </row>
    <row r="1210" hidden="1">
      <c r="A1210" s="11" t="n">
        <v>46037</v>
      </c>
      <c r="B1210" t="inlineStr">
        <is>
          <t>Quirino Diogo Leite Torres</t>
        </is>
      </c>
      <c r="C1210" t="inlineStr">
        <is>
          <t>Estágio</t>
        </is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s="3" t="n">
        <v>0</v>
      </c>
      <c r="J1210" s="3" t="n">
        <v>0</v>
      </c>
      <c r="K1210" s="3" t="n">
        <v>0</v>
      </c>
      <c r="L1210" s="3">
        <f>IF(K1210&lt;-5,"CRÍTICO",IF(K1210&lt;0,"ATENÇÃO",IF(K1210&lt;=5,"BOM","EXCELENTE")))</f>
        <v/>
      </c>
      <c r="M1210" t="n">
        <v>0</v>
      </c>
      <c r="N1210" t="n">
        <v>0</v>
      </c>
      <c r="O1210" t="n">
        <v>0</v>
      </c>
    </row>
    <row r="1211" hidden="1">
      <c r="A1211" s="11" t="n">
        <v>46037</v>
      </c>
      <c r="B1211" t="inlineStr">
        <is>
          <t>Raane Batista Matos</t>
        </is>
      </c>
      <c r="C1211" t="inlineStr">
        <is>
          <t>Técnico I</t>
        </is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s="3" t="n">
        <v>0</v>
      </c>
      <c r="J1211" s="3" t="n">
        <v>0</v>
      </c>
      <c r="K1211" s="3" t="n">
        <v>0</v>
      </c>
      <c r="L1211" s="3">
        <f>IF(K1211&lt;-5,"CRÍTICO",IF(K1211&lt;0,"ATENÇÃO",IF(K1211&lt;=5,"BOM","EXCELENTE")))</f>
        <v/>
      </c>
      <c r="M1211" t="n">
        <v>0</v>
      </c>
      <c r="N1211" t="n">
        <v>0</v>
      </c>
      <c r="O1211" t="n">
        <v>0</v>
      </c>
    </row>
    <row r="1212" hidden="1">
      <c r="A1212" s="11" t="n">
        <v>46037</v>
      </c>
      <c r="B1212" t="inlineStr">
        <is>
          <t>Rafael Gomes de Morais</t>
        </is>
      </c>
      <c r="C1212" t="inlineStr">
        <is>
          <t>Técnico III</t>
        </is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s="3" t="n">
        <v>0</v>
      </c>
      <c r="J1212" s="3" t="n">
        <v>0</v>
      </c>
      <c r="K1212" s="3" t="n">
        <v>0</v>
      </c>
      <c r="L1212" s="3">
        <f>IF(K1212&lt;-5,"CRÍTICO",IF(K1212&lt;0,"ATENÇÃO",IF(K1212&lt;=5,"BOM","EXCELENTE")))</f>
        <v/>
      </c>
      <c r="M1212" t="n">
        <v>0</v>
      </c>
      <c r="N1212" t="n">
        <v>0</v>
      </c>
      <c r="O1212" t="n">
        <v>0</v>
      </c>
    </row>
    <row r="1213" hidden="1">
      <c r="A1213" s="11" t="n">
        <v>46037</v>
      </c>
      <c r="B1213" t="inlineStr">
        <is>
          <t>Sara Maria Monteiro Lopes</t>
        </is>
      </c>
      <c r="C1213" t="inlineStr">
        <is>
          <t>Técnico I</t>
        </is>
      </c>
      <c r="D1213" t="n">
        <v>15</v>
      </c>
      <c r="E1213" t="n">
        <v>14</v>
      </c>
      <c r="F1213" t="n">
        <v>28.44</v>
      </c>
      <c r="G1213" t="n">
        <v>0</v>
      </c>
      <c r="H1213" t="n">
        <v>0</v>
      </c>
      <c r="I1213" s="3">
        <f>E1213+G1213+H1213</f>
        <v/>
      </c>
      <c r="J1213" s="3">
        <f>ROUND(MIN(IF(C1213="Técnico III",35,IF(C1213="Técnico II",28,IF(C1213="Técnico I",23,IF(C1213="JR",20,IF(C1213="Estágio",10,0))))),IF(C1213="Técnico III",SUMIFS($D:$D,$A:$A,$A1213,$B:$B,"&lt;&gt;Patrícia Karla de Sousa Araújo",$B:$B,"&lt;&gt;Lorena Dias de Araujo",$B:$B,"&lt;&gt;Lucas Luiz Romero")*(35/1083),IF(C1213="Técnico II",SUMIFS($D:$D,$A:$A,$A1213,$B:$B,"&lt;&gt;Patrícia Karla de Sousa Araújo",$B:$B,"&lt;&gt;Lorena Dias de Araujo",$B:$B,"&lt;&gt;Lucas Luiz Romero")*(28/1083),IF(C1213="Técnico I",SUMIFS($D:$D,$A:$A,$A1213,$B:$B,"&lt;&gt;Patrícia Karla de Sousa Araújo",$B:$B,"&lt;&gt;Lorena Dias de Araujo",$B:$B,"&lt;&gt;Lucas Luiz Romero")*(23/1083),IF(C1213="JR",SUMIFS($D:$D,$A:$A,$A1213,$B:$B,"&lt;&gt;Patrícia Karla de Sousa Araújo",$B:$B,"&lt;&gt;Lorena Dias de Araujo",$B:$B,"&lt;&gt;Lucas Luiz Romero")*(20/1083),IF(C1213="Estágio",SUMIFS($D:$D,$A:$A,$A1213,$B:$B,"&lt;&gt;Patrícia Karla de Sousa Araújo",$B:$B,"&lt;&gt;Lorena Dias de Araujo",$B:$B,"&lt;&gt;Lucas Luiz Romero")*(10/1083),0)))))),0)</f>
        <v/>
      </c>
      <c r="K1213" s="3">
        <f>I1213-J1213</f>
        <v/>
      </c>
      <c r="L1213" s="3">
        <f>IF(K1213&lt;-5,"CRÍTICO",IF(K1213&lt;0,"ATENÇÃO",IF(K1213&lt;=5,"BOM","EXCELENTE")))</f>
        <v/>
      </c>
      <c r="M1213" t="n">
        <v>15</v>
      </c>
      <c r="N1213" t="n">
        <v>100</v>
      </c>
      <c r="O1213" t="n">
        <v>33.05785123966943</v>
      </c>
    </row>
    <row r="1214" hidden="1">
      <c r="A1214" s="11" t="n">
        <v>46037</v>
      </c>
      <c r="B1214" t="inlineStr">
        <is>
          <t>Sarah Steffanie de Lima Borges</t>
        </is>
      </c>
      <c r="C1214" t="inlineStr">
        <is>
          <t>Técnico III</t>
        </is>
      </c>
      <c r="D1214" t="n">
        <v>37</v>
      </c>
      <c r="E1214" t="n">
        <v>35</v>
      </c>
      <c r="F1214" t="n">
        <v>14.08</v>
      </c>
      <c r="G1214" t="n">
        <v>0</v>
      </c>
      <c r="H1214" t="n">
        <v>0</v>
      </c>
      <c r="I1214" s="3">
        <f>E1214+G1214+H1214</f>
        <v/>
      </c>
      <c r="J1214" s="3">
        <f>ROUND(MIN(IF(C1214="Técnico III",35,IF(C1214="Técnico II",28,IF(C1214="Técnico I",23,IF(C1214="JR",20,IF(C1214="Estágio",10,0))))),IF(C1214="Técnico III",SUMIFS($D:$D,$A:$A,$A1214,$B:$B,"&lt;&gt;Patrícia Karla de Sousa Araújo",$B:$B,"&lt;&gt;Lorena Dias de Araujo",$B:$B,"&lt;&gt;Lucas Luiz Romero")*(35/1083),IF(C1214="Técnico II",SUMIFS($D:$D,$A:$A,$A1214,$B:$B,"&lt;&gt;Patrícia Karla de Sousa Araújo",$B:$B,"&lt;&gt;Lorena Dias de Araujo",$B:$B,"&lt;&gt;Lucas Luiz Romero")*(28/1083),IF(C1214="Técnico I",SUMIFS($D:$D,$A:$A,$A1214,$B:$B,"&lt;&gt;Patrícia Karla de Sousa Araújo",$B:$B,"&lt;&gt;Lorena Dias de Araujo",$B:$B,"&lt;&gt;Lucas Luiz Romero")*(23/1083),IF(C1214="JR",SUMIFS($D:$D,$A:$A,$A1214,$B:$B,"&lt;&gt;Patrícia Karla de Sousa Araújo",$B:$B,"&lt;&gt;Lorena Dias de Araujo",$B:$B,"&lt;&gt;Lucas Luiz Romero")*(20/1083),IF(C1214="Estágio",SUMIFS($D:$D,$A:$A,$A1214,$B:$B,"&lt;&gt;Patrícia Karla de Sousa Araújo",$B:$B,"&lt;&gt;Lorena Dias de Araujo",$B:$B,"&lt;&gt;Lucas Luiz Romero")*(10/1083),0)))))),0)</f>
        <v/>
      </c>
      <c r="K1214" s="3">
        <f>I1214-J1214</f>
        <v/>
      </c>
      <c r="L1214" s="3">
        <f>IF(K1214&lt;-5,"CRÍTICO",IF(K1214&lt;0,"ATENÇÃO",IF(K1214&lt;=5,"BOM","EXCELENTE")))</f>
        <v/>
      </c>
      <c r="M1214" t="n">
        <v>31</v>
      </c>
      <c r="N1214" t="n">
        <v>100</v>
      </c>
      <c r="O1214" t="n">
        <v>24.58333333333333</v>
      </c>
    </row>
    <row r="1215" hidden="1">
      <c r="A1215" s="11" t="n">
        <v>46038</v>
      </c>
      <c r="B1215" t="inlineStr">
        <is>
          <t>Alisson de Freitas Silva</t>
        </is>
      </c>
      <c r="C1215" t="inlineStr">
        <is>
          <t>Técnico II</t>
        </is>
      </c>
      <c r="D1215" t="n">
        <v>26</v>
      </c>
      <c r="E1215" t="n">
        <v>26</v>
      </c>
      <c r="F1215" t="n">
        <v>15.33</v>
      </c>
      <c r="G1215" t="n">
        <v>0</v>
      </c>
      <c r="H1215" t="n">
        <v>0</v>
      </c>
      <c r="I1215" s="3">
        <f>E1215+G1215+H1215</f>
        <v/>
      </c>
      <c r="J1215" s="3">
        <f>ROUND(MIN(IF(C1215="Técnico III",35,IF(C1215="Técnico II",28,IF(C1215="Técnico I",23,IF(C1215="JR",20,IF(C1215="Estágio",10,0))))),IF(C1215="Técnico III",SUMIFS($D:$D,$A:$A,$A1215,$B:$B,"&lt;&gt;Patrícia Karla de Sousa Araújo",$B:$B,"&lt;&gt;Lorena Dias de Araujo",$B:$B,"&lt;&gt;Lucas Luiz Romero")*(35/1083),IF(C1215="Técnico II",SUMIFS($D:$D,$A:$A,$A1215,$B:$B,"&lt;&gt;Patrícia Karla de Sousa Araújo",$B:$B,"&lt;&gt;Lorena Dias de Araujo",$B:$B,"&lt;&gt;Lucas Luiz Romero")*(28/1083),IF(C1215="Técnico I",SUMIFS($D:$D,$A:$A,$A1215,$B:$B,"&lt;&gt;Patrícia Karla de Sousa Araújo",$B:$B,"&lt;&gt;Lorena Dias de Araujo",$B:$B,"&lt;&gt;Lucas Luiz Romero")*(23/1083),IF(C1215="JR",SUMIFS($D:$D,$A:$A,$A1215,$B:$B,"&lt;&gt;Patrícia Karla de Sousa Araújo",$B:$B,"&lt;&gt;Lorena Dias de Araujo",$B:$B,"&lt;&gt;Lucas Luiz Romero")*(20/1083),IF(C1215="Estágio",SUMIFS($D:$D,$A:$A,$A1215,$B:$B,"&lt;&gt;Patrícia Karla de Sousa Araújo",$B:$B,"&lt;&gt;Lorena Dias de Araujo",$B:$B,"&lt;&gt;Lucas Luiz Romero")*(10/1083),0)))))),0)</f>
        <v/>
      </c>
      <c r="K1215" s="3">
        <f>I1215-J1215</f>
        <v/>
      </c>
      <c r="L1215" s="3">
        <f>IF(K1215&lt;-5,"CRÍTICO",IF(K1215&lt;0,"ATENÇÃO",IF(K1215&lt;=5,"BOM","EXCELENTE")))</f>
        <v/>
      </c>
      <c r="M1215" t="n">
        <v>22</v>
      </c>
      <c r="N1215" t="n">
        <v>100</v>
      </c>
      <c r="O1215" t="n">
        <v>27.0935960591133</v>
      </c>
    </row>
    <row r="1216" hidden="1">
      <c r="A1216" s="11" t="n">
        <v>46038</v>
      </c>
      <c r="B1216" t="inlineStr">
        <is>
          <t>Amanda Moura Ferreira</t>
        </is>
      </c>
      <c r="C1216" t="inlineStr">
        <is>
          <t>Técnico III</t>
        </is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s="3" t="n">
        <v>0</v>
      </c>
      <c r="J1216" s="3" t="n">
        <v>0</v>
      </c>
      <c r="K1216" s="3" t="n">
        <v>0</v>
      </c>
      <c r="L1216" s="3">
        <f>IF(K1216&lt;-5,"CRÍTICO",IF(K1216&lt;0,"ATENÇÃO",IF(K1216&lt;=5,"BOM","EXCELENTE")))</f>
        <v/>
      </c>
      <c r="M1216" t="n">
        <v>17</v>
      </c>
      <c r="N1216" t="n">
        <v>98.28</v>
      </c>
      <c r="O1216" t="n">
        <v>29.03225806451613</v>
      </c>
    </row>
    <row r="1217" hidden="1">
      <c r="A1217" s="11" t="n">
        <v>46038</v>
      </c>
      <c r="B1217" t="inlineStr">
        <is>
          <t>Ana Karollyne Souza Faria</t>
        </is>
      </c>
      <c r="C1217" t="inlineStr">
        <is>
          <t>Técnico I</t>
        </is>
      </c>
      <c r="D1217" t="n">
        <v>26</v>
      </c>
      <c r="E1217" t="n">
        <v>25</v>
      </c>
      <c r="F1217" t="n">
        <v>20.24</v>
      </c>
      <c r="G1217" t="n">
        <v>0</v>
      </c>
      <c r="H1217" t="n">
        <v>0</v>
      </c>
      <c r="I1217" s="3">
        <f>E1217+G1217+H1217</f>
        <v/>
      </c>
      <c r="J1217" s="3">
        <f>ROUND(MIN(IF(C1217="Técnico III",35,IF(C1217="Técnico II",28,IF(C1217="Técnico I",23,IF(C1217="JR",20,IF(C1217="Estágio",10,0))))),IF(C1217="Técnico III",SUMIFS($D:$D,$A:$A,$A1217,$B:$B,"&lt;&gt;Patrícia Karla de Sousa Araújo",$B:$B,"&lt;&gt;Lorena Dias de Araujo",$B:$B,"&lt;&gt;Lucas Luiz Romero")*(35/1083),IF(C1217="Técnico II",SUMIFS($D:$D,$A:$A,$A1217,$B:$B,"&lt;&gt;Patrícia Karla de Sousa Araújo",$B:$B,"&lt;&gt;Lorena Dias de Araujo",$B:$B,"&lt;&gt;Lucas Luiz Romero")*(28/1083),IF(C1217="Técnico I",SUMIFS($D:$D,$A:$A,$A1217,$B:$B,"&lt;&gt;Patrícia Karla de Sousa Araújo",$B:$B,"&lt;&gt;Lorena Dias de Araujo",$B:$B,"&lt;&gt;Lucas Luiz Romero")*(23/1083),IF(C1217="JR",SUMIFS($D:$D,$A:$A,$A1217,$B:$B,"&lt;&gt;Patrícia Karla de Sousa Araújo",$B:$B,"&lt;&gt;Lorena Dias de Araujo",$B:$B,"&lt;&gt;Lucas Luiz Romero")*(20/1083),IF(C1217="Estágio",SUMIFS($D:$D,$A:$A,$A1217,$B:$B,"&lt;&gt;Patrícia Karla de Sousa Araújo",$B:$B,"&lt;&gt;Lorena Dias de Araujo",$B:$B,"&lt;&gt;Lucas Luiz Romero")*(10/1083),0)))))),0)</f>
        <v/>
      </c>
      <c r="K1217" s="3">
        <f>I1217-J1217</f>
        <v/>
      </c>
      <c r="L1217" s="3">
        <f>IF(K1217&lt;-5,"CRÍTICO",IF(K1217&lt;0,"ATENÇÃO",IF(K1217&lt;=5,"BOM","EXCELENTE")))</f>
        <v/>
      </c>
      <c r="M1217" t="n">
        <v>22</v>
      </c>
      <c r="N1217" t="n">
        <v>100</v>
      </c>
      <c r="O1217" t="n">
        <v>26.35658914728683</v>
      </c>
    </row>
    <row r="1218" hidden="1">
      <c r="A1218" s="11" t="n">
        <v>46038</v>
      </c>
      <c r="B1218" t="inlineStr">
        <is>
          <t>Ana Paula Da Luz Silva Aleixo</t>
        </is>
      </c>
      <c r="C1218" t="inlineStr">
        <is>
          <t>Técnico III</t>
        </is>
      </c>
      <c r="D1218" t="n">
        <v>35</v>
      </c>
      <c r="E1218" t="n">
        <v>32</v>
      </c>
      <c r="F1218" t="n">
        <v>11.43</v>
      </c>
      <c r="G1218" t="n">
        <v>0</v>
      </c>
      <c r="H1218" t="n">
        <v>0</v>
      </c>
      <c r="I1218" s="3">
        <f>E1218+G1218+H1218</f>
        <v/>
      </c>
      <c r="J1218" s="3">
        <f>ROUND(MIN(IF(C1218="Técnico III",35,IF(C1218="Técnico II",28,IF(C1218="Técnico I",23,IF(C1218="JR",20,IF(C1218="Estágio",10,0))))),IF(C1218="Técnico III",SUMIFS($D:$D,$A:$A,$A1218,$B:$B,"&lt;&gt;Patrícia Karla de Sousa Araújo",$B:$B,"&lt;&gt;Lorena Dias de Araujo",$B:$B,"&lt;&gt;Lucas Luiz Romero")*(35/1083),IF(C1218="Técnico II",SUMIFS($D:$D,$A:$A,$A1218,$B:$B,"&lt;&gt;Patrícia Karla de Sousa Araújo",$B:$B,"&lt;&gt;Lorena Dias de Araujo",$B:$B,"&lt;&gt;Lucas Luiz Romero")*(28/1083),IF(C1218="Técnico I",SUMIFS($D:$D,$A:$A,$A1218,$B:$B,"&lt;&gt;Patrícia Karla de Sousa Araújo",$B:$B,"&lt;&gt;Lorena Dias de Araujo",$B:$B,"&lt;&gt;Lucas Luiz Romero")*(23/1083),IF(C1218="JR",SUMIFS($D:$D,$A:$A,$A1218,$B:$B,"&lt;&gt;Patrícia Karla de Sousa Araújo",$B:$B,"&lt;&gt;Lorena Dias de Araujo",$B:$B,"&lt;&gt;Lucas Luiz Romero")*(20/1083),IF(C1218="Estágio",SUMIFS($D:$D,$A:$A,$A1218,$B:$B,"&lt;&gt;Patrícia Karla de Sousa Araújo",$B:$B,"&lt;&gt;Lorena Dias de Araujo",$B:$B,"&lt;&gt;Lucas Luiz Romero")*(10/1083),0)))))),0)</f>
        <v/>
      </c>
      <c r="K1218" s="3">
        <f>I1218-J1218</f>
        <v/>
      </c>
      <c r="L1218" s="3">
        <f>IF(K1218&lt;-5,"CRÍTICO",IF(K1218&lt;0,"ATENÇÃO",IF(K1218&lt;=5,"BOM","EXCELENTE")))</f>
        <v/>
      </c>
      <c r="M1218" t="n">
        <v>28</v>
      </c>
      <c r="N1218" t="n">
        <v>98.25</v>
      </c>
      <c r="O1218" t="n">
        <v>28.91566265060241</v>
      </c>
    </row>
    <row r="1219" hidden="1">
      <c r="A1219" s="11" t="n">
        <v>46038</v>
      </c>
      <c r="B1219" t="inlineStr">
        <is>
          <t>Anna Luiza Rezende Tavares</t>
        </is>
      </c>
      <c r="C1219" t="inlineStr">
        <is>
          <t>Estágio</t>
        </is>
      </c>
      <c r="D1219" t="n">
        <v>1</v>
      </c>
      <c r="E1219" t="n">
        <v>1</v>
      </c>
      <c r="F1219" t="n">
        <v>432.1</v>
      </c>
      <c r="G1219" t="n">
        <v>0</v>
      </c>
      <c r="H1219" t="n">
        <v>0</v>
      </c>
      <c r="I1219" s="3">
        <f>E1219+G1219+H1219</f>
        <v/>
      </c>
      <c r="J1219" s="3">
        <f>ROUND(MIN(IF(C1219="Técnico III",35,IF(C1219="Técnico II",28,IF(C1219="Técnico I",23,IF(C1219="JR",20,IF(C1219="Estágio",10,0))))),IF(C1219="Técnico III",SUMIFS($D:$D,$A:$A,$A1219,$B:$B,"&lt;&gt;Patrícia Karla de Sousa Araújo",$B:$B,"&lt;&gt;Lorena Dias de Araujo",$B:$B,"&lt;&gt;Lucas Luiz Romero")*(35/1083),IF(C1219="Técnico II",SUMIFS($D:$D,$A:$A,$A1219,$B:$B,"&lt;&gt;Patrícia Karla de Sousa Araújo",$B:$B,"&lt;&gt;Lorena Dias de Araujo",$B:$B,"&lt;&gt;Lucas Luiz Romero")*(28/1083),IF(C1219="Técnico I",SUMIFS($D:$D,$A:$A,$A1219,$B:$B,"&lt;&gt;Patrícia Karla de Sousa Araújo",$B:$B,"&lt;&gt;Lorena Dias de Araujo",$B:$B,"&lt;&gt;Lucas Luiz Romero")*(23/1083),IF(C1219="JR",SUMIFS($D:$D,$A:$A,$A1219,$B:$B,"&lt;&gt;Patrícia Karla de Sousa Araújo",$B:$B,"&lt;&gt;Lorena Dias de Araujo",$B:$B,"&lt;&gt;Lucas Luiz Romero")*(20/1083),IF(C1219="Estágio",SUMIFS($D:$D,$A:$A,$A1219,$B:$B,"&lt;&gt;Patrícia Karla de Sousa Araújo",$B:$B,"&lt;&gt;Lorena Dias de Araujo",$B:$B,"&lt;&gt;Lucas Luiz Romero")*(10/1083),0)))))),0)</f>
        <v/>
      </c>
      <c r="K1219" s="3">
        <f>I1219-J1219</f>
        <v/>
      </c>
      <c r="L1219" s="3">
        <f>IF(K1219&lt;-5,"CRÍTICO",IF(K1219&lt;0,"ATENÇÃO",IF(K1219&lt;=5,"BOM","EXCELENTE")))</f>
        <v/>
      </c>
      <c r="M1219" t="n">
        <v>1</v>
      </c>
      <c r="N1219" t="n">
        <v>100</v>
      </c>
      <c r="O1219" t="n">
        <v>48.48484848484848</v>
      </c>
    </row>
    <row r="1220" hidden="1">
      <c r="A1220" s="11" t="n">
        <v>46038</v>
      </c>
      <c r="B1220" t="inlineStr">
        <is>
          <t>Brenda de Menezes Silva</t>
        </is>
      </c>
      <c r="C1220" t="inlineStr">
        <is>
          <t>Técnico II</t>
        </is>
      </c>
      <c r="D1220" t="n">
        <v>30</v>
      </c>
      <c r="E1220" t="n">
        <v>27</v>
      </c>
      <c r="F1220" t="n">
        <v>17.06</v>
      </c>
      <c r="G1220" t="n">
        <v>0</v>
      </c>
      <c r="H1220" t="n">
        <v>0</v>
      </c>
      <c r="I1220" s="3">
        <f>E1220+G1220+H1220</f>
        <v/>
      </c>
      <c r="J1220" s="3">
        <f>ROUND(MIN(IF(C1220="Técnico III",35,IF(C1220="Técnico II",28,IF(C1220="Técnico I",23,IF(C1220="JR",20,IF(C1220="Estágio",10,0))))),IF(C1220="Técnico III",SUMIFS($D:$D,$A:$A,$A1220,$B:$B,"&lt;&gt;Patrícia Karla de Sousa Araújo",$B:$B,"&lt;&gt;Lorena Dias de Araujo",$B:$B,"&lt;&gt;Lucas Luiz Romero")*(35/1083),IF(C1220="Técnico II",SUMIFS($D:$D,$A:$A,$A1220,$B:$B,"&lt;&gt;Patrícia Karla de Sousa Araújo",$B:$B,"&lt;&gt;Lorena Dias de Araujo",$B:$B,"&lt;&gt;Lucas Luiz Romero")*(28/1083),IF(C1220="Técnico I",SUMIFS($D:$D,$A:$A,$A1220,$B:$B,"&lt;&gt;Patrícia Karla de Sousa Araújo",$B:$B,"&lt;&gt;Lorena Dias de Araujo",$B:$B,"&lt;&gt;Lucas Luiz Romero")*(23/1083),IF(C1220="JR",SUMIFS($D:$D,$A:$A,$A1220,$B:$B,"&lt;&gt;Patrícia Karla de Sousa Araújo",$B:$B,"&lt;&gt;Lorena Dias de Araujo",$B:$B,"&lt;&gt;Lucas Luiz Romero")*(20/1083),IF(C1220="Estágio",SUMIFS($D:$D,$A:$A,$A1220,$B:$B,"&lt;&gt;Patrícia Karla de Sousa Araújo",$B:$B,"&lt;&gt;Lorena Dias de Araujo",$B:$B,"&lt;&gt;Lucas Luiz Romero")*(10/1083),0)))))),0)</f>
        <v/>
      </c>
      <c r="K1220" s="3">
        <f>I1220-J1220</f>
        <v/>
      </c>
      <c r="L1220" s="3">
        <f>IF(K1220&lt;-5,"CRÍTICO",IF(K1220&lt;0,"ATENÇÃO",IF(K1220&lt;=5,"BOM","EXCELENTE")))</f>
        <v/>
      </c>
      <c r="M1220" t="n">
        <v>24</v>
      </c>
      <c r="N1220" t="n">
        <v>100</v>
      </c>
      <c r="O1220" t="n">
        <v>27.07581227436823</v>
      </c>
    </row>
    <row r="1221" hidden="1">
      <c r="A1221" s="11" t="n">
        <v>46038</v>
      </c>
      <c r="B1221" t="inlineStr">
        <is>
          <t>Carlos Mateus Cassimiro Nunes</t>
        </is>
      </c>
      <c r="C1221" t="inlineStr">
        <is>
          <t>Técnico II</t>
        </is>
      </c>
      <c r="D1221" t="n">
        <v>13</v>
      </c>
      <c r="E1221" t="n">
        <v>13</v>
      </c>
      <c r="F1221" t="n">
        <v>47.07</v>
      </c>
      <c r="G1221" t="n">
        <v>0</v>
      </c>
      <c r="H1221" t="n">
        <v>0</v>
      </c>
      <c r="I1221" s="3">
        <f>E1221+G1221+H1221</f>
        <v/>
      </c>
      <c r="J1221" s="3">
        <f>ROUND(MIN(IF(C1221="Técnico III",35,IF(C1221="Técnico II",28,IF(C1221="Técnico I",23,IF(C1221="JR",20,IF(C1221="Estágio",10,0))))),IF(C1221="Técnico III",SUMIFS($D:$D,$A:$A,$A1221,$B:$B,"&lt;&gt;Patrícia Karla de Sousa Araújo",$B:$B,"&lt;&gt;Lorena Dias de Araujo",$B:$B,"&lt;&gt;Lucas Luiz Romero")*(35/1083),IF(C1221="Técnico II",SUMIFS($D:$D,$A:$A,$A1221,$B:$B,"&lt;&gt;Patrícia Karla de Sousa Araújo",$B:$B,"&lt;&gt;Lorena Dias de Araujo",$B:$B,"&lt;&gt;Lucas Luiz Romero")*(28/1083),IF(C1221="Técnico I",SUMIFS($D:$D,$A:$A,$A1221,$B:$B,"&lt;&gt;Patrícia Karla de Sousa Araújo",$B:$B,"&lt;&gt;Lorena Dias de Araujo",$B:$B,"&lt;&gt;Lucas Luiz Romero")*(23/1083),IF(C1221="JR",SUMIFS($D:$D,$A:$A,$A1221,$B:$B,"&lt;&gt;Patrícia Karla de Sousa Araújo",$B:$B,"&lt;&gt;Lorena Dias de Araujo",$B:$B,"&lt;&gt;Lucas Luiz Romero")*(20/1083),IF(C1221="Estágio",SUMIFS($D:$D,$A:$A,$A1221,$B:$B,"&lt;&gt;Patrícia Karla de Sousa Araújo",$B:$B,"&lt;&gt;Lorena Dias de Araujo",$B:$B,"&lt;&gt;Lucas Luiz Romero")*(10/1083),0)))))),0)</f>
        <v/>
      </c>
      <c r="K1221" s="3">
        <f>I1221-J1221</f>
        <v/>
      </c>
      <c r="L1221" s="3">
        <f>IF(K1221&lt;-5,"CRÍTICO",IF(K1221&lt;0,"ATENÇÃO",IF(K1221&lt;=5,"BOM","EXCELENTE")))</f>
        <v/>
      </c>
      <c r="M1221" t="n">
        <v>13</v>
      </c>
      <c r="N1221" t="n">
        <v>100</v>
      </c>
      <c r="O1221" t="n">
        <v>38.77551020408163</v>
      </c>
    </row>
    <row r="1222" hidden="1">
      <c r="A1222" s="11" t="n">
        <v>46038</v>
      </c>
      <c r="B1222" t="inlineStr">
        <is>
          <t>Claudio de Sousa Velasco Filho</t>
        </is>
      </c>
      <c r="C1222" t="inlineStr">
        <is>
          <t>Estágio</t>
        </is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s="3" t="n">
        <v>0</v>
      </c>
      <c r="J1222" s="3" t="n">
        <v>0</v>
      </c>
      <c r="K1222" s="3" t="n">
        <v>0</v>
      </c>
      <c r="L1222" s="3">
        <f>IF(K1222&lt;-5,"CRÍTICO",IF(K1222&lt;0,"ATENÇÃO",IF(K1222&lt;=5,"BOM","EXCELENTE")))</f>
        <v/>
      </c>
      <c r="M1222" t="n">
        <v>0</v>
      </c>
      <c r="N1222" t="n">
        <v>0</v>
      </c>
      <c r="O1222" t="n">
        <v>0</v>
      </c>
    </row>
    <row r="1223" hidden="1">
      <c r="A1223" s="11" t="n">
        <v>46038</v>
      </c>
      <c r="B1223" t="inlineStr">
        <is>
          <t>Clessiane Pereira dos Santos</t>
        </is>
      </c>
      <c r="C1223" t="inlineStr">
        <is>
          <t>Técnico I</t>
        </is>
      </c>
      <c r="D1223" t="n">
        <v>14</v>
      </c>
      <c r="E1223" t="n">
        <v>11</v>
      </c>
      <c r="F1223" t="n">
        <v>35.35</v>
      </c>
      <c r="G1223" t="n">
        <v>0</v>
      </c>
      <c r="H1223" t="n">
        <v>0</v>
      </c>
      <c r="I1223" s="3">
        <f>E1223+G1223+H1223</f>
        <v/>
      </c>
      <c r="J1223" s="3">
        <f>ROUND(MIN(IF(C1223="Técnico III",35,IF(C1223="Técnico II",28,IF(C1223="Técnico I",23,IF(C1223="JR",20,IF(C1223="Estágio",10,0))))),IF(C1223="Técnico III",SUMIFS($D:$D,$A:$A,$A1223,$B:$B,"&lt;&gt;Patrícia Karla de Sousa Araújo",$B:$B,"&lt;&gt;Lorena Dias de Araujo",$B:$B,"&lt;&gt;Lucas Luiz Romero")*(35/1083),IF(C1223="Técnico II",SUMIFS($D:$D,$A:$A,$A1223,$B:$B,"&lt;&gt;Patrícia Karla de Sousa Araújo",$B:$B,"&lt;&gt;Lorena Dias de Araujo",$B:$B,"&lt;&gt;Lucas Luiz Romero")*(28/1083),IF(C1223="Técnico I",SUMIFS($D:$D,$A:$A,$A1223,$B:$B,"&lt;&gt;Patrícia Karla de Sousa Araújo",$B:$B,"&lt;&gt;Lorena Dias de Araujo",$B:$B,"&lt;&gt;Lucas Luiz Romero")*(23/1083),IF(C1223="JR",SUMIFS($D:$D,$A:$A,$A1223,$B:$B,"&lt;&gt;Patrícia Karla de Sousa Araújo",$B:$B,"&lt;&gt;Lorena Dias de Araujo",$B:$B,"&lt;&gt;Lucas Luiz Romero")*(20/1083),IF(C1223="Estágio",SUMIFS($D:$D,$A:$A,$A1223,$B:$B,"&lt;&gt;Patrícia Karla de Sousa Araújo",$B:$B,"&lt;&gt;Lorena Dias de Araujo",$B:$B,"&lt;&gt;Lucas Luiz Romero")*(10/1083),0)))))),0)</f>
        <v/>
      </c>
      <c r="K1223" s="3">
        <f>I1223-J1223</f>
        <v/>
      </c>
      <c r="L1223" s="3">
        <f>IF(K1223&lt;-5,"CRÍTICO",IF(K1223&lt;0,"ATENÇÃO",IF(K1223&lt;=5,"BOM","EXCELENTE")))</f>
        <v/>
      </c>
      <c r="M1223" t="n">
        <v>13</v>
      </c>
      <c r="N1223" t="n">
        <v>100</v>
      </c>
      <c r="O1223" t="n">
        <v>30.87248322147651</v>
      </c>
    </row>
    <row r="1224" hidden="1">
      <c r="A1224" s="11" t="n">
        <v>46038</v>
      </c>
      <c r="B1224" t="inlineStr">
        <is>
          <t>Cristiane Ramos da Silva Rocha</t>
        </is>
      </c>
      <c r="C1224" t="inlineStr">
        <is>
          <t>Técnico III</t>
        </is>
      </c>
      <c r="D1224" t="n">
        <v>29</v>
      </c>
      <c r="E1224" t="n">
        <v>26</v>
      </c>
      <c r="F1224" t="n">
        <v>13.22</v>
      </c>
      <c r="G1224" t="n">
        <v>0</v>
      </c>
      <c r="H1224" t="n">
        <v>0</v>
      </c>
      <c r="I1224" s="3">
        <f>E1224+G1224+H1224</f>
        <v/>
      </c>
      <c r="J1224" s="3">
        <f>ROUND(MIN(IF(C1224="Técnico III",35,IF(C1224="Técnico II",28,IF(C1224="Técnico I",23,IF(C1224="JR",20,IF(C1224="Estágio",10,0))))),IF(C1224="Técnico III",SUMIFS($D:$D,$A:$A,$A1224,$B:$B,"&lt;&gt;Patrícia Karla de Sousa Araújo",$B:$B,"&lt;&gt;Lorena Dias de Araujo",$B:$B,"&lt;&gt;Lucas Luiz Romero")*(35/1083),IF(C1224="Técnico II",SUMIFS($D:$D,$A:$A,$A1224,$B:$B,"&lt;&gt;Patrícia Karla de Sousa Araújo",$B:$B,"&lt;&gt;Lorena Dias de Araujo",$B:$B,"&lt;&gt;Lucas Luiz Romero")*(28/1083),IF(C1224="Técnico I",SUMIFS($D:$D,$A:$A,$A1224,$B:$B,"&lt;&gt;Patrícia Karla de Sousa Araújo",$B:$B,"&lt;&gt;Lorena Dias de Araujo",$B:$B,"&lt;&gt;Lucas Luiz Romero")*(23/1083),IF(C1224="JR",SUMIFS($D:$D,$A:$A,$A1224,$B:$B,"&lt;&gt;Patrícia Karla de Sousa Araújo",$B:$B,"&lt;&gt;Lorena Dias de Araujo",$B:$B,"&lt;&gt;Lucas Luiz Romero")*(20/1083),IF(C1224="Estágio",SUMIFS($D:$D,$A:$A,$A1224,$B:$B,"&lt;&gt;Patrícia Karla de Sousa Araújo",$B:$B,"&lt;&gt;Lorena Dias de Araujo",$B:$B,"&lt;&gt;Lucas Luiz Romero")*(10/1083),0)))))),0)</f>
        <v/>
      </c>
      <c r="K1224" s="3">
        <f>I1224-J1224</f>
        <v/>
      </c>
      <c r="L1224" s="3">
        <f>IF(K1224&lt;-5,"CRÍTICO",IF(K1224&lt;0,"ATENÇÃO",IF(K1224&lt;=5,"BOM","EXCELENTE")))</f>
        <v/>
      </c>
      <c r="M1224" t="n">
        <v>25</v>
      </c>
      <c r="N1224" t="n">
        <v>96.59</v>
      </c>
      <c r="O1224" t="n">
        <v>38.9937106918239</v>
      </c>
    </row>
    <row r="1225" hidden="1">
      <c r="A1225" s="11" t="n">
        <v>46038</v>
      </c>
      <c r="B1225" t="inlineStr">
        <is>
          <t>Damyllis Lorraine de Oliveira Gonçalves</t>
        </is>
      </c>
      <c r="C1225" t="inlineStr">
        <is>
          <t>Técnico II</t>
        </is>
      </c>
      <c r="D1225" t="n">
        <v>36</v>
      </c>
      <c r="E1225" t="n">
        <v>22</v>
      </c>
      <c r="F1225" t="n">
        <v>9.039999999999999</v>
      </c>
      <c r="G1225" t="n">
        <v>0</v>
      </c>
      <c r="H1225" t="n">
        <v>0</v>
      </c>
      <c r="I1225" s="3" t="n">
        <v>0</v>
      </c>
      <c r="J1225" s="3" t="n">
        <v>0</v>
      </c>
      <c r="K1225" s="3" t="n">
        <v>0</v>
      </c>
      <c r="L1225" s="3">
        <f>IF(K1225&lt;-5,"CRÍTICO",IF(K1225&lt;0,"ATENÇÃO",IF(K1225&lt;=5,"BOM","EXCELENTE")))</f>
        <v/>
      </c>
      <c r="M1225" t="n">
        <v>23</v>
      </c>
      <c r="N1225" t="n">
        <v>94.34</v>
      </c>
      <c r="O1225" t="n">
        <v>32.03463203463203</v>
      </c>
    </row>
    <row r="1226" hidden="1">
      <c r="A1226" s="11" t="n">
        <v>46038</v>
      </c>
      <c r="B1226" t="inlineStr">
        <is>
          <t>Daniel Gomes da Silva</t>
        </is>
      </c>
      <c r="C1226" t="inlineStr">
        <is>
          <t>Técnico I</t>
        </is>
      </c>
      <c r="D1226" t="n">
        <v>9</v>
      </c>
      <c r="E1226" t="n">
        <v>9</v>
      </c>
      <c r="F1226" t="n">
        <v>38.24</v>
      </c>
      <c r="G1226" t="n">
        <v>0</v>
      </c>
      <c r="H1226" t="n">
        <v>0</v>
      </c>
      <c r="I1226" s="3">
        <f>E1226+G1226+H1226</f>
        <v/>
      </c>
      <c r="J1226" s="3">
        <f>ROUND(MIN(IF(C1226="Técnico III",35,IF(C1226="Técnico II",28,IF(C1226="Técnico I",23,IF(C1226="JR",20,IF(C1226="Estágio",10,0))))),IF(C1226="Técnico III",SUMIFS($D:$D,$A:$A,$A1226,$B:$B,"&lt;&gt;Patrícia Karla de Sousa Araújo",$B:$B,"&lt;&gt;Lorena Dias de Araujo",$B:$B,"&lt;&gt;Lucas Luiz Romero")*(35/1083),IF(C1226="Técnico II",SUMIFS($D:$D,$A:$A,$A1226,$B:$B,"&lt;&gt;Patrícia Karla de Sousa Araújo",$B:$B,"&lt;&gt;Lorena Dias de Araujo",$B:$B,"&lt;&gt;Lucas Luiz Romero")*(28/1083),IF(C1226="Técnico I",SUMIFS($D:$D,$A:$A,$A1226,$B:$B,"&lt;&gt;Patrícia Karla de Sousa Araújo",$B:$B,"&lt;&gt;Lorena Dias de Araujo",$B:$B,"&lt;&gt;Lucas Luiz Romero")*(23/1083),IF(C1226="JR",SUMIFS($D:$D,$A:$A,$A1226,$B:$B,"&lt;&gt;Patrícia Karla de Sousa Araújo",$B:$B,"&lt;&gt;Lorena Dias de Araujo",$B:$B,"&lt;&gt;Lucas Luiz Romero")*(20/1083),IF(C1226="Estágio",SUMIFS($D:$D,$A:$A,$A1226,$B:$B,"&lt;&gt;Patrícia Karla de Sousa Araújo",$B:$B,"&lt;&gt;Lorena Dias de Araujo",$B:$B,"&lt;&gt;Lucas Luiz Romero")*(10/1083),0)))))),0)</f>
        <v/>
      </c>
      <c r="K1226" s="3">
        <f>I1226-J1226</f>
        <v/>
      </c>
      <c r="L1226" s="3">
        <f>IF(K1226&lt;-5,"CRÍTICO",IF(K1226&lt;0,"ATENÇÃO",IF(K1226&lt;=5,"BOM","EXCELENTE")))</f>
        <v/>
      </c>
      <c r="M1226" t="n">
        <v>14</v>
      </c>
      <c r="N1226" t="n">
        <v>100</v>
      </c>
      <c r="O1226" t="n">
        <v>27.13178294573643</v>
      </c>
    </row>
    <row r="1227" hidden="1">
      <c r="A1227" s="11" t="n">
        <v>46038</v>
      </c>
      <c r="B1227" t="inlineStr">
        <is>
          <t>Davylla Rodrigues Freitas Silva</t>
        </is>
      </c>
      <c r="C1227" t="inlineStr">
        <is>
          <t>Técnico III</t>
        </is>
      </c>
      <c r="D1227" t="n">
        <v>20</v>
      </c>
      <c r="E1227" t="n">
        <v>19</v>
      </c>
      <c r="F1227" t="n">
        <v>26.42</v>
      </c>
      <c r="G1227" t="n">
        <v>0</v>
      </c>
      <c r="H1227" t="n">
        <v>0</v>
      </c>
      <c r="I1227" s="3" t="n">
        <v>0</v>
      </c>
      <c r="J1227" s="3" t="n">
        <v>0</v>
      </c>
      <c r="K1227" s="3" t="n">
        <v>0</v>
      </c>
      <c r="L1227" s="3">
        <f>IF(K1227&lt;-5,"CRÍTICO",IF(K1227&lt;0,"ATENÇÃO",IF(K1227&lt;=5,"BOM","EXCELENTE")))</f>
        <v/>
      </c>
      <c r="M1227" t="n">
        <v>19</v>
      </c>
      <c r="N1227" t="n">
        <v>100</v>
      </c>
      <c r="O1227" t="n">
        <v>43.41085271317829</v>
      </c>
    </row>
    <row r="1228" hidden="1">
      <c r="A1228" s="11" t="n">
        <v>46038</v>
      </c>
      <c r="B1228" t="inlineStr">
        <is>
          <t>Emilly Caylane Costa</t>
        </is>
      </c>
      <c r="C1228" t="inlineStr">
        <is>
          <t>Estágio</t>
        </is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s="3" t="n">
        <v>0</v>
      </c>
      <c r="J1228" s="3" t="n">
        <v>0</v>
      </c>
      <c r="K1228" s="3" t="n">
        <v>0</v>
      </c>
      <c r="L1228" s="3">
        <f>IF(K1228&lt;-5,"CRÍTICO",IF(K1228&lt;0,"ATENÇÃO",IF(K1228&lt;=5,"BOM","EXCELENTE")))</f>
        <v/>
      </c>
      <c r="M1228" t="n">
        <v>0</v>
      </c>
      <c r="N1228" t="n">
        <v>0</v>
      </c>
      <c r="O1228" t="n">
        <v>0</v>
      </c>
    </row>
    <row r="1229" hidden="1">
      <c r="A1229" s="11" t="n">
        <v>46038</v>
      </c>
      <c r="B1229" t="inlineStr">
        <is>
          <t>Emilly Kamilly Medeiros Miranda</t>
        </is>
      </c>
      <c r="C1229" t="inlineStr">
        <is>
          <t>Técnico II</t>
        </is>
      </c>
      <c r="D1229" t="n">
        <v>26</v>
      </c>
      <c r="E1229" t="n">
        <v>25</v>
      </c>
      <c r="F1229" t="n">
        <v>18.39</v>
      </c>
      <c r="G1229" t="n">
        <v>0</v>
      </c>
      <c r="H1229" t="n">
        <v>0</v>
      </c>
      <c r="I1229" s="3">
        <f>E1229+G1229+H1229</f>
        <v/>
      </c>
      <c r="J1229" s="3">
        <f>ROUND(MIN(IF(C1229="Técnico III",35,IF(C1229="Técnico II",28,IF(C1229="Técnico I",23,IF(C1229="JR",20,IF(C1229="Estágio",10,0))))),IF(C1229="Técnico III",SUMIFS($D:$D,$A:$A,$A1229,$B:$B,"&lt;&gt;Patrícia Karla de Sousa Araújo",$B:$B,"&lt;&gt;Lorena Dias de Araujo",$B:$B,"&lt;&gt;Lucas Luiz Romero")*(35/1083),IF(C1229="Técnico II",SUMIFS($D:$D,$A:$A,$A1229,$B:$B,"&lt;&gt;Patrícia Karla de Sousa Araújo",$B:$B,"&lt;&gt;Lorena Dias de Araujo",$B:$B,"&lt;&gt;Lucas Luiz Romero")*(28/1083),IF(C1229="Técnico I",SUMIFS($D:$D,$A:$A,$A1229,$B:$B,"&lt;&gt;Patrícia Karla de Sousa Araújo",$B:$B,"&lt;&gt;Lorena Dias de Araujo",$B:$B,"&lt;&gt;Lucas Luiz Romero")*(23/1083),IF(C1229="JR",SUMIFS($D:$D,$A:$A,$A1229,$B:$B,"&lt;&gt;Patrícia Karla de Sousa Araújo",$B:$B,"&lt;&gt;Lorena Dias de Araujo",$B:$B,"&lt;&gt;Lucas Luiz Romero")*(20/1083),IF(C1229="Estágio",SUMIFS($D:$D,$A:$A,$A1229,$B:$B,"&lt;&gt;Patrícia Karla de Sousa Araújo",$B:$B,"&lt;&gt;Lorena Dias de Araujo",$B:$B,"&lt;&gt;Lucas Luiz Romero")*(10/1083),0)))))),0)</f>
        <v/>
      </c>
      <c r="K1229" s="3">
        <f>I1229-J1229</f>
        <v/>
      </c>
      <c r="L1229" s="3">
        <f>IF(K1229&lt;-5,"CRÍTICO",IF(K1229&lt;0,"ATENÇÃO",IF(K1229&lt;=5,"BOM","EXCELENTE")))</f>
        <v/>
      </c>
      <c r="M1229" t="n">
        <v>25</v>
      </c>
      <c r="N1229" t="n">
        <v>100</v>
      </c>
      <c r="O1229" t="n">
        <v>31.31672597864769</v>
      </c>
    </row>
    <row r="1230" hidden="1">
      <c r="A1230" s="11" t="n">
        <v>46038</v>
      </c>
      <c r="B1230" t="inlineStr">
        <is>
          <t>Francielson de Oliveira</t>
        </is>
      </c>
      <c r="C1230" t="inlineStr">
        <is>
          <t>Técnico III</t>
        </is>
      </c>
      <c r="D1230" t="n">
        <v>20</v>
      </c>
      <c r="E1230" t="n">
        <v>18</v>
      </c>
      <c r="F1230" t="n">
        <v>15.56</v>
      </c>
      <c r="G1230" t="n">
        <v>0</v>
      </c>
      <c r="H1230" t="n">
        <v>0</v>
      </c>
      <c r="I1230" s="3">
        <f>E1230+G1230+H1230</f>
        <v/>
      </c>
      <c r="J1230" s="3">
        <f>ROUND(MIN(IF(C1230="Técnico III",35,IF(C1230="Técnico II",28,IF(C1230="Técnico I",23,IF(C1230="JR",20,IF(C1230="Estágio",10,0))))),IF(C1230="Técnico III",SUMIFS($D:$D,$A:$A,$A1230,$B:$B,"&lt;&gt;Patrícia Karla de Sousa Araújo",$B:$B,"&lt;&gt;Lorena Dias de Araujo",$B:$B,"&lt;&gt;Lucas Luiz Romero")*(35/1083),IF(C1230="Técnico II",SUMIFS($D:$D,$A:$A,$A1230,$B:$B,"&lt;&gt;Patrícia Karla de Sousa Araújo",$B:$B,"&lt;&gt;Lorena Dias de Araujo",$B:$B,"&lt;&gt;Lucas Luiz Romero")*(28/1083),IF(C1230="Técnico I",SUMIFS($D:$D,$A:$A,$A1230,$B:$B,"&lt;&gt;Patrícia Karla de Sousa Araújo",$B:$B,"&lt;&gt;Lorena Dias de Araujo",$B:$B,"&lt;&gt;Lucas Luiz Romero")*(23/1083),IF(C1230="JR",SUMIFS($D:$D,$A:$A,$A1230,$B:$B,"&lt;&gt;Patrícia Karla de Sousa Araújo",$B:$B,"&lt;&gt;Lorena Dias de Araujo",$B:$B,"&lt;&gt;Lucas Luiz Romero")*(20/1083),IF(C1230="Estágio",SUMIFS($D:$D,$A:$A,$A1230,$B:$B,"&lt;&gt;Patrícia Karla de Sousa Araújo",$B:$B,"&lt;&gt;Lorena Dias de Araujo",$B:$B,"&lt;&gt;Lucas Luiz Romero")*(10/1083),0)))))),0)</f>
        <v/>
      </c>
      <c r="K1230" s="3">
        <f>I1230-J1230</f>
        <v/>
      </c>
      <c r="L1230" s="3">
        <f>IF(K1230&lt;-5,"CRÍTICO",IF(K1230&lt;0,"ATENÇÃO",IF(K1230&lt;=5,"BOM","EXCELENTE")))</f>
        <v/>
      </c>
      <c r="M1230" t="n">
        <v>17</v>
      </c>
      <c r="N1230" t="n">
        <v>100</v>
      </c>
      <c r="O1230" t="n">
        <v>32.56880733944954</v>
      </c>
    </row>
    <row r="1231" hidden="1">
      <c r="A1231" s="11" t="n">
        <v>46038</v>
      </c>
      <c r="B1231" t="inlineStr">
        <is>
          <t>Francilene Ferreira de Jesus</t>
        </is>
      </c>
      <c r="C1231" t="inlineStr">
        <is>
          <t>Técnico II</t>
        </is>
      </c>
      <c r="D1231" t="n">
        <v>30</v>
      </c>
      <c r="E1231" t="n">
        <v>26</v>
      </c>
      <c r="F1231" t="n">
        <v>13.38</v>
      </c>
      <c r="G1231" t="n">
        <v>0</v>
      </c>
      <c r="H1231" t="n">
        <v>0</v>
      </c>
      <c r="I1231" s="3">
        <f>E1231+G1231+H1231</f>
        <v/>
      </c>
      <c r="J1231" s="3">
        <f>ROUND(MIN(IF(C1231="Técnico III",35,IF(C1231="Técnico II",28,IF(C1231="Técnico I",23,IF(C1231="JR",20,IF(C1231="Estágio",10,0))))),IF(C1231="Técnico III",SUMIFS($D:$D,$A:$A,$A1231,$B:$B,"&lt;&gt;Patrícia Karla de Sousa Araújo",$B:$B,"&lt;&gt;Lorena Dias de Araujo",$B:$B,"&lt;&gt;Lucas Luiz Romero")*(35/1083),IF(C1231="Técnico II",SUMIFS($D:$D,$A:$A,$A1231,$B:$B,"&lt;&gt;Patrícia Karla de Sousa Araújo",$B:$B,"&lt;&gt;Lorena Dias de Araujo",$B:$B,"&lt;&gt;Lucas Luiz Romero")*(28/1083),IF(C1231="Técnico I",SUMIFS($D:$D,$A:$A,$A1231,$B:$B,"&lt;&gt;Patrícia Karla de Sousa Araújo",$B:$B,"&lt;&gt;Lorena Dias de Araujo",$B:$B,"&lt;&gt;Lucas Luiz Romero")*(23/1083),IF(C1231="JR",SUMIFS($D:$D,$A:$A,$A1231,$B:$B,"&lt;&gt;Patrícia Karla de Sousa Araújo",$B:$B,"&lt;&gt;Lorena Dias de Araujo",$B:$B,"&lt;&gt;Lucas Luiz Romero")*(20/1083),IF(C1231="Estágio",SUMIFS($D:$D,$A:$A,$A1231,$B:$B,"&lt;&gt;Patrícia Karla de Sousa Araújo",$B:$B,"&lt;&gt;Lorena Dias de Araujo",$B:$B,"&lt;&gt;Lucas Luiz Romero")*(10/1083),0)))))),0)</f>
        <v/>
      </c>
      <c r="K1231" s="3">
        <f>I1231-J1231</f>
        <v/>
      </c>
      <c r="L1231" s="3">
        <f>IF(K1231&lt;-5,"CRÍTICO",IF(K1231&lt;0,"ATENÇÃO",IF(K1231&lt;=5,"BOM","EXCELENTE")))</f>
        <v/>
      </c>
      <c r="M1231" t="n">
        <v>23</v>
      </c>
      <c r="N1231" t="n">
        <v>98.61</v>
      </c>
      <c r="O1231" t="n">
        <v>32.14285714285715</v>
      </c>
    </row>
    <row r="1232" hidden="1">
      <c r="A1232" s="11" t="n">
        <v>46072</v>
      </c>
      <c r="B1232" t="inlineStr">
        <is>
          <t>Gabriel Gomes de Andrade</t>
        </is>
      </c>
      <c r="C1232" t="inlineStr">
        <is>
          <t>Técnico I</t>
        </is>
      </c>
      <c r="D1232" t="n">
        <v>21</v>
      </c>
      <c r="E1232" t="n">
        <v>20</v>
      </c>
      <c r="F1232" t="n">
        <v>28.42</v>
      </c>
      <c r="G1232" t="n">
        <v>0</v>
      </c>
      <c r="H1232" t="n">
        <v>0</v>
      </c>
      <c r="I1232" s="3">
        <f>E1232+G1232+H1232</f>
        <v/>
      </c>
      <c r="J1232" s="3">
        <f>ROUND(MIN(IF(C1232="Técnico III",35,IF(C1232="Técnico II",28,IF(C1232="Técnico I",23,IF(C1232="JR",20,IF(C1232="Estágio",10,0))))),IF(C1232="Técnico III",SUMIFS($D:$D,$A:$A,$A1232,$B:$B,"&lt;&gt;Patrícia Karla de Sousa Araújo",$B:$B,"&lt;&gt;Lorena Dias de Araujo",$B:$B,"&lt;&gt;Lucas Luiz Romero")*(35/1083),IF(C1232="Técnico II",SUMIFS($D:$D,$A:$A,$A1232,$B:$B,"&lt;&gt;Patrícia Karla de Sousa Araújo",$B:$B,"&lt;&gt;Lorena Dias de Araujo",$B:$B,"&lt;&gt;Lucas Luiz Romero")*(28/1083),IF(C1232="Técnico I",SUMIFS($D:$D,$A:$A,$A1232,$B:$B,"&lt;&gt;Patrícia Karla de Sousa Araújo",$B:$B,"&lt;&gt;Lorena Dias de Araujo",$B:$B,"&lt;&gt;Lucas Luiz Romero")*(23/1083),IF(C1232="JR",SUMIFS($D:$D,$A:$A,$A1232,$B:$B,"&lt;&gt;Patrícia Karla de Sousa Araújo",$B:$B,"&lt;&gt;Lorena Dias de Araujo",$B:$B,"&lt;&gt;Lucas Luiz Romero")*(20/1083),IF(C1232="Estágio",SUMIFS($D:$D,$A:$A,$A1232,$B:$B,"&lt;&gt;Patrícia Karla de Sousa Araújo",$B:$B,"&lt;&gt;Lorena Dias de Araujo",$B:$B,"&lt;&gt;Lucas Luiz Romero")*(10/1083),0)))))),0)</f>
        <v/>
      </c>
      <c r="K1232" s="3">
        <f>I1232-J1232</f>
        <v/>
      </c>
      <c r="L1232" s="3">
        <f>IF(K1232&lt;-5,"CRÍTICO",IF(K1232&lt;0,"ATENÇÃO",IF(K1232&lt;=5,"BOM","EXCELENTE")))</f>
        <v/>
      </c>
      <c r="N1232" t="n">
        <v>96.67</v>
      </c>
      <c r="O1232" t="n">
        <v>31.45161290322581</v>
      </c>
    </row>
    <row r="1233" hidden="1">
      <c r="A1233" s="11" t="n">
        <v>46038</v>
      </c>
      <c r="B1233" t="inlineStr">
        <is>
          <t>Isabella Borges de Oliveira</t>
        </is>
      </c>
      <c r="C1233" t="inlineStr">
        <is>
          <t>Técnico II</t>
        </is>
      </c>
      <c r="D1233" t="n">
        <v>21</v>
      </c>
      <c r="E1233" t="n">
        <v>21</v>
      </c>
      <c r="F1233" t="n">
        <v>24.02</v>
      </c>
      <c r="G1233" t="n">
        <v>0</v>
      </c>
      <c r="H1233" t="n">
        <v>0</v>
      </c>
      <c r="I1233" s="3">
        <f>E1233+G1233+H1233</f>
        <v/>
      </c>
      <c r="J1233" s="3">
        <f>ROUND(MIN(IF(C1233="Técnico III",35,IF(C1233="Técnico II",28,IF(C1233="Técnico I",23,IF(C1233="JR",20,IF(C1233="Estágio",10,0))))),IF(C1233="Técnico III",SUMIFS($D:$D,$A:$A,$A1233,$B:$B,"&lt;&gt;Patrícia Karla de Sousa Araújo",$B:$B,"&lt;&gt;Lorena Dias de Araujo",$B:$B,"&lt;&gt;Lucas Luiz Romero")*(35/1083),IF(C1233="Técnico II",SUMIFS($D:$D,$A:$A,$A1233,$B:$B,"&lt;&gt;Patrícia Karla de Sousa Araújo",$B:$B,"&lt;&gt;Lorena Dias de Araujo",$B:$B,"&lt;&gt;Lucas Luiz Romero")*(28/1083),IF(C1233="Técnico I",SUMIFS($D:$D,$A:$A,$A1233,$B:$B,"&lt;&gt;Patrícia Karla de Sousa Araújo",$B:$B,"&lt;&gt;Lorena Dias de Araujo",$B:$B,"&lt;&gt;Lucas Luiz Romero")*(23/1083),IF(C1233="JR",SUMIFS($D:$D,$A:$A,$A1233,$B:$B,"&lt;&gt;Patrícia Karla de Sousa Araújo",$B:$B,"&lt;&gt;Lorena Dias de Araujo",$B:$B,"&lt;&gt;Lucas Luiz Romero")*(20/1083),IF(C1233="Estágio",SUMIFS($D:$D,$A:$A,$A1233,$B:$B,"&lt;&gt;Patrícia Karla de Sousa Araújo",$B:$B,"&lt;&gt;Lorena Dias de Araujo",$B:$B,"&lt;&gt;Lucas Luiz Romero")*(10/1083),0)))))),0)</f>
        <v/>
      </c>
      <c r="K1233" s="3">
        <f>I1233-J1233</f>
        <v/>
      </c>
      <c r="L1233" s="3">
        <f>IF(K1233&lt;-5,"CRÍTICO",IF(K1233&lt;0,"ATENÇÃO",IF(K1233&lt;=5,"BOM","EXCELENTE")))</f>
        <v/>
      </c>
      <c r="M1233" t="n">
        <v>19</v>
      </c>
      <c r="N1233" t="n">
        <v>100</v>
      </c>
      <c r="O1233" t="n">
        <v>28.95752895752895</v>
      </c>
    </row>
    <row r="1234" hidden="1">
      <c r="A1234" s="11" t="n">
        <v>46038</v>
      </c>
      <c r="B1234" t="inlineStr">
        <is>
          <t>Janaina Lima dos Reis Urany</t>
        </is>
      </c>
      <c r="C1234" t="inlineStr">
        <is>
          <t>Técnico III</t>
        </is>
      </c>
      <c r="D1234" t="n">
        <v>38</v>
      </c>
      <c r="E1234" t="n">
        <v>32</v>
      </c>
      <c r="F1234" t="n">
        <v>10.25</v>
      </c>
      <c r="G1234" t="n">
        <v>0</v>
      </c>
      <c r="H1234" t="n">
        <v>0</v>
      </c>
      <c r="I1234" s="3">
        <f>E1234+G1234+H1234</f>
        <v/>
      </c>
      <c r="J1234" s="3">
        <f>ROUND(MIN(IF(C1234="Técnico III",35,IF(C1234="Técnico II",28,IF(C1234="Técnico I",23,IF(C1234="JR",20,IF(C1234="Estágio",10,0))))),IF(C1234="Técnico III",SUMIFS($D:$D,$A:$A,$A1234,$B:$B,"&lt;&gt;Patrícia Karla de Sousa Araújo",$B:$B,"&lt;&gt;Lorena Dias de Araujo",$B:$B,"&lt;&gt;Lucas Luiz Romero")*(35/1083),IF(C1234="Técnico II",SUMIFS($D:$D,$A:$A,$A1234,$B:$B,"&lt;&gt;Patrícia Karla de Sousa Araújo",$B:$B,"&lt;&gt;Lorena Dias de Araujo",$B:$B,"&lt;&gt;Lucas Luiz Romero")*(28/1083),IF(C1234="Técnico I",SUMIFS($D:$D,$A:$A,$A1234,$B:$B,"&lt;&gt;Patrícia Karla de Sousa Araújo",$B:$B,"&lt;&gt;Lorena Dias de Araujo",$B:$B,"&lt;&gt;Lucas Luiz Romero")*(23/1083),IF(C1234="JR",SUMIFS($D:$D,$A:$A,$A1234,$B:$B,"&lt;&gt;Patrícia Karla de Sousa Araújo",$B:$B,"&lt;&gt;Lorena Dias de Araujo",$B:$B,"&lt;&gt;Lucas Luiz Romero")*(20/1083),IF(C1234="Estágio",SUMIFS($D:$D,$A:$A,$A1234,$B:$B,"&lt;&gt;Patrícia Karla de Sousa Araújo",$B:$B,"&lt;&gt;Lorena Dias de Araujo",$B:$B,"&lt;&gt;Lucas Luiz Romero")*(10/1083),0)))))),0)</f>
        <v/>
      </c>
      <c r="K1234" s="3">
        <f>I1234-J1234</f>
        <v/>
      </c>
      <c r="L1234" s="3">
        <f>IF(K1234&lt;-5,"CRÍTICO",IF(K1234&lt;0,"ATENÇÃO",IF(K1234&lt;=5,"BOM","EXCELENTE")))</f>
        <v/>
      </c>
      <c r="M1234" t="n">
        <v>32</v>
      </c>
      <c r="N1234" t="n">
        <v>100</v>
      </c>
      <c r="O1234" t="n">
        <v>31.62790697674419</v>
      </c>
    </row>
    <row r="1235" hidden="1">
      <c r="A1235" s="11" t="n">
        <v>46038</v>
      </c>
      <c r="B1235" t="inlineStr">
        <is>
          <t>Jaqueline Evangelista da Silva Martins</t>
        </is>
      </c>
      <c r="C1235" t="inlineStr">
        <is>
          <t>Técnico III</t>
        </is>
      </c>
      <c r="D1235" t="n">
        <v>21</v>
      </c>
      <c r="E1235" t="n">
        <v>19</v>
      </c>
      <c r="F1235" t="n">
        <v>11.5</v>
      </c>
      <c r="G1235" t="n">
        <v>0</v>
      </c>
      <c r="H1235" t="n">
        <v>0</v>
      </c>
      <c r="I1235" s="3">
        <f>E1235+G1235+H1235</f>
        <v/>
      </c>
      <c r="J1235" s="3">
        <f>ROUND(MIN(IF(C1235="Técnico III",35,IF(C1235="Técnico II",28,IF(C1235="Técnico I",23,IF(C1235="JR",20,IF(C1235="Estágio",10,0))))),IF(C1235="Técnico III",SUMIFS($D:$D,$A:$A,$A1235,$B:$B,"&lt;&gt;Patrícia Karla de Sousa Araújo",$B:$B,"&lt;&gt;Lorena Dias de Araujo",$B:$B,"&lt;&gt;Lucas Luiz Romero")*(35/1083),IF(C1235="Técnico II",SUMIFS($D:$D,$A:$A,$A1235,$B:$B,"&lt;&gt;Patrícia Karla de Sousa Araújo",$B:$B,"&lt;&gt;Lorena Dias de Araujo",$B:$B,"&lt;&gt;Lucas Luiz Romero")*(28/1083),IF(C1235="Técnico I",SUMIFS($D:$D,$A:$A,$A1235,$B:$B,"&lt;&gt;Patrícia Karla de Sousa Araújo",$B:$B,"&lt;&gt;Lorena Dias de Araujo",$B:$B,"&lt;&gt;Lucas Luiz Romero")*(23/1083),IF(C1235="JR",SUMIFS($D:$D,$A:$A,$A1235,$B:$B,"&lt;&gt;Patrícia Karla de Sousa Araújo",$B:$B,"&lt;&gt;Lorena Dias de Araujo",$B:$B,"&lt;&gt;Lucas Luiz Romero")*(20/1083),IF(C1235="Estágio",SUMIFS($D:$D,$A:$A,$A1235,$B:$B,"&lt;&gt;Patrícia Karla de Sousa Araújo",$B:$B,"&lt;&gt;Lorena Dias de Araujo",$B:$B,"&lt;&gt;Lucas Luiz Romero")*(10/1083),0)))))),0)</f>
        <v/>
      </c>
      <c r="K1235" s="3">
        <f>I1235-J1235</f>
        <v/>
      </c>
      <c r="L1235" s="3">
        <f>IF(K1235&lt;-5,"CRÍTICO",IF(K1235&lt;0,"ATENÇÃO",IF(K1235&lt;=5,"BOM","EXCELENTE")))</f>
        <v/>
      </c>
      <c r="M1235" t="n">
        <v>17</v>
      </c>
      <c r="N1235" t="n">
        <v>100</v>
      </c>
      <c r="O1235" t="n">
        <v>29.06976744186047</v>
      </c>
    </row>
    <row r="1236" hidden="1">
      <c r="A1236" s="11" t="n">
        <v>46038</v>
      </c>
      <c r="B1236" t="inlineStr">
        <is>
          <t>Jessica Faria da Silveira</t>
        </is>
      </c>
      <c r="C1236" t="inlineStr">
        <is>
          <t>Técnico II</t>
        </is>
      </c>
      <c r="D1236" t="n">
        <v>25</v>
      </c>
      <c r="E1236" t="n">
        <v>20</v>
      </c>
      <c r="F1236" t="n">
        <v>16.44</v>
      </c>
      <c r="G1236" t="n">
        <v>0</v>
      </c>
      <c r="H1236" t="n">
        <v>0</v>
      </c>
      <c r="I1236" s="3">
        <f>E1236+G1236+H1236</f>
        <v/>
      </c>
      <c r="J1236" s="3">
        <f>ROUND(MIN(IF(C1236="Técnico III",35,IF(C1236="Técnico II",28,IF(C1236="Técnico I",23,IF(C1236="JR",20,IF(C1236="Estágio",10,0))))),IF(C1236="Técnico III",SUMIFS($D:$D,$A:$A,$A1236,$B:$B,"&lt;&gt;Patrícia Karla de Sousa Araújo",$B:$B,"&lt;&gt;Lorena Dias de Araujo",$B:$B,"&lt;&gt;Lucas Luiz Romero")*(35/1083),IF(C1236="Técnico II",SUMIFS($D:$D,$A:$A,$A1236,$B:$B,"&lt;&gt;Patrícia Karla de Sousa Araújo",$B:$B,"&lt;&gt;Lorena Dias de Araujo",$B:$B,"&lt;&gt;Lucas Luiz Romero")*(28/1083),IF(C1236="Técnico I",SUMIFS($D:$D,$A:$A,$A1236,$B:$B,"&lt;&gt;Patrícia Karla de Sousa Araújo",$B:$B,"&lt;&gt;Lorena Dias de Araujo",$B:$B,"&lt;&gt;Lucas Luiz Romero")*(23/1083),IF(C1236="JR",SUMIFS($D:$D,$A:$A,$A1236,$B:$B,"&lt;&gt;Patrícia Karla de Sousa Araújo",$B:$B,"&lt;&gt;Lorena Dias de Araujo",$B:$B,"&lt;&gt;Lucas Luiz Romero")*(20/1083),IF(C1236="Estágio",SUMIFS($D:$D,$A:$A,$A1236,$B:$B,"&lt;&gt;Patrícia Karla de Sousa Araújo",$B:$B,"&lt;&gt;Lorena Dias de Araujo",$B:$B,"&lt;&gt;Lucas Luiz Romero")*(10/1083),0)))))),0)</f>
        <v/>
      </c>
      <c r="K1236" s="3">
        <f>I1236-J1236</f>
        <v/>
      </c>
      <c r="L1236" s="3">
        <f>IF(K1236&lt;-5,"CRÍTICO",IF(K1236&lt;0,"ATENÇÃO",IF(K1236&lt;=5,"BOM","EXCELENTE")))</f>
        <v/>
      </c>
      <c r="M1236" t="n">
        <v>19</v>
      </c>
      <c r="N1236" t="n">
        <v>95.83</v>
      </c>
      <c r="O1236" t="n">
        <v>27.2</v>
      </c>
    </row>
    <row r="1237" hidden="1">
      <c r="A1237" s="11" t="n">
        <v>46038</v>
      </c>
      <c r="B1237" t="inlineStr">
        <is>
          <t>Jéssica Fé Moura</t>
        </is>
      </c>
      <c r="C1237" t="inlineStr">
        <is>
          <t>Técnico III</t>
        </is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s="3" t="n">
        <v>0</v>
      </c>
      <c r="J1237" s="3" t="n">
        <v>0</v>
      </c>
      <c r="K1237" s="3" t="n">
        <v>0</v>
      </c>
      <c r="L1237" s="3">
        <f>IF(K1237&lt;-5,"CRÍTICO",IF(K1237&lt;0,"ATENÇÃO",IF(K1237&lt;=5,"BOM","EXCELENTE")))</f>
        <v/>
      </c>
      <c r="M1237" t="n">
        <v>19</v>
      </c>
      <c r="N1237" t="n">
        <v>100</v>
      </c>
      <c r="O1237" t="n">
        <v>34.17085427135678</v>
      </c>
    </row>
    <row r="1238" hidden="1">
      <c r="A1238" s="11" t="n">
        <v>46038</v>
      </c>
      <c r="B1238" t="inlineStr">
        <is>
          <t>Karina Gonçalves Martins</t>
        </is>
      </c>
      <c r="C1238" t="inlineStr">
        <is>
          <t>JR</t>
        </is>
      </c>
      <c r="D1238" t="n">
        <v>16</v>
      </c>
      <c r="E1238" t="n">
        <v>15</v>
      </c>
      <c r="F1238" t="n">
        <v>35.16</v>
      </c>
      <c r="G1238" t="n">
        <v>0</v>
      </c>
      <c r="H1238" t="n">
        <v>0</v>
      </c>
      <c r="I1238" s="3">
        <f>E1238+G1238+H1238</f>
        <v/>
      </c>
      <c r="J1238" s="3">
        <f>ROUND(MIN(IF(C1238="Técnico III",35,IF(C1238="Técnico II",28,IF(C1238="Técnico I",23,IF(C1238="JR",20,IF(C1238="Estágio",10,0))))),IF(C1238="Técnico III",SUMIFS($D:$D,$A:$A,$A1238,$B:$B,"&lt;&gt;Patrícia Karla de Sousa Araújo",$B:$B,"&lt;&gt;Lorena Dias de Araujo",$B:$B,"&lt;&gt;Lucas Luiz Romero")*(35/1083),IF(C1238="Técnico II",SUMIFS($D:$D,$A:$A,$A1238,$B:$B,"&lt;&gt;Patrícia Karla de Sousa Araújo",$B:$B,"&lt;&gt;Lorena Dias de Araujo",$B:$B,"&lt;&gt;Lucas Luiz Romero")*(28/1083),IF(C1238="Técnico I",SUMIFS($D:$D,$A:$A,$A1238,$B:$B,"&lt;&gt;Patrícia Karla de Sousa Araújo",$B:$B,"&lt;&gt;Lorena Dias de Araujo",$B:$B,"&lt;&gt;Lucas Luiz Romero")*(23/1083),IF(C1238="JR",SUMIFS($D:$D,$A:$A,$A1238,$B:$B,"&lt;&gt;Patrícia Karla de Sousa Araújo",$B:$B,"&lt;&gt;Lorena Dias de Araujo",$B:$B,"&lt;&gt;Lucas Luiz Romero")*(20/1083),IF(C1238="Estágio",SUMIFS($D:$D,$A:$A,$A1238,$B:$B,"&lt;&gt;Patrícia Karla de Sousa Araújo",$B:$B,"&lt;&gt;Lorena Dias de Araujo",$B:$B,"&lt;&gt;Lucas Luiz Romero")*(10/1083),0)))))),0)</f>
        <v/>
      </c>
      <c r="K1238" s="3">
        <f>I1238-J1238</f>
        <v/>
      </c>
      <c r="L1238" s="3">
        <f>IF(K1238&lt;-5,"CRÍTICO",IF(K1238&lt;0,"ATENÇÃO",IF(K1238&lt;=5,"BOM","EXCELENTE")))</f>
        <v/>
      </c>
      <c r="M1238" t="n">
        <v>15</v>
      </c>
      <c r="N1238" t="n">
        <v>100</v>
      </c>
      <c r="O1238" t="n">
        <v>31.64556962025317</v>
      </c>
    </row>
    <row r="1239" hidden="1">
      <c r="A1239" s="11" t="n">
        <v>46038</v>
      </c>
      <c r="B1239" t="inlineStr">
        <is>
          <t>Kerollen Cristielly de Jesus Siqueira</t>
        </is>
      </c>
      <c r="C1239" t="inlineStr">
        <is>
          <t>Técnico III</t>
        </is>
      </c>
      <c r="D1239" t="n">
        <v>23</v>
      </c>
      <c r="E1239" t="n">
        <v>22</v>
      </c>
      <c r="F1239" t="n">
        <v>28.22</v>
      </c>
      <c r="G1239" t="n">
        <v>0</v>
      </c>
      <c r="H1239" t="n">
        <v>0</v>
      </c>
      <c r="I1239" s="3">
        <f>E1239+G1239+H1239</f>
        <v/>
      </c>
      <c r="J1239" s="3">
        <f>ROUND(MIN(IF(C1239="Técnico III",35,IF(C1239="Técnico II",28,IF(C1239="Técnico I",23,IF(C1239="JR",20,IF(C1239="Estágio",10,0))))),IF(C1239="Técnico III",SUMIFS($D:$D,$A:$A,$A1239,$B:$B,"&lt;&gt;Patrícia Karla de Sousa Araújo",$B:$B,"&lt;&gt;Lorena Dias de Araujo",$B:$B,"&lt;&gt;Lucas Luiz Romero")*(35/1083),IF(C1239="Técnico II",SUMIFS($D:$D,$A:$A,$A1239,$B:$B,"&lt;&gt;Patrícia Karla de Sousa Araújo",$B:$B,"&lt;&gt;Lorena Dias de Araujo",$B:$B,"&lt;&gt;Lucas Luiz Romero")*(28/1083),IF(C1239="Técnico I",SUMIFS($D:$D,$A:$A,$A1239,$B:$B,"&lt;&gt;Patrícia Karla de Sousa Araújo",$B:$B,"&lt;&gt;Lorena Dias de Araujo",$B:$B,"&lt;&gt;Lucas Luiz Romero")*(23/1083),IF(C1239="JR",SUMIFS($D:$D,$A:$A,$A1239,$B:$B,"&lt;&gt;Patrícia Karla de Sousa Araújo",$B:$B,"&lt;&gt;Lorena Dias de Araujo",$B:$B,"&lt;&gt;Lucas Luiz Romero")*(20/1083),IF(C1239="Estágio",SUMIFS($D:$D,$A:$A,$A1239,$B:$B,"&lt;&gt;Patrícia Karla de Sousa Araújo",$B:$B,"&lt;&gt;Lorena Dias de Araujo",$B:$B,"&lt;&gt;Lucas Luiz Romero")*(10/1083),0)))))),0)</f>
        <v/>
      </c>
      <c r="K1239" s="3">
        <f>I1239-J1239</f>
        <v/>
      </c>
      <c r="L1239" s="3">
        <f>IF(K1239&lt;-5,"CRÍTICO",IF(K1239&lt;0,"ATENÇÃO",IF(K1239&lt;=5,"BOM","EXCELENTE")))</f>
        <v/>
      </c>
      <c r="M1239" t="n">
        <v>21</v>
      </c>
      <c r="N1239" t="n">
        <v>98</v>
      </c>
      <c r="O1239" t="n">
        <v>43.27731092436975</v>
      </c>
    </row>
    <row r="1240" hidden="1">
      <c r="A1240" s="11" t="n">
        <v>46038</v>
      </c>
      <c r="B1240" t="inlineStr">
        <is>
          <t>Leandro de Souza Silva</t>
        </is>
      </c>
      <c r="C1240" t="inlineStr">
        <is>
          <t>JR</t>
        </is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s="3" t="n">
        <v>0</v>
      </c>
      <c r="J1240" s="3" t="n">
        <v>0</v>
      </c>
      <c r="K1240" s="3" t="n">
        <v>0</v>
      </c>
      <c r="L1240" s="3">
        <f>IF(K1240&lt;-5,"CRÍTICO",IF(K1240&lt;0,"ATENÇÃO",IF(K1240&lt;=5,"BOM","EXCELENTE")))</f>
        <v/>
      </c>
      <c r="M1240" t="n">
        <v>0</v>
      </c>
      <c r="N1240" t="n">
        <v>0</v>
      </c>
      <c r="O1240" t="n">
        <v>0</v>
      </c>
    </row>
    <row r="1241" hidden="1">
      <c r="A1241" s="11" t="n">
        <v>46038</v>
      </c>
      <c r="B1241" t="inlineStr">
        <is>
          <t>Leandro Oliveira de Sousa</t>
        </is>
      </c>
      <c r="C1241" t="inlineStr">
        <is>
          <t>Técnico III</t>
        </is>
      </c>
      <c r="D1241" t="n">
        <v>30</v>
      </c>
      <c r="E1241" t="n">
        <v>27</v>
      </c>
      <c r="F1241" t="n">
        <v>13.24</v>
      </c>
      <c r="G1241" t="n">
        <v>0</v>
      </c>
      <c r="H1241" t="n">
        <v>0</v>
      </c>
      <c r="I1241" s="3">
        <f>E1241+G1241+H1241</f>
        <v/>
      </c>
      <c r="J1241" s="3">
        <f>ROUND(MIN(IF(C1241="Técnico III",35,IF(C1241="Técnico II",28,IF(C1241="Técnico I",23,IF(C1241="JR",20,IF(C1241="Estágio",10,0))))),IF(C1241="Técnico III",SUMIFS($D:$D,$A:$A,$A1241,$B:$B,"&lt;&gt;Patrícia Karla de Sousa Araújo",$B:$B,"&lt;&gt;Lorena Dias de Araujo",$B:$B,"&lt;&gt;Lucas Luiz Romero")*(35/1083),IF(C1241="Técnico II",SUMIFS($D:$D,$A:$A,$A1241,$B:$B,"&lt;&gt;Patrícia Karla de Sousa Araújo",$B:$B,"&lt;&gt;Lorena Dias de Araujo",$B:$B,"&lt;&gt;Lucas Luiz Romero")*(28/1083),IF(C1241="Técnico I",SUMIFS($D:$D,$A:$A,$A1241,$B:$B,"&lt;&gt;Patrícia Karla de Sousa Araújo",$B:$B,"&lt;&gt;Lorena Dias de Araujo",$B:$B,"&lt;&gt;Lucas Luiz Romero")*(23/1083),IF(C1241="JR",SUMIFS($D:$D,$A:$A,$A1241,$B:$B,"&lt;&gt;Patrícia Karla de Sousa Araújo",$B:$B,"&lt;&gt;Lorena Dias de Araujo",$B:$B,"&lt;&gt;Lucas Luiz Romero")*(20/1083),IF(C1241="Estágio",SUMIFS($D:$D,$A:$A,$A1241,$B:$B,"&lt;&gt;Patrícia Karla de Sousa Araújo",$B:$B,"&lt;&gt;Lorena Dias de Araujo",$B:$B,"&lt;&gt;Lucas Luiz Romero")*(10/1083),0)))))),0)</f>
        <v/>
      </c>
      <c r="K1241" s="3">
        <f>I1241-J1241</f>
        <v/>
      </c>
      <c r="L1241" s="3">
        <f>IF(K1241&lt;-5,"CRÍTICO",IF(K1241&lt;0,"ATENÇÃO",IF(K1241&lt;=5,"BOM","EXCELENTE")))</f>
        <v/>
      </c>
      <c r="M1241" t="n">
        <v>23</v>
      </c>
      <c r="N1241" t="n">
        <v>100</v>
      </c>
      <c r="O1241" t="n">
        <v>27.69784172661871</v>
      </c>
    </row>
    <row r="1242" hidden="1">
      <c r="A1242" s="11" t="n">
        <v>46038</v>
      </c>
      <c r="B1242" t="inlineStr">
        <is>
          <t>Lizandra Gomes Duarte</t>
        </is>
      </c>
      <c r="C1242" t="inlineStr">
        <is>
          <t>Técnico II</t>
        </is>
      </c>
      <c r="D1242" t="n">
        <v>30</v>
      </c>
      <c r="E1242" t="n">
        <v>28</v>
      </c>
      <c r="F1242" t="n">
        <v>16.51</v>
      </c>
      <c r="G1242" t="n">
        <v>0</v>
      </c>
      <c r="H1242" t="n">
        <v>0</v>
      </c>
      <c r="I1242" s="3">
        <f>E1242+G1242+H1242</f>
        <v/>
      </c>
      <c r="J1242" s="3">
        <f>ROUND(MIN(IF(C1242="Técnico III",35,IF(C1242="Técnico II",28,IF(C1242="Técnico I",23,IF(C1242="JR",20,IF(C1242="Estágio",10,0))))),IF(C1242="Técnico III",SUMIFS($D:$D,$A:$A,$A1242,$B:$B,"&lt;&gt;Patrícia Karla de Sousa Araújo",$B:$B,"&lt;&gt;Lorena Dias de Araujo",$B:$B,"&lt;&gt;Lucas Luiz Romero")*(35/1083),IF(C1242="Técnico II",SUMIFS($D:$D,$A:$A,$A1242,$B:$B,"&lt;&gt;Patrícia Karla de Sousa Araújo",$B:$B,"&lt;&gt;Lorena Dias de Araujo",$B:$B,"&lt;&gt;Lucas Luiz Romero")*(28/1083),IF(C1242="Técnico I",SUMIFS($D:$D,$A:$A,$A1242,$B:$B,"&lt;&gt;Patrícia Karla de Sousa Araújo",$B:$B,"&lt;&gt;Lorena Dias de Araujo",$B:$B,"&lt;&gt;Lucas Luiz Romero")*(23/1083),IF(C1242="JR",SUMIFS($D:$D,$A:$A,$A1242,$B:$B,"&lt;&gt;Patrícia Karla de Sousa Araújo",$B:$B,"&lt;&gt;Lorena Dias de Araujo",$B:$B,"&lt;&gt;Lucas Luiz Romero")*(20/1083),IF(C1242="Estágio",SUMIFS($D:$D,$A:$A,$A1242,$B:$B,"&lt;&gt;Patrícia Karla de Sousa Araújo",$B:$B,"&lt;&gt;Lorena Dias de Araujo",$B:$B,"&lt;&gt;Lucas Luiz Romero")*(10/1083),0)))))),0)</f>
        <v/>
      </c>
      <c r="K1242" s="3">
        <f>I1242-J1242</f>
        <v/>
      </c>
      <c r="L1242" s="3">
        <f>IF(K1242&lt;-5,"CRÍTICO",IF(K1242&lt;0,"ATENÇÃO",IF(K1242&lt;=5,"BOM","EXCELENTE")))</f>
        <v/>
      </c>
      <c r="M1242" t="n">
        <v>23</v>
      </c>
      <c r="N1242" t="n">
        <v>100</v>
      </c>
      <c r="O1242" t="n">
        <v>35.03937007874016</v>
      </c>
    </row>
    <row r="1243" hidden="1">
      <c r="A1243" s="11" t="n">
        <v>46038</v>
      </c>
      <c r="B1243" t="inlineStr">
        <is>
          <t>Lorena Dias de Araujo</t>
        </is>
      </c>
      <c r="C1243" t="inlineStr">
        <is>
          <t>Técnico II</t>
        </is>
      </c>
      <c r="D1243" t="n">
        <v>22</v>
      </c>
      <c r="E1243" t="n">
        <v>21</v>
      </c>
      <c r="F1243" t="n">
        <v>18.58</v>
      </c>
      <c r="G1243" t="n">
        <v>0</v>
      </c>
      <c r="H1243" t="n">
        <v>0</v>
      </c>
      <c r="I1243" s="3" t="n">
        <v>0</v>
      </c>
      <c r="J1243" s="3" t="n">
        <v>0</v>
      </c>
      <c r="K1243" s="3" t="n">
        <v>0</v>
      </c>
      <c r="L1243" s="3">
        <f>IF(K1243&lt;-5,"CRÍTICO",IF(K1243&lt;0,"ATENÇÃO",IF(K1243&lt;=5,"BOM","EXCELENTE")))</f>
        <v/>
      </c>
      <c r="M1243" t="n">
        <v>20</v>
      </c>
      <c r="N1243" t="n">
        <v>100</v>
      </c>
      <c r="O1243" t="n">
        <v>29.59641255605381</v>
      </c>
    </row>
    <row r="1244" hidden="1">
      <c r="A1244" s="11" t="n">
        <v>46038</v>
      </c>
      <c r="B1244" t="inlineStr">
        <is>
          <t>Lucas Luiz Romero</t>
        </is>
      </c>
      <c r="C1244" t="inlineStr">
        <is>
          <t>Técnico III</t>
        </is>
      </c>
      <c r="D1244" t="n">
        <v>44</v>
      </c>
      <c r="E1244" t="n">
        <v>29</v>
      </c>
      <c r="F1244" t="n">
        <v>7.23</v>
      </c>
      <c r="G1244" t="n">
        <v>0</v>
      </c>
      <c r="H1244" t="n">
        <v>0</v>
      </c>
      <c r="I1244" s="3">
        <f>E1244+G1244+H1244</f>
        <v/>
      </c>
      <c r="J1244" s="3">
        <f>ROUND(MIN(IF(C1244="Técnico III",35,IF(C1244="Técnico II",28,IF(C1244="Técnico I",23,IF(C1244="JR",20,IF(C1244="Estágio",10,0))))),IF(C1244="Técnico III",SUMIFS($D:$D,$A:$A,$A1244,$B:$B,"&lt;&gt;Patrícia Karla de Sousa Araújo",$B:$B,"&lt;&gt;Lorena Dias de Araujo",$B:$B,"&lt;&gt;Lucas Luiz Romero")*(35/1083),IF(C1244="Técnico II",SUMIFS($D:$D,$A:$A,$A1244,$B:$B,"&lt;&gt;Patrícia Karla de Sousa Araújo",$B:$B,"&lt;&gt;Lorena Dias de Araujo",$B:$B,"&lt;&gt;Lucas Luiz Romero")*(28/1083),IF(C1244="Técnico I",SUMIFS($D:$D,$A:$A,$A1244,$B:$B,"&lt;&gt;Patrícia Karla de Sousa Araújo",$B:$B,"&lt;&gt;Lorena Dias de Araujo",$B:$B,"&lt;&gt;Lucas Luiz Romero")*(23/1083),IF(C1244="JR",SUMIFS($D:$D,$A:$A,$A1244,$B:$B,"&lt;&gt;Patrícia Karla de Sousa Araújo",$B:$B,"&lt;&gt;Lorena Dias de Araujo",$B:$B,"&lt;&gt;Lucas Luiz Romero")*(20/1083),IF(C1244="Estágio",SUMIFS($D:$D,$A:$A,$A1244,$B:$B,"&lt;&gt;Patrícia Karla de Sousa Araújo",$B:$B,"&lt;&gt;Lorena Dias de Araujo",$B:$B,"&lt;&gt;Lucas Luiz Romero")*(10/1083),0)))))),0)</f>
        <v/>
      </c>
      <c r="K1244" s="3">
        <f>I1244-J1244</f>
        <v/>
      </c>
      <c r="L1244" s="3">
        <f>IF(K1244&lt;-5,"CRÍTICO",IF(K1244&lt;0,"ATENÇÃO",IF(K1244&lt;=5,"BOM","EXCELENTE")))</f>
        <v/>
      </c>
      <c r="M1244" t="n">
        <v>26</v>
      </c>
      <c r="N1244" t="n">
        <v>98.28</v>
      </c>
      <c r="O1244" t="n">
        <v>26.04501607717042</v>
      </c>
    </row>
    <row r="1245" hidden="1">
      <c r="A1245" s="11" t="n">
        <v>46038</v>
      </c>
      <c r="B1245" t="inlineStr">
        <is>
          <t>Luiz Fernando de Carvalho Junior</t>
        </is>
      </c>
      <c r="C1245" t="inlineStr">
        <is>
          <t>Técnico I</t>
        </is>
      </c>
      <c r="D1245" t="n">
        <v>23</v>
      </c>
      <c r="E1245" t="n">
        <v>19</v>
      </c>
      <c r="F1245" t="n">
        <v>13.39</v>
      </c>
      <c r="G1245" t="n">
        <v>0</v>
      </c>
      <c r="H1245" t="n">
        <v>0</v>
      </c>
      <c r="I1245" s="3">
        <f>E1245+G1245+H1245</f>
        <v/>
      </c>
      <c r="J1245" s="3">
        <f>ROUND(MIN(IF(C1245="Técnico III",35,IF(C1245="Técnico II",28,IF(C1245="Técnico I",23,IF(C1245="JR",20,IF(C1245="Estágio",10,0))))),IF(C1245="Técnico III",SUMIFS($D:$D,$A:$A,$A1245,$B:$B,"&lt;&gt;Patrícia Karla de Sousa Araújo",$B:$B,"&lt;&gt;Lorena Dias de Araujo",$B:$B,"&lt;&gt;Lucas Luiz Romero")*(35/1083),IF(C1245="Técnico II",SUMIFS($D:$D,$A:$A,$A1245,$B:$B,"&lt;&gt;Patrícia Karla de Sousa Araújo",$B:$B,"&lt;&gt;Lorena Dias de Araujo",$B:$B,"&lt;&gt;Lucas Luiz Romero")*(28/1083),IF(C1245="Técnico I",SUMIFS($D:$D,$A:$A,$A1245,$B:$B,"&lt;&gt;Patrícia Karla de Sousa Araújo",$B:$B,"&lt;&gt;Lorena Dias de Araujo",$B:$B,"&lt;&gt;Lucas Luiz Romero")*(23/1083),IF(C1245="JR",SUMIFS($D:$D,$A:$A,$A1245,$B:$B,"&lt;&gt;Patrícia Karla de Sousa Araújo",$B:$B,"&lt;&gt;Lorena Dias de Araujo",$B:$B,"&lt;&gt;Lucas Luiz Romero")*(20/1083),IF(C1245="Estágio",SUMIFS($D:$D,$A:$A,$A1245,$B:$B,"&lt;&gt;Patrícia Karla de Sousa Araújo",$B:$B,"&lt;&gt;Lorena Dias de Araujo",$B:$B,"&lt;&gt;Lucas Luiz Romero")*(10/1083),0)))))),0)</f>
        <v/>
      </c>
      <c r="K1245" s="3">
        <f>I1245-J1245</f>
        <v/>
      </c>
      <c r="L1245" s="3">
        <f>IF(K1245&lt;-5,"CRÍTICO",IF(K1245&lt;0,"ATENÇÃO",IF(K1245&lt;=5,"BOM","EXCELENTE")))</f>
        <v/>
      </c>
      <c r="M1245" t="n">
        <v>20</v>
      </c>
      <c r="N1245" t="n">
        <v>100</v>
      </c>
      <c r="O1245" t="n">
        <v>26.94300518134715</v>
      </c>
    </row>
    <row r="1246" hidden="1">
      <c r="A1246" s="11" t="n">
        <v>46038</v>
      </c>
      <c r="B1246" t="inlineStr">
        <is>
          <t>Maria Eduarda Sousa Costa</t>
        </is>
      </c>
      <c r="C1246" t="inlineStr">
        <is>
          <t>Estágio</t>
        </is>
      </c>
      <c r="D1246" t="n">
        <v>4</v>
      </c>
      <c r="E1246" t="n">
        <v>4</v>
      </c>
      <c r="F1246" t="n">
        <v>52.18</v>
      </c>
      <c r="G1246" t="n">
        <v>0</v>
      </c>
      <c r="H1246" t="n">
        <v>0</v>
      </c>
      <c r="I1246" s="3">
        <f>E1246+G1246+H1246</f>
        <v/>
      </c>
      <c r="J1246" s="3">
        <f>ROUND(MIN(IF(C1246="Técnico III",35,IF(C1246="Técnico II",28,IF(C1246="Técnico I",23,IF(C1246="JR",20,IF(C1246="Estágio",10,0))))),IF(C1246="Técnico III",SUMIFS($D:$D,$A:$A,$A1246,$B:$B,"&lt;&gt;Patrícia Karla de Sousa Araújo",$B:$B,"&lt;&gt;Lorena Dias de Araujo",$B:$B,"&lt;&gt;Lucas Luiz Romero")*(35/1083),IF(C1246="Técnico II",SUMIFS($D:$D,$A:$A,$A1246,$B:$B,"&lt;&gt;Patrícia Karla de Sousa Araújo",$B:$B,"&lt;&gt;Lorena Dias de Araujo",$B:$B,"&lt;&gt;Lucas Luiz Romero")*(28/1083),IF(C1246="Técnico I",SUMIFS($D:$D,$A:$A,$A1246,$B:$B,"&lt;&gt;Patrícia Karla de Sousa Araújo",$B:$B,"&lt;&gt;Lorena Dias de Araujo",$B:$B,"&lt;&gt;Lucas Luiz Romero")*(23/1083),IF(C1246="JR",SUMIFS($D:$D,$A:$A,$A1246,$B:$B,"&lt;&gt;Patrícia Karla de Sousa Araújo",$B:$B,"&lt;&gt;Lorena Dias de Araujo",$B:$B,"&lt;&gt;Lucas Luiz Romero")*(20/1083),IF(C1246="Estágio",SUMIFS($D:$D,$A:$A,$A1246,$B:$B,"&lt;&gt;Patrícia Karla de Sousa Araújo",$B:$B,"&lt;&gt;Lorena Dias de Araujo",$B:$B,"&lt;&gt;Lucas Luiz Romero")*(10/1083),0)))))),0)</f>
        <v/>
      </c>
      <c r="K1246" s="3">
        <f>I1246-J1246</f>
        <v/>
      </c>
      <c r="L1246" s="3">
        <f>IF(K1246&lt;-5,"CRÍTICO",IF(K1246&lt;0,"ATENÇÃO",IF(K1246&lt;=5,"BOM","EXCELENTE")))</f>
        <v/>
      </c>
      <c r="M1246" t="n">
        <v>2</v>
      </c>
      <c r="N1246" t="n">
        <v>100</v>
      </c>
      <c r="O1246" t="n">
        <v>33.89830508474576</v>
      </c>
    </row>
    <row r="1247" hidden="1">
      <c r="A1247" s="11" t="n">
        <v>46038</v>
      </c>
      <c r="B1247" t="inlineStr">
        <is>
          <t>Matheus Farias De Souza</t>
        </is>
      </c>
      <c r="C1247" t="inlineStr">
        <is>
          <t>Técnico III</t>
        </is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s="3" t="n">
        <v>0</v>
      </c>
      <c r="J1247" s="3" t="n">
        <v>0</v>
      </c>
      <c r="K1247" s="3" t="n">
        <v>0</v>
      </c>
      <c r="L1247" s="3">
        <f>IF(K1247&lt;-5,"CRÍTICO",IF(K1247&lt;0,"ATENÇÃO",IF(K1247&lt;=5,"BOM","EXCELENTE")))</f>
        <v/>
      </c>
      <c r="M1247" t="n">
        <v>0</v>
      </c>
      <c r="N1247" t="n">
        <v>100</v>
      </c>
      <c r="O1247" t="n">
        <v>0</v>
      </c>
    </row>
    <row r="1248" hidden="1">
      <c r="A1248" s="11" t="n">
        <v>46038</v>
      </c>
      <c r="B1248" t="inlineStr">
        <is>
          <t>Maysa Victoria Dias Moura</t>
        </is>
      </c>
      <c r="C1248" t="inlineStr">
        <is>
          <t>Técnico III</t>
        </is>
      </c>
      <c r="D1248" t="n">
        <v>33</v>
      </c>
      <c r="E1248" t="n">
        <v>25</v>
      </c>
      <c r="F1248" t="n">
        <v>12.14</v>
      </c>
      <c r="G1248" t="n">
        <v>0</v>
      </c>
      <c r="H1248" t="n">
        <v>0</v>
      </c>
      <c r="I1248" s="3">
        <f>E1248+G1248+H1248</f>
        <v/>
      </c>
      <c r="J1248" s="3">
        <f>ROUND(MIN(IF(C1248="Técnico III",35,IF(C1248="Técnico II",28,IF(C1248="Técnico I",23,IF(C1248="JR",20,IF(C1248="Estágio",10,0))))),IF(C1248="Técnico III",SUMIFS($D:$D,$A:$A,$A1248,$B:$B,"&lt;&gt;Patrícia Karla de Sousa Araújo",$B:$B,"&lt;&gt;Lorena Dias de Araujo",$B:$B,"&lt;&gt;Lucas Luiz Romero")*(35/1083),IF(C1248="Técnico II",SUMIFS($D:$D,$A:$A,$A1248,$B:$B,"&lt;&gt;Patrícia Karla de Sousa Araújo",$B:$B,"&lt;&gt;Lorena Dias de Araujo",$B:$B,"&lt;&gt;Lucas Luiz Romero")*(28/1083),IF(C1248="Técnico I",SUMIFS($D:$D,$A:$A,$A1248,$B:$B,"&lt;&gt;Patrícia Karla de Sousa Araújo",$B:$B,"&lt;&gt;Lorena Dias de Araujo",$B:$B,"&lt;&gt;Lucas Luiz Romero")*(23/1083),IF(C1248="JR",SUMIFS($D:$D,$A:$A,$A1248,$B:$B,"&lt;&gt;Patrícia Karla de Sousa Araújo",$B:$B,"&lt;&gt;Lorena Dias de Araujo",$B:$B,"&lt;&gt;Lucas Luiz Romero")*(20/1083),IF(C1248="Estágio",SUMIFS($D:$D,$A:$A,$A1248,$B:$B,"&lt;&gt;Patrícia Karla de Sousa Araújo",$B:$B,"&lt;&gt;Lorena Dias de Araujo",$B:$B,"&lt;&gt;Lucas Luiz Romero")*(10/1083),0)))))),0)</f>
        <v/>
      </c>
      <c r="K1248" s="3">
        <f>I1248-J1248</f>
        <v/>
      </c>
      <c r="L1248" s="3">
        <f>IF(K1248&lt;-5,"CRÍTICO",IF(K1248&lt;0,"ATENÇÃO",IF(K1248&lt;=5,"BOM","EXCELENTE")))</f>
        <v/>
      </c>
      <c r="M1248" t="n">
        <v>24</v>
      </c>
      <c r="N1248" t="n">
        <v>100</v>
      </c>
      <c r="O1248" t="n">
        <v>29.7029702970297</v>
      </c>
    </row>
    <row r="1249" hidden="1">
      <c r="A1249" s="11" t="n">
        <v>46038</v>
      </c>
      <c r="B1249" t="inlineStr">
        <is>
          <t>Michelle G Santos</t>
        </is>
      </c>
      <c r="C1249" t="inlineStr">
        <is>
          <t>Estágio</t>
        </is>
      </c>
      <c r="D1249" t="n">
        <v>1</v>
      </c>
      <c r="E1249" t="n">
        <v>1</v>
      </c>
      <c r="F1249" t="n">
        <v>28.33</v>
      </c>
      <c r="G1249" t="n">
        <v>0</v>
      </c>
      <c r="H1249" t="n">
        <v>0</v>
      </c>
      <c r="I1249" s="3">
        <f>E1249+G1249+H1249</f>
        <v/>
      </c>
      <c r="J1249" s="3">
        <f>ROUND(MIN(IF(C1249="Técnico III",35,IF(C1249="Técnico II",28,IF(C1249="Técnico I",23,IF(C1249="JR",20,IF(C1249="Estágio",10,0))))),IF(C1249="Técnico III",SUMIFS($D:$D,$A:$A,$A1249,$B:$B,"&lt;&gt;Patrícia Karla de Sousa Araújo",$B:$B,"&lt;&gt;Lorena Dias de Araujo",$B:$B,"&lt;&gt;Lucas Luiz Romero")*(35/1083),IF(C1249="Técnico II",SUMIFS($D:$D,$A:$A,$A1249,$B:$B,"&lt;&gt;Patrícia Karla de Sousa Araújo",$B:$B,"&lt;&gt;Lorena Dias de Araujo",$B:$B,"&lt;&gt;Lucas Luiz Romero")*(28/1083),IF(C1249="Técnico I",SUMIFS($D:$D,$A:$A,$A1249,$B:$B,"&lt;&gt;Patrícia Karla de Sousa Araújo",$B:$B,"&lt;&gt;Lorena Dias de Araujo",$B:$B,"&lt;&gt;Lucas Luiz Romero")*(23/1083),IF(C1249="JR",SUMIFS($D:$D,$A:$A,$A1249,$B:$B,"&lt;&gt;Patrícia Karla de Sousa Araújo",$B:$B,"&lt;&gt;Lorena Dias de Araujo",$B:$B,"&lt;&gt;Lucas Luiz Romero")*(20/1083),IF(C1249="Estágio",SUMIFS($D:$D,$A:$A,$A1249,$B:$B,"&lt;&gt;Patrícia Karla de Sousa Araújo",$B:$B,"&lt;&gt;Lorena Dias de Araujo",$B:$B,"&lt;&gt;Lucas Luiz Romero")*(10/1083),0)))))),0)</f>
        <v/>
      </c>
      <c r="K1249" s="3">
        <f>I1249-J1249</f>
        <v/>
      </c>
      <c r="L1249" s="3">
        <f>IF(K1249&lt;-5,"CRÍTICO",IF(K1249&lt;0,"ATENÇÃO",IF(K1249&lt;=5,"BOM","EXCELENTE")))</f>
        <v/>
      </c>
      <c r="M1249" t="n">
        <v>1</v>
      </c>
      <c r="N1249" t="n">
        <v>0</v>
      </c>
      <c r="O1249" t="n">
        <v>0</v>
      </c>
    </row>
    <row r="1250" hidden="1">
      <c r="A1250" s="11" t="n">
        <v>46038</v>
      </c>
      <c r="B1250" t="inlineStr">
        <is>
          <t>Milena Sales</t>
        </is>
      </c>
      <c r="C1250" t="inlineStr">
        <is>
          <t>JR</t>
        </is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s="3" t="n">
        <v>0</v>
      </c>
      <c r="J1250" s="3" t="n">
        <v>0</v>
      </c>
      <c r="K1250" s="3" t="n">
        <v>0</v>
      </c>
      <c r="L1250" s="3">
        <f>IF(K1250&lt;-5,"CRÍTICO",IF(K1250&lt;0,"ATENÇÃO",IF(K1250&lt;=5,"BOM","EXCELENTE")))</f>
        <v/>
      </c>
      <c r="M1250" t="n">
        <v>0</v>
      </c>
      <c r="N1250" t="n">
        <v>0</v>
      </c>
      <c r="O1250" t="n">
        <v>0</v>
      </c>
    </row>
    <row r="1251" hidden="1">
      <c r="A1251" s="11" t="n">
        <v>46038</v>
      </c>
      <c r="B1251" t="inlineStr">
        <is>
          <t>Patrícia Karla de Sousa Araújo</t>
        </is>
      </c>
      <c r="C1251" t="inlineStr">
        <is>
          <t>Técnico II</t>
        </is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s="3" t="n">
        <v>0</v>
      </c>
      <c r="J1251" s="3" t="n">
        <v>0</v>
      </c>
      <c r="K1251" s="3" t="n">
        <v>0</v>
      </c>
      <c r="L1251" s="3">
        <f>IF(K1251&lt;-5,"CRÍTICO",IF(K1251&lt;0,"ATENÇÃO",IF(K1251&lt;=5,"BOM","EXCELENTE")))</f>
        <v/>
      </c>
      <c r="M1251" t="n">
        <v>0</v>
      </c>
      <c r="N1251" t="n">
        <v>100</v>
      </c>
      <c r="O1251" t="n">
        <v>25</v>
      </c>
    </row>
    <row r="1252" hidden="1">
      <c r="A1252" s="11" t="n">
        <v>46038</v>
      </c>
      <c r="B1252" t="inlineStr">
        <is>
          <t>Paulo Ricardo Santos</t>
        </is>
      </c>
      <c r="C1252" t="inlineStr">
        <is>
          <t>JR</t>
        </is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s="3" t="n">
        <v>0</v>
      </c>
      <c r="J1252" s="3" t="n">
        <v>0</v>
      </c>
      <c r="K1252" s="3" t="n">
        <v>0</v>
      </c>
      <c r="L1252" s="3">
        <f>IF(K1252&lt;-5,"CRÍTICO",IF(K1252&lt;0,"ATENÇÃO",IF(K1252&lt;=5,"BOM","EXCELENTE")))</f>
        <v/>
      </c>
      <c r="M1252" t="n">
        <v>0</v>
      </c>
      <c r="N1252" t="n">
        <v>0</v>
      </c>
      <c r="O1252" t="n">
        <v>0</v>
      </c>
    </row>
    <row r="1253" hidden="1">
      <c r="A1253" s="11" t="n">
        <v>46038</v>
      </c>
      <c r="B1253" t="inlineStr">
        <is>
          <t>Pedro Luiz Mota Sousa</t>
        </is>
      </c>
      <c r="C1253" t="inlineStr">
        <is>
          <t>JR</t>
        </is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s="3" t="n">
        <v>0</v>
      </c>
      <c r="J1253" s="3" t="n">
        <v>0</v>
      </c>
      <c r="K1253" s="3" t="n">
        <v>0</v>
      </c>
      <c r="L1253" s="3">
        <f>IF(K1253&lt;-5,"CRÍTICO",IF(K1253&lt;0,"ATENÇÃO",IF(K1253&lt;=5,"BOM","EXCELENTE")))</f>
        <v/>
      </c>
      <c r="M1253" t="n">
        <v>0</v>
      </c>
      <c r="N1253" t="n">
        <v>0</v>
      </c>
      <c r="O1253" t="n">
        <v>0</v>
      </c>
    </row>
    <row r="1254" hidden="1">
      <c r="A1254" s="11" t="n">
        <v>46038</v>
      </c>
      <c r="B1254" t="inlineStr">
        <is>
          <t>Quirino Diogo Leite Torres</t>
        </is>
      </c>
      <c r="C1254" t="inlineStr">
        <is>
          <t>Estágio</t>
        </is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s="3" t="n">
        <v>0</v>
      </c>
      <c r="J1254" s="3" t="n">
        <v>0</v>
      </c>
      <c r="K1254" s="3" t="n">
        <v>0</v>
      </c>
      <c r="L1254" s="3">
        <f>IF(K1254&lt;-5,"CRÍTICO",IF(K1254&lt;0,"ATENÇÃO",IF(K1254&lt;=5,"BOM","EXCELENTE")))</f>
        <v/>
      </c>
      <c r="M1254" t="n">
        <v>0</v>
      </c>
      <c r="N1254" t="n">
        <v>0</v>
      </c>
      <c r="O1254" t="n">
        <v>0</v>
      </c>
    </row>
    <row r="1255" hidden="1">
      <c r="A1255" s="11" t="n">
        <v>46038</v>
      </c>
      <c r="B1255" t="inlineStr">
        <is>
          <t>Raane Batista Matos</t>
        </is>
      </c>
      <c r="C1255" t="inlineStr">
        <is>
          <t>Técnico I</t>
        </is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s="3" t="n">
        <v>0</v>
      </c>
      <c r="J1255" s="3" t="n">
        <v>0</v>
      </c>
      <c r="K1255" s="3" t="n">
        <v>0</v>
      </c>
      <c r="L1255" s="3">
        <f>IF(K1255&lt;-5,"CRÍTICO",IF(K1255&lt;0,"ATENÇÃO",IF(K1255&lt;=5,"BOM","EXCELENTE")))</f>
        <v/>
      </c>
      <c r="M1255" t="n">
        <v>0</v>
      </c>
      <c r="N1255" t="n">
        <v>0</v>
      </c>
      <c r="O1255" t="n">
        <v>0</v>
      </c>
    </row>
    <row r="1256" hidden="1">
      <c r="A1256" s="11" t="n">
        <v>46038</v>
      </c>
      <c r="B1256" t="inlineStr">
        <is>
          <t>Rafael Gomes de Morais</t>
        </is>
      </c>
      <c r="C1256" t="inlineStr">
        <is>
          <t>Técnico III</t>
        </is>
      </c>
      <c r="D1256" t="n">
        <v>31</v>
      </c>
      <c r="E1256" t="n">
        <v>27</v>
      </c>
      <c r="F1256" t="n">
        <v>17.2</v>
      </c>
      <c r="G1256" t="n">
        <v>0</v>
      </c>
      <c r="H1256" t="n">
        <v>0</v>
      </c>
      <c r="I1256" s="3">
        <f>E1256+G1256+H1256</f>
        <v/>
      </c>
      <c r="J1256" s="3">
        <f>ROUND(MIN(IF(C1256="Técnico III",35,IF(C1256="Técnico II",28,IF(C1256="Técnico I",23,IF(C1256="JR",20,IF(C1256="Estágio",10,0))))),IF(C1256="Técnico III",SUMIFS($D:$D,$A:$A,$A1256,$B:$B,"&lt;&gt;Patrícia Karla de Sousa Araújo",$B:$B,"&lt;&gt;Lorena Dias de Araujo",$B:$B,"&lt;&gt;Lucas Luiz Romero")*(35/1083),IF(C1256="Técnico II",SUMIFS($D:$D,$A:$A,$A1256,$B:$B,"&lt;&gt;Patrícia Karla de Sousa Araújo",$B:$B,"&lt;&gt;Lorena Dias de Araujo",$B:$B,"&lt;&gt;Lucas Luiz Romero")*(28/1083),IF(C1256="Técnico I",SUMIFS($D:$D,$A:$A,$A1256,$B:$B,"&lt;&gt;Patrícia Karla de Sousa Araújo",$B:$B,"&lt;&gt;Lorena Dias de Araujo",$B:$B,"&lt;&gt;Lucas Luiz Romero")*(23/1083),IF(C1256="JR",SUMIFS($D:$D,$A:$A,$A1256,$B:$B,"&lt;&gt;Patrícia Karla de Sousa Araújo",$B:$B,"&lt;&gt;Lorena Dias de Araujo",$B:$B,"&lt;&gt;Lucas Luiz Romero")*(20/1083),IF(C1256="Estágio",SUMIFS($D:$D,$A:$A,$A1256,$B:$B,"&lt;&gt;Patrícia Karla de Sousa Araújo",$B:$B,"&lt;&gt;Lorena Dias de Araujo",$B:$B,"&lt;&gt;Lucas Luiz Romero")*(10/1083),0)))))),0)</f>
        <v/>
      </c>
      <c r="K1256" s="3">
        <f>I1256-J1256</f>
        <v/>
      </c>
      <c r="L1256" s="3">
        <f>IF(K1256&lt;-5,"CRÍTICO",IF(K1256&lt;0,"ATENÇÃO",IF(K1256&lt;=5,"BOM","EXCELENTE")))</f>
        <v/>
      </c>
      <c r="M1256" t="n">
        <v>27</v>
      </c>
      <c r="N1256" t="n">
        <v>100</v>
      </c>
      <c r="O1256" t="n">
        <v>40.74074074074074</v>
      </c>
    </row>
    <row r="1257" hidden="1">
      <c r="A1257" s="11" t="n">
        <v>46038</v>
      </c>
      <c r="B1257" t="inlineStr">
        <is>
          <t>Sara Maria Monteiro Lopes</t>
        </is>
      </c>
      <c r="C1257" t="inlineStr">
        <is>
          <t>Técnico I</t>
        </is>
      </c>
      <c r="D1257" t="n">
        <v>17</v>
      </c>
      <c r="E1257" t="n">
        <v>15</v>
      </c>
      <c r="F1257" t="n">
        <v>27.12</v>
      </c>
      <c r="G1257" t="n">
        <v>0</v>
      </c>
      <c r="H1257" t="n">
        <v>0</v>
      </c>
      <c r="I1257" s="3">
        <f>E1257+G1257+H1257</f>
        <v/>
      </c>
      <c r="J1257" s="3">
        <f>ROUND(MIN(IF(C1257="Técnico III",35,IF(C1257="Técnico II",28,IF(C1257="Técnico I",23,IF(C1257="JR",20,IF(C1257="Estágio",10,0))))),IF(C1257="Técnico III",SUMIFS($D:$D,$A:$A,$A1257,$B:$B,"&lt;&gt;Patrícia Karla de Sousa Araújo",$B:$B,"&lt;&gt;Lorena Dias de Araujo",$B:$B,"&lt;&gt;Lucas Luiz Romero")*(35/1083),IF(C1257="Técnico II",SUMIFS($D:$D,$A:$A,$A1257,$B:$B,"&lt;&gt;Patrícia Karla de Sousa Araújo",$B:$B,"&lt;&gt;Lorena Dias de Araujo",$B:$B,"&lt;&gt;Lucas Luiz Romero")*(28/1083),IF(C1257="Técnico I",SUMIFS($D:$D,$A:$A,$A1257,$B:$B,"&lt;&gt;Patrícia Karla de Sousa Araújo",$B:$B,"&lt;&gt;Lorena Dias de Araujo",$B:$B,"&lt;&gt;Lucas Luiz Romero")*(23/1083),IF(C1257="JR",SUMIFS($D:$D,$A:$A,$A1257,$B:$B,"&lt;&gt;Patrícia Karla de Sousa Araújo",$B:$B,"&lt;&gt;Lorena Dias de Araujo",$B:$B,"&lt;&gt;Lucas Luiz Romero")*(20/1083),IF(C1257="Estágio",SUMIFS($D:$D,$A:$A,$A1257,$B:$B,"&lt;&gt;Patrícia Karla de Sousa Araújo",$B:$B,"&lt;&gt;Lorena Dias de Araujo",$B:$B,"&lt;&gt;Lucas Luiz Romero")*(10/1083),0)))))),0)</f>
        <v/>
      </c>
      <c r="K1257" s="3">
        <f>I1257-J1257</f>
        <v/>
      </c>
      <c r="L1257" s="3">
        <f>IF(K1257&lt;-5,"CRÍTICO",IF(K1257&lt;0,"ATENÇÃO",IF(K1257&lt;=5,"BOM","EXCELENTE")))</f>
        <v/>
      </c>
      <c r="M1257" t="n">
        <v>11</v>
      </c>
      <c r="N1257" t="n">
        <v>100</v>
      </c>
      <c r="O1257" t="n">
        <v>31.81818181818182</v>
      </c>
    </row>
    <row r="1258" hidden="1">
      <c r="A1258" s="11" t="n">
        <v>46038</v>
      </c>
      <c r="B1258" t="inlineStr">
        <is>
          <t>Sarah Steffanie de Lima Borges</t>
        </is>
      </c>
      <c r="C1258" t="inlineStr">
        <is>
          <t>Técnico III</t>
        </is>
      </c>
      <c r="D1258" t="n">
        <v>23</v>
      </c>
      <c r="E1258" t="n">
        <v>22</v>
      </c>
      <c r="F1258" t="n">
        <v>17.33</v>
      </c>
      <c r="G1258" t="n">
        <v>0</v>
      </c>
      <c r="H1258" t="n">
        <v>0</v>
      </c>
      <c r="I1258" s="3">
        <f>E1258+G1258+H1258</f>
        <v/>
      </c>
      <c r="J1258" s="3">
        <f>ROUND(MIN(IF(C1258="Técnico III",35,IF(C1258="Técnico II",28,IF(C1258="Técnico I",23,IF(C1258="JR",20,IF(C1258="Estágio",10,0))))),IF(C1258="Técnico III",SUMIFS($D:$D,$A:$A,$A1258,$B:$B,"&lt;&gt;Patrícia Karla de Sousa Araújo",$B:$B,"&lt;&gt;Lorena Dias de Araujo",$B:$B,"&lt;&gt;Lucas Luiz Romero")*(35/1083),IF(C1258="Técnico II",SUMIFS($D:$D,$A:$A,$A1258,$B:$B,"&lt;&gt;Patrícia Karla de Sousa Araújo",$B:$B,"&lt;&gt;Lorena Dias de Araujo",$B:$B,"&lt;&gt;Lucas Luiz Romero")*(28/1083),IF(C1258="Técnico I",SUMIFS($D:$D,$A:$A,$A1258,$B:$B,"&lt;&gt;Patrícia Karla de Sousa Araújo",$B:$B,"&lt;&gt;Lorena Dias de Araujo",$B:$B,"&lt;&gt;Lucas Luiz Romero")*(23/1083),IF(C1258="JR",SUMIFS($D:$D,$A:$A,$A1258,$B:$B,"&lt;&gt;Patrícia Karla de Sousa Araújo",$B:$B,"&lt;&gt;Lorena Dias de Araujo",$B:$B,"&lt;&gt;Lucas Luiz Romero")*(20/1083),IF(C1258="Estágio",SUMIFS($D:$D,$A:$A,$A1258,$B:$B,"&lt;&gt;Patrícia Karla de Sousa Araújo",$B:$B,"&lt;&gt;Lorena Dias de Araujo",$B:$B,"&lt;&gt;Lucas Luiz Romero")*(10/1083),0)))))),0)</f>
        <v/>
      </c>
      <c r="K1258" s="3">
        <f>I1258-J1258</f>
        <v/>
      </c>
      <c r="L1258" s="3">
        <f>IF(K1258&lt;-5,"CRÍTICO",IF(K1258&lt;0,"ATENÇÃO",IF(K1258&lt;=5,"BOM","EXCELENTE")))</f>
        <v/>
      </c>
      <c r="M1258" t="n">
        <v>21</v>
      </c>
      <c r="N1258" t="n">
        <v>100</v>
      </c>
      <c r="O1258" t="n">
        <v>24.52107279693486</v>
      </c>
    </row>
    <row r="1259" hidden="1">
      <c r="A1259" s="11" t="n">
        <v>46041</v>
      </c>
      <c r="B1259" t="inlineStr">
        <is>
          <t>Alisson de Freitas Silva</t>
        </is>
      </c>
      <c r="C1259" t="inlineStr">
        <is>
          <t>Técnico II</t>
        </is>
      </c>
      <c r="D1259" t="n">
        <v>30</v>
      </c>
      <c r="E1259" t="n">
        <v>23</v>
      </c>
      <c r="F1259" t="n">
        <v>12.16</v>
      </c>
      <c r="G1259" t="n">
        <v>0</v>
      </c>
      <c r="H1259" t="n">
        <v>0</v>
      </c>
      <c r="I1259" s="3">
        <f>E1259+G1259+H1259</f>
        <v/>
      </c>
      <c r="J1259" s="3">
        <f>ROUND(MIN(IF(C1259="Técnico III",35,IF(C1259="Técnico II",28,IF(C1259="Técnico I",23,IF(C1259="JR",20,IF(C1259="Estágio",10,0))))),IF(C1259="Técnico III",SUMIFS($D:$D,$A:$A,$A1259,$B:$B,"&lt;&gt;Patrícia Karla de Sousa Araújo",$B:$B,"&lt;&gt;Lorena Dias de Araujo",$B:$B,"&lt;&gt;Lucas Luiz Romero")*(35/1083),IF(C1259="Técnico II",SUMIFS($D:$D,$A:$A,$A1259,$B:$B,"&lt;&gt;Patrícia Karla de Sousa Araújo",$B:$B,"&lt;&gt;Lorena Dias de Araujo",$B:$B,"&lt;&gt;Lucas Luiz Romero")*(28/1083),IF(C1259="Técnico I",SUMIFS($D:$D,$A:$A,$A1259,$B:$B,"&lt;&gt;Patrícia Karla de Sousa Araújo",$B:$B,"&lt;&gt;Lorena Dias de Araujo",$B:$B,"&lt;&gt;Lucas Luiz Romero")*(23/1083),IF(C1259="JR",SUMIFS($D:$D,$A:$A,$A1259,$B:$B,"&lt;&gt;Patrícia Karla de Sousa Araújo",$B:$B,"&lt;&gt;Lorena Dias de Araujo",$B:$B,"&lt;&gt;Lucas Luiz Romero")*(20/1083),IF(C1259="Estágio",SUMIFS($D:$D,$A:$A,$A1259,$B:$B,"&lt;&gt;Patrícia Karla de Sousa Araújo",$B:$B,"&lt;&gt;Lorena Dias de Araujo",$B:$B,"&lt;&gt;Lucas Luiz Romero")*(10/1083),0)))))),0)</f>
        <v/>
      </c>
      <c r="K1259" s="3">
        <f>I1259-J1259</f>
        <v/>
      </c>
      <c r="L1259" s="3">
        <f>IF(K1259&lt;-5,"CRÍTICO",IF(K1259&lt;0,"ATENÇÃO",IF(K1259&lt;=5,"BOM","EXCELENTE")))</f>
        <v/>
      </c>
      <c r="M1259" t="n">
        <v>17</v>
      </c>
      <c r="N1259" t="n">
        <v>97.67</v>
      </c>
      <c r="O1259" t="n">
        <v>28.18181818181818</v>
      </c>
    </row>
    <row r="1260" hidden="1">
      <c r="A1260" s="11" t="n">
        <v>46041</v>
      </c>
      <c r="B1260" t="inlineStr">
        <is>
          <t>Amanda Moura Ferreira</t>
        </is>
      </c>
      <c r="C1260" t="inlineStr">
        <is>
          <t>Técnico III</t>
        </is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s="3" t="n">
        <v>0</v>
      </c>
      <c r="J1260" s="3" t="n">
        <v>0</v>
      </c>
      <c r="K1260" s="3" t="n">
        <v>0</v>
      </c>
      <c r="L1260" s="3">
        <f>IF(K1260&lt;-5,"CRÍTICO",IF(K1260&lt;0,"ATENÇÃO",IF(K1260&lt;=5,"BOM","EXCELENTE")))</f>
        <v/>
      </c>
      <c r="M1260" t="n">
        <v>22</v>
      </c>
      <c r="N1260" t="n">
        <v>98.45999999999999</v>
      </c>
      <c r="O1260" t="n">
        <v>30</v>
      </c>
    </row>
    <row r="1261" hidden="1">
      <c r="A1261" s="11" t="n">
        <v>46041</v>
      </c>
      <c r="B1261" t="inlineStr">
        <is>
          <t>Ana Karollyne Souza Faria</t>
        </is>
      </c>
      <c r="C1261" t="inlineStr">
        <is>
          <t>Técnico I</t>
        </is>
      </c>
      <c r="D1261" t="n">
        <v>17</v>
      </c>
      <c r="E1261" t="n">
        <v>15</v>
      </c>
      <c r="F1261" t="n">
        <v>27.27</v>
      </c>
      <c r="G1261" t="n">
        <v>0</v>
      </c>
      <c r="H1261" t="n">
        <v>0</v>
      </c>
      <c r="I1261" s="3">
        <f>E1261+G1261+H1261</f>
        <v/>
      </c>
      <c r="J1261" s="3">
        <f>ROUND(MIN(IF(C1261="Técnico III",35,IF(C1261="Técnico II",28,IF(C1261="Técnico I",23,IF(C1261="JR",20,IF(C1261="Estágio",10,0))))),IF(C1261="Técnico III",SUMIFS($D:$D,$A:$A,$A1261,$B:$B,"&lt;&gt;Patrícia Karla de Sousa Araújo",$B:$B,"&lt;&gt;Lorena Dias de Araujo",$B:$B,"&lt;&gt;Lucas Luiz Romero")*(35/1083),IF(C1261="Técnico II",SUMIFS($D:$D,$A:$A,$A1261,$B:$B,"&lt;&gt;Patrícia Karla de Sousa Araújo",$B:$B,"&lt;&gt;Lorena Dias de Araujo",$B:$B,"&lt;&gt;Lucas Luiz Romero")*(28/1083),IF(C1261="Técnico I",SUMIFS($D:$D,$A:$A,$A1261,$B:$B,"&lt;&gt;Patrícia Karla de Sousa Araújo",$B:$B,"&lt;&gt;Lorena Dias de Araujo",$B:$B,"&lt;&gt;Lucas Luiz Romero")*(23/1083),IF(C1261="JR",SUMIFS($D:$D,$A:$A,$A1261,$B:$B,"&lt;&gt;Patrícia Karla de Sousa Araújo",$B:$B,"&lt;&gt;Lorena Dias de Araujo",$B:$B,"&lt;&gt;Lucas Luiz Romero")*(20/1083),IF(C1261="Estágio",SUMIFS($D:$D,$A:$A,$A1261,$B:$B,"&lt;&gt;Patrícia Karla de Sousa Araújo",$B:$B,"&lt;&gt;Lorena Dias de Araujo",$B:$B,"&lt;&gt;Lucas Luiz Romero")*(10/1083),0)))))),0)</f>
        <v/>
      </c>
      <c r="K1261" s="3">
        <f>I1261-J1261</f>
        <v/>
      </c>
      <c r="L1261" s="3">
        <f>IF(K1261&lt;-5,"CRÍTICO",IF(K1261&lt;0,"ATENÇÃO",IF(K1261&lt;=5,"BOM","EXCELENTE")))</f>
        <v/>
      </c>
      <c r="M1261" t="n">
        <v>15</v>
      </c>
      <c r="N1261" t="n">
        <v>100</v>
      </c>
      <c r="O1261" t="n">
        <v>26.00732600732601</v>
      </c>
    </row>
    <row r="1262" hidden="1">
      <c r="A1262" s="11" t="n">
        <v>46041</v>
      </c>
      <c r="B1262" t="inlineStr">
        <is>
          <t>Ana Paula Da Luz Silva Aleixo</t>
        </is>
      </c>
      <c r="C1262" t="inlineStr">
        <is>
          <t>Técnico III</t>
        </is>
      </c>
      <c r="D1262" t="n">
        <v>36</v>
      </c>
      <c r="E1262" t="n">
        <v>31</v>
      </c>
      <c r="F1262" t="n">
        <v>11.43</v>
      </c>
      <c r="G1262" t="n">
        <v>0</v>
      </c>
      <c r="H1262" t="n">
        <v>0</v>
      </c>
      <c r="I1262" s="3">
        <f>E1262+G1262+H1262</f>
        <v/>
      </c>
      <c r="J1262" s="3">
        <f>ROUND(MIN(IF(C1262="Técnico III",35,IF(C1262="Técnico II",28,IF(C1262="Técnico I",23,IF(C1262="JR",20,IF(C1262="Estágio",10,0))))),IF(C1262="Técnico III",SUMIFS($D:$D,$A:$A,$A1262,$B:$B,"&lt;&gt;Patrícia Karla de Sousa Araújo",$B:$B,"&lt;&gt;Lorena Dias de Araujo",$B:$B,"&lt;&gt;Lucas Luiz Romero")*(35/1083),IF(C1262="Técnico II",SUMIFS($D:$D,$A:$A,$A1262,$B:$B,"&lt;&gt;Patrícia Karla de Sousa Araújo",$B:$B,"&lt;&gt;Lorena Dias de Araujo",$B:$B,"&lt;&gt;Lucas Luiz Romero")*(28/1083),IF(C1262="Técnico I",SUMIFS($D:$D,$A:$A,$A1262,$B:$B,"&lt;&gt;Patrícia Karla de Sousa Araújo",$B:$B,"&lt;&gt;Lorena Dias de Araujo",$B:$B,"&lt;&gt;Lucas Luiz Romero")*(23/1083),IF(C1262="JR",SUMIFS($D:$D,$A:$A,$A1262,$B:$B,"&lt;&gt;Patrícia Karla de Sousa Araújo",$B:$B,"&lt;&gt;Lorena Dias de Araujo",$B:$B,"&lt;&gt;Lucas Luiz Romero")*(20/1083),IF(C1262="Estágio",SUMIFS($D:$D,$A:$A,$A1262,$B:$B,"&lt;&gt;Patrícia Karla de Sousa Araújo",$B:$B,"&lt;&gt;Lorena Dias de Araujo",$B:$B,"&lt;&gt;Lucas Luiz Romero")*(10/1083),0)))))),0)</f>
        <v/>
      </c>
      <c r="K1262" s="3">
        <f>I1262-J1262</f>
        <v/>
      </c>
      <c r="L1262" s="3">
        <f>IF(K1262&lt;-5,"CRÍTICO",IF(K1262&lt;0,"ATENÇÃO",IF(K1262&lt;=5,"BOM","EXCELENTE")))</f>
        <v/>
      </c>
      <c r="M1262" t="n">
        <v>29</v>
      </c>
      <c r="N1262" t="n">
        <v>98.41</v>
      </c>
      <c r="O1262" t="n">
        <v>27.33812949640288</v>
      </c>
    </row>
    <row r="1263" hidden="1">
      <c r="A1263" s="11" t="n">
        <v>46041</v>
      </c>
      <c r="B1263" t="inlineStr">
        <is>
          <t>Anna Luiza Rezende Tavares</t>
        </is>
      </c>
      <c r="C1263" t="inlineStr">
        <is>
          <t>Estágio</t>
        </is>
      </c>
      <c r="D1263" t="n">
        <v>7</v>
      </c>
      <c r="E1263" t="n">
        <v>7</v>
      </c>
      <c r="F1263" t="n">
        <v>46.46</v>
      </c>
      <c r="G1263" t="n">
        <v>0</v>
      </c>
      <c r="H1263" t="n">
        <v>0</v>
      </c>
      <c r="I1263" s="3">
        <f>E1263+G1263+H1263</f>
        <v/>
      </c>
      <c r="J1263" s="3">
        <f>ROUND(MIN(IF(C1263="Técnico III",35,IF(C1263="Técnico II",28,IF(C1263="Técnico I",23,IF(C1263="JR",20,IF(C1263="Estágio",10,0))))),IF(C1263="Técnico III",SUMIFS($D:$D,$A:$A,$A1263,$B:$B,"&lt;&gt;Patrícia Karla de Sousa Araújo",$B:$B,"&lt;&gt;Lorena Dias de Araujo",$B:$B,"&lt;&gt;Lucas Luiz Romero")*(35/1083),IF(C1263="Técnico II",SUMIFS($D:$D,$A:$A,$A1263,$B:$B,"&lt;&gt;Patrícia Karla de Sousa Araújo",$B:$B,"&lt;&gt;Lorena Dias de Araujo",$B:$B,"&lt;&gt;Lucas Luiz Romero")*(28/1083),IF(C1263="Técnico I",SUMIFS($D:$D,$A:$A,$A1263,$B:$B,"&lt;&gt;Patrícia Karla de Sousa Araújo",$B:$B,"&lt;&gt;Lorena Dias de Araujo",$B:$B,"&lt;&gt;Lucas Luiz Romero")*(23/1083),IF(C1263="JR",SUMIFS($D:$D,$A:$A,$A1263,$B:$B,"&lt;&gt;Patrícia Karla de Sousa Araújo",$B:$B,"&lt;&gt;Lorena Dias de Araujo",$B:$B,"&lt;&gt;Lucas Luiz Romero")*(20/1083),IF(C1263="Estágio",SUMIFS($D:$D,$A:$A,$A1263,$B:$B,"&lt;&gt;Patrícia Karla de Sousa Araújo",$B:$B,"&lt;&gt;Lorena Dias de Araujo",$B:$B,"&lt;&gt;Lucas Luiz Romero")*(10/1083),0)))))),0)</f>
        <v/>
      </c>
      <c r="K1263" s="3">
        <f>I1263-J1263</f>
        <v/>
      </c>
      <c r="L1263" s="3">
        <f>IF(K1263&lt;-5,"CRÍTICO",IF(K1263&lt;0,"ATENÇÃO",IF(K1263&lt;=5,"BOM","EXCELENTE")))</f>
        <v/>
      </c>
      <c r="M1263" t="n">
        <v>5</v>
      </c>
      <c r="N1263" t="n">
        <v>100</v>
      </c>
      <c r="O1263" t="n">
        <v>47.88732394366197</v>
      </c>
    </row>
    <row r="1264" hidden="1">
      <c r="A1264" s="11" t="n">
        <v>46041</v>
      </c>
      <c r="B1264" t="inlineStr">
        <is>
          <t>Brenda de Menezes Silva</t>
        </is>
      </c>
      <c r="C1264" t="inlineStr">
        <is>
          <t>Técnico II</t>
        </is>
      </c>
      <c r="D1264" t="n">
        <v>25</v>
      </c>
      <c r="E1264" t="n">
        <v>24</v>
      </c>
      <c r="F1264" t="n">
        <v>18.24</v>
      </c>
      <c r="G1264" t="n">
        <v>0</v>
      </c>
      <c r="H1264" t="n">
        <v>0</v>
      </c>
      <c r="I1264" s="3">
        <f>E1264+G1264+H1264</f>
        <v/>
      </c>
      <c r="J1264" s="3">
        <f>ROUND(MIN(IF(C1264="Técnico III",35,IF(C1264="Técnico II",28,IF(C1264="Técnico I",23,IF(C1264="JR",20,IF(C1264="Estágio",10,0))))),IF(C1264="Técnico III",SUMIFS($D:$D,$A:$A,$A1264,$B:$B,"&lt;&gt;Patrícia Karla de Sousa Araújo",$B:$B,"&lt;&gt;Lorena Dias de Araujo",$B:$B,"&lt;&gt;Lucas Luiz Romero")*(35/1083),IF(C1264="Técnico II",SUMIFS($D:$D,$A:$A,$A1264,$B:$B,"&lt;&gt;Patrícia Karla de Sousa Araújo",$B:$B,"&lt;&gt;Lorena Dias de Araujo",$B:$B,"&lt;&gt;Lucas Luiz Romero")*(28/1083),IF(C1264="Técnico I",SUMIFS($D:$D,$A:$A,$A1264,$B:$B,"&lt;&gt;Patrícia Karla de Sousa Araújo",$B:$B,"&lt;&gt;Lorena Dias de Araujo",$B:$B,"&lt;&gt;Lucas Luiz Romero")*(23/1083),IF(C1264="JR",SUMIFS($D:$D,$A:$A,$A1264,$B:$B,"&lt;&gt;Patrícia Karla de Sousa Araújo",$B:$B,"&lt;&gt;Lorena Dias de Araujo",$B:$B,"&lt;&gt;Lucas Luiz Romero")*(20/1083),IF(C1264="Estágio",SUMIFS($D:$D,$A:$A,$A1264,$B:$B,"&lt;&gt;Patrícia Karla de Sousa Araújo",$B:$B,"&lt;&gt;Lorena Dias de Araujo",$B:$B,"&lt;&gt;Lucas Luiz Romero")*(10/1083),0)))))),0)</f>
        <v/>
      </c>
      <c r="K1264" s="3">
        <f>I1264-J1264</f>
        <v/>
      </c>
      <c r="L1264" s="3">
        <f>IF(K1264&lt;-5,"CRÍTICO",IF(K1264&lt;0,"ATENÇÃO",IF(K1264&lt;=5,"BOM","EXCELENTE")))</f>
        <v/>
      </c>
      <c r="M1264" t="n">
        <v>22</v>
      </c>
      <c r="N1264" t="n">
        <v>100</v>
      </c>
      <c r="O1264" t="n">
        <v>26.75585284280936</v>
      </c>
    </row>
    <row r="1265" hidden="1">
      <c r="A1265" s="11" t="n">
        <v>46041</v>
      </c>
      <c r="B1265" t="inlineStr">
        <is>
          <t>Carlos Mateus Cassimiro Nunes</t>
        </is>
      </c>
      <c r="C1265" t="inlineStr">
        <is>
          <t>Técnico II</t>
        </is>
      </c>
      <c r="D1265" t="n">
        <v>21</v>
      </c>
      <c r="E1265" t="n">
        <v>19</v>
      </c>
      <c r="F1265" t="n">
        <v>27.19</v>
      </c>
      <c r="G1265" t="n">
        <v>0</v>
      </c>
      <c r="H1265" t="n">
        <v>0</v>
      </c>
      <c r="I1265" s="3">
        <f>E1265+G1265+H1265</f>
        <v/>
      </c>
      <c r="J1265" s="3">
        <f>ROUND(MIN(IF(C1265="Técnico III",35,IF(C1265="Técnico II",28,IF(C1265="Técnico I",23,IF(C1265="JR",20,IF(C1265="Estágio",10,0))))),IF(C1265="Técnico III",SUMIFS($D:$D,$A:$A,$A1265,$B:$B,"&lt;&gt;Patrícia Karla de Sousa Araújo",$B:$B,"&lt;&gt;Lorena Dias de Araujo",$B:$B,"&lt;&gt;Lucas Luiz Romero")*(35/1083),IF(C1265="Técnico II",SUMIFS($D:$D,$A:$A,$A1265,$B:$B,"&lt;&gt;Patrícia Karla de Sousa Araújo",$B:$B,"&lt;&gt;Lorena Dias de Araujo",$B:$B,"&lt;&gt;Lucas Luiz Romero")*(28/1083),IF(C1265="Técnico I",SUMIFS($D:$D,$A:$A,$A1265,$B:$B,"&lt;&gt;Patrícia Karla de Sousa Araújo",$B:$B,"&lt;&gt;Lorena Dias de Araujo",$B:$B,"&lt;&gt;Lucas Luiz Romero")*(23/1083),IF(C1265="JR",SUMIFS($D:$D,$A:$A,$A1265,$B:$B,"&lt;&gt;Patrícia Karla de Sousa Araújo",$B:$B,"&lt;&gt;Lorena Dias de Araujo",$B:$B,"&lt;&gt;Lucas Luiz Romero")*(20/1083),IF(C1265="Estágio",SUMIFS($D:$D,$A:$A,$A1265,$B:$B,"&lt;&gt;Patrícia Karla de Sousa Araújo",$B:$B,"&lt;&gt;Lorena Dias de Araujo",$B:$B,"&lt;&gt;Lucas Luiz Romero")*(10/1083),0)))))),0)</f>
        <v/>
      </c>
      <c r="K1265" s="3">
        <f>I1265-J1265</f>
        <v/>
      </c>
      <c r="L1265" s="3">
        <f>IF(K1265&lt;-5,"CRÍTICO",IF(K1265&lt;0,"ATENÇÃO",IF(K1265&lt;=5,"BOM","EXCELENTE")))</f>
        <v/>
      </c>
      <c r="M1265" t="n">
        <v>19</v>
      </c>
      <c r="N1265" t="n">
        <v>100</v>
      </c>
      <c r="O1265" t="n">
        <v>39.53488372093023</v>
      </c>
    </row>
    <row r="1266" hidden="1">
      <c r="A1266" s="11" t="n">
        <v>46041</v>
      </c>
      <c r="B1266" t="inlineStr">
        <is>
          <t>Claudio de Sousa Velasco Filho</t>
        </is>
      </c>
      <c r="C1266" t="inlineStr">
        <is>
          <t>Estágio</t>
        </is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s="3" t="n">
        <v>0</v>
      </c>
      <c r="J1266" s="3" t="n">
        <v>0</v>
      </c>
      <c r="K1266" s="3" t="n">
        <v>0</v>
      </c>
      <c r="L1266" s="3">
        <f>IF(K1266&lt;-5,"CRÍTICO",IF(K1266&lt;0,"ATENÇÃO",IF(K1266&lt;=5,"BOM","EXCELENTE")))</f>
        <v/>
      </c>
      <c r="M1266" t="n">
        <v>0</v>
      </c>
      <c r="N1266" t="n">
        <v>0</v>
      </c>
      <c r="O1266" t="n">
        <v>0</v>
      </c>
    </row>
    <row r="1267" hidden="1">
      <c r="A1267" s="11" t="n">
        <v>46041</v>
      </c>
      <c r="B1267" t="inlineStr">
        <is>
          <t>Clessiane Pereira dos Santos</t>
        </is>
      </c>
      <c r="C1267" t="inlineStr">
        <is>
          <t>Técnico I</t>
        </is>
      </c>
      <c r="D1267" t="n">
        <v>13</v>
      </c>
      <c r="E1267" t="n">
        <v>12</v>
      </c>
      <c r="F1267" t="n">
        <v>25.23</v>
      </c>
      <c r="G1267" t="n">
        <v>0</v>
      </c>
      <c r="H1267" t="n">
        <v>0</v>
      </c>
      <c r="I1267" s="3">
        <f>E1267+G1267+H1267</f>
        <v/>
      </c>
      <c r="J1267" s="3">
        <f>ROUND(MIN(IF(C1267="Técnico III",35,IF(C1267="Técnico II",28,IF(C1267="Técnico I",23,IF(C1267="JR",20,IF(C1267="Estágio",10,0))))),IF(C1267="Técnico III",SUMIFS($D:$D,$A:$A,$A1267,$B:$B,"&lt;&gt;Patrícia Karla de Sousa Araújo",$B:$B,"&lt;&gt;Lorena Dias de Araujo",$B:$B,"&lt;&gt;Lucas Luiz Romero")*(35/1083),IF(C1267="Técnico II",SUMIFS($D:$D,$A:$A,$A1267,$B:$B,"&lt;&gt;Patrícia Karla de Sousa Araújo",$B:$B,"&lt;&gt;Lorena Dias de Araujo",$B:$B,"&lt;&gt;Lucas Luiz Romero")*(28/1083),IF(C1267="Técnico I",SUMIFS($D:$D,$A:$A,$A1267,$B:$B,"&lt;&gt;Patrícia Karla de Sousa Araújo",$B:$B,"&lt;&gt;Lorena Dias de Araujo",$B:$B,"&lt;&gt;Lucas Luiz Romero")*(23/1083),IF(C1267="JR",SUMIFS($D:$D,$A:$A,$A1267,$B:$B,"&lt;&gt;Patrícia Karla de Sousa Araújo",$B:$B,"&lt;&gt;Lorena Dias de Araujo",$B:$B,"&lt;&gt;Lucas Luiz Romero")*(20/1083),IF(C1267="Estágio",SUMIFS($D:$D,$A:$A,$A1267,$B:$B,"&lt;&gt;Patrícia Karla de Sousa Araújo",$B:$B,"&lt;&gt;Lorena Dias de Araujo",$B:$B,"&lt;&gt;Lucas Luiz Romero")*(10/1083),0)))))),0)</f>
        <v/>
      </c>
      <c r="K1267" s="3">
        <f>I1267-J1267</f>
        <v/>
      </c>
      <c r="L1267" s="3">
        <f>IF(K1267&lt;-5,"CRÍTICO",IF(K1267&lt;0,"ATENÇÃO",IF(K1267&lt;=5,"BOM","EXCELENTE")))</f>
        <v/>
      </c>
      <c r="M1267" t="n">
        <v>12</v>
      </c>
      <c r="N1267" t="n">
        <v>100</v>
      </c>
      <c r="O1267" t="n">
        <v>31.05590062111801</v>
      </c>
    </row>
    <row r="1268" hidden="1">
      <c r="A1268" s="11" t="n">
        <v>46041</v>
      </c>
      <c r="B1268" t="inlineStr">
        <is>
          <t>Cristiane Ramos da Silva Rocha</t>
        </is>
      </c>
      <c r="C1268" t="inlineStr">
        <is>
          <t>Técnico III</t>
        </is>
      </c>
      <c r="D1268" t="n">
        <v>14</v>
      </c>
      <c r="E1268" t="n">
        <v>11</v>
      </c>
      <c r="F1268" t="n">
        <v>12.37</v>
      </c>
      <c r="G1268" t="n">
        <v>0</v>
      </c>
      <c r="H1268" t="n">
        <v>0</v>
      </c>
      <c r="I1268" s="3">
        <f>E1268+G1268+H1268</f>
        <v/>
      </c>
      <c r="J1268" s="3">
        <f>ROUND(MIN(IF(C1268="Técnico III",35,IF(C1268="Técnico II",28,IF(C1268="Técnico I",23,IF(C1268="JR",20,IF(C1268="Estágio",10,0))))),IF(C1268="Técnico III",SUMIFS($D:$D,$A:$A,$A1268,$B:$B,"&lt;&gt;Patrícia Karla de Sousa Araújo",$B:$B,"&lt;&gt;Lorena Dias de Araujo",$B:$B,"&lt;&gt;Lucas Luiz Romero")*(35/1083),IF(C1268="Técnico II",SUMIFS($D:$D,$A:$A,$A1268,$B:$B,"&lt;&gt;Patrícia Karla de Sousa Araújo",$B:$B,"&lt;&gt;Lorena Dias de Araujo",$B:$B,"&lt;&gt;Lucas Luiz Romero")*(28/1083),IF(C1268="Técnico I",SUMIFS($D:$D,$A:$A,$A1268,$B:$B,"&lt;&gt;Patrícia Karla de Sousa Araújo",$B:$B,"&lt;&gt;Lorena Dias de Araujo",$B:$B,"&lt;&gt;Lucas Luiz Romero")*(23/1083),IF(C1268="JR",SUMIFS($D:$D,$A:$A,$A1268,$B:$B,"&lt;&gt;Patrícia Karla de Sousa Araújo",$B:$B,"&lt;&gt;Lorena Dias de Araujo",$B:$B,"&lt;&gt;Lucas Luiz Romero")*(20/1083),IF(C1268="Estágio",SUMIFS($D:$D,$A:$A,$A1268,$B:$B,"&lt;&gt;Patrícia Karla de Sousa Araújo",$B:$B,"&lt;&gt;Lorena Dias de Araujo",$B:$B,"&lt;&gt;Lucas Luiz Romero")*(10/1083),0)))))),0)</f>
        <v/>
      </c>
      <c r="K1268" s="3">
        <f>I1268-J1268</f>
        <v/>
      </c>
      <c r="L1268" s="3">
        <f>IF(K1268&lt;-5,"CRÍTICO",IF(K1268&lt;0,"ATENÇÃO",IF(K1268&lt;=5,"BOM","EXCELENTE")))</f>
        <v/>
      </c>
      <c r="M1268" t="n">
        <v>9</v>
      </c>
      <c r="N1268" t="n">
        <v>96.94</v>
      </c>
      <c r="O1268" t="n">
        <v>39.44954128440367</v>
      </c>
    </row>
    <row r="1269" hidden="1">
      <c r="A1269" s="11" t="n">
        <v>46041</v>
      </c>
      <c r="B1269" t="inlineStr">
        <is>
          <t>Damyllis Lorraine de Oliveira Gonçalves</t>
        </is>
      </c>
      <c r="C1269" t="inlineStr">
        <is>
          <t>Técnico II</t>
        </is>
      </c>
      <c r="D1269" t="n">
        <v>37</v>
      </c>
      <c r="E1269" t="n">
        <v>26</v>
      </c>
      <c r="F1269" t="n">
        <v>7.1</v>
      </c>
      <c r="G1269" t="n">
        <v>0</v>
      </c>
      <c r="H1269" t="n">
        <v>0</v>
      </c>
      <c r="I1269" s="3" t="n">
        <v>0</v>
      </c>
      <c r="J1269" s="3" t="n">
        <v>0</v>
      </c>
      <c r="K1269" s="3" t="n">
        <v>0</v>
      </c>
      <c r="L1269" s="3">
        <f>IF(K1269&lt;-5,"CRÍTICO",IF(K1269&lt;0,"ATENÇÃO",IF(K1269&lt;=5,"BOM","EXCELENTE")))</f>
        <v/>
      </c>
      <c r="M1269" t="n">
        <v>23</v>
      </c>
      <c r="N1269" t="n">
        <v>94.73999999999999</v>
      </c>
      <c r="O1269" t="n">
        <v>31.10236220472441</v>
      </c>
    </row>
    <row r="1270" hidden="1">
      <c r="A1270" s="11" t="n">
        <v>46041</v>
      </c>
      <c r="B1270" t="inlineStr">
        <is>
          <t>Daniel Gomes da Silva</t>
        </is>
      </c>
      <c r="C1270" t="inlineStr">
        <is>
          <t>Técnico I</t>
        </is>
      </c>
      <c r="D1270" t="n">
        <v>20</v>
      </c>
      <c r="E1270" t="n">
        <v>20</v>
      </c>
      <c r="F1270" t="n">
        <v>18.24</v>
      </c>
      <c r="G1270" t="n">
        <v>0</v>
      </c>
      <c r="H1270" t="n">
        <v>0</v>
      </c>
      <c r="I1270" s="3">
        <f>E1270+G1270+H1270</f>
        <v/>
      </c>
      <c r="J1270" s="3">
        <f>ROUND(MIN(IF(C1270="Técnico III",35,IF(C1270="Técnico II",28,IF(C1270="Técnico I",23,IF(C1270="JR",20,IF(C1270="Estágio",10,0))))),IF(C1270="Técnico III",SUMIFS($D:$D,$A:$A,$A1270,$B:$B,"&lt;&gt;Patrícia Karla de Sousa Araújo",$B:$B,"&lt;&gt;Lorena Dias de Araujo",$B:$B,"&lt;&gt;Lucas Luiz Romero")*(35/1083),IF(C1270="Técnico II",SUMIFS($D:$D,$A:$A,$A1270,$B:$B,"&lt;&gt;Patrícia Karla de Sousa Araújo",$B:$B,"&lt;&gt;Lorena Dias de Araujo",$B:$B,"&lt;&gt;Lucas Luiz Romero")*(28/1083),IF(C1270="Técnico I",SUMIFS($D:$D,$A:$A,$A1270,$B:$B,"&lt;&gt;Patrícia Karla de Sousa Araújo",$B:$B,"&lt;&gt;Lorena Dias de Araujo",$B:$B,"&lt;&gt;Lucas Luiz Romero")*(23/1083),IF(C1270="JR",SUMIFS($D:$D,$A:$A,$A1270,$B:$B,"&lt;&gt;Patrícia Karla de Sousa Araújo",$B:$B,"&lt;&gt;Lorena Dias de Araujo",$B:$B,"&lt;&gt;Lucas Luiz Romero")*(20/1083),IF(C1270="Estágio",SUMIFS($D:$D,$A:$A,$A1270,$B:$B,"&lt;&gt;Patrícia Karla de Sousa Araújo",$B:$B,"&lt;&gt;Lorena Dias de Araujo",$B:$B,"&lt;&gt;Lucas Luiz Romero")*(10/1083),0)))))),0)</f>
        <v/>
      </c>
      <c r="K1270" s="3">
        <f>I1270-J1270</f>
        <v/>
      </c>
      <c r="L1270" s="3">
        <f>IF(K1270&lt;-5,"CRÍTICO",IF(K1270&lt;0,"ATENÇÃO",IF(K1270&lt;=5,"BOM","EXCELENTE")))</f>
        <v/>
      </c>
      <c r="M1270" t="n">
        <v>23</v>
      </c>
      <c r="N1270" t="n">
        <v>100</v>
      </c>
      <c r="O1270" t="n">
        <v>27.75800711743772</v>
      </c>
    </row>
    <row r="1271" hidden="1">
      <c r="A1271" s="11" t="n">
        <v>46041</v>
      </c>
      <c r="B1271" t="inlineStr">
        <is>
          <t>Davylla Rodrigues Freitas Silva</t>
        </is>
      </c>
      <c r="C1271" t="inlineStr">
        <is>
          <t>Técnico III</t>
        </is>
      </c>
      <c r="D1271" t="n">
        <v>26</v>
      </c>
      <c r="E1271" t="n">
        <v>25</v>
      </c>
      <c r="F1271" t="n">
        <v>18.26</v>
      </c>
      <c r="G1271" t="n">
        <v>0</v>
      </c>
      <c r="H1271" t="n">
        <v>0</v>
      </c>
      <c r="I1271" s="3" t="n">
        <v>0</v>
      </c>
      <c r="J1271" s="3" t="n">
        <v>0</v>
      </c>
      <c r="K1271" s="3" t="n">
        <v>0</v>
      </c>
      <c r="L1271" s="3">
        <f>IF(K1271&lt;-5,"CRÍTICO",IF(K1271&lt;0,"ATENÇÃO",IF(K1271&lt;=5,"BOM","EXCELENTE")))</f>
        <v/>
      </c>
      <c r="M1271" t="n">
        <v>25</v>
      </c>
      <c r="N1271" t="n">
        <v>100</v>
      </c>
      <c r="O1271" t="n">
        <v>43.26241134751773</v>
      </c>
    </row>
    <row r="1272" hidden="1">
      <c r="A1272" s="11" t="n">
        <v>46041</v>
      </c>
      <c r="B1272" t="inlineStr">
        <is>
          <t>Emilly Caylane Costa</t>
        </is>
      </c>
      <c r="C1272" t="inlineStr">
        <is>
          <t>Estágio</t>
        </is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s="3" t="n">
        <v>0</v>
      </c>
      <c r="J1272" s="3" t="n">
        <v>0</v>
      </c>
      <c r="K1272" s="3" t="n">
        <v>0</v>
      </c>
      <c r="L1272" s="3">
        <f>IF(K1272&lt;-5,"CRÍTICO",IF(K1272&lt;0,"ATENÇÃO",IF(K1272&lt;=5,"BOM","EXCELENTE")))</f>
        <v/>
      </c>
      <c r="M1272" t="n">
        <v>0</v>
      </c>
      <c r="N1272" t="n">
        <v>0</v>
      </c>
      <c r="O1272" t="n">
        <v>0</v>
      </c>
    </row>
    <row r="1273" hidden="1">
      <c r="A1273" s="11" t="n">
        <v>46041</v>
      </c>
      <c r="B1273" t="inlineStr">
        <is>
          <t>Emilly Kamilly Medeiros Miranda</t>
        </is>
      </c>
      <c r="C1273" t="inlineStr">
        <is>
          <t>Técnico II</t>
        </is>
      </c>
      <c r="D1273" t="n">
        <v>28</v>
      </c>
      <c r="E1273" t="n">
        <v>26</v>
      </c>
      <c r="F1273" t="n">
        <v>19.18</v>
      </c>
      <c r="G1273" t="n">
        <v>0</v>
      </c>
      <c r="H1273" t="n">
        <v>0</v>
      </c>
      <c r="I1273" s="3">
        <f>E1273+G1273+H1273</f>
        <v/>
      </c>
      <c r="J1273" s="3">
        <f>ROUND(MIN(IF(C1273="Técnico III",35,IF(C1273="Técnico II",28,IF(C1273="Técnico I",23,IF(C1273="JR",20,IF(C1273="Estágio",10,0))))),IF(C1273="Técnico III",SUMIFS($D:$D,$A:$A,$A1273,$B:$B,"&lt;&gt;Patrícia Karla de Sousa Araújo",$B:$B,"&lt;&gt;Lorena Dias de Araujo",$B:$B,"&lt;&gt;Lucas Luiz Romero")*(35/1083),IF(C1273="Técnico II",SUMIFS($D:$D,$A:$A,$A1273,$B:$B,"&lt;&gt;Patrícia Karla de Sousa Araújo",$B:$B,"&lt;&gt;Lorena Dias de Araujo",$B:$B,"&lt;&gt;Lucas Luiz Romero")*(28/1083),IF(C1273="Técnico I",SUMIFS($D:$D,$A:$A,$A1273,$B:$B,"&lt;&gt;Patrícia Karla de Sousa Araújo",$B:$B,"&lt;&gt;Lorena Dias de Araujo",$B:$B,"&lt;&gt;Lucas Luiz Romero")*(23/1083),IF(C1273="JR",SUMIFS($D:$D,$A:$A,$A1273,$B:$B,"&lt;&gt;Patrícia Karla de Sousa Araújo",$B:$B,"&lt;&gt;Lorena Dias de Araujo",$B:$B,"&lt;&gt;Lucas Luiz Romero")*(20/1083),IF(C1273="Estágio",SUMIFS($D:$D,$A:$A,$A1273,$B:$B,"&lt;&gt;Patrícia Karla de Sousa Araújo",$B:$B,"&lt;&gt;Lorena Dias de Araujo",$B:$B,"&lt;&gt;Lucas Luiz Romero")*(10/1083),0)))))),0)</f>
        <v/>
      </c>
      <c r="K1273" s="3">
        <f>I1273-J1273</f>
        <v/>
      </c>
      <c r="L1273" s="3">
        <f>IF(K1273&lt;-5,"CRÍTICO",IF(K1273&lt;0,"ATENÇÃO",IF(K1273&lt;=5,"BOM","EXCELENTE")))</f>
        <v/>
      </c>
      <c r="M1273" t="n">
        <v>22</v>
      </c>
      <c r="N1273" t="n">
        <v>100</v>
      </c>
      <c r="O1273" t="n">
        <v>31.35313531353135</v>
      </c>
    </row>
    <row r="1274" hidden="1">
      <c r="A1274" s="11" t="n">
        <v>46041</v>
      </c>
      <c r="B1274" t="inlineStr">
        <is>
          <t>Francielson de Oliveira</t>
        </is>
      </c>
      <c r="C1274" t="inlineStr">
        <is>
          <t>Técnico III</t>
        </is>
      </c>
      <c r="D1274" t="n">
        <v>20</v>
      </c>
      <c r="E1274" t="n">
        <v>18</v>
      </c>
      <c r="F1274" t="n">
        <v>20.23</v>
      </c>
      <c r="G1274" t="n">
        <v>0</v>
      </c>
      <c r="H1274" t="n">
        <v>0</v>
      </c>
      <c r="I1274" s="3">
        <f>E1274+G1274+H1274</f>
        <v/>
      </c>
      <c r="J1274" s="3">
        <f>ROUND(MIN(IF(C1274="Técnico III",35,IF(C1274="Técnico II",28,IF(C1274="Técnico I",23,IF(C1274="JR",20,IF(C1274="Estágio",10,0))))),IF(C1274="Técnico III",SUMIFS($D:$D,$A:$A,$A1274,$B:$B,"&lt;&gt;Patrícia Karla de Sousa Araújo",$B:$B,"&lt;&gt;Lorena Dias de Araujo",$B:$B,"&lt;&gt;Lucas Luiz Romero")*(35/1083),IF(C1274="Técnico II",SUMIFS($D:$D,$A:$A,$A1274,$B:$B,"&lt;&gt;Patrícia Karla de Sousa Araújo",$B:$B,"&lt;&gt;Lorena Dias de Araujo",$B:$B,"&lt;&gt;Lucas Luiz Romero")*(28/1083),IF(C1274="Técnico I",SUMIFS($D:$D,$A:$A,$A1274,$B:$B,"&lt;&gt;Patrícia Karla de Sousa Araújo",$B:$B,"&lt;&gt;Lorena Dias de Araujo",$B:$B,"&lt;&gt;Lucas Luiz Romero")*(23/1083),IF(C1274="JR",SUMIFS($D:$D,$A:$A,$A1274,$B:$B,"&lt;&gt;Patrícia Karla de Sousa Araújo",$B:$B,"&lt;&gt;Lorena Dias de Araujo",$B:$B,"&lt;&gt;Lucas Luiz Romero")*(20/1083),IF(C1274="Estágio",SUMIFS($D:$D,$A:$A,$A1274,$B:$B,"&lt;&gt;Patrícia Karla de Sousa Araújo",$B:$B,"&lt;&gt;Lorena Dias de Araujo",$B:$B,"&lt;&gt;Lucas Luiz Romero")*(10/1083),0)))))),0)</f>
        <v/>
      </c>
      <c r="K1274" s="3">
        <f>I1274-J1274</f>
        <v/>
      </c>
      <c r="L1274" s="3">
        <f>IF(K1274&lt;-5,"CRÍTICO",IF(K1274&lt;0,"ATENÇÃO",IF(K1274&lt;=5,"BOM","EXCELENTE")))</f>
        <v/>
      </c>
      <c r="M1274" t="n">
        <v>18</v>
      </c>
      <c r="N1274" t="n">
        <v>100</v>
      </c>
      <c r="O1274" t="n">
        <v>32.20338983050847</v>
      </c>
    </row>
    <row r="1275" hidden="1">
      <c r="A1275" s="11" t="n">
        <v>46041</v>
      </c>
      <c r="B1275" t="inlineStr">
        <is>
          <t>Francilene Ferreira de Jesus</t>
        </is>
      </c>
      <c r="C1275" t="inlineStr">
        <is>
          <t>Técnico II</t>
        </is>
      </c>
      <c r="D1275" t="n">
        <v>20</v>
      </c>
      <c r="E1275" t="n">
        <v>18</v>
      </c>
      <c r="F1275" t="n">
        <v>30</v>
      </c>
      <c r="G1275" t="n">
        <v>0</v>
      </c>
      <c r="H1275" t="n">
        <v>0</v>
      </c>
      <c r="I1275" s="3">
        <f>E1275+G1275+H1275</f>
        <v/>
      </c>
      <c r="J1275" s="3">
        <f>ROUND(MIN(IF(C1275="Técnico III",35,IF(C1275="Técnico II",28,IF(C1275="Técnico I",23,IF(C1275="JR",20,IF(C1275="Estágio",10,0))))),IF(C1275="Técnico III",SUMIFS($D:$D,$A:$A,$A1275,$B:$B,"&lt;&gt;Patrícia Karla de Sousa Araújo",$B:$B,"&lt;&gt;Lorena Dias de Araujo",$B:$B,"&lt;&gt;Lucas Luiz Romero")*(35/1083),IF(C1275="Técnico II",SUMIFS($D:$D,$A:$A,$A1275,$B:$B,"&lt;&gt;Patrícia Karla de Sousa Araújo",$B:$B,"&lt;&gt;Lorena Dias de Araujo",$B:$B,"&lt;&gt;Lucas Luiz Romero")*(28/1083),IF(C1275="Técnico I",SUMIFS($D:$D,$A:$A,$A1275,$B:$B,"&lt;&gt;Patrícia Karla de Sousa Araújo",$B:$B,"&lt;&gt;Lorena Dias de Araujo",$B:$B,"&lt;&gt;Lucas Luiz Romero")*(23/1083),IF(C1275="JR",SUMIFS($D:$D,$A:$A,$A1275,$B:$B,"&lt;&gt;Patrícia Karla de Sousa Araújo",$B:$B,"&lt;&gt;Lorena Dias de Araujo",$B:$B,"&lt;&gt;Lucas Luiz Romero")*(20/1083),IF(C1275="Estágio",SUMIFS($D:$D,$A:$A,$A1275,$B:$B,"&lt;&gt;Patrícia Karla de Sousa Araújo",$B:$B,"&lt;&gt;Lorena Dias de Araujo",$B:$B,"&lt;&gt;Lucas Luiz Romero")*(10/1083),0)))))),0)</f>
        <v/>
      </c>
      <c r="K1275" s="3">
        <f>I1275-J1275</f>
        <v/>
      </c>
      <c r="L1275" s="3">
        <f>IF(K1275&lt;-5,"CRÍTICO",IF(K1275&lt;0,"ATENÇÃO",IF(K1275&lt;=5,"BOM","EXCELENTE")))</f>
        <v/>
      </c>
      <c r="M1275" t="n">
        <v>15</v>
      </c>
      <c r="N1275" t="n">
        <v>98.72</v>
      </c>
      <c r="O1275" t="n">
        <v>31.46067415730337</v>
      </c>
    </row>
    <row r="1276" hidden="1">
      <c r="A1276" s="11" t="n">
        <v>46073</v>
      </c>
      <c r="B1276" t="inlineStr">
        <is>
          <t>Gabriel Gomes de Andrade</t>
        </is>
      </c>
      <c r="C1276" t="inlineStr">
        <is>
          <t>Técnico I</t>
        </is>
      </c>
      <c r="D1276" t="n">
        <v>18</v>
      </c>
      <c r="E1276" t="n">
        <v>16</v>
      </c>
      <c r="F1276" t="n">
        <v>24.08</v>
      </c>
      <c r="G1276" t="n">
        <v>0</v>
      </c>
      <c r="H1276" t="n">
        <v>0</v>
      </c>
      <c r="I1276" s="3">
        <f>E1276+G1276+H1276</f>
        <v/>
      </c>
      <c r="J1276" s="3">
        <f>ROUND(MIN(IF(C1276="Técnico III",35,IF(C1276="Técnico II",28,IF(C1276="Técnico I",23,IF(C1276="JR",20,IF(C1276="Estágio",10,0))))),IF(C1276="Técnico III",SUMIFS($D:$D,$A:$A,$A1276,$B:$B,"&lt;&gt;Patrícia Karla de Sousa Araújo",$B:$B,"&lt;&gt;Lorena Dias de Araujo",$B:$B,"&lt;&gt;Lucas Luiz Romero")*(35/1083),IF(C1276="Técnico II",SUMIFS($D:$D,$A:$A,$A1276,$B:$B,"&lt;&gt;Patrícia Karla de Sousa Araújo",$B:$B,"&lt;&gt;Lorena Dias de Araujo",$B:$B,"&lt;&gt;Lucas Luiz Romero")*(28/1083),IF(C1276="Técnico I",SUMIFS($D:$D,$A:$A,$A1276,$B:$B,"&lt;&gt;Patrícia Karla de Sousa Araújo",$B:$B,"&lt;&gt;Lorena Dias de Araujo",$B:$B,"&lt;&gt;Lucas Luiz Romero")*(23/1083),IF(C1276="JR",SUMIFS($D:$D,$A:$A,$A1276,$B:$B,"&lt;&gt;Patrícia Karla de Sousa Araújo",$B:$B,"&lt;&gt;Lorena Dias de Araujo",$B:$B,"&lt;&gt;Lucas Luiz Romero")*(20/1083),IF(C1276="Estágio",SUMIFS($D:$D,$A:$A,$A1276,$B:$B,"&lt;&gt;Patrícia Karla de Sousa Araújo",$B:$B,"&lt;&gt;Lorena Dias de Araujo",$B:$B,"&lt;&gt;Lucas Luiz Romero")*(10/1083),0)))))),0)</f>
        <v/>
      </c>
      <c r="K1276" s="3">
        <f>I1276-J1276</f>
        <v/>
      </c>
      <c r="L1276" s="3">
        <f>IF(K1276&lt;-5,"CRÍTICO",IF(K1276&lt;0,"ATENÇÃO",IF(K1276&lt;=5,"BOM","EXCELENTE")))</f>
        <v/>
      </c>
      <c r="N1276" t="n">
        <v>96.67</v>
      </c>
      <c r="O1276" t="n">
        <v>31.45161290322581</v>
      </c>
    </row>
    <row r="1277" hidden="1">
      <c r="A1277" s="11" t="n">
        <v>46041</v>
      </c>
      <c r="B1277" t="inlineStr">
        <is>
          <t>Isabella Borges de Oliveira</t>
        </is>
      </c>
      <c r="C1277" t="inlineStr">
        <is>
          <t>Técnico II</t>
        </is>
      </c>
      <c r="D1277" t="n">
        <v>20</v>
      </c>
      <c r="E1277" t="n">
        <v>20</v>
      </c>
      <c r="F1277" t="n">
        <v>29.11</v>
      </c>
      <c r="G1277" t="n">
        <v>0</v>
      </c>
      <c r="H1277" t="n">
        <v>0</v>
      </c>
      <c r="I1277" s="3">
        <f>E1277+G1277+H1277</f>
        <v/>
      </c>
      <c r="J1277" s="3">
        <f>ROUND(MIN(IF(C1277="Técnico III",35,IF(C1277="Técnico II",28,IF(C1277="Técnico I",23,IF(C1277="JR",20,IF(C1277="Estágio",10,0))))),IF(C1277="Técnico III",SUMIFS($D:$D,$A:$A,$A1277,$B:$B,"&lt;&gt;Patrícia Karla de Sousa Araújo",$B:$B,"&lt;&gt;Lorena Dias de Araujo",$B:$B,"&lt;&gt;Lucas Luiz Romero")*(35/1083),IF(C1277="Técnico II",SUMIFS($D:$D,$A:$A,$A1277,$B:$B,"&lt;&gt;Patrícia Karla de Sousa Araújo",$B:$B,"&lt;&gt;Lorena Dias de Araujo",$B:$B,"&lt;&gt;Lucas Luiz Romero")*(28/1083),IF(C1277="Técnico I",SUMIFS($D:$D,$A:$A,$A1277,$B:$B,"&lt;&gt;Patrícia Karla de Sousa Araújo",$B:$B,"&lt;&gt;Lorena Dias de Araujo",$B:$B,"&lt;&gt;Lucas Luiz Romero")*(23/1083),IF(C1277="JR",SUMIFS($D:$D,$A:$A,$A1277,$B:$B,"&lt;&gt;Patrícia Karla de Sousa Araújo",$B:$B,"&lt;&gt;Lorena Dias de Araujo",$B:$B,"&lt;&gt;Lucas Luiz Romero")*(20/1083),IF(C1277="Estágio",SUMIFS($D:$D,$A:$A,$A1277,$B:$B,"&lt;&gt;Patrícia Karla de Sousa Araújo",$B:$B,"&lt;&gt;Lorena Dias de Araujo",$B:$B,"&lt;&gt;Lucas Luiz Romero")*(10/1083),0)))))),0)</f>
        <v/>
      </c>
      <c r="K1277" s="3">
        <f>I1277-J1277</f>
        <v/>
      </c>
      <c r="L1277" s="3">
        <f>IF(K1277&lt;-5,"CRÍTICO",IF(K1277&lt;0,"ATENÇÃO",IF(K1277&lt;=5,"BOM","EXCELENTE")))</f>
        <v/>
      </c>
      <c r="M1277" t="n">
        <v>18</v>
      </c>
      <c r="N1277" t="n">
        <v>100</v>
      </c>
      <c r="O1277" t="n">
        <v>28.51985559566787</v>
      </c>
    </row>
    <row r="1278" hidden="1">
      <c r="A1278" s="11" t="n">
        <v>46041</v>
      </c>
      <c r="B1278" t="inlineStr">
        <is>
          <t>Janaina Lima dos Reis Urany</t>
        </is>
      </c>
      <c r="C1278" t="inlineStr">
        <is>
          <t>Técnico III</t>
        </is>
      </c>
      <c r="D1278" t="n">
        <v>32</v>
      </c>
      <c r="E1278" t="n">
        <v>26</v>
      </c>
      <c r="F1278" t="n">
        <v>12.26</v>
      </c>
      <c r="G1278" t="n">
        <v>0</v>
      </c>
      <c r="H1278" t="n">
        <v>0</v>
      </c>
      <c r="I1278" s="3">
        <f>E1278+G1278+H1278</f>
        <v/>
      </c>
      <c r="J1278" s="3">
        <f>ROUND(MIN(IF(C1278="Técnico III",35,IF(C1278="Técnico II",28,IF(C1278="Técnico I",23,IF(C1278="JR",20,IF(C1278="Estágio",10,0))))),IF(C1278="Técnico III",SUMIFS($D:$D,$A:$A,$A1278,$B:$B,"&lt;&gt;Patrícia Karla de Sousa Araújo",$B:$B,"&lt;&gt;Lorena Dias de Araujo",$B:$B,"&lt;&gt;Lucas Luiz Romero")*(35/1083),IF(C1278="Técnico II",SUMIFS($D:$D,$A:$A,$A1278,$B:$B,"&lt;&gt;Patrícia Karla de Sousa Araújo",$B:$B,"&lt;&gt;Lorena Dias de Araujo",$B:$B,"&lt;&gt;Lucas Luiz Romero")*(28/1083),IF(C1278="Técnico I",SUMIFS($D:$D,$A:$A,$A1278,$B:$B,"&lt;&gt;Patrícia Karla de Sousa Araújo",$B:$B,"&lt;&gt;Lorena Dias de Araujo",$B:$B,"&lt;&gt;Lucas Luiz Romero")*(23/1083),IF(C1278="JR",SUMIFS($D:$D,$A:$A,$A1278,$B:$B,"&lt;&gt;Patrícia Karla de Sousa Araújo",$B:$B,"&lt;&gt;Lorena Dias de Araujo",$B:$B,"&lt;&gt;Lucas Luiz Romero")*(20/1083),IF(C1278="Estágio",SUMIFS($D:$D,$A:$A,$A1278,$B:$B,"&lt;&gt;Patrícia Karla de Sousa Araújo",$B:$B,"&lt;&gt;Lorena Dias de Araujo",$B:$B,"&lt;&gt;Lucas Luiz Romero")*(10/1083),0)))))),0)</f>
        <v/>
      </c>
      <c r="K1278" s="3">
        <f>I1278-J1278</f>
        <v/>
      </c>
      <c r="L1278" s="3">
        <f>IF(K1278&lt;-5,"CRÍTICO",IF(K1278&lt;0,"ATENÇÃO",IF(K1278&lt;=5,"BOM","EXCELENTE")))</f>
        <v/>
      </c>
      <c r="M1278" t="n">
        <v>30</v>
      </c>
      <c r="N1278" t="n">
        <v>100</v>
      </c>
      <c r="O1278" t="n">
        <v>30.65217391304348</v>
      </c>
    </row>
    <row r="1279" hidden="1">
      <c r="A1279" s="11" t="n">
        <v>46041</v>
      </c>
      <c r="B1279" t="inlineStr">
        <is>
          <t>Jaqueline Evangelista da Silva Martins</t>
        </is>
      </c>
      <c r="C1279" t="inlineStr">
        <is>
          <t>Técnico III</t>
        </is>
      </c>
      <c r="D1279" t="n">
        <v>19</v>
      </c>
      <c r="E1279" t="n">
        <v>17</v>
      </c>
      <c r="F1279" t="n">
        <v>8.359999999999999</v>
      </c>
      <c r="G1279" t="n">
        <v>0</v>
      </c>
      <c r="H1279" t="n">
        <v>0</v>
      </c>
      <c r="I1279" s="3">
        <f>E1279+G1279+H1279</f>
        <v/>
      </c>
      <c r="J1279" s="3">
        <f>ROUND(MIN(IF(C1279="Técnico III",35,IF(C1279="Técnico II",28,IF(C1279="Técnico I",23,IF(C1279="JR",20,IF(C1279="Estágio",10,0))))),IF(C1279="Técnico III",SUMIFS($D:$D,$A:$A,$A1279,$B:$B,"&lt;&gt;Patrícia Karla de Sousa Araújo",$B:$B,"&lt;&gt;Lorena Dias de Araujo",$B:$B,"&lt;&gt;Lucas Luiz Romero")*(35/1083),IF(C1279="Técnico II",SUMIFS($D:$D,$A:$A,$A1279,$B:$B,"&lt;&gt;Patrícia Karla de Sousa Araújo",$B:$B,"&lt;&gt;Lorena Dias de Araujo",$B:$B,"&lt;&gt;Lucas Luiz Romero")*(28/1083),IF(C1279="Técnico I",SUMIFS($D:$D,$A:$A,$A1279,$B:$B,"&lt;&gt;Patrícia Karla de Sousa Araújo",$B:$B,"&lt;&gt;Lorena Dias de Araujo",$B:$B,"&lt;&gt;Lucas Luiz Romero")*(23/1083),IF(C1279="JR",SUMIFS($D:$D,$A:$A,$A1279,$B:$B,"&lt;&gt;Patrícia Karla de Sousa Araújo",$B:$B,"&lt;&gt;Lorena Dias de Araujo",$B:$B,"&lt;&gt;Lucas Luiz Romero")*(20/1083),IF(C1279="Estágio",SUMIFS($D:$D,$A:$A,$A1279,$B:$B,"&lt;&gt;Patrícia Karla de Sousa Araújo",$B:$B,"&lt;&gt;Lorena Dias de Araujo",$B:$B,"&lt;&gt;Lucas Luiz Romero")*(10/1083),0)))))),0)</f>
        <v/>
      </c>
      <c r="K1279" s="3">
        <f>I1279-J1279</f>
        <v/>
      </c>
      <c r="L1279" s="3">
        <f>IF(K1279&lt;-5,"CRÍTICO",IF(K1279&lt;0,"ATENÇÃO",IF(K1279&lt;=5,"BOM","EXCELENTE")))</f>
        <v/>
      </c>
      <c r="M1279" t="n">
        <v>16</v>
      </c>
      <c r="N1279" t="n">
        <v>100</v>
      </c>
      <c r="O1279" t="n">
        <v>28.72340425531915</v>
      </c>
    </row>
    <row r="1280" hidden="1">
      <c r="A1280" s="11" t="n">
        <v>46041</v>
      </c>
      <c r="B1280" t="inlineStr">
        <is>
          <t>Jessica Faria da Silveira</t>
        </is>
      </c>
      <c r="C1280" t="inlineStr">
        <is>
          <t>Técnico II</t>
        </is>
      </c>
      <c r="D1280" t="n">
        <v>29</v>
      </c>
      <c r="E1280" t="n">
        <v>23</v>
      </c>
      <c r="F1280" t="n">
        <v>16.44</v>
      </c>
      <c r="G1280" t="n">
        <v>0</v>
      </c>
      <c r="H1280" t="n">
        <v>0</v>
      </c>
      <c r="I1280" s="3">
        <f>E1280+G1280+H1280</f>
        <v/>
      </c>
      <c r="J1280" s="3">
        <f>ROUND(MIN(IF(C1280="Técnico III",35,IF(C1280="Técnico II",28,IF(C1280="Técnico I",23,IF(C1280="JR",20,IF(C1280="Estágio",10,0))))),IF(C1280="Técnico III",SUMIFS($D:$D,$A:$A,$A1280,$B:$B,"&lt;&gt;Patrícia Karla de Sousa Araújo",$B:$B,"&lt;&gt;Lorena Dias de Araujo",$B:$B,"&lt;&gt;Lucas Luiz Romero")*(35/1083),IF(C1280="Técnico II",SUMIFS($D:$D,$A:$A,$A1280,$B:$B,"&lt;&gt;Patrícia Karla de Sousa Araújo",$B:$B,"&lt;&gt;Lorena Dias de Araujo",$B:$B,"&lt;&gt;Lucas Luiz Romero")*(28/1083),IF(C1280="Técnico I",SUMIFS($D:$D,$A:$A,$A1280,$B:$B,"&lt;&gt;Patrícia Karla de Sousa Araújo",$B:$B,"&lt;&gt;Lorena Dias de Araujo",$B:$B,"&lt;&gt;Lucas Luiz Romero")*(23/1083),IF(C1280="JR",SUMIFS($D:$D,$A:$A,$A1280,$B:$B,"&lt;&gt;Patrícia Karla de Sousa Araújo",$B:$B,"&lt;&gt;Lorena Dias de Araujo",$B:$B,"&lt;&gt;Lucas Luiz Romero")*(20/1083),IF(C1280="Estágio",SUMIFS($D:$D,$A:$A,$A1280,$B:$B,"&lt;&gt;Patrícia Karla de Sousa Araújo",$B:$B,"&lt;&gt;Lorena Dias de Araujo",$B:$B,"&lt;&gt;Lucas Luiz Romero")*(10/1083),0)))))),0)</f>
        <v/>
      </c>
      <c r="K1280" s="3">
        <f>I1280-J1280</f>
        <v/>
      </c>
      <c r="L1280" s="3">
        <f>IF(K1280&lt;-5,"CRÍTICO",IF(K1280&lt;0,"ATENÇÃO",IF(K1280&lt;=5,"BOM","EXCELENTE")))</f>
        <v/>
      </c>
      <c r="M1280" t="n">
        <v>18</v>
      </c>
      <c r="N1280" t="n">
        <v>96</v>
      </c>
      <c r="O1280" t="n">
        <v>26.96629213483146</v>
      </c>
    </row>
    <row r="1281" hidden="1">
      <c r="A1281" s="11" t="n">
        <v>46041</v>
      </c>
      <c r="B1281" t="inlineStr">
        <is>
          <t>Jéssica Fé Moura</t>
        </is>
      </c>
      <c r="C1281" t="inlineStr">
        <is>
          <t>Técnico III</t>
        </is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s="3" t="n">
        <v>0</v>
      </c>
      <c r="J1281" s="3" t="n">
        <v>0</v>
      </c>
      <c r="K1281" s="3" t="n">
        <v>0</v>
      </c>
      <c r="L1281" s="3">
        <f>IF(K1281&lt;-5,"CRÍTICO",IF(K1281&lt;0,"ATENÇÃO",IF(K1281&lt;=5,"BOM","EXCELENTE")))</f>
        <v/>
      </c>
      <c r="M1281" t="n">
        <v>7</v>
      </c>
      <c r="N1281" t="n">
        <v>100</v>
      </c>
      <c r="O1281" t="n">
        <v>33.98058252427185</v>
      </c>
    </row>
    <row r="1282" hidden="1">
      <c r="A1282" s="11" t="n">
        <v>46041</v>
      </c>
      <c r="B1282" t="inlineStr">
        <is>
          <t>Karina Gonçalves Martins</t>
        </is>
      </c>
      <c r="C1282" t="inlineStr">
        <is>
          <t>JR</t>
        </is>
      </c>
      <c r="D1282" t="n">
        <v>16</v>
      </c>
      <c r="E1282" t="n">
        <v>15</v>
      </c>
      <c r="F1282" t="n">
        <v>35.01</v>
      </c>
      <c r="G1282" t="n">
        <v>0</v>
      </c>
      <c r="H1282" t="n">
        <v>0</v>
      </c>
      <c r="I1282" s="3">
        <f>E1282+G1282+H1282</f>
        <v/>
      </c>
      <c r="J1282" s="3">
        <f>ROUND(MIN(IF(C1282="Técnico III",35,IF(C1282="Técnico II",28,IF(C1282="Técnico I",23,IF(C1282="JR",20,IF(C1282="Estágio",10,0))))),IF(C1282="Técnico III",SUMIFS($D:$D,$A:$A,$A1282,$B:$B,"&lt;&gt;Patrícia Karla de Sousa Araújo",$B:$B,"&lt;&gt;Lorena Dias de Araujo",$B:$B,"&lt;&gt;Lucas Luiz Romero")*(35/1083),IF(C1282="Técnico II",SUMIFS($D:$D,$A:$A,$A1282,$B:$B,"&lt;&gt;Patrícia Karla de Sousa Araújo",$B:$B,"&lt;&gt;Lorena Dias de Araujo",$B:$B,"&lt;&gt;Lucas Luiz Romero")*(28/1083),IF(C1282="Técnico I",SUMIFS($D:$D,$A:$A,$A1282,$B:$B,"&lt;&gt;Patrícia Karla de Sousa Araújo",$B:$B,"&lt;&gt;Lorena Dias de Araujo",$B:$B,"&lt;&gt;Lucas Luiz Romero")*(23/1083),IF(C1282="JR",SUMIFS($D:$D,$A:$A,$A1282,$B:$B,"&lt;&gt;Patrícia Karla de Sousa Araújo",$B:$B,"&lt;&gt;Lorena Dias de Araujo",$B:$B,"&lt;&gt;Lucas Luiz Romero")*(20/1083),IF(C1282="Estágio",SUMIFS($D:$D,$A:$A,$A1282,$B:$B,"&lt;&gt;Patrícia Karla de Sousa Araújo",$B:$B,"&lt;&gt;Lorena Dias de Araujo",$B:$B,"&lt;&gt;Lucas Luiz Romero")*(10/1083),0)))))),0)</f>
        <v/>
      </c>
      <c r="K1282" s="3">
        <f>I1282-J1282</f>
        <v/>
      </c>
      <c r="L1282" s="3">
        <f>IF(K1282&lt;-5,"CRÍTICO",IF(K1282&lt;0,"ATENÇÃO",IF(K1282&lt;=5,"BOM","EXCELENTE")))</f>
        <v/>
      </c>
      <c r="M1282" t="n">
        <v>12</v>
      </c>
      <c r="N1282" t="n">
        <v>100</v>
      </c>
      <c r="O1282" t="n">
        <v>31.86813186813187</v>
      </c>
    </row>
    <row r="1283" hidden="1">
      <c r="A1283" s="11" t="n">
        <v>46041</v>
      </c>
      <c r="B1283" t="inlineStr">
        <is>
          <t>Kerollen Cristielly de Jesus Siqueira</t>
        </is>
      </c>
      <c r="C1283" t="inlineStr">
        <is>
          <t>Técnico III</t>
        </is>
      </c>
      <c r="D1283" t="n">
        <v>18</v>
      </c>
      <c r="E1283" t="n">
        <v>15</v>
      </c>
      <c r="F1283" t="n">
        <v>20.38</v>
      </c>
      <c r="G1283" t="n">
        <v>0</v>
      </c>
      <c r="H1283" t="n">
        <v>0</v>
      </c>
      <c r="I1283" s="3">
        <f>E1283+G1283+H1283</f>
        <v/>
      </c>
      <c r="J1283" s="3">
        <f>ROUND(MIN(IF(C1283="Técnico III",35,IF(C1283="Técnico II",28,IF(C1283="Técnico I",23,IF(C1283="JR",20,IF(C1283="Estágio",10,0))))),IF(C1283="Técnico III",SUMIFS($D:$D,$A:$A,$A1283,$B:$B,"&lt;&gt;Patrícia Karla de Sousa Araújo",$B:$B,"&lt;&gt;Lorena Dias de Araujo",$B:$B,"&lt;&gt;Lucas Luiz Romero")*(35/1083),IF(C1283="Técnico II",SUMIFS($D:$D,$A:$A,$A1283,$B:$B,"&lt;&gt;Patrícia Karla de Sousa Araújo",$B:$B,"&lt;&gt;Lorena Dias de Araujo",$B:$B,"&lt;&gt;Lucas Luiz Romero")*(28/1083),IF(C1283="Técnico I",SUMIFS($D:$D,$A:$A,$A1283,$B:$B,"&lt;&gt;Patrícia Karla de Sousa Araújo",$B:$B,"&lt;&gt;Lorena Dias de Araujo",$B:$B,"&lt;&gt;Lucas Luiz Romero")*(23/1083),IF(C1283="JR",SUMIFS($D:$D,$A:$A,$A1283,$B:$B,"&lt;&gt;Patrícia Karla de Sousa Araújo",$B:$B,"&lt;&gt;Lorena Dias de Araujo",$B:$B,"&lt;&gt;Lucas Luiz Romero")*(20/1083),IF(C1283="Estágio",SUMIFS($D:$D,$A:$A,$A1283,$B:$B,"&lt;&gt;Patrícia Karla de Sousa Araújo",$B:$B,"&lt;&gt;Lorena Dias de Araujo",$B:$B,"&lt;&gt;Lucas Luiz Romero")*(10/1083),0)))))),0)</f>
        <v/>
      </c>
      <c r="K1283" s="3">
        <f>I1283-J1283</f>
        <v/>
      </c>
      <c r="L1283" s="3">
        <f>IF(K1283&lt;-5,"CRÍTICO",IF(K1283&lt;0,"ATENÇÃO",IF(K1283&lt;=5,"BOM","EXCELENTE")))</f>
        <v/>
      </c>
      <c r="M1283" t="n">
        <v>18</v>
      </c>
      <c r="N1283" t="n">
        <v>97.22</v>
      </c>
      <c r="O1283" t="n">
        <v>42.1875</v>
      </c>
    </row>
    <row r="1284" hidden="1">
      <c r="A1284" s="11" t="n">
        <v>46041</v>
      </c>
      <c r="B1284" t="inlineStr">
        <is>
          <t>Leandro de Souza Silva</t>
        </is>
      </c>
      <c r="C1284" t="inlineStr">
        <is>
          <t>JR</t>
        </is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s="3" t="n">
        <v>0</v>
      </c>
      <c r="J1284" s="3" t="n">
        <v>0</v>
      </c>
      <c r="K1284" s="3" t="n">
        <v>0</v>
      </c>
      <c r="L1284" s="3">
        <f>IF(K1284&lt;-5,"CRÍTICO",IF(K1284&lt;0,"ATENÇÃO",IF(K1284&lt;=5,"BOM","EXCELENTE")))</f>
        <v/>
      </c>
      <c r="M1284" t="n">
        <v>0</v>
      </c>
      <c r="N1284" t="n">
        <v>0</v>
      </c>
      <c r="O1284" t="n">
        <v>0</v>
      </c>
    </row>
    <row r="1285" hidden="1">
      <c r="A1285" s="11" t="n">
        <v>46041</v>
      </c>
      <c r="B1285" t="inlineStr">
        <is>
          <t>Leandro Oliveira de Sousa</t>
        </is>
      </c>
      <c r="C1285" t="inlineStr">
        <is>
          <t>Técnico III</t>
        </is>
      </c>
      <c r="D1285" t="n">
        <v>27</v>
      </c>
      <c r="E1285" t="n">
        <v>23</v>
      </c>
      <c r="F1285" t="n">
        <v>15.25</v>
      </c>
      <c r="G1285" t="n">
        <v>0</v>
      </c>
      <c r="H1285" t="n">
        <v>0</v>
      </c>
      <c r="I1285" s="3">
        <f>E1285+G1285+H1285</f>
        <v/>
      </c>
      <c r="J1285" s="3">
        <f>ROUND(MIN(IF(C1285="Técnico III",35,IF(C1285="Técnico II",28,IF(C1285="Técnico I",23,IF(C1285="JR",20,IF(C1285="Estágio",10,0))))),IF(C1285="Técnico III",SUMIFS($D:$D,$A:$A,$A1285,$B:$B,"&lt;&gt;Patrícia Karla de Sousa Araújo",$B:$B,"&lt;&gt;Lorena Dias de Araujo",$B:$B,"&lt;&gt;Lucas Luiz Romero")*(35/1083),IF(C1285="Técnico II",SUMIFS($D:$D,$A:$A,$A1285,$B:$B,"&lt;&gt;Patrícia Karla de Sousa Araújo",$B:$B,"&lt;&gt;Lorena Dias de Araujo",$B:$B,"&lt;&gt;Lucas Luiz Romero")*(28/1083),IF(C1285="Técnico I",SUMIFS($D:$D,$A:$A,$A1285,$B:$B,"&lt;&gt;Patrícia Karla de Sousa Araújo",$B:$B,"&lt;&gt;Lorena Dias de Araujo",$B:$B,"&lt;&gt;Lucas Luiz Romero")*(23/1083),IF(C1285="JR",SUMIFS($D:$D,$A:$A,$A1285,$B:$B,"&lt;&gt;Patrícia Karla de Sousa Araújo",$B:$B,"&lt;&gt;Lorena Dias de Araujo",$B:$B,"&lt;&gt;Lucas Luiz Romero")*(20/1083),IF(C1285="Estágio",SUMIFS($D:$D,$A:$A,$A1285,$B:$B,"&lt;&gt;Patrícia Karla de Sousa Araújo",$B:$B,"&lt;&gt;Lorena Dias de Araujo",$B:$B,"&lt;&gt;Lucas Luiz Romero")*(10/1083),0)))))),0)</f>
        <v/>
      </c>
      <c r="K1285" s="3">
        <f>I1285-J1285</f>
        <v/>
      </c>
      <c r="L1285" s="3">
        <f>IF(K1285&lt;-5,"CRÍTICO",IF(K1285&lt;0,"ATENÇÃO",IF(K1285&lt;=5,"BOM","EXCELENTE")))</f>
        <v/>
      </c>
      <c r="M1285" t="n">
        <v>22</v>
      </c>
      <c r="N1285" t="n">
        <v>100</v>
      </c>
      <c r="O1285" t="n">
        <v>27.66666666666667</v>
      </c>
    </row>
    <row r="1286" hidden="1">
      <c r="A1286" s="11" t="n">
        <v>46041</v>
      </c>
      <c r="B1286" t="inlineStr">
        <is>
          <t>Lizandra Gomes Duarte</t>
        </is>
      </c>
      <c r="C1286" t="inlineStr">
        <is>
          <t>Técnico II</t>
        </is>
      </c>
      <c r="D1286" t="n">
        <v>27</v>
      </c>
      <c r="E1286" t="n">
        <v>24</v>
      </c>
      <c r="F1286" t="n">
        <v>17.32</v>
      </c>
      <c r="G1286" t="n">
        <v>0</v>
      </c>
      <c r="H1286" t="n">
        <v>0</v>
      </c>
      <c r="I1286" s="3">
        <f>E1286+G1286+H1286</f>
        <v/>
      </c>
      <c r="J1286" s="3">
        <f>ROUND(MIN(IF(C1286="Técnico III",35,IF(C1286="Técnico II",28,IF(C1286="Técnico I",23,IF(C1286="JR",20,IF(C1286="Estágio",10,0))))),IF(C1286="Técnico III",SUMIFS($D:$D,$A:$A,$A1286,$B:$B,"&lt;&gt;Patrícia Karla de Sousa Araújo",$B:$B,"&lt;&gt;Lorena Dias de Araujo",$B:$B,"&lt;&gt;Lucas Luiz Romero")*(35/1083),IF(C1286="Técnico II",SUMIFS($D:$D,$A:$A,$A1286,$B:$B,"&lt;&gt;Patrícia Karla de Sousa Araújo",$B:$B,"&lt;&gt;Lorena Dias de Araujo",$B:$B,"&lt;&gt;Lucas Luiz Romero")*(28/1083),IF(C1286="Técnico I",SUMIFS($D:$D,$A:$A,$A1286,$B:$B,"&lt;&gt;Patrícia Karla de Sousa Araújo",$B:$B,"&lt;&gt;Lorena Dias de Araujo",$B:$B,"&lt;&gt;Lucas Luiz Romero")*(23/1083),IF(C1286="JR",SUMIFS($D:$D,$A:$A,$A1286,$B:$B,"&lt;&gt;Patrícia Karla de Sousa Araújo",$B:$B,"&lt;&gt;Lorena Dias de Araujo",$B:$B,"&lt;&gt;Lucas Luiz Romero")*(20/1083),IF(C1286="Estágio",SUMIFS($D:$D,$A:$A,$A1286,$B:$B,"&lt;&gt;Patrícia Karla de Sousa Araújo",$B:$B,"&lt;&gt;Lorena Dias de Araujo",$B:$B,"&lt;&gt;Lucas Luiz Romero")*(10/1083),0)))))),0)</f>
        <v/>
      </c>
      <c r="K1286" s="3">
        <f>I1286-J1286</f>
        <v/>
      </c>
      <c r="L1286" s="3">
        <f>IF(K1286&lt;-5,"CRÍTICO",IF(K1286&lt;0,"ATENÇÃO",IF(K1286&lt;=5,"BOM","EXCELENTE")))</f>
        <v/>
      </c>
      <c r="M1286" t="n">
        <v>23</v>
      </c>
      <c r="N1286" t="n">
        <v>100</v>
      </c>
      <c r="O1286" t="n">
        <v>34.65703971119133</v>
      </c>
    </row>
    <row r="1287" hidden="1">
      <c r="A1287" s="11" t="n">
        <v>46041</v>
      </c>
      <c r="B1287" t="inlineStr">
        <is>
          <t>Lorena Dias de Araujo</t>
        </is>
      </c>
      <c r="C1287" t="inlineStr">
        <is>
          <t>Técnico II</t>
        </is>
      </c>
      <c r="D1287" t="n">
        <v>15</v>
      </c>
      <c r="E1287" t="n">
        <v>13</v>
      </c>
      <c r="F1287" t="n">
        <v>12.11</v>
      </c>
      <c r="G1287" t="n">
        <v>0</v>
      </c>
      <c r="H1287" t="n">
        <v>0</v>
      </c>
      <c r="I1287" s="3" t="n">
        <v>0</v>
      </c>
      <c r="J1287" s="3" t="n">
        <v>0</v>
      </c>
      <c r="K1287" s="3" t="n">
        <v>0</v>
      </c>
      <c r="L1287" s="3">
        <f>IF(K1287&lt;-5,"CRÍTICO",IF(K1287&lt;0,"ATENÇÃO",IF(K1287&lt;=5,"BOM","EXCELENTE")))</f>
        <v/>
      </c>
      <c r="M1287" t="n">
        <v>11</v>
      </c>
      <c r="N1287" t="n">
        <v>100</v>
      </c>
      <c r="O1287" t="n">
        <v>29.05982905982906</v>
      </c>
    </row>
    <row r="1288" hidden="1">
      <c r="A1288" s="11" t="n">
        <v>46041</v>
      </c>
      <c r="B1288" t="inlineStr">
        <is>
          <t>Lucas Luiz Romero</t>
        </is>
      </c>
      <c r="C1288" t="inlineStr">
        <is>
          <t>Técnico III</t>
        </is>
      </c>
      <c r="D1288" t="n">
        <v>37</v>
      </c>
      <c r="E1288" t="n">
        <v>27</v>
      </c>
      <c r="F1288" t="n">
        <v>9</v>
      </c>
      <c r="G1288" t="n">
        <v>0</v>
      </c>
      <c r="H1288" t="n">
        <v>0</v>
      </c>
      <c r="I1288" s="3">
        <f>E1288+G1288+H1288</f>
        <v/>
      </c>
      <c r="J1288" s="3">
        <f>ROUND(MIN(IF(C1288="Técnico III",35,IF(C1288="Técnico II",28,IF(C1288="Técnico I",23,IF(C1288="JR",20,IF(C1288="Estágio",10,0))))),IF(C1288="Técnico III",SUMIFS($D:$D,$A:$A,$A1288,$B:$B,"&lt;&gt;Patrícia Karla de Sousa Araújo",$B:$B,"&lt;&gt;Lorena Dias de Araujo",$B:$B,"&lt;&gt;Lucas Luiz Romero")*(35/1083),IF(C1288="Técnico II",SUMIFS($D:$D,$A:$A,$A1288,$B:$B,"&lt;&gt;Patrícia Karla de Sousa Araújo",$B:$B,"&lt;&gt;Lorena Dias de Araujo",$B:$B,"&lt;&gt;Lucas Luiz Romero")*(28/1083),IF(C1288="Técnico I",SUMIFS($D:$D,$A:$A,$A1288,$B:$B,"&lt;&gt;Patrícia Karla de Sousa Araújo",$B:$B,"&lt;&gt;Lorena Dias de Araujo",$B:$B,"&lt;&gt;Lucas Luiz Romero")*(23/1083),IF(C1288="JR",SUMIFS($D:$D,$A:$A,$A1288,$B:$B,"&lt;&gt;Patrícia Karla de Sousa Araújo",$B:$B,"&lt;&gt;Lorena Dias de Araujo",$B:$B,"&lt;&gt;Lucas Luiz Romero")*(20/1083),IF(C1288="Estágio",SUMIFS($D:$D,$A:$A,$A1288,$B:$B,"&lt;&gt;Patrícia Karla de Sousa Araújo",$B:$B,"&lt;&gt;Lorena Dias de Araujo",$B:$B,"&lt;&gt;Lucas Luiz Romero")*(10/1083),0)))))),0)</f>
        <v/>
      </c>
      <c r="K1288" s="3">
        <f>I1288-J1288</f>
        <v/>
      </c>
      <c r="L1288" s="3">
        <f>IF(K1288&lt;-5,"CRÍTICO",IF(K1288&lt;0,"ATENÇÃO",IF(K1288&lt;=5,"BOM","EXCELENTE")))</f>
        <v/>
      </c>
      <c r="M1288" t="n">
        <v>17</v>
      </c>
      <c r="N1288" t="n">
        <v>98.33</v>
      </c>
      <c r="O1288" t="n">
        <v>25.91463414634146</v>
      </c>
    </row>
    <row r="1289" hidden="1">
      <c r="A1289" s="11" t="n">
        <v>46041</v>
      </c>
      <c r="B1289" t="inlineStr">
        <is>
          <t>Luiz Fernando de Carvalho Junior</t>
        </is>
      </c>
      <c r="C1289" t="inlineStr">
        <is>
          <t>Técnico I</t>
        </is>
      </c>
      <c r="D1289" t="n">
        <v>20</v>
      </c>
      <c r="E1289" t="n">
        <v>19</v>
      </c>
      <c r="F1289" t="n">
        <v>16.54</v>
      </c>
      <c r="G1289" t="n">
        <v>0</v>
      </c>
      <c r="H1289" t="n">
        <v>0</v>
      </c>
      <c r="I1289" s="3">
        <f>E1289+G1289+H1289</f>
        <v/>
      </c>
      <c r="J1289" s="3">
        <f>ROUND(MIN(IF(C1289="Técnico III",35,IF(C1289="Técnico II",28,IF(C1289="Técnico I",23,IF(C1289="JR",20,IF(C1289="Estágio",10,0))))),IF(C1289="Técnico III",SUMIFS($D:$D,$A:$A,$A1289,$B:$B,"&lt;&gt;Patrícia Karla de Sousa Araújo",$B:$B,"&lt;&gt;Lorena Dias de Araujo",$B:$B,"&lt;&gt;Lucas Luiz Romero")*(35/1083),IF(C1289="Técnico II",SUMIFS($D:$D,$A:$A,$A1289,$B:$B,"&lt;&gt;Patrícia Karla de Sousa Araújo",$B:$B,"&lt;&gt;Lorena Dias de Araujo",$B:$B,"&lt;&gt;Lucas Luiz Romero")*(28/1083),IF(C1289="Técnico I",SUMIFS($D:$D,$A:$A,$A1289,$B:$B,"&lt;&gt;Patrícia Karla de Sousa Araújo",$B:$B,"&lt;&gt;Lorena Dias de Araujo",$B:$B,"&lt;&gt;Lucas Luiz Romero")*(23/1083),IF(C1289="JR",SUMIFS($D:$D,$A:$A,$A1289,$B:$B,"&lt;&gt;Patrícia Karla de Sousa Araújo",$B:$B,"&lt;&gt;Lorena Dias de Araujo",$B:$B,"&lt;&gt;Lucas Luiz Romero")*(20/1083),IF(C1289="Estágio",SUMIFS($D:$D,$A:$A,$A1289,$B:$B,"&lt;&gt;Patrícia Karla de Sousa Araújo",$B:$B,"&lt;&gt;Lorena Dias de Araujo",$B:$B,"&lt;&gt;Lucas Luiz Romero")*(10/1083),0)))))),0)</f>
        <v/>
      </c>
      <c r="K1289" s="3">
        <f>I1289-J1289</f>
        <v/>
      </c>
      <c r="L1289" s="3">
        <f>IF(K1289&lt;-5,"CRÍTICO",IF(K1289&lt;0,"ATENÇÃO",IF(K1289&lt;=5,"BOM","EXCELENTE")))</f>
        <v/>
      </c>
      <c r="M1289" t="n">
        <v>15</v>
      </c>
      <c r="N1289" t="n">
        <v>100</v>
      </c>
      <c r="O1289" t="n">
        <v>27.40384615384616</v>
      </c>
    </row>
    <row r="1290" hidden="1">
      <c r="A1290" s="11" t="n">
        <v>46041</v>
      </c>
      <c r="B1290" t="inlineStr">
        <is>
          <t>Maria Eduarda Sousa Costa</t>
        </is>
      </c>
      <c r="C1290" t="inlineStr">
        <is>
          <t>Estágio</t>
        </is>
      </c>
      <c r="D1290" t="n">
        <v>14</v>
      </c>
      <c r="E1290" t="n">
        <v>13</v>
      </c>
      <c r="F1290" t="n">
        <v>25.05</v>
      </c>
      <c r="G1290" t="n">
        <v>0</v>
      </c>
      <c r="H1290" t="n">
        <v>0</v>
      </c>
      <c r="I1290" s="3">
        <f>E1290+G1290+H1290</f>
        <v/>
      </c>
      <c r="J1290" s="3">
        <f>ROUND(MIN(IF(C1290="Técnico III",35,IF(C1290="Técnico II",28,IF(C1290="Técnico I",23,IF(C1290="JR",20,IF(C1290="Estágio",10,0))))),IF(C1290="Técnico III",SUMIFS($D:$D,$A:$A,$A1290,$B:$B,"&lt;&gt;Patrícia Karla de Sousa Araújo",$B:$B,"&lt;&gt;Lorena Dias de Araujo",$B:$B,"&lt;&gt;Lucas Luiz Romero")*(35/1083),IF(C1290="Técnico II",SUMIFS($D:$D,$A:$A,$A1290,$B:$B,"&lt;&gt;Patrícia Karla de Sousa Araújo",$B:$B,"&lt;&gt;Lorena Dias de Araujo",$B:$B,"&lt;&gt;Lucas Luiz Romero")*(28/1083),IF(C1290="Técnico I",SUMIFS($D:$D,$A:$A,$A1290,$B:$B,"&lt;&gt;Patrícia Karla de Sousa Araújo",$B:$B,"&lt;&gt;Lorena Dias de Araujo",$B:$B,"&lt;&gt;Lucas Luiz Romero")*(23/1083),IF(C1290="JR",SUMIFS($D:$D,$A:$A,$A1290,$B:$B,"&lt;&gt;Patrícia Karla de Sousa Araújo",$B:$B,"&lt;&gt;Lorena Dias de Araujo",$B:$B,"&lt;&gt;Lucas Luiz Romero")*(20/1083),IF(C1290="Estágio",SUMIFS($D:$D,$A:$A,$A1290,$B:$B,"&lt;&gt;Patrícia Karla de Sousa Araújo",$B:$B,"&lt;&gt;Lorena Dias de Araujo",$B:$B,"&lt;&gt;Lucas Luiz Romero")*(10/1083),0)))))),0)</f>
        <v/>
      </c>
      <c r="K1290" s="3">
        <f>I1290-J1290</f>
        <v/>
      </c>
      <c r="L1290" s="3">
        <f>IF(K1290&lt;-5,"CRÍTICO",IF(K1290&lt;0,"ATENÇÃO",IF(K1290&lt;=5,"BOM","EXCELENTE")))</f>
        <v/>
      </c>
      <c r="M1290" t="n">
        <v>9</v>
      </c>
      <c r="N1290" t="n">
        <v>100</v>
      </c>
      <c r="O1290" t="n">
        <v>35.29411764705883</v>
      </c>
    </row>
    <row r="1291" hidden="1">
      <c r="A1291" s="11" t="n">
        <v>46041</v>
      </c>
      <c r="B1291" t="inlineStr">
        <is>
          <t>Matheus Farias De Souza</t>
        </is>
      </c>
      <c r="C1291" t="inlineStr">
        <is>
          <t>Técnico III</t>
        </is>
      </c>
      <c r="D1291" t="n">
        <v>27</v>
      </c>
      <c r="E1291" t="n">
        <v>26</v>
      </c>
      <c r="F1291" t="n">
        <v>17</v>
      </c>
      <c r="G1291" t="n">
        <v>0</v>
      </c>
      <c r="H1291" t="n">
        <v>0</v>
      </c>
      <c r="I1291" s="3">
        <f>E1291+G1291+H1291</f>
        <v/>
      </c>
      <c r="J1291" s="3">
        <f>ROUND(MIN(IF(C1291="Técnico III",35,IF(C1291="Técnico II",28,IF(C1291="Técnico I",23,IF(C1291="JR",20,IF(C1291="Estágio",10,0))))),IF(C1291="Técnico III",SUMIFS($D:$D,$A:$A,$A1291,$B:$B,"&lt;&gt;Patrícia Karla de Sousa Araújo",$B:$B,"&lt;&gt;Lorena Dias de Araujo",$B:$B,"&lt;&gt;Lucas Luiz Romero")*(35/1083),IF(C1291="Técnico II",SUMIFS($D:$D,$A:$A,$A1291,$B:$B,"&lt;&gt;Patrícia Karla de Sousa Araújo",$B:$B,"&lt;&gt;Lorena Dias de Araujo",$B:$B,"&lt;&gt;Lucas Luiz Romero")*(28/1083),IF(C1291="Técnico I",SUMIFS($D:$D,$A:$A,$A1291,$B:$B,"&lt;&gt;Patrícia Karla de Sousa Araújo",$B:$B,"&lt;&gt;Lorena Dias de Araujo",$B:$B,"&lt;&gt;Lucas Luiz Romero")*(23/1083),IF(C1291="JR",SUMIFS($D:$D,$A:$A,$A1291,$B:$B,"&lt;&gt;Patrícia Karla de Sousa Araújo",$B:$B,"&lt;&gt;Lorena Dias de Araujo",$B:$B,"&lt;&gt;Lucas Luiz Romero")*(20/1083),IF(C1291="Estágio",SUMIFS($D:$D,$A:$A,$A1291,$B:$B,"&lt;&gt;Patrícia Karla de Sousa Araújo",$B:$B,"&lt;&gt;Lorena Dias de Araujo",$B:$B,"&lt;&gt;Lucas Luiz Romero")*(10/1083),0)))))),0)</f>
        <v/>
      </c>
      <c r="K1291" s="3">
        <f>I1291-J1291</f>
        <v/>
      </c>
      <c r="L1291" s="3">
        <f>IF(K1291&lt;-5,"CRÍTICO",IF(K1291&lt;0,"ATENÇÃO",IF(K1291&lt;=5,"BOM","EXCELENTE")))</f>
        <v/>
      </c>
      <c r="M1291" t="n">
        <v>25</v>
      </c>
      <c r="N1291" t="n">
        <v>100</v>
      </c>
      <c r="O1291" t="n">
        <v>16</v>
      </c>
    </row>
    <row r="1292" hidden="1">
      <c r="A1292" s="11" t="n">
        <v>46041</v>
      </c>
      <c r="B1292" t="inlineStr">
        <is>
          <t>Maysa Victoria Dias Moura</t>
        </is>
      </c>
      <c r="C1292" t="inlineStr">
        <is>
          <t>Técnico III</t>
        </is>
      </c>
      <c r="D1292" t="n">
        <v>30</v>
      </c>
      <c r="E1292" t="n">
        <v>25</v>
      </c>
      <c r="F1292" t="n">
        <v>12.32</v>
      </c>
      <c r="G1292" t="n">
        <v>0</v>
      </c>
      <c r="H1292" t="n">
        <v>0</v>
      </c>
      <c r="I1292" s="3">
        <f>E1292+G1292+H1292</f>
        <v/>
      </c>
      <c r="J1292" s="3">
        <f>ROUND(MIN(IF(C1292="Técnico III",35,IF(C1292="Técnico II",28,IF(C1292="Técnico I",23,IF(C1292="JR",20,IF(C1292="Estágio",10,0))))),IF(C1292="Técnico III",SUMIFS($D:$D,$A:$A,$A1292,$B:$B,"&lt;&gt;Patrícia Karla de Sousa Araújo",$B:$B,"&lt;&gt;Lorena Dias de Araujo",$B:$B,"&lt;&gt;Lucas Luiz Romero")*(35/1083),IF(C1292="Técnico II",SUMIFS($D:$D,$A:$A,$A1292,$B:$B,"&lt;&gt;Patrícia Karla de Sousa Araújo",$B:$B,"&lt;&gt;Lorena Dias de Araujo",$B:$B,"&lt;&gt;Lucas Luiz Romero")*(28/1083),IF(C1292="Técnico I",SUMIFS($D:$D,$A:$A,$A1292,$B:$B,"&lt;&gt;Patrícia Karla de Sousa Araújo",$B:$B,"&lt;&gt;Lorena Dias de Araujo",$B:$B,"&lt;&gt;Lucas Luiz Romero")*(23/1083),IF(C1292="JR",SUMIFS($D:$D,$A:$A,$A1292,$B:$B,"&lt;&gt;Patrícia Karla de Sousa Araújo",$B:$B,"&lt;&gt;Lorena Dias de Araujo",$B:$B,"&lt;&gt;Lucas Luiz Romero")*(20/1083),IF(C1292="Estágio",SUMIFS($D:$D,$A:$A,$A1292,$B:$B,"&lt;&gt;Patrícia Karla de Sousa Araújo",$B:$B,"&lt;&gt;Lorena Dias de Araujo",$B:$B,"&lt;&gt;Lucas Luiz Romero")*(10/1083),0)))))),0)</f>
        <v/>
      </c>
      <c r="K1292" s="3">
        <f>I1292-J1292</f>
        <v/>
      </c>
      <c r="L1292" s="3">
        <f>IF(K1292&lt;-5,"CRÍTICO",IF(K1292&lt;0,"ATENÇÃO",IF(K1292&lt;=5,"BOM","EXCELENTE")))</f>
        <v/>
      </c>
      <c r="M1292" t="n">
        <v>24</v>
      </c>
      <c r="N1292" t="n">
        <v>100</v>
      </c>
      <c r="O1292" t="n">
        <v>29.96941896024465</v>
      </c>
    </row>
    <row r="1293" hidden="1">
      <c r="A1293" s="11" t="n">
        <v>46041</v>
      </c>
      <c r="B1293" t="inlineStr">
        <is>
          <t>Michelle G Santos</t>
        </is>
      </c>
      <c r="C1293" t="inlineStr">
        <is>
          <t>Estágio</t>
        </is>
      </c>
      <c r="D1293" t="n">
        <v>1</v>
      </c>
      <c r="E1293" t="n">
        <v>1</v>
      </c>
      <c r="F1293" t="n">
        <v>7.39</v>
      </c>
      <c r="G1293" t="n">
        <v>0</v>
      </c>
      <c r="H1293" t="n">
        <v>0</v>
      </c>
      <c r="I1293" s="3">
        <f>E1293+G1293+H1293</f>
        <v/>
      </c>
      <c r="J1293" s="3">
        <f>ROUND(MIN(IF(C1293="Técnico III",35,IF(C1293="Técnico II",28,IF(C1293="Técnico I",23,IF(C1293="JR",20,IF(C1293="Estágio",10,0))))),IF(C1293="Técnico III",SUMIFS($D:$D,$A:$A,$A1293,$B:$B,"&lt;&gt;Patrícia Karla de Sousa Araújo",$B:$B,"&lt;&gt;Lorena Dias de Araujo",$B:$B,"&lt;&gt;Lucas Luiz Romero")*(35/1083),IF(C1293="Técnico II",SUMIFS($D:$D,$A:$A,$A1293,$B:$B,"&lt;&gt;Patrícia Karla de Sousa Araújo",$B:$B,"&lt;&gt;Lorena Dias de Araujo",$B:$B,"&lt;&gt;Lucas Luiz Romero")*(28/1083),IF(C1293="Técnico I",SUMIFS($D:$D,$A:$A,$A1293,$B:$B,"&lt;&gt;Patrícia Karla de Sousa Araújo",$B:$B,"&lt;&gt;Lorena Dias de Araujo",$B:$B,"&lt;&gt;Lucas Luiz Romero")*(23/1083),IF(C1293="JR",SUMIFS($D:$D,$A:$A,$A1293,$B:$B,"&lt;&gt;Patrícia Karla de Sousa Araújo",$B:$B,"&lt;&gt;Lorena Dias de Araujo",$B:$B,"&lt;&gt;Lucas Luiz Romero")*(20/1083),IF(C1293="Estágio",SUMIFS($D:$D,$A:$A,$A1293,$B:$B,"&lt;&gt;Patrícia Karla de Sousa Araújo",$B:$B,"&lt;&gt;Lorena Dias de Araujo",$B:$B,"&lt;&gt;Lucas Luiz Romero")*(10/1083),0)))))),0)</f>
        <v/>
      </c>
      <c r="K1293" s="3">
        <f>I1293-J1293</f>
        <v/>
      </c>
      <c r="L1293" s="3">
        <f>IF(K1293&lt;-5,"CRÍTICO",IF(K1293&lt;0,"ATENÇÃO",IF(K1293&lt;=5,"BOM","EXCELENTE")))</f>
        <v/>
      </c>
      <c r="M1293" t="n">
        <v>1</v>
      </c>
      <c r="N1293" t="n">
        <v>0</v>
      </c>
      <c r="O1293" t="n">
        <v>0</v>
      </c>
    </row>
    <row r="1294" hidden="1">
      <c r="A1294" s="11" t="n">
        <v>46041</v>
      </c>
      <c r="B1294" t="inlineStr">
        <is>
          <t>Milena Sales</t>
        </is>
      </c>
      <c r="C1294" t="inlineStr">
        <is>
          <t>JR</t>
        </is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s="3" t="n">
        <v>0</v>
      </c>
      <c r="J1294" s="3" t="n">
        <v>0</v>
      </c>
      <c r="K1294" s="3" t="n">
        <v>0</v>
      </c>
      <c r="L1294" s="3">
        <f>IF(K1294&lt;-5,"CRÍTICO",IF(K1294&lt;0,"ATENÇÃO",IF(K1294&lt;=5,"BOM","EXCELENTE")))</f>
        <v/>
      </c>
      <c r="M1294" t="n">
        <v>0</v>
      </c>
      <c r="N1294" t="n">
        <v>0</v>
      </c>
      <c r="O1294" t="n">
        <v>0</v>
      </c>
    </row>
    <row r="1295" hidden="1">
      <c r="A1295" s="11" t="n">
        <v>46041</v>
      </c>
      <c r="B1295" t="inlineStr">
        <is>
          <t>Patrícia Karla de Sousa Araújo</t>
        </is>
      </c>
      <c r="C1295" t="inlineStr">
        <is>
          <t>Técnico II</t>
        </is>
      </c>
      <c r="D1295" t="n">
        <v>27</v>
      </c>
      <c r="E1295" t="n">
        <v>25</v>
      </c>
      <c r="F1295" t="n">
        <v>14.14</v>
      </c>
      <c r="G1295" t="n">
        <v>0</v>
      </c>
      <c r="H1295" t="n">
        <v>0</v>
      </c>
      <c r="I1295" s="3">
        <f>E1295+G1295+H1295</f>
        <v/>
      </c>
      <c r="J1295" s="3">
        <f>ROUND(MIN(IF(C1295="Técnico III",35,IF(C1295="Técnico II",28,IF(C1295="Técnico I",23,IF(C1295="JR",20,IF(C1295="Estágio",10,0))))),IF(C1295="Técnico III",SUMIFS($D:$D,$A:$A,$A1295,$B:$B,"&lt;&gt;Patrícia Karla de Sousa Araújo",$B:$B,"&lt;&gt;Lorena Dias de Araujo",$B:$B,"&lt;&gt;Lucas Luiz Romero")*(35/1083),IF(C1295="Técnico II",SUMIFS($D:$D,$A:$A,$A1295,$B:$B,"&lt;&gt;Patrícia Karla de Sousa Araújo",$B:$B,"&lt;&gt;Lorena Dias de Araujo",$B:$B,"&lt;&gt;Lucas Luiz Romero")*(28/1083),IF(C1295="Técnico I",SUMIFS($D:$D,$A:$A,$A1295,$B:$B,"&lt;&gt;Patrícia Karla de Sousa Araújo",$B:$B,"&lt;&gt;Lorena Dias de Araujo",$B:$B,"&lt;&gt;Lucas Luiz Romero")*(23/1083),IF(C1295="JR",SUMIFS($D:$D,$A:$A,$A1295,$B:$B,"&lt;&gt;Patrícia Karla de Sousa Araújo",$B:$B,"&lt;&gt;Lorena Dias de Araujo",$B:$B,"&lt;&gt;Lucas Luiz Romero")*(20/1083),IF(C1295="Estágio",SUMIFS($D:$D,$A:$A,$A1295,$B:$B,"&lt;&gt;Patrícia Karla de Sousa Araújo",$B:$B,"&lt;&gt;Lorena Dias de Araujo",$B:$B,"&lt;&gt;Lucas Luiz Romero")*(10/1083),0)))))),0)</f>
        <v/>
      </c>
      <c r="K1295" s="3">
        <f>I1295-J1295</f>
        <v/>
      </c>
      <c r="L1295" s="3">
        <f>IF(K1295&lt;-5,"CRÍTICO",IF(K1295&lt;0,"ATENÇÃO",IF(K1295&lt;=5,"BOM","EXCELENTE")))</f>
        <v/>
      </c>
      <c r="M1295" t="n">
        <v>19</v>
      </c>
      <c r="N1295" t="n">
        <v>100</v>
      </c>
      <c r="O1295" t="n">
        <v>29.09090909090909</v>
      </c>
    </row>
    <row r="1296" hidden="1">
      <c r="A1296" s="11" t="n">
        <v>46041</v>
      </c>
      <c r="B1296" t="inlineStr">
        <is>
          <t>Paulo Ricardo Santos</t>
        </is>
      </c>
      <c r="C1296" t="inlineStr">
        <is>
          <t>JR</t>
        </is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s="3" t="n">
        <v>0</v>
      </c>
      <c r="J1296" s="3" t="n">
        <v>0</v>
      </c>
      <c r="K1296" s="3" t="n">
        <v>0</v>
      </c>
      <c r="L1296" s="3">
        <f>IF(K1296&lt;-5,"CRÍTICO",IF(K1296&lt;0,"ATENÇÃO",IF(K1296&lt;=5,"BOM","EXCELENTE")))</f>
        <v/>
      </c>
      <c r="M1296" t="n">
        <v>0</v>
      </c>
      <c r="N1296" t="n">
        <v>0</v>
      </c>
      <c r="O1296" t="n">
        <v>0</v>
      </c>
    </row>
    <row r="1297" hidden="1">
      <c r="A1297" s="11" t="n">
        <v>46041</v>
      </c>
      <c r="B1297" t="inlineStr">
        <is>
          <t>Pedro Luiz Mota Sousa</t>
        </is>
      </c>
      <c r="C1297" t="inlineStr">
        <is>
          <t>JR</t>
        </is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s="3" t="n">
        <v>0</v>
      </c>
      <c r="J1297" s="3" t="n">
        <v>0</v>
      </c>
      <c r="K1297" s="3" t="n">
        <v>0</v>
      </c>
      <c r="L1297" s="3">
        <f>IF(K1297&lt;-5,"CRÍTICO",IF(K1297&lt;0,"ATENÇÃO",IF(K1297&lt;=5,"BOM","EXCELENTE")))</f>
        <v/>
      </c>
      <c r="M1297" t="n">
        <v>0</v>
      </c>
      <c r="N1297" t="n">
        <v>0</v>
      </c>
      <c r="O1297" t="n">
        <v>0</v>
      </c>
    </row>
    <row r="1298" hidden="1">
      <c r="A1298" s="11" t="n">
        <v>46041</v>
      </c>
      <c r="B1298" t="inlineStr">
        <is>
          <t>Quirino Diogo Leite Torres</t>
        </is>
      </c>
      <c r="C1298" t="inlineStr">
        <is>
          <t>Estágio</t>
        </is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s="3" t="n">
        <v>0</v>
      </c>
      <c r="J1298" s="3" t="n">
        <v>0</v>
      </c>
      <c r="K1298" s="3" t="n">
        <v>0</v>
      </c>
      <c r="L1298" s="3">
        <f>IF(K1298&lt;-5,"CRÍTICO",IF(K1298&lt;0,"ATENÇÃO",IF(K1298&lt;=5,"BOM","EXCELENTE")))</f>
        <v/>
      </c>
      <c r="M1298" t="n">
        <v>0</v>
      </c>
      <c r="N1298" t="n">
        <v>0</v>
      </c>
      <c r="O1298" t="n">
        <v>0</v>
      </c>
    </row>
    <row r="1299" hidden="1">
      <c r="A1299" s="11" t="n">
        <v>46041</v>
      </c>
      <c r="B1299" t="inlineStr">
        <is>
          <t>Raane Batista Matos</t>
        </is>
      </c>
      <c r="C1299" t="inlineStr">
        <is>
          <t>Técnico I</t>
        </is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s="3" t="n">
        <v>0</v>
      </c>
      <c r="J1299" s="3" t="n">
        <v>0</v>
      </c>
      <c r="K1299" s="3" t="n">
        <v>0</v>
      </c>
      <c r="L1299" s="3">
        <f>IF(K1299&lt;-5,"CRÍTICO",IF(K1299&lt;0,"ATENÇÃO",IF(K1299&lt;=5,"BOM","EXCELENTE")))</f>
        <v/>
      </c>
      <c r="M1299" t="n">
        <v>0</v>
      </c>
      <c r="N1299" t="n">
        <v>0</v>
      </c>
      <c r="O1299" t="n">
        <v>0</v>
      </c>
    </row>
    <row r="1300" hidden="1">
      <c r="A1300" s="11" t="n">
        <v>46041</v>
      </c>
      <c r="B1300" t="inlineStr">
        <is>
          <t>Rafael Gomes de Morais</t>
        </is>
      </c>
      <c r="C1300" t="inlineStr">
        <is>
          <t>Técnico III</t>
        </is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s="3" t="n">
        <v>0</v>
      </c>
      <c r="J1300" s="3" t="n">
        <v>0</v>
      </c>
      <c r="K1300" s="3" t="n">
        <v>0</v>
      </c>
      <c r="L1300" s="3">
        <f>IF(K1300&lt;-5,"CRÍTICO",IF(K1300&lt;0,"ATENÇÃO",IF(K1300&lt;=5,"BOM","EXCELENTE")))</f>
        <v/>
      </c>
      <c r="M1300" t="n">
        <v>0</v>
      </c>
      <c r="N1300" t="n">
        <v>100</v>
      </c>
      <c r="O1300" t="n">
        <v>40.74074074074074</v>
      </c>
    </row>
    <row r="1301" hidden="1">
      <c r="A1301" s="11" t="n">
        <v>46041</v>
      </c>
      <c r="B1301" t="inlineStr">
        <is>
          <t>Sara Maria Monteiro Lopes</t>
        </is>
      </c>
      <c r="C1301" t="inlineStr">
        <is>
          <t>Técnico I</t>
        </is>
      </c>
      <c r="D1301" t="n">
        <v>10</v>
      </c>
      <c r="E1301" t="n">
        <v>9</v>
      </c>
      <c r="F1301" t="n">
        <v>52.36</v>
      </c>
      <c r="G1301" t="n">
        <v>0</v>
      </c>
      <c r="H1301" t="n">
        <v>0</v>
      </c>
      <c r="I1301" s="3">
        <f>E1301+G1301+H1301</f>
        <v/>
      </c>
      <c r="J1301" s="3">
        <f>ROUND(MIN(IF(C1301="Técnico III",35,IF(C1301="Técnico II",28,IF(C1301="Técnico I",23,IF(C1301="JR",20,IF(C1301="Estágio",10,0))))),IF(C1301="Técnico III",SUMIFS($D:$D,$A:$A,$A1301,$B:$B,"&lt;&gt;Patrícia Karla de Sousa Araújo",$B:$B,"&lt;&gt;Lorena Dias de Araujo",$B:$B,"&lt;&gt;Lucas Luiz Romero")*(35/1083),IF(C1301="Técnico II",SUMIFS($D:$D,$A:$A,$A1301,$B:$B,"&lt;&gt;Patrícia Karla de Sousa Araújo",$B:$B,"&lt;&gt;Lorena Dias de Araujo",$B:$B,"&lt;&gt;Lucas Luiz Romero")*(28/1083),IF(C1301="Técnico I",SUMIFS($D:$D,$A:$A,$A1301,$B:$B,"&lt;&gt;Patrícia Karla de Sousa Araújo",$B:$B,"&lt;&gt;Lorena Dias de Araujo",$B:$B,"&lt;&gt;Lucas Luiz Romero")*(23/1083),IF(C1301="JR",SUMIFS($D:$D,$A:$A,$A1301,$B:$B,"&lt;&gt;Patrícia Karla de Sousa Araújo",$B:$B,"&lt;&gt;Lorena Dias de Araujo",$B:$B,"&lt;&gt;Lucas Luiz Romero")*(20/1083),IF(C1301="Estágio",SUMIFS($D:$D,$A:$A,$A1301,$B:$B,"&lt;&gt;Patrícia Karla de Sousa Araújo",$B:$B,"&lt;&gt;Lorena Dias de Araujo",$B:$B,"&lt;&gt;Lucas Luiz Romero")*(10/1083),0)))))),0)</f>
        <v/>
      </c>
      <c r="K1301" s="3">
        <f>I1301-J1301</f>
        <v/>
      </c>
      <c r="L1301" s="3">
        <f>IF(K1301&lt;-5,"CRÍTICO",IF(K1301&lt;0,"ATENÇÃO",IF(K1301&lt;=5,"BOM","EXCELENTE")))</f>
        <v/>
      </c>
      <c r="M1301" t="n">
        <v>8</v>
      </c>
      <c r="N1301" t="n">
        <v>100</v>
      </c>
      <c r="O1301" t="n">
        <v>32.14285714285715</v>
      </c>
    </row>
    <row r="1302" hidden="1">
      <c r="A1302" s="11" t="n">
        <v>46041</v>
      </c>
      <c r="B1302" t="inlineStr">
        <is>
          <t>Sarah Steffanie de Lima Borges</t>
        </is>
      </c>
      <c r="C1302" t="inlineStr">
        <is>
          <t>Técnico III</t>
        </is>
      </c>
      <c r="D1302" t="n">
        <v>23</v>
      </c>
      <c r="E1302" t="n">
        <v>21</v>
      </c>
      <c r="F1302" t="n">
        <v>15</v>
      </c>
      <c r="G1302" t="n">
        <v>0</v>
      </c>
      <c r="H1302" t="n">
        <v>0</v>
      </c>
      <c r="I1302" s="3">
        <f>E1302+G1302+H1302</f>
        <v/>
      </c>
      <c r="J1302" s="3">
        <f>ROUND(MIN(IF(C1302="Técnico III",35,IF(C1302="Técnico II",28,IF(C1302="Técnico I",23,IF(C1302="JR",20,IF(C1302="Estágio",10,0))))),IF(C1302="Técnico III",SUMIFS($D:$D,$A:$A,$A1302,$B:$B,"&lt;&gt;Patrícia Karla de Sousa Araújo",$B:$B,"&lt;&gt;Lorena Dias de Araujo",$B:$B,"&lt;&gt;Lucas Luiz Romero")*(35/1083),IF(C1302="Técnico II",SUMIFS($D:$D,$A:$A,$A1302,$B:$B,"&lt;&gt;Patrícia Karla de Sousa Araújo",$B:$B,"&lt;&gt;Lorena Dias de Araujo",$B:$B,"&lt;&gt;Lucas Luiz Romero")*(28/1083),IF(C1302="Técnico I",SUMIFS($D:$D,$A:$A,$A1302,$B:$B,"&lt;&gt;Patrícia Karla de Sousa Araújo",$B:$B,"&lt;&gt;Lorena Dias de Araujo",$B:$B,"&lt;&gt;Lucas Luiz Romero")*(23/1083),IF(C1302="JR",SUMIFS($D:$D,$A:$A,$A1302,$B:$B,"&lt;&gt;Patrícia Karla de Sousa Araújo",$B:$B,"&lt;&gt;Lorena Dias de Araujo",$B:$B,"&lt;&gt;Lucas Luiz Romero")*(20/1083),IF(C1302="Estágio",SUMIFS($D:$D,$A:$A,$A1302,$B:$B,"&lt;&gt;Patrícia Karla de Sousa Araújo",$B:$B,"&lt;&gt;Lorena Dias de Araujo",$B:$B,"&lt;&gt;Lucas Luiz Romero")*(10/1083),0)))))),0)</f>
        <v/>
      </c>
      <c r="K1302" s="3">
        <f>I1302-J1302</f>
        <v/>
      </c>
      <c r="L1302" s="3">
        <f>IF(K1302&lt;-5,"CRÍTICO",IF(K1302&lt;0,"ATENÇÃO",IF(K1302&lt;=5,"BOM","EXCELENTE")))</f>
        <v/>
      </c>
      <c r="M1302" t="n">
        <v>20</v>
      </c>
      <c r="N1302" t="n">
        <v>100</v>
      </c>
      <c r="O1302" t="n">
        <v>25.35714285714285</v>
      </c>
    </row>
    <row r="1303" hidden="1">
      <c r="A1303" s="11" t="n">
        <v>46042</v>
      </c>
      <c r="B1303" t="inlineStr">
        <is>
          <t>Alisson de Freitas Silva</t>
        </is>
      </c>
      <c r="C1303" t="inlineStr">
        <is>
          <t>Técnico II</t>
        </is>
      </c>
      <c r="D1303" t="n">
        <v>28</v>
      </c>
      <c r="E1303" t="n">
        <v>23</v>
      </c>
      <c r="F1303" t="n">
        <v>10.55</v>
      </c>
      <c r="G1303" t="n">
        <v>0</v>
      </c>
      <c r="H1303" t="n">
        <v>0</v>
      </c>
      <c r="I1303" s="3">
        <f>E1303+G1303+H1303</f>
        <v/>
      </c>
      <c r="J1303" s="3">
        <f>ROUND(MIN(IF(C1303="Técnico III",35,IF(C1303="Técnico II",28,IF(C1303="Técnico I",23,IF(C1303="JR",20,IF(C1303="Estágio",10,0))))),IF(C1303="Técnico III",SUMIFS($D:$D,$A:$A,$A1303,$B:$B,"&lt;&gt;Patrícia Karla de Sousa Araújo",$B:$B,"&lt;&gt;Lorena Dias de Araujo",$B:$B,"&lt;&gt;Lucas Luiz Romero")*(35/1083),IF(C1303="Técnico II",SUMIFS($D:$D,$A:$A,$A1303,$B:$B,"&lt;&gt;Patrícia Karla de Sousa Araújo",$B:$B,"&lt;&gt;Lorena Dias de Araujo",$B:$B,"&lt;&gt;Lucas Luiz Romero")*(28/1083),IF(C1303="Técnico I",SUMIFS($D:$D,$A:$A,$A1303,$B:$B,"&lt;&gt;Patrícia Karla de Sousa Araújo",$B:$B,"&lt;&gt;Lorena Dias de Araujo",$B:$B,"&lt;&gt;Lucas Luiz Romero")*(23/1083),IF(C1303="JR",SUMIFS($D:$D,$A:$A,$A1303,$B:$B,"&lt;&gt;Patrícia Karla de Sousa Araújo",$B:$B,"&lt;&gt;Lorena Dias de Araujo",$B:$B,"&lt;&gt;Lucas Luiz Romero")*(20/1083),IF(C1303="Estágio",SUMIFS($D:$D,$A:$A,$A1303,$B:$B,"&lt;&gt;Patrícia Karla de Sousa Araújo",$B:$B,"&lt;&gt;Lorena Dias de Araujo",$B:$B,"&lt;&gt;Lucas Luiz Romero")*(10/1083),0)))))),0)</f>
        <v/>
      </c>
      <c r="K1303" s="3">
        <f>I1303-J1303</f>
        <v/>
      </c>
      <c r="L1303" s="3">
        <f>IF(K1303&lt;-5,"CRÍTICO",IF(K1303&lt;0,"ATENÇÃO",IF(K1303&lt;=5,"BOM","EXCELENTE")))</f>
        <v/>
      </c>
      <c r="M1303" t="n">
        <v>17</v>
      </c>
      <c r="N1303" t="n">
        <v>97.87</v>
      </c>
      <c r="O1303" t="n">
        <v>29.11392405063291</v>
      </c>
    </row>
    <row r="1304" hidden="1">
      <c r="A1304" s="11" t="n">
        <v>46042</v>
      </c>
      <c r="B1304" t="inlineStr">
        <is>
          <t>Amanda Moura Ferreira</t>
        </is>
      </c>
      <c r="C1304" t="inlineStr">
        <is>
          <t>Técnico III</t>
        </is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s="3" t="n">
        <v>0</v>
      </c>
      <c r="J1304" s="3" t="n">
        <v>0</v>
      </c>
      <c r="K1304" s="3" t="n">
        <v>0</v>
      </c>
      <c r="L1304" s="3">
        <f>IF(K1304&lt;-5,"CRÍTICO",IF(K1304&lt;0,"ATENÇÃO",IF(K1304&lt;=5,"BOM","EXCELENTE")))</f>
        <v/>
      </c>
      <c r="M1304" t="n">
        <v>19</v>
      </c>
      <c r="N1304" t="n">
        <v>98.65000000000001</v>
      </c>
      <c r="O1304" t="n">
        <v>30.44982698961938</v>
      </c>
    </row>
    <row r="1305" hidden="1">
      <c r="A1305" s="11" t="n">
        <v>46042</v>
      </c>
      <c r="B1305" t="inlineStr">
        <is>
          <t>Ana Karollyne Souza Faria</t>
        </is>
      </c>
      <c r="C1305" t="inlineStr">
        <is>
          <t>Técnico I</t>
        </is>
      </c>
      <c r="D1305" t="n">
        <v>25</v>
      </c>
      <c r="E1305" t="n">
        <v>21</v>
      </c>
      <c r="F1305" t="n">
        <v>15.4</v>
      </c>
      <c r="G1305" t="n">
        <v>0</v>
      </c>
      <c r="H1305" t="n">
        <v>0</v>
      </c>
      <c r="I1305" s="3">
        <f>E1305+G1305+H1305</f>
        <v/>
      </c>
      <c r="J1305" s="3">
        <f>ROUND(MIN(IF(C1305="Técnico III",35,IF(C1305="Técnico II",28,IF(C1305="Técnico I",23,IF(C1305="JR",20,IF(C1305="Estágio",10,0))))),IF(C1305="Técnico III",SUMIFS($D:$D,$A:$A,$A1305,$B:$B,"&lt;&gt;Patrícia Karla de Sousa Araújo",$B:$B,"&lt;&gt;Lorena Dias de Araujo",$B:$B,"&lt;&gt;Lucas Luiz Romero")*(35/1083),IF(C1305="Técnico II",SUMIFS($D:$D,$A:$A,$A1305,$B:$B,"&lt;&gt;Patrícia Karla de Sousa Araújo",$B:$B,"&lt;&gt;Lorena Dias de Araujo",$B:$B,"&lt;&gt;Lucas Luiz Romero")*(28/1083),IF(C1305="Técnico I",SUMIFS($D:$D,$A:$A,$A1305,$B:$B,"&lt;&gt;Patrícia Karla de Sousa Araújo",$B:$B,"&lt;&gt;Lorena Dias de Araujo",$B:$B,"&lt;&gt;Lucas Luiz Romero")*(23/1083),IF(C1305="JR",SUMIFS($D:$D,$A:$A,$A1305,$B:$B,"&lt;&gt;Patrícia Karla de Sousa Araújo",$B:$B,"&lt;&gt;Lorena Dias de Araujo",$B:$B,"&lt;&gt;Lucas Luiz Romero")*(20/1083),IF(C1305="Estágio",SUMIFS($D:$D,$A:$A,$A1305,$B:$B,"&lt;&gt;Patrícia Karla de Sousa Araújo",$B:$B,"&lt;&gt;Lorena Dias de Araujo",$B:$B,"&lt;&gt;Lucas Luiz Romero")*(10/1083),0)))))),0)</f>
        <v/>
      </c>
      <c r="K1305" s="3">
        <f>I1305-J1305</f>
        <v/>
      </c>
      <c r="L1305" s="3">
        <f>IF(K1305&lt;-5,"CRÍTICO",IF(K1305&lt;0,"ATENÇÃO",IF(K1305&lt;=5,"BOM","EXCELENTE")))</f>
        <v/>
      </c>
      <c r="M1305" t="n">
        <v>21</v>
      </c>
      <c r="N1305" t="n">
        <v>100</v>
      </c>
      <c r="O1305" t="n">
        <v>25.17006802721088</v>
      </c>
    </row>
    <row r="1306" hidden="1">
      <c r="A1306" s="11" t="n">
        <v>46042</v>
      </c>
      <c r="B1306" t="inlineStr">
        <is>
          <t>Ana Paula Da Luz Silva Aleixo</t>
        </is>
      </c>
      <c r="C1306" t="inlineStr">
        <is>
          <t>Técnico III</t>
        </is>
      </c>
      <c r="D1306" t="n">
        <v>19</v>
      </c>
      <c r="E1306" t="n">
        <v>18</v>
      </c>
      <c r="F1306" t="n">
        <v>25.55</v>
      </c>
      <c r="G1306" t="n">
        <v>0</v>
      </c>
      <c r="H1306" t="n">
        <v>0</v>
      </c>
      <c r="I1306" s="3">
        <f>E1306+G1306+H1306</f>
        <v/>
      </c>
      <c r="J1306" s="3">
        <f>ROUND(MIN(IF(C1306="Técnico III",35,IF(C1306="Técnico II",28,IF(C1306="Técnico I",23,IF(C1306="JR",20,IF(C1306="Estágio",10,0))))),IF(C1306="Técnico III",SUMIFS($D:$D,$A:$A,$A1306,$B:$B,"&lt;&gt;Patrícia Karla de Sousa Araújo",$B:$B,"&lt;&gt;Lorena Dias de Araujo",$B:$B,"&lt;&gt;Lucas Luiz Romero")*(35/1083),IF(C1306="Técnico II",SUMIFS($D:$D,$A:$A,$A1306,$B:$B,"&lt;&gt;Patrícia Karla de Sousa Araújo",$B:$B,"&lt;&gt;Lorena Dias de Araujo",$B:$B,"&lt;&gt;Lucas Luiz Romero")*(28/1083),IF(C1306="Técnico I",SUMIFS($D:$D,$A:$A,$A1306,$B:$B,"&lt;&gt;Patrícia Karla de Sousa Araújo",$B:$B,"&lt;&gt;Lorena Dias de Araujo",$B:$B,"&lt;&gt;Lucas Luiz Romero")*(23/1083),IF(C1306="JR",SUMIFS($D:$D,$A:$A,$A1306,$B:$B,"&lt;&gt;Patrícia Karla de Sousa Araújo",$B:$B,"&lt;&gt;Lorena Dias de Araujo",$B:$B,"&lt;&gt;Lucas Luiz Romero")*(20/1083),IF(C1306="Estágio",SUMIFS($D:$D,$A:$A,$A1306,$B:$B,"&lt;&gt;Patrícia Karla de Sousa Araújo",$B:$B,"&lt;&gt;Lorena Dias de Araujo",$B:$B,"&lt;&gt;Lucas Luiz Romero")*(10/1083),0)))))),0)</f>
        <v/>
      </c>
      <c r="K1306" s="3">
        <f>I1306-J1306</f>
        <v/>
      </c>
      <c r="L1306" s="3">
        <f>IF(K1306&lt;-5,"CRÍTICO",IF(K1306&lt;0,"ATENÇÃO",IF(K1306&lt;=5,"BOM","EXCELENTE")))</f>
        <v/>
      </c>
      <c r="M1306" t="n">
        <v>15</v>
      </c>
      <c r="N1306" t="n">
        <v>98.53</v>
      </c>
      <c r="O1306" t="n">
        <v>27.30375426621161</v>
      </c>
    </row>
    <row r="1307" hidden="1">
      <c r="A1307" s="11" t="n">
        <v>46042</v>
      </c>
      <c r="B1307" t="inlineStr">
        <is>
          <t>Anna Luiza Rezende Tavares</t>
        </is>
      </c>
      <c r="C1307" t="inlineStr">
        <is>
          <t>Estágio</t>
        </is>
      </c>
      <c r="D1307" t="n">
        <v>8</v>
      </c>
      <c r="E1307" t="n">
        <v>8</v>
      </c>
      <c r="F1307" t="n">
        <v>27.13</v>
      </c>
      <c r="G1307" t="n">
        <v>0</v>
      </c>
      <c r="H1307" t="n">
        <v>0</v>
      </c>
      <c r="I1307" s="3">
        <f>E1307+G1307+H1307</f>
        <v/>
      </c>
      <c r="J1307" s="3">
        <f>ROUND(MIN(IF(C1307="Técnico III",35,IF(C1307="Técnico II",28,IF(C1307="Técnico I",23,IF(C1307="JR",20,IF(C1307="Estágio",10,0))))),IF(C1307="Técnico III",SUMIFS($D:$D,$A:$A,$A1307,$B:$B,"&lt;&gt;Patrícia Karla de Sousa Araújo",$B:$B,"&lt;&gt;Lorena Dias de Araujo",$B:$B,"&lt;&gt;Lucas Luiz Romero")*(35/1083),IF(C1307="Técnico II",SUMIFS($D:$D,$A:$A,$A1307,$B:$B,"&lt;&gt;Patrícia Karla de Sousa Araújo",$B:$B,"&lt;&gt;Lorena Dias de Araujo",$B:$B,"&lt;&gt;Lucas Luiz Romero")*(28/1083),IF(C1307="Técnico I",SUMIFS($D:$D,$A:$A,$A1307,$B:$B,"&lt;&gt;Patrícia Karla de Sousa Araújo",$B:$B,"&lt;&gt;Lorena Dias de Araujo",$B:$B,"&lt;&gt;Lucas Luiz Romero")*(23/1083),IF(C1307="JR",SUMIFS($D:$D,$A:$A,$A1307,$B:$B,"&lt;&gt;Patrícia Karla de Sousa Araújo",$B:$B,"&lt;&gt;Lorena Dias de Araujo",$B:$B,"&lt;&gt;Lucas Luiz Romero")*(20/1083),IF(C1307="Estágio",SUMIFS($D:$D,$A:$A,$A1307,$B:$B,"&lt;&gt;Patrícia Karla de Sousa Araújo",$B:$B,"&lt;&gt;Lorena Dias de Araujo",$B:$B,"&lt;&gt;Lucas Luiz Romero")*(10/1083),0)))))),0)</f>
        <v/>
      </c>
      <c r="K1307" s="3">
        <f>I1307-J1307</f>
        <v/>
      </c>
      <c r="L1307" s="3">
        <f>IF(K1307&lt;-5,"CRÍTICO",IF(K1307&lt;0,"ATENÇÃO",IF(K1307&lt;=5,"BOM","EXCELENTE")))</f>
        <v/>
      </c>
      <c r="M1307" t="n">
        <v>8</v>
      </c>
      <c r="N1307" t="n">
        <v>100</v>
      </c>
      <c r="O1307" t="n">
        <v>44.30379746835442</v>
      </c>
    </row>
    <row r="1308" hidden="1">
      <c r="A1308" s="11" t="n">
        <v>46042</v>
      </c>
      <c r="B1308" t="inlineStr">
        <is>
          <t>Brenda de Menezes Silva</t>
        </is>
      </c>
      <c r="C1308" t="inlineStr">
        <is>
          <t>Técnico II</t>
        </is>
      </c>
      <c r="D1308" t="n">
        <v>19</v>
      </c>
      <c r="E1308" t="n">
        <v>18</v>
      </c>
      <c r="F1308" t="n">
        <v>14.02</v>
      </c>
      <c r="G1308" t="n">
        <v>0</v>
      </c>
      <c r="H1308" t="n">
        <v>0</v>
      </c>
      <c r="I1308" s="3">
        <f>E1308+G1308+H1308</f>
        <v/>
      </c>
      <c r="J1308" s="3">
        <f>ROUND(MIN(IF(C1308="Técnico III",35,IF(C1308="Técnico II",28,IF(C1308="Técnico I",23,IF(C1308="JR",20,IF(C1308="Estágio",10,0))))),IF(C1308="Técnico III",SUMIFS($D:$D,$A:$A,$A1308,$B:$B,"&lt;&gt;Patrícia Karla de Sousa Araújo",$B:$B,"&lt;&gt;Lorena Dias de Araujo",$B:$B,"&lt;&gt;Lucas Luiz Romero")*(35/1083),IF(C1308="Técnico II",SUMIFS($D:$D,$A:$A,$A1308,$B:$B,"&lt;&gt;Patrícia Karla de Sousa Araújo",$B:$B,"&lt;&gt;Lorena Dias de Araujo",$B:$B,"&lt;&gt;Lucas Luiz Romero")*(28/1083),IF(C1308="Técnico I",SUMIFS($D:$D,$A:$A,$A1308,$B:$B,"&lt;&gt;Patrícia Karla de Sousa Araújo",$B:$B,"&lt;&gt;Lorena Dias de Araujo",$B:$B,"&lt;&gt;Lucas Luiz Romero")*(23/1083),IF(C1308="JR",SUMIFS($D:$D,$A:$A,$A1308,$B:$B,"&lt;&gt;Patrícia Karla de Sousa Araújo",$B:$B,"&lt;&gt;Lorena Dias de Araujo",$B:$B,"&lt;&gt;Lucas Luiz Romero")*(20/1083),IF(C1308="Estágio",SUMIFS($D:$D,$A:$A,$A1308,$B:$B,"&lt;&gt;Patrícia Karla de Sousa Araújo",$B:$B,"&lt;&gt;Lorena Dias de Araujo",$B:$B,"&lt;&gt;Lucas Luiz Romero")*(10/1083),0)))))),0)</f>
        <v/>
      </c>
      <c r="K1308" s="3">
        <f>I1308-J1308</f>
        <v/>
      </c>
      <c r="L1308" s="3">
        <f>IF(K1308&lt;-5,"CRÍTICO",IF(K1308&lt;0,"ATENÇÃO",IF(K1308&lt;=5,"BOM","EXCELENTE")))</f>
        <v/>
      </c>
      <c r="M1308" t="n">
        <v>20</v>
      </c>
      <c r="N1308" t="n">
        <v>100</v>
      </c>
      <c r="O1308" t="n">
        <v>27.27272727272727</v>
      </c>
    </row>
    <row r="1309" hidden="1">
      <c r="A1309" s="11" t="n">
        <v>46042</v>
      </c>
      <c r="B1309" t="inlineStr">
        <is>
          <t>Carlos Mateus Cassimiro Nunes</t>
        </is>
      </c>
      <c r="C1309" t="inlineStr">
        <is>
          <t>Técnico II</t>
        </is>
      </c>
      <c r="D1309" t="n">
        <v>19</v>
      </c>
      <c r="E1309" t="n">
        <v>17</v>
      </c>
      <c r="F1309" t="n">
        <v>21.53</v>
      </c>
      <c r="G1309" t="n">
        <v>0</v>
      </c>
      <c r="H1309" t="n">
        <v>0</v>
      </c>
      <c r="I1309" s="3">
        <f>E1309+G1309+H1309</f>
        <v/>
      </c>
      <c r="J1309" s="3">
        <f>ROUND(MIN(IF(C1309="Técnico III",35,IF(C1309="Técnico II",28,IF(C1309="Técnico I",23,IF(C1309="JR",20,IF(C1309="Estágio",10,0))))),IF(C1309="Técnico III",SUMIFS($D:$D,$A:$A,$A1309,$B:$B,"&lt;&gt;Patrícia Karla de Sousa Araújo",$B:$B,"&lt;&gt;Lorena Dias de Araujo",$B:$B,"&lt;&gt;Lucas Luiz Romero")*(35/1083),IF(C1309="Técnico II",SUMIFS($D:$D,$A:$A,$A1309,$B:$B,"&lt;&gt;Patrícia Karla de Sousa Araújo",$B:$B,"&lt;&gt;Lorena Dias de Araujo",$B:$B,"&lt;&gt;Lucas Luiz Romero")*(28/1083),IF(C1309="Técnico I",SUMIFS($D:$D,$A:$A,$A1309,$B:$B,"&lt;&gt;Patrícia Karla de Sousa Araújo",$B:$B,"&lt;&gt;Lorena Dias de Araujo",$B:$B,"&lt;&gt;Lucas Luiz Romero")*(23/1083),IF(C1309="JR",SUMIFS($D:$D,$A:$A,$A1309,$B:$B,"&lt;&gt;Patrícia Karla de Sousa Araújo",$B:$B,"&lt;&gt;Lorena Dias de Araujo",$B:$B,"&lt;&gt;Lucas Luiz Romero")*(20/1083),IF(C1309="Estágio",SUMIFS($D:$D,$A:$A,$A1309,$B:$B,"&lt;&gt;Patrícia Karla de Sousa Araújo",$B:$B,"&lt;&gt;Lorena Dias de Araujo",$B:$B,"&lt;&gt;Lucas Luiz Romero")*(10/1083),0)))))),0)</f>
        <v/>
      </c>
      <c r="K1309" s="3">
        <f>I1309-J1309</f>
        <v/>
      </c>
      <c r="L1309" s="3">
        <f>IF(K1309&lt;-5,"CRÍTICO",IF(K1309&lt;0,"ATENÇÃO",IF(K1309&lt;=5,"BOM","EXCELENTE")))</f>
        <v/>
      </c>
      <c r="M1309" t="n">
        <v>19</v>
      </c>
      <c r="N1309" t="n">
        <v>100</v>
      </c>
      <c r="O1309" t="n">
        <v>38.88888888888889</v>
      </c>
    </row>
    <row r="1310" hidden="1">
      <c r="A1310" s="11" t="n">
        <v>46042</v>
      </c>
      <c r="B1310" t="inlineStr">
        <is>
          <t>Claudio de Sousa Velasco Filho</t>
        </is>
      </c>
      <c r="C1310" t="inlineStr">
        <is>
          <t>Estágio</t>
        </is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s="3" t="n">
        <v>0</v>
      </c>
      <c r="J1310" s="3" t="n">
        <v>0</v>
      </c>
      <c r="K1310" s="3" t="n">
        <v>0</v>
      </c>
      <c r="L1310" s="3">
        <f>IF(K1310&lt;-5,"CRÍTICO",IF(K1310&lt;0,"ATENÇÃO",IF(K1310&lt;=5,"BOM","EXCELENTE")))</f>
        <v/>
      </c>
      <c r="M1310" t="n">
        <v>0</v>
      </c>
      <c r="N1310" t="n">
        <v>0</v>
      </c>
      <c r="O1310" t="n">
        <v>0</v>
      </c>
    </row>
    <row r="1311" hidden="1">
      <c r="A1311" s="11" t="n">
        <v>46042</v>
      </c>
      <c r="B1311" t="inlineStr">
        <is>
          <t>Clessiane Pereira dos Santos</t>
        </is>
      </c>
      <c r="C1311" t="inlineStr">
        <is>
          <t>Técnico I</t>
        </is>
      </c>
      <c r="D1311" t="n">
        <v>16</v>
      </c>
      <c r="E1311" t="n">
        <v>16</v>
      </c>
      <c r="F1311" t="n">
        <v>32.04</v>
      </c>
      <c r="G1311" t="n">
        <v>0</v>
      </c>
      <c r="H1311" t="n">
        <v>0</v>
      </c>
      <c r="I1311" s="3">
        <f>E1311+G1311+H1311</f>
        <v/>
      </c>
      <c r="J1311" s="3">
        <f>ROUND(MIN(IF(C1311="Técnico III",35,IF(C1311="Técnico II",28,IF(C1311="Técnico I",23,IF(C1311="JR",20,IF(C1311="Estágio",10,0))))),IF(C1311="Técnico III",SUMIFS($D:$D,$A:$A,$A1311,$B:$B,"&lt;&gt;Patrícia Karla de Sousa Araújo",$B:$B,"&lt;&gt;Lorena Dias de Araujo",$B:$B,"&lt;&gt;Lucas Luiz Romero")*(35/1083),IF(C1311="Técnico II",SUMIFS($D:$D,$A:$A,$A1311,$B:$B,"&lt;&gt;Patrícia Karla de Sousa Araújo",$B:$B,"&lt;&gt;Lorena Dias de Araujo",$B:$B,"&lt;&gt;Lucas Luiz Romero")*(28/1083),IF(C1311="Técnico I",SUMIFS($D:$D,$A:$A,$A1311,$B:$B,"&lt;&gt;Patrícia Karla de Sousa Araújo",$B:$B,"&lt;&gt;Lorena Dias de Araujo",$B:$B,"&lt;&gt;Lucas Luiz Romero")*(23/1083),IF(C1311="JR",SUMIFS($D:$D,$A:$A,$A1311,$B:$B,"&lt;&gt;Patrícia Karla de Sousa Araújo",$B:$B,"&lt;&gt;Lorena Dias de Araujo",$B:$B,"&lt;&gt;Lucas Luiz Romero")*(20/1083),IF(C1311="Estágio",SUMIFS($D:$D,$A:$A,$A1311,$B:$B,"&lt;&gt;Patrícia Karla de Sousa Araújo",$B:$B,"&lt;&gt;Lorena Dias de Araujo",$B:$B,"&lt;&gt;Lucas Luiz Romero")*(10/1083),0)))))),0)</f>
        <v/>
      </c>
      <c r="K1311" s="3">
        <f>I1311-J1311</f>
        <v/>
      </c>
      <c r="L1311" s="3">
        <f>IF(K1311&lt;-5,"CRÍTICO",IF(K1311&lt;0,"ATENÇÃO",IF(K1311&lt;=5,"BOM","EXCELENTE")))</f>
        <v/>
      </c>
      <c r="M1311" t="n">
        <v>13</v>
      </c>
      <c r="N1311" t="n">
        <v>100</v>
      </c>
      <c r="O1311" t="n">
        <v>29.3103448275862</v>
      </c>
    </row>
    <row r="1312" hidden="1">
      <c r="A1312" s="11" t="n">
        <v>46042</v>
      </c>
      <c r="B1312" t="inlineStr">
        <is>
          <t>Cristiane Ramos da Silva Rocha</t>
        </is>
      </c>
      <c r="C1312" t="inlineStr">
        <is>
          <t>Técnico III</t>
        </is>
      </c>
      <c r="D1312" t="n">
        <v>25</v>
      </c>
      <c r="E1312" t="n">
        <v>24</v>
      </c>
      <c r="F1312" t="n">
        <v>14.12</v>
      </c>
      <c r="G1312" t="n">
        <v>0</v>
      </c>
      <c r="H1312" t="n">
        <v>0</v>
      </c>
      <c r="I1312" s="3">
        <f>E1312+G1312+H1312</f>
        <v/>
      </c>
      <c r="J1312" s="3">
        <f>ROUND(MIN(IF(C1312="Técnico III",35,IF(C1312="Técnico II",28,IF(C1312="Técnico I",23,IF(C1312="JR",20,IF(C1312="Estágio",10,0))))),IF(C1312="Técnico III",SUMIFS($D:$D,$A:$A,$A1312,$B:$B,"&lt;&gt;Patrícia Karla de Sousa Araújo",$B:$B,"&lt;&gt;Lorena Dias de Araujo",$B:$B,"&lt;&gt;Lucas Luiz Romero")*(35/1083),IF(C1312="Técnico II",SUMIFS($D:$D,$A:$A,$A1312,$B:$B,"&lt;&gt;Patrícia Karla de Sousa Araújo",$B:$B,"&lt;&gt;Lorena Dias de Araujo",$B:$B,"&lt;&gt;Lucas Luiz Romero")*(28/1083),IF(C1312="Técnico I",SUMIFS($D:$D,$A:$A,$A1312,$B:$B,"&lt;&gt;Patrícia Karla de Sousa Araújo",$B:$B,"&lt;&gt;Lorena Dias de Araujo",$B:$B,"&lt;&gt;Lucas Luiz Romero")*(23/1083),IF(C1312="JR",SUMIFS($D:$D,$A:$A,$A1312,$B:$B,"&lt;&gt;Patrícia Karla de Sousa Araújo",$B:$B,"&lt;&gt;Lorena Dias de Araujo",$B:$B,"&lt;&gt;Lucas Luiz Romero")*(20/1083),IF(C1312="Estágio",SUMIFS($D:$D,$A:$A,$A1312,$B:$B,"&lt;&gt;Patrícia Karla de Sousa Araújo",$B:$B,"&lt;&gt;Lorena Dias de Araujo",$B:$B,"&lt;&gt;Lucas Luiz Romero")*(10/1083),0)))))),0)</f>
        <v/>
      </c>
      <c r="K1312" s="3">
        <f>I1312-J1312</f>
        <v/>
      </c>
      <c r="L1312" s="3">
        <f>IF(K1312&lt;-5,"CRÍTICO",IF(K1312&lt;0,"ATENÇÃO",IF(K1312&lt;=5,"BOM","EXCELENTE")))</f>
        <v/>
      </c>
      <c r="M1312" t="n">
        <v>22</v>
      </c>
      <c r="N1312" t="n">
        <v>97.2</v>
      </c>
      <c r="O1312" t="n">
        <v>40.40114613180516</v>
      </c>
    </row>
    <row r="1313" hidden="1">
      <c r="A1313" s="11" t="n">
        <v>46042</v>
      </c>
      <c r="B1313" t="inlineStr">
        <is>
          <t>Damyllis Lorraine de Oliveira Gonçalves</t>
        </is>
      </c>
      <c r="C1313" t="inlineStr">
        <is>
          <t>Técnico II</t>
        </is>
      </c>
      <c r="D1313" t="n">
        <v>29</v>
      </c>
      <c r="E1313" t="n">
        <v>20</v>
      </c>
      <c r="F1313" t="n">
        <v>8.26</v>
      </c>
      <c r="G1313" t="n">
        <v>0</v>
      </c>
      <c r="H1313" t="n">
        <v>0</v>
      </c>
      <c r="I1313" s="3" t="n">
        <v>0</v>
      </c>
      <c r="J1313" s="3" t="n">
        <v>0</v>
      </c>
      <c r="K1313" s="3" t="n">
        <v>0</v>
      </c>
      <c r="L1313" s="3">
        <f>IF(K1313&lt;-5,"CRÍTICO",IF(K1313&lt;0,"ATENÇÃO",IF(K1313&lt;=5,"BOM","EXCELENTE")))</f>
        <v/>
      </c>
      <c r="M1313" t="n">
        <v>21</v>
      </c>
      <c r="N1313" t="n">
        <v>95.23999999999999</v>
      </c>
      <c r="O1313" t="n">
        <v>30.54545454545455</v>
      </c>
    </row>
    <row r="1314" hidden="1">
      <c r="A1314" s="11" t="n">
        <v>46042</v>
      </c>
      <c r="B1314" t="inlineStr">
        <is>
          <t>Daniel Gomes da Silva</t>
        </is>
      </c>
      <c r="C1314" t="inlineStr">
        <is>
          <t>Técnico I</t>
        </is>
      </c>
      <c r="D1314" t="n">
        <v>20</v>
      </c>
      <c r="E1314" t="n">
        <v>17</v>
      </c>
      <c r="F1314" t="n">
        <v>22.01</v>
      </c>
      <c r="G1314" t="n">
        <v>0</v>
      </c>
      <c r="H1314" t="n">
        <v>0</v>
      </c>
      <c r="I1314" s="3">
        <f>E1314+G1314+H1314</f>
        <v/>
      </c>
      <c r="J1314" s="3">
        <f>ROUND(MIN(IF(C1314="Técnico III",35,IF(C1314="Técnico II",28,IF(C1314="Técnico I",23,IF(C1314="JR",20,IF(C1314="Estágio",10,0))))),IF(C1314="Técnico III",SUMIFS($D:$D,$A:$A,$A1314,$B:$B,"&lt;&gt;Patrícia Karla de Sousa Araújo",$B:$B,"&lt;&gt;Lorena Dias de Araujo",$B:$B,"&lt;&gt;Lucas Luiz Romero")*(35/1083),IF(C1314="Técnico II",SUMIFS($D:$D,$A:$A,$A1314,$B:$B,"&lt;&gt;Patrícia Karla de Sousa Araújo",$B:$B,"&lt;&gt;Lorena Dias de Araujo",$B:$B,"&lt;&gt;Lucas Luiz Romero")*(28/1083),IF(C1314="Técnico I",SUMIFS($D:$D,$A:$A,$A1314,$B:$B,"&lt;&gt;Patrícia Karla de Sousa Araújo",$B:$B,"&lt;&gt;Lorena Dias de Araujo",$B:$B,"&lt;&gt;Lucas Luiz Romero")*(23/1083),IF(C1314="JR",SUMIFS($D:$D,$A:$A,$A1314,$B:$B,"&lt;&gt;Patrícia Karla de Sousa Araújo",$B:$B,"&lt;&gt;Lorena Dias de Araujo",$B:$B,"&lt;&gt;Lucas Luiz Romero")*(20/1083),IF(C1314="Estágio",SUMIFS($D:$D,$A:$A,$A1314,$B:$B,"&lt;&gt;Patrícia Karla de Sousa Araújo",$B:$B,"&lt;&gt;Lorena Dias de Araujo",$B:$B,"&lt;&gt;Lucas Luiz Romero")*(10/1083),0)))))),0)</f>
        <v/>
      </c>
      <c r="K1314" s="3">
        <f>I1314-J1314</f>
        <v/>
      </c>
      <c r="L1314" s="3">
        <f>IF(K1314&lt;-5,"CRÍTICO",IF(K1314&lt;0,"ATENÇÃO",IF(K1314&lt;=5,"BOM","EXCELENTE")))</f>
        <v/>
      </c>
      <c r="M1314" t="n">
        <v>18</v>
      </c>
      <c r="N1314" t="n">
        <v>100</v>
      </c>
      <c r="O1314" t="n">
        <v>27.4247491638796</v>
      </c>
    </row>
    <row r="1315" hidden="1">
      <c r="A1315" s="11" t="n">
        <v>46042</v>
      </c>
      <c r="B1315" t="inlineStr">
        <is>
          <t>Davylla Rodrigues Freitas Silva</t>
        </is>
      </c>
      <c r="C1315" t="inlineStr">
        <is>
          <t>Técnico III</t>
        </is>
      </c>
      <c r="D1315" t="n">
        <v>17</v>
      </c>
      <c r="E1315" t="n">
        <v>17</v>
      </c>
      <c r="F1315" t="n">
        <v>30.1</v>
      </c>
      <c r="G1315" t="n">
        <v>0</v>
      </c>
      <c r="H1315" t="n">
        <v>0</v>
      </c>
      <c r="I1315" s="3" t="n">
        <v>0</v>
      </c>
      <c r="J1315" s="3" t="n">
        <v>0</v>
      </c>
      <c r="K1315" s="3" t="n">
        <v>0</v>
      </c>
      <c r="L1315" s="3">
        <f>IF(K1315&lt;-5,"CRÍTICO",IF(K1315&lt;0,"ATENÇÃO",IF(K1315&lt;=5,"BOM","EXCELENTE")))</f>
        <v/>
      </c>
      <c r="M1315" t="n">
        <v>19</v>
      </c>
      <c r="N1315" t="n">
        <v>100</v>
      </c>
      <c r="O1315" t="n">
        <v>42.85714285714285</v>
      </c>
    </row>
    <row r="1316" hidden="1">
      <c r="A1316" s="11" t="n">
        <v>46042</v>
      </c>
      <c r="B1316" t="inlineStr">
        <is>
          <t>Emilly Caylane Costa</t>
        </is>
      </c>
      <c r="C1316" t="inlineStr">
        <is>
          <t>Estágio</t>
        </is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s="3" t="n">
        <v>0</v>
      </c>
      <c r="J1316" s="3" t="n">
        <v>0</v>
      </c>
      <c r="K1316" s="3" t="n">
        <v>0</v>
      </c>
      <c r="L1316" s="3">
        <f>IF(K1316&lt;-5,"CRÍTICO",IF(K1316&lt;0,"ATENÇÃO",IF(K1316&lt;=5,"BOM","EXCELENTE")))</f>
        <v/>
      </c>
      <c r="M1316" t="n">
        <v>0</v>
      </c>
      <c r="N1316" t="n">
        <v>0</v>
      </c>
      <c r="O1316" t="n">
        <v>0</v>
      </c>
    </row>
    <row r="1317" hidden="1">
      <c r="A1317" s="11" t="n">
        <v>46042</v>
      </c>
      <c r="B1317" t="inlineStr">
        <is>
          <t>Emilly Kamilly Medeiros Miranda</t>
        </is>
      </c>
      <c r="C1317" t="inlineStr">
        <is>
          <t>Técnico II</t>
        </is>
      </c>
      <c r="D1317" t="n">
        <v>22</v>
      </c>
      <c r="E1317" t="n">
        <v>20</v>
      </c>
      <c r="F1317" t="n">
        <v>20.53</v>
      </c>
      <c r="G1317" t="n">
        <v>0</v>
      </c>
      <c r="H1317" t="n">
        <v>0</v>
      </c>
      <c r="I1317" s="3">
        <f>E1317+G1317+H1317</f>
        <v/>
      </c>
      <c r="J1317" s="3">
        <f>ROUND(MIN(IF(C1317="Técnico III",35,IF(C1317="Técnico II",28,IF(C1317="Técnico I",23,IF(C1317="JR",20,IF(C1317="Estágio",10,0))))),IF(C1317="Técnico III",SUMIFS($D:$D,$A:$A,$A1317,$B:$B,"&lt;&gt;Patrícia Karla de Sousa Araújo",$B:$B,"&lt;&gt;Lorena Dias de Araujo",$B:$B,"&lt;&gt;Lucas Luiz Romero")*(35/1083),IF(C1317="Técnico II",SUMIFS($D:$D,$A:$A,$A1317,$B:$B,"&lt;&gt;Patrícia Karla de Sousa Araújo",$B:$B,"&lt;&gt;Lorena Dias de Araujo",$B:$B,"&lt;&gt;Lucas Luiz Romero")*(28/1083),IF(C1317="Técnico I",SUMIFS($D:$D,$A:$A,$A1317,$B:$B,"&lt;&gt;Patrícia Karla de Sousa Araújo",$B:$B,"&lt;&gt;Lorena Dias de Araujo",$B:$B,"&lt;&gt;Lucas Luiz Romero")*(23/1083),IF(C1317="JR",SUMIFS($D:$D,$A:$A,$A1317,$B:$B,"&lt;&gt;Patrícia Karla de Sousa Araújo",$B:$B,"&lt;&gt;Lorena Dias de Araujo",$B:$B,"&lt;&gt;Lucas Luiz Romero")*(20/1083),IF(C1317="Estágio",SUMIFS($D:$D,$A:$A,$A1317,$B:$B,"&lt;&gt;Patrícia Karla de Sousa Araújo",$B:$B,"&lt;&gt;Lorena Dias de Araujo",$B:$B,"&lt;&gt;Lucas Luiz Romero")*(10/1083),0)))))),0)</f>
        <v/>
      </c>
      <c r="K1317" s="3">
        <f>I1317-J1317</f>
        <v/>
      </c>
      <c r="L1317" s="3">
        <f>IF(K1317&lt;-5,"CRÍTICO",IF(K1317&lt;0,"ATENÇÃO",IF(K1317&lt;=5,"BOM","EXCELENTE")))</f>
        <v/>
      </c>
      <c r="M1317" t="n">
        <v>21</v>
      </c>
      <c r="N1317" t="n">
        <v>100</v>
      </c>
      <c r="O1317" t="n">
        <v>32.09876543209877</v>
      </c>
    </row>
    <row r="1318" hidden="1">
      <c r="A1318" s="11" t="n">
        <v>46042</v>
      </c>
      <c r="B1318" t="inlineStr">
        <is>
          <t>Francielson de Oliveira</t>
        </is>
      </c>
      <c r="C1318" t="inlineStr">
        <is>
          <t>Técnico III</t>
        </is>
      </c>
      <c r="D1318" t="n">
        <v>16</v>
      </c>
      <c r="E1318" t="n">
        <v>12</v>
      </c>
      <c r="F1318" t="n">
        <v>12.35</v>
      </c>
      <c r="G1318" t="n">
        <v>0</v>
      </c>
      <c r="H1318" t="n">
        <v>0</v>
      </c>
      <c r="I1318" s="3">
        <f>E1318+G1318+H1318</f>
        <v/>
      </c>
      <c r="J1318" s="3">
        <f>ROUND(MIN(IF(C1318="Técnico III",35,IF(C1318="Técnico II",28,IF(C1318="Técnico I",23,IF(C1318="JR",20,IF(C1318="Estágio",10,0))))),IF(C1318="Técnico III",SUMIFS($D:$D,$A:$A,$A1318,$B:$B,"&lt;&gt;Patrícia Karla de Sousa Araújo",$B:$B,"&lt;&gt;Lorena Dias de Araujo",$B:$B,"&lt;&gt;Lucas Luiz Romero")*(35/1083),IF(C1318="Técnico II",SUMIFS($D:$D,$A:$A,$A1318,$B:$B,"&lt;&gt;Patrícia Karla de Sousa Araújo",$B:$B,"&lt;&gt;Lorena Dias de Araujo",$B:$B,"&lt;&gt;Lucas Luiz Romero")*(28/1083),IF(C1318="Técnico I",SUMIFS($D:$D,$A:$A,$A1318,$B:$B,"&lt;&gt;Patrícia Karla de Sousa Araújo",$B:$B,"&lt;&gt;Lorena Dias de Araujo",$B:$B,"&lt;&gt;Lucas Luiz Romero")*(23/1083),IF(C1318="JR",SUMIFS($D:$D,$A:$A,$A1318,$B:$B,"&lt;&gt;Patrícia Karla de Sousa Araújo",$B:$B,"&lt;&gt;Lorena Dias de Araujo",$B:$B,"&lt;&gt;Lucas Luiz Romero")*(20/1083),IF(C1318="Estágio",SUMIFS($D:$D,$A:$A,$A1318,$B:$B,"&lt;&gt;Patrícia Karla de Sousa Araújo",$B:$B,"&lt;&gt;Lorena Dias de Araujo",$B:$B,"&lt;&gt;Lucas Luiz Romero")*(10/1083),0)))))),0)</f>
        <v/>
      </c>
      <c r="K1318" s="3">
        <f>I1318-J1318</f>
        <v/>
      </c>
      <c r="L1318" s="3">
        <f>IF(K1318&lt;-5,"CRÍTICO",IF(K1318&lt;0,"ATENÇÃO",IF(K1318&lt;=5,"BOM","EXCELENTE")))</f>
        <v/>
      </c>
      <c r="M1318" t="n">
        <v>16</v>
      </c>
      <c r="N1318" t="n">
        <v>100</v>
      </c>
      <c r="O1318" t="n">
        <v>32.14285714285715</v>
      </c>
    </row>
    <row r="1319" hidden="1">
      <c r="A1319" s="11" t="n">
        <v>46042</v>
      </c>
      <c r="B1319" t="inlineStr">
        <is>
          <t>Francilene Ferreira de Jesus</t>
        </is>
      </c>
      <c r="C1319" t="inlineStr">
        <is>
          <t>Técnico II</t>
        </is>
      </c>
      <c r="D1319" t="n">
        <v>21</v>
      </c>
      <c r="E1319" t="n">
        <v>21</v>
      </c>
      <c r="F1319" t="n">
        <v>20.39</v>
      </c>
      <c r="G1319" t="n">
        <v>0</v>
      </c>
      <c r="H1319" t="n">
        <v>0</v>
      </c>
      <c r="I1319" s="3">
        <f>E1319+G1319+H1319</f>
        <v/>
      </c>
      <c r="J1319" s="3">
        <f>ROUND(MIN(IF(C1319="Técnico III",35,IF(C1319="Técnico II",28,IF(C1319="Técnico I",23,IF(C1319="JR",20,IF(C1319="Estágio",10,0))))),IF(C1319="Técnico III",SUMIFS($D:$D,$A:$A,$A1319,$B:$B,"&lt;&gt;Patrícia Karla de Sousa Araújo",$B:$B,"&lt;&gt;Lorena Dias de Araujo",$B:$B,"&lt;&gt;Lucas Luiz Romero")*(35/1083),IF(C1319="Técnico II",SUMIFS($D:$D,$A:$A,$A1319,$B:$B,"&lt;&gt;Patrícia Karla de Sousa Araújo",$B:$B,"&lt;&gt;Lorena Dias de Araujo",$B:$B,"&lt;&gt;Lucas Luiz Romero")*(28/1083),IF(C1319="Técnico I",SUMIFS($D:$D,$A:$A,$A1319,$B:$B,"&lt;&gt;Patrícia Karla de Sousa Araújo",$B:$B,"&lt;&gt;Lorena Dias de Araujo",$B:$B,"&lt;&gt;Lucas Luiz Romero")*(23/1083),IF(C1319="JR",SUMIFS($D:$D,$A:$A,$A1319,$B:$B,"&lt;&gt;Patrícia Karla de Sousa Araújo",$B:$B,"&lt;&gt;Lorena Dias de Araujo",$B:$B,"&lt;&gt;Lucas Luiz Romero")*(20/1083),IF(C1319="Estágio",SUMIFS($D:$D,$A:$A,$A1319,$B:$B,"&lt;&gt;Patrícia Karla de Sousa Araújo",$B:$B,"&lt;&gt;Lorena Dias de Araujo",$B:$B,"&lt;&gt;Lucas Luiz Romero")*(10/1083),0)))))),0)</f>
        <v/>
      </c>
      <c r="K1319" s="3">
        <f>I1319-J1319</f>
        <v/>
      </c>
      <c r="L1319" s="3">
        <f>IF(K1319&lt;-5,"CRÍTICO",IF(K1319&lt;0,"ATENÇÃO",IF(K1319&lt;=5,"BOM","EXCELENTE")))</f>
        <v/>
      </c>
      <c r="M1319" t="n">
        <v>19</v>
      </c>
      <c r="N1319" t="n">
        <v>98.8</v>
      </c>
      <c r="O1319" t="n">
        <v>32.51748251748251</v>
      </c>
    </row>
    <row r="1320" hidden="1">
      <c r="A1320" s="11" t="n">
        <v>46076</v>
      </c>
      <c r="B1320" t="inlineStr">
        <is>
          <t>Gabriel Gomes de Andrade</t>
        </is>
      </c>
      <c r="C1320" t="inlineStr">
        <is>
          <t>Técnico I</t>
        </is>
      </c>
      <c r="D1320" t="n">
        <v>18</v>
      </c>
      <c r="E1320" t="n">
        <v>16</v>
      </c>
      <c r="F1320" t="n">
        <v>30.38</v>
      </c>
      <c r="G1320" t="n">
        <v>0</v>
      </c>
      <c r="H1320" t="n">
        <v>0</v>
      </c>
      <c r="I1320" s="3">
        <f>E1320+G1320+H1320</f>
        <v/>
      </c>
      <c r="J1320" s="3">
        <f>ROUND(MIN(IF(C1320="Técnico III",35,IF(C1320="Técnico II",28,IF(C1320="Técnico I",23,IF(C1320="JR",20,IF(C1320="Estágio",10,0))))),IF(C1320="Técnico III",SUMIFS($D:$D,$A:$A,$A1320,$B:$B,"&lt;&gt;Patrícia Karla de Sousa Araújo",$B:$B,"&lt;&gt;Lorena Dias de Araujo",$B:$B,"&lt;&gt;Lucas Luiz Romero")*(35/1083),IF(C1320="Técnico II",SUMIFS($D:$D,$A:$A,$A1320,$B:$B,"&lt;&gt;Patrícia Karla de Sousa Araújo",$B:$B,"&lt;&gt;Lorena Dias de Araujo",$B:$B,"&lt;&gt;Lucas Luiz Romero")*(28/1083),IF(C1320="Técnico I",SUMIFS($D:$D,$A:$A,$A1320,$B:$B,"&lt;&gt;Patrícia Karla de Sousa Araújo",$B:$B,"&lt;&gt;Lorena Dias de Araujo",$B:$B,"&lt;&gt;Lucas Luiz Romero")*(23/1083),IF(C1320="JR",SUMIFS($D:$D,$A:$A,$A1320,$B:$B,"&lt;&gt;Patrícia Karla de Sousa Araújo",$B:$B,"&lt;&gt;Lorena Dias de Araujo",$B:$B,"&lt;&gt;Lucas Luiz Romero")*(20/1083),IF(C1320="Estágio",SUMIFS($D:$D,$A:$A,$A1320,$B:$B,"&lt;&gt;Patrícia Karla de Sousa Araújo",$B:$B,"&lt;&gt;Lorena Dias de Araujo",$B:$B,"&lt;&gt;Lucas Luiz Romero")*(10/1083),0)))))),0)</f>
        <v/>
      </c>
      <c r="K1320" s="3">
        <f>I1320-J1320</f>
        <v/>
      </c>
      <c r="L1320" s="3">
        <f>IF(K1320&lt;-5,"CRÍTICO",IF(K1320&lt;0,"ATENÇÃO",IF(K1320&lt;=5,"BOM","EXCELENTE")))</f>
        <v/>
      </c>
      <c r="N1320" t="n">
        <v>96.67</v>
      </c>
      <c r="O1320" t="n">
        <v>31.45161290322581</v>
      </c>
    </row>
    <row r="1321" hidden="1">
      <c r="A1321" s="11" t="n">
        <v>46042</v>
      </c>
      <c r="B1321" t="inlineStr">
        <is>
          <t>Isabella Borges de Oliveira</t>
        </is>
      </c>
      <c r="C1321" t="inlineStr">
        <is>
          <t>Técnico II</t>
        </is>
      </c>
      <c r="D1321" t="n">
        <v>18</v>
      </c>
      <c r="E1321" t="n">
        <v>18</v>
      </c>
      <c r="F1321" t="n">
        <v>28.43</v>
      </c>
      <c r="G1321" t="n">
        <v>0</v>
      </c>
      <c r="H1321" t="n">
        <v>0</v>
      </c>
      <c r="I1321" s="3">
        <f>E1321+G1321+H1321</f>
        <v/>
      </c>
      <c r="J1321" s="3">
        <f>ROUND(MIN(IF(C1321="Técnico III",35,IF(C1321="Técnico II",28,IF(C1321="Técnico I",23,IF(C1321="JR",20,IF(C1321="Estágio",10,0))))),IF(C1321="Técnico III",SUMIFS($D:$D,$A:$A,$A1321,$B:$B,"&lt;&gt;Patrícia Karla de Sousa Araújo",$B:$B,"&lt;&gt;Lorena Dias de Araujo",$B:$B,"&lt;&gt;Lucas Luiz Romero")*(35/1083),IF(C1321="Técnico II",SUMIFS($D:$D,$A:$A,$A1321,$B:$B,"&lt;&gt;Patrícia Karla de Sousa Araújo",$B:$B,"&lt;&gt;Lorena Dias de Araujo",$B:$B,"&lt;&gt;Lucas Luiz Romero")*(28/1083),IF(C1321="Técnico I",SUMIFS($D:$D,$A:$A,$A1321,$B:$B,"&lt;&gt;Patrícia Karla de Sousa Araújo",$B:$B,"&lt;&gt;Lorena Dias de Araujo",$B:$B,"&lt;&gt;Lucas Luiz Romero")*(23/1083),IF(C1321="JR",SUMIFS($D:$D,$A:$A,$A1321,$B:$B,"&lt;&gt;Patrícia Karla de Sousa Araújo",$B:$B,"&lt;&gt;Lorena Dias de Araujo",$B:$B,"&lt;&gt;Lucas Luiz Romero")*(20/1083),IF(C1321="Estágio",SUMIFS($D:$D,$A:$A,$A1321,$B:$B,"&lt;&gt;Patrícia Karla de Sousa Araújo",$B:$B,"&lt;&gt;Lorena Dias de Araujo",$B:$B,"&lt;&gt;Lucas Luiz Romero")*(10/1083),0)))))),0)</f>
        <v/>
      </c>
      <c r="K1321" s="3">
        <f>I1321-J1321</f>
        <v/>
      </c>
      <c r="L1321" s="3">
        <f>IF(K1321&lt;-5,"CRÍTICO",IF(K1321&lt;0,"ATENÇÃO",IF(K1321&lt;=5,"BOM","EXCELENTE")))</f>
        <v/>
      </c>
      <c r="M1321" t="n">
        <v>18</v>
      </c>
      <c r="N1321" t="n">
        <v>100</v>
      </c>
      <c r="O1321" t="n">
        <v>27.11864406779661</v>
      </c>
    </row>
    <row r="1322" hidden="1">
      <c r="A1322" s="11" t="n">
        <v>46042</v>
      </c>
      <c r="B1322" t="inlineStr">
        <is>
          <t>Janaina Lima dos Reis Urany</t>
        </is>
      </c>
      <c r="C1322" t="inlineStr">
        <is>
          <t>Técnico III</t>
        </is>
      </c>
      <c r="D1322" t="n">
        <v>32</v>
      </c>
      <c r="E1322" t="n">
        <v>29</v>
      </c>
      <c r="F1322" t="n">
        <v>12.31</v>
      </c>
      <c r="G1322" t="n">
        <v>0</v>
      </c>
      <c r="H1322" t="n">
        <v>0</v>
      </c>
      <c r="I1322" s="3">
        <f>E1322+G1322+H1322</f>
        <v/>
      </c>
      <c r="J1322" s="3">
        <f>ROUND(MIN(IF(C1322="Técnico III",35,IF(C1322="Técnico II",28,IF(C1322="Técnico I",23,IF(C1322="JR",20,IF(C1322="Estágio",10,0))))),IF(C1322="Técnico III",SUMIFS($D:$D,$A:$A,$A1322,$B:$B,"&lt;&gt;Patrícia Karla de Sousa Araújo",$B:$B,"&lt;&gt;Lorena Dias de Araujo",$B:$B,"&lt;&gt;Lucas Luiz Romero")*(35/1083),IF(C1322="Técnico II",SUMIFS($D:$D,$A:$A,$A1322,$B:$B,"&lt;&gt;Patrícia Karla de Sousa Araújo",$B:$B,"&lt;&gt;Lorena Dias de Araujo",$B:$B,"&lt;&gt;Lucas Luiz Romero")*(28/1083),IF(C1322="Técnico I",SUMIFS($D:$D,$A:$A,$A1322,$B:$B,"&lt;&gt;Patrícia Karla de Sousa Araújo",$B:$B,"&lt;&gt;Lorena Dias de Araujo",$B:$B,"&lt;&gt;Lucas Luiz Romero")*(23/1083),IF(C1322="JR",SUMIFS($D:$D,$A:$A,$A1322,$B:$B,"&lt;&gt;Patrícia Karla de Sousa Araújo",$B:$B,"&lt;&gt;Lorena Dias de Araujo",$B:$B,"&lt;&gt;Lucas Luiz Romero")*(20/1083),IF(C1322="Estágio",SUMIFS($D:$D,$A:$A,$A1322,$B:$B,"&lt;&gt;Patrícia Karla de Sousa Araújo",$B:$B,"&lt;&gt;Lorena Dias de Araujo",$B:$B,"&lt;&gt;Lucas Luiz Romero")*(10/1083),0)))))),0)</f>
        <v/>
      </c>
      <c r="K1322" s="3">
        <f>I1322-J1322</f>
        <v/>
      </c>
      <c r="L1322" s="3">
        <f>IF(K1322&lt;-5,"CRÍTICO",IF(K1322&lt;0,"ATENÇÃO",IF(K1322&lt;=5,"BOM","EXCELENTE")))</f>
        <v/>
      </c>
      <c r="M1322" t="n">
        <v>29</v>
      </c>
      <c r="N1322" t="n">
        <v>100</v>
      </c>
      <c r="O1322" t="n">
        <v>29.65235173824131</v>
      </c>
    </row>
    <row r="1323" hidden="1">
      <c r="A1323" s="11" t="n">
        <v>46042</v>
      </c>
      <c r="B1323" t="inlineStr">
        <is>
          <t>Jaqueline Evangelista da Silva Martins</t>
        </is>
      </c>
      <c r="C1323" t="inlineStr">
        <is>
          <t>Técnico III</t>
        </is>
      </c>
      <c r="D1323" t="n">
        <v>11</v>
      </c>
      <c r="E1323" t="n">
        <v>11</v>
      </c>
      <c r="F1323" t="n">
        <v>22.13</v>
      </c>
      <c r="G1323" t="n">
        <v>0</v>
      </c>
      <c r="H1323" t="n">
        <v>0</v>
      </c>
      <c r="I1323" s="3">
        <f>E1323+G1323+H1323</f>
        <v/>
      </c>
      <c r="J1323" s="3">
        <f>ROUND(MIN(IF(C1323="Técnico III",35,IF(C1323="Técnico II",28,IF(C1323="Técnico I",23,IF(C1323="JR",20,IF(C1323="Estágio",10,0))))),IF(C1323="Técnico III",SUMIFS($D:$D,$A:$A,$A1323,$B:$B,"&lt;&gt;Patrícia Karla de Sousa Araújo",$B:$B,"&lt;&gt;Lorena Dias de Araujo",$B:$B,"&lt;&gt;Lucas Luiz Romero")*(35/1083),IF(C1323="Técnico II",SUMIFS($D:$D,$A:$A,$A1323,$B:$B,"&lt;&gt;Patrícia Karla de Sousa Araújo",$B:$B,"&lt;&gt;Lorena Dias de Araujo",$B:$B,"&lt;&gt;Lucas Luiz Romero")*(28/1083),IF(C1323="Técnico I",SUMIFS($D:$D,$A:$A,$A1323,$B:$B,"&lt;&gt;Patrícia Karla de Sousa Araújo",$B:$B,"&lt;&gt;Lorena Dias de Araujo",$B:$B,"&lt;&gt;Lucas Luiz Romero")*(23/1083),IF(C1323="JR",SUMIFS($D:$D,$A:$A,$A1323,$B:$B,"&lt;&gt;Patrícia Karla de Sousa Araújo",$B:$B,"&lt;&gt;Lorena Dias de Araujo",$B:$B,"&lt;&gt;Lucas Luiz Romero")*(20/1083),IF(C1323="Estágio",SUMIFS($D:$D,$A:$A,$A1323,$B:$B,"&lt;&gt;Patrícia Karla de Sousa Araújo",$B:$B,"&lt;&gt;Lorena Dias de Araujo",$B:$B,"&lt;&gt;Lucas Luiz Romero")*(10/1083),0)))))),0)</f>
        <v/>
      </c>
      <c r="K1323" s="3">
        <f>I1323-J1323</f>
        <v/>
      </c>
      <c r="L1323" s="3">
        <f>IF(K1323&lt;-5,"CRÍTICO",IF(K1323&lt;0,"ATENÇÃO",IF(K1323&lt;=5,"BOM","EXCELENTE")))</f>
        <v/>
      </c>
      <c r="M1323" t="n">
        <v>8</v>
      </c>
      <c r="N1323" t="n">
        <v>100</v>
      </c>
      <c r="O1323" t="n">
        <v>28.57142857142857</v>
      </c>
    </row>
    <row r="1324" hidden="1">
      <c r="A1324" s="11" t="n">
        <v>46042</v>
      </c>
      <c r="B1324" t="inlineStr">
        <is>
          <t>Jessica Faria da Silveira</t>
        </is>
      </c>
      <c r="C1324" t="inlineStr">
        <is>
          <t>Técnico II</t>
        </is>
      </c>
      <c r="D1324" t="n">
        <v>28</v>
      </c>
      <c r="E1324" t="n">
        <v>22</v>
      </c>
      <c r="F1324" t="n">
        <v>10.45</v>
      </c>
      <c r="G1324" t="n">
        <v>0</v>
      </c>
      <c r="H1324" t="n">
        <v>0</v>
      </c>
      <c r="I1324" s="3">
        <f>E1324+G1324+H1324</f>
        <v/>
      </c>
      <c r="J1324" s="3">
        <f>ROUND(MIN(IF(C1324="Técnico III",35,IF(C1324="Técnico II",28,IF(C1324="Técnico I",23,IF(C1324="JR",20,IF(C1324="Estágio",10,0))))),IF(C1324="Técnico III",SUMIFS($D:$D,$A:$A,$A1324,$B:$B,"&lt;&gt;Patrícia Karla de Sousa Araújo",$B:$B,"&lt;&gt;Lorena Dias de Araujo",$B:$B,"&lt;&gt;Lucas Luiz Romero")*(35/1083),IF(C1324="Técnico II",SUMIFS($D:$D,$A:$A,$A1324,$B:$B,"&lt;&gt;Patrícia Karla de Sousa Araújo",$B:$B,"&lt;&gt;Lorena Dias de Araujo",$B:$B,"&lt;&gt;Lucas Luiz Romero")*(28/1083),IF(C1324="Técnico I",SUMIFS($D:$D,$A:$A,$A1324,$B:$B,"&lt;&gt;Patrícia Karla de Sousa Araújo",$B:$B,"&lt;&gt;Lorena Dias de Araujo",$B:$B,"&lt;&gt;Lucas Luiz Romero")*(23/1083),IF(C1324="JR",SUMIFS($D:$D,$A:$A,$A1324,$B:$B,"&lt;&gt;Patrícia Karla de Sousa Araújo",$B:$B,"&lt;&gt;Lorena Dias de Araujo",$B:$B,"&lt;&gt;Lucas Luiz Romero")*(20/1083),IF(C1324="Estágio",SUMIFS($D:$D,$A:$A,$A1324,$B:$B,"&lt;&gt;Patrícia Karla de Sousa Araújo",$B:$B,"&lt;&gt;Lorena Dias de Araujo",$B:$B,"&lt;&gt;Lucas Luiz Romero")*(10/1083),0)))))),0)</f>
        <v/>
      </c>
      <c r="K1324" s="3">
        <f>I1324-J1324</f>
        <v/>
      </c>
      <c r="L1324" s="3">
        <f>IF(K1324&lt;-5,"CRÍTICO",IF(K1324&lt;0,"ATENÇÃO",IF(K1324&lt;=5,"BOM","EXCELENTE")))</f>
        <v/>
      </c>
      <c r="M1324" t="n">
        <v>20</v>
      </c>
      <c r="N1324" t="n">
        <v>96.67</v>
      </c>
      <c r="O1324" t="n">
        <v>27.52613240418119</v>
      </c>
    </row>
    <row r="1325" hidden="1">
      <c r="A1325" s="11" t="n">
        <v>46042</v>
      </c>
      <c r="B1325" t="inlineStr">
        <is>
          <t>Jéssica Fé Moura</t>
        </is>
      </c>
      <c r="C1325" t="inlineStr">
        <is>
          <t>Técnico III</t>
        </is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s="3" t="n">
        <v>0</v>
      </c>
      <c r="J1325" s="3" t="n">
        <v>0</v>
      </c>
      <c r="K1325" s="3" t="n">
        <v>0</v>
      </c>
      <c r="L1325" s="3">
        <f>IF(K1325&lt;-5,"CRÍTICO",IF(K1325&lt;0,"ATENÇÃO",IF(K1325&lt;=5,"BOM","EXCELENTE")))</f>
        <v/>
      </c>
      <c r="M1325" t="n">
        <v>0</v>
      </c>
      <c r="N1325" t="n">
        <v>100</v>
      </c>
      <c r="O1325" t="n">
        <v>33.98058252427185</v>
      </c>
    </row>
    <row r="1326" hidden="1">
      <c r="A1326" s="11" t="n">
        <v>46042</v>
      </c>
      <c r="B1326" t="inlineStr">
        <is>
          <t>Karina Gonçalves Martins</t>
        </is>
      </c>
      <c r="C1326" t="inlineStr">
        <is>
          <t>JR</t>
        </is>
      </c>
      <c r="D1326" t="n">
        <v>11</v>
      </c>
      <c r="E1326" t="n">
        <v>10</v>
      </c>
      <c r="F1326" t="n">
        <v>32.28</v>
      </c>
      <c r="G1326" t="n">
        <v>0</v>
      </c>
      <c r="H1326" t="n">
        <v>0</v>
      </c>
      <c r="I1326" s="3">
        <f>E1326+G1326+H1326</f>
        <v/>
      </c>
      <c r="J1326" s="3">
        <f>ROUND(MIN(IF(C1326="Técnico III",35,IF(C1326="Técnico II",28,IF(C1326="Técnico I",23,IF(C1326="JR",20,IF(C1326="Estágio",10,0))))),IF(C1326="Técnico III",SUMIFS($D:$D,$A:$A,$A1326,$B:$B,"&lt;&gt;Patrícia Karla de Sousa Araújo",$B:$B,"&lt;&gt;Lorena Dias de Araujo",$B:$B,"&lt;&gt;Lucas Luiz Romero")*(35/1083),IF(C1326="Técnico II",SUMIFS($D:$D,$A:$A,$A1326,$B:$B,"&lt;&gt;Patrícia Karla de Sousa Araújo",$B:$B,"&lt;&gt;Lorena Dias de Araujo",$B:$B,"&lt;&gt;Lucas Luiz Romero")*(28/1083),IF(C1326="Técnico I",SUMIFS($D:$D,$A:$A,$A1326,$B:$B,"&lt;&gt;Patrícia Karla de Sousa Araújo",$B:$B,"&lt;&gt;Lorena Dias de Araujo",$B:$B,"&lt;&gt;Lucas Luiz Romero")*(23/1083),IF(C1326="JR",SUMIFS($D:$D,$A:$A,$A1326,$B:$B,"&lt;&gt;Patrícia Karla de Sousa Araújo",$B:$B,"&lt;&gt;Lorena Dias de Araujo",$B:$B,"&lt;&gt;Lucas Luiz Romero")*(20/1083),IF(C1326="Estágio",SUMIFS($D:$D,$A:$A,$A1326,$B:$B,"&lt;&gt;Patrícia Karla de Sousa Araújo",$B:$B,"&lt;&gt;Lorena Dias de Araujo",$B:$B,"&lt;&gt;Lucas Luiz Romero")*(10/1083),0)))))),0)</f>
        <v/>
      </c>
      <c r="K1326" s="3">
        <f>I1326-J1326</f>
        <v/>
      </c>
      <c r="L1326" s="3">
        <f>IF(K1326&lt;-5,"CRÍTICO",IF(K1326&lt;0,"ATENÇÃO",IF(K1326&lt;=5,"BOM","EXCELENTE")))</f>
        <v/>
      </c>
      <c r="M1326" t="n">
        <v>8</v>
      </c>
      <c r="N1326" t="n">
        <v>100</v>
      </c>
      <c r="O1326" t="n">
        <v>31.31313131313131</v>
      </c>
    </row>
    <row r="1327" hidden="1">
      <c r="A1327" s="11" t="n">
        <v>46042</v>
      </c>
      <c r="B1327" t="inlineStr">
        <is>
          <t>Kerollen Cristielly de Jesus Siqueira</t>
        </is>
      </c>
      <c r="C1327" t="inlineStr">
        <is>
          <t>Técnico III</t>
        </is>
      </c>
      <c r="D1327" t="n">
        <v>15</v>
      </c>
      <c r="E1327" t="n">
        <v>15</v>
      </c>
      <c r="F1327" t="n">
        <v>25.47</v>
      </c>
      <c r="G1327" t="n">
        <v>0</v>
      </c>
      <c r="H1327" t="n">
        <v>0</v>
      </c>
      <c r="I1327" s="3">
        <f>E1327+G1327+H1327</f>
        <v/>
      </c>
      <c r="J1327" s="3">
        <f>ROUND(MIN(IF(C1327="Técnico III",35,IF(C1327="Técnico II",28,IF(C1327="Técnico I",23,IF(C1327="JR",20,IF(C1327="Estágio",10,0))))),IF(C1327="Técnico III",SUMIFS($D:$D,$A:$A,$A1327,$B:$B,"&lt;&gt;Patrícia Karla de Sousa Araújo",$B:$B,"&lt;&gt;Lorena Dias de Araujo",$B:$B,"&lt;&gt;Lucas Luiz Romero")*(35/1083),IF(C1327="Técnico II",SUMIFS($D:$D,$A:$A,$A1327,$B:$B,"&lt;&gt;Patrícia Karla de Sousa Araújo",$B:$B,"&lt;&gt;Lorena Dias de Araujo",$B:$B,"&lt;&gt;Lucas Luiz Romero")*(28/1083),IF(C1327="Técnico I",SUMIFS($D:$D,$A:$A,$A1327,$B:$B,"&lt;&gt;Patrícia Karla de Sousa Araújo",$B:$B,"&lt;&gt;Lorena Dias de Araujo",$B:$B,"&lt;&gt;Lucas Luiz Romero")*(23/1083),IF(C1327="JR",SUMIFS($D:$D,$A:$A,$A1327,$B:$B,"&lt;&gt;Patrícia Karla de Sousa Araújo",$B:$B,"&lt;&gt;Lorena Dias de Araujo",$B:$B,"&lt;&gt;Lucas Luiz Romero")*(20/1083),IF(C1327="Estágio",SUMIFS($D:$D,$A:$A,$A1327,$B:$B,"&lt;&gt;Patrícia Karla de Sousa Araújo",$B:$B,"&lt;&gt;Lorena Dias de Araujo",$B:$B,"&lt;&gt;Lucas Luiz Romero")*(10/1083),0)))))),0)</f>
        <v/>
      </c>
      <c r="K1327" s="3">
        <f>I1327-J1327</f>
        <v/>
      </c>
      <c r="L1327" s="3">
        <f>IF(K1327&lt;-5,"CRÍTICO",IF(K1327&lt;0,"ATENÇÃO",IF(K1327&lt;=5,"BOM","EXCELENTE")))</f>
        <v/>
      </c>
      <c r="M1327" t="n">
        <v>12</v>
      </c>
      <c r="N1327" t="n">
        <v>97.41</v>
      </c>
      <c r="O1327" t="n">
        <v>41.7910447761194</v>
      </c>
    </row>
    <row r="1328" hidden="1">
      <c r="A1328" s="11" t="n">
        <v>46042</v>
      </c>
      <c r="B1328" t="inlineStr">
        <is>
          <t>Leandro de Souza Silva</t>
        </is>
      </c>
      <c r="C1328" t="inlineStr">
        <is>
          <t>JR</t>
        </is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s="3" t="n">
        <v>0</v>
      </c>
      <c r="J1328" s="3" t="n">
        <v>0</v>
      </c>
      <c r="K1328" s="3" t="n">
        <v>0</v>
      </c>
      <c r="L1328" s="3">
        <f>IF(K1328&lt;-5,"CRÍTICO",IF(K1328&lt;0,"ATENÇÃO",IF(K1328&lt;=5,"BOM","EXCELENTE")))</f>
        <v/>
      </c>
      <c r="M1328" t="n">
        <v>0</v>
      </c>
      <c r="N1328" t="n">
        <v>0</v>
      </c>
      <c r="O1328" t="n">
        <v>0</v>
      </c>
    </row>
    <row r="1329" hidden="1">
      <c r="A1329" s="11" t="n">
        <v>46042</v>
      </c>
      <c r="B1329" t="inlineStr">
        <is>
          <t>Leandro Oliveira de Sousa</t>
        </is>
      </c>
      <c r="C1329" t="inlineStr">
        <is>
          <t>Técnico III</t>
        </is>
      </c>
      <c r="D1329" t="n">
        <v>25</v>
      </c>
      <c r="E1329" t="n">
        <v>23</v>
      </c>
      <c r="F1329" t="n">
        <v>12.31</v>
      </c>
      <c r="G1329" t="n">
        <v>0</v>
      </c>
      <c r="H1329" t="n">
        <v>0</v>
      </c>
      <c r="I1329" s="3">
        <f>E1329+G1329+H1329</f>
        <v/>
      </c>
      <c r="J1329" s="3">
        <f>ROUND(MIN(IF(C1329="Técnico III",35,IF(C1329="Técnico II",28,IF(C1329="Técnico I",23,IF(C1329="JR",20,IF(C1329="Estágio",10,0))))),IF(C1329="Técnico III",SUMIFS($D:$D,$A:$A,$A1329,$B:$B,"&lt;&gt;Patrícia Karla de Sousa Araújo",$B:$B,"&lt;&gt;Lorena Dias de Araujo",$B:$B,"&lt;&gt;Lucas Luiz Romero")*(35/1083),IF(C1329="Técnico II",SUMIFS($D:$D,$A:$A,$A1329,$B:$B,"&lt;&gt;Patrícia Karla de Sousa Araújo",$B:$B,"&lt;&gt;Lorena Dias de Araujo",$B:$B,"&lt;&gt;Lucas Luiz Romero")*(28/1083),IF(C1329="Técnico I",SUMIFS($D:$D,$A:$A,$A1329,$B:$B,"&lt;&gt;Patrícia Karla de Sousa Araújo",$B:$B,"&lt;&gt;Lorena Dias de Araujo",$B:$B,"&lt;&gt;Lucas Luiz Romero")*(23/1083),IF(C1329="JR",SUMIFS($D:$D,$A:$A,$A1329,$B:$B,"&lt;&gt;Patrícia Karla de Sousa Araújo",$B:$B,"&lt;&gt;Lorena Dias de Araujo",$B:$B,"&lt;&gt;Lucas Luiz Romero")*(20/1083),IF(C1329="Estágio",SUMIFS($D:$D,$A:$A,$A1329,$B:$B,"&lt;&gt;Patrícia Karla de Sousa Araújo",$B:$B,"&lt;&gt;Lorena Dias de Araujo",$B:$B,"&lt;&gt;Lucas Luiz Romero")*(10/1083),0)))))),0)</f>
        <v/>
      </c>
      <c r="K1329" s="3">
        <f>I1329-J1329</f>
        <v/>
      </c>
      <c r="L1329" s="3">
        <f>IF(K1329&lt;-5,"CRÍTICO",IF(K1329&lt;0,"ATENÇÃO",IF(K1329&lt;=5,"BOM","EXCELENTE")))</f>
        <v/>
      </c>
      <c r="M1329" t="n">
        <v>19</v>
      </c>
      <c r="N1329" t="n">
        <v>100</v>
      </c>
      <c r="O1329" t="n">
        <v>27.27272727272727</v>
      </c>
    </row>
    <row r="1330" hidden="1">
      <c r="A1330" s="11" t="n">
        <v>46042</v>
      </c>
      <c r="B1330" t="inlineStr">
        <is>
          <t>Lizandra Gomes Duarte</t>
        </is>
      </c>
      <c r="C1330" t="inlineStr">
        <is>
          <t>Técnico II</t>
        </is>
      </c>
      <c r="D1330" t="n">
        <v>17</v>
      </c>
      <c r="E1330" t="n">
        <v>17</v>
      </c>
      <c r="F1330" t="n">
        <v>27.18</v>
      </c>
      <c r="G1330" t="n">
        <v>0</v>
      </c>
      <c r="H1330" t="n">
        <v>0</v>
      </c>
      <c r="I1330" s="3">
        <f>E1330+G1330+H1330</f>
        <v/>
      </c>
      <c r="J1330" s="3">
        <f>ROUND(MIN(IF(C1330="Técnico III",35,IF(C1330="Técnico II",28,IF(C1330="Técnico I",23,IF(C1330="JR",20,IF(C1330="Estágio",10,0))))),IF(C1330="Técnico III",SUMIFS($D:$D,$A:$A,$A1330,$B:$B,"&lt;&gt;Patrícia Karla de Sousa Araújo",$B:$B,"&lt;&gt;Lorena Dias de Araujo",$B:$B,"&lt;&gt;Lucas Luiz Romero")*(35/1083),IF(C1330="Técnico II",SUMIFS($D:$D,$A:$A,$A1330,$B:$B,"&lt;&gt;Patrícia Karla de Sousa Araújo",$B:$B,"&lt;&gt;Lorena Dias de Araujo",$B:$B,"&lt;&gt;Lucas Luiz Romero")*(28/1083),IF(C1330="Técnico I",SUMIFS($D:$D,$A:$A,$A1330,$B:$B,"&lt;&gt;Patrícia Karla de Sousa Araújo",$B:$B,"&lt;&gt;Lorena Dias de Araujo",$B:$B,"&lt;&gt;Lucas Luiz Romero")*(23/1083),IF(C1330="JR",SUMIFS($D:$D,$A:$A,$A1330,$B:$B,"&lt;&gt;Patrícia Karla de Sousa Araújo",$B:$B,"&lt;&gt;Lorena Dias de Araujo",$B:$B,"&lt;&gt;Lucas Luiz Romero")*(20/1083),IF(C1330="Estágio",SUMIFS($D:$D,$A:$A,$A1330,$B:$B,"&lt;&gt;Patrícia Karla de Sousa Araújo",$B:$B,"&lt;&gt;Lorena Dias de Araujo",$B:$B,"&lt;&gt;Lucas Luiz Romero")*(10/1083),0)))))),0)</f>
        <v/>
      </c>
      <c r="K1330" s="3">
        <f>I1330-J1330</f>
        <v/>
      </c>
      <c r="L1330" s="3">
        <f>IF(K1330&lt;-5,"CRÍTICO",IF(K1330&lt;0,"ATENÇÃO",IF(K1330&lt;=5,"BOM","EXCELENTE")))</f>
        <v/>
      </c>
      <c r="M1330" t="n">
        <v>15</v>
      </c>
      <c r="N1330" t="n">
        <v>100</v>
      </c>
      <c r="O1330" t="n">
        <v>33.9041095890411</v>
      </c>
    </row>
    <row r="1331" hidden="1">
      <c r="A1331" s="11" t="n">
        <v>46042</v>
      </c>
      <c r="B1331" t="inlineStr">
        <is>
          <t>Lorena Dias de Araujo</t>
        </is>
      </c>
      <c r="C1331" t="inlineStr">
        <is>
          <t>Técnico II</t>
        </is>
      </c>
      <c r="D1331" t="n">
        <v>25</v>
      </c>
      <c r="E1331" t="n">
        <v>24</v>
      </c>
      <c r="F1331" t="n">
        <v>19.16</v>
      </c>
      <c r="G1331" t="n">
        <v>0</v>
      </c>
      <c r="H1331" t="n">
        <v>0</v>
      </c>
      <c r="I1331" s="3" t="n">
        <v>0</v>
      </c>
      <c r="J1331" s="3" t="n">
        <v>0</v>
      </c>
      <c r="K1331" s="3" t="n">
        <v>0</v>
      </c>
      <c r="L1331" s="3">
        <f>IF(K1331&lt;-5,"CRÍTICO",IF(K1331&lt;0,"ATENÇÃO",IF(K1331&lt;=5,"BOM","EXCELENTE")))</f>
        <v/>
      </c>
      <c r="M1331" t="n">
        <v>17</v>
      </c>
      <c r="N1331" t="n">
        <v>100</v>
      </c>
      <c r="O1331" t="n">
        <v>31.07569721115538</v>
      </c>
    </row>
    <row r="1332" hidden="1">
      <c r="A1332" s="11" t="n">
        <v>46042</v>
      </c>
      <c r="B1332" t="inlineStr">
        <is>
          <t>Lucas Luiz Romero</t>
        </is>
      </c>
      <c r="C1332" t="inlineStr">
        <is>
          <t>Técnico III</t>
        </is>
      </c>
      <c r="D1332" t="n">
        <v>16</v>
      </c>
      <c r="E1332" t="n">
        <v>10</v>
      </c>
      <c r="F1332" t="n">
        <v>5.29</v>
      </c>
      <c r="G1332" t="n">
        <v>0</v>
      </c>
      <c r="H1332" t="n">
        <v>0</v>
      </c>
      <c r="I1332" s="3">
        <f>E1332+G1332+H1332</f>
        <v/>
      </c>
      <c r="J1332" s="3">
        <f>ROUND(MIN(IF(C1332="Técnico III",35,IF(C1332="Técnico II",28,IF(C1332="Técnico I",23,IF(C1332="JR",20,IF(C1332="Estágio",10,0))))),IF(C1332="Técnico III",SUMIFS($D:$D,$A:$A,$A1332,$B:$B,"&lt;&gt;Patrícia Karla de Sousa Araújo",$B:$B,"&lt;&gt;Lorena Dias de Araujo",$B:$B,"&lt;&gt;Lucas Luiz Romero")*(35/1083),IF(C1332="Técnico II",SUMIFS($D:$D,$A:$A,$A1332,$B:$B,"&lt;&gt;Patrícia Karla de Sousa Araújo",$B:$B,"&lt;&gt;Lorena Dias de Araujo",$B:$B,"&lt;&gt;Lucas Luiz Romero")*(28/1083),IF(C1332="Técnico I",SUMIFS($D:$D,$A:$A,$A1332,$B:$B,"&lt;&gt;Patrícia Karla de Sousa Araújo",$B:$B,"&lt;&gt;Lorena Dias de Araujo",$B:$B,"&lt;&gt;Lucas Luiz Romero")*(23/1083),IF(C1332="JR",SUMIFS($D:$D,$A:$A,$A1332,$B:$B,"&lt;&gt;Patrícia Karla de Sousa Araújo",$B:$B,"&lt;&gt;Lorena Dias de Araujo",$B:$B,"&lt;&gt;Lucas Luiz Romero")*(20/1083),IF(C1332="Estágio",SUMIFS($D:$D,$A:$A,$A1332,$B:$B,"&lt;&gt;Patrícia Karla de Sousa Araújo",$B:$B,"&lt;&gt;Lorena Dias de Araujo",$B:$B,"&lt;&gt;Lucas Luiz Romero")*(10/1083),0)))))),0)</f>
        <v/>
      </c>
      <c r="K1332" s="3">
        <f>I1332-J1332</f>
        <v/>
      </c>
      <c r="L1332" s="3">
        <f>IF(K1332&lt;-5,"CRÍTICO",IF(K1332&lt;0,"ATENÇÃO",IF(K1332&lt;=5,"BOM","EXCELENTE")))</f>
        <v/>
      </c>
      <c r="M1332" t="n">
        <v>7</v>
      </c>
      <c r="N1332" t="n">
        <v>97.01000000000001</v>
      </c>
      <c r="O1332" t="n">
        <v>26.26865671641791</v>
      </c>
    </row>
    <row r="1333" hidden="1">
      <c r="A1333" s="11" t="n">
        <v>46042</v>
      </c>
      <c r="B1333" t="inlineStr">
        <is>
          <t>Luiz Fernando de Carvalho Junior</t>
        </is>
      </c>
      <c r="C1333" t="inlineStr">
        <is>
          <t>Técnico I</t>
        </is>
      </c>
      <c r="D1333" t="n">
        <v>17</v>
      </c>
      <c r="E1333" t="n">
        <v>17</v>
      </c>
      <c r="F1333" t="n">
        <v>28.35</v>
      </c>
      <c r="G1333" t="n">
        <v>0</v>
      </c>
      <c r="H1333" t="n">
        <v>0</v>
      </c>
      <c r="I1333" s="3">
        <f>E1333+G1333+H1333</f>
        <v/>
      </c>
      <c r="J1333" s="3">
        <f>ROUND(MIN(IF(C1333="Técnico III",35,IF(C1333="Técnico II",28,IF(C1333="Técnico I",23,IF(C1333="JR",20,IF(C1333="Estágio",10,0))))),IF(C1333="Técnico III",SUMIFS($D:$D,$A:$A,$A1333,$B:$B,"&lt;&gt;Patrícia Karla de Sousa Araújo",$B:$B,"&lt;&gt;Lorena Dias de Araujo",$B:$B,"&lt;&gt;Lucas Luiz Romero")*(35/1083),IF(C1333="Técnico II",SUMIFS($D:$D,$A:$A,$A1333,$B:$B,"&lt;&gt;Patrícia Karla de Sousa Araújo",$B:$B,"&lt;&gt;Lorena Dias de Araujo",$B:$B,"&lt;&gt;Lucas Luiz Romero")*(28/1083),IF(C1333="Técnico I",SUMIFS($D:$D,$A:$A,$A1333,$B:$B,"&lt;&gt;Patrícia Karla de Sousa Araújo",$B:$B,"&lt;&gt;Lorena Dias de Araujo",$B:$B,"&lt;&gt;Lucas Luiz Romero")*(23/1083),IF(C1333="JR",SUMIFS($D:$D,$A:$A,$A1333,$B:$B,"&lt;&gt;Patrícia Karla de Sousa Araújo",$B:$B,"&lt;&gt;Lorena Dias de Araujo",$B:$B,"&lt;&gt;Lucas Luiz Romero")*(20/1083),IF(C1333="Estágio",SUMIFS($D:$D,$A:$A,$A1333,$B:$B,"&lt;&gt;Patrícia Karla de Sousa Araújo",$B:$B,"&lt;&gt;Lorena Dias de Araujo",$B:$B,"&lt;&gt;Lucas Luiz Romero")*(10/1083),0)))))),0)</f>
        <v/>
      </c>
      <c r="K1333" s="3">
        <f>I1333-J1333</f>
        <v/>
      </c>
      <c r="L1333" s="3">
        <f>IF(K1333&lt;-5,"CRÍTICO",IF(K1333&lt;0,"ATENÇÃO",IF(K1333&lt;=5,"BOM","EXCELENTE")))</f>
        <v/>
      </c>
      <c r="M1333" t="n">
        <v>15</v>
      </c>
      <c r="N1333" t="n">
        <v>100</v>
      </c>
      <c r="O1333" t="n">
        <v>27.3542600896861</v>
      </c>
    </row>
    <row r="1334" hidden="1">
      <c r="A1334" s="11" t="n">
        <v>46042</v>
      </c>
      <c r="B1334" t="inlineStr">
        <is>
          <t>Maria Eduarda Sousa Costa</t>
        </is>
      </c>
      <c r="C1334" t="inlineStr">
        <is>
          <t>Estágio</t>
        </is>
      </c>
      <c r="D1334" t="n">
        <v>4</v>
      </c>
      <c r="E1334" t="n">
        <v>4</v>
      </c>
      <c r="F1334" t="n">
        <v>190.33</v>
      </c>
      <c r="G1334" t="n">
        <v>0</v>
      </c>
      <c r="H1334" t="n">
        <v>0</v>
      </c>
      <c r="I1334" s="3">
        <f>E1334+G1334+H1334</f>
        <v/>
      </c>
      <c r="J1334" s="3">
        <f>ROUND(MIN(IF(C1334="Técnico III",35,IF(C1334="Técnico II",28,IF(C1334="Técnico I",23,IF(C1334="JR",20,IF(C1334="Estágio",10,0))))),IF(C1334="Técnico III",SUMIFS($D:$D,$A:$A,$A1334,$B:$B,"&lt;&gt;Patrícia Karla de Sousa Araújo",$B:$B,"&lt;&gt;Lorena Dias de Araujo",$B:$B,"&lt;&gt;Lucas Luiz Romero")*(35/1083),IF(C1334="Técnico II",SUMIFS($D:$D,$A:$A,$A1334,$B:$B,"&lt;&gt;Patrícia Karla de Sousa Araújo",$B:$B,"&lt;&gt;Lorena Dias de Araujo",$B:$B,"&lt;&gt;Lucas Luiz Romero")*(28/1083),IF(C1334="Técnico I",SUMIFS($D:$D,$A:$A,$A1334,$B:$B,"&lt;&gt;Patrícia Karla de Sousa Araújo",$B:$B,"&lt;&gt;Lorena Dias de Araujo",$B:$B,"&lt;&gt;Lucas Luiz Romero")*(23/1083),IF(C1334="JR",SUMIFS($D:$D,$A:$A,$A1334,$B:$B,"&lt;&gt;Patrícia Karla de Sousa Araújo",$B:$B,"&lt;&gt;Lorena Dias de Araujo",$B:$B,"&lt;&gt;Lucas Luiz Romero")*(20/1083),IF(C1334="Estágio",SUMIFS($D:$D,$A:$A,$A1334,$B:$B,"&lt;&gt;Patrícia Karla de Sousa Araújo",$B:$B,"&lt;&gt;Lorena Dias de Araujo",$B:$B,"&lt;&gt;Lucas Luiz Romero")*(10/1083),0)))))),0)</f>
        <v/>
      </c>
      <c r="K1334" s="3">
        <f>I1334-J1334</f>
        <v/>
      </c>
      <c r="L1334" s="3">
        <f>IF(K1334&lt;-5,"CRÍTICO",IF(K1334&lt;0,"ATENÇÃO",IF(K1334&lt;=5,"BOM","EXCELENTE")))</f>
        <v/>
      </c>
      <c r="M1334" t="n">
        <v>3</v>
      </c>
      <c r="N1334" t="n">
        <v>100</v>
      </c>
      <c r="O1334" t="n">
        <v>35.2112676056338</v>
      </c>
    </row>
    <row r="1335" hidden="1">
      <c r="A1335" s="11" t="n">
        <v>46042</v>
      </c>
      <c r="B1335" t="inlineStr">
        <is>
          <t>Matheus Farias De Souza</t>
        </is>
      </c>
      <c r="C1335" t="inlineStr">
        <is>
          <t>Técnico III</t>
        </is>
      </c>
      <c r="D1335" t="n">
        <v>25</v>
      </c>
      <c r="E1335" t="n">
        <v>24</v>
      </c>
      <c r="F1335" t="n">
        <v>15.43</v>
      </c>
      <c r="G1335" t="n">
        <v>0</v>
      </c>
      <c r="H1335" t="n">
        <v>0</v>
      </c>
      <c r="I1335" s="3">
        <f>E1335+G1335+H1335</f>
        <v/>
      </c>
      <c r="J1335" s="3">
        <f>ROUND(MIN(IF(C1335="Técnico III",35,IF(C1335="Técnico II",28,IF(C1335="Técnico I",23,IF(C1335="JR",20,IF(C1335="Estágio",10,0))))),IF(C1335="Técnico III",SUMIFS($D:$D,$A:$A,$A1335,$B:$B,"&lt;&gt;Patrícia Karla de Sousa Araújo",$B:$B,"&lt;&gt;Lorena Dias de Araujo",$B:$B,"&lt;&gt;Lucas Luiz Romero")*(35/1083),IF(C1335="Técnico II",SUMIFS($D:$D,$A:$A,$A1335,$B:$B,"&lt;&gt;Patrícia Karla de Sousa Araújo",$B:$B,"&lt;&gt;Lorena Dias de Araujo",$B:$B,"&lt;&gt;Lucas Luiz Romero")*(28/1083),IF(C1335="Técnico I",SUMIFS($D:$D,$A:$A,$A1335,$B:$B,"&lt;&gt;Patrícia Karla de Sousa Araújo",$B:$B,"&lt;&gt;Lorena Dias de Araujo",$B:$B,"&lt;&gt;Lucas Luiz Romero")*(23/1083),IF(C1335="JR",SUMIFS($D:$D,$A:$A,$A1335,$B:$B,"&lt;&gt;Patrícia Karla de Sousa Araújo",$B:$B,"&lt;&gt;Lorena Dias de Araujo",$B:$B,"&lt;&gt;Lucas Luiz Romero")*(20/1083),IF(C1335="Estágio",SUMIFS($D:$D,$A:$A,$A1335,$B:$B,"&lt;&gt;Patrícia Karla de Sousa Araújo",$B:$B,"&lt;&gt;Lorena Dias de Araujo",$B:$B,"&lt;&gt;Lucas Luiz Romero")*(10/1083),0)))))),0)</f>
        <v/>
      </c>
      <c r="K1335" s="3">
        <f>I1335-J1335</f>
        <v/>
      </c>
      <c r="L1335" s="3">
        <f>IF(K1335&lt;-5,"CRÍTICO",IF(K1335&lt;0,"ATENÇÃO",IF(K1335&lt;=5,"BOM","EXCELENTE")))</f>
        <v/>
      </c>
      <c r="M1335" t="n">
        <v>22</v>
      </c>
      <c r="N1335" t="n">
        <v>100</v>
      </c>
      <c r="O1335" t="n">
        <v>21.27659574468085</v>
      </c>
    </row>
    <row r="1336" hidden="1">
      <c r="A1336" s="11" t="n">
        <v>46042</v>
      </c>
      <c r="B1336" t="inlineStr">
        <is>
          <t>Maysa Victoria Dias Moura</t>
        </is>
      </c>
      <c r="C1336" t="inlineStr">
        <is>
          <t>Técnico III</t>
        </is>
      </c>
      <c r="D1336" t="n">
        <v>32</v>
      </c>
      <c r="E1336" t="n">
        <v>24</v>
      </c>
      <c r="F1336" t="n">
        <v>10.57</v>
      </c>
      <c r="G1336" t="n">
        <v>0</v>
      </c>
      <c r="H1336" t="n">
        <v>0</v>
      </c>
      <c r="I1336" s="3">
        <f>E1336+G1336+H1336</f>
        <v/>
      </c>
      <c r="J1336" s="3">
        <f>ROUND(MIN(IF(C1336="Técnico III",35,IF(C1336="Técnico II",28,IF(C1336="Técnico I",23,IF(C1336="JR",20,IF(C1336="Estágio",10,0))))),IF(C1336="Técnico III",SUMIFS($D:$D,$A:$A,$A1336,$B:$B,"&lt;&gt;Patrícia Karla de Sousa Araújo",$B:$B,"&lt;&gt;Lorena Dias de Araujo",$B:$B,"&lt;&gt;Lucas Luiz Romero")*(35/1083),IF(C1336="Técnico II",SUMIFS($D:$D,$A:$A,$A1336,$B:$B,"&lt;&gt;Patrícia Karla de Sousa Araújo",$B:$B,"&lt;&gt;Lorena Dias de Araujo",$B:$B,"&lt;&gt;Lucas Luiz Romero")*(28/1083),IF(C1336="Técnico I",SUMIFS($D:$D,$A:$A,$A1336,$B:$B,"&lt;&gt;Patrícia Karla de Sousa Araújo",$B:$B,"&lt;&gt;Lorena Dias de Araujo",$B:$B,"&lt;&gt;Lucas Luiz Romero")*(23/1083),IF(C1336="JR",SUMIFS($D:$D,$A:$A,$A1336,$B:$B,"&lt;&gt;Patrícia Karla de Sousa Araújo",$B:$B,"&lt;&gt;Lorena Dias de Araujo",$B:$B,"&lt;&gt;Lucas Luiz Romero")*(20/1083),IF(C1336="Estágio",SUMIFS($D:$D,$A:$A,$A1336,$B:$B,"&lt;&gt;Patrícia Karla de Sousa Araújo",$B:$B,"&lt;&gt;Lorena Dias de Araujo",$B:$B,"&lt;&gt;Lucas Luiz Romero")*(10/1083),0)))))),0)</f>
        <v/>
      </c>
      <c r="K1336" s="3">
        <f>I1336-J1336</f>
        <v/>
      </c>
      <c r="L1336" s="3">
        <f>IF(K1336&lt;-5,"CRÍTICO",IF(K1336&lt;0,"ATENÇÃO",IF(K1336&lt;=5,"BOM","EXCELENTE")))</f>
        <v/>
      </c>
      <c r="M1336" t="n">
        <v>24</v>
      </c>
      <c r="N1336" t="n">
        <v>100</v>
      </c>
      <c r="O1336" t="n">
        <v>29.91452991452991</v>
      </c>
    </row>
    <row r="1337" hidden="1">
      <c r="A1337" s="11" t="n">
        <v>46042</v>
      </c>
      <c r="B1337" t="inlineStr">
        <is>
          <t>Michelle G Santos</t>
        </is>
      </c>
      <c r="C1337" t="inlineStr">
        <is>
          <t>Estágio</t>
        </is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s="3" t="n">
        <v>0</v>
      </c>
      <c r="J1337" s="3" t="n">
        <v>0</v>
      </c>
      <c r="K1337" s="3" t="n">
        <v>0</v>
      </c>
      <c r="L1337" s="3">
        <f>IF(K1337&lt;-5,"CRÍTICO",IF(K1337&lt;0,"ATENÇÃO",IF(K1337&lt;=5,"BOM","EXCELENTE")))</f>
        <v/>
      </c>
      <c r="M1337" t="n">
        <v>0</v>
      </c>
      <c r="N1337" t="n">
        <v>0</v>
      </c>
      <c r="O1337" t="n">
        <v>0</v>
      </c>
    </row>
    <row r="1338" hidden="1">
      <c r="A1338" s="11" t="n">
        <v>46042</v>
      </c>
      <c r="B1338" t="inlineStr">
        <is>
          <t>Milena Sales</t>
        </is>
      </c>
      <c r="C1338" t="inlineStr">
        <is>
          <t>JR</t>
        </is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s="3" t="n">
        <v>0</v>
      </c>
      <c r="J1338" s="3" t="n">
        <v>0</v>
      </c>
      <c r="K1338" s="3" t="n">
        <v>0</v>
      </c>
      <c r="L1338" s="3">
        <f>IF(K1338&lt;-5,"CRÍTICO",IF(K1338&lt;0,"ATENÇÃO",IF(K1338&lt;=5,"BOM","EXCELENTE")))</f>
        <v/>
      </c>
      <c r="M1338" t="n">
        <v>0</v>
      </c>
      <c r="N1338" t="n">
        <v>0</v>
      </c>
      <c r="O1338" t="n">
        <v>0</v>
      </c>
    </row>
    <row r="1339" hidden="1">
      <c r="A1339" s="11" t="n">
        <v>46042</v>
      </c>
      <c r="B1339" t="inlineStr">
        <is>
          <t>Patrícia Karla de Sousa Araújo</t>
        </is>
      </c>
      <c r="C1339" t="inlineStr">
        <is>
          <t>Técnico II</t>
        </is>
      </c>
      <c r="D1339" t="n">
        <v>18</v>
      </c>
      <c r="E1339" t="n">
        <v>16</v>
      </c>
      <c r="F1339" t="n">
        <v>26.44</v>
      </c>
      <c r="G1339" t="n">
        <v>0</v>
      </c>
      <c r="H1339" t="n">
        <v>0</v>
      </c>
      <c r="I1339" s="3">
        <f>E1339+G1339+H1339</f>
        <v/>
      </c>
      <c r="J1339" s="3">
        <f>ROUND(MIN(IF(C1339="Técnico III",35,IF(C1339="Técnico II",28,IF(C1339="Técnico I",23,IF(C1339="JR",20,IF(C1339="Estágio",10,0))))),IF(C1339="Técnico III",SUMIFS($D:$D,$A:$A,$A1339,$B:$B,"&lt;&gt;Patrícia Karla de Sousa Araújo",$B:$B,"&lt;&gt;Lorena Dias de Araujo",$B:$B,"&lt;&gt;Lucas Luiz Romero")*(35/1083),IF(C1339="Técnico II",SUMIFS($D:$D,$A:$A,$A1339,$B:$B,"&lt;&gt;Patrícia Karla de Sousa Araújo",$B:$B,"&lt;&gt;Lorena Dias de Araujo",$B:$B,"&lt;&gt;Lucas Luiz Romero")*(28/1083),IF(C1339="Técnico I",SUMIFS($D:$D,$A:$A,$A1339,$B:$B,"&lt;&gt;Patrícia Karla de Sousa Araújo",$B:$B,"&lt;&gt;Lorena Dias de Araujo",$B:$B,"&lt;&gt;Lucas Luiz Romero")*(23/1083),IF(C1339="JR",SUMIFS($D:$D,$A:$A,$A1339,$B:$B,"&lt;&gt;Patrícia Karla de Sousa Araújo",$B:$B,"&lt;&gt;Lorena Dias de Araujo",$B:$B,"&lt;&gt;Lucas Luiz Romero")*(20/1083),IF(C1339="Estágio",SUMIFS($D:$D,$A:$A,$A1339,$B:$B,"&lt;&gt;Patrícia Karla de Sousa Araújo",$B:$B,"&lt;&gt;Lorena Dias de Araujo",$B:$B,"&lt;&gt;Lucas Luiz Romero")*(10/1083),0)))))),0)</f>
        <v/>
      </c>
      <c r="K1339" s="3">
        <f>I1339-J1339</f>
        <v/>
      </c>
      <c r="L1339" s="3">
        <f>IF(K1339&lt;-5,"CRÍTICO",IF(K1339&lt;0,"ATENÇÃO",IF(K1339&lt;=5,"BOM","EXCELENTE")))</f>
        <v/>
      </c>
      <c r="M1339" t="n">
        <v>14</v>
      </c>
      <c r="N1339" t="n">
        <v>100</v>
      </c>
      <c r="O1339" t="n">
        <v>30.43478260869566</v>
      </c>
    </row>
    <row r="1340" hidden="1">
      <c r="A1340" s="11" t="n">
        <v>46042</v>
      </c>
      <c r="B1340" t="inlineStr">
        <is>
          <t>Paulo Ricardo Santos</t>
        </is>
      </c>
      <c r="C1340" t="inlineStr">
        <is>
          <t>JR</t>
        </is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s="3" t="n">
        <v>0</v>
      </c>
      <c r="J1340" s="3" t="n">
        <v>0</v>
      </c>
      <c r="K1340" s="3" t="n">
        <v>0</v>
      </c>
      <c r="L1340" s="3">
        <f>IF(K1340&lt;-5,"CRÍTICO",IF(K1340&lt;0,"ATENÇÃO",IF(K1340&lt;=5,"BOM","EXCELENTE")))</f>
        <v/>
      </c>
      <c r="M1340" t="n">
        <v>0</v>
      </c>
      <c r="N1340" t="n">
        <v>0</v>
      </c>
      <c r="O1340" t="n">
        <v>0</v>
      </c>
    </row>
    <row r="1341" hidden="1">
      <c r="A1341" s="11" t="n">
        <v>46042</v>
      </c>
      <c r="B1341" t="inlineStr">
        <is>
          <t>Pedro Luiz Mota Sousa</t>
        </is>
      </c>
      <c r="C1341" t="inlineStr">
        <is>
          <t>JR</t>
        </is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s="3" t="n">
        <v>0</v>
      </c>
      <c r="J1341" s="3" t="n">
        <v>0</v>
      </c>
      <c r="K1341" s="3" t="n">
        <v>0</v>
      </c>
      <c r="L1341" s="3">
        <f>IF(K1341&lt;-5,"CRÍTICO",IF(K1341&lt;0,"ATENÇÃO",IF(K1341&lt;=5,"BOM","EXCELENTE")))</f>
        <v/>
      </c>
      <c r="M1341" t="n">
        <v>0</v>
      </c>
      <c r="N1341" t="n">
        <v>0</v>
      </c>
      <c r="O1341" t="n">
        <v>0</v>
      </c>
    </row>
    <row r="1342" hidden="1">
      <c r="A1342" s="11" t="n">
        <v>46042</v>
      </c>
      <c r="B1342" t="inlineStr">
        <is>
          <t>Quirino Diogo Leite Torres</t>
        </is>
      </c>
      <c r="C1342" t="inlineStr">
        <is>
          <t>Estágio</t>
        </is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s="3" t="n">
        <v>0</v>
      </c>
      <c r="J1342" s="3" t="n">
        <v>0</v>
      </c>
      <c r="K1342" s="3" t="n">
        <v>0</v>
      </c>
      <c r="L1342" s="3">
        <f>IF(K1342&lt;-5,"CRÍTICO",IF(K1342&lt;0,"ATENÇÃO",IF(K1342&lt;=5,"BOM","EXCELENTE")))</f>
        <v/>
      </c>
      <c r="M1342" t="n">
        <v>0</v>
      </c>
      <c r="N1342" t="n">
        <v>0</v>
      </c>
      <c r="O1342" t="n">
        <v>0</v>
      </c>
    </row>
    <row r="1343" hidden="1">
      <c r="A1343" s="11" t="n">
        <v>46042</v>
      </c>
      <c r="B1343" t="inlineStr">
        <is>
          <t>Raane Batista Matos</t>
        </is>
      </c>
      <c r="C1343" t="inlineStr">
        <is>
          <t>Técnico I</t>
        </is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s="3" t="n">
        <v>0</v>
      </c>
      <c r="J1343" s="3" t="n">
        <v>0</v>
      </c>
      <c r="K1343" s="3" t="n">
        <v>0</v>
      </c>
      <c r="L1343" s="3">
        <f>IF(K1343&lt;-5,"CRÍTICO",IF(K1343&lt;0,"ATENÇÃO",IF(K1343&lt;=5,"BOM","EXCELENTE")))</f>
        <v/>
      </c>
      <c r="M1343" t="n">
        <v>0</v>
      </c>
      <c r="N1343" t="n">
        <v>0</v>
      </c>
      <c r="O1343" t="n">
        <v>0</v>
      </c>
    </row>
    <row r="1344" hidden="1">
      <c r="A1344" s="11" t="n">
        <v>46042</v>
      </c>
      <c r="B1344" t="inlineStr">
        <is>
          <t>Rafael Gomes de Morais</t>
        </is>
      </c>
      <c r="C1344" t="inlineStr">
        <is>
          <t>Técnico III</t>
        </is>
      </c>
      <c r="D1344" t="n">
        <v>28</v>
      </c>
      <c r="E1344" t="n">
        <v>25</v>
      </c>
      <c r="F1344" t="n">
        <v>12.1</v>
      </c>
      <c r="G1344" t="n">
        <v>0</v>
      </c>
      <c r="H1344" t="n">
        <v>0</v>
      </c>
      <c r="I1344" s="3">
        <f>E1344+G1344+H1344</f>
        <v/>
      </c>
      <c r="J1344" s="3">
        <f>ROUND(MIN(IF(C1344="Técnico III",35,IF(C1344="Técnico II",28,IF(C1344="Técnico I",23,IF(C1344="JR",20,IF(C1344="Estágio",10,0))))),IF(C1344="Técnico III",SUMIFS($D:$D,$A:$A,$A1344,$B:$B,"&lt;&gt;Patrícia Karla de Sousa Araújo",$B:$B,"&lt;&gt;Lorena Dias de Araujo",$B:$B,"&lt;&gt;Lucas Luiz Romero")*(35/1083),IF(C1344="Técnico II",SUMIFS($D:$D,$A:$A,$A1344,$B:$B,"&lt;&gt;Patrícia Karla de Sousa Araújo",$B:$B,"&lt;&gt;Lorena Dias de Araujo",$B:$B,"&lt;&gt;Lucas Luiz Romero")*(28/1083),IF(C1344="Técnico I",SUMIFS($D:$D,$A:$A,$A1344,$B:$B,"&lt;&gt;Patrícia Karla de Sousa Araújo",$B:$B,"&lt;&gt;Lorena Dias de Araujo",$B:$B,"&lt;&gt;Lucas Luiz Romero")*(23/1083),IF(C1344="JR",SUMIFS($D:$D,$A:$A,$A1344,$B:$B,"&lt;&gt;Patrícia Karla de Sousa Araújo",$B:$B,"&lt;&gt;Lorena Dias de Araujo",$B:$B,"&lt;&gt;Lucas Luiz Romero")*(20/1083),IF(C1344="Estágio",SUMIFS($D:$D,$A:$A,$A1344,$B:$B,"&lt;&gt;Patrícia Karla de Sousa Araújo",$B:$B,"&lt;&gt;Lorena Dias de Araujo",$B:$B,"&lt;&gt;Lucas Luiz Romero")*(10/1083),0)))))),0)</f>
        <v/>
      </c>
      <c r="K1344" s="3">
        <f>I1344-J1344</f>
        <v/>
      </c>
      <c r="L1344" s="3">
        <f>IF(K1344&lt;-5,"CRÍTICO",IF(K1344&lt;0,"ATENÇÃO",IF(K1344&lt;=5,"BOM","EXCELENTE")))</f>
        <v/>
      </c>
      <c r="M1344" t="n">
        <v>27</v>
      </c>
      <c r="N1344" t="n">
        <v>100</v>
      </c>
      <c r="O1344" t="n">
        <v>48.14814814814815</v>
      </c>
    </row>
    <row r="1345" hidden="1">
      <c r="A1345" s="11" t="n">
        <v>46042</v>
      </c>
      <c r="B1345" t="inlineStr">
        <is>
          <t>Sara Maria Monteiro Lopes</t>
        </is>
      </c>
      <c r="C1345" t="inlineStr">
        <is>
          <t>Técnico I</t>
        </is>
      </c>
      <c r="D1345" t="n">
        <v>11</v>
      </c>
      <c r="E1345" t="n">
        <v>11</v>
      </c>
      <c r="F1345" t="n">
        <v>35.13</v>
      </c>
      <c r="G1345" t="n">
        <v>0</v>
      </c>
      <c r="H1345" t="n">
        <v>0</v>
      </c>
      <c r="I1345" s="3">
        <f>E1345+G1345+H1345</f>
        <v/>
      </c>
      <c r="J1345" s="3">
        <f>ROUND(MIN(IF(C1345="Técnico III",35,IF(C1345="Técnico II",28,IF(C1345="Técnico I",23,IF(C1345="JR",20,IF(C1345="Estágio",10,0))))),IF(C1345="Técnico III",SUMIFS($D:$D,$A:$A,$A1345,$B:$B,"&lt;&gt;Patrícia Karla de Sousa Araújo",$B:$B,"&lt;&gt;Lorena Dias de Araujo",$B:$B,"&lt;&gt;Lucas Luiz Romero")*(35/1083),IF(C1345="Técnico II",SUMIFS($D:$D,$A:$A,$A1345,$B:$B,"&lt;&gt;Patrícia Karla de Sousa Araújo",$B:$B,"&lt;&gt;Lorena Dias de Araujo",$B:$B,"&lt;&gt;Lucas Luiz Romero")*(28/1083),IF(C1345="Técnico I",SUMIFS($D:$D,$A:$A,$A1345,$B:$B,"&lt;&gt;Patrícia Karla de Sousa Araújo",$B:$B,"&lt;&gt;Lorena Dias de Araujo",$B:$B,"&lt;&gt;Lucas Luiz Romero")*(23/1083),IF(C1345="JR",SUMIFS($D:$D,$A:$A,$A1345,$B:$B,"&lt;&gt;Patrícia Karla de Sousa Araújo",$B:$B,"&lt;&gt;Lorena Dias de Araujo",$B:$B,"&lt;&gt;Lucas Luiz Romero")*(20/1083),IF(C1345="Estágio",SUMIFS($D:$D,$A:$A,$A1345,$B:$B,"&lt;&gt;Patrícia Karla de Sousa Araújo",$B:$B,"&lt;&gt;Lorena Dias de Araujo",$B:$B,"&lt;&gt;Lucas Luiz Romero")*(10/1083),0)))))),0)</f>
        <v/>
      </c>
      <c r="K1345" s="3">
        <f>I1345-J1345</f>
        <v/>
      </c>
      <c r="L1345" s="3">
        <f>IF(K1345&lt;-5,"CRÍTICO",IF(K1345&lt;0,"ATENÇÃO",IF(K1345&lt;=5,"BOM","EXCELENTE")))</f>
        <v/>
      </c>
      <c r="M1345" t="n">
        <v>11</v>
      </c>
      <c r="N1345" t="n">
        <v>100</v>
      </c>
      <c r="O1345" t="n">
        <v>32.45033112582782</v>
      </c>
    </row>
    <row r="1346" hidden="1">
      <c r="A1346" s="11" t="n">
        <v>46042</v>
      </c>
      <c r="B1346" t="inlineStr">
        <is>
          <t>Sarah Steffanie de Lima Borges</t>
        </is>
      </c>
      <c r="C1346" t="inlineStr">
        <is>
          <t>Técnico III</t>
        </is>
      </c>
      <c r="D1346" t="n">
        <v>29</v>
      </c>
      <c r="E1346" t="n">
        <v>26</v>
      </c>
      <c r="F1346" t="n">
        <v>14.06</v>
      </c>
      <c r="G1346" t="n">
        <v>0</v>
      </c>
      <c r="H1346" t="n">
        <v>0</v>
      </c>
      <c r="I1346" s="3">
        <f>E1346+G1346+H1346</f>
        <v/>
      </c>
      <c r="J1346" s="3">
        <f>ROUND(MIN(IF(C1346="Técnico III",35,IF(C1346="Técnico II",28,IF(C1346="Técnico I",23,IF(C1346="JR",20,IF(C1346="Estágio",10,0))))),IF(C1346="Técnico III",SUMIFS($D:$D,$A:$A,$A1346,$B:$B,"&lt;&gt;Patrícia Karla de Sousa Araújo",$B:$B,"&lt;&gt;Lorena Dias de Araujo",$B:$B,"&lt;&gt;Lucas Luiz Romero")*(35/1083),IF(C1346="Técnico II",SUMIFS($D:$D,$A:$A,$A1346,$B:$B,"&lt;&gt;Patrícia Karla de Sousa Araújo",$B:$B,"&lt;&gt;Lorena Dias de Araujo",$B:$B,"&lt;&gt;Lucas Luiz Romero")*(28/1083),IF(C1346="Técnico I",SUMIFS($D:$D,$A:$A,$A1346,$B:$B,"&lt;&gt;Patrícia Karla de Sousa Araújo",$B:$B,"&lt;&gt;Lorena Dias de Araujo",$B:$B,"&lt;&gt;Lucas Luiz Romero")*(23/1083),IF(C1346="JR",SUMIFS($D:$D,$A:$A,$A1346,$B:$B,"&lt;&gt;Patrícia Karla de Sousa Araújo",$B:$B,"&lt;&gt;Lorena Dias de Araujo",$B:$B,"&lt;&gt;Lucas Luiz Romero")*(20/1083),IF(C1346="Estágio",SUMIFS($D:$D,$A:$A,$A1346,$B:$B,"&lt;&gt;Patrícia Karla de Sousa Araújo",$B:$B,"&lt;&gt;Lorena Dias de Araujo",$B:$B,"&lt;&gt;Lucas Luiz Romero")*(10/1083),0)))))),0)</f>
        <v/>
      </c>
      <c r="K1346" s="3">
        <f>I1346-J1346</f>
        <v/>
      </c>
      <c r="L1346" s="3">
        <f>IF(K1346&lt;-5,"CRÍTICO",IF(K1346&lt;0,"ATENÇÃO",IF(K1346&lt;=5,"BOM","EXCELENTE")))</f>
        <v/>
      </c>
      <c r="M1346" t="n">
        <v>23</v>
      </c>
      <c r="N1346" t="n">
        <v>100</v>
      </c>
      <c r="O1346" t="n">
        <v>26.07260726072607</v>
      </c>
    </row>
    <row r="1347" hidden="1">
      <c r="A1347" s="11" t="n">
        <v>46043</v>
      </c>
      <c r="B1347" t="inlineStr">
        <is>
          <t>Alisson de Freitas Silva</t>
        </is>
      </c>
      <c r="C1347" t="inlineStr">
        <is>
          <t>Técnico II</t>
        </is>
      </c>
      <c r="D1347" t="n">
        <v>27</v>
      </c>
      <c r="E1347" t="n">
        <v>23</v>
      </c>
      <c r="F1347" t="n">
        <v>10.01</v>
      </c>
      <c r="G1347" t="n">
        <v>0</v>
      </c>
      <c r="H1347" t="n">
        <v>0</v>
      </c>
      <c r="I1347" s="3">
        <f>E1347+G1347+H1347</f>
        <v/>
      </c>
      <c r="J1347" s="3">
        <f>ROUND(MIN(IF(C1347="Técnico III",35,IF(C1347="Técnico II",28,IF(C1347="Técnico I",23,IF(C1347="JR",20,IF(C1347="Estágio",10,0))))),IF(C1347="Técnico III",SUMIFS($D:$D,$A:$A,$A1347,$B:$B,"&lt;&gt;Patrícia Karla de Sousa Araújo",$B:$B,"&lt;&gt;Lorena Dias de Araujo",$B:$B,"&lt;&gt;Lucas Luiz Romero")*(35/1083),IF(C1347="Técnico II",SUMIFS($D:$D,$A:$A,$A1347,$B:$B,"&lt;&gt;Patrícia Karla de Sousa Araújo",$B:$B,"&lt;&gt;Lorena Dias de Araujo",$B:$B,"&lt;&gt;Lucas Luiz Romero")*(28/1083),IF(C1347="Técnico I",SUMIFS($D:$D,$A:$A,$A1347,$B:$B,"&lt;&gt;Patrícia Karla de Sousa Araújo",$B:$B,"&lt;&gt;Lorena Dias de Araujo",$B:$B,"&lt;&gt;Lucas Luiz Romero")*(23/1083),IF(C1347="JR",SUMIFS($D:$D,$A:$A,$A1347,$B:$B,"&lt;&gt;Patrícia Karla de Sousa Araújo",$B:$B,"&lt;&gt;Lorena Dias de Araujo",$B:$B,"&lt;&gt;Lucas Luiz Romero")*(20/1083),IF(C1347="Estágio",SUMIFS($D:$D,$A:$A,$A1347,$B:$B,"&lt;&gt;Patrícia Karla de Sousa Araújo",$B:$B,"&lt;&gt;Lorena Dias de Araujo",$B:$B,"&lt;&gt;Lucas Luiz Romero")*(10/1083),0)))))),0)</f>
        <v/>
      </c>
      <c r="K1347" s="3">
        <f>I1347-J1347</f>
        <v/>
      </c>
      <c r="L1347" s="3">
        <f>IF(K1347&lt;-5,"CRÍTICO",IF(K1347&lt;0,"ATENÇÃO",IF(K1347&lt;=5,"BOM","EXCELENTE")))</f>
        <v/>
      </c>
      <c r="N1347" t="n">
        <v>96.81</v>
      </c>
      <c r="O1347" t="n">
        <v>27.98053527980535</v>
      </c>
    </row>
    <row r="1348" hidden="1">
      <c r="A1348" s="11" t="n">
        <v>46043</v>
      </c>
      <c r="B1348" t="inlineStr">
        <is>
          <t>Amanda Moura Ferreira</t>
        </is>
      </c>
      <c r="C1348" t="inlineStr">
        <is>
          <t>Técnico III</t>
        </is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s="3" t="n">
        <v>0</v>
      </c>
      <c r="J1348" s="3" t="n">
        <v>0</v>
      </c>
      <c r="K1348" s="3" t="n">
        <v>0</v>
      </c>
      <c r="L1348" s="3">
        <f>IF(K1348&lt;-5,"CRÍTICO",IF(K1348&lt;0,"ATENÇÃO",IF(K1348&lt;=5,"BOM","EXCELENTE")))</f>
        <v/>
      </c>
      <c r="N1348" t="n">
        <v>98.73</v>
      </c>
      <c r="O1348" t="n">
        <v>35.75638506876228</v>
      </c>
    </row>
    <row r="1349" hidden="1">
      <c r="A1349" s="11" t="n">
        <v>46043</v>
      </c>
      <c r="B1349" t="inlineStr">
        <is>
          <t>Ana Karollyne Souza Faria</t>
        </is>
      </c>
      <c r="C1349" t="inlineStr">
        <is>
          <t>Técnico I</t>
        </is>
      </c>
      <c r="D1349" t="n">
        <v>21</v>
      </c>
      <c r="E1349" t="n">
        <v>21</v>
      </c>
      <c r="F1349" t="n">
        <v>15.18</v>
      </c>
      <c r="G1349" t="n">
        <v>0</v>
      </c>
      <c r="H1349" t="n">
        <v>0</v>
      </c>
      <c r="I1349" s="3">
        <f>E1349+G1349+H1349</f>
        <v/>
      </c>
      <c r="J1349" s="3">
        <f>ROUND(MIN(IF(C1349="Técnico III",35,IF(C1349="Técnico II",28,IF(C1349="Técnico I",23,IF(C1349="JR",20,IF(C1349="Estágio",10,0))))),IF(C1349="Técnico III",SUMIFS($D:$D,$A:$A,$A1349,$B:$B,"&lt;&gt;Patrícia Karla de Sousa Araújo",$B:$B,"&lt;&gt;Lorena Dias de Araujo",$B:$B,"&lt;&gt;Lucas Luiz Romero")*(35/1083),IF(C1349="Técnico II",SUMIFS($D:$D,$A:$A,$A1349,$B:$B,"&lt;&gt;Patrícia Karla de Sousa Araújo",$B:$B,"&lt;&gt;Lorena Dias de Araujo",$B:$B,"&lt;&gt;Lucas Luiz Romero")*(28/1083),IF(C1349="Técnico I",SUMIFS($D:$D,$A:$A,$A1349,$B:$B,"&lt;&gt;Patrícia Karla de Sousa Araújo",$B:$B,"&lt;&gt;Lorena Dias de Araujo",$B:$B,"&lt;&gt;Lucas Luiz Romero")*(23/1083),IF(C1349="JR",SUMIFS($D:$D,$A:$A,$A1349,$B:$B,"&lt;&gt;Patrícia Karla de Sousa Araújo",$B:$B,"&lt;&gt;Lorena Dias de Araujo",$B:$B,"&lt;&gt;Lucas Luiz Romero")*(20/1083),IF(C1349="Estágio",SUMIFS($D:$D,$A:$A,$A1349,$B:$B,"&lt;&gt;Patrícia Karla de Sousa Araújo",$B:$B,"&lt;&gt;Lorena Dias de Araujo",$B:$B,"&lt;&gt;Lucas Luiz Romero")*(10/1083),0)))))),0)</f>
        <v/>
      </c>
      <c r="K1349" s="3">
        <f>I1349-J1349</f>
        <v/>
      </c>
      <c r="L1349" s="3">
        <f>IF(K1349&lt;-5,"CRÍTICO",IF(K1349&lt;0,"ATENÇÃO",IF(K1349&lt;=5,"BOM","EXCELENTE")))</f>
        <v/>
      </c>
      <c r="N1349" t="n">
        <v>98.31999999999999</v>
      </c>
      <c r="O1349" t="n">
        <v>26.76348547717842</v>
      </c>
    </row>
    <row r="1350" hidden="1">
      <c r="A1350" s="11" t="n">
        <v>46043</v>
      </c>
      <c r="B1350" t="inlineStr">
        <is>
          <t>Ana Paula Da Luz Silva Aleixo</t>
        </is>
      </c>
      <c r="C1350" t="inlineStr">
        <is>
          <t>Técnico III</t>
        </is>
      </c>
      <c r="D1350" t="n">
        <v>25</v>
      </c>
      <c r="E1350" t="n">
        <v>20</v>
      </c>
      <c r="F1350" t="n">
        <v>15.25</v>
      </c>
      <c r="G1350" t="n">
        <v>0</v>
      </c>
      <c r="H1350" t="n">
        <v>0</v>
      </c>
      <c r="I1350" s="3">
        <f>E1350+G1350+H1350</f>
        <v/>
      </c>
      <c r="J1350" s="3">
        <f>ROUND(MIN(IF(C1350="Técnico III",35,IF(C1350="Técnico II",28,IF(C1350="Técnico I",23,IF(C1350="JR",20,IF(C1350="Estágio",10,0))))),IF(C1350="Técnico III",SUMIFS($D:$D,$A:$A,$A1350,$B:$B,"&lt;&gt;Patrícia Karla de Sousa Araújo",$B:$B,"&lt;&gt;Lorena Dias de Araujo",$B:$B,"&lt;&gt;Lucas Luiz Romero")*(35/1083),IF(C1350="Técnico II",SUMIFS($D:$D,$A:$A,$A1350,$B:$B,"&lt;&gt;Patrícia Karla de Sousa Araújo",$B:$B,"&lt;&gt;Lorena Dias de Araujo",$B:$B,"&lt;&gt;Lucas Luiz Romero")*(28/1083),IF(C1350="Técnico I",SUMIFS($D:$D,$A:$A,$A1350,$B:$B,"&lt;&gt;Patrícia Karla de Sousa Araújo",$B:$B,"&lt;&gt;Lorena Dias de Araujo",$B:$B,"&lt;&gt;Lucas Luiz Romero")*(23/1083),IF(C1350="JR",SUMIFS($D:$D,$A:$A,$A1350,$B:$B,"&lt;&gt;Patrícia Karla de Sousa Araújo",$B:$B,"&lt;&gt;Lorena Dias de Araujo",$B:$B,"&lt;&gt;Lucas Luiz Romero")*(20/1083),IF(C1350="Estágio",SUMIFS($D:$D,$A:$A,$A1350,$B:$B,"&lt;&gt;Patrícia Karla de Sousa Araújo",$B:$B,"&lt;&gt;Lorena Dias de Araujo",$B:$B,"&lt;&gt;Lucas Luiz Romero")*(10/1083),0)))))),0)</f>
        <v/>
      </c>
      <c r="K1350" s="3">
        <f>I1350-J1350</f>
        <v/>
      </c>
      <c r="L1350" s="3">
        <f>IF(K1350&lt;-5,"CRÍTICO",IF(K1350&lt;0,"ATENÇÃO",IF(K1350&lt;=5,"BOM","EXCELENTE")))</f>
        <v/>
      </c>
      <c r="N1350" t="n">
        <v>99.19</v>
      </c>
      <c r="O1350" t="n">
        <v>27.63713080168776</v>
      </c>
    </row>
    <row r="1351" hidden="1">
      <c r="A1351" s="11" t="n">
        <v>46043</v>
      </c>
      <c r="B1351" t="inlineStr">
        <is>
          <t>Anna Luiza Rezende Tavares</t>
        </is>
      </c>
      <c r="C1351" t="inlineStr">
        <is>
          <t>Estágio</t>
        </is>
      </c>
      <c r="D1351" t="n">
        <v>9</v>
      </c>
      <c r="E1351" t="n">
        <v>9</v>
      </c>
      <c r="F1351" t="n">
        <v>18.4</v>
      </c>
      <c r="G1351" t="n">
        <v>0</v>
      </c>
      <c r="H1351" t="n">
        <v>0</v>
      </c>
      <c r="I1351" s="3">
        <f>E1351+G1351+H1351</f>
        <v/>
      </c>
      <c r="J1351" s="3">
        <f>ROUND(MIN(IF(C1351="Técnico III",35,IF(C1351="Técnico II",28,IF(C1351="Técnico I",23,IF(C1351="JR",20,IF(C1351="Estágio",10,0))))),IF(C1351="Técnico III",SUMIFS($D:$D,$A:$A,$A1351,$B:$B,"&lt;&gt;Patrícia Karla de Sousa Araújo",$B:$B,"&lt;&gt;Lorena Dias de Araujo",$B:$B,"&lt;&gt;Lucas Luiz Romero")*(35/1083),IF(C1351="Técnico II",SUMIFS($D:$D,$A:$A,$A1351,$B:$B,"&lt;&gt;Patrícia Karla de Sousa Araújo",$B:$B,"&lt;&gt;Lorena Dias de Araujo",$B:$B,"&lt;&gt;Lucas Luiz Romero")*(28/1083),IF(C1351="Técnico I",SUMIFS($D:$D,$A:$A,$A1351,$B:$B,"&lt;&gt;Patrícia Karla de Sousa Araújo",$B:$B,"&lt;&gt;Lorena Dias de Araujo",$B:$B,"&lt;&gt;Lucas Luiz Romero")*(23/1083),IF(C1351="JR",SUMIFS($D:$D,$A:$A,$A1351,$B:$B,"&lt;&gt;Patrícia Karla de Sousa Araújo",$B:$B,"&lt;&gt;Lorena Dias de Araujo",$B:$B,"&lt;&gt;Lucas Luiz Romero")*(20/1083),IF(C1351="Estágio",SUMIFS($D:$D,$A:$A,$A1351,$B:$B,"&lt;&gt;Patrícia Karla de Sousa Araújo",$B:$B,"&lt;&gt;Lorena Dias de Araujo",$B:$B,"&lt;&gt;Lucas Luiz Romero")*(10/1083),0)))))),0)</f>
        <v/>
      </c>
      <c r="K1351" s="3">
        <f>I1351-J1351</f>
        <v/>
      </c>
      <c r="L1351" s="3">
        <f>IF(K1351&lt;-5,"CRÍTICO",IF(K1351&lt;0,"ATENÇÃO",IF(K1351&lt;=5,"BOM","EXCELENTE")))</f>
        <v/>
      </c>
      <c r="N1351" t="n">
        <v>100</v>
      </c>
      <c r="O1351" t="n">
        <v>39.56834532374101</v>
      </c>
    </row>
    <row r="1352" hidden="1">
      <c r="A1352" s="11" t="n">
        <v>46043</v>
      </c>
      <c r="B1352" t="inlineStr">
        <is>
          <t>Brenda de Menezes Silva</t>
        </is>
      </c>
      <c r="C1352" t="inlineStr">
        <is>
          <t>Técnico II</t>
        </is>
      </c>
      <c r="D1352" t="n">
        <v>29</v>
      </c>
      <c r="E1352" t="n">
        <v>25</v>
      </c>
      <c r="F1352" t="n">
        <v>12.02</v>
      </c>
      <c r="G1352" t="n">
        <v>0</v>
      </c>
      <c r="H1352" t="n">
        <v>0</v>
      </c>
      <c r="I1352" s="3">
        <f>E1352+G1352+H1352</f>
        <v/>
      </c>
      <c r="J1352" s="3">
        <f>ROUND(MIN(IF(C1352="Técnico III",35,IF(C1352="Técnico II",28,IF(C1352="Técnico I",23,IF(C1352="JR",20,IF(C1352="Estágio",10,0))))),IF(C1352="Técnico III",SUMIFS($D:$D,$A:$A,$A1352,$B:$B,"&lt;&gt;Patrícia Karla de Sousa Araújo",$B:$B,"&lt;&gt;Lorena Dias de Araujo",$B:$B,"&lt;&gt;Lucas Luiz Romero")*(35/1083),IF(C1352="Técnico II",SUMIFS($D:$D,$A:$A,$A1352,$B:$B,"&lt;&gt;Patrícia Karla de Sousa Araújo",$B:$B,"&lt;&gt;Lorena Dias de Araujo",$B:$B,"&lt;&gt;Lucas Luiz Romero")*(28/1083),IF(C1352="Técnico I",SUMIFS($D:$D,$A:$A,$A1352,$B:$B,"&lt;&gt;Patrícia Karla de Sousa Araújo",$B:$B,"&lt;&gt;Lorena Dias de Araujo",$B:$B,"&lt;&gt;Lucas Luiz Romero")*(23/1083),IF(C1352="JR",SUMIFS($D:$D,$A:$A,$A1352,$B:$B,"&lt;&gt;Patrícia Karla de Sousa Araújo",$B:$B,"&lt;&gt;Lorena Dias de Araujo",$B:$B,"&lt;&gt;Lucas Luiz Romero")*(20/1083),IF(C1352="Estágio",SUMIFS($D:$D,$A:$A,$A1352,$B:$B,"&lt;&gt;Patrícia Karla de Sousa Araújo",$B:$B,"&lt;&gt;Lorena Dias de Araujo",$B:$B,"&lt;&gt;Lucas Luiz Romero")*(10/1083),0)))))),0)</f>
        <v/>
      </c>
      <c r="K1352" s="3">
        <f>I1352-J1352</f>
        <v/>
      </c>
      <c r="L1352" s="3">
        <f>IF(K1352&lt;-5,"CRÍTICO",IF(K1352&lt;0,"ATENÇÃO",IF(K1352&lt;=5,"BOM","EXCELENTE")))</f>
        <v/>
      </c>
      <c r="N1352" t="n">
        <v>98.54000000000001</v>
      </c>
      <c r="O1352" t="n">
        <v>28.54477611940299</v>
      </c>
    </row>
    <row r="1353" hidden="1">
      <c r="A1353" s="11" t="n">
        <v>46043</v>
      </c>
      <c r="B1353" t="inlineStr">
        <is>
          <t>Carlos Mateus Cassimiro Nunes</t>
        </is>
      </c>
      <c r="C1353" t="inlineStr">
        <is>
          <t>Técnico II</t>
        </is>
      </c>
      <c r="D1353" t="n">
        <v>13</v>
      </c>
      <c r="E1353" t="n">
        <v>12</v>
      </c>
      <c r="F1353" t="n">
        <v>37.27</v>
      </c>
      <c r="G1353" t="n">
        <v>0</v>
      </c>
      <c r="H1353" t="n">
        <v>0</v>
      </c>
      <c r="I1353" s="3">
        <f>E1353+G1353+H1353</f>
        <v/>
      </c>
      <c r="J1353" s="3">
        <f>ROUND(MIN(IF(C1353="Técnico III",35,IF(C1353="Técnico II",28,IF(C1353="Técnico I",23,IF(C1353="JR",20,IF(C1353="Estágio",10,0))))),IF(C1353="Técnico III",SUMIFS($D:$D,$A:$A,$A1353,$B:$B,"&lt;&gt;Patrícia Karla de Sousa Araújo",$B:$B,"&lt;&gt;Lorena Dias de Araujo",$B:$B,"&lt;&gt;Lucas Luiz Romero")*(35/1083),IF(C1353="Técnico II",SUMIFS($D:$D,$A:$A,$A1353,$B:$B,"&lt;&gt;Patrícia Karla de Sousa Araújo",$B:$B,"&lt;&gt;Lorena Dias de Araujo",$B:$B,"&lt;&gt;Lucas Luiz Romero")*(28/1083),IF(C1353="Técnico I",SUMIFS($D:$D,$A:$A,$A1353,$B:$B,"&lt;&gt;Patrícia Karla de Sousa Araújo",$B:$B,"&lt;&gt;Lorena Dias de Araujo",$B:$B,"&lt;&gt;Lucas Luiz Romero")*(23/1083),IF(C1353="JR",SUMIFS($D:$D,$A:$A,$A1353,$B:$B,"&lt;&gt;Patrícia Karla de Sousa Araújo",$B:$B,"&lt;&gt;Lorena Dias de Araujo",$B:$B,"&lt;&gt;Lucas Luiz Romero")*(20/1083),IF(C1353="Estágio",SUMIFS($D:$D,$A:$A,$A1353,$B:$B,"&lt;&gt;Patrícia Karla de Sousa Araújo",$B:$B,"&lt;&gt;Lorena Dias de Araujo",$B:$B,"&lt;&gt;Lucas Luiz Romero")*(10/1083),0)))))),0)</f>
        <v/>
      </c>
      <c r="K1353" s="3">
        <f>I1353-J1353</f>
        <v/>
      </c>
      <c r="L1353" s="3">
        <f>IF(K1353&lt;-5,"CRÍTICO",IF(K1353&lt;0,"ATENÇÃO",IF(K1353&lt;=5,"BOM","EXCELENTE")))</f>
        <v/>
      </c>
      <c r="N1353" t="n">
        <v>100</v>
      </c>
      <c r="O1353" t="n">
        <v>34.36692506459949</v>
      </c>
    </row>
    <row r="1354" hidden="1">
      <c r="A1354" s="11" t="n">
        <v>46043</v>
      </c>
      <c r="B1354" t="inlineStr">
        <is>
          <t>Claudio de Sousa Velasco Filho</t>
        </is>
      </c>
      <c r="C1354" t="inlineStr">
        <is>
          <t>Estágio</t>
        </is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s="3" t="n">
        <v>0</v>
      </c>
      <c r="J1354" s="3" t="n">
        <v>0</v>
      </c>
      <c r="K1354" s="3" t="n">
        <v>0</v>
      </c>
      <c r="L1354" s="3">
        <f>IF(K1354&lt;-5,"CRÍTICO",IF(K1354&lt;0,"ATENÇÃO",IF(K1354&lt;=5,"BOM","EXCELENTE")))</f>
        <v/>
      </c>
      <c r="N1354" t="n">
        <v>0</v>
      </c>
      <c r="O1354" t="n">
        <v>0</v>
      </c>
    </row>
    <row r="1355" hidden="1">
      <c r="A1355" s="11" t="n">
        <v>46043</v>
      </c>
      <c r="B1355" t="inlineStr">
        <is>
          <t>Clessiane Pereira dos Santos</t>
        </is>
      </c>
      <c r="C1355" t="inlineStr">
        <is>
          <t>Técnico I</t>
        </is>
      </c>
      <c r="D1355" t="n">
        <v>26</v>
      </c>
      <c r="E1355" t="n">
        <v>25</v>
      </c>
      <c r="F1355" t="n">
        <v>15.04</v>
      </c>
      <c r="G1355" t="n">
        <v>0</v>
      </c>
      <c r="H1355" t="n">
        <v>0</v>
      </c>
      <c r="I1355" s="3">
        <f>E1355+G1355+H1355</f>
        <v/>
      </c>
      <c r="J1355" s="3">
        <f>ROUND(MIN(IF(C1355="Técnico III",35,IF(C1355="Técnico II",28,IF(C1355="Técnico I",23,IF(C1355="JR",20,IF(C1355="Estágio",10,0))))),IF(C1355="Técnico III",SUMIFS($D:$D,$A:$A,$A1355,$B:$B,"&lt;&gt;Patrícia Karla de Sousa Araújo",$B:$B,"&lt;&gt;Lorena Dias de Araujo",$B:$B,"&lt;&gt;Lucas Luiz Romero")*(35/1083),IF(C1355="Técnico II",SUMIFS($D:$D,$A:$A,$A1355,$B:$B,"&lt;&gt;Patrícia Karla de Sousa Araújo",$B:$B,"&lt;&gt;Lorena Dias de Araujo",$B:$B,"&lt;&gt;Lucas Luiz Romero")*(28/1083),IF(C1355="Técnico I",SUMIFS($D:$D,$A:$A,$A1355,$B:$B,"&lt;&gt;Patrícia Karla de Sousa Araújo",$B:$B,"&lt;&gt;Lorena Dias de Araujo",$B:$B,"&lt;&gt;Lucas Luiz Romero")*(23/1083),IF(C1355="JR",SUMIFS($D:$D,$A:$A,$A1355,$B:$B,"&lt;&gt;Patrícia Karla de Sousa Araújo",$B:$B,"&lt;&gt;Lorena Dias de Araujo",$B:$B,"&lt;&gt;Lucas Luiz Romero")*(20/1083),IF(C1355="Estágio",SUMIFS($D:$D,$A:$A,$A1355,$B:$B,"&lt;&gt;Patrícia Karla de Sousa Araújo",$B:$B,"&lt;&gt;Lorena Dias de Araujo",$B:$B,"&lt;&gt;Lucas Luiz Romero")*(10/1083),0)))))),0)</f>
        <v/>
      </c>
      <c r="K1355" s="3">
        <f>I1355-J1355</f>
        <v/>
      </c>
      <c r="L1355" s="3">
        <f>IF(K1355&lt;-5,"CRÍTICO",IF(K1355&lt;0,"ATENÇÃO",IF(K1355&lt;=5,"BOM","EXCELENTE")))</f>
        <v/>
      </c>
      <c r="N1355" t="n">
        <v>100</v>
      </c>
      <c r="O1355" t="n">
        <v>29.51807228915663</v>
      </c>
    </row>
    <row r="1356" hidden="1">
      <c r="A1356" s="11" t="n">
        <v>46043</v>
      </c>
      <c r="B1356" t="inlineStr">
        <is>
          <t>Cristiane Ramos da Silva Rocha</t>
        </is>
      </c>
      <c r="C1356" t="inlineStr">
        <is>
          <t>Técnico III</t>
        </is>
      </c>
      <c r="D1356" t="n">
        <v>28</v>
      </c>
      <c r="E1356" t="n">
        <v>27</v>
      </c>
      <c r="F1356" t="n">
        <v>15.15</v>
      </c>
      <c r="G1356" t="n">
        <v>0</v>
      </c>
      <c r="H1356" t="n">
        <v>0</v>
      </c>
      <c r="I1356" s="3">
        <f>E1356+G1356+H1356</f>
        <v/>
      </c>
      <c r="J1356" s="3">
        <f>ROUND(MIN(IF(C1356="Técnico III",35,IF(C1356="Técnico II",28,IF(C1356="Técnico I",23,IF(C1356="JR",20,IF(C1356="Estágio",10,0))))),IF(C1356="Técnico III",SUMIFS($D:$D,$A:$A,$A1356,$B:$B,"&lt;&gt;Patrícia Karla de Sousa Araújo",$B:$B,"&lt;&gt;Lorena Dias de Araujo",$B:$B,"&lt;&gt;Lucas Luiz Romero")*(35/1083),IF(C1356="Técnico II",SUMIFS($D:$D,$A:$A,$A1356,$B:$B,"&lt;&gt;Patrícia Karla de Sousa Araújo",$B:$B,"&lt;&gt;Lorena Dias de Araujo",$B:$B,"&lt;&gt;Lucas Luiz Romero")*(28/1083),IF(C1356="Técnico I",SUMIFS($D:$D,$A:$A,$A1356,$B:$B,"&lt;&gt;Patrícia Karla de Sousa Araújo",$B:$B,"&lt;&gt;Lorena Dias de Araujo",$B:$B,"&lt;&gt;Lucas Luiz Romero")*(23/1083),IF(C1356="JR",SUMIFS($D:$D,$A:$A,$A1356,$B:$B,"&lt;&gt;Patrícia Karla de Sousa Araújo",$B:$B,"&lt;&gt;Lorena Dias de Araujo",$B:$B,"&lt;&gt;Lucas Luiz Romero")*(20/1083),IF(C1356="Estágio",SUMIFS($D:$D,$A:$A,$A1356,$B:$B,"&lt;&gt;Patrícia Karla de Sousa Araújo",$B:$B,"&lt;&gt;Lorena Dias de Araujo",$B:$B,"&lt;&gt;Lucas Luiz Romero")*(10/1083),0)))))),0)</f>
        <v/>
      </c>
      <c r="K1356" s="3">
        <f>I1356-J1356</f>
        <v/>
      </c>
      <c r="L1356" s="3">
        <f>IF(K1356&lt;-5,"CRÍTICO",IF(K1356&lt;0,"ATENÇÃO",IF(K1356&lt;=5,"BOM","EXCELENTE")))</f>
        <v/>
      </c>
      <c r="N1356" t="n">
        <v>97.45</v>
      </c>
      <c r="O1356" t="n">
        <v>41.421143847487</v>
      </c>
    </row>
    <row r="1357" hidden="1">
      <c r="A1357" s="11" t="n">
        <v>46043</v>
      </c>
      <c r="B1357" t="inlineStr">
        <is>
          <t>Damyllis Lorraine de Oliveira Gonçalves</t>
        </is>
      </c>
      <c r="C1357" t="inlineStr">
        <is>
          <t>Técnico II</t>
        </is>
      </c>
      <c r="D1357" t="n">
        <v>25</v>
      </c>
      <c r="E1357" t="n">
        <v>19</v>
      </c>
      <c r="F1357" t="n">
        <v>10.4</v>
      </c>
      <c r="G1357" t="n">
        <v>0</v>
      </c>
      <c r="H1357" t="n">
        <v>0</v>
      </c>
      <c r="I1357" s="3" t="n">
        <v>0</v>
      </c>
      <c r="J1357" s="3" t="n">
        <v>0</v>
      </c>
      <c r="K1357" s="3" t="n">
        <v>0</v>
      </c>
      <c r="L1357" s="3">
        <f>IF(K1357&lt;-5,"CRÍTICO",IF(K1357&lt;0,"ATENÇÃO",IF(K1357&lt;=5,"BOM","EXCELENTE")))</f>
        <v/>
      </c>
      <c r="N1357" t="n">
        <v>96.58</v>
      </c>
      <c r="O1357" t="n">
        <v>30.39647577092511</v>
      </c>
    </row>
    <row r="1358" hidden="1">
      <c r="A1358" s="11" t="n">
        <v>46043</v>
      </c>
      <c r="B1358" t="inlineStr">
        <is>
          <t>Daniel Gomes da Silva</t>
        </is>
      </c>
      <c r="C1358" t="inlineStr">
        <is>
          <t>Técnico I</t>
        </is>
      </c>
      <c r="D1358" t="n">
        <v>20</v>
      </c>
      <c r="E1358" t="n">
        <v>20</v>
      </c>
      <c r="F1358" t="n">
        <v>20.05</v>
      </c>
      <c r="G1358" t="n">
        <v>0</v>
      </c>
      <c r="H1358" t="n">
        <v>0</v>
      </c>
      <c r="I1358" s="3">
        <f>E1358+G1358+H1358</f>
        <v/>
      </c>
      <c r="J1358" s="3">
        <f>ROUND(MIN(IF(C1358="Técnico III",35,IF(C1358="Técnico II",28,IF(C1358="Técnico I",23,IF(C1358="JR",20,IF(C1358="Estágio",10,0))))),IF(C1358="Técnico III",SUMIFS($D:$D,$A:$A,$A1358,$B:$B,"&lt;&gt;Patrícia Karla de Sousa Araújo",$B:$B,"&lt;&gt;Lorena Dias de Araujo",$B:$B,"&lt;&gt;Lucas Luiz Romero")*(35/1083),IF(C1358="Técnico II",SUMIFS($D:$D,$A:$A,$A1358,$B:$B,"&lt;&gt;Patrícia Karla de Sousa Araújo",$B:$B,"&lt;&gt;Lorena Dias de Araujo",$B:$B,"&lt;&gt;Lucas Luiz Romero")*(28/1083),IF(C1358="Técnico I",SUMIFS($D:$D,$A:$A,$A1358,$B:$B,"&lt;&gt;Patrícia Karla de Sousa Araújo",$B:$B,"&lt;&gt;Lorena Dias de Araujo",$B:$B,"&lt;&gt;Lucas Luiz Romero")*(23/1083),IF(C1358="JR",SUMIFS($D:$D,$A:$A,$A1358,$B:$B,"&lt;&gt;Patrícia Karla de Sousa Araújo",$B:$B,"&lt;&gt;Lorena Dias de Araujo",$B:$B,"&lt;&gt;Lucas Luiz Romero")*(20/1083),IF(C1358="Estágio",SUMIFS($D:$D,$A:$A,$A1358,$B:$B,"&lt;&gt;Patrícia Karla de Sousa Araújo",$B:$B,"&lt;&gt;Lorena Dias de Araujo",$B:$B,"&lt;&gt;Lucas Luiz Romero")*(10/1083),0)))))),0)</f>
        <v/>
      </c>
      <c r="K1358" s="3">
        <f>I1358-J1358</f>
        <v/>
      </c>
      <c r="L1358" s="3">
        <f>IF(K1358&lt;-5,"CRÍTICO",IF(K1358&lt;0,"ATENÇÃO",IF(K1358&lt;=5,"BOM","EXCELENTE")))</f>
        <v/>
      </c>
      <c r="N1358" t="n">
        <v>100</v>
      </c>
      <c r="O1358" t="n">
        <v>27.44282744282744</v>
      </c>
    </row>
    <row r="1359" hidden="1">
      <c r="A1359" s="11" t="n">
        <v>46043</v>
      </c>
      <c r="B1359" t="inlineStr">
        <is>
          <t>Davylla Rodrigues Freitas Silva</t>
        </is>
      </c>
      <c r="C1359" t="inlineStr">
        <is>
          <t>Técnico III</t>
        </is>
      </c>
      <c r="D1359" t="n">
        <v>19</v>
      </c>
      <c r="E1359" t="n">
        <v>17</v>
      </c>
      <c r="F1359" t="n">
        <v>25.25</v>
      </c>
      <c r="G1359" t="n">
        <v>0</v>
      </c>
      <c r="H1359" t="n">
        <v>0</v>
      </c>
      <c r="I1359" s="3" t="n">
        <v>0</v>
      </c>
      <c r="J1359" s="3" t="n">
        <v>0</v>
      </c>
      <c r="K1359" s="3" t="n">
        <v>0</v>
      </c>
      <c r="L1359" s="3">
        <f>IF(K1359&lt;-5,"CRÍTICO",IF(K1359&lt;0,"ATENÇÃO",IF(K1359&lt;=5,"BOM","EXCELENTE")))</f>
        <v/>
      </c>
      <c r="N1359" t="n">
        <v>99.48999999999999</v>
      </c>
      <c r="O1359" t="n">
        <v>40.2</v>
      </c>
    </row>
    <row r="1360" hidden="1">
      <c r="A1360" s="11" t="n">
        <v>46043</v>
      </c>
      <c r="B1360" t="inlineStr">
        <is>
          <t>Emilly Caylane Costa</t>
        </is>
      </c>
      <c r="C1360" t="inlineStr">
        <is>
          <t>Estágio</t>
        </is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s="3" t="n">
        <v>0</v>
      </c>
      <c r="J1360" s="3" t="n">
        <v>0</v>
      </c>
      <c r="K1360" s="3" t="n">
        <v>0</v>
      </c>
      <c r="L1360" s="3">
        <f>IF(K1360&lt;-5,"CRÍTICO",IF(K1360&lt;0,"ATENÇÃO",IF(K1360&lt;=5,"BOM","EXCELENTE")))</f>
        <v/>
      </c>
      <c r="N1360" t="n">
        <v>100</v>
      </c>
      <c r="O1360" t="n">
        <v>25</v>
      </c>
    </row>
    <row r="1361" hidden="1">
      <c r="A1361" s="11" t="n">
        <v>46043</v>
      </c>
      <c r="B1361" t="inlineStr">
        <is>
          <t>Emilly Kamilly Medeiros Miranda</t>
        </is>
      </c>
      <c r="C1361" t="inlineStr">
        <is>
          <t>Técnico II</t>
        </is>
      </c>
      <c r="D1361" t="n">
        <v>30</v>
      </c>
      <c r="E1361" t="n">
        <v>30</v>
      </c>
      <c r="F1361" t="n">
        <v>12.2</v>
      </c>
      <c r="G1361" t="n">
        <v>0</v>
      </c>
      <c r="H1361" t="n">
        <v>0</v>
      </c>
      <c r="I1361" s="3">
        <f>E1361+G1361+H1361</f>
        <v/>
      </c>
      <c r="J1361" s="3">
        <f>ROUND(MIN(IF(C1361="Técnico III",35,IF(C1361="Técnico II",28,IF(C1361="Técnico I",23,IF(C1361="JR",20,IF(C1361="Estágio",10,0))))),IF(C1361="Técnico III",SUMIFS($D:$D,$A:$A,$A1361,$B:$B,"&lt;&gt;Patrícia Karla de Sousa Araújo",$B:$B,"&lt;&gt;Lorena Dias de Araujo",$B:$B,"&lt;&gt;Lucas Luiz Romero")*(35/1083),IF(C1361="Técnico II",SUMIFS($D:$D,$A:$A,$A1361,$B:$B,"&lt;&gt;Patrícia Karla de Sousa Araújo",$B:$B,"&lt;&gt;Lorena Dias de Araujo",$B:$B,"&lt;&gt;Lucas Luiz Romero")*(28/1083),IF(C1361="Técnico I",SUMIFS($D:$D,$A:$A,$A1361,$B:$B,"&lt;&gt;Patrícia Karla de Sousa Araújo",$B:$B,"&lt;&gt;Lorena Dias de Araujo",$B:$B,"&lt;&gt;Lucas Luiz Romero")*(23/1083),IF(C1361="JR",SUMIFS($D:$D,$A:$A,$A1361,$B:$B,"&lt;&gt;Patrícia Karla de Sousa Araújo",$B:$B,"&lt;&gt;Lorena Dias de Araujo",$B:$B,"&lt;&gt;Lucas Luiz Romero")*(20/1083),IF(C1361="Estágio",SUMIFS($D:$D,$A:$A,$A1361,$B:$B,"&lt;&gt;Patrícia Karla de Sousa Araújo",$B:$B,"&lt;&gt;Lorena Dias de Araujo",$B:$B,"&lt;&gt;Lucas Luiz Romero")*(10/1083),0)))))),0)</f>
        <v/>
      </c>
      <c r="K1361" s="3">
        <f>I1361-J1361</f>
        <v/>
      </c>
      <c r="L1361" s="3">
        <f>IF(K1361&lt;-5,"CRÍTICO",IF(K1361&lt;0,"ATENÇÃO",IF(K1361&lt;=5,"BOM","EXCELENTE")))</f>
        <v/>
      </c>
      <c r="N1361" t="n">
        <v>100</v>
      </c>
      <c r="O1361" t="n">
        <v>34.15094339622641</v>
      </c>
    </row>
    <row r="1362" hidden="1">
      <c r="A1362" s="11" t="n">
        <v>46043</v>
      </c>
      <c r="B1362" t="inlineStr">
        <is>
          <t>Francielson de Oliveira</t>
        </is>
      </c>
      <c r="C1362" t="inlineStr">
        <is>
          <t>Técnico III</t>
        </is>
      </c>
      <c r="D1362" t="n">
        <v>23</v>
      </c>
      <c r="E1362" t="n">
        <v>22</v>
      </c>
      <c r="F1362" t="n">
        <v>17.27</v>
      </c>
      <c r="G1362" t="n">
        <v>0</v>
      </c>
      <c r="H1362" t="n">
        <v>0</v>
      </c>
      <c r="I1362" s="3">
        <f>E1362+G1362+H1362</f>
        <v/>
      </c>
      <c r="J1362" s="3">
        <f>ROUND(MIN(IF(C1362="Técnico III",35,IF(C1362="Técnico II",28,IF(C1362="Técnico I",23,IF(C1362="JR",20,IF(C1362="Estágio",10,0))))),IF(C1362="Técnico III",SUMIFS($D:$D,$A:$A,$A1362,$B:$B,"&lt;&gt;Patrícia Karla de Sousa Araújo",$B:$B,"&lt;&gt;Lorena Dias de Araujo",$B:$B,"&lt;&gt;Lucas Luiz Romero")*(35/1083),IF(C1362="Técnico II",SUMIFS($D:$D,$A:$A,$A1362,$B:$B,"&lt;&gt;Patrícia Karla de Sousa Araújo",$B:$B,"&lt;&gt;Lorena Dias de Araujo",$B:$B,"&lt;&gt;Lucas Luiz Romero")*(28/1083),IF(C1362="Técnico I",SUMIFS($D:$D,$A:$A,$A1362,$B:$B,"&lt;&gt;Patrícia Karla de Sousa Araújo",$B:$B,"&lt;&gt;Lorena Dias de Araujo",$B:$B,"&lt;&gt;Lucas Luiz Romero")*(23/1083),IF(C1362="JR",SUMIFS($D:$D,$A:$A,$A1362,$B:$B,"&lt;&gt;Patrícia Karla de Sousa Araújo",$B:$B,"&lt;&gt;Lorena Dias de Araujo",$B:$B,"&lt;&gt;Lucas Luiz Romero")*(20/1083),IF(C1362="Estágio",SUMIFS($D:$D,$A:$A,$A1362,$B:$B,"&lt;&gt;Patrícia Karla de Sousa Araújo",$B:$B,"&lt;&gt;Lorena Dias de Araujo",$B:$B,"&lt;&gt;Lucas Luiz Romero")*(10/1083),0)))))),0)</f>
        <v/>
      </c>
      <c r="K1362" s="3">
        <f>I1362-J1362</f>
        <v/>
      </c>
      <c r="L1362" s="3">
        <f>IF(K1362&lt;-5,"CRÍTICO",IF(K1362&lt;0,"ATENÇÃO",IF(K1362&lt;=5,"BOM","EXCELENTE")))</f>
        <v/>
      </c>
      <c r="N1362" t="n">
        <v>100</v>
      </c>
      <c r="O1362" t="n">
        <v>32.7313769751693</v>
      </c>
    </row>
    <row r="1363" hidden="1">
      <c r="A1363" s="11" t="n">
        <v>46043</v>
      </c>
      <c r="B1363" t="inlineStr">
        <is>
          <t>Francilene Ferreira de Jesus</t>
        </is>
      </c>
      <c r="C1363" t="inlineStr">
        <is>
          <t>Técnico II</t>
        </is>
      </c>
      <c r="D1363" t="n">
        <v>10</v>
      </c>
      <c r="E1363" t="n">
        <v>8</v>
      </c>
      <c r="F1363" t="n">
        <v>27.24</v>
      </c>
      <c r="G1363" t="n">
        <v>0</v>
      </c>
      <c r="H1363" t="n">
        <v>0</v>
      </c>
      <c r="I1363" s="3">
        <f>E1363+G1363+H1363</f>
        <v/>
      </c>
      <c r="J1363" s="3">
        <f>ROUND(MIN(IF(C1363="Técnico III",35,IF(C1363="Técnico II",28,IF(C1363="Técnico I",23,IF(C1363="JR",20,IF(C1363="Estágio",10,0))))),IF(C1363="Técnico III",SUMIFS($D:$D,$A:$A,$A1363,$B:$B,"&lt;&gt;Patrícia Karla de Sousa Araújo",$B:$B,"&lt;&gt;Lorena Dias de Araujo",$B:$B,"&lt;&gt;Lucas Luiz Romero")*(35/1083),IF(C1363="Técnico II",SUMIFS($D:$D,$A:$A,$A1363,$B:$B,"&lt;&gt;Patrícia Karla de Sousa Araújo",$B:$B,"&lt;&gt;Lorena Dias de Araujo",$B:$B,"&lt;&gt;Lucas Luiz Romero")*(28/1083),IF(C1363="Técnico I",SUMIFS($D:$D,$A:$A,$A1363,$B:$B,"&lt;&gt;Patrícia Karla de Sousa Araújo",$B:$B,"&lt;&gt;Lorena Dias de Araujo",$B:$B,"&lt;&gt;Lucas Luiz Romero")*(23/1083),IF(C1363="JR",SUMIFS($D:$D,$A:$A,$A1363,$B:$B,"&lt;&gt;Patrícia Karla de Sousa Araújo",$B:$B,"&lt;&gt;Lorena Dias de Araujo",$B:$B,"&lt;&gt;Lucas Luiz Romero")*(20/1083),IF(C1363="Estágio",SUMIFS($D:$D,$A:$A,$A1363,$B:$B,"&lt;&gt;Patrícia Karla de Sousa Araújo",$B:$B,"&lt;&gt;Lorena Dias de Araujo",$B:$B,"&lt;&gt;Lucas Luiz Romero")*(10/1083),0)))))),0)</f>
        <v/>
      </c>
      <c r="K1363" s="3">
        <f>I1363-J1363</f>
        <v/>
      </c>
      <c r="L1363" s="3">
        <f>IF(K1363&lt;-5,"CRÍTICO",IF(K1363&lt;0,"ATENÇÃO",IF(K1363&lt;=5,"BOM","EXCELENTE")))</f>
        <v/>
      </c>
      <c r="N1363" t="n">
        <v>99.31</v>
      </c>
      <c r="O1363" t="n">
        <v>30.96234309623431</v>
      </c>
    </row>
    <row r="1364" hidden="1">
      <c r="A1364" s="11" t="n">
        <v>46077</v>
      </c>
      <c r="B1364" t="inlineStr">
        <is>
          <t>Gabriel Gomes de Andrade</t>
        </is>
      </c>
      <c r="C1364" t="inlineStr">
        <is>
          <t>Técnico I</t>
        </is>
      </c>
      <c r="D1364" t="n">
        <v>25</v>
      </c>
      <c r="E1364" t="n">
        <v>25</v>
      </c>
      <c r="F1364" t="n">
        <v>22.17</v>
      </c>
      <c r="G1364" t="n">
        <v>0</v>
      </c>
      <c r="H1364" t="n">
        <v>0</v>
      </c>
      <c r="I1364" s="3">
        <f>E1364+G1364+H1364</f>
        <v/>
      </c>
      <c r="J1364" s="3">
        <f>ROUND(MIN(IF(C1364="Técnico III",35,IF(C1364="Técnico II",28,IF(C1364="Técnico I",23,IF(C1364="JR",20,IF(C1364="Estágio",10,0))))),IF(C1364="Técnico III",SUMIFS($D:$D,$A:$A,$A1364,$B:$B,"&lt;&gt;Patrícia Karla de Sousa Araújo",$B:$B,"&lt;&gt;Lorena Dias de Araujo",$B:$B,"&lt;&gt;Lucas Luiz Romero")*(35/1083),IF(C1364="Técnico II",SUMIFS($D:$D,$A:$A,$A1364,$B:$B,"&lt;&gt;Patrícia Karla de Sousa Araújo",$B:$B,"&lt;&gt;Lorena Dias de Araujo",$B:$B,"&lt;&gt;Lucas Luiz Romero")*(28/1083),IF(C1364="Técnico I",SUMIFS($D:$D,$A:$A,$A1364,$B:$B,"&lt;&gt;Patrícia Karla de Sousa Araújo",$B:$B,"&lt;&gt;Lorena Dias de Araujo",$B:$B,"&lt;&gt;Lucas Luiz Romero")*(23/1083),IF(C1364="JR",SUMIFS($D:$D,$A:$A,$A1364,$B:$B,"&lt;&gt;Patrícia Karla de Sousa Araújo",$B:$B,"&lt;&gt;Lorena Dias de Araujo",$B:$B,"&lt;&gt;Lucas Luiz Romero")*(20/1083),IF(C1364="Estágio",SUMIFS($D:$D,$A:$A,$A1364,$B:$B,"&lt;&gt;Patrícia Karla de Sousa Araújo",$B:$B,"&lt;&gt;Lorena Dias de Araujo",$B:$B,"&lt;&gt;Lucas Luiz Romero")*(10/1083),0)))))),0)</f>
        <v/>
      </c>
      <c r="K1364" s="3">
        <f>I1364-J1364</f>
        <v/>
      </c>
      <c r="L1364" s="3">
        <f>IF(K1364&lt;-5,"CRÍTICO",IF(K1364&lt;0,"ATENÇÃO",IF(K1364&lt;=5,"BOM","EXCELENTE")))</f>
        <v/>
      </c>
      <c r="N1364" t="n">
        <v>96.67</v>
      </c>
      <c r="O1364" t="n">
        <v>31.45161290322581</v>
      </c>
    </row>
    <row r="1365" hidden="1">
      <c r="A1365" s="11" t="n">
        <v>46043</v>
      </c>
      <c r="B1365" t="inlineStr">
        <is>
          <t>Isabella Borges de Oliveira</t>
        </is>
      </c>
      <c r="C1365" t="inlineStr">
        <is>
          <t>Técnico II</t>
        </is>
      </c>
      <c r="D1365" t="n">
        <v>24</v>
      </c>
      <c r="E1365" t="n">
        <v>22</v>
      </c>
      <c r="F1365" t="n">
        <v>18.46</v>
      </c>
      <c r="G1365" t="n">
        <v>0</v>
      </c>
      <c r="H1365" t="n">
        <v>0</v>
      </c>
      <c r="I1365" s="3">
        <f>E1365+G1365+H1365</f>
        <v/>
      </c>
      <c r="J1365" s="3">
        <f>ROUND(MIN(IF(C1365="Técnico III",35,IF(C1365="Técnico II",28,IF(C1365="Técnico I",23,IF(C1365="JR",20,IF(C1365="Estágio",10,0))))),IF(C1365="Técnico III",SUMIFS($D:$D,$A:$A,$A1365,$B:$B,"&lt;&gt;Patrícia Karla de Sousa Araújo",$B:$B,"&lt;&gt;Lorena Dias de Araujo",$B:$B,"&lt;&gt;Lucas Luiz Romero")*(35/1083),IF(C1365="Técnico II",SUMIFS($D:$D,$A:$A,$A1365,$B:$B,"&lt;&gt;Patrícia Karla de Sousa Araújo",$B:$B,"&lt;&gt;Lorena Dias de Araujo",$B:$B,"&lt;&gt;Lucas Luiz Romero")*(28/1083),IF(C1365="Técnico I",SUMIFS($D:$D,$A:$A,$A1365,$B:$B,"&lt;&gt;Patrícia Karla de Sousa Araújo",$B:$B,"&lt;&gt;Lorena Dias de Araujo",$B:$B,"&lt;&gt;Lucas Luiz Romero")*(23/1083),IF(C1365="JR",SUMIFS($D:$D,$A:$A,$A1365,$B:$B,"&lt;&gt;Patrícia Karla de Sousa Araújo",$B:$B,"&lt;&gt;Lorena Dias de Araujo",$B:$B,"&lt;&gt;Lucas Luiz Romero")*(20/1083),IF(C1365="Estágio",SUMIFS($D:$D,$A:$A,$A1365,$B:$B,"&lt;&gt;Patrícia Karla de Sousa Araújo",$B:$B,"&lt;&gt;Lorena Dias de Araujo",$B:$B,"&lt;&gt;Lucas Luiz Romero")*(10/1083),0)))))),0)</f>
        <v/>
      </c>
      <c r="K1365" s="3">
        <f>I1365-J1365</f>
        <v/>
      </c>
      <c r="L1365" s="3">
        <f>IF(K1365&lt;-5,"CRÍTICO",IF(K1365&lt;0,"ATENÇÃO",IF(K1365&lt;=5,"BOM","EXCELENTE")))</f>
        <v/>
      </c>
      <c r="N1365" t="n">
        <v>100</v>
      </c>
      <c r="O1365" t="n">
        <v>27.67676767676768</v>
      </c>
    </row>
    <row r="1366" hidden="1">
      <c r="A1366" s="11" t="n">
        <v>46043</v>
      </c>
      <c r="B1366" t="inlineStr">
        <is>
          <t>Janaina Lima dos Reis Urany</t>
        </is>
      </c>
      <c r="C1366" t="inlineStr">
        <is>
          <t>Técnico III</t>
        </is>
      </c>
      <c r="D1366" t="n">
        <v>30</v>
      </c>
      <c r="E1366" t="n">
        <v>29</v>
      </c>
      <c r="F1366" t="n">
        <v>11.51</v>
      </c>
      <c r="G1366" t="n">
        <v>0</v>
      </c>
      <c r="H1366" t="n">
        <v>0</v>
      </c>
      <c r="I1366" s="3">
        <f>E1366+G1366+H1366</f>
        <v/>
      </c>
      <c r="J1366" s="3">
        <f>ROUND(MIN(IF(C1366="Técnico III",35,IF(C1366="Técnico II",28,IF(C1366="Técnico I",23,IF(C1366="JR",20,IF(C1366="Estágio",10,0))))),IF(C1366="Técnico III",SUMIFS($D:$D,$A:$A,$A1366,$B:$B,"&lt;&gt;Patrícia Karla de Sousa Araújo",$B:$B,"&lt;&gt;Lorena Dias de Araujo",$B:$B,"&lt;&gt;Lucas Luiz Romero")*(35/1083),IF(C1366="Técnico II",SUMIFS($D:$D,$A:$A,$A1366,$B:$B,"&lt;&gt;Patrícia Karla de Sousa Araújo",$B:$B,"&lt;&gt;Lorena Dias de Araujo",$B:$B,"&lt;&gt;Lucas Luiz Romero")*(28/1083),IF(C1366="Técnico I",SUMIFS($D:$D,$A:$A,$A1366,$B:$B,"&lt;&gt;Patrícia Karla de Sousa Araújo",$B:$B,"&lt;&gt;Lorena Dias de Araujo",$B:$B,"&lt;&gt;Lucas Luiz Romero")*(23/1083),IF(C1366="JR",SUMIFS($D:$D,$A:$A,$A1366,$B:$B,"&lt;&gt;Patrícia Karla de Sousa Araújo",$B:$B,"&lt;&gt;Lorena Dias de Araujo",$B:$B,"&lt;&gt;Lucas Luiz Romero")*(20/1083),IF(C1366="Estágio",SUMIFS($D:$D,$A:$A,$A1366,$B:$B,"&lt;&gt;Patrícia Karla de Sousa Araújo",$B:$B,"&lt;&gt;Lorena Dias de Araujo",$B:$B,"&lt;&gt;Lucas Luiz Romero")*(10/1083),0)))))),0)</f>
        <v/>
      </c>
      <c r="K1366" s="3">
        <f>I1366-J1366</f>
        <v/>
      </c>
      <c r="L1366" s="3">
        <f>IF(K1366&lt;-5,"CRÍTICO",IF(K1366&lt;0,"ATENÇÃO",IF(K1366&lt;=5,"BOM","EXCELENTE")))</f>
        <v/>
      </c>
      <c r="N1366" t="n">
        <v>100</v>
      </c>
      <c r="O1366" t="n">
        <v>31.17723156532988</v>
      </c>
    </row>
    <row r="1367" hidden="1">
      <c r="A1367" s="11" t="n">
        <v>46043</v>
      </c>
      <c r="B1367" t="inlineStr">
        <is>
          <t>Jaqueline Evangelista da Silva Martins</t>
        </is>
      </c>
      <c r="C1367" t="inlineStr">
        <is>
          <t>Técnico III</t>
        </is>
      </c>
      <c r="D1367" t="n">
        <v>13</v>
      </c>
      <c r="E1367" t="n">
        <v>12</v>
      </c>
      <c r="F1367" t="n">
        <v>10.57</v>
      </c>
      <c r="G1367" t="n">
        <v>0</v>
      </c>
      <c r="H1367" t="n">
        <v>0</v>
      </c>
      <c r="I1367" s="3">
        <f>E1367+G1367+H1367</f>
        <v/>
      </c>
      <c r="J1367" s="3">
        <f>ROUND(MIN(IF(C1367="Técnico III",35,IF(C1367="Técnico II",28,IF(C1367="Técnico I",23,IF(C1367="JR",20,IF(C1367="Estágio",10,0))))),IF(C1367="Técnico III",SUMIFS($D:$D,$A:$A,$A1367,$B:$B,"&lt;&gt;Patrícia Karla de Sousa Araújo",$B:$B,"&lt;&gt;Lorena Dias de Araujo",$B:$B,"&lt;&gt;Lucas Luiz Romero")*(35/1083),IF(C1367="Técnico II",SUMIFS($D:$D,$A:$A,$A1367,$B:$B,"&lt;&gt;Patrícia Karla de Sousa Araújo",$B:$B,"&lt;&gt;Lorena Dias de Araujo",$B:$B,"&lt;&gt;Lucas Luiz Romero")*(28/1083),IF(C1367="Técnico I",SUMIFS($D:$D,$A:$A,$A1367,$B:$B,"&lt;&gt;Patrícia Karla de Sousa Araújo",$B:$B,"&lt;&gt;Lorena Dias de Araujo",$B:$B,"&lt;&gt;Lucas Luiz Romero")*(23/1083),IF(C1367="JR",SUMIFS($D:$D,$A:$A,$A1367,$B:$B,"&lt;&gt;Patrícia Karla de Sousa Araújo",$B:$B,"&lt;&gt;Lorena Dias de Araujo",$B:$B,"&lt;&gt;Lucas Luiz Romero")*(20/1083),IF(C1367="Estágio",SUMIFS($D:$D,$A:$A,$A1367,$B:$B,"&lt;&gt;Patrícia Karla de Sousa Araújo",$B:$B,"&lt;&gt;Lorena Dias de Araujo",$B:$B,"&lt;&gt;Lucas Luiz Romero")*(10/1083),0)))))),0)</f>
        <v/>
      </c>
      <c r="K1367" s="3">
        <f>I1367-J1367</f>
        <v/>
      </c>
      <c r="L1367" s="3">
        <f>IF(K1367&lt;-5,"CRÍTICO",IF(K1367&lt;0,"ATENÇÃO",IF(K1367&lt;=5,"BOM","EXCELENTE")))</f>
        <v/>
      </c>
      <c r="N1367" t="n">
        <v>100</v>
      </c>
      <c r="O1367" t="n">
        <v>27.60942760942761</v>
      </c>
    </row>
    <row r="1368" hidden="1">
      <c r="A1368" s="11" t="n">
        <v>46043</v>
      </c>
      <c r="B1368" t="inlineStr">
        <is>
          <t>Jessica Faria da Silveira</t>
        </is>
      </c>
      <c r="C1368" t="inlineStr">
        <is>
          <t>Técnico II</t>
        </is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s="3" t="n">
        <v>0</v>
      </c>
      <c r="J1368" s="3" t="n">
        <v>0</v>
      </c>
      <c r="K1368" s="3" t="n">
        <v>0</v>
      </c>
      <c r="L1368" s="3">
        <f>IF(K1368&lt;-5,"CRÍTICO",IF(K1368&lt;0,"ATENÇÃO",IF(K1368&lt;=5,"BOM","EXCELENTE")))</f>
        <v/>
      </c>
      <c r="N1368" t="n">
        <v>96.40000000000001</v>
      </c>
      <c r="O1368" t="n">
        <v>28.76404494382023</v>
      </c>
    </row>
    <row r="1369" hidden="1">
      <c r="A1369" s="11" t="n">
        <v>46043</v>
      </c>
      <c r="B1369" t="inlineStr">
        <is>
          <t>Jéssica Fé Moura</t>
        </is>
      </c>
      <c r="C1369" t="inlineStr">
        <is>
          <t>Técnico III</t>
        </is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s="3" t="n">
        <v>0</v>
      </c>
      <c r="J1369" s="3" t="n">
        <v>0</v>
      </c>
      <c r="K1369" s="3" t="n">
        <v>0</v>
      </c>
      <c r="L1369" s="3">
        <f>IF(K1369&lt;-5,"CRÍTICO",IF(K1369&lt;0,"ATENÇÃO",IF(K1369&lt;=5,"BOM","EXCELENTE")))</f>
        <v/>
      </c>
      <c r="N1369" t="n">
        <v>100</v>
      </c>
      <c r="O1369" t="n">
        <v>33.98058252427185</v>
      </c>
    </row>
    <row r="1370" hidden="1">
      <c r="A1370" s="11" t="n">
        <v>46043</v>
      </c>
      <c r="B1370" t="inlineStr">
        <is>
          <t>Karina Gonçalves Martins</t>
        </is>
      </c>
      <c r="C1370" t="inlineStr">
        <is>
          <t>JR</t>
        </is>
      </c>
      <c r="D1370" t="n">
        <v>6</v>
      </c>
      <c r="E1370" t="n">
        <v>6</v>
      </c>
      <c r="F1370" t="n">
        <v>39.06</v>
      </c>
      <c r="G1370" t="n">
        <v>0</v>
      </c>
      <c r="H1370" t="n">
        <v>0</v>
      </c>
      <c r="I1370" s="3">
        <f>E1370+G1370+H1370</f>
        <v/>
      </c>
      <c r="J1370" s="3">
        <f>ROUND(MIN(IF(C1370="Técnico III",35,IF(C1370="Técnico II",28,IF(C1370="Técnico I",23,IF(C1370="JR",20,IF(C1370="Estágio",10,0))))),IF(C1370="Técnico III",SUMIFS($D:$D,$A:$A,$A1370,$B:$B,"&lt;&gt;Patrícia Karla de Sousa Araújo",$B:$B,"&lt;&gt;Lorena Dias de Araujo",$B:$B,"&lt;&gt;Lucas Luiz Romero")*(35/1083),IF(C1370="Técnico II",SUMIFS($D:$D,$A:$A,$A1370,$B:$B,"&lt;&gt;Patrícia Karla de Sousa Araújo",$B:$B,"&lt;&gt;Lorena Dias de Araujo",$B:$B,"&lt;&gt;Lucas Luiz Romero")*(28/1083),IF(C1370="Técnico I",SUMIFS($D:$D,$A:$A,$A1370,$B:$B,"&lt;&gt;Patrícia Karla de Sousa Araújo",$B:$B,"&lt;&gt;Lorena Dias de Araujo",$B:$B,"&lt;&gt;Lucas Luiz Romero")*(23/1083),IF(C1370="JR",SUMIFS($D:$D,$A:$A,$A1370,$B:$B,"&lt;&gt;Patrícia Karla de Sousa Araújo",$B:$B,"&lt;&gt;Lorena Dias de Araujo",$B:$B,"&lt;&gt;Lucas Luiz Romero")*(20/1083),IF(C1370="Estágio",SUMIFS($D:$D,$A:$A,$A1370,$B:$B,"&lt;&gt;Patrícia Karla de Sousa Araújo",$B:$B,"&lt;&gt;Lorena Dias de Araujo",$B:$B,"&lt;&gt;Lucas Luiz Romero")*(10/1083),0)))))),0)</f>
        <v/>
      </c>
      <c r="K1370" s="3">
        <f>I1370-J1370</f>
        <v/>
      </c>
      <c r="L1370" s="3">
        <f>IF(K1370&lt;-5,"CRÍTICO",IF(K1370&lt;0,"ATENÇÃO",IF(K1370&lt;=5,"BOM","EXCELENTE")))</f>
        <v/>
      </c>
      <c r="N1370" t="n">
        <v>97.56</v>
      </c>
      <c r="O1370" t="n">
        <v>32.51533742331289</v>
      </c>
    </row>
    <row r="1371" hidden="1">
      <c r="A1371" s="11" t="n">
        <v>46043</v>
      </c>
      <c r="B1371" t="inlineStr">
        <is>
          <t>Kerollen Cristielly de Jesus Siqueira</t>
        </is>
      </c>
      <c r="C1371" t="inlineStr">
        <is>
          <t>Técnico III</t>
        </is>
      </c>
      <c r="D1371" t="n">
        <v>25</v>
      </c>
      <c r="E1371" t="n">
        <v>24</v>
      </c>
      <c r="F1371" t="n">
        <v>15.49</v>
      </c>
      <c r="G1371" t="n">
        <v>0</v>
      </c>
      <c r="H1371" t="n">
        <v>0</v>
      </c>
      <c r="I1371" s="3">
        <f>E1371+G1371+H1371</f>
        <v/>
      </c>
      <c r="J1371" s="3">
        <f>ROUND(MIN(IF(C1371="Técnico III",35,IF(C1371="Técnico II",28,IF(C1371="Técnico I",23,IF(C1371="JR",20,IF(C1371="Estágio",10,0))))),IF(C1371="Técnico III",SUMIFS($D:$D,$A:$A,$A1371,$B:$B,"&lt;&gt;Patrícia Karla de Sousa Araújo",$B:$B,"&lt;&gt;Lorena Dias de Araujo",$B:$B,"&lt;&gt;Lucas Luiz Romero")*(35/1083),IF(C1371="Técnico II",SUMIFS($D:$D,$A:$A,$A1371,$B:$B,"&lt;&gt;Patrícia Karla de Sousa Araújo",$B:$B,"&lt;&gt;Lorena Dias de Araujo",$B:$B,"&lt;&gt;Lucas Luiz Romero")*(28/1083),IF(C1371="Técnico I",SUMIFS($D:$D,$A:$A,$A1371,$B:$B,"&lt;&gt;Patrícia Karla de Sousa Araújo",$B:$B,"&lt;&gt;Lorena Dias de Araujo",$B:$B,"&lt;&gt;Lucas Luiz Romero")*(23/1083),IF(C1371="JR",SUMIFS($D:$D,$A:$A,$A1371,$B:$B,"&lt;&gt;Patrícia Karla de Sousa Araújo",$B:$B,"&lt;&gt;Lorena Dias de Araujo",$B:$B,"&lt;&gt;Lucas Luiz Romero")*(20/1083),IF(C1371="Estágio",SUMIFS($D:$D,$A:$A,$A1371,$B:$B,"&lt;&gt;Patrícia Karla de Sousa Araújo",$B:$B,"&lt;&gt;Lorena Dias de Araujo",$B:$B,"&lt;&gt;Lucas Luiz Romero")*(10/1083),0)))))),0)</f>
        <v/>
      </c>
      <c r="K1371" s="3">
        <f>I1371-J1371</f>
        <v/>
      </c>
      <c r="L1371" s="3">
        <f>IF(K1371&lt;-5,"CRÍTICO",IF(K1371&lt;0,"ATENÇÃO",IF(K1371&lt;=5,"BOM","EXCELENTE")))</f>
        <v/>
      </c>
      <c r="N1371" t="n">
        <v>97.11</v>
      </c>
      <c r="O1371" t="n">
        <v>37.40831295843521</v>
      </c>
    </row>
    <row r="1372" hidden="1">
      <c r="A1372" s="11" t="n">
        <v>46043</v>
      </c>
      <c r="B1372" t="inlineStr">
        <is>
          <t>Leandro de Souza Silva</t>
        </is>
      </c>
      <c r="C1372" t="inlineStr">
        <is>
          <t>JR</t>
        </is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s="3" t="n">
        <v>0</v>
      </c>
      <c r="J1372" s="3" t="n">
        <v>0</v>
      </c>
      <c r="K1372" s="3" t="n">
        <v>0</v>
      </c>
      <c r="L1372" s="3">
        <f>IF(K1372&lt;-5,"CRÍTICO",IF(K1372&lt;0,"ATENÇÃO",IF(K1372&lt;=5,"BOM","EXCELENTE")))</f>
        <v/>
      </c>
      <c r="N1372" t="n">
        <v>0</v>
      </c>
      <c r="O1372" t="n">
        <v>0</v>
      </c>
    </row>
    <row r="1373" hidden="1">
      <c r="A1373" s="11" t="n">
        <v>46043</v>
      </c>
      <c r="B1373" t="inlineStr">
        <is>
          <t>Leandro Oliveira de Sousa</t>
        </is>
      </c>
      <c r="C1373" t="inlineStr">
        <is>
          <t>Técnico III</t>
        </is>
      </c>
      <c r="D1373" t="n">
        <v>24</v>
      </c>
      <c r="E1373" t="n">
        <v>19</v>
      </c>
      <c r="F1373" t="n">
        <v>15.4</v>
      </c>
      <c r="G1373" t="n">
        <v>0</v>
      </c>
      <c r="H1373" t="n">
        <v>0</v>
      </c>
      <c r="I1373" s="3">
        <f>E1373+G1373+H1373</f>
        <v/>
      </c>
      <c r="J1373" s="3">
        <f>ROUND(MIN(IF(C1373="Técnico III",35,IF(C1373="Técnico II",28,IF(C1373="Técnico I",23,IF(C1373="JR",20,IF(C1373="Estágio",10,0))))),IF(C1373="Técnico III",SUMIFS($D:$D,$A:$A,$A1373,$B:$B,"&lt;&gt;Patrícia Karla de Sousa Araújo",$B:$B,"&lt;&gt;Lorena Dias de Araujo",$B:$B,"&lt;&gt;Lucas Luiz Romero")*(35/1083),IF(C1373="Técnico II",SUMIFS($D:$D,$A:$A,$A1373,$B:$B,"&lt;&gt;Patrícia Karla de Sousa Araújo",$B:$B,"&lt;&gt;Lorena Dias de Araujo",$B:$B,"&lt;&gt;Lucas Luiz Romero")*(28/1083),IF(C1373="Técnico I",SUMIFS($D:$D,$A:$A,$A1373,$B:$B,"&lt;&gt;Patrícia Karla de Sousa Araújo",$B:$B,"&lt;&gt;Lorena Dias de Araujo",$B:$B,"&lt;&gt;Lucas Luiz Romero")*(23/1083),IF(C1373="JR",SUMIFS($D:$D,$A:$A,$A1373,$B:$B,"&lt;&gt;Patrícia Karla de Sousa Araújo",$B:$B,"&lt;&gt;Lorena Dias de Araujo",$B:$B,"&lt;&gt;Lucas Luiz Romero")*(20/1083),IF(C1373="Estágio",SUMIFS($D:$D,$A:$A,$A1373,$B:$B,"&lt;&gt;Patrícia Karla de Sousa Araújo",$B:$B,"&lt;&gt;Lorena Dias de Araujo",$B:$B,"&lt;&gt;Lucas Luiz Romero")*(10/1083),0)))))),0)</f>
        <v/>
      </c>
      <c r="K1373" s="3">
        <f>I1373-J1373</f>
        <v/>
      </c>
      <c r="L1373" s="3">
        <f>IF(K1373&lt;-5,"CRÍTICO",IF(K1373&lt;0,"ATENÇÃO",IF(K1373&lt;=5,"BOM","EXCELENTE")))</f>
        <v/>
      </c>
      <c r="N1373" t="n">
        <v>100</v>
      </c>
      <c r="O1373" t="n">
        <v>30.47034764826176</v>
      </c>
    </row>
    <row r="1374" hidden="1">
      <c r="A1374" s="11" t="n">
        <v>46043</v>
      </c>
      <c r="B1374" t="inlineStr">
        <is>
          <t>Lizandra Gomes Duarte</t>
        </is>
      </c>
      <c r="C1374" t="inlineStr">
        <is>
          <t>Técnico II</t>
        </is>
      </c>
      <c r="D1374" t="n">
        <v>28</v>
      </c>
      <c r="E1374" t="n">
        <v>27</v>
      </c>
      <c r="F1374" t="n">
        <v>14.17</v>
      </c>
      <c r="G1374" t="n">
        <v>0</v>
      </c>
      <c r="H1374" t="n">
        <v>0</v>
      </c>
      <c r="I1374" s="3">
        <f>E1374+G1374+H1374</f>
        <v/>
      </c>
      <c r="J1374" s="3">
        <f>ROUND(MIN(IF(C1374="Técnico III",35,IF(C1374="Técnico II",28,IF(C1374="Técnico I",23,IF(C1374="JR",20,IF(C1374="Estágio",10,0))))),IF(C1374="Técnico III",SUMIFS($D:$D,$A:$A,$A1374,$B:$B,"&lt;&gt;Patrícia Karla de Sousa Araújo",$B:$B,"&lt;&gt;Lorena Dias de Araujo",$B:$B,"&lt;&gt;Lucas Luiz Romero")*(35/1083),IF(C1374="Técnico II",SUMIFS($D:$D,$A:$A,$A1374,$B:$B,"&lt;&gt;Patrícia Karla de Sousa Araújo",$B:$B,"&lt;&gt;Lorena Dias de Araujo",$B:$B,"&lt;&gt;Lucas Luiz Romero")*(28/1083),IF(C1374="Técnico I",SUMIFS($D:$D,$A:$A,$A1374,$B:$B,"&lt;&gt;Patrícia Karla de Sousa Araújo",$B:$B,"&lt;&gt;Lorena Dias de Araujo",$B:$B,"&lt;&gt;Lucas Luiz Romero")*(23/1083),IF(C1374="JR",SUMIFS($D:$D,$A:$A,$A1374,$B:$B,"&lt;&gt;Patrícia Karla de Sousa Araújo",$B:$B,"&lt;&gt;Lorena Dias de Araujo",$B:$B,"&lt;&gt;Lucas Luiz Romero")*(20/1083),IF(C1374="Estágio",SUMIFS($D:$D,$A:$A,$A1374,$B:$B,"&lt;&gt;Patrícia Karla de Sousa Araújo",$B:$B,"&lt;&gt;Lorena Dias de Araujo",$B:$B,"&lt;&gt;Lucas Luiz Romero")*(10/1083),0)))))),0)</f>
        <v/>
      </c>
      <c r="K1374" s="3">
        <f>I1374-J1374</f>
        <v/>
      </c>
      <c r="L1374" s="3">
        <f>IF(K1374&lt;-5,"CRÍTICO",IF(K1374&lt;0,"ATENÇÃO",IF(K1374&lt;=5,"BOM","EXCELENTE")))</f>
        <v/>
      </c>
      <c r="N1374" t="n">
        <v>100</v>
      </c>
      <c r="O1374" t="n">
        <v>32.37113402061856</v>
      </c>
    </row>
    <row r="1375" hidden="1">
      <c r="A1375" s="11" t="n">
        <v>46043</v>
      </c>
      <c r="B1375" t="inlineStr">
        <is>
          <t>Lorena Dias de Araujo</t>
        </is>
      </c>
      <c r="C1375" t="inlineStr">
        <is>
          <t>Técnico II</t>
        </is>
      </c>
      <c r="D1375" t="n">
        <v>26</v>
      </c>
      <c r="E1375" t="n">
        <v>23</v>
      </c>
      <c r="F1375" t="n">
        <v>13.38</v>
      </c>
      <c r="G1375" t="n">
        <v>0</v>
      </c>
      <c r="H1375" t="n">
        <v>0</v>
      </c>
      <c r="I1375" s="3" t="n">
        <v>0</v>
      </c>
      <c r="J1375" s="3" t="n">
        <v>0</v>
      </c>
      <c r="K1375" s="3" t="n">
        <v>0</v>
      </c>
      <c r="L1375" s="3">
        <f>IF(K1375&lt;-5,"CRÍTICO",IF(K1375&lt;0,"ATENÇÃO",IF(K1375&lt;=5,"BOM","EXCELENTE")))</f>
        <v/>
      </c>
      <c r="N1375" t="n">
        <v>98.31999999999999</v>
      </c>
      <c r="O1375" t="n">
        <v>32.31850117096019</v>
      </c>
    </row>
    <row r="1376" hidden="1">
      <c r="A1376" s="11" t="n">
        <v>46043</v>
      </c>
      <c r="B1376" t="inlineStr">
        <is>
          <t>Lucas Luiz Romero</t>
        </is>
      </c>
      <c r="C1376" t="inlineStr">
        <is>
          <t>Técnico III</t>
        </is>
      </c>
      <c r="D1376" t="n">
        <v>35</v>
      </c>
      <c r="E1376" t="n">
        <v>19</v>
      </c>
      <c r="F1376" t="n">
        <v>8.25</v>
      </c>
      <c r="G1376" t="n">
        <v>0</v>
      </c>
      <c r="H1376" t="n">
        <v>0</v>
      </c>
      <c r="I1376" s="3">
        <f>E1376+G1376+H1376</f>
        <v/>
      </c>
      <c r="J1376" s="3">
        <f>ROUND(MIN(IF(C1376="Técnico III",35,IF(C1376="Técnico II",28,IF(C1376="Técnico I",23,IF(C1376="JR",20,IF(C1376="Estágio",10,0))))),IF(C1376="Técnico III",SUMIFS($D:$D,$A:$A,$A1376,$B:$B,"&lt;&gt;Patrícia Karla de Sousa Araújo",$B:$B,"&lt;&gt;Lorena Dias de Araujo",$B:$B,"&lt;&gt;Lucas Luiz Romero")*(35/1083),IF(C1376="Técnico II",SUMIFS($D:$D,$A:$A,$A1376,$B:$B,"&lt;&gt;Patrícia Karla de Sousa Araújo",$B:$B,"&lt;&gt;Lorena Dias de Araujo",$B:$B,"&lt;&gt;Lucas Luiz Romero")*(28/1083),IF(C1376="Técnico I",SUMIFS($D:$D,$A:$A,$A1376,$B:$B,"&lt;&gt;Patrícia Karla de Sousa Araújo",$B:$B,"&lt;&gt;Lorena Dias de Araujo",$B:$B,"&lt;&gt;Lucas Luiz Romero")*(23/1083),IF(C1376="JR",SUMIFS($D:$D,$A:$A,$A1376,$B:$B,"&lt;&gt;Patrícia Karla de Sousa Araújo",$B:$B,"&lt;&gt;Lorena Dias de Araujo",$B:$B,"&lt;&gt;Lucas Luiz Romero")*(20/1083),IF(C1376="Estágio",SUMIFS($D:$D,$A:$A,$A1376,$B:$B,"&lt;&gt;Patrícia Karla de Sousa Araújo",$B:$B,"&lt;&gt;Lorena Dias de Araujo",$B:$B,"&lt;&gt;Lucas Luiz Romero")*(10/1083),0)))))),0)</f>
        <v/>
      </c>
      <c r="K1376" s="3">
        <f>I1376-J1376</f>
        <v/>
      </c>
      <c r="L1376" s="3">
        <f>IF(K1376&lt;-5,"CRÍTICO",IF(K1376&lt;0,"ATENÇÃO",IF(K1376&lt;=5,"BOM","EXCELENTE")))</f>
        <v/>
      </c>
      <c r="N1376" t="n">
        <v>96.43000000000001</v>
      </c>
      <c r="O1376" t="n">
        <v>27.01525054466231</v>
      </c>
    </row>
    <row r="1377" hidden="1">
      <c r="A1377" s="11" t="n">
        <v>46043</v>
      </c>
      <c r="B1377" t="inlineStr">
        <is>
          <t>Luiz Fernando de Carvalho Junior</t>
        </is>
      </c>
      <c r="C1377" t="inlineStr">
        <is>
          <t>Técnico I</t>
        </is>
      </c>
      <c r="D1377" t="n">
        <v>17</v>
      </c>
      <c r="E1377" t="n">
        <v>17</v>
      </c>
      <c r="F1377" t="n">
        <v>22.17</v>
      </c>
      <c r="G1377" t="n">
        <v>0</v>
      </c>
      <c r="H1377" t="n">
        <v>0</v>
      </c>
      <c r="I1377" s="3">
        <f>E1377+G1377+H1377</f>
        <v/>
      </c>
      <c r="J1377" s="3">
        <f>ROUND(MIN(IF(C1377="Técnico III",35,IF(C1377="Técnico II",28,IF(C1377="Técnico I",23,IF(C1377="JR",20,IF(C1377="Estágio",10,0))))),IF(C1377="Técnico III",SUMIFS($D:$D,$A:$A,$A1377,$B:$B,"&lt;&gt;Patrícia Karla de Sousa Araújo",$B:$B,"&lt;&gt;Lorena Dias de Araujo",$B:$B,"&lt;&gt;Lucas Luiz Romero")*(35/1083),IF(C1377="Técnico II",SUMIFS($D:$D,$A:$A,$A1377,$B:$B,"&lt;&gt;Patrícia Karla de Sousa Araújo",$B:$B,"&lt;&gt;Lorena Dias de Araujo",$B:$B,"&lt;&gt;Lucas Luiz Romero")*(28/1083),IF(C1377="Técnico I",SUMIFS($D:$D,$A:$A,$A1377,$B:$B,"&lt;&gt;Patrícia Karla de Sousa Araújo",$B:$B,"&lt;&gt;Lorena Dias de Araujo",$B:$B,"&lt;&gt;Lucas Luiz Romero")*(23/1083),IF(C1377="JR",SUMIFS($D:$D,$A:$A,$A1377,$B:$B,"&lt;&gt;Patrícia Karla de Sousa Araújo",$B:$B,"&lt;&gt;Lorena Dias de Araujo",$B:$B,"&lt;&gt;Lucas Luiz Romero")*(20/1083),IF(C1377="Estágio",SUMIFS($D:$D,$A:$A,$A1377,$B:$B,"&lt;&gt;Patrícia Karla de Sousa Araújo",$B:$B,"&lt;&gt;Lorena Dias de Araujo",$B:$B,"&lt;&gt;Lucas Luiz Romero")*(10/1083),0)))))),0)</f>
        <v/>
      </c>
      <c r="K1377" s="3">
        <f>I1377-J1377</f>
        <v/>
      </c>
      <c r="L1377" s="3">
        <f>IF(K1377&lt;-5,"CRÍTICO",IF(K1377&lt;0,"ATENÇÃO",IF(K1377&lt;=5,"BOM","EXCELENTE")))</f>
        <v/>
      </c>
      <c r="N1377" t="n">
        <v>98.89</v>
      </c>
      <c r="O1377" t="n">
        <v>28.02197802197802</v>
      </c>
    </row>
    <row r="1378" hidden="1">
      <c r="A1378" s="11" t="n">
        <v>46043</v>
      </c>
      <c r="B1378" t="inlineStr">
        <is>
          <t>Maria Eduarda Sousa Costa</t>
        </is>
      </c>
      <c r="C1378" t="inlineStr">
        <is>
          <t>Estágio</t>
        </is>
      </c>
      <c r="D1378" t="n">
        <v>8</v>
      </c>
      <c r="E1378" t="n">
        <v>8</v>
      </c>
      <c r="F1378" t="n">
        <v>30.44</v>
      </c>
      <c r="G1378" t="n">
        <v>0</v>
      </c>
      <c r="H1378" t="n">
        <v>0</v>
      </c>
      <c r="I1378" s="3">
        <f>E1378+G1378+H1378</f>
        <v/>
      </c>
      <c r="J1378" s="3">
        <f>ROUND(MIN(IF(C1378="Técnico III",35,IF(C1378="Técnico II",28,IF(C1378="Técnico I",23,IF(C1378="JR",20,IF(C1378="Estágio",10,0))))),IF(C1378="Técnico III",SUMIFS($D:$D,$A:$A,$A1378,$B:$B,"&lt;&gt;Patrícia Karla de Sousa Araújo",$B:$B,"&lt;&gt;Lorena Dias de Araujo",$B:$B,"&lt;&gt;Lucas Luiz Romero")*(35/1083),IF(C1378="Técnico II",SUMIFS($D:$D,$A:$A,$A1378,$B:$B,"&lt;&gt;Patrícia Karla de Sousa Araújo",$B:$B,"&lt;&gt;Lorena Dias de Araujo",$B:$B,"&lt;&gt;Lucas Luiz Romero")*(28/1083),IF(C1378="Técnico I",SUMIFS($D:$D,$A:$A,$A1378,$B:$B,"&lt;&gt;Patrícia Karla de Sousa Araújo",$B:$B,"&lt;&gt;Lorena Dias de Araujo",$B:$B,"&lt;&gt;Lucas Luiz Romero")*(23/1083),IF(C1378="JR",SUMIFS($D:$D,$A:$A,$A1378,$B:$B,"&lt;&gt;Patrícia Karla de Sousa Araújo",$B:$B,"&lt;&gt;Lorena Dias de Araujo",$B:$B,"&lt;&gt;Lucas Luiz Romero")*(20/1083),IF(C1378="Estágio",SUMIFS($D:$D,$A:$A,$A1378,$B:$B,"&lt;&gt;Patrícia Karla de Sousa Araújo",$B:$B,"&lt;&gt;Lorena Dias de Araujo",$B:$B,"&lt;&gt;Lucas Luiz Romero")*(10/1083),0)))))),0)</f>
        <v/>
      </c>
      <c r="K1378" s="3">
        <f>I1378-J1378</f>
        <v/>
      </c>
      <c r="L1378" s="3">
        <f>IF(K1378&lt;-5,"CRÍTICO",IF(K1378&lt;0,"ATENÇÃO",IF(K1378&lt;=5,"BOM","EXCELENTE")))</f>
        <v/>
      </c>
      <c r="N1378" t="n">
        <v>100</v>
      </c>
      <c r="O1378" t="n">
        <v>33.33333333333333</v>
      </c>
    </row>
    <row r="1379" hidden="1">
      <c r="A1379" s="11" t="n">
        <v>46043</v>
      </c>
      <c r="B1379" t="inlineStr">
        <is>
          <t>Matheus Farias De Souza</t>
        </is>
      </c>
      <c r="C1379" t="inlineStr">
        <is>
          <t>Técnico III</t>
        </is>
      </c>
      <c r="D1379" t="n">
        <v>28</v>
      </c>
      <c r="E1379" t="n">
        <v>27</v>
      </c>
      <c r="F1379" t="n">
        <v>11.44</v>
      </c>
      <c r="G1379" t="n">
        <v>0</v>
      </c>
      <c r="H1379" t="n">
        <v>0</v>
      </c>
      <c r="I1379" s="3">
        <f>E1379+G1379+H1379</f>
        <v/>
      </c>
      <c r="J1379" s="3">
        <f>ROUND(MIN(IF(C1379="Técnico III",35,IF(C1379="Técnico II",28,IF(C1379="Técnico I",23,IF(C1379="JR",20,IF(C1379="Estágio",10,0))))),IF(C1379="Técnico III",SUMIFS($D:$D,$A:$A,$A1379,$B:$B,"&lt;&gt;Patrícia Karla de Sousa Araújo",$B:$B,"&lt;&gt;Lorena Dias de Araujo",$B:$B,"&lt;&gt;Lucas Luiz Romero")*(35/1083),IF(C1379="Técnico II",SUMIFS($D:$D,$A:$A,$A1379,$B:$B,"&lt;&gt;Patrícia Karla de Sousa Araújo",$B:$B,"&lt;&gt;Lorena Dias de Araujo",$B:$B,"&lt;&gt;Lucas Luiz Romero")*(28/1083),IF(C1379="Técnico I",SUMIFS($D:$D,$A:$A,$A1379,$B:$B,"&lt;&gt;Patrícia Karla de Sousa Araújo",$B:$B,"&lt;&gt;Lorena Dias de Araujo",$B:$B,"&lt;&gt;Lucas Luiz Romero")*(23/1083),IF(C1379="JR",SUMIFS($D:$D,$A:$A,$A1379,$B:$B,"&lt;&gt;Patrícia Karla de Sousa Araújo",$B:$B,"&lt;&gt;Lorena Dias de Araujo",$B:$B,"&lt;&gt;Lucas Luiz Romero")*(20/1083),IF(C1379="Estágio",SUMIFS($D:$D,$A:$A,$A1379,$B:$B,"&lt;&gt;Patrícia Karla de Sousa Araújo",$B:$B,"&lt;&gt;Lorena Dias de Araujo",$B:$B,"&lt;&gt;Lucas Luiz Romero")*(10/1083),0)))))),0)</f>
        <v/>
      </c>
      <c r="K1379" s="3">
        <f>I1379-J1379</f>
        <v/>
      </c>
      <c r="L1379" s="3">
        <f>IF(K1379&lt;-5,"CRÍTICO",IF(K1379&lt;0,"ATENÇÃO",IF(K1379&lt;=5,"BOM","EXCELENTE")))</f>
        <v/>
      </c>
      <c r="N1379" t="n">
        <v>100</v>
      </c>
      <c r="O1379" t="n">
        <v>27.43362831858407</v>
      </c>
    </row>
    <row r="1380" hidden="1">
      <c r="A1380" s="11" t="n">
        <v>46043</v>
      </c>
      <c r="B1380" t="inlineStr">
        <is>
          <t>Maysa Victoria Dias Moura</t>
        </is>
      </c>
      <c r="C1380" t="inlineStr">
        <is>
          <t>Técnico III</t>
        </is>
      </c>
      <c r="D1380" t="n">
        <v>32</v>
      </c>
      <c r="E1380" t="n">
        <v>27</v>
      </c>
      <c r="F1380" t="n">
        <v>9.140000000000001</v>
      </c>
      <c r="G1380" t="n">
        <v>0</v>
      </c>
      <c r="H1380" t="n">
        <v>0</v>
      </c>
      <c r="I1380" s="3">
        <f>E1380+G1380+H1380</f>
        <v/>
      </c>
      <c r="J1380" s="3">
        <f>ROUND(MIN(IF(C1380="Técnico III",35,IF(C1380="Técnico II",28,IF(C1380="Técnico I",23,IF(C1380="JR",20,IF(C1380="Estágio",10,0))))),IF(C1380="Técnico III",SUMIFS($D:$D,$A:$A,$A1380,$B:$B,"&lt;&gt;Patrícia Karla de Sousa Araújo",$B:$B,"&lt;&gt;Lorena Dias de Araujo",$B:$B,"&lt;&gt;Lucas Luiz Romero")*(35/1083),IF(C1380="Técnico II",SUMIFS($D:$D,$A:$A,$A1380,$B:$B,"&lt;&gt;Patrícia Karla de Sousa Araújo",$B:$B,"&lt;&gt;Lorena Dias de Araujo",$B:$B,"&lt;&gt;Lucas Luiz Romero")*(28/1083),IF(C1380="Técnico I",SUMIFS($D:$D,$A:$A,$A1380,$B:$B,"&lt;&gt;Patrícia Karla de Sousa Araújo",$B:$B,"&lt;&gt;Lorena Dias de Araujo",$B:$B,"&lt;&gt;Lucas Luiz Romero")*(23/1083),IF(C1380="JR",SUMIFS($D:$D,$A:$A,$A1380,$B:$B,"&lt;&gt;Patrícia Karla de Sousa Araújo",$B:$B,"&lt;&gt;Lorena Dias de Araujo",$B:$B,"&lt;&gt;Lucas Luiz Romero")*(20/1083),IF(C1380="Estágio",SUMIFS($D:$D,$A:$A,$A1380,$B:$B,"&lt;&gt;Patrícia Karla de Sousa Araújo",$B:$B,"&lt;&gt;Lorena Dias de Araujo",$B:$B,"&lt;&gt;Lucas Luiz Romero")*(10/1083),0)))))),0)</f>
        <v/>
      </c>
      <c r="K1380" s="3">
        <f>I1380-J1380</f>
        <v/>
      </c>
      <c r="L1380" s="3">
        <f>IF(K1380&lt;-5,"CRÍTICO",IF(K1380&lt;0,"ATENÇÃO",IF(K1380&lt;=5,"BOM","EXCELENTE")))</f>
        <v/>
      </c>
      <c r="N1380" t="n">
        <v>98.65000000000001</v>
      </c>
      <c r="O1380" t="n">
        <v>30.97826086956522</v>
      </c>
    </row>
    <row r="1381" hidden="1">
      <c r="A1381" s="11" t="n">
        <v>46043</v>
      </c>
      <c r="B1381" t="inlineStr">
        <is>
          <t>Michelle G Santos</t>
        </is>
      </c>
      <c r="C1381" t="inlineStr">
        <is>
          <t>Estágio</t>
        </is>
      </c>
      <c r="D1381" t="n">
        <v>6</v>
      </c>
      <c r="E1381" t="n">
        <v>5</v>
      </c>
      <c r="F1381" t="n">
        <v>27.01</v>
      </c>
      <c r="G1381" t="n">
        <v>0</v>
      </c>
      <c r="H1381" t="n">
        <v>0</v>
      </c>
      <c r="I1381" s="3">
        <f>E1381+G1381+H1381</f>
        <v/>
      </c>
      <c r="J1381" s="3">
        <f>ROUND(MIN(IF(C1381="Técnico III",35,IF(C1381="Técnico II",28,IF(C1381="Técnico I",23,IF(C1381="JR",20,IF(C1381="Estágio",10,0))))),IF(C1381="Técnico III",SUMIFS($D:$D,$A:$A,$A1381,$B:$B,"&lt;&gt;Patrícia Karla de Sousa Araújo",$B:$B,"&lt;&gt;Lorena Dias de Araujo",$B:$B,"&lt;&gt;Lucas Luiz Romero")*(35/1083),IF(C1381="Técnico II",SUMIFS($D:$D,$A:$A,$A1381,$B:$B,"&lt;&gt;Patrícia Karla de Sousa Araújo",$B:$B,"&lt;&gt;Lorena Dias de Araujo",$B:$B,"&lt;&gt;Lucas Luiz Romero")*(28/1083),IF(C1381="Técnico I",SUMIFS($D:$D,$A:$A,$A1381,$B:$B,"&lt;&gt;Patrícia Karla de Sousa Araújo",$B:$B,"&lt;&gt;Lorena Dias de Araujo",$B:$B,"&lt;&gt;Lucas Luiz Romero")*(23/1083),IF(C1381="JR",SUMIFS($D:$D,$A:$A,$A1381,$B:$B,"&lt;&gt;Patrícia Karla de Sousa Araújo",$B:$B,"&lt;&gt;Lorena Dias de Araujo",$B:$B,"&lt;&gt;Lucas Luiz Romero")*(20/1083),IF(C1381="Estágio",SUMIFS($D:$D,$A:$A,$A1381,$B:$B,"&lt;&gt;Patrícia Karla de Sousa Araújo",$B:$B,"&lt;&gt;Lorena Dias de Araujo",$B:$B,"&lt;&gt;Lucas Luiz Romero")*(10/1083),0)))))),0)</f>
        <v/>
      </c>
      <c r="K1381" s="3">
        <f>I1381-J1381</f>
        <v/>
      </c>
      <c r="L1381" s="3">
        <f>IF(K1381&lt;-5,"CRÍTICO",IF(K1381&lt;0,"ATENÇÃO",IF(K1381&lt;=5,"BOM","EXCELENTE")))</f>
        <v/>
      </c>
      <c r="N1381" t="n">
        <v>100</v>
      </c>
      <c r="O1381" t="n">
        <v>12</v>
      </c>
    </row>
    <row r="1382" hidden="1">
      <c r="A1382" s="11" t="n">
        <v>46043</v>
      </c>
      <c r="B1382" t="inlineStr">
        <is>
          <t>Milena Sales</t>
        </is>
      </c>
      <c r="C1382" t="inlineStr">
        <is>
          <t>JR</t>
        </is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s="3" t="n">
        <v>0</v>
      </c>
      <c r="J1382" s="3" t="n">
        <v>0</v>
      </c>
      <c r="K1382" s="3" t="n">
        <v>0</v>
      </c>
      <c r="L1382" s="3">
        <f>IF(K1382&lt;-5,"CRÍTICO",IF(K1382&lt;0,"ATENÇÃO",IF(K1382&lt;=5,"BOM","EXCELENTE")))</f>
        <v/>
      </c>
      <c r="N1382" t="n">
        <v>0</v>
      </c>
      <c r="O1382" t="n">
        <v>0</v>
      </c>
    </row>
    <row r="1383" hidden="1">
      <c r="A1383" s="11" t="n">
        <v>46043</v>
      </c>
      <c r="B1383" t="inlineStr">
        <is>
          <t>Patrícia Karla de Sousa Araújo</t>
        </is>
      </c>
      <c r="C1383" t="inlineStr">
        <is>
          <t>Técnico II</t>
        </is>
      </c>
      <c r="D1383" t="n">
        <v>18</v>
      </c>
      <c r="E1383" t="n">
        <v>18</v>
      </c>
      <c r="F1383" t="n">
        <v>23.34</v>
      </c>
      <c r="G1383" t="n">
        <v>0</v>
      </c>
      <c r="H1383" t="n">
        <v>0</v>
      </c>
      <c r="I1383" s="3">
        <f>E1383+G1383+H1383</f>
        <v/>
      </c>
      <c r="J1383" s="3">
        <f>ROUND(MIN(IF(C1383="Técnico III",35,IF(C1383="Técnico II",28,IF(C1383="Técnico I",23,IF(C1383="JR",20,IF(C1383="Estágio",10,0))))),IF(C1383="Técnico III",SUMIFS($D:$D,$A:$A,$A1383,$B:$B,"&lt;&gt;Patrícia Karla de Sousa Araújo",$B:$B,"&lt;&gt;Lorena Dias de Araujo",$B:$B,"&lt;&gt;Lucas Luiz Romero")*(35/1083),IF(C1383="Técnico II",SUMIFS($D:$D,$A:$A,$A1383,$B:$B,"&lt;&gt;Patrícia Karla de Sousa Araújo",$B:$B,"&lt;&gt;Lorena Dias de Araujo",$B:$B,"&lt;&gt;Lucas Luiz Romero")*(28/1083),IF(C1383="Técnico I",SUMIFS($D:$D,$A:$A,$A1383,$B:$B,"&lt;&gt;Patrícia Karla de Sousa Araújo",$B:$B,"&lt;&gt;Lorena Dias de Araujo",$B:$B,"&lt;&gt;Lucas Luiz Romero")*(23/1083),IF(C1383="JR",SUMIFS($D:$D,$A:$A,$A1383,$B:$B,"&lt;&gt;Patrícia Karla de Sousa Araújo",$B:$B,"&lt;&gt;Lorena Dias de Araujo",$B:$B,"&lt;&gt;Lucas Luiz Romero")*(20/1083),IF(C1383="Estágio",SUMIFS($D:$D,$A:$A,$A1383,$B:$B,"&lt;&gt;Patrícia Karla de Sousa Araújo",$B:$B,"&lt;&gt;Lorena Dias de Araujo",$B:$B,"&lt;&gt;Lucas Luiz Romero")*(10/1083),0)))))),0)</f>
        <v/>
      </c>
      <c r="K1383" s="3">
        <f>I1383-J1383</f>
        <v/>
      </c>
      <c r="L1383" s="3">
        <f>IF(K1383&lt;-5,"CRÍTICO",IF(K1383&lt;0,"ATENÇÃO",IF(K1383&lt;=5,"BOM","EXCELENTE")))</f>
        <v/>
      </c>
      <c r="N1383" t="n">
        <v>97.56</v>
      </c>
      <c r="O1383" t="n">
        <v>31.06796116504854</v>
      </c>
    </row>
    <row r="1384" hidden="1">
      <c r="A1384" s="11" t="n">
        <v>46043</v>
      </c>
      <c r="B1384" t="inlineStr">
        <is>
          <t>Paulo Ricardo Santos</t>
        </is>
      </c>
      <c r="C1384" t="inlineStr">
        <is>
          <t>JR</t>
        </is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s="3" t="n">
        <v>0</v>
      </c>
      <c r="J1384" s="3" t="n">
        <v>0</v>
      </c>
      <c r="K1384" s="3" t="n">
        <v>0</v>
      </c>
      <c r="L1384" s="3">
        <f>IF(K1384&lt;-5,"CRÍTICO",IF(K1384&lt;0,"ATENÇÃO",IF(K1384&lt;=5,"BOM","EXCELENTE")))</f>
        <v/>
      </c>
      <c r="N1384" t="n">
        <v>0</v>
      </c>
      <c r="O1384" t="n">
        <v>0</v>
      </c>
    </row>
    <row r="1385" hidden="1">
      <c r="A1385" s="11" t="n">
        <v>46043</v>
      </c>
      <c r="B1385" t="inlineStr">
        <is>
          <t>Pedro Luiz Mota Sousa</t>
        </is>
      </c>
      <c r="C1385" t="inlineStr">
        <is>
          <t>JR</t>
        </is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s="3" t="n">
        <v>0</v>
      </c>
      <c r="J1385" s="3" t="n">
        <v>0</v>
      </c>
      <c r="K1385" s="3" t="n">
        <v>0</v>
      </c>
      <c r="L1385" s="3">
        <f>IF(K1385&lt;-5,"CRÍTICO",IF(K1385&lt;0,"ATENÇÃO",IF(K1385&lt;=5,"BOM","EXCELENTE")))</f>
        <v/>
      </c>
      <c r="N1385" t="n">
        <v>0</v>
      </c>
      <c r="O1385" t="n">
        <v>0</v>
      </c>
    </row>
    <row r="1386" hidden="1">
      <c r="A1386" s="11" t="n">
        <v>46043</v>
      </c>
      <c r="B1386" t="inlineStr">
        <is>
          <t>Quirino Diogo Leite Torres</t>
        </is>
      </c>
      <c r="C1386" t="inlineStr">
        <is>
          <t>Estágio</t>
        </is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s="3" t="n">
        <v>0</v>
      </c>
      <c r="J1386" s="3" t="n">
        <v>0</v>
      </c>
      <c r="K1386" s="3" t="n">
        <v>0</v>
      </c>
      <c r="L1386" s="3">
        <f>IF(K1386&lt;-5,"CRÍTICO",IF(K1386&lt;0,"ATENÇÃO",IF(K1386&lt;=5,"BOM","EXCELENTE")))</f>
        <v/>
      </c>
      <c r="N1386" t="n">
        <v>0</v>
      </c>
      <c r="O1386" t="n">
        <v>0</v>
      </c>
    </row>
    <row r="1387" hidden="1">
      <c r="A1387" s="11" t="n">
        <v>46043</v>
      </c>
      <c r="B1387" t="inlineStr">
        <is>
          <t>Raane Batista Matos</t>
        </is>
      </c>
      <c r="C1387" t="inlineStr">
        <is>
          <t>Técnico I</t>
        </is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s="3" t="n">
        <v>0</v>
      </c>
      <c r="J1387" s="3" t="n">
        <v>0</v>
      </c>
      <c r="K1387" s="3" t="n">
        <v>0</v>
      </c>
      <c r="L1387" s="3">
        <f>IF(K1387&lt;-5,"CRÍTICO",IF(K1387&lt;0,"ATENÇÃO",IF(K1387&lt;=5,"BOM","EXCELENTE")))</f>
        <v/>
      </c>
      <c r="N1387" t="n">
        <v>100</v>
      </c>
      <c r="O1387" t="n">
        <v>53.84615384615385</v>
      </c>
    </row>
    <row r="1388" hidden="1">
      <c r="A1388" s="11" t="n">
        <v>46043</v>
      </c>
      <c r="B1388" t="inlineStr">
        <is>
          <t>Rafael Gomes de Morais</t>
        </is>
      </c>
      <c r="C1388" t="inlineStr">
        <is>
          <t>Técnico III</t>
        </is>
      </c>
      <c r="D1388" t="n">
        <v>24</v>
      </c>
      <c r="E1388" t="n">
        <v>20</v>
      </c>
      <c r="F1388" t="n">
        <v>14.06</v>
      </c>
      <c r="G1388" t="n">
        <v>0</v>
      </c>
      <c r="H1388" t="n">
        <v>0</v>
      </c>
      <c r="I1388" s="3">
        <f>E1388+G1388+H1388</f>
        <v/>
      </c>
      <c r="J1388" s="3">
        <f>ROUND(MIN(IF(C1388="Técnico III",35,IF(C1388="Técnico II",28,IF(C1388="Técnico I",23,IF(C1388="JR",20,IF(C1388="Estágio",10,0))))),IF(C1388="Técnico III",SUMIFS($D:$D,$A:$A,$A1388,$B:$B,"&lt;&gt;Patrícia Karla de Sousa Araújo",$B:$B,"&lt;&gt;Lorena Dias de Araujo",$B:$B,"&lt;&gt;Lucas Luiz Romero")*(35/1083),IF(C1388="Técnico II",SUMIFS($D:$D,$A:$A,$A1388,$B:$B,"&lt;&gt;Patrícia Karla de Sousa Araújo",$B:$B,"&lt;&gt;Lorena Dias de Araujo",$B:$B,"&lt;&gt;Lucas Luiz Romero")*(28/1083),IF(C1388="Técnico I",SUMIFS($D:$D,$A:$A,$A1388,$B:$B,"&lt;&gt;Patrícia Karla de Sousa Araújo",$B:$B,"&lt;&gt;Lorena Dias de Araujo",$B:$B,"&lt;&gt;Lucas Luiz Romero")*(23/1083),IF(C1388="JR",SUMIFS($D:$D,$A:$A,$A1388,$B:$B,"&lt;&gt;Patrícia Karla de Sousa Araújo",$B:$B,"&lt;&gt;Lorena Dias de Araujo",$B:$B,"&lt;&gt;Lucas Luiz Romero")*(20/1083),IF(C1388="Estágio",SUMIFS($D:$D,$A:$A,$A1388,$B:$B,"&lt;&gt;Patrícia Karla de Sousa Araújo",$B:$B,"&lt;&gt;Lorena Dias de Araujo",$B:$B,"&lt;&gt;Lucas Luiz Romero")*(10/1083),0)))))),0)</f>
        <v/>
      </c>
      <c r="K1388" s="3">
        <f>I1388-J1388</f>
        <v/>
      </c>
      <c r="L1388" s="3">
        <f>IF(K1388&lt;-5,"CRÍTICO",IF(K1388&lt;0,"ATENÇÃO",IF(K1388&lt;=5,"BOM","EXCELENTE")))</f>
        <v/>
      </c>
      <c r="N1388" t="n">
        <v>100</v>
      </c>
      <c r="O1388" t="n">
        <v>44.05594405594406</v>
      </c>
    </row>
    <row r="1389" hidden="1">
      <c r="A1389" s="11" t="n">
        <v>46043</v>
      </c>
      <c r="B1389" t="inlineStr">
        <is>
          <t>Sara Maria Monteiro Lopes</t>
        </is>
      </c>
      <c r="C1389" t="inlineStr">
        <is>
          <t>Técnico I</t>
        </is>
      </c>
      <c r="D1389" t="n">
        <v>14</v>
      </c>
      <c r="E1389" t="n">
        <v>14</v>
      </c>
      <c r="F1389" t="n">
        <v>31.53</v>
      </c>
      <c r="G1389" t="n">
        <v>0</v>
      </c>
      <c r="H1389" t="n">
        <v>0</v>
      </c>
      <c r="I1389" s="3">
        <f>E1389+G1389+H1389</f>
        <v/>
      </c>
      <c r="J1389" s="3">
        <f>ROUND(MIN(IF(C1389="Técnico III",35,IF(C1389="Técnico II",28,IF(C1389="Técnico I",23,IF(C1389="JR",20,IF(C1389="Estágio",10,0))))),IF(C1389="Técnico III",SUMIFS($D:$D,$A:$A,$A1389,$B:$B,"&lt;&gt;Patrícia Karla de Sousa Araújo",$B:$B,"&lt;&gt;Lorena Dias de Araujo",$B:$B,"&lt;&gt;Lucas Luiz Romero")*(35/1083),IF(C1389="Técnico II",SUMIFS($D:$D,$A:$A,$A1389,$B:$B,"&lt;&gt;Patrícia Karla de Sousa Araújo",$B:$B,"&lt;&gt;Lorena Dias de Araujo",$B:$B,"&lt;&gt;Lucas Luiz Romero")*(28/1083),IF(C1389="Técnico I",SUMIFS($D:$D,$A:$A,$A1389,$B:$B,"&lt;&gt;Patrícia Karla de Sousa Araújo",$B:$B,"&lt;&gt;Lorena Dias de Araujo",$B:$B,"&lt;&gt;Lucas Luiz Romero")*(23/1083),IF(C1389="JR",SUMIFS($D:$D,$A:$A,$A1389,$B:$B,"&lt;&gt;Patrícia Karla de Sousa Araújo",$B:$B,"&lt;&gt;Lorena Dias de Araujo",$B:$B,"&lt;&gt;Lucas Luiz Romero")*(20/1083),IF(C1389="Estágio",SUMIFS($D:$D,$A:$A,$A1389,$B:$B,"&lt;&gt;Patrícia Karla de Sousa Araújo",$B:$B,"&lt;&gt;Lorena Dias de Araujo",$B:$B,"&lt;&gt;Lucas Luiz Romero")*(10/1083),0)))))),0)</f>
        <v/>
      </c>
      <c r="K1389" s="3">
        <f>I1389-J1389</f>
        <v/>
      </c>
      <c r="L1389" s="3">
        <f>IF(K1389&lt;-5,"CRÍTICO",IF(K1389&lt;0,"ATENÇÃO",IF(K1389&lt;=5,"BOM","EXCELENTE")))</f>
        <v/>
      </c>
      <c r="N1389" t="n">
        <v>100</v>
      </c>
      <c r="O1389" t="n">
        <v>31.87250996015936</v>
      </c>
    </row>
    <row r="1390" hidden="1">
      <c r="A1390" s="11" t="n">
        <v>46043</v>
      </c>
      <c r="B1390" t="inlineStr">
        <is>
          <t>Sarah Steffanie de Lima Borges</t>
        </is>
      </c>
      <c r="C1390" t="inlineStr">
        <is>
          <t>Técnico III</t>
        </is>
      </c>
      <c r="D1390" t="n">
        <v>19</v>
      </c>
      <c r="E1390" t="n">
        <v>18</v>
      </c>
      <c r="F1390" t="n">
        <v>18.45</v>
      </c>
      <c r="G1390" t="n">
        <v>0</v>
      </c>
      <c r="H1390" t="n">
        <v>0</v>
      </c>
      <c r="I1390" s="3">
        <f>E1390+G1390+H1390</f>
        <v/>
      </c>
      <c r="J1390" s="3">
        <f>ROUND(MIN(IF(C1390="Técnico III",35,IF(C1390="Técnico II",28,IF(C1390="Técnico I",23,IF(C1390="JR",20,IF(C1390="Estágio",10,0))))),IF(C1390="Técnico III",SUMIFS($D:$D,$A:$A,$A1390,$B:$B,"&lt;&gt;Patrícia Karla de Sousa Araújo",$B:$B,"&lt;&gt;Lorena Dias de Araujo",$B:$B,"&lt;&gt;Lucas Luiz Romero")*(35/1083),IF(C1390="Técnico II",SUMIFS($D:$D,$A:$A,$A1390,$B:$B,"&lt;&gt;Patrícia Karla de Sousa Araújo",$B:$B,"&lt;&gt;Lorena Dias de Araujo",$B:$B,"&lt;&gt;Lucas Luiz Romero")*(28/1083),IF(C1390="Técnico I",SUMIFS($D:$D,$A:$A,$A1390,$B:$B,"&lt;&gt;Patrícia Karla de Sousa Araújo",$B:$B,"&lt;&gt;Lorena Dias de Araujo",$B:$B,"&lt;&gt;Lucas Luiz Romero")*(23/1083),IF(C1390="JR",SUMIFS($D:$D,$A:$A,$A1390,$B:$B,"&lt;&gt;Patrícia Karla de Sousa Araújo",$B:$B,"&lt;&gt;Lorena Dias de Araujo",$B:$B,"&lt;&gt;Lucas Luiz Romero")*(20/1083),IF(C1390="Estágio",SUMIFS($D:$D,$A:$A,$A1390,$B:$B,"&lt;&gt;Patrícia Karla de Sousa Araújo",$B:$B,"&lt;&gt;Lorena Dias de Araujo",$B:$B,"&lt;&gt;Lucas Luiz Romero")*(10/1083),0)))))),0)</f>
        <v/>
      </c>
      <c r="K1390" s="3">
        <f>I1390-J1390</f>
        <v/>
      </c>
      <c r="L1390" s="3">
        <f>IF(K1390&lt;-5,"CRÍTICO",IF(K1390&lt;0,"ATENÇÃO",IF(K1390&lt;=5,"BOM","EXCELENTE")))</f>
        <v/>
      </c>
      <c r="N1390" t="n">
        <v>98.41</v>
      </c>
      <c r="O1390" t="n">
        <v>29.22465208747515</v>
      </c>
    </row>
    <row r="1391" hidden="1">
      <c r="A1391" s="11" t="n">
        <v>46044</v>
      </c>
      <c r="B1391" t="inlineStr">
        <is>
          <t>Alisson de Freitas Silva</t>
        </is>
      </c>
      <c r="C1391" t="inlineStr">
        <is>
          <t>Técnico II</t>
        </is>
      </c>
      <c r="D1391" t="n">
        <v>33</v>
      </c>
      <c r="E1391" t="n">
        <v>23</v>
      </c>
      <c r="F1391" t="n">
        <v>8.210000000000001</v>
      </c>
      <c r="G1391" t="n">
        <v>0</v>
      </c>
      <c r="H1391" t="n">
        <v>0</v>
      </c>
      <c r="I1391" s="3">
        <f>E1391+G1391+H1391</f>
        <v/>
      </c>
      <c r="J1391" s="3">
        <f>ROUND(MIN(IF(C1391="Técnico III",35,IF(C1391="Técnico II",28,IF(C1391="Técnico I",23,IF(C1391="JR",20,IF(C1391="Estágio",10,0))))),IF(C1391="Técnico III",SUMIFS($D:$D,$A:$A,$A1391,$B:$B,"&lt;&gt;Patrícia Karla de Sousa Araújo",$B:$B,"&lt;&gt;Lorena Dias de Araujo",$B:$B,"&lt;&gt;Lucas Luiz Romero")*(35/1083),IF(C1391="Técnico II",SUMIFS($D:$D,$A:$A,$A1391,$B:$B,"&lt;&gt;Patrícia Karla de Sousa Araújo",$B:$B,"&lt;&gt;Lorena Dias de Araujo",$B:$B,"&lt;&gt;Lucas Luiz Romero")*(28/1083),IF(C1391="Técnico I",SUMIFS($D:$D,$A:$A,$A1391,$B:$B,"&lt;&gt;Patrícia Karla de Sousa Araújo",$B:$B,"&lt;&gt;Lorena Dias de Araujo",$B:$B,"&lt;&gt;Lucas Luiz Romero")*(23/1083),IF(C1391="JR",SUMIFS($D:$D,$A:$A,$A1391,$B:$B,"&lt;&gt;Patrícia Karla de Sousa Araújo",$B:$B,"&lt;&gt;Lorena Dias de Araujo",$B:$B,"&lt;&gt;Lucas Luiz Romero")*(20/1083),IF(C1391="Estágio",SUMIFS($D:$D,$A:$A,$A1391,$B:$B,"&lt;&gt;Patrícia Karla de Sousa Araújo",$B:$B,"&lt;&gt;Lorena Dias de Araujo",$B:$B,"&lt;&gt;Lucas Luiz Romero")*(10/1083),0)))))),0)</f>
        <v/>
      </c>
      <c r="K1391" s="3">
        <f>I1391-J1391</f>
        <v/>
      </c>
      <c r="L1391" s="3">
        <f>IF(K1391&lt;-5,"CRÍTICO",IF(K1391&lt;0,"ATENÇÃO",IF(K1391&lt;=5,"BOM","EXCELENTE")))</f>
        <v/>
      </c>
      <c r="N1391" t="n">
        <v>96.81</v>
      </c>
      <c r="O1391" t="n">
        <v>27.98053527980535</v>
      </c>
    </row>
    <row r="1392" hidden="1">
      <c r="A1392" s="11" t="n">
        <v>46044</v>
      </c>
      <c r="B1392" t="inlineStr">
        <is>
          <t>Amanda Moura Ferreira</t>
        </is>
      </c>
      <c r="C1392" t="inlineStr">
        <is>
          <t>Técnico III</t>
        </is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s="3" t="n">
        <v>0</v>
      </c>
      <c r="J1392" s="3" t="n">
        <v>0</v>
      </c>
      <c r="K1392" s="3" t="n">
        <v>0</v>
      </c>
      <c r="L1392" s="3">
        <f>IF(K1392&lt;-5,"CRÍTICO",IF(K1392&lt;0,"ATENÇÃO",IF(K1392&lt;=5,"BOM","EXCELENTE")))</f>
        <v/>
      </c>
      <c r="N1392" t="n">
        <v>98.73</v>
      </c>
      <c r="O1392" t="n">
        <v>35.75638506876228</v>
      </c>
    </row>
    <row r="1393" hidden="1">
      <c r="A1393" s="11" t="n">
        <v>46044</v>
      </c>
      <c r="B1393" t="inlineStr">
        <is>
          <t>Ana Karollyne Souza Faria</t>
        </is>
      </c>
      <c r="C1393" t="inlineStr">
        <is>
          <t>Técnico I</t>
        </is>
      </c>
      <c r="D1393" t="n">
        <v>22</v>
      </c>
      <c r="E1393" t="n">
        <v>18</v>
      </c>
      <c r="F1393" t="n">
        <v>24.07</v>
      </c>
      <c r="G1393" t="n">
        <v>0</v>
      </c>
      <c r="H1393" t="n">
        <v>0</v>
      </c>
      <c r="I1393" s="3">
        <f>E1393+G1393+H1393</f>
        <v/>
      </c>
      <c r="J1393" s="3">
        <f>ROUND(MIN(IF(C1393="Técnico III",35,IF(C1393="Técnico II",28,IF(C1393="Técnico I",23,IF(C1393="JR",20,IF(C1393="Estágio",10,0))))),IF(C1393="Técnico III",SUMIFS($D:$D,$A:$A,$A1393,$B:$B,"&lt;&gt;Patrícia Karla de Sousa Araújo",$B:$B,"&lt;&gt;Lorena Dias de Araujo",$B:$B,"&lt;&gt;Lucas Luiz Romero")*(35/1083),IF(C1393="Técnico II",SUMIFS($D:$D,$A:$A,$A1393,$B:$B,"&lt;&gt;Patrícia Karla de Sousa Araújo",$B:$B,"&lt;&gt;Lorena Dias de Araujo",$B:$B,"&lt;&gt;Lucas Luiz Romero")*(28/1083),IF(C1393="Técnico I",SUMIFS($D:$D,$A:$A,$A1393,$B:$B,"&lt;&gt;Patrícia Karla de Sousa Araújo",$B:$B,"&lt;&gt;Lorena Dias de Araujo",$B:$B,"&lt;&gt;Lucas Luiz Romero")*(23/1083),IF(C1393="JR",SUMIFS($D:$D,$A:$A,$A1393,$B:$B,"&lt;&gt;Patrícia Karla de Sousa Araújo",$B:$B,"&lt;&gt;Lorena Dias de Araujo",$B:$B,"&lt;&gt;Lucas Luiz Romero")*(20/1083),IF(C1393="Estágio",SUMIFS($D:$D,$A:$A,$A1393,$B:$B,"&lt;&gt;Patrícia Karla de Sousa Araújo",$B:$B,"&lt;&gt;Lorena Dias de Araujo",$B:$B,"&lt;&gt;Lucas Luiz Romero")*(10/1083),0)))))),0)</f>
        <v/>
      </c>
      <c r="K1393" s="3">
        <f>I1393-J1393</f>
        <v/>
      </c>
      <c r="L1393" s="3">
        <f>IF(K1393&lt;-5,"CRÍTICO",IF(K1393&lt;0,"ATENÇÃO",IF(K1393&lt;=5,"BOM","EXCELENTE")))</f>
        <v/>
      </c>
      <c r="N1393" t="n">
        <v>98.31999999999999</v>
      </c>
      <c r="O1393" t="n">
        <v>26.76348547717842</v>
      </c>
    </row>
    <row r="1394" hidden="1">
      <c r="A1394" s="11" t="n">
        <v>46044</v>
      </c>
      <c r="B1394" t="inlineStr">
        <is>
          <t>Ana Paula Da Luz Silva Aleixo</t>
        </is>
      </c>
      <c r="C1394" t="inlineStr">
        <is>
          <t>Técnico III</t>
        </is>
      </c>
      <c r="D1394" t="n">
        <v>35</v>
      </c>
      <c r="E1394" t="n">
        <v>29</v>
      </c>
      <c r="F1394" t="n">
        <v>12.22</v>
      </c>
      <c r="G1394" t="n">
        <v>0</v>
      </c>
      <c r="H1394" t="n">
        <v>0</v>
      </c>
      <c r="I1394" s="3">
        <f>E1394+G1394+H1394</f>
        <v/>
      </c>
      <c r="J1394" s="3">
        <f>ROUND(MIN(IF(C1394="Técnico III",35,IF(C1394="Técnico II",28,IF(C1394="Técnico I",23,IF(C1394="JR",20,IF(C1394="Estágio",10,0))))),IF(C1394="Técnico III",SUMIFS($D:$D,$A:$A,$A1394,$B:$B,"&lt;&gt;Patrícia Karla de Sousa Araújo",$B:$B,"&lt;&gt;Lorena Dias de Araujo",$B:$B,"&lt;&gt;Lucas Luiz Romero")*(35/1083),IF(C1394="Técnico II",SUMIFS($D:$D,$A:$A,$A1394,$B:$B,"&lt;&gt;Patrícia Karla de Sousa Araújo",$B:$B,"&lt;&gt;Lorena Dias de Araujo",$B:$B,"&lt;&gt;Lucas Luiz Romero")*(28/1083),IF(C1394="Técnico I",SUMIFS($D:$D,$A:$A,$A1394,$B:$B,"&lt;&gt;Patrícia Karla de Sousa Araújo",$B:$B,"&lt;&gt;Lorena Dias de Araujo",$B:$B,"&lt;&gt;Lucas Luiz Romero")*(23/1083),IF(C1394="JR",SUMIFS($D:$D,$A:$A,$A1394,$B:$B,"&lt;&gt;Patrícia Karla de Sousa Araújo",$B:$B,"&lt;&gt;Lorena Dias de Araujo",$B:$B,"&lt;&gt;Lucas Luiz Romero")*(20/1083),IF(C1394="Estágio",SUMIFS($D:$D,$A:$A,$A1394,$B:$B,"&lt;&gt;Patrícia Karla de Sousa Araújo",$B:$B,"&lt;&gt;Lorena Dias de Araujo",$B:$B,"&lt;&gt;Lucas Luiz Romero")*(10/1083),0)))))),0)</f>
        <v/>
      </c>
      <c r="K1394" s="3">
        <f>I1394-J1394</f>
        <v/>
      </c>
      <c r="L1394" s="3">
        <f>IF(K1394&lt;-5,"CRÍTICO",IF(K1394&lt;0,"ATENÇÃO",IF(K1394&lt;=5,"BOM","EXCELENTE")))</f>
        <v/>
      </c>
      <c r="N1394" t="n">
        <v>99.19</v>
      </c>
      <c r="O1394" t="n">
        <v>27.63713080168776</v>
      </c>
    </row>
    <row r="1395" hidden="1">
      <c r="A1395" s="11" t="n">
        <v>46044</v>
      </c>
      <c r="B1395" t="inlineStr">
        <is>
          <t>Anna Luiza Rezende Tavares</t>
        </is>
      </c>
      <c r="C1395" t="inlineStr">
        <is>
          <t>Estágio</t>
        </is>
      </c>
      <c r="D1395" t="n">
        <v>9</v>
      </c>
      <c r="E1395" t="n">
        <v>9</v>
      </c>
      <c r="F1395" t="n">
        <v>26.48</v>
      </c>
      <c r="G1395" t="n">
        <v>0</v>
      </c>
      <c r="H1395" t="n">
        <v>0</v>
      </c>
      <c r="I1395" s="3">
        <f>E1395+G1395+H1395</f>
        <v/>
      </c>
      <c r="J1395" s="3">
        <f>ROUND(MIN(IF(C1395="Técnico III",35,IF(C1395="Técnico II",28,IF(C1395="Técnico I",23,IF(C1395="JR",20,IF(C1395="Estágio",10,0))))),IF(C1395="Técnico III",SUMIFS($D:$D,$A:$A,$A1395,$B:$B,"&lt;&gt;Patrícia Karla de Sousa Araújo",$B:$B,"&lt;&gt;Lorena Dias de Araujo",$B:$B,"&lt;&gt;Lucas Luiz Romero")*(35/1083),IF(C1395="Técnico II",SUMIFS($D:$D,$A:$A,$A1395,$B:$B,"&lt;&gt;Patrícia Karla de Sousa Araújo",$B:$B,"&lt;&gt;Lorena Dias de Araujo",$B:$B,"&lt;&gt;Lucas Luiz Romero")*(28/1083),IF(C1395="Técnico I",SUMIFS($D:$D,$A:$A,$A1395,$B:$B,"&lt;&gt;Patrícia Karla de Sousa Araújo",$B:$B,"&lt;&gt;Lorena Dias de Araujo",$B:$B,"&lt;&gt;Lucas Luiz Romero")*(23/1083),IF(C1395="JR",SUMIFS($D:$D,$A:$A,$A1395,$B:$B,"&lt;&gt;Patrícia Karla de Sousa Araújo",$B:$B,"&lt;&gt;Lorena Dias de Araujo",$B:$B,"&lt;&gt;Lucas Luiz Romero")*(20/1083),IF(C1395="Estágio",SUMIFS($D:$D,$A:$A,$A1395,$B:$B,"&lt;&gt;Patrícia Karla de Sousa Araújo",$B:$B,"&lt;&gt;Lorena Dias de Araujo",$B:$B,"&lt;&gt;Lucas Luiz Romero")*(10/1083),0)))))),0)</f>
        <v/>
      </c>
      <c r="K1395" s="3">
        <f>I1395-J1395</f>
        <v/>
      </c>
      <c r="L1395" s="3">
        <f>IF(K1395&lt;-5,"CRÍTICO",IF(K1395&lt;0,"ATENÇÃO",IF(K1395&lt;=5,"BOM","EXCELENTE")))</f>
        <v/>
      </c>
      <c r="N1395" t="n">
        <v>100</v>
      </c>
      <c r="O1395" t="n">
        <v>39.56834532374101</v>
      </c>
    </row>
    <row r="1396" hidden="1">
      <c r="A1396" s="11" t="n">
        <v>46044</v>
      </c>
      <c r="B1396" t="inlineStr">
        <is>
          <t>Brenda de Menezes Silva</t>
        </is>
      </c>
      <c r="C1396" t="inlineStr">
        <is>
          <t>Técnico II</t>
        </is>
      </c>
      <c r="D1396" t="n">
        <v>32</v>
      </c>
      <c r="E1396" t="n">
        <v>26</v>
      </c>
      <c r="F1396" t="n">
        <v>11.5</v>
      </c>
      <c r="G1396" t="n">
        <v>0</v>
      </c>
      <c r="H1396" t="n">
        <v>0</v>
      </c>
      <c r="I1396" s="3">
        <f>E1396+G1396+H1396</f>
        <v/>
      </c>
      <c r="J1396" s="3">
        <f>ROUND(MIN(IF(C1396="Técnico III",35,IF(C1396="Técnico II",28,IF(C1396="Técnico I",23,IF(C1396="JR",20,IF(C1396="Estágio",10,0))))),IF(C1396="Técnico III",SUMIFS($D:$D,$A:$A,$A1396,$B:$B,"&lt;&gt;Patrícia Karla de Sousa Araújo",$B:$B,"&lt;&gt;Lorena Dias de Araujo",$B:$B,"&lt;&gt;Lucas Luiz Romero")*(35/1083),IF(C1396="Técnico II",SUMIFS($D:$D,$A:$A,$A1396,$B:$B,"&lt;&gt;Patrícia Karla de Sousa Araújo",$B:$B,"&lt;&gt;Lorena Dias de Araujo",$B:$B,"&lt;&gt;Lucas Luiz Romero")*(28/1083),IF(C1396="Técnico I",SUMIFS($D:$D,$A:$A,$A1396,$B:$B,"&lt;&gt;Patrícia Karla de Sousa Araújo",$B:$B,"&lt;&gt;Lorena Dias de Araujo",$B:$B,"&lt;&gt;Lucas Luiz Romero")*(23/1083),IF(C1396="JR",SUMIFS($D:$D,$A:$A,$A1396,$B:$B,"&lt;&gt;Patrícia Karla de Sousa Araújo",$B:$B,"&lt;&gt;Lorena Dias de Araujo",$B:$B,"&lt;&gt;Lucas Luiz Romero")*(20/1083),IF(C1396="Estágio",SUMIFS($D:$D,$A:$A,$A1396,$B:$B,"&lt;&gt;Patrícia Karla de Sousa Araújo",$B:$B,"&lt;&gt;Lorena Dias de Araujo",$B:$B,"&lt;&gt;Lucas Luiz Romero")*(10/1083),0)))))),0)</f>
        <v/>
      </c>
      <c r="K1396" s="3">
        <f>I1396-J1396</f>
        <v/>
      </c>
      <c r="L1396" s="3">
        <f>IF(K1396&lt;-5,"CRÍTICO",IF(K1396&lt;0,"ATENÇÃO",IF(K1396&lt;=5,"BOM","EXCELENTE")))</f>
        <v/>
      </c>
      <c r="N1396" t="n">
        <v>98.54000000000001</v>
      </c>
      <c r="O1396" t="n">
        <v>28.54477611940299</v>
      </c>
    </row>
    <row r="1397" hidden="1">
      <c r="A1397" s="11" t="n">
        <v>46044</v>
      </c>
      <c r="B1397" t="inlineStr">
        <is>
          <t>Carlos Mateus Cassimiro Nunes</t>
        </is>
      </c>
      <c r="C1397" t="inlineStr">
        <is>
          <t>Técnico II</t>
        </is>
      </c>
      <c r="D1397" t="n">
        <v>15</v>
      </c>
      <c r="E1397" t="n">
        <v>15</v>
      </c>
      <c r="F1397" t="n">
        <v>25.08</v>
      </c>
      <c r="G1397" t="n">
        <v>0</v>
      </c>
      <c r="H1397" t="n">
        <v>0</v>
      </c>
      <c r="I1397" s="3">
        <f>E1397+G1397+H1397</f>
        <v/>
      </c>
      <c r="J1397" s="3">
        <f>ROUND(MIN(IF(C1397="Técnico III",35,IF(C1397="Técnico II",28,IF(C1397="Técnico I",23,IF(C1397="JR",20,IF(C1397="Estágio",10,0))))),IF(C1397="Técnico III",SUMIFS($D:$D,$A:$A,$A1397,$B:$B,"&lt;&gt;Patrícia Karla de Sousa Araújo",$B:$B,"&lt;&gt;Lorena Dias de Araujo",$B:$B,"&lt;&gt;Lucas Luiz Romero")*(35/1083),IF(C1397="Técnico II",SUMIFS($D:$D,$A:$A,$A1397,$B:$B,"&lt;&gt;Patrícia Karla de Sousa Araújo",$B:$B,"&lt;&gt;Lorena Dias de Araujo",$B:$B,"&lt;&gt;Lucas Luiz Romero")*(28/1083),IF(C1397="Técnico I",SUMIFS($D:$D,$A:$A,$A1397,$B:$B,"&lt;&gt;Patrícia Karla de Sousa Araújo",$B:$B,"&lt;&gt;Lorena Dias de Araujo",$B:$B,"&lt;&gt;Lucas Luiz Romero")*(23/1083),IF(C1397="JR",SUMIFS($D:$D,$A:$A,$A1397,$B:$B,"&lt;&gt;Patrícia Karla de Sousa Araújo",$B:$B,"&lt;&gt;Lorena Dias de Araujo",$B:$B,"&lt;&gt;Lucas Luiz Romero")*(20/1083),IF(C1397="Estágio",SUMIFS($D:$D,$A:$A,$A1397,$B:$B,"&lt;&gt;Patrícia Karla de Sousa Araújo",$B:$B,"&lt;&gt;Lorena Dias de Araujo",$B:$B,"&lt;&gt;Lucas Luiz Romero")*(10/1083),0)))))),0)</f>
        <v/>
      </c>
      <c r="K1397" s="3">
        <f>I1397-J1397</f>
        <v/>
      </c>
      <c r="L1397" s="3">
        <f>IF(K1397&lt;-5,"CRÍTICO",IF(K1397&lt;0,"ATENÇÃO",IF(K1397&lt;=5,"BOM","EXCELENTE")))</f>
        <v/>
      </c>
      <c r="N1397" t="n">
        <v>100</v>
      </c>
      <c r="O1397" t="n">
        <v>34.36692506459949</v>
      </c>
    </row>
    <row r="1398" hidden="1">
      <c r="A1398" s="11" t="n">
        <v>46044</v>
      </c>
      <c r="B1398" t="inlineStr">
        <is>
          <t>Claudio de Sousa Velasco Filho</t>
        </is>
      </c>
      <c r="C1398" t="inlineStr">
        <is>
          <t>Estágio</t>
        </is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s="3" t="n">
        <v>0</v>
      </c>
      <c r="J1398" s="3" t="n">
        <v>0</v>
      </c>
      <c r="K1398" s="3" t="n">
        <v>0</v>
      </c>
      <c r="L1398" s="3">
        <f>IF(K1398&lt;-5,"CRÍTICO",IF(K1398&lt;0,"ATENÇÃO",IF(K1398&lt;=5,"BOM","EXCELENTE")))</f>
        <v/>
      </c>
      <c r="N1398" t="n">
        <v>0</v>
      </c>
      <c r="O1398" t="n">
        <v>0</v>
      </c>
    </row>
    <row r="1399" hidden="1">
      <c r="A1399" s="11" t="n">
        <v>46044</v>
      </c>
      <c r="B1399" t="inlineStr">
        <is>
          <t>Clessiane Pereira dos Santos</t>
        </is>
      </c>
      <c r="C1399" t="inlineStr">
        <is>
          <t>Técnico I</t>
        </is>
      </c>
      <c r="D1399" t="n">
        <v>23</v>
      </c>
      <c r="E1399" t="n">
        <v>22</v>
      </c>
      <c r="F1399" t="n">
        <v>20.43</v>
      </c>
      <c r="G1399" t="n">
        <v>0</v>
      </c>
      <c r="H1399" t="n">
        <v>0</v>
      </c>
      <c r="I1399" s="3">
        <f>E1399+G1399+H1399</f>
        <v/>
      </c>
      <c r="J1399" s="3">
        <f>ROUND(MIN(IF(C1399="Técnico III",35,IF(C1399="Técnico II",28,IF(C1399="Técnico I",23,IF(C1399="JR",20,IF(C1399="Estágio",10,0))))),IF(C1399="Técnico III",SUMIFS($D:$D,$A:$A,$A1399,$B:$B,"&lt;&gt;Patrícia Karla de Sousa Araújo",$B:$B,"&lt;&gt;Lorena Dias de Araujo",$B:$B,"&lt;&gt;Lucas Luiz Romero")*(35/1083),IF(C1399="Técnico II",SUMIFS($D:$D,$A:$A,$A1399,$B:$B,"&lt;&gt;Patrícia Karla de Sousa Araújo",$B:$B,"&lt;&gt;Lorena Dias de Araujo",$B:$B,"&lt;&gt;Lucas Luiz Romero")*(28/1083),IF(C1399="Técnico I",SUMIFS($D:$D,$A:$A,$A1399,$B:$B,"&lt;&gt;Patrícia Karla de Sousa Araújo",$B:$B,"&lt;&gt;Lorena Dias de Araujo",$B:$B,"&lt;&gt;Lucas Luiz Romero")*(23/1083),IF(C1399="JR",SUMIFS($D:$D,$A:$A,$A1399,$B:$B,"&lt;&gt;Patrícia Karla de Sousa Araújo",$B:$B,"&lt;&gt;Lorena Dias de Araujo",$B:$B,"&lt;&gt;Lucas Luiz Romero")*(20/1083),IF(C1399="Estágio",SUMIFS($D:$D,$A:$A,$A1399,$B:$B,"&lt;&gt;Patrícia Karla de Sousa Araújo",$B:$B,"&lt;&gt;Lorena Dias de Araujo",$B:$B,"&lt;&gt;Lucas Luiz Romero")*(10/1083),0)))))),0)</f>
        <v/>
      </c>
      <c r="K1399" s="3">
        <f>I1399-J1399</f>
        <v/>
      </c>
      <c r="L1399" s="3">
        <f>IF(K1399&lt;-5,"CRÍTICO",IF(K1399&lt;0,"ATENÇÃO",IF(K1399&lt;=5,"BOM","EXCELENTE")))</f>
        <v/>
      </c>
      <c r="N1399" t="n">
        <v>100</v>
      </c>
      <c r="O1399" t="n">
        <v>29.51807228915663</v>
      </c>
    </row>
    <row r="1400" hidden="1">
      <c r="A1400" s="11" t="n">
        <v>46044</v>
      </c>
      <c r="B1400" t="inlineStr">
        <is>
          <t>Cristiane Ramos da Silva Rocha</t>
        </is>
      </c>
      <c r="C1400" t="inlineStr">
        <is>
          <t>Técnico III</t>
        </is>
      </c>
      <c r="D1400" t="n">
        <v>34</v>
      </c>
      <c r="E1400" t="n">
        <v>29</v>
      </c>
      <c r="F1400" t="n">
        <v>10.21</v>
      </c>
      <c r="G1400" t="n">
        <v>0</v>
      </c>
      <c r="H1400" t="n">
        <v>0</v>
      </c>
      <c r="I1400" s="3">
        <f>E1400+G1400+H1400</f>
        <v/>
      </c>
      <c r="J1400" s="3">
        <f>ROUND(MIN(IF(C1400="Técnico III",35,IF(C1400="Técnico II",28,IF(C1400="Técnico I",23,IF(C1400="JR",20,IF(C1400="Estágio",10,0))))),IF(C1400="Técnico III",SUMIFS($D:$D,$A:$A,$A1400,$B:$B,"&lt;&gt;Patrícia Karla de Sousa Araújo",$B:$B,"&lt;&gt;Lorena Dias de Araujo",$B:$B,"&lt;&gt;Lucas Luiz Romero")*(35/1083),IF(C1400="Técnico II",SUMIFS($D:$D,$A:$A,$A1400,$B:$B,"&lt;&gt;Patrícia Karla de Sousa Araújo",$B:$B,"&lt;&gt;Lorena Dias de Araujo",$B:$B,"&lt;&gt;Lucas Luiz Romero")*(28/1083),IF(C1400="Técnico I",SUMIFS($D:$D,$A:$A,$A1400,$B:$B,"&lt;&gt;Patrícia Karla de Sousa Araújo",$B:$B,"&lt;&gt;Lorena Dias de Araujo",$B:$B,"&lt;&gt;Lucas Luiz Romero")*(23/1083),IF(C1400="JR",SUMIFS($D:$D,$A:$A,$A1400,$B:$B,"&lt;&gt;Patrícia Karla de Sousa Araújo",$B:$B,"&lt;&gt;Lorena Dias de Araujo",$B:$B,"&lt;&gt;Lucas Luiz Romero")*(20/1083),IF(C1400="Estágio",SUMIFS($D:$D,$A:$A,$A1400,$B:$B,"&lt;&gt;Patrícia Karla de Sousa Araújo",$B:$B,"&lt;&gt;Lorena Dias de Araujo",$B:$B,"&lt;&gt;Lucas Luiz Romero")*(10/1083),0)))))),0)</f>
        <v/>
      </c>
      <c r="K1400" s="3">
        <f>I1400-J1400</f>
        <v/>
      </c>
      <c r="L1400" s="3">
        <f>IF(K1400&lt;-5,"CRÍTICO",IF(K1400&lt;0,"ATENÇÃO",IF(K1400&lt;=5,"BOM","EXCELENTE")))</f>
        <v/>
      </c>
      <c r="N1400" t="n">
        <v>97.45</v>
      </c>
      <c r="O1400" t="n">
        <v>41.421143847487</v>
      </c>
    </row>
    <row r="1401" hidden="1">
      <c r="A1401" s="11" t="n">
        <v>46044</v>
      </c>
      <c r="B1401" t="inlineStr">
        <is>
          <t>Damyllis Lorraine de Oliveira Gonçalves</t>
        </is>
      </c>
      <c r="C1401" t="inlineStr">
        <is>
          <t>Técnico II</t>
        </is>
      </c>
      <c r="D1401" t="n">
        <v>29</v>
      </c>
      <c r="E1401" t="n">
        <v>24</v>
      </c>
      <c r="F1401" t="n">
        <v>12.11</v>
      </c>
      <c r="G1401" t="n">
        <v>0</v>
      </c>
      <c r="H1401" t="n">
        <v>0</v>
      </c>
      <c r="I1401" s="3" t="n">
        <v>0</v>
      </c>
      <c r="J1401" s="3" t="n">
        <v>0</v>
      </c>
      <c r="K1401" s="3" t="n">
        <v>0</v>
      </c>
      <c r="L1401" s="3">
        <f>IF(K1401&lt;-5,"CRÍTICO",IF(K1401&lt;0,"ATENÇÃO",IF(K1401&lt;=5,"BOM","EXCELENTE")))</f>
        <v/>
      </c>
      <c r="N1401" t="n">
        <v>96.58</v>
      </c>
      <c r="O1401" t="n">
        <v>30.39647577092511</v>
      </c>
    </row>
    <row r="1402" hidden="1">
      <c r="A1402" s="11" t="n">
        <v>46044</v>
      </c>
      <c r="B1402" t="inlineStr">
        <is>
          <t>Daniel Gomes da Silva</t>
        </is>
      </c>
      <c r="C1402" t="inlineStr">
        <is>
          <t>Técnico I</t>
        </is>
      </c>
      <c r="D1402" t="n">
        <v>5</v>
      </c>
      <c r="E1402" t="n">
        <v>5</v>
      </c>
      <c r="F1402" t="n">
        <v>32.39</v>
      </c>
      <c r="G1402" t="n">
        <v>0</v>
      </c>
      <c r="H1402" t="n">
        <v>0</v>
      </c>
      <c r="I1402" s="3">
        <f>E1402+G1402+H1402</f>
        <v/>
      </c>
      <c r="J1402" s="3">
        <f>ROUND(MIN(IF(C1402="Técnico III",35,IF(C1402="Técnico II",28,IF(C1402="Técnico I",23,IF(C1402="JR",20,IF(C1402="Estágio",10,0))))),IF(C1402="Técnico III",SUMIFS($D:$D,$A:$A,$A1402,$B:$B,"&lt;&gt;Patrícia Karla de Sousa Araújo",$B:$B,"&lt;&gt;Lorena Dias de Araujo",$B:$B,"&lt;&gt;Lucas Luiz Romero")*(35/1083),IF(C1402="Técnico II",SUMIFS($D:$D,$A:$A,$A1402,$B:$B,"&lt;&gt;Patrícia Karla de Sousa Araújo",$B:$B,"&lt;&gt;Lorena Dias de Araujo",$B:$B,"&lt;&gt;Lucas Luiz Romero")*(28/1083),IF(C1402="Técnico I",SUMIFS($D:$D,$A:$A,$A1402,$B:$B,"&lt;&gt;Patrícia Karla de Sousa Araújo",$B:$B,"&lt;&gt;Lorena Dias de Araujo",$B:$B,"&lt;&gt;Lucas Luiz Romero")*(23/1083),IF(C1402="JR",SUMIFS($D:$D,$A:$A,$A1402,$B:$B,"&lt;&gt;Patrícia Karla de Sousa Araújo",$B:$B,"&lt;&gt;Lorena Dias de Araujo",$B:$B,"&lt;&gt;Lucas Luiz Romero")*(20/1083),IF(C1402="Estágio",SUMIFS($D:$D,$A:$A,$A1402,$B:$B,"&lt;&gt;Patrícia Karla de Sousa Araújo",$B:$B,"&lt;&gt;Lorena Dias de Araujo",$B:$B,"&lt;&gt;Lucas Luiz Romero")*(10/1083),0)))))),0)</f>
        <v/>
      </c>
      <c r="K1402" s="3">
        <f>I1402-J1402</f>
        <v/>
      </c>
      <c r="L1402" s="3">
        <f>IF(K1402&lt;-5,"CRÍTICO",IF(K1402&lt;0,"ATENÇÃO",IF(K1402&lt;=5,"BOM","EXCELENTE")))</f>
        <v/>
      </c>
      <c r="N1402" t="n">
        <v>100</v>
      </c>
      <c r="O1402" t="n">
        <v>27.44282744282744</v>
      </c>
    </row>
    <row r="1403" hidden="1">
      <c r="A1403" s="11" t="n">
        <v>46044</v>
      </c>
      <c r="B1403" t="inlineStr">
        <is>
          <t>Davylla Rodrigues Freitas Silva</t>
        </is>
      </c>
      <c r="C1403" t="inlineStr">
        <is>
          <t>Técnico III</t>
        </is>
      </c>
      <c r="D1403" t="n">
        <v>23</v>
      </c>
      <c r="E1403" t="n">
        <v>23</v>
      </c>
      <c r="F1403" t="n">
        <v>22.17</v>
      </c>
      <c r="G1403" t="n">
        <v>0</v>
      </c>
      <c r="H1403" t="n">
        <v>0</v>
      </c>
      <c r="I1403" s="3" t="n">
        <v>0</v>
      </c>
      <c r="J1403" s="3" t="n">
        <v>0</v>
      </c>
      <c r="K1403" s="3" t="n">
        <v>0</v>
      </c>
      <c r="L1403" s="3">
        <f>IF(K1403&lt;-5,"CRÍTICO",IF(K1403&lt;0,"ATENÇÃO",IF(K1403&lt;=5,"BOM","EXCELENTE")))</f>
        <v/>
      </c>
      <c r="N1403" t="n">
        <v>99.48999999999999</v>
      </c>
      <c r="O1403" t="n">
        <v>40.2</v>
      </c>
    </row>
    <row r="1404" hidden="1">
      <c r="A1404" s="11" t="n">
        <v>46044</v>
      </c>
      <c r="B1404" t="inlineStr">
        <is>
          <t>Emilly Caylane Costa</t>
        </is>
      </c>
      <c r="C1404" t="inlineStr">
        <is>
          <t>Estágio</t>
        </is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s="3" t="n">
        <v>0</v>
      </c>
      <c r="J1404" s="3" t="n">
        <v>0</v>
      </c>
      <c r="K1404" s="3" t="n">
        <v>0</v>
      </c>
      <c r="L1404" s="3">
        <f>IF(K1404&lt;-5,"CRÍTICO",IF(K1404&lt;0,"ATENÇÃO",IF(K1404&lt;=5,"BOM","EXCELENTE")))</f>
        <v/>
      </c>
      <c r="N1404" t="n">
        <v>100</v>
      </c>
      <c r="O1404" t="n">
        <v>25</v>
      </c>
    </row>
    <row r="1405" hidden="1">
      <c r="A1405" s="11" t="n">
        <v>46044</v>
      </c>
      <c r="B1405" t="inlineStr">
        <is>
          <t>Emilly Kamilly Medeiros Miranda</t>
        </is>
      </c>
      <c r="C1405" t="inlineStr">
        <is>
          <t>Técnico II</t>
        </is>
      </c>
      <c r="D1405" t="n">
        <v>29</v>
      </c>
      <c r="E1405" t="n">
        <v>26</v>
      </c>
      <c r="F1405" t="n">
        <v>14.08</v>
      </c>
      <c r="G1405" t="n">
        <v>0</v>
      </c>
      <c r="H1405" t="n">
        <v>0</v>
      </c>
      <c r="I1405" s="3">
        <f>E1405+G1405+H1405</f>
        <v/>
      </c>
      <c r="J1405" s="3">
        <f>ROUND(MIN(IF(C1405="Técnico III",35,IF(C1405="Técnico II",28,IF(C1405="Técnico I",23,IF(C1405="JR",20,IF(C1405="Estágio",10,0))))),IF(C1405="Técnico III",SUMIFS($D:$D,$A:$A,$A1405,$B:$B,"&lt;&gt;Patrícia Karla de Sousa Araújo",$B:$B,"&lt;&gt;Lorena Dias de Araujo",$B:$B,"&lt;&gt;Lucas Luiz Romero")*(35/1083),IF(C1405="Técnico II",SUMIFS($D:$D,$A:$A,$A1405,$B:$B,"&lt;&gt;Patrícia Karla de Sousa Araújo",$B:$B,"&lt;&gt;Lorena Dias de Araujo",$B:$B,"&lt;&gt;Lucas Luiz Romero")*(28/1083),IF(C1405="Técnico I",SUMIFS($D:$D,$A:$A,$A1405,$B:$B,"&lt;&gt;Patrícia Karla de Sousa Araújo",$B:$B,"&lt;&gt;Lorena Dias de Araujo",$B:$B,"&lt;&gt;Lucas Luiz Romero")*(23/1083),IF(C1405="JR",SUMIFS($D:$D,$A:$A,$A1405,$B:$B,"&lt;&gt;Patrícia Karla de Sousa Araújo",$B:$B,"&lt;&gt;Lorena Dias de Araujo",$B:$B,"&lt;&gt;Lucas Luiz Romero")*(20/1083),IF(C1405="Estágio",SUMIFS($D:$D,$A:$A,$A1405,$B:$B,"&lt;&gt;Patrícia Karla de Sousa Araújo",$B:$B,"&lt;&gt;Lorena Dias de Araujo",$B:$B,"&lt;&gt;Lucas Luiz Romero")*(10/1083),0)))))),0)</f>
        <v/>
      </c>
      <c r="K1405" s="3">
        <f>I1405-J1405</f>
        <v/>
      </c>
      <c r="L1405" s="3">
        <f>IF(K1405&lt;-5,"CRÍTICO",IF(K1405&lt;0,"ATENÇÃO",IF(K1405&lt;=5,"BOM","EXCELENTE")))</f>
        <v/>
      </c>
      <c r="N1405" t="n">
        <v>100</v>
      </c>
      <c r="O1405" t="n">
        <v>34.15094339622641</v>
      </c>
    </row>
    <row r="1406" hidden="1">
      <c r="A1406" s="11" t="n">
        <v>46044</v>
      </c>
      <c r="B1406" t="inlineStr">
        <is>
          <t>Francielson de Oliveira</t>
        </is>
      </c>
      <c r="C1406" t="inlineStr">
        <is>
          <t>Técnico III</t>
        </is>
      </c>
      <c r="D1406" t="n">
        <v>19</v>
      </c>
      <c r="E1406" t="n">
        <v>17</v>
      </c>
      <c r="F1406" t="n">
        <v>13.4</v>
      </c>
      <c r="G1406" t="n">
        <v>0</v>
      </c>
      <c r="H1406" t="n">
        <v>0</v>
      </c>
      <c r="I1406" s="3">
        <f>E1406+G1406+H1406</f>
        <v/>
      </c>
      <c r="J1406" s="3">
        <f>ROUND(MIN(IF(C1406="Técnico III",35,IF(C1406="Técnico II",28,IF(C1406="Técnico I",23,IF(C1406="JR",20,IF(C1406="Estágio",10,0))))),IF(C1406="Técnico III",SUMIFS($D:$D,$A:$A,$A1406,$B:$B,"&lt;&gt;Patrícia Karla de Sousa Araújo",$B:$B,"&lt;&gt;Lorena Dias de Araujo",$B:$B,"&lt;&gt;Lucas Luiz Romero")*(35/1083),IF(C1406="Técnico II",SUMIFS($D:$D,$A:$A,$A1406,$B:$B,"&lt;&gt;Patrícia Karla de Sousa Araújo",$B:$B,"&lt;&gt;Lorena Dias de Araujo",$B:$B,"&lt;&gt;Lucas Luiz Romero")*(28/1083),IF(C1406="Técnico I",SUMIFS($D:$D,$A:$A,$A1406,$B:$B,"&lt;&gt;Patrícia Karla de Sousa Araújo",$B:$B,"&lt;&gt;Lorena Dias de Araujo",$B:$B,"&lt;&gt;Lucas Luiz Romero")*(23/1083),IF(C1406="JR",SUMIFS($D:$D,$A:$A,$A1406,$B:$B,"&lt;&gt;Patrícia Karla de Sousa Araújo",$B:$B,"&lt;&gt;Lorena Dias de Araujo",$B:$B,"&lt;&gt;Lucas Luiz Romero")*(20/1083),IF(C1406="Estágio",SUMIFS($D:$D,$A:$A,$A1406,$B:$B,"&lt;&gt;Patrícia Karla de Sousa Araújo",$B:$B,"&lt;&gt;Lorena Dias de Araujo",$B:$B,"&lt;&gt;Lucas Luiz Romero")*(10/1083),0)))))),0)</f>
        <v/>
      </c>
      <c r="K1406" s="3">
        <f>I1406-J1406</f>
        <v/>
      </c>
      <c r="L1406" s="3">
        <f>IF(K1406&lt;-5,"CRÍTICO",IF(K1406&lt;0,"ATENÇÃO",IF(K1406&lt;=5,"BOM","EXCELENTE")))</f>
        <v/>
      </c>
      <c r="N1406" t="n">
        <v>100</v>
      </c>
      <c r="O1406" t="n">
        <v>32.7313769751693</v>
      </c>
    </row>
    <row r="1407" hidden="1">
      <c r="A1407" s="11" t="n">
        <v>46044</v>
      </c>
      <c r="B1407" t="inlineStr">
        <is>
          <t>Francilene Ferreira de Jesus</t>
        </is>
      </c>
      <c r="C1407" t="inlineStr">
        <is>
          <t>Técnico II</t>
        </is>
      </c>
      <c r="D1407" t="n">
        <v>22</v>
      </c>
      <c r="E1407" t="n">
        <v>20</v>
      </c>
      <c r="F1407" t="n">
        <v>18.25</v>
      </c>
      <c r="G1407" t="n">
        <v>0</v>
      </c>
      <c r="H1407" t="n">
        <v>0</v>
      </c>
      <c r="I1407" s="3">
        <f>E1407+G1407+H1407</f>
        <v/>
      </c>
      <c r="J1407" s="3">
        <f>ROUND(MIN(IF(C1407="Técnico III",35,IF(C1407="Técnico II",28,IF(C1407="Técnico I",23,IF(C1407="JR",20,IF(C1407="Estágio",10,0))))),IF(C1407="Técnico III",SUMIFS($D:$D,$A:$A,$A1407,$B:$B,"&lt;&gt;Patrícia Karla de Sousa Araújo",$B:$B,"&lt;&gt;Lorena Dias de Araujo",$B:$B,"&lt;&gt;Lucas Luiz Romero")*(35/1083),IF(C1407="Técnico II",SUMIFS($D:$D,$A:$A,$A1407,$B:$B,"&lt;&gt;Patrícia Karla de Sousa Araújo",$B:$B,"&lt;&gt;Lorena Dias de Araujo",$B:$B,"&lt;&gt;Lucas Luiz Romero")*(28/1083),IF(C1407="Técnico I",SUMIFS($D:$D,$A:$A,$A1407,$B:$B,"&lt;&gt;Patrícia Karla de Sousa Araújo",$B:$B,"&lt;&gt;Lorena Dias de Araujo",$B:$B,"&lt;&gt;Lucas Luiz Romero")*(23/1083),IF(C1407="JR",SUMIFS($D:$D,$A:$A,$A1407,$B:$B,"&lt;&gt;Patrícia Karla de Sousa Araújo",$B:$B,"&lt;&gt;Lorena Dias de Araujo",$B:$B,"&lt;&gt;Lucas Luiz Romero")*(20/1083),IF(C1407="Estágio",SUMIFS($D:$D,$A:$A,$A1407,$B:$B,"&lt;&gt;Patrícia Karla de Sousa Araújo",$B:$B,"&lt;&gt;Lorena Dias de Araujo",$B:$B,"&lt;&gt;Lucas Luiz Romero")*(10/1083),0)))))),0)</f>
        <v/>
      </c>
      <c r="K1407" s="3">
        <f>I1407-J1407</f>
        <v/>
      </c>
      <c r="L1407" s="3">
        <f>IF(K1407&lt;-5,"CRÍTICO",IF(K1407&lt;0,"ATENÇÃO",IF(K1407&lt;=5,"BOM","EXCELENTE")))</f>
        <v/>
      </c>
      <c r="N1407" t="n">
        <v>99.31</v>
      </c>
      <c r="O1407" t="n">
        <v>30.96234309623431</v>
      </c>
    </row>
    <row r="1408" hidden="1">
      <c r="A1408" s="11" t="n">
        <v>46078</v>
      </c>
      <c r="B1408" t="inlineStr">
        <is>
          <t>Gabriel Gomes de Andrade</t>
        </is>
      </c>
      <c r="C1408" t="inlineStr">
        <is>
          <t>Técnico I</t>
        </is>
      </c>
      <c r="D1408" t="n">
        <v>17</v>
      </c>
      <c r="E1408" t="n">
        <v>15</v>
      </c>
      <c r="F1408" t="n">
        <v>22.11</v>
      </c>
      <c r="G1408" t="n">
        <v>0</v>
      </c>
      <c r="H1408" t="n">
        <v>0</v>
      </c>
      <c r="I1408" s="3">
        <f>E1408+G1408+H1408</f>
        <v/>
      </c>
      <c r="J1408" s="3">
        <f>ROUND(MIN(IF(C1408="Técnico III",35,IF(C1408="Técnico II",28,IF(C1408="Técnico I",23,IF(C1408="JR",20,IF(C1408="Estágio",10,0))))),IF(C1408="Técnico III",SUMIFS($D:$D,$A:$A,$A1408,$B:$B,"&lt;&gt;Patrícia Karla de Sousa Araújo",$B:$B,"&lt;&gt;Lorena Dias de Araujo",$B:$B,"&lt;&gt;Lucas Luiz Romero")*(35/1083),IF(C1408="Técnico II",SUMIFS($D:$D,$A:$A,$A1408,$B:$B,"&lt;&gt;Patrícia Karla de Sousa Araújo",$B:$B,"&lt;&gt;Lorena Dias de Araujo",$B:$B,"&lt;&gt;Lucas Luiz Romero")*(28/1083),IF(C1408="Técnico I",SUMIFS($D:$D,$A:$A,$A1408,$B:$B,"&lt;&gt;Patrícia Karla de Sousa Araújo",$B:$B,"&lt;&gt;Lorena Dias de Araujo",$B:$B,"&lt;&gt;Lucas Luiz Romero")*(23/1083),IF(C1408="JR",SUMIFS($D:$D,$A:$A,$A1408,$B:$B,"&lt;&gt;Patrícia Karla de Sousa Araújo",$B:$B,"&lt;&gt;Lorena Dias de Araujo",$B:$B,"&lt;&gt;Lucas Luiz Romero")*(20/1083),IF(C1408="Estágio",SUMIFS($D:$D,$A:$A,$A1408,$B:$B,"&lt;&gt;Patrícia Karla de Sousa Araújo",$B:$B,"&lt;&gt;Lorena Dias de Araujo",$B:$B,"&lt;&gt;Lucas Luiz Romero")*(10/1083),0)))))),0)</f>
        <v/>
      </c>
      <c r="K1408" s="3">
        <f>I1408-J1408</f>
        <v/>
      </c>
      <c r="L1408" s="3">
        <f>IF(K1408&lt;-5,"CRÍTICO",IF(K1408&lt;0,"ATENÇÃO",IF(K1408&lt;=5,"BOM","EXCELENTE")))</f>
        <v/>
      </c>
      <c r="N1408" t="n">
        <v>96.67</v>
      </c>
      <c r="O1408" t="n">
        <v>31.45161290322581</v>
      </c>
    </row>
    <row r="1409" hidden="1">
      <c r="A1409" s="11" t="n">
        <v>46044</v>
      </c>
      <c r="B1409" t="inlineStr">
        <is>
          <t>Isabella Borges de Oliveira</t>
        </is>
      </c>
      <c r="C1409" t="inlineStr">
        <is>
          <t>Técnico II</t>
        </is>
      </c>
      <c r="D1409" t="n">
        <v>22</v>
      </c>
      <c r="E1409" t="n">
        <v>20</v>
      </c>
      <c r="F1409" t="n">
        <v>19.13</v>
      </c>
      <c r="G1409" t="n">
        <v>0</v>
      </c>
      <c r="H1409" t="n">
        <v>0</v>
      </c>
      <c r="I1409" s="3">
        <f>E1409+G1409+H1409</f>
        <v/>
      </c>
      <c r="J1409" s="3">
        <f>ROUND(MIN(IF(C1409="Técnico III",35,IF(C1409="Técnico II",28,IF(C1409="Técnico I",23,IF(C1409="JR",20,IF(C1409="Estágio",10,0))))),IF(C1409="Técnico III",SUMIFS($D:$D,$A:$A,$A1409,$B:$B,"&lt;&gt;Patrícia Karla de Sousa Araújo",$B:$B,"&lt;&gt;Lorena Dias de Araujo",$B:$B,"&lt;&gt;Lucas Luiz Romero")*(35/1083),IF(C1409="Técnico II",SUMIFS($D:$D,$A:$A,$A1409,$B:$B,"&lt;&gt;Patrícia Karla de Sousa Araújo",$B:$B,"&lt;&gt;Lorena Dias de Araujo",$B:$B,"&lt;&gt;Lucas Luiz Romero")*(28/1083),IF(C1409="Técnico I",SUMIFS($D:$D,$A:$A,$A1409,$B:$B,"&lt;&gt;Patrícia Karla de Sousa Araújo",$B:$B,"&lt;&gt;Lorena Dias de Araujo",$B:$B,"&lt;&gt;Lucas Luiz Romero")*(23/1083),IF(C1409="JR",SUMIFS($D:$D,$A:$A,$A1409,$B:$B,"&lt;&gt;Patrícia Karla de Sousa Araújo",$B:$B,"&lt;&gt;Lorena Dias de Araujo",$B:$B,"&lt;&gt;Lucas Luiz Romero")*(20/1083),IF(C1409="Estágio",SUMIFS($D:$D,$A:$A,$A1409,$B:$B,"&lt;&gt;Patrícia Karla de Sousa Araújo",$B:$B,"&lt;&gt;Lorena Dias de Araujo",$B:$B,"&lt;&gt;Lucas Luiz Romero")*(10/1083),0)))))),0)</f>
        <v/>
      </c>
      <c r="K1409" s="3">
        <f>I1409-J1409</f>
        <v/>
      </c>
      <c r="L1409" s="3">
        <f>IF(K1409&lt;-5,"CRÍTICO",IF(K1409&lt;0,"ATENÇÃO",IF(K1409&lt;=5,"BOM","EXCELENTE")))</f>
        <v/>
      </c>
      <c r="N1409" t="n">
        <v>100</v>
      </c>
      <c r="O1409" t="n">
        <v>27.67676767676768</v>
      </c>
    </row>
    <row r="1410" hidden="1">
      <c r="A1410" s="11" t="n">
        <v>46044</v>
      </c>
      <c r="B1410" t="inlineStr">
        <is>
          <t>Janaina Lima dos Reis Urany</t>
        </is>
      </c>
      <c r="C1410" t="inlineStr">
        <is>
          <t>Técnico III</t>
        </is>
      </c>
      <c r="D1410" t="n">
        <v>27</v>
      </c>
      <c r="E1410" t="n">
        <v>25</v>
      </c>
      <c r="F1410" t="n">
        <v>14.02</v>
      </c>
      <c r="G1410" t="n">
        <v>0</v>
      </c>
      <c r="H1410" t="n">
        <v>0</v>
      </c>
      <c r="I1410" s="3">
        <f>E1410+G1410+H1410</f>
        <v/>
      </c>
      <c r="J1410" s="3">
        <f>ROUND(MIN(IF(C1410="Técnico III",35,IF(C1410="Técnico II",28,IF(C1410="Técnico I",23,IF(C1410="JR",20,IF(C1410="Estágio",10,0))))),IF(C1410="Técnico III",SUMIFS($D:$D,$A:$A,$A1410,$B:$B,"&lt;&gt;Patrícia Karla de Sousa Araújo",$B:$B,"&lt;&gt;Lorena Dias de Araujo",$B:$B,"&lt;&gt;Lucas Luiz Romero")*(35/1083),IF(C1410="Técnico II",SUMIFS($D:$D,$A:$A,$A1410,$B:$B,"&lt;&gt;Patrícia Karla de Sousa Araújo",$B:$B,"&lt;&gt;Lorena Dias de Araujo",$B:$B,"&lt;&gt;Lucas Luiz Romero")*(28/1083),IF(C1410="Técnico I",SUMIFS($D:$D,$A:$A,$A1410,$B:$B,"&lt;&gt;Patrícia Karla de Sousa Araújo",$B:$B,"&lt;&gt;Lorena Dias de Araujo",$B:$B,"&lt;&gt;Lucas Luiz Romero")*(23/1083),IF(C1410="JR",SUMIFS($D:$D,$A:$A,$A1410,$B:$B,"&lt;&gt;Patrícia Karla de Sousa Araújo",$B:$B,"&lt;&gt;Lorena Dias de Araujo",$B:$B,"&lt;&gt;Lucas Luiz Romero")*(20/1083),IF(C1410="Estágio",SUMIFS($D:$D,$A:$A,$A1410,$B:$B,"&lt;&gt;Patrícia Karla de Sousa Araújo",$B:$B,"&lt;&gt;Lorena Dias de Araujo",$B:$B,"&lt;&gt;Lucas Luiz Romero")*(10/1083),0)))))),0)</f>
        <v/>
      </c>
      <c r="K1410" s="3">
        <f>I1410-J1410</f>
        <v/>
      </c>
      <c r="L1410" s="3">
        <f>IF(K1410&lt;-5,"CRÍTICO",IF(K1410&lt;0,"ATENÇÃO",IF(K1410&lt;=5,"BOM","EXCELENTE")))</f>
        <v/>
      </c>
      <c r="N1410" t="n">
        <v>100</v>
      </c>
      <c r="O1410" t="n">
        <v>31.17723156532988</v>
      </c>
    </row>
    <row r="1411" hidden="1">
      <c r="A1411" s="11" t="n">
        <v>46044</v>
      </c>
      <c r="B1411" t="inlineStr">
        <is>
          <t>Jaqueline Evangelista da Silva Martins</t>
        </is>
      </c>
      <c r="C1411" t="inlineStr">
        <is>
          <t>Técnico III</t>
        </is>
      </c>
      <c r="D1411" t="n">
        <v>10</v>
      </c>
      <c r="E1411" t="n">
        <v>8</v>
      </c>
      <c r="F1411" t="n">
        <v>13.39</v>
      </c>
      <c r="G1411" t="n">
        <v>0</v>
      </c>
      <c r="H1411" t="n">
        <v>0</v>
      </c>
      <c r="I1411" s="3">
        <f>E1411+G1411+H1411</f>
        <v/>
      </c>
      <c r="J1411" s="3">
        <f>ROUND(MIN(IF(C1411="Técnico III",35,IF(C1411="Técnico II",28,IF(C1411="Técnico I",23,IF(C1411="JR",20,IF(C1411="Estágio",10,0))))),IF(C1411="Técnico III",SUMIFS($D:$D,$A:$A,$A1411,$B:$B,"&lt;&gt;Patrícia Karla de Sousa Araújo",$B:$B,"&lt;&gt;Lorena Dias de Araujo",$B:$B,"&lt;&gt;Lucas Luiz Romero")*(35/1083),IF(C1411="Técnico II",SUMIFS($D:$D,$A:$A,$A1411,$B:$B,"&lt;&gt;Patrícia Karla de Sousa Araújo",$B:$B,"&lt;&gt;Lorena Dias de Araujo",$B:$B,"&lt;&gt;Lucas Luiz Romero")*(28/1083),IF(C1411="Técnico I",SUMIFS($D:$D,$A:$A,$A1411,$B:$B,"&lt;&gt;Patrícia Karla de Sousa Araújo",$B:$B,"&lt;&gt;Lorena Dias de Araujo",$B:$B,"&lt;&gt;Lucas Luiz Romero")*(23/1083),IF(C1411="JR",SUMIFS($D:$D,$A:$A,$A1411,$B:$B,"&lt;&gt;Patrícia Karla de Sousa Araújo",$B:$B,"&lt;&gt;Lorena Dias de Araujo",$B:$B,"&lt;&gt;Lucas Luiz Romero")*(20/1083),IF(C1411="Estágio",SUMIFS($D:$D,$A:$A,$A1411,$B:$B,"&lt;&gt;Patrícia Karla de Sousa Araújo",$B:$B,"&lt;&gt;Lorena Dias de Araujo",$B:$B,"&lt;&gt;Lucas Luiz Romero")*(10/1083),0)))))),0)</f>
        <v/>
      </c>
      <c r="K1411" s="3">
        <f>I1411-J1411</f>
        <v/>
      </c>
      <c r="L1411" s="3">
        <f>IF(K1411&lt;-5,"CRÍTICO",IF(K1411&lt;0,"ATENÇÃO",IF(K1411&lt;=5,"BOM","EXCELENTE")))</f>
        <v/>
      </c>
      <c r="N1411" t="n">
        <v>100</v>
      </c>
      <c r="O1411" t="n">
        <v>27.60942760942761</v>
      </c>
    </row>
    <row r="1412" hidden="1">
      <c r="A1412" s="11" t="n">
        <v>46044</v>
      </c>
      <c r="B1412" t="inlineStr">
        <is>
          <t>Jessica Faria da Silveira</t>
        </is>
      </c>
      <c r="C1412" t="inlineStr">
        <is>
          <t>Técnico II</t>
        </is>
      </c>
      <c r="D1412" t="n">
        <v>27</v>
      </c>
      <c r="E1412" t="n">
        <v>20</v>
      </c>
      <c r="F1412" t="n">
        <v>16.45</v>
      </c>
      <c r="G1412" t="n">
        <v>0</v>
      </c>
      <c r="H1412" t="n">
        <v>0</v>
      </c>
      <c r="I1412" s="3">
        <f>E1412+G1412+H1412</f>
        <v/>
      </c>
      <c r="J1412" s="3">
        <f>ROUND(MIN(IF(C1412="Técnico III",35,IF(C1412="Técnico II",28,IF(C1412="Técnico I",23,IF(C1412="JR",20,IF(C1412="Estágio",10,0))))),IF(C1412="Técnico III",SUMIFS($D:$D,$A:$A,$A1412,$B:$B,"&lt;&gt;Patrícia Karla de Sousa Araújo",$B:$B,"&lt;&gt;Lorena Dias de Araujo",$B:$B,"&lt;&gt;Lucas Luiz Romero")*(35/1083),IF(C1412="Técnico II",SUMIFS($D:$D,$A:$A,$A1412,$B:$B,"&lt;&gt;Patrícia Karla de Sousa Araújo",$B:$B,"&lt;&gt;Lorena Dias de Araujo",$B:$B,"&lt;&gt;Lucas Luiz Romero")*(28/1083),IF(C1412="Técnico I",SUMIFS($D:$D,$A:$A,$A1412,$B:$B,"&lt;&gt;Patrícia Karla de Sousa Araújo",$B:$B,"&lt;&gt;Lorena Dias de Araujo",$B:$B,"&lt;&gt;Lucas Luiz Romero")*(23/1083),IF(C1412="JR",SUMIFS($D:$D,$A:$A,$A1412,$B:$B,"&lt;&gt;Patrícia Karla de Sousa Araújo",$B:$B,"&lt;&gt;Lorena Dias de Araujo",$B:$B,"&lt;&gt;Lucas Luiz Romero")*(20/1083),IF(C1412="Estágio",SUMIFS($D:$D,$A:$A,$A1412,$B:$B,"&lt;&gt;Patrícia Karla de Sousa Araújo",$B:$B,"&lt;&gt;Lorena Dias de Araujo",$B:$B,"&lt;&gt;Lucas Luiz Romero")*(10/1083),0)))))),0)</f>
        <v/>
      </c>
      <c r="K1412" s="3">
        <f>I1412-J1412</f>
        <v/>
      </c>
      <c r="L1412" s="3">
        <f>IF(K1412&lt;-5,"CRÍTICO",IF(K1412&lt;0,"ATENÇÃO",IF(K1412&lt;=5,"BOM","EXCELENTE")))</f>
        <v/>
      </c>
      <c r="N1412" t="n">
        <v>96.40000000000001</v>
      </c>
      <c r="O1412" t="n">
        <v>28.76404494382023</v>
      </c>
    </row>
    <row r="1413" hidden="1">
      <c r="A1413" s="11" t="n">
        <v>46044</v>
      </c>
      <c r="B1413" t="inlineStr">
        <is>
          <t>Jéssica Fé Moura</t>
        </is>
      </c>
      <c r="C1413" t="inlineStr">
        <is>
          <t>Técnico III</t>
        </is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s="3" t="n">
        <v>0</v>
      </c>
      <c r="J1413" s="3" t="n">
        <v>0</v>
      </c>
      <c r="K1413" s="3" t="n">
        <v>0</v>
      </c>
      <c r="L1413" s="3">
        <f>IF(K1413&lt;-5,"CRÍTICO",IF(K1413&lt;0,"ATENÇÃO",IF(K1413&lt;=5,"BOM","EXCELENTE")))</f>
        <v/>
      </c>
      <c r="N1413" t="n">
        <v>100</v>
      </c>
      <c r="O1413" t="n">
        <v>33.98058252427185</v>
      </c>
    </row>
    <row r="1414" hidden="1">
      <c r="A1414" s="11" t="n">
        <v>46044</v>
      </c>
      <c r="B1414" t="inlineStr">
        <is>
          <t>Karina Gonçalves Martins</t>
        </is>
      </c>
      <c r="C1414" t="inlineStr">
        <is>
          <t>JR</t>
        </is>
      </c>
      <c r="D1414" t="n">
        <v>5</v>
      </c>
      <c r="E1414" t="n">
        <v>4</v>
      </c>
      <c r="F1414" t="n">
        <v>46.55</v>
      </c>
      <c r="G1414" t="n">
        <v>0</v>
      </c>
      <c r="H1414" t="n">
        <v>0</v>
      </c>
      <c r="I1414" s="3">
        <f>E1414+G1414+H1414</f>
        <v/>
      </c>
      <c r="J1414" s="3">
        <f>ROUND(MIN(IF(C1414="Técnico III",35,IF(C1414="Técnico II",28,IF(C1414="Técnico I",23,IF(C1414="JR",20,IF(C1414="Estágio",10,0))))),IF(C1414="Técnico III",SUMIFS($D:$D,$A:$A,$A1414,$B:$B,"&lt;&gt;Patrícia Karla de Sousa Araújo",$B:$B,"&lt;&gt;Lorena Dias de Araujo",$B:$B,"&lt;&gt;Lucas Luiz Romero")*(35/1083),IF(C1414="Técnico II",SUMIFS($D:$D,$A:$A,$A1414,$B:$B,"&lt;&gt;Patrícia Karla de Sousa Araújo",$B:$B,"&lt;&gt;Lorena Dias de Araujo",$B:$B,"&lt;&gt;Lucas Luiz Romero")*(28/1083),IF(C1414="Técnico I",SUMIFS($D:$D,$A:$A,$A1414,$B:$B,"&lt;&gt;Patrícia Karla de Sousa Araújo",$B:$B,"&lt;&gt;Lorena Dias de Araujo",$B:$B,"&lt;&gt;Lucas Luiz Romero")*(23/1083),IF(C1414="JR",SUMIFS($D:$D,$A:$A,$A1414,$B:$B,"&lt;&gt;Patrícia Karla de Sousa Araújo",$B:$B,"&lt;&gt;Lorena Dias de Araujo",$B:$B,"&lt;&gt;Lucas Luiz Romero")*(20/1083),IF(C1414="Estágio",SUMIFS($D:$D,$A:$A,$A1414,$B:$B,"&lt;&gt;Patrícia Karla de Sousa Araújo",$B:$B,"&lt;&gt;Lorena Dias de Araujo",$B:$B,"&lt;&gt;Lucas Luiz Romero")*(10/1083),0)))))),0)</f>
        <v/>
      </c>
      <c r="K1414" s="3">
        <f>I1414-J1414</f>
        <v/>
      </c>
      <c r="L1414" s="3">
        <f>IF(K1414&lt;-5,"CRÍTICO",IF(K1414&lt;0,"ATENÇÃO",IF(K1414&lt;=5,"BOM","EXCELENTE")))</f>
        <v/>
      </c>
      <c r="N1414" t="n">
        <v>97.56</v>
      </c>
      <c r="O1414" t="n">
        <v>32.51533742331289</v>
      </c>
    </row>
    <row r="1415" hidden="1">
      <c r="A1415" s="11" t="n">
        <v>46044</v>
      </c>
      <c r="B1415" t="inlineStr">
        <is>
          <t>Kerollen Cristielly de Jesus Siqueira</t>
        </is>
      </c>
      <c r="C1415" t="inlineStr">
        <is>
          <t>Técnico III</t>
        </is>
      </c>
      <c r="D1415" t="n">
        <v>19</v>
      </c>
      <c r="E1415" t="n">
        <v>18</v>
      </c>
      <c r="F1415" t="n">
        <v>22.19</v>
      </c>
      <c r="G1415" t="n">
        <v>0</v>
      </c>
      <c r="H1415" t="n">
        <v>0</v>
      </c>
      <c r="I1415" s="3">
        <f>E1415+G1415+H1415</f>
        <v/>
      </c>
      <c r="J1415" s="3">
        <f>ROUND(MIN(IF(C1415="Técnico III",35,IF(C1415="Técnico II",28,IF(C1415="Técnico I",23,IF(C1415="JR",20,IF(C1415="Estágio",10,0))))),IF(C1415="Técnico III",SUMIFS($D:$D,$A:$A,$A1415,$B:$B,"&lt;&gt;Patrícia Karla de Sousa Araújo",$B:$B,"&lt;&gt;Lorena Dias de Araujo",$B:$B,"&lt;&gt;Lucas Luiz Romero")*(35/1083),IF(C1415="Técnico II",SUMIFS($D:$D,$A:$A,$A1415,$B:$B,"&lt;&gt;Patrícia Karla de Sousa Araújo",$B:$B,"&lt;&gt;Lorena Dias de Araujo",$B:$B,"&lt;&gt;Lucas Luiz Romero")*(28/1083),IF(C1415="Técnico I",SUMIFS($D:$D,$A:$A,$A1415,$B:$B,"&lt;&gt;Patrícia Karla de Sousa Araújo",$B:$B,"&lt;&gt;Lorena Dias de Araujo",$B:$B,"&lt;&gt;Lucas Luiz Romero")*(23/1083),IF(C1415="JR",SUMIFS($D:$D,$A:$A,$A1415,$B:$B,"&lt;&gt;Patrícia Karla de Sousa Araújo",$B:$B,"&lt;&gt;Lorena Dias de Araujo",$B:$B,"&lt;&gt;Lucas Luiz Romero")*(20/1083),IF(C1415="Estágio",SUMIFS($D:$D,$A:$A,$A1415,$B:$B,"&lt;&gt;Patrícia Karla de Sousa Araújo",$B:$B,"&lt;&gt;Lorena Dias de Araujo",$B:$B,"&lt;&gt;Lucas Luiz Romero")*(10/1083),0)))))),0)</f>
        <v/>
      </c>
      <c r="K1415" s="3">
        <f>I1415-J1415</f>
        <v/>
      </c>
      <c r="L1415" s="3">
        <f>IF(K1415&lt;-5,"CRÍTICO",IF(K1415&lt;0,"ATENÇÃO",IF(K1415&lt;=5,"BOM","EXCELENTE")))</f>
        <v/>
      </c>
      <c r="N1415" t="n">
        <v>97.11</v>
      </c>
      <c r="O1415" t="n">
        <v>37.40831295843521</v>
      </c>
    </row>
    <row r="1416" hidden="1">
      <c r="A1416" s="11" t="n">
        <v>46044</v>
      </c>
      <c r="B1416" t="inlineStr">
        <is>
          <t>Leandro de Souza Silva</t>
        </is>
      </c>
      <c r="C1416" t="inlineStr">
        <is>
          <t>JR</t>
        </is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s="3" t="n">
        <v>0</v>
      </c>
      <c r="J1416" s="3" t="n">
        <v>0</v>
      </c>
      <c r="K1416" s="3" t="n">
        <v>0</v>
      </c>
      <c r="L1416" s="3">
        <f>IF(K1416&lt;-5,"CRÍTICO",IF(K1416&lt;0,"ATENÇÃO",IF(K1416&lt;=5,"BOM","EXCELENTE")))</f>
        <v/>
      </c>
      <c r="N1416" t="n">
        <v>0</v>
      </c>
      <c r="O1416" t="n">
        <v>0</v>
      </c>
    </row>
    <row r="1417" hidden="1">
      <c r="A1417" s="11" t="n">
        <v>46044</v>
      </c>
      <c r="B1417" t="inlineStr">
        <is>
          <t>Leandro Oliveira de Sousa</t>
        </is>
      </c>
      <c r="C1417" t="inlineStr">
        <is>
          <t>Técnico III</t>
        </is>
      </c>
      <c r="D1417" t="n">
        <v>25</v>
      </c>
      <c r="E1417" t="n">
        <v>21</v>
      </c>
      <c r="F1417" t="n">
        <v>19.1</v>
      </c>
      <c r="G1417" t="n">
        <v>0</v>
      </c>
      <c r="H1417" t="n">
        <v>0</v>
      </c>
      <c r="I1417" s="3">
        <f>E1417+G1417+H1417</f>
        <v/>
      </c>
      <c r="J1417" s="3">
        <f>ROUND(MIN(IF(C1417="Técnico III",35,IF(C1417="Técnico II",28,IF(C1417="Técnico I",23,IF(C1417="JR",20,IF(C1417="Estágio",10,0))))),IF(C1417="Técnico III",SUMIFS($D:$D,$A:$A,$A1417,$B:$B,"&lt;&gt;Patrícia Karla de Sousa Araújo",$B:$B,"&lt;&gt;Lorena Dias de Araujo",$B:$B,"&lt;&gt;Lucas Luiz Romero")*(35/1083),IF(C1417="Técnico II",SUMIFS($D:$D,$A:$A,$A1417,$B:$B,"&lt;&gt;Patrícia Karla de Sousa Araújo",$B:$B,"&lt;&gt;Lorena Dias de Araujo",$B:$B,"&lt;&gt;Lucas Luiz Romero")*(28/1083),IF(C1417="Técnico I",SUMIFS($D:$D,$A:$A,$A1417,$B:$B,"&lt;&gt;Patrícia Karla de Sousa Araújo",$B:$B,"&lt;&gt;Lorena Dias de Araujo",$B:$B,"&lt;&gt;Lucas Luiz Romero")*(23/1083),IF(C1417="JR",SUMIFS($D:$D,$A:$A,$A1417,$B:$B,"&lt;&gt;Patrícia Karla de Sousa Araújo",$B:$B,"&lt;&gt;Lorena Dias de Araujo",$B:$B,"&lt;&gt;Lucas Luiz Romero")*(20/1083),IF(C1417="Estágio",SUMIFS($D:$D,$A:$A,$A1417,$B:$B,"&lt;&gt;Patrícia Karla de Sousa Araújo",$B:$B,"&lt;&gt;Lorena Dias de Araujo",$B:$B,"&lt;&gt;Lucas Luiz Romero")*(10/1083),0)))))),0)</f>
        <v/>
      </c>
      <c r="K1417" s="3">
        <f>I1417-J1417</f>
        <v/>
      </c>
      <c r="L1417" s="3">
        <f>IF(K1417&lt;-5,"CRÍTICO",IF(K1417&lt;0,"ATENÇÃO",IF(K1417&lt;=5,"BOM","EXCELENTE")))</f>
        <v/>
      </c>
      <c r="N1417" t="n">
        <v>100</v>
      </c>
      <c r="O1417" t="n">
        <v>30.47034764826176</v>
      </c>
    </row>
    <row r="1418" hidden="1">
      <c r="A1418" s="11" t="n">
        <v>46044</v>
      </c>
      <c r="B1418" t="inlineStr">
        <is>
          <t>Lizandra Gomes Duarte</t>
        </is>
      </c>
      <c r="C1418" t="inlineStr">
        <is>
          <t>Técnico II</t>
        </is>
      </c>
      <c r="D1418" t="n">
        <v>25</v>
      </c>
      <c r="E1418" t="n">
        <v>23</v>
      </c>
      <c r="F1418" t="n">
        <v>18.32</v>
      </c>
      <c r="G1418" t="n">
        <v>0</v>
      </c>
      <c r="H1418" t="n">
        <v>0</v>
      </c>
      <c r="I1418" s="3">
        <f>E1418+G1418+H1418</f>
        <v/>
      </c>
      <c r="J1418" s="3">
        <f>ROUND(MIN(IF(C1418="Técnico III",35,IF(C1418="Técnico II",28,IF(C1418="Técnico I",23,IF(C1418="JR",20,IF(C1418="Estágio",10,0))))),IF(C1418="Técnico III",SUMIFS($D:$D,$A:$A,$A1418,$B:$B,"&lt;&gt;Patrícia Karla de Sousa Araújo",$B:$B,"&lt;&gt;Lorena Dias de Araujo",$B:$B,"&lt;&gt;Lucas Luiz Romero")*(35/1083),IF(C1418="Técnico II",SUMIFS($D:$D,$A:$A,$A1418,$B:$B,"&lt;&gt;Patrícia Karla de Sousa Araújo",$B:$B,"&lt;&gt;Lorena Dias de Araujo",$B:$B,"&lt;&gt;Lucas Luiz Romero")*(28/1083),IF(C1418="Técnico I",SUMIFS($D:$D,$A:$A,$A1418,$B:$B,"&lt;&gt;Patrícia Karla de Sousa Araújo",$B:$B,"&lt;&gt;Lorena Dias de Araujo",$B:$B,"&lt;&gt;Lucas Luiz Romero")*(23/1083),IF(C1418="JR",SUMIFS($D:$D,$A:$A,$A1418,$B:$B,"&lt;&gt;Patrícia Karla de Sousa Araújo",$B:$B,"&lt;&gt;Lorena Dias de Araujo",$B:$B,"&lt;&gt;Lucas Luiz Romero")*(20/1083),IF(C1418="Estágio",SUMIFS($D:$D,$A:$A,$A1418,$B:$B,"&lt;&gt;Patrícia Karla de Sousa Araújo",$B:$B,"&lt;&gt;Lorena Dias de Araujo",$B:$B,"&lt;&gt;Lucas Luiz Romero")*(10/1083),0)))))),0)</f>
        <v/>
      </c>
      <c r="K1418" s="3">
        <f>I1418-J1418</f>
        <v/>
      </c>
      <c r="L1418" s="3">
        <f>IF(K1418&lt;-5,"CRÍTICO",IF(K1418&lt;0,"ATENÇÃO",IF(K1418&lt;=5,"BOM","EXCELENTE")))</f>
        <v/>
      </c>
      <c r="N1418" t="n">
        <v>100</v>
      </c>
      <c r="O1418" t="n">
        <v>32.37113402061856</v>
      </c>
    </row>
    <row r="1419" hidden="1">
      <c r="A1419" s="11" t="n">
        <v>46044</v>
      </c>
      <c r="B1419" t="inlineStr">
        <is>
          <t>Lorena Dias de Araujo</t>
        </is>
      </c>
      <c r="C1419" t="inlineStr">
        <is>
          <t>Técnico II</t>
        </is>
      </c>
      <c r="D1419" t="n">
        <v>28</v>
      </c>
      <c r="E1419" t="n">
        <v>27</v>
      </c>
      <c r="F1419" t="n">
        <v>17.06</v>
      </c>
      <c r="G1419" t="n">
        <v>0</v>
      </c>
      <c r="H1419" t="n">
        <v>0</v>
      </c>
      <c r="I1419" s="3" t="n">
        <v>0</v>
      </c>
      <c r="J1419" s="3" t="n">
        <v>0</v>
      </c>
      <c r="K1419" s="3" t="n">
        <v>0</v>
      </c>
      <c r="L1419" s="3">
        <f>IF(K1419&lt;-5,"CRÍTICO",IF(K1419&lt;0,"ATENÇÃO",IF(K1419&lt;=5,"BOM","EXCELENTE")))</f>
        <v/>
      </c>
      <c r="N1419" t="n">
        <v>98.31999999999999</v>
      </c>
      <c r="O1419" t="n">
        <v>32.31850117096019</v>
      </c>
    </row>
    <row r="1420" hidden="1">
      <c r="A1420" s="11" t="n">
        <v>46044</v>
      </c>
      <c r="B1420" t="inlineStr">
        <is>
          <t>Lucas Luiz Romero</t>
        </is>
      </c>
      <c r="C1420" t="inlineStr">
        <is>
          <t>Técnico III</t>
        </is>
      </c>
      <c r="D1420" t="n">
        <v>47</v>
      </c>
      <c r="E1420" t="n">
        <v>29</v>
      </c>
      <c r="F1420" t="n">
        <v>5.45</v>
      </c>
      <c r="G1420" t="n">
        <v>0</v>
      </c>
      <c r="H1420" t="n">
        <v>0</v>
      </c>
      <c r="I1420" s="3">
        <f>E1420+G1420+H1420</f>
        <v/>
      </c>
      <c r="J1420" s="3">
        <f>ROUND(MIN(IF(C1420="Técnico III",35,IF(C1420="Técnico II",28,IF(C1420="Técnico I",23,IF(C1420="JR",20,IF(C1420="Estágio",10,0))))),IF(C1420="Técnico III",SUMIFS($D:$D,$A:$A,$A1420,$B:$B,"&lt;&gt;Patrícia Karla de Sousa Araújo",$B:$B,"&lt;&gt;Lorena Dias de Araujo",$B:$B,"&lt;&gt;Lucas Luiz Romero")*(35/1083),IF(C1420="Técnico II",SUMIFS($D:$D,$A:$A,$A1420,$B:$B,"&lt;&gt;Patrícia Karla de Sousa Araújo",$B:$B,"&lt;&gt;Lorena Dias de Araujo",$B:$B,"&lt;&gt;Lucas Luiz Romero")*(28/1083),IF(C1420="Técnico I",SUMIFS($D:$D,$A:$A,$A1420,$B:$B,"&lt;&gt;Patrícia Karla de Sousa Araújo",$B:$B,"&lt;&gt;Lorena Dias de Araujo",$B:$B,"&lt;&gt;Lucas Luiz Romero")*(23/1083),IF(C1420="JR",SUMIFS($D:$D,$A:$A,$A1420,$B:$B,"&lt;&gt;Patrícia Karla de Sousa Araújo",$B:$B,"&lt;&gt;Lorena Dias de Araujo",$B:$B,"&lt;&gt;Lucas Luiz Romero")*(20/1083),IF(C1420="Estágio",SUMIFS($D:$D,$A:$A,$A1420,$B:$B,"&lt;&gt;Patrícia Karla de Sousa Araújo",$B:$B,"&lt;&gt;Lorena Dias de Araujo",$B:$B,"&lt;&gt;Lucas Luiz Romero")*(10/1083),0)))))),0)</f>
        <v/>
      </c>
      <c r="K1420" s="3">
        <f>I1420-J1420</f>
        <v/>
      </c>
      <c r="L1420" s="3">
        <f>IF(K1420&lt;-5,"CRÍTICO",IF(K1420&lt;0,"ATENÇÃO",IF(K1420&lt;=5,"BOM","EXCELENTE")))</f>
        <v/>
      </c>
      <c r="N1420" t="n">
        <v>96.43000000000001</v>
      </c>
      <c r="O1420" t="n">
        <v>27.01525054466231</v>
      </c>
    </row>
    <row r="1421" hidden="1">
      <c r="A1421" s="11" t="n">
        <v>46044</v>
      </c>
      <c r="B1421" t="inlineStr">
        <is>
          <t>Luiz Fernando de Carvalho Junior</t>
        </is>
      </c>
      <c r="C1421" t="inlineStr">
        <is>
          <t>Técnico I</t>
        </is>
      </c>
      <c r="D1421" t="n">
        <v>25</v>
      </c>
      <c r="E1421" t="n">
        <v>23</v>
      </c>
      <c r="F1421" t="n">
        <v>15.11</v>
      </c>
      <c r="G1421" t="n">
        <v>0</v>
      </c>
      <c r="H1421" t="n">
        <v>0</v>
      </c>
      <c r="I1421" s="3">
        <f>E1421+G1421+H1421</f>
        <v/>
      </c>
      <c r="J1421" s="3">
        <f>ROUND(MIN(IF(C1421="Técnico III",35,IF(C1421="Técnico II",28,IF(C1421="Técnico I",23,IF(C1421="JR",20,IF(C1421="Estágio",10,0))))),IF(C1421="Técnico III",SUMIFS($D:$D,$A:$A,$A1421,$B:$B,"&lt;&gt;Patrícia Karla de Sousa Araújo",$B:$B,"&lt;&gt;Lorena Dias de Araujo",$B:$B,"&lt;&gt;Lucas Luiz Romero")*(35/1083),IF(C1421="Técnico II",SUMIFS($D:$D,$A:$A,$A1421,$B:$B,"&lt;&gt;Patrícia Karla de Sousa Araújo",$B:$B,"&lt;&gt;Lorena Dias de Araujo",$B:$B,"&lt;&gt;Lucas Luiz Romero")*(28/1083),IF(C1421="Técnico I",SUMIFS($D:$D,$A:$A,$A1421,$B:$B,"&lt;&gt;Patrícia Karla de Sousa Araújo",$B:$B,"&lt;&gt;Lorena Dias de Araujo",$B:$B,"&lt;&gt;Lucas Luiz Romero")*(23/1083),IF(C1421="JR",SUMIFS($D:$D,$A:$A,$A1421,$B:$B,"&lt;&gt;Patrícia Karla de Sousa Araújo",$B:$B,"&lt;&gt;Lorena Dias de Araujo",$B:$B,"&lt;&gt;Lucas Luiz Romero")*(20/1083),IF(C1421="Estágio",SUMIFS($D:$D,$A:$A,$A1421,$B:$B,"&lt;&gt;Patrícia Karla de Sousa Araújo",$B:$B,"&lt;&gt;Lorena Dias de Araujo",$B:$B,"&lt;&gt;Lucas Luiz Romero")*(10/1083),0)))))),0)</f>
        <v/>
      </c>
      <c r="K1421" s="3">
        <f>I1421-J1421</f>
        <v/>
      </c>
      <c r="L1421" s="3">
        <f>IF(K1421&lt;-5,"CRÍTICO",IF(K1421&lt;0,"ATENÇÃO",IF(K1421&lt;=5,"BOM","EXCELENTE")))</f>
        <v/>
      </c>
      <c r="N1421" t="n">
        <v>98.89</v>
      </c>
      <c r="O1421" t="n">
        <v>28.02197802197802</v>
      </c>
    </row>
    <row r="1422" hidden="1">
      <c r="A1422" s="11" t="n">
        <v>46044</v>
      </c>
      <c r="B1422" t="inlineStr">
        <is>
          <t>Maria Eduarda Sousa Costa</t>
        </is>
      </c>
      <c r="C1422" t="inlineStr">
        <is>
          <t>Estágio</t>
        </is>
      </c>
      <c r="D1422" t="n">
        <v>8</v>
      </c>
      <c r="E1422" t="n">
        <v>8</v>
      </c>
      <c r="F1422" t="n">
        <v>42.33</v>
      </c>
      <c r="G1422" t="n">
        <v>0</v>
      </c>
      <c r="H1422" t="n">
        <v>0</v>
      </c>
      <c r="I1422" s="3">
        <f>E1422+G1422+H1422</f>
        <v/>
      </c>
      <c r="J1422" s="3">
        <f>ROUND(MIN(IF(C1422="Técnico III",35,IF(C1422="Técnico II",28,IF(C1422="Técnico I",23,IF(C1422="JR",20,IF(C1422="Estágio",10,0))))),IF(C1422="Técnico III",SUMIFS($D:$D,$A:$A,$A1422,$B:$B,"&lt;&gt;Patrícia Karla de Sousa Araújo",$B:$B,"&lt;&gt;Lorena Dias de Araujo",$B:$B,"&lt;&gt;Lucas Luiz Romero")*(35/1083),IF(C1422="Técnico II",SUMIFS($D:$D,$A:$A,$A1422,$B:$B,"&lt;&gt;Patrícia Karla de Sousa Araújo",$B:$B,"&lt;&gt;Lorena Dias de Araujo",$B:$B,"&lt;&gt;Lucas Luiz Romero")*(28/1083),IF(C1422="Técnico I",SUMIFS($D:$D,$A:$A,$A1422,$B:$B,"&lt;&gt;Patrícia Karla de Sousa Araújo",$B:$B,"&lt;&gt;Lorena Dias de Araujo",$B:$B,"&lt;&gt;Lucas Luiz Romero")*(23/1083),IF(C1422="JR",SUMIFS($D:$D,$A:$A,$A1422,$B:$B,"&lt;&gt;Patrícia Karla de Sousa Araújo",$B:$B,"&lt;&gt;Lorena Dias de Araujo",$B:$B,"&lt;&gt;Lucas Luiz Romero")*(20/1083),IF(C1422="Estágio",SUMIFS($D:$D,$A:$A,$A1422,$B:$B,"&lt;&gt;Patrícia Karla de Sousa Araújo",$B:$B,"&lt;&gt;Lorena Dias de Araujo",$B:$B,"&lt;&gt;Lucas Luiz Romero")*(10/1083),0)))))),0)</f>
        <v/>
      </c>
      <c r="K1422" s="3">
        <f>I1422-J1422</f>
        <v/>
      </c>
      <c r="L1422" s="3">
        <f>IF(K1422&lt;-5,"CRÍTICO",IF(K1422&lt;0,"ATENÇÃO",IF(K1422&lt;=5,"BOM","EXCELENTE")))</f>
        <v/>
      </c>
      <c r="N1422" t="n">
        <v>100</v>
      </c>
      <c r="O1422" t="n">
        <v>33.33333333333333</v>
      </c>
    </row>
    <row r="1423" hidden="1">
      <c r="A1423" s="11" t="n">
        <v>46044</v>
      </c>
      <c r="B1423" t="inlineStr">
        <is>
          <t>Matheus Farias De Souza</t>
        </is>
      </c>
      <c r="C1423" t="inlineStr">
        <is>
          <t>Técnico III</t>
        </is>
      </c>
      <c r="D1423" t="n">
        <v>24</v>
      </c>
      <c r="E1423" t="n">
        <v>22</v>
      </c>
      <c r="F1423" t="n">
        <v>13.4</v>
      </c>
      <c r="G1423" t="n">
        <v>0</v>
      </c>
      <c r="H1423" t="n">
        <v>0</v>
      </c>
      <c r="I1423" s="3">
        <f>E1423+G1423+H1423</f>
        <v/>
      </c>
      <c r="J1423" s="3">
        <f>ROUND(MIN(IF(C1423="Técnico III",35,IF(C1423="Técnico II",28,IF(C1423="Técnico I",23,IF(C1423="JR",20,IF(C1423="Estágio",10,0))))),IF(C1423="Técnico III",SUMIFS($D:$D,$A:$A,$A1423,$B:$B,"&lt;&gt;Patrícia Karla de Sousa Araújo",$B:$B,"&lt;&gt;Lorena Dias de Araujo",$B:$B,"&lt;&gt;Lucas Luiz Romero")*(35/1083),IF(C1423="Técnico II",SUMIFS($D:$D,$A:$A,$A1423,$B:$B,"&lt;&gt;Patrícia Karla de Sousa Araújo",$B:$B,"&lt;&gt;Lorena Dias de Araujo",$B:$B,"&lt;&gt;Lucas Luiz Romero")*(28/1083),IF(C1423="Técnico I",SUMIFS($D:$D,$A:$A,$A1423,$B:$B,"&lt;&gt;Patrícia Karla de Sousa Araújo",$B:$B,"&lt;&gt;Lorena Dias de Araujo",$B:$B,"&lt;&gt;Lucas Luiz Romero")*(23/1083),IF(C1423="JR",SUMIFS($D:$D,$A:$A,$A1423,$B:$B,"&lt;&gt;Patrícia Karla de Sousa Araújo",$B:$B,"&lt;&gt;Lorena Dias de Araujo",$B:$B,"&lt;&gt;Lucas Luiz Romero")*(20/1083),IF(C1423="Estágio",SUMIFS($D:$D,$A:$A,$A1423,$B:$B,"&lt;&gt;Patrícia Karla de Sousa Araújo",$B:$B,"&lt;&gt;Lorena Dias de Araujo",$B:$B,"&lt;&gt;Lucas Luiz Romero")*(10/1083),0)))))),0)</f>
        <v/>
      </c>
      <c r="K1423" s="3">
        <f>I1423-J1423</f>
        <v/>
      </c>
      <c r="L1423" s="3">
        <f>IF(K1423&lt;-5,"CRÍTICO",IF(K1423&lt;0,"ATENÇÃO",IF(K1423&lt;=5,"BOM","EXCELENTE")))</f>
        <v/>
      </c>
      <c r="N1423" t="n">
        <v>100</v>
      </c>
      <c r="O1423" t="n">
        <v>27.43362831858407</v>
      </c>
    </row>
    <row r="1424" hidden="1">
      <c r="A1424" s="11" t="n">
        <v>46044</v>
      </c>
      <c r="B1424" t="inlineStr">
        <is>
          <t>Maysa Victoria Dias Moura</t>
        </is>
      </c>
      <c r="C1424" t="inlineStr">
        <is>
          <t>Técnico III</t>
        </is>
      </c>
      <c r="D1424" t="n">
        <v>27</v>
      </c>
      <c r="E1424" t="n">
        <v>23</v>
      </c>
      <c r="F1424" t="n">
        <v>17.31</v>
      </c>
      <c r="G1424" t="n">
        <v>0</v>
      </c>
      <c r="H1424" t="n">
        <v>0</v>
      </c>
      <c r="I1424" s="3">
        <f>E1424+G1424+H1424</f>
        <v/>
      </c>
      <c r="J1424" s="3">
        <f>ROUND(MIN(IF(C1424="Técnico III",35,IF(C1424="Técnico II",28,IF(C1424="Técnico I",23,IF(C1424="JR",20,IF(C1424="Estágio",10,0))))),IF(C1424="Técnico III",SUMIFS($D:$D,$A:$A,$A1424,$B:$B,"&lt;&gt;Patrícia Karla de Sousa Araújo",$B:$B,"&lt;&gt;Lorena Dias de Araujo",$B:$B,"&lt;&gt;Lucas Luiz Romero")*(35/1083),IF(C1424="Técnico II",SUMIFS($D:$D,$A:$A,$A1424,$B:$B,"&lt;&gt;Patrícia Karla de Sousa Araújo",$B:$B,"&lt;&gt;Lorena Dias de Araujo",$B:$B,"&lt;&gt;Lucas Luiz Romero")*(28/1083),IF(C1424="Técnico I",SUMIFS($D:$D,$A:$A,$A1424,$B:$B,"&lt;&gt;Patrícia Karla de Sousa Araújo",$B:$B,"&lt;&gt;Lorena Dias de Araujo",$B:$B,"&lt;&gt;Lucas Luiz Romero")*(23/1083),IF(C1424="JR",SUMIFS($D:$D,$A:$A,$A1424,$B:$B,"&lt;&gt;Patrícia Karla de Sousa Araújo",$B:$B,"&lt;&gt;Lorena Dias de Araujo",$B:$B,"&lt;&gt;Lucas Luiz Romero")*(20/1083),IF(C1424="Estágio",SUMIFS($D:$D,$A:$A,$A1424,$B:$B,"&lt;&gt;Patrícia Karla de Sousa Araújo",$B:$B,"&lt;&gt;Lorena Dias de Araujo",$B:$B,"&lt;&gt;Lucas Luiz Romero")*(10/1083),0)))))),0)</f>
        <v/>
      </c>
      <c r="K1424" s="3">
        <f>I1424-J1424</f>
        <v/>
      </c>
      <c r="L1424" s="3">
        <f>IF(K1424&lt;-5,"CRÍTICO",IF(K1424&lt;0,"ATENÇÃO",IF(K1424&lt;=5,"BOM","EXCELENTE")))</f>
        <v/>
      </c>
      <c r="N1424" t="n">
        <v>98.65000000000001</v>
      </c>
      <c r="O1424" t="n">
        <v>30.97826086956522</v>
      </c>
    </row>
    <row r="1425" hidden="1">
      <c r="A1425" s="11" t="n">
        <v>46044</v>
      </c>
      <c r="B1425" t="inlineStr">
        <is>
          <t>Michelle G Santos</t>
        </is>
      </c>
      <c r="C1425" t="inlineStr">
        <is>
          <t>Estágio</t>
        </is>
      </c>
      <c r="D1425" t="n">
        <v>9</v>
      </c>
      <c r="E1425" t="n">
        <v>9</v>
      </c>
      <c r="F1425" t="n">
        <v>22.37</v>
      </c>
      <c r="G1425" t="n">
        <v>0</v>
      </c>
      <c r="H1425" t="n">
        <v>0</v>
      </c>
      <c r="I1425" s="3">
        <f>E1425+G1425+H1425</f>
        <v/>
      </c>
      <c r="J1425" s="3">
        <f>ROUND(MIN(IF(C1425="Técnico III",35,IF(C1425="Técnico II",28,IF(C1425="Técnico I",23,IF(C1425="JR",20,IF(C1425="Estágio",10,0))))),IF(C1425="Técnico III",SUMIFS($D:$D,$A:$A,$A1425,$B:$B,"&lt;&gt;Patrícia Karla de Sousa Araújo",$B:$B,"&lt;&gt;Lorena Dias de Araujo",$B:$B,"&lt;&gt;Lucas Luiz Romero")*(35/1083),IF(C1425="Técnico II",SUMIFS($D:$D,$A:$A,$A1425,$B:$B,"&lt;&gt;Patrícia Karla de Sousa Araújo",$B:$B,"&lt;&gt;Lorena Dias de Araujo",$B:$B,"&lt;&gt;Lucas Luiz Romero")*(28/1083),IF(C1425="Técnico I",SUMIFS($D:$D,$A:$A,$A1425,$B:$B,"&lt;&gt;Patrícia Karla de Sousa Araújo",$B:$B,"&lt;&gt;Lorena Dias de Araujo",$B:$B,"&lt;&gt;Lucas Luiz Romero")*(23/1083),IF(C1425="JR",SUMIFS($D:$D,$A:$A,$A1425,$B:$B,"&lt;&gt;Patrícia Karla de Sousa Araújo",$B:$B,"&lt;&gt;Lorena Dias de Araujo",$B:$B,"&lt;&gt;Lucas Luiz Romero")*(20/1083),IF(C1425="Estágio",SUMIFS($D:$D,$A:$A,$A1425,$B:$B,"&lt;&gt;Patrícia Karla de Sousa Araújo",$B:$B,"&lt;&gt;Lorena Dias de Araujo",$B:$B,"&lt;&gt;Lucas Luiz Romero")*(10/1083),0)))))),0)</f>
        <v/>
      </c>
      <c r="K1425" s="3">
        <f>I1425-J1425</f>
        <v/>
      </c>
      <c r="L1425" s="3">
        <f>IF(K1425&lt;-5,"CRÍTICO",IF(K1425&lt;0,"ATENÇÃO",IF(K1425&lt;=5,"BOM","EXCELENTE")))</f>
        <v/>
      </c>
      <c r="N1425" t="n">
        <v>100</v>
      </c>
      <c r="O1425" t="n">
        <v>12</v>
      </c>
    </row>
    <row r="1426" hidden="1">
      <c r="A1426" s="11" t="n">
        <v>46044</v>
      </c>
      <c r="B1426" t="inlineStr">
        <is>
          <t>Milena Sales</t>
        </is>
      </c>
      <c r="C1426" t="inlineStr">
        <is>
          <t>JR</t>
        </is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s="3" t="n">
        <v>0</v>
      </c>
      <c r="J1426" s="3" t="n">
        <v>0</v>
      </c>
      <c r="K1426" s="3" t="n">
        <v>0</v>
      </c>
      <c r="L1426" s="3">
        <f>IF(K1426&lt;-5,"CRÍTICO",IF(K1426&lt;0,"ATENÇÃO",IF(K1426&lt;=5,"BOM","EXCELENTE")))</f>
        <v/>
      </c>
      <c r="N1426" t="n">
        <v>0</v>
      </c>
      <c r="O1426" t="n">
        <v>0</v>
      </c>
    </row>
    <row r="1427" hidden="1">
      <c r="A1427" s="11" t="n">
        <v>46044</v>
      </c>
      <c r="B1427" t="inlineStr">
        <is>
          <t>Patrícia Karla de Sousa Araújo</t>
        </is>
      </c>
      <c r="C1427" t="inlineStr">
        <is>
          <t>Técnico II</t>
        </is>
      </c>
      <c r="D1427" t="n">
        <v>20</v>
      </c>
      <c r="E1427" t="n">
        <v>18</v>
      </c>
      <c r="F1427" t="n">
        <v>22.17</v>
      </c>
      <c r="G1427" t="n">
        <v>0</v>
      </c>
      <c r="H1427" t="n">
        <v>0</v>
      </c>
      <c r="I1427" s="3">
        <f>E1427+G1427+H1427</f>
        <v/>
      </c>
      <c r="J1427" s="3">
        <f>ROUND(MIN(IF(C1427="Técnico III",35,IF(C1427="Técnico II",28,IF(C1427="Técnico I",23,IF(C1427="JR",20,IF(C1427="Estágio",10,0))))),IF(C1427="Técnico III",SUMIFS($D:$D,$A:$A,$A1427,$B:$B,"&lt;&gt;Patrícia Karla de Sousa Araújo",$B:$B,"&lt;&gt;Lorena Dias de Araujo",$B:$B,"&lt;&gt;Lucas Luiz Romero")*(35/1083),IF(C1427="Técnico II",SUMIFS($D:$D,$A:$A,$A1427,$B:$B,"&lt;&gt;Patrícia Karla de Sousa Araújo",$B:$B,"&lt;&gt;Lorena Dias de Araujo",$B:$B,"&lt;&gt;Lucas Luiz Romero")*(28/1083),IF(C1427="Técnico I",SUMIFS($D:$D,$A:$A,$A1427,$B:$B,"&lt;&gt;Patrícia Karla de Sousa Araújo",$B:$B,"&lt;&gt;Lorena Dias de Araujo",$B:$B,"&lt;&gt;Lucas Luiz Romero")*(23/1083),IF(C1427="JR",SUMIFS($D:$D,$A:$A,$A1427,$B:$B,"&lt;&gt;Patrícia Karla de Sousa Araújo",$B:$B,"&lt;&gt;Lorena Dias de Araujo",$B:$B,"&lt;&gt;Lucas Luiz Romero")*(20/1083),IF(C1427="Estágio",SUMIFS($D:$D,$A:$A,$A1427,$B:$B,"&lt;&gt;Patrícia Karla de Sousa Araújo",$B:$B,"&lt;&gt;Lorena Dias de Araujo",$B:$B,"&lt;&gt;Lucas Luiz Romero")*(10/1083),0)))))),0)</f>
        <v/>
      </c>
      <c r="K1427" s="3">
        <f>I1427-J1427</f>
        <v/>
      </c>
      <c r="L1427" s="3">
        <f>IF(K1427&lt;-5,"CRÍTICO",IF(K1427&lt;0,"ATENÇÃO",IF(K1427&lt;=5,"BOM","EXCELENTE")))</f>
        <v/>
      </c>
      <c r="N1427" t="n">
        <v>97.56</v>
      </c>
      <c r="O1427" t="n">
        <v>31.06796116504854</v>
      </c>
    </row>
    <row r="1428" hidden="1">
      <c r="A1428" s="11" t="n">
        <v>46044</v>
      </c>
      <c r="B1428" t="inlineStr">
        <is>
          <t>Paulo Ricardo Santos</t>
        </is>
      </c>
      <c r="C1428" t="inlineStr">
        <is>
          <t>JR</t>
        </is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s="3" t="n">
        <v>0</v>
      </c>
      <c r="J1428" s="3" t="n">
        <v>0</v>
      </c>
      <c r="K1428" s="3" t="n">
        <v>0</v>
      </c>
      <c r="L1428" s="3">
        <f>IF(K1428&lt;-5,"CRÍTICO",IF(K1428&lt;0,"ATENÇÃO",IF(K1428&lt;=5,"BOM","EXCELENTE")))</f>
        <v/>
      </c>
      <c r="N1428" t="n">
        <v>0</v>
      </c>
      <c r="O1428" t="n">
        <v>0</v>
      </c>
    </row>
    <row r="1429" hidden="1">
      <c r="A1429" s="11" t="n">
        <v>46044</v>
      </c>
      <c r="B1429" t="inlineStr">
        <is>
          <t>Pedro Luiz Mota Sousa</t>
        </is>
      </c>
      <c r="C1429" t="inlineStr">
        <is>
          <t>JR</t>
        </is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s="3" t="n">
        <v>0</v>
      </c>
      <c r="J1429" s="3" t="n">
        <v>0</v>
      </c>
      <c r="K1429" s="3" t="n">
        <v>0</v>
      </c>
      <c r="L1429" s="3">
        <f>IF(K1429&lt;-5,"CRÍTICO",IF(K1429&lt;0,"ATENÇÃO",IF(K1429&lt;=5,"BOM","EXCELENTE")))</f>
        <v/>
      </c>
      <c r="N1429" t="n">
        <v>0</v>
      </c>
      <c r="O1429" t="n">
        <v>0</v>
      </c>
    </row>
    <row r="1430" hidden="1">
      <c r="A1430" s="11" t="n">
        <v>46044</v>
      </c>
      <c r="B1430" t="inlineStr">
        <is>
          <t>Quirino Diogo Leite Torres</t>
        </is>
      </c>
      <c r="C1430" t="inlineStr">
        <is>
          <t>Estágio</t>
        </is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s="3" t="n">
        <v>0</v>
      </c>
      <c r="J1430" s="3" t="n">
        <v>0</v>
      </c>
      <c r="K1430" s="3" t="n">
        <v>0</v>
      </c>
      <c r="L1430" s="3">
        <f>IF(K1430&lt;-5,"CRÍTICO",IF(K1430&lt;0,"ATENÇÃO",IF(K1430&lt;=5,"BOM","EXCELENTE")))</f>
        <v/>
      </c>
      <c r="N1430" t="n">
        <v>0</v>
      </c>
      <c r="O1430" t="n">
        <v>0</v>
      </c>
    </row>
    <row r="1431" hidden="1">
      <c r="A1431" s="11" t="n">
        <v>46044</v>
      </c>
      <c r="B1431" t="inlineStr">
        <is>
          <t>Raane Batista Matos</t>
        </is>
      </c>
      <c r="C1431" t="inlineStr">
        <is>
          <t>Técnico I</t>
        </is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s="3" t="n">
        <v>0</v>
      </c>
      <c r="J1431" s="3" t="n">
        <v>0</v>
      </c>
      <c r="K1431" s="3" t="n">
        <v>0</v>
      </c>
      <c r="L1431" s="3">
        <f>IF(K1431&lt;-5,"CRÍTICO",IF(K1431&lt;0,"ATENÇÃO",IF(K1431&lt;=5,"BOM","EXCELENTE")))</f>
        <v/>
      </c>
      <c r="N1431" t="n">
        <v>100</v>
      </c>
      <c r="O1431" t="n">
        <v>53.84615384615385</v>
      </c>
    </row>
    <row r="1432" hidden="1">
      <c r="A1432" s="11" t="n">
        <v>46044</v>
      </c>
      <c r="B1432" t="inlineStr">
        <is>
          <t>Rafael Gomes de Morais</t>
        </is>
      </c>
      <c r="C1432" t="inlineStr">
        <is>
          <t>Técnico III</t>
        </is>
      </c>
      <c r="D1432" t="n">
        <v>25</v>
      </c>
      <c r="E1432" t="n">
        <v>24</v>
      </c>
      <c r="F1432" t="n">
        <v>18.31</v>
      </c>
      <c r="G1432" t="n">
        <v>0</v>
      </c>
      <c r="H1432" t="n">
        <v>0</v>
      </c>
      <c r="I1432" s="3">
        <f>E1432+G1432+H1432</f>
        <v/>
      </c>
      <c r="J1432" s="3">
        <f>ROUND(MIN(IF(C1432="Técnico III",35,IF(C1432="Técnico II",28,IF(C1432="Técnico I",23,IF(C1432="JR",20,IF(C1432="Estágio",10,0))))),IF(C1432="Técnico III",SUMIFS($D:$D,$A:$A,$A1432,$B:$B,"&lt;&gt;Patrícia Karla de Sousa Araújo",$B:$B,"&lt;&gt;Lorena Dias de Araujo",$B:$B,"&lt;&gt;Lucas Luiz Romero")*(35/1083),IF(C1432="Técnico II",SUMIFS($D:$D,$A:$A,$A1432,$B:$B,"&lt;&gt;Patrícia Karla de Sousa Araújo",$B:$B,"&lt;&gt;Lorena Dias de Araujo",$B:$B,"&lt;&gt;Lucas Luiz Romero")*(28/1083),IF(C1432="Técnico I",SUMIFS($D:$D,$A:$A,$A1432,$B:$B,"&lt;&gt;Patrícia Karla de Sousa Araújo",$B:$B,"&lt;&gt;Lorena Dias de Araujo",$B:$B,"&lt;&gt;Lucas Luiz Romero")*(23/1083),IF(C1432="JR",SUMIFS($D:$D,$A:$A,$A1432,$B:$B,"&lt;&gt;Patrícia Karla de Sousa Araújo",$B:$B,"&lt;&gt;Lorena Dias de Araujo",$B:$B,"&lt;&gt;Lucas Luiz Romero")*(20/1083),IF(C1432="Estágio",SUMIFS($D:$D,$A:$A,$A1432,$B:$B,"&lt;&gt;Patrícia Karla de Sousa Araújo",$B:$B,"&lt;&gt;Lorena Dias de Araujo",$B:$B,"&lt;&gt;Lucas Luiz Romero")*(10/1083),0)))))),0)</f>
        <v/>
      </c>
      <c r="K1432" s="3">
        <f>I1432-J1432</f>
        <v/>
      </c>
      <c r="L1432" s="3">
        <f>IF(K1432&lt;-5,"CRÍTICO",IF(K1432&lt;0,"ATENÇÃO",IF(K1432&lt;=5,"BOM","EXCELENTE")))</f>
        <v/>
      </c>
      <c r="N1432" t="n">
        <v>100</v>
      </c>
      <c r="O1432" t="n">
        <v>44.05594405594406</v>
      </c>
    </row>
    <row r="1433" hidden="1">
      <c r="A1433" s="11" t="n">
        <v>46044</v>
      </c>
      <c r="B1433" t="inlineStr">
        <is>
          <t>Sara Maria Monteiro Lopes</t>
        </is>
      </c>
      <c r="C1433" t="inlineStr">
        <is>
          <t>Técnico I</t>
        </is>
      </c>
      <c r="D1433" t="n">
        <v>13</v>
      </c>
      <c r="E1433" t="n">
        <v>13</v>
      </c>
      <c r="F1433" t="n">
        <v>35.58</v>
      </c>
      <c r="G1433" t="n">
        <v>0</v>
      </c>
      <c r="H1433" t="n">
        <v>0</v>
      </c>
      <c r="I1433" s="3">
        <f>E1433+G1433+H1433</f>
        <v/>
      </c>
      <c r="J1433" s="3">
        <f>ROUND(MIN(IF(C1433="Técnico III",35,IF(C1433="Técnico II",28,IF(C1433="Técnico I",23,IF(C1433="JR",20,IF(C1433="Estágio",10,0))))),IF(C1433="Técnico III",SUMIFS($D:$D,$A:$A,$A1433,$B:$B,"&lt;&gt;Patrícia Karla de Sousa Araújo",$B:$B,"&lt;&gt;Lorena Dias de Araujo",$B:$B,"&lt;&gt;Lucas Luiz Romero")*(35/1083),IF(C1433="Técnico II",SUMIFS($D:$D,$A:$A,$A1433,$B:$B,"&lt;&gt;Patrícia Karla de Sousa Araújo",$B:$B,"&lt;&gt;Lorena Dias de Araujo",$B:$B,"&lt;&gt;Lucas Luiz Romero")*(28/1083),IF(C1433="Técnico I",SUMIFS($D:$D,$A:$A,$A1433,$B:$B,"&lt;&gt;Patrícia Karla de Sousa Araújo",$B:$B,"&lt;&gt;Lorena Dias de Araujo",$B:$B,"&lt;&gt;Lucas Luiz Romero")*(23/1083),IF(C1433="JR",SUMIFS($D:$D,$A:$A,$A1433,$B:$B,"&lt;&gt;Patrícia Karla de Sousa Araújo",$B:$B,"&lt;&gt;Lorena Dias de Araujo",$B:$B,"&lt;&gt;Lucas Luiz Romero")*(20/1083),IF(C1433="Estágio",SUMIFS($D:$D,$A:$A,$A1433,$B:$B,"&lt;&gt;Patrícia Karla de Sousa Araújo",$B:$B,"&lt;&gt;Lorena Dias de Araujo",$B:$B,"&lt;&gt;Lucas Luiz Romero")*(10/1083),0)))))),0)</f>
        <v/>
      </c>
      <c r="K1433" s="3">
        <f>I1433-J1433</f>
        <v/>
      </c>
      <c r="L1433" s="3">
        <f>IF(K1433&lt;-5,"CRÍTICO",IF(K1433&lt;0,"ATENÇÃO",IF(K1433&lt;=5,"BOM","EXCELENTE")))</f>
        <v/>
      </c>
      <c r="N1433" t="n">
        <v>100</v>
      </c>
      <c r="O1433" t="n">
        <v>31.87250996015936</v>
      </c>
    </row>
    <row r="1434" hidden="1">
      <c r="A1434" s="11" t="n">
        <v>46044</v>
      </c>
      <c r="B1434" t="inlineStr">
        <is>
          <t>Sarah Steffanie de Lima Borges</t>
        </is>
      </c>
      <c r="C1434" t="inlineStr">
        <is>
          <t>Técnico III</t>
        </is>
      </c>
      <c r="D1434" t="n">
        <v>29</v>
      </c>
      <c r="E1434" t="n">
        <v>27</v>
      </c>
      <c r="F1434" t="n">
        <v>13.32</v>
      </c>
      <c r="G1434" t="n">
        <v>0</v>
      </c>
      <c r="H1434" t="n">
        <v>0</v>
      </c>
      <c r="I1434" s="3">
        <f>E1434+G1434+H1434</f>
        <v/>
      </c>
      <c r="J1434" s="3">
        <f>ROUND(MIN(IF(C1434="Técnico III",35,IF(C1434="Técnico II",28,IF(C1434="Técnico I",23,IF(C1434="JR",20,IF(C1434="Estágio",10,0))))),IF(C1434="Técnico III",SUMIFS($D:$D,$A:$A,$A1434,$B:$B,"&lt;&gt;Patrícia Karla de Sousa Araújo",$B:$B,"&lt;&gt;Lorena Dias de Araujo",$B:$B,"&lt;&gt;Lucas Luiz Romero")*(35/1083),IF(C1434="Técnico II",SUMIFS($D:$D,$A:$A,$A1434,$B:$B,"&lt;&gt;Patrícia Karla de Sousa Araújo",$B:$B,"&lt;&gt;Lorena Dias de Araujo",$B:$B,"&lt;&gt;Lucas Luiz Romero")*(28/1083),IF(C1434="Técnico I",SUMIFS($D:$D,$A:$A,$A1434,$B:$B,"&lt;&gt;Patrícia Karla de Sousa Araújo",$B:$B,"&lt;&gt;Lorena Dias de Araujo",$B:$B,"&lt;&gt;Lucas Luiz Romero")*(23/1083),IF(C1434="JR",SUMIFS($D:$D,$A:$A,$A1434,$B:$B,"&lt;&gt;Patrícia Karla de Sousa Araújo",$B:$B,"&lt;&gt;Lorena Dias de Araujo",$B:$B,"&lt;&gt;Lucas Luiz Romero")*(20/1083),IF(C1434="Estágio",SUMIFS($D:$D,$A:$A,$A1434,$B:$B,"&lt;&gt;Patrícia Karla de Sousa Araújo",$B:$B,"&lt;&gt;Lorena Dias de Araujo",$B:$B,"&lt;&gt;Lucas Luiz Romero")*(10/1083),0)))))),0)</f>
        <v/>
      </c>
      <c r="K1434" s="3">
        <f>I1434-J1434</f>
        <v/>
      </c>
      <c r="L1434" s="3">
        <f>IF(K1434&lt;-5,"CRÍTICO",IF(K1434&lt;0,"ATENÇÃO",IF(K1434&lt;=5,"BOM","EXCELENTE")))</f>
        <v/>
      </c>
      <c r="N1434" t="n">
        <v>98.41</v>
      </c>
      <c r="O1434" t="n">
        <v>29.22465208747515</v>
      </c>
    </row>
    <row r="1435" hidden="1">
      <c r="A1435" s="11" t="n">
        <v>46045</v>
      </c>
      <c r="B1435" t="inlineStr">
        <is>
          <t>Alisson de Freitas Silva</t>
        </is>
      </c>
      <c r="C1435" t="inlineStr">
        <is>
          <t>Técnico II</t>
        </is>
      </c>
      <c r="D1435" t="n">
        <v>25</v>
      </c>
      <c r="E1435" t="n">
        <v>22</v>
      </c>
      <c r="F1435" t="n">
        <v>13.3</v>
      </c>
      <c r="G1435" t="n">
        <v>0</v>
      </c>
      <c r="H1435" t="n">
        <v>0</v>
      </c>
      <c r="I1435" s="3">
        <f>E1435+G1435+H1435</f>
        <v/>
      </c>
      <c r="J1435" s="3">
        <f>ROUND(MIN(IF(C1435="Técnico III",35,IF(C1435="Técnico II",28,IF(C1435="Técnico I",23,IF(C1435="JR",20,IF(C1435="Estágio",10,0))))),IF(C1435="Técnico III",SUMIFS($D:$D,$A:$A,$A1435,$B:$B,"&lt;&gt;Patrícia Karla de Sousa Araújo",$B:$B,"&lt;&gt;Lorena Dias de Araujo",$B:$B,"&lt;&gt;Lucas Luiz Romero")*(35/1083),IF(C1435="Técnico II",SUMIFS($D:$D,$A:$A,$A1435,$B:$B,"&lt;&gt;Patrícia Karla de Sousa Araújo",$B:$B,"&lt;&gt;Lorena Dias de Araujo",$B:$B,"&lt;&gt;Lucas Luiz Romero")*(28/1083),IF(C1435="Técnico I",SUMIFS($D:$D,$A:$A,$A1435,$B:$B,"&lt;&gt;Patrícia Karla de Sousa Araújo",$B:$B,"&lt;&gt;Lorena Dias de Araujo",$B:$B,"&lt;&gt;Lucas Luiz Romero")*(23/1083),IF(C1435="JR",SUMIFS($D:$D,$A:$A,$A1435,$B:$B,"&lt;&gt;Patrícia Karla de Sousa Araújo",$B:$B,"&lt;&gt;Lorena Dias de Araujo",$B:$B,"&lt;&gt;Lucas Luiz Romero")*(20/1083),IF(C1435="Estágio",SUMIFS($D:$D,$A:$A,$A1435,$B:$B,"&lt;&gt;Patrícia Karla de Sousa Araújo",$B:$B,"&lt;&gt;Lorena Dias de Araujo",$B:$B,"&lt;&gt;Lucas Luiz Romero")*(10/1083),0)))))),0)</f>
        <v/>
      </c>
      <c r="K1435" s="3">
        <f>I1435-J1435</f>
        <v/>
      </c>
      <c r="L1435" s="3">
        <f>IF(K1435&lt;-5,"CRÍTICO",IF(K1435&lt;0,"ATENÇÃO",IF(K1435&lt;=5,"BOM","EXCELENTE")))</f>
        <v/>
      </c>
      <c r="N1435" t="n">
        <v>96.81</v>
      </c>
      <c r="O1435" t="n">
        <v>27.98053527980535</v>
      </c>
    </row>
    <row r="1436" hidden="1">
      <c r="A1436" s="11" t="n">
        <v>46045</v>
      </c>
      <c r="B1436" t="inlineStr">
        <is>
          <t>Amanda Moura Ferreira</t>
        </is>
      </c>
      <c r="C1436" t="inlineStr">
        <is>
          <t>Técnico III</t>
        </is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s="3" t="n">
        <v>0</v>
      </c>
      <c r="J1436" s="3" t="n">
        <v>0</v>
      </c>
      <c r="K1436" s="3" t="n">
        <v>0</v>
      </c>
      <c r="L1436" s="3">
        <f>IF(K1436&lt;-5,"CRÍTICO",IF(K1436&lt;0,"ATENÇÃO",IF(K1436&lt;=5,"BOM","EXCELENTE")))</f>
        <v/>
      </c>
      <c r="N1436" t="n">
        <v>98.73</v>
      </c>
      <c r="O1436" t="n">
        <v>35.75638506876228</v>
      </c>
    </row>
    <row r="1437" hidden="1">
      <c r="A1437" s="11" t="n">
        <v>46045</v>
      </c>
      <c r="B1437" t="inlineStr">
        <is>
          <t>Ana Karollyne Souza Faria</t>
        </is>
      </c>
      <c r="C1437" t="inlineStr">
        <is>
          <t>Técnico I</t>
        </is>
      </c>
      <c r="D1437" t="n">
        <v>30</v>
      </c>
      <c r="E1437" t="n">
        <v>29</v>
      </c>
      <c r="F1437" t="n">
        <v>19.04</v>
      </c>
      <c r="G1437" t="n">
        <v>0</v>
      </c>
      <c r="H1437" t="n">
        <v>0</v>
      </c>
      <c r="I1437" s="3">
        <f>E1437+G1437+H1437</f>
        <v/>
      </c>
      <c r="J1437" s="3">
        <f>ROUND(MIN(IF(C1437="Técnico III",35,IF(C1437="Técnico II",28,IF(C1437="Técnico I",23,IF(C1437="JR",20,IF(C1437="Estágio",10,0))))),IF(C1437="Técnico III",SUMIFS($D:$D,$A:$A,$A1437,$B:$B,"&lt;&gt;Patrícia Karla de Sousa Araújo",$B:$B,"&lt;&gt;Lorena Dias de Araujo",$B:$B,"&lt;&gt;Lucas Luiz Romero")*(35/1083),IF(C1437="Técnico II",SUMIFS($D:$D,$A:$A,$A1437,$B:$B,"&lt;&gt;Patrícia Karla de Sousa Araújo",$B:$B,"&lt;&gt;Lorena Dias de Araujo",$B:$B,"&lt;&gt;Lucas Luiz Romero")*(28/1083),IF(C1437="Técnico I",SUMIFS($D:$D,$A:$A,$A1437,$B:$B,"&lt;&gt;Patrícia Karla de Sousa Araújo",$B:$B,"&lt;&gt;Lorena Dias de Araujo",$B:$B,"&lt;&gt;Lucas Luiz Romero")*(23/1083),IF(C1437="JR",SUMIFS($D:$D,$A:$A,$A1437,$B:$B,"&lt;&gt;Patrícia Karla de Sousa Araújo",$B:$B,"&lt;&gt;Lorena Dias de Araujo",$B:$B,"&lt;&gt;Lucas Luiz Romero")*(20/1083),IF(C1437="Estágio",SUMIFS($D:$D,$A:$A,$A1437,$B:$B,"&lt;&gt;Patrícia Karla de Sousa Araújo",$B:$B,"&lt;&gt;Lorena Dias de Araujo",$B:$B,"&lt;&gt;Lucas Luiz Romero")*(10/1083),0)))))),0)</f>
        <v/>
      </c>
      <c r="K1437" s="3">
        <f>I1437-J1437</f>
        <v/>
      </c>
      <c r="L1437" s="3">
        <f>IF(K1437&lt;-5,"CRÍTICO",IF(K1437&lt;0,"ATENÇÃO",IF(K1437&lt;=5,"BOM","EXCELENTE")))</f>
        <v/>
      </c>
      <c r="N1437" t="n">
        <v>98.31999999999999</v>
      </c>
      <c r="O1437" t="n">
        <v>26.76348547717842</v>
      </c>
    </row>
    <row r="1438" hidden="1">
      <c r="A1438" s="11" t="n">
        <v>46045</v>
      </c>
      <c r="B1438" t="inlineStr">
        <is>
          <t>Ana Paula Da Luz Silva Aleixo</t>
        </is>
      </c>
      <c r="C1438" t="inlineStr">
        <is>
          <t>Técnico III</t>
        </is>
      </c>
      <c r="D1438" t="n">
        <v>24</v>
      </c>
      <c r="E1438" t="n">
        <v>22</v>
      </c>
      <c r="F1438" t="n">
        <v>20.23</v>
      </c>
      <c r="G1438" t="n">
        <v>0</v>
      </c>
      <c r="H1438" t="n">
        <v>0</v>
      </c>
      <c r="I1438" s="3">
        <f>E1438+G1438+H1438</f>
        <v/>
      </c>
      <c r="J1438" s="3">
        <f>ROUND(MIN(IF(C1438="Técnico III",35,IF(C1438="Técnico II",28,IF(C1438="Técnico I",23,IF(C1438="JR",20,IF(C1438="Estágio",10,0))))),IF(C1438="Técnico III",SUMIFS($D:$D,$A:$A,$A1438,$B:$B,"&lt;&gt;Patrícia Karla de Sousa Araújo",$B:$B,"&lt;&gt;Lorena Dias de Araujo",$B:$B,"&lt;&gt;Lucas Luiz Romero")*(35/1083),IF(C1438="Técnico II",SUMIFS($D:$D,$A:$A,$A1438,$B:$B,"&lt;&gt;Patrícia Karla de Sousa Araújo",$B:$B,"&lt;&gt;Lorena Dias de Araujo",$B:$B,"&lt;&gt;Lucas Luiz Romero")*(28/1083),IF(C1438="Técnico I",SUMIFS($D:$D,$A:$A,$A1438,$B:$B,"&lt;&gt;Patrícia Karla de Sousa Araújo",$B:$B,"&lt;&gt;Lorena Dias de Araujo",$B:$B,"&lt;&gt;Lucas Luiz Romero")*(23/1083),IF(C1438="JR",SUMIFS($D:$D,$A:$A,$A1438,$B:$B,"&lt;&gt;Patrícia Karla de Sousa Araújo",$B:$B,"&lt;&gt;Lorena Dias de Araujo",$B:$B,"&lt;&gt;Lucas Luiz Romero")*(20/1083),IF(C1438="Estágio",SUMIFS($D:$D,$A:$A,$A1438,$B:$B,"&lt;&gt;Patrícia Karla de Sousa Araújo",$B:$B,"&lt;&gt;Lorena Dias de Araujo",$B:$B,"&lt;&gt;Lucas Luiz Romero")*(10/1083),0)))))),0)</f>
        <v/>
      </c>
      <c r="K1438" s="3">
        <f>I1438-J1438</f>
        <v/>
      </c>
      <c r="L1438" s="3">
        <f>IF(K1438&lt;-5,"CRÍTICO",IF(K1438&lt;0,"ATENÇÃO",IF(K1438&lt;=5,"BOM","EXCELENTE")))</f>
        <v/>
      </c>
      <c r="N1438" t="n">
        <v>99.19</v>
      </c>
      <c r="O1438" t="n">
        <v>27.63713080168776</v>
      </c>
    </row>
    <row r="1439" hidden="1">
      <c r="A1439" s="11" t="n">
        <v>46045</v>
      </c>
      <c r="B1439" t="inlineStr">
        <is>
          <t>Anna Luiza Rezende Tavares</t>
        </is>
      </c>
      <c r="C1439" t="inlineStr">
        <is>
          <t>Estágio</t>
        </is>
      </c>
      <c r="D1439" t="n">
        <v>8</v>
      </c>
      <c r="E1439" t="n">
        <v>8</v>
      </c>
      <c r="F1439" t="n">
        <v>33.45</v>
      </c>
      <c r="G1439" t="n">
        <v>0</v>
      </c>
      <c r="H1439" t="n">
        <v>0</v>
      </c>
      <c r="I1439" s="3">
        <f>E1439+G1439+H1439</f>
        <v/>
      </c>
      <c r="J1439" s="3">
        <f>ROUND(MIN(IF(C1439="Técnico III",35,IF(C1439="Técnico II",28,IF(C1439="Técnico I",23,IF(C1439="JR",20,IF(C1439="Estágio",10,0))))),IF(C1439="Técnico III",SUMIFS($D:$D,$A:$A,$A1439,$B:$B,"&lt;&gt;Patrícia Karla de Sousa Araújo",$B:$B,"&lt;&gt;Lorena Dias de Araujo",$B:$B,"&lt;&gt;Lucas Luiz Romero")*(35/1083),IF(C1439="Técnico II",SUMIFS($D:$D,$A:$A,$A1439,$B:$B,"&lt;&gt;Patrícia Karla de Sousa Araújo",$B:$B,"&lt;&gt;Lorena Dias de Araujo",$B:$B,"&lt;&gt;Lucas Luiz Romero")*(28/1083),IF(C1439="Técnico I",SUMIFS($D:$D,$A:$A,$A1439,$B:$B,"&lt;&gt;Patrícia Karla de Sousa Araújo",$B:$B,"&lt;&gt;Lorena Dias de Araujo",$B:$B,"&lt;&gt;Lucas Luiz Romero")*(23/1083),IF(C1439="JR",SUMIFS($D:$D,$A:$A,$A1439,$B:$B,"&lt;&gt;Patrícia Karla de Sousa Araújo",$B:$B,"&lt;&gt;Lorena Dias de Araujo",$B:$B,"&lt;&gt;Lucas Luiz Romero")*(20/1083),IF(C1439="Estágio",SUMIFS($D:$D,$A:$A,$A1439,$B:$B,"&lt;&gt;Patrícia Karla de Sousa Araújo",$B:$B,"&lt;&gt;Lorena Dias de Araujo",$B:$B,"&lt;&gt;Lucas Luiz Romero")*(10/1083),0)))))),0)</f>
        <v/>
      </c>
      <c r="K1439" s="3">
        <f>I1439-J1439</f>
        <v/>
      </c>
      <c r="L1439" s="3">
        <f>IF(K1439&lt;-5,"CRÍTICO",IF(K1439&lt;0,"ATENÇÃO",IF(K1439&lt;=5,"BOM","EXCELENTE")))</f>
        <v/>
      </c>
      <c r="N1439" t="n">
        <v>100</v>
      </c>
      <c r="O1439" t="n">
        <v>39.56834532374101</v>
      </c>
    </row>
    <row r="1440" hidden="1">
      <c r="A1440" s="11" t="n">
        <v>46045</v>
      </c>
      <c r="B1440" t="inlineStr">
        <is>
          <t>Brenda de Menezes Silva</t>
        </is>
      </c>
      <c r="C1440" t="inlineStr">
        <is>
          <t>Técnico II</t>
        </is>
      </c>
      <c r="D1440" t="n">
        <v>24</v>
      </c>
      <c r="E1440" t="n">
        <v>21</v>
      </c>
      <c r="F1440" t="n">
        <v>18.23</v>
      </c>
      <c r="G1440" t="n">
        <v>0</v>
      </c>
      <c r="H1440" t="n">
        <v>0</v>
      </c>
      <c r="I1440" s="3">
        <f>E1440+G1440+H1440</f>
        <v/>
      </c>
      <c r="J1440" s="3">
        <f>ROUND(MIN(IF(C1440="Técnico III",35,IF(C1440="Técnico II",28,IF(C1440="Técnico I",23,IF(C1440="JR",20,IF(C1440="Estágio",10,0))))),IF(C1440="Técnico III",SUMIFS($D:$D,$A:$A,$A1440,$B:$B,"&lt;&gt;Patrícia Karla de Sousa Araújo",$B:$B,"&lt;&gt;Lorena Dias de Araujo",$B:$B,"&lt;&gt;Lucas Luiz Romero")*(35/1083),IF(C1440="Técnico II",SUMIFS($D:$D,$A:$A,$A1440,$B:$B,"&lt;&gt;Patrícia Karla de Sousa Araújo",$B:$B,"&lt;&gt;Lorena Dias de Araujo",$B:$B,"&lt;&gt;Lucas Luiz Romero")*(28/1083),IF(C1440="Técnico I",SUMIFS($D:$D,$A:$A,$A1440,$B:$B,"&lt;&gt;Patrícia Karla de Sousa Araújo",$B:$B,"&lt;&gt;Lorena Dias de Araujo",$B:$B,"&lt;&gt;Lucas Luiz Romero")*(23/1083),IF(C1440="JR",SUMIFS($D:$D,$A:$A,$A1440,$B:$B,"&lt;&gt;Patrícia Karla de Sousa Araújo",$B:$B,"&lt;&gt;Lorena Dias de Araujo",$B:$B,"&lt;&gt;Lucas Luiz Romero")*(20/1083),IF(C1440="Estágio",SUMIFS($D:$D,$A:$A,$A1440,$B:$B,"&lt;&gt;Patrícia Karla de Sousa Araújo",$B:$B,"&lt;&gt;Lorena Dias de Araujo",$B:$B,"&lt;&gt;Lucas Luiz Romero")*(10/1083),0)))))),0)</f>
        <v/>
      </c>
      <c r="K1440" s="3">
        <f>I1440-J1440</f>
        <v/>
      </c>
      <c r="L1440" s="3">
        <f>IF(K1440&lt;-5,"CRÍTICO",IF(K1440&lt;0,"ATENÇÃO",IF(K1440&lt;=5,"BOM","EXCELENTE")))</f>
        <v/>
      </c>
      <c r="N1440" t="n">
        <v>98.54000000000001</v>
      </c>
      <c r="O1440" t="n">
        <v>28.54477611940299</v>
      </c>
    </row>
    <row r="1441" hidden="1">
      <c r="A1441" s="11" t="n">
        <v>46045</v>
      </c>
      <c r="B1441" t="inlineStr">
        <is>
          <t>Carlos Mateus Cassimiro Nunes</t>
        </is>
      </c>
      <c r="C1441" t="inlineStr">
        <is>
          <t>Técnico II</t>
        </is>
      </c>
      <c r="D1441" t="n">
        <v>24</v>
      </c>
      <c r="E1441" t="n">
        <v>23</v>
      </c>
      <c r="F1441" t="n">
        <v>20.34</v>
      </c>
      <c r="G1441" t="n">
        <v>0</v>
      </c>
      <c r="H1441" t="n">
        <v>0</v>
      </c>
      <c r="I1441" s="3">
        <f>E1441+G1441+H1441</f>
        <v/>
      </c>
      <c r="J1441" s="3">
        <f>ROUND(MIN(IF(C1441="Técnico III",35,IF(C1441="Técnico II",28,IF(C1441="Técnico I",23,IF(C1441="JR",20,IF(C1441="Estágio",10,0))))),IF(C1441="Técnico III",SUMIFS($D:$D,$A:$A,$A1441,$B:$B,"&lt;&gt;Patrícia Karla de Sousa Araújo",$B:$B,"&lt;&gt;Lorena Dias de Araujo",$B:$B,"&lt;&gt;Lucas Luiz Romero")*(35/1083),IF(C1441="Técnico II",SUMIFS($D:$D,$A:$A,$A1441,$B:$B,"&lt;&gt;Patrícia Karla de Sousa Araújo",$B:$B,"&lt;&gt;Lorena Dias de Araujo",$B:$B,"&lt;&gt;Lucas Luiz Romero")*(28/1083),IF(C1441="Técnico I",SUMIFS($D:$D,$A:$A,$A1441,$B:$B,"&lt;&gt;Patrícia Karla de Sousa Araújo",$B:$B,"&lt;&gt;Lorena Dias de Araujo",$B:$B,"&lt;&gt;Lucas Luiz Romero")*(23/1083),IF(C1441="JR",SUMIFS($D:$D,$A:$A,$A1441,$B:$B,"&lt;&gt;Patrícia Karla de Sousa Araújo",$B:$B,"&lt;&gt;Lorena Dias de Araujo",$B:$B,"&lt;&gt;Lucas Luiz Romero")*(20/1083),IF(C1441="Estágio",SUMIFS($D:$D,$A:$A,$A1441,$B:$B,"&lt;&gt;Patrícia Karla de Sousa Araújo",$B:$B,"&lt;&gt;Lorena Dias de Araujo",$B:$B,"&lt;&gt;Lucas Luiz Romero")*(10/1083),0)))))),0)</f>
        <v/>
      </c>
      <c r="K1441" s="3">
        <f>I1441-J1441</f>
        <v/>
      </c>
      <c r="L1441" s="3">
        <f>IF(K1441&lt;-5,"CRÍTICO",IF(K1441&lt;0,"ATENÇÃO",IF(K1441&lt;=5,"BOM","EXCELENTE")))</f>
        <v/>
      </c>
      <c r="N1441" t="n">
        <v>100</v>
      </c>
      <c r="O1441" t="n">
        <v>34.36692506459949</v>
      </c>
    </row>
    <row r="1442" hidden="1">
      <c r="A1442" s="11" t="n">
        <v>46045</v>
      </c>
      <c r="B1442" t="inlineStr">
        <is>
          <t>Claudio de Sousa Velasco Filho</t>
        </is>
      </c>
      <c r="C1442" t="inlineStr">
        <is>
          <t>Estágio</t>
        </is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s="3" t="n">
        <v>0</v>
      </c>
      <c r="J1442" s="3" t="n">
        <v>0</v>
      </c>
      <c r="K1442" s="3" t="n">
        <v>0</v>
      </c>
      <c r="L1442" s="3">
        <f>IF(K1442&lt;-5,"CRÍTICO",IF(K1442&lt;0,"ATENÇÃO",IF(K1442&lt;=5,"BOM","EXCELENTE")))</f>
        <v/>
      </c>
      <c r="N1442" t="n">
        <v>0</v>
      </c>
      <c r="O1442" t="n">
        <v>0</v>
      </c>
    </row>
    <row r="1443" hidden="1">
      <c r="A1443" s="11" t="n">
        <v>46045</v>
      </c>
      <c r="B1443" t="inlineStr">
        <is>
          <t>Clessiane Pereira dos Santos</t>
        </is>
      </c>
      <c r="C1443" t="inlineStr">
        <is>
          <t>Técnico I</t>
        </is>
      </c>
      <c r="D1443" t="n">
        <v>16</v>
      </c>
      <c r="E1443" t="n">
        <v>15</v>
      </c>
      <c r="F1443" t="n">
        <v>19</v>
      </c>
      <c r="G1443" t="n">
        <v>0</v>
      </c>
      <c r="H1443" t="n">
        <v>0</v>
      </c>
      <c r="I1443" s="3">
        <f>E1443+G1443+H1443</f>
        <v/>
      </c>
      <c r="J1443" s="3">
        <f>ROUND(MIN(IF(C1443="Técnico III",35,IF(C1443="Técnico II",28,IF(C1443="Técnico I",23,IF(C1443="JR",20,IF(C1443="Estágio",10,0))))),IF(C1443="Técnico III",SUMIFS($D:$D,$A:$A,$A1443,$B:$B,"&lt;&gt;Patrícia Karla de Sousa Araújo",$B:$B,"&lt;&gt;Lorena Dias de Araujo",$B:$B,"&lt;&gt;Lucas Luiz Romero")*(35/1083),IF(C1443="Técnico II",SUMIFS($D:$D,$A:$A,$A1443,$B:$B,"&lt;&gt;Patrícia Karla de Sousa Araújo",$B:$B,"&lt;&gt;Lorena Dias de Araujo",$B:$B,"&lt;&gt;Lucas Luiz Romero")*(28/1083),IF(C1443="Técnico I",SUMIFS($D:$D,$A:$A,$A1443,$B:$B,"&lt;&gt;Patrícia Karla de Sousa Araújo",$B:$B,"&lt;&gt;Lorena Dias de Araujo",$B:$B,"&lt;&gt;Lucas Luiz Romero")*(23/1083),IF(C1443="JR",SUMIFS($D:$D,$A:$A,$A1443,$B:$B,"&lt;&gt;Patrícia Karla de Sousa Araújo",$B:$B,"&lt;&gt;Lorena Dias de Araujo",$B:$B,"&lt;&gt;Lucas Luiz Romero")*(20/1083),IF(C1443="Estágio",SUMIFS($D:$D,$A:$A,$A1443,$B:$B,"&lt;&gt;Patrícia Karla de Sousa Araújo",$B:$B,"&lt;&gt;Lorena Dias de Araujo",$B:$B,"&lt;&gt;Lucas Luiz Romero")*(10/1083),0)))))),0)</f>
        <v/>
      </c>
      <c r="K1443" s="3">
        <f>I1443-J1443</f>
        <v/>
      </c>
      <c r="L1443" s="3">
        <f>IF(K1443&lt;-5,"CRÍTICO",IF(K1443&lt;0,"ATENÇÃO",IF(K1443&lt;=5,"BOM","EXCELENTE")))</f>
        <v/>
      </c>
      <c r="N1443" t="n">
        <v>100</v>
      </c>
      <c r="O1443" t="n">
        <v>29.51807228915663</v>
      </c>
    </row>
    <row r="1444" hidden="1">
      <c r="A1444" s="11" t="n">
        <v>46045</v>
      </c>
      <c r="B1444" t="inlineStr">
        <is>
          <t>Cristiane Ramos da Silva Rocha</t>
        </is>
      </c>
      <c r="C1444" t="inlineStr">
        <is>
          <t>Técnico III</t>
        </is>
      </c>
      <c r="D1444" t="n">
        <v>28</v>
      </c>
      <c r="E1444" t="n">
        <v>27</v>
      </c>
      <c r="F1444" t="n">
        <v>15.1</v>
      </c>
      <c r="G1444" t="n">
        <v>0</v>
      </c>
      <c r="H1444" t="n">
        <v>0</v>
      </c>
      <c r="I1444" s="3">
        <f>E1444+G1444+H1444</f>
        <v/>
      </c>
      <c r="J1444" s="3">
        <f>ROUND(MIN(IF(C1444="Técnico III",35,IF(C1444="Técnico II",28,IF(C1444="Técnico I",23,IF(C1444="JR",20,IF(C1444="Estágio",10,0))))),IF(C1444="Técnico III",SUMIFS($D:$D,$A:$A,$A1444,$B:$B,"&lt;&gt;Patrícia Karla de Sousa Araújo",$B:$B,"&lt;&gt;Lorena Dias de Araujo",$B:$B,"&lt;&gt;Lucas Luiz Romero")*(35/1083),IF(C1444="Técnico II",SUMIFS($D:$D,$A:$A,$A1444,$B:$B,"&lt;&gt;Patrícia Karla de Sousa Araújo",$B:$B,"&lt;&gt;Lorena Dias de Araujo",$B:$B,"&lt;&gt;Lucas Luiz Romero")*(28/1083),IF(C1444="Técnico I",SUMIFS($D:$D,$A:$A,$A1444,$B:$B,"&lt;&gt;Patrícia Karla de Sousa Araújo",$B:$B,"&lt;&gt;Lorena Dias de Araujo",$B:$B,"&lt;&gt;Lucas Luiz Romero")*(23/1083),IF(C1444="JR",SUMIFS($D:$D,$A:$A,$A1444,$B:$B,"&lt;&gt;Patrícia Karla de Sousa Araújo",$B:$B,"&lt;&gt;Lorena Dias de Araujo",$B:$B,"&lt;&gt;Lucas Luiz Romero")*(20/1083),IF(C1444="Estágio",SUMIFS($D:$D,$A:$A,$A1444,$B:$B,"&lt;&gt;Patrícia Karla de Sousa Araújo",$B:$B,"&lt;&gt;Lorena Dias de Araujo",$B:$B,"&lt;&gt;Lucas Luiz Romero")*(10/1083),0)))))),0)</f>
        <v/>
      </c>
      <c r="K1444" s="3">
        <f>I1444-J1444</f>
        <v/>
      </c>
      <c r="L1444" s="3">
        <f>IF(K1444&lt;-5,"CRÍTICO",IF(K1444&lt;0,"ATENÇÃO",IF(K1444&lt;=5,"BOM","EXCELENTE")))</f>
        <v/>
      </c>
      <c r="N1444" t="n">
        <v>97.45</v>
      </c>
      <c r="O1444" t="n">
        <v>41.421143847487</v>
      </c>
    </row>
    <row r="1445" hidden="1">
      <c r="A1445" s="11" t="n">
        <v>46045</v>
      </c>
      <c r="B1445" t="inlineStr">
        <is>
          <t>Damyllis Lorraine de Oliveira Gonçalves</t>
        </is>
      </c>
      <c r="C1445" t="inlineStr">
        <is>
          <t>Técnico II</t>
        </is>
      </c>
      <c r="D1445" t="n">
        <v>31</v>
      </c>
      <c r="E1445" t="n">
        <v>20</v>
      </c>
      <c r="F1445" t="n">
        <v>11.42</v>
      </c>
      <c r="G1445" t="n">
        <v>0</v>
      </c>
      <c r="H1445" t="n">
        <v>0</v>
      </c>
      <c r="I1445" s="3" t="n">
        <v>0</v>
      </c>
      <c r="J1445" s="3" t="n">
        <v>0</v>
      </c>
      <c r="K1445" s="3" t="n">
        <v>0</v>
      </c>
      <c r="L1445" s="3">
        <f>IF(K1445&lt;-5,"CRÍTICO",IF(K1445&lt;0,"ATENÇÃO",IF(K1445&lt;=5,"BOM","EXCELENTE")))</f>
        <v/>
      </c>
      <c r="N1445" t="n">
        <v>96.58</v>
      </c>
      <c r="O1445" t="n">
        <v>30.39647577092511</v>
      </c>
    </row>
    <row r="1446" hidden="1">
      <c r="A1446" s="11" t="n">
        <v>46045</v>
      </c>
      <c r="B1446" t="inlineStr">
        <is>
          <t>Daniel Gomes da Silva</t>
        </is>
      </c>
      <c r="C1446" t="inlineStr">
        <is>
          <t>Técnico I</t>
        </is>
      </c>
      <c r="D1446" t="n">
        <v>29</v>
      </c>
      <c r="E1446" t="n">
        <v>27</v>
      </c>
      <c r="F1446" t="n">
        <v>14.13</v>
      </c>
      <c r="G1446" t="n">
        <v>0</v>
      </c>
      <c r="H1446" t="n">
        <v>0</v>
      </c>
      <c r="I1446" s="3">
        <f>E1446+G1446+H1446</f>
        <v/>
      </c>
      <c r="J1446" s="3">
        <f>ROUND(MIN(IF(C1446="Técnico III",35,IF(C1446="Técnico II",28,IF(C1446="Técnico I",23,IF(C1446="JR",20,IF(C1446="Estágio",10,0))))),IF(C1446="Técnico III",SUMIFS($D:$D,$A:$A,$A1446,$B:$B,"&lt;&gt;Patrícia Karla de Sousa Araújo",$B:$B,"&lt;&gt;Lorena Dias de Araujo",$B:$B,"&lt;&gt;Lucas Luiz Romero")*(35/1083),IF(C1446="Técnico II",SUMIFS($D:$D,$A:$A,$A1446,$B:$B,"&lt;&gt;Patrícia Karla de Sousa Araújo",$B:$B,"&lt;&gt;Lorena Dias de Araujo",$B:$B,"&lt;&gt;Lucas Luiz Romero")*(28/1083),IF(C1446="Técnico I",SUMIFS($D:$D,$A:$A,$A1446,$B:$B,"&lt;&gt;Patrícia Karla de Sousa Araújo",$B:$B,"&lt;&gt;Lorena Dias de Araujo",$B:$B,"&lt;&gt;Lucas Luiz Romero")*(23/1083),IF(C1446="JR",SUMIFS($D:$D,$A:$A,$A1446,$B:$B,"&lt;&gt;Patrícia Karla de Sousa Araújo",$B:$B,"&lt;&gt;Lorena Dias de Araujo",$B:$B,"&lt;&gt;Lucas Luiz Romero")*(20/1083),IF(C1446="Estágio",SUMIFS($D:$D,$A:$A,$A1446,$B:$B,"&lt;&gt;Patrícia Karla de Sousa Araújo",$B:$B,"&lt;&gt;Lorena Dias de Araujo",$B:$B,"&lt;&gt;Lucas Luiz Romero")*(10/1083),0)))))),0)</f>
        <v/>
      </c>
      <c r="K1446" s="3">
        <f>I1446-J1446</f>
        <v/>
      </c>
      <c r="L1446" s="3">
        <f>IF(K1446&lt;-5,"CRÍTICO",IF(K1446&lt;0,"ATENÇÃO",IF(K1446&lt;=5,"BOM","EXCELENTE")))</f>
        <v/>
      </c>
      <c r="N1446" t="n">
        <v>100</v>
      </c>
      <c r="O1446" t="n">
        <v>27.44282744282744</v>
      </c>
    </row>
    <row r="1447" hidden="1">
      <c r="A1447" s="11" t="n">
        <v>46045</v>
      </c>
      <c r="B1447" t="inlineStr">
        <is>
          <t>Davylla Rodrigues Freitas Silva</t>
        </is>
      </c>
      <c r="C1447" t="inlineStr">
        <is>
          <t>Técnico III</t>
        </is>
      </c>
      <c r="D1447" t="n">
        <v>25</v>
      </c>
      <c r="E1447" t="n">
        <v>24</v>
      </c>
      <c r="F1447" t="n">
        <v>23.24</v>
      </c>
      <c r="G1447" t="n">
        <v>0</v>
      </c>
      <c r="H1447" t="n">
        <v>0</v>
      </c>
      <c r="I1447" s="3" t="n">
        <v>0</v>
      </c>
      <c r="J1447" s="3" t="n">
        <v>0</v>
      </c>
      <c r="K1447" s="3" t="n">
        <v>0</v>
      </c>
      <c r="L1447" s="3">
        <f>IF(K1447&lt;-5,"CRÍTICO",IF(K1447&lt;0,"ATENÇÃO",IF(K1447&lt;=5,"BOM","EXCELENTE")))</f>
        <v/>
      </c>
      <c r="N1447" t="n">
        <v>99.48999999999999</v>
      </c>
      <c r="O1447" t="n">
        <v>40.2</v>
      </c>
    </row>
    <row r="1448" hidden="1">
      <c r="A1448" s="11" t="n">
        <v>46045</v>
      </c>
      <c r="B1448" t="inlineStr">
        <is>
          <t>Emilly Caylane Costa</t>
        </is>
      </c>
      <c r="C1448" t="inlineStr">
        <is>
          <t>Estágio</t>
        </is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s="3" t="n">
        <v>0</v>
      </c>
      <c r="J1448" s="3" t="n">
        <v>0</v>
      </c>
      <c r="K1448" s="3" t="n">
        <v>0</v>
      </c>
      <c r="L1448" s="3">
        <f>IF(K1448&lt;-5,"CRÍTICO",IF(K1448&lt;0,"ATENÇÃO",IF(K1448&lt;=5,"BOM","EXCELENTE")))</f>
        <v/>
      </c>
      <c r="N1448" t="n">
        <v>100</v>
      </c>
      <c r="O1448" t="n">
        <v>25</v>
      </c>
    </row>
    <row r="1449" hidden="1">
      <c r="A1449" s="11" t="n">
        <v>46045</v>
      </c>
      <c r="B1449" t="inlineStr">
        <is>
          <t>Emilly Kamilly Medeiros Miranda</t>
        </is>
      </c>
      <c r="C1449" t="inlineStr">
        <is>
          <t>Técnico II</t>
        </is>
      </c>
      <c r="D1449" t="n">
        <v>21</v>
      </c>
      <c r="E1449" t="n">
        <v>20</v>
      </c>
      <c r="F1449" t="n">
        <v>23.41</v>
      </c>
      <c r="G1449" t="n">
        <v>0</v>
      </c>
      <c r="H1449" t="n">
        <v>0</v>
      </c>
      <c r="I1449" s="3">
        <f>E1449+G1449+H1449</f>
        <v/>
      </c>
      <c r="J1449" s="3">
        <f>ROUND(MIN(IF(C1449="Técnico III",35,IF(C1449="Técnico II",28,IF(C1449="Técnico I",23,IF(C1449="JR",20,IF(C1449="Estágio",10,0))))),IF(C1449="Técnico III",SUMIFS($D:$D,$A:$A,$A1449,$B:$B,"&lt;&gt;Patrícia Karla de Sousa Araújo",$B:$B,"&lt;&gt;Lorena Dias de Araujo",$B:$B,"&lt;&gt;Lucas Luiz Romero")*(35/1083),IF(C1449="Técnico II",SUMIFS($D:$D,$A:$A,$A1449,$B:$B,"&lt;&gt;Patrícia Karla de Sousa Araújo",$B:$B,"&lt;&gt;Lorena Dias de Araujo",$B:$B,"&lt;&gt;Lucas Luiz Romero")*(28/1083),IF(C1449="Técnico I",SUMIFS($D:$D,$A:$A,$A1449,$B:$B,"&lt;&gt;Patrícia Karla de Sousa Araújo",$B:$B,"&lt;&gt;Lorena Dias de Araujo",$B:$B,"&lt;&gt;Lucas Luiz Romero")*(23/1083),IF(C1449="JR",SUMIFS($D:$D,$A:$A,$A1449,$B:$B,"&lt;&gt;Patrícia Karla de Sousa Araújo",$B:$B,"&lt;&gt;Lorena Dias de Araujo",$B:$B,"&lt;&gt;Lucas Luiz Romero")*(20/1083),IF(C1449="Estágio",SUMIFS($D:$D,$A:$A,$A1449,$B:$B,"&lt;&gt;Patrícia Karla de Sousa Araújo",$B:$B,"&lt;&gt;Lorena Dias de Araujo",$B:$B,"&lt;&gt;Lucas Luiz Romero")*(10/1083),0)))))),0)</f>
        <v/>
      </c>
      <c r="K1449" s="3">
        <f>I1449-J1449</f>
        <v/>
      </c>
      <c r="L1449" s="3">
        <f>IF(K1449&lt;-5,"CRÍTICO",IF(K1449&lt;0,"ATENÇÃO",IF(K1449&lt;=5,"BOM","EXCELENTE")))</f>
        <v/>
      </c>
      <c r="N1449" t="n">
        <v>100</v>
      </c>
      <c r="O1449" t="n">
        <v>34.15094339622641</v>
      </c>
    </row>
    <row r="1450" hidden="1">
      <c r="A1450" s="11" t="n">
        <v>46045</v>
      </c>
      <c r="B1450" t="inlineStr">
        <is>
          <t>Francielson de Oliveira</t>
        </is>
      </c>
      <c r="C1450" t="inlineStr">
        <is>
          <t>Técnico III</t>
        </is>
      </c>
      <c r="D1450" t="n">
        <v>15</v>
      </c>
      <c r="E1450" t="n">
        <v>13</v>
      </c>
      <c r="F1450" t="n">
        <v>21.45</v>
      </c>
      <c r="G1450" t="n">
        <v>0</v>
      </c>
      <c r="H1450" t="n">
        <v>0</v>
      </c>
      <c r="I1450" s="3">
        <f>E1450+G1450+H1450</f>
        <v/>
      </c>
      <c r="J1450" s="3">
        <f>ROUND(MIN(IF(C1450="Técnico III",35,IF(C1450="Técnico II",28,IF(C1450="Técnico I",23,IF(C1450="JR",20,IF(C1450="Estágio",10,0))))),IF(C1450="Técnico III",SUMIFS($D:$D,$A:$A,$A1450,$B:$B,"&lt;&gt;Patrícia Karla de Sousa Araújo",$B:$B,"&lt;&gt;Lorena Dias de Araujo",$B:$B,"&lt;&gt;Lucas Luiz Romero")*(35/1083),IF(C1450="Técnico II",SUMIFS($D:$D,$A:$A,$A1450,$B:$B,"&lt;&gt;Patrícia Karla de Sousa Araújo",$B:$B,"&lt;&gt;Lorena Dias de Araujo",$B:$B,"&lt;&gt;Lucas Luiz Romero")*(28/1083),IF(C1450="Técnico I",SUMIFS($D:$D,$A:$A,$A1450,$B:$B,"&lt;&gt;Patrícia Karla de Sousa Araújo",$B:$B,"&lt;&gt;Lorena Dias de Araujo",$B:$B,"&lt;&gt;Lucas Luiz Romero")*(23/1083),IF(C1450="JR",SUMIFS($D:$D,$A:$A,$A1450,$B:$B,"&lt;&gt;Patrícia Karla de Sousa Araújo",$B:$B,"&lt;&gt;Lorena Dias de Araujo",$B:$B,"&lt;&gt;Lucas Luiz Romero")*(20/1083),IF(C1450="Estágio",SUMIFS($D:$D,$A:$A,$A1450,$B:$B,"&lt;&gt;Patrícia Karla de Sousa Araújo",$B:$B,"&lt;&gt;Lorena Dias de Araujo",$B:$B,"&lt;&gt;Lucas Luiz Romero")*(10/1083),0)))))),0)</f>
        <v/>
      </c>
      <c r="K1450" s="3">
        <f>I1450-J1450</f>
        <v/>
      </c>
      <c r="L1450" s="3">
        <f>IF(K1450&lt;-5,"CRÍTICO",IF(K1450&lt;0,"ATENÇÃO",IF(K1450&lt;=5,"BOM","EXCELENTE")))</f>
        <v/>
      </c>
      <c r="N1450" t="n">
        <v>100</v>
      </c>
      <c r="O1450" t="n">
        <v>32.7313769751693</v>
      </c>
    </row>
    <row r="1451" hidden="1">
      <c r="A1451" s="11" t="n">
        <v>46045</v>
      </c>
      <c r="B1451" t="inlineStr">
        <is>
          <t>Francilene Ferreira de Jesus</t>
        </is>
      </c>
      <c r="C1451" t="inlineStr">
        <is>
          <t>Técnico II</t>
        </is>
      </c>
      <c r="D1451" t="n">
        <v>20</v>
      </c>
      <c r="E1451" t="n">
        <v>17</v>
      </c>
      <c r="F1451" t="n">
        <v>23.49</v>
      </c>
      <c r="G1451" t="n">
        <v>0</v>
      </c>
      <c r="H1451" t="n">
        <v>0</v>
      </c>
      <c r="I1451" s="3">
        <f>E1451+G1451+H1451</f>
        <v/>
      </c>
      <c r="J1451" s="3">
        <f>ROUND(MIN(IF(C1451="Técnico III",35,IF(C1451="Técnico II",28,IF(C1451="Técnico I",23,IF(C1451="JR",20,IF(C1451="Estágio",10,0))))),IF(C1451="Técnico III",SUMIFS($D:$D,$A:$A,$A1451,$B:$B,"&lt;&gt;Patrícia Karla de Sousa Araújo",$B:$B,"&lt;&gt;Lorena Dias de Araujo",$B:$B,"&lt;&gt;Lucas Luiz Romero")*(35/1083),IF(C1451="Técnico II",SUMIFS($D:$D,$A:$A,$A1451,$B:$B,"&lt;&gt;Patrícia Karla de Sousa Araújo",$B:$B,"&lt;&gt;Lorena Dias de Araujo",$B:$B,"&lt;&gt;Lucas Luiz Romero")*(28/1083),IF(C1451="Técnico I",SUMIFS($D:$D,$A:$A,$A1451,$B:$B,"&lt;&gt;Patrícia Karla de Sousa Araújo",$B:$B,"&lt;&gt;Lorena Dias de Araujo",$B:$B,"&lt;&gt;Lucas Luiz Romero")*(23/1083),IF(C1451="JR",SUMIFS($D:$D,$A:$A,$A1451,$B:$B,"&lt;&gt;Patrícia Karla de Sousa Araújo",$B:$B,"&lt;&gt;Lorena Dias de Araujo",$B:$B,"&lt;&gt;Lucas Luiz Romero")*(20/1083),IF(C1451="Estágio",SUMIFS($D:$D,$A:$A,$A1451,$B:$B,"&lt;&gt;Patrícia Karla de Sousa Araújo",$B:$B,"&lt;&gt;Lorena Dias de Araujo",$B:$B,"&lt;&gt;Lucas Luiz Romero")*(10/1083),0)))))),0)</f>
        <v/>
      </c>
      <c r="K1451" s="3">
        <f>I1451-J1451</f>
        <v/>
      </c>
      <c r="L1451" s="3">
        <f>IF(K1451&lt;-5,"CRÍTICO",IF(K1451&lt;0,"ATENÇÃO",IF(K1451&lt;=5,"BOM","EXCELENTE")))</f>
        <v/>
      </c>
      <c r="N1451" t="n">
        <v>99.31</v>
      </c>
      <c r="O1451" t="n">
        <v>30.96234309623431</v>
      </c>
    </row>
    <row r="1452" hidden="1">
      <c r="A1452" s="11" t="n">
        <v>46079</v>
      </c>
      <c r="B1452" t="inlineStr">
        <is>
          <t>Gabriel Gomes de Andrade</t>
        </is>
      </c>
      <c r="C1452" t="inlineStr">
        <is>
          <t>Técnico I</t>
        </is>
      </c>
      <c r="D1452" t="n">
        <v>13</v>
      </c>
      <c r="E1452" t="n">
        <v>13</v>
      </c>
      <c r="F1452" t="n">
        <v>28.57</v>
      </c>
      <c r="G1452" t="n">
        <v>0</v>
      </c>
      <c r="H1452" t="n">
        <v>0</v>
      </c>
      <c r="I1452" s="3">
        <f>E1452+G1452+H1452</f>
        <v/>
      </c>
      <c r="J1452" s="3">
        <f>ROUND(MIN(IF(C1452="Técnico III",35,IF(C1452="Técnico II",28,IF(C1452="Técnico I",23,IF(C1452="JR",20,IF(C1452="Estágio",10,0))))),IF(C1452="Técnico III",SUMIFS($D:$D,$A:$A,$A1452,$B:$B,"&lt;&gt;Patrícia Karla de Sousa Araújo",$B:$B,"&lt;&gt;Lorena Dias de Araujo",$B:$B,"&lt;&gt;Lucas Luiz Romero")*(35/1083),IF(C1452="Técnico II",SUMIFS($D:$D,$A:$A,$A1452,$B:$B,"&lt;&gt;Patrícia Karla de Sousa Araújo",$B:$B,"&lt;&gt;Lorena Dias de Araujo",$B:$B,"&lt;&gt;Lucas Luiz Romero")*(28/1083),IF(C1452="Técnico I",SUMIFS($D:$D,$A:$A,$A1452,$B:$B,"&lt;&gt;Patrícia Karla de Sousa Araújo",$B:$B,"&lt;&gt;Lorena Dias de Araujo",$B:$B,"&lt;&gt;Lucas Luiz Romero")*(23/1083),IF(C1452="JR",SUMIFS($D:$D,$A:$A,$A1452,$B:$B,"&lt;&gt;Patrícia Karla de Sousa Araújo",$B:$B,"&lt;&gt;Lorena Dias de Araujo",$B:$B,"&lt;&gt;Lucas Luiz Romero")*(20/1083),IF(C1452="Estágio",SUMIFS($D:$D,$A:$A,$A1452,$B:$B,"&lt;&gt;Patrícia Karla de Sousa Araújo",$B:$B,"&lt;&gt;Lorena Dias de Araujo",$B:$B,"&lt;&gt;Lucas Luiz Romero")*(10/1083),0)))))),0)</f>
        <v/>
      </c>
      <c r="K1452" s="3">
        <f>I1452-J1452</f>
        <v/>
      </c>
      <c r="L1452" s="3">
        <f>IF(K1452&lt;-5,"CRÍTICO",IF(K1452&lt;0,"ATENÇÃO",IF(K1452&lt;=5,"BOM","EXCELENTE")))</f>
        <v/>
      </c>
      <c r="N1452" t="n">
        <v>96.67</v>
      </c>
      <c r="O1452" t="n">
        <v>31.45161290322581</v>
      </c>
    </row>
    <row r="1453" hidden="1">
      <c r="A1453" s="11" t="n">
        <v>46045</v>
      </c>
      <c r="B1453" t="inlineStr">
        <is>
          <t>Isabella Borges de Oliveira</t>
        </is>
      </c>
      <c r="C1453" t="inlineStr">
        <is>
          <t>Técnico II</t>
        </is>
      </c>
      <c r="D1453" t="n">
        <v>24</v>
      </c>
      <c r="E1453" t="n">
        <v>23</v>
      </c>
      <c r="F1453" t="n">
        <v>23.28</v>
      </c>
      <c r="G1453" t="n">
        <v>0</v>
      </c>
      <c r="H1453" t="n">
        <v>0</v>
      </c>
      <c r="I1453" s="3">
        <f>E1453+G1453+H1453</f>
        <v/>
      </c>
      <c r="J1453" s="3">
        <f>ROUND(MIN(IF(C1453="Técnico III",35,IF(C1453="Técnico II",28,IF(C1453="Técnico I",23,IF(C1453="JR",20,IF(C1453="Estágio",10,0))))),IF(C1453="Técnico III",SUMIFS($D:$D,$A:$A,$A1453,$B:$B,"&lt;&gt;Patrícia Karla de Sousa Araújo",$B:$B,"&lt;&gt;Lorena Dias de Araujo",$B:$B,"&lt;&gt;Lucas Luiz Romero")*(35/1083),IF(C1453="Técnico II",SUMIFS($D:$D,$A:$A,$A1453,$B:$B,"&lt;&gt;Patrícia Karla de Sousa Araújo",$B:$B,"&lt;&gt;Lorena Dias de Araujo",$B:$B,"&lt;&gt;Lucas Luiz Romero")*(28/1083),IF(C1453="Técnico I",SUMIFS($D:$D,$A:$A,$A1453,$B:$B,"&lt;&gt;Patrícia Karla de Sousa Araújo",$B:$B,"&lt;&gt;Lorena Dias de Araujo",$B:$B,"&lt;&gt;Lucas Luiz Romero")*(23/1083),IF(C1453="JR",SUMIFS($D:$D,$A:$A,$A1453,$B:$B,"&lt;&gt;Patrícia Karla de Sousa Araújo",$B:$B,"&lt;&gt;Lorena Dias de Araujo",$B:$B,"&lt;&gt;Lucas Luiz Romero")*(20/1083),IF(C1453="Estágio",SUMIFS($D:$D,$A:$A,$A1453,$B:$B,"&lt;&gt;Patrícia Karla de Sousa Araújo",$B:$B,"&lt;&gt;Lorena Dias de Araujo",$B:$B,"&lt;&gt;Lucas Luiz Romero")*(10/1083),0)))))),0)</f>
        <v/>
      </c>
      <c r="K1453" s="3">
        <f>I1453-J1453</f>
        <v/>
      </c>
      <c r="L1453" s="3">
        <f>IF(K1453&lt;-5,"CRÍTICO",IF(K1453&lt;0,"ATENÇÃO",IF(K1453&lt;=5,"BOM","EXCELENTE")))</f>
        <v/>
      </c>
      <c r="N1453" t="n">
        <v>100</v>
      </c>
      <c r="O1453" t="n">
        <v>27.67676767676768</v>
      </c>
    </row>
    <row r="1454" hidden="1">
      <c r="A1454" s="11" t="n">
        <v>46045</v>
      </c>
      <c r="B1454" t="inlineStr">
        <is>
          <t>Janaina Lima dos Reis Urany</t>
        </is>
      </c>
      <c r="C1454" t="inlineStr">
        <is>
          <t>Técnico III</t>
        </is>
      </c>
      <c r="D1454" t="n">
        <v>36</v>
      </c>
      <c r="E1454" t="n">
        <v>34</v>
      </c>
      <c r="F1454" t="n">
        <v>18.5</v>
      </c>
      <c r="G1454" t="n">
        <v>0</v>
      </c>
      <c r="H1454" t="n">
        <v>0</v>
      </c>
      <c r="I1454" s="3">
        <f>E1454+G1454+H1454</f>
        <v/>
      </c>
      <c r="J1454" s="3">
        <f>ROUND(MIN(IF(C1454="Técnico III",35,IF(C1454="Técnico II",28,IF(C1454="Técnico I",23,IF(C1454="JR",20,IF(C1454="Estágio",10,0))))),IF(C1454="Técnico III",SUMIFS($D:$D,$A:$A,$A1454,$B:$B,"&lt;&gt;Patrícia Karla de Sousa Araújo",$B:$B,"&lt;&gt;Lorena Dias de Araujo",$B:$B,"&lt;&gt;Lucas Luiz Romero")*(35/1083),IF(C1454="Técnico II",SUMIFS($D:$D,$A:$A,$A1454,$B:$B,"&lt;&gt;Patrícia Karla de Sousa Araújo",$B:$B,"&lt;&gt;Lorena Dias de Araujo",$B:$B,"&lt;&gt;Lucas Luiz Romero")*(28/1083),IF(C1454="Técnico I",SUMIFS($D:$D,$A:$A,$A1454,$B:$B,"&lt;&gt;Patrícia Karla de Sousa Araújo",$B:$B,"&lt;&gt;Lorena Dias de Araujo",$B:$B,"&lt;&gt;Lucas Luiz Romero")*(23/1083),IF(C1454="JR",SUMIFS($D:$D,$A:$A,$A1454,$B:$B,"&lt;&gt;Patrícia Karla de Sousa Araújo",$B:$B,"&lt;&gt;Lorena Dias de Araujo",$B:$B,"&lt;&gt;Lucas Luiz Romero")*(20/1083),IF(C1454="Estágio",SUMIFS($D:$D,$A:$A,$A1454,$B:$B,"&lt;&gt;Patrícia Karla de Sousa Araújo",$B:$B,"&lt;&gt;Lorena Dias de Araujo",$B:$B,"&lt;&gt;Lucas Luiz Romero")*(10/1083),0)))))),0)</f>
        <v/>
      </c>
      <c r="K1454" s="3">
        <f>I1454-J1454</f>
        <v/>
      </c>
      <c r="L1454" s="3">
        <f>IF(K1454&lt;-5,"CRÍTICO",IF(K1454&lt;0,"ATENÇÃO",IF(K1454&lt;=5,"BOM","EXCELENTE")))</f>
        <v/>
      </c>
      <c r="N1454" t="n">
        <v>100</v>
      </c>
      <c r="O1454" t="n">
        <v>31.17723156532988</v>
      </c>
    </row>
    <row r="1455" hidden="1">
      <c r="A1455" s="11" t="n">
        <v>46045</v>
      </c>
      <c r="B1455" t="inlineStr">
        <is>
          <t>Jaqueline Evangelista da Silva Martins</t>
        </is>
      </c>
      <c r="C1455" t="inlineStr">
        <is>
          <t>Técnico III</t>
        </is>
      </c>
      <c r="D1455" t="n">
        <v>9</v>
      </c>
      <c r="E1455" t="n">
        <v>6</v>
      </c>
      <c r="F1455" t="n">
        <v>10.51</v>
      </c>
      <c r="G1455" t="n">
        <v>0</v>
      </c>
      <c r="H1455" t="n">
        <v>0</v>
      </c>
      <c r="I1455" s="3">
        <f>E1455+G1455+H1455</f>
        <v/>
      </c>
      <c r="J1455" s="3">
        <f>ROUND(MIN(IF(C1455="Técnico III",35,IF(C1455="Técnico II",28,IF(C1455="Técnico I",23,IF(C1455="JR",20,IF(C1455="Estágio",10,0))))),IF(C1455="Técnico III",SUMIFS($D:$D,$A:$A,$A1455,$B:$B,"&lt;&gt;Patrícia Karla de Sousa Araújo",$B:$B,"&lt;&gt;Lorena Dias de Araujo",$B:$B,"&lt;&gt;Lucas Luiz Romero")*(35/1083),IF(C1455="Técnico II",SUMIFS($D:$D,$A:$A,$A1455,$B:$B,"&lt;&gt;Patrícia Karla de Sousa Araújo",$B:$B,"&lt;&gt;Lorena Dias de Araujo",$B:$B,"&lt;&gt;Lucas Luiz Romero")*(28/1083),IF(C1455="Técnico I",SUMIFS($D:$D,$A:$A,$A1455,$B:$B,"&lt;&gt;Patrícia Karla de Sousa Araújo",$B:$B,"&lt;&gt;Lorena Dias de Araujo",$B:$B,"&lt;&gt;Lucas Luiz Romero")*(23/1083),IF(C1455="JR",SUMIFS($D:$D,$A:$A,$A1455,$B:$B,"&lt;&gt;Patrícia Karla de Sousa Araújo",$B:$B,"&lt;&gt;Lorena Dias de Araujo",$B:$B,"&lt;&gt;Lucas Luiz Romero")*(20/1083),IF(C1455="Estágio",SUMIFS($D:$D,$A:$A,$A1455,$B:$B,"&lt;&gt;Patrícia Karla de Sousa Araújo",$B:$B,"&lt;&gt;Lorena Dias de Araujo",$B:$B,"&lt;&gt;Lucas Luiz Romero")*(10/1083),0)))))),0)</f>
        <v/>
      </c>
      <c r="K1455" s="3">
        <f>I1455-J1455</f>
        <v/>
      </c>
      <c r="L1455" s="3">
        <f>IF(K1455&lt;-5,"CRÍTICO",IF(K1455&lt;0,"ATENÇÃO",IF(K1455&lt;=5,"BOM","EXCELENTE")))</f>
        <v/>
      </c>
      <c r="N1455" t="n">
        <v>100</v>
      </c>
      <c r="O1455" t="n">
        <v>27.60942760942761</v>
      </c>
    </row>
    <row r="1456" hidden="1">
      <c r="A1456" s="11" t="n">
        <v>46045</v>
      </c>
      <c r="B1456" t="inlineStr">
        <is>
          <t>Jessica Faria da Silveira</t>
        </is>
      </c>
      <c r="C1456" t="inlineStr">
        <is>
          <t>Técnico II</t>
        </is>
      </c>
      <c r="D1456" t="n">
        <v>23</v>
      </c>
      <c r="E1456" t="n">
        <v>17</v>
      </c>
      <c r="F1456" t="n">
        <v>15.43</v>
      </c>
      <c r="G1456" t="n">
        <v>0</v>
      </c>
      <c r="H1456" t="n">
        <v>0</v>
      </c>
      <c r="I1456" s="3">
        <f>E1456+G1456+H1456</f>
        <v/>
      </c>
      <c r="J1456" s="3">
        <f>ROUND(MIN(IF(C1456="Técnico III",35,IF(C1456="Técnico II",28,IF(C1456="Técnico I",23,IF(C1456="JR",20,IF(C1456="Estágio",10,0))))),IF(C1456="Técnico III",SUMIFS($D:$D,$A:$A,$A1456,$B:$B,"&lt;&gt;Patrícia Karla de Sousa Araújo",$B:$B,"&lt;&gt;Lorena Dias de Araujo",$B:$B,"&lt;&gt;Lucas Luiz Romero")*(35/1083),IF(C1456="Técnico II",SUMIFS($D:$D,$A:$A,$A1456,$B:$B,"&lt;&gt;Patrícia Karla de Sousa Araújo",$B:$B,"&lt;&gt;Lorena Dias de Araujo",$B:$B,"&lt;&gt;Lucas Luiz Romero")*(28/1083),IF(C1456="Técnico I",SUMIFS($D:$D,$A:$A,$A1456,$B:$B,"&lt;&gt;Patrícia Karla de Sousa Araújo",$B:$B,"&lt;&gt;Lorena Dias de Araujo",$B:$B,"&lt;&gt;Lucas Luiz Romero")*(23/1083),IF(C1456="JR",SUMIFS($D:$D,$A:$A,$A1456,$B:$B,"&lt;&gt;Patrícia Karla de Sousa Araújo",$B:$B,"&lt;&gt;Lorena Dias de Araujo",$B:$B,"&lt;&gt;Lucas Luiz Romero")*(20/1083),IF(C1456="Estágio",SUMIFS($D:$D,$A:$A,$A1456,$B:$B,"&lt;&gt;Patrícia Karla de Sousa Araújo",$B:$B,"&lt;&gt;Lorena Dias de Araujo",$B:$B,"&lt;&gt;Lucas Luiz Romero")*(10/1083),0)))))),0)</f>
        <v/>
      </c>
      <c r="K1456" s="3">
        <f>I1456-J1456</f>
        <v/>
      </c>
      <c r="L1456" s="3">
        <f>IF(K1456&lt;-5,"CRÍTICO",IF(K1456&lt;0,"ATENÇÃO",IF(K1456&lt;=5,"BOM","EXCELENTE")))</f>
        <v/>
      </c>
      <c r="N1456" t="n">
        <v>96.40000000000001</v>
      </c>
      <c r="O1456" t="n">
        <v>28.76404494382023</v>
      </c>
    </row>
    <row r="1457" hidden="1">
      <c r="A1457" s="11" t="n">
        <v>46045</v>
      </c>
      <c r="B1457" t="inlineStr">
        <is>
          <t>Jéssica Fé Moura</t>
        </is>
      </c>
      <c r="C1457" t="inlineStr">
        <is>
          <t>Técnico III</t>
        </is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s="3" t="n">
        <v>0</v>
      </c>
      <c r="J1457" s="3" t="n">
        <v>0</v>
      </c>
      <c r="K1457" s="3" t="n">
        <v>0</v>
      </c>
      <c r="L1457" s="3">
        <f>IF(K1457&lt;-5,"CRÍTICO",IF(K1457&lt;0,"ATENÇÃO",IF(K1457&lt;=5,"BOM","EXCELENTE")))</f>
        <v/>
      </c>
      <c r="N1457" t="n">
        <v>100</v>
      </c>
      <c r="O1457" t="n">
        <v>33.98058252427185</v>
      </c>
    </row>
    <row r="1458" hidden="1">
      <c r="A1458" s="11" t="n">
        <v>46045</v>
      </c>
      <c r="B1458" t="inlineStr">
        <is>
          <t>Karina Gonçalves Martins</t>
        </is>
      </c>
      <c r="C1458" t="inlineStr">
        <is>
          <t>JR</t>
        </is>
      </c>
      <c r="D1458" t="n">
        <v>5</v>
      </c>
      <c r="E1458" t="n">
        <v>5</v>
      </c>
      <c r="F1458" t="n">
        <v>45.31</v>
      </c>
      <c r="G1458" t="n">
        <v>0</v>
      </c>
      <c r="H1458" t="n">
        <v>0</v>
      </c>
      <c r="I1458" s="3">
        <f>E1458+G1458+H1458</f>
        <v/>
      </c>
      <c r="J1458" s="3">
        <f>ROUND(MIN(IF(C1458="Técnico III",35,IF(C1458="Técnico II",28,IF(C1458="Técnico I",23,IF(C1458="JR",20,IF(C1458="Estágio",10,0))))),IF(C1458="Técnico III",SUMIFS($D:$D,$A:$A,$A1458,$B:$B,"&lt;&gt;Patrícia Karla de Sousa Araújo",$B:$B,"&lt;&gt;Lorena Dias de Araujo",$B:$B,"&lt;&gt;Lucas Luiz Romero")*(35/1083),IF(C1458="Técnico II",SUMIFS($D:$D,$A:$A,$A1458,$B:$B,"&lt;&gt;Patrícia Karla de Sousa Araújo",$B:$B,"&lt;&gt;Lorena Dias de Araujo",$B:$B,"&lt;&gt;Lucas Luiz Romero")*(28/1083),IF(C1458="Técnico I",SUMIFS($D:$D,$A:$A,$A1458,$B:$B,"&lt;&gt;Patrícia Karla de Sousa Araújo",$B:$B,"&lt;&gt;Lorena Dias de Araujo",$B:$B,"&lt;&gt;Lucas Luiz Romero")*(23/1083),IF(C1458="JR",SUMIFS($D:$D,$A:$A,$A1458,$B:$B,"&lt;&gt;Patrícia Karla de Sousa Araújo",$B:$B,"&lt;&gt;Lorena Dias de Araujo",$B:$B,"&lt;&gt;Lucas Luiz Romero")*(20/1083),IF(C1458="Estágio",SUMIFS($D:$D,$A:$A,$A1458,$B:$B,"&lt;&gt;Patrícia Karla de Sousa Araújo",$B:$B,"&lt;&gt;Lorena Dias de Araujo",$B:$B,"&lt;&gt;Lucas Luiz Romero")*(10/1083),0)))))),0)</f>
        <v/>
      </c>
      <c r="K1458" s="3">
        <f>I1458-J1458</f>
        <v/>
      </c>
      <c r="L1458" s="3">
        <f>IF(K1458&lt;-5,"CRÍTICO",IF(K1458&lt;0,"ATENÇÃO",IF(K1458&lt;=5,"BOM","EXCELENTE")))</f>
        <v/>
      </c>
      <c r="N1458" t="n">
        <v>97.56</v>
      </c>
      <c r="O1458" t="n">
        <v>32.51533742331289</v>
      </c>
    </row>
    <row r="1459" hidden="1">
      <c r="A1459" s="11" t="n">
        <v>46045</v>
      </c>
      <c r="B1459" t="inlineStr">
        <is>
          <t>Kerollen Cristielly de Jesus Siqueira</t>
        </is>
      </c>
      <c r="C1459" t="inlineStr">
        <is>
          <t>Técnico III</t>
        </is>
      </c>
      <c r="D1459" t="n">
        <v>24</v>
      </c>
      <c r="E1459" t="n">
        <v>22</v>
      </c>
      <c r="F1459" t="n">
        <v>19.05</v>
      </c>
      <c r="G1459" t="n">
        <v>0</v>
      </c>
      <c r="H1459" t="n">
        <v>0</v>
      </c>
      <c r="I1459" s="3">
        <f>E1459+G1459+H1459</f>
        <v/>
      </c>
      <c r="J1459" s="3">
        <f>ROUND(MIN(IF(C1459="Técnico III",35,IF(C1459="Técnico II",28,IF(C1459="Técnico I",23,IF(C1459="JR",20,IF(C1459="Estágio",10,0))))),IF(C1459="Técnico III",SUMIFS($D:$D,$A:$A,$A1459,$B:$B,"&lt;&gt;Patrícia Karla de Sousa Araújo",$B:$B,"&lt;&gt;Lorena Dias de Araujo",$B:$B,"&lt;&gt;Lucas Luiz Romero")*(35/1083),IF(C1459="Técnico II",SUMIFS($D:$D,$A:$A,$A1459,$B:$B,"&lt;&gt;Patrícia Karla de Sousa Araújo",$B:$B,"&lt;&gt;Lorena Dias de Araujo",$B:$B,"&lt;&gt;Lucas Luiz Romero")*(28/1083),IF(C1459="Técnico I",SUMIFS($D:$D,$A:$A,$A1459,$B:$B,"&lt;&gt;Patrícia Karla de Sousa Araújo",$B:$B,"&lt;&gt;Lorena Dias de Araujo",$B:$B,"&lt;&gt;Lucas Luiz Romero")*(23/1083),IF(C1459="JR",SUMIFS($D:$D,$A:$A,$A1459,$B:$B,"&lt;&gt;Patrícia Karla de Sousa Araújo",$B:$B,"&lt;&gt;Lorena Dias de Araujo",$B:$B,"&lt;&gt;Lucas Luiz Romero")*(20/1083),IF(C1459="Estágio",SUMIFS($D:$D,$A:$A,$A1459,$B:$B,"&lt;&gt;Patrícia Karla de Sousa Araújo",$B:$B,"&lt;&gt;Lorena Dias de Araujo",$B:$B,"&lt;&gt;Lucas Luiz Romero")*(10/1083),0)))))),0)</f>
        <v/>
      </c>
      <c r="K1459" s="3">
        <f>I1459-J1459</f>
        <v/>
      </c>
      <c r="L1459" s="3">
        <f>IF(K1459&lt;-5,"CRÍTICO",IF(K1459&lt;0,"ATENÇÃO",IF(K1459&lt;=5,"BOM","EXCELENTE")))</f>
        <v/>
      </c>
      <c r="N1459" t="n">
        <v>97.11</v>
      </c>
      <c r="O1459" t="n">
        <v>37.40831295843521</v>
      </c>
    </row>
    <row r="1460" hidden="1">
      <c r="A1460" s="11" t="n">
        <v>46045</v>
      </c>
      <c r="B1460" t="inlineStr">
        <is>
          <t>Leandro de Souza Silva</t>
        </is>
      </c>
      <c r="C1460" t="inlineStr">
        <is>
          <t>JR</t>
        </is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s="3" t="n">
        <v>0</v>
      </c>
      <c r="J1460" s="3" t="n">
        <v>0</v>
      </c>
      <c r="K1460" s="3" t="n">
        <v>0</v>
      </c>
      <c r="L1460" s="3">
        <f>IF(K1460&lt;-5,"CRÍTICO",IF(K1460&lt;0,"ATENÇÃO",IF(K1460&lt;=5,"BOM","EXCELENTE")))</f>
        <v/>
      </c>
      <c r="N1460" t="n">
        <v>0</v>
      </c>
      <c r="O1460" t="n">
        <v>0</v>
      </c>
    </row>
    <row r="1461" hidden="1">
      <c r="A1461" s="11" t="n">
        <v>46045</v>
      </c>
      <c r="B1461" t="inlineStr">
        <is>
          <t>Leandro Oliveira de Sousa</t>
        </is>
      </c>
      <c r="C1461" t="inlineStr">
        <is>
          <t>Técnico III</t>
        </is>
      </c>
      <c r="D1461" t="n">
        <v>12</v>
      </c>
      <c r="E1461" t="n">
        <v>11</v>
      </c>
      <c r="F1461" t="n">
        <v>32.12</v>
      </c>
      <c r="G1461" t="n">
        <v>0</v>
      </c>
      <c r="H1461" t="n">
        <v>0</v>
      </c>
      <c r="I1461" s="3">
        <f>E1461+G1461+H1461</f>
        <v/>
      </c>
      <c r="J1461" s="3">
        <f>ROUND(MIN(IF(C1461="Técnico III",35,IF(C1461="Técnico II",28,IF(C1461="Técnico I",23,IF(C1461="JR",20,IF(C1461="Estágio",10,0))))),IF(C1461="Técnico III",SUMIFS($D:$D,$A:$A,$A1461,$B:$B,"&lt;&gt;Patrícia Karla de Sousa Araújo",$B:$B,"&lt;&gt;Lorena Dias de Araujo",$B:$B,"&lt;&gt;Lucas Luiz Romero")*(35/1083),IF(C1461="Técnico II",SUMIFS($D:$D,$A:$A,$A1461,$B:$B,"&lt;&gt;Patrícia Karla de Sousa Araújo",$B:$B,"&lt;&gt;Lorena Dias de Araujo",$B:$B,"&lt;&gt;Lucas Luiz Romero")*(28/1083),IF(C1461="Técnico I",SUMIFS($D:$D,$A:$A,$A1461,$B:$B,"&lt;&gt;Patrícia Karla de Sousa Araújo",$B:$B,"&lt;&gt;Lorena Dias de Araujo",$B:$B,"&lt;&gt;Lucas Luiz Romero")*(23/1083),IF(C1461="JR",SUMIFS($D:$D,$A:$A,$A1461,$B:$B,"&lt;&gt;Patrícia Karla de Sousa Araújo",$B:$B,"&lt;&gt;Lorena Dias de Araujo",$B:$B,"&lt;&gt;Lucas Luiz Romero")*(20/1083),IF(C1461="Estágio",SUMIFS($D:$D,$A:$A,$A1461,$B:$B,"&lt;&gt;Patrícia Karla de Sousa Araújo",$B:$B,"&lt;&gt;Lorena Dias de Araujo",$B:$B,"&lt;&gt;Lucas Luiz Romero")*(10/1083),0)))))),0)</f>
        <v/>
      </c>
      <c r="K1461" s="3">
        <f>I1461-J1461</f>
        <v/>
      </c>
      <c r="L1461" s="3">
        <f>IF(K1461&lt;-5,"CRÍTICO",IF(K1461&lt;0,"ATENÇÃO",IF(K1461&lt;=5,"BOM","EXCELENTE")))</f>
        <v/>
      </c>
      <c r="N1461" t="n">
        <v>100</v>
      </c>
      <c r="O1461" t="n">
        <v>30.47034764826176</v>
      </c>
    </row>
    <row r="1462" hidden="1">
      <c r="A1462" s="11" t="n">
        <v>46045</v>
      </c>
      <c r="B1462" t="inlineStr">
        <is>
          <t>Lizandra Gomes Duarte</t>
        </is>
      </c>
      <c r="C1462" t="inlineStr">
        <is>
          <t>Técnico II</t>
        </is>
      </c>
      <c r="D1462" t="n">
        <v>27</v>
      </c>
      <c r="E1462" t="n">
        <v>23</v>
      </c>
      <c r="F1462" t="n">
        <v>17.29</v>
      </c>
      <c r="G1462" t="n">
        <v>0</v>
      </c>
      <c r="H1462" t="n">
        <v>0</v>
      </c>
      <c r="I1462" s="3">
        <f>E1462+G1462+H1462</f>
        <v/>
      </c>
      <c r="J1462" s="3">
        <f>ROUND(MIN(IF(C1462="Técnico III",35,IF(C1462="Técnico II",28,IF(C1462="Técnico I",23,IF(C1462="JR",20,IF(C1462="Estágio",10,0))))),IF(C1462="Técnico III",SUMIFS($D:$D,$A:$A,$A1462,$B:$B,"&lt;&gt;Patrícia Karla de Sousa Araújo",$B:$B,"&lt;&gt;Lorena Dias de Araujo",$B:$B,"&lt;&gt;Lucas Luiz Romero")*(35/1083),IF(C1462="Técnico II",SUMIFS($D:$D,$A:$A,$A1462,$B:$B,"&lt;&gt;Patrícia Karla de Sousa Araújo",$B:$B,"&lt;&gt;Lorena Dias de Araujo",$B:$B,"&lt;&gt;Lucas Luiz Romero")*(28/1083),IF(C1462="Técnico I",SUMIFS($D:$D,$A:$A,$A1462,$B:$B,"&lt;&gt;Patrícia Karla de Sousa Araújo",$B:$B,"&lt;&gt;Lorena Dias de Araujo",$B:$B,"&lt;&gt;Lucas Luiz Romero")*(23/1083),IF(C1462="JR",SUMIFS($D:$D,$A:$A,$A1462,$B:$B,"&lt;&gt;Patrícia Karla de Sousa Araújo",$B:$B,"&lt;&gt;Lorena Dias de Araujo",$B:$B,"&lt;&gt;Lucas Luiz Romero")*(20/1083),IF(C1462="Estágio",SUMIFS($D:$D,$A:$A,$A1462,$B:$B,"&lt;&gt;Patrícia Karla de Sousa Araújo",$B:$B,"&lt;&gt;Lorena Dias de Araujo",$B:$B,"&lt;&gt;Lucas Luiz Romero")*(10/1083),0)))))),0)</f>
        <v/>
      </c>
      <c r="K1462" s="3">
        <f>I1462-J1462</f>
        <v/>
      </c>
      <c r="L1462" s="3">
        <f>IF(K1462&lt;-5,"CRÍTICO",IF(K1462&lt;0,"ATENÇÃO",IF(K1462&lt;=5,"BOM","EXCELENTE")))</f>
        <v/>
      </c>
      <c r="N1462" t="n">
        <v>100</v>
      </c>
      <c r="O1462" t="n">
        <v>32.37113402061856</v>
      </c>
    </row>
    <row r="1463" hidden="1">
      <c r="A1463" s="11" t="n">
        <v>46045</v>
      </c>
      <c r="B1463" t="inlineStr">
        <is>
          <t>Lorena Dias de Araujo</t>
        </is>
      </c>
      <c r="C1463" t="inlineStr">
        <is>
          <t>Técnico II</t>
        </is>
      </c>
      <c r="D1463" t="n">
        <v>11</v>
      </c>
      <c r="E1463" t="n">
        <v>11</v>
      </c>
      <c r="F1463" t="n">
        <v>18.28</v>
      </c>
      <c r="G1463" t="n">
        <v>0</v>
      </c>
      <c r="H1463" t="n">
        <v>0</v>
      </c>
      <c r="I1463" s="3" t="n">
        <v>0</v>
      </c>
      <c r="J1463" s="3" t="n">
        <v>0</v>
      </c>
      <c r="K1463" s="3" t="n">
        <v>0</v>
      </c>
      <c r="L1463" s="3">
        <f>IF(K1463&lt;-5,"CRÍTICO",IF(K1463&lt;0,"ATENÇÃO",IF(K1463&lt;=5,"BOM","EXCELENTE")))</f>
        <v/>
      </c>
      <c r="N1463" t="n">
        <v>98.31999999999999</v>
      </c>
      <c r="O1463" t="n">
        <v>32.31850117096019</v>
      </c>
    </row>
    <row r="1464" hidden="1">
      <c r="A1464" s="11" t="n">
        <v>46045</v>
      </c>
      <c r="B1464" t="inlineStr">
        <is>
          <t>Lucas Luiz Romero</t>
        </is>
      </c>
      <c r="C1464" t="inlineStr">
        <is>
          <t>Técnico III</t>
        </is>
      </c>
      <c r="D1464" t="n">
        <v>23</v>
      </c>
      <c r="E1464" t="n">
        <v>17</v>
      </c>
      <c r="F1464" t="n">
        <v>11.47</v>
      </c>
      <c r="G1464" t="n">
        <v>0</v>
      </c>
      <c r="H1464" t="n">
        <v>0</v>
      </c>
      <c r="I1464" s="3">
        <f>E1464+G1464+H1464</f>
        <v/>
      </c>
      <c r="J1464" s="3">
        <f>ROUND(MIN(IF(C1464="Técnico III",35,IF(C1464="Técnico II",28,IF(C1464="Técnico I",23,IF(C1464="JR",20,IF(C1464="Estágio",10,0))))),IF(C1464="Técnico III",SUMIFS($D:$D,$A:$A,$A1464,$B:$B,"&lt;&gt;Patrícia Karla de Sousa Araújo",$B:$B,"&lt;&gt;Lorena Dias de Araujo",$B:$B,"&lt;&gt;Lucas Luiz Romero")*(35/1083),IF(C1464="Técnico II",SUMIFS($D:$D,$A:$A,$A1464,$B:$B,"&lt;&gt;Patrícia Karla de Sousa Araújo",$B:$B,"&lt;&gt;Lorena Dias de Araujo",$B:$B,"&lt;&gt;Lucas Luiz Romero")*(28/1083),IF(C1464="Técnico I",SUMIFS($D:$D,$A:$A,$A1464,$B:$B,"&lt;&gt;Patrícia Karla de Sousa Araújo",$B:$B,"&lt;&gt;Lorena Dias de Araujo",$B:$B,"&lt;&gt;Lucas Luiz Romero")*(23/1083),IF(C1464="JR",SUMIFS($D:$D,$A:$A,$A1464,$B:$B,"&lt;&gt;Patrícia Karla de Sousa Araújo",$B:$B,"&lt;&gt;Lorena Dias de Araujo",$B:$B,"&lt;&gt;Lucas Luiz Romero")*(20/1083),IF(C1464="Estágio",SUMIFS($D:$D,$A:$A,$A1464,$B:$B,"&lt;&gt;Patrícia Karla de Sousa Araújo",$B:$B,"&lt;&gt;Lorena Dias de Araujo",$B:$B,"&lt;&gt;Lucas Luiz Romero")*(10/1083),0)))))),0)</f>
        <v/>
      </c>
      <c r="K1464" s="3">
        <f>I1464-J1464</f>
        <v/>
      </c>
      <c r="L1464" s="3">
        <f>IF(K1464&lt;-5,"CRÍTICO",IF(K1464&lt;0,"ATENÇÃO",IF(K1464&lt;=5,"BOM","EXCELENTE")))</f>
        <v/>
      </c>
      <c r="N1464" t="n">
        <v>96.43000000000001</v>
      </c>
      <c r="O1464" t="n">
        <v>27.01525054466231</v>
      </c>
    </row>
    <row r="1465" hidden="1">
      <c r="A1465" s="11" t="n">
        <v>46045</v>
      </c>
      <c r="B1465" t="inlineStr">
        <is>
          <t>Luiz Fernando de Carvalho Junior</t>
        </is>
      </c>
      <c r="C1465" t="inlineStr">
        <is>
          <t>Técnico I</t>
        </is>
      </c>
      <c r="D1465" t="n">
        <v>18</v>
      </c>
      <c r="E1465" t="n">
        <v>18</v>
      </c>
      <c r="F1465" t="n">
        <v>28.28</v>
      </c>
      <c r="G1465" t="n">
        <v>0</v>
      </c>
      <c r="H1465" t="n">
        <v>0</v>
      </c>
      <c r="I1465" s="3">
        <f>E1465+G1465+H1465</f>
        <v/>
      </c>
      <c r="J1465" s="3">
        <f>ROUND(MIN(IF(C1465="Técnico III",35,IF(C1465="Técnico II",28,IF(C1465="Técnico I",23,IF(C1465="JR",20,IF(C1465="Estágio",10,0))))),IF(C1465="Técnico III",SUMIFS($D:$D,$A:$A,$A1465,$B:$B,"&lt;&gt;Patrícia Karla de Sousa Araújo",$B:$B,"&lt;&gt;Lorena Dias de Araujo",$B:$B,"&lt;&gt;Lucas Luiz Romero")*(35/1083),IF(C1465="Técnico II",SUMIFS($D:$D,$A:$A,$A1465,$B:$B,"&lt;&gt;Patrícia Karla de Sousa Araújo",$B:$B,"&lt;&gt;Lorena Dias de Araujo",$B:$B,"&lt;&gt;Lucas Luiz Romero")*(28/1083),IF(C1465="Técnico I",SUMIFS($D:$D,$A:$A,$A1465,$B:$B,"&lt;&gt;Patrícia Karla de Sousa Araújo",$B:$B,"&lt;&gt;Lorena Dias de Araujo",$B:$B,"&lt;&gt;Lucas Luiz Romero")*(23/1083),IF(C1465="JR",SUMIFS($D:$D,$A:$A,$A1465,$B:$B,"&lt;&gt;Patrícia Karla de Sousa Araújo",$B:$B,"&lt;&gt;Lorena Dias de Araujo",$B:$B,"&lt;&gt;Lucas Luiz Romero")*(20/1083),IF(C1465="Estágio",SUMIFS($D:$D,$A:$A,$A1465,$B:$B,"&lt;&gt;Patrícia Karla de Sousa Araújo",$B:$B,"&lt;&gt;Lorena Dias de Araujo",$B:$B,"&lt;&gt;Lucas Luiz Romero")*(10/1083),0)))))),0)</f>
        <v/>
      </c>
      <c r="K1465" s="3">
        <f>I1465-J1465</f>
        <v/>
      </c>
      <c r="L1465" s="3">
        <f>IF(K1465&lt;-5,"CRÍTICO",IF(K1465&lt;0,"ATENÇÃO",IF(K1465&lt;=5,"BOM","EXCELENTE")))</f>
        <v/>
      </c>
      <c r="N1465" t="n">
        <v>98.89</v>
      </c>
      <c r="O1465" t="n">
        <v>28.02197802197802</v>
      </c>
    </row>
    <row r="1466" hidden="1">
      <c r="A1466" s="11" t="n">
        <v>46045</v>
      </c>
      <c r="B1466" t="inlineStr">
        <is>
          <t>Maria Eduarda Sousa Costa</t>
        </is>
      </c>
      <c r="C1466" t="inlineStr">
        <is>
          <t>Estágio</t>
        </is>
      </c>
      <c r="D1466" t="n">
        <v>9</v>
      </c>
      <c r="E1466" t="n">
        <v>9</v>
      </c>
      <c r="F1466" t="n">
        <v>25.29</v>
      </c>
      <c r="G1466" t="n">
        <v>0</v>
      </c>
      <c r="H1466" t="n">
        <v>0</v>
      </c>
      <c r="I1466" s="3">
        <f>E1466+G1466+H1466</f>
        <v/>
      </c>
      <c r="J1466" s="3">
        <f>ROUND(MIN(IF(C1466="Técnico III",35,IF(C1466="Técnico II",28,IF(C1466="Técnico I",23,IF(C1466="JR",20,IF(C1466="Estágio",10,0))))),IF(C1466="Técnico III",SUMIFS($D:$D,$A:$A,$A1466,$B:$B,"&lt;&gt;Patrícia Karla de Sousa Araújo",$B:$B,"&lt;&gt;Lorena Dias de Araujo",$B:$B,"&lt;&gt;Lucas Luiz Romero")*(35/1083),IF(C1466="Técnico II",SUMIFS($D:$D,$A:$A,$A1466,$B:$B,"&lt;&gt;Patrícia Karla de Sousa Araújo",$B:$B,"&lt;&gt;Lorena Dias de Araujo",$B:$B,"&lt;&gt;Lucas Luiz Romero")*(28/1083),IF(C1466="Técnico I",SUMIFS($D:$D,$A:$A,$A1466,$B:$B,"&lt;&gt;Patrícia Karla de Sousa Araújo",$B:$B,"&lt;&gt;Lorena Dias de Araujo",$B:$B,"&lt;&gt;Lucas Luiz Romero")*(23/1083),IF(C1466="JR",SUMIFS($D:$D,$A:$A,$A1466,$B:$B,"&lt;&gt;Patrícia Karla de Sousa Araújo",$B:$B,"&lt;&gt;Lorena Dias de Araujo",$B:$B,"&lt;&gt;Lucas Luiz Romero")*(20/1083),IF(C1466="Estágio",SUMIFS($D:$D,$A:$A,$A1466,$B:$B,"&lt;&gt;Patrícia Karla de Sousa Araújo",$B:$B,"&lt;&gt;Lorena Dias de Araujo",$B:$B,"&lt;&gt;Lucas Luiz Romero")*(10/1083),0)))))),0)</f>
        <v/>
      </c>
      <c r="K1466" s="3">
        <f>I1466-J1466</f>
        <v/>
      </c>
      <c r="L1466" s="3">
        <f>IF(K1466&lt;-5,"CRÍTICO",IF(K1466&lt;0,"ATENÇÃO",IF(K1466&lt;=5,"BOM","EXCELENTE")))</f>
        <v/>
      </c>
      <c r="N1466" t="n">
        <v>100</v>
      </c>
      <c r="O1466" t="n">
        <v>33.33333333333333</v>
      </c>
    </row>
    <row r="1467" hidden="1">
      <c r="A1467" s="11" t="n">
        <v>46045</v>
      </c>
      <c r="B1467" t="inlineStr">
        <is>
          <t>Matheus Farias De Souza</t>
        </is>
      </c>
      <c r="C1467" t="inlineStr">
        <is>
          <t>Técnico III</t>
        </is>
      </c>
      <c r="D1467" t="n">
        <v>26</v>
      </c>
      <c r="E1467" t="n">
        <v>26</v>
      </c>
      <c r="F1467" t="n">
        <v>15.42</v>
      </c>
      <c r="G1467" t="n">
        <v>0</v>
      </c>
      <c r="H1467" t="n">
        <v>0</v>
      </c>
      <c r="I1467" s="3">
        <f>E1467+G1467+H1467</f>
        <v/>
      </c>
      <c r="J1467" s="3">
        <f>ROUND(MIN(IF(C1467="Técnico III",35,IF(C1467="Técnico II",28,IF(C1467="Técnico I",23,IF(C1467="JR",20,IF(C1467="Estágio",10,0))))),IF(C1467="Técnico III",SUMIFS($D:$D,$A:$A,$A1467,$B:$B,"&lt;&gt;Patrícia Karla de Sousa Araújo",$B:$B,"&lt;&gt;Lorena Dias de Araujo",$B:$B,"&lt;&gt;Lucas Luiz Romero")*(35/1083),IF(C1467="Técnico II",SUMIFS($D:$D,$A:$A,$A1467,$B:$B,"&lt;&gt;Patrícia Karla de Sousa Araújo",$B:$B,"&lt;&gt;Lorena Dias de Araujo",$B:$B,"&lt;&gt;Lucas Luiz Romero")*(28/1083),IF(C1467="Técnico I",SUMIFS($D:$D,$A:$A,$A1467,$B:$B,"&lt;&gt;Patrícia Karla de Sousa Araújo",$B:$B,"&lt;&gt;Lorena Dias de Araujo",$B:$B,"&lt;&gt;Lucas Luiz Romero")*(23/1083),IF(C1467="JR",SUMIFS($D:$D,$A:$A,$A1467,$B:$B,"&lt;&gt;Patrícia Karla de Sousa Araújo",$B:$B,"&lt;&gt;Lorena Dias de Araujo",$B:$B,"&lt;&gt;Lucas Luiz Romero")*(20/1083),IF(C1467="Estágio",SUMIFS($D:$D,$A:$A,$A1467,$B:$B,"&lt;&gt;Patrícia Karla de Sousa Araújo",$B:$B,"&lt;&gt;Lorena Dias de Araujo",$B:$B,"&lt;&gt;Lucas Luiz Romero")*(10/1083),0)))))),0)</f>
        <v/>
      </c>
      <c r="K1467" s="3">
        <f>I1467-J1467</f>
        <v/>
      </c>
      <c r="L1467" s="3">
        <f>IF(K1467&lt;-5,"CRÍTICO",IF(K1467&lt;0,"ATENÇÃO",IF(K1467&lt;=5,"BOM","EXCELENTE")))</f>
        <v/>
      </c>
      <c r="N1467" t="n">
        <v>100</v>
      </c>
      <c r="O1467" t="n">
        <v>27.43362831858407</v>
      </c>
    </row>
    <row r="1468" hidden="1">
      <c r="A1468" s="11" t="n">
        <v>46045</v>
      </c>
      <c r="B1468" t="inlineStr">
        <is>
          <t>Maysa Victoria Dias Moura</t>
        </is>
      </c>
      <c r="C1468" t="inlineStr">
        <is>
          <t>Técnico III</t>
        </is>
      </c>
      <c r="D1468" t="n">
        <v>25</v>
      </c>
      <c r="E1468" t="n">
        <v>24</v>
      </c>
      <c r="F1468" t="n">
        <v>15.24</v>
      </c>
      <c r="G1468" t="n">
        <v>0</v>
      </c>
      <c r="H1468" t="n">
        <v>0</v>
      </c>
      <c r="I1468" s="3">
        <f>E1468+G1468+H1468</f>
        <v/>
      </c>
      <c r="J1468" s="3">
        <f>ROUND(MIN(IF(C1468="Técnico III",35,IF(C1468="Técnico II",28,IF(C1468="Técnico I",23,IF(C1468="JR",20,IF(C1468="Estágio",10,0))))),IF(C1468="Técnico III",SUMIFS($D:$D,$A:$A,$A1468,$B:$B,"&lt;&gt;Patrícia Karla de Sousa Araújo",$B:$B,"&lt;&gt;Lorena Dias de Araujo",$B:$B,"&lt;&gt;Lucas Luiz Romero")*(35/1083),IF(C1468="Técnico II",SUMIFS($D:$D,$A:$A,$A1468,$B:$B,"&lt;&gt;Patrícia Karla de Sousa Araújo",$B:$B,"&lt;&gt;Lorena Dias de Araujo",$B:$B,"&lt;&gt;Lucas Luiz Romero")*(28/1083),IF(C1468="Técnico I",SUMIFS($D:$D,$A:$A,$A1468,$B:$B,"&lt;&gt;Patrícia Karla de Sousa Araújo",$B:$B,"&lt;&gt;Lorena Dias de Araujo",$B:$B,"&lt;&gt;Lucas Luiz Romero")*(23/1083),IF(C1468="JR",SUMIFS($D:$D,$A:$A,$A1468,$B:$B,"&lt;&gt;Patrícia Karla de Sousa Araújo",$B:$B,"&lt;&gt;Lorena Dias de Araujo",$B:$B,"&lt;&gt;Lucas Luiz Romero")*(20/1083),IF(C1468="Estágio",SUMIFS($D:$D,$A:$A,$A1468,$B:$B,"&lt;&gt;Patrícia Karla de Sousa Araújo",$B:$B,"&lt;&gt;Lorena Dias de Araujo",$B:$B,"&lt;&gt;Lucas Luiz Romero")*(10/1083),0)))))),0)</f>
        <v/>
      </c>
      <c r="K1468" s="3">
        <f>I1468-J1468</f>
        <v/>
      </c>
      <c r="L1468" s="3">
        <f>IF(K1468&lt;-5,"CRÍTICO",IF(K1468&lt;0,"ATENÇÃO",IF(K1468&lt;=5,"BOM","EXCELENTE")))</f>
        <v/>
      </c>
      <c r="N1468" t="n">
        <v>98.65000000000001</v>
      </c>
      <c r="O1468" t="n">
        <v>30.97826086956522</v>
      </c>
    </row>
    <row r="1469" hidden="1">
      <c r="A1469" s="11" t="n">
        <v>46045</v>
      </c>
      <c r="B1469" t="inlineStr">
        <is>
          <t>Michelle G Santos</t>
        </is>
      </c>
      <c r="C1469" t="inlineStr">
        <is>
          <t>Estágio</t>
        </is>
      </c>
      <c r="D1469" t="n">
        <v>8</v>
      </c>
      <c r="E1469" t="n">
        <v>8</v>
      </c>
      <c r="F1469" t="n">
        <v>32.1</v>
      </c>
      <c r="G1469" t="n">
        <v>0</v>
      </c>
      <c r="H1469" t="n">
        <v>0</v>
      </c>
      <c r="I1469" s="3">
        <f>E1469+G1469+H1469</f>
        <v/>
      </c>
      <c r="J1469" s="3">
        <f>ROUND(MIN(IF(C1469="Técnico III",35,IF(C1469="Técnico II",28,IF(C1469="Técnico I",23,IF(C1469="JR",20,IF(C1469="Estágio",10,0))))),IF(C1469="Técnico III",SUMIFS($D:$D,$A:$A,$A1469,$B:$B,"&lt;&gt;Patrícia Karla de Sousa Araújo",$B:$B,"&lt;&gt;Lorena Dias de Araujo",$B:$B,"&lt;&gt;Lucas Luiz Romero")*(35/1083),IF(C1469="Técnico II",SUMIFS($D:$D,$A:$A,$A1469,$B:$B,"&lt;&gt;Patrícia Karla de Sousa Araújo",$B:$B,"&lt;&gt;Lorena Dias de Araujo",$B:$B,"&lt;&gt;Lucas Luiz Romero")*(28/1083),IF(C1469="Técnico I",SUMIFS($D:$D,$A:$A,$A1469,$B:$B,"&lt;&gt;Patrícia Karla de Sousa Araújo",$B:$B,"&lt;&gt;Lorena Dias de Araujo",$B:$B,"&lt;&gt;Lucas Luiz Romero")*(23/1083),IF(C1469="JR",SUMIFS($D:$D,$A:$A,$A1469,$B:$B,"&lt;&gt;Patrícia Karla de Sousa Araújo",$B:$B,"&lt;&gt;Lorena Dias de Araujo",$B:$B,"&lt;&gt;Lucas Luiz Romero")*(20/1083),IF(C1469="Estágio",SUMIFS($D:$D,$A:$A,$A1469,$B:$B,"&lt;&gt;Patrícia Karla de Sousa Araújo",$B:$B,"&lt;&gt;Lorena Dias de Araujo",$B:$B,"&lt;&gt;Lucas Luiz Romero")*(10/1083),0)))))),0)</f>
        <v/>
      </c>
      <c r="K1469" s="3">
        <f>I1469-J1469</f>
        <v/>
      </c>
      <c r="L1469" s="3">
        <f>IF(K1469&lt;-5,"CRÍTICO",IF(K1469&lt;0,"ATENÇÃO",IF(K1469&lt;=5,"BOM","EXCELENTE")))</f>
        <v/>
      </c>
      <c r="N1469" t="n">
        <v>100</v>
      </c>
      <c r="O1469" t="n">
        <v>12</v>
      </c>
    </row>
    <row r="1470" hidden="1">
      <c r="A1470" s="11" t="n">
        <v>46045</v>
      </c>
      <c r="B1470" t="inlineStr">
        <is>
          <t>Milena Sales</t>
        </is>
      </c>
      <c r="C1470" t="inlineStr">
        <is>
          <t>JR</t>
        </is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s="3" t="n">
        <v>0</v>
      </c>
      <c r="J1470" s="3" t="n">
        <v>0</v>
      </c>
      <c r="K1470" s="3" t="n">
        <v>0</v>
      </c>
      <c r="L1470" s="3">
        <f>IF(K1470&lt;-5,"CRÍTICO",IF(K1470&lt;0,"ATENÇÃO",IF(K1470&lt;=5,"BOM","EXCELENTE")))</f>
        <v/>
      </c>
      <c r="N1470" t="n">
        <v>0</v>
      </c>
      <c r="O1470" t="n">
        <v>0</v>
      </c>
    </row>
    <row r="1471" hidden="1">
      <c r="A1471" s="11" t="n">
        <v>46045</v>
      </c>
      <c r="B1471" t="inlineStr">
        <is>
          <t>Patrícia Karla de Sousa Araújo</t>
        </is>
      </c>
      <c r="C1471" t="inlineStr">
        <is>
          <t>Técnico II</t>
        </is>
      </c>
      <c r="D1471" t="n">
        <v>21</v>
      </c>
      <c r="E1471" t="n">
        <v>21</v>
      </c>
      <c r="F1471" t="n">
        <v>18.26</v>
      </c>
      <c r="G1471" t="n">
        <v>0</v>
      </c>
      <c r="H1471" t="n">
        <v>0</v>
      </c>
      <c r="I1471" s="3">
        <f>E1471+G1471+H1471</f>
        <v/>
      </c>
      <c r="J1471" s="3">
        <f>ROUND(MIN(IF(C1471="Técnico III",35,IF(C1471="Técnico II",28,IF(C1471="Técnico I",23,IF(C1471="JR",20,IF(C1471="Estágio",10,0))))),IF(C1471="Técnico III",SUMIFS($D:$D,$A:$A,$A1471,$B:$B,"&lt;&gt;Patrícia Karla de Sousa Araújo",$B:$B,"&lt;&gt;Lorena Dias de Araujo",$B:$B,"&lt;&gt;Lucas Luiz Romero")*(35/1083),IF(C1471="Técnico II",SUMIFS($D:$D,$A:$A,$A1471,$B:$B,"&lt;&gt;Patrícia Karla de Sousa Araújo",$B:$B,"&lt;&gt;Lorena Dias de Araujo",$B:$B,"&lt;&gt;Lucas Luiz Romero")*(28/1083),IF(C1471="Técnico I",SUMIFS($D:$D,$A:$A,$A1471,$B:$B,"&lt;&gt;Patrícia Karla de Sousa Araújo",$B:$B,"&lt;&gt;Lorena Dias de Araujo",$B:$B,"&lt;&gt;Lucas Luiz Romero")*(23/1083),IF(C1471="JR",SUMIFS($D:$D,$A:$A,$A1471,$B:$B,"&lt;&gt;Patrícia Karla de Sousa Araújo",$B:$B,"&lt;&gt;Lorena Dias de Araujo",$B:$B,"&lt;&gt;Lucas Luiz Romero")*(20/1083),IF(C1471="Estágio",SUMIFS($D:$D,$A:$A,$A1471,$B:$B,"&lt;&gt;Patrícia Karla de Sousa Araújo",$B:$B,"&lt;&gt;Lorena Dias de Araujo",$B:$B,"&lt;&gt;Lucas Luiz Romero")*(10/1083),0)))))),0)</f>
        <v/>
      </c>
      <c r="K1471" s="3">
        <f>I1471-J1471</f>
        <v/>
      </c>
      <c r="L1471" s="3">
        <f>IF(K1471&lt;-5,"CRÍTICO",IF(K1471&lt;0,"ATENÇÃO",IF(K1471&lt;=5,"BOM","EXCELENTE")))</f>
        <v/>
      </c>
      <c r="N1471" t="n">
        <v>97.56</v>
      </c>
      <c r="O1471" t="n">
        <v>31.06796116504854</v>
      </c>
    </row>
    <row r="1472" hidden="1">
      <c r="A1472" s="11" t="n">
        <v>46045</v>
      </c>
      <c r="B1472" t="inlineStr">
        <is>
          <t>Paulo Ricardo Santos</t>
        </is>
      </c>
      <c r="C1472" t="inlineStr">
        <is>
          <t>JR</t>
        </is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s="3" t="n">
        <v>0</v>
      </c>
      <c r="J1472" s="3" t="n">
        <v>0</v>
      </c>
      <c r="K1472" s="3" t="n">
        <v>0</v>
      </c>
      <c r="L1472" s="3">
        <f>IF(K1472&lt;-5,"CRÍTICO",IF(K1472&lt;0,"ATENÇÃO",IF(K1472&lt;=5,"BOM","EXCELENTE")))</f>
        <v/>
      </c>
      <c r="N1472" t="n">
        <v>0</v>
      </c>
      <c r="O1472" t="n">
        <v>0</v>
      </c>
    </row>
    <row r="1473" hidden="1">
      <c r="A1473" s="11" t="n">
        <v>46045</v>
      </c>
      <c r="B1473" t="inlineStr">
        <is>
          <t>Pedro Luiz Mota Sousa</t>
        </is>
      </c>
      <c r="C1473" t="inlineStr">
        <is>
          <t>JR</t>
        </is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s="3" t="n">
        <v>0</v>
      </c>
      <c r="J1473" s="3" t="n">
        <v>0</v>
      </c>
      <c r="K1473" s="3" t="n">
        <v>0</v>
      </c>
      <c r="L1473" s="3">
        <f>IF(K1473&lt;-5,"CRÍTICO",IF(K1473&lt;0,"ATENÇÃO",IF(K1473&lt;=5,"BOM","EXCELENTE")))</f>
        <v/>
      </c>
      <c r="N1473" t="n">
        <v>0</v>
      </c>
      <c r="O1473" t="n">
        <v>0</v>
      </c>
    </row>
    <row r="1474" hidden="1">
      <c r="A1474" s="11" t="n">
        <v>46045</v>
      </c>
      <c r="B1474" t="inlineStr">
        <is>
          <t>Quirino Diogo Leite Torres</t>
        </is>
      </c>
      <c r="C1474" t="inlineStr">
        <is>
          <t>Estágio</t>
        </is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s="3" t="n">
        <v>0</v>
      </c>
      <c r="J1474" s="3" t="n">
        <v>0</v>
      </c>
      <c r="K1474" s="3" t="n">
        <v>0</v>
      </c>
      <c r="L1474" s="3">
        <f>IF(K1474&lt;-5,"CRÍTICO",IF(K1474&lt;0,"ATENÇÃO",IF(K1474&lt;=5,"BOM","EXCELENTE")))</f>
        <v/>
      </c>
      <c r="N1474" t="n">
        <v>0</v>
      </c>
      <c r="O1474" t="n">
        <v>0</v>
      </c>
    </row>
    <row r="1475" hidden="1">
      <c r="A1475" s="11" t="n">
        <v>46045</v>
      </c>
      <c r="B1475" t="inlineStr">
        <is>
          <t>Raane Batista Matos</t>
        </is>
      </c>
      <c r="C1475" t="inlineStr">
        <is>
          <t>Técnico I</t>
        </is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s="3" t="n">
        <v>0</v>
      </c>
      <c r="J1475" s="3" t="n">
        <v>0</v>
      </c>
      <c r="K1475" s="3" t="n">
        <v>0</v>
      </c>
      <c r="L1475" s="3">
        <f>IF(K1475&lt;-5,"CRÍTICO",IF(K1475&lt;0,"ATENÇÃO",IF(K1475&lt;=5,"BOM","EXCELENTE")))</f>
        <v/>
      </c>
      <c r="N1475" t="n">
        <v>100</v>
      </c>
      <c r="O1475" t="n">
        <v>53.84615384615385</v>
      </c>
    </row>
    <row r="1476" hidden="1">
      <c r="A1476" s="11" t="n">
        <v>46045</v>
      </c>
      <c r="B1476" t="inlineStr">
        <is>
          <t>Rafael Gomes de Morais</t>
        </is>
      </c>
      <c r="C1476" t="inlineStr">
        <is>
          <t>Técnico III</t>
        </is>
      </c>
      <c r="D1476" t="n">
        <v>30</v>
      </c>
      <c r="E1476" t="n">
        <v>28</v>
      </c>
      <c r="F1476" t="n">
        <v>12.09</v>
      </c>
      <c r="G1476" t="n">
        <v>0</v>
      </c>
      <c r="H1476" t="n">
        <v>0</v>
      </c>
      <c r="I1476" s="3">
        <f>E1476+G1476+H1476</f>
        <v/>
      </c>
      <c r="J1476" s="3">
        <f>ROUND(MIN(IF(C1476="Técnico III",35,IF(C1476="Técnico II",28,IF(C1476="Técnico I",23,IF(C1476="JR",20,IF(C1476="Estágio",10,0))))),IF(C1476="Técnico III",SUMIFS($D:$D,$A:$A,$A1476,$B:$B,"&lt;&gt;Patrícia Karla de Sousa Araújo",$B:$B,"&lt;&gt;Lorena Dias de Araujo",$B:$B,"&lt;&gt;Lucas Luiz Romero")*(35/1083),IF(C1476="Técnico II",SUMIFS($D:$D,$A:$A,$A1476,$B:$B,"&lt;&gt;Patrícia Karla de Sousa Araújo",$B:$B,"&lt;&gt;Lorena Dias de Araujo",$B:$B,"&lt;&gt;Lucas Luiz Romero")*(28/1083),IF(C1476="Técnico I",SUMIFS($D:$D,$A:$A,$A1476,$B:$B,"&lt;&gt;Patrícia Karla de Sousa Araújo",$B:$B,"&lt;&gt;Lorena Dias de Araujo",$B:$B,"&lt;&gt;Lucas Luiz Romero")*(23/1083),IF(C1476="JR",SUMIFS($D:$D,$A:$A,$A1476,$B:$B,"&lt;&gt;Patrícia Karla de Sousa Araújo",$B:$B,"&lt;&gt;Lorena Dias de Araujo",$B:$B,"&lt;&gt;Lucas Luiz Romero")*(20/1083),IF(C1476="Estágio",SUMIFS($D:$D,$A:$A,$A1476,$B:$B,"&lt;&gt;Patrícia Karla de Sousa Araújo",$B:$B,"&lt;&gt;Lorena Dias de Araujo",$B:$B,"&lt;&gt;Lucas Luiz Romero")*(10/1083),0)))))),0)</f>
        <v/>
      </c>
      <c r="K1476" s="3">
        <f>I1476-J1476</f>
        <v/>
      </c>
      <c r="L1476" s="3">
        <f>IF(K1476&lt;-5,"CRÍTICO",IF(K1476&lt;0,"ATENÇÃO",IF(K1476&lt;=5,"BOM","EXCELENTE")))</f>
        <v/>
      </c>
      <c r="N1476" t="n">
        <v>100</v>
      </c>
      <c r="O1476" t="n">
        <v>44.05594405594406</v>
      </c>
    </row>
    <row r="1477" hidden="1">
      <c r="A1477" s="11" t="n">
        <v>46045</v>
      </c>
      <c r="B1477" t="inlineStr">
        <is>
          <t>Sara Maria Monteiro Lopes</t>
        </is>
      </c>
      <c r="C1477" t="inlineStr">
        <is>
          <t>Técnico I</t>
        </is>
      </c>
      <c r="D1477" t="n">
        <v>15</v>
      </c>
      <c r="E1477" t="n">
        <v>15</v>
      </c>
      <c r="F1477" t="n">
        <v>33.52</v>
      </c>
      <c r="G1477" t="n">
        <v>0</v>
      </c>
      <c r="H1477" t="n">
        <v>0</v>
      </c>
      <c r="I1477" s="3">
        <f>E1477+G1477+H1477</f>
        <v/>
      </c>
      <c r="J1477" s="3">
        <f>ROUND(MIN(IF(C1477="Técnico III",35,IF(C1477="Técnico II",28,IF(C1477="Técnico I",23,IF(C1477="JR",20,IF(C1477="Estágio",10,0))))),IF(C1477="Técnico III",SUMIFS($D:$D,$A:$A,$A1477,$B:$B,"&lt;&gt;Patrícia Karla de Sousa Araújo",$B:$B,"&lt;&gt;Lorena Dias de Araujo",$B:$B,"&lt;&gt;Lucas Luiz Romero")*(35/1083),IF(C1477="Técnico II",SUMIFS($D:$D,$A:$A,$A1477,$B:$B,"&lt;&gt;Patrícia Karla de Sousa Araújo",$B:$B,"&lt;&gt;Lorena Dias de Araujo",$B:$B,"&lt;&gt;Lucas Luiz Romero")*(28/1083),IF(C1477="Técnico I",SUMIFS($D:$D,$A:$A,$A1477,$B:$B,"&lt;&gt;Patrícia Karla de Sousa Araújo",$B:$B,"&lt;&gt;Lorena Dias de Araujo",$B:$B,"&lt;&gt;Lucas Luiz Romero")*(23/1083),IF(C1477="JR",SUMIFS($D:$D,$A:$A,$A1477,$B:$B,"&lt;&gt;Patrícia Karla de Sousa Araújo",$B:$B,"&lt;&gt;Lorena Dias de Araujo",$B:$B,"&lt;&gt;Lucas Luiz Romero")*(20/1083),IF(C1477="Estágio",SUMIFS($D:$D,$A:$A,$A1477,$B:$B,"&lt;&gt;Patrícia Karla de Sousa Araújo",$B:$B,"&lt;&gt;Lorena Dias de Araujo",$B:$B,"&lt;&gt;Lucas Luiz Romero")*(10/1083),0)))))),0)</f>
        <v/>
      </c>
      <c r="K1477" s="3">
        <f>I1477-J1477</f>
        <v/>
      </c>
      <c r="L1477" s="3">
        <f>IF(K1477&lt;-5,"CRÍTICO",IF(K1477&lt;0,"ATENÇÃO",IF(K1477&lt;=5,"BOM","EXCELENTE")))</f>
        <v/>
      </c>
      <c r="N1477" t="n">
        <v>100</v>
      </c>
      <c r="O1477" t="n">
        <v>31.87250996015936</v>
      </c>
    </row>
    <row r="1478" hidden="1">
      <c r="A1478" s="11" t="n">
        <v>46045</v>
      </c>
      <c r="B1478" t="inlineStr">
        <is>
          <t>Sarah Steffanie de Lima Borges</t>
        </is>
      </c>
      <c r="C1478" t="inlineStr">
        <is>
          <t>Técnico III</t>
        </is>
      </c>
      <c r="D1478" t="n">
        <v>25</v>
      </c>
      <c r="E1478" t="n">
        <v>25</v>
      </c>
      <c r="F1478" t="n">
        <v>12.34</v>
      </c>
      <c r="G1478" t="n">
        <v>0</v>
      </c>
      <c r="H1478" t="n">
        <v>0</v>
      </c>
      <c r="I1478" s="3">
        <f>E1478+G1478+H1478</f>
        <v/>
      </c>
      <c r="J1478" s="3">
        <f>ROUND(MIN(IF(C1478="Técnico III",35,IF(C1478="Técnico II",28,IF(C1478="Técnico I",23,IF(C1478="JR",20,IF(C1478="Estágio",10,0))))),IF(C1478="Técnico III",SUMIFS($D:$D,$A:$A,$A1478,$B:$B,"&lt;&gt;Patrícia Karla de Sousa Araújo",$B:$B,"&lt;&gt;Lorena Dias de Araujo",$B:$B,"&lt;&gt;Lucas Luiz Romero")*(35/1083),IF(C1478="Técnico II",SUMIFS($D:$D,$A:$A,$A1478,$B:$B,"&lt;&gt;Patrícia Karla de Sousa Araújo",$B:$B,"&lt;&gt;Lorena Dias de Araujo",$B:$B,"&lt;&gt;Lucas Luiz Romero")*(28/1083),IF(C1478="Técnico I",SUMIFS($D:$D,$A:$A,$A1478,$B:$B,"&lt;&gt;Patrícia Karla de Sousa Araújo",$B:$B,"&lt;&gt;Lorena Dias de Araujo",$B:$B,"&lt;&gt;Lucas Luiz Romero")*(23/1083),IF(C1478="JR",SUMIFS($D:$D,$A:$A,$A1478,$B:$B,"&lt;&gt;Patrícia Karla de Sousa Araújo",$B:$B,"&lt;&gt;Lorena Dias de Araujo",$B:$B,"&lt;&gt;Lucas Luiz Romero")*(20/1083),IF(C1478="Estágio",SUMIFS($D:$D,$A:$A,$A1478,$B:$B,"&lt;&gt;Patrícia Karla de Sousa Araújo",$B:$B,"&lt;&gt;Lorena Dias de Araujo",$B:$B,"&lt;&gt;Lucas Luiz Romero")*(10/1083),0)))))),0)</f>
        <v/>
      </c>
      <c r="K1478" s="3">
        <f>I1478-J1478</f>
        <v/>
      </c>
      <c r="L1478" s="3">
        <f>IF(K1478&lt;-5,"CRÍTICO",IF(K1478&lt;0,"ATENÇÃO",IF(K1478&lt;=5,"BOM","EXCELENTE")))</f>
        <v/>
      </c>
      <c r="N1478" t="n">
        <v>98.41</v>
      </c>
      <c r="O1478" t="n">
        <v>29.22465208747515</v>
      </c>
    </row>
    <row r="1479" hidden="1">
      <c r="A1479" s="11" t="n">
        <v>46048</v>
      </c>
      <c r="B1479" t="inlineStr">
        <is>
          <t>Alisson de Freitas Silva</t>
        </is>
      </c>
      <c r="C1479" t="inlineStr">
        <is>
          <t>Técnico II</t>
        </is>
      </c>
      <c r="D1479" t="n">
        <v>26</v>
      </c>
      <c r="E1479" t="n">
        <v>25</v>
      </c>
      <c r="F1479" t="n">
        <v>17.2</v>
      </c>
      <c r="G1479" t="n">
        <v>0</v>
      </c>
      <c r="H1479" t="n">
        <v>0</v>
      </c>
      <c r="I1479" s="3">
        <f>E1479+G1479+H1479</f>
        <v/>
      </c>
      <c r="J1479" s="3">
        <f>ROUND(MIN(IF(C1479="Técnico III",35,IF(C1479="Técnico II",28,IF(C1479="Técnico I",23,IF(C1479="JR",20,IF(C1479="Estágio",10,0))))),IF(C1479="Técnico III",SUMIFS($D:$D,$A:$A,$A1479,$B:$B,"&lt;&gt;Patrícia Karla de Sousa Araújo",$B:$B,"&lt;&gt;Lorena Dias de Araujo",$B:$B,"&lt;&gt;Lucas Luiz Romero")*(35/1083),IF(C1479="Técnico II",SUMIFS($D:$D,$A:$A,$A1479,$B:$B,"&lt;&gt;Patrícia Karla de Sousa Araújo",$B:$B,"&lt;&gt;Lorena Dias de Araujo",$B:$B,"&lt;&gt;Lucas Luiz Romero")*(28/1083),IF(C1479="Técnico I",SUMIFS($D:$D,$A:$A,$A1479,$B:$B,"&lt;&gt;Patrícia Karla de Sousa Araújo",$B:$B,"&lt;&gt;Lorena Dias de Araujo",$B:$B,"&lt;&gt;Lucas Luiz Romero")*(23/1083),IF(C1479="JR",SUMIFS($D:$D,$A:$A,$A1479,$B:$B,"&lt;&gt;Patrícia Karla de Sousa Araújo",$B:$B,"&lt;&gt;Lorena Dias de Araujo",$B:$B,"&lt;&gt;Lucas Luiz Romero")*(20/1083),IF(C1479="Estágio",SUMIFS($D:$D,$A:$A,$A1479,$B:$B,"&lt;&gt;Patrícia Karla de Sousa Araújo",$B:$B,"&lt;&gt;Lorena Dias de Araujo",$B:$B,"&lt;&gt;Lucas Luiz Romero")*(10/1083),0)))))),0)</f>
        <v/>
      </c>
      <c r="K1479" s="3">
        <f>I1479-J1479</f>
        <v/>
      </c>
      <c r="L1479" s="3">
        <f>IF(K1479&lt;-5,"CRÍTICO",IF(K1479&lt;0,"ATENÇÃO",IF(K1479&lt;=5,"BOM","EXCELENTE")))</f>
        <v/>
      </c>
      <c r="M1479" t="n">
        <v>19</v>
      </c>
      <c r="N1479" t="n">
        <v>97.22</v>
      </c>
      <c r="O1479" t="n">
        <v>28.99022801302932</v>
      </c>
    </row>
    <row r="1480" hidden="1">
      <c r="A1480" s="11" t="n">
        <v>46048</v>
      </c>
      <c r="B1480" t="inlineStr">
        <is>
          <t>Amanda Moura Ferreira</t>
        </is>
      </c>
      <c r="C1480" t="inlineStr">
        <is>
          <t>Técnico III</t>
        </is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s="3" t="n">
        <v>0</v>
      </c>
      <c r="J1480" s="3" t="n">
        <v>0</v>
      </c>
      <c r="K1480" s="3" t="n">
        <v>0</v>
      </c>
      <c r="L1480" s="3">
        <f>IF(K1480&lt;-5,"CRÍTICO",IF(K1480&lt;0,"ATENÇÃO",IF(K1480&lt;=5,"BOM","EXCELENTE")))</f>
        <v/>
      </c>
      <c r="M1480" t="n">
        <v>21</v>
      </c>
      <c r="N1480" t="n">
        <v>98.18000000000001</v>
      </c>
      <c r="O1480" t="n">
        <v>32.29974160206719</v>
      </c>
    </row>
    <row r="1481" hidden="1">
      <c r="A1481" s="11" t="n">
        <v>46048</v>
      </c>
      <c r="B1481" t="inlineStr">
        <is>
          <t>Ana Karollyne Souza Faria</t>
        </is>
      </c>
      <c r="C1481" t="inlineStr">
        <is>
          <t>Técnico I</t>
        </is>
      </c>
      <c r="D1481" t="n">
        <v>29</v>
      </c>
      <c r="E1481" t="n">
        <v>26</v>
      </c>
      <c r="F1481" t="n">
        <v>20.56</v>
      </c>
      <c r="G1481" t="n">
        <v>0</v>
      </c>
      <c r="H1481" t="n">
        <v>0</v>
      </c>
      <c r="I1481" s="3">
        <f>E1481+G1481+H1481</f>
        <v/>
      </c>
      <c r="J1481" s="3">
        <f>ROUND(MIN(IF(C1481="Técnico III",35,IF(C1481="Técnico II",28,IF(C1481="Técnico I",23,IF(C1481="JR",20,IF(C1481="Estágio",10,0))))),IF(C1481="Técnico III",SUMIFS($D:$D,$A:$A,$A1481,$B:$B,"&lt;&gt;Patrícia Karla de Sousa Araújo",$B:$B,"&lt;&gt;Lorena Dias de Araujo",$B:$B,"&lt;&gt;Lucas Luiz Romero")*(35/1083),IF(C1481="Técnico II",SUMIFS($D:$D,$A:$A,$A1481,$B:$B,"&lt;&gt;Patrícia Karla de Sousa Araújo",$B:$B,"&lt;&gt;Lorena Dias de Araujo",$B:$B,"&lt;&gt;Lucas Luiz Romero")*(28/1083),IF(C1481="Técnico I",SUMIFS($D:$D,$A:$A,$A1481,$B:$B,"&lt;&gt;Patrícia Karla de Sousa Araújo",$B:$B,"&lt;&gt;Lorena Dias de Araujo",$B:$B,"&lt;&gt;Lucas Luiz Romero")*(23/1083),IF(C1481="JR",SUMIFS($D:$D,$A:$A,$A1481,$B:$B,"&lt;&gt;Patrícia Karla de Sousa Araújo",$B:$B,"&lt;&gt;Lorena Dias de Araujo",$B:$B,"&lt;&gt;Lucas Luiz Romero")*(20/1083),IF(C1481="Estágio",SUMIFS($D:$D,$A:$A,$A1481,$B:$B,"&lt;&gt;Patrícia Karla de Sousa Araújo",$B:$B,"&lt;&gt;Lorena Dias de Araujo",$B:$B,"&lt;&gt;Lucas Luiz Romero")*(10/1083),0)))))),0)</f>
        <v/>
      </c>
      <c r="K1481" s="3">
        <f>I1481-J1481</f>
        <v/>
      </c>
      <c r="L1481" s="3">
        <f>IF(K1481&lt;-5,"CRÍTICO",IF(K1481&lt;0,"ATENÇÃO",IF(K1481&lt;=5,"BOM","EXCELENTE")))</f>
        <v/>
      </c>
      <c r="M1481" t="n">
        <v>27</v>
      </c>
      <c r="N1481" t="n">
        <v>98.92</v>
      </c>
      <c r="O1481" t="n">
        <v>25.78125</v>
      </c>
    </row>
    <row r="1482" hidden="1">
      <c r="A1482" s="11" t="n">
        <v>46048</v>
      </c>
      <c r="B1482" t="inlineStr">
        <is>
          <t>Ana Paula Da Luz Silva Aleixo</t>
        </is>
      </c>
      <c r="C1482" t="inlineStr">
        <is>
          <t>Técnico III</t>
        </is>
      </c>
      <c r="D1482" t="n">
        <v>28</v>
      </c>
      <c r="E1482" t="n">
        <v>24</v>
      </c>
      <c r="F1482" t="n">
        <v>25.26</v>
      </c>
      <c r="G1482" t="n">
        <v>0</v>
      </c>
      <c r="H1482" t="n">
        <v>0</v>
      </c>
      <c r="I1482" s="3">
        <f>E1482+G1482+H1482</f>
        <v/>
      </c>
      <c r="J1482" s="3">
        <f>ROUND(MIN(IF(C1482="Técnico III",35,IF(C1482="Técnico II",28,IF(C1482="Técnico I",23,IF(C1482="JR",20,IF(C1482="Estágio",10,0))))),IF(C1482="Técnico III",SUMIFS($D:$D,$A:$A,$A1482,$B:$B,"&lt;&gt;Patrícia Karla de Sousa Araújo",$B:$B,"&lt;&gt;Lorena Dias de Araujo",$B:$B,"&lt;&gt;Lucas Luiz Romero")*(35/1083),IF(C1482="Técnico II",SUMIFS($D:$D,$A:$A,$A1482,$B:$B,"&lt;&gt;Patrícia Karla de Sousa Araújo",$B:$B,"&lt;&gt;Lorena Dias de Araujo",$B:$B,"&lt;&gt;Lucas Luiz Romero")*(28/1083),IF(C1482="Técnico I",SUMIFS($D:$D,$A:$A,$A1482,$B:$B,"&lt;&gt;Patrícia Karla de Sousa Araújo",$B:$B,"&lt;&gt;Lorena Dias de Araujo",$B:$B,"&lt;&gt;Lucas Luiz Romero")*(23/1083),IF(C1482="JR",SUMIFS($D:$D,$A:$A,$A1482,$B:$B,"&lt;&gt;Patrícia Karla de Sousa Araújo",$B:$B,"&lt;&gt;Lorena Dias de Araujo",$B:$B,"&lt;&gt;Lucas Luiz Romero")*(20/1083),IF(C1482="Estágio",SUMIFS($D:$D,$A:$A,$A1482,$B:$B,"&lt;&gt;Patrícia Karla de Sousa Araújo",$B:$B,"&lt;&gt;Lorena Dias de Araujo",$B:$B,"&lt;&gt;Lucas Luiz Romero")*(10/1083),0)))))),0)</f>
        <v/>
      </c>
      <c r="K1482" s="3">
        <f>I1482-J1482</f>
        <v/>
      </c>
      <c r="L1482" s="3">
        <f>IF(K1482&lt;-5,"CRÍTICO",IF(K1482&lt;0,"ATENÇÃO",IF(K1482&lt;=5,"BOM","EXCELENTE")))</f>
        <v/>
      </c>
      <c r="M1482" t="n">
        <v>16</v>
      </c>
      <c r="N1482" t="n">
        <v>98.95</v>
      </c>
      <c r="O1482" t="n">
        <v>29.02374670184696</v>
      </c>
    </row>
    <row r="1483" hidden="1">
      <c r="A1483" s="11" t="n">
        <v>46048</v>
      </c>
      <c r="B1483" t="inlineStr">
        <is>
          <t>Anna Luiza Rezende Tavares</t>
        </is>
      </c>
      <c r="C1483" t="inlineStr">
        <is>
          <t>Estágio</t>
        </is>
      </c>
      <c r="D1483" t="n">
        <v>9</v>
      </c>
      <c r="E1483" t="n">
        <v>9</v>
      </c>
      <c r="F1483" t="n">
        <v>37.02</v>
      </c>
      <c r="G1483" t="n">
        <v>0</v>
      </c>
      <c r="H1483" t="n">
        <v>0</v>
      </c>
      <c r="I1483" s="3">
        <f>E1483+G1483+H1483</f>
        <v/>
      </c>
      <c r="J1483" s="3">
        <f>ROUND(MIN(IF(C1483="Técnico III",35,IF(C1483="Técnico II",28,IF(C1483="Técnico I",23,IF(C1483="JR",20,IF(C1483="Estágio",10,0))))),IF(C1483="Técnico III",SUMIFS($D:$D,$A:$A,$A1483,$B:$B,"&lt;&gt;Patrícia Karla de Sousa Araújo",$B:$B,"&lt;&gt;Lorena Dias de Araujo",$B:$B,"&lt;&gt;Lucas Luiz Romero")*(35/1083),IF(C1483="Técnico II",SUMIFS($D:$D,$A:$A,$A1483,$B:$B,"&lt;&gt;Patrícia Karla de Sousa Araújo",$B:$B,"&lt;&gt;Lorena Dias de Araujo",$B:$B,"&lt;&gt;Lucas Luiz Romero")*(28/1083),IF(C1483="Técnico I",SUMIFS($D:$D,$A:$A,$A1483,$B:$B,"&lt;&gt;Patrícia Karla de Sousa Araújo",$B:$B,"&lt;&gt;Lorena Dias de Araujo",$B:$B,"&lt;&gt;Lucas Luiz Romero")*(23/1083),IF(C1483="JR",SUMIFS($D:$D,$A:$A,$A1483,$B:$B,"&lt;&gt;Patrícia Karla de Sousa Araújo",$B:$B,"&lt;&gt;Lorena Dias de Araujo",$B:$B,"&lt;&gt;Lucas Luiz Romero")*(20/1083),IF(C1483="Estágio",SUMIFS($D:$D,$A:$A,$A1483,$B:$B,"&lt;&gt;Patrícia Karla de Sousa Araújo",$B:$B,"&lt;&gt;Lorena Dias de Araujo",$B:$B,"&lt;&gt;Lucas Luiz Romero")*(10/1083),0)))))),0)</f>
        <v/>
      </c>
      <c r="K1483" s="3">
        <f>I1483-J1483</f>
        <v/>
      </c>
      <c r="L1483" s="3">
        <f>IF(K1483&lt;-5,"CRÍTICO",IF(K1483&lt;0,"ATENÇÃO",IF(K1483&lt;=5,"BOM","EXCELENTE")))</f>
        <v/>
      </c>
      <c r="M1483" t="n">
        <v>7</v>
      </c>
      <c r="N1483" t="n">
        <v>100</v>
      </c>
      <c r="O1483" t="n">
        <v>40.74074074074074</v>
      </c>
    </row>
    <row r="1484" hidden="1">
      <c r="A1484" s="11" t="n">
        <v>46048</v>
      </c>
      <c r="B1484" t="inlineStr">
        <is>
          <t>Brenda de Menezes Silva</t>
        </is>
      </c>
      <c r="C1484" t="inlineStr">
        <is>
          <t>Técnico II</t>
        </is>
      </c>
      <c r="D1484" t="n">
        <v>34</v>
      </c>
      <c r="E1484" t="n">
        <v>30</v>
      </c>
      <c r="F1484" t="n">
        <v>14.12</v>
      </c>
      <c r="G1484" t="n">
        <v>0</v>
      </c>
      <c r="H1484" t="n">
        <v>0</v>
      </c>
      <c r="I1484" s="3">
        <f>E1484+G1484+H1484</f>
        <v/>
      </c>
      <c r="J1484" s="3">
        <f>ROUND(MIN(IF(C1484="Técnico III",35,IF(C1484="Técnico II",28,IF(C1484="Técnico I",23,IF(C1484="JR",20,IF(C1484="Estágio",10,0))))),IF(C1484="Técnico III",SUMIFS($D:$D,$A:$A,$A1484,$B:$B,"&lt;&gt;Patrícia Karla de Sousa Araújo",$B:$B,"&lt;&gt;Lorena Dias de Araujo",$B:$B,"&lt;&gt;Lucas Luiz Romero")*(35/1083),IF(C1484="Técnico II",SUMIFS($D:$D,$A:$A,$A1484,$B:$B,"&lt;&gt;Patrícia Karla de Sousa Araújo",$B:$B,"&lt;&gt;Lorena Dias de Araujo",$B:$B,"&lt;&gt;Lucas Luiz Romero")*(28/1083),IF(C1484="Técnico I",SUMIFS($D:$D,$A:$A,$A1484,$B:$B,"&lt;&gt;Patrícia Karla de Sousa Araújo",$B:$B,"&lt;&gt;Lorena Dias de Araujo",$B:$B,"&lt;&gt;Lucas Luiz Romero")*(23/1083),IF(C1484="JR",SUMIFS($D:$D,$A:$A,$A1484,$B:$B,"&lt;&gt;Patrícia Karla de Sousa Araújo",$B:$B,"&lt;&gt;Lorena Dias de Araujo",$B:$B,"&lt;&gt;Lucas Luiz Romero")*(20/1083),IF(C1484="Estágio",SUMIFS($D:$D,$A:$A,$A1484,$B:$B,"&lt;&gt;Patrícia Karla de Sousa Araújo",$B:$B,"&lt;&gt;Lorena Dias de Araujo",$B:$B,"&lt;&gt;Lucas Luiz Romero")*(10/1083),0)))))),0)</f>
        <v/>
      </c>
      <c r="K1484" s="3">
        <f>I1484-J1484</f>
        <v/>
      </c>
      <c r="L1484" s="3">
        <f>IF(K1484&lt;-5,"CRÍTICO",IF(K1484&lt;0,"ATENÇÃO",IF(K1484&lt;=5,"BOM","EXCELENTE")))</f>
        <v/>
      </c>
      <c r="M1484" t="n">
        <v>30</v>
      </c>
      <c r="N1484" t="n">
        <v>98.31999999999999</v>
      </c>
      <c r="O1484" t="n">
        <v>28.80952380952381</v>
      </c>
    </row>
    <row r="1485" hidden="1">
      <c r="A1485" s="11" t="n">
        <v>46048</v>
      </c>
      <c r="B1485" t="inlineStr">
        <is>
          <t>Carlos Mateus Cassimiro Nunes</t>
        </is>
      </c>
      <c r="C1485" t="inlineStr">
        <is>
          <t>Técnico II</t>
        </is>
      </c>
      <c r="D1485" t="n">
        <v>23</v>
      </c>
      <c r="E1485" t="n">
        <v>23</v>
      </c>
      <c r="F1485" t="n">
        <v>28.35</v>
      </c>
      <c r="G1485" t="n">
        <v>0</v>
      </c>
      <c r="H1485" t="n">
        <v>0</v>
      </c>
      <c r="I1485" s="3">
        <f>E1485+G1485+H1485</f>
        <v/>
      </c>
      <c r="J1485" s="3">
        <f>ROUND(MIN(IF(C1485="Técnico III",35,IF(C1485="Técnico II",28,IF(C1485="Técnico I",23,IF(C1485="JR",20,IF(C1485="Estágio",10,0))))),IF(C1485="Técnico III",SUMIFS($D:$D,$A:$A,$A1485,$B:$B,"&lt;&gt;Patrícia Karla de Sousa Araújo",$B:$B,"&lt;&gt;Lorena Dias de Araujo",$B:$B,"&lt;&gt;Lucas Luiz Romero")*(35/1083),IF(C1485="Técnico II",SUMIFS($D:$D,$A:$A,$A1485,$B:$B,"&lt;&gt;Patrícia Karla de Sousa Araújo",$B:$B,"&lt;&gt;Lorena Dias de Araujo",$B:$B,"&lt;&gt;Lucas Luiz Romero")*(28/1083),IF(C1485="Técnico I",SUMIFS($D:$D,$A:$A,$A1485,$B:$B,"&lt;&gt;Patrícia Karla de Sousa Araújo",$B:$B,"&lt;&gt;Lorena Dias de Araujo",$B:$B,"&lt;&gt;Lucas Luiz Romero")*(23/1083),IF(C1485="JR",SUMIFS($D:$D,$A:$A,$A1485,$B:$B,"&lt;&gt;Patrícia Karla de Sousa Araújo",$B:$B,"&lt;&gt;Lorena Dias de Araujo",$B:$B,"&lt;&gt;Lucas Luiz Romero")*(20/1083),IF(C1485="Estágio",SUMIFS($D:$D,$A:$A,$A1485,$B:$B,"&lt;&gt;Patrícia Karla de Sousa Araújo",$B:$B,"&lt;&gt;Lorena Dias de Araujo",$B:$B,"&lt;&gt;Lucas Luiz Romero")*(10/1083),0)))))),0)</f>
        <v/>
      </c>
      <c r="K1485" s="3">
        <f>I1485-J1485</f>
        <v/>
      </c>
      <c r="L1485" s="3">
        <f>IF(K1485&lt;-5,"CRÍTICO",IF(K1485&lt;0,"ATENÇÃO",IF(K1485&lt;=5,"BOM","EXCELENTE")))</f>
        <v/>
      </c>
      <c r="M1485" t="n">
        <v>21</v>
      </c>
      <c r="N1485" t="n">
        <v>100</v>
      </c>
      <c r="O1485" t="n">
        <v>35.76158940397351</v>
      </c>
    </row>
    <row r="1486" hidden="1">
      <c r="A1486" s="11" t="n">
        <v>46048</v>
      </c>
      <c r="B1486" t="inlineStr">
        <is>
          <t>Claudio de Sousa Velasco Filho</t>
        </is>
      </c>
      <c r="C1486" t="inlineStr">
        <is>
          <t>Estágio</t>
        </is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s="3" t="n">
        <v>0</v>
      </c>
      <c r="J1486" s="3" t="n">
        <v>0</v>
      </c>
      <c r="K1486" s="3" t="n">
        <v>0</v>
      </c>
      <c r="L1486" s="3">
        <f>IF(K1486&lt;-5,"CRÍTICO",IF(K1486&lt;0,"ATENÇÃO",IF(K1486&lt;=5,"BOM","EXCELENTE")))</f>
        <v/>
      </c>
      <c r="M1486" t="n">
        <v>0</v>
      </c>
      <c r="N1486" t="n">
        <v>0</v>
      </c>
      <c r="O1486" t="n">
        <v>0</v>
      </c>
    </row>
    <row r="1487" hidden="1">
      <c r="A1487" s="11" t="n">
        <v>46048</v>
      </c>
      <c r="B1487" t="inlineStr">
        <is>
          <t>Clessiane Pereira dos Santos</t>
        </is>
      </c>
      <c r="C1487" t="inlineStr">
        <is>
          <t>Técnico I</t>
        </is>
      </c>
      <c r="D1487" t="n">
        <v>21</v>
      </c>
      <c r="E1487" t="n">
        <v>20</v>
      </c>
      <c r="F1487" t="n">
        <v>25.2</v>
      </c>
      <c r="G1487" t="n">
        <v>0</v>
      </c>
      <c r="H1487" t="n">
        <v>0</v>
      </c>
      <c r="I1487" s="3">
        <f>E1487+G1487+H1487</f>
        <v/>
      </c>
      <c r="J1487" s="3">
        <f>ROUND(MIN(IF(C1487="Técnico III",35,IF(C1487="Técnico II",28,IF(C1487="Técnico I",23,IF(C1487="JR",20,IF(C1487="Estágio",10,0))))),IF(C1487="Técnico III",SUMIFS($D:$D,$A:$A,$A1487,$B:$B,"&lt;&gt;Patrícia Karla de Sousa Araújo",$B:$B,"&lt;&gt;Lorena Dias de Araujo",$B:$B,"&lt;&gt;Lucas Luiz Romero")*(35/1083),IF(C1487="Técnico II",SUMIFS($D:$D,$A:$A,$A1487,$B:$B,"&lt;&gt;Patrícia Karla de Sousa Araújo",$B:$B,"&lt;&gt;Lorena Dias de Araujo",$B:$B,"&lt;&gt;Lucas Luiz Romero")*(28/1083),IF(C1487="Técnico I",SUMIFS($D:$D,$A:$A,$A1487,$B:$B,"&lt;&gt;Patrícia Karla de Sousa Araújo",$B:$B,"&lt;&gt;Lorena Dias de Araujo",$B:$B,"&lt;&gt;Lucas Luiz Romero")*(23/1083),IF(C1487="JR",SUMIFS($D:$D,$A:$A,$A1487,$B:$B,"&lt;&gt;Patrícia Karla de Sousa Araújo",$B:$B,"&lt;&gt;Lorena Dias de Araujo",$B:$B,"&lt;&gt;Lucas Luiz Romero")*(20/1083),IF(C1487="Estágio",SUMIFS($D:$D,$A:$A,$A1487,$B:$B,"&lt;&gt;Patrícia Karla de Sousa Araújo",$B:$B,"&lt;&gt;Lorena Dias de Araujo",$B:$B,"&lt;&gt;Lucas Luiz Romero")*(10/1083),0)))))),0)</f>
        <v/>
      </c>
      <c r="K1487" s="3">
        <f>I1487-J1487</f>
        <v/>
      </c>
      <c r="L1487" s="3">
        <f>IF(K1487&lt;-5,"CRÍTICO",IF(K1487&lt;0,"ATENÇÃO",IF(K1487&lt;=5,"BOM","EXCELENTE")))</f>
        <v/>
      </c>
      <c r="M1487" t="n">
        <v>19</v>
      </c>
      <c r="N1487" t="n">
        <v>100</v>
      </c>
      <c r="O1487" t="n">
        <v>27.49003984063745</v>
      </c>
    </row>
    <row r="1488" hidden="1">
      <c r="A1488" s="11" t="n">
        <v>46048</v>
      </c>
      <c r="B1488" t="inlineStr">
        <is>
          <t>Cristiane Ramos da Silva Rocha</t>
        </is>
      </c>
      <c r="C1488" t="inlineStr">
        <is>
          <t>Técnico III</t>
        </is>
      </c>
      <c r="D1488" t="n">
        <v>34</v>
      </c>
      <c r="E1488" t="n">
        <v>28</v>
      </c>
      <c r="F1488" t="n">
        <v>13.45</v>
      </c>
      <c r="G1488" t="n">
        <v>0</v>
      </c>
      <c r="H1488" t="n">
        <v>0</v>
      </c>
      <c r="I1488" s="3">
        <f>E1488+G1488+H1488</f>
        <v/>
      </c>
      <c r="J1488" s="3">
        <f>ROUND(MIN(IF(C1488="Técnico III",35,IF(C1488="Técnico II",28,IF(C1488="Técnico I",23,IF(C1488="JR",20,IF(C1488="Estágio",10,0))))),IF(C1488="Técnico III",SUMIFS($D:$D,$A:$A,$A1488,$B:$B,"&lt;&gt;Patrícia Karla de Sousa Araújo",$B:$B,"&lt;&gt;Lorena Dias de Araujo",$B:$B,"&lt;&gt;Lucas Luiz Romero")*(35/1083),IF(C1488="Técnico II",SUMIFS($D:$D,$A:$A,$A1488,$B:$B,"&lt;&gt;Patrícia Karla de Sousa Araújo",$B:$B,"&lt;&gt;Lorena Dias de Araujo",$B:$B,"&lt;&gt;Lucas Luiz Romero")*(28/1083),IF(C1488="Técnico I",SUMIFS($D:$D,$A:$A,$A1488,$B:$B,"&lt;&gt;Patrícia Karla de Sousa Araújo",$B:$B,"&lt;&gt;Lorena Dias de Araujo",$B:$B,"&lt;&gt;Lucas Luiz Romero")*(23/1083),IF(C1488="JR",SUMIFS($D:$D,$A:$A,$A1488,$B:$B,"&lt;&gt;Patrícia Karla de Sousa Araújo",$B:$B,"&lt;&gt;Lorena Dias de Araujo",$B:$B,"&lt;&gt;Lucas Luiz Romero")*(20/1083),IF(C1488="Estágio",SUMIFS($D:$D,$A:$A,$A1488,$B:$B,"&lt;&gt;Patrícia Karla de Sousa Araújo",$B:$B,"&lt;&gt;Lorena Dias de Araujo",$B:$B,"&lt;&gt;Lucas Luiz Romero")*(10/1083),0)))))),0)</f>
        <v/>
      </c>
      <c r="K1488" s="3">
        <f>I1488-J1488</f>
        <v/>
      </c>
      <c r="L1488" s="3">
        <f>IF(K1488&lt;-5,"CRÍTICO",IF(K1488&lt;0,"ATENÇÃO",IF(K1488&lt;=5,"BOM","EXCELENTE")))</f>
        <v/>
      </c>
      <c r="M1488" t="n">
        <v>30</v>
      </c>
      <c r="N1488" t="n">
        <v>96.70999999999999</v>
      </c>
      <c r="O1488" t="n">
        <v>42.28187919463087</v>
      </c>
    </row>
    <row r="1489" hidden="1">
      <c r="A1489" s="11" t="n">
        <v>46048</v>
      </c>
      <c r="B1489" t="inlineStr">
        <is>
          <t>Damyllis Lorraine de Oliveira Gonçalves</t>
        </is>
      </c>
      <c r="C1489" t="inlineStr">
        <is>
          <t>Técnico II</t>
        </is>
      </c>
      <c r="D1489" t="n">
        <v>30</v>
      </c>
      <c r="E1489" t="n">
        <v>21</v>
      </c>
      <c r="F1489" t="n">
        <v>20.24</v>
      </c>
      <c r="G1489" t="n">
        <v>0</v>
      </c>
      <c r="H1489" t="n">
        <v>0</v>
      </c>
      <c r="I1489" s="3" t="n">
        <v>0</v>
      </c>
      <c r="J1489" s="3" t="n">
        <v>0</v>
      </c>
      <c r="K1489" s="3" t="n">
        <v>0</v>
      </c>
      <c r="L1489" s="3">
        <f>IF(K1489&lt;-5,"CRÍTICO",IF(K1489&lt;0,"ATENÇÃO",IF(K1489&lt;=5,"BOM","EXCELENTE")))</f>
        <v/>
      </c>
      <c r="M1489" t="n">
        <v>21</v>
      </c>
      <c r="N1489" t="n">
        <v>95.65000000000001</v>
      </c>
      <c r="O1489" t="n">
        <v>29.74504249291784</v>
      </c>
    </row>
    <row r="1490" hidden="1">
      <c r="A1490" s="11" t="n">
        <v>46048</v>
      </c>
      <c r="B1490" t="inlineStr">
        <is>
          <t>Daniel Gomes da Silva</t>
        </is>
      </c>
      <c r="C1490" t="inlineStr">
        <is>
          <t>Técnico I</t>
        </is>
      </c>
      <c r="D1490" t="n">
        <v>11</v>
      </c>
      <c r="E1490" t="n">
        <v>11</v>
      </c>
      <c r="F1490" t="n">
        <v>60.52</v>
      </c>
      <c r="G1490" t="n">
        <v>0</v>
      </c>
      <c r="H1490" t="n">
        <v>0</v>
      </c>
      <c r="I1490" s="3">
        <f>E1490+G1490+H1490</f>
        <v/>
      </c>
      <c r="J1490" s="3">
        <f>ROUND(MIN(IF(C1490="Técnico III",35,IF(C1490="Técnico II",28,IF(C1490="Técnico I",23,IF(C1490="JR",20,IF(C1490="Estágio",10,0))))),IF(C1490="Técnico III",SUMIFS($D:$D,$A:$A,$A1490,$B:$B,"&lt;&gt;Patrícia Karla de Sousa Araújo",$B:$B,"&lt;&gt;Lorena Dias de Araujo",$B:$B,"&lt;&gt;Lucas Luiz Romero")*(35/1083),IF(C1490="Técnico II",SUMIFS($D:$D,$A:$A,$A1490,$B:$B,"&lt;&gt;Patrícia Karla de Sousa Araújo",$B:$B,"&lt;&gt;Lorena Dias de Araujo",$B:$B,"&lt;&gt;Lucas Luiz Romero")*(28/1083),IF(C1490="Técnico I",SUMIFS($D:$D,$A:$A,$A1490,$B:$B,"&lt;&gt;Patrícia Karla de Sousa Araújo",$B:$B,"&lt;&gt;Lorena Dias de Araujo",$B:$B,"&lt;&gt;Lucas Luiz Romero")*(23/1083),IF(C1490="JR",SUMIFS($D:$D,$A:$A,$A1490,$B:$B,"&lt;&gt;Patrícia Karla de Sousa Araújo",$B:$B,"&lt;&gt;Lorena Dias de Araujo",$B:$B,"&lt;&gt;Lucas Luiz Romero")*(20/1083),IF(C1490="Estágio",SUMIFS($D:$D,$A:$A,$A1490,$B:$B,"&lt;&gt;Patrícia Karla de Sousa Araújo",$B:$B,"&lt;&gt;Lorena Dias de Araujo",$B:$B,"&lt;&gt;Lucas Luiz Romero")*(10/1083),0)))))),0)</f>
        <v/>
      </c>
      <c r="K1490" s="3">
        <f>I1490-J1490</f>
        <v/>
      </c>
      <c r="L1490" s="3">
        <f>IF(K1490&lt;-5,"CRÍTICO",IF(K1490&lt;0,"ATENÇÃO",IF(K1490&lt;=5,"BOM","EXCELENTE")))</f>
        <v/>
      </c>
      <c r="M1490" t="n">
        <v>11</v>
      </c>
      <c r="N1490" t="n">
        <v>100</v>
      </c>
      <c r="O1490" t="n">
        <v>26.93333333333333</v>
      </c>
    </row>
    <row r="1491" hidden="1">
      <c r="A1491" s="11" t="n">
        <v>46048</v>
      </c>
      <c r="B1491" t="inlineStr">
        <is>
          <t>Davylla Rodrigues Freitas Silva</t>
        </is>
      </c>
      <c r="C1491" t="inlineStr">
        <is>
          <t>Técnico III</t>
        </is>
      </c>
      <c r="D1491" t="n">
        <v>11</v>
      </c>
      <c r="E1491" t="n">
        <v>10</v>
      </c>
      <c r="F1491" t="n">
        <v>18.54</v>
      </c>
      <c r="G1491" t="n">
        <v>0</v>
      </c>
      <c r="H1491" t="n">
        <v>0</v>
      </c>
      <c r="I1491" s="3" t="n">
        <v>0</v>
      </c>
      <c r="J1491" s="3" t="n">
        <v>0</v>
      </c>
      <c r="K1491" s="3" t="n">
        <v>0</v>
      </c>
      <c r="L1491" s="3">
        <f>IF(K1491&lt;-5,"CRÍTICO",IF(K1491&lt;0,"ATENÇÃO",IF(K1491&lt;=5,"BOM","EXCELENTE")))</f>
        <v/>
      </c>
      <c r="M1491" t="n">
        <v>8</v>
      </c>
      <c r="N1491" t="n">
        <v>100</v>
      </c>
      <c r="O1491" t="n">
        <v>41.86666666666667</v>
      </c>
    </row>
    <row r="1492" hidden="1">
      <c r="A1492" s="11" t="n">
        <v>46048</v>
      </c>
      <c r="B1492" t="inlineStr">
        <is>
          <t>Emilly Caylane Costa</t>
        </is>
      </c>
      <c r="C1492" t="inlineStr">
        <is>
          <t>Estágio</t>
        </is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s="3" t="n">
        <v>0</v>
      </c>
      <c r="J1492" s="3" t="n">
        <v>0</v>
      </c>
      <c r="K1492" s="3" t="n">
        <v>0</v>
      </c>
      <c r="L1492" s="3">
        <f>IF(K1492&lt;-5,"CRÍTICO",IF(K1492&lt;0,"ATENÇÃO",IF(K1492&lt;=5,"BOM","EXCELENTE")))</f>
        <v/>
      </c>
      <c r="M1492" t="n">
        <v>0</v>
      </c>
      <c r="N1492" t="n">
        <v>0</v>
      </c>
      <c r="O1492" t="n">
        <v>0</v>
      </c>
    </row>
    <row r="1493" hidden="1">
      <c r="A1493" s="11" t="n">
        <v>46048</v>
      </c>
      <c r="B1493" t="inlineStr">
        <is>
          <t>Emilly Kamilly Medeiros Miranda</t>
        </is>
      </c>
      <c r="C1493" t="inlineStr">
        <is>
          <t>Técnico II</t>
        </is>
      </c>
      <c r="D1493" t="n">
        <v>32</v>
      </c>
      <c r="E1493" t="n">
        <v>31</v>
      </c>
      <c r="F1493" t="n">
        <v>18.47</v>
      </c>
      <c r="G1493" t="n">
        <v>0</v>
      </c>
      <c r="H1493" t="n">
        <v>0</v>
      </c>
      <c r="I1493" s="3">
        <f>E1493+G1493+H1493</f>
        <v/>
      </c>
      <c r="J1493" s="3">
        <f>ROUND(MIN(IF(C1493="Técnico III",35,IF(C1493="Técnico II",28,IF(C1493="Técnico I",23,IF(C1493="JR",20,IF(C1493="Estágio",10,0))))),IF(C1493="Técnico III",SUMIFS($D:$D,$A:$A,$A1493,$B:$B,"&lt;&gt;Patrícia Karla de Sousa Araújo",$B:$B,"&lt;&gt;Lorena Dias de Araujo",$B:$B,"&lt;&gt;Lucas Luiz Romero")*(35/1083),IF(C1493="Técnico II",SUMIFS($D:$D,$A:$A,$A1493,$B:$B,"&lt;&gt;Patrícia Karla de Sousa Araújo",$B:$B,"&lt;&gt;Lorena Dias de Araujo",$B:$B,"&lt;&gt;Lucas Luiz Romero")*(28/1083),IF(C1493="Técnico I",SUMIFS($D:$D,$A:$A,$A1493,$B:$B,"&lt;&gt;Patrícia Karla de Sousa Araújo",$B:$B,"&lt;&gt;Lorena Dias de Araujo",$B:$B,"&lt;&gt;Lucas Luiz Romero")*(23/1083),IF(C1493="JR",SUMIFS($D:$D,$A:$A,$A1493,$B:$B,"&lt;&gt;Patrícia Karla de Sousa Araújo",$B:$B,"&lt;&gt;Lorena Dias de Araujo",$B:$B,"&lt;&gt;Lucas Luiz Romero")*(20/1083),IF(C1493="Estágio",SUMIFS($D:$D,$A:$A,$A1493,$B:$B,"&lt;&gt;Patrícia Karla de Sousa Araújo",$B:$B,"&lt;&gt;Lorena Dias de Araujo",$B:$B,"&lt;&gt;Lucas Luiz Romero")*(10/1083),0)))))),0)</f>
        <v/>
      </c>
      <c r="K1493" s="3">
        <f>I1493-J1493</f>
        <v/>
      </c>
      <c r="L1493" s="3">
        <f>IF(K1493&lt;-5,"CRÍTICO",IF(K1493&lt;0,"ATENÇÃO",IF(K1493&lt;=5,"BOM","EXCELENTE")))</f>
        <v/>
      </c>
      <c r="M1493" t="n">
        <v>28</v>
      </c>
      <c r="N1493" t="n">
        <v>100</v>
      </c>
      <c r="O1493" t="n">
        <v>34.28571428571428</v>
      </c>
    </row>
    <row r="1494" hidden="1">
      <c r="A1494" s="11" t="n">
        <v>46048</v>
      </c>
      <c r="B1494" t="inlineStr">
        <is>
          <t>Francielson de Oliveira</t>
        </is>
      </c>
      <c r="C1494" t="inlineStr">
        <is>
          <t>Técnico III</t>
        </is>
      </c>
      <c r="D1494" t="n">
        <v>28</v>
      </c>
      <c r="E1494" t="n">
        <v>25</v>
      </c>
      <c r="F1494" t="n">
        <v>15.56</v>
      </c>
      <c r="G1494" t="n">
        <v>0</v>
      </c>
      <c r="H1494" t="n">
        <v>0</v>
      </c>
      <c r="I1494" s="3">
        <f>E1494+G1494+H1494</f>
        <v/>
      </c>
      <c r="J1494" s="3">
        <f>ROUND(MIN(IF(C1494="Técnico III",35,IF(C1494="Técnico II",28,IF(C1494="Técnico I",23,IF(C1494="JR",20,IF(C1494="Estágio",10,0))))),IF(C1494="Técnico III",SUMIFS($D:$D,$A:$A,$A1494,$B:$B,"&lt;&gt;Patrícia Karla de Sousa Araújo",$B:$B,"&lt;&gt;Lorena Dias de Araujo",$B:$B,"&lt;&gt;Lucas Luiz Romero")*(35/1083),IF(C1494="Técnico II",SUMIFS($D:$D,$A:$A,$A1494,$B:$B,"&lt;&gt;Patrícia Karla de Sousa Araújo",$B:$B,"&lt;&gt;Lorena Dias de Araujo",$B:$B,"&lt;&gt;Lucas Luiz Romero")*(28/1083),IF(C1494="Técnico I",SUMIFS($D:$D,$A:$A,$A1494,$B:$B,"&lt;&gt;Patrícia Karla de Sousa Araújo",$B:$B,"&lt;&gt;Lorena Dias de Araujo",$B:$B,"&lt;&gt;Lucas Luiz Romero")*(23/1083),IF(C1494="JR",SUMIFS($D:$D,$A:$A,$A1494,$B:$B,"&lt;&gt;Patrícia Karla de Sousa Araújo",$B:$B,"&lt;&gt;Lorena Dias de Araujo",$B:$B,"&lt;&gt;Lucas Luiz Romero")*(20/1083),IF(C1494="Estágio",SUMIFS($D:$D,$A:$A,$A1494,$B:$B,"&lt;&gt;Patrícia Karla de Sousa Araújo",$B:$B,"&lt;&gt;Lorena Dias de Araujo",$B:$B,"&lt;&gt;Lucas Luiz Romero")*(10/1083),0)))))),0)</f>
        <v/>
      </c>
      <c r="K1494" s="3">
        <f>I1494-J1494</f>
        <v/>
      </c>
      <c r="L1494" s="3">
        <f>IF(K1494&lt;-5,"CRÍTICO",IF(K1494&lt;0,"ATENÇÃO",IF(K1494&lt;=5,"BOM","EXCELENTE")))</f>
        <v/>
      </c>
      <c r="M1494" t="n">
        <v>26</v>
      </c>
      <c r="N1494" t="n">
        <v>100</v>
      </c>
      <c r="O1494" t="n">
        <v>32.3262839879154</v>
      </c>
    </row>
    <row r="1495" hidden="1">
      <c r="A1495" s="11" t="n">
        <v>46048</v>
      </c>
      <c r="B1495" t="inlineStr">
        <is>
          <t>Francilene Ferreira de Jesus</t>
        </is>
      </c>
      <c r="C1495" t="inlineStr">
        <is>
          <t>Técnico II</t>
        </is>
      </c>
      <c r="D1495" t="n">
        <v>25</v>
      </c>
      <c r="E1495" t="n">
        <v>24</v>
      </c>
      <c r="F1495" t="n">
        <v>27.03</v>
      </c>
      <c r="G1495" t="n">
        <v>0</v>
      </c>
      <c r="H1495" t="n">
        <v>0</v>
      </c>
      <c r="I1495" s="3">
        <f>E1495+G1495+H1495</f>
        <v/>
      </c>
      <c r="J1495" s="3">
        <f>ROUND(MIN(IF(C1495="Técnico III",35,IF(C1495="Técnico II",28,IF(C1495="Técnico I",23,IF(C1495="JR",20,IF(C1495="Estágio",10,0))))),IF(C1495="Técnico III",SUMIFS($D:$D,$A:$A,$A1495,$B:$B,"&lt;&gt;Patrícia Karla de Sousa Araújo",$B:$B,"&lt;&gt;Lorena Dias de Araujo",$B:$B,"&lt;&gt;Lucas Luiz Romero")*(35/1083),IF(C1495="Técnico II",SUMIFS($D:$D,$A:$A,$A1495,$B:$B,"&lt;&gt;Patrícia Karla de Sousa Araújo",$B:$B,"&lt;&gt;Lorena Dias de Araujo",$B:$B,"&lt;&gt;Lucas Luiz Romero")*(28/1083),IF(C1495="Técnico I",SUMIFS($D:$D,$A:$A,$A1495,$B:$B,"&lt;&gt;Patrícia Karla de Sousa Araújo",$B:$B,"&lt;&gt;Lorena Dias de Araujo",$B:$B,"&lt;&gt;Lucas Luiz Romero")*(23/1083),IF(C1495="JR",SUMIFS($D:$D,$A:$A,$A1495,$B:$B,"&lt;&gt;Patrícia Karla de Sousa Araújo",$B:$B,"&lt;&gt;Lorena Dias de Araujo",$B:$B,"&lt;&gt;Lucas Luiz Romero")*(20/1083),IF(C1495="Estágio",SUMIFS($D:$D,$A:$A,$A1495,$B:$B,"&lt;&gt;Patrícia Karla de Sousa Araújo",$B:$B,"&lt;&gt;Lorena Dias de Araujo",$B:$B,"&lt;&gt;Lucas Luiz Romero")*(10/1083),0)))))),0)</f>
        <v/>
      </c>
      <c r="K1495" s="3">
        <f>I1495-J1495</f>
        <v/>
      </c>
      <c r="L1495" s="3">
        <f>IF(K1495&lt;-5,"CRÍTICO",IF(K1495&lt;0,"ATENÇÃO",IF(K1495&lt;=5,"BOM","EXCELENTE")))</f>
        <v/>
      </c>
      <c r="M1495" t="n">
        <v>21</v>
      </c>
      <c r="N1495" t="n">
        <v>99.11</v>
      </c>
      <c r="O1495" t="n">
        <v>32.38636363636363</v>
      </c>
    </row>
    <row r="1496" hidden="1">
      <c r="A1496" s="11" t="n">
        <v>46080</v>
      </c>
      <c r="B1496" t="inlineStr">
        <is>
          <t>Gabriel Gomes de Andrade</t>
        </is>
      </c>
      <c r="C1496" t="inlineStr">
        <is>
          <t>Técnico I</t>
        </is>
      </c>
      <c r="D1496" t="n">
        <v>13</v>
      </c>
      <c r="E1496" t="n">
        <v>13</v>
      </c>
      <c r="F1496" t="n">
        <v>24.18</v>
      </c>
      <c r="G1496" t="n">
        <v>0</v>
      </c>
      <c r="H1496" t="n">
        <v>0</v>
      </c>
      <c r="I1496" s="3">
        <f>E1496+G1496+H1496</f>
        <v/>
      </c>
      <c r="J1496" s="3">
        <f>ROUND(MIN(IF(C1496="Técnico III",35,IF(C1496="Técnico II",28,IF(C1496="Técnico I",23,IF(C1496="JR",20,IF(C1496="Estágio",10,0))))),IF(C1496="Técnico III",SUMIFS($D:$D,$A:$A,$A1496,$B:$B,"&lt;&gt;Patrícia Karla de Sousa Araújo",$B:$B,"&lt;&gt;Lorena Dias de Araujo",$B:$B,"&lt;&gt;Lucas Luiz Romero")*(35/1083),IF(C1496="Técnico II",SUMIFS($D:$D,$A:$A,$A1496,$B:$B,"&lt;&gt;Patrícia Karla de Sousa Araújo",$B:$B,"&lt;&gt;Lorena Dias de Araujo",$B:$B,"&lt;&gt;Lucas Luiz Romero")*(28/1083),IF(C1496="Técnico I",SUMIFS($D:$D,$A:$A,$A1496,$B:$B,"&lt;&gt;Patrícia Karla de Sousa Araújo",$B:$B,"&lt;&gt;Lorena Dias de Araujo",$B:$B,"&lt;&gt;Lucas Luiz Romero")*(23/1083),IF(C1496="JR",SUMIFS($D:$D,$A:$A,$A1496,$B:$B,"&lt;&gt;Patrícia Karla de Sousa Araújo",$B:$B,"&lt;&gt;Lorena Dias de Araujo",$B:$B,"&lt;&gt;Lucas Luiz Romero")*(20/1083),IF(C1496="Estágio",SUMIFS($D:$D,$A:$A,$A1496,$B:$B,"&lt;&gt;Patrícia Karla de Sousa Araújo",$B:$B,"&lt;&gt;Lorena Dias de Araujo",$B:$B,"&lt;&gt;Lucas Luiz Romero")*(10/1083),0)))))),0)</f>
        <v/>
      </c>
      <c r="K1496" s="3">
        <f>I1496-J1496</f>
        <v/>
      </c>
      <c r="L1496" s="3">
        <f>IF(K1496&lt;-5,"CRÍTICO",IF(K1496&lt;0,"ATENÇÃO",IF(K1496&lt;=5,"BOM","EXCELENTE")))</f>
        <v/>
      </c>
      <c r="N1496" t="n">
        <v>96.67</v>
      </c>
      <c r="O1496" t="n">
        <v>31.45161290322581</v>
      </c>
    </row>
    <row r="1497" hidden="1">
      <c r="A1497" s="11" t="n">
        <v>46048</v>
      </c>
      <c r="B1497" t="inlineStr">
        <is>
          <t>Isabella Borges de Oliveira</t>
        </is>
      </c>
      <c r="C1497" t="inlineStr">
        <is>
          <t>Técnico II</t>
        </is>
      </c>
      <c r="D1497" t="n">
        <v>32</v>
      </c>
      <c r="E1497" t="n">
        <v>26</v>
      </c>
      <c r="F1497" t="n">
        <v>17.29</v>
      </c>
      <c r="G1497" t="n">
        <v>0</v>
      </c>
      <c r="H1497" t="n">
        <v>0</v>
      </c>
      <c r="I1497" s="3">
        <f>E1497+G1497+H1497</f>
        <v/>
      </c>
      <c r="J1497" s="3">
        <f>ROUND(MIN(IF(C1497="Técnico III",35,IF(C1497="Técnico II",28,IF(C1497="Técnico I",23,IF(C1497="JR",20,IF(C1497="Estágio",10,0))))),IF(C1497="Técnico III",SUMIFS($D:$D,$A:$A,$A1497,$B:$B,"&lt;&gt;Patrícia Karla de Sousa Araújo",$B:$B,"&lt;&gt;Lorena Dias de Araujo",$B:$B,"&lt;&gt;Lucas Luiz Romero")*(35/1083),IF(C1497="Técnico II",SUMIFS($D:$D,$A:$A,$A1497,$B:$B,"&lt;&gt;Patrícia Karla de Sousa Araújo",$B:$B,"&lt;&gt;Lorena Dias de Araujo",$B:$B,"&lt;&gt;Lucas Luiz Romero")*(28/1083),IF(C1497="Técnico I",SUMIFS($D:$D,$A:$A,$A1497,$B:$B,"&lt;&gt;Patrícia Karla de Sousa Araújo",$B:$B,"&lt;&gt;Lorena Dias de Araujo",$B:$B,"&lt;&gt;Lucas Luiz Romero")*(23/1083),IF(C1497="JR",SUMIFS($D:$D,$A:$A,$A1497,$B:$B,"&lt;&gt;Patrícia Karla de Sousa Araújo",$B:$B,"&lt;&gt;Lorena Dias de Araujo",$B:$B,"&lt;&gt;Lucas Luiz Romero")*(20/1083),IF(C1497="Estágio",SUMIFS($D:$D,$A:$A,$A1497,$B:$B,"&lt;&gt;Patrícia Karla de Sousa Araújo",$B:$B,"&lt;&gt;Lorena Dias de Araujo",$B:$B,"&lt;&gt;Lucas Luiz Romero")*(10/1083),0)))))),0)</f>
        <v/>
      </c>
      <c r="K1497" s="3">
        <f>I1497-J1497</f>
        <v/>
      </c>
      <c r="L1497" s="3">
        <f>IF(K1497&lt;-5,"CRÍTICO",IF(K1497&lt;0,"ATENÇÃO",IF(K1497&lt;=5,"BOM","EXCELENTE")))</f>
        <v/>
      </c>
      <c r="M1497" t="n">
        <v>24</v>
      </c>
      <c r="N1497" t="n">
        <v>100</v>
      </c>
      <c r="O1497" t="n">
        <v>28.83597883597884</v>
      </c>
    </row>
    <row r="1498" hidden="1">
      <c r="A1498" s="11" t="n">
        <v>46048</v>
      </c>
      <c r="B1498" t="inlineStr">
        <is>
          <t>Janaina Lima dos Reis Urany</t>
        </is>
      </c>
      <c r="C1498" t="inlineStr">
        <is>
          <t>Técnico III</t>
        </is>
      </c>
      <c r="D1498" t="n">
        <v>42</v>
      </c>
      <c r="E1498" t="n">
        <v>38</v>
      </c>
      <c r="F1498" t="n">
        <v>13.39</v>
      </c>
      <c r="G1498" t="n">
        <v>0</v>
      </c>
      <c r="H1498" t="n">
        <v>0</v>
      </c>
      <c r="I1498" s="3">
        <f>E1498+G1498+H1498</f>
        <v/>
      </c>
      <c r="J1498" s="3">
        <f>ROUND(MIN(IF(C1498="Técnico III",35,IF(C1498="Técnico II",28,IF(C1498="Técnico I",23,IF(C1498="JR",20,IF(C1498="Estágio",10,0))))),IF(C1498="Técnico III",SUMIFS($D:$D,$A:$A,$A1498,$B:$B,"&lt;&gt;Patrícia Karla de Sousa Araújo",$B:$B,"&lt;&gt;Lorena Dias de Araujo",$B:$B,"&lt;&gt;Lucas Luiz Romero")*(35/1083),IF(C1498="Técnico II",SUMIFS($D:$D,$A:$A,$A1498,$B:$B,"&lt;&gt;Patrícia Karla de Sousa Araújo",$B:$B,"&lt;&gt;Lorena Dias de Araujo",$B:$B,"&lt;&gt;Lucas Luiz Romero")*(28/1083),IF(C1498="Técnico I",SUMIFS($D:$D,$A:$A,$A1498,$B:$B,"&lt;&gt;Patrícia Karla de Sousa Araújo",$B:$B,"&lt;&gt;Lorena Dias de Araujo",$B:$B,"&lt;&gt;Lucas Luiz Romero")*(23/1083),IF(C1498="JR",SUMIFS($D:$D,$A:$A,$A1498,$B:$B,"&lt;&gt;Patrícia Karla de Sousa Araújo",$B:$B,"&lt;&gt;Lorena Dias de Araujo",$B:$B,"&lt;&gt;Lucas Luiz Romero")*(20/1083),IF(C1498="Estágio",SUMIFS($D:$D,$A:$A,$A1498,$B:$B,"&lt;&gt;Patrícia Karla de Sousa Araújo",$B:$B,"&lt;&gt;Lorena Dias de Araujo",$B:$B,"&lt;&gt;Lucas Luiz Romero")*(10/1083),0)))))),0)</f>
        <v/>
      </c>
      <c r="K1498" s="3">
        <f>I1498-J1498</f>
        <v/>
      </c>
      <c r="L1498" s="3">
        <f>IF(K1498&lt;-5,"CRÍTICO",IF(K1498&lt;0,"ATENÇÃO",IF(K1498&lt;=5,"BOM","EXCELENTE")))</f>
        <v/>
      </c>
      <c r="M1498" t="n">
        <v>34</v>
      </c>
      <c r="N1498" t="n">
        <v>100</v>
      </c>
      <c r="O1498" t="n">
        <v>31</v>
      </c>
    </row>
    <row r="1499" hidden="1">
      <c r="A1499" s="11" t="n">
        <v>46048</v>
      </c>
      <c r="B1499" t="inlineStr">
        <is>
          <t>Jaqueline Evangelista da Silva Martins</t>
        </is>
      </c>
      <c r="C1499" t="inlineStr">
        <is>
          <t>Técnico III</t>
        </is>
      </c>
      <c r="D1499" t="n">
        <v>24</v>
      </c>
      <c r="E1499" t="n">
        <v>21</v>
      </c>
      <c r="F1499" t="n">
        <v>11.44</v>
      </c>
      <c r="G1499" t="n">
        <v>0</v>
      </c>
      <c r="H1499" t="n">
        <v>0</v>
      </c>
      <c r="I1499" s="3">
        <f>E1499+G1499+H1499</f>
        <v/>
      </c>
      <c r="J1499" s="3">
        <f>ROUND(MIN(IF(C1499="Técnico III",35,IF(C1499="Técnico II",28,IF(C1499="Técnico I",23,IF(C1499="JR",20,IF(C1499="Estágio",10,0))))),IF(C1499="Técnico III",SUMIFS($D:$D,$A:$A,$A1499,$B:$B,"&lt;&gt;Patrícia Karla de Sousa Araújo",$B:$B,"&lt;&gt;Lorena Dias de Araujo",$B:$B,"&lt;&gt;Lucas Luiz Romero")*(35/1083),IF(C1499="Técnico II",SUMIFS($D:$D,$A:$A,$A1499,$B:$B,"&lt;&gt;Patrícia Karla de Sousa Araújo",$B:$B,"&lt;&gt;Lorena Dias de Araujo",$B:$B,"&lt;&gt;Lucas Luiz Romero")*(28/1083),IF(C1499="Técnico I",SUMIFS($D:$D,$A:$A,$A1499,$B:$B,"&lt;&gt;Patrícia Karla de Sousa Araújo",$B:$B,"&lt;&gt;Lorena Dias de Araujo",$B:$B,"&lt;&gt;Lucas Luiz Romero")*(23/1083),IF(C1499="JR",SUMIFS($D:$D,$A:$A,$A1499,$B:$B,"&lt;&gt;Patrícia Karla de Sousa Araújo",$B:$B,"&lt;&gt;Lorena Dias de Araujo",$B:$B,"&lt;&gt;Lucas Luiz Romero")*(20/1083),IF(C1499="Estágio",SUMIFS($D:$D,$A:$A,$A1499,$B:$B,"&lt;&gt;Patrícia Karla de Sousa Araújo",$B:$B,"&lt;&gt;Lorena Dias de Araujo",$B:$B,"&lt;&gt;Lucas Luiz Romero")*(10/1083),0)))))),0)</f>
        <v/>
      </c>
      <c r="K1499" s="3">
        <f>I1499-J1499</f>
        <v/>
      </c>
      <c r="L1499" s="3">
        <f>IF(K1499&lt;-5,"CRÍTICO",IF(K1499&lt;0,"ATENÇÃO",IF(K1499&lt;=5,"BOM","EXCELENTE")))</f>
        <v/>
      </c>
      <c r="M1499" t="n">
        <v>18</v>
      </c>
      <c r="N1499" t="n">
        <v>100</v>
      </c>
      <c r="O1499" t="n">
        <v>28.57142857142857</v>
      </c>
    </row>
    <row r="1500" hidden="1">
      <c r="A1500" s="11" t="n">
        <v>46048</v>
      </c>
      <c r="B1500" t="inlineStr">
        <is>
          <t>Jessica Faria da Silveira</t>
        </is>
      </c>
      <c r="C1500" t="inlineStr">
        <is>
          <t>Técnico II</t>
        </is>
      </c>
      <c r="D1500" t="n">
        <v>33</v>
      </c>
      <c r="E1500" t="n">
        <v>28</v>
      </c>
      <c r="F1500" t="n">
        <v>15.02</v>
      </c>
      <c r="G1500" t="n">
        <v>0</v>
      </c>
      <c r="H1500" t="n">
        <v>0</v>
      </c>
      <c r="I1500" s="3">
        <f>E1500+G1500+H1500</f>
        <v/>
      </c>
      <c r="J1500" s="3">
        <f>ROUND(MIN(IF(C1500="Técnico III",35,IF(C1500="Técnico II",28,IF(C1500="Técnico I",23,IF(C1500="JR",20,IF(C1500="Estágio",10,0))))),IF(C1500="Técnico III",SUMIFS($D:$D,$A:$A,$A1500,$B:$B,"&lt;&gt;Patrícia Karla de Sousa Araújo",$B:$B,"&lt;&gt;Lorena Dias de Araujo",$B:$B,"&lt;&gt;Lucas Luiz Romero")*(35/1083),IF(C1500="Técnico II",SUMIFS($D:$D,$A:$A,$A1500,$B:$B,"&lt;&gt;Patrícia Karla de Sousa Araújo",$B:$B,"&lt;&gt;Lorena Dias de Araujo",$B:$B,"&lt;&gt;Lucas Luiz Romero")*(28/1083),IF(C1500="Técnico I",SUMIFS($D:$D,$A:$A,$A1500,$B:$B,"&lt;&gt;Patrícia Karla de Sousa Araújo",$B:$B,"&lt;&gt;Lorena Dias de Araujo",$B:$B,"&lt;&gt;Lucas Luiz Romero")*(23/1083),IF(C1500="JR",SUMIFS($D:$D,$A:$A,$A1500,$B:$B,"&lt;&gt;Patrícia Karla de Sousa Araújo",$B:$B,"&lt;&gt;Lorena Dias de Araujo",$B:$B,"&lt;&gt;Lucas Luiz Romero")*(20/1083),IF(C1500="Estágio",SUMIFS($D:$D,$A:$A,$A1500,$B:$B,"&lt;&gt;Patrícia Karla de Sousa Araújo",$B:$B,"&lt;&gt;Lorena Dias de Araujo",$B:$B,"&lt;&gt;Lucas Luiz Romero")*(10/1083),0)))))),0)</f>
        <v/>
      </c>
      <c r="K1500" s="3">
        <f>I1500-J1500</f>
        <v/>
      </c>
      <c r="L1500" s="3">
        <f>IF(K1500&lt;-5,"CRÍTICO",IF(K1500&lt;0,"ATENÇÃO",IF(K1500&lt;=5,"BOM","EXCELENTE")))</f>
        <v/>
      </c>
      <c r="M1500" t="n">
        <v>26</v>
      </c>
      <c r="N1500" t="n">
        <v>95.23999999999999</v>
      </c>
      <c r="O1500" t="n">
        <v>29.71428571428572</v>
      </c>
    </row>
    <row r="1501" hidden="1">
      <c r="A1501" s="11" t="n">
        <v>46048</v>
      </c>
      <c r="B1501" t="inlineStr">
        <is>
          <t>Jéssica Fé Moura</t>
        </is>
      </c>
      <c r="C1501" t="inlineStr">
        <is>
          <t>Técnico III</t>
        </is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s="3" t="n">
        <v>0</v>
      </c>
      <c r="J1501" s="3" t="n">
        <v>0</v>
      </c>
      <c r="K1501" s="3" t="n">
        <v>0</v>
      </c>
      <c r="L1501" s="3">
        <f>IF(K1501&lt;-5,"CRÍTICO",IF(K1501&lt;0,"ATENÇÃO",IF(K1501&lt;=5,"BOM","EXCELENTE")))</f>
        <v/>
      </c>
      <c r="M1501" t="n">
        <v>0</v>
      </c>
      <c r="N1501" t="n">
        <v>100</v>
      </c>
      <c r="O1501" t="n">
        <v>33.98058252427185</v>
      </c>
    </row>
    <row r="1502" hidden="1">
      <c r="A1502" s="11" t="n">
        <v>46048</v>
      </c>
      <c r="B1502" t="inlineStr">
        <is>
          <t>Karina Gonçalves Martins</t>
        </is>
      </c>
      <c r="C1502" t="inlineStr">
        <is>
          <t>JR</t>
        </is>
      </c>
      <c r="D1502" t="n">
        <v>8</v>
      </c>
      <c r="E1502" t="n">
        <v>8</v>
      </c>
      <c r="F1502" t="n">
        <v>29.18</v>
      </c>
      <c r="G1502" t="n">
        <v>0</v>
      </c>
      <c r="H1502" t="n">
        <v>0</v>
      </c>
      <c r="I1502" s="3">
        <f>E1502+G1502+H1502</f>
        <v/>
      </c>
      <c r="J1502" s="3">
        <f>ROUND(MIN(IF(C1502="Técnico III",35,IF(C1502="Técnico II",28,IF(C1502="Técnico I",23,IF(C1502="JR",20,IF(C1502="Estágio",10,0))))),IF(C1502="Técnico III",SUMIFS($D:$D,$A:$A,$A1502,$B:$B,"&lt;&gt;Patrícia Karla de Sousa Araújo",$B:$B,"&lt;&gt;Lorena Dias de Araujo",$B:$B,"&lt;&gt;Lucas Luiz Romero")*(35/1083),IF(C1502="Técnico II",SUMIFS($D:$D,$A:$A,$A1502,$B:$B,"&lt;&gt;Patrícia Karla de Sousa Araújo",$B:$B,"&lt;&gt;Lorena Dias de Araujo",$B:$B,"&lt;&gt;Lucas Luiz Romero")*(28/1083),IF(C1502="Técnico I",SUMIFS($D:$D,$A:$A,$A1502,$B:$B,"&lt;&gt;Patrícia Karla de Sousa Araújo",$B:$B,"&lt;&gt;Lorena Dias de Araujo",$B:$B,"&lt;&gt;Lucas Luiz Romero")*(23/1083),IF(C1502="JR",SUMIFS($D:$D,$A:$A,$A1502,$B:$B,"&lt;&gt;Patrícia Karla de Sousa Araújo",$B:$B,"&lt;&gt;Lorena Dias de Araujo",$B:$B,"&lt;&gt;Lucas Luiz Romero")*(20/1083),IF(C1502="Estágio",SUMIFS($D:$D,$A:$A,$A1502,$B:$B,"&lt;&gt;Patrícia Karla de Sousa Araújo",$B:$B,"&lt;&gt;Lorena Dias de Araujo",$B:$B,"&lt;&gt;Lucas Luiz Romero")*(10/1083),0)))))),0)</f>
        <v/>
      </c>
      <c r="K1502" s="3">
        <f>I1502-J1502</f>
        <v/>
      </c>
      <c r="L1502" s="3">
        <f>IF(K1502&lt;-5,"CRÍTICO",IF(K1502&lt;0,"ATENÇÃO",IF(K1502&lt;=5,"BOM","EXCELENTE")))</f>
        <v/>
      </c>
      <c r="M1502" t="n">
        <v>8</v>
      </c>
      <c r="N1502" t="n">
        <v>97.06</v>
      </c>
      <c r="O1502" t="n">
        <v>30.4</v>
      </c>
    </row>
    <row r="1503" hidden="1">
      <c r="A1503" s="11" t="n">
        <v>46048</v>
      </c>
      <c r="B1503" t="inlineStr">
        <is>
          <t>Kerollen Cristielly de Jesus Siqueira</t>
        </is>
      </c>
      <c r="C1503" t="inlineStr">
        <is>
          <t>Técnico III</t>
        </is>
      </c>
      <c r="D1503" t="n">
        <v>17</v>
      </c>
      <c r="E1503" t="n">
        <v>16</v>
      </c>
      <c r="F1503" t="n">
        <v>27.34</v>
      </c>
      <c r="G1503" t="n">
        <v>0</v>
      </c>
      <c r="H1503" t="n">
        <v>0</v>
      </c>
      <c r="I1503" s="3">
        <f>E1503+G1503+H1503</f>
        <v/>
      </c>
      <c r="J1503" s="3">
        <f>ROUND(MIN(IF(C1503="Técnico III",35,IF(C1503="Técnico II",28,IF(C1503="Técnico I",23,IF(C1503="JR",20,IF(C1503="Estágio",10,0))))),IF(C1503="Técnico III",SUMIFS($D:$D,$A:$A,$A1503,$B:$B,"&lt;&gt;Patrícia Karla de Sousa Araújo",$B:$B,"&lt;&gt;Lorena Dias de Araujo",$B:$B,"&lt;&gt;Lucas Luiz Romero")*(35/1083),IF(C1503="Técnico II",SUMIFS($D:$D,$A:$A,$A1503,$B:$B,"&lt;&gt;Patrícia Karla de Sousa Araújo",$B:$B,"&lt;&gt;Lorena Dias de Araujo",$B:$B,"&lt;&gt;Lucas Luiz Romero")*(28/1083),IF(C1503="Técnico I",SUMIFS($D:$D,$A:$A,$A1503,$B:$B,"&lt;&gt;Patrícia Karla de Sousa Araújo",$B:$B,"&lt;&gt;Lorena Dias de Araujo",$B:$B,"&lt;&gt;Lucas Luiz Romero")*(23/1083),IF(C1503="JR",SUMIFS($D:$D,$A:$A,$A1503,$B:$B,"&lt;&gt;Patrícia Karla de Sousa Araújo",$B:$B,"&lt;&gt;Lorena Dias de Araujo",$B:$B,"&lt;&gt;Lucas Luiz Romero")*(20/1083),IF(C1503="Estágio",SUMIFS($D:$D,$A:$A,$A1503,$B:$B,"&lt;&gt;Patrícia Karla de Sousa Araújo",$B:$B,"&lt;&gt;Lorena Dias de Araujo",$B:$B,"&lt;&gt;Lucas Luiz Romero")*(10/1083),0)))))),0)</f>
        <v/>
      </c>
      <c r="K1503" s="3">
        <f>I1503-J1503</f>
        <v/>
      </c>
      <c r="L1503" s="3">
        <f>IF(K1503&lt;-5,"CRÍTICO",IF(K1503&lt;0,"ATENÇÃO",IF(K1503&lt;=5,"BOM","EXCELENTE")))</f>
        <v/>
      </c>
      <c r="M1503" t="n">
        <v>17</v>
      </c>
      <c r="N1503" t="n">
        <v>97.16</v>
      </c>
      <c r="O1503" t="n">
        <v>39.76945244956772</v>
      </c>
    </row>
    <row r="1504" hidden="1">
      <c r="A1504" s="11" t="n">
        <v>46048</v>
      </c>
      <c r="B1504" t="inlineStr">
        <is>
          <t>Leandro de Souza Silva</t>
        </is>
      </c>
      <c r="C1504" t="inlineStr">
        <is>
          <t>JR</t>
        </is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s="3" t="n">
        <v>0</v>
      </c>
      <c r="J1504" s="3" t="n">
        <v>0</v>
      </c>
      <c r="K1504" s="3" t="n">
        <v>0</v>
      </c>
      <c r="L1504" s="3">
        <f>IF(K1504&lt;-5,"CRÍTICO",IF(K1504&lt;0,"ATENÇÃO",IF(K1504&lt;=5,"BOM","EXCELENTE")))</f>
        <v/>
      </c>
      <c r="M1504" t="n">
        <v>0</v>
      </c>
      <c r="N1504" t="n">
        <v>0</v>
      </c>
      <c r="O1504" t="n">
        <v>0</v>
      </c>
    </row>
    <row r="1505" hidden="1">
      <c r="A1505" s="11" t="n">
        <v>46048</v>
      </c>
      <c r="B1505" t="inlineStr">
        <is>
          <t>Leandro Oliveira de Sousa</t>
        </is>
      </c>
      <c r="C1505" t="inlineStr">
        <is>
          <t>Técnico III</t>
        </is>
      </c>
      <c r="D1505" t="n">
        <v>26</v>
      </c>
      <c r="E1505" t="n">
        <v>24</v>
      </c>
      <c r="F1505" t="n">
        <v>17.01</v>
      </c>
      <c r="G1505" t="n">
        <v>0</v>
      </c>
      <c r="H1505" t="n">
        <v>0</v>
      </c>
      <c r="I1505" s="3">
        <f>E1505+G1505+H1505</f>
        <v/>
      </c>
      <c r="J1505" s="3">
        <f>ROUND(MIN(IF(C1505="Técnico III",35,IF(C1505="Técnico II",28,IF(C1505="Técnico I",23,IF(C1505="JR",20,IF(C1505="Estágio",10,0))))),IF(C1505="Técnico III",SUMIFS($D:$D,$A:$A,$A1505,$B:$B,"&lt;&gt;Patrícia Karla de Sousa Araújo",$B:$B,"&lt;&gt;Lorena Dias de Araujo",$B:$B,"&lt;&gt;Lucas Luiz Romero")*(35/1083),IF(C1505="Técnico II",SUMIFS($D:$D,$A:$A,$A1505,$B:$B,"&lt;&gt;Patrícia Karla de Sousa Araújo",$B:$B,"&lt;&gt;Lorena Dias de Araujo",$B:$B,"&lt;&gt;Lucas Luiz Romero")*(28/1083),IF(C1505="Técnico I",SUMIFS($D:$D,$A:$A,$A1505,$B:$B,"&lt;&gt;Patrícia Karla de Sousa Araújo",$B:$B,"&lt;&gt;Lorena Dias de Araujo",$B:$B,"&lt;&gt;Lucas Luiz Romero")*(23/1083),IF(C1505="JR",SUMIFS($D:$D,$A:$A,$A1505,$B:$B,"&lt;&gt;Patrícia Karla de Sousa Araújo",$B:$B,"&lt;&gt;Lorena Dias de Araujo",$B:$B,"&lt;&gt;Lucas Luiz Romero")*(20/1083),IF(C1505="Estágio",SUMIFS($D:$D,$A:$A,$A1505,$B:$B,"&lt;&gt;Patrícia Karla de Sousa Araújo",$B:$B,"&lt;&gt;Lorena Dias de Araujo",$B:$B,"&lt;&gt;Lucas Luiz Romero")*(10/1083),0)))))),0)</f>
        <v/>
      </c>
      <c r="K1505" s="3">
        <f>I1505-J1505</f>
        <v/>
      </c>
      <c r="L1505" s="3">
        <f>IF(K1505&lt;-5,"CRÍTICO",IF(K1505&lt;0,"ATENÇÃO",IF(K1505&lt;=5,"BOM","EXCELENTE")))</f>
        <v/>
      </c>
      <c r="M1505" t="n">
        <v>24</v>
      </c>
      <c r="N1505" t="n">
        <v>100</v>
      </c>
      <c r="O1505" t="n">
        <v>29.26208651399491</v>
      </c>
    </row>
    <row r="1506" hidden="1">
      <c r="A1506" s="11" t="n">
        <v>46048</v>
      </c>
      <c r="B1506" t="inlineStr">
        <is>
          <t>Lizandra Gomes Duarte</t>
        </is>
      </c>
      <c r="C1506" t="inlineStr">
        <is>
          <t>Técnico II</t>
        </is>
      </c>
      <c r="D1506" t="n">
        <v>32</v>
      </c>
      <c r="E1506" t="n">
        <v>30</v>
      </c>
      <c r="F1506" t="n">
        <v>20.12</v>
      </c>
      <c r="G1506" t="n">
        <v>0</v>
      </c>
      <c r="H1506" t="n">
        <v>0</v>
      </c>
      <c r="I1506" s="3">
        <f>E1506+G1506+H1506</f>
        <v/>
      </c>
      <c r="J1506" s="3">
        <f>ROUND(MIN(IF(C1506="Técnico III",35,IF(C1506="Técnico II",28,IF(C1506="Técnico I",23,IF(C1506="JR",20,IF(C1506="Estágio",10,0))))),IF(C1506="Técnico III",SUMIFS($D:$D,$A:$A,$A1506,$B:$B,"&lt;&gt;Patrícia Karla de Sousa Araújo",$B:$B,"&lt;&gt;Lorena Dias de Araujo",$B:$B,"&lt;&gt;Lucas Luiz Romero")*(35/1083),IF(C1506="Técnico II",SUMIFS($D:$D,$A:$A,$A1506,$B:$B,"&lt;&gt;Patrícia Karla de Sousa Araújo",$B:$B,"&lt;&gt;Lorena Dias de Araujo",$B:$B,"&lt;&gt;Lucas Luiz Romero")*(28/1083),IF(C1506="Técnico I",SUMIFS($D:$D,$A:$A,$A1506,$B:$B,"&lt;&gt;Patrícia Karla de Sousa Araújo",$B:$B,"&lt;&gt;Lorena Dias de Araujo",$B:$B,"&lt;&gt;Lucas Luiz Romero")*(23/1083),IF(C1506="JR",SUMIFS($D:$D,$A:$A,$A1506,$B:$B,"&lt;&gt;Patrícia Karla de Sousa Araújo",$B:$B,"&lt;&gt;Lorena Dias de Araujo",$B:$B,"&lt;&gt;Lucas Luiz Romero")*(20/1083),IF(C1506="Estágio",SUMIFS($D:$D,$A:$A,$A1506,$B:$B,"&lt;&gt;Patrícia Karla de Sousa Araújo",$B:$B,"&lt;&gt;Lorena Dias de Araujo",$B:$B,"&lt;&gt;Lucas Luiz Romero")*(10/1083),0)))))),0)</f>
        <v/>
      </c>
      <c r="K1506" s="3">
        <f>I1506-J1506</f>
        <v/>
      </c>
      <c r="L1506" s="3">
        <f>IF(K1506&lt;-5,"CRÍTICO",IF(K1506&lt;0,"ATENÇÃO",IF(K1506&lt;=5,"BOM","EXCELENTE")))</f>
        <v/>
      </c>
      <c r="M1506" t="n">
        <v>21</v>
      </c>
      <c r="N1506" t="n">
        <v>100</v>
      </c>
      <c r="O1506" t="n">
        <v>34.13333333333333</v>
      </c>
    </row>
    <row r="1507" hidden="1">
      <c r="A1507" s="11" t="n">
        <v>46048</v>
      </c>
      <c r="B1507" t="inlineStr">
        <is>
          <t>Lorena Dias de Araujo</t>
        </is>
      </c>
      <c r="C1507" t="inlineStr">
        <is>
          <t>Técnico II</t>
        </is>
      </c>
      <c r="D1507" t="n">
        <v>34</v>
      </c>
      <c r="E1507" t="n">
        <v>33</v>
      </c>
      <c r="F1507" t="n">
        <v>17.23</v>
      </c>
      <c r="G1507" t="n">
        <v>0</v>
      </c>
      <c r="H1507" t="n">
        <v>0</v>
      </c>
      <c r="I1507" s="3" t="n">
        <v>0</v>
      </c>
      <c r="J1507" s="3" t="n">
        <v>0</v>
      </c>
      <c r="K1507" s="3" t="n">
        <v>0</v>
      </c>
      <c r="L1507" s="3">
        <f>IF(K1507&lt;-5,"CRÍTICO",IF(K1507&lt;0,"ATENÇÃO",IF(K1507&lt;=5,"BOM","EXCELENTE")))</f>
        <v/>
      </c>
      <c r="M1507" t="n">
        <v>29</v>
      </c>
      <c r="N1507" t="n">
        <v>98.95</v>
      </c>
      <c r="O1507" t="n">
        <v>31.61094224924012</v>
      </c>
    </row>
    <row r="1508" hidden="1">
      <c r="A1508" s="11" t="n">
        <v>46048</v>
      </c>
      <c r="B1508" t="inlineStr">
        <is>
          <t>Lucas Luiz Romero</t>
        </is>
      </c>
      <c r="C1508" t="inlineStr">
        <is>
          <t>Técnico III</t>
        </is>
      </c>
      <c r="D1508" t="n">
        <v>46</v>
      </c>
      <c r="E1508" t="n">
        <v>31</v>
      </c>
      <c r="F1508" t="n">
        <v>13.3</v>
      </c>
      <c r="G1508" t="n">
        <v>0</v>
      </c>
      <c r="H1508" t="n">
        <v>0</v>
      </c>
      <c r="I1508" s="3">
        <f>E1508+G1508+H1508</f>
        <v/>
      </c>
      <c r="J1508" s="3">
        <f>ROUND(MIN(IF(C1508="Técnico III",35,IF(C1508="Técnico II",28,IF(C1508="Técnico I",23,IF(C1508="JR",20,IF(C1508="Estágio",10,0))))),IF(C1508="Técnico III",SUMIFS($D:$D,$A:$A,$A1508,$B:$B,"&lt;&gt;Patrícia Karla de Sousa Araújo",$B:$B,"&lt;&gt;Lorena Dias de Araujo",$B:$B,"&lt;&gt;Lucas Luiz Romero")*(35/1083),IF(C1508="Técnico II",SUMIFS($D:$D,$A:$A,$A1508,$B:$B,"&lt;&gt;Patrícia Karla de Sousa Araújo",$B:$B,"&lt;&gt;Lorena Dias de Araujo",$B:$B,"&lt;&gt;Lucas Luiz Romero")*(28/1083),IF(C1508="Técnico I",SUMIFS($D:$D,$A:$A,$A1508,$B:$B,"&lt;&gt;Patrícia Karla de Sousa Araújo",$B:$B,"&lt;&gt;Lorena Dias de Araujo",$B:$B,"&lt;&gt;Lucas Luiz Romero")*(23/1083),IF(C1508="JR",SUMIFS($D:$D,$A:$A,$A1508,$B:$B,"&lt;&gt;Patrícia Karla de Sousa Araújo",$B:$B,"&lt;&gt;Lorena Dias de Araujo",$B:$B,"&lt;&gt;Lucas Luiz Romero")*(20/1083),IF(C1508="Estágio",SUMIFS($D:$D,$A:$A,$A1508,$B:$B,"&lt;&gt;Patrícia Karla de Sousa Araújo",$B:$B,"&lt;&gt;Lorena Dias de Araujo",$B:$B,"&lt;&gt;Lucas Luiz Romero")*(10/1083),0)))))),0)</f>
        <v/>
      </c>
      <c r="K1508" s="3">
        <f>I1508-J1508</f>
        <v/>
      </c>
      <c r="L1508" s="3">
        <f>IF(K1508&lt;-5,"CRÍTICO",IF(K1508&lt;0,"ATENÇÃO",IF(K1508&lt;=5,"BOM","EXCELENTE")))</f>
        <v/>
      </c>
      <c r="M1508" t="n">
        <v>28</v>
      </c>
      <c r="N1508" t="n">
        <v>96.94</v>
      </c>
      <c r="O1508" t="n">
        <v>27.13936430317848</v>
      </c>
    </row>
    <row r="1509" hidden="1">
      <c r="A1509" s="11" t="n">
        <v>46048</v>
      </c>
      <c r="B1509" t="inlineStr">
        <is>
          <t>Luiz Fernando de Carvalho Junior</t>
        </is>
      </c>
      <c r="C1509" t="inlineStr">
        <is>
          <t>Técnico I</t>
        </is>
      </c>
      <c r="D1509" t="n">
        <v>25</v>
      </c>
      <c r="E1509" t="n">
        <v>23</v>
      </c>
      <c r="F1509" t="n">
        <v>13.45</v>
      </c>
      <c r="G1509" t="n">
        <v>0</v>
      </c>
      <c r="H1509" t="n">
        <v>0</v>
      </c>
      <c r="I1509" s="3">
        <f>E1509+G1509+H1509</f>
        <v/>
      </c>
      <c r="J1509" s="3">
        <f>ROUND(MIN(IF(C1509="Técnico III",35,IF(C1509="Técnico II",28,IF(C1509="Técnico I",23,IF(C1509="JR",20,IF(C1509="Estágio",10,0))))),IF(C1509="Técnico III",SUMIFS($D:$D,$A:$A,$A1509,$B:$B,"&lt;&gt;Patrícia Karla de Sousa Araújo",$B:$B,"&lt;&gt;Lorena Dias de Araujo",$B:$B,"&lt;&gt;Lucas Luiz Romero")*(35/1083),IF(C1509="Técnico II",SUMIFS($D:$D,$A:$A,$A1509,$B:$B,"&lt;&gt;Patrícia Karla de Sousa Araújo",$B:$B,"&lt;&gt;Lorena Dias de Araujo",$B:$B,"&lt;&gt;Lucas Luiz Romero")*(28/1083),IF(C1509="Técnico I",SUMIFS($D:$D,$A:$A,$A1509,$B:$B,"&lt;&gt;Patrícia Karla de Sousa Araújo",$B:$B,"&lt;&gt;Lorena Dias de Araujo",$B:$B,"&lt;&gt;Lucas Luiz Romero")*(23/1083),IF(C1509="JR",SUMIFS($D:$D,$A:$A,$A1509,$B:$B,"&lt;&gt;Patrícia Karla de Sousa Araújo",$B:$B,"&lt;&gt;Lorena Dias de Araujo",$B:$B,"&lt;&gt;Lucas Luiz Romero")*(20/1083),IF(C1509="Estágio",SUMIFS($D:$D,$A:$A,$A1509,$B:$B,"&lt;&gt;Patrícia Karla de Sousa Araújo",$B:$B,"&lt;&gt;Lorena Dias de Araujo",$B:$B,"&lt;&gt;Lucas Luiz Romero")*(10/1083),0)))))),0)</f>
        <v/>
      </c>
      <c r="K1509" s="3">
        <f>I1509-J1509</f>
        <v/>
      </c>
      <c r="L1509" s="3">
        <f>IF(K1509&lt;-5,"CRÍTICO",IF(K1509&lt;0,"ATENÇÃO",IF(K1509&lt;=5,"BOM","EXCELENTE")))</f>
        <v/>
      </c>
      <c r="M1509" t="n">
        <v>22</v>
      </c>
      <c r="N1509" t="n">
        <v>98.61</v>
      </c>
      <c r="O1509" t="n">
        <v>27.1523178807947</v>
      </c>
    </row>
    <row r="1510" hidden="1">
      <c r="A1510" s="11" t="n">
        <v>46048</v>
      </c>
      <c r="B1510" t="inlineStr">
        <is>
          <t>Maria Eduarda Sousa Costa</t>
        </is>
      </c>
      <c r="C1510" t="inlineStr">
        <is>
          <t>Estágio</t>
        </is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s="3" t="n">
        <v>0</v>
      </c>
      <c r="J1510" s="3" t="n">
        <v>0</v>
      </c>
      <c r="K1510" s="3" t="n">
        <v>0</v>
      </c>
      <c r="L1510" s="3">
        <f>IF(K1510&lt;-5,"CRÍTICO",IF(K1510&lt;0,"ATENÇÃO",IF(K1510&lt;=5,"BOM","EXCELENTE")))</f>
        <v/>
      </c>
      <c r="M1510" t="n">
        <v>0</v>
      </c>
      <c r="N1510" t="n">
        <v>100</v>
      </c>
      <c r="O1510" t="n">
        <v>34.48275862068966</v>
      </c>
    </row>
    <row r="1511" hidden="1">
      <c r="A1511" s="11" t="n">
        <v>46048</v>
      </c>
      <c r="B1511" t="inlineStr">
        <is>
          <t>Matheus Farias De Souza</t>
        </is>
      </c>
      <c r="C1511" t="inlineStr">
        <is>
          <t>Técnico III</t>
        </is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s="3" t="n">
        <v>0</v>
      </c>
      <c r="J1511" s="3" t="n">
        <v>0</v>
      </c>
      <c r="K1511" s="3" t="n">
        <v>0</v>
      </c>
      <c r="L1511" s="3">
        <f>IF(K1511&lt;-5,"CRÍTICO",IF(K1511&lt;0,"ATENÇÃO",IF(K1511&lt;=5,"BOM","EXCELENTE")))</f>
        <v/>
      </c>
      <c r="M1511" t="n">
        <v>0</v>
      </c>
      <c r="N1511" t="n">
        <v>100</v>
      </c>
      <c r="O1511" t="n">
        <v>27.43362831858407</v>
      </c>
    </row>
    <row r="1512" hidden="1">
      <c r="A1512" s="11" t="n">
        <v>46048</v>
      </c>
      <c r="B1512" t="inlineStr">
        <is>
          <t>Maysa Victoria Dias Moura</t>
        </is>
      </c>
      <c r="C1512" t="inlineStr">
        <is>
          <t>Técnico III</t>
        </is>
      </c>
      <c r="D1512" t="n">
        <v>46</v>
      </c>
      <c r="E1512" t="n">
        <v>33</v>
      </c>
      <c r="F1512" t="n">
        <v>9.140000000000001</v>
      </c>
      <c r="G1512" t="n">
        <v>0</v>
      </c>
      <c r="H1512" t="n">
        <v>0</v>
      </c>
      <c r="I1512" s="3">
        <f>E1512+G1512+H1512</f>
        <v/>
      </c>
      <c r="J1512" s="3">
        <f>ROUND(MIN(IF(C1512="Técnico III",35,IF(C1512="Técnico II",28,IF(C1512="Técnico I",23,IF(C1512="JR",20,IF(C1512="Estágio",10,0))))),IF(C1512="Técnico III",SUMIFS($D:$D,$A:$A,$A1512,$B:$B,"&lt;&gt;Patrícia Karla de Sousa Araújo",$B:$B,"&lt;&gt;Lorena Dias de Araujo",$B:$B,"&lt;&gt;Lucas Luiz Romero")*(35/1083),IF(C1512="Técnico II",SUMIFS($D:$D,$A:$A,$A1512,$B:$B,"&lt;&gt;Patrícia Karla de Sousa Araújo",$B:$B,"&lt;&gt;Lorena Dias de Araujo",$B:$B,"&lt;&gt;Lucas Luiz Romero")*(28/1083),IF(C1512="Técnico I",SUMIFS($D:$D,$A:$A,$A1512,$B:$B,"&lt;&gt;Patrícia Karla de Sousa Araújo",$B:$B,"&lt;&gt;Lorena Dias de Araujo",$B:$B,"&lt;&gt;Lucas Luiz Romero")*(23/1083),IF(C1512="JR",SUMIFS($D:$D,$A:$A,$A1512,$B:$B,"&lt;&gt;Patrícia Karla de Sousa Araújo",$B:$B,"&lt;&gt;Lorena Dias de Araujo",$B:$B,"&lt;&gt;Lucas Luiz Romero")*(20/1083),IF(C1512="Estágio",SUMIFS($D:$D,$A:$A,$A1512,$B:$B,"&lt;&gt;Patrícia Karla de Sousa Araújo",$B:$B,"&lt;&gt;Lorena Dias de Araujo",$B:$B,"&lt;&gt;Lucas Luiz Romero")*(10/1083),0)))))),0)</f>
        <v/>
      </c>
      <c r="K1512" s="3">
        <f>I1512-J1512</f>
        <v/>
      </c>
      <c r="L1512" s="3">
        <f>IF(K1512&lt;-5,"CRÍTICO",IF(K1512&lt;0,"ATENÇÃO",IF(K1512&lt;=5,"BOM","EXCELENTE")))</f>
        <v/>
      </c>
      <c r="M1512" t="n">
        <v>31</v>
      </c>
      <c r="N1512" t="n">
        <v>99.15000000000001</v>
      </c>
      <c r="O1512" t="n">
        <v>30.85585585585586</v>
      </c>
    </row>
    <row r="1513" hidden="1">
      <c r="A1513" s="11" t="n">
        <v>46048</v>
      </c>
      <c r="B1513" t="inlineStr">
        <is>
          <t>Michelle G Santos</t>
        </is>
      </c>
      <c r="C1513" t="inlineStr">
        <is>
          <t>Estágio</t>
        </is>
      </c>
      <c r="D1513" t="n">
        <v>3</v>
      </c>
      <c r="E1513" t="n">
        <v>3</v>
      </c>
      <c r="F1513" t="n">
        <v>79.17</v>
      </c>
      <c r="G1513" t="n">
        <v>0</v>
      </c>
      <c r="H1513" t="n">
        <v>0</v>
      </c>
      <c r="I1513" s="3">
        <f>E1513+G1513+H1513</f>
        <v/>
      </c>
      <c r="J1513" s="3">
        <f>ROUND(MIN(IF(C1513="Técnico III",35,IF(C1513="Técnico II",28,IF(C1513="Técnico I",23,IF(C1513="JR",20,IF(C1513="Estágio",10,0))))),IF(C1513="Técnico III",SUMIFS($D:$D,$A:$A,$A1513,$B:$B,"&lt;&gt;Patrícia Karla de Sousa Araújo",$B:$B,"&lt;&gt;Lorena Dias de Araujo",$B:$B,"&lt;&gt;Lucas Luiz Romero")*(35/1083),IF(C1513="Técnico II",SUMIFS($D:$D,$A:$A,$A1513,$B:$B,"&lt;&gt;Patrícia Karla de Sousa Araújo",$B:$B,"&lt;&gt;Lorena Dias de Araujo",$B:$B,"&lt;&gt;Lucas Luiz Romero")*(28/1083),IF(C1513="Técnico I",SUMIFS($D:$D,$A:$A,$A1513,$B:$B,"&lt;&gt;Patrícia Karla de Sousa Araújo",$B:$B,"&lt;&gt;Lorena Dias de Araujo",$B:$B,"&lt;&gt;Lucas Luiz Romero")*(23/1083),IF(C1513="JR",SUMIFS($D:$D,$A:$A,$A1513,$B:$B,"&lt;&gt;Patrícia Karla de Sousa Araújo",$B:$B,"&lt;&gt;Lorena Dias de Araujo",$B:$B,"&lt;&gt;Lucas Luiz Romero")*(20/1083),IF(C1513="Estágio",SUMIFS($D:$D,$A:$A,$A1513,$B:$B,"&lt;&gt;Patrícia Karla de Sousa Araújo",$B:$B,"&lt;&gt;Lorena Dias de Araujo",$B:$B,"&lt;&gt;Lucas Luiz Romero")*(10/1083),0)))))),0)</f>
        <v/>
      </c>
      <c r="K1513" s="3">
        <f>I1513-J1513</f>
        <v/>
      </c>
      <c r="L1513" s="3">
        <f>IF(K1513&lt;-5,"CRÍTICO",IF(K1513&lt;0,"ATENÇÃO",IF(K1513&lt;=5,"BOM","EXCELENTE")))</f>
        <v/>
      </c>
      <c r="M1513" t="n">
        <v>0</v>
      </c>
      <c r="N1513" t="n">
        <v>100</v>
      </c>
      <c r="O1513" t="n">
        <v>10</v>
      </c>
    </row>
    <row r="1514" hidden="1">
      <c r="A1514" s="11" t="n">
        <v>46048</v>
      </c>
      <c r="B1514" t="inlineStr">
        <is>
          <t>Milena Sales</t>
        </is>
      </c>
      <c r="C1514" t="inlineStr">
        <is>
          <t>JR</t>
        </is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s="3" t="n">
        <v>0</v>
      </c>
      <c r="J1514" s="3" t="n">
        <v>0</v>
      </c>
      <c r="K1514" s="3" t="n">
        <v>0</v>
      </c>
      <c r="L1514" s="3">
        <f>IF(K1514&lt;-5,"CRÍTICO",IF(K1514&lt;0,"ATENÇÃO",IF(K1514&lt;=5,"BOM","EXCELENTE")))</f>
        <v/>
      </c>
      <c r="M1514" t="n">
        <v>0</v>
      </c>
      <c r="N1514" t="n">
        <v>0</v>
      </c>
      <c r="O1514" t="n">
        <v>0</v>
      </c>
    </row>
    <row r="1515" hidden="1">
      <c r="A1515" s="11" t="n">
        <v>46048</v>
      </c>
      <c r="B1515" t="inlineStr">
        <is>
          <t>Patrícia Karla de Sousa Araújo</t>
        </is>
      </c>
      <c r="C1515" t="inlineStr">
        <is>
          <t>Técnico II</t>
        </is>
      </c>
      <c r="D1515" t="n">
        <v>20</v>
      </c>
      <c r="E1515" t="n">
        <v>19</v>
      </c>
      <c r="F1515" t="n">
        <v>15.51</v>
      </c>
      <c r="G1515" t="n">
        <v>0</v>
      </c>
      <c r="H1515" t="n">
        <v>0</v>
      </c>
      <c r="I1515" s="3">
        <f>E1515+G1515+H1515</f>
        <v/>
      </c>
      <c r="J1515" s="3">
        <f>ROUND(MIN(IF(C1515="Técnico III",35,IF(C1515="Técnico II",28,IF(C1515="Técnico I",23,IF(C1515="JR",20,IF(C1515="Estágio",10,0))))),IF(C1515="Técnico III",SUMIFS($D:$D,$A:$A,$A1515,$B:$B,"&lt;&gt;Patrícia Karla de Sousa Araújo",$B:$B,"&lt;&gt;Lorena Dias de Araujo",$B:$B,"&lt;&gt;Lucas Luiz Romero")*(35/1083),IF(C1515="Técnico II",SUMIFS($D:$D,$A:$A,$A1515,$B:$B,"&lt;&gt;Patrícia Karla de Sousa Araújo",$B:$B,"&lt;&gt;Lorena Dias de Araujo",$B:$B,"&lt;&gt;Lucas Luiz Romero")*(28/1083),IF(C1515="Técnico I",SUMIFS($D:$D,$A:$A,$A1515,$B:$B,"&lt;&gt;Patrícia Karla de Sousa Araújo",$B:$B,"&lt;&gt;Lorena Dias de Araujo",$B:$B,"&lt;&gt;Lucas Luiz Romero")*(23/1083),IF(C1515="JR",SUMIFS($D:$D,$A:$A,$A1515,$B:$B,"&lt;&gt;Patrícia Karla de Sousa Araújo",$B:$B,"&lt;&gt;Lorena Dias de Araujo",$B:$B,"&lt;&gt;Lucas Luiz Romero")*(20/1083),IF(C1515="Estágio",SUMIFS($D:$D,$A:$A,$A1515,$B:$B,"&lt;&gt;Patrícia Karla de Sousa Araújo",$B:$B,"&lt;&gt;Lorena Dias de Araujo",$B:$B,"&lt;&gt;Lucas Luiz Romero")*(10/1083),0)))))),0)</f>
        <v/>
      </c>
      <c r="K1515" s="3">
        <f>I1515-J1515</f>
        <v/>
      </c>
      <c r="L1515" s="3">
        <f>IF(K1515&lt;-5,"CRÍTICO",IF(K1515&lt;0,"ATENÇÃO",IF(K1515&lt;=5,"BOM","EXCELENTE")))</f>
        <v/>
      </c>
      <c r="M1515" t="n">
        <v>17</v>
      </c>
      <c r="N1515" t="n">
        <v>96</v>
      </c>
      <c r="O1515" t="n">
        <v>31.88405797101449</v>
      </c>
    </row>
    <row r="1516" hidden="1">
      <c r="A1516" s="11" t="n">
        <v>46048</v>
      </c>
      <c r="B1516" t="inlineStr">
        <is>
          <t>Paulo Ricardo Santos</t>
        </is>
      </c>
      <c r="C1516" t="inlineStr">
        <is>
          <t>JR</t>
        </is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s="3" t="n">
        <v>0</v>
      </c>
      <c r="J1516" s="3" t="n">
        <v>0</v>
      </c>
      <c r="K1516" s="3" t="n">
        <v>0</v>
      </c>
      <c r="L1516" s="3">
        <f>IF(K1516&lt;-5,"CRÍTICO",IF(K1516&lt;0,"ATENÇÃO",IF(K1516&lt;=5,"BOM","EXCELENTE")))</f>
        <v/>
      </c>
      <c r="M1516" t="n">
        <v>0</v>
      </c>
      <c r="N1516" t="n">
        <v>0</v>
      </c>
      <c r="O1516" t="n">
        <v>0</v>
      </c>
    </row>
    <row r="1517" hidden="1">
      <c r="A1517" s="11" t="n">
        <v>46048</v>
      </c>
      <c r="B1517" t="inlineStr">
        <is>
          <t>Pedro Luiz Mota Sousa</t>
        </is>
      </c>
      <c r="C1517" t="inlineStr">
        <is>
          <t>JR</t>
        </is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s="3" t="n">
        <v>0</v>
      </c>
      <c r="J1517" s="3" t="n">
        <v>0</v>
      </c>
      <c r="K1517" s="3" t="n">
        <v>0</v>
      </c>
      <c r="L1517" s="3">
        <f>IF(K1517&lt;-5,"CRÍTICO",IF(K1517&lt;0,"ATENÇÃO",IF(K1517&lt;=5,"BOM","EXCELENTE")))</f>
        <v/>
      </c>
      <c r="M1517" t="n">
        <v>0</v>
      </c>
      <c r="N1517" t="n">
        <v>0</v>
      </c>
      <c r="O1517" t="n">
        <v>0</v>
      </c>
    </row>
    <row r="1518" hidden="1">
      <c r="A1518" s="11" t="n">
        <v>46048</v>
      </c>
      <c r="B1518" t="inlineStr">
        <is>
          <t>Quirino Diogo Leite Torres</t>
        </is>
      </c>
      <c r="C1518" t="inlineStr">
        <is>
          <t>Estágio</t>
        </is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s="3" t="n">
        <v>0</v>
      </c>
      <c r="J1518" s="3" t="n">
        <v>0</v>
      </c>
      <c r="K1518" s="3" t="n">
        <v>0</v>
      </c>
      <c r="L1518" s="3">
        <f>IF(K1518&lt;-5,"CRÍTICO",IF(K1518&lt;0,"ATENÇÃO",IF(K1518&lt;=5,"BOM","EXCELENTE")))</f>
        <v/>
      </c>
      <c r="M1518" t="n">
        <v>0</v>
      </c>
      <c r="N1518" t="n">
        <v>0</v>
      </c>
      <c r="O1518" t="n">
        <v>0</v>
      </c>
    </row>
    <row r="1519" hidden="1">
      <c r="A1519" s="11" t="n">
        <v>46048</v>
      </c>
      <c r="B1519" t="inlineStr">
        <is>
          <t>Raane Batista Matos</t>
        </is>
      </c>
      <c r="C1519" t="inlineStr">
        <is>
          <t>Técnico I</t>
        </is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s="3" t="n">
        <v>0</v>
      </c>
      <c r="J1519" s="3" t="n">
        <v>0</v>
      </c>
      <c r="K1519" s="3" t="n">
        <v>0</v>
      </c>
      <c r="L1519" s="3">
        <f>IF(K1519&lt;-5,"CRÍTICO",IF(K1519&lt;0,"ATENÇÃO",IF(K1519&lt;=5,"BOM","EXCELENTE")))</f>
        <v/>
      </c>
      <c r="M1519" t="n">
        <v>0</v>
      </c>
      <c r="N1519" t="n">
        <v>0</v>
      </c>
      <c r="O1519" t="n">
        <v>0</v>
      </c>
    </row>
    <row r="1520" hidden="1">
      <c r="A1520" s="11" t="n">
        <v>46048</v>
      </c>
      <c r="B1520" t="inlineStr">
        <is>
          <t>Rafael Gomes de Morais</t>
        </is>
      </c>
      <c r="C1520" t="inlineStr">
        <is>
          <t>Técnico III</t>
        </is>
      </c>
      <c r="D1520" t="n">
        <v>35</v>
      </c>
      <c r="E1520" t="n">
        <v>33</v>
      </c>
      <c r="F1520" t="n">
        <v>12.1</v>
      </c>
      <c r="G1520" t="n">
        <v>0</v>
      </c>
      <c r="H1520" t="n">
        <v>0</v>
      </c>
      <c r="I1520" s="3">
        <f>E1520+G1520+H1520</f>
        <v/>
      </c>
      <c r="J1520" s="3">
        <f>ROUND(MIN(IF(C1520="Técnico III",35,IF(C1520="Técnico II",28,IF(C1520="Técnico I",23,IF(C1520="JR",20,IF(C1520="Estágio",10,0))))),IF(C1520="Técnico III",SUMIFS($D:$D,$A:$A,$A1520,$B:$B,"&lt;&gt;Patrícia Karla de Sousa Araújo",$B:$B,"&lt;&gt;Lorena Dias de Araujo",$B:$B,"&lt;&gt;Lucas Luiz Romero")*(35/1083),IF(C1520="Técnico II",SUMIFS($D:$D,$A:$A,$A1520,$B:$B,"&lt;&gt;Patrícia Karla de Sousa Araújo",$B:$B,"&lt;&gt;Lorena Dias de Araujo",$B:$B,"&lt;&gt;Lucas Luiz Romero")*(28/1083),IF(C1520="Técnico I",SUMIFS($D:$D,$A:$A,$A1520,$B:$B,"&lt;&gt;Patrícia Karla de Sousa Araújo",$B:$B,"&lt;&gt;Lorena Dias de Araujo",$B:$B,"&lt;&gt;Lucas Luiz Romero")*(23/1083),IF(C1520="JR",SUMIFS($D:$D,$A:$A,$A1520,$B:$B,"&lt;&gt;Patrícia Karla de Sousa Araújo",$B:$B,"&lt;&gt;Lorena Dias de Araujo",$B:$B,"&lt;&gt;Lucas Luiz Romero")*(20/1083),IF(C1520="Estágio",SUMIFS($D:$D,$A:$A,$A1520,$B:$B,"&lt;&gt;Patrícia Karla de Sousa Araújo",$B:$B,"&lt;&gt;Lorena Dias de Araujo",$B:$B,"&lt;&gt;Lucas Luiz Romero")*(10/1083),0)))))),0)</f>
        <v/>
      </c>
      <c r="K1520" s="3">
        <f>I1520-J1520</f>
        <v/>
      </c>
      <c r="L1520" s="3">
        <f>IF(K1520&lt;-5,"CRÍTICO",IF(K1520&lt;0,"ATENÇÃO",IF(K1520&lt;=5,"BOM","EXCELENTE")))</f>
        <v/>
      </c>
      <c r="M1520" t="n">
        <v>33</v>
      </c>
      <c r="N1520" t="n">
        <v>100</v>
      </c>
      <c r="O1520" t="n">
        <v>49.67741935483871</v>
      </c>
    </row>
    <row r="1521" hidden="1">
      <c r="A1521" s="11" t="n">
        <v>46048</v>
      </c>
      <c r="B1521" t="inlineStr">
        <is>
          <t>Sara Maria Monteiro Lopes</t>
        </is>
      </c>
      <c r="C1521" t="inlineStr">
        <is>
          <t>Técnico I</t>
        </is>
      </c>
      <c r="D1521" t="n">
        <v>13</v>
      </c>
      <c r="E1521" t="n">
        <v>13</v>
      </c>
      <c r="F1521" t="n">
        <v>23.44</v>
      </c>
      <c r="G1521" t="n">
        <v>0</v>
      </c>
      <c r="H1521" t="n">
        <v>0</v>
      </c>
      <c r="I1521" s="3">
        <f>E1521+G1521+H1521</f>
        <v/>
      </c>
      <c r="J1521" s="3">
        <f>ROUND(MIN(IF(C1521="Técnico III",35,IF(C1521="Técnico II",28,IF(C1521="Técnico I",23,IF(C1521="JR",20,IF(C1521="Estágio",10,0))))),IF(C1521="Técnico III",SUMIFS($D:$D,$A:$A,$A1521,$B:$B,"&lt;&gt;Patrícia Karla de Sousa Araújo",$B:$B,"&lt;&gt;Lorena Dias de Araujo",$B:$B,"&lt;&gt;Lucas Luiz Romero")*(35/1083),IF(C1521="Técnico II",SUMIFS($D:$D,$A:$A,$A1521,$B:$B,"&lt;&gt;Patrícia Karla de Sousa Araújo",$B:$B,"&lt;&gt;Lorena Dias de Araujo",$B:$B,"&lt;&gt;Lucas Luiz Romero")*(28/1083),IF(C1521="Técnico I",SUMIFS($D:$D,$A:$A,$A1521,$B:$B,"&lt;&gt;Patrícia Karla de Sousa Araújo",$B:$B,"&lt;&gt;Lorena Dias de Araujo",$B:$B,"&lt;&gt;Lucas Luiz Romero")*(23/1083),IF(C1521="JR",SUMIFS($D:$D,$A:$A,$A1521,$B:$B,"&lt;&gt;Patrícia Karla de Sousa Araújo",$B:$B,"&lt;&gt;Lorena Dias de Araujo",$B:$B,"&lt;&gt;Lucas Luiz Romero")*(20/1083),IF(C1521="Estágio",SUMIFS($D:$D,$A:$A,$A1521,$B:$B,"&lt;&gt;Patrícia Karla de Sousa Araújo",$B:$B,"&lt;&gt;Lorena Dias de Araujo",$B:$B,"&lt;&gt;Lucas Luiz Romero")*(10/1083),0)))))),0)</f>
        <v/>
      </c>
      <c r="K1521" s="3">
        <f>I1521-J1521</f>
        <v/>
      </c>
      <c r="L1521" s="3">
        <f>IF(K1521&lt;-5,"CRÍTICO",IF(K1521&lt;0,"ATENÇÃO",IF(K1521&lt;=5,"BOM","EXCELENTE")))</f>
        <v/>
      </c>
      <c r="M1521" t="n">
        <v>13</v>
      </c>
      <c r="N1521" t="n">
        <v>100</v>
      </c>
      <c r="O1521" t="n">
        <v>32.51231527093596</v>
      </c>
    </row>
    <row r="1522" hidden="1">
      <c r="A1522" s="11" t="n">
        <v>46048</v>
      </c>
      <c r="B1522" t="inlineStr">
        <is>
          <t>Sarah Steffanie de Lima Borges</t>
        </is>
      </c>
      <c r="C1522" t="inlineStr">
        <is>
          <t>Técnico III</t>
        </is>
      </c>
      <c r="D1522" t="n">
        <v>26</v>
      </c>
      <c r="E1522" t="n">
        <v>26</v>
      </c>
      <c r="F1522" t="n">
        <v>17.21</v>
      </c>
      <c r="G1522" t="n">
        <v>0</v>
      </c>
      <c r="H1522" t="n">
        <v>0</v>
      </c>
      <c r="I1522" s="3">
        <f>E1522+G1522+H1522</f>
        <v/>
      </c>
      <c r="J1522" s="3">
        <f>ROUND(MIN(IF(C1522="Técnico III",35,IF(C1522="Técnico II",28,IF(C1522="Técnico I",23,IF(C1522="JR",20,IF(C1522="Estágio",10,0))))),IF(C1522="Técnico III",SUMIFS($D:$D,$A:$A,$A1522,$B:$B,"&lt;&gt;Patrícia Karla de Sousa Araújo",$B:$B,"&lt;&gt;Lorena Dias de Araujo",$B:$B,"&lt;&gt;Lucas Luiz Romero")*(35/1083),IF(C1522="Técnico II",SUMIFS($D:$D,$A:$A,$A1522,$B:$B,"&lt;&gt;Patrícia Karla de Sousa Araújo",$B:$B,"&lt;&gt;Lorena Dias de Araujo",$B:$B,"&lt;&gt;Lucas Luiz Romero")*(28/1083),IF(C1522="Técnico I",SUMIFS($D:$D,$A:$A,$A1522,$B:$B,"&lt;&gt;Patrícia Karla de Sousa Araújo",$B:$B,"&lt;&gt;Lorena Dias de Araujo",$B:$B,"&lt;&gt;Lucas Luiz Romero")*(23/1083),IF(C1522="JR",SUMIFS($D:$D,$A:$A,$A1522,$B:$B,"&lt;&gt;Patrícia Karla de Sousa Araújo",$B:$B,"&lt;&gt;Lorena Dias de Araujo",$B:$B,"&lt;&gt;Lucas Luiz Romero")*(20/1083),IF(C1522="Estágio",SUMIFS($D:$D,$A:$A,$A1522,$B:$B,"&lt;&gt;Patrícia Karla de Sousa Araújo",$B:$B,"&lt;&gt;Lorena Dias de Araujo",$B:$B,"&lt;&gt;Lucas Luiz Romero")*(10/1083),0)))))),0)</f>
        <v/>
      </c>
      <c r="K1522" s="3">
        <f>I1522-J1522</f>
        <v/>
      </c>
      <c r="L1522" s="3">
        <f>IF(K1522&lt;-5,"CRÍTICO",IF(K1522&lt;0,"ATENÇÃO",IF(K1522&lt;=5,"BOM","EXCELENTE")))</f>
        <v/>
      </c>
      <c r="M1522" t="n">
        <v>24</v>
      </c>
      <c r="N1522" t="n">
        <v>100</v>
      </c>
      <c r="O1522" t="n">
        <v>26.47814910025707</v>
      </c>
    </row>
    <row r="1523" hidden="1">
      <c r="A1523" s="11" t="n">
        <v>46049</v>
      </c>
      <c r="B1523" t="inlineStr">
        <is>
          <t>Alisson de Freitas Silva</t>
        </is>
      </c>
      <c r="C1523" t="inlineStr">
        <is>
          <t>Técnico II</t>
        </is>
      </c>
      <c r="D1523" t="n">
        <v>30</v>
      </c>
      <c r="E1523" t="n">
        <v>28</v>
      </c>
      <c r="F1523" t="n">
        <v>22.28</v>
      </c>
      <c r="G1523" t="n">
        <v>0</v>
      </c>
      <c r="H1523" t="n">
        <v>0</v>
      </c>
      <c r="I1523" s="3">
        <f>E1523+G1523+H1523</f>
        <v/>
      </c>
      <c r="J1523" s="3">
        <f>ROUND(MIN(IF(C1523="Técnico III",35,IF(C1523="Técnico II",28,IF(C1523="Técnico I",23,IF(C1523="JR",20,IF(C1523="Estágio",10,0))))),IF(C1523="Técnico III",SUMIFS($D:$D,$A:$A,$A1523,$B:$B,"&lt;&gt;Patrícia Karla de Sousa Araújo",$B:$B,"&lt;&gt;Lorena Dias de Araujo",$B:$B,"&lt;&gt;Lucas Luiz Romero")*(35/1083),IF(C1523="Técnico II",SUMIFS($D:$D,$A:$A,$A1523,$B:$B,"&lt;&gt;Patrícia Karla de Sousa Araújo",$B:$B,"&lt;&gt;Lorena Dias de Araujo",$B:$B,"&lt;&gt;Lucas Luiz Romero")*(28/1083),IF(C1523="Técnico I",SUMIFS($D:$D,$A:$A,$A1523,$B:$B,"&lt;&gt;Patrícia Karla de Sousa Araújo",$B:$B,"&lt;&gt;Lorena Dias de Araujo",$B:$B,"&lt;&gt;Lucas Luiz Romero")*(23/1083),IF(C1523="JR",SUMIFS($D:$D,$A:$A,$A1523,$B:$B,"&lt;&gt;Patrícia Karla de Sousa Araújo",$B:$B,"&lt;&gt;Lorena Dias de Araujo",$B:$B,"&lt;&gt;Lucas Luiz Romero")*(20/1083),IF(C1523="Estágio",SUMIFS($D:$D,$A:$A,$A1523,$B:$B,"&lt;&gt;Patrícia Karla de Sousa Araújo",$B:$B,"&lt;&gt;Lorena Dias de Araujo",$B:$B,"&lt;&gt;Lucas Luiz Romero")*(10/1083),0)))))),0)</f>
        <v/>
      </c>
      <c r="K1523" s="3">
        <f>I1523-J1523</f>
        <v/>
      </c>
      <c r="L1523" s="3">
        <f>IF(K1523&lt;-5,"CRÍTICO",IF(K1523&lt;0,"ATENÇÃO",IF(K1523&lt;=5,"BOM","EXCELENTE")))</f>
        <v/>
      </c>
      <c r="M1523" t="n">
        <v>21</v>
      </c>
      <c r="N1523" t="n">
        <v>96.3</v>
      </c>
      <c r="O1523" t="n">
        <v>28.65853658536585</v>
      </c>
    </row>
    <row r="1524" hidden="1">
      <c r="A1524" s="11" t="n">
        <v>46049</v>
      </c>
      <c r="B1524" t="inlineStr">
        <is>
          <t>Amanda Moura Ferreira</t>
        </is>
      </c>
      <c r="C1524" t="inlineStr">
        <is>
          <t>Técnico III</t>
        </is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s="3" t="n">
        <v>0</v>
      </c>
      <c r="J1524" s="3" t="n">
        <v>0</v>
      </c>
      <c r="K1524" s="3" t="n">
        <v>0</v>
      </c>
      <c r="L1524" s="3">
        <f>IF(K1524&lt;-5,"CRÍTICO",IF(K1524&lt;0,"ATENÇÃO",IF(K1524&lt;=5,"BOM","EXCELENTE")))</f>
        <v/>
      </c>
      <c r="M1524" t="n">
        <v>29</v>
      </c>
      <c r="N1524" t="n">
        <v>98.23</v>
      </c>
      <c r="O1524" t="n">
        <v>32.93269230769231</v>
      </c>
    </row>
    <row r="1525" hidden="1">
      <c r="A1525" s="11" t="n">
        <v>46049</v>
      </c>
      <c r="B1525" t="inlineStr">
        <is>
          <t>Ana Karollyne Souza Faria</t>
        </is>
      </c>
      <c r="C1525" t="inlineStr">
        <is>
          <t>Técnico I</t>
        </is>
      </c>
      <c r="D1525" t="n">
        <v>26</v>
      </c>
      <c r="E1525" t="n">
        <v>26</v>
      </c>
      <c r="F1525" t="n">
        <v>27.04</v>
      </c>
      <c r="G1525" t="n">
        <v>0</v>
      </c>
      <c r="H1525" t="n">
        <v>0</v>
      </c>
      <c r="I1525" s="3">
        <f>E1525+G1525+H1525</f>
        <v/>
      </c>
      <c r="J1525" s="3">
        <f>ROUND(MIN(IF(C1525="Técnico III",35,IF(C1525="Técnico II",28,IF(C1525="Técnico I",23,IF(C1525="JR",20,IF(C1525="Estágio",10,0))))),IF(C1525="Técnico III",SUMIFS($D:$D,$A:$A,$A1525,$B:$B,"&lt;&gt;Patrícia Karla de Sousa Araújo",$B:$B,"&lt;&gt;Lorena Dias de Araujo",$B:$B,"&lt;&gt;Lucas Luiz Romero")*(35/1083),IF(C1525="Técnico II",SUMIFS($D:$D,$A:$A,$A1525,$B:$B,"&lt;&gt;Patrícia Karla de Sousa Araújo",$B:$B,"&lt;&gt;Lorena Dias de Araujo",$B:$B,"&lt;&gt;Lucas Luiz Romero")*(28/1083),IF(C1525="Técnico I",SUMIFS($D:$D,$A:$A,$A1525,$B:$B,"&lt;&gt;Patrícia Karla de Sousa Araújo",$B:$B,"&lt;&gt;Lorena Dias de Araujo",$B:$B,"&lt;&gt;Lucas Luiz Romero")*(23/1083),IF(C1525="JR",SUMIFS($D:$D,$A:$A,$A1525,$B:$B,"&lt;&gt;Patrícia Karla de Sousa Araújo",$B:$B,"&lt;&gt;Lorena Dias de Araujo",$B:$B,"&lt;&gt;Lucas Luiz Romero")*(20/1083),IF(C1525="Estágio",SUMIFS($D:$D,$A:$A,$A1525,$B:$B,"&lt;&gt;Patrícia Karla de Sousa Araújo",$B:$B,"&lt;&gt;Lorena Dias de Araujo",$B:$B,"&lt;&gt;Lucas Luiz Romero")*(10/1083),0)))))),0)</f>
        <v/>
      </c>
      <c r="K1525" s="3">
        <f>I1525-J1525</f>
        <v/>
      </c>
      <c r="L1525" s="3">
        <f>IF(K1525&lt;-5,"CRÍTICO",IF(K1525&lt;0,"ATENÇÃO",IF(K1525&lt;=5,"BOM","EXCELENTE")))</f>
        <v/>
      </c>
      <c r="M1525" t="n">
        <v>24</v>
      </c>
      <c r="N1525" t="n">
        <v>99.04000000000001</v>
      </c>
      <c r="O1525" t="n">
        <v>25.98039215686275</v>
      </c>
    </row>
    <row r="1526" hidden="1">
      <c r="A1526" s="11" t="n">
        <v>46049</v>
      </c>
      <c r="B1526" t="inlineStr">
        <is>
          <t>Ana Paula Da Luz Silva Aleixo</t>
        </is>
      </c>
      <c r="C1526" t="inlineStr">
        <is>
          <t>Técnico III</t>
        </is>
      </c>
      <c r="D1526" t="n">
        <v>41</v>
      </c>
      <c r="E1526" t="n">
        <v>37</v>
      </c>
      <c r="F1526" t="n">
        <v>15.36</v>
      </c>
      <c r="G1526" t="n">
        <v>0</v>
      </c>
      <c r="H1526" t="n">
        <v>0</v>
      </c>
      <c r="I1526" s="3">
        <f>E1526+G1526+H1526</f>
        <v/>
      </c>
      <c r="J1526" s="3">
        <f>ROUND(MIN(IF(C1526="Técnico III",35,IF(C1526="Técnico II",28,IF(C1526="Técnico I",23,IF(C1526="JR",20,IF(C1526="Estágio",10,0))))),IF(C1526="Técnico III",SUMIFS($D:$D,$A:$A,$A1526,$B:$B,"&lt;&gt;Patrícia Karla de Sousa Araújo",$B:$B,"&lt;&gt;Lorena Dias de Araujo",$B:$B,"&lt;&gt;Lucas Luiz Romero")*(35/1083),IF(C1526="Técnico II",SUMIFS($D:$D,$A:$A,$A1526,$B:$B,"&lt;&gt;Patrícia Karla de Sousa Araújo",$B:$B,"&lt;&gt;Lorena Dias de Araujo",$B:$B,"&lt;&gt;Lucas Luiz Romero")*(28/1083),IF(C1526="Técnico I",SUMIFS($D:$D,$A:$A,$A1526,$B:$B,"&lt;&gt;Patrícia Karla de Sousa Araújo",$B:$B,"&lt;&gt;Lorena Dias de Araujo",$B:$B,"&lt;&gt;Lucas Luiz Romero")*(23/1083),IF(C1526="JR",SUMIFS($D:$D,$A:$A,$A1526,$B:$B,"&lt;&gt;Patrícia Karla de Sousa Araújo",$B:$B,"&lt;&gt;Lorena Dias de Araujo",$B:$B,"&lt;&gt;Lucas Luiz Romero")*(20/1083),IF(C1526="Estágio",SUMIFS($D:$D,$A:$A,$A1526,$B:$B,"&lt;&gt;Patrícia Karla de Sousa Araújo",$B:$B,"&lt;&gt;Lorena Dias de Araujo",$B:$B,"&lt;&gt;Lucas Luiz Romero")*(10/1083),0)))))),0)</f>
        <v/>
      </c>
      <c r="K1526" s="3">
        <f>I1526-J1526</f>
        <v/>
      </c>
      <c r="L1526" s="3">
        <f>IF(K1526&lt;-5,"CRÍTICO",IF(K1526&lt;0,"ATENÇÃO",IF(K1526&lt;=5,"BOM","EXCELENTE")))</f>
        <v/>
      </c>
      <c r="M1526" t="n">
        <v>31</v>
      </c>
      <c r="N1526" t="n">
        <v>99.06999999999999</v>
      </c>
      <c r="O1526" t="n">
        <v>29.26829268292683</v>
      </c>
    </row>
    <row r="1527" hidden="1">
      <c r="A1527" s="11" t="n">
        <v>46049</v>
      </c>
      <c r="B1527" t="inlineStr">
        <is>
          <t>Anna Luiza Rezende Tavares</t>
        </is>
      </c>
      <c r="C1527" t="inlineStr">
        <is>
          <t>Estágio</t>
        </is>
      </c>
      <c r="D1527" t="n">
        <v>13</v>
      </c>
      <c r="E1527" t="n">
        <v>12</v>
      </c>
      <c r="F1527" t="n">
        <v>17.16</v>
      </c>
      <c r="G1527" t="n">
        <v>0</v>
      </c>
      <c r="H1527" t="n">
        <v>0</v>
      </c>
      <c r="I1527" s="3">
        <f>E1527+G1527+H1527</f>
        <v/>
      </c>
      <c r="J1527" s="3">
        <f>ROUND(MIN(IF(C1527="Técnico III",35,IF(C1527="Técnico II",28,IF(C1527="Técnico I",23,IF(C1527="JR",20,IF(C1527="Estágio",10,0))))),IF(C1527="Técnico III",SUMIFS($D:$D,$A:$A,$A1527,$B:$B,"&lt;&gt;Patrícia Karla de Sousa Araújo",$B:$B,"&lt;&gt;Lorena Dias de Araujo",$B:$B,"&lt;&gt;Lucas Luiz Romero")*(35/1083),IF(C1527="Técnico II",SUMIFS($D:$D,$A:$A,$A1527,$B:$B,"&lt;&gt;Patrícia Karla de Sousa Araújo",$B:$B,"&lt;&gt;Lorena Dias de Araujo",$B:$B,"&lt;&gt;Lucas Luiz Romero")*(28/1083),IF(C1527="Técnico I",SUMIFS($D:$D,$A:$A,$A1527,$B:$B,"&lt;&gt;Patrícia Karla de Sousa Araújo",$B:$B,"&lt;&gt;Lorena Dias de Araujo",$B:$B,"&lt;&gt;Lucas Luiz Romero")*(23/1083),IF(C1527="JR",SUMIFS($D:$D,$A:$A,$A1527,$B:$B,"&lt;&gt;Patrícia Karla de Sousa Araújo",$B:$B,"&lt;&gt;Lorena Dias de Araujo",$B:$B,"&lt;&gt;Lucas Luiz Romero")*(20/1083),IF(C1527="Estágio",SUMIFS($D:$D,$A:$A,$A1527,$B:$B,"&lt;&gt;Patrícia Karla de Sousa Araújo",$B:$B,"&lt;&gt;Lorena Dias de Araujo",$B:$B,"&lt;&gt;Lucas Luiz Romero")*(10/1083),0)))))),0)</f>
        <v/>
      </c>
      <c r="K1527" s="3">
        <f>I1527-J1527</f>
        <v/>
      </c>
      <c r="L1527" s="3">
        <f>IF(K1527&lt;-5,"CRÍTICO",IF(K1527&lt;0,"ATENÇÃO",IF(K1527&lt;=5,"BOM","EXCELENTE")))</f>
        <v/>
      </c>
      <c r="M1527" t="n">
        <v>10</v>
      </c>
      <c r="N1527" t="n">
        <v>100</v>
      </c>
      <c r="O1527" t="n">
        <v>41.52542372881356</v>
      </c>
    </row>
    <row r="1528" hidden="1">
      <c r="A1528" s="11" t="n">
        <v>46049</v>
      </c>
      <c r="B1528" t="inlineStr">
        <is>
          <t>Brenda de Menezes Silva</t>
        </is>
      </c>
      <c r="C1528" t="inlineStr">
        <is>
          <t>Técnico II</t>
        </is>
      </c>
      <c r="D1528" t="n">
        <v>35</v>
      </c>
      <c r="E1528" t="n">
        <v>30</v>
      </c>
      <c r="F1528" t="n">
        <v>12.37</v>
      </c>
      <c r="G1528" t="n">
        <v>0</v>
      </c>
      <c r="H1528" t="n">
        <v>0</v>
      </c>
      <c r="I1528" s="3">
        <f>E1528+G1528+H1528</f>
        <v/>
      </c>
      <c r="J1528" s="3">
        <f>ROUND(MIN(IF(C1528="Técnico III",35,IF(C1528="Técnico II",28,IF(C1528="Técnico I",23,IF(C1528="JR",20,IF(C1528="Estágio",10,0))))),IF(C1528="Técnico III",SUMIFS($D:$D,$A:$A,$A1528,$B:$B,"&lt;&gt;Patrícia Karla de Sousa Araújo",$B:$B,"&lt;&gt;Lorena Dias de Araujo",$B:$B,"&lt;&gt;Lucas Luiz Romero")*(35/1083),IF(C1528="Técnico II",SUMIFS($D:$D,$A:$A,$A1528,$B:$B,"&lt;&gt;Patrícia Karla de Sousa Araújo",$B:$B,"&lt;&gt;Lorena Dias de Araujo",$B:$B,"&lt;&gt;Lucas Luiz Romero")*(28/1083),IF(C1528="Técnico I",SUMIFS($D:$D,$A:$A,$A1528,$B:$B,"&lt;&gt;Patrícia Karla de Sousa Araújo",$B:$B,"&lt;&gt;Lorena Dias de Araujo",$B:$B,"&lt;&gt;Lucas Luiz Romero")*(23/1083),IF(C1528="JR",SUMIFS($D:$D,$A:$A,$A1528,$B:$B,"&lt;&gt;Patrícia Karla de Sousa Araújo",$B:$B,"&lt;&gt;Lorena Dias de Araujo",$B:$B,"&lt;&gt;Lucas Luiz Romero")*(20/1083),IF(C1528="Estágio",SUMIFS($D:$D,$A:$A,$A1528,$B:$B,"&lt;&gt;Patrícia Karla de Sousa Araújo",$B:$B,"&lt;&gt;Lorena Dias de Araujo",$B:$B,"&lt;&gt;Lucas Luiz Romero")*(10/1083),0)))))),0)</f>
        <v/>
      </c>
      <c r="K1528" s="3">
        <f>I1528-J1528</f>
        <v/>
      </c>
      <c r="L1528" s="3">
        <f>IF(K1528&lt;-5,"CRÍTICO",IF(K1528&lt;0,"ATENÇÃO",IF(K1528&lt;=5,"BOM","EXCELENTE")))</f>
        <v/>
      </c>
      <c r="M1528" t="n">
        <v>26</v>
      </c>
      <c r="N1528" t="n">
        <v>98.39</v>
      </c>
      <c r="O1528" t="n">
        <v>28.9237668161435</v>
      </c>
    </row>
    <row r="1529" hidden="1">
      <c r="A1529" s="11" t="n">
        <v>46049</v>
      </c>
      <c r="B1529" t="inlineStr">
        <is>
          <t>Carlos Mateus Cassimiro Nunes</t>
        </is>
      </c>
      <c r="C1529" t="inlineStr">
        <is>
          <t>Técnico II</t>
        </is>
      </c>
      <c r="D1529" t="n">
        <v>24</v>
      </c>
      <c r="E1529" t="n">
        <v>24</v>
      </c>
      <c r="F1529" t="n">
        <v>32.26</v>
      </c>
      <c r="G1529" t="n">
        <v>0</v>
      </c>
      <c r="H1529" t="n">
        <v>0</v>
      </c>
      <c r="I1529" s="3">
        <f>E1529+G1529+H1529</f>
        <v/>
      </c>
      <c r="J1529" s="3">
        <f>ROUND(MIN(IF(C1529="Técnico III",35,IF(C1529="Técnico II",28,IF(C1529="Técnico I",23,IF(C1529="JR",20,IF(C1529="Estágio",10,0))))),IF(C1529="Técnico III",SUMIFS($D:$D,$A:$A,$A1529,$B:$B,"&lt;&gt;Patrícia Karla de Sousa Araújo",$B:$B,"&lt;&gt;Lorena Dias de Araujo",$B:$B,"&lt;&gt;Lucas Luiz Romero")*(35/1083),IF(C1529="Técnico II",SUMIFS($D:$D,$A:$A,$A1529,$B:$B,"&lt;&gt;Patrícia Karla de Sousa Araújo",$B:$B,"&lt;&gt;Lorena Dias de Araujo",$B:$B,"&lt;&gt;Lucas Luiz Romero")*(28/1083),IF(C1529="Técnico I",SUMIFS($D:$D,$A:$A,$A1529,$B:$B,"&lt;&gt;Patrícia Karla de Sousa Araújo",$B:$B,"&lt;&gt;Lorena Dias de Araujo",$B:$B,"&lt;&gt;Lucas Luiz Romero")*(23/1083),IF(C1529="JR",SUMIFS($D:$D,$A:$A,$A1529,$B:$B,"&lt;&gt;Patrícia Karla de Sousa Araújo",$B:$B,"&lt;&gt;Lorena Dias de Araujo",$B:$B,"&lt;&gt;Lucas Luiz Romero")*(20/1083),IF(C1529="Estágio",SUMIFS($D:$D,$A:$A,$A1529,$B:$B,"&lt;&gt;Patrícia Karla de Sousa Araújo",$B:$B,"&lt;&gt;Lorena Dias de Araujo",$B:$B,"&lt;&gt;Lucas Luiz Romero")*(10/1083),0)))))),0)</f>
        <v/>
      </c>
      <c r="K1529" s="3">
        <f>I1529-J1529</f>
        <v/>
      </c>
      <c r="L1529" s="3">
        <f>IF(K1529&lt;-5,"CRÍTICO",IF(K1529&lt;0,"ATENÇÃO",IF(K1529&lt;=5,"BOM","EXCELENTE")))</f>
        <v/>
      </c>
      <c r="M1529" t="n">
        <v>22</v>
      </c>
      <c r="N1529" t="n">
        <v>100</v>
      </c>
      <c r="O1529" t="n">
        <v>34.5679012345679</v>
      </c>
    </row>
    <row r="1530" hidden="1">
      <c r="A1530" s="11" t="n">
        <v>46049</v>
      </c>
      <c r="B1530" t="inlineStr">
        <is>
          <t>Claudio de Sousa Velasco Filho</t>
        </is>
      </c>
      <c r="C1530" t="inlineStr">
        <is>
          <t>Estágio</t>
        </is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s="3" t="n">
        <v>0</v>
      </c>
      <c r="J1530" s="3" t="n">
        <v>0</v>
      </c>
      <c r="K1530" s="3" t="n">
        <v>0</v>
      </c>
      <c r="L1530" s="3">
        <f>IF(K1530&lt;-5,"CRÍTICO",IF(K1530&lt;0,"ATENÇÃO",IF(K1530&lt;=5,"BOM","EXCELENTE")))</f>
        <v/>
      </c>
      <c r="M1530" t="n">
        <v>0</v>
      </c>
      <c r="N1530" t="n">
        <v>0</v>
      </c>
      <c r="O1530" t="n">
        <v>0</v>
      </c>
    </row>
    <row r="1531" hidden="1">
      <c r="A1531" s="11" t="n">
        <v>46049</v>
      </c>
      <c r="B1531" t="inlineStr">
        <is>
          <t>Clessiane Pereira dos Santos</t>
        </is>
      </c>
      <c r="C1531" t="inlineStr">
        <is>
          <t>Técnico I</t>
        </is>
      </c>
      <c r="D1531" t="n">
        <v>28</v>
      </c>
      <c r="E1531" t="n">
        <v>26</v>
      </c>
      <c r="F1531" t="n">
        <v>17.39</v>
      </c>
      <c r="G1531" t="n">
        <v>0</v>
      </c>
      <c r="H1531" t="n">
        <v>0</v>
      </c>
      <c r="I1531" s="3">
        <f>E1531+G1531+H1531</f>
        <v/>
      </c>
      <c r="J1531" s="3">
        <f>ROUND(MIN(IF(C1531="Técnico III",35,IF(C1531="Técnico II",28,IF(C1531="Técnico I",23,IF(C1531="JR",20,IF(C1531="Estágio",10,0))))),IF(C1531="Técnico III",SUMIFS($D:$D,$A:$A,$A1531,$B:$B,"&lt;&gt;Patrícia Karla de Sousa Araújo",$B:$B,"&lt;&gt;Lorena Dias de Araujo",$B:$B,"&lt;&gt;Lucas Luiz Romero")*(35/1083),IF(C1531="Técnico II",SUMIFS($D:$D,$A:$A,$A1531,$B:$B,"&lt;&gt;Patrícia Karla de Sousa Araújo",$B:$B,"&lt;&gt;Lorena Dias de Araujo",$B:$B,"&lt;&gt;Lucas Luiz Romero")*(28/1083),IF(C1531="Técnico I",SUMIFS($D:$D,$A:$A,$A1531,$B:$B,"&lt;&gt;Patrícia Karla de Sousa Araújo",$B:$B,"&lt;&gt;Lorena Dias de Araujo",$B:$B,"&lt;&gt;Lucas Luiz Romero")*(23/1083),IF(C1531="JR",SUMIFS($D:$D,$A:$A,$A1531,$B:$B,"&lt;&gt;Patrícia Karla de Sousa Araújo",$B:$B,"&lt;&gt;Lorena Dias de Araujo",$B:$B,"&lt;&gt;Lucas Luiz Romero")*(20/1083),IF(C1531="Estágio",SUMIFS($D:$D,$A:$A,$A1531,$B:$B,"&lt;&gt;Patrícia Karla de Sousa Araújo",$B:$B,"&lt;&gt;Lorena Dias de Araujo",$B:$B,"&lt;&gt;Lucas Luiz Romero")*(10/1083),0)))))),0)</f>
        <v/>
      </c>
      <c r="K1531" s="3">
        <f>I1531-J1531</f>
        <v/>
      </c>
      <c r="L1531" s="3">
        <f>IF(K1531&lt;-5,"CRÍTICO",IF(K1531&lt;0,"ATENÇÃO",IF(K1531&lt;=5,"BOM","EXCELENTE")))</f>
        <v/>
      </c>
      <c r="M1531" t="n">
        <v>22</v>
      </c>
      <c r="N1531" t="n">
        <v>100</v>
      </c>
      <c r="O1531" t="n">
        <v>28.2051282051282</v>
      </c>
    </row>
    <row r="1532" hidden="1">
      <c r="A1532" s="11" t="n">
        <v>46049</v>
      </c>
      <c r="B1532" t="inlineStr">
        <is>
          <t>Cristiane Ramos da Silva Rocha</t>
        </is>
      </c>
      <c r="C1532" t="inlineStr">
        <is>
          <t>Técnico III</t>
        </is>
      </c>
      <c r="D1532" t="n">
        <v>29</v>
      </c>
      <c r="E1532" t="n">
        <v>28</v>
      </c>
      <c r="F1532" t="n">
        <v>18.44</v>
      </c>
      <c r="G1532" t="n">
        <v>0</v>
      </c>
      <c r="H1532" t="n">
        <v>0</v>
      </c>
      <c r="I1532" s="3">
        <f>E1532+G1532+H1532</f>
        <v/>
      </c>
      <c r="J1532" s="3">
        <f>ROUND(MIN(IF(C1532="Técnico III",35,IF(C1532="Técnico II",28,IF(C1532="Técnico I",23,IF(C1532="JR",20,IF(C1532="Estágio",10,0))))),IF(C1532="Técnico III",SUMIFS($D:$D,$A:$A,$A1532,$B:$B,"&lt;&gt;Patrícia Karla de Sousa Araújo",$B:$B,"&lt;&gt;Lorena Dias de Araujo",$B:$B,"&lt;&gt;Lucas Luiz Romero")*(35/1083),IF(C1532="Técnico II",SUMIFS($D:$D,$A:$A,$A1532,$B:$B,"&lt;&gt;Patrícia Karla de Sousa Araújo",$B:$B,"&lt;&gt;Lorena Dias de Araujo",$B:$B,"&lt;&gt;Lucas Luiz Romero")*(28/1083),IF(C1532="Técnico I",SUMIFS($D:$D,$A:$A,$A1532,$B:$B,"&lt;&gt;Patrícia Karla de Sousa Araújo",$B:$B,"&lt;&gt;Lorena Dias de Araujo",$B:$B,"&lt;&gt;Lucas Luiz Romero")*(23/1083),IF(C1532="JR",SUMIFS($D:$D,$A:$A,$A1532,$B:$B,"&lt;&gt;Patrícia Karla de Sousa Araújo",$B:$B,"&lt;&gt;Lorena Dias de Araujo",$B:$B,"&lt;&gt;Lucas Luiz Romero")*(20/1083),IF(C1532="Estágio",SUMIFS($D:$D,$A:$A,$A1532,$B:$B,"&lt;&gt;Patrícia Karla de Sousa Araújo",$B:$B,"&lt;&gt;Lorena Dias de Araujo",$B:$B,"&lt;&gt;Lucas Luiz Romero")*(10/1083),0)))))),0)</f>
        <v/>
      </c>
      <c r="K1532" s="3">
        <f>I1532-J1532</f>
        <v/>
      </c>
      <c r="L1532" s="3">
        <f>IF(K1532&lt;-5,"CRÍTICO",IF(K1532&lt;0,"ATENÇÃO",IF(K1532&lt;=5,"BOM","EXCELENTE")))</f>
        <v/>
      </c>
      <c r="M1532" t="n">
        <v>25</v>
      </c>
      <c r="N1532" t="n">
        <v>96.97</v>
      </c>
      <c r="O1532" t="n">
        <v>42.58474576271186</v>
      </c>
    </row>
    <row r="1533" hidden="1">
      <c r="A1533" s="11" t="n">
        <v>46049</v>
      </c>
      <c r="B1533" t="inlineStr">
        <is>
          <t>Damyllis Lorraine de Oliveira Gonçalves</t>
        </is>
      </c>
      <c r="C1533" t="inlineStr">
        <is>
          <t>Técnico II</t>
        </is>
      </c>
      <c r="D1533" t="n">
        <v>35</v>
      </c>
      <c r="E1533" t="n">
        <v>25</v>
      </c>
      <c r="F1533" t="n">
        <v>13.29</v>
      </c>
      <c r="G1533" t="n">
        <v>0</v>
      </c>
      <c r="H1533" t="n">
        <v>0</v>
      </c>
      <c r="I1533" s="3" t="n">
        <v>0</v>
      </c>
      <c r="J1533" s="3" t="n">
        <v>0</v>
      </c>
      <c r="K1533" s="3" t="n">
        <v>0</v>
      </c>
      <c r="L1533" s="3">
        <f>IF(K1533&lt;-5,"CRÍTICO",IF(K1533&lt;0,"ATENÇÃO",IF(K1533&lt;=5,"BOM","EXCELENTE")))</f>
        <v/>
      </c>
      <c r="M1533" t="n">
        <v>19</v>
      </c>
      <c r="N1533" t="n">
        <v>96.08</v>
      </c>
      <c r="O1533" t="n">
        <v>30.37634408602151</v>
      </c>
    </row>
    <row r="1534" hidden="1">
      <c r="A1534" s="11" t="n">
        <v>46049</v>
      </c>
      <c r="B1534" t="inlineStr">
        <is>
          <t>Daniel Gomes da Silva</t>
        </is>
      </c>
      <c r="C1534" t="inlineStr">
        <is>
          <t>Técnico I</t>
        </is>
      </c>
      <c r="D1534" t="n">
        <v>22</v>
      </c>
      <c r="E1534" t="n">
        <v>22</v>
      </c>
      <c r="F1534" t="n">
        <v>22.29</v>
      </c>
      <c r="G1534" t="n">
        <v>0</v>
      </c>
      <c r="H1534" t="n">
        <v>0</v>
      </c>
      <c r="I1534" s="3">
        <f>E1534+G1534+H1534</f>
        <v/>
      </c>
      <c r="J1534" s="3">
        <f>ROUND(MIN(IF(C1534="Técnico III",35,IF(C1534="Técnico II",28,IF(C1534="Técnico I",23,IF(C1534="JR",20,IF(C1534="Estágio",10,0))))),IF(C1534="Técnico III",SUMIFS($D:$D,$A:$A,$A1534,$B:$B,"&lt;&gt;Patrícia Karla de Sousa Araújo",$B:$B,"&lt;&gt;Lorena Dias de Araujo",$B:$B,"&lt;&gt;Lucas Luiz Romero")*(35/1083),IF(C1534="Técnico II",SUMIFS($D:$D,$A:$A,$A1534,$B:$B,"&lt;&gt;Patrícia Karla de Sousa Araújo",$B:$B,"&lt;&gt;Lorena Dias de Araujo",$B:$B,"&lt;&gt;Lucas Luiz Romero")*(28/1083),IF(C1534="Técnico I",SUMIFS($D:$D,$A:$A,$A1534,$B:$B,"&lt;&gt;Patrícia Karla de Sousa Araújo",$B:$B,"&lt;&gt;Lorena Dias de Araujo",$B:$B,"&lt;&gt;Lucas Luiz Romero")*(23/1083),IF(C1534="JR",SUMIFS($D:$D,$A:$A,$A1534,$B:$B,"&lt;&gt;Patrícia Karla de Sousa Araújo",$B:$B,"&lt;&gt;Lorena Dias de Araujo",$B:$B,"&lt;&gt;Lucas Luiz Romero")*(20/1083),IF(C1534="Estágio",SUMIFS($D:$D,$A:$A,$A1534,$B:$B,"&lt;&gt;Patrícia Karla de Sousa Araújo",$B:$B,"&lt;&gt;Lorena Dias de Araujo",$B:$B,"&lt;&gt;Lucas Luiz Romero")*(10/1083),0)))))),0)</f>
        <v/>
      </c>
      <c r="K1534" s="3">
        <f>I1534-J1534</f>
        <v/>
      </c>
      <c r="L1534" s="3">
        <f>IF(K1534&lt;-5,"CRÍTICO",IF(K1534&lt;0,"ATENÇÃO",IF(K1534&lt;=5,"BOM","EXCELENTE")))</f>
        <v/>
      </c>
      <c r="M1534" t="n">
        <v>27</v>
      </c>
      <c r="N1534" t="n">
        <v>100</v>
      </c>
      <c r="O1534" t="n">
        <v>26.86567164179105</v>
      </c>
    </row>
    <row r="1535" hidden="1">
      <c r="A1535" s="11" t="n">
        <v>46049</v>
      </c>
      <c r="B1535" t="inlineStr">
        <is>
          <t>Davylla Rodrigues Freitas Silva</t>
        </is>
      </c>
      <c r="C1535" t="inlineStr">
        <is>
          <t>Técnico III</t>
        </is>
      </c>
      <c r="D1535" t="n">
        <v>29</v>
      </c>
      <c r="E1535" t="n">
        <v>28</v>
      </c>
      <c r="F1535" t="n">
        <v>26.43</v>
      </c>
      <c r="G1535" t="n">
        <v>0</v>
      </c>
      <c r="H1535" t="n">
        <v>0</v>
      </c>
      <c r="I1535" s="3" t="n">
        <v>0</v>
      </c>
      <c r="J1535" s="3" t="n">
        <v>0</v>
      </c>
      <c r="K1535" s="3" t="n">
        <v>0</v>
      </c>
      <c r="L1535" s="3">
        <f>IF(K1535&lt;-5,"CRÍTICO",IF(K1535&lt;0,"ATENÇÃO",IF(K1535&lt;=5,"BOM","EXCELENTE")))</f>
        <v/>
      </c>
      <c r="M1535" t="n">
        <v>26</v>
      </c>
      <c r="N1535" t="n">
        <v>100</v>
      </c>
      <c r="O1535" t="n">
        <v>41</v>
      </c>
    </row>
    <row r="1536" hidden="1">
      <c r="A1536" s="11" t="n">
        <v>46049</v>
      </c>
      <c r="B1536" t="inlineStr">
        <is>
          <t>Emilly Caylane Costa</t>
        </is>
      </c>
      <c r="C1536" t="inlineStr">
        <is>
          <t>Estágio</t>
        </is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s="3" t="n">
        <v>0</v>
      </c>
      <c r="J1536" s="3" t="n">
        <v>0</v>
      </c>
      <c r="K1536" s="3" t="n">
        <v>0</v>
      </c>
      <c r="L1536" s="3">
        <f>IF(K1536&lt;-5,"CRÍTICO",IF(K1536&lt;0,"ATENÇÃO",IF(K1536&lt;=5,"BOM","EXCELENTE")))</f>
        <v/>
      </c>
      <c r="M1536" t="n">
        <v>0</v>
      </c>
      <c r="N1536" t="n">
        <v>0</v>
      </c>
      <c r="O1536" t="n">
        <v>0</v>
      </c>
    </row>
    <row r="1537" hidden="1">
      <c r="A1537" s="11" t="n">
        <v>46049</v>
      </c>
      <c r="B1537" t="inlineStr">
        <is>
          <t>Emilly Kamilly Medeiros Miranda</t>
        </is>
      </c>
      <c r="C1537" t="inlineStr">
        <is>
          <t>Técnico II</t>
        </is>
      </c>
      <c r="D1537" t="n">
        <v>38</v>
      </c>
      <c r="E1537" t="n">
        <v>34</v>
      </c>
      <c r="F1537" t="n">
        <v>15.32</v>
      </c>
      <c r="G1537" t="n">
        <v>0</v>
      </c>
      <c r="H1537" t="n">
        <v>0</v>
      </c>
      <c r="I1537" s="3">
        <f>E1537+G1537+H1537</f>
        <v/>
      </c>
      <c r="J1537" s="3">
        <f>ROUND(MIN(IF(C1537="Técnico III",35,IF(C1537="Técnico II",28,IF(C1537="Técnico I",23,IF(C1537="JR",20,IF(C1537="Estágio",10,0))))),IF(C1537="Técnico III",SUMIFS($D:$D,$A:$A,$A1537,$B:$B,"&lt;&gt;Patrícia Karla de Sousa Araújo",$B:$B,"&lt;&gt;Lorena Dias de Araujo",$B:$B,"&lt;&gt;Lucas Luiz Romero")*(35/1083),IF(C1537="Técnico II",SUMIFS($D:$D,$A:$A,$A1537,$B:$B,"&lt;&gt;Patrícia Karla de Sousa Araújo",$B:$B,"&lt;&gt;Lorena Dias de Araujo",$B:$B,"&lt;&gt;Lucas Luiz Romero")*(28/1083),IF(C1537="Técnico I",SUMIFS($D:$D,$A:$A,$A1537,$B:$B,"&lt;&gt;Patrícia Karla de Sousa Araújo",$B:$B,"&lt;&gt;Lorena Dias de Araujo",$B:$B,"&lt;&gt;Lucas Luiz Romero")*(23/1083),IF(C1537="JR",SUMIFS($D:$D,$A:$A,$A1537,$B:$B,"&lt;&gt;Patrícia Karla de Sousa Araújo",$B:$B,"&lt;&gt;Lorena Dias de Araujo",$B:$B,"&lt;&gt;Lucas Luiz Romero")*(20/1083),IF(C1537="Estágio",SUMIFS($D:$D,$A:$A,$A1537,$B:$B,"&lt;&gt;Patrícia Karla de Sousa Araújo",$B:$B,"&lt;&gt;Lorena Dias de Araujo",$B:$B,"&lt;&gt;Lucas Luiz Romero")*(10/1083),0)))))),0)</f>
        <v/>
      </c>
      <c r="K1537" s="3">
        <f>I1537-J1537</f>
        <v/>
      </c>
      <c r="L1537" s="3">
        <f>IF(K1537&lt;-5,"CRÍTICO",IF(K1537&lt;0,"ATENÇÃO",IF(K1537&lt;=5,"BOM","EXCELENTE")))</f>
        <v/>
      </c>
      <c r="M1537" t="n">
        <v>30</v>
      </c>
      <c r="N1537" t="n">
        <v>100</v>
      </c>
      <c r="O1537" t="n">
        <v>33.77777777777778</v>
      </c>
    </row>
    <row r="1538" hidden="1">
      <c r="A1538" s="11" t="n">
        <v>46049</v>
      </c>
      <c r="B1538" t="inlineStr">
        <is>
          <t>Francielson de Oliveira</t>
        </is>
      </c>
      <c r="C1538" t="inlineStr">
        <is>
          <t>Técnico III</t>
        </is>
      </c>
      <c r="D1538" t="n">
        <v>25</v>
      </c>
      <c r="E1538" t="n">
        <v>23</v>
      </c>
      <c r="F1538" t="n">
        <v>15.08</v>
      </c>
      <c r="G1538" t="n">
        <v>0</v>
      </c>
      <c r="H1538" t="n">
        <v>0</v>
      </c>
      <c r="I1538" s="3">
        <f>E1538+G1538+H1538</f>
        <v/>
      </c>
      <c r="J1538" s="3">
        <f>ROUND(MIN(IF(C1538="Técnico III",35,IF(C1538="Técnico II",28,IF(C1538="Técnico I",23,IF(C1538="JR",20,IF(C1538="Estágio",10,0))))),IF(C1538="Técnico III",SUMIFS($D:$D,$A:$A,$A1538,$B:$B,"&lt;&gt;Patrícia Karla de Sousa Araújo",$B:$B,"&lt;&gt;Lorena Dias de Araujo",$B:$B,"&lt;&gt;Lucas Luiz Romero")*(35/1083),IF(C1538="Técnico II",SUMIFS($D:$D,$A:$A,$A1538,$B:$B,"&lt;&gt;Patrícia Karla de Sousa Araújo",$B:$B,"&lt;&gt;Lorena Dias de Araujo",$B:$B,"&lt;&gt;Lucas Luiz Romero")*(28/1083),IF(C1538="Técnico I",SUMIFS($D:$D,$A:$A,$A1538,$B:$B,"&lt;&gt;Patrícia Karla de Sousa Araújo",$B:$B,"&lt;&gt;Lorena Dias de Araujo",$B:$B,"&lt;&gt;Lucas Luiz Romero")*(23/1083),IF(C1538="JR",SUMIFS($D:$D,$A:$A,$A1538,$B:$B,"&lt;&gt;Patrícia Karla de Sousa Araújo",$B:$B,"&lt;&gt;Lorena Dias de Araujo",$B:$B,"&lt;&gt;Lucas Luiz Romero")*(20/1083),IF(C1538="Estágio",SUMIFS($D:$D,$A:$A,$A1538,$B:$B,"&lt;&gt;Patrícia Karla de Sousa Araújo",$B:$B,"&lt;&gt;Lorena Dias de Araujo",$B:$B,"&lt;&gt;Lucas Luiz Romero")*(10/1083),0)))))),0)</f>
        <v/>
      </c>
      <c r="K1538" s="3">
        <f>I1538-J1538</f>
        <v/>
      </c>
      <c r="L1538" s="3">
        <f>IF(K1538&lt;-5,"CRÍTICO",IF(K1538&lt;0,"ATENÇÃO",IF(K1538&lt;=5,"BOM","EXCELENTE")))</f>
        <v/>
      </c>
      <c r="M1538" t="n">
        <v>25</v>
      </c>
      <c r="N1538" t="n">
        <v>100</v>
      </c>
      <c r="O1538" t="n">
        <v>33.98876404494382</v>
      </c>
    </row>
    <row r="1539" hidden="1">
      <c r="A1539" s="11" t="n">
        <v>46049</v>
      </c>
      <c r="B1539" t="inlineStr">
        <is>
          <t>Francilene Ferreira de Jesus</t>
        </is>
      </c>
      <c r="C1539" t="inlineStr">
        <is>
          <t>Técnico II</t>
        </is>
      </c>
      <c r="D1539" t="n">
        <v>34</v>
      </c>
      <c r="E1539" t="n">
        <v>33</v>
      </c>
      <c r="F1539" t="n">
        <v>21.52</v>
      </c>
      <c r="G1539" t="n">
        <v>0</v>
      </c>
      <c r="H1539" t="n">
        <v>0</v>
      </c>
      <c r="I1539" s="3">
        <f>E1539+G1539+H1539</f>
        <v/>
      </c>
      <c r="J1539" s="3">
        <f>ROUND(MIN(IF(C1539="Técnico III",35,IF(C1539="Técnico II",28,IF(C1539="Técnico I",23,IF(C1539="JR",20,IF(C1539="Estágio",10,0))))),IF(C1539="Técnico III",SUMIFS($D:$D,$A:$A,$A1539,$B:$B,"&lt;&gt;Patrícia Karla de Sousa Araújo",$B:$B,"&lt;&gt;Lorena Dias de Araujo",$B:$B,"&lt;&gt;Lucas Luiz Romero")*(35/1083),IF(C1539="Técnico II",SUMIFS($D:$D,$A:$A,$A1539,$B:$B,"&lt;&gt;Patrícia Karla de Sousa Araújo",$B:$B,"&lt;&gt;Lorena Dias de Araujo",$B:$B,"&lt;&gt;Lucas Luiz Romero")*(28/1083),IF(C1539="Técnico I",SUMIFS($D:$D,$A:$A,$A1539,$B:$B,"&lt;&gt;Patrícia Karla de Sousa Araújo",$B:$B,"&lt;&gt;Lorena Dias de Araujo",$B:$B,"&lt;&gt;Lucas Luiz Romero")*(23/1083),IF(C1539="JR",SUMIFS($D:$D,$A:$A,$A1539,$B:$B,"&lt;&gt;Patrícia Karla de Sousa Araújo",$B:$B,"&lt;&gt;Lorena Dias de Araujo",$B:$B,"&lt;&gt;Lucas Luiz Romero")*(20/1083),IF(C1539="Estágio",SUMIFS($D:$D,$A:$A,$A1539,$B:$B,"&lt;&gt;Patrícia Karla de Sousa Araújo",$B:$B,"&lt;&gt;Lorena Dias de Araujo",$B:$B,"&lt;&gt;Lucas Luiz Romero")*(10/1083),0)))))),0)</f>
        <v/>
      </c>
      <c r="K1539" s="3">
        <f>I1539-J1539</f>
        <v/>
      </c>
      <c r="L1539" s="3">
        <f>IF(K1539&lt;-5,"CRÍTICO",IF(K1539&lt;0,"ATENÇÃO",IF(K1539&lt;=5,"BOM","EXCELENTE")))</f>
        <v/>
      </c>
      <c r="M1539" t="n">
        <v>25</v>
      </c>
      <c r="N1539" t="n">
        <v>99.19</v>
      </c>
      <c r="O1539" t="n">
        <v>32.4468085106383</v>
      </c>
    </row>
    <row r="1540" hidden="1">
      <c r="A1540" s="11" t="n">
        <v>46083</v>
      </c>
      <c r="B1540" t="inlineStr">
        <is>
          <t>Gabriel Gomes de Andrade</t>
        </is>
      </c>
      <c r="C1540" t="inlineStr">
        <is>
          <t>Técnico I</t>
        </is>
      </c>
      <c r="D1540" t="n">
        <v>22</v>
      </c>
      <c r="E1540" t="n">
        <v>21</v>
      </c>
      <c r="F1540" t="n">
        <v>20.11</v>
      </c>
      <c r="G1540" t="n">
        <v>0</v>
      </c>
      <c r="H1540" t="n">
        <v>0</v>
      </c>
      <c r="I1540" s="3">
        <f>E1540+G1540+H1540</f>
        <v/>
      </c>
      <c r="J1540" s="3">
        <f>ROUND(MIN(IF(C1540="Técnico III",35,IF(C1540="Técnico II",28,IF(C1540="Técnico I",23,IF(C1540="JR",20,IF(C1540="Estágio",10,0))))),IF(C1540="Técnico III",SUMIFS($D:$D,$A:$A,$A1540,$B:$B,"&lt;&gt;Patrícia Karla de Sousa Araújo",$B:$B,"&lt;&gt;Lorena Dias de Araujo",$B:$B,"&lt;&gt;Lucas Luiz Romero")*(35/1083),IF(C1540="Técnico II",SUMIFS($D:$D,$A:$A,$A1540,$B:$B,"&lt;&gt;Patrícia Karla de Sousa Araújo",$B:$B,"&lt;&gt;Lorena Dias de Araujo",$B:$B,"&lt;&gt;Lucas Luiz Romero")*(28/1083),IF(C1540="Técnico I",SUMIFS($D:$D,$A:$A,$A1540,$B:$B,"&lt;&gt;Patrícia Karla de Sousa Araújo",$B:$B,"&lt;&gt;Lorena Dias de Araujo",$B:$B,"&lt;&gt;Lucas Luiz Romero")*(23/1083),IF(C1540="JR",SUMIFS($D:$D,$A:$A,$A1540,$B:$B,"&lt;&gt;Patrícia Karla de Sousa Araújo",$B:$B,"&lt;&gt;Lorena Dias de Araujo",$B:$B,"&lt;&gt;Lucas Luiz Romero")*(20/1083),IF(C1540="Estágio",SUMIFS($D:$D,$A:$A,$A1540,$B:$B,"&lt;&gt;Patrícia Karla de Sousa Araújo",$B:$B,"&lt;&gt;Lorena Dias de Araujo",$B:$B,"&lt;&gt;Lucas Luiz Romero")*(10/1083),0)))))),0)</f>
        <v/>
      </c>
      <c r="K1540" s="3">
        <f>I1540-J1540</f>
        <v/>
      </c>
      <c r="L1540" s="3">
        <f>IF(K1540&lt;-5,"CRÍTICO",IF(K1540&lt;0,"ATENÇÃO",IF(K1540&lt;=5,"BOM","EXCELENTE")))</f>
        <v/>
      </c>
      <c r="N1540" t="n">
        <v>99.05</v>
      </c>
      <c r="O1540" t="n">
        <v>26.62192393736018</v>
      </c>
    </row>
    <row r="1541" hidden="1">
      <c r="A1541" s="11" t="n">
        <v>46049</v>
      </c>
      <c r="B1541" t="inlineStr">
        <is>
          <t>Isabella Borges de Oliveira</t>
        </is>
      </c>
      <c r="C1541" t="inlineStr">
        <is>
          <t>Técnico II</t>
        </is>
      </c>
      <c r="D1541" t="n">
        <v>36</v>
      </c>
      <c r="E1541" t="n">
        <v>32</v>
      </c>
      <c r="F1541" t="n">
        <v>17.36</v>
      </c>
      <c r="G1541" t="n">
        <v>0</v>
      </c>
      <c r="H1541" t="n">
        <v>0</v>
      </c>
      <c r="I1541" s="3">
        <f>E1541+G1541+H1541</f>
        <v/>
      </c>
      <c r="J1541" s="3">
        <f>ROUND(MIN(IF(C1541="Técnico III",35,IF(C1541="Técnico II",28,IF(C1541="Técnico I",23,IF(C1541="JR",20,IF(C1541="Estágio",10,0))))),IF(C1541="Técnico III",SUMIFS($D:$D,$A:$A,$A1541,$B:$B,"&lt;&gt;Patrícia Karla de Sousa Araújo",$B:$B,"&lt;&gt;Lorena Dias de Araujo",$B:$B,"&lt;&gt;Lucas Luiz Romero")*(35/1083),IF(C1541="Técnico II",SUMIFS($D:$D,$A:$A,$A1541,$B:$B,"&lt;&gt;Patrícia Karla de Sousa Araújo",$B:$B,"&lt;&gt;Lorena Dias de Araujo",$B:$B,"&lt;&gt;Lucas Luiz Romero")*(28/1083),IF(C1541="Técnico I",SUMIFS($D:$D,$A:$A,$A1541,$B:$B,"&lt;&gt;Patrícia Karla de Sousa Araújo",$B:$B,"&lt;&gt;Lorena Dias de Araujo",$B:$B,"&lt;&gt;Lucas Luiz Romero")*(23/1083),IF(C1541="JR",SUMIFS($D:$D,$A:$A,$A1541,$B:$B,"&lt;&gt;Patrícia Karla de Sousa Araújo",$B:$B,"&lt;&gt;Lorena Dias de Araujo",$B:$B,"&lt;&gt;Lucas Luiz Romero")*(20/1083),IF(C1541="Estágio",SUMIFS($D:$D,$A:$A,$A1541,$B:$B,"&lt;&gt;Patrícia Karla de Sousa Araújo",$B:$B,"&lt;&gt;Lorena Dias de Araujo",$B:$B,"&lt;&gt;Lucas Luiz Romero")*(10/1083),0)))))),0)</f>
        <v/>
      </c>
      <c r="K1541" s="3">
        <f>I1541-J1541</f>
        <v/>
      </c>
      <c r="L1541" s="3">
        <f>IF(K1541&lt;-5,"CRÍTICO",IF(K1541&lt;0,"ATENÇÃO",IF(K1541&lt;=5,"BOM","EXCELENTE")))</f>
        <v/>
      </c>
      <c r="M1541" t="n">
        <v>28</v>
      </c>
      <c r="N1541" t="n">
        <v>100</v>
      </c>
      <c r="O1541" t="n">
        <v>29.38271604938272</v>
      </c>
    </row>
    <row r="1542" hidden="1">
      <c r="A1542" s="11" t="n">
        <v>46049</v>
      </c>
      <c r="B1542" t="inlineStr">
        <is>
          <t>Janaina Lima dos Reis Urany</t>
        </is>
      </c>
      <c r="C1542" t="inlineStr">
        <is>
          <t>Técnico III</t>
        </is>
      </c>
      <c r="D1542" t="n">
        <v>38</v>
      </c>
      <c r="E1542" t="n">
        <v>36</v>
      </c>
      <c r="F1542" t="n">
        <v>18.37</v>
      </c>
      <c r="G1542" t="n">
        <v>0</v>
      </c>
      <c r="H1542" t="n">
        <v>0</v>
      </c>
      <c r="I1542" s="3">
        <f>E1542+G1542+H1542</f>
        <v/>
      </c>
      <c r="J1542" s="3">
        <f>ROUND(MIN(IF(C1542="Técnico III",35,IF(C1542="Técnico II",28,IF(C1542="Técnico I",23,IF(C1542="JR",20,IF(C1542="Estágio",10,0))))),IF(C1542="Técnico III",SUMIFS($D:$D,$A:$A,$A1542,$B:$B,"&lt;&gt;Patrícia Karla de Sousa Araújo",$B:$B,"&lt;&gt;Lorena Dias de Araujo",$B:$B,"&lt;&gt;Lucas Luiz Romero")*(35/1083),IF(C1542="Técnico II",SUMIFS($D:$D,$A:$A,$A1542,$B:$B,"&lt;&gt;Patrícia Karla de Sousa Araújo",$B:$B,"&lt;&gt;Lorena Dias de Araujo",$B:$B,"&lt;&gt;Lucas Luiz Romero")*(28/1083),IF(C1542="Técnico I",SUMIFS($D:$D,$A:$A,$A1542,$B:$B,"&lt;&gt;Patrícia Karla de Sousa Araújo",$B:$B,"&lt;&gt;Lorena Dias de Araujo",$B:$B,"&lt;&gt;Lucas Luiz Romero")*(23/1083),IF(C1542="JR",SUMIFS($D:$D,$A:$A,$A1542,$B:$B,"&lt;&gt;Patrícia Karla de Sousa Araújo",$B:$B,"&lt;&gt;Lorena Dias de Araujo",$B:$B,"&lt;&gt;Lucas Luiz Romero")*(20/1083),IF(C1542="Estágio",SUMIFS($D:$D,$A:$A,$A1542,$B:$B,"&lt;&gt;Patrícia Karla de Sousa Araújo",$B:$B,"&lt;&gt;Lorena Dias de Araujo",$B:$B,"&lt;&gt;Lucas Luiz Romero")*(10/1083),0)))))),0)</f>
        <v/>
      </c>
      <c r="K1542" s="3">
        <f>I1542-J1542</f>
        <v/>
      </c>
      <c r="L1542" s="3">
        <f>IF(K1542&lt;-5,"CRÍTICO",IF(K1542&lt;0,"ATENÇÃO",IF(K1542&lt;=5,"BOM","EXCELENTE")))</f>
        <v/>
      </c>
      <c r="M1542" t="n">
        <v>30</v>
      </c>
      <c r="N1542" t="n">
        <v>100</v>
      </c>
      <c r="O1542" t="n">
        <v>31.26984126984127</v>
      </c>
    </row>
    <row r="1543" hidden="1">
      <c r="A1543" s="11" t="n">
        <v>46049</v>
      </c>
      <c r="B1543" t="inlineStr">
        <is>
          <t>Jaqueline Evangelista da Silva Martins</t>
        </is>
      </c>
      <c r="C1543" t="inlineStr">
        <is>
          <t>Técnico III</t>
        </is>
      </c>
      <c r="D1543" t="n">
        <v>17</v>
      </c>
      <c r="E1543" t="n">
        <v>15</v>
      </c>
      <c r="F1543" t="n">
        <v>10.24</v>
      </c>
      <c r="G1543" t="n">
        <v>0</v>
      </c>
      <c r="H1543" t="n">
        <v>0</v>
      </c>
      <c r="I1543" s="3">
        <f>E1543+G1543+H1543</f>
        <v/>
      </c>
      <c r="J1543" s="3">
        <f>ROUND(MIN(IF(C1543="Técnico III",35,IF(C1543="Técnico II",28,IF(C1543="Técnico I",23,IF(C1543="JR",20,IF(C1543="Estágio",10,0))))),IF(C1543="Técnico III",SUMIFS($D:$D,$A:$A,$A1543,$B:$B,"&lt;&gt;Patrícia Karla de Sousa Araújo",$B:$B,"&lt;&gt;Lorena Dias de Araujo",$B:$B,"&lt;&gt;Lucas Luiz Romero")*(35/1083),IF(C1543="Técnico II",SUMIFS($D:$D,$A:$A,$A1543,$B:$B,"&lt;&gt;Patrícia Karla de Sousa Araújo",$B:$B,"&lt;&gt;Lorena Dias de Araujo",$B:$B,"&lt;&gt;Lucas Luiz Romero")*(28/1083),IF(C1543="Técnico I",SUMIFS($D:$D,$A:$A,$A1543,$B:$B,"&lt;&gt;Patrícia Karla de Sousa Araújo",$B:$B,"&lt;&gt;Lorena Dias de Araujo",$B:$B,"&lt;&gt;Lucas Luiz Romero")*(23/1083),IF(C1543="JR",SUMIFS($D:$D,$A:$A,$A1543,$B:$B,"&lt;&gt;Patrícia Karla de Sousa Araújo",$B:$B,"&lt;&gt;Lorena Dias de Araujo",$B:$B,"&lt;&gt;Lucas Luiz Romero")*(20/1083),IF(C1543="Estágio",SUMIFS($D:$D,$A:$A,$A1543,$B:$B,"&lt;&gt;Patrícia Karla de Sousa Araújo",$B:$B,"&lt;&gt;Lorena Dias de Araujo",$B:$B,"&lt;&gt;Lucas Luiz Romero")*(10/1083),0)))))),0)</f>
        <v/>
      </c>
      <c r="K1543" s="3">
        <f>I1543-J1543</f>
        <v/>
      </c>
      <c r="L1543" s="3">
        <f>IF(K1543&lt;-5,"CRÍTICO",IF(K1543&lt;0,"ATENÇÃO",IF(K1543&lt;=5,"BOM","EXCELENTE")))</f>
        <v/>
      </c>
      <c r="M1543" t="n">
        <v>14</v>
      </c>
      <c r="N1543" t="n">
        <v>100</v>
      </c>
      <c r="O1543" t="n">
        <v>28.57142857142857</v>
      </c>
    </row>
    <row r="1544" hidden="1">
      <c r="A1544" s="11" t="n">
        <v>46049</v>
      </c>
      <c r="B1544" t="inlineStr">
        <is>
          <t>Jessica Faria da Silveira</t>
        </is>
      </c>
      <c r="C1544" t="inlineStr">
        <is>
          <t>Técnico II</t>
        </is>
      </c>
      <c r="D1544" t="n">
        <v>32</v>
      </c>
      <c r="E1544" t="n">
        <v>23</v>
      </c>
      <c r="F1544" t="n">
        <v>15.2</v>
      </c>
      <c r="G1544" t="n">
        <v>0</v>
      </c>
      <c r="H1544" t="n">
        <v>0</v>
      </c>
      <c r="I1544" s="3">
        <f>E1544+G1544+H1544</f>
        <v/>
      </c>
      <c r="J1544" s="3">
        <f>ROUND(MIN(IF(C1544="Técnico III",35,IF(C1544="Técnico II",28,IF(C1544="Técnico I",23,IF(C1544="JR",20,IF(C1544="Estágio",10,0))))),IF(C1544="Técnico III",SUMIFS($D:$D,$A:$A,$A1544,$B:$B,"&lt;&gt;Patrícia Karla de Sousa Araújo",$B:$B,"&lt;&gt;Lorena Dias de Araujo",$B:$B,"&lt;&gt;Lucas Luiz Romero")*(35/1083),IF(C1544="Técnico II",SUMIFS($D:$D,$A:$A,$A1544,$B:$B,"&lt;&gt;Patrícia Karla de Sousa Araújo",$B:$B,"&lt;&gt;Lorena Dias de Araujo",$B:$B,"&lt;&gt;Lucas Luiz Romero")*(28/1083),IF(C1544="Técnico I",SUMIFS($D:$D,$A:$A,$A1544,$B:$B,"&lt;&gt;Patrícia Karla de Sousa Araújo",$B:$B,"&lt;&gt;Lorena Dias de Araujo",$B:$B,"&lt;&gt;Lucas Luiz Romero")*(23/1083),IF(C1544="JR",SUMIFS($D:$D,$A:$A,$A1544,$B:$B,"&lt;&gt;Patrícia Karla de Sousa Araújo",$B:$B,"&lt;&gt;Lorena Dias de Araujo",$B:$B,"&lt;&gt;Lucas Luiz Romero")*(20/1083),IF(C1544="Estágio",SUMIFS($D:$D,$A:$A,$A1544,$B:$B,"&lt;&gt;Patrícia Karla de Sousa Araújo",$B:$B,"&lt;&gt;Lorena Dias de Araujo",$B:$B,"&lt;&gt;Lucas Luiz Romero")*(10/1083),0)))))),0)</f>
        <v/>
      </c>
      <c r="K1544" s="3">
        <f>I1544-J1544</f>
        <v/>
      </c>
      <c r="L1544" s="3">
        <f>IF(K1544&lt;-5,"CRÍTICO",IF(K1544&lt;0,"ATENÇÃO",IF(K1544&lt;=5,"BOM","EXCELENTE")))</f>
        <v/>
      </c>
      <c r="M1544" t="n">
        <v>23</v>
      </c>
      <c r="N1544" t="n">
        <v>95.83</v>
      </c>
      <c r="O1544" t="n">
        <v>28.68632707774799</v>
      </c>
    </row>
    <row r="1545" hidden="1">
      <c r="A1545" s="11" t="n">
        <v>46049</v>
      </c>
      <c r="B1545" t="inlineStr">
        <is>
          <t>Jéssica Fé Moura</t>
        </is>
      </c>
      <c r="C1545" t="inlineStr">
        <is>
          <t>Técnico III</t>
        </is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s="3" t="n">
        <v>0</v>
      </c>
      <c r="J1545" s="3" t="n">
        <v>0</v>
      </c>
      <c r="K1545" s="3" t="n">
        <v>0</v>
      </c>
      <c r="L1545" s="3">
        <f>IF(K1545&lt;-5,"CRÍTICO",IF(K1545&lt;0,"ATENÇÃO",IF(K1545&lt;=5,"BOM","EXCELENTE")))</f>
        <v/>
      </c>
      <c r="M1545" t="n">
        <v>0</v>
      </c>
      <c r="N1545" t="n">
        <v>100</v>
      </c>
      <c r="O1545" t="n">
        <v>33.98058252427185</v>
      </c>
    </row>
    <row r="1546" hidden="1">
      <c r="A1546" s="11" t="n">
        <v>46049</v>
      </c>
      <c r="B1546" t="inlineStr">
        <is>
          <t>Karina Gonçalves Martins</t>
        </is>
      </c>
      <c r="C1546" t="inlineStr">
        <is>
          <t>JR</t>
        </is>
      </c>
      <c r="D1546" t="n">
        <v>8</v>
      </c>
      <c r="E1546" t="n">
        <v>8</v>
      </c>
      <c r="F1546" t="n">
        <v>32.2</v>
      </c>
      <c r="G1546" t="n">
        <v>0</v>
      </c>
      <c r="H1546" t="n">
        <v>0</v>
      </c>
      <c r="I1546" s="3">
        <f>E1546+G1546+H1546</f>
        <v/>
      </c>
      <c r="J1546" s="3">
        <f>ROUND(MIN(IF(C1546="Técnico III",35,IF(C1546="Técnico II",28,IF(C1546="Técnico I",23,IF(C1546="JR",20,IF(C1546="Estágio",10,0))))),IF(C1546="Técnico III",SUMIFS($D:$D,$A:$A,$A1546,$B:$B,"&lt;&gt;Patrícia Karla de Sousa Araújo",$B:$B,"&lt;&gt;Lorena Dias de Araujo",$B:$B,"&lt;&gt;Lucas Luiz Romero")*(35/1083),IF(C1546="Técnico II",SUMIFS($D:$D,$A:$A,$A1546,$B:$B,"&lt;&gt;Patrícia Karla de Sousa Araújo",$B:$B,"&lt;&gt;Lorena Dias de Araujo",$B:$B,"&lt;&gt;Lucas Luiz Romero")*(28/1083),IF(C1546="Técnico I",SUMIFS($D:$D,$A:$A,$A1546,$B:$B,"&lt;&gt;Patrícia Karla de Sousa Araújo",$B:$B,"&lt;&gt;Lorena Dias de Araujo",$B:$B,"&lt;&gt;Lucas Luiz Romero")*(23/1083),IF(C1546="JR",SUMIFS($D:$D,$A:$A,$A1546,$B:$B,"&lt;&gt;Patrícia Karla de Sousa Araújo",$B:$B,"&lt;&gt;Lorena Dias de Araujo",$B:$B,"&lt;&gt;Lucas Luiz Romero")*(20/1083),IF(C1546="Estágio",SUMIFS($D:$D,$A:$A,$A1546,$B:$B,"&lt;&gt;Patrícia Karla de Sousa Araújo",$B:$B,"&lt;&gt;Lorena Dias de Araujo",$B:$B,"&lt;&gt;Lucas Luiz Romero")*(10/1083),0)))))),0)</f>
        <v/>
      </c>
      <c r="K1546" s="3">
        <f>I1546-J1546</f>
        <v/>
      </c>
      <c r="L1546" s="3">
        <f>IF(K1546&lt;-5,"CRÍTICO",IF(K1546&lt;0,"ATENÇÃO",IF(K1546&lt;=5,"BOM","EXCELENTE")))</f>
        <v/>
      </c>
      <c r="M1546" t="n">
        <v>5</v>
      </c>
      <c r="N1546" t="n">
        <v>97.37</v>
      </c>
      <c r="O1546" t="n">
        <v>31.53846153846154</v>
      </c>
    </row>
    <row r="1547" hidden="1">
      <c r="A1547" s="11" t="n">
        <v>46049</v>
      </c>
      <c r="B1547" t="inlineStr">
        <is>
          <t>Kerollen Cristielly de Jesus Siqueira</t>
        </is>
      </c>
      <c r="C1547" t="inlineStr">
        <is>
          <t>Técnico III</t>
        </is>
      </c>
      <c r="D1547" t="n">
        <v>14</v>
      </c>
      <c r="E1547" t="n">
        <v>14</v>
      </c>
      <c r="F1547" t="n">
        <v>20.52</v>
      </c>
      <c r="G1547" t="n">
        <v>0</v>
      </c>
      <c r="H1547" t="n">
        <v>0</v>
      </c>
      <c r="I1547" s="3">
        <f>E1547+G1547+H1547</f>
        <v/>
      </c>
      <c r="J1547" s="3">
        <f>ROUND(MIN(IF(C1547="Técnico III",35,IF(C1547="Técnico II",28,IF(C1547="Técnico I",23,IF(C1547="JR",20,IF(C1547="Estágio",10,0))))),IF(C1547="Técnico III",SUMIFS($D:$D,$A:$A,$A1547,$B:$B,"&lt;&gt;Patrícia Karla de Sousa Araújo",$B:$B,"&lt;&gt;Lorena Dias de Araujo",$B:$B,"&lt;&gt;Lucas Luiz Romero")*(35/1083),IF(C1547="Técnico II",SUMIFS($D:$D,$A:$A,$A1547,$B:$B,"&lt;&gt;Patrícia Karla de Sousa Araújo",$B:$B,"&lt;&gt;Lorena Dias de Araujo",$B:$B,"&lt;&gt;Lucas Luiz Romero")*(28/1083),IF(C1547="Técnico I",SUMIFS($D:$D,$A:$A,$A1547,$B:$B,"&lt;&gt;Patrícia Karla de Sousa Araújo",$B:$B,"&lt;&gt;Lorena Dias de Araujo",$B:$B,"&lt;&gt;Lucas Luiz Romero")*(23/1083),IF(C1547="JR",SUMIFS($D:$D,$A:$A,$A1547,$B:$B,"&lt;&gt;Patrícia Karla de Sousa Araújo",$B:$B,"&lt;&gt;Lorena Dias de Araujo",$B:$B,"&lt;&gt;Lucas Luiz Romero")*(20/1083),IF(C1547="Estágio",SUMIFS($D:$D,$A:$A,$A1547,$B:$B,"&lt;&gt;Patrícia Karla de Sousa Araújo",$B:$B,"&lt;&gt;Lorena Dias de Araujo",$B:$B,"&lt;&gt;Lucas Luiz Romero")*(10/1083),0)))))),0)</f>
        <v/>
      </c>
      <c r="K1547" s="3">
        <f>I1547-J1547</f>
        <v/>
      </c>
      <c r="L1547" s="3">
        <f>IF(K1547&lt;-5,"CRÍTICO",IF(K1547&lt;0,"ATENÇÃO",IF(K1547&lt;=5,"BOM","EXCELENTE")))</f>
        <v/>
      </c>
      <c r="M1547" t="n">
        <v>14</v>
      </c>
      <c r="N1547" t="n">
        <v>96.73</v>
      </c>
      <c r="O1547" t="n">
        <v>39.33518005540166</v>
      </c>
    </row>
    <row r="1548" hidden="1">
      <c r="A1548" s="11" t="n">
        <v>46049</v>
      </c>
      <c r="B1548" t="inlineStr">
        <is>
          <t>Leandro de Souza Silva</t>
        </is>
      </c>
      <c r="C1548" t="inlineStr">
        <is>
          <t>JR</t>
        </is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s="3" t="n">
        <v>0</v>
      </c>
      <c r="J1548" s="3" t="n">
        <v>0</v>
      </c>
      <c r="K1548" s="3" t="n">
        <v>0</v>
      </c>
      <c r="L1548" s="3">
        <f>IF(K1548&lt;-5,"CRÍTICO",IF(K1548&lt;0,"ATENÇÃO",IF(K1548&lt;=5,"BOM","EXCELENTE")))</f>
        <v/>
      </c>
      <c r="M1548" t="n">
        <v>0</v>
      </c>
      <c r="N1548" t="n">
        <v>0</v>
      </c>
      <c r="O1548" t="n">
        <v>0</v>
      </c>
    </row>
    <row r="1549" hidden="1">
      <c r="A1549" s="11" t="n">
        <v>46049</v>
      </c>
      <c r="B1549" t="inlineStr">
        <is>
          <t>Leandro Oliveira de Sousa</t>
        </is>
      </c>
      <c r="C1549" t="inlineStr">
        <is>
          <t>Técnico III</t>
        </is>
      </c>
      <c r="D1549" t="n">
        <v>25</v>
      </c>
      <c r="E1549" t="n">
        <v>25</v>
      </c>
      <c r="F1549" t="n">
        <v>18.42</v>
      </c>
      <c r="G1549" t="n">
        <v>0</v>
      </c>
      <c r="H1549" t="n">
        <v>0</v>
      </c>
      <c r="I1549" s="3">
        <f>E1549+G1549+H1549</f>
        <v/>
      </c>
      <c r="J1549" s="3">
        <f>ROUND(MIN(IF(C1549="Técnico III",35,IF(C1549="Técnico II",28,IF(C1549="Técnico I",23,IF(C1549="JR",20,IF(C1549="Estágio",10,0))))),IF(C1549="Técnico III",SUMIFS($D:$D,$A:$A,$A1549,$B:$B,"&lt;&gt;Patrícia Karla de Sousa Araújo",$B:$B,"&lt;&gt;Lorena Dias de Araujo",$B:$B,"&lt;&gt;Lucas Luiz Romero")*(35/1083),IF(C1549="Técnico II",SUMIFS($D:$D,$A:$A,$A1549,$B:$B,"&lt;&gt;Patrícia Karla de Sousa Araújo",$B:$B,"&lt;&gt;Lorena Dias de Araujo",$B:$B,"&lt;&gt;Lucas Luiz Romero")*(28/1083),IF(C1549="Técnico I",SUMIFS($D:$D,$A:$A,$A1549,$B:$B,"&lt;&gt;Patrícia Karla de Sousa Araújo",$B:$B,"&lt;&gt;Lorena Dias de Araujo",$B:$B,"&lt;&gt;Lucas Luiz Romero")*(23/1083),IF(C1549="JR",SUMIFS($D:$D,$A:$A,$A1549,$B:$B,"&lt;&gt;Patrícia Karla de Sousa Araújo",$B:$B,"&lt;&gt;Lorena Dias de Araujo",$B:$B,"&lt;&gt;Lucas Luiz Romero")*(20/1083),IF(C1549="Estágio",SUMIFS($D:$D,$A:$A,$A1549,$B:$B,"&lt;&gt;Patrícia Karla de Sousa Araújo",$B:$B,"&lt;&gt;Lorena Dias de Araujo",$B:$B,"&lt;&gt;Lucas Luiz Romero")*(10/1083),0)))))),0)</f>
        <v/>
      </c>
      <c r="K1549" s="3">
        <f>I1549-J1549</f>
        <v/>
      </c>
      <c r="L1549" s="3">
        <f>IF(K1549&lt;-5,"CRÍTICO",IF(K1549&lt;0,"ATENÇÃO",IF(K1549&lt;=5,"BOM","EXCELENTE")))</f>
        <v/>
      </c>
      <c r="M1549" t="n">
        <v>18</v>
      </c>
      <c r="N1549" t="n">
        <v>100</v>
      </c>
      <c r="O1549" t="n">
        <v>29.26829268292683</v>
      </c>
    </row>
    <row r="1550" hidden="1">
      <c r="A1550" s="11" t="n">
        <v>46049</v>
      </c>
      <c r="B1550" t="inlineStr">
        <is>
          <t>Lizandra Gomes Duarte</t>
        </is>
      </c>
      <c r="C1550" t="inlineStr">
        <is>
          <t>Técnico II</t>
        </is>
      </c>
      <c r="D1550" t="n">
        <v>39</v>
      </c>
      <c r="E1550" t="n">
        <v>37</v>
      </c>
      <c r="F1550" t="n">
        <v>18.31</v>
      </c>
      <c r="G1550" t="n">
        <v>0</v>
      </c>
      <c r="H1550" t="n">
        <v>0</v>
      </c>
      <c r="I1550" s="3">
        <f>E1550+G1550+H1550</f>
        <v/>
      </c>
      <c r="J1550" s="3">
        <f>ROUND(MIN(IF(C1550="Técnico III",35,IF(C1550="Técnico II",28,IF(C1550="Técnico I",23,IF(C1550="JR",20,IF(C1550="Estágio",10,0))))),IF(C1550="Técnico III",SUMIFS($D:$D,$A:$A,$A1550,$B:$B,"&lt;&gt;Patrícia Karla de Sousa Araújo",$B:$B,"&lt;&gt;Lorena Dias de Araujo",$B:$B,"&lt;&gt;Lucas Luiz Romero")*(35/1083),IF(C1550="Técnico II",SUMIFS($D:$D,$A:$A,$A1550,$B:$B,"&lt;&gt;Patrícia Karla de Sousa Araújo",$B:$B,"&lt;&gt;Lorena Dias de Araujo",$B:$B,"&lt;&gt;Lucas Luiz Romero")*(28/1083),IF(C1550="Técnico I",SUMIFS($D:$D,$A:$A,$A1550,$B:$B,"&lt;&gt;Patrícia Karla de Sousa Araújo",$B:$B,"&lt;&gt;Lorena Dias de Araujo",$B:$B,"&lt;&gt;Lucas Luiz Romero")*(23/1083),IF(C1550="JR",SUMIFS($D:$D,$A:$A,$A1550,$B:$B,"&lt;&gt;Patrícia Karla de Sousa Araújo",$B:$B,"&lt;&gt;Lorena Dias de Araujo",$B:$B,"&lt;&gt;Lucas Luiz Romero")*(20/1083),IF(C1550="Estágio",SUMIFS($D:$D,$A:$A,$A1550,$B:$B,"&lt;&gt;Patrícia Karla de Sousa Araújo",$B:$B,"&lt;&gt;Lorena Dias de Araujo",$B:$B,"&lt;&gt;Lucas Luiz Romero")*(10/1083),0)))))),0)</f>
        <v/>
      </c>
      <c r="K1550" s="3">
        <f>I1550-J1550</f>
        <v/>
      </c>
      <c r="L1550" s="3">
        <f>IF(K1550&lt;-5,"CRÍTICO",IF(K1550&lt;0,"ATENÇÃO",IF(K1550&lt;=5,"BOM","EXCELENTE")))</f>
        <v/>
      </c>
      <c r="M1550" t="n">
        <v>24</v>
      </c>
      <c r="N1550" t="n">
        <v>100</v>
      </c>
      <c r="O1550" t="n">
        <v>34.3358395989975</v>
      </c>
    </row>
    <row r="1551" hidden="1">
      <c r="A1551" s="11" t="n">
        <v>46049</v>
      </c>
      <c r="B1551" t="inlineStr">
        <is>
          <t>Lorena Dias de Araujo</t>
        </is>
      </c>
      <c r="C1551" t="inlineStr">
        <is>
          <t>Técnico II</t>
        </is>
      </c>
      <c r="D1551" t="n">
        <v>25</v>
      </c>
      <c r="E1551" t="n">
        <v>23</v>
      </c>
      <c r="F1551" t="n">
        <v>20.28</v>
      </c>
      <c r="G1551" t="n">
        <v>0</v>
      </c>
      <c r="H1551" t="n">
        <v>0</v>
      </c>
      <c r="I1551" s="3" t="n">
        <v>0</v>
      </c>
      <c r="J1551" s="3" t="n">
        <v>0</v>
      </c>
      <c r="K1551" s="3" t="n">
        <v>0</v>
      </c>
      <c r="L1551" s="3">
        <f>IF(K1551&lt;-5,"CRÍTICO",IF(K1551&lt;0,"ATENÇÃO",IF(K1551&lt;=5,"BOM","EXCELENTE")))</f>
        <v/>
      </c>
      <c r="M1551" t="n">
        <v>19</v>
      </c>
      <c r="N1551" t="n">
        <v>98.09999999999999</v>
      </c>
      <c r="O1551" t="n">
        <v>32.4712643678161</v>
      </c>
    </row>
    <row r="1552" hidden="1">
      <c r="A1552" s="11" t="n">
        <v>46049</v>
      </c>
      <c r="B1552" t="inlineStr">
        <is>
          <t>Lucas Luiz Romero</t>
        </is>
      </c>
      <c r="C1552" t="inlineStr">
        <is>
          <t>Técnico III</t>
        </is>
      </c>
      <c r="D1552" t="n">
        <v>169</v>
      </c>
      <c r="E1552" t="n">
        <v>32</v>
      </c>
      <c r="F1552" t="n">
        <v>2</v>
      </c>
      <c r="G1552" t="n">
        <v>0</v>
      </c>
      <c r="H1552" t="n">
        <v>0</v>
      </c>
      <c r="I1552" s="3">
        <f>E1552+G1552+H1552</f>
        <v/>
      </c>
      <c r="J1552" s="3">
        <f>ROUND(MIN(IF(C1552="Técnico III",35,IF(C1552="Técnico II",28,IF(C1552="Técnico I",23,IF(C1552="JR",20,IF(C1552="Estágio",10,0))))),IF(C1552="Técnico III",SUMIFS($D:$D,$A:$A,$A1552,$B:$B,"&lt;&gt;Patrícia Karla de Sousa Araújo",$B:$B,"&lt;&gt;Lorena Dias de Araujo",$B:$B,"&lt;&gt;Lucas Luiz Romero")*(35/1083),IF(C1552="Técnico II",SUMIFS($D:$D,$A:$A,$A1552,$B:$B,"&lt;&gt;Patrícia Karla de Sousa Araújo",$B:$B,"&lt;&gt;Lorena Dias de Araujo",$B:$B,"&lt;&gt;Lucas Luiz Romero")*(28/1083),IF(C1552="Técnico I",SUMIFS($D:$D,$A:$A,$A1552,$B:$B,"&lt;&gt;Patrícia Karla de Sousa Araújo",$B:$B,"&lt;&gt;Lorena Dias de Araujo",$B:$B,"&lt;&gt;Lucas Luiz Romero")*(23/1083),IF(C1552="JR",SUMIFS($D:$D,$A:$A,$A1552,$B:$B,"&lt;&gt;Patrícia Karla de Sousa Araújo",$B:$B,"&lt;&gt;Lorena Dias de Araujo",$B:$B,"&lt;&gt;Lucas Luiz Romero")*(20/1083),IF(C1552="Estágio",SUMIFS($D:$D,$A:$A,$A1552,$B:$B,"&lt;&gt;Patrícia Karla de Sousa Araújo",$B:$B,"&lt;&gt;Lorena Dias de Araujo",$B:$B,"&lt;&gt;Lucas Luiz Romero")*(10/1083),0)))))),0)</f>
        <v/>
      </c>
      <c r="K1552" s="3">
        <f>I1552-J1552</f>
        <v/>
      </c>
      <c r="L1552" s="3">
        <f>IF(K1552&lt;-5,"CRÍTICO",IF(K1552&lt;0,"ATENÇÃO",IF(K1552&lt;=5,"BOM","EXCELENTE")))</f>
        <v/>
      </c>
      <c r="M1552" t="n">
        <v>13</v>
      </c>
      <c r="N1552" t="n">
        <v>97.17</v>
      </c>
      <c r="O1552" t="n">
        <v>27.48815165876777</v>
      </c>
    </row>
    <row r="1553" hidden="1">
      <c r="A1553" s="11" t="n">
        <v>46049</v>
      </c>
      <c r="B1553" t="inlineStr">
        <is>
          <t>Luiz Fernando de Carvalho Junior</t>
        </is>
      </c>
      <c r="C1553" t="inlineStr">
        <is>
          <t>Técnico I</t>
        </is>
      </c>
      <c r="D1553" t="n">
        <v>15</v>
      </c>
      <c r="E1553" t="n">
        <v>15</v>
      </c>
      <c r="F1553" t="n">
        <v>32.16</v>
      </c>
      <c r="G1553" t="n">
        <v>0</v>
      </c>
      <c r="H1553" t="n">
        <v>0</v>
      </c>
      <c r="I1553" s="3">
        <f>E1553+G1553+H1553</f>
        <v/>
      </c>
      <c r="J1553" s="3">
        <f>ROUND(MIN(IF(C1553="Técnico III",35,IF(C1553="Técnico II",28,IF(C1553="Técnico I",23,IF(C1553="JR",20,IF(C1553="Estágio",10,0))))),IF(C1553="Técnico III",SUMIFS($D:$D,$A:$A,$A1553,$B:$B,"&lt;&gt;Patrícia Karla de Sousa Araújo",$B:$B,"&lt;&gt;Lorena Dias de Araujo",$B:$B,"&lt;&gt;Lucas Luiz Romero")*(35/1083),IF(C1553="Técnico II",SUMIFS($D:$D,$A:$A,$A1553,$B:$B,"&lt;&gt;Patrícia Karla de Sousa Araújo",$B:$B,"&lt;&gt;Lorena Dias de Araujo",$B:$B,"&lt;&gt;Lucas Luiz Romero")*(28/1083),IF(C1553="Técnico I",SUMIFS($D:$D,$A:$A,$A1553,$B:$B,"&lt;&gt;Patrícia Karla de Sousa Araújo",$B:$B,"&lt;&gt;Lorena Dias de Araujo",$B:$B,"&lt;&gt;Lucas Luiz Romero")*(23/1083),IF(C1553="JR",SUMIFS($D:$D,$A:$A,$A1553,$B:$B,"&lt;&gt;Patrícia Karla de Sousa Araújo",$B:$B,"&lt;&gt;Lorena Dias de Araujo",$B:$B,"&lt;&gt;Lucas Luiz Romero")*(20/1083),IF(C1553="Estágio",SUMIFS($D:$D,$A:$A,$A1553,$B:$B,"&lt;&gt;Patrícia Karla de Sousa Araújo",$B:$B,"&lt;&gt;Lorena Dias de Araujo",$B:$B,"&lt;&gt;Lucas Luiz Romero")*(10/1083),0)))))),0)</f>
        <v/>
      </c>
      <c r="K1553" s="3">
        <f>I1553-J1553</f>
        <v/>
      </c>
      <c r="L1553" s="3">
        <f>IF(K1553&lt;-5,"CRÍTICO",IF(K1553&lt;0,"ATENÇÃO",IF(K1553&lt;=5,"BOM","EXCELENTE")))</f>
        <v/>
      </c>
      <c r="M1553" t="n">
        <v>13</v>
      </c>
      <c r="N1553" t="n">
        <v>98.73</v>
      </c>
      <c r="O1553" t="n">
        <v>27.93650793650794</v>
      </c>
    </row>
    <row r="1554" hidden="1">
      <c r="A1554" s="11" t="n">
        <v>46049</v>
      </c>
      <c r="B1554" t="inlineStr">
        <is>
          <t>Maria Eduarda Sousa Costa</t>
        </is>
      </c>
      <c r="C1554" t="inlineStr">
        <is>
          <t>Estágio</t>
        </is>
      </c>
      <c r="D1554" t="n">
        <v>7</v>
      </c>
      <c r="E1554" t="n">
        <v>5</v>
      </c>
      <c r="F1554" t="n">
        <v>40.53</v>
      </c>
      <c r="G1554" t="n">
        <v>0</v>
      </c>
      <c r="H1554" t="n">
        <v>0</v>
      </c>
      <c r="I1554" s="3">
        <f>E1554+G1554+H1554</f>
        <v/>
      </c>
      <c r="J1554" s="3">
        <f>ROUND(MIN(IF(C1554="Técnico III",35,IF(C1554="Técnico II",28,IF(C1554="Técnico I",23,IF(C1554="JR",20,IF(C1554="Estágio",10,0))))),IF(C1554="Técnico III",SUMIFS($D:$D,$A:$A,$A1554,$B:$B,"&lt;&gt;Patrícia Karla de Sousa Araújo",$B:$B,"&lt;&gt;Lorena Dias de Araujo",$B:$B,"&lt;&gt;Lucas Luiz Romero")*(35/1083),IF(C1554="Técnico II",SUMIFS($D:$D,$A:$A,$A1554,$B:$B,"&lt;&gt;Patrícia Karla de Sousa Araújo",$B:$B,"&lt;&gt;Lorena Dias de Araujo",$B:$B,"&lt;&gt;Lucas Luiz Romero")*(28/1083),IF(C1554="Técnico I",SUMIFS($D:$D,$A:$A,$A1554,$B:$B,"&lt;&gt;Patrícia Karla de Sousa Araújo",$B:$B,"&lt;&gt;Lorena Dias de Araujo",$B:$B,"&lt;&gt;Lucas Luiz Romero")*(23/1083),IF(C1554="JR",SUMIFS($D:$D,$A:$A,$A1554,$B:$B,"&lt;&gt;Patrícia Karla de Sousa Araújo",$B:$B,"&lt;&gt;Lorena Dias de Araujo",$B:$B,"&lt;&gt;Lucas Luiz Romero")*(20/1083),IF(C1554="Estágio",SUMIFS($D:$D,$A:$A,$A1554,$B:$B,"&lt;&gt;Patrícia Karla de Sousa Araújo",$B:$B,"&lt;&gt;Lorena Dias de Araujo",$B:$B,"&lt;&gt;Lucas Luiz Romero")*(10/1083),0)))))),0)</f>
        <v/>
      </c>
      <c r="K1554" s="3">
        <f>I1554-J1554</f>
        <v/>
      </c>
      <c r="L1554" s="3">
        <f>IF(K1554&lt;-5,"CRÍTICO",IF(K1554&lt;0,"ATENÇÃO",IF(K1554&lt;=5,"BOM","EXCELENTE")))</f>
        <v/>
      </c>
      <c r="M1554" t="n">
        <v>4</v>
      </c>
      <c r="N1554" t="n">
        <v>100</v>
      </c>
      <c r="O1554" t="n">
        <v>35.16483516483517</v>
      </c>
    </row>
    <row r="1555" hidden="1">
      <c r="A1555" s="11" t="n">
        <v>46049</v>
      </c>
      <c r="B1555" t="inlineStr">
        <is>
          <t>Matheus Farias De Souza</t>
        </is>
      </c>
      <c r="C1555" t="inlineStr">
        <is>
          <t>Técnico III</t>
        </is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s="3" t="n">
        <v>0</v>
      </c>
      <c r="J1555" s="3" t="n">
        <v>0</v>
      </c>
      <c r="K1555" s="3" t="n">
        <v>0</v>
      </c>
      <c r="L1555" s="3">
        <f>IF(K1555&lt;-5,"CRÍTICO",IF(K1555&lt;0,"ATENÇÃO",IF(K1555&lt;=5,"BOM","EXCELENTE")))</f>
        <v/>
      </c>
      <c r="M1555" t="n">
        <v>0</v>
      </c>
      <c r="N1555" t="n">
        <v>100</v>
      </c>
      <c r="O1555" t="n">
        <v>27.43362831858407</v>
      </c>
    </row>
    <row r="1556" hidden="1">
      <c r="A1556" s="11" t="n">
        <v>46049</v>
      </c>
      <c r="B1556" t="inlineStr">
        <is>
          <t>Maysa Victoria Dias Moura</t>
        </is>
      </c>
      <c r="C1556" t="inlineStr">
        <is>
          <t>Técnico III</t>
        </is>
      </c>
      <c r="D1556" t="n">
        <v>24</v>
      </c>
      <c r="E1556" t="n">
        <v>22</v>
      </c>
      <c r="F1556" t="n">
        <v>18.24</v>
      </c>
      <c r="G1556" t="n">
        <v>0</v>
      </c>
      <c r="H1556" t="n">
        <v>0</v>
      </c>
      <c r="I1556" s="3">
        <f>E1556+G1556+H1556</f>
        <v/>
      </c>
      <c r="J1556" s="3">
        <f>ROUND(MIN(IF(C1556="Técnico III",35,IF(C1556="Técnico II",28,IF(C1556="Técnico I",23,IF(C1556="JR",20,IF(C1556="Estágio",10,0))))),IF(C1556="Técnico III",SUMIFS($D:$D,$A:$A,$A1556,$B:$B,"&lt;&gt;Patrícia Karla de Sousa Araújo",$B:$B,"&lt;&gt;Lorena Dias de Araujo",$B:$B,"&lt;&gt;Lucas Luiz Romero")*(35/1083),IF(C1556="Técnico II",SUMIFS($D:$D,$A:$A,$A1556,$B:$B,"&lt;&gt;Patrícia Karla de Sousa Araújo",$B:$B,"&lt;&gt;Lorena Dias de Araujo",$B:$B,"&lt;&gt;Lucas Luiz Romero")*(28/1083),IF(C1556="Técnico I",SUMIFS($D:$D,$A:$A,$A1556,$B:$B,"&lt;&gt;Patrícia Karla de Sousa Araújo",$B:$B,"&lt;&gt;Lorena Dias de Araujo",$B:$B,"&lt;&gt;Lucas Luiz Romero")*(23/1083),IF(C1556="JR",SUMIFS($D:$D,$A:$A,$A1556,$B:$B,"&lt;&gt;Patrícia Karla de Sousa Araújo",$B:$B,"&lt;&gt;Lorena Dias de Araujo",$B:$B,"&lt;&gt;Lucas Luiz Romero")*(20/1083),IF(C1556="Estágio",SUMIFS($D:$D,$A:$A,$A1556,$B:$B,"&lt;&gt;Patrícia Karla de Sousa Araújo",$B:$B,"&lt;&gt;Lorena Dias de Araujo",$B:$B,"&lt;&gt;Lucas Luiz Romero")*(10/1083),0)))))),0)</f>
        <v/>
      </c>
      <c r="K1556" s="3">
        <f>I1556-J1556</f>
        <v/>
      </c>
      <c r="L1556" s="3">
        <f>IF(K1556&lt;-5,"CRÍTICO",IF(K1556&lt;0,"ATENÇÃO",IF(K1556&lt;=5,"BOM","EXCELENTE")))</f>
        <v/>
      </c>
      <c r="M1556" t="n">
        <v>18</v>
      </c>
      <c r="N1556" t="n">
        <v>98.41</v>
      </c>
      <c r="O1556" t="n">
        <v>30.51948051948052</v>
      </c>
    </row>
    <row r="1557" hidden="1">
      <c r="A1557" s="11" t="n">
        <v>46049</v>
      </c>
      <c r="B1557" t="inlineStr">
        <is>
          <t>Michelle G Santos</t>
        </is>
      </c>
      <c r="C1557" t="inlineStr">
        <is>
          <t>Estágio</t>
        </is>
      </c>
      <c r="D1557" t="n">
        <v>6</v>
      </c>
      <c r="E1557" t="n">
        <v>6</v>
      </c>
      <c r="F1557" t="n">
        <v>45.33</v>
      </c>
      <c r="G1557" t="n">
        <v>0</v>
      </c>
      <c r="H1557" t="n">
        <v>0</v>
      </c>
      <c r="I1557" s="3">
        <f>E1557+G1557+H1557</f>
        <v/>
      </c>
      <c r="J1557" s="3">
        <f>ROUND(MIN(IF(C1557="Técnico III",35,IF(C1557="Técnico II",28,IF(C1557="Técnico I",23,IF(C1557="JR",20,IF(C1557="Estágio",10,0))))),IF(C1557="Técnico III",SUMIFS($D:$D,$A:$A,$A1557,$B:$B,"&lt;&gt;Patrícia Karla de Sousa Araújo",$B:$B,"&lt;&gt;Lorena Dias de Araujo",$B:$B,"&lt;&gt;Lucas Luiz Romero")*(35/1083),IF(C1557="Técnico II",SUMIFS($D:$D,$A:$A,$A1557,$B:$B,"&lt;&gt;Patrícia Karla de Sousa Araújo",$B:$B,"&lt;&gt;Lorena Dias de Araujo",$B:$B,"&lt;&gt;Lucas Luiz Romero")*(28/1083),IF(C1557="Técnico I",SUMIFS($D:$D,$A:$A,$A1557,$B:$B,"&lt;&gt;Patrícia Karla de Sousa Araújo",$B:$B,"&lt;&gt;Lorena Dias de Araujo",$B:$B,"&lt;&gt;Lucas Luiz Romero")*(23/1083),IF(C1557="JR",SUMIFS($D:$D,$A:$A,$A1557,$B:$B,"&lt;&gt;Patrícia Karla de Sousa Araújo",$B:$B,"&lt;&gt;Lorena Dias de Araujo",$B:$B,"&lt;&gt;Lucas Luiz Romero")*(20/1083),IF(C1557="Estágio",SUMIFS($D:$D,$A:$A,$A1557,$B:$B,"&lt;&gt;Patrícia Karla de Sousa Araújo",$B:$B,"&lt;&gt;Lorena Dias de Araujo",$B:$B,"&lt;&gt;Lucas Luiz Romero")*(10/1083),0)))))),0)</f>
        <v/>
      </c>
      <c r="K1557" s="3">
        <f>I1557-J1557</f>
        <v/>
      </c>
      <c r="L1557" s="3">
        <f>IF(K1557&lt;-5,"CRÍTICO",IF(K1557&lt;0,"ATENÇÃO",IF(K1557&lt;=5,"BOM","EXCELENTE")))</f>
        <v/>
      </c>
      <c r="M1557" t="n">
        <v>5</v>
      </c>
      <c r="N1557" t="n">
        <v>100</v>
      </c>
      <c r="O1557" t="n">
        <v>6.666666666666667</v>
      </c>
    </row>
    <row r="1558" hidden="1">
      <c r="A1558" s="11" t="n">
        <v>46049</v>
      </c>
      <c r="B1558" t="inlineStr">
        <is>
          <t>Milena Sales</t>
        </is>
      </c>
      <c r="C1558" t="inlineStr">
        <is>
          <t>JR</t>
        </is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s="3" t="n">
        <v>0</v>
      </c>
      <c r="J1558" s="3" t="n">
        <v>0</v>
      </c>
      <c r="K1558" s="3" t="n">
        <v>0</v>
      </c>
      <c r="L1558" s="3">
        <f>IF(K1558&lt;-5,"CRÍTICO",IF(K1558&lt;0,"ATENÇÃO",IF(K1558&lt;=5,"BOM","EXCELENTE")))</f>
        <v/>
      </c>
      <c r="M1558" t="n">
        <v>0</v>
      </c>
      <c r="N1558" t="n">
        <v>0</v>
      </c>
      <c r="O1558" t="n">
        <v>0</v>
      </c>
    </row>
    <row r="1559" hidden="1">
      <c r="A1559" s="11" t="n">
        <v>46049</v>
      </c>
      <c r="B1559" t="inlineStr">
        <is>
          <t>Patrícia Karla de Sousa Araújo</t>
        </is>
      </c>
      <c r="C1559" t="inlineStr">
        <is>
          <t>Técnico II</t>
        </is>
      </c>
      <c r="D1559" t="n">
        <v>11</v>
      </c>
      <c r="E1559" t="n">
        <v>11</v>
      </c>
      <c r="F1559" t="n">
        <v>24.09</v>
      </c>
      <c r="G1559" t="n">
        <v>0</v>
      </c>
      <c r="H1559" t="n">
        <v>0</v>
      </c>
      <c r="I1559" s="3">
        <f>E1559+G1559+H1559</f>
        <v/>
      </c>
      <c r="J1559" s="3">
        <f>ROUND(MIN(IF(C1559="Técnico III",35,IF(C1559="Técnico II",28,IF(C1559="Técnico I",23,IF(C1559="JR",20,IF(C1559="Estágio",10,0))))),IF(C1559="Técnico III",SUMIFS($D:$D,$A:$A,$A1559,$B:$B,"&lt;&gt;Patrícia Karla de Sousa Araújo",$B:$B,"&lt;&gt;Lorena Dias de Araujo",$B:$B,"&lt;&gt;Lucas Luiz Romero")*(35/1083),IF(C1559="Técnico II",SUMIFS($D:$D,$A:$A,$A1559,$B:$B,"&lt;&gt;Patrícia Karla de Sousa Araújo",$B:$B,"&lt;&gt;Lorena Dias de Araujo",$B:$B,"&lt;&gt;Lucas Luiz Romero")*(28/1083),IF(C1559="Técnico I",SUMIFS($D:$D,$A:$A,$A1559,$B:$B,"&lt;&gt;Patrícia Karla de Sousa Araújo",$B:$B,"&lt;&gt;Lorena Dias de Araujo",$B:$B,"&lt;&gt;Lucas Luiz Romero")*(23/1083),IF(C1559="JR",SUMIFS($D:$D,$A:$A,$A1559,$B:$B,"&lt;&gt;Patrícia Karla de Sousa Araújo",$B:$B,"&lt;&gt;Lorena Dias de Araujo",$B:$B,"&lt;&gt;Lucas Luiz Romero")*(20/1083),IF(C1559="Estágio",SUMIFS($D:$D,$A:$A,$A1559,$B:$B,"&lt;&gt;Patrícia Karla de Sousa Araújo",$B:$B,"&lt;&gt;Lorena Dias de Araujo",$B:$B,"&lt;&gt;Lucas Luiz Romero")*(10/1083),0)))))),0)</f>
        <v/>
      </c>
      <c r="K1559" s="3">
        <f>I1559-J1559</f>
        <v/>
      </c>
      <c r="L1559" s="3">
        <f>IF(K1559&lt;-5,"CRÍTICO",IF(K1559&lt;0,"ATENÇÃO",IF(K1559&lt;=5,"BOM","EXCELENTE")))</f>
        <v/>
      </c>
      <c r="M1559" t="n">
        <v>8</v>
      </c>
      <c r="N1559" t="n">
        <v>96.67</v>
      </c>
      <c r="O1559" t="n">
        <v>31.50684931506849</v>
      </c>
    </row>
    <row r="1560" hidden="1">
      <c r="A1560" s="11" t="n">
        <v>46049</v>
      </c>
      <c r="B1560" t="inlineStr">
        <is>
          <t>Paulo Ricardo Santos</t>
        </is>
      </c>
      <c r="C1560" t="inlineStr">
        <is>
          <t>JR</t>
        </is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s="3" t="n">
        <v>0</v>
      </c>
      <c r="J1560" s="3" t="n">
        <v>0</v>
      </c>
      <c r="K1560" s="3" t="n">
        <v>0</v>
      </c>
      <c r="L1560" s="3">
        <f>IF(K1560&lt;-5,"CRÍTICO",IF(K1560&lt;0,"ATENÇÃO",IF(K1560&lt;=5,"BOM","EXCELENTE")))</f>
        <v/>
      </c>
      <c r="M1560" t="n">
        <v>0</v>
      </c>
      <c r="N1560" t="n">
        <v>0</v>
      </c>
      <c r="O1560" t="n">
        <v>0</v>
      </c>
    </row>
    <row r="1561" hidden="1">
      <c r="A1561" s="11" t="n">
        <v>46049</v>
      </c>
      <c r="B1561" t="inlineStr">
        <is>
          <t>Pedro Luiz Mota Sousa</t>
        </is>
      </c>
      <c r="C1561" t="inlineStr">
        <is>
          <t>JR</t>
        </is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s="3" t="n">
        <v>0</v>
      </c>
      <c r="J1561" s="3" t="n">
        <v>0</v>
      </c>
      <c r="K1561" s="3" t="n">
        <v>0</v>
      </c>
      <c r="L1561" s="3">
        <f>IF(K1561&lt;-5,"CRÍTICO",IF(K1561&lt;0,"ATENÇÃO",IF(K1561&lt;=5,"BOM","EXCELENTE")))</f>
        <v/>
      </c>
      <c r="M1561" t="n">
        <v>0</v>
      </c>
      <c r="N1561" t="n">
        <v>0</v>
      </c>
      <c r="O1561" t="n">
        <v>0</v>
      </c>
    </row>
    <row r="1562" hidden="1">
      <c r="A1562" s="11" t="n">
        <v>46049</v>
      </c>
      <c r="B1562" t="inlineStr">
        <is>
          <t>Quirino Diogo Leite Torres</t>
        </is>
      </c>
      <c r="C1562" t="inlineStr">
        <is>
          <t>Estágio</t>
        </is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s="3" t="n">
        <v>0</v>
      </c>
      <c r="J1562" s="3" t="n">
        <v>0</v>
      </c>
      <c r="K1562" s="3" t="n">
        <v>0</v>
      </c>
      <c r="L1562" s="3">
        <f>IF(K1562&lt;-5,"CRÍTICO",IF(K1562&lt;0,"ATENÇÃO",IF(K1562&lt;=5,"BOM","EXCELENTE")))</f>
        <v/>
      </c>
      <c r="M1562" t="n">
        <v>0</v>
      </c>
      <c r="N1562" t="n">
        <v>0</v>
      </c>
      <c r="O1562" t="n">
        <v>0</v>
      </c>
    </row>
    <row r="1563" hidden="1">
      <c r="A1563" s="11" t="n">
        <v>46049</v>
      </c>
      <c r="B1563" t="inlineStr">
        <is>
          <t>Raane Batista Matos</t>
        </is>
      </c>
      <c r="C1563" t="inlineStr">
        <is>
          <t>Técnico I</t>
        </is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s="3" t="n">
        <v>0</v>
      </c>
      <c r="J1563" s="3" t="n">
        <v>0</v>
      </c>
      <c r="K1563" s="3" t="n">
        <v>0</v>
      </c>
      <c r="L1563" s="3">
        <f>IF(K1563&lt;-5,"CRÍTICO",IF(K1563&lt;0,"ATENÇÃO",IF(K1563&lt;=5,"BOM","EXCELENTE")))</f>
        <v/>
      </c>
      <c r="M1563" t="n">
        <v>0</v>
      </c>
      <c r="N1563" t="n">
        <v>0</v>
      </c>
      <c r="O1563" t="n">
        <v>0</v>
      </c>
    </row>
    <row r="1564" hidden="1">
      <c r="A1564" s="11" t="n">
        <v>46049</v>
      </c>
      <c r="B1564" t="inlineStr">
        <is>
          <t>Rafael Gomes de Morais</t>
        </is>
      </c>
      <c r="C1564" t="inlineStr">
        <is>
          <t>Técnico III</t>
        </is>
      </c>
      <c r="D1564" t="n">
        <v>39</v>
      </c>
      <c r="E1564" t="n">
        <v>34</v>
      </c>
      <c r="F1564" t="n">
        <v>13.44</v>
      </c>
      <c r="G1564" t="n">
        <v>0</v>
      </c>
      <c r="H1564" t="n">
        <v>0</v>
      </c>
      <c r="I1564" s="3">
        <f>E1564+G1564+H1564</f>
        <v/>
      </c>
      <c r="J1564" s="3">
        <f>ROUND(MIN(IF(C1564="Técnico III",35,IF(C1564="Técnico II",28,IF(C1564="Técnico I",23,IF(C1564="JR",20,IF(C1564="Estágio",10,0))))),IF(C1564="Técnico III",SUMIFS($D:$D,$A:$A,$A1564,$B:$B,"&lt;&gt;Patrícia Karla de Sousa Araújo",$B:$B,"&lt;&gt;Lorena Dias de Araujo",$B:$B,"&lt;&gt;Lucas Luiz Romero")*(35/1083),IF(C1564="Técnico II",SUMIFS($D:$D,$A:$A,$A1564,$B:$B,"&lt;&gt;Patrícia Karla de Sousa Araújo",$B:$B,"&lt;&gt;Lorena Dias de Araujo",$B:$B,"&lt;&gt;Lucas Luiz Romero")*(28/1083),IF(C1564="Técnico I",SUMIFS($D:$D,$A:$A,$A1564,$B:$B,"&lt;&gt;Patrícia Karla de Sousa Araújo",$B:$B,"&lt;&gt;Lorena Dias de Araujo",$B:$B,"&lt;&gt;Lucas Luiz Romero")*(23/1083),IF(C1564="JR",SUMIFS($D:$D,$A:$A,$A1564,$B:$B,"&lt;&gt;Patrícia Karla de Sousa Araújo",$B:$B,"&lt;&gt;Lorena Dias de Araujo",$B:$B,"&lt;&gt;Lucas Luiz Romero")*(20/1083),IF(C1564="Estágio",SUMIFS($D:$D,$A:$A,$A1564,$B:$B,"&lt;&gt;Patrícia Karla de Sousa Araújo",$B:$B,"&lt;&gt;Lorena Dias de Araujo",$B:$B,"&lt;&gt;Lucas Luiz Romero")*(10/1083),0)))))),0)</f>
        <v/>
      </c>
      <c r="K1564" s="3">
        <f>I1564-J1564</f>
        <v/>
      </c>
      <c r="L1564" s="3">
        <f>IF(K1564&lt;-5,"CRÍTICO",IF(K1564&lt;0,"ATENÇÃO",IF(K1564&lt;=5,"BOM","EXCELENTE")))</f>
        <v/>
      </c>
      <c r="M1564" t="n">
        <v>28</v>
      </c>
      <c r="N1564" t="n">
        <v>100</v>
      </c>
      <c r="O1564" t="n">
        <v>47.54098360655738</v>
      </c>
    </row>
    <row r="1565" hidden="1">
      <c r="A1565" s="11" t="n">
        <v>46049</v>
      </c>
      <c r="B1565" t="inlineStr">
        <is>
          <t>Sara Maria Monteiro Lopes</t>
        </is>
      </c>
      <c r="C1565" t="inlineStr">
        <is>
          <t>Técnico I</t>
        </is>
      </c>
      <c r="D1565" t="n">
        <v>21</v>
      </c>
      <c r="E1565" t="n">
        <v>20</v>
      </c>
      <c r="F1565" t="n">
        <v>21.58</v>
      </c>
      <c r="G1565" t="n">
        <v>0</v>
      </c>
      <c r="H1565" t="n">
        <v>0</v>
      </c>
      <c r="I1565" s="3">
        <f>E1565+G1565+H1565</f>
        <v/>
      </c>
      <c r="J1565" s="3">
        <f>ROUND(MIN(IF(C1565="Técnico III",35,IF(C1565="Técnico II",28,IF(C1565="Técnico I",23,IF(C1565="JR",20,IF(C1565="Estágio",10,0))))),IF(C1565="Técnico III",SUMIFS($D:$D,$A:$A,$A1565,$B:$B,"&lt;&gt;Patrícia Karla de Sousa Araújo",$B:$B,"&lt;&gt;Lorena Dias de Araujo",$B:$B,"&lt;&gt;Lucas Luiz Romero")*(35/1083),IF(C1565="Técnico II",SUMIFS($D:$D,$A:$A,$A1565,$B:$B,"&lt;&gt;Patrícia Karla de Sousa Araújo",$B:$B,"&lt;&gt;Lorena Dias de Araujo",$B:$B,"&lt;&gt;Lucas Luiz Romero")*(28/1083),IF(C1565="Técnico I",SUMIFS($D:$D,$A:$A,$A1565,$B:$B,"&lt;&gt;Patrícia Karla de Sousa Araújo",$B:$B,"&lt;&gt;Lorena Dias de Araujo",$B:$B,"&lt;&gt;Lucas Luiz Romero")*(23/1083),IF(C1565="JR",SUMIFS($D:$D,$A:$A,$A1565,$B:$B,"&lt;&gt;Patrícia Karla de Sousa Araújo",$B:$B,"&lt;&gt;Lorena Dias de Araujo",$B:$B,"&lt;&gt;Lucas Luiz Romero")*(20/1083),IF(C1565="Estágio",SUMIFS($D:$D,$A:$A,$A1565,$B:$B,"&lt;&gt;Patrícia Karla de Sousa Araújo",$B:$B,"&lt;&gt;Lorena Dias de Araujo",$B:$B,"&lt;&gt;Lucas Luiz Romero")*(10/1083),0)))))),0)</f>
        <v/>
      </c>
      <c r="K1565" s="3">
        <f>I1565-J1565</f>
        <v/>
      </c>
      <c r="L1565" s="3">
        <f>IF(K1565&lt;-5,"CRÍTICO",IF(K1565&lt;0,"ATENÇÃO",IF(K1565&lt;=5,"BOM","EXCELENTE")))</f>
        <v/>
      </c>
      <c r="M1565" t="n">
        <v>17</v>
      </c>
      <c r="N1565" t="n">
        <v>100</v>
      </c>
      <c r="O1565" t="n">
        <v>32.27272727272727</v>
      </c>
    </row>
    <row r="1566" hidden="1">
      <c r="A1566" s="11" t="n">
        <v>46049</v>
      </c>
      <c r="B1566" t="inlineStr">
        <is>
          <t>Sarah Steffanie de Lima Borges</t>
        </is>
      </c>
      <c r="C1566" t="inlineStr">
        <is>
          <t>Técnico III</t>
        </is>
      </c>
      <c r="D1566" t="n">
        <v>32</v>
      </c>
      <c r="E1566" t="n">
        <v>31</v>
      </c>
      <c r="F1566" t="n">
        <v>16.49</v>
      </c>
      <c r="G1566" t="n">
        <v>0</v>
      </c>
      <c r="H1566" t="n">
        <v>0</v>
      </c>
      <c r="I1566" s="3">
        <f>E1566+G1566+H1566</f>
        <v/>
      </c>
      <c r="J1566" s="3">
        <f>ROUND(MIN(IF(C1566="Técnico III",35,IF(C1566="Técnico II",28,IF(C1566="Técnico I",23,IF(C1566="JR",20,IF(C1566="Estágio",10,0))))),IF(C1566="Técnico III",SUMIFS($D:$D,$A:$A,$A1566,$B:$B,"&lt;&gt;Patrícia Karla de Sousa Araújo",$B:$B,"&lt;&gt;Lorena Dias de Araujo",$B:$B,"&lt;&gt;Lucas Luiz Romero")*(35/1083),IF(C1566="Técnico II",SUMIFS($D:$D,$A:$A,$A1566,$B:$B,"&lt;&gt;Patrícia Karla de Sousa Araújo",$B:$B,"&lt;&gt;Lorena Dias de Araujo",$B:$B,"&lt;&gt;Lucas Luiz Romero")*(28/1083),IF(C1566="Técnico I",SUMIFS($D:$D,$A:$A,$A1566,$B:$B,"&lt;&gt;Patrícia Karla de Sousa Araújo",$B:$B,"&lt;&gt;Lorena Dias de Araujo",$B:$B,"&lt;&gt;Lucas Luiz Romero")*(23/1083),IF(C1566="JR",SUMIFS($D:$D,$A:$A,$A1566,$B:$B,"&lt;&gt;Patrícia Karla de Sousa Araújo",$B:$B,"&lt;&gt;Lorena Dias de Araujo",$B:$B,"&lt;&gt;Lucas Luiz Romero")*(20/1083),IF(C1566="Estágio",SUMIFS($D:$D,$A:$A,$A1566,$B:$B,"&lt;&gt;Patrícia Karla de Sousa Araújo",$B:$B,"&lt;&gt;Lorena Dias de Araujo",$B:$B,"&lt;&gt;Lucas Luiz Romero")*(10/1083),0)))))),0)</f>
        <v/>
      </c>
      <c r="K1566" s="3">
        <f>I1566-J1566</f>
        <v/>
      </c>
      <c r="L1566" s="3">
        <f>IF(K1566&lt;-5,"CRÍTICO",IF(K1566&lt;0,"ATENÇÃO",IF(K1566&lt;=5,"BOM","EXCELENTE")))</f>
        <v/>
      </c>
      <c r="M1566" t="n">
        <v>29</v>
      </c>
      <c r="N1566" t="n">
        <v>99.06999999999999</v>
      </c>
      <c r="O1566" t="n">
        <v>27.51196172248804</v>
      </c>
    </row>
    <row r="1567" hidden="1">
      <c r="A1567" s="11" t="n">
        <v>46050</v>
      </c>
      <c r="B1567" t="inlineStr">
        <is>
          <t>Alisson de Freitas Silva</t>
        </is>
      </c>
      <c r="C1567" t="inlineStr">
        <is>
          <t>Técnico II</t>
        </is>
      </c>
      <c r="D1567" t="n">
        <v>45</v>
      </c>
      <c r="E1567" t="n">
        <v>40</v>
      </c>
      <c r="F1567" t="n">
        <v>12.1</v>
      </c>
      <c r="G1567" t="n">
        <v>0</v>
      </c>
      <c r="H1567" t="n">
        <v>0</v>
      </c>
      <c r="I1567" s="3">
        <f>E1567+G1567+H1567</f>
        <v/>
      </c>
      <c r="J1567" s="3">
        <f>ROUND(MIN(IF(C1567="Técnico III",35,IF(C1567="Técnico II",28,IF(C1567="Técnico I",23,IF(C1567="JR",20,IF(C1567="Estágio",10,0))))),IF(C1567="Técnico III",SUMIFS($D:$D,$A:$A,$A1567,$B:$B,"&lt;&gt;Patrícia Karla de Sousa Araújo",$B:$B,"&lt;&gt;Lorena Dias de Araujo",$B:$B,"&lt;&gt;Lucas Luiz Romero")*(35/1083),IF(C1567="Técnico II",SUMIFS($D:$D,$A:$A,$A1567,$B:$B,"&lt;&gt;Patrícia Karla de Sousa Araújo",$B:$B,"&lt;&gt;Lorena Dias de Araujo",$B:$B,"&lt;&gt;Lucas Luiz Romero")*(28/1083),IF(C1567="Técnico I",SUMIFS($D:$D,$A:$A,$A1567,$B:$B,"&lt;&gt;Patrícia Karla de Sousa Araújo",$B:$B,"&lt;&gt;Lorena Dias de Araujo",$B:$B,"&lt;&gt;Lucas Luiz Romero")*(23/1083),IF(C1567="JR",SUMIFS($D:$D,$A:$A,$A1567,$B:$B,"&lt;&gt;Patrícia Karla de Sousa Araújo",$B:$B,"&lt;&gt;Lorena Dias de Araujo",$B:$B,"&lt;&gt;Lucas Luiz Romero")*(20/1083),IF(C1567="Estágio",SUMIFS($D:$D,$A:$A,$A1567,$B:$B,"&lt;&gt;Patrícia Karla de Sousa Araújo",$B:$B,"&lt;&gt;Lorena Dias de Araujo",$B:$B,"&lt;&gt;Lucas Luiz Romero")*(10/1083),0)))))),0)</f>
        <v/>
      </c>
      <c r="K1567" s="3">
        <f>I1567-J1567</f>
        <v/>
      </c>
      <c r="L1567" s="3">
        <f>IF(K1567&lt;-5,"CRÍTICO",IF(K1567&lt;0,"ATENÇÃO",IF(K1567&lt;=5,"BOM","EXCELENTE")))</f>
        <v/>
      </c>
      <c r="M1567" t="n">
        <v>39</v>
      </c>
      <c r="N1567" t="n">
        <v>96.55</v>
      </c>
      <c r="O1567" t="n">
        <v>27.79291553133515</v>
      </c>
    </row>
    <row r="1568" hidden="1">
      <c r="A1568" s="11" t="n">
        <v>46050</v>
      </c>
      <c r="B1568" t="inlineStr">
        <is>
          <t>Amanda Moura Ferreira</t>
        </is>
      </c>
      <c r="C1568" t="inlineStr">
        <is>
          <t>Técnico III</t>
        </is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s="3" t="n">
        <v>0</v>
      </c>
      <c r="J1568" s="3" t="n">
        <v>0</v>
      </c>
      <c r="K1568" s="3" t="n">
        <v>0</v>
      </c>
      <c r="L1568" s="3">
        <f>IF(K1568&lt;-5,"CRÍTICO",IF(K1568&lt;0,"ATENÇÃO",IF(K1568&lt;=5,"BOM","EXCELENTE")))</f>
        <v/>
      </c>
      <c r="M1568" t="n">
        <v>36</v>
      </c>
      <c r="N1568" t="n">
        <v>98.45</v>
      </c>
      <c r="O1568" t="n">
        <v>35.17699115044248</v>
      </c>
    </row>
    <row r="1569" hidden="1">
      <c r="A1569" s="11" t="n">
        <v>46050</v>
      </c>
      <c r="B1569" t="inlineStr">
        <is>
          <t>Ana Karollyne Souza Faria</t>
        </is>
      </c>
      <c r="C1569" t="inlineStr">
        <is>
          <t>Técnico I</t>
        </is>
      </c>
      <c r="D1569" t="n">
        <v>28</v>
      </c>
      <c r="E1569" t="n">
        <v>28</v>
      </c>
      <c r="F1569" t="n">
        <v>22.02</v>
      </c>
      <c r="G1569" t="n">
        <v>0</v>
      </c>
      <c r="H1569" t="n">
        <v>0</v>
      </c>
      <c r="I1569" s="3">
        <f>E1569+G1569+H1569</f>
        <v/>
      </c>
      <c r="J1569" s="3">
        <f>ROUND(MIN(IF(C1569="Técnico III",35,IF(C1569="Técnico II",28,IF(C1569="Técnico I",23,IF(C1569="JR",20,IF(C1569="Estágio",10,0))))),IF(C1569="Técnico III",SUMIFS($D:$D,$A:$A,$A1569,$B:$B,"&lt;&gt;Patrícia Karla de Sousa Araújo",$B:$B,"&lt;&gt;Lorena Dias de Araujo",$B:$B,"&lt;&gt;Lucas Luiz Romero")*(35/1083),IF(C1569="Técnico II",SUMIFS($D:$D,$A:$A,$A1569,$B:$B,"&lt;&gt;Patrícia Karla de Sousa Araújo",$B:$B,"&lt;&gt;Lorena Dias de Araujo",$B:$B,"&lt;&gt;Lucas Luiz Romero")*(28/1083),IF(C1569="Técnico I",SUMIFS($D:$D,$A:$A,$A1569,$B:$B,"&lt;&gt;Patrícia Karla de Sousa Araújo",$B:$B,"&lt;&gt;Lorena Dias de Araujo",$B:$B,"&lt;&gt;Lucas Luiz Romero")*(23/1083),IF(C1569="JR",SUMIFS($D:$D,$A:$A,$A1569,$B:$B,"&lt;&gt;Patrícia Karla de Sousa Araújo",$B:$B,"&lt;&gt;Lorena Dias de Araujo",$B:$B,"&lt;&gt;Lucas Luiz Romero")*(20/1083),IF(C1569="Estágio",SUMIFS($D:$D,$A:$A,$A1569,$B:$B,"&lt;&gt;Patrícia Karla de Sousa Araújo",$B:$B,"&lt;&gt;Lorena Dias de Araujo",$B:$B,"&lt;&gt;Lucas Luiz Romero")*(10/1083),0)))))),0)</f>
        <v/>
      </c>
      <c r="K1569" s="3">
        <f>I1569-J1569</f>
        <v/>
      </c>
      <c r="L1569" s="3">
        <f>IF(K1569&lt;-5,"CRÍTICO",IF(K1569&lt;0,"ATENÇÃO",IF(K1569&lt;=5,"BOM","EXCELENTE")))</f>
        <v/>
      </c>
      <c r="M1569" t="n">
        <v>24</v>
      </c>
      <c r="N1569" t="n">
        <v>99.08</v>
      </c>
      <c r="O1569" t="n">
        <v>26.38888888888889</v>
      </c>
    </row>
    <row r="1570" hidden="1">
      <c r="A1570" s="11" t="n">
        <v>46050</v>
      </c>
      <c r="B1570" t="inlineStr">
        <is>
          <t>Ana Paula Da Luz Silva Aleixo</t>
        </is>
      </c>
      <c r="C1570" t="inlineStr">
        <is>
          <t>Técnico III</t>
        </is>
      </c>
      <c r="D1570" t="n">
        <v>26</v>
      </c>
      <c r="E1570" t="n">
        <v>23</v>
      </c>
      <c r="F1570" t="n">
        <v>25.17</v>
      </c>
      <c r="G1570" t="n">
        <v>0</v>
      </c>
      <c r="H1570" t="n">
        <v>0</v>
      </c>
      <c r="I1570" s="3">
        <f>E1570+G1570+H1570</f>
        <v/>
      </c>
      <c r="J1570" s="3">
        <f>ROUND(MIN(IF(C1570="Técnico III",35,IF(C1570="Técnico II",28,IF(C1570="Técnico I",23,IF(C1570="JR",20,IF(C1570="Estágio",10,0))))),IF(C1570="Técnico III",SUMIFS($D:$D,$A:$A,$A1570,$B:$B,"&lt;&gt;Patrícia Karla de Sousa Araújo",$B:$B,"&lt;&gt;Lorena Dias de Araujo",$B:$B,"&lt;&gt;Lucas Luiz Romero")*(35/1083),IF(C1570="Técnico II",SUMIFS($D:$D,$A:$A,$A1570,$B:$B,"&lt;&gt;Patrícia Karla de Sousa Araújo",$B:$B,"&lt;&gt;Lorena Dias de Araujo",$B:$B,"&lt;&gt;Lucas Luiz Romero")*(28/1083),IF(C1570="Técnico I",SUMIFS($D:$D,$A:$A,$A1570,$B:$B,"&lt;&gt;Patrícia Karla de Sousa Araújo",$B:$B,"&lt;&gt;Lorena Dias de Araujo",$B:$B,"&lt;&gt;Lucas Luiz Romero")*(23/1083),IF(C1570="JR",SUMIFS($D:$D,$A:$A,$A1570,$B:$B,"&lt;&gt;Patrícia Karla de Sousa Araújo",$B:$B,"&lt;&gt;Lorena Dias de Araujo",$B:$B,"&lt;&gt;Lucas Luiz Romero")*(20/1083),IF(C1570="Estágio",SUMIFS($D:$D,$A:$A,$A1570,$B:$B,"&lt;&gt;Patrícia Karla de Sousa Araújo",$B:$B,"&lt;&gt;Lorena Dias de Araujo",$B:$B,"&lt;&gt;Lucas Luiz Romero")*(10/1083),0)))))),0)</f>
        <v/>
      </c>
      <c r="K1570" s="3">
        <f>I1570-J1570</f>
        <v/>
      </c>
      <c r="L1570" s="3">
        <f>IF(K1570&lt;-5,"CRÍTICO",IF(K1570&lt;0,"ATENÇÃO",IF(K1570&lt;=5,"BOM","EXCELENTE")))</f>
        <v/>
      </c>
      <c r="M1570" t="n">
        <v>20</v>
      </c>
      <c r="N1570" t="n">
        <v>99.15000000000001</v>
      </c>
      <c r="O1570" t="n">
        <v>29.06976744186047</v>
      </c>
    </row>
    <row r="1571" hidden="1">
      <c r="A1571" s="11" t="n">
        <v>46050</v>
      </c>
      <c r="B1571" t="inlineStr">
        <is>
          <t>Anna Luiza Rezende Tavares</t>
        </is>
      </c>
      <c r="C1571" t="inlineStr">
        <is>
          <t>Estágio</t>
        </is>
      </c>
      <c r="D1571" t="n">
        <v>13</v>
      </c>
      <c r="E1571" t="n">
        <v>13</v>
      </c>
      <c r="F1571" t="n">
        <v>20.5</v>
      </c>
      <c r="G1571" t="n">
        <v>0</v>
      </c>
      <c r="H1571" t="n">
        <v>0</v>
      </c>
      <c r="I1571" s="3">
        <f>E1571+G1571+H1571</f>
        <v/>
      </c>
      <c r="J1571" s="3">
        <f>ROUND(MIN(IF(C1571="Técnico III",35,IF(C1571="Técnico II",28,IF(C1571="Técnico I",23,IF(C1571="JR",20,IF(C1571="Estágio",10,0))))),IF(C1571="Técnico III",SUMIFS($D:$D,$A:$A,$A1571,$B:$B,"&lt;&gt;Patrícia Karla de Sousa Araújo",$B:$B,"&lt;&gt;Lorena Dias de Araujo",$B:$B,"&lt;&gt;Lucas Luiz Romero")*(35/1083),IF(C1571="Técnico II",SUMIFS($D:$D,$A:$A,$A1571,$B:$B,"&lt;&gt;Patrícia Karla de Sousa Araújo",$B:$B,"&lt;&gt;Lorena Dias de Araujo",$B:$B,"&lt;&gt;Lucas Luiz Romero")*(28/1083),IF(C1571="Técnico I",SUMIFS($D:$D,$A:$A,$A1571,$B:$B,"&lt;&gt;Patrícia Karla de Sousa Araújo",$B:$B,"&lt;&gt;Lorena Dias de Araujo",$B:$B,"&lt;&gt;Lucas Luiz Romero")*(23/1083),IF(C1571="JR",SUMIFS($D:$D,$A:$A,$A1571,$B:$B,"&lt;&gt;Patrícia Karla de Sousa Araújo",$B:$B,"&lt;&gt;Lorena Dias de Araujo",$B:$B,"&lt;&gt;Lucas Luiz Romero")*(20/1083),IF(C1571="Estágio",SUMIFS($D:$D,$A:$A,$A1571,$B:$B,"&lt;&gt;Patrícia Karla de Sousa Araújo",$B:$B,"&lt;&gt;Lorena Dias de Araujo",$B:$B,"&lt;&gt;Lucas Luiz Romero")*(10/1083),0)))))),0)</f>
        <v/>
      </c>
      <c r="K1571" s="3">
        <f>I1571-J1571</f>
        <v/>
      </c>
      <c r="L1571" s="3">
        <f>IF(K1571&lt;-5,"CRÍTICO",IF(K1571&lt;0,"ATENÇÃO",IF(K1571&lt;=5,"BOM","EXCELENTE")))</f>
        <v/>
      </c>
      <c r="M1571" t="n">
        <v>13</v>
      </c>
      <c r="N1571" t="n">
        <v>100</v>
      </c>
      <c r="O1571" t="n">
        <v>39.69465648854962</v>
      </c>
    </row>
    <row r="1572" hidden="1">
      <c r="A1572" s="11" t="n">
        <v>46050</v>
      </c>
      <c r="B1572" t="inlineStr">
        <is>
          <t>Brenda de Menezes Silva</t>
        </is>
      </c>
      <c r="C1572" t="inlineStr">
        <is>
          <t>Técnico II</t>
        </is>
      </c>
      <c r="D1572" t="n">
        <v>46</v>
      </c>
      <c r="E1572" t="n">
        <v>35</v>
      </c>
      <c r="F1572" t="n">
        <v>13.3</v>
      </c>
      <c r="G1572" t="n">
        <v>0</v>
      </c>
      <c r="H1572" t="n">
        <v>0</v>
      </c>
      <c r="I1572" s="3">
        <f>E1572+G1572+H1572</f>
        <v/>
      </c>
      <c r="J1572" s="3">
        <f>ROUND(MIN(IF(C1572="Técnico III",35,IF(C1572="Técnico II",28,IF(C1572="Técnico I",23,IF(C1572="JR",20,IF(C1572="Estágio",10,0))))),IF(C1572="Técnico III",SUMIFS($D:$D,$A:$A,$A1572,$B:$B,"&lt;&gt;Patrícia Karla de Sousa Araújo",$B:$B,"&lt;&gt;Lorena Dias de Araujo",$B:$B,"&lt;&gt;Lucas Luiz Romero")*(35/1083),IF(C1572="Técnico II",SUMIFS($D:$D,$A:$A,$A1572,$B:$B,"&lt;&gt;Patrícia Karla de Sousa Araújo",$B:$B,"&lt;&gt;Lorena Dias de Araujo",$B:$B,"&lt;&gt;Lucas Luiz Romero")*(28/1083),IF(C1572="Técnico I",SUMIFS($D:$D,$A:$A,$A1572,$B:$B,"&lt;&gt;Patrícia Karla de Sousa Araújo",$B:$B,"&lt;&gt;Lorena Dias de Araujo",$B:$B,"&lt;&gt;Lucas Luiz Romero")*(23/1083),IF(C1572="JR",SUMIFS($D:$D,$A:$A,$A1572,$B:$B,"&lt;&gt;Patrícia Karla de Sousa Araújo",$B:$B,"&lt;&gt;Lorena Dias de Araujo",$B:$B,"&lt;&gt;Lucas Luiz Romero")*(20/1083),IF(C1572="Estágio",SUMIFS($D:$D,$A:$A,$A1572,$B:$B,"&lt;&gt;Patrícia Karla de Sousa Araújo",$B:$B,"&lt;&gt;Lorena Dias de Araujo",$B:$B,"&lt;&gt;Lucas Luiz Romero")*(10/1083),0)))))),0)</f>
        <v/>
      </c>
      <c r="K1572" s="3">
        <f>I1572-J1572</f>
        <v/>
      </c>
      <c r="L1572" s="3">
        <f>IF(K1572&lt;-5,"CRÍTICO",IF(K1572&lt;0,"ATENÇÃO",IF(K1572&lt;=5,"BOM","EXCELENTE")))</f>
        <v/>
      </c>
      <c r="M1572" t="n">
        <v>38</v>
      </c>
      <c r="N1572" t="n">
        <v>98.44</v>
      </c>
      <c r="O1572" t="n">
        <v>28.71900826446281</v>
      </c>
    </row>
    <row r="1573" hidden="1">
      <c r="A1573" s="11" t="n">
        <v>46050</v>
      </c>
      <c r="B1573" t="inlineStr">
        <is>
          <t>Carlos Mateus Cassimiro Nunes</t>
        </is>
      </c>
      <c r="C1573" t="inlineStr">
        <is>
          <t>Técnico II</t>
        </is>
      </c>
      <c r="D1573" t="n">
        <v>24</v>
      </c>
      <c r="E1573" t="n">
        <v>24</v>
      </c>
      <c r="F1573" t="n">
        <v>25.34</v>
      </c>
      <c r="G1573" t="n">
        <v>0</v>
      </c>
      <c r="H1573" t="n">
        <v>0</v>
      </c>
      <c r="I1573" s="3">
        <f>E1573+G1573+H1573</f>
        <v/>
      </c>
      <c r="J1573" s="3">
        <f>ROUND(MIN(IF(C1573="Técnico III",35,IF(C1573="Técnico II",28,IF(C1573="Técnico I",23,IF(C1573="JR",20,IF(C1573="Estágio",10,0))))),IF(C1573="Técnico III",SUMIFS($D:$D,$A:$A,$A1573,$B:$B,"&lt;&gt;Patrícia Karla de Sousa Araújo",$B:$B,"&lt;&gt;Lorena Dias de Araujo",$B:$B,"&lt;&gt;Lucas Luiz Romero")*(35/1083),IF(C1573="Técnico II",SUMIFS($D:$D,$A:$A,$A1573,$B:$B,"&lt;&gt;Patrícia Karla de Sousa Araújo",$B:$B,"&lt;&gt;Lorena Dias de Araujo",$B:$B,"&lt;&gt;Lucas Luiz Romero")*(28/1083),IF(C1573="Técnico I",SUMIFS($D:$D,$A:$A,$A1573,$B:$B,"&lt;&gt;Patrícia Karla de Sousa Araújo",$B:$B,"&lt;&gt;Lorena Dias de Araujo",$B:$B,"&lt;&gt;Lucas Luiz Romero")*(23/1083),IF(C1573="JR",SUMIFS($D:$D,$A:$A,$A1573,$B:$B,"&lt;&gt;Patrícia Karla de Sousa Araújo",$B:$B,"&lt;&gt;Lorena Dias de Araujo",$B:$B,"&lt;&gt;Lucas Luiz Romero")*(20/1083),IF(C1573="Estágio",SUMIFS($D:$D,$A:$A,$A1573,$B:$B,"&lt;&gt;Patrícia Karla de Sousa Araújo",$B:$B,"&lt;&gt;Lorena Dias de Araujo",$B:$B,"&lt;&gt;Lucas Luiz Romero")*(10/1083),0)))))),0)</f>
        <v/>
      </c>
      <c r="K1573" s="3">
        <f>I1573-J1573</f>
        <v/>
      </c>
      <c r="L1573" s="3">
        <f>IF(K1573&lt;-5,"CRÍTICO",IF(K1573&lt;0,"ATENÇÃO",IF(K1573&lt;=5,"BOM","EXCELENTE")))</f>
        <v/>
      </c>
      <c r="M1573" t="n">
        <v>20</v>
      </c>
      <c r="N1573" t="n">
        <v>100</v>
      </c>
      <c r="O1573" t="n">
        <v>34.30232558139535</v>
      </c>
    </row>
    <row r="1574" hidden="1">
      <c r="A1574" s="11" t="n">
        <v>46050</v>
      </c>
      <c r="B1574" t="inlineStr">
        <is>
          <t>Claudio de Sousa Velasco Filho</t>
        </is>
      </c>
      <c r="C1574" t="inlineStr">
        <is>
          <t>Estágio</t>
        </is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s="3" t="n">
        <v>0</v>
      </c>
      <c r="J1574" s="3" t="n">
        <v>0</v>
      </c>
      <c r="K1574" s="3" t="n">
        <v>0</v>
      </c>
      <c r="L1574" s="3">
        <f>IF(K1574&lt;-5,"CRÍTICO",IF(K1574&lt;0,"ATENÇÃO",IF(K1574&lt;=5,"BOM","EXCELENTE")))</f>
        <v/>
      </c>
      <c r="M1574" t="n">
        <v>0</v>
      </c>
      <c r="N1574" t="n">
        <v>0</v>
      </c>
      <c r="O1574" t="n">
        <v>0</v>
      </c>
    </row>
    <row r="1575" hidden="1">
      <c r="A1575" s="11" t="n">
        <v>46050</v>
      </c>
      <c r="B1575" t="inlineStr">
        <is>
          <t>Clessiane Pereira dos Santos</t>
        </is>
      </c>
      <c r="C1575" t="inlineStr">
        <is>
          <t>Técnico I</t>
        </is>
      </c>
      <c r="D1575" t="n">
        <v>28</v>
      </c>
      <c r="E1575" t="n">
        <v>25</v>
      </c>
      <c r="F1575" t="n">
        <v>18.56</v>
      </c>
      <c r="G1575" t="n">
        <v>0</v>
      </c>
      <c r="H1575" t="n">
        <v>0</v>
      </c>
      <c r="I1575" s="3">
        <f>E1575+G1575+H1575</f>
        <v/>
      </c>
      <c r="J1575" s="3">
        <f>ROUND(MIN(IF(C1575="Técnico III",35,IF(C1575="Técnico II",28,IF(C1575="Técnico I",23,IF(C1575="JR",20,IF(C1575="Estágio",10,0))))),IF(C1575="Técnico III",SUMIFS($D:$D,$A:$A,$A1575,$B:$B,"&lt;&gt;Patrícia Karla de Sousa Araújo",$B:$B,"&lt;&gt;Lorena Dias de Araujo",$B:$B,"&lt;&gt;Lucas Luiz Romero")*(35/1083),IF(C1575="Técnico II",SUMIFS($D:$D,$A:$A,$A1575,$B:$B,"&lt;&gt;Patrícia Karla de Sousa Araújo",$B:$B,"&lt;&gt;Lorena Dias de Araujo",$B:$B,"&lt;&gt;Lucas Luiz Romero")*(28/1083),IF(C1575="Técnico I",SUMIFS($D:$D,$A:$A,$A1575,$B:$B,"&lt;&gt;Patrícia Karla de Sousa Araújo",$B:$B,"&lt;&gt;Lorena Dias de Araujo",$B:$B,"&lt;&gt;Lucas Luiz Romero")*(23/1083),IF(C1575="JR",SUMIFS($D:$D,$A:$A,$A1575,$B:$B,"&lt;&gt;Patrícia Karla de Sousa Araújo",$B:$B,"&lt;&gt;Lorena Dias de Araujo",$B:$B,"&lt;&gt;Lucas Luiz Romero")*(20/1083),IF(C1575="Estágio",SUMIFS($D:$D,$A:$A,$A1575,$B:$B,"&lt;&gt;Patrícia Karla de Sousa Araújo",$B:$B,"&lt;&gt;Lorena Dias de Araujo",$B:$B,"&lt;&gt;Lucas Luiz Romero")*(10/1083),0)))))),0)</f>
        <v/>
      </c>
      <c r="K1575" s="3">
        <f>I1575-J1575</f>
        <v/>
      </c>
      <c r="L1575" s="3">
        <f>IF(K1575&lt;-5,"CRÍTICO",IF(K1575&lt;0,"ATENÇÃO",IF(K1575&lt;=5,"BOM","EXCELENTE")))</f>
        <v/>
      </c>
      <c r="M1575" t="n">
        <v>26</v>
      </c>
      <c r="N1575" t="n">
        <v>100</v>
      </c>
      <c r="O1575" t="n">
        <v>28.42809364548495</v>
      </c>
    </row>
    <row r="1576" hidden="1">
      <c r="A1576" s="11" t="n">
        <v>46050</v>
      </c>
      <c r="B1576" t="inlineStr">
        <is>
          <t>Cristiane Ramos da Silva Rocha</t>
        </is>
      </c>
      <c r="C1576" t="inlineStr">
        <is>
          <t>Técnico III</t>
        </is>
      </c>
      <c r="D1576" t="n">
        <v>43</v>
      </c>
      <c r="E1576" t="n">
        <v>37</v>
      </c>
      <c r="F1576" t="n">
        <v>12.12</v>
      </c>
      <c r="G1576" t="n">
        <v>0</v>
      </c>
      <c r="H1576" t="n">
        <v>0</v>
      </c>
      <c r="I1576" s="3">
        <f>E1576+G1576+H1576</f>
        <v/>
      </c>
      <c r="J1576" s="3">
        <f>ROUND(MIN(IF(C1576="Técnico III",35,IF(C1576="Técnico II",28,IF(C1576="Técnico I",23,IF(C1576="JR",20,IF(C1576="Estágio",10,0))))),IF(C1576="Técnico III",SUMIFS($D:$D,$A:$A,$A1576,$B:$B,"&lt;&gt;Patrícia Karla de Sousa Araújo",$B:$B,"&lt;&gt;Lorena Dias de Araujo",$B:$B,"&lt;&gt;Lucas Luiz Romero")*(35/1083),IF(C1576="Técnico II",SUMIFS($D:$D,$A:$A,$A1576,$B:$B,"&lt;&gt;Patrícia Karla de Sousa Araújo",$B:$B,"&lt;&gt;Lorena Dias de Araujo",$B:$B,"&lt;&gt;Lucas Luiz Romero")*(28/1083),IF(C1576="Técnico I",SUMIFS($D:$D,$A:$A,$A1576,$B:$B,"&lt;&gt;Patrícia Karla de Sousa Araújo",$B:$B,"&lt;&gt;Lorena Dias de Araujo",$B:$B,"&lt;&gt;Lucas Luiz Romero")*(23/1083),IF(C1576="JR",SUMIFS($D:$D,$A:$A,$A1576,$B:$B,"&lt;&gt;Patrícia Karla de Sousa Araújo",$B:$B,"&lt;&gt;Lorena Dias de Araujo",$B:$B,"&lt;&gt;Lucas Luiz Romero")*(20/1083),IF(C1576="Estágio",SUMIFS($D:$D,$A:$A,$A1576,$B:$B,"&lt;&gt;Patrícia Karla de Sousa Araújo",$B:$B,"&lt;&gt;Lorena Dias de Araujo",$B:$B,"&lt;&gt;Lucas Luiz Romero")*(10/1083),0)))))),0)</f>
        <v/>
      </c>
      <c r="K1576" s="3">
        <f>I1576-J1576</f>
        <v/>
      </c>
      <c r="L1576" s="3">
        <f>IF(K1576&lt;-5,"CRÍTICO",IF(K1576&lt;0,"ATENÇÃO",IF(K1576&lt;=5,"BOM","EXCELENTE")))</f>
        <v/>
      </c>
      <c r="M1576" t="n">
        <v>36</v>
      </c>
      <c r="N1576" t="n">
        <v>97.13</v>
      </c>
      <c r="O1576" t="n">
        <v>41.73228346456693</v>
      </c>
    </row>
    <row r="1577" hidden="1">
      <c r="A1577" s="11" t="n">
        <v>46050</v>
      </c>
      <c r="B1577" t="inlineStr">
        <is>
          <t>Damyllis Lorraine de Oliveira Gonçalves</t>
        </is>
      </c>
      <c r="C1577" t="inlineStr">
        <is>
          <t>Técnico II</t>
        </is>
      </c>
      <c r="D1577" t="n">
        <v>41</v>
      </c>
      <c r="E1577" t="n">
        <v>32</v>
      </c>
      <c r="F1577" t="n">
        <v>13.51</v>
      </c>
      <c r="G1577" t="n">
        <v>0</v>
      </c>
      <c r="H1577" t="n">
        <v>0</v>
      </c>
      <c r="I1577" s="3" t="n">
        <v>0</v>
      </c>
      <c r="J1577" s="3" t="n">
        <v>0</v>
      </c>
      <c r="K1577" s="3" t="n">
        <v>0</v>
      </c>
      <c r="L1577" s="3">
        <f>IF(K1577&lt;-5,"CRÍTICO",IF(K1577&lt;0,"ATENÇÃO",IF(K1577&lt;=5,"BOM","EXCELENTE")))</f>
        <v/>
      </c>
      <c r="M1577" t="n">
        <v>30</v>
      </c>
      <c r="N1577" t="n">
        <v>96.33</v>
      </c>
      <c r="O1577" t="n">
        <v>31.34328358208955</v>
      </c>
    </row>
    <row r="1578" hidden="1">
      <c r="A1578" s="11" t="n">
        <v>46050</v>
      </c>
      <c r="B1578" t="inlineStr">
        <is>
          <t>Daniel Gomes da Silva</t>
        </is>
      </c>
      <c r="C1578" t="inlineStr">
        <is>
          <t>Técnico I</t>
        </is>
      </c>
      <c r="D1578" t="n">
        <v>26</v>
      </c>
      <c r="E1578" t="n">
        <v>23</v>
      </c>
      <c r="F1578" t="n">
        <v>24.19</v>
      </c>
      <c r="G1578" t="n">
        <v>0</v>
      </c>
      <c r="H1578" t="n">
        <v>0</v>
      </c>
      <c r="I1578" s="3">
        <f>E1578+G1578+H1578</f>
        <v/>
      </c>
      <c r="J1578" s="3">
        <f>ROUND(MIN(IF(C1578="Técnico III",35,IF(C1578="Técnico II",28,IF(C1578="Técnico I",23,IF(C1578="JR",20,IF(C1578="Estágio",10,0))))),IF(C1578="Técnico III",SUMIFS($D:$D,$A:$A,$A1578,$B:$B,"&lt;&gt;Patrícia Karla de Sousa Araújo",$B:$B,"&lt;&gt;Lorena Dias de Araujo",$B:$B,"&lt;&gt;Lucas Luiz Romero")*(35/1083),IF(C1578="Técnico II",SUMIFS($D:$D,$A:$A,$A1578,$B:$B,"&lt;&gt;Patrícia Karla de Sousa Araújo",$B:$B,"&lt;&gt;Lorena Dias de Araujo",$B:$B,"&lt;&gt;Lucas Luiz Romero")*(28/1083),IF(C1578="Técnico I",SUMIFS($D:$D,$A:$A,$A1578,$B:$B,"&lt;&gt;Patrícia Karla de Sousa Araújo",$B:$B,"&lt;&gt;Lorena Dias de Araujo",$B:$B,"&lt;&gt;Lucas Luiz Romero")*(23/1083),IF(C1578="JR",SUMIFS($D:$D,$A:$A,$A1578,$B:$B,"&lt;&gt;Patrícia Karla de Sousa Araújo",$B:$B,"&lt;&gt;Lorena Dias de Araujo",$B:$B,"&lt;&gt;Lucas Luiz Romero")*(20/1083),IF(C1578="Estágio",SUMIFS($D:$D,$A:$A,$A1578,$B:$B,"&lt;&gt;Patrícia Karla de Sousa Araújo",$B:$B,"&lt;&gt;Lorena Dias de Araujo",$B:$B,"&lt;&gt;Lucas Luiz Romero")*(10/1083),0)))))),0)</f>
        <v/>
      </c>
      <c r="K1578" s="3">
        <f>I1578-J1578</f>
        <v/>
      </c>
      <c r="L1578" s="3">
        <f>IF(K1578&lt;-5,"CRÍTICO",IF(K1578&lt;0,"ATENÇÃO",IF(K1578&lt;=5,"BOM","EXCELENTE")))</f>
        <v/>
      </c>
      <c r="M1578" t="n">
        <v>28</v>
      </c>
      <c r="N1578" t="n">
        <v>100</v>
      </c>
      <c r="O1578" t="n">
        <v>27.90697674418605</v>
      </c>
    </row>
    <row r="1579" hidden="1">
      <c r="A1579" s="11" t="n">
        <v>46050</v>
      </c>
      <c r="B1579" t="inlineStr">
        <is>
          <t>Davylla Rodrigues Freitas Silva</t>
        </is>
      </c>
      <c r="C1579" t="inlineStr">
        <is>
          <t>Técnico III</t>
        </is>
      </c>
      <c r="D1579" t="n">
        <v>32</v>
      </c>
      <c r="E1579" t="n">
        <v>32</v>
      </c>
      <c r="F1579" t="n">
        <v>22.01</v>
      </c>
      <c r="G1579" t="n">
        <v>0</v>
      </c>
      <c r="H1579" t="n">
        <v>0</v>
      </c>
      <c r="I1579" s="3" t="n">
        <v>0</v>
      </c>
      <c r="J1579" s="3" t="n">
        <v>0</v>
      </c>
      <c r="K1579" s="3" t="n">
        <v>0</v>
      </c>
      <c r="L1579" s="3">
        <f>IF(K1579&lt;-5,"CRÍTICO",IF(K1579&lt;0,"ATENÇÃO",IF(K1579&lt;=5,"BOM","EXCELENTE")))</f>
        <v/>
      </c>
      <c r="M1579" t="n">
        <v>31</v>
      </c>
      <c r="N1579" t="n">
        <v>99.45999999999999</v>
      </c>
      <c r="O1579" t="n">
        <v>41.76334106728538</v>
      </c>
    </row>
    <row r="1580" hidden="1">
      <c r="A1580" s="11" t="n">
        <v>46050</v>
      </c>
      <c r="B1580" t="inlineStr">
        <is>
          <t>Emilly Caylane Costa</t>
        </is>
      </c>
      <c r="C1580" t="inlineStr">
        <is>
          <t>Estágio</t>
        </is>
      </c>
      <c r="D1580" t="n">
        <v>2</v>
      </c>
      <c r="E1580" t="n">
        <v>2</v>
      </c>
      <c r="F1580" t="n">
        <v>55.02</v>
      </c>
      <c r="G1580" t="n">
        <v>0</v>
      </c>
      <c r="H1580" t="n">
        <v>0</v>
      </c>
      <c r="I1580" s="3">
        <f>E1580+G1580+H1580</f>
        <v/>
      </c>
      <c r="J1580" s="3">
        <f>ROUND(MIN(IF(C1580="Técnico III",35,IF(C1580="Técnico II",28,IF(C1580="Técnico I",23,IF(C1580="JR",20,IF(C1580="Estágio",10,0))))),IF(C1580="Técnico III",SUMIFS($D:$D,$A:$A,$A1580,$B:$B,"&lt;&gt;Patrícia Karla de Sousa Araújo",$B:$B,"&lt;&gt;Lorena Dias de Araujo",$B:$B,"&lt;&gt;Lucas Luiz Romero")*(35/1083),IF(C1580="Técnico II",SUMIFS($D:$D,$A:$A,$A1580,$B:$B,"&lt;&gt;Patrícia Karla de Sousa Araújo",$B:$B,"&lt;&gt;Lorena Dias de Araujo",$B:$B,"&lt;&gt;Lucas Luiz Romero")*(28/1083),IF(C1580="Técnico I",SUMIFS($D:$D,$A:$A,$A1580,$B:$B,"&lt;&gt;Patrícia Karla de Sousa Araújo",$B:$B,"&lt;&gt;Lorena Dias de Araujo",$B:$B,"&lt;&gt;Lucas Luiz Romero")*(23/1083),IF(C1580="JR",SUMIFS($D:$D,$A:$A,$A1580,$B:$B,"&lt;&gt;Patrícia Karla de Sousa Araújo",$B:$B,"&lt;&gt;Lorena Dias de Araujo",$B:$B,"&lt;&gt;Lucas Luiz Romero")*(20/1083),IF(C1580="Estágio",SUMIFS($D:$D,$A:$A,$A1580,$B:$B,"&lt;&gt;Patrícia Karla de Sousa Araújo",$B:$B,"&lt;&gt;Lorena Dias de Araujo",$B:$B,"&lt;&gt;Lucas Luiz Romero")*(10/1083),0)))))),0)</f>
        <v/>
      </c>
      <c r="K1580" s="3">
        <f>I1580-J1580</f>
        <v/>
      </c>
      <c r="L1580" s="3">
        <f>IF(K1580&lt;-5,"CRÍTICO",IF(K1580&lt;0,"ATENÇÃO",IF(K1580&lt;=5,"BOM","EXCELENTE")))</f>
        <v/>
      </c>
      <c r="M1580" t="n">
        <v>0</v>
      </c>
      <c r="N1580" t="n">
        <v>0</v>
      </c>
      <c r="O1580" t="n">
        <v>0</v>
      </c>
    </row>
    <row r="1581" hidden="1">
      <c r="A1581" s="11" t="n">
        <v>46050</v>
      </c>
      <c r="B1581" t="inlineStr">
        <is>
          <t>Emilly Kamilly Medeiros Miranda</t>
        </is>
      </c>
      <c r="C1581" t="inlineStr">
        <is>
          <t>Técnico II</t>
        </is>
      </c>
      <c r="D1581" t="n">
        <v>33</v>
      </c>
      <c r="E1581" t="n">
        <v>31</v>
      </c>
      <c r="F1581" t="n">
        <v>20.15</v>
      </c>
      <c r="G1581" t="n">
        <v>0</v>
      </c>
      <c r="H1581" t="n">
        <v>0</v>
      </c>
      <c r="I1581" s="3">
        <f>E1581+G1581+H1581</f>
        <v/>
      </c>
      <c r="J1581" s="3">
        <f>ROUND(MIN(IF(C1581="Técnico III",35,IF(C1581="Técnico II",28,IF(C1581="Técnico I",23,IF(C1581="JR",20,IF(C1581="Estágio",10,0))))),IF(C1581="Técnico III",SUMIFS($D:$D,$A:$A,$A1581,$B:$B,"&lt;&gt;Patrícia Karla de Sousa Araújo",$B:$B,"&lt;&gt;Lorena Dias de Araujo",$B:$B,"&lt;&gt;Lucas Luiz Romero")*(35/1083),IF(C1581="Técnico II",SUMIFS($D:$D,$A:$A,$A1581,$B:$B,"&lt;&gt;Patrícia Karla de Sousa Araújo",$B:$B,"&lt;&gt;Lorena Dias de Araujo",$B:$B,"&lt;&gt;Lucas Luiz Romero")*(28/1083),IF(C1581="Técnico I",SUMIFS($D:$D,$A:$A,$A1581,$B:$B,"&lt;&gt;Patrícia Karla de Sousa Araújo",$B:$B,"&lt;&gt;Lorena Dias de Araujo",$B:$B,"&lt;&gt;Lucas Luiz Romero")*(23/1083),IF(C1581="JR",SUMIFS($D:$D,$A:$A,$A1581,$B:$B,"&lt;&gt;Patrícia Karla de Sousa Araújo",$B:$B,"&lt;&gt;Lorena Dias de Araujo",$B:$B,"&lt;&gt;Lucas Luiz Romero")*(20/1083),IF(C1581="Estágio",SUMIFS($D:$D,$A:$A,$A1581,$B:$B,"&lt;&gt;Patrícia Karla de Sousa Araújo",$B:$B,"&lt;&gt;Lorena Dias de Araujo",$B:$B,"&lt;&gt;Lucas Luiz Romero")*(10/1083),0)))))),0)</f>
        <v/>
      </c>
      <c r="K1581" s="3">
        <f>I1581-J1581</f>
        <v/>
      </c>
      <c r="L1581" s="3">
        <f>IF(K1581&lt;-5,"CRÍTICO",IF(K1581&lt;0,"ATENÇÃO",IF(K1581&lt;=5,"BOM","EXCELENTE")))</f>
        <v/>
      </c>
      <c r="M1581" t="n">
        <v>31</v>
      </c>
      <c r="N1581" t="n">
        <v>100</v>
      </c>
      <c r="O1581" t="n">
        <v>34.30353430353431</v>
      </c>
    </row>
    <row r="1582" hidden="1">
      <c r="A1582" s="11" t="n">
        <v>46050</v>
      </c>
      <c r="B1582" t="inlineStr">
        <is>
          <t>Francielson de Oliveira</t>
        </is>
      </c>
      <c r="C1582" t="inlineStr">
        <is>
          <t>Técnico III</t>
        </is>
      </c>
      <c r="D1582" t="n">
        <v>33</v>
      </c>
      <c r="E1582" t="n">
        <v>30</v>
      </c>
      <c r="F1582" t="n">
        <v>15.08</v>
      </c>
      <c r="G1582" t="n">
        <v>0</v>
      </c>
      <c r="H1582" t="n">
        <v>0</v>
      </c>
      <c r="I1582" s="3">
        <f>E1582+G1582+H1582</f>
        <v/>
      </c>
      <c r="J1582" s="3">
        <f>ROUND(MIN(IF(C1582="Técnico III",35,IF(C1582="Técnico II",28,IF(C1582="Técnico I",23,IF(C1582="JR",20,IF(C1582="Estágio",10,0))))),IF(C1582="Técnico III",SUMIFS($D:$D,$A:$A,$A1582,$B:$B,"&lt;&gt;Patrícia Karla de Sousa Araújo",$B:$B,"&lt;&gt;Lorena Dias de Araujo",$B:$B,"&lt;&gt;Lucas Luiz Romero")*(35/1083),IF(C1582="Técnico II",SUMIFS($D:$D,$A:$A,$A1582,$B:$B,"&lt;&gt;Patrícia Karla de Sousa Araújo",$B:$B,"&lt;&gt;Lorena Dias de Araujo",$B:$B,"&lt;&gt;Lucas Luiz Romero")*(28/1083),IF(C1582="Técnico I",SUMIFS($D:$D,$A:$A,$A1582,$B:$B,"&lt;&gt;Patrícia Karla de Sousa Araújo",$B:$B,"&lt;&gt;Lorena Dias de Araujo",$B:$B,"&lt;&gt;Lucas Luiz Romero")*(23/1083),IF(C1582="JR",SUMIFS($D:$D,$A:$A,$A1582,$B:$B,"&lt;&gt;Patrícia Karla de Sousa Araújo",$B:$B,"&lt;&gt;Lorena Dias de Araujo",$B:$B,"&lt;&gt;Lucas Luiz Romero")*(20/1083),IF(C1582="Estágio",SUMIFS($D:$D,$A:$A,$A1582,$B:$B,"&lt;&gt;Patrícia Karla de Sousa Araújo",$B:$B,"&lt;&gt;Lorena Dias de Araujo",$B:$B,"&lt;&gt;Lucas Luiz Romero")*(10/1083),0)))))),0)</f>
        <v/>
      </c>
      <c r="K1582" s="3">
        <f>I1582-J1582</f>
        <v/>
      </c>
      <c r="L1582" s="3">
        <f>IF(K1582&lt;-5,"CRÍTICO",IF(K1582&lt;0,"ATENÇÃO",IF(K1582&lt;=5,"BOM","EXCELENTE")))</f>
        <v/>
      </c>
      <c r="M1582" t="n">
        <v>32</v>
      </c>
      <c r="N1582" t="n">
        <v>100</v>
      </c>
      <c r="O1582" t="n">
        <v>34.27835051546392</v>
      </c>
    </row>
    <row r="1583" hidden="1">
      <c r="A1583" s="11" t="n">
        <v>46050</v>
      </c>
      <c r="B1583" t="inlineStr">
        <is>
          <t>Francilene Ferreira de Jesus</t>
        </is>
      </c>
      <c r="C1583" t="inlineStr">
        <is>
          <t>Técnico II</t>
        </is>
      </c>
      <c r="D1583" t="n">
        <v>32</v>
      </c>
      <c r="E1583" t="n">
        <v>30</v>
      </c>
      <c r="F1583" t="n">
        <v>20.37</v>
      </c>
      <c r="G1583" t="n">
        <v>0</v>
      </c>
      <c r="H1583" t="n">
        <v>0</v>
      </c>
      <c r="I1583" s="3">
        <f>E1583+G1583+H1583</f>
        <v/>
      </c>
      <c r="J1583" s="3">
        <f>ROUND(MIN(IF(C1583="Técnico III",35,IF(C1583="Técnico II",28,IF(C1583="Técnico I",23,IF(C1583="JR",20,IF(C1583="Estágio",10,0))))),IF(C1583="Técnico III",SUMIFS($D:$D,$A:$A,$A1583,$B:$B,"&lt;&gt;Patrícia Karla de Sousa Araújo",$B:$B,"&lt;&gt;Lorena Dias de Araujo",$B:$B,"&lt;&gt;Lucas Luiz Romero")*(35/1083),IF(C1583="Técnico II",SUMIFS($D:$D,$A:$A,$A1583,$B:$B,"&lt;&gt;Patrícia Karla de Sousa Araújo",$B:$B,"&lt;&gt;Lorena Dias de Araujo",$B:$B,"&lt;&gt;Lucas Luiz Romero")*(28/1083),IF(C1583="Técnico I",SUMIFS($D:$D,$A:$A,$A1583,$B:$B,"&lt;&gt;Patrícia Karla de Sousa Araújo",$B:$B,"&lt;&gt;Lorena Dias de Araujo",$B:$B,"&lt;&gt;Lucas Luiz Romero")*(23/1083),IF(C1583="JR",SUMIFS($D:$D,$A:$A,$A1583,$B:$B,"&lt;&gt;Patrícia Karla de Sousa Araújo",$B:$B,"&lt;&gt;Lorena Dias de Araujo",$B:$B,"&lt;&gt;Lucas Luiz Romero")*(20/1083),IF(C1583="Estágio",SUMIFS($D:$D,$A:$A,$A1583,$B:$B,"&lt;&gt;Patrícia Karla de Sousa Araújo",$B:$B,"&lt;&gt;Lorena Dias de Araujo",$B:$B,"&lt;&gt;Lucas Luiz Romero")*(10/1083),0)))))),0)</f>
        <v/>
      </c>
      <c r="K1583" s="3">
        <f>I1583-J1583</f>
        <v/>
      </c>
      <c r="L1583" s="3">
        <f>IF(K1583&lt;-5,"CRÍTICO",IF(K1583&lt;0,"ATENÇÃO",IF(K1583&lt;=5,"BOM","EXCELENTE")))</f>
        <v/>
      </c>
      <c r="M1583" t="n">
        <v>28</v>
      </c>
      <c r="N1583" t="n">
        <v>99.26000000000001</v>
      </c>
      <c r="O1583" t="n">
        <v>32.42574257425743</v>
      </c>
    </row>
    <row r="1584" hidden="1">
      <c r="A1584" s="11" t="n">
        <v>46084</v>
      </c>
      <c r="B1584" t="inlineStr">
        <is>
          <t>Gabriel Gomes de Andrade</t>
        </is>
      </c>
      <c r="C1584" t="inlineStr">
        <is>
          <t>Técnico I</t>
        </is>
      </c>
      <c r="D1584" t="n">
        <v>21</v>
      </c>
      <c r="E1584" t="n">
        <v>21</v>
      </c>
      <c r="F1584" t="n">
        <v>27.26</v>
      </c>
      <c r="G1584" t="n">
        <v>0</v>
      </c>
      <c r="H1584" t="n">
        <v>0</v>
      </c>
      <c r="I1584" s="3">
        <f>E1584+G1584+H1584</f>
        <v/>
      </c>
      <c r="J1584" s="3">
        <f>ROUND(MIN(IF(C1584="Técnico III",35,IF(C1584="Técnico II",28,IF(C1584="Técnico I",23,IF(C1584="JR",20,IF(C1584="Estágio",10,0))))),IF(C1584="Técnico III",SUMIFS($D:$D,$A:$A,$A1584,$B:$B,"&lt;&gt;Patrícia Karla de Sousa Araújo",$B:$B,"&lt;&gt;Lorena Dias de Araujo",$B:$B,"&lt;&gt;Lucas Luiz Romero")*(35/1083),IF(C1584="Técnico II",SUMIFS($D:$D,$A:$A,$A1584,$B:$B,"&lt;&gt;Patrícia Karla de Sousa Araújo",$B:$B,"&lt;&gt;Lorena Dias de Araujo",$B:$B,"&lt;&gt;Lucas Luiz Romero")*(28/1083),IF(C1584="Técnico I",SUMIFS($D:$D,$A:$A,$A1584,$B:$B,"&lt;&gt;Patrícia Karla de Sousa Araújo",$B:$B,"&lt;&gt;Lorena Dias de Araujo",$B:$B,"&lt;&gt;Lucas Luiz Romero")*(23/1083),IF(C1584="JR",SUMIFS($D:$D,$A:$A,$A1584,$B:$B,"&lt;&gt;Patrícia Karla de Sousa Araújo",$B:$B,"&lt;&gt;Lorena Dias de Araujo",$B:$B,"&lt;&gt;Lucas Luiz Romero")*(20/1083),IF(C1584="Estágio",SUMIFS($D:$D,$A:$A,$A1584,$B:$B,"&lt;&gt;Patrícia Karla de Sousa Araújo",$B:$B,"&lt;&gt;Lorena Dias de Araujo",$B:$B,"&lt;&gt;Lucas Luiz Romero")*(10/1083),0)))))),0)</f>
        <v/>
      </c>
      <c r="K1584" s="3">
        <f>I1584-J1584</f>
        <v/>
      </c>
      <c r="L1584" s="3">
        <f>IF(K1584&lt;-5,"CRÍTICO",IF(K1584&lt;0,"ATENÇÃO",IF(K1584&lt;=5,"BOM","EXCELENTE")))</f>
        <v/>
      </c>
      <c r="N1584" t="n">
        <v>99.05</v>
      </c>
      <c r="O1584" t="n">
        <v>26.62192393736018</v>
      </c>
    </row>
    <row r="1585" hidden="1">
      <c r="A1585" s="11" t="n">
        <v>46050</v>
      </c>
      <c r="B1585" t="inlineStr">
        <is>
          <t>Isabella Borges de Oliveira</t>
        </is>
      </c>
      <c r="C1585" t="inlineStr">
        <is>
          <t>Técnico II</t>
        </is>
      </c>
      <c r="D1585" t="n">
        <v>36</v>
      </c>
      <c r="E1585" t="n">
        <v>34</v>
      </c>
      <c r="F1585" t="n">
        <v>18.46</v>
      </c>
      <c r="G1585" t="n">
        <v>0</v>
      </c>
      <c r="H1585" t="n">
        <v>0</v>
      </c>
      <c r="I1585" s="3">
        <f>E1585+G1585+H1585</f>
        <v/>
      </c>
      <c r="J1585" s="3">
        <f>ROUND(MIN(IF(C1585="Técnico III",35,IF(C1585="Técnico II",28,IF(C1585="Técnico I",23,IF(C1585="JR",20,IF(C1585="Estágio",10,0))))),IF(C1585="Técnico III",SUMIFS($D:$D,$A:$A,$A1585,$B:$B,"&lt;&gt;Patrícia Karla de Sousa Araújo",$B:$B,"&lt;&gt;Lorena Dias de Araujo",$B:$B,"&lt;&gt;Lucas Luiz Romero")*(35/1083),IF(C1585="Técnico II",SUMIFS($D:$D,$A:$A,$A1585,$B:$B,"&lt;&gt;Patrícia Karla de Sousa Araújo",$B:$B,"&lt;&gt;Lorena Dias de Araujo",$B:$B,"&lt;&gt;Lucas Luiz Romero")*(28/1083),IF(C1585="Técnico I",SUMIFS($D:$D,$A:$A,$A1585,$B:$B,"&lt;&gt;Patrícia Karla de Sousa Araújo",$B:$B,"&lt;&gt;Lorena Dias de Araujo",$B:$B,"&lt;&gt;Lucas Luiz Romero")*(23/1083),IF(C1585="JR",SUMIFS($D:$D,$A:$A,$A1585,$B:$B,"&lt;&gt;Patrícia Karla de Sousa Araújo",$B:$B,"&lt;&gt;Lorena Dias de Araujo",$B:$B,"&lt;&gt;Lucas Luiz Romero")*(20/1083),IF(C1585="Estágio",SUMIFS($D:$D,$A:$A,$A1585,$B:$B,"&lt;&gt;Patrícia Karla de Sousa Araújo",$B:$B,"&lt;&gt;Lorena Dias de Araujo",$B:$B,"&lt;&gt;Lucas Luiz Romero")*(10/1083),0)))))),0)</f>
        <v/>
      </c>
      <c r="K1585" s="3">
        <f>I1585-J1585</f>
        <v/>
      </c>
      <c r="L1585" s="3">
        <f>IF(K1585&lt;-5,"CRÍTICO",IF(K1585&lt;0,"ATENÇÃO",IF(K1585&lt;=5,"BOM","EXCELENTE")))</f>
        <v/>
      </c>
      <c r="M1585" t="n">
        <v>30</v>
      </c>
      <c r="N1585" t="n">
        <v>100</v>
      </c>
      <c r="O1585" t="n">
        <v>28.50574712643678</v>
      </c>
    </row>
    <row r="1586" hidden="1">
      <c r="A1586" s="11" t="n">
        <v>46050</v>
      </c>
      <c r="B1586" t="inlineStr">
        <is>
          <t>Janaina Lima dos Reis Urany</t>
        </is>
      </c>
      <c r="C1586" t="inlineStr">
        <is>
          <t>Técnico III</t>
        </is>
      </c>
      <c r="D1586" t="n">
        <v>55</v>
      </c>
      <c r="E1586" t="n">
        <v>50</v>
      </c>
      <c r="F1586" t="n">
        <v>11.53</v>
      </c>
      <c r="G1586" t="n">
        <v>0</v>
      </c>
      <c r="H1586" t="n">
        <v>0</v>
      </c>
      <c r="I1586" s="3">
        <f>E1586+G1586+H1586</f>
        <v/>
      </c>
      <c r="J1586" s="3">
        <f>ROUND(MIN(IF(C1586="Técnico III",35,IF(C1586="Técnico II",28,IF(C1586="Técnico I",23,IF(C1586="JR",20,IF(C1586="Estágio",10,0))))),IF(C1586="Técnico III",SUMIFS($D:$D,$A:$A,$A1586,$B:$B,"&lt;&gt;Patrícia Karla de Sousa Araújo",$B:$B,"&lt;&gt;Lorena Dias de Araujo",$B:$B,"&lt;&gt;Lucas Luiz Romero")*(35/1083),IF(C1586="Técnico II",SUMIFS($D:$D,$A:$A,$A1586,$B:$B,"&lt;&gt;Patrícia Karla de Sousa Araújo",$B:$B,"&lt;&gt;Lorena Dias de Araujo",$B:$B,"&lt;&gt;Lucas Luiz Romero")*(28/1083),IF(C1586="Técnico I",SUMIFS($D:$D,$A:$A,$A1586,$B:$B,"&lt;&gt;Patrícia Karla de Sousa Araújo",$B:$B,"&lt;&gt;Lorena Dias de Araujo",$B:$B,"&lt;&gt;Lucas Luiz Romero")*(23/1083),IF(C1586="JR",SUMIFS($D:$D,$A:$A,$A1586,$B:$B,"&lt;&gt;Patrícia Karla de Sousa Araújo",$B:$B,"&lt;&gt;Lorena Dias de Araujo",$B:$B,"&lt;&gt;Lucas Luiz Romero")*(20/1083),IF(C1586="Estágio",SUMIFS($D:$D,$A:$A,$A1586,$B:$B,"&lt;&gt;Patrícia Karla de Sousa Araújo",$B:$B,"&lt;&gt;Lorena Dias de Araujo",$B:$B,"&lt;&gt;Lucas Luiz Romero")*(10/1083),0)))))),0)</f>
        <v/>
      </c>
      <c r="K1586" s="3">
        <f>I1586-J1586</f>
        <v/>
      </c>
      <c r="L1586" s="3">
        <f>IF(K1586&lt;-5,"CRÍTICO",IF(K1586&lt;0,"ATENÇÃO",IF(K1586&lt;=5,"BOM","EXCELENTE")))</f>
        <v/>
      </c>
      <c r="M1586" t="n">
        <v>47</v>
      </c>
      <c r="N1586" t="n">
        <v>100</v>
      </c>
      <c r="O1586" t="n">
        <v>31.16691285081241</v>
      </c>
    </row>
    <row r="1587" hidden="1">
      <c r="A1587" s="11" t="n">
        <v>46050</v>
      </c>
      <c r="B1587" t="inlineStr">
        <is>
          <t>Jaqueline Evangelista da Silva Martins</t>
        </is>
      </c>
      <c r="C1587" t="inlineStr">
        <is>
          <t>Técnico III</t>
        </is>
      </c>
      <c r="D1587" t="n">
        <v>18</v>
      </c>
      <c r="E1587" t="n">
        <v>15</v>
      </c>
      <c r="F1587" t="n">
        <v>12.07</v>
      </c>
      <c r="G1587" t="n">
        <v>0</v>
      </c>
      <c r="H1587" t="n">
        <v>0</v>
      </c>
      <c r="I1587" s="3">
        <f>E1587+G1587+H1587</f>
        <v/>
      </c>
      <c r="J1587" s="3">
        <f>ROUND(MIN(IF(C1587="Técnico III",35,IF(C1587="Técnico II",28,IF(C1587="Técnico I",23,IF(C1587="JR",20,IF(C1587="Estágio",10,0))))),IF(C1587="Técnico III",SUMIFS($D:$D,$A:$A,$A1587,$B:$B,"&lt;&gt;Patrícia Karla de Sousa Araújo",$B:$B,"&lt;&gt;Lorena Dias de Araujo",$B:$B,"&lt;&gt;Lucas Luiz Romero")*(35/1083),IF(C1587="Técnico II",SUMIFS($D:$D,$A:$A,$A1587,$B:$B,"&lt;&gt;Patrícia Karla de Sousa Araújo",$B:$B,"&lt;&gt;Lorena Dias de Araujo",$B:$B,"&lt;&gt;Lucas Luiz Romero")*(28/1083),IF(C1587="Técnico I",SUMIFS($D:$D,$A:$A,$A1587,$B:$B,"&lt;&gt;Patrícia Karla de Sousa Araújo",$B:$B,"&lt;&gt;Lorena Dias de Araujo",$B:$B,"&lt;&gt;Lucas Luiz Romero")*(23/1083),IF(C1587="JR",SUMIFS($D:$D,$A:$A,$A1587,$B:$B,"&lt;&gt;Patrícia Karla de Sousa Araújo",$B:$B,"&lt;&gt;Lorena Dias de Araujo",$B:$B,"&lt;&gt;Lucas Luiz Romero")*(20/1083),IF(C1587="Estágio",SUMIFS($D:$D,$A:$A,$A1587,$B:$B,"&lt;&gt;Patrícia Karla de Sousa Araújo",$B:$B,"&lt;&gt;Lorena Dias de Araujo",$B:$B,"&lt;&gt;Lucas Luiz Romero")*(10/1083),0)))))),0)</f>
        <v/>
      </c>
      <c r="K1587" s="3">
        <f>I1587-J1587</f>
        <v/>
      </c>
      <c r="L1587" s="3">
        <f>IF(K1587&lt;-5,"CRÍTICO",IF(K1587&lt;0,"ATENÇÃO",IF(K1587&lt;=5,"BOM","EXCELENTE")))</f>
        <v/>
      </c>
      <c r="M1587" t="n">
        <v>16</v>
      </c>
      <c r="N1587" t="n">
        <v>100</v>
      </c>
      <c r="O1587" t="n">
        <v>28.73134328358209</v>
      </c>
    </row>
    <row r="1588" hidden="1">
      <c r="A1588" s="11" t="n">
        <v>46050</v>
      </c>
      <c r="B1588" t="inlineStr">
        <is>
          <t>Jessica Faria da Silveira</t>
        </is>
      </c>
      <c r="C1588" t="inlineStr">
        <is>
          <t>Técnico II</t>
        </is>
      </c>
      <c r="D1588" t="n">
        <v>47</v>
      </c>
      <c r="E1588" t="n">
        <v>38</v>
      </c>
      <c r="F1588" t="n">
        <v>12.23</v>
      </c>
      <c r="G1588" t="n">
        <v>0</v>
      </c>
      <c r="H1588" t="n">
        <v>0</v>
      </c>
      <c r="I1588" s="3">
        <f>E1588+G1588+H1588</f>
        <v/>
      </c>
      <c r="J1588" s="3">
        <f>ROUND(MIN(IF(C1588="Técnico III",35,IF(C1588="Técnico II",28,IF(C1588="Técnico I",23,IF(C1588="JR",20,IF(C1588="Estágio",10,0))))),IF(C1588="Técnico III",SUMIFS($D:$D,$A:$A,$A1588,$B:$B,"&lt;&gt;Patrícia Karla de Sousa Araújo",$B:$B,"&lt;&gt;Lorena Dias de Araujo",$B:$B,"&lt;&gt;Lucas Luiz Romero")*(35/1083),IF(C1588="Técnico II",SUMIFS($D:$D,$A:$A,$A1588,$B:$B,"&lt;&gt;Patrícia Karla de Sousa Araújo",$B:$B,"&lt;&gt;Lorena Dias de Araujo",$B:$B,"&lt;&gt;Lucas Luiz Romero")*(28/1083),IF(C1588="Técnico I",SUMIFS($D:$D,$A:$A,$A1588,$B:$B,"&lt;&gt;Patrícia Karla de Sousa Araújo",$B:$B,"&lt;&gt;Lorena Dias de Araujo",$B:$B,"&lt;&gt;Lucas Luiz Romero")*(23/1083),IF(C1588="JR",SUMIFS($D:$D,$A:$A,$A1588,$B:$B,"&lt;&gt;Patrícia Karla de Sousa Araújo",$B:$B,"&lt;&gt;Lorena Dias de Araujo",$B:$B,"&lt;&gt;Lucas Luiz Romero")*(20/1083),IF(C1588="Estágio",SUMIFS($D:$D,$A:$A,$A1588,$B:$B,"&lt;&gt;Patrícia Karla de Sousa Araújo",$B:$B,"&lt;&gt;Lorena Dias de Araujo",$B:$B,"&lt;&gt;Lucas Luiz Romero")*(10/1083),0)))))),0)</f>
        <v/>
      </c>
      <c r="K1588" s="3">
        <f>I1588-J1588</f>
        <v/>
      </c>
      <c r="L1588" s="3">
        <f>IF(K1588&lt;-5,"CRÍTICO",IF(K1588&lt;0,"ATENÇÃO",IF(K1588&lt;=5,"BOM","EXCELENTE")))</f>
        <v/>
      </c>
      <c r="M1588" t="n">
        <v>37</v>
      </c>
      <c r="N1588" t="n">
        <v>96.26000000000001</v>
      </c>
      <c r="O1588" t="n">
        <v>28.85085574572127</v>
      </c>
    </row>
    <row r="1589" hidden="1">
      <c r="A1589" s="11" t="n">
        <v>46050</v>
      </c>
      <c r="B1589" t="inlineStr">
        <is>
          <t>Jéssica Fé Moura</t>
        </is>
      </c>
      <c r="C1589" t="inlineStr">
        <is>
          <t>Técnico III</t>
        </is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s="3" t="n">
        <v>0</v>
      </c>
      <c r="J1589" s="3" t="n">
        <v>0</v>
      </c>
      <c r="K1589" s="3" t="n">
        <v>0</v>
      </c>
      <c r="L1589" s="3">
        <f>IF(K1589&lt;-5,"CRÍTICO",IF(K1589&lt;0,"ATENÇÃO",IF(K1589&lt;=5,"BOM","EXCELENTE")))</f>
        <v/>
      </c>
      <c r="M1589" t="n">
        <v>0</v>
      </c>
      <c r="N1589" t="n">
        <v>100</v>
      </c>
      <c r="O1589" t="n">
        <v>33.98058252427185</v>
      </c>
    </row>
    <row r="1590" hidden="1">
      <c r="A1590" s="11" t="n">
        <v>46050</v>
      </c>
      <c r="B1590" t="inlineStr">
        <is>
          <t>Karina Gonçalves Martins</t>
        </is>
      </c>
      <c r="C1590" t="inlineStr">
        <is>
          <t>JR</t>
        </is>
      </c>
      <c r="D1590" t="n">
        <v>9</v>
      </c>
      <c r="E1590" t="n">
        <v>9</v>
      </c>
      <c r="F1590" t="n">
        <v>23.36</v>
      </c>
      <c r="G1590" t="n">
        <v>0</v>
      </c>
      <c r="H1590" t="n">
        <v>0</v>
      </c>
      <c r="I1590" s="3">
        <f>E1590+G1590+H1590</f>
        <v/>
      </c>
      <c r="J1590" s="3">
        <f>ROUND(MIN(IF(C1590="Técnico III",35,IF(C1590="Técnico II",28,IF(C1590="Técnico I",23,IF(C1590="JR",20,IF(C1590="Estágio",10,0))))),IF(C1590="Técnico III",SUMIFS($D:$D,$A:$A,$A1590,$B:$B,"&lt;&gt;Patrícia Karla de Sousa Araújo",$B:$B,"&lt;&gt;Lorena Dias de Araujo",$B:$B,"&lt;&gt;Lucas Luiz Romero")*(35/1083),IF(C1590="Técnico II",SUMIFS($D:$D,$A:$A,$A1590,$B:$B,"&lt;&gt;Patrícia Karla de Sousa Araújo",$B:$B,"&lt;&gt;Lorena Dias de Araujo",$B:$B,"&lt;&gt;Lucas Luiz Romero")*(28/1083),IF(C1590="Técnico I",SUMIFS($D:$D,$A:$A,$A1590,$B:$B,"&lt;&gt;Patrícia Karla de Sousa Araújo",$B:$B,"&lt;&gt;Lorena Dias de Araujo",$B:$B,"&lt;&gt;Lucas Luiz Romero")*(23/1083),IF(C1590="JR",SUMIFS($D:$D,$A:$A,$A1590,$B:$B,"&lt;&gt;Patrícia Karla de Sousa Araújo",$B:$B,"&lt;&gt;Lorena Dias de Araujo",$B:$B,"&lt;&gt;Lucas Luiz Romero")*(20/1083),IF(C1590="Estágio",SUMIFS($D:$D,$A:$A,$A1590,$B:$B,"&lt;&gt;Patrícia Karla de Sousa Araújo",$B:$B,"&lt;&gt;Lorena Dias de Araujo",$B:$B,"&lt;&gt;Lucas Luiz Romero")*(10/1083),0)))))),0)</f>
        <v/>
      </c>
      <c r="K1590" s="3">
        <f>I1590-J1590</f>
        <v/>
      </c>
      <c r="L1590" s="3">
        <f>IF(K1590&lt;-5,"CRÍTICO",IF(K1590&lt;0,"ATENÇÃO",IF(K1590&lt;=5,"BOM","EXCELENTE")))</f>
        <v/>
      </c>
      <c r="M1590" t="n">
        <v>10</v>
      </c>
      <c r="N1590" t="n">
        <v>97.56</v>
      </c>
      <c r="O1590" t="n">
        <v>33.57142857142857</v>
      </c>
    </row>
    <row r="1591" hidden="1">
      <c r="A1591" s="11" t="n">
        <v>46050</v>
      </c>
      <c r="B1591" t="inlineStr">
        <is>
          <t>Kerollen Cristielly de Jesus Siqueira</t>
        </is>
      </c>
      <c r="C1591" t="inlineStr">
        <is>
          <t>Técnico III</t>
        </is>
      </c>
      <c r="D1591" t="n">
        <v>18</v>
      </c>
      <c r="E1591" t="n">
        <v>18</v>
      </c>
      <c r="F1591" t="n">
        <v>19.17</v>
      </c>
      <c r="G1591" t="n">
        <v>0</v>
      </c>
      <c r="H1591" t="n">
        <v>0</v>
      </c>
      <c r="I1591" s="3">
        <f>E1591+G1591+H1591</f>
        <v/>
      </c>
      <c r="J1591" s="3">
        <f>ROUND(MIN(IF(C1591="Técnico III",35,IF(C1591="Técnico II",28,IF(C1591="Técnico I",23,IF(C1591="JR",20,IF(C1591="Estágio",10,0))))),IF(C1591="Técnico III",SUMIFS($D:$D,$A:$A,$A1591,$B:$B,"&lt;&gt;Patrícia Karla de Sousa Araújo",$B:$B,"&lt;&gt;Lorena Dias de Araujo",$B:$B,"&lt;&gt;Lucas Luiz Romero")*(35/1083),IF(C1591="Técnico II",SUMIFS($D:$D,$A:$A,$A1591,$B:$B,"&lt;&gt;Patrícia Karla de Sousa Araújo",$B:$B,"&lt;&gt;Lorena Dias de Araujo",$B:$B,"&lt;&gt;Lucas Luiz Romero")*(28/1083),IF(C1591="Técnico I",SUMIFS($D:$D,$A:$A,$A1591,$B:$B,"&lt;&gt;Patrícia Karla de Sousa Araújo",$B:$B,"&lt;&gt;Lorena Dias de Araujo",$B:$B,"&lt;&gt;Lucas Luiz Romero")*(23/1083),IF(C1591="JR",SUMIFS($D:$D,$A:$A,$A1591,$B:$B,"&lt;&gt;Patrícia Karla de Sousa Araújo",$B:$B,"&lt;&gt;Lorena Dias de Araujo",$B:$B,"&lt;&gt;Lucas Luiz Romero")*(20/1083),IF(C1591="Estágio",SUMIFS($D:$D,$A:$A,$A1591,$B:$B,"&lt;&gt;Patrícia Karla de Sousa Araújo",$B:$B,"&lt;&gt;Lorena Dias de Araujo",$B:$B,"&lt;&gt;Lucas Luiz Romero")*(10/1083),0)))))),0)</f>
        <v/>
      </c>
      <c r="K1591" s="3">
        <f>I1591-J1591</f>
        <v/>
      </c>
      <c r="L1591" s="3">
        <f>IF(K1591&lt;-5,"CRÍTICO",IF(K1591&lt;0,"ATENÇÃO",IF(K1591&lt;=5,"BOM","EXCELENTE")))</f>
        <v/>
      </c>
      <c r="M1591" t="n">
        <v>18</v>
      </c>
      <c r="N1591" t="n">
        <v>96.91</v>
      </c>
      <c r="O1591" t="n">
        <v>38.78627968337731</v>
      </c>
    </row>
    <row r="1592" hidden="1">
      <c r="A1592" s="11" t="n">
        <v>46050</v>
      </c>
      <c r="B1592" t="inlineStr">
        <is>
          <t>Leandro de Souza Silva</t>
        </is>
      </c>
      <c r="C1592" t="inlineStr">
        <is>
          <t>JR</t>
        </is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s="3" t="n">
        <v>0</v>
      </c>
      <c r="J1592" s="3" t="n">
        <v>0</v>
      </c>
      <c r="K1592" s="3" t="n">
        <v>0</v>
      </c>
      <c r="L1592" s="3">
        <f>IF(K1592&lt;-5,"CRÍTICO",IF(K1592&lt;0,"ATENÇÃO",IF(K1592&lt;=5,"BOM","EXCELENTE")))</f>
        <v/>
      </c>
      <c r="M1592" t="n">
        <v>0</v>
      </c>
      <c r="N1592" t="n">
        <v>0</v>
      </c>
      <c r="O1592" t="n">
        <v>0</v>
      </c>
    </row>
    <row r="1593" hidden="1">
      <c r="A1593" s="11" t="n">
        <v>46050</v>
      </c>
      <c r="B1593" t="inlineStr">
        <is>
          <t>Leandro Oliveira de Sousa</t>
        </is>
      </c>
      <c r="C1593" t="inlineStr">
        <is>
          <t>Técnico III</t>
        </is>
      </c>
      <c r="D1593" t="n">
        <v>29</v>
      </c>
      <c r="E1593" t="n">
        <v>26</v>
      </c>
      <c r="F1593" t="n">
        <v>17.18</v>
      </c>
      <c r="G1593" t="n">
        <v>0</v>
      </c>
      <c r="H1593" t="n">
        <v>0</v>
      </c>
      <c r="I1593" s="3">
        <f>E1593+G1593+H1593</f>
        <v/>
      </c>
      <c r="J1593" s="3">
        <f>ROUND(MIN(IF(C1593="Técnico III",35,IF(C1593="Técnico II",28,IF(C1593="Técnico I",23,IF(C1593="JR",20,IF(C1593="Estágio",10,0))))),IF(C1593="Técnico III",SUMIFS($D:$D,$A:$A,$A1593,$B:$B,"&lt;&gt;Patrícia Karla de Sousa Araújo",$B:$B,"&lt;&gt;Lorena Dias de Araujo",$B:$B,"&lt;&gt;Lucas Luiz Romero")*(35/1083),IF(C1593="Técnico II",SUMIFS($D:$D,$A:$A,$A1593,$B:$B,"&lt;&gt;Patrícia Karla de Sousa Araújo",$B:$B,"&lt;&gt;Lorena Dias de Araujo",$B:$B,"&lt;&gt;Lucas Luiz Romero")*(28/1083),IF(C1593="Técnico I",SUMIFS($D:$D,$A:$A,$A1593,$B:$B,"&lt;&gt;Patrícia Karla de Sousa Araújo",$B:$B,"&lt;&gt;Lorena Dias de Araujo",$B:$B,"&lt;&gt;Lucas Luiz Romero")*(23/1083),IF(C1593="JR",SUMIFS($D:$D,$A:$A,$A1593,$B:$B,"&lt;&gt;Patrícia Karla de Sousa Araújo",$B:$B,"&lt;&gt;Lorena Dias de Araujo",$B:$B,"&lt;&gt;Lucas Luiz Romero")*(20/1083),IF(C1593="Estágio",SUMIFS($D:$D,$A:$A,$A1593,$B:$B,"&lt;&gt;Patrícia Karla de Sousa Araújo",$B:$B,"&lt;&gt;Lorena Dias de Araujo",$B:$B,"&lt;&gt;Lucas Luiz Romero")*(10/1083),0)))))),0)</f>
        <v/>
      </c>
      <c r="K1593" s="3">
        <f>I1593-J1593</f>
        <v/>
      </c>
      <c r="L1593" s="3">
        <f>IF(K1593&lt;-5,"CRÍTICO",IF(K1593&lt;0,"ATENÇÃO",IF(K1593&lt;=5,"BOM","EXCELENTE")))</f>
        <v/>
      </c>
      <c r="M1593" t="n">
        <v>28</v>
      </c>
      <c r="N1593" t="n">
        <v>100</v>
      </c>
      <c r="O1593" t="n">
        <v>29.51945080091533</v>
      </c>
    </row>
    <row r="1594" hidden="1">
      <c r="A1594" s="11" t="n">
        <v>46050</v>
      </c>
      <c r="B1594" t="inlineStr">
        <is>
          <t>Lizandra Gomes Duarte</t>
        </is>
      </c>
      <c r="C1594" t="inlineStr">
        <is>
          <t>Técnico II</t>
        </is>
      </c>
      <c r="D1594" t="n">
        <v>35</v>
      </c>
      <c r="E1594" t="n">
        <v>30</v>
      </c>
      <c r="F1594" t="n">
        <v>16.51</v>
      </c>
      <c r="G1594" t="n">
        <v>0</v>
      </c>
      <c r="H1594" t="n">
        <v>0</v>
      </c>
      <c r="I1594" s="3">
        <f>E1594+G1594+H1594</f>
        <v/>
      </c>
      <c r="J1594" s="3">
        <f>ROUND(MIN(IF(C1594="Técnico III",35,IF(C1594="Técnico II",28,IF(C1594="Técnico I",23,IF(C1594="JR",20,IF(C1594="Estágio",10,0))))),IF(C1594="Técnico III",SUMIFS($D:$D,$A:$A,$A1594,$B:$B,"&lt;&gt;Patrícia Karla de Sousa Araújo",$B:$B,"&lt;&gt;Lorena Dias de Araujo",$B:$B,"&lt;&gt;Lucas Luiz Romero")*(35/1083),IF(C1594="Técnico II",SUMIFS($D:$D,$A:$A,$A1594,$B:$B,"&lt;&gt;Patrícia Karla de Sousa Araújo",$B:$B,"&lt;&gt;Lorena Dias de Araujo",$B:$B,"&lt;&gt;Lucas Luiz Romero")*(28/1083),IF(C1594="Técnico I",SUMIFS($D:$D,$A:$A,$A1594,$B:$B,"&lt;&gt;Patrícia Karla de Sousa Araújo",$B:$B,"&lt;&gt;Lorena Dias de Araujo",$B:$B,"&lt;&gt;Lucas Luiz Romero")*(23/1083),IF(C1594="JR",SUMIFS($D:$D,$A:$A,$A1594,$B:$B,"&lt;&gt;Patrícia Karla de Sousa Araújo",$B:$B,"&lt;&gt;Lorena Dias de Araujo",$B:$B,"&lt;&gt;Lucas Luiz Romero")*(20/1083),IF(C1594="Estágio",SUMIFS($D:$D,$A:$A,$A1594,$B:$B,"&lt;&gt;Patrícia Karla de Sousa Araújo",$B:$B,"&lt;&gt;Lorena Dias de Araujo",$B:$B,"&lt;&gt;Lucas Luiz Romero")*(10/1083),0)))))),0)</f>
        <v/>
      </c>
      <c r="K1594" s="3">
        <f>I1594-J1594</f>
        <v/>
      </c>
      <c r="L1594" s="3">
        <f>IF(K1594&lt;-5,"CRÍTICO",IF(K1594&lt;0,"ATENÇÃO",IF(K1594&lt;=5,"BOM","EXCELENTE")))</f>
        <v/>
      </c>
      <c r="M1594" t="n">
        <v>25</v>
      </c>
      <c r="N1594" t="n">
        <v>100</v>
      </c>
      <c r="O1594" t="n">
        <v>34.66981132075472</v>
      </c>
    </row>
    <row r="1595" hidden="1">
      <c r="A1595" s="11" t="n">
        <v>46050</v>
      </c>
      <c r="B1595" t="inlineStr">
        <is>
          <t>Lorena Dias de Araujo</t>
        </is>
      </c>
      <c r="C1595" t="inlineStr">
        <is>
          <t>Técnico II</t>
        </is>
      </c>
      <c r="D1595" t="n">
        <v>42</v>
      </c>
      <c r="E1595" t="n">
        <v>40</v>
      </c>
      <c r="F1595" t="n">
        <v>13.55</v>
      </c>
      <c r="G1595" t="n">
        <v>0</v>
      </c>
      <c r="H1595" t="n">
        <v>0</v>
      </c>
      <c r="I1595" s="3" t="n">
        <v>0</v>
      </c>
      <c r="J1595" s="3" t="n">
        <v>0</v>
      </c>
      <c r="K1595" s="3" t="n">
        <v>0</v>
      </c>
      <c r="L1595" s="3">
        <f>IF(K1595&lt;-5,"CRÍTICO",IF(K1595&lt;0,"ATENÇÃO",IF(K1595&lt;=5,"BOM","EXCELENTE")))</f>
        <v/>
      </c>
      <c r="M1595" t="n">
        <v>35</v>
      </c>
      <c r="N1595" t="n">
        <v>98.2</v>
      </c>
      <c r="O1595" t="n">
        <v>32.37597911227154</v>
      </c>
    </row>
    <row r="1596" hidden="1">
      <c r="A1596" s="11" t="n">
        <v>46050</v>
      </c>
      <c r="B1596" t="inlineStr">
        <is>
          <t>Lucas Luiz Romero</t>
        </is>
      </c>
      <c r="C1596" t="inlineStr">
        <is>
          <t>Técnico III</t>
        </is>
      </c>
      <c r="D1596" t="n">
        <v>137</v>
      </c>
      <c r="E1596" t="n">
        <v>28</v>
      </c>
      <c r="F1596" t="n">
        <v>2.36</v>
      </c>
      <c r="G1596" t="n">
        <v>0</v>
      </c>
      <c r="H1596" t="n">
        <v>0</v>
      </c>
      <c r="I1596" s="3">
        <f>E1596+G1596+H1596</f>
        <v/>
      </c>
      <c r="J1596" s="3">
        <f>ROUND(MIN(IF(C1596="Técnico III",35,IF(C1596="Técnico II",28,IF(C1596="Técnico I",23,IF(C1596="JR",20,IF(C1596="Estágio",10,0))))),IF(C1596="Técnico III",SUMIFS($D:$D,$A:$A,$A1596,$B:$B,"&lt;&gt;Patrícia Karla de Sousa Araújo",$B:$B,"&lt;&gt;Lorena Dias de Araujo",$B:$B,"&lt;&gt;Lucas Luiz Romero")*(35/1083),IF(C1596="Técnico II",SUMIFS($D:$D,$A:$A,$A1596,$B:$B,"&lt;&gt;Patrícia Karla de Sousa Araújo",$B:$B,"&lt;&gt;Lorena Dias de Araujo",$B:$B,"&lt;&gt;Lucas Luiz Romero")*(28/1083),IF(C1596="Técnico I",SUMIFS($D:$D,$A:$A,$A1596,$B:$B,"&lt;&gt;Patrícia Karla de Sousa Araújo",$B:$B,"&lt;&gt;Lorena Dias de Araujo",$B:$B,"&lt;&gt;Lucas Luiz Romero")*(23/1083),IF(C1596="JR",SUMIFS($D:$D,$A:$A,$A1596,$B:$B,"&lt;&gt;Patrícia Karla de Sousa Araújo",$B:$B,"&lt;&gt;Lorena Dias de Araujo",$B:$B,"&lt;&gt;Lucas Luiz Romero")*(20/1083),IF(C1596="Estágio",SUMIFS($D:$D,$A:$A,$A1596,$B:$B,"&lt;&gt;Patrícia Karla de Sousa Araújo",$B:$B,"&lt;&gt;Lorena Dias de Araujo",$B:$B,"&lt;&gt;Lucas Luiz Romero")*(10/1083),0)))))),0)</f>
        <v/>
      </c>
      <c r="K1596" s="3">
        <f>I1596-J1596</f>
        <v/>
      </c>
      <c r="L1596" s="3">
        <f>IF(K1596&lt;-5,"CRÍTICO",IF(K1596&lt;0,"ATENÇÃO",IF(K1596&lt;=5,"BOM","EXCELENTE")))</f>
        <v/>
      </c>
      <c r="M1596" t="n">
        <v>13</v>
      </c>
      <c r="N1596" t="n">
        <v>97.25</v>
      </c>
      <c r="O1596" t="n">
        <v>27.35632183908046</v>
      </c>
    </row>
    <row r="1597" hidden="1">
      <c r="A1597" s="11" t="n">
        <v>46050</v>
      </c>
      <c r="B1597" t="inlineStr">
        <is>
          <t>Luiz Fernando de Carvalho Junior</t>
        </is>
      </c>
      <c r="C1597" t="inlineStr">
        <is>
          <t>Técnico I</t>
        </is>
      </c>
      <c r="D1597" t="n">
        <v>19</v>
      </c>
      <c r="E1597" t="n">
        <v>19</v>
      </c>
      <c r="F1597" t="n">
        <v>22.33</v>
      </c>
      <c r="G1597" t="n">
        <v>0</v>
      </c>
      <c r="H1597" t="n">
        <v>0</v>
      </c>
      <c r="I1597" s="3">
        <f>E1597+G1597+H1597</f>
        <v/>
      </c>
      <c r="J1597" s="3">
        <f>ROUND(MIN(IF(C1597="Técnico III",35,IF(C1597="Técnico II",28,IF(C1597="Técnico I",23,IF(C1597="JR",20,IF(C1597="Estágio",10,0))))),IF(C1597="Técnico III",SUMIFS($D:$D,$A:$A,$A1597,$B:$B,"&lt;&gt;Patrícia Karla de Sousa Araújo",$B:$B,"&lt;&gt;Lorena Dias de Araujo",$B:$B,"&lt;&gt;Lucas Luiz Romero")*(35/1083),IF(C1597="Técnico II",SUMIFS($D:$D,$A:$A,$A1597,$B:$B,"&lt;&gt;Patrícia Karla de Sousa Araújo",$B:$B,"&lt;&gt;Lorena Dias de Araujo",$B:$B,"&lt;&gt;Lucas Luiz Romero")*(28/1083),IF(C1597="Técnico I",SUMIFS($D:$D,$A:$A,$A1597,$B:$B,"&lt;&gt;Patrícia Karla de Sousa Araújo",$B:$B,"&lt;&gt;Lorena Dias de Araujo",$B:$B,"&lt;&gt;Lucas Luiz Romero")*(23/1083),IF(C1597="JR",SUMIFS($D:$D,$A:$A,$A1597,$B:$B,"&lt;&gt;Patrícia Karla de Sousa Araújo",$B:$B,"&lt;&gt;Lorena Dias de Araujo",$B:$B,"&lt;&gt;Lucas Luiz Romero")*(20/1083),IF(C1597="Estágio",SUMIFS($D:$D,$A:$A,$A1597,$B:$B,"&lt;&gt;Patrícia Karla de Sousa Araújo",$B:$B,"&lt;&gt;Lorena Dias de Araujo",$B:$B,"&lt;&gt;Lucas Luiz Romero")*(10/1083),0)))))),0)</f>
        <v/>
      </c>
      <c r="K1597" s="3">
        <f>I1597-J1597</f>
        <v/>
      </c>
      <c r="L1597" s="3">
        <f>IF(K1597&lt;-5,"CRÍTICO",IF(K1597&lt;0,"ATENÇÃO",IF(K1597&lt;=5,"BOM","EXCELENTE")))</f>
        <v/>
      </c>
      <c r="M1597" t="n">
        <v>16</v>
      </c>
      <c r="N1597" t="n">
        <v>98.77</v>
      </c>
      <c r="O1597" t="n">
        <v>28.78787878787879</v>
      </c>
    </row>
    <row r="1598" hidden="1">
      <c r="A1598" s="11" t="n">
        <v>46050</v>
      </c>
      <c r="B1598" t="inlineStr">
        <is>
          <t>Maria Eduarda Sousa Costa</t>
        </is>
      </c>
      <c r="C1598" t="inlineStr">
        <is>
          <t>Estágio</t>
        </is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s="3" t="n">
        <v>0</v>
      </c>
      <c r="J1598" s="3" t="n">
        <v>0</v>
      </c>
      <c r="K1598" s="3" t="n">
        <v>0</v>
      </c>
      <c r="L1598" s="3">
        <f>IF(K1598&lt;-5,"CRÍTICO",IF(K1598&lt;0,"ATENÇÃO",IF(K1598&lt;=5,"BOM","EXCELENTE")))</f>
        <v/>
      </c>
      <c r="M1598" t="n">
        <v>0</v>
      </c>
      <c r="N1598" t="n">
        <v>100</v>
      </c>
      <c r="O1598" t="n">
        <v>35.16483516483517</v>
      </c>
    </row>
    <row r="1599" hidden="1">
      <c r="A1599" s="11" t="n">
        <v>46050</v>
      </c>
      <c r="B1599" t="inlineStr">
        <is>
          <t>Matheus Farias De Souza</t>
        </is>
      </c>
      <c r="C1599" t="inlineStr">
        <is>
          <t>Técnico III</t>
        </is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s="3" t="n">
        <v>0</v>
      </c>
      <c r="J1599" s="3" t="n">
        <v>0</v>
      </c>
      <c r="K1599" s="3" t="n">
        <v>0</v>
      </c>
      <c r="L1599" s="3">
        <f>IF(K1599&lt;-5,"CRÍTICO",IF(K1599&lt;0,"ATENÇÃO",IF(K1599&lt;=5,"BOM","EXCELENTE")))</f>
        <v/>
      </c>
      <c r="M1599" t="n">
        <v>0</v>
      </c>
      <c r="N1599" t="n">
        <v>100</v>
      </c>
      <c r="O1599" t="n">
        <v>27.43362831858407</v>
      </c>
    </row>
    <row r="1600" hidden="1">
      <c r="A1600" s="11" t="n">
        <v>46050</v>
      </c>
      <c r="B1600" t="inlineStr">
        <is>
          <t>Maysa Victoria Dias Moura</t>
        </is>
      </c>
      <c r="C1600" t="inlineStr">
        <is>
          <t>Técnico III</t>
        </is>
      </c>
      <c r="D1600" t="n">
        <v>49</v>
      </c>
      <c r="E1600" t="n">
        <v>42</v>
      </c>
      <c r="F1600" t="n">
        <v>10.25</v>
      </c>
      <c r="G1600" t="n">
        <v>0</v>
      </c>
      <c r="H1600" t="n">
        <v>0</v>
      </c>
      <c r="I1600" s="3">
        <f>E1600+G1600+H1600</f>
        <v/>
      </c>
      <c r="J1600" s="3">
        <f>ROUND(MIN(IF(C1600="Técnico III",35,IF(C1600="Técnico II",28,IF(C1600="Técnico I",23,IF(C1600="JR",20,IF(C1600="Estágio",10,0))))),IF(C1600="Técnico III",SUMIFS($D:$D,$A:$A,$A1600,$B:$B,"&lt;&gt;Patrícia Karla de Sousa Araújo",$B:$B,"&lt;&gt;Lorena Dias de Araujo",$B:$B,"&lt;&gt;Lucas Luiz Romero")*(35/1083),IF(C1600="Técnico II",SUMIFS($D:$D,$A:$A,$A1600,$B:$B,"&lt;&gt;Patrícia Karla de Sousa Araújo",$B:$B,"&lt;&gt;Lorena Dias de Araujo",$B:$B,"&lt;&gt;Lucas Luiz Romero")*(28/1083),IF(C1600="Técnico I",SUMIFS($D:$D,$A:$A,$A1600,$B:$B,"&lt;&gt;Patrícia Karla de Sousa Araújo",$B:$B,"&lt;&gt;Lorena Dias de Araujo",$B:$B,"&lt;&gt;Lucas Luiz Romero")*(23/1083),IF(C1600="JR",SUMIFS($D:$D,$A:$A,$A1600,$B:$B,"&lt;&gt;Patrícia Karla de Sousa Araújo",$B:$B,"&lt;&gt;Lorena Dias de Araujo",$B:$B,"&lt;&gt;Lucas Luiz Romero")*(20/1083),IF(C1600="Estágio",SUMIFS($D:$D,$A:$A,$A1600,$B:$B,"&lt;&gt;Patrícia Karla de Sousa Araújo",$B:$B,"&lt;&gt;Lorena Dias de Araujo",$B:$B,"&lt;&gt;Lucas Luiz Romero")*(10/1083),0)))))),0)</f>
        <v/>
      </c>
      <c r="K1600" s="3">
        <f>I1600-J1600</f>
        <v/>
      </c>
      <c r="L1600" s="3">
        <f>IF(K1600&lt;-5,"CRÍTICO",IF(K1600&lt;0,"ATENÇÃO",IF(K1600&lt;=5,"BOM","EXCELENTE")))</f>
        <v/>
      </c>
      <c r="M1600" t="n">
        <v>31</v>
      </c>
      <c r="N1600" t="n">
        <v>98.51000000000001</v>
      </c>
      <c r="O1600" t="n">
        <v>30.42596348884382</v>
      </c>
    </row>
    <row r="1601" hidden="1">
      <c r="A1601" s="11" t="n">
        <v>46050</v>
      </c>
      <c r="B1601" t="inlineStr">
        <is>
          <t>Michelle G Santos</t>
        </is>
      </c>
      <c r="C1601" t="inlineStr">
        <is>
          <t>Estágio</t>
        </is>
      </c>
      <c r="D1601" t="n">
        <v>8</v>
      </c>
      <c r="E1601" t="n">
        <v>7</v>
      </c>
      <c r="F1601" t="n">
        <v>37.04</v>
      </c>
      <c r="G1601" t="n">
        <v>0</v>
      </c>
      <c r="H1601" t="n">
        <v>0</v>
      </c>
      <c r="I1601" s="3">
        <f>E1601+G1601+H1601</f>
        <v/>
      </c>
      <c r="J1601" s="3">
        <f>ROUND(MIN(IF(C1601="Técnico III",35,IF(C1601="Técnico II",28,IF(C1601="Técnico I",23,IF(C1601="JR",20,IF(C1601="Estágio",10,0))))),IF(C1601="Técnico III",SUMIFS($D:$D,$A:$A,$A1601,$B:$B,"&lt;&gt;Patrícia Karla de Sousa Araújo",$B:$B,"&lt;&gt;Lorena Dias de Araujo",$B:$B,"&lt;&gt;Lucas Luiz Romero")*(35/1083),IF(C1601="Técnico II",SUMIFS($D:$D,$A:$A,$A1601,$B:$B,"&lt;&gt;Patrícia Karla de Sousa Araújo",$B:$B,"&lt;&gt;Lorena Dias de Araujo",$B:$B,"&lt;&gt;Lucas Luiz Romero")*(28/1083),IF(C1601="Técnico I",SUMIFS($D:$D,$A:$A,$A1601,$B:$B,"&lt;&gt;Patrícia Karla de Sousa Araújo",$B:$B,"&lt;&gt;Lorena Dias de Araujo",$B:$B,"&lt;&gt;Lucas Luiz Romero")*(23/1083),IF(C1601="JR",SUMIFS($D:$D,$A:$A,$A1601,$B:$B,"&lt;&gt;Patrícia Karla de Sousa Araújo",$B:$B,"&lt;&gt;Lorena Dias de Araujo",$B:$B,"&lt;&gt;Lucas Luiz Romero")*(20/1083),IF(C1601="Estágio",SUMIFS($D:$D,$A:$A,$A1601,$B:$B,"&lt;&gt;Patrícia Karla de Sousa Araújo",$B:$B,"&lt;&gt;Lorena Dias de Araujo",$B:$B,"&lt;&gt;Lucas Luiz Romero")*(10/1083),0)))))),0)</f>
        <v/>
      </c>
      <c r="K1601" s="3">
        <f>I1601-J1601</f>
        <v/>
      </c>
      <c r="L1601" s="3">
        <f>IF(K1601&lt;-5,"CRÍTICO",IF(K1601&lt;0,"ATENÇÃO",IF(K1601&lt;=5,"BOM","EXCELENTE")))</f>
        <v/>
      </c>
      <c r="M1601" t="n">
        <v>3</v>
      </c>
      <c r="N1601" t="n">
        <v>100</v>
      </c>
      <c r="O1601" t="n">
        <v>11.11111111111111</v>
      </c>
    </row>
    <row r="1602" hidden="1">
      <c r="A1602" s="11" t="n">
        <v>46050</v>
      </c>
      <c r="B1602" t="inlineStr">
        <is>
          <t>Milena Sales</t>
        </is>
      </c>
      <c r="C1602" t="inlineStr">
        <is>
          <t>JR</t>
        </is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s="3" t="n">
        <v>0</v>
      </c>
      <c r="J1602" s="3" t="n">
        <v>0</v>
      </c>
      <c r="K1602" s="3" t="n">
        <v>0</v>
      </c>
      <c r="L1602" s="3">
        <f>IF(K1602&lt;-5,"CRÍTICO",IF(K1602&lt;0,"ATENÇÃO",IF(K1602&lt;=5,"BOM","EXCELENTE")))</f>
        <v/>
      </c>
      <c r="M1602" t="n">
        <v>0</v>
      </c>
      <c r="N1602" t="n">
        <v>0</v>
      </c>
      <c r="O1602" t="n">
        <v>0</v>
      </c>
    </row>
    <row r="1603" hidden="1">
      <c r="A1603" s="11" t="n">
        <v>46050</v>
      </c>
      <c r="B1603" t="inlineStr">
        <is>
          <t>Patrícia Karla de Sousa Araújo</t>
        </is>
      </c>
      <c r="C1603" t="inlineStr">
        <is>
          <t>Técnico II</t>
        </is>
      </c>
      <c r="D1603" t="n">
        <v>30</v>
      </c>
      <c r="E1603" t="n">
        <v>30</v>
      </c>
      <c r="F1603" t="n">
        <v>18.43</v>
      </c>
      <c r="G1603" t="n">
        <v>0</v>
      </c>
      <c r="H1603" t="n">
        <v>0</v>
      </c>
      <c r="I1603" s="3">
        <f>E1603+G1603+H1603</f>
        <v/>
      </c>
      <c r="J1603" s="3">
        <f>ROUND(MIN(IF(C1603="Técnico III",35,IF(C1603="Técnico II",28,IF(C1603="Técnico I",23,IF(C1603="JR",20,IF(C1603="Estágio",10,0))))),IF(C1603="Técnico III",SUMIFS($D:$D,$A:$A,$A1603,$B:$B,"&lt;&gt;Patrícia Karla de Sousa Araújo",$B:$B,"&lt;&gt;Lorena Dias de Araujo",$B:$B,"&lt;&gt;Lucas Luiz Romero")*(35/1083),IF(C1603="Técnico II",SUMIFS($D:$D,$A:$A,$A1603,$B:$B,"&lt;&gt;Patrícia Karla de Sousa Araújo",$B:$B,"&lt;&gt;Lorena Dias de Araujo",$B:$B,"&lt;&gt;Lucas Luiz Romero")*(28/1083),IF(C1603="Técnico I",SUMIFS($D:$D,$A:$A,$A1603,$B:$B,"&lt;&gt;Patrícia Karla de Sousa Araújo",$B:$B,"&lt;&gt;Lorena Dias de Araujo",$B:$B,"&lt;&gt;Lucas Luiz Romero")*(23/1083),IF(C1603="JR",SUMIFS($D:$D,$A:$A,$A1603,$B:$B,"&lt;&gt;Patrícia Karla de Sousa Araújo",$B:$B,"&lt;&gt;Lorena Dias de Araujo",$B:$B,"&lt;&gt;Lucas Luiz Romero")*(20/1083),IF(C1603="Estágio",SUMIFS($D:$D,$A:$A,$A1603,$B:$B,"&lt;&gt;Patrícia Karla de Sousa Araújo",$B:$B,"&lt;&gt;Lorena Dias de Araujo",$B:$B,"&lt;&gt;Lucas Luiz Romero")*(10/1083),0)))))),0)</f>
        <v/>
      </c>
      <c r="K1603" s="3">
        <f>I1603-J1603</f>
        <v/>
      </c>
      <c r="L1603" s="3">
        <f>IF(K1603&lt;-5,"CRÍTICO",IF(K1603&lt;0,"ATENÇÃO",IF(K1603&lt;=5,"BOM","EXCELENTE")))</f>
        <v/>
      </c>
      <c r="M1603" t="n">
        <v>25</v>
      </c>
      <c r="N1603" t="n">
        <v>97.14</v>
      </c>
      <c r="O1603" t="n">
        <v>30.99415204678363</v>
      </c>
    </row>
    <row r="1604" hidden="1">
      <c r="A1604" s="11" t="n">
        <v>46050</v>
      </c>
      <c r="B1604" t="inlineStr">
        <is>
          <t>Paulo Ricardo Santos</t>
        </is>
      </c>
      <c r="C1604" t="inlineStr">
        <is>
          <t>JR</t>
        </is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s="3" t="n">
        <v>0</v>
      </c>
      <c r="J1604" s="3" t="n">
        <v>0</v>
      </c>
      <c r="K1604" s="3" t="n">
        <v>0</v>
      </c>
      <c r="L1604" s="3">
        <f>IF(K1604&lt;-5,"CRÍTICO",IF(K1604&lt;0,"ATENÇÃO",IF(K1604&lt;=5,"BOM","EXCELENTE")))</f>
        <v/>
      </c>
      <c r="M1604" t="n">
        <v>0</v>
      </c>
      <c r="N1604" t="n">
        <v>0</v>
      </c>
      <c r="O1604" t="n">
        <v>0</v>
      </c>
    </row>
    <row r="1605" hidden="1">
      <c r="A1605" s="11" t="n">
        <v>46050</v>
      </c>
      <c r="B1605" t="inlineStr">
        <is>
          <t>Pedro Luiz Mota Sousa</t>
        </is>
      </c>
      <c r="C1605" t="inlineStr">
        <is>
          <t>JR</t>
        </is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s="3" t="n">
        <v>0</v>
      </c>
      <c r="J1605" s="3" t="n">
        <v>0</v>
      </c>
      <c r="K1605" s="3" t="n">
        <v>0</v>
      </c>
      <c r="L1605" s="3">
        <f>IF(K1605&lt;-5,"CRÍTICO",IF(K1605&lt;0,"ATENÇÃO",IF(K1605&lt;=5,"BOM","EXCELENTE")))</f>
        <v/>
      </c>
      <c r="M1605" t="n">
        <v>0</v>
      </c>
      <c r="N1605" t="n">
        <v>0</v>
      </c>
      <c r="O1605" t="n">
        <v>0</v>
      </c>
    </row>
    <row r="1606" hidden="1">
      <c r="A1606" s="11" t="n">
        <v>46050</v>
      </c>
      <c r="B1606" t="inlineStr">
        <is>
          <t>Quirino Diogo Leite Torres</t>
        </is>
      </c>
      <c r="C1606" t="inlineStr">
        <is>
          <t>Estágio</t>
        </is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s="3" t="n">
        <v>0</v>
      </c>
      <c r="J1606" s="3" t="n">
        <v>0</v>
      </c>
      <c r="K1606" s="3" t="n">
        <v>0</v>
      </c>
      <c r="L1606" s="3">
        <f>IF(K1606&lt;-5,"CRÍTICO",IF(K1606&lt;0,"ATENÇÃO",IF(K1606&lt;=5,"BOM","EXCELENTE")))</f>
        <v/>
      </c>
      <c r="M1606" t="n">
        <v>0</v>
      </c>
      <c r="N1606" t="n">
        <v>0</v>
      </c>
      <c r="O1606" t="n">
        <v>0</v>
      </c>
    </row>
    <row r="1607" hidden="1">
      <c r="A1607" s="11" t="n">
        <v>46050</v>
      </c>
      <c r="B1607" t="inlineStr">
        <is>
          <t>Raane Batista Matos</t>
        </is>
      </c>
      <c r="C1607" t="inlineStr">
        <is>
          <t>Técnico I</t>
        </is>
      </c>
      <c r="D1607" t="n">
        <v>2</v>
      </c>
      <c r="E1607" t="n">
        <v>2</v>
      </c>
      <c r="F1607" t="n">
        <v>13.56</v>
      </c>
      <c r="G1607" t="n">
        <v>0</v>
      </c>
      <c r="H1607" t="n">
        <v>0</v>
      </c>
      <c r="I1607" s="3">
        <f>E1607+G1607+H1607</f>
        <v/>
      </c>
      <c r="J1607" s="3">
        <f>ROUND(MIN(IF(C1607="Técnico III",35,IF(C1607="Técnico II",28,IF(C1607="Técnico I",23,IF(C1607="JR",20,IF(C1607="Estágio",10,0))))),IF(C1607="Técnico III",SUMIFS($D:$D,$A:$A,$A1607,$B:$B,"&lt;&gt;Patrícia Karla de Sousa Araújo",$B:$B,"&lt;&gt;Lorena Dias de Araujo",$B:$B,"&lt;&gt;Lucas Luiz Romero")*(35/1083),IF(C1607="Técnico II",SUMIFS($D:$D,$A:$A,$A1607,$B:$B,"&lt;&gt;Patrícia Karla de Sousa Araújo",$B:$B,"&lt;&gt;Lorena Dias de Araujo",$B:$B,"&lt;&gt;Lucas Luiz Romero")*(28/1083),IF(C1607="Técnico I",SUMIFS($D:$D,$A:$A,$A1607,$B:$B,"&lt;&gt;Patrícia Karla de Sousa Araújo",$B:$B,"&lt;&gt;Lorena Dias de Araujo",$B:$B,"&lt;&gt;Lucas Luiz Romero")*(23/1083),IF(C1607="JR",SUMIFS($D:$D,$A:$A,$A1607,$B:$B,"&lt;&gt;Patrícia Karla de Sousa Araújo",$B:$B,"&lt;&gt;Lorena Dias de Araujo",$B:$B,"&lt;&gt;Lucas Luiz Romero")*(20/1083),IF(C1607="Estágio",SUMIFS($D:$D,$A:$A,$A1607,$B:$B,"&lt;&gt;Patrícia Karla de Sousa Araújo",$B:$B,"&lt;&gt;Lorena Dias de Araujo",$B:$B,"&lt;&gt;Lucas Luiz Romero")*(10/1083),0)))))),0)</f>
        <v/>
      </c>
      <c r="K1607" s="3">
        <f>I1607-J1607</f>
        <v/>
      </c>
      <c r="L1607" s="3">
        <f>IF(K1607&lt;-5,"CRÍTICO",IF(K1607&lt;0,"ATENÇÃO",IF(K1607&lt;=5,"BOM","EXCELENTE")))</f>
        <v/>
      </c>
      <c r="M1607" t="n">
        <v>2</v>
      </c>
      <c r="N1607" t="n">
        <v>0</v>
      </c>
      <c r="O1607" t="n">
        <v>100</v>
      </c>
    </row>
    <row r="1608" hidden="1">
      <c r="A1608" s="11" t="n">
        <v>46050</v>
      </c>
      <c r="B1608" t="inlineStr">
        <is>
          <t>Rafael Gomes de Morais</t>
        </is>
      </c>
      <c r="C1608" t="inlineStr">
        <is>
          <t>Técnico III</t>
        </is>
      </c>
      <c r="D1608" t="n">
        <v>39</v>
      </c>
      <c r="E1608" t="n">
        <v>36</v>
      </c>
      <c r="F1608" t="n">
        <v>14.18</v>
      </c>
      <c r="G1608" t="n">
        <v>0</v>
      </c>
      <c r="H1608" t="n">
        <v>0</v>
      </c>
      <c r="I1608" s="3">
        <f>E1608+G1608+H1608</f>
        <v/>
      </c>
      <c r="J1608" s="3">
        <f>ROUND(MIN(IF(C1608="Técnico III",35,IF(C1608="Técnico II",28,IF(C1608="Técnico I",23,IF(C1608="JR",20,IF(C1608="Estágio",10,0))))),IF(C1608="Técnico III",SUMIFS($D:$D,$A:$A,$A1608,$B:$B,"&lt;&gt;Patrícia Karla de Sousa Araújo",$B:$B,"&lt;&gt;Lorena Dias de Araujo",$B:$B,"&lt;&gt;Lucas Luiz Romero")*(35/1083),IF(C1608="Técnico II",SUMIFS($D:$D,$A:$A,$A1608,$B:$B,"&lt;&gt;Patrícia Karla de Sousa Araújo",$B:$B,"&lt;&gt;Lorena Dias de Araujo",$B:$B,"&lt;&gt;Lucas Luiz Romero")*(28/1083),IF(C1608="Técnico I",SUMIFS($D:$D,$A:$A,$A1608,$B:$B,"&lt;&gt;Patrícia Karla de Sousa Araújo",$B:$B,"&lt;&gt;Lorena Dias de Araujo",$B:$B,"&lt;&gt;Lucas Luiz Romero")*(23/1083),IF(C1608="JR",SUMIFS($D:$D,$A:$A,$A1608,$B:$B,"&lt;&gt;Patrícia Karla de Sousa Araújo",$B:$B,"&lt;&gt;Lorena Dias de Araujo",$B:$B,"&lt;&gt;Lucas Luiz Romero")*(20/1083),IF(C1608="Estágio",SUMIFS($D:$D,$A:$A,$A1608,$B:$B,"&lt;&gt;Patrícia Karla de Sousa Araújo",$B:$B,"&lt;&gt;Lorena Dias de Araujo",$B:$B,"&lt;&gt;Lucas Luiz Romero")*(10/1083),0)))))),0)</f>
        <v/>
      </c>
      <c r="K1608" s="3">
        <f>I1608-J1608</f>
        <v/>
      </c>
      <c r="L1608" s="3">
        <f>IF(K1608&lt;-5,"CRÍTICO",IF(K1608&lt;0,"ATENÇÃO",IF(K1608&lt;=5,"BOM","EXCELENTE")))</f>
        <v/>
      </c>
      <c r="M1608" t="n">
        <v>40</v>
      </c>
      <c r="N1608" t="n">
        <v>100</v>
      </c>
      <c r="O1608" t="n">
        <v>47.08520179372198</v>
      </c>
    </row>
    <row r="1609" hidden="1">
      <c r="A1609" s="11" t="n">
        <v>46050</v>
      </c>
      <c r="B1609" t="inlineStr">
        <is>
          <t>Sara Maria Monteiro Lopes</t>
        </is>
      </c>
      <c r="C1609" t="inlineStr">
        <is>
          <t>Técnico I</t>
        </is>
      </c>
      <c r="D1609" t="n">
        <v>13</v>
      </c>
      <c r="E1609" t="n">
        <v>13</v>
      </c>
      <c r="F1609" t="n">
        <v>40.5</v>
      </c>
      <c r="G1609" t="n">
        <v>0</v>
      </c>
      <c r="H1609" t="n">
        <v>0</v>
      </c>
      <c r="I1609" s="3">
        <f>E1609+G1609+H1609</f>
        <v/>
      </c>
      <c r="J1609" s="3">
        <f>ROUND(MIN(IF(C1609="Técnico III",35,IF(C1609="Técnico II",28,IF(C1609="Técnico I",23,IF(C1609="JR",20,IF(C1609="Estágio",10,0))))),IF(C1609="Técnico III",SUMIFS($D:$D,$A:$A,$A1609,$B:$B,"&lt;&gt;Patrícia Karla de Sousa Araújo",$B:$B,"&lt;&gt;Lorena Dias de Araujo",$B:$B,"&lt;&gt;Lucas Luiz Romero")*(35/1083),IF(C1609="Técnico II",SUMIFS($D:$D,$A:$A,$A1609,$B:$B,"&lt;&gt;Patrícia Karla de Sousa Araújo",$B:$B,"&lt;&gt;Lorena Dias de Araujo",$B:$B,"&lt;&gt;Lucas Luiz Romero")*(28/1083),IF(C1609="Técnico I",SUMIFS($D:$D,$A:$A,$A1609,$B:$B,"&lt;&gt;Patrícia Karla de Sousa Araújo",$B:$B,"&lt;&gt;Lorena Dias de Araujo",$B:$B,"&lt;&gt;Lucas Luiz Romero")*(23/1083),IF(C1609="JR",SUMIFS($D:$D,$A:$A,$A1609,$B:$B,"&lt;&gt;Patrícia Karla de Sousa Araújo",$B:$B,"&lt;&gt;Lorena Dias de Araujo",$B:$B,"&lt;&gt;Lucas Luiz Romero")*(20/1083),IF(C1609="Estágio",SUMIFS($D:$D,$A:$A,$A1609,$B:$B,"&lt;&gt;Patrícia Karla de Sousa Araújo",$B:$B,"&lt;&gt;Lorena Dias de Araujo",$B:$B,"&lt;&gt;Lucas Luiz Romero")*(10/1083),0)))))),0)</f>
        <v/>
      </c>
      <c r="K1609" s="3">
        <f>I1609-J1609</f>
        <v/>
      </c>
      <c r="L1609" s="3">
        <f>IF(K1609&lt;-5,"CRÍTICO",IF(K1609&lt;0,"ATENÇÃO",IF(K1609&lt;=5,"BOM","EXCELENTE")))</f>
        <v/>
      </c>
      <c r="M1609" t="n">
        <v>7</v>
      </c>
      <c r="N1609" t="n">
        <v>100</v>
      </c>
      <c r="O1609" t="n">
        <v>31.85840707964602</v>
      </c>
    </row>
    <row r="1610" hidden="1">
      <c r="A1610" s="11" t="n">
        <v>46050</v>
      </c>
      <c r="B1610" t="inlineStr">
        <is>
          <t>Sarah Steffanie de Lima Borges</t>
        </is>
      </c>
      <c r="C1610" t="inlineStr">
        <is>
          <t>Técnico III</t>
        </is>
      </c>
      <c r="D1610" t="n">
        <v>30</v>
      </c>
      <c r="E1610" t="n">
        <v>30</v>
      </c>
      <c r="F1610" t="n">
        <v>17.19</v>
      </c>
      <c r="G1610" t="n">
        <v>0</v>
      </c>
      <c r="H1610" t="n">
        <v>0</v>
      </c>
      <c r="I1610" s="3">
        <f>E1610+G1610+H1610</f>
        <v/>
      </c>
      <c r="J1610" s="3">
        <f>ROUND(MIN(IF(C1610="Técnico III",35,IF(C1610="Técnico II",28,IF(C1610="Técnico I",23,IF(C1610="JR",20,IF(C1610="Estágio",10,0))))),IF(C1610="Técnico III",SUMIFS($D:$D,$A:$A,$A1610,$B:$B,"&lt;&gt;Patrícia Karla de Sousa Araújo",$B:$B,"&lt;&gt;Lorena Dias de Araujo",$B:$B,"&lt;&gt;Lucas Luiz Romero")*(35/1083),IF(C1610="Técnico II",SUMIFS($D:$D,$A:$A,$A1610,$B:$B,"&lt;&gt;Patrícia Karla de Sousa Araújo",$B:$B,"&lt;&gt;Lorena Dias de Araujo",$B:$B,"&lt;&gt;Lucas Luiz Romero")*(28/1083),IF(C1610="Técnico I",SUMIFS($D:$D,$A:$A,$A1610,$B:$B,"&lt;&gt;Patrícia Karla de Sousa Araújo",$B:$B,"&lt;&gt;Lorena Dias de Araujo",$B:$B,"&lt;&gt;Lucas Luiz Romero")*(23/1083),IF(C1610="JR",SUMIFS($D:$D,$A:$A,$A1610,$B:$B,"&lt;&gt;Patrícia Karla de Sousa Araújo",$B:$B,"&lt;&gt;Lorena Dias de Araujo",$B:$B,"&lt;&gt;Lucas Luiz Romero")*(20/1083),IF(C1610="Estágio",SUMIFS($D:$D,$A:$A,$A1610,$B:$B,"&lt;&gt;Patrícia Karla de Sousa Araújo",$B:$B,"&lt;&gt;Lorena Dias de Araujo",$B:$B,"&lt;&gt;Lucas Luiz Romero")*(10/1083),0)))))),0)</f>
        <v/>
      </c>
      <c r="K1610" s="3">
        <f>I1610-J1610</f>
        <v/>
      </c>
      <c r="L1610" s="3">
        <f>IF(K1610&lt;-5,"CRÍTICO",IF(K1610&lt;0,"ATENÇÃO",IF(K1610&lt;=5,"BOM","EXCELENTE")))</f>
        <v/>
      </c>
      <c r="M1610" t="n">
        <v>27</v>
      </c>
      <c r="N1610" t="n">
        <v>99.14</v>
      </c>
      <c r="O1610" t="n">
        <v>28.08988764044944</v>
      </c>
    </row>
    <row r="1611" hidden="1">
      <c r="A1611" s="11" t="n">
        <v>46051</v>
      </c>
      <c r="B1611" t="inlineStr">
        <is>
          <t>Alisson de Freitas Silva</t>
        </is>
      </c>
      <c r="C1611" t="inlineStr">
        <is>
          <t>Técnico II</t>
        </is>
      </c>
      <c r="D1611" t="n">
        <v>26</v>
      </c>
      <c r="E1611" t="n">
        <v>22</v>
      </c>
      <c r="F1611" t="n">
        <v>15.41</v>
      </c>
      <c r="G1611" t="n">
        <v>0</v>
      </c>
      <c r="H1611" t="n">
        <v>0</v>
      </c>
      <c r="I1611" s="3">
        <f>E1611+G1611+H1611</f>
        <v/>
      </c>
      <c r="J1611" s="3">
        <f>ROUND(MIN(IF(C1611="Técnico III",35,IF(C1611="Técnico II",28,IF(C1611="Técnico I",23,IF(C1611="JR",20,IF(C1611="Estágio",10,0))))),IF(C1611="Técnico III",SUMIFS($D:$D,$A:$A,$A1611,$B:$B,"&lt;&gt;Patrícia Karla de Sousa Araújo",$B:$B,"&lt;&gt;Lorena Dias de Araujo",$B:$B,"&lt;&gt;Lucas Luiz Romero")*(35/1083),IF(C1611="Técnico II",SUMIFS($D:$D,$A:$A,$A1611,$B:$B,"&lt;&gt;Patrícia Karla de Sousa Araújo",$B:$B,"&lt;&gt;Lorena Dias de Araujo",$B:$B,"&lt;&gt;Lucas Luiz Romero")*(28/1083),IF(C1611="Técnico I",SUMIFS($D:$D,$A:$A,$A1611,$B:$B,"&lt;&gt;Patrícia Karla de Sousa Araújo",$B:$B,"&lt;&gt;Lorena Dias de Araujo",$B:$B,"&lt;&gt;Lucas Luiz Romero")*(23/1083),IF(C1611="JR",SUMIFS($D:$D,$A:$A,$A1611,$B:$B,"&lt;&gt;Patrícia Karla de Sousa Araújo",$B:$B,"&lt;&gt;Lorena Dias de Araujo",$B:$B,"&lt;&gt;Lucas Luiz Romero")*(20/1083),IF(C1611="Estágio",SUMIFS($D:$D,$A:$A,$A1611,$B:$B,"&lt;&gt;Patrícia Karla de Sousa Araújo",$B:$B,"&lt;&gt;Lorena Dias de Araujo",$B:$B,"&lt;&gt;Lucas Luiz Romero")*(10/1083),0)))))),0)</f>
        <v/>
      </c>
      <c r="K1611" s="3">
        <f>I1611-J1611</f>
        <v/>
      </c>
      <c r="L1611" s="3">
        <f>IF(K1611&lt;-5,"CRÍTICO",IF(K1611&lt;0,"ATENÇÃO",IF(K1611&lt;=5,"BOM","EXCELENTE")))</f>
        <v/>
      </c>
      <c r="M1611" t="n">
        <v>21</v>
      </c>
      <c r="N1611" t="n">
        <v>96.73999999999999</v>
      </c>
      <c r="O1611" t="n">
        <v>27.83505154639175</v>
      </c>
    </row>
    <row r="1612" hidden="1">
      <c r="A1612" s="11" t="n">
        <v>46051</v>
      </c>
      <c r="B1612" t="inlineStr">
        <is>
          <t>Amanda Moura Ferreira</t>
        </is>
      </c>
      <c r="C1612" t="inlineStr">
        <is>
          <t>Técnico III</t>
        </is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s="3" t="n">
        <v>0</v>
      </c>
      <c r="J1612" s="3" t="n">
        <v>0</v>
      </c>
      <c r="K1612" s="3" t="n">
        <v>0</v>
      </c>
      <c r="L1612" s="3">
        <f>IF(K1612&lt;-5,"CRÍTICO",IF(K1612&lt;0,"ATENÇÃO",IF(K1612&lt;=5,"BOM","EXCELENTE")))</f>
        <v/>
      </c>
      <c r="M1612" t="n">
        <v>28</v>
      </c>
      <c r="N1612" t="n">
        <v>98.67</v>
      </c>
      <c r="O1612" t="n">
        <v>36.04166666666666</v>
      </c>
    </row>
    <row r="1613" hidden="1">
      <c r="A1613" s="11" t="n">
        <v>46051</v>
      </c>
      <c r="B1613" t="inlineStr">
        <is>
          <t>Ana Karollyne Souza Faria</t>
        </is>
      </c>
      <c r="C1613" t="inlineStr">
        <is>
          <t>Técnico I</t>
        </is>
      </c>
      <c r="D1613" t="n">
        <v>33</v>
      </c>
      <c r="E1613" t="n">
        <v>28</v>
      </c>
      <c r="F1613" t="n">
        <v>15.09</v>
      </c>
      <c r="G1613" t="n">
        <v>0</v>
      </c>
      <c r="H1613" t="n">
        <v>0</v>
      </c>
      <c r="I1613" s="3">
        <f>E1613+G1613+H1613</f>
        <v/>
      </c>
      <c r="J1613" s="3">
        <f>ROUND(MIN(IF(C1613="Técnico III",35,IF(C1613="Técnico II",28,IF(C1613="Técnico I",23,IF(C1613="JR",20,IF(C1613="Estágio",10,0))))),IF(C1613="Técnico III",SUMIFS($D:$D,$A:$A,$A1613,$B:$B,"&lt;&gt;Patrícia Karla de Sousa Araújo",$B:$B,"&lt;&gt;Lorena Dias de Araujo",$B:$B,"&lt;&gt;Lucas Luiz Romero")*(35/1083),IF(C1613="Técnico II",SUMIFS($D:$D,$A:$A,$A1613,$B:$B,"&lt;&gt;Patrícia Karla de Sousa Araújo",$B:$B,"&lt;&gt;Lorena Dias de Araujo",$B:$B,"&lt;&gt;Lucas Luiz Romero")*(28/1083),IF(C1613="Técnico I",SUMIFS($D:$D,$A:$A,$A1613,$B:$B,"&lt;&gt;Patrícia Karla de Sousa Araújo",$B:$B,"&lt;&gt;Lorena Dias de Araujo",$B:$B,"&lt;&gt;Lucas Luiz Romero")*(23/1083),IF(C1613="JR",SUMIFS($D:$D,$A:$A,$A1613,$B:$B,"&lt;&gt;Patrícia Karla de Sousa Araújo",$B:$B,"&lt;&gt;Lorena Dias de Araujo",$B:$B,"&lt;&gt;Lucas Luiz Romero")*(20/1083),IF(C1613="Estágio",SUMIFS($D:$D,$A:$A,$A1613,$B:$B,"&lt;&gt;Patrícia Karla de Sousa Araújo",$B:$B,"&lt;&gt;Lorena Dias de Araujo",$B:$B,"&lt;&gt;Lucas Luiz Romero")*(10/1083),0)))))),0)</f>
        <v/>
      </c>
      <c r="K1613" s="3">
        <f>I1613-J1613</f>
        <v/>
      </c>
      <c r="L1613" s="3">
        <f>IF(K1613&lt;-5,"CRÍTICO",IF(K1613&lt;0,"ATENÇÃO",IF(K1613&lt;=5,"BOM","EXCELENTE")))</f>
        <v/>
      </c>
      <c r="M1613" t="n">
        <v>29</v>
      </c>
      <c r="N1613" t="n">
        <v>98.28</v>
      </c>
      <c r="O1613" t="n">
        <v>26.68112798264642</v>
      </c>
    </row>
    <row r="1614" hidden="1">
      <c r="A1614" s="11" t="n">
        <v>46051</v>
      </c>
      <c r="B1614" t="inlineStr">
        <is>
          <t>Ana Paula Da Luz Silva Aleixo</t>
        </is>
      </c>
      <c r="C1614" t="inlineStr">
        <is>
          <t>Técnico III</t>
        </is>
      </c>
      <c r="D1614" t="n">
        <v>32</v>
      </c>
      <c r="E1614" t="n">
        <v>27</v>
      </c>
      <c r="F1614" t="n">
        <v>17.06</v>
      </c>
      <c r="G1614" t="n">
        <v>0</v>
      </c>
      <c r="H1614" t="n">
        <v>0</v>
      </c>
      <c r="I1614" s="3">
        <f>E1614+G1614+H1614</f>
        <v/>
      </c>
      <c r="J1614" s="3">
        <f>ROUND(MIN(IF(C1614="Técnico III",35,IF(C1614="Técnico II",28,IF(C1614="Técnico I",23,IF(C1614="JR",20,IF(C1614="Estágio",10,0))))),IF(C1614="Técnico III",SUMIFS($D:$D,$A:$A,$A1614,$B:$B,"&lt;&gt;Patrícia Karla de Sousa Araújo",$B:$B,"&lt;&gt;Lorena Dias de Araujo",$B:$B,"&lt;&gt;Lucas Luiz Romero")*(35/1083),IF(C1614="Técnico II",SUMIFS($D:$D,$A:$A,$A1614,$B:$B,"&lt;&gt;Patrícia Karla de Sousa Araújo",$B:$B,"&lt;&gt;Lorena Dias de Araujo",$B:$B,"&lt;&gt;Lucas Luiz Romero")*(28/1083),IF(C1614="Técnico I",SUMIFS($D:$D,$A:$A,$A1614,$B:$B,"&lt;&gt;Patrícia Karla de Sousa Araújo",$B:$B,"&lt;&gt;Lorena Dias de Araujo",$B:$B,"&lt;&gt;Lucas Luiz Romero")*(23/1083),IF(C1614="JR",SUMIFS($D:$D,$A:$A,$A1614,$B:$B,"&lt;&gt;Patrícia Karla de Sousa Araújo",$B:$B,"&lt;&gt;Lorena Dias de Araujo",$B:$B,"&lt;&gt;Lucas Luiz Romero")*(20/1083),IF(C1614="Estágio",SUMIFS($D:$D,$A:$A,$A1614,$B:$B,"&lt;&gt;Patrícia Karla de Sousa Araújo",$B:$B,"&lt;&gt;Lorena Dias de Araujo",$B:$B,"&lt;&gt;Lucas Luiz Romero")*(10/1083),0)))))),0)</f>
        <v/>
      </c>
      <c r="K1614" s="3">
        <f>I1614-J1614</f>
        <v/>
      </c>
      <c r="L1614" s="3">
        <f>IF(K1614&lt;-5,"CRÍTICO",IF(K1614&lt;0,"ATENÇÃO",IF(K1614&lt;=5,"BOM","EXCELENTE")))</f>
        <v/>
      </c>
      <c r="M1614" t="n">
        <v>21</v>
      </c>
      <c r="N1614" t="n">
        <v>99.18000000000001</v>
      </c>
      <c r="O1614" t="n">
        <v>28.15964523281596</v>
      </c>
    </row>
    <row r="1615" hidden="1">
      <c r="A1615" s="11" t="n">
        <v>46051</v>
      </c>
      <c r="B1615" t="inlineStr">
        <is>
          <t>Anna Luiza Rezende Tavares</t>
        </is>
      </c>
      <c r="C1615" t="inlineStr">
        <is>
          <t>Estágio</t>
        </is>
      </c>
      <c r="D1615" t="n">
        <v>11</v>
      </c>
      <c r="E1615" t="n">
        <v>10</v>
      </c>
      <c r="F1615" t="n">
        <v>29.13</v>
      </c>
      <c r="G1615" t="n">
        <v>0</v>
      </c>
      <c r="H1615" t="n">
        <v>0</v>
      </c>
      <c r="I1615" s="3">
        <f>E1615+G1615+H1615</f>
        <v/>
      </c>
      <c r="J1615" s="3">
        <f>ROUND(MIN(IF(C1615="Técnico III",35,IF(C1615="Técnico II",28,IF(C1615="Técnico I",23,IF(C1615="JR",20,IF(C1615="Estágio",10,0))))),IF(C1615="Técnico III",SUMIFS($D:$D,$A:$A,$A1615,$B:$B,"&lt;&gt;Patrícia Karla de Sousa Araújo",$B:$B,"&lt;&gt;Lorena Dias de Araujo",$B:$B,"&lt;&gt;Lucas Luiz Romero")*(35/1083),IF(C1615="Técnico II",SUMIFS($D:$D,$A:$A,$A1615,$B:$B,"&lt;&gt;Patrícia Karla de Sousa Araújo",$B:$B,"&lt;&gt;Lorena Dias de Araujo",$B:$B,"&lt;&gt;Lucas Luiz Romero")*(28/1083),IF(C1615="Técnico I",SUMIFS($D:$D,$A:$A,$A1615,$B:$B,"&lt;&gt;Patrícia Karla de Sousa Araújo",$B:$B,"&lt;&gt;Lorena Dias de Araujo",$B:$B,"&lt;&gt;Lucas Luiz Romero")*(23/1083),IF(C1615="JR",SUMIFS($D:$D,$A:$A,$A1615,$B:$B,"&lt;&gt;Patrícia Karla de Sousa Araújo",$B:$B,"&lt;&gt;Lorena Dias de Araujo",$B:$B,"&lt;&gt;Lucas Luiz Romero")*(20/1083),IF(C1615="Estágio",SUMIFS($D:$D,$A:$A,$A1615,$B:$B,"&lt;&gt;Patrícia Karla de Sousa Araújo",$B:$B,"&lt;&gt;Lorena Dias de Araujo",$B:$B,"&lt;&gt;Lucas Luiz Romero")*(10/1083),0)))))),0)</f>
        <v/>
      </c>
      <c r="K1615" s="3">
        <f>I1615-J1615</f>
        <v/>
      </c>
      <c r="L1615" s="3">
        <f>IF(K1615&lt;-5,"CRÍTICO",IF(K1615&lt;0,"ATENÇÃO",IF(K1615&lt;=5,"BOM","EXCELENTE")))</f>
        <v/>
      </c>
      <c r="M1615" t="n">
        <v>8</v>
      </c>
      <c r="N1615" t="n">
        <v>100</v>
      </c>
      <c r="O1615" t="n">
        <v>39.56834532374101</v>
      </c>
    </row>
    <row r="1616" hidden="1">
      <c r="A1616" s="11" t="n">
        <v>46051</v>
      </c>
      <c r="B1616" t="inlineStr">
        <is>
          <t>Brenda de Menezes Silva</t>
        </is>
      </c>
      <c r="C1616" t="inlineStr">
        <is>
          <t>Técnico II</t>
        </is>
      </c>
      <c r="D1616" t="n">
        <v>33</v>
      </c>
      <c r="E1616" t="n">
        <v>28</v>
      </c>
      <c r="F1616" t="n">
        <v>13.55</v>
      </c>
      <c r="G1616" t="n">
        <v>0</v>
      </c>
      <c r="H1616" t="n">
        <v>0</v>
      </c>
      <c r="I1616" s="3">
        <f>E1616+G1616+H1616</f>
        <v/>
      </c>
      <c r="J1616" s="3">
        <f>ROUND(MIN(IF(C1616="Técnico III",35,IF(C1616="Técnico II",28,IF(C1616="Técnico I",23,IF(C1616="JR",20,IF(C1616="Estágio",10,0))))),IF(C1616="Técnico III",SUMIFS($D:$D,$A:$A,$A1616,$B:$B,"&lt;&gt;Patrícia Karla de Sousa Araújo",$B:$B,"&lt;&gt;Lorena Dias de Araujo",$B:$B,"&lt;&gt;Lucas Luiz Romero")*(35/1083),IF(C1616="Técnico II",SUMIFS($D:$D,$A:$A,$A1616,$B:$B,"&lt;&gt;Patrícia Karla de Sousa Araújo",$B:$B,"&lt;&gt;Lorena Dias de Araujo",$B:$B,"&lt;&gt;Lucas Luiz Romero")*(28/1083),IF(C1616="Técnico I",SUMIFS($D:$D,$A:$A,$A1616,$B:$B,"&lt;&gt;Patrícia Karla de Sousa Araújo",$B:$B,"&lt;&gt;Lorena Dias de Araujo",$B:$B,"&lt;&gt;Lucas Luiz Romero")*(23/1083),IF(C1616="JR",SUMIFS($D:$D,$A:$A,$A1616,$B:$B,"&lt;&gt;Patrícia Karla de Sousa Araújo",$B:$B,"&lt;&gt;Lorena Dias de Araujo",$B:$B,"&lt;&gt;Lucas Luiz Romero")*(20/1083),IF(C1616="Estágio",SUMIFS($D:$D,$A:$A,$A1616,$B:$B,"&lt;&gt;Patrícia Karla de Sousa Araújo",$B:$B,"&lt;&gt;Lorena Dias de Araujo",$B:$B,"&lt;&gt;Lucas Luiz Romero")*(10/1083),0)))))),0)</f>
        <v/>
      </c>
      <c r="K1616" s="3">
        <f>I1616-J1616</f>
        <v/>
      </c>
      <c r="L1616" s="3">
        <f>IF(K1616&lt;-5,"CRÍTICO",IF(K1616&lt;0,"ATENÇÃO",IF(K1616&lt;=5,"BOM","EXCELENTE")))</f>
        <v/>
      </c>
      <c r="M1616" t="n">
        <v>30</v>
      </c>
      <c r="N1616" t="n">
        <v>98.51000000000001</v>
      </c>
      <c r="O1616" t="n">
        <v>28.59922178988327</v>
      </c>
    </row>
    <row r="1617" hidden="1">
      <c r="A1617" s="11" t="n">
        <v>46051</v>
      </c>
      <c r="B1617" t="inlineStr">
        <is>
          <t>Carlos Mateus Cassimiro Nunes</t>
        </is>
      </c>
      <c r="C1617" t="inlineStr">
        <is>
          <t>Técnico II</t>
        </is>
      </c>
      <c r="D1617" t="n">
        <v>32</v>
      </c>
      <c r="E1617" t="n">
        <v>29</v>
      </c>
      <c r="F1617" t="n">
        <v>18.49</v>
      </c>
      <c r="G1617" t="n">
        <v>0</v>
      </c>
      <c r="H1617" t="n">
        <v>0</v>
      </c>
      <c r="I1617" s="3">
        <f>E1617+G1617+H1617</f>
        <v/>
      </c>
      <c r="J1617" s="3">
        <f>ROUND(MIN(IF(C1617="Técnico III",35,IF(C1617="Técnico II",28,IF(C1617="Técnico I",23,IF(C1617="JR",20,IF(C1617="Estágio",10,0))))),IF(C1617="Técnico III",SUMIFS($D:$D,$A:$A,$A1617,$B:$B,"&lt;&gt;Patrícia Karla de Sousa Araújo",$B:$B,"&lt;&gt;Lorena Dias de Araujo",$B:$B,"&lt;&gt;Lucas Luiz Romero")*(35/1083),IF(C1617="Técnico II",SUMIFS($D:$D,$A:$A,$A1617,$B:$B,"&lt;&gt;Patrícia Karla de Sousa Araújo",$B:$B,"&lt;&gt;Lorena Dias de Araujo",$B:$B,"&lt;&gt;Lucas Luiz Romero")*(28/1083),IF(C1617="Técnico I",SUMIFS($D:$D,$A:$A,$A1617,$B:$B,"&lt;&gt;Patrícia Karla de Sousa Araújo",$B:$B,"&lt;&gt;Lorena Dias de Araujo",$B:$B,"&lt;&gt;Lucas Luiz Romero")*(23/1083),IF(C1617="JR",SUMIFS($D:$D,$A:$A,$A1617,$B:$B,"&lt;&gt;Patrícia Karla de Sousa Araújo",$B:$B,"&lt;&gt;Lorena Dias de Araujo",$B:$B,"&lt;&gt;Lucas Luiz Romero")*(20/1083),IF(C1617="Estágio",SUMIFS($D:$D,$A:$A,$A1617,$B:$B,"&lt;&gt;Patrícia Karla de Sousa Araújo",$B:$B,"&lt;&gt;Lorena Dias de Araujo",$B:$B,"&lt;&gt;Lucas Luiz Romero")*(10/1083),0)))))),0)</f>
        <v/>
      </c>
      <c r="K1617" s="3">
        <f>I1617-J1617</f>
        <v/>
      </c>
      <c r="L1617" s="3">
        <f>IF(K1617&lt;-5,"CRÍTICO",IF(K1617&lt;0,"ATENÇÃO",IF(K1617&lt;=5,"BOM","EXCELENTE")))</f>
        <v/>
      </c>
      <c r="M1617" t="n">
        <v>27</v>
      </c>
      <c r="N1617" t="n">
        <v>100</v>
      </c>
      <c r="O1617" t="n">
        <v>34.50134770889488</v>
      </c>
    </row>
    <row r="1618" hidden="1">
      <c r="A1618" s="11" t="n">
        <v>46051</v>
      </c>
      <c r="B1618" t="inlineStr">
        <is>
          <t>Claudio de Sousa Velasco Filho</t>
        </is>
      </c>
      <c r="C1618" t="inlineStr">
        <is>
          <t>Estágio</t>
        </is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s="3" t="n">
        <v>0</v>
      </c>
      <c r="J1618" s="3" t="n">
        <v>0</v>
      </c>
      <c r="K1618" s="3" t="n">
        <v>0</v>
      </c>
      <c r="L1618" s="3">
        <f>IF(K1618&lt;-5,"CRÍTICO",IF(K1618&lt;0,"ATENÇÃO",IF(K1618&lt;=5,"BOM","EXCELENTE")))</f>
        <v/>
      </c>
      <c r="M1618" t="n">
        <v>0</v>
      </c>
      <c r="N1618" t="n">
        <v>0</v>
      </c>
      <c r="O1618" t="n">
        <v>0</v>
      </c>
    </row>
    <row r="1619" hidden="1">
      <c r="A1619" s="11" t="n">
        <v>46051</v>
      </c>
      <c r="B1619" t="inlineStr">
        <is>
          <t>Clessiane Pereira dos Santos</t>
        </is>
      </c>
      <c r="C1619" t="inlineStr">
        <is>
          <t>Técnico I</t>
        </is>
      </c>
      <c r="D1619" t="n">
        <v>15</v>
      </c>
      <c r="E1619" t="n">
        <v>14</v>
      </c>
      <c r="F1619" t="n">
        <v>40.43</v>
      </c>
      <c r="G1619" t="n">
        <v>0</v>
      </c>
      <c r="H1619" t="n">
        <v>0</v>
      </c>
      <c r="I1619" s="3">
        <f>E1619+G1619+H1619</f>
        <v/>
      </c>
      <c r="J1619" s="3">
        <f>ROUND(MIN(IF(C1619="Técnico III",35,IF(C1619="Técnico II",28,IF(C1619="Técnico I",23,IF(C1619="JR",20,IF(C1619="Estágio",10,0))))),IF(C1619="Técnico III",SUMIFS($D:$D,$A:$A,$A1619,$B:$B,"&lt;&gt;Patrícia Karla de Sousa Araújo",$B:$B,"&lt;&gt;Lorena Dias de Araujo",$B:$B,"&lt;&gt;Lucas Luiz Romero")*(35/1083),IF(C1619="Técnico II",SUMIFS($D:$D,$A:$A,$A1619,$B:$B,"&lt;&gt;Patrícia Karla de Sousa Araújo",$B:$B,"&lt;&gt;Lorena Dias de Araujo",$B:$B,"&lt;&gt;Lucas Luiz Romero")*(28/1083),IF(C1619="Técnico I",SUMIFS($D:$D,$A:$A,$A1619,$B:$B,"&lt;&gt;Patrícia Karla de Sousa Araújo",$B:$B,"&lt;&gt;Lorena Dias de Araujo",$B:$B,"&lt;&gt;Lucas Luiz Romero")*(23/1083),IF(C1619="JR",SUMIFS($D:$D,$A:$A,$A1619,$B:$B,"&lt;&gt;Patrícia Karla de Sousa Araújo",$B:$B,"&lt;&gt;Lorena Dias de Araujo",$B:$B,"&lt;&gt;Lucas Luiz Romero")*(20/1083),IF(C1619="Estágio",SUMIFS($D:$D,$A:$A,$A1619,$B:$B,"&lt;&gt;Patrícia Karla de Sousa Araújo",$B:$B,"&lt;&gt;Lorena Dias de Araujo",$B:$B,"&lt;&gt;Lucas Luiz Romero")*(10/1083),0)))))),0)</f>
        <v/>
      </c>
      <c r="K1619" s="3">
        <f>I1619-J1619</f>
        <v/>
      </c>
      <c r="L1619" s="3">
        <f>IF(K1619&lt;-5,"CRÍTICO",IF(K1619&lt;0,"ATENÇÃO",IF(K1619&lt;=5,"BOM","EXCELENTE")))</f>
        <v/>
      </c>
      <c r="M1619" t="n">
        <v>12</v>
      </c>
      <c r="N1619" t="n">
        <v>100</v>
      </c>
      <c r="O1619" t="n">
        <v>28.93890675241158</v>
      </c>
    </row>
    <row r="1620" hidden="1">
      <c r="A1620" s="11" t="n">
        <v>46051</v>
      </c>
      <c r="B1620" t="inlineStr">
        <is>
          <t>Cristiane Ramos da Silva Rocha</t>
        </is>
      </c>
      <c r="C1620" t="inlineStr">
        <is>
          <t>Técnico III</t>
        </is>
      </c>
      <c r="D1620" t="n">
        <v>38</v>
      </c>
      <c r="E1620" t="n">
        <v>31</v>
      </c>
      <c r="F1620" t="n">
        <v>12.01</v>
      </c>
      <c r="G1620" t="n">
        <v>0</v>
      </c>
      <c r="H1620" t="n">
        <v>0</v>
      </c>
      <c r="I1620" s="3">
        <f>E1620+G1620+H1620</f>
        <v/>
      </c>
      <c r="J1620" s="3">
        <f>ROUND(MIN(IF(C1620="Técnico III",35,IF(C1620="Técnico II",28,IF(C1620="Técnico I",23,IF(C1620="JR",20,IF(C1620="Estágio",10,0))))),IF(C1620="Técnico III",SUMIFS($D:$D,$A:$A,$A1620,$B:$B,"&lt;&gt;Patrícia Karla de Sousa Araújo",$B:$B,"&lt;&gt;Lorena Dias de Araujo",$B:$B,"&lt;&gt;Lucas Luiz Romero")*(35/1083),IF(C1620="Técnico II",SUMIFS($D:$D,$A:$A,$A1620,$B:$B,"&lt;&gt;Patrícia Karla de Sousa Araújo",$B:$B,"&lt;&gt;Lorena Dias de Araujo",$B:$B,"&lt;&gt;Lucas Luiz Romero")*(28/1083),IF(C1620="Técnico I",SUMIFS($D:$D,$A:$A,$A1620,$B:$B,"&lt;&gt;Patrícia Karla de Sousa Araújo",$B:$B,"&lt;&gt;Lorena Dias de Araujo",$B:$B,"&lt;&gt;Lucas Luiz Romero")*(23/1083),IF(C1620="JR",SUMIFS($D:$D,$A:$A,$A1620,$B:$B,"&lt;&gt;Patrícia Karla de Sousa Araújo",$B:$B,"&lt;&gt;Lorena Dias de Araujo",$B:$B,"&lt;&gt;Lucas Luiz Romero")*(20/1083),IF(C1620="Estágio",SUMIFS($D:$D,$A:$A,$A1620,$B:$B,"&lt;&gt;Patrícia Karla de Sousa Araújo",$B:$B,"&lt;&gt;Lorena Dias de Araujo",$B:$B,"&lt;&gt;Lucas Luiz Romero")*(10/1083),0)))))),0)</f>
        <v/>
      </c>
      <c r="K1620" s="3">
        <f>I1620-J1620</f>
        <v/>
      </c>
      <c r="L1620" s="3">
        <f>IF(K1620&lt;-5,"CRÍTICO",IF(K1620&lt;0,"ATENÇÃO",IF(K1620&lt;=5,"BOM","EXCELENTE")))</f>
        <v/>
      </c>
      <c r="M1620" t="n">
        <v>25</v>
      </c>
      <c r="N1620" t="n">
        <v>97.3</v>
      </c>
      <c r="O1620" t="n">
        <v>42.29323308270676</v>
      </c>
    </row>
    <row r="1621" hidden="1">
      <c r="A1621" s="11" t="n">
        <v>46051</v>
      </c>
      <c r="B1621" t="inlineStr">
        <is>
          <t>Damyllis Lorraine de Oliveira Gonçalves</t>
        </is>
      </c>
      <c r="C1621" t="inlineStr">
        <is>
          <t>Técnico II</t>
        </is>
      </c>
      <c r="D1621" t="n">
        <v>40</v>
      </c>
      <c r="E1621" t="n">
        <v>33</v>
      </c>
      <c r="F1621" t="n">
        <v>13.31</v>
      </c>
      <c r="G1621" t="n">
        <v>0</v>
      </c>
      <c r="H1621" t="n">
        <v>0</v>
      </c>
      <c r="I1621" s="3" t="n">
        <v>0</v>
      </c>
      <c r="J1621" s="3" t="n">
        <v>0</v>
      </c>
      <c r="K1621" s="3" t="n">
        <v>0</v>
      </c>
      <c r="L1621" s="3">
        <f>IF(K1621&lt;-5,"CRÍTICO",IF(K1621&lt;0,"ATENÇÃO",IF(K1621&lt;=5,"BOM","EXCELENTE")))</f>
        <v/>
      </c>
      <c r="M1621" t="n">
        <v>28</v>
      </c>
      <c r="N1621" t="n">
        <v>96.40000000000001</v>
      </c>
      <c r="O1621" t="n">
        <v>30.46511627906976</v>
      </c>
    </row>
    <row r="1622" hidden="1">
      <c r="A1622" s="11" t="n">
        <v>46051</v>
      </c>
      <c r="B1622" t="inlineStr">
        <is>
          <t>Daniel Gomes da Silva</t>
        </is>
      </c>
      <c r="C1622" t="inlineStr">
        <is>
          <t>Técnico I</t>
        </is>
      </c>
      <c r="D1622" t="n">
        <v>22</v>
      </c>
      <c r="E1622" t="n">
        <v>21</v>
      </c>
      <c r="F1622" t="n">
        <v>20.19</v>
      </c>
      <c r="G1622" t="n">
        <v>0</v>
      </c>
      <c r="H1622" t="n">
        <v>0</v>
      </c>
      <c r="I1622" s="3">
        <f>E1622+G1622+H1622</f>
        <v/>
      </c>
      <c r="J1622" s="3">
        <f>ROUND(MIN(IF(C1622="Técnico III",35,IF(C1622="Técnico II",28,IF(C1622="Técnico I",23,IF(C1622="JR",20,IF(C1622="Estágio",10,0))))),IF(C1622="Técnico III",SUMIFS($D:$D,$A:$A,$A1622,$B:$B,"&lt;&gt;Patrícia Karla de Sousa Araújo",$B:$B,"&lt;&gt;Lorena Dias de Araujo",$B:$B,"&lt;&gt;Lucas Luiz Romero")*(35/1083),IF(C1622="Técnico II",SUMIFS($D:$D,$A:$A,$A1622,$B:$B,"&lt;&gt;Patrícia Karla de Sousa Araújo",$B:$B,"&lt;&gt;Lorena Dias de Araujo",$B:$B,"&lt;&gt;Lucas Luiz Romero")*(28/1083),IF(C1622="Técnico I",SUMIFS($D:$D,$A:$A,$A1622,$B:$B,"&lt;&gt;Patrícia Karla de Sousa Araújo",$B:$B,"&lt;&gt;Lorena Dias de Araujo",$B:$B,"&lt;&gt;Lucas Luiz Romero")*(23/1083),IF(C1622="JR",SUMIFS($D:$D,$A:$A,$A1622,$B:$B,"&lt;&gt;Patrícia Karla de Sousa Araújo",$B:$B,"&lt;&gt;Lorena Dias de Araujo",$B:$B,"&lt;&gt;Lucas Luiz Romero")*(20/1083),IF(C1622="Estágio",SUMIFS($D:$D,$A:$A,$A1622,$B:$B,"&lt;&gt;Patrícia Karla de Sousa Araújo",$B:$B,"&lt;&gt;Lorena Dias de Araujo",$B:$B,"&lt;&gt;Lucas Luiz Romero")*(10/1083),0)))))),0)</f>
        <v/>
      </c>
      <c r="K1622" s="3">
        <f>I1622-J1622</f>
        <v/>
      </c>
      <c r="L1622" s="3">
        <f>IF(K1622&lt;-5,"CRÍTICO",IF(K1622&lt;0,"ATENÇÃO",IF(K1622&lt;=5,"BOM","EXCELENTE")))</f>
        <v/>
      </c>
      <c r="M1622" t="n">
        <v>22</v>
      </c>
      <c r="N1622" t="n">
        <v>100</v>
      </c>
      <c r="O1622" t="n">
        <v>27.21238938053097</v>
      </c>
    </row>
    <row r="1623" hidden="1">
      <c r="A1623" s="11" t="n">
        <v>46051</v>
      </c>
      <c r="B1623" t="inlineStr">
        <is>
          <t>Davylla Rodrigues Freitas Silva</t>
        </is>
      </c>
      <c r="C1623" t="inlineStr">
        <is>
          <t>Técnico III</t>
        </is>
      </c>
      <c r="D1623" t="n">
        <v>33</v>
      </c>
      <c r="E1623" t="n">
        <v>31</v>
      </c>
      <c r="F1623" t="n">
        <v>20.03</v>
      </c>
      <c r="G1623" t="n">
        <v>0</v>
      </c>
      <c r="H1623" t="n">
        <v>0</v>
      </c>
      <c r="I1623" s="3" t="n">
        <v>0</v>
      </c>
      <c r="J1623" s="3" t="n">
        <v>0</v>
      </c>
      <c r="K1623" s="3" t="n">
        <v>0</v>
      </c>
      <c r="L1623" s="3">
        <f>IF(K1623&lt;-5,"CRÍTICO",IF(K1623&lt;0,"ATENÇÃO",IF(K1623&lt;=5,"BOM","EXCELENTE")))</f>
        <v/>
      </c>
      <c r="M1623" t="n">
        <v>31</v>
      </c>
      <c r="N1623" t="n">
        <v>99.48</v>
      </c>
      <c r="O1623" t="n">
        <v>41.12554112554113</v>
      </c>
    </row>
    <row r="1624" hidden="1">
      <c r="A1624" s="11" t="n">
        <v>46051</v>
      </c>
      <c r="B1624" t="inlineStr">
        <is>
          <t>Emilly Caylane Costa</t>
        </is>
      </c>
      <c r="C1624" t="inlineStr">
        <is>
          <t>Estágio</t>
        </is>
      </c>
      <c r="D1624" t="n">
        <v>5</v>
      </c>
      <c r="E1624" t="n">
        <v>4</v>
      </c>
      <c r="F1624" t="n">
        <v>32.18</v>
      </c>
      <c r="G1624" t="n">
        <v>0</v>
      </c>
      <c r="H1624" t="n">
        <v>0</v>
      </c>
      <c r="I1624" s="3">
        <f>E1624+G1624+H1624</f>
        <v/>
      </c>
      <c r="J1624" s="3">
        <f>ROUND(MIN(IF(C1624="Técnico III",35,IF(C1624="Técnico II",28,IF(C1624="Técnico I",23,IF(C1624="JR",20,IF(C1624="Estágio",10,0))))),IF(C1624="Técnico III",SUMIFS($D:$D,$A:$A,$A1624,$B:$B,"&lt;&gt;Patrícia Karla de Sousa Araújo",$B:$B,"&lt;&gt;Lorena Dias de Araujo",$B:$B,"&lt;&gt;Lucas Luiz Romero")*(35/1083),IF(C1624="Técnico II",SUMIFS($D:$D,$A:$A,$A1624,$B:$B,"&lt;&gt;Patrícia Karla de Sousa Araújo",$B:$B,"&lt;&gt;Lorena Dias de Araujo",$B:$B,"&lt;&gt;Lucas Luiz Romero")*(28/1083),IF(C1624="Técnico I",SUMIFS($D:$D,$A:$A,$A1624,$B:$B,"&lt;&gt;Patrícia Karla de Sousa Araújo",$B:$B,"&lt;&gt;Lorena Dias de Araujo",$B:$B,"&lt;&gt;Lucas Luiz Romero")*(23/1083),IF(C1624="JR",SUMIFS($D:$D,$A:$A,$A1624,$B:$B,"&lt;&gt;Patrícia Karla de Sousa Araújo",$B:$B,"&lt;&gt;Lorena Dias de Araujo",$B:$B,"&lt;&gt;Lucas Luiz Romero")*(20/1083),IF(C1624="Estágio",SUMIFS($D:$D,$A:$A,$A1624,$B:$B,"&lt;&gt;Patrícia Karla de Sousa Araújo",$B:$B,"&lt;&gt;Lorena Dias de Araujo",$B:$B,"&lt;&gt;Lucas Luiz Romero")*(10/1083),0)))))),0)</f>
        <v/>
      </c>
      <c r="K1624" s="3">
        <f>I1624-J1624</f>
        <v/>
      </c>
      <c r="L1624" s="3">
        <f>IF(K1624&lt;-5,"CRÍTICO",IF(K1624&lt;0,"ATENÇÃO",IF(K1624&lt;=5,"BOM","EXCELENTE")))</f>
        <v/>
      </c>
      <c r="M1624" t="n">
        <v>2</v>
      </c>
      <c r="N1624" t="n">
        <v>0</v>
      </c>
      <c r="O1624" t="n">
        <v>50</v>
      </c>
    </row>
    <row r="1625" hidden="1">
      <c r="A1625" s="11" t="n">
        <v>46051</v>
      </c>
      <c r="B1625" t="inlineStr">
        <is>
          <t>Emilly Kamilly Medeiros Miranda</t>
        </is>
      </c>
      <c r="C1625" t="inlineStr">
        <is>
          <t>Técnico II</t>
        </is>
      </c>
      <c r="D1625" t="n">
        <v>26</v>
      </c>
      <c r="E1625" t="n">
        <v>23</v>
      </c>
      <c r="F1625" t="n">
        <v>18.35</v>
      </c>
      <c r="G1625" t="n">
        <v>0</v>
      </c>
      <c r="H1625" t="n">
        <v>0</v>
      </c>
      <c r="I1625" s="3">
        <f>E1625+G1625+H1625</f>
        <v/>
      </c>
      <c r="J1625" s="3">
        <f>ROUND(MIN(IF(C1625="Técnico III",35,IF(C1625="Técnico II",28,IF(C1625="Técnico I",23,IF(C1625="JR",20,IF(C1625="Estágio",10,0))))),IF(C1625="Técnico III",SUMIFS($D:$D,$A:$A,$A1625,$B:$B,"&lt;&gt;Patrícia Karla de Sousa Araújo",$B:$B,"&lt;&gt;Lorena Dias de Araujo",$B:$B,"&lt;&gt;Lucas Luiz Romero")*(35/1083),IF(C1625="Técnico II",SUMIFS($D:$D,$A:$A,$A1625,$B:$B,"&lt;&gt;Patrícia Karla de Sousa Araújo",$B:$B,"&lt;&gt;Lorena Dias de Araujo",$B:$B,"&lt;&gt;Lucas Luiz Romero")*(28/1083),IF(C1625="Técnico I",SUMIFS($D:$D,$A:$A,$A1625,$B:$B,"&lt;&gt;Patrícia Karla de Sousa Araújo",$B:$B,"&lt;&gt;Lorena Dias de Araujo",$B:$B,"&lt;&gt;Lucas Luiz Romero")*(23/1083),IF(C1625="JR",SUMIFS($D:$D,$A:$A,$A1625,$B:$B,"&lt;&gt;Patrícia Karla de Sousa Araújo",$B:$B,"&lt;&gt;Lorena Dias de Araujo",$B:$B,"&lt;&gt;Lucas Luiz Romero")*(20/1083),IF(C1625="Estágio",SUMIFS($D:$D,$A:$A,$A1625,$B:$B,"&lt;&gt;Patrícia Karla de Sousa Araújo",$B:$B,"&lt;&gt;Lorena Dias de Araujo",$B:$B,"&lt;&gt;Lucas Luiz Romero")*(10/1083),0)))))),0)</f>
        <v/>
      </c>
      <c r="K1625" s="3">
        <f>I1625-J1625</f>
        <v/>
      </c>
      <c r="L1625" s="3">
        <f>IF(K1625&lt;-5,"CRÍTICO",IF(K1625&lt;0,"ATENÇÃO",IF(K1625&lt;=5,"BOM","EXCELENTE")))</f>
        <v/>
      </c>
      <c r="M1625" t="n">
        <v>18</v>
      </c>
      <c r="N1625" t="n">
        <v>100</v>
      </c>
      <c r="O1625" t="n">
        <v>33.86773547094188</v>
      </c>
    </row>
    <row r="1626" hidden="1">
      <c r="A1626" s="11" t="n">
        <v>46051</v>
      </c>
      <c r="B1626" t="inlineStr">
        <is>
          <t>Francielson de Oliveira</t>
        </is>
      </c>
      <c r="C1626" t="inlineStr">
        <is>
          <t>Técnico III</t>
        </is>
      </c>
      <c r="D1626" t="n">
        <v>30</v>
      </c>
      <c r="E1626" t="n">
        <v>28</v>
      </c>
      <c r="F1626" t="n">
        <v>15.56</v>
      </c>
      <c r="G1626" t="n">
        <v>0</v>
      </c>
      <c r="H1626" t="n">
        <v>0</v>
      </c>
      <c r="I1626" s="3">
        <f>E1626+G1626+H1626</f>
        <v/>
      </c>
      <c r="J1626" s="3">
        <f>ROUND(MIN(IF(C1626="Técnico III",35,IF(C1626="Técnico II",28,IF(C1626="Técnico I",23,IF(C1626="JR",20,IF(C1626="Estágio",10,0))))),IF(C1626="Técnico III",SUMIFS($D:$D,$A:$A,$A1626,$B:$B,"&lt;&gt;Patrícia Karla de Sousa Araújo",$B:$B,"&lt;&gt;Lorena Dias de Araujo",$B:$B,"&lt;&gt;Lucas Luiz Romero")*(35/1083),IF(C1626="Técnico II",SUMIFS($D:$D,$A:$A,$A1626,$B:$B,"&lt;&gt;Patrícia Karla de Sousa Araújo",$B:$B,"&lt;&gt;Lorena Dias de Araujo",$B:$B,"&lt;&gt;Lucas Luiz Romero")*(28/1083),IF(C1626="Técnico I",SUMIFS($D:$D,$A:$A,$A1626,$B:$B,"&lt;&gt;Patrícia Karla de Sousa Araújo",$B:$B,"&lt;&gt;Lorena Dias de Araujo",$B:$B,"&lt;&gt;Lucas Luiz Romero")*(23/1083),IF(C1626="JR",SUMIFS($D:$D,$A:$A,$A1626,$B:$B,"&lt;&gt;Patrícia Karla de Sousa Araújo",$B:$B,"&lt;&gt;Lorena Dias de Araujo",$B:$B,"&lt;&gt;Lucas Luiz Romero")*(20/1083),IF(C1626="Estágio",SUMIFS($D:$D,$A:$A,$A1626,$B:$B,"&lt;&gt;Patrícia Karla de Sousa Araújo",$B:$B,"&lt;&gt;Lorena Dias de Araujo",$B:$B,"&lt;&gt;Lucas Luiz Romero")*(10/1083),0)))))),0)</f>
        <v/>
      </c>
      <c r="K1626" s="3">
        <f>I1626-J1626</f>
        <v/>
      </c>
      <c r="L1626" s="3">
        <f>IF(K1626&lt;-5,"CRÍTICO",IF(K1626&lt;0,"ATENÇÃO",IF(K1626&lt;=5,"BOM","EXCELENTE")))</f>
        <v/>
      </c>
      <c r="M1626" t="n">
        <v>27</v>
      </c>
      <c r="N1626" t="n">
        <v>100</v>
      </c>
      <c r="O1626" t="n">
        <v>33.97590361445783</v>
      </c>
    </row>
    <row r="1627" hidden="1">
      <c r="A1627" s="11" t="n">
        <v>46051</v>
      </c>
      <c r="B1627" t="inlineStr">
        <is>
          <t>Francilene Ferreira de Jesus</t>
        </is>
      </c>
      <c r="C1627" t="inlineStr">
        <is>
          <t>Técnico II</t>
        </is>
      </c>
      <c r="D1627" t="n">
        <v>50</v>
      </c>
      <c r="E1627" t="n">
        <v>43</v>
      </c>
      <c r="F1627" t="n">
        <v>14.14</v>
      </c>
      <c r="G1627" t="n">
        <v>0</v>
      </c>
      <c r="H1627" t="n">
        <v>0</v>
      </c>
      <c r="I1627" s="3">
        <f>E1627+G1627+H1627</f>
        <v/>
      </c>
      <c r="J1627" s="3">
        <f>ROUND(MIN(IF(C1627="Técnico III",35,IF(C1627="Técnico II",28,IF(C1627="Técnico I",23,IF(C1627="JR",20,IF(C1627="Estágio",10,0))))),IF(C1627="Técnico III",SUMIFS($D:$D,$A:$A,$A1627,$B:$B,"&lt;&gt;Patrícia Karla de Sousa Araújo",$B:$B,"&lt;&gt;Lorena Dias de Araujo",$B:$B,"&lt;&gt;Lucas Luiz Romero")*(35/1083),IF(C1627="Técnico II",SUMIFS($D:$D,$A:$A,$A1627,$B:$B,"&lt;&gt;Patrícia Karla de Sousa Araújo",$B:$B,"&lt;&gt;Lorena Dias de Araujo",$B:$B,"&lt;&gt;Lucas Luiz Romero")*(28/1083),IF(C1627="Técnico I",SUMIFS($D:$D,$A:$A,$A1627,$B:$B,"&lt;&gt;Patrícia Karla de Sousa Araújo",$B:$B,"&lt;&gt;Lorena Dias de Araujo",$B:$B,"&lt;&gt;Lucas Luiz Romero")*(23/1083),IF(C1627="JR",SUMIFS($D:$D,$A:$A,$A1627,$B:$B,"&lt;&gt;Patrícia Karla de Sousa Araújo",$B:$B,"&lt;&gt;Lorena Dias de Araujo",$B:$B,"&lt;&gt;Lucas Luiz Romero")*(20/1083),IF(C1627="Estágio",SUMIFS($D:$D,$A:$A,$A1627,$B:$B,"&lt;&gt;Patrícia Karla de Sousa Araújo",$B:$B,"&lt;&gt;Lorena Dias de Araujo",$B:$B,"&lt;&gt;Lucas Luiz Romero")*(10/1083),0)))))),0)</f>
        <v/>
      </c>
      <c r="K1627" s="3">
        <f>I1627-J1627</f>
        <v/>
      </c>
      <c r="L1627" s="3">
        <f>IF(K1627&lt;-5,"CRÍTICO",IF(K1627&lt;0,"ATENÇÃO",IF(K1627&lt;=5,"BOM","EXCELENTE")))</f>
        <v/>
      </c>
      <c r="M1627" t="n">
        <v>37</v>
      </c>
      <c r="N1627" t="n">
        <v>99.29000000000001</v>
      </c>
      <c r="O1627" t="n">
        <v>31.81818181818182</v>
      </c>
    </row>
    <row r="1628" hidden="1">
      <c r="A1628" s="11" t="n">
        <v>46085</v>
      </c>
      <c r="B1628" t="inlineStr">
        <is>
          <t>Gabriel Gomes de Andrade</t>
        </is>
      </c>
      <c r="C1628" t="inlineStr">
        <is>
          <t>Técnico I</t>
        </is>
      </c>
      <c r="D1628" t="n">
        <v>21</v>
      </c>
      <c r="E1628" t="n">
        <v>21</v>
      </c>
      <c r="F1628" t="n">
        <v>25.35</v>
      </c>
      <c r="G1628" t="n">
        <v>0</v>
      </c>
      <c r="H1628" t="n">
        <v>0</v>
      </c>
      <c r="I1628" s="3">
        <f>E1628+G1628+H1628</f>
        <v/>
      </c>
      <c r="J1628" s="3">
        <f>ROUND(MIN(IF(C1628="Técnico III",35,IF(C1628="Técnico II",28,IF(C1628="Técnico I",23,IF(C1628="JR",20,IF(C1628="Estágio",10,0))))),IF(C1628="Técnico III",SUMIFS($D:$D,$A:$A,$A1628,$B:$B,"&lt;&gt;Patrícia Karla de Sousa Araújo",$B:$B,"&lt;&gt;Lorena Dias de Araujo",$B:$B,"&lt;&gt;Lucas Luiz Romero")*(35/1083),IF(C1628="Técnico II",SUMIFS($D:$D,$A:$A,$A1628,$B:$B,"&lt;&gt;Patrícia Karla de Sousa Araújo",$B:$B,"&lt;&gt;Lorena Dias de Araujo",$B:$B,"&lt;&gt;Lucas Luiz Romero")*(28/1083),IF(C1628="Técnico I",SUMIFS($D:$D,$A:$A,$A1628,$B:$B,"&lt;&gt;Patrícia Karla de Sousa Araújo",$B:$B,"&lt;&gt;Lorena Dias de Araujo",$B:$B,"&lt;&gt;Lucas Luiz Romero")*(23/1083),IF(C1628="JR",SUMIFS($D:$D,$A:$A,$A1628,$B:$B,"&lt;&gt;Patrícia Karla de Sousa Araújo",$B:$B,"&lt;&gt;Lorena Dias de Araujo",$B:$B,"&lt;&gt;Lucas Luiz Romero")*(20/1083),IF(C1628="Estágio",SUMIFS($D:$D,$A:$A,$A1628,$B:$B,"&lt;&gt;Patrícia Karla de Sousa Araújo",$B:$B,"&lt;&gt;Lorena Dias de Araujo",$B:$B,"&lt;&gt;Lucas Luiz Romero")*(10/1083),0)))))),0)</f>
        <v/>
      </c>
      <c r="K1628" s="3">
        <f>I1628-J1628</f>
        <v/>
      </c>
      <c r="L1628" s="3">
        <f>IF(K1628&lt;-5,"CRÍTICO",IF(K1628&lt;0,"ATENÇÃO",IF(K1628&lt;=5,"BOM","EXCELENTE")))</f>
        <v/>
      </c>
      <c r="N1628" t="n">
        <v>99.05</v>
      </c>
      <c r="O1628" t="n">
        <v>26.62192393736018</v>
      </c>
    </row>
    <row r="1629" hidden="1">
      <c r="A1629" s="11" t="n">
        <v>46051</v>
      </c>
      <c r="B1629" t="inlineStr">
        <is>
          <t>Isabella Borges de Oliveira</t>
        </is>
      </c>
      <c r="C1629" t="inlineStr">
        <is>
          <t>Técnico II</t>
        </is>
      </c>
      <c r="D1629" t="n">
        <v>35</v>
      </c>
      <c r="E1629" t="n">
        <v>31</v>
      </c>
      <c r="F1629" t="n">
        <v>18.21</v>
      </c>
      <c r="G1629" t="n">
        <v>0</v>
      </c>
      <c r="H1629" t="n">
        <v>0</v>
      </c>
      <c r="I1629" s="3">
        <f>E1629+G1629+H1629</f>
        <v/>
      </c>
      <c r="J1629" s="3">
        <f>ROUND(MIN(IF(C1629="Técnico III",35,IF(C1629="Técnico II",28,IF(C1629="Técnico I",23,IF(C1629="JR",20,IF(C1629="Estágio",10,0))))),IF(C1629="Técnico III",SUMIFS($D:$D,$A:$A,$A1629,$B:$B,"&lt;&gt;Patrícia Karla de Sousa Araújo",$B:$B,"&lt;&gt;Lorena Dias de Araujo",$B:$B,"&lt;&gt;Lucas Luiz Romero")*(35/1083),IF(C1629="Técnico II",SUMIFS($D:$D,$A:$A,$A1629,$B:$B,"&lt;&gt;Patrícia Karla de Sousa Araújo",$B:$B,"&lt;&gt;Lorena Dias de Araujo",$B:$B,"&lt;&gt;Lucas Luiz Romero")*(28/1083),IF(C1629="Técnico I",SUMIFS($D:$D,$A:$A,$A1629,$B:$B,"&lt;&gt;Patrícia Karla de Sousa Araújo",$B:$B,"&lt;&gt;Lorena Dias de Araujo",$B:$B,"&lt;&gt;Lucas Luiz Romero")*(23/1083),IF(C1629="JR",SUMIFS($D:$D,$A:$A,$A1629,$B:$B,"&lt;&gt;Patrícia Karla de Sousa Araújo",$B:$B,"&lt;&gt;Lorena Dias de Araujo",$B:$B,"&lt;&gt;Lucas Luiz Romero")*(20/1083),IF(C1629="Estágio",SUMIFS($D:$D,$A:$A,$A1629,$B:$B,"&lt;&gt;Patrícia Karla de Sousa Araújo",$B:$B,"&lt;&gt;Lorena Dias de Araujo",$B:$B,"&lt;&gt;Lucas Luiz Romero")*(10/1083),0)))))),0)</f>
        <v/>
      </c>
      <c r="K1629" s="3">
        <f>I1629-J1629</f>
        <v/>
      </c>
      <c r="L1629" s="3">
        <f>IF(K1629&lt;-5,"CRÍTICO",IF(K1629&lt;0,"ATENÇÃO",IF(K1629&lt;=5,"BOM","EXCELENTE")))</f>
        <v/>
      </c>
      <c r="M1629" t="n">
        <v>30</v>
      </c>
      <c r="N1629" t="n">
        <v>100</v>
      </c>
      <c r="O1629" t="n">
        <v>28.66379310344828</v>
      </c>
    </row>
    <row r="1630" hidden="1">
      <c r="A1630" s="11" t="n">
        <v>46051</v>
      </c>
      <c r="B1630" t="inlineStr">
        <is>
          <t>Janaina Lima dos Reis Urany</t>
        </is>
      </c>
      <c r="C1630" t="inlineStr">
        <is>
          <t>Técnico III</t>
        </is>
      </c>
      <c r="D1630" t="n">
        <v>47</v>
      </c>
      <c r="E1630" t="n">
        <v>37</v>
      </c>
      <c r="F1630" t="n">
        <v>11.52</v>
      </c>
      <c r="G1630" t="n">
        <v>0</v>
      </c>
      <c r="H1630" t="n">
        <v>0</v>
      </c>
      <c r="I1630" s="3">
        <f>E1630+G1630+H1630</f>
        <v/>
      </c>
      <c r="J1630" s="3">
        <f>ROUND(MIN(IF(C1630="Técnico III",35,IF(C1630="Técnico II",28,IF(C1630="Técnico I",23,IF(C1630="JR",20,IF(C1630="Estágio",10,0))))),IF(C1630="Técnico III",SUMIFS($D:$D,$A:$A,$A1630,$B:$B,"&lt;&gt;Patrícia Karla de Sousa Araújo",$B:$B,"&lt;&gt;Lorena Dias de Araujo",$B:$B,"&lt;&gt;Lucas Luiz Romero")*(35/1083),IF(C1630="Técnico II",SUMIFS($D:$D,$A:$A,$A1630,$B:$B,"&lt;&gt;Patrícia Karla de Sousa Araújo",$B:$B,"&lt;&gt;Lorena Dias de Araujo",$B:$B,"&lt;&gt;Lucas Luiz Romero")*(28/1083),IF(C1630="Técnico I",SUMIFS($D:$D,$A:$A,$A1630,$B:$B,"&lt;&gt;Patrícia Karla de Sousa Araújo",$B:$B,"&lt;&gt;Lorena Dias de Araujo",$B:$B,"&lt;&gt;Lucas Luiz Romero")*(23/1083),IF(C1630="JR",SUMIFS($D:$D,$A:$A,$A1630,$B:$B,"&lt;&gt;Patrícia Karla de Sousa Araújo",$B:$B,"&lt;&gt;Lorena Dias de Araujo",$B:$B,"&lt;&gt;Lucas Luiz Romero")*(20/1083),IF(C1630="Estágio",SUMIFS($D:$D,$A:$A,$A1630,$B:$B,"&lt;&gt;Patrícia Karla de Sousa Araújo",$B:$B,"&lt;&gt;Lorena Dias de Araujo",$B:$B,"&lt;&gt;Lucas Luiz Romero")*(10/1083),0)))))),0)</f>
        <v/>
      </c>
      <c r="K1630" s="3">
        <f>I1630-J1630</f>
        <v/>
      </c>
      <c r="L1630" s="3">
        <f>IF(K1630&lt;-5,"CRÍTICO",IF(K1630&lt;0,"ATENÇÃO",IF(K1630&lt;=5,"BOM","EXCELENTE")))</f>
        <v/>
      </c>
      <c r="M1630" t="n">
        <v>38</v>
      </c>
      <c r="N1630" t="n">
        <v>100</v>
      </c>
      <c r="O1630" t="n">
        <v>30.90909090909091</v>
      </c>
    </row>
    <row r="1631" hidden="1">
      <c r="A1631" s="11" t="n">
        <v>46051</v>
      </c>
      <c r="B1631" t="inlineStr">
        <is>
          <t>Jaqueline Evangelista da Silva Martins</t>
        </is>
      </c>
      <c r="C1631" t="inlineStr">
        <is>
          <t>Técnico III</t>
        </is>
      </c>
      <c r="D1631" t="n">
        <v>44</v>
      </c>
      <c r="E1631" t="n">
        <v>18</v>
      </c>
      <c r="F1631" t="n">
        <v>4.09</v>
      </c>
      <c r="G1631" t="n">
        <v>0</v>
      </c>
      <c r="H1631" t="n">
        <v>0</v>
      </c>
      <c r="I1631" s="3">
        <f>E1631+G1631+H1631</f>
        <v/>
      </c>
      <c r="J1631" s="3">
        <f>ROUND(MIN(IF(C1631="Técnico III",35,IF(C1631="Técnico II",28,IF(C1631="Técnico I",23,IF(C1631="JR",20,IF(C1631="Estágio",10,0))))),IF(C1631="Técnico III",SUMIFS($D:$D,$A:$A,$A1631,$B:$B,"&lt;&gt;Patrícia Karla de Sousa Araújo",$B:$B,"&lt;&gt;Lorena Dias de Araujo",$B:$B,"&lt;&gt;Lucas Luiz Romero")*(35/1083),IF(C1631="Técnico II",SUMIFS($D:$D,$A:$A,$A1631,$B:$B,"&lt;&gt;Patrícia Karla de Sousa Araújo",$B:$B,"&lt;&gt;Lorena Dias de Araujo",$B:$B,"&lt;&gt;Lucas Luiz Romero")*(28/1083),IF(C1631="Técnico I",SUMIFS($D:$D,$A:$A,$A1631,$B:$B,"&lt;&gt;Patrícia Karla de Sousa Araújo",$B:$B,"&lt;&gt;Lorena Dias de Araujo",$B:$B,"&lt;&gt;Lucas Luiz Romero")*(23/1083),IF(C1631="JR",SUMIFS($D:$D,$A:$A,$A1631,$B:$B,"&lt;&gt;Patrícia Karla de Sousa Araújo",$B:$B,"&lt;&gt;Lorena Dias de Araujo",$B:$B,"&lt;&gt;Lucas Luiz Romero")*(20/1083),IF(C1631="Estágio",SUMIFS($D:$D,$A:$A,$A1631,$B:$B,"&lt;&gt;Patrícia Karla de Sousa Araújo",$B:$B,"&lt;&gt;Lorena Dias de Araujo",$B:$B,"&lt;&gt;Lucas Luiz Romero")*(10/1083),0)))))),0)</f>
        <v/>
      </c>
      <c r="K1631" s="3">
        <f>I1631-J1631</f>
        <v/>
      </c>
      <c r="L1631" s="3">
        <f>IF(K1631&lt;-5,"CRÍTICO",IF(K1631&lt;0,"ATENÇÃO",IF(K1631&lt;=5,"BOM","EXCELENTE")))</f>
        <v/>
      </c>
      <c r="M1631" t="n">
        <v>14</v>
      </c>
      <c r="N1631" t="n">
        <v>100</v>
      </c>
      <c r="O1631" t="n">
        <v>27.65957446808511</v>
      </c>
    </row>
    <row r="1632" hidden="1">
      <c r="A1632" s="11" t="n">
        <v>46051</v>
      </c>
      <c r="B1632" t="inlineStr">
        <is>
          <t>Jessica Faria da Silveira</t>
        </is>
      </c>
      <c r="C1632" t="inlineStr">
        <is>
          <t>Técnico II</t>
        </is>
      </c>
      <c r="D1632" t="n">
        <v>39</v>
      </c>
      <c r="E1632" t="n">
        <v>21</v>
      </c>
      <c r="F1632" t="n">
        <v>13.43</v>
      </c>
      <c r="G1632" t="n">
        <v>0</v>
      </c>
      <c r="H1632" t="n">
        <v>0</v>
      </c>
      <c r="I1632" s="3">
        <f>E1632+G1632+H1632</f>
        <v/>
      </c>
      <c r="J1632" s="3">
        <f>ROUND(MIN(IF(C1632="Técnico III",35,IF(C1632="Técnico II",28,IF(C1632="Técnico I",23,IF(C1632="JR",20,IF(C1632="Estágio",10,0))))),IF(C1632="Técnico III",SUMIFS($D:$D,$A:$A,$A1632,$B:$B,"&lt;&gt;Patrícia Karla de Sousa Araújo",$B:$B,"&lt;&gt;Lorena Dias de Araujo",$B:$B,"&lt;&gt;Lucas Luiz Romero")*(35/1083),IF(C1632="Técnico II",SUMIFS($D:$D,$A:$A,$A1632,$B:$B,"&lt;&gt;Patrícia Karla de Sousa Araújo",$B:$B,"&lt;&gt;Lorena Dias de Araujo",$B:$B,"&lt;&gt;Lucas Luiz Romero")*(28/1083),IF(C1632="Técnico I",SUMIFS($D:$D,$A:$A,$A1632,$B:$B,"&lt;&gt;Patrícia Karla de Sousa Araújo",$B:$B,"&lt;&gt;Lorena Dias de Araujo",$B:$B,"&lt;&gt;Lucas Luiz Romero")*(23/1083),IF(C1632="JR",SUMIFS($D:$D,$A:$A,$A1632,$B:$B,"&lt;&gt;Patrícia Karla de Sousa Araújo",$B:$B,"&lt;&gt;Lorena Dias de Araujo",$B:$B,"&lt;&gt;Lucas Luiz Romero")*(20/1083),IF(C1632="Estágio",SUMIFS($D:$D,$A:$A,$A1632,$B:$B,"&lt;&gt;Patrícia Karla de Sousa Araújo",$B:$B,"&lt;&gt;Lorena Dias de Araujo",$B:$B,"&lt;&gt;Lucas Luiz Romero")*(10/1083),0)))))),0)</f>
        <v/>
      </c>
      <c r="K1632" s="3">
        <f>I1632-J1632</f>
        <v/>
      </c>
      <c r="L1632" s="3">
        <f>IF(K1632&lt;-5,"CRÍTICO",IF(K1632&lt;0,"ATENÇÃO",IF(K1632&lt;=5,"BOM","EXCELENTE")))</f>
        <v/>
      </c>
      <c r="M1632" t="n">
        <v>23</v>
      </c>
      <c r="N1632" t="n">
        <v>96.36</v>
      </c>
      <c r="O1632" t="n">
        <v>28.93518518518519</v>
      </c>
    </row>
    <row r="1633" hidden="1">
      <c r="A1633" s="11" t="n">
        <v>46051</v>
      </c>
      <c r="B1633" t="inlineStr">
        <is>
          <t>Jéssica Fé Moura</t>
        </is>
      </c>
      <c r="C1633" t="inlineStr">
        <is>
          <t>Técnico III</t>
        </is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s="3" t="n">
        <v>0</v>
      </c>
      <c r="J1633" s="3" t="n">
        <v>0</v>
      </c>
      <c r="K1633" s="3" t="n">
        <v>0</v>
      </c>
      <c r="L1633" s="3">
        <f>IF(K1633&lt;-5,"CRÍTICO",IF(K1633&lt;0,"ATENÇÃO",IF(K1633&lt;=5,"BOM","EXCELENTE")))</f>
        <v/>
      </c>
      <c r="M1633" t="n">
        <v>0</v>
      </c>
      <c r="N1633" t="n">
        <v>100</v>
      </c>
      <c r="O1633" t="n">
        <v>33.98058252427185</v>
      </c>
    </row>
    <row r="1634" hidden="1">
      <c r="A1634" s="11" t="n">
        <v>46051</v>
      </c>
      <c r="B1634" t="inlineStr">
        <is>
          <t>Karina Gonçalves Martins</t>
        </is>
      </c>
      <c r="C1634" t="inlineStr">
        <is>
          <t>JR</t>
        </is>
      </c>
      <c r="D1634" t="n">
        <v>10</v>
      </c>
      <c r="E1634" t="n">
        <v>8</v>
      </c>
      <c r="F1634" t="n">
        <v>24.14</v>
      </c>
      <c r="G1634" t="n">
        <v>0</v>
      </c>
      <c r="H1634" t="n">
        <v>0</v>
      </c>
      <c r="I1634" s="3">
        <f>E1634+G1634+H1634</f>
        <v/>
      </c>
      <c r="J1634" s="3">
        <f>ROUND(MIN(IF(C1634="Técnico III",35,IF(C1634="Técnico II",28,IF(C1634="Técnico I",23,IF(C1634="JR",20,IF(C1634="Estágio",10,0))))),IF(C1634="Técnico III",SUMIFS($D:$D,$A:$A,$A1634,$B:$B,"&lt;&gt;Patrícia Karla de Sousa Araújo",$B:$B,"&lt;&gt;Lorena Dias de Araujo",$B:$B,"&lt;&gt;Lucas Luiz Romero")*(35/1083),IF(C1634="Técnico II",SUMIFS($D:$D,$A:$A,$A1634,$B:$B,"&lt;&gt;Patrícia Karla de Sousa Araújo",$B:$B,"&lt;&gt;Lorena Dias de Araujo",$B:$B,"&lt;&gt;Lucas Luiz Romero")*(28/1083),IF(C1634="Técnico I",SUMIFS($D:$D,$A:$A,$A1634,$B:$B,"&lt;&gt;Patrícia Karla de Sousa Araújo",$B:$B,"&lt;&gt;Lorena Dias de Araujo",$B:$B,"&lt;&gt;Lucas Luiz Romero")*(23/1083),IF(C1634="JR",SUMIFS($D:$D,$A:$A,$A1634,$B:$B,"&lt;&gt;Patrícia Karla de Sousa Araújo",$B:$B,"&lt;&gt;Lorena Dias de Araujo",$B:$B,"&lt;&gt;Lucas Luiz Romero")*(20/1083),IF(C1634="Estágio",SUMIFS($D:$D,$A:$A,$A1634,$B:$B,"&lt;&gt;Patrícia Karla de Sousa Araújo",$B:$B,"&lt;&gt;Lorena Dias de Araujo",$B:$B,"&lt;&gt;Lucas Luiz Romero")*(10/1083),0)))))),0)</f>
        <v/>
      </c>
      <c r="K1634" s="3">
        <f>I1634-J1634</f>
        <v/>
      </c>
      <c r="L1634" s="3">
        <f>IF(K1634&lt;-5,"CRÍTICO",IF(K1634&lt;0,"ATENÇÃO",IF(K1634&lt;=5,"BOM","EXCELENTE")))</f>
        <v/>
      </c>
      <c r="M1634" t="n">
        <v>7</v>
      </c>
      <c r="N1634" t="n">
        <v>97.56</v>
      </c>
      <c r="O1634" t="n">
        <v>32.6530612244898</v>
      </c>
    </row>
    <row r="1635" hidden="1">
      <c r="A1635" s="11" t="n">
        <v>46051</v>
      </c>
      <c r="B1635" t="inlineStr">
        <is>
          <t>Kerollen Cristielly de Jesus Siqueira</t>
        </is>
      </c>
      <c r="C1635" t="inlineStr">
        <is>
          <t>Técnico III</t>
        </is>
      </c>
      <c r="D1635" t="n">
        <v>14</v>
      </c>
      <c r="E1635" t="n">
        <v>14</v>
      </c>
      <c r="F1635" t="n">
        <v>30.26</v>
      </c>
      <c r="G1635" t="n">
        <v>0</v>
      </c>
      <c r="H1635" t="n">
        <v>0</v>
      </c>
      <c r="I1635" s="3">
        <f>E1635+G1635+H1635</f>
        <v/>
      </c>
      <c r="J1635" s="3">
        <f>ROUND(MIN(IF(C1635="Técnico III",35,IF(C1635="Técnico II",28,IF(C1635="Técnico I",23,IF(C1635="JR",20,IF(C1635="Estágio",10,0))))),IF(C1635="Técnico III",SUMIFS($D:$D,$A:$A,$A1635,$B:$B,"&lt;&gt;Patrícia Karla de Sousa Araújo",$B:$B,"&lt;&gt;Lorena Dias de Araujo",$B:$B,"&lt;&gt;Lucas Luiz Romero")*(35/1083),IF(C1635="Técnico II",SUMIFS($D:$D,$A:$A,$A1635,$B:$B,"&lt;&gt;Patrícia Karla de Sousa Araújo",$B:$B,"&lt;&gt;Lorena Dias de Araujo",$B:$B,"&lt;&gt;Lucas Luiz Romero")*(28/1083),IF(C1635="Técnico I",SUMIFS($D:$D,$A:$A,$A1635,$B:$B,"&lt;&gt;Patrícia Karla de Sousa Araújo",$B:$B,"&lt;&gt;Lorena Dias de Araujo",$B:$B,"&lt;&gt;Lucas Luiz Romero")*(23/1083),IF(C1635="JR",SUMIFS($D:$D,$A:$A,$A1635,$B:$B,"&lt;&gt;Patrícia Karla de Sousa Araújo",$B:$B,"&lt;&gt;Lorena Dias de Araujo",$B:$B,"&lt;&gt;Lucas Luiz Romero")*(20/1083),IF(C1635="Estágio",SUMIFS($D:$D,$A:$A,$A1635,$B:$B,"&lt;&gt;Patrícia Karla de Sousa Araújo",$B:$B,"&lt;&gt;Lorena Dias de Araujo",$B:$B,"&lt;&gt;Lucas Luiz Romero")*(10/1083),0)))))),0)</f>
        <v/>
      </c>
      <c r="K1635" s="3">
        <f>I1635-J1635</f>
        <v/>
      </c>
      <c r="L1635" s="3">
        <f>IF(K1635&lt;-5,"CRÍTICO",IF(K1635&lt;0,"ATENÇÃO",IF(K1635&lt;=5,"BOM","EXCELENTE")))</f>
        <v/>
      </c>
      <c r="M1635" t="n">
        <v>14</v>
      </c>
      <c r="N1635" t="n">
        <v>97.06</v>
      </c>
      <c r="O1635" t="n">
        <v>38.67684478371501</v>
      </c>
    </row>
    <row r="1636" hidden="1">
      <c r="A1636" s="11" t="n">
        <v>46051</v>
      </c>
      <c r="B1636" t="inlineStr">
        <is>
          <t>Leandro de Souza Silva</t>
        </is>
      </c>
      <c r="C1636" t="inlineStr">
        <is>
          <t>JR</t>
        </is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s="3" t="n">
        <v>0</v>
      </c>
      <c r="J1636" s="3" t="n">
        <v>0</v>
      </c>
      <c r="K1636" s="3" t="n">
        <v>0</v>
      </c>
      <c r="L1636" s="3">
        <f>IF(K1636&lt;-5,"CRÍTICO",IF(K1636&lt;0,"ATENÇÃO",IF(K1636&lt;=5,"BOM","EXCELENTE")))</f>
        <v/>
      </c>
      <c r="M1636" t="n">
        <v>0</v>
      </c>
      <c r="N1636" t="n">
        <v>0</v>
      </c>
      <c r="O1636" t="n">
        <v>0</v>
      </c>
    </row>
    <row r="1637" hidden="1">
      <c r="A1637" s="11" t="n">
        <v>46051</v>
      </c>
      <c r="B1637" t="inlineStr">
        <is>
          <t>Leandro Oliveira de Sousa</t>
        </is>
      </c>
      <c r="C1637" t="inlineStr">
        <is>
          <t>Técnico III</t>
        </is>
      </c>
      <c r="D1637" t="n">
        <v>32</v>
      </c>
      <c r="E1637" t="n">
        <v>29</v>
      </c>
      <c r="F1637" t="n">
        <v>15</v>
      </c>
      <c r="G1637" t="n">
        <v>0</v>
      </c>
      <c r="H1637" t="n">
        <v>0</v>
      </c>
      <c r="I1637" s="3">
        <f>E1637+G1637+H1637</f>
        <v/>
      </c>
      <c r="J1637" s="3">
        <f>ROUND(MIN(IF(C1637="Técnico III",35,IF(C1637="Técnico II",28,IF(C1637="Técnico I",23,IF(C1637="JR",20,IF(C1637="Estágio",10,0))))),IF(C1637="Técnico III",SUMIFS($D:$D,$A:$A,$A1637,$B:$B,"&lt;&gt;Patrícia Karla de Sousa Araújo",$B:$B,"&lt;&gt;Lorena Dias de Araujo",$B:$B,"&lt;&gt;Lucas Luiz Romero")*(35/1083),IF(C1637="Técnico II",SUMIFS($D:$D,$A:$A,$A1637,$B:$B,"&lt;&gt;Patrícia Karla de Sousa Araújo",$B:$B,"&lt;&gt;Lorena Dias de Araujo",$B:$B,"&lt;&gt;Lucas Luiz Romero")*(28/1083),IF(C1637="Técnico I",SUMIFS($D:$D,$A:$A,$A1637,$B:$B,"&lt;&gt;Patrícia Karla de Sousa Araújo",$B:$B,"&lt;&gt;Lorena Dias de Araujo",$B:$B,"&lt;&gt;Lucas Luiz Romero")*(23/1083),IF(C1637="JR",SUMIFS($D:$D,$A:$A,$A1637,$B:$B,"&lt;&gt;Patrícia Karla de Sousa Araújo",$B:$B,"&lt;&gt;Lorena Dias de Araujo",$B:$B,"&lt;&gt;Lucas Luiz Romero")*(20/1083),IF(C1637="Estágio",SUMIFS($D:$D,$A:$A,$A1637,$B:$B,"&lt;&gt;Patrícia Karla de Sousa Araújo",$B:$B,"&lt;&gt;Lorena Dias de Araujo",$B:$B,"&lt;&gt;Lucas Luiz Romero")*(10/1083),0)))))),0)</f>
        <v/>
      </c>
      <c r="K1637" s="3">
        <f>I1637-J1637</f>
        <v/>
      </c>
      <c r="L1637" s="3">
        <f>IF(K1637&lt;-5,"CRÍTICO",IF(K1637&lt;0,"ATENÇÃO",IF(K1637&lt;=5,"BOM","EXCELENTE")))</f>
        <v/>
      </c>
      <c r="M1637" t="n">
        <v>25</v>
      </c>
      <c r="N1637" t="n">
        <v>100</v>
      </c>
      <c r="O1637" t="n">
        <v>29.65367965367965</v>
      </c>
    </row>
    <row r="1638" hidden="1">
      <c r="A1638" s="11" t="n">
        <v>46051</v>
      </c>
      <c r="B1638" t="inlineStr">
        <is>
          <t>Lizandra Gomes Duarte</t>
        </is>
      </c>
      <c r="C1638" t="inlineStr">
        <is>
          <t>Técnico II</t>
        </is>
      </c>
      <c r="D1638" t="n">
        <v>28</v>
      </c>
      <c r="E1638" t="n">
        <v>23</v>
      </c>
      <c r="F1638" t="n">
        <v>23.54</v>
      </c>
      <c r="G1638" t="n">
        <v>0</v>
      </c>
      <c r="H1638" t="n">
        <v>0</v>
      </c>
      <c r="I1638" s="3">
        <f>E1638+G1638+H1638</f>
        <v/>
      </c>
      <c r="J1638" s="3">
        <f>ROUND(MIN(IF(C1638="Técnico III",35,IF(C1638="Técnico II",28,IF(C1638="Técnico I",23,IF(C1638="JR",20,IF(C1638="Estágio",10,0))))),IF(C1638="Técnico III",SUMIFS($D:$D,$A:$A,$A1638,$B:$B,"&lt;&gt;Patrícia Karla de Sousa Araújo",$B:$B,"&lt;&gt;Lorena Dias de Araujo",$B:$B,"&lt;&gt;Lucas Luiz Romero")*(35/1083),IF(C1638="Técnico II",SUMIFS($D:$D,$A:$A,$A1638,$B:$B,"&lt;&gt;Patrícia Karla de Sousa Araújo",$B:$B,"&lt;&gt;Lorena Dias de Araujo",$B:$B,"&lt;&gt;Lucas Luiz Romero")*(28/1083),IF(C1638="Técnico I",SUMIFS($D:$D,$A:$A,$A1638,$B:$B,"&lt;&gt;Patrícia Karla de Sousa Araújo",$B:$B,"&lt;&gt;Lorena Dias de Araujo",$B:$B,"&lt;&gt;Lucas Luiz Romero")*(23/1083),IF(C1638="JR",SUMIFS($D:$D,$A:$A,$A1638,$B:$B,"&lt;&gt;Patrícia Karla de Sousa Araújo",$B:$B,"&lt;&gt;Lorena Dias de Araujo",$B:$B,"&lt;&gt;Lucas Luiz Romero")*(20/1083),IF(C1638="Estágio",SUMIFS($D:$D,$A:$A,$A1638,$B:$B,"&lt;&gt;Patrícia Karla de Sousa Araújo",$B:$B,"&lt;&gt;Lorena Dias de Araujo",$B:$B,"&lt;&gt;Lucas Luiz Romero")*(10/1083),0)))))),0)</f>
        <v/>
      </c>
      <c r="K1638" s="3">
        <f>I1638-J1638</f>
        <v/>
      </c>
      <c r="L1638" s="3">
        <f>IF(K1638&lt;-5,"CRÍTICO",IF(K1638&lt;0,"ATENÇÃO",IF(K1638&lt;=5,"BOM","EXCELENTE")))</f>
        <v/>
      </c>
      <c r="M1638" t="n">
        <v>31</v>
      </c>
      <c r="N1638" t="n">
        <v>100</v>
      </c>
      <c r="O1638" t="n">
        <v>33.4065934065934</v>
      </c>
    </row>
    <row r="1639" hidden="1">
      <c r="A1639" s="11" t="n">
        <v>46051</v>
      </c>
      <c r="B1639" t="inlineStr">
        <is>
          <t>Lorena Dias de Araujo</t>
        </is>
      </c>
      <c r="C1639" t="inlineStr">
        <is>
          <t>Técnico II</t>
        </is>
      </c>
      <c r="D1639" t="n">
        <v>26</v>
      </c>
      <c r="E1639" t="n">
        <v>23</v>
      </c>
      <c r="F1639" t="n">
        <v>15.59</v>
      </c>
      <c r="G1639" t="n">
        <v>0</v>
      </c>
      <c r="H1639" t="n">
        <v>0</v>
      </c>
      <c r="I1639" s="3" t="n">
        <v>0</v>
      </c>
      <c r="J1639" s="3" t="n">
        <v>0</v>
      </c>
      <c r="K1639" s="3" t="n">
        <v>0</v>
      </c>
      <c r="L1639" s="3">
        <f>IF(K1639&lt;-5,"CRÍTICO",IF(K1639&lt;0,"ATENÇÃO",IF(K1639&lt;=5,"BOM","EXCELENTE")))</f>
        <v/>
      </c>
      <c r="M1639" t="n">
        <v>15</v>
      </c>
      <c r="N1639" t="n">
        <v>98.29000000000001</v>
      </c>
      <c r="O1639" t="n">
        <v>32.41206030150754</v>
      </c>
    </row>
    <row r="1640" hidden="1">
      <c r="A1640" s="11" t="n">
        <v>46051</v>
      </c>
      <c r="B1640" t="inlineStr">
        <is>
          <t>Lucas Luiz Romero</t>
        </is>
      </c>
      <c r="C1640" t="inlineStr">
        <is>
          <t>Técnico III</t>
        </is>
      </c>
      <c r="D1640" t="n">
        <v>96</v>
      </c>
      <c r="E1640" t="n">
        <v>35</v>
      </c>
      <c r="F1640" t="n">
        <v>5.04</v>
      </c>
      <c r="G1640" t="n">
        <v>0</v>
      </c>
      <c r="H1640" t="n">
        <v>0</v>
      </c>
      <c r="I1640" s="3">
        <f>E1640+G1640+H1640</f>
        <v/>
      </c>
      <c r="J1640" s="3">
        <f>ROUND(MIN(IF(C1640="Técnico III",35,IF(C1640="Técnico II",28,IF(C1640="Técnico I",23,IF(C1640="JR",20,IF(C1640="Estágio",10,0))))),IF(C1640="Técnico III",SUMIFS($D:$D,$A:$A,$A1640,$B:$B,"&lt;&gt;Patrícia Karla de Sousa Araújo",$B:$B,"&lt;&gt;Lorena Dias de Araujo",$B:$B,"&lt;&gt;Lucas Luiz Romero")*(35/1083),IF(C1640="Técnico II",SUMIFS($D:$D,$A:$A,$A1640,$B:$B,"&lt;&gt;Patrícia Karla de Sousa Araújo",$B:$B,"&lt;&gt;Lorena Dias de Araujo",$B:$B,"&lt;&gt;Lucas Luiz Romero")*(28/1083),IF(C1640="Técnico I",SUMIFS($D:$D,$A:$A,$A1640,$B:$B,"&lt;&gt;Patrícia Karla de Sousa Araújo",$B:$B,"&lt;&gt;Lorena Dias de Araujo",$B:$B,"&lt;&gt;Lucas Luiz Romero")*(23/1083),IF(C1640="JR",SUMIFS($D:$D,$A:$A,$A1640,$B:$B,"&lt;&gt;Patrícia Karla de Sousa Araújo",$B:$B,"&lt;&gt;Lorena Dias de Araujo",$B:$B,"&lt;&gt;Lucas Luiz Romero")*(20/1083),IF(C1640="Estágio",SUMIFS($D:$D,$A:$A,$A1640,$B:$B,"&lt;&gt;Patrícia Karla de Sousa Araújo",$B:$B,"&lt;&gt;Lorena Dias de Araujo",$B:$B,"&lt;&gt;Lucas Luiz Romero")*(10/1083),0)))))),0)</f>
        <v/>
      </c>
      <c r="K1640" s="3">
        <f>I1640-J1640</f>
        <v/>
      </c>
      <c r="L1640" s="3">
        <f>IF(K1640&lt;-5,"CRÍTICO",IF(K1640&lt;0,"ATENÇÃO",IF(K1640&lt;=5,"BOM","EXCELENTE")))</f>
        <v/>
      </c>
      <c r="M1640" t="n">
        <v>15</v>
      </c>
      <c r="N1640" t="n">
        <v>96.43000000000001</v>
      </c>
      <c r="O1640" t="n">
        <v>26.88888888888889</v>
      </c>
    </row>
    <row r="1641" hidden="1">
      <c r="A1641" s="11" t="n">
        <v>46051</v>
      </c>
      <c r="B1641" t="inlineStr">
        <is>
          <t>Luiz Fernando de Carvalho Junior</t>
        </is>
      </c>
      <c r="C1641" t="inlineStr">
        <is>
          <t>Técnico I</t>
        </is>
      </c>
      <c r="D1641" t="n">
        <v>20</v>
      </c>
      <c r="E1641" t="n">
        <v>17</v>
      </c>
      <c r="F1641" t="n">
        <v>22.09</v>
      </c>
      <c r="G1641" t="n">
        <v>0</v>
      </c>
      <c r="H1641" t="n">
        <v>0</v>
      </c>
      <c r="I1641" s="3">
        <f>E1641+G1641+H1641</f>
        <v/>
      </c>
      <c r="J1641" s="3">
        <f>ROUND(MIN(IF(C1641="Técnico III",35,IF(C1641="Técnico II",28,IF(C1641="Técnico I",23,IF(C1641="JR",20,IF(C1641="Estágio",10,0))))),IF(C1641="Técnico III",SUMIFS($D:$D,$A:$A,$A1641,$B:$B,"&lt;&gt;Patrícia Karla de Sousa Araújo",$B:$B,"&lt;&gt;Lorena Dias de Araujo",$B:$B,"&lt;&gt;Lucas Luiz Romero")*(35/1083),IF(C1641="Técnico II",SUMIFS($D:$D,$A:$A,$A1641,$B:$B,"&lt;&gt;Patrícia Karla de Sousa Araújo",$B:$B,"&lt;&gt;Lorena Dias de Araujo",$B:$B,"&lt;&gt;Lucas Luiz Romero")*(28/1083),IF(C1641="Técnico I",SUMIFS($D:$D,$A:$A,$A1641,$B:$B,"&lt;&gt;Patrícia Karla de Sousa Araújo",$B:$B,"&lt;&gt;Lorena Dias de Araujo",$B:$B,"&lt;&gt;Lucas Luiz Romero")*(23/1083),IF(C1641="JR",SUMIFS($D:$D,$A:$A,$A1641,$B:$B,"&lt;&gt;Patrícia Karla de Sousa Araújo",$B:$B,"&lt;&gt;Lorena Dias de Araujo",$B:$B,"&lt;&gt;Lucas Luiz Romero")*(20/1083),IF(C1641="Estágio",SUMIFS($D:$D,$A:$A,$A1641,$B:$B,"&lt;&gt;Patrícia Karla de Sousa Araújo",$B:$B,"&lt;&gt;Lorena Dias de Araujo",$B:$B,"&lt;&gt;Lucas Luiz Romero")*(10/1083),0)))))),0)</f>
        <v/>
      </c>
      <c r="K1641" s="3">
        <f>I1641-J1641</f>
        <v/>
      </c>
      <c r="L1641" s="3">
        <f>IF(K1641&lt;-5,"CRÍTICO",IF(K1641&lt;0,"ATENÇÃO",IF(K1641&lt;=5,"BOM","EXCELENTE")))</f>
        <v/>
      </c>
      <c r="M1641" t="n">
        <v>17</v>
      </c>
      <c r="N1641" t="n">
        <v>98.86</v>
      </c>
      <c r="O1641" t="n">
        <v>28.53025936599424</v>
      </c>
    </row>
    <row r="1642" hidden="1">
      <c r="A1642" s="11" t="n">
        <v>46051</v>
      </c>
      <c r="B1642" t="inlineStr">
        <is>
          <t>Maria Eduarda Sousa Costa</t>
        </is>
      </c>
      <c r="C1642" t="inlineStr">
        <is>
          <t>Estágio</t>
        </is>
      </c>
      <c r="D1642" t="n">
        <v>8</v>
      </c>
      <c r="E1642" t="n">
        <v>8</v>
      </c>
      <c r="F1642" t="n">
        <v>25.39</v>
      </c>
      <c r="G1642" t="n">
        <v>0</v>
      </c>
      <c r="H1642" t="n">
        <v>0</v>
      </c>
      <c r="I1642" s="3">
        <f>E1642+G1642+H1642</f>
        <v/>
      </c>
      <c r="J1642" s="3">
        <f>ROUND(MIN(IF(C1642="Técnico III",35,IF(C1642="Técnico II",28,IF(C1642="Técnico I",23,IF(C1642="JR",20,IF(C1642="Estágio",10,0))))),IF(C1642="Técnico III",SUMIFS($D:$D,$A:$A,$A1642,$B:$B,"&lt;&gt;Patrícia Karla de Sousa Araújo",$B:$B,"&lt;&gt;Lorena Dias de Araujo",$B:$B,"&lt;&gt;Lucas Luiz Romero")*(35/1083),IF(C1642="Técnico II",SUMIFS($D:$D,$A:$A,$A1642,$B:$B,"&lt;&gt;Patrícia Karla de Sousa Araújo",$B:$B,"&lt;&gt;Lorena Dias de Araujo",$B:$B,"&lt;&gt;Lucas Luiz Romero")*(28/1083),IF(C1642="Técnico I",SUMIFS($D:$D,$A:$A,$A1642,$B:$B,"&lt;&gt;Patrícia Karla de Sousa Araújo",$B:$B,"&lt;&gt;Lorena Dias de Araujo",$B:$B,"&lt;&gt;Lucas Luiz Romero")*(23/1083),IF(C1642="JR",SUMIFS($D:$D,$A:$A,$A1642,$B:$B,"&lt;&gt;Patrícia Karla de Sousa Araújo",$B:$B,"&lt;&gt;Lorena Dias de Araujo",$B:$B,"&lt;&gt;Lucas Luiz Romero")*(20/1083),IF(C1642="Estágio",SUMIFS($D:$D,$A:$A,$A1642,$B:$B,"&lt;&gt;Patrícia Karla de Sousa Araújo",$B:$B,"&lt;&gt;Lorena Dias de Araujo",$B:$B,"&lt;&gt;Lucas Luiz Romero")*(10/1083),0)))))),0)</f>
        <v/>
      </c>
      <c r="K1642" s="3">
        <f>I1642-J1642</f>
        <v/>
      </c>
      <c r="L1642" s="3">
        <f>IF(K1642&lt;-5,"CRÍTICO",IF(K1642&lt;0,"ATENÇÃO",IF(K1642&lt;=5,"BOM","EXCELENTE")))</f>
        <v/>
      </c>
      <c r="M1642" t="n">
        <v>7</v>
      </c>
      <c r="N1642" t="n">
        <v>100</v>
      </c>
      <c r="O1642" t="n">
        <v>34.69387755102041</v>
      </c>
    </row>
    <row r="1643" hidden="1">
      <c r="A1643" s="11" t="n">
        <v>46051</v>
      </c>
      <c r="B1643" t="inlineStr">
        <is>
          <t>Matheus Farias De Souza</t>
        </is>
      </c>
      <c r="C1643" t="inlineStr">
        <is>
          <t>Técnico III</t>
        </is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s="3" t="n">
        <v>0</v>
      </c>
      <c r="J1643" s="3" t="n">
        <v>0</v>
      </c>
      <c r="K1643" s="3" t="n">
        <v>0</v>
      </c>
      <c r="L1643" s="3">
        <f>IF(K1643&lt;-5,"CRÍTICO",IF(K1643&lt;0,"ATENÇÃO",IF(K1643&lt;=5,"BOM","EXCELENTE")))</f>
        <v/>
      </c>
      <c r="M1643" t="n">
        <v>0</v>
      </c>
      <c r="N1643" t="n">
        <v>100</v>
      </c>
      <c r="O1643" t="n">
        <v>27.43362831858407</v>
      </c>
    </row>
    <row r="1644" hidden="1">
      <c r="A1644" s="11" t="n">
        <v>46051</v>
      </c>
      <c r="B1644" t="inlineStr">
        <is>
          <t>Maysa Victoria Dias Moura</t>
        </is>
      </c>
      <c r="C1644" t="inlineStr">
        <is>
          <t>Técnico III</t>
        </is>
      </c>
      <c r="D1644" t="n">
        <v>50</v>
      </c>
      <c r="E1644" t="n">
        <v>31</v>
      </c>
      <c r="F1644" t="n">
        <v>7.17</v>
      </c>
      <c r="G1644" t="n">
        <v>0</v>
      </c>
      <c r="H1644" t="n">
        <v>0</v>
      </c>
      <c r="I1644" s="3">
        <f>E1644+G1644+H1644</f>
        <v/>
      </c>
      <c r="J1644" s="3">
        <f>ROUND(MIN(IF(C1644="Técnico III",35,IF(C1644="Técnico II",28,IF(C1644="Técnico I",23,IF(C1644="JR",20,IF(C1644="Estágio",10,0))))),IF(C1644="Técnico III",SUMIFS($D:$D,$A:$A,$A1644,$B:$B,"&lt;&gt;Patrícia Karla de Sousa Araújo",$B:$B,"&lt;&gt;Lorena Dias de Araujo",$B:$B,"&lt;&gt;Lucas Luiz Romero")*(35/1083),IF(C1644="Técnico II",SUMIFS($D:$D,$A:$A,$A1644,$B:$B,"&lt;&gt;Patrícia Karla de Sousa Araújo",$B:$B,"&lt;&gt;Lorena Dias de Araujo",$B:$B,"&lt;&gt;Lucas Luiz Romero")*(28/1083),IF(C1644="Técnico I",SUMIFS($D:$D,$A:$A,$A1644,$B:$B,"&lt;&gt;Patrícia Karla de Sousa Araújo",$B:$B,"&lt;&gt;Lorena Dias de Araujo",$B:$B,"&lt;&gt;Lucas Luiz Romero")*(23/1083),IF(C1644="JR",SUMIFS($D:$D,$A:$A,$A1644,$B:$B,"&lt;&gt;Patrícia Karla de Sousa Araújo",$B:$B,"&lt;&gt;Lorena Dias de Araujo",$B:$B,"&lt;&gt;Lucas Luiz Romero")*(20/1083),IF(C1644="Estágio",SUMIFS($D:$D,$A:$A,$A1644,$B:$B,"&lt;&gt;Patrícia Karla de Sousa Araújo",$B:$B,"&lt;&gt;Lorena Dias de Araujo",$B:$B,"&lt;&gt;Lucas Luiz Romero")*(10/1083),0)))))),0)</f>
        <v/>
      </c>
      <c r="K1644" s="3">
        <f>I1644-J1644</f>
        <v/>
      </c>
      <c r="L1644" s="3">
        <f>IF(K1644&lt;-5,"CRÍTICO",IF(K1644&lt;0,"ATENÇÃO",IF(K1644&lt;=5,"BOM","EXCELENTE")))</f>
        <v/>
      </c>
      <c r="M1644" t="n">
        <v>28</v>
      </c>
      <c r="N1644" t="n">
        <v>98.59</v>
      </c>
      <c r="O1644" t="n">
        <v>31.09404990403071</v>
      </c>
    </row>
    <row r="1645" hidden="1">
      <c r="A1645" s="11" t="n">
        <v>46051</v>
      </c>
      <c r="B1645" t="inlineStr">
        <is>
          <t>Michelle G Santos</t>
        </is>
      </c>
      <c r="C1645" t="inlineStr">
        <is>
          <t>Estágio</t>
        </is>
      </c>
      <c r="D1645" t="n">
        <v>9</v>
      </c>
      <c r="E1645" t="n">
        <v>9</v>
      </c>
      <c r="F1645" t="n">
        <v>32.01</v>
      </c>
      <c r="G1645" t="n">
        <v>0</v>
      </c>
      <c r="H1645" t="n">
        <v>0</v>
      </c>
      <c r="I1645" s="3">
        <f>E1645+G1645+H1645</f>
        <v/>
      </c>
      <c r="J1645" s="3">
        <f>ROUND(MIN(IF(C1645="Técnico III",35,IF(C1645="Técnico II",28,IF(C1645="Técnico I",23,IF(C1645="JR",20,IF(C1645="Estágio",10,0))))),IF(C1645="Técnico III",SUMIFS($D:$D,$A:$A,$A1645,$B:$B,"&lt;&gt;Patrícia Karla de Sousa Araújo",$B:$B,"&lt;&gt;Lorena Dias de Araujo",$B:$B,"&lt;&gt;Lucas Luiz Romero")*(35/1083),IF(C1645="Técnico II",SUMIFS($D:$D,$A:$A,$A1645,$B:$B,"&lt;&gt;Patrícia Karla de Sousa Araújo",$B:$B,"&lt;&gt;Lorena Dias de Araujo",$B:$B,"&lt;&gt;Lucas Luiz Romero")*(28/1083),IF(C1645="Técnico I",SUMIFS($D:$D,$A:$A,$A1645,$B:$B,"&lt;&gt;Patrícia Karla de Sousa Araújo",$B:$B,"&lt;&gt;Lorena Dias de Araujo",$B:$B,"&lt;&gt;Lucas Luiz Romero")*(23/1083),IF(C1645="JR",SUMIFS($D:$D,$A:$A,$A1645,$B:$B,"&lt;&gt;Patrícia Karla de Sousa Araújo",$B:$B,"&lt;&gt;Lorena Dias de Araujo",$B:$B,"&lt;&gt;Lucas Luiz Romero")*(20/1083),IF(C1645="Estágio",SUMIFS($D:$D,$A:$A,$A1645,$B:$B,"&lt;&gt;Patrícia Karla de Sousa Araújo",$B:$B,"&lt;&gt;Lorena Dias de Araujo",$B:$B,"&lt;&gt;Lucas Luiz Romero")*(10/1083),0)))))),0)</f>
        <v/>
      </c>
      <c r="K1645" s="3">
        <f>I1645-J1645</f>
        <v/>
      </c>
      <c r="L1645" s="3">
        <f>IF(K1645&lt;-5,"CRÍTICO",IF(K1645&lt;0,"ATENÇÃO",IF(K1645&lt;=5,"BOM","EXCELENTE")))</f>
        <v/>
      </c>
      <c r="M1645" t="n">
        <v>5</v>
      </c>
      <c r="N1645" t="n">
        <v>100</v>
      </c>
      <c r="O1645" t="n">
        <v>8.695652173913043</v>
      </c>
    </row>
    <row r="1646" hidden="1">
      <c r="A1646" s="11" t="n">
        <v>46051</v>
      </c>
      <c r="B1646" t="inlineStr">
        <is>
          <t>Milena Sales</t>
        </is>
      </c>
      <c r="C1646" t="inlineStr">
        <is>
          <t>JR</t>
        </is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s="3" t="n">
        <v>0</v>
      </c>
      <c r="J1646" s="3" t="n">
        <v>0</v>
      </c>
      <c r="K1646" s="3" t="n">
        <v>0</v>
      </c>
      <c r="L1646" s="3">
        <f>IF(K1646&lt;-5,"CRÍTICO",IF(K1646&lt;0,"ATENÇÃO",IF(K1646&lt;=5,"BOM","EXCELENTE")))</f>
        <v/>
      </c>
      <c r="M1646" t="n">
        <v>0</v>
      </c>
      <c r="N1646" t="n">
        <v>0</v>
      </c>
      <c r="O1646" t="n">
        <v>0</v>
      </c>
    </row>
    <row r="1647" hidden="1">
      <c r="A1647" s="11" t="n">
        <v>46051</v>
      </c>
      <c r="B1647" t="inlineStr">
        <is>
          <t>Patrícia Karla de Sousa Araújo</t>
        </is>
      </c>
      <c r="C1647" t="inlineStr">
        <is>
          <t>Técnico II</t>
        </is>
      </c>
      <c r="D1647" t="n">
        <v>21</v>
      </c>
      <c r="E1647" t="n">
        <v>16</v>
      </c>
      <c r="F1647" t="n">
        <v>20.58</v>
      </c>
      <c r="G1647" t="n">
        <v>0</v>
      </c>
      <c r="H1647" t="n">
        <v>0</v>
      </c>
      <c r="I1647" s="3">
        <f>E1647+G1647+H1647</f>
        <v/>
      </c>
      <c r="J1647" s="3">
        <f>ROUND(MIN(IF(C1647="Técnico III",35,IF(C1647="Técnico II",28,IF(C1647="Técnico I",23,IF(C1647="JR",20,IF(C1647="Estágio",10,0))))),IF(C1647="Técnico III",SUMIFS($D:$D,$A:$A,$A1647,$B:$B,"&lt;&gt;Patrícia Karla de Sousa Araújo",$B:$B,"&lt;&gt;Lorena Dias de Araujo",$B:$B,"&lt;&gt;Lucas Luiz Romero")*(35/1083),IF(C1647="Técnico II",SUMIFS($D:$D,$A:$A,$A1647,$B:$B,"&lt;&gt;Patrícia Karla de Sousa Araújo",$B:$B,"&lt;&gt;Lorena Dias de Araujo",$B:$B,"&lt;&gt;Lucas Luiz Romero")*(28/1083),IF(C1647="Técnico I",SUMIFS($D:$D,$A:$A,$A1647,$B:$B,"&lt;&gt;Patrícia Karla de Sousa Araújo",$B:$B,"&lt;&gt;Lorena Dias de Araujo",$B:$B,"&lt;&gt;Lucas Luiz Romero")*(23/1083),IF(C1647="JR",SUMIFS($D:$D,$A:$A,$A1647,$B:$B,"&lt;&gt;Patrícia Karla de Sousa Araújo",$B:$B,"&lt;&gt;Lorena Dias de Araujo",$B:$B,"&lt;&gt;Lucas Luiz Romero")*(20/1083),IF(C1647="Estágio",SUMIFS($D:$D,$A:$A,$A1647,$B:$B,"&lt;&gt;Patrícia Karla de Sousa Araújo",$B:$B,"&lt;&gt;Lorena Dias de Araujo",$B:$B,"&lt;&gt;Lucas Luiz Romero")*(10/1083),0)))))),0)</f>
        <v/>
      </c>
      <c r="K1647" s="3">
        <f>I1647-J1647</f>
        <v/>
      </c>
      <c r="L1647" s="3">
        <f>IF(K1647&lt;-5,"CRÍTICO",IF(K1647&lt;0,"ATENÇÃO",IF(K1647&lt;=5,"BOM","EXCELENTE")))</f>
        <v/>
      </c>
      <c r="M1647" t="n">
        <v>11</v>
      </c>
      <c r="N1647" t="n">
        <v>97.3</v>
      </c>
      <c r="O1647" t="n">
        <v>30.38674033149171</v>
      </c>
    </row>
    <row r="1648" hidden="1">
      <c r="A1648" s="11" t="n">
        <v>46051</v>
      </c>
      <c r="B1648" t="inlineStr">
        <is>
          <t>Paulo Ricardo Santos</t>
        </is>
      </c>
      <c r="C1648" t="inlineStr">
        <is>
          <t>JR</t>
        </is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s="3" t="n">
        <v>0</v>
      </c>
      <c r="J1648" s="3" t="n">
        <v>0</v>
      </c>
      <c r="K1648" s="3" t="n">
        <v>0</v>
      </c>
      <c r="L1648" s="3">
        <f>IF(K1648&lt;-5,"CRÍTICO",IF(K1648&lt;0,"ATENÇÃO",IF(K1648&lt;=5,"BOM","EXCELENTE")))</f>
        <v/>
      </c>
      <c r="M1648" t="n">
        <v>0</v>
      </c>
      <c r="N1648" t="n">
        <v>0</v>
      </c>
      <c r="O1648" t="n">
        <v>0</v>
      </c>
    </row>
    <row r="1649" hidden="1">
      <c r="A1649" s="11" t="n">
        <v>46051</v>
      </c>
      <c r="B1649" t="inlineStr">
        <is>
          <t>Pedro Luiz Mota Sousa</t>
        </is>
      </c>
      <c r="C1649" t="inlineStr">
        <is>
          <t>JR</t>
        </is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s="3" t="n">
        <v>0</v>
      </c>
      <c r="J1649" s="3" t="n">
        <v>0</v>
      </c>
      <c r="K1649" s="3" t="n">
        <v>0</v>
      </c>
      <c r="L1649" s="3">
        <f>IF(K1649&lt;-5,"CRÍTICO",IF(K1649&lt;0,"ATENÇÃO",IF(K1649&lt;=5,"BOM","EXCELENTE")))</f>
        <v/>
      </c>
      <c r="M1649" t="n">
        <v>0</v>
      </c>
      <c r="N1649" t="n">
        <v>0</v>
      </c>
      <c r="O1649" t="n">
        <v>0</v>
      </c>
    </row>
    <row r="1650" hidden="1">
      <c r="A1650" s="11" t="n">
        <v>46051</v>
      </c>
      <c r="B1650" t="inlineStr">
        <is>
          <t>Quirino Diogo Leite Torres</t>
        </is>
      </c>
      <c r="C1650" t="inlineStr">
        <is>
          <t>Estágio</t>
        </is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s="3" t="n">
        <v>0</v>
      </c>
      <c r="J1650" s="3" t="n">
        <v>0</v>
      </c>
      <c r="K1650" s="3" t="n">
        <v>0</v>
      </c>
      <c r="L1650" s="3">
        <f>IF(K1650&lt;-5,"CRÍTICO",IF(K1650&lt;0,"ATENÇÃO",IF(K1650&lt;=5,"BOM","EXCELENTE")))</f>
        <v/>
      </c>
      <c r="M1650" t="n">
        <v>0</v>
      </c>
      <c r="N1650" t="n">
        <v>0</v>
      </c>
      <c r="O1650" t="n">
        <v>0</v>
      </c>
    </row>
    <row r="1651" hidden="1">
      <c r="A1651" s="11" t="n">
        <v>46051</v>
      </c>
      <c r="B1651" t="inlineStr">
        <is>
          <t>Raane Batista Matos</t>
        </is>
      </c>
      <c r="C1651" t="inlineStr">
        <is>
          <t>Técnico I</t>
        </is>
      </c>
      <c r="D1651" t="n">
        <v>8</v>
      </c>
      <c r="E1651" t="n">
        <v>5</v>
      </c>
      <c r="F1651" t="n">
        <v>43.53</v>
      </c>
      <c r="G1651" t="n">
        <v>0</v>
      </c>
      <c r="H1651" t="n">
        <v>0</v>
      </c>
      <c r="I1651" s="3">
        <f>E1651+G1651+H1651</f>
        <v/>
      </c>
      <c r="J1651" s="3">
        <f>ROUND(MIN(IF(C1651="Técnico III",35,IF(C1651="Técnico II",28,IF(C1651="Técnico I",23,IF(C1651="JR",20,IF(C1651="Estágio",10,0))))),IF(C1651="Técnico III",SUMIFS($D:$D,$A:$A,$A1651,$B:$B,"&lt;&gt;Patrícia Karla de Sousa Araújo",$B:$B,"&lt;&gt;Lorena Dias de Araujo",$B:$B,"&lt;&gt;Lucas Luiz Romero")*(35/1083),IF(C1651="Técnico II",SUMIFS($D:$D,$A:$A,$A1651,$B:$B,"&lt;&gt;Patrícia Karla de Sousa Araújo",$B:$B,"&lt;&gt;Lorena Dias de Araujo",$B:$B,"&lt;&gt;Lucas Luiz Romero")*(28/1083),IF(C1651="Técnico I",SUMIFS($D:$D,$A:$A,$A1651,$B:$B,"&lt;&gt;Patrícia Karla de Sousa Araújo",$B:$B,"&lt;&gt;Lorena Dias de Araujo",$B:$B,"&lt;&gt;Lucas Luiz Romero")*(23/1083),IF(C1651="JR",SUMIFS($D:$D,$A:$A,$A1651,$B:$B,"&lt;&gt;Patrícia Karla de Sousa Araújo",$B:$B,"&lt;&gt;Lorena Dias de Araujo",$B:$B,"&lt;&gt;Lucas Luiz Romero")*(20/1083),IF(C1651="Estágio",SUMIFS($D:$D,$A:$A,$A1651,$B:$B,"&lt;&gt;Patrícia Karla de Sousa Araújo",$B:$B,"&lt;&gt;Lorena Dias de Araujo",$B:$B,"&lt;&gt;Lucas Luiz Romero")*(10/1083),0)))))),0)</f>
        <v/>
      </c>
      <c r="K1651" s="3">
        <f>I1651-J1651</f>
        <v/>
      </c>
      <c r="L1651" s="3">
        <f>IF(K1651&lt;-5,"CRÍTICO",IF(K1651&lt;0,"ATENÇÃO",IF(K1651&lt;=5,"BOM","EXCELENTE")))</f>
        <v/>
      </c>
      <c r="M1651" t="n">
        <v>6</v>
      </c>
      <c r="N1651" t="n">
        <v>0</v>
      </c>
      <c r="O1651" t="n">
        <v>50</v>
      </c>
    </row>
    <row r="1652" hidden="1">
      <c r="A1652" s="11" t="n">
        <v>46051</v>
      </c>
      <c r="B1652" t="inlineStr">
        <is>
          <t>Rafael Gomes de Morais</t>
        </is>
      </c>
      <c r="C1652" t="inlineStr">
        <is>
          <t>Técnico III</t>
        </is>
      </c>
      <c r="D1652" t="n">
        <v>50</v>
      </c>
      <c r="E1652" t="n">
        <v>45</v>
      </c>
      <c r="F1652" t="n">
        <v>10.49</v>
      </c>
      <c r="G1652" t="n">
        <v>0</v>
      </c>
      <c r="H1652" t="n">
        <v>0</v>
      </c>
      <c r="I1652" s="3">
        <f>E1652+G1652+H1652</f>
        <v/>
      </c>
      <c r="J1652" s="3">
        <f>ROUND(MIN(IF(C1652="Técnico III",35,IF(C1652="Técnico II",28,IF(C1652="Técnico I",23,IF(C1652="JR",20,IF(C1652="Estágio",10,0))))),IF(C1652="Técnico III",SUMIFS($D:$D,$A:$A,$A1652,$B:$B,"&lt;&gt;Patrícia Karla de Sousa Araújo",$B:$B,"&lt;&gt;Lorena Dias de Araujo",$B:$B,"&lt;&gt;Lucas Luiz Romero")*(35/1083),IF(C1652="Técnico II",SUMIFS($D:$D,$A:$A,$A1652,$B:$B,"&lt;&gt;Patrícia Karla de Sousa Araújo",$B:$B,"&lt;&gt;Lorena Dias de Araujo",$B:$B,"&lt;&gt;Lucas Luiz Romero")*(28/1083),IF(C1652="Técnico I",SUMIFS($D:$D,$A:$A,$A1652,$B:$B,"&lt;&gt;Patrícia Karla de Sousa Araújo",$B:$B,"&lt;&gt;Lorena Dias de Araujo",$B:$B,"&lt;&gt;Lucas Luiz Romero")*(23/1083),IF(C1652="JR",SUMIFS($D:$D,$A:$A,$A1652,$B:$B,"&lt;&gt;Patrícia Karla de Sousa Araújo",$B:$B,"&lt;&gt;Lorena Dias de Araujo",$B:$B,"&lt;&gt;Lucas Luiz Romero")*(20/1083),IF(C1652="Estágio",SUMIFS($D:$D,$A:$A,$A1652,$B:$B,"&lt;&gt;Patrícia Karla de Sousa Araújo",$B:$B,"&lt;&gt;Lorena Dias de Araujo",$B:$B,"&lt;&gt;Lucas Luiz Romero")*(10/1083),0)))))),0)</f>
        <v/>
      </c>
      <c r="K1652" s="3">
        <f>I1652-J1652</f>
        <v/>
      </c>
      <c r="L1652" s="3">
        <f>IF(K1652&lt;-5,"CRÍTICO",IF(K1652&lt;0,"ATENÇÃO",IF(K1652&lt;=5,"BOM","EXCELENTE")))</f>
        <v/>
      </c>
      <c r="M1652" t="n">
        <v>34</v>
      </c>
      <c r="N1652" t="n">
        <v>100</v>
      </c>
      <c r="O1652" t="n">
        <v>46.30350194552529</v>
      </c>
    </row>
    <row r="1653" hidden="1">
      <c r="A1653" s="11" t="n">
        <v>46051</v>
      </c>
      <c r="B1653" t="inlineStr">
        <is>
          <t>Sara Maria Monteiro Lopes</t>
        </is>
      </c>
      <c r="C1653" t="inlineStr">
        <is>
          <t>Técnico I</t>
        </is>
      </c>
      <c r="D1653" t="n">
        <v>13</v>
      </c>
      <c r="E1653" t="n">
        <v>10</v>
      </c>
      <c r="F1653" t="n">
        <v>55</v>
      </c>
      <c r="G1653" t="n">
        <v>0</v>
      </c>
      <c r="H1653" t="n">
        <v>0</v>
      </c>
      <c r="I1653" s="3">
        <f>E1653+G1653+H1653</f>
        <v/>
      </c>
      <c r="J1653" s="3">
        <f>ROUND(MIN(IF(C1653="Técnico III",35,IF(C1653="Técnico II",28,IF(C1653="Técnico I",23,IF(C1653="JR",20,IF(C1653="Estágio",10,0))))),IF(C1653="Técnico III",SUMIFS($D:$D,$A:$A,$A1653,$B:$B,"&lt;&gt;Patrícia Karla de Sousa Araújo",$B:$B,"&lt;&gt;Lorena Dias de Araujo",$B:$B,"&lt;&gt;Lucas Luiz Romero")*(35/1083),IF(C1653="Técnico II",SUMIFS($D:$D,$A:$A,$A1653,$B:$B,"&lt;&gt;Patrícia Karla de Sousa Araújo",$B:$B,"&lt;&gt;Lorena Dias de Araujo",$B:$B,"&lt;&gt;Lucas Luiz Romero")*(28/1083),IF(C1653="Técnico I",SUMIFS($D:$D,$A:$A,$A1653,$B:$B,"&lt;&gt;Patrícia Karla de Sousa Araújo",$B:$B,"&lt;&gt;Lorena Dias de Araujo",$B:$B,"&lt;&gt;Lucas Luiz Romero")*(23/1083),IF(C1653="JR",SUMIFS($D:$D,$A:$A,$A1653,$B:$B,"&lt;&gt;Patrícia Karla de Sousa Araújo",$B:$B,"&lt;&gt;Lorena Dias de Araujo",$B:$B,"&lt;&gt;Lucas Luiz Romero")*(20/1083),IF(C1653="Estágio",SUMIFS($D:$D,$A:$A,$A1653,$B:$B,"&lt;&gt;Patrícia Karla de Sousa Araújo",$B:$B,"&lt;&gt;Lorena Dias de Araujo",$B:$B,"&lt;&gt;Lucas Luiz Romero")*(10/1083),0)))))),0)</f>
        <v/>
      </c>
      <c r="K1653" s="3">
        <f>I1653-J1653</f>
        <v/>
      </c>
      <c r="L1653" s="3">
        <f>IF(K1653&lt;-5,"CRÍTICO",IF(K1653&lt;0,"ATENÇÃO",IF(K1653&lt;=5,"BOM","EXCELENTE")))</f>
        <v/>
      </c>
      <c r="M1653" t="n">
        <v>10</v>
      </c>
      <c r="N1653" t="n">
        <v>100</v>
      </c>
      <c r="O1653" t="n">
        <v>32.20338983050847</v>
      </c>
    </row>
    <row r="1654" hidden="1">
      <c r="A1654" s="11" t="n">
        <v>46051</v>
      </c>
      <c r="B1654" t="inlineStr">
        <is>
          <t>Sarah Steffanie de Lima Borges</t>
        </is>
      </c>
      <c r="C1654" t="inlineStr">
        <is>
          <t>Técnico III</t>
        </is>
      </c>
      <c r="D1654" t="n">
        <v>33</v>
      </c>
      <c r="E1654" t="n">
        <v>32</v>
      </c>
      <c r="F1654" t="n">
        <v>15.01</v>
      </c>
      <c r="G1654" t="n">
        <v>0</v>
      </c>
      <c r="H1654" t="n">
        <v>0</v>
      </c>
      <c r="I1654" s="3">
        <f>E1654+G1654+H1654</f>
        <v/>
      </c>
      <c r="J1654" s="3">
        <f>ROUND(MIN(IF(C1654="Técnico III",35,IF(C1654="Técnico II",28,IF(C1654="Técnico I",23,IF(C1654="JR",20,IF(C1654="Estágio",10,0))))),IF(C1654="Técnico III",SUMIFS($D:$D,$A:$A,$A1654,$B:$B,"&lt;&gt;Patrícia Karla de Sousa Araújo",$B:$B,"&lt;&gt;Lorena Dias de Araujo",$B:$B,"&lt;&gt;Lucas Luiz Romero")*(35/1083),IF(C1654="Técnico II",SUMIFS($D:$D,$A:$A,$A1654,$B:$B,"&lt;&gt;Patrícia Karla de Sousa Araújo",$B:$B,"&lt;&gt;Lorena Dias de Araujo",$B:$B,"&lt;&gt;Lucas Luiz Romero")*(28/1083),IF(C1654="Técnico I",SUMIFS($D:$D,$A:$A,$A1654,$B:$B,"&lt;&gt;Patrícia Karla de Sousa Araújo",$B:$B,"&lt;&gt;Lorena Dias de Araujo",$B:$B,"&lt;&gt;Lucas Luiz Romero")*(23/1083),IF(C1654="JR",SUMIFS($D:$D,$A:$A,$A1654,$B:$B,"&lt;&gt;Patrícia Karla de Sousa Araújo",$B:$B,"&lt;&gt;Lorena Dias de Araujo",$B:$B,"&lt;&gt;Lucas Luiz Romero")*(20/1083),IF(C1654="Estágio",SUMIFS($D:$D,$A:$A,$A1654,$B:$B,"&lt;&gt;Patrícia Karla de Sousa Araújo",$B:$B,"&lt;&gt;Lorena Dias de Araujo",$B:$B,"&lt;&gt;Lucas Luiz Romero")*(10/1083),0)))))),0)</f>
        <v/>
      </c>
      <c r="K1654" s="3">
        <f>I1654-J1654</f>
        <v/>
      </c>
      <c r="L1654" s="3">
        <f>IF(K1654&lt;-5,"CRÍTICO",IF(K1654&lt;0,"ATENÇÃO",IF(K1654&lt;=5,"BOM","EXCELENTE")))</f>
        <v/>
      </c>
      <c r="M1654" t="n">
        <v>29</v>
      </c>
      <c r="N1654" t="n">
        <v>98.37</v>
      </c>
      <c r="O1654" t="n">
        <v>28.69198312236287</v>
      </c>
    </row>
    <row r="1655" hidden="1">
      <c r="A1655" s="11" t="n">
        <v>46052</v>
      </c>
      <c r="B1655" t="inlineStr">
        <is>
          <t>Alisson de Freitas Silva</t>
        </is>
      </c>
      <c r="C1655" t="inlineStr">
        <is>
          <t>Técnico II</t>
        </is>
      </c>
      <c r="D1655" t="n">
        <v>39</v>
      </c>
      <c r="E1655" t="n">
        <v>32</v>
      </c>
      <c r="F1655" t="n">
        <v>14</v>
      </c>
      <c r="G1655" t="n">
        <v>0</v>
      </c>
      <c r="H1655" t="n">
        <v>0</v>
      </c>
      <c r="I1655" s="3">
        <f>E1655+G1655+H1655</f>
        <v/>
      </c>
      <c r="J1655" s="3">
        <f>ROUND(MIN(IF(C1655="Técnico III",35,IF(C1655="Técnico II",28,IF(C1655="Técnico I",23,IF(C1655="JR",20,IF(C1655="Estágio",10,0))))),IF(C1655="Técnico III",SUMIFS($D:$D,$A:$A,$A1655,$B:$B,"&lt;&gt;Patrícia Karla de Sousa Araújo",$B:$B,"&lt;&gt;Lorena Dias de Araujo",$B:$B,"&lt;&gt;Lucas Luiz Romero")*(35/1083),IF(C1655="Técnico II",SUMIFS($D:$D,$A:$A,$A1655,$B:$B,"&lt;&gt;Patrícia Karla de Sousa Araújo",$B:$B,"&lt;&gt;Lorena Dias de Araujo",$B:$B,"&lt;&gt;Lucas Luiz Romero")*(28/1083),IF(C1655="Técnico I",SUMIFS($D:$D,$A:$A,$A1655,$B:$B,"&lt;&gt;Patrícia Karla de Sousa Araújo",$B:$B,"&lt;&gt;Lorena Dias de Araujo",$B:$B,"&lt;&gt;Lucas Luiz Romero")*(23/1083),IF(C1655="JR",SUMIFS($D:$D,$A:$A,$A1655,$B:$B,"&lt;&gt;Patrícia Karla de Sousa Araújo",$B:$B,"&lt;&gt;Lorena Dias de Araujo",$B:$B,"&lt;&gt;Lucas Luiz Romero")*(20/1083),IF(C1655="Estágio",SUMIFS($D:$D,$A:$A,$A1655,$B:$B,"&lt;&gt;Patrícia Karla de Sousa Araújo",$B:$B,"&lt;&gt;Lorena Dias de Araujo",$B:$B,"&lt;&gt;Lucas Luiz Romero")*(10/1083),0)))))),0)</f>
        <v/>
      </c>
      <c r="K1655" s="3">
        <f>I1655-J1655</f>
        <v/>
      </c>
      <c r="L1655" s="3">
        <f>IF(K1655&lt;-5,"CRÍTICO",IF(K1655&lt;0,"ATENÇÃO",IF(K1655&lt;=5,"BOM","EXCELENTE")))</f>
        <v/>
      </c>
      <c r="M1655" t="n">
        <v>23</v>
      </c>
      <c r="N1655" t="n">
        <v>96.81</v>
      </c>
      <c r="O1655" t="n">
        <v>27.98053527980535</v>
      </c>
    </row>
    <row r="1656" hidden="1">
      <c r="A1656" s="11" t="n">
        <v>46052</v>
      </c>
      <c r="B1656" t="inlineStr">
        <is>
          <t>Amanda Moura Ferreira</t>
        </is>
      </c>
      <c r="C1656" t="inlineStr">
        <is>
          <t>Técnico III</t>
        </is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s="3" t="n">
        <v>0</v>
      </c>
      <c r="J1656" s="3" t="n">
        <v>0</v>
      </c>
      <c r="K1656" s="3" t="n">
        <v>0</v>
      </c>
      <c r="L1656" s="3">
        <f>IF(K1656&lt;-5,"CRÍTICO",IF(K1656&lt;0,"ATENÇÃO",IF(K1656&lt;=5,"BOM","EXCELENTE")))</f>
        <v/>
      </c>
      <c r="M1656" t="n">
        <v>29</v>
      </c>
      <c r="N1656" t="n">
        <v>98.73</v>
      </c>
      <c r="O1656" t="n">
        <v>35.75638506876228</v>
      </c>
    </row>
    <row r="1657" hidden="1">
      <c r="A1657" s="11" t="n">
        <v>46052</v>
      </c>
      <c r="B1657" t="inlineStr">
        <is>
          <t>Ana Karollyne Souza Faria</t>
        </is>
      </c>
      <c r="C1657" t="inlineStr">
        <is>
          <t>Técnico I</t>
        </is>
      </c>
      <c r="D1657" t="n">
        <v>26</v>
      </c>
      <c r="E1657" t="n">
        <v>25</v>
      </c>
      <c r="F1657" t="n">
        <v>25.45</v>
      </c>
      <c r="G1657" t="n">
        <v>0</v>
      </c>
      <c r="H1657" t="n">
        <v>0</v>
      </c>
      <c r="I1657" s="3">
        <f>E1657+G1657+H1657</f>
        <v/>
      </c>
      <c r="J1657" s="3">
        <f>ROUND(MIN(IF(C1657="Técnico III",35,IF(C1657="Técnico II",28,IF(C1657="Técnico I",23,IF(C1657="JR",20,IF(C1657="Estágio",10,0))))),IF(C1657="Técnico III",SUMIFS($D:$D,$A:$A,$A1657,$B:$B,"&lt;&gt;Patrícia Karla de Sousa Araújo",$B:$B,"&lt;&gt;Lorena Dias de Araujo",$B:$B,"&lt;&gt;Lucas Luiz Romero")*(35/1083),IF(C1657="Técnico II",SUMIFS($D:$D,$A:$A,$A1657,$B:$B,"&lt;&gt;Patrícia Karla de Sousa Araújo",$B:$B,"&lt;&gt;Lorena Dias de Araujo",$B:$B,"&lt;&gt;Lucas Luiz Romero")*(28/1083),IF(C1657="Técnico I",SUMIFS($D:$D,$A:$A,$A1657,$B:$B,"&lt;&gt;Patrícia Karla de Sousa Araújo",$B:$B,"&lt;&gt;Lorena Dias de Araujo",$B:$B,"&lt;&gt;Lucas Luiz Romero")*(23/1083),IF(C1657="JR",SUMIFS($D:$D,$A:$A,$A1657,$B:$B,"&lt;&gt;Patrícia Karla de Sousa Araújo",$B:$B,"&lt;&gt;Lorena Dias de Araujo",$B:$B,"&lt;&gt;Lucas Luiz Romero")*(20/1083),IF(C1657="Estágio",SUMIFS($D:$D,$A:$A,$A1657,$B:$B,"&lt;&gt;Patrícia Karla de Sousa Araújo",$B:$B,"&lt;&gt;Lorena Dias de Araujo",$B:$B,"&lt;&gt;Lucas Luiz Romero")*(10/1083),0)))))),0)</f>
        <v/>
      </c>
      <c r="K1657" s="3">
        <f>I1657-J1657</f>
        <v/>
      </c>
      <c r="L1657" s="3">
        <f>IF(K1657&lt;-5,"CRÍTICO",IF(K1657&lt;0,"ATENÇÃO",IF(K1657&lt;=5,"BOM","EXCELENTE")))</f>
        <v/>
      </c>
      <c r="M1657" t="n">
        <v>21</v>
      </c>
      <c r="N1657" t="n">
        <v>98.31999999999999</v>
      </c>
      <c r="O1657" t="n">
        <v>26.76348547717842</v>
      </c>
    </row>
    <row r="1658" hidden="1">
      <c r="A1658" s="11" t="n">
        <v>46052</v>
      </c>
      <c r="B1658" t="inlineStr">
        <is>
          <t>Ana Paula Da Luz Silva Aleixo</t>
        </is>
      </c>
      <c r="C1658" t="inlineStr">
        <is>
          <t>Técnico III</t>
        </is>
      </c>
      <c r="D1658" t="n">
        <v>27</v>
      </c>
      <c r="E1658" t="n">
        <v>25</v>
      </c>
      <c r="F1658" t="n">
        <v>20.38</v>
      </c>
      <c r="G1658" t="n">
        <v>0</v>
      </c>
      <c r="H1658" t="n">
        <v>0</v>
      </c>
      <c r="I1658" s="3">
        <f>E1658+G1658+H1658</f>
        <v/>
      </c>
      <c r="J1658" s="3">
        <f>ROUND(MIN(IF(C1658="Técnico III",35,IF(C1658="Técnico II",28,IF(C1658="Técnico I",23,IF(C1658="JR",20,IF(C1658="Estágio",10,0))))),IF(C1658="Técnico III",SUMIFS($D:$D,$A:$A,$A1658,$B:$B,"&lt;&gt;Patrícia Karla de Sousa Araújo",$B:$B,"&lt;&gt;Lorena Dias de Araujo",$B:$B,"&lt;&gt;Lucas Luiz Romero")*(35/1083),IF(C1658="Técnico II",SUMIFS($D:$D,$A:$A,$A1658,$B:$B,"&lt;&gt;Patrícia Karla de Sousa Araújo",$B:$B,"&lt;&gt;Lorena Dias de Araujo",$B:$B,"&lt;&gt;Lucas Luiz Romero")*(28/1083),IF(C1658="Técnico I",SUMIFS($D:$D,$A:$A,$A1658,$B:$B,"&lt;&gt;Patrícia Karla de Sousa Araújo",$B:$B,"&lt;&gt;Lorena Dias de Araujo",$B:$B,"&lt;&gt;Lucas Luiz Romero")*(23/1083),IF(C1658="JR",SUMIFS($D:$D,$A:$A,$A1658,$B:$B,"&lt;&gt;Patrícia Karla de Sousa Araújo",$B:$B,"&lt;&gt;Lorena Dias de Araujo",$B:$B,"&lt;&gt;Lucas Luiz Romero")*(20/1083),IF(C1658="Estágio",SUMIFS($D:$D,$A:$A,$A1658,$B:$B,"&lt;&gt;Patrícia Karla de Sousa Araújo",$B:$B,"&lt;&gt;Lorena Dias de Araujo",$B:$B,"&lt;&gt;Lucas Luiz Romero")*(10/1083),0)))))),0)</f>
        <v/>
      </c>
      <c r="K1658" s="3">
        <f>I1658-J1658</f>
        <v/>
      </c>
      <c r="L1658" s="3">
        <f>IF(K1658&lt;-5,"CRÍTICO",IF(K1658&lt;0,"ATENÇÃO",IF(K1658&lt;=5,"BOM","EXCELENTE")))</f>
        <v/>
      </c>
      <c r="M1658" t="n">
        <v>23</v>
      </c>
      <c r="N1658" t="n">
        <v>99.19</v>
      </c>
      <c r="O1658" t="n">
        <v>27.63713080168776</v>
      </c>
    </row>
    <row r="1659" hidden="1">
      <c r="A1659" s="11" t="n">
        <v>46052</v>
      </c>
      <c r="B1659" t="inlineStr">
        <is>
          <t>Anna Luiza Rezende Tavares</t>
        </is>
      </c>
      <c r="C1659" t="inlineStr">
        <is>
          <t>Estágio</t>
        </is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s="3" t="n">
        <v>0</v>
      </c>
      <c r="J1659" s="3" t="n">
        <v>0</v>
      </c>
      <c r="K1659" s="3" t="n">
        <v>0</v>
      </c>
      <c r="L1659" s="3">
        <f>IF(K1659&lt;-5,"CRÍTICO",IF(K1659&lt;0,"ATENÇÃO",IF(K1659&lt;=5,"BOM","EXCELENTE")))</f>
        <v/>
      </c>
      <c r="M1659" t="n">
        <v>0</v>
      </c>
      <c r="N1659" t="n">
        <v>100</v>
      </c>
      <c r="O1659" t="n">
        <v>39.56834532374101</v>
      </c>
    </row>
    <row r="1660" hidden="1">
      <c r="A1660" s="11" t="n">
        <v>46052</v>
      </c>
      <c r="B1660" t="inlineStr">
        <is>
          <t>Brenda de Menezes Silva</t>
        </is>
      </c>
      <c r="C1660" t="inlineStr">
        <is>
          <t>Técnico II</t>
        </is>
      </c>
      <c r="D1660" t="n">
        <v>21</v>
      </c>
      <c r="E1660" t="n">
        <v>18</v>
      </c>
      <c r="F1660" t="n">
        <v>18.55</v>
      </c>
      <c r="G1660" t="n">
        <v>0</v>
      </c>
      <c r="H1660" t="n">
        <v>0</v>
      </c>
      <c r="I1660" s="3">
        <f>E1660+G1660+H1660</f>
        <v/>
      </c>
      <c r="J1660" s="3">
        <f>ROUND(MIN(IF(C1660="Técnico III",35,IF(C1660="Técnico II",28,IF(C1660="Técnico I",23,IF(C1660="JR",20,IF(C1660="Estágio",10,0))))),IF(C1660="Técnico III",SUMIFS($D:$D,$A:$A,$A1660,$B:$B,"&lt;&gt;Patrícia Karla de Sousa Araújo",$B:$B,"&lt;&gt;Lorena Dias de Araujo",$B:$B,"&lt;&gt;Lucas Luiz Romero")*(35/1083),IF(C1660="Técnico II",SUMIFS($D:$D,$A:$A,$A1660,$B:$B,"&lt;&gt;Patrícia Karla de Sousa Araújo",$B:$B,"&lt;&gt;Lorena Dias de Araujo",$B:$B,"&lt;&gt;Lucas Luiz Romero")*(28/1083),IF(C1660="Técnico I",SUMIFS($D:$D,$A:$A,$A1660,$B:$B,"&lt;&gt;Patrícia Karla de Sousa Araújo",$B:$B,"&lt;&gt;Lorena Dias de Araujo",$B:$B,"&lt;&gt;Lucas Luiz Romero")*(23/1083),IF(C1660="JR",SUMIFS($D:$D,$A:$A,$A1660,$B:$B,"&lt;&gt;Patrícia Karla de Sousa Araújo",$B:$B,"&lt;&gt;Lorena Dias de Araujo",$B:$B,"&lt;&gt;Lucas Luiz Romero")*(20/1083),IF(C1660="Estágio",SUMIFS($D:$D,$A:$A,$A1660,$B:$B,"&lt;&gt;Patrícia Karla de Sousa Araújo",$B:$B,"&lt;&gt;Lorena Dias de Araujo",$B:$B,"&lt;&gt;Lucas Luiz Romero")*(10/1083),0)))))),0)</f>
        <v/>
      </c>
      <c r="K1660" s="3">
        <f>I1660-J1660</f>
        <v/>
      </c>
      <c r="L1660" s="3">
        <f>IF(K1660&lt;-5,"CRÍTICO",IF(K1660&lt;0,"ATENÇÃO",IF(K1660&lt;=5,"BOM","EXCELENTE")))</f>
        <v/>
      </c>
      <c r="M1660" t="n">
        <v>22</v>
      </c>
      <c r="N1660" t="n">
        <v>98.54000000000001</v>
      </c>
      <c r="O1660" t="n">
        <v>28.54477611940299</v>
      </c>
    </row>
    <row r="1661" hidden="1">
      <c r="A1661" s="11" t="n">
        <v>46052</v>
      </c>
      <c r="B1661" t="inlineStr">
        <is>
          <t>Carlos Mateus Cassimiro Nunes</t>
        </is>
      </c>
      <c r="C1661" t="inlineStr">
        <is>
          <t>Técnico II</t>
        </is>
      </c>
      <c r="D1661" t="n">
        <v>15</v>
      </c>
      <c r="E1661" t="n">
        <v>14</v>
      </c>
      <c r="F1661" t="n">
        <v>34.13</v>
      </c>
      <c r="G1661" t="n">
        <v>0</v>
      </c>
      <c r="H1661" t="n">
        <v>0</v>
      </c>
      <c r="I1661" s="3">
        <f>E1661+G1661+H1661</f>
        <v/>
      </c>
      <c r="J1661" s="3">
        <f>ROUND(MIN(IF(C1661="Técnico III",35,IF(C1661="Técnico II",28,IF(C1661="Técnico I",23,IF(C1661="JR",20,IF(C1661="Estágio",10,0))))),IF(C1661="Técnico III",SUMIFS($D:$D,$A:$A,$A1661,$B:$B,"&lt;&gt;Patrícia Karla de Sousa Araújo",$B:$B,"&lt;&gt;Lorena Dias de Araujo",$B:$B,"&lt;&gt;Lucas Luiz Romero")*(35/1083),IF(C1661="Técnico II",SUMIFS($D:$D,$A:$A,$A1661,$B:$B,"&lt;&gt;Patrícia Karla de Sousa Araújo",$B:$B,"&lt;&gt;Lorena Dias de Araujo",$B:$B,"&lt;&gt;Lucas Luiz Romero")*(28/1083),IF(C1661="Técnico I",SUMIFS($D:$D,$A:$A,$A1661,$B:$B,"&lt;&gt;Patrícia Karla de Sousa Araújo",$B:$B,"&lt;&gt;Lorena Dias de Araujo",$B:$B,"&lt;&gt;Lucas Luiz Romero")*(23/1083),IF(C1661="JR",SUMIFS($D:$D,$A:$A,$A1661,$B:$B,"&lt;&gt;Patrícia Karla de Sousa Araújo",$B:$B,"&lt;&gt;Lorena Dias de Araujo",$B:$B,"&lt;&gt;Lucas Luiz Romero")*(20/1083),IF(C1661="Estágio",SUMIFS($D:$D,$A:$A,$A1661,$B:$B,"&lt;&gt;Patrícia Karla de Sousa Araújo",$B:$B,"&lt;&gt;Lorena Dias de Araujo",$B:$B,"&lt;&gt;Lucas Luiz Romero")*(10/1083),0)))))),0)</f>
        <v/>
      </c>
      <c r="K1661" s="3">
        <f>I1661-J1661</f>
        <v/>
      </c>
      <c r="L1661" s="3">
        <f>IF(K1661&lt;-5,"CRÍTICO",IF(K1661&lt;0,"ATENÇÃO",IF(K1661&lt;=5,"BOM","EXCELENTE")))</f>
        <v/>
      </c>
      <c r="M1661" t="n">
        <v>16</v>
      </c>
      <c r="N1661" t="n">
        <v>100</v>
      </c>
      <c r="O1661" t="n">
        <v>34.36692506459949</v>
      </c>
    </row>
    <row r="1662" hidden="1">
      <c r="A1662" s="11" t="n">
        <v>46052</v>
      </c>
      <c r="B1662" t="inlineStr">
        <is>
          <t>Claudio de Sousa Velasco Filho</t>
        </is>
      </c>
      <c r="C1662" t="inlineStr">
        <is>
          <t>Estágio</t>
        </is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s="3" t="n">
        <v>0</v>
      </c>
      <c r="J1662" s="3" t="n">
        <v>0</v>
      </c>
      <c r="K1662" s="3" t="n">
        <v>0</v>
      </c>
      <c r="L1662" s="3">
        <f>IF(K1662&lt;-5,"CRÍTICO",IF(K1662&lt;0,"ATENÇÃO",IF(K1662&lt;=5,"BOM","EXCELENTE")))</f>
        <v/>
      </c>
      <c r="M1662" t="n">
        <v>0</v>
      </c>
      <c r="N1662" t="n">
        <v>0</v>
      </c>
      <c r="O1662" t="n">
        <v>0</v>
      </c>
    </row>
    <row r="1663" hidden="1">
      <c r="A1663" s="11" t="n">
        <v>46052</v>
      </c>
      <c r="B1663" t="inlineStr">
        <is>
          <t>Clessiane Pereira dos Santos</t>
        </is>
      </c>
      <c r="C1663" t="inlineStr">
        <is>
          <t>Técnico I</t>
        </is>
      </c>
      <c r="D1663" t="n">
        <v>25</v>
      </c>
      <c r="E1663" t="n">
        <v>23</v>
      </c>
      <c r="F1663" t="n">
        <v>24.1</v>
      </c>
      <c r="G1663" t="n">
        <v>0</v>
      </c>
      <c r="H1663" t="n">
        <v>0</v>
      </c>
      <c r="I1663" s="3">
        <f>E1663+G1663+H1663</f>
        <v/>
      </c>
      <c r="J1663" s="3">
        <f>ROUND(MIN(IF(C1663="Técnico III",35,IF(C1663="Técnico II",28,IF(C1663="Técnico I",23,IF(C1663="JR",20,IF(C1663="Estágio",10,0))))),IF(C1663="Técnico III",SUMIFS($D:$D,$A:$A,$A1663,$B:$B,"&lt;&gt;Patrícia Karla de Sousa Araújo",$B:$B,"&lt;&gt;Lorena Dias de Araujo",$B:$B,"&lt;&gt;Lucas Luiz Romero")*(35/1083),IF(C1663="Técnico II",SUMIFS($D:$D,$A:$A,$A1663,$B:$B,"&lt;&gt;Patrícia Karla de Sousa Araújo",$B:$B,"&lt;&gt;Lorena Dias de Araujo",$B:$B,"&lt;&gt;Lucas Luiz Romero")*(28/1083),IF(C1663="Técnico I",SUMIFS($D:$D,$A:$A,$A1663,$B:$B,"&lt;&gt;Patrícia Karla de Sousa Araújo",$B:$B,"&lt;&gt;Lorena Dias de Araujo",$B:$B,"&lt;&gt;Lucas Luiz Romero")*(23/1083),IF(C1663="JR",SUMIFS($D:$D,$A:$A,$A1663,$B:$B,"&lt;&gt;Patrícia Karla de Sousa Araújo",$B:$B,"&lt;&gt;Lorena Dias de Araujo",$B:$B,"&lt;&gt;Lucas Luiz Romero")*(20/1083),IF(C1663="Estágio",SUMIFS($D:$D,$A:$A,$A1663,$B:$B,"&lt;&gt;Patrícia Karla de Sousa Araújo",$B:$B,"&lt;&gt;Lorena Dias de Araujo",$B:$B,"&lt;&gt;Lucas Luiz Romero")*(10/1083),0)))))),0)</f>
        <v/>
      </c>
      <c r="K1663" s="3">
        <f>I1663-J1663</f>
        <v/>
      </c>
      <c r="L1663" s="3">
        <f>IF(K1663&lt;-5,"CRÍTICO",IF(K1663&lt;0,"ATENÇÃO",IF(K1663&lt;=5,"BOM","EXCELENTE")))</f>
        <v/>
      </c>
      <c r="M1663" t="n">
        <v>21</v>
      </c>
      <c r="N1663" t="n">
        <v>100</v>
      </c>
      <c r="O1663" t="n">
        <v>29.51807228915663</v>
      </c>
    </row>
    <row r="1664" hidden="1">
      <c r="A1664" s="11" t="n">
        <v>46052</v>
      </c>
      <c r="B1664" t="inlineStr">
        <is>
          <t>Cristiane Ramos da Silva Rocha</t>
        </is>
      </c>
      <c r="C1664" t="inlineStr">
        <is>
          <t>Técnico III</t>
        </is>
      </c>
      <c r="D1664" t="n">
        <v>51</v>
      </c>
      <c r="E1664" t="n">
        <v>44</v>
      </c>
      <c r="F1664" t="n">
        <v>10.35</v>
      </c>
      <c r="G1664" t="n">
        <v>0</v>
      </c>
      <c r="H1664" t="n">
        <v>0</v>
      </c>
      <c r="I1664" s="3">
        <f>E1664+G1664+H1664</f>
        <v/>
      </c>
      <c r="J1664" s="3">
        <f>ROUND(MIN(IF(C1664="Técnico III",35,IF(C1664="Técnico II",28,IF(C1664="Técnico I",23,IF(C1664="JR",20,IF(C1664="Estágio",10,0))))),IF(C1664="Técnico III",SUMIFS($D:$D,$A:$A,$A1664,$B:$B,"&lt;&gt;Patrícia Karla de Sousa Araújo",$B:$B,"&lt;&gt;Lorena Dias de Araujo",$B:$B,"&lt;&gt;Lucas Luiz Romero")*(35/1083),IF(C1664="Técnico II",SUMIFS($D:$D,$A:$A,$A1664,$B:$B,"&lt;&gt;Patrícia Karla de Sousa Araújo",$B:$B,"&lt;&gt;Lorena Dias de Araujo",$B:$B,"&lt;&gt;Lucas Luiz Romero")*(28/1083),IF(C1664="Técnico I",SUMIFS($D:$D,$A:$A,$A1664,$B:$B,"&lt;&gt;Patrícia Karla de Sousa Araújo",$B:$B,"&lt;&gt;Lorena Dias de Araujo",$B:$B,"&lt;&gt;Lucas Luiz Romero")*(23/1083),IF(C1664="JR",SUMIFS($D:$D,$A:$A,$A1664,$B:$B,"&lt;&gt;Patrícia Karla de Sousa Araújo",$B:$B,"&lt;&gt;Lorena Dias de Araujo",$B:$B,"&lt;&gt;Lucas Luiz Romero")*(20/1083),IF(C1664="Estágio",SUMIFS($D:$D,$A:$A,$A1664,$B:$B,"&lt;&gt;Patrícia Karla de Sousa Araújo",$B:$B,"&lt;&gt;Lorena Dias de Araujo",$B:$B,"&lt;&gt;Lucas Luiz Romero")*(10/1083),0)))))),0)</f>
        <v/>
      </c>
      <c r="K1664" s="3">
        <f>I1664-J1664</f>
        <v/>
      </c>
      <c r="L1664" s="3">
        <f>IF(K1664&lt;-5,"CRÍTICO",IF(K1664&lt;0,"ATENÇÃO",IF(K1664&lt;=5,"BOM","EXCELENTE")))</f>
        <v/>
      </c>
      <c r="M1664" t="n">
        <v>45</v>
      </c>
      <c r="N1664" t="n">
        <v>97.45</v>
      </c>
      <c r="O1664" t="n">
        <v>41.421143847487</v>
      </c>
    </row>
    <row r="1665" hidden="1">
      <c r="A1665" s="11" t="n">
        <v>46052</v>
      </c>
      <c r="B1665" t="inlineStr">
        <is>
          <t>Damyllis Lorraine de Oliveira Gonçalves</t>
        </is>
      </c>
      <c r="C1665" t="inlineStr">
        <is>
          <t>Técnico II</t>
        </is>
      </c>
      <c r="D1665" t="n">
        <v>30</v>
      </c>
      <c r="E1665" t="n">
        <v>28</v>
      </c>
      <c r="F1665" t="n">
        <v>15.34</v>
      </c>
      <c r="G1665" t="n">
        <v>0</v>
      </c>
      <c r="H1665" t="n">
        <v>0</v>
      </c>
      <c r="I1665" s="3" t="n">
        <v>0</v>
      </c>
      <c r="J1665" s="3" t="n">
        <v>0</v>
      </c>
      <c r="K1665" s="3" t="n">
        <v>0</v>
      </c>
      <c r="L1665" s="3">
        <f>IF(K1665&lt;-5,"CRÍTICO",IF(K1665&lt;0,"ATENÇÃO",IF(K1665&lt;=5,"BOM","EXCELENTE")))</f>
        <v/>
      </c>
      <c r="M1665" t="n">
        <v>24</v>
      </c>
      <c r="N1665" t="n">
        <v>96.58</v>
      </c>
      <c r="O1665" t="n">
        <v>30.39647577092511</v>
      </c>
    </row>
    <row r="1666" hidden="1">
      <c r="A1666" s="11" t="n">
        <v>46052</v>
      </c>
      <c r="B1666" t="inlineStr">
        <is>
          <t>Daniel Gomes da Silva</t>
        </is>
      </c>
      <c r="C1666" t="inlineStr">
        <is>
          <t>Técnico I</t>
        </is>
      </c>
      <c r="D1666" t="n">
        <v>26</v>
      </c>
      <c r="E1666" t="n">
        <v>26</v>
      </c>
      <c r="F1666" t="n">
        <v>18.47</v>
      </c>
      <c r="G1666" t="n">
        <v>0</v>
      </c>
      <c r="H1666" t="n">
        <v>0</v>
      </c>
      <c r="I1666" s="3">
        <f>E1666+G1666+H1666</f>
        <v/>
      </c>
      <c r="J1666" s="3">
        <f>ROUND(MIN(IF(C1666="Técnico III",35,IF(C1666="Técnico II",28,IF(C1666="Técnico I",23,IF(C1666="JR",20,IF(C1666="Estágio",10,0))))),IF(C1666="Técnico III",SUMIFS($D:$D,$A:$A,$A1666,$B:$B,"&lt;&gt;Patrícia Karla de Sousa Araújo",$B:$B,"&lt;&gt;Lorena Dias de Araujo",$B:$B,"&lt;&gt;Lucas Luiz Romero")*(35/1083),IF(C1666="Técnico II",SUMIFS($D:$D,$A:$A,$A1666,$B:$B,"&lt;&gt;Patrícia Karla de Sousa Araújo",$B:$B,"&lt;&gt;Lorena Dias de Araujo",$B:$B,"&lt;&gt;Lucas Luiz Romero")*(28/1083),IF(C1666="Técnico I",SUMIFS($D:$D,$A:$A,$A1666,$B:$B,"&lt;&gt;Patrícia Karla de Sousa Araújo",$B:$B,"&lt;&gt;Lorena Dias de Araujo",$B:$B,"&lt;&gt;Lucas Luiz Romero")*(23/1083),IF(C1666="JR",SUMIFS($D:$D,$A:$A,$A1666,$B:$B,"&lt;&gt;Patrícia Karla de Sousa Araújo",$B:$B,"&lt;&gt;Lorena Dias de Araujo",$B:$B,"&lt;&gt;Lucas Luiz Romero")*(20/1083),IF(C1666="Estágio",SUMIFS($D:$D,$A:$A,$A1666,$B:$B,"&lt;&gt;Patrícia Karla de Sousa Araújo",$B:$B,"&lt;&gt;Lorena Dias de Araujo",$B:$B,"&lt;&gt;Lucas Luiz Romero")*(10/1083),0)))))),0)</f>
        <v/>
      </c>
      <c r="K1666" s="3">
        <f>I1666-J1666</f>
        <v/>
      </c>
      <c r="L1666" s="3">
        <f>IF(K1666&lt;-5,"CRÍTICO",IF(K1666&lt;0,"ATENÇÃO",IF(K1666&lt;=5,"BOM","EXCELENTE")))</f>
        <v/>
      </c>
      <c r="M1666" t="n">
        <v>29</v>
      </c>
      <c r="N1666" t="n">
        <v>100</v>
      </c>
      <c r="O1666" t="n">
        <v>27.44282744282744</v>
      </c>
    </row>
    <row r="1667" hidden="1">
      <c r="A1667" s="11" t="n">
        <v>46052</v>
      </c>
      <c r="B1667" t="inlineStr">
        <is>
          <t>Davylla Rodrigues Freitas Silva</t>
        </is>
      </c>
      <c r="C1667" t="inlineStr">
        <is>
          <t>Técnico III</t>
        </is>
      </c>
      <c r="D1667" t="n">
        <v>38</v>
      </c>
      <c r="E1667" t="n">
        <v>38</v>
      </c>
      <c r="F1667" t="n">
        <v>18.43</v>
      </c>
      <c r="G1667" t="n">
        <v>0</v>
      </c>
      <c r="H1667" t="n">
        <v>0</v>
      </c>
      <c r="I1667" s="3" t="n">
        <v>0</v>
      </c>
      <c r="J1667" s="3" t="n">
        <v>0</v>
      </c>
      <c r="K1667" s="3" t="n">
        <v>0</v>
      </c>
      <c r="L1667" s="3">
        <f>IF(K1667&lt;-5,"CRÍTICO",IF(K1667&lt;0,"ATENÇÃO",IF(K1667&lt;=5,"BOM","EXCELENTE")))</f>
        <v/>
      </c>
      <c r="M1667" t="n">
        <v>38</v>
      </c>
      <c r="N1667" t="n">
        <v>99.48999999999999</v>
      </c>
      <c r="O1667" t="n">
        <v>40.2</v>
      </c>
    </row>
    <row r="1668" hidden="1">
      <c r="A1668" s="11" t="n">
        <v>46052</v>
      </c>
      <c r="B1668" t="inlineStr">
        <is>
          <t>Emilly Caylane Costa</t>
        </is>
      </c>
      <c r="C1668" t="inlineStr">
        <is>
          <t>Estágio</t>
        </is>
      </c>
      <c r="D1668" t="n">
        <v>3</v>
      </c>
      <c r="E1668" t="n">
        <v>3</v>
      </c>
      <c r="F1668" t="n">
        <v>65.23</v>
      </c>
      <c r="G1668" t="n">
        <v>0</v>
      </c>
      <c r="H1668" t="n">
        <v>0</v>
      </c>
      <c r="I1668" s="3">
        <f>E1668+G1668+H1668</f>
        <v/>
      </c>
      <c r="J1668" s="3">
        <f>ROUND(MIN(IF(C1668="Técnico III",35,IF(C1668="Técnico II",28,IF(C1668="Técnico I",23,IF(C1668="JR",20,IF(C1668="Estágio",10,0))))),IF(C1668="Técnico III",SUMIFS($D:$D,$A:$A,$A1668,$B:$B,"&lt;&gt;Patrícia Karla de Sousa Araújo",$B:$B,"&lt;&gt;Lorena Dias de Araujo",$B:$B,"&lt;&gt;Lucas Luiz Romero")*(35/1083),IF(C1668="Técnico II",SUMIFS($D:$D,$A:$A,$A1668,$B:$B,"&lt;&gt;Patrícia Karla de Sousa Araújo",$B:$B,"&lt;&gt;Lorena Dias de Araujo",$B:$B,"&lt;&gt;Lucas Luiz Romero")*(28/1083),IF(C1668="Técnico I",SUMIFS($D:$D,$A:$A,$A1668,$B:$B,"&lt;&gt;Patrícia Karla de Sousa Araújo",$B:$B,"&lt;&gt;Lorena Dias de Araujo",$B:$B,"&lt;&gt;Lucas Luiz Romero")*(23/1083),IF(C1668="JR",SUMIFS($D:$D,$A:$A,$A1668,$B:$B,"&lt;&gt;Patrícia Karla de Sousa Araújo",$B:$B,"&lt;&gt;Lorena Dias de Araujo",$B:$B,"&lt;&gt;Lucas Luiz Romero")*(20/1083),IF(C1668="Estágio",SUMIFS($D:$D,$A:$A,$A1668,$B:$B,"&lt;&gt;Patrícia Karla de Sousa Araújo",$B:$B,"&lt;&gt;Lorena Dias de Araujo",$B:$B,"&lt;&gt;Lucas Luiz Romero")*(10/1083),0)))))),0)</f>
        <v/>
      </c>
      <c r="K1668" s="3">
        <f>I1668-J1668</f>
        <v/>
      </c>
      <c r="L1668" s="3">
        <f>IF(K1668&lt;-5,"CRÍTICO",IF(K1668&lt;0,"ATENÇÃO",IF(K1668&lt;=5,"BOM","EXCELENTE")))</f>
        <v/>
      </c>
      <c r="M1668" t="n">
        <v>2</v>
      </c>
      <c r="N1668" t="n">
        <v>100</v>
      </c>
      <c r="O1668" t="n">
        <v>25</v>
      </c>
    </row>
    <row r="1669" hidden="1">
      <c r="A1669" s="11" t="n">
        <v>46052</v>
      </c>
      <c r="B1669" t="inlineStr">
        <is>
          <t>Emilly Kamilly Medeiros Miranda</t>
        </is>
      </c>
      <c r="C1669" t="inlineStr">
        <is>
          <t>Técnico II</t>
        </is>
      </c>
      <c r="D1669" t="n">
        <v>35</v>
      </c>
      <c r="E1669" t="n">
        <v>32</v>
      </c>
      <c r="F1669" t="n">
        <v>14.19</v>
      </c>
      <c r="G1669" t="n">
        <v>0</v>
      </c>
      <c r="H1669" t="n">
        <v>0</v>
      </c>
      <c r="I1669" s="3">
        <f>E1669+G1669+H1669</f>
        <v/>
      </c>
      <c r="J1669" s="3">
        <f>ROUND(MIN(IF(C1669="Técnico III",35,IF(C1669="Técnico II",28,IF(C1669="Técnico I",23,IF(C1669="JR",20,IF(C1669="Estágio",10,0))))),IF(C1669="Técnico III",SUMIFS($D:$D,$A:$A,$A1669,$B:$B,"&lt;&gt;Patrícia Karla de Sousa Araújo",$B:$B,"&lt;&gt;Lorena Dias de Araujo",$B:$B,"&lt;&gt;Lucas Luiz Romero")*(35/1083),IF(C1669="Técnico II",SUMIFS($D:$D,$A:$A,$A1669,$B:$B,"&lt;&gt;Patrícia Karla de Sousa Araújo",$B:$B,"&lt;&gt;Lorena Dias de Araujo",$B:$B,"&lt;&gt;Lucas Luiz Romero")*(28/1083),IF(C1669="Técnico I",SUMIFS($D:$D,$A:$A,$A1669,$B:$B,"&lt;&gt;Patrícia Karla de Sousa Araújo",$B:$B,"&lt;&gt;Lorena Dias de Araujo",$B:$B,"&lt;&gt;Lucas Luiz Romero")*(23/1083),IF(C1669="JR",SUMIFS($D:$D,$A:$A,$A1669,$B:$B,"&lt;&gt;Patrícia Karla de Sousa Araújo",$B:$B,"&lt;&gt;Lorena Dias de Araujo",$B:$B,"&lt;&gt;Lucas Luiz Romero")*(20/1083),IF(C1669="Estágio",SUMIFS($D:$D,$A:$A,$A1669,$B:$B,"&lt;&gt;Patrícia Karla de Sousa Araújo",$B:$B,"&lt;&gt;Lorena Dias de Araujo",$B:$B,"&lt;&gt;Lucas Luiz Romero")*(10/1083),0)))))),0)</f>
        <v/>
      </c>
      <c r="K1669" s="3">
        <f>I1669-J1669</f>
        <v/>
      </c>
      <c r="L1669" s="3">
        <f>IF(K1669&lt;-5,"CRÍTICO",IF(K1669&lt;0,"ATENÇÃO",IF(K1669&lt;=5,"BOM","EXCELENTE")))</f>
        <v/>
      </c>
      <c r="M1669" t="n">
        <v>31</v>
      </c>
      <c r="N1669" t="n">
        <v>100</v>
      </c>
      <c r="O1669" t="n">
        <v>34.15094339622641</v>
      </c>
    </row>
    <row r="1670" hidden="1">
      <c r="A1670" s="11" t="n">
        <v>46052</v>
      </c>
      <c r="B1670" t="inlineStr">
        <is>
          <t>Francielson de Oliveira</t>
        </is>
      </c>
      <c r="C1670" t="inlineStr">
        <is>
          <t>Técnico III</t>
        </is>
      </c>
      <c r="D1670" t="n">
        <v>30</v>
      </c>
      <c r="E1670" t="n">
        <v>27</v>
      </c>
      <c r="F1670" t="n">
        <v>15.39</v>
      </c>
      <c r="G1670" t="n">
        <v>0</v>
      </c>
      <c r="H1670" t="n">
        <v>0</v>
      </c>
      <c r="I1670" s="3">
        <f>E1670+G1670+H1670</f>
        <v/>
      </c>
      <c r="J1670" s="3">
        <f>ROUND(MIN(IF(C1670="Técnico III",35,IF(C1670="Técnico II",28,IF(C1670="Técnico I",23,IF(C1670="JR",20,IF(C1670="Estágio",10,0))))),IF(C1670="Técnico III",SUMIFS($D:$D,$A:$A,$A1670,$B:$B,"&lt;&gt;Patrícia Karla de Sousa Araújo",$B:$B,"&lt;&gt;Lorena Dias de Araujo",$B:$B,"&lt;&gt;Lucas Luiz Romero")*(35/1083),IF(C1670="Técnico II",SUMIFS($D:$D,$A:$A,$A1670,$B:$B,"&lt;&gt;Patrícia Karla de Sousa Araújo",$B:$B,"&lt;&gt;Lorena Dias de Araujo",$B:$B,"&lt;&gt;Lucas Luiz Romero")*(28/1083),IF(C1670="Técnico I",SUMIFS($D:$D,$A:$A,$A1670,$B:$B,"&lt;&gt;Patrícia Karla de Sousa Araújo",$B:$B,"&lt;&gt;Lorena Dias de Araujo",$B:$B,"&lt;&gt;Lucas Luiz Romero")*(23/1083),IF(C1670="JR",SUMIFS($D:$D,$A:$A,$A1670,$B:$B,"&lt;&gt;Patrícia Karla de Sousa Araújo",$B:$B,"&lt;&gt;Lorena Dias de Araujo",$B:$B,"&lt;&gt;Lucas Luiz Romero")*(20/1083),IF(C1670="Estágio",SUMIFS($D:$D,$A:$A,$A1670,$B:$B,"&lt;&gt;Patrícia Karla de Sousa Araújo",$B:$B,"&lt;&gt;Lorena Dias de Araujo",$B:$B,"&lt;&gt;Lucas Luiz Romero")*(10/1083),0)))))),0)</f>
        <v/>
      </c>
      <c r="K1670" s="3">
        <f>I1670-J1670</f>
        <v/>
      </c>
      <c r="L1670" s="3">
        <f>IF(K1670&lt;-5,"CRÍTICO",IF(K1670&lt;0,"ATENÇÃO",IF(K1670&lt;=5,"BOM","EXCELENTE")))</f>
        <v/>
      </c>
      <c r="M1670" t="n">
        <v>28</v>
      </c>
      <c r="N1670" t="n">
        <v>100</v>
      </c>
      <c r="O1670" t="n">
        <v>32.7313769751693</v>
      </c>
    </row>
    <row r="1671" hidden="1">
      <c r="A1671" s="11" t="n">
        <v>46052</v>
      </c>
      <c r="B1671" t="inlineStr">
        <is>
          <t>Francilene Ferreira de Jesus</t>
        </is>
      </c>
      <c r="C1671" t="inlineStr">
        <is>
          <t>Técnico II</t>
        </is>
      </c>
      <c r="D1671" t="n">
        <v>44</v>
      </c>
      <c r="E1671" t="n">
        <v>39</v>
      </c>
      <c r="F1671" t="n">
        <v>17.06</v>
      </c>
      <c r="G1671" t="n">
        <v>0</v>
      </c>
      <c r="H1671" t="n">
        <v>0</v>
      </c>
      <c r="I1671" s="3">
        <f>E1671+G1671+H1671</f>
        <v/>
      </c>
      <c r="J1671" s="3">
        <f>ROUND(MIN(IF(C1671="Técnico III",35,IF(C1671="Técnico II",28,IF(C1671="Técnico I",23,IF(C1671="JR",20,IF(C1671="Estágio",10,0))))),IF(C1671="Técnico III",SUMIFS($D:$D,$A:$A,$A1671,$B:$B,"&lt;&gt;Patrícia Karla de Sousa Araújo",$B:$B,"&lt;&gt;Lorena Dias de Araujo",$B:$B,"&lt;&gt;Lucas Luiz Romero")*(35/1083),IF(C1671="Técnico II",SUMIFS($D:$D,$A:$A,$A1671,$B:$B,"&lt;&gt;Patrícia Karla de Sousa Araújo",$B:$B,"&lt;&gt;Lorena Dias de Araujo",$B:$B,"&lt;&gt;Lucas Luiz Romero")*(28/1083),IF(C1671="Técnico I",SUMIFS($D:$D,$A:$A,$A1671,$B:$B,"&lt;&gt;Patrícia Karla de Sousa Araújo",$B:$B,"&lt;&gt;Lorena Dias de Araujo",$B:$B,"&lt;&gt;Lucas Luiz Romero")*(23/1083),IF(C1671="JR",SUMIFS($D:$D,$A:$A,$A1671,$B:$B,"&lt;&gt;Patrícia Karla de Sousa Araújo",$B:$B,"&lt;&gt;Lorena Dias de Araujo",$B:$B,"&lt;&gt;Lucas Luiz Romero")*(20/1083),IF(C1671="Estágio",SUMIFS($D:$D,$A:$A,$A1671,$B:$B,"&lt;&gt;Patrícia Karla de Sousa Araújo",$B:$B,"&lt;&gt;Lorena Dias de Araujo",$B:$B,"&lt;&gt;Lucas Luiz Romero")*(10/1083),0)))))),0)</f>
        <v/>
      </c>
      <c r="K1671" s="3">
        <f>I1671-J1671</f>
        <v/>
      </c>
      <c r="L1671" s="3">
        <f>IF(K1671&lt;-5,"CRÍTICO",IF(K1671&lt;0,"ATENÇÃO",IF(K1671&lt;=5,"BOM","EXCELENTE")))</f>
        <v/>
      </c>
      <c r="M1671" t="n">
        <v>38</v>
      </c>
      <c r="N1671" t="n">
        <v>99.31</v>
      </c>
      <c r="O1671" t="n">
        <v>30.96234309623431</v>
      </c>
    </row>
    <row r="1672" hidden="1">
      <c r="A1672" s="11" t="n">
        <v>46086</v>
      </c>
      <c r="B1672" t="inlineStr">
        <is>
          <t>Gabriel Gomes de Andrade</t>
        </is>
      </c>
      <c r="C1672" t="inlineStr">
        <is>
          <t>Técnico I</t>
        </is>
      </c>
      <c r="D1672" t="n">
        <v>18</v>
      </c>
      <c r="E1672" t="n">
        <v>16</v>
      </c>
      <c r="F1672" t="n">
        <v>23.34</v>
      </c>
      <c r="G1672" t="n">
        <v>0</v>
      </c>
      <c r="H1672" t="n">
        <v>0</v>
      </c>
      <c r="I1672" s="3">
        <f>E1672+G1672+H1672</f>
        <v/>
      </c>
      <c r="J1672" s="3">
        <f>ROUND(MIN(IF(C1672="Técnico III",35,IF(C1672="Técnico II",28,IF(C1672="Técnico I",23,IF(C1672="JR",20,IF(C1672="Estágio",10,0))))),IF(C1672="Técnico III",SUMIFS($D:$D,$A:$A,$A1672,$B:$B,"&lt;&gt;Patrícia Karla de Sousa Araújo",$B:$B,"&lt;&gt;Lorena Dias de Araujo",$B:$B,"&lt;&gt;Lucas Luiz Romero")*(35/1083),IF(C1672="Técnico II",SUMIFS($D:$D,$A:$A,$A1672,$B:$B,"&lt;&gt;Patrícia Karla de Sousa Araújo",$B:$B,"&lt;&gt;Lorena Dias de Araujo",$B:$B,"&lt;&gt;Lucas Luiz Romero")*(28/1083),IF(C1672="Técnico I",SUMIFS($D:$D,$A:$A,$A1672,$B:$B,"&lt;&gt;Patrícia Karla de Sousa Araújo",$B:$B,"&lt;&gt;Lorena Dias de Araujo",$B:$B,"&lt;&gt;Lucas Luiz Romero")*(23/1083),IF(C1672="JR",SUMIFS($D:$D,$A:$A,$A1672,$B:$B,"&lt;&gt;Patrícia Karla de Sousa Araújo",$B:$B,"&lt;&gt;Lorena Dias de Araujo",$B:$B,"&lt;&gt;Lucas Luiz Romero")*(20/1083),IF(C1672="Estágio",SUMIFS($D:$D,$A:$A,$A1672,$B:$B,"&lt;&gt;Patrícia Karla de Sousa Araújo",$B:$B,"&lt;&gt;Lorena Dias de Araujo",$B:$B,"&lt;&gt;Lucas Luiz Romero")*(10/1083),0)))))),0)</f>
        <v/>
      </c>
      <c r="K1672" s="3">
        <f>I1672-J1672</f>
        <v/>
      </c>
      <c r="L1672" s="3">
        <f>IF(K1672&lt;-5,"CRÍTICO",IF(K1672&lt;0,"ATENÇÃO",IF(K1672&lt;=5,"BOM","EXCELENTE")))</f>
        <v/>
      </c>
      <c r="N1672" t="n">
        <v>99.05</v>
      </c>
      <c r="O1672" t="n">
        <v>26.62192393736018</v>
      </c>
    </row>
    <row r="1673" hidden="1">
      <c r="A1673" s="11" t="n">
        <v>46052</v>
      </c>
      <c r="B1673" t="inlineStr">
        <is>
          <t>Isabella Borges de Oliveira</t>
        </is>
      </c>
      <c r="C1673" t="inlineStr">
        <is>
          <t>Técnico II</t>
        </is>
      </c>
      <c r="D1673" t="n">
        <v>36</v>
      </c>
      <c r="E1673" t="n">
        <v>35</v>
      </c>
      <c r="F1673" t="n">
        <v>19.03</v>
      </c>
      <c r="G1673" t="n">
        <v>0</v>
      </c>
      <c r="H1673" t="n">
        <v>0</v>
      </c>
      <c r="I1673" s="3">
        <f>E1673+G1673+H1673</f>
        <v/>
      </c>
      <c r="J1673" s="3">
        <f>ROUND(MIN(IF(C1673="Técnico III",35,IF(C1673="Técnico II",28,IF(C1673="Técnico I",23,IF(C1673="JR",20,IF(C1673="Estágio",10,0))))),IF(C1673="Técnico III",SUMIFS($D:$D,$A:$A,$A1673,$B:$B,"&lt;&gt;Patrícia Karla de Sousa Araújo",$B:$B,"&lt;&gt;Lorena Dias de Araujo",$B:$B,"&lt;&gt;Lucas Luiz Romero")*(35/1083),IF(C1673="Técnico II",SUMIFS($D:$D,$A:$A,$A1673,$B:$B,"&lt;&gt;Patrícia Karla de Sousa Araújo",$B:$B,"&lt;&gt;Lorena Dias de Araujo",$B:$B,"&lt;&gt;Lucas Luiz Romero")*(28/1083),IF(C1673="Técnico I",SUMIFS($D:$D,$A:$A,$A1673,$B:$B,"&lt;&gt;Patrícia Karla de Sousa Araújo",$B:$B,"&lt;&gt;Lorena Dias de Araujo",$B:$B,"&lt;&gt;Lucas Luiz Romero")*(23/1083),IF(C1673="JR",SUMIFS($D:$D,$A:$A,$A1673,$B:$B,"&lt;&gt;Patrícia Karla de Sousa Araújo",$B:$B,"&lt;&gt;Lorena Dias de Araujo",$B:$B,"&lt;&gt;Lucas Luiz Romero")*(20/1083),IF(C1673="Estágio",SUMIFS($D:$D,$A:$A,$A1673,$B:$B,"&lt;&gt;Patrícia Karla de Sousa Araújo",$B:$B,"&lt;&gt;Lorena Dias de Araujo",$B:$B,"&lt;&gt;Lucas Luiz Romero")*(10/1083),0)))))),0)</f>
        <v/>
      </c>
      <c r="K1673" s="3">
        <f>I1673-J1673</f>
        <v/>
      </c>
      <c r="L1673" s="3">
        <f>IF(K1673&lt;-5,"CRÍTICO",IF(K1673&lt;0,"ATENÇÃO",IF(K1673&lt;=5,"BOM","EXCELENTE")))</f>
        <v/>
      </c>
      <c r="M1673" t="n">
        <v>31</v>
      </c>
      <c r="N1673" t="n">
        <v>100</v>
      </c>
      <c r="O1673" t="n">
        <v>27.67676767676768</v>
      </c>
    </row>
    <row r="1674" hidden="1">
      <c r="A1674" s="11" t="n">
        <v>46052</v>
      </c>
      <c r="B1674" t="inlineStr">
        <is>
          <t>Janaina Lima dos Reis Urany</t>
        </is>
      </c>
      <c r="C1674" t="inlineStr">
        <is>
          <t>Técnico III</t>
        </is>
      </c>
      <c r="D1674" t="n">
        <v>65</v>
      </c>
      <c r="E1674" t="n">
        <v>59</v>
      </c>
      <c r="F1674" t="n">
        <v>10.26</v>
      </c>
      <c r="G1674" t="n">
        <v>0</v>
      </c>
      <c r="H1674" t="n">
        <v>0</v>
      </c>
      <c r="I1674" s="3">
        <f>E1674+G1674+H1674</f>
        <v/>
      </c>
      <c r="J1674" s="3">
        <f>ROUND(MIN(IF(C1674="Técnico III",35,IF(C1674="Técnico II",28,IF(C1674="Técnico I",23,IF(C1674="JR",20,IF(C1674="Estágio",10,0))))),IF(C1674="Técnico III",SUMIFS($D:$D,$A:$A,$A1674,$B:$B,"&lt;&gt;Patrícia Karla de Sousa Araújo",$B:$B,"&lt;&gt;Lorena Dias de Araujo",$B:$B,"&lt;&gt;Lucas Luiz Romero")*(35/1083),IF(C1674="Técnico II",SUMIFS($D:$D,$A:$A,$A1674,$B:$B,"&lt;&gt;Patrícia Karla de Sousa Araújo",$B:$B,"&lt;&gt;Lorena Dias de Araujo",$B:$B,"&lt;&gt;Lucas Luiz Romero")*(28/1083),IF(C1674="Técnico I",SUMIFS($D:$D,$A:$A,$A1674,$B:$B,"&lt;&gt;Patrícia Karla de Sousa Araújo",$B:$B,"&lt;&gt;Lorena Dias de Araujo",$B:$B,"&lt;&gt;Lucas Luiz Romero")*(23/1083),IF(C1674="JR",SUMIFS($D:$D,$A:$A,$A1674,$B:$B,"&lt;&gt;Patrícia Karla de Sousa Araújo",$B:$B,"&lt;&gt;Lorena Dias de Araujo",$B:$B,"&lt;&gt;Lucas Luiz Romero")*(20/1083),IF(C1674="Estágio",SUMIFS($D:$D,$A:$A,$A1674,$B:$B,"&lt;&gt;Patrícia Karla de Sousa Araújo",$B:$B,"&lt;&gt;Lorena Dias de Araujo",$B:$B,"&lt;&gt;Lucas Luiz Romero")*(10/1083),0)))))),0)</f>
        <v/>
      </c>
      <c r="K1674" s="3">
        <f>I1674-J1674</f>
        <v/>
      </c>
      <c r="L1674" s="3">
        <f>IF(K1674&lt;-5,"CRÍTICO",IF(K1674&lt;0,"ATENÇÃO",IF(K1674&lt;=5,"BOM","EXCELENTE")))</f>
        <v/>
      </c>
      <c r="M1674" t="n">
        <v>58</v>
      </c>
      <c r="N1674" t="n">
        <v>100</v>
      </c>
      <c r="O1674" t="n">
        <v>31.17723156532988</v>
      </c>
    </row>
    <row r="1675" hidden="1">
      <c r="A1675" s="11" t="n">
        <v>46052</v>
      </c>
      <c r="B1675" t="inlineStr">
        <is>
          <t>Jaqueline Evangelista da Silva Martins</t>
        </is>
      </c>
      <c r="C1675" t="inlineStr">
        <is>
          <t>Técnico III</t>
        </is>
      </c>
      <c r="D1675" t="n">
        <v>22</v>
      </c>
      <c r="E1675" t="n">
        <v>17</v>
      </c>
      <c r="F1675" t="n">
        <v>12.06</v>
      </c>
      <c r="G1675" t="n">
        <v>0</v>
      </c>
      <c r="H1675" t="n">
        <v>0</v>
      </c>
      <c r="I1675" s="3">
        <f>E1675+G1675+H1675</f>
        <v/>
      </c>
      <c r="J1675" s="3">
        <f>ROUND(MIN(IF(C1675="Técnico III",35,IF(C1675="Técnico II",28,IF(C1675="Técnico I",23,IF(C1675="JR",20,IF(C1675="Estágio",10,0))))),IF(C1675="Técnico III",SUMIFS($D:$D,$A:$A,$A1675,$B:$B,"&lt;&gt;Patrícia Karla de Sousa Araújo",$B:$B,"&lt;&gt;Lorena Dias de Araujo",$B:$B,"&lt;&gt;Lucas Luiz Romero")*(35/1083),IF(C1675="Técnico II",SUMIFS($D:$D,$A:$A,$A1675,$B:$B,"&lt;&gt;Patrícia Karla de Sousa Araújo",$B:$B,"&lt;&gt;Lorena Dias de Araujo",$B:$B,"&lt;&gt;Lucas Luiz Romero")*(28/1083),IF(C1675="Técnico I",SUMIFS($D:$D,$A:$A,$A1675,$B:$B,"&lt;&gt;Patrícia Karla de Sousa Araújo",$B:$B,"&lt;&gt;Lorena Dias de Araujo",$B:$B,"&lt;&gt;Lucas Luiz Romero")*(23/1083),IF(C1675="JR",SUMIFS($D:$D,$A:$A,$A1675,$B:$B,"&lt;&gt;Patrícia Karla de Sousa Araújo",$B:$B,"&lt;&gt;Lorena Dias de Araujo",$B:$B,"&lt;&gt;Lucas Luiz Romero")*(20/1083),IF(C1675="Estágio",SUMIFS($D:$D,$A:$A,$A1675,$B:$B,"&lt;&gt;Patrícia Karla de Sousa Araújo",$B:$B,"&lt;&gt;Lorena Dias de Araujo",$B:$B,"&lt;&gt;Lucas Luiz Romero")*(10/1083),0)))))),0)</f>
        <v/>
      </c>
      <c r="K1675" s="3">
        <f>I1675-J1675</f>
        <v/>
      </c>
      <c r="L1675" s="3">
        <f>IF(K1675&lt;-5,"CRÍTICO",IF(K1675&lt;0,"ATENÇÃO",IF(K1675&lt;=5,"BOM","EXCELENTE")))</f>
        <v/>
      </c>
      <c r="M1675" t="n">
        <v>15</v>
      </c>
      <c r="N1675" t="n">
        <v>100</v>
      </c>
      <c r="O1675" t="n">
        <v>27.60942760942761</v>
      </c>
    </row>
    <row r="1676" hidden="1">
      <c r="A1676" s="11" t="n">
        <v>46052</v>
      </c>
      <c r="B1676" t="inlineStr">
        <is>
          <t>Jessica Faria da Silveira</t>
        </is>
      </c>
      <c r="C1676" t="inlineStr">
        <is>
          <t>Técnico II</t>
        </is>
      </c>
      <c r="D1676" t="n">
        <v>23</v>
      </c>
      <c r="E1676" t="n">
        <v>14</v>
      </c>
      <c r="F1676" t="n">
        <v>20.24</v>
      </c>
      <c r="G1676" t="n">
        <v>0</v>
      </c>
      <c r="H1676" t="n">
        <v>0</v>
      </c>
      <c r="I1676" s="3">
        <f>E1676+G1676+H1676</f>
        <v/>
      </c>
      <c r="J1676" s="3">
        <f>ROUND(MIN(IF(C1676="Técnico III",35,IF(C1676="Técnico II",28,IF(C1676="Técnico I",23,IF(C1676="JR",20,IF(C1676="Estágio",10,0))))),IF(C1676="Técnico III",SUMIFS($D:$D,$A:$A,$A1676,$B:$B,"&lt;&gt;Patrícia Karla de Sousa Araújo",$B:$B,"&lt;&gt;Lorena Dias de Araujo",$B:$B,"&lt;&gt;Lucas Luiz Romero")*(35/1083),IF(C1676="Técnico II",SUMIFS($D:$D,$A:$A,$A1676,$B:$B,"&lt;&gt;Patrícia Karla de Sousa Araújo",$B:$B,"&lt;&gt;Lorena Dias de Araujo",$B:$B,"&lt;&gt;Lucas Luiz Romero")*(28/1083),IF(C1676="Técnico I",SUMIFS($D:$D,$A:$A,$A1676,$B:$B,"&lt;&gt;Patrícia Karla de Sousa Araújo",$B:$B,"&lt;&gt;Lorena Dias de Araujo",$B:$B,"&lt;&gt;Lucas Luiz Romero")*(23/1083),IF(C1676="JR",SUMIFS($D:$D,$A:$A,$A1676,$B:$B,"&lt;&gt;Patrícia Karla de Sousa Araújo",$B:$B,"&lt;&gt;Lorena Dias de Araujo",$B:$B,"&lt;&gt;Lucas Luiz Romero")*(20/1083),IF(C1676="Estágio",SUMIFS($D:$D,$A:$A,$A1676,$B:$B,"&lt;&gt;Patrícia Karla de Sousa Araújo",$B:$B,"&lt;&gt;Lorena Dias de Araujo",$B:$B,"&lt;&gt;Lucas Luiz Romero")*(10/1083),0)))))),0)</f>
        <v/>
      </c>
      <c r="K1676" s="3">
        <f>I1676-J1676</f>
        <v/>
      </c>
      <c r="L1676" s="3">
        <f>IF(K1676&lt;-5,"CRÍTICO",IF(K1676&lt;0,"ATENÇÃO",IF(K1676&lt;=5,"BOM","EXCELENTE")))</f>
        <v/>
      </c>
      <c r="M1676" t="n">
        <v>14</v>
      </c>
      <c r="N1676" t="n">
        <v>96.40000000000001</v>
      </c>
      <c r="O1676" t="n">
        <v>28.76404494382023</v>
      </c>
    </row>
    <row r="1677" hidden="1">
      <c r="A1677" s="11" t="n">
        <v>46052</v>
      </c>
      <c r="B1677" t="inlineStr">
        <is>
          <t>Jéssica Fé Moura</t>
        </is>
      </c>
      <c r="C1677" t="inlineStr">
        <is>
          <t>Técnico III</t>
        </is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s="3" t="n">
        <v>0</v>
      </c>
      <c r="J1677" s="3" t="n">
        <v>0</v>
      </c>
      <c r="K1677" s="3" t="n">
        <v>0</v>
      </c>
      <c r="L1677" s="3">
        <f>IF(K1677&lt;-5,"CRÍTICO",IF(K1677&lt;0,"ATENÇÃO",IF(K1677&lt;=5,"BOM","EXCELENTE")))</f>
        <v/>
      </c>
      <c r="M1677" t="n">
        <v>0</v>
      </c>
      <c r="N1677" t="n">
        <v>100</v>
      </c>
      <c r="O1677" t="n">
        <v>33.98058252427185</v>
      </c>
    </row>
    <row r="1678" hidden="1">
      <c r="A1678" s="11" t="n">
        <v>46052</v>
      </c>
      <c r="B1678" t="inlineStr">
        <is>
          <t>Karina Gonçalves Martins</t>
        </is>
      </c>
      <c r="C1678" t="inlineStr">
        <is>
          <t>JR</t>
        </is>
      </c>
      <c r="D1678" t="n">
        <v>19</v>
      </c>
      <c r="E1678" t="n">
        <v>19</v>
      </c>
      <c r="F1678" t="n">
        <v>28.27</v>
      </c>
      <c r="G1678" t="n">
        <v>0</v>
      </c>
      <c r="H1678" t="n">
        <v>0</v>
      </c>
      <c r="I1678" s="3">
        <f>E1678+G1678+H1678</f>
        <v/>
      </c>
      <c r="J1678" s="3">
        <f>ROUND(MIN(IF(C1678="Técnico III",35,IF(C1678="Técnico II",28,IF(C1678="Técnico I",23,IF(C1678="JR",20,IF(C1678="Estágio",10,0))))),IF(C1678="Técnico III",SUMIFS($D:$D,$A:$A,$A1678,$B:$B,"&lt;&gt;Patrícia Karla de Sousa Araújo",$B:$B,"&lt;&gt;Lorena Dias de Araujo",$B:$B,"&lt;&gt;Lucas Luiz Romero")*(35/1083),IF(C1678="Técnico II",SUMIFS($D:$D,$A:$A,$A1678,$B:$B,"&lt;&gt;Patrícia Karla de Sousa Araújo",$B:$B,"&lt;&gt;Lorena Dias de Araujo",$B:$B,"&lt;&gt;Lucas Luiz Romero")*(28/1083),IF(C1678="Técnico I",SUMIFS($D:$D,$A:$A,$A1678,$B:$B,"&lt;&gt;Patrícia Karla de Sousa Araújo",$B:$B,"&lt;&gt;Lorena Dias de Araujo",$B:$B,"&lt;&gt;Lucas Luiz Romero")*(23/1083),IF(C1678="JR",SUMIFS($D:$D,$A:$A,$A1678,$B:$B,"&lt;&gt;Patrícia Karla de Sousa Araújo",$B:$B,"&lt;&gt;Lorena Dias de Araujo",$B:$B,"&lt;&gt;Lucas Luiz Romero")*(20/1083),IF(C1678="Estágio",SUMIFS($D:$D,$A:$A,$A1678,$B:$B,"&lt;&gt;Patrícia Karla de Sousa Araújo",$B:$B,"&lt;&gt;Lorena Dias de Araujo",$B:$B,"&lt;&gt;Lucas Luiz Romero")*(10/1083),0)))))),0)</f>
        <v/>
      </c>
      <c r="K1678" s="3">
        <f>I1678-J1678</f>
        <v/>
      </c>
      <c r="L1678" s="3">
        <f>IF(K1678&lt;-5,"CRÍTICO",IF(K1678&lt;0,"ATENÇÃO",IF(K1678&lt;=5,"BOM","EXCELENTE")))</f>
        <v/>
      </c>
      <c r="M1678" t="n">
        <v>16</v>
      </c>
      <c r="N1678" t="n">
        <v>97.56</v>
      </c>
      <c r="O1678" t="n">
        <v>32.51533742331289</v>
      </c>
    </row>
    <row r="1679" hidden="1">
      <c r="A1679" s="11" t="n">
        <v>46052</v>
      </c>
      <c r="B1679" t="inlineStr">
        <is>
          <t>Kerollen Cristielly de Jesus Siqueira</t>
        </is>
      </c>
      <c r="C1679" t="inlineStr">
        <is>
          <t>Técnico III</t>
        </is>
      </c>
      <c r="D1679" t="n">
        <v>18</v>
      </c>
      <c r="E1679" t="n">
        <v>17</v>
      </c>
      <c r="F1679" t="n">
        <v>24.15</v>
      </c>
      <c r="G1679" t="n">
        <v>0</v>
      </c>
      <c r="H1679" t="n">
        <v>0</v>
      </c>
      <c r="I1679" s="3">
        <f>E1679+G1679+H1679</f>
        <v/>
      </c>
      <c r="J1679" s="3">
        <f>ROUND(MIN(IF(C1679="Técnico III",35,IF(C1679="Técnico II",28,IF(C1679="Técnico I",23,IF(C1679="JR",20,IF(C1679="Estágio",10,0))))),IF(C1679="Técnico III",SUMIFS($D:$D,$A:$A,$A1679,$B:$B,"&lt;&gt;Patrícia Karla de Sousa Araújo",$B:$B,"&lt;&gt;Lorena Dias de Araujo",$B:$B,"&lt;&gt;Lucas Luiz Romero")*(35/1083),IF(C1679="Técnico II",SUMIFS($D:$D,$A:$A,$A1679,$B:$B,"&lt;&gt;Patrícia Karla de Sousa Araújo",$B:$B,"&lt;&gt;Lorena Dias de Araujo",$B:$B,"&lt;&gt;Lucas Luiz Romero")*(28/1083),IF(C1679="Técnico I",SUMIFS($D:$D,$A:$A,$A1679,$B:$B,"&lt;&gt;Patrícia Karla de Sousa Araújo",$B:$B,"&lt;&gt;Lorena Dias de Araujo",$B:$B,"&lt;&gt;Lucas Luiz Romero")*(23/1083),IF(C1679="JR",SUMIFS($D:$D,$A:$A,$A1679,$B:$B,"&lt;&gt;Patrícia Karla de Sousa Araújo",$B:$B,"&lt;&gt;Lorena Dias de Araujo",$B:$B,"&lt;&gt;Lucas Luiz Romero")*(20/1083),IF(C1679="Estágio",SUMIFS($D:$D,$A:$A,$A1679,$B:$B,"&lt;&gt;Patrícia Karla de Sousa Araújo",$B:$B,"&lt;&gt;Lorena Dias de Araujo",$B:$B,"&lt;&gt;Lucas Luiz Romero")*(10/1083),0)))))),0)</f>
        <v/>
      </c>
      <c r="K1679" s="3">
        <f>I1679-J1679</f>
        <v/>
      </c>
      <c r="L1679" s="3">
        <f>IF(K1679&lt;-5,"CRÍTICO",IF(K1679&lt;0,"ATENÇÃO",IF(K1679&lt;=5,"BOM","EXCELENTE")))</f>
        <v/>
      </c>
      <c r="M1679" t="n">
        <v>16</v>
      </c>
      <c r="N1679" t="n">
        <v>97.11</v>
      </c>
      <c r="O1679" t="n">
        <v>37.40831295843521</v>
      </c>
    </row>
    <row r="1680" hidden="1">
      <c r="A1680" s="11" t="n">
        <v>46052</v>
      </c>
      <c r="B1680" t="inlineStr">
        <is>
          <t>Leandro de Souza Silva</t>
        </is>
      </c>
      <c r="C1680" t="inlineStr">
        <is>
          <t>JR</t>
        </is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s="3" t="n">
        <v>0</v>
      </c>
      <c r="J1680" s="3" t="n">
        <v>0</v>
      </c>
      <c r="K1680" s="3" t="n">
        <v>0</v>
      </c>
      <c r="L1680" s="3">
        <f>IF(K1680&lt;-5,"CRÍTICO",IF(K1680&lt;0,"ATENÇÃO",IF(K1680&lt;=5,"BOM","EXCELENTE")))</f>
        <v/>
      </c>
      <c r="M1680" t="n">
        <v>0</v>
      </c>
      <c r="N1680" t="n">
        <v>0</v>
      </c>
      <c r="O1680" t="n">
        <v>0</v>
      </c>
    </row>
    <row r="1681" hidden="1">
      <c r="A1681" s="11" t="n">
        <v>46052</v>
      </c>
      <c r="B1681" t="inlineStr">
        <is>
          <t>Leandro Oliveira de Sousa</t>
        </is>
      </c>
      <c r="C1681" t="inlineStr">
        <is>
          <t>Técnico III</t>
        </is>
      </c>
      <c r="D1681" t="n">
        <v>26</v>
      </c>
      <c r="E1681" t="n">
        <v>26</v>
      </c>
      <c r="F1681" t="n">
        <v>17.37</v>
      </c>
      <c r="G1681" t="n">
        <v>0</v>
      </c>
      <c r="H1681" t="n">
        <v>0</v>
      </c>
      <c r="I1681" s="3">
        <f>E1681+G1681+H1681</f>
        <v/>
      </c>
      <c r="J1681" s="3">
        <f>ROUND(MIN(IF(C1681="Técnico III",35,IF(C1681="Técnico II",28,IF(C1681="Técnico I",23,IF(C1681="JR",20,IF(C1681="Estágio",10,0))))),IF(C1681="Técnico III",SUMIFS($D:$D,$A:$A,$A1681,$B:$B,"&lt;&gt;Patrícia Karla de Sousa Araújo",$B:$B,"&lt;&gt;Lorena Dias de Araujo",$B:$B,"&lt;&gt;Lucas Luiz Romero")*(35/1083),IF(C1681="Técnico II",SUMIFS($D:$D,$A:$A,$A1681,$B:$B,"&lt;&gt;Patrícia Karla de Sousa Araújo",$B:$B,"&lt;&gt;Lorena Dias de Araujo",$B:$B,"&lt;&gt;Lucas Luiz Romero")*(28/1083),IF(C1681="Técnico I",SUMIFS($D:$D,$A:$A,$A1681,$B:$B,"&lt;&gt;Patrícia Karla de Sousa Araújo",$B:$B,"&lt;&gt;Lorena Dias de Araujo",$B:$B,"&lt;&gt;Lucas Luiz Romero")*(23/1083),IF(C1681="JR",SUMIFS($D:$D,$A:$A,$A1681,$B:$B,"&lt;&gt;Patrícia Karla de Sousa Araújo",$B:$B,"&lt;&gt;Lorena Dias de Araujo",$B:$B,"&lt;&gt;Lucas Luiz Romero")*(20/1083),IF(C1681="Estágio",SUMIFS($D:$D,$A:$A,$A1681,$B:$B,"&lt;&gt;Patrícia Karla de Sousa Araújo",$B:$B,"&lt;&gt;Lorena Dias de Araujo",$B:$B,"&lt;&gt;Lucas Luiz Romero")*(10/1083),0)))))),0)</f>
        <v/>
      </c>
      <c r="K1681" s="3">
        <f>I1681-J1681</f>
        <v/>
      </c>
      <c r="L1681" s="3">
        <f>IF(K1681&lt;-5,"CRÍTICO",IF(K1681&lt;0,"ATENÇÃO",IF(K1681&lt;=5,"BOM","EXCELENTE")))</f>
        <v/>
      </c>
      <c r="M1681" t="n">
        <v>28</v>
      </c>
      <c r="N1681" t="n">
        <v>100</v>
      </c>
      <c r="O1681" t="n">
        <v>30.47034764826176</v>
      </c>
    </row>
    <row r="1682" hidden="1">
      <c r="A1682" s="11" t="n">
        <v>46052</v>
      </c>
      <c r="B1682" t="inlineStr">
        <is>
          <t>Lizandra Gomes Duarte</t>
        </is>
      </c>
      <c r="C1682" t="inlineStr">
        <is>
          <t>Técnico II</t>
        </is>
      </c>
      <c r="D1682" t="n">
        <v>45</v>
      </c>
      <c r="E1682" t="n">
        <v>41</v>
      </c>
      <c r="F1682" t="n">
        <v>15.44</v>
      </c>
      <c r="G1682" t="n">
        <v>0</v>
      </c>
      <c r="H1682" t="n">
        <v>0</v>
      </c>
      <c r="I1682" s="3">
        <f>E1682+G1682+H1682</f>
        <v/>
      </c>
      <c r="J1682" s="3">
        <f>ROUND(MIN(IF(C1682="Técnico III",35,IF(C1682="Técnico II",28,IF(C1682="Técnico I",23,IF(C1682="JR",20,IF(C1682="Estágio",10,0))))),IF(C1682="Técnico III",SUMIFS($D:$D,$A:$A,$A1682,$B:$B,"&lt;&gt;Patrícia Karla de Sousa Araújo",$B:$B,"&lt;&gt;Lorena Dias de Araujo",$B:$B,"&lt;&gt;Lucas Luiz Romero")*(35/1083),IF(C1682="Técnico II",SUMIFS($D:$D,$A:$A,$A1682,$B:$B,"&lt;&gt;Patrícia Karla de Sousa Araújo",$B:$B,"&lt;&gt;Lorena Dias de Araujo",$B:$B,"&lt;&gt;Lucas Luiz Romero")*(28/1083),IF(C1682="Técnico I",SUMIFS($D:$D,$A:$A,$A1682,$B:$B,"&lt;&gt;Patrícia Karla de Sousa Araújo",$B:$B,"&lt;&gt;Lorena Dias de Araujo",$B:$B,"&lt;&gt;Lucas Luiz Romero")*(23/1083),IF(C1682="JR",SUMIFS($D:$D,$A:$A,$A1682,$B:$B,"&lt;&gt;Patrícia Karla de Sousa Araújo",$B:$B,"&lt;&gt;Lorena Dias de Araujo",$B:$B,"&lt;&gt;Lucas Luiz Romero")*(20/1083),IF(C1682="Estágio",SUMIFS($D:$D,$A:$A,$A1682,$B:$B,"&lt;&gt;Patrícia Karla de Sousa Araújo",$B:$B,"&lt;&gt;Lorena Dias de Araujo",$B:$B,"&lt;&gt;Lucas Luiz Romero")*(10/1083),0)))))),0)</f>
        <v/>
      </c>
      <c r="K1682" s="3">
        <f>I1682-J1682</f>
        <v/>
      </c>
      <c r="L1682" s="3">
        <f>IF(K1682&lt;-5,"CRÍTICO",IF(K1682&lt;0,"ATENÇÃO",IF(K1682&lt;=5,"BOM","EXCELENTE")))</f>
        <v/>
      </c>
      <c r="M1682" t="n">
        <v>30</v>
      </c>
      <c r="N1682" t="n">
        <v>100</v>
      </c>
      <c r="O1682" t="n">
        <v>32.37113402061856</v>
      </c>
    </row>
    <row r="1683" hidden="1">
      <c r="A1683" s="11" t="n">
        <v>46052</v>
      </c>
      <c r="B1683" t="inlineStr">
        <is>
          <t>Lorena Dias de Araujo</t>
        </is>
      </c>
      <c r="C1683" t="inlineStr">
        <is>
          <t>Técnico II</t>
        </is>
      </c>
      <c r="D1683" t="n">
        <v>37</v>
      </c>
      <c r="E1683" t="n">
        <v>36</v>
      </c>
      <c r="F1683" t="n">
        <v>15.48</v>
      </c>
      <c r="G1683" t="n">
        <v>0</v>
      </c>
      <c r="H1683" t="n">
        <v>0</v>
      </c>
      <c r="I1683" s="3" t="n">
        <v>0</v>
      </c>
      <c r="J1683" s="3" t="n">
        <v>0</v>
      </c>
      <c r="K1683" s="3" t="n">
        <v>0</v>
      </c>
      <c r="L1683" s="3">
        <f>IF(K1683&lt;-5,"CRÍTICO",IF(K1683&lt;0,"ATENÇÃO",IF(K1683&lt;=5,"BOM","EXCELENTE")))</f>
        <v/>
      </c>
      <c r="M1683" t="n">
        <v>29</v>
      </c>
      <c r="N1683" t="n">
        <v>98.31999999999999</v>
      </c>
      <c r="O1683" t="n">
        <v>32.31850117096019</v>
      </c>
    </row>
    <row r="1684" hidden="1">
      <c r="A1684" s="11" t="n">
        <v>46052</v>
      </c>
      <c r="B1684" t="inlineStr">
        <is>
          <t>Lucas Luiz Romero</t>
        </is>
      </c>
      <c r="C1684" t="inlineStr">
        <is>
          <t>Técnico III</t>
        </is>
      </c>
      <c r="D1684" t="n">
        <v>112</v>
      </c>
      <c r="E1684" t="n">
        <v>24</v>
      </c>
      <c r="F1684" t="n">
        <v>3.32</v>
      </c>
      <c r="G1684" t="n">
        <v>0</v>
      </c>
      <c r="H1684" t="n">
        <v>0</v>
      </c>
      <c r="I1684" s="3">
        <f>E1684+G1684+H1684</f>
        <v/>
      </c>
      <c r="J1684" s="3">
        <f>ROUND(MIN(IF(C1684="Técnico III",35,IF(C1684="Técnico II",28,IF(C1684="Técnico I",23,IF(C1684="JR",20,IF(C1684="Estágio",10,0))))),IF(C1684="Técnico III",SUMIFS($D:$D,$A:$A,$A1684,$B:$B,"&lt;&gt;Patrícia Karla de Sousa Araújo",$B:$B,"&lt;&gt;Lorena Dias de Araujo",$B:$B,"&lt;&gt;Lucas Luiz Romero")*(35/1083),IF(C1684="Técnico II",SUMIFS($D:$D,$A:$A,$A1684,$B:$B,"&lt;&gt;Patrícia Karla de Sousa Araújo",$B:$B,"&lt;&gt;Lorena Dias de Araujo",$B:$B,"&lt;&gt;Lucas Luiz Romero")*(28/1083),IF(C1684="Técnico I",SUMIFS($D:$D,$A:$A,$A1684,$B:$B,"&lt;&gt;Patrícia Karla de Sousa Araújo",$B:$B,"&lt;&gt;Lorena Dias de Araujo",$B:$B,"&lt;&gt;Lucas Luiz Romero")*(23/1083),IF(C1684="JR",SUMIFS($D:$D,$A:$A,$A1684,$B:$B,"&lt;&gt;Patrícia Karla de Sousa Araújo",$B:$B,"&lt;&gt;Lorena Dias de Araujo",$B:$B,"&lt;&gt;Lucas Luiz Romero")*(20/1083),IF(C1684="Estágio",SUMIFS($D:$D,$A:$A,$A1684,$B:$B,"&lt;&gt;Patrícia Karla de Sousa Araújo",$B:$B,"&lt;&gt;Lorena Dias de Araujo",$B:$B,"&lt;&gt;Lucas Luiz Romero")*(10/1083),0)))))),0)</f>
        <v/>
      </c>
      <c r="K1684" s="3">
        <f>I1684-J1684</f>
        <v/>
      </c>
      <c r="L1684" s="3">
        <f>IF(K1684&lt;-5,"CRÍTICO",IF(K1684&lt;0,"ATENÇÃO",IF(K1684&lt;=5,"BOM","EXCELENTE")))</f>
        <v/>
      </c>
      <c r="M1684" t="n">
        <v>9</v>
      </c>
      <c r="N1684" t="n">
        <v>96.43000000000001</v>
      </c>
      <c r="O1684" t="n">
        <v>27.01525054466231</v>
      </c>
    </row>
    <row r="1685" hidden="1">
      <c r="A1685" s="11" t="n">
        <v>46052</v>
      </c>
      <c r="B1685" t="inlineStr">
        <is>
          <t>Luiz Fernando de Carvalho Junior</t>
        </is>
      </c>
      <c r="C1685" t="inlineStr">
        <is>
          <t>Técnico I</t>
        </is>
      </c>
      <c r="D1685" t="n">
        <v>20</v>
      </c>
      <c r="E1685" t="n">
        <v>20</v>
      </c>
      <c r="F1685" t="n">
        <v>26.48</v>
      </c>
      <c r="G1685" t="n">
        <v>0</v>
      </c>
      <c r="H1685" t="n">
        <v>0</v>
      </c>
      <c r="I1685" s="3">
        <f>E1685+G1685+H1685</f>
        <v/>
      </c>
      <c r="J1685" s="3">
        <f>ROUND(MIN(IF(C1685="Técnico III",35,IF(C1685="Técnico II",28,IF(C1685="Técnico I",23,IF(C1685="JR",20,IF(C1685="Estágio",10,0))))),IF(C1685="Técnico III",SUMIFS($D:$D,$A:$A,$A1685,$B:$B,"&lt;&gt;Patrícia Karla de Sousa Araújo",$B:$B,"&lt;&gt;Lorena Dias de Araujo",$B:$B,"&lt;&gt;Lucas Luiz Romero")*(35/1083),IF(C1685="Técnico II",SUMIFS($D:$D,$A:$A,$A1685,$B:$B,"&lt;&gt;Patrícia Karla de Sousa Araújo",$B:$B,"&lt;&gt;Lorena Dias de Araujo",$B:$B,"&lt;&gt;Lucas Luiz Romero")*(28/1083),IF(C1685="Técnico I",SUMIFS($D:$D,$A:$A,$A1685,$B:$B,"&lt;&gt;Patrícia Karla de Sousa Araújo",$B:$B,"&lt;&gt;Lorena Dias de Araujo",$B:$B,"&lt;&gt;Lucas Luiz Romero")*(23/1083),IF(C1685="JR",SUMIFS($D:$D,$A:$A,$A1685,$B:$B,"&lt;&gt;Patrícia Karla de Sousa Araújo",$B:$B,"&lt;&gt;Lorena Dias de Araujo",$B:$B,"&lt;&gt;Lucas Luiz Romero")*(20/1083),IF(C1685="Estágio",SUMIFS($D:$D,$A:$A,$A1685,$B:$B,"&lt;&gt;Patrícia Karla de Sousa Araújo",$B:$B,"&lt;&gt;Lorena Dias de Araujo",$B:$B,"&lt;&gt;Lucas Luiz Romero")*(10/1083),0)))))),0)</f>
        <v/>
      </c>
      <c r="K1685" s="3">
        <f>I1685-J1685</f>
        <v/>
      </c>
      <c r="L1685" s="3">
        <f>IF(K1685&lt;-5,"CRÍTICO",IF(K1685&lt;0,"ATENÇÃO",IF(K1685&lt;=5,"BOM","EXCELENTE")))</f>
        <v/>
      </c>
      <c r="M1685" t="n">
        <v>17</v>
      </c>
      <c r="N1685" t="n">
        <v>98.89</v>
      </c>
      <c r="O1685" t="n">
        <v>28.02197802197802</v>
      </c>
    </row>
    <row r="1686" hidden="1">
      <c r="A1686" s="11" t="n">
        <v>46052</v>
      </c>
      <c r="B1686" t="inlineStr">
        <is>
          <t>Maria Eduarda Sousa Costa</t>
        </is>
      </c>
      <c r="C1686" t="inlineStr">
        <is>
          <t>Estágio</t>
        </is>
      </c>
      <c r="D1686" t="n">
        <v>9</v>
      </c>
      <c r="E1686" t="n">
        <v>8</v>
      </c>
      <c r="F1686" t="n">
        <v>43.5</v>
      </c>
      <c r="G1686" t="n">
        <v>0</v>
      </c>
      <c r="H1686" t="n">
        <v>0</v>
      </c>
      <c r="I1686" s="3">
        <f>E1686+G1686+H1686</f>
        <v/>
      </c>
      <c r="J1686" s="3">
        <f>ROUND(MIN(IF(C1686="Técnico III",35,IF(C1686="Técnico II",28,IF(C1686="Técnico I",23,IF(C1686="JR",20,IF(C1686="Estágio",10,0))))),IF(C1686="Técnico III",SUMIFS($D:$D,$A:$A,$A1686,$B:$B,"&lt;&gt;Patrícia Karla de Sousa Araújo",$B:$B,"&lt;&gt;Lorena Dias de Araujo",$B:$B,"&lt;&gt;Lucas Luiz Romero")*(35/1083),IF(C1686="Técnico II",SUMIFS($D:$D,$A:$A,$A1686,$B:$B,"&lt;&gt;Patrícia Karla de Sousa Araújo",$B:$B,"&lt;&gt;Lorena Dias de Araujo",$B:$B,"&lt;&gt;Lucas Luiz Romero")*(28/1083),IF(C1686="Técnico I",SUMIFS($D:$D,$A:$A,$A1686,$B:$B,"&lt;&gt;Patrícia Karla de Sousa Araújo",$B:$B,"&lt;&gt;Lorena Dias de Araujo",$B:$B,"&lt;&gt;Lucas Luiz Romero")*(23/1083),IF(C1686="JR",SUMIFS($D:$D,$A:$A,$A1686,$B:$B,"&lt;&gt;Patrícia Karla de Sousa Araújo",$B:$B,"&lt;&gt;Lorena Dias de Araujo",$B:$B,"&lt;&gt;Lucas Luiz Romero")*(20/1083),IF(C1686="Estágio",SUMIFS($D:$D,$A:$A,$A1686,$B:$B,"&lt;&gt;Patrícia Karla de Sousa Araújo",$B:$B,"&lt;&gt;Lorena Dias de Araujo",$B:$B,"&lt;&gt;Lucas Luiz Romero")*(10/1083),0)))))),0)</f>
        <v/>
      </c>
      <c r="K1686" s="3">
        <f>I1686-J1686</f>
        <v/>
      </c>
      <c r="L1686" s="3">
        <f>IF(K1686&lt;-5,"CRÍTICO",IF(K1686&lt;0,"ATENÇÃO",IF(K1686&lt;=5,"BOM","EXCELENTE")))</f>
        <v/>
      </c>
      <c r="M1686" t="n">
        <v>7</v>
      </c>
      <c r="N1686" t="n">
        <v>100</v>
      </c>
      <c r="O1686" t="n">
        <v>33.33333333333333</v>
      </c>
    </row>
    <row r="1687" hidden="1">
      <c r="A1687" s="11" t="n">
        <v>46052</v>
      </c>
      <c r="B1687" t="inlineStr">
        <is>
          <t>Matheus Farias De Souza</t>
        </is>
      </c>
      <c r="C1687" t="inlineStr">
        <is>
          <t>Técnico III</t>
        </is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s="3" t="n">
        <v>0</v>
      </c>
      <c r="J1687" s="3" t="n">
        <v>0</v>
      </c>
      <c r="K1687" s="3" t="n">
        <v>0</v>
      </c>
      <c r="L1687" s="3">
        <f>IF(K1687&lt;-5,"CRÍTICO",IF(K1687&lt;0,"ATENÇÃO",IF(K1687&lt;=5,"BOM","EXCELENTE")))</f>
        <v/>
      </c>
      <c r="M1687" t="n">
        <v>0</v>
      </c>
      <c r="N1687" t="n">
        <v>100</v>
      </c>
      <c r="O1687" t="n">
        <v>27.43362831858407</v>
      </c>
    </row>
    <row r="1688" hidden="1">
      <c r="A1688" s="11" t="n">
        <v>46052</v>
      </c>
      <c r="B1688" t="inlineStr">
        <is>
          <t>Maysa Victoria Dias Moura</t>
        </is>
      </c>
      <c r="C1688" t="inlineStr">
        <is>
          <t>Técnico III</t>
        </is>
      </c>
      <c r="D1688" t="n">
        <v>39</v>
      </c>
      <c r="E1688" t="n">
        <v>34</v>
      </c>
      <c r="F1688" t="n">
        <v>11.56</v>
      </c>
      <c r="G1688" t="n">
        <v>0</v>
      </c>
      <c r="H1688" t="n">
        <v>0</v>
      </c>
      <c r="I1688" s="3">
        <f>E1688+G1688+H1688</f>
        <v/>
      </c>
      <c r="J1688" s="3">
        <f>ROUND(MIN(IF(C1688="Técnico III",35,IF(C1688="Técnico II",28,IF(C1688="Técnico I",23,IF(C1688="JR",20,IF(C1688="Estágio",10,0))))),IF(C1688="Técnico III",SUMIFS($D:$D,$A:$A,$A1688,$B:$B,"&lt;&gt;Patrícia Karla de Sousa Araújo",$B:$B,"&lt;&gt;Lorena Dias de Araujo",$B:$B,"&lt;&gt;Lucas Luiz Romero")*(35/1083),IF(C1688="Técnico II",SUMIFS($D:$D,$A:$A,$A1688,$B:$B,"&lt;&gt;Patrícia Karla de Sousa Araújo",$B:$B,"&lt;&gt;Lorena Dias de Araujo",$B:$B,"&lt;&gt;Lucas Luiz Romero")*(28/1083),IF(C1688="Técnico I",SUMIFS($D:$D,$A:$A,$A1688,$B:$B,"&lt;&gt;Patrícia Karla de Sousa Araújo",$B:$B,"&lt;&gt;Lorena Dias de Araujo",$B:$B,"&lt;&gt;Lucas Luiz Romero")*(23/1083),IF(C1688="JR",SUMIFS($D:$D,$A:$A,$A1688,$B:$B,"&lt;&gt;Patrícia Karla de Sousa Araújo",$B:$B,"&lt;&gt;Lorena Dias de Araujo",$B:$B,"&lt;&gt;Lucas Luiz Romero")*(20/1083),IF(C1688="Estágio",SUMIFS($D:$D,$A:$A,$A1688,$B:$B,"&lt;&gt;Patrícia Karla de Sousa Araújo",$B:$B,"&lt;&gt;Lorena Dias de Araujo",$B:$B,"&lt;&gt;Lucas Luiz Romero")*(10/1083),0)))))),0)</f>
        <v/>
      </c>
      <c r="K1688" s="3">
        <f>I1688-J1688</f>
        <v/>
      </c>
      <c r="L1688" s="3">
        <f>IF(K1688&lt;-5,"CRÍTICO",IF(K1688&lt;0,"ATENÇÃO",IF(K1688&lt;=5,"BOM","EXCELENTE")))</f>
        <v/>
      </c>
      <c r="M1688" t="n">
        <v>31</v>
      </c>
      <c r="N1688" t="n">
        <v>98.65000000000001</v>
      </c>
      <c r="O1688" t="n">
        <v>30.97826086956522</v>
      </c>
    </row>
    <row r="1689" hidden="1">
      <c r="A1689" s="11" t="n">
        <v>46052</v>
      </c>
      <c r="B1689" t="inlineStr">
        <is>
          <t>Michelle G Santos</t>
        </is>
      </c>
      <c r="C1689" t="inlineStr">
        <is>
          <t>Estágio</t>
        </is>
      </c>
      <c r="D1689" t="n">
        <v>3</v>
      </c>
      <c r="E1689" t="n">
        <v>3</v>
      </c>
      <c r="F1689" t="n">
        <v>176.58</v>
      </c>
      <c r="G1689" t="n">
        <v>0</v>
      </c>
      <c r="H1689" t="n">
        <v>0</v>
      </c>
      <c r="I1689" s="3">
        <f>E1689+G1689+H1689</f>
        <v/>
      </c>
      <c r="J1689" s="3">
        <f>ROUND(MIN(IF(C1689="Técnico III",35,IF(C1689="Técnico II",28,IF(C1689="Técnico I",23,IF(C1689="JR",20,IF(C1689="Estágio",10,0))))),IF(C1689="Técnico III",SUMIFS($D:$D,$A:$A,$A1689,$B:$B,"&lt;&gt;Patrícia Karla de Sousa Araújo",$B:$B,"&lt;&gt;Lorena Dias de Araujo",$B:$B,"&lt;&gt;Lucas Luiz Romero")*(35/1083),IF(C1689="Técnico II",SUMIFS($D:$D,$A:$A,$A1689,$B:$B,"&lt;&gt;Patrícia Karla de Sousa Araújo",$B:$B,"&lt;&gt;Lorena Dias de Araujo",$B:$B,"&lt;&gt;Lucas Luiz Romero")*(28/1083),IF(C1689="Técnico I",SUMIFS($D:$D,$A:$A,$A1689,$B:$B,"&lt;&gt;Patrícia Karla de Sousa Araújo",$B:$B,"&lt;&gt;Lorena Dias de Araujo",$B:$B,"&lt;&gt;Lucas Luiz Romero")*(23/1083),IF(C1689="JR",SUMIFS($D:$D,$A:$A,$A1689,$B:$B,"&lt;&gt;Patrícia Karla de Sousa Araújo",$B:$B,"&lt;&gt;Lorena Dias de Araujo",$B:$B,"&lt;&gt;Lucas Luiz Romero")*(20/1083),IF(C1689="Estágio",SUMIFS($D:$D,$A:$A,$A1689,$B:$B,"&lt;&gt;Patrícia Karla de Sousa Araújo",$B:$B,"&lt;&gt;Lorena Dias de Araujo",$B:$B,"&lt;&gt;Lucas Luiz Romero")*(10/1083),0)))))),0)</f>
        <v/>
      </c>
      <c r="K1689" s="3">
        <f>I1689-J1689</f>
        <v/>
      </c>
      <c r="L1689" s="3">
        <f>IF(K1689&lt;-5,"CRÍTICO",IF(K1689&lt;0,"ATENÇÃO",IF(K1689&lt;=5,"BOM","EXCELENTE")))</f>
        <v/>
      </c>
      <c r="M1689" t="n">
        <v>2</v>
      </c>
      <c r="N1689" t="n">
        <v>100</v>
      </c>
      <c r="O1689" t="n">
        <v>12</v>
      </c>
    </row>
    <row r="1690" hidden="1">
      <c r="A1690" s="11" t="n">
        <v>46052</v>
      </c>
      <c r="B1690" t="inlineStr">
        <is>
          <t>Milena Sales</t>
        </is>
      </c>
      <c r="C1690" t="inlineStr">
        <is>
          <t>JR</t>
        </is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s="3" t="n">
        <v>0</v>
      </c>
      <c r="J1690" s="3" t="n">
        <v>0</v>
      </c>
      <c r="K1690" s="3" t="n">
        <v>0</v>
      </c>
      <c r="L1690" s="3">
        <f>IF(K1690&lt;-5,"CRÍTICO",IF(K1690&lt;0,"ATENÇÃO",IF(K1690&lt;=5,"BOM","EXCELENTE")))</f>
        <v/>
      </c>
      <c r="M1690" t="n">
        <v>0</v>
      </c>
      <c r="N1690" t="n">
        <v>0</v>
      </c>
      <c r="O1690" t="n">
        <v>0</v>
      </c>
    </row>
    <row r="1691" hidden="1">
      <c r="A1691" s="11" t="n">
        <v>46052</v>
      </c>
      <c r="B1691" t="inlineStr">
        <is>
          <t>Patrícia Karla de Sousa Araújo</t>
        </is>
      </c>
      <c r="C1691" t="inlineStr">
        <is>
          <t>Técnico II</t>
        </is>
      </c>
      <c r="D1691" t="n">
        <v>27</v>
      </c>
      <c r="E1691" t="n">
        <v>25</v>
      </c>
      <c r="F1691" t="n">
        <v>20.23</v>
      </c>
      <c r="G1691" t="n">
        <v>0</v>
      </c>
      <c r="H1691" t="n">
        <v>0</v>
      </c>
      <c r="I1691" s="3">
        <f>E1691+G1691+H1691</f>
        <v/>
      </c>
      <c r="J1691" s="3">
        <f>ROUND(MIN(IF(C1691="Técnico III",35,IF(C1691="Técnico II",28,IF(C1691="Técnico I",23,IF(C1691="JR",20,IF(C1691="Estágio",10,0))))),IF(C1691="Técnico III",SUMIFS($D:$D,$A:$A,$A1691,$B:$B,"&lt;&gt;Patrícia Karla de Sousa Araújo",$B:$B,"&lt;&gt;Lorena Dias de Araujo",$B:$B,"&lt;&gt;Lucas Luiz Romero")*(35/1083),IF(C1691="Técnico II",SUMIFS($D:$D,$A:$A,$A1691,$B:$B,"&lt;&gt;Patrícia Karla de Sousa Araújo",$B:$B,"&lt;&gt;Lorena Dias de Araujo",$B:$B,"&lt;&gt;Lucas Luiz Romero")*(28/1083),IF(C1691="Técnico I",SUMIFS($D:$D,$A:$A,$A1691,$B:$B,"&lt;&gt;Patrícia Karla de Sousa Araújo",$B:$B,"&lt;&gt;Lorena Dias de Araujo",$B:$B,"&lt;&gt;Lucas Luiz Romero")*(23/1083),IF(C1691="JR",SUMIFS($D:$D,$A:$A,$A1691,$B:$B,"&lt;&gt;Patrícia Karla de Sousa Araújo",$B:$B,"&lt;&gt;Lorena Dias de Araujo",$B:$B,"&lt;&gt;Lucas Luiz Romero")*(20/1083),IF(C1691="Estágio",SUMIFS($D:$D,$A:$A,$A1691,$B:$B,"&lt;&gt;Patrícia Karla de Sousa Araújo",$B:$B,"&lt;&gt;Lorena Dias de Araujo",$B:$B,"&lt;&gt;Lucas Luiz Romero")*(10/1083),0)))))),0)</f>
        <v/>
      </c>
      <c r="K1691" s="3">
        <f>I1691-J1691</f>
        <v/>
      </c>
      <c r="L1691" s="3">
        <f>IF(K1691&lt;-5,"CRÍTICO",IF(K1691&lt;0,"ATENÇÃO",IF(K1691&lt;=5,"BOM","EXCELENTE")))</f>
        <v/>
      </c>
      <c r="M1691" t="n">
        <v>25</v>
      </c>
      <c r="N1691" t="n">
        <v>97.56</v>
      </c>
      <c r="O1691" t="n">
        <v>31.06796116504854</v>
      </c>
    </row>
    <row r="1692" hidden="1">
      <c r="A1692" s="11" t="n">
        <v>46052</v>
      </c>
      <c r="B1692" t="inlineStr">
        <is>
          <t>Paulo Ricardo Santos</t>
        </is>
      </c>
      <c r="C1692" t="inlineStr">
        <is>
          <t>JR</t>
        </is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s="3" t="n">
        <v>0</v>
      </c>
      <c r="J1692" s="3" t="n">
        <v>0</v>
      </c>
      <c r="K1692" s="3" t="n">
        <v>0</v>
      </c>
      <c r="L1692" s="3">
        <f>IF(K1692&lt;-5,"CRÍTICO",IF(K1692&lt;0,"ATENÇÃO",IF(K1692&lt;=5,"BOM","EXCELENTE")))</f>
        <v/>
      </c>
      <c r="M1692" t="n">
        <v>0</v>
      </c>
      <c r="N1692" t="n">
        <v>0</v>
      </c>
      <c r="O1692" t="n">
        <v>0</v>
      </c>
    </row>
    <row r="1693" hidden="1">
      <c r="A1693" s="11" t="n">
        <v>46052</v>
      </c>
      <c r="B1693" t="inlineStr">
        <is>
          <t>Pedro Luiz Mota Sousa</t>
        </is>
      </c>
      <c r="C1693" t="inlineStr">
        <is>
          <t>JR</t>
        </is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s="3" t="n">
        <v>0</v>
      </c>
      <c r="J1693" s="3" t="n">
        <v>0</v>
      </c>
      <c r="K1693" s="3" t="n">
        <v>0</v>
      </c>
      <c r="L1693" s="3">
        <f>IF(K1693&lt;-5,"CRÍTICO",IF(K1693&lt;0,"ATENÇÃO",IF(K1693&lt;=5,"BOM","EXCELENTE")))</f>
        <v/>
      </c>
      <c r="M1693" t="n">
        <v>0</v>
      </c>
      <c r="N1693" t="n">
        <v>0</v>
      </c>
      <c r="O1693" t="n">
        <v>0</v>
      </c>
    </row>
    <row r="1694" hidden="1">
      <c r="A1694" s="11" t="n">
        <v>46052</v>
      </c>
      <c r="B1694" t="inlineStr">
        <is>
          <t>Quirino Diogo Leite Torres</t>
        </is>
      </c>
      <c r="C1694" t="inlineStr">
        <is>
          <t>Estágio</t>
        </is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s="3" t="n">
        <v>0</v>
      </c>
      <c r="J1694" s="3" t="n">
        <v>0</v>
      </c>
      <c r="K1694" s="3" t="n">
        <v>0</v>
      </c>
      <c r="L1694" s="3">
        <f>IF(K1694&lt;-5,"CRÍTICO",IF(K1694&lt;0,"ATENÇÃO",IF(K1694&lt;=5,"BOM","EXCELENTE")))</f>
        <v/>
      </c>
      <c r="M1694" t="n">
        <v>0</v>
      </c>
      <c r="N1694" t="n">
        <v>0</v>
      </c>
      <c r="O1694" t="n">
        <v>0</v>
      </c>
    </row>
    <row r="1695" hidden="1">
      <c r="A1695" s="11" t="n">
        <v>46052</v>
      </c>
      <c r="B1695" t="inlineStr">
        <is>
          <t>Raane Batista Matos</t>
        </is>
      </c>
      <c r="C1695" t="inlineStr">
        <is>
          <t>Técnico I</t>
        </is>
      </c>
      <c r="D1695" t="n">
        <v>8</v>
      </c>
      <c r="E1695" t="n">
        <v>8</v>
      </c>
      <c r="F1695" t="n">
        <v>59.11</v>
      </c>
      <c r="G1695" t="n">
        <v>0</v>
      </c>
      <c r="H1695" t="n">
        <v>0</v>
      </c>
      <c r="I1695" s="3">
        <f>E1695+G1695+H1695</f>
        <v/>
      </c>
      <c r="J1695" s="3">
        <f>ROUND(MIN(IF(C1695="Técnico III",35,IF(C1695="Técnico II",28,IF(C1695="Técnico I",23,IF(C1695="JR",20,IF(C1695="Estágio",10,0))))),IF(C1695="Técnico III",SUMIFS($D:$D,$A:$A,$A1695,$B:$B,"&lt;&gt;Patrícia Karla de Sousa Araújo",$B:$B,"&lt;&gt;Lorena Dias de Araujo",$B:$B,"&lt;&gt;Lucas Luiz Romero")*(35/1083),IF(C1695="Técnico II",SUMIFS($D:$D,$A:$A,$A1695,$B:$B,"&lt;&gt;Patrícia Karla de Sousa Araújo",$B:$B,"&lt;&gt;Lorena Dias de Araujo",$B:$B,"&lt;&gt;Lucas Luiz Romero")*(28/1083),IF(C1695="Técnico I",SUMIFS($D:$D,$A:$A,$A1695,$B:$B,"&lt;&gt;Patrícia Karla de Sousa Araújo",$B:$B,"&lt;&gt;Lorena Dias de Araujo",$B:$B,"&lt;&gt;Lucas Luiz Romero")*(23/1083),IF(C1695="JR",SUMIFS($D:$D,$A:$A,$A1695,$B:$B,"&lt;&gt;Patrícia Karla de Sousa Araújo",$B:$B,"&lt;&gt;Lorena Dias de Araujo",$B:$B,"&lt;&gt;Lucas Luiz Romero")*(20/1083),IF(C1695="Estágio",SUMIFS($D:$D,$A:$A,$A1695,$B:$B,"&lt;&gt;Patrícia Karla de Sousa Araújo",$B:$B,"&lt;&gt;Lorena Dias de Araujo",$B:$B,"&lt;&gt;Lucas Luiz Romero")*(10/1083),0)))))),0)</f>
        <v/>
      </c>
      <c r="K1695" s="3">
        <f>I1695-J1695</f>
        <v/>
      </c>
      <c r="L1695" s="3">
        <f>IF(K1695&lt;-5,"CRÍTICO",IF(K1695&lt;0,"ATENÇÃO",IF(K1695&lt;=5,"BOM","EXCELENTE")))</f>
        <v/>
      </c>
      <c r="M1695" t="n">
        <v>5</v>
      </c>
      <c r="N1695" t="n">
        <v>100</v>
      </c>
      <c r="O1695" t="n">
        <v>53.84615384615385</v>
      </c>
    </row>
    <row r="1696" hidden="1">
      <c r="A1696" s="11" t="n">
        <v>46052</v>
      </c>
      <c r="B1696" t="inlineStr">
        <is>
          <t>Rafael Gomes de Morais</t>
        </is>
      </c>
      <c r="C1696" t="inlineStr">
        <is>
          <t>Técnico III</t>
        </is>
      </c>
      <c r="D1696" t="n">
        <v>28</v>
      </c>
      <c r="E1696" t="n">
        <v>28</v>
      </c>
      <c r="F1696" t="n">
        <v>15.44</v>
      </c>
      <c r="G1696" t="n">
        <v>0</v>
      </c>
      <c r="H1696" t="n">
        <v>0</v>
      </c>
      <c r="I1696" s="3">
        <f>E1696+G1696+H1696</f>
        <v/>
      </c>
      <c r="J1696" s="3">
        <f>ROUND(MIN(IF(C1696="Técnico III",35,IF(C1696="Técnico II",28,IF(C1696="Técnico I",23,IF(C1696="JR",20,IF(C1696="Estágio",10,0))))),IF(C1696="Técnico III",SUMIFS($D:$D,$A:$A,$A1696,$B:$B,"&lt;&gt;Patrícia Karla de Sousa Araújo",$B:$B,"&lt;&gt;Lorena Dias de Araujo",$B:$B,"&lt;&gt;Lucas Luiz Romero")*(35/1083),IF(C1696="Técnico II",SUMIFS($D:$D,$A:$A,$A1696,$B:$B,"&lt;&gt;Patrícia Karla de Sousa Araújo",$B:$B,"&lt;&gt;Lorena Dias de Araujo",$B:$B,"&lt;&gt;Lucas Luiz Romero")*(28/1083),IF(C1696="Técnico I",SUMIFS($D:$D,$A:$A,$A1696,$B:$B,"&lt;&gt;Patrícia Karla de Sousa Araújo",$B:$B,"&lt;&gt;Lorena Dias de Araujo",$B:$B,"&lt;&gt;Lucas Luiz Romero")*(23/1083),IF(C1696="JR",SUMIFS($D:$D,$A:$A,$A1696,$B:$B,"&lt;&gt;Patrícia Karla de Sousa Araújo",$B:$B,"&lt;&gt;Lorena Dias de Araujo",$B:$B,"&lt;&gt;Lucas Luiz Romero")*(20/1083),IF(C1696="Estágio",SUMIFS($D:$D,$A:$A,$A1696,$B:$B,"&lt;&gt;Patrícia Karla de Sousa Araújo",$B:$B,"&lt;&gt;Lorena Dias de Araujo",$B:$B,"&lt;&gt;Lucas Luiz Romero")*(10/1083),0)))))),0)</f>
        <v/>
      </c>
      <c r="K1696" s="3">
        <f>I1696-J1696</f>
        <v/>
      </c>
      <c r="L1696" s="3">
        <f>IF(K1696&lt;-5,"CRÍTICO",IF(K1696&lt;0,"ATENÇÃO",IF(K1696&lt;=5,"BOM","EXCELENTE")))</f>
        <v/>
      </c>
      <c r="M1696" t="n">
        <v>29</v>
      </c>
      <c r="N1696" t="n">
        <v>100</v>
      </c>
      <c r="O1696" t="n">
        <v>44.05594405594406</v>
      </c>
    </row>
    <row r="1697" hidden="1">
      <c r="A1697" s="11" t="n">
        <v>46052</v>
      </c>
      <c r="B1697" t="inlineStr">
        <is>
          <t>Sara Maria Monteiro Lopes</t>
        </is>
      </c>
      <c r="C1697" t="inlineStr">
        <is>
          <t>Técnico I</t>
        </is>
      </c>
      <c r="D1697" t="n">
        <v>14</v>
      </c>
      <c r="E1697" t="n">
        <v>14</v>
      </c>
      <c r="F1697" t="n">
        <v>29.08</v>
      </c>
      <c r="G1697" t="n">
        <v>0</v>
      </c>
      <c r="H1697" t="n">
        <v>0</v>
      </c>
      <c r="I1697" s="3">
        <f>E1697+G1697+H1697</f>
        <v/>
      </c>
      <c r="J1697" s="3">
        <f>ROUND(MIN(IF(C1697="Técnico III",35,IF(C1697="Técnico II",28,IF(C1697="Técnico I",23,IF(C1697="JR",20,IF(C1697="Estágio",10,0))))),IF(C1697="Técnico III",SUMIFS($D:$D,$A:$A,$A1697,$B:$B,"&lt;&gt;Patrícia Karla de Sousa Araújo",$B:$B,"&lt;&gt;Lorena Dias de Araujo",$B:$B,"&lt;&gt;Lucas Luiz Romero")*(35/1083),IF(C1697="Técnico II",SUMIFS($D:$D,$A:$A,$A1697,$B:$B,"&lt;&gt;Patrícia Karla de Sousa Araújo",$B:$B,"&lt;&gt;Lorena Dias de Araujo",$B:$B,"&lt;&gt;Lucas Luiz Romero")*(28/1083),IF(C1697="Técnico I",SUMIFS($D:$D,$A:$A,$A1697,$B:$B,"&lt;&gt;Patrícia Karla de Sousa Araújo",$B:$B,"&lt;&gt;Lorena Dias de Araujo",$B:$B,"&lt;&gt;Lucas Luiz Romero")*(23/1083),IF(C1697="JR",SUMIFS($D:$D,$A:$A,$A1697,$B:$B,"&lt;&gt;Patrícia Karla de Sousa Araújo",$B:$B,"&lt;&gt;Lorena Dias de Araujo",$B:$B,"&lt;&gt;Lucas Luiz Romero")*(20/1083),IF(C1697="Estágio",SUMIFS($D:$D,$A:$A,$A1697,$B:$B,"&lt;&gt;Patrícia Karla de Sousa Araújo",$B:$B,"&lt;&gt;Lorena Dias de Araujo",$B:$B,"&lt;&gt;Lucas Luiz Romero")*(10/1083),0)))))),0)</f>
        <v/>
      </c>
      <c r="K1697" s="3">
        <f>I1697-J1697</f>
        <v/>
      </c>
      <c r="L1697" s="3">
        <f>IF(K1697&lt;-5,"CRÍTICO",IF(K1697&lt;0,"ATENÇÃO",IF(K1697&lt;=5,"BOM","EXCELENTE")))</f>
        <v/>
      </c>
      <c r="M1697" t="n">
        <v>15</v>
      </c>
      <c r="N1697" t="n">
        <v>100</v>
      </c>
      <c r="O1697" t="n">
        <v>31.87250996015936</v>
      </c>
    </row>
    <row r="1698" hidden="1">
      <c r="A1698" s="11" t="n">
        <v>46052</v>
      </c>
      <c r="B1698" t="inlineStr">
        <is>
          <t>Sarah Steffanie de Lima Borges</t>
        </is>
      </c>
      <c r="C1698" t="inlineStr">
        <is>
          <t>Técnico III</t>
        </is>
      </c>
      <c r="D1698" t="n">
        <v>37</v>
      </c>
      <c r="E1698" t="n">
        <v>36</v>
      </c>
      <c r="F1698" t="n">
        <v>12.14</v>
      </c>
      <c r="G1698" t="n">
        <v>0</v>
      </c>
      <c r="H1698" t="n">
        <v>0</v>
      </c>
      <c r="I1698" s="3">
        <f>E1698+G1698+H1698</f>
        <v/>
      </c>
      <c r="J1698" s="3">
        <f>ROUND(MIN(IF(C1698="Técnico III",35,IF(C1698="Técnico II",28,IF(C1698="Técnico I",23,IF(C1698="JR",20,IF(C1698="Estágio",10,0))))),IF(C1698="Técnico III",SUMIFS($D:$D,$A:$A,$A1698,$B:$B,"&lt;&gt;Patrícia Karla de Sousa Araújo",$B:$B,"&lt;&gt;Lorena Dias de Araujo",$B:$B,"&lt;&gt;Lucas Luiz Romero")*(35/1083),IF(C1698="Técnico II",SUMIFS($D:$D,$A:$A,$A1698,$B:$B,"&lt;&gt;Patrícia Karla de Sousa Araújo",$B:$B,"&lt;&gt;Lorena Dias de Araujo",$B:$B,"&lt;&gt;Lucas Luiz Romero")*(28/1083),IF(C1698="Técnico I",SUMIFS($D:$D,$A:$A,$A1698,$B:$B,"&lt;&gt;Patrícia Karla de Sousa Araújo",$B:$B,"&lt;&gt;Lorena Dias de Araujo",$B:$B,"&lt;&gt;Lucas Luiz Romero")*(23/1083),IF(C1698="JR",SUMIFS($D:$D,$A:$A,$A1698,$B:$B,"&lt;&gt;Patrícia Karla de Sousa Araújo",$B:$B,"&lt;&gt;Lorena Dias de Araujo",$B:$B,"&lt;&gt;Lucas Luiz Romero")*(20/1083),IF(C1698="Estágio",SUMIFS($D:$D,$A:$A,$A1698,$B:$B,"&lt;&gt;Patrícia Karla de Sousa Araújo",$B:$B,"&lt;&gt;Lorena Dias de Araujo",$B:$B,"&lt;&gt;Lucas Luiz Romero")*(10/1083),0)))))),0)</f>
        <v/>
      </c>
      <c r="K1698" s="3">
        <f>I1698-J1698</f>
        <v/>
      </c>
      <c r="L1698" s="3">
        <f>IF(K1698&lt;-5,"CRÍTICO",IF(K1698&lt;0,"ATENÇÃO",IF(K1698&lt;=5,"BOM","EXCELENTE")))</f>
        <v/>
      </c>
      <c r="M1698" t="n">
        <v>29</v>
      </c>
      <c r="N1698" t="n">
        <v>98.41</v>
      </c>
      <c r="O1698" t="n">
        <v>29.22465208747515</v>
      </c>
    </row>
    <row r="1699" hidden="1">
      <c r="A1699" s="11" t="n">
        <v>46055</v>
      </c>
      <c r="B1699" t="inlineStr">
        <is>
          <t>Alisson de Freitas Silva</t>
        </is>
      </c>
      <c r="C1699" t="inlineStr">
        <is>
          <t>Técnico II</t>
        </is>
      </c>
      <c r="D1699" t="n">
        <v>50</v>
      </c>
      <c r="E1699" t="n">
        <v>43</v>
      </c>
      <c r="F1699" t="n">
        <v>12.21</v>
      </c>
      <c r="G1699" t="n">
        <v>0</v>
      </c>
      <c r="H1699" t="n">
        <v>0</v>
      </c>
      <c r="I1699" s="3">
        <f>E1699+G1699+H1699</f>
        <v/>
      </c>
      <c r="J1699" s="3">
        <f>ROUND(MIN(IF(C1699="Técnico III",35,IF(C1699="Técnico II",28,IF(C1699="Técnico I",23,IF(C1699="JR",20,IF(C1699="Estágio",10,0))))),IF(C1699="Técnico III",SUMIFS($D:$D,$A:$A,$A1699,$B:$B,"&lt;&gt;Patrícia Karla de Sousa Araújo",$B:$B,"&lt;&gt;Lorena Dias de Araujo",$B:$B,"&lt;&gt;Lucas Luiz Romero")*(35/1083),IF(C1699="Técnico II",SUMIFS($D:$D,$A:$A,$A1699,$B:$B,"&lt;&gt;Patrícia Karla de Sousa Araújo",$B:$B,"&lt;&gt;Lorena Dias de Araujo",$B:$B,"&lt;&gt;Lucas Luiz Romero")*(28/1083),IF(C1699="Técnico I",SUMIFS($D:$D,$A:$A,$A1699,$B:$B,"&lt;&gt;Patrícia Karla de Sousa Araújo",$B:$B,"&lt;&gt;Lorena Dias de Araujo",$B:$B,"&lt;&gt;Lucas Luiz Romero")*(23/1083),IF(C1699="JR",SUMIFS($D:$D,$A:$A,$A1699,$B:$B,"&lt;&gt;Patrícia Karla de Sousa Araújo",$B:$B,"&lt;&gt;Lorena Dias de Araujo",$B:$B,"&lt;&gt;Lucas Luiz Romero")*(20/1083),IF(C1699="Estágio",SUMIFS($D:$D,$A:$A,$A1699,$B:$B,"&lt;&gt;Patrícia Karla de Sousa Araújo",$B:$B,"&lt;&gt;Lorena Dias de Araujo",$B:$B,"&lt;&gt;Lucas Luiz Romero")*(10/1083),0)))))),0)</f>
        <v/>
      </c>
      <c r="K1699" s="3">
        <f>I1699-J1699</f>
        <v/>
      </c>
      <c r="L1699" s="3">
        <f>IF(K1699&lt;-5,"CRÍTICO",IF(K1699&lt;0,"ATENÇÃO",IF(K1699&lt;=5,"BOM","EXCELENTE")))</f>
        <v/>
      </c>
      <c r="M1699" t="n">
        <v>40</v>
      </c>
      <c r="N1699" t="n">
        <v>100</v>
      </c>
      <c r="O1699" t="n">
        <v>25</v>
      </c>
    </row>
    <row r="1700" hidden="1">
      <c r="A1700" s="11" t="n">
        <v>46055</v>
      </c>
      <c r="B1700" t="inlineStr">
        <is>
          <t>Amanda Moura Ferreira</t>
        </is>
      </c>
      <c r="C1700" t="inlineStr">
        <is>
          <t>Técnico III</t>
        </is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s="3" t="n">
        <v>0</v>
      </c>
      <c r="J1700" s="3" t="n">
        <v>0</v>
      </c>
      <c r="K1700" s="3" t="n">
        <v>0</v>
      </c>
      <c r="L1700" s="3">
        <f>IF(K1700&lt;-5,"CRÍTICO",IF(K1700&lt;0,"ATENÇÃO",IF(K1700&lt;=5,"BOM","EXCELENTE")))</f>
        <v/>
      </c>
      <c r="M1700" t="n">
        <v>30</v>
      </c>
      <c r="N1700" t="n">
        <v>100</v>
      </c>
      <c r="O1700" t="n">
        <v>33.33333333333333</v>
      </c>
    </row>
    <row r="1701" hidden="1">
      <c r="A1701" s="11" t="n">
        <v>46055</v>
      </c>
      <c r="B1701" t="inlineStr">
        <is>
          <t>Ana Karollyne Souza Faria</t>
        </is>
      </c>
      <c r="C1701" t="inlineStr">
        <is>
          <t>Técnico I</t>
        </is>
      </c>
      <c r="D1701" t="n">
        <v>29</v>
      </c>
      <c r="E1701" t="n">
        <v>27</v>
      </c>
      <c r="F1701" t="n">
        <v>24.08</v>
      </c>
      <c r="G1701" t="n">
        <v>0</v>
      </c>
      <c r="H1701" t="n">
        <v>0</v>
      </c>
      <c r="I1701" s="3">
        <f>E1701+G1701+H1701</f>
        <v/>
      </c>
      <c r="J1701" s="3">
        <f>ROUND(MIN(IF(C1701="Técnico III",35,IF(C1701="Técnico II",28,IF(C1701="Técnico I",23,IF(C1701="JR",20,IF(C1701="Estágio",10,0))))),IF(C1701="Técnico III",SUMIFS($D:$D,$A:$A,$A1701,$B:$B,"&lt;&gt;Patrícia Karla de Sousa Araújo",$B:$B,"&lt;&gt;Lorena Dias de Araujo",$B:$B,"&lt;&gt;Lucas Luiz Romero")*(35/1083),IF(C1701="Técnico II",SUMIFS($D:$D,$A:$A,$A1701,$B:$B,"&lt;&gt;Patrícia Karla de Sousa Araújo",$B:$B,"&lt;&gt;Lorena Dias de Araujo",$B:$B,"&lt;&gt;Lucas Luiz Romero")*(28/1083),IF(C1701="Técnico I",SUMIFS($D:$D,$A:$A,$A1701,$B:$B,"&lt;&gt;Patrícia Karla de Sousa Araújo",$B:$B,"&lt;&gt;Lorena Dias de Araujo",$B:$B,"&lt;&gt;Lucas Luiz Romero")*(23/1083),IF(C1701="JR",SUMIFS($D:$D,$A:$A,$A1701,$B:$B,"&lt;&gt;Patrícia Karla de Sousa Araújo",$B:$B,"&lt;&gt;Lorena Dias de Araujo",$B:$B,"&lt;&gt;Lucas Luiz Romero")*(20/1083),IF(C1701="Estágio",SUMIFS($D:$D,$A:$A,$A1701,$B:$B,"&lt;&gt;Patrícia Karla de Sousa Araújo",$B:$B,"&lt;&gt;Lorena Dias de Araujo",$B:$B,"&lt;&gt;Lucas Luiz Romero")*(10/1083),0)))))),0)</f>
        <v/>
      </c>
      <c r="K1701" s="3">
        <f>I1701-J1701</f>
        <v/>
      </c>
      <c r="L1701" s="3">
        <f>IF(K1701&lt;-5,"CRÍTICO",IF(K1701&lt;0,"ATENÇÃO",IF(K1701&lt;=5,"BOM","EXCELENTE")))</f>
        <v/>
      </c>
      <c r="M1701" t="n">
        <v>28</v>
      </c>
      <c r="N1701" t="n">
        <v>100</v>
      </c>
      <c r="O1701" t="n">
        <v>39.28571428571428</v>
      </c>
    </row>
    <row r="1702" hidden="1">
      <c r="A1702" s="11" t="n">
        <v>46055</v>
      </c>
      <c r="B1702" t="inlineStr">
        <is>
          <t>Ana Paula Da Luz Silva Aleixo</t>
        </is>
      </c>
      <c r="C1702" t="inlineStr">
        <is>
          <t>Técnico III</t>
        </is>
      </c>
      <c r="D1702" t="n">
        <v>25</v>
      </c>
      <c r="E1702" t="n">
        <v>24</v>
      </c>
      <c r="F1702" t="n">
        <v>20.55</v>
      </c>
      <c r="G1702" t="n">
        <v>0</v>
      </c>
      <c r="H1702" t="n">
        <v>0</v>
      </c>
      <c r="I1702" s="3">
        <f>E1702+G1702+H1702</f>
        <v/>
      </c>
      <c r="J1702" s="3">
        <f>ROUND(MIN(IF(C1702="Técnico III",35,IF(C1702="Técnico II",28,IF(C1702="Técnico I",23,IF(C1702="JR",20,IF(C1702="Estágio",10,0))))),IF(C1702="Técnico III",SUMIFS($D:$D,$A:$A,$A1702,$B:$B,"&lt;&gt;Patrícia Karla de Sousa Araújo",$B:$B,"&lt;&gt;Lorena Dias de Araujo",$B:$B,"&lt;&gt;Lucas Luiz Romero")*(35/1083),IF(C1702="Técnico II",SUMIFS($D:$D,$A:$A,$A1702,$B:$B,"&lt;&gt;Patrícia Karla de Sousa Araújo",$B:$B,"&lt;&gt;Lorena Dias de Araujo",$B:$B,"&lt;&gt;Lucas Luiz Romero")*(28/1083),IF(C1702="Técnico I",SUMIFS($D:$D,$A:$A,$A1702,$B:$B,"&lt;&gt;Patrícia Karla de Sousa Araújo",$B:$B,"&lt;&gt;Lorena Dias de Araujo",$B:$B,"&lt;&gt;Lucas Luiz Romero")*(23/1083),IF(C1702="JR",SUMIFS($D:$D,$A:$A,$A1702,$B:$B,"&lt;&gt;Patrícia Karla de Sousa Araújo",$B:$B,"&lt;&gt;Lorena Dias de Araujo",$B:$B,"&lt;&gt;Lucas Luiz Romero")*(20/1083),IF(C1702="Estágio",SUMIFS($D:$D,$A:$A,$A1702,$B:$B,"&lt;&gt;Patrícia Karla de Sousa Araújo",$B:$B,"&lt;&gt;Lorena Dias de Araujo",$B:$B,"&lt;&gt;Lucas Luiz Romero")*(10/1083),0)))))),0)</f>
        <v/>
      </c>
      <c r="K1702" s="3">
        <f>I1702-J1702</f>
        <v/>
      </c>
      <c r="L1702" s="3">
        <f>IF(K1702&lt;-5,"CRÍTICO",IF(K1702&lt;0,"ATENÇÃO",IF(K1702&lt;=5,"BOM","EXCELENTE")))</f>
        <v/>
      </c>
      <c r="M1702" t="n">
        <v>23</v>
      </c>
      <c r="N1702" t="n">
        <v>100</v>
      </c>
      <c r="O1702" t="n">
        <v>39.1304347826087</v>
      </c>
    </row>
    <row r="1703" hidden="1">
      <c r="A1703" s="11" t="n">
        <v>46055</v>
      </c>
      <c r="B1703" t="inlineStr">
        <is>
          <t>Anna Luiza Rezende Tavares</t>
        </is>
      </c>
      <c r="C1703" t="inlineStr">
        <is>
          <t>Estágio</t>
        </is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s="3" t="n">
        <v>0</v>
      </c>
      <c r="J1703" s="3" t="n">
        <v>0</v>
      </c>
      <c r="K1703" s="3" t="n">
        <v>0</v>
      </c>
      <c r="L1703" s="3">
        <f>IF(K1703&lt;-5,"CRÍTICO",IF(K1703&lt;0,"ATENÇÃO",IF(K1703&lt;=5,"BOM","EXCELENTE")))</f>
        <v/>
      </c>
      <c r="M1703" t="n">
        <v>0</v>
      </c>
      <c r="N1703" t="n">
        <v>100</v>
      </c>
      <c r="O1703" t="n">
        <v>0</v>
      </c>
    </row>
    <row r="1704" hidden="1">
      <c r="A1704" s="11" t="n">
        <v>46055</v>
      </c>
      <c r="B1704" t="inlineStr">
        <is>
          <t>Brenda de Menezes Silva</t>
        </is>
      </c>
      <c r="C1704" t="inlineStr">
        <is>
          <t>Técnico II</t>
        </is>
      </c>
      <c r="D1704" t="n">
        <v>32</v>
      </c>
      <c r="E1704" t="n">
        <v>30</v>
      </c>
      <c r="F1704" t="n">
        <v>12.35</v>
      </c>
      <c r="G1704" t="n">
        <v>0</v>
      </c>
      <c r="H1704" t="n">
        <v>0</v>
      </c>
      <c r="I1704" s="3">
        <f>E1704+G1704+H1704</f>
        <v/>
      </c>
      <c r="J1704" s="3">
        <f>ROUND(MIN(IF(C1704="Técnico III",35,IF(C1704="Técnico II",28,IF(C1704="Técnico I",23,IF(C1704="JR",20,IF(C1704="Estágio",10,0))))),IF(C1704="Técnico III",SUMIFS($D:$D,$A:$A,$A1704,$B:$B,"&lt;&gt;Patrícia Karla de Sousa Araújo",$B:$B,"&lt;&gt;Lorena Dias de Araujo",$B:$B,"&lt;&gt;Lucas Luiz Romero")*(35/1083),IF(C1704="Técnico II",SUMIFS($D:$D,$A:$A,$A1704,$B:$B,"&lt;&gt;Patrícia Karla de Sousa Araújo",$B:$B,"&lt;&gt;Lorena Dias de Araujo",$B:$B,"&lt;&gt;Lucas Luiz Romero")*(28/1083),IF(C1704="Técnico I",SUMIFS($D:$D,$A:$A,$A1704,$B:$B,"&lt;&gt;Patrícia Karla de Sousa Araújo",$B:$B,"&lt;&gt;Lorena Dias de Araujo",$B:$B,"&lt;&gt;Lucas Luiz Romero")*(23/1083),IF(C1704="JR",SUMIFS($D:$D,$A:$A,$A1704,$B:$B,"&lt;&gt;Patrícia Karla de Sousa Araújo",$B:$B,"&lt;&gt;Lorena Dias de Araujo",$B:$B,"&lt;&gt;Lucas Luiz Romero")*(20/1083),IF(C1704="Estágio",SUMIFS($D:$D,$A:$A,$A1704,$B:$B,"&lt;&gt;Patrícia Karla de Sousa Araújo",$B:$B,"&lt;&gt;Lorena Dias de Araujo",$B:$B,"&lt;&gt;Lucas Luiz Romero")*(10/1083),0)))))),0)</f>
        <v/>
      </c>
      <c r="K1704" s="3">
        <f>I1704-J1704</f>
        <v/>
      </c>
      <c r="L1704" s="3">
        <f>IF(K1704&lt;-5,"CRÍTICO",IF(K1704&lt;0,"ATENÇÃO",IF(K1704&lt;=5,"BOM","EXCELENTE")))</f>
        <v/>
      </c>
      <c r="M1704" t="n">
        <v>30</v>
      </c>
      <c r="N1704" t="n">
        <v>100</v>
      </c>
      <c r="O1704" t="n">
        <v>40</v>
      </c>
    </row>
    <row r="1705" hidden="1">
      <c r="A1705" s="11" t="n">
        <v>46055</v>
      </c>
      <c r="B1705" t="inlineStr">
        <is>
          <t>Carlos Mateus Cassimiro Nunes</t>
        </is>
      </c>
      <c r="C1705" t="inlineStr">
        <is>
          <t>Técnico II</t>
        </is>
      </c>
      <c r="D1705" t="n">
        <v>21</v>
      </c>
      <c r="E1705" t="n">
        <v>19</v>
      </c>
      <c r="F1705" t="n">
        <v>31.46</v>
      </c>
      <c r="G1705" t="n">
        <v>0</v>
      </c>
      <c r="H1705" t="n">
        <v>0</v>
      </c>
      <c r="I1705" s="3">
        <f>E1705+G1705+H1705</f>
        <v/>
      </c>
      <c r="J1705" s="3">
        <f>ROUND(MIN(IF(C1705="Técnico III",35,IF(C1705="Técnico II",28,IF(C1705="Técnico I",23,IF(C1705="JR",20,IF(C1705="Estágio",10,0))))),IF(C1705="Técnico III",SUMIFS($D:$D,$A:$A,$A1705,$B:$B,"&lt;&gt;Patrícia Karla de Sousa Araújo",$B:$B,"&lt;&gt;Lorena Dias de Araujo",$B:$B,"&lt;&gt;Lucas Luiz Romero")*(35/1083),IF(C1705="Técnico II",SUMIFS($D:$D,$A:$A,$A1705,$B:$B,"&lt;&gt;Patrícia Karla de Sousa Araújo",$B:$B,"&lt;&gt;Lorena Dias de Araujo",$B:$B,"&lt;&gt;Lucas Luiz Romero")*(28/1083),IF(C1705="Técnico I",SUMIFS($D:$D,$A:$A,$A1705,$B:$B,"&lt;&gt;Patrícia Karla de Sousa Araújo",$B:$B,"&lt;&gt;Lorena Dias de Araujo",$B:$B,"&lt;&gt;Lucas Luiz Romero")*(23/1083),IF(C1705="JR",SUMIFS($D:$D,$A:$A,$A1705,$B:$B,"&lt;&gt;Patrícia Karla de Sousa Araújo",$B:$B,"&lt;&gt;Lorena Dias de Araujo",$B:$B,"&lt;&gt;Lucas Luiz Romero")*(20/1083),IF(C1705="Estágio",SUMIFS($D:$D,$A:$A,$A1705,$B:$B,"&lt;&gt;Patrícia Karla de Sousa Araújo",$B:$B,"&lt;&gt;Lorena Dias de Araujo",$B:$B,"&lt;&gt;Lucas Luiz Romero")*(10/1083),0)))))),0)</f>
        <v/>
      </c>
      <c r="K1705" s="3">
        <f>I1705-J1705</f>
        <v/>
      </c>
      <c r="L1705" s="3">
        <f>IF(K1705&lt;-5,"CRÍTICO",IF(K1705&lt;0,"ATENÇÃO",IF(K1705&lt;=5,"BOM","EXCELENTE")))</f>
        <v/>
      </c>
      <c r="M1705" t="n">
        <v>18</v>
      </c>
      <c r="N1705" t="n">
        <v>100</v>
      </c>
      <c r="O1705" t="n">
        <v>50</v>
      </c>
    </row>
    <row r="1706" hidden="1">
      <c r="A1706" s="11" t="n">
        <v>46055</v>
      </c>
      <c r="B1706" t="inlineStr">
        <is>
          <t>Claudio de Sousa Velasco Filho</t>
        </is>
      </c>
      <c r="C1706" t="inlineStr">
        <is>
          <t>Estágio</t>
        </is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s="3" t="n">
        <v>0</v>
      </c>
      <c r="J1706" s="3" t="n">
        <v>0</v>
      </c>
      <c r="K1706" s="3" t="n">
        <v>0</v>
      </c>
      <c r="L1706" s="3">
        <f>IF(K1706&lt;-5,"CRÍTICO",IF(K1706&lt;0,"ATENÇÃO",IF(K1706&lt;=5,"BOM","EXCELENTE")))</f>
        <v/>
      </c>
      <c r="M1706" t="n">
        <v>0</v>
      </c>
      <c r="N1706" t="n">
        <v>0</v>
      </c>
      <c r="O1706" t="n">
        <v>0</v>
      </c>
    </row>
    <row r="1707" hidden="1">
      <c r="A1707" s="11" t="n">
        <v>46055</v>
      </c>
      <c r="B1707" t="inlineStr">
        <is>
          <t>Clessiane Pereira dos Santos</t>
        </is>
      </c>
      <c r="C1707" t="inlineStr">
        <is>
          <t>Técnico I</t>
        </is>
      </c>
      <c r="D1707" t="n">
        <v>1</v>
      </c>
      <c r="E1707" t="n">
        <v>1</v>
      </c>
      <c r="F1707" t="n">
        <v>22.31</v>
      </c>
      <c r="G1707" t="n">
        <v>0</v>
      </c>
      <c r="H1707" t="n">
        <v>0</v>
      </c>
      <c r="I1707" s="3">
        <f>E1707+G1707+H1707</f>
        <v/>
      </c>
      <c r="J1707" s="3">
        <f>ROUND(MIN(IF(C1707="Técnico III",35,IF(C1707="Técnico II",28,IF(C1707="Técnico I",23,IF(C1707="JR",20,IF(C1707="Estágio",10,0))))),IF(C1707="Técnico III",SUMIFS($D:$D,$A:$A,$A1707,$B:$B,"&lt;&gt;Patrícia Karla de Sousa Araújo",$B:$B,"&lt;&gt;Lorena Dias de Araujo",$B:$B,"&lt;&gt;Lucas Luiz Romero")*(35/1083),IF(C1707="Técnico II",SUMIFS($D:$D,$A:$A,$A1707,$B:$B,"&lt;&gt;Patrícia Karla de Sousa Araújo",$B:$B,"&lt;&gt;Lorena Dias de Araujo",$B:$B,"&lt;&gt;Lucas Luiz Romero")*(28/1083),IF(C1707="Técnico I",SUMIFS($D:$D,$A:$A,$A1707,$B:$B,"&lt;&gt;Patrícia Karla de Sousa Araújo",$B:$B,"&lt;&gt;Lorena Dias de Araujo",$B:$B,"&lt;&gt;Lucas Luiz Romero")*(23/1083),IF(C1707="JR",SUMIFS($D:$D,$A:$A,$A1707,$B:$B,"&lt;&gt;Patrícia Karla de Sousa Araújo",$B:$B,"&lt;&gt;Lorena Dias de Araujo",$B:$B,"&lt;&gt;Lucas Luiz Romero")*(20/1083),IF(C1707="Estágio",SUMIFS($D:$D,$A:$A,$A1707,$B:$B,"&lt;&gt;Patrícia Karla de Sousa Araújo",$B:$B,"&lt;&gt;Lorena Dias de Araujo",$B:$B,"&lt;&gt;Lucas Luiz Romero")*(10/1083),0)))))),0)</f>
        <v/>
      </c>
      <c r="K1707" s="3">
        <f>I1707-J1707</f>
        <v/>
      </c>
      <c r="L1707" s="3">
        <f>IF(K1707&lt;-5,"CRÍTICO",IF(K1707&lt;0,"ATENÇÃO",IF(K1707&lt;=5,"BOM","EXCELENTE")))</f>
        <v/>
      </c>
      <c r="M1707" t="n">
        <v>23</v>
      </c>
      <c r="N1707" t="n">
        <v>100</v>
      </c>
      <c r="O1707" t="n">
        <v>52.17391304347826</v>
      </c>
    </row>
    <row r="1708" hidden="1">
      <c r="A1708" s="11" t="n">
        <v>46055</v>
      </c>
      <c r="B1708" t="inlineStr">
        <is>
          <t>Cristiane Ramos da Silva Rocha</t>
        </is>
      </c>
      <c r="C1708" t="inlineStr">
        <is>
          <t>Técnico III</t>
        </is>
      </c>
      <c r="D1708" t="n">
        <v>46</v>
      </c>
      <c r="E1708" t="n">
        <v>42</v>
      </c>
      <c r="F1708" t="n">
        <v>10.55</v>
      </c>
      <c r="G1708" t="n">
        <v>0</v>
      </c>
      <c r="H1708" t="n">
        <v>0</v>
      </c>
      <c r="I1708" s="3">
        <f>E1708+G1708+H1708</f>
        <v/>
      </c>
      <c r="J1708" s="3">
        <f>ROUND(MIN(IF(C1708="Técnico III",35,IF(C1708="Técnico II",28,IF(C1708="Técnico I",23,IF(C1708="JR",20,IF(C1708="Estágio",10,0))))),IF(C1708="Técnico III",SUMIFS($D:$D,$A:$A,$A1708,$B:$B,"&lt;&gt;Patrícia Karla de Sousa Araújo",$B:$B,"&lt;&gt;Lorena Dias de Araujo",$B:$B,"&lt;&gt;Lucas Luiz Romero")*(35/1083),IF(C1708="Técnico II",SUMIFS($D:$D,$A:$A,$A1708,$B:$B,"&lt;&gt;Patrícia Karla de Sousa Araújo",$B:$B,"&lt;&gt;Lorena Dias de Araujo",$B:$B,"&lt;&gt;Lucas Luiz Romero")*(28/1083),IF(C1708="Técnico I",SUMIFS($D:$D,$A:$A,$A1708,$B:$B,"&lt;&gt;Patrícia Karla de Sousa Araújo",$B:$B,"&lt;&gt;Lorena Dias de Araujo",$B:$B,"&lt;&gt;Lucas Luiz Romero")*(23/1083),IF(C1708="JR",SUMIFS($D:$D,$A:$A,$A1708,$B:$B,"&lt;&gt;Patrícia Karla de Sousa Araújo",$B:$B,"&lt;&gt;Lorena Dias de Araujo",$B:$B,"&lt;&gt;Lucas Luiz Romero")*(20/1083),IF(C1708="Estágio",SUMIFS($D:$D,$A:$A,$A1708,$B:$B,"&lt;&gt;Patrícia Karla de Sousa Araújo",$B:$B,"&lt;&gt;Lorena Dias de Araujo",$B:$B,"&lt;&gt;Lucas Luiz Romero")*(10/1083),0)))))),0)</f>
        <v/>
      </c>
      <c r="K1708" s="3">
        <f>I1708-J1708</f>
        <v/>
      </c>
      <c r="L1708" s="3">
        <f>IF(K1708&lt;-5,"CRÍTICO",IF(K1708&lt;0,"ATENÇÃO",IF(K1708&lt;=5,"BOM","EXCELENTE")))</f>
        <v/>
      </c>
      <c r="M1708" t="n">
        <v>35</v>
      </c>
      <c r="N1708" t="n">
        <v>90</v>
      </c>
      <c r="O1708" t="n">
        <v>40</v>
      </c>
    </row>
    <row r="1709" hidden="1">
      <c r="A1709" s="11" t="n">
        <v>46055</v>
      </c>
      <c r="B1709" t="inlineStr">
        <is>
          <t>Damyllis Lorraine de Oliveira Gonçalves</t>
        </is>
      </c>
      <c r="C1709" t="inlineStr">
        <is>
          <t>Técnico II</t>
        </is>
      </c>
      <c r="D1709" t="n">
        <v>40</v>
      </c>
      <c r="E1709" t="n">
        <v>34</v>
      </c>
      <c r="F1709" t="n">
        <v>15.02</v>
      </c>
      <c r="G1709" t="n">
        <v>0</v>
      </c>
      <c r="H1709" t="n">
        <v>0</v>
      </c>
      <c r="I1709" s="3" t="n">
        <v>0</v>
      </c>
      <c r="J1709" s="3" t="n">
        <v>0</v>
      </c>
      <c r="K1709" s="3" t="n">
        <v>0</v>
      </c>
      <c r="L1709" s="3">
        <f>IF(K1709&lt;-5,"CRÍTICO",IF(K1709&lt;0,"ATENÇÃO",IF(K1709&lt;=5,"BOM","EXCELENTE")))</f>
        <v/>
      </c>
      <c r="M1709" t="n">
        <v>32</v>
      </c>
      <c r="N1709" t="n">
        <v>100</v>
      </c>
      <c r="O1709" t="n">
        <v>21.875</v>
      </c>
    </row>
    <row r="1710" hidden="1">
      <c r="A1710" s="11" t="n">
        <v>46055</v>
      </c>
      <c r="B1710" t="inlineStr">
        <is>
          <t>Daniel Gomes da Silva</t>
        </is>
      </c>
      <c r="C1710" t="inlineStr">
        <is>
          <t>Técnico I</t>
        </is>
      </c>
      <c r="D1710" t="n">
        <v>9</v>
      </c>
      <c r="E1710" t="n">
        <v>9</v>
      </c>
      <c r="F1710" t="n">
        <v>30.3</v>
      </c>
      <c r="G1710" t="n">
        <v>0</v>
      </c>
      <c r="H1710" t="n">
        <v>0</v>
      </c>
      <c r="I1710" s="3">
        <f>E1710+G1710+H1710</f>
        <v/>
      </c>
      <c r="J1710" s="3">
        <f>ROUND(MIN(IF(C1710="Técnico III",35,IF(C1710="Técnico II",28,IF(C1710="Técnico I",23,IF(C1710="JR",20,IF(C1710="Estágio",10,0))))),IF(C1710="Técnico III",SUMIFS($D:$D,$A:$A,$A1710,$B:$B,"&lt;&gt;Patrícia Karla de Sousa Araújo",$B:$B,"&lt;&gt;Lorena Dias de Araujo",$B:$B,"&lt;&gt;Lucas Luiz Romero")*(35/1083),IF(C1710="Técnico II",SUMIFS($D:$D,$A:$A,$A1710,$B:$B,"&lt;&gt;Patrícia Karla de Sousa Araújo",$B:$B,"&lt;&gt;Lorena Dias de Araujo",$B:$B,"&lt;&gt;Lucas Luiz Romero")*(28/1083),IF(C1710="Técnico I",SUMIFS($D:$D,$A:$A,$A1710,$B:$B,"&lt;&gt;Patrícia Karla de Sousa Araújo",$B:$B,"&lt;&gt;Lorena Dias de Araujo",$B:$B,"&lt;&gt;Lucas Luiz Romero")*(23/1083),IF(C1710="JR",SUMIFS($D:$D,$A:$A,$A1710,$B:$B,"&lt;&gt;Patrícia Karla de Sousa Araújo",$B:$B,"&lt;&gt;Lorena Dias de Araujo",$B:$B,"&lt;&gt;Lucas Luiz Romero")*(20/1083),IF(C1710="Estágio",SUMIFS($D:$D,$A:$A,$A1710,$B:$B,"&lt;&gt;Patrícia Karla de Sousa Araújo",$B:$B,"&lt;&gt;Lorena Dias de Araujo",$B:$B,"&lt;&gt;Lucas Luiz Romero")*(10/1083),0)))))),0)</f>
        <v/>
      </c>
      <c r="K1710" s="3">
        <f>I1710-J1710</f>
        <v/>
      </c>
      <c r="L1710" s="3">
        <f>IF(K1710&lt;-5,"CRÍTICO",IF(K1710&lt;0,"ATENÇÃO",IF(K1710&lt;=5,"BOM","EXCELENTE")))</f>
        <v/>
      </c>
      <c r="M1710" t="n">
        <v>22</v>
      </c>
      <c r="N1710" t="n">
        <v>100</v>
      </c>
      <c r="O1710" t="n">
        <v>9.090909090909092</v>
      </c>
    </row>
    <row r="1711" hidden="1">
      <c r="A1711" s="11" t="n">
        <v>46055</v>
      </c>
      <c r="B1711" t="inlineStr">
        <is>
          <t>Davylla Rodrigues Freitas Silva</t>
        </is>
      </c>
      <c r="C1711" t="inlineStr">
        <is>
          <t>Técnico III</t>
        </is>
      </c>
      <c r="D1711" t="n">
        <v>37</v>
      </c>
      <c r="E1711" t="n">
        <v>37</v>
      </c>
      <c r="F1711" t="n">
        <v>18.57</v>
      </c>
      <c r="G1711" t="n">
        <v>0</v>
      </c>
      <c r="H1711" t="n">
        <v>0</v>
      </c>
      <c r="I1711" s="3" t="n">
        <v>0</v>
      </c>
      <c r="J1711" s="3" t="n">
        <v>0</v>
      </c>
      <c r="K1711" s="3" t="n">
        <v>0</v>
      </c>
      <c r="L1711" s="3">
        <f>IF(K1711&lt;-5,"CRÍTICO",IF(K1711&lt;0,"ATENÇÃO",IF(K1711&lt;=5,"BOM","EXCELENTE")))</f>
        <v/>
      </c>
      <c r="M1711" t="n">
        <v>37</v>
      </c>
      <c r="N1711" t="n">
        <v>100</v>
      </c>
      <c r="O1711" t="n">
        <v>40.54054054054054</v>
      </c>
    </row>
    <row r="1712" hidden="1">
      <c r="A1712" s="11" t="n">
        <v>46055</v>
      </c>
      <c r="B1712" t="inlineStr">
        <is>
          <t>Emilly Caylane Costa</t>
        </is>
      </c>
      <c r="C1712" t="inlineStr">
        <is>
          <t>Estágio</t>
        </is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s="3" t="n">
        <v>0</v>
      </c>
      <c r="J1712" s="3" t="n">
        <v>0</v>
      </c>
      <c r="K1712" s="3" t="n">
        <v>0</v>
      </c>
      <c r="L1712" s="3">
        <f>IF(K1712&lt;-5,"CRÍTICO",IF(K1712&lt;0,"ATENÇÃO",IF(K1712&lt;=5,"BOM","EXCELENTE")))</f>
        <v/>
      </c>
      <c r="M1712" t="n">
        <v>0</v>
      </c>
      <c r="N1712" t="n">
        <v>0</v>
      </c>
      <c r="O1712" t="n">
        <v>0</v>
      </c>
    </row>
    <row r="1713" hidden="1">
      <c r="A1713" s="11" t="n">
        <v>46055</v>
      </c>
      <c r="B1713" t="inlineStr">
        <is>
          <t>Emilly Kamilly Medeiros Miranda</t>
        </is>
      </c>
      <c r="C1713" t="inlineStr">
        <is>
          <t>Técnico II</t>
        </is>
      </c>
      <c r="D1713" t="n">
        <v>32</v>
      </c>
      <c r="E1713" t="n">
        <v>27</v>
      </c>
      <c r="F1713" t="n">
        <v>18.42</v>
      </c>
      <c r="G1713" t="n">
        <v>0</v>
      </c>
      <c r="H1713" t="n">
        <v>0</v>
      </c>
      <c r="I1713" s="3">
        <f>E1713+G1713+H1713</f>
        <v/>
      </c>
      <c r="J1713" s="3">
        <f>ROUND(MIN(IF(C1713="Técnico III",35,IF(C1713="Técnico II",28,IF(C1713="Técnico I",23,IF(C1713="JR",20,IF(C1713="Estágio",10,0))))),IF(C1713="Técnico III",SUMIFS($D:$D,$A:$A,$A1713,$B:$B,"&lt;&gt;Patrícia Karla de Sousa Araújo",$B:$B,"&lt;&gt;Lorena Dias de Araujo",$B:$B,"&lt;&gt;Lucas Luiz Romero")*(35/1083),IF(C1713="Técnico II",SUMIFS($D:$D,$A:$A,$A1713,$B:$B,"&lt;&gt;Patrícia Karla de Sousa Araújo",$B:$B,"&lt;&gt;Lorena Dias de Araujo",$B:$B,"&lt;&gt;Lucas Luiz Romero")*(28/1083),IF(C1713="Técnico I",SUMIFS($D:$D,$A:$A,$A1713,$B:$B,"&lt;&gt;Patrícia Karla de Sousa Araújo",$B:$B,"&lt;&gt;Lorena Dias de Araujo",$B:$B,"&lt;&gt;Lucas Luiz Romero")*(23/1083),IF(C1713="JR",SUMIFS($D:$D,$A:$A,$A1713,$B:$B,"&lt;&gt;Patrícia Karla de Sousa Araújo",$B:$B,"&lt;&gt;Lorena Dias de Araujo",$B:$B,"&lt;&gt;Lucas Luiz Romero")*(20/1083),IF(C1713="Estágio",SUMIFS($D:$D,$A:$A,$A1713,$B:$B,"&lt;&gt;Patrícia Karla de Sousa Araújo",$B:$B,"&lt;&gt;Lorena Dias de Araujo",$B:$B,"&lt;&gt;Lucas Luiz Romero")*(10/1083),0)))))),0)</f>
        <v/>
      </c>
      <c r="K1713" s="3">
        <f>I1713-J1713</f>
        <v/>
      </c>
      <c r="L1713" s="3">
        <f>IF(K1713&lt;-5,"CRÍTICO",IF(K1713&lt;0,"ATENÇÃO",IF(K1713&lt;=5,"BOM","EXCELENTE")))</f>
        <v/>
      </c>
      <c r="M1713" t="n">
        <v>22</v>
      </c>
      <c r="N1713" t="n">
        <v>100</v>
      </c>
      <c r="O1713" t="n">
        <v>31.81818181818182</v>
      </c>
    </row>
    <row r="1714" hidden="1">
      <c r="A1714" s="11" t="n">
        <v>46055</v>
      </c>
      <c r="B1714" t="inlineStr">
        <is>
          <t>Francielson de Oliveira</t>
        </is>
      </c>
      <c r="C1714" t="inlineStr">
        <is>
          <t>Técnico III</t>
        </is>
      </c>
      <c r="D1714" t="n">
        <v>24</v>
      </c>
      <c r="E1714" t="n">
        <v>22</v>
      </c>
      <c r="F1714" t="n">
        <v>26.54</v>
      </c>
      <c r="G1714" t="n">
        <v>0</v>
      </c>
      <c r="H1714" t="n">
        <v>0</v>
      </c>
      <c r="I1714" s="3">
        <f>E1714+G1714+H1714</f>
        <v/>
      </c>
      <c r="J1714" s="3">
        <f>ROUND(MIN(IF(C1714="Técnico III",35,IF(C1714="Técnico II",28,IF(C1714="Técnico I",23,IF(C1714="JR",20,IF(C1714="Estágio",10,0))))),IF(C1714="Técnico III",SUMIFS($D:$D,$A:$A,$A1714,$B:$B,"&lt;&gt;Patrícia Karla de Sousa Araújo",$B:$B,"&lt;&gt;Lorena Dias de Araujo",$B:$B,"&lt;&gt;Lucas Luiz Romero")*(35/1083),IF(C1714="Técnico II",SUMIFS($D:$D,$A:$A,$A1714,$B:$B,"&lt;&gt;Patrícia Karla de Sousa Araújo",$B:$B,"&lt;&gt;Lorena Dias de Araujo",$B:$B,"&lt;&gt;Lucas Luiz Romero")*(28/1083),IF(C1714="Técnico I",SUMIFS($D:$D,$A:$A,$A1714,$B:$B,"&lt;&gt;Patrícia Karla de Sousa Araújo",$B:$B,"&lt;&gt;Lorena Dias de Araujo",$B:$B,"&lt;&gt;Lucas Luiz Romero")*(23/1083),IF(C1714="JR",SUMIFS($D:$D,$A:$A,$A1714,$B:$B,"&lt;&gt;Patrícia Karla de Sousa Araújo",$B:$B,"&lt;&gt;Lorena Dias de Araujo",$B:$B,"&lt;&gt;Lucas Luiz Romero")*(20/1083),IF(C1714="Estágio",SUMIFS($D:$D,$A:$A,$A1714,$B:$B,"&lt;&gt;Patrícia Karla de Sousa Araújo",$B:$B,"&lt;&gt;Lorena Dias de Araujo",$B:$B,"&lt;&gt;Lucas Luiz Romero")*(10/1083),0)))))),0)</f>
        <v/>
      </c>
      <c r="K1714" s="3">
        <f>I1714-J1714</f>
        <v/>
      </c>
      <c r="L1714" s="3">
        <f>IF(K1714&lt;-5,"CRÍTICO",IF(K1714&lt;0,"ATENÇÃO",IF(K1714&lt;=5,"BOM","EXCELENTE")))</f>
        <v/>
      </c>
      <c r="M1714" t="n">
        <v>21</v>
      </c>
      <c r="N1714" t="n">
        <v>88.89</v>
      </c>
      <c r="O1714" t="n">
        <v>42.85714285714285</v>
      </c>
    </row>
    <row r="1715" hidden="1">
      <c r="A1715" s="11" t="n">
        <v>46055</v>
      </c>
      <c r="B1715" t="inlineStr">
        <is>
          <t>Francilene Ferreira de Jesus</t>
        </is>
      </c>
      <c r="C1715" t="inlineStr">
        <is>
          <t>Técnico II</t>
        </is>
      </c>
      <c r="D1715" t="n">
        <v>30</v>
      </c>
      <c r="E1715" t="n">
        <v>29</v>
      </c>
      <c r="F1715" t="n">
        <v>22.16</v>
      </c>
      <c r="G1715" t="n">
        <v>0</v>
      </c>
      <c r="H1715" t="n">
        <v>0</v>
      </c>
      <c r="I1715" s="3">
        <f>E1715+G1715+H1715</f>
        <v/>
      </c>
      <c r="J1715" s="3">
        <f>ROUND(MIN(IF(C1715="Técnico III",35,IF(C1715="Técnico II",28,IF(C1715="Técnico I",23,IF(C1715="JR",20,IF(C1715="Estágio",10,0))))),IF(C1715="Técnico III",SUMIFS($D:$D,$A:$A,$A1715,$B:$B,"&lt;&gt;Patrícia Karla de Sousa Araújo",$B:$B,"&lt;&gt;Lorena Dias de Araujo",$B:$B,"&lt;&gt;Lucas Luiz Romero")*(35/1083),IF(C1715="Técnico II",SUMIFS($D:$D,$A:$A,$A1715,$B:$B,"&lt;&gt;Patrícia Karla de Sousa Araújo",$B:$B,"&lt;&gt;Lorena Dias de Araujo",$B:$B,"&lt;&gt;Lucas Luiz Romero")*(28/1083),IF(C1715="Técnico I",SUMIFS($D:$D,$A:$A,$A1715,$B:$B,"&lt;&gt;Patrícia Karla de Sousa Araújo",$B:$B,"&lt;&gt;Lorena Dias de Araujo",$B:$B,"&lt;&gt;Lucas Luiz Romero")*(23/1083),IF(C1715="JR",SUMIFS($D:$D,$A:$A,$A1715,$B:$B,"&lt;&gt;Patrícia Karla de Sousa Araújo",$B:$B,"&lt;&gt;Lorena Dias de Araujo",$B:$B,"&lt;&gt;Lucas Luiz Romero")*(20/1083),IF(C1715="Estágio",SUMIFS($D:$D,$A:$A,$A1715,$B:$B,"&lt;&gt;Patrícia Karla de Sousa Araújo",$B:$B,"&lt;&gt;Lorena Dias de Araujo",$B:$B,"&lt;&gt;Lucas Luiz Romero")*(10/1083),0)))))),0)</f>
        <v/>
      </c>
      <c r="K1715" s="3">
        <f>I1715-J1715</f>
        <v/>
      </c>
      <c r="L1715" s="3">
        <f>IF(K1715&lt;-5,"CRÍTICO",IF(K1715&lt;0,"ATENÇÃO",IF(K1715&lt;=5,"BOM","EXCELENTE")))</f>
        <v/>
      </c>
      <c r="M1715" t="n">
        <v>28</v>
      </c>
      <c r="N1715" t="n">
        <v>100</v>
      </c>
      <c r="O1715" t="n">
        <v>21.42857142857143</v>
      </c>
    </row>
    <row r="1716" hidden="1">
      <c r="A1716" s="11" t="n">
        <v>46087</v>
      </c>
      <c r="B1716" t="inlineStr">
        <is>
          <t>Gabriel Gomes de Andrade</t>
        </is>
      </c>
      <c r="C1716" t="inlineStr">
        <is>
          <t>Técnico I</t>
        </is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s="3" t="n">
        <v>0</v>
      </c>
      <c r="J1716" s="3" t="n">
        <v>0</v>
      </c>
      <c r="K1716" s="3" t="n">
        <v>0</v>
      </c>
      <c r="L1716" s="3">
        <f>IF(K1716&lt;-5,"CRÍTICO",IF(K1716&lt;0,"ATENÇÃO",IF(K1716&lt;=5,"BOM","EXCELENTE")))</f>
        <v/>
      </c>
      <c r="N1716" t="n">
        <v>99.05</v>
      </c>
      <c r="O1716" t="n">
        <v>26.62192393736018</v>
      </c>
    </row>
    <row r="1717" hidden="1">
      <c r="A1717" s="11" t="n">
        <v>46055</v>
      </c>
      <c r="B1717" t="inlineStr">
        <is>
          <t>Isabella Borges de Oliveira</t>
        </is>
      </c>
      <c r="C1717" t="inlineStr">
        <is>
          <t>Técnico II</t>
        </is>
      </c>
      <c r="D1717" t="n">
        <v>38</v>
      </c>
      <c r="E1717" t="n">
        <v>35</v>
      </c>
      <c r="F1717" t="n">
        <v>20.24</v>
      </c>
      <c r="G1717" t="n">
        <v>0</v>
      </c>
      <c r="H1717" t="n">
        <v>0</v>
      </c>
      <c r="I1717" s="3">
        <f>E1717+G1717+H1717</f>
        <v/>
      </c>
      <c r="J1717" s="3">
        <f>ROUND(MIN(IF(C1717="Técnico III",35,IF(C1717="Técnico II",28,IF(C1717="Técnico I",23,IF(C1717="JR",20,IF(C1717="Estágio",10,0))))),IF(C1717="Técnico III",SUMIFS($D:$D,$A:$A,$A1717,$B:$B,"&lt;&gt;Patrícia Karla de Sousa Araújo",$B:$B,"&lt;&gt;Lorena Dias de Araujo",$B:$B,"&lt;&gt;Lucas Luiz Romero")*(35/1083),IF(C1717="Técnico II",SUMIFS($D:$D,$A:$A,$A1717,$B:$B,"&lt;&gt;Patrícia Karla de Sousa Araújo",$B:$B,"&lt;&gt;Lorena Dias de Araujo",$B:$B,"&lt;&gt;Lucas Luiz Romero")*(28/1083),IF(C1717="Técnico I",SUMIFS($D:$D,$A:$A,$A1717,$B:$B,"&lt;&gt;Patrícia Karla de Sousa Araújo",$B:$B,"&lt;&gt;Lorena Dias de Araujo",$B:$B,"&lt;&gt;Lucas Luiz Romero")*(23/1083),IF(C1717="JR",SUMIFS($D:$D,$A:$A,$A1717,$B:$B,"&lt;&gt;Patrícia Karla de Sousa Araújo",$B:$B,"&lt;&gt;Lorena Dias de Araujo",$B:$B,"&lt;&gt;Lucas Luiz Romero")*(20/1083),IF(C1717="Estágio",SUMIFS($D:$D,$A:$A,$A1717,$B:$B,"&lt;&gt;Patrícia Karla de Sousa Araújo",$B:$B,"&lt;&gt;Lorena Dias de Araujo",$B:$B,"&lt;&gt;Lucas Luiz Romero")*(10/1083),0)))))),0)</f>
        <v/>
      </c>
      <c r="K1717" s="3">
        <f>I1717-J1717</f>
        <v/>
      </c>
      <c r="L1717" s="3">
        <f>IF(K1717&lt;-5,"CRÍTICO",IF(K1717&lt;0,"ATENÇÃO",IF(K1717&lt;=5,"BOM","EXCELENTE")))</f>
        <v/>
      </c>
      <c r="M1717" t="n">
        <v>31</v>
      </c>
      <c r="N1717" t="n">
        <v>100</v>
      </c>
      <c r="O1717" t="n">
        <v>32.25806451612903</v>
      </c>
    </row>
    <row r="1718" hidden="1">
      <c r="A1718" s="11" t="n">
        <v>46055</v>
      </c>
      <c r="B1718" t="inlineStr">
        <is>
          <t>Janaina Lima dos Reis Urany</t>
        </is>
      </c>
      <c r="C1718" t="inlineStr">
        <is>
          <t>Técnico III</t>
        </is>
      </c>
      <c r="D1718" t="n">
        <v>56</v>
      </c>
      <c r="E1718" t="n">
        <v>51</v>
      </c>
      <c r="F1718" t="n">
        <v>12.01</v>
      </c>
      <c r="G1718" t="n">
        <v>0</v>
      </c>
      <c r="H1718" t="n">
        <v>0</v>
      </c>
      <c r="I1718" s="3">
        <f>E1718+G1718+H1718</f>
        <v/>
      </c>
      <c r="J1718" s="3">
        <f>ROUND(MIN(IF(C1718="Técnico III",35,IF(C1718="Técnico II",28,IF(C1718="Técnico I",23,IF(C1718="JR",20,IF(C1718="Estágio",10,0))))),IF(C1718="Técnico III",SUMIFS($D:$D,$A:$A,$A1718,$B:$B,"&lt;&gt;Patrícia Karla de Sousa Araújo",$B:$B,"&lt;&gt;Lorena Dias de Araujo",$B:$B,"&lt;&gt;Lucas Luiz Romero")*(35/1083),IF(C1718="Técnico II",SUMIFS($D:$D,$A:$A,$A1718,$B:$B,"&lt;&gt;Patrícia Karla de Sousa Araújo",$B:$B,"&lt;&gt;Lorena Dias de Araujo",$B:$B,"&lt;&gt;Lucas Luiz Romero")*(28/1083),IF(C1718="Técnico I",SUMIFS($D:$D,$A:$A,$A1718,$B:$B,"&lt;&gt;Patrícia Karla de Sousa Araújo",$B:$B,"&lt;&gt;Lorena Dias de Araujo",$B:$B,"&lt;&gt;Lucas Luiz Romero")*(23/1083),IF(C1718="JR",SUMIFS($D:$D,$A:$A,$A1718,$B:$B,"&lt;&gt;Patrícia Karla de Sousa Araújo",$B:$B,"&lt;&gt;Lorena Dias de Araujo",$B:$B,"&lt;&gt;Lucas Luiz Romero")*(20/1083),IF(C1718="Estágio",SUMIFS($D:$D,$A:$A,$A1718,$B:$B,"&lt;&gt;Patrícia Karla de Sousa Araújo",$B:$B,"&lt;&gt;Lorena Dias de Araujo",$B:$B,"&lt;&gt;Lucas Luiz Romero")*(10/1083),0)))))),0)</f>
        <v/>
      </c>
      <c r="K1718" s="3">
        <f>I1718-J1718</f>
        <v/>
      </c>
      <c r="L1718" s="3">
        <f>IF(K1718&lt;-5,"CRÍTICO",IF(K1718&lt;0,"ATENÇÃO",IF(K1718&lt;=5,"BOM","EXCELENTE")))</f>
        <v/>
      </c>
      <c r="M1718" t="n">
        <v>54</v>
      </c>
      <c r="N1718" t="n">
        <v>100</v>
      </c>
      <c r="O1718" t="n">
        <v>31.48148148148148</v>
      </c>
    </row>
    <row r="1719" hidden="1">
      <c r="A1719" s="11" t="n">
        <v>46055</v>
      </c>
      <c r="B1719" t="inlineStr">
        <is>
          <t>Jaqueline Evangelista da Silva Martins</t>
        </is>
      </c>
      <c r="C1719" t="inlineStr">
        <is>
          <t>Técnico III</t>
        </is>
      </c>
      <c r="D1719" t="n">
        <v>16</v>
      </c>
      <c r="E1719" t="n">
        <v>16</v>
      </c>
      <c r="F1719" t="n">
        <v>19.09</v>
      </c>
      <c r="G1719" t="n">
        <v>0</v>
      </c>
      <c r="H1719" t="n">
        <v>0</v>
      </c>
      <c r="I1719" s="3">
        <f>E1719+G1719+H1719</f>
        <v/>
      </c>
      <c r="J1719" s="3">
        <f>ROUND(MIN(IF(C1719="Técnico III",35,IF(C1719="Técnico II",28,IF(C1719="Técnico I",23,IF(C1719="JR",20,IF(C1719="Estágio",10,0))))),IF(C1719="Técnico III",SUMIFS($D:$D,$A:$A,$A1719,$B:$B,"&lt;&gt;Patrícia Karla de Sousa Araújo",$B:$B,"&lt;&gt;Lorena Dias de Araujo",$B:$B,"&lt;&gt;Lucas Luiz Romero")*(35/1083),IF(C1719="Técnico II",SUMIFS($D:$D,$A:$A,$A1719,$B:$B,"&lt;&gt;Patrícia Karla de Sousa Araújo",$B:$B,"&lt;&gt;Lorena Dias de Araujo",$B:$B,"&lt;&gt;Lucas Luiz Romero")*(28/1083),IF(C1719="Técnico I",SUMIFS($D:$D,$A:$A,$A1719,$B:$B,"&lt;&gt;Patrícia Karla de Sousa Araújo",$B:$B,"&lt;&gt;Lorena Dias de Araujo",$B:$B,"&lt;&gt;Lucas Luiz Romero")*(23/1083),IF(C1719="JR",SUMIFS($D:$D,$A:$A,$A1719,$B:$B,"&lt;&gt;Patrícia Karla de Sousa Araújo",$B:$B,"&lt;&gt;Lorena Dias de Araujo",$B:$B,"&lt;&gt;Lucas Luiz Romero")*(20/1083),IF(C1719="Estágio",SUMIFS($D:$D,$A:$A,$A1719,$B:$B,"&lt;&gt;Patrícia Karla de Sousa Araújo",$B:$B,"&lt;&gt;Lorena Dias de Araujo",$B:$B,"&lt;&gt;Lucas Luiz Romero")*(10/1083),0)))))),0)</f>
        <v/>
      </c>
      <c r="K1719" s="3">
        <f>I1719-J1719</f>
        <v/>
      </c>
      <c r="L1719" s="3">
        <f>IF(K1719&lt;-5,"CRÍTICO",IF(K1719&lt;0,"ATENÇÃO",IF(K1719&lt;=5,"BOM","EXCELENTE")))</f>
        <v/>
      </c>
      <c r="M1719" t="n">
        <v>18</v>
      </c>
      <c r="N1719" t="n">
        <v>100</v>
      </c>
      <c r="O1719" t="n">
        <v>27.77777777777778</v>
      </c>
    </row>
    <row r="1720" hidden="1">
      <c r="A1720" s="11" t="n">
        <v>46055</v>
      </c>
      <c r="B1720" t="inlineStr">
        <is>
          <t>Jessica Faria da Silveira</t>
        </is>
      </c>
      <c r="C1720" t="inlineStr">
        <is>
          <t>Técnico II</t>
        </is>
      </c>
      <c r="D1720" t="n">
        <v>41</v>
      </c>
      <c r="E1720" t="n">
        <v>36</v>
      </c>
      <c r="F1720" t="n">
        <v>10.32</v>
      </c>
      <c r="G1720" t="n">
        <v>0</v>
      </c>
      <c r="H1720" t="n">
        <v>0</v>
      </c>
      <c r="I1720" s="3">
        <f>E1720+G1720+H1720</f>
        <v/>
      </c>
      <c r="J1720" s="3">
        <f>ROUND(MIN(IF(C1720="Técnico III",35,IF(C1720="Técnico II",28,IF(C1720="Técnico I",23,IF(C1720="JR",20,IF(C1720="Estágio",10,0))))),IF(C1720="Técnico III",SUMIFS($D:$D,$A:$A,$A1720,$B:$B,"&lt;&gt;Patrícia Karla de Sousa Araújo",$B:$B,"&lt;&gt;Lorena Dias de Araujo",$B:$B,"&lt;&gt;Lucas Luiz Romero")*(35/1083),IF(C1720="Técnico II",SUMIFS($D:$D,$A:$A,$A1720,$B:$B,"&lt;&gt;Patrícia Karla de Sousa Araújo",$B:$B,"&lt;&gt;Lorena Dias de Araujo",$B:$B,"&lt;&gt;Lucas Luiz Romero")*(28/1083),IF(C1720="Técnico I",SUMIFS($D:$D,$A:$A,$A1720,$B:$B,"&lt;&gt;Patrícia Karla de Sousa Araújo",$B:$B,"&lt;&gt;Lorena Dias de Araujo",$B:$B,"&lt;&gt;Lucas Luiz Romero")*(23/1083),IF(C1720="JR",SUMIFS($D:$D,$A:$A,$A1720,$B:$B,"&lt;&gt;Patrícia Karla de Sousa Araújo",$B:$B,"&lt;&gt;Lorena Dias de Araujo",$B:$B,"&lt;&gt;Lucas Luiz Romero")*(20/1083),IF(C1720="Estágio",SUMIFS($D:$D,$A:$A,$A1720,$B:$B,"&lt;&gt;Patrícia Karla de Sousa Araújo",$B:$B,"&lt;&gt;Lorena Dias de Araujo",$B:$B,"&lt;&gt;Lucas Luiz Romero")*(10/1083),0)))))),0)</f>
        <v/>
      </c>
      <c r="K1720" s="3">
        <f>I1720-J1720</f>
        <v/>
      </c>
      <c r="L1720" s="3">
        <f>IF(K1720&lt;-5,"CRÍTICO",IF(K1720&lt;0,"ATENÇÃO",IF(K1720&lt;=5,"BOM","EXCELENTE")))</f>
        <v/>
      </c>
      <c r="M1720" t="n">
        <v>34</v>
      </c>
      <c r="N1720" t="n">
        <v>100</v>
      </c>
      <c r="O1720" t="n">
        <v>41.17647058823529</v>
      </c>
    </row>
    <row r="1721" hidden="1">
      <c r="A1721" s="11" t="n">
        <v>46055</v>
      </c>
      <c r="B1721" t="inlineStr">
        <is>
          <t>Jéssica Fé Moura</t>
        </is>
      </c>
      <c r="C1721" t="inlineStr">
        <is>
          <t>Técnico III</t>
        </is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s="3" t="n">
        <v>0</v>
      </c>
      <c r="J1721" s="3" t="n">
        <v>0</v>
      </c>
      <c r="K1721" s="3" t="n">
        <v>0</v>
      </c>
      <c r="L1721" s="3">
        <f>IF(K1721&lt;-5,"CRÍTICO",IF(K1721&lt;0,"ATENÇÃO",IF(K1721&lt;=5,"BOM","EXCELENTE")))</f>
        <v/>
      </c>
      <c r="M1721" t="n">
        <v>0</v>
      </c>
      <c r="N1721" t="n">
        <v>0</v>
      </c>
      <c r="O1721" t="n">
        <v>0</v>
      </c>
    </row>
    <row r="1722" hidden="1">
      <c r="A1722" s="11" t="n">
        <v>46055</v>
      </c>
      <c r="B1722" t="inlineStr">
        <is>
          <t>Karina Gonçalves Martins</t>
        </is>
      </c>
      <c r="C1722" t="inlineStr">
        <is>
          <t>JR</t>
        </is>
      </c>
      <c r="D1722" t="n">
        <v>17</v>
      </c>
      <c r="E1722" t="n">
        <v>15</v>
      </c>
      <c r="F1722" t="n">
        <v>30.34</v>
      </c>
      <c r="G1722" t="n">
        <v>0</v>
      </c>
      <c r="H1722" t="n">
        <v>0</v>
      </c>
      <c r="I1722" s="3">
        <f>E1722+G1722+H1722</f>
        <v/>
      </c>
      <c r="J1722" s="3">
        <f>ROUND(MIN(IF(C1722="Técnico III",35,IF(C1722="Técnico II",28,IF(C1722="Técnico I",23,IF(C1722="JR",20,IF(C1722="Estágio",10,0))))),IF(C1722="Técnico III",SUMIFS($D:$D,$A:$A,$A1722,$B:$B,"&lt;&gt;Patrícia Karla de Sousa Araújo",$B:$B,"&lt;&gt;Lorena Dias de Araujo",$B:$B,"&lt;&gt;Lucas Luiz Romero")*(35/1083),IF(C1722="Técnico II",SUMIFS($D:$D,$A:$A,$A1722,$B:$B,"&lt;&gt;Patrícia Karla de Sousa Araújo",$B:$B,"&lt;&gt;Lorena Dias de Araujo",$B:$B,"&lt;&gt;Lucas Luiz Romero")*(28/1083),IF(C1722="Técnico I",SUMIFS($D:$D,$A:$A,$A1722,$B:$B,"&lt;&gt;Patrícia Karla de Sousa Araújo",$B:$B,"&lt;&gt;Lorena Dias de Araujo",$B:$B,"&lt;&gt;Lucas Luiz Romero")*(23/1083),IF(C1722="JR",SUMIFS($D:$D,$A:$A,$A1722,$B:$B,"&lt;&gt;Patrícia Karla de Sousa Araújo",$B:$B,"&lt;&gt;Lorena Dias de Araujo",$B:$B,"&lt;&gt;Lucas Luiz Romero")*(20/1083),IF(C1722="Estágio",SUMIFS($D:$D,$A:$A,$A1722,$B:$B,"&lt;&gt;Patrícia Karla de Sousa Araújo",$B:$B,"&lt;&gt;Lorena Dias de Araujo",$B:$B,"&lt;&gt;Lucas Luiz Romero")*(10/1083),0)))))),0)</f>
        <v/>
      </c>
      <c r="K1722" s="3">
        <f>I1722-J1722</f>
        <v/>
      </c>
      <c r="L1722" s="3">
        <f>IF(K1722&lt;-5,"CRÍTICO",IF(K1722&lt;0,"ATENÇÃO",IF(K1722&lt;=5,"BOM","EXCELENTE")))</f>
        <v/>
      </c>
      <c r="M1722" t="n">
        <v>13</v>
      </c>
      <c r="N1722" t="n">
        <v>100</v>
      </c>
      <c r="O1722" t="n">
        <v>46.15384615384615</v>
      </c>
    </row>
    <row r="1723" hidden="1">
      <c r="A1723" s="11" t="n">
        <v>46055</v>
      </c>
      <c r="B1723" t="inlineStr">
        <is>
          <t>Kerollen Cristielly de Jesus Siqueira</t>
        </is>
      </c>
      <c r="C1723" t="inlineStr">
        <is>
          <t>Técnico III</t>
        </is>
      </c>
      <c r="D1723" t="n">
        <v>30</v>
      </c>
      <c r="E1723" t="n">
        <v>30</v>
      </c>
      <c r="F1723" t="n">
        <v>24.18</v>
      </c>
      <c r="G1723" t="n">
        <v>0</v>
      </c>
      <c r="H1723" t="n">
        <v>0</v>
      </c>
      <c r="I1723" s="3">
        <f>E1723+G1723+H1723</f>
        <v/>
      </c>
      <c r="J1723" s="3">
        <f>ROUND(MIN(IF(C1723="Técnico III",35,IF(C1723="Técnico II",28,IF(C1723="Técnico I",23,IF(C1723="JR",20,IF(C1723="Estágio",10,0))))),IF(C1723="Técnico III",SUMIFS($D:$D,$A:$A,$A1723,$B:$B,"&lt;&gt;Patrícia Karla de Sousa Araújo",$B:$B,"&lt;&gt;Lorena Dias de Araujo",$B:$B,"&lt;&gt;Lucas Luiz Romero")*(35/1083),IF(C1723="Técnico II",SUMIFS($D:$D,$A:$A,$A1723,$B:$B,"&lt;&gt;Patrícia Karla de Sousa Araújo",$B:$B,"&lt;&gt;Lorena Dias de Araujo",$B:$B,"&lt;&gt;Lucas Luiz Romero")*(28/1083),IF(C1723="Técnico I",SUMIFS($D:$D,$A:$A,$A1723,$B:$B,"&lt;&gt;Patrícia Karla de Sousa Araújo",$B:$B,"&lt;&gt;Lorena Dias de Araujo",$B:$B,"&lt;&gt;Lucas Luiz Romero")*(23/1083),IF(C1723="JR",SUMIFS($D:$D,$A:$A,$A1723,$B:$B,"&lt;&gt;Patrícia Karla de Sousa Araújo",$B:$B,"&lt;&gt;Lorena Dias de Araujo",$B:$B,"&lt;&gt;Lucas Luiz Romero")*(20/1083),IF(C1723="Estágio",SUMIFS($D:$D,$A:$A,$A1723,$B:$B,"&lt;&gt;Patrícia Karla de Sousa Araújo",$B:$B,"&lt;&gt;Lorena Dias de Araujo",$B:$B,"&lt;&gt;Lucas Luiz Romero")*(10/1083),0)))))),0)</f>
        <v/>
      </c>
      <c r="K1723" s="3">
        <f>I1723-J1723</f>
        <v/>
      </c>
      <c r="L1723" s="3">
        <f>IF(K1723&lt;-5,"CRÍTICO",IF(K1723&lt;0,"ATENÇÃO",IF(K1723&lt;=5,"BOM","EXCELENTE")))</f>
        <v/>
      </c>
      <c r="M1723" t="n">
        <v>26</v>
      </c>
      <c r="N1723" t="n">
        <v>100</v>
      </c>
      <c r="O1723" t="n">
        <v>15.38461538461539</v>
      </c>
    </row>
    <row r="1724" hidden="1">
      <c r="A1724" s="11" t="n">
        <v>46055</v>
      </c>
      <c r="B1724" t="inlineStr">
        <is>
          <t>Leandro de Souza Silva</t>
        </is>
      </c>
      <c r="C1724" t="inlineStr">
        <is>
          <t>JR</t>
        </is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s="3" t="n">
        <v>0</v>
      </c>
      <c r="J1724" s="3" t="n">
        <v>0</v>
      </c>
      <c r="K1724" s="3" t="n">
        <v>0</v>
      </c>
      <c r="L1724" s="3">
        <f>IF(K1724&lt;-5,"CRÍTICO",IF(K1724&lt;0,"ATENÇÃO",IF(K1724&lt;=5,"BOM","EXCELENTE")))</f>
        <v/>
      </c>
      <c r="M1724" t="n">
        <v>0</v>
      </c>
      <c r="N1724" t="n">
        <v>0</v>
      </c>
      <c r="O1724" t="n">
        <v>0</v>
      </c>
    </row>
    <row r="1725" hidden="1">
      <c r="A1725" s="11" t="n">
        <v>46055</v>
      </c>
      <c r="B1725" t="inlineStr">
        <is>
          <t>Leandro Oliveira de Sousa</t>
        </is>
      </c>
      <c r="C1725" t="inlineStr">
        <is>
          <t>Técnico III</t>
        </is>
      </c>
      <c r="D1725" t="n">
        <v>33</v>
      </c>
      <c r="E1725" t="n">
        <v>32</v>
      </c>
      <c r="F1725" t="n">
        <v>17.15</v>
      </c>
      <c r="G1725" t="n">
        <v>0</v>
      </c>
      <c r="H1725" t="n">
        <v>0</v>
      </c>
      <c r="I1725" s="3">
        <f>E1725+G1725+H1725</f>
        <v/>
      </c>
      <c r="J1725" s="3">
        <f>ROUND(MIN(IF(C1725="Técnico III",35,IF(C1725="Técnico II",28,IF(C1725="Técnico I",23,IF(C1725="JR",20,IF(C1725="Estágio",10,0))))),IF(C1725="Técnico III",SUMIFS($D:$D,$A:$A,$A1725,$B:$B,"&lt;&gt;Patrícia Karla de Sousa Araújo",$B:$B,"&lt;&gt;Lorena Dias de Araujo",$B:$B,"&lt;&gt;Lucas Luiz Romero")*(35/1083),IF(C1725="Técnico II",SUMIFS($D:$D,$A:$A,$A1725,$B:$B,"&lt;&gt;Patrícia Karla de Sousa Araújo",$B:$B,"&lt;&gt;Lorena Dias de Araujo",$B:$B,"&lt;&gt;Lucas Luiz Romero")*(28/1083),IF(C1725="Técnico I",SUMIFS($D:$D,$A:$A,$A1725,$B:$B,"&lt;&gt;Patrícia Karla de Sousa Araújo",$B:$B,"&lt;&gt;Lorena Dias de Araujo",$B:$B,"&lt;&gt;Lucas Luiz Romero")*(23/1083),IF(C1725="JR",SUMIFS($D:$D,$A:$A,$A1725,$B:$B,"&lt;&gt;Patrícia Karla de Sousa Araújo",$B:$B,"&lt;&gt;Lorena Dias de Araujo",$B:$B,"&lt;&gt;Lucas Luiz Romero")*(20/1083),IF(C1725="Estágio",SUMIFS($D:$D,$A:$A,$A1725,$B:$B,"&lt;&gt;Patrícia Karla de Sousa Araújo",$B:$B,"&lt;&gt;Lorena Dias de Araujo",$B:$B,"&lt;&gt;Lucas Luiz Romero")*(10/1083),0)))))),0)</f>
        <v/>
      </c>
      <c r="K1725" s="3">
        <f>I1725-J1725</f>
        <v/>
      </c>
      <c r="L1725" s="3">
        <f>IF(K1725&lt;-5,"CRÍTICO",IF(K1725&lt;0,"ATENÇÃO",IF(K1725&lt;=5,"BOM","EXCELENTE")))</f>
        <v/>
      </c>
      <c r="M1725" t="n">
        <v>28</v>
      </c>
      <c r="N1725" t="n">
        <v>80</v>
      </c>
      <c r="O1725" t="n">
        <v>39.28571428571428</v>
      </c>
    </row>
    <row r="1726" hidden="1">
      <c r="A1726" s="11" t="n">
        <v>46055</v>
      </c>
      <c r="B1726" t="inlineStr">
        <is>
          <t>Lizandra Gomes Duarte</t>
        </is>
      </c>
      <c r="C1726" t="inlineStr">
        <is>
          <t>Técnico II</t>
        </is>
      </c>
      <c r="D1726" t="n">
        <v>31</v>
      </c>
      <c r="E1726" t="n">
        <v>27</v>
      </c>
      <c r="F1726" t="n">
        <v>18.2</v>
      </c>
      <c r="G1726" t="n">
        <v>0</v>
      </c>
      <c r="H1726" t="n">
        <v>0</v>
      </c>
      <c r="I1726" s="3">
        <f>E1726+G1726+H1726</f>
        <v/>
      </c>
      <c r="J1726" s="3">
        <f>ROUND(MIN(IF(C1726="Técnico III",35,IF(C1726="Técnico II",28,IF(C1726="Técnico I",23,IF(C1726="JR",20,IF(C1726="Estágio",10,0))))),IF(C1726="Técnico III",SUMIFS($D:$D,$A:$A,$A1726,$B:$B,"&lt;&gt;Patrícia Karla de Sousa Araújo",$B:$B,"&lt;&gt;Lorena Dias de Araujo",$B:$B,"&lt;&gt;Lucas Luiz Romero")*(35/1083),IF(C1726="Técnico II",SUMIFS($D:$D,$A:$A,$A1726,$B:$B,"&lt;&gt;Patrícia Karla de Sousa Araújo",$B:$B,"&lt;&gt;Lorena Dias de Araujo",$B:$B,"&lt;&gt;Lucas Luiz Romero")*(28/1083),IF(C1726="Técnico I",SUMIFS($D:$D,$A:$A,$A1726,$B:$B,"&lt;&gt;Patrícia Karla de Sousa Araújo",$B:$B,"&lt;&gt;Lorena Dias de Araujo",$B:$B,"&lt;&gt;Lucas Luiz Romero")*(23/1083),IF(C1726="JR",SUMIFS($D:$D,$A:$A,$A1726,$B:$B,"&lt;&gt;Patrícia Karla de Sousa Araújo",$B:$B,"&lt;&gt;Lorena Dias de Araujo",$B:$B,"&lt;&gt;Lucas Luiz Romero")*(20/1083),IF(C1726="Estágio",SUMIFS($D:$D,$A:$A,$A1726,$B:$B,"&lt;&gt;Patrícia Karla de Sousa Araújo",$B:$B,"&lt;&gt;Lorena Dias de Araujo",$B:$B,"&lt;&gt;Lucas Luiz Romero")*(10/1083),0)))))),0)</f>
        <v/>
      </c>
      <c r="K1726" s="3">
        <f>I1726-J1726</f>
        <v/>
      </c>
      <c r="L1726" s="3">
        <f>IF(K1726&lt;-5,"CRÍTICO",IF(K1726&lt;0,"ATENÇÃO",IF(K1726&lt;=5,"BOM","EXCELENTE")))</f>
        <v/>
      </c>
      <c r="M1726" t="n">
        <v>27</v>
      </c>
      <c r="N1726" t="n">
        <v>100</v>
      </c>
      <c r="O1726" t="n">
        <v>7.407407407407407</v>
      </c>
    </row>
    <row r="1727" hidden="1">
      <c r="A1727" s="11" t="n">
        <v>46055</v>
      </c>
      <c r="B1727" t="inlineStr">
        <is>
          <t>Lorena Dias de Araujo</t>
        </is>
      </c>
      <c r="C1727" t="inlineStr">
        <is>
          <t>Técnico II</t>
        </is>
      </c>
      <c r="D1727" t="n">
        <v>33</v>
      </c>
      <c r="E1727" t="n">
        <v>32</v>
      </c>
      <c r="F1727" t="n">
        <v>17.01</v>
      </c>
      <c r="G1727" t="n">
        <v>0</v>
      </c>
      <c r="H1727" t="n">
        <v>0</v>
      </c>
      <c r="I1727" s="3" t="n">
        <v>0</v>
      </c>
      <c r="J1727" s="3" t="n">
        <v>0</v>
      </c>
      <c r="K1727" s="3" t="n">
        <v>0</v>
      </c>
      <c r="L1727" s="3">
        <f>IF(K1727&lt;-5,"CRÍTICO",IF(K1727&lt;0,"ATENÇÃO",IF(K1727&lt;=5,"BOM","EXCELENTE")))</f>
        <v/>
      </c>
      <c r="M1727" t="n">
        <v>32</v>
      </c>
      <c r="N1727" t="n">
        <v>100</v>
      </c>
      <c r="O1727" t="n">
        <v>21.875</v>
      </c>
    </row>
    <row r="1728" hidden="1">
      <c r="A1728" s="11" t="n">
        <v>46055</v>
      </c>
      <c r="B1728" t="inlineStr">
        <is>
          <t>Lucas Luiz Romero</t>
        </is>
      </c>
      <c r="C1728" t="inlineStr">
        <is>
          <t>Técnico III</t>
        </is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s="3" t="n">
        <v>0</v>
      </c>
      <c r="J1728" s="3" t="n">
        <v>0</v>
      </c>
      <c r="K1728" s="3" t="n">
        <v>0</v>
      </c>
      <c r="L1728" s="3">
        <f>IF(K1728&lt;-5,"CRÍTICO",IF(K1728&lt;0,"ATENÇÃO",IF(K1728&lt;=5,"BOM","EXCELENTE")))</f>
        <v/>
      </c>
      <c r="M1728" t="n">
        <v>0</v>
      </c>
      <c r="N1728" t="n">
        <v>100</v>
      </c>
      <c r="O1728" t="n">
        <v>0</v>
      </c>
    </row>
    <row r="1729" hidden="1">
      <c r="A1729" s="11" t="n">
        <v>46055</v>
      </c>
      <c r="B1729" t="inlineStr">
        <is>
          <t>Luiz Fernando de Carvalho Junior</t>
        </is>
      </c>
      <c r="C1729" t="inlineStr">
        <is>
          <t>Técnico I</t>
        </is>
      </c>
      <c r="D1729" t="n">
        <v>23</v>
      </c>
      <c r="E1729" t="n">
        <v>23</v>
      </c>
      <c r="F1729" t="n">
        <v>20.09</v>
      </c>
      <c r="G1729" t="n">
        <v>0</v>
      </c>
      <c r="H1729" t="n">
        <v>0</v>
      </c>
      <c r="I1729" s="3">
        <f>E1729+G1729+H1729</f>
        <v/>
      </c>
      <c r="J1729" s="3">
        <f>ROUND(MIN(IF(C1729="Técnico III",35,IF(C1729="Técnico II",28,IF(C1729="Técnico I",23,IF(C1729="JR",20,IF(C1729="Estágio",10,0))))),IF(C1729="Técnico III",SUMIFS($D:$D,$A:$A,$A1729,$B:$B,"&lt;&gt;Patrícia Karla de Sousa Araújo",$B:$B,"&lt;&gt;Lorena Dias de Araujo",$B:$B,"&lt;&gt;Lucas Luiz Romero")*(35/1083),IF(C1729="Técnico II",SUMIFS($D:$D,$A:$A,$A1729,$B:$B,"&lt;&gt;Patrícia Karla de Sousa Araújo",$B:$B,"&lt;&gt;Lorena Dias de Araujo",$B:$B,"&lt;&gt;Lucas Luiz Romero")*(28/1083),IF(C1729="Técnico I",SUMIFS($D:$D,$A:$A,$A1729,$B:$B,"&lt;&gt;Patrícia Karla de Sousa Araújo",$B:$B,"&lt;&gt;Lorena Dias de Araujo",$B:$B,"&lt;&gt;Lucas Luiz Romero")*(23/1083),IF(C1729="JR",SUMIFS($D:$D,$A:$A,$A1729,$B:$B,"&lt;&gt;Patrícia Karla de Sousa Araújo",$B:$B,"&lt;&gt;Lorena Dias de Araujo",$B:$B,"&lt;&gt;Lucas Luiz Romero")*(20/1083),IF(C1729="Estágio",SUMIFS($D:$D,$A:$A,$A1729,$B:$B,"&lt;&gt;Patrícia Karla de Sousa Araújo",$B:$B,"&lt;&gt;Lorena Dias de Araujo",$B:$B,"&lt;&gt;Lucas Luiz Romero")*(10/1083),0)))))),0)</f>
        <v/>
      </c>
      <c r="K1729" s="3">
        <f>I1729-J1729</f>
        <v/>
      </c>
      <c r="L1729" s="3">
        <f>IF(K1729&lt;-5,"CRÍTICO",IF(K1729&lt;0,"ATENÇÃO",IF(K1729&lt;=5,"BOM","EXCELENTE")))</f>
        <v/>
      </c>
      <c r="M1729" t="n">
        <v>22</v>
      </c>
      <c r="N1729" t="n">
        <v>100</v>
      </c>
      <c r="O1729" t="n">
        <v>31.81818181818182</v>
      </c>
    </row>
    <row r="1730" hidden="1">
      <c r="A1730" s="11" t="n">
        <v>46055</v>
      </c>
      <c r="B1730" t="inlineStr">
        <is>
          <t>Maria Eduarda Sousa Costa</t>
        </is>
      </c>
      <c r="C1730" t="inlineStr">
        <is>
          <t>Estágio</t>
        </is>
      </c>
      <c r="D1730" t="n">
        <v>9</v>
      </c>
      <c r="E1730" t="n">
        <v>8</v>
      </c>
      <c r="F1730" t="n">
        <v>39.09</v>
      </c>
      <c r="G1730" t="n">
        <v>0</v>
      </c>
      <c r="H1730" t="n">
        <v>0</v>
      </c>
      <c r="I1730" s="3">
        <f>E1730+G1730+H1730</f>
        <v/>
      </c>
      <c r="J1730" s="3">
        <f>ROUND(MIN(IF(C1730="Técnico III",35,IF(C1730="Técnico II",28,IF(C1730="Técnico I",23,IF(C1730="JR",20,IF(C1730="Estágio",10,0))))),IF(C1730="Técnico III",SUMIFS($D:$D,$A:$A,$A1730,$B:$B,"&lt;&gt;Patrícia Karla de Sousa Araújo",$B:$B,"&lt;&gt;Lorena Dias de Araujo",$B:$B,"&lt;&gt;Lucas Luiz Romero")*(35/1083),IF(C1730="Técnico II",SUMIFS($D:$D,$A:$A,$A1730,$B:$B,"&lt;&gt;Patrícia Karla de Sousa Araújo",$B:$B,"&lt;&gt;Lorena Dias de Araujo",$B:$B,"&lt;&gt;Lucas Luiz Romero")*(28/1083),IF(C1730="Técnico I",SUMIFS($D:$D,$A:$A,$A1730,$B:$B,"&lt;&gt;Patrícia Karla de Sousa Araújo",$B:$B,"&lt;&gt;Lorena Dias de Araujo",$B:$B,"&lt;&gt;Lucas Luiz Romero")*(23/1083),IF(C1730="JR",SUMIFS($D:$D,$A:$A,$A1730,$B:$B,"&lt;&gt;Patrícia Karla de Sousa Araújo",$B:$B,"&lt;&gt;Lorena Dias de Araujo",$B:$B,"&lt;&gt;Lucas Luiz Romero")*(20/1083),IF(C1730="Estágio",SUMIFS($D:$D,$A:$A,$A1730,$B:$B,"&lt;&gt;Patrícia Karla de Sousa Araújo",$B:$B,"&lt;&gt;Lorena Dias de Araujo",$B:$B,"&lt;&gt;Lucas Luiz Romero")*(10/1083),0)))))),0)</f>
        <v/>
      </c>
      <c r="K1730" s="3">
        <f>I1730-J1730</f>
        <v/>
      </c>
      <c r="L1730" s="3">
        <f>IF(K1730&lt;-5,"CRÍTICO",IF(K1730&lt;0,"ATENÇÃO",IF(K1730&lt;=5,"BOM","EXCELENTE")))</f>
        <v/>
      </c>
      <c r="M1730" t="n">
        <v>7</v>
      </c>
      <c r="N1730" t="n">
        <v>0</v>
      </c>
      <c r="O1730" t="n">
        <v>28.57142857142857</v>
      </c>
    </row>
    <row r="1731" hidden="1">
      <c r="A1731" s="11" t="n">
        <v>46055</v>
      </c>
      <c r="B1731" t="inlineStr">
        <is>
          <t>Matheus Farias De Souza</t>
        </is>
      </c>
      <c r="C1731" t="inlineStr">
        <is>
          <t>Técnico III</t>
        </is>
      </c>
      <c r="D1731" t="n">
        <v>35</v>
      </c>
      <c r="E1731" t="n">
        <v>35</v>
      </c>
      <c r="F1731" t="n">
        <v>12.06</v>
      </c>
      <c r="G1731" t="n">
        <v>0</v>
      </c>
      <c r="H1731" t="n">
        <v>0</v>
      </c>
      <c r="I1731" s="3">
        <f>E1731+G1731+H1731</f>
        <v/>
      </c>
      <c r="J1731" s="3">
        <f>ROUND(MIN(IF(C1731="Técnico III",35,IF(C1731="Técnico II",28,IF(C1731="Técnico I",23,IF(C1731="JR",20,IF(C1731="Estágio",10,0))))),IF(C1731="Técnico III",SUMIFS($D:$D,$A:$A,$A1731,$B:$B,"&lt;&gt;Patrícia Karla de Sousa Araújo",$B:$B,"&lt;&gt;Lorena Dias de Araujo",$B:$B,"&lt;&gt;Lucas Luiz Romero")*(35/1083),IF(C1731="Técnico II",SUMIFS($D:$D,$A:$A,$A1731,$B:$B,"&lt;&gt;Patrícia Karla de Sousa Araújo",$B:$B,"&lt;&gt;Lorena Dias de Araujo",$B:$B,"&lt;&gt;Lucas Luiz Romero")*(28/1083),IF(C1731="Técnico I",SUMIFS($D:$D,$A:$A,$A1731,$B:$B,"&lt;&gt;Patrícia Karla de Sousa Araújo",$B:$B,"&lt;&gt;Lorena Dias de Araujo",$B:$B,"&lt;&gt;Lucas Luiz Romero")*(23/1083),IF(C1731="JR",SUMIFS($D:$D,$A:$A,$A1731,$B:$B,"&lt;&gt;Patrícia Karla de Sousa Araújo",$B:$B,"&lt;&gt;Lorena Dias de Araujo",$B:$B,"&lt;&gt;Lucas Luiz Romero")*(20/1083),IF(C1731="Estágio",SUMIFS($D:$D,$A:$A,$A1731,$B:$B,"&lt;&gt;Patrícia Karla de Sousa Araújo",$B:$B,"&lt;&gt;Lorena Dias de Araujo",$B:$B,"&lt;&gt;Lucas Luiz Romero")*(10/1083),0)))))),0)</f>
        <v/>
      </c>
      <c r="K1731" s="3">
        <f>I1731-J1731</f>
        <v/>
      </c>
      <c r="L1731" s="3">
        <f>IF(K1731&lt;-5,"CRÍTICO",IF(K1731&lt;0,"ATENÇÃO",IF(K1731&lt;=5,"BOM","EXCELENTE")))</f>
        <v/>
      </c>
      <c r="M1731" t="n">
        <v>33</v>
      </c>
      <c r="N1731" t="n">
        <v>100</v>
      </c>
      <c r="O1731" t="n">
        <v>36.36363636363637</v>
      </c>
    </row>
    <row r="1732" hidden="1">
      <c r="A1732" s="11" t="n">
        <v>46055</v>
      </c>
      <c r="B1732" t="inlineStr">
        <is>
          <t>Maysa Victoria Dias Moura</t>
        </is>
      </c>
      <c r="C1732" t="inlineStr">
        <is>
          <t>Técnico III</t>
        </is>
      </c>
      <c r="D1732" t="n">
        <v>46</v>
      </c>
      <c r="E1732" t="n">
        <v>37</v>
      </c>
      <c r="F1732" t="n">
        <v>13.29</v>
      </c>
      <c r="G1732" t="n">
        <v>0</v>
      </c>
      <c r="H1732" t="n">
        <v>0</v>
      </c>
      <c r="I1732" s="3">
        <f>E1732+G1732+H1732</f>
        <v/>
      </c>
      <c r="J1732" s="3">
        <f>ROUND(MIN(IF(C1732="Técnico III",35,IF(C1732="Técnico II",28,IF(C1732="Técnico I",23,IF(C1732="JR",20,IF(C1732="Estágio",10,0))))),IF(C1732="Técnico III",SUMIFS($D:$D,$A:$A,$A1732,$B:$B,"&lt;&gt;Patrícia Karla de Sousa Araújo",$B:$B,"&lt;&gt;Lorena Dias de Araujo",$B:$B,"&lt;&gt;Lucas Luiz Romero")*(35/1083),IF(C1732="Técnico II",SUMIFS($D:$D,$A:$A,$A1732,$B:$B,"&lt;&gt;Patrícia Karla de Sousa Araújo",$B:$B,"&lt;&gt;Lorena Dias de Araujo",$B:$B,"&lt;&gt;Lucas Luiz Romero")*(28/1083),IF(C1732="Técnico I",SUMIFS($D:$D,$A:$A,$A1732,$B:$B,"&lt;&gt;Patrícia Karla de Sousa Araújo",$B:$B,"&lt;&gt;Lorena Dias de Araujo",$B:$B,"&lt;&gt;Lucas Luiz Romero")*(23/1083),IF(C1732="JR",SUMIFS($D:$D,$A:$A,$A1732,$B:$B,"&lt;&gt;Patrícia Karla de Sousa Araújo",$B:$B,"&lt;&gt;Lorena Dias de Araujo",$B:$B,"&lt;&gt;Lucas Luiz Romero")*(20/1083),IF(C1732="Estágio",SUMIFS($D:$D,$A:$A,$A1732,$B:$B,"&lt;&gt;Patrícia Karla de Sousa Araújo",$B:$B,"&lt;&gt;Lorena Dias de Araujo",$B:$B,"&lt;&gt;Lucas Luiz Romero")*(10/1083),0)))))),0)</f>
        <v/>
      </c>
      <c r="K1732" s="3">
        <f>I1732-J1732</f>
        <v/>
      </c>
      <c r="L1732" s="3">
        <f>IF(K1732&lt;-5,"CRÍTICO",IF(K1732&lt;0,"ATENÇÃO",IF(K1732&lt;=5,"BOM","EXCELENTE")))</f>
        <v/>
      </c>
      <c r="M1732" t="n">
        <v>38</v>
      </c>
      <c r="N1732" t="n">
        <v>100</v>
      </c>
      <c r="O1732" t="n">
        <v>26.31578947368421</v>
      </c>
    </row>
    <row r="1733" hidden="1">
      <c r="A1733" s="11" t="n">
        <v>46055</v>
      </c>
      <c r="B1733" t="inlineStr">
        <is>
          <t>Michelle G Santos</t>
        </is>
      </c>
      <c r="C1733" t="inlineStr">
        <is>
          <t>Estágio</t>
        </is>
      </c>
      <c r="D1733" t="n">
        <v>9</v>
      </c>
      <c r="E1733" t="n">
        <v>9</v>
      </c>
      <c r="F1733" t="n">
        <v>49.04</v>
      </c>
      <c r="G1733" t="n">
        <v>0</v>
      </c>
      <c r="H1733" t="n">
        <v>0</v>
      </c>
      <c r="I1733" s="3">
        <f>E1733+G1733+H1733</f>
        <v/>
      </c>
      <c r="J1733" s="3">
        <f>ROUND(MIN(IF(C1733="Técnico III",35,IF(C1733="Técnico II",28,IF(C1733="Técnico I",23,IF(C1733="JR",20,IF(C1733="Estágio",10,0))))),IF(C1733="Técnico III",SUMIFS($D:$D,$A:$A,$A1733,$B:$B,"&lt;&gt;Patrícia Karla de Sousa Araújo",$B:$B,"&lt;&gt;Lorena Dias de Araujo",$B:$B,"&lt;&gt;Lucas Luiz Romero")*(35/1083),IF(C1733="Técnico II",SUMIFS($D:$D,$A:$A,$A1733,$B:$B,"&lt;&gt;Patrícia Karla de Sousa Araújo",$B:$B,"&lt;&gt;Lorena Dias de Araujo",$B:$B,"&lt;&gt;Lucas Luiz Romero")*(28/1083),IF(C1733="Técnico I",SUMIFS($D:$D,$A:$A,$A1733,$B:$B,"&lt;&gt;Patrícia Karla de Sousa Araújo",$B:$B,"&lt;&gt;Lorena Dias de Araujo",$B:$B,"&lt;&gt;Lucas Luiz Romero")*(23/1083),IF(C1733="JR",SUMIFS($D:$D,$A:$A,$A1733,$B:$B,"&lt;&gt;Patrícia Karla de Sousa Araújo",$B:$B,"&lt;&gt;Lorena Dias de Araujo",$B:$B,"&lt;&gt;Lucas Luiz Romero")*(20/1083),IF(C1733="Estágio",SUMIFS($D:$D,$A:$A,$A1733,$B:$B,"&lt;&gt;Patrícia Karla de Sousa Araújo",$B:$B,"&lt;&gt;Lorena Dias de Araujo",$B:$B,"&lt;&gt;Lucas Luiz Romero")*(10/1083),0)))))),0)</f>
        <v/>
      </c>
      <c r="K1733" s="3">
        <f>I1733-J1733</f>
        <v/>
      </c>
      <c r="L1733" s="3">
        <f>IF(K1733&lt;-5,"CRÍTICO",IF(K1733&lt;0,"ATENÇÃO",IF(K1733&lt;=5,"BOM","EXCELENTE")))</f>
        <v/>
      </c>
      <c r="M1733" t="n">
        <v>1</v>
      </c>
      <c r="N1733" t="n">
        <v>0</v>
      </c>
      <c r="O1733" t="n">
        <v>100</v>
      </c>
    </row>
    <row r="1734" hidden="1">
      <c r="A1734" s="11" t="n">
        <v>46055</v>
      </c>
      <c r="B1734" t="inlineStr">
        <is>
          <t>Milena Sales</t>
        </is>
      </c>
      <c r="C1734" t="inlineStr">
        <is>
          <t>JR</t>
        </is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s="3" t="n">
        <v>0</v>
      </c>
      <c r="J1734" s="3" t="n">
        <v>0</v>
      </c>
      <c r="K1734" s="3" t="n">
        <v>0</v>
      </c>
      <c r="L1734" s="3">
        <f>IF(K1734&lt;-5,"CRÍTICO",IF(K1734&lt;0,"ATENÇÃO",IF(K1734&lt;=5,"BOM","EXCELENTE")))</f>
        <v/>
      </c>
      <c r="M1734" t="n">
        <v>0</v>
      </c>
      <c r="N1734" t="n">
        <v>0</v>
      </c>
      <c r="O1734" t="n">
        <v>0</v>
      </c>
    </row>
    <row r="1735" hidden="1">
      <c r="A1735" s="11" t="n">
        <v>46055</v>
      </c>
      <c r="B1735" t="inlineStr">
        <is>
          <t>Patrícia Karla de Sousa Araújo</t>
        </is>
      </c>
      <c r="C1735" t="inlineStr">
        <is>
          <t>Técnico II</t>
        </is>
      </c>
      <c r="D1735" t="n">
        <v>33</v>
      </c>
      <c r="E1735" t="n">
        <v>31</v>
      </c>
      <c r="F1735" t="n">
        <v>22.32</v>
      </c>
      <c r="G1735" t="n">
        <v>0</v>
      </c>
      <c r="H1735" t="n">
        <v>0</v>
      </c>
      <c r="I1735" s="3">
        <f>E1735+G1735+H1735</f>
        <v/>
      </c>
      <c r="J1735" s="3">
        <f>ROUND(MIN(IF(C1735="Técnico III",35,IF(C1735="Técnico II",28,IF(C1735="Técnico I",23,IF(C1735="JR",20,IF(C1735="Estágio",10,0))))),IF(C1735="Técnico III",SUMIFS($D:$D,$A:$A,$A1735,$B:$B,"&lt;&gt;Patrícia Karla de Sousa Araújo",$B:$B,"&lt;&gt;Lorena Dias de Araujo",$B:$B,"&lt;&gt;Lucas Luiz Romero")*(35/1083),IF(C1735="Técnico II",SUMIFS($D:$D,$A:$A,$A1735,$B:$B,"&lt;&gt;Patrícia Karla de Sousa Araújo",$B:$B,"&lt;&gt;Lorena Dias de Araujo",$B:$B,"&lt;&gt;Lucas Luiz Romero")*(28/1083),IF(C1735="Técnico I",SUMIFS($D:$D,$A:$A,$A1735,$B:$B,"&lt;&gt;Patrícia Karla de Sousa Araújo",$B:$B,"&lt;&gt;Lorena Dias de Araujo",$B:$B,"&lt;&gt;Lucas Luiz Romero")*(23/1083),IF(C1735="JR",SUMIFS($D:$D,$A:$A,$A1735,$B:$B,"&lt;&gt;Patrícia Karla de Sousa Araújo",$B:$B,"&lt;&gt;Lorena Dias de Araujo",$B:$B,"&lt;&gt;Lucas Luiz Romero")*(20/1083),IF(C1735="Estágio",SUMIFS($D:$D,$A:$A,$A1735,$B:$B,"&lt;&gt;Patrícia Karla de Sousa Araújo",$B:$B,"&lt;&gt;Lorena Dias de Araujo",$B:$B,"&lt;&gt;Lucas Luiz Romero")*(10/1083),0)))))),0)</f>
        <v/>
      </c>
      <c r="K1735" s="3">
        <f>I1735-J1735</f>
        <v/>
      </c>
      <c r="L1735" s="3">
        <f>IF(K1735&lt;-5,"CRÍTICO",IF(K1735&lt;0,"ATENÇÃO",IF(K1735&lt;=5,"BOM","EXCELENTE")))</f>
        <v/>
      </c>
      <c r="M1735" t="n">
        <v>23</v>
      </c>
      <c r="N1735" t="n">
        <v>100</v>
      </c>
      <c r="O1735" t="n">
        <v>43.47826086956522</v>
      </c>
    </row>
    <row r="1736" hidden="1">
      <c r="A1736" s="11" t="n">
        <v>46055</v>
      </c>
      <c r="B1736" t="inlineStr">
        <is>
          <t>Paulo Ricardo Santos</t>
        </is>
      </c>
      <c r="C1736" t="inlineStr">
        <is>
          <t>JR</t>
        </is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s="3" t="n">
        <v>0</v>
      </c>
      <c r="J1736" s="3" t="n">
        <v>0</v>
      </c>
      <c r="K1736" s="3" t="n">
        <v>0</v>
      </c>
      <c r="L1736" s="3">
        <f>IF(K1736&lt;-5,"CRÍTICO",IF(K1736&lt;0,"ATENÇÃO",IF(K1736&lt;=5,"BOM","EXCELENTE")))</f>
        <v/>
      </c>
      <c r="M1736" t="n">
        <v>0</v>
      </c>
      <c r="N1736" t="n">
        <v>0</v>
      </c>
      <c r="O1736" t="n">
        <v>0</v>
      </c>
    </row>
    <row r="1737" hidden="1">
      <c r="A1737" s="11" t="n">
        <v>46055</v>
      </c>
      <c r="B1737" t="inlineStr">
        <is>
          <t>Pedro Luiz Mota Sousa</t>
        </is>
      </c>
      <c r="C1737" t="inlineStr">
        <is>
          <t>JR</t>
        </is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s="3" t="n">
        <v>0</v>
      </c>
      <c r="J1737" s="3" t="n">
        <v>0</v>
      </c>
      <c r="K1737" s="3" t="n">
        <v>0</v>
      </c>
      <c r="L1737" s="3">
        <f>IF(K1737&lt;-5,"CRÍTICO",IF(K1737&lt;0,"ATENÇÃO",IF(K1737&lt;=5,"BOM","EXCELENTE")))</f>
        <v/>
      </c>
      <c r="M1737" t="n">
        <v>0</v>
      </c>
      <c r="N1737" t="n">
        <v>0</v>
      </c>
      <c r="O1737" t="n">
        <v>0</v>
      </c>
    </row>
    <row r="1738" hidden="1">
      <c r="A1738" s="11" t="n">
        <v>46055</v>
      </c>
      <c r="B1738" t="inlineStr">
        <is>
          <t>Quirino Diogo Leite Torres</t>
        </is>
      </c>
      <c r="C1738" t="inlineStr">
        <is>
          <t>Estágio</t>
        </is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s="3" t="n">
        <v>0</v>
      </c>
      <c r="J1738" s="3" t="n">
        <v>0</v>
      </c>
      <c r="K1738" s="3" t="n">
        <v>0</v>
      </c>
      <c r="L1738" s="3">
        <f>IF(K1738&lt;-5,"CRÍTICO",IF(K1738&lt;0,"ATENÇÃO",IF(K1738&lt;=5,"BOM","EXCELENTE")))</f>
        <v/>
      </c>
      <c r="M1738" t="n">
        <v>0</v>
      </c>
      <c r="N1738" t="n">
        <v>0</v>
      </c>
      <c r="O1738" t="n">
        <v>0</v>
      </c>
    </row>
    <row r="1739" hidden="1">
      <c r="A1739" s="11" t="n">
        <v>46055</v>
      </c>
      <c r="B1739" t="inlineStr">
        <is>
          <t>Raane Batista Matos</t>
        </is>
      </c>
      <c r="C1739" t="inlineStr">
        <is>
          <t>Técnico I</t>
        </is>
      </c>
      <c r="D1739" t="n">
        <v>14</v>
      </c>
      <c r="E1739" t="n">
        <v>11</v>
      </c>
      <c r="F1739" t="n">
        <v>35.41</v>
      </c>
      <c r="G1739" t="n">
        <v>0</v>
      </c>
      <c r="H1739" t="n">
        <v>0</v>
      </c>
      <c r="I1739" s="3">
        <f>E1739+G1739+H1739</f>
        <v/>
      </c>
      <c r="J1739" s="3">
        <f>ROUND(MIN(IF(C1739="Técnico III",35,IF(C1739="Técnico II",28,IF(C1739="Técnico I",23,IF(C1739="JR",20,IF(C1739="Estágio",10,0))))),IF(C1739="Técnico III",SUMIFS($D:$D,$A:$A,$A1739,$B:$B,"&lt;&gt;Patrícia Karla de Sousa Araújo",$B:$B,"&lt;&gt;Lorena Dias de Araujo",$B:$B,"&lt;&gt;Lucas Luiz Romero")*(35/1083),IF(C1739="Técnico II",SUMIFS($D:$D,$A:$A,$A1739,$B:$B,"&lt;&gt;Patrícia Karla de Sousa Araújo",$B:$B,"&lt;&gt;Lorena Dias de Araujo",$B:$B,"&lt;&gt;Lucas Luiz Romero")*(28/1083),IF(C1739="Técnico I",SUMIFS($D:$D,$A:$A,$A1739,$B:$B,"&lt;&gt;Patrícia Karla de Sousa Araújo",$B:$B,"&lt;&gt;Lorena Dias de Araujo",$B:$B,"&lt;&gt;Lucas Luiz Romero")*(23/1083),IF(C1739="JR",SUMIFS($D:$D,$A:$A,$A1739,$B:$B,"&lt;&gt;Patrícia Karla de Sousa Araújo",$B:$B,"&lt;&gt;Lorena Dias de Araujo",$B:$B,"&lt;&gt;Lucas Luiz Romero")*(20/1083),IF(C1739="Estágio",SUMIFS($D:$D,$A:$A,$A1739,$B:$B,"&lt;&gt;Patrícia Karla de Sousa Araújo",$B:$B,"&lt;&gt;Lorena Dias de Araujo",$B:$B,"&lt;&gt;Lucas Luiz Romero")*(10/1083),0)))))),0)</f>
        <v/>
      </c>
      <c r="K1739" s="3">
        <f>I1739-J1739</f>
        <v/>
      </c>
      <c r="L1739" s="3">
        <f>IF(K1739&lt;-5,"CRÍTICO",IF(K1739&lt;0,"ATENÇÃO",IF(K1739&lt;=5,"BOM","EXCELENTE")))</f>
        <v/>
      </c>
      <c r="M1739" t="n">
        <v>11</v>
      </c>
      <c r="N1739" t="n">
        <v>100</v>
      </c>
      <c r="O1739" t="n">
        <v>0</v>
      </c>
    </row>
    <row r="1740" hidden="1">
      <c r="A1740" s="11" t="n">
        <v>46055</v>
      </c>
      <c r="B1740" t="inlineStr">
        <is>
          <t>Rafael Gomes de Morais</t>
        </is>
      </c>
      <c r="C1740" t="inlineStr">
        <is>
          <t>Técnico III</t>
        </is>
      </c>
      <c r="D1740" t="n">
        <v>44</v>
      </c>
      <c r="E1740" t="n">
        <v>40</v>
      </c>
      <c r="F1740" t="n">
        <v>15.51</v>
      </c>
      <c r="G1740" t="n">
        <v>0</v>
      </c>
      <c r="H1740" t="n">
        <v>0</v>
      </c>
      <c r="I1740" s="3">
        <f>E1740+G1740+H1740</f>
        <v/>
      </c>
      <c r="J1740" s="3">
        <f>ROUND(MIN(IF(C1740="Técnico III",35,IF(C1740="Técnico II",28,IF(C1740="Técnico I",23,IF(C1740="JR",20,IF(C1740="Estágio",10,0))))),IF(C1740="Técnico III",SUMIFS($D:$D,$A:$A,$A1740,$B:$B,"&lt;&gt;Patrícia Karla de Sousa Araújo",$B:$B,"&lt;&gt;Lorena Dias de Araujo",$B:$B,"&lt;&gt;Lucas Luiz Romero")*(35/1083),IF(C1740="Técnico II",SUMIFS($D:$D,$A:$A,$A1740,$B:$B,"&lt;&gt;Patrícia Karla de Sousa Araújo",$B:$B,"&lt;&gt;Lorena Dias de Araujo",$B:$B,"&lt;&gt;Lucas Luiz Romero")*(28/1083),IF(C1740="Técnico I",SUMIFS($D:$D,$A:$A,$A1740,$B:$B,"&lt;&gt;Patrícia Karla de Sousa Araújo",$B:$B,"&lt;&gt;Lorena Dias de Araujo",$B:$B,"&lt;&gt;Lucas Luiz Romero")*(23/1083),IF(C1740="JR",SUMIFS($D:$D,$A:$A,$A1740,$B:$B,"&lt;&gt;Patrícia Karla de Sousa Araújo",$B:$B,"&lt;&gt;Lorena Dias de Araujo",$B:$B,"&lt;&gt;Lucas Luiz Romero")*(20/1083),IF(C1740="Estágio",SUMIFS($D:$D,$A:$A,$A1740,$B:$B,"&lt;&gt;Patrícia Karla de Sousa Araújo",$B:$B,"&lt;&gt;Lorena Dias de Araujo",$B:$B,"&lt;&gt;Lucas Luiz Romero")*(10/1083),0)))))),0)</f>
        <v/>
      </c>
      <c r="K1740" s="3">
        <f>I1740-J1740</f>
        <v/>
      </c>
      <c r="L1740" s="3">
        <f>IF(K1740&lt;-5,"CRÍTICO",IF(K1740&lt;0,"ATENÇÃO",IF(K1740&lt;=5,"BOM","EXCELENTE")))</f>
        <v/>
      </c>
      <c r="M1740" t="n">
        <v>40</v>
      </c>
      <c r="N1740" t="n">
        <v>100</v>
      </c>
      <c r="O1740" t="n">
        <v>17.5</v>
      </c>
    </row>
    <row r="1741" hidden="1">
      <c r="A1741" s="11" t="n">
        <v>46055</v>
      </c>
      <c r="B1741" t="inlineStr">
        <is>
          <t>Sara Maria Monteiro Lopes</t>
        </is>
      </c>
      <c r="C1741" t="inlineStr">
        <is>
          <t>Técnico I</t>
        </is>
      </c>
      <c r="D1741" t="n">
        <v>16</v>
      </c>
      <c r="E1741" t="n">
        <v>16</v>
      </c>
      <c r="F1741" t="n">
        <v>30.19</v>
      </c>
      <c r="G1741" t="n">
        <v>0</v>
      </c>
      <c r="H1741" t="n">
        <v>0</v>
      </c>
      <c r="I1741" s="3">
        <f>E1741+G1741+H1741</f>
        <v/>
      </c>
      <c r="J1741" s="3">
        <f>ROUND(MIN(IF(C1741="Técnico III",35,IF(C1741="Técnico II",28,IF(C1741="Técnico I",23,IF(C1741="JR",20,IF(C1741="Estágio",10,0))))),IF(C1741="Técnico III",SUMIFS($D:$D,$A:$A,$A1741,$B:$B,"&lt;&gt;Patrícia Karla de Sousa Araújo",$B:$B,"&lt;&gt;Lorena Dias de Araujo",$B:$B,"&lt;&gt;Lucas Luiz Romero")*(35/1083),IF(C1741="Técnico II",SUMIFS($D:$D,$A:$A,$A1741,$B:$B,"&lt;&gt;Patrícia Karla de Sousa Araújo",$B:$B,"&lt;&gt;Lorena Dias de Araujo",$B:$B,"&lt;&gt;Lucas Luiz Romero")*(28/1083),IF(C1741="Técnico I",SUMIFS($D:$D,$A:$A,$A1741,$B:$B,"&lt;&gt;Patrícia Karla de Sousa Araújo",$B:$B,"&lt;&gt;Lorena Dias de Araujo",$B:$B,"&lt;&gt;Lucas Luiz Romero")*(23/1083),IF(C1741="JR",SUMIFS($D:$D,$A:$A,$A1741,$B:$B,"&lt;&gt;Patrícia Karla de Sousa Araújo",$B:$B,"&lt;&gt;Lorena Dias de Araujo",$B:$B,"&lt;&gt;Lucas Luiz Romero")*(20/1083),IF(C1741="Estágio",SUMIFS($D:$D,$A:$A,$A1741,$B:$B,"&lt;&gt;Patrícia Karla de Sousa Araújo",$B:$B,"&lt;&gt;Lorena Dias de Araujo",$B:$B,"&lt;&gt;Lucas Luiz Romero")*(10/1083),0)))))),0)</f>
        <v/>
      </c>
      <c r="K1741" s="3">
        <f>I1741-J1741</f>
        <v/>
      </c>
      <c r="L1741" s="3">
        <f>IF(K1741&lt;-5,"CRÍTICO",IF(K1741&lt;0,"ATENÇÃO",IF(K1741&lt;=5,"BOM","EXCELENTE")))</f>
        <v/>
      </c>
      <c r="M1741" t="n">
        <v>16</v>
      </c>
      <c r="N1741" t="n">
        <v>100</v>
      </c>
      <c r="O1741" t="n">
        <v>25</v>
      </c>
    </row>
    <row r="1742" hidden="1">
      <c r="A1742" s="11" t="n">
        <v>46055</v>
      </c>
      <c r="B1742" t="inlineStr">
        <is>
          <t>Sarah Steffanie de Lima Borges</t>
        </is>
      </c>
      <c r="C1742" t="inlineStr">
        <is>
          <t>Técnico III</t>
        </is>
      </c>
      <c r="D1742" t="n">
        <v>35</v>
      </c>
      <c r="E1742" t="n">
        <v>32</v>
      </c>
      <c r="F1742" t="n">
        <v>19.06</v>
      </c>
      <c r="G1742" t="n">
        <v>0</v>
      </c>
      <c r="H1742" t="n">
        <v>0</v>
      </c>
      <c r="I1742" s="3">
        <f>E1742+G1742+H1742</f>
        <v/>
      </c>
      <c r="J1742" s="3">
        <f>ROUND(MIN(IF(C1742="Técnico III",35,IF(C1742="Técnico II",28,IF(C1742="Técnico I",23,IF(C1742="JR",20,IF(C1742="Estágio",10,0))))),IF(C1742="Técnico III",SUMIFS($D:$D,$A:$A,$A1742,$B:$B,"&lt;&gt;Patrícia Karla de Sousa Araújo",$B:$B,"&lt;&gt;Lorena Dias de Araujo",$B:$B,"&lt;&gt;Lucas Luiz Romero")*(35/1083),IF(C1742="Técnico II",SUMIFS($D:$D,$A:$A,$A1742,$B:$B,"&lt;&gt;Patrícia Karla de Sousa Araújo",$B:$B,"&lt;&gt;Lorena Dias de Araujo",$B:$B,"&lt;&gt;Lucas Luiz Romero")*(28/1083),IF(C1742="Técnico I",SUMIFS($D:$D,$A:$A,$A1742,$B:$B,"&lt;&gt;Patrícia Karla de Sousa Araújo",$B:$B,"&lt;&gt;Lorena Dias de Araujo",$B:$B,"&lt;&gt;Lucas Luiz Romero")*(23/1083),IF(C1742="JR",SUMIFS($D:$D,$A:$A,$A1742,$B:$B,"&lt;&gt;Patrícia Karla de Sousa Araújo",$B:$B,"&lt;&gt;Lorena Dias de Araujo",$B:$B,"&lt;&gt;Lucas Luiz Romero")*(20/1083),IF(C1742="Estágio",SUMIFS($D:$D,$A:$A,$A1742,$B:$B,"&lt;&gt;Patrícia Karla de Sousa Araújo",$B:$B,"&lt;&gt;Lorena Dias de Araujo",$B:$B,"&lt;&gt;Lucas Luiz Romero")*(10/1083),0)))))),0)</f>
        <v/>
      </c>
      <c r="K1742" s="3">
        <f>I1742-J1742</f>
        <v/>
      </c>
      <c r="L1742" s="3">
        <f>IF(K1742&lt;-5,"CRÍTICO",IF(K1742&lt;0,"ATENÇÃO",IF(K1742&lt;=5,"BOM","EXCELENTE")))</f>
        <v/>
      </c>
      <c r="M1742" t="n">
        <v>29</v>
      </c>
      <c r="N1742" t="n">
        <v>100</v>
      </c>
      <c r="O1742" t="n">
        <v>27.58620689655172</v>
      </c>
    </row>
    <row r="1743" hidden="1">
      <c r="A1743" s="11" t="n">
        <v>46056</v>
      </c>
      <c r="B1743" t="inlineStr">
        <is>
          <t>Alisson de Freitas Silva</t>
        </is>
      </c>
      <c r="C1743" t="inlineStr">
        <is>
          <t>Técnico II</t>
        </is>
      </c>
      <c r="D1743" t="n">
        <v>37</v>
      </c>
      <c r="E1743" t="n">
        <v>35</v>
      </c>
      <c r="F1743" t="n">
        <v>15.35</v>
      </c>
      <c r="G1743" t="n">
        <v>0</v>
      </c>
      <c r="H1743" t="n">
        <v>0</v>
      </c>
      <c r="I1743" s="3">
        <f>E1743+G1743+H1743</f>
        <v/>
      </c>
      <c r="J1743" s="3">
        <f>ROUND(MIN(IF(C1743="Técnico III",35,IF(C1743="Técnico II",28,IF(C1743="Técnico I",23,IF(C1743="JR",20,IF(C1743="Estágio",10,0))))),IF(C1743="Técnico III",SUMIFS($D:$D,$A:$A,$A1743,$B:$B,"&lt;&gt;Patrícia Karla de Sousa Araújo",$B:$B,"&lt;&gt;Lorena Dias de Araujo",$B:$B,"&lt;&gt;Lucas Luiz Romero")*(35/1083),IF(C1743="Técnico II",SUMIFS($D:$D,$A:$A,$A1743,$B:$B,"&lt;&gt;Patrícia Karla de Sousa Araújo",$B:$B,"&lt;&gt;Lorena Dias de Araujo",$B:$B,"&lt;&gt;Lucas Luiz Romero")*(28/1083),IF(C1743="Técnico I",SUMIFS($D:$D,$A:$A,$A1743,$B:$B,"&lt;&gt;Patrícia Karla de Sousa Araújo",$B:$B,"&lt;&gt;Lorena Dias de Araujo",$B:$B,"&lt;&gt;Lucas Luiz Romero")*(23/1083),IF(C1743="JR",SUMIFS($D:$D,$A:$A,$A1743,$B:$B,"&lt;&gt;Patrícia Karla de Sousa Araújo",$B:$B,"&lt;&gt;Lorena Dias de Araujo",$B:$B,"&lt;&gt;Lucas Luiz Romero")*(20/1083),IF(C1743="Estágio",SUMIFS($D:$D,$A:$A,$A1743,$B:$B,"&lt;&gt;Patrícia Karla de Sousa Araújo",$B:$B,"&lt;&gt;Lorena Dias de Araujo",$B:$B,"&lt;&gt;Lucas Luiz Romero")*(10/1083),0)))))),0)</f>
        <v/>
      </c>
      <c r="K1743" s="3">
        <f>I1743-J1743</f>
        <v/>
      </c>
      <c r="L1743" s="3">
        <f>IF(K1743&lt;-5,"CRÍTICO",IF(K1743&lt;0,"ATENÇÃO",IF(K1743&lt;=5,"BOM","EXCELENTE")))</f>
        <v/>
      </c>
      <c r="N1743" t="n">
        <v>98.31999999999999</v>
      </c>
      <c r="O1743" t="n">
        <v>30.3030303030303</v>
      </c>
    </row>
    <row r="1744" hidden="1">
      <c r="A1744" s="11" t="n">
        <v>46056</v>
      </c>
      <c r="B1744" t="inlineStr">
        <is>
          <t>Amanda Moura Ferreira</t>
        </is>
      </c>
      <c r="C1744" t="inlineStr">
        <is>
          <t>Técnico III</t>
        </is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s="3" t="n">
        <v>0</v>
      </c>
      <c r="J1744" s="3" t="n">
        <v>0</v>
      </c>
      <c r="K1744" s="3" t="n">
        <v>0</v>
      </c>
      <c r="L1744" s="3">
        <f>IF(K1744&lt;-5,"CRÍTICO",IF(K1744&lt;0,"ATENÇÃO",IF(K1744&lt;=5,"BOM","EXCELENTE")))</f>
        <v/>
      </c>
      <c r="N1744" t="n">
        <v>98.68000000000001</v>
      </c>
      <c r="O1744" t="n">
        <v>26.21951219512195</v>
      </c>
    </row>
    <row r="1745" hidden="1">
      <c r="A1745" s="11" t="n">
        <v>46056</v>
      </c>
      <c r="B1745" t="inlineStr">
        <is>
          <t>Ana Karollyne Souza Faria</t>
        </is>
      </c>
      <c r="C1745" t="inlineStr">
        <is>
          <t>Técnico I</t>
        </is>
      </c>
      <c r="D1745" t="n">
        <v>27</v>
      </c>
      <c r="E1745" t="n">
        <v>27</v>
      </c>
      <c r="F1745" t="n">
        <v>23.49</v>
      </c>
      <c r="G1745" t="n">
        <v>0</v>
      </c>
      <c r="H1745" t="n">
        <v>0</v>
      </c>
      <c r="I1745" s="3">
        <f>E1745+G1745+H1745</f>
        <v/>
      </c>
      <c r="J1745" s="3">
        <f>ROUND(MIN(IF(C1745="Técnico III",35,IF(C1745="Técnico II",28,IF(C1745="Técnico I",23,IF(C1745="JR",20,IF(C1745="Estágio",10,0))))),IF(C1745="Técnico III",SUMIFS($D:$D,$A:$A,$A1745,$B:$B,"&lt;&gt;Patrícia Karla de Sousa Araújo",$B:$B,"&lt;&gt;Lorena Dias de Araujo",$B:$B,"&lt;&gt;Lucas Luiz Romero")*(35/1083),IF(C1745="Técnico II",SUMIFS($D:$D,$A:$A,$A1745,$B:$B,"&lt;&gt;Patrícia Karla de Sousa Araújo",$B:$B,"&lt;&gt;Lorena Dias de Araujo",$B:$B,"&lt;&gt;Lucas Luiz Romero")*(28/1083),IF(C1745="Técnico I",SUMIFS($D:$D,$A:$A,$A1745,$B:$B,"&lt;&gt;Patrícia Karla de Sousa Araújo",$B:$B,"&lt;&gt;Lorena Dias de Araujo",$B:$B,"&lt;&gt;Lucas Luiz Romero")*(23/1083),IF(C1745="JR",SUMIFS($D:$D,$A:$A,$A1745,$B:$B,"&lt;&gt;Patrícia Karla de Sousa Araújo",$B:$B,"&lt;&gt;Lorena Dias de Araujo",$B:$B,"&lt;&gt;Lucas Luiz Romero")*(20/1083),IF(C1745="Estágio",SUMIFS($D:$D,$A:$A,$A1745,$B:$B,"&lt;&gt;Patrícia Karla de Sousa Araújo",$B:$B,"&lt;&gt;Lorena Dias de Araujo",$B:$B,"&lt;&gt;Lucas Luiz Romero")*(10/1083),0)))))),0)</f>
        <v/>
      </c>
      <c r="K1745" s="3">
        <f>I1745-J1745</f>
        <v/>
      </c>
      <c r="L1745" s="3">
        <f>IF(K1745&lt;-5,"CRÍTICO",IF(K1745&lt;0,"ATENÇÃO",IF(K1745&lt;=5,"BOM","EXCELENTE")))</f>
        <v/>
      </c>
      <c r="N1745" t="n">
        <v>100</v>
      </c>
      <c r="O1745" t="n">
        <v>31.74224343675418</v>
      </c>
    </row>
    <row r="1746" hidden="1">
      <c r="A1746" s="11" t="n">
        <v>46056</v>
      </c>
      <c r="B1746" t="inlineStr">
        <is>
          <t>Ana Paula Da Luz Silva Aleixo</t>
        </is>
      </c>
      <c r="C1746" t="inlineStr">
        <is>
          <t>Técnico III</t>
        </is>
      </c>
      <c r="D1746" t="n">
        <v>41</v>
      </c>
      <c r="E1746" t="n">
        <v>39</v>
      </c>
      <c r="F1746" t="n">
        <v>20.44</v>
      </c>
      <c r="G1746" t="n">
        <v>0</v>
      </c>
      <c r="H1746" t="n">
        <v>0</v>
      </c>
      <c r="I1746" s="3">
        <f>E1746+G1746+H1746</f>
        <v/>
      </c>
      <c r="J1746" s="3">
        <f>ROUND(MIN(IF(C1746="Técnico III",35,IF(C1746="Técnico II",28,IF(C1746="Técnico I",23,IF(C1746="JR",20,IF(C1746="Estágio",10,0))))),IF(C1746="Técnico III",SUMIFS($D:$D,$A:$A,$A1746,$B:$B,"&lt;&gt;Patrícia Karla de Sousa Araújo",$B:$B,"&lt;&gt;Lorena Dias de Araujo",$B:$B,"&lt;&gt;Lucas Luiz Romero")*(35/1083),IF(C1746="Técnico II",SUMIFS($D:$D,$A:$A,$A1746,$B:$B,"&lt;&gt;Patrícia Karla de Sousa Araújo",$B:$B,"&lt;&gt;Lorena Dias de Araujo",$B:$B,"&lt;&gt;Lucas Luiz Romero")*(28/1083),IF(C1746="Técnico I",SUMIFS($D:$D,$A:$A,$A1746,$B:$B,"&lt;&gt;Patrícia Karla de Sousa Araújo",$B:$B,"&lt;&gt;Lorena Dias de Araujo",$B:$B,"&lt;&gt;Lucas Luiz Romero")*(23/1083),IF(C1746="JR",SUMIFS($D:$D,$A:$A,$A1746,$B:$B,"&lt;&gt;Patrícia Karla de Sousa Araújo",$B:$B,"&lt;&gt;Lorena Dias de Araujo",$B:$B,"&lt;&gt;Lucas Luiz Romero")*(20/1083),IF(C1746="Estágio",SUMIFS($D:$D,$A:$A,$A1746,$B:$B,"&lt;&gt;Patrícia Karla de Sousa Araújo",$B:$B,"&lt;&gt;Lorena Dias de Araujo",$B:$B,"&lt;&gt;Lucas Luiz Romero")*(10/1083),0)))))),0)</f>
        <v/>
      </c>
      <c r="K1746" s="3">
        <f>I1746-J1746</f>
        <v/>
      </c>
      <c r="L1746" s="3">
        <f>IF(K1746&lt;-5,"CRÍTICO",IF(K1746&lt;0,"ATENÇÃO",IF(K1746&lt;=5,"BOM","EXCELENTE")))</f>
        <v/>
      </c>
      <c r="N1746" t="n">
        <v>98.25</v>
      </c>
      <c r="O1746" t="n">
        <v>25.83518930957684</v>
      </c>
    </row>
    <row r="1747" hidden="1">
      <c r="A1747" s="11" t="n">
        <v>46056</v>
      </c>
      <c r="B1747" t="inlineStr">
        <is>
          <t>Anna Luiza Rezende Tavares</t>
        </is>
      </c>
      <c r="C1747" t="inlineStr">
        <is>
          <t>Estágio</t>
        </is>
      </c>
      <c r="D1747" t="n">
        <v>6</v>
      </c>
      <c r="E1747" t="n">
        <v>6</v>
      </c>
      <c r="F1747" t="n">
        <v>28.25</v>
      </c>
      <c r="G1747" t="n">
        <v>0</v>
      </c>
      <c r="H1747" t="n">
        <v>0</v>
      </c>
      <c r="I1747" s="3">
        <f>E1747+G1747+H1747</f>
        <v/>
      </c>
      <c r="J1747" s="3">
        <f>ROUND(MIN(IF(C1747="Técnico III",35,IF(C1747="Técnico II",28,IF(C1747="Técnico I",23,IF(C1747="JR",20,IF(C1747="Estágio",10,0))))),IF(C1747="Técnico III",SUMIFS($D:$D,$A:$A,$A1747,$B:$B,"&lt;&gt;Patrícia Karla de Sousa Araújo",$B:$B,"&lt;&gt;Lorena Dias de Araujo",$B:$B,"&lt;&gt;Lucas Luiz Romero")*(35/1083),IF(C1747="Técnico II",SUMIFS($D:$D,$A:$A,$A1747,$B:$B,"&lt;&gt;Patrícia Karla de Sousa Araújo",$B:$B,"&lt;&gt;Lorena Dias de Araujo",$B:$B,"&lt;&gt;Lucas Luiz Romero")*(28/1083),IF(C1747="Técnico I",SUMIFS($D:$D,$A:$A,$A1747,$B:$B,"&lt;&gt;Patrícia Karla de Sousa Araújo",$B:$B,"&lt;&gt;Lorena Dias de Araujo",$B:$B,"&lt;&gt;Lucas Luiz Romero")*(23/1083),IF(C1747="JR",SUMIFS($D:$D,$A:$A,$A1747,$B:$B,"&lt;&gt;Patrícia Karla de Sousa Araújo",$B:$B,"&lt;&gt;Lorena Dias de Araujo",$B:$B,"&lt;&gt;Lucas Luiz Romero")*(20/1083),IF(C1747="Estágio",SUMIFS($D:$D,$A:$A,$A1747,$B:$B,"&lt;&gt;Patrícia Karla de Sousa Araújo",$B:$B,"&lt;&gt;Lorena Dias de Araujo",$B:$B,"&lt;&gt;Lucas Luiz Romero")*(10/1083),0)))))),0)</f>
        <v/>
      </c>
      <c r="K1747" s="3">
        <f>I1747-J1747</f>
        <v/>
      </c>
      <c r="L1747" s="3">
        <f>IF(K1747&lt;-5,"CRÍTICO",IF(K1747&lt;0,"ATENÇÃO",IF(K1747&lt;=5,"BOM","EXCELENTE")))</f>
        <v/>
      </c>
      <c r="N1747" t="n">
        <v>97.5</v>
      </c>
      <c r="O1747" t="n">
        <v>30.07518796992481</v>
      </c>
    </row>
    <row r="1748" hidden="1">
      <c r="A1748" s="11" t="n">
        <v>46056</v>
      </c>
      <c r="B1748" t="inlineStr">
        <is>
          <t>Brenda de Menezes Silva</t>
        </is>
      </c>
      <c r="C1748" t="inlineStr">
        <is>
          <t>Técnico II</t>
        </is>
      </c>
      <c r="D1748" t="n">
        <v>42</v>
      </c>
      <c r="E1748" t="n">
        <v>38</v>
      </c>
      <c r="F1748" t="n">
        <v>10.44</v>
      </c>
      <c r="G1748" t="n">
        <v>0</v>
      </c>
      <c r="H1748" t="n">
        <v>0</v>
      </c>
      <c r="I1748" s="3">
        <f>E1748+G1748+H1748</f>
        <v/>
      </c>
      <c r="J1748" s="3">
        <f>ROUND(MIN(IF(C1748="Técnico III",35,IF(C1748="Técnico II",28,IF(C1748="Técnico I",23,IF(C1748="JR",20,IF(C1748="Estágio",10,0))))),IF(C1748="Técnico III",SUMIFS($D:$D,$A:$A,$A1748,$B:$B,"&lt;&gt;Patrícia Karla de Sousa Araújo",$B:$B,"&lt;&gt;Lorena Dias de Araujo",$B:$B,"&lt;&gt;Lucas Luiz Romero")*(35/1083),IF(C1748="Técnico II",SUMIFS($D:$D,$A:$A,$A1748,$B:$B,"&lt;&gt;Patrícia Karla de Sousa Araújo",$B:$B,"&lt;&gt;Lorena Dias de Araujo",$B:$B,"&lt;&gt;Lucas Luiz Romero")*(28/1083),IF(C1748="Técnico I",SUMIFS($D:$D,$A:$A,$A1748,$B:$B,"&lt;&gt;Patrícia Karla de Sousa Araújo",$B:$B,"&lt;&gt;Lorena Dias de Araujo",$B:$B,"&lt;&gt;Lucas Luiz Romero")*(23/1083),IF(C1748="JR",SUMIFS($D:$D,$A:$A,$A1748,$B:$B,"&lt;&gt;Patrícia Karla de Sousa Araújo",$B:$B,"&lt;&gt;Lorena Dias de Araujo",$B:$B,"&lt;&gt;Lucas Luiz Romero")*(20/1083),IF(C1748="Estágio",SUMIFS($D:$D,$A:$A,$A1748,$B:$B,"&lt;&gt;Patrícia Karla de Sousa Araújo",$B:$B,"&lt;&gt;Lorena Dias de Araujo",$B:$B,"&lt;&gt;Lucas Luiz Romero")*(10/1083),0)))))),0)</f>
        <v/>
      </c>
      <c r="K1748" s="3">
        <f>I1748-J1748</f>
        <v/>
      </c>
      <c r="L1748" s="3">
        <f>IF(K1748&lt;-5,"CRÍTICO",IF(K1748&lt;0,"ATENÇÃO",IF(K1748&lt;=5,"BOM","EXCELENTE")))</f>
        <v/>
      </c>
      <c r="N1748" t="n">
        <v>100</v>
      </c>
      <c r="O1748" t="n">
        <v>29.71311475409836</v>
      </c>
    </row>
    <row r="1749" hidden="1">
      <c r="A1749" s="11" t="n">
        <v>46056</v>
      </c>
      <c r="B1749" t="inlineStr">
        <is>
          <t>Carlos Mateus Cassimiro Nunes</t>
        </is>
      </c>
      <c r="C1749" t="inlineStr">
        <is>
          <t>Técnico II</t>
        </is>
      </c>
      <c r="D1749" t="n">
        <v>27</v>
      </c>
      <c r="E1749" t="n">
        <v>25</v>
      </c>
      <c r="F1749" t="n">
        <v>25.32</v>
      </c>
      <c r="G1749" t="n">
        <v>0</v>
      </c>
      <c r="H1749" t="n">
        <v>0</v>
      </c>
      <c r="I1749" s="3">
        <f>E1749+G1749+H1749</f>
        <v/>
      </c>
      <c r="J1749" s="3">
        <f>ROUND(MIN(IF(C1749="Técnico III",35,IF(C1749="Técnico II",28,IF(C1749="Técnico I",23,IF(C1749="JR",20,IF(C1749="Estágio",10,0))))),IF(C1749="Técnico III",SUMIFS($D:$D,$A:$A,$A1749,$B:$B,"&lt;&gt;Patrícia Karla de Sousa Araújo",$B:$B,"&lt;&gt;Lorena Dias de Araujo",$B:$B,"&lt;&gt;Lucas Luiz Romero")*(35/1083),IF(C1749="Técnico II",SUMIFS($D:$D,$A:$A,$A1749,$B:$B,"&lt;&gt;Patrícia Karla de Sousa Araújo",$B:$B,"&lt;&gt;Lorena Dias de Araujo",$B:$B,"&lt;&gt;Lucas Luiz Romero")*(28/1083),IF(C1749="Técnico I",SUMIFS($D:$D,$A:$A,$A1749,$B:$B,"&lt;&gt;Patrícia Karla de Sousa Araújo",$B:$B,"&lt;&gt;Lorena Dias de Araujo",$B:$B,"&lt;&gt;Lucas Luiz Romero")*(23/1083),IF(C1749="JR",SUMIFS($D:$D,$A:$A,$A1749,$B:$B,"&lt;&gt;Patrícia Karla de Sousa Araújo",$B:$B,"&lt;&gt;Lorena Dias de Araujo",$B:$B,"&lt;&gt;Lucas Luiz Romero")*(20/1083),IF(C1749="Estágio",SUMIFS($D:$D,$A:$A,$A1749,$B:$B,"&lt;&gt;Patrícia Karla de Sousa Araújo",$B:$B,"&lt;&gt;Lorena Dias de Araujo",$B:$B,"&lt;&gt;Lucas Luiz Romero")*(10/1083),0)))))),0)</f>
        <v/>
      </c>
      <c r="K1749" s="3">
        <f>I1749-J1749</f>
        <v/>
      </c>
      <c r="L1749" s="3">
        <f>IF(K1749&lt;-5,"CRÍTICO",IF(K1749&lt;0,"ATENÇÃO",IF(K1749&lt;=5,"BOM","EXCELENTE")))</f>
        <v/>
      </c>
      <c r="N1749" t="n">
        <v>99.22</v>
      </c>
      <c r="O1749" t="n">
        <v>35.25641025641026</v>
      </c>
    </row>
    <row r="1750" hidden="1">
      <c r="A1750" s="11" t="n">
        <v>46056</v>
      </c>
      <c r="B1750" t="inlineStr">
        <is>
          <t>Claudio de Sousa Velasco Filho</t>
        </is>
      </c>
      <c r="C1750" t="inlineStr">
        <is>
          <t>Estágio</t>
        </is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s="3" t="n">
        <v>0</v>
      </c>
      <c r="J1750" s="3" t="n">
        <v>0</v>
      </c>
      <c r="K1750" s="3" t="n">
        <v>0</v>
      </c>
      <c r="L1750" s="3">
        <f>IF(K1750&lt;-5,"CRÍTICO",IF(K1750&lt;0,"ATENÇÃO",IF(K1750&lt;=5,"BOM","EXCELENTE")))</f>
        <v/>
      </c>
      <c r="N1750" t="n">
        <v>0</v>
      </c>
      <c r="O1750" t="n">
        <v>0</v>
      </c>
    </row>
    <row r="1751" hidden="1">
      <c r="A1751" s="11" t="n">
        <v>46056</v>
      </c>
      <c r="B1751" t="inlineStr">
        <is>
          <t>Clessiane Pereira dos Santos</t>
        </is>
      </c>
      <c r="C1751" t="inlineStr">
        <is>
          <t>Técnico I</t>
        </is>
      </c>
      <c r="D1751" t="n">
        <v>21</v>
      </c>
      <c r="E1751" t="n">
        <v>21</v>
      </c>
      <c r="F1751" t="n">
        <v>25.43</v>
      </c>
      <c r="G1751" t="n">
        <v>0</v>
      </c>
      <c r="H1751" t="n">
        <v>0</v>
      </c>
      <c r="I1751" s="3">
        <f>E1751+G1751+H1751</f>
        <v/>
      </c>
      <c r="J1751" s="3">
        <f>ROUND(MIN(IF(C1751="Técnico III",35,IF(C1751="Técnico II",28,IF(C1751="Técnico I",23,IF(C1751="JR",20,IF(C1751="Estágio",10,0))))),IF(C1751="Técnico III",SUMIFS($D:$D,$A:$A,$A1751,$B:$B,"&lt;&gt;Patrícia Karla de Sousa Araújo",$B:$B,"&lt;&gt;Lorena Dias de Araujo",$B:$B,"&lt;&gt;Lucas Luiz Romero")*(35/1083),IF(C1751="Técnico II",SUMIFS($D:$D,$A:$A,$A1751,$B:$B,"&lt;&gt;Patrícia Karla de Sousa Araújo",$B:$B,"&lt;&gt;Lorena Dias de Araujo",$B:$B,"&lt;&gt;Lucas Luiz Romero")*(28/1083),IF(C1751="Técnico I",SUMIFS($D:$D,$A:$A,$A1751,$B:$B,"&lt;&gt;Patrícia Karla de Sousa Araújo",$B:$B,"&lt;&gt;Lorena Dias de Araujo",$B:$B,"&lt;&gt;Lucas Luiz Romero")*(23/1083),IF(C1751="JR",SUMIFS($D:$D,$A:$A,$A1751,$B:$B,"&lt;&gt;Patrícia Karla de Sousa Araújo",$B:$B,"&lt;&gt;Lorena Dias de Araujo",$B:$B,"&lt;&gt;Lucas Luiz Romero")*(20/1083),IF(C1751="Estágio",SUMIFS($D:$D,$A:$A,$A1751,$B:$B,"&lt;&gt;Patrícia Karla de Sousa Araújo",$B:$B,"&lt;&gt;Lorena Dias de Araujo",$B:$B,"&lt;&gt;Lucas Luiz Romero")*(10/1083),0)))))),0)</f>
        <v/>
      </c>
      <c r="K1751" s="3">
        <f>I1751-J1751</f>
        <v/>
      </c>
      <c r="L1751" s="3">
        <f>IF(K1751&lt;-5,"CRÍTICO",IF(K1751&lt;0,"ATENÇÃO",IF(K1751&lt;=5,"BOM","EXCELENTE")))</f>
        <v/>
      </c>
      <c r="N1751" t="n">
        <v>98.75</v>
      </c>
      <c r="O1751" t="n">
        <v>24.32432432432433</v>
      </c>
    </row>
    <row r="1752" hidden="1">
      <c r="A1752" s="11" t="n">
        <v>46056</v>
      </c>
      <c r="B1752" t="inlineStr">
        <is>
          <t>Cristiane Ramos da Silva Rocha</t>
        </is>
      </c>
      <c r="C1752" t="inlineStr">
        <is>
          <t>Técnico III</t>
        </is>
      </c>
      <c r="D1752" t="n">
        <v>36</v>
      </c>
      <c r="E1752" t="n">
        <v>33</v>
      </c>
      <c r="F1752" t="n">
        <v>13.36</v>
      </c>
      <c r="G1752" t="n">
        <v>0</v>
      </c>
      <c r="H1752" t="n">
        <v>0</v>
      </c>
      <c r="I1752" s="3">
        <f>E1752+G1752+H1752</f>
        <v/>
      </c>
      <c r="J1752" s="3">
        <f>ROUND(MIN(IF(C1752="Técnico III",35,IF(C1752="Técnico II",28,IF(C1752="Técnico I",23,IF(C1752="JR",20,IF(C1752="Estágio",10,0))))),IF(C1752="Técnico III",SUMIFS($D:$D,$A:$A,$A1752,$B:$B,"&lt;&gt;Patrícia Karla de Sousa Araújo",$B:$B,"&lt;&gt;Lorena Dias de Araujo",$B:$B,"&lt;&gt;Lucas Luiz Romero")*(35/1083),IF(C1752="Técnico II",SUMIFS($D:$D,$A:$A,$A1752,$B:$B,"&lt;&gt;Patrícia Karla de Sousa Araújo",$B:$B,"&lt;&gt;Lorena Dias de Araujo",$B:$B,"&lt;&gt;Lucas Luiz Romero")*(28/1083),IF(C1752="Técnico I",SUMIFS($D:$D,$A:$A,$A1752,$B:$B,"&lt;&gt;Patrícia Karla de Sousa Araújo",$B:$B,"&lt;&gt;Lorena Dias de Araujo",$B:$B,"&lt;&gt;Lucas Luiz Romero")*(23/1083),IF(C1752="JR",SUMIFS($D:$D,$A:$A,$A1752,$B:$B,"&lt;&gt;Patrícia Karla de Sousa Araújo",$B:$B,"&lt;&gt;Lorena Dias de Araujo",$B:$B,"&lt;&gt;Lucas Luiz Romero")*(20/1083),IF(C1752="Estágio",SUMIFS($D:$D,$A:$A,$A1752,$B:$B,"&lt;&gt;Patrícia Karla de Sousa Araújo",$B:$B,"&lt;&gt;Lorena Dias de Araujo",$B:$B,"&lt;&gt;Lucas Luiz Romero")*(10/1083),0)))))),0)</f>
        <v/>
      </c>
      <c r="K1752" s="3">
        <f>I1752-J1752</f>
        <v/>
      </c>
      <c r="L1752" s="3">
        <f>IF(K1752&lt;-5,"CRÍTICO",IF(K1752&lt;0,"ATENÇÃO",IF(K1752&lt;=5,"BOM","EXCELENTE")))</f>
        <v/>
      </c>
      <c r="N1752" t="n">
        <v>93.48</v>
      </c>
      <c r="O1752" t="n">
        <v>31.33462282398452</v>
      </c>
    </row>
    <row r="1753" hidden="1">
      <c r="A1753" s="11" t="n">
        <v>46056</v>
      </c>
      <c r="B1753" t="inlineStr">
        <is>
          <t>Damyllis Lorraine de Oliveira Gonçalves</t>
        </is>
      </c>
      <c r="C1753" t="inlineStr">
        <is>
          <t>Técnico II</t>
        </is>
      </c>
      <c r="D1753" t="n">
        <v>38</v>
      </c>
      <c r="E1753" t="n">
        <v>34</v>
      </c>
      <c r="F1753" t="n">
        <v>18.52</v>
      </c>
      <c r="G1753" t="n">
        <v>0</v>
      </c>
      <c r="H1753" t="n">
        <v>0</v>
      </c>
      <c r="I1753" s="3" t="n">
        <v>0</v>
      </c>
      <c r="J1753" s="3" t="n">
        <v>0</v>
      </c>
      <c r="K1753" s="3" t="n">
        <v>0</v>
      </c>
      <c r="L1753" s="3">
        <f>IF(K1753&lt;-5,"CRÍTICO",IF(K1753&lt;0,"ATENÇÃO",IF(K1753&lt;=5,"BOM","EXCELENTE")))</f>
        <v/>
      </c>
      <c r="N1753" t="n">
        <v>99.16</v>
      </c>
      <c r="O1753" t="n">
        <v>26.13908872901678</v>
      </c>
    </row>
    <row r="1754" hidden="1">
      <c r="A1754" s="11" t="n">
        <v>46056</v>
      </c>
      <c r="B1754" t="inlineStr">
        <is>
          <t>Daniel Gomes da Silva</t>
        </is>
      </c>
      <c r="C1754" t="inlineStr">
        <is>
          <t>Técnico I</t>
        </is>
      </c>
      <c r="D1754" t="n">
        <v>30</v>
      </c>
      <c r="E1754" t="n">
        <v>30</v>
      </c>
      <c r="F1754" t="n">
        <v>20.3</v>
      </c>
      <c r="G1754" t="n">
        <v>0</v>
      </c>
      <c r="H1754" t="n">
        <v>0</v>
      </c>
      <c r="I1754" s="3">
        <f>E1754+G1754+H1754</f>
        <v/>
      </c>
      <c r="J1754" s="3">
        <f>ROUND(MIN(IF(C1754="Técnico III",35,IF(C1754="Técnico II",28,IF(C1754="Técnico I",23,IF(C1754="JR",20,IF(C1754="Estágio",10,0))))),IF(C1754="Técnico III",SUMIFS($D:$D,$A:$A,$A1754,$B:$B,"&lt;&gt;Patrícia Karla de Sousa Araújo",$B:$B,"&lt;&gt;Lorena Dias de Araujo",$B:$B,"&lt;&gt;Lucas Luiz Romero")*(35/1083),IF(C1754="Técnico II",SUMIFS($D:$D,$A:$A,$A1754,$B:$B,"&lt;&gt;Patrícia Karla de Sousa Araújo",$B:$B,"&lt;&gt;Lorena Dias de Araujo",$B:$B,"&lt;&gt;Lucas Luiz Romero")*(28/1083),IF(C1754="Técnico I",SUMIFS($D:$D,$A:$A,$A1754,$B:$B,"&lt;&gt;Patrícia Karla de Sousa Araújo",$B:$B,"&lt;&gt;Lorena Dias de Araujo",$B:$B,"&lt;&gt;Lucas Luiz Romero")*(23/1083),IF(C1754="JR",SUMIFS($D:$D,$A:$A,$A1754,$B:$B,"&lt;&gt;Patrícia Karla de Sousa Araújo",$B:$B,"&lt;&gt;Lorena Dias de Araujo",$B:$B,"&lt;&gt;Lucas Luiz Romero")*(20/1083),IF(C1754="Estágio",SUMIFS($D:$D,$A:$A,$A1754,$B:$B,"&lt;&gt;Patrícia Karla de Sousa Araújo",$B:$B,"&lt;&gt;Lorena Dias de Araujo",$B:$B,"&lt;&gt;Lucas Luiz Romero")*(10/1083),0)))))),0)</f>
        <v/>
      </c>
      <c r="K1754" s="3">
        <f>I1754-J1754</f>
        <v/>
      </c>
      <c r="L1754" s="3">
        <f>IF(K1754&lt;-5,"CRÍTICO",IF(K1754&lt;0,"ATENÇÃO",IF(K1754&lt;=5,"BOM","EXCELENTE")))</f>
        <v/>
      </c>
      <c r="N1754" t="n">
        <v>100</v>
      </c>
      <c r="O1754" t="n">
        <v>31.08974358974359</v>
      </c>
    </row>
    <row r="1755" hidden="1">
      <c r="A1755" s="11" t="n">
        <v>46056</v>
      </c>
      <c r="B1755" t="inlineStr">
        <is>
          <t>Davylla Rodrigues Freitas Silva</t>
        </is>
      </c>
      <c r="C1755" t="inlineStr">
        <is>
          <t>Técnico III</t>
        </is>
      </c>
      <c r="D1755" t="n">
        <v>27</v>
      </c>
      <c r="E1755" t="n">
        <v>27</v>
      </c>
      <c r="F1755" t="n">
        <v>30.21</v>
      </c>
      <c r="G1755" t="n">
        <v>0</v>
      </c>
      <c r="H1755" t="n">
        <v>0</v>
      </c>
      <c r="I1755" s="3" t="n">
        <v>0</v>
      </c>
      <c r="J1755" s="3" t="n">
        <v>0</v>
      </c>
      <c r="K1755" s="3" t="n">
        <v>0</v>
      </c>
      <c r="L1755" s="3">
        <f>IF(K1755&lt;-5,"CRÍTICO",IF(K1755&lt;0,"ATENÇÃO",IF(K1755&lt;=5,"BOM","EXCELENTE")))</f>
        <v/>
      </c>
      <c r="N1755" t="n">
        <v>98.11</v>
      </c>
      <c r="O1755" t="n">
        <v>33.03370786516854</v>
      </c>
    </row>
    <row r="1756" hidden="1">
      <c r="A1756" s="11" t="n">
        <v>46056</v>
      </c>
      <c r="B1756" t="inlineStr">
        <is>
          <t>Emilly Caylane Costa</t>
        </is>
      </c>
      <c r="C1756" t="inlineStr">
        <is>
          <t>Estágio</t>
        </is>
      </c>
      <c r="D1756" t="n">
        <v>5</v>
      </c>
      <c r="E1756" t="n">
        <v>5</v>
      </c>
      <c r="F1756" t="n">
        <v>32.15</v>
      </c>
      <c r="G1756" t="n">
        <v>0</v>
      </c>
      <c r="H1756" t="n">
        <v>0</v>
      </c>
      <c r="I1756" s="3">
        <f>E1756+G1756+H1756</f>
        <v/>
      </c>
      <c r="J1756" s="3">
        <f>ROUND(MIN(IF(C1756="Técnico III",35,IF(C1756="Técnico II",28,IF(C1756="Técnico I",23,IF(C1756="JR",20,IF(C1756="Estágio",10,0))))),IF(C1756="Técnico III",SUMIFS($D:$D,$A:$A,$A1756,$B:$B,"&lt;&gt;Patrícia Karla de Sousa Araújo",$B:$B,"&lt;&gt;Lorena Dias de Araujo",$B:$B,"&lt;&gt;Lucas Luiz Romero")*(35/1083),IF(C1756="Técnico II",SUMIFS($D:$D,$A:$A,$A1756,$B:$B,"&lt;&gt;Patrícia Karla de Sousa Araújo",$B:$B,"&lt;&gt;Lorena Dias de Araujo",$B:$B,"&lt;&gt;Lucas Luiz Romero")*(28/1083),IF(C1756="Técnico I",SUMIFS($D:$D,$A:$A,$A1756,$B:$B,"&lt;&gt;Patrícia Karla de Sousa Araújo",$B:$B,"&lt;&gt;Lorena Dias de Araujo",$B:$B,"&lt;&gt;Lucas Luiz Romero")*(23/1083),IF(C1756="JR",SUMIFS($D:$D,$A:$A,$A1756,$B:$B,"&lt;&gt;Patrícia Karla de Sousa Araújo",$B:$B,"&lt;&gt;Lorena Dias de Araujo",$B:$B,"&lt;&gt;Lucas Luiz Romero")*(20/1083),IF(C1756="Estágio",SUMIFS($D:$D,$A:$A,$A1756,$B:$B,"&lt;&gt;Patrícia Karla de Sousa Araújo",$B:$B,"&lt;&gt;Lorena Dias de Araujo",$B:$B,"&lt;&gt;Lucas Luiz Romero")*(10/1083),0)))))),0)</f>
        <v/>
      </c>
      <c r="K1756" s="3">
        <f>I1756-J1756</f>
        <v/>
      </c>
      <c r="L1756" s="3">
        <f>IF(K1756&lt;-5,"CRÍTICO",IF(K1756&lt;0,"ATENÇÃO",IF(K1756&lt;=5,"BOM","EXCELENTE")))</f>
        <v/>
      </c>
      <c r="N1756" t="n">
        <v>78.95</v>
      </c>
      <c r="O1756" t="n">
        <v>38.98305084745763</v>
      </c>
    </row>
    <row r="1757" hidden="1">
      <c r="A1757" s="11" t="n">
        <v>46056</v>
      </c>
      <c r="B1757" t="inlineStr">
        <is>
          <t>Emilly Kamilly Medeiros Miranda</t>
        </is>
      </c>
      <c r="C1757" t="inlineStr">
        <is>
          <t>Técnico II</t>
        </is>
      </c>
      <c r="D1757" t="n">
        <v>37</v>
      </c>
      <c r="E1757" t="n">
        <v>32</v>
      </c>
      <c r="F1757" t="n">
        <v>14.02</v>
      </c>
      <c r="G1757" t="n">
        <v>0</v>
      </c>
      <c r="H1757" t="n">
        <v>0</v>
      </c>
      <c r="I1757" s="3">
        <f>E1757+G1757+H1757</f>
        <v/>
      </c>
      <c r="J1757" s="3">
        <f>ROUND(MIN(IF(C1757="Técnico III",35,IF(C1757="Técnico II",28,IF(C1757="Técnico I",23,IF(C1757="JR",20,IF(C1757="Estágio",10,0))))),IF(C1757="Técnico III",SUMIFS($D:$D,$A:$A,$A1757,$B:$B,"&lt;&gt;Patrícia Karla de Sousa Araújo",$B:$B,"&lt;&gt;Lorena Dias de Araujo",$B:$B,"&lt;&gt;Lucas Luiz Romero")*(35/1083),IF(C1757="Técnico II",SUMIFS($D:$D,$A:$A,$A1757,$B:$B,"&lt;&gt;Patrícia Karla de Sousa Araújo",$B:$B,"&lt;&gt;Lorena Dias de Araujo",$B:$B,"&lt;&gt;Lucas Luiz Romero")*(28/1083),IF(C1757="Técnico I",SUMIFS($D:$D,$A:$A,$A1757,$B:$B,"&lt;&gt;Patrícia Karla de Sousa Araújo",$B:$B,"&lt;&gt;Lorena Dias de Araujo",$B:$B,"&lt;&gt;Lucas Luiz Romero")*(23/1083),IF(C1757="JR",SUMIFS($D:$D,$A:$A,$A1757,$B:$B,"&lt;&gt;Patrícia Karla de Sousa Araújo",$B:$B,"&lt;&gt;Lorena Dias de Araujo",$B:$B,"&lt;&gt;Lucas Luiz Romero")*(20/1083),IF(C1757="Estágio",SUMIFS($D:$D,$A:$A,$A1757,$B:$B,"&lt;&gt;Patrícia Karla de Sousa Araújo",$B:$B,"&lt;&gt;Lorena Dias de Araujo",$B:$B,"&lt;&gt;Lucas Luiz Romero")*(10/1083),0)))))),0)</f>
        <v/>
      </c>
      <c r="K1757" s="3">
        <f>I1757-J1757</f>
        <v/>
      </c>
      <c r="L1757" s="3">
        <f>IF(K1757&lt;-5,"CRÍTICO",IF(K1757&lt;0,"ATENÇÃO",IF(K1757&lt;=5,"BOM","EXCELENTE")))</f>
        <v/>
      </c>
      <c r="N1757" t="n">
        <v>98.45</v>
      </c>
      <c r="O1757" t="n">
        <v>29.2817679558011</v>
      </c>
    </row>
    <row r="1758" hidden="1">
      <c r="A1758" s="11" t="n">
        <v>46056</v>
      </c>
      <c r="B1758" t="inlineStr">
        <is>
          <t>Francielson de Oliveira</t>
        </is>
      </c>
      <c r="C1758" t="inlineStr">
        <is>
          <t>Técnico III</t>
        </is>
      </c>
      <c r="D1758" t="n">
        <v>32</v>
      </c>
      <c r="E1758" t="n">
        <v>29</v>
      </c>
      <c r="F1758" t="n">
        <v>13.3</v>
      </c>
      <c r="G1758" t="n">
        <v>0</v>
      </c>
      <c r="H1758" t="n">
        <v>0</v>
      </c>
      <c r="I1758" s="3">
        <f>E1758+G1758+H1758</f>
        <v/>
      </c>
      <c r="J1758" s="3">
        <f>ROUND(MIN(IF(C1758="Técnico III",35,IF(C1758="Técnico II",28,IF(C1758="Técnico I",23,IF(C1758="JR",20,IF(C1758="Estágio",10,0))))),IF(C1758="Técnico III",SUMIFS($D:$D,$A:$A,$A1758,$B:$B,"&lt;&gt;Patrícia Karla de Sousa Araújo",$B:$B,"&lt;&gt;Lorena Dias de Araujo",$B:$B,"&lt;&gt;Lucas Luiz Romero")*(35/1083),IF(C1758="Técnico II",SUMIFS($D:$D,$A:$A,$A1758,$B:$B,"&lt;&gt;Patrícia Karla de Sousa Araújo",$B:$B,"&lt;&gt;Lorena Dias de Araujo",$B:$B,"&lt;&gt;Lucas Luiz Romero")*(28/1083),IF(C1758="Técnico I",SUMIFS($D:$D,$A:$A,$A1758,$B:$B,"&lt;&gt;Patrícia Karla de Sousa Araújo",$B:$B,"&lt;&gt;Lorena Dias de Araujo",$B:$B,"&lt;&gt;Lucas Luiz Romero")*(23/1083),IF(C1758="JR",SUMIFS($D:$D,$A:$A,$A1758,$B:$B,"&lt;&gt;Patrícia Karla de Sousa Araújo",$B:$B,"&lt;&gt;Lorena Dias de Araujo",$B:$B,"&lt;&gt;Lucas Luiz Romero")*(20/1083),IF(C1758="Estágio",SUMIFS($D:$D,$A:$A,$A1758,$B:$B,"&lt;&gt;Patrícia Karla de Sousa Araújo",$B:$B,"&lt;&gt;Lorena Dias de Araujo",$B:$B,"&lt;&gt;Lucas Luiz Romero")*(10/1083),0)))))),0)</f>
        <v/>
      </c>
      <c r="K1758" s="3">
        <f>I1758-J1758</f>
        <v/>
      </c>
      <c r="L1758" s="3">
        <f>IF(K1758&lt;-5,"CRÍTICO",IF(K1758&lt;0,"ATENÇÃO",IF(K1758&lt;=5,"BOM","EXCELENTE")))</f>
        <v/>
      </c>
      <c r="N1758" t="n">
        <v>97.84</v>
      </c>
      <c r="O1758" t="n">
        <v>26.28205128205128</v>
      </c>
    </row>
    <row r="1759" hidden="1">
      <c r="A1759" s="11" t="n">
        <v>46056</v>
      </c>
      <c r="B1759" t="inlineStr">
        <is>
          <t>Francilene Ferreira de Jesus</t>
        </is>
      </c>
      <c r="C1759" t="inlineStr">
        <is>
          <t>Técnico II</t>
        </is>
      </c>
      <c r="D1759" t="n">
        <v>55</v>
      </c>
      <c r="E1759" t="n">
        <v>52</v>
      </c>
      <c r="F1759" t="n">
        <v>12.32</v>
      </c>
      <c r="G1759" t="n">
        <v>0</v>
      </c>
      <c r="H1759" t="n">
        <v>0</v>
      </c>
      <c r="I1759" s="3">
        <f>E1759+G1759+H1759</f>
        <v/>
      </c>
      <c r="J1759" s="3">
        <f>ROUND(MIN(IF(C1759="Técnico III",35,IF(C1759="Técnico II",28,IF(C1759="Técnico I",23,IF(C1759="JR",20,IF(C1759="Estágio",10,0))))),IF(C1759="Técnico III",SUMIFS($D:$D,$A:$A,$A1759,$B:$B,"&lt;&gt;Patrícia Karla de Sousa Araújo",$B:$B,"&lt;&gt;Lorena Dias de Araujo",$B:$B,"&lt;&gt;Lucas Luiz Romero")*(35/1083),IF(C1759="Técnico II",SUMIFS($D:$D,$A:$A,$A1759,$B:$B,"&lt;&gt;Patrícia Karla de Sousa Araújo",$B:$B,"&lt;&gt;Lorena Dias de Araujo",$B:$B,"&lt;&gt;Lucas Luiz Romero")*(28/1083),IF(C1759="Técnico I",SUMIFS($D:$D,$A:$A,$A1759,$B:$B,"&lt;&gt;Patrícia Karla de Sousa Araújo",$B:$B,"&lt;&gt;Lorena Dias de Araujo",$B:$B,"&lt;&gt;Lucas Luiz Romero")*(23/1083),IF(C1759="JR",SUMIFS($D:$D,$A:$A,$A1759,$B:$B,"&lt;&gt;Patrícia Karla de Sousa Araújo",$B:$B,"&lt;&gt;Lorena Dias de Araujo",$B:$B,"&lt;&gt;Lucas Luiz Romero")*(20/1083),IF(C1759="Estágio",SUMIFS($D:$D,$A:$A,$A1759,$B:$B,"&lt;&gt;Patrícia Karla de Sousa Araújo",$B:$B,"&lt;&gt;Lorena Dias de Araujo",$B:$B,"&lt;&gt;Lucas Luiz Romero")*(10/1083),0)))))),0)</f>
        <v/>
      </c>
      <c r="K1759" s="3">
        <f>I1759-J1759</f>
        <v/>
      </c>
      <c r="L1759" s="3">
        <f>IF(K1759&lt;-5,"CRÍTICO",IF(K1759&lt;0,"ATENÇÃO",IF(K1759&lt;=5,"BOM","EXCELENTE")))</f>
        <v/>
      </c>
      <c r="N1759" t="n">
        <v>98.5</v>
      </c>
      <c r="O1759" t="n">
        <v>23.97769516728625</v>
      </c>
    </row>
    <row r="1760" hidden="1">
      <c r="A1760" s="11" t="n">
        <v>46090</v>
      </c>
      <c r="B1760" t="inlineStr">
        <is>
          <t>Gabriel Gomes de Andrade</t>
        </is>
      </c>
      <c r="C1760" t="inlineStr">
        <is>
          <t>Técnico I</t>
        </is>
      </c>
      <c r="D1760" t="n">
        <v>31</v>
      </c>
      <c r="E1760" t="n">
        <v>29</v>
      </c>
      <c r="F1760" t="n">
        <v>18.33</v>
      </c>
      <c r="G1760" t="n">
        <v>0</v>
      </c>
      <c r="H1760" t="n">
        <v>0</v>
      </c>
      <c r="I1760" s="3">
        <f>E1760+G1760+H1760</f>
        <v/>
      </c>
      <c r="J1760" s="3">
        <f>ROUND(MIN(IF(C1760="Técnico III",35,IF(C1760="Técnico II",28,IF(C1760="Técnico I",23,IF(C1760="JR",20,IF(C1760="Estágio",10,0))))),IF(C1760="Técnico III",SUMIFS($D:$D,$A:$A,$A1760,$B:$B,"&lt;&gt;Patrícia Karla de Sousa Araújo",$B:$B,"&lt;&gt;Lorena Dias de Araujo",$B:$B,"&lt;&gt;Lucas Luiz Romero")*(35/1083),IF(C1760="Técnico II",SUMIFS($D:$D,$A:$A,$A1760,$B:$B,"&lt;&gt;Patrícia Karla de Sousa Araújo",$B:$B,"&lt;&gt;Lorena Dias de Araujo",$B:$B,"&lt;&gt;Lucas Luiz Romero")*(28/1083),IF(C1760="Técnico I",SUMIFS($D:$D,$A:$A,$A1760,$B:$B,"&lt;&gt;Patrícia Karla de Sousa Araújo",$B:$B,"&lt;&gt;Lorena Dias de Araujo",$B:$B,"&lt;&gt;Lucas Luiz Romero")*(23/1083),IF(C1760="JR",SUMIFS($D:$D,$A:$A,$A1760,$B:$B,"&lt;&gt;Patrícia Karla de Sousa Araújo",$B:$B,"&lt;&gt;Lorena Dias de Araujo",$B:$B,"&lt;&gt;Lucas Luiz Romero")*(20/1083),IF(C1760="Estágio",SUMIFS($D:$D,$A:$A,$A1760,$B:$B,"&lt;&gt;Patrícia Karla de Sousa Araújo",$B:$B,"&lt;&gt;Lorena Dias de Araujo",$B:$B,"&lt;&gt;Lucas Luiz Romero")*(10/1083),0)))))),0)</f>
        <v/>
      </c>
      <c r="K1760" s="3">
        <f>I1760-J1760</f>
        <v/>
      </c>
      <c r="L1760" s="3">
        <f>IF(K1760&lt;-5,"CRÍTICO",IF(K1760&lt;0,"ATENÇÃO",IF(K1760&lt;=5,"BOM","EXCELENTE")))</f>
        <v/>
      </c>
      <c r="N1760" t="n">
        <v>99.05</v>
      </c>
      <c r="O1760" t="n">
        <v>26.62192393736018</v>
      </c>
    </row>
    <row r="1761" hidden="1">
      <c r="A1761" s="11" t="n">
        <v>46056</v>
      </c>
      <c r="B1761" t="inlineStr">
        <is>
          <t>Isabella Borges de Oliveira</t>
        </is>
      </c>
      <c r="C1761" t="inlineStr">
        <is>
          <t>Técnico II</t>
        </is>
      </c>
      <c r="D1761" t="n">
        <v>31</v>
      </c>
      <c r="E1761" t="n">
        <v>30</v>
      </c>
      <c r="F1761" t="n">
        <v>22.33</v>
      </c>
      <c r="G1761" t="n">
        <v>0</v>
      </c>
      <c r="H1761" t="n">
        <v>0</v>
      </c>
      <c r="I1761" s="3">
        <f>E1761+G1761+H1761</f>
        <v/>
      </c>
      <c r="J1761" s="3">
        <f>ROUND(MIN(IF(C1761="Técnico III",35,IF(C1761="Técnico II",28,IF(C1761="Técnico I",23,IF(C1761="JR",20,IF(C1761="Estágio",10,0))))),IF(C1761="Técnico III",SUMIFS($D:$D,$A:$A,$A1761,$B:$B,"&lt;&gt;Patrícia Karla de Sousa Araújo",$B:$B,"&lt;&gt;Lorena Dias de Araujo",$B:$B,"&lt;&gt;Lucas Luiz Romero")*(35/1083),IF(C1761="Técnico II",SUMIFS($D:$D,$A:$A,$A1761,$B:$B,"&lt;&gt;Patrícia Karla de Sousa Araújo",$B:$B,"&lt;&gt;Lorena Dias de Araujo",$B:$B,"&lt;&gt;Lucas Luiz Romero")*(28/1083),IF(C1761="Técnico I",SUMIFS($D:$D,$A:$A,$A1761,$B:$B,"&lt;&gt;Patrícia Karla de Sousa Araújo",$B:$B,"&lt;&gt;Lorena Dias de Araujo",$B:$B,"&lt;&gt;Lucas Luiz Romero")*(23/1083),IF(C1761="JR",SUMIFS($D:$D,$A:$A,$A1761,$B:$B,"&lt;&gt;Patrícia Karla de Sousa Araújo",$B:$B,"&lt;&gt;Lorena Dias de Araujo",$B:$B,"&lt;&gt;Lucas Luiz Romero")*(20/1083),IF(C1761="Estágio",SUMIFS($D:$D,$A:$A,$A1761,$B:$B,"&lt;&gt;Patrícia Karla de Sousa Araújo",$B:$B,"&lt;&gt;Lorena Dias de Araujo",$B:$B,"&lt;&gt;Lucas Luiz Romero")*(10/1083),0)))))),0)</f>
        <v/>
      </c>
      <c r="K1761" s="3">
        <f>I1761-J1761</f>
        <v/>
      </c>
      <c r="L1761" s="3">
        <f>IF(K1761&lt;-5,"CRÍTICO",IF(K1761&lt;0,"ATENÇÃO",IF(K1761&lt;=5,"BOM","EXCELENTE")))</f>
        <v/>
      </c>
      <c r="N1761" t="n">
        <v>98.53</v>
      </c>
      <c r="O1761" t="n">
        <v>31.57894736842105</v>
      </c>
    </row>
    <row r="1762" hidden="1">
      <c r="A1762" s="11" t="n">
        <v>46056</v>
      </c>
      <c r="B1762" t="inlineStr">
        <is>
          <t>Janaina Lima dos Reis Urany</t>
        </is>
      </c>
      <c r="C1762" t="inlineStr">
        <is>
          <t>Técnico III</t>
        </is>
      </c>
      <c r="D1762" t="n">
        <v>49</v>
      </c>
      <c r="E1762" t="n">
        <v>45</v>
      </c>
      <c r="F1762" t="n">
        <v>15.21</v>
      </c>
      <c r="G1762" t="n">
        <v>0</v>
      </c>
      <c r="H1762" t="n">
        <v>0</v>
      </c>
      <c r="I1762" s="3">
        <f>E1762+G1762+H1762</f>
        <v/>
      </c>
      <c r="J1762" s="3">
        <f>ROUND(MIN(IF(C1762="Técnico III",35,IF(C1762="Técnico II",28,IF(C1762="Técnico I",23,IF(C1762="JR",20,IF(C1762="Estágio",10,0))))),IF(C1762="Técnico III",SUMIFS($D:$D,$A:$A,$A1762,$B:$B,"&lt;&gt;Patrícia Karla de Sousa Araújo",$B:$B,"&lt;&gt;Lorena Dias de Araujo",$B:$B,"&lt;&gt;Lucas Luiz Romero")*(35/1083),IF(C1762="Técnico II",SUMIFS($D:$D,$A:$A,$A1762,$B:$B,"&lt;&gt;Patrícia Karla de Sousa Araújo",$B:$B,"&lt;&gt;Lorena Dias de Araujo",$B:$B,"&lt;&gt;Lucas Luiz Romero")*(28/1083),IF(C1762="Técnico I",SUMIFS($D:$D,$A:$A,$A1762,$B:$B,"&lt;&gt;Patrícia Karla de Sousa Araújo",$B:$B,"&lt;&gt;Lorena Dias de Araujo",$B:$B,"&lt;&gt;Lucas Luiz Romero")*(23/1083),IF(C1762="JR",SUMIFS($D:$D,$A:$A,$A1762,$B:$B,"&lt;&gt;Patrícia Karla de Sousa Araújo",$B:$B,"&lt;&gt;Lorena Dias de Araujo",$B:$B,"&lt;&gt;Lucas Luiz Romero")*(20/1083),IF(C1762="Estágio",SUMIFS($D:$D,$A:$A,$A1762,$B:$B,"&lt;&gt;Patrícia Karla de Sousa Araújo",$B:$B,"&lt;&gt;Lorena Dias de Araujo",$B:$B,"&lt;&gt;Lucas Luiz Romero")*(10/1083),0)))))),0)</f>
        <v/>
      </c>
      <c r="K1762" s="3">
        <f>I1762-J1762</f>
        <v/>
      </c>
      <c r="L1762" s="3">
        <f>IF(K1762&lt;-5,"CRÍTICO",IF(K1762&lt;0,"ATENÇÃO",IF(K1762&lt;=5,"BOM","EXCELENTE")))</f>
        <v/>
      </c>
      <c r="N1762" t="n">
        <v>100</v>
      </c>
      <c r="O1762" t="n">
        <v>25.72214580467676</v>
      </c>
    </row>
    <row r="1763" hidden="1">
      <c r="A1763" s="11" t="n">
        <v>46056</v>
      </c>
      <c r="B1763" t="inlineStr">
        <is>
          <t>Jaqueline Evangelista da Silva Martins</t>
        </is>
      </c>
      <c r="C1763" t="inlineStr">
        <is>
          <t>Técnico III</t>
        </is>
      </c>
      <c r="D1763" t="n">
        <v>49</v>
      </c>
      <c r="E1763" t="n">
        <v>43</v>
      </c>
      <c r="F1763" t="n">
        <v>10.43</v>
      </c>
      <c r="G1763" t="n">
        <v>0</v>
      </c>
      <c r="H1763" t="n">
        <v>0</v>
      </c>
      <c r="I1763" s="3">
        <f>E1763+G1763+H1763</f>
        <v/>
      </c>
      <c r="J1763" s="3">
        <f>ROUND(MIN(IF(C1763="Técnico III",35,IF(C1763="Técnico II",28,IF(C1763="Técnico I",23,IF(C1763="JR",20,IF(C1763="Estágio",10,0))))),IF(C1763="Técnico III",SUMIFS($D:$D,$A:$A,$A1763,$B:$B,"&lt;&gt;Patrícia Karla de Sousa Araújo",$B:$B,"&lt;&gt;Lorena Dias de Araujo",$B:$B,"&lt;&gt;Lucas Luiz Romero")*(35/1083),IF(C1763="Técnico II",SUMIFS($D:$D,$A:$A,$A1763,$B:$B,"&lt;&gt;Patrícia Karla de Sousa Araújo",$B:$B,"&lt;&gt;Lorena Dias de Araujo",$B:$B,"&lt;&gt;Lucas Luiz Romero")*(28/1083),IF(C1763="Técnico I",SUMIFS($D:$D,$A:$A,$A1763,$B:$B,"&lt;&gt;Patrícia Karla de Sousa Araújo",$B:$B,"&lt;&gt;Lorena Dias de Araujo",$B:$B,"&lt;&gt;Lucas Luiz Romero")*(23/1083),IF(C1763="JR",SUMIFS($D:$D,$A:$A,$A1763,$B:$B,"&lt;&gt;Patrícia Karla de Sousa Araújo",$B:$B,"&lt;&gt;Lorena Dias de Araujo",$B:$B,"&lt;&gt;Lucas Luiz Romero")*(20/1083),IF(C1763="Estágio",SUMIFS($D:$D,$A:$A,$A1763,$B:$B,"&lt;&gt;Patrícia Karla de Sousa Araújo",$B:$B,"&lt;&gt;Lorena Dias de Araujo",$B:$B,"&lt;&gt;Lucas Luiz Romero")*(10/1083),0)))))),0)</f>
        <v/>
      </c>
      <c r="K1763" s="3">
        <f>I1763-J1763</f>
        <v/>
      </c>
      <c r="L1763" s="3">
        <f>IF(K1763&lt;-5,"CRÍTICO",IF(K1763&lt;0,"ATENÇÃO",IF(K1763&lt;=5,"BOM","EXCELENTE")))</f>
        <v/>
      </c>
      <c r="N1763" t="n">
        <v>94.64</v>
      </c>
      <c r="O1763" t="n">
        <v>27.52941176470588</v>
      </c>
    </row>
    <row r="1764" hidden="1">
      <c r="A1764" s="11" t="n">
        <v>46056</v>
      </c>
      <c r="B1764" t="inlineStr">
        <is>
          <t>Jessica Faria da Silveira</t>
        </is>
      </c>
      <c r="C1764" t="inlineStr">
        <is>
          <t>Técnico II</t>
        </is>
      </c>
      <c r="D1764" t="n">
        <v>34</v>
      </c>
      <c r="E1764" t="n">
        <v>30</v>
      </c>
      <c r="F1764" t="n">
        <v>14.19</v>
      </c>
      <c r="G1764" t="n">
        <v>0</v>
      </c>
      <c r="H1764" t="n">
        <v>0</v>
      </c>
      <c r="I1764" s="3">
        <f>E1764+G1764+H1764</f>
        <v/>
      </c>
      <c r="J1764" s="3">
        <f>ROUND(MIN(IF(C1764="Técnico III",35,IF(C1764="Técnico II",28,IF(C1764="Técnico I",23,IF(C1764="JR",20,IF(C1764="Estágio",10,0))))),IF(C1764="Técnico III",SUMIFS($D:$D,$A:$A,$A1764,$B:$B,"&lt;&gt;Patrícia Karla de Sousa Araújo",$B:$B,"&lt;&gt;Lorena Dias de Araujo",$B:$B,"&lt;&gt;Lucas Luiz Romero")*(35/1083),IF(C1764="Técnico II",SUMIFS($D:$D,$A:$A,$A1764,$B:$B,"&lt;&gt;Patrícia Karla de Sousa Araújo",$B:$B,"&lt;&gt;Lorena Dias de Araujo",$B:$B,"&lt;&gt;Lucas Luiz Romero")*(28/1083),IF(C1764="Técnico I",SUMIFS($D:$D,$A:$A,$A1764,$B:$B,"&lt;&gt;Patrícia Karla de Sousa Araújo",$B:$B,"&lt;&gt;Lorena Dias de Araujo",$B:$B,"&lt;&gt;Lucas Luiz Romero")*(23/1083),IF(C1764="JR",SUMIFS($D:$D,$A:$A,$A1764,$B:$B,"&lt;&gt;Patrícia Karla de Sousa Araújo",$B:$B,"&lt;&gt;Lorena Dias de Araujo",$B:$B,"&lt;&gt;Lucas Luiz Romero")*(20/1083),IF(C1764="Estágio",SUMIFS($D:$D,$A:$A,$A1764,$B:$B,"&lt;&gt;Patrícia Karla de Sousa Araújo",$B:$B,"&lt;&gt;Lorena Dias de Araujo",$B:$B,"&lt;&gt;Lucas Luiz Romero")*(10/1083),0)))))),0)</f>
        <v/>
      </c>
      <c r="K1764" s="3">
        <f>I1764-J1764</f>
        <v/>
      </c>
      <c r="L1764" s="3">
        <f>IF(K1764&lt;-5,"CRÍTICO",IF(K1764&lt;0,"ATENÇÃO",IF(K1764&lt;=5,"BOM","EXCELENTE")))</f>
        <v/>
      </c>
      <c r="N1764" t="n">
        <v>99.06999999999999</v>
      </c>
      <c r="O1764" t="n">
        <v>26.3768115942029</v>
      </c>
    </row>
    <row r="1765" hidden="1">
      <c r="A1765" s="11" t="n">
        <v>46056</v>
      </c>
      <c r="B1765" t="inlineStr">
        <is>
          <t>Jéssica Fé Moura</t>
        </is>
      </c>
      <c r="C1765" t="inlineStr">
        <is>
          <t>Técnico III</t>
        </is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s="3" t="n">
        <v>0</v>
      </c>
      <c r="J1765" s="3" t="n">
        <v>0</v>
      </c>
      <c r="K1765" s="3" t="n">
        <v>0</v>
      </c>
      <c r="L1765" s="3">
        <f>IF(K1765&lt;-5,"CRÍTICO",IF(K1765&lt;0,"ATENÇÃO",IF(K1765&lt;=5,"BOM","EXCELENTE")))</f>
        <v/>
      </c>
      <c r="N1765" t="n">
        <v>100</v>
      </c>
      <c r="O1765" t="n">
        <v>0</v>
      </c>
    </row>
    <row r="1766" hidden="1">
      <c r="A1766" s="11" t="n">
        <v>46056</v>
      </c>
      <c r="B1766" t="inlineStr">
        <is>
          <t>Karina Gonçalves Martins</t>
        </is>
      </c>
      <c r="C1766" t="inlineStr">
        <is>
          <t>JR</t>
        </is>
      </c>
      <c r="D1766" t="n">
        <v>14</v>
      </c>
      <c r="E1766" t="n">
        <v>13</v>
      </c>
      <c r="F1766" t="n">
        <v>20.53</v>
      </c>
      <c r="G1766" t="n">
        <v>0</v>
      </c>
      <c r="H1766" t="n">
        <v>0</v>
      </c>
      <c r="I1766" s="3">
        <f>E1766+G1766+H1766</f>
        <v/>
      </c>
      <c r="J1766" s="3">
        <f>ROUND(MIN(IF(C1766="Técnico III",35,IF(C1766="Técnico II",28,IF(C1766="Técnico I",23,IF(C1766="JR",20,IF(C1766="Estágio",10,0))))),IF(C1766="Técnico III",SUMIFS($D:$D,$A:$A,$A1766,$B:$B,"&lt;&gt;Patrícia Karla de Sousa Araújo",$B:$B,"&lt;&gt;Lorena Dias de Araujo",$B:$B,"&lt;&gt;Lucas Luiz Romero")*(35/1083),IF(C1766="Técnico II",SUMIFS($D:$D,$A:$A,$A1766,$B:$B,"&lt;&gt;Patrícia Karla de Sousa Araújo",$B:$B,"&lt;&gt;Lorena Dias de Araujo",$B:$B,"&lt;&gt;Lucas Luiz Romero")*(28/1083),IF(C1766="Técnico I",SUMIFS($D:$D,$A:$A,$A1766,$B:$B,"&lt;&gt;Patrícia Karla de Sousa Araújo",$B:$B,"&lt;&gt;Lorena Dias de Araujo",$B:$B,"&lt;&gt;Lucas Luiz Romero")*(23/1083),IF(C1766="JR",SUMIFS($D:$D,$A:$A,$A1766,$B:$B,"&lt;&gt;Patrícia Karla de Sousa Araújo",$B:$B,"&lt;&gt;Lorena Dias de Araujo",$B:$B,"&lt;&gt;Lucas Luiz Romero")*(20/1083),IF(C1766="Estágio",SUMIFS($D:$D,$A:$A,$A1766,$B:$B,"&lt;&gt;Patrícia Karla de Sousa Araújo",$B:$B,"&lt;&gt;Lorena Dias de Araujo",$B:$B,"&lt;&gt;Lucas Luiz Romero")*(10/1083),0)))))),0)</f>
        <v/>
      </c>
      <c r="K1766" s="3">
        <f>I1766-J1766</f>
        <v/>
      </c>
      <c r="L1766" s="3">
        <f>IF(K1766&lt;-5,"CRÍTICO",IF(K1766&lt;0,"ATENÇÃO",IF(K1766&lt;=5,"BOM","EXCELENTE")))</f>
        <v/>
      </c>
      <c r="N1766" t="n">
        <v>98.48</v>
      </c>
      <c r="O1766" t="n">
        <v>27.85388127853881</v>
      </c>
    </row>
    <row r="1767" hidden="1">
      <c r="A1767" s="11" t="n">
        <v>46056</v>
      </c>
      <c r="B1767" t="inlineStr">
        <is>
          <t>Kerollen Cristielly de Jesus Siqueira</t>
        </is>
      </c>
      <c r="C1767" t="inlineStr">
        <is>
          <t>Técnico III</t>
        </is>
      </c>
      <c r="D1767" t="n">
        <v>13</v>
      </c>
      <c r="E1767" t="n">
        <v>12</v>
      </c>
      <c r="F1767" t="n">
        <v>48.45</v>
      </c>
      <c r="G1767" t="n">
        <v>0</v>
      </c>
      <c r="H1767" t="n">
        <v>0</v>
      </c>
      <c r="I1767" s="3">
        <f>E1767+G1767+H1767</f>
        <v/>
      </c>
      <c r="J1767" s="3">
        <f>ROUND(MIN(IF(C1767="Técnico III",35,IF(C1767="Técnico II",28,IF(C1767="Técnico I",23,IF(C1767="JR",20,IF(C1767="Estágio",10,0))))),IF(C1767="Técnico III",SUMIFS($D:$D,$A:$A,$A1767,$B:$B,"&lt;&gt;Patrícia Karla de Sousa Araújo",$B:$B,"&lt;&gt;Lorena Dias de Araujo",$B:$B,"&lt;&gt;Lucas Luiz Romero")*(35/1083),IF(C1767="Técnico II",SUMIFS($D:$D,$A:$A,$A1767,$B:$B,"&lt;&gt;Patrícia Karla de Sousa Araújo",$B:$B,"&lt;&gt;Lorena Dias de Araujo",$B:$B,"&lt;&gt;Lucas Luiz Romero")*(28/1083),IF(C1767="Técnico I",SUMIFS($D:$D,$A:$A,$A1767,$B:$B,"&lt;&gt;Patrícia Karla de Sousa Araújo",$B:$B,"&lt;&gt;Lorena Dias de Araujo",$B:$B,"&lt;&gt;Lucas Luiz Romero")*(23/1083),IF(C1767="JR",SUMIFS($D:$D,$A:$A,$A1767,$B:$B,"&lt;&gt;Patrícia Karla de Sousa Araújo",$B:$B,"&lt;&gt;Lorena Dias de Araujo",$B:$B,"&lt;&gt;Lucas Luiz Romero")*(20/1083),IF(C1767="Estágio",SUMIFS($D:$D,$A:$A,$A1767,$B:$B,"&lt;&gt;Patrícia Karla de Sousa Araújo",$B:$B,"&lt;&gt;Lorena Dias de Araujo",$B:$B,"&lt;&gt;Lucas Luiz Romero")*(10/1083),0)))))),0)</f>
        <v/>
      </c>
      <c r="K1767" s="3">
        <f>I1767-J1767</f>
        <v/>
      </c>
      <c r="L1767" s="3">
        <f>IF(K1767&lt;-5,"CRÍTICO",IF(K1767&lt;0,"ATENÇÃO",IF(K1767&lt;=5,"BOM","EXCELENTE")))</f>
        <v/>
      </c>
      <c r="N1767" t="n">
        <v>95.15000000000001</v>
      </c>
      <c r="O1767" t="n">
        <v>34.13173652694611</v>
      </c>
    </row>
    <row r="1768" hidden="1">
      <c r="A1768" s="11" t="n">
        <v>46056</v>
      </c>
      <c r="B1768" t="inlineStr">
        <is>
          <t>Leandro de Souza Silva</t>
        </is>
      </c>
      <c r="C1768" t="inlineStr">
        <is>
          <t>JR</t>
        </is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s="3" t="n">
        <v>0</v>
      </c>
      <c r="J1768" s="3" t="n">
        <v>0</v>
      </c>
      <c r="K1768" s="3" t="n">
        <v>0</v>
      </c>
      <c r="L1768" s="3">
        <f>IF(K1768&lt;-5,"CRÍTICO",IF(K1768&lt;0,"ATENÇÃO",IF(K1768&lt;=5,"BOM","EXCELENTE")))</f>
        <v/>
      </c>
      <c r="N1768" t="n">
        <v>0</v>
      </c>
      <c r="O1768" t="n">
        <v>0</v>
      </c>
    </row>
    <row r="1769" hidden="1">
      <c r="A1769" s="11" t="n">
        <v>46056</v>
      </c>
      <c r="B1769" t="inlineStr">
        <is>
          <t>Leandro Oliveira de Sousa</t>
        </is>
      </c>
      <c r="C1769" t="inlineStr">
        <is>
          <t>Técnico III</t>
        </is>
      </c>
      <c r="D1769" t="n">
        <v>26</v>
      </c>
      <c r="E1769" t="n">
        <v>25</v>
      </c>
      <c r="F1769" t="n">
        <v>22.08</v>
      </c>
      <c r="G1769" t="n">
        <v>0</v>
      </c>
      <c r="H1769" t="n">
        <v>0</v>
      </c>
      <c r="I1769" s="3">
        <f>E1769+G1769+H1769</f>
        <v/>
      </c>
      <c r="J1769" s="3">
        <f>ROUND(MIN(IF(C1769="Técnico III",35,IF(C1769="Técnico II",28,IF(C1769="Técnico I",23,IF(C1769="JR",20,IF(C1769="Estágio",10,0))))),IF(C1769="Técnico III",SUMIFS($D:$D,$A:$A,$A1769,$B:$B,"&lt;&gt;Patrícia Karla de Sousa Araújo",$B:$B,"&lt;&gt;Lorena Dias de Araujo",$B:$B,"&lt;&gt;Lucas Luiz Romero")*(35/1083),IF(C1769="Técnico II",SUMIFS($D:$D,$A:$A,$A1769,$B:$B,"&lt;&gt;Patrícia Karla de Sousa Araújo",$B:$B,"&lt;&gt;Lorena Dias de Araujo",$B:$B,"&lt;&gt;Lucas Luiz Romero")*(28/1083),IF(C1769="Técnico I",SUMIFS($D:$D,$A:$A,$A1769,$B:$B,"&lt;&gt;Patrícia Karla de Sousa Araújo",$B:$B,"&lt;&gt;Lorena Dias de Araujo",$B:$B,"&lt;&gt;Lucas Luiz Romero")*(23/1083),IF(C1769="JR",SUMIFS($D:$D,$A:$A,$A1769,$B:$B,"&lt;&gt;Patrícia Karla de Sousa Araújo",$B:$B,"&lt;&gt;Lorena Dias de Araujo",$B:$B,"&lt;&gt;Lucas Luiz Romero")*(20/1083),IF(C1769="Estágio",SUMIFS($D:$D,$A:$A,$A1769,$B:$B,"&lt;&gt;Patrícia Karla de Sousa Araújo",$B:$B,"&lt;&gt;Lorena Dias de Araujo",$B:$B,"&lt;&gt;Lucas Luiz Romero")*(10/1083),0)))))),0)</f>
        <v/>
      </c>
      <c r="K1769" s="3">
        <f>I1769-J1769</f>
        <v/>
      </c>
      <c r="L1769" s="3">
        <f>IF(K1769&lt;-5,"CRÍTICO",IF(K1769&lt;0,"ATENÇÃO",IF(K1769&lt;=5,"BOM","EXCELENTE")))</f>
        <v/>
      </c>
      <c r="N1769" t="n">
        <v>99.26000000000001</v>
      </c>
      <c r="O1769" t="n">
        <v>30.84832904884319</v>
      </c>
    </row>
    <row r="1770" hidden="1">
      <c r="A1770" s="11" t="n">
        <v>46056</v>
      </c>
      <c r="B1770" t="inlineStr">
        <is>
          <t>Lizandra Gomes Duarte</t>
        </is>
      </c>
      <c r="C1770" t="inlineStr">
        <is>
          <t>Técnico II</t>
        </is>
      </c>
      <c r="D1770" t="n">
        <v>43</v>
      </c>
      <c r="E1770" t="n">
        <v>37</v>
      </c>
      <c r="F1770" t="n">
        <v>17.19</v>
      </c>
      <c r="G1770" t="n">
        <v>0</v>
      </c>
      <c r="H1770" t="n">
        <v>0</v>
      </c>
      <c r="I1770" s="3">
        <f>E1770+G1770+H1770</f>
        <v/>
      </c>
      <c r="J1770" s="3">
        <f>ROUND(MIN(IF(C1770="Técnico III",35,IF(C1770="Técnico II",28,IF(C1770="Técnico I",23,IF(C1770="JR",20,IF(C1770="Estágio",10,0))))),IF(C1770="Técnico III",SUMIFS($D:$D,$A:$A,$A1770,$B:$B,"&lt;&gt;Patrícia Karla de Sousa Araújo",$B:$B,"&lt;&gt;Lorena Dias de Araujo",$B:$B,"&lt;&gt;Lucas Luiz Romero")*(35/1083),IF(C1770="Técnico II",SUMIFS($D:$D,$A:$A,$A1770,$B:$B,"&lt;&gt;Patrícia Karla de Sousa Araújo",$B:$B,"&lt;&gt;Lorena Dias de Araujo",$B:$B,"&lt;&gt;Lucas Luiz Romero")*(28/1083),IF(C1770="Técnico I",SUMIFS($D:$D,$A:$A,$A1770,$B:$B,"&lt;&gt;Patrícia Karla de Sousa Araújo",$B:$B,"&lt;&gt;Lorena Dias de Araujo",$B:$B,"&lt;&gt;Lucas Luiz Romero")*(23/1083),IF(C1770="JR",SUMIFS($D:$D,$A:$A,$A1770,$B:$B,"&lt;&gt;Patrícia Karla de Sousa Araújo",$B:$B,"&lt;&gt;Lorena Dias de Araujo",$B:$B,"&lt;&gt;Lucas Luiz Romero")*(20/1083),IF(C1770="Estágio",SUMIFS($D:$D,$A:$A,$A1770,$B:$B,"&lt;&gt;Patrícia Karla de Sousa Araújo",$B:$B,"&lt;&gt;Lorena Dias de Araujo",$B:$B,"&lt;&gt;Lucas Luiz Romero")*(10/1083),0)))))),0)</f>
        <v/>
      </c>
      <c r="K1770" s="3">
        <f>I1770-J1770</f>
        <v/>
      </c>
      <c r="L1770" s="3">
        <f>IF(K1770&lt;-5,"CRÍTICO",IF(K1770&lt;0,"ATENÇÃO",IF(K1770&lt;=5,"BOM","EXCELENTE")))</f>
        <v/>
      </c>
      <c r="N1770" t="n">
        <v>97.48</v>
      </c>
      <c r="O1770" t="n">
        <v>27.76470588235294</v>
      </c>
    </row>
    <row r="1771" hidden="1">
      <c r="A1771" s="11" t="n">
        <v>46056</v>
      </c>
      <c r="B1771" t="inlineStr">
        <is>
          <t>Lorena Dias de Araujo</t>
        </is>
      </c>
      <c r="C1771" t="inlineStr">
        <is>
          <t>Técnico II</t>
        </is>
      </c>
      <c r="D1771" t="n">
        <v>33</v>
      </c>
      <c r="E1771" t="n">
        <v>32</v>
      </c>
      <c r="F1771" t="n">
        <v>19.14</v>
      </c>
      <c r="G1771" t="n">
        <v>0</v>
      </c>
      <c r="H1771" t="n">
        <v>0</v>
      </c>
      <c r="I1771" s="3" t="n">
        <v>0</v>
      </c>
      <c r="J1771" s="3" t="n">
        <v>0</v>
      </c>
      <c r="K1771" s="3" t="n">
        <v>0</v>
      </c>
      <c r="L1771" s="3">
        <f>IF(K1771&lt;-5,"CRÍTICO",IF(K1771&lt;0,"ATENÇÃO",IF(K1771&lt;=5,"BOM","EXCELENTE")))</f>
        <v/>
      </c>
      <c r="N1771" t="n">
        <v>99.34</v>
      </c>
      <c r="O1771" t="n">
        <v>30.04291845493562</v>
      </c>
    </row>
    <row r="1772" hidden="1">
      <c r="A1772" s="11" t="n">
        <v>46056</v>
      </c>
      <c r="B1772" t="inlineStr">
        <is>
          <t>Lucas Luiz Romero</t>
        </is>
      </c>
      <c r="C1772" t="inlineStr">
        <is>
          <t>Técnico III</t>
        </is>
      </c>
      <c r="D1772" t="n">
        <v>12</v>
      </c>
      <c r="E1772" t="n">
        <v>8</v>
      </c>
      <c r="F1772" t="n">
        <v>12.11</v>
      </c>
      <c r="G1772" t="n">
        <v>0</v>
      </c>
      <c r="H1772" t="n">
        <v>0</v>
      </c>
      <c r="I1772" s="3">
        <f>E1772+G1772+H1772</f>
        <v/>
      </c>
      <c r="J1772" s="3">
        <f>ROUND(MIN(IF(C1772="Técnico III",35,IF(C1772="Técnico II",28,IF(C1772="Técnico I",23,IF(C1772="JR",20,IF(C1772="Estágio",10,0))))),IF(C1772="Técnico III",SUMIFS($D:$D,$A:$A,$A1772,$B:$B,"&lt;&gt;Patrícia Karla de Sousa Araújo",$B:$B,"&lt;&gt;Lorena Dias de Araujo",$B:$B,"&lt;&gt;Lucas Luiz Romero")*(35/1083),IF(C1772="Técnico II",SUMIFS($D:$D,$A:$A,$A1772,$B:$B,"&lt;&gt;Patrícia Karla de Sousa Araújo",$B:$B,"&lt;&gt;Lorena Dias de Araujo",$B:$B,"&lt;&gt;Lucas Luiz Romero")*(28/1083),IF(C1772="Técnico I",SUMIFS($D:$D,$A:$A,$A1772,$B:$B,"&lt;&gt;Patrícia Karla de Sousa Araújo",$B:$B,"&lt;&gt;Lorena Dias de Araujo",$B:$B,"&lt;&gt;Lucas Luiz Romero")*(23/1083),IF(C1772="JR",SUMIFS($D:$D,$A:$A,$A1772,$B:$B,"&lt;&gt;Patrícia Karla de Sousa Araújo",$B:$B,"&lt;&gt;Lorena Dias de Araujo",$B:$B,"&lt;&gt;Lucas Luiz Romero")*(20/1083),IF(C1772="Estágio",SUMIFS($D:$D,$A:$A,$A1772,$B:$B,"&lt;&gt;Patrícia Karla de Sousa Araújo",$B:$B,"&lt;&gt;Lorena Dias de Araujo",$B:$B,"&lt;&gt;Lucas Luiz Romero")*(10/1083),0)))))),0)</f>
        <v/>
      </c>
      <c r="K1772" s="3">
        <f>I1772-J1772</f>
        <v/>
      </c>
      <c r="L1772" s="3">
        <f>IF(K1772&lt;-5,"CRÍTICO",IF(K1772&lt;0,"ATENÇÃO",IF(K1772&lt;=5,"BOM","EXCELENTE")))</f>
        <v/>
      </c>
      <c r="N1772" t="n">
        <v>96.3</v>
      </c>
      <c r="O1772" t="n">
        <v>24.29378531073446</v>
      </c>
    </row>
    <row r="1773" hidden="1">
      <c r="A1773" s="11" t="n">
        <v>46056</v>
      </c>
      <c r="B1773" t="inlineStr">
        <is>
          <t>Luiz Fernando de Carvalho Junior</t>
        </is>
      </c>
      <c r="C1773" t="inlineStr">
        <is>
          <t>Técnico I</t>
        </is>
      </c>
      <c r="D1773" t="n">
        <v>25</v>
      </c>
      <c r="E1773" t="n">
        <v>24</v>
      </c>
      <c r="F1773" t="n">
        <v>27.39</v>
      </c>
      <c r="G1773" t="n">
        <v>0</v>
      </c>
      <c r="H1773" t="n">
        <v>0</v>
      </c>
      <c r="I1773" s="3">
        <f>E1773+G1773+H1773</f>
        <v/>
      </c>
      <c r="J1773" s="3">
        <f>ROUND(MIN(IF(C1773="Técnico III",35,IF(C1773="Técnico II",28,IF(C1773="Técnico I",23,IF(C1773="JR",20,IF(C1773="Estágio",10,0))))),IF(C1773="Técnico III",SUMIFS($D:$D,$A:$A,$A1773,$B:$B,"&lt;&gt;Patrícia Karla de Sousa Araújo",$B:$B,"&lt;&gt;Lorena Dias de Araujo",$B:$B,"&lt;&gt;Lucas Luiz Romero")*(35/1083),IF(C1773="Técnico II",SUMIFS($D:$D,$A:$A,$A1773,$B:$B,"&lt;&gt;Patrícia Karla de Sousa Araújo",$B:$B,"&lt;&gt;Lorena Dias de Araujo",$B:$B,"&lt;&gt;Lucas Luiz Romero")*(28/1083),IF(C1773="Técnico I",SUMIFS($D:$D,$A:$A,$A1773,$B:$B,"&lt;&gt;Patrícia Karla de Sousa Araújo",$B:$B,"&lt;&gt;Lorena Dias de Araujo",$B:$B,"&lt;&gt;Lucas Luiz Romero")*(23/1083),IF(C1773="JR",SUMIFS($D:$D,$A:$A,$A1773,$B:$B,"&lt;&gt;Patrícia Karla de Sousa Araújo",$B:$B,"&lt;&gt;Lorena Dias de Araujo",$B:$B,"&lt;&gt;Lucas Luiz Romero")*(20/1083),IF(C1773="Estágio",SUMIFS($D:$D,$A:$A,$A1773,$B:$B,"&lt;&gt;Patrícia Karla de Sousa Araújo",$B:$B,"&lt;&gt;Lorena Dias de Araujo",$B:$B,"&lt;&gt;Lucas Luiz Romero")*(10/1083),0)))))),0)</f>
        <v/>
      </c>
      <c r="K1773" s="3">
        <f>I1773-J1773</f>
        <v/>
      </c>
      <c r="L1773" s="3">
        <f>IF(K1773&lt;-5,"CRÍTICO",IF(K1773&lt;0,"ATENÇÃO",IF(K1773&lt;=5,"BOM","EXCELENTE")))</f>
        <v/>
      </c>
      <c r="N1773" t="n">
        <v>100</v>
      </c>
      <c r="O1773" t="n">
        <v>26.54320987654321</v>
      </c>
    </row>
    <row r="1774" hidden="1">
      <c r="A1774" s="11" t="n">
        <v>46056</v>
      </c>
      <c r="B1774" t="inlineStr">
        <is>
          <t>Maria Eduarda Sousa Costa</t>
        </is>
      </c>
      <c r="C1774" t="inlineStr">
        <is>
          <t>Estágio</t>
        </is>
      </c>
      <c r="D1774" t="n">
        <v>5</v>
      </c>
      <c r="E1774" t="n">
        <v>4</v>
      </c>
      <c r="F1774" t="n">
        <v>65.09999999999999</v>
      </c>
      <c r="G1774" t="n">
        <v>0</v>
      </c>
      <c r="H1774" t="n">
        <v>0</v>
      </c>
      <c r="I1774" s="3">
        <f>E1774+G1774+H1774</f>
        <v/>
      </c>
      <c r="J1774" s="3">
        <f>ROUND(MIN(IF(C1774="Técnico III",35,IF(C1774="Técnico II",28,IF(C1774="Técnico I",23,IF(C1774="JR",20,IF(C1774="Estágio",10,0))))),IF(C1774="Técnico III",SUMIFS($D:$D,$A:$A,$A1774,$B:$B,"&lt;&gt;Patrícia Karla de Sousa Araújo",$B:$B,"&lt;&gt;Lorena Dias de Araujo",$B:$B,"&lt;&gt;Lucas Luiz Romero")*(35/1083),IF(C1774="Técnico II",SUMIFS($D:$D,$A:$A,$A1774,$B:$B,"&lt;&gt;Patrícia Karla de Sousa Araújo",$B:$B,"&lt;&gt;Lorena Dias de Araujo",$B:$B,"&lt;&gt;Lucas Luiz Romero")*(28/1083),IF(C1774="Técnico I",SUMIFS($D:$D,$A:$A,$A1774,$B:$B,"&lt;&gt;Patrícia Karla de Sousa Araújo",$B:$B,"&lt;&gt;Lorena Dias de Araujo",$B:$B,"&lt;&gt;Lucas Luiz Romero")*(23/1083),IF(C1774="JR",SUMIFS($D:$D,$A:$A,$A1774,$B:$B,"&lt;&gt;Patrícia Karla de Sousa Araújo",$B:$B,"&lt;&gt;Lorena Dias de Araujo",$B:$B,"&lt;&gt;Lucas Luiz Romero")*(20/1083),IF(C1774="Estágio",SUMIFS($D:$D,$A:$A,$A1774,$B:$B,"&lt;&gt;Patrícia Karla de Sousa Araújo",$B:$B,"&lt;&gt;Lorena Dias de Araujo",$B:$B,"&lt;&gt;Lucas Luiz Romero")*(10/1083),0)))))),0)</f>
        <v/>
      </c>
      <c r="K1774" s="3">
        <f>I1774-J1774</f>
        <v/>
      </c>
      <c r="L1774" s="3">
        <f>IF(K1774&lt;-5,"CRÍTICO",IF(K1774&lt;0,"ATENÇÃO",IF(K1774&lt;=5,"BOM","EXCELENTE")))</f>
        <v/>
      </c>
      <c r="N1774" t="n">
        <v>100</v>
      </c>
      <c r="O1774" t="n">
        <v>35.48387096774194</v>
      </c>
    </row>
    <row r="1775" hidden="1">
      <c r="A1775" s="11" t="n">
        <v>46056</v>
      </c>
      <c r="B1775" t="inlineStr">
        <is>
          <t>Matheus Farias De Souza</t>
        </is>
      </c>
      <c r="C1775" t="inlineStr">
        <is>
          <t>Técnico III</t>
        </is>
      </c>
      <c r="D1775" t="n">
        <v>30</v>
      </c>
      <c r="E1775" t="n">
        <v>27</v>
      </c>
      <c r="F1775" t="n">
        <v>20.57</v>
      </c>
      <c r="G1775" t="n">
        <v>0</v>
      </c>
      <c r="H1775" t="n">
        <v>0</v>
      </c>
      <c r="I1775" s="3">
        <f>E1775+G1775+H1775</f>
        <v/>
      </c>
      <c r="J1775" s="3">
        <f>ROUND(MIN(IF(C1775="Técnico III",35,IF(C1775="Técnico II",28,IF(C1775="Técnico I",23,IF(C1775="JR",20,IF(C1775="Estágio",10,0))))),IF(C1775="Técnico III",SUMIFS($D:$D,$A:$A,$A1775,$B:$B,"&lt;&gt;Patrícia Karla de Sousa Araújo",$B:$B,"&lt;&gt;Lorena Dias de Araujo",$B:$B,"&lt;&gt;Lucas Luiz Romero")*(35/1083),IF(C1775="Técnico II",SUMIFS($D:$D,$A:$A,$A1775,$B:$B,"&lt;&gt;Patrícia Karla de Sousa Araújo",$B:$B,"&lt;&gt;Lorena Dias de Araujo",$B:$B,"&lt;&gt;Lucas Luiz Romero")*(28/1083),IF(C1775="Técnico I",SUMIFS($D:$D,$A:$A,$A1775,$B:$B,"&lt;&gt;Patrícia Karla de Sousa Araújo",$B:$B,"&lt;&gt;Lorena Dias de Araujo",$B:$B,"&lt;&gt;Lucas Luiz Romero")*(23/1083),IF(C1775="JR",SUMIFS($D:$D,$A:$A,$A1775,$B:$B,"&lt;&gt;Patrícia Karla de Sousa Araújo",$B:$B,"&lt;&gt;Lorena Dias de Araujo",$B:$B,"&lt;&gt;Lucas Luiz Romero")*(20/1083),IF(C1775="Estágio",SUMIFS($D:$D,$A:$A,$A1775,$B:$B,"&lt;&gt;Patrícia Karla de Sousa Araújo",$B:$B,"&lt;&gt;Lorena Dias de Araujo",$B:$B,"&lt;&gt;Lucas Luiz Romero")*(10/1083),0)))))),0)</f>
        <v/>
      </c>
      <c r="K1775" s="3">
        <f>I1775-J1775</f>
        <v/>
      </c>
      <c r="L1775" s="3">
        <f>IF(K1775&lt;-5,"CRÍTICO",IF(K1775&lt;0,"ATENÇÃO",IF(K1775&lt;=5,"BOM","EXCELENTE")))</f>
        <v/>
      </c>
      <c r="N1775" t="n">
        <v>99.27</v>
      </c>
      <c r="O1775" t="n">
        <v>31.16370808678501</v>
      </c>
    </row>
    <row r="1776" hidden="1">
      <c r="A1776" s="11" t="n">
        <v>46056</v>
      </c>
      <c r="B1776" t="inlineStr">
        <is>
          <t>Maysa Victoria Dias Moura</t>
        </is>
      </c>
      <c r="C1776" t="inlineStr">
        <is>
          <t>Técnico III</t>
        </is>
      </c>
      <c r="D1776" t="n">
        <v>46</v>
      </c>
      <c r="E1776" t="n">
        <v>44</v>
      </c>
      <c r="F1776" t="n">
        <v>16.49</v>
      </c>
      <c r="G1776" t="n">
        <v>0</v>
      </c>
      <c r="H1776" t="n">
        <v>0</v>
      </c>
      <c r="I1776" s="3">
        <f>E1776+G1776+H1776</f>
        <v/>
      </c>
      <c r="J1776" s="3">
        <f>ROUND(MIN(IF(C1776="Técnico III",35,IF(C1776="Técnico II",28,IF(C1776="Técnico I",23,IF(C1776="JR",20,IF(C1776="Estágio",10,0))))),IF(C1776="Técnico III",SUMIFS($D:$D,$A:$A,$A1776,$B:$B,"&lt;&gt;Patrícia Karla de Sousa Araújo",$B:$B,"&lt;&gt;Lorena Dias de Araujo",$B:$B,"&lt;&gt;Lucas Luiz Romero")*(35/1083),IF(C1776="Técnico II",SUMIFS($D:$D,$A:$A,$A1776,$B:$B,"&lt;&gt;Patrícia Karla de Sousa Araújo",$B:$B,"&lt;&gt;Lorena Dias de Araujo",$B:$B,"&lt;&gt;Lucas Luiz Romero")*(28/1083),IF(C1776="Técnico I",SUMIFS($D:$D,$A:$A,$A1776,$B:$B,"&lt;&gt;Patrícia Karla de Sousa Araújo",$B:$B,"&lt;&gt;Lorena Dias de Araujo",$B:$B,"&lt;&gt;Lucas Luiz Romero")*(23/1083),IF(C1776="JR",SUMIFS($D:$D,$A:$A,$A1776,$B:$B,"&lt;&gt;Patrícia Karla de Sousa Araújo",$B:$B,"&lt;&gt;Lorena Dias de Araujo",$B:$B,"&lt;&gt;Lucas Luiz Romero")*(20/1083),IF(C1776="Estágio",SUMIFS($D:$D,$A:$A,$A1776,$B:$B,"&lt;&gt;Patrícia Karla de Sousa Araújo",$B:$B,"&lt;&gt;Lorena Dias de Araujo",$B:$B,"&lt;&gt;Lucas Luiz Romero")*(10/1083),0)))))),0)</f>
        <v/>
      </c>
      <c r="K1776" s="3">
        <f>I1776-J1776</f>
        <v/>
      </c>
      <c r="L1776" s="3">
        <f>IF(K1776&lt;-5,"CRÍTICO",IF(K1776&lt;0,"ATENÇÃO",IF(K1776&lt;=5,"BOM","EXCELENTE")))</f>
        <v/>
      </c>
      <c r="N1776" t="n">
        <v>94.16</v>
      </c>
      <c r="O1776" t="n">
        <v>27.03862660944206</v>
      </c>
    </row>
    <row r="1777" hidden="1">
      <c r="A1777" s="11" t="n">
        <v>46056</v>
      </c>
      <c r="B1777" t="inlineStr">
        <is>
          <t>Michelle G Santos</t>
        </is>
      </c>
      <c r="C1777" t="inlineStr">
        <is>
          <t>Estágio</t>
        </is>
      </c>
      <c r="D1777" t="n">
        <v>12</v>
      </c>
      <c r="E1777" t="n">
        <v>11</v>
      </c>
      <c r="F1777" t="n">
        <v>56.49</v>
      </c>
      <c r="G1777" t="n">
        <v>0</v>
      </c>
      <c r="H1777" t="n">
        <v>0</v>
      </c>
      <c r="I1777" s="3">
        <f>E1777+G1777+H1777</f>
        <v/>
      </c>
      <c r="J1777" s="3">
        <f>ROUND(MIN(IF(C1777="Técnico III",35,IF(C1777="Técnico II",28,IF(C1777="Técnico I",23,IF(C1777="JR",20,IF(C1777="Estágio",10,0))))),IF(C1777="Técnico III",SUMIFS($D:$D,$A:$A,$A1777,$B:$B,"&lt;&gt;Patrícia Karla de Sousa Araújo",$B:$B,"&lt;&gt;Lorena Dias de Araujo",$B:$B,"&lt;&gt;Lucas Luiz Romero")*(35/1083),IF(C1777="Técnico II",SUMIFS($D:$D,$A:$A,$A1777,$B:$B,"&lt;&gt;Patrícia Karla de Sousa Araújo",$B:$B,"&lt;&gt;Lorena Dias de Araujo",$B:$B,"&lt;&gt;Lucas Luiz Romero")*(28/1083),IF(C1777="Técnico I",SUMIFS($D:$D,$A:$A,$A1777,$B:$B,"&lt;&gt;Patrícia Karla de Sousa Araújo",$B:$B,"&lt;&gt;Lorena Dias de Araujo",$B:$B,"&lt;&gt;Lucas Luiz Romero")*(23/1083),IF(C1777="JR",SUMIFS($D:$D,$A:$A,$A1777,$B:$B,"&lt;&gt;Patrícia Karla de Sousa Araújo",$B:$B,"&lt;&gt;Lorena Dias de Araujo",$B:$B,"&lt;&gt;Lucas Luiz Romero")*(20/1083),IF(C1777="Estágio",SUMIFS($D:$D,$A:$A,$A1777,$B:$B,"&lt;&gt;Patrícia Karla de Sousa Araújo",$B:$B,"&lt;&gt;Lorena Dias de Araujo",$B:$B,"&lt;&gt;Lucas Luiz Romero")*(10/1083),0)))))),0)</f>
        <v/>
      </c>
      <c r="K1777" s="3">
        <f>I1777-J1777</f>
        <v/>
      </c>
      <c r="L1777" s="3">
        <f>IF(K1777&lt;-5,"CRÍTICO",IF(K1777&lt;0,"ATENÇÃO",IF(K1777&lt;=5,"BOM","EXCELENTE")))</f>
        <v/>
      </c>
      <c r="N1777" t="n">
        <v>93.75</v>
      </c>
      <c r="O1777" t="n">
        <v>19.31818181818182</v>
      </c>
    </row>
    <row r="1778" hidden="1">
      <c r="A1778" s="11" t="n">
        <v>46056</v>
      </c>
      <c r="B1778" t="inlineStr">
        <is>
          <t>Milena Sales</t>
        </is>
      </c>
      <c r="C1778" t="inlineStr">
        <is>
          <t>JR</t>
        </is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s="3" t="n">
        <v>0</v>
      </c>
      <c r="J1778" s="3" t="n">
        <v>0</v>
      </c>
      <c r="K1778" s="3" t="n">
        <v>0</v>
      </c>
      <c r="L1778" s="3">
        <f>IF(K1778&lt;-5,"CRÍTICO",IF(K1778&lt;0,"ATENÇÃO",IF(K1778&lt;=5,"BOM","EXCELENTE")))</f>
        <v/>
      </c>
      <c r="N1778" t="n">
        <v>0</v>
      </c>
      <c r="O1778" t="n">
        <v>0</v>
      </c>
    </row>
    <row r="1779" hidden="1">
      <c r="A1779" s="11" t="n">
        <v>46056</v>
      </c>
      <c r="B1779" t="inlineStr">
        <is>
          <t>Patrícia Karla de Sousa Araújo</t>
        </is>
      </c>
      <c r="C1779" t="inlineStr">
        <is>
          <t>Técnico II</t>
        </is>
      </c>
      <c r="D1779" t="n">
        <v>32</v>
      </c>
      <c r="E1779" t="n">
        <v>32</v>
      </c>
      <c r="F1779" t="n">
        <v>20.25</v>
      </c>
      <c r="G1779" t="n">
        <v>0</v>
      </c>
      <c r="H1779" t="n">
        <v>0</v>
      </c>
      <c r="I1779" s="3">
        <f>E1779+G1779+H1779</f>
        <v/>
      </c>
      <c r="J1779" s="3">
        <f>ROUND(MIN(IF(C1779="Técnico III",35,IF(C1779="Técnico II",28,IF(C1779="Técnico I",23,IF(C1779="JR",20,IF(C1779="Estágio",10,0))))),IF(C1779="Técnico III",SUMIFS($D:$D,$A:$A,$A1779,$B:$B,"&lt;&gt;Patrícia Karla de Sousa Araújo",$B:$B,"&lt;&gt;Lorena Dias de Araujo",$B:$B,"&lt;&gt;Lucas Luiz Romero")*(35/1083),IF(C1779="Técnico II",SUMIFS($D:$D,$A:$A,$A1779,$B:$B,"&lt;&gt;Patrícia Karla de Sousa Araújo",$B:$B,"&lt;&gt;Lorena Dias de Araujo",$B:$B,"&lt;&gt;Lucas Luiz Romero")*(28/1083),IF(C1779="Técnico I",SUMIFS($D:$D,$A:$A,$A1779,$B:$B,"&lt;&gt;Patrícia Karla de Sousa Araújo",$B:$B,"&lt;&gt;Lorena Dias de Araujo",$B:$B,"&lt;&gt;Lucas Luiz Romero")*(23/1083),IF(C1779="JR",SUMIFS($D:$D,$A:$A,$A1779,$B:$B,"&lt;&gt;Patrícia Karla de Sousa Araújo",$B:$B,"&lt;&gt;Lorena Dias de Araujo",$B:$B,"&lt;&gt;Lucas Luiz Romero")*(20/1083),IF(C1779="Estágio",SUMIFS($D:$D,$A:$A,$A1779,$B:$B,"&lt;&gt;Patrícia Karla de Sousa Araújo",$B:$B,"&lt;&gt;Lorena Dias de Araujo",$B:$B,"&lt;&gt;Lucas Luiz Romero")*(10/1083),0)))))),0)</f>
        <v/>
      </c>
      <c r="K1779" s="3">
        <f>I1779-J1779</f>
        <v/>
      </c>
      <c r="L1779" s="3">
        <f>IF(K1779&lt;-5,"CRÍTICO",IF(K1779&lt;0,"ATENÇÃO",IF(K1779&lt;=5,"BOM","EXCELENTE")))</f>
        <v/>
      </c>
      <c r="N1779" t="n">
        <v>97.92</v>
      </c>
      <c r="O1779" t="n">
        <v>32.87671232876712</v>
      </c>
    </row>
    <row r="1780" hidden="1">
      <c r="A1780" s="11" t="n">
        <v>46056</v>
      </c>
      <c r="B1780" t="inlineStr">
        <is>
          <t>Paulo Ricardo Santos</t>
        </is>
      </c>
      <c r="C1780" t="inlineStr">
        <is>
          <t>JR</t>
        </is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s="3" t="n">
        <v>0</v>
      </c>
      <c r="J1780" s="3" t="n">
        <v>0</v>
      </c>
      <c r="K1780" s="3" t="n">
        <v>0</v>
      </c>
      <c r="L1780" s="3">
        <f>IF(K1780&lt;-5,"CRÍTICO",IF(K1780&lt;0,"ATENÇÃO",IF(K1780&lt;=5,"BOM","EXCELENTE")))</f>
        <v/>
      </c>
      <c r="N1780" t="n">
        <v>0</v>
      </c>
      <c r="O1780" t="n">
        <v>0</v>
      </c>
    </row>
    <row r="1781" hidden="1">
      <c r="A1781" s="11" t="n">
        <v>46056</v>
      </c>
      <c r="B1781" t="inlineStr">
        <is>
          <t>Pedro Luiz Mota Sousa</t>
        </is>
      </c>
      <c r="C1781" t="inlineStr">
        <is>
          <t>JR</t>
        </is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s="3" t="n">
        <v>0</v>
      </c>
      <c r="J1781" s="3" t="n">
        <v>0</v>
      </c>
      <c r="K1781" s="3" t="n">
        <v>0</v>
      </c>
      <c r="L1781" s="3">
        <f>IF(K1781&lt;-5,"CRÍTICO",IF(K1781&lt;0,"ATENÇÃO",IF(K1781&lt;=5,"BOM","EXCELENTE")))</f>
        <v/>
      </c>
      <c r="N1781" t="n">
        <v>0</v>
      </c>
      <c r="O1781" t="n">
        <v>0</v>
      </c>
    </row>
    <row r="1782" hidden="1">
      <c r="A1782" s="11" t="n">
        <v>46056</v>
      </c>
      <c r="B1782" t="inlineStr">
        <is>
          <t>Quirino Diogo Leite Torres</t>
        </is>
      </c>
      <c r="C1782" t="inlineStr">
        <is>
          <t>Estágio</t>
        </is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s="3" t="n">
        <v>0</v>
      </c>
      <c r="J1782" s="3" t="n">
        <v>0</v>
      </c>
      <c r="K1782" s="3" t="n">
        <v>0</v>
      </c>
      <c r="L1782" s="3">
        <f>IF(K1782&lt;-5,"CRÍTICO",IF(K1782&lt;0,"ATENÇÃO",IF(K1782&lt;=5,"BOM","EXCELENTE")))</f>
        <v/>
      </c>
      <c r="N1782" t="n">
        <v>0</v>
      </c>
      <c r="O1782" t="n">
        <v>0</v>
      </c>
    </row>
    <row r="1783" hidden="1">
      <c r="A1783" s="11" t="n">
        <v>46056</v>
      </c>
      <c r="B1783" t="inlineStr">
        <is>
          <t>Raane Batista Matos</t>
        </is>
      </c>
      <c r="C1783" t="inlineStr">
        <is>
          <t>Técnico I</t>
        </is>
      </c>
      <c r="D1783" t="n">
        <v>20</v>
      </c>
      <c r="E1783" t="n">
        <v>17</v>
      </c>
      <c r="F1783" t="n">
        <v>30</v>
      </c>
      <c r="G1783" t="n">
        <v>0</v>
      </c>
      <c r="H1783" t="n">
        <v>0</v>
      </c>
      <c r="I1783" s="3">
        <f>E1783+G1783+H1783</f>
        <v/>
      </c>
      <c r="J1783" s="3">
        <f>ROUND(MIN(IF(C1783="Técnico III",35,IF(C1783="Técnico II",28,IF(C1783="Técnico I",23,IF(C1783="JR",20,IF(C1783="Estágio",10,0))))),IF(C1783="Técnico III",SUMIFS($D:$D,$A:$A,$A1783,$B:$B,"&lt;&gt;Patrícia Karla de Sousa Araújo",$B:$B,"&lt;&gt;Lorena Dias de Araujo",$B:$B,"&lt;&gt;Lucas Luiz Romero")*(35/1083),IF(C1783="Técnico II",SUMIFS($D:$D,$A:$A,$A1783,$B:$B,"&lt;&gt;Patrícia Karla de Sousa Araújo",$B:$B,"&lt;&gt;Lorena Dias de Araujo",$B:$B,"&lt;&gt;Lucas Luiz Romero")*(28/1083),IF(C1783="Técnico I",SUMIFS($D:$D,$A:$A,$A1783,$B:$B,"&lt;&gt;Patrícia Karla de Sousa Araújo",$B:$B,"&lt;&gt;Lorena Dias de Araujo",$B:$B,"&lt;&gt;Lucas Luiz Romero")*(23/1083),IF(C1783="JR",SUMIFS($D:$D,$A:$A,$A1783,$B:$B,"&lt;&gt;Patrícia Karla de Sousa Araújo",$B:$B,"&lt;&gt;Lorena Dias de Araujo",$B:$B,"&lt;&gt;Lucas Luiz Romero")*(20/1083),IF(C1783="Estágio",SUMIFS($D:$D,$A:$A,$A1783,$B:$B,"&lt;&gt;Patrícia Karla de Sousa Araújo",$B:$B,"&lt;&gt;Lorena Dias de Araujo",$B:$B,"&lt;&gt;Lucas Luiz Romero")*(10/1083),0)))))),0)</f>
        <v/>
      </c>
      <c r="K1783" s="3">
        <f>I1783-J1783</f>
        <v/>
      </c>
      <c r="L1783" s="3">
        <f>IF(K1783&lt;-5,"CRÍTICO",IF(K1783&lt;0,"ATENÇÃO",IF(K1783&lt;=5,"BOM","EXCELENTE")))</f>
        <v/>
      </c>
      <c r="N1783" t="n">
        <v>98.51000000000001</v>
      </c>
      <c r="O1783" t="n">
        <v>29.71014492753623</v>
      </c>
    </row>
    <row r="1784" hidden="1">
      <c r="A1784" s="11" t="n">
        <v>46056</v>
      </c>
      <c r="B1784" t="inlineStr">
        <is>
          <t>Rafael Gomes de Morais</t>
        </is>
      </c>
      <c r="C1784" t="inlineStr">
        <is>
          <t>Técnico III</t>
        </is>
      </c>
      <c r="D1784" t="n">
        <v>36</v>
      </c>
      <c r="E1784" t="n">
        <v>33</v>
      </c>
      <c r="F1784" t="n">
        <v>12.38</v>
      </c>
      <c r="G1784" t="n">
        <v>0</v>
      </c>
      <c r="H1784" t="n">
        <v>0</v>
      </c>
      <c r="I1784" s="3">
        <f>E1784+G1784+H1784</f>
        <v/>
      </c>
      <c r="J1784" s="3">
        <f>ROUND(MIN(IF(C1784="Técnico III",35,IF(C1784="Técnico II",28,IF(C1784="Técnico I",23,IF(C1784="JR",20,IF(C1784="Estágio",10,0))))),IF(C1784="Técnico III",SUMIFS($D:$D,$A:$A,$A1784,$B:$B,"&lt;&gt;Patrícia Karla de Sousa Araújo",$B:$B,"&lt;&gt;Lorena Dias de Araujo",$B:$B,"&lt;&gt;Lucas Luiz Romero")*(35/1083),IF(C1784="Técnico II",SUMIFS($D:$D,$A:$A,$A1784,$B:$B,"&lt;&gt;Patrícia Karla de Sousa Araújo",$B:$B,"&lt;&gt;Lorena Dias de Araujo",$B:$B,"&lt;&gt;Lucas Luiz Romero")*(28/1083),IF(C1784="Técnico I",SUMIFS($D:$D,$A:$A,$A1784,$B:$B,"&lt;&gt;Patrícia Karla de Sousa Araújo",$B:$B,"&lt;&gt;Lorena Dias de Araujo",$B:$B,"&lt;&gt;Lucas Luiz Romero")*(23/1083),IF(C1784="JR",SUMIFS($D:$D,$A:$A,$A1784,$B:$B,"&lt;&gt;Patrícia Karla de Sousa Araújo",$B:$B,"&lt;&gt;Lorena Dias de Araujo",$B:$B,"&lt;&gt;Lucas Luiz Romero")*(20/1083),IF(C1784="Estágio",SUMIFS($D:$D,$A:$A,$A1784,$B:$B,"&lt;&gt;Patrícia Karla de Sousa Araújo",$B:$B,"&lt;&gt;Lorena Dias de Araujo",$B:$B,"&lt;&gt;Lucas Luiz Romero")*(10/1083),0)))))),0)</f>
        <v/>
      </c>
      <c r="K1784" s="3">
        <f>I1784-J1784</f>
        <v/>
      </c>
      <c r="L1784" s="3">
        <f>IF(K1784&lt;-5,"CRÍTICO",IF(K1784&lt;0,"ATENÇÃO",IF(K1784&lt;=5,"BOM","EXCELENTE")))</f>
        <v/>
      </c>
      <c r="N1784" t="n">
        <v>98.81</v>
      </c>
      <c r="O1784" t="n">
        <v>30.71297989031079</v>
      </c>
    </row>
    <row r="1785" hidden="1">
      <c r="A1785" s="11" t="n">
        <v>46056</v>
      </c>
      <c r="B1785" t="inlineStr">
        <is>
          <t>Sara Maria Monteiro Lopes</t>
        </is>
      </c>
      <c r="C1785" t="inlineStr">
        <is>
          <t>Técnico I</t>
        </is>
      </c>
      <c r="D1785" t="n">
        <v>13</v>
      </c>
      <c r="E1785" t="n">
        <v>12</v>
      </c>
      <c r="F1785" t="n">
        <v>45.3</v>
      </c>
      <c r="G1785" t="n">
        <v>0</v>
      </c>
      <c r="H1785" t="n">
        <v>0</v>
      </c>
      <c r="I1785" s="3">
        <f>E1785+G1785+H1785</f>
        <v/>
      </c>
      <c r="J1785" s="3">
        <f>ROUND(MIN(IF(C1785="Técnico III",35,IF(C1785="Técnico II",28,IF(C1785="Técnico I",23,IF(C1785="JR",20,IF(C1785="Estágio",10,0))))),IF(C1785="Técnico III",SUMIFS($D:$D,$A:$A,$A1785,$B:$B,"&lt;&gt;Patrícia Karla de Sousa Araújo",$B:$B,"&lt;&gt;Lorena Dias de Araujo",$B:$B,"&lt;&gt;Lucas Luiz Romero")*(35/1083),IF(C1785="Técnico II",SUMIFS($D:$D,$A:$A,$A1785,$B:$B,"&lt;&gt;Patrícia Karla de Sousa Araújo",$B:$B,"&lt;&gt;Lorena Dias de Araujo",$B:$B,"&lt;&gt;Lucas Luiz Romero")*(28/1083),IF(C1785="Técnico I",SUMIFS($D:$D,$A:$A,$A1785,$B:$B,"&lt;&gt;Patrícia Karla de Sousa Araújo",$B:$B,"&lt;&gt;Lorena Dias de Araujo",$B:$B,"&lt;&gt;Lucas Luiz Romero")*(23/1083),IF(C1785="JR",SUMIFS($D:$D,$A:$A,$A1785,$B:$B,"&lt;&gt;Patrícia Karla de Sousa Araújo",$B:$B,"&lt;&gt;Lorena Dias de Araujo",$B:$B,"&lt;&gt;Lucas Luiz Romero")*(20/1083),IF(C1785="Estágio",SUMIFS($D:$D,$A:$A,$A1785,$B:$B,"&lt;&gt;Patrícia Karla de Sousa Araújo",$B:$B,"&lt;&gt;Lorena Dias de Araujo",$B:$B,"&lt;&gt;Lucas Luiz Romero")*(10/1083),0)))))),0)</f>
        <v/>
      </c>
      <c r="K1785" s="3">
        <f>I1785-J1785</f>
        <v/>
      </c>
      <c r="L1785" s="3">
        <f>IF(K1785&lt;-5,"CRÍTICO",IF(K1785&lt;0,"ATENÇÃO",IF(K1785&lt;=5,"BOM","EXCELENTE")))</f>
        <v/>
      </c>
      <c r="N1785" t="n">
        <v>98.48</v>
      </c>
      <c r="O1785" t="n">
        <v>29.35323383084577</v>
      </c>
    </row>
    <row r="1786" hidden="1">
      <c r="A1786" s="11" t="n">
        <v>46056</v>
      </c>
      <c r="B1786" t="inlineStr">
        <is>
          <t>Sarah Steffanie de Lima Borges</t>
        </is>
      </c>
      <c r="C1786" t="inlineStr">
        <is>
          <t>Técnico III</t>
        </is>
      </c>
      <c r="D1786" t="n">
        <v>37</v>
      </c>
      <c r="E1786" t="n">
        <v>34</v>
      </c>
      <c r="F1786" t="n">
        <v>15.41</v>
      </c>
      <c r="G1786" t="n">
        <v>0</v>
      </c>
      <c r="H1786" t="n">
        <v>0</v>
      </c>
      <c r="I1786" s="3">
        <f>E1786+G1786+H1786</f>
        <v/>
      </c>
      <c r="J1786" s="3">
        <f>ROUND(MIN(IF(C1786="Técnico III",35,IF(C1786="Técnico II",28,IF(C1786="Técnico I",23,IF(C1786="JR",20,IF(C1786="Estágio",10,0))))),IF(C1786="Técnico III",SUMIFS($D:$D,$A:$A,$A1786,$B:$B,"&lt;&gt;Patrícia Karla de Sousa Araújo",$B:$B,"&lt;&gt;Lorena Dias de Araujo",$B:$B,"&lt;&gt;Lucas Luiz Romero")*(35/1083),IF(C1786="Técnico II",SUMIFS($D:$D,$A:$A,$A1786,$B:$B,"&lt;&gt;Patrícia Karla de Sousa Araújo",$B:$B,"&lt;&gt;Lorena Dias de Araujo",$B:$B,"&lt;&gt;Lucas Luiz Romero")*(28/1083),IF(C1786="Técnico I",SUMIFS($D:$D,$A:$A,$A1786,$B:$B,"&lt;&gt;Patrícia Karla de Sousa Araújo",$B:$B,"&lt;&gt;Lorena Dias de Araujo",$B:$B,"&lt;&gt;Lucas Luiz Romero")*(23/1083),IF(C1786="JR",SUMIFS($D:$D,$A:$A,$A1786,$B:$B,"&lt;&gt;Patrícia Karla de Sousa Araújo",$B:$B,"&lt;&gt;Lorena Dias de Araujo",$B:$B,"&lt;&gt;Lucas Luiz Romero")*(20/1083),IF(C1786="Estágio",SUMIFS($D:$D,$A:$A,$A1786,$B:$B,"&lt;&gt;Patrícia Karla de Sousa Araújo",$B:$B,"&lt;&gt;Lorena Dias de Araujo",$B:$B,"&lt;&gt;Lucas Luiz Romero")*(10/1083),0)))))),0)</f>
        <v/>
      </c>
      <c r="K1786" s="3">
        <f>I1786-J1786</f>
        <v/>
      </c>
      <c r="L1786" s="3">
        <f>IF(K1786&lt;-5,"CRÍTICO",IF(K1786&lt;0,"ATENÇÃO",IF(K1786&lt;=5,"BOM","EXCELENTE")))</f>
        <v/>
      </c>
      <c r="N1786" t="n">
        <v>98.56</v>
      </c>
      <c r="O1786" t="n">
        <v>29.37365010799136</v>
      </c>
    </row>
    <row r="1787" hidden="1">
      <c r="A1787" s="11" t="n">
        <v>46057</v>
      </c>
      <c r="B1787" t="inlineStr">
        <is>
          <t>Alisson de Freitas Silva</t>
        </is>
      </c>
      <c r="C1787" t="inlineStr">
        <is>
          <t>Técnico II</t>
        </is>
      </c>
      <c r="D1787" t="n">
        <v>26</v>
      </c>
      <c r="E1787" t="n">
        <v>26</v>
      </c>
      <c r="F1787" t="n">
        <v>21.59</v>
      </c>
      <c r="G1787" t="n">
        <v>0</v>
      </c>
      <c r="H1787" t="n">
        <v>0</v>
      </c>
      <c r="I1787" s="3">
        <f>E1787+G1787+H1787</f>
        <v/>
      </c>
      <c r="J1787" s="3">
        <f>ROUND(MIN(IF(C1787="Técnico III",35,IF(C1787="Técnico II",28,IF(C1787="Técnico I",23,IF(C1787="JR",20,IF(C1787="Estágio",10,0))))),IF(C1787="Técnico III",SUMIFS($D:$D,$A:$A,$A1787,$B:$B,"&lt;&gt;Patrícia Karla de Sousa Araújo",$B:$B,"&lt;&gt;Lorena Dias de Araujo",$B:$B,"&lt;&gt;Lucas Luiz Romero")*(35/1083),IF(C1787="Técnico II",SUMIFS($D:$D,$A:$A,$A1787,$B:$B,"&lt;&gt;Patrícia Karla de Sousa Araújo",$B:$B,"&lt;&gt;Lorena Dias de Araujo",$B:$B,"&lt;&gt;Lucas Luiz Romero")*(28/1083),IF(C1787="Técnico I",SUMIFS($D:$D,$A:$A,$A1787,$B:$B,"&lt;&gt;Patrícia Karla de Sousa Araújo",$B:$B,"&lt;&gt;Lorena Dias de Araujo",$B:$B,"&lt;&gt;Lucas Luiz Romero")*(23/1083),IF(C1787="JR",SUMIFS($D:$D,$A:$A,$A1787,$B:$B,"&lt;&gt;Patrícia Karla de Sousa Araújo",$B:$B,"&lt;&gt;Lorena Dias de Araujo",$B:$B,"&lt;&gt;Lucas Luiz Romero")*(20/1083),IF(C1787="Estágio",SUMIFS($D:$D,$A:$A,$A1787,$B:$B,"&lt;&gt;Patrícia Karla de Sousa Araújo",$B:$B,"&lt;&gt;Lorena Dias de Araujo",$B:$B,"&lt;&gt;Lucas Luiz Romero")*(10/1083),0)))))),0)</f>
        <v/>
      </c>
      <c r="K1787" s="3">
        <f>I1787-J1787</f>
        <v/>
      </c>
      <c r="L1787" s="3">
        <f>IF(K1787&lt;-5,"CRÍTICO",IF(K1787&lt;0,"ATENÇÃO",IF(K1787&lt;=5,"BOM","EXCELENTE")))</f>
        <v/>
      </c>
      <c r="N1787" t="n">
        <v>98.31999999999999</v>
      </c>
      <c r="O1787" t="n">
        <v>30.3030303030303</v>
      </c>
    </row>
    <row r="1788" hidden="1">
      <c r="A1788" s="11" t="n">
        <v>46057</v>
      </c>
      <c r="B1788" t="inlineStr">
        <is>
          <t>Amanda Moura Ferreira</t>
        </is>
      </c>
      <c r="C1788" t="inlineStr">
        <is>
          <t>Técnico III</t>
        </is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s="3" t="n">
        <v>0</v>
      </c>
      <c r="J1788" s="3" t="n">
        <v>0</v>
      </c>
      <c r="K1788" s="3" t="n">
        <v>0</v>
      </c>
      <c r="L1788" s="3">
        <f>IF(K1788&lt;-5,"CRÍTICO",IF(K1788&lt;0,"ATENÇÃO",IF(K1788&lt;=5,"BOM","EXCELENTE")))</f>
        <v/>
      </c>
      <c r="N1788" t="n">
        <v>98.68000000000001</v>
      </c>
      <c r="O1788" t="n">
        <v>26.21951219512195</v>
      </c>
    </row>
    <row r="1789" hidden="1">
      <c r="A1789" s="11" t="n">
        <v>46057</v>
      </c>
      <c r="B1789" t="inlineStr">
        <is>
          <t>Ana Karollyne Souza Faria</t>
        </is>
      </c>
      <c r="C1789" t="inlineStr">
        <is>
          <t>Técnico I</t>
        </is>
      </c>
      <c r="D1789" t="n">
        <v>25</v>
      </c>
      <c r="E1789" t="n">
        <v>24</v>
      </c>
      <c r="F1789" t="n">
        <v>29.02</v>
      </c>
      <c r="G1789" t="n">
        <v>0</v>
      </c>
      <c r="H1789" t="n">
        <v>0</v>
      </c>
      <c r="I1789" s="3">
        <f>E1789+G1789+H1789</f>
        <v/>
      </c>
      <c r="J1789" s="3">
        <f>ROUND(MIN(IF(C1789="Técnico III",35,IF(C1789="Técnico II",28,IF(C1789="Técnico I",23,IF(C1789="JR",20,IF(C1789="Estágio",10,0))))),IF(C1789="Técnico III",SUMIFS($D:$D,$A:$A,$A1789,$B:$B,"&lt;&gt;Patrícia Karla de Sousa Araújo",$B:$B,"&lt;&gt;Lorena Dias de Araujo",$B:$B,"&lt;&gt;Lucas Luiz Romero")*(35/1083),IF(C1789="Técnico II",SUMIFS($D:$D,$A:$A,$A1789,$B:$B,"&lt;&gt;Patrícia Karla de Sousa Araújo",$B:$B,"&lt;&gt;Lorena Dias de Araujo",$B:$B,"&lt;&gt;Lucas Luiz Romero")*(28/1083),IF(C1789="Técnico I",SUMIFS($D:$D,$A:$A,$A1789,$B:$B,"&lt;&gt;Patrícia Karla de Sousa Araújo",$B:$B,"&lt;&gt;Lorena Dias de Araujo",$B:$B,"&lt;&gt;Lucas Luiz Romero")*(23/1083),IF(C1789="JR",SUMIFS($D:$D,$A:$A,$A1789,$B:$B,"&lt;&gt;Patrícia Karla de Sousa Araújo",$B:$B,"&lt;&gt;Lorena Dias de Araujo",$B:$B,"&lt;&gt;Lucas Luiz Romero")*(20/1083),IF(C1789="Estágio",SUMIFS($D:$D,$A:$A,$A1789,$B:$B,"&lt;&gt;Patrícia Karla de Sousa Araújo",$B:$B,"&lt;&gt;Lorena Dias de Araujo",$B:$B,"&lt;&gt;Lucas Luiz Romero")*(10/1083),0)))))),0)</f>
        <v/>
      </c>
      <c r="K1789" s="3">
        <f>I1789-J1789</f>
        <v/>
      </c>
      <c r="L1789" s="3">
        <f>IF(K1789&lt;-5,"CRÍTICO",IF(K1789&lt;0,"ATENÇÃO",IF(K1789&lt;=5,"BOM","EXCELENTE")))</f>
        <v/>
      </c>
      <c r="N1789" t="n">
        <v>100</v>
      </c>
      <c r="O1789" t="n">
        <v>31.74224343675418</v>
      </c>
    </row>
    <row r="1790" hidden="1">
      <c r="A1790" s="11" t="n">
        <v>46057</v>
      </c>
      <c r="B1790" t="inlineStr">
        <is>
          <t>Ana Paula Da Luz Silva Aleixo</t>
        </is>
      </c>
      <c r="C1790" t="inlineStr">
        <is>
          <t>Técnico III</t>
        </is>
      </c>
      <c r="D1790" t="n">
        <v>39</v>
      </c>
      <c r="E1790" t="n">
        <v>38</v>
      </c>
      <c r="F1790" t="n">
        <v>18.2</v>
      </c>
      <c r="G1790" t="n">
        <v>0</v>
      </c>
      <c r="H1790" t="n">
        <v>0</v>
      </c>
      <c r="I1790" s="3">
        <f>E1790+G1790+H1790</f>
        <v/>
      </c>
      <c r="J1790" s="3">
        <f>ROUND(MIN(IF(C1790="Técnico III",35,IF(C1790="Técnico II",28,IF(C1790="Técnico I",23,IF(C1790="JR",20,IF(C1790="Estágio",10,0))))),IF(C1790="Técnico III",SUMIFS($D:$D,$A:$A,$A1790,$B:$B,"&lt;&gt;Patrícia Karla de Sousa Araújo",$B:$B,"&lt;&gt;Lorena Dias de Araujo",$B:$B,"&lt;&gt;Lucas Luiz Romero")*(35/1083),IF(C1790="Técnico II",SUMIFS($D:$D,$A:$A,$A1790,$B:$B,"&lt;&gt;Patrícia Karla de Sousa Araújo",$B:$B,"&lt;&gt;Lorena Dias de Araujo",$B:$B,"&lt;&gt;Lucas Luiz Romero")*(28/1083),IF(C1790="Técnico I",SUMIFS($D:$D,$A:$A,$A1790,$B:$B,"&lt;&gt;Patrícia Karla de Sousa Araújo",$B:$B,"&lt;&gt;Lorena Dias de Araujo",$B:$B,"&lt;&gt;Lucas Luiz Romero")*(23/1083),IF(C1790="JR",SUMIFS($D:$D,$A:$A,$A1790,$B:$B,"&lt;&gt;Patrícia Karla de Sousa Araújo",$B:$B,"&lt;&gt;Lorena Dias de Araujo",$B:$B,"&lt;&gt;Lucas Luiz Romero")*(20/1083),IF(C1790="Estágio",SUMIFS($D:$D,$A:$A,$A1790,$B:$B,"&lt;&gt;Patrícia Karla de Sousa Araújo",$B:$B,"&lt;&gt;Lorena Dias de Araujo",$B:$B,"&lt;&gt;Lucas Luiz Romero")*(10/1083),0)))))),0)</f>
        <v/>
      </c>
      <c r="K1790" s="3">
        <f>I1790-J1790</f>
        <v/>
      </c>
      <c r="L1790" s="3">
        <f>IF(K1790&lt;-5,"CRÍTICO",IF(K1790&lt;0,"ATENÇÃO",IF(K1790&lt;=5,"BOM","EXCELENTE")))</f>
        <v/>
      </c>
      <c r="N1790" t="n">
        <v>98.25</v>
      </c>
      <c r="O1790" t="n">
        <v>25.83518930957684</v>
      </c>
    </row>
    <row r="1791" hidden="1">
      <c r="A1791" s="11" t="n">
        <v>46057</v>
      </c>
      <c r="B1791" t="inlineStr">
        <is>
          <t>Anna Luiza Rezende Tavares</t>
        </is>
      </c>
      <c r="C1791" t="inlineStr">
        <is>
          <t>Estágio</t>
        </is>
      </c>
      <c r="D1791" t="n">
        <v>8</v>
      </c>
      <c r="E1791" t="n">
        <v>8</v>
      </c>
      <c r="F1791" t="n">
        <v>40.17</v>
      </c>
      <c r="G1791" t="n">
        <v>0</v>
      </c>
      <c r="H1791" t="n">
        <v>0</v>
      </c>
      <c r="I1791" s="3">
        <f>E1791+G1791+H1791</f>
        <v/>
      </c>
      <c r="J1791" s="3">
        <f>ROUND(MIN(IF(C1791="Técnico III",35,IF(C1791="Técnico II",28,IF(C1791="Técnico I",23,IF(C1791="JR",20,IF(C1791="Estágio",10,0))))),IF(C1791="Técnico III",SUMIFS($D:$D,$A:$A,$A1791,$B:$B,"&lt;&gt;Patrícia Karla de Sousa Araújo",$B:$B,"&lt;&gt;Lorena Dias de Araujo",$B:$B,"&lt;&gt;Lucas Luiz Romero")*(35/1083),IF(C1791="Técnico II",SUMIFS($D:$D,$A:$A,$A1791,$B:$B,"&lt;&gt;Patrícia Karla de Sousa Araújo",$B:$B,"&lt;&gt;Lorena Dias de Araujo",$B:$B,"&lt;&gt;Lucas Luiz Romero")*(28/1083),IF(C1791="Técnico I",SUMIFS($D:$D,$A:$A,$A1791,$B:$B,"&lt;&gt;Patrícia Karla de Sousa Araújo",$B:$B,"&lt;&gt;Lorena Dias de Araujo",$B:$B,"&lt;&gt;Lucas Luiz Romero")*(23/1083),IF(C1791="JR",SUMIFS($D:$D,$A:$A,$A1791,$B:$B,"&lt;&gt;Patrícia Karla de Sousa Araújo",$B:$B,"&lt;&gt;Lorena Dias de Araujo",$B:$B,"&lt;&gt;Lucas Luiz Romero")*(20/1083),IF(C1791="Estágio",SUMIFS($D:$D,$A:$A,$A1791,$B:$B,"&lt;&gt;Patrícia Karla de Sousa Araújo",$B:$B,"&lt;&gt;Lorena Dias de Araujo",$B:$B,"&lt;&gt;Lucas Luiz Romero")*(10/1083),0)))))),0)</f>
        <v/>
      </c>
      <c r="K1791" s="3">
        <f>I1791-J1791</f>
        <v/>
      </c>
      <c r="L1791" s="3">
        <f>IF(K1791&lt;-5,"CRÍTICO",IF(K1791&lt;0,"ATENÇÃO",IF(K1791&lt;=5,"BOM","EXCELENTE")))</f>
        <v/>
      </c>
      <c r="N1791" t="n">
        <v>97.5</v>
      </c>
      <c r="O1791" t="n">
        <v>30.07518796992481</v>
      </c>
    </row>
    <row r="1792" hidden="1">
      <c r="A1792" s="11" t="n">
        <v>46057</v>
      </c>
      <c r="B1792" t="inlineStr">
        <is>
          <t>Brenda de Menezes Silva</t>
        </is>
      </c>
      <c r="C1792" t="inlineStr">
        <is>
          <t>Técnico II</t>
        </is>
      </c>
      <c r="D1792" t="n">
        <v>37</v>
      </c>
      <c r="E1792" t="n">
        <v>34</v>
      </c>
      <c r="F1792" t="n">
        <v>17.1</v>
      </c>
      <c r="G1792" t="n">
        <v>0</v>
      </c>
      <c r="H1792" t="n">
        <v>0</v>
      </c>
      <c r="I1792" s="3">
        <f>E1792+G1792+H1792</f>
        <v/>
      </c>
      <c r="J1792" s="3">
        <f>ROUND(MIN(IF(C1792="Técnico III",35,IF(C1792="Técnico II",28,IF(C1792="Técnico I",23,IF(C1792="JR",20,IF(C1792="Estágio",10,0))))),IF(C1792="Técnico III",SUMIFS($D:$D,$A:$A,$A1792,$B:$B,"&lt;&gt;Patrícia Karla de Sousa Araújo",$B:$B,"&lt;&gt;Lorena Dias de Araujo",$B:$B,"&lt;&gt;Lucas Luiz Romero")*(35/1083),IF(C1792="Técnico II",SUMIFS($D:$D,$A:$A,$A1792,$B:$B,"&lt;&gt;Patrícia Karla de Sousa Araújo",$B:$B,"&lt;&gt;Lorena Dias de Araujo",$B:$B,"&lt;&gt;Lucas Luiz Romero")*(28/1083),IF(C1792="Técnico I",SUMIFS($D:$D,$A:$A,$A1792,$B:$B,"&lt;&gt;Patrícia Karla de Sousa Araújo",$B:$B,"&lt;&gt;Lorena Dias de Araujo",$B:$B,"&lt;&gt;Lucas Luiz Romero")*(23/1083),IF(C1792="JR",SUMIFS($D:$D,$A:$A,$A1792,$B:$B,"&lt;&gt;Patrícia Karla de Sousa Araújo",$B:$B,"&lt;&gt;Lorena Dias de Araujo",$B:$B,"&lt;&gt;Lucas Luiz Romero")*(20/1083),IF(C1792="Estágio",SUMIFS($D:$D,$A:$A,$A1792,$B:$B,"&lt;&gt;Patrícia Karla de Sousa Araújo",$B:$B,"&lt;&gt;Lorena Dias de Araujo",$B:$B,"&lt;&gt;Lucas Luiz Romero")*(10/1083),0)))))),0)</f>
        <v/>
      </c>
      <c r="K1792" s="3">
        <f>I1792-J1792</f>
        <v/>
      </c>
      <c r="L1792" s="3">
        <f>IF(K1792&lt;-5,"CRÍTICO",IF(K1792&lt;0,"ATENÇÃO",IF(K1792&lt;=5,"BOM","EXCELENTE")))</f>
        <v/>
      </c>
      <c r="N1792" t="n">
        <v>100</v>
      </c>
      <c r="O1792" t="n">
        <v>29.71311475409836</v>
      </c>
    </row>
    <row r="1793" hidden="1">
      <c r="A1793" s="11" t="n">
        <v>46057</v>
      </c>
      <c r="B1793" t="inlineStr">
        <is>
          <t>Carlos Mateus Cassimiro Nunes</t>
        </is>
      </c>
      <c r="C1793" t="inlineStr">
        <is>
          <t>Técnico II</t>
        </is>
      </c>
      <c r="D1793" t="n">
        <v>32</v>
      </c>
      <c r="E1793" t="n">
        <v>31</v>
      </c>
      <c r="F1793" t="n">
        <v>22.11</v>
      </c>
      <c r="G1793" t="n">
        <v>0</v>
      </c>
      <c r="H1793" t="n">
        <v>0</v>
      </c>
      <c r="I1793" s="3">
        <f>E1793+G1793+H1793</f>
        <v/>
      </c>
      <c r="J1793" s="3">
        <f>ROUND(MIN(IF(C1793="Técnico III",35,IF(C1793="Técnico II",28,IF(C1793="Técnico I",23,IF(C1793="JR",20,IF(C1793="Estágio",10,0))))),IF(C1793="Técnico III",SUMIFS($D:$D,$A:$A,$A1793,$B:$B,"&lt;&gt;Patrícia Karla de Sousa Araújo",$B:$B,"&lt;&gt;Lorena Dias de Araujo",$B:$B,"&lt;&gt;Lucas Luiz Romero")*(35/1083),IF(C1793="Técnico II",SUMIFS($D:$D,$A:$A,$A1793,$B:$B,"&lt;&gt;Patrícia Karla de Sousa Araújo",$B:$B,"&lt;&gt;Lorena Dias de Araujo",$B:$B,"&lt;&gt;Lucas Luiz Romero")*(28/1083),IF(C1793="Técnico I",SUMIFS($D:$D,$A:$A,$A1793,$B:$B,"&lt;&gt;Patrícia Karla de Sousa Araújo",$B:$B,"&lt;&gt;Lorena Dias de Araujo",$B:$B,"&lt;&gt;Lucas Luiz Romero")*(23/1083),IF(C1793="JR",SUMIFS($D:$D,$A:$A,$A1793,$B:$B,"&lt;&gt;Patrícia Karla de Sousa Araújo",$B:$B,"&lt;&gt;Lorena Dias de Araujo",$B:$B,"&lt;&gt;Lucas Luiz Romero")*(20/1083),IF(C1793="Estágio",SUMIFS($D:$D,$A:$A,$A1793,$B:$B,"&lt;&gt;Patrícia Karla de Sousa Araújo",$B:$B,"&lt;&gt;Lorena Dias de Araujo",$B:$B,"&lt;&gt;Lucas Luiz Romero")*(10/1083),0)))))),0)</f>
        <v/>
      </c>
      <c r="K1793" s="3">
        <f>I1793-J1793</f>
        <v/>
      </c>
      <c r="L1793" s="3">
        <f>IF(K1793&lt;-5,"CRÍTICO",IF(K1793&lt;0,"ATENÇÃO",IF(K1793&lt;=5,"BOM","EXCELENTE")))</f>
        <v/>
      </c>
      <c r="N1793" t="n">
        <v>99.22</v>
      </c>
      <c r="O1793" t="n">
        <v>35.25641025641026</v>
      </c>
    </row>
    <row r="1794" hidden="1">
      <c r="A1794" s="11" t="n">
        <v>46057</v>
      </c>
      <c r="B1794" t="inlineStr">
        <is>
          <t>Claudio de Sousa Velasco Filho</t>
        </is>
      </c>
      <c r="C1794" t="inlineStr">
        <is>
          <t>Estágio</t>
        </is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s="3" t="n">
        <v>0</v>
      </c>
      <c r="J1794" s="3" t="n">
        <v>0</v>
      </c>
      <c r="K1794" s="3" t="n">
        <v>0</v>
      </c>
      <c r="L1794" s="3">
        <f>IF(K1794&lt;-5,"CRÍTICO",IF(K1794&lt;0,"ATENÇÃO",IF(K1794&lt;=5,"BOM","EXCELENTE")))</f>
        <v/>
      </c>
      <c r="N1794" t="n">
        <v>0</v>
      </c>
      <c r="O1794" t="n">
        <v>0</v>
      </c>
    </row>
    <row r="1795" hidden="1">
      <c r="A1795" s="11" t="n">
        <v>46057</v>
      </c>
      <c r="B1795" t="inlineStr">
        <is>
          <t>Clessiane Pereira dos Santos</t>
        </is>
      </c>
      <c r="C1795" t="inlineStr">
        <is>
          <t>Técnico I</t>
        </is>
      </c>
      <c r="D1795" t="n">
        <v>16</v>
      </c>
      <c r="E1795" t="n">
        <v>16</v>
      </c>
      <c r="F1795" t="n">
        <v>28.51</v>
      </c>
      <c r="G1795" t="n">
        <v>0</v>
      </c>
      <c r="H1795" t="n">
        <v>0</v>
      </c>
      <c r="I1795" s="3">
        <f>E1795+G1795+H1795</f>
        <v/>
      </c>
      <c r="J1795" s="3">
        <f>ROUND(MIN(IF(C1795="Técnico III",35,IF(C1795="Técnico II",28,IF(C1795="Técnico I",23,IF(C1795="JR",20,IF(C1795="Estágio",10,0))))),IF(C1795="Técnico III",SUMIFS($D:$D,$A:$A,$A1795,$B:$B,"&lt;&gt;Patrícia Karla de Sousa Araújo",$B:$B,"&lt;&gt;Lorena Dias de Araujo",$B:$B,"&lt;&gt;Lucas Luiz Romero")*(35/1083),IF(C1795="Técnico II",SUMIFS($D:$D,$A:$A,$A1795,$B:$B,"&lt;&gt;Patrícia Karla de Sousa Araújo",$B:$B,"&lt;&gt;Lorena Dias de Araujo",$B:$B,"&lt;&gt;Lucas Luiz Romero")*(28/1083),IF(C1795="Técnico I",SUMIFS($D:$D,$A:$A,$A1795,$B:$B,"&lt;&gt;Patrícia Karla de Sousa Araújo",$B:$B,"&lt;&gt;Lorena Dias de Araujo",$B:$B,"&lt;&gt;Lucas Luiz Romero")*(23/1083),IF(C1795="JR",SUMIFS($D:$D,$A:$A,$A1795,$B:$B,"&lt;&gt;Patrícia Karla de Sousa Araújo",$B:$B,"&lt;&gt;Lorena Dias de Araujo",$B:$B,"&lt;&gt;Lucas Luiz Romero")*(20/1083),IF(C1795="Estágio",SUMIFS($D:$D,$A:$A,$A1795,$B:$B,"&lt;&gt;Patrícia Karla de Sousa Araújo",$B:$B,"&lt;&gt;Lorena Dias de Araujo",$B:$B,"&lt;&gt;Lucas Luiz Romero")*(10/1083),0)))))),0)</f>
        <v/>
      </c>
      <c r="K1795" s="3">
        <f>I1795-J1795</f>
        <v/>
      </c>
      <c r="L1795" s="3">
        <f>IF(K1795&lt;-5,"CRÍTICO",IF(K1795&lt;0,"ATENÇÃO",IF(K1795&lt;=5,"BOM","EXCELENTE")))</f>
        <v/>
      </c>
      <c r="N1795" t="n">
        <v>98.75</v>
      </c>
      <c r="O1795" t="n">
        <v>24.32432432432433</v>
      </c>
    </row>
    <row r="1796" hidden="1">
      <c r="A1796" s="11" t="n">
        <v>46057</v>
      </c>
      <c r="B1796" t="inlineStr">
        <is>
          <t>Cristiane Ramos da Silva Rocha</t>
        </is>
      </c>
      <c r="C1796" t="inlineStr">
        <is>
          <t>Técnico III</t>
        </is>
      </c>
      <c r="D1796" t="n">
        <v>53</v>
      </c>
      <c r="E1796" t="n">
        <v>48</v>
      </c>
      <c r="F1796" t="n">
        <v>11.55</v>
      </c>
      <c r="G1796" t="n">
        <v>0</v>
      </c>
      <c r="H1796" t="n">
        <v>0</v>
      </c>
      <c r="I1796" s="3">
        <f>E1796+G1796+H1796</f>
        <v/>
      </c>
      <c r="J1796" s="3">
        <f>ROUND(MIN(IF(C1796="Técnico III",35,IF(C1796="Técnico II",28,IF(C1796="Técnico I",23,IF(C1796="JR",20,IF(C1796="Estágio",10,0))))),IF(C1796="Técnico III",SUMIFS($D:$D,$A:$A,$A1796,$B:$B,"&lt;&gt;Patrícia Karla de Sousa Araújo",$B:$B,"&lt;&gt;Lorena Dias de Araujo",$B:$B,"&lt;&gt;Lucas Luiz Romero")*(35/1083),IF(C1796="Técnico II",SUMIFS($D:$D,$A:$A,$A1796,$B:$B,"&lt;&gt;Patrícia Karla de Sousa Araújo",$B:$B,"&lt;&gt;Lorena Dias de Araujo",$B:$B,"&lt;&gt;Lucas Luiz Romero")*(28/1083),IF(C1796="Técnico I",SUMIFS($D:$D,$A:$A,$A1796,$B:$B,"&lt;&gt;Patrícia Karla de Sousa Araújo",$B:$B,"&lt;&gt;Lorena Dias de Araujo",$B:$B,"&lt;&gt;Lucas Luiz Romero")*(23/1083),IF(C1796="JR",SUMIFS($D:$D,$A:$A,$A1796,$B:$B,"&lt;&gt;Patrícia Karla de Sousa Araújo",$B:$B,"&lt;&gt;Lorena Dias de Araujo",$B:$B,"&lt;&gt;Lucas Luiz Romero")*(20/1083),IF(C1796="Estágio",SUMIFS($D:$D,$A:$A,$A1796,$B:$B,"&lt;&gt;Patrícia Karla de Sousa Araújo",$B:$B,"&lt;&gt;Lorena Dias de Araujo",$B:$B,"&lt;&gt;Lucas Luiz Romero")*(10/1083),0)))))),0)</f>
        <v/>
      </c>
      <c r="K1796" s="3">
        <f>I1796-J1796</f>
        <v/>
      </c>
      <c r="L1796" s="3">
        <f>IF(K1796&lt;-5,"CRÍTICO",IF(K1796&lt;0,"ATENÇÃO",IF(K1796&lt;=5,"BOM","EXCELENTE")))</f>
        <v/>
      </c>
      <c r="N1796" t="n">
        <v>93.48</v>
      </c>
      <c r="O1796" t="n">
        <v>31.33462282398452</v>
      </c>
    </row>
    <row r="1797" hidden="1">
      <c r="A1797" s="11" t="n">
        <v>46057</v>
      </c>
      <c r="B1797" t="inlineStr">
        <is>
          <t>Damyllis Lorraine de Oliveira Gonçalves</t>
        </is>
      </c>
      <c r="C1797" t="inlineStr">
        <is>
          <t>Técnico II</t>
        </is>
      </c>
      <c r="D1797" t="n">
        <v>46</v>
      </c>
      <c r="E1797" t="n">
        <v>41</v>
      </c>
      <c r="F1797" t="n">
        <v>15.37</v>
      </c>
      <c r="G1797" t="n">
        <v>0</v>
      </c>
      <c r="H1797" t="n">
        <v>0</v>
      </c>
      <c r="I1797" s="3" t="n">
        <v>0</v>
      </c>
      <c r="J1797" s="3" t="n">
        <v>0</v>
      </c>
      <c r="K1797" s="3" t="n">
        <v>0</v>
      </c>
      <c r="L1797" s="3">
        <f>IF(K1797&lt;-5,"CRÍTICO",IF(K1797&lt;0,"ATENÇÃO",IF(K1797&lt;=5,"BOM","EXCELENTE")))</f>
        <v/>
      </c>
      <c r="N1797" t="n">
        <v>99.16</v>
      </c>
      <c r="O1797" t="n">
        <v>26.13908872901678</v>
      </c>
    </row>
    <row r="1798" hidden="1">
      <c r="A1798" s="11" t="n">
        <v>46057</v>
      </c>
      <c r="B1798" t="inlineStr">
        <is>
          <t>Daniel Gomes da Silva</t>
        </is>
      </c>
      <c r="C1798" t="inlineStr">
        <is>
          <t>Técnico I</t>
        </is>
      </c>
      <c r="D1798" t="n">
        <v>12</v>
      </c>
      <c r="E1798" t="n">
        <v>12</v>
      </c>
      <c r="F1798" t="n">
        <v>32.35</v>
      </c>
      <c r="G1798" t="n">
        <v>0</v>
      </c>
      <c r="H1798" t="n">
        <v>0</v>
      </c>
      <c r="I1798" s="3">
        <f>E1798+G1798+H1798</f>
        <v/>
      </c>
      <c r="J1798" s="3">
        <f>ROUND(MIN(IF(C1798="Técnico III",35,IF(C1798="Técnico II",28,IF(C1798="Técnico I",23,IF(C1798="JR",20,IF(C1798="Estágio",10,0))))),IF(C1798="Técnico III",SUMIFS($D:$D,$A:$A,$A1798,$B:$B,"&lt;&gt;Patrícia Karla de Sousa Araújo",$B:$B,"&lt;&gt;Lorena Dias de Araujo",$B:$B,"&lt;&gt;Lucas Luiz Romero")*(35/1083),IF(C1798="Técnico II",SUMIFS($D:$D,$A:$A,$A1798,$B:$B,"&lt;&gt;Patrícia Karla de Sousa Araújo",$B:$B,"&lt;&gt;Lorena Dias de Araujo",$B:$B,"&lt;&gt;Lucas Luiz Romero")*(28/1083),IF(C1798="Técnico I",SUMIFS($D:$D,$A:$A,$A1798,$B:$B,"&lt;&gt;Patrícia Karla de Sousa Araújo",$B:$B,"&lt;&gt;Lorena Dias de Araujo",$B:$B,"&lt;&gt;Lucas Luiz Romero")*(23/1083),IF(C1798="JR",SUMIFS($D:$D,$A:$A,$A1798,$B:$B,"&lt;&gt;Patrícia Karla de Sousa Araújo",$B:$B,"&lt;&gt;Lorena Dias de Araujo",$B:$B,"&lt;&gt;Lucas Luiz Romero")*(20/1083),IF(C1798="Estágio",SUMIFS($D:$D,$A:$A,$A1798,$B:$B,"&lt;&gt;Patrícia Karla de Sousa Araújo",$B:$B,"&lt;&gt;Lorena Dias de Araujo",$B:$B,"&lt;&gt;Lucas Luiz Romero")*(10/1083),0)))))),0)</f>
        <v/>
      </c>
      <c r="K1798" s="3">
        <f>I1798-J1798</f>
        <v/>
      </c>
      <c r="L1798" s="3">
        <f>IF(K1798&lt;-5,"CRÍTICO",IF(K1798&lt;0,"ATENÇÃO",IF(K1798&lt;=5,"BOM","EXCELENTE")))</f>
        <v/>
      </c>
      <c r="N1798" t="n">
        <v>100</v>
      </c>
      <c r="O1798" t="n">
        <v>31.08974358974359</v>
      </c>
    </row>
    <row r="1799" hidden="1">
      <c r="A1799" s="11" t="n">
        <v>46057</v>
      </c>
      <c r="B1799" t="inlineStr">
        <is>
          <t>Davylla Rodrigues Freitas Silva</t>
        </is>
      </c>
      <c r="C1799" t="inlineStr">
        <is>
          <t>Técnico III</t>
        </is>
      </c>
      <c r="D1799" t="n">
        <v>34</v>
      </c>
      <c r="E1799" t="n">
        <v>33</v>
      </c>
      <c r="F1799" t="n">
        <v>20.39</v>
      </c>
      <c r="G1799" t="n">
        <v>0</v>
      </c>
      <c r="H1799" t="n">
        <v>0</v>
      </c>
      <c r="I1799" s="3" t="n">
        <v>0</v>
      </c>
      <c r="J1799" s="3" t="n">
        <v>0</v>
      </c>
      <c r="K1799" s="3" t="n">
        <v>0</v>
      </c>
      <c r="L1799" s="3">
        <f>IF(K1799&lt;-5,"CRÍTICO",IF(K1799&lt;0,"ATENÇÃO",IF(K1799&lt;=5,"BOM","EXCELENTE")))</f>
        <v/>
      </c>
      <c r="N1799" t="n">
        <v>98.11</v>
      </c>
      <c r="O1799" t="n">
        <v>33.03370786516854</v>
      </c>
    </row>
    <row r="1800" hidden="1">
      <c r="A1800" s="11" t="n">
        <v>46057</v>
      </c>
      <c r="B1800" t="inlineStr">
        <is>
          <t>Emilly Caylane Costa</t>
        </is>
      </c>
      <c r="C1800" t="inlineStr">
        <is>
          <t>Estágio</t>
        </is>
      </c>
      <c r="D1800" t="n">
        <v>5</v>
      </c>
      <c r="E1800" t="n">
        <v>5</v>
      </c>
      <c r="F1800" t="n">
        <v>60.41</v>
      </c>
      <c r="G1800" t="n">
        <v>0</v>
      </c>
      <c r="H1800" t="n">
        <v>0</v>
      </c>
      <c r="I1800" s="3">
        <f>E1800+G1800+H1800</f>
        <v/>
      </c>
      <c r="J1800" s="3">
        <f>ROUND(MIN(IF(C1800="Técnico III",35,IF(C1800="Técnico II",28,IF(C1800="Técnico I",23,IF(C1800="JR",20,IF(C1800="Estágio",10,0))))),IF(C1800="Técnico III",SUMIFS($D:$D,$A:$A,$A1800,$B:$B,"&lt;&gt;Patrícia Karla de Sousa Araújo",$B:$B,"&lt;&gt;Lorena Dias de Araujo",$B:$B,"&lt;&gt;Lucas Luiz Romero")*(35/1083),IF(C1800="Técnico II",SUMIFS($D:$D,$A:$A,$A1800,$B:$B,"&lt;&gt;Patrícia Karla de Sousa Araújo",$B:$B,"&lt;&gt;Lorena Dias de Araujo",$B:$B,"&lt;&gt;Lucas Luiz Romero")*(28/1083),IF(C1800="Técnico I",SUMIFS($D:$D,$A:$A,$A1800,$B:$B,"&lt;&gt;Patrícia Karla de Sousa Araújo",$B:$B,"&lt;&gt;Lorena Dias de Araujo",$B:$B,"&lt;&gt;Lucas Luiz Romero")*(23/1083),IF(C1800="JR",SUMIFS($D:$D,$A:$A,$A1800,$B:$B,"&lt;&gt;Patrícia Karla de Sousa Araújo",$B:$B,"&lt;&gt;Lorena Dias de Araujo",$B:$B,"&lt;&gt;Lucas Luiz Romero")*(20/1083),IF(C1800="Estágio",SUMIFS($D:$D,$A:$A,$A1800,$B:$B,"&lt;&gt;Patrícia Karla de Sousa Araújo",$B:$B,"&lt;&gt;Lorena Dias de Araujo",$B:$B,"&lt;&gt;Lucas Luiz Romero")*(10/1083),0)))))),0)</f>
        <v/>
      </c>
      <c r="K1800" s="3">
        <f>I1800-J1800</f>
        <v/>
      </c>
      <c r="L1800" s="3">
        <f>IF(K1800&lt;-5,"CRÍTICO",IF(K1800&lt;0,"ATENÇÃO",IF(K1800&lt;=5,"BOM","EXCELENTE")))</f>
        <v/>
      </c>
      <c r="N1800" t="n">
        <v>78.95</v>
      </c>
      <c r="O1800" t="n">
        <v>38.98305084745763</v>
      </c>
    </row>
    <row r="1801" hidden="1">
      <c r="A1801" s="11" t="n">
        <v>46057</v>
      </c>
      <c r="B1801" t="inlineStr">
        <is>
          <t>Emilly Kamilly Medeiros Miranda</t>
        </is>
      </c>
      <c r="C1801" t="inlineStr">
        <is>
          <t>Técnico II</t>
        </is>
      </c>
      <c r="D1801" t="n">
        <v>24</v>
      </c>
      <c r="E1801" t="n">
        <v>23</v>
      </c>
      <c r="F1801" t="n">
        <v>15.27</v>
      </c>
      <c r="G1801" t="n">
        <v>0</v>
      </c>
      <c r="H1801" t="n">
        <v>0</v>
      </c>
      <c r="I1801" s="3">
        <f>E1801+G1801+H1801</f>
        <v/>
      </c>
      <c r="J1801" s="3">
        <f>ROUND(MIN(IF(C1801="Técnico III",35,IF(C1801="Técnico II",28,IF(C1801="Técnico I",23,IF(C1801="JR",20,IF(C1801="Estágio",10,0))))),IF(C1801="Técnico III",SUMIFS($D:$D,$A:$A,$A1801,$B:$B,"&lt;&gt;Patrícia Karla de Sousa Araújo",$B:$B,"&lt;&gt;Lorena Dias de Araujo",$B:$B,"&lt;&gt;Lucas Luiz Romero")*(35/1083),IF(C1801="Técnico II",SUMIFS($D:$D,$A:$A,$A1801,$B:$B,"&lt;&gt;Patrícia Karla de Sousa Araújo",$B:$B,"&lt;&gt;Lorena Dias de Araujo",$B:$B,"&lt;&gt;Lucas Luiz Romero")*(28/1083),IF(C1801="Técnico I",SUMIFS($D:$D,$A:$A,$A1801,$B:$B,"&lt;&gt;Patrícia Karla de Sousa Araújo",$B:$B,"&lt;&gt;Lorena Dias de Araujo",$B:$B,"&lt;&gt;Lucas Luiz Romero")*(23/1083),IF(C1801="JR",SUMIFS($D:$D,$A:$A,$A1801,$B:$B,"&lt;&gt;Patrícia Karla de Sousa Araújo",$B:$B,"&lt;&gt;Lorena Dias de Araujo",$B:$B,"&lt;&gt;Lucas Luiz Romero")*(20/1083),IF(C1801="Estágio",SUMIFS($D:$D,$A:$A,$A1801,$B:$B,"&lt;&gt;Patrícia Karla de Sousa Araújo",$B:$B,"&lt;&gt;Lorena Dias de Araujo",$B:$B,"&lt;&gt;Lucas Luiz Romero")*(10/1083),0)))))),0)</f>
        <v/>
      </c>
      <c r="K1801" s="3">
        <f>I1801-J1801</f>
        <v/>
      </c>
      <c r="L1801" s="3">
        <f>IF(K1801&lt;-5,"CRÍTICO",IF(K1801&lt;0,"ATENÇÃO",IF(K1801&lt;=5,"BOM","EXCELENTE")))</f>
        <v/>
      </c>
      <c r="N1801" t="n">
        <v>98.45</v>
      </c>
      <c r="O1801" t="n">
        <v>29.2817679558011</v>
      </c>
    </row>
    <row r="1802" hidden="1">
      <c r="A1802" s="11" t="n">
        <v>46057</v>
      </c>
      <c r="B1802" t="inlineStr">
        <is>
          <t>Francielson de Oliveira</t>
        </is>
      </c>
      <c r="C1802" t="inlineStr">
        <is>
          <t>Técnico III</t>
        </is>
      </c>
      <c r="D1802" t="n">
        <v>27</v>
      </c>
      <c r="E1802" t="n">
        <v>27</v>
      </c>
      <c r="F1802" t="n">
        <v>19.13</v>
      </c>
      <c r="G1802" t="n">
        <v>0</v>
      </c>
      <c r="H1802" t="n">
        <v>0</v>
      </c>
      <c r="I1802" s="3">
        <f>E1802+G1802+H1802</f>
        <v/>
      </c>
      <c r="J1802" s="3">
        <f>ROUND(MIN(IF(C1802="Técnico III",35,IF(C1802="Técnico II",28,IF(C1802="Técnico I",23,IF(C1802="JR",20,IF(C1802="Estágio",10,0))))),IF(C1802="Técnico III",SUMIFS($D:$D,$A:$A,$A1802,$B:$B,"&lt;&gt;Patrícia Karla de Sousa Araújo",$B:$B,"&lt;&gt;Lorena Dias de Araujo",$B:$B,"&lt;&gt;Lucas Luiz Romero")*(35/1083),IF(C1802="Técnico II",SUMIFS($D:$D,$A:$A,$A1802,$B:$B,"&lt;&gt;Patrícia Karla de Sousa Araújo",$B:$B,"&lt;&gt;Lorena Dias de Araujo",$B:$B,"&lt;&gt;Lucas Luiz Romero")*(28/1083),IF(C1802="Técnico I",SUMIFS($D:$D,$A:$A,$A1802,$B:$B,"&lt;&gt;Patrícia Karla de Sousa Araújo",$B:$B,"&lt;&gt;Lorena Dias de Araujo",$B:$B,"&lt;&gt;Lucas Luiz Romero")*(23/1083),IF(C1802="JR",SUMIFS($D:$D,$A:$A,$A1802,$B:$B,"&lt;&gt;Patrícia Karla de Sousa Araújo",$B:$B,"&lt;&gt;Lorena Dias de Araujo",$B:$B,"&lt;&gt;Lucas Luiz Romero")*(20/1083),IF(C1802="Estágio",SUMIFS($D:$D,$A:$A,$A1802,$B:$B,"&lt;&gt;Patrícia Karla de Sousa Araújo",$B:$B,"&lt;&gt;Lorena Dias de Araujo",$B:$B,"&lt;&gt;Lucas Luiz Romero")*(10/1083),0)))))),0)</f>
        <v/>
      </c>
      <c r="K1802" s="3">
        <f>I1802-J1802</f>
        <v/>
      </c>
      <c r="L1802" s="3">
        <f>IF(K1802&lt;-5,"CRÍTICO",IF(K1802&lt;0,"ATENÇÃO",IF(K1802&lt;=5,"BOM","EXCELENTE")))</f>
        <v/>
      </c>
      <c r="N1802" t="n">
        <v>97.84</v>
      </c>
      <c r="O1802" t="n">
        <v>26.28205128205128</v>
      </c>
    </row>
    <row r="1803" hidden="1">
      <c r="A1803" s="11" t="n">
        <v>46057</v>
      </c>
      <c r="B1803" t="inlineStr">
        <is>
          <t>Francilene Ferreira de Jesus</t>
        </is>
      </c>
      <c r="C1803" t="inlineStr">
        <is>
          <t>Técnico II</t>
        </is>
      </c>
      <c r="D1803" t="n">
        <v>51</v>
      </c>
      <c r="E1803" t="n">
        <v>48</v>
      </c>
      <c r="F1803" t="n">
        <v>15.21</v>
      </c>
      <c r="G1803" t="n">
        <v>0</v>
      </c>
      <c r="H1803" t="n">
        <v>0</v>
      </c>
      <c r="I1803" s="3">
        <f>E1803+G1803+H1803</f>
        <v/>
      </c>
      <c r="J1803" s="3">
        <f>ROUND(MIN(IF(C1803="Técnico III",35,IF(C1803="Técnico II",28,IF(C1803="Técnico I",23,IF(C1803="JR",20,IF(C1803="Estágio",10,0))))),IF(C1803="Técnico III",SUMIFS($D:$D,$A:$A,$A1803,$B:$B,"&lt;&gt;Patrícia Karla de Sousa Araújo",$B:$B,"&lt;&gt;Lorena Dias de Araujo",$B:$B,"&lt;&gt;Lucas Luiz Romero")*(35/1083),IF(C1803="Técnico II",SUMIFS($D:$D,$A:$A,$A1803,$B:$B,"&lt;&gt;Patrícia Karla de Sousa Araújo",$B:$B,"&lt;&gt;Lorena Dias de Araujo",$B:$B,"&lt;&gt;Lucas Luiz Romero")*(28/1083),IF(C1803="Técnico I",SUMIFS($D:$D,$A:$A,$A1803,$B:$B,"&lt;&gt;Patrícia Karla de Sousa Araújo",$B:$B,"&lt;&gt;Lorena Dias de Araujo",$B:$B,"&lt;&gt;Lucas Luiz Romero")*(23/1083),IF(C1803="JR",SUMIFS($D:$D,$A:$A,$A1803,$B:$B,"&lt;&gt;Patrícia Karla de Sousa Araújo",$B:$B,"&lt;&gt;Lorena Dias de Araujo",$B:$B,"&lt;&gt;Lucas Luiz Romero")*(20/1083),IF(C1803="Estágio",SUMIFS($D:$D,$A:$A,$A1803,$B:$B,"&lt;&gt;Patrícia Karla de Sousa Araújo",$B:$B,"&lt;&gt;Lorena Dias de Araujo",$B:$B,"&lt;&gt;Lucas Luiz Romero")*(10/1083),0)))))),0)</f>
        <v/>
      </c>
      <c r="K1803" s="3">
        <f>I1803-J1803</f>
        <v/>
      </c>
      <c r="L1803" s="3">
        <f>IF(K1803&lt;-5,"CRÍTICO",IF(K1803&lt;0,"ATENÇÃO",IF(K1803&lt;=5,"BOM","EXCELENTE")))</f>
        <v/>
      </c>
      <c r="N1803" t="n">
        <v>98.5</v>
      </c>
      <c r="O1803" t="n">
        <v>23.97769516728625</v>
      </c>
    </row>
    <row r="1804" hidden="1">
      <c r="A1804" s="11" t="n">
        <v>46091</v>
      </c>
      <c r="B1804" t="inlineStr">
        <is>
          <t>Gabriel Gomes de Andrade</t>
        </is>
      </c>
      <c r="C1804" t="inlineStr">
        <is>
          <t>Técnico I</t>
        </is>
      </c>
      <c r="D1804" t="n">
        <v>13</v>
      </c>
      <c r="E1804" t="n">
        <v>11</v>
      </c>
      <c r="F1804" t="n">
        <v>17.06</v>
      </c>
      <c r="G1804" t="n">
        <v>0</v>
      </c>
      <c r="H1804" t="n">
        <v>0</v>
      </c>
      <c r="I1804" s="3">
        <f>E1804+G1804+H1804</f>
        <v/>
      </c>
      <c r="J1804" s="3">
        <f>ROUND(MIN(IF(C1804="Técnico III",35,IF(C1804="Técnico II",28,IF(C1804="Técnico I",23,IF(C1804="JR",20,IF(C1804="Estágio",10,0))))),IF(C1804="Técnico III",SUMIFS($D:$D,$A:$A,$A1804,$B:$B,"&lt;&gt;Patrícia Karla de Sousa Araújo",$B:$B,"&lt;&gt;Lorena Dias de Araujo",$B:$B,"&lt;&gt;Lucas Luiz Romero")*(35/1083),IF(C1804="Técnico II",SUMIFS($D:$D,$A:$A,$A1804,$B:$B,"&lt;&gt;Patrícia Karla de Sousa Araújo",$B:$B,"&lt;&gt;Lorena Dias de Araujo",$B:$B,"&lt;&gt;Lucas Luiz Romero")*(28/1083),IF(C1804="Técnico I",SUMIFS($D:$D,$A:$A,$A1804,$B:$B,"&lt;&gt;Patrícia Karla de Sousa Araújo",$B:$B,"&lt;&gt;Lorena Dias de Araujo",$B:$B,"&lt;&gt;Lucas Luiz Romero")*(23/1083),IF(C1804="JR",SUMIFS($D:$D,$A:$A,$A1804,$B:$B,"&lt;&gt;Patrícia Karla de Sousa Araújo",$B:$B,"&lt;&gt;Lorena Dias de Araujo",$B:$B,"&lt;&gt;Lucas Luiz Romero")*(20/1083),IF(C1804="Estágio",SUMIFS($D:$D,$A:$A,$A1804,$B:$B,"&lt;&gt;Patrícia Karla de Sousa Araújo",$B:$B,"&lt;&gt;Lorena Dias de Araujo",$B:$B,"&lt;&gt;Lucas Luiz Romero")*(10/1083),0)))))),0)</f>
        <v/>
      </c>
      <c r="K1804" s="3">
        <f>I1804-J1804</f>
        <v/>
      </c>
      <c r="L1804" s="3">
        <f>IF(K1804&lt;-5,"CRÍTICO",IF(K1804&lt;0,"ATENÇÃO",IF(K1804&lt;=5,"BOM","EXCELENTE")))</f>
        <v/>
      </c>
      <c r="N1804" t="n">
        <v>99.05</v>
      </c>
      <c r="O1804" t="n">
        <v>26.62192393736018</v>
      </c>
    </row>
    <row r="1805" hidden="1">
      <c r="A1805" s="11" t="n">
        <v>46057</v>
      </c>
      <c r="B1805" t="inlineStr">
        <is>
          <t>Isabella Borges de Oliveira</t>
        </is>
      </c>
      <c r="C1805" t="inlineStr">
        <is>
          <t>Técnico II</t>
        </is>
      </c>
      <c r="D1805" t="n">
        <v>33</v>
      </c>
      <c r="E1805" t="n">
        <v>32</v>
      </c>
      <c r="F1805" t="n">
        <v>21.57</v>
      </c>
      <c r="G1805" t="n">
        <v>0</v>
      </c>
      <c r="H1805" t="n">
        <v>0</v>
      </c>
      <c r="I1805" s="3">
        <f>E1805+G1805+H1805</f>
        <v/>
      </c>
      <c r="J1805" s="3">
        <f>ROUND(MIN(IF(C1805="Técnico III",35,IF(C1805="Técnico II",28,IF(C1805="Técnico I",23,IF(C1805="JR",20,IF(C1805="Estágio",10,0))))),IF(C1805="Técnico III",SUMIFS($D:$D,$A:$A,$A1805,$B:$B,"&lt;&gt;Patrícia Karla de Sousa Araújo",$B:$B,"&lt;&gt;Lorena Dias de Araujo",$B:$B,"&lt;&gt;Lucas Luiz Romero")*(35/1083),IF(C1805="Técnico II",SUMIFS($D:$D,$A:$A,$A1805,$B:$B,"&lt;&gt;Patrícia Karla de Sousa Araújo",$B:$B,"&lt;&gt;Lorena Dias de Araujo",$B:$B,"&lt;&gt;Lucas Luiz Romero")*(28/1083),IF(C1805="Técnico I",SUMIFS($D:$D,$A:$A,$A1805,$B:$B,"&lt;&gt;Patrícia Karla de Sousa Araújo",$B:$B,"&lt;&gt;Lorena Dias de Araujo",$B:$B,"&lt;&gt;Lucas Luiz Romero")*(23/1083),IF(C1805="JR",SUMIFS($D:$D,$A:$A,$A1805,$B:$B,"&lt;&gt;Patrícia Karla de Sousa Araújo",$B:$B,"&lt;&gt;Lorena Dias de Araujo",$B:$B,"&lt;&gt;Lucas Luiz Romero")*(20/1083),IF(C1805="Estágio",SUMIFS($D:$D,$A:$A,$A1805,$B:$B,"&lt;&gt;Patrícia Karla de Sousa Araújo",$B:$B,"&lt;&gt;Lorena Dias de Araujo",$B:$B,"&lt;&gt;Lucas Luiz Romero")*(10/1083),0)))))),0)</f>
        <v/>
      </c>
      <c r="K1805" s="3">
        <f>I1805-J1805</f>
        <v/>
      </c>
      <c r="L1805" s="3">
        <f>IF(K1805&lt;-5,"CRÍTICO",IF(K1805&lt;0,"ATENÇÃO",IF(K1805&lt;=5,"BOM","EXCELENTE")))</f>
        <v/>
      </c>
      <c r="N1805" t="n">
        <v>98.53</v>
      </c>
      <c r="O1805" t="n">
        <v>31.57894736842105</v>
      </c>
    </row>
    <row r="1806" hidden="1">
      <c r="A1806" s="11" t="n">
        <v>46057</v>
      </c>
      <c r="B1806" t="inlineStr">
        <is>
          <t>Janaina Lima dos Reis Urany</t>
        </is>
      </c>
      <c r="C1806" t="inlineStr">
        <is>
          <t>Técnico III</t>
        </is>
      </c>
      <c r="D1806" t="n">
        <v>57</v>
      </c>
      <c r="E1806" t="n">
        <v>53</v>
      </c>
      <c r="F1806" t="n">
        <v>11.55</v>
      </c>
      <c r="G1806" t="n">
        <v>0</v>
      </c>
      <c r="H1806" t="n">
        <v>0</v>
      </c>
      <c r="I1806" s="3">
        <f>E1806+G1806+H1806</f>
        <v/>
      </c>
      <c r="J1806" s="3">
        <f>ROUND(MIN(IF(C1806="Técnico III",35,IF(C1806="Técnico II",28,IF(C1806="Técnico I",23,IF(C1806="JR",20,IF(C1806="Estágio",10,0))))),IF(C1806="Técnico III",SUMIFS($D:$D,$A:$A,$A1806,$B:$B,"&lt;&gt;Patrícia Karla de Sousa Araújo",$B:$B,"&lt;&gt;Lorena Dias de Araujo",$B:$B,"&lt;&gt;Lucas Luiz Romero")*(35/1083),IF(C1806="Técnico II",SUMIFS($D:$D,$A:$A,$A1806,$B:$B,"&lt;&gt;Patrícia Karla de Sousa Araújo",$B:$B,"&lt;&gt;Lorena Dias de Araujo",$B:$B,"&lt;&gt;Lucas Luiz Romero")*(28/1083),IF(C1806="Técnico I",SUMIFS($D:$D,$A:$A,$A1806,$B:$B,"&lt;&gt;Patrícia Karla de Sousa Araújo",$B:$B,"&lt;&gt;Lorena Dias de Araujo",$B:$B,"&lt;&gt;Lucas Luiz Romero")*(23/1083),IF(C1806="JR",SUMIFS($D:$D,$A:$A,$A1806,$B:$B,"&lt;&gt;Patrícia Karla de Sousa Araújo",$B:$B,"&lt;&gt;Lorena Dias de Araujo",$B:$B,"&lt;&gt;Lucas Luiz Romero")*(20/1083),IF(C1806="Estágio",SUMIFS($D:$D,$A:$A,$A1806,$B:$B,"&lt;&gt;Patrícia Karla de Sousa Araújo",$B:$B,"&lt;&gt;Lorena Dias de Araujo",$B:$B,"&lt;&gt;Lucas Luiz Romero")*(10/1083),0)))))),0)</f>
        <v/>
      </c>
      <c r="K1806" s="3">
        <f>I1806-J1806</f>
        <v/>
      </c>
      <c r="L1806" s="3">
        <f>IF(K1806&lt;-5,"CRÍTICO",IF(K1806&lt;0,"ATENÇÃO",IF(K1806&lt;=5,"BOM","EXCELENTE")))</f>
        <v/>
      </c>
      <c r="N1806" t="n">
        <v>100</v>
      </c>
      <c r="O1806" t="n">
        <v>25.72214580467676</v>
      </c>
    </row>
    <row r="1807" hidden="1">
      <c r="A1807" s="11" t="n">
        <v>46057</v>
      </c>
      <c r="B1807" t="inlineStr">
        <is>
          <t>Jaqueline Evangelista da Silva Martins</t>
        </is>
      </c>
      <c r="C1807" t="inlineStr">
        <is>
          <t>Técnico III</t>
        </is>
      </c>
      <c r="D1807" t="n">
        <v>50</v>
      </c>
      <c r="E1807" t="n">
        <v>46</v>
      </c>
      <c r="F1807" t="n">
        <v>10.35</v>
      </c>
      <c r="G1807" t="n">
        <v>0</v>
      </c>
      <c r="H1807" t="n">
        <v>0</v>
      </c>
      <c r="I1807" s="3">
        <f>E1807+G1807+H1807</f>
        <v/>
      </c>
      <c r="J1807" s="3">
        <f>ROUND(MIN(IF(C1807="Técnico III",35,IF(C1807="Técnico II",28,IF(C1807="Técnico I",23,IF(C1807="JR",20,IF(C1807="Estágio",10,0))))),IF(C1807="Técnico III",SUMIFS($D:$D,$A:$A,$A1807,$B:$B,"&lt;&gt;Patrícia Karla de Sousa Araújo",$B:$B,"&lt;&gt;Lorena Dias de Araujo",$B:$B,"&lt;&gt;Lucas Luiz Romero")*(35/1083),IF(C1807="Técnico II",SUMIFS($D:$D,$A:$A,$A1807,$B:$B,"&lt;&gt;Patrícia Karla de Sousa Araújo",$B:$B,"&lt;&gt;Lorena Dias de Araujo",$B:$B,"&lt;&gt;Lucas Luiz Romero")*(28/1083),IF(C1807="Técnico I",SUMIFS($D:$D,$A:$A,$A1807,$B:$B,"&lt;&gt;Patrícia Karla de Sousa Araújo",$B:$B,"&lt;&gt;Lorena Dias de Araujo",$B:$B,"&lt;&gt;Lucas Luiz Romero")*(23/1083),IF(C1807="JR",SUMIFS($D:$D,$A:$A,$A1807,$B:$B,"&lt;&gt;Patrícia Karla de Sousa Araújo",$B:$B,"&lt;&gt;Lorena Dias de Araujo",$B:$B,"&lt;&gt;Lucas Luiz Romero")*(20/1083),IF(C1807="Estágio",SUMIFS($D:$D,$A:$A,$A1807,$B:$B,"&lt;&gt;Patrícia Karla de Sousa Araújo",$B:$B,"&lt;&gt;Lorena Dias de Araujo",$B:$B,"&lt;&gt;Lucas Luiz Romero")*(10/1083),0)))))),0)</f>
        <v/>
      </c>
      <c r="K1807" s="3">
        <f>I1807-J1807</f>
        <v/>
      </c>
      <c r="L1807" s="3">
        <f>IF(K1807&lt;-5,"CRÍTICO",IF(K1807&lt;0,"ATENÇÃO",IF(K1807&lt;=5,"BOM","EXCELENTE")))</f>
        <v/>
      </c>
      <c r="N1807" t="n">
        <v>94.64</v>
      </c>
      <c r="O1807" t="n">
        <v>27.52941176470588</v>
      </c>
    </row>
    <row r="1808" hidden="1">
      <c r="A1808" s="11" t="n">
        <v>46057</v>
      </c>
      <c r="B1808" t="inlineStr">
        <is>
          <t>Jessica Faria da Silveira</t>
        </is>
      </c>
      <c r="C1808" t="inlineStr">
        <is>
          <t>Técnico II</t>
        </is>
      </c>
      <c r="D1808" t="n">
        <v>41</v>
      </c>
      <c r="E1808" t="n">
        <v>33</v>
      </c>
      <c r="F1808" t="n">
        <v>13.59</v>
      </c>
      <c r="G1808" t="n">
        <v>0</v>
      </c>
      <c r="H1808" t="n">
        <v>0</v>
      </c>
      <c r="I1808" s="3">
        <f>E1808+G1808+H1808</f>
        <v/>
      </c>
      <c r="J1808" s="3">
        <f>ROUND(MIN(IF(C1808="Técnico III",35,IF(C1808="Técnico II",28,IF(C1808="Técnico I",23,IF(C1808="JR",20,IF(C1808="Estágio",10,0))))),IF(C1808="Técnico III",SUMIFS($D:$D,$A:$A,$A1808,$B:$B,"&lt;&gt;Patrícia Karla de Sousa Araújo",$B:$B,"&lt;&gt;Lorena Dias de Araujo",$B:$B,"&lt;&gt;Lucas Luiz Romero")*(35/1083),IF(C1808="Técnico II",SUMIFS($D:$D,$A:$A,$A1808,$B:$B,"&lt;&gt;Patrícia Karla de Sousa Araújo",$B:$B,"&lt;&gt;Lorena Dias de Araujo",$B:$B,"&lt;&gt;Lucas Luiz Romero")*(28/1083),IF(C1808="Técnico I",SUMIFS($D:$D,$A:$A,$A1808,$B:$B,"&lt;&gt;Patrícia Karla de Sousa Araújo",$B:$B,"&lt;&gt;Lorena Dias de Araujo",$B:$B,"&lt;&gt;Lucas Luiz Romero")*(23/1083),IF(C1808="JR",SUMIFS($D:$D,$A:$A,$A1808,$B:$B,"&lt;&gt;Patrícia Karla de Sousa Araújo",$B:$B,"&lt;&gt;Lorena Dias de Araujo",$B:$B,"&lt;&gt;Lucas Luiz Romero")*(20/1083),IF(C1808="Estágio",SUMIFS($D:$D,$A:$A,$A1808,$B:$B,"&lt;&gt;Patrícia Karla de Sousa Araújo",$B:$B,"&lt;&gt;Lorena Dias de Araujo",$B:$B,"&lt;&gt;Lucas Luiz Romero")*(10/1083),0)))))),0)</f>
        <v/>
      </c>
      <c r="K1808" s="3">
        <f>I1808-J1808</f>
        <v/>
      </c>
      <c r="L1808" s="3">
        <f>IF(K1808&lt;-5,"CRÍTICO",IF(K1808&lt;0,"ATENÇÃO",IF(K1808&lt;=5,"BOM","EXCELENTE")))</f>
        <v/>
      </c>
      <c r="N1808" t="n">
        <v>99.06999999999999</v>
      </c>
      <c r="O1808" t="n">
        <v>26.3768115942029</v>
      </c>
    </row>
    <row r="1809" hidden="1">
      <c r="A1809" s="11" t="n">
        <v>46057</v>
      </c>
      <c r="B1809" t="inlineStr">
        <is>
          <t>Jéssica Fé Moura</t>
        </is>
      </c>
      <c r="C1809" t="inlineStr">
        <is>
          <t>Técnico III</t>
        </is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s="3" t="n">
        <v>0</v>
      </c>
      <c r="J1809" s="3" t="n">
        <v>0</v>
      </c>
      <c r="K1809" s="3" t="n">
        <v>0</v>
      </c>
      <c r="L1809" s="3">
        <f>IF(K1809&lt;-5,"CRÍTICO",IF(K1809&lt;0,"ATENÇÃO",IF(K1809&lt;=5,"BOM","EXCELENTE")))</f>
        <v/>
      </c>
      <c r="N1809" t="n">
        <v>100</v>
      </c>
      <c r="O1809" t="n">
        <v>0</v>
      </c>
    </row>
    <row r="1810" hidden="1">
      <c r="A1810" s="11" t="n">
        <v>46057</v>
      </c>
      <c r="B1810" t="inlineStr">
        <is>
          <t>Karina Gonçalves Martins</t>
        </is>
      </c>
      <c r="C1810" t="inlineStr">
        <is>
          <t>JR</t>
        </is>
      </c>
      <c r="D1810" t="n">
        <v>17</v>
      </c>
      <c r="E1810" t="n">
        <v>17</v>
      </c>
      <c r="F1810" t="n">
        <v>30.12</v>
      </c>
      <c r="G1810" t="n">
        <v>0</v>
      </c>
      <c r="H1810" t="n">
        <v>0</v>
      </c>
      <c r="I1810" s="3">
        <f>E1810+G1810+H1810</f>
        <v/>
      </c>
      <c r="J1810" s="3">
        <f>ROUND(MIN(IF(C1810="Técnico III",35,IF(C1810="Técnico II",28,IF(C1810="Técnico I",23,IF(C1810="JR",20,IF(C1810="Estágio",10,0))))),IF(C1810="Técnico III",SUMIFS($D:$D,$A:$A,$A1810,$B:$B,"&lt;&gt;Patrícia Karla de Sousa Araújo",$B:$B,"&lt;&gt;Lorena Dias de Araujo",$B:$B,"&lt;&gt;Lucas Luiz Romero")*(35/1083),IF(C1810="Técnico II",SUMIFS($D:$D,$A:$A,$A1810,$B:$B,"&lt;&gt;Patrícia Karla de Sousa Araújo",$B:$B,"&lt;&gt;Lorena Dias de Araujo",$B:$B,"&lt;&gt;Lucas Luiz Romero")*(28/1083),IF(C1810="Técnico I",SUMIFS($D:$D,$A:$A,$A1810,$B:$B,"&lt;&gt;Patrícia Karla de Sousa Araújo",$B:$B,"&lt;&gt;Lorena Dias de Araujo",$B:$B,"&lt;&gt;Lucas Luiz Romero")*(23/1083),IF(C1810="JR",SUMIFS($D:$D,$A:$A,$A1810,$B:$B,"&lt;&gt;Patrícia Karla de Sousa Araújo",$B:$B,"&lt;&gt;Lorena Dias de Araujo",$B:$B,"&lt;&gt;Lucas Luiz Romero")*(20/1083),IF(C1810="Estágio",SUMIFS($D:$D,$A:$A,$A1810,$B:$B,"&lt;&gt;Patrícia Karla de Sousa Araújo",$B:$B,"&lt;&gt;Lorena Dias de Araujo",$B:$B,"&lt;&gt;Lucas Luiz Romero")*(10/1083),0)))))),0)</f>
        <v/>
      </c>
      <c r="K1810" s="3">
        <f>I1810-J1810</f>
        <v/>
      </c>
      <c r="L1810" s="3">
        <f>IF(K1810&lt;-5,"CRÍTICO",IF(K1810&lt;0,"ATENÇÃO",IF(K1810&lt;=5,"BOM","EXCELENTE")))</f>
        <v/>
      </c>
      <c r="N1810" t="n">
        <v>98.48</v>
      </c>
      <c r="O1810" t="n">
        <v>27.85388127853881</v>
      </c>
    </row>
    <row r="1811" hidden="1">
      <c r="A1811" s="11" t="n">
        <v>46057</v>
      </c>
      <c r="B1811" t="inlineStr">
        <is>
          <t>Kerollen Cristielly de Jesus Siqueira</t>
        </is>
      </c>
      <c r="C1811" t="inlineStr">
        <is>
          <t>Técnico III</t>
        </is>
      </c>
      <c r="D1811" t="n">
        <v>33</v>
      </c>
      <c r="E1811" t="n">
        <v>31</v>
      </c>
      <c r="F1811" t="n">
        <v>18.4</v>
      </c>
      <c r="G1811" t="n">
        <v>0</v>
      </c>
      <c r="H1811" t="n">
        <v>0</v>
      </c>
      <c r="I1811" s="3">
        <f>E1811+G1811+H1811</f>
        <v/>
      </c>
      <c r="J1811" s="3">
        <f>ROUND(MIN(IF(C1811="Técnico III",35,IF(C1811="Técnico II",28,IF(C1811="Técnico I",23,IF(C1811="JR",20,IF(C1811="Estágio",10,0))))),IF(C1811="Técnico III",SUMIFS($D:$D,$A:$A,$A1811,$B:$B,"&lt;&gt;Patrícia Karla de Sousa Araújo",$B:$B,"&lt;&gt;Lorena Dias de Araujo",$B:$B,"&lt;&gt;Lucas Luiz Romero")*(35/1083),IF(C1811="Técnico II",SUMIFS($D:$D,$A:$A,$A1811,$B:$B,"&lt;&gt;Patrícia Karla de Sousa Araújo",$B:$B,"&lt;&gt;Lorena Dias de Araujo",$B:$B,"&lt;&gt;Lucas Luiz Romero")*(28/1083),IF(C1811="Técnico I",SUMIFS($D:$D,$A:$A,$A1811,$B:$B,"&lt;&gt;Patrícia Karla de Sousa Araújo",$B:$B,"&lt;&gt;Lorena Dias de Araujo",$B:$B,"&lt;&gt;Lucas Luiz Romero")*(23/1083),IF(C1811="JR",SUMIFS($D:$D,$A:$A,$A1811,$B:$B,"&lt;&gt;Patrícia Karla de Sousa Araújo",$B:$B,"&lt;&gt;Lorena Dias de Araujo",$B:$B,"&lt;&gt;Lucas Luiz Romero")*(20/1083),IF(C1811="Estágio",SUMIFS($D:$D,$A:$A,$A1811,$B:$B,"&lt;&gt;Patrícia Karla de Sousa Araújo",$B:$B,"&lt;&gt;Lorena Dias de Araujo",$B:$B,"&lt;&gt;Lucas Luiz Romero")*(10/1083),0)))))),0)</f>
        <v/>
      </c>
      <c r="K1811" s="3">
        <f>I1811-J1811</f>
        <v/>
      </c>
      <c r="L1811" s="3">
        <f>IF(K1811&lt;-5,"CRÍTICO",IF(K1811&lt;0,"ATENÇÃO",IF(K1811&lt;=5,"BOM","EXCELENTE")))</f>
        <v/>
      </c>
      <c r="N1811" t="n">
        <v>95.15000000000001</v>
      </c>
      <c r="O1811" t="n">
        <v>34.13173652694611</v>
      </c>
    </row>
    <row r="1812" hidden="1">
      <c r="A1812" s="11" t="n">
        <v>46057</v>
      </c>
      <c r="B1812" t="inlineStr">
        <is>
          <t>Leandro de Souza Silva</t>
        </is>
      </c>
      <c r="C1812" t="inlineStr">
        <is>
          <t>JR</t>
        </is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s="3" t="n">
        <v>0</v>
      </c>
      <c r="J1812" s="3" t="n">
        <v>0</v>
      </c>
      <c r="K1812" s="3" t="n">
        <v>0</v>
      </c>
      <c r="L1812" s="3">
        <f>IF(K1812&lt;-5,"CRÍTICO",IF(K1812&lt;0,"ATENÇÃO",IF(K1812&lt;=5,"BOM","EXCELENTE")))</f>
        <v/>
      </c>
      <c r="N1812" t="n">
        <v>0</v>
      </c>
      <c r="O1812" t="n">
        <v>0</v>
      </c>
    </row>
    <row r="1813" hidden="1">
      <c r="A1813" s="11" t="n">
        <v>46057</v>
      </c>
      <c r="B1813" t="inlineStr">
        <is>
          <t>Leandro Oliveira de Sousa</t>
        </is>
      </c>
      <c r="C1813" t="inlineStr">
        <is>
          <t>Técnico III</t>
        </is>
      </c>
      <c r="D1813" t="n">
        <v>29</v>
      </c>
      <c r="E1813" t="n">
        <v>26</v>
      </c>
      <c r="F1813" t="n">
        <v>23.36</v>
      </c>
      <c r="G1813" t="n">
        <v>0</v>
      </c>
      <c r="H1813" t="n">
        <v>0</v>
      </c>
      <c r="I1813" s="3">
        <f>E1813+G1813+H1813</f>
        <v/>
      </c>
      <c r="J1813" s="3">
        <f>ROUND(MIN(IF(C1813="Técnico III",35,IF(C1813="Técnico II",28,IF(C1813="Técnico I",23,IF(C1813="JR",20,IF(C1813="Estágio",10,0))))),IF(C1813="Técnico III",SUMIFS($D:$D,$A:$A,$A1813,$B:$B,"&lt;&gt;Patrícia Karla de Sousa Araújo",$B:$B,"&lt;&gt;Lorena Dias de Araujo",$B:$B,"&lt;&gt;Lucas Luiz Romero")*(35/1083),IF(C1813="Técnico II",SUMIFS($D:$D,$A:$A,$A1813,$B:$B,"&lt;&gt;Patrícia Karla de Sousa Araújo",$B:$B,"&lt;&gt;Lorena Dias de Araujo",$B:$B,"&lt;&gt;Lucas Luiz Romero")*(28/1083),IF(C1813="Técnico I",SUMIFS($D:$D,$A:$A,$A1813,$B:$B,"&lt;&gt;Patrícia Karla de Sousa Araújo",$B:$B,"&lt;&gt;Lorena Dias de Araujo",$B:$B,"&lt;&gt;Lucas Luiz Romero")*(23/1083),IF(C1813="JR",SUMIFS($D:$D,$A:$A,$A1813,$B:$B,"&lt;&gt;Patrícia Karla de Sousa Araújo",$B:$B,"&lt;&gt;Lorena Dias de Araujo",$B:$B,"&lt;&gt;Lucas Luiz Romero")*(20/1083),IF(C1813="Estágio",SUMIFS($D:$D,$A:$A,$A1813,$B:$B,"&lt;&gt;Patrícia Karla de Sousa Araújo",$B:$B,"&lt;&gt;Lorena Dias de Araujo",$B:$B,"&lt;&gt;Lucas Luiz Romero")*(10/1083),0)))))),0)</f>
        <v/>
      </c>
      <c r="K1813" s="3">
        <f>I1813-J1813</f>
        <v/>
      </c>
      <c r="L1813" s="3">
        <f>IF(K1813&lt;-5,"CRÍTICO",IF(K1813&lt;0,"ATENÇÃO",IF(K1813&lt;=5,"BOM","EXCELENTE")))</f>
        <v/>
      </c>
      <c r="N1813" t="n">
        <v>99.26000000000001</v>
      </c>
      <c r="O1813" t="n">
        <v>30.84832904884319</v>
      </c>
    </row>
    <row r="1814" hidden="1">
      <c r="A1814" s="11" t="n">
        <v>46057</v>
      </c>
      <c r="B1814" t="inlineStr">
        <is>
          <t>Lizandra Gomes Duarte</t>
        </is>
      </c>
      <c r="C1814" t="inlineStr">
        <is>
          <t>Técnico II</t>
        </is>
      </c>
      <c r="D1814" t="n">
        <v>33</v>
      </c>
      <c r="E1814" t="n">
        <v>26</v>
      </c>
      <c r="F1814" t="n">
        <v>17.24</v>
      </c>
      <c r="G1814" t="n">
        <v>0</v>
      </c>
      <c r="H1814" t="n">
        <v>0</v>
      </c>
      <c r="I1814" s="3">
        <f>E1814+G1814+H1814</f>
        <v/>
      </c>
      <c r="J1814" s="3">
        <f>ROUND(MIN(IF(C1814="Técnico III",35,IF(C1814="Técnico II",28,IF(C1814="Técnico I",23,IF(C1814="JR",20,IF(C1814="Estágio",10,0))))),IF(C1814="Técnico III",SUMIFS($D:$D,$A:$A,$A1814,$B:$B,"&lt;&gt;Patrícia Karla de Sousa Araújo",$B:$B,"&lt;&gt;Lorena Dias de Araujo",$B:$B,"&lt;&gt;Lucas Luiz Romero")*(35/1083),IF(C1814="Técnico II",SUMIFS($D:$D,$A:$A,$A1814,$B:$B,"&lt;&gt;Patrícia Karla de Sousa Araújo",$B:$B,"&lt;&gt;Lorena Dias de Araujo",$B:$B,"&lt;&gt;Lucas Luiz Romero")*(28/1083),IF(C1814="Técnico I",SUMIFS($D:$D,$A:$A,$A1814,$B:$B,"&lt;&gt;Patrícia Karla de Sousa Araújo",$B:$B,"&lt;&gt;Lorena Dias de Araujo",$B:$B,"&lt;&gt;Lucas Luiz Romero")*(23/1083),IF(C1814="JR",SUMIFS($D:$D,$A:$A,$A1814,$B:$B,"&lt;&gt;Patrícia Karla de Sousa Araújo",$B:$B,"&lt;&gt;Lorena Dias de Araujo",$B:$B,"&lt;&gt;Lucas Luiz Romero")*(20/1083),IF(C1814="Estágio",SUMIFS($D:$D,$A:$A,$A1814,$B:$B,"&lt;&gt;Patrícia Karla de Sousa Araújo",$B:$B,"&lt;&gt;Lorena Dias de Araujo",$B:$B,"&lt;&gt;Lucas Luiz Romero")*(10/1083),0)))))),0)</f>
        <v/>
      </c>
      <c r="K1814" s="3">
        <f>I1814-J1814</f>
        <v/>
      </c>
      <c r="L1814" s="3">
        <f>IF(K1814&lt;-5,"CRÍTICO",IF(K1814&lt;0,"ATENÇÃO",IF(K1814&lt;=5,"BOM","EXCELENTE")))</f>
        <v/>
      </c>
      <c r="N1814" t="n">
        <v>97.48</v>
      </c>
      <c r="O1814" t="n">
        <v>27.76470588235294</v>
      </c>
    </row>
    <row r="1815" hidden="1">
      <c r="A1815" s="11" t="n">
        <v>46057</v>
      </c>
      <c r="B1815" t="inlineStr">
        <is>
          <t>Lorena Dias de Araujo</t>
        </is>
      </c>
      <c r="C1815" t="inlineStr">
        <is>
          <t>Técnico II</t>
        </is>
      </c>
      <c r="D1815" t="n">
        <v>44</v>
      </c>
      <c r="E1815" t="n">
        <v>42</v>
      </c>
      <c r="F1815" t="n">
        <v>16.54</v>
      </c>
      <c r="G1815" t="n">
        <v>0</v>
      </c>
      <c r="H1815" t="n">
        <v>0</v>
      </c>
      <c r="I1815" s="3" t="n">
        <v>0</v>
      </c>
      <c r="J1815" s="3" t="n">
        <v>0</v>
      </c>
      <c r="K1815" s="3" t="n">
        <v>0</v>
      </c>
      <c r="L1815" s="3">
        <f>IF(K1815&lt;-5,"CRÍTICO",IF(K1815&lt;0,"ATENÇÃO",IF(K1815&lt;=5,"BOM","EXCELENTE")))</f>
        <v/>
      </c>
      <c r="N1815" t="n">
        <v>99.34</v>
      </c>
      <c r="O1815" t="n">
        <v>30.04291845493562</v>
      </c>
    </row>
    <row r="1816" hidden="1">
      <c r="A1816" s="11" t="n">
        <v>46057</v>
      </c>
      <c r="B1816" t="inlineStr">
        <is>
          <t>Lucas Luiz Romero</t>
        </is>
      </c>
      <c r="C1816" t="inlineStr">
        <is>
          <t>Técnico III</t>
        </is>
      </c>
      <c r="D1816" t="n">
        <v>40</v>
      </c>
      <c r="E1816" t="n">
        <v>34</v>
      </c>
      <c r="F1816" t="n">
        <v>14.04</v>
      </c>
      <c r="G1816" t="n">
        <v>0</v>
      </c>
      <c r="H1816" t="n">
        <v>0</v>
      </c>
      <c r="I1816" s="3">
        <f>E1816+G1816+H1816</f>
        <v/>
      </c>
      <c r="J1816" s="3">
        <f>ROUND(MIN(IF(C1816="Técnico III",35,IF(C1816="Técnico II",28,IF(C1816="Técnico I",23,IF(C1816="JR",20,IF(C1816="Estágio",10,0))))),IF(C1816="Técnico III",SUMIFS($D:$D,$A:$A,$A1816,$B:$B,"&lt;&gt;Patrícia Karla de Sousa Araújo",$B:$B,"&lt;&gt;Lorena Dias de Araujo",$B:$B,"&lt;&gt;Lucas Luiz Romero")*(35/1083),IF(C1816="Técnico II",SUMIFS($D:$D,$A:$A,$A1816,$B:$B,"&lt;&gt;Patrícia Karla de Sousa Araújo",$B:$B,"&lt;&gt;Lorena Dias de Araujo",$B:$B,"&lt;&gt;Lucas Luiz Romero")*(28/1083),IF(C1816="Técnico I",SUMIFS($D:$D,$A:$A,$A1816,$B:$B,"&lt;&gt;Patrícia Karla de Sousa Araújo",$B:$B,"&lt;&gt;Lorena Dias de Araujo",$B:$B,"&lt;&gt;Lucas Luiz Romero")*(23/1083),IF(C1816="JR",SUMIFS($D:$D,$A:$A,$A1816,$B:$B,"&lt;&gt;Patrícia Karla de Sousa Araújo",$B:$B,"&lt;&gt;Lorena Dias de Araujo",$B:$B,"&lt;&gt;Lucas Luiz Romero")*(20/1083),IF(C1816="Estágio",SUMIFS($D:$D,$A:$A,$A1816,$B:$B,"&lt;&gt;Patrícia Karla de Sousa Araújo",$B:$B,"&lt;&gt;Lorena Dias de Araujo",$B:$B,"&lt;&gt;Lucas Luiz Romero")*(10/1083),0)))))),0)</f>
        <v/>
      </c>
      <c r="K1816" s="3">
        <f>I1816-J1816</f>
        <v/>
      </c>
      <c r="L1816" s="3">
        <f>IF(K1816&lt;-5,"CRÍTICO",IF(K1816&lt;0,"ATENÇÃO",IF(K1816&lt;=5,"BOM","EXCELENTE")))</f>
        <v/>
      </c>
      <c r="N1816" t="n">
        <v>96.3</v>
      </c>
      <c r="O1816" t="n">
        <v>24.29378531073446</v>
      </c>
    </row>
    <row r="1817" hidden="1">
      <c r="A1817" s="11" t="n">
        <v>46057</v>
      </c>
      <c r="B1817" t="inlineStr">
        <is>
          <t>Luiz Fernando de Carvalho Junior</t>
        </is>
      </c>
      <c r="C1817" t="inlineStr">
        <is>
          <t>Técnico I</t>
        </is>
      </c>
      <c r="D1817" t="n">
        <v>24</v>
      </c>
      <c r="E1817" t="n">
        <v>23</v>
      </c>
      <c r="F1817" t="n">
        <v>26.48</v>
      </c>
      <c r="G1817" t="n">
        <v>0</v>
      </c>
      <c r="H1817" t="n">
        <v>0</v>
      </c>
      <c r="I1817" s="3">
        <f>E1817+G1817+H1817</f>
        <v/>
      </c>
      <c r="J1817" s="3">
        <f>ROUND(MIN(IF(C1817="Técnico III",35,IF(C1817="Técnico II",28,IF(C1817="Técnico I",23,IF(C1817="JR",20,IF(C1817="Estágio",10,0))))),IF(C1817="Técnico III",SUMIFS($D:$D,$A:$A,$A1817,$B:$B,"&lt;&gt;Patrícia Karla de Sousa Araújo",$B:$B,"&lt;&gt;Lorena Dias de Araujo",$B:$B,"&lt;&gt;Lucas Luiz Romero")*(35/1083),IF(C1817="Técnico II",SUMIFS($D:$D,$A:$A,$A1817,$B:$B,"&lt;&gt;Patrícia Karla de Sousa Araújo",$B:$B,"&lt;&gt;Lorena Dias de Araujo",$B:$B,"&lt;&gt;Lucas Luiz Romero")*(28/1083),IF(C1817="Técnico I",SUMIFS($D:$D,$A:$A,$A1817,$B:$B,"&lt;&gt;Patrícia Karla de Sousa Araújo",$B:$B,"&lt;&gt;Lorena Dias de Araujo",$B:$B,"&lt;&gt;Lucas Luiz Romero")*(23/1083),IF(C1817="JR",SUMIFS($D:$D,$A:$A,$A1817,$B:$B,"&lt;&gt;Patrícia Karla de Sousa Araújo",$B:$B,"&lt;&gt;Lorena Dias de Araujo",$B:$B,"&lt;&gt;Lucas Luiz Romero")*(20/1083),IF(C1817="Estágio",SUMIFS($D:$D,$A:$A,$A1817,$B:$B,"&lt;&gt;Patrícia Karla de Sousa Araújo",$B:$B,"&lt;&gt;Lorena Dias de Araujo",$B:$B,"&lt;&gt;Lucas Luiz Romero")*(10/1083),0)))))),0)</f>
        <v/>
      </c>
      <c r="K1817" s="3">
        <f>I1817-J1817</f>
        <v/>
      </c>
      <c r="L1817" s="3">
        <f>IF(K1817&lt;-5,"CRÍTICO",IF(K1817&lt;0,"ATENÇÃO",IF(K1817&lt;=5,"BOM","EXCELENTE")))</f>
        <v/>
      </c>
      <c r="N1817" t="n">
        <v>100</v>
      </c>
      <c r="O1817" t="n">
        <v>26.54320987654321</v>
      </c>
    </row>
    <row r="1818" hidden="1">
      <c r="A1818" s="11" t="n">
        <v>46057</v>
      </c>
      <c r="B1818" t="inlineStr">
        <is>
          <t>Maria Eduarda Sousa Costa</t>
        </is>
      </c>
      <c r="C1818" t="inlineStr">
        <is>
          <t>Estágio</t>
        </is>
      </c>
      <c r="D1818" t="n">
        <v>8</v>
      </c>
      <c r="E1818" t="n">
        <v>8</v>
      </c>
      <c r="F1818" t="n">
        <v>45.17</v>
      </c>
      <c r="G1818" t="n">
        <v>0</v>
      </c>
      <c r="H1818" t="n">
        <v>0</v>
      </c>
      <c r="I1818" s="3">
        <f>E1818+G1818+H1818</f>
        <v/>
      </c>
      <c r="J1818" s="3">
        <f>ROUND(MIN(IF(C1818="Técnico III",35,IF(C1818="Técnico II",28,IF(C1818="Técnico I",23,IF(C1818="JR",20,IF(C1818="Estágio",10,0))))),IF(C1818="Técnico III",SUMIFS($D:$D,$A:$A,$A1818,$B:$B,"&lt;&gt;Patrícia Karla de Sousa Araújo",$B:$B,"&lt;&gt;Lorena Dias de Araujo",$B:$B,"&lt;&gt;Lucas Luiz Romero")*(35/1083),IF(C1818="Técnico II",SUMIFS($D:$D,$A:$A,$A1818,$B:$B,"&lt;&gt;Patrícia Karla de Sousa Araújo",$B:$B,"&lt;&gt;Lorena Dias de Araujo",$B:$B,"&lt;&gt;Lucas Luiz Romero")*(28/1083),IF(C1818="Técnico I",SUMIFS($D:$D,$A:$A,$A1818,$B:$B,"&lt;&gt;Patrícia Karla de Sousa Araújo",$B:$B,"&lt;&gt;Lorena Dias de Araujo",$B:$B,"&lt;&gt;Lucas Luiz Romero")*(23/1083),IF(C1818="JR",SUMIFS($D:$D,$A:$A,$A1818,$B:$B,"&lt;&gt;Patrícia Karla de Sousa Araújo",$B:$B,"&lt;&gt;Lorena Dias de Araujo",$B:$B,"&lt;&gt;Lucas Luiz Romero")*(20/1083),IF(C1818="Estágio",SUMIFS($D:$D,$A:$A,$A1818,$B:$B,"&lt;&gt;Patrícia Karla de Sousa Araújo",$B:$B,"&lt;&gt;Lorena Dias de Araujo",$B:$B,"&lt;&gt;Lucas Luiz Romero")*(10/1083),0)))))),0)</f>
        <v/>
      </c>
      <c r="K1818" s="3">
        <f>I1818-J1818</f>
        <v/>
      </c>
      <c r="L1818" s="3">
        <f>IF(K1818&lt;-5,"CRÍTICO",IF(K1818&lt;0,"ATENÇÃO",IF(K1818&lt;=5,"BOM","EXCELENTE")))</f>
        <v/>
      </c>
      <c r="N1818" t="n">
        <v>100</v>
      </c>
      <c r="O1818" t="n">
        <v>35.48387096774194</v>
      </c>
    </row>
    <row r="1819" hidden="1">
      <c r="A1819" s="11" t="n">
        <v>46057</v>
      </c>
      <c r="B1819" t="inlineStr">
        <is>
          <t>Matheus Farias De Souza</t>
        </is>
      </c>
      <c r="C1819" t="inlineStr">
        <is>
          <t>Técnico III</t>
        </is>
      </c>
      <c r="D1819" t="n">
        <v>39</v>
      </c>
      <c r="E1819" t="n">
        <v>38</v>
      </c>
      <c r="F1819" t="n">
        <v>17.36</v>
      </c>
      <c r="G1819" t="n">
        <v>0</v>
      </c>
      <c r="H1819" t="n">
        <v>0</v>
      </c>
      <c r="I1819" s="3">
        <f>E1819+G1819+H1819</f>
        <v/>
      </c>
      <c r="J1819" s="3">
        <f>ROUND(MIN(IF(C1819="Técnico III",35,IF(C1819="Técnico II",28,IF(C1819="Técnico I",23,IF(C1819="JR",20,IF(C1819="Estágio",10,0))))),IF(C1819="Técnico III",SUMIFS($D:$D,$A:$A,$A1819,$B:$B,"&lt;&gt;Patrícia Karla de Sousa Araújo",$B:$B,"&lt;&gt;Lorena Dias de Araujo",$B:$B,"&lt;&gt;Lucas Luiz Romero")*(35/1083),IF(C1819="Técnico II",SUMIFS($D:$D,$A:$A,$A1819,$B:$B,"&lt;&gt;Patrícia Karla de Sousa Araújo",$B:$B,"&lt;&gt;Lorena Dias de Araujo",$B:$B,"&lt;&gt;Lucas Luiz Romero")*(28/1083),IF(C1819="Técnico I",SUMIFS($D:$D,$A:$A,$A1819,$B:$B,"&lt;&gt;Patrícia Karla de Sousa Araújo",$B:$B,"&lt;&gt;Lorena Dias de Araujo",$B:$B,"&lt;&gt;Lucas Luiz Romero")*(23/1083),IF(C1819="JR",SUMIFS($D:$D,$A:$A,$A1819,$B:$B,"&lt;&gt;Patrícia Karla de Sousa Araújo",$B:$B,"&lt;&gt;Lorena Dias de Araujo",$B:$B,"&lt;&gt;Lucas Luiz Romero")*(20/1083),IF(C1819="Estágio",SUMIFS($D:$D,$A:$A,$A1819,$B:$B,"&lt;&gt;Patrícia Karla de Sousa Araújo",$B:$B,"&lt;&gt;Lorena Dias de Araujo",$B:$B,"&lt;&gt;Lucas Luiz Romero")*(10/1083),0)))))),0)</f>
        <v/>
      </c>
      <c r="K1819" s="3">
        <f>I1819-J1819</f>
        <v/>
      </c>
      <c r="L1819" s="3">
        <f>IF(K1819&lt;-5,"CRÍTICO",IF(K1819&lt;0,"ATENÇÃO",IF(K1819&lt;=5,"BOM","EXCELENTE")))</f>
        <v/>
      </c>
      <c r="N1819" t="n">
        <v>99.27</v>
      </c>
      <c r="O1819" t="n">
        <v>31.16370808678501</v>
      </c>
    </row>
    <row r="1820" hidden="1">
      <c r="A1820" s="11" t="n">
        <v>46057</v>
      </c>
      <c r="B1820" t="inlineStr">
        <is>
          <t>Maysa Victoria Dias Moura</t>
        </is>
      </c>
      <c r="C1820" t="inlineStr">
        <is>
          <t>Técnico III</t>
        </is>
      </c>
      <c r="D1820" t="n">
        <v>33</v>
      </c>
      <c r="E1820" t="n">
        <v>31</v>
      </c>
      <c r="F1820" t="n">
        <v>17.07</v>
      </c>
      <c r="G1820" t="n">
        <v>0</v>
      </c>
      <c r="H1820" t="n">
        <v>0</v>
      </c>
      <c r="I1820" s="3">
        <f>E1820+G1820+H1820</f>
        <v/>
      </c>
      <c r="J1820" s="3">
        <f>ROUND(MIN(IF(C1820="Técnico III",35,IF(C1820="Técnico II",28,IF(C1820="Técnico I",23,IF(C1820="JR",20,IF(C1820="Estágio",10,0))))),IF(C1820="Técnico III",SUMIFS($D:$D,$A:$A,$A1820,$B:$B,"&lt;&gt;Patrícia Karla de Sousa Araújo",$B:$B,"&lt;&gt;Lorena Dias de Araujo",$B:$B,"&lt;&gt;Lucas Luiz Romero")*(35/1083),IF(C1820="Técnico II",SUMIFS($D:$D,$A:$A,$A1820,$B:$B,"&lt;&gt;Patrícia Karla de Sousa Araújo",$B:$B,"&lt;&gt;Lorena Dias de Araujo",$B:$B,"&lt;&gt;Lucas Luiz Romero")*(28/1083),IF(C1820="Técnico I",SUMIFS($D:$D,$A:$A,$A1820,$B:$B,"&lt;&gt;Patrícia Karla de Sousa Araújo",$B:$B,"&lt;&gt;Lorena Dias de Araujo",$B:$B,"&lt;&gt;Lucas Luiz Romero")*(23/1083),IF(C1820="JR",SUMIFS($D:$D,$A:$A,$A1820,$B:$B,"&lt;&gt;Patrícia Karla de Sousa Araújo",$B:$B,"&lt;&gt;Lorena Dias de Araujo",$B:$B,"&lt;&gt;Lucas Luiz Romero")*(20/1083),IF(C1820="Estágio",SUMIFS($D:$D,$A:$A,$A1820,$B:$B,"&lt;&gt;Patrícia Karla de Sousa Araújo",$B:$B,"&lt;&gt;Lorena Dias de Araujo",$B:$B,"&lt;&gt;Lucas Luiz Romero")*(10/1083),0)))))),0)</f>
        <v/>
      </c>
      <c r="K1820" s="3">
        <f>I1820-J1820</f>
        <v/>
      </c>
      <c r="L1820" s="3">
        <f>IF(K1820&lt;-5,"CRÍTICO",IF(K1820&lt;0,"ATENÇÃO",IF(K1820&lt;=5,"BOM","EXCELENTE")))</f>
        <v/>
      </c>
      <c r="N1820" t="n">
        <v>94.16</v>
      </c>
      <c r="O1820" t="n">
        <v>27.03862660944206</v>
      </c>
    </row>
    <row r="1821" hidden="1">
      <c r="A1821" s="11" t="n">
        <v>46057</v>
      </c>
      <c r="B1821" t="inlineStr">
        <is>
          <t>Michelle G Santos</t>
        </is>
      </c>
      <c r="C1821" t="inlineStr">
        <is>
          <t>Estágio</t>
        </is>
      </c>
      <c r="D1821" t="n">
        <v>15</v>
      </c>
      <c r="E1821" t="n">
        <v>15</v>
      </c>
      <c r="F1821" t="n">
        <v>40.08</v>
      </c>
      <c r="G1821" t="n">
        <v>0</v>
      </c>
      <c r="H1821" t="n">
        <v>0</v>
      </c>
      <c r="I1821" s="3">
        <f>E1821+G1821+H1821</f>
        <v/>
      </c>
      <c r="J1821" s="3">
        <f>ROUND(MIN(IF(C1821="Técnico III",35,IF(C1821="Técnico II",28,IF(C1821="Técnico I",23,IF(C1821="JR",20,IF(C1821="Estágio",10,0))))),IF(C1821="Técnico III",SUMIFS($D:$D,$A:$A,$A1821,$B:$B,"&lt;&gt;Patrícia Karla de Sousa Araújo",$B:$B,"&lt;&gt;Lorena Dias de Araujo",$B:$B,"&lt;&gt;Lucas Luiz Romero")*(35/1083),IF(C1821="Técnico II",SUMIFS($D:$D,$A:$A,$A1821,$B:$B,"&lt;&gt;Patrícia Karla de Sousa Araújo",$B:$B,"&lt;&gt;Lorena Dias de Araujo",$B:$B,"&lt;&gt;Lucas Luiz Romero")*(28/1083),IF(C1821="Técnico I",SUMIFS($D:$D,$A:$A,$A1821,$B:$B,"&lt;&gt;Patrícia Karla de Sousa Araújo",$B:$B,"&lt;&gt;Lorena Dias de Araujo",$B:$B,"&lt;&gt;Lucas Luiz Romero")*(23/1083),IF(C1821="JR",SUMIFS($D:$D,$A:$A,$A1821,$B:$B,"&lt;&gt;Patrícia Karla de Sousa Araújo",$B:$B,"&lt;&gt;Lorena Dias de Araujo",$B:$B,"&lt;&gt;Lucas Luiz Romero")*(20/1083),IF(C1821="Estágio",SUMIFS($D:$D,$A:$A,$A1821,$B:$B,"&lt;&gt;Patrícia Karla de Sousa Araújo",$B:$B,"&lt;&gt;Lorena Dias de Araujo",$B:$B,"&lt;&gt;Lucas Luiz Romero")*(10/1083),0)))))),0)</f>
        <v/>
      </c>
      <c r="K1821" s="3">
        <f>I1821-J1821</f>
        <v/>
      </c>
      <c r="L1821" s="3">
        <f>IF(K1821&lt;-5,"CRÍTICO",IF(K1821&lt;0,"ATENÇÃO",IF(K1821&lt;=5,"BOM","EXCELENTE")))</f>
        <v/>
      </c>
      <c r="N1821" t="n">
        <v>93.75</v>
      </c>
      <c r="O1821" t="n">
        <v>19.31818181818182</v>
      </c>
    </row>
    <row r="1822" hidden="1">
      <c r="A1822" s="11" t="n">
        <v>46057</v>
      </c>
      <c r="B1822" t="inlineStr">
        <is>
          <t>Milena Sales</t>
        </is>
      </c>
      <c r="C1822" t="inlineStr">
        <is>
          <t>JR</t>
        </is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s="3" t="n">
        <v>0</v>
      </c>
      <c r="J1822" s="3" t="n">
        <v>0</v>
      </c>
      <c r="K1822" s="3" t="n">
        <v>0</v>
      </c>
      <c r="L1822" s="3">
        <f>IF(K1822&lt;-5,"CRÍTICO",IF(K1822&lt;0,"ATENÇÃO",IF(K1822&lt;=5,"BOM","EXCELENTE")))</f>
        <v/>
      </c>
      <c r="N1822" t="n">
        <v>0</v>
      </c>
      <c r="O1822" t="n">
        <v>0</v>
      </c>
    </row>
    <row r="1823" hidden="1">
      <c r="A1823" s="11" t="n">
        <v>46057</v>
      </c>
      <c r="B1823" t="inlineStr">
        <is>
          <t>Patrícia Karla de Sousa Araújo</t>
        </is>
      </c>
      <c r="C1823" t="inlineStr">
        <is>
          <t>Técnico II</t>
        </is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s="3" t="n">
        <v>0</v>
      </c>
      <c r="J1823" s="3" t="n">
        <v>0</v>
      </c>
      <c r="K1823" s="3" t="n">
        <v>0</v>
      </c>
      <c r="L1823" s="3">
        <f>IF(K1823&lt;-5,"CRÍTICO",IF(K1823&lt;0,"ATENÇÃO",IF(K1823&lt;=5,"BOM","EXCELENTE")))</f>
        <v/>
      </c>
      <c r="N1823" t="n">
        <v>97.92</v>
      </c>
      <c r="O1823" t="n">
        <v>32.87671232876712</v>
      </c>
    </row>
    <row r="1824" hidden="1">
      <c r="A1824" s="11" t="n">
        <v>46057</v>
      </c>
      <c r="B1824" t="inlineStr">
        <is>
          <t>Paulo Ricardo Santos</t>
        </is>
      </c>
      <c r="C1824" t="inlineStr">
        <is>
          <t>JR</t>
        </is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s="3" t="n">
        <v>0</v>
      </c>
      <c r="J1824" s="3" t="n">
        <v>0</v>
      </c>
      <c r="K1824" s="3" t="n">
        <v>0</v>
      </c>
      <c r="L1824" s="3">
        <f>IF(K1824&lt;-5,"CRÍTICO",IF(K1824&lt;0,"ATENÇÃO",IF(K1824&lt;=5,"BOM","EXCELENTE")))</f>
        <v/>
      </c>
      <c r="N1824" t="n">
        <v>0</v>
      </c>
      <c r="O1824" t="n">
        <v>0</v>
      </c>
    </row>
    <row r="1825" hidden="1">
      <c r="A1825" s="11" t="n">
        <v>46057</v>
      </c>
      <c r="B1825" t="inlineStr">
        <is>
          <t>Pedro Luiz Mota Sousa</t>
        </is>
      </c>
      <c r="C1825" t="inlineStr">
        <is>
          <t>JR</t>
        </is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s="3" t="n">
        <v>0</v>
      </c>
      <c r="J1825" s="3" t="n">
        <v>0</v>
      </c>
      <c r="K1825" s="3" t="n">
        <v>0</v>
      </c>
      <c r="L1825" s="3">
        <f>IF(K1825&lt;-5,"CRÍTICO",IF(K1825&lt;0,"ATENÇÃO",IF(K1825&lt;=5,"BOM","EXCELENTE")))</f>
        <v/>
      </c>
      <c r="N1825" t="n">
        <v>0</v>
      </c>
      <c r="O1825" t="n">
        <v>0</v>
      </c>
    </row>
    <row r="1826" hidden="1">
      <c r="A1826" s="11" t="n">
        <v>46057</v>
      </c>
      <c r="B1826" t="inlineStr">
        <is>
          <t>Quirino Diogo Leite Torres</t>
        </is>
      </c>
      <c r="C1826" t="inlineStr">
        <is>
          <t>Estágio</t>
        </is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s="3" t="n">
        <v>0</v>
      </c>
      <c r="J1826" s="3" t="n">
        <v>0</v>
      </c>
      <c r="K1826" s="3" t="n">
        <v>0</v>
      </c>
      <c r="L1826" s="3">
        <f>IF(K1826&lt;-5,"CRÍTICO",IF(K1826&lt;0,"ATENÇÃO",IF(K1826&lt;=5,"BOM","EXCELENTE")))</f>
        <v/>
      </c>
      <c r="N1826" t="n">
        <v>0</v>
      </c>
      <c r="O1826" t="n">
        <v>0</v>
      </c>
    </row>
    <row r="1827" hidden="1">
      <c r="A1827" s="11" t="n">
        <v>46057</v>
      </c>
      <c r="B1827" t="inlineStr">
        <is>
          <t>Raane Batista Matos</t>
        </is>
      </c>
      <c r="C1827" t="inlineStr">
        <is>
          <t>Técnico I</t>
        </is>
      </c>
      <c r="D1827" t="n">
        <v>17</v>
      </c>
      <c r="E1827" t="n">
        <v>16</v>
      </c>
      <c r="F1827" t="n">
        <v>40.1</v>
      </c>
      <c r="G1827" t="n">
        <v>0</v>
      </c>
      <c r="H1827" t="n">
        <v>0</v>
      </c>
      <c r="I1827" s="3">
        <f>E1827+G1827+H1827</f>
        <v/>
      </c>
      <c r="J1827" s="3">
        <f>ROUND(MIN(IF(C1827="Técnico III",35,IF(C1827="Técnico II",28,IF(C1827="Técnico I",23,IF(C1827="JR",20,IF(C1827="Estágio",10,0))))),IF(C1827="Técnico III",SUMIFS($D:$D,$A:$A,$A1827,$B:$B,"&lt;&gt;Patrícia Karla de Sousa Araújo",$B:$B,"&lt;&gt;Lorena Dias de Araujo",$B:$B,"&lt;&gt;Lucas Luiz Romero")*(35/1083),IF(C1827="Técnico II",SUMIFS($D:$D,$A:$A,$A1827,$B:$B,"&lt;&gt;Patrícia Karla de Sousa Araújo",$B:$B,"&lt;&gt;Lorena Dias de Araujo",$B:$B,"&lt;&gt;Lucas Luiz Romero")*(28/1083),IF(C1827="Técnico I",SUMIFS($D:$D,$A:$A,$A1827,$B:$B,"&lt;&gt;Patrícia Karla de Sousa Araújo",$B:$B,"&lt;&gt;Lorena Dias de Araujo",$B:$B,"&lt;&gt;Lucas Luiz Romero")*(23/1083),IF(C1827="JR",SUMIFS($D:$D,$A:$A,$A1827,$B:$B,"&lt;&gt;Patrícia Karla de Sousa Araújo",$B:$B,"&lt;&gt;Lorena Dias de Araujo",$B:$B,"&lt;&gt;Lucas Luiz Romero")*(20/1083),IF(C1827="Estágio",SUMIFS($D:$D,$A:$A,$A1827,$B:$B,"&lt;&gt;Patrícia Karla de Sousa Araújo",$B:$B,"&lt;&gt;Lorena Dias de Araujo",$B:$B,"&lt;&gt;Lucas Luiz Romero")*(10/1083),0)))))),0)</f>
        <v/>
      </c>
      <c r="K1827" s="3">
        <f>I1827-J1827</f>
        <v/>
      </c>
      <c r="L1827" s="3">
        <f>IF(K1827&lt;-5,"CRÍTICO",IF(K1827&lt;0,"ATENÇÃO",IF(K1827&lt;=5,"BOM","EXCELENTE")))</f>
        <v/>
      </c>
      <c r="N1827" t="n">
        <v>98.51000000000001</v>
      </c>
      <c r="O1827" t="n">
        <v>29.71014492753623</v>
      </c>
    </row>
    <row r="1828" hidden="1">
      <c r="A1828" s="11" t="n">
        <v>46057</v>
      </c>
      <c r="B1828" t="inlineStr">
        <is>
          <t>Rafael Gomes de Morais</t>
        </is>
      </c>
      <c r="C1828" t="inlineStr">
        <is>
          <t>Técnico III</t>
        </is>
      </c>
      <c r="D1828" t="n">
        <v>47</v>
      </c>
      <c r="E1828" t="n">
        <v>43</v>
      </c>
      <c r="F1828" t="n">
        <v>15.02</v>
      </c>
      <c r="G1828" t="n">
        <v>0</v>
      </c>
      <c r="H1828" t="n">
        <v>0</v>
      </c>
      <c r="I1828" s="3">
        <f>E1828+G1828+H1828</f>
        <v/>
      </c>
      <c r="J1828" s="3">
        <f>ROUND(MIN(IF(C1828="Técnico III",35,IF(C1828="Técnico II",28,IF(C1828="Técnico I",23,IF(C1828="JR",20,IF(C1828="Estágio",10,0))))),IF(C1828="Técnico III",SUMIFS($D:$D,$A:$A,$A1828,$B:$B,"&lt;&gt;Patrícia Karla de Sousa Araújo",$B:$B,"&lt;&gt;Lorena Dias de Araujo",$B:$B,"&lt;&gt;Lucas Luiz Romero")*(35/1083),IF(C1828="Técnico II",SUMIFS($D:$D,$A:$A,$A1828,$B:$B,"&lt;&gt;Patrícia Karla de Sousa Araújo",$B:$B,"&lt;&gt;Lorena Dias de Araujo",$B:$B,"&lt;&gt;Lucas Luiz Romero")*(28/1083),IF(C1828="Técnico I",SUMIFS($D:$D,$A:$A,$A1828,$B:$B,"&lt;&gt;Patrícia Karla de Sousa Araújo",$B:$B,"&lt;&gt;Lorena Dias de Araujo",$B:$B,"&lt;&gt;Lucas Luiz Romero")*(23/1083),IF(C1828="JR",SUMIFS($D:$D,$A:$A,$A1828,$B:$B,"&lt;&gt;Patrícia Karla de Sousa Araújo",$B:$B,"&lt;&gt;Lorena Dias de Araujo",$B:$B,"&lt;&gt;Lucas Luiz Romero")*(20/1083),IF(C1828="Estágio",SUMIFS($D:$D,$A:$A,$A1828,$B:$B,"&lt;&gt;Patrícia Karla de Sousa Araújo",$B:$B,"&lt;&gt;Lorena Dias de Araujo",$B:$B,"&lt;&gt;Lucas Luiz Romero")*(10/1083),0)))))),0)</f>
        <v/>
      </c>
      <c r="K1828" s="3">
        <f>I1828-J1828</f>
        <v/>
      </c>
      <c r="L1828" s="3">
        <f>IF(K1828&lt;-5,"CRÍTICO",IF(K1828&lt;0,"ATENÇÃO",IF(K1828&lt;=5,"BOM","EXCELENTE")))</f>
        <v/>
      </c>
      <c r="N1828" t="n">
        <v>98.81</v>
      </c>
      <c r="O1828" t="n">
        <v>30.71297989031079</v>
      </c>
    </row>
    <row r="1829" hidden="1">
      <c r="A1829" s="11" t="n">
        <v>46057</v>
      </c>
      <c r="B1829" t="inlineStr">
        <is>
          <t>Sara Maria Monteiro Lopes</t>
        </is>
      </c>
      <c r="C1829" t="inlineStr">
        <is>
          <t>Técnico I</t>
        </is>
      </c>
      <c r="D1829" t="n">
        <v>17</v>
      </c>
      <c r="E1829" t="n">
        <v>17</v>
      </c>
      <c r="F1829" t="n">
        <v>31.47</v>
      </c>
      <c r="G1829" t="n">
        <v>0</v>
      </c>
      <c r="H1829" t="n">
        <v>0</v>
      </c>
      <c r="I1829" s="3">
        <f>E1829+G1829+H1829</f>
        <v/>
      </c>
      <c r="J1829" s="3">
        <f>ROUND(MIN(IF(C1829="Técnico III",35,IF(C1829="Técnico II",28,IF(C1829="Técnico I",23,IF(C1829="JR",20,IF(C1829="Estágio",10,0))))),IF(C1829="Técnico III",SUMIFS($D:$D,$A:$A,$A1829,$B:$B,"&lt;&gt;Patrícia Karla de Sousa Araújo",$B:$B,"&lt;&gt;Lorena Dias de Araujo",$B:$B,"&lt;&gt;Lucas Luiz Romero")*(35/1083),IF(C1829="Técnico II",SUMIFS($D:$D,$A:$A,$A1829,$B:$B,"&lt;&gt;Patrícia Karla de Sousa Araújo",$B:$B,"&lt;&gt;Lorena Dias de Araujo",$B:$B,"&lt;&gt;Lucas Luiz Romero")*(28/1083),IF(C1829="Técnico I",SUMIFS($D:$D,$A:$A,$A1829,$B:$B,"&lt;&gt;Patrícia Karla de Sousa Araújo",$B:$B,"&lt;&gt;Lorena Dias de Araujo",$B:$B,"&lt;&gt;Lucas Luiz Romero")*(23/1083),IF(C1829="JR",SUMIFS($D:$D,$A:$A,$A1829,$B:$B,"&lt;&gt;Patrícia Karla de Sousa Araújo",$B:$B,"&lt;&gt;Lorena Dias de Araujo",$B:$B,"&lt;&gt;Lucas Luiz Romero")*(20/1083),IF(C1829="Estágio",SUMIFS($D:$D,$A:$A,$A1829,$B:$B,"&lt;&gt;Patrícia Karla de Sousa Araújo",$B:$B,"&lt;&gt;Lorena Dias de Araujo",$B:$B,"&lt;&gt;Lucas Luiz Romero")*(10/1083),0)))))),0)</f>
        <v/>
      </c>
      <c r="K1829" s="3">
        <f>I1829-J1829</f>
        <v/>
      </c>
      <c r="L1829" s="3">
        <f>IF(K1829&lt;-5,"CRÍTICO",IF(K1829&lt;0,"ATENÇÃO",IF(K1829&lt;=5,"BOM","EXCELENTE")))</f>
        <v/>
      </c>
      <c r="N1829" t="n">
        <v>98.48</v>
      </c>
      <c r="O1829" t="n">
        <v>29.35323383084577</v>
      </c>
    </row>
    <row r="1830" hidden="1">
      <c r="A1830" s="11" t="n">
        <v>46057</v>
      </c>
      <c r="B1830" t="inlineStr">
        <is>
          <t>Sarah Steffanie de Lima Borges</t>
        </is>
      </c>
      <c r="C1830" t="inlineStr">
        <is>
          <t>Técnico III</t>
        </is>
      </c>
      <c r="D1830" t="n">
        <v>39</v>
      </c>
      <c r="E1830" t="n">
        <v>37</v>
      </c>
      <c r="F1830" t="n">
        <v>14.12</v>
      </c>
      <c r="G1830" t="n">
        <v>0</v>
      </c>
      <c r="H1830" t="n">
        <v>0</v>
      </c>
      <c r="I1830" s="3">
        <f>E1830+G1830+H1830</f>
        <v/>
      </c>
      <c r="J1830" s="3">
        <f>ROUND(MIN(IF(C1830="Técnico III",35,IF(C1830="Técnico II",28,IF(C1830="Técnico I",23,IF(C1830="JR",20,IF(C1830="Estágio",10,0))))),IF(C1830="Técnico III",SUMIFS($D:$D,$A:$A,$A1830,$B:$B,"&lt;&gt;Patrícia Karla de Sousa Araújo",$B:$B,"&lt;&gt;Lorena Dias de Araujo",$B:$B,"&lt;&gt;Lucas Luiz Romero")*(35/1083),IF(C1830="Técnico II",SUMIFS($D:$D,$A:$A,$A1830,$B:$B,"&lt;&gt;Patrícia Karla de Sousa Araújo",$B:$B,"&lt;&gt;Lorena Dias de Araujo",$B:$B,"&lt;&gt;Lucas Luiz Romero")*(28/1083),IF(C1830="Técnico I",SUMIFS($D:$D,$A:$A,$A1830,$B:$B,"&lt;&gt;Patrícia Karla de Sousa Araújo",$B:$B,"&lt;&gt;Lorena Dias de Araujo",$B:$B,"&lt;&gt;Lucas Luiz Romero")*(23/1083),IF(C1830="JR",SUMIFS($D:$D,$A:$A,$A1830,$B:$B,"&lt;&gt;Patrícia Karla de Sousa Araújo",$B:$B,"&lt;&gt;Lorena Dias de Araujo",$B:$B,"&lt;&gt;Lucas Luiz Romero")*(20/1083),IF(C1830="Estágio",SUMIFS($D:$D,$A:$A,$A1830,$B:$B,"&lt;&gt;Patrícia Karla de Sousa Araújo",$B:$B,"&lt;&gt;Lorena Dias de Araujo",$B:$B,"&lt;&gt;Lucas Luiz Romero")*(10/1083),0)))))),0)</f>
        <v/>
      </c>
      <c r="K1830" s="3">
        <f>I1830-J1830</f>
        <v/>
      </c>
      <c r="L1830" s="3">
        <f>IF(K1830&lt;-5,"CRÍTICO",IF(K1830&lt;0,"ATENÇÃO",IF(K1830&lt;=5,"BOM","EXCELENTE")))</f>
        <v/>
      </c>
      <c r="N1830" t="n">
        <v>98.56</v>
      </c>
      <c r="O1830" t="n">
        <v>29.37365010799136</v>
      </c>
    </row>
    <row r="1831" hidden="1">
      <c r="A1831" s="11" t="n">
        <v>46058</v>
      </c>
      <c r="B1831" t="inlineStr">
        <is>
          <t>Alisson de Freitas Silva</t>
        </is>
      </c>
      <c r="C1831" t="inlineStr">
        <is>
          <t>Técnico II</t>
        </is>
      </c>
      <c r="D1831" t="n">
        <v>36</v>
      </c>
      <c r="E1831" t="n">
        <v>34</v>
      </c>
      <c r="F1831" t="n">
        <v>15.2</v>
      </c>
      <c r="G1831" t="n">
        <v>0</v>
      </c>
      <c r="H1831" t="n">
        <v>0</v>
      </c>
      <c r="I1831" s="3">
        <f>E1831+G1831+H1831</f>
        <v/>
      </c>
      <c r="J1831" s="3">
        <f>ROUND(MIN(IF(C1831="Técnico III",35,IF(C1831="Técnico II",28,IF(C1831="Técnico I",23,IF(C1831="JR",20,IF(C1831="Estágio",10,0))))),IF(C1831="Técnico III",SUMIFS($D:$D,$A:$A,$A1831,$B:$B,"&lt;&gt;Patrícia Karla de Sousa Araújo",$B:$B,"&lt;&gt;Lorena Dias de Araujo",$B:$B,"&lt;&gt;Lucas Luiz Romero")*(35/1083),IF(C1831="Técnico II",SUMIFS($D:$D,$A:$A,$A1831,$B:$B,"&lt;&gt;Patrícia Karla de Sousa Araújo",$B:$B,"&lt;&gt;Lorena Dias de Araujo",$B:$B,"&lt;&gt;Lucas Luiz Romero")*(28/1083),IF(C1831="Técnico I",SUMIFS($D:$D,$A:$A,$A1831,$B:$B,"&lt;&gt;Patrícia Karla de Sousa Araújo",$B:$B,"&lt;&gt;Lorena Dias de Araujo",$B:$B,"&lt;&gt;Lucas Luiz Romero")*(23/1083),IF(C1831="JR",SUMIFS($D:$D,$A:$A,$A1831,$B:$B,"&lt;&gt;Patrícia Karla de Sousa Araújo",$B:$B,"&lt;&gt;Lorena Dias de Araujo",$B:$B,"&lt;&gt;Lucas Luiz Romero")*(20/1083),IF(C1831="Estágio",SUMIFS($D:$D,$A:$A,$A1831,$B:$B,"&lt;&gt;Patrícia Karla de Sousa Araújo",$B:$B,"&lt;&gt;Lorena Dias de Araujo",$B:$B,"&lt;&gt;Lucas Luiz Romero")*(10/1083),0)))))),0)</f>
        <v/>
      </c>
      <c r="K1831" s="3">
        <f>I1831-J1831</f>
        <v/>
      </c>
      <c r="L1831" s="3">
        <f>IF(K1831&lt;-5,"CRÍTICO",IF(K1831&lt;0,"ATENÇÃO",IF(K1831&lt;=5,"BOM","EXCELENTE")))</f>
        <v/>
      </c>
      <c r="N1831" t="n">
        <v>98.31999999999999</v>
      </c>
      <c r="O1831" t="n">
        <v>30.3030303030303</v>
      </c>
    </row>
    <row r="1832" hidden="1">
      <c r="A1832" s="11" t="n">
        <v>46058</v>
      </c>
      <c r="B1832" t="inlineStr">
        <is>
          <t>Amanda Moura Ferreira</t>
        </is>
      </c>
      <c r="C1832" t="inlineStr">
        <is>
          <t>Técnico III</t>
        </is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s="3" t="n">
        <v>0</v>
      </c>
      <c r="J1832" s="3" t="n">
        <v>0</v>
      </c>
      <c r="K1832" s="3" t="n">
        <v>0</v>
      </c>
      <c r="L1832" s="3">
        <f>IF(K1832&lt;-5,"CRÍTICO",IF(K1832&lt;0,"ATENÇÃO",IF(K1832&lt;=5,"BOM","EXCELENTE")))</f>
        <v/>
      </c>
      <c r="N1832" t="n">
        <v>98.68000000000001</v>
      </c>
      <c r="O1832" t="n">
        <v>26.21951219512195</v>
      </c>
    </row>
    <row r="1833" hidden="1">
      <c r="A1833" s="11" t="n">
        <v>46058</v>
      </c>
      <c r="B1833" t="inlineStr">
        <is>
          <t>Ana Karollyne Souza Faria</t>
        </is>
      </c>
      <c r="C1833" t="inlineStr">
        <is>
          <t>Técnico I</t>
        </is>
      </c>
      <c r="D1833" t="n">
        <v>42</v>
      </c>
      <c r="E1833" t="n">
        <v>40</v>
      </c>
      <c r="F1833" t="n">
        <v>17.07</v>
      </c>
      <c r="G1833" t="n">
        <v>0</v>
      </c>
      <c r="H1833" t="n">
        <v>0</v>
      </c>
      <c r="I1833" s="3">
        <f>E1833+G1833+H1833</f>
        <v/>
      </c>
      <c r="J1833" s="3">
        <f>ROUND(MIN(IF(C1833="Técnico III",35,IF(C1833="Técnico II",28,IF(C1833="Técnico I",23,IF(C1833="JR",20,IF(C1833="Estágio",10,0))))),IF(C1833="Técnico III",SUMIFS($D:$D,$A:$A,$A1833,$B:$B,"&lt;&gt;Patrícia Karla de Sousa Araújo",$B:$B,"&lt;&gt;Lorena Dias de Araujo",$B:$B,"&lt;&gt;Lucas Luiz Romero")*(35/1083),IF(C1833="Técnico II",SUMIFS($D:$D,$A:$A,$A1833,$B:$B,"&lt;&gt;Patrícia Karla de Sousa Araújo",$B:$B,"&lt;&gt;Lorena Dias de Araujo",$B:$B,"&lt;&gt;Lucas Luiz Romero")*(28/1083),IF(C1833="Técnico I",SUMIFS($D:$D,$A:$A,$A1833,$B:$B,"&lt;&gt;Patrícia Karla de Sousa Araújo",$B:$B,"&lt;&gt;Lorena Dias de Araujo",$B:$B,"&lt;&gt;Lucas Luiz Romero")*(23/1083),IF(C1833="JR",SUMIFS($D:$D,$A:$A,$A1833,$B:$B,"&lt;&gt;Patrícia Karla de Sousa Araújo",$B:$B,"&lt;&gt;Lorena Dias de Araujo",$B:$B,"&lt;&gt;Lucas Luiz Romero")*(20/1083),IF(C1833="Estágio",SUMIFS($D:$D,$A:$A,$A1833,$B:$B,"&lt;&gt;Patrícia Karla de Sousa Araújo",$B:$B,"&lt;&gt;Lorena Dias de Araujo",$B:$B,"&lt;&gt;Lucas Luiz Romero")*(10/1083),0)))))),0)</f>
        <v/>
      </c>
      <c r="K1833" s="3">
        <f>I1833-J1833</f>
        <v/>
      </c>
      <c r="L1833" s="3">
        <f>IF(K1833&lt;-5,"CRÍTICO",IF(K1833&lt;0,"ATENÇÃO",IF(K1833&lt;=5,"BOM","EXCELENTE")))</f>
        <v/>
      </c>
      <c r="N1833" t="n">
        <v>100</v>
      </c>
      <c r="O1833" t="n">
        <v>31.74224343675418</v>
      </c>
    </row>
    <row r="1834" hidden="1">
      <c r="A1834" s="11" t="n">
        <v>46058</v>
      </c>
      <c r="B1834" t="inlineStr">
        <is>
          <t>Ana Paula Da Luz Silva Aleixo</t>
        </is>
      </c>
      <c r="C1834" t="inlineStr">
        <is>
          <t>Técnico III</t>
        </is>
      </c>
      <c r="D1834" t="n">
        <v>42</v>
      </c>
      <c r="E1834" t="n">
        <v>40</v>
      </c>
      <c r="F1834" t="n">
        <v>17.06</v>
      </c>
      <c r="G1834" t="n">
        <v>0</v>
      </c>
      <c r="H1834" t="n">
        <v>0</v>
      </c>
      <c r="I1834" s="3">
        <f>E1834+G1834+H1834</f>
        <v/>
      </c>
      <c r="J1834" s="3">
        <f>ROUND(MIN(IF(C1834="Técnico III",35,IF(C1834="Técnico II",28,IF(C1834="Técnico I",23,IF(C1834="JR",20,IF(C1834="Estágio",10,0))))),IF(C1834="Técnico III",SUMIFS($D:$D,$A:$A,$A1834,$B:$B,"&lt;&gt;Patrícia Karla de Sousa Araújo",$B:$B,"&lt;&gt;Lorena Dias de Araujo",$B:$B,"&lt;&gt;Lucas Luiz Romero")*(35/1083),IF(C1834="Técnico II",SUMIFS($D:$D,$A:$A,$A1834,$B:$B,"&lt;&gt;Patrícia Karla de Sousa Araújo",$B:$B,"&lt;&gt;Lorena Dias de Araujo",$B:$B,"&lt;&gt;Lucas Luiz Romero")*(28/1083),IF(C1834="Técnico I",SUMIFS($D:$D,$A:$A,$A1834,$B:$B,"&lt;&gt;Patrícia Karla de Sousa Araújo",$B:$B,"&lt;&gt;Lorena Dias de Araujo",$B:$B,"&lt;&gt;Lucas Luiz Romero")*(23/1083),IF(C1834="JR",SUMIFS($D:$D,$A:$A,$A1834,$B:$B,"&lt;&gt;Patrícia Karla de Sousa Araújo",$B:$B,"&lt;&gt;Lorena Dias de Araujo",$B:$B,"&lt;&gt;Lucas Luiz Romero")*(20/1083),IF(C1834="Estágio",SUMIFS($D:$D,$A:$A,$A1834,$B:$B,"&lt;&gt;Patrícia Karla de Sousa Araújo",$B:$B,"&lt;&gt;Lorena Dias de Araujo",$B:$B,"&lt;&gt;Lucas Luiz Romero")*(10/1083),0)))))),0)</f>
        <v/>
      </c>
      <c r="K1834" s="3">
        <f>I1834-J1834</f>
        <v/>
      </c>
      <c r="L1834" s="3">
        <f>IF(K1834&lt;-5,"CRÍTICO",IF(K1834&lt;0,"ATENÇÃO",IF(K1834&lt;=5,"BOM","EXCELENTE")))</f>
        <v/>
      </c>
      <c r="N1834" t="n">
        <v>98.25</v>
      </c>
      <c r="O1834" t="n">
        <v>25.83518930957684</v>
      </c>
    </row>
    <row r="1835" hidden="1">
      <c r="A1835" s="11" t="n">
        <v>46058</v>
      </c>
      <c r="B1835" t="inlineStr">
        <is>
          <t>Anna Luiza Rezende Tavares</t>
        </is>
      </c>
      <c r="C1835" t="inlineStr">
        <is>
          <t>Estágio</t>
        </is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s="3" t="n">
        <v>0</v>
      </c>
      <c r="J1835" s="3" t="n">
        <v>0</v>
      </c>
      <c r="K1835" s="3" t="n">
        <v>0</v>
      </c>
      <c r="L1835" s="3">
        <f>IF(K1835&lt;-5,"CRÍTICO",IF(K1835&lt;0,"ATENÇÃO",IF(K1835&lt;=5,"BOM","EXCELENTE")))</f>
        <v/>
      </c>
      <c r="N1835" t="n">
        <v>97.5</v>
      </c>
      <c r="O1835" t="n">
        <v>30.07518796992481</v>
      </c>
    </row>
    <row r="1836" hidden="1">
      <c r="A1836" s="11" t="n">
        <v>46058</v>
      </c>
      <c r="B1836" t="inlineStr">
        <is>
          <t>Brenda de Menezes Silva</t>
        </is>
      </c>
      <c r="C1836" t="inlineStr">
        <is>
          <t>Técnico II</t>
        </is>
      </c>
      <c r="D1836" t="n">
        <v>31</v>
      </c>
      <c r="E1836" t="n">
        <v>30</v>
      </c>
      <c r="F1836" t="n">
        <v>19.08</v>
      </c>
      <c r="G1836" t="n">
        <v>0</v>
      </c>
      <c r="H1836" t="n">
        <v>0</v>
      </c>
      <c r="I1836" s="3">
        <f>E1836+G1836+H1836</f>
        <v/>
      </c>
      <c r="J1836" s="3">
        <f>ROUND(MIN(IF(C1836="Técnico III",35,IF(C1836="Técnico II",28,IF(C1836="Técnico I",23,IF(C1836="JR",20,IF(C1836="Estágio",10,0))))),IF(C1836="Técnico III",SUMIFS($D:$D,$A:$A,$A1836,$B:$B,"&lt;&gt;Patrícia Karla de Sousa Araújo",$B:$B,"&lt;&gt;Lorena Dias de Araujo",$B:$B,"&lt;&gt;Lucas Luiz Romero")*(35/1083),IF(C1836="Técnico II",SUMIFS($D:$D,$A:$A,$A1836,$B:$B,"&lt;&gt;Patrícia Karla de Sousa Araújo",$B:$B,"&lt;&gt;Lorena Dias de Araujo",$B:$B,"&lt;&gt;Lucas Luiz Romero")*(28/1083),IF(C1836="Técnico I",SUMIFS($D:$D,$A:$A,$A1836,$B:$B,"&lt;&gt;Patrícia Karla de Sousa Araújo",$B:$B,"&lt;&gt;Lorena Dias de Araujo",$B:$B,"&lt;&gt;Lucas Luiz Romero")*(23/1083),IF(C1836="JR",SUMIFS($D:$D,$A:$A,$A1836,$B:$B,"&lt;&gt;Patrícia Karla de Sousa Araújo",$B:$B,"&lt;&gt;Lorena Dias de Araujo",$B:$B,"&lt;&gt;Lucas Luiz Romero")*(20/1083),IF(C1836="Estágio",SUMIFS($D:$D,$A:$A,$A1836,$B:$B,"&lt;&gt;Patrícia Karla de Sousa Araújo",$B:$B,"&lt;&gt;Lorena Dias de Araujo",$B:$B,"&lt;&gt;Lucas Luiz Romero")*(10/1083),0)))))),0)</f>
        <v/>
      </c>
      <c r="K1836" s="3">
        <f>I1836-J1836</f>
        <v/>
      </c>
      <c r="L1836" s="3">
        <f>IF(K1836&lt;-5,"CRÍTICO",IF(K1836&lt;0,"ATENÇÃO",IF(K1836&lt;=5,"BOM","EXCELENTE")))</f>
        <v/>
      </c>
      <c r="N1836" t="n">
        <v>100</v>
      </c>
      <c r="O1836" t="n">
        <v>29.71311475409836</v>
      </c>
    </row>
    <row r="1837" hidden="1">
      <c r="A1837" s="11" t="n">
        <v>46058</v>
      </c>
      <c r="B1837" t="inlineStr">
        <is>
          <t>Carlos Mateus Cassimiro Nunes</t>
        </is>
      </c>
      <c r="C1837" t="inlineStr">
        <is>
          <t>Técnico II</t>
        </is>
      </c>
      <c r="D1837" t="n">
        <v>18</v>
      </c>
      <c r="E1837" t="n">
        <v>16</v>
      </c>
      <c r="F1837" t="n">
        <v>43.34</v>
      </c>
      <c r="G1837" t="n">
        <v>0</v>
      </c>
      <c r="H1837" t="n">
        <v>0</v>
      </c>
      <c r="I1837" s="3">
        <f>E1837+G1837+H1837</f>
        <v/>
      </c>
      <c r="J1837" s="3">
        <f>ROUND(MIN(IF(C1837="Técnico III",35,IF(C1837="Técnico II",28,IF(C1837="Técnico I",23,IF(C1837="JR",20,IF(C1837="Estágio",10,0))))),IF(C1837="Técnico III",SUMIFS($D:$D,$A:$A,$A1837,$B:$B,"&lt;&gt;Patrícia Karla de Sousa Araújo",$B:$B,"&lt;&gt;Lorena Dias de Araujo",$B:$B,"&lt;&gt;Lucas Luiz Romero")*(35/1083),IF(C1837="Técnico II",SUMIFS($D:$D,$A:$A,$A1837,$B:$B,"&lt;&gt;Patrícia Karla de Sousa Araújo",$B:$B,"&lt;&gt;Lorena Dias de Araujo",$B:$B,"&lt;&gt;Lucas Luiz Romero")*(28/1083),IF(C1837="Técnico I",SUMIFS($D:$D,$A:$A,$A1837,$B:$B,"&lt;&gt;Patrícia Karla de Sousa Araújo",$B:$B,"&lt;&gt;Lorena Dias de Araujo",$B:$B,"&lt;&gt;Lucas Luiz Romero")*(23/1083),IF(C1837="JR",SUMIFS($D:$D,$A:$A,$A1837,$B:$B,"&lt;&gt;Patrícia Karla de Sousa Araújo",$B:$B,"&lt;&gt;Lorena Dias de Araujo",$B:$B,"&lt;&gt;Lucas Luiz Romero")*(20/1083),IF(C1837="Estágio",SUMIFS($D:$D,$A:$A,$A1837,$B:$B,"&lt;&gt;Patrícia Karla de Sousa Araújo",$B:$B,"&lt;&gt;Lorena Dias de Araujo",$B:$B,"&lt;&gt;Lucas Luiz Romero")*(10/1083),0)))))),0)</f>
        <v/>
      </c>
      <c r="K1837" s="3">
        <f>I1837-J1837</f>
        <v/>
      </c>
      <c r="L1837" s="3">
        <f>IF(K1837&lt;-5,"CRÍTICO",IF(K1837&lt;0,"ATENÇÃO",IF(K1837&lt;=5,"BOM","EXCELENTE")))</f>
        <v/>
      </c>
      <c r="N1837" t="n">
        <v>99.22</v>
      </c>
      <c r="O1837" t="n">
        <v>35.25641025641026</v>
      </c>
    </row>
    <row r="1838" hidden="1">
      <c r="A1838" s="11" t="n">
        <v>46058</v>
      </c>
      <c r="B1838" t="inlineStr">
        <is>
          <t>Claudio de Sousa Velasco Filho</t>
        </is>
      </c>
      <c r="C1838" t="inlineStr">
        <is>
          <t>Estágio</t>
        </is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s="3" t="n">
        <v>0</v>
      </c>
      <c r="J1838" s="3" t="n">
        <v>0</v>
      </c>
      <c r="K1838" s="3" t="n">
        <v>0</v>
      </c>
      <c r="L1838" s="3">
        <f>IF(K1838&lt;-5,"CRÍTICO",IF(K1838&lt;0,"ATENÇÃO",IF(K1838&lt;=5,"BOM","EXCELENTE")))</f>
        <v/>
      </c>
      <c r="N1838" t="n">
        <v>0</v>
      </c>
      <c r="O1838" t="n">
        <v>0</v>
      </c>
    </row>
    <row r="1839" hidden="1">
      <c r="A1839" s="11" t="n">
        <v>46058</v>
      </c>
      <c r="B1839" t="inlineStr">
        <is>
          <t>Clessiane Pereira dos Santos</t>
        </is>
      </c>
      <c r="C1839" t="inlineStr">
        <is>
          <t>Técnico I</t>
        </is>
      </c>
      <c r="D1839" t="n">
        <v>50</v>
      </c>
      <c r="E1839" t="n">
        <v>14</v>
      </c>
      <c r="F1839" t="n">
        <v>5.35</v>
      </c>
      <c r="G1839" t="n">
        <v>0</v>
      </c>
      <c r="H1839" t="n">
        <v>0</v>
      </c>
      <c r="I1839" s="3">
        <f>E1839+G1839+H1839</f>
        <v/>
      </c>
      <c r="J1839" s="3">
        <f>ROUND(MIN(IF(C1839="Técnico III",35,IF(C1839="Técnico II",28,IF(C1839="Técnico I",23,IF(C1839="JR",20,IF(C1839="Estágio",10,0))))),IF(C1839="Técnico III",SUMIFS($D:$D,$A:$A,$A1839,$B:$B,"&lt;&gt;Patrícia Karla de Sousa Araújo",$B:$B,"&lt;&gt;Lorena Dias de Araujo",$B:$B,"&lt;&gt;Lucas Luiz Romero")*(35/1083),IF(C1839="Técnico II",SUMIFS($D:$D,$A:$A,$A1839,$B:$B,"&lt;&gt;Patrícia Karla de Sousa Araújo",$B:$B,"&lt;&gt;Lorena Dias de Araujo",$B:$B,"&lt;&gt;Lucas Luiz Romero")*(28/1083),IF(C1839="Técnico I",SUMIFS($D:$D,$A:$A,$A1839,$B:$B,"&lt;&gt;Patrícia Karla de Sousa Araújo",$B:$B,"&lt;&gt;Lorena Dias de Araujo",$B:$B,"&lt;&gt;Lucas Luiz Romero")*(23/1083),IF(C1839="JR",SUMIFS($D:$D,$A:$A,$A1839,$B:$B,"&lt;&gt;Patrícia Karla de Sousa Araújo",$B:$B,"&lt;&gt;Lorena Dias de Araujo",$B:$B,"&lt;&gt;Lucas Luiz Romero")*(20/1083),IF(C1839="Estágio",SUMIFS($D:$D,$A:$A,$A1839,$B:$B,"&lt;&gt;Patrícia Karla de Sousa Araújo",$B:$B,"&lt;&gt;Lorena Dias de Araujo",$B:$B,"&lt;&gt;Lucas Luiz Romero")*(10/1083),0)))))),0)</f>
        <v/>
      </c>
      <c r="K1839" s="3">
        <f>I1839-J1839</f>
        <v/>
      </c>
      <c r="L1839" s="3">
        <f>IF(K1839&lt;-5,"CRÍTICO",IF(K1839&lt;0,"ATENÇÃO",IF(K1839&lt;=5,"BOM","EXCELENTE")))</f>
        <v/>
      </c>
      <c r="N1839" t="n">
        <v>98.75</v>
      </c>
      <c r="O1839" t="n">
        <v>24.32432432432433</v>
      </c>
    </row>
    <row r="1840" hidden="1">
      <c r="A1840" s="11" t="n">
        <v>46058</v>
      </c>
      <c r="B1840" t="inlineStr">
        <is>
          <t>Cristiane Ramos da Silva Rocha</t>
        </is>
      </c>
      <c r="C1840" t="inlineStr">
        <is>
          <t>Técnico III</t>
        </is>
      </c>
      <c r="D1840" t="n">
        <v>28</v>
      </c>
      <c r="E1840" t="n">
        <v>28</v>
      </c>
      <c r="F1840" t="n">
        <v>15.18</v>
      </c>
      <c r="G1840" t="n">
        <v>0</v>
      </c>
      <c r="H1840" t="n">
        <v>0</v>
      </c>
      <c r="I1840" s="3">
        <f>E1840+G1840+H1840</f>
        <v/>
      </c>
      <c r="J1840" s="3">
        <f>ROUND(MIN(IF(C1840="Técnico III",35,IF(C1840="Técnico II",28,IF(C1840="Técnico I",23,IF(C1840="JR",20,IF(C1840="Estágio",10,0))))),IF(C1840="Técnico III",SUMIFS($D:$D,$A:$A,$A1840,$B:$B,"&lt;&gt;Patrícia Karla de Sousa Araújo",$B:$B,"&lt;&gt;Lorena Dias de Araujo",$B:$B,"&lt;&gt;Lucas Luiz Romero")*(35/1083),IF(C1840="Técnico II",SUMIFS($D:$D,$A:$A,$A1840,$B:$B,"&lt;&gt;Patrícia Karla de Sousa Araújo",$B:$B,"&lt;&gt;Lorena Dias de Araujo",$B:$B,"&lt;&gt;Lucas Luiz Romero")*(28/1083),IF(C1840="Técnico I",SUMIFS($D:$D,$A:$A,$A1840,$B:$B,"&lt;&gt;Patrícia Karla de Sousa Araújo",$B:$B,"&lt;&gt;Lorena Dias de Araujo",$B:$B,"&lt;&gt;Lucas Luiz Romero")*(23/1083),IF(C1840="JR",SUMIFS($D:$D,$A:$A,$A1840,$B:$B,"&lt;&gt;Patrícia Karla de Sousa Araújo",$B:$B,"&lt;&gt;Lorena Dias de Araujo",$B:$B,"&lt;&gt;Lucas Luiz Romero")*(20/1083),IF(C1840="Estágio",SUMIFS($D:$D,$A:$A,$A1840,$B:$B,"&lt;&gt;Patrícia Karla de Sousa Araújo",$B:$B,"&lt;&gt;Lorena Dias de Araujo",$B:$B,"&lt;&gt;Lucas Luiz Romero")*(10/1083),0)))))),0)</f>
        <v/>
      </c>
      <c r="K1840" s="3">
        <f>I1840-J1840</f>
        <v/>
      </c>
      <c r="L1840" s="3">
        <f>IF(K1840&lt;-5,"CRÍTICO",IF(K1840&lt;0,"ATENÇÃO",IF(K1840&lt;=5,"BOM","EXCELENTE")))</f>
        <v/>
      </c>
      <c r="N1840" t="n">
        <v>93.48</v>
      </c>
      <c r="O1840" t="n">
        <v>31.33462282398452</v>
      </c>
    </row>
    <row r="1841" hidden="1">
      <c r="A1841" s="11" t="n">
        <v>46058</v>
      </c>
      <c r="B1841" t="inlineStr">
        <is>
          <t>Damyllis Lorraine de Oliveira Gonçalves</t>
        </is>
      </c>
      <c r="C1841" t="inlineStr">
        <is>
          <t>Técnico II</t>
        </is>
      </c>
      <c r="D1841" t="n">
        <v>40</v>
      </c>
      <c r="E1841" t="n">
        <v>33</v>
      </c>
      <c r="F1841" t="n">
        <v>15.5</v>
      </c>
      <c r="G1841" t="n">
        <v>0</v>
      </c>
      <c r="H1841" t="n">
        <v>0</v>
      </c>
      <c r="I1841" s="3" t="n">
        <v>0</v>
      </c>
      <c r="J1841" s="3" t="n">
        <v>0</v>
      </c>
      <c r="K1841" s="3" t="n">
        <v>0</v>
      </c>
      <c r="L1841" s="3">
        <f>IF(K1841&lt;-5,"CRÍTICO",IF(K1841&lt;0,"ATENÇÃO",IF(K1841&lt;=5,"BOM","EXCELENTE")))</f>
        <v/>
      </c>
      <c r="N1841" t="n">
        <v>99.16</v>
      </c>
      <c r="O1841" t="n">
        <v>26.13908872901678</v>
      </c>
    </row>
    <row r="1842" hidden="1">
      <c r="A1842" s="11" t="n">
        <v>46058</v>
      </c>
      <c r="B1842" t="inlineStr">
        <is>
          <t>Daniel Gomes da Silva</t>
        </is>
      </c>
      <c r="C1842" t="inlineStr">
        <is>
          <t>Técnico I</t>
        </is>
      </c>
      <c r="D1842" t="n">
        <v>20</v>
      </c>
      <c r="E1842" t="n">
        <v>20</v>
      </c>
      <c r="F1842" t="n">
        <v>33.52</v>
      </c>
      <c r="G1842" t="n">
        <v>0</v>
      </c>
      <c r="H1842" t="n">
        <v>0</v>
      </c>
      <c r="I1842" s="3">
        <f>E1842+G1842+H1842</f>
        <v/>
      </c>
      <c r="J1842" s="3">
        <f>ROUND(MIN(IF(C1842="Técnico III",35,IF(C1842="Técnico II",28,IF(C1842="Técnico I",23,IF(C1842="JR",20,IF(C1842="Estágio",10,0))))),IF(C1842="Técnico III",SUMIFS($D:$D,$A:$A,$A1842,$B:$B,"&lt;&gt;Patrícia Karla de Sousa Araújo",$B:$B,"&lt;&gt;Lorena Dias de Araujo",$B:$B,"&lt;&gt;Lucas Luiz Romero")*(35/1083),IF(C1842="Técnico II",SUMIFS($D:$D,$A:$A,$A1842,$B:$B,"&lt;&gt;Patrícia Karla de Sousa Araújo",$B:$B,"&lt;&gt;Lorena Dias de Araujo",$B:$B,"&lt;&gt;Lucas Luiz Romero")*(28/1083),IF(C1842="Técnico I",SUMIFS($D:$D,$A:$A,$A1842,$B:$B,"&lt;&gt;Patrícia Karla de Sousa Araújo",$B:$B,"&lt;&gt;Lorena Dias de Araujo",$B:$B,"&lt;&gt;Lucas Luiz Romero")*(23/1083),IF(C1842="JR",SUMIFS($D:$D,$A:$A,$A1842,$B:$B,"&lt;&gt;Patrícia Karla de Sousa Araújo",$B:$B,"&lt;&gt;Lorena Dias de Araujo",$B:$B,"&lt;&gt;Lucas Luiz Romero")*(20/1083),IF(C1842="Estágio",SUMIFS($D:$D,$A:$A,$A1842,$B:$B,"&lt;&gt;Patrícia Karla de Sousa Araújo",$B:$B,"&lt;&gt;Lorena Dias de Araujo",$B:$B,"&lt;&gt;Lucas Luiz Romero")*(10/1083),0)))))),0)</f>
        <v/>
      </c>
      <c r="K1842" s="3">
        <f>I1842-J1842</f>
        <v/>
      </c>
      <c r="L1842" s="3">
        <f>IF(K1842&lt;-5,"CRÍTICO",IF(K1842&lt;0,"ATENÇÃO",IF(K1842&lt;=5,"BOM","EXCELENTE")))</f>
        <v/>
      </c>
      <c r="N1842" t="n">
        <v>100</v>
      </c>
      <c r="O1842" t="n">
        <v>31.08974358974359</v>
      </c>
    </row>
    <row r="1843" hidden="1">
      <c r="A1843" s="11" t="n">
        <v>46058</v>
      </c>
      <c r="B1843" t="inlineStr">
        <is>
          <t>Davylla Rodrigues Freitas Silva</t>
        </is>
      </c>
      <c r="C1843" t="inlineStr">
        <is>
          <t>Técnico III</t>
        </is>
      </c>
      <c r="D1843" t="n">
        <v>37</v>
      </c>
      <c r="E1843" t="n">
        <v>36</v>
      </c>
      <c r="F1843" t="n">
        <v>20.3</v>
      </c>
      <c r="G1843" t="n">
        <v>0</v>
      </c>
      <c r="H1843" t="n">
        <v>0</v>
      </c>
      <c r="I1843" s="3" t="n">
        <v>0</v>
      </c>
      <c r="J1843" s="3" t="n">
        <v>0</v>
      </c>
      <c r="K1843" s="3" t="n">
        <v>0</v>
      </c>
      <c r="L1843" s="3">
        <f>IF(K1843&lt;-5,"CRÍTICO",IF(K1843&lt;0,"ATENÇÃO",IF(K1843&lt;=5,"BOM","EXCELENTE")))</f>
        <v/>
      </c>
      <c r="N1843" t="n">
        <v>98.11</v>
      </c>
      <c r="O1843" t="n">
        <v>33.03370786516854</v>
      </c>
    </row>
    <row r="1844" hidden="1">
      <c r="A1844" s="11" t="n">
        <v>46058</v>
      </c>
      <c r="B1844" t="inlineStr">
        <is>
          <t>Emilly Caylane Costa</t>
        </is>
      </c>
      <c r="C1844" t="inlineStr">
        <is>
          <t>Estágio</t>
        </is>
      </c>
      <c r="D1844" t="n">
        <v>39</v>
      </c>
      <c r="E1844" t="n">
        <v>28</v>
      </c>
      <c r="F1844" t="n">
        <v>5.44</v>
      </c>
      <c r="G1844" t="n">
        <v>0</v>
      </c>
      <c r="H1844" t="n">
        <v>0</v>
      </c>
      <c r="I1844" s="3">
        <f>E1844+G1844+H1844</f>
        <v/>
      </c>
      <c r="J1844" s="3">
        <f>ROUND(MIN(IF(C1844="Técnico III",35,IF(C1844="Técnico II",28,IF(C1844="Técnico I",23,IF(C1844="JR",20,IF(C1844="Estágio",10,0))))),IF(C1844="Técnico III",SUMIFS($D:$D,$A:$A,$A1844,$B:$B,"&lt;&gt;Patrícia Karla de Sousa Araújo",$B:$B,"&lt;&gt;Lorena Dias de Araujo",$B:$B,"&lt;&gt;Lucas Luiz Romero")*(35/1083),IF(C1844="Técnico II",SUMIFS($D:$D,$A:$A,$A1844,$B:$B,"&lt;&gt;Patrícia Karla de Sousa Araújo",$B:$B,"&lt;&gt;Lorena Dias de Araujo",$B:$B,"&lt;&gt;Lucas Luiz Romero")*(28/1083),IF(C1844="Técnico I",SUMIFS($D:$D,$A:$A,$A1844,$B:$B,"&lt;&gt;Patrícia Karla de Sousa Araújo",$B:$B,"&lt;&gt;Lorena Dias de Araujo",$B:$B,"&lt;&gt;Lucas Luiz Romero")*(23/1083),IF(C1844="JR",SUMIFS($D:$D,$A:$A,$A1844,$B:$B,"&lt;&gt;Patrícia Karla de Sousa Araújo",$B:$B,"&lt;&gt;Lorena Dias de Araujo",$B:$B,"&lt;&gt;Lucas Luiz Romero")*(20/1083),IF(C1844="Estágio",SUMIFS($D:$D,$A:$A,$A1844,$B:$B,"&lt;&gt;Patrícia Karla de Sousa Araújo",$B:$B,"&lt;&gt;Lorena Dias de Araujo",$B:$B,"&lt;&gt;Lucas Luiz Romero")*(10/1083),0)))))),0)</f>
        <v/>
      </c>
      <c r="K1844" s="3">
        <f>I1844-J1844</f>
        <v/>
      </c>
      <c r="L1844" s="3">
        <f>IF(K1844&lt;-5,"CRÍTICO",IF(K1844&lt;0,"ATENÇÃO",IF(K1844&lt;=5,"BOM","EXCELENTE")))</f>
        <v/>
      </c>
      <c r="N1844" t="n">
        <v>78.95</v>
      </c>
      <c r="O1844" t="n">
        <v>38.98305084745763</v>
      </c>
    </row>
    <row r="1845" hidden="1">
      <c r="A1845" s="11" t="n">
        <v>46058</v>
      </c>
      <c r="B1845" t="inlineStr">
        <is>
          <t>Emilly Kamilly Medeiros Miranda</t>
        </is>
      </c>
      <c r="C1845" t="inlineStr">
        <is>
          <t>Técnico II</t>
        </is>
      </c>
      <c r="D1845" t="n">
        <v>38</v>
      </c>
      <c r="E1845" t="n">
        <v>35</v>
      </c>
      <c r="F1845" t="n">
        <v>13.48</v>
      </c>
      <c r="G1845" t="n">
        <v>0</v>
      </c>
      <c r="H1845" t="n">
        <v>0</v>
      </c>
      <c r="I1845" s="3">
        <f>E1845+G1845+H1845</f>
        <v/>
      </c>
      <c r="J1845" s="3">
        <f>ROUND(MIN(IF(C1845="Técnico III",35,IF(C1845="Técnico II",28,IF(C1845="Técnico I",23,IF(C1845="JR",20,IF(C1845="Estágio",10,0))))),IF(C1845="Técnico III",SUMIFS($D:$D,$A:$A,$A1845,$B:$B,"&lt;&gt;Patrícia Karla de Sousa Araújo",$B:$B,"&lt;&gt;Lorena Dias de Araujo",$B:$B,"&lt;&gt;Lucas Luiz Romero")*(35/1083),IF(C1845="Técnico II",SUMIFS($D:$D,$A:$A,$A1845,$B:$B,"&lt;&gt;Patrícia Karla de Sousa Araújo",$B:$B,"&lt;&gt;Lorena Dias de Araujo",$B:$B,"&lt;&gt;Lucas Luiz Romero")*(28/1083),IF(C1845="Técnico I",SUMIFS($D:$D,$A:$A,$A1845,$B:$B,"&lt;&gt;Patrícia Karla de Sousa Araújo",$B:$B,"&lt;&gt;Lorena Dias de Araujo",$B:$B,"&lt;&gt;Lucas Luiz Romero")*(23/1083),IF(C1845="JR",SUMIFS($D:$D,$A:$A,$A1845,$B:$B,"&lt;&gt;Patrícia Karla de Sousa Araújo",$B:$B,"&lt;&gt;Lorena Dias de Araujo",$B:$B,"&lt;&gt;Lucas Luiz Romero")*(20/1083),IF(C1845="Estágio",SUMIFS($D:$D,$A:$A,$A1845,$B:$B,"&lt;&gt;Patrícia Karla de Sousa Araújo",$B:$B,"&lt;&gt;Lorena Dias de Araujo",$B:$B,"&lt;&gt;Lucas Luiz Romero")*(10/1083),0)))))),0)</f>
        <v/>
      </c>
      <c r="K1845" s="3">
        <f>I1845-J1845</f>
        <v/>
      </c>
      <c r="L1845" s="3">
        <f>IF(K1845&lt;-5,"CRÍTICO",IF(K1845&lt;0,"ATENÇÃO",IF(K1845&lt;=5,"BOM","EXCELENTE")))</f>
        <v/>
      </c>
      <c r="N1845" t="n">
        <v>98.45</v>
      </c>
      <c r="O1845" t="n">
        <v>29.2817679558011</v>
      </c>
    </row>
    <row r="1846" hidden="1">
      <c r="A1846" s="11" t="n">
        <v>46058</v>
      </c>
      <c r="B1846" t="inlineStr">
        <is>
          <t>Francielson de Oliveira</t>
        </is>
      </c>
      <c r="C1846" t="inlineStr">
        <is>
          <t>Técnico III</t>
        </is>
      </c>
      <c r="D1846" t="n">
        <v>35</v>
      </c>
      <c r="E1846" t="n">
        <v>35</v>
      </c>
      <c r="F1846" t="n">
        <v>16.56</v>
      </c>
      <c r="G1846" t="n">
        <v>0</v>
      </c>
      <c r="H1846" t="n">
        <v>0</v>
      </c>
      <c r="I1846" s="3">
        <f>E1846+G1846+H1846</f>
        <v/>
      </c>
      <c r="J1846" s="3">
        <f>ROUND(MIN(IF(C1846="Técnico III",35,IF(C1846="Técnico II",28,IF(C1846="Técnico I",23,IF(C1846="JR",20,IF(C1846="Estágio",10,0))))),IF(C1846="Técnico III",SUMIFS($D:$D,$A:$A,$A1846,$B:$B,"&lt;&gt;Patrícia Karla de Sousa Araújo",$B:$B,"&lt;&gt;Lorena Dias de Araujo",$B:$B,"&lt;&gt;Lucas Luiz Romero")*(35/1083),IF(C1846="Técnico II",SUMIFS($D:$D,$A:$A,$A1846,$B:$B,"&lt;&gt;Patrícia Karla de Sousa Araújo",$B:$B,"&lt;&gt;Lorena Dias de Araujo",$B:$B,"&lt;&gt;Lucas Luiz Romero")*(28/1083),IF(C1846="Técnico I",SUMIFS($D:$D,$A:$A,$A1846,$B:$B,"&lt;&gt;Patrícia Karla de Sousa Araújo",$B:$B,"&lt;&gt;Lorena Dias de Araujo",$B:$B,"&lt;&gt;Lucas Luiz Romero")*(23/1083),IF(C1846="JR",SUMIFS($D:$D,$A:$A,$A1846,$B:$B,"&lt;&gt;Patrícia Karla de Sousa Araújo",$B:$B,"&lt;&gt;Lorena Dias de Araujo",$B:$B,"&lt;&gt;Lucas Luiz Romero")*(20/1083),IF(C1846="Estágio",SUMIFS($D:$D,$A:$A,$A1846,$B:$B,"&lt;&gt;Patrícia Karla de Sousa Araújo",$B:$B,"&lt;&gt;Lorena Dias de Araujo",$B:$B,"&lt;&gt;Lucas Luiz Romero")*(10/1083),0)))))),0)</f>
        <v/>
      </c>
      <c r="K1846" s="3">
        <f>I1846-J1846</f>
        <v/>
      </c>
      <c r="L1846" s="3">
        <f>IF(K1846&lt;-5,"CRÍTICO",IF(K1846&lt;0,"ATENÇÃO",IF(K1846&lt;=5,"BOM","EXCELENTE")))</f>
        <v/>
      </c>
      <c r="N1846" t="n">
        <v>97.84</v>
      </c>
      <c r="O1846" t="n">
        <v>26.28205128205128</v>
      </c>
    </row>
    <row r="1847" hidden="1">
      <c r="A1847" s="11" t="n">
        <v>46058</v>
      </c>
      <c r="B1847" t="inlineStr">
        <is>
          <t>Francilene Ferreira de Jesus</t>
        </is>
      </c>
      <c r="C1847" t="inlineStr">
        <is>
          <t>Técnico II</t>
        </is>
      </c>
      <c r="D1847" t="n">
        <v>48</v>
      </c>
      <c r="E1847" t="n">
        <v>44</v>
      </c>
      <c r="F1847" t="n">
        <v>15.05</v>
      </c>
      <c r="G1847" t="n">
        <v>0</v>
      </c>
      <c r="H1847" t="n">
        <v>0</v>
      </c>
      <c r="I1847" s="3">
        <f>E1847+G1847+H1847</f>
        <v/>
      </c>
      <c r="J1847" s="3">
        <f>ROUND(MIN(IF(C1847="Técnico III",35,IF(C1847="Técnico II",28,IF(C1847="Técnico I",23,IF(C1847="JR",20,IF(C1847="Estágio",10,0))))),IF(C1847="Técnico III",SUMIFS($D:$D,$A:$A,$A1847,$B:$B,"&lt;&gt;Patrícia Karla de Sousa Araújo",$B:$B,"&lt;&gt;Lorena Dias de Araujo",$B:$B,"&lt;&gt;Lucas Luiz Romero")*(35/1083),IF(C1847="Técnico II",SUMIFS($D:$D,$A:$A,$A1847,$B:$B,"&lt;&gt;Patrícia Karla de Sousa Araújo",$B:$B,"&lt;&gt;Lorena Dias de Araujo",$B:$B,"&lt;&gt;Lucas Luiz Romero")*(28/1083),IF(C1847="Técnico I",SUMIFS($D:$D,$A:$A,$A1847,$B:$B,"&lt;&gt;Patrícia Karla de Sousa Araújo",$B:$B,"&lt;&gt;Lorena Dias de Araujo",$B:$B,"&lt;&gt;Lucas Luiz Romero")*(23/1083),IF(C1847="JR",SUMIFS($D:$D,$A:$A,$A1847,$B:$B,"&lt;&gt;Patrícia Karla de Sousa Araújo",$B:$B,"&lt;&gt;Lorena Dias de Araujo",$B:$B,"&lt;&gt;Lucas Luiz Romero")*(20/1083),IF(C1847="Estágio",SUMIFS($D:$D,$A:$A,$A1847,$B:$B,"&lt;&gt;Patrícia Karla de Sousa Araújo",$B:$B,"&lt;&gt;Lorena Dias de Araujo",$B:$B,"&lt;&gt;Lucas Luiz Romero")*(10/1083),0)))))),0)</f>
        <v/>
      </c>
      <c r="K1847" s="3">
        <f>I1847-J1847</f>
        <v/>
      </c>
      <c r="L1847" s="3">
        <f>IF(K1847&lt;-5,"CRÍTICO",IF(K1847&lt;0,"ATENÇÃO",IF(K1847&lt;=5,"BOM","EXCELENTE")))</f>
        <v/>
      </c>
      <c r="N1847" t="n">
        <v>98.5</v>
      </c>
      <c r="O1847" t="n">
        <v>23.97769516728625</v>
      </c>
    </row>
    <row r="1848" hidden="1">
      <c r="A1848" s="11" t="n">
        <v>46092</v>
      </c>
      <c r="B1848" t="inlineStr">
        <is>
          <t>Gabriel Gomes de Andrade</t>
        </is>
      </c>
      <c r="C1848" t="inlineStr">
        <is>
          <t>Técnico I</t>
        </is>
      </c>
      <c r="D1848" t="n">
        <v>3</v>
      </c>
      <c r="E1848" t="n">
        <v>3</v>
      </c>
      <c r="F1848" t="n">
        <v>24.03</v>
      </c>
      <c r="G1848" t="n">
        <v>0</v>
      </c>
      <c r="H1848" t="n">
        <v>0</v>
      </c>
      <c r="I1848" s="3">
        <f>E1848+G1848+H1848</f>
        <v/>
      </c>
      <c r="J1848" s="3">
        <f>ROUND(MIN(IF(C1848="Técnico III",35,IF(C1848="Técnico II",28,IF(C1848="Técnico I",23,IF(C1848="JR",20,IF(C1848="Estágio",10,0))))),IF(C1848="Técnico III",SUMIFS($D:$D,$A:$A,$A1848,$B:$B,"&lt;&gt;Patrícia Karla de Sousa Araújo",$B:$B,"&lt;&gt;Lorena Dias de Araujo",$B:$B,"&lt;&gt;Lucas Luiz Romero")*(35/1083),IF(C1848="Técnico II",SUMIFS($D:$D,$A:$A,$A1848,$B:$B,"&lt;&gt;Patrícia Karla de Sousa Araújo",$B:$B,"&lt;&gt;Lorena Dias de Araujo",$B:$B,"&lt;&gt;Lucas Luiz Romero")*(28/1083),IF(C1848="Técnico I",SUMIFS($D:$D,$A:$A,$A1848,$B:$B,"&lt;&gt;Patrícia Karla de Sousa Araújo",$B:$B,"&lt;&gt;Lorena Dias de Araujo",$B:$B,"&lt;&gt;Lucas Luiz Romero")*(23/1083),IF(C1848="JR",SUMIFS($D:$D,$A:$A,$A1848,$B:$B,"&lt;&gt;Patrícia Karla de Sousa Araújo",$B:$B,"&lt;&gt;Lorena Dias de Araujo",$B:$B,"&lt;&gt;Lucas Luiz Romero")*(20/1083),IF(C1848="Estágio",SUMIFS($D:$D,$A:$A,$A1848,$B:$B,"&lt;&gt;Patrícia Karla de Sousa Araújo",$B:$B,"&lt;&gt;Lorena Dias de Araujo",$B:$B,"&lt;&gt;Lucas Luiz Romero")*(10/1083),0)))))),0)</f>
        <v/>
      </c>
      <c r="K1848" s="3">
        <f>I1848-J1848</f>
        <v/>
      </c>
      <c r="L1848" s="3">
        <f>IF(K1848&lt;-5,"CRÍTICO",IF(K1848&lt;0,"ATENÇÃO",IF(K1848&lt;=5,"BOM","EXCELENTE")))</f>
        <v/>
      </c>
      <c r="N1848" t="n">
        <v>99.05</v>
      </c>
      <c r="O1848" t="n">
        <v>26.62192393736018</v>
      </c>
    </row>
    <row r="1849" hidden="1">
      <c r="A1849" s="11" t="n">
        <v>46058</v>
      </c>
      <c r="B1849" t="inlineStr">
        <is>
          <t>Isabella Borges de Oliveira</t>
        </is>
      </c>
      <c r="C1849" t="inlineStr">
        <is>
          <t>Técnico II</t>
        </is>
      </c>
      <c r="D1849" t="n">
        <v>37</v>
      </c>
      <c r="E1849" t="n">
        <v>37</v>
      </c>
      <c r="F1849" t="n">
        <v>21.44</v>
      </c>
      <c r="G1849" t="n">
        <v>0</v>
      </c>
      <c r="H1849" t="n">
        <v>0</v>
      </c>
      <c r="I1849" s="3">
        <f>E1849+G1849+H1849</f>
        <v/>
      </c>
      <c r="J1849" s="3">
        <f>ROUND(MIN(IF(C1849="Técnico III",35,IF(C1849="Técnico II",28,IF(C1849="Técnico I",23,IF(C1849="JR",20,IF(C1849="Estágio",10,0))))),IF(C1849="Técnico III",SUMIFS($D:$D,$A:$A,$A1849,$B:$B,"&lt;&gt;Patrícia Karla de Sousa Araújo",$B:$B,"&lt;&gt;Lorena Dias de Araujo",$B:$B,"&lt;&gt;Lucas Luiz Romero")*(35/1083),IF(C1849="Técnico II",SUMIFS($D:$D,$A:$A,$A1849,$B:$B,"&lt;&gt;Patrícia Karla de Sousa Araújo",$B:$B,"&lt;&gt;Lorena Dias de Araujo",$B:$B,"&lt;&gt;Lucas Luiz Romero")*(28/1083),IF(C1849="Técnico I",SUMIFS($D:$D,$A:$A,$A1849,$B:$B,"&lt;&gt;Patrícia Karla de Sousa Araújo",$B:$B,"&lt;&gt;Lorena Dias de Araujo",$B:$B,"&lt;&gt;Lucas Luiz Romero")*(23/1083),IF(C1849="JR",SUMIFS($D:$D,$A:$A,$A1849,$B:$B,"&lt;&gt;Patrícia Karla de Sousa Araújo",$B:$B,"&lt;&gt;Lorena Dias de Araujo",$B:$B,"&lt;&gt;Lucas Luiz Romero")*(20/1083),IF(C1849="Estágio",SUMIFS($D:$D,$A:$A,$A1849,$B:$B,"&lt;&gt;Patrícia Karla de Sousa Araújo",$B:$B,"&lt;&gt;Lorena Dias de Araujo",$B:$B,"&lt;&gt;Lucas Luiz Romero")*(10/1083),0)))))),0)</f>
        <v/>
      </c>
      <c r="K1849" s="3">
        <f>I1849-J1849</f>
        <v/>
      </c>
      <c r="L1849" s="3">
        <f>IF(K1849&lt;-5,"CRÍTICO",IF(K1849&lt;0,"ATENÇÃO",IF(K1849&lt;=5,"BOM","EXCELENTE")))</f>
        <v/>
      </c>
      <c r="N1849" t="n">
        <v>98.53</v>
      </c>
      <c r="O1849" t="n">
        <v>31.57894736842105</v>
      </c>
    </row>
    <row r="1850" hidden="1">
      <c r="A1850" s="11" t="n">
        <v>46058</v>
      </c>
      <c r="B1850" t="inlineStr">
        <is>
          <t>Janaina Lima dos Reis Urany</t>
        </is>
      </c>
      <c r="C1850" t="inlineStr">
        <is>
          <t>Técnico III</t>
        </is>
      </c>
      <c r="D1850" t="n">
        <v>47</v>
      </c>
      <c r="E1850" t="n">
        <v>43</v>
      </c>
      <c r="F1850" t="n">
        <v>13.22</v>
      </c>
      <c r="G1850" t="n">
        <v>0</v>
      </c>
      <c r="H1850" t="n">
        <v>0</v>
      </c>
      <c r="I1850" s="3">
        <f>E1850+G1850+H1850</f>
        <v/>
      </c>
      <c r="J1850" s="3">
        <f>ROUND(MIN(IF(C1850="Técnico III",35,IF(C1850="Técnico II",28,IF(C1850="Técnico I",23,IF(C1850="JR",20,IF(C1850="Estágio",10,0))))),IF(C1850="Técnico III",SUMIFS($D:$D,$A:$A,$A1850,$B:$B,"&lt;&gt;Patrícia Karla de Sousa Araújo",$B:$B,"&lt;&gt;Lorena Dias de Araujo",$B:$B,"&lt;&gt;Lucas Luiz Romero")*(35/1083),IF(C1850="Técnico II",SUMIFS($D:$D,$A:$A,$A1850,$B:$B,"&lt;&gt;Patrícia Karla de Sousa Araújo",$B:$B,"&lt;&gt;Lorena Dias de Araujo",$B:$B,"&lt;&gt;Lucas Luiz Romero")*(28/1083),IF(C1850="Técnico I",SUMIFS($D:$D,$A:$A,$A1850,$B:$B,"&lt;&gt;Patrícia Karla de Sousa Araújo",$B:$B,"&lt;&gt;Lorena Dias de Araujo",$B:$B,"&lt;&gt;Lucas Luiz Romero")*(23/1083),IF(C1850="JR",SUMIFS($D:$D,$A:$A,$A1850,$B:$B,"&lt;&gt;Patrícia Karla de Sousa Araújo",$B:$B,"&lt;&gt;Lorena Dias de Araujo",$B:$B,"&lt;&gt;Lucas Luiz Romero")*(20/1083),IF(C1850="Estágio",SUMIFS($D:$D,$A:$A,$A1850,$B:$B,"&lt;&gt;Patrícia Karla de Sousa Araújo",$B:$B,"&lt;&gt;Lorena Dias de Araujo",$B:$B,"&lt;&gt;Lucas Luiz Romero")*(10/1083),0)))))),0)</f>
        <v/>
      </c>
      <c r="K1850" s="3">
        <f>I1850-J1850</f>
        <v/>
      </c>
      <c r="L1850" s="3">
        <f>IF(K1850&lt;-5,"CRÍTICO",IF(K1850&lt;0,"ATENÇÃO",IF(K1850&lt;=5,"BOM","EXCELENTE")))</f>
        <v/>
      </c>
      <c r="N1850" t="n">
        <v>100</v>
      </c>
      <c r="O1850" t="n">
        <v>25.72214580467676</v>
      </c>
    </row>
    <row r="1851" hidden="1">
      <c r="A1851" s="11" t="n">
        <v>46058</v>
      </c>
      <c r="B1851" t="inlineStr">
        <is>
          <t>Jaqueline Evangelista da Silva Martins</t>
        </is>
      </c>
      <c r="C1851" t="inlineStr">
        <is>
          <t>Técnico III</t>
        </is>
      </c>
      <c r="D1851" t="n">
        <v>53</v>
      </c>
      <c r="E1851" t="n">
        <v>44</v>
      </c>
      <c r="F1851" t="n">
        <v>10.47</v>
      </c>
      <c r="G1851" t="n">
        <v>0</v>
      </c>
      <c r="H1851" t="n">
        <v>0</v>
      </c>
      <c r="I1851" s="3">
        <f>E1851+G1851+H1851</f>
        <v/>
      </c>
      <c r="J1851" s="3">
        <f>ROUND(MIN(IF(C1851="Técnico III",35,IF(C1851="Técnico II",28,IF(C1851="Técnico I",23,IF(C1851="JR",20,IF(C1851="Estágio",10,0))))),IF(C1851="Técnico III",SUMIFS($D:$D,$A:$A,$A1851,$B:$B,"&lt;&gt;Patrícia Karla de Sousa Araújo",$B:$B,"&lt;&gt;Lorena Dias de Araujo",$B:$B,"&lt;&gt;Lucas Luiz Romero")*(35/1083),IF(C1851="Técnico II",SUMIFS($D:$D,$A:$A,$A1851,$B:$B,"&lt;&gt;Patrícia Karla de Sousa Araújo",$B:$B,"&lt;&gt;Lorena Dias de Araujo",$B:$B,"&lt;&gt;Lucas Luiz Romero")*(28/1083),IF(C1851="Técnico I",SUMIFS($D:$D,$A:$A,$A1851,$B:$B,"&lt;&gt;Patrícia Karla de Sousa Araújo",$B:$B,"&lt;&gt;Lorena Dias de Araujo",$B:$B,"&lt;&gt;Lucas Luiz Romero")*(23/1083),IF(C1851="JR",SUMIFS($D:$D,$A:$A,$A1851,$B:$B,"&lt;&gt;Patrícia Karla de Sousa Araújo",$B:$B,"&lt;&gt;Lorena Dias de Araujo",$B:$B,"&lt;&gt;Lucas Luiz Romero")*(20/1083),IF(C1851="Estágio",SUMIFS($D:$D,$A:$A,$A1851,$B:$B,"&lt;&gt;Patrícia Karla de Sousa Araújo",$B:$B,"&lt;&gt;Lorena Dias de Araujo",$B:$B,"&lt;&gt;Lucas Luiz Romero")*(10/1083),0)))))),0)</f>
        <v/>
      </c>
      <c r="K1851" s="3">
        <f>I1851-J1851</f>
        <v/>
      </c>
      <c r="L1851" s="3">
        <f>IF(K1851&lt;-5,"CRÍTICO",IF(K1851&lt;0,"ATENÇÃO",IF(K1851&lt;=5,"BOM","EXCELENTE")))</f>
        <v/>
      </c>
      <c r="N1851" t="n">
        <v>94.64</v>
      </c>
      <c r="O1851" t="n">
        <v>27.52941176470588</v>
      </c>
    </row>
    <row r="1852" hidden="1">
      <c r="A1852" s="11" t="n">
        <v>46058</v>
      </c>
      <c r="B1852" t="inlineStr">
        <is>
          <t>Jessica Faria da Silveira</t>
        </is>
      </c>
      <c r="C1852" t="inlineStr">
        <is>
          <t>Técnico II</t>
        </is>
      </c>
      <c r="D1852" t="n">
        <v>50</v>
      </c>
      <c r="E1852" t="n">
        <v>38</v>
      </c>
      <c r="F1852" t="n">
        <v>13.39</v>
      </c>
      <c r="G1852" t="n">
        <v>0</v>
      </c>
      <c r="H1852" t="n">
        <v>0</v>
      </c>
      <c r="I1852" s="3">
        <f>E1852+G1852+H1852</f>
        <v/>
      </c>
      <c r="J1852" s="3">
        <f>ROUND(MIN(IF(C1852="Técnico III",35,IF(C1852="Técnico II",28,IF(C1852="Técnico I",23,IF(C1852="JR",20,IF(C1852="Estágio",10,0))))),IF(C1852="Técnico III",SUMIFS($D:$D,$A:$A,$A1852,$B:$B,"&lt;&gt;Patrícia Karla de Sousa Araújo",$B:$B,"&lt;&gt;Lorena Dias de Araujo",$B:$B,"&lt;&gt;Lucas Luiz Romero")*(35/1083),IF(C1852="Técnico II",SUMIFS($D:$D,$A:$A,$A1852,$B:$B,"&lt;&gt;Patrícia Karla de Sousa Araújo",$B:$B,"&lt;&gt;Lorena Dias de Araujo",$B:$B,"&lt;&gt;Lucas Luiz Romero")*(28/1083),IF(C1852="Técnico I",SUMIFS($D:$D,$A:$A,$A1852,$B:$B,"&lt;&gt;Patrícia Karla de Sousa Araújo",$B:$B,"&lt;&gt;Lorena Dias de Araujo",$B:$B,"&lt;&gt;Lucas Luiz Romero")*(23/1083),IF(C1852="JR",SUMIFS($D:$D,$A:$A,$A1852,$B:$B,"&lt;&gt;Patrícia Karla de Sousa Araújo",$B:$B,"&lt;&gt;Lorena Dias de Araujo",$B:$B,"&lt;&gt;Lucas Luiz Romero")*(20/1083),IF(C1852="Estágio",SUMIFS($D:$D,$A:$A,$A1852,$B:$B,"&lt;&gt;Patrícia Karla de Sousa Araújo",$B:$B,"&lt;&gt;Lorena Dias de Araujo",$B:$B,"&lt;&gt;Lucas Luiz Romero")*(10/1083),0)))))),0)</f>
        <v/>
      </c>
      <c r="K1852" s="3">
        <f>I1852-J1852</f>
        <v/>
      </c>
      <c r="L1852" s="3">
        <f>IF(K1852&lt;-5,"CRÍTICO",IF(K1852&lt;0,"ATENÇÃO",IF(K1852&lt;=5,"BOM","EXCELENTE")))</f>
        <v/>
      </c>
      <c r="N1852" t="n">
        <v>99.06999999999999</v>
      </c>
      <c r="O1852" t="n">
        <v>26.3768115942029</v>
      </c>
    </row>
    <row r="1853" hidden="1">
      <c r="A1853" s="11" t="n">
        <v>46058</v>
      </c>
      <c r="B1853" t="inlineStr">
        <is>
          <t>Jéssica Fé Moura</t>
        </is>
      </c>
      <c r="C1853" t="inlineStr">
        <is>
          <t>Técnico III</t>
        </is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s="3" t="n">
        <v>0</v>
      </c>
      <c r="J1853" s="3" t="n">
        <v>0</v>
      </c>
      <c r="K1853" s="3" t="n">
        <v>0</v>
      </c>
      <c r="L1853" s="3">
        <f>IF(K1853&lt;-5,"CRÍTICO",IF(K1853&lt;0,"ATENÇÃO",IF(K1853&lt;=5,"BOM","EXCELENTE")))</f>
        <v/>
      </c>
      <c r="N1853" t="n">
        <v>100</v>
      </c>
      <c r="O1853" t="n">
        <v>0</v>
      </c>
    </row>
    <row r="1854" hidden="1">
      <c r="A1854" s="11" t="n">
        <v>46058</v>
      </c>
      <c r="B1854" t="inlineStr">
        <is>
          <t>Karina Gonçalves Martins</t>
        </is>
      </c>
      <c r="C1854" t="inlineStr">
        <is>
          <t>JR</t>
        </is>
      </c>
      <c r="D1854" t="n">
        <v>20</v>
      </c>
      <c r="E1854" t="n">
        <v>19</v>
      </c>
      <c r="F1854" t="n">
        <v>25.5</v>
      </c>
      <c r="G1854" t="n">
        <v>0</v>
      </c>
      <c r="H1854" t="n">
        <v>0</v>
      </c>
      <c r="I1854" s="3">
        <f>E1854+G1854+H1854</f>
        <v/>
      </c>
      <c r="J1854" s="3">
        <f>ROUND(MIN(IF(C1854="Técnico III",35,IF(C1854="Técnico II",28,IF(C1854="Técnico I",23,IF(C1854="JR",20,IF(C1854="Estágio",10,0))))),IF(C1854="Técnico III",SUMIFS($D:$D,$A:$A,$A1854,$B:$B,"&lt;&gt;Patrícia Karla de Sousa Araújo",$B:$B,"&lt;&gt;Lorena Dias de Araujo",$B:$B,"&lt;&gt;Lucas Luiz Romero")*(35/1083),IF(C1854="Técnico II",SUMIFS($D:$D,$A:$A,$A1854,$B:$B,"&lt;&gt;Patrícia Karla de Sousa Araújo",$B:$B,"&lt;&gt;Lorena Dias de Araujo",$B:$B,"&lt;&gt;Lucas Luiz Romero")*(28/1083),IF(C1854="Técnico I",SUMIFS($D:$D,$A:$A,$A1854,$B:$B,"&lt;&gt;Patrícia Karla de Sousa Araújo",$B:$B,"&lt;&gt;Lorena Dias de Araujo",$B:$B,"&lt;&gt;Lucas Luiz Romero")*(23/1083),IF(C1854="JR",SUMIFS($D:$D,$A:$A,$A1854,$B:$B,"&lt;&gt;Patrícia Karla de Sousa Araújo",$B:$B,"&lt;&gt;Lorena Dias de Araujo",$B:$B,"&lt;&gt;Lucas Luiz Romero")*(20/1083),IF(C1854="Estágio",SUMIFS($D:$D,$A:$A,$A1854,$B:$B,"&lt;&gt;Patrícia Karla de Sousa Araújo",$B:$B,"&lt;&gt;Lorena Dias de Araujo",$B:$B,"&lt;&gt;Lucas Luiz Romero")*(10/1083),0)))))),0)</f>
        <v/>
      </c>
      <c r="K1854" s="3">
        <f>I1854-J1854</f>
        <v/>
      </c>
      <c r="L1854" s="3">
        <f>IF(K1854&lt;-5,"CRÍTICO",IF(K1854&lt;0,"ATENÇÃO",IF(K1854&lt;=5,"BOM","EXCELENTE")))</f>
        <v/>
      </c>
      <c r="N1854" t="n">
        <v>98.48</v>
      </c>
      <c r="O1854" t="n">
        <v>27.85388127853881</v>
      </c>
    </row>
    <row r="1855" hidden="1">
      <c r="A1855" s="11" t="n">
        <v>46058</v>
      </c>
      <c r="B1855" t="inlineStr">
        <is>
          <t>Kerollen Cristielly de Jesus Siqueira</t>
        </is>
      </c>
      <c r="C1855" t="inlineStr">
        <is>
          <t>Técnico III</t>
        </is>
      </c>
      <c r="D1855" t="n">
        <v>17</v>
      </c>
      <c r="E1855" t="n">
        <v>7</v>
      </c>
      <c r="F1855" t="n">
        <v>7.21</v>
      </c>
      <c r="G1855" t="n">
        <v>0</v>
      </c>
      <c r="H1855" t="n">
        <v>0</v>
      </c>
      <c r="I1855" s="3">
        <f>E1855+G1855+H1855</f>
        <v/>
      </c>
      <c r="J1855" s="3">
        <f>ROUND(MIN(IF(C1855="Técnico III",35,IF(C1855="Técnico II",28,IF(C1855="Técnico I",23,IF(C1855="JR",20,IF(C1855="Estágio",10,0))))),IF(C1855="Técnico III",SUMIFS($D:$D,$A:$A,$A1855,$B:$B,"&lt;&gt;Patrícia Karla de Sousa Araújo",$B:$B,"&lt;&gt;Lorena Dias de Araujo",$B:$B,"&lt;&gt;Lucas Luiz Romero")*(35/1083),IF(C1855="Técnico II",SUMIFS($D:$D,$A:$A,$A1855,$B:$B,"&lt;&gt;Patrícia Karla de Sousa Araújo",$B:$B,"&lt;&gt;Lorena Dias de Araujo",$B:$B,"&lt;&gt;Lucas Luiz Romero")*(28/1083),IF(C1855="Técnico I",SUMIFS($D:$D,$A:$A,$A1855,$B:$B,"&lt;&gt;Patrícia Karla de Sousa Araújo",$B:$B,"&lt;&gt;Lorena Dias de Araujo",$B:$B,"&lt;&gt;Lucas Luiz Romero")*(23/1083),IF(C1855="JR",SUMIFS($D:$D,$A:$A,$A1855,$B:$B,"&lt;&gt;Patrícia Karla de Sousa Araújo",$B:$B,"&lt;&gt;Lorena Dias de Araujo",$B:$B,"&lt;&gt;Lucas Luiz Romero")*(20/1083),IF(C1855="Estágio",SUMIFS($D:$D,$A:$A,$A1855,$B:$B,"&lt;&gt;Patrícia Karla de Sousa Araújo",$B:$B,"&lt;&gt;Lorena Dias de Araujo",$B:$B,"&lt;&gt;Lucas Luiz Romero")*(10/1083),0)))))),0)</f>
        <v/>
      </c>
      <c r="K1855" s="3">
        <f>I1855-J1855</f>
        <v/>
      </c>
      <c r="L1855" s="3">
        <f>IF(K1855&lt;-5,"CRÍTICO",IF(K1855&lt;0,"ATENÇÃO",IF(K1855&lt;=5,"BOM","EXCELENTE")))</f>
        <v/>
      </c>
      <c r="N1855" t="n">
        <v>95.15000000000001</v>
      </c>
      <c r="O1855" t="n">
        <v>34.13173652694611</v>
      </c>
    </row>
    <row r="1856" hidden="1">
      <c r="A1856" s="11" t="n">
        <v>46058</v>
      </c>
      <c r="B1856" t="inlineStr">
        <is>
          <t>Leandro de Souza Silva</t>
        </is>
      </c>
      <c r="C1856" t="inlineStr">
        <is>
          <t>JR</t>
        </is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s="3" t="n">
        <v>0</v>
      </c>
      <c r="J1856" s="3" t="n">
        <v>0</v>
      </c>
      <c r="K1856" s="3" t="n">
        <v>0</v>
      </c>
      <c r="L1856" s="3">
        <f>IF(K1856&lt;-5,"CRÍTICO",IF(K1856&lt;0,"ATENÇÃO",IF(K1856&lt;=5,"BOM","EXCELENTE")))</f>
        <v/>
      </c>
      <c r="N1856" t="n">
        <v>0</v>
      </c>
      <c r="O1856" t="n">
        <v>0</v>
      </c>
    </row>
    <row r="1857" hidden="1">
      <c r="A1857" s="11" t="n">
        <v>46058</v>
      </c>
      <c r="B1857" t="inlineStr">
        <is>
          <t>Leandro Oliveira de Sousa</t>
        </is>
      </c>
      <c r="C1857" t="inlineStr">
        <is>
          <t>Técnico III</t>
        </is>
      </c>
      <c r="D1857" t="n">
        <v>22</v>
      </c>
      <c r="E1857" t="n">
        <v>22</v>
      </c>
      <c r="F1857" t="n">
        <v>24.13</v>
      </c>
      <c r="G1857" t="n">
        <v>0</v>
      </c>
      <c r="H1857" t="n">
        <v>0</v>
      </c>
      <c r="I1857" s="3">
        <f>E1857+G1857+H1857</f>
        <v/>
      </c>
      <c r="J1857" s="3">
        <f>ROUND(MIN(IF(C1857="Técnico III",35,IF(C1857="Técnico II",28,IF(C1857="Técnico I",23,IF(C1857="JR",20,IF(C1857="Estágio",10,0))))),IF(C1857="Técnico III",SUMIFS($D:$D,$A:$A,$A1857,$B:$B,"&lt;&gt;Patrícia Karla de Sousa Araújo",$B:$B,"&lt;&gt;Lorena Dias de Araujo",$B:$B,"&lt;&gt;Lucas Luiz Romero")*(35/1083),IF(C1857="Técnico II",SUMIFS($D:$D,$A:$A,$A1857,$B:$B,"&lt;&gt;Patrícia Karla de Sousa Araújo",$B:$B,"&lt;&gt;Lorena Dias de Araujo",$B:$B,"&lt;&gt;Lucas Luiz Romero")*(28/1083),IF(C1857="Técnico I",SUMIFS($D:$D,$A:$A,$A1857,$B:$B,"&lt;&gt;Patrícia Karla de Sousa Araújo",$B:$B,"&lt;&gt;Lorena Dias de Araujo",$B:$B,"&lt;&gt;Lucas Luiz Romero")*(23/1083),IF(C1857="JR",SUMIFS($D:$D,$A:$A,$A1857,$B:$B,"&lt;&gt;Patrícia Karla de Sousa Araújo",$B:$B,"&lt;&gt;Lorena Dias de Araujo",$B:$B,"&lt;&gt;Lucas Luiz Romero")*(20/1083),IF(C1857="Estágio",SUMIFS($D:$D,$A:$A,$A1857,$B:$B,"&lt;&gt;Patrícia Karla de Sousa Araújo",$B:$B,"&lt;&gt;Lorena Dias de Araujo",$B:$B,"&lt;&gt;Lucas Luiz Romero")*(10/1083),0)))))),0)</f>
        <v/>
      </c>
      <c r="K1857" s="3">
        <f>I1857-J1857</f>
        <v/>
      </c>
      <c r="L1857" s="3">
        <f>IF(K1857&lt;-5,"CRÍTICO",IF(K1857&lt;0,"ATENÇÃO",IF(K1857&lt;=5,"BOM","EXCELENTE")))</f>
        <v/>
      </c>
      <c r="N1857" t="n">
        <v>99.26000000000001</v>
      </c>
      <c r="O1857" t="n">
        <v>30.84832904884319</v>
      </c>
    </row>
    <row r="1858" hidden="1">
      <c r="A1858" s="11" t="n">
        <v>46058</v>
      </c>
      <c r="B1858" t="inlineStr">
        <is>
          <t>Lizandra Gomes Duarte</t>
        </is>
      </c>
      <c r="C1858" t="inlineStr">
        <is>
          <t>Técnico II</t>
        </is>
      </c>
      <c r="D1858" t="n">
        <v>34</v>
      </c>
      <c r="E1858" t="n">
        <v>34</v>
      </c>
      <c r="F1858" t="n">
        <v>20.18</v>
      </c>
      <c r="G1858" t="n">
        <v>0</v>
      </c>
      <c r="H1858" t="n">
        <v>0</v>
      </c>
      <c r="I1858" s="3">
        <f>E1858+G1858+H1858</f>
        <v/>
      </c>
      <c r="J1858" s="3">
        <f>ROUND(MIN(IF(C1858="Técnico III",35,IF(C1858="Técnico II",28,IF(C1858="Técnico I",23,IF(C1858="JR",20,IF(C1858="Estágio",10,0))))),IF(C1858="Técnico III",SUMIFS($D:$D,$A:$A,$A1858,$B:$B,"&lt;&gt;Patrícia Karla de Sousa Araújo",$B:$B,"&lt;&gt;Lorena Dias de Araujo",$B:$B,"&lt;&gt;Lucas Luiz Romero")*(35/1083),IF(C1858="Técnico II",SUMIFS($D:$D,$A:$A,$A1858,$B:$B,"&lt;&gt;Patrícia Karla de Sousa Araújo",$B:$B,"&lt;&gt;Lorena Dias de Araujo",$B:$B,"&lt;&gt;Lucas Luiz Romero")*(28/1083),IF(C1858="Técnico I",SUMIFS($D:$D,$A:$A,$A1858,$B:$B,"&lt;&gt;Patrícia Karla de Sousa Araújo",$B:$B,"&lt;&gt;Lorena Dias de Araujo",$B:$B,"&lt;&gt;Lucas Luiz Romero")*(23/1083),IF(C1858="JR",SUMIFS($D:$D,$A:$A,$A1858,$B:$B,"&lt;&gt;Patrícia Karla de Sousa Araújo",$B:$B,"&lt;&gt;Lorena Dias de Araujo",$B:$B,"&lt;&gt;Lucas Luiz Romero")*(20/1083),IF(C1858="Estágio",SUMIFS($D:$D,$A:$A,$A1858,$B:$B,"&lt;&gt;Patrícia Karla de Sousa Araújo",$B:$B,"&lt;&gt;Lorena Dias de Araujo",$B:$B,"&lt;&gt;Lucas Luiz Romero")*(10/1083),0)))))),0)</f>
        <v/>
      </c>
      <c r="K1858" s="3">
        <f>I1858-J1858</f>
        <v/>
      </c>
      <c r="L1858" s="3">
        <f>IF(K1858&lt;-5,"CRÍTICO",IF(K1858&lt;0,"ATENÇÃO",IF(K1858&lt;=5,"BOM","EXCELENTE")))</f>
        <v/>
      </c>
      <c r="N1858" t="n">
        <v>97.48</v>
      </c>
      <c r="O1858" t="n">
        <v>27.76470588235294</v>
      </c>
    </row>
    <row r="1859" hidden="1">
      <c r="A1859" s="11" t="n">
        <v>46058</v>
      </c>
      <c r="B1859" t="inlineStr">
        <is>
          <t>Lorena Dias de Araujo</t>
        </is>
      </c>
      <c r="C1859" t="inlineStr">
        <is>
          <t>Técnico II</t>
        </is>
      </c>
      <c r="D1859" t="n">
        <v>36</v>
      </c>
      <c r="E1859" t="n">
        <v>36</v>
      </c>
      <c r="F1859" t="n">
        <v>19.18</v>
      </c>
      <c r="G1859" t="n">
        <v>0</v>
      </c>
      <c r="H1859" t="n">
        <v>0</v>
      </c>
      <c r="I1859" s="3" t="n">
        <v>0</v>
      </c>
      <c r="J1859" s="3" t="n">
        <v>0</v>
      </c>
      <c r="K1859" s="3" t="n">
        <v>0</v>
      </c>
      <c r="L1859" s="3">
        <f>IF(K1859&lt;-5,"CRÍTICO",IF(K1859&lt;0,"ATENÇÃO",IF(K1859&lt;=5,"BOM","EXCELENTE")))</f>
        <v/>
      </c>
      <c r="N1859" t="n">
        <v>99.34</v>
      </c>
      <c r="O1859" t="n">
        <v>30.04291845493562</v>
      </c>
    </row>
    <row r="1860" hidden="1">
      <c r="A1860" s="11" t="n">
        <v>46058</v>
      </c>
      <c r="B1860" t="inlineStr">
        <is>
          <t>Lucas Luiz Romero</t>
        </is>
      </c>
      <c r="C1860" t="inlineStr">
        <is>
          <t>Técnico III</t>
        </is>
      </c>
      <c r="D1860" t="n">
        <v>55</v>
      </c>
      <c r="E1860" t="n">
        <v>36</v>
      </c>
      <c r="F1860" t="n">
        <v>10.44</v>
      </c>
      <c r="G1860" t="n">
        <v>0</v>
      </c>
      <c r="H1860" t="n">
        <v>0</v>
      </c>
      <c r="I1860" s="3">
        <f>E1860+G1860+H1860</f>
        <v/>
      </c>
      <c r="J1860" s="3">
        <f>ROUND(MIN(IF(C1860="Técnico III",35,IF(C1860="Técnico II",28,IF(C1860="Técnico I",23,IF(C1860="JR",20,IF(C1860="Estágio",10,0))))),IF(C1860="Técnico III",SUMIFS($D:$D,$A:$A,$A1860,$B:$B,"&lt;&gt;Patrícia Karla de Sousa Araújo",$B:$B,"&lt;&gt;Lorena Dias de Araujo",$B:$B,"&lt;&gt;Lucas Luiz Romero")*(35/1083),IF(C1860="Técnico II",SUMIFS($D:$D,$A:$A,$A1860,$B:$B,"&lt;&gt;Patrícia Karla de Sousa Araújo",$B:$B,"&lt;&gt;Lorena Dias de Araujo",$B:$B,"&lt;&gt;Lucas Luiz Romero")*(28/1083),IF(C1860="Técnico I",SUMIFS($D:$D,$A:$A,$A1860,$B:$B,"&lt;&gt;Patrícia Karla de Sousa Araújo",$B:$B,"&lt;&gt;Lorena Dias de Araujo",$B:$B,"&lt;&gt;Lucas Luiz Romero")*(23/1083),IF(C1860="JR",SUMIFS($D:$D,$A:$A,$A1860,$B:$B,"&lt;&gt;Patrícia Karla de Sousa Araújo",$B:$B,"&lt;&gt;Lorena Dias de Araujo",$B:$B,"&lt;&gt;Lucas Luiz Romero")*(20/1083),IF(C1860="Estágio",SUMIFS($D:$D,$A:$A,$A1860,$B:$B,"&lt;&gt;Patrícia Karla de Sousa Araújo",$B:$B,"&lt;&gt;Lorena Dias de Araujo",$B:$B,"&lt;&gt;Lucas Luiz Romero")*(10/1083),0)))))),0)</f>
        <v/>
      </c>
      <c r="K1860" s="3">
        <f>I1860-J1860</f>
        <v/>
      </c>
      <c r="L1860" s="3">
        <f>IF(K1860&lt;-5,"CRÍTICO",IF(K1860&lt;0,"ATENÇÃO",IF(K1860&lt;=5,"BOM","EXCELENTE")))</f>
        <v/>
      </c>
      <c r="N1860" t="n">
        <v>96.3</v>
      </c>
      <c r="O1860" t="n">
        <v>24.29378531073446</v>
      </c>
    </row>
    <row r="1861" hidden="1">
      <c r="A1861" s="11" t="n">
        <v>46058</v>
      </c>
      <c r="B1861" t="inlineStr">
        <is>
          <t>Luiz Fernando de Carvalho Junior</t>
        </is>
      </c>
      <c r="C1861" t="inlineStr">
        <is>
          <t>Técnico I</t>
        </is>
      </c>
      <c r="D1861" t="n">
        <v>24</v>
      </c>
      <c r="E1861" t="n">
        <v>24</v>
      </c>
      <c r="F1861" t="n">
        <v>23.33</v>
      </c>
      <c r="G1861" t="n">
        <v>0</v>
      </c>
      <c r="H1861" t="n">
        <v>0</v>
      </c>
      <c r="I1861" s="3">
        <f>E1861+G1861+H1861</f>
        <v/>
      </c>
      <c r="J1861" s="3">
        <f>ROUND(MIN(IF(C1861="Técnico III",35,IF(C1861="Técnico II",28,IF(C1861="Técnico I",23,IF(C1861="JR",20,IF(C1861="Estágio",10,0))))),IF(C1861="Técnico III",SUMIFS($D:$D,$A:$A,$A1861,$B:$B,"&lt;&gt;Patrícia Karla de Sousa Araújo",$B:$B,"&lt;&gt;Lorena Dias de Araujo",$B:$B,"&lt;&gt;Lucas Luiz Romero")*(35/1083),IF(C1861="Técnico II",SUMIFS($D:$D,$A:$A,$A1861,$B:$B,"&lt;&gt;Patrícia Karla de Sousa Araújo",$B:$B,"&lt;&gt;Lorena Dias de Araujo",$B:$B,"&lt;&gt;Lucas Luiz Romero")*(28/1083),IF(C1861="Técnico I",SUMIFS($D:$D,$A:$A,$A1861,$B:$B,"&lt;&gt;Patrícia Karla de Sousa Araújo",$B:$B,"&lt;&gt;Lorena Dias de Araujo",$B:$B,"&lt;&gt;Lucas Luiz Romero")*(23/1083),IF(C1861="JR",SUMIFS($D:$D,$A:$A,$A1861,$B:$B,"&lt;&gt;Patrícia Karla de Sousa Araújo",$B:$B,"&lt;&gt;Lorena Dias de Araujo",$B:$B,"&lt;&gt;Lucas Luiz Romero")*(20/1083),IF(C1861="Estágio",SUMIFS($D:$D,$A:$A,$A1861,$B:$B,"&lt;&gt;Patrícia Karla de Sousa Araújo",$B:$B,"&lt;&gt;Lorena Dias de Araujo",$B:$B,"&lt;&gt;Lucas Luiz Romero")*(10/1083),0)))))),0)</f>
        <v/>
      </c>
      <c r="K1861" s="3">
        <f>I1861-J1861</f>
        <v/>
      </c>
      <c r="L1861" s="3">
        <f>IF(K1861&lt;-5,"CRÍTICO",IF(K1861&lt;0,"ATENÇÃO",IF(K1861&lt;=5,"BOM","EXCELENTE")))</f>
        <v/>
      </c>
      <c r="N1861" t="n">
        <v>100</v>
      </c>
      <c r="O1861" t="n">
        <v>26.54320987654321</v>
      </c>
    </row>
    <row r="1862" hidden="1">
      <c r="A1862" s="11" t="n">
        <v>46058</v>
      </c>
      <c r="B1862" t="inlineStr">
        <is>
          <t>Maria Eduarda Sousa Costa</t>
        </is>
      </c>
      <c r="C1862" t="inlineStr">
        <is>
          <t>Estágio</t>
        </is>
      </c>
      <c r="D1862" t="n">
        <v>80</v>
      </c>
      <c r="E1862" t="n">
        <v>39</v>
      </c>
      <c r="F1862" t="n">
        <v>5.47</v>
      </c>
      <c r="G1862" t="n">
        <v>0</v>
      </c>
      <c r="H1862" t="n">
        <v>0</v>
      </c>
      <c r="I1862" s="3">
        <f>E1862+G1862+H1862</f>
        <v/>
      </c>
      <c r="J1862" s="3">
        <f>ROUND(MIN(IF(C1862="Técnico III",35,IF(C1862="Técnico II",28,IF(C1862="Técnico I",23,IF(C1862="JR",20,IF(C1862="Estágio",10,0))))),IF(C1862="Técnico III",SUMIFS($D:$D,$A:$A,$A1862,$B:$B,"&lt;&gt;Patrícia Karla de Sousa Araújo",$B:$B,"&lt;&gt;Lorena Dias de Araujo",$B:$B,"&lt;&gt;Lucas Luiz Romero")*(35/1083),IF(C1862="Técnico II",SUMIFS($D:$D,$A:$A,$A1862,$B:$B,"&lt;&gt;Patrícia Karla de Sousa Araújo",$B:$B,"&lt;&gt;Lorena Dias de Araujo",$B:$B,"&lt;&gt;Lucas Luiz Romero")*(28/1083),IF(C1862="Técnico I",SUMIFS($D:$D,$A:$A,$A1862,$B:$B,"&lt;&gt;Patrícia Karla de Sousa Araújo",$B:$B,"&lt;&gt;Lorena Dias de Araujo",$B:$B,"&lt;&gt;Lucas Luiz Romero")*(23/1083),IF(C1862="JR",SUMIFS($D:$D,$A:$A,$A1862,$B:$B,"&lt;&gt;Patrícia Karla de Sousa Araújo",$B:$B,"&lt;&gt;Lorena Dias de Araujo",$B:$B,"&lt;&gt;Lucas Luiz Romero")*(20/1083),IF(C1862="Estágio",SUMIFS($D:$D,$A:$A,$A1862,$B:$B,"&lt;&gt;Patrícia Karla de Sousa Araújo",$B:$B,"&lt;&gt;Lorena Dias de Araujo",$B:$B,"&lt;&gt;Lucas Luiz Romero")*(10/1083),0)))))),0)</f>
        <v/>
      </c>
      <c r="K1862" s="3">
        <f>I1862-J1862</f>
        <v/>
      </c>
      <c r="L1862" s="3">
        <f>IF(K1862&lt;-5,"CRÍTICO",IF(K1862&lt;0,"ATENÇÃO",IF(K1862&lt;=5,"BOM","EXCELENTE")))</f>
        <v/>
      </c>
      <c r="N1862" t="n">
        <v>100</v>
      </c>
      <c r="O1862" t="n">
        <v>35.48387096774194</v>
      </c>
    </row>
    <row r="1863" hidden="1">
      <c r="A1863" s="11" t="n">
        <v>46058</v>
      </c>
      <c r="B1863" t="inlineStr">
        <is>
          <t>Matheus Farias De Souza</t>
        </is>
      </c>
      <c r="C1863" t="inlineStr">
        <is>
          <t>Técnico III</t>
        </is>
      </c>
      <c r="D1863" t="n">
        <v>40</v>
      </c>
      <c r="E1863" t="n">
        <v>40</v>
      </c>
      <c r="F1863" t="n">
        <v>14.18</v>
      </c>
      <c r="G1863" t="n">
        <v>0</v>
      </c>
      <c r="H1863" t="n">
        <v>0</v>
      </c>
      <c r="I1863" s="3">
        <f>E1863+G1863+H1863</f>
        <v/>
      </c>
      <c r="J1863" s="3">
        <f>ROUND(MIN(IF(C1863="Técnico III",35,IF(C1863="Técnico II",28,IF(C1863="Técnico I",23,IF(C1863="JR",20,IF(C1863="Estágio",10,0))))),IF(C1863="Técnico III",SUMIFS($D:$D,$A:$A,$A1863,$B:$B,"&lt;&gt;Patrícia Karla de Sousa Araújo",$B:$B,"&lt;&gt;Lorena Dias de Araujo",$B:$B,"&lt;&gt;Lucas Luiz Romero")*(35/1083),IF(C1863="Técnico II",SUMIFS($D:$D,$A:$A,$A1863,$B:$B,"&lt;&gt;Patrícia Karla de Sousa Araújo",$B:$B,"&lt;&gt;Lorena Dias de Araujo",$B:$B,"&lt;&gt;Lucas Luiz Romero")*(28/1083),IF(C1863="Técnico I",SUMIFS($D:$D,$A:$A,$A1863,$B:$B,"&lt;&gt;Patrícia Karla de Sousa Araújo",$B:$B,"&lt;&gt;Lorena Dias de Araujo",$B:$B,"&lt;&gt;Lucas Luiz Romero")*(23/1083),IF(C1863="JR",SUMIFS($D:$D,$A:$A,$A1863,$B:$B,"&lt;&gt;Patrícia Karla de Sousa Araújo",$B:$B,"&lt;&gt;Lorena Dias de Araujo",$B:$B,"&lt;&gt;Lucas Luiz Romero")*(20/1083),IF(C1863="Estágio",SUMIFS($D:$D,$A:$A,$A1863,$B:$B,"&lt;&gt;Patrícia Karla de Sousa Araújo",$B:$B,"&lt;&gt;Lorena Dias de Araujo",$B:$B,"&lt;&gt;Lucas Luiz Romero")*(10/1083),0)))))),0)</f>
        <v/>
      </c>
      <c r="K1863" s="3">
        <f>I1863-J1863</f>
        <v/>
      </c>
      <c r="L1863" s="3">
        <f>IF(K1863&lt;-5,"CRÍTICO",IF(K1863&lt;0,"ATENÇÃO",IF(K1863&lt;=5,"BOM","EXCELENTE")))</f>
        <v/>
      </c>
      <c r="N1863" t="n">
        <v>99.27</v>
      </c>
      <c r="O1863" t="n">
        <v>31.16370808678501</v>
      </c>
    </row>
    <row r="1864" hidden="1">
      <c r="A1864" s="11" t="n">
        <v>46058</v>
      </c>
      <c r="B1864" t="inlineStr">
        <is>
          <t>Maysa Victoria Dias Moura</t>
        </is>
      </c>
      <c r="C1864" t="inlineStr">
        <is>
          <t>Técnico III</t>
        </is>
      </c>
      <c r="D1864" t="n">
        <v>33</v>
      </c>
      <c r="E1864" t="n">
        <v>32</v>
      </c>
      <c r="F1864" t="n">
        <v>15.14</v>
      </c>
      <c r="G1864" t="n">
        <v>0</v>
      </c>
      <c r="H1864" t="n">
        <v>0</v>
      </c>
      <c r="I1864" s="3">
        <f>E1864+G1864+H1864</f>
        <v/>
      </c>
      <c r="J1864" s="3">
        <f>ROUND(MIN(IF(C1864="Técnico III",35,IF(C1864="Técnico II",28,IF(C1864="Técnico I",23,IF(C1864="JR",20,IF(C1864="Estágio",10,0))))),IF(C1864="Técnico III",SUMIFS($D:$D,$A:$A,$A1864,$B:$B,"&lt;&gt;Patrícia Karla de Sousa Araújo",$B:$B,"&lt;&gt;Lorena Dias de Araujo",$B:$B,"&lt;&gt;Lucas Luiz Romero")*(35/1083),IF(C1864="Técnico II",SUMIFS($D:$D,$A:$A,$A1864,$B:$B,"&lt;&gt;Patrícia Karla de Sousa Araújo",$B:$B,"&lt;&gt;Lorena Dias de Araujo",$B:$B,"&lt;&gt;Lucas Luiz Romero")*(28/1083),IF(C1864="Técnico I",SUMIFS($D:$D,$A:$A,$A1864,$B:$B,"&lt;&gt;Patrícia Karla de Sousa Araújo",$B:$B,"&lt;&gt;Lorena Dias de Araujo",$B:$B,"&lt;&gt;Lucas Luiz Romero")*(23/1083),IF(C1864="JR",SUMIFS($D:$D,$A:$A,$A1864,$B:$B,"&lt;&gt;Patrícia Karla de Sousa Araújo",$B:$B,"&lt;&gt;Lorena Dias de Araujo",$B:$B,"&lt;&gt;Lucas Luiz Romero")*(20/1083),IF(C1864="Estágio",SUMIFS($D:$D,$A:$A,$A1864,$B:$B,"&lt;&gt;Patrícia Karla de Sousa Araújo",$B:$B,"&lt;&gt;Lorena Dias de Araujo",$B:$B,"&lt;&gt;Lucas Luiz Romero")*(10/1083),0)))))),0)</f>
        <v/>
      </c>
      <c r="K1864" s="3">
        <f>I1864-J1864</f>
        <v/>
      </c>
      <c r="L1864" s="3">
        <f>IF(K1864&lt;-5,"CRÍTICO",IF(K1864&lt;0,"ATENÇÃO",IF(K1864&lt;=5,"BOM","EXCELENTE")))</f>
        <v/>
      </c>
      <c r="N1864" t="n">
        <v>94.16</v>
      </c>
      <c r="O1864" t="n">
        <v>27.03862660944206</v>
      </c>
    </row>
    <row r="1865" hidden="1">
      <c r="A1865" s="11" t="n">
        <v>46058</v>
      </c>
      <c r="B1865" t="inlineStr">
        <is>
          <t>Michelle G Santos</t>
        </is>
      </c>
      <c r="C1865" t="inlineStr">
        <is>
          <t>Estágio</t>
        </is>
      </c>
      <c r="D1865" t="n">
        <v>17</v>
      </c>
      <c r="E1865" t="n">
        <v>16</v>
      </c>
      <c r="F1865" t="n">
        <v>35.51</v>
      </c>
      <c r="G1865" t="n">
        <v>0</v>
      </c>
      <c r="H1865" t="n">
        <v>0</v>
      </c>
      <c r="I1865" s="3">
        <f>E1865+G1865+H1865</f>
        <v/>
      </c>
      <c r="J1865" s="3">
        <f>ROUND(MIN(IF(C1865="Técnico III",35,IF(C1865="Técnico II",28,IF(C1865="Técnico I",23,IF(C1865="JR",20,IF(C1865="Estágio",10,0))))),IF(C1865="Técnico III",SUMIFS($D:$D,$A:$A,$A1865,$B:$B,"&lt;&gt;Patrícia Karla de Sousa Araújo",$B:$B,"&lt;&gt;Lorena Dias de Araujo",$B:$B,"&lt;&gt;Lucas Luiz Romero")*(35/1083),IF(C1865="Técnico II",SUMIFS($D:$D,$A:$A,$A1865,$B:$B,"&lt;&gt;Patrícia Karla de Sousa Araújo",$B:$B,"&lt;&gt;Lorena Dias de Araujo",$B:$B,"&lt;&gt;Lucas Luiz Romero")*(28/1083),IF(C1865="Técnico I",SUMIFS($D:$D,$A:$A,$A1865,$B:$B,"&lt;&gt;Patrícia Karla de Sousa Araújo",$B:$B,"&lt;&gt;Lorena Dias de Araujo",$B:$B,"&lt;&gt;Lucas Luiz Romero")*(23/1083),IF(C1865="JR",SUMIFS($D:$D,$A:$A,$A1865,$B:$B,"&lt;&gt;Patrícia Karla de Sousa Araújo",$B:$B,"&lt;&gt;Lorena Dias de Araujo",$B:$B,"&lt;&gt;Lucas Luiz Romero")*(20/1083),IF(C1865="Estágio",SUMIFS($D:$D,$A:$A,$A1865,$B:$B,"&lt;&gt;Patrícia Karla de Sousa Araújo",$B:$B,"&lt;&gt;Lorena Dias de Araujo",$B:$B,"&lt;&gt;Lucas Luiz Romero")*(10/1083),0)))))),0)</f>
        <v/>
      </c>
      <c r="K1865" s="3">
        <f>I1865-J1865</f>
        <v/>
      </c>
      <c r="L1865" s="3">
        <f>IF(K1865&lt;-5,"CRÍTICO",IF(K1865&lt;0,"ATENÇÃO",IF(K1865&lt;=5,"BOM","EXCELENTE")))</f>
        <v/>
      </c>
      <c r="N1865" t="n">
        <v>93.75</v>
      </c>
      <c r="O1865" t="n">
        <v>19.31818181818182</v>
      </c>
    </row>
    <row r="1866" hidden="1">
      <c r="A1866" s="11" t="n">
        <v>46058</v>
      </c>
      <c r="B1866" t="inlineStr">
        <is>
          <t>Milena Sales</t>
        </is>
      </c>
      <c r="C1866" t="inlineStr">
        <is>
          <t>JR</t>
        </is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s="3" t="n">
        <v>0</v>
      </c>
      <c r="J1866" s="3" t="n">
        <v>0</v>
      </c>
      <c r="K1866" s="3" t="n">
        <v>0</v>
      </c>
      <c r="L1866" s="3">
        <f>IF(K1866&lt;-5,"CRÍTICO",IF(K1866&lt;0,"ATENÇÃO",IF(K1866&lt;=5,"BOM","EXCELENTE")))</f>
        <v/>
      </c>
      <c r="N1866" t="n">
        <v>0</v>
      </c>
      <c r="O1866" t="n">
        <v>0</v>
      </c>
    </row>
    <row r="1867" hidden="1">
      <c r="A1867" s="11" t="n">
        <v>46058</v>
      </c>
      <c r="B1867" t="inlineStr">
        <is>
          <t>Patrícia Karla de Sousa Araújo</t>
        </is>
      </c>
      <c r="C1867" t="inlineStr">
        <is>
          <t>Técnico II</t>
        </is>
      </c>
      <c r="D1867" t="n">
        <v>29</v>
      </c>
      <c r="E1867" t="n">
        <v>27</v>
      </c>
      <c r="F1867" t="n">
        <v>20.54</v>
      </c>
      <c r="G1867" t="n">
        <v>0</v>
      </c>
      <c r="H1867" t="n">
        <v>0</v>
      </c>
      <c r="I1867" s="3">
        <f>E1867+G1867+H1867</f>
        <v/>
      </c>
      <c r="J1867" s="3">
        <f>ROUND(MIN(IF(C1867="Técnico III",35,IF(C1867="Técnico II",28,IF(C1867="Técnico I",23,IF(C1867="JR",20,IF(C1867="Estágio",10,0))))),IF(C1867="Técnico III",SUMIFS($D:$D,$A:$A,$A1867,$B:$B,"&lt;&gt;Patrícia Karla de Sousa Araújo",$B:$B,"&lt;&gt;Lorena Dias de Araujo",$B:$B,"&lt;&gt;Lucas Luiz Romero")*(35/1083),IF(C1867="Técnico II",SUMIFS($D:$D,$A:$A,$A1867,$B:$B,"&lt;&gt;Patrícia Karla de Sousa Araújo",$B:$B,"&lt;&gt;Lorena Dias de Araujo",$B:$B,"&lt;&gt;Lucas Luiz Romero")*(28/1083),IF(C1867="Técnico I",SUMIFS($D:$D,$A:$A,$A1867,$B:$B,"&lt;&gt;Patrícia Karla de Sousa Araújo",$B:$B,"&lt;&gt;Lorena Dias de Araujo",$B:$B,"&lt;&gt;Lucas Luiz Romero")*(23/1083),IF(C1867="JR",SUMIFS($D:$D,$A:$A,$A1867,$B:$B,"&lt;&gt;Patrícia Karla de Sousa Araújo",$B:$B,"&lt;&gt;Lorena Dias de Araujo",$B:$B,"&lt;&gt;Lucas Luiz Romero")*(20/1083),IF(C1867="Estágio",SUMIFS($D:$D,$A:$A,$A1867,$B:$B,"&lt;&gt;Patrícia Karla de Sousa Araújo",$B:$B,"&lt;&gt;Lorena Dias de Araujo",$B:$B,"&lt;&gt;Lucas Luiz Romero")*(10/1083),0)))))),0)</f>
        <v/>
      </c>
      <c r="K1867" s="3">
        <f>I1867-J1867</f>
        <v/>
      </c>
      <c r="L1867" s="3">
        <f>IF(K1867&lt;-5,"CRÍTICO",IF(K1867&lt;0,"ATENÇÃO",IF(K1867&lt;=5,"BOM","EXCELENTE")))</f>
        <v/>
      </c>
      <c r="N1867" t="n">
        <v>97.92</v>
      </c>
      <c r="O1867" t="n">
        <v>32.87671232876712</v>
      </c>
    </row>
    <row r="1868" hidden="1">
      <c r="A1868" s="11" t="n">
        <v>46058</v>
      </c>
      <c r="B1868" t="inlineStr">
        <is>
          <t>Paulo Ricardo Santos</t>
        </is>
      </c>
      <c r="C1868" t="inlineStr">
        <is>
          <t>JR</t>
        </is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s="3" t="n">
        <v>0</v>
      </c>
      <c r="J1868" s="3" t="n">
        <v>0</v>
      </c>
      <c r="K1868" s="3" t="n">
        <v>0</v>
      </c>
      <c r="L1868" s="3">
        <f>IF(K1868&lt;-5,"CRÍTICO",IF(K1868&lt;0,"ATENÇÃO",IF(K1868&lt;=5,"BOM","EXCELENTE")))</f>
        <v/>
      </c>
      <c r="N1868" t="n">
        <v>0</v>
      </c>
      <c r="O1868" t="n">
        <v>0</v>
      </c>
    </row>
    <row r="1869" hidden="1">
      <c r="A1869" s="11" t="n">
        <v>46058</v>
      </c>
      <c r="B1869" t="inlineStr">
        <is>
          <t>Pedro Luiz Mota Sousa</t>
        </is>
      </c>
      <c r="C1869" t="inlineStr">
        <is>
          <t>JR</t>
        </is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s="3" t="n">
        <v>0</v>
      </c>
      <c r="J1869" s="3" t="n">
        <v>0</v>
      </c>
      <c r="K1869" s="3" t="n">
        <v>0</v>
      </c>
      <c r="L1869" s="3">
        <f>IF(K1869&lt;-5,"CRÍTICO",IF(K1869&lt;0,"ATENÇÃO",IF(K1869&lt;=5,"BOM","EXCELENTE")))</f>
        <v/>
      </c>
      <c r="N1869" t="n">
        <v>0</v>
      </c>
      <c r="O1869" t="n">
        <v>0</v>
      </c>
    </row>
    <row r="1870" hidden="1">
      <c r="A1870" s="11" t="n">
        <v>46058</v>
      </c>
      <c r="B1870" t="inlineStr">
        <is>
          <t>Quirino Diogo Leite Torres</t>
        </is>
      </c>
      <c r="C1870" t="inlineStr">
        <is>
          <t>Estágio</t>
        </is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s="3" t="n">
        <v>0</v>
      </c>
      <c r="J1870" s="3" t="n">
        <v>0</v>
      </c>
      <c r="K1870" s="3" t="n">
        <v>0</v>
      </c>
      <c r="L1870" s="3">
        <f>IF(K1870&lt;-5,"CRÍTICO",IF(K1870&lt;0,"ATENÇÃO",IF(K1870&lt;=5,"BOM","EXCELENTE")))</f>
        <v/>
      </c>
      <c r="N1870" t="n">
        <v>0</v>
      </c>
      <c r="O1870" t="n">
        <v>0</v>
      </c>
    </row>
    <row r="1871" hidden="1">
      <c r="A1871" s="11" t="n">
        <v>46058</v>
      </c>
      <c r="B1871" t="inlineStr">
        <is>
          <t>Raane Batista Matos</t>
        </is>
      </c>
      <c r="C1871" t="inlineStr">
        <is>
          <t>Técnico I</t>
        </is>
      </c>
      <c r="D1871" t="n">
        <v>24</v>
      </c>
      <c r="E1871" t="n">
        <v>23</v>
      </c>
      <c r="F1871" t="n">
        <v>25.01</v>
      </c>
      <c r="G1871" t="n">
        <v>0</v>
      </c>
      <c r="H1871" t="n">
        <v>0</v>
      </c>
      <c r="I1871" s="3">
        <f>E1871+G1871+H1871</f>
        <v/>
      </c>
      <c r="J1871" s="3">
        <f>ROUND(MIN(IF(C1871="Técnico III",35,IF(C1871="Técnico II",28,IF(C1871="Técnico I",23,IF(C1871="JR",20,IF(C1871="Estágio",10,0))))),IF(C1871="Técnico III",SUMIFS($D:$D,$A:$A,$A1871,$B:$B,"&lt;&gt;Patrícia Karla de Sousa Araújo",$B:$B,"&lt;&gt;Lorena Dias de Araujo",$B:$B,"&lt;&gt;Lucas Luiz Romero")*(35/1083),IF(C1871="Técnico II",SUMIFS($D:$D,$A:$A,$A1871,$B:$B,"&lt;&gt;Patrícia Karla de Sousa Araújo",$B:$B,"&lt;&gt;Lorena Dias de Araujo",$B:$B,"&lt;&gt;Lucas Luiz Romero")*(28/1083),IF(C1871="Técnico I",SUMIFS($D:$D,$A:$A,$A1871,$B:$B,"&lt;&gt;Patrícia Karla de Sousa Araújo",$B:$B,"&lt;&gt;Lorena Dias de Araujo",$B:$B,"&lt;&gt;Lucas Luiz Romero")*(23/1083),IF(C1871="JR",SUMIFS($D:$D,$A:$A,$A1871,$B:$B,"&lt;&gt;Patrícia Karla de Sousa Araújo",$B:$B,"&lt;&gt;Lorena Dias de Araujo",$B:$B,"&lt;&gt;Lucas Luiz Romero")*(20/1083),IF(C1871="Estágio",SUMIFS($D:$D,$A:$A,$A1871,$B:$B,"&lt;&gt;Patrícia Karla de Sousa Araújo",$B:$B,"&lt;&gt;Lorena Dias de Araujo",$B:$B,"&lt;&gt;Lucas Luiz Romero")*(10/1083),0)))))),0)</f>
        <v/>
      </c>
      <c r="K1871" s="3">
        <f>I1871-J1871</f>
        <v/>
      </c>
      <c r="L1871" s="3">
        <f>IF(K1871&lt;-5,"CRÍTICO",IF(K1871&lt;0,"ATENÇÃO",IF(K1871&lt;=5,"BOM","EXCELENTE")))</f>
        <v/>
      </c>
      <c r="N1871" t="n">
        <v>98.51000000000001</v>
      </c>
      <c r="O1871" t="n">
        <v>29.71014492753623</v>
      </c>
    </row>
    <row r="1872" hidden="1">
      <c r="A1872" s="11" t="n">
        <v>46058</v>
      </c>
      <c r="B1872" t="inlineStr">
        <is>
          <t>Rafael Gomes de Morais</t>
        </is>
      </c>
      <c r="C1872" t="inlineStr">
        <is>
          <t>Técnico III</t>
        </is>
      </c>
      <c r="D1872" t="n">
        <v>30</v>
      </c>
      <c r="E1872" t="n">
        <v>27</v>
      </c>
      <c r="F1872" t="n">
        <v>15.32</v>
      </c>
      <c r="G1872" t="n">
        <v>0</v>
      </c>
      <c r="H1872" t="n">
        <v>0</v>
      </c>
      <c r="I1872" s="3">
        <f>E1872+G1872+H1872</f>
        <v/>
      </c>
      <c r="J1872" s="3">
        <f>ROUND(MIN(IF(C1872="Técnico III",35,IF(C1872="Técnico II",28,IF(C1872="Técnico I",23,IF(C1872="JR",20,IF(C1872="Estágio",10,0))))),IF(C1872="Técnico III",SUMIFS($D:$D,$A:$A,$A1872,$B:$B,"&lt;&gt;Patrícia Karla de Sousa Araújo",$B:$B,"&lt;&gt;Lorena Dias de Araujo",$B:$B,"&lt;&gt;Lucas Luiz Romero")*(35/1083),IF(C1872="Técnico II",SUMIFS($D:$D,$A:$A,$A1872,$B:$B,"&lt;&gt;Patrícia Karla de Sousa Araújo",$B:$B,"&lt;&gt;Lorena Dias de Araujo",$B:$B,"&lt;&gt;Lucas Luiz Romero")*(28/1083),IF(C1872="Técnico I",SUMIFS($D:$D,$A:$A,$A1872,$B:$B,"&lt;&gt;Patrícia Karla de Sousa Araújo",$B:$B,"&lt;&gt;Lorena Dias de Araujo",$B:$B,"&lt;&gt;Lucas Luiz Romero")*(23/1083),IF(C1872="JR",SUMIFS($D:$D,$A:$A,$A1872,$B:$B,"&lt;&gt;Patrícia Karla de Sousa Araújo",$B:$B,"&lt;&gt;Lorena Dias de Araujo",$B:$B,"&lt;&gt;Lucas Luiz Romero")*(20/1083),IF(C1872="Estágio",SUMIFS($D:$D,$A:$A,$A1872,$B:$B,"&lt;&gt;Patrícia Karla de Sousa Araújo",$B:$B,"&lt;&gt;Lorena Dias de Araujo",$B:$B,"&lt;&gt;Lucas Luiz Romero")*(10/1083),0)))))),0)</f>
        <v/>
      </c>
      <c r="K1872" s="3">
        <f>I1872-J1872</f>
        <v/>
      </c>
      <c r="L1872" s="3">
        <f>IF(K1872&lt;-5,"CRÍTICO",IF(K1872&lt;0,"ATENÇÃO",IF(K1872&lt;=5,"BOM","EXCELENTE")))</f>
        <v/>
      </c>
      <c r="N1872" t="n">
        <v>98.81</v>
      </c>
      <c r="O1872" t="n">
        <v>30.71297989031079</v>
      </c>
    </row>
    <row r="1873" hidden="1">
      <c r="A1873" s="11" t="n">
        <v>46058</v>
      </c>
      <c r="B1873" t="inlineStr">
        <is>
          <t>Sara Maria Monteiro Lopes</t>
        </is>
      </c>
      <c r="C1873" t="inlineStr">
        <is>
          <t>Técnico I</t>
        </is>
      </c>
      <c r="D1873" t="n">
        <v>18</v>
      </c>
      <c r="E1873" t="n">
        <v>18</v>
      </c>
      <c r="F1873" t="n">
        <v>30.58</v>
      </c>
      <c r="G1873" t="n">
        <v>0</v>
      </c>
      <c r="H1873" t="n">
        <v>0</v>
      </c>
      <c r="I1873" s="3">
        <f>E1873+G1873+H1873</f>
        <v/>
      </c>
      <c r="J1873" s="3">
        <f>ROUND(MIN(IF(C1873="Técnico III",35,IF(C1873="Técnico II",28,IF(C1873="Técnico I",23,IF(C1873="JR",20,IF(C1873="Estágio",10,0))))),IF(C1873="Técnico III",SUMIFS($D:$D,$A:$A,$A1873,$B:$B,"&lt;&gt;Patrícia Karla de Sousa Araújo",$B:$B,"&lt;&gt;Lorena Dias de Araujo",$B:$B,"&lt;&gt;Lucas Luiz Romero")*(35/1083),IF(C1873="Técnico II",SUMIFS($D:$D,$A:$A,$A1873,$B:$B,"&lt;&gt;Patrícia Karla de Sousa Araújo",$B:$B,"&lt;&gt;Lorena Dias de Araujo",$B:$B,"&lt;&gt;Lucas Luiz Romero")*(28/1083),IF(C1873="Técnico I",SUMIFS($D:$D,$A:$A,$A1873,$B:$B,"&lt;&gt;Patrícia Karla de Sousa Araújo",$B:$B,"&lt;&gt;Lorena Dias de Araujo",$B:$B,"&lt;&gt;Lucas Luiz Romero")*(23/1083),IF(C1873="JR",SUMIFS($D:$D,$A:$A,$A1873,$B:$B,"&lt;&gt;Patrícia Karla de Sousa Araújo",$B:$B,"&lt;&gt;Lorena Dias de Araujo",$B:$B,"&lt;&gt;Lucas Luiz Romero")*(20/1083),IF(C1873="Estágio",SUMIFS($D:$D,$A:$A,$A1873,$B:$B,"&lt;&gt;Patrícia Karla de Sousa Araújo",$B:$B,"&lt;&gt;Lorena Dias de Araujo",$B:$B,"&lt;&gt;Lucas Luiz Romero")*(10/1083),0)))))),0)</f>
        <v/>
      </c>
      <c r="K1873" s="3">
        <f>I1873-J1873</f>
        <v/>
      </c>
      <c r="L1873" s="3">
        <f>IF(K1873&lt;-5,"CRÍTICO",IF(K1873&lt;0,"ATENÇÃO",IF(K1873&lt;=5,"BOM","EXCELENTE")))</f>
        <v/>
      </c>
      <c r="N1873" t="n">
        <v>98.48</v>
      </c>
      <c r="O1873" t="n">
        <v>29.35323383084577</v>
      </c>
    </row>
    <row r="1874" hidden="1">
      <c r="A1874" s="11" t="n">
        <v>46058</v>
      </c>
      <c r="B1874" t="inlineStr">
        <is>
          <t>Sarah Steffanie de Lima Borges</t>
        </is>
      </c>
      <c r="C1874" t="inlineStr">
        <is>
          <t>Técnico III</t>
        </is>
      </c>
      <c r="D1874" t="n">
        <v>40</v>
      </c>
      <c r="E1874" t="n">
        <v>38</v>
      </c>
      <c r="F1874" t="n">
        <v>15.31</v>
      </c>
      <c r="G1874" t="n">
        <v>0</v>
      </c>
      <c r="H1874" t="n">
        <v>0</v>
      </c>
      <c r="I1874" s="3">
        <f>E1874+G1874+H1874</f>
        <v/>
      </c>
      <c r="J1874" s="3">
        <f>ROUND(MIN(IF(C1874="Técnico III",35,IF(C1874="Técnico II",28,IF(C1874="Técnico I",23,IF(C1874="JR",20,IF(C1874="Estágio",10,0))))),IF(C1874="Técnico III",SUMIFS($D:$D,$A:$A,$A1874,$B:$B,"&lt;&gt;Patrícia Karla de Sousa Araújo",$B:$B,"&lt;&gt;Lorena Dias de Araujo",$B:$B,"&lt;&gt;Lucas Luiz Romero")*(35/1083),IF(C1874="Técnico II",SUMIFS($D:$D,$A:$A,$A1874,$B:$B,"&lt;&gt;Patrícia Karla de Sousa Araújo",$B:$B,"&lt;&gt;Lorena Dias de Araujo",$B:$B,"&lt;&gt;Lucas Luiz Romero")*(28/1083),IF(C1874="Técnico I",SUMIFS($D:$D,$A:$A,$A1874,$B:$B,"&lt;&gt;Patrícia Karla de Sousa Araújo",$B:$B,"&lt;&gt;Lorena Dias de Araujo",$B:$B,"&lt;&gt;Lucas Luiz Romero")*(23/1083),IF(C1874="JR",SUMIFS($D:$D,$A:$A,$A1874,$B:$B,"&lt;&gt;Patrícia Karla de Sousa Araújo",$B:$B,"&lt;&gt;Lorena Dias de Araujo",$B:$B,"&lt;&gt;Lucas Luiz Romero")*(20/1083),IF(C1874="Estágio",SUMIFS($D:$D,$A:$A,$A1874,$B:$B,"&lt;&gt;Patrícia Karla de Sousa Araújo",$B:$B,"&lt;&gt;Lorena Dias de Araujo",$B:$B,"&lt;&gt;Lucas Luiz Romero")*(10/1083),0)))))),0)</f>
        <v/>
      </c>
      <c r="K1874" s="3">
        <f>I1874-J1874</f>
        <v/>
      </c>
      <c r="L1874" s="3">
        <f>IF(K1874&lt;-5,"CRÍTICO",IF(K1874&lt;0,"ATENÇÃO",IF(K1874&lt;=5,"BOM","EXCELENTE")))</f>
        <v/>
      </c>
      <c r="N1874" t="n">
        <v>98.56</v>
      </c>
      <c r="O1874" t="n">
        <v>29.37365010799136</v>
      </c>
    </row>
    <row r="1875" hidden="1">
      <c r="A1875" s="11" t="n">
        <v>46059</v>
      </c>
      <c r="B1875" t="inlineStr">
        <is>
          <t>Alisson de Freitas Silva</t>
        </is>
      </c>
      <c r="C1875" t="inlineStr">
        <is>
          <t>Técnico II</t>
        </is>
      </c>
      <c r="D1875" t="n">
        <v>19</v>
      </c>
      <c r="E1875" t="n">
        <v>18</v>
      </c>
      <c r="F1875" t="n">
        <v>26.47</v>
      </c>
      <c r="G1875" t="n">
        <v>0</v>
      </c>
      <c r="H1875" t="n">
        <v>0</v>
      </c>
      <c r="I1875" s="3">
        <f>E1875+G1875+H1875</f>
        <v/>
      </c>
      <c r="J1875" s="3">
        <f>ROUND(MIN(IF(C1875="Técnico III",35,IF(C1875="Técnico II",28,IF(C1875="Técnico I",23,IF(C1875="JR",20,IF(C1875="Estágio",10,0))))),IF(C1875="Técnico III",SUMIFS($D:$D,$A:$A,$A1875,$B:$B,"&lt;&gt;Patrícia Karla de Sousa Araújo",$B:$B,"&lt;&gt;Lorena Dias de Araujo",$B:$B,"&lt;&gt;Lucas Luiz Romero")*(35/1083),IF(C1875="Técnico II",SUMIFS($D:$D,$A:$A,$A1875,$B:$B,"&lt;&gt;Patrícia Karla de Sousa Araújo",$B:$B,"&lt;&gt;Lorena Dias de Araujo",$B:$B,"&lt;&gt;Lucas Luiz Romero")*(28/1083),IF(C1875="Técnico I",SUMIFS($D:$D,$A:$A,$A1875,$B:$B,"&lt;&gt;Patrícia Karla de Sousa Araújo",$B:$B,"&lt;&gt;Lorena Dias de Araujo",$B:$B,"&lt;&gt;Lucas Luiz Romero")*(23/1083),IF(C1875="JR",SUMIFS($D:$D,$A:$A,$A1875,$B:$B,"&lt;&gt;Patrícia Karla de Sousa Araújo",$B:$B,"&lt;&gt;Lorena Dias de Araujo",$B:$B,"&lt;&gt;Lucas Luiz Romero")*(20/1083),IF(C1875="Estágio",SUMIFS($D:$D,$A:$A,$A1875,$B:$B,"&lt;&gt;Patrícia Karla de Sousa Araújo",$B:$B,"&lt;&gt;Lorena Dias de Araujo",$B:$B,"&lt;&gt;Lucas Luiz Romero")*(10/1083),0)))))),0)</f>
        <v/>
      </c>
      <c r="K1875" s="3">
        <f>I1875-J1875</f>
        <v/>
      </c>
      <c r="L1875" s="3">
        <f>IF(K1875&lt;-5,"CRÍTICO",IF(K1875&lt;0,"ATENÇÃO",IF(K1875&lt;=5,"BOM","EXCELENTE")))</f>
        <v/>
      </c>
      <c r="N1875" t="n">
        <v>98.31999999999999</v>
      </c>
      <c r="O1875" t="n">
        <v>30.3030303030303</v>
      </c>
    </row>
    <row r="1876" hidden="1">
      <c r="A1876" s="11" t="n">
        <v>46059</v>
      </c>
      <c r="B1876" t="inlineStr">
        <is>
          <t>Amanda Moura Ferreira</t>
        </is>
      </c>
      <c r="C1876" t="inlineStr">
        <is>
          <t>Técnico III</t>
        </is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s="3" t="n">
        <v>0</v>
      </c>
      <c r="J1876" s="3" t="n">
        <v>0</v>
      </c>
      <c r="K1876" s="3" t="n">
        <v>0</v>
      </c>
      <c r="L1876" s="3">
        <f>IF(K1876&lt;-5,"CRÍTICO",IF(K1876&lt;0,"ATENÇÃO",IF(K1876&lt;=5,"BOM","EXCELENTE")))</f>
        <v/>
      </c>
      <c r="N1876" t="n">
        <v>98.68000000000001</v>
      </c>
      <c r="O1876" t="n">
        <v>26.21951219512195</v>
      </c>
    </row>
    <row r="1877" hidden="1">
      <c r="A1877" s="11" t="n">
        <v>46059</v>
      </c>
      <c r="B1877" t="inlineStr">
        <is>
          <t>Ana Karollyne Souza Faria</t>
        </is>
      </c>
      <c r="C1877" t="inlineStr">
        <is>
          <t>Técnico I</t>
        </is>
      </c>
      <c r="D1877" t="n">
        <v>30</v>
      </c>
      <c r="E1877" t="n">
        <v>26</v>
      </c>
      <c r="F1877" t="n">
        <v>23.48</v>
      </c>
      <c r="G1877" t="n">
        <v>0</v>
      </c>
      <c r="H1877" t="n">
        <v>0</v>
      </c>
      <c r="I1877" s="3">
        <f>E1877+G1877+H1877</f>
        <v/>
      </c>
      <c r="J1877" s="3">
        <f>ROUND(MIN(IF(C1877="Técnico III",35,IF(C1877="Técnico II",28,IF(C1877="Técnico I",23,IF(C1877="JR",20,IF(C1877="Estágio",10,0))))),IF(C1877="Técnico III",SUMIFS($D:$D,$A:$A,$A1877,$B:$B,"&lt;&gt;Patrícia Karla de Sousa Araújo",$B:$B,"&lt;&gt;Lorena Dias de Araujo",$B:$B,"&lt;&gt;Lucas Luiz Romero")*(35/1083),IF(C1877="Técnico II",SUMIFS($D:$D,$A:$A,$A1877,$B:$B,"&lt;&gt;Patrícia Karla de Sousa Araújo",$B:$B,"&lt;&gt;Lorena Dias de Araujo",$B:$B,"&lt;&gt;Lucas Luiz Romero")*(28/1083),IF(C1877="Técnico I",SUMIFS($D:$D,$A:$A,$A1877,$B:$B,"&lt;&gt;Patrícia Karla de Sousa Araújo",$B:$B,"&lt;&gt;Lorena Dias de Araujo",$B:$B,"&lt;&gt;Lucas Luiz Romero")*(23/1083),IF(C1877="JR",SUMIFS($D:$D,$A:$A,$A1877,$B:$B,"&lt;&gt;Patrícia Karla de Sousa Araújo",$B:$B,"&lt;&gt;Lorena Dias de Araujo",$B:$B,"&lt;&gt;Lucas Luiz Romero")*(20/1083),IF(C1877="Estágio",SUMIFS($D:$D,$A:$A,$A1877,$B:$B,"&lt;&gt;Patrícia Karla de Sousa Araújo",$B:$B,"&lt;&gt;Lorena Dias de Araujo",$B:$B,"&lt;&gt;Lucas Luiz Romero")*(10/1083),0)))))),0)</f>
        <v/>
      </c>
      <c r="K1877" s="3">
        <f>I1877-J1877</f>
        <v/>
      </c>
      <c r="L1877" s="3">
        <f>IF(K1877&lt;-5,"CRÍTICO",IF(K1877&lt;0,"ATENÇÃO",IF(K1877&lt;=5,"BOM","EXCELENTE")))</f>
        <v/>
      </c>
      <c r="N1877" t="n">
        <v>100</v>
      </c>
      <c r="O1877" t="n">
        <v>31.74224343675418</v>
      </c>
    </row>
    <row r="1878" hidden="1">
      <c r="A1878" s="11" t="n">
        <v>46059</v>
      </c>
      <c r="B1878" t="inlineStr">
        <is>
          <t>Ana Paula Da Luz Silva Aleixo</t>
        </is>
      </c>
      <c r="C1878" t="inlineStr">
        <is>
          <t>Técnico III</t>
        </is>
      </c>
      <c r="D1878" t="n">
        <v>32</v>
      </c>
      <c r="E1878" t="n">
        <v>30</v>
      </c>
      <c r="F1878" t="n">
        <v>18.24</v>
      </c>
      <c r="G1878" t="n">
        <v>0</v>
      </c>
      <c r="H1878" t="n">
        <v>0</v>
      </c>
      <c r="I1878" s="3">
        <f>E1878+G1878+H1878</f>
        <v/>
      </c>
      <c r="J1878" s="3">
        <f>ROUND(MIN(IF(C1878="Técnico III",35,IF(C1878="Técnico II",28,IF(C1878="Técnico I",23,IF(C1878="JR",20,IF(C1878="Estágio",10,0))))),IF(C1878="Técnico III",SUMIFS($D:$D,$A:$A,$A1878,$B:$B,"&lt;&gt;Patrícia Karla de Sousa Araújo",$B:$B,"&lt;&gt;Lorena Dias de Araujo",$B:$B,"&lt;&gt;Lucas Luiz Romero")*(35/1083),IF(C1878="Técnico II",SUMIFS($D:$D,$A:$A,$A1878,$B:$B,"&lt;&gt;Patrícia Karla de Sousa Araújo",$B:$B,"&lt;&gt;Lorena Dias de Araujo",$B:$B,"&lt;&gt;Lucas Luiz Romero")*(28/1083),IF(C1878="Técnico I",SUMIFS($D:$D,$A:$A,$A1878,$B:$B,"&lt;&gt;Patrícia Karla de Sousa Araújo",$B:$B,"&lt;&gt;Lorena Dias de Araujo",$B:$B,"&lt;&gt;Lucas Luiz Romero")*(23/1083),IF(C1878="JR",SUMIFS($D:$D,$A:$A,$A1878,$B:$B,"&lt;&gt;Patrícia Karla de Sousa Araújo",$B:$B,"&lt;&gt;Lorena Dias de Araujo",$B:$B,"&lt;&gt;Lucas Luiz Romero")*(20/1083),IF(C1878="Estágio",SUMIFS($D:$D,$A:$A,$A1878,$B:$B,"&lt;&gt;Patrícia Karla de Sousa Araújo",$B:$B,"&lt;&gt;Lorena Dias de Araujo",$B:$B,"&lt;&gt;Lucas Luiz Romero")*(10/1083),0)))))),0)</f>
        <v/>
      </c>
      <c r="K1878" s="3">
        <f>I1878-J1878</f>
        <v/>
      </c>
      <c r="L1878" s="3">
        <f>IF(K1878&lt;-5,"CRÍTICO",IF(K1878&lt;0,"ATENÇÃO",IF(K1878&lt;=5,"BOM","EXCELENTE")))</f>
        <v/>
      </c>
      <c r="N1878" t="n">
        <v>98.25</v>
      </c>
      <c r="O1878" t="n">
        <v>25.83518930957684</v>
      </c>
    </row>
    <row r="1879" hidden="1">
      <c r="A1879" s="11" t="n">
        <v>46059</v>
      </c>
      <c r="B1879" t="inlineStr">
        <is>
          <t>Anna Luiza Rezende Tavares</t>
        </is>
      </c>
      <c r="C1879" t="inlineStr">
        <is>
          <t>Estágio</t>
        </is>
      </c>
      <c r="D1879" t="n">
        <v>11</v>
      </c>
      <c r="E1879" t="n">
        <v>11</v>
      </c>
      <c r="F1879" t="n">
        <v>30.04</v>
      </c>
      <c r="G1879" t="n">
        <v>0</v>
      </c>
      <c r="H1879" t="n">
        <v>0</v>
      </c>
      <c r="I1879" s="3">
        <f>E1879+G1879+H1879</f>
        <v/>
      </c>
      <c r="J1879" s="3">
        <f>ROUND(MIN(IF(C1879="Técnico III",35,IF(C1879="Técnico II",28,IF(C1879="Técnico I",23,IF(C1879="JR",20,IF(C1879="Estágio",10,0))))),IF(C1879="Técnico III",SUMIFS($D:$D,$A:$A,$A1879,$B:$B,"&lt;&gt;Patrícia Karla de Sousa Araújo",$B:$B,"&lt;&gt;Lorena Dias de Araujo",$B:$B,"&lt;&gt;Lucas Luiz Romero")*(35/1083),IF(C1879="Técnico II",SUMIFS($D:$D,$A:$A,$A1879,$B:$B,"&lt;&gt;Patrícia Karla de Sousa Araújo",$B:$B,"&lt;&gt;Lorena Dias de Araujo",$B:$B,"&lt;&gt;Lucas Luiz Romero")*(28/1083),IF(C1879="Técnico I",SUMIFS($D:$D,$A:$A,$A1879,$B:$B,"&lt;&gt;Patrícia Karla de Sousa Araújo",$B:$B,"&lt;&gt;Lorena Dias de Araujo",$B:$B,"&lt;&gt;Lucas Luiz Romero")*(23/1083),IF(C1879="JR",SUMIFS($D:$D,$A:$A,$A1879,$B:$B,"&lt;&gt;Patrícia Karla de Sousa Araújo",$B:$B,"&lt;&gt;Lorena Dias de Araujo",$B:$B,"&lt;&gt;Lucas Luiz Romero")*(20/1083),IF(C1879="Estágio",SUMIFS($D:$D,$A:$A,$A1879,$B:$B,"&lt;&gt;Patrícia Karla de Sousa Araújo",$B:$B,"&lt;&gt;Lorena Dias de Araujo",$B:$B,"&lt;&gt;Lucas Luiz Romero")*(10/1083),0)))))),0)</f>
        <v/>
      </c>
      <c r="K1879" s="3">
        <f>I1879-J1879</f>
        <v/>
      </c>
      <c r="L1879" s="3">
        <f>IF(K1879&lt;-5,"CRÍTICO",IF(K1879&lt;0,"ATENÇÃO",IF(K1879&lt;=5,"BOM","EXCELENTE")))</f>
        <v/>
      </c>
      <c r="N1879" t="n">
        <v>97.5</v>
      </c>
      <c r="O1879" t="n">
        <v>30.07518796992481</v>
      </c>
    </row>
    <row r="1880" hidden="1">
      <c r="A1880" s="11" t="n">
        <v>46059</v>
      </c>
      <c r="B1880" t="inlineStr">
        <is>
          <t>Brenda de Menezes Silva</t>
        </is>
      </c>
      <c r="C1880" t="inlineStr">
        <is>
          <t>Técnico II</t>
        </is>
      </c>
      <c r="D1880" t="n">
        <v>42</v>
      </c>
      <c r="E1880" t="n">
        <v>35</v>
      </c>
      <c r="F1880" t="n">
        <v>15.05</v>
      </c>
      <c r="G1880" t="n">
        <v>0</v>
      </c>
      <c r="H1880" t="n">
        <v>0</v>
      </c>
      <c r="I1880" s="3">
        <f>E1880+G1880+H1880</f>
        <v/>
      </c>
      <c r="J1880" s="3">
        <f>ROUND(MIN(IF(C1880="Técnico III",35,IF(C1880="Técnico II",28,IF(C1880="Técnico I",23,IF(C1880="JR",20,IF(C1880="Estágio",10,0))))),IF(C1880="Técnico III",SUMIFS($D:$D,$A:$A,$A1880,$B:$B,"&lt;&gt;Patrícia Karla de Sousa Araújo",$B:$B,"&lt;&gt;Lorena Dias de Araujo",$B:$B,"&lt;&gt;Lucas Luiz Romero")*(35/1083),IF(C1880="Técnico II",SUMIFS($D:$D,$A:$A,$A1880,$B:$B,"&lt;&gt;Patrícia Karla de Sousa Araújo",$B:$B,"&lt;&gt;Lorena Dias de Araujo",$B:$B,"&lt;&gt;Lucas Luiz Romero")*(28/1083),IF(C1880="Técnico I",SUMIFS($D:$D,$A:$A,$A1880,$B:$B,"&lt;&gt;Patrícia Karla de Sousa Araújo",$B:$B,"&lt;&gt;Lorena Dias de Araujo",$B:$B,"&lt;&gt;Lucas Luiz Romero")*(23/1083),IF(C1880="JR",SUMIFS($D:$D,$A:$A,$A1880,$B:$B,"&lt;&gt;Patrícia Karla de Sousa Araújo",$B:$B,"&lt;&gt;Lorena Dias de Araujo",$B:$B,"&lt;&gt;Lucas Luiz Romero")*(20/1083),IF(C1880="Estágio",SUMIFS($D:$D,$A:$A,$A1880,$B:$B,"&lt;&gt;Patrícia Karla de Sousa Araújo",$B:$B,"&lt;&gt;Lorena Dias de Araujo",$B:$B,"&lt;&gt;Lucas Luiz Romero")*(10/1083),0)))))),0)</f>
        <v/>
      </c>
      <c r="K1880" s="3">
        <f>I1880-J1880</f>
        <v/>
      </c>
      <c r="L1880" s="3">
        <f>IF(K1880&lt;-5,"CRÍTICO",IF(K1880&lt;0,"ATENÇÃO",IF(K1880&lt;=5,"BOM","EXCELENTE")))</f>
        <v/>
      </c>
      <c r="N1880" t="n">
        <v>100</v>
      </c>
      <c r="O1880" t="n">
        <v>29.71311475409836</v>
      </c>
    </row>
    <row r="1881" hidden="1">
      <c r="A1881" s="11" t="n">
        <v>46059</v>
      </c>
      <c r="B1881" t="inlineStr">
        <is>
          <t>Carlos Mateus Cassimiro Nunes</t>
        </is>
      </c>
      <c r="C1881" t="inlineStr">
        <is>
          <t>Técnico II</t>
        </is>
      </c>
      <c r="D1881" t="n">
        <v>23</v>
      </c>
      <c r="E1881" t="n">
        <v>22</v>
      </c>
      <c r="F1881" t="n">
        <v>24.01</v>
      </c>
      <c r="G1881" t="n">
        <v>0</v>
      </c>
      <c r="H1881" t="n">
        <v>0</v>
      </c>
      <c r="I1881" s="3">
        <f>E1881+G1881+H1881</f>
        <v/>
      </c>
      <c r="J1881" s="3">
        <f>ROUND(MIN(IF(C1881="Técnico III",35,IF(C1881="Técnico II",28,IF(C1881="Técnico I",23,IF(C1881="JR",20,IF(C1881="Estágio",10,0))))),IF(C1881="Técnico III",SUMIFS($D:$D,$A:$A,$A1881,$B:$B,"&lt;&gt;Patrícia Karla de Sousa Araújo",$B:$B,"&lt;&gt;Lorena Dias de Araujo",$B:$B,"&lt;&gt;Lucas Luiz Romero")*(35/1083),IF(C1881="Técnico II",SUMIFS($D:$D,$A:$A,$A1881,$B:$B,"&lt;&gt;Patrícia Karla de Sousa Araújo",$B:$B,"&lt;&gt;Lorena Dias de Araujo",$B:$B,"&lt;&gt;Lucas Luiz Romero")*(28/1083),IF(C1881="Técnico I",SUMIFS($D:$D,$A:$A,$A1881,$B:$B,"&lt;&gt;Patrícia Karla de Sousa Araújo",$B:$B,"&lt;&gt;Lorena Dias de Araujo",$B:$B,"&lt;&gt;Lucas Luiz Romero")*(23/1083),IF(C1881="JR",SUMIFS($D:$D,$A:$A,$A1881,$B:$B,"&lt;&gt;Patrícia Karla de Sousa Araújo",$B:$B,"&lt;&gt;Lorena Dias de Araujo",$B:$B,"&lt;&gt;Lucas Luiz Romero")*(20/1083),IF(C1881="Estágio",SUMIFS($D:$D,$A:$A,$A1881,$B:$B,"&lt;&gt;Patrícia Karla de Sousa Araújo",$B:$B,"&lt;&gt;Lorena Dias de Araujo",$B:$B,"&lt;&gt;Lucas Luiz Romero")*(10/1083),0)))))),0)</f>
        <v/>
      </c>
      <c r="K1881" s="3">
        <f>I1881-J1881</f>
        <v/>
      </c>
      <c r="L1881" s="3">
        <f>IF(K1881&lt;-5,"CRÍTICO",IF(K1881&lt;0,"ATENÇÃO",IF(K1881&lt;=5,"BOM","EXCELENTE")))</f>
        <v/>
      </c>
      <c r="N1881" t="n">
        <v>99.22</v>
      </c>
      <c r="O1881" t="n">
        <v>35.25641025641026</v>
      </c>
    </row>
    <row r="1882" hidden="1">
      <c r="A1882" s="11" t="n">
        <v>46059</v>
      </c>
      <c r="B1882" t="inlineStr">
        <is>
          <t>Claudio de Sousa Velasco Filho</t>
        </is>
      </c>
      <c r="C1882" t="inlineStr">
        <is>
          <t>Estágio</t>
        </is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s="3" t="n">
        <v>0</v>
      </c>
      <c r="J1882" s="3" t="n">
        <v>0</v>
      </c>
      <c r="K1882" s="3" t="n">
        <v>0</v>
      </c>
      <c r="L1882" s="3">
        <f>IF(K1882&lt;-5,"CRÍTICO",IF(K1882&lt;0,"ATENÇÃO",IF(K1882&lt;=5,"BOM","EXCELENTE")))</f>
        <v/>
      </c>
      <c r="N1882" t="n">
        <v>0</v>
      </c>
      <c r="O1882" t="n">
        <v>0</v>
      </c>
    </row>
    <row r="1883" hidden="1">
      <c r="A1883" s="11" t="n">
        <v>46059</v>
      </c>
      <c r="B1883" t="inlineStr">
        <is>
          <t>Clessiane Pereira dos Santos</t>
        </is>
      </c>
      <c r="C1883" t="inlineStr">
        <is>
          <t>Técnico I</t>
        </is>
      </c>
      <c r="D1883" t="n">
        <v>40</v>
      </c>
      <c r="E1883" t="n">
        <v>5</v>
      </c>
      <c r="F1883" t="n">
        <v>3.32</v>
      </c>
      <c r="G1883" t="n">
        <v>0</v>
      </c>
      <c r="H1883" t="n">
        <v>0</v>
      </c>
      <c r="I1883" s="3">
        <f>E1883+G1883+H1883</f>
        <v/>
      </c>
      <c r="J1883" s="3">
        <f>ROUND(MIN(IF(C1883="Técnico III",35,IF(C1883="Técnico II",28,IF(C1883="Técnico I",23,IF(C1883="JR",20,IF(C1883="Estágio",10,0))))),IF(C1883="Técnico III",SUMIFS($D:$D,$A:$A,$A1883,$B:$B,"&lt;&gt;Patrícia Karla de Sousa Araújo",$B:$B,"&lt;&gt;Lorena Dias de Araujo",$B:$B,"&lt;&gt;Lucas Luiz Romero")*(35/1083),IF(C1883="Técnico II",SUMIFS($D:$D,$A:$A,$A1883,$B:$B,"&lt;&gt;Patrícia Karla de Sousa Araújo",$B:$B,"&lt;&gt;Lorena Dias de Araujo",$B:$B,"&lt;&gt;Lucas Luiz Romero")*(28/1083),IF(C1883="Técnico I",SUMIFS($D:$D,$A:$A,$A1883,$B:$B,"&lt;&gt;Patrícia Karla de Sousa Araújo",$B:$B,"&lt;&gt;Lorena Dias de Araujo",$B:$B,"&lt;&gt;Lucas Luiz Romero")*(23/1083),IF(C1883="JR",SUMIFS($D:$D,$A:$A,$A1883,$B:$B,"&lt;&gt;Patrícia Karla de Sousa Araújo",$B:$B,"&lt;&gt;Lorena Dias de Araujo",$B:$B,"&lt;&gt;Lucas Luiz Romero")*(20/1083),IF(C1883="Estágio",SUMIFS($D:$D,$A:$A,$A1883,$B:$B,"&lt;&gt;Patrícia Karla de Sousa Araújo",$B:$B,"&lt;&gt;Lorena Dias de Araujo",$B:$B,"&lt;&gt;Lucas Luiz Romero")*(10/1083),0)))))),0)</f>
        <v/>
      </c>
      <c r="K1883" s="3">
        <f>I1883-J1883</f>
        <v/>
      </c>
      <c r="L1883" s="3">
        <f>IF(K1883&lt;-5,"CRÍTICO",IF(K1883&lt;0,"ATENÇÃO",IF(K1883&lt;=5,"BOM","EXCELENTE")))</f>
        <v/>
      </c>
      <c r="N1883" t="n">
        <v>98.75</v>
      </c>
      <c r="O1883" t="n">
        <v>24.32432432432433</v>
      </c>
    </row>
    <row r="1884" hidden="1">
      <c r="A1884" s="11" t="n">
        <v>46059</v>
      </c>
      <c r="B1884" t="inlineStr">
        <is>
          <t>Cristiane Ramos da Silva Rocha</t>
        </is>
      </c>
      <c r="C1884" t="inlineStr">
        <is>
          <t>Técnico III</t>
        </is>
      </c>
      <c r="D1884" t="n">
        <v>44</v>
      </c>
      <c r="E1884" t="n">
        <v>42</v>
      </c>
      <c r="F1884" t="n">
        <v>13.29</v>
      </c>
      <c r="G1884" t="n">
        <v>0</v>
      </c>
      <c r="H1884" t="n">
        <v>0</v>
      </c>
      <c r="I1884" s="3">
        <f>E1884+G1884+H1884</f>
        <v/>
      </c>
      <c r="J1884" s="3">
        <f>ROUND(MIN(IF(C1884="Técnico III",35,IF(C1884="Técnico II",28,IF(C1884="Técnico I",23,IF(C1884="JR",20,IF(C1884="Estágio",10,0))))),IF(C1884="Técnico III",SUMIFS($D:$D,$A:$A,$A1884,$B:$B,"&lt;&gt;Patrícia Karla de Sousa Araújo",$B:$B,"&lt;&gt;Lorena Dias de Araujo",$B:$B,"&lt;&gt;Lucas Luiz Romero")*(35/1083),IF(C1884="Técnico II",SUMIFS($D:$D,$A:$A,$A1884,$B:$B,"&lt;&gt;Patrícia Karla de Sousa Araújo",$B:$B,"&lt;&gt;Lorena Dias de Araujo",$B:$B,"&lt;&gt;Lucas Luiz Romero")*(28/1083),IF(C1884="Técnico I",SUMIFS($D:$D,$A:$A,$A1884,$B:$B,"&lt;&gt;Patrícia Karla de Sousa Araújo",$B:$B,"&lt;&gt;Lorena Dias de Araujo",$B:$B,"&lt;&gt;Lucas Luiz Romero")*(23/1083),IF(C1884="JR",SUMIFS($D:$D,$A:$A,$A1884,$B:$B,"&lt;&gt;Patrícia Karla de Sousa Araújo",$B:$B,"&lt;&gt;Lorena Dias de Araujo",$B:$B,"&lt;&gt;Lucas Luiz Romero")*(20/1083),IF(C1884="Estágio",SUMIFS($D:$D,$A:$A,$A1884,$B:$B,"&lt;&gt;Patrícia Karla de Sousa Araújo",$B:$B,"&lt;&gt;Lorena Dias de Araujo",$B:$B,"&lt;&gt;Lucas Luiz Romero")*(10/1083),0)))))),0)</f>
        <v/>
      </c>
      <c r="K1884" s="3">
        <f>I1884-J1884</f>
        <v/>
      </c>
      <c r="L1884" s="3">
        <f>IF(K1884&lt;-5,"CRÍTICO",IF(K1884&lt;0,"ATENÇÃO",IF(K1884&lt;=5,"BOM","EXCELENTE")))</f>
        <v/>
      </c>
      <c r="N1884" t="n">
        <v>93.48</v>
      </c>
      <c r="O1884" t="n">
        <v>31.33462282398452</v>
      </c>
    </row>
    <row r="1885" hidden="1">
      <c r="A1885" s="11" t="n">
        <v>46059</v>
      </c>
      <c r="B1885" t="inlineStr">
        <is>
          <t>Damyllis Lorraine de Oliveira Gonçalves</t>
        </is>
      </c>
      <c r="C1885" t="inlineStr">
        <is>
          <t>Técnico II</t>
        </is>
      </c>
      <c r="D1885" t="n">
        <v>35</v>
      </c>
      <c r="E1885" t="n">
        <v>32</v>
      </c>
      <c r="F1885" t="n">
        <v>18.35</v>
      </c>
      <c r="G1885" t="n">
        <v>0</v>
      </c>
      <c r="H1885" t="n">
        <v>0</v>
      </c>
      <c r="I1885" s="3" t="n">
        <v>0</v>
      </c>
      <c r="J1885" s="3" t="n">
        <v>0</v>
      </c>
      <c r="K1885" s="3" t="n">
        <v>0</v>
      </c>
      <c r="L1885" s="3">
        <f>IF(K1885&lt;-5,"CRÍTICO",IF(K1885&lt;0,"ATENÇÃO",IF(K1885&lt;=5,"BOM","EXCELENTE")))</f>
        <v/>
      </c>
      <c r="N1885" t="n">
        <v>99.16</v>
      </c>
      <c r="O1885" t="n">
        <v>26.13908872901678</v>
      </c>
    </row>
    <row r="1886" hidden="1">
      <c r="A1886" s="11" t="n">
        <v>46059</v>
      </c>
      <c r="B1886" t="inlineStr">
        <is>
          <t>Daniel Gomes da Silva</t>
        </is>
      </c>
      <c r="C1886" t="inlineStr">
        <is>
          <t>Técnico I</t>
        </is>
      </c>
      <c r="D1886" t="n">
        <v>24</v>
      </c>
      <c r="E1886" t="n">
        <v>21</v>
      </c>
      <c r="F1886" t="n">
        <v>22</v>
      </c>
      <c r="G1886" t="n">
        <v>0</v>
      </c>
      <c r="H1886" t="n">
        <v>0</v>
      </c>
      <c r="I1886" s="3">
        <f>E1886+G1886+H1886</f>
        <v/>
      </c>
      <c r="J1886" s="3">
        <f>ROUND(MIN(IF(C1886="Técnico III",35,IF(C1886="Técnico II",28,IF(C1886="Técnico I",23,IF(C1886="JR",20,IF(C1886="Estágio",10,0))))),IF(C1886="Técnico III",SUMIFS($D:$D,$A:$A,$A1886,$B:$B,"&lt;&gt;Patrícia Karla de Sousa Araújo",$B:$B,"&lt;&gt;Lorena Dias de Araujo",$B:$B,"&lt;&gt;Lucas Luiz Romero")*(35/1083),IF(C1886="Técnico II",SUMIFS($D:$D,$A:$A,$A1886,$B:$B,"&lt;&gt;Patrícia Karla de Sousa Araújo",$B:$B,"&lt;&gt;Lorena Dias de Araujo",$B:$B,"&lt;&gt;Lucas Luiz Romero")*(28/1083),IF(C1886="Técnico I",SUMIFS($D:$D,$A:$A,$A1886,$B:$B,"&lt;&gt;Patrícia Karla de Sousa Araújo",$B:$B,"&lt;&gt;Lorena Dias de Araujo",$B:$B,"&lt;&gt;Lucas Luiz Romero")*(23/1083),IF(C1886="JR",SUMIFS($D:$D,$A:$A,$A1886,$B:$B,"&lt;&gt;Patrícia Karla de Sousa Araújo",$B:$B,"&lt;&gt;Lorena Dias de Araujo",$B:$B,"&lt;&gt;Lucas Luiz Romero")*(20/1083),IF(C1886="Estágio",SUMIFS($D:$D,$A:$A,$A1886,$B:$B,"&lt;&gt;Patrícia Karla de Sousa Araújo",$B:$B,"&lt;&gt;Lorena Dias de Araujo",$B:$B,"&lt;&gt;Lucas Luiz Romero")*(10/1083),0)))))),0)</f>
        <v/>
      </c>
      <c r="K1886" s="3">
        <f>I1886-J1886</f>
        <v/>
      </c>
      <c r="L1886" s="3">
        <f>IF(K1886&lt;-5,"CRÍTICO",IF(K1886&lt;0,"ATENÇÃO",IF(K1886&lt;=5,"BOM","EXCELENTE")))</f>
        <v/>
      </c>
      <c r="N1886" t="n">
        <v>100</v>
      </c>
      <c r="O1886" t="n">
        <v>31.08974358974359</v>
      </c>
    </row>
    <row r="1887" hidden="1">
      <c r="A1887" s="11" t="n">
        <v>46059</v>
      </c>
      <c r="B1887" t="inlineStr">
        <is>
          <t>Davylla Rodrigues Freitas Silva</t>
        </is>
      </c>
      <c r="C1887" t="inlineStr">
        <is>
          <t>Técnico III</t>
        </is>
      </c>
      <c r="D1887" t="n">
        <v>38</v>
      </c>
      <c r="E1887" t="n">
        <v>38</v>
      </c>
      <c r="F1887" t="n">
        <v>19.14</v>
      </c>
      <c r="G1887" t="n">
        <v>0</v>
      </c>
      <c r="H1887" t="n">
        <v>0</v>
      </c>
      <c r="I1887" s="3" t="n">
        <v>0</v>
      </c>
      <c r="J1887" s="3" t="n">
        <v>0</v>
      </c>
      <c r="K1887" s="3" t="n">
        <v>0</v>
      </c>
      <c r="L1887" s="3">
        <f>IF(K1887&lt;-5,"CRÍTICO",IF(K1887&lt;0,"ATENÇÃO",IF(K1887&lt;=5,"BOM","EXCELENTE")))</f>
        <v/>
      </c>
      <c r="N1887" t="n">
        <v>98.11</v>
      </c>
      <c r="O1887" t="n">
        <v>33.03370786516854</v>
      </c>
    </row>
    <row r="1888" hidden="1">
      <c r="A1888" s="11" t="n">
        <v>46059</v>
      </c>
      <c r="B1888" t="inlineStr">
        <is>
          <t>Emilly Caylane Costa</t>
        </is>
      </c>
      <c r="C1888" t="inlineStr">
        <is>
          <t>Estágio</t>
        </is>
      </c>
      <c r="D1888" t="n">
        <v>49</v>
      </c>
      <c r="E1888" t="n">
        <v>43</v>
      </c>
      <c r="F1888" t="n">
        <v>6.57</v>
      </c>
      <c r="G1888" t="n">
        <v>0</v>
      </c>
      <c r="H1888" t="n">
        <v>0</v>
      </c>
      <c r="I1888" s="3">
        <f>E1888+G1888+H1888</f>
        <v/>
      </c>
      <c r="J1888" s="3">
        <f>ROUND(MIN(IF(C1888="Técnico III",35,IF(C1888="Técnico II",28,IF(C1888="Técnico I",23,IF(C1888="JR",20,IF(C1888="Estágio",10,0))))),IF(C1888="Técnico III",SUMIFS($D:$D,$A:$A,$A1888,$B:$B,"&lt;&gt;Patrícia Karla de Sousa Araújo",$B:$B,"&lt;&gt;Lorena Dias de Araujo",$B:$B,"&lt;&gt;Lucas Luiz Romero")*(35/1083),IF(C1888="Técnico II",SUMIFS($D:$D,$A:$A,$A1888,$B:$B,"&lt;&gt;Patrícia Karla de Sousa Araújo",$B:$B,"&lt;&gt;Lorena Dias de Araujo",$B:$B,"&lt;&gt;Lucas Luiz Romero")*(28/1083),IF(C1888="Técnico I",SUMIFS($D:$D,$A:$A,$A1888,$B:$B,"&lt;&gt;Patrícia Karla de Sousa Araújo",$B:$B,"&lt;&gt;Lorena Dias de Araujo",$B:$B,"&lt;&gt;Lucas Luiz Romero")*(23/1083),IF(C1888="JR",SUMIFS($D:$D,$A:$A,$A1888,$B:$B,"&lt;&gt;Patrícia Karla de Sousa Araújo",$B:$B,"&lt;&gt;Lorena Dias de Araujo",$B:$B,"&lt;&gt;Lucas Luiz Romero")*(20/1083),IF(C1888="Estágio",SUMIFS($D:$D,$A:$A,$A1888,$B:$B,"&lt;&gt;Patrícia Karla de Sousa Araújo",$B:$B,"&lt;&gt;Lorena Dias de Araujo",$B:$B,"&lt;&gt;Lucas Luiz Romero")*(10/1083),0)))))),0)</f>
        <v/>
      </c>
      <c r="K1888" s="3">
        <f>I1888-J1888</f>
        <v/>
      </c>
      <c r="L1888" s="3">
        <f>IF(K1888&lt;-5,"CRÍTICO",IF(K1888&lt;0,"ATENÇÃO",IF(K1888&lt;=5,"BOM","EXCELENTE")))</f>
        <v/>
      </c>
      <c r="N1888" t="n">
        <v>78.95</v>
      </c>
      <c r="O1888" t="n">
        <v>38.98305084745763</v>
      </c>
    </row>
    <row r="1889" hidden="1">
      <c r="A1889" s="11" t="n">
        <v>46059</v>
      </c>
      <c r="B1889" t="inlineStr">
        <is>
          <t>Emilly Kamilly Medeiros Miranda</t>
        </is>
      </c>
      <c r="C1889" t="inlineStr">
        <is>
          <t>Técnico II</t>
        </is>
      </c>
      <c r="D1889" t="n">
        <v>35</v>
      </c>
      <c r="E1889" t="n">
        <v>31</v>
      </c>
      <c r="F1889" t="n">
        <v>17.26</v>
      </c>
      <c r="G1889" t="n">
        <v>0</v>
      </c>
      <c r="H1889" t="n">
        <v>0</v>
      </c>
      <c r="I1889" s="3">
        <f>E1889+G1889+H1889</f>
        <v/>
      </c>
      <c r="J1889" s="3">
        <f>ROUND(MIN(IF(C1889="Técnico III",35,IF(C1889="Técnico II",28,IF(C1889="Técnico I",23,IF(C1889="JR",20,IF(C1889="Estágio",10,0))))),IF(C1889="Técnico III",SUMIFS($D:$D,$A:$A,$A1889,$B:$B,"&lt;&gt;Patrícia Karla de Sousa Araújo",$B:$B,"&lt;&gt;Lorena Dias de Araujo",$B:$B,"&lt;&gt;Lucas Luiz Romero")*(35/1083),IF(C1889="Técnico II",SUMIFS($D:$D,$A:$A,$A1889,$B:$B,"&lt;&gt;Patrícia Karla de Sousa Araújo",$B:$B,"&lt;&gt;Lorena Dias de Araujo",$B:$B,"&lt;&gt;Lucas Luiz Romero")*(28/1083),IF(C1889="Técnico I",SUMIFS($D:$D,$A:$A,$A1889,$B:$B,"&lt;&gt;Patrícia Karla de Sousa Araújo",$B:$B,"&lt;&gt;Lorena Dias de Araujo",$B:$B,"&lt;&gt;Lucas Luiz Romero")*(23/1083),IF(C1889="JR",SUMIFS($D:$D,$A:$A,$A1889,$B:$B,"&lt;&gt;Patrícia Karla de Sousa Araújo",$B:$B,"&lt;&gt;Lorena Dias de Araujo",$B:$B,"&lt;&gt;Lucas Luiz Romero")*(20/1083),IF(C1889="Estágio",SUMIFS($D:$D,$A:$A,$A1889,$B:$B,"&lt;&gt;Patrícia Karla de Sousa Araújo",$B:$B,"&lt;&gt;Lorena Dias de Araujo",$B:$B,"&lt;&gt;Lucas Luiz Romero")*(10/1083),0)))))),0)</f>
        <v/>
      </c>
      <c r="K1889" s="3">
        <f>I1889-J1889</f>
        <v/>
      </c>
      <c r="L1889" s="3">
        <f>IF(K1889&lt;-5,"CRÍTICO",IF(K1889&lt;0,"ATENÇÃO",IF(K1889&lt;=5,"BOM","EXCELENTE")))</f>
        <v/>
      </c>
      <c r="N1889" t="n">
        <v>98.45</v>
      </c>
      <c r="O1889" t="n">
        <v>29.2817679558011</v>
      </c>
    </row>
    <row r="1890" hidden="1">
      <c r="A1890" s="11" t="n">
        <v>46059</v>
      </c>
      <c r="B1890" t="inlineStr">
        <is>
          <t>Francielson de Oliveira</t>
        </is>
      </c>
      <c r="C1890" t="inlineStr">
        <is>
          <t>Técnico III</t>
        </is>
      </c>
      <c r="D1890" t="n">
        <v>33</v>
      </c>
      <c r="E1890" t="n">
        <v>33</v>
      </c>
      <c r="F1890" t="n">
        <v>17.28</v>
      </c>
      <c r="G1890" t="n">
        <v>0</v>
      </c>
      <c r="H1890" t="n">
        <v>0</v>
      </c>
      <c r="I1890" s="3">
        <f>E1890+G1890+H1890</f>
        <v/>
      </c>
      <c r="J1890" s="3">
        <f>ROUND(MIN(IF(C1890="Técnico III",35,IF(C1890="Técnico II",28,IF(C1890="Técnico I",23,IF(C1890="JR",20,IF(C1890="Estágio",10,0))))),IF(C1890="Técnico III",SUMIFS($D:$D,$A:$A,$A1890,$B:$B,"&lt;&gt;Patrícia Karla de Sousa Araújo",$B:$B,"&lt;&gt;Lorena Dias de Araujo",$B:$B,"&lt;&gt;Lucas Luiz Romero")*(35/1083),IF(C1890="Técnico II",SUMIFS($D:$D,$A:$A,$A1890,$B:$B,"&lt;&gt;Patrícia Karla de Sousa Araújo",$B:$B,"&lt;&gt;Lorena Dias de Araujo",$B:$B,"&lt;&gt;Lucas Luiz Romero")*(28/1083),IF(C1890="Técnico I",SUMIFS($D:$D,$A:$A,$A1890,$B:$B,"&lt;&gt;Patrícia Karla de Sousa Araújo",$B:$B,"&lt;&gt;Lorena Dias de Araujo",$B:$B,"&lt;&gt;Lucas Luiz Romero")*(23/1083),IF(C1890="JR",SUMIFS($D:$D,$A:$A,$A1890,$B:$B,"&lt;&gt;Patrícia Karla de Sousa Araújo",$B:$B,"&lt;&gt;Lorena Dias de Araujo",$B:$B,"&lt;&gt;Lucas Luiz Romero")*(20/1083),IF(C1890="Estágio",SUMIFS($D:$D,$A:$A,$A1890,$B:$B,"&lt;&gt;Patrícia Karla de Sousa Araújo",$B:$B,"&lt;&gt;Lorena Dias de Araujo",$B:$B,"&lt;&gt;Lucas Luiz Romero")*(10/1083),0)))))),0)</f>
        <v/>
      </c>
      <c r="K1890" s="3">
        <f>I1890-J1890</f>
        <v/>
      </c>
      <c r="L1890" s="3">
        <f>IF(K1890&lt;-5,"CRÍTICO",IF(K1890&lt;0,"ATENÇÃO",IF(K1890&lt;=5,"BOM","EXCELENTE")))</f>
        <v/>
      </c>
      <c r="N1890" t="n">
        <v>97.84</v>
      </c>
      <c r="O1890" t="n">
        <v>26.28205128205128</v>
      </c>
    </row>
    <row r="1891" hidden="1">
      <c r="A1891" s="11" t="n">
        <v>46059</v>
      </c>
      <c r="B1891" t="inlineStr">
        <is>
          <t>Francilene Ferreira de Jesus</t>
        </is>
      </c>
      <c r="C1891" t="inlineStr">
        <is>
          <t>Técnico II</t>
        </is>
      </c>
      <c r="D1891" t="n">
        <v>31</v>
      </c>
      <c r="E1891" t="n">
        <v>29</v>
      </c>
      <c r="F1891" t="n">
        <v>20.48</v>
      </c>
      <c r="G1891" t="n">
        <v>0</v>
      </c>
      <c r="H1891" t="n">
        <v>0</v>
      </c>
      <c r="I1891" s="3">
        <f>E1891+G1891+H1891</f>
        <v/>
      </c>
      <c r="J1891" s="3">
        <f>ROUND(MIN(IF(C1891="Técnico III",35,IF(C1891="Técnico II",28,IF(C1891="Técnico I",23,IF(C1891="JR",20,IF(C1891="Estágio",10,0))))),IF(C1891="Técnico III",SUMIFS($D:$D,$A:$A,$A1891,$B:$B,"&lt;&gt;Patrícia Karla de Sousa Araújo",$B:$B,"&lt;&gt;Lorena Dias de Araujo",$B:$B,"&lt;&gt;Lucas Luiz Romero")*(35/1083),IF(C1891="Técnico II",SUMIFS($D:$D,$A:$A,$A1891,$B:$B,"&lt;&gt;Patrícia Karla de Sousa Araújo",$B:$B,"&lt;&gt;Lorena Dias de Araujo",$B:$B,"&lt;&gt;Lucas Luiz Romero")*(28/1083),IF(C1891="Técnico I",SUMIFS($D:$D,$A:$A,$A1891,$B:$B,"&lt;&gt;Patrícia Karla de Sousa Araújo",$B:$B,"&lt;&gt;Lorena Dias de Araujo",$B:$B,"&lt;&gt;Lucas Luiz Romero")*(23/1083),IF(C1891="JR",SUMIFS($D:$D,$A:$A,$A1891,$B:$B,"&lt;&gt;Patrícia Karla de Sousa Araújo",$B:$B,"&lt;&gt;Lorena Dias de Araujo",$B:$B,"&lt;&gt;Lucas Luiz Romero")*(20/1083),IF(C1891="Estágio",SUMIFS($D:$D,$A:$A,$A1891,$B:$B,"&lt;&gt;Patrícia Karla de Sousa Araújo",$B:$B,"&lt;&gt;Lorena Dias de Araujo",$B:$B,"&lt;&gt;Lucas Luiz Romero")*(10/1083),0)))))),0)</f>
        <v/>
      </c>
      <c r="K1891" s="3">
        <f>I1891-J1891</f>
        <v/>
      </c>
      <c r="L1891" s="3">
        <f>IF(K1891&lt;-5,"CRÍTICO",IF(K1891&lt;0,"ATENÇÃO",IF(K1891&lt;=5,"BOM","EXCELENTE")))</f>
        <v/>
      </c>
      <c r="N1891" t="n">
        <v>98.5</v>
      </c>
      <c r="O1891" t="n">
        <v>23.97769516728625</v>
      </c>
    </row>
    <row r="1892" hidden="1">
      <c r="A1892" s="11" t="n">
        <v>46093</v>
      </c>
      <c r="B1892" t="inlineStr">
        <is>
          <t>Gabriel Gomes de Andrade</t>
        </is>
      </c>
      <c r="C1892" t="inlineStr">
        <is>
          <t>Técnico I</t>
        </is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s="3" t="n">
        <v>0</v>
      </c>
      <c r="J1892" s="3" t="n">
        <v>0</v>
      </c>
      <c r="K1892" s="3" t="n">
        <v>0</v>
      </c>
      <c r="L1892" s="3">
        <f>IF(K1892&lt;-5,"CRÍTICO",IF(K1892&lt;0,"ATENÇÃO",IF(K1892&lt;=5,"BOM","EXCELENTE")))</f>
        <v/>
      </c>
      <c r="N1892" t="n">
        <v>99.05</v>
      </c>
      <c r="O1892" t="n">
        <v>26.62192393736018</v>
      </c>
    </row>
    <row r="1893" hidden="1">
      <c r="A1893" s="11" t="n">
        <v>46059</v>
      </c>
      <c r="B1893" t="inlineStr">
        <is>
          <t>Isabella Borges de Oliveira</t>
        </is>
      </c>
      <c r="C1893" t="inlineStr">
        <is>
          <t>Técnico II</t>
        </is>
      </c>
      <c r="D1893" t="n">
        <v>28</v>
      </c>
      <c r="E1893" t="n">
        <v>26</v>
      </c>
      <c r="F1893" t="n">
        <v>22.09</v>
      </c>
      <c r="G1893" t="n">
        <v>0</v>
      </c>
      <c r="H1893" t="n">
        <v>0</v>
      </c>
      <c r="I1893" s="3">
        <f>E1893+G1893+H1893</f>
        <v/>
      </c>
      <c r="J1893" s="3">
        <f>ROUND(MIN(IF(C1893="Técnico III",35,IF(C1893="Técnico II",28,IF(C1893="Técnico I",23,IF(C1893="JR",20,IF(C1893="Estágio",10,0))))),IF(C1893="Técnico III",SUMIFS($D:$D,$A:$A,$A1893,$B:$B,"&lt;&gt;Patrícia Karla de Sousa Araújo",$B:$B,"&lt;&gt;Lorena Dias de Araujo",$B:$B,"&lt;&gt;Lucas Luiz Romero")*(35/1083),IF(C1893="Técnico II",SUMIFS($D:$D,$A:$A,$A1893,$B:$B,"&lt;&gt;Patrícia Karla de Sousa Araújo",$B:$B,"&lt;&gt;Lorena Dias de Araujo",$B:$B,"&lt;&gt;Lucas Luiz Romero")*(28/1083),IF(C1893="Técnico I",SUMIFS($D:$D,$A:$A,$A1893,$B:$B,"&lt;&gt;Patrícia Karla de Sousa Araújo",$B:$B,"&lt;&gt;Lorena Dias de Araujo",$B:$B,"&lt;&gt;Lucas Luiz Romero")*(23/1083),IF(C1893="JR",SUMIFS($D:$D,$A:$A,$A1893,$B:$B,"&lt;&gt;Patrícia Karla de Sousa Araújo",$B:$B,"&lt;&gt;Lorena Dias de Araujo",$B:$B,"&lt;&gt;Lucas Luiz Romero")*(20/1083),IF(C1893="Estágio",SUMIFS($D:$D,$A:$A,$A1893,$B:$B,"&lt;&gt;Patrícia Karla de Sousa Araújo",$B:$B,"&lt;&gt;Lorena Dias de Araujo",$B:$B,"&lt;&gt;Lucas Luiz Romero")*(10/1083),0)))))),0)</f>
        <v/>
      </c>
      <c r="K1893" s="3">
        <f>I1893-J1893</f>
        <v/>
      </c>
      <c r="L1893" s="3">
        <f>IF(K1893&lt;-5,"CRÍTICO",IF(K1893&lt;0,"ATENÇÃO",IF(K1893&lt;=5,"BOM","EXCELENTE")))</f>
        <v/>
      </c>
      <c r="N1893" t="n">
        <v>98.53</v>
      </c>
      <c r="O1893" t="n">
        <v>31.57894736842105</v>
      </c>
    </row>
    <row r="1894" hidden="1">
      <c r="A1894" s="11" t="n">
        <v>46059</v>
      </c>
      <c r="B1894" t="inlineStr">
        <is>
          <t>Janaina Lima dos Reis Urany</t>
        </is>
      </c>
      <c r="C1894" t="inlineStr">
        <is>
          <t>Técnico III</t>
        </is>
      </c>
      <c r="D1894" t="n">
        <v>62</v>
      </c>
      <c r="E1894" t="n">
        <v>56</v>
      </c>
      <c r="F1894" t="n">
        <v>12.1</v>
      </c>
      <c r="G1894" t="n">
        <v>0</v>
      </c>
      <c r="H1894" t="n">
        <v>0</v>
      </c>
      <c r="I1894" s="3">
        <f>E1894+G1894+H1894</f>
        <v/>
      </c>
      <c r="J1894" s="3">
        <f>ROUND(MIN(IF(C1894="Técnico III",35,IF(C1894="Técnico II",28,IF(C1894="Técnico I",23,IF(C1894="JR",20,IF(C1894="Estágio",10,0))))),IF(C1894="Técnico III",SUMIFS($D:$D,$A:$A,$A1894,$B:$B,"&lt;&gt;Patrícia Karla de Sousa Araújo",$B:$B,"&lt;&gt;Lorena Dias de Araujo",$B:$B,"&lt;&gt;Lucas Luiz Romero")*(35/1083),IF(C1894="Técnico II",SUMIFS($D:$D,$A:$A,$A1894,$B:$B,"&lt;&gt;Patrícia Karla de Sousa Araújo",$B:$B,"&lt;&gt;Lorena Dias de Araujo",$B:$B,"&lt;&gt;Lucas Luiz Romero")*(28/1083),IF(C1894="Técnico I",SUMIFS($D:$D,$A:$A,$A1894,$B:$B,"&lt;&gt;Patrícia Karla de Sousa Araújo",$B:$B,"&lt;&gt;Lorena Dias de Araujo",$B:$B,"&lt;&gt;Lucas Luiz Romero")*(23/1083),IF(C1894="JR",SUMIFS($D:$D,$A:$A,$A1894,$B:$B,"&lt;&gt;Patrícia Karla de Sousa Araújo",$B:$B,"&lt;&gt;Lorena Dias de Araujo",$B:$B,"&lt;&gt;Lucas Luiz Romero")*(20/1083),IF(C1894="Estágio",SUMIFS($D:$D,$A:$A,$A1894,$B:$B,"&lt;&gt;Patrícia Karla de Sousa Araújo",$B:$B,"&lt;&gt;Lorena Dias de Araujo",$B:$B,"&lt;&gt;Lucas Luiz Romero")*(10/1083),0)))))),0)</f>
        <v/>
      </c>
      <c r="K1894" s="3">
        <f>I1894-J1894</f>
        <v/>
      </c>
      <c r="L1894" s="3">
        <f>IF(K1894&lt;-5,"CRÍTICO",IF(K1894&lt;0,"ATENÇÃO",IF(K1894&lt;=5,"BOM","EXCELENTE")))</f>
        <v/>
      </c>
      <c r="N1894" t="n">
        <v>100</v>
      </c>
      <c r="O1894" t="n">
        <v>25.72214580467676</v>
      </c>
    </row>
    <row r="1895" hidden="1">
      <c r="A1895" s="11" t="n">
        <v>46059</v>
      </c>
      <c r="B1895" t="inlineStr">
        <is>
          <t>Jaqueline Evangelista da Silva Martins</t>
        </is>
      </c>
      <c r="C1895" t="inlineStr">
        <is>
          <t>Técnico III</t>
        </is>
      </c>
      <c r="D1895" t="n">
        <v>37</v>
      </c>
      <c r="E1895" t="n">
        <v>29</v>
      </c>
      <c r="F1895" t="n">
        <v>10.19</v>
      </c>
      <c r="G1895" t="n">
        <v>0</v>
      </c>
      <c r="H1895" t="n">
        <v>0</v>
      </c>
      <c r="I1895" s="3">
        <f>E1895+G1895+H1895</f>
        <v/>
      </c>
      <c r="J1895" s="3">
        <f>ROUND(MIN(IF(C1895="Técnico III",35,IF(C1895="Técnico II",28,IF(C1895="Técnico I",23,IF(C1895="JR",20,IF(C1895="Estágio",10,0))))),IF(C1895="Técnico III",SUMIFS($D:$D,$A:$A,$A1895,$B:$B,"&lt;&gt;Patrícia Karla de Sousa Araújo",$B:$B,"&lt;&gt;Lorena Dias de Araujo",$B:$B,"&lt;&gt;Lucas Luiz Romero")*(35/1083),IF(C1895="Técnico II",SUMIFS($D:$D,$A:$A,$A1895,$B:$B,"&lt;&gt;Patrícia Karla de Sousa Araújo",$B:$B,"&lt;&gt;Lorena Dias de Araujo",$B:$B,"&lt;&gt;Lucas Luiz Romero")*(28/1083),IF(C1895="Técnico I",SUMIFS($D:$D,$A:$A,$A1895,$B:$B,"&lt;&gt;Patrícia Karla de Sousa Araújo",$B:$B,"&lt;&gt;Lorena Dias de Araujo",$B:$B,"&lt;&gt;Lucas Luiz Romero")*(23/1083),IF(C1895="JR",SUMIFS($D:$D,$A:$A,$A1895,$B:$B,"&lt;&gt;Patrícia Karla de Sousa Araújo",$B:$B,"&lt;&gt;Lorena Dias de Araujo",$B:$B,"&lt;&gt;Lucas Luiz Romero")*(20/1083),IF(C1895="Estágio",SUMIFS($D:$D,$A:$A,$A1895,$B:$B,"&lt;&gt;Patrícia Karla de Sousa Araújo",$B:$B,"&lt;&gt;Lorena Dias de Araujo",$B:$B,"&lt;&gt;Lucas Luiz Romero")*(10/1083),0)))))),0)</f>
        <v/>
      </c>
      <c r="K1895" s="3">
        <f>I1895-J1895</f>
        <v/>
      </c>
      <c r="L1895" s="3">
        <f>IF(K1895&lt;-5,"CRÍTICO",IF(K1895&lt;0,"ATENÇÃO",IF(K1895&lt;=5,"BOM","EXCELENTE")))</f>
        <v/>
      </c>
      <c r="N1895" t="n">
        <v>94.64</v>
      </c>
      <c r="O1895" t="n">
        <v>27.52941176470588</v>
      </c>
    </row>
    <row r="1896" hidden="1">
      <c r="A1896" s="11" t="n">
        <v>46059</v>
      </c>
      <c r="B1896" t="inlineStr">
        <is>
          <t>Jessica Faria da Silveira</t>
        </is>
      </c>
      <c r="C1896" t="inlineStr">
        <is>
          <t>Técnico II</t>
        </is>
      </c>
      <c r="D1896" t="n">
        <v>28</v>
      </c>
      <c r="E1896" t="n">
        <v>23</v>
      </c>
      <c r="F1896" t="n">
        <v>18.45</v>
      </c>
      <c r="G1896" t="n">
        <v>0</v>
      </c>
      <c r="H1896" t="n">
        <v>0</v>
      </c>
      <c r="I1896" s="3">
        <f>E1896+G1896+H1896</f>
        <v/>
      </c>
      <c r="J1896" s="3">
        <f>ROUND(MIN(IF(C1896="Técnico III",35,IF(C1896="Técnico II",28,IF(C1896="Técnico I",23,IF(C1896="JR",20,IF(C1896="Estágio",10,0))))),IF(C1896="Técnico III",SUMIFS($D:$D,$A:$A,$A1896,$B:$B,"&lt;&gt;Patrícia Karla de Sousa Araújo",$B:$B,"&lt;&gt;Lorena Dias de Araujo",$B:$B,"&lt;&gt;Lucas Luiz Romero")*(35/1083),IF(C1896="Técnico II",SUMIFS($D:$D,$A:$A,$A1896,$B:$B,"&lt;&gt;Patrícia Karla de Sousa Araújo",$B:$B,"&lt;&gt;Lorena Dias de Araujo",$B:$B,"&lt;&gt;Lucas Luiz Romero")*(28/1083),IF(C1896="Técnico I",SUMIFS($D:$D,$A:$A,$A1896,$B:$B,"&lt;&gt;Patrícia Karla de Sousa Araújo",$B:$B,"&lt;&gt;Lorena Dias de Araujo",$B:$B,"&lt;&gt;Lucas Luiz Romero")*(23/1083),IF(C1896="JR",SUMIFS($D:$D,$A:$A,$A1896,$B:$B,"&lt;&gt;Patrícia Karla de Sousa Araújo",$B:$B,"&lt;&gt;Lorena Dias de Araujo",$B:$B,"&lt;&gt;Lucas Luiz Romero")*(20/1083),IF(C1896="Estágio",SUMIFS($D:$D,$A:$A,$A1896,$B:$B,"&lt;&gt;Patrícia Karla de Sousa Araújo",$B:$B,"&lt;&gt;Lorena Dias de Araujo",$B:$B,"&lt;&gt;Lucas Luiz Romero")*(10/1083),0)))))),0)</f>
        <v/>
      </c>
      <c r="K1896" s="3">
        <f>I1896-J1896</f>
        <v/>
      </c>
      <c r="L1896" s="3">
        <f>IF(K1896&lt;-5,"CRÍTICO",IF(K1896&lt;0,"ATENÇÃO",IF(K1896&lt;=5,"BOM","EXCELENTE")))</f>
        <v/>
      </c>
      <c r="N1896" t="n">
        <v>99.06999999999999</v>
      </c>
      <c r="O1896" t="n">
        <v>26.3768115942029</v>
      </c>
    </row>
    <row r="1897" hidden="1">
      <c r="A1897" s="11" t="n">
        <v>46059</v>
      </c>
      <c r="B1897" t="inlineStr">
        <is>
          <t>Jéssica Fé Moura</t>
        </is>
      </c>
      <c r="C1897" t="inlineStr">
        <is>
          <t>Técnico III</t>
        </is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s="3" t="n">
        <v>0</v>
      </c>
      <c r="J1897" s="3" t="n">
        <v>0</v>
      </c>
      <c r="K1897" s="3" t="n">
        <v>0</v>
      </c>
      <c r="L1897" s="3">
        <f>IF(K1897&lt;-5,"CRÍTICO",IF(K1897&lt;0,"ATENÇÃO",IF(K1897&lt;=5,"BOM","EXCELENTE")))</f>
        <v/>
      </c>
      <c r="N1897" t="n">
        <v>100</v>
      </c>
      <c r="O1897" t="n">
        <v>0</v>
      </c>
    </row>
    <row r="1898" hidden="1">
      <c r="A1898" s="11" t="n">
        <v>46059</v>
      </c>
      <c r="B1898" t="inlineStr">
        <is>
          <t>Karina Gonçalves Martins</t>
        </is>
      </c>
      <c r="C1898" t="inlineStr">
        <is>
          <t>JR</t>
        </is>
      </c>
      <c r="D1898" t="n">
        <v>16</v>
      </c>
      <c r="E1898" t="n">
        <v>15</v>
      </c>
      <c r="F1898" t="n">
        <v>31.5</v>
      </c>
      <c r="G1898" t="n">
        <v>0</v>
      </c>
      <c r="H1898" t="n">
        <v>0</v>
      </c>
      <c r="I1898" s="3">
        <f>E1898+G1898+H1898</f>
        <v/>
      </c>
      <c r="J1898" s="3">
        <f>ROUND(MIN(IF(C1898="Técnico III",35,IF(C1898="Técnico II",28,IF(C1898="Técnico I",23,IF(C1898="JR",20,IF(C1898="Estágio",10,0))))),IF(C1898="Técnico III",SUMIFS($D:$D,$A:$A,$A1898,$B:$B,"&lt;&gt;Patrícia Karla de Sousa Araújo",$B:$B,"&lt;&gt;Lorena Dias de Araujo",$B:$B,"&lt;&gt;Lucas Luiz Romero")*(35/1083),IF(C1898="Técnico II",SUMIFS($D:$D,$A:$A,$A1898,$B:$B,"&lt;&gt;Patrícia Karla de Sousa Araújo",$B:$B,"&lt;&gt;Lorena Dias de Araujo",$B:$B,"&lt;&gt;Lucas Luiz Romero")*(28/1083),IF(C1898="Técnico I",SUMIFS($D:$D,$A:$A,$A1898,$B:$B,"&lt;&gt;Patrícia Karla de Sousa Araújo",$B:$B,"&lt;&gt;Lorena Dias de Araujo",$B:$B,"&lt;&gt;Lucas Luiz Romero")*(23/1083),IF(C1898="JR",SUMIFS($D:$D,$A:$A,$A1898,$B:$B,"&lt;&gt;Patrícia Karla de Sousa Araújo",$B:$B,"&lt;&gt;Lorena Dias de Araujo",$B:$B,"&lt;&gt;Lucas Luiz Romero")*(20/1083),IF(C1898="Estágio",SUMIFS($D:$D,$A:$A,$A1898,$B:$B,"&lt;&gt;Patrícia Karla de Sousa Araújo",$B:$B,"&lt;&gt;Lorena Dias de Araujo",$B:$B,"&lt;&gt;Lucas Luiz Romero")*(10/1083),0)))))),0)</f>
        <v/>
      </c>
      <c r="K1898" s="3">
        <f>I1898-J1898</f>
        <v/>
      </c>
      <c r="L1898" s="3">
        <f>IF(K1898&lt;-5,"CRÍTICO",IF(K1898&lt;0,"ATENÇÃO",IF(K1898&lt;=5,"BOM","EXCELENTE")))</f>
        <v/>
      </c>
      <c r="N1898" t="n">
        <v>98.48</v>
      </c>
      <c r="O1898" t="n">
        <v>27.85388127853881</v>
      </c>
    </row>
    <row r="1899" hidden="1">
      <c r="A1899" s="11" t="n">
        <v>46059</v>
      </c>
      <c r="B1899" t="inlineStr">
        <is>
          <t>Kerollen Cristielly de Jesus Siqueira</t>
        </is>
      </c>
      <c r="C1899" t="inlineStr">
        <is>
          <t>Técnico III</t>
        </is>
      </c>
      <c r="D1899" t="n">
        <v>3</v>
      </c>
      <c r="E1899" t="n">
        <v>3</v>
      </c>
      <c r="F1899" t="n">
        <v>18.2</v>
      </c>
      <c r="G1899" t="n">
        <v>0</v>
      </c>
      <c r="H1899" t="n">
        <v>0</v>
      </c>
      <c r="I1899" s="3">
        <f>E1899+G1899+H1899</f>
        <v/>
      </c>
      <c r="J1899" s="3">
        <f>ROUND(MIN(IF(C1899="Técnico III",35,IF(C1899="Técnico II",28,IF(C1899="Técnico I",23,IF(C1899="JR",20,IF(C1899="Estágio",10,0))))),IF(C1899="Técnico III",SUMIFS($D:$D,$A:$A,$A1899,$B:$B,"&lt;&gt;Patrícia Karla de Sousa Araújo",$B:$B,"&lt;&gt;Lorena Dias de Araujo",$B:$B,"&lt;&gt;Lucas Luiz Romero")*(35/1083),IF(C1899="Técnico II",SUMIFS($D:$D,$A:$A,$A1899,$B:$B,"&lt;&gt;Patrícia Karla de Sousa Araújo",$B:$B,"&lt;&gt;Lorena Dias de Araujo",$B:$B,"&lt;&gt;Lucas Luiz Romero")*(28/1083),IF(C1899="Técnico I",SUMIFS($D:$D,$A:$A,$A1899,$B:$B,"&lt;&gt;Patrícia Karla de Sousa Araújo",$B:$B,"&lt;&gt;Lorena Dias de Araujo",$B:$B,"&lt;&gt;Lucas Luiz Romero")*(23/1083),IF(C1899="JR",SUMIFS($D:$D,$A:$A,$A1899,$B:$B,"&lt;&gt;Patrícia Karla de Sousa Araújo",$B:$B,"&lt;&gt;Lorena Dias de Araujo",$B:$B,"&lt;&gt;Lucas Luiz Romero")*(20/1083),IF(C1899="Estágio",SUMIFS($D:$D,$A:$A,$A1899,$B:$B,"&lt;&gt;Patrícia Karla de Sousa Araújo",$B:$B,"&lt;&gt;Lorena Dias de Araujo",$B:$B,"&lt;&gt;Lucas Luiz Romero")*(10/1083),0)))))),0)</f>
        <v/>
      </c>
      <c r="K1899" s="3">
        <f>I1899-J1899</f>
        <v/>
      </c>
      <c r="L1899" s="3">
        <f>IF(K1899&lt;-5,"CRÍTICO",IF(K1899&lt;0,"ATENÇÃO",IF(K1899&lt;=5,"BOM","EXCELENTE")))</f>
        <v/>
      </c>
      <c r="N1899" t="n">
        <v>95.15000000000001</v>
      </c>
      <c r="O1899" t="n">
        <v>34.13173652694611</v>
      </c>
    </row>
    <row r="1900" hidden="1">
      <c r="A1900" s="11" t="n">
        <v>46059</v>
      </c>
      <c r="B1900" t="inlineStr">
        <is>
          <t>Leandro de Souza Silva</t>
        </is>
      </c>
      <c r="C1900" t="inlineStr">
        <is>
          <t>JR</t>
        </is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s="3" t="n">
        <v>0</v>
      </c>
      <c r="J1900" s="3" t="n">
        <v>0</v>
      </c>
      <c r="K1900" s="3" t="n">
        <v>0</v>
      </c>
      <c r="L1900" s="3">
        <f>IF(K1900&lt;-5,"CRÍTICO",IF(K1900&lt;0,"ATENÇÃO",IF(K1900&lt;=5,"BOM","EXCELENTE")))</f>
        <v/>
      </c>
      <c r="N1900" t="n">
        <v>0</v>
      </c>
      <c r="O1900" t="n">
        <v>0</v>
      </c>
    </row>
    <row r="1901" hidden="1">
      <c r="A1901" s="11" t="n">
        <v>46059</v>
      </c>
      <c r="B1901" t="inlineStr">
        <is>
          <t>Leandro Oliveira de Sousa</t>
        </is>
      </c>
      <c r="C1901" t="inlineStr">
        <is>
          <t>Técnico III</t>
        </is>
      </c>
      <c r="D1901" t="n">
        <v>26</v>
      </c>
      <c r="E1901" t="n">
        <v>24</v>
      </c>
      <c r="F1901" t="n">
        <v>24.01</v>
      </c>
      <c r="G1901" t="n">
        <v>0</v>
      </c>
      <c r="H1901" t="n">
        <v>0</v>
      </c>
      <c r="I1901" s="3">
        <f>E1901+G1901+H1901</f>
        <v/>
      </c>
      <c r="J1901" s="3">
        <f>ROUND(MIN(IF(C1901="Técnico III",35,IF(C1901="Técnico II",28,IF(C1901="Técnico I",23,IF(C1901="JR",20,IF(C1901="Estágio",10,0))))),IF(C1901="Técnico III",SUMIFS($D:$D,$A:$A,$A1901,$B:$B,"&lt;&gt;Patrícia Karla de Sousa Araújo",$B:$B,"&lt;&gt;Lorena Dias de Araujo",$B:$B,"&lt;&gt;Lucas Luiz Romero")*(35/1083),IF(C1901="Técnico II",SUMIFS($D:$D,$A:$A,$A1901,$B:$B,"&lt;&gt;Patrícia Karla de Sousa Araújo",$B:$B,"&lt;&gt;Lorena Dias de Araujo",$B:$B,"&lt;&gt;Lucas Luiz Romero")*(28/1083),IF(C1901="Técnico I",SUMIFS($D:$D,$A:$A,$A1901,$B:$B,"&lt;&gt;Patrícia Karla de Sousa Araújo",$B:$B,"&lt;&gt;Lorena Dias de Araujo",$B:$B,"&lt;&gt;Lucas Luiz Romero")*(23/1083),IF(C1901="JR",SUMIFS($D:$D,$A:$A,$A1901,$B:$B,"&lt;&gt;Patrícia Karla de Sousa Araújo",$B:$B,"&lt;&gt;Lorena Dias de Araujo",$B:$B,"&lt;&gt;Lucas Luiz Romero")*(20/1083),IF(C1901="Estágio",SUMIFS($D:$D,$A:$A,$A1901,$B:$B,"&lt;&gt;Patrícia Karla de Sousa Araújo",$B:$B,"&lt;&gt;Lorena Dias de Araujo",$B:$B,"&lt;&gt;Lucas Luiz Romero")*(10/1083),0)))))),0)</f>
        <v/>
      </c>
      <c r="K1901" s="3">
        <f>I1901-J1901</f>
        <v/>
      </c>
      <c r="L1901" s="3">
        <f>IF(K1901&lt;-5,"CRÍTICO",IF(K1901&lt;0,"ATENÇÃO",IF(K1901&lt;=5,"BOM","EXCELENTE")))</f>
        <v/>
      </c>
      <c r="N1901" t="n">
        <v>99.26000000000001</v>
      </c>
      <c r="O1901" t="n">
        <v>30.84832904884319</v>
      </c>
    </row>
    <row r="1902" hidden="1">
      <c r="A1902" s="11" t="n">
        <v>46059</v>
      </c>
      <c r="B1902" t="inlineStr">
        <is>
          <t>Lizandra Gomes Duarte</t>
        </is>
      </c>
      <c r="C1902" t="inlineStr">
        <is>
          <t>Técnico II</t>
        </is>
      </c>
      <c r="D1902" t="n">
        <v>38</v>
      </c>
      <c r="E1902" t="n">
        <v>29</v>
      </c>
      <c r="F1902" t="n">
        <v>15.05</v>
      </c>
      <c r="G1902" t="n">
        <v>0</v>
      </c>
      <c r="H1902" t="n">
        <v>0</v>
      </c>
      <c r="I1902" s="3">
        <f>E1902+G1902+H1902</f>
        <v/>
      </c>
      <c r="J1902" s="3">
        <f>ROUND(MIN(IF(C1902="Técnico III",35,IF(C1902="Técnico II",28,IF(C1902="Técnico I",23,IF(C1902="JR",20,IF(C1902="Estágio",10,0))))),IF(C1902="Técnico III",SUMIFS($D:$D,$A:$A,$A1902,$B:$B,"&lt;&gt;Patrícia Karla de Sousa Araújo",$B:$B,"&lt;&gt;Lorena Dias de Araujo",$B:$B,"&lt;&gt;Lucas Luiz Romero")*(35/1083),IF(C1902="Técnico II",SUMIFS($D:$D,$A:$A,$A1902,$B:$B,"&lt;&gt;Patrícia Karla de Sousa Araújo",$B:$B,"&lt;&gt;Lorena Dias de Araujo",$B:$B,"&lt;&gt;Lucas Luiz Romero")*(28/1083),IF(C1902="Técnico I",SUMIFS($D:$D,$A:$A,$A1902,$B:$B,"&lt;&gt;Patrícia Karla de Sousa Araújo",$B:$B,"&lt;&gt;Lorena Dias de Araujo",$B:$B,"&lt;&gt;Lucas Luiz Romero")*(23/1083),IF(C1902="JR",SUMIFS($D:$D,$A:$A,$A1902,$B:$B,"&lt;&gt;Patrícia Karla de Sousa Araújo",$B:$B,"&lt;&gt;Lorena Dias de Araujo",$B:$B,"&lt;&gt;Lucas Luiz Romero")*(20/1083),IF(C1902="Estágio",SUMIFS($D:$D,$A:$A,$A1902,$B:$B,"&lt;&gt;Patrícia Karla de Sousa Araújo",$B:$B,"&lt;&gt;Lorena Dias de Araujo",$B:$B,"&lt;&gt;Lucas Luiz Romero")*(10/1083),0)))))),0)</f>
        <v/>
      </c>
      <c r="K1902" s="3">
        <f>I1902-J1902</f>
        <v/>
      </c>
      <c r="L1902" s="3">
        <f>IF(K1902&lt;-5,"CRÍTICO",IF(K1902&lt;0,"ATENÇÃO",IF(K1902&lt;=5,"BOM","EXCELENTE")))</f>
        <v/>
      </c>
      <c r="N1902" t="n">
        <v>97.48</v>
      </c>
      <c r="O1902" t="n">
        <v>27.76470588235294</v>
      </c>
    </row>
    <row r="1903" hidden="1">
      <c r="A1903" s="11" t="n">
        <v>46059</v>
      </c>
      <c r="B1903" t="inlineStr">
        <is>
          <t>Lorena Dias de Araujo</t>
        </is>
      </c>
      <c r="C1903" t="inlineStr">
        <is>
          <t>Técnico II</t>
        </is>
      </c>
      <c r="D1903" t="n">
        <v>41</v>
      </c>
      <c r="E1903" t="n">
        <v>38</v>
      </c>
      <c r="F1903" t="n">
        <v>15.12</v>
      </c>
      <c r="G1903" t="n">
        <v>0</v>
      </c>
      <c r="H1903" t="n">
        <v>0</v>
      </c>
      <c r="I1903" s="3" t="n">
        <v>0</v>
      </c>
      <c r="J1903" s="3" t="n">
        <v>0</v>
      </c>
      <c r="K1903" s="3" t="n">
        <v>0</v>
      </c>
      <c r="L1903" s="3">
        <f>IF(K1903&lt;-5,"CRÍTICO",IF(K1903&lt;0,"ATENÇÃO",IF(K1903&lt;=5,"BOM","EXCELENTE")))</f>
        <v/>
      </c>
      <c r="N1903" t="n">
        <v>99.34</v>
      </c>
      <c r="O1903" t="n">
        <v>30.04291845493562</v>
      </c>
    </row>
    <row r="1904" hidden="1">
      <c r="A1904" s="11" t="n">
        <v>46059</v>
      </c>
      <c r="B1904" t="inlineStr">
        <is>
          <t>Lucas Luiz Romero</t>
        </is>
      </c>
      <c r="C1904" t="inlineStr">
        <is>
          <t>Técnico III</t>
        </is>
      </c>
      <c r="D1904" t="n">
        <v>42</v>
      </c>
      <c r="E1904" t="n">
        <v>27</v>
      </c>
      <c r="F1904" t="n">
        <v>11.53</v>
      </c>
      <c r="G1904" t="n">
        <v>0</v>
      </c>
      <c r="H1904" t="n">
        <v>0</v>
      </c>
      <c r="I1904" s="3">
        <f>E1904+G1904+H1904</f>
        <v/>
      </c>
      <c r="J1904" s="3">
        <f>ROUND(MIN(IF(C1904="Técnico III",35,IF(C1904="Técnico II",28,IF(C1904="Técnico I",23,IF(C1904="JR",20,IF(C1904="Estágio",10,0))))),IF(C1904="Técnico III",SUMIFS($D:$D,$A:$A,$A1904,$B:$B,"&lt;&gt;Patrícia Karla de Sousa Araújo",$B:$B,"&lt;&gt;Lorena Dias de Araujo",$B:$B,"&lt;&gt;Lucas Luiz Romero")*(35/1083),IF(C1904="Técnico II",SUMIFS($D:$D,$A:$A,$A1904,$B:$B,"&lt;&gt;Patrícia Karla de Sousa Araújo",$B:$B,"&lt;&gt;Lorena Dias de Araujo",$B:$B,"&lt;&gt;Lucas Luiz Romero")*(28/1083),IF(C1904="Técnico I",SUMIFS($D:$D,$A:$A,$A1904,$B:$B,"&lt;&gt;Patrícia Karla de Sousa Araújo",$B:$B,"&lt;&gt;Lorena Dias de Araujo",$B:$B,"&lt;&gt;Lucas Luiz Romero")*(23/1083),IF(C1904="JR",SUMIFS($D:$D,$A:$A,$A1904,$B:$B,"&lt;&gt;Patrícia Karla de Sousa Araújo",$B:$B,"&lt;&gt;Lorena Dias de Araujo",$B:$B,"&lt;&gt;Lucas Luiz Romero")*(20/1083),IF(C1904="Estágio",SUMIFS($D:$D,$A:$A,$A1904,$B:$B,"&lt;&gt;Patrícia Karla de Sousa Araújo",$B:$B,"&lt;&gt;Lorena Dias de Araujo",$B:$B,"&lt;&gt;Lucas Luiz Romero")*(10/1083),0)))))),0)</f>
        <v/>
      </c>
      <c r="K1904" s="3">
        <f>I1904-J1904</f>
        <v/>
      </c>
      <c r="L1904" s="3">
        <f>IF(K1904&lt;-5,"CRÍTICO",IF(K1904&lt;0,"ATENÇÃO",IF(K1904&lt;=5,"BOM","EXCELENTE")))</f>
        <v/>
      </c>
      <c r="N1904" t="n">
        <v>96.3</v>
      </c>
      <c r="O1904" t="n">
        <v>24.29378531073446</v>
      </c>
    </row>
    <row r="1905" hidden="1">
      <c r="A1905" s="11" t="n">
        <v>46059</v>
      </c>
      <c r="B1905" t="inlineStr">
        <is>
          <t>Luiz Fernando de Carvalho Junior</t>
        </is>
      </c>
      <c r="C1905" t="inlineStr">
        <is>
          <t>Técnico I</t>
        </is>
      </c>
      <c r="D1905" t="n">
        <v>34</v>
      </c>
      <c r="E1905" t="n">
        <v>32</v>
      </c>
      <c r="F1905" t="n">
        <v>18.45</v>
      </c>
      <c r="G1905" t="n">
        <v>0</v>
      </c>
      <c r="H1905" t="n">
        <v>0</v>
      </c>
      <c r="I1905" s="3">
        <f>E1905+G1905+H1905</f>
        <v/>
      </c>
      <c r="J1905" s="3">
        <f>ROUND(MIN(IF(C1905="Técnico III",35,IF(C1905="Técnico II",28,IF(C1905="Técnico I",23,IF(C1905="JR",20,IF(C1905="Estágio",10,0))))),IF(C1905="Técnico III",SUMIFS($D:$D,$A:$A,$A1905,$B:$B,"&lt;&gt;Patrícia Karla de Sousa Araújo",$B:$B,"&lt;&gt;Lorena Dias de Araujo",$B:$B,"&lt;&gt;Lucas Luiz Romero")*(35/1083),IF(C1905="Técnico II",SUMIFS($D:$D,$A:$A,$A1905,$B:$B,"&lt;&gt;Patrícia Karla de Sousa Araújo",$B:$B,"&lt;&gt;Lorena Dias de Araujo",$B:$B,"&lt;&gt;Lucas Luiz Romero")*(28/1083),IF(C1905="Técnico I",SUMIFS($D:$D,$A:$A,$A1905,$B:$B,"&lt;&gt;Patrícia Karla de Sousa Araújo",$B:$B,"&lt;&gt;Lorena Dias de Araujo",$B:$B,"&lt;&gt;Lucas Luiz Romero")*(23/1083),IF(C1905="JR",SUMIFS($D:$D,$A:$A,$A1905,$B:$B,"&lt;&gt;Patrícia Karla de Sousa Araújo",$B:$B,"&lt;&gt;Lorena Dias de Araujo",$B:$B,"&lt;&gt;Lucas Luiz Romero")*(20/1083),IF(C1905="Estágio",SUMIFS($D:$D,$A:$A,$A1905,$B:$B,"&lt;&gt;Patrícia Karla de Sousa Araújo",$B:$B,"&lt;&gt;Lorena Dias de Araujo",$B:$B,"&lt;&gt;Lucas Luiz Romero")*(10/1083),0)))))),0)</f>
        <v/>
      </c>
      <c r="K1905" s="3">
        <f>I1905-J1905</f>
        <v/>
      </c>
      <c r="L1905" s="3">
        <f>IF(K1905&lt;-5,"CRÍTICO",IF(K1905&lt;0,"ATENÇÃO",IF(K1905&lt;=5,"BOM","EXCELENTE")))</f>
        <v/>
      </c>
      <c r="N1905" t="n">
        <v>100</v>
      </c>
      <c r="O1905" t="n">
        <v>26.54320987654321</v>
      </c>
    </row>
    <row r="1906" hidden="1">
      <c r="A1906" s="11" t="n">
        <v>46059</v>
      </c>
      <c r="B1906" t="inlineStr">
        <is>
          <t>Maria Eduarda Sousa Costa</t>
        </is>
      </c>
      <c r="C1906" t="inlineStr">
        <is>
          <t>Estágio</t>
        </is>
      </c>
      <c r="D1906" t="n">
        <v>74</v>
      </c>
      <c r="E1906" t="n">
        <v>33</v>
      </c>
      <c r="F1906" t="n">
        <v>3.27</v>
      </c>
      <c r="G1906" t="n">
        <v>0</v>
      </c>
      <c r="H1906" t="n">
        <v>0</v>
      </c>
      <c r="I1906" s="3">
        <f>E1906+G1906+H1906</f>
        <v/>
      </c>
      <c r="J1906" s="3">
        <f>ROUND(MIN(IF(C1906="Técnico III",35,IF(C1906="Técnico II",28,IF(C1906="Técnico I",23,IF(C1906="JR",20,IF(C1906="Estágio",10,0))))),IF(C1906="Técnico III",SUMIFS($D:$D,$A:$A,$A1906,$B:$B,"&lt;&gt;Patrícia Karla de Sousa Araújo",$B:$B,"&lt;&gt;Lorena Dias de Araujo",$B:$B,"&lt;&gt;Lucas Luiz Romero")*(35/1083),IF(C1906="Técnico II",SUMIFS($D:$D,$A:$A,$A1906,$B:$B,"&lt;&gt;Patrícia Karla de Sousa Araújo",$B:$B,"&lt;&gt;Lorena Dias de Araujo",$B:$B,"&lt;&gt;Lucas Luiz Romero")*(28/1083),IF(C1906="Técnico I",SUMIFS($D:$D,$A:$A,$A1906,$B:$B,"&lt;&gt;Patrícia Karla de Sousa Araújo",$B:$B,"&lt;&gt;Lorena Dias de Araujo",$B:$B,"&lt;&gt;Lucas Luiz Romero")*(23/1083),IF(C1906="JR",SUMIFS($D:$D,$A:$A,$A1906,$B:$B,"&lt;&gt;Patrícia Karla de Sousa Araújo",$B:$B,"&lt;&gt;Lorena Dias de Araujo",$B:$B,"&lt;&gt;Lucas Luiz Romero")*(20/1083),IF(C1906="Estágio",SUMIFS($D:$D,$A:$A,$A1906,$B:$B,"&lt;&gt;Patrícia Karla de Sousa Araújo",$B:$B,"&lt;&gt;Lorena Dias de Araujo",$B:$B,"&lt;&gt;Lucas Luiz Romero")*(10/1083),0)))))),0)</f>
        <v/>
      </c>
      <c r="K1906" s="3">
        <f>I1906-J1906</f>
        <v/>
      </c>
      <c r="L1906" s="3">
        <f>IF(K1906&lt;-5,"CRÍTICO",IF(K1906&lt;0,"ATENÇÃO",IF(K1906&lt;=5,"BOM","EXCELENTE")))</f>
        <v/>
      </c>
      <c r="N1906" t="n">
        <v>100</v>
      </c>
      <c r="O1906" t="n">
        <v>35.48387096774194</v>
      </c>
    </row>
    <row r="1907" hidden="1">
      <c r="A1907" s="11" t="n">
        <v>46059</v>
      </c>
      <c r="B1907" t="inlineStr">
        <is>
          <t>Matheus Farias De Souza</t>
        </is>
      </c>
      <c r="C1907" t="inlineStr">
        <is>
          <t>Técnico III</t>
        </is>
      </c>
      <c r="D1907" t="n">
        <v>42</v>
      </c>
      <c r="E1907" t="n">
        <v>40</v>
      </c>
      <c r="F1907" t="n">
        <v>13.59</v>
      </c>
      <c r="G1907" t="n">
        <v>0</v>
      </c>
      <c r="H1907" t="n">
        <v>0</v>
      </c>
      <c r="I1907" s="3">
        <f>E1907+G1907+H1907</f>
        <v/>
      </c>
      <c r="J1907" s="3">
        <f>ROUND(MIN(IF(C1907="Técnico III",35,IF(C1907="Técnico II",28,IF(C1907="Técnico I",23,IF(C1907="JR",20,IF(C1907="Estágio",10,0))))),IF(C1907="Técnico III",SUMIFS($D:$D,$A:$A,$A1907,$B:$B,"&lt;&gt;Patrícia Karla de Sousa Araújo",$B:$B,"&lt;&gt;Lorena Dias de Araujo",$B:$B,"&lt;&gt;Lucas Luiz Romero")*(35/1083),IF(C1907="Técnico II",SUMIFS($D:$D,$A:$A,$A1907,$B:$B,"&lt;&gt;Patrícia Karla de Sousa Araújo",$B:$B,"&lt;&gt;Lorena Dias de Araujo",$B:$B,"&lt;&gt;Lucas Luiz Romero")*(28/1083),IF(C1907="Técnico I",SUMIFS($D:$D,$A:$A,$A1907,$B:$B,"&lt;&gt;Patrícia Karla de Sousa Araújo",$B:$B,"&lt;&gt;Lorena Dias de Araujo",$B:$B,"&lt;&gt;Lucas Luiz Romero")*(23/1083),IF(C1907="JR",SUMIFS($D:$D,$A:$A,$A1907,$B:$B,"&lt;&gt;Patrícia Karla de Sousa Araújo",$B:$B,"&lt;&gt;Lorena Dias de Araujo",$B:$B,"&lt;&gt;Lucas Luiz Romero")*(20/1083),IF(C1907="Estágio",SUMIFS($D:$D,$A:$A,$A1907,$B:$B,"&lt;&gt;Patrícia Karla de Sousa Araújo",$B:$B,"&lt;&gt;Lorena Dias de Araujo",$B:$B,"&lt;&gt;Lucas Luiz Romero")*(10/1083),0)))))),0)</f>
        <v/>
      </c>
      <c r="K1907" s="3">
        <f>I1907-J1907</f>
        <v/>
      </c>
      <c r="L1907" s="3">
        <f>IF(K1907&lt;-5,"CRÍTICO",IF(K1907&lt;0,"ATENÇÃO",IF(K1907&lt;=5,"BOM","EXCELENTE")))</f>
        <v/>
      </c>
      <c r="N1907" t="n">
        <v>99.27</v>
      </c>
      <c r="O1907" t="n">
        <v>31.16370808678501</v>
      </c>
    </row>
    <row r="1908" hidden="1">
      <c r="A1908" s="11" t="n">
        <v>46059</v>
      </c>
      <c r="B1908" t="inlineStr">
        <is>
          <t>Maysa Victoria Dias Moura</t>
        </is>
      </c>
      <c r="C1908" t="inlineStr">
        <is>
          <t>Técnico III</t>
        </is>
      </c>
      <c r="D1908" t="n">
        <v>27</v>
      </c>
      <c r="E1908" t="n">
        <v>25</v>
      </c>
      <c r="F1908" t="n">
        <v>20.44</v>
      </c>
      <c r="G1908" t="n">
        <v>0</v>
      </c>
      <c r="H1908" t="n">
        <v>0</v>
      </c>
      <c r="I1908" s="3">
        <f>E1908+G1908+H1908</f>
        <v/>
      </c>
      <c r="J1908" s="3">
        <f>ROUND(MIN(IF(C1908="Técnico III",35,IF(C1908="Técnico II",28,IF(C1908="Técnico I",23,IF(C1908="JR",20,IF(C1908="Estágio",10,0))))),IF(C1908="Técnico III",SUMIFS($D:$D,$A:$A,$A1908,$B:$B,"&lt;&gt;Patrícia Karla de Sousa Araújo",$B:$B,"&lt;&gt;Lorena Dias de Araujo",$B:$B,"&lt;&gt;Lucas Luiz Romero")*(35/1083),IF(C1908="Técnico II",SUMIFS($D:$D,$A:$A,$A1908,$B:$B,"&lt;&gt;Patrícia Karla de Sousa Araújo",$B:$B,"&lt;&gt;Lorena Dias de Araujo",$B:$B,"&lt;&gt;Lucas Luiz Romero")*(28/1083),IF(C1908="Técnico I",SUMIFS($D:$D,$A:$A,$A1908,$B:$B,"&lt;&gt;Patrícia Karla de Sousa Araújo",$B:$B,"&lt;&gt;Lorena Dias de Araujo",$B:$B,"&lt;&gt;Lucas Luiz Romero")*(23/1083),IF(C1908="JR",SUMIFS($D:$D,$A:$A,$A1908,$B:$B,"&lt;&gt;Patrícia Karla de Sousa Araújo",$B:$B,"&lt;&gt;Lorena Dias de Araujo",$B:$B,"&lt;&gt;Lucas Luiz Romero")*(20/1083),IF(C1908="Estágio",SUMIFS($D:$D,$A:$A,$A1908,$B:$B,"&lt;&gt;Patrícia Karla de Sousa Araújo",$B:$B,"&lt;&gt;Lorena Dias de Araujo",$B:$B,"&lt;&gt;Lucas Luiz Romero")*(10/1083),0)))))),0)</f>
        <v/>
      </c>
      <c r="K1908" s="3">
        <f>I1908-J1908</f>
        <v/>
      </c>
      <c r="L1908" s="3">
        <f>IF(K1908&lt;-5,"CRÍTICO",IF(K1908&lt;0,"ATENÇÃO",IF(K1908&lt;=5,"BOM","EXCELENTE")))</f>
        <v/>
      </c>
      <c r="N1908" t="n">
        <v>94.16</v>
      </c>
      <c r="O1908" t="n">
        <v>27.03862660944206</v>
      </c>
    </row>
    <row r="1909" hidden="1">
      <c r="A1909" s="11" t="n">
        <v>46059</v>
      </c>
      <c r="B1909" t="inlineStr">
        <is>
          <t>Michelle G Santos</t>
        </is>
      </c>
      <c r="C1909" t="inlineStr">
        <is>
          <t>Estágio</t>
        </is>
      </c>
      <c r="D1909" t="n">
        <v>13</v>
      </c>
      <c r="E1909" t="n">
        <v>11</v>
      </c>
      <c r="F1909" t="n">
        <v>57.38</v>
      </c>
      <c r="G1909" t="n">
        <v>0</v>
      </c>
      <c r="H1909" t="n">
        <v>0</v>
      </c>
      <c r="I1909" s="3">
        <f>E1909+G1909+H1909</f>
        <v/>
      </c>
      <c r="J1909" s="3">
        <f>ROUND(MIN(IF(C1909="Técnico III",35,IF(C1909="Técnico II",28,IF(C1909="Técnico I",23,IF(C1909="JR",20,IF(C1909="Estágio",10,0))))),IF(C1909="Técnico III",SUMIFS($D:$D,$A:$A,$A1909,$B:$B,"&lt;&gt;Patrícia Karla de Sousa Araújo",$B:$B,"&lt;&gt;Lorena Dias de Araujo",$B:$B,"&lt;&gt;Lucas Luiz Romero")*(35/1083),IF(C1909="Técnico II",SUMIFS($D:$D,$A:$A,$A1909,$B:$B,"&lt;&gt;Patrícia Karla de Sousa Araújo",$B:$B,"&lt;&gt;Lorena Dias de Araujo",$B:$B,"&lt;&gt;Lucas Luiz Romero")*(28/1083),IF(C1909="Técnico I",SUMIFS($D:$D,$A:$A,$A1909,$B:$B,"&lt;&gt;Patrícia Karla de Sousa Araújo",$B:$B,"&lt;&gt;Lorena Dias de Araujo",$B:$B,"&lt;&gt;Lucas Luiz Romero")*(23/1083),IF(C1909="JR",SUMIFS($D:$D,$A:$A,$A1909,$B:$B,"&lt;&gt;Patrícia Karla de Sousa Araújo",$B:$B,"&lt;&gt;Lorena Dias de Araujo",$B:$B,"&lt;&gt;Lucas Luiz Romero")*(20/1083),IF(C1909="Estágio",SUMIFS($D:$D,$A:$A,$A1909,$B:$B,"&lt;&gt;Patrícia Karla de Sousa Araújo",$B:$B,"&lt;&gt;Lorena Dias de Araujo",$B:$B,"&lt;&gt;Lucas Luiz Romero")*(10/1083),0)))))),0)</f>
        <v/>
      </c>
      <c r="K1909" s="3">
        <f>I1909-J1909</f>
        <v/>
      </c>
      <c r="L1909" s="3">
        <f>IF(K1909&lt;-5,"CRÍTICO",IF(K1909&lt;0,"ATENÇÃO",IF(K1909&lt;=5,"BOM","EXCELENTE")))</f>
        <v/>
      </c>
      <c r="N1909" t="n">
        <v>93.75</v>
      </c>
      <c r="O1909" t="n">
        <v>19.31818181818182</v>
      </c>
    </row>
    <row r="1910" hidden="1">
      <c r="A1910" s="11" t="n">
        <v>46059</v>
      </c>
      <c r="B1910" t="inlineStr">
        <is>
          <t>Milena Sales</t>
        </is>
      </c>
      <c r="C1910" t="inlineStr">
        <is>
          <t>JR</t>
        </is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s="3" t="n">
        <v>0</v>
      </c>
      <c r="J1910" s="3" t="n">
        <v>0</v>
      </c>
      <c r="K1910" s="3" t="n">
        <v>0</v>
      </c>
      <c r="L1910" s="3">
        <f>IF(K1910&lt;-5,"CRÍTICO",IF(K1910&lt;0,"ATENÇÃO",IF(K1910&lt;=5,"BOM","EXCELENTE")))</f>
        <v/>
      </c>
      <c r="N1910" t="n">
        <v>0</v>
      </c>
      <c r="O1910" t="n">
        <v>0</v>
      </c>
    </row>
    <row r="1911" hidden="1">
      <c r="A1911" s="11" t="n">
        <v>46059</v>
      </c>
      <c r="B1911" t="inlineStr">
        <is>
          <t>Patrícia Karla de Sousa Araújo</t>
        </is>
      </c>
      <c r="C1911" t="inlineStr">
        <is>
          <t>Técnico II</t>
        </is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s="3" t="n">
        <v>0</v>
      </c>
      <c r="J1911" s="3" t="n">
        <v>0</v>
      </c>
      <c r="K1911" s="3" t="n">
        <v>0</v>
      </c>
      <c r="L1911" s="3">
        <f>IF(K1911&lt;-5,"CRÍTICO",IF(K1911&lt;0,"ATENÇÃO",IF(K1911&lt;=5,"BOM","EXCELENTE")))</f>
        <v/>
      </c>
      <c r="N1911" t="n">
        <v>97.92</v>
      </c>
      <c r="O1911" t="n">
        <v>32.87671232876712</v>
      </c>
    </row>
    <row r="1912" hidden="1">
      <c r="A1912" s="11" t="n">
        <v>46059</v>
      </c>
      <c r="B1912" t="inlineStr">
        <is>
          <t>Paulo Ricardo Santos</t>
        </is>
      </c>
      <c r="C1912" t="inlineStr">
        <is>
          <t>JR</t>
        </is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s="3" t="n">
        <v>0</v>
      </c>
      <c r="J1912" s="3" t="n">
        <v>0</v>
      </c>
      <c r="K1912" s="3" t="n">
        <v>0</v>
      </c>
      <c r="L1912" s="3">
        <f>IF(K1912&lt;-5,"CRÍTICO",IF(K1912&lt;0,"ATENÇÃO",IF(K1912&lt;=5,"BOM","EXCELENTE")))</f>
        <v/>
      </c>
      <c r="N1912" t="n">
        <v>0</v>
      </c>
      <c r="O1912" t="n">
        <v>0</v>
      </c>
    </row>
    <row r="1913" hidden="1">
      <c r="A1913" s="11" t="n">
        <v>46059</v>
      </c>
      <c r="B1913" t="inlineStr">
        <is>
          <t>Pedro Luiz Mota Sousa</t>
        </is>
      </c>
      <c r="C1913" t="inlineStr">
        <is>
          <t>JR</t>
        </is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s="3" t="n">
        <v>0</v>
      </c>
      <c r="J1913" s="3" t="n">
        <v>0</v>
      </c>
      <c r="K1913" s="3" t="n">
        <v>0</v>
      </c>
      <c r="L1913" s="3">
        <f>IF(K1913&lt;-5,"CRÍTICO",IF(K1913&lt;0,"ATENÇÃO",IF(K1913&lt;=5,"BOM","EXCELENTE")))</f>
        <v/>
      </c>
      <c r="N1913" t="n">
        <v>0</v>
      </c>
      <c r="O1913" t="n">
        <v>0</v>
      </c>
    </row>
    <row r="1914" hidden="1">
      <c r="A1914" s="11" t="n">
        <v>46059</v>
      </c>
      <c r="B1914" t="inlineStr">
        <is>
          <t>Quirino Diogo Leite Torres</t>
        </is>
      </c>
      <c r="C1914" t="inlineStr">
        <is>
          <t>Estágio</t>
        </is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s="3" t="n">
        <v>0</v>
      </c>
      <c r="J1914" s="3" t="n">
        <v>0</v>
      </c>
      <c r="K1914" s="3" t="n">
        <v>0</v>
      </c>
      <c r="L1914" s="3">
        <f>IF(K1914&lt;-5,"CRÍTICO",IF(K1914&lt;0,"ATENÇÃO",IF(K1914&lt;=5,"BOM","EXCELENTE")))</f>
        <v/>
      </c>
      <c r="N1914" t="n">
        <v>0</v>
      </c>
      <c r="O1914" t="n">
        <v>0</v>
      </c>
    </row>
    <row r="1915" hidden="1">
      <c r="A1915" s="11" t="n">
        <v>46059</v>
      </c>
      <c r="B1915" t="inlineStr">
        <is>
          <t>Raane Batista Matos</t>
        </is>
      </c>
      <c r="C1915" t="inlineStr">
        <is>
          <t>Técnico I</t>
        </is>
      </c>
      <c r="D1915" t="n">
        <v>15</v>
      </c>
      <c r="E1915" t="n">
        <v>13</v>
      </c>
      <c r="F1915" t="n">
        <v>48.42</v>
      </c>
      <c r="G1915" t="n">
        <v>0</v>
      </c>
      <c r="H1915" t="n">
        <v>0</v>
      </c>
      <c r="I1915" s="3">
        <f>E1915+G1915+H1915</f>
        <v/>
      </c>
      <c r="J1915" s="3">
        <f>ROUND(MIN(IF(C1915="Técnico III",35,IF(C1915="Técnico II",28,IF(C1915="Técnico I",23,IF(C1915="JR",20,IF(C1915="Estágio",10,0))))),IF(C1915="Técnico III",SUMIFS($D:$D,$A:$A,$A1915,$B:$B,"&lt;&gt;Patrícia Karla de Sousa Araújo",$B:$B,"&lt;&gt;Lorena Dias de Araujo",$B:$B,"&lt;&gt;Lucas Luiz Romero")*(35/1083),IF(C1915="Técnico II",SUMIFS($D:$D,$A:$A,$A1915,$B:$B,"&lt;&gt;Patrícia Karla de Sousa Araújo",$B:$B,"&lt;&gt;Lorena Dias de Araujo",$B:$B,"&lt;&gt;Lucas Luiz Romero")*(28/1083),IF(C1915="Técnico I",SUMIFS($D:$D,$A:$A,$A1915,$B:$B,"&lt;&gt;Patrícia Karla de Sousa Araújo",$B:$B,"&lt;&gt;Lorena Dias de Araujo",$B:$B,"&lt;&gt;Lucas Luiz Romero")*(23/1083),IF(C1915="JR",SUMIFS($D:$D,$A:$A,$A1915,$B:$B,"&lt;&gt;Patrícia Karla de Sousa Araújo",$B:$B,"&lt;&gt;Lorena Dias de Araujo",$B:$B,"&lt;&gt;Lucas Luiz Romero")*(20/1083),IF(C1915="Estágio",SUMIFS($D:$D,$A:$A,$A1915,$B:$B,"&lt;&gt;Patrícia Karla de Sousa Araújo",$B:$B,"&lt;&gt;Lorena Dias de Araujo",$B:$B,"&lt;&gt;Lucas Luiz Romero")*(10/1083),0)))))),0)</f>
        <v/>
      </c>
      <c r="K1915" s="3">
        <f>I1915-J1915</f>
        <v/>
      </c>
      <c r="L1915" s="3">
        <f>IF(K1915&lt;-5,"CRÍTICO",IF(K1915&lt;0,"ATENÇÃO",IF(K1915&lt;=5,"BOM","EXCELENTE")))</f>
        <v/>
      </c>
      <c r="N1915" t="n">
        <v>98.51000000000001</v>
      </c>
      <c r="O1915" t="n">
        <v>29.71014492753623</v>
      </c>
    </row>
    <row r="1916" hidden="1">
      <c r="A1916" s="11" t="n">
        <v>46059</v>
      </c>
      <c r="B1916" t="inlineStr">
        <is>
          <t>Rafael Gomes de Morais</t>
        </is>
      </c>
      <c r="C1916" t="inlineStr">
        <is>
          <t>Técnico III</t>
        </is>
      </c>
      <c r="D1916" t="n">
        <v>32</v>
      </c>
      <c r="E1916" t="n">
        <v>27</v>
      </c>
      <c r="F1916" t="n">
        <v>13.39</v>
      </c>
      <c r="G1916" t="n">
        <v>0</v>
      </c>
      <c r="H1916" t="n">
        <v>0</v>
      </c>
      <c r="I1916" s="3">
        <f>E1916+G1916+H1916</f>
        <v/>
      </c>
      <c r="J1916" s="3">
        <f>ROUND(MIN(IF(C1916="Técnico III",35,IF(C1916="Técnico II",28,IF(C1916="Técnico I",23,IF(C1916="JR",20,IF(C1916="Estágio",10,0))))),IF(C1916="Técnico III",SUMIFS($D:$D,$A:$A,$A1916,$B:$B,"&lt;&gt;Patrícia Karla de Sousa Araújo",$B:$B,"&lt;&gt;Lorena Dias de Araujo",$B:$B,"&lt;&gt;Lucas Luiz Romero")*(35/1083),IF(C1916="Técnico II",SUMIFS($D:$D,$A:$A,$A1916,$B:$B,"&lt;&gt;Patrícia Karla de Sousa Araújo",$B:$B,"&lt;&gt;Lorena Dias de Araujo",$B:$B,"&lt;&gt;Lucas Luiz Romero")*(28/1083),IF(C1916="Técnico I",SUMIFS($D:$D,$A:$A,$A1916,$B:$B,"&lt;&gt;Patrícia Karla de Sousa Araújo",$B:$B,"&lt;&gt;Lorena Dias de Araujo",$B:$B,"&lt;&gt;Lucas Luiz Romero")*(23/1083),IF(C1916="JR",SUMIFS($D:$D,$A:$A,$A1916,$B:$B,"&lt;&gt;Patrícia Karla de Sousa Araújo",$B:$B,"&lt;&gt;Lorena Dias de Araujo",$B:$B,"&lt;&gt;Lucas Luiz Romero")*(20/1083),IF(C1916="Estágio",SUMIFS($D:$D,$A:$A,$A1916,$B:$B,"&lt;&gt;Patrícia Karla de Sousa Araújo",$B:$B,"&lt;&gt;Lorena Dias de Araujo",$B:$B,"&lt;&gt;Lucas Luiz Romero")*(10/1083),0)))))),0)</f>
        <v/>
      </c>
      <c r="K1916" s="3">
        <f>I1916-J1916</f>
        <v/>
      </c>
      <c r="L1916" s="3">
        <f>IF(K1916&lt;-5,"CRÍTICO",IF(K1916&lt;0,"ATENÇÃO",IF(K1916&lt;=5,"BOM","EXCELENTE")))</f>
        <v/>
      </c>
      <c r="N1916" t="n">
        <v>98.81</v>
      </c>
      <c r="O1916" t="n">
        <v>30.71297989031079</v>
      </c>
    </row>
    <row r="1917" hidden="1">
      <c r="A1917" s="11" t="n">
        <v>46059</v>
      </c>
      <c r="B1917" t="inlineStr">
        <is>
          <t>Sara Maria Monteiro Lopes</t>
        </is>
      </c>
      <c r="C1917" t="inlineStr">
        <is>
          <t>Técnico I</t>
        </is>
      </c>
      <c r="D1917" t="n">
        <v>17</v>
      </c>
      <c r="E1917" t="n">
        <v>17</v>
      </c>
      <c r="F1917" t="n">
        <v>32.31</v>
      </c>
      <c r="G1917" t="n">
        <v>0</v>
      </c>
      <c r="H1917" t="n">
        <v>0</v>
      </c>
      <c r="I1917" s="3">
        <f>E1917+G1917+H1917</f>
        <v/>
      </c>
      <c r="J1917" s="3">
        <f>ROUND(MIN(IF(C1917="Técnico III",35,IF(C1917="Técnico II",28,IF(C1917="Técnico I",23,IF(C1917="JR",20,IF(C1917="Estágio",10,0))))),IF(C1917="Técnico III",SUMIFS($D:$D,$A:$A,$A1917,$B:$B,"&lt;&gt;Patrícia Karla de Sousa Araújo",$B:$B,"&lt;&gt;Lorena Dias de Araujo",$B:$B,"&lt;&gt;Lucas Luiz Romero")*(35/1083),IF(C1917="Técnico II",SUMIFS($D:$D,$A:$A,$A1917,$B:$B,"&lt;&gt;Patrícia Karla de Sousa Araújo",$B:$B,"&lt;&gt;Lorena Dias de Araujo",$B:$B,"&lt;&gt;Lucas Luiz Romero")*(28/1083),IF(C1917="Técnico I",SUMIFS($D:$D,$A:$A,$A1917,$B:$B,"&lt;&gt;Patrícia Karla de Sousa Araújo",$B:$B,"&lt;&gt;Lorena Dias de Araujo",$B:$B,"&lt;&gt;Lucas Luiz Romero")*(23/1083),IF(C1917="JR",SUMIFS($D:$D,$A:$A,$A1917,$B:$B,"&lt;&gt;Patrícia Karla de Sousa Araújo",$B:$B,"&lt;&gt;Lorena Dias de Araujo",$B:$B,"&lt;&gt;Lucas Luiz Romero")*(20/1083),IF(C1917="Estágio",SUMIFS($D:$D,$A:$A,$A1917,$B:$B,"&lt;&gt;Patrícia Karla de Sousa Araújo",$B:$B,"&lt;&gt;Lorena Dias de Araujo",$B:$B,"&lt;&gt;Lucas Luiz Romero")*(10/1083),0)))))),0)</f>
        <v/>
      </c>
      <c r="K1917" s="3">
        <f>I1917-J1917</f>
        <v/>
      </c>
      <c r="L1917" s="3">
        <f>IF(K1917&lt;-5,"CRÍTICO",IF(K1917&lt;0,"ATENÇÃO",IF(K1917&lt;=5,"BOM","EXCELENTE")))</f>
        <v/>
      </c>
      <c r="N1917" t="n">
        <v>98.48</v>
      </c>
      <c r="O1917" t="n">
        <v>29.35323383084577</v>
      </c>
    </row>
    <row r="1918" hidden="1">
      <c r="A1918" s="11" t="n">
        <v>46059</v>
      </c>
      <c r="B1918" t="inlineStr">
        <is>
          <t>Sarah Steffanie de Lima Borges</t>
        </is>
      </c>
      <c r="C1918" t="inlineStr">
        <is>
          <t>Técnico III</t>
        </is>
      </c>
      <c r="D1918" t="n">
        <v>40</v>
      </c>
      <c r="E1918" t="n">
        <v>40</v>
      </c>
      <c r="F1918" t="n">
        <v>13.29</v>
      </c>
      <c r="G1918" t="n">
        <v>0</v>
      </c>
      <c r="H1918" t="n">
        <v>0</v>
      </c>
      <c r="I1918" s="3">
        <f>E1918+G1918+H1918</f>
        <v/>
      </c>
      <c r="J1918" s="3">
        <f>ROUND(MIN(IF(C1918="Técnico III",35,IF(C1918="Técnico II",28,IF(C1918="Técnico I",23,IF(C1918="JR",20,IF(C1918="Estágio",10,0))))),IF(C1918="Técnico III",SUMIFS($D:$D,$A:$A,$A1918,$B:$B,"&lt;&gt;Patrícia Karla de Sousa Araújo",$B:$B,"&lt;&gt;Lorena Dias de Araujo",$B:$B,"&lt;&gt;Lucas Luiz Romero")*(35/1083),IF(C1918="Técnico II",SUMIFS($D:$D,$A:$A,$A1918,$B:$B,"&lt;&gt;Patrícia Karla de Sousa Araújo",$B:$B,"&lt;&gt;Lorena Dias de Araujo",$B:$B,"&lt;&gt;Lucas Luiz Romero")*(28/1083),IF(C1918="Técnico I",SUMIFS($D:$D,$A:$A,$A1918,$B:$B,"&lt;&gt;Patrícia Karla de Sousa Araújo",$B:$B,"&lt;&gt;Lorena Dias de Araujo",$B:$B,"&lt;&gt;Lucas Luiz Romero")*(23/1083),IF(C1918="JR",SUMIFS($D:$D,$A:$A,$A1918,$B:$B,"&lt;&gt;Patrícia Karla de Sousa Araújo",$B:$B,"&lt;&gt;Lorena Dias de Araujo",$B:$B,"&lt;&gt;Lucas Luiz Romero")*(20/1083),IF(C1918="Estágio",SUMIFS($D:$D,$A:$A,$A1918,$B:$B,"&lt;&gt;Patrícia Karla de Sousa Araújo",$B:$B,"&lt;&gt;Lorena Dias de Araujo",$B:$B,"&lt;&gt;Lucas Luiz Romero")*(10/1083),0)))))),0)</f>
        <v/>
      </c>
      <c r="K1918" s="3">
        <f>I1918-J1918</f>
        <v/>
      </c>
      <c r="L1918" s="3">
        <f>IF(K1918&lt;-5,"CRÍTICO",IF(K1918&lt;0,"ATENÇÃO",IF(K1918&lt;=5,"BOM","EXCELENTE")))</f>
        <v/>
      </c>
      <c r="N1918" t="n">
        <v>98.56</v>
      </c>
      <c r="O1918" t="n">
        <v>29.37365010799136</v>
      </c>
    </row>
    <row r="1919" hidden="1">
      <c r="A1919" s="11" t="n">
        <v>46062</v>
      </c>
      <c r="B1919" t="inlineStr">
        <is>
          <t>Alisson de Freitas Silva</t>
        </is>
      </c>
      <c r="C1919" t="inlineStr">
        <is>
          <t>Técnico II</t>
        </is>
      </c>
      <c r="D1919" t="n">
        <v>31</v>
      </c>
      <c r="E1919" t="n">
        <v>28</v>
      </c>
      <c r="F1919" t="n">
        <v>13.22</v>
      </c>
      <c r="G1919" t="n">
        <v>0</v>
      </c>
      <c r="H1919" t="n">
        <v>0</v>
      </c>
      <c r="I1919" s="3">
        <f>E1919+G1919+H1919</f>
        <v/>
      </c>
      <c r="J1919" s="3">
        <f>ROUND(MIN(IF(C1919="Técnico III",35,IF(C1919="Técnico II",28,IF(C1919="Técnico I",23,IF(C1919="JR",20,IF(C1919="Estágio",10,0))))),IF(C1919="Técnico III",SUMIFS($D:$D,$A:$A,$A1919,$B:$B,"&lt;&gt;Patrícia Karla de Sousa Araújo",$B:$B,"&lt;&gt;Lorena Dias de Araujo",$B:$B,"&lt;&gt;Lucas Luiz Romero")*(35/1083),IF(C1919="Técnico II",SUMIFS($D:$D,$A:$A,$A1919,$B:$B,"&lt;&gt;Patrícia Karla de Sousa Araújo",$B:$B,"&lt;&gt;Lorena Dias de Araujo",$B:$B,"&lt;&gt;Lucas Luiz Romero")*(28/1083),IF(C1919="Técnico I",SUMIFS($D:$D,$A:$A,$A1919,$B:$B,"&lt;&gt;Patrícia Karla de Sousa Araújo",$B:$B,"&lt;&gt;Lorena Dias de Araujo",$B:$B,"&lt;&gt;Lucas Luiz Romero")*(23/1083),IF(C1919="JR",SUMIFS($D:$D,$A:$A,$A1919,$B:$B,"&lt;&gt;Patrícia Karla de Sousa Araújo",$B:$B,"&lt;&gt;Lorena Dias de Araujo",$B:$B,"&lt;&gt;Lucas Luiz Romero")*(20/1083),IF(C1919="Estágio",SUMIFS($D:$D,$A:$A,$A1919,$B:$B,"&lt;&gt;Patrícia Karla de Sousa Araújo",$B:$B,"&lt;&gt;Lorena Dias de Araujo",$B:$B,"&lt;&gt;Lucas Luiz Romero")*(10/1083),0)))))),0)</f>
        <v/>
      </c>
      <c r="K1919" s="3">
        <f>I1919-J1919</f>
        <v/>
      </c>
      <c r="L1919" s="3">
        <f>IF(K1919&lt;-5,"CRÍTICO",IF(K1919&lt;0,"ATENÇÃO",IF(K1919&lt;=5,"BOM","EXCELENTE")))</f>
        <v/>
      </c>
      <c r="M1919" t="n">
        <v>0</v>
      </c>
      <c r="N1919" t="n">
        <v>100</v>
      </c>
      <c r="O1919" t="n">
        <v>27.16763005780346</v>
      </c>
    </row>
    <row r="1920" hidden="1">
      <c r="A1920" s="11" t="n">
        <v>46062</v>
      </c>
      <c r="B1920" t="inlineStr">
        <is>
          <t>Amanda Moura Ferreira</t>
        </is>
      </c>
      <c r="C1920" t="inlineStr">
        <is>
          <t>Técnico III</t>
        </is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s="3" t="n">
        <v>0</v>
      </c>
      <c r="J1920" s="3" t="n">
        <v>0</v>
      </c>
      <c r="K1920" s="3" t="n">
        <v>0</v>
      </c>
      <c r="L1920" s="3">
        <f>IF(K1920&lt;-5,"CRÍTICO",IF(K1920&lt;0,"ATENÇÃO",IF(K1920&lt;=5,"BOM","EXCELENTE")))</f>
        <v/>
      </c>
      <c r="M1920" t="n">
        <v>0</v>
      </c>
      <c r="N1920" t="n">
        <v>97.95999999999999</v>
      </c>
      <c r="O1920" t="n">
        <v>30.55555555555556</v>
      </c>
    </row>
    <row r="1921" hidden="1">
      <c r="A1921" s="11" t="n">
        <v>46062</v>
      </c>
      <c r="B1921" t="inlineStr">
        <is>
          <t>Ana Karollyne Souza Faria</t>
        </is>
      </c>
      <c r="C1921" t="inlineStr">
        <is>
          <t>Técnico I</t>
        </is>
      </c>
      <c r="D1921" t="n">
        <v>32</v>
      </c>
      <c r="E1921" t="n">
        <v>29</v>
      </c>
      <c r="F1921" t="n">
        <v>20.19</v>
      </c>
      <c r="G1921" t="n">
        <v>0</v>
      </c>
      <c r="H1921" t="n">
        <v>0</v>
      </c>
      <c r="I1921" s="3">
        <f>E1921+G1921+H1921</f>
        <v/>
      </c>
      <c r="J1921" s="3">
        <f>ROUND(MIN(IF(C1921="Técnico III",35,IF(C1921="Técnico II",28,IF(C1921="Técnico I",23,IF(C1921="JR",20,IF(C1921="Estágio",10,0))))),IF(C1921="Técnico III",SUMIFS($D:$D,$A:$A,$A1921,$B:$B,"&lt;&gt;Patrícia Karla de Sousa Araújo",$B:$B,"&lt;&gt;Lorena Dias de Araujo",$B:$B,"&lt;&gt;Lucas Luiz Romero")*(35/1083),IF(C1921="Técnico II",SUMIFS($D:$D,$A:$A,$A1921,$B:$B,"&lt;&gt;Patrícia Karla de Sousa Araújo",$B:$B,"&lt;&gt;Lorena Dias de Araujo",$B:$B,"&lt;&gt;Lucas Luiz Romero")*(28/1083),IF(C1921="Técnico I",SUMIFS($D:$D,$A:$A,$A1921,$B:$B,"&lt;&gt;Patrícia Karla de Sousa Araújo",$B:$B,"&lt;&gt;Lorena Dias de Araujo",$B:$B,"&lt;&gt;Lucas Luiz Romero")*(23/1083),IF(C1921="JR",SUMIFS($D:$D,$A:$A,$A1921,$B:$B,"&lt;&gt;Patrícia Karla de Sousa Araújo",$B:$B,"&lt;&gt;Lorena Dias de Araujo",$B:$B,"&lt;&gt;Lucas Luiz Romero")*(20/1083),IF(C1921="Estágio",SUMIFS($D:$D,$A:$A,$A1921,$B:$B,"&lt;&gt;Patrícia Karla de Sousa Araújo",$B:$B,"&lt;&gt;Lorena Dias de Araujo",$B:$B,"&lt;&gt;Lucas Luiz Romero")*(10/1083),0)))))),0)</f>
        <v/>
      </c>
      <c r="K1921" s="3">
        <f>I1921-J1921</f>
        <v/>
      </c>
      <c r="L1921" s="3">
        <f>IF(K1921&lt;-5,"CRÍTICO",IF(K1921&lt;0,"ATENÇÃO",IF(K1921&lt;=5,"BOM","EXCELENTE")))</f>
        <v/>
      </c>
      <c r="M1921" t="n">
        <v>0</v>
      </c>
      <c r="N1921" t="n">
        <v>100</v>
      </c>
      <c r="O1921" t="n">
        <v>27.97619047619048</v>
      </c>
    </row>
    <row r="1922" hidden="1">
      <c r="A1922" s="11" t="n">
        <v>46062</v>
      </c>
      <c r="B1922" t="inlineStr">
        <is>
          <t>Ana Paula Da Luz Silva Aleixo</t>
        </is>
      </c>
      <c r="C1922" t="inlineStr">
        <is>
          <t>Técnico III</t>
        </is>
      </c>
      <c r="D1922" t="n">
        <v>25</v>
      </c>
      <c r="E1922" t="n">
        <v>23</v>
      </c>
      <c r="F1922" t="n">
        <v>19.03</v>
      </c>
      <c r="G1922" t="n">
        <v>0</v>
      </c>
      <c r="H1922" t="n">
        <v>0</v>
      </c>
      <c r="I1922" s="3">
        <f>E1922+G1922+H1922</f>
        <v/>
      </c>
      <c r="J1922" s="3">
        <f>ROUND(MIN(IF(C1922="Técnico III",35,IF(C1922="Técnico II",28,IF(C1922="Técnico I",23,IF(C1922="JR",20,IF(C1922="Estágio",10,0))))),IF(C1922="Técnico III",SUMIFS($D:$D,$A:$A,$A1922,$B:$B,"&lt;&gt;Patrícia Karla de Sousa Araújo",$B:$B,"&lt;&gt;Lorena Dias de Araujo",$B:$B,"&lt;&gt;Lucas Luiz Romero")*(35/1083),IF(C1922="Técnico II",SUMIFS($D:$D,$A:$A,$A1922,$B:$B,"&lt;&gt;Patrícia Karla de Sousa Araújo",$B:$B,"&lt;&gt;Lorena Dias de Araujo",$B:$B,"&lt;&gt;Lucas Luiz Romero")*(28/1083),IF(C1922="Técnico I",SUMIFS($D:$D,$A:$A,$A1922,$B:$B,"&lt;&gt;Patrícia Karla de Sousa Araújo",$B:$B,"&lt;&gt;Lorena Dias de Araujo",$B:$B,"&lt;&gt;Lucas Luiz Romero")*(23/1083),IF(C1922="JR",SUMIFS($D:$D,$A:$A,$A1922,$B:$B,"&lt;&gt;Patrícia Karla de Sousa Araújo",$B:$B,"&lt;&gt;Lorena Dias de Araujo",$B:$B,"&lt;&gt;Lucas Luiz Romero")*(20/1083),IF(C1922="Estágio",SUMIFS($D:$D,$A:$A,$A1922,$B:$B,"&lt;&gt;Patrícia Karla de Sousa Araújo",$B:$B,"&lt;&gt;Lorena Dias de Araujo",$B:$B,"&lt;&gt;Lucas Luiz Romero")*(10/1083),0)))))),0)</f>
        <v/>
      </c>
      <c r="K1922" s="3">
        <f>I1922-J1922</f>
        <v/>
      </c>
      <c r="L1922" s="3">
        <f>IF(K1922&lt;-5,"CRÍTICO",IF(K1922&lt;0,"ATENÇÃO",IF(K1922&lt;=5,"BOM","EXCELENTE")))</f>
        <v/>
      </c>
      <c r="M1922" t="n">
        <v>0</v>
      </c>
      <c r="N1922" t="n">
        <v>100</v>
      </c>
      <c r="O1922" t="n">
        <v>22.22222222222222</v>
      </c>
    </row>
    <row r="1923" hidden="1">
      <c r="A1923" s="11" t="n">
        <v>46062</v>
      </c>
      <c r="B1923" t="inlineStr">
        <is>
          <t>Anna Luiza Rezende Tavares</t>
        </is>
      </c>
      <c r="C1923" t="inlineStr">
        <is>
          <t>Estágio</t>
        </is>
      </c>
      <c r="D1923" t="n">
        <v>9</v>
      </c>
      <c r="E1923" t="n">
        <v>9</v>
      </c>
      <c r="F1923" t="n">
        <v>38.29</v>
      </c>
      <c r="G1923" t="n">
        <v>0</v>
      </c>
      <c r="H1923" t="n">
        <v>0</v>
      </c>
      <c r="I1923" s="3">
        <f>E1923+G1923+H1923</f>
        <v/>
      </c>
      <c r="J1923" s="3">
        <f>ROUND(MIN(IF(C1923="Técnico III",35,IF(C1923="Técnico II",28,IF(C1923="Técnico I",23,IF(C1923="JR",20,IF(C1923="Estágio",10,0))))),IF(C1923="Técnico III",SUMIFS($D:$D,$A:$A,$A1923,$B:$B,"&lt;&gt;Patrícia Karla de Sousa Araújo",$B:$B,"&lt;&gt;Lorena Dias de Araujo",$B:$B,"&lt;&gt;Lucas Luiz Romero")*(35/1083),IF(C1923="Técnico II",SUMIFS($D:$D,$A:$A,$A1923,$B:$B,"&lt;&gt;Patrícia Karla de Sousa Araújo",$B:$B,"&lt;&gt;Lorena Dias de Araujo",$B:$B,"&lt;&gt;Lucas Luiz Romero")*(28/1083),IF(C1923="Técnico I",SUMIFS($D:$D,$A:$A,$A1923,$B:$B,"&lt;&gt;Patrícia Karla de Sousa Araújo",$B:$B,"&lt;&gt;Lorena Dias de Araujo",$B:$B,"&lt;&gt;Lucas Luiz Romero")*(23/1083),IF(C1923="JR",SUMIFS($D:$D,$A:$A,$A1923,$B:$B,"&lt;&gt;Patrícia Karla de Sousa Araújo",$B:$B,"&lt;&gt;Lorena Dias de Araujo",$B:$B,"&lt;&gt;Lucas Luiz Romero")*(20/1083),IF(C1923="Estágio",SUMIFS($D:$D,$A:$A,$A1923,$B:$B,"&lt;&gt;Patrícia Karla de Sousa Araújo",$B:$B,"&lt;&gt;Lorena Dias de Araujo",$B:$B,"&lt;&gt;Lucas Luiz Romero")*(10/1083),0)))))),0)</f>
        <v/>
      </c>
      <c r="K1923" s="3">
        <f>I1923-J1923</f>
        <v/>
      </c>
      <c r="L1923" s="3">
        <f>IF(K1923&lt;-5,"CRÍTICO",IF(K1923&lt;0,"ATENÇÃO",IF(K1923&lt;=5,"BOM","EXCELENTE")))</f>
        <v/>
      </c>
      <c r="M1923" t="n">
        <v>0</v>
      </c>
      <c r="N1923" t="n">
        <v>100</v>
      </c>
      <c r="O1923" t="n">
        <v>42.85714285714285</v>
      </c>
    </row>
    <row r="1924" hidden="1">
      <c r="A1924" s="11" t="n">
        <v>46062</v>
      </c>
      <c r="B1924" t="inlineStr">
        <is>
          <t>Brenda de Menezes Silva</t>
        </is>
      </c>
      <c r="C1924" t="inlineStr">
        <is>
          <t>Técnico II</t>
        </is>
      </c>
      <c r="D1924" t="n">
        <v>26</v>
      </c>
      <c r="E1924" t="n">
        <v>24</v>
      </c>
      <c r="F1924" t="n">
        <v>17.3</v>
      </c>
      <c r="G1924" t="n">
        <v>0</v>
      </c>
      <c r="H1924" t="n">
        <v>0</v>
      </c>
      <c r="I1924" s="3">
        <f>E1924+G1924+H1924</f>
        <v/>
      </c>
      <c r="J1924" s="3">
        <f>ROUND(MIN(IF(C1924="Técnico III",35,IF(C1924="Técnico II",28,IF(C1924="Técnico I",23,IF(C1924="JR",20,IF(C1924="Estágio",10,0))))),IF(C1924="Técnico III",SUMIFS($D:$D,$A:$A,$A1924,$B:$B,"&lt;&gt;Patrícia Karla de Sousa Araújo",$B:$B,"&lt;&gt;Lorena Dias de Araujo",$B:$B,"&lt;&gt;Lucas Luiz Romero")*(35/1083),IF(C1924="Técnico II",SUMIFS($D:$D,$A:$A,$A1924,$B:$B,"&lt;&gt;Patrícia Karla de Sousa Araújo",$B:$B,"&lt;&gt;Lorena Dias de Araujo",$B:$B,"&lt;&gt;Lucas Luiz Romero")*(28/1083),IF(C1924="Técnico I",SUMIFS($D:$D,$A:$A,$A1924,$B:$B,"&lt;&gt;Patrícia Karla de Sousa Araújo",$B:$B,"&lt;&gt;Lorena Dias de Araujo",$B:$B,"&lt;&gt;Lucas Luiz Romero")*(23/1083),IF(C1924="JR",SUMIFS($D:$D,$A:$A,$A1924,$B:$B,"&lt;&gt;Patrícia Karla de Sousa Araújo",$B:$B,"&lt;&gt;Lorena Dias de Araujo",$B:$B,"&lt;&gt;Lucas Luiz Romero")*(20/1083),IF(C1924="Estágio",SUMIFS($D:$D,$A:$A,$A1924,$B:$B,"&lt;&gt;Patrícia Karla de Sousa Araújo",$B:$B,"&lt;&gt;Lorena Dias de Araujo",$B:$B,"&lt;&gt;Lucas Luiz Romero")*(10/1083),0)))))),0)</f>
        <v/>
      </c>
      <c r="K1924" s="3">
        <f>I1924-J1924</f>
        <v/>
      </c>
      <c r="L1924" s="3">
        <f>IF(K1924&lt;-5,"CRÍTICO",IF(K1924&lt;0,"ATENÇÃO",IF(K1924&lt;=5,"BOM","EXCELENTE")))</f>
        <v/>
      </c>
      <c r="M1924" t="n">
        <v>0</v>
      </c>
      <c r="N1924" t="n">
        <v>100</v>
      </c>
      <c r="O1924" t="n">
        <v>30.52631578947368</v>
      </c>
    </row>
    <row r="1925" hidden="1">
      <c r="A1925" s="11" t="n">
        <v>46062</v>
      </c>
      <c r="B1925" t="inlineStr">
        <is>
          <t>Carlos Mateus Cassimiro Nunes</t>
        </is>
      </c>
      <c r="C1925" t="inlineStr">
        <is>
          <t>Técnico II</t>
        </is>
      </c>
      <c r="D1925" t="n">
        <v>21</v>
      </c>
      <c r="E1925" t="n">
        <v>21</v>
      </c>
      <c r="F1925" t="n">
        <v>37.3</v>
      </c>
      <c r="G1925" t="n">
        <v>0</v>
      </c>
      <c r="H1925" t="n">
        <v>0</v>
      </c>
      <c r="I1925" s="3">
        <f>E1925+G1925+H1925</f>
        <v/>
      </c>
      <c r="J1925" s="3">
        <f>ROUND(MIN(IF(C1925="Técnico III",35,IF(C1925="Técnico II",28,IF(C1925="Técnico I",23,IF(C1925="JR",20,IF(C1925="Estágio",10,0))))),IF(C1925="Técnico III",SUMIFS($D:$D,$A:$A,$A1925,$B:$B,"&lt;&gt;Patrícia Karla de Sousa Araújo",$B:$B,"&lt;&gt;Lorena Dias de Araujo",$B:$B,"&lt;&gt;Lucas Luiz Romero")*(35/1083),IF(C1925="Técnico II",SUMIFS($D:$D,$A:$A,$A1925,$B:$B,"&lt;&gt;Patrícia Karla de Sousa Araújo",$B:$B,"&lt;&gt;Lorena Dias de Araujo",$B:$B,"&lt;&gt;Lucas Luiz Romero")*(28/1083),IF(C1925="Técnico I",SUMIFS($D:$D,$A:$A,$A1925,$B:$B,"&lt;&gt;Patrícia Karla de Sousa Araújo",$B:$B,"&lt;&gt;Lorena Dias de Araujo",$B:$B,"&lt;&gt;Lucas Luiz Romero")*(23/1083),IF(C1925="JR",SUMIFS($D:$D,$A:$A,$A1925,$B:$B,"&lt;&gt;Patrícia Karla de Sousa Araújo",$B:$B,"&lt;&gt;Lorena Dias de Araujo",$B:$B,"&lt;&gt;Lucas Luiz Romero")*(20/1083),IF(C1925="Estágio",SUMIFS($D:$D,$A:$A,$A1925,$B:$B,"&lt;&gt;Patrícia Karla de Sousa Araújo",$B:$B,"&lt;&gt;Lorena Dias de Araujo",$B:$B,"&lt;&gt;Lucas Luiz Romero")*(10/1083),0)))))),0)</f>
        <v/>
      </c>
      <c r="K1925" s="3">
        <f>I1925-J1925</f>
        <v/>
      </c>
      <c r="L1925" s="3">
        <f>IF(K1925&lt;-5,"CRÍTICO",IF(K1925&lt;0,"ATENÇÃO",IF(K1925&lt;=5,"BOM","EXCELENTE")))</f>
        <v/>
      </c>
      <c r="M1925" t="n">
        <v>0</v>
      </c>
      <c r="N1925" t="n">
        <v>100</v>
      </c>
      <c r="O1925" t="n">
        <v>36.56716417910448</v>
      </c>
    </row>
    <row r="1926" hidden="1">
      <c r="A1926" s="11" t="n">
        <v>46062</v>
      </c>
      <c r="B1926" t="inlineStr">
        <is>
          <t>Claudio de Sousa Velasco Filho</t>
        </is>
      </c>
      <c r="C1926" t="inlineStr">
        <is>
          <t>Estágio</t>
        </is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s="3" t="n">
        <v>0</v>
      </c>
      <c r="J1926" s="3" t="n">
        <v>0</v>
      </c>
      <c r="K1926" s="3" t="n">
        <v>0</v>
      </c>
      <c r="L1926" s="3">
        <f>IF(K1926&lt;-5,"CRÍTICO",IF(K1926&lt;0,"ATENÇÃO",IF(K1926&lt;=5,"BOM","EXCELENTE")))</f>
        <v/>
      </c>
      <c r="M1926" t="n">
        <v>0</v>
      </c>
      <c r="N1926" t="n">
        <v>0</v>
      </c>
      <c r="O1926" t="n">
        <v>0</v>
      </c>
    </row>
    <row r="1927" hidden="1">
      <c r="A1927" s="11" t="n">
        <v>46062</v>
      </c>
      <c r="B1927" t="inlineStr">
        <is>
          <t>Clessiane Pereira dos Santos</t>
        </is>
      </c>
      <c r="C1927" t="inlineStr">
        <is>
          <t>Técnico I</t>
        </is>
      </c>
      <c r="D1927" t="n">
        <v>19</v>
      </c>
      <c r="E1927" t="n">
        <v>17</v>
      </c>
      <c r="F1927" t="n">
        <v>25.31</v>
      </c>
      <c r="G1927" t="n">
        <v>0</v>
      </c>
      <c r="H1927" t="n">
        <v>0</v>
      </c>
      <c r="I1927" s="3">
        <f>E1927+G1927+H1927</f>
        <v/>
      </c>
      <c r="J1927" s="3">
        <f>ROUND(MIN(IF(C1927="Técnico III",35,IF(C1927="Técnico II",28,IF(C1927="Técnico I",23,IF(C1927="JR",20,IF(C1927="Estágio",10,0))))),IF(C1927="Técnico III",SUMIFS($D:$D,$A:$A,$A1927,$B:$B,"&lt;&gt;Patrícia Karla de Sousa Araújo",$B:$B,"&lt;&gt;Lorena Dias de Araujo",$B:$B,"&lt;&gt;Lucas Luiz Romero")*(35/1083),IF(C1927="Técnico II",SUMIFS($D:$D,$A:$A,$A1927,$B:$B,"&lt;&gt;Patrícia Karla de Sousa Araújo",$B:$B,"&lt;&gt;Lorena Dias de Araujo",$B:$B,"&lt;&gt;Lucas Luiz Romero")*(28/1083),IF(C1927="Técnico I",SUMIFS($D:$D,$A:$A,$A1927,$B:$B,"&lt;&gt;Patrícia Karla de Sousa Araújo",$B:$B,"&lt;&gt;Lorena Dias de Araujo",$B:$B,"&lt;&gt;Lucas Luiz Romero")*(23/1083),IF(C1927="JR",SUMIFS($D:$D,$A:$A,$A1927,$B:$B,"&lt;&gt;Patrícia Karla de Sousa Araújo",$B:$B,"&lt;&gt;Lorena Dias de Araujo",$B:$B,"&lt;&gt;Lucas Luiz Romero")*(20/1083),IF(C1927="Estágio",SUMIFS($D:$D,$A:$A,$A1927,$B:$B,"&lt;&gt;Patrícia Karla de Sousa Araújo",$B:$B,"&lt;&gt;Lorena Dias de Araujo",$B:$B,"&lt;&gt;Lucas Luiz Romero")*(10/1083),0)))))),0)</f>
        <v/>
      </c>
      <c r="K1927" s="3">
        <f>I1927-J1927</f>
        <v/>
      </c>
      <c r="L1927" s="3">
        <f>IF(K1927&lt;-5,"CRÍTICO",IF(K1927&lt;0,"ATENÇÃO",IF(K1927&lt;=5,"BOM","EXCELENTE")))</f>
        <v/>
      </c>
      <c r="M1927" t="n">
        <v>0</v>
      </c>
      <c r="N1927" t="n">
        <v>100</v>
      </c>
      <c r="O1927" t="n">
        <v>21.48760330578513</v>
      </c>
    </row>
    <row r="1928" hidden="1">
      <c r="A1928" s="11" t="n">
        <v>46062</v>
      </c>
      <c r="B1928" t="inlineStr">
        <is>
          <t>Cristiane Ramos da Silva Rocha</t>
        </is>
      </c>
      <c r="C1928" t="inlineStr">
        <is>
          <t>Técnico III</t>
        </is>
      </c>
      <c r="D1928" t="n">
        <v>41</v>
      </c>
      <c r="E1928" t="n">
        <v>37</v>
      </c>
      <c r="F1928" t="n">
        <v>12.18</v>
      </c>
      <c r="G1928" t="n">
        <v>0</v>
      </c>
      <c r="H1928" t="n">
        <v>0</v>
      </c>
      <c r="I1928" s="3">
        <f>E1928+G1928+H1928</f>
        <v/>
      </c>
      <c r="J1928" s="3">
        <f>ROUND(MIN(IF(C1928="Técnico III",35,IF(C1928="Técnico II",28,IF(C1928="Técnico I",23,IF(C1928="JR",20,IF(C1928="Estágio",10,0))))),IF(C1928="Técnico III",SUMIFS($D:$D,$A:$A,$A1928,$B:$B,"&lt;&gt;Patrícia Karla de Sousa Araújo",$B:$B,"&lt;&gt;Lorena Dias de Araujo",$B:$B,"&lt;&gt;Lucas Luiz Romero")*(35/1083),IF(C1928="Técnico II",SUMIFS($D:$D,$A:$A,$A1928,$B:$B,"&lt;&gt;Patrícia Karla de Sousa Araújo",$B:$B,"&lt;&gt;Lorena Dias de Araujo",$B:$B,"&lt;&gt;Lucas Luiz Romero")*(28/1083),IF(C1928="Técnico I",SUMIFS($D:$D,$A:$A,$A1928,$B:$B,"&lt;&gt;Patrícia Karla de Sousa Araújo",$B:$B,"&lt;&gt;Lorena Dias de Araujo",$B:$B,"&lt;&gt;Lucas Luiz Romero")*(23/1083),IF(C1928="JR",SUMIFS($D:$D,$A:$A,$A1928,$B:$B,"&lt;&gt;Patrícia Karla de Sousa Araújo",$B:$B,"&lt;&gt;Lorena Dias de Araujo",$B:$B,"&lt;&gt;Lucas Luiz Romero")*(20/1083),IF(C1928="Estágio",SUMIFS($D:$D,$A:$A,$A1928,$B:$B,"&lt;&gt;Patrícia Karla de Sousa Araújo",$B:$B,"&lt;&gt;Lorena Dias de Araujo",$B:$B,"&lt;&gt;Lucas Luiz Romero")*(10/1083),0)))))),0)</f>
        <v/>
      </c>
      <c r="K1928" s="3">
        <f>I1928-J1928</f>
        <v/>
      </c>
      <c r="L1928" s="3">
        <f>IF(K1928&lt;-5,"CRÍTICO",IF(K1928&lt;0,"ATENÇÃO",IF(K1928&lt;=5,"BOM","EXCELENTE")))</f>
        <v/>
      </c>
      <c r="M1928" t="n">
        <v>0</v>
      </c>
      <c r="N1928" t="n">
        <v>94.23</v>
      </c>
      <c r="O1928" t="n">
        <v>31.73076923076923</v>
      </c>
    </row>
    <row r="1929" hidden="1">
      <c r="A1929" s="11" t="n">
        <v>46062</v>
      </c>
      <c r="B1929" t="inlineStr">
        <is>
          <t>Damyllis Lorraine de Oliveira Gonçalves</t>
        </is>
      </c>
      <c r="C1929" t="inlineStr">
        <is>
          <t>Técnico II</t>
        </is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s="3" t="n">
        <v>0</v>
      </c>
      <c r="J1929" s="3" t="n">
        <v>0</v>
      </c>
      <c r="K1929" s="3" t="n">
        <v>0</v>
      </c>
      <c r="L1929" s="3">
        <f>IF(K1929&lt;-5,"CRÍTICO",IF(K1929&lt;0,"ATENÇÃO",IF(K1929&lt;=5,"BOM","EXCELENTE")))</f>
        <v/>
      </c>
      <c r="M1929" t="n">
        <v>0</v>
      </c>
      <c r="N1929" t="n">
        <v>100</v>
      </c>
      <c r="O1929" t="n">
        <v>27.10843373493976</v>
      </c>
    </row>
    <row r="1930" hidden="1">
      <c r="A1930" s="11" t="n">
        <v>46062</v>
      </c>
      <c r="B1930" t="inlineStr">
        <is>
          <t>Daniel Gomes da Silva</t>
        </is>
      </c>
      <c r="C1930" t="inlineStr">
        <is>
          <t>Técnico I</t>
        </is>
      </c>
      <c r="D1930" t="n">
        <v>18</v>
      </c>
      <c r="E1930" t="n">
        <v>18</v>
      </c>
      <c r="F1930" t="n">
        <v>33.48</v>
      </c>
      <c r="G1930" t="n">
        <v>0</v>
      </c>
      <c r="H1930" t="n">
        <v>0</v>
      </c>
      <c r="I1930" s="3">
        <f>E1930+G1930+H1930</f>
        <v/>
      </c>
      <c r="J1930" s="3">
        <f>ROUND(MIN(IF(C1930="Técnico III",35,IF(C1930="Técnico II",28,IF(C1930="Técnico I",23,IF(C1930="JR",20,IF(C1930="Estágio",10,0))))),IF(C1930="Técnico III",SUMIFS($D:$D,$A:$A,$A1930,$B:$B,"&lt;&gt;Patrícia Karla de Sousa Araújo",$B:$B,"&lt;&gt;Lorena Dias de Araujo",$B:$B,"&lt;&gt;Lucas Luiz Romero")*(35/1083),IF(C1930="Técnico II",SUMIFS($D:$D,$A:$A,$A1930,$B:$B,"&lt;&gt;Patrícia Karla de Sousa Araújo",$B:$B,"&lt;&gt;Lorena Dias de Araujo",$B:$B,"&lt;&gt;Lucas Luiz Romero")*(28/1083),IF(C1930="Técnico I",SUMIFS($D:$D,$A:$A,$A1930,$B:$B,"&lt;&gt;Patrícia Karla de Sousa Araújo",$B:$B,"&lt;&gt;Lorena Dias de Araujo",$B:$B,"&lt;&gt;Lucas Luiz Romero")*(23/1083),IF(C1930="JR",SUMIFS($D:$D,$A:$A,$A1930,$B:$B,"&lt;&gt;Patrícia Karla de Sousa Araújo",$B:$B,"&lt;&gt;Lorena Dias de Araujo",$B:$B,"&lt;&gt;Lucas Luiz Romero")*(20/1083),IF(C1930="Estágio",SUMIFS($D:$D,$A:$A,$A1930,$B:$B,"&lt;&gt;Patrícia Karla de Sousa Araújo",$B:$B,"&lt;&gt;Lorena Dias de Araujo",$B:$B,"&lt;&gt;Lucas Luiz Romero")*(10/1083),0)))))),0)</f>
        <v/>
      </c>
      <c r="K1930" s="3">
        <f>I1930-J1930</f>
        <v/>
      </c>
      <c r="L1930" s="3">
        <f>IF(K1930&lt;-5,"CRÍTICO",IF(K1930&lt;0,"ATENÇÃO",IF(K1930&lt;=5,"BOM","EXCELENTE")))</f>
        <v/>
      </c>
      <c r="M1930" t="n">
        <v>0</v>
      </c>
      <c r="N1930" t="n">
        <v>100</v>
      </c>
      <c r="O1930" t="n">
        <v>23.02631578947368</v>
      </c>
    </row>
    <row r="1931" hidden="1">
      <c r="A1931" s="11" t="n">
        <v>46062</v>
      </c>
      <c r="B1931" t="inlineStr">
        <is>
          <t>Davylla Rodrigues Freitas Silva</t>
        </is>
      </c>
      <c r="C1931" t="inlineStr">
        <is>
          <t>Técnico III</t>
        </is>
      </c>
      <c r="D1931" t="n">
        <v>26</v>
      </c>
      <c r="E1931" t="n">
        <v>25</v>
      </c>
      <c r="F1931" t="n">
        <v>28.5</v>
      </c>
      <c r="G1931" t="n">
        <v>0</v>
      </c>
      <c r="H1931" t="n">
        <v>0</v>
      </c>
      <c r="I1931" s="3" t="n">
        <v>0</v>
      </c>
      <c r="J1931" s="3" t="n">
        <v>0</v>
      </c>
      <c r="K1931" s="3" t="n">
        <v>0</v>
      </c>
      <c r="L1931" s="3">
        <f>IF(K1931&lt;-5,"CRÍTICO",IF(K1931&lt;0,"ATENÇÃO",IF(K1931&lt;=5,"BOM","EXCELENTE")))</f>
        <v/>
      </c>
      <c r="M1931" t="n">
        <v>0</v>
      </c>
      <c r="N1931" t="n">
        <v>100</v>
      </c>
      <c r="O1931" t="n">
        <v>34.69387755102041</v>
      </c>
    </row>
    <row r="1932" hidden="1">
      <c r="A1932" s="11" t="n">
        <v>46062</v>
      </c>
      <c r="B1932" t="inlineStr">
        <is>
          <t>Emilly Caylane Costa</t>
        </is>
      </c>
      <c r="C1932" t="inlineStr">
        <is>
          <t>Estágio</t>
        </is>
      </c>
      <c r="D1932" t="n">
        <v>14</v>
      </c>
      <c r="E1932" t="n">
        <v>13</v>
      </c>
      <c r="F1932" t="n">
        <v>28.59</v>
      </c>
      <c r="G1932" t="n">
        <v>0</v>
      </c>
      <c r="H1932" t="n">
        <v>0</v>
      </c>
      <c r="I1932" s="3">
        <f>E1932+G1932+H1932</f>
        <v/>
      </c>
      <c r="J1932" s="3">
        <f>ROUND(MIN(IF(C1932="Técnico III",35,IF(C1932="Técnico II",28,IF(C1932="Técnico I",23,IF(C1932="JR",20,IF(C1932="Estágio",10,0))))),IF(C1932="Técnico III",SUMIFS($D:$D,$A:$A,$A1932,$B:$B,"&lt;&gt;Patrícia Karla de Sousa Araújo",$B:$B,"&lt;&gt;Lorena Dias de Araujo",$B:$B,"&lt;&gt;Lucas Luiz Romero")*(35/1083),IF(C1932="Técnico II",SUMIFS($D:$D,$A:$A,$A1932,$B:$B,"&lt;&gt;Patrícia Karla de Sousa Araújo",$B:$B,"&lt;&gt;Lorena Dias de Araujo",$B:$B,"&lt;&gt;Lucas Luiz Romero")*(28/1083),IF(C1932="Técnico I",SUMIFS($D:$D,$A:$A,$A1932,$B:$B,"&lt;&gt;Patrícia Karla de Sousa Araújo",$B:$B,"&lt;&gt;Lorena Dias de Araujo",$B:$B,"&lt;&gt;Lucas Luiz Romero")*(23/1083),IF(C1932="JR",SUMIFS($D:$D,$A:$A,$A1932,$B:$B,"&lt;&gt;Patrícia Karla de Sousa Araújo",$B:$B,"&lt;&gt;Lorena Dias de Araujo",$B:$B,"&lt;&gt;Lucas Luiz Romero")*(20/1083),IF(C1932="Estágio",SUMIFS($D:$D,$A:$A,$A1932,$B:$B,"&lt;&gt;Patrícia Karla de Sousa Araújo",$B:$B,"&lt;&gt;Lorena Dias de Araujo",$B:$B,"&lt;&gt;Lucas Luiz Romero")*(10/1083),0)))))),0)</f>
        <v/>
      </c>
      <c r="K1932" s="3">
        <f>I1932-J1932</f>
        <v/>
      </c>
      <c r="L1932" s="3">
        <f>IF(K1932&lt;-5,"CRÍTICO",IF(K1932&lt;0,"ATENÇÃO",IF(K1932&lt;=5,"BOM","EXCELENTE")))</f>
        <v/>
      </c>
      <c r="M1932" t="n">
        <v>0</v>
      </c>
      <c r="N1932" t="n">
        <v>100</v>
      </c>
      <c r="O1932" t="n">
        <v>47.05882352941176</v>
      </c>
    </row>
    <row r="1933" hidden="1">
      <c r="A1933" s="11" t="n">
        <v>46062</v>
      </c>
      <c r="B1933" t="inlineStr">
        <is>
          <t>Emilly Kamilly Medeiros Miranda</t>
        </is>
      </c>
      <c r="C1933" t="inlineStr">
        <is>
          <t>Técnico II</t>
        </is>
      </c>
      <c r="D1933" t="n">
        <v>35</v>
      </c>
      <c r="E1933" t="n">
        <v>33</v>
      </c>
      <c r="F1933" t="n">
        <v>22.21</v>
      </c>
      <c r="G1933" t="n">
        <v>0</v>
      </c>
      <c r="H1933" t="n">
        <v>0</v>
      </c>
      <c r="I1933" s="3">
        <f>E1933+G1933+H1933</f>
        <v/>
      </c>
      <c r="J1933" s="3">
        <f>ROUND(MIN(IF(C1933="Técnico III",35,IF(C1933="Técnico II",28,IF(C1933="Técnico I",23,IF(C1933="JR",20,IF(C1933="Estágio",10,0))))),IF(C1933="Técnico III",SUMIFS($D:$D,$A:$A,$A1933,$B:$B,"&lt;&gt;Patrícia Karla de Sousa Araújo",$B:$B,"&lt;&gt;Lorena Dias de Araujo",$B:$B,"&lt;&gt;Lucas Luiz Romero")*(35/1083),IF(C1933="Técnico II",SUMIFS($D:$D,$A:$A,$A1933,$B:$B,"&lt;&gt;Patrícia Karla de Sousa Araújo",$B:$B,"&lt;&gt;Lorena Dias de Araujo",$B:$B,"&lt;&gt;Lucas Luiz Romero")*(28/1083),IF(C1933="Técnico I",SUMIFS($D:$D,$A:$A,$A1933,$B:$B,"&lt;&gt;Patrícia Karla de Sousa Araújo",$B:$B,"&lt;&gt;Lorena Dias de Araujo",$B:$B,"&lt;&gt;Lucas Luiz Romero")*(23/1083),IF(C1933="JR",SUMIFS($D:$D,$A:$A,$A1933,$B:$B,"&lt;&gt;Patrícia Karla de Sousa Araújo",$B:$B,"&lt;&gt;Lorena Dias de Araujo",$B:$B,"&lt;&gt;Lucas Luiz Romero")*(20/1083),IF(C1933="Estágio",SUMIFS($D:$D,$A:$A,$A1933,$B:$B,"&lt;&gt;Patrícia Karla de Sousa Araújo",$B:$B,"&lt;&gt;Lorena Dias de Araujo",$B:$B,"&lt;&gt;Lucas Luiz Romero")*(10/1083),0)))))),0)</f>
        <v/>
      </c>
      <c r="K1933" s="3">
        <f>I1933-J1933</f>
        <v/>
      </c>
      <c r="L1933" s="3">
        <f>IF(K1933&lt;-5,"CRÍTICO",IF(K1933&lt;0,"ATENÇÃO",IF(K1933&lt;=5,"BOM","EXCELENTE")))</f>
        <v/>
      </c>
      <c r="M1933" t="n">
        <v>0</v>
      </c>
      <c r="N1933" t="n">
        <v>100</v>
      </c>
      <c r="O1933" t="n">
        <v>28.75</v>
      </c>
    </row>
    <row r="1934" hidden="1">
      <c r="A1934" s="11" t="n">
        <v>46062</v>
      </c>
      <c r="B1934" t="inlineStr">
        <is>
          <t>Francielson de Oliveira</t>
        </is>
      </c>
      <c r="C1934" t="inlineStr">
        <is>
          <t>Técnico III</t>
        </is>
      </c>
      <c r="D1934" t="n">
        <v>29</v>
      </c>
      <c r="E1934" t="n">
        <v>27</v>
      </c>
      <c r="F1934" t="n">
        <v>19.01</v>
      </c>
      <c r="G1934" t="n">
        <v>0</v>
      </c>
      <c r="H1934" t="n">
        <v>0</v>
      </c>
      <c r="I1934" s="3">
        <f>E1934+G1934+H1934</f>
        <v/>
      </c>
      <c r="J1934" s="3">
        <f>ROUND(MIN(IF(C1934="Técnico III",35,IF(C1934="Técnico II",28,IF(C1934="Técnico I",23,IF(C1934="JR",20,IF(C1934="Estágio",10,0))))),IF(C1934="Técnico III",SUMIFS($D:$D,$A:$A,$A1934,$B:$B,"&lt;&gt;Patrícia Karla de Sousa Araújo",$B:$B,"&lt;&gt;Lorena Dias de Araujo",$B:$B,"&lt;&gt;Lucas Luiz Romero")*(35/1083),IF(C1934="Técnico II",SUMIFS($D:$D,$A:$A,$A1934,$B:$B,"&lt;&gt;Patrícia Karla de Sousa Araújo",$B:$B,"&lt;&gt;Lorena Dias de Araujo",$B:$B,"&lt;&gt;Lucas Luiz Romero")*(28/1083),IF(C1934="Técnico I",SUMIFS($D:$D,$A:$A,$A1934,$B:$B,"&lt;&gt;Patrícia Karla de Sousa Araújo",$B:$B,"&lt;&gt;Lorena Dias de Araujo",$B:$B,"&lt;&gt;Lucas Luiz Romero")*(23/1083),IF(C1934="JR",SUMIFS($D:$D,$A:$A,$A1934,$B:$B,"&lt;&gt;Patrícia Karla de Sousa Araújo",$B:$B,"&lt;&gt;Lorena Dias de Araujo",$B:$B,"&lt;&gt;Lucas Luiz Romero")*(20/1083),IF(C1934="Estágio",SUMIFS($D:$D,$A:$A,$A1934,$B:$B,"&lt;&gt;Patrícia Karla de Sousa Araújo",$B:$B,"&lt;&gt;Lorena Dias de Araujo",$B:$B,"&lt;&gt;Lucas Luiz Romero")*(10/1083),0)))))),0)</f>
        <v/>
      </c>
      <c r="K1934" s="3">
        <f>I1934-J1934</f>
        <v/>
      </c>
      <c r="L1934" s="3">
        <f>IF(K1934&lt;-5,"CRÍTICO",IF(K1934&lt;0,"ATENÇÃO",IF(K1934&lt;=5,"BOM","EXCELENTE")))</f>
        <v/>
      </c>
      <c r="M1934" t="n">
        <v>0</v>
      </c>
      <c r="N1934" t="n">
        <v>97.06</v>
      </c>
      <c r="O1934" t="n">
        <v>31.03448275862069</v>
      </c>
    </row>
    <row r="1935" hidden="1">
      <c r="A1935" s="11" t="n">
        <v>46062</v>
      </c>
      <c r="B1935" t="inlineStr">
        <is>
          <t>Francilene Ferreira de Jesus</t>
        </is>
      </c>
      <c r="C1935" t="inlineStr">
        <is>
          <t>Técnico II</t>
        </is>
      </c>
      <c r="D1935" t="n">
        <v>53</v>
      </c>
      <c r="E1935" t="n">
        <v>46</v>
      </c>
      <c r="F1935" t="n">
        <v>12.33</v>
      </c>
      <c r="G1935" t="n">
        <v>0</v>
      </c>
      <c r="H1935" t="n">
        <v>0</v>
      </c>
      <c r="I1935" s="3">
        <f>E1935+G1935+H1935</f>
        <v/>
      </c>
      <c r="J1935" s="3">
        <f>ROUND(MIN(IF(C1935="Técnico III",35,IF(C1935="Técnico II",28,IF(C1935="Técnico I",23,IF(C1935="JR",20,IF(C1935="Estágio",10,0))))),IF(C1935="Técnico III",SUMIFS($D:$D,$A:$A,$A1935,$B:$B,"&lt;&gt;Patrícia Karla de Sousa Araújo",$B:$B,"&lt;&gt;Lorena Dias de Araujo",$B:$B,"&lt;&gt;Lucas Luiz Romero")*(35/1083),IF(C1935="Técnico II",SUMIFS($D:$D,$A:$A,$A1935,$B:$B,"&lt;&gt;Patrícia Karla de Sousa Araújo",$B:$B,"&lt;&gt;Lorena Dias de Araujo",$B:$B,"&lt;&gt;Lucas Luiz Romero")*(28/1083),IF(C1935="Técnico I",SUMIFS($D:$D,$A:$A,$A1935,$B:$B,"&lt;&gt;Patrícia Karla de Sousa Araújo",$B:$B,"&lt;&gt;Lorena Dias de Araujo",$B:$B,"&lt;&gt;Lucas Luiz Romero")*(23/1083),IF(C1935="JR",SUMIFS($D:$D,$A:$A,$A1935,$B:$B,"&lt;&gt;Patrícia Karla de Sousa Araújo",$B:$B,"&lt;&gt;Lorena Dias de Araujo",$B:$B,"&lt;&gt;Lucas Luiz Romero")*(20/1083),IF(C1935="Estágio",SUMIFS($D:$D,$A:$A,$A1935,$B:$B,"&lt;&gt;Patrícia Karla de Sousa Araújo",$B:$B,"&lt;&gt;Lorena Dias de Araujo",$B:$B,"&lt;&gt;Lucas Luiz Romero")*(10/1083),0)))))),0)</f>
        <v/>
      </c>
      <c r="K1935" s="3">
        <f>I1935-J1935</f>
        <v/>
      </c>
      <c r="L1935" s="3">
        <f>IF(K1935&lt;-5,"CRÍTICO",IF(K1935&lt;0,"ATENÇÃO",IF(K1935&lt;=5,"BOM","EXCELENTE")))</f>
        <v/>
      </c>
      <c r="M1935" t="n">
        <v>0</v>
      </c>
      <c r="N1935" t="n">
        <v>97.62</v>
      </c>
      <c r="O1935" t="n">
        <v>22.94372294372294</v>
      </c>
    </row>
    <row r="1936" hidden="1">
      <c r="A1936" s="11" t="n">
        <v>46094</v>
      </c>
      <c r="B1936" t="inlineStr">
        <is>
          <t>Gabriel Gomes de Andrade</t>
        </is>
      </c>
      <c r="C1936" t="inlineStr">
        <is>
          <t>Técnico I</t>
        </is>
      </c>
      <c r="D1936" t="n">
        <v>9</v>
      </c>
      <c r="E1936" t="n">
        <v>9</v>
      </c>
      <c r="F1936" t="n">
        <v>28.58</v>
      </c>
      <c r="G1936" t="n">
        <v>0</v>
      </c>
      <c r="H1936" t="n">
        <v>0</v>
      </c>
      <c r="I1936" s="3">
        <f>E1936+G1936+H1936</f>
        <v/>
      </c>
      <c r="J1936" s="3">
        <f>ROUND(MIN(IF(C1936="Técnico III",35,IF(C1936="Técnico II",28,IF(C1936="Técnico I",23,IF(C1936="JR",20,IF(C1936="Estágio",10,0))))),IF(C1936="Técnico III",SUMIFS($D:$D,$A:$A,$A1936,$B:$B,"&lt;&gt;Patrícia Karla de Sousa Araújo",$B:$B,"&lt;&gt;Lorena Dias de Araujo",$B:$B,"&lt;&gt;Lucas Luiz Romero")*(35/1083),IF(C1936="Técnico II",SUMIFS($D:$D,$A:$A,$A1936,$B:$B,"&lt;&gt;Patrícia Karla de Sousa Araújo",$B:$B,"&lt;&gt;Lorena Dias de Araujo",$B:$B,"&lt;&gt;Lucas Luiz Romero")*(28/1083),IF(C1936="Técnico I",SUMIFS($D:$D,$A:$A,$A1936,$B:$B,"&lt;&gt;Patrícia Karla de Sousa Araújo",$B:$B,"&lt;&gt;Lorena Dias de Araujo",$B:$B,"&lt;&gt;Lucas Luiz Romero")*(23/1083),IF(C1936="JR",SUMIFS($D:$D,$A:$A,$A1936,$B:$B,"&lt;&gt;Patrícia Karla de Sousa Araújo",$B:$B,"&lt;&gt;Lorena Dias de Araujo",$B:$B,"&lt;&gt;Lucas Luiz Romero")*(20/1083),IF(C1936="Estágio",SUMIFS($D:$D,$A:$A,$A1936,$B:$B,"&lt;&gt;Patrícia Karla de Sousa Araújo",$B:$B,"&lt;&gt;Lorena Dias de Araujo",$B:$B,"&lt;&gt;Lucas Luiz Romero")*(10/1083),0)))))),0)</f>
        <v/>
      </c>
      <c r="K1936" s="3">
        <f>I1936-J1936</f>
        <v/>
      </c>
      <c r="L1936" s="3">
        <f>IF(K1936&lt;-5,"CRÍTICO",IF(K1936&lt;0,"ATENÇÃO",IF(K1936&lt;=5,"BOM","EXCELENTE")))</f>
        <v/>
      </c>
      <c r="N1936" t="n">
        <v>99.05</v>
      </c>
      <c r="O1936" t="n">
        <v>26.62192393736018</v>
      </c>
    </row>
    <row r="1937" hidden="1">
      <c r="A1937" s="11" t="n">
        <v>46062</v>
      </c>
      <c r="B1937" t="inlineStr">
        <is>
          <t>Isabella Borges de Oliveira</t>
        </is>
      </c>
      <c r="C1937" t="inlineStr">
        <is>
          <t>Técnico II</t>
        </is>
      </c>
      <c r="D1937" t="n">
        <v>20</v>
      </c>
      <c r="E1937" t="n">
        <v>19</v>
      </c>
      <c r="F1937" t="n">
        <v>19.01</v>
      </c>
      <c r="G1937" t="n">
        <v>0</v>
      </c>
      <c r="H1937" t="n">
        <v>0</v>
      </c>
      <c r="I1937" s="3">
        <f>E1937+G1937+H1937</f>
        <v/>
      </c>
      <c r="J1937" s="3">
        <f>ROUND(MIN(IF(C1937="Técnico III",35,IF(C1937="Técnico II",28,IF(C1937="Técnico I",23,IF(C1937="JR",20,IF(C1937="Estágio",10,0))))),IF(C1937="Técnico III",SUMIFS($D:$D,$A:$A,$A1937,$B:$B,"&lt;&gt;Patrícia Karla de Sousa Araújo",$B:$B,"&lt;&gt;Lorena Dias de Araujo",$B:$B,"&lt;&gt;Lucas Luiz Romero")*(35/1083),IF(C1937="Técnico II",SUMIFS($D:$D,$A:$A,$A1937,$B:$B,"&lt;&gt;Patrícia Karla de Sousa Araújo",$B:$B,"&lt;&gt;Lorena Dias de Araujo",$B:$B,"&lt;&gt;Lucas Luiz Romero")*(28/1083),IF(C1937="Técnico I",SUMIFS($D:$D,$A:$A,$A1937,$B:$B,"&lt;&gt;Patrícia Karla de Sousa Araújo",$B:$B,"&lt;&gt;Lorena Dias de Araujo",$B:$B,"&lt;&gt;Lucas Luiz Romero")*(23/1083),IF(C1937="JR",SUMIFS($D:$D,$A:$A,$A1937,$B:$B,"&lt;&gt;Patrícia Karla de Sousa Araújo",$B:$B,"&lt;&gt;Lorena Dias de Araujo",$B:$B,"&lt;&gt;Lucas Luiz Romero")*(20/1083),IF(C1937="Estágio",SUMIFS($D:$D,$A:$A,$A1937,$B:$B,"&lt;&gt;Patrícia Karla de Sousa Araújo",$B:$B,"&lt;&gt;Lorena Dias de Araujo",$B:$B,"&lt;&gt;Lucas Luiz Romero")*(10/1083),0)))))),0)</f>
        <v/>
      </c>
      <c r="K1937" s="3">
        <f>I1937-J1937</f>
        <v/>
      </c>
      <c r="L1937" s="3">
        <f>IF(K1937&lt;-5,"CRÍTICO",IF(K1937&lt;0,"ATENÇÃO",IF(K1937&lt;=5,"BOM","EXCELENTE")))</f>
        <v/>
      </c>
      <c r="M1937" t="n">
        <v>0</v>
      </c>
      <c r="N1937" t="n">
        <v>100</v>
      </c>
      <c r="O1937" t="n">
        <v>34.96932515337423</v>
      </c>
    </row>
    <row r="1938" hidden="1">
      <c r="A1938" s="11" t="n">
        <v>46062</v>
      </c>
      <c r="B1938" t="inlineStr">
        <is>
          <t>Janaina Lima dos Reis Urany</t>
        </is>
      </c>
      <c r="C1938" t="inlineStr">
        <is>
          <t>Técnico III</t>
        </is>
      </c>
      <c r="D1938" t="n">
        <v>43</v>
      </c>
      <c r="E1938" t="n">
        <v>40</v>
      </c>
      <c r="F1938" t="n">
        <v>14.17</v>
      </c>
      <c r="G1938" t="n">
        <v>0</v>
      </c>
      <c r="H1938" t="n">
        <v>0</v>
      </c>
      <c r="I1938" s="3">
        <f>E1938+G1938+H1938</f>
        <v/>
      </c>
      <c r="J1938" s="3">
        <f>ROUND(MIN(IF(C1938="Técnico III",35,IF(C1938="Técnico II",28,IF(C1938="Técnico I",23,IF(C1938="JR",20,IF(C1938="Estágio",10,0))))),IF(C1938="Técnico III",SUMIFS($D:$D,$A:$A,$A1938,$B:$B,"&lt;&gt;Patrícia Karla de Sousa Araújo",$B:$B,"&lt;&gt;Lorena Dias de Araujo",$B:$B,"&lt;&gt;Lucas Luiz Romero")*(35/1083),IF(C1938="Técnico II",SUMIFS($D:$D,$A:$A,$A1938,$B:$B,"&lt;&gt;Patrícia Karla de Sousa Araújo",$B:$B,"&lt;&gt;Lorena Dias de Araujo",$B:$B,"&lt;&gt;Lucas Luiz Romero")*(28/1083),IF(C1938="Técnico I",SUMIFS($D:$D,$A:$A,$A1938,$B:$B,"&lt;&gt;Patrícia Karla de Sousa Araújo",$B:$B,"&lt;&gt;Lorena Dias de Araujo",$B:$B,"&lt;&gt;Lucas Luiz Romero")*(23/1083),IF(C1938="JR",SUMIFS($D:$D,$A:$A,$A1938,$B:$B,"&lt;&gt;Patrícia Karla de Sousa Araújo",$B:$B,"&lt;&gt;Lorena Dias de Araujo",$B:$B,"&lt;&gt;Lucas Luiz Romero")*(20/1083),IF(C1938="Estágio",SUMIFS($D:$D,$A:$A,$A1938,$B:$B,"&lt;&gt;Patrícia Karla de Sousa Araújo",$B:$B,"&lt;&gt;Lorena Dias de Araujo",$B:$B,"&lt;&gt;Lucas Luiz Romero")*(10/1083),0)))))),0)</f>
        <v/>
      </c>
      <c r="K1938" s="3">
        <f>I1938-J1938</f>
        <v/>
      </c>
      <c r="L1938" s="3">
        <f>IF(K1938&lt;-5,"CRÍTICO",IF(K1938&lt;0,"ATENÇÃO",IF(K1938&lt;=5,"BOM","EXCELENTE")))</f>
        <v/>
      </c>
      <c r="M1938" t="n">
        <v>0</v>
      </c>
      <c r="N1938" t="n">
        <v>100</v>
      </c>
      <c r="O1938" t="n">
        <v>25.68493150684932</v>
      </c>
    </row>
    <row r="1939" hidden="1">
      <c r="A1939" s="11" t="n">
        <v>46062</v>
      </c>
      <c r="B1939" t="inlineStr">
        <is>
          <t>Jaqueline Evangelista da Silva Martins</t>
        </is>
      </c>
      <c r="C1939" t="inlineStr">
        <is>
          <t>Técnico III</t>
        </is>
      </c>
      <c r="D1939" t="n">
        <v>22</v>
      </c>
      <c r="E1939" t="n">
        <v>20</v>
      </c>
      <c r="F1939" t="n">
        <v>12.13</v>
      </c>
      <c r="G1939" t="n">
        <v>0</v>
      </c>
      <c r="H1939" t="n">
        <v>0</v>
      </c>
      <c r="I1939" s="3">
        <f>E1939+G1939+H1939</f>
        <v/>
      </c>
      <c r="J1939" s="3">
        <f>ROUND(MIN(IF(C1939="Técnico III",35,IF(C1939="Técnico II",28,IF(C1939="Técnico I",23,IF(C1939="JR",20,IF(C1939="Estágio",10,0))))),IF(C1939="Técnico III",SUMIFS($D:$D,$A:$A,$A1939,$B:$B,"&lt;&gt;Patrícia Karla de Sousa Araújo",$B:$B,"&lt;&gt;Lorena Dias de Araujo",$B:$B,"&lt;&gt;Lucas Luiz Romero")*(35/1083),IF(C1939="Técnico II",SUMIFS($D:$D,$A:$A,$A1939,$B:$B,"&lt;&gt;Patrícia Karla de Sousa Araújo",$B:$B,"&lt;&gt;Lorena Dias de Araujo",$B:$B,"&lt;&gt;Lucas Luiz Romero")*(28/1083),IF(C1939="Técnico I",SUMIFS($D:$D,$A:$A,$A1939,$B:$B,"&lt;&gt;Patrícia Karla de Sousa Araújo",$B:$B,"&lt;&gt;Lorena Dias de Araujo",$B:$B,"&lt;&gt;Lucas Luiz Romero")*(23/1083),IF(C1939="JR",SUMIFS($D:$D,$A:$A,$A1939,$B:$B,"&lt;&gt;Patrícia Karla de Sousa Araújo",$B:$B,"&lt;&gt;Lorena Dias de Araujo",$B:$B,"&lt;&gt;Lucas Luiz Romero")*(20/1083),IF(C1939="Estágio",SUMIFS($D:$D,$A:$A,$A1939,$B:$B,"&lt;&gt;Patrícia Karla de Sousa Araújo",$B:$B,"&lt;&gt;Lorena Dias de Araujo",$B:$B,"&lt;&gt;Lucas Luiz Romero")*(10/1083),0)))))),0)</f>
        <v/>
      </c>
      <c r="K1939" s="3">
        <f>I1939-J1939</f>
        <v/>
      </c>
      <c r="L1939" s="3">
        <f>IF(K1939&lt;-5,"CRÍTICO",IF(K1939&lt;0,"ATENÇÃO",IF(K1939&lt;=5,"BOM","EXCELENTE")))</f>
        <v/>
      </c>
      <c r="M1939" t="n">
        <v>0</v>
      </c>
      <c r="N1939" t="n">
        <v>96.77</v>
      </c>
      <c r="O1939" t="n">
        <v>26.59574468085106</v>
      </c>
    </row>
    <row r="1940" hidden="1">
      <c r="A1940" s="11" t="n">
        <v>46062</v>
      </c>
      <c r="B1940" t="inlineStr">
        <is>
          <t>Jessica Faria da Silveira</t>
        </is>
      </c>
      <c r="C1940" t="inlineStr">
        <is>
          <t>Técnico II</t>
        </is>
      </c>
      <c r="D1940" t="n">
        <v>33</v>
      </c>
      <c r="E1940" t="n">
        <v>22</v>
      </c>
      <c r="F1940" t="n">
        <v>20.44</v>
      </c>
      <c r="G1940" t="n">
        <v>0</v>
      </c>
      <c r="H1940" t="n">
        <v>0</v>
      </c>
      <c r="I1940" s="3">
        <f>E1940+G1940+H1940</f>
        <v/>
      </c>
      <c r="J1940" s="3">
        <f>ROUND(MIN(IF(C1940="Técnico III",35,IF(C1940="Técnico II",28,IF(C1940="Técnico I",23,IF(C1940="JR",20,IF(C1940="Estágio",10,0))))),IF(C1940="Técnico III",SUMIFS($D:$D,$A:$A,$A1940,$B:$B,"&lt;&gt;Patrícia Karla de Sousa Araújo",$B:$B,"&lt;&gt;Lorena Dias de Araujo",$B:$B,"&lt;&gt;Lucas Luiz Romero")*(35/1083),IF(C1940="Técnico II",SUMIFS($D:$D,$A:$A,$A1940,$B:$B,"&lt;&gt;Patrícia Karla de Sousa Araújo",$B:$B,"&lt;&gt;Lorena Dias de Araujo",$B:$B,"&lt;&gt;Lucas Luiz Romero")*(28/1083),IF(C1940="Técnico I",SUMIFS($D:$D,$A:$A,$A1940,$B:$B,"&lt;&gt;Patrícia Karla de Sousa Araújo",$B:$B,"&lt;&gt;Lorena Dias de Araujo",$B:$B,"&lt;&gt;Lucas Luiz Romero")*(23/1083),IF(C1940="JR",SUMIFS($D:$D,$A:$A,$A1940,$B:$B,"&lt;&gt;Patrícia Karla de Sousa Araújo",$B:$B,"&lt;&gt;Lorena Dias de Araujo",$B:$B,"&lt;&gt;Lucas Luiz Romero")*(20/1083),IF(C1940="Estágio",SUMIFS($D:$D,$A:$A,$A1940,$B:$B,"&lt;&gt;Patrícia Karla de Sousa Araújo",$B:$B,"&lt;&gt;Lorena Dias de Araujo",$B:$B,"&lt;&gt;Lucas Luiz Romero")*(10/1083),0)))))),0)</f>
        <v/>
      </c>
      <c r="K1940" s="3">
        <f>I1940-J1940</f>
        <v/>
      </c>
      <c r="L1940" s="3">
        <f>IF(K1940&lt;-5,"CRÍTICO",IF(K1940&lt;0,"ATENÇÃO",IF(K1940&lt;=5,"BOM","EXCELENTE")))</f>
        <v/>
      </c>
      <c r="M1940" t="n">
        <v>0</v>
      </c>
      <c r="N1940" t="n">
        <v>100</v>
      </c>
      <c r="O1940" t="n">
        <v>28.1437125748503</v>
      </c>
    </row>
    <row r="1941" hidden="1">
      <c r="A1941" s="11" t="n">
        <v>46062</v>
      </c>
      <c r="B1941" t="inlineStr">
        <is>
          <t>Jéssica Fé Moura</t>
        </is>
      </c>
      <c r="C1941" t="inlineStr">
        <is>
          <t>Técnico III</t>
        </is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s="3" t="n">
        <v>0</v>
      </c>
      <c r="J1941" s="3" t="n">
        <v>0</v>
      </c>
      <c r="K1941" s="3" t="n">
        <v>0</v>
      </c>
      <c r="L1941" s="3">
        <f>IF(K1941&lt;-5,"CRÍTICO",IF(K1941&lt;0,"ATENÇÃO",IF(K1941&lt;=5,"BOM","EXCELENTE")))</f>
        <v/>
      </c>
      <c r="M1941" t="n">
        <v>0</v>
      </c>
      <c r="N1941" t="n">
        <v>100</v>
      </c>
      <c r="O1941" t="n">
        <v>0</v>
      </c>
    </row>
    <row r="1942" hidden="1">
      <c r="A1942" s="11" t="n">
        <v>46062</v>
      </c>
      <c r="B1942" t="inlineStr">
        <is>
          <t>Karina Gonçalves Martins</t>
        </is>
      </c>
      <c r="C1942" t="inlineStr">
        <is>
          <t>JR</t>
        </is>
      </c>
      <c r="D1942" t="n">
        <v>7</v>
      </c>
      <c r="E1942" t="n">
        <v>6</v>
      </c>
      <c r="F1942" t="n">
        <v>26.45</v>
      </c>
      <c r="G1942" t="n">
        <v>0</v>
      </c>
      <c r="H1942" t="n">
        <v>0</v>
      </c>
      <c r="I1942" s="3">
        <f>E1942+G1942+H1942</f>
        <v/>
      </c>
      <c r="J1942" s="3">
        <f>ROUND(MIN(IF(C1942="Técnico III",35,IF(C1942="Técnico II",28,IF(C1942="Técnico I",23,IF(C1942="JR",20,IF(C1942="Estágio",10,0))))),IF(C1942="Técnico III",SUMIFS($D:$D,$A:$A,$A1942,$B:$B,"&lt;&gt;Patrícia Karla de Sousa Araújo",$B:$B,"&lt;&gt;Lorena Dias de Araujo",$B:$B,"&lt;&gt;Lucas Luiz Romero")*(35/1083),IF(C1942="Técnico II",SUMIFS($D:$D,$A:$A,$A1942,$B:$B,"&lt;&gt;Patrícia Karla de Sousa Araújo",$B:$B,"&lt;&gt;Lorena Dias de Araujo",$B:$B,"&lt;&gt;Lucas Luiz Romero")*(28/1083),IF(C1942="Técnico I",SUMIFS($D:$D,$A:$A,$A1942,$B:$B,"&lt;&gt;Patrícia Karla de Sousa Araújo",$B:$B,"&lt;&gt;Lorena Dias de Araujo",$B:$B,"&lt;&gt;Lucas Luiz Romero")*(23/1083),IF(C1942="JR",SUMIFS($D:$D,$A:$A,$A1942,$B:$B,"&lt;&gt;Patrícia Karla de Sousa Araújo",$B:$B,"&lt;&gt;Lorena Dias de Araujo",$B:$B,"&lt;&gt;Lucas Luiz Romero")*(20/1083),IF(C1942="Estágio",SUMIFS($D:$D,$A:$A,$A1942,$B:$B,"&lt;&gt;Patrícia Karla de Sousa Araújo",$B:$B,"&lt;&gt;Lorena Dias de Araujo",$B:$B,"&lt;&gt;Lucas Luiz Romero")*(10/1083),0)))))),0)</f>
        <v/>
      </c>
      <c r="K1942" s="3">
        <f>I1942-J1942</f>
        <v/>
      </c>
      <c r="L1942" s="3">
        <f>IF(K1942&lt;-5,"CRÍTICO",IF(K1942&lt;0,"ATENÇÃO",IF(K1942&lt;=5,"BOM","EXCELENTE")))</f>
        <v/>
      </c>
      <c r="M1942" t="n">
        <v>0</v>
      </c>
      <c r="N1942" t="n">
        <v>92.86</v>
      </c>
      <c r="O1942" t="n">
        <v>29.76190476190476</v>
      </c>
    </row>
    <row r="1943" hidden="1">
      <c r="A1943" s="11" t="n">
        <v>46062</v>
      </c>
      <c r="B1943" t="inlineStr">
        <is>
          <t>Kerollen Cristielly de Jesus Siqueira</t>
        </is>
      </c>
      <c r="C1943" t="inlineStr">
        <is>
          <t>Técnico III</t>
        </is>
      </c>
      <c r="D1943" t="n">
        <v>78</v>
      </c>
      <c r="E1943" t="n">
        <v>16</v>
      </c>
      <c r="F1943" t="n">
        <v>5.37</v>
      </c>
      <c r="G1943" t="n">
        <v>0</v>
      </c>
      <c r="H1943" t="n">
        <v>0</v>
      </c>
      <c r="I1943" s="3">
        <f>E1943+G1943+H1943</f>
        <v/>
      </c>
      <c r="J1943" s="3">
        <f>ROUND(MIN(IF(C1943="Técnico III",35,IF(C1943="Técnico II",28,IF(C1943="Técnico I",23,IF(C1943="JR",20,IF(C1943="Estágio",10,0))))),IF(C1943="Técnico III",SUMIFS($D:$D,$A:$A,$A1943,$B:$B,"&lt;&gt;Patrícia Karla de Sousa Araújo",$B:$B,"&lt;&gt;Lorena Dias de Araujo",$B:$B,"&lt;&gt;Lucas Luiz Romero")*(35/1083),IF(C1943="Técnico II",SUMIFS($D:$D,$A:$A,$A1943,$B:$B,"&lt;&gt;Patrícia Karla de Sousa Araújo",$B:$B,"&lt;&gt;Lorena Dias de Araujo",$B:$B,"&lt;&gt;Lucas Luiz Romero")*(28/1083),IF(C1943="Técnico I",SUMIFS($D:$D,$A:$A,$A1943,$B:$B,"&lt;&gt;Patrícia Karla de Sousa Araújo",$B:$B,"&lt;&gt;Lorena Dias de Araujo",$B:$B,"&lt;&gt;Lucas Luiz Romero")*(23/1083),IF(C1943="JR",SUMIFS($D:$D,$A:$A,$A1943,$B:$B,"&lt;&gt;Patrícia Karla de Sousa Araújo",$B:$B,"&lt;&gt;Lorena Dias de Araujo",$B:$B,"&lt;&gt;Lucas Luiz Romero")*(20/1083),IF(C1943="Estágio",SUMIFS($D:$D,$A:$A,$A1943,$B:$B,"&lt;&gt;Patrícia Karla de Sousa Araújo",$B:$B,"&lt;&gt;Lorena Dias de Araujo",$B:$B,"&lt;&gt;Lucas Luiz Romero")*(10/1083),0)))))),0)</f>
        <v/>
      </c>
      <c r="K1943" s="3">
        <f>I1943-J1943</f>
        <v/>
      </c>
      <c r="L1943" s="3">
        <f>IF(K1943&lt;-5,"CRÍTICO",IF(K1943&lt;0,"ATENÇÃO",IF(K1943&lt;=5,"BOM","EXCELENTE")))</f>
        <v/>
      </c>
      <c r="M1943" t="n">
        <v>0</v>
      </c>
      <c r="N1943" t="n">
        <v>100</v>
      </c>
      <c r="O1943" t="n">
        <v>21.09375</v>
      </c>
    </row>
    <row r="1944" hidden="1">
      <c r="A1944" s="11" t="n">
        <v>46062</v>
      </c>
      <c r="B1944" t="inlineStr">
        <is>
          <t>Leandro de Souza Silva</t>
        </is>
      </c>
      <c r="C1944" t="inlineStr">
        <is>
          <t>JR</t>
        </is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s="3" t="n">
        <v>0</v>
      </c>
      <c r="J1944" s="3" t="n">
        <v>0</v>
      </c>
      <c r="K1944" s="3" t="n">
        <v>0</v>
      </c>
      <c r="L1944" s="3">
        <f>IF(K1944&lt;-5,"CRÍTICO",IF(K1944&lt;0,"ATENÇÃO",IF(K1944&lt;=5,"BOM","EXCELENTE")))</f>
        <v/>
      </c>
      <c r="M1944" t="n">
        <v>0</v>
      </c>
      <c r="N1944" t="n">
        <v>0</v>
      </c>
      <c r="O1944" t="n">
        <v>0</v>
      </c>
    </row>
    <row r="1945" hidden="1">
      <c r="A1945" s="11" t="n">
        <v>46062</v>
      </c>
      <c r="B1945" t="inlineStr">
        <is>
          <t>Leandro Oliveira de Sousa</t>
        </is>
      </c>
      <c r="C1945" t="inlineStr">
        <is>
          <t>Técnico III</t>
        </is>
      </c>
      <c r="D1945" t="n">
        <v>17</v>
      </c>
      <c r="E1945" t="n">
        <v>16</v>
      </c>
      <c r="F1945" t="n">
        <v>35.02</v>
      </c>
      <c r="G1945" t="n">
        <v>0</v>
      </c>
      <c r="H1945" t="n">
        <v>0</v>
      </c>
      <c r="I1945" s="3">
        <f>E1945+G1945+H1945</f>
        <v/>
      </c>
      <c r="J1945" s="3">
        <f>ROUND(MIN(IF(C1945="Técnico III",35,IF(C1945="Técnico II",28,IF(C1945="Técnico I",23,IF(C1945="JR",20,IF(C1945="Estágio",10,0))))),IF(C1945="Técnico III",SUMIFS($D:$D,$A:$A,$A1945,$B:$B,"&lt;&gt;Patrícia Karla de Sousa Araújo",$B:$B,"&lt;&gt;Lorena Dias de Araujo",$B:$B,"&lt;&gt;Lucas Luiz Romero")*(35/1083),IF(C1945="Técnico II",SUMIFS($D:$D,$A:$A,$A1945,$B:$B,"&lt;&gt;Patrícia Karla de Sousa Araújo",$B:$B,"&lt;&gt;Lorena Dias de Araujo",$B:$B,"&lt;&gt;Lucas Luiz Romero")*(28/1083),IF(C1945="Técnico I",SUMIFS($D:$D,$A:$A,$A1945,$B:$B,"&lt;&gt;Patrícia Karla de Sousa Araújo",$B:$B,"&lt;&gt;Lorena Dias de Araujo",$B:$B,"&lt;&gt;Lucas Luiz Romero")*(23/1083),IF(C1945="JR",SUMIFS($D:$D,$A:$A,$A1945,$B:$B,"&lt;&gt;Patrícia Karla de Sousa Araújo",$B:$B,"&lt;&gt;Lorena Dias de Araujo",$B:$B,"&lt;&gt;Lucas Luiz Romero")*(20/1083),IF(C1945="Estágio",SUMIFS($D:$D,$A:$A,$A1945,$B:$B,"&lt;&gt;Patrícia Karla de Sousa Araújo",$B:$B,"&lt;&gt;Lorena Dias de Araujo",$B:$B,"&lt;&gt;Lucas Luiz Romero")*(10/1083),0)))))),0)</f>
        <v/>
      </c>
      <c r="K1945" s="3">
        <f>I1945-J1945</f>
        <v/>
      </c>
      <c r="L1945" s="3">
        <f>IF(K1945&lt;-5,"CRÍTICO",IF(K1945&lt;0,"ATENÇÃO",IF(K1945&lt;=5,"BOM","EXCELENTE")))</f>
        <v/>
      </c>
      <c r="M1945" t="n">
        <v>0</v>
      </c>
      <c r="N1945" t="n">
        <v>97.78</v>
      </c>
      <c r="O1945" t="n">
        <v>31.85185185185185</v>
      </c>
    </row>
    <row r="1946" hidden="1">
      <c r="A1946" s="11" t="n">
        <v>46062</v>
      </c>
      <c r="B1946" t="inlineStr">
        <is>
          <t>Lizandra Gomes Duarte</t>
        </is>
      </c>
      <c r="C1946" t="inlineStr">
        <is>
          <t>Técnico II</t>
        </is>
      </c>
      <c r="D1946" t="n">
        <v>28</v>
      </c>
      <c r="E1946" t="n">
        <v>26</v>
      </c>
      <c r="F1946" t="n">
        <v>25.46</v>
      </c>
      <c r="G1946" t="n">
        <v>0</v>
      </c>
      <c r="H1946" t="n">
        <v>0</v>
      </c>
      <c r="I1946" s="3">
        <f>E1946+G1946+H1946</f>
        <v/>
      </c>
      <c r="J1946" s="3">
        <f>ROUND(MIN(IF(C1946="Técnico III",35,IF(C1946="Técnico II",28,IF(C1946="Técnico I",23,IF(C1946="JR",20,IF(C1946="Estágio",10,0))))),IF(C1946="Técnico III",SUMIFS($D:$D,$A:$A,$A1946,$B:$B,"&lt;&gt;Patrícia Karla de Sousa Araújo",$B:$B,"&lt;&gt;Lorena Dias de Araujo",$B:$B,"&lt;&gt;Lucas Luiz Romero")*(35/1083),IF(C1946="Técnico II",SUMIFS($D:$D,$A:$A,$A1946,$B:$B,"&lt;&gt;Patrícia Karla de Sousa Araújo",$B:$B,"&lt;&gt;Lorena Dias de Araujo",$B:$B,"&lt;&gt;Lucas Luiz Romero")*(28/1083),IF(C1946="Técnico I",SUMIFS($D:$D,$A:$A,$A1946,$B:$B,"&lt;&gt;Patrícia Karla de Sousa Araújo",$B:$B,"&lt;&gt;Lorena Dias de Araujo",$B:$B,"&lt;&gt;Lucas Luiz Romero")*(23/1083),IF(C1946="JR",SUMIFS($D:$D,$A:$A,$A1946,$B:$B,"&lt;&gt;Patrícia Karla de Sousa Araújo",$B:$B,"&lt;&gt;Lorena Dias de Araujo",$B:$B,"&lt;&gt;Lucas Luiz Romero")*(20/1083),IF(C1946="Estágio",SUMIFS($D:$D,$A:$A,$A1946,$B:$B,"&lt;&gt;Patrícia Karla de Sousa Araújo",$B:$B,"&lt;&gt;Lorena Dias de Araujo",$B:$B,"&lt;&gt;Lucas Luiz Romero")*(10/1083),0)))))),0)</f>
        <v/>
      </c>
      <c r="K1946" s="3">
        <f>I1946-J1946</f>
        <v/>
      </c>
      <c r="L1946" s="3">
        <f>IF(K1946&lt;-5,"CRÍTICO",IF(K1946&lt;0,"ATENÇÃO",IF(K1946&lt;=5,"BOM","EXCELENTE")))</f>
        <v/>
      </c>
      <c r="M1946" t="n">
        <v>0</v>
      </c>
      <c r="N1946" t="n">
        <v>100</v>
      </c>
      <c r="O1946" t="n">
        <v>25.59523809523809</v>
      </c>
    </row>
    <row r="1947" hidden="1">
      <c r="A1947" s="11" t="n">
        <v>46062</v>
      </c>
      <c r="B1947" t="inlineStr">
        <is>
          <t>Lorena Dias de Araujo</t>
        </is>
      </c>
      <c r="C1947" t="inlineStr">
        <is>
          <t>Técnico II</t>
        </is>
      </c>
      <c r="D1947" t="n">
        <v>37</v>
      </c>
      <c r="E1947" t="n">
        <v>34</v>
      </c>
      <c r="F1947" t="n">
        <v>18.41</v>
      </c>
      <c r="G1947" t="n">
        <v>0</v>
      </c>
      <c r="H1947" t="n">
        <v>0</v>
      </c>
      <c r="I1947" s="3" t="n">
        <v>0</v>
      </c>
      <c r="J1947" s="3" t="n">
        <v>0</v>
      </c>
      <c r="K1947" s="3" t="n">
        <v>0</v>
      </c>
      <c r="L1947" s="3">
        <f>IF(K1947&lt;-5,"CRÍTICO",IF(K1947&lt;0,"ATENÇÃO",IF(K1947&lt;=5,"BOM","EXCELENTE")))</f>
        <v/>
      </c>
      <c r="M1947" t="n">
        <v>0</v>
      </c>
      <c r="N1947" t="n">
        <v>100</v>
      </c>
      <c r="O1947" t="n">
        <v>32.66331658291458</v>
      </c>
    </row>
    <row r="1948" hidden="1">
      <c r="A1948" s="11" t="n">
        <v>46062</v>
      </c>
      <c r="B1948" t="inlineStr">
        <is>
          <t>Lucas Luiz Romero</t>
        </is>
      </c>
      <c r="C1948" t="inlineStr">
        <is>
          <t>Técnico III</t>
        </is>
      </c>
      <c r="D1948" t="n">
        <v>53</v>
      </c>
      <c r="E1948" t="n">
        <v>35</v>
      </c>
      <c r="F1948" t="n">
        <v>13.34</v>
      </c>
      <c r="G1948" t="n">
        <v>0</v>
      </c>
      <c r="H1948" t="n">
        <v>0</v>
      </c>
      <c r="I1948" s="3">
        <f>E1948+G1948+H1948</f>
        <v/>
      </c>
      <c r="J1948" s="3">
        <f>ROUND(MIN(IF(C1948="Técnico III",35,IF(C1948="Técnico II",28,IF(C1948="Técnico I",23,IF(C1948="JR",20,IF(C1948="Estágio",10,0))))),IF(C1948="Técnico III",SUMIFS($D:$D,$A:$A,$A1948,$B:$B,"&lt;&gt;Patrícia Karla de Sousa Araújo",$B:$B,"&lt;&gt;Lorena Dias de Araujo",$B:$B,"&lt;&gt;Lucas Luiz Romero")*(35/1083),IF(C1948="Técnico II",SUMIFS($D:$D,$A:$A,$A1948,$B:$B,"&lt;&gt;Patrícia Karla de Sousa Araújo",$B:$B,"&lt;&gt;Lorena Dias de Araujo",$B:$B,"&lt;&gt;Lucas Luiz Romero")*(28/1083),IF(C1948="Técnico I",SUMIFS($D:$D,$A:$A,$A1948,$B:$B,"&lt;&gt;Patrícia Karla de Sousa Araújo",$B:$B,"&lt;&gt;Lorena Dias de Araujo",$B:$B,"&lt;&gt;Lucas Luiz Romero")*(23/1083),IF(C1948="JR",SUMIFS($D:$D,$A:$A,$A1948,$B:$B,"&lt;&gt;Patrícia Karla de Sousa Araújo",$B:$B,"&lt;&gt;Lorena Dias de Araujo",$B:$B,"&lt;&gt;Lucas Luiz Romero")*(20/1083),IF(C1948="Estágio",SUMIFS($D:$D,$A:$A,$A1948,$B:$B,"&lt;&gt;Patrícia Karla de Sousa Araújo",$B:$B,"&lt;&gt;Lorena Dias de Araujo",$B:$B,"&lt;&gt;Lucas Luiz Romero")*(10/1083),0)))))),0)</f>
        <v/>
      </c>
      <c r="K1948" s="3">
        <f>I1948-J1948</f>
        <v/>
      </c>
      <c r="L1948" s="3">
        <f>IF(K1948&lt;-5,"CRÍTICO",IF(K1948&lt;0,"ATENÇÃO",IF(K1948&lt;=5,"BOM","EXCELENTE")))</f>
        <v/>
      </c>
      <c r="M1948" t="n">
        <v>0</v>
      </c>
      <c r="N1948" t="n">
        <v>95.83</v>
      </c>
      <c r="O1948" t="n">
        <v>25.51020408163265</v>
      </c>
    </row>
    <row r="1949" hidden="1">
      <c r="A1949" s="11" t="n">
        <v>46062</v>
      </c>
      <c r="B1949" t="inlineStr">
        <is>
          <t>Luiz Fernando de Carvalho Junior</t>
        </is>
      </c>
      <c r="C1949" t="inlineStr">
        <is>
          <t>Técnico I</t>
        </is>
      </c>
      <c r="D1949" t="n">
        <v>24</v>
      </c>
      <c r="E1949" t="n">
        <v>19</v>
      </c>
      <c r="F1949" t="n">
        <v>18.43</v>
      </c>
      <c r="G1949" t="n">
        <v>0</v>
      </c>
      <c r="H1949" t="n">
        <v>0</v>
      </c>
      <c r="I1949" s="3">
        <f>E1949+G1949+H1949</f>
        <v/>
      </c>
      <c r="J1949" s="3">
        <f>ROUND(MIN(IF(C1949="Técnico III",35,IF(C1949="Técnico II",28,IF(C1949="Técnico I",23,IF(C1949="JR",20,IF(C1949="Estágio",10,0))))),IF(C1949="Técnico III",SUMIFS($D:$D,$A:$A,$A1949,$B:$B,"&lt;&gt;Patrícia Karla de Sousa Araújo",$B:$B,"&lt;&gt;Lorena Dias de Araujo",$B:$B,"&lt;&gt;Lucas Luiz Romero")*(35/1083),IF(C1949="Técnico II",SUMIFS($D:$D,$A:$A,$A1949,$B:$B,"&lt;&gt;Patrícia Karla de Sousa Araújo",$B:$B,"&lt;&gt;Lorena Dias de Araujo",$B:$B,"&lt;&gt;Lucas Luiz Romero")*(28/1083),IF(C1949="Técnico I",SUMIFS($D:$D,$A:$A,$A1949,$B:$B,"&lt;&gt;Patrícia Karla de Sousa Araújo",$B:$B,"&lt;&gt;Lorena Dias de Araujo",$B:$B,"&lt;&gt;Lucas Luiz Romero")*(23/1083),IF(C1949="JR",SUMIFS($D:$D,$A:$A,$A1949,$B:$B,"&lt;&gt;Patrícia Karla de Sousa Araújo",$B:$B,"&lt;&gt;Lorena Dias de Araujo",$B:$B,"&lt;&gt;Lucas Luiz Romero")*(20/1083),IF(C1949="Estágio",SUMIFS($D:$D,$A:$A,$A1949,$B:$B,"&lt;&gt;Patrícia Karla de Sousa Araújo",$B:$B,"&lt;&gt;Lorena Dias de Araujo",$B:$B,"&lt;&gt;Lucas Luiz Romero")*(10/1083),0)))))),0)</f>
        <v/>
      </c>
      <c r="K1949" s="3">
        <f>I1949-J1949</f>
        <v/>
      </c>
      <c r="L1949" s="3">
        <f>IF(K1949&lt;-5,"CRÍTICO",IF(K1949&lt;0,"ATENÇÃO",IF(K1949&lt;=5,"BOM","EXCELENTE")))</f>
        <v/>
      </c>
      <c r="M1949" t="n">
        <v>0</v>
      </c>
      <c r="N1949" t="n">
        <v>100</v>
      </c>
      <c r="O1949" t="n">
        <v>27.33812949640288</v>
      </c>
    </row>
    <row r="1950" hidden="1">
      <c r="A1950" s="11" t="n">
        <v>46062</v>
      </c>
      <c r="B1950" t="inlineStr">
        <is>
          <t>Maria Eduarda Sousa Costa</t>
        </is>
      </c>
      <c r="C1950" t="inlineStr">
        <is>
          <t>Estágio</t>
        </is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s="3" t="n">
        <v>0</v>
      </c>
      <c r="J1950" s="3" t="n">
        <v>0</v>
      </c>
      <c r="K1950" s="3" t="n">
        <v>0</v>
      </c>
      <c r="L1950" s="3">
        <f>IF(K1950&lt;-5,"CRÍTICO",IF(K1950&lt;0,"ATENÇÃO",IF(K1950&lt;=5,"BOM","EXCELENTE")))</f>
        <v/>
      </c>
      <c r="M1950" t="n">
        <v>0</v>
      </c>
      <c r="N1950" t="n">
        <v>100</v>
      </c>
      <c r="O1950" t="n">
        <v>27.77777777777778</v>
      </c>
    </row>
    <row r="1951" hidden="1">
      <c r="A1951" s="11" t="n">
        <v>46062</v>
      </c>
      <c r="B1951" t="inlineStr">
        <is>
          <t>Matheus Farias De Souza</t>
        </is>
      </c>
      <c r="C1951" t="inlineStr">
        <is>
          <t>Técnico III</t>
        </is>
      </c>
      <c r="D1951" t="n">
        <v>26</v>
      </c>
      <c r="E1951" t="n">
        <v>24</v>
      </c>
      <c r="F1951" t="n">
        <v>15.49</v>
      </c>
      <c r="G1951" t="n">
        <v>0</v>
      </c>
      <c r="H1951" t="n">
        <v>0</v>
      </c>
      <c r="I1951" s="3">
        <f>E1951+G1951+H1951</f>
        <v/>
      </c>
      <c r="J1951" s="3">
        <f>ROUND(MIN(IF(C1951="Técnico III",35,IF(C1951="Técnico II",28,IF(C1951="Técnico I",23,IF(C1951="JR",20,IF(C1951="Estágio",10,0))))),IF(C1951="Técnico III",SUMIFS($D:$D,$A:$A,$A1951,$B:$B,"&lt;&gt;Patrícia Karla de Sousa Araújo",$B:$B,"&lt;&gt;Lorena Dias de Araujo",$B:$B,"&lt;&gt;Lucas Luiz Romero")*(35/1083),IF(C1951="Técnico II",SUMIFS($D:$D,$A:$A,$A1951,$B:$B,"&lt;&gt;Patrícia Karla de Sousa Araújo",$B:$B,"&lt;&gt;Lorena Dias de Araujo",$B:$B,"&lt;&gt;Lucas Luiz Romero")*(28/1083),IF(C1951="Técnico I",SUMIFS($D:$D,$A:$A,$A1951,$B:$B,"&lt;&gt;Patrícia Karla de Sousa Araújo",$B:$B,"&lt;&gt;Lorena Dias de Araujo",$B:$B,"&lt;&gt;Lucas Luiz Romero")*(23/1083),IF(C1951="JR",SUMIFS($D:$D,$A:$A,$A1951,$B:$B,"&lt;&gt;Patrícia Karla de Sousa Araújo",$B:$B,"&lt;&gt;Lorena Dias de Araujo",$B:$B,"&lt;&gt;Lucas Luiz Romero")*(20/1083),IF(C1951="Estágio",SUMIFS($D:$D,$A:$A,$A1951,$B:$B,"&lt;&gt;Patrícia Karla de Sousa Araújo",$B:$B,"&lt;&gt;Lorena Dias de Araujo",$B:$B,"&lt;&gt;Lucas Luiz Romero")*(10/1083),0)))))),0)</f>
        <v/>
      </c>
      <c r="K1951" s="3">
        <f>I1951-J1951</f>
        <v/>
      </c>
      <c r="L1951" s="3">
        <f>IF(K1951&lt;-5,"CRÍTICO",IF(K1951&lt;0,"ATENÇÃO",IF(K1951&lt;=5,"BOM","EXCELENTE")))</f>
        <v/>
      </c>
      <c r="M1951" t="n">
        <v>0</v>
      </c>
      <c r="N1951" t="n">
        <v>95.83</v>
      </c>
      <c r="O1951" t="n">
        <v>31.47208121827411</v>
      </c>
    </row>
    <row r="1952" hidden="1">
      <c r="A1952" s="11" t="n">
        <v>46062</v>
      </c>
      <c r="B1952" t="inlineStr">
        <is>
          <t>Maysa Victoria Dias Moura</t>
        </is>
      </c>
      <c r="C1952" t="inlineStr">
        <is>
          <t>Técnico III</t>
        </is>
      </c>
      <c r="D1952" t="n">
        <v>28</v>
      </c>
      <c r="E1952" t="n">
        <v>25</v>
      </c>
      <c r="F1952" t="n">
        <v>22.11</v>
      </c>
      <c r="G1952" t="n">
        <v>0</v>
      </c>
      <c r="H1952" t="n">
        <v>0</v>
      </c>
      <c r="I1952" s="3">
        <f>E1952+G1952+H1952</f>
        <v/>
      </c>
      <c r="J1952" s="3">
        <f>ROUND(MIN(IF(C1952="Técnico III",35,IF(C1952="Técnico II",28,IF(C1952="Técnico I",23,IF(C1952="JR",20,IF(C1952="Estágio",10,0))))),IF(C1952="Técnico III",SUMIFS($D:$D,$A:$A,$A1952,$B:$B,"&lt;&gt;Patrícia Karla de Sousa Araújo",$B:$B,"&lt;&gt;Lorena Dias de Araujo",$B:$B,"&lt;&gt;Lucas Luiz Romero")*(35/1083),IF(C1952="Técnico II",SUMIFS($D:$D,$A:$A,$A1952,$B:$B,"&lt;&gt;Patrícia Karla de Sousa Araújo",$B:$B,"&lt;&gt;Lorena Dias de Araujo",$B:$B,"&lt;&gt;Lucas Luiz Romero")*(28/1083),IF(C1952="Técnico I",SUMIFS($D:$D,$A:$A,$A1952,$B:$B,"&lt;&gt;Patrícia Karla de Sousa Araújo",$B:$B,"&lt;&gt;Lorena Dias de Araujo",$B:$B,"&lt;&gt;Lucas Luiz Romero")*(23/1083),IF(C1952="JR",SUMIFS($D:$D,$A:$A,$A1952,$B:$B,"&lt;&gt;Patrícia Karla de Sousa Araújo",$B:$B,"&lt;&gt;Lorena Dias de Araujo",$B:$B,"&lt;&gt;Lucas Luiz Romero")*(20/1083),IF(C1952="Estágio",SUMIFS($D:$D,$A:$A,$A1952,$B:$B,"&lt;&gt;Patrícia Karla de Sousa Araújo",$B:$B,"&lt;&gt;Lorena Dias de Araujo",$B:$B,"&lt;&gt;Lucas Luiz Romero")*(10/1083),0)))))),0)</f>
        <v/>
      </c>
      <c r="K1952" s="3">
        <f>I1952-J1952</f>
        <v/>
      </c>
      <c r="L1952" s="3">
        <f>IF(K1952&lt;-5,"CRÍTICO",IF(K1952&lt;0,"ATENÇÃO",IF(K1952&lt;=5,"BOM","EXCELENTE")))</f>
        <v/>
      </c>
      <c r="M1952" t="n">
        <v>0</v>
      </c>
      <c r="N1952" t="n">
        <v>94.73999999999999</v>
      </c>
      <c r="O1952" t="n">
        <v>26.77595628415301</v>
      </c>
    </row>
    <row r="1953" hidden="1">
      <c r="A1953" s="11" t="n">
        <v>46062</v>
      </c>
      <c r="B1953" t="inlineStr">
        <is>
          <t>Michelle G Santos</t>
        </is>
      </c>
      <c r="C1953" t="inlineStr">
        <is>
          <t>Estágio</t>
        </is>
      </c>
      <c r="D1953" t="n">
        <v>9</v>
      </c>
      <c r="E1953" t="n">
        <v>9</v>
      </c>
      <c r="F1953" t="n">
        <v>66.56</v>
      </c>
      <c r="G1953" t="n">
        <v>0</v>
      </c>
      <c r="H1953" t="n">
        <v>0</v>
      </c>
      <c r="I1953" s="3">
        <f>E1953+G1953+H1953</f>
        <v/>
      </c>
      <c r="J1953" s="3">
        <f>ROUND(MIN(IF(C1953="Técnico III",35,IF(C1953="Técnico II",28,IF(C1953="Técnico I",23,IF(C1953="JR",20,IF(C1953="Estágio",10,0))))),IF(C1953="Técnico III",SUMIFS($D:$D,$A:$A,$A1953,$B:$B,"&lt;&gt;Patrícia Karla de Sousa Araújo",$B:$B,"&lt;&gt;Lorena Dias de Araujo",$B:$B,"&lt;&gt;Lucas Luiz Romero")*(35/1083),IF(C1953="Técnico II",SUMIFS($D:$D,$A:$A,$A1953,$B:$B,"&lt;&gt;Patrícia Karla de Sousa Araújo",$B:$B,"&lt;&gt;Lorena Dias de Araujo",$B:$B,"&lt;&gt;Lucas Luiz Romero")*(28/1083),IF(C1953="Técnico I",SUMIFS($D:$D,$A:$A,$A1953,$B:$B,"&lt;&gt;Patrícia Karla de Sousa Araújo",$B:$B,"&lt;&gt;Lorena Dias de Araujo",$B:$B,"&lt;&gt;Lucas Luiz Romero")*(23/1083),IF(C1953="JR",SUMIFS($D:$D,$A:$A,$A1953,$B:$B,"&lt;&gt;Patrícia Karla de Sousa Araújo",$B:$B,"&lt;&gt;Lorena Dias de Araujo",$B:$B,"&lt;&gt;Lucas Luiz Romero")*(20/1083),IF(C1953="Estágio",SUMIFS($D:$D,$A:$A,$A1953,$B:$B,"&lt;&gt;Patrícia Karla de Sousa Araújo",$B:$B,"&lt;&gt;Lorena Dias de Araujo",$B:$B,"&lt;&gt;Lucas Luiz Romero")*(10/1083),0)))))),0)</f>
        <v/>
      </c>
      <c r="K1953" s="3">
        <f>I1953-J1953</f>
        <v/>
      </c>
      <c r="L1953" s="3">
        <f>IF(K1953&lt;-5,"CRÍTICO",IF(K1953&lt;0,"ATENÇÃO",IF(K1953&lt;=5,"BOM","EXCELENTE")))</f>
        <v/>
      </c>
      <c r="M1953" t="n">
        <v>0</v>
      </c>
      <c r="N1953" t="n">
        <v>100</v>
      </c>
      <c r="O1953" t="n">
        <v>25</v>
      </c>
    </row>
    <row r="1954" hidden="1">
      <c r="A1954" s="11" t="n">
        <v>46062</v>
      </c>
      <c r="B1954" t="inlineStr">
        <is>
          <t>Milena Sales</t>
        </is>
      </c>
      <c r="C1954" t="inlineStr">
        <is>
          <t>JR</t>
        </is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s="3" t="n">
        <v>0</v>
      </c>
      <c r="J1954" s="3" t="n">
        <v>0</v>
      </c>
      <c r="K1954" s="3" t="n">
        <v>0</v>
      </c>
      <c r="L1954" s="3">
        <f>IF(K1954&lt;-5,"CRÍTICO",IF(K1954&lt;0,"ATENÇÃO",IF(K1954&lt;=5,"BOM","EXCELENTE")))</f>
        <v/>
      </c>
      <c r="M1954" t="n">
        <v>0</v>
      </c>
      <c r="N1954" t="n">
        <v>0</v>
      </c>
      <c r="O1954" t="n">
        <v>0</v>
      </c>
    </row>
    <row r="1955" hidden="1">
      <c r="A1955" s="11" t="n">
        <v>46062</v>
      </c>
      <c r="B1955" t="inlineStr">
        <is>
          <t>Patrícia Karla de Sousa Araújo</t>
        </is>
      </c>
      <c r="C1955" t="inlineStr">
        <is>
          <t>Técnico II</t>
        </is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s="3" t="n">
        <v>0</v>
      </c>
      <c r="J1955" s="3" t="n">
        <v>0</v>
      </c>
      <c r="K1955" s="3" t="n">
        <v>0</v>
      </c>
      <c r="L1955" s="3">
        <f>IF(K1955&lt;-5,"CRÍTICO",IF(K1955&lt;0,"ATENÇÃO",IF(K1955&lt;=5,"BOM","EXCELENTE")))</f>
        <v/>
      </c>
      <c r="M1955" t="n">
        <v>0</v>
      </c>
      <c r="N1955" t="n">
        <v>100</v>
      </c>
      <c r="O1955" t="n">
        <v>32.87671232876712</v>
      </c>
    </row>
    <row r="1956" hidden="1">
      <c r="A1956" s="11" t="n">
        <v>46062</v>
      </c>
      <c r="B1956" t="inlineStr">
        <is>
          <t>Paulo Ricardo Santos</t>
        </is>
      </c>
      <c r="C1956" t="inlineStr">
        <is>
          <t>JR</t>
        </is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s="3" t="n">
        <v>0</v>
      </c>
      <c r="J1956" s="3" t="n">
        <v>0</v>
      </c>
      <c r="K1956" s="3" t="n">
        <v>0</v>
      </c>
      <c r="L1956" s="3">
        <f>IF(K1956&lt;-5,"CRÍTICO",IF(K1956&lt;0,"ATENÇÃO",IF(K1956&lt;=5,"BOM","EXCELENTE")))</f>
        <v/>
      </c>
      <c r="M1956" t="n">
        <v>0</v>
      </c>
      <c r="N1956" t="n">
        <v>0</v>
      </c>
      <c r="O1956" t="n">
        <v>0</v>
      </c>
    </row>
    <row r="1957" hidden="1">
      <c r="A1957" s="11" t="n">
        <v>46062</v>
      </c>
      <c r="B1957" t="inlineStr">
        <is>
          <t>Pedro Luiz Mota Sousa</t>
        </is>
      </c>
      <c r="C1957" t="inlineStr">
        <is>
          <t>JR</t>
        </is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s="3" t="n">
        <v>0</v>
      </c>
      <c r="J1957" s="3" t="n">
        <v>0</v>
      </c>
      <c r="K1957" s="3" t="n">
        <v>0</v>
      </c>
      <c r="L1957" s="3">
        <f>IF(K1957&lt;-5,"CRÍTICO",IF(K1957&lt;0,"ATENÇÃO",IF(K1957&lt;=5,"BOM","EXCELENTE")))</f>
        <v/>
      </c>
      <c r="M1957" t="n">
        <v>0</v>
      </c>
      <c r="N1957" t="n">
        <v>0</v>
      </c>
      <c r="O1957" t="n">
        <v>0</v>
      </c>
    </row>
    <row r="1958" hidden="1">
      <c r="A1958" s="11" t="n">
        <v>46062</v>
      </c>
      <c r="B1958" t="inlineStr">
        <is>
          <t>Quirino Diogo Leite Torres</t>
        </is>
      </c>
      <c r="C1958" t="inlineStr">
        <is>
          <t>Estágio</t>
        </is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s="3" t="n">
        <v>0</v>
      </c>
      <c r="J1958" s="3" t="n">
        <v>0</v>
      </c>
      <c r="K1958" s="3" t="n">
        <v>0</v>
      </c>
      <c r="L1958" s="3">
        <f>IF(K1958&lt;-5,"CRÍTICO",IF(K1958&lt;0,"ATENÇÃO",IF(K1958&lt;=5,"BOM","EXCELENTE")))</f>
        <v/>
      </c>
      <c r="M1958" t="n">
        <v>0</v>
      </c>
      <c r="N1958" t="n">
        <v>0</v>
      </c>
      <c r="O1958" t="n">
        <v>0</v>
      </c>
    </row>
    <row r="1959" hidden="1">
      <c r="A1959" s="11" t="n">
        <v>46062</v>
      </c>
      <c r="B1959" t="inlineStr">
        <is>
          <t>Raane Batista Matos</t>
        </is>
      </c>
      <c r="C1959" t="inlineStr">
        <is>
          <t>Técnico I</t>
        </is>
      </c>
      <c r="D1959" t="n">
        <v>25</v>
      </c>
      <c r="E1959" t="n">
        <v>23</v>
      </c>
      <c r="F1959" t="n">
        <v>25.23</v>
      </c>
      <c r="G1959" t="n">
        <v>0</v>
      </c>
      <c r="H1959" t="n">
        <v>0</v>
      </c>
      <c r="I1959" s="3">
        <f>E1959+G1959+H1959</f>
        <v/>
      </c>
      <c r="J1959" s="3">
        <f>ROUND(MIN(IF(C1959="Técnico III",35,IF(C1959="Técnico II",28,IF(C1959="Técnico I",23,IF(C1959="JR",20,IF(C1959="Estágio",10,0))))),IF(C1959="Técnico III",SUMIFS($D:$D,$A:$A,$A1959,$B:$B,"&lt;&gt;Patrícia Karla de Sousa Araújo",$B:$B,"&lt;&gt;Lorena Dias de Araujo",$B:$B,"&lt;&gt;Lucas Luiz Romero")*(35/1083),IF(C1959="Técnico II",SUMIFS($D:$D,$A:$A,$A1959,$B:$B,"&lt;&gt;Patrícia Karla de Sousa Araújo",$B:$B,"&lt;&gt;Lorena Dias de Araujo",$B:$B,"&lt;&gt;Lucas Luiz Romero")*(28/1083),IF(C1959="Técnico I",SUMIFS($D:$D,$A:$A,$A1959,$B:$B,"&lt;&gt;Patrícia Karla de Sousa Araújo",$B:$B,"&lt;&gt;Lorena Dias de Araujo",$B:$B,"&lt;&gt;Lucas Luiz Romero")*(23/1083),IF(C1959="JR",SUMIFS($D:$D,$A:$A,$A1959,$B:$B,"&lt;&gt;Patrícia Karla de Sousa Araújo",$B:$B,"&lt;&gt;Lorena Dias de Araujo",$B:$B,"&lt;&gt;Lucas Luiz Romero")*(20/1083),IF(C1959="Estágio",SUMIFS($D:$D,$A:$A,$A1959,$B:$B,"&lt;&gt;Patrícia Karla de Sousa Araújo",$B:$B,"&lt;&gt;Lorena Dias de Araujo",$B:$B,"&lt;&gt;Lucas Luiz Romero")*(10/1083),0)))))),0)</f>
        <v/>
      </c>
      <c r="K1959" s="3">
        <f>I1959-J1959</f>
        <v/>
      </c>
      <c r="L1959" s="3">
        <f>IF(K1959&lt;-5,"CRÍTICO",IF(K1959&lt;0,"ATENÇÃO",IF(K1959&lt;=5,"BOM","EXCELENTE")))</f>
        <v/>
      </c>
      <c r="M1959" t="n">
        <v>0</v>
      </c>
      <c r="N1959" t="n">
        <v>100</v>
      </c>
      <c r="O1959" t="n">
        <v>36.08247422680412</v>
      </c>
    </row>
    <row r="1960" hidden="1">
      <c r="A1960" s="11" t="n">
        <v>46062</v>
      </c>
      <c r="B1960" t="inlineStr">
        <is>
          <t>Rafael Gomes de Morais</t>
        </is>
      </c>
      <c r="C1960" t="inlineStr">
        <is>
          <t>Técnico III</t>
        </is>
      </c>
      <c r="D1960" t="n">
        <v>50</v>
      </c>
      <c r="E1960" t="n">
        <v>44</v>
      </c>
      <c r="F1960" t="n">
        <v>13.24</v>
      </c>
      <c r="G1960" t="n">
        <v>0</v>
      </c>
      <c r="H1960" t="n">
        <v>0</v>
      </c>
      <c r="I1960" s="3">
        <f>E1960+G1960+H1960</f>
        <v/>
      </c>
      <c r="J1960" s="3">
        <f>ROUND(MIN(IF(C1960="Técnico III",35,IF(C1960="Técnico II",28,IF(C1960="Técnico I",23,IF(C1960="JR",20,IF(C1960="Estágio",10,0))))),IF(C1960="Técnico III",SUMIFS($D:$D,$A:$A,$A1960,$B:$B,"&lt;&gt;Patrícia Karla de Sousa Araújo",$B:$B,"&lt;&gt;Lorena Dias de Araujo",$B:$B,"&lt;&gt;Lucas Luiz Romero")*(35/1083),IF(C1960="Técnico II",SUMIFS($D:$D,$A:$A,$A1960,$B:$B,"&lt;&gt;Patrícia Karla de Sousa Araújo",$B:$B,"&lt;&gt;Lorena Dias de Araujo",$B:$B,"&lt;&gt;Lucas Luiz Romero")*(28/1083),IF(C1960="Técnico I",SUMIFS($D:$D,$A:$A,$A1960,$B:$B,"&lt;&gt;Patrícia Karla de Sousa Araújo",$B:$B,"&lt;&gt;Lorena Dias de Araujo",$B:$B,"&lt;&gt;Lucas Luiz Romero")*(23/1083),IF(C1960="JR",SUMIFS($D:$D,$A:$A,$A1960,$B:$B,"&lt;&gt;Patrícia Karla de Sousa Araújo",$B:$B,"&lt;&gt;Lorena Dias de Araujo",$B:$B,"&lt;&gt;Lucas Luiz Romero")*(20/1083),IF(C1960="Estágio",SUMIFS($D:$D,$A:$A,$A1960,$B:$B,"&lt;&gt;Patrícia Karla de Sousa Araújo",$B:$B,"&lt;&gt;Lorena Dias de Araujo",$B:$B,"&lt;&gt;Lucas Luiz Romero")*(10/1083),0)))))),0)</f>
        <v/>
      </c>
      <c r="K1960" s="3">
        <f>I1960-J1960</f>
        <v/>
      </c>
      <c r="L1960" s="3">
        <f>IF(K1960&lt;-5,"CRÍTICO",IF(K1960&lt;0,"ATENÇÃO",IF(K1960&lt;=5,"BOM","EXCELENTE")))</f>
        <v/>
      </c>
      <c r="M1960" t="n">
        <v>0</v>
      </c>
      <c r="N1960" t="n">
        <v>100</v>
      </c>
      <c r="O1960" t="n">
        <v>20.63492063492063</v>
      </c>
    </row>
    <row r="1961" hidden="1">
      <c r="A1961" s="11" t="n">
        <v>46062</v>
      </c>
      <c r="B1961" t="inlineStr">
        <is>
          <t>Sara Maria Monteiro Lopes</t>
        </is>
      </c>
      <c r="C1961" t="inlineStr">
        <is>
          <t>Técnico I</t>
        </is>
      </c>
      <c r="D1961" t="n">
        <v>10</v>
      </c>
      <c r="E1961" t="n">
        <v>10</v>
      </c>
      <c r="F1961" t="n">
        <v>71.47</v>
      </c>
      <c r="G1961" t="n">
        <v>0</v>
      </c>
      <c r="H1961" t="n">
        <v>0</v>
      </c>
      <c r="I1961" s="3">
        <f>E1961+G1961+H1961</f>
        <v/>
      </c>
      <c r="J1961" s="3">
        <f>ROUND(MIN(IF(C1961="Técnico III",35,IF(C1961="Técnico II",28,IF(C1961="Técnico I",23,IF(C1961="JR",20,IF(C1961="Estágio",10,0))))),IF(C1961="Técnico III",SUMIFS($D:$D,$A:$A,$A1961,$B:$B,"&lt;&gt;Patrícia Karla de Sousa Araújo",$B:$B,"&lt;&gt;Lorena Dias de Araujo",$B:$B,"&lt;&gt;Lucas Luiz Romero")*(35/1083),IF(C1961="Técnico II",SUMIFS($D:$D,$A:$A,$A1961,$B:$B,"&lt;&gt;Patrícia Karla de Sousa Araújo",$B:$B,"&lt;&gt;Lorena Dias de Araujo",$B:$B,"&lt;&gt;Lucas Luiz Romero")*(28/1083),IF(C1961="Técnico I",SUMIFS($D:$D,$A:$A,$A1961,$B:$B,"&lt;&gt;Patrícia Karla de Sousa Araújo",$B:$B,"&lt;&gt;Lorena Dias de Araujo",$B:$B,"&lt;&gt;Lucas Luiz Romero")*(23/1083),IF(C1961="JR",SUMIFS($D:$D,$A:$A,$A1961,$B:$B,"&lt;&gt;Patrícia Karla de Sousa Araújo",$B:$B,"&lt;&gt;Lorena Dias de Araujo",$B:$B,"&lt;&gt;Lucas Luiz Romero")*(20/1083),IF(C1961="Estágio",SUMIFS($D:$D,$A:$A,$A1961,$B:$B,"&lt;&gt;Patrícia Karla de Sousa Araújo",$B:$B,"&lt;&gt;Lorena Dias de Araujo",$B:$B,"&lt;&gt;Lucas Luiz Romero")*(10/1083),0)))))),0)</f>
        <v/>
      </c>
      <c r="K1961" s="3">
        <f>I1961-J1961</f>
        <v/>
      </c>
      <c r="L1961" s="3">
        <f>IF(K1961&lt;-5,"CRÍTICO",IF(K1961&lt;0,"ATENÇÃO",IF(K1961&lt;=5,"BOM","EXCELENTE")))</f>
        <v/>
      </c>
      <c r="M1961" t="n">
        <v>0</v>
      </c>
      <c r="N1961" t="n">
        <v>95</v>
      </c>
      <c r="O1961" t="n">
        <v>30.58823529411765</v>
      </c>
    </row>
    <row r="1962" hidden="1">
      <c r="A1962" s="11" t="n">
        <v>46062</v>
      </c>
      <c r="B1962" t="inlineStr">
        <is>
          <t>Sarah Steffanie de Lima Borges</t>
        </is>
      </c>
      <c r="C1962" t="inlineStr">
        <is>
          <t>Técnico III</t>
        </is>
      </c>
      <c r="D1962" t="n">
        <v>29</v>
      </c>
      <c r="E1962" t="n">
        <v>28</v>
      </c>
      <c r="F1962" t="n">
        <v>20.18</v>
      </c>
      <c r="G1962" t="n">
        <v>0</v>
      </c>
      <c r="H1962" t="n">
        <v>0</v>
      </c>
      <c r="I1962" s="3">
        <f>E1962+G1962+H1962</f>
        <v/>
      </c>
      <c r="J1962" s="3">
        <f>ROUND(MIN(IF(C1962="Técnico III",35,IF(C1962="Técnico II",28,IF(C1962="Técnico I",23,IF(C1962="JR",20,IF(C1962="Estágio",10,0))))),IF(C1962="Técnico III",SUMIFS($D:$D,$A:$A,$A1962,$B:$B,"&lt;&gt;Patrícia Karla de Sousa Araújo",$B:$B,"&lt;&gt;Lorena Dias de Araujo",$B:$B,"&lt;&gt;Lucas Luiz Romero")*(35/1083),IF(C1962="Técnico II",SUMIFS($D:$D,$A:$A,$A1962,$B:$B,"&lt;&gt;Patrícia Karla de Sousa Araújo",$B:$B,"&lt;&gt;Lorena Dias de Araujo",$B:$B,"&lt;&gt;Lucas Luiz Romero")*(28/1083),IF(C1962="Técnico I",SUMIFS($D:$D,$A:$A,$A1962,$B:$B,"&lt;&gt;Patrícia Karla de Sousa Araújo",$B:$B,"&lt;&gt;Lorena Dias de Araujo",$B:$B,"&lt;&gt;Lucas Luiz Romero")*(23/1083),IF(C1962="JR",SUMIFS($D:$D,$A:$A,$A1962,$B:$B,"&lt;&gt;Patrícia Karla de Sousa Araújo",$B:$B,"&lt;&gt;Lorena Dias de Araujo",$B:$B,"&lt;&gt;Lucas Luiz Romero")*(20/1083),IF(C1962="Estágio",SUMIFS($D:$D,$A:$A,$A1962,$B:$B,"&lt;&gt;Patrícia Karla de Sousa Araújo",$B:$B,"&lt;&gt;Lorena Dias de Araujo",$B:$B,"&lt;&gt;Lucas Luiz Romero")*(10/1083),0)))))),0)</f>
        <v/>
      </c>
      <c r="K1962" s="3">
        <f>I1962-J1962</f>
        <v/>
      </c>
      <c r="L1962" s="3">
        <f>IF(K1962&lt;-5,"CRÍTICO",IF(K1962&lt;0,"ATENÇÃO",IF(K1962&lt;=5,"BOM","EXCELENTE")))</f>
        <v/>
      </c>
      <c r="M1962" t="n">
        <v>0</v>
      </c>
      <c r="N1962" t="n">
        <v>97.62</v>
      </c>
      <c r="O1962" t="n">
        <v>23.83419689119171</v>
      </c>
    </row>
    <row r="1963" hidden="1">
      <c r="A1963" s="11" t="n">
        <v>46063</v>
      </c>
      <c r="B1963" t="inlineStr">
        <is>
          <t>Alisson de Freitas Silva</t>
        </is>
      </c>
      <c r="C1963" t="inlineStr">
        <is>
          <t>Técnico II</t>
        </is>
      </c>
      <c r="D1963" t="n">
        <v>29</v>
      </c>
      <c r="E1963" t="n">
        <v>27</v>
      </c>
      <c r="F1963" t="n">
        <v>18.36</v>
      </c>
      <c r="G1963" t="n">
        <v>0</v>
      </c>
      <c r="H1963" t="n">
        <v>0</v>
      </c>
      <c r="I1963" s="3">
        <f>E1963+G1963+H1963</f>
        <v/>
      </c>
      <c r="J1963" s="3">
        <f>ROUND(MIN(IF(C1963="Técnico III",35,IF(C1963="Técnico II",28,IF(C1963="Técnico I",23,IF(C1963="JR",20,IF(C1963="Estágio",10,0))))),IF(C1963="Técnico III",SUMIFS($D:$D,$A:$A,$A1963,$B:$B,"&lt;&gt;Patrícia Karla de Sousa Araújo",$B:$B,"&lt;&gt;Lorena Dias de Araujo",$B:$B,"&lt;&gt;Lucas Luiz Romero")*(35/1083),IF(C1963="Técnico II",SUMIFS($D:$D,$A:$A,$A1963,$B:$B,"&lt;&gt;Patrícia Karla de Sousa Araújo",$B:$B,"&lt;&gt;Lorena Dias de Araujo",$B:$B,"&lt;&gt;Lucas Luiz Romero")*(28/1083),IF(C1963="Técnico I",SUMIFS($D:$D,$A:$A,$A1963,$B:$B,"&lt;&gt;Patrícia Karla de Sousa Araújo",$B:$B,"&lt;&gt;Lorena Dias de Araujo",$B:$B,"&lt;&gt;Lucas Luiz Romero")*(23/1083),IF(C1963="JR",SUMIFS($D:$D,$A:$A,$A1963,$B:$B,"&lt;&gt;Patrícia Karla de Sousa Araújo",$B:$B,"&lt;&gt;Lorena Dias de Araujo",$B:$B,"&lt;&gt;Lucas Luiz Romero")*(20/1083),IF(C1963="Estágio",SUMIFS($D:$D,$A:$A,$A1963,$B:$B,"&lt;&gt;Patrícia Karla de Sousa Araújo",$B:$B,"&lt;&gt;Lorena Dias de Araujo",$B:$B,"&lt;&gt;Lucas Luiz Romero")*(10/1083),0)))))),0)</f>
        <v/>
      </c>
      <c r="K1963" s="3">
        <f>I1963-J1963</f>
        <v/>
      </c>
      <c r="L1963" s="3">
        <f>IF(K1963&lt;-5,"CRÍTICO",IF(K1963&lt;0,"ATENÇÃO",IF(K1963&lt;=5,"BOM","EXCELENTE")))</f>
        <v/>
      </c>
      <c r="N1963" t="n">
        <v>98.31999999999999</v>
      </c>
      <c r="O1963" t="n">
        <v>30.3030303030303</v>
      </c>
    </row>
    <row r="1964" hidden="1">
      <c r="A1964" s="11" t="n">
        <v>46063</v>
      </c>
      <c r="B1964" t="inlineStr">
        <is>
          <t>Amanda Moura Ferreira</t>
        </is>
      </c>
      <c r="C1964" t="inlineStr">
        <is>
          <t>Técnico III</t>
        </is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s="3" t="n">
        <v>0</v>
      </c>
      <c r="J1964" s="3" t="n">
        <v>0</v>
      </c>
      <c r="K1964" s="3" t="n">
        <v>0</v>
      </c>
      <c r="L1964" s="3">
        <f>IF(K1964&lt;-5,"CRÍTICO",IF(K1964&lt;0,"ATENÇÃO",IF(K1964&lt;=5,"BOM","EXCELENTE")))</f>
        <v/>
      </c>
      <c r="N1964" t="n">
        <v>98.68000000000001</v>
      </c>
      <c r="O1964" t="n">
        <v>26.21951219512195</v>
      </c>
    </row>
    <row r="1965" hidden="1">
      <c r="A1965" s="11" t="n">
        <v>46063</v>
      </c>
      <c r="B1965" t="inlineStr">
        <is>
          <t>Ana Karollyne Souza Faria</t>
        </is>
      </c>
      <c r="C1965" t="inlineStr">
        <is>
          <t>Técnico I</t>
        </is>
      </c>
      <c r="D1965" t="n">
        <v>24</v>
      </c>
      <c r="E1965" t="n">
        <v>23</v>
      </c>
      <c r="F1965" t="n">
        <v>26.59</v>
      </c>
      <c r="G1965" t="n">
        <v>0</v>
      </c>
      <c r="H1965" t="n">
        <v>0</v>
      </c>
      <c r="I1965" s="3">
        <f>E1965+G1965+H1965</f>
        <v/>
      </c>
      <c r="J1965" s="3">
        <f>ROUND(MIN(IF(C1965="Técnico III",35,IF(C1965="Técnico II",28,IF(C1965="Técnico I",23,IF(C1965="JR",20,IF(C1965="Estágio",10,0))))),IF(C1965="Técnico III",SUMIFS($D:$D,$A:$A,$A1965,$B:$B,"&lt;&gt;Patrícia Karla de Sousa Araújo",$B:$B,"&lt;&gt;Lorena Dias de Araujo",$B:$B,"&lt;&gt;Lucas Luiz Romero")*(35/1083),IF(C1965="Técnico II",SUMIFS($D:$D,$A:$A,$A1965,$B:$B,"&lt;&gt;Patrícia Karla de Sousa Araújo",$B:$B,"&lt;&gt;Lorena Dias de Araujo",$B:$B,"&lt;&gt;Lucas Luiz Romero")*(28/1083),IF(C1965="Técnico I",SUMIFS($D:$D,$A:$A,$A1965,$B:$B,"&lt;&gt;Patrícia Karla de Sousa Araújo",$B:$B,"&lt;&gt;Lorena Dias de Araujo",$B:$B,"&lt;&gt;Lucas Luiz Romero")*(23/1083),IF(C1965="JR",SUMIFS($D:$D,$A:$A,$A1965,$B:$B,"&lt;&gt;Patrícia Karla de Sousa Araújo",$B:$B,"&lt;&gt;Lorena Dias de Araujo",$B:$B,"&lt;&gt;Lucas Luiz Romero")*(20/1083),IF(C1965="Estágio",SUMIFS($D:$D,$A:$A,$A1965,$B:$B,"&lt;&gt;Patrícia Karla de Sousa Araújo",$B:$B,"&lt;&gt;Lorena Dias de Araujo",$B:$B,"&lt;&gt;Lucas Luiz Romero")*(10/1083),0)))))),0)</f>
        <v/>
      </c>
      <c r="K1965" s="3">
        <f>I1965-J1965</f>
        <v/>
      </c>
      <c r="L1965" s="3">
        <f>IF(K1965&lt;-5,"CRÍTICO",IF(K1965&lt;0,"ATENÇÃO",IF(K1965&lt;=5,"BOM","EXCELENTE")))</f>
        <v/>
      </c>
      <c r="N1965" t="n">
        <v>100</v>
      </c>
      <c r="O1965" t="n">
        <v>31.74224343675418</v>
      </c>
    </row>
    <row r="1966" hidden="1">
      <c r="A1966" s="11" t="n">
        <v>46063</v>
      </c>
      <c r="B1966" t="inlineStr">
        <is>
          <t>Ana Paula Da Luz Silva Aleixo</t>
        </is>
      </c>
      <c r="C1966" t="inlineStr">
        <is>
          <t>Técnico III</t>
        </is>
      </c>
      <c r="D1966" t="n">
        <v>42</v>
      </c>
      <c r="E1966" t="n">
        <v>37</v>
      </c>
      <c r="F1966" t="n">
        <v>17.05</v>
      </c>
      <c r="G1966" t="n">
        <v>0</v>
      </c>
      <c r="H1966" t="n">
        <v>0</v>
      </c>
      <c r="I1966" s="3">
        <f>E1966+G1966+H1966</f>
        <v/>
      </c>
      <c r="J1966" s="3">
        <f>ROUND(MIN(IF(C1966="Técnico III",35,IF(C1966="Técnico II",28,IF(C1966="Técnico I",23,IF(C1966="JR",20,IF(C1966="Estágio",10,0))))),IF(C1966="Técnico III",SUMIFS($D:$D,$A:$A,$A1966,$B:$B,"&lt;&gt;Patrícia Karla de Sousa Araújo",$B:$B,"&lt;&gt;Lorena Dias de Araujo",$B:$B,"&lt;&gt;Lucas Luiz Romero")*(35/1083),IF(C1966="Técnico II",SUMIFS($D:$D,$A:$A,$A1966,$B:$B,"&lt;&gt;Patrícia Karla de Sousa Araújo",$B:$B,"&lt;&gt;Lorena Dias de Araujo",$B:$B,"&lt;&gt;Lucas Luiz Romero")*(28/1083),IF(C1966="Técnico I",SUMIFS($D:$D,$A:$A,$A1966,$B:$B,"&lt;&gt;Patrícia Karla de Sousa Araújo",$B:$B,"&lt;&gt;Lorena Dias de Araujo",$B:$B,"&lt;&gt;Lucas Luiz Romero")*(23/1083),IF(C1966="JR",SUMIFS($D:$D,$A:$A,$A1966,$B:$B,"&lt;&gt;Patrícia Karla de Sousa Araújo",$B:$B,"&lt;&gt;Lorena Dias de Araujo",$B:$B,"&lt;&gt;Lucas Luiz Romero")*(20/1083),IF(C1966="Estágio",SUMIFS($D:$D,$A:$A,$A1966,$B:$B,"&lt;&gt;Patrícia Karla de Sousa Araújo",$B:$B,"&lt;&gt;Lorena Dias de Araujo",$B:$B,"&lt;&gt;Lucas Luiz Romero")*(10/1083),0)))))),0)</f>
        <v/>
      </c>
      <c r="K1966" s="3">
        <f>I1966-J1966</f>
        <v/>
      </c>
      <c r="L1966" s="3">
        <f>IF(K1966&lt;-5,"CRÍTICO",IF(K1966&lt;0,"ATENÇÃO",IF(K1966&lt;=5,"BOM","EXCELENTE")))</f>
        <v/>
      </c>
      <c r="N1966" t="n">
        <v>98.25</v>
      </c>
      <c r="O1966" t="n">
        <v>25.83518930957684</v>
      </c>
    </row>
    <row r="1967" hidden="1">
      <c r="A1967" s="11" t="n">
        <v>46063</v>
      </c>
      <c r="B1967" t="inlineStr">
        <is>
          <t>Anna Luiza Rezende Tavares</t>
        </is>
      </c>
      <c r="C1967" t="inlineStr">
        <is>
          <t>Estágio</t>
        </is>
      </c>
      <c r="D1967" t="n">
        <v>11</v>
      </c>
      <c r="E1967" t="n">
        <v>9</v>
      </c>
      <c r="F1967" t="n">
        <v>28.47</v>
      </c>
      <c r="G1967" t="n">
        <v>0</v>
      </c>
      <c r="H1967" t="n">
        <v>0</v>
      </c>
      <c r="I1967" s="3">
        <f>E1967+G1967+H1967</f>
        <v/>
      </c>
      <c r="J1967" s="3">
        <f>ROUND(MIN(IF(C1967="Técnico III",35,IF(C1967="Técnico II",28,IF(C1967="Técnico I",23,IF(C1967="JR",20,IF(C1967="Estágio",10,0))))),IF(C1967="Técnico III",SUMIFS($D:$D,$A:$A,$A1967,$B:$B,"&lt;&gt;Patrícia Karla de Sousa Araújo",$B:$B,"&lt;&gt;Lorena Dias de Araujo",$B:$B,"&lt;&gt;Lucas Luiz Romero")*(35/1083),IF(C1967="Técnico II",SUMIFS($D:$D,$A:$A,$A1967,$B:$B,"&lt;&gt;Patrícia Karla de Sousa Araújo",$B:$B,"&lt;&gt;Lorena Dias de Araujo",$B:$B,"&lt;&gt;Lucas Luiz Romero")*(28/1083),IF(C1967="Técnico I",SUMIFS($D:$D,$A:$A,$A1967,$B:$B,"&lt;&gt;Patrícia Karla de Sousa Araújo",$B:$B,"&lt;&gt;Lorena Dias de Araujo",$B:$B,"&lt;&gt;Lucas Luiz Romero")*(23/1083),IF(C1967="JR",SUMIFS($D:$D,$A:$A,$A1967,$B:$B,"&lt;&gt;Patrícia Karla de Sousa Araújo",$B:$B,"&lt;&gt;Lorena Dias de Araujo",$B:$B,"&lt;&gt;Lucas Luiz Romero")*(20/1083),IF(C1967="Estágio",SUMIFS($D:$D,$A:$A,$A1967,$B:$B,"&lt;&gt;Patrícia Karla de Sousa Araújo",$B:$B,"&lt;&gt;Lorena Dias de Araujo",$B:$B,"&lt;&gt;Lucas Luiz Romero")*(10/1083),0)))))),0)</f>
        <v/>
      </c>
      <c r="K1967" s="3">
        <f>I1967-J1967</f>
        <v/>
      </c>
      <c r="L1967" s="3">
        <f>IF(K1967&lt;-5,"CRÍTICO",IF(K1967&lt;0,"ATENÇÃO",IF(K1967&lt;=5,"BOM","EXCELENTE")))</f>
        <v/>
      </c>
      <c r="N1967" t="n">
        <v>97.5</v>
      </c>
      <c r="O1967" t="n">
        <v>30.07518796992481</v>
      </c>
    </row>
    <row r="1968" hidden="1">
      <c r="A1968" s="11" t="n">
        <v>46063</v>
      </c>
      <c r="B1968" t="inlineStr">
        <is>
          <t>Brenda de Menezes Silva</t>
        </is>
      </c>
      <c r="C1968" t="inlineStr">
        <is>
          <t>Técnico II</t>
        </is>
      </c>
      <c r="D1968" t="n">
        <v>35</v>
      </c>
      <c r="E1968" t="n">
        <v>32</v>
      </c>
      <c r="F1968" t="n">
        <v>18.36</v>
      </c>
      <c r="G1968" t="n">
        <v>0</v>
      </c>
      <c r="H1968" t="n">
        <v>0</v>
      </c>
      <c r="I1968" s="3">
        <f>E1968+G1968+H1968</f>
        <v/>
      </c>
      <c r="J1968" s="3">
        <f>ROUND(MIN(IF(C1968="Técnico III",35,IF(C1968="Técnico II",28,IF(C1968="Técnico I",23,IF(C1968="JR",20,IF(C1968="Estágio",10,0))))),IF(C1968="Técnico III",SUMIFS($D:$D,$A:$A,$A1968,$B:$B,"&lt;&gt;Patrícia Karla de Sousa Araújo",$B:$B,"&lt;&gt;Lorena Dias de Araujo",$B:$B,"&lt;&gt;Lucas Luiz Romero")*(35/1083),IF(C1968="Técnico II",SUMIFS($D:$D,$A:$A,$A1968,$B:$B,"&lt;&gt;Patrícia Karla de Sousa Araújo",$B:$B,"&lt;&gt;Lorena Dias de Araujo",$B:$B,"&lt;&gt;Lucas Luiz Romero")*(28/1083),IF(C1968="Técnico I",SUMIFS($D:$D,$A:$A,$A1968,$B:$B,"&lt;&gt;Patrícia Karla de Sousa Araújo",$B:$B,"&lt;&gt;Lorena Dias de Araujo",$B:$B,"&lt;&gt;Lucas Luiz Romero")*(23/1083),IF(C1968="JR",SUMIFS($D:$D,$A:$A,$A1968,$B:$B,"&lt;&gt;Patrícia Karla de Sousa Araújo",$B:$B,"&lt;&gt;Lorena Dias de Araujo",$B:$B,"&lt;&gt;Lucas Luiz Romero")*(20/1083),IF(C1968="Estágio",SUMIFS($D:$D,$A:$A,$A1968,$B:$B,"&lt;&gt;Patrícia Karla de Sousa Araújo",$B:$B,"&lt;&gt;Lorena Dias de Araujo",$B:$B,"&lt;&gt;Lucas Luiz Romero")*(10/1083),0)))))),0)</f>
        <v/>
      </c>
      <c r="K1968" s="3">
        <f>I1968-J1968</f>
        <v/>
      </c>
      <c r="L1968" s="3">
        <f>IF(K1968&lt;-5,"CRÍTICO",IF(K1968&lt;0,"ATENÇÃO",IF(K1968&lt;=5,"BOM","EXCELENTE")))</f>
        <v/>
      </c>
      <c r="N1968" t="n">
        <v>100</v>
      </c>
      <c r="O1968" t="n">
        <v>29.71311475409836</v>
      </c>
    </row>
    <row r="1969" hidden="1">
      <c r="A1969" s="11" t="n">
        <v>46063</v>
      </c>
      <c r="B1969" t="inlineStr">
        <is>
          <t>Carlos Mateus Cassimiro Nunes</t>
        </is>
      </c>
      <c r="C1969" t="inlineStr">
        <is>
          <t>Técnico II</t>
        </is>
      </c>
      <c r="D1969" t="n">
        <v>27</v>
      </c>
      <c r="E1969" t="n">
        <v>26</v>
      </c>
      <c r="F1969" t="n">
        <v>28.42</v>
      </c>
      <c r="G1969" t="n">
        <v>0</v>
      </c>
      <c r="H1969" t="n">
        <v>0</v>
      </c>
      <c r="I1969" s="3">
        <f>E1969+G1969+H1969</f>
        <v/>
      </c>
      <c r="J1969" s="3">
        <f>ROUND(MIN(IF(C1969="Técnico III",35,IF(C1969="Técnico II",28,IF(C1969="Técnico I",23,IF(C1969="JR",20,IF(C1969="Estágio",10,0))))),IF(C1969="Técnico III",SUMIFS($D:$D,$A:$A,$A1969,$B:$B,"&lt;&gt;Patrícia Karla de Sousa Araújo",$B:$B,"&lt;&gt;Lorena Dias de Araujo",$B:$B,"&lt;&gt;Lucas Luiz Romero")*(35/1083),IF(C1969="Técnico II",SUMIFS($D:$D,$A:$A,$A1969,$B:$B,"&lt;&gt;Patrícia Karla de Sousa Araújo",$B:$B,"&lt;&gt;Lorena Dias de Araujo",$B:$B,"&lt;&gt;Lucas Luiz Romero")*(28/1083),IF(C1969="Técnico I",SUMIFS($D:$D,$A:$A,$A1969,$B:$B,"&lt;&gt;Patrícia Karla de Sousa Araújo",$B:$B,"&lt;&gt;Lorena Dias de Araujo",$B:$B,"&lt;&gt;Lucas Luiz Romero")*(23/1083),IF(C1969="JR",SUMIFS($D:$D,$A:$A,$A1969,$B:$B,"&lt;&gt;Patrícia Karla de Sousa Araújo",$B:$B,"&lt;&gt;Lorena Dias de Araujo",$B:$B,"&lt;&gt;Lucas Luiz Romero")*(20/1083),IF(C1969="Estágio",SUMIFS($D:$D,$A:$A,$A1969,$B:$B,"&lt;&gt;Patrícia Karla de Sousa Araújo",$B:$B,"&lt;&gt;Lorena Dias de Araujo",$B:$B,"&lt;&gt;Lucas Luiz Romero")*(10/1083),0)))))),0)</f>
        <v/>
      </c>
      <c r="K1969" s="3">
        <f>I1969-J1969</f>
        <v/>
      </c>
      <c r="L1969" s="3">
        <f>IF(K1969&lt;-5,"CRÍTICO",IF(K1969&lt;0,"ATENÇÃO",IF(K1969&lt;=5,"BOM","EXCELENTE")))</f>
        <v/>
      </c>
      <c r="N1969" t="n">
        <v>99.22</v>
      </c>
      <c r="O1969" t="n">
        <v>35.25641025641026</v>
      </c>
    </row>
    <row r="1970" hidden="1">
      <c r="A1970" s="11" t="n">
        <v>46063</v>
      </c>
      <c r="B1970" t="inlineStr">
        <is>
          <t>Claudio de Sousa Velasco Filho</t>
        </is>
      </c>
      <c r="C1970" t="inlineStr">
        <is>
          <t>Estágio</t>
        </is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s="3" t="n">
        <v>0</v>
      </c>
      <c r="J1970" s="3" t="n">
        <v>0</v>
      </c>
      <c r="K1970" s="3" t="n">
        <v>0</v>
      </c>
      <c r="L1970" s="3">
        <f>IF(K1970&lt;-5,"CRÍTICO",IF(K1970&lt;0,"ATENÇÃO",IF(K1970&lt;=5,"BOM","EXCELENTE")))</f>
        <v/>
      </c>
      <c r="N1970" t="n">
        <v>0</v>
      </c>
      <c r="O1970" t="n">
        <v>0</v>
      </c>
    </row>
    <row r="1971" hidden="1">
      <c r="A1971" s="11" t="n">
        <v>46063</v>
      </c>
      <c r="B1971" t="inlineStr">
        <is>
          <t>Clessiane Pereira dos Santos</t>
        </is>
      </c>
      <c r="C1971" t="inlineStr">
        <is>
          <t>Técnico I</t>
        </is>
      </c>
      <c r="D1971" t="n">
        <v>106</v>
      </c>
      <c r="E1971" t="n">
        <v>12</v>
      </c>
      <c r="F1971" t="n">
        <v>3.23</v>
      </c>
      <c r="G1971" t="n">
        <v>0</v>
      </c>
      <c r="H1971" t="n">
        <v>0</v>
      </c>
      <c r="I1971" s="3">
        <f>E1971+G1971+H1971</f>
        <v/>
      </c>
      <c r="J1971" s="3">
        <f>ROUND(MIN(IF(C1971="Técnico III",35,IF(C1971="Técnico II",28,IF(C1971="Técnico I",23,IF(C1971="JR",20,IF(C1971="Estágio",10,0))))),IF(C1971="Técnico III",SUMIFS($D:$D,$A:$A,$A1971,$B:$B,"&lt;&gt;Patrícia Karla de Sousa Araújo",$B:$B,"&lt;&gt;Lorena Dias de Araujo",$B:$B,"&lt;&gt;Lucas Luiz Romero")*(35/1083),IF(C1971="Técnico II",SUMIFS($D:$D,$A:$A,$A1971,$B:$B,"&lt;&gt;Patrícia Karla de Sousa Araújo",$B:$B,"&lt;&gt;Lorena Dias de Araujo",$B:$B,"&lt;&gt;Lucas Luiz Romero")*(28/1083),IF(C1971="Técnico I",SUMIFS($D:$D,$A:$A,$A1971,$B:$B,"&lt;&gt;Patrícia Karla de Sousa Araújo",$B:$B,"&lt;&gt;Lorena Dias de Araujo",$B:$B,"&lt;&gt;Lucas Luiz Romero")*(23/1083),IF(C1971="JR",SUMIFS($D:$D,$A:$A,$A1971,$B:$B,"&lt;&gt;Patrícia Karla de Sousa Araújo",$B:$B,"&lt;&gt;Lorena Dias de Araujo",$B:$B,"&lt;&gt;Lucas Luiz Romero")*(20/1083),IF(C1971="Estágio",SUMIFS($D:$D,$A:$A,$A1971,$B:$B,"&lt;&gt;Patrícia Karla de Sousa Araújo",$B:$B,"&lt;&gt;Lorena Dias de Araujo",$B:$B,"&lt;&gt;Lucas Luiz Romero")*(10/1083),0)))))),0)</f>
        <v/>
      </c>
      <c r="K1971" s="3">
        <f>I1971-J1971</f>
        <v/>
      </c>
      <c r="L1971" s="3">
        <f>IF(K1971&lt;-5,"CRÍTICO",IF(K1971&lt;0,"ATENÇÃO",IF(K1971&lt;=5,"BOM","EXCELENTE")))</f>
        <v/>
      </c>
      <c r="N1971" t="n">
        <v>98.75</v>
      </c>
      <c r="O1971" t="n">
        <v>24.32432432432433</v>
      </c>
    </row>
    <row r="1972" hidden="1">
      <c r="A1972" s="11" t="n">
        <v>46063</v>
      </c>
      <c r="B1972" t="inlineStr">
        <is>
          <t>Cristiane Ramos da Silva Rocha</t>
        </is>
      </c>
      <c r="C1972" t="inlineStr">
        <is>
          <t>Técnico III</t>
        </is>
      </c>
      <c r="D1972" t="n">
        <v>40</v>
      </c>
      <c r="E1972" t="n">
        <v>37</v>
      </c>
      <c r="F1972" t="n">
        <v>14.01</v>
      </c>
      <c r="G1972" t="n">
        <v>0</v>
      </c>
      <c r="H1972" t="n">
        <v>0</v>
      </c>
      <c r="I1972" s="3">
        <f>E1972+G1972+H1972</f>
        <v/>
      </c>
      <c r="J1972" s="3">
        <f>ROUND(MIN(IF(C1972="Técnico III",35,IF(C1972="Técnico II",28,IF(C1972="Técnico I",23,IF(C1972="JR",20,IF(C1972="Estágio",10,0))))),IF(C1972="Técnico III",SUMIFS($D:$D,$A:$A,$A1972,$B:$B,"&lt;&gt;Patrícia Karla de Sousa Araújo",$B:$B,"&lt;&gt;Lorena Dias de Araujo",$B:$B,"&lt;&gt;Lucas Luiz Romero")*(35/1083),IF(C1972="Técnico II",SUMIFS($D:$D,$A:$A,$A1972,$B:$B,"&lt;&gt;Patrícia Karla de Sousa Araújo",$B:$B,"&lt;&gt;Lorena Dias de Araujo",$B:$B,"&lt;&gt;Lucas Luiz Romero")*(28/1083),IF(C1972="Técnico I",SUMIFS($D:$D,$A:$A,$A1972,$B:$B,"&lt;&gt;Patrícia Karla de Sousa Araújo",$B:$B,"&lt;&gt;Lorena Dias de Araujo",$B:$B,"&lt;&gt;Lucas Luiz Romero")*(23/1083),IF(C1972="JR",SUMIFS($D:$D,$A:$A,$A1972,$B:$B,"&lt;&gt;Patrícia Karla de Sousa Araújo",$B:$B,"&lt;&gt;Lorena Dias de Araujo",$B:$B,"&lt;&gt;Lucas Luiz Romero")*(20/1083),IF(C1972="Estágio",SUMIFS($D:$D,$A:$A,$A1972,$B:$B,"&lt;&gt;Patrícia Karla de Sousa Araújo",$B:$B,"&lt;&gt;Lorena Dias de Araujo",$B:$B,"&lt;&gt;Lucas Luiz Romero")*(10/1083),0)))))),0)</f>
        <v/>
      </c>
      <c r="K1972" s="3">
        <f>I1972-J1972</f>
        <v/>
      </c>
      <c r="L1972" s="3">
        <f>IF(K1972&lt;-5,"CRÍTICO",IF(K1972&lt;0,"ATENÇÃO",IF(K1972&lt;=5,"BOM","EXCELENTE")))</f>
        <v/>
      </c>
      <c r="N1972" t="n">
        <v>93.48</v>
      </c>
      <c r="O1972" t="n">
        <v>31.33462282398452</v>
      </c>
    </row>
    <row r="1973" hidden="1">
      <c r="A1973" s="11" t="n">
        <v>46063</v>
      </c>
      <c r="B1973" t="inlineStr">
        <is>
          <t>Damyllis Lorraine de Oliveira Gonçalves</t>
        </is>
      </c>
      <c r="C1973" t="inlineStr">
        <is>
          <t>Técnico II</t>
        </is>
      </c>
      <c r="D1973" t="n">
        <v>31</v>
      </c>
      <c r="E1973" t="n">
        <v>27</v>
      </c>
      <c r="F1973" t="n">
        <v>21.59</v>
      </c>
      <c r="G1973" t="n">
        <v>0</v>
      </c>
      <c r="H1973" t="n">
        <v>0</v>
      </c>
      <c r="I1973" s="3" t="n">
        <v>0</v>
      </c>
      <c r="J1973" s="3" t="n">
        <v>0</v>
      </c>
      <c r="K1973" s="3" t="n">
        <v>0</v>
      </c>
      <c r="L1973" s="3">
        <f>IF(K1973&lt;-5,"CRÍTICO",IF(K1973&lt;0,"ATENÇÃO",IF(K1973&lt;=5,"BOM","EXCELENTE")))</f>
        <v/>
      </c>
      <c r="N1973" t="n">
        <v>99.16</v>
      </c>
      <c r="O1973" t="n">
        <v>26.13908872901678</v>
      </c>
    </row>
    <row r="1974" hidden="1">
      <c r="A1974" s="11" t="n">
        <v>46063</v>
      </c>
      <c r="B1974" t="inlineStr">
        <is>
          <t>Daniel Gomes da Silva</t>
        </is>
      </c>
      <c r="C1974" t="inlineStr">
        <is>
          <t>Técnico I</t>
        </is>
      </c>
      <c r="D1974" t="n">
        <v>28</v>
      </c>
      <c r="E1974" t="n">
        <v>26</v>
      </c>
      <c r="F1974" t="n">
        <v>23.46</v>
      </c>
      <c r="G1974" t="n">
        <v>0</v>
      </c>
      <c r="H1974" t="n">
        <v>0</v>
      </c>
      <c r="I1974" s="3">
        <f>E1974+G1974+H1974</f>
        <v/>
      </c>
      <c r="J1974" s="3">
        <f>ROUND(MIN(IF(C1974="Técnico III",35,IF(C1974="Técnico II",28,IF(C1974="Técnico I",23,IF(C1974="JR",20,IF(C1974="Estágio",10,0))))),IF(C1974="Técnico III",SUMIFS($D:$D,$A:$A,$A1974,$B:$B,"&lt;&gt;Patrícia Karla de Sousa Araújo",$B:$B,"&lt;&gt;Lorena Dias de Araujo",$B:$B,"&lt;&gt;Lucas Luiz Romero")*(35/1083),IF(C1974="Técnico II",SUMIFS($D:$D,$A:$A,$A1974,$B:$B,"&lt;&gt;Patrícia Karla de Sousa Araújo",$B:$B,"&lt;&gt;Lorena Dias de Araujo",$B:$B,"&lt;&gt;Lucas Luiz Romero")*(28/1083),IF(C1974="Técnico I",SUMIFS($D:$D,$A:$A,$A1974,$B:$B,"&lt;&gt;Patrícia Karla de Sousa Araújo",$B:$B,"&lt;&gt;Lorena Dias de Araujo",$B:$B,"&lt;&gt;Lucas Luiz Romero")*(23/1083),IF(C1974="JR",SUMIFS($D:$D,$A:$A,$A1974,$B:$B,"&lt;&gt;Patrícia Karla de Sousa Araújo",$B:$B,"&lt;&gt;Lorena Dias de Araujo",$B:$B,"&lt;&gt;Lucas Luiz Romero")*(20/1083),IF(C1974="Estágio",SUMIFS($D:$D,$A:$A,$A1974,$B:$B,"&lt;&gt;Patrícia Karla de Sousa Araújo",$B:$B,"&lt;&gt;Lorena Dias de Araujo",$B:$B,"&lt;&gt;Lucas Luiz Romero")*(10/1083),0)))))),0)</f>
        <v/>
      </c>
      <c r="K1974" s="3">
        <f>I1974-J1974</f>
        <v/>
      </c>
      <c r="L1974" s="3">
        <f>IF(K1974&lt;-5,"CRÍTICO",IF(K1974&lt;0,"ATENÇÃO",IF(K1974&lt;=5,"BOM","EXCELENTE")))</f>
        <v/>
      </c>
      <c r="N1974" t="n">
        <v>100</v>
      </c>
      <c r="O1974" t="n">
        <v>31.08974358974359</v>
      </c>
    </row>
    <row r="1975" hidden="1">
      <c r="A1975" s="11" t="n">
        <v>46063</v>
      </c>
      <c r="B1975" t="inlineStr">
        <is>
          <t>Davylla Rodrigues Freitas Silva</t>
        </is>
      </c>
      <c r="C1975" t="inlineStr">
        <is>
          <t>Técnico III</t>
        </is>
      </c>
      <c r="D1975" t="n">
        <v>30</v>
      </c>
      <c r="E1975" t="n">
        <v>29</v>
      </c>
      <c r="F1975" t="n">
        <v>25.58</v>
      </c>
      <c r="G1975" t="n">
        <v>0</v>
      </c>
      <c r="H1975" t="n">
        <v>0</v>
      </c>
      <c r="I1975" s="3" t="n">
        <v>0</v>
      </c>
      <c r="J1975" s="3" t="n">
        <v>0</v>
      </c>
      <c r="K1975" s="3" t="n">
        <v>0</v>
      </c>
      <c r="L1975" s="3">
        <f>IF(K1975&lt;-5,"CRÍTICO",IF(K1975&lt;0,"ATENÇÃO",IF(K1975&lt;=5,"BOM","EXCELENTE")))</f>
        <v/>
      </c>
      <c r="N1975" t="n">
        <v>98.11</v>
      </c>
      <c r="O1975" t="n">
        <v>33.03370786516854</v>
      </c>
    </row>
    <row r="1976" hidden="1">
      <c r="A1976" s="11" t="n">
        <v>46063</v>
      </c>
      <c r="B1976" t="inlineStr">
        <is>
          <t>Emilly Caylane Costa</t>
        </is>
      </c>
      <c r="C1976" t="inlineStr">
        <is>
          <t>Estágio</t>
        </is>
      </c>
      <c r="D1976" t="n">
        <v>20</v>
      </c>
      <c r="E1976" t="n">
        <v>18</v>
      </c>
      <c r="F1976" t="n">
        <v>10.15</v>
      </c>
      <c r="G1976" t="n">
        <v>0</v>
      </c>
      <c r="H1976" t="n">
        <v>0</v>
      </c>
      <c r="I1976" s="3">
        <f>E1976+G1976+H1976</f>
        <v/>
      </c>
      <c r="J1976" s="3">
        <f>ROUND(MIN(IF(C1976="Técnico III",35,IF(C1976="Técnico II",28,IF(C1976="Técnico I",23,IF(C1976="JR",20,IF(C1976="Estágio",10,0))))),IF(C1976="Técnico III",SUMIFS($D:$D,$A:$A,$A1976,$B:$B,"&lt;&gt;Patrícia Karla de Sousa Araújo",$B:$B,"&lt;&gt;Lorena Dias de Araujo",$B:$B,"&lt;&gt;Lucas Luiz Romero")*(35/1083),IF(C1976="Técnico II",SUMIFS($D:$D,$A:$A,$A1976,$B:$B,"&lt;&gt;Patrícia Karla de Sousa Araújo",$B:$B,"&lt;&gt;Lorena Dias de Araujo",$B:$B,"&lt;&gt;Lucas Luiz Romero")*(28/1083),IF(C1976="Técnico I",SUMIFS($D:$D,$A:$A,$A1976,$B:$B,"&lt;&gt;Patrícia Karla de Sousa Araújo",$B:$B,"&lt;&gt;Lorena Dias de Araujo",$B:$B,"&lt;&gt;Lucas Luiz Romero")*(23/1083),IF(C1976="JR",SUMIFS($D:$D,$A:$A,$A1976,$B:$B,"&lt;&gt;Patrícia Karla de Sousa Araújo",$B:$B,"&lt;&gt;Lorena Dias de Araujo",$B:$B,"&lt;&gt;Lucas Luiz Romero")*(20/1083),IF(C1976="Estágio",SUMIFS($D:$D,$A:$A,$A1976,$B:$B,"&lt;&gt;Patrícia Karla de Sousa Araújo",$B:$B,"&lt;&gt;Lorena Dias de Araujo",$B:$B,"&lt;&gt;Lucas Luiz Romero")*(10/1083),0)))))),0)</f>
        <v/>
      </c>
      <c r="K1976" s="3">
        <f>I1976-J1976</f>
        <v/>
      </c>
      <c r="L1976" s="3">
        <f>IF(K1976&lt;-5,"CRÍTICO",IF(K1976&lt;0,"ATENÇÃO",IF(K1976&lt;=5,"BOM","EXCELENTE")))</f>
        <v/>
      </c>
      <c r="N1976" t="n">
        <v>78.95</v>
      </c>
      <c r="O1976" t="n">
        <v>38.98305084745763</v>
      </c>
    </row>
    <row r="1977" hidden="1">
      <c r="A1977" s="11" t="n">
        <v>46063</v>
      </c>
      <c r="B1977" t="inlineStr">
        <is>
          <t>Emilly Kamilly Medeiros Miranda</t>
        </is>
      </c>
      <c r="C1977" t="inlineStr">
        <is>
          <t>Técnico II</t>
        </is>
      </c>
      <c r="D1977" t="n">
        <v>14</v>
      </c>
      <c r="E1977" t="n">
        <v>14</v>
      </c>
      <c r="F1977" t="n">
        <v>35.38</v>
      </c>
      <c r="G1977" t="n">
        <v>0</v>
      </c>
      <c r="H1977" t="n">
        <v>0</v>
      </c>
      <c r="I1977" s="3">
        <f>E1977+G1977+H1977</f>
        <v/>
      </c>
      <c r="J1977" s="3">
        <f>ROUND(MIN(IF(C1977="Técnico III",35,IF(C1977="Técnico II",28,IF(C1977="Técnico I",23,IF(C1977="JR",20,IF(C1977="Estágio",10,0))))),IF(C1977="Técnico III",SUMIFS($D:$D,$A:$A,$A1977,$B:$B,"&lt;&gt;Patrícia Karla de Sousa Araújo",$B:$B,"&lt;&gt;Lorena Dias de Araujo",$B:$B,"&lt;&gt;Lucas Luiz Romero")*(35/1083),IF(C1977="Técnico II",SUMIFS($D:$D,$A:$A,$A1977,$B:$B,"&lt;&gt;Patrícia Karla de Sousa Araújo",$B:$B,"&lt;&gt;Lorena Dias de Araujo",$B:$B,"&lt;&gt;Lucas Luiz Romero")*(28/1083),IF(C1977="Técnico I",SUMIFS($D:$D,$A:$A,$A1977,$B:$B,"&lt;&gt;Patrícia Karla de Sousa Araújo",$B:$B,"&lt;&gt;Lorena Dias de Araujo",$B:$B,"&lt;&gt;Lucas Luiz Romero")*(23/1083),IF(C1977="JR",SUMIFS($D:$D,$A:$A,$A1977,$B:$B,"&lt;&gt;Patrícia Karla de Sousa Araújo",$B:$B,"&lt;&gt;Lorena Dias de Araujo",$B:$B,"&lt;&gt;Lucas Luiz Romero")*(20/1083),IF(C1977="Estágio",SUMIFS($D:$D,$A:$A,$A1977,$B:$B,"&lt;&gt;Patrícia Karla de Sousa Araújo",$B:$B,"&lt;&gt;Lorena Dias de Araujo",$B:$B,"&lt;&gt;Lucas Luiz Romero")*(10/1083),0)))))),0)</f>
        <v/>
      </c>
      <c r="K1977" s="3">
        <f>I1977-J1977</f>
        <v/>
      </c>
      <c r="L1977" s="3">
        <f>IF(K1977&lt;-5,"CRÍTICO",IF(K1977&lt;0,"ATENÇÃO",IF(K1977&lt;=5,"BOM","EXCELENTE")))</f>
        <v/>
      </c>
      <c r="N1977" t="n">
        <v>98.45</v>
      </c>
      <c r="O1977" t="n">
        <v>29.2817679558011</v>
      </c>
    </row>
    <row r="1978" hidden="1">
      <c r="A1978" s="11" t="n">
        <v>46063</v>
      </c>
      <c r="B1978" t="inlineStr">
        <is>
          <t>Francielson de Oliveira</t>
        </is>
      </c>
      <c r="C1978" t="inlineStr">
        <is>
          <t>Técnico III</t>
        </is>
      </c>
      <c r="D1978" t="n">
        <v>30</v>
      </c>
      <c r="E1978" t="n">
        <v>30</v>
      </c>
      <c r="F1978" t="n">
        <v>18.44</v>
      </c>
      <c r="G1978" t="n">
        <v>0</v>
      </c>
      <c r="H1978" t="n">
        <v>0</v>
      </c>
      <c r="I1978" s="3">
        <f>E1978+G1978+H1978</f>
        <v/>
      </c>
      <c r="J1978" s="3">
        <f>ROUND(MIN(IF(C1978="Técnico III",35,IF(C1978="Técnico II",28,IF(C1978="Técnico I",23,IF(C1978="JR",20,IF(C1978="Estágio",10,0))))),IF(C1978="Técnico III",SUMIFS($D:$D,$A:$A,$A1978,$B:$B,"&lt;&gt;Patrícia Karla de Sousa Araújo",$B:$B,"&lt;&gt;Lorena Dias de Araujo",$B:$B,"&lt;&gt;Lucas Luiz Romero")*(35/1083),IF(C1978="Técnico II",SUMIFS($D:$D,$A:$A,$A1978,$B:$B,"&lt;&gt;Patrícia Karla de Sousa Araújo",$B:$B,"&lt;&gt;Lorena Dias de Araujo",$B:$B,"&lt;&gt;Lucas Luiz Romero")*(28/1083),IF(C1978="Técnico I",SUMIFS($D:$D,$A:$A,$A1978,$B:$B,"&lt;&gt;Patrícia Karla de Sousa Araújo",$B:$B,"&lt;&gt;Lorena Dias de Araujo",$B:$B,"&lt;&gt;Lucas Luiz Romero")*(23/1083),IF(C1978="JR",SUMIFS($D:$D,$A:$A,$A1978,$B:$B,"&lt;&gt;Patrícia Karla de Sousa Araújo",$B:$B,"&lt;&gt;Lorena Dias de Araujo",$B:$B,"&lt;&gt;Lucas Luiz Romero")*(20/1083),IF(C1978="Estágio",SUMIFS($D:$D,$A:$A,$A1978,$B:$B,"&lt;&gt;Patrícia Karla de Sousa Araújo",$B:$B,"&lt;&gt;Lorena Dias de Araujo",$B:$B,"&lt;&gt;Lucas Luiz Romero")*(10/1083),0)))))),0)</f>
        <v/>
      </c>
      <c r="K1978" s="3">
        <f>I1978-J1978</f>
        <v/>
      </c>
      <c r="L1978" s="3">
        <f>IF(K1978&lt;-5,"CRÍTICO",IF(K1978&lt;0,"ATENÇÃO",IF(K1978&lt;=5,"BOM","EXCELENTE")))</f>
        <v/>
      </c>
      <c r="N1978" t="n">
        <v>97.84</v>
      </c>
      <c r="O1978" t="n">
        <v>26.28205128205128</v>
      </c>
    </row>
    <row r="1979" hidden="1">
      <c r="A1979" s="11" t="n">
        <v>46063</v>
      </c>
      <c r="B1979" t="inlineStr">
        <is>
          <t>Francilene Ferreira de Jesus</t>
        </is>
      </c>
      <c r="C1979" t="inlineStr">
        <is>
          <t>Técnico II</t>
        </is>
      </c>
      <c r="D1979" t="n">
        <v>34</v>
      </c>
      <c r="E1979" t="n">
        <v>30</v>
      </c>
      <c r="F1979" t="n">
        <v>16.53</v>
      </c>
      <c r="G1979" t="n">
        <v>0</v>
      </c>
      <c r="H1979" t="n">
        <v>0</v>
      </c>
      <c r="I1979" s="3">
        <f>E1979+G1979+H1979</f>
        <v/>
      </c>
      <c r="J1979" s="3">
        <f>ROUND(MIN(IF(C1979="Técnico III",35,IF(C1979="Técnico II",28,IF(C1979="Técnico I",23,IF(C1979="JR",20,IF(C1979="Estágio",10,0))))),IF(C1979="Técnico III",SUMIFS($D:$D,$A:$A,$A1979,$B:$B,"&lt;&gt;Patrícia Karla de Sousa Araújo",$B:$B,"&lt;&gt;Lorena Dias de Araujo",$B:$B,"&lt;&gt;Lucas Luiz Romero")*(35/1083),IF(C1979="Técnico II",SUMIFS($D:$D,$A:$A,$A1979,$B:$B,"&lt;&gt;Patrícia Karla de Sousa Araújo",$B:$B,"&lt;&gt;Lorena Dias de Araujo",$B:$B,"&lt;&gt;Lucas Luiz Romero")*(28/1083),IF(C1979="Técnico I",SUMIFS($D:$D,$A:$A,$A1979,$B:$B,"&lt;&gt;Patrícia Karla de Sousa Araújo",$B:$B,"&lt;&gt;Lorena Dias de Araujo",$B:$B,"&lt;&gt;Lucas Luiz Romero")*(23/1083),IF(C1979="JR",SUMIFS($D:$D,$A:$A,$A1979,$B:$B,"&lt;&gt;Patrícia Karla de Sousa Araújo",$B:$B,"&lt;&gt;Lorena Dias de Araujo",$B:$B,"&lt;&gt;Lucas Luiz Romero")*(20/1083),IF(C1979="Estágio",SUMIFS($D:$D,$A:$A,$A1979,$B:$B,"&lt;&gt;Patrícia Karla de Sousa Araújo",$B:$B,"&lt;&gt;Lorena Dias de Araujo",$B:$B,"&lt;&gt;Lucas Luiz Romero")*(10/1083),0)))))),0)</f>
        <v/>
      </c>
      <c r="K1979" s="3">
        <f>I1979-J1979</f>
        <v/>
      </c>
      <c r="L1979" s="3">
        <f>IF(K1979&lt;-5,"CRÍTICO",IF(K1979&lt;0,"ATENÇÃO",IF(K1979&lt;=5,"BOM","EXCELENTE")))</f>
        <v/>
      </c>
      <c r="N1979" t="n">
        <v>98.5</v>
      </c>
      <c r="O1979" t="n">
        <v>23.97769516728625</v>
      </c>
    </row>
    <row r="1980" hidden="1">
      <c r="A1980" s="11" t="n">
        <v>46097</v>
      </c>
      <c r="B1980" t="inlineStr">
        <is>
          <t>Gabriel Gomes de Andrade</t>
        </is>
      </c>
      <c r="C1980" t="inlineStr">
        <is>
          <t>Técnico I</t>
        </is>
      </c>
      <c r="D1980" t="n">
        <v>23</v>
      </c>
      <c r="E1980" t="n">
        <v>22</v>
      </c>
      <c r="F1980" t="n">
        <v>23.26</v>
      </c>
      <c r="G1980" t="n">
        <v>0</v>
      </c>
      <c r="H1980" t="n">
        <v>0</v>
      </c>
      <c r="I1980" s="3">
        <f>E1980+G1980+H1980</f>
        <v/>
      </c>
      <c r="J1980" s="3">
        <f>ROUND(MIN(IF(C1980="Técnico III",35,IF(C1980="Técnico II",28,IF(C1980="Técnico I",23,IF(C1980="JR",20,IF(C1980="Estágio",10,0))))),IF(C1980="Técnico III",SUMIFS($D:$D,$A:$A,$A1980,$B:$B,"&lt;&gt;Patrícia Karla de Sousa Araújo",$B:$B,"&lt;&gt;Lorena Dias de Araujo",$B:$B,"&lt;&gt;Lucas Luiz Romero")*(35/1083),IF(C1980="Técnico II",SUMIFS($D:$D,$A:$A,$A1980,$B:$B,"&lt;&gt;Patrícia Karla de Sousa Araújo",$B:$B,"&lt;&gt;Lorena Dias de Araujo",$B:$B,"&lt;&gt;Lucas Luiz Romero")*(28/1083),IF(C1980="Técnico I",SUMIFS($D:$D,$A:$A,$A1980,$B:$B,"&lt;&gt;Patrícia Karla de Sousa Araújo",$B:$B,"&lt;&gt;Lorena Dias de Araujo",$B:$B,"&lt;&gt;Lucas Luiz Romero")*(23/1083),IF(C1980="JR",SUMIFS($D:$D,$A:$A,$A1980,$B:$B,"&lt;&gt;Patrícia Karla de Sousa Araújo",$B:$B,"&lt;&gt;Lorena Dias de Araujo",$B:$B,"&lt;&gt;Lucas Luiz Romero")*(20/1083),IF(C1980="Estágio",SUMIFS($D:$D,$A:$A,$A1980,$B:$B,"&lt;&gt;Patrícia Karla de Sousa Araújo",$B:$B,"&lt;&gt;Lorena Dias de Araujo",$B:$B,"&lt;&gt;Lucas Luiz Romero")*(10/1083),0)))))),0)</f>
        <v/>
      </c>
      <c r="K1980" s="3">
        <f>I1980-J1980</f>
        <v/>
      </c>
      <c r="L1980" s="3">
        <f>IF(K1980&lt;-5,"CRÍTICO",IF(K1980&lt;0,"ATENÇÃO",IF(K1980&lt;=5,"BOM","EXCELENTE")))</f>
        <v/>
      </c>
      <c r="N1980" t="n">
        <v>99.05</v>
      </c>
      <c r="O1980" t="n">
        <v>26.62192393736018</v>
      </c>
    </row>
    <row r="1981" hidden="1">
      <c r="A1981" s="11" t="n">
        <v>46063</v>
      </c>
      <c r="B1981" t="inlineStr">
        <is>
          <t>Isabella Borges de Oliveira</t>
        </is>
      </c>
      <c r="C1981" t="inlineStr">
        <is>
          <t>Técnico II</t>
        </is>
      </c>
      <c r="D1981" t="n">
        <v>29</v>
      </c>
      <c r="E1981" t="n">
        <v>29</v>
      </c>
      <c r="F1981" t="n">
        <v>25.09</v>
      </c>
      <c r="G1981" t="n">
        <v>0</v>
      </c>
      <c r="H1981" t="n">
        <v>0</v>
      </c>
      <c r="I1981" s="3">
        <f>E1981+G1981+H1981</f>
        <v/>
      </c>
      <c r="J1981" s="3">
        <f>ROUND(MIN(IF(C1981="Técnico III",35,IF(C1981="Técnico II",28,IF(C1981="Técnico I",23,IF(C1981="JR",20,IF(C1981="Estágio",10,0))))),IF(C1981="Técnico III",SUMIFS($D:$D,$A:$A,$A1981,$B:$B,"&lt;&gt;Patrícia Karla de Sousa Araújo",$B:$B,"&lt;&gt;Lorena Dias de Araujo",$B:$B,"&lt;&gt;Lucas Luiz Romero")*(35/1083),IF(C1981="Técnico II",SUMIFS($D:$D,$A:$A,$A1981,$B:$B,"&lt;&gt;Patrícia Karla de Sousa Araújo",$B:$B,"&lt;&gt;Lorena Dias de Araujo",$B:$B,"&lt;&gt;Lucas Luiz Romero")*(28/1083),IF(C1981="Técnico I",SUMIFS($D:$D,$A:$A,$A1981,$B:$B,"&lt;&gt;Patrícia Karla de Sousa Araújo",$B:$B,"&lt;&gt;Lorena Dias de Araujo",$B:$B,"&lt;&gt;Lucas Luiz Romero")*(23/1083),IF(C1981="JR",SUMIFS($D:$D,$A:$A,$A1981,$B:$B,"&lt;&gt;Patrícia Karla de Sousa Araújo",$B:$B,"&lt;&gt;Lorena Dias de Araujo",$B:$B,"&lt;&gt;Lucas Luiz Romero")*(20/1083),IF(C1981="Estágio",SUMIFS($D:$D,$A:$A,$A1981,$B:$B,"&lt;&gt;Patrícia Karla de Sousa Araújo",$B:$B,"&lt;&gt;Lorena Dias de Araujo",$B:$B,"&lt;&gt;Lucas Luiz Romero")*(10/1083),0)))))),0)</f>
        <v/>
      </c>
      <c r="K1981" s="3">
        <f>I1981-J1981</f>
        <v/>
      </c>
      <c r="L1981" s="3">
        <f>IF(K1981&lt;-5,"CRÍTICO",IF(K1981&lt;0,"ATENÇÃO",IF(K1981&lt;=5,"BOM","EXCELENTE")))</f>
        <v/>
      </c>
      <c r="N1981" t="n">
        <v>98.53</v>
      </c>
      <c r="O1981" t="n">
        <v>31.57894736842105</v>
      </c>
    </row>
    <row r="1982" hidden="1">
      <c r="A1982" s="11" t="n">
        <v>46063</v>
      </c>
      <c r="B1982" t="inlineStr">
        <is>
          <t>Janaina Lima dos Reis Urany</t>
        </is>
      </c>
      <c r="C1982" t="inlineStr">
        <is>
          <t>Técnico III</t>
        </is>
      </c>
      <c r="D1982" t="n">
        <v>48</v>
      </c>
      <c r="E1982" t="n">
        <v>46</v>
      </c>
      <c r="F1982" t="n">
        <v>15.35</v>
      </c>
      <c r="G1982" t="n">
        <v>0</v>
      </c>
      <c r="H1982" t="n">
        <v>0</v>
      </c>
      <c r="I1982" s="3">
        <f>E1982+G1982+H1982</f>
        <v/>
      </c>
      <c r="J1982" s="3">
        <f>ROUND(MIN(IF(C1982="Técnico III",35,IF(C1982="Técnico II",28,IF(C1982="Técnico I",23,IF(C1982="JR",20,IF(C1982="Estágio",10,0))))),IF(C1982="Técnico III",SUMIFS($D:$D,$A:$A,$A1982,$B:$B,"&lt;&gt;Patrícia Karla de Sousa Araújo",$B:$B,"&lt;&gt;Lorena Dias de Araujo",$B:$B,"&lt;&gt;Lucas Luiz Romero")*(35/1083),IF(C1982="Técnico II",SUMIFS($D:$D,$A:$A,$A1982,$B:$B,"&lt;&gt;Patrícia Karla de Sousa Araújo",$B:$B,"&lt;&gt;Lorena Dias de Araujo",$B:$B,"&lt;&gt;Lucas Luiz Romero")*(28/1083),IF(C1982="Técnico I",SUMIFS($D:$D,$A:$A,$A1982,$B:$B,"&lt;&gt;Patrícia Karla de Sousa Araújo",$B:$B,"&lt;&gt;Lorena Dias de Araujo",$B:$B,"&lt;&gt;Lucas Luiz Romero")*(23/1083),IF(C1982="JR",SUMIFS($D:$D,$A:$A,$A1982,$B:$B,"&lt;&gt;Patrícia Karla de Sousa Araújo",$B:$B,"&lt;&gt;Lorena Dias de Araujo",$B:$B,"&lt;&gt;Lucas Luiz Romero")*(20/1083),IF(C1982="Estágio",SUMIFS($D:$D,$A:$A,$A1982,$B:$B,"&lt;&gt;Patrícia Karla de Sousa Araújo",$B:$B,"&lt;&gt;Lorena Dias de Araujo",$B:$B,"&lt;&gt;Lucas Luiz Romero")*(10/1083),0)))))),0)</f>
        <v/>
      </c>
      <c r="K1982" s="3">
        <f>I1982-J1982</f>
        <v/>
      </c>
      <c r="L1982" s="3">
        <f>IF(K1982&lt;-5,"CRÍTICO",IF(K1982&lt;0,"ATENÇÃO",IF(K1982&lt;=5,"BOM","EXCELENTE")))</f>
        <v/>
      </c>
      <c r="N1982" t="n">
        <v>100</v>
      </c>
      <c r="O1982" t="n">
        <v>25.72214580467676</v>
      </c>
    </row>
    <row r="1983" hidden="1">
      <c r="A1983" s="11" t="n">
        <v>46063</v>
      </c>
      <c r="B1983" t="inlineStr">
        <is>
          <t>Jaqueline Evangelista da Silva Martins</t>
        </is>
      </c>
      <c r="C1983" t="inlineStr">
        <is>
          <t>Técnico III</t>
        </is>
      </c>
      <c r="D1983" t="n">
        <v>39</v>
      </c>
      <c r="E1983" t="n">
        <v>34</v>
      </c>
      <c r="F1983" t="n">
        <v>8.470000000000001</v>
      </c>
      <c r="G1983" t="n">
        <v>0</v>
      </c>
      <c r="H1983" t="n">
        <v>0</v>
      </c>
      <c r="I1983" s="3">
        <f>E1983+G1983+H1983</f>
        <v/>
      </c>
      <c r="J1983" s="3">
        <f>ROUND(MIN(IF(C1983="Técnico III",35,IF(C1983="Técnico II",28,IF(C1983="Técnico I",23,IF(C1983="JR",20,IF(C1983="Estágio",10,0))))),IF(C1983="Técnico III",SUMIFS($D:$D,$A:$A,$A1983,$B:$B,"&lt;&gt;Patrícia Karla de Sousa Araújo",$B:$B,"&lt;&gt;Lorena Dias de Araujo",$B:$B,"&lt;&gt;Lucas Luiz Romero")*(35/1083),IF(C1983="Técnico II",SUMIFS($D:$D,$A:$A,$A1983,$B:$B,"&lt;&gt;Patrícia Karla de Sousa Araújo",$B:$B,"&lt;&gt;Lorena Dias de Araujo",$B:$B,"&lt;&gt;Lucas Luiz Romero")*(28/1083),IF(C1983="Técnico I",SUMIFS($D:$D,$A:$A,$A1983,$B:$B,"&lt;&gt;Patrícia Karla de Sousa Araújo",$B:$B,"&lt;&gt;Lorena Dias de Araujo",$B:$B,"&lt;&gt;Lucas Luiz Romero")*(23/1083),IF(C1983="JR",SUMIFS($D:$D,$A:$A,$A1983,$B:$B,"&lt;&gt;Patrícia Karla de Sousa Araújo",$B:$B,"&lt;&gt;Lorena Dias de Araujo",$B:$B,"&lt;&gt;Lucas Luiz Romero")*(20/1083),IF(C1983="Estágio",SUMIFS($D:$D,$A:$A,$A1983,$B:$B,"&lt;&gt;Patrícia Karla de Sousa Araújo",$B:$B,"&lt;&gt;Lorena Dias de Araujo",$B:$B,"&lt;&gt;Lucas Luiz Romero")*(10/1083),0)))))),0)</f>
        <v/>
      </c>
      <c r="K1983" s="3">
        <f>I1983-J1983</f>
        <v/>
      </c>
      <c r="L1983" s="3">
        <f>IF(K1983&lt;-5,"CRÍTICO",IF(K1983&lt;0,"ATENÇÃO",IF(K1983&lt;=5,"BOM","EXCELENTE")))</f>
        <v/>
      </c>
      <c r="N1983" t="n">
        <v>94.64</v>
      </c>
      <c r="O1983" t="n">
        <v>27.52941176470588</v>
      </c>
    </row>
    <row r="1984" hidden="1">
      <c r="A1984" s="11" t="n">
        <v>46063</v>
      </c>
      <c r="B1984" t="inlineStr">
        <is>
          <t>Jessica Faria da Silveira</t>
        </is>
      </c>
      <c r="C1984" t="inlineStr">
        <is>
          <t>Técnico II</t>
        </is>
      </c>
      <c r="D1984" t="n">
        <v>26</v>
      </c>
      <c r="E1984" t="n">
        <v>21</v>
      </c>
      <c r="F1984" t="n">
        <v>21.47</v>
      </c>
      <c r="G1984" t="n">
        <v>0</v>
      </c>
      <c r="H1984" t="n">
        <v>0</v>
      </c>
      <c r="I1984" s="3">
        <f>E1984+G1984+H1984</f>
        <v/>
      </c>
      <c r="J1984" s="3">
        <f>ROUND(MIN(IF(C1984="Técnico III",35,IF(C1984="Técnico II",28,IF(C1984="Técnico I",23,IF(C1984="JR",20,IF(C1984="Estágio",10,0))))),IF(C1984="Técnico III",SUMIFS($D:$D,$A:$A,$A1984,$B:$B,"&lt;&gt;Patrícia Karla de Sousa Araújo",$B:$B,"&lt;&gt;Lorena Dias de Araujo",$B:$B,"&lt;&gt;Lucas Luiz Romero")*(35/1083),IF(C1984="Técnico II",SUMIFS($D:$D,$A:$A,$A1984,$B:$B,"&lt;&gt;Patrícia Karla de Sousa Araújo",$B:$B,"&lt;&gt;Lorena Dias de Araujo",$B:$B,"&lt;&gt;Lucas Luiz Romero")*(28/1083),IF(C1984="Técnico I",SUMIFS($D:$D,$A:$A,$A1984,$B:$B,"&lt;&gt;Patrícia Karla de Sousa Araújo",$B:$B,"&lt;&gt;Lorena Dias de Araujo",$B:$B,"&lt;&gt;Lucas Luiz Romero")*(23/1083),IF(C1984="JR",SUMIFS($D:$D,$A:$A,$A1984,$B:$B,"&lt;&gt;Patrícia Karla de Sousa Araújo",$B:$B,"&lt;&gt;Lorena Dias de Araujo",$B:$B,"&lt;&gt;Lucas Luiz Romero")*(20/1083),IF(C1984="Estágio",SUMIFS($D:$D,$A:$A,$A1984,$B:$B,"&lt;&gt;Patrícia Karla de Sousa Araújo",$B:$B,"&lt;&gt;Lorena Dias de Araujo",$B:$B,"&lt;&gt;Lucas Luiz Romero")*(10/1083),0)))))),0)</f>
        <v/>
      </c>
      <c r="K1984" s="3">
        <f>I1984-J1984</f>
        <v/>
      </c>
      <c r="L1984" s="3">
        <f>IF(K1984&lt;-5,"CRÍTICO",IF(K1984&lt;0,"ATENÇÃO",IF(K1984&lt;=5,"BOM","EXCELENTE")))</f>
        <v/>
      </c>
      <c r="N1984" t="n">
        <v>99.06999999999999</v>
      </c>
      <c r="O1984" t="n">
        <v>26.3768115942029</v>
      </c>
    </row>
    <row r="1985" hidden="1">
      <c r="A1985" s="11" t="n">
        <v>46063</v>
      </c>
      <c r="B1985" t="inlineStr">
        <is>
          <t>Jéssica Fé Moura</t>
        </is>
      </c>
      <c r="C1985" t="inlineStr">
        <is>
          <t>Técnico III</t>
        </is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s="3" t="n">
        <v>0</v>
      </c>
      <c r="J1985" s="3" t="n">
        <v>0</v>
      </c>
      <c r="K1985" s="3" t="n">
        <v>0</v>
      </c>
      <c r="L1985" s="3">
        <f>IF(K1985&lt;-5,"CRÍTICO",IF(K1985&lt;0,"ATENÇÃO",IF(K1985&lt;=5,"BOM","EXCELENTE")))</f>
        <v/>
      </c>
      <c r="N1985" t="n">
        <v>100</v>
      </c>
      <c r="O1985" t="n">
        <v>0</v>
      </c>
    </row>
    <row r="1986" hidden="1">
      <c r="A1986" s="11" t="n">
        <v>46063</v>
      </c>
      <c r="B1986" t="inlineStr">
        <is>
          <t>Karina Gonçalves Martins</t>
        </is>
      </c>
      <c r="C1986" t="inlineStr">
        <is>
          <t>JR</t>
        </is>
      </c>
      <c r="D1986" t="n">
        <v>14</v>
      </c>
      <c r="E1986" t="n">
        <v>13</v>
      </c>
      <c r="F1986" t="n">
        <v>19.07</v>
      </c>
      <c r="G1986" t="n">
        <v>0</v>
      </c>
      <c r="H1986" t="n">
        <v>0</v>
      </c>
      <c r="I1986" s="3">
        <f>E1986+G1986+H1986</f>
        <v/>
      </c>
      <c r="J1986" s="3">
        <f>ROUND(MIN(IF(C1986="Técnico III",35,IF(C1986="Técnico II",28,IF(C1986="Técnico I",23,IF(C1986="JR",20,IF(C1986="Estágio",10,0))))),IF(C1986="Técnico III",SUMIFS($D:$D,$A:$A,$A1986,$B:$B,"&lt;&gt;Patrícia Karla de Sousa Araújo",$B:$B,"&lt;&gt;Lorena Dias de Araujo",$B:$B,"&lt;&gt;Lucas Luiz Romero")*(35/1083),IF(C1986="Técnico II",SUMIFS($D:$D,$A:$A,$A1986,$B:$B,"&lt;&gt;Patrícia Karla de Sousa Araújo",$B:$B,"&lt;&gt;Lorena Dias de Araujo",$B:$B,"&lt;&gt;Lucas Luiz Romero")*(28/1083),IF(C1986="Técnico I",SUMIFS($D:$D,$A:$A,$A1986,$B:$B,"&lt;&gt;Patrícia Karla de Sousa Araújo",$B:$B,"&lt;&gt;Lorena Dias de Araujo",$B:$B,"&lt;&gt;Lucas Luiz Romero")*(23/1083),IF(C1986="JR",SUMIFS($D:$D,$A:$A,$A1986,$B:$B,"&lt;&gt;Patrícia Karla de Sousa Araújo",$B:$B,"&lt;&gt;Lorena Dias de Araujo",$B:$B,"&lt;&gt;Lucas Luiz Romero")*(20/1083),IF(C1986="Estágio",SUMIFS($D:$D,$A:$A,$A1986,$B:$B,"&lt;&gt;Patrícia Karla de Sousa Araújo",$B:$B,"&lt;&gt;Lorena Dias de Araujo",$B:$B,"&lt;&gt;Lucas Luiz Romero")*(10/1083),0)))))),0)</f>
        <v/>
      </c>
      <c r="K1986" s="3">
        <f>I1986-J1986</f>
        <v/>
      </c>
      <c r="L1986" s="3">
        <f>IF(K1986&lt;-5,"CRÍTICO",IF(K1986&lt;0,"ATENÇÃO",IF(K1986&lt;=5,"BOM","EXCELENTE")))</f>
        <v/>
      </c>
      <c r="N1986" t="n">
        <v>98.48</v>
      </c>
      <c r="O1986" t="n">
        <v>27.85388127853881</v>
      </c>
    </row>
    <row r="1987" hidden="1">
      <c r="A1987" s="11" t="n">
        <v>46063</v>
      </c>
      <c r="B1987" t="inlineStr">
        <is>
          <t>Kerollen Cristielly de Jesus Siqueira</t>
        </is>
      </c>
      <c r="C1987" t="inlineStr">
        <is>
          <t>Técnico III</t>
        </is>
      </c>
      <c r="D1987" t="n">
        <v>4</v>
      </c>
      <c r="E1987" t="n">
        <v>4</v>
      </c>
      <c r="F1987" t="n">
        <v>63.33</v>
      </c>
      <c r="G1987" t="n">
        <v>0</v>
      </c>
      <c r="H1987" t="n">
        <v>0</v>
      </c>
      <c r="I1987" s="3">
        <f>E1987+G1987+H1987</f>
        <v/>
      </c>
      <c r="J1987" s="3">
        <f>ROUND(MIN(IF(C1987="Técnico III",35,IF(C1987="Técnico II",28,IF(C1987="Técnico I",23,IF(C1987="JR",20,IF(C1987="Estágio",10,0))))),IF(C1987="Técnico III",SUMIFS($D:$D,$A:$A,$A1987,$B:$B,"&lt;&gt;Patrícia Karla de Sousa Araújo",$B:$B,"&lt;&gt;Lorena Dias de Araujo",$B:$B,"&lt;&gt;Lucas Luiz Romero")*(35/1083),IF(C1987="Técnico II",SUMIFS($D:$D,$A:$A,$A1987,$B:$B,"&lt;&gt;Patrícia Karla de Sousa Araújo",$B:$B,"&lt;&gt;Lorena Dias de Araujo",$B:$B,"&lt;&gt;Lucas Luiz Romero")*(28/1083),IF(C1987="Técnico I",SUMIFS($D:$D,$A:$A,$A1987,$B:$B,"&lt;&gt;Patrícia Karla de Sousa Araújo",$B:$B,"&lt;&gt;Lorena Dias de Araujo",$B:$B,"&lt;&gt;Lucas Luiz Romero")*(23/1083),IF(C1987="JR",SUMIFS($D:$D,$A:$A,$A1987,$B:$B,"&lt;&gt;Patrícia Karla de Sousa Araújo",$B:$B,"&lt;&gt;Lorena Dias de Araujo",$B:$B,"&lt;&gt;Lucas Luiz Romero")*(20/1083),IF(C1987="Estágio",SUMIFS($D:$D,$A:$A,$A1987,$B:$B,"&lt;&gt;Patrícia Karla de Sousa Araújo",$B:$B,"&lt;&gt;Lorena Dias de Araujo",$B:$B,"&lt;&gt;Lucas Luiz Romero")*(10/1083),0)))))),0)</f>
        <v/>
      </c>
      <c r="K1987" s="3">
        <f>I1987-J1987</f>
        <v/>
      </c>
      <c r="L1987" s="3">
        <f>IF(K1987&lt;-5,"CRÍTICO",IF(K1987&lt;0,"ATENÇÃO",IF(K1987&lt;=5,"BOM","EXCELENTE")))</f>
        <v/>
      </c>
      <c r="N1987" t="n">
        <v>95.15000000000001</v>
      </c>
      <c r="O1987" t="n">
        <v>34.13173652694611</v>
      </c>
    </row>
    <row r="1988" hidden="1">
      <c r="A1988" s="11" t="n">
        <v>46063</v>
      </c>
      <c r="B1988" t="inlineStr">
        <is>
          <t>Leandro de Souza Silva</t>
        </is>
      </c>
      <c r="C1988" t="inlineStr">
        <is>
          <t>JR</t>
        </is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s="3" t="n">
        <v>0</v>
      </c>
      <c r="J1988" s="3" t="n">
        <v>0</v>
      </c>
      <c r="K1988" s="3" t="n">
        <v>0</v>
      </c>
      <c r="L1988" s="3">
        <f>IF(K1988&lt;-5,"CRÍTICO",IF(K1988&lt;0,"ATENÇÃO",IF(K1988&lt;=5,"BOM","EXCELENTE")))</f>
        <v/>
      </c>
      <c r="N1988" t="n">
        <v>0</v>
      </c>
      <c r="O1988" t="n">
        <v>0</v>
      </c>
    </row>
    <row r="1989" hidden="1">
      <c r="A1989" s="11" t="n">
        <v>46063</v>
      </c>
      <c r="B1989" t="inlineStr">
        <is>
          <t>Leandro Oliveira de Sousa</t>
        </is>
      </c>
      <c r="C1989" t="inlineStr">
        <is>
          <t>Técnico III</t>
        </is>
      </c>
      <c r="D1989" t="n">
        <v>27</v>
      </c>
      <c r="E1989" t="n">
        <v>25</v>
      </c>
      <c r="F1989" t="n">
        <v>22.36</v>
      </c>
      <c r="G1989" t="n">
        <v>0</v>
      </c>
      <c r="H1989" t="n">
        <v>0</v>
      </c>
      <c r="I1989" s="3">
        <f>E1989+G1989+H1989</f>
        <v/>
      </c>
      <c r="J1989" s="3">
        <f>ROUND(MIN(IF(C1989="Técnico III",35,IF(C1989="Técnico II",28,IF(C1989="Técnico I",23,IF(C1989="JR",20,IF(C1989="Estágio",10,0))))),IF(C1989="Técnico III",SUMIFS($D:$D,$A:$A,$A1989,$B:$B,"&lt;&gt;Patrícia Karla de Sousa Araújo",$B:$B,"&lt;&gt;Lorena Dias de Araujo",$B:$B,"&lt;&gt;Lucas Luiz Romero")*(35/1083),IF(C1989="Técnico II",SUMIFS($D:$D,$A:$A,$A1989,$B:$B,"&lt;&gt;Patrícia Karla de Sousa Araújo",$B:$B,"&lt;&gt;Lorena Dias de Araujo",$B:$B,"&lt;&gt;Lucas Luiz Romero")*(28/1083),IF(C1989="Técnico I",SUMIFS($D:$D,$A:$A,$A1989,$B:$B,"&lt;&gt;Patrícia Karla de Sousa Araújo",$B:$B,"&lt;&gt;Lorena Dias de Araujo",$B:$B,"&lt;&gt;Lucas Luiz Romero")*(23/1083),IF(C1989="JR",SUMIFS($D:$D,$A:$A,$A1989,$B:$B,"&lt;&gt;Patrícia Karla de Sousa Araújo",$B:$B,"&lt;&gt;Lorena Dias de Araujo",$B:$B,"&lt;&gt;Lucas Luiz Romero")*(20/1083),IF(C1989="Estágio",SUMIFS($D:$D,$A:$A,$A1989,$B:$B,"&lt;&gt;Patrícia Karla de Sousa Araújo",$B:$B,"&lt;&gt;Lorena Dias de Araujo",$B:$B,"&lt;&gt;Lucas Luiz Romero")*(10/1083),0)))))),0)</f>
        <v/>
      </c>
      <c r="K1989" s="3">
        <f>I1989-J1989</f>
        <v/>
      </c>
      <c r="L1989" s="3">
        <f>IF(K1989&lt;-5,"CRÍTICO",IF(K1989&lt;0,"ATENÇÃO",IF(K1989&lt;=5,"BOM","EXCELENTE")))</f>
        <v/>
      </c>
      <c r="N1989" t="n">
        <v>99.26000000000001</v>
      </c>
      <c r="O1989" t="n">
        <v>30.84832904884319</v>
      </c>
    </row>
    <row r="1990" hidden="1">
      <c r="A1990" s="11" t="n">
        <v>46063</v>
      </c>
      <c r="B1990" t="inlineStr">
        <is>
          <t>Lizandra Gomes Duarte</t>
        </is>
      </c>
      <c r="C1990" t="inlineStr">
        <is>
          <t>Técnico II</t>
        </is>
      </c>
      <c r="D1990" t="n">
        <v>35</v>
      </c>
      <c r="E1990" t="n">
        <v>30</v>
      </c>
      <c r="F1990" t="n">
        <v>21.5</v>
      </c>
      <c r="G1990" t="n">
        <v>0</v>
      </c>
      <c r="H1990" t="n">
        <v>0</v>
      </c>
      <c r="I1990" s="3">
        <f>E1990+G1990+H1990</f>
        <v/>
      </c>
      <c r="J1990" s="3">
        <f>ROUND(MIN(IF(C1990="Técnico III",35,IF(C1990="Técnico II",28,IF(C1990="Técnico I",23,IF(C1990="JR",20,IF(C1990="Estágio",10,0))))),IF(C1990="Técnico III",SUMIFS($D:$D,$A:$A,$A1990,$B:$B,"&lt;&gt;Patrícia Karla de Sousa Araújo",$B:$B,"&lt;&gt;Lorena Dias de Araujo",$B:$B,"&lt;&gt;Lucas Luiz Romero")*(35/1083),IF(C1990="Técnico II",SUMIFS($D:$D,$A:$A,$A1990,$B:$B,"&lt;&gt;Patrícia Karla de Sousa Araújo",$B:$B,"&lt;&gt;Lorena Dias de Araujo",$B:$B,"&lt;&gt;Lucas Luiz Romero")*(28/1083),IF(C1990="Técnico I",SUMIFS($D:$D,$A:$A,$A1990,$B:$B,"&lt;&gt;Patrícia Karla de Sousa Araújo",$B:$B,"&lt;&gt;Lorena Dias de Araujo",$B:$B,"&lt;&gt;Lucas Luiz Romero")*(23/1083),IF(C1990="JR",SUMIFS($D:$D,$A:$A,$A1990,$B:$B,"&lt;&gt;Patrícia Karla de Sousa Araújo",$B:$B,"&lt;&gt;Lorena Dias de Araujo",$B:$B,"&lt;&gt;Lucas Luiz Romero")*(20/1083),IF(C1990="Estágio",SUMIFS($D:$D,$A:$A,$A1990,$B:$B,"&lt;&gt;Patrícia Karla de Sousa Araújo",$B:$B,"&lt;&gt;Lorena Dias de Araujo",$B:$B,"&lt;&gt;Lucas Luiz Romero")*(10/1083),0)))))),0)</f>
        <v/>
      </c>
      <c r="K1990" s="3">
        <f>I1990-J1990</f>
        <v/>
      </c>
      <c r="L1990" s="3">
        <f>IF(K1990&lt;-5,"CRÍTICO",IF(K1990&lt;0,"ATENÇÃO",IF(K1990&lt;=5,"BOM","EXCELENTE")))</f>
        <v/>
      </c>
      <c r="N1990" t="n">
        <v>97.48</v>
      </c>
      <c r="O1990" t="n">
        <v>27.76470588235294</v>
      </c>
    </row>
    <row r="1991" hidden="1">
      <c r="A1991" s="11" t="n">
        <v>46063</v>
      </c>
      <c r="B1991" t="inlineStr">
        <is>
          <t>Lorena Dias de Araujo</t>
        </is>
      </c>
      <c r="C1991" t="inlineStr">
        <is>
          <t>Técnico II</t>
        </is>
      </c>
      <c r="D1991" t="n">
        <v>38</v>
      </c>
      <c r="E1991" t="n">
        <v>37</v>
      </c>
      <c r="F1991" t="n">
        <v>16.55</v>
      </c>
      <c r="G1991" t="n">
        <v>0</v>
      </c>
      <c r="H1991" t="n">
        <v>0</v>
      </c>
      <c r="I1991" s="3" t="n">
        <v>0</v>
      </c>
      <c r="J1991" s="3" t="n">
        <v>0</v>
      </c>
      <c r="K1991" s="3" t="n">
        <v>0</v>
      </c>
      <c r="L1991" s="3">
        <f>IF(K1991&lt;-5,"CRÍTICO",IF(K1991&lt;0,"ATENÇÃO",IF(K1991&lt;=5,"BOM","EXCELENTE")))</f>
        <v/>
      </c>
      <c r="N1991" t="n">
        <v>99.34</v>
      </c>
      <c r="O1991" t="n">
        <v>30.04291845493562</v>
      </c>
    </row>
    <row r="1992" hidden="1">
      <c r="A1992" s="11" t="n">
        <v>46063</v>
      </c>
      <c r="B1992" t="inlineStr">
        <is>
          <t>Lucas Luiz Romero</t>
        </is>
      </c>
      <c r="C1992" t="inlineStr">
        <is>
          <t>Técnico III</t>
        </is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s="3" t="n">
        <v>0</v>
      </c>
      <c r="J1992" s="3" t="n">
        <v>0</v>
      </c>
      <c r="K1992" s="3" t="n">
        <v>0</v>
      </c>
      <c r="L1992" s="3">
        <f>IF(K1992&lt;-5,"CRÍTICO",IF(K1992&lt;0,"ATENÇÃO",IF(K1992&lt;=5,"BOM","EXCELENTE")))</f>
        <v/>
      </c>
      <c r="N1992" t="n">
        <v>96.3</v>
      </c>
      <c r="O1992" t="n">
        <v>24.29378531073446</v>
      </c>
    </row>
    <row r="1993" hidden="1">
      <c r="A1993" s="11" t="n">
        <v>46063</v>
      </c>
      <c r="B1993" t="inlineStr">
        <is>
          <t>Luiz Fernando de Carvalho Junior</t>
        </is>
      </c>
      <c r="C1993" t="inlineStr">
        <is>
          <t>Técnico I</t>
        </is>
      </c>
      <c r="D1993" t="n">
        <v>25</v>
      </c>
      <c r="E1993" t="n">
        <v>22</v>
      </c>
      <c r="F1993" t="n">
        <v>24.18</v>
      </c>
      <c r="G1993" t="n">
        <v>0</v>
      </c>
      <c r="H1993" t="n">
        <v>0</v>
      </c>
      <c r="I1993" s="3">
        <f>E1993+G1993+H1993</f>
        <v/>
      </c>
      <c r="J1993" s="3">
        <f>ROUND(MIN(IF(C1993="Técnico III",35,IF(C1993="Técnico II",28,IF(C1993="Técnico I",23,IF(C1993="JR",20,IF(C1993="Estágio",10,0))))),IF(C1993="Técnico III",SUMIFS($D:$D,$A:$A,$A1993,$B:$B,"&lt;&gt;Patrícia Karla de Sousa Araújo",$B:$B,"&lt;&gt;Lorena Dias de Araujo",$B:$B,"&lt;&gt;Lucas Luiz Romero")*(35/1083),IF(C1993="Técnico II",SUMIFS($D:$D,$A:$A,$A1993,$B:$B,"&lt;&gt;Patrícia Karla de Sousa Araújo",$B:$B,"&lt;&gt;Lorena Dias de Araujo",$B:$B,"&lt;&gt;Lucas Luiz Romero")*(28/1083),IF(C1993="Técnico I",SUMIFS($D:$D,$A:$A,$A1993,$B:$B,"&lt;&gt;Patrícia Karla de Sousa Araújo",$B:$B,"&lt;&gt;Lorena Dias de Araujo",$B:$B,"&lt;&gt;Lucas Luiz Romero")*(23/1083),IF(C1993="JR",SUMIFS($D:$D,$A:$A,$A1993,$B:$B,"&lt;&gt;Patrícia Karla de Sousa Araújo",$B:$B,"&lt;&gt;Lorena Dias de Araujo",$B:$B,"&lt;&gt;Lucas Luiz Romero")*(20/1083),IF(C1993="Estágio",SUMIFS($D:$D,$A:$A,$A1993,$B:$B,"&lt;&gt;Patrícia Karla de Sousa Araújo",$B:$B,"&lt;&gt;Lorena Dias de Araujo",$B:$B,"&lt;&gt;Lucas Luiz Romero")*(10/1083),0)))))),0)</f>
        <v/>
      </c>
      <c r="K1993" s="3">
        <f>I1993-J1993</f>
        <v/>
      </c>
      <c r="L1993" s="3">
        <f>IF(K1993&lt;-5,"CRÍTICO",IF(K1993&lt;0,"ATENÇÃO",IF(K1993&lt;=5,"BOM","EXCELENTE")))</f>
        <v/>
      </c>
      <c r="N1993" t="n">
        <v>100</v>
      </c>
      <c r="O1993" t="n">
        <v>26.54320987654321</v>
      </c>
    </row>
    <row r="1994" hidden="1">
      <c r="A1994" s="11" t="n">
        <v>46063</v>
      </c>
      <c r="B1994" t="inlineStr">
        <is>
          <t>Maria Eduarda Sousa Costa</t>
        </is>
      </c>
      <c r="C1994" t="inlineStr">
        <is>
          <t>Estágio</t>
        </is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s="3" t="n">
        <v>0</v>
      </c>
      <c r="J1994" s="3" t="n">
        <v>0</v>
      </c>
      <c r="K1994" s="3" t="n">
        <v>0</v>
      </c>
      <c r="L1994" s="3">
        <f>IF(K1994&lt;-5,"CRÍTICO",IF(K1994&lt;0,"ATENÇÃO",IF(K1994&lt;=5,"BOM","EXCELENTE")))</f>
        <v/>
      </c>
      <c r="N1994" t="n">
        <v>100</v>
      </c>
      <c r="O1994" t="n">
        <v>35.48387096774194</v>
      </c>
    </row>
    <row r="1995" hidden="1">
      <c r="A1995" s="11" t="n">
        <v>46063</v>
      </c>
      <c r="B1995" t="inlineStr">
        <is>
          <t>Matheus Farias De Souza</t>
        </is>
      </c>
      <c r="C1995" t="inlineStr">
        <is>
          <t>Técnico III</t>
        </is>
      </c>
      <c r="D1995" t="n">
        <v>26</v>
      </c>
      <c r="E1995" t="n">
        <v>23</v>
      </c>
      <c r="F1995" t="n">
        <v>18.47</v>
      </c>
      <c r="G1995" t="n">
        <v>0</v>
      </c>
      <c r="H1995" t="n">
        <v>0</v>
      </c>
      <c r="I1995" s="3">
        <f>E1995+G1995+H1995</f>
        <v/>
      </c>
      <c r="J1995" s="3">
        <f>ROUND(MIN(IF(C1995="Técnico III",35,IF(C1995="Técnico II",28,IF(C1995="Técnico I",23,IF(C1995="JR",20,IF(C1995="Estágio",10,0))))),IF(C1995="Técnico III",SUMIFS($D:$D,$A:$A,$A1995,$B:$B,"&lt;&gt;Patrícia Karla de Sousa Araújo",$B:$B,"&lt;&gt;Lorena Dias de Araujo",$B:$B,"&lt;&gt;Lucas Luiz Romero")*(35/1083),IF(C1995="Técnico II",SUMIFS($D:$D,$A:$A,$A1995,$B:$B,"&lt;&gt;Patrícia Karla de Sousa Araújo",$B:$B,"&lt;&gt;Lorena Dias de Araujo",$B:$B,"&lt;&gt;Lucas Luiz Romero")*(28/1083),IF(C1995="Técnico I",SUMIFS($D:$D,$A:$A,$A1995,$B:$B,"&lt;&gt;Patrícia Karla de Sousa Araújo",$B:$B,"&lt;&gt;Lorena Dias de Araujo",$B:$B,"&lt;&gt;Lucas Luiz Romero")*(23/1083),IF(C1995="JR",SUMIFS($D:$D,$A:$A,$A1995,$B:$B,"&lt;&gt;Patrícia Karla de Sousa Araújo",$B:$B,"&lt;&gt;Lorena Dias de Araujo",$B:$B,"&lt;&gt;Lucas Luiz Romero")*(20/1083),IF(C1995="Estágio",SUMIFS($D:$D,$A:$A,$A1995,$B:$B,"&lt;&gt;Patrícia Karla de Sousa Araújo",$B:$B,"&lt;&gt;Lorena Dias de Araujo",$B:$B,"&lt;&gt;Lucas Luiz Romero")*(10/1083),0)))))),0)</f>
        <v/>
      </c>
      <c r="K1995" s="3">
        <f>I1995-J1995</f>
        <v/>
      </c>
      <c r="L1995" s="3">
        <f>IF(K1995&lt;-5,"CRÍTICO",IF(K1995&lt;0,"ATENÇÃO",IF(K1995&lt;=5,"BOM","EXCELENTE")))</f>
        <v/>
      </c>
      <c r="N1995" t="n">
        <v>99.27</v>
      </c>
      <c r="O1995" t="n">
        <v>31.16370808678501</v>
      </c>
    </row>
    <row r="1996" hidden="1">
      <c r="A1996" s="11" t="n">
        <v>46063</v>
      </c>
      <c r="B1996" t="inlineStr">
        <is>
          <t>Maysa Victoria Dias Moura</t>
        </is>
      </c>
      <c r="C1996" t="inlineStr">
        <is>
          <t>Técnico III</t>
        </is>
      </c>
      <c r="D1996" t="n">
        <v>42</v>
      </c>
      <c r="E1996" t="n">
        <v>40</v>
      </c>
      <c r="F1996" t="n">
        <v>15</v>
      </c>
      <c r="G1996" t="n">
        <v>0</v>
      </c>
      <c r="H1996" t="n">
        <v>0</v>
      </c>
      <c r="I1996" s="3">
        <f>E1996+G1996+H1996</f>
        <v/>
      </c>
      <c r="J1996" s="3">
        <f>ROUND(MIN(IF(C1996="Técnico III",35,IF(C1996="Técnico II",28,IF(C1996="Técnico I",23,IF(C1996="JR",20,IF(C1996="Estágio",10,0))))),IF(C1996="Técnico III",SUMIFS($D:$D,$A:$A,$A1996,$B:$B,"&lt;&gt;Patrícia Karla de Sousa Araújo",$B:$B,"&lt;&gt;Lorena Dias de Araujo",$B:$B,"&lt;&gt;Lucas Luiz Romero")*(35/1083),IF(C1996="Técnico II",SUMIFS($D:$D,$A:$A,$A1996,$B:$B,"&lt;&gt;Patrícia Karla de Sousa Araújo",$B:$B,"&lt;&gt;Lorena Dias de Araujo",$B:$B,"&lt;&gt;Lucas Luiz Romero")*(28/1083),IF(C1996="Técnico I",SUMIFS($D:$D,$A:$A,$A1996,$B:$B,"&lt;&gt;Patrícia Karla de Sousa Araújo",$B:$B,"&lt;&gt;Lorena Dias de Araujo",$B:$B,"&lt;&gt;Lucas Luiz Romero")*(23/1083),IF(C1996="JR",SUMIFS($D:$D,$A:$A,$A1996,$B:$B,"&lt;&gt;Patrícia Karla de Sousa Araújo",$B:$B,"&lt;&gt;Lorena Dias de Araujo",$B:$B,"&lt;&gt;Lucas Luiz Romero")*(20/1083),IF(C1996="Estágio",SUMIFS($D:$D,$A:$A,$A1996,$B:$B,"&lt;&gt;Patrícia Karla de Sousa Araújo",$B:$B,"&lt;&gt;Lorena Dias de Araujo",$B:$B,"&lt;&gt;Lucas Luiz Romero")*(10/1083),0)))))),0)</f>
        <v/>
      </c>
      <c r="K1996" s="3">
        <f>I1996-J1996</f>
        <v/>
      </c>
      <c r="L1996" s="3">
        <f>IF(K1996&lt;-5,"CRÍTICO",IF(K1996&lt;0,"ATENÇÃO",IF(K1996&lt;=5,"BOM","EXCELENTE")))</f>
        <v/>
      </c>
      <c r="N1996" t="n">
        <v>94.16</v>
      </c>
      <c r="O1996" t="n">
        <v>27.03862660944206</v>
      </c>
    </row>
    <row r="1997" hidden="1">
      <c r="A1997" s="11" t="n">
        <v>46063</v>
      </c>
      <c r="B1997" t="inlineStr">
        <is>
          <t>Michelle G Santos</t>
        </is>
      </c>
      <c r="C1997" t="inlineStr">
        <is>
          <t>Estágio</t>
        </is>
      </c>
      <c r="D1997" t="n">
        <v>15</v>
      </c>
      <c r="E1997" t="n">
        <v>15</v>
      </c>
      <c r="F1997" t="n">
        <v>47.29</v>
      </c>
      <c r="G1997" t="n">
        <v>0</v>
      </c>
      <c r="H1997" t="n">
        <v>0</v>
      </c>
      <c r="I1997" s="3">
        <f>E1997+G1997+H1997</f>
        <v/>
      </c>
      <c r="J1997" s="3">
        <f>ROUND(MIN(IF(C1997="Técnico III",35,IF(C1997="Técnico II",28,IF(C1997="Técnico I",23,IF(C1997="JR",20,IF(C1997="Estágio",10,0))))),IF(C1997="Técnico III",SUMIFS($D:$D,$A:$A,$A1997,$B:$B,"&lt;&gt;Patrícia Karla de Sousa Araújo",$B:$B,"&lt;&gt;Lorena Dias de Araujo",$B:$B,"&lt;&gt;Lucas Luiz Romero")*(35/1083),IF(C1997="Técnico II",SUMIFS($D:$D,$A:$A,$A1997,$B:$B,"&lt;&gt;Patrícia Karla de Sousa Araújo",$B:$B,"&lt;&gt;Lorena Dias de Araujo",$B:$B,"&lt;&gt;Lucas Luiz Romero")*(28/1083),IF(C1997="Técnico I",SUMIFS($D:$D,$A:$A,$A1997,$B:$B,"&lt;&gt;Patrícia Karla de Sousa Araújo",$B:$B,"&lt;&gt;Lorena Dias de Araujo",$B:$B,"&lt;&gt;Lucas Luiz Romero")*(23/1083),IF(C1997="JR",SUMIFS($D:$D,$A:$A,$A1997,$B:$B,"&lt;&gt;Patrícia Karla de Sousa Araújo",$B:$B,"&lt;&gt;Lorena Dias de Araujo",$B:$B,"&lt;&gt;Lucas Luiz Romero")*(20/1083),IF(C1997="Estágio",SUMIFS($D:$D,$A:$A,$A1997,$B:$B,"&lt;&gt;Patrícia Karla de Sousa Araújo",$B:$B,"&lt;&gt;Lorena Dias de Araujo",$B:$B,"&lt;&gt;Lucas Luiz Romero")*(10/1083),0)))))),0)</f>
        <v/>
      </c>
      <c r="K1997" s="3">
        <f>I1997-J1997</f>
        <v/>
      </c>
      <c r="L1997" s="3">
        <f>IF(K1997&lt;-5,"CRÍTICO",IF(K1997&lt;0,"ATENÇÃO",IF(K1997&lt;=5,"BOM","EXCELENTE")))</f>
        <v/>
      </c>
      <c r="N1997" t="n">
        <v>93.75</v>
      </c>
      <c r="O1997" t="n">
        <v>19.31818181818182</v>
      </c>
    </row>
    <row r="1998" hidden="1">
      <c r="A1998" s="11" t="n">
        <v>46063</v>
      </c>
      <c r="B1998" t="inlineStr">
        <is>
          <t>Milena Sales</t>
        </is>
      </c>
      <c r="C1998" t="inlineStr">
        <is>
          <t>JR</t>
        </is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s="3" t="n">
        <v>0</v>
      </c>
      <c r="J1998" s="3" t="n">
        <v>0</v>
      </c>
      <c r="K1998" s="3" t="n">
        <v>0</v>
      </c>
      <c r="L1998" s="3">
        <f>IF(K1998&lt;-5,"CRÍTICO",IF(K1998&lt;0,"ATENÇÃO",IF(K1998&lt;=5,"BOM","EXCELENTE")))</f>
        <v/>
      </c>
      <c r="N1998" t="n">
        <v>0</v>
      </c>
      <c r="O1998" t="n">
        <v>0</v>
      </c>
    </row>
    <row r="1999" hidden="1">
      <c r="A1999" s="11" t="n">
        <v>46063</v>
      </c>
      <c r="B1999" t="inlineStr">
        <is>
          <t>Patrícia Karla de Sousa Araújo</t>
        </is>
      </c>
      <c r="C1999" t="inlineStr">
        <is>
          <t>Técnico II</t>
        </is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s="3" t="n">
        <v>0</v>
      </c>
      <c r="J1999" s="3" t="n">
        <v>0</v>
      </c>
      <c r="K1999" s="3" t="n">
        <v>0</v>
      </c>
      <c r="L1999" s="3">
        <f>IF(K1999&lt;-5,"CRÍTICO",IF(K1999&lt;0,"ATENÇÃO",IF(K1999&lt;=5,"BOM","EXCELENTE")))</f>
        <v/>
      </c>
      <c r="N1999" t="n">
        <v>97.92</v>
      </c>
      <c r="O1999" t="n">
        <v>32.87671232876712</v>
      </c>
    </row>
    <row r="2000" hidden="1">
      <c r="A2000" s="11" t="n">
        <v>46063</v>
      </c>
      <c r="B2000" t="inlineStr">
        <is>
          <t>Paulo Ricardo Santos</t>
        </is>
      </c>
      <c r="C2000" t="inlineStr">
        <is>
          <t>JR</t>
        </is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s="3" t="n">
        <v>0</v>
      </c>
      <c r="J2000" s="3" t="n">
        <v>0</v>
      </c>
      <c r="K2000" s="3" t="n">
        <v>0</v>
      </c>
      <c r="L2000" s="3">
        <f>IF(K2000&lt;-5,"CRÍTICO",IF(K2000&lt;0,"ATENÇÃO",IF(K2000&lt;=5,"BOM","EXCELENTE")))</f>
        <v/>
      </c>
      <c r="N2000" t="n">
        <v>0</v>
      </c>
      <c r="O2000" t="n">
        <v>0</v>
      </c>
    </row>
    <row r="2001" hidden="1">
      <c r="A2001" s="11" t="n">
        <v>46063</v>
      </c>
      <c r="B2001" t="inlineStr">
        <is>
          <t>Pedro Luiz Mota Sousa</t>
        </is>
      </c>
      <c r="C2001" t="inlineStr">
        <is>
          <t>JR</t>
        </is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s="3" t="n">
        <v>0</v>
      </c>
      <c r="J2001" s="3" t="n">
        <v>0</v>
      </c>
      <c r="K2001" s="3" t="n">
        <v>0</v>
      </c>
      <c r="L2001" s="3">
        <f>IF(K2001&lt;-5,"CRÍTICO",IF(K2001&lt;0,"ATENÇÃO",IF(K2001&lt;=5,"BOM","EXCELENTE")))</f>
        <v/>
      </c>
      <c r="N2001" t="n">
        <v>0</v>
      </c>
      <c r="O2001" t="n">
        <v>0</v>
      </c>
    </row>
    <row r="2002" hidden="1">
      <c r="A2002" s="11" t="n">
        <v>46063</v>
      </c>
      <c r="B2002" t="inlineStr">
        <is>
          <t>Quirino Diogo Leite Torres</t>
        </is>
      </c>
      <c r="C2002" t="inlineStr">
        <is>
          <t>Estágio</t>
        </is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s="3" t="n">
        <v>0</v>
      </c>
      <c r="J2002" s="3" t="n">
        <v>0</v>
      </c>
      <c r="K2002" s="3" t="n">
        <v>0</v>
      </c>
      <c r="L2002" s="3">
        <f>IF(K2002&lt;-5,"CRÍTICO",IF(K2002&lt;0,"ATENÇÃO",IF(K2002&lt;=5,"BOM","EXCELENTE")))</f>
        <v/>
      </c>
      <c r="N2002" t="n">
        <v>0</v>
      </c>
      <c r="O2002" t="n">
        <v>0</v>
      </c>
    </row>
    <row r="2003" hidden="1">
      <c r="A2003" s="11" t="n">
        <v>46063</v>
      </c>
      <c r="B2003" t="inlineStr">
        <is>
          <t>Raane Batista Matos</t>
        </is>
      </c>
      <c r="C2003" t="inlineStr">
        <is>
          <t>Técnico I</t>
        </is>
      </c>
      <c r="D2003" t="n">
        <v>14</v>
      </c>
      <c r="E2003" t="n">
        <v>13</v>
      </c>
      <c r="F2003" t="n">
        <v>51.52</v>
      </c>
      <c r="G2003" t="n">
        <v>0</v>
      </c>
      <c r="H2003" t="n">
        <v>0</v>
      </c>
      <c r="I2003" s="3">
        <f>E2003+G2003+H2003</f>
        <v/>
      </c>
      <c r="J2003" s="3">
        <f>ROUND(MIN(IF(C2003="Técnico III",35,IF(C2003="Técnico II",28,IF(C2003="Técnico I",23,IF(C2003="JR",20,IF(C2003="Estágio",10,0))))),IF(C2003="Técnico III",SUMIFS($D:$D,$A:$A,$A2003,$B:$B,"&lt;&gt;Patrícia Karla de Sousa Araújo",$B:$B,"&lt;&gt;Lorena Dias de Araujo",$B:$B,"&lt;&gt;Lucas Luiz Romero")*(35/1083),IF(C2003="Técnico II",SUMIFS($D:$D,$A:$A,$A2003,$B:$B,"&lt;&gt;Patrícia Karla de Sousa Araújo",$B:$B,"&lt;&gt;Lorena Dias de Araujo",$B:$B,"&lt;&gt;Lucas Luiz Romero")*(28/1083),IF(C2003="Técnico I",SUMIFS($D:$D,$A:$A,$A2003,$B:$B,"&lt;&gt;Patrícia Karla de Sousa Araújo",$B:$B,"&lt;&gt;Lorena Dias de Araujo",$B:$B,"&lt;&gt;Lucas Luiz Romero")*(23/1083),IF(C2003="JR",SUMIFS($D:$D,$A:$A,$A2003,$B:$B,"&lt;&gt;Patrícia Karla de Sousa Araújo",$B:$B,"&lt;&gt;Lorena Dias de Araujo",$B:$B,"&lt;&gt;Lucas Luiz Romero")*(20/1083),IF(C2003="Estágio",SUMIFS($D:$D,$A:$A,$A2003,$B:$B,"&lt;&gt;Patrícia Karla de Sousa Araújo",$B:$B,"&lt;&gt;Lorena Dias de Araujo",$B:$B,"&lt;&gt;Lucas Luiz Romero")*(10/1083),0)))))),0)</f>
        <v/>
      </c>
      <c r="K2003" s="3">
        <f>I2003-J2003</f>
        <v/>
      </c>
      <c r="L2003" s="3">
        <f>IF(K2003&lt;-5,"CRÍTICO",IF(K2003&lt;0,"ATENÇÃO",IF(K2003&lt;=5,"BOM","EXCELENTE")))</f>
        <v/>
      </c>
      <c r="N2003" t="n">
        <v>98.51000000000001</v>
      </c>
      <c r="O2003" t="n">
        <v>29.71014492753623</v>
      </c>
    </row>
    <row r="2004" hidden="1">
      <c r="A2004" s="11" t="n">
        <v>46063</v>
      </c>
      <c r="B2004" t="inlineStr">
        <is>
          <t>Rafael Gomes de Morais</t>
        </is>
      </c>
      <c r="C2004" t="inlineStr">
        <is>
          <t>Técnico III</t>
        </is>
      </c>
      <c r="D2004" t="n">
        <v>42</v>
      </c>
      <c r="E2004" t="n">
        <v>38</v>
      </c>
      <c r="F2004" t="n">
        <v>14.07</v>
      </c>
      <c r="G2004" t="n">
        <v>0</v>
      </c>
      <c r="H2004" t="n">
        <v>0</v>
      </c>
      <c r="I2004" s="3">
        <f>E2004+G2004+H2004</f>
        <v/>
      </c>
      <c r="J2004" s="3">
        <f>ROUND(MIN(IF(C2004="Técnico III",35,IF(C2004="Técnico II",28,IF(C2004="Técnico I",23,IF(C2004="JR",20,IF(C2004="Estágio",10,0))))),IF(C2004="Técnico III",SUMIFS($D:$D,$A:$A,$A2004,$B:$B,"&lt;&gt;Patrícia Karla de Sousa Araújo",$B:$B,"&lt;&gt;Lorena Dias de Araujo",$B:$B,"&lt;&gt;Lucas Luiz Romero")*(35/1083),IF(C2004="Técnico II",SUMIFS($D:$D,$A:$A,$A2004,$B:$B,"&lt;&gt;Patrícia Karla de Sousa Araújo",$B:$B,"&lt;&gt;Lorena Dias de Araujo",$B:$B,"&lt;&gt;Lucas Luiz Romero")*(28/1083),IF(C2004="Técnico I",SUMIFS($D:$D,$A:$A,$A2004,$B:$B,"&lt;&gt;Patrícia Karla de Sousa Araújo",$B:$B,"&lt;&gt;Lorena Dias de Araujo",$B:$B,"&lt;&gt;Lucas Luiz Romero")*(23/1083),IF(C2004="JR",SUMIFS($D:$D,$A:$A,$A2004,$B:$B,"&lt;&gt;Patrícia Karla de Sousa Araújo",$B:$B,"&lt;&gt;Lorena Dias de Araujo",$B:$B,"&lt;&gt;Lucas Luiz Romero")*(20/1083),IF(C2004="Estágio",SUMIFS($D:$D,$A:$A,$A2004,$B:$B,"&lt;&gt;Patrícia Karla de Sousa Araújo",$B:$B,"&lt;&gt;Lorena Dias de Araujo",$B:$B,"&lt;&gt;Lucas Luiz Romero")*(10/1083),0)))))),0)</f>
        <v/>
      </c>
      <c r="K2004" s="3">
        <f>I2004-J2004</f>
        <v/>
      </c>
      <c r="L2004" s="3">
        <f>IF(K2004&lt;-5,"CRÍTICO",IF(K2004&lt;0,"ATENÇÃO",IF(K2004&lt;=5,"BOM","EXCELENTE")))</f>
        <v/>
      </c>
      <c r="N2004" t="n">
        <v>98.81</v>
      </c>
      <c r="O2004" t="n">
        <v>30.71297989031079</v>
      </c>
    </row>
    <row r="2005" hidden="1">
      <c r="A2005" s="11" t="n">
        <v>46063</v>
      </c>
      <c r="B2005" t="inlineStr">
        <is>
          <t>Sara Maria Monteiro Lopes</t>
        </is>
      </c>
      <c r="C2005" t="inlineStr">
        <is>
          <t>Técnico I</t>
        </is>
      </c>
      <c r="D2005" t="n">
        <v>13</v>
      </c>
      <c r="E2005" t="n">
        <v>13</v>
      </c>
      <c r="F2005" t="n">
        <v>47.03</v>
      </c>
      <c r="G2005" t="n">
        <v>0</v>
      </c>
      <c r="H2005" t="n">
        <v>0</v>
      </c>
      <c r="I2005" s="3">
        <f>E2005+G2005+H2005</f>
        <v/>
      </c>
      <c r="J2005" s="3">
        <f>ROUND(MIN(IF(C2005="Técnico III",35,IF(C2005="Técnico II",28,IF(C2005="Técnico I",23,IF(C2005="JR",20,IF(C2005="Estágio",10,0))))),IF(C2005="Técnico III",SUMIFS($D:$D,$A:$A,$A2005,$B:$B,"&lt;&gt;Patrícia Karla de Sousa Araújo",$B:$B,"&lt;&gt;Lorena Dias de Araujo",$B:$B,"&lt;&gt;Lucas Luiz Romero")*(35/1083),IF(C2005="Técnico II",SUMIFS($D:$D,$A:$A,$A2005,$B:$B,"&lt;&gt;Patrícia Karla de Sousa Araújo",$B:$B,"&lt;&gt;Lorena Dias de Araujo",$B:$B,"&lt;&gt;Lucas Luiz Romero")*(28/1083),IF(C2005="Técnico I",SUMIFS($D:$D,$A:$A,$A2005,$B:$B,"&lt;&gt;Patrícia Karla de Sousa Araújo",$B:$B,"&lt;&gt;Lorena Dias de Araujo",$B:$B,"&lt;&gt;Lucas Luiz Romero")*(23/1083),IF(C2005="JR",SUMIFS($D:$D,$A:$A,$A2005,$B:$B,"&lt;&gt;Patrícia Karla de Sousa Araújo",$B:$B,"&lt;&gt;Lorena Dias de Araujo",$B:$B,"&lt;&gt;Lucas Luiz Romero")*(20/1083),IF(C2005="Estágio",SUMIFS($D:$D,$A:$A,$A2005,$B:$B,"&lt;&gt;Patrícia Karla de Sousa Araújo",$B:$B,"&lt;&gt;Lorena Dias de Araujo",$B:$B,"&lt;&gt;Lucas Luiz Romero")*(10/1083),0)))))),0)</f>
        <v/>
      </c>
      <c r="K2005" s="3">
        <f>I2005-J2005</f>
        <v/>
      </c>
      <c r="L2005" s="3">
        <f>IF(K2005&lt;-5,"CRÍTICO",IF(K2005&lt;0,"ATENÇÃO",IF(K2005&lt;=5,"BOM","EXCELENTE")))</f>
        <v/>
      </c>
      <c r="N2005" t="n">
        <v>98.48</v>
      </c>
      <c r="O2005" t="n">
        <v>29.35323383084577</v>
      </c>
    </row>
    <row r="2006" hidden="1">
      <c r="A2006" s="11" t="n">
        <v>46063</v>
      </c>
      <c r="B2006" t="inlineStr">
        <is>
          <t>Sarah Steffanie de Lima Borges</t>
        </is>
      </c>
      <c r="C2006" t="inlineStr">
        <is>
          <t>Técnico III</t>
        </is>
      </c>
      <c r="D2006" t="n">
        <v>27</v>
      </c>
      <c r="E2006" t="n">
        <v>27</v>
      </c>
      <c r="F2006" t="n">
        <v>15.3</v>
      </c>
      <c r="G2006" t="n">
        <v>0</v>
      </c>
      <c r="H2006" t="n">
        <v>0</v>
      </c>
      <c r="I2006" s="3">
        <f>E2006+G2006+H2006</f>
        <v/>
      </c>
      <c r="J2006" s="3">
        <f>ROUND(MIN(IF(C2006="Técnico III",35,IF(C2006="Técnico II",28,IF(C2006="Técnico I",23,IF(C2006="JR",20,IF(C2006="Estágio",10,0))))),IF(C2006="Técnico III",SUMIFS($D:$D,$A:$A,$A2006,$B:$B,"&lt;&gt;Patrícia Karla de Sousa Araújo",$B:$B,"&lt;&gt;Lorena Dias de Araujo",$B:$B,"&lt;&gt;Lucas Luiz Romero")*(35/1083),IF(C2006="Técnico II",SUMIFS($D:$D,$A:$A,$A2006,$B:$B,"&lt;&gt;Patrícia Karla de Sousa Araújo",$B:$B,"&lt;&gt;Lorena Dias de Araujo",$B:$B,"&lt;&gt;Lucas Luiz Romero")*(28/1083),IF(C2006="Técnico I",SUMIFS($D:$D,$A:$A,$A2006,$B:$B,"&lt;&gt;Patrícia Karla de Sousa Araújo",$B:$B,"&lt;&gt;Lorena Dias de Araujo",$B:$B,"&lt;&gt;Lucas Luiz Romero")*(23/1083),IF(C2006="JR",SUMIFS($D:$D,$A:$A,$A2006,$B:$B,"&lt;&gt;Patrícia Karla de Sousa Araújo",$B:$B,"&lt;&gt;Lorena Dias de Araujo",$B:$B,"&lt;&gt;Lucas Luiz Romero")*(20/1083),IF(C2006="Estágio",SUMIFS($D:$D,$A:$A,$A2006,$B:$B,"&lt;&gt;Patrícia Karla de Sousa Araújo",$B:$B,"&lt;&gt;Lorena Dias de Araujo",$B:$B,"&lt;&gt;Lucas Luiz Romero")*(10/1083),0)))))),0)</f>
        <v/>
      </c>
      <c r="K2006" s="3">
        <f>I2006-J2006</f>
        <v/>
      </c>
      <c r="L2006" s="3">
        <f>IF(K2006&lt;-5,"CRÍTICO",IF(K2006&lt;0,"ATENÇÃO",IF(K2006&lt;=5,"BOM","EXCELENTE")))</f>
        <v/>
      </c>
      <c r="N2006" t="n">
        <v>98.56</v>
      </c>
      <c r="O2006" t="n">
        <v>29.37365010799136</v>
      </c>
    </row>
    <row r="2007" hidden="1">
      <c r="A2007" s="11" t="n">
        <v>46064</v>
      </c>
      <c r="B2007" t="inlineStr">
        <is>
          <t>Alisson de Freitas Silva</t>
        </is>
      </c>
      <c r="C2007" t="inlineStr">
        <is>
          <t>Técnico II</t>
        </is>
      </c>
      <c r="D2007" t="n">
        <v>33</v>
      </c>
      <c r="E2007" t="n">
        <v>33</v>
      </c>
      <c r="F2007" t="n">
        <v>16.48</v>
      </c>
      <c r="G2007" t="n">
        <v>0</v>
      </c>
      <c r="H2007" t="n">
        <v>0</v>
      </c>
      <c r="I2007" s="3">
        <f>E2007+G2007+H2007</f>
        <v/>
      </c>
      <c r="J2007" s="3">
        <f>ROUND(MIN(IF(C2007="Técnico III",35,IF(C2007="Técnico II",28,IF(C2007="Técnico I",23,IF(C2007="JR",20,IF(C2007="Estágio",10,0))))),IF(C2007="Técnico III",SUMIFS($D:$D,$A:$A,$A2007,$B:$B,"&lt;&gt;Patrícia Karla de Sousa Araújo",$B:$B,"&lt;&gt;Lorena Dias de Araujo",$B:$B,"&lt;&gt;Lucas Luiz Romero")*(35/1083),IF(C2007="Técnico II",SUMIFS($D:$D,$A:$A,$A2007,$B:$B,"&lt;&gt;Patrícia Karla de Sousa Araújo",$B:$B,"&lt;&gt;Lorena Dias de Araujo",$B:$B,"&lt;&gt;Lucas Luiz Romero")*(28/1083),IF(C2007="Técnico I",SUMIFS($D:$D,$A:$A,$A2007,$B:$B,"&lt;&gt;Patrícia Karla de Sousa Araújo",$B:$B,"&lt;&gt;Lorena Dias de Araujo",$B:$B,"&lt;&gt;Lucas Luiz Romero")*(23/1083),IF(C2007="JR",SUMIFS($D:$D,$A:$A,$A2007,$B:$B,"&lt;&gt;Patrícia Karla de Sousa Araújo",$B:$B,"&lt;&gt;Lorena Dias de Araujo",$B:$B,"&lt;&gt;Lucas Luiz Romero")*(20/1083),IF(C2007="Estágio",SUMIFS($D:$D,$A:$A,$A2007,$B:$B,"&lt;&gt;Patrícia Karla de Sousa Araújo",$B:$B,"&lt;&gt;Lorena Dias de Araujo",$B:$B,"&lt;&gt;Lucas Luiz Romero")*(10/1083),0)))))),0)</f>
        <v/>
      </c>
      <c r="K2007" s="3">
        <f>I2007-J2007</f>
        <v/>
      </c>
      <c r="L2007" s="3">
        <f>IF(K2007&lt;-5,"CRÍTICO",IF(K2007&lt;0,"ATENÇÃO",IF(K2007&lt;=5,"BOM","EXCELENTE")))</f>
        <v/>
      </c>
      <c r="M2007" t="n">
        <v>31</v>
      </c>
      <c r="N2007" t="n">
        <v>100</v>
      </c>
      <c r="O2007" t="n">
        <v>28.19383259911895</v>
      </c>
    </row>
    <row r="2008" hidden="1">
      <c r="A2008" s="11" t="n">
        <v>46064</v>
      </c>
      <c r="B2008" t="inlineStr">
        <is>
          <t>Amanda Moura Ferreira</t>
        </is>
      </c>
      <c r="C2008" t="inlineStr">
        <is>
          <t>Técnico III</t>
        </is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s="3" t="n">
        <v>0</v>
      </c>
      <c r="J2008" s="3" t="n">
        <v>0</v>
      </c>
      <c r="K2008" s="3" t="n">
        <v>0</v>
      </c>
      <c r="L2008" s="3">
        <f>IF(K2008&lt;-5,"CRÍTICO",IF(K2008&lt;0,"ATENÇÃO",IF(K2008&lt;=5,"BOM","EXCELENTE")))</f>
        <v/>
      </c>
      <c r="M2008" t="n">
        <v>25</v>
      </c>
      <c r="N2008" t="n">
        <v>98.55</v>
      </c>
      <c r="O2008" t="n">
        <v>28.63070539419087</v>
      </c>
    </row>
    <row r="2009" hidden="1">
      <c r="A2009" s="11" t="n">
        <v>46064</v>
      </c>
      <c r="B2009" t="inlineStr">
        <is>
          <t>Ana Karollyne Souza Faria</t>
        </is>
      </c>
      <c r="C2009" t="inlineStr">
        <is>
          <t>Técnico I</t>
        </is>
      </c>
      <c r="D2009" t="n">
        <v>28</v>
      </c>
      <c r="E2009" t="n">
        <v>26</v>
      </c>
      <c r="F2009" t="n">
        <v>24.11</v>
      </c>
      <c r="G2009" t="n">
        <v>0</v>
      </c>
      <c r="H2009" t="n">
        <v>0</v>
      </c>
      <c r="I2009" s="3">
        <f>E2009+G2009+H2009</f>
        <v/>
      </c>
      <c r="J2009" s="3">
        <f>ROUND(MIN(IF(C2009="Técnico III",35,IF(C2009="Técnico II",28,IF(C2009="Técnico I",23,IF(C2009="JR",20,IF(C2009="Estágio",10,0))))),IF(C2009="Técnico III",SUMIFS($D:$D,$A:$A,$A2009,$B:$B,"&lt;&gt;Patrícia Karla de Sousa Araújo",$B:$B,"&lt;&gt;Lorena Dias de Araujo",$B:$B,"&lt;&gt;Lucas Luiz Romero")*(35/1083),IF(C2009="Técnico II",SUMIFS($D:$D,$A:$A,$A2009,$B:$B,"&lt;&gt;Patrícia Karla de Sousa Araújo",$B:$B,"&lt;&gt;Lorena Dias de Araujo",$B:$B,"&lt;&gt;Lucas Luiz Romero")*(28/1083),IF(C2009="Técnico I",SUMIFS($D:$D,$A:$A,$A2009,$B:$B,"&lt;&gt;Patrícia Karla de Sousa Araújo",$B:$B,"&lt;&gt;Lorena Dias de Araujo",$B:$B,"&lt;&gt;Lucas Luiz Romero")*(23/1083),IF(C2009="JR",SUMIFS($D:$D,$A:$A,$A2009,$B:$B,"&lt;&gt;Patrícia Karla de Sousa Araújo",$B:$B,"&lt;&gt;Lorena Dias de Araujo",$B:$B,"&lt;&gt;Lucas Luiz Romero")*(20/1083),IF(C2009="Estágio",SUMIFS($D:$D,$A:$A,$A2009,$B:$B,"&lt;&gt;Patrícia Karla de Sousa Araújo",$B:$B,"&lt;&gt;Lorena Dias de Araujo",$B:$B,"&lt;&gt;Lucas Luiz Romero")*(10/1083),0)))))),0)</f>
        <v/>
      </c>
      <c r="K2009" s="3">
        <f>I2009-J2009</f>
        <v/>
      </c>
      <c r="L2009" s="3">
        <f>IF(K2009&lt;-5,"CRÍTICO",IF(K2009&lt;0,"ATENÇÃO",IF(K2009&lt;=5,"BOM","EXCELENTE")))</f>
        <v/>
      </c>
      <c r="M2009" t="n">
        <v>23</v>
      </c>
      <c r="N2009" t="n">
        <v>100</v>
      </c>
      <c r="O2009" t="n">
        <v>29.10798122065728</v>
      </c>
    </row>
    <row r="2010" hidden="1">
      <c r="A2010" s="11" t="n">
        <v>46064</v>
      </c>
      <c r="B2010" t="inlineStr">
        <is>
          <t>Ana Paula Da Luz Silva Aleixo</t>
        </is>
      </c>
      <c r="C2010" t="inlineStr">
        <is>
          <t>Técnico III</t>
        </is>
      </c>
      <c r="D2010" t="n">
        <v>24</v>
      </c>
      <c r="E2010" t="n">
        <v>24</v>
      </c>
      <c r="F2010" t="n">
        <v>20.32</v>
      </c>
      <c r="G2010" t="n">
        <v>0</v>
      </c>
      <c r="H2010" t="n">
        <v>0</v>
      </c>
      <c r="I2010" s="3">
        <f>E2010+G2010+H2010</f>
        <v/>
      </c>
      <c r="J2010" s="3">
        <f>ROUND(MIN(IF(C2010="Técnico III",35,IF(C2010="Técnico II",28,IF(C2010="Técnico I",23,IF(C2010="JR",20,IF(C2010="Estágio",10,0))))),IF(C2010="Técnico III",SUMIFS($D:$D,$A:$A,$A2010,$B:$B,"&lt;&gt;Patrícia Karla de Sousa Araújo",$B:$B,"&lt;&gt;Lorena Dias de Araujo",$B:$B,"&lt;&gt;Lucas Luiz Romero")*(35/1083),IF(C2010="Técnico II",SUMIFS($D:$D,$A:$A,$A2010,$B:$B,"&lt;&gt;Patrícia Karla de Sousa Araújo",$B:$B,"&lt;&gt;Lorena Dias de Araujo",$B:$B,"&lt;&gt;Lucas Luiz Romero")*(28/1083),IF(C2010="Técnico I",SUMIFS($D:$D,$A:$A,$A2010,$B:$B,"&lt;&gt;Patrícia Karla de Sousa Araújo",$B:$B,"&lt;&gt;Lorena Dias de Araujo",$B:$B,"&lt;&gt;Lucas Luiz Romero")*(23/1083),IF(C2010="JR",SUMIFS($D:$D,$A:$A,$A2010,$B:$B,"&lt;&gt;Patrícia Karla de Sousa Araújo",$B:$B,"&lt;&gt;Lorena Dias de Araujo",$B:$B,"&lt;&gt;Lucas Luiz Romero")*(20/1083),IF(C2010="Estágio",SUMIFS($D:$D,$A:$A,$A2010,$B:$B,"&lt;&gt;Patrícia Karla de Sousa Araújo",$B:$B,"&lt;&gt;Lorena Dias de Araujo",$B:$B,"&lt;&gt;Lucas Luiz Romero")*(10/1083),0)))))),0)</f>
        <v/>
      </c>
      <c r="K2010" s="3">
        <f>I2010-J2010</f>
        <v/>
      </c>
      <c r="L2010" s="3">
        <f>IF(K2010&lt;-5,"CRÍTICO",IF(K2010&lt;0,"ATENÇÃO",IF(K2010&lt;=5,"BOM","EXCELENTE")))</f>
        <v/>
      </c>
      <c r="M2010" t="n">
        <v>23</v>
      </c>
      <c r="N2010" t="n">
        <v>100</v>
      </c>
      <c r="O2010" t="n">
        <v>23.30508474576271</v>
      </c>
    </row>
    <row r="2011" hidden="1">
      <c r="A2011" s="11" t="n">
        <v>46064</v>
      </c>
      <c r="B2011" t="inlineStr">
        <is>
          <t>Anna Luiza Rezende Tavares</t>
        </is>
      </c>
      <c r="C2011" t="inlineStr">
        <is>
          <t>Estágio</t>
        </is>
      </c>
      <c r="D2011" t="n">
        <v>9</v>
      </c>
      <c r="E2011" t="n">
        <v>8</v>
      </c>
      <c r="F2011" t="n">
        <v>25.31</v>
      </c>
      <c r="G2011" t="n">
        <v>0</v>
      </c>
      <c r="H2011" t="n">
        <v>0</v>
      </c>
      <c r="I2011" s="3">
        <f>E2011+G2011+H2011</f>
        <v/>
      </c>
      <c r="J2011" s="3">
        <f>ROUND(MIN(IF(C2011="Técnico III",35,IF(C2011="Técnico II",28,IF(C2011="Técnico I",23,IF(C2011="JR",20,IF(C2011="Estágio",10,0))))),IF(C2011="Técnico III",SUMIFS($D:$D,$A:$A,$A2011,$B:$B,"&lt;&gt;Patrícia Karla de Sousa Araújo",$B:$B,"&lt;&gt;Lorena Dias de Araujo",$B:$B,"&lt;&gt;Lucas Luiz Romero")*(35/1083),IF(C2011="Técnico II",SUMIFS($D:$D,$A:$A,$A2011,$B:$B,"&lt;&gt;Patrícia Karla de Sousa Araújo",$B:$B,"&lt;&gt;Lorena Dias de Araujo",$B:$B,"&lt;&gt;Lucas Luiz Romero")*(28/1083),IF(C2011="Técnico I",SUMIFS($D:$D,$A:$A,$A2011,$B:$B,"&lt;&gt;Patrícia Karla de Sousa Araújo",$B:$B,"&lt;&gt;Lorena Dias de Araujo",$B:$B,"&lt;&gt;Lucas Luiz Romero")*(23/1083),IF(C2011="JR",SUMIFS($D:$D,$A:$A,$A2011,$B:$B,"&lt;&gt;Patrícia Karla de Sousa Araújo",$B:$B,"&lt;&gt;Lorena Dias de Araujo",$B:$B,"&lt;&gt;Lucas Luiz Romero")*(20/1083),IF(C2011="Estágio",SUMIFS($D:$D,$A:$A,$A2011,$B:$B,"&lt;&gt;Patrícia Karla de Sousa Araújo",$B:$B,"&lt;&gt;Lorena Dias de Araujo",$B:$B,"&lt;&gt;Lucas Luiz Romero")*(10/1083),0)))))),0)</f>
        <v/>
      </c>
      <c r="K2011" s="3">
        <f>I2011-J2011</f>
        <v/>
      </c>
      <c r="L2011" s="3">
        <f>IF(K2011&lt;-5,"CRÍTICO",IF(K2011&lt;0,"ATENÇÃO",IF(K2011&lt;=5,"BOM","EXCELENTE")))</f>
        <v/>
      </c>
      <c r="M2011" t="n">
        <v>7</v>
      </c>
      <c r="N2011" t="n">
        <v>100</v>
      </c>
      <c r="O2011" t="n">
        <v>33.33333333333333</v>
      </c>
    </row>
    <row r="2012" hidden="1">
      <c r="A2012" s="11" t="n">
        <v>46064</v>
      </c>
      <c r="B2012" t="inlineStr">
        <is>
          <t>Brenda de Menezes Silva</t>
        </is>
      </c>
      <c r="C2012" t="inlineStr">
        <is>
          <t>Técnico II</t>
        </is>
      </c>
      <c r="D2012" t="n">
        <v>23</v>
      </c>
      <c r="E2012" t="n">
        <v>22</v>
      </c>
      <c r="F2012" t="n">
        <v>28.45</v>
      </c>
      <c r="G2012" t="n">
        <v>0</v>
      </c>
      <c r="H2012" t="n">
        <v>0</v>
      </c>
      <c r="I2012" s="3">
        <f>E2012+G2012+H2012</f>
        <v/>
      </c>
      <c r="J2012" s="3">
        <f>ROUND(MIN(IF(C2012="Técnico III",35,IF(C2012="Técnico II",28,IF(C2012="Técnico I",23,IF(C2012="JR",20,IF(C2012="Estágio",10,0))))),IF(C2012="Técnico III",SUMIFS($D:$D,$A:$A,$A2012,$B:$B,"&lt;&gt;Patrícia Karla de Sousa Araújo",$B:$B,"&lt;&gt;Lorena Dias de Araujo",$B:$B,"&lt;&gt;Lucas Luiz Romero")*(35/1083),IF(C2012="Técnico II",SUMIFS($D:$D,$A:$A,$A2012,$B:$B,"&lt;&gt;Patrícia Karla de Sousa Araújo",$B:$B,"&lt;&gt;Lorena Dias de Araujo",$B:$B,"&lt;&gt;Lucas Luiz Romero")*(28/1083),IF(C2012="Técnico I",SUMIFS($D:$D,$A:$A,$A2012,$B:$B,"&lt;&gt;Patrícia Karla de Sousa Araújo",$B:$B,"&lt;&gt;Lorena Dias de Araujo",$B:$B,"&lt;&gt;Lucas Luiz Romero")*(23/1083),IF(C2012="JR",SUMIFS($D:$D,$A:$A,$A2012,$B:$B,"&lt;&gt;Patrícia Karla de Sousa Araújo",$B:$B,"&lt;&gt;Lorena Dias de Araujo",$B:$B,"&lt;&gt;Lucas Luiz Romero")*(20/1083),IF(C2012="Estágio",SUMIFS($D:$D,$A:$A,$A2012,$B:$B,"&lt;&gt;Patrícia Karla de Sousa Araújo",$B:$B,"&lt;&gt;Lorena Dias de Araujo",$B:$B,"&lt;&gt;Lucas Luiz Romero")*(10/1083),0)))))),0)</f>
        <v/>
      </c>
      <c r="K2012" s="3">
        <f>I2012-J2012</f>
        <v/>
      </c>
      <c r="L2012" s="3">
        <f>IF(K2012&lt;-5,"CRÍTICO",IF(K2012&lt;0,"ATENÇÃO",IF(K2012&lt;=5,"BOM","EXCELENTE")))</f>
        <v/>
      </c>
      <c r="M2012" t="n">
        <v>18</v>
      </c>
      <c r="N2012" t="n">
        <v>100</v>
      </c>
      <c r="O2012" t="n">
        <v>31.66666666666666</v>
      </c>
    </row>
    <row r="2013" hidden="1">
      <c r="A2013" s="11" t="n">
        <v>46064</v>
      </c>
      <c r="B2013" t="inlineStr">
        <is>
          <t>Carlos Mateus Cassimiro Nunes</t>
        </is>
      </c>
      <c r="C2013" t="inlineStr">
        <is>
          <t>Técnico II</t>
        </is>
      </c>
      <c r="D2013" t="n">
        <v>20</v>
      </c>
      <c r="E2013" t="n">
        <v>19</v>
      </c>
      <c r="F2013" t="n">
        <v>24.11</v>
      </c>
      <c r="G2013" t="n">
        <v>0</v>
      </c>
      <c r="H2013" t="n">
        <v>0</v>
      </c>
      <c r="I2013" s="3">
        <f>E2013+G2013+H2013</f>
        <v/>
      </c>
      <c r="J2013" s="3">
        <f>ROUND(MIN(IF(C2013="Técnico III",35,IF(C2013="Técnico II",28,IF(C2013="Técnico I",23,IF(C2013="JR",20,IF(C2013="Estágio",10,0))))),IF(C2013="Técnico III",SUMIFS($D:$D,$A:$A,$A2013,$B:$B,"&lt;&gt;Patrícia Karla de Sousa Araújo",$B:$B,"&lt;&gt;Lorena Dias de Araujo",$B:$B,"&lt;&gt;Lucas Luiz Romero")*(35/1083),IF(C2013="Técnico II",SUMIFS($D:$D,$A:$A,$A2013,$B:$B,"&lt;&gt;Patrícia Karla de Sousa Araújo",$B:$B,"&lt;&gt;Lorena Dias de Araujo",$B:$B,"&lt;&gt;Lucas Luiz Romero")*(28/1083),IF(C2013="Técnico I",SUMIFS($D:$D,$A:$A,$A2013,$B:$B,"&lt;&gt;Patrícia Karla de Sousa Araújo",$B:$B,"&lt;&gt;Lorena Dias de Araujo",$B:$B,"&lt;&gt;Lucas Luiz Romero")*(23/1083),IF(C2013="JR",SUMIFS($D:$D,$A:$A,$A2013,$B:$B,"&lt;&gt;Patrícia Karla de Sousa Araújo",$B:$B,"&lt;&gt;Lorena Dias de Araujo",$B:$B,"&lt;&gt;Lucas Luiz Romero")*(20/1083),IF(C2013="Estágio",SUMIFS($D:$D,$A:$A,$A2013,$B:$B,"&lt;&gt;Patrícia Karla de Sousa Araújo",$B:$B,"&lt;&gt;Lorena Dias de Araujo",$B:$B,"&lt;&gt;Lucas Luiz Romero")*(10/1083),0)))))),0)</f>
        <v/>
      </c>
      <c r="K2013" s="3">
        <f>I2013-J2013</f>
        <v/>
      </c>
      <c r="L2013" s="3">
        <f>IF(K2013&lt;-5,"CRÍTICO",IF(K2013&lt;0,"ATENÇÃO",IF(K2013&lt;=5,"BOM","EXCELENTE")))</f>
        <v/>
      </c>
      <c r="M2013" t="n">
        <v>22</v>
      </c>
      <c r="N2013" t="n">
        <v>100</v>
      </c>
      <c r="O2013" t="n">
        <v>34.61538461538461</v>
      </c>
    </row>
    <row r="2014" hidden="1">
      <c r="A2014" s="11" t="n">
        <v>46064</v>
      </c>
      <c r="B2014" t="inlineStr">
        <is>
          <t>Claudio de Sousa Velasco Filho</t>
        </is>
      </c>
      <c r="C2014" t="inlineStr">
        <is>
          <t>Estágio</t>
        </is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s="3" t="n">
        <v>0</v>
      </c>
      <c r="J2014" s="3" t="n">
        <v>0</v>
      </c>
      <c r="K2014" s="3" t="n">
        <v>0</v>
      </c>
      <c r="L2014" s="3">
        <f>IF(K2014&lt;-5,"CRÍTICO",IF(K2014&lt;0,"ATENÇÃO",IF(K2014&lt;=5,"BOM","EXCELENTE")))</f>
        <v/>
      </c>
      <c r="M2014" t="n">
        <v>0</v>
      </c>
      <c r="N2014" t="n">
        <v>0</v>
      </c>
      <c r="O2014" t="n">
        <v>0</v>
      </c>
    </row>
    <row r="2015" hidden="1">
      <c r="A2015" s="11" t="n">
        <v>46064</v>
      </c>
      <c r="B2015" t="inlineStr">
        <is>
          <t>Clessiane Pereira dos Santos</t>
        </is>
      </c>
      <c r="C2015" t="inlineStr">
        <is>
          <t>Técnico I</t>
        </is>
      </c>
      <c r="D2015" t="n">
        <v>38</v>
      </c>
      <c r="E2015" t="n">
        <v>4</v>
      </c>
      <c r="F2015" t="n">
        <v>7.03</v>
      </c>
      <c r="G2015" t="n">
        <v>0</v>
      </c>
      <c r="H2015" t="n">
        <v>0</v>
      </c>
      <c r="I2015" s="3">
        <f>E2015+G2015+H2015</f>
        <v/>
      </c>
      <c r="J2015" s="3">
        <f>ROUND(MIN(IF(C2015="Técnico III",35,IF(C2015="Técnico II",28,IF(C2015="Técnico I",23,IF(C2015="JR",20,IF(C2015="Estágio",10,0))))),IF(C2015="Técnico III",SUMIFS($D:$D,$A:$A,$A2015,$B:$B,"&lt;&gt;Patrícia Karla de Sousa Araújo",$B:$B,"&lt;&gt;Lorena Dias de Araujo",$B:$B,"&lt;&gt;Lucas Luiz Romero")*(35/1083),IF(C2015="Técnico II",SUMIFS($D:$D,$A:$A,$A2015,$B:$B,"&lt;&gt;Patrícia Karla de Sousa Araújo",$B:$B,"&lt;&gt;Lorena Dias de Araujo",$B:$B,"&lt;&gt;Lucas Luiz Romero")*(28/1083),IF(C2015="Técnico I",SUMIFS($D:$D,$A:$A,$A2015,$B:$B,"&lt;&gt;Patrícia Karla de Sousa Araújo",$B:$B,"&lt;&gt;Lorena Dias de Araujo",$B:$B,"&lt;&gt;Lucas Luiz Romero")*(23/1083),IF(C2015="JR",SUMIFS($D:$D,$A:$A,$A2015,$B:$B,"&lt;&gt;Patrícia Karla de Sousa Araújo",$B:$B,"&lt;&gt;Lorena Dias de Araujo",$B:$B,"&lt;&gt;Lucas Luiz Romero")*(20/1083),IF(C2015="Estágio",SUMIFS($D:$D,$A:$A,$A2015,$B:$B,"&lt;&gt;Patrícia Karla de Sousa Araújo",$B:$B,"&lt;&gt;Lorena Dias de Araujo",$B:$B,"&lt;&gt;Lucas Luiz Romero")*(10/1083),0)))))),0)</f>
        <v/>
      </c>
      <c r="K2015" s="3">
        <f>I2015-J2015</f>
        <v/>
      </c>
      <c r="L2015" s="3">
        <f>IF(K2015&lt;-5,"CRÍTICO",IF(K2015&lt;0,"ATENÇÃO",IF(K2015&lt;=5,"BOM","EXCELENTE")))</f>
        <v/>
      </c>
      <c r="M2015" t="n">
        <v>15</v>
      </c>
      <c r="N2015" t="n">
        <v>100</v>
      </c>
      <c r="O2015" t="n">
        <v>20.66666666666667</v>
      </c>
    </row>
    <row r="2016" hidden="1">
      <c r="A2016" s="11" t="n">
        <v>46064</v>
      </c>
      <c r="B2016" t="inlineStr">
        <is>
          <t>Cristiane Ramos da Silva Rocha</t>
        </is>
      </c>
      <c r="C2016" t="inlineStr">
        <is>
          <t>Técnico III</t>
        </is>
      </c>
      <c r="D2016" t="n">
        <v>36</v>
      </c>
      <c r="E2016" t="n">
        <v>35</v>
      </c>
      <c r="F2016" t="n">
        <v>17.02</v>
      </c>
      <c r="G2016" t="n">
        <v>0</v>
      </c>
      <c r="H2016" t="n">
        <v>0</v>
      </c>
      <c r="I2016" s="3">
        <f>E2016+G2016+H2016</f>
        <v/>
      </c>
      <c r="J2016" s="3">
        <f>ROUND(MIN(IF(C2016="Técnico III",35,IF(C2016="Técnico II",28,IF(C2016="Técnico I",23,IF(C2016="JR",20,IF(C2016="Estágio",10,0))))),IF(C2016="Técnico III",SUMIFS($D:$D,$A:$A,$A2016,$B:$B,"&lt;&gt;Patrícia Karla de Sousa Araújo",$B:$B,"&lt;&gt;Lorena Dias de Araujo",$B:$B,"&lt;&gt;Lucas Luiz Romero")*(35/1083),IF(C2016="Técnico II",SUMIFS($D:$D,$A:$A,$A2016,$B:$B,"&lt;&gt;Patrícia Karla de Sousa Araújo",$B:$B,"&lt;&gt;Lorena Dias de Araujo",$B:$B,"&lt;&gt;Lucas Luiz Romero")*(28/1083),IF(C2016="Técnico I",SUMIFS($D:$D,$A:$A,$A2016,$B:$B,"&lt;&gt;Patrícia Karla de Sousa Araújo",$B:$B,"&lt;&gt;Lorena Dias de Araujo",$B:$B,"&lt;&gt;Lucas Luiz Romero")*(23/1083),IF(C2016="JR",SUMIFS($D:$D,$A:$A,$A2016,$B:$B,"&lt;&gt;Patrícia Karla de Sousa Araújo",$B:$B,"&lt;&gt;Lorena Dias de Araujo",$B:$B,"&lt;&gt;Lucas Luiz Romero")*(20/1083),IF(C2016="Estágio",SUMIFS($D:$D,$A:$A,$A2016,$B:$B,"&lt;&gt;Patrícia Karla de Sousa Araújo",$B:$B,"&lt;&gt;Lorena Dias de Araujo",$B:$B,"&lt;&gt;Lucas Luiz Romero")*(10/1083),0)))))),0)</f>
        <v/>
      </c>
      <c r="K2016" s="3">
        <f>I2016-J2016</f>
        <v/>
      </c>
      <c r="L2016" s="3">
        <f>IF(K2016&lt;-5,"CRÍTICO",IF(K2016&lt;0,"ATENÇÃO",IF(K2016&lt;=5,"BOM","EXCELENTE")))</f>
        <v/>
      </c>
      <c r="M2016" t="n">
        <v>32</v>
      </c>
      <c r="N2016" t="n">
        <v>96.3</v>
      </c>
      <c r="O2016" t="n">
        <v>32.96703296703296</v>
      </c>
    </row>
    <row r="2017" hidden="1">
      <c r="A2017" s="11" t="n">
        <v>46064</v>
      </c>
      <c r="B2017" t="inlineStr">
        <is>
          <t>Damyllis Lorraine de Oliveira Gonçalves</t>
        </is>
      </c>
      <c r="C2017" t="inlineStr">
        <is>
          <t>Técnico II</t>
        </is>
      </c>
      <c r="D2017" t="n">
        <v>21</v>
      </c>
      <c r="E2017" t="n">
        <v>19</v>
      </c>
      <c r="F2017" t="n">
        <v>25.11</v>
      </c>
      <c r="G2017" t="n">
        <v>0</v>
      </c>
      <c r="H2017" t="n">
        <v>0</v>
      </c>
      <c r="I2017" s="3" t="n">
        <v>0</v>
      </c>
      <c r="J2017" s="3" t="n">
        <v>0</v>
      </c>
      <c r="K2017" s="3" t="n">
        <v>0</v>
      </c>
      <c r="L2017" s="3">
        <f>IF(K2017&lt;-5,"CRÍTICO",IF(K2017&lt;0,"ATENÇÃO",IF(K2017&lt;=5,"BOM","EXCELENTE")))</f>
        <v/>
      </c>
      <c r="M2017" t="n">
        <v>18</v>
      </c>
      <c r="N2017" t="n">
        <v>100</v>
      </c>
      <c r="O2017" t="n">
        <v>25</v>
      </c>
    </row>
    <row r="2018" hidden="1">
      <c r="A2018" s="11" t="n">
        <v>46064</v>
      </c>
      <c r="B2018" t="inlineStr">
        <is>
          <t>Daniel Gomes da Silva</t>
        </is>
      </c>
      <c r="C2018" t="inlineStr">
        <is>
          <t>Técnico I</t>
        </is>
      </c>
      <c r="D2018" t="n">
        <v>17</v>
      </c>
      <c r="E2018" t="n">
        <v>16</v>
      </c>
      <c r="F2018" t="n">
        <v>34.12</v>
      </c>
      <c r="G2018" t="n">
        <v>0</v>
      </c>
      <c r="H2018" t="n">
        <v>0</v>
      </c>
      <c r="I2018" s="3">
        <f>E2018+G2018+H2018</f>
        <v/>
      </c>
      <c r="J2018" s="3">
        <f>ROUND(MIN(IF(C2018="Técnico III",35,IF(C2018="Técnico II",28,IF(C2018="Técnico I",23,IF(C2018="JR",20,IF(C2018="Estágio",10,0))))),IF(C2018="Técnico III",SUMIFS($D:$D,$A:$A,$A2018,$B:$B,"&lt;&gt;Patrícia Karla de Sousa Araújo",$B:$B,"&lt;&gt;Lorena Dias de Araujo",$B:$B,"&lt;&gt;Lucas Luiz Romero")*(35/1083),IF(C2018="Técnico II",SUMIFS($D:$D,$A:$A,$A2018,$B:$B,"&lt;&gt;Patrícia Karla de Sousa Araújo",$B:$B,"&lt;&gt;Lorena Dias de Araujo",$B:$B,"&lt;&gt;Lucas Luiz Romero")*(28/1083),IF(C2018="Técnico I",SUMIFS($D:$D,$A:$A,$A2018,$B:$B,"&lt;&gt;Patrícia Karla de Sousa Araújo",$B:$B,"&lt;&gt;Lorena Dias de Araujo",$B:$B,"&lt;&gt;Lucas Luiz Romero")*(23/1083),IF(C2018="JR",SUMIFS($D:$D,$A:$A,$A2018,$B:$B,"&lt;&gt;Patrícia Karla de Sousa Araújo",$B:$B,"&lt;&gt;Lorena Dias de Araujo",$B:$B,"&lt;&gt;Lucas Luiz Romero")*(20/1083),IF(C2018="Estágio",SUMIFS($D:$D,$A:$A,$A2018,$B:$B,"&lt;&gt;Patrícia Karla de Sousa Araújo",$B:$B,"&lt;&gt;Lorena Dias de Araujo",$B:$B,"&lt;&gt;Lucas Luiz Romero")*(10/1083),0)))))),0)</f>
        <v/>
      </c>
      <c r="K2018" s="3">
        <f>I2018-J2018</f>
        <v/>
      </c>
      <c r="L2018" s="3">
        <f>IF(K2018&lt;-5,"CRÍTICO",IF(K2018&lt;0,"ATENÇÃO",IF(K2018&lt;=5,"BOM","EXCELENTE")))</f>
        <v/>
      </c>
      <c r="M2018" t="n">
        <v>14</v>
      </c>
      <c r="N2018" t="n">
        <v>100</v>
      </c>
      <c r="O2018" t="n">
        <v>26.28865979381444</v>
      </c>
    </row>
    <row r="2019" hidden="1">
      <c r="A2019" s="11" t="n">
        <v>46064</v>
      </c>
      <c r="B2019" t="inlineStr">
        <is>
          <t>Davylla Rodrigues Freitas Silva</t>
        </is>
      </c>
      <c r="C2019" t="inlineStr">
        <is>
          <t>Técnico III</t>
        </is>
      </c>
      <c r="D2019" t="n">
        <v>30</v>
      </c>
      <c r="E2019" t="n">
        <v>29</v>
      </c>
      <c r="F2019" t="n">
        <v>23.51</v>
      </c>
      <c r="G2019" t="n">
        <v>0</v>
      </c>
      <c r="H2019" t="n">
        <v>0</v>
      </c>
      <c r="I2019" s="3" t="n">
        <v>0</v>
      </c>
      <c r="J2019" s="3" t="n">
        <v>0</v>
      </c>
      <c r="K2019" s="3" t="n">
        <v>0</v>
      </c>
      <c r="L2019" s="3">
        <f>IF(K2019&lt;-5,"CRÍTICO",IF(K2019&lt;0,"ATENÇÃO",IF(K2019&lt;=5,"BOM","EXCELENTE")))</f>
        <v/>
      </c>
      <c r="M2019" t="n">
        <v>30</v>
      </c>
      <c r="N2019" t="n">
        <v>100</v>
      </c>
      <c r="O2019" t="n">
        <v>33.59375</v>
      </c>
    </row>
    <row r="2020" hidden="1">
      <c r="A2020" s="11" t="n">
        <v>46064</v>
      </c>
      <c r="B2020" t="inlineStr">
        <is>
          <t>Emilly Caylane Costa</t>
        </is>
      </c>
      <c r="C2020" t="inlineStr">
        <is>
          <t>Estágio</t>
        </is>
      </c>
      <c r="D2020" t="n">
        <v>57</v>
      </c>
      <c r="E2020" t="n">
        <v>42</v>
      </c>
      <c r="F2020" t="n">
        <v>5.59</v>
      </c>
      <c r="G2020" t="n">
        <v>0</v>
      </c>
      <c r="H2020" t="n">
        <v>0</v>
      </c>
      <c r="I2020" s="3">
        <f>E2020+G2020+H2020</f>
        <v/>
      </c>
      <c r="J2020" s="3">
        <f>ROUND(MIN(IF(C2020="Técnico III",35,IF(C2020="Técnico II",28,IF(C2020="Técnico I",23,IF(C2020="JR",20,IF(C2020="Estágio",10,0))))),IF(C2020="Técnico III",SUMIFS($D:$D,$A:$A,$A2020,$B:$B,"&lt;&gt;Patrícia Karla de Sousa Araújo",$B:$B,"&lt;&gt;Lorena Dias de Araujo",$B:$B,"&lt;&gt;Lucas Luiz Romero")*(35/1083),IF(C2020="Técnico II",SUMIFS($D:$D,$A:$A,$A2020,$B:$B,"&lt;&gt;Patrícia Karla de Sousa Araújo",$B:$B,"&lt;&gt;Lorena Dias de Araujo",$B:$B,"&lt;&gt;Lucas Luiz Romero")*(28/1083),IF(C2020="Técnico I",SUMIFS($D:$D,$A:$A,$A2020,$B:$B,"&lt;&gt;Patrícia Karla de Sousa Araújo",$B:$B,"&lt;&gt;Lorena Dias de Araujo",$B:$B,"&lt;&gt;Lucas Luiz Romero")*(23/1083),IF(C2020="JR",SUMIFS($D:$D,$A:$A,$A2020,$B:$B,"&lt;&gt;Patrícia Karla de Sousa Araújo",$B:$B,"&lt;&gt;Lorena Dias de Araujo",$B:$B,"&lt;&gt;Lucas Luiz Romero")*(20/1083),IF(C2020="Estágio",SUMIFS($D:$D,$A:$A,$A2020,$B:$B,"&lt;&gt;Patrícia Karla de Sousa Araújo",$B:$B,"&lt;&gt;Lorena Dias de Araujo",$B:$B,"&lt;&gt;Lucas Luiz Romero")*(10/1083),0)))))),0)</f>
        <v/>
      </c>
      <c r="K2020" s="3">
        <f>I2020-J2020</f>
        <v/>
      </c>
      <c r="L2020" s="3">
        <f>IF(K2020&lt;-5,"CRÍTICO",IF(K2020&lt;0,"ATENÇÃO",IF(K2020&lt;=5,"BOM","EXCELENTE")))</f>
        <v/>
      </c>
      <c r="M2020" t="n">
        <v>2</v>
      </c>
      <c r="N2020" t="n">
        <v>75</v>
      </c>
      <c r="O2020" t="n">
        <v>50</v>
      </c>
    </row>
    <row r="2021" hidden="1">
      <c r="A2021" s="11" t="n">
        <v>46064</v>
      </c>
      <c r="B2021" t="inlineStr">
        <is>
          <t>Emilly Kamilly Medeiros Miranda</t>
        </is>
      </c>
      <c r="C2021" t="inlineStr">
        <is>
          <t>Técnico II</t>
        </is>
      </c>
      <c r="D2021" t="n">
        <v>24</v>
      </c>
      <c r="E2021" t="n">
        <v>23</v>
      </c>
      <c r="F2021" t="n">
        <v>24.16</v>
      </c>
      <c r="G2021" t="n">
        <v>0</v>
      </c>
      <c r="H2021" t="n">
        <v>0</v>
      </c>
      <c r="I2021" s="3">
        <f>E2021+G2021+H2021</f>
        <v/>
      </c>
      <c r="J2021" s="3">
        <f>ROUND(MIN(IF(C2021="Técnico III",35,IF(C2021="Técnico II",28,IF(C2021="Técnico I",23,IF(C2021="JR",20,IF(C2021="Estágio",10,0))))),IF(C2021="Técnico III",SUMIFS($D:$D,$A:$A,$A2021,$B:$B,"&lt;&gt;Patrícia Karla de Sousa Araújo",$B:$B,"&lt;&gt;Lorena Dias de Araujo",$B:$B,"&lt;&gt;Lucas Luiz Romero")*(35/1083),IF(C2021="Técnico II",SUMIFS($D:$D,$A:$A,$A2021,$B:$B,"&lt;&gt;Patrícia Karla de Sousa Araújo",$B:$B,"&lt;&gt;Lorena Dias de Araujo",$B:$B,"&lt;&gt;Lucas Luiz Romero")*(28/1083),IF(C2021="Técnico I",SUMIFS($D:$D,$A:$A,$A2021,$B:$B,"&lt;&gt;Patrícia Karla de Sousa Araújo",$B:$B,"&lt;&gt;Lorena Dias de Araujo",$B:$B,"&lt;&gt;Lucas Luiz Romero")*(23/1083),IF(C2021="JR",SUMIFS($D:$D,$A:$A,$A2021,$B:$B,"&lt;&gt;Patrícia Karla de Sousa Araújo",$B:$B,"&lt;&gt;Lorena Dias de Araujo",$B:$B,"&lt;&gt;Lucas Luiz Romero")*(20/1083),IF(C2021="Estágio",SUMIFS($D:$D,$A:$A,$A2021,$B:$B,"&lt;&gt;Patrícia Karla de Sousa Araújo",$B:$B,"&lt;&gt;Lorena Dias de Araujo",$B:$B,"&lt;&gt;Lucas Luiz Romero")*(10/1083),0)))))),0)</f>
        <v/>
      </c>
      <c r="K2021" s="3">
        <f>I2021-J2021</f>
        <v/>
      </c>
      <c r="L2021" s="3">
        <f>IF(K2021&lt;-5,"CRÍTICO",IF(K2021&lt;0,"ATENÇÃO",IF(K2021&lt;=5,"BOM","EXCELENTE")))</f>
        <v/>
      </c>
      <c r="M2021" t="n">
        <v>21</v>
      </c>
      <c r="N2021" t="n">
        <v>96.92</v>
      </c>
      <c r="O2021" t="n">
        <v>29.16666666666667</v>
      </c>
    </row>
    <row r="2022" hidden="1">
      <c r="A2022" s="11" t="n">
        <v>46064</v>
      </c>
      <c r="B2022" t="inlineStr">
        <is>
          <t>Francielson de Oliveira</t>
        </is>
      </c>
      <c r="C2022" t="inlineStr">
        <is>
          <t>Técnico III</t>
        </is>
      </c>
      <c r="D2022" t="n">
        <v>29</v>
      </c>
      <c r="E2022" t="n">
        <v>28</v>
      </c>
      <c r="F2022" t="n">
        <v>20.03</v>
      </c>
      <c r="G2022" t="n">
        <v>0</v>
      </c>
      <c r="H2022" t="n">
        <v>0</v>
      </c>
      <c r="I2022" s="3">
        <f>E2022+G2022+H2022</f>
        <v/>
      </c>
      <c r="J2022" s="3">
        <f>ROUND(MIN(IF(C2022="Técnico III",35,IF(C2022="Técnico II",28,IF(C2022="Técnico I",23,IF(C2022="JR",20,IF(C2022="Estágio",10,0))))),IF(C2022="Técnico III",SUMIFS($D:$D,$A:$A,$A2022,$B:$B,"&lt;&gt;Patrícia Karla de Sousa Araújo",$B:$B,"&lt;&gt;Lorena Dias de Araujo",$B:$B,"&lt;&gt;Lucas Luiz Romero")*(35/1083),IF(C2022="Técnico II",SUMIFS($D:$D,$A:$A,$A2022,$B:$B,"&lt;&gt;Patrícia Karla de Sousa Araújo",$B:$B,"&lt;&gt;Lorena Dias de Araujo",$B:$B,"&lt;&gt;Lucas Luiz Romero")*(28/1083),IF(C2022="Técnico I",SUMIFS($D:$D,$A:$A,$A2022,$B:$B,"&lt;&gt;Patrícia Karla de Sousa Araújo",$B:$B,"&lt;&gt;Lorena Dias de Araujo",$B:$B,"&lt;&gt;Lucas Luiz Romero")*(23/1083),IF(C2022="JR",SUMIFS($D:$D,$A:$A,$A2022,$B:$B,"&lt;&gt;Patrícia Karla de Sousa Araújo",$B:$B,"&lt;&gt;Lorena Dias de Araujo",$B:$B,"&lt;&gt;Lucas Luiz Romero")*(20/1083),IF(C2022="Estágio",SUMIFS($D:$D,$A:$A,$A2022,$B:$B,"&lt;&gt;Patrícia Karla de Sousa Araújo",$B:$B,"&lt;&gt;Lorena Dias de Araujo",$B:$B,"&lt;&gt;Lucas Luiz Romero")*(10/1083),0)))))),0)</f>
        <v/>
      </c>
      <c r="K2022" s="3">
        <f>I2022-J2022</f>
        <v/>
      </c>
      <c r="L2022" s="3">
        <f>IF(K2022&lt;-5,"CRÍTICO",IF(K2022&lt;0,"ATENÇÃO",IF(K2022&lt;=5,"BOM","EXCELENTE")))</f>
        <v/>
      </c>
      <c r="M2022" t="n">
        <v>28</v>
      </c>
      <c r="N2022" t="n">
        <v>97.83</v>
      </c>
      <c r="O2022" t="n">
        <v>29.56521739130435</v>
      </c>
    </row>
    <row r="2023" hidden="1">
      <c r="A2023" s="11" t="n">
        <v>46064</v>
      </c>
      <c r="B2023" t="inlineStr">
        <is>
          <t>Francilene Ferreira de Jesus</t>
        </is>
      </c>
      <c r="C2023" t="inlineStr">
        <is>
          <t>Técnico II</t>
        </is>
      </c>
      <c r="D2023" t="n">
        <v>26</v>
      </c>
      <c r="E2023" t="n">
        <v>21</v>
      </c>
      <c r="F2023" t="n">
        <v>25.1</v>
      </c>
      <c r="G2023" t="n">
        <v>0</v>
      </c>
      <c r="H2023" t="n">
        <v>0</v>
      </c>
      <c r="I2023" s="3">
        <f>E2023+G2023+H2023</f>
        <v/>
      </c>
      <c r="J2023" s="3">
        <f>ROUND(MIN(IF(C2023="Técnico III",35,IF(C2023="Técnico II",28,IF(C2023="Técnico I",23,IF(C2023="JR",20,IF(C2023="Estágio",10,0))))),IF(C2023="Técnico III",SUMIFS($D:$D,$A:$A,$A2023,$B:$B,"&lt;&gt;Patrícia Karla de Sousa Araújo",$B:$B,"&lt;&gt;Lorena Dias de Araujo",$B:$B,"&lt;&gt;Lucas Luiz Romero")*(35/1083),IF(C2023="Técnico II",SUMIFS($D:$D,$A:$A,$A2023,$B:$B,"&lt;&gt;Patrícia Karla de Sousa Araújo",$B:$B,"&lt;&gt;Lorena Dias de Araujo",$B:$B,"&lt;&gt;Lucas Luiz Romero")*(28/1083),IF(C2023="Técnico I",SUMIFS($D:$D,$A:$A,$A2023,$B:$B,"&lt;&gt;Patrícia Karla de Sousa Araújo",$B:$B,"&lt;&gt;Lorena Dias de Araujo",$B:$B,"&lt;&gt;Lucas Luiz Romero")*(23/1083),IF(C2023="JR",SUMIFS($D:$D,$A:$A,$A2023,$B:$B,"&lt;&gt;Patrícia Karla de Sousa Araújo",$B:$B,"&lt;&gt;Lorena Dias de Araujo",$B:$B,"&lt;&gt;Lucas Luiz Romero")*(20/1083),IF(C2023="Estágio",SUMIFS($D:$D,$A:$A,$A2023,$B:$B,"&lt;&gt;Patrícia Karla de Sousa Araújo",$B:$B,"&lt;&gt;Lorena Dias de Araujo",$B:$B,"&lt;&gt;Lucas Luiz Romero")*(10/1083),0)))))),0)</f>
        <v/>
      </c>
      <c r="K2023" s="3">
        <f>I2023-J2023</f>
        <v/>
      </c>
      <c r="L2023" s="3">
        <f>IF(K2023&lt;-5,"CRÍTICO",IF(K2023&lt;0,"ATENÇÃO",IF(K2023&lt;=5,"BOM","EXCELENTE")))</f>
        <v/>
      </c>
      <c r="M2023" t="n">
        <v>24</v>
      </c>
      <c r="N2023" t="n">
        <v>98.39</v>
      </c>
      <c r="O2023" t="n">
        <v>24.30555555555555</v>
      </c>
    </row>
    <row r="2024" hidden="1">
      <c r="A2024" s="11" t="n">
        <v>46098</v>
      </c>
      <c r="B2024" t="inlineStr">
        <is>
          <t>Gabriel Gomes de Andrade</t>
        </is>
      </c>
      <c r="C2024" t="inlineStr">
        <is>
          <t>Técnico I</t>
        </is>
      </c>
      <c r="D2024" t="n">
        <v>14</v>
      </c>
      <c r="E2024" t="n">
        <v>13</v>
      </c>
      <c r="F2024" t="n">
        <v>26.55</v>
      </c>
      <c r="G2024" t="n">
        <v>0</v>
      </c>
      <c r="H2024" t="n">
        <v>0</v>
      </c>
      <c r="I2024" s="3">
        <f>E2024+G2024+H2024</f>
        <v/>
      </c>
      <c r="J2024" s="3">
        <f>ROUND(MIN(IF(C2024="Técnico III",35,IF(C2024="Técnico II",28,IF(C2024="Técnico I",23,IF(C2024="JR",20,IF(C2024="Estágio",10,0))))),IF(C2024="Técnico III",SUMIFS($D:$D,$A:$A,$A2024,$B:$B,"&lt;&gt;Patrícia Karla de Sousa Araújo",$B:$B,"&lt;&gt;Lorena Dias de Araujo",$B:$B,"&lt;&gt;Lucas Luiz Romero")*(35/1083),IF(C2024="Técnico II",SUMIFS($D:$D,$A:$A,$A2024,$B:$B,"&lt;&gt;Patrícia Karla de Sousa Araújo",$B:$B,"&lt;&gt;Lorena Dias de Araujo",$B:$B,"&lt;&gt;Lucas Luiz Romero")*(28/1083),IF(C2024="Técnico I",SUMIFS($D:$D,$A:$A,$A2024,$B:$B,"&lt;&gt;Patrícia Karla de Sousa Araújo",$B:$B,"&lt;&gt;Lorena Dias de Araujo",$B:$B,"&lt;&gt;Lucas Luiz Romero")*(23/1083),IF(C2024="JR",SUMIFS($D:$D,$A:$A,$A2024,$B:$B,"&lt;&gt;Patrícia Karla de Sousa Araújo",$B:$B,"&lt;&gt;Lorena Dias de Araujo",$B:$B,"&lt;&gt;Lucas Luiz Romero")*(20/1083),IF(C2024="Estágio",SUMIFS($D:$D,$A:$A,$A2024,$B:$B,"&lt;&gt;Patrícia Karla de Sousa Araújo",$B:$B,"&lt;&gt;Lorena Dias de Araujo",$B:$B,"&lt;&gt;Lucas Luiz Romero")*(10/1083),0)))))),0)</f>
        <v/>
      </c>
      <c r="K2024" s="3">
        <f>I2024-J2024</f>
        <v/>
      </c>
      <c r="L2024" s="3">
        <f>IF(K2024&lt;-5,"CRÍTICO",IF(K2024&lt;0,"ATENÇÃO",IF(K2024&lt;=5,"BOM","EXCELENTE")))</f>
        <v/>
      </c>
      <c r="N2024" t="n">
        <v>99.05</v>
      </c>
      <c r="O2024" t="n">
        <v>26.62192393736018</v>
      </c>
    </row>
    <row r="2025" hidden="1">
      <c r="A2025" s="11" t="n">
        <v>46064</v>
      </c>
      <c r="B2025" t="inlineStr">
        <is>
          <t>Isabella Borges de Oliveira</t>
        </is>
      </c>
      <c r="C2025" t="inlineStr">
        <is>
          <t>Técnico II</t>
        </is>
      </c>
      <c r="D2025" t="n">
        <v>28</v>
      </c>
      <c r="E2025" t="n">
        <v>26</v>
      </c>
      <c r="F2025" t="n">
        <v>25.04</v>
      </c>
      <c r="G2025" t="n">
        <v>0</v>
      </c>
      <c r="H2025" t="n">
        <v>0</v>
      </c>
      <c r="I2025" s="3">
        <f>E2025+G2025+H2025</f>
        <v/>
      </c>
      <c r="J2025" s="3">
        <f>ROUND(MIN(IF(C2025="Técnico III",35,IF(C2025="Técnico II",28,IF(C2025="Técnico I",23,IF(C2025="JR",20,IF(C2025="Estágio",10,0))))),IF(C2025="Técnico III",SUMIFS($D:$D,$A:$A,$A2025,$B:$B,"&lt;&gt;Patrícia Karla de Sousa Araújo",$B:$B,"&lt;&gt;Lorena Dias de Araujo",$B:$B,"&lt;&gt;Lucas Luiz Romero")*(35/1083),IF(C2025="Técnico II",SUMIFS($D:$D,$A:$A,$A2025,$B:$B,"&lt;&gt;Patrícia Karla de Sousa Araújo",$B:$B,"&lt;&gt;Lorena Dias de Araujo",$B:$B,"&lt;&gt;Lucas Luiz Romero")*(28/1083),IF(C2025="Técnico I",SUMIFS($D:$D,$A:$A,$A2025,$B:$B,"&lt;&gt;Patrícia Karla de Sousa Araújo",$B:$B,"&lt;&gt;Lorena Dias de Araujo",$B:$B,"&lt;&gt;Lucas Luiz Romero")*(23/1083),IF(C2025="JR",SUMIFS($D:$D,$A:$A,$A2025,$B:$B,"&lt;&gt;Patrícia Karla de Sousa Araújo",$B:$B,"&lt;&gt;Lorena Dias de Araujo",$B:$B,"&lt;&gt;Lucas Luiz Romero")*(20/1083),IF(C2025="Estágio",SUMIFS($D:$D,$A:$A,$A2025,$B:$B,"&lt;&gt;Patrícia Karla de Sousa Araújo",$B:$B,"&lt;&gt;Lorena Dias de Araujo",$B:$B,"&lt;&gt;Lucas Luiz Romero")*(10/1083),0)))))),0)</f>
        <v/>
      </c>
      <c r="K2025" s="3">
        <f>I2025-J2025</f>
        <v/>
      </c>
      <c r="L2025" s="3">
        <f>IF(K2025&lt;-5,"CRÍTICO",IF(K2025&lt;0,"ATENÇÃO",IF(K2025&lt;=5,"BOM","EXCELENTE")))</f>
        <v/>
      </c>
      <c r="M2025" t="n">
        <v>26</v>
      </c>
      <c r="N2025" t="n">
        <v>100</v>
      </c>
      <c r="O2025" t="n">
        <v>36.79245283018868</v>
      </c>
    </row>
    <row r="2026" hidden="1">
      <c r="A2026" s="11" t="n">
        <v>46064</v>
      </c>
      <c r="B2026" t="inlineStr">
        <is>
          <t>Janaina Lima dos Reis Urany</t>
        </is>
      </c>
      <c r="C2026" t="inlineStr">
        <is>
          <t>Técnico III</t>
        </is>
      </c>
      <c r="D2026" t="n">
        <v>55</v>
      </c>
      <c r="E2026" t="n">
        <v>49</v>
      </c>
      <c r="F2026" t="n">
        <v>13.21</v>
      </c>
      <c r="G2026" t="n">
        <v>0</v>
      </c>
      <c r="H2026" t="n">
        <v>0</v>
      </c>
      <c r="I2026" s="3">
        <f>E2026+G2026+H2026</f>
        <v/>
      </c>
      <c r="J2026" s="3">
        <f>ROUND(MIN(IF(C2026="Técnico III",35,IF(C2026="Técnico II",28,IF(C2026="Técnico I",23,IF(C2026="JR",20,IF(C2026="Estágio",10,0))))),IF(C2026="Técnico III",SUMIFS($D:$D,$A:$A,$A2026,$B:$B,"&lt;&gt;Patrícia Karla de Sousa Araújo",$B:$B,"&lt;&gt;Lorena Dias de Araujo",$B:$B,"&lt;&gt;Lucas Luiz Romero")*(35/1083),IF(C2026="Técnico II",SUMIFS($D:$D,$A:$A,$A2026,$B:$B,"&lt;&gt;Patrícia Karla de Sousa Araújo",$B:$B,"&lt;&gt;Lorena Dias de Araujo",$B:$B,"&lt;&gt;Lucas Luiz Romero")*(28/1083),IF(C2026="Técnico I",SUMIFS($D:$D,$A:$A,$A2026,$B:$B,"&lt;&gt;Patrícia Karla de Sousa Araújo",$B:$B,"&lt;&gt;Lorena Dias de Araujo",$B:$B,"&lt;&gt;Lucas Luiz Romero")*(23/1083),IF(C2026="JR",SUMIFS($D:$D,$A:$A,$A2026,$B:$B,"&lt;&gt;Patrícia Karla de Sousa Araújo",$B:$B,"&lt;&gt;Lorena Dias de Araujo",$B:$B,"&lt;&gt;Lucas Luiz Romero")*(20/1083),IF(C2026="Estágio",SUMIFS($D:$D,$A:$A,$A2026,$B:$B,"&lt;&gt;Patrícia Karla de Sousa Araújo",$B:$B,"&lt;&gt;Lorena Dias de Araujo",$B:$B,"&lt;&gt;Lucas Luiz Romero")*(10/1083),0)))))),0)</f>
        <v/>
      </c>
      <c r="K2026" s="3">
        <f>I2026-J2026</f>
        <v/>
      </c>
      <c r="L2026" s="3">
        <f>IF(K2026&lt;-5,"CRÍTICO",IF(K2026&lt;0,"ATENÇÃO",IF(K2026&lt;=5,"BOM","EXCELENTE")))</f>
        <v/>
      </c>
      <c r="M2026" t="n">
        <v>51</v>
      </c>
      <c r="N2026" t="n">
        <v>100</v>
      </c>
      <c r="O2026" t="n">
        <v>25.97402597402597</v>
      </c>
    </row>
    <row r="2027" hidden="1">
      <c r="A2027" s="11" t="n">
        <v>46064</v>
      </c>
      <c r="B2027" t="inlineStr">
        <is>
          <t>Jaqueline Evangelista da Silva Martins</t>
        </is>
      </c>
      <c r="C2027" t="inlineStr">
        <is>
          <t>Técnico III</t>
        </is>
      </c>
      <c r="D2027" t="n">
        <v>41</v>
      </c>
      <c r="E2027" t="n">
        <v>38</v>
      </c>
      <c r="F2027" t="n">
        <v>12.05</v>
      </c>
      <c r="G2027" t="n">
        <v>0</v>
      </c>
      <c r="H2027" t="n">
        <v>0</v>
      </c>
      <c r="I2027" s="3">
        <f>E2027+G2027+H2027</f>
        <v/>
      </c>
      <c r="J2027" s="3">
        <f>ROUND(MIN(IF(C2027="Técnico III",35,IF(C2027="Técnico II",28,IF(C2027="Técnico I",23,IF(C2027="JR",20,IF(C2027="Estágio",10,0))))),IF(C2027="Técnico III",SUMIFS($D:$D,$A:$A,$A2027,$B:$B,"&lt;&gt;Patrícia Karla de Sousa Araújo",$B:$B,"&lt;&gt;Lorena Dias de Araujo",$B:$B,"&lt;&gt;Lucas Luiz Romero")*(35/1083),IF(C2027="Técnico II",SUMIFS($D:$D,$A:$A,$A2027,$B:$B,"&lt;&gt;Patrícia Karla de Sousa Araújo",$B:$B,"&lt;&gt;Lorena Dias de Araujo",$B:$B,"&lt;&gt;Lucas Luiz Romero")*(28/1083),IF(C2027="Técnico I",SUMIFS($D:$D,$A:$A,$A2027,$B:$B,"&lt;&gt;Patrícia Karla de Sousa Araújo",$B:$B,"&lt;&gt;Lorena Dias de Araujo",$B:$B,"&lt;&gt;Lucas Luiz Romero")*(23/1083),IF(C2027="JR",SUMIFS($D:$D,$A:$A,$A2027,$B:$B,"&lt;&gt;Patrícia Karla de Sousa Araújo",$B:$B,"&lt;&gt;Lorena Dias de Araujo",$B:$B,"&lt;&gt;Lucas Luiz Romero")*(20/1083),IF(C2027="Estágio",SUMIFS($D:$D,$A:$A,$A2027,$B:$B,"&lt;&gt;Patrícia Karla de Sousa Araújo",$B:$B,"&lt;&gt;Lorena Dias de Araujo",$B:$B,"&lt;&gt;Lucas Luiz Romero")*(10/1083),0)))))),0)</f>
        <v/>
      </c>
      <c r="K2027" s="3">
        <f>I2027-J2027</f>
        <v/>
      </c>
      <c r="L2027" s="3">
        <f>IF(K2027&lt;-5,"CRÍTICO",IF(K2027&lt;0,"ATENÇÃO",IF(K2027&lt;=5,"BOM","EXCELENTE")))</f>
        <v/>
      </c>
      <c r="M2027" t="n">
        <v>34</v>
      </c>
      <c r="N2027" t="n">
        <v>97.92</v>
      </c>
      <c r="O2027" t="n">
        <v>26.87747035573123</v>
      </c>
    </row>
    <row r="2028" hidden="1">
      <c r="A2028" s="11" t="n">
        <v>46064</v>
      </c>
      <c r="B2028" t="inlineStr">
        <is>
          <t>Jessica Faria da Silveira</t>
        </is>
      </c>
      <c r="C2028" t="inlineStr">
        <is>
          <t>Técnico II</t>
        </is>
      </c>
      <c r="D2028" t="n">
        <v>30</v>
      </c>
      <c r="E2028" t="n">
        <v>26</v>
      </c>
      <c r="F2028" t="n">
        <v>21.43</v>
      </c>
      <c r="G2028" t="n">
        <v>0</v>
      </c>
      <c r="H2028" t="n">
        <v>0</v>
      </c>
      <c r="I2028" s="3">
        <f>E2028+G2028+H2028</f>
        <v/>
      </c>
      <c r="J2028" s="3">
        <f>ROUND(MIN(IF(C2028="Técnico III",35,IF(C2028="Técnico II",28,IF(C2028="Técnico I",23,IF(C2028="JR",20,IF(C2028="Estágio",10,0))))),IF(C2028="Técnico III",SUMIFS($D:$D,$A:$A,$A2028,$B:$B,"&lt;&gt;Patrícia Karla de Sousa Araújo",$B:$B,"&lt;&gt;Lorena Dias de Araujo",$B:$B,"&lt;&gt;Lucas Luiz Romero")*(35/1083),IF(C2028="Técnico II",SUMIFS($D:$D,$A:$A,$A2028,$B:$B,"&lt;&gt;Patrícia Karla de Sousa Araújo",$B:$B,"&lt;&gt;Lorena Dias de Araujo",$B:$B,"&lt;&gt;Lucas Luiz Romero")*(28/1083),IF(C2028="Técnico I",SUMIFS($D:$D,$A:$A,$A2028,$B:$B,"&lt;&gt;Patrícia Karla de Sousa Araújo",$B:$B,"&lt;&gt;Lorena Dias de Araujo",$B:$B,"&lt;&gt;Lucas Luiz Romero")*(23/1083),IF(C2028="JR",SUMIFS($D:$D,$A:$A,$A2028,$B:$B,"&lt;&gt;Patrícia Karla de Sousa Araújo",$B:$B,"&lt;&gt;Lorena Dias de Araujo",$B:$B,"&lt;&gt;Lucas Luiz Romero")*(20/1083),IF(C2028="Estágio",SUMIFS($D:$D,$A:$A,$A2028,$B:$B,"&lt;&gt;Patrícia Karla de Sousa Araújo",$B:$B,"&lt;&gt;Lorena Dias de Araujo",$B:$B,"&lt;&gt;Lucas Luiz Romero")*(10/1083),0)))))),0)</f>
        <v/>
      </c>
      <c r="K2028" s="3">
        <f>I2028-J2028</f>
        <v/>
      </c>
      <c r="L2028" s="3">
        <f>IF(K2028&lt;-5,"CRÍTICO",IF(K2028&lt;0,"ATENÇÃO",IF(K2028&lt;=5,"BOM","EXCELENTE")))</f>
        <v/>
      </c>
      <c r="M2028" t="n">
        <v>23</v>
      </c>
      <c r="N2028" t="n">
        <v>100</v>
      </c>
      <c r="O2028" t="n">
        <v>26.69902912621359</v>
      </c>
    </row>
    <row r="2029" hidden="1">
      <c r="A2029" s="11" t="n">
        <v>46064</v>
      </c>
      <c r="B2029" t="inlineStr">
        <is>
          <t>Jéssica Fé Moura</t>
        </is>
      </c>
      <c r="C2029" t="inlineStr">
        <is>
          <t>Técnico III</t>
        </is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s="3" t="n">
        <v>0</v>
      </c>
      <c r="J2029" s="3" t="n">
        <v>0</v>
      </c>
      <c r="K2029" s="3" t="n">
        <v>0</v>
      </c>
      <c r="L2029" s="3">
        <f>IF(K2029&lt;-5,"CRÍTICO",IF(K2029&lt;0,"ATENÇÃO",IF(K2029&lt;=5,"BOM","EXCELENTE")))</f>
        <v/>
      </c>
      <c r="M2029" t="n">
        <v>0</v>
      </c>
      <c r="N2029" t="n">
        <v>100</v>
      </c>
      <c r="O2029" t="n">
        <v>0</v>
      </c>
    </row>
    <row r="2030" hidden="1">
      <c r="A2030" s="11" t="n">
        <v>46064</v>
      </c>
      <c r="B2030" t="inlineStr">
        <is>
          <t>Karina Gonçalves Martins</t>
        </is>
      </c>
      <c r="C2030" t="inlineStr">
        <is>
          <t>JR</t>
        </is>
      </c>
      <c r="D2030" t="n">
        <v>12</v>
      </c>
      <c r="E2030" t="n">
        <v>12</v>
      </c>
      <c r="F2030" t="n">
        <v>26.47</v>
      </c>
      <c r="G2030" t="n">
        <v>0</v>
      </c>
      <c r="H2030" t="n">
        <v>0</v>
      </c>
      <c r="I2030" s="3">
        <f>E2030+G2030+H2030</f>
        <v/>
      </c>
      <c r="J2030" s="3">
        <f>ROUND(MIN(IF(C2030="Técnico III",35,IF(C2030="Técnico II",28,IF(C2030="Técnico I",23,IF(C2030="JR",20,IF(C2030="Estágio",10,0))))),IF(C2030="Técnico III",SUMIFS($D:$D,$A:$A,$A2030,$B:$B,"&lt;&gt;Patrícia Karla de Sousa Araújo",$B:$B,"&lt;&gt;Lorena Dias de Araujo",$B:$B,"&lt;&gt;Lucas Luiz Romero")*(35/1083),IF(C2030="Técnico II",SUMIFS($D:$D,$A:$A,$A2030,$B:$B,"&lt;&gt;Patrícia Karla de Sousa Araújo",$B:$B,"&lt;&gt;Lorena Dias de Araujo",$B:$B,"&lt;&gt;Lucas Luiz Romero")*(28/1083),IF(C2030="Técnico I",SUMIFS($D:$D,$A:$A,$A2030,$B:$B,"&lt;&gt;Patrícia Karla de Sousa Araújo",$B:$B,"&lt;&gt;Lorena Dias de Araujo",$B:$B,"&lt;&gt;Lucas Luiz Romero")*(23/1083),IF(C2030="JR",SUMIFS($D:$D,$A:$A,$A2030,$B:$B,"&lt;&gt;Patrícia Karla de Sousa Araújo",$B:$B,"&lt;&gt;Lorena Dias de Araujo",$B:$B,"&lt;&gt;Lucas Luiz Romero")*(20/1083),IF(C2030="Estágio",SUMIFS($D:$D,$A:$A,$A2030,$B:$B,"&lt;&gt;Patrícia Karla de Sousa Araújo",$B:$B,"&lt;&gt;Lorena Dias de Araujo",$B:$B,"&lt;&gt;Lucas Luiz Romero")*(10/1083),0)))))),0)</f>
        <v/>
      </c>
      <c r="K2030" s="3">
        <f>I2030-J2030</f>
        <v/>
      </c>
      <c r="L2030" s="3">
        <f>IF(K2030&lt;-5,"CRÍTICO",IF(K2030&lt;0,"ATENÇÃO",IF(K2030&lt;=5,"BOM","EXCELENTE")))</f>
        <v/>
      </c>
      <c r="M2030" t="n">
        <v>10</v>
      </c>
      <c r="N2030" t="n">
        <v>96.43000000000001</v>
      </c>
      <c r="O2030" t="n">
        <v>31.48148148148148</v>
      </c>
    </row>
    <row r="2031" hidden="1">
      <c r="A2031" s="11" t="n">
        <v>46064</v>
      </c>
      <c r="B2031" t="inlineStr">
        <is>
          <t>Kerollen Cristielly de Jesus Siqueira</t>
        </is>
      </c>
      <c r="C2031" t="inlineStr">
        <is>
          <t>Técnico III</t>
        </is>
      </c>
      <c r="D2031" t="n">
        <v>3</v>
      </c>
      <c r="E2031" t="n">
        <v>2</v>
      </c>
      <c r="F2031" t="n">
        <v>3.36</v>
      </c>
      <c r="G2031" t="n">
        <v>0</v>
      </c>
      <c r="H2031" t="n">
        <v>0</v>
      </c>
      <c r="I2031" s="3">
        <f>E2031+G2031+H2031</f>
        <v/>
      </c>
      <c r="J2031" s="3">
        <f>ROUND(MIN(IF(C2031="Técnico III",35,IF(C2031="Técnico II",28,IF(C2031="Técnico I",23,IF(C2031="JR",20,IF(C2031="Estágio",10,0))))),IF(C2031="Técnico III",SUMIFS($D:$D,$A:$A,$A2031,$B:$B,"&lt;&gt;Patrícia Karla de Sousa Araújo",$B:$B,"&lt;&gt;Lorena Dias de Araujo",$B:$B,"&lt;&gt;Lucas Luiz Romero")*(35/1083),IF(C2031="Técnico II",SUMIFS($D:$D,$A:$A,$A2031,$B:$B,"&lt;&gt;Patrícia Karla de Sousa Araújo",$B:$B,"&lt;&gt;Lorena Dias de Araujo",$B:$B,"&lt;&gt;Lucas Luiz Romero")*(28/1083),IF(C2031="Técnico I",SUMIFS($D:$D,$A:$A,$A2031,$B:$B,"&lt;&gt;Patrícia Karla de Sousa Araújo",$B:$B,"&lt;&gt;Lorena Dias de Araujo",$B:$B,"&lt;&gt;Lucas Luiz Romero")*(23/1083),IF(C2031="JR",SUMIFS($D:$D,$A:$A,$A2031,$B:$B,"&lt;&gt;Patrícia Karla de Sousa Araújo",$B:$B,"&lt;&gt;Lorena Dias de Araujo",$B:$B,"&lt;&gt;Lucas Luiz Romero")*(20/1083),IF(C2031="Estágio",SUMIFS($D:$D,$A:$A,$A2031,$B:$B,"&lt;&gt;Patrícia Karla de Sousa Araújo",$B:$B,"&lt;&gt;Lorena Dias de Araujo",$B:$B,"&lt;&gt;Lucas Luiz Romero")*(10/1083),0)))))),0)</f>
        <v/>
      </c>
      <c r="K2031" s="3">
        <f>I2031-J2031</f>
        <v/>
      </c>
      <c r="L2031" s="3">
        <f>IF(K2031&lt;-5,"CRÍTICO",IF(K2031&lt;0,"ATENÇÃO",IF(K2031&lt;=5,"BOM","EXCELENTE")))</f>
        <v/>
      </c>
      <c r="M2031" t="n">
        <v>4</v>
      </c>
      <c r="N2031" t="n">
        <v>100</v>
      </c>
      <c r="O2031" t="n">
        <v>20.8955223880597</v>
      </c>
    </row>
    <row r="2032" hidden="1">
      <c r="A2032" s="11" t="n">
        <v>46064</v>
      </c>
      <c r="B2032" t="inlineStr">
        <is>
          <t>Leandro de Souza Silva</t>
        </is>
      </c>
      <c r="C2032" t="inlineStr">
        <is>
          <t>JR</t>
        </is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s="3" t="n">
        <v>0</v>
      </c>
      <c r="J2032" s="3" t="n">
        <v>0</v>
      </c>
      <c r="K2032" s="3" t="n">
        <v>0</v>
      </c>
      <c r="L2032" s="3">
        <f>IF(K2032&lt;-5,"CRÍTICO",IF(K2032&lt;0,"ATENÇÃO",IF(K2032&lt;=5,"BOM","EXCELENTE")))</f>
        <v/>
      </c>
      <c r="M2032" t="n">
        <v>0</v>
      </c>
      <c r="N2032" t="n">
        <v>0</v>
      </c>
      <c r="O2032" t="n">
        <v>0</v>
      </c>
    </row>
    <row r="2033" hidden="1">
      <c r="A2033" s="11" t="n">
        <v>46064</v>
      </c>
      <c r="B2033" t="inlineStr">
        <is>
          <t>Leandro Oliveira de Sousa</t>
        </is>
      </c>
      <c r="C2033" t="inlineStr">
        <is>
          <t>Técnico III</t>
        </is>
      </c>
      <c r="D2033" t="n">
        <v>27</v>
      </c>
      <c r="E2033" t="n">
        <v>26</v>
      </c>
      <c r="F2033" t="n">
        <v>26.56</v>
      </c>
      <c r="G2033" t="n">
        <v>0</v>
      </c>
      <c r="H2033" t="n">
        <v>0</v>
      </c>
      <c r="I2033" s="3">
        <f>E2033+G2033+H2033</f>
        <v/>
      </c>
      <c r="J2033" s="3">
        <f>ROUND(MIN(IF(C2033="Técnico III",35,IF(C2033="Técnico II",28,IF(C2033="Técnico I",23,IF(C2033="JR",20,IF(C2033="Estágio",10,0))))),IF(C2033="Técnico III",SUMIFS($D:$D,$A:$A,$A2033,$B:$B,"&lt;&gt;Patrícia Karla de Sousa Araújo",$B:$B,"&lt;&gt;Lorena Dias de Araujo",$B:$B,"&lt;&gt;Lucas Luiz Romero")*(35/1083),IF(C2033="Técnico II",SUMIFS($D:$D,$A:$A,$A2033,$B:$B,"&lt;&gt;Patrícia Karla de Sousa Araújo",$B:$B,"&lt;&gt;Lorena Dias de Araujo",$B:$B,"&lt;&gt;Lucas Luiz Romero")*(28/1083),IF(C2033="Técnico I",SUMIFS($D:$D,$A:$A,$A2033,$B:$B,"&lt;&gt;Patrícia Karla de Sousa Araújo",$B:$B,"&lt;&gt;Lorena Dias de Araujo",$B:$B,"&lt;&gt;Lucas Luiz Romero")*(23/1083),IF(C2033="JR",SUMIFS($D:$D,$A:$A,$A2033,$B:$B,"&lt;&gt;Patrícia Karla de Sousa Araújo",$B:$B,"&lt;&gt;Lorena Dias de Araujo",$B:$B,"&lt;&gt;Lucas Luiz Romero")*(20/1083),IF(C2033="Estágio",SUMIFS($D:$D,$A:$A,$A2033,$B:$B,"&lt;&gt;Patrícia Karla de Sousa Araújo",$B:$B,"&lt;&gt;Lorena Dias de Araujo",$B:$B,"&lt;&gt;Lucas Luiz Romero")*(10/1083),0)))))),0)</f>
        <v/>
      </c>
      <c r="K2033" s="3">
        <f>I2033-J2033</f>
        <v/>
      </c>
      <c r="L2033" s="3">
        <f>IF(K2033&lt;-5,"CRÍTICO",IF(K2033&lt;0,"ATENÇÃO",IF(K2033&lt;=5,"BOM","EXCELENTE")))</f>
        <v/>
      </c>
      <c r="M2033" t="n">
        <v>28</v>
      </c>
      <c r="N2033" t="n">
        <v>98.48</v>
      </c>
      <c r="O2033" t="n">
        <v>35.48387096774194</v>
      </c>
    </row>
    <row r="2034" hidden="1">
      <c r="A2034" s="11" t="n">
        <v>46064</v>
      </c>
      <c r="B2034" t="inlineStr">
        <is>
          <t>Lizandra Gomes Duarte</t>
        </is>
      </c>
      <c r="C2034" t="inlineStr">
        <is>
          <t>Técnico II</t>
        </is>
      </c>
      <c r="D2034" t="n">
        <v>19</v>
      </c>
      <c r="E2034" t="n">
        <v>18</v>
      </c>
      <c r="F2034" t="n">
        <v>32.33</v>
      </c>
      <c r="G2034" t="n">
        <v>0</v>
      </c>
      <c r="H2034" t="n">
        <v>0</v>
      </c>
      <c r="I2034" s="3">
        <f>E2034+G2034+H2034</f>
        <v/>
      </c>
      <c r="J2034" s="3">
        <f>ROUND(MIN(IF(C2034="Técnico III",35,IF(C2034="Técnico II",28,IF(C2034="Técnico I",23,IF(C2034="JR",20,IF(C2034="Estágio",10,0))))),IF(C2034="Técnico III",SUMIFS($D:$D,$A:$A,$A2034,$B:$B,"&lt;&gt;Patrícia Karla de Sousa Araújo",$B:$B,"&lt;&gt;Lorena Dias de Araujo",$B:$B,"&lt;&gt;Lucas Luiz Romero")*(35/1083),IF(C2034="Técnico II",SUMIFS($D:$D,$A:$A,$A2034,$B:$B,"&lt;&gt;Patrícia Karla de Sousa Araújo",$B:$B,"&lt;&gt;Lorena Dias de Araujo",$B:$B,"&lt;&gt;Lucas Luiz Romero")*(28/1083),IF(C2034="Técnico I",SUMIFS($D:$D,$A:$A,$A2034,$B:$B,"&lt;&gt;Patrícia Karla de Sousa Araújo",$B:$B,"&lt;&gt;Lorena Dias de Araujo",$B:$B,"&lt;&gt;Lucas Luiz Romero")*(23/1083),IF(C2034="JR",SUMIFS($D:$D,$A:$A,$A2034,$B:$B,"&lt;&gt;Patrícia Karla de Sousa Araújo",$B:$B,"&lt;&gt;Lorena Dias de Araujo",$B:$B,"&lt;&gt;Lucas Luiz Romero")*(20/1083),IF(C2034="Estágio",SUMIFS($D:$D,$A:$A,$A2034,$B:$B,"&lt;&gt;Patrícia Karla de Sousa Araújo",$B:$B,"&lt;&gt;Lorena Dias de Araujo",$B:$B,"&lt;&gt;Lucas Luiz Romero")*(10/1083),0)))))),0)</f>
        <v/>
      </c>
      <c r="K2034" s="3">
        <f>I2034-J2034</f>
        <v/>
      </c>
      <c r="L2034" s="3">
        <f>IF(K2034&lt;-5,"CRÍTICO",IF(K2034&lt;0,"ATENÇÃO",IF(K2034&lt;=5,"BOM","EXCELENTE")))</f>
        <v/>
      </c>
      <c r="M2034" t="n">
        <v>18</v>
      </c>
      <c r="N2034" t="n">
        <v>95.56</v>
      </c>
      <c r="O2034" t="n">
        <v>25.1207729468599</v>
      </c>
    </row>
    <row r="2035" hidden="1">
      <c r="A2035" s="11" t="n">
        <v>46064</v>
      </c>
      <c r="B2035" t="inlineStr">
        <is>
          <t>Lorena Dias de Araujo</t>
        </is>
      </c>
      <c r="C2035" t="inlineStr">
        <is>
          <t>Técnico II</t>
        </is>
      </c>
      <c r="D2035" t="n">
        <v>33</v>
      </c>
      <c r="E2035" t="n">
        <v>30</v>
      </c>
      <c r="F2035" t="n">
        <v>19.01</v>
      </c>
      <c r="G2035" t="n">
        <v>0</v>
      </c>
      <c r="H2035" t="n">
        <v>0</v>
      </c>
      <c r="I2035" s="3" t="n">
        <v>0</v>
      </c>
      <c r="J2035" s="3" t="n">
        <v>0</v>
      </c>
      <c r="K2035" s="3" t="n">
        <v>0</v>
      </c>
      <c r="L2035" s="3">
        <f>IF(K2035&lt;-5,"CRÍTICO",IF(K2035&lt;0,"ATENÇÃO",IF(K2035&lt;=5,"BOM","EXCELENTE")))</f>
        <v/>
      </c>
      <c r="M2035" t="n">
        <v>23</v>
      </c>
      <c r="N2035" t="n">
        <v>98.15000000000001</v>
      </c>
      <c r="O2035" t="n">
        <v>30.46875</v>
      </c>
    </row>
    <row r="2036" hidden="1">
      <c r="A2036" s="11" t="n">
        <v>46064</v>
      </c>
      <c r="B2036" t="inlineStr">
        <is>
          <t>Lucas Luiz Romero</t>
        </is>
      </c>
      <c r="C2036" t="inlineStr">
        <is>
          <t>Técnico III</t>
        </is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s="3" t="n">
        <v>0</v>
      </c>
      <c r="J2036" s="3" t="n">
        <v>0</v>
      </c>
      <c r="K2036" s="3" t="n">
        <v>0</v>
      </c>
      <c r="L2036" s="3">
        <f>IF(K2036&lt;-5,"CRÍTICO",IF(K2036&lt;0,"ATENÇÃO",IF(K2036&lt;=5,"BOM","EXCELENTE")))</f>
        <v/>
      </c>
      <c r="M2036" t="n">
        <v>0</v>
      </c>
      <c r="N2036" t="n">
        <v>97.3</v>
      </c>
      <c r="O2036" t="n">
        <v>25.51020408163265</v>
      </c>
    </row>
    <row r="2037" hidden="1">
      <c r="A2037" s="11" t="n">
        <v>46064</v>
      </c>
      <c r="B2037" t="inlineStr">
        <is>
          <t>Luiz Fernando de Carvalho Junior</t>
        </is>
      </c>
      <c r="C2037" t="inlineStr">
        <is>
          <t>Técnico I</t>
        </is>
      </c>
      <c r="D2037" t="n">
        <v>19</v>
      </c>
      <c r="E2037" t="n">
        <v>19</v>
      </c>
      <c r="F2037" t="n">
        <v>29.07</v>
      </c>
      <c r="G2037" t="n">
        <v>0</v>
      </c>
      <c r="H2037" t="n">
        <v>0</v>
      </c>
      <c r="I2037" s="3">
        <f>E2037+G2037+H2037</f>
        <v/>
      </c>
      <c r="J2037" s="3">
        <f>ROUND(MIN(IF(C2037="Técnico III",35,IF(C2037="Técnico II",28,IF(C2037="Técnico I",23,IF(C2037="JR",20,IF(C2037="Estágio",10,0))))),IF(C2037="Técnico III",SUMIFS($D:$D,$A:$A,$A2037,$B:$B,"&lt;&gt;Patrícia Karla de Sousa Araújo",$B:$B,"&lt;&gt;Lorena Dias de Araujo",$B:$B,"&lt;&gt;Lucas Luiz Romero")*(35/1083),IF(C2037="Técnico II",SUMIFS($D:$D,$A:$A,$A2037,$B:$B,"&lt;&gt;Patrícia Karla de Sousa Araújo",$B:$B,"&lt;&gt;Lorena Dias de Araujo",$B:$B,"&lt;&gt;Lucas Luiz Romero")*(28/1083),IF(C2037="Técnico I",SUMIFS($D:$D,$A:$A,$A2037,$B:$B,"&lt;&gt;Patrícia Karla de Sousa Araújo",$B:$B,"&lt;&gt;Lorena Dias de Araujo",$B:$B,"&lt;&gt;Lucas Luiz Romero")*(23/1083),IF(C2037="JR",SUMIFS($D:$D,$A:$A,$A2037,$B:$B,"&lt;&gt;Patrícia Karla de Sousa Araújo",$B:$B,"&lt;&gt;Lorena Dias de Araujo",$B:$B,"&lt;&gt;Lucas Luiz Romero")*(20/1083),IF(C2037="Estágio",SUMIFS($D:$D,$A:$A,$A2037,$B:$B,"&lt;&gt;Patrícia Karla de Sousa Araújo",$B:$B,"&lt;&gt;Lorena Dias de Araujo",$B:$B,"&lt;&gt;Lucas Luiz Romero")*(10/1083),0)))))),0)</f>
        <v/>
      </c>
      <c r="K2037" s="3">
        <f>I2037-J2037</f>
        <v/>
      </c>
      <c r="L2037" s="3">
        <f>IF(K2037&lt;-5,"CRÍTICO",IF(K2037&lt;0,"ATENÇÃO",IF(K2037&lt;=5,"BOM","EXCELENTE")))</f>
        <v/>
      </c>
      <c r="M2037" t="n">
        <v>18</v>
      </c>
      <c r="N2037" t="n">
        <v>100</v>
      </c>
      <c r="O2037" t="n">
        <v>28.49162011173184</v>
      </c>
    </row>
    <row r="2038" hidden="1">
      <c r="A2038" s="11" t="n">
        <v>46064</v>
      </c>
      <c r="B2038" t="inlineStr">
        <is>
          <t>Maria Eduarda Sousa Costa</t>
        </is>
      </c>
      <c r="C2038" t="inlineStr">
        <is>
          <t>Estágio</t>
        </is>
      </c>
      <c r="D2038" t="n">
        <v>74</v>
      </c>
      <c r="E2038" t="n">
        <v>26</v>
      </c>
      <c r="F2038" t="n">
        <v>5.27</v>
      </c>
      <c r="G2038" t="n">
        <v>0</v>
      </c>
      <c r="H2038" t="n">
        <v>0</v>
      </c>
      <c r="I2038" s="3">
        <f>E2038+G2038+H2038</f>
        <v/>
      </c>
      <c r="J2038" s="3">
        <f>ROUND(MIN(IF(C2038="Técnico III",35,IF(C2038="Técnico II",28,IF(C2038="Técnico I",23,IF(C2038="JR",20,IF(C2038="Estágio",10,0))))),IF(C2038="Técnico III",SUMIFS($D:$D,$A:$A,$A2038,$B:$B,"&lt;&gt;Patrícia Karla de Sousa Araújo",$B:$B,"&lt;&gt;Lorena Dias de Araujo",$B:$B,"&lt;&gt;Lucas Luiz Romero")*(35/1083),IF(C2038="Técnico II",SUMIFS($D:$D,$A:$A,$A2038,$B:$B,"&lt;&gt;Patrícia Karla de Sousa Araújo",$B:$B,"&lt;&gt;Lorena Dias de Araujo",$B:$B,"&lt;&gt;Lucas Luiz Romero")*(28/1083),IF(C2038="Técnico I",SUMIFS($D:$D,$A:$A,$A2038,$B:$B,"&lt;&gt;Patrícia Karla de Sousa Araújo",$B:$B,"&lt;&gt;Lorena Dias de Araujo",$B:$B,"&lt;&gt;Lucas Luiz Romero")*(23/1083),IF(C2038="JR",SUMIFS($D:$D,$A:$A,$A2038,$B:$B,"&lt;&gt;Patrícia Karla de Sousa Araújo",$B:$B,"&lt;&gt;Lorena Dias de Araujo",$B:$B,"&lt;&gt;Lucas Luiz Romero")*(20/1083),IF(C2038="Estágio",SUMIFS($D:$D,$A:$A,$A2038,$B:$B,"&lt;&gt;Patrícia Karla de Sousa Araújo",$B:$B,"&lt;&gt;Lorena Dias de Araujo",$B:$B,"&lt;&gt;Lucas Luiz Romero")*(10/1083),0)))))),0)</f>
        <v/>
      </c>
      <c r="K2038" s="3">
        <f>I2038-J2038</f>
        <v/>
      </c>
      <c r="L2038" s="3">
        <f>IF(K2038&lt;-5,"CRÍTICO",IF(K2038&lt;0,"ATENÇÃO",IF(K2038&lt;=5,"BOM","EXCELENTE")))</f>
        <v/>
      </c>
      <c r="M2038" t="n">
        <v>0</v>
      </c>
      <c r="N2038" t="n">
        <v>100</v>
      </c>
      <c r="O2038" t="n">
        <v>27.77777777777778</v>
      </c>
    </row>
    <row r="2039" hidden="1">
      <c r="A2039" s="11" t="n">
        <v>46064</v>
      </c>
      <c r="B2039" t="inlineStr">
        <is>
          <t>Matheus Farias De Souza</t>
        </is>
      </c>
      <c r="C2039" t="inlineStr">
        <is>
          <t>Técnico III</t>
        </is>
      </c>
      <c r="D2039" t="n">
        <v>16</v>
      </c>
      <c r="E2039" t="n">
        <v>15</v>
      </c>
      <c r="F2039" t="n">
        <v>31.4</v>
      </c>
      <c r="G2039" t="n">
        <v>0</v>
      </c>
      <c r="H2039" t="n">
        <v>0</v>
      </c>
      <c r="I2039" s="3">
        <f>E2039+G2039+H2039</f>
        <v/>
      </c>
      <c r="J2039" s="3">
        <f>ROUND(MIN(IF(C2039="Técnico III",35,IF(C2039="Técnico II",28,IF(C2039="Técnico I",23,IF(C2039="JR",20,IF(C2039="Estágio",10,0))))),IF(C2039="Técnico III",SUMIFS($D:$D,$A:$A,$A2039,$B:$B,"&lt;&gt;Patrícia Karla de Sousa Araújo",$B:$B,"&lt;&gt;Lorena Dias de Araujo",$B:$B,"&lt;&gt;Lucas Luiz Romero")*(35/1083),IF(C2039="Técnico II",SUMIFS($D:$D,$A:$A,$A2039,$B:$B,"&lt;&gt;Patrícia Karla de Sousa Araújo",$B:$B,"&lt;&gt;Lorena Dias de Araujo",$B:$B,"&lt;&gt;Lucas Luiz Romero")*(28/1083),IF(C2039="Técnico I",SUMIFS($D:$D,$A:$A,$A2039,$B:$B,"&lt;&gt;Patrícia Karla de Sousa Araújo",$B:$B,"&lt;&gt;Lorena Dias de Araujo",$B:$B,"&lt;&gt;Lucas Luiz Romero")*(23/1083),IF(C2039="JR",SUMIFS($D:$D,$A:$A,$A2039,$B:$B,"&lt;&gt;Patrícia Karla de Sousa Araújo",$B:$B,"&lt;&gt;Lorena Dias de Araujo",$B:$B,"&lt;&gt;Lucas Luiz Romero")*(20/1083),IF(C2039="Estágio",SUMIFS($D:$D,$A:$A,$A2039,$B:$B,"&lt;&gt;Patrícia Karla de Sousa Araújo",$B:$B,"&lt;&gt;Lorena Dias de Araujo",$B:$B,"&lt;&gt;Lucas Luiz Romero")*(10/1083),0)))))),0)</f>
        <v/>
      </c>
      <c r="K2039" s="3">
        <f>I2039-J2039</f>
        <v/>
      </c>
      <c r="L2039" s="3">
        <f>IF(K2039&lt;-5,"CRÍTICO",IF(K2039&lt;0,"ATENÇÃO",IF(K2039&lt;=5,"BOM","EXCELENTE")))</f>
        <v/>
      </c>
      <c r="M2039" t="n">
        <v>33</v>
      </c>
      <c r="N2039" t="n">
        <v>97.62</v>
      </c>
      <c r="O2039" t="n">
        <v>34.46969696969697</v>
      </c>
    </row>
    <row r="2040" hidden="1">
      <c r="A2040" s="11" t="n">
        <v>46064</v>
      </c>
      <c r="B2040" t="inlineStr">
        <is>
          <t>Maysa Victoria Dias Moura</t>
        </is>
      </c>
      <c r="C2040" t="inlineStr">
        <is>
          <t>Técnico III</t>
        </is>
      </c>
      <c r="D2040" t="n">
        <v>17</v>
      </c>
      <c r="E2040" t="n">
        <v>17</v>
      </c>
      <c r="F2040" t="n">
        <v>30.2</v>
      </c>
      <c r="G2040" t="n">
        <v>0</v>
      </c>
      <c r="H2040" t="n">
        <v>0</v>
      </c>
      <c r="I2040" s="3">
        <f>E2040+G2040+H2040</f>
        <v/>
      </c>
      <c r="J2040" s="3">
        <f>ROUND(MIN(IF(C2040="Técnico III",35,IF(C2040="Técnico II",28,IF(C2040="Técnico I",23,IF(C2040="JR",20,IF(C2040="Estágio",10,0))))),IF(C2040="Técnico III",SUMIFS($D:$D,$A:$A,$A2040,$B:$B,"&lt;&gt;Patrícia Karla de Sousa Araújo",$B:$B,"&lt;&gt;Lorena Dias de Araujo",$B:$B,"&lt;&gt;Lucas Luiz Romero")*(35/1083),IF(C2040="Técnico II",SUMIFS($D:$D,$A:$A,$A2040,$B:$B,"&lt;&gt;Patrícia Karla de Sousa Araújo",$B:$B,"&lt;&gt;Lorena Dias de Araujo",$B:$B,"&lt;&gt;Lucas Luiz Romero")*(28/1083),IF(C2040="Técnico I",SUMIFS($D:$D,$A:$A,$A2040,$B:$B,"&lt;&gt;Patrícia Karla de Sousa Araújo",$B:$B,"&lt;&gt;Lorena Dias de Araujo",$B:$B,"&lt;&gt;Lucas Luiz Romero")*(23/1083),IF(C2040="JR",SUMIFS($D:$D,$A:$A,$A2040,$B:$B,"&lt;&gt;Patrícia Karla de Sousa Araújo",$B:$B,"&lt;&gt;Lorena Dias de Araujo",$B:$B,"&lt;&gt;Lucas Luiz Romero")*(20/1083),IF(C2040="Estágio",SUMIFS($D:$D,$A:$A,$A2040,$B:$B,"&lt;&gt;Patrícia Karla de Sousa Araújo",$B:$B,"&lt;&gt;Lorena Dias de Araujo",$B:$B,"&lt;&gt;Lucas Luiz Romero")*(10/1083),0)))))),0)</f>
        <v/>
      </c>
      <c r="K2040" s="3">
        <f>I2040-J2040</f>
        <v/>
      </c>
      <c r="L2040" s="3">
        <f>IF(K2040&lt;-5,"CRÍTICO",IF(K2040&lt;0,"ATENÇÃO",IF(K2040&lt;=5,"BOM","EXCELENTE")))</f>
        <v/>
      </c>
      <c r="M2040" t="n">
        <v>15</v>
      </c>
      <c r="N2040" t="n">
        <v>93.09999999999999</v>
      </c>
      <c r="O2040" t="n">
        <v>25.10822510822511</v>
      </c>
    </row>
    <row r="2041" hidden="1">
      <c r="A2041" s="11" t="n">
        <v>46064</v>
      </c>
      <c r="B2041" t="inlineStr">
        <is>
          <t>Michelle G Santos</t>
        </is>
      </c>
      <c r="C2041" t="inlineStr">
        <is>
          <t>Estágio</t>
        </is>
      </c>
      <c r="D2041" t="n">
        <v>10</v>
      </c>
      <c r="E2041" t="n">
        <v>10</v>
      </c>
      <c r="F2041" t="n">
        <v>67.16</v>
      </c>
      <c r="G2041" t="n">
        <v>0</v>
      </c>
      <c r="H2041" t="n">
        <v>0</v>
      </c>
      <c r="I2041" s="3">
        <f>E2041+G2041+H2041</f>
        <v/>
      </c>
      <c r="J2041" s="3">
        <f>ROUND(MIN(IF(C2041="Técnico III",35,IF(C2041="Técnico II",28,IF(C2041="Técnico I",23,IF(C2041="JR",20,IF(C2041="Estágio",10,0))))),IF(C2041="Técnico III",SUMIFS($D:$D,$A:$A,$A2041,$B:$B,"&lt;&gt;Patrícia Karla de Sousa Araújo",$B:$B,"&lt;&gt;Lorena Dias de Araujo",$B:$B,"&lt;&gt;Lucas Luiz Romero")*(35/1083),IF(C2041="Técnico II",SUMIFS($D:$D,$A:$A,$A2041,$B:$B,"&lt;&gt;Patrícia Karla de Sousa Araújo",$B:$B,"&lt;&gt;Lorena Dias de Araujo",$B:$B,"&lt;&gt;Lucas Luiz Romero")*(28/1083),IF(C2041="Técnico I",SUMIFS($D:$D,$A:$A,$A2041,$B:$B,"&lt;&gt;Patrícia Karla de Sousa Araújo",$B:$B,"&lt;&gt;Lorena Dias de Araujo",$B:$B,"&lt;&gt;Lucas Luiz Romero")*(23/1083),IF(C2041="JR",SUMIFS($D:$D,$A:$A,$A2041,$B:$B,"&lt;&gt;Patrícia Karla de Sousa Araújo",$B:$B,"&lt;&gt;Lorena Dias de Araujo",$B:$B,"&lt;&gt;Lucas Luiz Romero")*(20/1083),IF(C2041="Estágio",SUMIFS($D:$D,$A:$A,$A2041,$B:$B,"&lt;&gt;Patrícia Karla de Sousa Araújo",$B:$B,"&lt;&gt;Lorena Dias de Araujo",$B:$B,"&lt;&gt;Lucas Luiz Romero")*(10/1083),0)))))),0)</f>
        <v/>
      </c>
      <c r="K2041" s="3">
        <f>I2041-J2041</f>
        <v/>
      </c>
      <c r="L2041" s="3">
        <f>IF(K2041&lt;-5,"CRÍTICO",IF(K2041&lt;0,"ATENÇÃO",IF(K2041&lt;=5,"BOM","EXCELENTE")))</f>
        <v/>
      </c>
      <c r="M2041" t="n">
        <v>4</v>
      </c>
      <c r="N2041" t="n">
        <v>100</v>
      </c>
      <c r="O2041" t="n">
        <v>26.66666666666667</v>
      </c>
    </row>
    <row r="2042" hidden="1">
      <c r="A2042" s="11" t="n">
        <v>46064</v>
      </c>
      <c r="B2042" t="inlineStr">
        <is>
          <t>Milena Sales</t>
        </is>
      </c>
      <c r="C2042" t="inlineStr">
        <is>
          <t>JR</t>
        </is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s="3" t="n">
        <v>0</v>
      </c>
      <c r="J2042" s="3" t="n">
        <v>0</v>
      </c>
      <c r="K2042" s="3" t="n">
        <v>0</v>
      </c>
      <c r="L2042" s="3">
        <f>IF(K2042&lt;-5,"CRÍTICO",IF(K2042&lt;0,"ATENÇÃO",IF(K2042&lt;=5,"BOM","EXCELENTE")))</f>
        <v/>
      </c>
      <c r="M2042" t="n">
        <v>0</v>
      </c>
      <c r="N2042" t="n">
        <v>0</v>
      </c>
      <c r="O2042" t="n">
        <v>0</v>
      </c>
    </row>
    <row r="2043" hidden="1">
      <c r="A2043" s="11" t="n">
        <v>46064</v>
      </c>
      <c r="B2043" t="inlineStr">
        <is>
          <t>Patrícia Karla de Sousa Araújo</t>
        </is>
      </c>
      <c r="C2043" t="inlineStr">
        <is>
          <t>Técnico II</t>
        </is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s="3" t="n">
        <v>0</v>
      </c>
      <c r="J2043" s="3" t="n">
        <v>0</v>
      </c>
      <c r="K2043" s="3" t="n">
        <v>0</v>
      </c>
      <c r="L2043" s="3">
        <f>IF(K2043&lt;-5,"CRÍTICO",IF(K2043&lt;0,"ATENÇÃO",IF(K2043&lt;=5,"BOM","EXCELENTE")))</f>
        <v/>
      </c>
      <c r="M2043" t="n">
        <v>0</v>
      </c>
      <c r="N2043" t="n">
        <v>100</v>
      </c>
      <c r="O2043" t="n">
        <v>32.87671232876712</v>
      </c>
    </row>
    <row r="2044" hidden="1">
      <c r="A2044" s="11" t="n">
        <v>46064</v>
      </c>
      <c r="B2044" t="inlineStr">
        <is>
          <t>Paulo Ricardo Santos</t>
        </is>
      </c>
      <c r="C2044" t="inlineStr">
        <is>
          <t>JR</t>
        </is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s="3" t="n">
        <v>0</v>
      </c>
      <c r="J2044" s="3" t="n">
        <v>0</v>
      </c>
      <c r="K2044" s="3" t="n">
        <v>0</v>
      </c>
      <c r="L2044" s="3">
        <f>IF(K2044&lt;-5,"CRÍTICO",IF(K2044&lt;0,"ATENÇÃO",IF(K2044&lt;=5,"BOM","EXCELENTE")))</f>
        <v/>
      </c>
      <c r="M2044" t="n">
        <v>0</v>
      </c>
      <c r="N2044" t="n">
        <v>0</v>
      </c>
      <c r="O2044" t="n">
        <v>0</v>
      </c>
    </row>
    <row r="2045" hidden="1">
      <c r="A2045" s="11" t="n">
        <v>46064</v>
      </c>
      <c r="B2045" t="inlineStr">
        <is>
          <t>Pedro Luiz Mota Sousa</t>
        </is>
      </c>
      <c r="C2045" t="inlineStr">
        <is>
          <t>JR</t>
        </is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s="3" t="n">
        <v>0</v>
      </c>
      <c r="J2045" s="3" t="n">
        <v>0</v>
      </c>
      <c r="K2045" s="3" t="n">
        <v>0</v>
      </c>
      <c r="L2045" s="3">
        <f>IF(K2045&lt;-5,"CRÍTICO",IF(K2045&lt;0,"ATENÇÃO",IF(K2045&lt;=5,"BOM","EXCELENTE")))</f>
        <v/>
      </c>
      <c r="M2045" t="n">
        <v>0</v>
      </c>
      <c r="N2045" t="n">
        <v>0</v>
      </c>
      <c r="O2045" t="n">
        <v>0</v>
      </c>
    </row>
    <row r="2046" hidden="1">
      <c r="A2046" s="11" t="n">
        <v>46064</v>
      </c>
      <c r="B2046" t="inlineStr">
        <is>
          <t>Quirino Diogo Leite Torres</t>
        </is>
      </c>
      <c r="C2046" t="inlineStr">
        <is>
          <t>Estágio</t>
        </is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s="3" t="n">
        <v>0</v>
      </c>
      <c r="J2046" s="3" t="n">
        <v>0</v>
      </c>
      <c r="K2046" s="3" t="n">
        <v>0</v>
      </c>
      <c r="L2046" s="3">
        <f>IF(K2046&lt;-5,"CRÍTICO",IF(K2046&lt;0,"ATENÇÃO",IF(K2046&lt;=5,"BOM","EXCELENTE")))</f>
        <v/>
      </c>
      <c r="M2046" t="n">
        <v>0</v>
      </c>
      <c r="N2046" t="n">
        <v>0</v>
      </c>
      <c r="O2046" t="n">
        <v>0</v>
      </c>
    </row>
    <row r="2047" hidden="1">
      <c r="A2047" s="11" t="n">
        <v>46064</v>
      </c>
      <c r="B2047" t="inlineStr">
        <is>
          <t>Raane Batista Matos</t>
        </is>
      </c>
      <c r="C2047" t="inlineStr">
        <is>
          <t>Técnico I</t>
        </is>
      </c>
      <c r="D2047" t="n">
        <v>25</v>
      </c>
      <c r="E2047" t="n">
        <v>24</v>
      </c>
      <c r="F2047" t="n">
        <v>23.53</v>
      </c>
      <c r="G2047" t="n">
        <v>0</v>
      </c>
      <c r="H2047" t="n">
        <v>0</v>
      </c>
      <c r="I2047" s="3">
        <f>E2047+G2047+H2047</f>
        <v/>
      </c>
      <c r="J2047" s="3">
        <f>ROUND(MIN(IF(C2047="Técnico III",35,IF(C2047="Técnico II",28,IF(C2047="Técnico I",23,IF(C2047="JR",20,IF(C2047="Estágio",10,0))))),IF(C2047="Técnico III",SUMIFS($D:$D,$A:$A,$A2047,$B:$B,"&lt;&gt;Patrícia Karla de Sousa Araújo",$B:$B,"&lt;&gt;Lorena Dias de Araujo",$B:$B,"&lt;&gt;Lucas Luiz Romero")*(35/1083),IF(C2047="Técnico II",SUMIFS($D:$D,$A:$A,$A2047,$B:$B,"&lt;&gt;Patrícia Karla de Sousa Araújo",$B:$B,"&lt;&gt;Lorena Dias de Araujo",$B:$B,"&lt;&gt;Lucas Luiz Romero")*(28/1083),IF(C2047="Técnico I",SUMIFS($D:$D,$A:$A,$A2047,$B:$B,"&lt;&gt;Patrícia Karla de Sousa Araújo",$B:$B,"&lt;&gt;Lorena Dias de Araujo",$B:$B,"&lt;&gt;Lucas Luiz Romero")*(23/1083),IF(C2047="JR",SUMIFS($D:$D,$A:$A,$A2047,$B:$B,"&lt;&gt;Patrícia Karla de Sousa Araújo",$B:$B,"&lt;&gt;Lorena Dias de Araujo",$B:$B,"&lt;&gt;Lucas Luiz Romero")*(20/1083),IF(C2047="Estágio",SUMIFS($D:$D,$A:$A,$A2047,$B:$B,"&lt;&gt;Patrícia Karla de Sousa Araújo",$B:$B,"&lt;&gt;Lorena Dias de Araujo",$B:$B,"&lt;&gt;Lucas Luiz Romero")*(10/1083),0)))))),0)</f>
        <v/>
      </c>
      <c r="K2047" s="3">
        <f>I2047-J2047</f>
        <v/>
      </c>
      <c r="L2047" s="3">
        <f>IF(K2047&lt;-5,"CRÍTICO",IF(K2047&lt;0,"ATENÇÃO",IF(K2047&lt;=5,"BOM","EXCELENTE")))</f>
        <v/>
      </c>
      <c r="M2047" t="n">
        <v>17</v>
      </c>
      <c r="N2047" t="n">
        <v>100</v>
      </c>
      <c r="O2047" t="n">
        <v>34.4</v>
      </c>
    </row>
    <row r="2048" hidden="1">
      <c r="A2048" s="11" t="n">
        <v>46064</v>
      </c>
      <c r="B2048" t="inlineStr">
        <is>
          <t>Rafael Gomes de Morais</t>
        </is>
      </c>
      <c r="C2048" t="inlineStr">
        <is>
          <t>Técnico III</t>
        </is>
      </c>
      <c r="D2048" t="n">
        <v>38</v>
      </c>
      <c r="E2048" t="n">
        <v>35</v>
      </c>
      <c r="F2048" t="n">
        <v>15.06</v>
      </c>
      <c r="G2048" t="n">
        <v>0</v>
      </c>
      <c r="H2048" t="n">
        <v>0</v>
      </c>
      <c r="I2048" s="3">
        <f>E2048+G2048+H2048</f>
        <v/>
      </c>
      <c r="J2048" s="3">
        <f>ROUND(MIN(IF(C2048="Técnico III",35,IF(C2048="Técnico II",28,IF(C2048="Técnico I",23,IF(C2048="JR",20,IF(C2048="Estágio",10,0))))),IF(C2048="Técnico III",SUMIFS($D:$D,$A:$A,$A2048,$B:$B,"&lt;&gt;Patrícia Karla de Sousa Araújo",$B:$B,"&lt;&gt;Lorena Dias de Araujo",$B:$B,"&lt;&gt;Lucas Luiz Romero")*(35/1083),IF(C2048="Técnico II",SUMIFS($D:$D,$A:$A,$A2048,$B:$B,"&lt;&gt;Patrícia Karla de Sousa Araújo",$B:$B,"&lt;&gt;Lorena Dias de Araujo",$B:$B,"&lt;&gt;Lucas Luiz Romero")*(28/1083),IF(C2048="Técnico I",SUMIFS($D:$D,$A:$A,$A2048,$B:$B,"&lt;&gt;Patrícia Karla de Sousa Araújo",$B:$B,"&lt;&gt;Lorena Dias de Araujo",$B:$B,"&lt;&gt;Lucas Luiz Romero")*(23/1083),IF(C2048="JR",SUMIFS($D:$D,$A:$A,$A2048,$B:$B,"&lt;&gt;Patrícia Karla de Sousa Araújo",$B:$B,"&lt;&gt;Lorena Dias de Araujo",$B:$B,"&lt;&gt;Lucas Luiz Romero")*(20/1083),IF(C2048="Estágio",SUMIFS($D:$D,$A:$A,$A2048,$B:$B,"&lt;&gt;Patrícia Karla de Sousa Araújo",$B:$B,"&lt;&gt;Lorena Dias de Araujo",$B:$B,"&lt;&gt;Lucas Luiz Romero")*(10/1083),0)))))),0)</f>
        <v/>
      </c>
      <c r="K2048" s="3">
        <f>I2048-J2048</f>
        <v/>
      </c>
      <c r="L2048" s="3">
        <f>IF(K2048&lt;-5,"CRÍTICO",IF(K2048&lt;0,"ATENÇÃO",IF(K2048&lt;=5,"BOM","EXCELENTE")))</f>
        <v/>
      </c>
      <c r="M2048" t="n">
        <v>38</v>
      </c>
      <c r="N2048" t="n">
        <v>100</v>
      </c>
      <c r="O2048" t="n">
        <v>29.45736434108527</v>
      </c>
    </row>
    <row r="2049" hidden="1">
      <c r="A2049" s="11" t="n">
        <v>46064</v>
      </c>
      <c r="B2049" t="inlineStr">
        <is>
          <t>Sara Maria Monteiro Lopes</t>
        </is>
      </c>
      <c r="C2049" t="inlineStr">
        <is>
          <t>Técnico I</t>
        </is>
      </c>
      <c r="D2049" t="n">
        <v>12</v>
      </c>
      <c r="E2049" t="n">
        <v>11</v>
      </c>
      <c r="F2049" t="n">
        <v>37.18</v>
      </c>
      <c r="G2049" t="n">
        <v>0</v>
      </c>
      <c r="H2049" t="n">
        <v>0</v>
      </c>
      <c r="I2049" s="3">
        <f>E2049+G2049+H2049</f>
        <v/>
      </c>
      <c r="J2049" s="3">
        <f>ROUND(MIN(IF(C2049="Técnico III",35,IF(C2049="Técnico II",28,IF(C2049="Técnico I",23,IF(C2049="JR",20,IF(C2049="Estágio",10,0))))),IF(C2049="Técnico III",SUMIFS($D:$D,$A:$A,$A2049,$B:$B,"&lt;&gt;Patrícia Karla de Sousa Araújo",$B:$B,"&lt;&gt;Lorena Dias de Araujo",$B:$B,"&lt;&gt;Lucas Luiz Romero")*(35/1083),IF(C2049="Técnico II",SUMIFS($D:$D,$A:$A,$A2049,$B:$B,"&lt;&gt;Patrícia Karla de Sousa Araújo",$B:$B,"&lt;&gt;Lorena Dias de Araujo",$B:$B,"&lt;&gt;Lucas Luiz Romero")*(28/1083),IF(C2049="Técnico I",SUMIFS($D:$D,$A:$A,$A2049,$B:$B,"&lt;&gt;Patrícia Karla de Sousa Araújo",$B:$B,"&lt;&gt;Lorena Dias de Araujo",$B:$B,"&lt;&gt;Lucas Luiz Romero")*(23/1083),IF(C2049="JR",SUMIFS($D:$D,$A:$A,$A2049,$B:$B,"&lt;&gt;Patrícia Karla de Sousa Araújo",$B:$B,"&lt;&gt;Lorena Dias de Araujo",$B:$B,"&lt;&gt;Lucas Luiz Romero")*(20/1083),IF(C2049="Estágio",SUMIFS($D:$D,$A:$A,$A2049,$B:$B,"&lt;&gt;Patrícia Karla de Sousa Araújo",$B:$B,"&lt;&gt;Lorena Dias de Araujo",$B:$B,"&lt;&gt;Lucas Luiz Romero")*(10/1083),0)))))),0)</f>
        <v/>
      </c>
      <c r="K2049" s="3">
        <f>I2049-J2049</f>
        <v/>
      </c>
      <c r="L2049" s="3">
        <f>IF(K2049&lt;-5,"CRÍTICO",IF(K2049&lt;0,"ATENÇÃO",IF(K2049&lt;=5,"BOM","EXCELENTE")))</f>
        <v/>
      </c>
      <c r="M2049" t="n">
        <v>12</v>
      </c>
      <c r="N2049" t="n">
        <v>96.3</v>
      </c>
      <c r="O2049" t="n">
        <v>31.19266055045872</v>
      </c>
    </row>
    <row r="2050" hidden="1">
      <c r="A2050" s="11" t="n">
        <v>46064</v>
      </c>
      <c r="B2050" t="inlineStr">
        <is>
          <t>Sarah Steffanie de Lima Borges</t>
        </is>
      </c>
      <c r="C2050" t="inlineStr">
        <is>
          <t>Técnico III</t>
        </is>
      </c>
      <c r="D2050" t="n">
        <v>35</v>
      </c>
      <c r="E2050" t="n">
        <v>32</v>
      </c>
      <c r="F2050" t="n">
        <v>18.27</v>
      </c>
      <c r="G2050" t="n">
        <v>0</v>
      </c>
      <c r="H2050" t="n">
        <v>0</v>
      </c>
      <c r="I2050" s="3">
        <f>E2050+G2050+H2050</f>
        <v/>
      </c>
      <c r="J2050" s="3">
        <f>ROUND(MIN(IF(C2050="Técnico III",35,IF(C2050="Técnico II",28,IF(C2050="Técnico I",23,IF(C2050="JR",20,IF(C2050="Estágio",10,0))))),IF(C2050="Técnico III",SUMIFS($D:$D,$A:$A,$A2050,$B:$B,"&lt;&gt;Patrícia Karla de Sousa Araújo",$B:$B,"&lt;&gt;Lorena Dias de Araujo",$B:$B,"&lt;&gt;Lucas Luiz Romero")*(35/1083),IF(C2050="Técnico II",SUMIFS($D:$D,$A:$A,$A2050,$B:$B,"&lt;&gt;Patrícia Karla de Sousa Araújo",$B:$B,"&lt;&gt;Lorena Dias de Araujo",$B:$B,"&lt;&gt;Lucas Luiz Romero")*(28/1083),IF(C2050="Técnico I",SUMIFS($D:$D,$A:$A,$A2050,$B:$B,"&lt;&gt;Patrícia Karla de Sousa Araújo",$B:$B,"&lt;&gt;Lorena Dias de Araujo",$B:$B,"&lt;&gt;Lucas Luiz Romero")*(23/1083),IF(C2050="JR",SUMIFS($D:$D,$A:$A,$A2050,$B:$B,"&lt;&gt;Patrícia Karla de Sousa Araújo",$B:$B,"&lt;&gt;Lorena Dias de Araujo",$B:$B,"&lt;&gt;Lucas Luiz Romero")*(20/1083),IF(C2050="Estágio",SUMIFS($D:$D,$A:$A,$A2050,$B:$B,"&lt;&gt;Patrícia Karla de Sousa Araújo",$B:$B,"&lt;&gt;Lorena Dias de Araujo",$B:$B,"&lt;&gt;Lucas Luiz Romero")*(10/1083),0)))))),0)</f>
        <v/>
      </c>
      <c r="K2050" s="3">
        <f>I2050-J2050</f>
        <v/>
      </c>
      <c r="L2050" s="3">
        <f>IF(K2050&lt;-5,"CRÍTICO",IF(K2050&lt;0,"ATENÇÃO",IF(K2050&lt;=5,"BOM","EXCELENTE")))</f>
        <v/>
      </c>
      <c r="M2050" t="n">
        <v>27</v>
      </c>
      <c r="N2050" t="n">
        <v>98.20999999999999</v>
      </c>
      <c r="O2050" t="n">
        <v>26.12244897959184</v>
      </c>
    </row>
    <row r="2051" hidden="1">
      <c r="A2051" s="11" t="n">
        <v>46065</v>
      </c>
      <c r="B2051" t="inlineStr">
        <is>
          <t>Alisson de Freitas Silva</t>
        </is>
      </c>
      <c r="C2051" t="inlineStr">
        <is>
          <t>Técnico II</t>
        </is>
      </c>
      <c r="D2051" t="n">
        <v>1</v>
      </c>
      <c r="E2051" t="n">
        <v>0</v>
      </c>
      <c r="F2051" t="n">
        <v>2.07</v>
      </c>
      <c r="G2051" t="n">
        <v>0</v>
      </c>
      <c r="H2051" t="n">
        <v>0</v>
      </c>
      <c r="I2051" s="3">
        <f>E2051+G2051+H2051</f>
        <v/>
      </c>
      <c r="J2051" s="3">
        <f>ROUND(MIN(IF(C2051="Técnico III",35,IF(C2051="Técnico II",28,IF(C2051="Técnico I",23,IF(C2051="JR",20,IF(C2051="Estágio",10,0))))),IF(C2051="Técnico III",SUMIFS($D:$D,$A:$A,$A2051,$B:$B,"&lt;&gt;Patrícia Karla de Sousa Araújo",$B:$B,"&lt;&gt;Lorena Dias de Araujo",$B:$B,"&lt;&gt;Lucas Luiz Romero")*(35/1083),IF(C2051="Técnico II",SUMIFS($D:$D,$A:$A,$A2051,$B:$B,"&lt;&gt;Patrícia Karla de Sousa Araújo",$B:$B,"&lt;&gt;Lorena Dias de Araujo",$B:$B,"&lt;&gt;Lucas Luiz Romero")*(28/1083),IF(C2051="Técnico I",SUMIFS($D:$D,$A:$A,$A2051,$B:$B,"&lt;&gt;Patrícia Karla de Sousa Araújo",$B:$B,"&lt;&gt;Lorena Dias de Araujo",$B:$B,"&lt;&gt;Lucas Luiz Romero")*(23/1083),IF(C2051="JR",SUMIFS($D:$D,$A:$A,$A2051,$B:$B,"&lt;&gt;Patrícia Karla de Sousa Araújo",$B:$B,"&lt;&gt;Lorena Dias de Araujo",$B:$B,"&lt;&gt;Lucas Luiz Romero")*(20/1083),IF(C2051="Estágio",SUMIFS($D:$D,$A:$A,$A2051,$B:$B,"&lt;&gt;Patrícia Karla de Sousa Araújo",$B:$B,"&lt;&gt;Lorena Dias de Araujo",$B:$B,"&lt;&gt;Lucas Luiz Romero")*(10/1083),0)))))),0)</f>
        <v/>
      </c>
      <c r="K2051" s="3">
        <f>I2051-J2051</f>
        <v/>
      </c>
      <c r="L2051" s="3">
        <f>IF(K2051&lt;-5,"CRÍTICO",IF(K2051&lt;0,"ATENÇÃO",IF(K2051&lt;=5,"BOM","EXCELENTE")))</f>
        <v/>
      </c>
      <c r="M2051" t="n">
        <v>0</v>
      </c>
      <c r="N2051" t="n">
        <v>100</v>
      </c>
      <c r="O2051" t="n">
        <v>28.19383259911895</v>
      </c>
    </row>
    <row r="2052" hidden="1">
      <c r="A2052" s="11" t="n">
        <v>46065</v>
      </c>
      <c r="B2052" t="inlineStr">
        <is>
          <t>Amanda Moura Ferreira</t>
        </is>
      </c>
      <c r="C2052" t="inlineStr">
        <is>
          <t>Técnico III</t>
        </is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s="3" t="n">
        <v>0</v>
      </c>
      <c r="J2052" s="3" t="n">
        <v>0</v>
      </c>
      <c r="K2052" s="3" t="n">
        <v>0</v>
      </c>
      <c r="L2052" s="3">
        <f>IF(K2052&lt;-5,"CRÍTICO",IF(K2052&lt;0,"ATENÇÃO",IF(K2052&lt;=5,"BOM","EXCELENTE")))</f>
        <v/>
      </c>
      <c r="M2052" t="n">
        <v>33</v>
      </c>
      <c r="N2052" t="n">
        <v>98.75</v>
      </c>
      <c r="O2052" t="n">
        <v>28.1021897810219</v>
      </c>
    </row>
    <row r="2053" hidden="1">
      <c r="A2053" s="11" t="n">
        <v>46065</v>
      </c>
      <c r="B2053" t="inlineStr">
        <is>
          <t>Ana Karollyne Souza Faria</t>
        </is>
      </c>
      <c r="C2053" t="inlineStr">
        <is>
          <t>Técnico I</t>
        </is>
      </c>
      <c r="D2053" t="n">
        <v>25</v>
      </c>
      <c r="E2053" t="n">
        <v>24</v>
      </c>
      <c r="F2053" t="n">
        <v>25.21</v>
      </c>
      <c r="G2053" t="n">
        <v>0</v>
      </c>
      <c r="H2053" t="n">
        <v>0</v>
      </c>
      <c r="I2053" s="3">
        <f>E2053+G2053+H2053</f>
        <v/>
      </c>
      <c r="J2053" s="3">
        <f>ROUND(MIN(IF(C2053="Técnico III",35,IF(C2053="Técnico II",28,IF(C2053="Técnico I",23,IF(C2053="JR",20,IF(C2053="Estágio",10,0))))),IF(C2053="Técnico III",SUMIFS($D:$D,$A:$A,$A2053,$B:$B,"&lt;&gt;Patrícia Karla de Sousa Araújo",$B:$B,"&lt;&gt;Lorena Dias de Araujo",$B:$B,"&lt;&gt;Lucas Luiz Romero")*(35/1083),IF(C2053="Técnico II",SUMIFS($D:$D,$A:$A,$A2053,$B:$B,"&lt;&gt;Patrícia Karla de Sousa Araújo",$B:$B,"&lt;&gt;Lorena Dias de Araujo",$B:$B,"&lt;&gt;Lucas Luiz Romero")*(28/1083),IF(C2053="Técnico I",SUMIFS($D:$D,$A:$A,$A2053,$B:$B,"&lt;&gt;Patrícia Karla de Sousa Araújo",$B:$B,"&lt;&gt;Lorena Dias de Araujo",$B:$B,"&lt;&gt;Lucas Luiz Romero")*(23/1083),IF(C2053="JR",SUMIFS($D:$D,$A:$A,$A2053,$B:$B,"&lt;&gt;Patrícia Karla de Sousa Araújo",$B:$B,"&lt;&gt;Lorena Dias de Araujo",$B:$B,"&lt;&gt;Lucas Luiz Romero")*(20/1083),IF(C2053="Estágio",SUMIFS($D:$D,$A:$A,$A2053,$B:$B,"&lt;&gt;Patrícia Karla de Sousa Araújo",$B:$B,"&lt;&gt;Lorena Dias de Araujo",$B:$B,"&lt;&gt;Lucas Luiz Romero")*(10/1083),0)))))),0)</f>
        <v/>
      </c>
      <c r="K2053" s="3">
        <f>I2053-J2053</f>
        <v/>
      </c>
      <c r="L2053" s="3">
        <f>IF(K2053&lt;-5,"CRÍTICO",IF(K2053&lt;0,"ATENÇÃO",IF(K2053&lt;=5,"BOM","EXCELENTE")))</f>
        <v/>
      </c>
      <c r="M2053" t="n">
        <v>20</v>
      </c>
      <c r="N2053" t="n">
        <v>100</v>
      </c>
      <c r="O2053" t="n">
        <v>28.75536480686695</v>
      </c>
    </row>
    <row r="2054" hidden="1">
      <c r="A2054" s="11" t="n">
        <v>46065</v>
      </c>
      <c r="B2054" t="inlineStr">
        <is>
          <t>Ana Paula Da Luz Silva Aleixo</t>
        </is>
      </c>
      <c r="C2054" t="inlineStr">
        <is>
          <t>Técnico III</t>
        </is>
      </c>
      <c r="D2054" t="n">
        <v>28</v>
      </c>
      <c r="E2054" t="n">
        <v>26</v>
      </c>
      <c r="F2054" t="n">
        <v>23.36</v>
      </c>
      <c r="G2054" t="n">
        <v>0</v>
      </c>
      <c r="H2054" t="n">
        <v>0</v>
      </c>
      <c r="I2054" s="3">
        <f>E2054+G2054+H2054</f>
        <v/>
      </c>
      <c r="J2054" s="3">
        <f>ROUND(MIN(IF(C2054="Técnico III",35,IF(C2054="Técnico II",28,IF(C2054="Técnico I",23,IF(C2054="JR",20,IF(C2054="Estágio",10,0))))),IF(C2054="Técnico III",SUMIFS($D:$D,$A:$A,$A2054,$B:$B,"&lt;&gt;Patrícia Karla de Sousa Araújo",$B:$B,"&lt;&gt;Lorena Dias de Araujo",$B:$B,"&lt;&gt;Lucas Luiz Romero")*(35/1083),IF(C2054="Técnico II",SUMIFS($D:$D,$A:$A,$A2054,$B:$B,"&lt;&gt;Patrícia Karla de Sousa Araújo",$B:$B,"&lt;&gt;Lorena Dias de Araujo",$B:$B,"&lt;&gt;Lucas Luiz Romero")*(28/1083),IF(C2054="Técnico I",SUMIFS($D:$D,$A:$A,$A2054,$B:$B,"&lt;&gt;Patrícia Karla de Sousa Araújo",$B:$B,"&lt;&gt;Lorena Dias de Araujo",$B:$B,"&lt;&gt;Lucas Luiz Romero")*(23/1083),IF(C2054="JR",SUMIFS($D:$D,$A:$A,$A2054,$B:$B,"&lt;&gt;Patrícia Karla de Sousa Araújo",$B:$B,"&lt;&gt;Lorena Dias de Araujo",$B:$B,"&lt;&gt;Lucas Luiz Romero")*(20/1083),IF(C2054="Estágio",SUMIFS($D:$D,$A:$A,$A2054,$B:$B,"&lt;&gt;Patrícia Karla de Sousa Araújo",$B:$B,"&lt;&gt;Lorena Dias de Araujo",$B:$B,"&lt;&gt;Lucas Luiz Romero")*(10/1083),0)))))),0)</f>
        <v/>
      </c>
      <c r="K2054" s="3">
        <f>I2054-J2054</f>
        <v/>
      </c>
      <c r="L2054" s="3">
        <f>IF(K2054&lt;-5,"CRÍTICO",IF(K2054&lt;0,"ATENÇÃO",IF(K2054&lt;=5,"BOM","EXCELENTE")))</f>
        <v/>
      </c>
      <c r="M2054" t="n">
        <v>25</v>
      </c>
      <c r="N2054" t="n">
        <v>100</v>
      </c>
      <c r="O2054" t="n">
        <v>23.37164750957854</v>
      </c>
    </row>
    <row r="2055" hidden="1">
      <c r="A2055" s="11" t="n">
        <v>46065</v>
      </c>
      <c r="B2055" t="inlineStr">
        <is>
          <t>Anna Luiza Rezende Tavares</t>
        </is>
      </c>
      <c r="C2055" t="inlineStr">
        <is>
          <t>Estágio</t>
        </is>
      </c>
      <c r="D2055" t="n">
        <v>10</v>
      </c>
      <c r="E2055" t="n">
        <v>9</v>
      </c>
      <c r="F2055" t="n">
        <v>30.53</v>
      </c>
      <c r="G2055" t="n">
        <v>0</v>
      </c>
      <c r="H2055" t="n">
        <v>0</v>
      </c>
      <c r="I2055" s="3">
        <f>E2055+G2055+H2055</f>
        <v/>
      </c>
      <c r="J2055" s="3">
        <f>ROUND(MIN(IF(C2055="Técnico III",35,IF(C2055="Técnico II",28,IF(C2055="Técnico I",23,IF(C2055="JR",20,IF(C2055="Estágio",10,0))))),IF(C2055="Técnico III",SUMIFS($D:$D,$A:$A,$A2055,$B:$B,"&lt;&gt;Patrícia Karla de Sousa Araújo",$B:$B,"&lt;&gt;Lorena Dias de Araujo",$B:$B,"&lt;&gt;Lucas Luiz Romero")*(35/1083),IF(C2055="Técnico II",SUMIFS($D:$D,$A:$A,$A2055,$B:$B,"&lt;&gt;Patrícia Karla de Sousa Araújo",$B:$B,"&lt;&gt;Lorena Dias de Araujo",$B:$B,"&lt;&gt;Lucas Luiz Romero")*(28/1083),IF(C2055="Técnico I",SUMIFS($D:$D,$A:$A,$A2055,$B:$B,"&lt;&gt;Patrícia Karla de Sousa Araújo",$B:$B,"&lt;&gt;Lorena Dias de Araujo",$B:$B,"&lt;&gt;Lucas Luiz Romero")*(23/1083),IF(C2055="JR",SUMIFS($D:$D,$A:$A,$A2055,$B:$B,"&lt;&gt;Patrícia Karla de Sousa Araújo",$B:$B,"&lt;&gt;Lorena Dias de Araujo",$B:$B,"&lt;&gt;Lucas Luiz Romero")*(20/1083),IF(C2055="Estágio",SUMIFS($D:$D,$A:$A,$A2055,$B:$B,"&lt;&gt;Patrícia Karla de Sousa Araújo",$B:$B,"&lt;&gt;Lorena Dias de Araujo",$B:$B,"&lt;&gt;Lucas Luiz Romero")*(10/1083),0)))))),0)</f>
        <v/>
      </c>
      <c r="K2055" s="3">
        <f>I2055-J2055</f>
        <v/>
      </c>
      <c r="L2055" s="3">
        <f>IF(K2055&lt;-5,"CRÍTICO",IF(K2055&lt;0,"ATENÇÃO",IF(K2055&lt;=5,"BOM","EXCELENTE")))</f>
        <v/>
      </c>
      <c r="M2055" t="n">
        <v>9</v>
      </c>
      <c r="N2055" t="n">
        <v>100</v>
      </c>
      <c r="O2055" t="n">
        <v>33.33333333333333</v>
      </c>
    </row>
    <row r="2056" hidden="1">
      <c r="A2056" s="11" t="n">
        <v>46065</v>
      </c>
      <c r="B2056" t="inlineStr">
        <is>
          <t>Brenda de Menezes Silva</t>
        </is>
      </c>
      <c r="C2056" t="inlineStr">
        <is>
          <t>Técnico II</t>
        </is>
      </c>
      <c r="D2056" t="n">
        <v>17</v>
      </c>
      <c r="E2056" t="n">
        <v>17</v>
      </c>
      <c r="F2056" t="n">
        <v>22.38</v>
      </c>
      <c r="G2056" t="n">
        <v>0</v>
      </c>
      <c r="H2056" t="n">
        <v>0</v>
      </c>
      <c r="I2056" s="3">
        <f>E2056+G2056+H2056</f>
        <v/>
      </c>
      <c r="J2056" s="3">
        <f>ROUND(MIN(IF(C2056="Técnico III",35,IF(C2056="Técnico II",28,IF(C2056="Técnico I",23,IF(C2056="JR",20,IF(C2056="Estágio",10,0))))),IF(C2056="Técnico III",SUMIFS($D:$D,$A:$A,$A2056,$B:$B,"&lt;&gt;Patrícia Karla de Sousa Araújo",$B:$B,"&lt;&gt;Lorena Dias de Araujo",$B:$B,"&lt;&gt;Lucas Luiz Romero")*(35/1083),IF(C2056="Técnico II",SUMIFS($D:$D,$A:$A,$A2056,$B:$B,"&lt;&gt;Patrícia Karla de Sousa Araújo",$B:$B,"&lt;&gt;Lorena Dias de Araujo",$B:$B,"&lt;&gt;Lucas Luiz Romero")*(28/1083),IF(C2056="Técnico I",SUMIFS($D:$D,$A:$A,$A2056,$B:$B,"&lt;&gt;Patrícia Karla de Sousa Araújo",$B:$B,"&lt;&gt;Lorena Dias de Araujo",$B:$B,"&lt;&gt;Lucas Luiz Romero")*(23/1083),IF(C2056="JR",SUMIFS($D:$D,$A:$A,$A2056,$B:$B,"&lt;&gt;Patrícia Karla de Sousa Araújo",$B:$B,"&lt;&gt;Lorena Dias de Araujo",$B:$B,"&lt;&gt;Lucas Luiz Romero")*(20/1083),IF(C2056="Estágio",SUMIFS($D:$D,$A:$A,$A2056,$B:$B,"&lt;&gt;Patrícia Karla de Sousa Araújo",$B:$B,"&lt;&gt;Lorena Dias de Araujo",$B:$B,"&lt;&gt;Lucas Luiz Romero")*(10/1083),0)))))),0)</f>
        <v/>
      </c>
      <c r="K2056" s="3">
        <f>I2056-J2056</f>
        <v/>
      </c>
      <c r="L2056" s="3">
        <f>IF(K2056&lt;-5,"CRÍTICO",IF(K2056&lt;0,"ATENÇÃO",IF(K2056&lt;=5,"BOM","EXCELENTE")))</f>
        <v/>
      </c>
      <c r="M2056" t="n">
        <v>17</v>
      </c>
      <c r="N2056" t="n">
        <v>100</v>
      </c>
      <c r="O2056" t="n">
        <v>31.51750972762646</v>
      </c>
    </row>
    <row r="2057" hidden="1">
      <c r="A2057" s="11" t="n">
        <v>46065</v>
      </c>
      <c r="B2057" t="inlineStr">
        <is>
          <t>Carlos Mateus Cassimiro Nunes</t>
        </is>
      </c>
      <c r="C2057" t="inlineStr">
        <is>
          <t>Técnico II</t>
        </is>
      </c>
      <c r="D2057" t="n">
        <v>14</v>
      </c>
      <c r="E2057" t="n">
        <v>13</v>
      </c>
      <c r="F2057" t="n">
        <v>41.45</v>
      </c>
      <c r="G2057" t="n">
        <v>0</v>
      </c>
      <c r="H2057" t="n">
        <v>0</v>
      </c>
      <c r="I2057" s="3">
        <f>E2057+G2057+H2057</f>
        <v/>
      </c>
      <c r="J2057" s="3">
        <f>ROUND(MIN(IF(C2057="Técnico III",35,IF(C2057="Técnico II",28,IF(C2057="Técnico I",23,IF(C2057="JR",20,IF(C2057="Estágio",10,0))))),IF(C2057="Técnico III",SUMIFS($D:$D,$A:$A,$A2057,$B:$B,"&lt;&gt;Patrícia Karla de Sousa Araújo",$B:$B,"&lt;&gt;Lorena Dias de Araujo",$B:$B,"&lt;&gt;Lucas Luiz Romero")*(35/1083),IF(C2057="Técnico II",SUMIFS($D:$D,$A:$A,$A2057,$B:$B,"&lt;&gt;Patrícia Karla de Sousa Araújo",$B:$B,"&lt;&gt;Lorena Dias de Araujo",$B:$B,"&lt;&gt;Lucas Luiz Romero")*(28/1083),IF(C2057="Técnico I",SUMIFS($D:$D,$A:$A,$A2057,$B:$B,"&lt;&gt;Patrícia Karla de Sousa Araújo",$B:$B,"&lt;&gt;Lorena Dias de Araujo",$B:$B,"&lt;&gt;Lucas Luiz Romero")*(23/1083),IF(C2057="JR",SUMIFS($D:$D,$A:$A,$A2057,$B:$B,"&lt;&gt;Patrícia Karla de Sousa Araújo",$B:$B,"&lt;&gt;Lorena Dias de Araujo",$B:$B,"&lt;&gt;Lucas Luiz Romero")*(20/1083),IF(C2057="Estágio",SUMIFS($D:$D,$A:$A,$A2057,$B:$B,"&lt;&gt;Patrícia Karla de Sousa Araújo",$B:$B,"&lt;&gt;Lorena Dias de Araujo",$B:$B,"&lt;&gt;Lucas Luiz Romero")*(10/1083),0)))))),0)</f>
        <v/>
      </c>
      <c r="K2057" s="3">
        <f>I2057-J2057</f>
        <v/>
      </c>
      <c r="L2057" s="3">
        <f>IF(K2057&lt;-5,"CRÍTICO",IF(K2057&lt;0,"ATENÇÃO",IF(K2057&lt;=5,"BOM","EXCELENTE")))</f>
        <v/>
      </c>
      <c r="M2057" t="n">
        <v>14</v>
      </c>
      <c r="N2057" t="n">
        <v>100</v>
      </c>
      <c r="O2057" t="n">
        <v>34.18367346938776</v>
      </c>
    </row>
    <row r="2058" hidden="1">
      <c r="A2058" s="11" t="n">
        <v>46065</v>
      </c>
      <c r="B2058" t="inlineStr">
        <is>
          <t>Claudio de Sousa Velasco Filho</t>
        </is>
      </c>
      <c r="C2058" t="inlineStr">
        <is>
          <t>Estágio</t>
        </is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s="3" t="n">
        <v>0</v>
      </c>
      <c r="J2058" s="3" t="n">
        <v>0</v>
      </c>
      <c r="K2058" s="3" t="n">
        <v>0</v>
      </c>
      <c r="L2058" s="3">
        <f>IF(K2058&lt;-5,"CRÍTICO",IF(K2058&lt;0,"ATENÇÃO",IF(K2058&lt;=5,"BOM","EXCELENTE")))</f>
        <v/>
      </c>
      <c r="M2058" t="n">
        <v>0</v>
      </c>
      <c r="N2058" t="n">
        <v>0</v>
      </c>
      <c r="O2058" t="n">
        <v>0</v>
      </c>
    </row>
    <row r="2059" hidden="1">
      <c r="A2059" s="11" t="n">
        <v>46065</v>
      </c>
      <c r="B2059" t="inlineStr">
        <is>
          <t>Clessiane Pereira dos Santos</t>
        </is>
      </c>
      <c r="C2059" t="inlineStr">
        <is>
          <t>Técnico I</t>
        </is>
      </c>
      <c r="D2059" t="n">
        <v>40</v>
      </c>
      <c r="E2059" t="n">
        <v>6</v>
      </c>
      <c r="F2059" t="n">
        <v>3.57</v>
      </c>
      <c r="G2059" t="n">
        <v>0</v>
      </c>
      <c r="H2059" t="n">
        <v>0</v>
      </c>
      <c r="I2059" s="3">
        <f>E2059+G2059+H2059</f>
        <v/>
      </c>
      <c r="J2059" s="3">
        <f>ROUND(MIN(IF(C2059="Técnico III",35,IF(C2059="Técnico II",28,IF(C2059="Técnico I",23,IF(C2059="JR",20,IF(C2059="Estágio",10,0))))),IF(C2059="Técnico III",SUMIFS($D:$D,$A:$A,$A2059,$B:$B,"&lt;&gt;Patrícia Karla de Sousa Araújo",$B:$B,"&lt;&gt;Lorena Dias de Araujo",$B:$B,"&lt;&gt;Lucas Luiz Romero")*(35/1083),IF(C2059="Técnico II",SUMIFS($D:$D,$A:$A,$A2059,$B:$B,"&lt;&gt;Patrícia Karla de Sousa Araújo",$B:$B,"&lt;&gt;Lorena Dias de Araujo",$B:$B,"&lt;&gt;Lucas Luiz Romero")*(28/1083),IF(C2059="Técnico I",SUMIFS($D:$D,$A:$A,$A2059,$B:$B,"&lt;&gt;Patrícia Karla de Sousa Araújo",$B:$B,"&lt;&gt;Lorena Dias de Araujo",$B:$B,"&lt;&gt;Lucas Luiz Romero")*(23/1083),IF(C2059="JR",SUMIFS($D:$D,$A:$A,$A2059,$B:$B,"&lt;&gt;Patrícia Karla de Sousa Araújo",$B:$B,"&lt;&gt;Lorena Dias de Araujo",$B:$B,"&lt;&gt;Lucas Luiz Romero")*(20/1083),IF(C2059="Estágio",SUMIFS($D:$D,$A:$A,$A2059,$B:$B,"&lt;&gt;Patrícia Karla de Sousa Araújo",$B:$B,"&lt;&gt;Lorena Dias de Araujo",$B:$B,"&lt;&gt;Lucas Luiz Romero")*(10/1083),0)))))),0)</f>
        <v/>
      </c>
      <c r="K2059" s="3">
        <f>I2059-J2059</f>
        <v/>
      </c>
      <c r="L2059" s="3">
        <f>IF(K2059&lt;-5,"CRÍTICO",IF(K2059&lt;0,"ATENÇÃO",IF(K2059&lt;=5,"BOM","EXCELENTE")))</f>
        <v/>
      </c>
      <c r="M2059" t="n">
        <v>9</v>
      </c>
      <c r="N2059" t="n">
        <v>100</v>
      </c>
      <c r="O2059" t="n">
        <v>22.0125786163522</v>
      </c>
    </row>
    <row r="2060" hidden="1">
      <c r="A2060" s="11" t="n">
        <v>46065</v>
      </c>
      <c r="B2060" t="inlineStr">
        <is>
          <t>Cristiane Ramos da Silva Rocha</t>
        </is>
      </c>
      <c r="C2060" t="inlineStr">
        <is>
          <t>Técnico III</t>
        </is>
      </c>
      <c r="D2060" t="n">
        <v>39</v>
      </c>
      <c r="E2060" t="n">
        <v>36</v>
      </c>
      <c r="F2060" t="n">
        <v>19.05</v>
      </c>
      <c r="G2060" t="n">
        <v>0</v>
      </c>
      <c r="H2060" t="n">
        <v>0</v>
      </c>
      <c r="I2060" s="3">
        <f>E2060+G2060+H2060</f>
        <v/>
      </c>
      <c r="J2060" s="3">
        <f>ROUND(MIN(IF(C2060="Técnico III",35,IF(C2060="Técnico II",28,IF(C2060="Técnico I",23,IF(C2060="JR",20,IF(C2060="Estágio",10,0))))),IF(C2060="Técnico III",SUMIFS($D:$D,$A:$A,$A2060,$B:$B,"&lt;&gt;Patrícia Karla de Sousa Araújo",$B:$B,"&lt;&gt;Lorena Dias de Araujo",$B:$B,"&lt;&gt;Lucas Luiz Romero")*(35/1083),IF(C2060="Técnico II",SUMIFS($D:$D,$A:$A,$A2060,$B:$B,"&lt;&gt;Patrícia Karla de Sousa Araújo",$B:$B,"&lt;&gt;Lorena Dias de Araujo",$B:$B,"&lt;&gt;Lucas Luiz Romero")*(28/1083),IF(C2060="Técnico I",SUMIFS($D:$D,$A:$A,$A2060,$B:$B,"&lt;&gt;Patrícia Karla de Sousa Araújo",$B:$B,"&lt;&gt;Lorena Dias de Araujo",$B:$B,"&lt;&gt;Lucas Luiz Romero")*(23/1083),IF(C2060="JR",SUMIFS($D:$D,$A:$A,$A2060,$B:$B,"&lt;&gt;Patrícia Karla de Sousa Araújo",$B:$B,"&lt;&gt;Lorena Dias de Araujo",$B:$B,"&lt;&gt;Lucas Luiz Romero")*(20/1083),IF(C2060="Estágio",SUMIFS($D:$D,$A:$A,$A2060,$B:$B,"&lt;&gt;Patrícia Karla de Sousa Araújo",$B:$B,"&lt;&gt;Lorena Dias de Araujo",$B:$B,"&lt;&gt;Lucas Luiz Romero")*(10/1083),0)))))),0)</f>
        <v/>
      </c>
      <c r="K2060" s="3">
        <f>I2060-J2060</f>
        <v/>
      </c>
      <c r="L2060" s="3">
        <f>IF(K2060&lt;-5,"CRÍTICO",IF(K2060&lt;0,"ATENÇÃO",IF(K2060&lt;=5,"BOM","EXCELENTE")))</f>
        <v/>
      </c>
      <c r="M2060" t="n">
        <v>35</v>
      </c>
      <c r="N2060" t="n">
        <v>95.59999999999999</v>
      </c>
      <c r="O2060" t="n">
        <v>33.11688311688312</v>
      </c>
    </row>
    <row r="2061" hidden="1">
      <c r="A2061" s="11" t="n">
        <v>46065</v>
      </c>
      <c r="B2061" t="inlineStr">
        <is>
          <t>Damyllis Lorraine de Oliveira Gonçalves</t>
        </is>
      </c>
      <c r="C2061" t="inlineStr">
        <is>
          <t>Técnico II</t>
        </is>
      </c>
      <c r="D2061" t="n">
        <v>38</v>
      </c>
      <c r="E2061" t="n">
        <v>36</v>
      </c>
      <c r="F2061" t="n">
        <v>15.56</v>
      </c>
      <c r="G2061" t="n">
        <v>0</v>
      </c>
      <c r="H2061" t="n">
        <v>0</v>
      </c>
      <c r="I2061" s="3" t="n">
        <v>0</v>
      </c>
      <c r="J2061" s="3" t="n">
        <v>0</v>
      </c>
      <c r="K2061" s="3" t="n">
        <v>0</v>
      </c>
      <c r="L2061" s="3">
        <f>IF(K2061&lt;-5,"CRÍTICO",IF(K2061&lt;0,"ATENÇÃO",IF(K2061&lt;=5,"BOM","EXCELENTE")))</f>
        <v/>
      </c>
      <c r="M2061" t="n">
        <v>36</v>
      </c>
      <c r="N2061" t="n">
        <v>100</v>
      </c>
      <c r="O2061" t="n">
        <v>24.18032786885246</v>
      </c>
    </row>
    <row r="2062" hidden="1">
      <c r="A2062" s="11" t="n">
        <v>46065</v>
      </c>
      <c r="B2062" t="inlineStr">
        <is>
          <t>Daniel Gomes da Silva</t>
        </is>
      </c>
      <c r="C2062" t="inlineStr">
        <is>
          <t>Técnico I</t>
        </is>
      </c>
      <c r="D2062" t="n">
        <v>15</v>
      </c>
      <c r="E2062" t="n">
        <v>15</v>
      </c>
      <c r="F2062" t="n">
        <v>30.17</v>
      </c>
      <c r="G2062" t="n">
        <v>0</v>
      </c>
      <c r="H2062" t="n">
        <v>0</v>
      </c>
      <c r="I2062" s="3">
        <f>E2062+G2062+H2062</f>
        <v/>
      </c>
      <c r="J2062" s="3">
        <f>ROUND(MIN(IF(C2062="Técnico III",35,IF(C2062="Técnico II",28,IF(C2062="Técnico I",23,IF(C2062="JR",20,IF(C2062="Estágio",10,0))))),IF(C2062="Técnico III",SUMIFS($D:$D,$A:$A,$A2062,$B:$B,"&lt;&gt;Patrícia Karla de Sousa Araújo",$B:$B,"&lt;&gt;Lorena Dias de Araujo",$B:$B,"&lt;&gt;Lucas Luiz Romero")*(35/1083),IF(C2062="Técnico II",SUMIFS($D:$D,$A:$A,$A2062,$B:$B,"&lt;&gt;Patrícia Karla de Sousa Araújo",$B:$B,"&lt;&gt;Lorena Dias de Araujo",$B:$B,"&lt;&gt;Lucas Luiz Romero")*(28/1083),IF(C2062="Técnico I",SUMIFS($D:$D,$A:$A,$A2062,$B:$B,"&lt;&gt;Patrícia Karla de Sousa Araújo",$B:$B,"&lt;&gt;Lorena Dias de Araujo",$B:$B,"&lt;&gt;Lucas Luiz Romero")*(23/1083),IF(C2062="JR",SUMIFS($D:$D,$A:$A,$A2062,$B:$B,"&lt;&gt;Patrícia Karla de Sousa Araújo",$B:$B,"&lt;&gt;Lorena Dias de Araujo",$B:$B,"&lt;&gt;Lucas Luiz Romero")*(20/1083),IF(C2062="Estágio",SUMIFS($D:$D,$A:$A,$A2062,$B:$B,"&lt;&gt;Patrícia Karla de Sousa Araújo",$B:$B,"&lt;&gt;Lorena Dias de Araujo",$B:$B,"&lt;&gt;Lucas Luiz Romero")*(10/1083),0)))))),0)</f>
        <v/>
      </c>
      <c r="K2062" s="3">
        <f>I2062-J2062</f>
        <v/>
      </c>
      <c r="L2062" s="3">
        <f>IF(K2062&lt;-5,"CRÍTICO",IF(K2062&lt;0,"ATENÇÃO",IF(K2062&lt;=5,"BOM","EXCELENTE")))</f>
        <v/>
      </c>
      <c r="M2062" t="n">
        <v>13</v>
      </c>
      <c r="N2062" t="n">
        <v>100</v>
      </c>
      <c r="O2062" t="n">
        <v>28.01932367149759</v>
      </c>
    </row>
    <row r="2063" hidden="1">
      <c r="A2063" s="11" t="n">
        <v>46065</v>
      </c>
      <c r="B2063" t="inlineStr">
        <is>
          <t>Davylla Rodrigues Freitas Silva</t>
        </is>
      </c>
      <c r="C2063" t="inlineStr">
        <is>
          <t>Técnico III</t>
        </is>
      </c>
      <c r="D2063" t="n">
        <v>26</v>
      </c>
      <c r="E2063" t="n">
        <v>26</v>
      </c>
      <c r="F2063" t="n">
        <v>27.22</v>
      </c>
      <c r="G2063" t="n">
        <v>0</v>
      </c>
      <c r="H2063" t="n">
        <v>0</v>
      </c>
      <c r="I2063" s="3" t="n">
        <v>0</v>
      </c>
      <c r="J2063" s="3" t="n">
        <v>0</v>
      </c>
      <c r="K2063" s="3" t="n">
        <v>0</v>
      </c>
      <c r="L2063" s="3">
        <f>IF(K2063&lt;-5,"CRÍTICO",IF(K2063&lt;0,"ATENÇÃO",IF(K2063&lt;=5,"BOM","EXCELENTE")))</f>
        <v/>
      </c>
      <c r="M2063" t="n">
        <v>25</v>
      </c>
      <c r="N2063" t="n">
        <v>100</v>
      </c>
      <c r="O2063" t="n">
        <v>33.80782918149466</v>
      </c>
    </row>
    <row r="2064" hidden="1">
      <c r="A2064" s="11" t="n">
        <v>46065</v>
      </c>
      <c r="B2064" t="inlineStr">
        <is>
          <t>Emilly Caylane Costa</t>
        </is>
      </c>
      <c r="C2064" t="inlineStr">
        <is>
          <t>Estágio</t>
        </is>
      </c>
      <c r="D2064" t="n">
        <v>20</v>
      </c>
      <c r="E2064" t="n">
        <v>13</v>
      </c>
      <c r="F2064" t="n">
        <v>15.49</v>
      </c>
      <c r="G2064" t="n">
        <v>0</v>
      </c>
      <c r="H2064" t="n">
        <v>0</v>
      </c>
      <c r="I2064" s="3">
        <f>E2064+G2064+H2064</f>
        <v/>
      </c>
      <c r="J2064" s="3">
        <f>ROUND(MIN(IF(C2064="Técnico III",35,IF(C2064="Técnico II",28,IF(C2064="Técnico I",23,IF(C2064="JR",20,IF(C2064="Estágio",10,0))))),IF(C2064="Técnico III",SUMIFS($D:$D,$A:$A,$A2064,$B:$B,"&lt;&gt;Patrícia Karla de Sousa Araújo",$B:$B,"&lt;&gt;Lorena Dias de Araujo",$B:$B,"&lt;&gt;Lucas Luiz Romero")*(35/1083),IF(C2064="Técnico II",SUMIFS($D:$D,$A:$A,$A2064,$B:$B,"&lt;&gt;Patrícia Karla de Sousa Araújo",$B:$B,"&lt;&gt;Lorena Dias de Araujo",$B:$B,"&lt;&gt;Lucas Luiz Romero")*(28/1083),IF(C2064="Técnico I",SUMIFS($D:$D,$A:$A,$A2064,$B:$B,"&lt;&gt;Patrícia Karla de Sousa Araújo",$B:$B,"&lt;&gt;Lorena Dias de Araujo",$B:$B,"&lt;&gt;Lucas Luiz Romero")*(23/1083),IF(C2064="JR",SUMIFS($D:$D,$A:$A,$A2064,$B:$B,"&lt;&gt;Patrícia Karla de Sousa Araújo",$B:$B,"&lt;&gt;Lorena Dias de Araujo",$B:$B,"&lt;&gt;Lucas Luiz Romero")*(20/1083),IF(C2064="Estágio",SUMIFS($D:$D,$A:$A,$A2064,$B:$B,"&lt;&gt;Patrícia Karla de Sousa Araújo",$B:$B,"&lt;&gt;Lorena Dias de Araujo",$B:$B,"&lt;&gt;Lucas Luiz Romero")*(10/1083),0)))))),0)</f>
        <v/>
      </c>
      <c r="K2064" s="3">
        <f>I2064-J2064</f>
        <v/>
      </c>
      <c r="L2064" s="3">
        <f>IF(K2064&lt;-5,"CRÍTICO",IF(K2064&lt;0,"ATENÇÃO",IF(K2064&lt;=5,"BOM","EXCELENTE")))</f>
        <v/>
      </c>
      <c r="M2064" t="n">
        <v>2</v>
      </c>
      <c r="N2064" t="n">
        <v>75</v>
      </c>
      <c r="O2064" t="n">
        <v>50</v>
      </c>
    </row>
    <row r="2065" hidden="1">
      <c r="A2065" s="11" t="n">
        <v>46065</v>
      </c>
      <c r="B2065" t="inlineStr">
        <is>
          <t>Emilly Kamilly Medeiros Miranda</t>
        </is>
      </c>
      <c r="C2065" t="inlineStr">
        <is>
          <t>Técnico II</t>
        </is>
      </c>
      <c r="D2065" t="n">
        <v>22</v>
      </c>
      <c r="E2065" t="n">
        <v>20</v>
      </c>
      <c r="F2065" t="n">
        <v>27.35</v>
      </c>
      <c r="G2065" t="n">
        <v>0</v>
      </c>
      <c r="H2065" t="n">
        <v>0</v>
      </c>
      <c r="I2065" s="3">
        <f>E2065+G2065+H2065</f>
        <v/>
      </c>
      <c r="J2065" s="3">
        <f>ROUND(MIN(IF(C2065="Técnico III",35,IF(C2065="Técnico II",28,IF(C2065="Técnico I",23,IF(C2065="JR",20,IF(C2065="Estágio",10,0))))),IF(C2065="Técnico III",SUMIFS($D:$D,$A:$A,$A2065,$B:$B,"&lt;&gt;Patrícia Karla de Sousa Araújo",$B:$B,"&lt;&gt;Lorena Dias de Araujo",$B:$B,"&lt;&gt;Lucas Luiz Romero")*(35/1083),IF(C2065="Técnico II",SUMIFS($D:$D,$A:$A,$A2065,$B:$B,"&lt;&gt;Patrícia Karla de Sousa Araújo",$B:$B,"&lt;&gt;Lorena Dias de Araujo",$B:$B,"&lt;&gt;Lucas Luiz Romero")*(28/1083),IF(C2065="Técnico I",SUMIFS($D:$D,$A:$A,$A2065,$B:$B,"&lt;&gt;Patrícia Karla de Sousa Araújo",$B:$B,"&lt;&gt;Lorena Dias de Araujo",$B:$B,"&lt;&gt;Lucas Luiz Romero")*(23/1083),IF(C2065="JR",SUMIFS($D:$D,$A:$A,$A2065,$B:$B,"&lt;&gt;Patrícia Karla de Sousa Araújo",$B:$B,"&lt;&gt;Lorena Dias de Araujo",$B:$B,"&lt;&gt;Lucas Luiz Romero")*(20/1083),IF(C2065="Estágio",SUMIFS($D:$D,$A:$A,$A2065,$B:$B,"&lt;&gt;Patrícia Karla de Sousa Araújo",$B:$B,"&lt;&gt;Lorena Dias de Araujo",$B:$B,"&lt;&gt;Lucas Luiz Romero")*(10/1083),0)))))),0)</f>
        <v/>
      </c>
      <c r="K2065" s="3">
        <f>I2065-J2065</f>
        <v/>
      </c>
      <c r="L2065" s="3">
        <f>IF(K2065&lt;-5,"CRÍTICO",IF(K2065&lt;0,"ATENÇÃO",IF(K2065&lt;=5,"BOM","EXCELENTE")))</f>
        <v/>
      </c>
      <c r="M2065" t="n">
        <v>17</v>
      </c>
      <c r="N2065" t="n">
        <v>97.18000000000001</v>
      </c>
      <c r="O2065" t="n">
        <v>30.62200956937799</v>
      </c>
    </row>
    <row r="2066" hidden="1">
      <c r="A2066" s="11" t="n">
        <v>46065</v>
      </c>
      <c r="B2066" t="inlineStr">
        <is>
          <t>Francielson de Oliveira</t>
        </is>
      </c>
      <c r="C2066" t="inlineStr">
        <is>
          <t>Técnico III</t>
        </is>
      </c>
      <c r="D2066" t="n">
        <v>29</v>
      </c>
      <c r="E2066" t="n">
        <v>29</v>
      </c>
      <c r="F2066" t="n">
        <v>20.22</v>
      </c>
      <c r="G2066" t="n">
        <v>0</v>
      </c>
      <c r="H2066" t="n">
        <v>0</v>
      </c>
      <c r="I2066" s="3">
        <f>E2066+G2066+H2066</f>
        <v/>
      </c>
      <c r="J2066" s="3">
        <f>ROUND(MIN(IF(C2066="Técnico III",35,IF(C2066="Técnico II",28,IF(C2066="Técnico I",23,IF(C2066="JR",20,IF(C2066="Estágio",10,0))))),IF(C2066="Técnico III",SUMIFS($D:$D,$A:$A,$A2066,$B:$B,"&lt;&gt;Patrícia Karla de Sousa Araújo",$B:$B,"&lt;&gt;Lorena Dias de Araujo",$B:$B,"&lt;&gt;Lucas Luiz Romero")*(35/1083),IF(C2066="Técnico II",SUMIFS($D:$D,$A:$A,$A2066,$B:$B,"&lt;&gt;Patrícia Karla de Sousa Araújo",$B:$B,"&lt;&gt;Lorena Dias de Araujo",$B:$B,"&lt;&gt;Lucas Luiz Romero")*(28/1083),IF(C2066="Técnico I",SUMIFS($D:$D,$A:$A,$A2066,$B:$B,"&lt;&gt;Patrícia Karla de Sousa Araújo",$B:$B,"&lt;&gt;Lorena Dias de Araujo",$B:$B,"&lt;&gt;Lucas Luiz Romero")*(23/1083),IF(C2066="JR",SUMIFS($D:$D,$A:$A,$A2066,$B:$B,"&lt;&gt;Patrícia Karla de Sousa Araújo",$B:$B,"&lt;&gt;Lorena Dias de Araujo",$B:$B,"&lt;&gt;Lucas Luiz Romero")*(20/1083),IF(C2066="Estágio",SUMIFS($D:$D,$A:$A,$A2066,$B:$B,"&lt;&gt;Patrícia Karla de Sousa Araújo",$B:$B,"&lt;&gt;Lorena Dias de Araujo",$B:$B,"&lt;&gt;Lucas Luiz Romero")*(10/1083),0)))))),0)</f>
        <v/>
      </c>
      <c r="K2066" s="3">
        <f>I2066-J2066</f>
        <v/>
      </c>
      <c r="L2066" s="3">
        <f>IF(K2066&lt;-5,"CRÍTICO",IF(K2066&lt;0,"ATENÇÃO",IF(K2066&lt;=5,"BOM","EXCELENTE")))</f>
        <v/>
      </c>
      <c r="M2066" t="n">
        <v>29</v>
      </c>
      <c r="N2066" t="n">
        <v>98.18000000000001</v>
      </c>
      <c r="O2066" t="n">
        <v>28.95752895752895</v>
      </c>
    </row>
    <row r="2067" hidden="1">
      <c r="A2067" s="11" t="n">
        <v>46065</v>
      </c>
      <c r="B2067" t="inlineStr">
        <is>
          <t>Francilene Ferreira de Jesus</t>
        </is>
      </c>
      <c r="C2067" t="inlineStr">
        <is>
          <t>Técnico II</t>
        </is>
      </c>
      <c r="D2067" t="n">
        <v>29</v>
      </c>
      <c r="E2067" t="n">
        <v>29</v>
      </c>
      <c r="F2067" t="n">
        <v>22.35</v>
      </c>
      <c r="G2067" t="n">
        <v>0</v>
      </c>
      <c r="H2067" t="n">
        <v>0</v>
      </c>
      <c r="I2067" s="3">
        <f>E2067+G2067+H2067</f>
        <v/>
      </c>
      <c r="J2067" s="3">
        <f>ROUND(MIN(IF(C2067="Técnico III",35,IF(C2067="Técnico II",28,IF(C2067="Técnico I",23,IF(C2067="JR",20,IF(C2067="Estágio",10,0))))),IF(C2067="Técnico III",SUMIFS($D:$D,$A:$A,$A2067,$B:$B,"&lt;&gt;Patrícia Karla de Sousa Araújo",$B:$B,"&lt;&gt;Lorena Dias de Araujo",$B:$B,"&lt;&gt;Lucas Luiz Romero")*(35/1083),IF(C2067="Técnico II",SUMIFS($D:$D,$A:$A,$A2067,$B:$B,"&lt;&gt;Patrícia Karla de Sousa Araújo",$B:$B,"&lt;&gt;Lorena Dias de Araujo",$B:$B,"&lt;&gt;Lucas Luiz Romero")*(28/1083),IF(C2067="Técnico I",SUMIFS($D:$D,$A:$A,$A2067,$B:$B,"&lt;&gt;Patrícia Karla de Sousa Araújo",$B:$B,"&lt;&gt;Lorena Dias de Araujo",$B:$B,"&lt;&gt;Lucas Luiz Romero")*(23/1083),IF(C2067="JR",SUMIFS($D:$D,$A:$A,$A2067,$B:$B,"&lt;&gt;Patrícia Karla de Sousa Araújo",$B:$B,"&lt;&gt;Lorena Dias de Araujo",$B:$B,"&lt;&gt;Lucas Luiz Romero")*(20/1083),IF(C2067="Estágio",SUMIFS($D:$D,$A:$A,$A2067,$B:$B,"&lt;&gt;Patrícia Karla de Sousa Araújo",$B:$B,"&lt;&gt;Lorena Dias de Araujo",$B:$B,"&lt;&gt;Lucas Luiz Romero")*(10/1083),0)))))),0)</f>
        <v/>
      </c>
      <c r="K2067" s="3">
        <f>I2067-J2067</f>
        <v/>
      </c>
      <c r="L2067" s="3">
        <f>IF(K2067&lt;-5,"CRÍTICO",IF(K2067&lt;0,"ATENÇÃO",IF(K2067&lt;=5,"BOM","EXCELENTE")))</f>
        <v/>
      </c>
      <c r="M2067" t="n">
        <v>29</v>
      </c>
      <c r="N2067" t="n">
        <v>98.53</v>
      </c>
      <c r="O2067" t="n">
        <v>23.34384858044164</v>
      </c>
    </row>
    <row r="2068" hidden="1">
      <c r="A2068" s="11" t="n">
        <v>46099</v>
      </c>
      <c r="B2068" t="inlineStr">
        <is>
          <t>Gabriel Gomes de Andrade</t>
        </is>
      </c>
      <c r="C2068" t="inlineStr">
        <is>
          <t>Técnico I</t>
        </is>
      </c>
      <c r="D2068" t="n">
        <v>25</v>
      </c>
      <c r="E2068" t="n">
        <v>25</v>
      </c>
      <c r="F2068" t="n">
        <v>19.19</v>
      </c>
      <c r="G2068" t="n">
        <v>0</v>
      </c>
      <c r="H2068" t="n">
        <v>0</v>
      </c>
      <c r="I2068" s="3">
        <f>E2068+G2068+H2068</f>
        <v/>
      </c>
      <c r="J2068" s="3">
        <f>ROUND(MIN(IF(C2068="Técnico III",35,IF(C2068="Técnico II",28,IF(C2068="Técnico I",23,IF(C2068="JR",20,IF(C2068="Estágio",10,0))))),IF(C2068="Técnico III",SUMIFS($D:$D,$A:$A,$A2068,$B:$B,"&lt;&gt;Patrícia Karla de Sousa Araújo",$B:$B,"&lt;&gt;Lorena Dias de Araujo",$B:$B,"&lt;&gt;Lucas Luiz Romero")*(35/1083),IF(C2068="Técnico II",SUMIFS($D:$D,$A:$A,$A2068,$B:$B,"&lt;&gt;Patrícia Karla de Sousa Araújo",$B:$B,"&lt;&gt;Lorena Dias de Araujo",$B:$B,"&lt;&gt;Lucas Luiz Romero")*(28/1083),IF(C2068="Técnico I",SUMIFS($D:$D,$A:$A,$A2068,$B:$B,"&lt;&gt;Patrícia Karla de Sousa Araújo",$B:$B,"&lt;&gt;Lorena Dias de Araujo",$B:$B,"&lt;&gt;Lucas Luiz Romero")*(23/1083),IF(C2068="JR",SUMIFS($D:$D,$A:$A,$A2068,$B:$B,"&lt;&gt;Patrícia Karla de Sousa Araújo",$B:$B,"&lt;&gt;Lorena Dias de Araujo",$B:$B,"&lt;&gt;Lucas Luiz Romero")*(20/1083),IF(C2068="Estágio",SUMIFS($D:$D,$A:$A,$A2068,$B:$B,"&lt;&gt;Patrícia Karla de Sousa Araújo",$B:$B,"&lt;&gt;Lorena Dias de Araujo",$B:$B,"&lt;&gt;Lucas Luiz Romero")*(10/1083),0)))))),0)</f>
        <v/>
      </c>
      <c r="K2068" s="3">
        <f>I2068-J2068</f>
        <v/>
      </c>
      <c r="L2068" s="3">
        <f>IF(K2068&lt;-5,"CRÍTICO",IF(K2068&lt;0,"ATENÇÃO",IF(K2068&lt;=5,"BOM","EXCELENTE")))</f>
        <v/>
      </c>
      <c r="N2068" t="n">
        <v>99.05</v>
      </c>
      <c r="O2068" t="n">
        <v>26.62192393736018</v>
      </c>
    </row>
    <row r="2069" hidden="1">
      <c r="A2069" s="11" t="n">
        <v>46065</v>
      </c>
      <c r="B2069" t="inlineStr">
        <is>
          <t>Isabella Borges de Oliveira</t>
        </is>
      </c>
      <c r="C2069" t="inlineStr">
        <is>
          <t>Técnico II</t>
        </is>
      </c>
      <c r="D2069" t="n">
        <v>35</v>
      </c>
      <c r="E2069" t="n">
        <v>33</v>
      </c>
      <c r="F2069" t="n">
        <v>20.43</v>
      </c>
      <c r="G2069" t="n">
        <v>0</v>
      </c>
      <c r="H2069" t="n">
        <v>0</v>
      </c>
      <c r="I2069" s="3">
        <f>E2069+G2069+H2069</f>
        <v/>
      </c>
      <c r="J2069" s="3">
        <f>ROUND(MIN(IF(C2069="Técnico III",35,IF(C2069="Técnico II",28,IF(C2069="Técnico I",23,IF(C2069="JR",20,IF(C2069="Estágio",10,0))))),IF(C2069="Técnico III",SUMIFS($D:$D,$A:$A,$A2069,$B:$B,"&lt;&gt;Patrícia Karla de Sousa Araújo",$B:$B,"&lt;&gt;Lorena Dias de Araujo",$B:$B,"&lt;&gt;Lucas Luiz Romero")*(35/1083),IF(C2069="Técnico II",SUMIFS($D:$D,$A:$A,$A2069,$B:$B,"&lt;&gt;Patrícia Karla de Sousa Araújo",$B:$B,"&lt;&gt;Lorena Dias de Araujo",$B:$B,"&lt;&gt;Lucas Luiz Romero")*(28/1083),IF(C2069="Técnico I",SUMIFS($D:$D,$A:$A,$A2069,$B:$B,"&lt;&gt;Patrícia Karla de Sousa Araújo",$B:$B,"&lt;&gt;Lorena Dias de Araujo",$B:$B,"&lt;&gt;Lucas Luiz Romero")*(23/1083),IF(C2069="JR",SUMIFS($D:$D,$A:$A,$A2069,$B:$B,"&lt;&gt;Patrícia Karla de Sousa Araújo",$B:$B,"&lt;&gt;Lorena Dias de Araujo",$B:$B,"&lt;&gt;Lucas Luiz Romero")*(20/1083),IF(C2069="Estágio",SUMIFS($D:$D,$A:$A,$A2069,$B:$B,"&lt;&gt;Patrícia Karla de Sousa Araújo",$B:$B,"&lt;&gt;Lorena Dias de Araujo",$B:$B,"&lt;&gt;Lucas Luiz Romero")*(10/1083),0)))))),0)</f>
        <v/>
      </c>
      <c r="K2069" s="3">
        <f>I2069-J2069</f>
        <v/>
      </c>
      <c r="L2069" s="3">
        <f>IF(K2069&lt;-5,"CRÍTICO",IF(K2069&lt;0,"ATENÇÃO",IF(K2069&lt;=5,"BOM","EXCELENTE")))</f>
        <v/>
      </c>
      <c r="M2069" t="n">
        <v>29</v>
      </c>
      <c r="N2069" t="n">
        <v>100</v>
      </c>
      <c r="O2069" t="n">
        <v>35.26970954356847</v>
      </c>
    </row>
    <row r="2070" hidden="1">
      <c r="A2070" s="11" t="n">
        <v>46065</v>
      </c>
      <c r="B2070" t="inlineStr">
        <is>
          <t>Janaina Lima dos Reis Urany</t>
        </is>
      </c>
      <c r="C2070" t="inlineStr">
        <is>
          <t>Técnico III</t>
        </is>
      </c>
      <c r="D2070" t="n">
        <v>44</v>
      </c>
      <c r="E2070" t="n">
        <v>37</v>
      </c>
      <c r="F2070" t="n">
        <v>15.28</v>
      </c>
      <c r="G2070" t="n">
        <v>0</v>
      </c>
      <c r="H2070" t="n">
        <v>0</v>
      </c>
      <c r="I2070" s="3">
        <f>E2070+G2070+H2070</f>
        <v/>
      </c>
      <c r="J2070" s="3">
        <f>ROUND(MIN(IF(C2070="Técnico III",35,IF(C2070="Técnico II",28,IF(C2070="Técnico I",23,IF(C2070="JR",20,IF(C2070="Estágio",10,0))))),IF(C2070="Técnico III",SUMIFS($D:$D,$A:$A,$A2070,$B:$B,"&lt;&gt;Patrícia Karla de Sousa Araújo",$B:$B,"&lt;&gt;Lorena Dias de Araujo",$B:$B,"&lt;&gt;Lucas Luiz Romero")*(35/1083),IF(C2070="Técnico II",SUMIFS($D:$D,$A:$A,$A2070,$B:$B,"&lt;&gt;Patrícia Karla de Sousa Araújo",$B:$B,"&lt;&gt;Lorena Dias de Araujo",$B:$B,"&lt;&gt;Lucas Luiz Romero")*(28/1083),IF(C2070="Técnico I",SUMIFS($D:$D,$A:$A,$A2070,$B:$B,"&lt;&gt;Patrícia Karla de Sousa Araújo",$B:$B,"&lt;&gt;Lorena Dias de Araujo",$B:$B,"&lt;&gt;Lucas Luiz Romero")*(23/1083),IF(C2070="JR",SUMIFS($D:$D,$A:$A,$A2070,$B:$B,"&lt;&gt;Patrícia Karla de Sousa Araújo",$B:$B,"&lt;&gt;Lorena Dias de Araujo",$B:$B,"&lt;&gt;Lucas Luiz Romero")*(20/1083),IF(C2070="Estágio",SUMIFS($D:$D,$A:$A,$A2070,$B:$B,"&lt;&gt;Patrícia Karla de Sousa Araújo",$B:$B,"&lt;&gt;Lorena Dias de Araujo",$B:$B,"&lt;&gt;Lucas Luiz Romero")*(10/1083),0)))))),0)</f>
        <v/>
      </c>
      <c r="K2070" s="3">
        <f>I2070-J2070</f>
        <v/>
      </c>
      <c r="L2070" s="3">
        <f>IF(K2070&lt;-5,"CRÍTICO",IF(K2070&lt;0,"ATENÇÃO",IF(K2070&lt;=5,"BOM","EXCELENTE")))</f>
        <v/>
      </c>
      <c r="M2070" t="n">
        <v>37</v>
      </c>
      <c r="N2070" t="n">
        <v>100</v>
      </c>
      <c r="O2070" t="n">
        <v>26.06635071090048</v>
      </c>
    </row>
    <row r="2071" hidden="1">
      <c r="A2071" s="11" t="n">
        <v>46065</v>
      </c>
      <c r="B2071" t="inlineStr">
        <is>
          <t>Jaqueline Evangelista da Silva Martins</t>
        </is>
      </c>
      <c r="C2071" t="inlineStr">
        <is>
          <t>Técnico III</t>
        </is>
      </c>
      <c r="D2071" t="n">
        <v>21</v>
      </c>
      <c r="E2071" t="n">
        <v>20</v>
      </c>
      <c r="F2071" t="n">
        <v>13.29</v>
      </c>
      <c r="G2071" t="n">
        <v>0</v>
      </c>
      <c r="H2071" t="n">
        <v>0</v>
      </c>
      <c r="I2071" s="3">
        <f>E2071+G2071+H2071</f>
        <v/>
      </c>
      <c r="J2071" s="3">
        <f>ROUND(MIN(IF(C2071="Técnico III",35,IF(C2071="Técnico II",28,IF(C2071="Técnico I",23,IF(C2071="JR",20,IF(C2071="Estágio",10,0))))),IF(C2071="Técnico III",SUMIFS($D:$D,$A:$A,$A2071,$B:$B,"&lt;&gt;Patrícia Karla de Sousa Araújo",$B:$B,"&lt;&gt;Lorena Dias de Araujo",$B:$B,"&lt;&gt;Lucas Luiz Romero")*(35/1083),IF(C2071="Técnico II",SUMIFS($D:$D,$A:$A,$A2071,$B:$B,"&lt;&gt;Patrícia Karla de Sousa Araújo",$B:$B,"&lt;&gt;Lorena Dias de Araujo",$B:$B,"&lt;&gt;Lucas Luiz Romero")*(28/1083),IF(C2071="Técnico I",SUMIFS($D:$D,$A:$A,$A2071,$B:$B,"&lt;&gt;Patrícia Karla de Sousa Araújo",$B:$B,"&lt;&gt;Lorena Dias de Araujo",$B:$B,"&lt;&gt;Lucas Luiz Romero")*(23/1083),IF(C2071="JR",SUMIFS($D:$D,$A:$A,$A2071,$B:$B,"&lt;&gt;Patrícia Karla de Sousa Araújo",$B:$B,"&lt;&gt;Lorena Dias de Araujo",$B:$B,"&lt;&gt;Lucas Luiz Romero")*(20/1083),IF(C2071="Estágio",SUMIFS($D:$D,$A:$A,$A2071,$B:$B,"&lt;&gt;Patrícia Karla de Sousa Araújo",$B:$B,"&lt;&gt;Lorena Dias de Araujo",$B:$B,"&lt;&gt;Lucas Luiz Romero")*(10/1083),0)))))),0)</f>
        <v/>
      </c>
      <c r="K2071" s="3">
        <f>I2071-J2071</f>
        <v/>
      </c>
      <c r="L2071" s="3">
        <f>IF(K2071&lt;-5,"CRÍTICO",IF(K2071&lt;0,"ATENÇÃO",IF(K2071&lt;=5,"BOM","EXCELENTE")))</f>
        <v/>
      </c>
      <c r="M2071" t="n">
        <v>17</v>
      </c>
      <c r="N2071" t="n">
        <v>98.15000000000001</v>
      </c>
      <c r="O2071" t="n">
        <v>26.39405204460967</v>
      </c>
    </row>
    <row r="2072" hidden="1">
      <c r="A2072" s="11" t="n">
        <v>46065</v>
      </c>
      <c r="B2072" t="inlineStr">
        <is>
          <t>Jessica Faria da Silveira</t>
        </is>
      </c>
      <c r="C2072" t="inlineStr">
        <is>
          <t>Técnico II</t>
        </is>
      </c>
      <c r="D2072" t="n">
        <v>19</v>
      </c>
      <c r="E2072" t="n">
        <v>17</v>
      </c>
      <c r="F2072" t="n">
        <v>30.31</v>
      </c>
      <c r="G2072" t="n">
        <v>0</v>
      </c>
      <c r="H2072" t="n">
        <v>0</v>
      </c>
      <c r="I2072" s="3">
        <f>E2072+G2072+H2072</f>
        <v/>
      </c>
      <c r="J2072" s="3">
        <f>ROUND(MIN(IF(C2072="Técnico III",35,IF(C2072="Técnico II",28,IF(C2072="Técnico I",23,IF(C2072="JR",20,IF(C2072="Estágio",10,0))))),IF(C2072="Técnico III",SUMIFS($D:$D,$A:$A,$A2072,$B:$B,"&lt;&gt;Patrícia Karla de Sousa Araújo",$B:$B,"&lt;&gt;Lorena Dias de Araujo",$B:$B,"&lt;&gt;Lucas Luiz Romero")*(35/1083),IF(C2072="Técnico II",SUMIFS($D:$D,$A:$A,$A2072,$B:$B,"&lt;&gt;Patrícia Karla de Sousa Araújo",$B:$B,"&lt;&gt;Lorena Dias de Araujo",$B:$B,"&lt;&gt;Lucas Luiz Romero")*(28/1083),IF(C2072="Técnico I",SUMIFS($D:$D,$A:$A,$A2072,$B:$B,"&lt;&gt;Patrícia Karla de Sousa Araújo",$B:$B,"&lt;&gt;Lorena Dias de Araujo",$B:$B,"&lt;&gt;Lucas Luiz Romero")*(23/1083),IF(C2072="JR",SUMIFS($D:$D,$A:$A,$A2072,$B:$B,"&lt;&gt;Patrícia Karla de Sousa Araújo",$B:$B,"&lt;&gt;Lorena Dias de Araujo",$B:$B,"&lt;&gt;Lucas Luiz Romero")*(20/1083),IF(C2072="Estágio",SUMIFS($D:$D,$A:$A,$A2072,$B:$B,"&lt;&gt;Patrícia Karla de Sousa Araújo",$B:$B,"&lt;&gt;Lorena Dias de Araujo",$B:$B,"&lt;&gt;Lucas Luiz Romero")*(10/1083),0)))))),0)</f>
        <v/>
      </c>
      <c r="K2072" s="3">
        <f>I2072-J2072</f>
        <v/>
      </c>
      <c r="L2072" s="3">
        <f>IF(K2072&lt;-5,"CRÍTICO",IF(K2072&lt;0,"ATENÇÃO",IF(K2072&lt;=5,"BOM","EXCELENTE")))</f>
        <v/>
      </c>
      <c r="M2072" t="n">
        <v>16</v>
      </c>
      <c r="N2072" t="n">
        <v>100</v>
      </c>
      <c r="O2072" t="n">
        <v>27.02702702702703</v>
      </c>
    </row>
    <row r="2073" hidden="1">
      <c r="A2073" s="11" t="n">
        <v>46065</v>
      </c>
      <c r="B2073" t="inlineStr">
        <is>
          <t>Jéssica Fé Moura</t>
        </is>
      </c>
      <c r="C2073" t="inlineStr">
        <is>
          <t>Técnico III</t>
        </is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s="3" t="n">
        <v>0</v>
      </c>
      <c r="J2073" s="3" t="n">
        <v>0</v>
      </c>
      <c r="K2073" s="3" t="n">
        <v>0</v>
      </c>
      <c r="L2073" s="3">
        <f>IF(K2073&lt;-5,"CRÍTICO",IF(K2073&lt;0,"ATENÇÃO",IF(K2073&lt;=5,"BOM","EXCELENTE")))</f>
        <v/>
      </c>
      <c r="M2073" t="n">
        <v>0</v>
      </c>
      <c r="N2073" t="n">
        <v>100</v>
      </c>
      <c r="O2073" t="n">
        <v>0</v>
      </c>
    </row>
    <row r="2074" hidden="1">
      <c r="A2074" s="11" t="n">
        <v>46065</v>
      </c>
      <c r="B2074" t="inlineStr">
        <is>
          <t>Karina Gonçalves Martins</t>
        </is>
      </c>
      <c r="C2074" t="inlineStr">
        <is>
          <t>JR</t>
        </is>
      </c>
      <c r="D2074" t="n">
        <v>8</v>
      </c>
      <c r="E2074" t="n">
        <v>7</v>
      </c>
      <c r="F2074" t="n">
        <v>32.06</v>
      </c>
      <c r="G2074" t="n">
        <v>0</v>
      </c>
      <c r="H2074" t="n">
        <v>0</v>
      </c>
      <c r="I2074" s="3">
        <f>E2074+G2074+H2074</f>
        <v/>
      </c>
      <c r="J2074" s="3">
        <f>ROUND(MIN(IF(C2074="Técnico III",35,IF(C2074="Técnico II",28,IF(C2074="Técnico I",23,IF(C2074="JR",20,IF(C2074="Estágio",10,0))))),IF(C2074="Técnico III",SUMIFS($D:$D,$A:$A,$A2074,$B:$B,"&lt;&gt;Patrícia Karla de Sousa Araújo",$B:$B,"&lt;&gt;Lorena Dias de Araujo",$B:$B,"&lt;&gt;Lucas Luiz Romero")*(35/1083),IF(C2074="Técnico II",SUMIFS($D:$D,$A:$A,$A2074,$B:$B,"&lt;&gt;Patrícia Karla de Sousa Araújo",$B:$B,"&lt;&gt;Lorena Dias de Araujo",$B:$B,"&lt;&gt;Lucas Luiz Romero")*(28/1083),IF(C2074="Técnico I",SUMIFS($D:$D,$A:$A,$A2074,$B:$B,"&lt;&gt;Patrícia Karla de Sousa Araújo",$B:$B,"&lt;&gt;Lorena Dias de Araujo",$B:$B,"&lt;&gt;Lucas Luiz Romero")*(23/1083),IF(C2074="JR",SUMIFS($D:$D,$A:$A,$A2074,$B:$B,"&lt;&gt;Patrícia Karla de Sousa Araújo",$B:$B,"&lt;&gt;Lorena Dias de Araujo",$B:$B,"&lt;&gt;Lucas Luiz Romero")*(20/1083),IF(C2074="Estágio",SUMIFS($D:$D,$A:$A,$A2074,$B:$B,"&lt;&gt;Patrícia Karla de Sousa Araújo",$B:$B,"&lt;&gt;Lorena Dias de Araujo",$B:$B,"&lt;&gt;Lucas Luiz Romero")*(10/1083),0)))))),0)</f>
        <v/>
      </c>
      <c r="K2074" s="3">
        <f>I2074-J2074</f>
        <v/>
      </c>
      <c r="L2074" s="3">
        <f>IF(K2074&lt;-5,"CRÍTICO",IF(K2074&lt;0,"ATENÇÃO",IF(K2074&lt;=5,"BOM","EXCELENTE")))</f>
        <v/>
      </c>
      <c r="M2074" t="n">
        <v>7</v>
      </c>
      <c r="N2074" t="n">
        <v>96.55</v>
      </c>
      <c r="O2074" t="n">
        <v>32.17391304347826</v>
      </c>
    </row>
    <row r="2075" hidden="1">
      <c r="A2075" s="11" t="n">
        <v>46065</v>
      </c>
      <c r="B2075" t="inlineStr">
        <is>
          <t>Kerollen Cristielly de Jesus Siqueira</t>
        </is>
      </c>
      <c r="C2075" t="inlineStr">
        <is>
          <t>Técnico III</t>
        </is>
      </c>
      <c r="D2075" t="n">
        <v>11</v>
      </c>
      <c r="E2075" t="n">
        <v>9</v>
      </c>
      <c r="F2075" t="n">
        <v>15.24</v>
      </c>
      <c r="G2075" t="n">
        <v>0</v>
      </c>
      <c r="H2075" t="n">
        <v>0</v>
      </c>
      <c r="I2075" s="3">
        <f>E2075+G2075+H2075</f>
        <v/>
      </c>
      <c r="J2075" s="3">
        <f>ROUND(MIN(IF(C2075="Técnico III",35,IF(C2075="Técnico II",28,IF(C2075="Técnico I",23,IF(C2075="JR",20,IF(C2075="Estágio",10,0))))),IF(C2075="Técnico III",SUMIFS($D:$D,$A:$A,$A2075,$B:$B,"&lt;&gt;Patrícia Karla de Sousa Araújo",$B:$B,"&lt;&gt;Lorena Dias de Araujo",$B:$B,"&lt;&gt;Lucas Luiz Romero")*(35/1083),IF(C2075="Técnico II",SUMIFS($D:$D,$A:$A,$A2075,$B:$B,"&lt;&gt;Patrícia Karla de Sousa Araújo",$B:$B,"&lt;&gt;Lorena Dias de Araujo",$B:$B,"&lt;&gt;Lucas Luiz Romero")*(28/1083),IF(C2075="Técnico I",SUMIFS($D:$D,$A:$A,$A2075,$B:$B,"&lt;&gt;Patrícia Karla de Sousa Araújo",$B:$B,"&lt;&gt;Lorena Dias de Araujo",$B:$B,"&lt;&gt;Lucas Luiz Romero")*(23/1083),IF(C2075="JR",SUMIFS($D:$D,$A:$A,$A2075,$B:$B,"&lt;&gt;Patrícia Karla de Sousa Araújo",$B:$B,"&lt;&gt;Lorena Dias de Araujo",$B:$B,"&lt;&gt;Lucas Luiz Romero")*(20/1083),IF(C2075="Estágio",SUMIFS($D:$D,$A:$A,$A2075,$B:$B,"&lt;&gt;Patrícia Karla de Sousa Araújo",$B:$B,"&lt;&gt;Lorena Dias de Araujo",$B:$B,"&lt;&gt;Lucas Luiz Romero")*(10/1083),0)))))),0)</f>
        <v/>
      </c>
      <c r="K2075" s="3">
        <f>I2075-J2075</f>
        <v/>
      </c>
      <c r="L2075" s="3">
        <f>IF(K2075&lt;-5,"CRÍTICO",IF(K2075&lt;0,"ATENÇÃO",IF(K2075&lt;=5,"BOM","EXCELENTE")))</f>
        <v/>
      </c>
      <c r="M2075" t="n">
        <v>21</v>
      </c>
      <c r="N2075" t="n">
        <v>100</v>
      </c>
      <c r="O2075" t="n">
        <v>20.64516129032258</v>
      </c>
    </row>
    <row r="2076" hidden="1">
      <c r="A2076" s="11" t="n">
        <v>46065</v>
      </c>
      <c r="B2076" t="inlineStr">
        <is>
          <t>Leandro de Souza Silva</t>
        </is>
      </c>
      <c r="C2076" t="inlineStr">
        <is>
          <t>JR</t>
        </is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s="3" t="n">
        <v>0</v>
      </c>
      <c r="J2076" s="3" t="n">
        <v>0</v>
      </c>
      <c r="K2076" s="3" t="n">
        <v>0</v>
      </c>
      <c r="L2076" s="3">
        <f>IF(K2076&lt;-5,"CRÍTICO",IF(K2076&lt;0,"ATENÇÃO",IF(K2076&lt;=5,"BOM","EXCELENTE")))</f>
        <v/>
      </c>
      <c r="M2076" t="n">
        <v>0</v>
      </c>
      <c r="N2076" t="n">
        <v>0</v>
      </c>
      <c r="O2076" t="n">
        <v>0</v>
      </c>
    </row>
    <row r="2077" hidden="1">
      <c r="A2077" s="11" t="n">
        <v>46065</v>
      </c>
      <c r="B2077" t="inlineStr">
        <is>
          <t>Leandro Oliveira de Sousa</t>
        </is>
      </c>
      <c r="C2077" t="inlineStr">
        <is>
          <t>Técnico III</t>
        </is>
      </c>
      <c r="D2077" t="n">
        <v>29</v>
      </c>
      <c r="E2077" t="n">
        <v>29</v>
      </c>
      <c r="F2077" t="n">
        <v>19.17</v>
      </c>
      <c r="G2077" t="n">
        <v>0</v>
      </c>
      <c r="H2077" t="n">
        <v>0</v>
      </c>
      <c r="I2077" s="3">
        <f>E2077+G2077+H2077</f>
        <v/>
      </c>
      <c r="J2077" s="3">
        <f>ROUND(MIN(IF(C2077="Técnico III",35,IF(C2077="Técnico II",28,IF(C2077="Técnico I",23,IF(C2077="JR",20,IF(C2077="Estágio",10,0))))),IF(C2077="Técnico III",SUMIFS($D:$D,$A:$A,$A2077,$B:$B,"&lt;&gt;Patrícia Karla de Sousa Araújo",$B:$B,"&lt;&gt;Lorena Dias de Araujo",$B:$B,"&lt;&gt;Lucas Luiz Romero")*(35/1083),IF(C2077="Técnico II",SUMIFS($D:$D,$A:$A,$A2077,$B:$B,"&lt;&gt;Patrícia Karla de Sousa Araújo",$B:$B,"&lt;&gt;Lorena Dias de Araujo",$B:$B,"&lt;&gt;Lucas Luiz Romero")*(28/1083),IF(C2077="Técnico I",SUMIFS($D:$D,$A:$A,$A2077,$B:$B,"&lt;&gt;Patrícia Karla de Sousa Araújo",$B:$B,"&lt;&gt;Lorena Dias de Araujo",$B:$B,"&lt;&gt;Lucas Luiz Romero")*(23/1083),IF(C2077="JR",SUMIFS($D:$D,$A:$A,$A2077,$B:$B,"&lt;&gt;Patrícia Karla de Sousa Araújo",$B:$B,"&lt;&gt;Lorena Dias de Araujo",$B:$B,"&lt;&gt;Lucas Luiz Romero")*(20/1083),IF(C2077="Estágio",SUMIFS($D:$D,$A:$A,$A2077,$B:$B,"&lt;&gt;Patrícia Karla de Sousa Araújo",$B:$B,"&lt;&gt;Lorena Dias de Araujo",$B:$B,"&lt;&gt;Lucas Luiz Romero")*(10/1083),0)))))),0)</f>
        <v/>
      </c>
      <c r="K2077" s="3">
        <f>I2077-J2077</f>
        <v/>
      </c>
      <c r="L2077" s="3">
        <f>IF(K2077&lt;-5,"CRÍTICO",IF(K2077&lt;0,"ATENÇÃO",IF(K2077&lt;=5,"BOM","EXCELENTE")))</f>
        <v/>
      </c>
      <c r="M2077" t="n">
        <v>26</v>
      </c>
      <c r="N2077" t="n">
        <v>98.73</v>
      </c>
      <c r="O2077" t="n">
        <v>33.9622641509434</v>
      </c>
    </row>
    <row r="2078" hidden="1">
      <c r="A2078" s="11" t="n">
        <v>46065</v>
      </c>
      <c r="B2078" t="inlineStr">
        <is>
          <t>Lizandra Gomes Duarte</t>
        </is>
      </c>
      <c r="C2078" t="inlineStr">
        <is>
          <t>Técnico II</t>
        </is>
      </c>
      <c r="D2078" t="n">
        <v>41</v>
      </c>
      <c r="E2078" t="n">
        <v>36</v>
      </c>
      <c r="F2078" t="n">
        <v>18.57</v>
      </c>
      <c r="G2078" t="n">
        <v>0</v>
      </c>
      <c r="H2078" t="n">
        <v>0</v>
      </c>
      <c r="I2078" s="3">
        <f>E2078+G2078+H2078</f>
        <v/>
      </c>
      <c r="J2078" s="3">
        <f>ROUND(MIN(IF(C2078="Técnico III",35,IF(C2078="Técnico II",28,IF(C2078="Técnico I",23,IF(C2078="JR",20,IF(C2078="Estágio",10,0))))),IF(C2078="Técnico III",SUMIFS($D:$D,$A:$A,$A2078,$B:$B,"&lt;&gt;Patrícia Karla de Sousa Araújo",$B:$B,"&lt;&gt;Lorena Dias de Araujo",$B:$B,"&lt;&gt;Lucas Luiz Romero")*(35/1083),IF(C2078="Técnico II",SUMIFS($D:$D,$A:$A,$A2078,$B:$B,"&lt;&gt;Patrícia Karla de Sousa Araújo",$B:$B,"&lt;&gt;Lorena Dias de Araujo",$B:$B,"&lt;&gt;Lucas Luiz Romero")*(28/1083),IF(C2078="Técnico I",SUMIFS($D:$D,$A:$A,$A2078,$B:$B,"&lt;&gt;Patrícia Karla de Sousa Araújo",$B:$B,"&lt;&gt;Lorena Dias de Araujo",$B:$B,"&lt;&gt;Lucas Luiz Romero")*(23/1083),IF(C2078="JR",SUMIFS($D:$D,$A:$A,$A2078,$B:$B,"&lt;&gt;Patrícia Karla de Sousa Araújo",$B:$B,"&lt;&gt;Lorena Dias de Araujo",$B:$B,"&lt;&gt;Lucas Luiz Romero")*(20/1083),IF(C2078="Estágio",SUMIFS($D:$D,$A:$A,$A2078,$B:$B,"&lt;&gt;Patrícia Karla de Sousa Araújo",$B:$B,"&lt;&gt;Lorena Dias de Araujo",$B:$B,"&lt;&gt;Lucas Luiz Romero")*(10/1083),0)))))),0)</f>
        <v/>
      </c>
      <c r="K2078" s="3">
        <f>I2078-J2078</f>
        <v/>
      </c>
      <c r="L2078" s="3">
        <f>IF(K2078&lt;-5,"CRÍTICO",IF(K2078&lt;0,"ATENÇÃO",IF(K2078&lt;=5,"BOM","EXCELENTE")))</f>
        <v/>
      </c>
      <c r="M2078" t="n">
        <v>23</v>
      </c>
      <c r="N2078" t="n">
        <v>96.15000000000001</v>
      </c>
      <c r="O2078" t="n">
        <v>26.95652173913043</v>
      </c>
    </row>
    <row r="2079" hidden="1">
      <c r="A2079" s="11" t="n">
        <v>46065</v>
      </c>
      <c r="B2079" t="inlineStr">
        <is>
          <t>Lorena Dias de Araujo</t>
        </is>
      </c>
      <c r="C2079" t="inlineStr">
        <is>
          <t>Técnico II</t>
        </is>
      </c>
      <c r="D2079" t="n">
        <v>25</v>
      </c>
      <c r="E2079" t="n">
        <v>23</v>
      </c>
      <c r="F2079" t="n">
        <v>20.41</v>
      </c>
      <c r="G2079" t="n">
        <v>0</v>
      </c>
      <c r="H2079" t="n">
        <v>0</v>
      </c>
      <c r="I2079" s="3" t="n">
        <v>0</v>
      </c>
      <c r="J2079" s="3" t="n">
        <v>0</v>
      </c>
      <c r="K2079" s="3" t="n">
        <v>0</v>
      </c>
      <c r="L2079" s="3">
        <f>IF(K2079&lt;-5,"CRÍTICO",IF(K2079&lt;0,"ATENÇÃO",IF(K2079&lt;=5,"BOM","EXCELENTE")))</f>
        <v/>
      </c>
      <c r="M2079" t="n">
        <v>19</v>
      </c>
      <c r="N2079" t="n">
        <v>98.44</v>
      </c>
      <c r="O2079" t="n">
        <v>30.90909090909091</v>
      </c>
    </row>
    <row r="2080" hidden="1">
      <c r="A2080" s="11" t="n">
        <v>46065</v>
      </c>
      <c r="B2080" t="inlineStr">
        <is>
          <t>Lucas Luiz Romero</t>
        </is>
      </c>
      <c r="C2080" t="inlineStr">
        <is>
          <t>Técnico III</t>
        </is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s="3" t="n">
        <v>0</v>
      </c>
      <c r="J2080" s="3" t="n">
        <v>0</v>
      </c>
      <c r="K2080" s="3" t="n">
        <v>0</v>
      </c>
      <c r="L2080" s="3">
        <f>IF(K2080&lt;-5,"CRÍTICO",IF(K2080&lt;0,"ATENÇÃO",IF(K2080&lt;=5,"BOM","EXCELENTE")))</f>
        <v/>
      </c>
      <c r="M2080" t="n">
        <v>0</v>
      </c>
      <c r="N2080" t="n">
        <v>97.37</v>
      </c>
      <c r="O2080" t="n">
        <v>25.51020408163265</v>
      </c>
    </row>
    <row r="2081" hidden="1">
      <c r="A2081" s="11" t="n">
        <v>46065</v>
      </c>
      <c r="B2081" t="inlineStr">
        <is>
          <t>Luiz Fernando de Carvalho Junior</t>
        </is>
      </c>
      <c r="C2081" t="inlineStr">
        <is>
          <t>Técnico I</t>
        </is>
      </c>
      <c r="D2081" t="n">
        <v>29</v>
      </c>
      <c r="E2081" t="n">
        <v>28</v>
      </c>
      <c r="F2081" t="n">
        <v>23.4</v>
      </c>
      <c r="G2081" t="n">
        <v>0</v>
      </c>
      <c r="H2081" t="n">
        <v>0</v>
      </c>
      <c r="I2081" s="3">
        <f>E2081+G2081+H2081</f>
        <v/>
      </c>
      <c r="J2081" s="3">
        <f>ROUND(MIN(IF(C2081="Técnico III",35,IF(C2081="Técnico II",28,IF(C2081="Técnico I",23,IF(C2081="JR",20,IF(C2081="Estágio",10,0))))),IF(C2081="Técnico III",SUMIFS($D:$D,$A:$A,$A2081,$B:$B,"&lt;&gt;Patrícia Karla de Sousa Araújo",$B:$B,"&lt;&gt;Lorena Dias de Araujo",$B:$B,"&lt;&gt;Lucas Luiz Romero")*(35/1083),IF(C2081="Técnico II",SUMIFS($D:$D,$A:$A,$A2081,$B:$B,"&lt;&gt;Patrícia Karla de Sousa Araújo",$B:$B,"&lt;&gt;Lorena Dias de Araujo",$B:$B,"&lt;&gt;Lucas Luiz Romero")*(28/1083),IF(C2081="Técnico I",SUMIFS($D:$D,$A:$A,$A2081,$B:$B,"&lt;&gt;Patrícia Karla de Sousa Araújo",$B:$B,"&lt;&gt;Lorena Dias de Araujo",$B:$B,"&lt;&gt;Lucas Luiz Romero")*(23/1083),IF(C2081="JR",SUMIFS($D:$D,$A:$A,$A2081,$B:$B,"&lt;&gt;Patrícia Karla de Sousa Araújo",$B:$B,"&lt;&gt;Lorena Dias de Araujo",$B:$B,"&lt;&gt;Lucas Luiz Romero")*(20/1083),IF(C2081="Estágio",SUMIFS($D:$D,$A:$A,$A2081,$B:$B,"&lt;&gt;Patrícia Karla de Sousa Araújo",$B:$B,"&lt;&gt;Lorena Dias de Araujo",$B:$B,"&lt;&gt;Lucas Luiz Romero")*(10/1083),0)))))),0)</f>
        <v/>
      </c>
      <c r="K2081" s="3">
        <f>I2081-J2081</f>
        <v/>
      </c>
      <c r="L2081" s="3">
        <f>IF(K2081&lt;-5,"CRÍTICO",IF(K2081&lt;0,"ATENÇÃO",IF(K2081&lt;=5,"BOM","EXCELENTE")))</f>
        <v/>
      </c>
      <c r="M2081" t="n">
        <v>23</v>
      </c>
      <c r="N2081" t="n">
        <v>100</v>
      </c>
      <c r="O2081" t="n">
        <v>27.22772277227723</v>
      </c>
    </row>
    <row r="2082" hidden="1">
      <c r="A2082" s="11" t="n">
        <v>46065</v>
      </c>
      <c r="B2082" t="inlineStr">
        <is>
          <t>Maria Eduarda Sousa Costa</t>
        </is>
      </c>
      <c r="C2082" t="inlineStr">
        <is>
          <t>Estágio</t>
        </is>
      </c>
      <c r="D2082" t="n">
        <v>37</v>
      </c>
      <c r="E2082" t="n">
        <v>16</v>
      </c>
      <c r="F2082" t="n">
        <v>8.289999999999999</v>
      </c>
      <c r="G2082" t="n">
        <v>0</v>
      </c>
      <c r="H2082" t="n">
        <v>0</v>
      </c>
      <c r="I2082" s="3">
        <f>E2082+G2082+H2082</f>
        <v/>
      </c>
      <c r="J2082" s="3">
        <f>ROUND(MIN(IF(C2082="Técnico III",35,IF(C2082="Técnico II",28,IF(C2082="Técnico I",23,IF(C2082="JR",20,IF(C2082="Estágio",10,0))))),IF(C2082="Técnico III",SUMIFS($D:$D,$A:$A,$A2082,$B:$B,"&lt;&gt;Patrícia Karla de Sousa Araújo",$B:$B,"&lt;&gt;Lorena Dias de Araujo",$B:$B,"&lt;&gt;Lucas Luiz Romero")*(35/1083),IF(C2082="Técnico II",SUMIFS($D:$D,$A:$A,$A2082,$B:$B,"&lt;&gt;Patrícia Karla de Sousa Araújo",$B:$B,"&lt;&gt;Lorena Dias de Araujo",$B:$B,"&lt;&gt;Lucas Luiz Romero")*(28/1083),IF(C2082="Técnico I",SUMIFS($D:$D,$A:$A,$A2082,$B:$B,"&lt;&gt;Patrícia Karla de Sousa Araújo",$B:$B,"&lt;&gt;Lorena Dias de Araujo",$B:$B,"&lt;&gt;Lucas Luiz Romero")*(23/1083),IF(C2082="JR",SUMIFS($D:$D,$A:$A,$A2082,$B:$B,"&lt;&gt;Patrícia Karla de Sousa Araújo",$B:$B,"&lt;&gt;Lorena Dias de Araujo",$B:$B,"&lt;&gt;Lucas Luiz Romero")*(20/1083),IF(C2082="Estágio",SUMIFS($D:$D,$A:$A,$A2082,$B:$B,"&lt;&gt;Patrícia Karla de Sousa Araújo",$B:$B,"&lt;&gt;Lorena Dias de Araujo",$B:$B,"&lt;&gt;Lucas Luiz Romero")*(10/1083),0)))))),0)</f>
        <v/>
      </c>
      <c r="K2082" s="3">
        <f>I2082-J2082</f>
        <v/>
      </c>
      <c r="L2082" s="3">
        <f>IF(K2082&lt;-5,"CRÍTICO",IF(K2082&lt;0,"ATENÇÃO",IF(K2082&lt;=5,"BOM","EXCELENTE")))</f>
        <v/>
      </c>
      <c r="M2082" t="n">
        <v>1</v>
      </c>
      <c r="N2082" t="n">
        <v>100</v>
      </c>
      <c r="O2082" t="n">
        <v>26.31578947368421</v>
      </c>
    </row>
    <row r="2083" hidden="1">
      <c r="A2083" s="11" t="n">
        <v>46065</v>
      </c>
      <c r="B2083" t="inlineStr">
        <is>
          <t>Matheus Farias De Souza</t>
        </is>
      </c>
      <c r="C2083" t="inlineStr">
        <is>
          <t>Técnico III</t>
        </is>
      </c>
      <c r="D2083" t="n">
        <v>37</v>
      </c>
      <c r="E2083" t="n">
        <v>34</v>
      </c>
      <c r="F2083" t="n">
        <v>15.47</v>
      </c>
      <c r="G2083" t="n">
        <v>0</v>
      </c>
      <c r="H2083" t="n">
        <v>0</v>
      </c>
      <c r="I2083" s="3">
        <f>E2083+G2083+H2083</f>
        <v/>
      </c>
      <c r="J2083" s="3">
        <f>ROUND(MIN(IF(C2083="Técnico III",35,IF(C2083="Técnico II",28,IF(C2083="Técnico I",23,IF(C2083="JR",20,IF(C2083="Estágio",10,0))))),IF(C2083="Técnico III",SUMIFS($D:$D,$A:$A,$A2083,$B:$B,"&lt;&gt;Patrícia Karla de Sousa Araújo",$B:$B,"&lt;&gt;Lorena Dias de Araujo",$B:$B,"&lt;&gt;Lucas Luiz Romero")*(35/1083),IF(C2083="Técnico II",SUMIFS($D:$D,$A:$A,$A2083,$B:$B,"&lt;&gt;Patrícia Karla de Sousa Araújo",$B:$B,"&lt;&gt;Lorena Dias de Araujo",$B:$B,"&lt;&gt;Lucas Luiz Romero")*(28/1083),IF(C2083="Técnico I",SUMIFS($D:$D,$A:$A,$A2083,$B:$B,"&lt;&gt;Patrícia Karla de Sousa Araújo",$B:$B,"&lt;&gt;Lorena Dias de Araujo",$B:$B,"&lt;&gt;Lucas Luiz Romero")*(23/1083),IF(C2083="JR",SUMIFS($D:$D,$A:$A,$A2083,$B:$B,"&lt;&gt;Patrícia Karla de Sousa Araújo",$B:$B,"&lt;&gt;Lorena Dias de Araujo",$B:$B,"&lt;&gt;Lucas Luiz Romero")*(20/1083),IF(C2083="Estágio",SUMIFS($D:$D,$A:$A,$A2083,$B:$B,"&lt;&gt;Patrícia Karla de Sousa Araújo",$B:$B,"&lt;&gt;Lorena Dias de Araujo",$B:$B,"&lt;&gt;Lucas Luiz Romero")*(10/1083),0)))))),0)</f>
        <v/>
      </c>
      <c r="K2083" s="3">
        <f>I2083-J2083</f>
        <v/>
      </c>
      <c r="L2083" s="3">
        <f>IF(K2083&lt;-5,"CRÍTICO",IF(K2083&lt;0,"ATENÇÃO",IF(K2083&lt;=5,"BOM","EXCELENTE")))</f>
        <v/>
      </c>
      <c r="M2083" t="n">
        <v>31</v>
      </c>
      <c r="N2083" t="n">
        <v>97.92</v>
      </c>
      <c r="O2083" t="n">
        <v>32.20338983050847</v>
      </c>
    </row>
    <row r="2084" hidden="1">
      <c r="A2084" s="11" t="n">
        <v>46065</v>
      </c>
      <c r="B2084" t="inlineStr">
        <is>
          <t>Maysa Victoria Dias Moura</t>
        </is>
      </c>
      <c r="C2084" t="inlineStr">
        <is>
          <t>Técnico III</t>
        </is>
      </c>
      <c r="D2084" t="n">
        <v>18</v>
      </c>
      <c r="E2084" t="n">
        <v>17</v>
      </c>
      <c r="F2084" t="n">
        <v>20.59</v>
      </c>
      <c r="G2084" t="n">
        <v>0</v>
      </c>
      <c r="H2084" t="n">
        <v>0</v>
      </c>
      <c r="I2084" s="3">
        <f>E2084+G2084+H2084</f>
        <v/>
      </c>
      <c r="J2084" s="3">
        <f>ROUND(MIN(IF(C2084="Técnico III",35,IF(C2084="Técnico II",28,IF(C2084="Técnico I",23,IF(C2084="JR",20,IF(C2084="Estágio",10,0))))),IF(C2084="Técnico III",SUMIFS($D:$D,$A:$A,$A2084,$B:$B,"&lt;&gt;Patrícia Karla de Sousa Araújo",$B:$B,"&lt;&gt;Lorena Dias de Araujo",$B:$B,"&lt;&gt;Lucas Luiz Romero")*(35/1083),IF(C2084="Técnico II",SUMIFS($D:$D,$A:$A,$A2084,$B:$B,"&lt;&gt;Patrícia Karla de Sousa Araújo",$B:$B,"&lt;&gt;Lorena Dias de Araujo",$B:$B,"&lt;&gt;Lucas Luiz Romero")*(28/1083),IF(C2084="Técnico I",SUMIFS($D:$D,$A:$A,$A2084,$B:$B,"&lt;&gt;Patrícia Karla de Sousa Araújo",$B:$B,"&lt;&gt;Lorena Dias de Araujo",$B:$B,"&lt;&gt;Lucas Luiz Romero")*(23/1083),IF(C2084="JR",SUMIFS($D:$D,$A:$A,$A2084,$B:$B,"&lt;&gt;Patrícia Karla de Sousa Araújo",$B:$B,"&lt;&gt;Lorena Dias de Araujo",$B:$B,"&lt;&gt;Lucas Luiz Romero")*(20/1083),IF(C2084="Estágio",SUMIFS($D:$D,$A:$A,$A2084,$B:$B,"&lt;&gt;Patrícia Karla de Sousa Araújo",$B:$B,"&lt;&gt;Lorena Dias de Araujo",$B:$B,"&lt;&gt;Lucas Luiz Romero")*(10/1083),0)))))),0)</f>
        <v/>
      </c>
      <c r="K2084" s="3">
        <f>I2084-J2084</f>
        <v/>
      </c>
      <c r="L2084" s="3">
        <f>IF(K2084&lt;-5,"CRÍTICO",IF(K2084&lt;0,"ATENÇÃO",IF(K2084&lt;=5,"BOM","EXCELENTE")))</f>
        <v/>
      </c>
      <c r="M2084" t="n">
        <v>16</v>
      </c>
      <c r="N2084" t="n">
        <v>94.03</v>
      </c>
      <c r="O2084" t="n">
        <v>24.69635627530364</v>
      </c>
    </row>
    <row r="2085" hidden="1">
      <c r="A2085" s="11" t="n">
        <v>46065</v>
      </c>
      <c r="B2085" t="inlineStr">
        <is>
          <t>Michelle G Santos</t>
        </is>
      </c>
      <c r="C2085" t="inlineStr">
        <is>
          <t>Estágio</t>
        </is>
      </c>
      <c r="D2085" t="n">
        <v>14</v>
      </c>
      <c r="E2085" t="n">
        <v>13</v>
      </c>
      <c r="F2085" t="n">
        <v>57.03</v>
      </c>
      <c r="G2085" t="n">
        <v>0</v>
      </c>
      <c r="H2085" t="n">
        <v>0</v>
      </c>
      <c r="I2085" s="3">
        <f>E2085+G2085+H2085</f>
        <v/>
      </c>
      <c r="J2085" s="3">
        <f>ROUND(MIN(IF(C2085="Técnico III",35,IF(C2085="Técnico II",28,IF(C2085="Técnico I",23,IF(C2085="JR",20,IF(C2085="Estágio",10,0))))),IF(C2085="Técnico III",SUMIFS($D:$D,$A:$A,$A2085,$B:$B,"&lt;&gt;Patrícia Karla de Sousa Araújo",$B:$B,"&lt;&gt;Lorena Dias de Araujo",$B:$B,"&lt;&gt;Lucas Luiz Romero")*(35/1083),IF(C2085="Técnico II",SUMIFS($D:$D,$A:$A,$A2085,$B:$B,"&lt;&gt;Patrícia Karla de Sousa Araújo",$B:$B,"&lt;&gt;Lorena Dias de Araujo",$B:$B,"&lt;&gt;Lucas Luiz Romero")*(28/1083),IF(C2085="Técnico I",SUMIFS($D:$D,$A:$A,$A2085,$B:$B,"&lt;&gt;Patrícia Karla de Sousa Araújo",$B:$B,"&lt;&gt;Lorena Dias de Araujo",$B:$B,"&lt;&gt;Lucas Luiz Romero")*(23/1083),IF(C2085="JR",SUMIFS($D:$D,$A:$A,$A2085,$B:$B,"&lt;&gt;Patrícia Karla de Sousa Araújo",$B:$B,"&lt;&gt;Lorena Dias de Araujo",$B:$B,"&lt;&gt;Lucas Luiz Romero")*(20/1083),IF(C2085="Estágio",SUMIFS($D:$D,$A:$A,$A2085,$B:$B,"&lt;&gt;Patrícia Karla de Sousa Araújo",$B:$B,"&lt;&gt;Lorena Dias de Araujo",$B:$B,"&lt;&gt;Lucas Luiz Romero")*(10/1083),0)))))),0)</f>
        <v/>
      </c>
      <c r="K2085" s="3">
        <f>I2085-J2085</f>
        <v/>
      </c>
      <c r="L2085" s="3">
        <f>IF(K2085&lt;-5,"CRÍTICO",IF(K2085&lt;0,"ATENÇÃO",IF(K2085&lt;=5,"BOM","EXCELENTE")))</f>
        <v/>
      </c>
      <c r="M2085" t="n">
        <v>4</v>
      </c>
      <c r="N2085" t="n">
        <v>100</v>
      </c>
      <c r="O2085" t="n">
        <v>24.48979591836735</v>
      </c>
    </row>
    <row r="2086" hidden="1">
      <c r="A2086" s="11" t="n">
        <v>46065</v>
      </c>
      <c r="B2086" t="inlineStr">
        <is>
          <t>Milena Sales</t>
        </is>
      </c>
      <c r="C2086" t="inlineStr">
        <is>
          <t>JR</t>
        </is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s="3" t="n">
        <v>0</v>
      </c>
      <c r="J2086" s="3" t="n">
        <v>0</v>
      </c>
      <c r="K2086" s="3" t="n">
        <v>0</v>
      </c>
      <c r="L2086" s="3">
        <f>IF(K2086&lt;-5,"CRÍTICO",IF(K2086&lt;0,"ATENÇÃO",IF(K2086&lt;=5,"BOM","EXCELENTE")))</f>
        <v/>
      </c>
      <c r="M2086" t="n">
        <v>0</v>
      </c>
      <c r="N2086" t="n">
        <v>0</v>
      </c>
      <c r="O2086" t="n">
        <v>0</v>
      </c>
    </row>
    <row r="2087" hidden="1">
      <c r="A2087" s="11" t="n">
        <v>46065</v>
      </c>
      <c r="B2087" t="inlineStr">
        <is>
          <t>Patrícia Karla de Sousa Araújo</t>
        </is>
      </c>
      <c r="C2087" t="inlineStr">
        <is>
          <t>Técnico II</t>
        </is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s="3" t="n">
        <v>0</v>
      </c>
      <c r="J2087" s="3" t="n">
        <v>0</v>
      </c>
      <c r="K2087" s="3" t="n">
        <v>0</v>
      </c>
      <c r="L2087" s="3">
        <f>IF(K2087&lt;-5,"CRÍTICO",IF(K2087&lt;0,"ATENÇÃO",IF(K2087&lt;=5,"BOM","EXCELENTE")))</f>
        <v/>
      </c>
      <c r="M2087" t="n">
        <v>0</v>
      </c>
      <c r="N2087" t="n">
        <v>100</v>
      </c>
      <c r="O2087" t="n">
        <v>32.87671232876712</v>
      </c>
    </row>
    <row r="2088" hidden="1">
      <c r="A2088" s="11" t="n">
        <v>46065</v>
      </c>
      <c r="B2088" t="inlineStr">
        <is>
          <t>Paulo Ricardo Santos</t>
        </is>
      </c>
      <c r="C2088" t="inlineStr">
        <is>
          <t>JR</t>
        </is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s="3" t="n">
        <v>0</v>
      </c>
      <c r="J2088" s="3" t="n">
        <v>0</v>
      </c>
      <c r="K2088" s="3" t="n">
        <v>0</v>
      </c>
      <c r="L2088" s="3">
        <f>IF(K2088&lt;-5,"CRÍTICO",IF(K2088&lt;0,"ATENÇÃO",IF(K2088&lt;=5,"BOM","EXCELENTE")))</f>
        <v/>
      </c>
      <c r="M2088" t="n">
        <v>0</v>
      </c>
      <c r="N2088" t="n">
        <v>0</v>
      </c>
      <c r="O2088" t="n">
        <v>0</v>
      </c>
    </row>
    <row r="2089" hidden="1">
      <c r="A2089" s="11" t="n">
        <v>46065</v>
      </c>
      <c r="B2089" t="inlineStr">
        <is>
          <t>Pedro Luiz Mota Sousa</t>
        </is>
      </c>
      <c r="C2089" t="inlineStr">
        <is>
          <t>JR</t>
        </is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s="3" t="n">
        <v>0</v>
      </c>
      <c r="J2089" s="3" t="n">
        <v>0</v>
      </c>
      <c r="K2089" s="3" t="n">
        <v>0</v>
      </c>
      <c r="L2089" s="3">
        <f>IF(K2089&lt;-5,"CRÍTICO",IF(K2089&lt;0,"ATENÇÃO",IF(K2089&lt;=5,"BOM","EXCELENTE")))</f>
        <v/>
      </c>
      <c r="M2089" t="n">
        <v>0</v>
      </c>
      <c r="N2089" t="n">
        <v>0</v>
      </c>
      <c r="O2089" t="n">
        <v>0</v>
      </c>
    </row>
    <row r="2090" hidden="1">
      <c r="A2090" s="11" t="n">
        <v>46065</v>
      </c>
      <c r="B2090" t="inlineStr">
        <is>
          <t>Quirino Diogo Leite Torres</t>
        </is>
      </c>
      <c r="C2090" t="inlineStr">
        <is>
          <t>Estágio</t>
        </is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s="3" t="n">
        <v>0</v>
      </c>
      <c r="J2090" s="3" t="n">
        <v>0</v>
      </c>
      <c r="K2090" s="3" t="n">
        <v>0</v>
      </c>
      <c r="L2090" s="3">
        <f>IF(K2090&lt;-5,"CRÍTICO",IF(K2090&lt;0,"ATENÇÃO",IF(K2090&lt;=5,"BOM","EXCELENTE")))</f>
        <v/>
      </c>
      <c r="M2090" t="n">
        <v>0</v>
      </c>
      <c r="N2090" t="n">
        <v>0</v>
      </c>
      <c r="O2090" t="n">
        <v>0</v>
      </c>
    </row>
    <row r="2091" hidden="1">
      <c r="A2091" s="11" t="n">
        <v>46065</v>
      </c>
      <c r="B2091" t="inlineStr">
        <is>
          <t>Raane Batista Matos</t>
        </is>
      </c>
      <c r="C2091" t="inlineStr">
        <is>
          <t>Técnico I</t>
        </is>
      </c>
      <c r="D2091" t="n">
        <v>27</v>
      </c>
      <c r="E2091" t="n">
        <v>24</v>
      </c>
      <c r="F2091" t="n">
        <v>19.01</v>
      </c>
      <c r="G2091" t="n">
        <v>0</v>
      </c>
      <c r="H2091" t="n">
        <v>0</v>
      </c>
      <c r="I2091" s="3">
        <f>E2091+G2091+H2091</f>
        <v/>
      </c>
      <c r="J2091" s="3">
        <f>ROUND(MIN(IF(C2091="Técnico III",35,IF(C2091="Técnico II",28,IF(C2091="Técnico I",23,IF(C2091="JR",20,IF(C2091="Estágio",10,0))))),IF(C2091="Técnico III",SUMIFS($D:$D,$A:$A,$A2091,$B:$B,"&lt;&gt;Patrícia Karla de Sousa Araújo",$B:$B,"&lt;&gt;Lorena Dias de Araujo",$B:$B,"&lt;&gt;Lucas Luiz Romero")*(35/1083),IF(C2091="Técnico II",SUMIFS($D:$D,$A:$A,$A2091,$B:$B,"&lt;&gt;Patrícia Karla de Sousa Araújo",$B:$B,"&lt;&gt;Lorena Dias de Araujo",$B:$B,"&lt;&gt;Lucas Luiz Romero")*(28/1083),IF(C2091="Técnico I",SUMIFS($D:$D,$A:$A,$A2091,$B:$B,"&lt;&gt;Patrícia Karla de Sousa Araújo",$B:$B,"&lt;&gt;Lorena Dias de Araujo",$B:$B,"&lt;&gt;Lucas Luiz Romero")*(23/1083),IF(C2091="JR",SUMIFS($D:$D,$A:$A,$A2091,$B:$B,"&lt;&gt;Patrícia Karla de Sousa Araújo",$B:$B,"&lt;&gt;Lorena Dias de Araujo",$B:$B,"&lt;&gt;Lucas Luiz Romero")*(20/1083),IF(C2091="Estágio",SUMIFS($D:$D,$A:$A,$A2091,$B:$B,"&lt;&gt;Patrícia Karla de Sousa Araújo",$B:$B,"&lt;&gt;Lorena Dias de Araujo",$B:$B,"&lt;&gt;Lucas Luiz Romero")*(10/1083),0)))))),0)</f>
        <v/>
      </c>
      <c r="K2091" s="3">
        <f>I2091-J2091</f>
        <v/>
      </c>
      <c r="L2091" s="3">
        <f>IF(K2091&lt;-5,"CRÍTICO",IF(K2091&lt;0,"ATENÇÃO",IF(K2091&lt;=5,"BOM","EXCELENTE")))</f>
        <v/>
      </c>
      <c r="M2091" t="n">
        <v>20</v>
      </c>
      <c r="N2091" t="n">
        <v>96.15000000000001</v>
      </c>
      <c r="O2091" t="n">
        <v>32.41379310344827</v>
      </c>
    </row>
    <row r="2092" hidden="1">
      <c r="A2092" s="11" t="n">
        <v>46065</v>
      </c>
      <c r="B2092" t="inlineStr">
        <is>
          <t>Rafael Gomes de Morais</t>
        </is>
      </c>
      <c r="C2092" t="inlineStr">
        <is>
          <t>Técnico III</t>
        </is>
      </c>
      <c r="D2092" t="n">
        <v>54</v>
      </c>
      <c r="E2092" t="n">
        <v>46</v>
      </c>
      <c r="F2092" t="n">
        <v>13.36</v>
      </c>
      <c r="G2092" t="n">
        <v>0</v>
      </c>
      <c r="H2092" t="n">
        <v>0</v>
      </c>
      <c r="I2092" s="3">
        <f>E2092+G2092+H2092</f>
        <v/>
      </c>
      <c r="J2092" s="3">
        <f>ROUND(MIN(IF(C2092="Técnico III",35,IF(C2092="Técnico II",28,IF(C2092="Técnico I",23,IF(C2092="JR",20,IF(C2092="Estágio",10,0))))),IF(C2092="Técnico III",SUMIFS($D:$D,$A:$A,$A2092,$B:$B,"&lt;&gt;Patrícia Karla de Sousa Araújo",$B:$B,"&lt;&gt;Lorena Dias de Araujo",$B:$B,"&lt;&gt;Lucas Luiz Romero")*(35/1083),IF(C2092="Técnico II",SUMIFS($D:$D,$A:$A,$A2092,$B:$B,"&lt;&gt;Patrícia Karla de Sousa Araújo",$B:$B,"&lt;&gt;Lorena Dias de Araujo",$B:$B,"&lt;&gt;Lucas Luiz Romero")*(28/1083),IF(C2092="Técnico I",SUMIFS($D:$D,$A:$A,$A2092,$B:$B,"&lt;&gt;Patrícia Karla de Sousa Araújo",$B:$B,"&lt;&gt;Lorena Dias de Araujo",$B:$B,"&lt;&gt;Lucas Luiz Romero")*(23/1083),IF(C2092="JR",SUMIFS($D:$D,$A:$A,$A2092,$B:$B,"&lt;&gt;Patrícia Karla de Sousa Araújo",$B:$B,"&lt;&gt;Lorena Dias de Araujo",$B:$B,"&lt;&gt;Lucas Luiz Romero")*(20/1083),IF(C2092="Estágio",SUMIFS($D:$D,$A:$A,$A2092,$B:$B,"&lt;&gt;Patrícia Karla de Sousa Araújo",$B:$B,"&lt;&gt;Lorena Dias de Araujo",$B:$B,"&lt;&gt;Lucas Luiz Romero")*(10/1083),0)))))),0)</f>
        <v/>
      </c>
      <c r="K2092" s="3">
        <f>I2092-J2092</f>
        <v/>
      </c>
      <c r="L2092" s="3">
        <f>IF(K2092&lt;-5,"CRÍTICO",IF(K2092&lt;0,"ATENÇÃO",IF(K2092&lt;=5,"BOM","EXCELENTE")))</f>
        <v/>
      </c>
      <c r="M2092" t="n">
        <v>43</v>
      </c>
      <c r="N2092" t="n">
        <v>100</v>
      </c>
      <c r="O2092" t="n">
        <v>29.2358803986711</v>
      </c>
    </row>
    <row r="2093" hidden="1">
      <c r="A2093" s="11" t="n">
        <v>46065</v>
      </c>
      <c r="B2093" t="inlineStr">
        <is>
          <t>Sara Maria Monteiro Lopes</t>
        </is>
      </c>
      <c r="C2093" t="inlineStr">
        <is>
          <t>Técnico I</t>
        </is>
      </c>
      <c r="D2093" t="n">
        <v>11</v>
      </c>
      <c r="E2093" t="n">
        <v>11</v>
      </c>
      <c r="F2093" t="n">
        <v>62</v>
      </c>
      <c r="G2093" t="n">
        <v>0</v>
      </c>
      <c r="H2093" t="n">
        <v>0</v>
      </c>
      <c r="I2093" s="3">
        <f>E2093+G2093+H2093</f>
        <v/>
      </c>
      <c r="J2093" s="3">
        <f>ROUND(MIN(IF(C2093="Técnico III",35,IF(C2093="Técnico II",28,IF(C2093="Técnico I",23,IF(C2093="JR",20,IF(C2093="Estágio",10,0))))),IF(C2093="Técnico III",SUMIFS($D:$D,$A:$A,$A2093,$B:$B,"&lt;&gt;Patrícia Karla de Sousa Araújo",$B:$B,"&lt;&gt;Lorena Dias de Araujo",$B:$B,"&lt;&gt;Lucas Luiz Romero")*(35/1083),IF(C2093="Técnico II",SUMIFS($D:$D,$A:$A,$A2093,$B:$B,"&lt;&gt;Patrícia Karla de Sousa Araújo",$B:$B,"&lt;&gt;Lorena Dias de Araujo",$B:$B,"&lt;&gt;Lucas Luiz Romero")*(28/1083),IF(C2093="Técnico I",SUMIFS($D:$D,$A:$A,$A2093,$B:$B,"&lt;&gt;Patrícia Karla de Sousa Araújo",$B:$B,"&lt;&gt;Lorena Dias de Araujo",$B:$B,"&lt;&gt;Lucas Luiz Romero")*(23/1083),IF(C2093="JR",SUMIFS($D:$D,$A:$A,$A2093,$B:$B,"&lt;&gt;Patrícia Karla de Sousa Araújo",$B:$B,"&lt;&gt;Lorena Dias de Araujo",$B:$B,"&lt;&gt;Lucas Luiz Romero")*(20/1083),IF(C2093="Estágio",SUMIFS($D:$D,$A:$A,$A2093,$B:$B,"&lt;&gt;Patrícia Karla de Sousa Araújo",$B:$B,"&lt;&gt;Lorena Dias de Araujo",$B:$B,"&lt;&gt;Lucas Luiz Romero")*(10/1083),0)))))),0)</f>
        <v/>
      </c>
      <c r="K2093" s="3">
        <f>I2093-J2093</f>
        <v/>
      </c>
      <c r="L2093" s="3">
        <f>IF(K2093&lt;-5,"CRÍTICO",IF(K2093&lt;0,"ATENÇÃO",IF(K2093&lt;=5,"BOM","EXCELENTE")))</f>
        <v/>
      </c>
      <c r="M2093" t="n">
        <v>7</v>
      </c>
      <c r="N2093" t="n">
        <v>96.88</v>
      </c>
      <c r="O2093" t="n">
        <v>31.03448275862069</v>
      </c>
    </row>
    <row r="2094" hidden="1">
      <c r="A2094" s="11" t="n">
        <v>46065</v>
      </c>
      <c r="B2094" t="inlineStr">
        <is>
          <t>Sarah Steffanie de Lima Borges</t>
        </is>
      </c>
      <c r="C2094" t="inlineStr">
        <is>
          <t>Técnico III</t>
        </is>
      </c>
      <c r="D2094" t="n">
        <v>29</v>
      </c>
      <c r="E2094" t="n">
        <v>29</v>
      </c>
      <c r="F2094" t="n">
        <v>25.29</v>
      </c>
      <c r="G2094" t="n">
        <v>0</v>
      </c>
      <c r="H2094" t="n">
        <v>0</v>
      </c>
      <c r="I2094" s="3">
        <f>E2094+G2094+H2094</f>
        <v/>
      </c>
      <c r="J2094" s="3">
        <f>ROUND(MIN(IF(C2094="Técnico III",35,IF(C2094="Técnico II",28,IF(C2094="Técnico I",23,IF(C2094="JR",20,IF(C2094="Estágio",10,0))))),IF(C2094="Técnico III",SUMIFS($D:$D,$A:$A,$A2094,$B:$B,"&lt;&gt;Patrícia Karla de Sousa Araújo",$B:$B,"&lt;&gt;Lorena Dias de Araujo",$B:$B,"&lt;&gt;Lucas Luiz Romero")*(35/1083),IF(C2094="Técnico II",SUMIFS($D:$D,$A:$A,$A2094,$B:$B,"&lt;&gt;Patrícia Karla de Sousa Araújo",$B:$B,"&lt;&gt;Lorena Dias de Araujo",$B:$B,"&lt;&gt;Lucas Luiz Romero")*(28/1083),IF(C2094="Técnico I",SUMIFS($D:$D,$A:$A,$A2094,$B:$B,"&lt;&gt;Patrícia Karla de Sousa Araújo",$B:$B,"&lt;&gt;Lorena Dias de Araujo",$B:$B,"&lt;&gt;Lucas Luiz Romero")*(23/1083),IF(C2094="JR",SUMIFS($D:$D,$A:$A,$A2094,$B:$B,"&lt;&gt;Patrícia Karla de Sousa Araújo",$B:$B,"&lt;&gt;Lorena Dias de Araujo",$B:$B,"&lt;&gt;Lucas Luiz Romero")*(20/1083),IF(C2094="Estágio",SUMIFS($D:$D,$A:$A,$A2094,$B:$B,"&lt;&gt;Patrícia Karla de Sousa Araújo",$B:$B,"&lt;&gt;Lorena Dias de Araujo",$B:$B,"&lt;&gt;Lucas Luiz Romero")*(10/1083),0)))))),0)</f>
        <v/>
      </c>
      <c r="K2094" s="3">
        <f>I2094-J2094</f>
        <v/>
      </c>
      <c r="L2094" s="3">
        <f>IF(K2094&lt;-5,"CRÍTICO",IF(K2094&lt;0,"ATENÇÃO",IF(K2094&lt;=5,"BOM","EXCELENTE")))</f>
        <v/>
      </c>
      <c r="M2094" t="n">
        <v>26</v>
      </c>
      <c r="N2094" t="n">
        <v>98.41</v>
      </c>
      <c r="O2094" t="n">
        <v>26.19926199261993</v>
      </c>
    </row>
    <row r="2095" hidden="1">
      <c r="A2095" s="11" t="n">
        <v>46066</v>
      </c>
      <c r="B2095" t="inlineStr">
        <is>
          <t>Alisson de Freitas Silva</t>
        </is>
      </c>
      <c r="C2095" t="inlineStr">
        <is>
          <t>Técnico II</t>
        </is>
      </c>
      <c r="D2095" t="n">
        <v>35</v>
      </c>
      <c r="E2095" t="n">
        <v>31</v>
      </c>
      <c r="F2095" t="n">
        <v>20.24</v>
      </c>
      <c r="G2095" t="n">
        <v>0</v>
      </c>
      <c r="H2095" t="n">
        <v>0</v>
      </c>
      <c r="I2095" s="3">
        <f>E2095+G2095+H2095</f>
        <v/>
      </c>
      <c r="J2095" s="3">
        <f>ROUND(MIN(IF(C2095="Técnico III",35,IF(C2095="Técnico II",28,IF(C2095="Técnico I",23,IF(C2095="JR",20,IF(C2095="Estágio",10,0))))),IF(C2095="Técnico III",SUMIFS($D:$D,$A:$A,$A2095,$B:$B,"&lt;&gt;Patrícia Karla de Sousa Araújo",$B:$B,"&lt;&gt;Lorena Dias de Araujo",$B:$B,"&lt;&gt;Lucas Luiz Romero")*(35/1083),IF(C2095="Técnico II",SUMIFS($D:$D,$A:$A,$A2095,$B:$B,"&lt;&gt;Patrícia Karla de Sousa Araújo",$B:$B,"&lt;&gt;Lorena Dias de Araujo",$B:$B,"&lt;&gt;Lucas Luiz Romero")*(28/1083),IF(C2095="Técnico I",SUMIFS($D:$D,$A:$A,$A2095,$B:$B,"&lt;&gt;Patrícia Karla de Sousa Araújo",$B:$B,"&lt;&gt;Lorena Dias de Araujo",$B:$B,"&lt;&gt;Lucas Luiz Romero")*(23/1083),IF(C2095="JR",SUMIFS($D:$D,$A:$A,$A2095,$B:$B,"&lt;&gt;Patrícia Karla de Sousa Araújo",$B:$B,"&lt;&gt;Lorena Dias de Araujo",$B:$B,"&lt;&gt;Lucas Luiz Romero")*(20/1083),IF(C2095="Estágio",SUMIFS($D:$D,$A:$A,$A2095,$B:$B,"&lt;&gt;Patrícia Karla de Sousa Araújo",$B:$B,"&lt;&gt;Lorena Dias de Araujo",$B:$B,"&lt;&gt;Lucas Luiz Romero")*(10/1083),0)))))),0)</f>
        <v/>
      </c>
      <c r="K2095" s="3">
        <f>I2095-J2095</f>
        <v/>
      </c>
      <c r="L2095" s="3">
        <f>IF(K2095&lt;-5,"CRÍTICO",IF(K2095&lt;0,"ATENÇÃO",IF(K2095&lt;=5,"BOM","EXCELENTE")))</f>
        <v/>
      </c>
      <c r="M2095" t="n">
        <v>27</v>
      </c>
      <c r="N2095" t="n">
        <v>97.26000000000001</v>
      </c>
      <c r="O2095" t="n">
        <v>29.13385826771653</v>
      </c>
    </row>
    <row r="2096" hidden="1">
      <c r="A2096" s="11" t="n">
        <v>46066</v>
      </c>
      <c r="B2096" t="inlineStr">
        <is>
          <t>Amanda Moura Ferreira</t>
        </is>
      </c>
      <c r="C2096" t="inlineStr">
        <is>
          <t>Técnico III</t>
        </is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s="3" t="n">
        <v>0</v>
      </c>
      <c r="J2096" s="3" t="n">
        <v>0</v>
      </c>
      <c r="K2096" s="3" t="n">
        <v>0</v>
      </c>
      <c r="L2096" s="3">
        <f>IF(K2096&lt;-5,"CRÍTICO",IF(K2096&lt;0,"ATENÇÃO",IF(K2096&lt;=5,"BOM","EXCELENTE")))</f>
        <v/>
      </c>
      <c r="M2096" t="n">
        <v>28</v>
      </c>
      <c r="N2096" t="n">
        <v>98.84</v>
      </c>
      <c r="O2096" t="n">
        <v>27.81456953642384</v>
      </c>
    </row>
    <row r="2097" hidden="1">
      <c r="A2097" s="11" t="n">
        <v>46066</v>
      </c>
      <c r="B2097" t="inlineStr">
        <is>
          <t>Ana Karollyne Souza Faria</t>
        </is>
      </c>
      <c r="C2097" t="inlineStr">
        <is>
          <t>Técnico I</t>
        </is>
      </c>
      <c r="D2097" t="n">
        <v>18</v>
      </c>
      <c r="E2097" t="n">
        <v>16</v>
      </c>
      <c r="F2097" t="n">
        <v>28.58</v>
      </c>
      <c r="G2097" t="n">
        <v>0</v>
      </c>
      <c r="H2097" t="n">
        <v>0</v>
      </c>
      <c r="I2097" s="3">
        <f>E2097+G2097+H2097</f>
        <v/>
      </c>
      <c r="J2097" s="3">
        <f>ROUND(MIN(IF(C2097="Técnico III",35,IF(C2097="Técnico II",28,IF(C2097="Técnico I",23,IF(C2097="JR",20,IF(C2097="Estágio",10,0))))),IF(C2097="Técnico III",SUMIFS($D:$D,$A:$A,$A2097,$B:$B,"&lt;&gt;Patrícia Karla de Sousa Araújo",$B:$B,"&lt;&gt;Lorena Dias de Araujo",$B:$B,"&lt;&gt;Lucas Luiz Romero")*(35/1083),IF(C2097="Técnico II",SUMIFS($D:$D,$A:$A,$A2097,$B:$B,"&lt;&gt;Patrícia Karla de Sousa Araújo",$B:$B,"&lt;&gt;Lorena Dias de Araujo",$B:$B,"&lt;&gt;Lucas Luiz Romero")*(28/1083),IF(C2097="Técnico I",SUMIFS($D:$D,$A:$A,$A2097,$B:$B,"&lt;&gt;Patrícia Karla de Sousa Araújo",$B:$B,"&lt;&gt;Lorena Dias de Araujo",$B:$B,"&lt;&gt;Lucas Luiz Romero")*(23/1083),IF(C2097="JR",SUMIFS($D:$D,$A:$A,$A2097,$B:$B,"&lt;&gt;Patrícia Karla de Sousa Araújo",$B:$B,"&lt;&gt;Lorena Dias de Araujo",$B:$B,"&lt;&gt;Lucas Luiz Romero")*(20/1083),IF(C2097="Estágio",SUMIFS($D:$D,$A:$A,$A2097,$B:$B,"&lt;&gt;Patrícia Karla de Sousa Araújo",$B:$B,"&lt;&gt;Lorena Dias de Araujo",$B:$B,"&lt;&gt;Lucas Luiz Romero")*(10/1083),0)))))),0)</f>
        <v/>
      </c>
      <c r="K2097" s="3">
        <f>I2097-J2097</f>
        <v/>
      </c>
      <c r="L2097" s="3">
        <f>IF(K2097&lt;-5,"CRÍTICO",IF(K2097&lt;0,"ATENÇÃO",IF(K2097&lt;=5,"BOM","EXCELENTE")))</f>
        <v/>
      </c>
      <c r="M2097" t="n">
        <v>16</v>
      </c>
      <c r="N2097" t="n">
        <v>100</v>
      </c>
      <c r="O2097" t="n">
        <v>29.31726907630522</v>
      </c>
    </row>
    <row r="2098" hidden="1">
      <c r="A2098" s="11" t="n">
        <v>46066</v>
      </c>
      <c r="B2098" t="inlineStr">
        <is>
          <t>Ana Paula Da Luz Silva Aleixo</t>
        </is>
      </c>
      <c r="C2098" t="inlineStr">
        <is>
          <t>Técnico III</t>
        </is>
      </c>
      <c r="D2098" t="n">
        <v>20</v>
      </c>
      <c r="E2098" t="n">
        <v>17</v>
      </c>
      <c r="F2098" t="n">
        <v>27.07</v>
      </c>
      <c r="G2098" t="n">
        <v>0</v>
      </c>
      <c r="H2098" t="n">
        <v>0</v>
      </c>
      <c r="I2098" s="3">
        <f>E2098+G2098+H2098</f>
        <v/>
      </c>
      <c r="J2098" s="3">
        <f>ROUND(MIN(IF(C2098="Técnico III",35,IF(C2098="Técnico II",28,IF(C2098="Técnico I",23,IF(C2098="JR",20,IF(C2098="Estágio",10,0))))),IF(C2098="Técnico III",SUMIFS($D:$D,$A:$A,$A2098,$B:$B,"&lt;&gt;Patrícia Karla de Sousa Araújo",$B:$B,"&lt;&gt;Lorena Dias de Araujo",$B:$B,"&lt;&gt;Lucas Luiz Romero")*(35/1083),IF(C2098="Técnico II",SUMIFS($D:$D,$A:$A,$A2098,$B:$B,"&lt;&gt;Patrícia Karla de Sousa Araújo",$B:$B,"&lt;&gt;Lorena Dias de Araujo",$B:$B,"&lt;&gt;Lucas Luiz Romero")*(28/1083),IF(C2098="Técnico I",SUMIFS($D:$D,$A:$A,$A2098,$B:$B,"&lt;&gt;Patrícia Karla de Sousa Araújo",$B:$B,"&lt;&gt;Lorena Dias de Araujo",$B:$B,"&lt;&gt;Lucas Luiz Romero")*(23/1083),IF(C2098="JR",SUMIFS($D:$D,$A:$A,$A2098,$B:$B,"&lt;&gt;Patrícia Karla de Sousa Araújo",$B:$B,"&lt;&gt;Lorena Dias de Araujo",$B:$B,"&lt;&gt;Lucas Luiz Romero")*(20/1083),IF(C2098="Estágio",SUMIFS($D:$D,$A:$A,$A2098,$B:$B,"&lt;&gt;Patrícia Karla de Sousa Araújo",$B:$B,"&lt;&gt;Lorena Dias de Araujo",$B:$B,"&lt;&gt;Lucas Luiz Romero")*(10/1083),0)))))),0)</f>
        <v/>
      </c>
      <c r="K2098" s="3">
        <f>I2098-J2098</f>
        <v/>
      </c>
      <c r="L2098" s="3">
        <f>IF(K2098&lt;-5,"CRÍTICO",IF(K2098&lt;0,"ATENÇÃO",IF(K2098&lt;=5,"BOM","EXCELENTE")))</f>
        <v/>
      </c>
      <c r="M2098" t="n">
        <v>17</v>
      </c>
      <c r="N2098" t="n">
        <v>100</v>
      </c>
      <c r="O2098" t="n">
        <v>23.7410071942446</v>
      </c>
    </row>
    <row r="2099" hidden="1">
      <c r="A2099" s="11" t="n">
        <v>46066</v>
      </c>
      <c r="B2099" t="inlineStr">
        <is>
          <t>Anna Luiza Rezende Tavares</t>
        </is>
      </c>
      <c r="C2099" t="inlineStr">
        <is>
          <t>Estágio</t>
        </is>
      </c>
      <c r="D2099" t="n">
        <v>9</v>
      </c>
      <c r="E2099" t="n">
        <v>8</v>
      </c>
      <c r="F2099" t="n">
        <v>45.3</v>
      </c>
      <c r="G2099" t="n">
        <v>0</v>
      </c>
      <c r="H2099" t="n">
        <v>0</v>
      </c>
      <c r="I2099" s="3">
        <f>E2099+G2099+H2099</f>
        <v/>
      </c>
      <c r="J2099" s="3">
        <f>ROUND(MIN(IF(C2099="Técnico III",35,IF(C2099="Técnico II",28,IF(C2099="Técnico I",23,IF(C2099="JR",20,IF(C2099="Estágio",10,0))))),IF(C2099="Técnico III",SUMIFS($D:$D,$A:$A,$A2099,$B:$B,"&lt;&gt;Patrícia Karla de Sousa Araújo",$B:$B,"&lt;&gt;Lorena Dias de Araujo",$B:$B,"&lt;&gt;Lucas Luiz Romero")*(35/1083),IF(C2099="Técnico II",SUMIFS($D:$D,$A:$A,$A2099,$B:$B,"&lt;&gt;Patrícia Karla de Sousa Araújo",$B:$B,"&lt;&gt;Lorena Dias de Araujo",$B:$B,"&lt;&gt;Lucas Luiz Romero")*(28/1083),IF(C2099="Técnico I",SUMIFS($D:$D,$A:$A,$A2099,$B:$B,"&lt;&gt;Patrícia Karla de Sousa Araújo",$B:$B,"&lt;&gt;Lorena Dias de Araujo",$B:$B,"&lt;&gt;Lucas Luiz Romero")*(23/1083),IF(C2099="JR",SUMIFS($D:$D,$A:$A,$A2099,$B:$B,"&lt;&gt;Patrícia Karla de Sousa Araújo",$B:$B,"&lt;&gt;Lorena Dias de Araujo",$B:$B,"&lt;&gt;Lucas Luiz Romero")*(20/1083),IF(C2099="Estágio",SUMIFS($D:$D,$A:$A,$A2099,$B:$B,"&lt;&gt;Patrícia Karla de Sousa Araújo",$B:$B,"&lt;&gt;Lorena Dias de Araujo",$B:$B,"&lt;&gt;Lucas Luiz Romero")*(10/1083),0)))))),0)</f>
        <v/>
      </c>
      <c r="K2099" s="3">
        <f>I2099-J2099</f>
        <v/>
      </c>
      <c r="L2099" s="3">
        <f>IF(K2099&lt;-5,"CRÍTICO",IF(K2099&lt;0,"ATENÇÃO",IF(K2099&lt;=5,"BOM","EXCELENTE")))</f>
        <v/>
      </c>
      <c r="M2099" t="n">
        <v>7</v>
      </c>
      <c r="N2099" t="n">
        <v>100</v>
      </c>
      <c r="O2099" t="n">
        <v>32.75862068965517</v>
      </c>
    </row>
    <row r="2100" hidden="1">
      <c r="A2100" s="11" t="n">
        <v>46066</v>
      </c>
      <c r="B2100" t="inlineStr">
        <is>
          <t>Brenda de Menezes Silva</t>
        </is>
      </c>
      <c r="C2100" t="inlineStr">
        <is>
          <t>Técnico II</t>
        </is>
      </c>
      <c r="D2100" t="n">
        <v>32</v>
      </c>
      <c r="E2100" t="n">
        <v>30</v>
      </c>
      <c r="F2100" t="n">
        <v>23.36</v>
      </c>
      <c r="G2100" t="n">
        <v>0</v>
      </c>
      <c r="H2100" t="n">
        <v>0</v>
      </c>
      <c r="I2100" s="3">
        <f>E2100+G2100+H2100</f>
        <v/>
      </c>
      <c r="J2100" s="3">
        <f>ROUND(MIN(IF(C2100="Técnico III",35,IF(C2100="Técnico II",28,IF(C2100="Técnico I",23,IF(C2100="JR",20,IF(C2100="Estágio",10,0))))),IF(C2100="Técnico III",SUMIFS($D:$D,$A:$A,$A2100,$B:$B,"&lt;&gt;Patrícia Karla de Sousa Araújo",$B:$B,"&lt;&gt;Lorena Dias de Araujo",$B:$B,"&lt;&gt;Lucas Luiz Romero")*(35/1083),IF(C2100="Técnico II",SUMIFS($D:$D,$A:$A,$A2100,$B:$B,"&lt;&gt;Patrícia Karla de Sousa Araújo",$B:$B,"&lt;&gt;Lorena Dias de Araujo",$B:$B,"&lt;&gt;Lucas Luiz Romero")*(28/1083),IF(C2100="Técnico I",SUMIFS($D:$D,$A:$A,$A2100,$B:$B,"&lt;&gt;Patrícia Karla de Sousa Araújo",$B:$B,"&lt;&gt;Lorena Dias de Araujo",$B:$B,"&lt;&gt;Lucas Luiz Romero")*(23/1083),IF(C2100="JR",SUMIFS($D:$D,$A:$A,$A2100,$B:$B,"&lt;&gt;Patrícia Karla de Sousa Araújo",$B:$B,"&lt;&gt;Lorena Dias de Araujo",$B:$B,"&lt;&gt;Lucas Luiz Romero")*(20/1083),IF(C2100="Estágio",SUMIFS($D:$D,$A:$A,$A2100,$B:$B,"&lt;&gt;Patrícia Karla de Sousa Araújo",$B:$B,"&lt;&gt;Lorena Dias de Araujo",$B:$B,"&lt;&gt;Lucas Luiz Romero")*(10/1083),0)))))),0)</f>
        <v/>
      </c>
      <c r="K2100" s="3">
        <f>I2100-J2100</f>
        <v/>
      </c>
      <c r="L2100" s="3">
        <f>IF(K2100&lt;-5,"CRÍTICO",IF(K2100&lt;0,"ATENÇÃO",IF(K2100&lt;=5,"BOM","EXCELENTE")))</f>
        <v/>
      </c>
      <c r="M2100" t="n">
        <v>31</v>
      </c>
      <c r="N2100" t="n">
        <v>100</v>
      </c>
      <c r="O2100" t="n">
        <v>29.86111111111111</v>
      </c>
    </row>
    <row r="2101" hidden="1">
      <c r="A2101" s="11" t="n">
        <v>46066</v>
      </c>
      <c r="B2101" t="inlineStr">
        <is>
          <t>Carlos Mateus Cassimiro Nunes</t>
        </is>
      </c>
      <c r="C2101" t="inlineStr">
        <is>
          <t>Técnico II</t>
        </is>
      </c>
      <c r="D2101" t="n">
        <v>17</v>
      </c>
      <c r="E2101" t="n">
        <v>16</v>
      </c>
      <c r="F2101" t="n">
        <v>35.24</v>
      </c>
      <c r="G2101" t="n">
        <v>0</v>
      </c>
      <c r="H2101" t="n">
        <v>0</v>
      </c>
      <c r="I2101" s="3">
        <f>E2101+G2101+H2101</f>
        <v/>
      </c>
      <c r="J2101" s="3">
        <f>ROUND(MIN(IF(C2101="Técnico III",35,IF(C2101="Técnico II",28,IF(C2101="Técnico I",23,IF(C2101="JR",20,IF(C2101="Estágio",10,0))))),IF(C2101="Técnico III",SUMIFS($D:$D,$A:$A,$A2101,$B:$B,"&lt;&gt;Patrícia Karla de Sousa Araújo",$B:$B,"&lt;&gt;Lorena Dias de Araujo",$B:$B,"&lt;&gt;Lucas Luiz Romero")*(35/1083),IF(C2101="Técnico II",SUMIFS($D:$D,$A:$A,$A2101,$B:$B,"&lt;&gt;Patrícia Karla de Sousa Araújo",$B:$B,"&lt;&gt;Lorena Dias de Araujo",$B:$B,"&lt;&gt;Lucas Luiz Romero")*(28/1083),IF(C2101="Técnico I",SUMIFS($D:$D,$A:$A,$A2101,$B:$B,"&lt;&gt;Patrícia Karla de Sousa Araújo",$B:$B,"&lt;&gt;Lorena Dias de Araujo",$B:$B,"&lt;&gt;Lucas Luiz Romero")*(23/1083),IF(C2101="JR",SUMIFS($D:$D,$A:$A,$A2101,$B:$B,"&lt;&gt;Patrícia Karla de Sousa Araújo",$B:$B,"&lt;&gt;Lorena Dias de Araujo",$B:$B,"&lt;&gt;Lucas Luiz Romero")*(20/1083),IF(C2101="Estágio",SUMIFS($D:$D,$A:$A,$A2101,$B:$B,"&lt;&gt;Patrícia Karla de Sousa Araújo",$B:$B,"&lt;&gt;Lorena Dias de Araujo",$B:$B,"&lt;&gt;Lucas Luiz Romero")*(10/1083),0)))))),0)</f>
        <v/>
      </c>
      <c r="K2101" s="3">
        <f>I2101-J2101</f>
        <v/>
      </c>
      <c r="L2101" s="3">
        <f>IF(K2101&lt;-5,"CRÍTICO",IF(K2101&lt;0,"ATENÇÃO",IF(K2101&lt;=5,"BOM","EXCELENTE")))</f>
        <v/>
      </c>
      <c r="M2101" t="n">
        <v>18</v>
      </c>
      <c r="N2101" t="n">
        <v>100</v>
      </c>
      <c r="O2101" t="n">
        <v>33.17757009345794</v>
      </c>
    </row>
    <row r="2102" hidden="1">
      <c r="A2102" s="11" t="n">
        <v>46066</v>
      </c>
      <c r="B2102" t="inlineStr">
        <is>
          <t>Claudio de Sousa Velasco Filho</t>
        </is>
      </c>
      <c r="C2102" t="inlineStr">
        <is>
          <t>Estágio</t>
        </is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s="3" t="n">
        <v>0</v>
      </c>
      <c r="J2102" s="3" t="n">
        <v>0</v>
      </c>
      <c r="K2102" s="3" t="n">
        <v>0</v>
      </c>
      <c r="L2102" s="3">
        <f>IF(K2102&lt;-5,"CRÍTICO",IF(K2102&lt;0,"ATENÇÃO",IF(K2102&lt;=5,"BOM","EXCELENTE")))</f>
        <v/>
      </c>
      <c r="M2102" t="n">
        <v>0</v>
      </c>
      <c r="N2102" t="n">
        <v>0</v>
      </c>
      <c r="O2102" t="n">
        <v>0</v>
      </c>
    </row>
    <row r="2103" hidden="1">
      <c r="A2103" s="11" t="n">
        <v>46066</v>
      </c>
      <c r="B2103" t="inlineStr">
        <is>
          <t>Clessiane Pereira dos Santos</t>
        </is>
      </c>
      <c r="C2103" t="inlineStr">
        <is>
          <t>Técnico I</t>
        </is>
      </c>
      <c r="D2103" t="n">
        <v>26</v>
      </c>
      <c r="E2103" t="n">
        <v>8</v>
      </c>
      <c r="F2103" t="n">
        <v>8.58</v>
      </c>
      <c r="G2103" t="n">
        <v>0</v>
      </c>
      <c r="H2103" t="n">
        <v>0</v>
      </c>
      <c r="I2103" s="3">
        <f>E2103+G2103+H2103</f>
        <v/>
      </c>
      <c r="J2103" s="3">
        <f>ROUND(MIN(IF(C2103="Técnico III",35,IF(C2103="Técnico II",28,IF(C2103="Técnico I",23,IF(C2103="JR",20,IF(C2103="Estágio",10,0))))),IF(C2103="Técnico III",SUMIFS($D:$D,$A:$A,$A2103,$B:$B,"&lt;&gt;Patrícia Karla de Sousa Araújo",$B:$B,"&lt;&gt;Lorena Dias de Araujo",$B:$B,"&lt;&gt;Lucas Luiz Romero")*(35/1083),IF(C2103="Técnico II",SUMIFS($D:$D,$A:$A,$A2103,$B:$B,"&lt;&gt;Patrícia Karla de Sousa Araújo",$B:$B,"&lt;&gt;Lorena Dias de Araujo",$B:$B,"&lt;&gt;Lucas Luiz Romero")*(28/1083),IF(C2103="Técnico I",SUMIFS($D:$D,$A:$A,$A2103,$B:$B,"&lt;&gt;Patrícia Karla de Sousa Araújo",$B:$B,"&lt;&gt;Lorena Dias de Araujo",$B:$B,"&lt;&gt;Lucas Luiz Romero")*(23/1083),IF(C2103="JR",SUMIFS($D:$D,$A:$A,$A2103,$B:$B,"&lt;&gt;Patrícia Karla de Sousa Araújo",$B:$B,"&lt;&gt;Lorena Dias de Araujo",$B:$B,"&lt;&gt;Lucas Luiz Romero")*(20/1083),IF(C2103="Estágio",SUMIFS($D:$D,$A:$A,$A2103,$B:$B,"&lt;&gt;Patrícia Karla de Sousa Araújo",$B:$B,"&lt;&gt;Lorena Dias de Araujo",$B:$B,"&lt;&gt;Lucas Luiz Romero")*(10/1083),0)))))),0)</f>
        <v/>
      </c>
      <c r="K2103" s="3">
        <f>I2103-J2103</f>
        <v/>
      </c>
      <c r="L2103" s="3">
        <f>IF(K2103&lt;-5,"CRÍTICO",IF(K2103&lt;0,"ATENÇÃO",IF(K2103&lt;=5,"BOM","EXCELENTE")))</f>
        <v/>
      </c>
      <c r="M2103" t="n">
        <v>17</v>
      </c>
      <c r="N2103" t="n">
        <v>100</v>
      </c>
      <c r="O2103" t="n">
        <v>22.72727272727273</v>
      </c>
    </row>
    <row r="2104" hidden="1">
      <c r="A2104" s="11" t="n">
        <v>46066</v>
      </c>
      <c r="B2104" t="inlineStr">
        <is>
          <t>Cristiane Ramos da Silva Rocha</t>
        </is>
      </c>
      <c r="C2104" t="inlineStr">
        <is>
          <t>Técnico III</t>
        </is>
      </c>
      <c r="D2104" t="n">
        <v>46</v>
      </c>
      <c r="E2104" t="n">
        <v>38</v>
      </c>
      <c r="F2104" t="n">
        <v>14.14</v>
      </c>
      <c r="G2104" t="n">
        <v>0</v>
      </c>
      <c r="H2104" t="n">
        <v>0</v>
      </c>
      <c r="I2104" s="3">
        <f>E2104+G2104+H2104</f>
        <v/>
      </c>
      <c r="J2104" s="3">
        <f>ROUND(MIN(IF(C2104="Técnico III",35,IF(C2104="Técnico II",28,IF(C2104="Técnico I",23,IF(C2104="JR",20,IF(C2104="Estágio",10,0))))),IF(C2104="Técnico III",SUMIFS($D:$D,$A:$A,$A2104,$B:$B,"&lt;&gt;Patrícia Karla de Sousa Araújo",$B:$B,"&lt;&gt;Lorena Dias de Araujo",$B:$B,"&lt;&gt;Lucas Luiz Romero")*(35/1083),IF(C2104="Técnico II",SUMIFS($D:$D,$A:$A,$A2104,$B:$B,"&lt;&gt;Patrícia Karla de Sousa Araújo",$B:$B,"&lt;&gt;Lorena Dias de Araujo",$B:$B,"&lt;&gt;Lucas Luiz Romero")*(28/1083),IF(C2104="Técnico I",SUMIFS($D:$D,$A:$A,$A2104,$B:$B,"&lt;&gt;Patrícia Karla de Sousa Araújo",$B:$B,"&lt;&gt;Lorena Dias de Araujo",$B:$B,"&lt;&gt;Lucas Luiz Romero")*(23/1083),IF(C2104="JR",SUMIFS($D:$D,$A:$A,$A2104,$B:$B,"&lt;&gt;Patrícia Karla de Sousa Araújo",$B:$B,"&lt;&gt;Lorena Dias de Araujo",$B:$B,"&lt;&gt;Lucas Luiz Romero")*(20/1083),IF(C2104="Estágio",SUMIFS($D:$D,$A:$A,$A2104,$B:$B,"&lt;&gt;Patrícia Karla de Sousa Araújo",$B:$B,"&lt;&gt;Lorena Dias de Araujo",$B:$B,"&lt;&gt;Lucas Luiz Romero")*(10/1083),0)))))),0)</f>
        <v/>
      </c>
      <c r="K2104" s="3">
        <f>I2104-J2104</f>
        <v/>
      </c>
      <c r="L2104" s="3">
        <f>IF(K2104&lt;-5,"CRÍTICO",IF(K2104&lt;0,"ATENÇÃO",IF(K2104&lt;=5,"BOM","EXCELENTE")))</f>
        <v/>
      </c>
      <c r="M2104" t="n">
        <v>42</v>
      </c>
      <c r="N2104" t="n">
        <v>96.40000000000001</v>
      </c>
      <c r="O2104" t="n">
        <v>33.71428571428572</v>
      </c>
    </row>
    <row r="2105" hidden="1">
      <c r="A2105" s="11" t="n">
        <v>46066</v>
      </c>
      <c r="B2105" t="inlineStr">
        <is>
          <t>Damyllis Lorraine de Oliveira Gonçalves</t>
        </is>
      </c>
      <c r="C2105" t="inlineStr">
        <is>
          <t>Técnico II</t>
        </is>
      </c>
      <c r="D2105" t="n">
        <v>21</v>
      </c>
      <c r="E2105" t="n">
        <v>18</v>
      </c>
      <c r="F2105" t="n">
        <v>35.57</v>
      </c>
      <c r="G2105" t="n">
        <v>0</v>
      </c>
      <c r="H2105" t="n">
        <v>0</v>
      </c>
      <c r="I2105" s="3" t="n">
        <v>0</v>
      </c>
      <c r="J2105" s="3" t="n">
        <v>0</v>
      </c>
      <c r="K2105" s="3" t="n">
        <v>0</v>
      </c>
      <c r="L2105" s="3">
        <f>IF(K2105&lt;-5,"CRÍTICO",IF(K2105&lt;0,"ATENÇÃO",IF(K2105&lt;=5,"BOM","EXCELENTE")))</f>
        <v/>
      </c>
      <c r="M2105" t="n">
        <v>21</v>
      </c>
      <c r="N2105" t="n">
        <v>100</v>
      </c>
      <c r="O2105" t="n">
        <v>26.13636363636364</v>
      </c>
    </row>
    <row r="2106" hidden="1">
      <c r="A2106" s="11" t="n">
        <v>46066</v>
      </c>
      <c r="B2106" t="inlineStr">
        <is>
          <t>Daniel Gomes da Silva</t>
        </is>
      </c>
      <c r="C2106" t="inlineStr">
        <is>
          <t>Técnico I</t>
        </is>
      </c>
      <c r="D2106" t="n">
        <v>12</v>
      </c>
      <c r="E2106" t="n">
        <v>12</v>
      </c>
      <c r="F2106" t="n">
        <v>51.55</v>
      </c>
      <c r="G2106" t="n">
        <v>0</v>
      </c>
      <c r="H2106" t="n">
        <v>0</v>
      </c>
      <c r="I2106" s="3">
        <f>E2106+G2106+H2106</f>
        <v/>
      </c>
      <c r="J2106" s="3">
        <f>ROUND(MIN(IF(C2106="Técnico III",35,IF(C2106="Técnico II",28,IF(C2106="Técnico I",23,IF(C2106="JR",20,IF(C2106="Estágio",10,0))))),IF(C2106="Técnico III",SUMIFS($D:$D,$A:$A,$A2106,$B:$B,"&lt;&gt;Patrícia Karla de Sousa Araújo",$B:$B,"&lt;&gt;Lorena Dias de Araujo",$B:$B,"&lt;&gt;Lucas Luiz Romero")*(35/1083),IF(C2106="Técnico II",SUMIFS($D:$D,$A:$A,$A2106,$B:$B,"&lt;&gt;Patrícia Karla de Sousa Araújo",$B:$B,"&lt;&gt;Lorena Dias de Araujo",$B:$B,"&lt;&gt;Lucas Luiz Romero")*(28/1083),IF(C2106="Técnico I",SUMIFS($D:$D,$A:$A,$A2106,$B:$B,"&lt;&gt;Patrícia Karla de Sousa Araújo",$B:$B,"&lt;&gt;Lorena Dias de Araujo",$B:$B,"&lt;&gt;Lucas Luiz Romero")*(23/1083),IF(C2106="JR",SUMIFS($D:$D,$A:$A,$A2106,$B:$B,"&lt;&gt;Patrícia Karla de Sousa Araújo",$B:$B,"&lt;&gt;Lorena Dias de Araujo",$B:$B,"&lt;&gt;Lucas Luiz Romero")*(20/1083),IF(C2106="Estágio",SUMIFS($D:$D,$A:$A,$A2106,$B:$B,"&lt;&gt;Patrícia Karla de Sousa Araújo",$B:$B,"&lt;&gt;Lorena Dias de Araujo",$B:$B,"&lt;&gt;Lucas Luiz Romero")*(10/1083),0)))))),0)</f>
        <v/>
      </c>
      <c r="K2106" s="3">
        <f>I2106-J2106</f>
        <v/>
      </c>
      <c r="L2106" s="3">
        <f>IF(K2106&lt;-5,"CRÍTICO",IF(K2106&lt;0,"ATENÇÃO",IF(K2106&lt;=5,"BOM","EXCELENTE")))</f>
        <v/>
      </c>
      <c r="M2106" t="n">
        <v>9</v>
      </c>
      <c r="N2106" t="n">
        <v>100</v>
      </c>
      <c r="O2106" t="n">
        <v>27.77777777777778</v>
      </c>
    </row>
    <row r="2107" hidden="1">
      <c r="A2107" s="11" t="n">
        <v>46066</v>
      </c>
      <c r="B2107" t="inlineStr">
        <is>
          <t>Davylla Rodrigues Freitas Silva</t>
        </is>
      </c>
      <c r="C2107" t="inlineStr">
        <is>
          <t>Técnico III</t>
        </is>
      </c>
      <c r="D2107" t="n">
        <v>29</v>
      </c>
      <c r="E2107" t="n">
        <v>28</v>
      </c>
      <c r="F2107" t="n">
        <v>27.38</v>
      </c>
      <c r="G2107" t="n">
        <v>0</v>
      </c>
      <c r="H2107" t="n">
        <v>0</v>
      </c>
      <c r="I2107" s="3" t="n">
        <v>0</v>
      </c>
      <c r="J2107" s="3" t="n">
        <v>0</v>
      </c>
      <c r="K2107" s="3" t="n">
        <v>0</v>
      </c>
      <c r="L2107" s="3">
        <f>IF(K2107&lt;-5,"CRÍTICO",IF(K2107&lt;0,"ATENÇÃO",IF(K2107&lt;=5,"BOM","EXCELENTE")))</f>
        <v/>
      </c>
      <c r="M2107" t="n">
        <v>28</v>
      </c>
      <c r="N2107" t="n">
        <v>100</v>
      </c>
      <c r="O2107" t="n">
        <v>34.3042071197411</v>
      </c>
    </row>
    <row r="2108" hidden="1">
      <c r="A2108" s="11" t="n">
        <v>46066</v>
      </c>
      <c r="B2108" t="inlineStr">
        <is>
          <t>Emilly Caylane Costa</t>
        </is>
      </c>
      <c r="C2108" t="inlineStr">
        <is>
          <t>Estágio</t>
        </is>
      </c>
      <c r="D2108" t="n">
        <v>46</v>
      </c>
      <c r="E2108" t="n">
        <v>33</v>
      </c>
      <c r="F2108" t="n">
        <v>7.18</v>
      </c>
      <c r="G2108" t="n">
        <v>0</v>
      </c>
      <c r="H2108" t="n">
        <v>0</v>
      </c>
      <c r="I2108" s="3">
        <f>E2108+G2108+H2108</f>
        <v/>
      </c>
      <c r="J2108" s="3">
        <f>ROUND(MIN(IF(C2108="Técnico III",35,IF(C2108="Técnico II",28,IF(C2108="Técnico I",23,IF(C2108="JR",20,IF(C2108="Estágio",10,0))))),IF(C2108="Técnico III",SUMIFS($D:$D,$A:$A,$A2108,$B:$B,"&lt;&gt;Patrícia Karla de Sousa Araújo",$B:$B,"&lt;&gt;Lorena Dias de Araujo",$B:$B,"&lt;&gt;Lucas Luiz Romero")*(35/1083),IF(C2108="Técnico II",SUMIFS($D:$D,$A:$A,$A2108,$B:$B,"&lt;&gt;Patrícia Karla de Sousa Araújo",$B:$B,"&lt;&gt;Lorena Dias de Araujo",$B:$B,"&lt;&gt;Lucas Luiz Romero")*(28/1083),IF(C2108="Técnico I",SUMIFS($D:$D,$A:$A,$A2108,$B:$B,"&lt;&gt;Patrícia Karla de Sousa Araújo",$B:$B,"&lt;&gt;Lorena Dias de Araujo",$B:$B,"&lt;&gt;Lucas Luiz Romero")*(23/1083),IF(C2108="JR",SUMIFS($D:$D,$A:$A,$A2108,$B:$B,"&lt;&gt;Patrícia Karla de Sousa Araújo",$B:$B,"&lt;&gt;Lorena Dias de Araujo",$B:$B,"&lt;&gt;Lucas Luiz Romero")*(20/1083),IF(C2108="Estágio",SUMIFS($D:$D,$A:$A,$A2108,$B:$B,"&lt;&gt;Patrícia Karla de Sousa Araújo",$B:$B,"&lt;&gt;Lorena Dias de Araujo",$B:$B,"&lt;&gt;Lucas Luiz Romero")*(10/1083),0)))))),0)</f>
        <v/>
      </c>
      <c r="K2108" s="3">
        <f>I2108-J2108</f>
        <v/>
      </c>
      <c r="L2108" s="3">
        <f>IF(K2108&lt;-5,"CRÍTICO",IF(K2108&lt;0,"ATENÇÃO",IF(K2108&lt;=5,"BOM","EXCELENTE")))</f>
        <v/>
      </c>
      <c r="M2108" t="n">
        <v>2</v>
      </c>
      <c r="N2108" t="n">
        <v>75</v>
      </c>
      <c r="O2108" t="n">
        <v>45.83333333333333</v>
      </c>
    </row>
    <row r="2109" hidden="1">
      <c r="A2109" s="11" t="n">
        <v>46066</v>
      </c>
      <c r="B2109" t="inlineStr">
        <is>
          <t>Emilly Kamilly Medeiros Miranda</t>
        </is>
      </c>
      <c r="C2109" t="inlineStr">
        <is>
          <t>Técnico II</t>
        </is>
      </c>
      <c r="D2109" t="n">
        <v>18</v>
      </c>
      <c r="E2109" t="n">
        <v>16</v>
      </c>
      <c r="F2109" t="n">
        <v>23.47</v>
      </c>
      <c r="G2109" t="n">
        <v>0</v>
      </c>
      <c r="H2109" t="n">
        <v>0</v>
      </c>
      <c r="I2109" s="3">
        <f>E2109+G2109+H2109</f>
        <v/>
      </c>
      <c r="J2109" s="3">
        <f>ROUND(MIN(IF(C2109="Técnico III",35,IF(C2109="Técnico II",28,IF(C2109="Técnico I",23,IF(C2109="JR",20,IF(C2109="Estágio",10,0))))),IF(C2109="Técnico III",SUMIFS($D:$D,$A:$A,$A2109,$B:$B,"&lt;&gt;Patrícia Karla de Sousa Araújo",$B:$B,"&lt;&gt;Lorena Dias de Araujo",$B:$B,"&lt;&gt;Lucas Luiz Romero")*(35/1083),IF(C2109="Técnico II",SUMIFS($D:$D,$A:$A,$A2109,$B:$B,"&lt;&gt;Patrícia Karla de Sousa Araújo",$B:$B,"&lt;&gt;Lorena Dias de Araujo",$B:$B,"&lt;&gt;Lucas Luiz Romero")*(28/1083),IF(C2109="Técnico I",SUMIFS($D:$D,$A:$A,$A2109,$B:$B,"&lt;&gt;Patrícia Karla de Sousa Araújo",$B:$B,"&lt;&gt;Lorena Dias de Araujo",$B:$B,"&lt;&gt;Lucas Luiz Romero")*(23/1083),IF(C2109="JR",SUMIFS($D:$D,$A:$A,$A2109,$B:$B,"&lt;&gt;Patrícia Karla de Sousa Araújo",$B:$B,"&lt;&gt;Lorena Dias de Araujo",$B:$B,"&lt;&gt;Lucas Luiz Romero")*(20/1083),IF(C2109="Estágio",SUMIFS($D:$D,$A:$A,$A2109,$B:$B,"&lt;&gt;Patrícia Karla de Sousa Araújo",$B:$B,"&lt;&gt;Lorena Dias de Araujo",$B:$B,"&lt;&gt;Lucas Luiz Romero")*(10/1083),0)))))),0)</f>
        <v/>
      </c>
      <c r="K2109" s="3">
        <f>I2109-J2109</f>
        <v/>
      </c>
      <c r="L2109" s="3">
        <f>IF(K2109&lt;-5,"CRÍTICO",IF(K2109&lt;0,"ATENÇÃO",IF(K2109&lt;=5,"BOM","EXCELENTE")))</f>
        <v/>
      </c>
      <c r="M2109" t="n">
        <v>17</v>
      </c>
      <c r="N2109" t="n">
        <v>97.40000000000001</v>
      </c>
      <c r="O2109" t="n">
        <v>30.08849557522124</v>
      </c>
    </row>
    <row r="2110" hidden="1">
      <c r="A2110" s="11" t="n">
        <v>46066</v>
      </c>
      <c r="B2110" t="inlineStr">
        <is>
          <t>Francielson de Oliveira</t>
        </is>
      </c>
      <c r="C2110" t="inlineStr">
        <is>
          <t>Técnico III</t>
        </is>
      </c>
      <c r="D2110" t="n">
        <v>28</v>
      </c>
      <c r="E2110" t="n">
        <v>25</v>
      </c>
      <c r="F2110" t="n">
        <v>20.19</v>
      </c>
      <c r="G2110" t="n">
        <v>0</v>
      </c>
      <c r="H2110" t="n">
        <v>0</v>
      </c>
      <c r="I2110" s="3">
        <f>E2110+G2110+H2110</f>
        <v/>
      </c>
      <c r="J2110" s="3">
        <f>ROUND(MIN(IF(C2110="Técnico III",35,IF(C2110="Técnico II",28,IF(C2110="Técnico I",23,IF(C2110="JR",20,IF(C2110="Estágio",10,0))))),IF(C2110="Técnico III",SUMIFS($D:$D,$A:$A,$A2110,$B:$B,"&lt;&gt;Patrícia Karla de Sousa Araújo",$B:$B,"&lt;&gt;Lorena Dias de Araujo",$B:$B,"&lt;&gt;Lucas Luiz Romero")*(35/1083),IF(C2110="Técnico II",SUMIFS($D:$D,$A:$A,$A2110,$B:$B,"&lt;&gt;Patrícia Karla de Sousa Araújo",$B:$B,"&lt;&gt;Lorena Dias de Araujo",$B:$B,"&lt;&gt;Lucas Luiz Romero")*(28/1083),IF(C2110="Técnico I",SUMIFS($D:$D,$A:$A,$A2110,$B:$B,"&lt;&gt;Patrícia Karla de Sousa Araújo",$B:$B,"&lt;&gt;Lorena Dias de Araujo",$B:$B,"&lt;&gt;Lucas Luiz Romero")*(23/1083),IF(C2110="JR",SUMIFS($D:$D,$A:$A,$A2110,$B:$B,"&lt;&gt;Patrícia Karla de Sousa Araújo",$B:$B,"&lt;&gt;Lorena Dias de Araujo",$B:$B,"&lt;&gt;Lucas Luiz Romero")*(20/1083),IF(C2110="Estágio",SUMIFS($D:$D,$A:$A,$A2110,$B:$B,"&lt;&gt;Patrícia Karla de Sousa Araújo",$B:$B,"&lt;&gt;Lorena Dias de Araujo",$B:$B,"&lt;&gt;Lucas Luiz Romero")*(10/1083),0)))))),0)</f>
        <v/>
      </c>
      <c r="K2110" s="3">
        <f>I2110-J2110</f>
        <v/>
      </c>
      <c r="L2110" s="3">
        <f>IF(K2110&lt;-5,"CRÍTICO",IF(K2110&lt;0,"ATENÇÃO",IF(K2110&lt;=5,"BOM","EXCELENTE")))</f>
        <v/>
      </c>
      <c r="M2110" t="n">
        <v>26</v>
      </c>
      <c r="N2110" t="n">
        <v>98.33</v>
      </c>
      <c r="O2110" t="n">
        <v>28.07017543859649</v>
      </c>
    </row>
    <row r="2111" hidden="1">
      <c r="A2111" s="11" t="n">
        <v>46066</v>
      </c>
      <c r="B2111" t="inlineStr">
        <is>
          <t>Francilene Ferreira de Jesus</t>
        </is>
      </c>
      <c r="C2111" t="inlineStr">
        <is>
          <t>Técnico II</t>
        </is>
      </c>
      <c r="D2111" t="n">
        <v>39</v>
      </c>
      <c r="E2111" t="n">
        <v>36</v>
      </c>
      <c r="F2111" t="n">
        <v>19.19</v>
      </c>
      <c r="G2111" t="n">
        <v>0</v>
      </c>
      <c r="H2111" t="n">
        <v>0</v>
      </c>
      <c r="I2111" s="3">
        <f>E2111+G2111+H2111</f>
        <v/>
      </c>
      <c r="J2111" s="3">
        <f>ROUND(MIN(IF(C2111="Técnico III",35,IF(C2111="Técnico II",28,IF(C2111="Técnico I",23,IF(C2111="JR",20,IF(C2111="Estágio",10,0))))),IF(C2111="Técnico III",SUMIFS($D:$D,$A:$A,$A2111,$B:$B,"&lt;&gt;Patrícia Karla de Sousa Araújo",$B:$B,"&lt;&gt;Lorena Dias de Araujo",$B:$B,"&lt;&gt;Lucas Luiz Romero")*(35/1083),IF(C2111="Técnico II",SUMIFS($D:$D,$A:$A,$A2111,$B:$B,"&lt;&gt;Patrícia Karla de Sousa Araújo",$B:$B,"&lt;&gt;Lorena Dias de Araujo",$B:$B,"&lt;&gt;Lucas Luiz Romero")*(28/1083),IF(C2111="Técnico I",SUMIFS($D:$D,$A:$A,$A2111,$B:$B,"&lt;&gt;Patrícia Karla de Sousa Araújo",$B:$B,"&lt;&gt;Lorena Dias de Araujo",$B:$B,"&lt;&gt;Lucas Luiz Romero")*(23/1083),IF(C2111="JR",SUMIFS($D:$D,$A:$A,$A2111,$B:$B,"&lt;&gt;Patrícia Karla de Sousa Araújo",$B:$B,"&lt;&gt;Lorena Dias de Araujo",$B:$B,"&lt;&gt;Lucas Luiz Romero")*(20/1083),IF(C2111="Estágio",SUMIFS($D:$D,$A:$A,$A2111,$B:$B,"&lt;&gt;Patrícia Karla de Sousa Araújo",$B:$B,"&lt;&gt;Lorena Dias de Araujo",$B:$B,"&lt;&gt;Lucas Luiz Romero")*(10/1083),0)))))),0)</f>
        <v/>
      </c>
      <c r="K2111" s="3">
        <f>I2111-J2111</f>
        <v/>
      </c>
      <c r="L2111" s="3">
        <f>IF(K2111&lt;-5,"CRÍTICO",IF(K2111&lt;0,"ATENÇÃO",IF(K2111&lt;=5,"BOM","EXCELENTE")))</f>
        <v/>
      </c>
      <c r="M2111" t="n">
        <v>34</v>
      </c>
      <c r="N2111" t="n">
        <v>98.63</v>
      </c>
      <c r="O2111" t="n">
        <v>24.21652421652422</v>
      </c>
    </row>
    <row r="2112" hidden="1">
      <c r="A2112" s="11" t="n">
        <v>46100</v>
      </c>
      <c r="B2112" t="inlineStr">
        <is>
          <t>Gabriel Gomes de Andrade</t>
        </is>
      </c>
      <c r="C2112" t="inlineStr">
        <is>
          <t>Técnico I</t>
        </is>
      </c>
      <c r="D2112" t="n">
        <v>14</v>
      </c>
      <c r="E2112" t="n">
        <v>12</v>
      </c>
      <c r="F2112" t="n">
        <v>25.05</v>
      </c>
      <c r="G2112" t="n">
        <v>0</v>
      </c>
      <c r="H2112" t="n">
        <v>0</v>
      </c>
      <c r="I2112" s="3">
        <f>E2112+G2112+H2112</f>
        <v/>
      </c>
      <c r="J2112" s="3">
        <f>ROUND(MIN(IF(C2112="Técnico III",35,IF(C2112="Técnico II",28,IF(C2112="Técnico I",23,IF(C2112="JR",20,IF(C2112="Estágio",10,0))))),IF(C2112="Técnico III",SUMIFS($D:$D,$A:$A,$A2112,$B:$B,"&lt;&gt;Patrícia Karla de Sousa Araújo",$B:$B,"&lt;&gt;Lorena Dias de Araujo",$B:$B,"&lt;&gt;Lucas Luiz Romero")*(35/1083),IF(C2112="Técnico II",SUMIFS($D:$D,$A:$A,$A2112,$B:$B,"&lt;&gt;Patrícia Karla de Sousa Araújo",$B:$B,"&lt;&gt;Lorena Dias de Araujo",$B:$B,"&lt;&gt;Lucas Luiz Romero")*(28/1083),IF(C2112="Técnico I",SUMIFS($D:$D,$A:$A,$A2112,$B:$B,"&lt;&gt;Patrícia Karla de Sousa Araújo",$B:$B,"&lt;&gt;Lorena Dias de Araujo",$B:$B,"&lt;&gt;Lucas Luiz Romero")*(23/1083),IF(C2112="JR",SUMIFS($D:$D,$A:$A,$A2112,$B:$B,"&lt;&gt;Patrícia Karla de Sousa Araújo",$B:$B,"&lt;&gt;Lorena Dias de Araujo",$B:$B,"&lt;&gt;Lucas Luiz Romero")*(20/1083),IF(C2112="Estágio",SUMIFS($D:$D,$A:$A,$A2112,$B:$B,"&lt;&gt;Patrícia Karla de Sousa Araújo",$B:$B,"&lt;&gt;Lorena Dias de Araujo",$B:$B,"&lt;&gt;Lucas Luiz Romero")*(10/1083),0)))))),0)</f>
        <v/>
      </c>
      <c r="K2112" s="3">
        <f>I2112-J2112</f>
        <v/>
      </c>
      <c r="L2112" s="3">
        <f>IF(K2112&lt;-5,"CRÍTICO",IF(K2112&lt;0,"ATENÇÃO",IF(K2112&lt;=5,"BOM","EXCELENTE")))</f>
        <v/>
      </c>
      <c r="N2112" t="n">
        <v>99.05</v>
      </c>
      <c r="O2112" t="n">
        <v>26.62192393736018</v>
      </c>
    </row>
    <row r="2113" hidden="1">
      <c r="A2113" s="11" t="n">
        <v>46066</v>
      </c>
      <c r="B2113" t="inlineStr">
        <is>
          <t>Isabella Borges de Oliveira</t>
        </is>
      </c>
      <c r="C2113" t="inlineStr">
        <is>
          <t>Técnico II</t>
        </is>
      </c>
      <c r="D2113" t="n">
        <v>26</v>
      </c>
      <c r="E2113" t="n">
        <v>24</v>
      </c>
      <c r="F2113" t="n">
        <v>30.25</v>
      </c>
      <c r="G2113" t="n">
        <v>0</v>
      </c>
      <c r="H2113" t="n">
        <v>0</v>
      </c>
      <c r="I2113" s="3">
        <f>E2113+G2113+H2113</f>
        <v/>
      </c>
      <c r="J2113" s="3">
        <f>ROUND(MIN(IF(C2113="Técnico III",35,IF(C2113="Técnico II",28,IF(C2113="Técnico I",23,IF(C2113="JR",20,IF(C2113="Estágio",10,0))))),IF(C2113="Técnico III",SUMIFS($D:$D,$A:$A,$A2113,$B:$B,"&lt;&gt;Patrícia Karla de Sousa Araújo",$B:$B,"&lt;&gt;Lorena Dias de Araujo",$B:$B,"&lt;&gt;Lucas Luiz Romero")*(35/1083),IF(C2113="Técnico II",SUMIFS($D:$D,$A:$A,$A2113,$B:$B,"&lt;&gt;Patrícia Karla de Sousa Araújo",$B:$B,"&lt;&gt;Lorena Dias de Araujo",$B:$B,"&lt;&gt;Lucas Luiz Romero")*(28/1083),IF(C2113="Técnico I",SUMIFS($D:$D,$A:$A,$A2113,$B:$B,"&lt;&gt;Patrícia Karla de Sousa Araújo",$B:$B,"&lt;&gt;Lorena Dias de Araujo",$B:$B,"&lt;&gt;Lucas Luiz Romero")*(23/1083),IF(C2113="JR",SUMIFS($D:$D,$A:$A,$A2113,$B:$B,"&lt;&gt;Patrícia Karla de Sousa Araújo",$B:$B,"&lt;&gt;Lorena Dias de Araujo",$B:$B,"&lt;&gt;Lucas Luiz Romero")*(20/1083),IF(C2113="Estágio",SUMIFS($D:$D,$A:$A,$A2113,$B:$B,"&lt;&gt;Patrícia Karla de Sousa Araújo",$B:$B,"&lt;&gt;Lorena Dias de Araujo",$B:$B,"&lt;&gt;Lucas Luiz Romero")*(10/1083),0)))))),0)</f>
        <v/>
      </c>
      <c r="K2113" s="3">
        <f>I2113-J2113</f>
        <v/>
      </c>
      <c r="L2113" s="3">
        <f>IF(K2113&lt;-5,"CRÍTICO",IF(K2113&lt;0,"ATENÇÃO",IF(K2113&lt;=5,"BOM","EXCELENTE")))</f>
        <v/>
      </c>
      <c r="M2113" t="n">
        <v>22</v>
      </c>
      <c r="N2113" t="n">
        <v>100</v>
      </c>
      <c r="O2113" t="n">
        <v>34.22053231939163</v>
      </c>
    </row>
    <row r="2114" hidden="1">
      <c r="A2114" s="11" t="n">
        <v>46066</v>
      </c>
      <c r="B2114" t="inlineStr">
        <is>
          <t>Janaina Lima dos Reis Urany</t>
        </is>
      </c>
      <c r="C2114" t="inlineStr">
        <is>
          <t>Técnico III</t>
        </is>
      </c>
      <c r="D2114" t="n">
        <v>46</v>
      </c>
      <c r="E2114" t="n">
        <v>44</v>
      </c>
      <c r="F2114" t="n">
        <v>17.01</v>
      </c>
      <c r="G2114" t="n">
        <v>0</v>
      </c>
      <c r="H2114" t="n">
        <v>0</v>
      </c>
      <c r="I2114" s="3">
        <f>E2114+G2114+H2114</f>
        <v/>
      </c>
      <c r="J2114" s="3">
        <f>ROUND(MIN(IF(C2114="Técnico III",35,IF(C2114="Técnico II",28,IF(C2114="Técnico I",23,IF(C2114="JR",20,IF(C2114="Estágio",10,0))))),IF(C2114="Técnico III",SUMIFS($D:$D,$A:$A,$A2114,$B:$B,"&lt;&gt;Patrícia Karla de Sousa Araújo",$B:$B,"&lt;&gt;Lorena Dias de Araujo",$B:$B,"&lt;&gt;Lucas Luiz Romero")*(35/1083),IF(C2114="Técnico II",SUMIFS($D:$D,$A:$A,$A2114,$B:$B,"&lt;&gt;Patrícia Karla de Sousa Araújo",$B:$B,"&lt;&gt;Lorena Dias de Araujo",$B:$B,"&lt;&gt;Lucas Luiz Romero")*(28/1083),IF(C2114="Técnico I",SUMIFS($D:$D,$A:$A,$A2114,$B:$B,"&lt;&gt;Patrícia Karla de Sousa Araújo",$B:$B,"&lt;&gt;Lorena Dias de Araujo",$B:$B,"&lt;&gt;Lucas Luiz Romero")*(23/1083),IF(C2114="JR",SUMIFS($D:$D,$A:$A,$A2114,$B:$B,"&lt;&gt;Patrícia Karla de Sousa Araújo",$B:$B,"&lt;&gt;Lorena Dias de Araujo",$B:$B,"&lt;&gt;Lucas Luiz Romero")*(20/1083),IF(C2114="Estágio",SUMIFS($D:$D,$A:$A,$A2114,$B:$B,"&lt;&gt;Patrícia Karla de Sousa Araújo",$B:$B,"&lt;&gt;Lorena Dias de Araujo",$B:$B,"&lt;&gt;Lucas Luiz Romero")*(10/1083),0)))))),0)</f>
        <v/>
      </c>
      <c r="K2114" s="3">
        <f>I2114-J2114</f>
        <v/>
      </c>
      <c r="L2114" s="3">
        <f>IF(K2114&lt;-5,"CRÍTICO",IF(K2114&lt;0,"ATENÇÃO",IF(K2114&lt;=5,"BOM","EXCELENTE")))</f>
        <v/>
      </c>
      <c r="M2114" t="n">
        <v>40</v>
      </c>
      <c r="N2114" t="n">
        <v>100</v>
      </c>
      <c r="O2114" t="n">
        <v>26.30434782608695</v>
      </c>
    </row>
    <row r="2115" hidden="1">
      <c r="A2115" s="11" t="n">
        <v>46066</v>
      </c>
      <c r="B2115" t="inlineStr">
        <is>
          <t>Jaqueline Evangelista da Silva Martins</t>
        </is>
      </c>
      <c r="C2115" t="inlineStr">
        <is>
          <t>Técnico III</t>
        </is>
      </c>
      <c r="D2115" t="n">
        <v>41</v>
      </c>
      <c r="E2115" t="n">
        <v>33</v>
      </c>
      <c r="F2115" t="n">
        <v>11.43</v>
      </c>
      <c r="G2115" t="n">
        <v>0</v>
      </c>
      <c r="H2115" t="n">
        <v>0</v>
      </c>
      <c r="I2115" s="3">
        <f>E2115+G2115+H2115</f>
        <v/>
      </c>
      <c r="J2115" s="3">
        <f>ROUND(MIN(IF(C2115="Técnico III",35,IF(C2115="Técnico II",28,IF(C2115="Técnico I",23,IF(C2115="JR",20,IF(C2115="Estágio",10,0))))),IF(C2115="Técnico III",SUMIFS($D:$D,$A:$A,$A2115,$B:$B,"&lt;&gt;Patrícia Karla de Sousa Araújo",$B:$B,"&lt;&gt;Lorena Dias de Araujo",$B:$B,"&lt;&gt;Lucas Luiz Romero")*(35/1083),IF(C2115="Técnico II",SUMIFS($D:$D,$A:$A,$A2115,$B:$B,"&lt;&gt;Patrícia Karla de Sousa Araújo",$B:$B,"&lt;&gt;Lorena Dias de Araujo",$B:$B,"&lt;&gt;Lucas Luiz Romero")*(28/1083),IF(C2115="Técnico I",SUMIFS($D:$D,$A:$A,$A2115,$B:$B,"&lt;&gt;Patrícia Karla de Sousa Araújo",$B:$B,"&lt;&gt;Lorena Dias de Araujo",$B:$B,"&lt;&gt;Lucas Luiz Romero")*(23/1083),IF(C2115="JR",SUMIFS($D:$D,$A:$A,$A2115,$B:$B,"&lt;&gt;Patrícia Karla de Sousa Araújo",$B:$B,"&lt;&gt;Lorena Dias de Araujo",$B:$B,"&lt;&gt;Lucas Luiz Romero")*(20/1083),IF(C2115="Estágio",SUMIFS($D:$D,$A:$A,$A2115,$B:$B,"&lt;&gt;Patrícia Karla de Sousa Araújo",$B:$B,"&lt;&gt;Lorena Dias de Araujo",$B:$B,"&lt;&gt;Lucas Luiz Romero")*(10/1083),0)))))),0)</f>
        <v/>
      </c>
      <c r="K2115" s="3">
        <f>I2115-J2115</f>
        <v/>
      </c>
      <c r="L2115" s="3">
        <f>IF(K2115&lt;-5,"CRÍTICO",IF(K2115&lt;0,"ATENÇÃO",IF(K2115&lt;=5,"BOM","EXCELENTE")))</f>
        <v/>
      </c>
      <c r="M2115" t="n">
        <v>33</v>
      </c>
      <c r="N2115" t="n">
        <v>98.33</v>
      </c>
      <c r="O2115" t="n">
        <v>26.49006622516556</v>
      </c>
    </row>
    <row r="2116" hidden="1">
      <c r="A2116" s="11" t="n">
        <v>46066</v>
      </c>
      <c r="B2116" t="inlineStr">
        <is>
          <t>Jessica Faria da Silveira</t>
        </is>
      </c>
      <c r="C2116" t="inlineStr">
        <is>
          <t>Técnico II</t>
        </is>
      </c>
      <c r="D2116" t="n">
        <v>35</v>
      </c>
      <c r="E2116" t="n">
        <v>30</v>
      </c>
      <c r="F2116" t="n">
        <v>20.41</v>
      </c>
      <c r="G2116" t="n">
        <v>0</v>
      </c>
      <c r="H2116" t="n">
        <v>0</v>
      </c>
      <c r="I2116" s="3">
        <f>E2116+G2116+H2116</f>
        <v/>
      </c>
      <c r="J2116" s="3">
        <f>ROUND(MIN(IF(C2116="Técnico III",35,IF(C2116="Técnico II",28,IF(C2116="Técnico I",23,IF(C2116="JR",20,IF(C2116="Estágio",10,0))))),IF(C2116="Técnico III",SUMIFS($D:$D,$A:$A,$A2116,$B:$B,"&lt;&gt;Patrícia Karla de Sousa Araújo",$B:$B,"&lt;&gt;Lorena Dias de Araujo",$B:$B,"&lt;&gt;Lucas Luiz Romero")*(35/1083),IF(C2116="Técnico II",SUMIFS($D:$D,$A:$A,$A2116,$B:$B,"&lt;&gt;Patrícia Karla de Sousa Araújo",$B:$B,"&lt;&gt;Lorena Dias de Araujo",$B:$B,"&lt;&gt;Lucas Luiz Romero")*(28/1083),IF(C2116="Técnico I",SUMIFS($D:$D,$A:$A,$A2116,$B:$B,"&lt;&gt;Patrícia Karla de Sousa Araújo",$B:$B,"&lt;&gt;Lorena Dias de Araujo",$B:$B,"&lt;&gt;Lucas Luiz Romero")*(23/1083),IF(C2116="JR",SUMIFS($D:$D,$A:$A,$A2116,$B:$B,"&lt;&gt;Patrícia Karla de Sousa Araújo",$B:$B,"&lt;&gt;Lorena Dias de Araujo",$B:$B,"&lt;&gt;Lucas Luiz Romero")*(20/1083),IF(C2116="Estágio",SUMIFS($D:$D,$A:$A,$A2116,$B:$B,"&lt;&gt;Patrícia Karla de Sousa Araújo",$B:$B,"&lt;&gt;Lorena Dias de Araujo",$B:$B,"&lt;&gt;Lucas Luiz Romero")*(10/1083),0)))))),0)</f>
        <v/>
      </c>
      <c r="K2116" s="3">
        <f>I2116-J2116</f>
        <v/>
      </c>
      <c r="L2116" s="3">
        <f>IF(K2116&lt;-5,"CRÍTICO",IF(K2116&lt;0,"ATENÇÃO",IF(K2116&lt;=5,"BOM","EXCELENTE")))</f>
        <v/>
      </c>
      <c r="M2116" t="n">
        <v>24</v>
      </c>
      <c r="N2116" t="n">
        <v>100</v>
      </c>
      <c r="O2116" t="n">
        <v>27.23577235772358</v>
      </c>
    </row>
    <row r="2117" hidden="1">
      <c r="A2117" s="11" t="n">
        <v>46066</v>
      </c>
      <c r="B2117" t="inlineStr">
        <is>
          <t>Jéssica Fé Moura</t>
        </is>
      </c>
      <c r="C2117" t="inlineStr">
        <is>
          <t>Técnico III</t>
        </is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s="3" t="n">
        <v>0</v>
      </c>
      <c r="J2117" s="3" t="n">
        <v>0</v>
      </c>
      <c r="K2117" s="3" t="n">
        <v>0</v>
      </c>
      <c r="L2117" s="3">
        <f>IF(K2117&lt;-5,"CRÍTICO",IF(K2117&lt;0,"ATENÇÃO",IF(K2117&lt;=5,"BOM","EXCELENTE")))</f>
        <v/>
      </c>
      <c r="M2117" t="n">
        <v>0</v>
      </c>
      <c r="N2117" t="n">
        <v>100</v>
      </c>
      <c r="O2117" t="n">
        <v>0</v>
      </c>
    </row>
    <row r="2118" hidden="1">
      <c r="A2118" s="11" t="n">
        <v>46066</v>
      </c>
      <c r="B2118" t="inlineStr">
        <is>
          <t>Karina Gonçalves Martins</t>
        </is>
      </c>
      <c r="C2118" t="inlineStr">
        <is>
          <t>JR</t>
        </is>
      </c>
      <c r="D2118" t="n">
        <v>8</v>
      </c>
      <c r="E2118" t="n">
        <v>8</v>
      </c>
      <c r="F2118" t="n">
        <v>38.53</v>
      </c>
      <c r="G2118" t="n">
        <v>0</v>
      </c>
      <c r="H2118" t="n">
        <v>0</v>
      </c>
      <c r="I2118" s="3">
        <f>E2118+G2118+H2118</f>
        <v/>
      </c>
      <c r="J2118" s="3">
        <f>ROUND(MIN(IF(C2118="Técnico III",35,IF(C2118="Técnico II",28,IF(C2118="Técnico I",23,IF(C2118="JR",20,IF(C2118="Estágio",10,0))))),IF(C2118="Técnico III",SUMIFS($D:$D,$A:$A,$A2118,$B:$B,"&lt;&gt;Patrícia Karla de Sousa Araújo",$B:$B,"&lt;&gt;Lorena Dias de Araujo",$B:$B,"&lt;&gt;Lucas Luiz Romero")*(35/1083),IF(C2118="Técnico II",SUMIFS($D:$D,$A:$A,$A2118,$B:$B,"&lt;&gt;Patrícia Karla de Sousa Araújo",$B:$B,"&lt;&gt;Lorena Dias de Araujo",$B:$B,"&lt;&gt;Lucas Luiz Romero")*(28/1083),IF(C2118="Técnico I",SUMIFS($D:$D,$A:$A,$A2118,$B:$B,"&lt;&gt;Patrícia Karla de Sousa Araújo",$B:$B,"&lt;&gt;Lorena Dias de Araujo",$B:$B,"&lt;&gt;Lucas Luiz Romero")*(23/1083),IF(C2118="JR",SUMIFS($D:$D,$A:$A,$A2118,$B:$B,"&lt;&gt;Patrícia Karla de Sousa Araújo",$B:$B,"&lt;&gt;Lorena Dias de Araujo",$B:$B,"&lt;&gt;Lucas Luiz Romero")*(20/1083),IF(C2118="Estágio",SUMIFS($D:$D,$A:$A,$A2118,$B:$B,"&lt;&gt;Patrícia Karla de Sousa Araújo",$B:$B,"&lt;&gt;Lorena Dias de Araujo",$B:$B,"&lt;&gt;Lucas Luiz Romero")*(10/1083),0)))))),0)</f>
        <v/>
      </c>
      <c r="K2118" s="3">
        <f>I2118-J2118</f>
        <v/>
      </c>
      <c r="L2118" s="3">
        <f>IF(K2118&lt;-5,"CRÍTICO",IF(K2118&lt;0,"ATENÇÃO",IF(K2118&lt;=5,"BOM","EXCELENTE")))</f>
        <v/>
      </c>
      <c r="M2118" t="n">
        <v>8</v>
      </c>
      <c r="N2118" t="n">
        <v>96.97</v>
      </c>
      <c r="O2118" t="n">
        <v>31.70731707317073</v>
      </c>
    </row>
    <row r="2119" hidden="1">
      <c r="A2119" s="11" t="n">
        <v>46066</v>
      </c>
      <c r="B2119" t="inlineStr">
        <is>
          <t>Kerollen Cristielly de Jesus Siqueira</t>
        </is>
      </c>
      <c r="C2119" t="inlineStr">
        <is>
          <t>Técnico III</t>
        </is>
      </c>
      <c r="D2119" t="n">
        <v>3</v>
      </c>
      <c r="E2119" t="n">
        <v>2</v>
      </c>
      <c r="F2119" t="n">
        <v>18.36</v>
      </c>
      <c r="G2119" t="n">
        <v>0</v>
      </c>
      <c r="H2119" t="n">
        <v>0</v>
      </c>
      <c r="I2119" s="3">
        <f>E2119+G2119+H2119</f>
        <v/>
      </c>
      <c r="J2119" s="3">
        <f>ROUND(MIN(IF(C2119="Técnico III",35,IF(C2119="Técnico II",28,IF(C2119="Técnico I",23,IF(C2119="JR",20,IF(C2119="Estágio",10,0))))),IF(C2119="Técnico III",SUMIFS($D:$D,$A:$A,$A2119,$B:$B,"&lt;&gt;Patrícia Karla de Sousa Araújo",$B:$B,"&lt;&gt;Lorena Dias de Araujo",$B:$B,"&lt;&gt;Lucas Luiz Romero")*(35/1083),IF(C2119="Técnico II",SUMIFS($D:$D,$A:$A,$A2119,$B:$B,"&lt;&gt;Patrícia Karla de Sousa Araújo",$B:$B,"&lt;&gt;Lorena Dias de Araujo",$B:$B,"&lt;&gt;Lucas Luiz Romero")*(28/1083),IF(C2119="Técnico I",SUMIFS($D:$D,$A:$A,$A2119,$B:$B,"&lt;&gt;Patrícia Karla de Sousa Araújo",$B:$B,"&lt;&gt;Lorena Dias de Araujo",$B:$B,"&lt;&gt;Lucas Luiz Romero")*(23/1083),IF(C2119="JR",SUMIFS($D:$D,$A:$A,$A2119,$B:$B,"&lt;&gt;Patrícia Karla de Sousa Araújo",$B:$B,"&lt;&gt;Lorena Dias de Araujo",$B:$B,"&lt;&gt;Lucas Luiz Romero")*(20/1083),IF(C2119="Estágio",SUMIFS($D:$D,$A:$A,$A2119,$B:$B,"&lt;&gt;Patrícia Karla de Sousa Araújo",$B:$B,"&lt;&gt;Lorena Dias de Araujo",$B:$B,"&lt;&gt;Lucas Luiz Romero")*(10/1083),0)))))),0)</f>
        <v/>
      </c>
      <c r="K2119" s="3">
        <f>I2119-J2119</f>
        <v/>
      </c>
      <c r="L2119" s="3">
        <f>IF(K2119&lt;-5,"CRÍTICO",IF(K2119&lt;0,"ATENÇÃO",IF(K2119&lt;=5,"BOM","EXCELENTE")))</f>
        <v/>
      </c>
      <c r="M2119" t="n">
        <v>5</v>
      </c>
      <c r="N2119" t="n">
        <v>100</v>
      </c>
      <c r="O2119" t="n">
        <v>20</v>
      </c>
    </row>
    <row r="2120" hidden="1">
      <c r="A2120" s="11" t="n">
        <v>46066</v>
      </c>
      <c r="B2120" t="inlineStr">
        <is>
          <t>Leandro de Souza Silva</t>
        </is>
      </c>
      <c r="C2120" t="inlineStr">
        <is>
          <t>JR</t>
        </is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s="3" t="n">
        <v>0</v>
      </c>
      <c r="J2120" s="3" t="n">
        <v>0</v>
      </c>
      <c r="K2120" s="3" t="n">
        <v>0</v>
      </c>
      <c r="L2120" s="3">
        <f>IF(K2120&lt;-5,"CRÍTICO",IF(K2120&lt;0,"ATENÇÃO",IF(K2120&lt;=5,"BOM","EXCELENTE")))</f>
        <v/>
      </c>
      <c r="M2120" t="n">
        <v>0</v>
      </c>
      <c r="N2120" t="n">
        <v>0</v>
      </c>
      <c r="O2120" t="n">
        <v>0</v>
      </c>
    </row>
    <row r="2121" hidden="1">
      <c r="A2121" s="11" t="n">
        <v>46066</v>
      </c>
      <c r="B2121" t="inlineStr">
        <is>
          <t>Leandro Oliveira de Sousa</t>
        </is>
      </c>
      <c r="C2121" t="inlineStr">
        <is>
          <t>Técnico III</t>
        </is>
      </c>
      <c r="D2121" t="n">
        <v>23</v>
      </c>
      <c r="E2121" t="n">
        <v>22</v>
      </c>
      <c r="F2121" t="n">
        <v>29.18</v>
      </c>
      <c r="G2121" t="n">
        <v>0</v>
      </c>
      <c r="H2121" t="n">
        <v>0</v>
      </c>
      <c r="I2121" s="3">
        <f>E2121+G2121+H2121</f>
        <v/>
      </c>
      <c r="J2121" s="3">
        <f>ROUND(MIN(IF(C2121="Técnico III",35,IF(C2121="Técnico II",28,IF(C2121="Técnico I",23,IF(C2121="JR",20,IF(C2121="Estágio",10,0))))),IF(C2121="Técnico III",SUMIFS($D:$D,$A:$A,$A2121,$B:$B,"&lt;&gt;Patrícia Karla de Sousa Araújo",$B:$B,"&lt;&gt;Lorena Dias de Araujo",$B:$B,"&lt;&gt;Lucas Luiz Romero")*(35/1083),IF(C2121="Técnico II",SUMIFS($D:$D,$A:$A,$A2121,$B:$B,"&lt;&gt;Patrícia Karla de Sousa Araújo",$B:$B,"&lt;&gt;Lorena Dias de Araujo",$B:$B,"&lt;&gt;Lucas Luiz Romero")*(28/1083),IF(C2121="Técnico I",SUMIFS($D:$D,$A:$A,$A2121,$B:$B,"&lt;&gt;Patrícia Karla de Sousa Araújo",$B:$B,"&lt;&gt;Lorena Dias de Araujo",$B:$B,"&lt;&gt;Lucas Luiz Romero")*(23/1083),IF(C2121="JR",SUMIFS($D:$D,$A:$A,$A2121,$B:$B,"&lt;&gt;Patrícia Karla de Sousa Araújo",$B:$B,"&lt;&gt;Lorena Dias de Araujo",$B:$B,"&lt;&gt;Lucas Luiz Romero")*(20/1083),IF(C2121="Estágio",SUMIFS($D:$D,$A:$A,$A2121,$B:$B,"&lt;&gt;Patrícia Karla de Sousa Araújo",$B:$B,"&lt;&gt;Lorena Dias de Araujo",$B:$B,"&lt;&gt;Lucas Luiz Romero")*(10/1083),0)))))),0)</f>
        <v/>
      </c>
      <c r="K2121" s="3">
        <f>I2121-J2121</f>
        <v/>
      </c>
      <c r="L2121" s="3">
        <f>IF(K2121&lt;-5,"CRÍTICO",IF(K2121&lt;0,"ATENÇÃO",IF(K2121&lt;=5,"BOM","EXCELENTE")))</f>
        <v/>
      </c>
      <c r="M2121" t="n">
        <v>24</v>
      </c>
      <c r="N2121" t="n">
        <v>98.84</v>
      </c>
      <c r="O2121" t="n">
        <v>33.61702127659574</v>
      </c>
    </row>
    <row r="2122" hidden="1">
      <c r="A2122" s="11" t="n">
        <v>46066</v>
      </c>
      <c r="B2122" t="inlineStr">
        <is>
          <t>Lizandra Gomes Duarte</t>
        </is>
      </c>
      <c r="C2122" t="inlineStr">
        <is>
          <t>Técnico II</t>
        </is>
      </c>
      <c r="D2122" t="n">
        <v>23</v>
      </c>
      <c r="E2122" t="n">
        <v>22</v>
      </c>
      <c r="F2122" t="n">
        <v>30.3</v>
      </c>
      <c r="G2122" t="n">
        <v>0</v>
      </c>
      <c r="H2122" t="n">
        <v>0</v>
      </c>
      <c r="I2122" s="3">
        <f>E2122+G2122+H2122</f>
        <v/>
      </c>
      <c r="J2122" s="3">
        <f>ROUND(MIN(IF(C2122="Técnico III",35,IF(C2122="Técnico II",28,IF(C2122="Técnico I",23,IF(C2122="JR",20,IF(C2122="Estágio",10,0))))),IF(C2122="Técnico III",SUMIFS($D:$D,$A:$A,$A2122,$B:$B,"&lt;&gt;Patrícia Karla de Sousa Araújo",$B:$B,"&lt;&gt;Lorena Dias de Araujo",$B:$B,"&lt;&gt;Lucas Luiz Romero")*(35/1083),IF(C2122="Técnico II",SUMIFS($D:$D,$A:$A,$A2122,$B:$B,"&lt;&gt;Patrícia Karla de Sousa Araújo",$B:$B,"&lt;&gt;Lorena Dias de Araujo",$B:$B,"&lt;&gt;Lucas Luiz Romero")*(28/1083),IF(C2122="Técnico I",SUMIFS($D:$D,$A:$A,$A2122,$B:$B,"&lt;&gt;Patrícia Karla de Sousa Araújo",$B:$B,"&lt;&gt;Lorena Dias de Araujo",$B:$B,"&lt;&gt;Lucas Luiz Romero")*(23/1083),IF(C2122="JR",SUMIFS($D:$D,$A:$A,$A2122,$B:$B,"&lt;&gt;Patrícia Karla de Sousa Araújo",$B:$B,"&lt;&gt;Lorena Dias de Araujo",$B:$B,"&lt;&gt;Lucas Luiz Romero")*(20/1083),IF(C2122="Estágio",SUMIFS($D:$D,$A:$A,$A2122,$B:$B,"&lt;&gt;Patrícia Karla de Sousa Araújo",$B:$B,"&lt;&gt;Lorena Dias de Araujo",$B:$B,"&lt;&gt;Lucas Luiz Romero")*(10/1083),0)))))),0)</f>
        <v/>
      </c>
      <c r="K2122" s="3">
        <f>I2122-J2122</f>
        <v/>
      </c>
      <c r="L2122" s="3">
        <f>IF(K2122&lt;-5,"CRÍTICO",IF(K2122&lt;0,"ATENÇÃO",IF(K2122&lt;=5,"BOM","EXCELENTE")))</f>
        <v/>
      </c>
      <c r="M2122" t="n">
        <v>8</v>
      </c>
      <c r="N2122" t="n">
        <v>96.48999999999999</v>
      </c>
      <c r="O2122" t="n">
        <v>26.89075630252101</v>
      </c>
    </row>
    <row r="2123" hidden="1">
      <c r="A2123" s="11" t="n">
        <v>46066</v>
      </c>
      <c r="B2123" t="inlineStr">
        <is>
          <t>Lorena Dias de Araujo</t>
        </is>
      </c>
      <c r="C2123" t="inlineStr">
        <is>
          <t>Técnico II</t>
        </is>
      </c>
      <c r="D2123" t="n">
        <v>32</v>
      </c>
      <c r="E2123" t="n">
        <v>28</v>
      </c>
      <c r="F2123" t="n">
        <v>22.28</v>
      </c>
      <c r="G2123" t="n">
        <v>0</v>
      </c>
      <c r="H2123" t="n">
        <v>0</v>
      </c>
      <c r="I2123" s="3" t="n">
        <v>0</v>
      </c>
      <c r="J2123" s="3" t="n">
        <v>0</v>
      </c>
      <c r="K2123" s="3" t="n">
        <v>0</v>
      </c>
      <c r="L2123" s="3">
        <f>IF(K2123&lt;-5,"CRÍTICO",IF(K2123&lt;0,"ATENÇÃO",IF(K2123&lt;=5,"BOM","EXCELENTE")))</f>
        <v/>
      </c>
      <c r="M2123" t="n">
        <v>25</v>
      </c>
      <c r="N2123" t="n">
        <v>98.61</v>
      </c>
      <c r="O2123" t="n">
        <v>30.66666666666666</v>
      </c>
    </row>
    <row r="2124" hidden="1">
      <c r="A2124" s="11" t="n">
        <v>46066</v>
      </c>
      <c r="B2124" t="inlineStr">
        <is>
          <t>Lucas Luiz Romero</t>
        </is>
      </c>
      <c r="C2124" t="inlineStr">
        <is>
          <t>Técnico III</t>
        </is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s="3" t="n">
        <v>0</v>
      </c>
      <c r="J2124" s="3" t="n">
        <v>0</v>
      </c>
      <c r="K2124" s="3" t="n">
        <v>0</v>
      </c>
      <c r="L2124" s="3">
        <f>IF(K2124&lt;-5,"CRÍTICO",IF(K2124&lt;0,"ATENÇÃO",IF(K2124&lt;=5,"BOM","EXCELENTE")))</f>
        <v/>
      </c>
      <c r="M2124" t="n">
        <v>0</v>
      </c>
      <c r="N2124" t="n">
        <v>97.5</v>
      </c>
      <c r="O2124" t="n">
        <v>25.51020408163265</v>
      </c>
    </row>
    <row r="2125" hidden="1">
      <c r="A2125" s="11" t="n">
        <v>46066</v>
      </c>
      <c r="B2125" t="inlineStr">
        <is>
          <t>Luiz Fernando de Carvalho Junior</t>
        </is>
      </c>
      <c r="C2125" t="inlineStr">
        <is>
          <t>Técnico I</t>
        </is>
      </c>
      <c r="D2125" t="n">
        <v>16</v>
      </c>
      <c r="E2125" t="n">
        <v>16</v>
      </c>
      <c r="F2125" t="n">
        <v>26.48</v>
      </c>
      <c r="G2125" t="n">
        <v>0</v>
      </c>
      <c r="H2125" t="n">
        <v>0</v>
      </c>
      <c r="I2125" s="3">
        <f>E2125+G2125+H2125</f>
        <v/>
      </c>
      <c r="J2125" s="3">
        <f>ROUND(MIN(IF(C2125="Técnico III",35,IF(C2125="Técnico II",28,IF(C2125="Técnico I",23,IF(C2125="JR",20,IF(C2125="Estágio",10,0))))),IF(C2125="Técnico III",SUMIFS($D:$D,$A:$A,$A2125,$B:$B,"&lt;&gt;Patrícia Karla de Sousa Araújo",$B:$B,"&lt;&gt;Lorena Dias de Araujo",$B:$B,"&lt;&gt;Lucas Luiz Romero")*(35/1083),IF(C2125="Técnico II",SUMIFS($D:$D,$A:$A,$A2125,$B:$B,"&lt;&gt;Patrícia Karla de Sousa Araújo",$B:$B,"&lt;&gt;Lorena Dias de Araujo",$B:$B,"&lt;&gt;Lucas Luiz Romero")*(28/1083),IF(C2125="Técnico I",SUMIFS($D:$D,$A:$A,$A2125,$B:$B,"&lt;&gt;Patrícia Karla de Sousa Araújo",$B:$B,"&lt;&gt;Lorena Dias de Araujo",$B:$B,"&lt;&gt;Lucas Luiz Romero")*(23/1083),IF(C2125="JR",SUMIFS($D:$D,$A:$A,$A2125,$B:$B,"&lt;&gt;Patrícia Karla de Sousa Araújo",$B:$B,"&lt;&gt;Lorena Dias de Araujo",$B:$B,"&lt;&gt;Lucas Luiz Romero")*(20/1083),IF(C2125="Estágio",SUMIFS($D:$D,$A:$A,$A2125,$B:$B,"&lt;&gt;Patrícia Karla de Sousa Araújo",$B:$B,"&lt;&gt;Lorena Dias de Araujo",$B:$B,"&lt;&gt;Lucas Luiz Romero")*(10/1083),0)))))),0)</f>
        <v/>
      </c>
      <c r="K2125" s="3">
        <f>I2125-J2125</f>
        <v/>
      </c>
      <c r="L2125" s="3">
        <f>IF(K2125&lt;-5,"CRÍTICO",IF(K2125&lt;0,"ATENÇÃO",IF(K2125&lt;=5,"BOM","EXCELENTE")))</f>
        <v/>
      </c>
      <c r="M2125" t="n">
        <v>16</v>
      </c>
      <c r="N2125" t="n">
        <v>100</v>
      </c>
      <c r="O2125" t="n">
        <v>25.68807339449542</v>
      </c>
    </row>
    <row r="2126" hidden="1">
      <c r="A2126" s="11" t="n">
        <v>46066</v>
      </c>
      <c r="B2126" t="inlineStr">
        <is>
          <t>Maria Eduarda Sousa Costa</t>
        </is>
      </c>
      <c r="C2126" t="inlineStr">
        <is>
          <t>Estágio</t>
        </is>
      </c>
      <c r="D2126" t="n">
        <v>49</v>
      </c>
      <c r="E2126" t="n">
        <v>25</v>
      </c>
      <c r="F2126" t="n">
        <v>7.19</v>
      </c>
      <c r="G2126" t="n">
        <v>0</v>
      </c>
      <c r="H2126" t="n">
        <v>0</v>
      </c>
      <c r="I2126" s="3">
        <f>E2126+G2126+H2126</f>
        <v/>
      </c>
      <c r="J2126" s="3">
        <f>ROUND(MIN(IF(C2126="Técnico III",35,IF(C2126="Técnico II",28,IF(C2126="Técnico I",23,IF(C2126="JR",20,IF(C2126="Estágio",10,0))))),IF(C2126="Técnico III",SUMIFS($D:$D,$A:$A,$A2126,$B:$B,"&lt;&gt;Patrícia Karla de Sousa Araújo",$B:$B,"&lt;&gt;Lorena Dias de Araujo",$B:$B,"&lt;&gt;Lucas Luiz Romero")*(35/1083),IF(C2126="Técnico II",SUMIFS($D:$D,$A:$A,$A2126,$B:$B,"&lt;&gt;Patrícia Karla de Sousa Araújo",$B:$B,"&lt;&gt;Lorena Dias de Araujo",$B:$B,"&lt;&gt;Lucas Luiz Romero")*(28/1083),IF(C2126="Técnico I",SUMIFS($D:$D,$A:$A,$A2126,$B:$B,"&lt;&gt;Patrícia Karla de Sousa Araújo",$B:$B,"&lt;&gt;Lorena Dias de Araujo",$B:$B,"&lt;&gt;Lucas Luiz Romero")*(23/1083),IF(C2126="JR",SUMIFS($D:$D,$A:$A,$A2126,$B:$B,"&lt;&gt;Patrícia Karla de Sousa Araújo",$B:$B,"&lt;&gt;Lorena Dias de Araujo",$B:$B,"&lt;&gt;Lucas Luiz Romero")*(20/1083),IF(C2126="Estágio",SUMIFS($D:$D,$A:$A,$A2126,$B:$B,"&lt;&gt;Patrícia Karla de Sousa Araújo",$B:$B,"&lt;&gt;Lorena Dias de Araujo",$B:$B,"&lt;&gt;Lucas Luiz Romero")*(10/1083),0)))))),0)</f>
        <v/>
      </c>
      <c r="K2126" s="3">
        <f>I2126-J2126</f>
        <v/>
      </c>
      <c r="L2126" s="3">
        <f>IF(K2126&lt;-5,"CRÍTICO",IF(K2126&lt;0,"ATENÇÃO",IF(K2126&lt;=5,"BOM","EXCELENTE")))</f>
        <v/>
      </c>
      <c r="M2126" t="n">
        <v>2</v>
      </c>
      <c r="N2126" t="n">
        <v>100</v>
      </c>
      <c r="O2126" t="n">
        <v>23.80952380952381</v>
      </c>
    </row>
    <row r="2127" hidden="1">
      <c r="A2127" s="11" t="n">
        <v>46066</v>
      </c>
      <c r="B2127" t="inlineStr">
        <is>
          <t>Matheus Farias De Souza</t>
        </is>
      </c>
      <c r="C2127" t="inlineStr">
        <is>
          <t>Técnico III</t>
        </is>
      </c>
      <c r="D2127" t="n">
        <v>27</v>
      </c>
      <c r="E2127" t="n">
        <v>25</v>
      </c>
      <c r="F2127" t="n">
        <v>27.36</v>
      </c>
      <c r="G2127" t="n">
        <v>0</v>
      </c>
      <c r="H2127" t="n">
        <v>0</v>
      </c>
      <c r="I2127" s="3">
        <f>E2127+G2127+H2127</f>
        <v/>
      </c>
      <c r="J2127" s="3">
        <f>ROUND(MIN(IF(C2127="Técnico III",35,IF(C2127="Técnico II",28,IF(C2127="Técnico I",23,IF(C2127="JR",20,IF(C2127="Estágio",10,0))))),IF(C2127="Técnico III",SUMIFS($D:$D,$A:$A,$A2127,$B:$B,"&lt;&gt;Patrícia Karla de Sousa Araújo",$B:$B,"&lt;&gt;Lorena Dias de Araujo",$B:$B,"&lt;&gt;Lucas Luiz Romero")*(35/1083),IF(C2127="Técnico II",SUMIFS($D:$D,$A:$A,$A2127,$B:$B,"&lt;&gt;Patrícia Karla de Sousa Araújo",$B:$B,"&lt;&gt;Lorena Dias de Araujo",$B:$B,"&lt;&gt;Lucas Luiz Romero")*(28/1083),IF(C2127="Técnico I",SUMIFS($D:$D,$A:$A,$A2127,$B:$B,"&lt;&gt;Patrícia Karla de Sousa Araújo",$B:$B,"&lt;&gt;Lorena Dias de Araujo",$B:$B,"&lt;&gt;Lucas Luiz Romero")*(23/1083),IF(C2127="JR",SUMIFS($D:$D,$A:$A,$A2127,$B:$B,"&lt;&gt;Patrícia Karla de Sousa Araújo",$B:$B,"&lt;&gt;Lorena Dias de Araujo",$B:$B,"&lt;&gt;Lucas Luiz Romero")*(20/1083),IF(C2127="Estágio",SUMIFS($D:$D,$A:$A,$A2127,$B:$B,"&lt;&gt;Patrícia Karla de Sousa Araújo",$B:$B,"&lt;&gt;Lorena Dias de Araujo",$B:$B,"&lt;&gt;Lucas Luiz Romero")*(10/1083),0)))))),0)</f>
        <v/>
      </c>
      <c r="K2127" s="3">
        <f>I2127-J2127</f>
        <v/>
      </c>
      <c r="L2127" s="3">
        <f>IF(K2127&lt;-5,"CRÍTICO",IF(K2127&lt;0,"ATENÇÃO",IF(K2127&lt;=5,"BOM","EXCELENTE")))</f>
        <v/>
      </c>
      <c r="M2127" t="n">
        <v>23</v>
      </c>
      <c r="N2127" t="n">
        <v>98.25</v>
      </c>
      <c r="O2127" t="n">
        <v>31.96202531645569</v>
      </c>
    </row>
    <row r="2128" hidden="1">
      <c r="A2128" s="11" t="n">
        <v>46066</v>
      </c>
      <c r="B2128" t="inlineStr">
        <is>
          <t>Maysa Victoria Dias Moura</t>
        </is>
      </c>
      <c r="C2128" t="inlineStr">
        <is>
          <t>Técnico III</t>
        </is>
      </c>
      <c r="D2128" t="n">
        <v>34</v>
      </c>
      <c r="E2128" t="n">
        <v>33</v>
      </c>
      <c r="F2128" t="n">
        <v>20.53</v>
      </c>
      <c r="G2128" t="n">
        <v>0</v>
      </c>
      <c r="H2128" t="n">
        <v>0</v>
      </c>
      <c r="I2128" s="3">
        <f>E2128+G2128+H2128</f>
        <v/>
      </c>
      <c r="J2128" s="3">
        <f>ROUND(MIN(IF(C2128="Técnico III",35,IF(C2128="Técnico II",28,IF(C2128="Técnico I",23,IF(C2128="JR",20,IF(C2128="Estágio",10,0))))),IF(C2128="Técnico III",SUMIFS($D:$D,$A:$A,$A2128,$B:$B,"&lt;&gt;Patrícia Karla de Sousa Araújo",$B:$B,"&lt;&gt;Lorena Dias de Araujo",$B:$B,"&lt;&gt;Lucas Luiz Romero")*(35/1083),IF(C2128="Técnico II",SUMIFS($D:$D,$A:$A,$A2128,$B:$B,"&lt;&gt;Patrícia Karla de Sousa Araújo",$B:$B,"&lt;&gt;Lorena Dias de Araujo",$B:$B,"&lt;&gt;Lucas Luiz Romero")*(28/1083),IF(C2128="Técnico I",SUMIFS($D:$D,$A:$A,$A2128,$B:$B,"&lt;&gt;Patrícia Karla de Sousa Araújo",$B:$B,"&lt;&gt;Lorena Dias de Araujo",$B:$B,"&lt;&gt;Lucas Luiz Romero")*(23/1083),IF(C2128="JR",SUMIFS($D:$D,$A:$A,$A2128,$B:$B,"&lt;&gt;Patrícia Karla de Sousa Araújo",$B:$B,"&lt;&gt;Lorena Dias de Araujo",$B:$B,"&lt;&gt;Lucas Luiz Romero")*(20/1083),IF(C2128="Estágio",SUMIFS($D:$D,$A:$A,$A2128,$B:$B,"&lt;&gt;Patrícia Karla de Sousa Araújo",$B:$B,"&lt;&gt;Lorena Dias de Araujo",$B:$B,"&lt;&gt;Lucas Luiz Romero")*(10/1083),0)))))),0)</f>
        <v/>
      </c>
      <c r="K2128" s="3">
        <f>I2128-J2128</f>
        <v/>
      </c>
      <c r="L2128" s="3">
        <f>IF(K2128&lt;-5,"CRÍTICO",IF(K2128&lt;0,"ATENÇÃO",IF(K2128&lt;=5,"BOM","EXCELENTE")))</f>
        <v/>
      </c>
      <c r="M2128" t="n">
        <v>27</v>
      </c>
      <c r="N2128" t="n">
        <v>94.44</v>
      </c>
      <c r="O2128" t="n">
        <v>23.80952380952381</v>
      </c>
    </row>
    <row r="2129" hidden="1">
      <c r="A2129" s="11" t="n">
        <v>46066</v>
      </c>
      <c r="B2129" t="inlineStr">
        <is>
          <t>Michelle G Santos</t>
        </is>
      </c>
      <c r="C2129" t="inlineStr">
        <is>
          <t>Estágio</t>
        </is>
      </c>
      <c r="D2129" t="n">
        <v>12</v>
      </c>
      <c r="E2129" t="n">
        <v>11</v>
      </c>
      <c r="F2129" t="n">
        <v>50.19</v>
      </c>
      <c r="G2129" t="n">
        <v>0</v>
      </c>
      <c r="H2129" t="n">
        <v>0</v>
      </c>
      <c r="I2129" s="3">
        <f>E2129+G2129+H2129</f>
        <v/>
      </c>
      <c r="J2129" s="3">
        <f>ROUND(MIN(IF(C2129="Técnico III",35,IF(C2129="Técnico II",28,IF(C2129="Técnico I",23,IF(C2129="JR",20,IF(C2129="Estágio",10,0))))),IF(C2129="Técnico III",SUMIFS($D:$D,$A:$A,$A2129,$B:$B,"&lt;&gt;Patrícia Karla de Sousa Araújo",$B:$B,"&lt;&gt;Lorena Dias de Araujo",$B:$B,"&lt;&gt;Lucas Luiz Romero")*(35/1083),IF(C2129="Técnico II",SUMIFS($D:$D,$A:$A,$A2129,$B:$B,"&lt;&gt;Patrícia Karla de Sousa Araújo",$B:$B,"&lt;&gt;Lorena Dias de Araujo",$B:$B,"&lt;&gt;Lucas Luiz Romero")*(28/1083),IF(C2129="Técnico I",SUMIFS($D:$D,$A:$A,$A2129,$B:$B,"&lt;&gt;Patrícia Karla de Sousa Araújo",$B:$B,"&lt;&gt;Lorena Dias de Araujo",$B:$B,"&lt;&gt;Lucas Luiz Romero")*(23/1083),IF(C2129="JR",SUMIFS($D:$D,$A:$A,$A2129,$B:$B,"&lt;&gt;Patrícia Karla de Sousa Araújo",$B:$B,"&lt;&gt;Lorena Dias de Araujo",$B:$B,"&lt;&gt;Lucas Luiz Romero")*(20/1083),IF(C2129="Estágio",SUMIFS($D:$D,$A:$A,$A2129,$B:$B,"&lt;&gt;Patrícia Karla de Sousa Araújo",$B:$B,"&lt;&gt;Lorena Dias de Araujo",$B:$B,"&lt;&gt;Lucas Luiz Romero")*(10/1083),0)))))),0)</f>
        <v/>
      </c>
      <c r="K2129" s="3">
        <f>I2129-J2129</f>
        <v/>
      </c>
      <c r="L2129" s="3">
        <f>IF(K2129&lt;-5,"CRÍTICO",IF(K2129&lt;0,"ATENÇÃO",IF(K2129&lt;=5,"BOM","EXCELENTE")))</f>
        <v/>
      </c>
      <c r="M2129" t="n">
        <v>5</v>
      </c>
      <c r="N2129" t="n">
        <v>100</v>
      </c>
      <c r="O2129" t="n">
        <v>22.22222222222222</v>
      </c>
    </row>
    <row r="2130" hidden="1">
      <c r="A2130" s="11" t="n">
        <v>46066</v>
      </c>
      <c r="B2130" t="inlineStr">
        <is>
          <t>Milena Sales</t>
        </is>
      </c>
      <c r="C2130" t="inlineStr">
        <is>
          <t>JR</t>
        </is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s="3" t="n">
        <v>0</v>
      </c>
      <c r="J2130" s="3" t="n">
        <v>0</v>
      </c>
      <c r="K2130" s="3" t="n">
        <v>0</v>
      </c>
      <c r="L2130" s="3">
        <f>IF(K2130&lt;-5,"CRÍTICO",IF(K2130&lt;0,"ATENÇÃO",IF(K2130&lt;=5,"BOM","EXCELENTE")))</f>
        <v/>
      </c>
      <c r="M2130" t="n">
        <v>0</v>
      </c>
      <c r="N2130" t="n">
        <v>0</v>
      </c>
      <c r="O2130" t="n">
        <v>0</v>
      </c>
    </row>
    <row r="2131" hidden="1">
      <c r="A2131" s="11" t="n">
        <v>46066</v>
      </c>
      <c r="B2131" t="inlineStr">
        <is>
          <t>Patrícia Karla de Sousa Araújo</t>
        </is>
      </c>
      <c r="C2131" t="inlineStr">
        <is>
          <t>Técnico II</t>
        </is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s="3" t="n">
        <v>0</v>
      </c>
      <c r="J2131" s="3" t="n">
        <v>0</v>
      </c>
      <c r="K2131" s="3" t="n">
        <v>0</v>
      </c>
      <c r="L2131" s="3">
        <f>IF(K2131&lt;-5,"CRÍTICO",IF(K2131&lt;0,"ATENÇÃO",IF(K2131&lt;=5,"BOM","EXCELENTE")))</f>
        <v/>
      </c>
      <c r="M2131" t="n">
        <v>0</v>
      </c>
      <c r="N2131" t="n">
        <v>100</v>
      </c>
      <c r="O2131" t="n">
        <v>32.87671232876712</v>
      </c>
    </row>
    <row r="2132" hidden="1">
      <c r="A2132" s="11" t="n">
        <v>46066</v>
      </c>
      <c r="B2132" t="inlineStr">
        <is>
          <t>Paulo Ricardo Santos</t>
        </is>
      </c>
      <c r="C2132" t="inlineStr">
        <is>
          <t>JR</t>
        </is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s="3" t="n">
        <v>0</v>
      </c>
      <c r="J2132" s="3" t="n">
        <v>0</v>
      </c>
      <c r="K2132" s="3" t="n">
        <v>0</v>
      </c>
      <c r="L2132" s="3">
        <f>IF(K2132&lt;-5,"CRÍTICO",IF(K2132&lt;0,"ATENÇÃO",IF(K2132&lt;=5,"BOM","EXCELENTE")))</f>
        <v/>
      </c>
      <c r="M2132" t="n">
        <v>0</v>
      </c>
      <c r="N2132" t="n">
        <v>0</v>
      </c>
      <c r="O2132" t="n">
        <v>0</v>
      </c>
    </row>
    <row r="2133" hidden="1">
      <c r="A2133" s="11" t="n">
        <v>46066</v>
      </c>
      <c r="B2133" t="inlineStr">
        <is>
          <t>Pedro Luiz Mota Sousa</t>
        </is>
      </c>
      <c r="C2133" t="inlineStr">
        <is>
          <t>JR</t>
        </is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s="3" t="n">
        <v>0</v>
      </c>
      <c r="J2133" s="3" t="n">
        <v>0</v>
      </c>
      <c r="K2133" s="3" t="n">
        <v>0</v>
      </c>
      <c r="L2133" s="3">
        <f>IF(K2133&lt;-5,"CRÍTICO",IF(K2133&lt;0,"ATENÇÃO",IF(K2133&lt;=5,"BOM","EXCELENTE")))</f>
        <v/>
      </c>
      <c r="M2133" t="n">
        <v>0</v>
      </c>
      <c r="N2133" t="n">
        <v>0</v>
      </c>
      <c r="O2133" t="n">
        <v>0</v>
      </c>
    </row>
    <row r="2134" hidden="1">
      <c r="A2134" s="11" t="n">
        <v>46066</v>
      </c>
      <c r="B2134" t="inlineStr">
        <is>
          <t>Quirino Diogo Leite Torres</t>
        </is>
      </c>
      <c r="C2134" t="inlineStr">
        <is>
          <t>Estágio</t>
        </is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s="3" t="n">
        <v>0</v>
      </c>
      <c r="J2134" s="3" t="n">
        <v>0</v>
      </c>
      <c r="K2134" s="3" t="n">
        <v>0</v>
      </c>
      <c r="L2134" s="3">
        <f>IF(K2134&lt;-5,"CRÍTICO",IF(K2134&lt;0,"ATENÇÃO",IF(K2134&lt;=5,"BOM","EXCELENTE")))</f>
        <v/>
      </c>
      <c r="M2134" t="n">
        <v>0</v>
      </c>
      <c r="N2134" t="n">
        <v>0</v>
      </c>
      <c r="O2134" t="n">
        <v>0</v>
      </c>
    </row>
    <row r="2135" hidden="1">
      <c r="A2135" s="11" t="n">
        <v>46066</v>
      </c>
      <c r="B2135" t="inlineStr">
        <is>
          <t>Raane Batista Matos</t>
        </is>
      </c>
      <c r="C2135" t="inlineStr">
        <is>
          <t>Técnico I</t>
        </is>
      </c>
      <c r="D2135" t="n">
        <v>21</v>
      </c>
      <c r="E2135" t="n">
        <v>16</v>
      </c>
      <c r="F2135" t="n">
        <v>26.41</v>
      </c>
      <c r="G2135" t="n">
        <v>0</v>
      </c>
      <c r="H2135" t="n">
        <v>0</v>
      </c>
      <c r="I2135" s="3">
        <f>E2135+G2135+H2135</f>
        <v/>
      </c>
      <c r="J2135" s="3">
        <f>ROUND(MIN(IF(C2135="Técnico III",35,IF(C2135="Técnico II",28,IF(C2135="Técnico I",23,IF(C2135="JR",20,IF(C2135="Estágio",10,0))))),IF(C2135="Técnico III",SUMIFS($D:$D,$A:$A,$A2135,$B:$B,"&lt;&gt;Patrícia Karla de Sousa Araújo",$B:$B,"&lt;&gt;Lorena Dias de Araujo",$B:$B,"&lt;&gt;Lucas Luiz Romero")*(35/1083),IF(C2135="Técnico II",SUMIFS($D:$D,$A:$A,$A2135,$B:$B,"&lt;&gt;Patrícia Karla de Sousa Araújo",$B:$B,"&lt;&gt;Lorena Dias de Araujo",$B:$B,"&lt;&gt;Lucas Luiz Romero")*(28/1083),IF(C2135="Técnico I",SUMIFS($D:$D,$A:$A,$A2135,$B:$B,"&lt;&gt;Patrícia Karla de Sousa Araújo",$B:$B,"&lt;&gt;Lorena Dias de Araujo",$B:$B,"&lt;&gt;Lucas Luiz Romero")*(23/1083),IF(C2135="JR",SUMIFS($D:$D,$A:$A,$A2135,$B:$B,"&lt;&gt;Patrícia Karla de Sousa Araújo",$B:$B,"&lt;&gt;Lorena Dias de Araujo",$B:$B,"&lt;&gt;Lucas Luiz Romero")*(20/1083),IF(C2135="Estágio",SUMIFS($D:$D,$A:$A,$A2135,$B:$B,"&lt;&gt;Patrícia Karla de Sousa Araújo",$B:$B,"&lt;&gt;Lorena Dias de Araujo",$B:$B,"&lt;&gt;Lucas Luiz Romero")*(10/1083),0)))))),0)</f>
        <v/>
      </c>
      <c r="K2135" s="3">
        <f>I2135-J2135</f>
        <v/>
      </c>
      <c r="L2135" s="3">
        <f>IF(K2135&lt;-5,"CRÍTICO",IF(K2135&lt;0,"ATENÇÃO",IF(K2135&lt;=5,"BOM","EXCELENTE")))</f>
        <v/>
      </c>
      <c r="M2135" t="n">
        <v>12</v>
      </c>
      <c r="N2135" t="n">
        <v>96.67</v>
      </c>
      <c r="O2135" t="n">
        <v>32.69230769230769</v>
      </c>
    </row>
    <row r="2136" hidden="1">
      <c r="A2136" s="11" t="n">
        <v>46066</v>
      </c>
      <c r="B2136" t="inlineStr">
        <is>
          <t>Rafael Gomes de Morais</t>
        </is>
      </c>
      <c r="C2136" t="inlineStr">
        <is>
          <t>Técnico III</t>
        </is>
      </c>
      <c r="D2136" t="n">
        <v>37</v>
      </c>
      <c r="E2136" t="n">
        <v>32</v>
      </c>
      <c r="F2136" t="n">
        <v>15.18</v>
      </c>
      <c r="G2136" t="n">
        <v>0</v>
      </c>
      <c r="H2136" t="n">
        <v>0</v>
      </c>
      <c r="I2136" s="3">
        <f>E2136+G2136+H2136</f>
        <v/>
      </c>
      <c r="J2136" s="3">
        <f>ROUND(MIN(IF(C2136="Técnico III",35,IF(C2136="Técnico II",28,IF(C2136="Técnico I",23,IF(C2136="JR",20,IF(C2136="Estágio",10,0))))),IF(C2136="Técnico III",SUMIFS($D:$D,$A:$A,$A2136,$B:$B,"&lt;&gt;Patrícia Karla de Sousa Araújo",$B:$B,"&lt;&gt;Lorena Dias de Araujo",$B:$B,"&lt;&gt;Lucas Luiz Romero")*(35/1083),IF(C2136="Técnico II",SUMIFS($D:$D,$A:$A,$A2136,$B:$B,"&lt;&gt;Patrícia Karla de Sousa Araújo",$B:$B,"&lt;&gt;Lorena Dias de Araujo",$B:$B,"&lt;&gt;Lucas Luiz Romero")*(28/1083),IF(C2136="Técnico I",SUMIFS($D:$D,$A:$A,$A2136,$B:$B,"&lt;&gt;Patrícia Karla de Sousa Araújo",$B:$B,"&lt;&gt;Lorena Dias de Araujo",$B:$B,"&lt;&gt;Lucas Luiz Romero")*(23/1083),IF(C2136="JR",SUMIFS($D:$D,$A:$A,$A2136,$B:$B,"&lt;&gt;Patrícia Karla de Sousa Araújo",$B:$B,"&lt;&gt;Lorena Dias de Araujo",$B:$B,"&lt;&gt;Lucas Luiz Romero")*(20/1083),IF(C2136="Estágio",SUMIFS($D:$D,$A:$A,$A2136,$B:$B,"&lt;&gt;Patrícia Karla de Sousa Araújo",$B:$B,"&lt;&gt;Lorena Dias de Araujo",$B:$B,"&lt;&gt;Lucas Luiz Romero")*(10/1083),0)))))),0)</f>
        <v/>
      </c>
      <c r="K2136" s="3">
        <f>I2136-J2136</f>
        <v/>
      </c>
      <c r="L2136" s="3">
        <f>IF(K2136&lt;-5,"CRÍTICO",IF(K2136&lt;0,"ATENÇÃO",IF(K2136&lt;=5,"BOM","EXCELENTE")))</f>
        <v/>
      </c>
      <c r="M2136" t="n">
        <v>30</v>
      </c>
      <c r="N2136" t="n">
        <v>100</v>
      </c>
      <c r="O2136" t="n">
        <v>27.49244712990937</v>
      </c>
    </row>
    <row r="2137" hidden="1">
      <c r="A2137" s="11" t="n">
        <v>46066</v>
      </c>
      <c r="B2137" t="inlineStr">
        <is>
          <t>Sara Maria Monteiro Lopes</t>
        </is>
      </c>
      <c r="C2137" t="inlineStr">
        <is>
          <t>Técnico I</t>
        </is>
      </c>
      <c r="D2137" t="n">
        <v>10</v>
      </c>
      <c r="E2137" t="n">
        <v>9</v>
      </c>
      <c r="F2137" t="n">
        <v>42.17</v>
      </c>
      <c r="G2137" t="n">
        <v>0</v>
      </c>
      <c r="H2137" t="n">
        <v>0</v>
      </c>
      <c r="I2137" s="3">
        <f>E2137+G2137+H2137</f>
        <v/>
      </c>
      <c r="J2137" s="3">
        <f>ROUND(MIN(IF(C2137="Técnico III",35,IF(C2137="Técnico II",28,IF(C2137="Técnico I",23,IF(C2137="JR",20,IF(C2137="Estágio",10,0))))),IF(C2137="Técnico III",SUMIFS($D:$D,$A:$A,$A2137,$B:$B,"&lt;&gt;Patrícia Karla de Sousa Araújo",$B:$B,"&lt;&gt;Lorena Dias de Araujo",$B:$B,"&lt;&gt;Lucas Luiz Romero")*(35/1083),IF(C2137="Técnico II",SUMIFS($D:$D,$A:$A,$A2137,$B:$B,"&lt;&gt;Patrícia Karla de Sousa Araújo",$B:$B,"&lt;&gt;Lorena Dias de Araujo",$B:$B,"&lt;&gt;Lucas Luiz Romero")*(28/1083),IF(C2137="Técnico I",SUMIFS($D:$D,$A:$A,$A2137,$B:$B,"&lt;&gt;Patrícia Karla de Sousa Araújo",$B:$B,"&lt;&gt;Lorena Dias de Araujo",$B:$B,"&lt;&gt;Lucas Luiz Romero")*(23/1083),IF(C2137="JR",SUMIFS($D:$D,$A:$A,$A2137,$B:$B,"&lt;&gt;Patrícia Karla de Sousa Araújo",$B:$B,"&lt;&gt;Lorena Dias de Araujo",$B:$B,"&lt;&gt;Lucas Luiz Romero")*(20/1083),IF(C2137="Estágio",SUMIFS($D:$D,$A:$A,$A2137,$B:$B,"&lt;&gt;Patrícia Karla de Sousa Araújo",$B:$B,"&lt;&gt;Lorena Dias de Araujo",$B:$B,"&lt;&gt;Lucas Luiz Romero")*(10/1083),0)))))),0)</f>
        <v/>
      </c>
      <c r="K2137" s="3">
        <f>I2137-J2137</f>
        <v/>
      </c>
      <c r="L2137" s="3">
        <f>IF(K2137&lt;-5,"CRÍTICO",IF(K2137&lt;0,"ATENÇÃO",IF(K2137&lt;=5,"BOM","EXCELENTE")))</f>
        <v/>
      </c>
      <c r="M2137" t="n">
        <v>11</v>
      </c>
      <c r="N2137" t="n">
        <v>97.22</v>
      </c>
      <c r="O2137" t="n">
        <v>29.92125984251969</v>
      </c>
    </row>
    <row r="2138" hidden="1">
      <c r="A2138" s="11" t="n">
        <v>46066</v>
      </c>
      <c r="B2138" t="inlineStr">
        <is>
          <t>Sarah Steffanie de Lima Borges</t>
        </is>
      </c>
      <c r="C2138" t="inlineStr">
        <is>
          <t>Técnico III</t>
        </is>
      </c>
      <c r="D2138" t="n">
        <v>31</v>
      </c>
      <c r="E2138" t="n">
        <v>30</v>
      </c>
      <c r="F2138" t="n">
        <v>19.11</v>
      </c>
      <c r="G2138" t="n">
        <v>0</v>
      </c>
      <c r="H2138" t="n">
        <v>0</v>
      </c>
      <c r="I2138" s="3">
        <f>E2138+G2138+H2138</f>
        <v/>
      </c>
      <c r="J2138" s="3">
        <f>ROUND(MIN(IF(C2138="Técnico III",35,IF(C2138="Técnico II",28,IF(C2138="Técnico I",23,IF(C2138="JR",20,IF(C2138="Estágio",10,0))))),IF(C2138="Técnico III",SUMIFS($D:$D,$A:$A,$A2138,$B:$B,"&lt;&gt;Patrícia Karla de Sousa Araújo",$B:$B,"&lt;&gt;Lorena Dias de Araujo",$B:$B,"&lt;&gt;Lucas Luiz Romero")*(35/1083),IF(C2138="Técnico II",SUMIFS($D:$D,$A:$A,$A2138,$B:$B,"&lt;&gt;Patrícia Karla de Sousa Araújo",$B:$B,"&lt;&gt;Lorena Dias de Araujo",$B:$B,"&lt;&gt;Lucas Luiz Romero")*(28/1083),IF(C2138="Técnico I",SUMIFS($D:$D,$A:$A,$A2138,$B:$B,"&lt;&gt;Patrícia Karla de Sousa Araújo",$B:$B,"&lt;&gt;Lorena Dias de Araujo",$B:$B,"&lt;&gt;Lucas Luiz Romero")*(23/1083),IF(C2138="JR",SUMIFS($D:$D,$A:$A,$A2138,$B:$B,"&lt;&gt;Patrícia Karla de Sousa Araújo",$B:$B,"&lt;&gt;Lorena Dias de Araujo",$B:$B,"&lt;&gt;Lucas Luiz Romero")*(20/1083),IF(C2138="Estágio",SUMIFS($D:$D,$A:$A,$A2138,$B:$B,"&lt;&gt;Patrícia Karla de Sousa Araújo",$B:$B,"&lt;&gt;Lorena Dias de Araujo",$B:$B,"&lt;&gt;Lucas Luiz Romero")*(10/1083),0)))))),0)</f>
        <v/>
      </c>
      <c r="K2138" s="3">
        <f>I2138-J2138</f>
        <v/>
      </c>
      <c r="L2138" s="3">
        <f>IF(K2138&lt;-5,"CRÍTICO",IF(K2138&lt;0,"ATENÇÃO",IF(K2138&lt;=5,"BOM","EXCELENTE")))</f>
        <v/>
      </c>
      <c r="M2138" t="n">
        <v>30</v>
      </c>
      <c r="N2138" t="n">
        <v>98.53</v>
      </c>
      <c r="O2138" t="n">
        <v>26.42140468227425</v>
      </c>
    </row>
    <row r="2139" hidden="1">
      <c r="A2139" s="11" t="n">
        <v>46069</v>
      </c>
      <c r="B2139" t="inlineStr">
        <is>
          <t>Alisson de Freitas Silva</t>
        </is>
      </c>
      <c r="C2139" t="inlineStr">
        <is>
          <t>Técnico II</t>
        </is>
      </c>
      <c r="D2139" t="n">
        <v>8</v>
      </c>
      <c r="E2139" t="n">
        <v>8</v>
      </c>
      <c r="F2139" t="n">
        <v>18.47</v>
      </c>
      <c r="G2139" t="n">
        <v>0</v>
      </c>
      <c r="H2139" t="n">
        <v>0</v>
      </c>
      <c r="I2139" s="3">
        <f>E2139+G2139+H2139</f>
        <v/>
      </c>
      <c r="J2139" s="3">
        <f>ROUND(MIN(IF(C2139="Técnico III",35,IF(C2139="Técnico II",28,IF(C2139="Técnico I",23,IF(C2139="JR",20,IF(C2139="Estágio",10,0))))),IF(C2139="Técnico III",SUMIFS($D:$D,$A:$A,$A2139,$B:$B,"&lt;&gt;Patrícia Karla de Sousa Araújo",$B:$B,"&lt;&gt;Lorena Dias de Araujo",$B:$B,"&lt;&gt;Lucas Luiz Romero")*(35/1083),IF(C2139="Técnico II",SUMIFS($D:$D,$A:$A,$A2139,$B:$B,"&lt;&gt;Patrícia Karla de Sousa Araújo",$B:$B,"&lt;&gt;Lorena Dias de Araujo",$B:$B,"&lt;&gt;Lucas Luiz Romero")*(28/1083),IF(C2139="Técnico I",SUMIFS($D:$D,$A:$A,$A2139,$B:$B,"&lt;&gt;Patrícia Karla de Sousa Araújo",$B:$B,"&lt;&gt;Lorena Dias de Araujo",$B:$B,"&lt;&gt;Lucas Luiz Romero")*(23/1083),IF(C2139="JR",SUMIFS($D:$D,$A:$A,$A2139,$B:$B,"&lt;&gt;Patrícia Karla de Sousa Araújo",$B:$B,"&lt;&gt;Lorena Dias de Araujo",$B:$B,"&lt;&gt;Lucas Luiz Romero")*(20/1083),IF(C2139="Estágio",SUMIFS($D:$D,$A:$A,$A2139,$B:$B,"&lt;&gt;Patrícia Karla de Sousa Araújo",$B:$B,"&lt;&gt;Lorena Dias de Araujo",$B:$B,"&lt;&gt;Lucas Luiz Romero")*(10/1083),0)))))),0)</f>
        <v/>
      </c>
      <c r="K2139" s="3">
        <f>I2139-J2139</f>
        <v/>
      </c>
      <c r="L2139" s="3">
        <f>IF(K2139&lt;-5,"CRÍTICO",IF(K2139&lt;0,"ATENÇÃO",IF(K2139&lt;=5,"BOM","EXCELENTE")))</f>
        <v/>
      </c>
      <c r="M2139" t="n">
        <v>4</v>
      </c>
      <c r="N2139" t="n">
        <v>97.37</v>
      </c>
      <c r="O2139" t="n">
        <v>28.68217054263566</v>
      </c>
    </row>
    <row r="2140" hidden="1">
      <c r="A2140" s="11" t="n">
        <v>46069</v>
      </c>
      <c r="B2140" t="inlineStr">
        <is>
          <t>Amanda Moura Ferreira</t>
        </is>
      </c>
      <c r="C2140" t="inlineStr">
        <is>
          <t>Técnico III</t>
        </is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s="3" t="n">
        <v>0</v>
      </c>
      <c r="J2140" s="3" t="n">
        <v>0</v>
      </c>
      <c r="K2140" s="3" t="n">
        <v>0</v>
      </c>
      <c r="L2140" s="3">
        <f>IF(K2140&lt;-5,"CRÍTICO",IF(K2140&lt;0,"ATENÇÃO",IF(K2140&lt;=5,"BOM","EXCELENTE")))</f>
        <v/>
      </c>
      <c r="M2140" t="n">
        <v>6</v>
      </c>
      <c r="N2140" t="n">
        <v>98.86</v>
      </c>
      <c r="O2140" t="n">
        <v>27.92207792207792</v>
      </c>
    </row>
    <row r="2141" hidden="1">
      <c r="A2141" s="11" t="n">
        <v>46069</v>
      </c>
      <c r="B2141" t="inlineStr">
        <is>
          <t>Ana Karollyne Souza Faria</t>
        </is>
      </c>
      <c r="C2141" t="inlineStr">
        <is>
          <t>Técnico I</t>
        </is>
      </c>
      <c r="D2141" t="n">
        <v>8</v>
      </c>
      <c r="E2141" t="n">
        <v>8</v>
      </c>
      <c r="F2141" t="n">
        <v>18.35</v>
      </c>
      <c r="G2141" t="n">
        <v>0</v>
      </c>
      <c r="H2141" t="n">
        <v>0</v>
      </c>
      <c r="I2141" s="3">
        <f>E2141+G2141+H2141</f>
        <v/>
      </c>
      <c r="J2141" s="3">
        <f>ROUND(MIN(IF(C2141="Técnico III",35,IF(C2141="Técnico II",28,IF(C2141="Técnico I",23,IF(C2141="JR",20,IF(C2141="Estágio",10,0))))),IF(C2141="Técnico III",SUMIFS($D:$D,$A:$A,$A2141,$B:$B,"&lt;&gt;Patrícia Karla de Sousa Araújo",$B:$B,"&lt;&gt;Lorena Dias de Araujo",$B:$B,"&lt;&gt;Lucas Luiz Romero")*(35/1083),IF(C2141="Técnico II",SUMIFS($D:$D,$A:$A,$A2141,$B:$B,"&lt;&gt;Patrícia Karla de Sousa Araújo",$B:$B,"&lt;&gt;Lorena Dias de Araujo",$B:$B,"&lt;&gt;Lucas Luiz Romero")*(28/1083),IF(C2141="Técnico I",SUMIFS($D:$D,$A:$A,$A2141,$B:$B,"&lt;&gt;Patrícia Karla de Sousa Araújo",$B:$B,"&lt;&gt;Lorena Dias de Araujo",$B:$B,"&lt;&gt;Lucas Luiz Romero")*(23/1083),IF(C2141="JR",SUMIFS($D:$D,$A:$A,$A2141,$B:$B,"&lt;&gt;Patrícia Karla de Sousa Araújo",$B:$B,"&lt;&gt;Lorena Dias de Araujo",$B:$B,"&lt;&gt;Lucas Luiz Romero")*(20/1083),IF(C2141="Estágio",SUMIFS($D:$D,$A:$A,$A2141,$B:$B,"&lt;&gt;Patrícia Karla de Sousa Araújo",$B:$B,"&lt;&gt;Lorena Dias de Araujo",$B:$B,"&lt;&gt;Lucas Luiz Romero")*(10/1083),0)))))),0)</f>
        <v/>
      </c>
      <c r="K2141" s="3">
        <f>I2141-J2141</f>
        <v/>
      </c>
      <c r="L2141" s="3">
        <f>IF(K2141&lt;-5,"CRÍTICO",IF(K2141&lt;0,"ATENÇÃO",IF(K2141&lt;=5,"BOM","EXCELENTE")))</f>
        <v/>
      </c>
      <c r="M2141" t="n">
        <v>7</v>
      </c>
      <c r="N2141" t="n">
        <v>100</v>
      </c>
      <c r="O2141" t="n">
        <v>30.078125</v>
      </c>
    </row>
    <row r="2142" hidden="1">
      <c r="A2142" s="11" t="n">
        <v>46069</v>
      </c>
      <c r="B2142" t="inlineStr">
        <is>
          <t>Ana Paula Da Luz Silva Aleixo</t>
        </is>
      </c>
      <c r="C2142" t="inlineStr">
        <is>
          <t>Técnico III</t>
        </is>
      </c>
      <c r="D2142" t="n">
        <v>9</v>
      </c>
      <c r="E2142" t="n">
        <v>8</v>
      </c>
      <c r="F2142" t="n">
        <v>30.38</v>
      </c>
      <c r="G2142" t="n">
        <v>0</v>
      </c>
      <c r="H2142" t="n">
        <v>0</v>
      </c>
      <c r="I2142" s="3">
        <f>E2142+G2142+H2142</f>
        <v/>
      </c>
      <c r="J2142" s="3">
        <f>ROUND(MIN(IF(C2142="Técnico III",35,IF(C2142="Técnico II",28,IF(C2142="Técnico I",23,IF(C2142="JR",20,IF(C2142="Estágio",10,0))))),IF(C2142="Técnico III",SUMIFS($D:$D,$A:$A,$A2142,$B:$B,"&lt;&gt;Patrícia Karla de Sousa Araújo",$B:$B,"&lt;&gt;Lorena Dias de Araujo",$B:$B,"&lt;&gt;Lucas Luiz Romero")*(35/1083),IF(C2142="Técnico II",SUMIFS($D:$D,$A:$A,$A2142,$B:$B,"&lt;&gt;Patrícia Karla de Sousa Araújo",$B:$B,"&lt;&gt;Lorena Dias de Araujo",$B:$B,"&lt;&gt;Lucas Luiz Romero")*(28/1083),IF(C2142="Técnico I",SUMIFS($D:$D,$A:$A,$A2142,$B:$B,"&lt;&gt;Patrícia Karla de Sousa Araújo",$B:$B,"&lt;&gt;Lorena Dias de Araujo",$B:$B,"&lt;&gt;Lucas Luiz Romero")*(23/1083),IF(C2142="JR",SUMIFS($D:$D,$A:$A,$A2142,$B:$B,"&lt;&gt;Patrícia Karla de Sousa Araújo",$B:$B,"&lt;&gt;Lorena Dias de Araujo",$B:$B,"&lt;&gt;Lucas Luiz Romero")*(20/1083),IF(C2142="Estágio",SUMIFS($D:$D,$A:$A,$A2142,$B:$B,"&lt;&gt;Patrícia Karla de Sousa Araújo",$B:$B,"&lt;&gt;Lorena Dias de Araujo",$B:$B,"&lt;&gt;Lucas Luiz Romero")*(10/1083),0)))))),0)</f>
        <v/>
      </c>
      <c r="K2142" s="3">
        <f>I2142-J2142</f>
        <v/>
      </c>
      <c r="L2142" s="3">
        <f>IF(K2142&lt;-5,"CRÍTICO",IF(K2142&lt;0,"ATENÇÃO",IF(K2142&lt;=5,"BOM","EXCELENTE")))</f>
        <v/>
      </c>
      <c r="M2142" t="n">
        <v>5</v>
      </c>
      <c r="N2142" t="n">
        <v>100</v>
      </c>
      <c r="O2142" t="n">
        <v>24.38162544169612</v>
      </c>
    </row>
    <row r="2143" hidden="1">
      <c r="A2143" s="11" t="n">
        <v>46069</v>
      </c>
      <c r="B2143" t="inlineStr">
        <is>
          <t>Anna Luiza Rezende Tavares</t>
        </is>
      </c>
      <c r="C2143" t="inlineStr">
        <is>
          <t>Estágio</t>
        </is>
      </c>
      <c r="D2143" t="n">
        <v>4</v>
      </c>
      <c r="E2143" t="n">
        <v>2</v>
      </c>
      <c r="F2143" t="n">
        <v>23.3</v>
      </c>
      <c r="G2143" t="n">
        <v>0</v>
      </c>
      <c r="H2143" t="n">
        <v>0</v>
      </c>
      <c r="I2143" s="3">
        <f>E2143+G2143+H2143</f>
        <v/>
      </c>
      <c r="J2143" s="3">
        <f>ROUND(MIN(IF(C2143="Técnico III",35,IF(C2143="Técnico II",28,IF(C2143="Técnico I",23,IF(C2143="JR",20,IF(C2143="Estágio",10,0))))),IF(C2143="Técnico III",SUMIFS($D:$D,$A:$A,$A2143,$B:$B,"&lt;&gt;Patrícia Karla de Sousa Araújo",$B:$B,"&lt;&gt;Lorena Dias de Araujo",$B:$B,"&lt;&gt;Lucas Luiz Romero")*(35/1083),IF(C2143="Técnico II",SUMIFS($D:$D,$A:$A,$A2143,$B:$B,"&lt;&gt;Patrícia Karla de Sousa Araújo",$B:$B,"&lt;&gt;Lorena Dias de Araujo",$B:$B,"&lt;&gt;Lucas Luiz Romero")*(28/1083),IF(C2143="Técnico I",SUMIFS($D:$D,$A:$A,$A2143,$B:$B,"&lt;&gt;Patrícia Karla de Sousa Araújo",$B:$B,"&lt;&gt;Lorena Dias de Araujo",$B:$B,"&lt;&gt;Lucas Luiz Romero")*(23/1083),IF(C2143="JR",SUMIFS($D:$D,$A:$A,$A2143,$B:$B,"&lt;&gt;Patrícia Karla de Sousa Araújo",$B:$B,"&lt;&gt;Lorena Dias de Araujo",$B:$B,"&lt;&gt;Lucas Luiz Romero")*(20/1083),IF(C2143="Estágio",SUMIFS($D:$D,$A:$A,$A2143,$B:$B,"&lt;&gt;Patrícia Karla de Sousa Araújo",$B:$B,"&lt;&gt;Lorena Dias de Araujo",$B:$B,"&lt;&gt;Lucas Luiz Romero")*(10/1083),0)))))),0)</f>
        <v/>
      </c>
      <c r="K2143" s="3">
        <f>I2143-J2143</f>
        <v/>
      </c>
      <c r="L2143" s="3">
        <f>IF(K2143&lt;-5,"CRÍTICO",IF(K2143&lt;0,"ATENÇÃO",IF(K2143&lt;=5,"BOM","EXCELENTE")))</f>
        <v/>
      </c>
      <c r="M2143" t="n">
        <v>3</v>
      </c>
      <c r="N2143" t="n">
        <v>100</v>
      </c>
      <c r="O2143" t="n">
        <v>31.14754098360656</v>
      </c>
    </row>
    <row r="2144" hidden="1">
      <c r="A2144" s="11" t="n">
        <v>46069</v>
      </c>
      <c r="B2144" t="inlineStr">
        <is>
          <t>Brenda de Menezes Silva</t>
        </is>
      </c>
      <c r="C2144" t="inlineStr">
        <is>
          <t>Técnico II</t>
        </is>
      </c>
      <c r="D2144" t="n">
        <v>6</v>
      </c>
      <c r="E2144" t="n">
        <v>6</v>
      </c>
      <c r="F2144" t="n">
        <v>23.58</v>
      </c>
      <c r="G2144" t="n">
        <v>0</v>
      </c>
      <c r="H2144" t="n">
        <v>0</v>
      </c>
      <c r="I2144" s="3">
        <f>E2144+G2144+H2144</f>
        <v/>
      </c>
      <c r="J2144" s="3">
        <f>ROUND(MIN(IF(C2144="Técnico III",35,IF(C2144="Técnico II",28,IF(C2144="Técnico I",23,IF(C2144="JR",20,IF(C2144="Estágio",10,0))))),IF(C2144="Técnico III",SUMIFS($D:$D,$A:$A,$A2144,$B:$B,"&lt;&gt;Patrícia Karla de Sousa Araújo",$B:$B,"&lt;&gt;Lorena Dias de Araujo",$B:$B,"&lt;&gt;Lucas Luiz Romero")*(35/1083),IF(C2144="Técnico II",SUMIFS($D:$D,$A:$A,$A2144,$B:$B,"&lt;&gt;Patrícia Karla de Sousa Araújo",$B:$B,"&lt;&gt;Lorena Dias de Araujo",$B:$B,"&lt;&gt;Lucas Luiz Romero")*(28/1083),IF(C2144="Técnico I",SUMIFS($D:$D,$A:$A,$A2144,$B:$B,"&lt;&gt;Patrícia Karla de Sousa Araújo",$B:$B,"&lt;&gt;Lorena Dias de Araujo",$B:$B,"&lt;&gt;Lucas Luiz Romero")*(23/1083),IF(C2144="JR",SUMIFS($D:$D,$A:$A,$A2144,$B:$B,"&lt;&gt;Patrícia Karla de Sousa Araújo",$B:$B,"&lt;&gt;Lorena Dias de Araujo",$B:$B,"&lt;&gt;Lucas Luiz Romero")*(20/1083),IF(C2144="Estágio",SUMIFS($D:$D,$A:$A,$A2144,$B:$B,"&lt;&gt;Patrícia Karla de Sousa Araújo",$B:$B,"&lt;&gt;Lorena Dias de Araujo",$B:$B,"&lt;&gt;Lucas Luiz Romero")*(10/1083),0)))))),0)</f>
        <v/>
      </c>
      <c r="K2144" s="3">
        <f>I2144-J2144</f>
        <v/>
      </c>
      <c r="L2144" s="3">
        <f>IF(K2144&lt;-5,"CRÍTICO",IF(K2144&lt;0,"ATENÇÃO",IF(K2144&lt;=5,"BOM","EXCELENTE")))</f>
        <v/>
      </c>
      <c r="M2144" t="n">
        <v>5</v>
      </c>
      <c r="N2144" t="n">
        <v>100</v>
      </c>
      <c r="O2144" t="n">
        <v>29.69283276450512</v>
      </c>
    </row>
    <row r="2145" hidden="1">
      <c r="A2145" s="11" t="n">
        <v>46069</v>
      </c>
      <c r="B2145" t="inlineStr">
        <is>
          <t>Carlos Mateus Cassimiro Nunes</t>
        </is>
      </c>
      <c r="C2145" t="inlineStr">
        <is>
          <t>Técnico II</t>
        </is>
      </c>
      <c r="D2145" t="n">
        <v>7</v>
      </c>
      <c r="E2145" t="n">
        <v>7</v>
      </c>
      <c r="F2145" t="n">
        <v>33.44</v>
      </c>
      <c r="G2145" t="n">
        <v>0</v>
      </c>
      <c r="H2145" t="n">
        <v>0</v>
      </c>
      <c r="I2145" s="3">
        <f>E2145+G2145+H2145</f>
        <v/>
      </c>
      <c r="J2145" s="3">
        <f>ROUND(MIN(IF(C2145="Técnico III",35,IF(C2145="Técnico II",28,IF(C2145="Técnico I",23,IF(C2145="JR",20,IF(C2145="Estágio",10,0))))),IF(C2145="Técnico III",SUMIFS($D:$D,$A:$A,$A2145,$B:$B,"&lt;&gt;Patrícia Karla de Sousa Araújo",$B:$B,"&lt;&gt;Lorena Dias de Araujo",$B:$B,"&lt;&gt;Lucas Luiz Romero")*(35/1083),IF(C2145="Técnico II",SUMIFS($D:$D,$A:$A,$A2145,$B:$B,"&lt;&gt;Patrícia Karla de Sousa Araújo",$B:$B,"&lt;&gt;Lorena Dias de Araujo",$B:$B,"&lt;&gt;Lucas Luiz Romero")*(28/1083),IF(C2145="Técnico I",SUMIFS($D:$D,$A:$A,$A2145,$B:$B,"&lt;&gt;Patrícia Karla de Sousa Araújo",$B:$B,"&lt;&gt;Lorena Dias de Araujo",$B:$B,"&lt;&gt;Lucas Luiz Romero")*(23/1083),IF(C2145="JR",SUMIFS($D:$D,$A:$A,$A2145,$B:$B,"&lt;&gt;Patrícia Karla de Sousa Araújo",$B:$B,"&lt;&gt;Lorena Dias de Araujo",$B:$B,"&lt;&gt;Lucas Luiz Romero")*(20/1083),IF(C2145="Estágio",SUMIFS($D:$D,$A:$A,$A2145,$B:$B,"&lt;&gt;Patrícia Karla de Sousa Araújo",$B:$B,"&lt;&gt;Lorena Dias de Araujo",$B:$B,"&lt;&gt;Lucas Luiz Romero")*(10/1083),0)))))),0)</f>
        <v/>
      </c>
      <c r="K2145" s="3">
        <f>I2145-J2145</f>
        <v/>
      </c>
      <c r="L2145" s="3">
        <f>IF(K2145&lt;-5,"CRÍTICO",IF(K2145&lt;0,"ATENÇÃO",IF(K2145&lt;=5,"BOM","EXCELENTE")))</f>
        <v/>
      </c>
      <c r="M2145" t="n">
        <v>8</v>
      </c>
      <c r="N2145" t="n">
        <v>100</v>
      </c>
      <c r="O2145" t="n">
        <v>34.23423423423424</v>
      </c>
    </row>
    <row r="2146" hidden="1">
      <c r="A2146" s="11" t="n">
        <v>46069</v>
      </c>
      <c r="B2146" t="inlineStr">
        <is>
          <t>Claudio de Sousa Velasco Filho</t>
        </is>
      </c>
      <c r="C2146" t="inlineStr">
        <is>
          <t>Estágio</t>
        </is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s="3" t="n">
        <v>0</v>
      </c>
      <c r="J2146" s="3" t="n">
        <v>0</v>
      </c>
      <c r="K2146" s="3" t="n">
        <v>0</v>
      </c>
      <c r="L2146" s="3">
        <f>IF(K2146&lt;-5,"CRÍTICO",IF(K2146&lt;0,"ATENÇÃO",IF(K2146&lt;=5,"BOM","EXCELENTE")))</f>
        <v/>
      </c>
      <c r="M2146" t="n">
        <v>0</v>
      </c>
      <c r="N2146" t="n">
        <v>0</v>
      </c>
      <c r="O2146" t="n">
        <v>0</v>
      </c>
    </row>
    <row r="2147" hidden="1">
      <c r="A2147" s="11" t="n">
        <v>46069</v>
      </c>
      <c r="B2147" t="inlineStr">
        <is>
          <t>Clessiane Pereira dos Santos</t>
        </is>
      </c>
      <c r="C2147" t="inlineStr">
        <is>
          <t>Técnico I</t>
        </is>
      </c>
      <c r="D2147" t="n">
        <v>7</v>
      </c>
      <c r="E2147" t="n">
        <v>6</v>
      </c>
      <c r="F2147" t="n">
        <v>20.3</v>
      </c>
      <c r="G2147" t="n">
        <v>0</v>
      </c>
      <c r="H2147" t="n">
        <v>0</v>
      </c>
      <c r="I2147" s="3">
        <f>E2147+G2147+H2147</f>
        <v/>
      </c>
      <c r="J2147" s="3">
        <f>ROUND(MIN(IF(C2147="Técnico III",35,IF(C2147="Técnico II",28,IF(C2147="Técnico I",23,IF(C2147="JR",20,IF(C2147="Estágio",10,0))))),IF(C2147="Técnico III",SUMIFS($D:$D,$A:$A,$A2147,$B:$B,"&lt;&gt;Patrícia Karla de Sousa Araújo",$B:$B,"&lt;&gt;Lorena Dias de Araujo",$B:$B,"&lt;&gt;Lucas Luiz Romero")*(35/1083),IF(C2147="Técnico II",SUMIFS($D:$D,$A:$A,$A2147,$B:$B,"&lt;&gt;Patrícia Karla de Sousa Araújo",$B:$B,"&lt;&gt;Lorena Dias de Araujo",$B:$B,"&lt;&gt;Lucas Luiz Romero")*(28/1083),IF(C2147="Técnico I",SUMIFS($D:$D,$A:$A,$A2147,$B:$B,"&lt;&gt;Patrícia Karla de Sousa Araújo",$B:$B,"&lt;&gt;Lorena Dias de Araujo",$B:$B,"&lt;&gt;Lucas Luiz Romero")*(23/1083),IF(C2147="JR",SUMIFS($D:$D,$A:$A,$A2147,$B:$B,"&lt;&gt;Patrícia Karla de Sousa Araújo",$B:$B,"&lt;&gt;Lorena Dias de Araujo",$B:$B,"&lt;&gt;Lucas Luiz Romero")*(20/1083),IF(C2147="Estágio",SUMIFS($D:$D,$A:$A,$A2147,$B:$B,"&lt;&gt;Patrícia Karla de Sousa Araújo",$B:$B,"&lt;&gt;Lorena Dias de Araujo",$B:$B,"&lt;&gt;Lucas Luiz Romero")*(10/1083),0)))))),0)</f>
        <v/>
      </c>
      <c r="K2147" s="3">
        <f>I2147-J2147</f>
        <v/>
      </c>
      <c r="L2147" s="3">
        <f>IF(K2147&lt;-5,"CRÍTICO",IF(K2147&lt;0,"ATENÇÃO",IF(K2147&lt;=5,"BOM","EXCELENTE")))</f>
        <v/>
      </c>
      <c r="M2147" t="n">
        <v>4</v>
      </c>
      <c r="N2147" t="n">
        <v>100</v>
      </c>
      <c r="O2147" t="n">
        <v>22.22222222222222</v>
      </c>
    </row>
    <row r="2148" hidden="1">
      <c r="A2148" s="11" t="n">
        <v>46069</v>
      </c>
      <c r="B2148" t="inlineStr">
        <is>
          <t>Cristiane Ramos da Silva Rocha</t>
        </is>
      </c>
      <c r="C2148" t="inlineStr">
        <is>
          <t>Técnico III</t>
        </is>
      </c>
      <c r="D2148" t="n">
        <v>9</v>
      </c>
      <c r="E2148" t="n">
        <v>7</v>
      </c>
      <c r="F2148" t="n">
        <v>10.33</v>
      </c>
      <c r="G2148" t="n">
        <v>0</v>
      </c>
      <c r="H2148" t="n">
        <v>0</v>
      </c>
      <c r="I2148" s="3">
        <f>E2148+G2148+H2148</f>
        <v/>
      </c>
      <c r="J2148" s="3">
        <f>ROUND(MIN(IF(C2148="Técnico III",35,IF(C2148="Técnico II",28,IF(C2148="Técnico I",23,IF(C2148="JR",20,IF(C2148="Estágio",10,0))))),IF(C2148="Técnico III",SUMIFS($D:$D,$A:$A,$A2148,$B:$B,"&lt;&gt;Patrícia Karla de Sousa Araújo",$B:$B,"&lt;&gt;Lorena Dias de Araujo",$B:$B,"&lt;&gt;Lucas Luiz Romero")*(35/1083),IF(C2148="Técnico II",SUMIFS($D:$D,$A:$A,$A2148,$B:$B,"&lt;&gt;Patrícia Karla de Sousa Araújo",$B:$B,"&lt;&gt;Lorena Dias de Araujo",$B:$B,"&lt;&gt;Lucas Luiz Romero")*(28/1083),IF(C2148="Técnico I",SUMIFS($D:$D,$A:$A,$A2148,$B:$B,"&lt;&gt;Patrícia Karla de Sousa Araújo",$B:$B,"&lt;&gt;Lorena Dias de Araujo",$B:$B,"&lt;&gt;Lucas Luiz Romero")*(23/1083),IF(C2148="JR",SUMIFS($D:$D,$A:$A,$A2148,$B:$B,"&lt;&gt;Patrícia Karla de Sousa Araújo",$B:$B,"&lt;&gt;Lorena Dias de Araujo",$B:$B,"&lt;&gt;Lucas Luiz Romero")*(20/1083),IF(C2148="Estágio",SUMIFS($D:$D,$A:$A,$A2148,$B:$B,"&lt;&gt;Patrícia Karla de Sousa Araújo",$B:$B,"&lt;&gt;Lorena Dias de Araujo",$B:$B,"&lt;&gt;Lucas Luiz Romero")*(10/1083),0)))))),0)</f>
        <v/>
      </c>
      <c r="K2148" s="3">
        <f>I2148-J2148</f>
        <v/>
      </c>
      <c r="L2148" s="3">
        <f>IF(K2148&lt;-5,"CRÍTICO",IF(K2148&lt;0,"ATENÇÃO",IF(K2148&lt;=5,"BOM","EXCELENTE")))</f>
        <v/>
      </c>
      <c r="M2148" t="n">
        <v>9</v>
      </c>
      <c r="N2148" t="n">
        <v>96.55</v>
      </c>
      <c r="O2148" t="n">
        <v>33.14763231197772</v>
      </c>
    </row>
    <row r="2149" hidden="1">
      <c r="A2149" s="11" t="n">
        <v>46069</v>
      </c>
      <c r="B2149" t="inlineStr">
        <is>
          <t>Damyllis Lorraine de Oliveira Gonçalves</t>
        </is>
      </c>
      <c r="C2149" t="inlineStr">
        <is>
          <t>Técnico II</t>
        </is>
      </c>
      <c r="D2149" t="n">
        <v>5</v>
      </c>
      <c r="E2149" t="n">
        <v>1</v>
      </c>
      <c r="F2149" t="n">
        <v>1.55</v>
      </c>
      <c r="G2149" t="n">
        <v>0</v>
      </c>
      <c r="H2149" t="n">
        <v>0</v>
      </c>
      <c r="I2149" s="3" t="n">
        <v>0</v>
      </c>
      <c r="J2149" s="3" t="n">
        <v>0</v>
      </c>
      <c r="K2149" s="3" t="n">
        <v>0</v>
      </c>
      <c r="L2149" s="3">
        <f>IF(K2149&lt;-5,"CRÍTICO",IF(K2149&lt;0,"ATENÇÃO",IF(K2149&lt;=5,"BOM","EXCELENTE")))</f>
        <v/>
      </c>
      <c r="M2149" t="n">
        <v>0</v>
      </c>
      <c r="N2149" t="n">
        <v>100</v>
      </c>
      <c r="O2149" t="n">
        <v>26.23574144486692</v>
      </c>
    </row>
    <row r="2150" hidden="1">
      <c r="A2150" s="11" t="n">
        <v>46069</v>
      </c>
      <c r="B2150" t="inlineStr">
        <is>
          <t>Daniel Gomes da Silva</t>
        </is>
      </c>
      <c r="C2150" t="inlineStr">
        <is>
          <t>Técnico I</t>
        </is>
      </c>
      <c r="D2150" t="n">
        <v>8</v>
      </c>
      <c r="E2150" t="n">
        <v>8</v>
      </c>
      <c r="F2150" t="n">
        <v>15.25</v>
      </c>
      <c r="G2150" t="n">
        <v>0</v>
      </c>
      <c r="H2150" t="n">
        <v>0</v>
      </c>
      <c r="I2150" s="3">
        <f>E2150+G2150+H2150</f>
        <v/>
      </c>
      <c r="J2150" s="3">
        <f>ROUND(MIN(IF(C2150="Técnico III",35,IF(C2150="Técnico II",28,IF(C2150="Técnico I",23,IF(C2150="JR",20,IF(C2150="Estágio",10,0))))),IF(C2150="Técnico III",SUMIFS($D:$D,$A:$A,$A2150,$B:$B,"&lt;&gt;Patrícia Karla de Sousa Araújo",$B:$B,"&lt;&gt;Lorena Dias de Araujo",$B:$B,"&lt;&gt;Lucas Luiz Romero")*(35/1083),IF(C2150="Técnico II",SUMIFS($D:$D,$A:$A,$A2150,$B:$B,"&lt;&gt;Patrícia Karla de Sousa Araújo",$B:$B,"&lt;&gt;Lorena Dias de Araujo",$B:$B,"&lt;&gt;Lucas Luiz Romero")*(28/1083),IF(C2150="Técnico I",SUMIFS($D:$D,$A:$A,$A2150,$B:$B,"&lt;&gt;Patrícia Karla de Sousa Araújo",$B:$B,"&lt;&gt;Lorena Dias de Araujo",$B:$B,"&lt;&gt;Lucas Luiz Romero")*(23/1083),IF(C2150="JR",SUMIFS($D:$D,$A:$A,$A2150,$B:$B,"&lt;&gt;Patrícia Karla de Sousa Araújo",$B:$B,"&lt;&gt;Lorena Dias de Araujo",$B:$B,"&lt;&gt;Lucas Luiz Romero")*(20/1083),IF(C2150="Estágio",SUMIFS($D:$D,$A:$A,$A2150,$B:$B,"&lt;&gt;Patrícia Karla de Sousa Araújo",$B:$B,"&lt;&gt;Lorena Dias de Araujo",$B:$B,"&lt;&gt;Lucas Luiz Romero")*(10/1083),0)))))),0)</f>
        <v/>
      </c>
      <c r="K2150" s="3">
        <f>I2150-J2150</f>
        <v/>
      </c>
      <c r="L2150" s="3">
        <f>IF(K2150&lt;-5,"CRÍTICO",IF(K2150&lt;0,"ATENÇÃO",IF(K2150&lt;=5,"BOM","EXCELENTE")))</f>
        <v/>
      </c>
      <c r="M2150" t="n">
        <v>6</v>
      </c>
      <c r="N2150" t="n">
        <v>100</v>
      </c>
      <c r="O2150" t="n">
        <v>28.37837837837838</v>
      </c>
    </row>
    <row r="2151" hidden="1">
      <c r="A2151" s="11" t="n">
        <v>46069</v>
      </c>
      <c r="B2151" t="inlineStr">
        <is>
          <t>Davylla Rodrigues Freitas Silva</t>
        </is>
      </c>
      <c r="C2151" t="inlineStr">
        <is>
          <t>Técnico III</t>
        </is>
      </c>
      <c r="D2151" t="n">
        <v>7</v>
      </c>
      <c r="E2151" t="n">
        <v>7</v>
      </c>
      <c r="F2151" t="n">
        <v>32.34</v>
      </c>
      <c r="G2151" t="n">
        <v>0</v>
      </c>
      <c r="H2151" t="n">
        <v>0</v>
      </c>
      <c r="I2151" s="3" t="n">
        <v>0</v>
      </c>
      <c r="J2151" s="3" t="n">
        <v>0</v>
      </c>
      <c r="K2151" s="3" t="n">
        <v>0</v>
      </c>
      <c r="L2151" s="3">
        <f>IF(K2151&lt;-5,"CRÍTICO",IF(K2151&lt;0,"ATENÇÃO",IF(K2151&lt;=5,"BOM","EXCELENTE")))</f>
        <v/>
      </c>
      <c r="M2151" t="n">
        <v>7</v>
      </c>
      <c r="N2151" t="n">
        <v>100</v>
      </c>
      <c r="O2151" t="n">
        <v>34.81012658227849</v>
      </c>
    </row>
    <row r="2152" hidden="1">
      <c r="A2152" s="11" t="n">
        <v>46069</v>
      </c>
      <c r="B2152" t="inlineStr">
        <is>
          <t>Emilly Caylane Costa</t>
        </is>
      </c>
      <c r="C2152" t="inlineStr">
        <is>
          <t>Estágio</t>
        </is>
      </c>
      <c r="D2152" t="n">
        <v>5</v>
      </c>
      <c r="E2152" t="n">
        <v>4</v>
      </c>
      <c r="F2152" t="n">
        <v>11.48</v>
      </c>
      <c r="G2152" t="n">
        <v>0</v>
      </c>
      <c r="H2152" t="n">
        <v>0</v>
      </c>
      <c r="I2152" s="3">
        <f>E2152+G2152+H2152</f>
        <v/>
      </c>
      <c r="J2152" s="3">
        <f>ROUND(MIN(IF(C2152="Técnico III",35,IF(C2152="Técnico II",28,IF(C2152="Técnico I",23,IF(C2152="JR",20,IF(C2152="Estágio",10,0))))),IF(C2152="Técnico III",SUMIFS($D:$D,$A:$A,$A2152,$B:$B,"&lt;&gt;Patrícia Karla de Sousa Araújo",$B:$B,"&lt;&gt;Lorena Dias de Araujo",$B:$B,"&lt;&gt;Lucas Luiz Romero")*(35/1083),IF(C2152="Técnico II",SUMIFS($D:$D,$A:$A,$A2152,$B:$B,"&lt;&gt;Patrícia Karla de Sousa Araújo",$B:$B,"&lt;&gt;Lorena Dias de Araujo",$B:$B,"&lt;&gt;Lucas Luiz Romero")*(28/1083),IF(C2152="Técnico I",SUMIFS($D:$D,$A:$A,$A2152,$B:$B,"&lt;&gt;Patrícia Karla de Sousa Araújo",$B:$B,"&lt;&gt;Lorena Dias de Araujo",$B:$B,"&lt;&gt;Lucas Luiz Romero")*(23/1083),IF(C2152="JR",SUMIFS($D:$D,$A:$A,$A2152,$B:$B,"&lt;&gt;Patrícia Karla de Sousa Araújo",$B:$B,"&lt;&gt;Lorena Dias de Araujo",$B:$B,"&lt;&gt;Lucas Luiz Romero")*(20/1083),IF(C2152="Estágio",SUMIFS($D:$D,$A:$A,$A2152,$B:$B,"&lt;&gt;Patrícia Karla de Sousa Araújo",$B:$B,"&lt;&gt;Lorena Dias de Araujo",$B:$B,"&lt;&gt;Lucas Luiz Romero")*(10/1083),0)))))),0)</f>
        <v/>
      </c>
      <c r="K2152" s="3">
        <f>I2152-J2152</f>
        <v/>
      </c>
      <c r="L2152" s="3">
        <f>IF(K2152&lt;-5,"CRÍTICO",IF(K2152&lt;0,"ATENÇÃO",IF(K2152&lt;=5,"BOM","EXCELENTE")))</f>
        <v/>
      </c>
      <c r="M2152" t="n">
        <v>3</v>
      </c>
      <c r="N2152" t="n">
        <v>75</v>
      </c>
      <c r="O2152" t="n">
        <v>51.85185185185185</v>
      </c>
    </row>
    <row r="2153" hidden="1">
      <c r="A2153" s="11" t="n">
        <v>46069</v>
      </c>
      <c r="B2153" t="inlineStr">
        <is>
          <t>Emilly Kamilly Medeiros Miranda</t>
        </is>
      </c>
      <c r="C2153" t="inlineStr">
        <is>
          <t>Técnico II</t>
        </is>
      </c>
      <c r="D2153" t="n">
        <v>10</v>
      </c>
      <c r="E2153" t="n">
        <v>10</v>
      </c>
      <c r="F2153" t="n">
        <v>22.03</v>
      </c>
      <c r="G2153" t="n">
        <v>0</v>
      </c>
      <c r="H2153" t="n">
        <v>0</v>
      </c>
      <c r="I2153" s="3">
        <f>E2153+G2153+H2153</f>
        <v/>
      </c>
      <c r="J2153" s="3">
        <f>ROUND(MIN(IF(C2153="Técnico III",35,IF(C2153="Técnico II",28,IF(C2153="Técnico I",23,IF(C2153="JR",20,IF(C2153="Estágio",10,0))))),IF(C2153="Técnico III",SUMIFS($D:$D,$A:$A,$A2153,$B:$B,"&lt;&gt;Patrícia Karla de Sousa Araújo",$B:$B,"&lt;&gt;Lorena Dias de Araujo",$B:$B,"&lt;&gt;Lucas Luiz Romero")*(35/1083),IF(C2153="Técnico II",SUMIFS($D:$D,$A:$A,$A2153,$B:$B,"&lt;&gt;Patrícia Karla de Sousa Araújo",$B:$B,"&lt;&gt;Lorena Dias de Araujo",$B:$B,"&lt;&gt;Lucas Luiz Romero")*(28/1083),IF(C2153="Técnico I",SUMIFS($D:$D,$A:$A,$A2153,$B:$B,"&lt;&gt;Patrícia Karla de Sousa Araújo",$B:$B,"&lt;&gt;Lorena Dias de Araujo",$B:$B,"&lt;&gt;Lucas Luiz Romero")*(23/1083),IF(C2153="JR",SUMIFS($D:$D,$A:$A,$A2153,$B:$B,"&lt;&gt;Patrícia Karla de Sousa Araújo",$B:$B,"&lt;&gt;Lorena Dias de Araujo",$B:$B,"&lt;&gt;Lucas Luiz Romero")*(20/1083),IF(C2153="Estágio",SUMIFS($D:$D,$A:$A,$A2153,$B:$B,"&lt;&gt;Patrícia Karla de Sousa Araújo",$B:$B,"&lt;&gt;Lorena Dias de Araujo",$B:$B,"&lt;&gt;Lucas Luiz Romero")*(10/1083),0)))))),0)</f>
        <v/>
      </c>
      <c r="K2153" s="3">
        <f>I2153-J2153</f>
        <v/>
      </c>
      <c r="L2153" s="3">
        <f>IF(K2153&lt;-5,"CRÍTICO",IF(K2153&lt;0,"ATENÇÃO",IF(K2153&lt;=5,"BOM","EXCELENTE")))</f>
        <v/>
      </c>
      <c r="M2153" t="n">
        <v>8</v>
      </c>
      <c r="N2153" t="n">
        <v>97.47</v>
      </c>
      <c r="O2153" t="n">
        <v>31.1965811965812</v>
      </c>
    </row>
    <row r="2154" hidden="1">
      <c r="A2154" s="11" t="n">
        <v>46069</v>
      </c>
      <c r="B2154" t="inlineStr">
        <is>
          <t>Francielson de Oliveira</t>
        </is>
      </c>
      <c r="C2154" t="inlineStr">
        <is>
          <t>Técnico III</t>
        </is>
      </c>
      <c r="D2154" t="n">
        <v>8</v>
      </c>
      <c r="E2154" t="n">
        <v>8</v>
      </c>
      <c r="F2154" t="n">
        <v>25.23</v>
      </c>
      <c r="G2154" t="n">
        <v>0</v>
      </c>
      <c r="H2154" t="n">
        <v>0</v>
      </c>
      <c r="I2154" s="3">
        <f>E2154+G2154+H2154</f>
        <v/>
      </c>
      <c r="J2154" s="3">
        <f>ROUND(MIN(IF(C2154="Técnico III",35,IF(C2154="Técnico II",28,IF(C2154="Técnico I",23,IF(C2154="JR",20,IF(C2154="Estágio",10,0))))),IF(C2154="Técnico III",SUMIFS($D:$D,$A:$A,$A2154,$B:$B,"&lt;&gt;Patrícia Karla de Sousa Araújo",$B:$B,"&lt;&gt;Lorena Dias de Araujo",$B:$B,"&lt;&gt;Lucas Luiz Romero")*(35/1083),IF(C2154="Técnico II",SUMIFS($D:$D,$A:$A,$A2154,$B:$B,"&lt;&gt;Patrícia Karla de Sousa Araújo",$B:$B,"&lt;&gt;Lorena Dias de Araujo",$B:$B,"&lt;&gt;Lucas Luiz Romero")*(28/1083),IF(C2154="Técnico I",SUMIFS($D:$D,$A:$A,$A2154,$B:$B,"&lt;&gt;Patrícia Karla de Sousa Araújo",$B:$B,"&lt;&gt;Lorena Dias de Araujo",$B:$B,"&lt;&gt;Lucas Luiz Romero")*(23/1083),IF(C2154="JR",SUMIFS($D:$D,$A:$A,$A2154,$B:$B,"&lt;&gt;Patrícia Karla de Sousa Araújo",$B:$B,"&lt;&gt;Lorena Dias de Araujo",$B:$B,"&lt;&gt;Lucas Luiz Romero")*(20/1083),IF(C2154="Estágio",SUMIFS($D:$D,$A:$A,$A2154,$B:$B,"&lt;&gt;Patrícia Karla de Sousa Araújo",$B:$B,"&lt;&gt;Lorena Dias de Araujo",$B:$B,"&lt;&gt;Lucas Luiz Romero")*(10/1083),0)))))),0)</f>
        <v/>
      </c>
      <c r="K2154" s="3">
        <f>I2154-J2154</f>
        <v/>
      </c>
      <c r="L2154" s="3">
        <f>IF(K2154&lt;-5,"CRÍTICO",IF(K2154&lt;0,"ATENÇÃO",IF(K2154&lt;=5,"BOM","EXCELENTE")))</f>
        <v/>
      </c>
      <c r="M2154" t="n">
        <v>9</v>
      </c>
      <c r="N2154" t="n">
        <v>98.41</v>
      </c>
      <c r="O2154" t="n">
        <v>27.89115646258503</v>
      </c>
    </row>
    <row r="2155" hidden="1">
      <c r="A2155" s="11" t="n">
        <v>46069</v>
      </c>
      <c r="B2155" t="inlineStr">
        <is>
          <t>Francilene Ferreira de Jesus</t>
        </is>
      </c>
      <c r="C2155" t="inlineStr">
        <is>
          <t>Técnico II</t>
        </is>
      </c>
      <c r="D2155" t="n">
        <v>7</v>
      </c>
      <c r="E2155" t="n">
        <v>7</v>
      </c>
      <c r="F2155" t="n">
        <v>30.48</v>
      </c>
      <c r="G2155" t="n">
        <v>0</v>
      </c>
      <c r="H2155" t="n">
        <v>0</v>
      </c>
      <c r="I2155" s="3">
        <f>E2155+G2155+H2155</f>
        <v/>
      </c>
      <c r="J2155" s="3">
        <f>ROUND(MIN(IF(C2155="Técnico III",35,IF(C2155="Técnico II",28,IF(C2155="Técnico I",23,IF(C2155="JR",20,IF(C2155="Estágio",10,0))))),IF(C2155="Técnico III",SUMIFS($D:$D,$A:$A,$A2155,$B:$B,"&lt;&gt;Patrícia Karla de Sousa Araújo",$B:$B,"&lt;&gt;Lorena Dias de Araujo",$B:$B,"&lt;&gt;Lucas Luiz Romero")*(35/1083),IF(C2155="Técnico II",SUMIFS($D:$D,$A:$A,$A2155,$B:$B,"&lt;&gt;Patrícia Karla de Sousa Araújo",$B:$B,"&lt;&gt;Lorena Dias de Araujo",$B:$B,"&lt;&gt;Lucas Luiz Romero")*(28/1083),IF(C2155="Técnico I",SUMIFS($D:$D,$A:$A,$A2155,$B:$B,"&lt;&gt;Patrícia Karla de Sousa Araújo",$B:$B,"&lt;&gt;Lorena Dias de Araujo",$B:$B,"&lt;&gt;Lucas Luiz Romero")*(23/1083),IF(C2155="JR",SUMIFS($D:$D,$A:$A,$A2155,$B:$B,"&lt;&gt;Patrícia Karla de Sousa Araújo",$B:$B,"&lt;&gt;Lorena Dias de Araujo",$B:$B,"&lt;&gt;Lucas Luiz Romero")*(20/1083),IF(C2155="Estágio",SUMIFS($D:$D,$A:$A,$A2155,$B:$B,"&lt;&gt;Patrícia Karla de Sousa Araújo",$B:$B,"&lt;&gt;Lorena Dias de Araujo",$B:$B,"&lt;&gt;Lucas Luiz Romero")*(10/1083),0)))))),0)</f>
        <v/>
      </c>
      <c r="K2155" s="3">
        <f>I2155-J2155</f>
        <v/>
      </c>
      <c r="L2155" s="3">
        <f>IF(K2155&lt;-5,"CRÍTICO",IF(K2155&lt;0,"ATENÇÃO",IF(K2155&lt;=5,"BOM","EXCELENTE")))</f>
        <v/>
      </c>
      <c r="M2155" t="n">
        <v>6</v>
      </c>
      <c r="N2155" t="n">
        <v>98.65000000000001</v>
      </c>
      <c r="O2155" t="n">
        <v>24.36974789915966</v>
      </c>
    </row>
    <row r="2156" hidden="1">
      <c r="A2156" s="11" t="n">
        <v>46101</v>
      </c>
      <c r="B2156" t="inlineStr">
        <is>
          <t>Gabriel Gomes de Andrade</t>
        </is>
      </c>
      <c r="C2156" t="inlineStr">
        <is>
          <t>Técnico I</t>
        </is>
      </c>
      <c r="D2156" t="n">
        <v>19</v>
      </c>
      <c r="E2156" t="n">
        <v>17</v>
      </c>
      <c r="F2156" t="n">
        <v>17.27</v>
      </c>
      <c r="G2156" t="n">
        <v>0</v>
      </c>
      <c r="H2156" t="n">
        <v>0</v>
      </c>
      <c r="I2156" s="3">
        <f>E2156+G2156+H2156</f>
        <v/>
      </c>
      <c r="J2156" s="3">
        <f>ROUND(MIN(IF(C2156="Técnico III",35,IF(C2156="Técnico II",28,IF(C2156="Técnico I",23,IF(C2156="JR",20,IF(C2156="Estágio",10,0))))),IF(C2156="Técnico III",SUMIFS($D:$D,$A:$A,$A2156,$B:$B,"&lt;&gt;Patrícia Karla de Sousa Araújo",$B:$B,"&lt;&gt;Lorena Dias de Araujo",$B:$B,"&lt;&gt;Lucas Luiz Romero")*(35/1083),IF(C2156="Técnico II",SUMIFS($D:$D,$A:$A,$A2156,$B:$B,"&lt;&gt;Patrícia Karla de Sousa Araújo",$B:$B,"&lt;&gt;Lorena Dias de Araujo",$B:$B,"&lt;&gt;Lucas Luiz Romero")*(28/1083),IF(C2156="Técnico I",SUMIFS($D:$D,$A:$A,$A2156,$B:$B,"&lt;&gt;Patrícia Karla de Sousa Araújo",$B:$B,"&lt;&gt;Lorena Dias de Araujo",$B:$B,"&lt;&gt;Lucas Luiz Romero")*(23/1083),IF(C2156="JR",SUMIFS($D:$D,$A:$A,$A2156,$B:$B,"&lt;&gt;Patrícia Karla de Sousa Araújo",$B:$B,"&lt;&gt;Lorena Dias de Araujo",$B:$B,"&lt;&gt;Lucas Luiz Romero")*(20/1083),IF(C2156="Estágio",SUMIFS($D:$D,$A:$A,$A2156,$B:$B,"&lt;&gt;Patrícia Karla de Sousa Araújo",$B:$B,"&lt;&gt;Lorena Dias de Araujo",$B:$B,"&lt;&gt;Lucas Luiz Romero")*(10/1083),0)))))),0)</f>
        <v/>
      </c>
      <c r="K2156" s="3">
        <f>I2156-J2156</f>
        <v/>
      </c>
      <c r="L2156" s="3">
        <f>IF(K2156&lt;-5,"CRÍTICO",IF(K2156&lt;0,"ATENÇÃO",IF(K2156&lt;=5,"BOM","EXCELENTE")))</f>
        <v/>
      </c>
      <c r="N2156" t="n">
        <v>99.05</v>
      </c>
      <c r="O2156" t="n">
        <v>26.62192393736018</v>
      </c>
    </row>
    <row r="2157" hidden="1">
      <c r="A2157" s="11" t="n">
        <v>46069</v>
      </c>
      <c r="B2157" t="inlineStr">
        <is>
          <t>Isabella Borges de Oliveira</t>
        </is>
      </c>
      <c r="C2157" t="inlineStr">
        <is>
          <t>Técnico II</t>
        </is>
      </c>
      <c r="D2157" t="n">
        <v>6</v>
      </c>
      <c r="E2157" t="n">
        <v>5</v>
      </c>
      <c r="F2157" t="n">
        <v>33.3</v>
      </c>
      <c r="G2157" t="n">
        <v>0</v>
      </c>
      <c r="H2157" t="n">
        <v>0</v>
      </c>
      <c r="I2157" s="3">
        <f>E2157+G2157+H2157</f>
        <v/>
      </c>
      <c r="J2157" s="3">
        <f>ROUND(MIN(IF(C2157="Técnico III",35,IF(C2157="Técnico II",28,IF(C2157="Técnico I",23,IF(C2157="JR",20,IF(C2157="Estágio",10,0))))),IF(C2157="Técnico III",SUMIFS($D:$D,$A:$A,$A2157,$B:$B,"&lt;&gt;Patrícia Karla de Sousa Araújo",$B:$B,"&lt;&gt;Lorena Dias de Araujo",$B:$B,"&lt;&gt;Lucas Luiz Romero")*(35/1083),IF(C2157="Técnico II",SUMIFS($D:$D,$A:$A,$A2157,$B:$B,"&lt;&gt;Patrícia Karla de Sousa Araújo",$B:$B,"&lt;&gt;Lorena Dias de Araujo",$B:$B,"&lt;&gt;Lucas Luiz Romero")*(28/1083),IF(C2157="Técnico I",SUMIFS($D:$D,$A:$A,$A2157,$B:$B,"&lt;&gt;Patrícia Karla de Sousa Araújo",$B:$B,"&lt;&gt;Lorena Dias de Araujo",$B:$B,"&lt;&gt;Lucas Luiz Romero")*(23/1083),IF(C2157="JR",SUMIFS($D:$D,$A:$A,$A2157,$B:$B,"&lt;&gt;Patrícia Karla de Sousa Araújo",$B:$B,"&lt;&gt;Lorena Dias de Araujo",$B:$B,"&lt;&gt;Lucas Luiz Romero")*(20/1083),IF(C2157="Estágio",SUMIFS($D:$D,$A:$A,$A2157,$B:$B,"&lt;&gt;Patrícia Karla de Sousa Araújo",$B:$B,"&lt;&gt;Lorena Dias de Araujo",$B:$B,"&lt;&gt;Lucas Luiz Romero")*(10/1083),0)))))),0)</f>
        <v/>
      </c>
      <c r="K2157" s="3">
        <f>I2157-J2157</f>
        <v/>
      </c>
      <c r="L2157" s="3">
        <f>IF(K2157&lt;-5,"CRÍTICO",IF(K2157&lt;0,"ATENÇÃO",IF(K2157&lt;=5,"BOM","EXCELENTE")))</f>
        <v/>
      </c>
      <c r="M2157" t="n">
        <v>5</v>
      </c>
      <c r="N2157" t="n">
        <v>100</v>
      </c>
      <c r="O2157" t="n">
        <v>33.95522388059701</v>
      </c>
    </row>
    <row r="2158" hidden="1">
      <c r="A2158" s="11" t="n">
        <v>46069</v>
      </c>
      <c r="B2158" t="inlineStr">
        <is>
          <t>Janaina Lima dos Reis Urany</t>
        </is>
      </c>
      <c r="C2158" t="inlineStr">
        <is>
          <t>Técnico III</t>
        </is>
      </c>
      <c r="D2158" t="n">
        <v>8</v>
      </c>
      <c r="E2158" t="n">
        <v>6</v>
      </c>
      <c r="F2158" t="n">
        <v>22.15</v>
      </c>
      <c r="G2158" t="n">
        <v>0</v>
      </c>
      <c r="H2158" t="n">
        <v>0</v>
      </c>
      <c r="I2158" s="3">
        <f>E2158+G2158+H2158</f>
        <v/>
      </c>
      <c r="J2158" s="3">
        <f>ROUND(MIN(IF(C2158="Técnico III",35,IF(C2158="Técnico II",28,IF(C2158="Técnico I",23,IF(C2158="JR",20,IF(C2158="Estágio",10,0))))),IF(C2158="Técnico III",SUMIFS($D:$D,$A:$A,$A2158,$B:$B,"&lt;&gt;Patrícia Karla de Sousa Araújo",$B:$B,"&lt;&gt;Lorena Dias de Araujo",$B:$B,"&lt;&gt;Lucas Luiz Romero")*(35/1083),IF(C2158="Técnico II",SUMIFS($D:$D,$A:$A,$A2158,$B:$B,"&lt;&gt;Patrícia Karla de Sousa Araújo",$B:$B,"&lt;&gt;Lorena Dias de Araujo",$B:$B,"&lt;&gt;Lucas Luiz Romero")*(28/1083),IF(C2158="Técnico I",SUMIFS($D:$D,$A:$A,$A2158,$B:$B,"&lt;&gt;Patrícia Karla de Sousa Araújo",$B:$B,"&lt;&gt;Lorena Dias de Araujo",$B:$B,"&lt;&gt;Lucas Luiz Romero")*(23/1083),IF(C2158="JR",SUMIFS($D:$D,$A:$A,$A2158,$B:$B,"&lt;&gt;Patrícia Karla de Sousa Araújo",$B:$B,"&lt;&gt;Lorena Dias de Araujo",$B:$B,"&lt;&gt;Lucas Luiz Romero")*(20/1083),IF(C2158="Estágio",SUMIFS($D:$D,$A:$A,$A2158,$B:$B,"&lt;&gt;Patrícia Karla de Sousa Araújo",$B:$B,"&lt;&gt;Lorena Dias de Araujo",$B:$B,"&lt;&gt;Lucas Luiz Romero")*(10/1083),0)))))),0)</f>
        <v/>
      </c>
      <c r="K2158" s="3">
        <f>I2158-J2158</f>
        <v/>
      </c>
      <c r="L2158" s="3">
        <f>IF(K2158&lt;-5,"CRÍTICO",IF(K2158&lt;0,"ATENÇÃO",IF(K2158&lt;=5,"BOM","EXCELENTE")))</f>
        <v/>
      </c>
      <c r="M2158" t="n">
        <v>6</v>
      </c>
      <c r="N2158" t="n">
        <v>100</v>
      </c>
      <c r="O2158" t="n">
        <v>26.60944206008584</v>
      </c>
    </row>
    <row r="2159" hidden="1">
      <c r="A2159" s="11" t="n">
        <v>46069</v>
      </c>
      <c r="B2159" t="inlineStr">
        <is>
          <t>Jaqueline Evangelista da Silva Martins</t>
        </is>
      </c>
      <c r="C2159" t="inlineStr">
        <is>
          <t>Técnico III</t>
        </is>
      </c>
      <c r="D2159" t="n">
        <v>7</v>
      </c>
      <c r="E2159" t="n">
        <v>7</v>
      </c>
      <c r="F2159" t="n">
        <v>8.539999999999999</v>
      </c>
      <c r="G2159" t="n">
        <v>0</v>
      </c>
      <c r="H2159" t="n">
        <v>0</v>
      </c>
      <c r="I2159" s="3">
        <f>E2159+G2159+H2159</f>
        <v/>
      </c>
      <c r="J2159" s="3">
        <f>ROUND(MIN(IF(C2159="Técnico III",35,IF(C2159="Técnico II",28,IF(C2159="Técnico I",23,IF(C2159="JR",20,IF(C2159="Estágio",10,0))))),IF(C2159="Técnico III",SUMIFS($D:$D,$A:$A,$A2159,$B:$B,"&lt;&gt;Patrícia Karla de Sousa Araújo",$B:$B,"&lt;&gt;Lorena Dias de Araujo",$B:$B,"&lt;&gt;Lucas Luiz Romero")*(35/1083),IF(C2159="Técnico II",SUMIFS($D:$D,$A:$A,$A2159,$B:$B,"&lt;&gt;Patrícia Karla de Sousa Araújo",$B:$B,"&lt;&gt;Lorena Dias de Araujo",$B:$B,"&lt;&gt;Lucas Luiz Romero")*(28/1083),IF(C2159="Técnico I",SUMIFS($D:$D,$A:$A,$A2159,$B:$B,"&lt;&gt;Patrícia Karla de Sousa Araújo",$B:$B,"&lt;&gt;Lorena Dias de Araujo",$B:$B,"&lt;&gt;Lucas Luiz Romero")*(23/1083),IF(C2159="JR",SUMIFS($D:$D,$A:$A,$A2159,$B:$B,"&lt;&gt;Patrícia Karla de Sousa Araújo",$B:$B,"&lt;&gt;Lorena Dias de Araujo",$B:$B,"&lt;&gt;Lucas Luiz Romero")*(20/1083),IF(C2159="Estágio",SUMIFS($D:$D,$A:$A,$A2159,$B:$B,"&lt;&gt;Patrícia Karla de Sousa Araújo",$B:$B,"&lt;&gt;Lorena Dias de Araujo",$B:$B,"&lt;&gt;Lucas Luiz Romero")*(10/1083),0)))))),0)</f>
        <v/>
      </c>
      <c r="K2159" s="3">
        <f>I2159-J2159</f>
        <v/>
      </c>
      <c r="L2159" s="3">
        <f>IF(K2159&lt;-5,"CRÍTICO",IF(K2159&lt;0,"ATENÇÃO",IF(K2159&lt;=5,"BOM","EXCELENTE")))</f>
        <v/>
      </c>
      <c r="M2159" t="n">
        <v>7</v>
      </c>
      <c r="N2159" t="n">
        <v>98.44</v>
      </c>
      <c r="O2159" t="n">
        <v>26.53721682847896</v>
      </c>
    </row>
    <row r="2160" hidden="1">
      <c r="A2160" s="11" t="n">
        <v>46069</v>
      </c>
      <c r="B2160" t="inlineStr">
        <is>
          <t>Jessica Faria da Silveira</t>
        </is>
      </c>
      <c r="C2160" t="inlineStr">
        <is>
          <t>Técnico II</t>
        </is>
      </c>
      <c r="D2160" t="n">
        <v>8</v>
      </c>
      <c r="E2160" t="n">
        <v>7</v>
      </c>
      <c r="F2160" t="n">
        <v>23.33</v>
      </c>
      <c r="G2160" t="n">
        <v>0</v>
      </c>
      <c r="H2160" t="n">
        <v>0</v>
      </c>
      <c r="I2160" s="3">
        <f>E2160+G2160+H2160</f>
        <v/>
      </c>
      <c r="J2160" s="3">
        <f>ROUND(MIN(IF(C2160="Técnico III",35,IF(C2160="Técnico II",28,IF(C2160="Técnico I",23,IF(C2160="JR",20,IF(C2160="Estágio",10,0))))),IF(C2160="Técnico III",SUMIFS($D:$D,$A:$A,$A2160,$B:$B,"&lt;&gt;Patrícia Karla de Sousa Araújo",$B:$B,"&lt;&gt;Lorena Dias de Araujo",$B:$B,"&lt;&gt;Lucas Luiz Romero")*(35/1083),IF(C2160="Técnico II",SUMIFS($D:$D,$A:$A,$A2160,$B:$B,"&lt;&gt;Patrícia Karla de Sousa Araújo",$B:$B,"&lt;&gt;Lorena Dias de Araujo",$B:$B,"&lt;&gt;Lucas Luiz Romero")*(28/1083),IF(C2160="Técnico I",SUMIFS($D:$D,$A:$A,$A2160,$B:$B,"&lt;&gt;Patrícia Karla de Sousa Araújo",$B:$B,"&lt;&gt;Lorena Dias de Araujo",$B:$B,"&lt;&gt;Lucas Luiz Romero")*(23/1083),IF(C2160="JR",SUMIFS($D:$D,$A:$A,$A2160,$B:$B,"&lt;&gt;Patrícia Karla de Sousa Araújo",$B:$B,"&lt;&gt;Lorena Dias de Araujo",$B:$B,"&lt;&gt;Lucas Luiz Romero")*(20/1083),IF(C2160="Estágio",SUMIFS($D:$D,$A:$A,$A2160,$B:$B,"&lt;&gt;Patrícia Karla de Sousa Araújo",$B:$B,"&lt;&gt;Lorena Dias de Araujo",$B:$B,"&lt;&gt;Lucas Luiz Romero")*(10/1083),0)))))),0)</f>
        <v/>
      </c>
      <c r="K2160" s="3">
        <f>I2160-J2160</f>
        <v/>
      </c>
      <c r="L2160" s="3">
        <f>IF(K2160&lt;-5,"CRÍTICO",IF(K2160&lt;0,"ATENÇÃO",IF(K2160&lt;=5,"BOM","EXCELENTE")))</f>
        <v/>
      </c>
      <c r="M2160" t="n">
        <v>6</v>
      </c>
      <c r="N2160" t="n">
        <v>100</v>
      </c>
      <c r="O2160" t="n">
        <v>27.09163346613546</v>
      </c>
    </row>
    <row r="2161" hidden="1">
      <c r="A2161" s="11" t="n">
        <v>46069</v>
      </c>
      <c r="B2161" t="inlineStr">
        <is>
          <t>Jéssica Fé Moura</t>
        </is>
      </c>
      <c r="C2161" t="inlineStr">
        <is>
          <t>Técnico III</t>
        </is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s="3" t="n">
        <v>0</v>
      </c>
      <c r="J2161" s="3" t="n">
        <v>0</v>
      </c>
      <c r="K2161" s="3" t="n">
        <v>0</v>
      </c>
      <c r="L2161" s="3">
        <f>IF(K2161&lt;-5,"CRÍTICO",IF(K2161&lt;0,"ATENÇÃO",IF(K2161&lt;=5,"BOM","EXCELENTE")))</f>
        <v/>
      </c>
      <c r="M2161" t="n">
        <v>0</v>
      </c>
      <c r="N2161" t="n">
        <v>100</v>
      </c>
      <c r="O2161" t="n">
        <v>0</v>
      </c>
    </row>
    <row r="2162" hidden="1">
      <c r="A2162" s="11" t="n">
        <v>46069</v>
      </c>
      <c r="B2162" t="inlineStr">
        <is>
          <t>Karina Gonçalves Martins</t>
        </is>
      </c>
      <c r="C2162" t="inlineStr">
        <is>
          <t>JR</t>
        </is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s="3" t="n">
        <v>0</v>
      </c>
      <c r="J2162" s="3" t="n">
        <v>0</v>
      </c>
      <c r="K2162" s="3" t="n">
        <v>0</v>
      </c>
      <c r="L2162" s="3">
        <f>IF(K2162&lt;-5,"CRÍTICO",IF(K2162&lt;0,"ATENÇÃO",IF(K2162&lt;=5,"BOM","EXCELENTE")))</f>
        <v/>
      </c>
      <c r="M2162" t="n">
        <v>0</v>
      </c>
      <c r="N2162" t="n">
        <v>97.06</v>
      </c>
      <c r="O2162" t="n">
        <v>31.70731707317073</v>
      </c>
    </row>
    <row r="2163" hidden="1">
      <c r="A2163" s="11" t="n">
        <v>46069</v>
      </c>
      <c r="B2163" t="inlineStr">
        <is>
          <t>Kerollen Cristielly de Jesus Siqueira</t>
        </is>
      </c>
      <c r="C2163" t="inlineStr">
        <is>
          <t>Técnico III</t>
        </is>
      </c>
      <c r="D2163" t="n">
        <v>7</v>
      </c>
      <c r="E2163" t="n">
        <v>6</v>
      </c>
      <c r="F2163" t="n">
        <v>22.25</v>
      </c>
      <c r="G2163" t="n">
        <v>0</v>
      </c>
      <c r="H2163" t="n">
        <v>0</v>
      </c>
      <c r="I2163" s="3">
        <f>E2163+G2163+H2163</f>
        <v/>
      </c>
      <c r="J2163" s="3">
        <f>ROUND(MIN(IF(C2163="Técnico III",35,IF(C2163="Técnico II",28,IF(C2163="Técnico I",23,IF(C2163="JR",20,IF(C2163="Estágio",10,0))))),IF(C2163="Técnico III",SUMIFS($D:$D,$A:$A,$A2163,$B:$B,"&lt;&gt;Patrícia Karla de Sousa Araújo",$B:$B,"&lt;&gt;Lorena Dias de Araujo",$B:$B,"&lt;&gt;Lucas Luiz Romero")*(35/1083),IF(C2163="Técnico II",SUMIFS($D:$D,$A:$A,$A2163,$B:$B,"&lt;&gt;Patrícia Karla de Sousa Araújo",$B:$B,"&lt;&gt;Lorena Dias de Araujo",$B:$B,"&lt;&gt;Lucas Luiz Romero")*(28/1083),IF(C2163="Técnico I",SUMIFS($D:$D,$A:$A,$A2163,$B:$B,"&lt;&gt;Patrícia Karla de Sousa Araújo",$B:$B,"&lt;&gt;Lorena Dias de Araujo",$B:$B,"&lt;&gt;Lucas Luiz Romero")*(23/1083),IF(C2163="JR",SUMIFS($D:$D,$A:$A,$A2163,$B:$B,"&lt;&gt;Patrícia Karla de Sousa Araújo",$B:$B,"&lt;&gt;Lorena Dias de Araujo",$B:$B,"&lt;&gt;Lucas Luiz Romero")*(20/1083),IF(C2163="Estágio",SUMIFS($D:$D,$A:$A,$A2163,$B:$B,"&lt;&gt;Patrícia Karla de Sousa Araújo",$B:$B,"&lt;&gt;Lorena Dias de Araujo",$B:$B,"&lt;&gt;Lucas Luiz Romero")*(10/1083),0)))))),0)</f>
        <v/>
      </c>
      <c r="K2163" s="3">
        <f>I2163-J2163</f>
        <v/>
      </c>
      <c r="L2163" s="3">
        <f>IF(K2163&lt;-5,"CRÍTICO",IF(K2163&lt;0,"ATENÇÃO",IF(K2163&lt;=5,"BOM","EXCELENTE")))</f>
        <v/>
      </c>
      <c r="M2163" t="n">
        <v>5</v>
      </c>
      <c r="N2163" t="n">
        <v>100</v>
      </c>
      <c r="O2163" t="n">
        <v>19.51219512195122</v>
      </c>
    </row>
    <row r="2164" hidden="1">
      <c r="A2164" s="11" t="n">
        <v>46069</v>
      </c>
      <c r="B2164" t="inlineStr">
        <is>
          <t>Leandro de Souza Silva</t>
        </is>
      </c>
      <c r="C2164" t="inlineStr">
        <is>
          <t>JR</t>
        </is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s="3" t="n">
        <v>0</v>
      </c>
      <c r="J2164" s="3" t="n">
        <v>0</v>
      </c>
      <c r="K2164" s="3" t="n">
        <v>0</v>
      </c>
      <c r="L2164" s="3">
        <f>IF(K2164&lt;-5,"CRÍTICO",IF(K2164&lt;0,"ATENÇÃO",IF(K2164&lt;=5,"BOM","EXCELENTE")))</f>
        <v/>
      </c>
      <c r="M2164" t="n">
        <v>0</v>
      </c>
      <c r="N2164" t="n">
        <v>0</v>
      </c>
      <c r="O2164" t="n">
        <v>0</v>
      </c>
    </row>
    <row r="2165" hidden="1">
      <c r="A2165" s="11" t="n">
        <v>46069</v>
      </c>
      <c r="B2165" t="inlineStr">
        <is>
          <t>Leandro Oliveira de Sousa</t>
        </is>
      </c>
      <c r="C2165" t="inlineStr">
        <is>
          <t>Técnico III</t>
        </is>
      </c>
      <c r="D2165" t="n">
        <v>8</v>
      </c>
      <c r="E2165" t="n">
        <v>8</v>
      </c>
      <c r="F2165" t="n">
        <v>34.19</v>
      </c>
      <c r="G2165" t="n">
        <v>0</v>
      </c>
      <c r="H2165" t="n">
        <v>0</v>
      </c>
      <c r="I2165" s="3">
        <f>E2165+G2165+H2165</f>
        <v/>
      </c>
      <c r="J2165" s="3">
        <f>ROUND(MIN(IF(C2165="Técnico III",35,IF(C2165="Técnico II",28,IF(C2165="Técnico I",23,IF(C2165="JR",20,IF(C2165="Estágio",10,0))))),IF(C2165="Técnico III",SUMIFS($D:$D,$A:$A,$A2165,$B:$B,"&lt;&gt;Patrícia Karla de Sousa Araújo",$B:$B,"&lt;&gt;Lorena Dias de Araujo",$B:$B,"&lt;&gt;Lucas Luiz Romero")*(35/1083),IF(C2165="Técnico II",SUMIFS($D:$D,$A:$A,$A2165,$B:$B,"&lt;&gt;Patrícia Karla de Sousa Araújo",$B:$B,"&lt;&gt;Lorena Dias de Araujo",$B:$B,"&lt;&gt;Lucas Luiz Romero")*(28/1083),IF(C2165="Técnico I",SUMIFS($D:$D,$A:$A,$A2165,$B:$B,"&lt;&gt;Patrícia Karla de Sousa Araújo",$B:$B,"&lt;&gt;Lorena Dias de Araujo",$B:$B,"&lt;&gt;Lucas Luiz Romero")*(23/1083),IF(C2165="JR",SUMIFS($D:$D,$A:$A,$A2165,$B:$B,"&lt;&gt;Patrícia Karla de Sousa Araújo",$B:$B,"&lt;&gt;Lorena Dias de Araujo",$B:$B,"&lt;&gt;Lucas Luiz Romero")*(20/1083),IF(C2165="Estágio",SUMIFS($D:$D,$A:$A,$A2165,$B:$B,"&lt;&gt;Patrícia Karla de Sousa Araújo",$B:$B,"&lt;&gt;Lorena Dias de Araujo",$B:$B,"&lt;&gt;Lucas Luiz Romero")*(10/1083),0)))))),0)</f>
        <v/>
      </c>
      <c r="K2165" s="3">
        <f>I2165-J2165</f>
        <v/>
      </c>
      <c r="L2165" s="3">
        <f>IF(K2165&lt;-5,"CRÍTICO",IF(K2165&lt;0,"ATENÇÃO",IF(K2165&lt;=5,"BOM","EXCELENTE")))</f>
        <v/>
      </c>
      <c r="M2165" t="n">
        <v>8</v>
      </c>
      <c r="N2165" t="n">
        <v>98.92</v>
      </c>
      <c r="O2165" t="n">
        <v>33.74485596707819</v>
      </c>
    </row>
    <row r="2166" hidden="1">
      <c r="A2166" s="11" t="n">
        <v>46069</v>
      </c>
      <c r="B2166" t="inlineStr">
        <is>
          <t>Lizandra Gomes Duarte</t>
        </is>
      </c>
      <c r="C2166" t="inlineStr">
        <is>
          <t>Técnico II</t>
        </is>
      </c>
      <c r="D2166" t="n">
        <v>6</v>
      </c>
      <c r="E2166" t="n">
        <v>6</v>
      </c>
      <c r="F2166" t="n">
        <v>48.53</v>
      </c>
      <c r="G2166" t="n">
        <v>0</v>
      </c>
      <c r="H2166" t="n">
        <v>0</v>
      </c>
      <c r="I2166" s="3">
        <f>E2166+G2166+H2166</f>
        <v/>
      </c>
      <c r="J2166" s="3">
        <f>ROUND(MIN(IF(C2166="Técnico III",35,IF(C2166="Técnico II",28,IF(C2166="Técnico I",23,IF(C2166="JR",20,IF(C2166="Estágio",10,0))))),IF(C2166="Técnico III",SUMIFS($D:$D,$A:$A,$A2166,$B:$B,"&lt;&gt;Patrícia Karla de Sousa Araújo",$B:$B,"&lt;&gt;Lorena Dias de Araujo",$B:$B,"&lt;&gt;Lucas Luiz Romero")*(35/1083),IF(C2166="Técnico II",SUMIFS($D:$D,$A:$A,$A2166,$B:$B,"&lt;&gt;Patrícia Karla de Sousa Araújo",$B:$B,"&lt;&gt;Lorena Dias de Araujo",$B:$B,"&lt;&gt;Lucas Luiz Romero")*(28/1083),IF(C2166="Técnico I",SUMIFS($D:$D,$A:$A,$A2166,$B:$B,"&lt;&gt;Patrícia Karla de Sousa Araújo",$B:$B,"&lt;&gt;Lorena Dias de Araujo",$B:$B,"&lt;&gt;Lucas Luiz Romero")*(23/1083),IF(C2166="JR",SUMIFS($D:$D,$A:$A,$A2166,$B:$B,"&lt;&gt;Patrícia Karla de Sousa Araújo",$B:$B,"&lt;&gt;Lorena Dias de Araujo",$B:$B,"&lt;&gt;Lucas Luiz Romero")*(20/1083),IF(C2166="Estágio",SUMIFS($D:$D,$A:$A,$A2166,$B:$B,"&lt;&gt;Patrícia Karla de Sousa Araújo",$B:$B,"&lt;&gt;Lorena Dias de Araujo",$B:$B,"&lt;&gt;Lucas Luiz Romero")*(10/1083),0)))))),0)</f>
        <v/>
      </c>
      <c r="K2166" s="3">
        <f>I2166-J2166</f>
        <v/>
      </c>
      <c r="L2166" s="3">
        <f>IF(K2166&lt;-5,"CRÍTICO",IF(K2166&lt;0,"ATENÇÃO",IF(K2166&lt;=5,"BOM","EXCELENTE")))</f>
        <v/>
      </c>
      <c r="M2166" t="n">
        <v>35</v>
      </c>
      <c r="N2166" t="n">
        <v>96.67</v>
      </c>
      <c r="O2166" t="n">
        <v>27.10622710622711</v>
      </c>
    </row>
    <row r="2167" hidden="1">
      <c r="A2167" s="11" t="n">
        <v>46069</v>
      </c>
      <c r="B2167" t="inlineStr">
        <is>
          <t>Lorena Dias de Araujo</t>
        </is>
      </c>
      <c r="C2167" t="inlineStr">
        <is>
          <t>Técnico II</t>
        </is>
      </c>
      <c r="D2167" t="n">
        <v>7</v>
      </c>
      <c r="E2167" t="n">
        <v>7</v>
      </c>
      <c r="F2167" t="n">
        <v>35.48</v>
      </c>
      <c r="G2167" t="n">
        <v>0</v>
      </c>
      <c r="H2167" t="n">
        <v>0</v>
      </c>
      <c r="I2167" s="3" t="n">
        <v>0</v>
      </c>
      <c r="J2167" s="3" t="n">
        <v>0</v>
      </c>
      <c r="K2167" s="3" t="n">
        <v>0</v>
      </c>
      <c r="L2167" s="3">
        <f>IF(K2167&lt;-5,"CRÍTICO",IF(K2167&lt;0,"ATENÇÃO",IF(K2167&lt;=5,"BOM","EXCELENTE")))</f>
        <v/>
      </c>
      <c r="M2167" t="n">
        <v>5</v>
      </c>
      <c r="N2167" t="n">
        <v>98.67</v>
      </c>
      <c r="O2167" t="n">
        <v>30.81967213114754</v>
      </c>
    </row>
    <row r="2168" hidden="1">
      <c r="A2168" s="11" t="n">
        <v>46069</v>
      </c>
      <c r="B2168" t="inlineStr">
        <is>
          <t>Lucas Luiz Romero</t>
        </is>
      </c>
      <c r="C2168" t="inlineStr">
        <is>
          <t>Técnico III</t>
        </is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s="3" t="n">
        <v>0</v>
      </c>
      <c r="J2168" s="3" t="n">
        <v>0</v>
      </c>
      <c r="K2168" s="3" t="n">
        <v>0</v>
      </c>
      <c r="L2168" s="3">
        <f>IF(K2168&lt;-5,"CRÍTICO",IF(K2168&lt;0,"ATENÇÃO",IF(K2168&lt;=5,"BOM","EXCELENTE")))</f>
        <v/>
      </c>
      <c r="M2168" t="n">
        <v>0</v>
      </c>
      <c r="N2168" t="n">
        <v>97.56</v>
      </c>
      <c r="O2168" t="n">
        <v>25.51020408163265</v>
      </c>
    </row>
    <row r="2169" hidden="1">
      <c r="A2169" s="11" t="n">
        <v>46069</v>
      </c>
      <c r="B2169" t="inlineStr">
        <is>
          <t>Luiz Fernando de Carvalho Junior</t>
        </is>
      </c>
      <c r="C2169" t="inlineStr">
        <is>
          <t>Técnico I</t>
        </is>
      </c>
      <c r="D2169" t="n">
        <v>7</v>
      </c>
      <c r="E2169" t="n">
        <v>7</v>
      </c>
      <c r="F2169" t="n">
        <v>22.37</v>
      </c>
      <c r="G2169" t="n">
        <v>0</v>
      </c>
      <c r="H2169" t="n">
        <v>0</v>
      </c>
      <c r="I2169" s="3">
        <f>E2169+G2169+H2169</f>
        <v/>
      </c>
      <c r="J2169" s="3">
        <f>ROUND(MIN(IF(C2169="Técnico III",35,IF(C2169="Técnico II",28,IF(C2169="Técnico I",23,IF(C2169="JR",20,IF(C2169="Estágio",10,0))))),IF(C2169="Técnico III",SUMIFS($D:$D,$A:$A,$A2169,$B:$B,"&lt;&gt;Patrícia Karla de Sousa Araújo",$B:$B,"&lt;&gt;Lorena Dias de Araujo",$B:$B,"&lt;&gt;Lucas Luiz Romero")*(35/1083),IF(C2169="Técnico II",SUMIFS($D:$D,$A:$A,$A2169,$B:$B,"&lt;&gt;Patrícia Karla de Sousa Araújo",$B:$B,"&lt;&gt;Lorena Dias de Araujo",$B:$B,"&lt;&gt;Lucas Luiz Romero")*(28/1083),IF(C2169="Técnico I",SUMIFS($D:$D,$A:$A,$A2169,$B:$B,"&lt;&gt;Patrícia Karla de Sousa Araújo",$B:$B,"&lt;&gt;Lorena Dias de Araujo",$B:$B,"&lt;&gt;Lucas Luiz Romero")*(23/1083),IF(C2169="JR",SUMIFS($D:$D,$A:$A,$A2169,$B:$B,"&lt;&gt;Patrícia Karla de Sousa Araújo",$B:$B,"&lt;&gt;Lorena Dias de Araujo",$B:$B,"&lt;&gt;Lucas Luiz Romero")*(20/1083),IF(C2169="Estágio",SUMIFS($D:$D,$A:$A,$A2169,$B:$B,"&lt;&gt;Patrícia Karla de Sousa Araújo",$B:$B,"&lt;&gt;Lorena Dias de Araujo",$B:$B,"&lt;&gt;Lucas Luiz Romero")*(10/1083),0)))))),0)</f>
        <v/>
      </c>
      <c r="K2169" s="3">
        <f>I2169-J2169</f>
        <v/>
      </c>
      <c r="L2169" s="3">
        <f>IF(K2169&lt;-5,"CRÍTICO",IF(K2169&lt;0,"ATENÇÃO",IF(K2169&lt;=5,"BOM","EXCELENTE")))</f>
        <v/>
      </c>
      <c r="M2169" t="n">
        <v>6</v>
      </c>
      <c r="N2169" t="n">
        <v>100</v>
      </c>
      <c r="O2169" t="n">
        <v>26.00896860986547</v>
      </c>
    </row>
    <row r="2170" hidden="1">
      <c r="A2170" s="11" t="n">
        <v>46069</v>
      </c>
      <c r="B2170" t="inlineStr">
        <is>
          <t>Maria Eduarda Sousa Costa</t>
        </is>
      </c>
      <c r="C2170" t="inlineStr">
        <is>
          <t>Estágio</t>
        </is>
      </c>
      <c r="D2170" t="n">
        <v>4</v>
      </c>
      <c r="E2170" t="n">
        <v>4</v>
      </c>
      <c r="F2170" t="n">
        <v>26.59</v>
      </c>
      <c r="G2170" t="n">
        <v>0</v>
      </c>
      <c r="H2170" t="n">
        <v>0</v>
      </c>
      <c r="I2170" s="3">
        <f>E2170+G2170+H2170</f>
        <v/>
      </c>
      <c r="J2170" s="3">
        <f>ROUND(MIN(IF(C2170="Técnico III",35,IF(C2170="Técnico II",28,IF(C2170="Técnico I",23,IF(C2170="JR",20,IF(C2170="Estágio",10,0))))),IF(C2170="Técnico III",SUMIFS($D:$D,$A:$A,$A2170,$B:$B,"&lt;&gt;Patrícia Karla de Sousa Araújo",$B:$B,"&lt;&gt;Lorena Dias de Araujo",$B:$B,"&lt;&gt;Lucas Luiz Romero")*(35/1083),IF(C2170="Técnico II",SUMIFS($D:$D,$A:$A,$A2170,$B:$B,"&lt;&gt;Patrícia Karla de Sousa Araújo",$B:$B,"&lt;&gt;Lorena Dias de Araujo",$B:$B,"&lt;&gt;Lucas Luiz Romero")*(28/1083),IF(C2170="Técnico I",SUMIFS($D:$D,$A:$A,$A2170,$B:$B,"&lt;&gt;Patrícia Karla de Sousa Araújo",$B:$B,"&lt;&gt;Lorena Dias de Araujo",$B:$B,"&lt;&gt;Lucas Luiz Romero")*(23/1083),IF(C2170="JR",SUMIFS($D:$D,$A:$A,$A2170,$B:$B,"&lt;&gt;Patrícia Karla de Sousa Araújo",$B:$B,"&lt;&gt;Lorena Dias de Araujo",$B:$B,"&lt;&gt;Lucas Luiz Romero")*(20/1083),IF(C2170="Estágio",SUMIFS($D:$D,$A:$A,$A2170,$B:$B,"&lt;&gt;Patrícia Karla de Sousa Araújo",$B:$B,"&lt;&gt;Lorena Dias de Araujo",$B:$B,"&lt;&gt;Lucas Luiz Romero")*(10/1083),0)))))),0)</f>
        <v/>
      </c>
      <c r="K2170" s="3">
        <f>I2170-J2170</f>
        <v/>
      </c>
      <c r="L2170" s="3">
        <f>IF(K2170&lt;-5,"CRÍTICO",IF(K2170&lt;0,"ATENÇÃO",IF(K2170&lt;=5,"BOM","EXCELENTE")))</f>
        <v/>
      </c>
      <c r="M2170" t="n">
        <v>3</v>
      </c>
      <c r="N2170" t="n">
        <v>100</v>
      </c>
      <c r="O2170" t="n">
        <v>29.16666666666667</v>
      </c>
    </row>
    <row r="2171" hidden="1">
      <c r="A2171" s="11" t="n">
        <v>46069</v>
      </c>
      <c r="B2171" t="inlineStr">
        <is>
          <t>Matheus Farias De Souza</t>
        </is>
      </c>
      <c r="C2171" t="inlineStr">
        <is>
          <t>Técnico III</t>
        </is>
      </c>
      <c r="D2171" t="n">
        <v>2</v>
      </c>
      <c r="E2171" t="n">
        <v>2</v>
      </c>
      <c r="F2171" t="n">
        <v>38.51</v>
      </c>
      <c r="G2171" t="n">
        <v>0</v>
      </c>
      <c r="H2171" t="n">
        <v>0</v>
      </c>
      <c r="I2171" s="3">
        <f>E2171+G2171+H2171</f>
        <v/>
      </c>
      <c r="J2171" s="3">
        <f>ROUND(MIN(IF(C2171="Técnico III",35,IF(C2171="Técnico II",28,IF(C2171="Técnico I",23,IF(C2171="JR",20,IF(C2171="Estágio",10,0))))),IF(C2171="Técnico III",SUMIFS($D:$D,$A:$A,$A2171,$B:$B,"&lt;&gt;Patrícia Karla de Sousa Araújo",$B:$B,"&lt;&gt;Lorena Dias de Araujo",$B:$B,"&lt;&gt;Lucas Luiz Romero")*(35/1083),IF(C2171="Técnico II",SUMIFS($D:$D,$A:$A,$A2171,$B:$B,"&lt;&gt;Patrícia Karla de Sousa Araújo",$B:$B,"&lt;&gt;Lorena Dias de Araujo",$B:$B,"&lt;&gt;Lucas Luiz Romero")*(28/1083),IF(C2171="Técnico I",SUMIFS($D:$D,$A:$A,$A2171,$B:$B,"&lt;&gt;Patrícia Karla de Sousa Araújo",$B:$B,"&lt;&gt;Lorena Dias de Araujo",$B:$B,"&lt;&gt;Lucas Luiz Romero")*(23/1083),IF(C2171="JR",SUMIFS($D:$D,$A:$A,$A2171,$B:$B,"&lt;&gt;Patrícia Karla de Sousa Araújo",$B:$B,"&lt;&gt;Lorena Dias de Araujo",$B:$B,"&lt;&gt;Lucas Luiz Romero")*(20/1083),IF(C2171="Estágio",SUMIFS($D:$D,$A:$A,$A2171,$B:$B,"&lt;&gt;Patrícia Karla de Sousa Araújo",$B:$B,"&lt;&gt;Lorena Dias de Araujo",$B:$B,"&lt;&gt;Lucas Luiz Romero")*(10/1083),0)))))),0)</f>
        <v/>
      </c>
      <c r="K2171" s="3">
        <f>I2171-J2171</f>
        <v/>
      </c>
      <c r="L2171" s="3">
        <f>IF(K2171&lt;-5,"CRÍTICO",IF(K2171&lt;0,"ATENÇÃO",IF(K2171&lt;=5,"BOM","EXCELENTE")))</f>
        <v/>
      </c>
      <c r="M2171" t="n">
        <v>3</v>
      </c>
      <c r="N2171" t="n">
        <v>98.33</v>
      </c>
      <c r="O2171" t="n">
        <v>31.66144200626959</v>
      </c>
    </row>
    <row r="2172" hidden="1">
      <c r="A2172" s="11" t="n">
        <v>46069</v>
      </c>
      <c r="B2172" t="inlineStr">
        <is>
          <t>Maysa Victoria Dias Moura</t>
        </is>
      </c>
      <c r="C2172" t="inlineStr">
        <is>
          <t>Técnico III</t>
        </is>
      </c>
      <c r="D2172" t="n">
        <v>7</v>
      </c>
      <c r="E2172" t="n">
        <v>5</v>
      </c>
      <c r="F2172" t="n">
        <v>7.07</v>
      </c>
      <c r="G2172" t="n">
        <v>0</v>
      </c>
      <c r="H2172" t="n">
        <v>0</v>
      </c>
      <c r="I2172" s="3">
        <f>E2172+G2172+H2172</f>
        <v/>
      </c>
      <c r="J2172" s="3">
        <f>ROUND(MIN(IF(C2172="Técnico III",35,IF(C2172="Técnico II",28,IF(C2172="Técnico I",23,IF(C2172="JR",20,IF(C2172="Estágio",10,0))))),IF(C2172="Técnico III",SUMIFS($D:$D,$A:$A,$A2172,$B:$B,"&lt;&gt;Patrícia Karla de Sousa Araújo",$B:$B,"&lt;&gt;Lorena Dias de Araujo",$B:$B,"&lt;&gt;Lucas Luiz Romero")*(35/1083),IF(C2172="Técnico II",SUMIFS($D:$D,$A:$A,$A2172,$B:$B,"&lt;&gt;Patrícia Karla de Sousa Araújo",$B:$B,"&lt;&gt;Lorena Dias de Araujo",$B:$B,"&lt;&gt;Lucas Luiz Romero")*(28/1083),IF(C2172="Técnico I",SUMIFS($D:$D,$A:$A,$A2172,$B:$B,"&lt;&gt;Patrícia Karla de Sousa Araújo",$B:$B,"&lt;&gt;Lorena Dias de Araujo",$B:$B,"&lt;&gt;Lucas Luiz Romero")*(23/1083),IF(C2172="JR",SUMIFS($D:$D,$A:$A,$A2172,$B:$B,"&lt;&gt;Patrícia Karla de Sousa Araújo",$B:$B,"&lt;&gt;Lorena Dias de Araujo",$B:$B,"&lt;&gt;Lucas Luiz Romero")*(20/1083),IF(C2172="Estágio",SUMIFS($D:$D,$A:$A,$A2172,$B:$B,"&lt;&gt;Patrícia Karla de Sousa Araújo",$B:$B,"&lt;&gt;Lorena Dias de Araujo",$B:$B,"&lt;&gt;Lucas Luiz Romero")*(10/1083),0)))))),0)</f>
        <v/>
      </c>
      <c r="K2172" s="3">
        <f>I2172-J2172</f>
        <v/>
      </c>
      <c r="L2172" s="3">
        <f>IF(K2172&lt;-5,"CRÍTICO",IF(K2172&lt;0,"ATENÇÃO",IF(K2172&lt;=5,"BOM","EXCELENTE")))</f>
        <v/>
      </c>
      <c r="M2172" t="n">
        <v>5</v>
      </c>
      <c r="N2172" t="n">
        <v>94.81</v>
      </c>
      <c r="O2172" t="n">
        <v>24.46043165467626</v>
      </c>
    </row>
    <row r="2173" hidden="1">
      <c r="A2173" s="11" t="n">
        <v>46069</v>
      </c>
      <c r="B2173" t="inlineStr">
        <is>
          <t>Michelle G Santos</t>
        </is>
      </c>
      <c r="C2173" t="inlineStr">
        <is>
          <t>Estágio</t>
        </is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s="3" t="n">
        <v>0</v>
      </c>
      <c r="J2173" s="3" t="n">
        <v>0</v>
      </c>
      <c r="K2173" s="3" t="n">
        <v>0</v>
      </c>
      <c r="L2173" s="3">
        <f>IF(K2173&lt;-5,"CRÍTICO",IF(K2173&lt;0,"ATENÇÃO",IF(K2173&lt;=5,"BOM","EXCELENTE")))</f>
        <v/>
      </c>
      <c r="M2173" t="n">
        <v>0</v>
      </c>
      <c r="N2173" t="n">
        <v>100</v>
      </c>
      <c r="O2173" t="n">
        <v>22.22222222222222</v>
      </c>
    </row>
    <row r="2174" hidden="1">
      <c r="A2174" s="11" t="n">
        <v>46069</v>
      </c>
      <c r="B2174" t="inlineStr">
        <is>
          <t>Milena Sales</t>
        </is>
      </c>
      <c r="C2174" t="inlineStr">
        <is>
          <t>JR</t>
        </is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s="3" t="n">
        <v>0</v>
      </c>
      <c r="J2174" s="3" t="n">
        <v>0</v>
      </c>
      <c r="K2174" s="3" t="n">
        <v>0</v>
      </c>
      <c r="L2174" s="3">
        <f>IF(K2174&lt;-5,"CRÍTICO",IF(K2174&lt;0,"ATENÇÃO",IF(K2174&lt;=5,"BOM","EXCELENTE")))</f>
        <v/>
      </c>
      <c r="M2174" t="n">
        <v>0</v>
      </c>
      <c r="N2174" t="n">
        <v>0</v>
      </c>
      <c r="O2174" t="n">
        <v>0</v>
      </c>
    </row>
    <row r="2175" hidden="1">
      <c r="A2175" s="11" t="n">
        <v>46069</v>
      </c>
      <c r="B2175" t="inlineStr">
        <is>
          <t>Patrícia Karla de Sousa Araújo</t>
        </is>
      </c>
      <c r="C2175" t="inlineStr">
        <is>
          <t>Técnico II</t>
        </is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s="3" t="n">
        <v>0</v>
      </c>
      <c r="J2175" s="3" t="n">
        <v>0</v>
      </c>
      <c r="K2175" s="3" t="n">
        <v>0</v>
      </c>
      <c r="L2175" s="3">
        <f>IF(K2175&lt;-5,"CRÍTICO",IF(K2175&lt;0,"ATENÇÃO",IF(K2175&lt;=5,"BOM","EXCELENTE")))</f>
        <v/>
      </c>
      <c r="M2175" t="n">
        <v>0</v>
      </c>
      <c r="N2175" t="n">
        <v>100</v>
      </c>
      <c r="O2175" t="n">
        <v>32.87671232876712</v>
      </c>
    </row>
    <row r="2176" hidden="1">
      <c r="A2176" s="11" t="n">
        <v>46069</v>
      </c>
      <c r="B2176" t="inlineStr">
        <is>
          <t>Paulo Ricardo Santos</t>
        </is>
      </c>
      <c r="C2176" t="inlineStr">
        <is>
          <t>JR</t>
        </is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s="3" t="n">
        <v>0</v>
      </c>
      <c r="J2176" s="3" t="n">
        <v>0</v>
      </c>
      <c r="K2176" s="3" t="n">
        <v>0</v>
      </c>
      <c r="L2176" s="3">
        <f>IF(K2176&lt;-5,"CRÍTICO",IF(K2176&lt;0,"ATENÇÃO",IF(K2176&lt;=5,"BOM","EXCELENTE")))</f>
        <v/>
      </c>
      <c r="M2176" t="n">
        <v>0</v>
      </c>
      <c r="N2176" t="n">
        <v>0</v>
      </c>
      <c r="O2176" t="n">
        <v>0</v>
      </c>
    </row>
    <row r="2177" hidden="1">
      <c r="A2177" s="11" t="n">
        <v>46069</v>
      </c>
      <c r="B2177" t="inlineStr">
        <is>
          <t>Pedro Luiz Mota Sousa</t>
        </is>
      </c>
      <c r="C2177" t="inlineStr">
        <is>
          <t>JR</t>
        </is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s="3" t="n">
        <v>0</v>
      </c>
      <c r="J2177" s="3" t="n">
        <v>0</v>
      </c>
      <c r="K2177" s="3" t="n">
        <v>0</v>
      </c>
      <c r="L2177" s="3">
        <f>IF(K2177&lt;-5,"CRÍTICO",IF(K2177&lt;0,"ATENÇÃO",IF(K2177&lt;=5,"BOM","EXCELENTE")))</f>
        <v/>
      </c>
      <c r="M2177" t="n">
        <v>0</v>
      </c>
      <c r="N2177" t="n">
        <v>0</v>
      </c>
      <c r="O2177" t="n">
        <v>0</v>
      </c>
    </row>
    <row r="2178" hidden="1">
      <c r="A2178" s="11" t="n">
        <v>46069</v>
      </c>
      <c r="B2178" t="inlineStr">
        <is>
          <t>Quirino Diogo Leite Torres</t>
        </is>
      </c>
      <c r="C2178" t="inlineStr">
        <is>
          <t>Estágio</t>
        </is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s="3" t="n">
        <v>0</v>
      </c>
      <c r="J2178" s="3" t="n">
        <v>0</v>
      </c>
      <c r="K2178" s="3" t="n">
        <v>0</v>
      </c>
      <c r="L2178" s="3">
        <f>IF(K2178&lt;-5,"CRÍTICO",IF(K2178&lt;0,"ATENÇÃO",IF(K2178&lt;=5,"BOM","EXCELENTE")))</f>
        <v/>
      </c>
      <c r="M2178" t="n">
        <v>0</v>
      </c>
      <c r="N2178" t="n">
        <v>0</v>
      </c>
      <c r="O2178" t="n">
        <v>0</v>
      </c>
    </row>
    <row r="2179" hidden="1">
      <c r="A2179" s="11" t="n">
        <v>46069</v>
      </c>
      <c r="B2179" t="inlineStr">
        <is>
          <t>Raane Batista Matos</t>
        </is>
      </c>
      <c r="C2179" t="inlineStr">
        <is>
          <t>Técnico I</t>
        </is>
      </c>
      <c r="D2179" t="n">
        <v>7</v>
      </c>
      <c r="E2179" t="n">
        <v>7</v>
      </c>
      <c r="F2179" t="n">
        <v>25.45</v>
      </c>
      <c r="G2179" t="n">
        <v>0</v>
      </c>
      <c r="H2179" t="n">
        <v>0</v>
      </c>
      <c r="I2179" s="3">
        <f>E2179+G2179+H2179</f>
        <v/>
      </c>
      <c r="J2179" s="3">
        <f>ROUND(MIN(IF(C2179="Técnico III",35,IF(C2179="Técnico II",28,IF(C2179="Técnico I",23,IF(C2179="JR",20,IF(C2179="Estágio",10,0))))),IF(C2179="Técnico III",SUMIFS($D:$D,$A:$A,$A2179,$B:$B,"&lt;&gt;Patrícia Karla de Sousa Araújo",$B:$B,"&lt;&gt;Lorena Dias de Araujo",$B:$B,"&lt;&gt;Lucas Luiz Romero")*(35/1083),IF(C2179="Técnico II",SUMIFS($D:$D,$A:$A,$A2179,$B:$B,"&lt;&gt;Patrícia Karla de Sousa Araújo",$B:$B,"&lt;&gt;Lorena Dias de Araujo",$B:$B,"&lt;&gt;Lucas Luiz Romero")*(28/1083),IF(C2179="Técnico I",SUMIFS($D:$D,$A:$A,$A2179,$B:$B,"&lt;&gt;Patrícia Karla de Sousa Araújo",$B:$B,"&lt;&gt;Lorena Dias de Araujo",$B:$B,"&lt;&gt;Lucas Luiz Romero")*(23/1083),IF(C2179="JR",SUMIFS($D:$D,$A:$A,$A2179,$B:$B,"&lt;&gt;Patrícia Karla de Sousa Araújo",$B:$B,"&lt;&gt;Lorena Dias de Araujo",$B:$B,"&lt;&gt;Lucas Luiz Romero")*(20/1083),IF(C2179="Estágio",SUMIFS($D:$D,$A:$A,$A2179,$B:$B,"&lt;&gt;Patrícia Karla de Sousa Araújo",$B:$B,"&lt;&gt;Lorena Dias de Araujo",$B:$B,"&lt;&gt;Lucas Luiz Romero")*(10/1083),0)))))),0)</f>
        <v/>
      </c>
      <c r="K2179" s="3">
        <f>I2179-J2179</f>
        <v/>
      </c>
      <c r="L2179" s="3">
        <f>IF(K2179&lt;-5,"CRÍTICO",IF(K2179&lt;0,"ATENÇÃO",IF(K2179&lt;=5,"BOM","EXCELENTE")))</f>
        <v/>
      </c>
      <c r="M2179" t="n">
        <v>6</v>
      </c>
      <c r="N2179" t="n">
        <v>96.88</v>
      </c>
      <c r="O2179" t="n">
        <v>32.71604938271605</v>
      </c>
    </row>
    <row r="2180" hidden="1">
      <c r="A2180" s="11" t="n">
        <v>46069</v>
      </c>
      <c r="B2180" t="inlineStr">
        <is>
          <t>Rafael Gomes de Morais</t>
        </is>
      </c>
      <c r="C2180" t="inlineStr">
        <is>
          <t>Técnico III</t>
        </is>
      </c>
      <c r="D2180" t="n">
        <v>6</v>
      </c>
      <c r="E2180" t="n">
        <v>6</v>
      </c>
      <c r="F2180" t="n">
        <v>25.48</v>
      </c>
      <c r="G2180" t="n">
        <v>0</v>
      </c>
      <c r="H2180" t="n">
        <v>0</v>
      </c>
      <c r="I2180" s="3">
        <f>E2180+G2180+H2180</f>
        <v/>
      </c>
      <c r="J2180" s="3">
        <f>ROUND(MIN(IF(C2180="Técnico III",35,IF(C2180="Técnico II",28,IF(C2180="Técnico I",23,IF(C2180="JR",20,IF(C2180="Estágio",10,0))))),IF(C2180="Técnico III",SUMIFS($D:$D,$A:$A,$A2180,$B:$B,"&lt;&gt;Patrícia Karla de Sousa Araújo",$B:$B,"&lt;&gt;Lorena Dias de Araujo",$B:$B,"&lt;&gt;Lucas Luiz Romero")*(35/1083),IF(C2180="Técnico II",SUMIFS($D:$D,$A:$A,$A2180,$B:$B,"&lt;&gt;Patrícia Karla de Sousa Araújo",$B:$B,"&lt;&gt;Lorena Dias de Araujo",$B:$B,"&lt;&gt;Lucas Luiz Romero")*(28/1083),IF(C2180="Técnico I",SUMIFS($D:$D,$A:$A,$A2180,$B:$B,"&lt;&gt;Patrícia Karla de Sousa Araújo",$B:$B,"&lt;&gt;Lorena Dias de Araujo",$B:$B,"&lt;&gt;Lucas Luiz Romero")*(23/1083),IF(C2180="JR",SUMIFS($D:$D,$A:$A,$A2180,$B:$B,"&lt;&gt;Patrícia Karla de Sousa Araújo",$B:$B,"&lt;&gt;Lorena Dias de Araujo",$B:$B,"&lt;&gt;Lucas Luiz Romero")*(20/1083),IF(C2180="Estágio",SUMIFS($D:$D,$A:$A,$A2180,$B:$B,"&lt;&gt;Patrícia Karla de Sousa Araújo",$B:$B,"&lt;&gt;Lorena Dias de Araujo",$B:$B,"&lt;&gt;Lucas Luiz Romero")*(10/1083),0)))))),0)</f>
        <v/>
      </c>
      <c r="K2180" s="3">
        <f>I2180-J2180</f>
        <v/>
      </c>
      <c r="L2180" s="3">
        <f>IF(K2180&lt;-5,"CRÍTICO",IF(K2180&lt;0,"ATENÇÃO",IF(K2180&lt;=5,"BOM","EXCELENTE")))</f>
        <v/>
      </c>
      <c r="M2180" t="n">
        <v>3</v>
      </c>
      <c r="N2180" t="n">
        <v>100</v>
      </c>
      <c r="O2180" t="n">
        <v>27.84431137724551</v>
      </c>
    </row>
    <row r="2181" hidden="1">
      <c r="A2181" s="11" t="n">
        <v>46069</v>
      </c>
      <c r="B2181" t="inlineStr">
        <is>
          <t>Sara Maria Monteiro Lopes</t>
        </is>
      </c>
      <c r="C2181" t="inlineStr">
        <is>
          <t>Técnico I</t>
        </is>
      </c>
      <c r="D2181" t="n">
        <v>7</v>
      </c>
      <c r="E2181" t="n">
        <v>7</v>
      </c>
      <c r="F2181" t="n">
        <v>27.17</v>
      </c>
      <c r="G2181" t="n">
        <v>0</v>
      </c>
      <c r="H2181" t="n">
        <v>0</v>
      </c>
      <c r="I2181" s="3">
        <f>E2181+G2181+H2181</f>
        <v/>
      </c>
      <c r="J2181" s="3">
        <f>ROUND(MIN(IF(C2181="Técnico III",35,IF(C2181="Técnico II",28,IF(C2181="Técnico I",23,IF(C2181="JR",20,IF(C2181="Estágio",10,0))))),IF(C2181="Técnico III",SUMIFS($D:$D,$A:$A,$A2181,$B:$B,"&lt;&gt;Patrícia Karla de Sousa Araújo",$B:$B,"&lt;&gt;Lorena Dias de Araujo",$B:$B,"&lt;&gt;Lucas Luiz Romero")*(35/1083),IF(C2181="Técnico II",SUMIFS($D:$D,$A:$A,$A2181,$B:$B,"&lt;&gt;Patrícia Karla de Sousa Araújo",$B:$B,"&lt;&gt;Lorena Dias de Araujo",$B:$B,"&lt;&gt;Lucas Luiz Romero")*(28/1083),IF(C2181="Técnico I",SUMIFS($D:$D,$A:$A,$A2181,$B:$B,"&lt;&gt;Patrícia Karla de Sousa Araújo",$B:$B,"&lt;&gt;Lorena Dias de Araujo",$B:$B,"&lt;&gt;Lucas Luiz Romero")*(23/1083),IF(C2181="JR",SUMIFS($D:$D,$A:$A,$A2181,$B:$B,"&lt;&gt;Patrícia Karla de Sousa Araújo",$B:$B,"&lt;&gt;Lorena Dias de Araujo",$B:$B,"&lt;&gt;Lucas Luiz Romero")*(20/1083),IF(C2181="Estágio",SUMIFS($D:$D,$A:$A,$A2181,$B:$B,"&lt;&gt;Patrícia Karla de Sousa Araújo",$B:$B,"&lt;&gt;Lorena Dias de Araujo",$B:$B,"&lt;&gt;Lucas Luiz Romero")*(10/1083),0)))))),0)</f>
        <v/>
      </c>
      <c r="K2181" s="3">
        <f>I2181-J2181</f>
        <v/>
      </c>
      <c r="L2181" s="3">
        <f>IF(K2181&lt;-5,"CRÍTICO",IF(K2181&lt;0,"ATENÇÃO",IF(K2181&lt;=5,"BOM","EXCELENTE")))</f>
        <v/>
      </c>
      <c r="M2181" t="n">
        <v>7</v>
      </c>
      <c r="N2181" t="n">
        <v>97.3</v>
      </c>
      <c r="O2181" t="n">
        <v>29.85074626865671</v>
      </c>
    </row>
    <row r="2182" hidden="1">
      <c r="A2182" s="11" t="n">
        <v>46069</v>
      </c>
      <c r="B2182" t="inlineStr">
        <is>
          <t>Sarah Steffanie de Lima Borges</t>
        </is>
      </c>
      <c r="C2182" t="inlineStr">
        <is>
          <t>Técnico III</t>
        </is>
      </c>
      <c r="D2182" t="n">
        <v>10</v>
      </c>
      <c r="E2182" t="n">
        <v>9</v>
      </c>
      <c r="F2182" t="n">
        <v>27.23</v>
      </c>
      <c r="G2182" t="n">
        <v>0</v>
      </c>
      <c r="H2182" t="n">
        <v>0</v>
      </c>
      <c r="I2182" s="3">
        <f>E2182+G2182+H2182</f>
        <v/>
      </c>
      <c r="J2182" s="3">
        <f>ROUND(MIN(IF(C2182="Técnico III",35,IF(C2182="Técnico II",28,IF(C2182="Técnico I",23,IF(C2182="JR",20,IF(C2182="Estágio",10,0))))),IF(C2182="Técnico III",SUMIFS($D:$D,$A:$A,$A2182,$B:$B,"&lt;&gt;Patrícia Karla de Sousa Araújo",$B:$B,"&lt;&gt;Lorena Dias de Araujo",$B:$B,"&lt;&gt;Lucas Luiz Romero")*(35/1083),IF(C2182="Técnico II",SUMIFS($D:$D,$A:$A,$A2182,$B:$B,"&lt;&gt;Patrícia Karla de Sousa Araújo",$B:$B,"&lt;&gt;Lorena Dias de Araujo",$B:$B,"&lt;&gt;Lucas Luiz Romero")*(28/1083),IF(C2182="Técnico I",SUMIFS($D:$D,$A:$A,$A2182,$B:$B,"&lt;&gt;Patrícia Karla de Sousa Araújo",$B:$B,"&lt;&gt;Lorena Dias de Araujo",$B:$B,"&lt;&gt;Lucas Luiz Romero")*(23/1083),IF(C2182="JR",SUMIFS($D:$D,$A:$A,$A2182,$B:$B,"&lt;&gt;Patrícia Karla de Sousa Araújo",$B:$B,"&lt;&gt;Lorena Dias de Araujo",$B:$B,"&lt;&gt;Lucas Luiz Romero")*(20/1083),IF(C2182="Estágio",SUMIFS($D:$D,$A:$A,$A2182,$B:$B,"&lt;&gt;Patrícia Karla de Sousa Araújo",$B:$B,"&lt;&gt;Lorena Dias de Araujo",$B:$B,"&lt;&gt;Lucas Luiz Romero")*(10/1083),0)))))),0)</f>
        <v/>
      </c>
      <c r="K2182" s="3">
        <f>I2182-J2182</f>
        <v/>
      </c>
      <c r="L2182" s="3">
        <f>IF(K2182&lt;-5,"CRÍTICO",IF(K2182&lt;0,"ATENÇÃO",IF(K2182&lt;=5,"BOM","EXCELENTE")))</f>
        <v/>
      </c>
      <c r="M2182" t="n">
        <v>5</v>
      </c>
      <c r="N2182" t="n">
        <v>98.65000000000001</v>
      </c>
      <c r="O2182" t="n">
        <v>26.31578947368421</v>
      </c>
    </row>
    <row r="2183" hidden="1">
      <c r="A2183" s="11" t="n">
        <v>46070</v>
      </c>
      <c r="B2183" t="inlineStr">
        <is>
          <t>Alisson de Freitas Silva</t>
        </is>
      </c>
      <c r="C2183" t="inlineStr">
        <is>
          <t>Técnico II</t>
        </is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s="3" t="n">
        <v>0</v>
      </c>
      <c r="J2183" s="3" t="n">
        <v>0</v>
      </c>
      <c r="K2183" s="3" t="n">
        <v>0</v>
      </c>
      <c r="L2183" s="3">
        <f>IF(K2183&lt;-5,"CRÍTICO",IF(K2183&lt;0,"ATENÇÃO",IF(K2183&lt;=5,"BOM","EXCELENTE")))</f>
        <v/>
      </c>
      <c r="M2183" t="n">
        <v>0</v>
      </c>
      <c r="N2183" t="n">
        <v>97.40000000000001</v>
      </c>
      <c r="O2183" t="n">
        <v>28.68217054263566</v>
      </c>
    </row>
    <row r="2184" hidden="1">
      <c r="A2184" s="11" t="n">
        <v>46070</v>
      </c>
      <c r="B2184" t="inlineStr">
        <is>
          <t>Amanda Moura Ferreira</t>
        </is>
      </c>
      <c r="C2184" t="inlineStr">
        <is>
          <t>Técnico III</t>
        </is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s="3" t="n">
        <v>0</v>
      </c>
      <c r="J2184" s="3" t="n">
        <v>0</v>
      </c>
      <c r="K2184" s="3" t="n">
        <v>0</v>
      </c>
      <c r="L2184" s="3">
        <f>IF(K2184&lt;-5,"CRÍTICO",IF(K2184&lt;0,"ATENÇÃO",IF(K2184&lt;=5,"BOM","EXCELENTE")))</f>
        <v/>
      </c>
      <c r="M2184" t="n">
        <v>0</v>
      </c>
      <c r="N2184" t="n">
        <v>98.89</v>
      </c>
      <c r="O2184" t="n">
        <v>27.92207792207792</v>
      </c>
    </row>
    <row r="2185" hidden="1">
      <c r="A2185" s="11" t="n">
        <v>46070</v>
      </c>
      <c r="B2185" t="inlineStr">
        <is>
          <t>Ana Karollyne Souza Faria</t>
        </is>
      </c>
      <c r="C2185" t="inlineStr">
        <is>
          <t>Técnico I</t>
        </is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s="3" t="n">
        <v>0</v>
      </c>
      <c r="J2185" s="3" t="n">
        <v>0</v>
      </c>
      <c r="K2185" s="3" t="n">
        <v>0</v>
      </c>
      <c r="L2185" s="3">
        <f>IF(K2185&lt;-5,"CRÍTICO",IF(K2185&lt;0,"ATENÇÃO",IF(K2185&lt;=5,"BOM","EXCELENTE")))</f>
        <v/>
      </c>
      <c r="M2185" t="n">
        <v>0</v>
      </c>
      <c r="N2185" t="n">
        <v>100</v>
      </c>
      <c r="O2185" t="n">
        <v>30.078125</v>
      </c>
    </row>
    <row r="2186" hidden="1">
      <c r="A2186" s="11" t="n">
        <v>46070</v>
      </c>
      <c r="B2186" t="inlineStr">
        <is>
          <t>Ana Paula Da Luz Silva Aleixo</t>
        </is>
      </c>
      <c r="C2186" t="inlineStr">
        <is>
          <t>Técnico III</t>
        </is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s="3" t="n">
        <v>0</v>
      </c>
      <c r="J2186" s="3" t="n">
        <v>0</v>
      </c>
      <c r="K2186" s="3" t="n">
        <v>0</v>
      </c>
      <c r="L2186" s="3">
        <f>IF(K2186&lt;-5,"CRÍTICO",IF(K2186&lt;0,"ATENÇÃO",IF(K2186&lt;=5,"BOM","EXCELENTE")))</f>
        <v/>
      </c>
      <c r="M2186" t="n">
        <v>0</v>
      </c>
      <c r="N2186" t="n">
        <v>100</v>
      </c>
      <c r="O2186" t="n">
        <v>24.38162544169612</v>
      </c>
    </row>
    <row r="2187" hidden="1">
      <c r="A2187" s="11" t="n">
        <v>46070</v>
      </c>
      <c r="B2187" t="inlineStr">
        <is>
          <t>Anna Luiza Rezende Tavares</t>
        </is>
      </c>
      <c r="C2187" t="inlineStr">
        <is>
          <t>Estágio</t>
        </is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s="3" t="n">
        <v>0</v>
      </c>
      <c r="J2187" s="3" t="n">
        <v>0</v>
      </c>
      <c r="K2187" s="3" t="n">
        <v>0</v>
      </c>
      <c r="L2187" s="3">
        <f>IF(K2187&lt;-5,"CRÍTICO",IF(K2187&lt;0,"ATENÇÃO",IF(K2187&lt;=5,"BOM","EXCELENTE")))</f>
        <v/>
      </c>
      <c r="M2187" t="n">
        <v>0</v>
      </c>
      <c r="N2187" t="n">
        <v>100</v>
      </c>
      <c r="O2187" t="n">
        <v>31.14754098360656</v>
      </c>
    </row>
    <row r="2188" hidden="1">
      <c r="A2188" s="11" t="n">
        <v>46070</v>
      </c>
      <c r="B2188" t="inlineStr">
        <is>
          <t>Brenda de Menezes Silva</t>
        </is>
      </c>
      <c r="C2188" t="inlineStr">
        <is>
          <t>Técnico II</t>
        </is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s="3" t="n">
        <v>0</v>
      </c>
      <c r="J2188" s="3" t="n">
        <v>0</v>
      </c>
      <c r="K2188" s="3" t="n">
        <v>0</v>
      </c>
      <c r="L2188" s="3">
        <f>IF(K2188&lt;-5,"CRÍTICO",IF(K2188&lt;0,"ATENÇÃO",IF(K2188&lt;=5,"BOM","EXCELENTE")))</f>
        <v/>
      </c>
      <c r="M2188" t="n">
        <v>0</v>
      </c>
      <c r="N2188" t="n">
        <v>100</v>
      </c>
      <c r="O2188" t="n">
        <v>29.69283276450512</v>
      </c>
    </row>
    <row r="2189" hidden="1">
      <c r="A2189" s="11" t="n">
        <v>46070</v>
      </c>
      <c r="B2189" t="inlineStr">
        <is>
          <t>Carlos Mateus Cassimiro Nunes</t>
        </is>
      </c>
      <c r="C2189" t="inlineStr">
        <is>
          <t>Técnico II</t>
        </is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s="3" t="n">
        <v>0</v>
      </c>
      <c r="J2189" s="3" t="n">
        <v>0</v>
      </c>
      <c r="K2189" s="3" t="n">
        <v>0</v>
      </c>
      <c r="L2189" s="3">
        <f>IF(K2189&lt;-5,"CRÍTICO",IF(K2189&lt;0,"ATENÇÃO",IF(K2189&lt;=5,"BOM","EXCELENTE")))</f>
        <v/>
      </c>
      <c r="M2189" t="n">
        <v>0</v>
      </c>
      <c r="N2189" t="n">
        <v>100</v>
      </c>
      <c r="O2189" t="n">
        <v>34.23423423423424</v>
      </c>
    </row>
    <row r="2190" hidden="1">
      <c r="A2190" s="11" t="n">
        <v>46070</v>
      </c>
      <c r="B2190" t="inlineStr">
        <is>
          <t>Claudio de Sousa Velasco Filho</t>
        </is>
      </c>
      <c r="C2190" t="inlineStr">
        <is>
          <t>Estágio</t>
        </is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s="3" t="n">
        <v>0</v>
      </c>
      <c r="J2190" s="3" t="n">
        <v>0</v>
      </c>
      <c r="K2190" s="3" t="n">
        <v>0</v>
      </c>
      <c r="L2190" s="3">
        <f>IF(K2190&lt;-5,"CRÍTICO",IF(K2190&lt;0,"ATENÇÃO",IF(K2190&lt;=5,"BOM","EXCELENTE")))</f>
        <v/>
      </c>
      <c r="M2190" t="n">
        <v>0</v>
      </c>
      <c r="N2190" t="n">
        <v>0</v>
      </c>
      <c r="O2190" t="n">
        <v>0</v>
      </c>
    </row>
    <row r="2191" hidden="1">
      <c r="A2191" s="11" t="n">
        <v>46070</v>
      </c>
      <c r="B2191" t="inlineStr">
        <is>
          <t>Clessiane Pereira dos Santos</t>
        </is>
      </c>
      <c r="C2191" t="inlineStr">
        <is>
          <t>Técnico I</t>
        </is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s="3" t="n">
        <v>0</v>
      </c>
      <c r="J2191" s="3" t="n">
        <v>0</v>
      </c>
      <c r="K2191" s="3" t="n">
        <v>0</v>
      </c>
      <c r="L2191" s="3">
        <f>IF(K2191&lt;-5,"CRÍTICO",IF(K2191&lt;0,"ATENÇÃO",IF(K2191&lt;=5,"BOM","EXCELENTE")))</f>
        <v/>
      </c>
      <c r="M2191" t="n">
        <v>0</v>
      </c>
      <c r="N2191" t="n">
        <v>100</v>
      </c>
      <c r="O2191" t="n">
        <v>22.22222222222222</v>
      </c>
    </row>
    <row r="2192" hidden="1">
      <c r="A2192" s="11" t="n">
        <v>46070</v>
      </c>
      <c r="B2192" t="inlineStr">
        <is>
          <t>Cristiane Ramos da Silva Rocha</t>
        </is>
      </c>
      <c r="C2192" t="inlineStr">
        <is>
          <t>Técnico III</t>
        </is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s="3" t="n">
        <v>0</v>
      </c>
      <c r="J2192" s="3" t="n">
        <v>0</v>
      </c>
      <c r="K2192" s="3" t="n">
        <v>0</v>
      </c>
      <c r="L2192" s="3">
        <f>IF(K2192&lt;-5,"CRÍTICO",IF(K2192&lt;0,"ATENÇÃO",IF(K2192&lt;=5,"BOM","EXCELENTE")))</f>
        <v/>
      </c>
      <c r="M2192" t="n">
        <v>0</v>
      </c>
      <c r="N2192" t="n">
        <v>96.55</v>
      </c>
      <c r="O2192" t="n">
        <v>33.14763231197772</v>
      </c>
    </row>
    <row r="2193" hidden="1">
      <c r="A2193" s="11" t="n">
        <v>46070</v>
      </c>
      <c r="B2193" t="inlineStr">
        <is>
          <t>Damyllis Lorraine de Oliveira Gonçalves</t>
        </is>
      </c>
      <c r="C2193" t="inlineStr">
        <is>
          <t>Técnico II</t>
        </is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s="3" t="n">
        <v>0</v>
      </c>
      <c r="J2193" s="3" t="n">
        <v>0</v>
      </c>
      <c r="K2193" s="3" t="n">
        <v>0</v>
      </c>
      <c r="L2193" s="3">
        <f>IF(K2193&lt;-5,"CRÍTICO",IF(K2193&lt;0,"ATENÇÃO",IF(K2193&lt;=5,"BOM","EXCELENTE")))</f>
        <v/>
      </c>
      <c r="M2193" t="n">
        <v>0</v>
      </c>
      <c r="N2193" t="n">
        <v>100</v>
      </c>
      <c r="O2193" t="n">
        <v>26.23574144486692</v>
      </c>
    </row>
    <row r="2194" hidden="1">
      <c r="A2194" s="11" t="n">
        <v>46070</v>
      </c>
      <c r="B2194" t="inlineStr">
        <is>
          <t>Daniel Gomes da Silva</t>
        </is>
      </c>
      <c r="C2194" t="inlineStr">
        <is>
          <t>Técnico I</t>
        </is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s="3" t="n">
        <v>0</v>
      </c>
      <c r="J2194" s="3" t="n">
        <v>0</v>
      </c>
      <c r="K2194" s="3" t="n">
        <v>0</v>
      </c>
      <c r="L2194" s="3">
        <f>IF(K2194&lt;-5,"CRÍTICO",IF(K2194&lt;0,"ATENÇÃO",IF(K2194&lt;=5,"BOM","EXCELENTE")))</f>
        <v/>
      </c>
      <c r="M2194" t="n">
        <v>0</v>
      </c>
      <c r="N2194" t="n">
        <v>100</v>
      </c>
      <c r="O2194" t="n">
        <v>28.37837837837838</v>
      </c>
    </row>
    <row r="2195" hidden="1">
      <c r="A2195" s="11" t="n">
        <v>46070</v>
      </c>
      <c r="B2195" t="inlineStr">
        <is>
          <t>Davylla Rodrigues Freitas Silva</t>
        </is>
      </c>
      <c r="C2195" t="inlineStr">
        <is>
          <t>Técnico III</t>
        </is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s="3" t="n">
        <v>0</v>
      </c>
      <c r="J2195" s="3" t="n">
        <v>0</v>
      </c>
      <c r="K2195" s="3" t="n">
        <v>0</v>
      </c>
      <c r="L2195" s="3">
        <f>IF(K2195&lt;-5,"CRÍTICO",IF(K2195&lt;0,"ATENÇÃO",IF(K2195&lt;=5,"BOM","EXCELENTE")))</f>
        <v/>
      </c>
      <c r="M2195" t="n">
        <v>0</v>
      </c>
      <c r="N2195" t="n">
        <v>100</v>
      </c>
      <c r="O2195" t="n">
        <v>34.81012658227849</v>
      </c>
    </row>
    <row r="2196" hidden="1">
      <c r="A2196" s="11" t="n">
        <v>46070</v>
      </c>
      <c r="B2196" t="inlineStr">
        <is>
          <t>Emilly Caylane Costa</t>
        </is>
      </c>
      <c r="C2196" t="inlineStr">
        <is>
          <t>Estágio</t>
        </is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s="3" t="n">
        <v>0</v>
      </c>
      <c r="J2196" s="3" t="n">
        <v>0</v>
      </c>
      <c r="K2196" s="3" t="n">
        <v>0</v>
      </c>
      <c r="L2196" s="3">
        <f>IF(K2196&lt;-5,"CRÍTICO",IF(K2196&lt;0,"ATENÇÃO",IF(K2196&lt;=5,"BOM","EXCELENTE")))</f>
        <v/>
      </c>
      <c r="M2196" t="n">
        <v>0</v>
      </c>
      <c r="N2196" t="n">
        <v>75</v>
      </c>
      <c r="O2196" t="n">
        <v>51.85185185185185</v>
      </c>
    </row>
    <row r="2197" hidden="1">
      <c r="A2197" s="11" t="n">
        <v>46070</v>
      </c>
      <c r="B2197" t="inlineStr">
        <is>
          <t>Emilly Kamilly Medeiros Miranda</t>
        </is>
      </c>
      <c r="C2197" t="inlineStr">
        <is>
          <t>Técnico II</t>
        </is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s="3" t="n">
        <v>0</v>
      </c>
      <c r="J2197" s="3" t="n">
        <v>0</v>
      </c>
      <c r="K2197" s="3" t="n">
        <v>0</v>
      </c>
      <c r="L2197" s="3">
        <f>IF(K2197&lt;-5,"CRÍTICO",IF(K2197&lt;0,"ATENÇÃO",IF(K2197&lt;=5,"BOM","EXCELENTE")))</f>
        <v/>
      </c>
      <c r="M2197" t="n">
        <v>0</v>
      </c>
      <c r="N2197" t="n">
        <v>97.47</v>
      </c>
      <c r="O2197" t="n">
        <v>31.1965811965812</v>
      </c>
    </row>
    <row r="2198" hidden="1">
      <c r="A2198" s="11" t="n">
        <v>46070</v>
      </c>
      <c r="B2198" t="inlineStr">
        <is>
          <t>Francielson de Oliveira</t>
        </is>
      </c>
      <c r="C2198" t="inlineStr">
        <is>
          <t>Técnico III</t>
        </is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s="3" t="n">
        <v>0</v>
      </c>
      <c r="J2198" s="3" t="n">
        <v>0</v>
      </c>
      <c r="K2198" s="3" t="n">
        <v>0</v>
      </c>
      <c r="L2198" s="3">
        <f>IF(K2198&lt;-5,"CRÍTICO",IF(K2198&lt;0,"ATENÇÃO",IF(K2198&lt;=5,"BOM","EXCELENTE")))</f>
        <v/>
      </c>
      <c r="M2198" t="n">
        <v>0</v>
      </c>
      <c r="N2198" t="n">
        <v>98.41</v>
      </c>
      <c r="O2198" t="n">
        <v>27.89115646258503</v>
      </c>
    </row>
    <row r="2199" hidden="1">
      <c r="A2199" s="11" t="n">
        <v>46070</v>
      </c>
      <c r="B2199" t="inlineStr">
        <is>
          <t>Francilene Ferreira de Jesus</t>
        </is>
      </c>
      <c r="C2199" t="inlineStr">
        <is>
          <t>Técnico II</t>
        </is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s="3" t="n">
        <v>0</v>
      </c>
      <c r="J2199" s="3" t="n">
        <v>0</v>
      </c>
      <c r="K2199" s="3" t="n">
        <v>0</v>
      </c>
      <c r="L2199" s="3">
        <f>IF(K2199&lt;-5,"CRÍTICO",IF(K2199&lt;0,"ATENÇÃO",IF(K2199&lt;=5,"BOM","EXCELENTE")))</f>
        <v/>
      </c>
      <c r="M2199" t="n">
        <v>0</v>
      </c>
      <c r="N2199" t="n">
        <v>98.68000000000001</v>
      </c>
      <c r="O2199" t="n">
        <v>24.36974789915966</v>
      </c>
    </row>
    <row r="2200" hidden="1">
      <c r="A2200" s="11" t="n">
        <v>46104</v>
      </c>
      <c r="B2200" t="inlineStr">
        <is>
          <t>Gabriel Gomes de Andrade</t>
        </is>
      </c>
      <c r="C2200" t="inlineStr">
        <is>
          <t>Técnico I</t>
        </is>
      </c>
      <c r="D2200" t="n">
        <v>15</v>
      </c>
      <c r="E2200" t="n">
        <v>15</v>
      </c>
      <c r="F2200" t="n">
        <v>15.53</v>
      </c>
      <c r="G2200" t="n">
        <v>0</v>
      </c>
      <c r="H2200" t="n">
        <v>0</v>
      </c>
      <c r="I2200" s="3">
        <f>E2200+G2200+H2200</f>
        <v/>
      </c>
      <c r="J2200" s="3">
        <f>ROUND(MIN(IF(C2200="Técnico III",35,IF(C2200="Técnico II",28,IF(C2200="Técnico I",23,IF(C2200="JR",20,IF(C2200="Estágio",10,0))))),IF(C2200="Técnico III",SUMIFS($D:$D,$A:$A,$A2200,$B:$B,"&lt;&gt;Patrícia Karla de Sousa Araújo",$B:$B,"&lt;&gt;Lorena Dias de Araujo",$B:$B,"&lt;&gt;Lucas Luiz Romero")*(35/1083),IF(C2200="Técnico II",SUMIFS($D:$D,$A:$A,$A2200,$B:$B,"&lt;&gt;Patrícia Karla de Sousa Araújo",$B:$B,"&lt;&gt;Lorena Dias de Araujo",$B:$B,"&lt;&gt;Lucas Luiz Romero")*(28/1083),IF(C2200="Técnico I",SUMIFS($D:$D,$A:$A,$A2200,$B:$B,"&lt;&gt;Patrícia Karla de Sousa Araújo",$B:$B,"&lt;&gt;Lorena Dias de Araujo",$B:$B,"&lt;&gt;Lucas Luiz Romero")*(23/1083),IF(C2200="JR",SUMIFS($D:$D,$A:$A,$A2200,$B:$B,"&lt;&gt;Patrícia Karla de Sousa Araújo",$B:$B,"&lt;&gt;Lorena Dias de Araujo",$B:$B,"&lt;&gt;Lucas Luiz Romero")*(20/1083),IF(C2200="Estágio",SUMIFS($D:$D,$A:$A,$A2200,$B:$B,"&lt;&gt;Patrícia Karla de Sousa Araújo",$B:$B,"&lt;&gt;Lorena Dias de Araujo",$B:$B,"&lt;&gt;Lucas Luiz Romero")*(10/1083),0)))))),0)</f>
        <v/>
      </c>
      <c r="K2200" s="3">
        <f>I2200-J2200</f>
        <v/>
      </c>
      <c r="L2200" s="3">
        <f>IF(K2200&lt;-5,"CRÍTICO",IF(K2200&lt;0,"ATENÇÃO",IF(K2200&lt;=5,"BOM","EXCELENTE")))</f>
        <v/>
      </c>
      <c r="N2200" t="n">
        <v>99.05</v>
      </c>
      <c r="O2200" t="n">
        <v>26.62192393736018</v>
      </c>
    </row>
    <row r="2201" hidden="1">
      <c r="A2201" s="11" t="n">
        <v>46070</v>
      </c>
      <c r="B2201" t="inlineStr">
        <is>
          <t>Isabella Borges de Oliveira</t>
        </is>
      </c>
      <c r="C2201" t="inlineStr">
        <is>
          <t>Técnico II</t>
        </is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s="3" t="n">
        <v>0</v>
      </c>
      <c r="J2201" s="3" t="n">
        <v>0</v>
      </c>
      <c r="K2201" s="3" t="n">
        <v>0</v>
      </c>
      <c r="L2201" s="3">
        <f>IF(K2201&lt;-5,"CRÍTICO",IF(K2201&lt;0,"ATENÇÃO",IF(K2201&lt;=5,"BOM","EXCELENTE")))</f>
        <v/>
      </c>
      <c r="M2201" t="n">
        <v>0</v>
      </c>
      <c r="N2201" t="n">
        <v>100</v>
      </c>
      <c r="O2201" t="n">
        <v>33.95522388059701</v>
      </c>
    </row>
    <row r="2202" hidden="1">
      <c r="A2202" s="11" t="n">
        <v>46070</v>
      </c>
      <c r="B2202" t="inlineStr">
        <is>
          <t>Janaina Lima dos Reis Urany</t>
        </is>
      </c>
      <c r="C2202" t="inlineStr">
        <is>
          <t>Técnico III</t>
        </is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s="3" t="n">
        <v>0</v>
      </c>
      <c r="J2202" s="3" t="n">
        <v>0</v>
      </c>
      <c r="K2202" s="3" t="n">
        <v>0</v>
      </c>
      <c r="L2202" s="3">
        <f>IF(K2202&lt;-5,"CRÍTICO",IF(K2202&lt;0,"ATENÇÃO",IF(K2202&lt;=5,"BOM","EXCELENTE")))</f>
        <v/>
      </c>
      <c r="M2202" t="n">
        <v>0</v>
      </c>
      <c r="N2202" t="n">
        <v>100</v>
      </c>
      <c r="O2202" t="n">
        <v>26.60944206008584</v>
      </c>
    </row>
    <row r="2203" hidden="1">
      <c r="A2203" s="11" t="n">
        <v>46070</v>
      </c>
      <c r="B2203" t="inlineStr">
        <is>
          <t>Jaqueline Evangelista da Silva Martins</t>
        </is>
      </c>
      <c r="C2203" t="inlineStr">
        <is>
          <t>Técnico III</t>
        </is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s="3" t="n">
        <v>0</v>
      </c>
      <c r="J2203" s="3" t="n">
        <v>0</v>
      </c>
      <c r="K2203" s="3" t="n">
        <v>0</v>
      </c>
      <c r="L2203" s="3">
        <f>IF(K2203&lt;-5,"CRÍTICO",IF(K2203&lt;0,"ATENÇÃO",IF(K2203&lt;=5,"BOM","EXCELENTE")))</f>
        <v/>
      </c>
      <c r="M2203" t="n">
        <v>0</v>
      </c>
      <c r="N2203" t="n">
        <v>98.44</v>
      </c>
      <c r="O2203" t="n">
        <v>26.53721682847896</v>
      </c>
    </row>
    <row r="2204" hidden="1">
      <c r="A2204" s="11" t="n">
        <v>46070</v>
      </c>
      <c r="B2204" t="inlineStr">
        <is>
          <t>Jessica Faria da Silveira</t>
        </is>
      </c>
      <c r="C2204" t="inlineStr">
        <is>
          <t>Técnico II</t>
        </is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s="3" t="n">
        <v>0</v>
      </c>
      <c r="J2204" s="3" t="n">
        <v>0</v>
      </c>
      <c r="K2204" s="3" t="n">
        <v>0</v>
      </c>
      <c r="L2204" s="3">
        <f>IF(K2204&lt;-5,"CRÍTICO",IF(K2204&lt;0,"ATENÇÃO",IF(K2204&lt;=5,"BOM","EXCELENTE")))</f>
        <v/>
      </c>
      <c r="M2204" t="n">
        <v>0</v>
      </c>
      <c r="N2204" t="n">
        <v>100</v>
      </c>
      <c r="O2204" t="n">
        <v>27.09163346613546</v>
      </c>
    </row>
    <row r="2205" hidden="1">
      <c r="A2205" s="11" t="n">
        <v>46070</v>
      </c>
      <c r="B2205" t="inlineStr">
        <is>
          <t>Jéssica Fé Moura</t>
        </is>
      </c>
      <c r="C2205" t="inlineStr">
        <is>
          <t>Técnico III</t>
        </is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s="3" t="n">
        <v>0</v>
      </c>
      <c r="J2205" s="3" t="n">
        <v>0</v>
      </c>
      <c r="K2205" s="3" t="n">
        <v>0</v>
      </c>
      <c r="L2205" s="3">
        <f>IF(K2205&lt;-5,"CRÍTICO",IF(K2205&lt;0,"ATENÇÃO",IF(K2205&lt;=5,"BOM","EXCELENTE")))</f>
        <v/>
      </c>
      <c r="M2205" t="n">
        <v>0</v>
      </c>
      <c r="N2205" t="n">
        <v>100</v>
      </c>
      <c r="O2205" t="n">
        <v>0</v>
      </c>
    </row>
    <row r="2206" hidden="1">
      <c r="A2206" s="11" t="n">
        <v>46070</v>
      </c>
      <c r="B2206" t="inlineStr">
        <is>
          <t>Karina Gonçalves Martins</t>
        </is>
      </c>
      <c r="C2206" t="inlineStr">
        <is>
          <t>JR</t>
        </is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s="3" t="n">
        <v>0</v>
      </c>
      <c r="J2206" s="3" t="n">
        <v>0</v>
      </c>
      <c r="K2206" s="3" t="n">
        <v>0</v>
      </c>
      <c r="L2206" s="3">
        <f>IF(K2206&lt;-5,"CRÍTICO",IF(K2206&lt;0,"ATENÇÃO",IF(K2206&lt;=5,"BOM","EXCELENTE")))</f>
        <v/>
      </c>
      <c r="M2206" t="n">
        <v>0</v>
      </c>
      <c r="N2206" t="n">
        <v>97.06</v>
      </c>
      <c r="O2206" t="n">
        <v>31.70731707317073</v>
      </c>
    </row>
    <row r="2207" hidden="1">
      <c r="A2207" s="11" t="n">
        <v>46070</v>
      </c>
      <c r="B2207" t="inlineStr">
        <is>
          <t>Kerollen Cristielly de Jesus Siqueira</t>
        </is>
      </c>
      <c r="C2207" t="inlineStr">
        <is>
          <t>Técnico III</t>
        </is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s="3" t="n">
        <v>0</v>
      </c>
      <c r="J2207" s="3" t="n">
        <v>0</v>
      </c>
      <c r="K2207" s="3" t="n">
        <v>0</v>
      </c>
      <c r="L2207" s="3">
        <f>IF(K2207&lt;-5,"CRÍTICO",IF(K2207&lt;0,"ATENÇÃO",IF(K2207&lt;=5,"BOM","EXCELENTE")))</f>
        <v/>
      </c>
      <c r="M2207" t="n">
        <v>0</v>
      </c>
      <c r="N2207" t="n">
        <v>100</v>
      </c>
      <c r="O2207" t="n">
        <v>19.51219512195122</v>
      </c>
    </row>
    <row r="2208" hidden="1">
      <c r="A2208" s="11" t="n">
        <v>46070</v>
      </c>
      <c r="B2208" t="inlineStr">
        <is>
          <t>Leandro de Souza Silva</t>
        </is>
      </c>
      <c r="C2208" t="inlineStr">
        <is>
          <t>JR</t>
        </is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s="3" t="n">
        <v>0</v>
      </c>
      <c r="J2208" s="3" t="n">
        <v>0</v>
      </c>
      <c r="K2208" s="3" t="n">
        <v>0</v>
      </c>
      <c r="L2208" s="3">
        <f>IF(K2208&lt;-5,"CRÍTICO",IF(K2208&lt;0,"ATENÇÃO",IF(K2208&lt;=5,"BOM","EXCELENTE")))</f>
        <v/>
      </c>
      <c r="M2208" t="n">
        <v>0</v>
      </c>
      <c r="N2208" t="n">
        <v>0</v>
      </c>
      <c r="O2208" t="n">
        <v>0</v>
      </c>
    </row>
    <row r="2209" hidden="1">
      <c r="A2209" s="11" t="n">
        <v>46070</v>
      </c>
      <c r="B2209" t="inlineStr">
        <is>
          <t>Leandro Oliveira de Sousa</t>
        </is>
      </c>
      <c r="C2209" t="inlineStr">
        <is>
          <t>Técnico III</t>
        </is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s="3" t="n">
        <v>0</v>
      </c>
      <c r="J2209" s="3" t="n">
        <v>0</v>
      </c>
      <c r="K2209" s="3" t="n">
        <v>0</v>
      </c>
      <c r="L2209" s="3">
        <f>IF(K2209&lt;-5,"CRÍTICO",IF(K2209&lt;0,"ATENÇÃO",IF(K2209&lt;=5,"BOM","EXCELENTE")))</f>
        <v/>
      </c>
      <c r="M2209" t="n">
        <v>0</v>
      </c>
      <c r="N2209" t="n">
        <v>98.95999999999999</v>
      </c>
      <c r="O2209" t="n">
        <v>33.74485596707819</v>
      </c>
    </row>
    <row r="2210" hidden="1">
      <c r="A2210" s="11" t="n">
        <v>46070</v>
      </c>
      <c r="B2210" t="inlineStr">
        <is>
          <t>Lizandra Gomes Duarte</t>
        </is>
      </c>
      <c r="C2210" t="inlineStr">
        <is>
          <t>Técnico II</t>
        </is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s="3" t="n">
        <v>0</v>
      </c>
      <c r="J2210" s="3" t="n">
        <v>0</v>
      </c>
      <c r="K2210" s="3" t="n">
        <v>0</v>
      </c>
      <c r="L2210" s="3">
        <f>IF(K2210&lt;-5,"CRÍTICO",IF(K2210&lt;0,"ATENÇÃO",IF(K2210&lt;=5,"BOM","EXCELENTE")))</f>
        <v/>
      </c>
      <c r="M2210" t="n">
        <v>0</v>
      </c>
      <c r="N2210" t="n">
        <v>96.67</v>
      </c>
      <c r="O2210" t="n">
        <v>27.10622710622711</v>
      </c>
    </row>
    <row r="2211" hidden="1">
      <c r="A2211" s="11" t="n">
        <v>46070</v>
      </c>
      <c r="B2211" t="inlineStr">
        <is>
          <t>Lorena Dias de Araujo</t>
        </is>
      </c>
      <c r="C2211" t="inlineStr">
        <is>
          <t>Técnico II</t>
        </is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s="3" t="n">
        <v>0</v>
      </c>
      <c r="J2211" s="3" t="n">
        <v>0</v>
      </c>
      <c r="K2211" s="3" t="n">
        <v>0</v>
      </c>
      <c r="L2211" s="3">
        <f>IF(K2211&lt;-5,"CRÍTICO",IF(K2211&lt;0,"ATENÇÃO",IF(K2211&lt;=5,"BOM","EXCELENTE")))</f>
        <v/>
      </c>
      <c r="M2211" t="n">
        <v>0</v>
      </c>
      <c r="N2211" t="n">
        <v>98.68000000000001</v>
      </c>
      <c r="O2211" t="n">
        <v>30.81967213114754</v>
      </c>
    </row>
    <row r="2212" hidden="1">
      <c r="A2212" s="11" t="n">
        <v>46070</v>
      </c>
      <c r="B2212" t="inlineStr">
        <is>
          <t>Lucas Luiz Romero</t>
        </is>
      </c>
      <c r="C2212" t="inlineStr">
        <is>
          <t>Técnico III</t>
        </is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s="3" t="n">
        <v>0</v>
      </c>
      <c r="J2212" s="3" t="n">
        <v>0</v>
      </c>
      <c r="K2212" s="3" t="n">
        <v>0</v>
      </c>
      <c r="L2212" s="3">
        <f>IF(K2212&lt;-5,"CRÍTICO",IF(K2212&lt;0,"ATENÇÃO",IF(K2212&lt;=5,"BOM","EXCELENTE")))</f>
        <v/>
      </c>
      <c r="M2212" t="n">
        <v>0</v>
      </c>
      <c r="N2212" t="n">
        <v>97.56</v>
      </c>
      <c r="O2212" t="n">
        <v>25.51020408163265</v>
      </c>
    </row>
    <row r="2213" hidden="1">
      <c r="A2213" s="11" t="n">
        <v>46070</v>
      </c>
      <c r="B2213" t="inlineStr">
        <is>
          <t>Luiz Fernando de Carvalho Junior</t>
        </is>
      </c>
      <c r="C2213" t="inlineStr">
        <is>
          <t>Técnico I</t>
        </is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s="3" t="n">
        <v>0</v>
      </c>
      <c r="J2213" s="3" t="n">
        <v>0</v>
      </c>
      <c r="K2213" s="3" t="n">
        <v>0</v>
      </c>
      <c r="L2213" s="3">
        <f>IF(K2213&lt;-5,"CRÍTICO",IF(K2213&lt;0,"ATENÇÃO",IF(K2213&lt;=5,"BOM","EXCELENTE")))</f>
        <v/>
      </c>
      <c r="M2213" t="n">
        <v>0</v>
      </c>
      <c r="N2213" t="n">
        <v>100</v>
      </c>
      <c r="O2213" t="n">
        <v>26.00896860986547</v>
      </c>
    </row>
    <row r="2214" hidden="1">
      <c r="A2214" s="11" t="n">
        <v>46070</v>
      </c>
      <c r="B2214" t="inlineStr">
        <is>
          <t>Maria Eduarda Sousa Costa</t>
        </is>
      </c>
      <c r="C2214" t="inlineStr">
        <is>
          <t>Estágio</t>
        </is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s="3" t="n">
        <v>0</v>
      </c>
      <c r="J2214" s="3" t="n">
        <v>0</v>
      </c>
      <c r="K2214" s="3" t="n">
        <v>0</v>
      </c>
      <c r="L2214" s="3">
        <f>IF(K2214&lt;-5,"CRÍTICO",IF(K2214&lt;0,"ATENÇÃO",IF(K2214&lt;=5,"BOM","EXCELENTE")))</f>
        <v/>
      </c>
      <c r="M2214" t="n">
        <v>0</v>
      </c>
      <c r="N2214" t="n">
        <v>100</v>
      </c>
      <c r="O2214" t="n">
        <v>29.16666666666667</v>
      </c>
    </row>
    <row r="2215" hidden="1">
      <c r="A2215" s="11" t="n">
        <v>46070</v>
      </c>
      <c r="B2215" t="inlineStr">
        <is>
          <t>Matheus Farias De Souza</t>
        </is>
      </c>
      <c r="C2215" t="inlineStr">
        <is>
          <t>Técnico III</t>
        </is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s="3" t="n">
        <v>0</v>
      </c>
      <c r="J2215" s="3" t="n">
        <v>0</v>
      </c>
      <c r="K2215" s="3" t="n">
        <v>0</v>
      </c>
      <c r="L2215" s="3">
        <f>IF(K2215&lt;-5,"CRÍTICO",IF(K2215&lt;0,"ATENÇÃO",IF(K2215&lt;=5,"BOM","EXCELENTE")))</f>
        <v/>
      </c>
      <c r="M2215" t="n">
        <v>0</v>
      </c>
      <c r="N2215" t="n">
        <v>98.33</v>
      </c>
      <c r="O2215" t="n">
        <v>31.66144200626959</v>
      </c>
    </row>
    <row r="2216" hidden="1">
      <c r="A2216" s="11" t="n">
        <v>46070</v>
      </c>
      <c r="B2216" t="inlineStr">
        <is>
          <t>Maysa Victoria Dias Moura</t>
        </is>
      </c>
      <c r="C2216" t="inlineStr">
        <is>
          <t>Técnico III</t>
        </is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s="3" t="n">
        <v>0</v>
      </c>
      <c r="J2216" s="3" t="n">
        <v>0</v>
      </c>
      <c r="K2216" s="3" t="n">
        <v>0</v>
      </c>
      <c r="L2216" s="3">
        <f>IF(K2216&lt;-5,"CRÍTICO",IF(K2216&lt;0,"ATENÇÃO",IF(K2216&lt;=5,"BOM","EXCELENTE")))</f>
        <v/>
      </c>
      <c r="M2216" t="n">
        <v>0</v>
      </c>
      <c r="N2216" t="n">
        <v>94.87</v>
      </c>
      <c r="O2216" t="n">
        <v>24.46043165467626</v>
      </c>
    </row>
    <row r="2217" hidden="1">
      <c r="A2217" s="11" t="n">
        <v>46070</v>
      </c>
      <c r="B2217" t="inlineStr">
        <is>
          <t>Michelle G Santos</t>
        </is>
      </c>
      <c r="C2217" t="inlineStr">
        <is>
          <t>Estágio</t>
        </is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s="3" t="n">
        <v>0</v>
      </c>
      <c r="J2217" s="3" t="n">
        <v>0</v>
      </c>
      <c r="K2217" s="3" t="n">
        <v>0</v>
      </c>
      <c r="L2217" s="3">
        <f>IF(K2217&lt;-5,"CRÍTICO",IF(K2217&lt;0,"ATENÇÃO",IF(K2217&lt;=5,"BOM","EXCELENTE")))</f>
        <v/>
      </c>
      <c r="M2217" t="n">
        <v>0</v>
      </c>
      <c r="N2217" t="n">
        <v>100</v>
      </c>
      <c r="O2217" t="n">
        <v>22.22222222222222</v>
      </c>
    </row>
    <row r="2218" hidden="1">
      <c r="A2218" s="11" t="n">
        <v>46070</v>
      </c>
      <c r="B2218" t="inlineStr">
        <is>
          <t>Milena Sales</t>
        </is>
      </c>
      <c r="C2218" t="inlineStr">
        <is>
          <t>JR</t>
        </is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s="3" t="n">
        <v>0</v>
      </c>
      <c r="J2218" s="3" t="n">
        <v>0</v>
      </c>
      <c r="K2218" s="3" t="n">
        <v>0</v>
      </c>
      <c r="L2218" s="3">
        <f>IF(K2218&lt;-5,"CRÍTICO",IF(K2218&lt;0,"ATENÇÃO",IF(K2218&lt;=5,"BOM","EXCELENTE")))</f>
        <v/>
      </c>
      <c r="M2218" t="n">
        <v>0</v>
      </c>
      <c r="N2218" t="n">
        <v>0</v>
      </c>
      <c r="O2218" t="n">
        <v>0</v>
      </c>
    </row>
    <row r="2219" hidden="1">
      <c r="A2219" s="11" t="n">
        <v>46070</v>
      </c>
      <c r="B2219" t="inlineStr">
        <is>
          <t>Patrícia Karla de Sousa Araújo</t>
        </is>
      </c>
      <c r="C2219" t="inlineStr">
        <is>
          <t>Técnico II</t>
        </is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s="3" t="n">
        <v>0</v>
      </c>
      <c r="J2219" s="3" t="n">
        <v>0</v>
      </c>
      <c r="K2219" s="3" t="n">
        <v>0</v>
      </c>
      <c r="L2219" s="3">
        <f>IF(K2219&lt;-5,"CRÍTICO",IF(K2219&lt;0,"ATENÇÃO",IF(K2219&lt;=5,"BOM","EXCELENTE")))</f>
        <v/>
      </c>
      <c r="M2219" t="n">
        <v>0</v>
      </c>
      <c r="N2219" t="n">
        <v>100</v>
      </c>
      <c r="O2219" t="n">
        <v>32.87671232876712</v>
      </c>
    </row>
    <row r="2220" hidden="1">
      <c r="A2220" s="11" t="n">
        <v>46070</v>
      </c>
      <c r="B2220" t="inlineStr">
        <is>
          <t>Paulo Ricardo Santos</t>
        </is>
      </c>
      <c r="C2220" t="inlineStr">
        <is>
          <t>JR</t>
        </is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s="3" t="n">
        <v>0</v>
      </c>
      <c r="J2220" s="3" t="n">
        <v>0</v>
      </c>
      <c r="K2220" s="3" t="n">
        <v>0</v>
      </c>
      <c r="L2220" s="3">
        <f>IF(K2220&lt;-5,"CRÍTICO",IF(K2220&lt;0,"ATENÇÃO",IF(K2220&lt;=5,"BOM","EXCELENTE")))</f>
        <v/>
      </c>
      <c r="M2220" t="n">
        <v>0</v>
      </c>
      <c r="N2220" t="n">
        <v>0</v>
      </c>
      <c r="O2220" t="n">
        <v>0</v>
      </c>
    </row>
    <row r="2221" hidden="1">
      <c r="A2221" s="11" t="n">
        <v>46070</v>
      </c>
      <c r="B2221" t="inlineStr">
        <is>
          <t>Pedro Luiz Mota Sousa</t>
        </is>
      </c>
      <c r="C2221" t="inlineStr">
        <is>
          <t>JR</t>
        </is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s="3" t="n">
        <v>0</v>
      </c>
      <c r="J2221" s="3" t="n">
        <v>0</v>
      </c>
      <c r="K2221" s="3" t="n">
        <v>0</v>
      </c>
      <c r="L2221" s="3">
        <f>IF(K2221&lt;-5,"CRÍTICO",IF(K2221&lt;0,"ATENÇÃO",IF(K2221&lt;=5,"BOM","EXCELENTE")))</f>
        <v/>
      </c>
      <c r="M2221" t="n">
        <v>0</v>
      </c>
      <c r="N2221" t="n">
        <v>0</v>
      </c>
      <c r="O2221" t="n">
        <v>0</v>
      </c>
    </row>
    <row r="2222" hidden="1">
      <c r="A2222" s="11" t="n">
        <v>46070</v>
      </c>
      <c r="B2222" t="inlineStr">
        <is>
          <t>Quirino Diogo Leite Torres</t>
        </is>
      </c>
      <c r="C2222" t="inlineStr">
        <is>
          <t>Estágio</t>
        </is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s="3" t="n">
        <v>0</v>
      </c>
      <c r="J2222" s="3" t="n">
        <v>0</v>
      </c>
      <c r="K2222" s="3" t="n">
        <v>0</v>
      </c>
      <c r="L2222" s="3">
        <f>IF(K2222&lt;-5,"CRÍTICO",IF(K2222&lt;0,"ATENÇÃO",IF(K2222&lt;=5,"BOM","EXCELENTE")))</f>
        <v/>
      </c>
      <c r="M2222" t="n">
        <v>0</v>
      </c>
      <c r="N2222" t="n">
        <v>0</v>
      </c>
      <c r="O2222" t="n">
        <v>0</v>
      </c>
    </row>
    <row r="2223" hidden="1">
      <c r="A2223" s="11" t="n">
        <v>46070</v>
      </c>
      <c r="B2223" t="inlineStr">
        <is>
          <t>Raane Batista Matos</t>
        </is>
      </c>
      <c r="C2223" t="inlineStr">
        <is>
          <t>Técnico I</t>
        </is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s="3" t="n">
        <v>0</v>
      </c>
      <c r="J2223" s="3" t="n">
        <v>0</v>
      </c>
      <c r="K2223" s="3" t="n">
        <v>0</v>
      </c>
      <c r="L2223" s="3">
        <f>IF(K2223&lt;-5,"CRÍTICO",IF(K2223&lt;0,"ATENÇÃO",IF(K2223&lt;=5,"BOM","EXCELENTE")))</f>
        <v/>
      </c>
      <c r="M2223" t="n">
        <v>0</v>
      </c>
      <c r="N2223" t="n">
        <v>96.88</v>
      </c>
      <c r="O2223" t="n">
        <v>32.71604938271605</v>
      </c>
    </row>
    <row r="2224" hidden="1">
      <c r="A2224" s="11" t="n">
        <v>46070</v>
      </c>
      <c r="B2224" t="inlineStr">
        <is>
          <t>Rafael Gomes de Morais</t>
        </is>
      </c>
      <c r="C2224" t="inlineStr">
        <is>
          <t>Técnico III</t>
        </is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s="3" t="n">
        <v>0</v>
      </c>
      <c r="J2224" s="3" t="n">
        <v>0</v>
      </c>
      <c r="K2224" s="3" t="n">
        <v>0</v>
      </c>
      <c r="L2224" s="3">
        <f>IF(K2224&lt;-5,"CRÍTICO",IF(K2224&lt;0,"ATENÇÃO",IF(K2224&lt;=5,"BOM","EXCELENTE")))</f>
        <v/>
      </c>
      <c r="M2224" t="n">
        <v>0</v>
      </c>
      <c r="N2224" t="n">
        <v>100</v>
      </c>
      <c r="O2224" t="n">
        <v>27.84431137724551</v>
      </c>
    </row>
    <row r="2225" hidden="1">
      <c r="A2225" s="11" t="n">
        <v>46070</v>
      </c>
      <c r="B2225" t="inlineStr">
        <is>
          <t>Sara Maria Monteiro Lopes</t>
        </is>
      </c>
      <c r="C2225" t="inlineStr">
        <is>
          <t>Técnico I</t>
        </is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s="3" t="n">
        <v>0</v>
      </c>
      <c r="J2225" s="3" t="n">
        <v>0</v>
      </c>
      <c r="K2225" s="3" t="n">
        <v>0</v>
      </c>
      <c r="L2225" s="3">
        <f>IF(K2225&lt;-5,"CRÍTICO",IF(K2225&lt;0,"ATENÇÃO",IF(K2225&lt;=5,"BOM","EXCELENTE")))</f>
        <v/>
      </c>
      <c r="M2225" t="n">
        <v>0</v>
      </c>
      <c r="N2225" t="n">
        <v>97.37</v>
      </c>
      <c r="O2225" t="n">
        <v>29.85074626865671</v>
      </c>
    </row>
    <row r="2226" hidden="1">
      <c r="A2226" s="11" t="n">
        <v>46070</v>
      </c>
      <c r="B2226" t="inlineStr">
        <is>
          <t>Sarah Steffanie de Lima Borges</t>
        </is>
      </c>
      <c r="C2226" t="inlineStr">
        <is>
          <t>Técnico III</t>
        </is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s="3" t="n">
        <v>0</v>
      </c>
      <c r="J2226" s="3" t="n">
        <v>0</v>
      </c>
      <c r="K2226" s="3" t="n">
        <v>0</v>
      </c>
      <c r="L2226" s="3">
        <f>IF(K2226&lt;-5,"CRÍTICO",IF(K2226&lt;0,"ATENÇÃO",IF(K2226&lt;=5,"BOM","EXCELENTE")))</f>
        <v/>
      </c>
      <c r="M2226" t="n">
        <v>0</v>
      </c>
      <c r="N2226" t="n">
        <v>98.65000000000001</v>
      </c>
      <c r="O2226" t="n">
        <v>26.31578947368421</v>
      </c>
    </row>
    <row r="2227" hidden="1">
      <c r="A2227" s="11" t="n">
        <v>46071</v>
      </c>
      <c r="B2227" t="inlineStr">
        <is>
          <t>Alisson de Freitas Silva</t>
        </is>
      </c>
      <c r="C2227" t="inlineStr">
        <is>
          <t>Técnico II</t>
        </is>
      </c>
      <c r="D2227" t="n">
        <v>35</v>
      </c>
      <c r="E2227" t="n">
        <v>32</v>
      </c>
      <c r="F2227" t="n">
        <v>27.15</v>
      </c>
      <c r="G2227" t="n">
        <v>0</v>
      </c>
      <c r="H2227" t="n">
        <v>0</v>
      </c>
      <c r="I2227" s="3">
        <f>E2227+G2227+H2227</f>
        <v/>
      </c>
      <c r="J2227" s="3">
        <f>ROUND(MIN(IF(C2227="Técnico III",35,IF(C2227="Técnico II",28,IF(C2227="Técnico I",23,IF(C2227="JR",20,IF(C2227="Estágio",10,0))))),IF(C2227="Técnico III",SUMIFS($D:$D,$A:$A,$A2227,$B:$B,"&lt;&gt;Patrícia Karla de Sousa Araújo",$B:$B,"&lt;&gt;Lorena Dias de Araujo",$B:$B,"&lt;&gt;Lucas Luiz Romero")*(35/1083),IF(C2227="Técnico II",SUMIFS($D:$D,$A:$A,$A2227,$B:$B,"&lt;&gt;Patrícia Karla de Sousa Araújo",$B:$B,"&lt;&gt;Lorena Dias de Araujo",$B:$B,"&lt;&gt;Lucas Luiz Romero")*(28/1083),IF(C2227="Técnico I",SUMIFS($D:$D,$A:$A,$A2227,$B:$B,"&lt;&gt;Patrícia Karla de Sousa Araújo",$B:$B,"&lt;&gt;Lorena Dias de Araujo",$B:$B,"&lt;&gt;Lucas Luiz Romero")*(23/1083),IF(C2227="JR",SUMIFS($D:$D,$A:$A,$A2227,$B:$B,"&lt;&gt;Patrícia Karla de Sousa Araújo",$B:$B,"&lt;&gt;Lorena Dias de Araujo",$B:$B,"&lt;&gt;Lucas Luiz Romero")*(20/1083),IF(C2227="Estágio",SUMIFS($D:$D,$A:$A,$A2227,$B:$B,"&lt;&gt;Patrícia Karla de Sousa Araújo",$B:$B,"&lt;&gt;Lorena Dias de Araujo",$B:$B,"&lt;&gt;Lucas Luiz Romero")*(10/1083),0)))))),0)</f>
        <v/>
      </c>
      <c r="K2227" s="3">
        <f>I2227-J2227</f>
        <v/>
      </c>
      <c r="L2227" s="3">
        <f>IF(K2227&lt;-5,"CRÍTICO",IF(K2227&lt;0,"ATENÇÃO",IF(K2227&lt;=5,"BOM","EXCELENTE")))</f>
        <v/>
      </c>
      <c r="M2227" t="n">
        <v>22</v>
      </c>
      <c r="N2227" t="n">
        <v>97.53</v>
      </c>
      <c r="O2227" t="n">
        <v>28.21428571428572</v>
      </c>
    </row>
    <row r="2228" hidden="1">
      <c r="A2228" s="11" t="n">
        <v>46071</v>
      </c>
      <c r="B2228" t="inlineStr">
        <is>
          <t>Amanda Moura Ferreira</t>
        </is>
      </c>
      <c r="C2228" t="inlineStr">
        <is>
          <t>Técnico III</t>
        </is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s="3" t="n">
        <v>0</v>
      </c>
      <c r="J2228" s="3" t="n">
        <v>0</v>
      </c>
      <c r="K2228" s="3" t="n">
        <v>0</v>
      </c>
      <c r="L2228" s="3">
        <f>IF(K2228&lt;-5,"CRÍTICO",IF(K2228&lt;0,"ATENÇÃO",IF(K2228&lt;=5,"BOM","EXCELENTE")))</f>
        <v/>
      </c>
      <c r="M2228" t="n">
        <v>19</v>
      </c>
      <c r="N2228" t="n">
        <v>98.98999999999999</v>
      </c>
      <c r="O2228" t="n">
        <v>28.13455657492355</v>
      </c>
    </row>
    <row r="2229" hidden="1">
      <c r="A2229" s="11" t="n">
        <v>46071</v>
      </c>
      <c r="B2229" t="inlineStr">
        <is>
          <t>Ana Karollyne Souza Faria</t>
        </is>
      </c>
      <c r="C2229" t="inlineStr">
        <is>
          <t>Técnico I</t>
        </is>
      </c>
      <c r="D2229" t="n">
        <v>21</v>
      </c>
      <c r="E2229" t="n">
        <v>21</v>
      </c>
      <c r="F2229" t="n">
        <v>28.39</v>
      </c>
      <c r="G2229" t="n">
        <v>0</v>
      </c>
      <c r="H2229" t="n">
        <v>0</v>
      </c>
      <c r="I2229" s="3">
        <f>E2229+G2229+H2229</f>
        <v/>
      </c>
      <c r="J2229" s="3">
        <f>ROUND(MIN(IF(C2229="Técnico III",35,IF(C2229="Técnico II",28,IF(C2229="Técnico I",23,IF(C2229="JR",20,IF(C2229="Estágio",10,0))))),IF(C2229="Técnico III",SUMIFS($D:$D,$A:$A,$A2229,$B:$B,"&lt;&gt;Patrícia Karla de Sousa Araújo",$B:$B,"&lt;&gt;Lorena Dias de Araujo",$B:$B,"&lt;&gt;Lucas Luiz Romero")*(35/1083),IF(C2229="Técnico II",SUMIFS($D:$D,$A:$A,$A2229,$B:$B,"&lt;&gt;Patrícia Karla de Sousa Araújo",$B:$B,"&lt;&gt;Lorena Dias de Araujo",$B:$B,"&lt;&gt;Lucas Luiz Romero")*(28/1083),IF(C2229="Técnico I",SUMIFS($D:$D,$A:$A,$A2229,$B:$B,"&lt;&gt;Patrícia Karla de Sousa Araújo",$B:$B,"&lt;&gt;Lorena Dias de Araujo",$B:$B,"&lt;&gt;Lucas Luiz Romero")*(23/1083),IF(C2229="JR",SUMIFS($D:$D,$A:$A,$A2229,$B:$B,"&lt;&gt;Patrícia Karla de Sousa Araújo",$B:$B,"&lt;&gt;Lorena Dias de Araujo",$B:$B,"&lt;&gt;Lucas Luiz Romero")*(20/1083),IF(C2229="Estágio",SUMIFS($D:$D,$A:$A,$A2229,$B:$B,"&lt;&gt;Patrícia Karla de Sousa Araújo",$B:$B,"&lt;&gt;Lorena Dias de Araujo",$B:$B,"&lt;&gt;Lucas Luiz Romero")*(10/1083),0)))))),0)</f>
        <v/>
      </c>
      <c r="K2229" s="3">
        <f>I2229-J2229</f>
        <v/>
      </c>
      <c r="L2229" s="3">
        <f>IF(K2229&lt;-5,"CRÍTICO",IF(K2229&lt;0,"ATENÇÃO",IF(K2229&lt;=5,"BOM","EXCELENTE")))</f>
        <v/>
      </c>
      <c r="M2229" t="n">
        <v>21</v>
      </c>
      <c r="N2229" t="n">
        <v>100</v>
      </c>
      <c r="O2229" t="n">
        <v>28.98550724637681</v>
      </c>
    </row>
    <row r="2230" hidden="1">
      <c r="A2230" s="11" t="n">
        <v>46071</v>
      </c>
      <c r="B2230" t="inlineStr">
        <is>
          <t>Ana Paula Da Luz Silva Aleixo</t>
        </is>
      </c>
      <c r="C2230" t="inlineStr">
        <is>
          <t>Técnico III</t>
        </is>
      </c>
      <c r="D2230" t="n">
        <v>29</v>
      </c>
      <c r="E2230" t="n">
        <v>28</v>
      </c>
      <c r="F2230" t="n">
        <v>22.02</v>
      </c>
      <c r="G2230" t="n">
        <v>0</v>
      </c>
      <c r="H2230" t="n">
        <v>0</v>
      </c>
      <c r="I2230" s="3">
        <f>E2230+G2230+H2230</f>
        <v/>
      </c>
      <c r="J2230" s="3">
        <f>ROUND(MIN(IF(C2230="Técnico III",35,IF(C2230="Técnico II",28,IF(C2230="Técnico I",23,IF(C2230="JR",20,IF(C2230="Estágio",10,0))))),IF(C2230="Técnico III",SUMIFS($D:$D,$A:$A,$A2230,$B:$B,"&lt;&gt;Patrícia Karla de Sousa Araújo",$B:$B,"&lt;&gt;Lorena Dias de Araujo",$B:$B,"&lt;&gt;Lucas Luiz Romero")*(35/1083),IF(C2230="Técnico II",SUMIFS($D:$D,$A:$A,$A2230,$B:$B,"&lt;&gt;Patrícia Karla de Sousa Araújo",$B:$B,"&lt;&gt;Lorena Dias de Araujo",$B:$B,"&lt;&gt;Lucas Luiz Romero")*(28/1083),IF(C2230="Técnico I",SUMIFS($D:$D,$A:$A,$A2230,$B:$B,"&lt;&gt;Patrícia Karla de Sousa Araújo",$B:$B,"&lt;&gt;Lorena Dias de Araujo",$B:$B,"&lt;&gt;Lucas Luiz Romero")*(23/1083),IF(C2230="JR",SUMIFS($D:$D,$A:$A,$A2230,$B:$B,"&lt;&gt;Patrícia Karla de Sousa Araújo",$B:$B,"&lt;&gt;Lorena Dias de Araujo",$B:$B,"&lt;&gt;Lucas Luiz Romero")*(20/1083),IF(C2230="Estágio",SUMIFS($D:$D,$A:$A,$A2230,$B:$B,"&lt;&gt;Patrícia Karla de Sousa Araújo",$B:$B,"&lt;&gt;Lorena Dias de Araujo",$B:$B,"&lt;&gt;Lucas Luiz Romero")*(10/1083),0)))))),0)</f>
        <v/>
      </c>
      <c r="K2230" s="3">
        <f>I2230-J2230</f>
        <v/>
      </c>
      <c r="L2230" s="3">
        <f>IF(K2230&lt;-5,"CRÍTICO",IF(K2230&lt;0,"ATENÇÃO",IF(K2230&lt;=5,"BOM","EXCELENTE")))</f>
        <v/>
      </c>
      <c r="M2230" t="n">
        <v>26</v>
      </c>
      <c r="N2230" t="n">
        <v>98.55</v>
      </c>
      <c r="O2230" t="n">
        <v>25.88996763754045</v>
      </c>
    </row>
    <row r="2231" hidden="1">
      <c r="A2231" s="11" t="n">
        <v>46071</v>
      </c>
      <c r="B2231" t="inlineStr">
        <is>
          <t>Anna Luiza Rezende Tavares</t>
        </is>
      </c>
      <c r="C2231" t="inlineStr">
        <is>
          <t>Estágio</t>
        </is>
      </c>
      <c r="D2231" t="n">
        <v>6</v>
      </c>
      <c r="E2231" t="n">
        <v>6</v>
      </c>
      <c r="F2231" t="n">
        <v>55.14</v>
      </c>
      <c r="G2231" t="n">
        <v>0</v>
      </c>
      <c r="H2231" t="n">
        <v>0</v>
      </c>
      <c r="I2231" s="3">
        <f>E2231+G2231+H2231</f>
        <v/>
      </c>
      <c r="J2231" s="3">
        <f>ROUND(MIN(IF(C2231="Técnico III",35,IF(C2231="Técnico II",28,IF(C2231="Técnico I",23,IF(C2231="JR",20,IF(C2231="Estágio",10,0))))),IF(C2231="Técnico III",SUMIFS($D:$D,$A:$A,$A2231,$B:$B,"&lt;&gt;Patrícia Karla de Sousa Araújo",$B:$B,"&lt;&gt;Lorena Dias de Araujo",$B:$B,"&lt;&gt;Lucas Luiz Romero")*(35/1083),IF(C2231="Técnico II",SUMIFS($D:$D,$A:$A,$A2231,$B:$B,"&lt;&gt;Patrícia Karla de Sousa Araújo",$B:$B,"&lt;&gt;Lorena Dias de Araujo",$B:$B,"&lt;&gt;Lucas Luiz Romero")*(28/1083),IF(C2231="Técnico I",SUMIFS($D:$D,$A:$A,$A2231,$B:$B,"&lt;&gt;Patrícia Karla de Sousa Araújo",$B:$B,"&lt;&gt;Lorena Dias de Araujo",$B:$B,"&lt;&gt;Lucas Luiz Romero")*(23/1083),IF(C2231="JR",SUMIFS($D:$D,$A:$A,$A2231,$B:$B,"&lt;&gt;Patrícia Karla de Sousa Araújo",$B:$B,"&lt;&gt;Lorena Dias de Araujo",$B:$B,"&lt;&gt;Lucas Luiz Romero")*(20/1083),IF(C2231="Estágio",SUMIFS($D:$D,$A:$A,$A2231,$B:$B,"&lt;&gt;Patrícia Karla de Sousa Araújo",$B:$B,"&lt;&gt;Lorena Dias de Araujo",$B:$B,"&lt;&gt;Lucas Luiz Romero")*(10/1083),0)))))),0)</f>
        <v/>
      </c>
      <c r="K2231" s="3">
        <f>I2231-J2231</f>
        <v/>
      </c>
      <c r="L2231" s="3">
        <f>IF(K2231&lt;-5,"CRÍTICO",IF(K2231&lt;0,"ATENÇÃO",IF(K2231&lt;=5,"BOM","EXCELENTE")))</f>
        <v/>
      </c>
      <c r="M2231" t="n">
        <v>6</v>
      </c>
      <c r="N2231" t="n">
        <v>100</v>
      </c>
      <c r="O2231" t="n">
        <v>34.32835820895522</v>
      </c>
    </row>
    <row r="2232" hidden="1">
      <c r="A2232" s="11" t="n">
        <v>46071</v>
      </c>
      <c r="B2232" t="inlineStr">
        <is>
          <t>Brenda de Menezes Silva</t>
        </is>
      </c>
      <c r="C2232" t="inlineStr">
        <is>
          <t>Técnico II</t>
        </is>
      </c>
      <c r="D2232" t="n">
        <v>20</v>
      </c>
      <c r="E2232" t="n">
        <v>17</v>
      </c>
      <c r="F2232" t="n">
        <v>28.51</v>
      </c>
      <c r="G2232" t="n">
        <v>0</v>
      </c>
      <c r="H2232" t="n">
        <v>0</v>
      </c>
      <c r="I2232" s="3">
        <f>E2232+G2232+H2232</f>
        <v/>
      </c>
      <c r="J2232" s="3">
        <f>ROUND(MIN(IF(C2232="Técnico III",35,IF(C2232="Técnico II",28,IF(C2232="Técnico I",23,IF(C2232="JR",20,IF(C2232="Estágio",10,0))))),IF(C2232="Técnico III",SUMIFS($D:$D,$A:$A,$A2232,$B:$B,"&lt;&gt;Patrícia Karla de Sousa Araújo",$B:$B,"&lt;&gt;Lorena Dias de Araujo",$B:$B,"&lt;&gt;Lucas Luiz Romero")*(35/1083),IF(C2232="Técnico II",SUMIFS($D:$D,$A:$A,$A2232,$B:$B,"&lt;&gt;Patrícia Karla de Sousa Araújo",$B:$B,"&lt;&gt;Lorena Dias de Araujo",$B:$B,"&lt;&gt;Lucas Luiz Romero")*(28/1083),IF(C2232="Técnico I",SUMIFS($D:$D,$A:$A,$A2232,$B:$B,"&lt;&gt;Patrícia Karla de Sousa Araújo",$B:$B,"&lt;&gt;Lorena Dias de Araujo",$B:$B,"&lt;&gt;Lucas Luiz Romero")*(23/1083),IF(C2232="JR",SUMIFS($D:$D,$A:$A,$A2232,$B:$B,"&lt;&gt;Patrícia Karla de Sousa Araújo",$B:$B,"&lt;&gt;Lorena Dias de Araujo",$B:$B,"&lt;&gt;Lucas Luiz Romero")*(20/1083),IF(C2232="Estágio",SUMIFS($D:$D,$A:$A,$A2232,$B:$B,"&lt;&gt;Patrícia Karla de Sousa Araújo",$B:$B,"&lt;&gt;Lorena Dias de Araujo",$B:$B,"&lt;&gt;Lucas Luiz Romero")*(10/1083),0)))))),0)</f>
        <v/>
      </c>
      <c r="K2232" s="3">
        <f>I2232-J2232</f>
        <v/>
      </c>
      <c r="L2232" s="3">
        <f>IF(K2232&lt;-5,"CRÍTICO",IF(K2232&lt;0,"ATENÇÃO",IF(K2232&lt;=5,"BOM","EXCELENTE")))</f>
        <v/>
      </c>
      <c r="M2232" t="n">
        <v>19</v>
      </c>
      <c r="N2232" t="n">
        <v>100</v>
      </c>
      <c r="O2232" t="n">
        <v>29.16666666666667</v>
      </c>
    </row>
    <row r="2233" hidden="1">
      <c r="A2233" s="11" t="n">
        <v>46071</v>
      </c>
      <c r="B2233" t="inlineStr">
        <is>
          <t>Carlos Mateus Cassimiro Nunes</t>
        </is>
      </c>
      <c r="C2233" t="inlineStr">
        <is>
          <t>Técnico II</t>
        </is>
      </c>
      <c r="D2233" t="n">
        <v>9</v>
      </c>
      <c r="E2233" t="n">
        <v>9</v>
      </c>
      <c r="F2233" t="n">
        <v>75.15000000000001</v>
      </c>
      <c r="G2233" t="n">
        <v>0</v>
      </c>
      <c r="H2233" t="n">
        <v>0</v>
      </c>
      <c r="I2233" s="3">
        <f>E2233+G2233+H2233</f>
        <v/>
      </c>
      <c r="J2233" s="3">
        <f>ROUND(MIN(IF(C2233="Técnico III",35,IF(C2233="Técnico II",28,IF(C2233="Técnico I",23,IF(C2233="JR",20,IF(C2233="Estágio",10,0))))),IF(C2233="Técnico III",SUMIFS($D:$D,$A:$A,$A2233,$B:$B,"&lt;&gt;Patrícia Karla de Sousa Araújo",$B:$B,"&lt;&gt;Lorena Dias de Araujo",$B:$B,"&lt;&gt;Lucas Luiz Romero")*(35/1083),IF(C2233="Técnico II",SUMIFS($D:$D,$A:$A,$A2233,$B:$B,"&lt;&gt;Patrícia Karla de Sousa Araújo",$B:$B,"&lt;&gt;Lorena Dias de Araujo",$B:$B,"&lt;&gt;Lucas Luiz Romero")*(28/1083),IF(C2233="Técnico I",SUMIFS($D:$D,$A:$A,$A2233,$B:$B,"&lt;&gt;Patrícia Karla de Sousa Araújo",$B:$B,"&lt;&gt;Lorena Dias de Araujo",$B:$B,"&lt;&gt;Lucas Luiz Romero")*(23/1083),IF(C2233="JR",SUMIFS($D:$D,$A:$A,$A2233,$B:$B,"&lt;&gt;Patrícia Karla de Sousa Araújo",$B:$B,"&lt;&gt;Lorena Dias de Araujo",$B:$B,"&lt;&gt;Lucas Luiz Romero")*(20/1083),IF(C2233="Estágio",SUMIFS($D:$D,$A:$A,$A2233,$B:$B,"&lt;&gt;Patrícia Karla de Sousa Araújo",$B:$B,"&lt;&gt;Lorena Dias de Araujo",$B:$B,"&lt;&gt;Lucas Luiz Romero")*(10/1083),0)))))),0)</f>
        <v/>
      </c>
      <c r="K2233" s="3">
        <f>I2233-J2233</f>
        <v/>
      </c>
      <c r="L2233" s="3">
        <f>IF(K2233&lt;-5,"CRÍTICO",IF(K2233&lt;0,"ATENÇÃO",IF(K2233&lt;=5,"BOM","EXCELENTE")))</f>
        <v/>
      </c>
      <c r="M2233" t="n">
        <v>12</v>
      </c>
      <c r="N2233" t="n">
        <v>100</v>
      </c>
      <c r="O2233" t="n">
        <v>35.47008547008547</v>
      </c>
    </row>
    <row r="2234" hidden="1">
      <c r="A2234" s="11" t="n">
        <v>46071</v>
      </c>
      <c r="B2234" t="inlineStr">
        <is>
          <t>Claudio de Sousa Velasco Filho</t>
        </is>
      </c>
      <c r="C2234" t="inlineStr">
        <is>
          <t>Estágio</t>
        </is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s="3" t="n">
        <v>0</v>
      </c>
      <c r="J2234" s="3" t="n">
        <v>0</v>
      </c>
      <c r="K2234" s="3" t="n">
        <v>0</v>
      </c>
      <c r="L2234" s="3">
        <f>IF(K2234&lt;-5,"CRÍTICO",IF(K2234&lt;0,"ATENÇÃO",IF(K2234&lt;=5,"BOM","EXCELENTE")))</f>
        <v/>
      </c>
      <c r="M2234" t="n">
        <v>0</v>
      </c>
      <c r="N2234" t="n">
        <v>0</v>
      </c>
      <c r="O2234" t="n">
        <v>0</v>
      </c>
    </row>
    <row r="2235" hidden="1">
      <c r="A2235" s="11" t="n">
        <v>46071</v>
      </c>
      <c r="B2235" t="inlineStr">
        <is>
          <t>Clessiane Pereira dos Santos</t>
        </is>
      </c>
      <c r="C2235" t="inlineStr">
        <is>
          <t>Técnico I</t>
        </is>
      </c>
      <c r="D2235" t="n">
        <v>22</v>
      </c>
      <c r="E2235" t="n">
        <v>22</v>
      </c>
      <c r="F2235" t="n">
        <v>30.28</v>
      </c>
      <c r="G2235" t="n">
        <v>0</v>
      </c>
      <c r="H2235" t="n">
        <v>0</v>
      </c>
      <c r="I2235" s="3">
        <f>E2235+G2235+H2235</f>
        <v/>
      </c>
      <c r="J2235" s="3">
        <f>ROUND(MIN(IF(C2235="Técnico III",35,IF(C2235="Técnico II",28,IF(C2235="Técnico I",23,IF(C2235="JR",20,IF(C2235="Estágio",10,0))))),IF(C2235="Técnico III",SUMIFS($D:$D,$A:$A,$A2235,$B:$B,"&lt;&gt;Patrícia Karla de Sousa Araújo",$B:$B,"&lt;&gt;Lorena Dias de Araujo",$B:$B,"&lt;&gt;Lucas Luiz Romero")*(35/1083),IF(C2235="Técnico II",SUMIFS($D:$D,$A:$A,$A2235,$B:$B,"&lt;&gt;Patrícia Karla de Sousa Araújo",$B:$B,"&lt;&gt;Lorena Dias de Araujo",$B:$B,"&lt;&gt;Lucas Luiz Romero")*(28/1083),IF(C2235="Técnico I",SUMIFS($D:$D,$A:$A,$A2235,$B:$B,"&lt;&gt;Patrícia Karla de Sousa Araújo",$B:$B,"&lt;&gt;Lorena Dias de Araujo",$B:$B,"&lt;&gt;Lucas Luiz Romero")*(23/1083),IF(C2235="JR",SUMIFS($D:$D,$A:$A,$A2235,$B:$B,"&lt;&gt;Patrícia Karla de Sousa Araújo",$B:$B,"&lt;&gt;Lorena Dias de Araujo",$B:$B,"&lt;&gt;Lucas Luiz Romero")*(20/1083),IF(C2235="Estágio",SUMIFS($D:$D,$A:$A,$A2235,$B:$B,"&lt;&gt;Patrícia Karla de Sousa Araújo",$B:$B,"&lt;&gt;Lorena Dias de Araujo",$B:$B,"&lt;&gt;Lucas Luiz Romero")*(10/1083),0)))))),0)</f>
        <v/>
      </c>
      <c r="K2235" s="3">
        <f>I2235-J2235</f>
        <v/>
      </c>
      <c r="L2235" s="3">
        <f>IF(K2235&lt;-5,"CRÍTICO",IF(K2235&lt;0,"ATENÇÃO",IF(K2235&lt;=5,"BOM","EXCELENTE")))</f>
        <v/>
      </c>
      <c r="M2235" t="n">
        <v>20</v>
      </c>
      <c r="N2235" t="n">
        <v>100</v>
      </c>
      <c r="O2235" t="n">
        <v>21.5</v>
      </c>
    </row>
    <row r="2236" hidden="1">
      <c r="A2236" s="11" t="n">
        <v>46071</v>
      </c>
      <c r="B2236" t="inlineStr">
        <is>
          <t>Cristiane Ramos da Silva Rocha</t>
        </is>
      </c>
      <c r="C2236" t="inlineStr">
        <is>
          <t>Técnico III</t>
        </is>
      </c>
      <c r="D2236" t="n">
        <v>38</v>
      </c>
      <c r="E2236" t="n">
        <v>37</v>
      </c>
      <c r="F2236" t="n">
        <v>17.18</v>
      </c>
      <c r="G2236" t="n">
        <v>0</v>
      </c>
      <c r="H2236" t="n">
        <v>0</v>
      </c>
      <c r="I2236" s="3">
        <f>E2236+G2236+H2236</f>
        <v/>
      </c>
      <c r="J2236" s="3">
        <f>ROUND(MIN(IF(C2236="Técnico III",35,IF(C2236="Técnico II",28,IF(C2236="Técnico I",23,IF(C2236="JR",20,IF(C2236="Estágio",10,0))))),IF(C2236="Técnico III",SUMIFS($D:$D,$A:$A,$A2236,$B:$B,"&lt;&gt;Patrícia Karla de Sousa Araújo",$B:$B,"&lt;&gt;Lorena Dias de Araujo",$B:$B,"&lt;&gt;Lucas Luiz Romero")*(35/1083),IF(C2236="Técnico II",SUMIFS($D:$D,$A:$A,$A2236,$B:$B,"&lt;&gt;Patrícia Karla de Sousa Araújo",$B:$B,"&lt;&gt;Lorena Dias de Araujo",$B:$B,"&lt;&gt;Lucas Luiz Romero")*(28/1083),IF(C2236="Técnico I",SUMIFS($D:$D,$A:$A,$A2236,$B:$B,"&lt;&gt;Patrícia Karla de Sousa Araújo",$B:$B,"&lt;&gt;Lorena Dias de Araujo",$B:$B,"&lt;&gt;Lucas Luiz Romero")*(23/1083),IF(C2236="JR",SUMIFS($D:$D,$A:$A,$A2236,$B:$B,"&lt;&gt;Patrícia Karla de Sousa Araújo",$B:$B,"&lt;&gt;Lorena Dias de Araujo",$B:$B,"&lt;&gt;Lucas Luiz Romero")*(20/1083),IF(C2236="Estágio",SUMIFS($D:$D,$A:$A,$A2236,$B:$B,"&lt;&gt;Patrícia Karla de Sousa Araújo",$B:$B,"&lt;&gt;Lorena Dias de Araujo",$B:$B,"&lt;&gt;Lucas Luiz Romero")*(10/1083),0)))))),0)</f>
        <v/>
      </c>
      <c r="K2236" s="3">
        <f>I2236-J2236</f>
        <v/>
      </c>
      <c r="L2236" s="3">
        <f>IF(K2236&lt;-5,"CRÍTICO",IF(K2236&lt;0,"ATENÇÃO",IF(K2236&lt;=5,"BOM","EXCELENTE")))</f>
        <v/>
      </c>
      <c r="M2236" t="n">
        <v>34</v>
      </c>
      <c r="N2236" t="n">
        <v>95.42</v>
      </c>
      <c r="O2236" t="n">
        <v>32.56997455470738</v>
      </c>
    </row>
    <row r="2237" hidden="1">
      <c r="A2237" s="11" t="n">
        <v>46071</v>
      </c>
      <c r="B2237" t="inlineStr">
        <is>
          <t>Damyllis Lorraine de Oliveira Gonçalves</t>
        </is>
      </c>
      <c r="C2237" t="inlineStr">
        <is>
          <t>Técnico II</t>
        </is>
      </c>
      <c r="D2237" t="n">
        <v>17</v>
      </c>
      <c r="E2237" t="n">
        <v>14</v>
      </c>
      <c r="F2237" t="n">
        <v>34.05</v>
      </c>
      <c r="G2237" t="n">
        <v>0</v>
      </c>
      <c r="H2237" t="n">
        <v>0</v>
      </c>
      <c r="I2237" s="3" t="n">
        <v>0</v>
      </c>
      <c r="J2237" s="3" t="n">
        <v>0</v>
      </c>
      <c r="K2237" s="3" t="n">
        <v>0</v>
      </c>
      <c r="L2237" s="3">
        <f>IF(K2237&lt;-5,"CRÍTICO",IF(K2237&lt;0,"ATENÇÃO",IF(K2237&lt;=5,"BOM","EXCELENTE")))</f>
        <v/>
      </c>
      <c r="M2237" t="n">
        <v>13</v>
      </c>
      <c r="N2237" t="n">
        <v>100</v>
      </c>
      <c r="O2237" t="n">
        <v>26.08695652173913</v>
      </c>
    </row>
    <row r="2238" hidden="1">
      <c r="A2238" s="11" t="n">
        <v>46071</v>
      </c>
      <c r="B2238" t="inlineStr">
        <is>
          <t>Daniel Gomes da Silva</t>
        </is>
      </c>
      <c r="C2238" t="inlineStr">
        <is>
          <t>Técnico I</t>
        </is>
      </c>
      <c r="D2238" t="n">
        <v>33</v>
      </c>
      <c r="E2238" t="n">
        <v>31</v>
      </c>
      <c r="F2238" t="n">
        <v>20</v>
      </c>
      <c r="G2238" t="n">
        <v>0</v>
      </c>
      <c r="H2238" t="n">
        <v>0</v>
      </c>
      <c r="I2238" s="3">
        <f>E2238+G2238+H2238</f>
        <v/>
      </c>
      <c r="J2238" s="3">
        <f>ROUND(MIN(IF(C2238="Técnico III",35,IF(C2238="Técnico II",28,IF(C2238="Técnico I",23,IF(C2238="JR",20,IF(C2238="Estágio",10,0))))),IF(C2238="Técnico III",SUMIFS($D:$D,$A:$A,$A2238,$B:$B,"&lt;&gt;Patrícia Karla de Sousa Araújo",$B:$B,"&lt;&gt;Lorena Dias de Araujo",$B:$B,"&lt;&gt;Lucas Luiz Romero")*(35/1083),IF(C2238="Técnico II",SUMIFS($D:$D,$A:$A,$A2238,$B:$B,"&lt;&gt;Patrícia Karla de Sousa Araújo",$B:$B,"&lt;&gt;Lorena Dias de Araujo",$B:$B,"&lt;&gt;Lucas Luiz Romero")*(28/1083),IF(C2238="Técnico I",SUMIFS($D:$D,$A:$A,$A2238,$B:$B,"&lt;&gt;Patrícia Karla de Sousa Araújo",$B:$B,"&lt;&gt;Lorena Dias de Araujo",$B:$B,"&lt;&gt;Lucas Luiz Romero")*(23/1083),IF(C2238="JR",SUMIFS($D:$D,$A:$A,$A2238,$B:$B,"&lt;&gt;Patrícia Karla de Sousa Araújo",$B:$B,"&lt;&gt;Lorena Dias de Araujo",$B:$B,"&lt;&gt;Lucas Luiz Romero")*(20/1083),IF(C2238="Estágio",SUMIFS($D:$D,$A:$A,$A2238,$B:$B,"&lt;&gt;Patrícia Karla de Sousa Araújo",$B:$B,"&lt;&gt;Lorena Dias de Araujo",$B:$B,"&lt;&gt;Lucas Luiz Romero")*(10/1083),0)))))),0)</f>
        <v/>
      </c>
      <c r="K2238" s="3">
        <f>I2238-J2238</f>
        <v/>
      </c>
      <c r="L2238" s="3">
        <f>IF(K2238&lt;-5,"CRÍTICO",IF(K2238&lt;0,"ATENÇÃO",IF(K2238&lt;=5,"BOM","EXCELENTE")))</f>
        <v/>
      </c>
      <c r="M2238" t="n">
        <v>24</v>
      </c>
      <c r="N2238" t="n">
        <v>100</v>
      </c>
      <c r="O2238" t="n">
        <v>27.64227642276423</v>
      </c>
    </row>
    <row r="2239" hidden="1">
      <c r="A2239" s="11" t="n">
        <v>46071</v>
      </c>
      <c r="B2239" t="inlineStr">
        <is>
          <t>Davylla Rodrigues Freitas Silva</t>
        </is>
      </c>
      <c r="C2239" t="inlineStr">
        <is>
          <t>Técnico III</t>
        </is>
      </c>
      <c r="D2239" t="n">
        <v>13</v>
      </c>
      <c r="E2239" t="n">
        <v>13</v>
      </c>
      <c r="F2239" t="n">
        <v>47.13</v>
      </c>
      <c r="G2239" t="n">
        <v>0</v>
      </c>
      <c r="H2239" t="n">
        <v>0</v>
      </c>
      <c r="I2239" s="3" t="n">
        <v>0</v>
      </c>
      <c r="J2239" s="3" t="n">
        <v>0</v>
      </c>
      <c r="K2239" s="3" t="n">
        <v>0</v>
      </c>
      <c r="L2239" s="3">
        <f>IF(K2239&lt;-5,"CRÍTICO",IF(K2239&lt;0,"ATENÇÃO",IF(K2239&lt;=5,"BOM","EXCELENTE")))</f>
        <v/>
      </c>
      <c r="M2239" t="n">
        <v>13</v>
      </c>
      <c r="N2239" t="n">
        <v>100</v>
      </c>
      <c r="O2239" t="n">
        <v>34.04255319148936</v>
      </c>
    </row>
    <row r="2240" hidden="1">
      <c r="A2240" s="11" t="n">
        <v>46071</v>
      </c>
      <c r="B2240" t="inlineStr">
        <is>
          <t>Emilly Caylane Costa</t>
        </is>
      </c>
      <c r="C2240" t="inlineStr">
        <is>
          <t>Estágio</t>
        </is>
      </c>
      <c r="D2240" t="n">
        <v>5</v>
      </c>
      <c r="E2240" t="n">
        <v>3</v>
      </c>
      <c r="F2240" t="n">
        <v>30.22</v>
      </c>
      <c r="G2240" t="n">
        <v>0</v>
      </c>
      <c r="H2240" t="n">
        <v>0</v>
      </c>
      <c r="I2240" s="3">
        <f>E2240+G2240+H2240</f>
        <v/>
      </c>
      <c r="J2240" s="3">
        <f>ROUND(MIN(IF(C2240="Técnico III",35,IF(C2240="Técnico II",28,IF(C2240="Técnico I",23,IF(C2240="JR",20,IF(C2240="Estágio",10,0))))),IF(C2240="Técnico III",SUMIFS($D:$D,$A:$A,$A2240,$B:$B,"&lt;&gt;Patrícia Karla de Sousa Araújo",$B:$B,"&lt;&gt;Lorena Dias de Araujo",$B:$B,"&lt;&gt;Lucas Luiz Romero")*(35/1083),IF(C2240="Técnico II",SUMIFS($D:$D,$A:$A,$A2240,$B:$B,"&lt;&gt;Patrícia Karla de Sousa Araújo",$B:$B,"&lt;&gt;Lorena Dias de Araujo",$B:$B,"&lt;&gt;Lucas Luiz Romero")*(28/1083),IF(C2240="Técnico I",SUMIFS($D:$D,$A:$A,$A2240,$B:$B,"&lt;&gt;Patrícia Karla de Sousa Araújo",$B:$B,"&lt;&gt;Lorena Dias de Araujo",$B:$B,"&lt;&gt;Lucas Luiz Romero")*(23/1083),IF(C2240="JR",SUMIFS($D:$D,$A:$A,$A2240,$B:$B,"&lt;&gt;Patrícia Karla de Sousa Araújo",$B:$B,"&lt;&gt;Lorena Dias de Araujo",$B:$B,"&lt;&gt;Lucas Luiz Romero")*(20/1083),IF(C2240="Estágio",SUMIFS($D:$D,$A:$A,$A2240,$B:$B,"&lt;&gt;Patrícia Karla de Sousa Araújo",$B:$B,"&lt;&gt;Lorena Dias de Araujo",$B:$B,"&lt;&gt;Lucas Luiz Romero")*(10/1083),0)))))),0)</f>
        <v/>
      </c>
      <c r="K2240" s="3">
        <f>I2240-J2240</f>
        <v/>
      </c>
      <c r="L2240" s="3">
        <f>IF(K2240&lt;-5,"CRÍTICO",IF(K2240&lt;0,"ATENÇÃO",IF(K2240&lt;=5,"BOM","EXCELENTE")))</f>
        <v/>
      </c>
      <c r="M2240" t="n">
        <v>4</v>
      </c>
      <c r="N2240" t="n">
        <v>60</v>
      </c>
      <c r="O2240" t="n">
        <v>51.61290322580645</v>
      </c>
    </row>
    <row r="2241" hidden="1">
      <c r="A2241" s="11" t="n">
        <v>46071</v>
      </c>
      <c r="B2241" t="inlineStr">
        <is>
          <t>Emilly Kamilly Medeiros Miranda</t>
        </is>
      </c>
      <c r="C2241" t="inlineStr">
        <is>
          <t>Técnico II</t>
        </is>
      </c>
      <c r="D2241" t="n">
        <v>30</v>
      </c>
      <c r="E2241" t="n">
        <v>28</v>
      </c>
      <c r="F2241" t="n">
        <v>18.55</v>
      </c>
      <c r="G2241" t="n">
        <v>0</v>
      </c>
      <c r="H2241" t="n">
        <v>0</v>
      </c>
      <c r="I2241" s="3">
        <f>E2241+G2241+H2241</f>
        <v/>
      </c>
      <c r="J2241" s="3">
        <f>ROUND(MIN(IF(C2241="Técnico III",35,IF(C2241="Técnico II",28,IF(C2241="Técnico I",23,IF(C2241="JR",20,IF(C2241="Estágio",10,0))))),IF(C2241="Técnico III",SUMIFS($D:$D,$A:$A,$A2241,$B:$B,"&lt;&gt;Patrícia Karla de Sousa Araújo",$B:$B,"&lt;&gt;Lorena Dias de Araujo",$B:$B,"&lt;&gt;Lucas Luiz Romero")*(35/1083),IF(C2241="Técnico II",SUMIFS($D:$D,$A:$A,$A2241,$B:$B,"&lt;&gt;Patrícia Karla de Sousa Araújo",$B:$B,"&lt;&gt;Lorena Dias de Araujo",$B:$B,"&lt;&gt;Lucas Luiz Romero")*(28/1083),IF(C2241="Técnico I",SUMIFS($D:$D,$A:$A,$A2241,$B:$B,"&lt;&gt;Patrícia Karla de Sousa Araújo",$B:$B,"&lt;&gt;Lorena Dias de Araujo",$B:$B,"&lt;&gt;Lucas Luiz Romero")*(23/1083),IF(C2241="JR",SUMIFS($D:$D,$A:$A,$A2241,$B:$B,"&lt;&gt;Patrícia Karla de Sousa Araújo",$B:$B,"&lt;&gt;Lorena Dias de Araujo",$B:$B,"&lt;&gt;Lucas Luiz Romero")*(20/1083),IF(C2241="Estágio",SUMIFS($D:$D,$A:$A,$A2241,$B:$B,"&lt;&gt;Patrícia Karla de Sousa Araújo",$B:$B,"&lt;&gt;Lorena Dias de Araujo",$B:$B,"&lt;&gt;Lucas Luiz Romero")*(10/1083),0)))))),0)</f>
        <v/>
      </c>
      <c r="K2241" s="3">
        <f>I2241-J2241</f>
        <v/>
      </c>
      <c r="L2241" s="3">
        <f>IF(K2241&lt;-5,"CRÍTICO",IF(K2241&lt;0,"ATENÇÃO",IF(K2241&lt;=5,"BOM","EXCELENTE")))</f>
        <v/>
      </c>
      <c r="M2241" t="n">
        <v>22</v>
      </c>
      <c r="N2241" t="n">
        <v>97.67</v>
      </c>
      <c r="O2241" t="n">
        <v>30.078125</v>
      </c>
    </row>
    <row r="2242" hidden="1">
      <c r="A2242" s="11" t="n">
        <v>46071</v>
      </c>
      <c r="B2242" t="inlineStr">
        <is>
          <t>Francielson de Oliveira</t>
        </is>
      </c>
      <c r="C2242" t="inlineStr">
        <is>
          <t>Técnico III</t>
        </is>
      </c>
      <c r="D2242" t="n">
        <v>15</v>
      </c>
      <c r="E2242" t="n">
        <v>15</v>
      </c>
      <c r="F2242" t="n">
        <v>30</v>
      </c>
      <c r="G2242" t="n">
        <v>0</v>
      </c>
      <c r="H2242" t="n">
        <v>0</v>
      </c>
      <c r="I2242" s="3">
        <f>E2242+G2242+H2242</f>
        <v/>
      </c>
      <c r="J2242" s="3">
        <f>ROUND(MIN(IF(C2242="Técnico III",35,IF(C2242="Técnico II",28,IF(C2242="Técnico I",23,IF(C2242="JR",20,IF(C2242="Estágio",10,0))))),IF(C2242="Técnico III",SUMIFS($D:$D,$A:$A,$A2242,$B:$B,"&lt;&gt;Patrícia Karla de Sousa Araújo",$B:$B,"&lt;&gt;Lorena Dias de Araujo",$B:$B,"&lt;&gt;Lucas Luiz Romero")*(35/1083),IF(C2242="Técnico II",SUMIFS($D:$D,$A:$A,$A2242,$B:$B,"&lt;&gt;Patrícia Karla de Sousa Araújo",$B:$B,"&lt;&gt;Lorena Dias de Araujo",$B:$B,"&lt;&gt;Lucas Luiz Romero")*(28/1083),IF(C2242="Técnico I",SUMIFS($D:$D,$A:$A,$A2242,$B:$B,"&lt;&gt;Patrícia Karla de Sousa Araújo",$B:$B,"&lt;&gt;Lorena Dias de Araujo",$B:$B,"&lt;&gt;Lucas Luiz Romero")*(23/1083),IF(C2242="JR",SUMIFS($D:$D,$A:$A,$A2242,$B:$B,"&lt;&gt;Patrícia Karla de Sousa Araújo",$B:$B,"&lt;&gt;Lorena Dias de Araujo",$B:$B,"&lt;&gt;Lucas Luiz Romero")*(20/1083),IF(C2242="Estágio",SUMIFS($D:$D,$A:$A,$A2242,$B:$B,"&lt;&gt;Patrícia Karla de Sousa Araújo",$B:$B,"&lt;&gt;Lorena Dias de Araujo",$B:$B,"&lt;&gt;Lucas Luiz Romero")*(10/1083),0)))))),0)</f>
        <v/>
      </c>
      <c r="K2242" s="3">
        <f>I2242-J2242</f>
        <v/>
      </c>
      <c r="L2242" s="3">
        <f>IF(K2242&lt;-5,"CRÍTICO",IF(K2242&lt;0,"ATENÇÃO",IF(K2242&lt;=5,"BOM","EXCELENTE")))</f>
        <v/>
      </c>
      <c r="M2242" t="n">
        <v>14</v>
      </c>
      <c r="N2242" t="n">
        <v>98.75</v>
      </c>
      <c r="O2242" t="n">
        <v>27.5974025974026</v>
      </c>
    </row>
    <row r="2243" hidden="1">
      <c r="A2243" s="11" t="n">
        <v>46071</v>
      </c>
      <c r="B2243" t="inlineStr">
        <is>
          <t>Francilene Ferreira de Jesus</t>
        </is>
      </c>
      <c r="C2243" t="inlineStr">
        <is>
          <t>Técnico II</t>
        </is>
      </c>
      <c r="D2243" t="n">
        <v>26</v>
      </c>
      <c r="E2243" t="n">
        <v>24</v>
      </c>
      <c r="F2243" t="n">
        <v>29.02</v>
      </c>
      <c r="G2243" t="n">
        <v>0</v>
      </c>
      <c r="H2243" t="n">
        <v>0</v>
      </c>
      <c r="I2243" s="3">
        <f>E2243+G2243+H2243</f>
        <v/>
      </c>
      <c r="J2243" s="3">
        <f>ROUND(MIN(IF(C2243="Técnico III",35,IF(C2243="Técnico II",28,IF(C2243="Técnico I",23,IF(C2243="JR",20,IF(C2243="Estágio",10,0))))),IF(C2243="Técnico III",SUMIFS($D:$D,$A:$A,$A2243,$B:$B,"&lt;&gt;Patrícia Karla de Sousa Araújo",$B:$B,"&lt;&gt;Lorena Dias de Araujo",$B:$B,"&lt;&gt;Lucas Luiz Romero")*(35/1083),IF(C2243="Técnico II",SUMIFS($D:$D,$A:$A,$A2243,$B:$B,"&lt;&gt;Patrícia Karla de Sousa Araújo",$B:$B,"&lt;&gt;Lorena Dias de Araujo",$B:$B,"&lt;&gt;Lucas Luiz Romero")*(28/1083),IF(C2243="Técnico I",SUMIFS($D:$D,$A:$A,$A2243,$B:$B,"&lt;&gt;Patrícia Karla de Sousa Araújo",$B:$B,"&lt;&gt;Lorena Dias de Araujo",$B:$B,"&lt;&gt;Lucas Luiz Romero")*(23/1083),IF(C2243="JR",SUMIFS($D:$D,$A:$A,$A2243,$B:$B,"&lt;&gt;Patrícia Karla de Sousa Araújo",$B:$B,"&lt;&gt;Lorena Dias de Araujo",$B:$B,"&lt;&gt;Lucas Luiz Romero")*(20/1083),IF(C2243="Estágio",SUMIFS($D:$D,$A:$A,$A2243,$B:$B,"&lt;&gt;Patrícia Karla de Sousa Araújo",$B:$B,"&lt;&gt;Lorena Dias de Araujo",$B:$B,"&lt;&gt;Lucas Luiz Romero")*(10/1083),0)))))),0)</f>
        <v/>
      </c>
      <c r="K2243" s="3">
        <f>I2243-J2243</f>
        <v/>
      </c>
      <c r="L2243" s="3">
        <f>IF(K2243&lt;-5,"CRÍTICO",IF(K2243&lt;0,"ATENÇÃO",IF(K2243&lt;=5,"BOM","EXCELENTE")))</f>
        <v/>
      </c>
      <c r="M2243" t="n">
        <v>21</v>
      </c>
      <c r="N2243" t="n">
        <v>98.86</v>
      </c>
      <c r="O2243" t="n">
        <v>24.6031746031746</v>
      </c>
    </row>
    <row r="2244" hidden="1">
      <c r="A2244" s="11" t="n">
        <v>46105</v>
      </c>
      <c r="B2244" t="inlineStr">
        <is>
          <t>Gabriel Gomes de Andrade</t>
        </is>
      </c>
      <c r="C2244" t="inlineStr">
        <is>
          <t>Técnico I</t>
        </is>
      </c>
      <c r="D2244" t="n">
        <v>30</v>
      </c>
      <c r="E2244" t="n">
        <v>29</v>
      </c>
      <c r="F2244" t="n">
        <v>17.27</v>
      </c>
      <c r="G2244" t="n">
        <v>0</v>
      </c>
      <c r="H2244" t="n">
        <v>0</v>
      </c>
      <c r="I2244" s="3">
        <f>E2244+G2244+H2244</f>
        <v/>
      </c>
      <c r="J2244" s="3">
        <f>ROUND(MIN(IF(C2244="Técnico III",35,IF(C2244="Técnico II",28,IF(C2244="Técnico I",23,IF(C2244="JR",20,IF(C2244="Estágio",10,0))))),IF(C2244="Técnico III",SUMIFS($D:$D,$A:$A,$A2244,$B:$B,"&lt;&gt;Patrícia Karla de Sousa Araújo",$B:$B,"&lt;&gt;Lorena Dias de Araujo",$B:$B,"&lt;&gt;Lucas Luiz Romero")*(35/1083),IF(C2244="Técnico II",SUMIFS($D:$D,$A:$A,$A2244,$B:$B,"&lt;&gt;Patrícia Karla de Sousa Araújo",$B:$B,"&lt;&gt;Lorena Dias de Araujo",$B:$B,"&lt;&gt;Lucas Luiz Romero")*(28/1083),IF(C2244="Técnico I",SUMIFS($D:$D,$A:$A,$A2244,$B:$B,"&lt;&gt;Patrícia Karla de Sousa Araújo",$B:$B,"&lt;&gt;Lorena Dias de Araujo",$B:$B,"&lt;&gt;Lucas Luiz Romero")*(23/1083),IF(C2244="JR",SUMIFS($D:$D,$A:$A,$A2244,$B:$B,"&lt;&gt;Patrícia Karla de Sousa Araújo",$B:$B,"&lt;&gt;Lorena Dias de Araujo",$B:$B,"&lt;&gt;Lucas Luiz Romero")*(20/1083),IF(C2244="Estágio",SUMIFS($D:$D,$A:$A,$A2244,$B:$B,"&lt;&gt;Patrícia Karla de Sousa Araújo",$B:$B,"&lt;&gt;Lorena Dias de Araujo",$B:$B,"&lt;&gt;Lucas Luiz Romero")*(10/1083),0)))))),0)</f>
        <v/>
      </c>
      <c r="K2244" s="3">
        <f>I2244-J2244</f>
        <v/>
      </c>
      <c r="L2244" s="3">
        <f>IF(K2244&lt;-5,"CRÍTICO",IF(K2244&lt;0,"ATENÇÃO",IF(K2244&lt;=5,"BOM","EXCELENTE")))</f>
        <v/>
      </c>
      <c r="N2244" t="n">
        <v>99.05</v>
      </c>
      <c r="O2244" t="n">
        <v>26.62192393736018</v>
      </c>
    </row>
    <row r="2245" hidden="1">
      <c r="A2245" s="11" t="n">
        <v>46071</v>
      </c>
      <c r="B2245" t="inlineStr">
        <is>
          <t>Isabella Borges de Oliveira</t>
        </is>
      </c>
      <c r="C2245" t="inlineStr">
        <is>
          <t>Técnico II</t>
        </is>
      </c>
      <c r="D2245" t="n">
        <v>23</v>
      </c>
      <c r="E2245" t="n">
        <v>22</v>
      </c>
      <c r="F2245" t="n">
        <v>24.07</v>
      </c>
      <c r="G2245" t="n">
        <v>0</v>
      </c>
      <c r="H2245" t="n">
        <v>0</v>
      </c>
      <c r="I2245" s="3">
        <f>E2245+G2245+H2245</f>
        <v/>
      </c>
      <c r="J2245" s="3">
        <f>ROUND(MIN(IF(C2245="Técnico III",35,IF(C2245="Técnico II",28,IF(C2245="Técnico I",23,IF(C2245="JR",20,IF(C2245="Estágio",10,0))))),IF(C2245="Técnico III",SUMIFS($D:$D,$A:$A,$A2245,$B:$B,"&lt;&gt;Patrícia Karla de Sousa Araújo",$B:$B,"&lt;&gt;Lorena Dias de Araujo",$B:$B,"&lt;&gt;Lucas Luiz Romero")*(35/1083),IF(C2245="Técnico II",SUMIFS($D:$D,$A:$A,$A2245,$B:$B,"&lt;&gt;Patrícia Karla de Sousa Araújo",$B:$B,"&lt;&gt;Lorena Dias de Araujo",$B:$B,"&lt;&gt;Lucas Luiz Romero")*(28/1083),IF(C2245="Técnico I",SUMIFS($D:$D,$A:$A,$A2245,$B:$B,"&lt;&gt;Patrícia Karla de Sousa Araújo",$B:$B,"&lt;&gt;Lorena Dias de Araujo",$B:$B,"&lt;&gt;Lucas Luiz Romero")*(23/1083),IF(C2245="JR",SUMIFS($D:$D,$A:$A,$A2245,$B:$B,"&lt;&gt;Patrícia Karla de Sousa Araújo",$B:$B,"&lt;&gt;Lorena Dias de Araujo",$B:$B,"&lt;&gt;Lucas Luiz Romero")*(20/1083),IF(C2245="Estágio",SUMIFS($D:$D,$A:$A,$A2245,$B:$B,"&lt;&gt;Patrícia Karla de Sousa Araújo",$B:$B,"&lt;&gt;Lorena Dias de Araujo",$B:$B,"&lt;&gt;Lucas Luiz Romero")*(10/1083),0)))))),0)</f>
        <v/>
      </c>
      <c r="K2245" s="3">
        <f>I2245-J2245</f>
        <v/>
      </c>
      <c r="L2245" s="3">
        <f>IF(K2245&lt;-5,"CRÍTICO",IF(K2245&lt;0,"ATENÇÃO",IF(K2245&lt;=5,"BOM","EXCELENTE")))</f>
        <v/>
      </c>
      <c r="M2245" t="n">
        <v>21</v>
      </c>
      <c r="N2245" t="n">
        <v>98.77</v>
      </c>
      <c r="O2245" t="n">
        <v>32.8719723183391</v>
      </c>
    </row>
    <row r="2246" hidden="1">
      <c r="A2246" s="11" t="n">
        <v>46071</v>
      </c>
      <c r="B2246" t="inlineStr">
        <is>
          <t>Janaina Lima dos Reis Urany</t>
        </is>
      </c>
      <c r="C2246" t="inlineStr">
        <is>
          <t>Técnico III</t>
        </is>
      </c>
      <c r="D2246" t="n">
        <v>40</v>
      </c>
      <c r="E2246" t="n">
        <v>39</v>
      </c>
      <c r="F2246" t="n">
        <v>16.41</v>
      </c>
      <c r="G2246" t="n">
        <v>0</v>
      </c>
      <c r="H2246" t="n">
        <v>0</v>
      </c>
      <c r="I2246" s="3">
        <f>E2246+G2246+H2246</f>
        <v/>
      </c>
      <c r="J2246" s="3">
        <f>ROUND(MIN(IF(C2246="Técnico III",35,IF(C2246="Técnico II",28,IF(C2246="Técnico I",23,IF(C2246="JR",20,IF(C2246="Estágio",10,0))))),IF(C2246="Técnico III",SUMIFS($D:$D,$A:$A,$A2246,$B:$B,"&lt;&gt;Patrícia Karla de Sousa Araújo",$B:$B,"&lt;&gt;Lorena Dias de Araujo",$B:$B,"&lt;&gt;Lucas Luiz Romero")*(35/1083),IF(C2246="Técnico II",SUMIFS($D:$D,$A:$A,$A2246,$B:$B,"&lt;&gt;Patrícia Karla de Sousa Araújo",$B:$B,"&lt;&gt;Lorena Dias de Araujo",$B:$B,"&lt;&gt;Lucas Luiz Romero")*(28/1083),IF(C2246="Técnico I",SUMIFS($D:$D,$A:$A,$A2246,$B:$B,"&lt;&gt;Patrícia Karla de Sousa Araújo",$B:$B,"&lt;&gt;Lorena Dias de Araujo",$B:$B,"&lt;&gt;Lucas Luiz Romero")*(23/1083),IF(C2246="JR",SUMIFS($D:$D,$A:$A,$A2246,$B:$B,"&lt;&gt;Patrícia Karla de Sousa Araújo",$B:$B,"&lt;&gt;Lorena Dias de Araujo",$B:$B,"&lt;&gt;Lucas Luiz Romero")*(20/1083),IF(C2246="Estágio",SUMIFS($D:$D,$A:$A,$A2246,$B:$B,"&lt;&gt;Patrícia Karla de Sousa Araújo",$B:$B,"&lt;&gt;Lorena Dias de Araujo",$B:$B,"&lt;&gt;Lucas Luiz Romero")*(10/1083),0)))))),0)</f>
        <v/>
      </c>
      <c r="K2246" s="3">
        <f>I2246-J2246</f>
        <v/>
      </c>
      <c r="L2246" s="3">
        <f>IF(K2246&lt;-5,"CRÍTICO",IF(K2246&lt;0,"ATENÇÃO",IF(K2246&lt;=5,"BOM","EXCELENTE")))</f>
        <v/>
      </c>
      <c r="M2246" t="n">
        <v>37</v>
      </c>
      <c r="N2246" t="n">
        <v>100</v>
      </c>
      <c r="O2246" t="n">
        <v>26.24254473161034</v>
      </c>
    </row>
    <row r="2247" hidden="1">
      <c r="A2247" s="11" t="n">
        <v>46071</v>
      </c>
      <c r="B2247" t="inlineStr">
        <is>
          <t>Jaqueline Evangelista da Silva Martins</t>
        </is>
      </c>
      <c r="C2247" t="inlineStr">
        <is>
          <t>Técnico III</t>
        </is>
      </c>
      <c r="D2247" t="n">
        <v>29</v>
      </c>
      <c r="E2247" t="n">
        <v>26</v>
      </c>
      <c r="F2247" t="n">
        <v>14.14</v>
      </c>
      <c r="G2247" t="n">
        <v>0</v>
      </c>
      <c r="H2247" t="n">
        <v>0</v>
      </c>
      <c r="I2247" s="3">
        <f>E2247+G2247+H2247</f>
        <v/>
      </c>
      <c r="J2247" s="3">
        <f>ROUND(MIN(IF(C2247="Técnico III",35,IF(C2247="Técnico II",28,IF(C2247="Técnico I",23,IF(C2247="JR",20,IF(C2247="Estágio",10,0))))),IF(C2247="Técnico III",SUMIFS($D:$D,$A:$A,$A2247,$B:$B,"&lt;&gt;Patrícia Karla de Sousa Araújo",$B:$B,"&lt;&gt;Lorena Dias de Araujo",$B:$B,"&lt;&gt;Lucas Luiz Romero")*(35/1083),IF(C2247="Técnico II",SUMIFS($D:$D,$A:$A,$A2247,$B:$B,"&lt;&gt;Patrícia Karla de Sousa Araújo",$B:$B,"&lt;&gt;Lorena Dias de Araujo",$B:$B,"&lt;&gt;Lucas Luiz Romero")*(28/1083),IF(C2247="Técnico I",SUMIFS($D:$D,$A:$A,$A2247,$B:$B,"&lt;&gt;Patrícia Karla de Sousa Araújo",$B:$B,"&lt;&gt;Lorena Dias de Araujo",$B:$B,"&lt;&gt;Lucas Luiz Romero")*(23/1083),IF(C2247="JR",SUMIFS($D:$D,$A:$A,$A2247,$B:$B,"&lt;&gt;Patrícia Karla de Sousa Araújo",$B:$B,"&lt;&gt;Lorena Dias de Araujo",$B:$B,"&lt;&gt;Lucas Luiz Romero")*(20/1083),IF(C2247="Estágio",SUMIFS($D:$D,$A:$A,$A2247,$B:$B,"&lt;&gt;Patrícia Karla de Sousa Araújo",$B:$B,"&lt;&gt;Lorena Dias de Araujo",$B:$B,"&lt;&gt;Lucas Luiz Romero")*(10/1083),0)))))),0)</f>
        <v/>
      </c>
      <c r="K2247" s="3">
        <f>I2247-J2247</f>
        <v/>
      </c>
      <c r="L2247" s="3">
        <f>IF(K2247&lt;-5,"CRÍTICO",IF(K2247&lt;0,"ATENÇÃO",IF(K2247&lt;=5,"BOM","EXCELENTE")))</f>
        <v/>
      </c>
      <c r="M2247" t="n">
        <v>22</v>
      </c>
      <c r="N2247" t="n">
        <v>97.18000000000001</v>
      </c>
      <c r="O2247" t="n">
        <v>26.28398791540785</v>
      </c>
    </row>
    <row r="2248" hidden="1">
      <c r="A2248" s="11" t="n">
        <v>46071</v>
      </c>
      <c r="B2248" t="inlineStr">
        <is>
          <t>Jessica Faria da Silveira</t>
        </is>
      </c>
      <c r="C2248" t="inlineStr">
        <is>
          <t>Técnico II</t>
        </is>
      </c>
      <c r="D2248" t="n">
        <v>27</v>
      </c>
      <c r="E2248" t="n">
        <v>20</v>
      </c>
      <c r="F2248" t="n">
        <v>20.04</v>
      </c>
      <c r="G2248" t="n">
        <v>0</v>
      </c>
      <c r="H2248" t="n">
        <v>0</v>
      </c>
      <c r="I2248" s="3">
        <f>E2248+G2248+H2248</f>
        <v/>
      </c>
      <c r="J2248" s="3">
        <f>ROUND(MIN(IF(C2248="Técnico III",35,IF(C2248="Técnico II",28,IF(C2248="Técnico I",23,IF(C2248="JR",20,IF(C2248="Estágio",10,0))))),IF(C2248="Técnico III",SUMIFS($D:$D,$A:$A,$A2248,$B:$B,"&lt;&gt;Patrícia Karla de Sousa Araújo",$B:$B,"&lt;&gt;Lorena Dias de Araujo",$B:$B,"&lt;&gt;Lucas Luiz Romero")*(35/1083),IF(C2248="Técnico II",SUMIFS($D:$D,$A:$A,$A2248,$B:$B,"&lt;&gt;Patrícia Karla de Sousa Araújo",$B:$B,"&lt;&gt;Lorena Dias de Araujo",$B:$B,"&lt;&gt;Lucas Luiz Romero")*(28/1083),IF(C2248="Técnico I",SUMIFS($D:$D,$A:$A,$A2248,$B:$B,"&lt;&gt;Patrícia Karla de Sousa Araújo",$B:$B,"&lt;&gt;Lorena Dias de Araujo",$B:$B,"&lt;&gt;Lucas Luiz Romero")*(23/1083),IF(C2248="JR",SUMIFS($D:$D,$A:$A,$A2248,$B:$B,"&lt;&gt;Patrícia Karla de Sousa Araújo",$B:$B,"&lt;&gt;Lorena Dias de Araujo",$B:$B,"&lt;&gt;Lucas Luiz Romero")*(20/1083),IF(C2248="Estágio",SUMIFS($D:$D,$A:$A,$A2248,$B:$B,"&lt;&gt;Patrícia Karla de Sousa Araújo",$B:$B,"&lt;&gt;Lorena Dias de Araujo",$B:$B,"&lt;&gt;Lucas Luiz Romero")*(10/1083),0)))))),0)</f>
        <v/>
      </c>
      <c r="K2248" s="3">
        <f>I2248-J2248</f>
        <v/>
      </c>
      <c r="L2248" s="3">
        <f>IF(K2248&lt;-5,"CRÍTICO",IF(K2248&lt;0,"ATENÇÃO",IF(K2248&lt;=5,"BOM","EXCELENTE")))</f>
        <v/>
      </c>
      <c r="M2248" t="n">
        <v>16</v>
      </c>
      <c r="N2248" t="n">
        <v>98.67</v>
      </c>
      <c r="O2248" t="n">
        <v>26.96629213483146</v>
      </c>
    </row>
    <row r="2249" hidden="1">
      <c r="A2249" s="11" t="n">
        <v>46071</v>
      </c>
      <c r="B2249" t="inlineStr">
        <is>
          <t>Jéssica Fé Moura</t>
        </is>
      </c>
      <c r="C2249" t="inlineStr">
        <is>
          <t>Técnico III</t>
        </is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s="3" t="n">
        <v>0</v>
      </c>
      <c r="J2249" s="3" t="n">
        <v>0</v>
      </c>
      <c r="K2249" s="3" t="n">
        <v>0</v>
      </c>
      <c r="L2249" s="3">
        <f>IF(K2249&lt;-5,"CRÍTICO",IF(K2249&lt;0,"ATENÇÃO",IF(K2249&lt;=5,"BOM","EXCELENTE")))</f>
        <v/>
      </c>
      <c r="M2249" t="n">
        <v>0</v>
      </c>
      <c r="N2249" t="n">
        <v>100</v>
      </c>
      <c r="O2249" t="n">
        <v>0</v>
      </c>
    </row>
    <row r="2250" hidden="1">
      <c r="A2250" s="11" t="n">
        <v>46071</v>
      </c>
      <c r="B2250" t="inlineStr">
        <is>
          <t>Karina Gonçalves Martins</t>
        </is>
      </c>
      <c r="C2250" t="inlineStr">
        <is>
          <t>JR</t>
        </is>
      </c>
      <c r="D2250" t="n">
        <v>10</v>
      </c>
      <c r="E2250" t="n">
        <v>9</v>
      </c>
      <c r="F2250" t="n">
        <v>42.14</v>
      </c>
      <c r="G2250" t="n">
        <v>0</v>
      </c>
      <c r="H2250" t="n">
        <v>0</v>
      </c>
      <c r="I2250" s="3">
        <f>E2250+G2250+H2250</f>
        <v/>
      </c>
      <c r="J2250" s="3">
        <f>ROUND(MIN(IF(C2250="Técnico III",35,IF(C2250="Técnico II",28,IF(C2250="Técnico I",23,IF(C2250="JR",20,IF(C2250="Estágio",10,0))))),IF(C2250="Técnico III",SUMIFS($D:$D,$A:$A,$A2250,$B:$B,"&lt;&gt;Patrícia Karla de Sousa Araújo",$B:$B,"&lt;&gt;Lorena Dias de Araujo",$B:$B,"&lt;&gt;Lucas Luiz Romero")*(35/1083),IF(C2250="Técnico II",SUMIFS($D:$D,$A:$A,$A2250,$B:$B,"&lt;&gt;Patrícia Karla de Sousa Araújo",$B:$B,"&lt;&gt;Lorena Dias de Araujo",$B:$B,"&lt;&gt;Lucas Luiz Romero")*(28/1083),IF(C2250="Técnico I",SUMIFS($D:$D,$A:$A,$A2250,$B:$B,"&lt;&gt;Patrícia Karla de Sousa Araújo",$B:$B,"&lt;&gt;Lorena Dias de Araujo",$B:$B,"&lt;&gt;Lucas Luiz Romero")*(23/1083),IF(C2250="JR",SUMIFS($D:$D,$A:$A,$A2250,$B:$B,"&lt;&gt;Patrícia Karla de Sousa Araújo",$B:$B,"&lt;&gt;Lorena Dias de Araujo",$B:$B,"&lt;&gt;Lucas Luiz Romero")*(20/1083),IF(C2250="Estágio",SUMIFS($D:$D,$A:$A,$A2250,$B:$B,"&lt;&gt;Patrícia Karla de Sousa Araújo",$B:$B,"&lt;&gt;Lorena Dias de Araujo",$B:$B,"&lt;&gt;Lucas Luiz Romero")*(10/1083),0)))))),0)</f>
        <v/>
      </c>
      <c r="K2250" s="3">
        <f>I2250-J2250</f>
        <v/>
      </c>
      <c r="L2250" s="3">
        <f>IF(K2250&lt;-5,"CRÍTICO",IF(K2250&lt;0,"ATENÇÃO",IF(K2250&lt;=5,"BOM","EXCELENTE")))</f>
        <v/>
      </c>
      <c r="M2250" t="n">
        <v>7</v>
      </c>
      <c r="N2250" t="n">
        <v>97.44</v>
      </c>
      <c r="O2250" t="n">
        <v>30.76923076923077</v>
      </c>
    </row>
    <row r="2251" hidden="1">
      <c r="A2251" s="11" t="n">
        <v>46071</v>
      </c>
      <c r="B2251" t="inlineStr">
        <is>
          <t>Kerollen Cristielly de Jesus Siqueira</t>
        </is>
      </c>
      <c r="C2251" t="inlineStr">
        <is>
          <t>Técnico III</t>
        </is>
      </c>
      <c r="D2251" t="n">
        <v>16</v>
      </c>
      <c r="E2251" t="n">
        <v>16</v>
      </c>
      <c r="F2251" t="n">
        <v>30.03</v>
      </c>
      <c r="G2251" t="n">
        <v>0</v>
      </c>
      <c r="H2251" t="n">
        <v>0</v>
      </c>
      <c r="I2251" s="3">
        <f>E2251+G2251+H2251</f>
        <v/>
      </c>
      <c r="J2251" s="3">
        <f>ROUND(MIN(IF(C2251="Técnico III",35,IF(C2251="Técnico II",28,IF(C2251="Técnico I",23,IF(C2251="JR",20,IF(C2251="Estágio",10,0))))),IF(C2251="Técnico III",SUMIFS($D:$D,$A:$A,$A2251,$B:$B,"&lt;&gt;Patrícia Karla de Sousa Araújo",$B:$B,"&lt;&gt;Lorena Dias de Araujo",$B:$B,"&lt;&gt;Lucas Luiz Romero")*(35/1083),IF(C2251="Técnico II",SUMIFS($D:$D,$A:$A,$A2251,$B:$B,"&lt;&gt;Patrícia Karla de Sousa Araújo",$B:$B,"&lt;&gt;Lorena Dias de Araujo",$B:$B,"&lt;&gt;Lucas Luiz Romero")*(28/1083),IF(C2251="Técnico I",SUMIFS($D:$D,$A:$A,$A2251,$B:$B,"&lt;&gt;Patrícia Karla de Sousa Araújo",$B:$B,"&lt;&gt;Lorena Dias de Araujo",$B:$B,"&lt;&gt;Lucas Luiz Romero")*(23/1083),IF(C2251="JR",SUMIFS($D:$D,$A:$A,$A2251,$B:$B,"&lt;&gt;Patrícia Karla de Sousa Araújo",$B:$B,"&lt;&gt;Lorena Dias de Araujo",$B:$B,"&lt;&gt;Lucas Luiz Romero")*(20/1083),IF(C2251="Estágio",SUMIFS($D:$D,$A:$A,$A2251,$B:$B,"&lt;&gt;Patrícia Karla de Sousa Araújo",$B:$B,"&lt;&gt;Lorena Dias de Araujo",$B:$B,"&lt;&gt;Lucas Luiz Romero")*(10/1083),0)))))),0)</f>
        <v/>
      </c>
      <c r="K2251" s="3">
        <f>I2251-J2251</f>
        <v/>
      </c>
      <c r="L2251" s="3">
        <f>IF(K2251&lt;-5,"CRÍTICO",IF(K2251&lt;0,"ATENÇÃO",IF(K2251&lt;=5,"BOM","EXCELENTE")))</f>
        <v/>
      </c>
      <c r="M2251" t="n">
        <v>14</v>
      </c>
      <c r="N2251" t="n">
        <v>100</v>
      </c>
      <c r="O2251" t="n">
        <v>19.66292134831461</v>
      </c>
    </row>
    <row r="2252" hidden="1">
      <c r="A2252" s="11" t="n">
        <v>46071</v>
      </c>
      <c r="B2252" t="inlineStr">
        <is>
          <t>Leandro de Souza Silva</t>
        </is>
      </c>
      <c r="C2252" t="inlineStr">
        <is>
          <t>JR</t>
        </is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s="3" t="n">
        <v>0</v>
      </c>
      <c r="J2252" s="3" t="n">
        <v>0</v>
      </c>
      <c r="K2252" s="3" t="n">
        <v>0</v>
      </c>
      <c r="L2252" s="3">
        <f>IF(K2252&lt;-5,"CRÍTICO",IF(K2252&lt;0,"ATENÇÃO",IF(K2252&lt;=5,"BOM","EXCELENTE")))</f>
        <v/>
      </c>
      <c r="M2252" t="n">
        <v>0</v>
      </c>
      <c r="N2252" t="n">
        <v>0</v>
      </c>
      <c r="O2252" t="n">
        <v>0</v>
      </c>
    </row>
    <row r="2253" hidden="1">
      <c r="A2253" s="11" t="n">
        <v>46071</v>
      </c>
      <c r="B2253" t="inlineStr">
        <is>
          <t>Leandro Oliveira de Sousa</t>
        </is>
      </c>
      <c r="C2253" t="inlineStr">
        <is>
          <t>Técnico III</t>
        </is>
      </c>
      <c r="D2253" t="n">
        <v>20</v>
      </c>
      <c r="E2253" t="n">
        <v>18</v>
      </c>
      <c r="F2253" t="n">
        <v>30.28</v>
      </c>
      <c r="G2253" t="n">
        <v>0</v>
      </c>
      <c r="H2253" t="n">
        <v>0</v>
      </c>
      <c r="I2253" s="3">
        <f>E2253+G2253+H2253</f>
        <v/>
      </c>
      <c r="J2253" s="3">
        <f>ROUND(MIN(IF(C2253="Técnico III",35,IF(C2253="Técnico II",28,IF(C2253="Técnico I",23,IF(C2253="JR",20,IF(C2253="Estágio",10,0))))),IF(C2253="Técnico III",SUMIFS($D:$D,$A:$A,$A2253,$B:$B,"&lt;&gt;Patrícia Karla de Sousa Araújo",$B:$B,"&lt;&gt;Lorena Dias de Araujo",$B:$B,"&lt;&gt;Lucas Luiz Romero")*(35/1083),IF(C2253="Técnico II",SUMIFS($D:$D,$A:$A,$A2253,$B:$B,"&lt;&gt;Patrícia Karla de Sousa Araújo",$B:$B,"&lt;&gt;Lorena Dias de Araujo",$B:$B,"&lt;&gt;Lucas Luiz Romero")*(28/1083),IF(C2253="Técnico I",SUMIFS($D:$D,$A:$A,$A2253,$B:$B,"&lt;&gt;Patrícia Karla de Sousa Araújo",$B:$B,"&lt;&gt;Lorena Dias de Araujo",$B:$B,"&lt;&gt;Lucas Luiz Romero")*(23/1083),IF(C2253="JR",SUMIFS($D:$D,$A:$A,$A2253,$B:$B,"&lt;&gt;Patrícia Karla de Sousa Araújo",$B:$B,"&lt;&gt;Lorena Dias de Araujo",$B:$B,"&lt;&gt;Lucas Luiz Romero")*(20/1083),IF(C2253="Estágio",SUMIFS($D:$D,$A:$A,$A2253,$B:$B,"&lt;&gt;Patrícia Karla de Sousa Araújo",$B:$B,"&lt;&gt;Lorena Dias de Araujo",$B:$B,"&lt;&gt;Lucas Luiz Romero")*(10/1083),0)))))),0)</f>
        <v/>
      </c>
      <c r="K2253" s="3">
        <f>I2253-J2253</f>
        <v/>
      </c>
      <c r="L2253" s="3">
        <f>IF(K2253&lt;-5,"CRÍTICO",IF(K2253&lt;0,"ATENÇÃO",IF(K2253&lt;=5,"BOM","EXCELENTE")))</f>
        <v/>
      </c>
      <c r="M2253" t="n">
        <v>15</v>
      </c>
      <c r="N2253" t="n">
        <v>99.02</v>
      </c>
      <c r="O2253" t="n">
        <v>33.33333333333333</v>
      </c>
    </row>
    <row r="2254" hidden="1">
      <c r="A2254" s="11" t="n">
        <v>46071</v>
      </c>
      <c r="B2254" t="inlineStr">
        <is>
          <t>Lizandra Gomes Duarte</t>
        </is>
      </c>
      <c r="C2254" t="inlineStr">
        <is>
          <t>Técnico II</t>
        </is>
      </c>
      <c r="D2254" t="n">
        <v>25</v>
      </c>
      <c r="E2254" t="n">
        <v>22</v>
      </c>
      <c r="F2254" t="n">
        <v>25.32</v>
      </c>
      <c r="G2254" t="n">
        <v>0</v>
      </c>
      <c r="H2254" t="n">
        <v>0</v>
      </c>
      <c r="I2254" s="3">
        <f>E2254+G2254+H2254</f>
        <v/>
      </c>
      <c r="J2254" s="3">
        <f>ROUND(MIN(IF(C2254="Técnico III",35,IF(C2254="Técnico II",28,IF(C2254="Técnico I",23,IF(C2254="JR",20,IF(C2254="Estágio",10,0))))),IF(C2254="Técnico III",SUMIFS($D:$D,$A:$A,$A2254,$B:$B,"&lt;&gt;Patrícia Karla de Sousa Araújo",$B:$B,"&lt;&gt;Lorena Dias de Araujo",$B:$B,"&lt;&gt;Lucas Luiz Romero")*(35/1083),IF(C2254="Técnico II",SUMIFS($D:$D,$A:$A,$A2254,$B:$B,"&lt;&gt;Patrícia Karla de Sousa Araújo",$B:$B,"&lt;&gt;Lorena Dias de Araujo",$B:$B,"&lt;&gt;Lucas Luiz Romero")*(28/1083),IF(C2254="Técnico I",SUMIFS($D:$D,$A:$A,$A2254,$B:$B,"&lt;&gt;Patrícia Karla de Sousa Araújo",$B:$B,"&lt;&gt;Lorena Dias de Araujo",$B:$B,"&lt;&gt;Lucas Luiz Romero")*(23/1083),IF(C2254="JR",SUMIFS($D:$D,$A:$A,$A2254,$B:$B,"&lt;&gt;Patrícia Karla de Sousa Araújo",$B:$B,"&lt;&gt;Lorena Dias de Araujo",$B:$B,"&lt;&gt;Lucas Luiz Romero")*(20/1083),IF(C2254="Estágio",SUMIFS($D:$D,$A:$A,$A2254,$B:$B,"&lt;&gt;Patrícia Karla de Sousa Araújo",$B:$B,"&lt;&gt;Lorena Dias de Araujo",$B:$B,"&lt;&gt;Lucas Luiz Romero")*(10/1083),0)))))),0)</f>
        <v/>
      </c>
      <c r="K2254" s="3">
        <f>I2254-J2254</f>
        <v/>
      </c>
      <c r="L2254" s="3">
        <f>IF(K2254&lt;-5,"CRÍTICO",IF(K2254&lt;0,"ATENÇÃO",IF(K2254&lt;=5,"BOM","EXCELENTE")))</f>
        <v/>
      </c>
      <c r="M2254" t="n">
        <v>5</v>
      </c>
      <c r="N2254" t="n">
        <v>97.26000000000001</v>
      </c>
      <c r="O2254" t="n">
        <v>26.97841726618705</v>
      </c>
    </row>
    <row r="2255" hidden="1">
      <c r="A2255" s="11" t="n">
        <v>46071</v>
      </c>
      <c r="B2255" t="inlineStr">
        <is>
          <t>Lorena Dias de Araujo</t>
        </is>
      </c>
      <c r="C2255" t="inlineStr">
        <is>
          <t>Técnico II</t>
        </is>
      </c>
      <c r="D2255" t="n">
        <v>32</v>
      </c>
      <c r="E2255" t="n">
        <v>32</v>
      </c>
      <c r="F2255" t="n">
        <v>21.45</v>
      </c>
      <c r="G2255" t="n">
        <v>0</v>
      </c>
      <c r="H2255" t="n">
        <v>0</v>
      </c>
      <c r="I2255" s="3" t="n">
        <v>0</v>
      </c>
      <c r="J2255" s="3" t="n">
        <v>0</v>
      </c>
      <c r="K2255" s="3" t="n">
        <v>0</v>
      </c>
      <c r="L2255" s="3">
        <f>IF(K2255&lt;-5,"CRÍTICO",IF(K2255&lt;0,"ATENÇÃO",IF(K2255&lt;=5,"BOM","EXCELENTE")))</f>
        <v/>
      </c>
      <c r="M2255" t="n">
        <v>28</v>
      </c>
      <c r="N2255" t="n">
        <v>98.84999999999999</v>
      </c>
      <c r="O2255" t="n">
        <v>32.13213213213213</v>
      </c>
    </row>
    <row r="2256" hidden="1">
      <c r="A2256" s="11" t="n">
        <v>46071</v>
      </c>
      <c r="B2256" t="inlineStr">
        <is>
          <t>Lucas Luiz Romero</t>
        </is>
      </c>
      <c r="C2256" t="inlineStr">
        <is>
          <t>Técnico III</t>
        </is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s="3" t="n">
        <v>0</v>
      </c>
      <c r="J2256" s="3" t="n">
        <v>0</v>
      </c>
      <c r="K2256" s="3" t="n">
        <v>0</v>
      </c>
      <c r="L2256" s="3">
        <f>IF(K2256&lt;-5,"CRÍTICO",IF(K2256&lt;0,"ATENÇÃO",IF(K2256&lt;=5,"BOM","EXCELENTE")))</f>
        <v/>
      </c>
      <c r="M2256" t="n">
        <v>0</v>
      </c>
      <c r="N2256" t="n">
        <v>97.67</v>
      </c>
      <c r="O2256" t="n">
        <v>25.51020408163265</v>
      </c>
    </row>
    <row r="2257" hidden="1">
      <c r="A2257" s="11" t="n">
        <v>46071</v>
      </c>
      <c r="B2257" t="inlineStr">
        <is>
          <t>Luiz Fernando de Carvalho Junior</t>
        </is>
      </c>
      <c r="C2257" t="inlineStr">
        <is>
          <t>Técnico I</t>
        </is>
      </c>
      <c r="D2257" t="n">
        <v>18</v>
      </c>
      <c r="E2257" t="n">
        <v>18</v>
      </c>
      <c r="F2257" t="n">
        <v>29.08</v>
      </c>
      <c r="G2257" t="n">
        <v>0</v>
      </c>
      <c r="H2257" t="n">
        <v>0</v>
      </c>
      <c r="I2257" s="3">
        <f>E2257+G2257+H2257</f>
        <v/>
      </c>
      <c r="J2257" s="3">
        <f>ROUND(MIN(IF(C2257="Técnico III",35,IF(C2257="Técnico II",28,IF(C2257="Técnico I",23,IF(C2257="JR",20,IF(C2257="Estágio",10,0))))),IF(C2257="Técnico III",SUMIFS($D:$D,$A:$A,$A2257,$B:$B,"&lt;&gt;Patrícia Karla de Sousa Araújo",$B:$B,"&lt;&gt;Lorena Dias de Araujo",$B:$B,"&lt;&gt;Lucas Luiz Romero")*(35/1083),IF(C2257="Técnico II",SUMIFS($D:$D,$A:$A,$A2257,$B:$B,"&lt;&gt;Patrícia Karla de Sousa Araújo",$B:$B,"&lt;&gt;Lorena Dias de Araujo",$B:$B,"&lt;&gt;Lucas Luiz Romero")*(28/1083),IF(C2257="Técnico I",SUMIFS($D:$D,$A:$A,$A2257,$B:$B,"&lt;&gt;Patrícia Karla de Sousa Araújo",$B:$B,"&lt;&gt;Lorena Dias de Araujo",$B:$B,"&lt;&gt;Lucas Luiz Romero")*(23/1083),IF(C2257="JR",SUMIFS($D:$D,$A:$A,$A2257,$B:$B,"&lt;&gt;Patrícia Karla de Sousa Araújo",$B:$B,"&lt;&gt;Lorena Dias de Araujo",$B:$B,"&lt;&gt;Lucas Luiz Romero")*(20/1083),IF(C2257="Estágio",SUMIFS($D:$D,$A:$A,$A2257,$B:$B,"&lt;&gt;Patrícia Karla de Sousa Araújo",$B:$B,"&lt;&gt;Lorena Dias de Araujo",$B:$B,"&lt;&gt;Lucas Luiz Romero")*(10/1083),0)))))),0)</f>
        <v/>
      </c>
      <c r="K2257" s="3">
        <f>I2257-J2257</f>
        <v/>
      </c>
      <c r="L2257" s="3">
        <f>IF(K2257&lt;-5,"CRÍTICO",IF(K2257&lt;0,"ATENÇÃO",IF(K2257&lt;=5,"BOM","EXCELENTE")))</f>
        <v/>
      </c>
      <c r="M2257" t="n">
        <v>16</v>
      </c>
      <c r="N2257" t="n">
        <v>100</v>
      </c>
      <c r="O2257" t="n">
        <v>25.10460251046025</v>
      </c>
    </row>
    <row r="2258" hidden="1">
      <c r="A2258" s="11" t="n">
        <v>46071</v>
      </c>
      <c r="B2258" t="inlineStr">
        <is>
          <t>Maria Eduarda Sousa Costa</t>
        </is>
      </c>
      <c r="C2258" t="inlineStr">
        <is>
          <t>Estágio</t>
        </is>
      </c>
      <c r="D2258" t="n">
        <v>2</v>
      </c>
      <c r="E2258" t="n">
        <v>2</v>
      </c>
      <c r="F2258" t="n">
        <v>65.20999999999999</v>
      </c>
      <c r="G2258" t="n">
        <v>0</v>
      </c>
      <c r="H2258" t="n">
        <v>0</v>
      </c>
      <c r="I2258" s="3">
        <f>E2258+G2258+H2258</f>
        <v/>
      </c>
      <c r="J2258" s="3">
        <f>ROUND(MIN(IF(C2258="Técnico III",35,IF(C2258="Técnico II",28,IF(C2258="Técnico I",23,IF(C2258="JR",20,IF(C2258="Estágio",10,0))))),IF(C2258="Técnico III",SUMIFS($D:$D,$A:$A,$A2258,$B:$B,"&lt;&gt;Patrícia Karla de Sousa Araújo",$B:$B,"&lt;&gt;Lorena Dias de Araujo",$B:$B,"&lt;&gt;Lucas Luiz Romero")*(35/1083),IF(C2258="Técnico II",SUMIFS($D:$D,$A:$A,$A2258,$B:$B,"&lt;&gt;Patrícia Karla de Sousa Araújo",$B:$B,"&lt;&gt;Lorena Dias de Araujo",$B:$B,"&lt;&gt;Lucas Luiz Romero")*(28/1083),IF(C2258="Técnico I",SUMIFS($D:$D,$A:$A,$A2258,$B:$B,"&lt;&gt;Patrícia Karla de Sousa Araújo",$B:$B,"&lt;&gt;Lorena Dias de Araujo",$B:$B,"&lt;&gt;Lucas Luiz Romero")*(23/1083),IF(C2258="JR",SUMIFS($D:$D,$A:$A,$A2258,$B:$B,"&lt;&gt;Patrícia Karla de Sousa Araújo",$B:$B,"&lt;&gt;Lorena Dias de Araujo",$B:$B,"&lt;&gt;Lucas Luiz Romero")*(20/1083),IF(C2258="Estágio",SUMIFS($D:$D,$A:$A,$A2258,$B:$B,"&lt;&gt;Patrícia Karla de Sousa Araújo",$B:$B,"&lt;&gt;Lorena Dias de Araujo",$B:$B,"&lt;&gt;Lucas Luiz Romero")*(10/1083),0)))))),0)</f>
        <v/>
      </c>
      <c r="K2258" s="3">
        <f>I2258-J2258</f>
        <v/>
      </c>
      <c r="L2258" s="3">
        <f>IF(K2258&lt;-5,"CRÍTICO",IF(K2258&lt;0,"ATENÇÃO",IF(K2258&lt;=5,"BOM","EXCELENTE")))</f>
        <v/>
      </c>
      <c r="M2258" t="n">
        <v>2</v>
      </c>
      <c r="N2258" t="n">
        <v>100</v>
      </c>
      <c r="O2258" t="n">
        <v>26.92307692307692</v>
      </c>
    </row>
    <row r="2259" hidden="1">
      <c r="A2259" s="11" t="n">
        <v>46071</v>
      </c>
      <c r="B2259" t="inlineStr">
        <is>
          <t>Matheus Farias De Souza</t>
        </is>
      </c>
      <c r="C2259" t="inlineStr">
        <is>
          <t>Técnico III</t>
        </is>
      </c>
      <c r="D2259" t="n">
        <v>29</v>
      </c>
      <c r="E2259" t="n">
        <v>28</v>
      </c>
      <c r="F2259" t="n">
        <v>20.02</v>
      </c>
      <c r="G2259" t="n">
        <v>0</v>
      </c>
      <c r="H2259" t="n">
        <v>0</v>
      </c>
      <c r="I2259" s="3">
        <f>E2259+G2259+H2259</f>
        <v/>
      </c>
      <c r="J2259" s="3">
        <f>ROUND(MIN(IF(C2259="Técnico III",35,IF(C2259="Técnico II",28,IF(C2259="Técnico I",23,IF(C2259="JR",20,IF(C2259="Estágio",10,0))))),IF(C2259="Técnico III",SUMIFS($D:$D,$A:$A,$A2259,$B:$B,"&lt;&gt;Patrícia Karla de Sousa Araújo",$B:$B,"&lt;&gt;Lorena Dias de Araujo",$B:$B,"&lt;&gt;Lucas Luiz Romero")*(35/1083),IF(C2259="Técnico II",SUMIFS($D:$D,$A:$A,$A2259,$B:$B,"&lt;&gt;Patrícia Karla de Sousa Araújo",$B:$B,"&lt;&gt;Lorena Dias de Araujo",$B:$B,"&lt;&gt;Lucas Luiz Romero")*(28/1083),IF(C2259="Técnico I",SUMIFS($D:$D,$A:$A,$A2259,$B:$B,"&lt;&gt;Patrícia Karla de Sousa Araújo",$B:$B,"&lt;&gt;Lorena Dias de Araujo",$B:$B,"&lt;&gt;Lucas Luiz Romero")*(23/1083),IF(C2259="JR",SUMIFS($D:$D,$A:$A,$A2259,$B:$B,"&lt;&gt;Patrícia Karla de Sousa Araújo",$B:$B,"&lt;&gt;Lorena Dias de Araujo",$B:$B,"&lt;&gt;Lucas Luiz Romero")*(20/1083),IF(C2259="Estágio",SUMIFS($D:$D,$A:$A,$A2259,$B:$B,"&lt;&gt;Patrícia Karla de Sousa Araújo",$B:$B,"&lt;&gt;Lorena Dias de Araujo",$B:$B,"&lt;&gt;Lucas Luiz Romero")*(10/1083),0)))))),0)</f>
        <v/>
      </c>
      <c r="K2259" s="3">
        <f>I2259-J2259</f>
        <v/>
      </c>
      <c r="L2259" s="3">
        <f>IF(K2259&lt;-5,"CRÍTICO",IF(K2259&lt;0,"ATENÇÃO",IF(K2259&lt;=5,"BOM","EXCELENTE")))</f>
        <v/>
      </c>
      <c r="M2259" t="n">
        <v>25</v>
      </c>
      <c r="N2259" t="n">
        <v>98.61</v>
      </c>
      <c r="O2259" t="n">
        <v>33.13953488372093</v>
      </c>
    </row>
    <row r="2260" hidden="1">
      <c r="A2260" s="11" t="n">
        <v>46071</v>
      </c>
      <c r="B2260" t="inlineStr">
        <is>
          <t>Maysa Victoria Dias Moura</t>
        </is>
      </c>
      <c r="C2260" t="inlineStr">
        <is>
          <t>Técnico III</t>
        </is>
      </c>
      <c r="D2260" t="n">
        <v>40</v>
      </c>
      <c r="E2260" t="n">
        <v>35</v>
      </c>
      <c r="F2260" t="n">
        <v>15.13</v>
      </c>
      <c r="G2260" t="n">
        <v>0</v>
      </c>
      <c r="H2260" t="n">
        <v>0</v>
      </c>
      <c r="I2260" s="3">
        <f>E2260+G2260+H2260</f>
        <v/>
      </c>
      <c r="J2260" s="3">
        <f>ROUND(MIN(IF(C2260="Técnico III",35,IF(C2260="Técnico II",28,IF(C2260="Técnico I",23,IF(C2260="JR",20,IF(C2260="Estágio",10,0))))),IF(C2260="Técnico III",SUMIFS($D:$D,$A:$A,$A2260,$B:$B,"&lt;&gt;Patrícia Karla de Sousa Araújo",$B:$B,"&lt;&gt;Lorena Dias de Araujo",$B:$B,"&lt;&gt;Lucas Luiz Romero")*(35/1083),IF(C2260="Técnico II",SUMIFS($D:$D,$A:$A,$A2260,$B:$B,"&lt;&gt;Patrícia Karla de Sousa Araújo",$B:$B,"&lt;&gt;Lorena Dias de Araujo",$B:$B,"&lt;&gt;Lucas Luiz Romero")*(28/1083),IF(C2260="Técnico I",SUMIFS($D:$D,$A:$A,$A2260,$B:$B,"&lt;&gt;Patrícia Karla de Sousa Araújo",$B:$B,"&lt;&gt;Lorena Dias de Araujo",$B:$B,"&lt;&gt;Lucas Luiz Romero")*(23/1083),IF(C2260="JR",SUMIFS($D:$D,$A:$A,$A2260,$B:$B,"&lt;&gt;Patrícia Karla de Sousa Araújo",$B:$B,"&lt;&gt;Lorena Dias de Araujo",$B:$B,"&lt;&gt;Lucas Luiz Romero")*(20/1083),IF(C2260="Estágio",SUMIFS($D:$D,$A:$A,$A2260,$B:$B,"&lt;&gt;Patrícia Karla de Sousa Araújo",$B:$B,"&lt;&gt;Lorena Dias de Araujo",$B:$B,"&lt;&gt;Lucas Luiz Romero")*(10/1083),0)))))),0)</f>
        <v/>
      </c>
      <c r="K2260" s="3">
        <f>I2260-J2260</f>
        <v/>
      </c>
      <c r="L2260" s="3">
        <f>IF(K2260&lt;-5,"CRÍTICO",IF(K2260&lt;0,"ATENÇÃO",IF(K2260&lt;=5,"BOM","EXCELENTE")))</f>
        <v/>
      </c>
      <c r="M2260" t="n">
        <v>26</v>
      </c>
      <c r="N2260" t="n">
        <v>95.34999999999999</v>
      </c>
      <c r="O2260" t="n">
        <v>24.67105263157895</v>
      </c>
    </row>
    <row r="2261" hidden="1">
      <c r="A2261" s="11" t="n">
        <v>46071</v>
      </c>
      <c r="B2261" t="inlineStr">
        <is>
          <t>Michelle G Santos</t>
        </is>
      </c>
      <c r="C2261" t="inlineStr">
        <is>
          <t>Estágio</t>
        </is>
      </c>
      <c r="D2261" t="n">
        <v>6</v>
      </c>
      <c r="E2261" t="n">
        <v>6</v>
      </c>
      <c r="F2261" t="n">
        <v>166.4</v>
      </c>
      <c r="G2261" t="n">
        <v>0</v>
      </c>
      <c r="H2261" t="n">
        <v>0</v>
      </c>
      <c r="I2261" s="3">
        <f>E2261+G2261+H2261</f>
        <v/>
      </c>
      <c r="J2261" s="3">
        <f>ROUND(MIN(IF(C2261="Técnico III",35,IF(C2261="Técnico II",28,IF(C2261="Técnico I",23,IF(C2261="JR",20,IF(C2261="Estágio",10,0))))),IF(C2261="Técnico III",SUMIFS($D:$D,$A:$A,$A2261,$B:$B,"&lt;&gt;Patrícia Karla de Sousa Araújo",$B:$B,"&lt;&gt;Lorena Dias de Araujo",$B:$B,"&lt;&gt;Lucas Luiz Romero")*(35/1083),IF(C2261="Técnico II",SUMIFS($D:$D,$A:$A,$A2261,$B:$B,"&lt;&gt;Patrícia Karla de Sousa Araújo",$B:$B,"&lt;&gt;Lorena Dias de Araujo",$B:$B,"&lt;&gt;Lucas Luiz Romero")*(28/1083),IF(C2261="Técnico I",SUMIFS($D:$D,$A:$A,$A2261,$B:$B,"&lt;&gt;Patrícia Karla de Sousa Araújo",$B:$B,"&lt;&gt;Lorena Dias de Araujo",$B:$B,"&lt;&gt;Lucas Luiz Romero")*(23/1083),IF(C2261="JR",SUMIFS($D:$D,$A:$A,$A2261,$B:$B,"&lt;&gt;Patrícia Karla de Sousa Araújo",$B:$B,"&lt;&gt;Lorena Dias de Araujo",$B:$B,"&lt;&gt;Lucas Luiz Romero")*(20/1083),IF(C2261="Estágio",SUMIFS($D:$D,$A:$A,$A2261,$B:$B,"&lt;&gt;Patrícia Karla de Sousa Araújo",$B:$B,"&lt;&gt;Lorena Dias de Araujo",$B:$B,"&lt;&gt;Lucas Luiz Romero")*(10/1083),0)))))),0)</f>
        <v/>
      </c>
      <c r="K2261" s="3">
        <f>I2261-J2261</f>
        <v/>
      </c>
      <c r="L2261" s="3">
        <f>IF(K2261&lt;-5,"CRÍTICO",IF(K2261&lt;0,"ATENÇÃO",IF(K2261&lt;=5,"BOM","EXCELENTE")))</f>
        <v/>
      </c>
      <c r="M2261" t="n">
        <v>4</v>
      </c>
      <c r="N2261" t="n">
        <v>100</v>
      </c>
      <c r="O2261" t="n">
        <v>20.68965517241379</v>
      </c>
    </row>
    <row r="2262" hidden="1">
      <c r="A2262" s="11" t="n">
        <v>46071</v>
      </c>
      <c r="B2262" t="inlineStr">
        <is>
          <t>Milena Sales</t>
        </is>
      </c>
      <c r="C2262" t="inlineStr">
        <is>
          <t>JR</t>
        </is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s="3" t="n">
        <v>0</v>
      </c>
      <c r="J2262" s="3" t="n">
        <v>0</v>
      </c>
      <c r="K2262" s="3" t="n">
        <v>0</v>
      </c>
      <c r="L2262" s="3">
        <f>IF(K2262&lt;-5,"CRÍTICO",IF(K2262&lt;0,"ATENÇÃO",IF(K2262&lt;=5,"BOM","EXCELENTE")))</f>
        <v/>
      </c>
      <c r="M2262" t="n">
        <v>0</v>
      </c>
      <c r="N2262" t="n">
        <v>0</v>
      </c>
      <c r="O2262" t="n">
        <v>0</v>
      </c>
    </row>
    <row r="2263" hidden="1">
      <c r="A2263" s="11" t="n">
        <v>46071</v>
      </c>
      <c r="B2263" t="inlineStr">
        <is>
          <t>Patrícia Karla de Sousa Araújo</t>
        </is>
      </c>
      <c r="C2263" t="inlineStr">
        <is>
          <t>Técnico II</t>
        </is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s="3" t="n">
        <v>0</v>
      </c>
      <c r="J2263" s="3" t="n">
        <v>0</v>
      </c>
      <c r="K2263" s="3" t="n">
        <v>0</v>
      </c>
      <c r="L2263" s="3">
        <f>IF(K2263&lt;-5,"CRÍTICO",IF(K2263&lt;0,"ATENÇÃO",IF(K2263&lt;=5,"BOM","EXCELENTE")))</f>
        <v/>
      </c>
      <c r="M2263" t="n">
        <v>0</v>
      </c>
      <c r="N2263" t="n">
        <v>100</v>
      </c>
      <c r="O2263" t="n">
        <v>32.87671232876712</v>
      </c>
    </row>
    <row r="2264" hidden="1">
      <c r="A2264" s="11" t="n">
        <v>46071</v>
      </c>
      <c r="B2264" t="inlineStr">
        <is>
          <t>Paulo Ricardo Santos</t>
        </is>
      </c>
      <c r="C2264" t="inlineStr">
        <is>
          <t>JR</t>
        </is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s="3" t="n">
        <v>0</v>
      </c>
      <c r="J2264" s="3" t="n">
        <v>0</v>
      </c>
      <c r="K2264" s="3" t="n">
        <v>0</v>
      </c>
      <c r="L2264" s="3">
        <f>IF(K2264&lt;-5,"CRÍTICO",IF(K2264&lt;0,"ATENÇÃO",IF(K2264&lt;=5,"BOM","EXCELENTE")))</f>
        <v/>
      </c>
      <c r="M2264" t="n">
        <v>0</v>
      </c>
      <c r="N2264" t="n">
        <v>0</v>
      </c>
      <c r="O2264" t="n">
        <v>0</v>
      </c>
    </row>
    <row r="2265" hidden="1">
      <c r="A2265" s="11" t="n">
        <v>46071</v>
      </c>
      <c r="B2265" t="inlineStr">
        <is>
          <t>Pedro Luiz Mota Sousa</t>
        </is>
      </c>
      <c r="C2265" t="inlineStr">
        <is>
          <t>JR</t>
        </is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s="3" t="n">
        <v>0</v>
      </c>
      <c r="J2265" s="3" t="n">
        <v>0</v>
      </c>
      <c r="K2265" s="3" t="n">
        <v>0</v>
      </c>
      <c r="L2265" s="3">
        <f>IF(K2265&lt;-5,"CRÍTICO",IF(K2265&lt;0,"ATENÇÃO",IF(K2265&lt;=5,"BOM","EXCELENTE")))</f>
        <v/>
      </c>
      <c r="M2265" t="n">
        <v>0</v>
      </c>
      <c r="N2265" t="n">
        <v>0</v>
      </c>
      <c r="O2265" t="n">
        <v>0</v>
      </c>
    </row>
    <row r="2266" hidden="1">
      <c r="A2266" s="11" t="n">
        <v>46071</v>
      </c>
      <c r="B2266" t="inlineStr">
        <is>
          <t>Quirino Diogo Leite Torres</t>
        </is>
      </c>
      <c r="C2266" t="inlineStr">
        <is>
          <t>Estágio</t>
        </is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s="3" t="n">
        <v>0</v>
      </c>
      <c r="J2266" s="3" t="n">
        <v>0</v>
      </c>
      <c r="K2266" s="3" t="n">
        <v>0</v>
      </c>
      <c r="L2266" s="3">
        <f>IF(K2266&lt;-5,"CRÍTICO",IF(K2266&lt;0,"ATENÇÃO",IF(K2266&lt;=5,"BOM","EXCELENTE")))</f>
        <v/>
      </c>
      <c r="M2266" t="n">
        <v>0</v>
      </c>
      <c r="N2266" t="n">
        <v>0</v>
      </c>
      <c r="O2266" t="n">
        <v>0</v>
      </c>
    </row>
    <row r="2267" hidden="1">
      <c r="A2267" s="11" t="n">
        <v>46071</v>
      </c>
      <c r="B2267" t="inlineStr">
        <is>
          <t>Raane Batista Matos</t>
        </is>
      </c>
      <c r="C2267" t="inlineStr">
        <is>
          <t>Técnico I</t>
        </is>
      </c>
      <c r="D2267" t="n">
        <v>34</v>
      </c>
      <c r="E2267" t="n">
        <v>34</v>
      </c>
      <c r="F2267" t="n">
        <v>19.14</v>
      </c>
      <c r="G2267" t="n">
        <v>0</v>
      </c>
      <c r="H2267" t="n">
        <v>0</v>
      </c>
      <c r="I2267" s="3">
        <f>E2267+G2267+H2267</f>
        <v/>
      </c>
      <c r="J2267" s="3">
        <f>ROUND(MIN(IF(C2267="Técnico III",35,IF(C2267="Técnico II",28,IF(C2267="Técnico I",23,IF(C2267="JR",20,IF(C2267="Estágio",10,0))))),IF(C2267="Técnico III",SUMIFS($D:$D,$A:$A,$A2267,$B:$B,"&lt;&gt;Patrícia Karla de Sousa Araújo",$B:$B,"&lt;&gt;Lorena Dias de Araujo",$B:$B,"&lt;&gt;Lucas Luiz Romero")*(35/1083),IF(C2267="Técnico II",SUMIFS($D:$D,$A:$A,$A2267,$B:$B,"&lt;&gt;Patrícia Karla de Sousa Araújo",$B:$B,"&lt;&gt;Lorena Dias de Araujo",$B:$B,"&lt;&gt;Lucas Luiz Romero")*(28/1083),IF(C2267="Técnico I",SUMIFS($D:$D,$A:$A,$A2267,$B:$B,"&lt;&gt;Patrícia Karla de Sousa Araújo",$B:$B,"&lt;&gt;Lorena Dias de Araujo",$B:$B,"&lt;&gt;Lucas Luiz Romero")*(23/1083),IF(C2267="JR",SUMIFS($D:$D,$A:$A,$A2267,$B:$B,"&lt;&gt;Patrícia Karla de Sousa Araújo",$B:$B,"&lt;&gt;Lorena Dias de Araujo",$B:$B,"&lt;&gt;Lucas Luiz Romero")*(20/1083),IF(C2267="Estágio",SUMIFS($D:$D,$A:$A,$A2267,$B:$B,"&lt;&gt;Patrícia Karla de Sousa Araújo",$B:$B,"&lt;&gt;Lorena Dias de Araujo",$B:$B,"&lt;&gt;Lucas Luiz Romero")*(10/1083),0)))))),0)</f>
        <v/>
      </c>
      <c r="K2267" s="3">
        <f>I2267-J2267</f>
        <v/>
      </c>
      <c r="L2267" s="3">
        <f>IF(K2267&lt;-5,"CRÍTICO",IF(K2267&lt;0,"ATENÇÃO",IF(K2267&lt;=5,"BOM","EXCELENTE")))</f>
        <v/>
      </c>
      <c r="M2267" t="n">
        <v>27</v>
      </c>
      <c r="N2267" t="n">
        <v>97.44</v>
      </c>
      <c r="O2267" t="n">
        <v>33.33333333333333</v>
      </c>
    </row>
    <row r="2268" hidden="1">
      <c r="A2268" s="11" t="n">
        <v>46071</v>
      </c>
      <c r="B2268" t="inlineStr">
        <is>
          <t>Rafael Gomes de Morais</t>
        </is>
      </c>
      <c r="C2268" t="inlineStr">
        <is>
          <t>Técnico III</t>
        </is>
      </c>
      <c r="D2268" t="n">
        <v>43</v>
      </c>
      <c r="E2268" t="n">
        <v>41</v>
      </c>
      <c r="F2268" t="n">
        <v>18.46</v>
      </c>
      <c r="G2268" t="n">
        <v>0</v>
      </c>
      <c r="H2268" t="n">
        <v>0</v>
      </c>
      <c r="I2268" s="3">
        <f>E2268+G2268+H2268</f>
        <v/>
      </c>
      <c r="J2268" s="3">
        <f>ROUND(MIN(IF(C2268="Técnico III",35,IF(C2268="Técnico II",28,IF(C2268="Técnico I",23,IF(C2268="JR",20,IF(C2268="Estágio",10,0))))),IF(C2268="Técnico III",SUMIFS($D:$D,$A:$A,$A2268,$B:$B,"&lt;&gt;Patrícia Karla de Sousa Araújo",$B:$B,"&lt;&gt;Lorena Dias de Araujo",$B:$B,"&lt;&gt;Lucas Luiz Romero")*(35/1083),IF(C2268="Técnico II",SUMIFS($D:$D,$A:$A,$A2268,$B:$B,"&lt;&gt;Patrícia Karla de Sousa Araújo",$B:$B,"&lt;&gt;Lorena Dias de Araujo",$B:$B,"&lt;&gt;Lucas Luiz Romero")*(28/1083),IF(C2268="Técnico I",SUMIFS($D:$D,$A:$A,$A2268,$B:$B,"&lt;&gt;Patrícia Karla de Sousa Araújo",$B:$B,"&lt;&gt;Lorena Dias de Araujo",$B:$B,"&lt;&gt;Lucas Luiz Romero")*(23/1083),IF(C2268="JR",SUMIFS($D:$D,$A:$A,$A2268,$B:$B,"&lt;&gt;Patrícia Karla de Sousa Araújo",$B:$B,"&lt;&gt;Lorena Dias de Araujo",$B:$B,"&lt;&gt;Lucas Luiz Romero")*(20/1083),IF(C2268="Estágio",SUMIFS($D:$D,$A:$A,$A2268,$B:$B,"&lt;&gt;Patrícia Karla de Sousa Araújo",$B:$B,"&lt;&gt;Lorena Dias de Araujo",$B:$B,"&lt;&gt;Lucas Luiz Romero")*(10/1083),0)))))),0)</f>
        <v/>
      </c>
      <c r="K2268" s="3">
        <f>I2268-J2268</f>
        <v/>
      </c>
      <c r="L2268" s="3">
        <f>IF(K2268&lt;-5,"CRÍTICO",IF(K2268&lt;0,"ATENÇÃO",IF(K2268&lt;=5,"BOM","EXCELENTE")))</f>
        <v/>
      </c>
      <c r="M2268" t="n">
        <v>36</v>
      </c>
      <c r="N2268" t="n">
        <v>100</v>
      </c>
      <c r="O2268" t="n">
        <v>28.37837837837838</v>
      </c>
    </row>
    <row r="2269" hidden="1">
      <c r="A2269" s="11" t="n">
        <v>46071</v>
      </c>
      <c r="B2269" t="inlineStr">
        <is>
          <t>Sara Maria Monteiro Lopes</t>
        </is>
      </c>
      <c r="C2269" t="inlineStr">
        <is>
          <t>Técnico I</t>
        </is>
      </c>
      <c r="D2269" t="n">
        <v>10</v>
      </c>
      <c r="E2269" t="n">
        <v>10</v>
      </c>
      <c r="F2269" t="n">
        <v>68.56999999999999</v>
      </c>
      <c r="G2269" t="n">
        <v>0</v>
      </c>
      <c r="H2269" t="n">
        <v>0</v>
      </c>
      <c r="I2269" s="3">
        <f>E2269+G2269+H2269</f>
        <v/>
      </c>
      <c r="J2269" s="3">
        <f>ROUND(MIN(IF(C2269="Técnico III",35,IF(C2269="Técnico II",28,IF(C2269="Técnico I",23,IF(C2269="JR",20,IF(C2269="Estágio",10,0))))),IF(C2269="Técnico III",SUMIFS($D:$D,$A:$A,$A2269,$B:$B,"&lt;&gt;Patrícia Karla de Sousa Araújo",$B:$B,"&lt;&gt;Lorena Dias de Araujo",$B:$B,"&lt;&gt;Lucas Luiz Romero")*(35/1083),IF(C2269="Técnico II",SUMIFS($D:$D,$A:$A,$A2269,$B:$B,"&lt;&gt;Patrícia Karla de Sousa Araújo",$B:$B,"&lt;&gt;Lorena Dias de Araujo",$B:$B,"&lt;&gt;Lucas Luiz Romero")*(28/1083),IF(C2269="Técnico I",SUMIFS($D:$D,$A:$A,$A2269,$B:$B,"&lt;&gt;Patrícia Karla de Sousa Araújo",$B:$B,"&lt;&gt;Lorena Dias de Araujo",$B:$B,"&lt;&gt;Lucas Luiz Romero")*(23/1083),IF(C2269="JR",SUMIFS($D:$D,$A:$A,$A2269,$B:$B,"&lt;&gt;Patrícia Karla de Sousa Araújo",$B:$B,"&lt;&gt;Lorena Dias de Araujo",$B:$B,"&lt;&gt;Lucas Luiz Romero")*(20/1083),IF(C2269="Estágio",SUMIFS($D:$D,$A:$A,$A2269,$B:$B,"&lt;&gt;Patrícia Karla de Sousa Araújo",$B:$B,"&lt;&gt;Lorena Dias de Araujo",$B:$B,"&lt;&gt;Lucas Luiz Romero")*(10/1083),0)))))),0)</f>
        <v/>
      </c>
      <c r="K2269" s="3">
        <f>I2269-J2269</f>
        <v/>
      </c>
      <c r="L2269" s="3">
        <f>IF(K2269&lt;-5,"CRÍTICO",IF(K2269&lt;0,"ATENÇÃO",IF(K2269&lt;=5,"BOM","EXCELENTE")))</f>
        <v/>
      </c>
      <c r="M2269" t="n">
        <v>8</v>
      </c>
      <c r="N2269" t="n">
        <v>97.56</v>
      </c>
      <c r="O2269" t="n">
        <v>30.28169014084507</v>
      </c>
    </row>
    <row r="2270" hidden="1">
      <c r="A2270" s="11" t="n">
        <v>46071</v>
      </c>
      <c r="B2270" t="inlineStr">
        <is>
          <t>Sarah Steffanie de Lima Borges</t>
        </is>
      </c>
      <c r="C2270" t="inlineStr">
        <is>
          <t>Técnico III</t>
        </is>
      </c>
      <c r="D2270" t="n">
        <v>28</v>
      </c>
      <c r="E2270" t="n">
        <v>26</v>
      </c>
      <c r="F2270" t="n">
        <v>17.08</v>
      </c>
      <c r="G2270" t="n">
        <v>0</v>
      </c>
      <c r="H2270" t="n">
        <v>0</v>
      </c>
      <c r="I2270" s="3">
        <f>E2270+G2270+H2270</f>
        <v/>
      </c>
      <c r="J2270" s="3">
        <f>ROUND(MIN(IF(C2270="Técnico III",35,IF(C2270="Técnico II",28,IF(C2270="Técnico I",23,IF(C2270="JR",20,IF(C2270="Estágio",10,0))))),IF(C2270="Técnico III",SUMIFS($D:$D,$A:$A,$A2270,$B:$B,"&lt;&gt;Patrícia Karla de Sousa Araújo",$B:$B,"&lt;&gt;Lorena Dias de Araujo",$B:$B,"&lt;&gt;Lucas Luiz Romero")*(35/1083),IF(C2270="Técnico II",SUMIFS($D:$D,$A:$A,$A2270,$B:$B,"&lt;&gt;Patrícia Karla de Sousa Araújo",$B:$B,"&lt;&gt;Lorena Dias de Araujo",$B:$B,"&lt;&gt;Lucas Luiz Romero")*(28/1083),IF(C2270="Técnico I",SUMIFS($D:$D,$A:$A,$A2270,$B:$B,"&lt;&gt;Patrícia Karla de Sousa Araújo",$B:$B,"&lt;&gt;Lorena Dias de Araujo",$B:$B,"&lt;&gt;Lucas Luiz Romero")*(23/1083),IF(C2270="JR",SUMIFS($D:$D,$A:$A,$A2270,$B:$B,"&lt;&gt;Patrícia Karla de Sousa Araújo",$B:$B,"&lt;&gt;Lorena Dias de Araujo",$B:$B,"&lt;&gt;Lucas Luiz Romero")*(20/1083),IF(C2270="Estágio",SUMIFS($D:$D,$A:$A,$A2270,$B:$B,"&lt;&gt;Patrícia Karla de Sousa Araújo",$B:$B,"&lt;&gt;Lorena Dias de Araujo",$B:$B,"&lt;&gt;Lucas Luiz Romero")*(10/1083),0)))))),0)</f>
        <v/>
      </c>
      <c r="K2270" s="3">
        <f>I2270-J2270</f>
        <v/>
      </c>
      <c r="L2270" s="3">
        <f>IF(K2270&lt;-5,"CRÍTICO",IF(K2270&lt;0,"ATENÇÃO",IF(K2270&lt;=5,"BOM","EXCELENTE")))</f>
        <v/>
      </c>
      <c r="M2270" t="n">
        <v>24</v>
      </c>
      <c r="N2270" t="n">
        <v>98.86</v>
      </c>
      <c r="O2270" t="n">
        <v>25.60975609756098</v>
      </c>
    </row>
    <row r="2271" hidden="1">
      <c r="A2271" s="11" t="n">
        <v>46072</v>
      </c>
      <c r="B2271" t="inlineStr">
        <is>
          <t>Alisson de Freitas Silva</t>
        </is>
      </c>
      <c r="C2271" t="inlineStr">
        <is>
          <t>Técnico II</t>
        </is>
      </c>
      <c r="D2271" t="n">
        <v>18</v>
      </c>
      <c r="E2271" t="n">
        <v>15</v>
      </c>
      <c r="F2271" t="n">
        <v>28.36</v>
      </c>
      <c r="G2271" t="n">
        <v>0</v>
      </c>
      <c r="H2271" t="n">
        <v>0</v>
      </c>
      <c r="I2271" s="3">
        <f>E2271+G2271+H2271</f>
        <v/>
      </c>
      <c r="J2271" s="3">
        <f>ROUND(MIN(IF(C2271="Técnico III",35,IF(C2271="Técnico II",28,IF(C2271="Técnico I",23,IF(C2271="JR",20,IF(C2271="Estágio",10,0))))),IF(C2271="Técnico III",SUMIFS($D:$D,$A:$A,$A2271,$B:$B,"&lt;&gt;Patrícia Karla de Sousa Araújo",$B:$B,"&lt;&gt;Lorena Dias de Araujo",$B:$B,"&lt;&gt;Lucas Luiz Romero")*(35/1083),IF(C2271="Técnico II",SUMIFS($D:$D,$A:$A,$A2271,$B:$B,"&lt;&gt;Patrícia Karla de Sousa Araújo",$B:$B,"&lt;&gt;Lorena Dias de Araujo",$B:$B,"&lt;&gt;Lucas Luiz Romero")*(28/1083),IF(C2271="Técnico I",SUMIFS($D:$D,$A:$A,$A2271,$B:$B,"&lt;&gt;Patrícia Karla de Sousa Araújo",$B:$B,"&lt;&gt;Lorena Dias de Araujo",$B:$B,"&lt;&gt;Lucas Luiz Romero")*(23/1083),IF(C2271="JR",SUMIFS($D:$D,$A:$A,$A2271,$B:$B,"&lt;&gt;Patrícia Karla de Sousa Araújo",$B:$B,"&lt;&gt;Lorena Dias de Araujo",$B:$B,"&lt;&gt;Lucas Luiz Romero")*(20/1083),IF(C2271="Estágio",SUMIFS($D:$D,$A:$A,$A2271,$B:$B,"&lt;&gt;Patrícia Karla de Sousa Araújo",$B:$B,"&lt;&gt;Lorena Dias de Araujo",$B:$B,"&lt;&gt;Lucas Luiz Romero")*(10/1083),0)))))),0)</f>
        <v/>
      </c>
      <c r="K2271" s="3">
        <f>I2271-J2271</f>
        <v/>
      </c>
      <c r="L2271" s="3">
        <f>IF(K2271&lt;-5,"CRÍTICO",IF(K2271&lt;0,"ATENÇÃO",IF(K2271&lt;=5,"BOM","EXCELENTE")))</f>
        <v/>
      </c>
      <c r="N2271" t="n">
        <v>98.31999999999999</v>
      </c>
      <c r="O2271" t="n">
        <v>30.3030303030303</v>
      </c>
    </row>
    <row r="2272" hidden="1">
      <c r="A2272" s="11" t="n">
        <v>46072</v>
      </c>
      <c r="B2272" t="inlineStr">
        <is>
          <t>Amanda Moura Ferreira</t>
        </is>
      </c>
      <c r="C2272" t="inlineStr">
        <is>
          <t>Técnico III</t>
        </is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s="3" t="n">
        <v>0</v>
      </c>
      <c r="J2272" s="3" t="n">
        <v>0</v>
      </c>
      <c r="K2272" s="3" t="n">
        <v>0</v>
      </c>
      <c r="L2272" s="3">
        <f>IF(K2272&lt;-5,"CRÍTICO",IF(K2272&lt;0,"ATENÇÃO",IF(K2272&lt;=5,"BOM","EXCELENTE")))</f>
        <v/>
      </c>
      <c r="N2272" t="n">
        <v>98.68000000000001</v>
      </c>
      <c r="O2272" t="n">
        <v>26.21951219512195</v>
      </c>
    </row>
    <row r="2273" hidden="1">
      <c r="A2273" s="11" t="n">
        <v>46072</v>
      </c>
      <c r="B2273" t="inlineStr">
        <is>
          <t>Ana Karollyne Souza Faria</t>
        </is>
      </c>
      <c r="C2273" t="inlineStr">
        <is>
          <t>Técnico I</t>
        </is>
      </c>
      <c r="D2273" t="n">
        <v>14</v>
      </c>
      <c r="E2273" t="n">
        <v>14</v>
      </c>
      <c r="F2273" t="n">
        <v>52.3</v>
      </c>
      <c r="G2273" t="n">
        <v>0</v>
      </c>
      <c r="H2273" t="n">
        <v>0</v>
      </c>
      <c r="I2273" s="3">
        <f>E2273+G2273+H2273</f>
        <v/>
      </c>
      <c r="J2273" s="3">
        <f>ROUND(MIN(IF(C2273="Técnico III",35,IF(C2273="Técnico II",28,IF(C2273="Técnico I",23,IF(C2273="JR",20,IF(C2273="Estágio",10,0))))),IF(C2273="Técnico III",SUMIFS($D:$D,$A:$A,$A2273,$B:$B,"&lt;&gt;Patrícia Karla de Sousa Araújo",$B:$B,"&lt;&gt;Lorena Dias de Araujo",$B:$B,"&lt;&gt;Lucas Luiz Romero")*(35/1083),IF(C2273="Técnico II",SUMIFS($D:$D,$A:$A,$A2273,$B:$B,"&lt;&gt;Patrícia Karla de Sousa Araújo",$B:$B,"&lt;&gt;Lorena Dias de Araujo",$B:$B,"&lt;&gt;Lucas Luiz Romero")*(28/1083),IF(C2273="Técnico I",SUMIFS($D:$D,$A:$A,$A2273,$B:$B,"&lt;&gt;Patrícia Karla de Sousa Araújo",$B:$B,"&lt;&gt;Lorena Dias de Araujo",$B:$B,"&lt;&gt;Lucas Luiz Romero")*(23/1083),IF(C2273="JR",SUMIFS($D:$D,$A:$A,$A2273,$B:$B,"&lt;&gt;Patrícia Karla de Sousa Araújo",$B:$B,"&lt;&gt;Lorena Dias de Araujo",$B:$B,"&lt;&gt;Lucas Luiz Romero")*(20/1083),IF(C2273="Estágio",SUMIFS($D:$D,$A:$A,$A2273,$B:$B,"&lt;&gt;Patrícia Karla de Sousa Araújo",$B:$B,"&lt;&gt;Lorena Dias de Araujo",$B:$B,"&lt;&gt;Lucas Luiz Romero")*(10/1083),0)))))),0)</f>
        <v/>
      </c>
      <c r="K2273" s="3">
        <f>I2273-J2273</f>
        <v/>
      </c>
      <c r="L2273" s="3">
        <f>IF(K2273&lt;-5,"CRÍTICO",IF(K2273&lt;0,"ATENÇÃO",IF(K2273&lt;=5,"BOM","EXCELENTE")))</f>
        <v/>
      </c>
      <c r="N2273" t="n">
        <v>100</v>
      </c>
      <c r="O2273" t="n">
        <v>31.74224343675418</v>
      </c>
    </row>
    <row r="2274" hidden="1">
      <c r="A2274" s="11" t="n">
        <v>46072</v>
      </c>
      <c r="B2274" t="inlineStr">
        <is>
          <t>Ana Paula Da Luz Silva Aleixo</t>
        </is>
      </c>
      <c r="C2274" t="inlineStr">
        <is>
          <t>Técnico III</t>
        </is>
      </c>
      <c r="D2274" t="n">
        <v>30</v>
      </c>
      <c r="E2274" t="n">
        <v>28</v>
      </c>
      <c r="F2274" t="n">
        <v>25.44</v>
      </c>
      <c r="G2274" t="n">
        <v>0</v>
      </c>
      <c r="H2274" t="n">
        <v>0</v>
      </c>
      <c r="I2274" s="3">
        <f>E2274+G2274+H2274</f>
        <v/>
      </c>
      <c r="J2274" s="3">
        <f>ROUND(MIN(IF(C2274="Técnico III",35,IF(C2274="Técnico II",28,IF(C2274="Técnico I",23,IF(C2274="JR",20,IF(C2274="Estágio",10,0))))),IF(C2274="Técnico III",SUMIFS($D:$D,$A:$A,$A2274,$B:$B,"&lt;&gt;Patrícia Karla de Sousa Araújo",$B:$B,"&lt;&gt;Lorena Dias de Araujo",$B:$B,"&lt;&gt;Lucas Luiz Romero")*(35/1083),IF(C2274="Técnico II",SUMIFS($D:$D,$A:$A,$A2274,$B:$B,"&lt;&gt;Patrícia Karla de Sousa Araújo",$B:$B,"&lt;&gt;Lorena Dias de Araujo",$B:$B,"&lt;&gt;Lucas Luiz Romero")*(28/1083),IF(C2274="Técnico I",SUMIFS($D:$D,$A:$A,$A2274,$B:$B,"&lt;&gt;Patrícia Karla de Sousa Araújo",$B:$B,"&lt;&gt;Lorena Dias de Araujo",$B:$B,"&lt;&gt;Lucas Luiz Romero")*(23/1083),IF(C2274="JR",SUMIFS($D:$D,$A:$A,$A2274,$B:$B,"&lt;&gt;Patrícia Karla de Sousa Araújo",$B:$B,"&lt;&gt;Lorena Dias de Araujo",$B:$B,"&lt;&gt;Lucas Luiz Romero")*(20/1083),IF(C2274="Estágio",SUMIFS($D:$D,$A:$A,$A2274,$B:$B,"&lt;&gt;Patrícia Karla de Sousa Araújo",$B:$B,"&lt;&gt;Lorena Dias de Araujo",$B:$B,"&lt;&gt;Lucas Luiz Romero")*(10/1083),0)))))),0)</f>
        <v/>
      </c>
      <c r="K2274" s="3">
        <f>I2274-J2274</f>
        <v/>
      </c>
      <c r="L2274" s="3">
        <f>IF(K2274&lt;-5,"CRÍTICO",IF(K2274&lt;0,"ATENÇÃO",IF(K2274&lt;=5,"BOM","EXCELENTE")))</f>
        <v/>
      </c>
      <c r="N2274" t="n">
        <v>98.25</v>
      </c>
      <c r="O2274" t="n">
        <v>25.83518930957684</v>
      </c>
    </row>
    <row r="2275" hidden="1">
      <c r="A2275" s="11" t="n">
        <v>46072</v>
      </c>
      <c r="B2275" t="inlineStr">
        <is>
          <t>Anna Luiza Rezende Tavares</t>
        </is>
      </c>
      <c r="C2275" t="inlineStr">
        <is>
          <t>Estágio</t>
        </is>
      </c>
      <c r="D2275" t="n">
        <v>5</v>
      </c>
      <c r="E2275" t="n">
        <v>4</v>
      </c>
      <c r="F2275" t="n">
        <v>83.41</v>
      </c>
      <c r="G2275" t="n">
        <v>0</v>
      </c>
      <c r="H2275" t="n">
        <v>0</v>
      </c>
      <c r="I2275" s="3">
        <f>E2275+G2275+H2275</f>
        <v/>
      </c>
      <c r="J2275" s="3">
        <f>ROUND(MIN(IF(C2275="Técnico III",35,IF(C2275="Técnico II",28,IF(C2275="Técnico I",23,IF(C2275="JR",20,IF(C2275="Estágio",10,0))))),IF(C2275="Técnico III",SUMIFS($D:$D,$A:$A,$A2275,$B:$B,"&lt;&gt;Patrícia Karla de Sousa Araújo",$B:$B,"&lt;&gt;Lorena Dias de Araujo",$B:$B,"&lt;&gt;Lucas Luiz Romero")*(35/1083),IF(C2275="Técnico II",SUMIFS($D:$D,$A:$A,$A2275,$B:$B,"&lt;&gt;Patrícia Karla de Sousa Araújo",$B:$B,"&lt;&gt;Lorena Dias de Araujo",$B:$B,"&lt;&gt;Lucas Luiz Romero")*(28/1083),IF(C2275="Técnico I",SUMIFS($D:$D,$A:$A,$A2275,$B:$B,"&lt;&gt;Patrícia Karla de Sousa Araújo",$B:$B,"&lt;&gt;Lorena Dias de Araujo",$B:$B,"&lt;&gt;Lucas Luiz Romero")*(23/1083),IF(C2275="JR",SUMIFS($D:$D,$A:$A,$A2275,$B:$B,"&lt;&gt;Patrícia Karla de Sousa Araújo",$B:$B,"&lt;&gt;Lorena Dias de Araujo",$B:$B,"&lt;&gt;Lucas Luiz Romero")*(20/1083),IF(C2275="Estágio",SUMIFS($D:$D,$A:$A,$A2275,$B:$B,"&lt;&gt;Patrícia Karla de Sousa Araújo",$B:$B,"&lt;&gt;Lorena Dias de Araujo",$B:$B,"&lt;&gt;Lucas Luiz Romero")*(10/1083),0)))))),0)</f>
        <v/>
      </c>
      <c r="K2275" s="3">
        <f>I2275-J2275</f>
        <v/>
      </c>
      <c r="L2275" s="3">
        <f>IF(K2275&lt;-5,"CRÍTICO",IF(K2275&lt;0,"ATENÇÃO",IF(K2275&lt;=5,"BOM","EXCELENTE")))</f>
        <v/>
      </c>
      <c r="N2275" t="n">
        <v>97.5</v>
      </c>
      <c r="O2275" t="n">
        <v>30.07518796992481</v>
      </c>
    </row>
    <row r="2276" hidden="1">
      <c r="A2276" s="11" t="n">
        <v>46072</v>
      </c>
      <c r="B2276" t="inlineStr">
        <is>
          <t>Brenda de Menezes Silva</t>
        </is>
      </c>
      <c r="C2276" t="inlineStr">
        <is>
          <t>Técnico II</t>
        </is>
      </c>
      <c r="D2276" t="n">
        <v>28</v>
      </c>
      <c r="E2276" t="n">
        <v>23</v>
      </c>
      <c r="F2276" t="n">
        <v>18.54</v>
      </c>
      <c r="G2276" t="n">
        <v>0</v>
      </c>
      <c r="H2276" t="n">
        <v>0</v>
      </c>
      <c r="I2276" s="3">
        <f>E2276+G2276+H2276</f>
        <v/>
      </c>
      <c r="J2276" s="3">
        <f>ROUND(MIN(IF(C2276="Técnico III",35,IF(C2276="Técnico II",28,IF(C2276="Técnico I",23,IF(C2276="JR",20,IF(C2276="Estágio",10,0))))),IF(C2276="Técnico III",SUMIFS($D:$D,$A:$A,$A2276,$B:$B,"&lt;&gt;Patrícia Karla de Sousa Araújo",$B:$B,"&lt;&gt;Lorena Dias de Araujo",$B:$B,"&lt;&gt;Lucas Luiz Romero")*(35/1083),IF(C2276="Técnico II",SUMIFS($D:$D,$A:$A,$A2276,$B:$B,"&lt;&gt;Patrícia Karla de Sousa Araújo",$B:$B,"&lt;&gt;Lorena Dias de Araujo",$B:$B,"&lt;&gt;Lucas Luiz Romero")*(28/1083),IF(C2276="Técnico I",SUMIFS($D:$D,$A:$A,$A2276,$B:$B,"&lt;&gt;Patrícia Karla de Sousa Araújo",$B:$B,"&lt;&gt;Lorena Dias de Araujo",$B:$B,"&lt;&gt;Lucas Luiz Romero")*(23/1083),IF(C2276="JR",SUMIFS($D:$D,$A:$A,$A2276,$B:$B,"&lt;&gt;Patrícia Karla de Sousa Araújo",$B:$B,"&lt;&gt;Lorena Dias de Araujo",$B:$B,"&lt;&gt;Lucas Luiz Romero")*(20/1083),IF(C2276="Estágio",SUMIFS($D:$D,$A:$A,$A2276,$B:$B,"&lt;&gt;Patrícia Karla de Sousa Araújo",$B:$B,"&lt;&gt;Lorena Dias de Araujo",$B:$B,"&lt;&gt;Lucas Luiz Romero")*(10/1083),0)))))),0)</f>
        <v/>
      </c>
      <c r="K2276" s="3">
        <f>I2276-J2276</f>
        <v/>
      </c>
      <c r="L2276" s="3">
        <f>IF(K2276&lt;-5,"CRÍTICO",IF(K2276&lt;0,"ATENÇÃO",IF(K2276&lt;=5,"BOM","EXCELENTE")))</f>
        <v/>
      </c>
      <c r="N2276" t="n">
        <v>100</v>
      </c>
      <c r="O2276" t="n">
        <v>29.71311475409836</v>
      </c>
    </row>
    <row r="2277" hidden="1">
      <c r="A2277" s="11" t="n">
        <v>46072</v>
      </c>
      <c r="B2277" t="inlineStr">
        <is>
          <t>Carlos Mateus Cassimiro Nunes</t>
        </is>
      </c>
      <c r="C2277" t="inlineStr">
        <is>
          <t>Técnico II</t>
        </is>
      </c>
      <c r="D2277" t="n">
        <v>11</v>
      </c>
      <c r="E2277" t="n">
        <v>11</v>
      </c>
      <c r="F2277" t="n">
        <v>38.36</v>
      </c>
      <c r="G2277" t="n">
        <v>0</v>
      </c>
      <c r="H2277" t="n">
        <v>0</v>
      </c>
      <c r="I2277" s="3">
        <f>E2277+G2277+H2277</f>
        <v/>
      </c>
      <c r="J2277" s="3">
        <f>ROUND(MIN(IF(C2277="Técnico III",35,IF(C2277="Técnico II",28,IF(C2277="Técnico I",23,IF(C2277="JR",20,IF(C2277="Estágio",10,0))))),IF(C2277="Técnico III",SUMIFS($D:$D,$A:$A,$A2277,$B:$B,"&lt;&gt;Patrícia Karla de Sousa Araújo",$B:$B,"&lt;&gt;Lorena Dias de Araujo",$B:$B,"&lt;&gt;Lucas Luiz Romero")*(35/1083),IF(C2277="Técnico II",SUMIFS($D:$D,$A:$A,$A2277,$B:$B,"&lt;&gt;Patrícia Karla de Sousa Araújo",$B:$B,"&lt;&gt;Lorena Dias de Araujo",$B:$B,"&lt;&gt;Lucas Luiz Romero")*(28/1083),IF(C2277="Técnico I",SUMIFS($D:$D,$A:$A,$A2277,$B:$B,"&lt;&gt;Patrícia Karla de Sousa Araújo",$B:$B,"&lt;&gt;Lorena Dias de Araujo",$B:$B,"&lt;&gt;Lucas Luiz Romero")*(23/1083),IF(C2277="JR",SUMIFS($D:$D,$A:$A,$A2277,$B:$B,"&lt;&gt;Patrícia Karla de Sousa Araújo",$B:$B,"&lt;&gt;Lorena Dias de Araujo",$B:$B,"&lt;&gt;Lucas Luiz Romero")*(20/1083),IF(C2277="Estágio",SUMIFS($D:$D,$A:$A,$A2277,$B:$B,"&lt;&gt;Patrícia Karla de Sousa Araújo",$B:$B,"&lt;&gt;Lorena Dias de Araujo",$B:$B,"&lt;&gt;Lucas Luiz Romero")*(10/1083),0)))))),0)</f>
        <v/>
      </c>
      <c r="K2277" s="3">
        <f>I2277-J2277</f>
        <v/>
      </c>
      <c r="L2277" s="3">
        <f>IF(K2277&lt;-5,"CRÍTICO",IF(K2277&lt;0,"ATENÇÃO",IF(K2277&lt;=5,"BOM","EXCELENTE")))</f>
        <v/>
      </c>
      <c r="N2277" t="n">
        <v>99.22</v>
      </c>
      <c r="O2277" t="n">
        <v>35.25641025641026</v>
      </c>
    </row>
    <row r="2278" hidden="1">
      <c r="A2278" s="11" t="n">
        <v>46072</v>
      </c>
      <c r="B2278" t="inlineStr">
        <is>
          <t>Claudio de Sousa Velasco Filho</t>
        </is>
      </c>
      <c r="C2278" t="inlineStr">
        <is>
          <t>Estágio</t>
        </is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s="3" t="n">
        <v>0</v>
      </c>
      <c r="J2278" s="3" t="n">
        <v>0</v>
      </c>
      <c r="K2278" s="3" t="n">
        <v>0</v>
      </c>
      <c r="L2278" s="3">
        <f>IF(K2278&lt;-5,"CRÍTICO",IF(K2278&lt;0,"ATENÇÃO",IF(K2278&lt;=5,"BOM","EXCELENTE")))</f>
        <v/>
      </c>
      <c r="N2278" t="n">
        <v>0</v>
      </c>
      <c r="O2278" t="n">
        <v>0</v>
      </c>
    </row>
    <row r="2279" hidden="1">
      <c r="A2279" s="11" t="n">
        <v>46072</v>
      </c>
      <c r="B2279" t="inlineStr">
        <is>
          <t>Clessiane Pereira dos Santos</t>
        </is>
      </c>
      <c r="C2279" t="inlineStr">
        <is>
          <t>Técnico I</t>
        </is>
      </c>
      <c r="D2279" t="n">
        <v>21</v>
      </c>
      <c r="E2279" t="n">
        <v>18</v>
      </c>
      <c r="F2279" t="n">
        <v>22.18</v>
      </c>
      <c r="G2279" t="n">
        <v>0</v>
      </c>
      <c r="H2279" t="n">
        <v>0</v>
      </c>
      <c r="I2279" s="3">
        <f>E2279+G2279+H2279</f>
        <v/>
      </c>
      <c r="J2279" s="3">
        <f>ROUND(MIN(IF(C2279="Técnico III",35,IF(C2279="Técnico II",28,IF(C2279="Técnico I",23,IF(C2279="JR",20,IF(C2279="Estágio",10,0))))),IF(C2279="Técnico III",SUMIFS($D:$D,$A:$A,$A2279,$B:$B,"&lt;&gt;Patrícia Karla de Sousa Araújo",$B:$B,"&lt;&gt;Lorena Dias de Araujo",$B:$B,"&lt;&gt;Lucas Luiz Romero")*(35/1083),IF(C2279="Técnico II",SUMIFS($D:$D,$A:$A,$A2279,$B:$B,"&lt;&gt;Patrícia Karla de Sousa Araújo",$B:$B,"&lt;&gt;Lorena Dias de Araujo",$B:$B,"&lt;&gt;Lucas Luiz Romero")*(28/1083),IF(C2279="Técnico I",SUMIFS($D:$D,$A:$A,$A2279,$B:$B,"&lt;&gt;Patrícia Karla de Sousa Araújo",$B:$B,"&lt;&gt;Lorena Dias de Araujo",$B:$B,"&lt;&gt;Lucas Luiz Romero")*(23/1083),IF(C2279="JR",SUMIFS($D:$D,$A:$A,$A2279,$B:$B,"&lt;&gt;Patrícia Karla de Sousa Araújo",$B:$B,"&lt;&gt;Lorena Dias de Araujo",$B:$B,"&lt;&gt;Lucas Luiz Romero")*(20/1083),IF(C2279="Estágio",SUMIFS($D:$D,$A:$A,$A2279,$B:$B,"&lt;&gt;Patrícia Karla de Sousa Araújo",$B:$B,"&lt;&gt;Lorena Dias de Araujo",$B:$B,"&lt;&gt;Lucas Luiz Romero")*(10/1083),0)))))),0)</f>
        <v/>
      </c>
      <c r="K2279" s="3">
        <f>I2279-J2279</f>
        <v/>
      </c>
      <c r="L2279" s="3">
        <f>IF(K2279&lt;-5,"CRÍTICO",IF(K2279&lt;0,"ATENÇÃO",IF(K2279&lt;=5,"BOM","EXCELENTE")))</f>
        <v/>
      </c>
      <c r="N2279" t="n">
        <v>98.75</v>
      </c>
      <c r="O2279" t="n">
        <v>24.32432432432433</v>
      </c>
    </row>
    <row r="2280" hidden="1">
      <c r="A2280" s="11" t="n">
        <v>46072</v>
      </c>
      <c r="B2280" t="inlineStr">
        <is>
          <t>Cristiane Ramos da Silva Rocha</t>
        </is>
      </c>
      <c r="C2280" t="inlineStr">
        <is>
          <t>Técnico III</t>
        </is>
      </c>
      <c r="D2280" t="n">
        <v>42</v>
      </c>
      <c r="E2280" t="n">
        <v>40</v>
      </c>
      <c r="F2280" t="n">
        <v>13.28</v>
      </c>
      <c r="G2280" t="n">
        <v>0</v>
      </c>
      <c r="H2280" t="n">
        <v>0</v>
      </c>
      <c r="I2280" s="3">
        <f>E2280+G2280+H2280</f>
        <v/>
      </c>
      <c r="J2280" s="3">
        <f>ROUND(MIN(IF(C2280="Técnico III",35,IF(C2280="Técnico II",28,IF(C2280="Técnico I",23,IF(C2280="JR",20,IF(C2280="Estágio",10,0))))),IF(C2280="Técnico III",SUMIFS($D:$D,$A:$A,$A2280,$B:$B,"&lt;&gt;Patrícia Karla de Sousa Araújo",$B:$B,"&lt;&gt;Lorena Dias de Araujo",$B:$B,"&lt;&gt;Lucas Luiz Romero")*(35/1083),IF(C2280="Técnico II",SUMIFS($D:$D,$A:$A,$A2280,$B:$B,"&lt;&gt;Patrícia Karla de Sousa Araújo",$B:$B,"&lt;&gt;Lorena Dias de Araujo",$B:$B,"&lt;&gt;Lucas Luiz Romero")*(28/1083),IF(C2280="Técnico I",SUMIFS($D:$D,$A:$A,$A2280,$B:$B,"&lt;&gt;Patrícia Karla de Sousa Araújo",$B:$B,"&lt;&gt;Lorena Dias de Araujo",$B:$B,"&lt;&gt;Lucas Luiz Romero")*(23/1083),IF(C2280="JR",SUMIFS($D:$D,$A:$A,$A2280,$B:$B,"&lt;&gt;Patrícia Karla de Sousa Araújo",$B:$B,"&lt;&gt;Lorena Dias de Araujo",$B:$B,"&lt;&gt;Lucas Luiz Romero")*(20/1083),IF(C2280="Estágio",SUMIFS($D:$D,$A:$A,$A2280,$B:$B,"&lt;&gt;Patrícia Karla de Sousa Araújo",$B:$B,"&lt;&gt;Lorena Dias de Araujo",$B:$B,"&lt;&gt;Lucas Luiz Romero")*(10/1083),0)))))),0)</f>
        <v/>
      </c>
      <c r="K2280" s="3">
        <f>I2280-J2280</f>
        <v/>
      </c>
      <c r="L2280" s="3">
        <f>IF(K2280&lt;-5,"CRÍTICO",IF(K2280&lt;0,"ATENÇÃO",IF(K2280&lt;=5,"BOM","EXCELENTE")))</f>
        <v/>
      </c>
      <c r="N2280" t="n">
        <v>93.48</v>
      </c>
      <c r="O2280" t="n">
        <v>31.33462282398452</v>
      </c>
    </row>
    <row r="2281" hidden="1">
      <c r="A2281" s="11" t="n">
        <v>46072</v>
      </c>
      <c r="B2281" t="inlineStr">
        <is>
          <t>Damyllis Lorraine de Oliveira Gonçalves</t>
        </is>
      </c>
      <c r="C2281" t="inlineStr">
        <is>
          <t>Técnico II</t>
        </is>
      </c>
      <c r="D2281" t="n">
        <v>35</v>
      </c>
      <c r="E2281" t="n">
        <v>30</v>
      </c>
      <c r="F2281" t="n">
        <v>22.16</v>
      </c>
      <c r="G2281" t="n">
        <v>0</v>
      </c>
      <c r="H2281" t="n">
        <v>0</v>
      </c>
      <c r="I2281" s="3" t="n">
        <v>0</v>
      </c>
      <c r="J2281" s="3" t="n">
        <v>0</v>
      </c>
      <c r="K2281" s="3" t="n">
        <v>0</v>
      </c>
      <c r="L2281" s="3">
        <f>IF(K2281&lt;-5,"CRÍTICO",IF(K2281&lt;0,"ATENÇÃO",IF(K2281&lt;=5,"BOM","EXCELENTE")))</f>
        <v/>
      </c>
      <c r="N2281" t="n">
        <v>99.16</v>
      </c>
      <c r="O2281" t="n">
        <v>26.13908872901678</v>
      </c>
    </row>
    <row r="2282" hidden="1">
      <c r="A2282" s="11" t="n">
        <v>46072</v>
      </c>
      <c r="B2282" t="inlineStr">
        <is>
          <t>Daniel Gomes da Silva</t>
        </is>
      </c>
      <c r="C2282" t="inlineStr">
        <is>
          <t>Técnico I</t>
        </is>
      </c>
      <c r="D2282" t="n">
        <v>13</v>
      </c>
      <c r="E2282" t="n">
        <v>13</v>
      </c>
      <c r="F2282" t="n">
        <v>47.1</v>
      </c>
      <c r="G2282" t="n">
        <v>0</v>
      </c>
      <c r="H2282" t="n">
        <v>0</v>
      </c>
      <c r="I2282" s="3">
        <f>E2282+G2282+H2282</f>
        <v/>
      </c>
      <c r="J2282" s="3">
        <f>ROUND(MIN(IF(C2282="Técnico III",35,IF(C2282="Técnico II",28,IF(C2282="Técnico I",23,IF(C2282="JR",20,IF(C2282="Estágio",10,0))))),IF(C2282="Técnico III",SUMIFS($D:$D,$A:$A,$A2282,$B:$B,"&lt;&gt;Patrícia Karla de Sousa Araújo",$B:$B,"&lt;&gt;Lorena Dias de Araujo",$B:$B,"&lt;&gt;Lucas Luiz Romero")*(35/1083),IF(C2282="Técnico II",SUMIFS($D:$D,$A:$A,$A2282,$B:$B,"&lt;&gt;Patrícia Karla de Sousa Araújo",$B:$B,"&lt;&gt;Lorena Dias de Araujo",$B:$B,"&lt;&gt;Lucas Luiz Romero")*(28/1083),IF(C2282="Técnico I",SUMIFS($D:$D,$A:$A,$A2282,$B:$B,"&lt;&gt;Patrícia Karla de Sousa Araújo",$B:$B,"&lt;&gt;Lorena Dias de Araujo",$B:$B,"&lt;&gt;Lucas Luiz Romero")*(23/1083),IF(C2282="JR",SUMIFS($D:$D,$A:$A,$A2282,$B:$B,"&lt;&gt;Patrícia Karla de Sousa Araújo",$B:$B,"&lt;&gt;Lorena Dias de Araujo",$B:$B,"&lt;&gt;Lucas Luiz Romero")*(20/1083),IF(C2282="Estágio",SUMIFS($D:$D,$A:$A,$A2282,$B:$B,"&lt;&gt;Patrícia Karla de Sousa Araújo",$B:$B,"&lt;&gt;Lorena Dias de Araujo",$B:$B,"&lt;&gt;Lucas Luiz Romero")*(10/1083),0)))))),0)</f>
        <v/>
      </c>
      <c r="K2282" s="3">
        <f>I2282-J2282</f>
        <v/>
      </c>
      <c r="L2282" s="3">
        <f>IF(K2282&lt;-5,"CRÍTICO",IF(K2282&lt;0,"ATENÇÃO",IF(K2282&lt;=5,"BOM","EXCELENTE")))</f>
        <v/>
      </c>
      <c r="N2282" t="n">
        <v>100</v>
      </c>
      <c r="O2282" t="n">
        <v>31.08974358974359</v>
      </c>
    </row>
    <row r="2283" hidden="1">
      <c r="A2283" s="11" t="n">
        <v>46072</v>
      </c>
      <c r="B2283" t="inlineStr">
        <is>
          <t>Davylla Rodrigues Freitas Silva</t>
        </is>
      </c>
      <c r="C2283" t="inlineStr">
        <is>
          <t>Técnico III</t>
        </is>
      </c>
      <c r="D2283" t="n">
        <v>23</v>
      </c>
      <c r="E2283" t="n">
        <v>23</v>
      </c>
      <c r="F2283" t="n">
        <v>35.42</v>
      </c>
      <c r="G2283" t="n">
        <v>0</v>
      </c>
      <c r="H2283" t="n">
        <v>0</v>
      </c>
      <c r="I2283" s="3" t="n">
        <v>0</v>
      </c>
      <c r="J2283" s="3" t="n">
        <v>0</v>
      </c>
      <c r="K2283" s="3" t="n">
        <v>0</v>
      </c>
      <c r="L2283" s="3">
        <f>IF(K2283&lt;-5,"CRÍTICO",IF(K2283&lt;0,"ATENÇÃO",IF(K2283&lt;=5,"BOM","EXCELENTE")))</f>
        <v/>
      </c>
      <c r="N2283" t="n">
        <v>98.11</v>
      </c>
      <c r="O2283" t="n">
        <v>33.03370786516854</v>
      </c>
    </row>
    <row r="2284" hidden="1">
      <c r="A2284" s="11" t="n">
        <v>46072</v>
      </c>
      <c r="B2284" t="inlineStr">
        <is>
          <t>Emilly Caylane Costa</t>
        </is>
      </c>
      <c r="C2284" t="inlineStr">
        <is>
          <t>Estágio</t>
        </is>
      </c>
      <c r="D2284" t="n">
        <v>10</v>
      </c>
      <c r="E2284" t="n">
        <v>9</v>
      </c>
      <c r="F2284" t="n">
        <v>33.51</v>
      </c>
      <c r="G2284" t="n">
        <v>0</v>
      </c>
      <c r="H2284" t="n">
        <v>0</v>
      </c>
      <c r="I2284" s="3">
        <f>E2284+G2284+H2284</f>
        <v/>
      </c>
      <c r="J2284" s="3">
        <f>ROUND(MIN(IF(C2284="Técnico III",35,IF(C2284="Técnico II",28,IF(C2284="Técnico I",23,IF(C2284="JR",20,IF(C2284="Estágio",10,0))))),IF(C2284="Técnico III",SUMIFS($D:$D,$A:$A,$A2284,$B:$B,"&lt;&gt;Patrícia Karla de Sousa Araújo",$B:$B,"&lt;&gt;Lorena Dias de Araujo",$B:$B,"&lt;&gt;Lucas Luiz Romero")*(35/1083),IF(C2284="Técnico II",SUMIFS($D:$D,$A:$A,$A2284,$B:$B,"&lt;&gt;Patrícia Karla de Sousa Araújo",$B:$B,"&lt;&gt;Lorena Dias de Araujo",$B:$B,"&lt;&gt;Lucas Luiz Romero")*(28/1083),IF(C2284="Técnico I",SUMIFS($D:$D,$A:$A,$A2284,$B:$B,"&lt;&gt;Patrícia Karla de Sousa Araújo",$B:$B,"&lt;&gt;Lorena Dias de Araujo",$B:$B,"&lt;&gt;Lucas Luiz Romero")*(23/1083),IF(C2284="JR",SUMIFS($D:$D,$A:$A,$A2284,$B:$B,"&lt;&gt;Patrícia Karla de Sousa Araújo",$B:$B,"&lt;&gt;Lorena Dias de Araujo",$B:$B,"&lt;&gt;Lucas Luiz Romero")*(20/1083),IF(C2284="Estágio",SUMIFS($D:$D,$A:$A,$A2284,$B:$B,"&lt;&gt;Patrícia Karla de Sousa Araújo",$B:$B,"&lt;&gt;Lorena Dias de Araujo",$B:$B,"&lt;&gt;Lucas Luiz Romero")*(10/1083),0)))))),0)</f>
        <v/>
      </c>
      <c r="K2284" s="3">
        <f>I2284-J2284</f>
        <v/>
      </c>
      <c r="L2284" s="3">
        <f>IF(K2284&lt;-5,"CRÍTICO",IF(K2284&lt;0,"ATENÇÃO",IF(K2284&lt;=5,"BOM","EXCELENTE")))</f>
        <v/>
      </c>
      <c r="N2284" t="n">
        <v>78.95</v>
      </c>
      <c r="O2284" t="n">
        <v>38.98305084745763</v>
      </c>
    </row>
    <row r="2285" hidden="1">
      <c r="A2285" s="11" t="n">
        <v>46072</v>
      </c>
      <c r="B2285" t="inlineStr">
        <is>
          <t>Emilly Kamilly Medeiros Miranda</t>
        </is>
      </c>
      <c r="C2285" t="inlineStr">
        <is>
          <t>Técnico II</t>
        </is>
      </c>
      <c r="D2285" t="n">
        <v>16</v>
      </c>
      <c r="E2285" t="n">
        <v>15</v>
      </c>
      <c r="F2285" t="n">
        <v>22.25</v>
      </c>
      <c r="G2285" t="n">
        <v>0</v>
      </c>
      <c r="H2285" t="n">
        <v>0</v>
      </c>
      <c r="I2285" s="3">
        <f>E2285+G2285+H2285</f>
        <v/>
      </c>
      <c r="J2285" s="3">
        <f>ROUND(MIN(IF(C2285="Técnico III",35,IF(C2285="Técnico II",28,IF(C2285="Técnico I",23,IF(C2285="JR",20,IF(C2285="Estágio",10,0))))),IF(C2285="Técnico III",SUMIFS($D:$D,$A:$A,$A2285,$B:$B,"&lt;&gt;Patrícia Karla de Sousa Araújo",$B:$B,"&lt;&gt;Lorena Dias de Araujo",$B:$B,"&lt;&gt;Lucas Luiz Romero")*(35/1083),IF(C2285="Técnico II",SUMIFS($D:$D,$A:$A,$A2285,$B:$B,"&lt;&gt;Patrícia Karla de Sousa Araújo",$B:$B,"&lt;&gt;Lorena Dias de Araujo",$B:$B,"&lt;&gt;Lucas Luiz Romero")*(28/1083),IF(C2285="Técnico I",SUMIFS($D:$D,$A:$A,$A2285,$B:$B,"&lt;&gt;Patrícia Karla de Sousa Araújo",$B:$B,"&lt;&gt;Lorena Dias de Araujo",$B:$B,"&lt;&gt;Lucas Luiz Romero")*(23/1083),IF(C2285="JR",SUMIFS($D:$D,$A:$A,$A2285,$B:$B,"&lt;&gt;Patrícia Karla de Sousa Araújo",$B:$B,"&lt;&gt;Lorena Dias de Araujo",$B:$B,"&lt;&gt;Lucas Luiz Romero")*(20/1083),IF(C2285="Estágio",SUMIFS($D:$D,$A:$A,$A2285,$B:$B,"&lt;&gt;Patrícia Karla de Sousa Araújo",$B:$B,"&lt;&gt;Lorena Dias de Araujo",$B:$B,"&lt;&gt;Lucas Luiz Romero")*(10/1083),0)))))),0)</f>
        <v/>
      </c>
      <c r="K2285" s="3">
        <f>I2285-J2285</f>
        <v/>
      </c>
      <c r="L2285" s="3">
        <f>IF(K2285&lt;-5,"CRÍTICO",IF(K2285&lt;0,"ATENÇÃO",IF(K2285&lt;=5,"BOM","EXCELENTE")))</f>
        <v/>
      </c>
      <c r="N2285" t="n">
        <v>98.45</v>
      </c>
      <c r="O2285" t="n">
        <v>29.2817679558011</v>
      </c>
    </row>
    <row r="2286" hidden="1">
      <c r="A2286" s="11" t="n">
        <v>46072</v>
      </c>
      <c r="B2286" t="inlineStr">
        <is>
          <t>Francielson de Oliveira</t>
        </is>
      </c>
      <c r="C2286" t="inlineStr">
        <is>
          <t>Técnico III</t>
        </is>
      </c>
      <c r="D2286" t="n">
        <v>22</v>
      </c>
      <c r="E2286" t="n">
        <v>21</v>
      </c>
      <c r="F2286" t="n">
        <v>20.17</v>
      </c>
      <c r="G2286" t="n">
        <v>0</v>
      </c>
      <c r="H2286" t="n">
        <v>0</v>
      </c>
      <c r="I2286" s="3">
        <f>E2286+G2286+H2286</f>
        <v/>
      </c>
      <c r="J2286" s="3">
        <f>ROUND(MIN(IF(C2286="Técnico III",35,IF(C2286="Técnico II",28,IF(C2286="Técnico I",23,IF(C2286="JR",20,IF(C2286="Estágio",10,0))))),IF(C2286="Técnico III",SUMIFS($D:$D,$A:$A,$A2286,$B:$B,"&lt;&gt;Patrícia Karla de Sousa Araújo",$B:$B,"&lt;&gt;Lorena Dias de Araujo",$B:$B,"&lt;&gt;Lucas Luiz Romero")*(35/1083),IF(C2286="Técnico II",SUMIFS($D:$D,$A:$A,$A2286,$B:$B,"&lt;&gt;Patrícia Karla de Sousa Araújo",$B:$B,"&lt;&gt;Lorena Dias de Araujo",$B:$B,"&lt;&gt;Lucas Luiz Romero")*(28/1083),IF(C2286="Técnico I",SUMIFS($D:$D,$A:$A,$A2286,$B:$B,"&lt;&gt;Patrícia Karla de Sousa Araújo",$B:$B,"&lt;&gt;Lorena Dias de Araujo",$B:$B,"&lt;&gt;Lucas Luiz Romero")*(23/1083),IF(C2286="JR",SUMIFS($D:$D,$A:$A,$A2286,$B:$B,"&lt;&gt;Patrícia Karla de Sousa Araújo",$B:$B,"&lt;&gt;Lorena Dias de Araujo",$B:$B,"&lt;&gt;Lucas Luiz Romero")*(20/1083),IF(C2286="Estágio",SUMIFS($D:$D,$A:$A,$A2286,$B:$B,"&lt;&gt;Patrícia Karla de Sousa Araújo",$B:$B,"&lt;&gt;Lorena Dias de Araujo",$B:$B,"&lt;&gt;Lucas Luiz Romero")*(10/1083),0)))))),0)</f>
        <v/>
      </c>
      <c r="K2286" s="3">
        <f>I2286-J2286</f>
        <v/>
      </c>
      <c r="L2286" s="3">
        <f>IF(K2286&lt;-5,"CRÍTICO",IF(K2286&lt;0,"ATENÇÃO",IF(K2286&lt;=5,"BOM","EXCELENTE")))</f>
        <v/>
      </c>
      <c r="N2286" t="n">
        <v>97.84</v>
      </c>
      <c r="O2286" t="n">
        <v>26.28205128205128</v>
      </c>
    </row>
    <row r="2287" hidden="1">
      <c r="A2287" s="11" t="n">
        <v>46072</v>
      </c>
      <c r="B2287" t="inlineStr">
        <is>
          <t>Francilene Ferreira de Jesus</t>
        </is>
      </c>
      <c r="C2287" t="inlineStr">
        <is>
          <t>Técnico II</t>
        </is>
      </c>
      <c r="D2287" t="n">
        <v>30</v>
      </c>
      <c r="E2287" t="n">
        <v>29</v>
      </c>
      <c r="F2287" t="n">
        <v>24.09</v>
      </c>
      <c r="G2287" t="n">
        <v>0</v>
      </c>
      <c r="H2287" t="n">
        <v>0</v>
      </c>
      <c r="I2287" s="3">
        <f>E2287+G2287+H2287</f>
        <v/>
      </c>
      <c r="J2287" s="3">
        <f>ROUND(MIN(IF(C2287="Técnico III",35,IF(C2287="Técnico II",28,IF(C2287="Técnico I",23,IF(C2287="JR",20,IF(C2287="Estágio",10,0))))),IF(C2287="Técnico III",SUMIFS($D:$D,$A:$A,$A2287,$B:$B,"&lt;&gt;Patrícia Karla de Sousa Araújo",$B:$B,"&lt;&gt;Lorena Dias de Araujo",$B:$B,"&lt;&gt;Lucas Luiz Romero")*(35/1083),IF(C2287="Técnico II",SUMIFS($D:$D,$A:$A,$A2287,$B:$B,"&lt;&gt;Patrícia Karla de Sousa Araújo",$B:$B,"&lt;&gt;Lorena Dias de Araujo",$B:$B,"&lt;&gt;Lucas Luiz Romero")*(28/1083),IF(C2287="Técnico I",SUMIFS($D:$D,$A:$A,$A2287,$B:$B,"&lt;&gt;Patrícia Karla de Sousa Araújo",$B:$B,"&lt;&gt;Lorena Dias de Araujo",$B:$B,"&lt;&gt;Lucas Luiz Romero")*(23/1083),IF(C2287="JR",SUMIFS($D:$D,$A:$A,$A2287,$B:$B,"&lt;&gt;Patrícia Karla de Sousa Araújo",$B:$B,"&lt;&gt;Lorena Dias de Araujo",$B:$B,"&lt;&gt;Lucas Luiz Romero")*(20/1083),IF(C2287="Estágio",SUMIFS($D:$D,$A:$A,$A2287,$B:$B,"&lt;&gt;Patrícia Karla de Sousa Araújo",$B:$B,"&lt;&gt;Lorena Dias de Araujo",$B:$B,"&lt;&gt;Lucas Luiz Romero")*(10/1083),0)))))),0)</f>
        <v/>
      </c>
      <c r="K2287" s="3">
        <f>I2287-J2287</f>
        <v/>
      </c>
      <c r="L2287" s="3">
        <f>IF(K2287&lt;-5,"CRÍTICO",IF(K2287&lt;0,"ATENÇÃO",IF(K2287&lt;=5,"BOM","EXCELENTE")))</f>
        <v/>
      </c>
      <c r="N2287" t="n">
        <v>98.5</v>
      </c>
      <c r="O2287" t="n">
        <v>23.97769516728625</v>
      </c>
    </row>
    <row r="2288" hidden="1">
      <c r="A2288" s="11" t="n">
        <v>46106</v>
      </c>
      <c r="B2288" t="inlineStr">
        <is>
          <t>Gabriel Gomes de Andrade</t>
        </is>
      </c>
      <c r="C2288" t="inlineStr">
        <is>
          <t>Técnico I</t>
        </is>
      </c>
      <c r="D2288" t="n">
        <v>22</v>
      </c>
      <c r="E2288" t="n">
        <v>21</v>
      </c>
      <c r="F2288" t="n">
        <v>23.42</v>
      </c>
      <c r="G2288" t="n">
        <v>0</v>
      </c>
      <c r="H2288" t="n">
        <v>0</v>
      </c>
      <c r="I2288" s="3">
        <f>E2288+G2288+H2288</f>
        <v/>
      </c>
      <c r="J2288" s="3">
        <f>ROUND(MIN(IF(C2288="Técnico III",35,IF(C2288="Técnico II",28,IF(C2288="Técnico I",23,IF(C2288="JR",20,IF(C2288="Estágio",10,0))))),IF(C2288="Técnico III",SUMIFS($D:$D,$A:$A,$A2288,$B:$B,"&lt;&gt;Patrícia Karla de Sousa Araújo",$B:$B,"&lt;&gt;Lorena Dias de Araujo",$B:$B,"&lt;&gt;Lucas Luiz Romero")*(35/1083),IF(C2288="Técnico II",SUMIFS($D:$D,$A:$A,$A2288,$B:$B,"&lt;&gt;Patrícia Karla de Sousa Araújo",$B:$B,"&lt;&gt;Lorena Dias de Araujo",$B:$B,"&lt;&gt;Lucas Luiz Romero")*(28/1083),IF(C2288="Técnico I",SUMIFS($D:$D,$A:$A,$A2288,$B:$B,"&lt;&gt;Patrícia Karla de Sousa Araújo",$B:$B,"&lt;&gt;Lorena Dias de Araujo",$B:$B,"&lt;&gt;Lucas Luiz Romero")*(23/1083),IF(C2288="JR",SUMIFS($D:$D,$A:$A,$A2288,$B:$B,"&lt;&gt;Patrícia Karla de Sousa Araújo",$B:$B,"&lt;&gt;Lorena Dias de Araujo",$B:$B,"&lt;&gt;Lucas Luiz Romero")*(20/1083),IF(C2288="Estágio",SUMIFS($D:$D,$A:$A,$A2288,$B:$B,"&lt;&gt;Patrícia Karla de Sousa Araújo",$B:$B,"&lt;&gt;Lorena Dias de Araujo",$B:$B,"&lt;&gt;Lucas Luiz Romero")*(10/1083),0)))))),0)</f>
        <v/>
      </c>
      <c r="K2288" s="3">
        <f>I2288-J2288</f>
        <v/>
      </c>
      <c r="L2288" s="3">
        <f>IF(K2288&lt;-5,"CRÍTICO",IF(K2288&lt;0,"ATENÇÃO",IF(K2288&lt;=5,"BOM","EXCELENTE")))</f>
        <v/>
      </c>
      <c r="N2288" t="n">
        <v>99.05</v>
      </c>
      <c r="O2288" t="n">
        <v>26.62192393736018</v>
      </c>
    </row>
    <row r="2289" hidden="1">
      <c r="A2289" s="11" t="n">
        <v>46072</v>
      </c>
      <c r="B2289" t="inlineStr">
        <is>
          <t>Isabella Borges de Oliveira</t>
        </is>
      </c>
      <c r="C2289" t="inlineStr">
        <is>
          <t>Técnico II</t>
        </is>
      </c>
      <c r="D2289" t="n">
        <v>23</v>
      </c>
      <c r="E2289" t="n">
        <v>22</v>
      </c>
      <c r="F2289" t="n">
        <v>32.13</v>
      </c>
      <c r="G2289" t="n">
        <v>0</v>
      </c>
      <c r="H2289" t="n">
        <v>0</v>
      </c>
      <c r="I2289" s="3">
        <f>E2289+G2289+H2289</f>
        <v/>
      </c>
      <c r="J2289" s="3">
        <f>ROUND(MIN(IF(C2289="Técnico III",35,IF(C2289="Técnico II",28,IF(C2289="Técnico I",23,IF(C2289="JR",20,IF(C2289="Estágio",10,0))))),IF(C2289="Técnico III",SUMIFS($D:$D,$A:$A,$A2289,$B:$B,"&lt;&gt;Patrícia Karla de Sousa Araújo",$B:$B,"&lt;&gt;Lorena Dias de Araujo",$B:$B,"&lt;&gt;Lucas Luiz Romero")*(35/1083),IF(C2289="Técnico II",SUMIFS($D:$D,$A:$A,$A2289,$B:$B,"&lt;&gt;Patrícia Karla de Sousa Araújo",$B:$B,"&lt;&gt;Lorena Dias de Araujo",$B:$B,"&lt;&gt;Lucas Luiz Romero")*(28/1083),IF(C2289="Técnico I",SUMIFS($D:$D,$A:$A,$A2289,$B:$B,"&lt;&gt;Patrícia Karla de Sousa Araújo",$B:$B,"&lt;&gt;Lorena Dias de Araujo",$B:$B,"&lt;&gt;Lucas Luiz Romero")*(23/1083),IF(C2289="JR",SUMIFS($D:$D,$A:$A,$A2289,$B:$B,"&lt;&gt;Patrícia Karla de Sousa Araújo",$B:$B,"&lt;&gt;Lorena Dias de Araujo",$B:$B,"&lt;&gt;Lucas Luiz Romero")*(20/1083),IF(C2289="Estágio",SUMIFS($D:$D,$A:$A,$A2289,$B:$B,"&lt;&gt;Patrícia Karla de Sousa Araújo",$B:$B,"&lt;&gt;Lorena Dias de Araujo",$B:$B,"&lt;&gt;Lucas Luiz Romero")*(10/1083),0)))))),0)</f>
        <v/>
      </c>
      <c r="K2289" s="3">
        <f>I2289-J2289</f>
        <v/>
      </c>
      <c r="L2289" s="3">
        <f>IF(K2289&lt;-5,"CRÍTICO",IF(K2289&lt;0,"ATENÇÃO",IF(K2289&lt;=5,"BOM","EXCELENTE")))</f>
        <v/>
      </c>
      <c r="N2289" t="n">
        <v>98.53</v>
      </c>
      <c r="O2289" t="n">
        <v>31.57894736842105</v>
      </c>
    </row>
    <row r="2290" hidden="1">
      <c r="A2290" s="11" t="n">
        <v>46072</v>
      </c>
      <c r="B2290" t="inlineStr">
        <is>
          <t>Janaina Lima dos Reis Urany</t>
        </is>
      </c>
      <c r="C2290" t="inlineStr">
        <is>
          <t>Técnico III</t>
        </is>
      </c>
      <c r="D2290" t="n">
        <v>31</v>
      </c>
      <c r="E2290" t="n">
        <v>31</v>
      </c>
      <c r="F2290" t="n">
        <v>23.47</v>
      </c>
      <c r="G2290" t="n">
        <v>0</v>
      </c>
      <c r="H2290" t="n">
        <v>0</v>
      </c>
      <c r="I2290" s="3">
        <f>E2290+G2290+H2290</f>
        <v/>
      </c>
      <c r="J2290" s="3">
        <f>ROUND(MIN(IF(C2290="Técnico III",35,IF(C2290="Técnico II",28,IF(C2290="Técnico I",23,IF(C2290="JR",20,IF(C2290="Estágio",10,0))))),IF(C2290="Técnico III",SUMIFS($D:$D,$A:$A,$A2290,$B:$B,"&lt;&gt;Patrícia Karla de Sousa Araújo",$B:$B,"&lt;&gt;Lorena Dias de Araujo",$B:$B,"&lt;&gt;Lucas Luiz Romero")*(35/1083),IF(C2290="Técnico II",SUMIFS($D:$D,$A:$A,$A2290,$B:$B,"&lt;&gt;Patrícia Karla de Sousa Araújo",$B:$B,"&lt;&gt;Lorena Dias de Araujo",$B:$B,"&lt;&gt;Lucas Luiz Romero")*(28/1083),IF(C2290="Técnico I",SUMIFS($D:$D,$A:$A,$A2290,$B:$B,"&lt;&gt;Patrícia Karla de Sousa Araújo",$B:$B,"&lt;&gt;Lorena Dias de Araujo",$B:$B,"&lt;&gt;Lucas Luiz Romero")*(23/1083),IF(C2290="JR",SUMIFS($D:$D,$A:$A,$A2290,$B:$B,"&lt;&gt;Patrícia Karla de Sousa Araújo",$B:$B,"&lt;&gt;Lorena Dias de Araujo",$B:$B,"&lt;&gt;Lucas Luiz Romero")*(20/1083),IF(C2290="Estágio",SUMIFS($D:$D,$A:$A,$A2290,$B:$B,"&lt;&gt;Patrícia Karla de Sousa Araújo",$B:$B,"&lt;&gt;Lorena Dias de Araujo",$B:$B,"&lt;&gt;Lucas Luiz Romero")*(10/1083),0)))))),0)</f>
        <v/>
      </c>
      <c r="K2290" s="3">
        <f>I2290-J2290</f>
        <v/>
      </c>
      <c r="L2290" s="3">
        <f>IF(K2290&lt;-5,"CRÍTICO",IF(K2290&lt;0,"ATENÇÃO",IF(K2290&lt;=5,"BOM","EXCELENTE")))</f>
        <v/>
      </c>
      <c r="N2290" t="n">
        <v>100</v>
      </c>
      <c r="O2290" t="n">
        <v>25.72214580467676</v>
      </c>
    </row>
    <row r="2291" hidden="1">
      <c r="A2291" s="11" t="n">
        <v>46072</v>
      </c>
      <c r="B2291" t="inlineStr">
        <is>
          <t>Jaqueline Evangelista da Silva Martins</t>
        </is>
      </c>
      <c r="C2291" t="inlineStr">
        <is>
          <t>Técnico III</t>
        </is>
      </c>
      <c r="D2291" t="n">
        <v>2</v>
      </c>
      <c r="E2291" t="n">
        <v>2</v>
      </c>
      <c r="F2291" t="n">
        <v>25.15</v>
      </c>
      <c r="G2291" t="n">
        <v>0</v>
      </c>
      <c r="H2291" t="n">
        <v>0</v>
      </c>
      <c r="I2291" s="3">
        <f>E2291+G2291+H2291</f>
        <v/>
      </c>
      <c r="J2291" s="3">
        <f>ROUND(MIN(IF(C2291="Técnico III",35,IF(C2291="Técnico II",28,IF(C2291="Técnico I",23,IF(C2291="JR",20,IF(C2291="Estágio",10,0))))),IF(C2291="Técnico III",SUMIFS($D:$D,$A:$A,$A2291,$B:$B,"&lt;&gt;Patrícia Karla de Sousa Araújo",$B:$B,"&lt;&gt;Lorena Dias de Araujo",$B:$B,"&lt;&gt;Lucas Luiz Romero")*(35/1083),IF(C2291="Técnico II",SUMIFS($D:$D,$A:$A,$A2291,$B:$B,"&lt;&gt;Patrícia Karla de Sousa Araújo",$B:$B,"&lt;&gt;Lorena Dias de Araujo",$B:$B,"&lt;&gt;Lucas Luiz Romero")*(28/1083),IF(C2291="Técnico I",SUMIFS($D:$D,$A:$A,$A2291,$B:$B,"&lt;&gt;Patrícia Karla de Sousa Araújo",$B:$B,"&lt;&gt;Lorena Dias de Araujo",$B:$B,"&lt;&gt;Lucas Luiz Romero")*(23/1083),IF(C2291="JR",SUMIFS($D:$D,$A:$A,$A2291,$B:$B,"&lt;&gt;Patrícia Karla de Sousa Araújo",$B:$B,"&lt;&gt;Lorena Dias de Araujo",$B:$B,"&lt;&gt;Lucas Luiz Romero")*(20/1083),IF(C2291="Estágio",SUMIFS($D:$D,$A:$A,$A2291,$B:$B,"&lt;&gt;Patrícia Karla de Sousa Araújo",$B:$B,"&lt;&gt;Lorena Dias de Araujo",$B:$B,"&lt;&gt;Lucas Luiz Romero")*(10/1083),0)))))),0)</f>
        <v/>
      </c>
      <c r="K2291" s="3">
        <f>I2291-J2291</f>
        <v/>
      </c>
      <c r="L2291" s="3">
        <f>IF(K2291&lt;-5,"CRÍTICO",IF(K2291&lt;0,"ATENÇÃO",IF(K2291&lt;=5,"BOM","EXCELENTE")))</f>
        <v/>
      </c>
      <c r="N2291" t="n">
        <v>94.64</v>
      </c>
      <c r="O2291" t="n">
        <v>27.52941176470588</v>
      </c>
    </row>
    <row r="2292" hidden="1">
      <c r="A2292" s="11" t="n">
        <v>46072</v>
      </c>
      <c r="B2292" t="inlineStr">
        <is>
          <t>Jessica Faria da Silveira</t>
        </is>
      </c>
      <c r="C2292" t="inlineStr">
        <is>
          <t>Técnico II</t>
        </is>
      </c>
      <c r="D2292" t="n">
        <v>19</v>
      </c>
      <c r="E2292" t="n">
        <v>14</v>
      </c>
      <c r="F2292" t="n">
        <v>15.17</v>
      </c>
      <c r="G2292" t="n">
        <v>0</v>
      </c>
      <c r="H2292" t="n">
        <v>0</v>
      </c>
      <c r="I2292" s="3">
        <f>E2292+G2292+H2292</f>
        <v/>
      </c>
      <c r="J2292" s="3">
        <f>ROUND(MIN(IF(C2292="Técnico III",35,IF(C2292="Técnico II",28,IF(C2292="Técnico I",23,IF(C2292="JR",20,IF(C2292="Estágio",10,0))))),IF(C2292="Técnico III",SUMIFS($D:$D,$A:$A,$A2292,$B:$B,"&lt;&gt;Patrícia Karla de Sousa Araújo",$B:$B,"&lt;&gt;Lorena Dias de Araujo",$B:$B,"&lt;&gt;Lucas Luiz Romero")*(35/1083),IF(C2292="Técnico II",SUMIFS($D:$D,$A:$A,$A2292,$B:$B,"&lt;&gt;Patrícia Karla de Sousa Araújo",$B:$B,"&lt;&gt;Lorena Dias de Araujo",$B:$B,"&lt;&gt;Lucas Luiz Romero")*(28/1083),IF(C2292="Técnico I",SUMIFS($D:$D,$A:$A,$A2292,$B:$B,"&lt;&gt;Patrícia Karla de Sousa Araújo",$B:$B,"&lt;&gt;Lorena Dias de Araujo",$B:$B,"&lt;&gt;Lucas Luiz Romero")*(23/1083),IF(C2292="JR",SUMIFS($D:$D,$A:$A,$A2292,$B:$B,"&lt;&gt;Patrícia Karla de Sousa Araújo",$B:$B,"&lt;&gt;Lorena Dias de Araujo",$B:$B,"&lt;&gt;Lucas Luiz Romero")*(20/1083),IF(C2292="Estágio",SUMIFS($D:$D,$A:$A,$A2292,$B:$B,"&lt;&gt;Patrícia Karla de Sousa Araújo",$B:$B,"&lt;&gt;Lorena Dias de Araujo",$B:$B,"&lt;&gt;Lucas Luiz Romero")*(10/1083),0)))))),0)</f>
        <v/>
      </c>
      <c r="K2292" s="3">
        <f>I2292-J2292</f>
        <v/>
      </c>
      <c r="L2292" s="3">
        <f>IF(K2292&lt;-5,"CRÍTICO",IF(K2292&lt;0,"ATENÇÃO",IF(K2292&lt;=5,"BOM","EXCELENTE")))</f>
        <v/>
      </c>
      <c r="N2292" t="n">
        <v>99.06999999999999</v>
      </c>
      <c r="O2292" t="n">
        <v>26.3768115942029</v>
      </c>
    </row>
    <row r="2293" hidden="1">
      <c r="A2293" s="11" t="n">
        <v>46072</v>
      </c>
      <c r="B2293" t="inlineStr">
        <is>
          <t>Jéssica Fé Moura</t>
        </is>
      </c>
      <c r="C2293" t="inlineStr">
        <is>
          <t>Técnico III</t>
        </is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s="3" t="n">
        <v>0</v>
      </c>
      <c r="J2293" s="3" t="n">
        <v>0</v>
      </c>
      <c r="K2293" s="3" t="n">
        <v>0</v>
      </c>
      <c r="L2293" s="3">
        <f>IF(K2293&lt;-5,"CRÍTICO",IF(K2293&lt;0,"ATENÇÃO",IF(K2293&lt;=5,"BOM","EXCELENTE")))</f>
        <v/>
      </c>
      <c r="N2293" t="n">
        <v>100</v>
      </c>
      <c r="O2293" t="n">
        <v>0</v>
      </c>
    </row>
    <row r="2294" hidden="1">
      <c r="A2294" s="11" t="n">
        <v>46072</v>
      </c>
      <c r="B2294" t="inlineStr">
        <is>
          <t>Karina Gonçalves Martins</t>
        </is>
      </c>
      <c r="C2294" t="inlineStr">
        <is>
          <t>JR</t>
        </is>
      </c>
      <c r="D2294" t="n">
        <v>17</v>
      </c>
      <c r="E2294" t="n">
        <v>15</v>
      </c>
      <c r="F2294" t="n">
        <v>35.44</v>
      </c>
      <c r="G2294" t="n">
        <v>0</v>
      </c>
      <c r="H2294" t="n">
        <v>0</v>
      </c>
      <c r="I2294" s="3">
        <f>E2294+G2294+H2294</f>
        <v/>
      </c>
      <c r="J2294" s="3">
        <f>ROUND(MIN(IF(C2294="Técnico III",35,IF(C2294="Técnico II",28,IF(C2294="Técnico I",23,IF(C2294="JR",20,IF(C2294="Estágio",10,0))))),IF(C2294="Técnico III",SUMIFS($D:$D,$A:$A,$A2294,$B:$B,"&lt;&gt;Patrícia Karla de Sousa Araújo",$B:$B,"&lt;&gt;Lorena Dias de Araujo",$B:$B,"&lt;&gt;Lucas Luiz Romero")*(35/1083),IF(C2294="Técnico II",SUMIFS($D:$D,$A:$A,$A2294,$B:$B,"&lt;&gt;Patrícia Karla de Sousa Araújo",$B:$B,"&lt;&gt;Lorena Dias de Araujo",$B:$B,"&lt;&gt;Lucas Luiz Romero")*(28/1083),IF(C2294="Técnico I",SUMIFS($D:$D,$A:$A,$A2294,$B:$B,"&lt;&gt;Patrícia Karla de Sousa Araújo",$B:$B,"&lt;&gt;Lorena Dias de Araujo",$B:$B,"&lt;&gt;Lucas Luiz Romero")*(23/1083),IF(C2294="JR",SUMIFS($D:$D,$A:$A,$A2294,$B:$B,"&lt;&gt;Patrícia Karla de Sousa Araújo",$B:$B,"&lt;&gt;Lorena Dias de Araujo",$B:$B,"&lt;&gt;Lucas Luiz Romero")*(20/1083),IF(C2294="Estágio",SUMIFS($D:$D,$A:$A,$A2294,$B:$B,"&lt;&gt;Patrícia Karla de Sousa Araújo",$B:$B,"&lt;&gt;Lorena Dias de Araujo",$B:$B,"&lt;&gt;Lucas Luiz Romero")*(10/1083),0)))))),0)</f>
        <v/>
      </c>
      <c r="K2294" s="3">
        <f>I2294-J2294</f>
        <v/>
      </c>
      <c r="L2294" s="3">
        <f>IF(K2294&lt;-5,"CRÍTICO",IF(K2294&lt;0,"ATENÇÃO",IF(K2294&lt;=5,"BOM","EXCELENTE")))</f>
        <v/>
      </c>
      <c r="N2294" t="n">
        <v>98.48</v>
      </c>
      <c r="O2294" t="n">
        <v>27.85388127853881</v>
      </c>
    </row>
    <row r="2295" hidden="1">
      <c r="A2295" s="11" t="n">
        <v>46072</v>
      </c>
      <c r="B2295" t="inlineStr">
        <is>
          <t>Kerollen Cristielly de Jesus Siqueira</t>
        </is>
      </c>
      <c r="C2295" t="inlineStr">
        <is>
          <t>Técnico III</t>
        </is>
      </c>
      <c r="D2295" t="n">
        <v>18</v>
      </c>
      <c r="E2295" t="n">
        <v>17</v>
      </c>
      <c r="F2295" t="n">
        <v>27.03</v>
      </c>
      <c r="G2295" t="n">
        <v>0</v>
      </c>
      <c r="H2295" t="n">
        <v>0</v>
      </c>
      <c r="I2295" s="3">
        <f>E2295+G2295+H2295</f>
        <v/>
      </c>
      <c r="J2295" s="3">
        <f>ROUND(MIN(IF(C2295="Técnico III",35,IF(C2295="Técnico II",28,IF(C2295="Técnico I",23,IF(C2295="JR",20,IF(C2295="Estágio",10,0))))),IF(C2295="Técnico III",SUMIFS($D:$D,$A:$A,$A2295,$B:$B,"&lt;&gt;Patrícia Karla de Sousa Araújo",$B:$B,"&lt;&gt;Lorena Dias de Araujo",$B:$B,"&lt;&gt;Lucas Luiz Romero")*(35/1083),IF(C2295="Técnico II",SUMIFS($D:$D,$A:$A,$A2295,$B:$B,"&lt;&gt;Patrícia Karla de Sousa Araújo",$B:$B,"&lt;&gt;Lorena Dias de Araujo",$B:$B,"&lt;&gt;Lucas Luiz Romero")*(28/1083),IF(C2295="Técnico I",SUMIFS($D:$D,$A:$A,$A2295,$B:$B,"&lt;&gt;Patrícia Karla de Sousa Araújo",$B:$B,"&lt;&gt;Lorena Dias de Araujo",$B:$B,"&lt;&gt;Lucas Luiz Romero")*(23/1083),IF(C2295="JR",SUMIFS($D:$D,$A:$A,$A2295,$B:$B,"&lt;&gt;Patrícia Karla de Sousa Araújo",$B:$B,"&lt;&gt;Lorena Dias de Araujo",$B:$B,"&lt;&gt;Lucas Luiz Romero")*(20/1083),IF(C2295="Estágio",SUMIFS($D:$D,$A:$A,$A2295,$B:$B,"&lt;&gt;Patrícia Karla de Sousa Araújo",$B:$B,"&lt;&gt;Lorena Dias de Araujo",$B:$B,"&lt;&gt;Lucas Luiz Romero")*(10/1083),0)))))),0)</f>
        <v/>
      </c>
      <c r="K2295" s="3">
        <f>I2295-J2295</f>
        <v/>
      </c>
      <c r="L2295" s="3">
        <f>IF(K2295&lt;-5,"CRÍTICO",IF(K2295&lt;0,"ATENÇÃO",IF(K2295&lt;=5,"BOM","EXCELENTE")))</f>
        <v/>
      </c>
      <c r="N2295" t="n">
        <v>95.15000000000001</v>
      </c>
      <c r="O2295" t="n">
        <v>34.13173652694611</v>
      </c>
    </row>
    <row r="2296" hidden="1">
      <c r="A2296" s="11" t="n">
        <v>46072</v>
      </c>
      <c r="B2296" t="inlineStr">
        <is>
          <t>Leandro de Souza Silva</t>
        </is>
      </c>
      <c r="C2296" t="inlineStr">
        <is>
          <t>JR</t>
        </is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s="3" t="n">
        <v>0</v>
      </c>
      <c r="J2296" s="3" t="n">
        <v>0</v>
      </c>
      <c r="K2296" s="3" t="n">
        <v>0</v>
      </c>
      <c r="L2296" s="3">
        <f>IF(K2296&lt;-5,"CRÍTICO",IF(K2296&lt;0,"ATENÇÃO",IF(K2296&lt;=5,"BOM","EXCELENTE")))</f>
        <v/>
      </c>
      <c r="N2296" t="n">
        <v>0</v>
      </c>
      <c r="O2296" t="n">
        <v>0</v>
      </c>
    </row>
    <row r="2297" hidden="1">
      <c r="A2297" s="11" t="n">
        <v>46072</v>
      </c>
      <c r="B2297" t="inlineStr">
        <is>
          <t>Leandro Oliveira de Sousa</t>
        </is>
      </c>
      <c r="C2297" t="inlineStr">
        <is>
          <t>Técnico III</t>
        </is>
      </c>
      <c r="D2297" t="n">
        <v>28</v>
      </c>
      <c r="E2297" t="n">
        <v>27</v>
      </c>
      <c r="F2297" t="n">
        <v>23.23</v>
      </c>
      <c r="G2297" t="n">
        <v>0</v>
      </c>
      <c r="H2297" t="n">
        <v>0</v>
      </c>
      <c r="I2297" s="3">
        <f>E2297+G2297+H2297</f>
        <v/>
      </c>
      <c r="J2297" s="3">
        <f>ROUND(MIN(IF(C2297="Técnico III",35,IF(C2297="Técnico II",28,IF(C2297="Técnico I",23,IF(C2297="JR",20,IF(C2297="Estágio",10,0))))),IF(C2297="Técnico III",SUMIFS($D:$D,$A:$A,$A2297,$B:$B,"&lt;&gt;Patrícia Karla de Sousa Araújo",$B:$B,"&lt;&gt;Lorena Dias de Araujo",$B:$B,"&lt;&gt;Lucas Luiz Romero")*(35/1083),IF(C2297="Técnico II",SUMIFS($D:$D,$A:$A,$A2297,$B:$B,"&lt;&gt;Patrícia Karla de Sousa Araújo",$B:$B,"&lt;&gt;Lorena Dias de Araujo",$B:$B,"&lt;&gt;Lucas Luiz Romero")*(28/1083),IF(C2297="Técnico I",SUMIFS($D:$D,$A:$A,$A2297,$B:$B,"&lt;&gt;Patrícia Karla de Sousa Araújo",$B:$B,"&lt;&gt;Lorena Dias de Araujo",$B:$B,"&lt;&gt;Lucas Luiz Romero")*(23/1083),IF(C2297="JR",SUMIFS($D:$D,$A:$A,$A2297,$B:$B,"&lt;&gt;Patrícia Karla de Sousa Araújo",$B:$B,"&lt;&gt;Lorena Dias de Araujo",$B:$B,"&lt;&gt;Lucas Luiz Romero")*(20/1083),IF(C2297="Estágio",SUMIFS($D:$D,$A:$A,$A2297,$B:$B,"&lt;&gt;Patrícia Karla de Sousa Araújo",$B:$B,"&lt;&gt;Lorena Dias de Araujo",$B:$B,"&lt;&gt;Lucas Luiz Romero")*(10/1083),0)))))),0)</f>
        <v/>
      </c>
      <c r="K2297" s="3">
        <f>I2297-J2297</f>
        <v/>
      </c>
      <c r="L2297" s="3">
        <f>IF(K2297&lt;-5,"CRÍTICO",IF(K2297&lt;0,"ATENÇÃO",IF(K2297&lt;=5,"BOM","EXCELENTE")))</f>
        <v/>
      </c>
      <c r="N2297" t="n">
        <v>99.26000000000001</v>
      </c>
      <c r="O2297" t="n">
        <v>30.84832904884319</v>
      </c>
    </row>
    <row r="2298" hidden="1">
      <c r="A2298" s="11" t="n">
        <v>46072</v>
      </c>
      <c r="B2298" t="inlineStr">
        <is>
          <t>Lizandra Gomes Duarte</t>
        </is>
      </c>
      <c r="C2298" t="inlineStr">
        <is>
          <t>Técnico II</t>
        </is>
      </c>
      <c r="D2298" t="n">
        <v>26</v>
      </c>
      <c r="E2298" t="n">
        <v>25</v>
      </c>
      <c r="F2298" t="n">
        <v>28.45</v>
      </c>
      <c r="G2298" t="n">
        <v>0</v>
      </c>
      <c r="H2298" t="n">
        <v>0</v>
      </c>
      <c r="I2298" s="3">
        <f>E2298+G2298+H2298</f>
        <v/>
      </c>
      <c r="J2298" s="3">
        <f>ROUND(MIN(IF(C2298="Técnico III",35,IF(C2298="Técnico II",28,IF(C2298="Técnico I",23,IF(C2298="JR",20,IF(C2298="Estágio",10,0))))),IF(C2298="Técnico III",SUMIFS($D:$D,$A:$A,$A2298,$B:$B,"&lt;&gt;Patrícia Karla de Sousa Araújo",$B:$B,"&lt;&gt;Lorena Dias de Araujo",$B:$B,"&lt;&gt;Lucas Luiz Romero")*(35/1083),IF(C2298="Técnico II",SUMIFS($D:$D,$A:$A,$A2298,$B:$B,"&lt;&gt;Patrícia Karla de Sousa Araújo",$B:$B,"&lt;&gt;Lorena Dias de Araujo",$B:$B,"&lt;&gt;Lucas Luiz Romero")*(28/1083),IF(C2298="Técnico I",SUMIFS($D:$D,$A:$A,$A2298,$B:$B,"&lt;&gt;Patrícia Karla de Sousa Araújo",$B:$B,"&lt;&gt;Lorena Dias de Araujo",$B:$B,"&lt;&gt;Lucas Luiz Romero")*(23/1083),IF(C2298="JR",SUMIFS($D:$D,$A:$A,$A2298,$B:$B,"&lt;&gt;Patrícia Karla de Sousa Araújo",$B:$B,"&lt;&gt;Lorena Dias de Araujo",$B:$B,"&lt;&gt;Lucas Luiz Romero")*(20/1083),IF(C2298="Estágio",SUMIFS($D:$D,$A:$A,$A2298,$B:$B,"&lt;&gt;Patrícia Karla de Sousa Araújo",$B:$B,"&lt;&gt;Lorena Dias de Araujo",$B:$B,"&lt;&gt;Lucas Luiz Romero")*(10/1083),0)))))),0)</f>
        <v/>
      </c>
      <c r="K2298" s="3">
        <f>I2298-J2298</f>
        <v/>
      </c>
      <c r="L2298" s="3">
        <f>IF(K2298&lt;-5,"CRÍTICO",IF(K2298&lt;0,"ATENÇÃO",IF(K2298&lt;=5,"BOM","EXCELENTE")))</f>
        <v/>
      </c>
      <c r="N2298" t="n">
        <v>97.48</v>
      </c>
      <c r="O2298" t="n">
        <v>27.76470588235294</v>
      </c>
    </row>
    <row r="2299" hidden="1">
      <c r="A2299" s="11" t="n">
        <v>46072</v>
      </c>
      <c r="B2299" t="inlineStr">
        <is>
          <t>Lorena Dias de Araujo</t>
        </is>
      </c>
      <c r="C2299" t="inlineStr">
        <is>
          <t>Técnico II</t>
        </is>
      </c>
      <c r="D2299" t="n">
        <v>23</v>
      </c>
      <c r="E2299" t="n">
        <v>23</v>
      </c>
      <c r="F2299" t="n">
        <v>20.56</v>
      </c>
      <c r="G2299" t="n">
        <v>0</v>
      </c>
      <c r="H2299" t="n">
        <v>0</v>
      </c>
      <c r="I2299" s="3" t="n">
        <v>0</v>
      </c>
      <c r="J2299" s="3" t="n">
        <v>0</v>
      </c>
      <c r="K2299" s="3" t="n">
        <v>0</v>
      </c>
      <c r="L2299" s="3">
        <f>IF(K2299&lt;-5,"CRÍTICO",IF(K2299&lt;0,"ATENÇÃO",IF(K2299&lt;=5,"BOM","EXCELENTE")))</f>
        <v/>
      </c>
      <c r="N2299" t="n">
        <v>99.34</v>
      </c>
      <c r="O2299" t="n">
        <v>30.04291845493562</v>
      </c>
    </row>
    <row r="2300" hidden="1">
      <c r="A2300" s="11" t="n">
        <v>46072</v>
      </c>
      <c r="B2300" t="inlineStr">
        <is>
          <t>Lucas Luiz Romero</t>
        </is>
      </c>
      <c r="C2300" t="inlineStr">
        <is>
          <t>Técnico III</t>
        </is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s="3" t="n">
        <v>0</v>
      </c>
      <c r="J2300" s="3" t="n">
        <v>0</v>
      </c>
      <c r="K2300" s="3" t="n">
        <v>0</v>
      </c>
      <c r="L2300" s="3">
        <f>IF(K2300&lt;-5,"CRÍTICO",IF(K2300&lt;0,"ATENÇÃO",IF(K2300&lt;=5,"BOM","EXCELENTE")))</f>
        <v/>
      </c>
      <c r="N2300" t="n">
        <v>96.3</v>
      </c>
      <c r="O2300" t="n">
        <v>24.29378531073446</v>
      </c>
    </row>
    <row r="2301" hidden="1">
      <c r="A2301" s="11" t="n">
        <v>46072</v>
      </c>
      <c r="B2301" t="inlineStr">
        <is>
          <t>Luiz Fernando de Carvalho Junior</t>
        </is>
      </c>
      <c r="C2301" t="inlineStr">
        <is>
          <t>Técnico I</t>
        </is>
      </c>
      <c r="D2301" t="n">
        <v>17</v>
      </c>
      <c r="E2301" t="n">
        <v>15</v>
      </c>
      <c r="F2301" t="n">
        <v>25.21</v>
      </c>
      <c r="G2301" t="n">
        <v>0</v>
      </c>
      <c r="H2301" t="n">
        <v>0</v>
      </c>
      <c r="I2301" s="3">
        <f>E2301+G2301+H2301</f>
        <v/>
      </c>
      <c r="J2301" s="3">
        <f>ROUND(MIN(IF(C2301="Técnico III",35,IF(C2301="Técnico II",28,IF(C2301="Técnico I",23,IF(C2301="JR",20,IF(C2301="Estágio",10,0))))),IF(C2301="Técnico III",SUMIFS($D:$D,$A:$A,$A2301,$B:$B,"&lt;&gt;Patrícia Karla de Sousa Araújo",$B:$B,"&lt;&gt;Lorena Dias de Araujo",$B:$B,"&lt;&gt;Lucas Luiz Romero")*(35/1083),IF(C2301="Técnico II",SUMIFS($D:$D,$A:$A,$A2301,$B:$B,"&lt;&gt;Patrícia Karla de Sousa Araújo",$B:$B,"&lt;&gt;Lorena Dias de Araujo",$B:$B,"&lt;&gt;Lucas Luiz Romero")*(28/1083),IF(C2301="Técnico I",SUMIFS($D:$D,$A:$A,$A2301,$B:$B,"&lt;&gt;Patrícia Karla de Sousa Araújo",$B:$B,"&lt;&gt;Lorena Dias de Araujo",$B:$B,"&lt;&gt;Lucas Luiz Romero")*(23/1083),IF(C2301="JR",SUMIFS($D:$D,$A:$A,$A2301,$B:$B,"&lt;&gt;Patrícia Karla de Sousa Araújo",$B:$B,"&lt;&gt;Lorena Dias de Araujo",$B:$B,"&lt;&gt;Lucas Luiz Romero")*(20/1083),IF(C2301="Estágio",SUMIFS($D:$D,$A:$A,$A2301,$B:$B,"&lt;&gt;Patrícia Karla de Sousa Araújo",$B:$B,"&lt;&gt;Lorena Dias de Araujo",$B:$B,"&lt;&gt;Lucas Luiz Romero")*(10/1083),0)))))),0)</f>
        <v/>
      </c>
      <c r="K2301" s="3">
        <f>I2301-J2301</f>
        <v/>
      </c>
      <c r="L2301" s="3">
        <f>IF(K2301&lt;-5,"CRÍTICO",IF(K2301&lt;0,"ATENÇÃO",IF(K2301&lt;=5,"BOM","EXCELENTE")))</f>
        <v/>
      </c>
      <c r="N2301" t="n">
        <v>100</v>
      </c>
      <c r="O2301" t="n">
        <v>26.54320987654321</v>
      </c>
    </row>
    <row r="2302" hidden="1">
      <c r="A2302" s="11" t="n">
        <v>46072</v>
      </c>
      <c r="B2302" t="inlineStr">
        <is>
          <t>Maria Eduarda Sousa Costa</t>
        </is>
      </c>
      <c r="C2302" t="inlineStr">
        <is>
          <t>Estágio</t>
        </is>
      </c>
      <c r="D2302" t="n">
        <v>8</v>
      </c>
      <c r="E2302" t="n">
        <v>8</v>
      </c>
      <c r="F2302" t="n">
        <v>42.28</v>
      </c>
      <c r="G2302" t="n">
        <v>0</v>
      </c>
      <c r="H2302" t="n">
        <v>0</v>
      </c>
      <c r="I2302" s="3">
        <f>E2302+G2302+H2302</f>
        <v/>
      </c>
      <c r="J2302" s="3">
        <f>ROUND(MIN(IF(C2302="Técnico III",35,IF(C2302="Técnico II",28,IF(C2302="Técnico I",23,IF(C2302="JR",20,IF(C2302="Estágio",10,0))))),IF(C2302="Técnico III",SUMIFS($D:$D,$A:$A,$A2302,$B:$B,"&lt;&gt;Patrícia Karla de Sousa Araújo",$B:$B,"&lt;&gt;Lorena Dias de Araujo",$B:$B,"&lt;&gt;Lucas Luiz Romero")*(35/1083),IF(C2302="Técnico II",SUMIFS($D:$D,$A:$A,$A2302,$B:$B,"&lt;&gt;Patrícia Karla de Sousa Araújo",$B:$B,"&lt;&gt;Lorena Dias de Araujo",$B:$B,"&lt;&gt;Lucas Luiz Romero")*(28/1083),IF(C2302="Técnico I",SUMIFS($D:$D,$A:$A,$A2302,$B:$B,"&lt;&gt;Patrícia Karla de Sousa Araújo",$B:$B,"&lt;&gt;Lorena Dias de Araujo",$B:$B,"&lt;&gt;Lucas Luiz Romero")*(23/1083),IF(C2302="JR",SUMIFS($D:$D,$A:$A,$A2302,$B:$B,"&lt;&gt;Patrícia Karla de Sousa Araújo",$B:$B,"&lt;&gt;Lorena Dias de Araujo",$B:$B,"&lt;&gt;Lucas Luiz Romero")*(20/1083),IF(C2302="Estágio",SUMIFS($D:$D,$A:$A,$A2302,$B:$B,"&lt;&gt;Patrícia Karla de Sousa Araújo",$B:$B,"&lt;&gt;Lorena Dias de Araujo",$B:$B,"&lt;&gt;Lucas Luiz Romero")*(10/1083),0)))))),0)</f>
        <v/>
      </c>
      <c r="K2302" s="3">
        <f>I2302-J2302</f>
        <v/>
      </c>
      <c r="L2302" s="3">
        <f>IF(K2302&lt;-5,"CRÍTICO",IF(K2302&lt;0,"ATENÇÃO",IF(K2302&lt;=5,"BOM","EXCELENTE")))</f>
        <v/>
      </c>
      <c r="N2302" t="n">
        <v>100</v>
      </c>
      <c r="O2302" t="n">
        <v>35.48387096774194</v>
      </c>
    </row>
    <row r="2303" hidden="1">
      <c r="A2303" s="11" t="n">
        <v>46072</v>
      </c>
      <c r="B2303" t="inlineStr">
        <is>
          <t>Matheus Farias De Souza</t>
        </is>
      </c>
      <c r="C2303" t="inlineStr">
        <is>
          <t>Técnico III</t>
        </is>
      </c>
      <c r="D2303" t="n">
        <v>36</v>
      </c>
      <c r="E2303" t="n">
        <v>35</v>
      </c>
      <c r="F2303" t="n">
        <v>18.56</v>
      </c>
      <c r="G2303" t="n">
        <v>0</v>
      </c>
      <c r="H2303" t="n">
        <v>0</v>
      </c>
      <c r="I2303" s="3">
        <f>E2303+G2303+H2303</f>
        <v/>
      </c>
      <c r="J2303" s="3">
        <f>ROUND(MIN(IF(C2303="Técnico III",35,IF(C2303="Técnico II",28,IF(C2303="Técnico I",23,IF(C2303="JR",20,IF(C2303="Estágio",10,0))))),IF(C2303="Técnico III",SUMIFS($D:$D,$A:$A,$A2303,$B:$B,"&lt;&gt;Patrícia Karla de Sousa Araújo",$B:$B,"&lt;&gt;Lorena Dias de Araujo",$B:$B,"&lt;&gt;Lucas Luiz Romero")*(35/1083),IF(C2303="Técnico II",SUMIFS($D:$D,$A:$A,$A2303,$B:$B,"&lt;&gt;Patrícia Karla de Sousa Araújo",$B:$B,"&lt;&gt;Lorena Dias de Araujo",$B:$B,"&lt;&gt;Lucas Luiz Romero")*(28/1083),IF(C2303="Técnico I",SUMIFS($D:$D,$A:$A,$A2303,$B:$B,"&lt;&gt;Patrícia Karla de Sousa Araújo",$B:$B,"&lt;&gt;Lorena Dias de Araujo",$B:$B,"&lt;&gt;Lucas Luiz Romero")*(23/1083),IF(C2303="JR",SUMIFS($D:$D,$A:$A,$A2303,$B:$B,"&lt;&gt;Patrícia Karla de Sousa Araújo",$B:$B,"&lt;&gt;Lorena Dias de Araujo",$B:$B,"&lt;&gt;Lucas Luiz Romero")*(20/1083),IF(C2303="Estágio",SUMIFS($D:$D,$A:$A,$A2303,$B:$B,"&lt;&gt;Patrícia Karla de Sousa Araújo",$B:$B,"&lt;&gt;Lorena Dias de Araujo",$B:$B,"&lt;&gt;Lucas Luiz Romero")*(10/1083),0)))))),0)</f>
        <v/>
      </c>
      <c r="K2303" s="3">
        <f>I2303-J2303</f>
        <v/>
      </c>
      <c r="L2303" s="3">
        <f>IF(K2303&lt;-5,"CRÍTICO",IF(K2303&lt;0,"ATENÇÃO",IF(K2303&lt;=5,"BOM","EXCELENTE")))</f>
        <v/>
      </c>
      <c r="N2303" t="n">
        <v>99.27</v>
      </c>
      <c r="O2303" t="n">
        <v>31.16370808678501</v>
      </c>
    </row>
    <row r="2304" hidden="1">
      <c r="A2304" s="11" t="n">
        <v>46072</v>
      </c>
      <c r="B2304" t="inlineStr">
        <is>
          <t>Maysa Victoria Dias Moura</t>
        </is>
      </c>
      <c r="C2304" t="inlineStr">
        <is>
          <t>Técnico III</t>
        </is>
      </c>
      <c r="D2304" t="n">
        <v>29</v>
      </c>
      <c r="E2304" t="n">
        <v>28</v>
      </c>
      <c r="F2304" t="n">
        <v>27.14</v>
      </c>
      <c r="G2304" t="n">
        <v>0</v>
      </c>
      <c r="H2304" t="n">
        <v>0</v>
      </c>
      <c r="I2304" s="3">
        <f>E2304+G2304+H2304</f>
        <v/>
      </c>
      <c r="J2304" s="3">
        <f>ROUND(MIN(IF(C2304="Técnico III",35,IF(C2304="Técnico II",28,IF(C2304="Técnico I",23,IF(C2304="JR",20,IF(C2304="Estágio",10,0))))),IF(C2304="Técnico III",SUMIFS($D:$D,$A:$A,$A2304,$B:$B,"&lt;&gt;Patrícia Karla de Sousa Araújo",$B:$B,"&lt;&gt;Lorena Dias de Araujo",$B:$B,"&lt;&gt;Lucas Luiz Romero")*(35/1083),IF(C2304="Técnico II",SUMIFS($D:$D,$A:$A,$A2304,$B:$B,"&lt;&gt;Patrícia Karla de Sousa Araújo",$B:$B,"&lt;&gt;Lorena Dias de Araujo",$B:$B,"&lt;&gt;Lucas Luiz Romero")*(28/1083),IF(C2304="Técnico I",SUMIFS($D:$D,$A:$A,$A2304,$B:$B,"&lt;&gt;Patrícia Karla de Sousa Araújo",$B:$B,"&lt;&gt;Lorena Dias de Araujo",$B:$B,"&lt;&gt;Lucas Luiz Romero")*(23/1083),IF(C2304="JR",SUMIFS($D:$D,$A:$A,$A2304,$B:$B,"&lt;&gt;Patrícia Karla de Sousa Araújo",$B:$B,"&lt;&gt;Lorena Dias de Araujo",$B:$B,"&lt;&gt;Lucas Luiz Romero")*(20/1083),IF(C2304="Estágio",SUMIFS($D:$D,$A:$A,$A2304,$B:$B,"&lt;&gt;Patrícia Karla de Sousa Araújo",$B:$B,"&lt;&gt;Lorena Dias de Araujo",$B:$B,"&lt;&gt;Lucas Luiz Romero")*(10/1083),0)))))),0)</f>
        <v/>
      </c>
      <c r="K2304" s="3">
        <f>I2304-J2304</f>
        <v/>
      </c>
      <c r="L2304" s="3">
        <f>IF(K2304&lt;-5,"CRÍTICO",IF(K2304&lt;0,"ATENÇÃO",IF(K2304&lt;=5,"BOM","EXCELENTE")))</f>
        <v/>
      </c>
      <c r="N2304" t="n">
        <v>94.16</v>
      </c>
      <c r="O2304" t="n">
        <v>27.03862660944206</v>
      </c>
    </row>
    <row r="2305" hidden="1">
      <c r="A2305" s="11" t="n">
        <v>46072</v>
      </c>
      <c r="B2305" t="inlineStr">
        <is>
          <t>Michelle G Santos</t>
        </is>
      </c>
      <c r="C2305" t="inlineStr">
        <is>
          <t>Estágio</t>
        </is>
      </c>
      <c r="D2305" t="n">
        <v>8</v>
      </c>
      <c r="E2305" t="n">
        <v>7</v>
      </c>
      <c r="F2305" t="n">
        <v>63.32</v>
      </c>
      <c r="G2305" t="n">
        <v>0</v>
      </c>
      <c r="H2305" t="n">
        <v>0</v>
      </c>
      <c r="I2305" s="3">
        <f>E2305+G2305+H2305</f>
        <v/>
      </c>
      <c r="J2305" s="3">
        <f>ROUND(MIN(IF(C2305="Técnico III",35,IF(C2305="Técnico II",28,IF(C2305="Técnico I",23,IF(C2305="JR",20,IF(C2305="Estágio",10,0))))),IF(C2305="Técnico III",SUMIFS($D:$D,$A:$A,$A2305,$B:$B,"&lt;&gt;Patrícia Karla de Sousa Araújo",$B:$B,"&lt;&gt;Lorena Dias de Araujo",$B:$B,"&lt;&gt;Lucas Luiz Romero")*(35/1083),IF(C2305="Técnico II",SUMIFS($D:$D,$A:$A,$A2305,$B:$B,"&lt;&gt;Patrícia Karla de Sousa Araújo",$B:$B,"&lt;&gt;Lorena Dias de Araujo",$B:$B,"&lt;&gt;Lucas Luiz Romero")*(28/1083),IF(C2305="Técnico I",SUMIFS($D:$D,$A:$A,$A2305,$B:$B,"&lt;&gt;Patrícia Karla de Sousa Araújo",$B:$B,"&lt;&gt;Lorena Dias de Araujo",$B:$B,"&lt;&gt;Lucas Luiz Romero")*(23/1083),IF(C2305="JR",SUMIFS($D:$D,$A:$A,$A2305,$B:$B,"&lt;&gt;Patrícia Karla de Sousa Araújo",$B:$B,"&lt;&gt;Lorena Dias de Araujo",$B:$B,"&lt;&gt;Lucas Luiz Romero")*(20/1083),IF(C2305="Estágio",SUMIFS($D:$D,$A:$A,$A2305,$B:$B,"&lt;&gt;Patrícia Karla de Sousa Araújo",$B:$B,"&lt;&gt;Lorena Dias de Araujo",$B:$B,"&lt;&gt;Lucas Luiz Romero")*(10/1083),0)))))),0)</f>
        <v/>
      </c>
      <c r="K2305" s="3">
        <f>I2305-J2305</f>
        <v/>
      </c>
      <c r="L2305" s="3">
        <f>IF(K2305&lt;-5,"CRÍTICO",IF(K2305&lt;0,"ATENÇÃO",IF(K2305&lt;=5,"BOM","EXCELENTE")))</f>
        <v/>
      </c>
      <c r="N2305" t="n">
        <v>93.75</v>
      </c>
      <c r="O2305" t="n">
        <v>19.31818181818182</v>
      </c>
    </row>
    <row r="2306" hidden="1">
      <c r="A2306" s="11" t="n">
        <v>46072</v>
      </c>
      <c r="B2306" t="inlineStr">
        <is>
          <t>Milena Sales</t>
        </is>
      </c>
      <c r="C2306" t="inlineStr">
        <is>
          <t>JR</t>
        </is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s="3" t="n">
        <v>0</v>
      </c>
      <c r="J2306" s="3" t="n">
        <v>0</v>
      </c>
      <c r="K2306" s="3" t="n">
        <v>0</v>
      </c>
      <c r="L2306" s="3">
        <f>IF(K2306&lt;-5,"CRÍTICO",IF(K2306&lt;0,"ATENÇÃO",IF(K2306&lt;=5,"BOM","EXCELENTE")))</f>
        <v/>
      </c>
      <c r="N2306" t="n">
        <v>0</v>
      </c>
      <c r="O2306" t="n">
        <v>0</v>
      </c>
    </row>
    <row r="2307" hidden="1">
      <c r="A2307" s="11" t="n">
        <v>46072</v>
      </c>
      <c r="B2307" t="inlineStr">
        <is>
          <t>Patrícia Karla de Sousa Araújo</t>
        </is>
      </c>
      <c r="C2307" t="inlineStr">
        <is>
          <t>Técnico II</t>
        </is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s="3" t="n">
        <v>0</v>
      </c>
      <c r="J2307" s="3" t="n">
        <v>0</v>
      </c>
      <c r="K2307" s="3" t="n">
        <v>0</v>
      </c>
      <c r="L2307" s="3">
        <f>IF(K2307&lt;-5,"CRÍTICO",IF(K2307&lt;0,"ATENÇÃO",IF(K2307&lt;=5,"BOM","EXCELENTE")))</f>
        <v/>
      </c>
      <c r="N2307" t="n">
        <v>97.92</v>
      </c>
      <c r="O2307" t="n">
        <v>32.87671232876712</v>
      </c>
    </row>
    <row r="2308" hidden="1">
      <c r="A2308" s="11" t="n">
        <v>46072</v>
      </c>
      <c r="B2308" t="inlineStr">
        <is>
          <t>Paulo Ricardo Santos</t>
        </is>
      </c>
      <c r="C2308" t="inlineStr">
        <is>
          <t>JR</t>
        </is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s="3" t="n">
        <v>0</v>
      </c>
      <c r="J2308" s="3" t="n">
        <v>0</v>
      </c>
      <c r="K2308" s="3" t="n">
        <v>0</v>
      </c>
      <c r="L2308" s="3">
        <f>IF(K2308&lt;-5,"CRÍTICO",IF(K2308&lt;0,"ATENÇÃO",IF(K2308&lt;=5,"BOM","EXCELENTE")))</f>
        <v/>
      </c>
      <c r="N2308" t="n">
        <v>0</v>
      </c>
      <c r="O2308" t="n">
        <v>0</v>
      </c>
    </row>
    <row r="2309" hidden="1">
      <c r="A2309" s="11" t="n">
        <v>46072</v>
      </c>
      <c r="B2309" t="inlineStr">
        <is>
          <t>Pedro Luiz Mota Sousa</t>
        </is>
      </c>
      <c r="C2309" t="inlineStr">
        <is>
          <t>JR</t>
        </is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s="3" t="n">
        <v>0</v>
      </c>
      <c r="J2309" s="3" t="n">
        <v>0</v>
      </c>
      <c r="K2309" s="3" t="n">
        <v>0</v>
      </c>
      <c r="L2309" s="3">
        <f>IF(K2309&lt;-5,"CRÍTICO",IF(K2309&lt;0,"ATENÇÃO",IF(K2309&lt;=5,"BOM","EXCELENTE")))</f>
        <v/>
      </c>
      <c r="N2309" t="n">
        <v>0</v>
      </c>
      <c r="O2309" t="n">
        <v>0</v>
      </c>
    </row>
    <row r="2310" hidden="1">
      <c r="A2310" s="11" t="n">
        <v>46072</v>
      </c>
      <c r="B2310" t="inlineStr">
        <is>
          <t>Quirino Diogo Leite Torres</t>
        </is>
      </c>
      <c r="C2310" t="inlineStr">
        <is>
          <t>Estágio</t>
        </is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s="3" t="n">
        <v>0</v>
      </c>
      <c r="J2310" s="3" t="n">
        <v>0</v>
      </c>
      <c r="K2310" s="3" t="n">
        <v>0</v>
      </c>
      <c r="L2310" s="3">
        <f>IF(K2310&lt;-5,"CRÍTICO",IF(K2310&lt;0,"ATENÇÃO",IF(K2310&lt;=5,"BOM","EXCELENTE")))</f>
        <v/>
      </c>
      <c r="N2310" t="n">
        <v>0</v>
      </c>
      <c r="O2310" t="n">
        <v>0</v>
      </c>
    </row>
    <row r="2311" hidden="1">
      <c r="A2311" s="11" t="n">
        <v>46072</v>
      </c>
      <c r="B2311" t="inlineStr">
        <is>
          <t>Raane Batista Matos</t>
        </is>
      </c>
      <c r="C2311" t="inlineStr">
        <is>
          <t>Técnico I</t>
        </is>
      </c>
      <c r="D2311" t="n">
        <v>21</v>
      </c>
      <c r="E2311" t="n">
        <v>21</v>
      </c>
      <c r="F2311" t="n">
        <v>28.24</v>
      </c>
      <c r="G2311" t="n">
        <v>0</v>
      </c>
      <c r="H2311" t="n">
        <v>0</v>
      </c>
      <c r="I2311" s="3">
        <f>E2311+G2311+H2311</f>
        <v/>
      </c>
      <c r="J2311" s="3">
        <f>ROUND(MIN(IF(C2311="Técnico III",35,IF(C2311="Técnico II",28,IF(C2311="Técnico I",23,IF(C2311="JR",20,IF(C2311="Estágio",10,0))))),IF(C2311="Técnico III",SUMIFS($D:$D,$A:$A,$A2311,$B:$B,"&lt;&gt;Patrícia Karla de Sousa Araújo",$B:$B,"&lt;&gt;Lorena Dias de Araujo",$B:$B,"&lt;&gt;Lucas Luiz Romero")*(35/1083),IF(C2311="Técnico II",SUMIFS($D:$D,$A:$A,$A2311,$B:$B,"&lt;&gt;Patrícia Karla de Sousa Araújo",$B:$B,"&lt;&gt;Lorena Dias de Araujo",$B:$B,"&lt;&gt;Lucas Luiz Romero")*(28/1083),IF(C2311="Técnico I",SUMIFS($D:$D,$A:$A,$A2311,$B:$B,"&lt;&gt;Patrícia Karla de Sousa Araújo",$B:$B,"&lt;&gt;Lorena Dias de Araujo",$B:$B,"&lt;&gt;Lucas Luiz Romero")*(23/1083),IF(C2311="JR",SUMIFS($D:$D,$A:$A,$A2311,$B:$B,"&lt;&gt;Patrícia Karla de Sousa Araújo",$B:$B,"&lt;&gt;Lorena Dias de Araujo",$B:$B,"&lt;&gt;Lucas Luiz Romero")*(20/1083),IF(C2311="Estágio",SUMIFS($D:$D,$A:$A,$A2311,$B:$B,"&lt;&gt;Patrícia Karla de Sousa Araújo",$B:$B,"&lt;&gt;Lorena Dias de Araujo",$B:$B,"&lt;&gt;Lucas Luiz Romero")*(10/1083),0)))))),0)</f>
        <v/>
      </c>
      <c r="K2311" s="3">
        <f>I2311-J2311</f>
        <v/>
      </c>
      <c r="L2311" s="3">
        <f>IF(K2311&lt;-5,"CRÍTICO",IF(K2311&lt;0,"ATENÇÃO",IF(K2311&lt;=5,"BOM","EXCELENTE")))</f>
        <v/>
      </c>
      <c r="N2311" t="n">
        <v>98.51000000000001</v>
      </c>
      <c r="O2311" t="n">
        <v>29.71014492753623</v>
      </c>
    </row>
    <row r="2312" hidden="1">
      <c r="A2312" s="11" t="n">
        <v>46072</v>
      </c>
      <c r="B2312" t="inlineStr">
        <is>
          <t>Rafael Gomes de Morais</t>
        </is>
      </c>
      <c r="C2312" t="inlineStr">
        <is>
          <t>Técnico III</t>
        </is>
      </c>
      <c r="D2312" t="n">
        <v>29</v>
      </c>
      <c r="E2312" t="n">
        <v>26</v>
      </c>
      <c r="F2312" t="n">
        <v>20.16</v>
      </c>
      <c r="G2312" t="n">
        <v>0</v>
      </c>
      <c r="H2312" t="n">
        <v>0</v>
      </c>
      <c r="I2312" s="3">
        <f>E2312+G2312+H2312</f>
        <v/>
      </c>
      <c r="J2312" s="3">
        <f>ROUND(MIN(IF(C2312="Técnico III",35,IF(C2312="Técnico II",28,IF(C2312="Técnico I",23,IF(C2312="JR",20,IF(C2312="Estágio",10,0))))),IF(C2312="Técnico III",SUMIFS($D:$D,$A:$A,$A2312,$B:$B,"&lt;&gt;Patrícia Karla de Sousa Araújo",$B:$B,"&lt;&gt;Lorena Dias de Araujo",$B:$B,"&lt;&gt;Lucas Luiz Romero")*(35/1083),IF(C2312="Técnico II",SUMIFS($D:$D,$A:$A,$A2312,$B:$B,"&lt;&gt;Patrícia Karla de Sousa Araújo",$B:$B,"&lt;&gt;Lorena Dias de Araujo",$B:$B,"&lt;&gt;Lucas Luiz Romero")*(28/1083),IF(C2312="Técnico I",SUMIFS($D:$D,$A:$A,$A2312,$B:$B,"&lt;&gt;Patrícia Karla de Sousa Araújo",$B:$B,"&lt;&gt;Lorena Dias de Araujo",$B:$B,"&lt;&gt;Lucas Luiz Romero")*(23/1083),IF(C2312="JR",SUMIFS($D:$D,$A:$A,$A2312,$B:$B,"&lt;&gt;Patrícia Karla de Sousa Araújo",$B:$B,"&lt;&gt;Lorena Dias de Araujo",$B:$B,"&lt;&gt;Lucas Luiz Romero")*(20/1083),IF(C2312="Estágio",SUMIFS($D:$D,$A:$A,$A2312,$B:$B,"&lt;&gt;Patrícia Karla de Sousa Araújo",$B:$B,"&lt;&gt;Lorena Dias de Araujo",$B:$B,"&lt;&gt;Lucas Luiz Romero")*(10/1083),0)))))),0)</f>
        <v/>
      </c>
      <c r="K2312" s="3">
        <f>I2312-J2312</f>
        <v/>
      </c>
      <c r="L2312" s="3">
        <f>IF(K2312&lt;-5,"CRÍTICO",IF(K2312&lt;0,"ATENÇÃO",IF(K2312&lt;=5,"BOM","EXCELENTE")))</f>
        <v/>
      </c>
      <c r="N2312" t="n">
        <v>98.81</v>
      </c>
      <c r="O2312" t="n">
        <v>30.71297989031079</v>
      </c>
    </row>
    <row r="2313" hidden="1">
      <c r="A2313" s="11" t="n">
        <v>46072</v>
      </c>
      <c r="B2313" t="inlineStr">
        <is>
          <t>Sara Maria Monteiro Lopes</t>
        </is>
      </c>
      <c r="C2313" t="inlineStr">
        <is>
          <t>Técnico I</t>
        </is>
      </c>
      <c r="D2313" t="n">
        <v>12</v>
      </c>
      <c r="E2313" t="n">
        <v>12</v>
      </c>
      <c r="F2313" t="n">
        <v>48.38</v>
      </c>
      <c r="G2313" t="n">
        <v>0</v>
      </c>
      <c r="H2313" t="n">
        <v>0</v>
      </c>
      <c r="I2313" s="3">
        <f>E2313+G2313+H2313</f>
        <v/>
      </c>
      <c r="J2313" s="3">
        <f>ROUND(MIN(IF(C2313="Técnico III",35,IF(C2313="Técnico II",28,IF(C2313="Técnico I",23,IF(C2313="JR",20,IF(C2313="Estágio",10,0))))),IF(C2313="Técnico III",SUMIFS($D:$D,$A:$A,$A2313,$B:$B,"&lt;&gt;Patrícia Karla de Sousa Araújo",$B:$B,"&lt;&gt;Lorena Dias de Araujo",$B:$B,"&lt;&gt;Lucas Luiz Romero")*(35/1083),IF(C2313="Técnico II",SUMIFS($D:$D,$A:$A,$A2313,$B:$B,"&lt;&gt;Patrícia Karla de Sousa Araújo",$B:$B,"&lt;&gt;Lorena Dias de Araujo",$B:$B,"&lt;&gt;Lucas Luiz Romero")*(28/1083),IF(C2313="Técnico I",SUMIFS($D:$D,$A:$A,$A2313,$B:$B,"&lt;&gt;Patrícia Karla de Sousa Araújo",$B:$B,"&lt;&gt;Lorena Dias de Araujo",$B:$B,"&lt;&gt;Lucas Luiz Romero")*(23/1083),IF(C2313="JR",SUMIFS($D:$D,$A:$A,$A2313,$B:$B,"&lt;&gt;Patrícia Karla de Sousa Araújo",$B:$B,"&lt;&gt;Lorena Dias de Araujo",$B:$B,"&lt;&gt;Lucas Luiz Romero")*(20/1083),IF(C2313="Estágio",SUMIFS($D:$D,$A:$A,$A2313,$B:$B,"&lt;&gt;Patrícia Karla de Sousa Araújo",$B:$B,"&lt;&gt;Lorena Dias de Araujo",$B:$B,"&lt;&gt;Lucas Luiz Romero")*(10/1083),0)))))),0)</f>
        <v/>
      </c>
      <c r="K2313" s="3">
        <f>I2313-J2313</f>
        <v/>
      </c>
      <c r="L2313" s="3">
        <f>IF(K2313&lt;-5,"CRÍTICO",IF(K2313&lt;0,"ATENÇÃO",IF(K2313&lt;=5,"BOM","EXCELENTE")))</f>
        <v/>
      </c>
      <c r="N2313" t="n">
        <v>98.48</v>
      </c>
      <c r="O2313" t="n">
        <v>29.35323383084577</v>
      </c>
    </row>
    <row r="2314" hidden="1">
      <c r="A2314" s="11" t="n">
        <v>46072</v>
      </c>
      <c r="B2314" t="inlineStr">
        <is>
          <t>Sarah Steffanie de Lima Borges</t>
        </is>
      </c>
      <c r="C2314" t="inlineStr">
        <is>
          <t>Técnico III</t>
        </is>
      </c>
      <c r="D2314" t="n">
        <v>36</v>
      </c>
      <c r="E2314" t="n">
        <v>33</v>
      </c>
      <c r="F2314" t="n">
        <v>17.29</v>
      </c>
      <c r="G2314" t="n">
        <v>0</v>
      </c>
      <c r="H2314" t="n">
        <v>0</v>
      </c>
      <c r="I2314" s="3">
        <f>E2314+G2314+H2314</f>
        <v/>
      </c>
      <c r="J2314" s="3">
        <f>ROUND(MIN(IF(C2314="Técnico III",35,IF(C2314="Técnico II",28,IF(C2314="Técnico I",23,IF(C2314="JR",20,IF(C2314="Estágio",10,0))))),IF(C2314="Técnico III",SUMIFS($D:$D,$A:$A,$A2314,$B:$B,"&lt;&gt;Patrícia Karla de Sousa Araújo",$B:$B,"&lt;&gt;Lorena Dias de Araujo",$B:$B,"&lt;&gt;Lucas Luiz Romero")*(35/1083),IF(C2314="Técnico II",SUMIFS($D:$D,$A:$A,$A2314,$B:$B,"&lt;&gt;Patrícia Karla de Sousa Araújo",$B:$B,"&lt;&gt;Lorena Dias de Araujo",$B:$B,"&lt;&gt;Lucas Luiz Romero")*(28/1083),IF(C2314="Técnico I",SUMIFS($D:$D,$A:$A,$A2314,$B:$B,"&lt;&gt;Patrícia Karla de Sousa Araújo",$B:$B,"&lt;&gt;Lorena Dias de Araujo",$B:$B,"&lt;&gt;Lucas Luiz Romero")*(23/1083),IF(C2314="JR",SUMIFS($D:$D,$A:$A,$A2314,$B:$B,"&lt;&gt;Patrícia Karla de Sousa Araújo",$B:$B,"&lt;&gt;Lorena Dias de Araujo",$B:$B,"&lt;&gt;Lucas Luiz Romero")*(20/1083),IF(C2314="Estágio",SUMIFS($D:$D,$A:$A,$A2314,$B:$B,"&lt;&gt;Patrícia Karla de Sousa Araújo",$B:$B,"&lt;&gt;Lorena Dias de Araujo",$B:$B,"&lt;&gt;Lucas Luiz Romero")*(10/1083),0)))))),0)</f>
        <v/>
      </c>
      <c r="K2314" s="3">
        <f>I2314-J2314</f>
        <v/>
      </c>
      <c r="L2314" s="3">
        <f>IF(K2314&lt;-5,"CRÍTICO",IF(K2314&lt;0,"ATENÇÃO",IF(K2314&lt;=5,"BOM","EXCELENTE")))</f>
        <v/>
      </c>
      <c r="N2314" t="n">
        <v>98.56</v>
      </c>
      <c r="O2314" t="n">
        <v>29.37365010799136</v>
      </c>
    </row>
    <row r="2315" hidden="1">
      <c r="A2315" s="11" t="n">
        <v>46073</v>
      </c>
      <c r="B2315" t="inlineStr">
        <is>
          <t>Alisson de Freitas Silva</t>
        </is>
      </c>
      <c r="C2315" t="inlineStr">
        <is>
          <t>Técnico II</t>
        </is>
      </c>
      <c r="D2315" t="n">
        <v>20</v>
      </c>
      <c r="E2315" t="n">
        <v>18</v>
      </c>
      <c r="F2315" t="n">
        <v>33.27</v>
      </c>
      <c r="G2315" t="n">
        <v>0</v>
      </c>
      <c r="H2315" t="n">
        <v>0</v>
      </c>
      <c r="I2315" s="3">
        <f>E2315+G2315+H2315</f>
        <v/>
      </c>
      <c r="J2315" s="3">
        <f>ROUND(MIN(IF(C2315="Técnico III",35,IF(C2315="Técnico II",28,IF(C2315="Técnico I",23,IF(C2315="JR",20,IF(C2315="Estágio",10,0))))),IF(C2315="Técnico III",SUMIFS($D:$D,$A:$A,$A2315,$B:$B,"&lt;&gt;Patrícia Karla de Sousa Araújo",$B:$B,"&lt;&gt;Lorena Dias de Araujo",$B:$B,"&lt;&gt;Lucas Luiz Romero")*(35/1083),IF(C2315="Técnico II",SUMIFS($D:$D,$A:$A,$A2315,$B:$B,"&lt;&gt;Patrícia Karla de Sousa Araújo",$B:$B,"&lt;&gt;Lorena Dias de Araujo",$B:$B,"&lt;&gt;Lucas Luiz Romero")*(28/1083),IF(C2315="Técnico I",SUMIFS($D:$D,$A:$A,$A2315,$B:$B,"&lt;&gt;Patrícia Karla de Sousa Araújo",$B:$B,"&lt;&gt;Lorena Dias de Araujo",$B:$B,"&lt;&gt;Lucas Luiz Romero")*(23/1083),IF(C2315="JR",SUMIFS($D:$D,$A:$A,$A2315,$B:$B,"&lt;&gt;Patrícia Karla de Sousa Araújo",$B:$B,"&lt;&gt;Lorena Dias de Araujo",$B:$B,"&lt;&gt;Lucas Luiz Romero")*(20/1083),IF(C2315="Estágio",SUMIFS($D:$D,$A:$A,$A2315,$B:$B,"&lt;&gt;Patrícia Karla de Sousa Araújo",$B:$B,"&lt;&gt;Lorena Dias de Araujo",$B:$B,"&lt;&gt;Lucas Luiz Romero")*(10/1083),0)))))),0)</f>
        <v/>
      </c>
      <c r="K2315" s="3">
        <f>I2315-J2315</f>
        <v/>
      </c>
      <c r="L2315" s="3">
        <f>IF(K2315&lt;-5,"CRÍTICO",IF(K2315&lt;0,"ATENÇÃO",IF(K2315&lt;=5,"BOM","EXCELENTE")))</f>
        <v/>
      </c>
      <c r="N2315" t="n">
        <v>98.31999999999999</v>
      </c>
      <c r="O2315" t="n">
        <v>30.3030303030303</v>
      </c>
    </row>
    <row r="2316" hidden="1">
      <c r="A2316" s="11" t="n">
        <v>46073</v>
      </c>
      <c r="B2316" t="inlineStr">
        <is>
          <t>Amanda Moura Ferreira</t>
        </is>
      </c>
      <c r="C2316" t="inlineStr">
        <is>
          <t>Técnico III</t>
        </is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s="3" t="n">
        <v>0</v>
      </c>
      <c r="J2316" s="3" t="n">
        <v>0</v>
      </c>
      <c r="K2316" s="3" t="n">
        <v>0</v>
      </c>
      <c r="L2316" s="3">
        <f>IF(K2316&lt;-5,"CRÍTICO",IF(K2316&lt;0,"ATENÇÃO",IF(K2316&lt;=5,"BOM","EXCELENTE")))</f>
        <v/>
      </c>
      <c r="N2316" t="n">
        <v>98.68000000000001</v>
      </c>
      <c r="O2316" t="n">
        <v>26.21951219512195</v>
      </c>
    </row>
    <row r="2317" hidden="1">
      <c r="A2317" s="11" t="n">
        <v>46073</v>
      </c>
      <c r="B2317" t="inlineStr">
        <is>
          <t>Ana Karollyne Souza Faria</t>
        </is>
      </c>
      <c r="C2317" t="inlineStr">
        <is>
          <t>Técnico I</t>
        </is>
      </c>
      <c r="D2317" t="n">
        <v>20</v>
      </c>
      <c r="E2317" t="n">
        <v>19</v>
      </c>
      <c r="F2317" t="n">
        <v>28.28</v>
      </c>
      <c r="G2317" t="n">
        <v>0</v>
      </c>
      <c r="H2317" t="n">
        <v>0</v>
      </c>
      <c r="I2317" s="3">
        <f>E2317+G2317+H2317</f>
        <v/>
      </c>
      <c r="J2317" s="3">
        <f>ROUND(MIN(IF(C2317="Técnico III",35,IF(C2317="Técnico II",28,IF(C2317="Técnico I",23,IF(C2317="JR",20,IF(C2317="Estágio",10,0))))),IF(C2317="Técnico III",SUMIFS($D:$D,$A:$A,$A2317,$B:$B,"&lt;&gt;Patrícia Karla de Sousa Araújo",$B:$B,"&lt;&gt;Lorena Dias de Araujo",$B:$B,"&lt;&gt;Lucas Luiz Romero")*(35/1083),IF(C2317="Técnico II",SUMIFS($D:$D,$A:$A,$A2317,$B:$B,"&lt;&gt;Patrícia Karla de Sousa Araújo",$B:$B,"&lt;&gt;Lorena Dias de Araujo",$B:$B,"&lt;&gt;Lucas Luiz Romero")*(28/1083),IF(C2317="Técnico I",SUMIFS($D:$D,$A:$A,$A2317,$B:$B,"&lt;&gt;Patrícia Karla de Sousa Araújo",$B:$B,"&lt;&gt;Lorena Dias de Araujo",$B:$B,"&lt;&gt;Lucas Luiz Romero")*(23/1083),IF(C2317="JR",SUMIFS($D:$D,$A:$A,$A2317,$B:$B,"&lt;&gt;Patrícia Karla de Sousa Araújo",$B:$B,"&lt;&gt;Lorena Dias de Araujo",$B:$B,"&lt;&gt;Lucas Luiz Romero")*(20/1083),IF(C2317="Estágio",SUMIFS($D:$D,$A:$A,$A2317,$B:$B,"&lt;&gt;Patrícia Karla de Sousa Araújo",$B:$B,"&lt;&gt;Lorena Dias de Araujo",$B:$B,"&lt;&gt;Lucas Luiz Romero")*(10/1083),0)))))),0)</f>
        <v/>
      </c>
      <c r="K2317" s="3">
        <f>I2317-J2317</f>
        <v/>
      </c>
      <c r="L2317" s="3">
        <f>IF(K2317&lt;-5,"CRÍTICO",IF(K2317&lt;0,"ATENÇÃO",IF(K2317&lt;=5,"BOM","EXCELENTE")))</f>
        <v/>
      </c>
      <c r="N2317" t="n">
        <v>100</v>
      </c>
      <c r="O2317" t="n">
        <v>31.74224343675418</v>
      </c>
    </row>
    <row r="2318" hidden="1">
      <c r="A2318" s="11" t="n">
        <v>46073</v>
      </c>
      <c r="B2318" t="inlineStr">
        <is>
          <t>Ana Paula Da Luz Silva Aleixo</t>
        </is>
      </c>
      <c r="C2318" t="inlineStr">
        <is>
          <t>Técnico III</t>
        </is>
      </c>
      <c r="D2318" t="n">
        <v>33</v>
      </c>
      <c r="E2318" t="n">
        <v>31</v>
      </c>
      <c r="F2318" t="n">
        <v>25.14</v>
      </c>
      <c r="G2318" t="n">
        <v>0</v>
      </c>
      <c r="H2318" t="n">
        <v>0</v>
      </c>
      <c r="I2318" s="3">
        <f>E2318+G2318+H2318</f>
        <v/>
      </c>
      <c r="J2318" s="3">
        <f>ROUND(MIN(IF(C2318="Técnico III",35,IF(C2318="Técnico II",28,IF(C2318="Técnico I",23,IF(C2318="JR",20,IF(C2318="Estágio",10,0))))),IF(C2318="Técnico III",SUMIFS($D:$D,$A:$A,$A2318,$B:$B,"&lt;&gt;Patrícia Karla de Sousa Araújo",$B:$B,"&lt;&gt;Lorena Dias de Araujo",$B:$B,"&lt;&gt;Lucas Luiz Romero")*(35/1083),IF(C2318="Técnico II",SUMIFS($D:$D,$A:$A,$A2318,$B:$B,"&lt;&gt;Patrícia Karla de Sousa Araújo",$B:$B,"&lt;&gt;Lorena Dias de Araujo",$B:$B,"&lt;&gt;Lucas Luiz Romero")*(28/1083),IF(C2318="Técnico I",SUMIFS($D:$D,$A:$A,$A2318,$B:$B,"&lt;&gt;Patrícia Karla de Sousa Araújo",$B:$B,"&lt;&gt;Lorena Dias de Araujo",$B:$B,"&lt;&gt;Lucas Luiz Romero")*(23/1083),IF(C2318="JR",SUMIFS($D:$D,$A:$A,$A2318,$B:$B,"&lt;&gt;Patrícia Karla de Sousa Araújo",$B:$B,"&lt;&gt;Lorena Dias de Araujo",$B:$B,"&lt;&gt;Lucas Luiz Romero")*(20/1083),IF(C2318="Estágio",SUMIFS($D:$D,$A:$A,$A2318,$B:$B,"&lt;&gt;Patrícia Karla de Sousa Araújo",$B:$B,"&lt;&gt;Lorena Dias de Araujo",$B:$B,"&lt;&gt;Lucas Luiz Romero")*(10/1083),0)))))),0)</f>
        <v/>
      </c>
      <c r="K2318" s="3">
        <f>I2318-J2318</f>
        <v/>
      </c>
      <c r="L2318" s="3">
        <f>IF(K2318&lt;-5,"CRÍTICO",IF(K2318&lt;0,"ATENÇÃO",IF(K2318&lt;=5,"BOM","EXCELENTE")))</f>
        <v/>
      </c>
      <c r="N2318" t="n">
        <v>98.25</v>
      </c>
      <c r="O2318" t="n">
        <v>25.83518930957684</v>
      </c>
    </row>
    <row r="2319" hidden="1">
      <c r="A2319" s="11" t="n">
        <v>46073</v>
      </c>
      <c r="B2319" t="inlineStr">
        <is>
          <t>Anna Luiza Rezende Tavares</t>
        </is>
      </c>
      <c r="C2319" t="inlineStr">
        <is>
          <t>Estágio</t>
        </is>
      </c>
      <c r="D2319" t="n">
        <v>11</v>
      </c>
      <c r="E2319" t="n">
        <v>11</v>
      </c>
      <c r="F2319" t="n">
        <v>28.53</v>
      </c>
      <c r="G2319" t="n">
        <v>0</v>
      </c>
      <c r="H2319" t="n">
        <v>0</v>
      </c>
      <c r="I2319" s="3">
        <f>E2319+G2319+H2319</f>
        <v/>
      </c>
      <c r="J2319" s="3">
        <f>ROUND(MIN(IF(C2319="Técnico III",35,IF(C2319="Técnico II",28,IF(C2319="Técnico I",23,IF(C2319="JR",20,IF(C2319="Estágio",10,0))))),IF(C2319="Técnico III",SUMIFS($D:$D,$A:$A,$A2319,$B:$B,"&lt;&gt;Patrícia Karla de Sousa Araújo",$B:$B,"&lt;&gt;Lorena Dias de Araujo",$B:$B,"&lt;&gt;Lucas Luiz Romero")*(35/1083),IF(C2319="Técnico II",SUMIFS($D:$D,$A:$A,$A2319,$B:$B,"&lt;&gt;Patrícia Karla de Sousa Araújo",$B:$B,"&lt;&gt;Lorena Dias de Araujo",$B:$B,"&lt;&gt;Lucas Luiz Romero")*(28/1083),IF(C2319="Técnico I",SUMIFS($D:$D,$A:$A,$A2319,$B:$B,"&lt;&gt;Patrícia Karla de Sousa Araújo",$B:$B,"&lt;&gt;Lorena Dias de Araujo",$B:$B,"&lt;&gt;Lucas Luiz Romero")*(23/1083),IF(C2319="JR",SUMIFS($D:$D,$A:$A,$A2319,$B:$B,"&lt;&gt;Patrícia Karla de Sousa Araújo",$B:$B,"&lt;&gt;Lorena Dias de Araujo",$B:$B,"&lt;&gt;Lucas Luiz Romero")*(20/1083),IF(C2319="Estágio",SUMIFS($D:$D,$A:$A,$A2319,$B:$B,"&lt;&gt;Patrícia Karla de Sousa Araújo",$B:$B,"&lt;&gt;Lorena Dias de Araujo",$B:$B,"&lt;&gt;Lucas Luiz Romero")*(10/1083),0)))))),0)</f>
        <v/>
      </c>
      <c r="K2319" s="3">
        <f>I2319-J2319</f>
        <v/>
      </c>
      <c r="L2319" s="3">
        <f>IF(K2319&lt;-5,"CRÍTICO",IF(K2319&lt;0,"ATENÇÃO",IF(K2319&lt;=5,"BOM","EXCELENTE")))</f>
        <v/>
      </c>
      <c r="N2319" t="n">
        <v>97.5</v>
      </c>
      <c r="O2319" t="n">
        <v>30.07518796992481</v>
      </c>
    </row>
    <row r="2320" hidden="1">
      <c r="A2320" s="11" t="n">
        <v>46073</v>
      </c>
      <c r="B2320" t="inlineStr">
        <is>
          <t>Brenda de Menezes Silva</t>
        </is>
      </c>
      <c r="C2320" t="inlineStr">
        <is>
          <t>Técnico II</t>
        </is>
      </c>
      <c r="D2320" t="n">
        <v>34</v>
      </c>
      <c r="E2320" t="n">
        <v>29</v>
      </c>
      <c r="F2320" t="n">
        <v>15.39</v>
      </c>
      <c r="G2320" t="n">
        <v>0</v>
      </c>
      <c r="H2320" t="n">
        <v>0</v>
      </c>
      <c r="I2320" s="3">
        <f>E2320+G2320+H2320</f>
        <v/>
      </c>
      <c r="J2320" s="3">
        <f>ROUND(MIN(IF(C2320="Técnico III",35,IF(C2320="Técnico II",28,IF(C2320="Técnico I",23,IF(C2320="JR",20,IF(C2320="Estágio",10,0))))),IF(C2320="Técnico III",SUMIFS($D:$D,$A:$A,$A2320,$B:$B,"&lt;&gt;Patrícia Karla de Sousa Araújo",$B:$B,"&lt;&gt;Lorena Dias de Araujo",$B:$B,"&lt;&gt;Lucas Luiz Romero")*(35/1083),IF(C2320="Técnico II",SUMIFS($D:$D,$A:$A,$A2320,$B:$B,"&lt;&gt;Patrícia Karla de Sousa Araújo",$B:$B,"&lt;&gt;Lorena Dias de Araujo",$B:$B,"&lt;&gt;Lucas Luiz Romero")*(28/1083),IF(C2320="Técnico I",SUMIFS($D:$D,$A:$A,$A2320,$B:$B,"&lt;&gt;Patrícia Karla de Sousa Araújo",$B:$B,"&lt;&gt;Lorena Dias de Araujo",$B:$B,"&lt;&gt;Lucas Luiz Romero")*(23/1083),IF(C2320="JR",SUMIFS($D:$D,$A:$A,$A2320,$B:$B,"&lt;&gt;Patrícia Karla de Sousa Araújo",$B:$B,"&lt;&gt;Lorena Dias de Araujo",$B:$B,"&lt;&gt;Lucas Luiz Romero")*(20/1083),IF(C2320="Estágio",SUMIFS($D:$D,$A:$A,$A2320,$B:$B,"&lt;&gt;Patrícia Karla de Sousa Araújo",$B:$B,"&lt;&gt;Lorena Dias de Araujo",$B:$B,"&lt;&gt;Lucas Luiz Romero")*(10/1083),0)))))),0)</f>
        <v/>
      </c>
      <c r="K2320" s="3">
        <f>I2320-J2320</f>
        <v/>
      </c>
      <c r="L2320" s="3">
        <f>IF(K2320&lt;-5,"CRÍTICO",IF(K2320&lt;0,"ATENÇÃO",IF(K2320&lt;=5,"BOM","EXCELENTE")))</f>
        <v/>
      </c>
      <c r="N2320" t="n">
        <v>100</v>
      </c>
      <c r="O2320" t="n">
        <v>29.71311475409836</v>
      </c>
    </row>
    <row r="2321" hidden="1">
      <c r="A2321" s="11" t="n">
        <v>46073</v>
      </c>
      <c r="B2321" t="inlineStr">
        <is>
          <t>Carlos Mateus Cassimiro Nunes</t>
        </is>
      </c>
      <c r="C2321" t="inlineStr">
        <is>
          <t>Técnico II</t>
        </is>
      </c>
      <c r="D2321" t="n">
        <v>17</v>
      </c>
      <c r="E2321" t="n">
        <v>16</v>
      </c>
      <c r="F2321" t="n">
        <v>37.27</v>
      </c>
      <c r="G2321" t="n">
        <v>0</v>
      </c>
      <c r="H2321" t="n">
        <v>0</v>
      </c>
      <c r="I2321" s="3">
        <f>E2321+G2321+H2321</f>
        <v/>
      </c>
      <c r="J2321" s="3">
        <f>ROUND(MIN(IF(C2321="Técnico III",35,IF(C2321="Técnico II",28,IF(C2321="Técnico I",23,IF(C2321="JR",20,IF(C2321="Estágio",10,0))))),IF(C2321="Técnico III",SUMIFS($D:$D,$A:$A,$A2321,$B:$B,"&lt;&gt;Patrícia Karla de Sousa Araújo",$B:$B,"&lt;&gt;Lorena Dias de Araujo",$B:$B,"&lt;&gt;Lucas Luiz Romero")*(35/1083),IF(C2321="Técnico II",SUMIFS($D:$D,$A:$A,$A2321,$B:$B,"&lt;&gt;Patrícia Karla de Sousa Araújo",$B:$B,"&lt;&gt;Lorena Dias de Araujo",$B:$B,"&lt;&gt;Lucas Luiz Romero")*(28/1083),IF(C2321="Técnico I",SUMIFS($D:$D,$A:$A,$A2321,$B:$B,"&lt;&gt;Patrícia Karla de Sousa Araújo",$B:$B,"&lt;&gt;Lorena Dias de Araujo",$B:$B,"&lt;&gt;Lucas Luiz Romero")*(23/1083),IF(C2321="JR",SUMIFS($D:$D,$A:$A,$A2321,$B:$B,"&lt;&gt;Patrícia Karla de Sousa Araújo",$B:$B,"&lt;&gt;Lorena Dias de Araujo",$B:$B,"&lt;&gt;Lucas Luiz Romero")*(20/1083),IF(C2321="Estágio",SUMIFS($D:$D,$A:$A,$A2321,$B:$B,"&lt;&gt;Patrícia Karla de Sousa Araújo",$B:$B,"&lt;&gt;Lorena Dias de Araujo",$B:$B,"&lt;&gt;Lucas Luiz Romero")*(10/1083),0)))))),0)</f>
        <v/>
      </c>
      <c r="K2321" s="3">
        <f>I2321-J2321</f>
        <v/>
      </c>
      <c r="L2321" s="3">
        <f>IF(K2321&lt;-5,"CRÍTICO",IF(K2321&lt;0,"ATENÇÃO",IF(K2321&lt;=5,"BOM","EXCELENTE")))</f>
        <v/>
      </c>
      <c r="N2321" t="n">
        <v>99.22</v>
      </c>
      <c r="O2321" t="n">
        <v>35.25641025641026</v>
      </c>
    </row>
    <row r="2322" hidden="1">
      <c r="A2322" s="11" t="n">
        <v>46073</v>
      </c>
      <c r="B2322" t="inlineStr">
        <is>
          <t>Claudio de Sousa Velasco Filho</t>
        </is>
      </c>
      <c r="C2322" t="inlineStr">
        <is>
          <t>Estágio</t>
        </is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s="3" t="n">
        <v>0</v>
      </c>
      <c r="J2322" s="3" t="n">
        <v>0</v>
      </c>
      <c r="K2322" s="3" t="n">
        <v>0</v>
      </c>
      <c r="L2322" s="3">
        <f>IF(K2322&lt;-5,"CRÍTICO",IF(K2322&lt;0,"ATENÇÃO",IF(K2322&lt;=5,"BOM","EXCELENTE")))</f>
        <v/>
      </c>
      <c r="N2322" t="n">
        <v>0</v>
      </c>
      <c r="O2322" t="n">
        <v>0</v>
      </c>
    </row>
    <row r="2323" hidden="1">
      <c r="A2323" s="11" t="n">
        <v>46073</v>
      </c>
      <c r="B2323" t="inlineStr">
        <is>
          <t>Clessiane Pereira dos Santos</t>
        </is>
      </c>
      <c r="C2323" t="inlineStr">
        <is>
          <t>Técnico I</t>
        </is>
      </c>
      <c r="D2323" t="n">
        <v>18</v>
      </c>
      <c r="E2323" t="n">
        <v>18</v>
      </c>
      <c r="F2323" t="n">
        <v>38.42</v>
      </c>
      <c r="G2323" t="n">
        <v>0</v>
      </c>
      <c r="H2323" t="n">
        <v>0</v>
      </c>
      <c r="I2323" s="3">
        <f>E2323+G2323+H2323</f>
        <v/>
      </c>
      <c r="J2323" s="3">
        <f>ROUND(MIN(IF(C2323="Técnico III",35,IF(C2323="Técnico II",28,IF(C2323="Técnico I",23,IF(C2323="JR",20,IF(C2323="Estágio",10,0))))),IF(C2323="Técnico III",SUMIFS($D:$D,$A:$A,$A2323,$B:$B,"&lt;&gt;Patrícia Karla de Sousa Araújo",$B:$B,"&lt;&gt;Lorena Dias de Araujo",$B:$B,"&lt;&gt;Lucas Luiz Romero")*(35/1083),IF(C2323="Técnico II",SUMIFS($D:$D,$A:$A,$A2323,$B:$B,"&lt;&gt;Patrícia Karla de Sousa Araújo",$B:$B,"&lt;&gt;Lorena Dias de Araujo",$B:$B,"&lt;&gt;Lucas Luiz Romero")*(28/1083),IF(C2323="Técnico I",SUMIFS($D:$D,$A:$A,$A2323,$B:$B,"&lt;&gt;Patrícia Karla de Sousa Araújo",$B:$B,"&lt;&gt;Lorena Dias de Araujo",$B:$B,"&lt;&gt;Lucas Luiz Romero")*(23/1083),IF(C2323="JR",SUMIFS($D:$D,$A:$A,$A2323,$B:$B,"&lt;&gt;Patrícia Karla de Sousa Araújo",$B:$B,"&lt;&gt;Lorena Dias de Araujo",$B:$B,"&lt;&gt;Lucas Luiz Romero")*(20/1083),IF(C2323="Estágio",SUMIFS($D:$D,$A:$A,$A2323,$B:$B,"&lt;&gt;Patrícia Karla de Sousa Araújo",$B:$B,"&lt;&gt;Lorena Dias de Araujo",$B:$B,"&lt;&gt;Lucas Luiz Romero")*(10/1083),0)))))),0)</f>
        <v/>
      </c>
      <c r="K2323" s="3">
        <f>I2323-J2323</f>
        <v/>
      </c>
      <c r="L2323" s="3">
        <f>IF(K2323&lt;-5,"CRÍTICO",IF(K2323&lt;0,"ATENÇÃO",IF(K2323&lt;=5,"BOM","EXCELENTE")))</f>
        <v/>
      </c>
      <c r="N2323" t="n">
        <v>98.75</v>
      </c>
      <c r="O2323" t="n">
        <v>24.32432432432433</v>
      </c>
    </row>
    <row r="2324" hidden="1">
      <c r="A2324" s="11" t="n">
        <v>46073</v>
      </c>
      <c r="B2324" t="inlineStr">
        <is>
          <t>Cristiane Ramos da Silva Rocha</t>
        </is>
      </c>
      <c r="C2324" t="inlineStr">
        <is>
          <t>Técnico III</t>
        </is>
      </c>
      <c r="D2324" t="n">
        <v>39</v>
      </c>
      <c r="E2324" t="n">
        <v>34</v>
      </c>
      <c r="F2324" t="n">
        <v>15.08</v>
      </c>
      <c r="G2324" t="n">
        <v>0</v>
      </c>
      <c r="H2324" t="n">
        <v>0</v>
      </c>
      <c r="I2324" s="3">
        <f>E2324+G2324+H2324</f>
        <v/>
      </c>
      <c r="J2324" s="3">
        <f>ROUND(MIN(IF(C2324="Técnico III",35,IF(C2324="Técnico II",28,IF(C2324="Técnico I",23,IF(C2324="JR",20,IF(C2324="Estágio",10,0))))),IF(C2324="Técnico III",SUMIFS($D:$D,$A:$A,$A2324,$B:$B,"&lt;&gt;Patrícia Karla de Sousa Araújo",$B:$B,"&lt;&gt;Lorena Dias de Araujo",$B:$B,"&lt;&gt;Lucas Luiz Romero")*(35/1083),IF(C2324="Técnico II",SUMIFS($D:$D,$A:$A,$A2324,$B:$B,"&lt;&gt;Patrícia Karla de Sousa Araújo",$B:$B,"&lt;&gt;Lorena Dias de Araujo",$B:$B,"&lt;&gt;Lucas Luiz Romero")*(28/1083),IF(C2324="Técnico I",SUMIFS($D:$D,$A:$A,$A2324,$B:$B,"&lt;&gt;Patrícia Karla de Sousa Araújo",$B:$B,"&lt;&gt;Lorena Dias de Araujo",$B:$B,"&lt;&gt;Lucas Luiz Romero")*(23/1083),IF(C2324="JR",SUMIFS($D:$D,$A:$A,$A2324,$B:$B,"&lt;&gt;Patrícia Karla de Sousa Araújo",$B:$B,"&lt;&gt;Lorena Dias de Araujo",$B:$B,"&lt;&gt;Lucas Luiz Romero")*(20/1083),IF(C2324="Estágio",SUMIFS($D:$D,$A:$A,$A2324,$B:$B,"&lt;&gt;Patrícia Karla de Sousa Araújo",$B:$B,"&lt;&gt;Lorena Dias de Araujo",$B:$B,"&lt;&gt;Lucas Luiz Romero")*(10/1083),0)))))),0)</f>
        <v/>
      </c>
      <c r="K2324" s="3">
        <f>I2324-J2324</f>
        <v/>
      </c>
      <c r="L2324" s="3">
        <f>IF(K2324&lt;-5,"CRÍTICO",IF(K2324&lt;0,"ATENÇÃO",IF(K2324&lt;=5,"BOM","EXCELENTE")))</f>
        <v/>
      </c>
      <c r="N2324" t="n">
        <v>93.48</v>
      </c>
      <c r="O2324" t="n">
        <v>31.33462282398452</v>
      </c>
    </row>
    <row r="2325" hidden="1">
      <c r="A2325" s="11" t="n">
        <v>46073</v>
      </c>
      <c r="B2325" t="inlineStr">
        <is>
          <t>Damyllis Lorraine de Oliveira Gonçalves</t>
        </is>
      </c>
      <c r="C2325" t="inlineStr">
        <is>
          <t>Técnico II</t>
        </is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s="3" t="n">
        <v>0</v>
      </c>
      <c r="J2325" s="3" t="n">
        <v>0</v>
      </c>
      <c r="K2325" s="3" t="n">
        <v>0</v>
      </c>
      <c r="L2325" s="3">
        <f>IF(K2325&lt;-5,"CRÍTICO",IF(K2325&lt;0,"ATENÇÃO",IF(K2325&lt;=5,"BOM","EXCELENTE")))</f>
        <v/>
      </c>
      <c r="N2325" t="n">
        <v>99.16</v>
      </c>
      <c r="O2325" t="n">
        <v>26.13908872901678</v>
      </c>
    </row>
    <row r="2326" hidden="1">
      <c r="A2326" s="11" t="n">
        <v>46073</v>
      </c>
      <c r="B2326" t="inlineStr">
        <is>
          <t>Daniel Gomes da Silva</t>
        </is>
      </c>
      <c r="C2326" t="inlineStr">
        <is>
          <t>Técnico I</t>
        </is>
      </c>
      <c r="D2326" t="n">
        <v>21</v>
      </c>
      <c r="E2326" t="n">
        <v>21</v>
      </c>
      <c r="F2326" t="n">
        <v>27.19</v>
      </c>
      <c r="G2326" t="n">
        <v>0</v>
      </c>
      <c r="H2326" t="n">
        <v>0</v>
      </c>
      <c r="I2326" s="3">
        <f>E2326+G2326+H2326</f>
        <v/>
      </c>
      <c r="J2326" s="3">
        <f>ROUND(MIN(IF(C2326="Técnico III",35,IF(C2326="Técnico II",28,IF(C2326="Técnico I",23,IF(C2326="JR",20,IF(C2326="Estágio",10,0))))),IF(C2326="Técnico III",SUMIFS($D:$D,$A:$A,$A2326,$B:$B,"&lt;&gt;Patrícia Karla de Sousa Araújo",$B:$B,"&lt;&gt;Lorena Dias de Araujo",$B:$B,"&lt;&gt;Lucas Luiz Romero")*(35/1083),IF(C2326="Técnico II",SUMIFS($D:$D,$A:$A,$A2326,$B:$B,"&lt;&gt;Patrícia Karla de Sousa Araújo",$B:$B,"&lt;&gt;Lorena Dias de Araujo",$B:$B,"&lt;&gt;Lucas Luiz Romero")*(28/1083),IF(C2326="Técnico I",SUMIFS($D:$D,$A:$A,$A2326,$B:$B,"&lt;&gt;Patrícia Karla de Sousa Araújo",$B:$B,"&lt;&gt;Lorena Dias de Araujo",$B:$B,"&lt;&gt;Lucas Luiz Romero")*(23/1083),IF(C2326="JR",SUMIFS($D:$D,$A:$A,$A2326,$B:$B,"&lt;&gt;Patrícia Karla de Sousa Araújo",$B:$B,"&lt;&gt;Lorena Dias de Araujo",$B:$B,"&lt;&gt;Lucas Luiz Romero")*(20/1083),IF(C2326="Estágio",SUMIFS($D:$D,$A:$A,$A2326,$B:$B,"&lt;&gt;Patrícia Karla de Sousa Araújo",$B:$B,"&lt;&gt;Lorena Dias de Araujo",$B:$B,"&lt;&gt;Lucas Luiz Romero")*(10/1083),0)))))),0)</f>
        <v/>
      </c>
      <c r="K2326" s="3">
        <f>I2326-J2326</f>
        <v/>
      </c>
      <c r="L2326" s="3">
        <f>IF(K2326&lt;-5,"CRÍTICO",IF(K2326&lt;0,"ATENÇÃO",IF(K2326&lt;=5,"BOM","EXCELENTE")))</f>
        <v/>
      </c>
      <c r="N2326" t="n">
        <v>100</v>
      </c>
      <c r="O2326" t="n">
        <v>31.08974358974359</v>
      </c>
    </row>
    <row r="2327" hidden="1">
      <c r="A2327" s="11" t="n">
        <v>46073</v>
      </c>
      <c r="B2327" t="inlineStr">
        <is>
          <t>Davylla Rodrigues Freitas Silva</t>
        </is>
      </c>
      <c r="C2327" t="inlineStr">
        <is>
          <t>Técnico III</t>
        </is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s="3" t="n">
        <v>0</v>
      </c>
      <c r="J2327" s="3" t="n">
        <v>0</v>
      </c>
      <c r="K2327" s="3" t="n">
        <v>0</v>
      </c>
      <c r="L2327" s="3">
        <f>IF(K2327&lt;-5,"CRÍTICO",IF(K2327&lt;0,"ATENÇÃO",IF(K2327&lt;=5,"BOM","EXCELENTE")))</f>
        <v/>
      </c>
      <c r="N2327" t="n">
        <v>98.11</v>
      </c>
      <c r="O2327" t="n">
        <v>33.03370786516854</v>
      </c>
    </row>
    <row r="2328" hidden="1">
      <c r="A2328" s="11" t="n">
        <v>46073</v>
      </c>
      <c r="B2328" t="inlineStr">
        <is>
          <t>Emilly Caylane Costa</t>
        </is>
      </c>
      <c r="C2328" t="inlineStr">
        <is>
          <t>Estágio</t>
        </is>
      </c>
      <c r="D2328" t="n">
        <v>7</v>
      </c>
      <c r="E2328" t="n">
        <v>7</v>
      </c>
      <c r="F2328" t="n">
        <v>47.2</v>
      </c>
      <c r="G2328" t="n">
        <v>0</v>
      </c>
      <c r="H2328" t="n">
        <v>0</v>
      </c>
      <c r="I2328" s="3">
        <f>E2328+G2328+H2328</f>
        <v/>
      </c>
      <c r="J2328" s="3">
        <f>ROUND(MIN(IF(C2328="Técnico III",35,IF(C2328="Técnico II",28,IF(C2328="Técnico I",23,IF(C2328="JR",20,IF(C2328="Estágio",10,0))))),IF(C2328="Técnico III",SUMIFS($D:$D,$A:$A,$A2328,$B:$B,"&lt;&gt;Patrícia Karla de Sousa Araújo",$B:$B,"&lt;&gt;Lorena Dias de Araujo",$B:$B,"&lt;&gt;Lucas Luiz Romero")*(35/1083),IF(C2328="Técnico II",SUMIFS($D:$D,$A:$A,$A2328,$B:$B,"&lt;&gt;Patrícia Karla de Sousa Araújo",$B:$B,"&lt;&gt;Lorena Dias de Araujo",$B:$B,"&lt;&gt;Lucas Luiz Romero")*(28/1083),IF(C2328="Técnico I",SUMIFS($D:$D,$A:$A,$A2328,$B:$B,"&lt;&gt;Patrícia Karla de Sousa Araújo",$B:$B,"&lt;&gt;Lorena Dias de Araujo",$B:$B,"&lt;&gt;Lucas Luiz Romero")*(23/1083),IF(C2328="JR",SUMIFS($D:$D,$A:$A,$A2328,$B:$B,"&lt;&gt;Patrícia Karla de Sousa Araújo",$B:$B,"&lt;&gt;Lorena Dias de Araujo",$B:$B,"&lt;&gt;Lucas Luiz Romero")*(20/1083),IF(C2328="Estágio",SUMIFS($D:$D,$A:$A,$A2328,$B:$B,"&lt;&gt;Patrícia Karla de Sousa Araújo",$B:$B,"&lt;&gt;Lorena Dias de Araujo",$B:$B,"&lt;&gt;Lucas Luiz Romero")*(10/1083),0)))))),0)</f>
        <v/>
      </c>
      <c r="K2328" s="3">
        <f>I2328-J2328</f>
        <v/>
      </c>
      <c r="L2328" s="3">
        <f>IF(K2328&lt;-5,"CRÍTICO",IF(K2328&lt;0,"ATENÇÃO",IF(K2328&lt;=5,"BOM","EXCELENTE")))</f>
        <v/>
      </c>
      <c r="N2328" t="n">
        <v>78.95</v>
      </c>
      <c r="O2328" t="n">
        <v>38.98305084745763</v>
      </c>
    </row>
    <row r="2329" hidden="1">
      <c r="A2329" s="11" t="n">
        <v>46073</v>
      </c>
      <c r="B2329" t="inlineStr">
        <is>
          <t>Emilly Kamilly Medeiros Miranda</t>
        </is>
      </c>
      <c r="C2329" t="inlineStr">
        <is>
          <t>Técnico II</t>
        </is>
      </c>
      <c r="D2329" t="n">
        <v>20</v>
      </c>
      <c r="E2329" t="n">
        <v>19</v>
      </c>
      <c r="F2329" t="n">
        <v>32.34</v>
      </c>
      <c r="G2329" t="n">
        <v>0</v>
      </c>
      <c r="H2329" t="n">
        <v>0</v>
      </c>
      <c r="I2329" s="3">
        <f>E2329+G2329+H2329</f>
        <v/>
      </c>
      <c r="J2329" s="3">
        <f>ROUND(MIN(IF(C2329="Técnico III",35,IF(C2329="Técnico II",28,IF(C2329="Técnico I",23,IF(C2329="JR",20,IF(C2329="Estágio",10,0))))),IF(C2329="Técnico III",SUMIFS($D:$D,$A:$A,$A2329,$B:$B,"&lt;&gt;Patrícia Karla de Sousa Araújo",$B:$B,"&lt;&gt;Lorena Dias de Araujo",$B:$B,"&lt;&gt;Lucas Luiz Romero")*(35/1083),IF(C2329="Técnico II",SUMIFS($D:$D,$A:$A,$A2329,$B:$B,"&lt;&gt;Patrícia Karla de Sousa Araújo",$B:$B,"&lt;&gt;Lorena Dias de Araujo",$B:$B,"&lt;&gt;Lucas Luiz Romero")*(28/1083),IF(C2329="Técnico I",SUMIFS($D:$D,$A:$A,$A2329,$B:$B,"&lt;&gt;Patrícia Karla de Sousa Araújo",$B:$B,"&lt;&gt;Lorena Dias de Araujo",$B:$B,"&lt;&gt;Lucas Luiz Romero")*(23/1083),IF(C2329="JR",SUMIFS($D:$D,$A:$A,$A2329,$B:$B,"&lt;&gt;Patrícia Karla de Sousa Araújo",$B:$B,"&lt;&gt;Lorena Dias de Araujo",$B:$B,"&lt;&gt;Lucas Luiz Romero")*(20/1083),IF(C2329="Estágio",SUMIFS($D:$D,$A:$A,$A2329,$B:$B,"&lt;&gt;Patrícia Karla de Sousa Araújo",$B:$B,"&lt;&gt;Lorena Dias de Araujo",$B:$B,"&lt;&gt;Lucas Luiz Romero")*(10/1083),0)))))),0)</f>
        <v/>
      </c>
      <c r="K2329" s="3">
        <f>I2329-J2329</f>
        <v/>
      </c>
      <c r="L2329" s="3">
        <f>IF(K2329&lt;-5,"CRÍTICO",IF(K2329&lt;0,"ATENÇÃO",IF(K2329&lt;=5,"BOM","EXCELENTE")))</f>
        <v/>
      </c>
      <c r="N2329" t="n">
        <v>98.45</v>
      </c>
      <c r="O2329" t="n">
        <v>29.2817679558011</v>
      </c>
    </row>
    <row r="2330" hidden="1">
      <c r="A2330" s="11" t="n">
        <v>46073</v>
      </c>
      <c r="B2330" t="inlineStr">
        <is>
          <t>Francielson de Oliveira</t>
        </is>
      </c>
      <c r="C2330" t="inlineStr">
        <is>
          <t>Técnico III</t>
        </is>
      </c>
      <c r="D2330" t="n">
        <v>22</v>
      </c>
      <c r="E2330" t="n">
        <v>22</v>
      </c>
      <c r="F2330" t="n">
        <v>29.11</v>
      </c>
      <c r="G2330" t="n">
        <v>0</v>
      </c>
      <c r="H2330" t="n">
        <v>0</v>
      </c>
      <c r="I2330" s="3">
        <f>E2330+G2330+H2330</f>
        <v/>
      </c>
      <c r="J2330" s="3">
        <f>ROUND(MIN(IF(C2330="Técnico III",35,IF(C2330="Técnico II",28,IF(C2330="Técnico I",23,IF(C2330="JR",20,IF(C2330="Estágio",10,0))))),IF(C2330="Técnico III",SUMIFS($D:$D,$A:$A,$A2330,$B:$B,"&lt;&gt;Patrícia Karla de Sousa Araújo",$B:$B,"&lt;&gt;Lorena Dias de Araujo",$B:$B,"&lt;&gt;Lucas Luiz Romero")*(35/1083),IF(C2330="Técnico II",SUMIFS($D:$D,$A:$A,$A2330,$B:$B,"&lt;&gt;Patrícia Karla de Sousa Araújo",$B:$B,"&lt;&gt;Lorena Dias de Araujo",$B:$B,"&lt;&gt;Lucas Luiz Romero")*(28/1083),IF(C2330="Técnico I",SUMIFS($D:$D,$A:$A,$A2330,$B:$B,"&lt;&gt;Patrícia Karla de Sousa Araújo",$B:$B,"&lt;&gt;Lorena Dias de Araujo",$B:$B,"&lt;&gt;Lucas Luiz Romero")*(23/1083),IF(C2330="JR",SUMIFS($D:$D,$A:$A,$A2330,$B:$B,"&lt;&gt;Patrícia Karla de Sousa Araújo",$B:$B,"&lt;&gt;Lorena Dias de Araujo",$B:$B,"&lt;&gt;Lucas Luiz Romero")*(20/1083),IF(C2330="Estágio",SUMIFS($D:$D,$A:$A,$A2330,$B:$B,"&lt;&gt;Patrícia Karla de Sousa Araújo",$B:$B,"&lt;&gt;Lorena Dias de Araujo",$B:$B,"&lt;&gt;Lucas Luiz Romero")*(10/1083),0)))))),0)</f>
        <v/>
      </c>
      <c r="K2330" s="3">
        <f>I2330-J2330</f>
        <v/>
      </c>
      <c r="L2330" s="3">
        <f>IF(K2330&lt;-5,"CRÍTICO",IF(K2330&lt;0,"ATENÇÃO",IF(K2330&lt;=5,"BOM","EXCELENTE")))</f>
        <v/>
      </c>
      <c r="N2330" t="n">
        <v>97.84</v>
      </c>
      <c r="O2330" t="n">
        <v>26.28205128205128</v>
      </c>
    </row>
    <row r="2331" hidden="1">
      <c r="A2331" s="11" t="n">
        <v>46073</v>
      </c>
      <c r="B2331" t="inlineStr">
        <is>
          <t>Francilene Ferreira de Jesus</t>
        </is>
      </c>
      <c r="C2331" t="inlineStr">
        <is>
          <t>Técnico II</t>
        </is>
      </c>
      <c r="D2331" t="n">
        <v>31</v>
      </c>
      <c r="E2331" t="n">
        <v>29</v>
      </c>
      <c r="F2331" t="n">
        <v>16.56</v>
      </c>
      <c r="G2331" t="n">
        <v>0</v>
      </c>
      <c r="H2331" t="n">
        <v>0</v>
      </c>
      <c r="I2331" s="3">
        <f>E2331+G2331+H2331</f>
        <v/>
      </c>
      <c r="J2331" s="3">
        <f>ROUND(MIN(IF(C2331="Técnico III",35,IF(C2331="Técnico II",28,IF(C2331="Técnico I",23,IF(C2331="JR",20,IF(C2331="Estágio",10,0))))),IF(C2331="Técnico III",SUMIFS($D:$D,$A:$A,$A2331,$B:$B,"&lt;&gt;Patrícia Karla de Sousa Araújo",$B:$B,"&lt;&gt;Lorena Dias de Araujo",$B:$B,"&lt;&gt;Lucas Luiz Romero")*(35/1083),IF(C2331="Técnico II",SUMIFS($D:$D,$A:$A,$A2331,$B:$B,"&lt;&gt;Patrícia Karla de Sousa Araújo",$B:$B,"&lt;&gt;Lorena Dias de Araujo",$B:$B,"&lt;&gt;Lucas Luiz Romero")*(28/1083),IF(C2331="Técnico I",SUMIFS($D:$D,$A:$A,$A2331,$B:$B,"&lt;&gt;Patrícia Karla de Sousa Araújo",$B:$B,"&lt;&gt;Lorena Dias de Araujo",$B:$B,"&lt;&gt;Lucas Luiz Romero")*(23/1083),IF(C2331="JR",SUMIFS($D:$D,$A:$A,$A2331,$B:$B,"&lt;&gt;Patrícia Karla de Sousa Araújo",$B:$B,"&lt;&gt;Lorena Dias de Araujo",$B:$B,"&lt;&gt;Lucas Luiz Romero")*(20/1083),IF(C2331="Estágio",SUMIFS($D:$D,$A:$A,$A2331,$B:$B,"&lt;&gt;Patrícia Karla de Sousa Araújo",$B:$B,"&lt;&gt;Lorena Dias de Araujo",$B:$B,"&lt;&gt;Lucas Luiz Romero")*(10/1083),0)))))),0)</f>
        <v/>
      </c>
      <c r="K2331" s="3">
        <f>I2331-J2331</f>
        <v/>
      </c>
      <c r="L2331" s="3">
        <f>IF(K2331&lt;-5,"CRÍTICO",IF(K2331&lt;0,"ATENÇÃO",IF(K2331&lt;=5,"BOM","EXCELENTE")))</f>
        <v/>
      </c>
      <c r="N2331" t="n">
        <v>98.5</v>
      </c>
      <c r="O2331" t="n">
        <v>23.97769516728625</v>
      </c>
    </row>
    <row r="2332" hidden="1">
      <c r="A2332" s="11" t="n">
        <v>46107</v>
      </c>
      <c r="B2332" t="inlineStr">
        <is>
          <t>Gabriel Gomes de Andrade</t>
        </is>
      </c>
      <c r="C2332" t="inlineStr">
        <is>
          <t>Técnico I</t>
        </is>
      </c>
      <c r="D2332" t="n">
        <v>29</v>
      </c>
      <c r="E2332" t="n">
        <v>27</v>
      </c>
      <c r="F2332" t="n">
        <v>22.14</v>
      </c>
      <c r="G2332" t="n">
        <v>0</v>
      </c>
      <c r="H2332" t="n">
        <v>0</v>
      </c>
      <c r="I2332" s="3">
        <f>E2332+G2332+H2332</f>
        <v/>
      </c>
      <c r="J2332" s="3">
        <f>ROUND(MIN(IF(C2332="Técnico III",35,IF(C2332="Técnico II",28,IF(C2332="Técnico I",23,IF(C2332="JR",20,IF(C2332="Estágio",10,0))))),IF(C2332="Técnico III",SUMIFS($D:$D,$A:$A,$A2332,$B:$B,"&lt;&gt;Patrícia Karla de Sousa Araújo",$B:$B,"&lt;&gt;Lorena Dias de Araujo",$B:$B,"&lt;&gt;Lucas Luiz Romero")*(35/1083),IF(C2332="Técnico II",SUMIFS($D:$D,$A:$A,$A2332,$B:$B,"&lt;&gt;Patrícia Karla de Sousa Araújo",$B:$B,"&lt;&gt;Lorena Dias de Araujo",$B:$B,"&lt;&gt;Lucas Luiz Romero")*(28/1083),IF(C2332="Técnico I",SUMIFS($D:$D,$A:$A,$A2332,$B:$B,"&lt;&gt;Patrícia Karla de Sousa Araújo",$B:$B,"&lt;&gt;Lorena Dias de Araujo",$B:$B,"&lt;&gt;Lucas Luiz Romero")*(23/1083),IF(C2332="JR",SUMIFS($D:$D,$A:$A,$A2332,$B:$B,"&lt;&gt;Patrícia Karla de Sousa Araújo",$B:$B,"&lt;&gt;Lorena Dias de Araujo",$B:$B,"&lt;&gt;Lucas Luiz Romero")*(20/1083),IF(C2332="Estágio",SUMIFS($D:$D,$A:$A,$A2332,$B:$B,"&lt;&gt;Patrícia Karla de Sousa Araújo",$B:$B,"&lt;&gt;Lorena Dias de Araujo",$B:$B,"&lt;&gt;Lucas Luiz Romero")*(10/1083),0)))))),0)</f>
        <v/>
      </c>
      <c r="K2332" s="3">
        <f>I2332-J2332</f>
        <v/>
      </c>
      <c r="L2332" s="3">
        <f>IF(K2332&lt;-5,"CRÍTICO",IF(K2332&lt;0,"ATENÇÃO",IF(K2332&lt;=5,"BOM","EXCELENTE")))</f>
        <v/>
      </c>
      <c r="N2332" t="n">
        <v>99.05</v>
      </c>
      <c r="O2332" t="n">
        <v>26.62192393736018</v>
      </c>
    </row>
    <row r="2333" hidden="1">
      <c r="A2333" s="11" t="n">
        <v>46073</v>
      </c>
      <c r="B2333" t="inlineStr">
        <is>
          <t>Isabella Borges de Oliveira</t>
        </is>
      </c>
      <c r="C2333" t="inlineStr">
        <is>
          <t>Técnico II</t>
        </is>
      </c>
      <c r="D2333" t="n">
        <v>29</v>
      </c>
      <c r="E2333" t="n">
        <v>28</v>
      </c>
      <c r="F2333" t="n">
        <v>25.19</v>
      </c>
      <c r="G2333" t="n">
        <v>0</v>
      </c>
      <c r="H2333" t="n">
        <v>0</v>
      </c>
      <c r="I2333" s="3">
        <f>E2333+G2333+H2333</f>
        <v/>
      </c>
      <c r="J2333" s="3">
        <f>ROUND(MIN(IF(C2333="Técnico III",35,IF(C2333="Técnico II",28,IF(C2333="Técnico I",23,IF(C2333="JR",20,IF(C2333="Estágio",10,0))))),IF(C2333="Técnico III",SUMIFS($D:$D,$A:$A,$A2333,$B:$B,"&lt;&gt;Patrícia Karla de Sousa Araújo",$B:$B,"&lt;&gt;Lorena Dias de Araujo",$B:$B,"&lt;&gt;Lucas Luiz Romero")*(35/1083),IF(C2333="Técnico II",SUMIFS($D:$D,$A:$A,$A2333,$B:$B,"&lt;&gt;Patrícia Karla de Sousa Araújo",$B:$B,"&lt;&gt;Lorena Dias de Araujo",$B:$B,"&lt;&gt;Lucas Luiz Romero")*(28/1083),IF(C2333="Técnico I",SUMIFS($D:$D,$A:$A,$A2333,$B:$B,"&lt;&gt;Patrícia Karla de Sousa Araújo",$B:$B,"&lt;&gt;Lorena Dias de Araujo",$B:$B,"&lt;&gt;Lucas Luiz Romero")*(23/1083),IF(C2333="JR",SUMIFS($D:$D,$A:$A,$A2333,$B:$B,"&lt;&gt;Patrícia Karla de Sousa Araújo",$B:$B,"&lt;&gt;Lorena Dias de Araujo",$B:$B,"&lt;&gt;Lucas Luiz Romero")*(20/1083),IF(C2333="Estágio",SUMIFS($D:$D,$A:$A,$A2333,$B:$B,"&lt;&gt;Patrícia Karla de Sousa Araújo",$B:$B,"&lt;&gt;Lorena Dias de Araujo",$B:$B,"&lt;&gt;Lucas Luiz Romero")*(10/1083),0)))))),0)</f>
        <v/>
      </c>
      <c r="K2333" s="3">
        <f>I2333-J2333</f>
        <v/>
      </c>
      <c r="L2333" s="3">
        <f>IF(K2333&lt;-5,"CRÍTICO",IF(K2333&lt;0,"ATENÇÃO",IF(K2333&lt;=5,"BOM","EXCELENTE")))</f>
        <v/>
      </c>
      <c r="N2333" t="n">
        <v>98.53</v>
      </c>
      <c r="O2333" t="n">
        <v>31.57894736842105</v>
      </c>
    </row>
    <row r="2334" hidden="1">
      <c r="A2334" s="11" t="n">
        <v>46073</v>
      </c>
      <c r="B2334" t="inlineStr">
        <is>
          <t>Janaina Lima dos Reis Urany</t>
        </is>
      </c>
      <c r="C2334" t="inlineStr">
        <is>
          <t>Técnico III</t>
        </is>
      </c>
      <c r="D2334" t="n">
        <v>31</v>
      </c>
      <c r="E2334" t="n">
        <v>30</v>
      </c>
      <c r="F2334" t="n">
        <v>25.38</v>
      </c>
      <c r="G2334" t="n">
        <v>0</v>
      </c>
      <c r="H2334" t="n">
        <v>0</v>
      </c>
      <c r="I2334" s="3">
        <f>E2334+G2334+H2334</f>
        <v/>
      </c>
      <c r="J2334" s="3">
        <f>ROUND(MIN(IF(C2334="Técnico III",35,IF(C2334="Técnico II",28,IF(C2334="Técnico I",23,IF(C2334="JR",20,IF(C2334="Estágio",10,0))))),IF(C2334="Técnico III",SUMIFS($D:$D,$A:$A,$A2334,$B:$B,"&lt;&gt;Patrícia Karla de Sousa Araújo",$B:$B,"&lt;&gt;Lorena Dias de Araujo",$B:$B,"&lt;&gt;Lucas Luiz Romero")*(35/1083),IF(C2334="Técnico II",SUMIFS($D:$D,$A:$A,$A2334,$B:$B,"&lt;&gt;Patrícia Karla de Sousa Araújo",$B:$B,"&lt;&gt;Lorena Dias de Araujo",$B:$B,"&lt;&gt;Lucas Luiz Romero")*(28/1083),IF(C2334="Técnico I",SUMIFS($D:$D,$A:$A,$A2334,$B:$B,"&lt;&gt;Patrícia Karla de Sousa Araújo",$B:$B,"&lt;&gt;Lorena Dias de Araujo",$B:$B,"&lt;&gt;Lucas Luiz Romero")*(23/1083),IF(C2334="JR",SUMIFS($D:$D,$A:$A,$A2334,$B:$B,"&lt;&gt;Patrícia Karla de Sousa Araújo",$B:$B,"&lt;&gt;Lorena Dias de Araujo",$B:$B,"&lt;&gt;Lucas Luiz Romero")*(20/1083),IF(C2334="Estágio",SUMIFS($D:$D,$A:$A,$A2334,$B:$B,"&lt;&gt;Patrícia Karla de Sousa Araújo",$B:$B,"&lt;&gt;Lorena Dias de Araujo",$B:$B,"&lt;&gt;Lucas Luiz Romero")*(10/1083),0)))))),0)</f>
        <v/>
      </c>
      <c r="K2334" s="3">
        <f>I2334-J2334</f>
        <v/>
      </c>
      <c r="L2334" s="3">
        <f>IF(K2334&lt;-5,"CRÍTICO",IF(K2334&lt;0,"ATENÇÃO",IF(K2334&lt;=5,"BOM","EXCELENTE")))</f>
        <v/>
      </c>
      <c r="N2334" t="n">
        <v>100</v>
      </c>
      <c r="O2334" t="n">
        <v>25.72214580467676</v>
      </c>
    </row>
    <row r="2335" hidden="1">
      <c r="A2335" s="11" t="n">
        <v>46073</v>
      </c>
      <c r="B2335" t="inlineStr">
        <is>
          <t>Jaqueline Evangelista da Silva Martins</t>
        </is>
      </c>
      <c r="C2335" t="inlineStr">
        <is>
          <t>Técnico III</t>
        </is>
      </c>
      <c r="D2335" t="n">
        <v>26</v>
      </c>
      <c r="E2335" t="n">
        <v>24</v>
      </c>
      <c r="F2335" t="n">
        <v>17.12</v>
      </c>
      <c r="G2335" t="n">
        <v>0</v>
      </c>
      <c r="H2335" t="n">
        <v>0</v>
      </c>
      <c r="I2335" s="3">
        <f>E2335+G2335+H2335</f>
        <v/>
      </c>
      <c r="J2335" s="3">
        <f>ROUND(MIN(IF(C2335="Técnico III",35,IF(C2335="Técnico II",28,IF(C2335="Técnico I",23,IF(C2335="JR",20,IF(C2335="Estágio",10,0))))),IF(C2335="Técnico III",SUMIFS($D:$D,$A:$A,$A2335,$B:$B,"&lt;&gt;Patrícia Karla de Sousa Araújo",$B:$B,"&lt;&gt;Lorena Dias de Araujo",$B:$B,"&lt;&gt;Lucas Luiz Romero")*(35/1083),IF(C2335="Técnico II",SUMIFS($D:$D,$A:$A,$A2335,$B:$B,"&lt;&gt;Patrícia Karla de Sousa Araújo",$B:$B,"&lt;&gt;Lorena Dias de Araujo",$B:$B,"&lt;&gt;Lucas Luiz Romero")*(28/1083),IF(C2335="Técnico I",SUMIFS($D:$D,$A:$A,$A2335,$B:$B,"&lt;&gt;Patrícia Karla de Sousa Araújo",$B:$B,"&lt;&gt;Lorena Dias de Araujo",$B:$B,"&lt;&gt;Lucas Luiz Romero")*(23/1083),IF(C2335="JR",SUMIFS($D:$D,$A:$A,$A2335,$B:$B,"&lt;&gt;Patrícia Karla de Sousa Araújo",$B:$B,"&lt;&gt;Lorena Dias de Araujo",$B:$B,"&lt;&gt;Lucas Luiz Romero")*(20/1083),IF(C2335="Estágio",SUMIFS($D:$D,$A:$A,$A2335,$B:$B,"&lt;&gt;Patrícia Karla de Sousa Araújo",$B:$B,"&lt;&gt;Lorena Dias de Araujo",$B:$B,"&lt;&gt;Lucas Luiz Romero")*(10/1083),0)))))),0)</f>
        <v/>
      </c>
      <c r="K2335" s="3">
        <f>I2335-J2335</f>
        <v/>
      </c>
      <c r="L2335" s="3">
        <f>IF(K2335&lt;-5,"CRÍTICO",IF(K2335&lt;0,"ATENÇÃO",IF(K2335&lt;=5,"BOM","EXCELENTE")))</f>
        <v/>
      </c>
      <c r="N2335" t="n">
        <v>94.64</v>
      </c>
      <c r="O2335" t="n">
        <v>27.52941176470588</v>
      </c>
    </row>
    <row r="2336" hidden="1">
      <c r="A2336" s="11" t="n">
        <v>46073</v>
      </c>
      <c r="B2336" t="inlineStr">
        <is>
          <t>Jessica Faria da Silveira</t>
        </is>
      </c>
      <c r="C2336" t="inlineStr">
        <is>
          <t>Técnico II</t>
        </is>
      </c>
      <c r="D2336" t="n">
        <v>29</v>
      </c>
      <c r="E2336" t="n">
        <v>20</v>
      </c>
      <c r="F2336" t="n">
        <v>21.56</v>
      </c>
      <c r="G2336" t="n">
        <v>0</v>
      </c>
      <c r="H2336" t="n">
        <v>0</v>
      </c>
      <c r="I2336" s="3">
        <f>E2336+G2336+H2336</f>
        <v/>
      </c>
      <c r="J2336" s="3">
        <f>ROUND(MIN(IF(C2336="Técnico III",35,IF(C2336="Técnico II",28,IF(C2336="Técnico I",23,IF(C2336="JR",20,IF(C2336="Estágio",10,0))))),IF(C2336="Técnico III",SUMIFS($D:$D,$A:$A,$A2336,$B:$B,"&lt;&gt;Patrícia Karla de Sousa Araújo",$B:$B,"&lt;&gt;Lorena Dias de Araujo",$B:$B,"&lt;&gt;Lucas Luiz Romero")*(35/1083),IF(C2336="Técnico II",SUMIFS($D:$D,$A:$A,$A2336,$B:$B,"&lt;&gt;Patrícia Karla de Sousa Araújo",$B:$B,"&lt;&gt;Lorena Dias de Araujo",$B:$B,"&lt;&gt;Lucas Luiz Romero")*(28/1083),IF(C2336="Técnico I",SUMIFS($D:$D,$A:$A,$A2336,$B:$B,"&lt;&gt;Patrícia Karla de Sousa Araújo",$B:$B,"&lt;&gt;Lorena Dias de Araujo",$B:$B,"&lt;&gt;Lucas Luiz Romero")*(23/1083),IF(C2336="JR",SUMIFS($D:$D,$A:$A,$A2336,$B:$B,"&lt;&gt;Patrícia Karla de Sousa Araújo",$B:$B,"&lt;&gt;Lorena Dias de Araujo",$B:$B,"&lt;&gt;Lucas Luiz Romero")*(20/1083),IF(C2336="Estágio",SUMIFS($D:$D,$A:$A,$A2336,$B:$B,"&lt;&gt;Patrícia Karla de Sousa Araújo",$B:$B,"&lt;&gt;Lorena Dias de Araujo",$B:$B,"&lt;&gt;Lucas Luiz Romero")*(10/1083),0)))))),0)</f>
        <v/>
      </c>
      <c r="K2336" s="3">
        <f>I2336-J2336</f>
        <v/>
      </c>
      <c r="L2336" s="3">
        <f>IF(K2336&lt;-5,"CRÍTICO",IF(K2336&lt;0,"ATENÇÃO",IF(K2336&lt;=5,"BOM","EXCELENTE")))</f>
        <v/>
      </c>
      <c r="N2336" t="n">
        <v>99.06999999999999</v>
      </c>
      <c r="O2336" t="n">
        <v>26.3768115942029</v>
      </c>
    </row>
    <row r="2337" hidden="1">
      <c r="A2337" s="11" t="n">
        <v>46073</v>
      </c>
      <c r="B2337" t="inlineStr">
        <is>
          <t>Jéssica Fé Moura</t>
        </is>
      </c>
      <c r="C2337" t="inlineStr">
        <is>
          <t>Técnico III</t>
        </is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s="3" t="n">
        <v>0</v>
      </c>
      <c r="J2337" s="3" t="n">
        <v>0</v>
      </c>
      <c r="K2337" s="3" t="n">
        <v>0</v>
      </c>
      <c r="L2337" s="3">
        <f>IF(K2337&lt;-5,"CRÍTICO",IF(K2337&lt;0,"ATENÇÃO",IF(K2337&lt;=5,"BOM","EXCELENTE")))</f>
        <v/>
      </c>
      <c r="N2337" t="n">
        <v>100</v>
      </c>
      <c r="O2337" t="n">
        <v>0</v>
      </c>
    </row>
    <row r="2338" hidden="1">
      <c r="A2338" s="11" t="n">
        <v>46073</v>
      </c>
      <c r="B2338" t="inlineStr">
        <is>
          <t>Karina Gonçalves Martins</t>
        </is>
      </c>
      <c r="C2338" t="inlineStr">
        <is>
          <t>JR</t>
        </is>
      </c>
      <c r="D2338" t="n">
        <v>19</v>
      </c>
      <c r="E2338" t="n">
        <v>18</v>
      </c>
      <c r="F2338" t="n">
        <v>28.27</v>
      </c>
      <c r="G2338" t="n">
        <v>0</v>
      </c>
      <c r="H2338" t="n">
        <v>0</v>
      </c>
      <c r="I2338" s="3">
        <f>E2338+G2338+H2338</f>
        <v/>
      </c>
      <c r="J2338" s="3">
        <f>ROUND(MIN(IF(C2338="Técnico III",35,IF(C2338="Técnico II",28,IF(C2338="Técnico I",23,IF(C2338="JR",20,IF(C2338="Estágio",10,0))))),IF(C2338="Técnico III",SUMIFS($D:$D,$A:$A,$A2338,$B:$B,"&lt;&gt;Patrícia Karla de Sousa Araújo",$B:$B,"&lt;&gt;Lorena Dias de Araujo",$B:$B,"&lt;&gt;Lucas Luiz Romero")*(35/1083),IF(C2338="Técnico II",SUMIFS($D:$D,$A:$A,$A2338,$B:$B,"&lt;&gt;Patrícia Karla de Sousa Araújo",$B:$B,"&lt;&gt;Lorena Dias de Araujo",$B:$B,"&lt;&gt;Lucas Luiz Romero")*(28/1083),IF(C2338="Técnico I",SUMIFS($D:$D,$A:$A,$A2338,$B:$B,"&lt;&gt;Patrícia Karla de Sousa Araújo",$B:$B,"&lt;&gt;Lorena Dias de Araujo",$B:$B,"&lt;&gt;Lucas Luiz Romero")*(23/1083),IF(C2338="JR",SUMIFS($D:$D,$A:$A,$A2338,$B:$B,"&lt;&gt;Patrícia Karla de Sousa Araújo",$B:$B,"&lt;&gt;Lorena Dias de Araujo",$B:$B,"&lt;&gt;Lucas Luiz Romero")*(20/1083),IF(C2338="Estágio",SUMIFS($D:$D,$A:$A,$A2338,$B:$B,"&lt;&gt;Patrícia Karla de Sousa Araújo",$B:$B,"&lt;&gt;Lorena Dias de Araujo",$B:$B,"&lt;&gt;Lucas Luiz Romero")*(10/1083),0)))))),0)</f>
        <v/>
      </c>
      <c r="K2338" s="3">
        <f>I2338-J2338</f>
        <v/>
      </c>
      <c r="L2338" s="3">
        <f>IF(K2338&lt;-5,"CRÍTICO",IF(K2338&lt;0,"ATENÇÃO",IF(K2338&lt;=5,"BOM","EXCELENTE")))</f>
        <v/>
      </c>
      <c r="N2338" t="n">
        <v>98.48</v>
      </c>
      <c r="O2338" t="n">
        <v>27.85388127853881</v>
      </c>
    </row>
    <row r="2339" hidden="1">
      <c r="A2339" s="11" t="n">
        <v>46073</v>
      </c>
      <c r="B2339" t="inlineStr">
        <is>
          <t>Kerollen Cristielly de Jesus Siqueira</t>
        </is>
      </c>
      <c r="C2339" t="inlineStr">
        <is>
          <t>Técnico III</t>
        </is>
      </c>
      <c r="D2339" t="n">
        <v>20</v>
      </c>
      <c r="E2339" t="n">
        <v>19</v>
      </c>
      <c r="F2339" t="n">
        <v>25.12</v>
      </c>
      <c r="G2339" t="n">
        <v>0</v>
      </c>
      <c r="H2339" t="n">
        <v>0</v>
      </c>
      <c r="I2339" s="3">
        <f>E2339+G2339+H2339</f>
        <v/>
      </c>
      <c r="J2339" s="3">
        <f>ROUND(MIN(IF(C2339="Técnico III",35,IF(C2339="Técnico II",28,IF(C2339="Técnico I",23,IF(C2339="JR",20,IF(C2339="Estágio",10,0))))),IF(C2339="Técnico III",SUMIFS($D:$D,$A:$A,$A2339,$B:$B,"&lt;&gt;Patrícia Karla de Sousa Araújo",$B:$B,"&lt;&gt;Lorena Dias de Araujo",$B:$B,"&lt;&gt;Lucas Luiz Romero")*(35/1083),IF(C2339="Técnico II",SUMIFS($D:$D,$A:$A,$A2339,$B:$B,"&lt;&gt;Patrícia Karla de Sousa Araújo",$B:$B,"&lt;&gt;Lorena Dias de Araujo",$B:$B,"&lt;&gt;Lucas Luiz Romero")*(28/1083),IF(C2339="Técnico I",SUMIFS($D:$D,$A:$A,$A2339,$B:$B,"&lt;&gt;Patrícia Karla de Sousa Araújo",$B:$B,"&lt;&gt;Lorena Dias de Araujo",$B:$B,"&lt;&gt;Lucas Luiz Romero")*(23/1083),IF(C2339="JR",SUMIFS($D:$D,$A:$A,$A2339,$B:$B,"&lt;&gt;Patrícia Karla de Sousa Araújo",$B:$B,"&lt;&gt;Lorena Dias de Araujo",$B:$B,"&lt;&gt;Lucas Luiz Romero")*(20/1083),IF(C2339="Estágio",SUMIFS($D:$D,$A:$A,$A2339,$B:$B,"&lt;&gt;Patrícia Karla de Sousa Araújo",$B:$B,"&lt;&gt;Lorena Dias de Araujo",$B:$B,"&lt;&gt;Lucas Luiz Romero")*(10/1083),0)))))),0)</f>
        <v/>
      </c>
      <c r="K2339" s="3">
        <f>I2339-J2339</f>
        <v/>
      </c>
      <c r="L2339" s="3">
        <f>IF(K2339&lt;-5,"CRÍTICO",IF(K2339&lt;0,"ATENÇÃO",IF(K2339&lt;=5,"BOM","EXCELENTE")))</f>
        <v/>
      </c>
      <c r="N2339" t="n">
        <v>95.15000000000001</v>
      </c>
      <c r="O2339" t="n">
        <v>34.13173652694611</v>
      </c>
    </row>
    <row r="2340" hidden="1">
      <c r="A2340" s="11" t="n">
        <v>46073</v>
      </c>
      <c r="B2340" t="inlineStr">
        <is>
          <t>Leandro de Souza Silva</t>
        </is>
      </c>
      <c r="C2340" t="inlineStr">
        <is>
          <t>JR</t>
        </is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s="3" t="n">
        <v>0</v>
      </c>
      <c r="J2340" s="3" t="n">
        <v>0</v>
      </c>
      <c r="K2340" s="3" t="n">
        <v>0</v>
      </c>
      <c r="L2340" s="3">
        <f>IF(K2340&lt;-5,"CRÍTICO",IF(K2340&lt;0,"ATENÇÃO",IF(K2340&lt;=5,"BOM","EXCELENTE")))</f>
        <v/>
      </c>
      <c r="N2340" t="n">
        <v>0</v>
      </c>
      <c r="O2340" t="n">
        <v>0</v>
      </c>
    </row>
    <row r="2341" hidden="1">
      <c r="A2341" s="11" t="n">
        <v>46073</v>
      </c>
      <c r="B2341" t="inlineStr">
        <is>
          <t>Leandro Oliveira de Sousa</t>
        </is>
      </c>
      <c r="C2341" t="inlineStr">
        <is>
          <t>Técnico III</t>
        </is>
      </c>
      <c r="D2341" t="n">
        <v>29</v>
      </c>
      <c r="E2341" t="n">
        <v>28</v>
      </c>
      <c r="F2341" t="n">
        <v>21.56</v>
      </c>
      <c r="G2341" t="n">
        <v>0</v>
      </c>
      <c r="H2341" t="n">
        <v>0</v>
      </c>
      <c r="I2341" s="3">
        <f>E2341+G2341+H2341</f>
        <v/>
      </c>
      <c r="J2341" s="3">
        <f>ROUND(MIN(IF(C2341="Técnico III",35,IF(C2341="Técnico II",28,IF(C2341="Técnico I",23,IF(C2341="JR",20,IF(C2341="Estágio",10,0))))),IF(C2341="Técnico III",SUMIFS($D:$D,$A:$A,$A2341,$B:$B,"&lt;&gt;Patrícia Karla de Sousa Araújo",$B:$B,"&lt;&gt;Lorena Dias de Araujo",$B:$B,"&lt;&gt;Lucas Luiz Romero")*(35/1083),IF(C2341="Técnico II",SUMIFS($D:$D,$A:$A,$A2341,$B:$B,"&lt;&gt;Patrícia Karla de Sousa Araújo",$B:$B,"&lt;&gt;Lorena Dias de Araujo",$B:$B,"&lt;&gt;Lucas Luiz Romero")*(28/1083),IF(C2341="Técnico I",SUMIFS($D:$D,$A:$A,$A2341,$B:$B,"&lt;&gt;Patrícia Karla de Sousa Araújo",$B:$B,"&lt;&gt;Lorena Dias de Araujo",$B:$B,"&lt;&gt;Lucas Luiz Romero")*(23/1083),IF(C2341="JR",SUMIFS($D:$D,$A:$A,$A2341,$B:$B,"&lt;&gt;Patrícia Karla de Sousa Araújo",$B:$B,"&lt;&gt;Lorena Dias de Araujo",$B:$B,"&lt;&gt;Lucas Luiz Romero")*(20/1083),IF(C2341="Estágio",SUMIFS($D:$D,$A:$A,$A2341,$B:$B,"&lt;&gt;Patrícia Karla de Sousa Araújo",$B:$B,"&lt;&gt;Lorena Dias de Araujo",$B:$B,"&lt;&gt;Lucas Luiz Romero")*(10/1083),0)))))),0)</f>
        <v/>
      </c>
      <c r="K2341" s="3">
        <f>I2341-J2341</f>
        <v/>
      </c>
      <c r="L2341" s="3">
        <f>IF(K2341&lt;-5,"CRÍTICO",IF(K2341&lt;0,"ATENÇÃO",IF(K2341&lt;=5,"BOM","EXCELENTE")))</f>
        <v/>
      </c>
      <c r="N2341" t="n">
        <v>99.26000000000001</v>
      </c>
      <c r="O2341" t="n">
        <v>30.84832904884319</v>
      </c>
    </row>
    <row r="2342" hidden="1">
      <c r="A2342" s="11" t="n">
        <v>46073</v>
      </c>
      <c r="B2342" t="inlineStr">
        <is>
          <t>Lizandra Gomes Duarte</t>
        </is>
      </c>
      <c r="C2342" t="inlineStr">
        <is>
          <t>Técnico II</t>
        </is>
      </c>
      <c r="D2342" t="n">
        <v>31</v>
      </c>
      <c r="E2342" t="n">
        <v>27</v>
      </c>
      <c r="F2342" t="n">
        <v>24.05</v>
      </c>
      <c r="G2342" t="n">
        <v>0</v>
      </c>
      <c r="H2342" t="n">
        <v>0</v>
      </c>
      <c r="I2342" s="3">
        <f>E2342+G2342+H2342</f>
        <v/>
      </c>
      <c r="J2342" s="3">
        <f>ROUND(MIN(IF(C2342="Técnico III",35,IF(C2342="Técnico II",28,IF(C2342="Técnico I",23,IF(C2342="JR",20,IF(C2342="Estágio",10,0))))),IF(C2342="Técnico III",SUMIFS($D:$D,$A:$A,$A2342,$B:$B,"&lt;&gt;Patrícia Karla de Sousa Araújo",$B:$B,"&lt;&gt;Lorena Dias de Araujo",$B:$B,"&lt;&gt;Lucas Luiz Romero")*(35/1083),IF(C2342="Técnico II",SUMIFS($D:$D,$A:$A,$A2342,$B:$B,"&lt;&gt;Patrícia Karla de Sousa Araújo",$B:$B,"&lt;&gt;Lorena Dias de Araujo",$B:$B,"&lt;&gt;Lucas Luiz Romero")*(28/1083),IF(C2342="Técnico I",SUMIFS($D:$D,$A:$A,$A2342,$B:$B,"&lt;&gt;Patrícia Karla de Sousa Araújo",$B:$B,"&lt;&gt;Lorena Dias de Araujo",$B:$B,"&lt;&gt;Lucas Luiz Romero")*(23/1083),IF(C2342="JR",SUMIFS($D:$D,$A:$A,$A2342,$B:$B,"&lt;&gt;Patrícia Karla de Sousa Araújo",$B:$B,"&lt;&gt;Lorena Dias de Araujo",$B:$B,"&lt;&gt;Lucas Luiz Romero")*(20/1083),IF(C2342="Estágio",SUMIFS($D:$D,$A:$A,$A2342,$B:$B,"&lt;&gt;Patrícia Karla de Sousa Araújo",$B:$B,"&lt;&gt;Lorena Dias de Araujo",$B:$B,"&lt;&gt;Lucas Luiz Romero")*(10/1083),0)))))),0)</f>
        <v/>
      </c>
      <c r="K2342" s="3">
        <f>I2342-J2342</f>
        <v/>
      </c>
      <c r="L2342" s="3">
        <f>IF(K2342&lt;-5,"CRÍTICO",IF(K2342&lt;0,"ATENÇÃO",IF(K2342&lt;=5,"BOM","EXCELENTE")))</f>
        <v/>
      </c>
      <c r="N2342" t="n">
        <v>97.48</v>
      </c>
      <c r="O2342" t="n">
        <v>27.76470588235294</v>
      </c>
    </row>
    <row r="2343" hidden="1">
      <c r="A2343" s="11" t="n">
        <v>46073</v>
      </c>
      <c r="B2343" t="inlineStr">
        <is>
          <t>Lorena Dias de Araujo</t>
        </is>
      </c>
      <c r="C2343" t="inlineStr">
        <is>
          <t>Técnico II</t>
        </is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s="3" t="n">
        <v>0</v>
      </c>
      <c r="J2343" s="3" t="n">
        <v>0</v>
      </c>
      <c r="K2343" s="3" t="n">
        <v>0</v>
      </c>
      <c r="L2343" s="3">
        <f>IF(K2343&lt;-5,"CRÍTICO",IF(K2343&lt;0,"ATENÇÃO",IF(K2343&lt;=5,"BOM","EXCELENTE")))</f>
        <v/>
      </c>
      <c r="N2343" t="n">
        <v>99.34</v>
      </c>
      <c r="O2343" t="n">
        <v>30.04291845493562</v>
      </c>
    </row>
    <row r="2344" hidden="1">
      <c r="A2344" s="11" t="n">
        <v>46073</v>
      </c>
      <c r="B2344" t="inlineStr">
        <is>
          <t>Lucas Luiz Romero</t>
        </is>
      </c>
      <c r="C2344" t="inlineStr">
        <is>
          <t>Técnico III</t>
        </is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s="3" t="n">
        <v>0</v>
      </c>
      <c r="J2344" s="3" t="n">
        <v>0</v>
      </c>
      <c r="K2344" s="3" t="n">
        <v>0</v>
      </c>
      <c r="L2344" s="3">
        <f>IF(K2344&lt;-5,"CRÍTICO",IF(K2344&lt;0,"ATENÇÃO",IF(K2344&lt;=5,"BOM","EXCELENTE")))</f>
        <v/>
      </c>
      <c r="N2344" t="n">
        <v>96.3</v>
      </c>
      <c r="O2344" t="n">
        <v>24.29378531073446</v>
      </c>
    </row>
    <row r="2345" hidden="1">
      <c r="A2345" s="11" t="n">
        <v>46073</v>
      </c>
      <c r="B2345" t="inlineStr">
        <is>
          <t>Luiz Fernando de Carvalho Junior</t>
        </is>
      </c>
      <c r="C2345" t="inlineStr">
        <is>
          <t>Técnico I</t>
        </is>
      </c>
      <c r="D2345" t="n">
        <v>10</v>
      </c>
      <c r="E2345" t="n">
        <v>9</v>
      </c>
      <c r="F2345" t="n">
        <v>38.54</v>
      </c>
      <c r="G2345" t="n">
        <v>0</v>
      </c>
      <c r="H2345" t="n">
        <v>0</v>
      </c>
      <c r="I2345" s="3">
        <f>E2345+G2345+H2345</f>
        <v/>
      </c>
      <c r="J2345" s="3">
        <f>ROUND(MIN(IF(C2345="Técnico III",35,IF(C2345="Técnico II",28,IF(C2345="Técnico I",23,IF(C2345="JR",20,IF(C2345="Estágio",10,0))))),IF(C2345="Técnico III",SUMIFS($D:$D,$A:$A,$A2345,$B:$B,"&lt;&gt;Patrícia Karla de Sousa Araújo",$B:$B,"&lt;&gt;Lorena Dias de Araujo",$B:$B,"&lt;&gt;Lucas Luiz Romero")*(35/1083),IF(C2345="Técnico II",SUMIFS($D:$D,$A:$A,$A2345,$B:$B,"&lt;&gt;Patrícia Karla de Sousa Araújo",$B:$B,"&lt;&gt;Lorena Dias de Araujo",$B:$B,"&lt;&gt;Lucas Luiz Romero")*(28/1083),IF(C2345="Técnico I",SUMIFS($D:$D,$A:$A,$A2345,$B:$B,"&lt;&gt;Patrícia Karla de Sousa Araújo",$B:$B,"&lt;&gt;Lorena Dias de Araujo",$B:$B,"&lt;&gt;Lucas Luiz Romero")*(23/1083),IF(C2345="JR",SUMIFS($D:$D,$A:$A,$A2345,$B:$B,"&lt;&gt;Patrícia Karla de Sousa Araújo",$B:$B,"&lt;&gt;Lorena Dias de Araujo",$B:$B,"&lt;&gt;Lucas Luiz Romero")*(20/1083),IF(C2345="Estágio",SUMIFS($D:$D,$A:$A,$A2345,$B:$B,"&lt;&gt;Patrícia Karla de Sousa Araújo",$B:$B,"&lt;&gt;Lorena Dias de Araujo",$B:$B,"&lt;&gt;Lucas Luiz Romero")*(10/1083),0)))))),0)</f>
        <v/>
      </c>
      <c r="K2345" s="3">
        <f>I2345-J2345</f>
        <v/>
      </c>
      <c r="L2345" s="3">
        <f>IF(K2345&lt;-5,"CRÍTICO",IF(K2345&lt;0,"ATENÇÃO",IF(K2345&lt;=5,"BOM","EXCELENTE")))</f>
        <v/>
      </c>
      <c r="N2345" t="n">
        <v>100</v>
      </c>
      <c r="O2345" t="n">
        <v>26.54320987654321</v>
      </c>
    </row>
    <row r="2346" hidden="1">
      <c r="A2346" s="11" t="n">
        <v>46073</v>
      </c>
      <c r="B2346" t="inlineStr">
        <is>
          <t>Maria Eduarda Sousa Costa</t>
        </is>
      </c>
      <c r="C2346" t="inlineStr">
        <is>
          <t>Estágio</t>
        </is>
      </c>
      <c r="D2346" t="n">
        <v>4</v>
      </c>
      <c r="E2346" t="n">
        <v>4</v>
      </c>
      <c r="F2346" t="n">
        <v>99.13</v>
      </c>
      <c r="G2346" t="n">
        <v>0</v>
      </c>
      <c r="H2346" t="n">
        <v>0</v>
      </c>
      <c r="I2346" s="3">
        <f>E2346+G2346+H2346</f>
        <v/>
      </c>
      <c r="J2346" s="3">
        <f>ROUND(MIN(IF(C2346="Técnico III",35,IF(C2346="Técnico II",28,IF(C2346="Técnico I",23,IF(C2346="JR",20,IF(C2346="Estágio",10,0))))),IF(C2346="Técnico III",SUMIFS($D:$D,$A:$A,$A2346,$B:$B,"&lt;&gt;Patrícia Karla de Sousa Araújo",$B:$B,"&lt;&gt;Lorena Dias de Araujo",$B:$B,"&lt;&gt;Lucas Luiz Romero")*(35/1083),IF(C2346="Técnico II",SUMIFS($D:$D,$A:$A,$A2346,$B:$B,"&lt;&gt;Patrícia Karla de Sousa Araújo",$B:$B,"&lt;&gt;Lorena Dias de Araujo",$B:$B,"&lt;&gt;Lucas Luiz Romero")*(28/1083),IF(C2346="Técnico I",SUMIFS($D:$D,$A:$A,$A2346,$B:$B,"&lt;&gt;Patrícia Karla de Sousa Araújo",$B:$B,"&lt;&gt;Lorena Dias de Araujo",$B:$B,"&lt;&gt;Lucas Luiz Romero")*(23/1083),IF(C2346="JR",SUMIFS($D:$D,$A:$A,$A2346,$B:$B,"&lt;&gt;Patrícia Karla de Sousa Araújo",$B:$B,"&lt;&gt;Lorena Dias de Araujo",$B:$B,"&lt;&gt;Lucas Luiz Romero")*(20/1083),IF(C2346="Estágio",SUMIFS($D:$D,$A:$A,$A2346,$B:$B,"&lt;&gt;Patrícia Karla de Sousa Araújo",$B:$B,"&lt;&gt;Lorena Dias de Araujo",$B:$B,"&lt;&gt;Lucas Luiz Romero")*(10/1083),0)))))),0)</f>
        <v/>
      </c>
      <c r="K2346" s="3">
        <f>I2346-J2346</f>
        <v/>
      </c>
      <c r="L2346" s="3">
        <f>IF(K2346&lt;-5,"CRÍTICO",IF(K2346&lt;0,"ATENÇÃO",IF(K2346&lt;=5,"BOM","EXCELENTE")))</f>
        <v/>
      </c>
      <c r="N2346" t="n">
        <v>100</v>
      </c>
      <c r="O2346" t="n">
        <v>35.48387096774194</v>
      </c>
    </row>
    <row r="2347" hidden="1">
      <c r="A2347" s="11" t="n">
        <v>46073</v>
      </c>
      <c r="B2347" t="inlineStr">
        <is>
          <t>Matheus Farias De Souza</t>
        </is>
      </c>
      <c r="C2347" t="inlineStr">
        <is>
          <t>Técnico III</t>
        </is>
      </c>
      <c r="D2347" t="n">
        <v>23</v>
      </c>
      <c r="E2347" t="n">
        <v>22</v>
      </c>
      <c r="F2347" t="n">
        <v>32.11</v>
      </c>
      <c r="G2347" t="n">
        <v>0</v>
      </c>
      <c r="H2347" t="n">
        <v>0</v>
      </c>
      <c r="I2347" s="3">
        <f>E2347+G2347+H2347</f>
        <v/>
      </c>
      <c r="J2347" s="3">
        <f>ROUND(MIN(IF(C2347="Técnico III",35,IF(C2347="Técnico II",28,IF(C2347="Técnico I",23,IF(C2347="JR",20,IF(C2347="Estágio",10,0))))),IF(C2347="Técnico III",SUMIFS($D:$D,$A:$A,$A2347,$B:$B,"&lt;&gt;Patrícia Karla de Sousa Araújo",$B:$B,"&lt;&gt;Lorena Dias de Araujo",$B:$B,"&lt;&gt;Lucas Luiz Romero")*(35/1083),IF(C2347="Técnico II",SUMIFS($D:$D,$A:$A,$A2347,$B:$B,"&lt;&gt;Patrícia Karla de Sousa Araújo",$B:$B,"&lt;&gt;Lorena Dias de Araujo",$B:$B,"&lt;&gt;Lucas Luiz Romero")*(28/1083),IF(C2347="Técnico I",SUMIFS($D:$D,$A:$A,$A2347,$B:$B,"&lt;&gt;Patrícia Karla de Sousa Araújo",$B:$B,"&lt;&gt;Lorena Dias de Araujo",$B:$B,"&lt;&gt;Lucas Luiz Romero")*(23/1083),IF(C2347="JR",SUMIFS($D:$D,$A:$A,$A2347,$B:$B,"&lt;&gt;Patrícia Karla de Sousa Araújo",$B:$B,"&lt;&gt;Lorena Dias de Araujo",$B:$B,"&lt;&gt;Lucas Luiz Romero")*(20/1083),IF(C2347="Estágio",SUMIFS($D:$D,$A:$A,$A2347,$B:$B,"&lt;&gt;Patrícia Karla de Sousa Araújo",$B:$B,"&lt;&gt;Lorena Dias de Araujo",$B:$B,"&lt;&gt;Lucas Luiz Romero")*(10/1083),0)))))),0)</f>
        <v/>
      </c>
      <c r="K2347" s="3">
        <f>I2347-J2347</f>
        <v/>
      </c>
      <c r="L2347" s="3">
        <f>IF(K2347&lt;-5,"CRÍTICO",IF(K2347&lt;0,"ATENÇÃO",IF(K2347&lt;=5,"BOM","EXCELENTE")))</f>
        <v/>
      </c>
      <c r="N2347" t="n">
        <v>99.27</v>
      </c>
      <c r="O2347" t="n">
        <v>31.16370808678501</v>
      </c>
    </row>
    <row r="2348" hidden="1">
      <c r="A2348" s="11" t="n">
        <v>46073</v>
      </c>
      <c r="B2348" t="inlineStr">
        <is>
          <t>Maysa Victoria Dias Moura</t>
        </is>
      </c>
      <c r="C2348" t="inlineStr">
        <is>
          <t>Técnico III</t>
        </is>
      </c>
      <c r="D2348" t="n">
        <v>24</v>
      </c>
      <c r="E2348" t="n">
        <v>23</v>
      </c>
      <c r="F2348" t="n">
        <v>23.25</v>
      </c>
      <c r="G2348" t="n">
        <v>0</v>
      </c>
      <c r="H2348" t="n">
        <v>0</v>
      </c>
      <c r="I2348" s="3">
        <f>E2348+G2348+H2348</f>
        <v/>
      </c>
      <c r="J2348" s="3">
        <f>ROUND(MIN(IF(C2348="Técnico III",35,IF(C2348="Técnico II",28,IF(C2348="Técnico I",23,IF(C2348="JR",20,IF(C2348="Estágio",10,0))))),IF(C2348="Técnico III",SUMIFS($D:$D,$A:$A,$A2348,$B:$B,"&lt;&gt;Patrícia Karla de Sousa Araújo",$B:$B,"&lt;&gt;Lorena Dias de Araujo",$B:$B,"&lt;&gt;Lucas Luiz Romero")*(35/1083),IF(C2348="Técnico II",SUMIFS($D:$D,$A:$A,$A2348,$B:$B,"&lt;&gt;Patrícia Karla de Sousa Araújo",$B:$B,"&lt;&gt;Lorena Dias de Araujo",$B:$B,"&lt;&gt;Lucas Luiz Romero")*(28/1083),IF(C2348="Técnico I",SUMIFS($D:$D,$A:$A,$A2348,$B:$B,"&lt;&gt;Patrícia Karla de Sousa Araújo",$B:$B,"&lt;&gt;Lorena Dias de Araujo",$B:$B,"&lt;&gt;Lucas Luiz Romero")*(23/1083),IF(C2348="JR",SUMIFS($D:$D,$A:$A,$A2348,$B:$B,"&lt;&gt;Patrícia Karla de Sousa Araújo",$B:$B,"&lt;&gt;Lorena Dias de Araujo",$B:$B,"&lt;&gt;Lucas Luiz Romero")*(20/1083),IF(C2348="Estágio",SUMIFS($D:$D,$A:$A,$A2348,$B:$B,"&lt;&gt;Patrícia Karla de Sousa Araújo",$B:$B,"&lt;&gt;Lorena Dias de Araujo",$B:$B,"&lt;&gt;Lucas Luiz Romero")*(10/1083),0)))))),0)</f>
        <v/>
      </c>
      <c r="K2348" s="3">
        <f>I2348-J2348</f>
        <v/>
      </c>
      <c r="L2348" s="3">
        <f>IF(K2348&lt;-5,"CRÍTICO",IF(K2348&lt;0,"ATENÇÃO",IF(K2348&lt;=5,"BOM","EXCELENTE")))</f>
        <v/>
      </c>
      <c r="N2348" t="n">
        <v>94.16</v>
      </c>
      <c r="O2348" t="n">
        <v>27.03862660944206</v>
      </c>
    </row>
    <row r="2349" hidden="1">
      <c r="A2349" s="11" t="n">
        <v>46073</v>
      </c>
      <c r="B2349" t="inlineStr">
        <is>
          <t>Michelle G Santos</t>
        </is>
      </c>
      <c r="C2349" t="inlineStr">
        <is>
          <t>Estágio</t>
        </is>
      </c>
      <c r="D2349" t="n">
        <v>8</v>
      </c>
      <c r="E2349" t="n">
        <v>7</v>
      </c>
      <c r="F2349" t="n">
        <v>40.15</v>
      </c>
      <c r="G2349" t="n">
        <v>0</v>
      </c>
      <c r="H2349" t="n">
        <v>0</v>
      </c>
      <c r="I2349" s="3">
        <f>E2349+G2349+H2349</f>
        <v/>
      </c>
      <c r="J2349" s="3">
        <f>ROUND(MIN(IF(C2349="Técnico III",35,IF(C2349="Técnico II",28,IF(C2349="Técnico I",23,IF(C2349="JR",20,IF(C2349="Estágio",10,0))))),IF(C2349="Técnico III",SUMIFS($D:$D,$A:$A,$A2349,$B:$B,"&lt;&gt;Patrícia Karla de Sousa Araújo",$B:$B,"&lt;&gt;Lorena Dias de Araujo",$B:$B,"&lt;&gt;Lucas Luiz Romero")*(35/1083),IF(C2349="Técnico II",SUMIFS($D:$D,$A:$A,$A2349,$B:$B,"&lt;&gt;Patrícia Karla de Sousa Araújo",$B:$B,"&lt;&gt;Lorena Dias de Araujo",$B:$B,"&lt;&gt;Lucas Luiz Romero")*(28/1083),IF(C2349="Técnico I",SUMIFS($D:$D,$A:$A,$A2349,$B:$B,"&lt;&gt;Patrícia Karla de Sousa Araújo",$B:$B,"&lt;&gt;Lorena Dias de Araujo",$B:$B,"&lt;&gt;Lucas Luiz Romero")*(23/1083),IF(C2349="JR",SUMIFS($D:$D,$A:$A,$A2349,$B:$B,"&lt;&gt;Patrícia Karla de Sousa Araújo",$B:$B,"&lt;&gt;Lorena Dias de Araujo",$B:$B,"&lt;&gt;Lucas Luiz Romero")*(20/1083),IF(C2349="Estágio",SUMIFS($D:$D,$A:$A,$A2349,$B:$B,"&lt;&gt;Patrícia Karla de Sousa Araújo",$B:$B,"&lt;&gt;Lorena Dias de Araujo",$B:$B,"&lt;&gt;Lucas Luiz Romero")*(10/1083),0)))))),0)</f>
        <v/>
      </c>
      <c r="K2349" s="3">
        <f>I2349-J2349</f>
        <v/>
      </c>
      <c r="L2349" s="3">
        <f>IF(K2349&lt;-5,"CRÍTICO",IF(K2349&lt;0,"ATENÇÃO",IF(K2349&lt;=5,"BOM","EXCELENTE")))</f>
        <v/>
      </c>
      <c r="N2349" t="n">
        <v>93.75</v>
      </c>
      <c r="O2349" t="n">
        <v>19.31818181818182</v>
      </c>
    </row>
    <row r="2350" hidden="1">
      <c r="A2350" s="11" t="n">
        <v>46073</v>
      </c>
      <c r="B2350" t="inlineStr">
        <is>
          <t>Milena Sales</t>
        </is>
      </c>
      <c r="C2350" t="inlineStr">
        <is>
          <t>JR</t>
        </is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s="3" t="n">
        <v>0</v>
      </c>
      <c r="J2350" s="3" t="n">
        <v>0</v>
      </c>
      <c r="K2350" s="3" t="n">
        <v>0</v>
      </c>
      <c r="L2350" s="3">
        <f>IF(K2350&lt;-5,"CRÍTICO",IF(K2350&lt;0,"ATENÇÃO",IF(K2350&lt;=5,"BOM","EXCELENTE")))</f>
        <v/>
      </c>
      <c r="N2350" t="n">
        <v>0</v>
      </c>
      <c r="O2350" t="n">
        <v>0</v>
      </c>
    </row>
    <row r="2351" hidden="1">
      <c r="A2351" s="11" t="n">
        <v>46073</v>
      </c>
      <c r="B2351" t="inlineStr">
        <is>
          <t>Patrícia Karla de Sousa Araújo</t>
        </is>
      </c>
      <c r="C2351" t="inlineStr">
        <is>
          <t>Técnico II</t>
        </is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s="3" t="n">
        <v>0</v>
      </c>
      <c r="J2351" s="3" t="n">
        <v>0</v>
      </c>
      <c r="K2351" s="3" t="n">
        <v>0</v>
      </c>
      <c r="L2351" s="3">
        <f>IF(K2351&lt;-5,"CRÍTICO",IF(K2351&lt;0,"ATENÇÃO",IF(K2351&lt;=5,"BOM","EXCELENTE")))</f>
        <v/>
      </c>
      <c r="N2351" t="n">
        <v>97.92</v>
      </c>
      <c r="O2351" t="n">
        <v>32.87671232876712</v>
      </c>
    </row>
    <row r="2352" hidden="1">
      <c r="A2352" s="11" t="n">
        <v>46073</v>
      </c>
      <c r="B2352" t="inlineStr">
        <is>
          <t>Paulo Ricardo Santos</t>
        </is>
      </c>
      <c r="C2352" t="inlineStr">
        <is>
          <t>JR</t>
        </is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s="3" t="n">
        <v>0</v>
      </c>
      <c r="J2352" s="3" t="n">
        <v>0</v>
      </c>
      <c r="K2352" s="3" t="n">
        <v>0</v>
      </c>
      <c r="L2352" s="3">
        <f>IF(K2352&lt;-5,"CRÍTICO",IF(K2352&lt;0,"ATENÇÃO",IF(K2352&lt;=5,"BOM","EXCELENTE")))</f>
        <v/>
      </c>
      <c r="N2352" t="n">
        <v>0</v>
      </c>
      <c r="O2352" t="n">
        <v>0</v>
      </c>
    </row>
    <row r="2353" hidden="1">
      <c r="A2353" s="11" t="n">
        <v>46073</v>
      </c>
      <c r="B2353" t="inlineStr">
        <is>
          <t>Pedro Luiz Mota Sousa</t>
        </is>
      </c>
      <c r="C2353" t="inlineStr">
        <is>
          <t>JR</t>
        </is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s="3" t="n">
        <v>0</v>
      </c>
      <c r="J2353" s="3" t="n">
        <v>0</v>
      </c>
      <c r="K2353" s="3" t="n">
        <v>0</v>
      </c>
      <c r="L2353" s="3">
        <f>IF(K2353&lt;-5,"CRÍTICO",IF(K2353&lt;0,"ATENÇÃO",IF(K2353&lt;=5,"BOM","EXCELENTE")))</f>
        <v/>
      </c>
      <c r="N2353" t="n">
        <v>0</v>
      </c>
      <c r="O2353" t="n">
        <v>0</v>
      </c>
    </row>
    <row r="2354" hidden="1">
      <c r="A2354" s="11" t="n">
        <v>46073</v>
      </c>
      <c r="B2354" t="inlineStr">
        <is>
          <t>Quirino Diogo Leite Torres</t>
        </is>
      </c>
      <c r="C2354" t="inlineStr">
        <is>
          <t>Estágio</t>
        </is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s="3" t="n">
        <v>0</v>
      </c>
      <c r="J2354" s="3" t="n">
        <v>0</v>
      </c>
      <c r="K2354" s="3" t="n">
        <v>0</v>
      </c>
      <c r="L2354" s="3">
        <f>IF(K2354&lt;-5,"CRÍTICO",IF(K2354&lt;0,"ATENÇÃO",IF(K2354&lt;=5,"BOM","EXCELENTE")))</f>
        <v/>
      </c>
      <c r="N2354" t="n">
        <v>0</v>
      </c>
      <c r="O2354" t="n">
        <v>0</v>
      </c>
    </row>
    <row r="2355" hidden="1">
      <c r="A2355" s="11" t="n">
        <v>46073</v>
      </c>
      <c r="B2355" t="inlineStr">
        <is>
          <t>Raane Batista Matos</t>
        </is>
      </c>
      <c r="C2355" t="inlineStr">
        <is>
          <t>Técnico I</t>
        </is>
      </c>
      <c r="D2355" t="n">
        <v>22</v>
      </c>
      <c r="E2355" t="n">
        <v>19</v>
      </c>
      <c r="F2355" t="n">
        <v>28.38</v>
      </c>
      <c r="G2355" t="n">
        <v>0</v>
      </c>
      <c r="H2355" t="n">
        <v>0</v>
      </c>
      <c r="I2355" s="3">
        <f>E2355+G2355+H2355</f>
        <v/>
      </c>
      <c r="J2355" s="3">
        <f>ROUND(MIN(IF(C2355="Técnico III",35,IF(C2355="Técnico II",28,IF(C2355="Técnico I",23,IF(C2355="JR",20,IF(C2355="Estágio",10,0))))),IF(C2355="Técnico III",SUMIFS($D:$D,$A:$A,$A2355,$B:$B,"&lt;&gt;Patrícia Karla de Sousa Araújo",$B:$B,"&lt;&gt;Lorena Dias de Araujo",$B:$B,"&lt;&gt;Lucas Luiz Romero")*(35/1083),IF(C2355="Técnico II",SUMIFS($D:$D,$A:$A,$A2355,$B:$B,"&lt;&gt;Patrícia Karla de Sousa Araújo",$B:$B,"&lt;&gt;Lorena Dias de Araujo",$B:$B,"&lt;&gt;Lucas Luiz Romero")*(28/1083),IF(C2355="Técnico I",SUMIFS($D:$D,$A:$A,$A2355,$B:$B,"&lt;&gt;Patrícia Karla de Sousa Araújo",$B:$B,"&lt;&gt;Lorena Dias de Araujo",$B:$B,"&lt;&gt;Lucas Luiz Romero")*(23/1083),IF(C2355="JR",SUMIFS($D:$D,$A:$A,$A2355,$B:$B,"&lt;&gt;Patrícia Karla de Sousa Araújo",$B:$B,"&lt;&gt;Lorena Dias de Araujo",$B:$B,"&lt;&gt;Lucas Luiz Romero")*(20/1083),IF(C2355="Estágio",SUMIFS($D:$D,$A:$A,$A2355,$B:$B,"&lt;&gt;Patrícia Karla de Sousa Araújo",$B:$B,"&lt;&gt;Lorena Dias de Araujo",$B:$B,"&lt;&gt;Lucas Luiz Romero")*(10/1083),0)))))),0)</f>
        <v/>
      </c>
      <c r="K2355" s="3">
        <f>I2355-J2355</f>
        <v/>
      </c>
      <c r="L2355" s="3">
        <f>IF(K2355&lt;-5,"CRÍTICO",IF(K2355&lt;0,"ATENÇÃO",IF(K2355&lt;=5,"BOM","EXCELENTE")))</f>
        <v/>
      </c>
      <c r="N2355" t="n">
        <v>98.51000000000001</v>
      </c>
      <c r="O2355" t="n">
        <v>29.71014492753623</v>
      </c>
    </row>
    <row r="2356" hidden="1">
      <c r="A2356" s="11" t="n">
        <v>46073</v>
      </c>
      <c r="B2356" t="inlineStr">
        <is>
          <t>Rafael Gomes de Morais</t>
        </is>
      </c>
      <c r="C2356" t="inlineStr">
        <is>
          <t>Técnico III</t>
        </is>
      </c>
      <c r="D2356" t="n">
        <v>34</v>
      </c>
      <c r="E2356" t="n">
        <v>32</v>
      </c>
      <c r="F2356" t="n">
        <v>20.12</v>
      </c>
      <c r="G2356" t="n">
        <v>0</v>
      </c>
      <c r="H2356" t="n">
        <v>0</v>
      </c>
      <c r="I2356" s="3">
        <f>E2356+G2356+H2356</f>
        <v/>
      </c>
      <c r="J2356" s="3">
        <f>ROUND(MIN(IF(C2356="Técnico III",35,IF(C2356="Técnico II",28,IF(C2356="Técnico I",23,IF(C2356="JR",20,IF(C2356="Estágio",10,0))))),IF(C2356="Técnico III",SUMIFS($D:$D,$A:$A,$A2356,$B:$B,"&lt;&gt;Patrícia Karla de Sousa Araújo",$B:$B,"&lt;&gt;Lorena Dias de Araujo",$B:$B,"&lt;&gt;Lucas Luiz Romero")*(35/1083),IF(C2356="Técnico II",SUMIFS($D:$D,$A:$A,$A2356,$B:$B,"&lt;&gt;Patrícia Karla de Sousa Araújo",$B:$B,"&lt;&gt;Lorena Dias de Araujo",$B:$B,"&lt;&gt;Lucas Luiz Romero")*(28/1083),IF(C2356="Técnico I",SUMIFS($D:$D,$A:$A,$A2356,$B:$B,"&lt;&gt;Patrícia Karla de Sousa Araújo",$B:$B,"&lt;&gt;Lorena Dias de Araujo",$B:$B,"&lt;&gt;Lucas Luiz Romero")*(23/1083),IF(C2356="JR",SUMIFS($D:$D,$A:$A,$A2356,$B:$B,"&lt;&gt;Patrícia Karla de Sousa Araújo",$B:$B,"&lt;&gt;Lorena Dias de Araujo",$B:$B,"&lt;&gt;Lucas Luiz Romero")*(20/1083),IF(C2356="Estágio",SUMIFS($D:$D,$A:$A,$A2356,$B:$B,"&lt;&gt;Patrícia Karla de Sousa Araújo",$B:$B,"&lt;&gt;Lorena Dias de Araujo",$B:$B,"&lt;&gt;Lucas Luiz Romero")*(10/1083),0)))))),0)</f>
        <v/>
      </c>
      <c r="K2356" s="3">
        <f>I2356-J2356</f>
        <v/>
      </c>
      <c r="L2356" s="3">
        <f>IF(K2356&lt;-5,"CRÍTICO",IF(K2356&lt;0,"ATENÇÃO",IF(K2356&lt;=5,"BOM","EXCELENTE")))</f>
        <v/>
      </c>
      <c r="N2356" t="n">
        <v>98.81</v>
      </c>
      <c r="O2356" t="n">
        <v>30.71297989031079</v>
      </c>
    </row>
    <row r="2357" hidden="1">
      <c r="A2357" s="11" t="n">
        <v>46073</v>
      </c>
      <c r="B2357" t="inlineStr">
        <is>
          <t>Sara Maria Monteiro Lopes</t>
        </is>
      </c>
      <c r="C2357" t="inlineStr">
        <is>
          <t>Técnico I</t>
        </is>
      </c>
      <c r="D2357" t="n">
        <v>11</v>
      </c>
      <c r="E2357" t="n">
        <v>11</v>
      </c>
      <c r="F2357" t="n">
        <v>50.56</v>
      </c>
      <c r="G2357" t="n">
        <v>0</v>
      </c>
      <c r="H2357" t="n">
        <v>0</v>
      </c>
      <c r="I2357" s="3">
        <f>E2357+G2357+H2357</f>
        <v/>
      </c>
      <c r="J2357" s="3">
        <f>ROUND(MIN(IF(C2357="Técnico III",35,IF(C2357="Técnico II",28,IF(C2357="Técnico I",23,IF(C2357="JR",20,IF(C2357="Estágio",10,0))))),IF(C2357="Técnico III",SUMIFS($D:$D,$A:$A,$A2357,$B:$B,"&lt;&gt;Patrícia Karla de Sousa Araújo",$B:$B,"&lt;&gt;Lorena Dias de Araujo",$B:$B,"&lt;&gt;Lucas Luiz Romero")*(35/1083),IF(C2357="Técnico II",SUMIFS($D:$D,$A:$A,$A2357,$B:$B,"&lt;&gt;Patrícia Karla de Sousa Araújo",$B:$B,"&lt;&gt;Lorena Dias de Araujo",$B:$B,"&lt;&gt;Lucas Luiz Romero")*(28/1083),IF(C2357="Técnico I",SUMIFS($D:$D,$A:$A,$A2357,$B:$B,"&lt;&gt;Patrícia Karla de Sousa Araújo",$B:$B,"&lt;&gt;Lorena Dias de Araujo",$B:$B,"&lt;&gt;Lucas Luiz Romero")*(23/1083),IF(C2357="JR",SUMIFS($D:$D,$A:$A,$A2357,$B:$B,"&lt;&gt;Patrícia Karla de Sousa Araújo",$B:$B,"&lt;&gt;Lorena Dias de Araujo",$B:$B,"&lt;&gt;Lucas Luiz Romero")*(20/1083),IF(C2357="Estágio",SUMIFS($D:$D,$A:$A,$A2357,$B:$B,"&lt;&gt;Patrícia Karla de Sousa Araújo",$B:$B,"&lt;&gt;Lorena Dias de Araujo",$B:$B,"&lt;&gt;Lucas Luiz Romero")*(10/1083),0)))))),0)</f>
        <v/>
      </c>
      <c r="K2357" s="3">
        <f>I2357-J2357</f>
        <v/>
      </c>
      <c r="L2357" s="3">
        <f>IF(K2357&lt;-5,"CRÍTICO",IF(K2357&lt;0,"ATENÇÃO",IF(K2357&lt;=5,"BOM","EXCELENTE")))</f>
        <v/>
      </c>
      <c r="N2357" t="n">
        <v>98.48</v>
      </c>
      <c r="O2357" t="n">
        <v>29.35323383084577</v>
      </c>
    </row>
    <row r="2358" hidden="1">
      <c r="A2358" s="11" t="n">
        <v>46073</v>
      </c>
      <c r="B2358" t="inlineStr">
        <is>
          <t>Sarah Steffanie de Lima Borges</t>
        </is>
      </c>
      <c r="C2358" t="inlineStr">
        <is>
          <t>Técnico III</t>
        </is>
      </c>
      <c r="D2358" t="n">
        <v>20</v>
      </c>
      <c r="E2358" t="n">
        <v>16</v>
      </c>
      <c r="F2358" t="n">
        <v>29.02</v>
      </c>
      <c r="G2358" t="n">
        <v>0</v>
      </c>
      <c r="H2358" t="n">
        <v>0</v>
      </c>
      <c r="I2358" s="3">
        <f>E2358+G2358+H2358</f>
        <v/>
      </c>
      <c r="J2358" s="3">
        <f>ROUND(MIN(IF(C2358="Técnico III",35,IF(C2358="Técnico II",28,IF(C2358="Técnico I",23,IF(C2358="JR",20,IF(C2358="Estágio",10,0))))),IF(C2358="Técnico III",SUMIFS($D:$D,$A:$A,$A2358,$B:$B,"&lt;&gt;Patrícia Karla de Sousa Araújo",$B:$B,"&lt;&gt;Lorena Dias de Araujo",$B:$B,"&lt;&gt;Lucas Luiz Romero")*(35/1083),IF(C2358="Técnico II",SUMIFS($D:$D,$A:$A,$A2358,$B:$B,"&lt;&gt;Patrícia Karla de Sousa Araújo",$B:$B,"&lt;&gt;Lorena Dias de Araujo",$B:$B,"&lt;&gt;Lucas Luiz Romero")*(28/1083),IF(C2358="Técnico I",SUMIFS($D:$D,$A:$A,$A2358,$B:$B,"&lt;&gt;Patrícia Karla de Sousa Araújo",$B:$B,"&lt;&gt;Lorena Dias de Araujo",$B:$B,"&lt;&gt;Lucas Luiz Romero")*(23/1083),IF(C2358="JR",SUMIFS($D:$D,$A:$A,$A2358,$B:$B,"&lt;&gt;Patrícia Karla de Sousa Araújo",$B:$B,"&lt;&gt;Lorena Dias de Araujo",$B:$B,"&lt;&gt;Lucas Luiz Romero")*(20/1083),IF(C2358="Estágio",SUMIFS($D:$D,$A:$A,$A2358,$B:$B,"&lt;&gt;Patrícia Karla de Sousa Araújo",$B:$B,"&lt;&gt;Lorena Dias de Araujo",$B:$B,"&lt;&gt;Lucas Luiz Romero")*(10/1083),0)))))),0)</f>
        <v/>
      </c>
      <c r="K2358" s="3">
        <f>I2358-J2358</f>
        <v/>
      </c>
      <c r="L2358" s="3">
        <f>IF(K2358&lt;-5,"CRÍTICO",IF(K2358&lt;0,"ATENÇÃO",IF(K2358&lt;=5,"BOM","EXCELENTE")))</f>
        <v/>
      </c>
      <c r="N2358" t="n">
        <v>98.56</v>
      </c>
      <c r="O2358" t="n">
        <v>29.37365010799136</v>
      </c>
    </row>
    <row r="2359" hidden="1">
      <c r="A2359" s="11" t="n">
        <v>46076</v>
      </c>
      <c r="B2359" t="inlineStr">
        <is>
          <t>Alisson de Freitas Silva</t>
        </is>
      </c>
      <c r="C2359" t="inlineStr">
        <is>
          <t>Técnico II</t>
        </is>
      </c>
      <c r="D2359" t="n">
        <v>33</v>
      </c>
      <c r="E2359" t="n">
        <v>32</v>
      </c>
      <c r="F2359" t="n">
        <v>20.31</v>
      </c>
      <c r="G2359" t="n">
        <v>0</v>
      </c>
      <c r="H2359" t="n">
        <v>0</v>
      </c>
      <c r="I2359" s="3">
        <f>E2359+G2359+H2359</f>
        <v/>
      </c>
      <c r="J2359" s="3">
        <f>ROUND(MIN(IF(C2359="Técnico III",35,IF(C2359="Técnico II",28,IF(C2359="Técnico I",23,IF(C2359="JR",20,IF(C2359="Estágio",10,0))))),IF(C2359="Técnico III",SUMIFS($D:$D,$A:$A,$A2359,$B:$B,"&lt;&gt;Patrícia Karla de Sousa Araújo",$B:$B,"&lt;&gt;Lorena Dias de Araujo",$B:$B,"&lt;&gt;Lucas Luiz Romero")*(35/1083),IF(C2359="Técnico II",SUMIFS($D:$D,$A:$A,$A2359,$B:$B,"&lt;&gt;Patrícia Karla de Sousa Araújo",$B:$B,"&lt;&gt;Lorena Dias de Araujo",$B:$B,"&lt;&gt;Lucas Luiz Romero")*(28/1083),IF(C2359="Técnico I",SUMIFS($D:$D,$A:$A,$A2359,$B:$B,"&lt;&gt;Patrícia Karla de Sousa Araújo",$B:$B,"&lt;&gt;Lorena Dias de Araujo",$B:$B,"&lt;&gt;Lucas Luiz Romero")*(23/1083),IF(C2359="JR",SUMIFS($D:$D,$A:$A,$A2359,$B:$B,"&lt;&gt;Patrícia Karla de Sousa Araújo",$B:$B,"&lt;&gt;Lorena Dias de Araujo",$B:$B,"&lt;&gt;Lucas Luiz Romero")*(20/1083),IF(C2359="Estágio",SUMIFS($D:$D,$A:$A,$A2359,$B:$B,"&lt;&gt;Patrícia Karla de Sousa Araújo",$B:$B,"&lt;&gt;Lorena Dias de Araujo",$B:$B,"&lt;&gt;Lucas Luiz Romero")*(10/1083),0)))))),0)</f>
        <v/>
      </c>
      <c r="K2359" s="3">
        <f>I2359-J2359</f>
        <v/>
      </c>
      <c r="L2359" s="3">
        <f>IF(K2359&lt;-5,"CRÍTICO",IF(K2359&lt;0,"ATENÇÃO",IF(K2359&lt;=5,"BOM","EXCELENTE")))</f>
        <v/>
      </c>
      <c r="N2359" t="n">
        <v>98.31999999999999</v>
      </c>
      <c r="O2359" t="n">
        <v>30.3030303030303</v>
      </c>
    </row>
    <row r="2360" hidden="1">
      <c r="A2360" s="11" t="n">
        <v>46076</v>
      </c>
      <c r="B2360" t="inlineStr">
        <is>
          <t>Amanda Moura Ferreira</t>
        </is>
      </c>
      <c r="C2360" t="inlineStr">
        <is>
          <t>Técnico III</t>
        </is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s="3" t="n">
        <v>0</v>
      </c>
      <c r="J2360" s="3" t="n">
        <v>0</v>
      </c>
      <c r="K2360" s="3" t="n">
        <v>0</v>
      </c>
      <c r="L2360" s="3">
        <f>IF(K2360&lt;-5,"CRÍTICO",IF(K2360&lt;0,"ATENÇÃO",IF(K2360&lt;=5,"BOM","EXCELENTE")))</f>
        <v/>
      </c>
      <c r="N2360" t="n">
        <v>98.68000000000001</v>
      </c>
      <c r="O2360" t="n">
        <v>26.21951219512195</v>
      </c>
    </row>
    <row r="2361" hidden="1">
      <c r="A2361" s="11" t="n">
        <v>46076</v>
      </c>
      <c r="B2361" t="inlineStr">
        <is>
          <t>Ana Karollyne Souza Faria</t>
        </is>
      </c>
      <c r="C2361" t="inlineStr">
        <is>
          <t>Técnico I</t>
        </is>
      </c>
      <c r="D2361" t="n">
        <v>27</v>
      </c>
      <c r="E2361" t="n">
        <v>27</v>
      </c>
      <c r="F2361" t="n">
        <v>18.46</v>
      </c>
      <c r="G2361" t="n">
        <v>0</v>
      </c>
      <c r="H2361" t="n">
        <v>0</v>
      </c>
      <c r="I2361" s="3">
        <f>E2361+G2361+H2361</f>
        <v/>
      </c>
      <c r="J2361" s="3">
        <f>ROUND(MIN(IF(C2361="Técnico III",35,IF(C2361="Técnico II",28,IF(C2361="Técnico I",23,IF(C2361="JR",20,IF(C2361="Estágio",10,0))))),IF(C2361="Técnico III",SUMIFS($D:$D,$A:$A,$A2361,$B:$B,"&lt;&gt;Patrícia Karla de Sousa Araújo",$B:$B,"&lt;&gt;Lorena Dias de Araujo",$B:$B,"&lt;&gt;Lucas Luiz Romero")*(35/1083),IF(C2361="Técnico II",SUMIFS($D:$D,$A:$A,$A2361,$B:$B,"&lt;&gt;Patrícia Karla de Sousa Araújo",$B:$B,"&lt;&gt;Lorena Dias de Araujo",$B:$B,"&lt;&gt;Lucas Luiz Romero")*(28/1083),IF(C2361="Técnico I",SUMIFS($D:$D,$A:$A,$A2361,$B:$B,"&lt;&gt;Patrícia Karla de Sousa Araújo",$B:$B,"&lt;&gt;Lorena Dias de Araujo",$B:$B,"&lt;&gt;Lucas Luiz Romero")*(23/1083),IF(C2361="JR",SUMIFS($D:$D,$A:$A,$A2361,$B:$B,"&lt;&gt;Patrícia Karla de Sousa Araújo",$B:$B,"&lt;&gt;Lorena Dias de Araujo",$B:$B,"&lt;&gt;Lucas Luiz Romero")*(20/1083),IF(C2361="Estágio",SUMIFS($D:$D,$A:$A,$A2361,$B:$B,"&lt;&gt;Patrícia Karla de Sousa Araújo",$B:$B,"&lt;&gt;Lorena Dias de Araujo",$B:$B,"&lt;&gt;Lucas Luiz Romero")*(10/1083),0)))))),0)</f>
        <v/>
      </c>
      <c r="K2361" s="3">
        <f>I2361-J2361</f>
        <v/>
      </c>
      <c r="L2361" s="3">
        <f>IF(K2361&lt;-5,"CRÍTICO",IF(K2361&lt;0,"ATENÇÃO",IF(K2361&lt;=5,"BOM","EXCELENTE")))</f>
        <v/>
      </c>
      <c r="N2361" t="n">
        <v>100</v>
      </c>
      <c r="O2361" t="n">
        <v>31.74224343675418</v>
      </c>
    </row>
    <row r="2362" hidden="1">
      <c r="A2362" s="11" t="n">
        <v>46076</v>
      </c>
      <c r="B2362" t="inlineStr">
        <is>
          <t>Ana Paula Da Luz Silva Aleixo</t>
        </is>
      </c>
      <c r="C2362" t="inlineStr">
        <is>
          <t>Técnico III</t>
        </is>
      </c>
      <c r="D2362" t="n">
        <v>25</v>
      </c>
      <c r="E2362" t="n">
        <v>22</v>
      </c>
      <c r="F2362" t="n">
        <v>32</v>
      </c>
      <c r="G2362" t="n">
        <v>0</v>
      </c>
      <c r="H2362" t="n">
        <v>0</v>
      </c>
      <c r="I2362" s="3">
        <f>E2362+G2362+H2362</f>
        <v/>
      </c>
      <c r="J2362" s="3">
        <f>ROUND(MIN(IF(C2362="Técnico III",35,IF(C2362="Técnico II",28,IF(C2362="Técnico I",23,IF(C2362="JR",20,IF(C2362="Estágio",10,0))))),IF(C2362="Técnico III",SUMIFS($D:$D,$A:$A,$A2362,$B:$B,"&lt;&gt;Patrícia Karla de Sousa Araújo",$B:$B,"&lt;&gt;Lorena Dias de Araujo",$B:$B,"&lt;&gt;Lucas Luiz Romero")*(35/1083),IF(C2362="Técnico II",SUMIFS($D:$D,$A:$A,$A2362,$B:$B,"&lt;&gt;Patrícia Karla de Sousa Araújo",$B:$B,"&lt;&gt;Lorena Dias de Araujo",$B:$B,"&lt;&gt;Lucas Luiz Romero")*(28/1083),IF(C2362="Técnico I",SUMIFS($D:$D,$A:$A,$A2362,$B:$B,"&lt;&gt;Patrícia Karla de Sousa Araújo",$B:$B,"&lt;&gt;Lorena Dias de Araujo",$B:$B,"&lt;&gt;Lucas Luiz Romero")*(23/1083),IF(C2362="JR",SUMIFS($D:$D,$A:$A,$A2362,$B:$B,"&lt;&gt;Patrícia Karla de Sousa Araújo",$B:$B,"&lt;&gt;Lorena Dias de Araujo",$B:$B,"&lt;&gt;Lucas Luiz Romero")*(20/1083),IF(C2362="Estágio",SUMIFS($D:$D,$A:$A,$A2362,$B:$B,"&lt;&gt;Patrícia Karla de Sousa Araújo",$B:$B,"&lt;&gt;Lorena Dias de Araujo",$B:$B,"&lt;&gt;Lucas Luiz Romero")*(10/1083),0)))))),0)</f>
        <v/>
      </c>
      <c r="K2362" s="3">
        <f>I2362-J2362</f>
        <v/>
      </c>
      <c r="L2362" s="3">
        <f>IF(K2362&lt;-5,"CRÍTICO",IF(K2362&lt;0,"ATENÇÃO",IF(K2362&lt;=5,"BOM","EXCELENTE")))</f>
        <v/>
      </c>
      <c r="N2362" t="n">
        <v>98.25</v>
      </c>
      <c r="O2362" t="n">
        <v>25.83518930957684</v>
      </c>
    </row>
    <row r="2363" hidden="1">
      <c r="A2363" s="11" t="n">
        <v>46076</v>
      </c>
      <c r="B2363" t="inlineStr">
        <is>
          <t>Anna Luiza Rezende Tavares</t>
        </is>
      </c>
      <c r="C2363" t="inlineStr">
        <is>
          <t>Estágio</t>
        </is>
      </c>
      <c r="D2363" t="n">
        <v>10</v>
      </c>
      <c r="E2363" t="n">
        <v>8</v>
      </c>
      <c r="F2363" t="n">
        <v>32.14</v>
      </c>
      <c r="G2363" t="n">
        <v>0</v>
      </c>
      <c r="H2363" t="n">
        <v>0</v>
      </c>
      <c r="I2363" s="3">
        <f>E2363+G2363+H2363</f>
        <v/>
      </c>
      <c r="J2363" s="3">
        <f>ROUND(MIN(IF(C2363="Técnico III",35,IF(C2363="Técnico II",28,IF(C2363="Técnico I",23,IF(C2363="JR",20,IF(C2363="Estágio",10,0))))),IF(C2363="Técnico III",SUMIFS($D:$D,$A:$A,$A2363,$B:$B,"&lt;&gt;Patrícia Karla de Sousa Araújo",$B:$B,"&lt;&gt;Lorena Dias de Araujo",$B:$B,"&lt;&gt;Lucas Luiz Romero")*(35/1083),IF(C2363="Técnico II",SUMIFS($D:$D,$A:$A,$A2363,$B:$B,"&lt;&gt;Patrícia Karla de Sousa Araújo",$B:$B,"&lt;&gt;Lorena Dias de Araujo",$B:$B,"&lt;&gt;Lucas Luiz Romero")*(28/1083),IF(C2363="Técnico I",SUMIFS($D:$D,$A:$A,$A2363,$B:$B,"&lt;&gt;Patrícia Karla de Sousa Araújo",$B:$B,"&lt;&gt;Lorena Dias de Araujo",$B:$B,"&lt;&gt;Lucas Luiz Romero")*(23/1083),IF(C2363="JR",SUMIFS($D:$D,$A:$A,$A2363,$B:$B,"&lt;&gt;Patrícia Karla de Sousa Araújo",$B:$B,"&lt;&gt;Lorena Dias de Araujo",$B:$B,"&lt;&gt;Lucas Luiz Romero")*(20/1083),IF(C2363="Estágio",SUMIFS($D:$D,$A:$A,$A2363,$B:$B,"&lt;&gt;Patrícia Karla de Sousa Araújo",$B:$B,"&lt;&gt;Lorena Dias de Araujo",$B:$B,"&lt;&gt;Lucas Luiz Romero")*(10/1083),0)))))),0)</f>
        <v/>
      </c>
      <c r="K2363" s="3">
        <f>I2363-J2363</f>
        <v/>
      </c>
      <c r="L2363" s="3">
        <f>IF(K2363&lt;-5,"CRÍTICO",IF(K2363&lt;0,"ATENÇÃO",IF(K2363&lt;=5,"BOM","EXCELENTE")))</f>
        <v/>
      </c>
      <c r="N2363" t="n">
        <v>97.5</v>
      </c>
      <c r="O2363" t="n">
        <v>30.07518796992481</v>
      </c>
    </row>
    <row r="2364" hidden="1">
      <c r="A2364" s="11" t="n">
        <v>46076</v>
      </c>
      <c r="B2364" t="inlineStr">
        <is>
          <t>Brenda de Menezes Silva</t>
        </is>
      </c>
      <c r="C2364" t="inlineStr">
        <is>
          <t>Técnico II</t>
        </is>
      </c>
      <c r="D2364" t="n">
        <v>32</v>
      </c>
      <c r="E2364" t="n">
        <v>27</v>
      </c>
      <c r="F2364" t="n">
        <v>20.1</v>
      </c>
      <c r="G2364" t="n">
        <v>0</v>
      </c>
      <c r="H2364" t="n">
        <v>0</v>
      </c>
      <c r="I2364" s="3">
        <f>E2364+G2364+H2364</f>
        <v/>
      </c>
      <c r="J2364" s="3">
        <f>ROUND(MIN(IF(C2364="Técnico III",35,IF(C2364="Técnico II",28,IF(C2364="Técnico I",23,IF(C2364="JR",20,IF(C2364="Estágio",10,0))))),IF(C2364="Técnico III",SUMIFS($D:$D,$A:$A,$A2364,$B:$B,"&lt;&gt;Patrícia Karla de Sousa Araújo",$B:$B,"&lt;&gt;Lorena Dias de Araujo",$B:$B,"&lt;&gt;Lucas Luiz Romero")*(35/1083),IF(C2364="Técnico II",SUMIFS($D:$D,$A:$A,$A2364,$B:$B,"&lt;&gt;Patrícia Karla de Sousa Araújo",$B:$B,"&lt;&gt;Lorena Dias de Araujo",$B:$B,"&lt;&gt;Lucas Luiz Romero")*(28/1083),IF(C2364="Técnico I",SUMIFS($D:$D,$A:$A,$A2364,$B:$B,"&lt;&gt;Patrícia Karla de Sousa Araújo",$B:$B,"&lt;&gt;Lorena Dias de Araujo",$B:$B,"&lt;&gt;Lucas Luiz Romero")*(23/1083),IF(C2364="JR",SUMIFS($D:$D,$A:$A,$A2364,$B:$B,"&lt;&gt;Patrícia Karla de Sousa Araújo",$B:$B,"&lt;&gt;Lorena Dias de Araujo",$B:$B,"&lt;&gt;Lucas Luiz Romero")*(20/1083),IF(C2364="Estágio",SUMIFS($D:$D,$A:$A,$A2364,$B:$B,"&lt;&gt;Patrícia Karla de Sousa Araújo",$B:$B,"&lt;&gt;Lorena Dias de Araujo",$B:$B,"&lt;&gt;Lucas Luiz Romero")*(10/1083),0)))))),0)</f>
        <v/>
      </c>
      <c r="K2364" s="3">
        <f>I2364-J2364</f>
        <v/>
      </c>
      <c r="L2364" s="3">
        <f>IF(K2364&lt;-5,"CRÍTICO",IF(K2364&lt;0,"ATENÇÃO",IF(K2364&lt;=5,"BOM","EXCELENTE")))</f>
        <v/>
      </c>
      <c r="N2364" t="n">
        <v>100</v>
      </c>
      <c r="O2364" t="n">
        <v>29.71311475409836</v>
      </c>
    </row>
    <row r="2365" hidden="1">
      <c r="A2365" s="11" t="n">
        <v>46076</v>
      </c>
      <c r="B2365" t="inlineStr">
        <is>
          <t>Carlos Mateus Cassimiro Nunes</t>
        </is>
      </c>
      <c r="C2365" t="inlineStr">
        <is>
          <t>Técnico II</t>
        </is>
      </c>
      <c r="D2365" t="n">
        <v>14</v>
      </c>
      <c r="E2365" t="n">
        <v>14</v>
      </c>
      <c r="F2365" t="n">
        <v>52.33</v>
      </c>
      <c r="G2365" t="n">
        <v>0</v>
      </c>
      <c r="H2365" t="n">
        <v>0</v>
      </c>
      <c r="I2365" s="3">
        <f>E2365+G2365+H2365</f>
        <v/>
      </c>
      <c r="J2365" s="3">
        <f>ROUND(MIN(IF(C2365="Técnico III",35,IF(C2365="Técnico II",28,IF(C2365="Técnico I",23,IF(C2365="JR",20,IF(C2365="Estágio",10,0))))),IF(C2365="Técnico III",SUMIFS($D:$D,$A:$A,$A2365,$B:$B,"&lt;&gt;Patrícia Karla de Sousa Araújo",$B:$B,"&lt;&gt;Lorena Dias de Araujo",$B:$B,"&lt;&gt;Lucas Luiz Romero")*(35/1083),IF(C2365="Técnico II",SUMIFS($D:$D,$A:$A,$A2365,$B:$B,"&lt;&gt;Patrícia Karla de Sousa Araújo",$B:$B,"&lt;&gt;Lorena Dias de Araujo",$B:$B,"&lt;&gt;Lucas Luiz Romero")*(28/1083),IF(C2365="Técnico I",SUMIFS($D:$D,$A:$A,$A2365,$B:$B,"&lt;&gt;Patrícia Karla de Sousa Araújo",$B:$B,"&lt;&gt;Lorena Dias de Araujo",$B:$B,"&lt;&gt;Lucas Luiz Romero")*(23/1083),IF(C2365="JR",SUMIFS($D:$D,$A:$A,$A2365,$B:$B,"&lt;&gt;Patrícia Karla de Sousa Araújo",$B:$B,"&lt;&gt;Lorena Dias de Araujo",$B:$B,"&lt;&gt;Lucas Luiz Romero")*(20/1083),IF(C2365="Estágio",SUMIFS($D:$D,$A:$A,$A2365,$B:$B,"&lt;&gt;Patrícia Karla de Sousa Araújo",$B:$B,"&lt;&gt;Lorena Dias de Araujo",$B:$B,"&lt;&gt;Lucas Luiz Romero")*(10/1083),0)))))),0)</f>
        <v/>
      </c>
      <c r="K2365" s="3">
        <f>I2365-J2365</f>
        <v/>
      </c>
      <c r="L2365" s="3">
        <f>IF(K2365&lt;-5,"CRÍTICO",IF(K2365&lt;0,"ATENÇÃO",IF(K2365&lt;=5,"BOM","EXCELENTE")))</f>
        <v/>
      </c>
      <c r="N2365" t="n">
        <v>99.22</v>
      </c>
      <c r="O2365" t="n">
        <v>35.25641025641026</v>
      </c>
    </row>
    <row r="2366" hidden="1">
      <c r="A2366" s="11" t="n">
        <v>46076</v>
      </c>
      <c r="B2366" t="inlineStr">
        <is>
          <t>Claudio de Sousa Velasco Filho</t>
        </is>
      </c>
      <c r="C2366" t="inlineStr">
        <is>
          <t>Estágio</t>
        </is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s="3" t="n">
        <v>0</v>
      </c>
      <c r="J2366" s="3" t="n">
        <v>0</v>
      </c>
      <c r="K2366" s="3" t="n">
        <v>0</v>
      </c>
      <c r="L2366" s="3">
        <f>IF(K2366&lt;-5,"CRÍTICO",IF(K2366&lt;0,"ATENÇÃO",IF(K2366&lt;=5,"BOM","EXCELENTE")))</f>
        <v/>
      </c>
      <c r="N2366" t="n">
        <v>0</v>
      </c>
      <c r="O2366" t="n">
        <v>0</v>
      </c>
    </row>
    <row r="2367" hidden="1">
      <c r="A2367" s="11" t="n">
        <v>46076</v>
      </c>
      <c r="B2367" t="inlineStr">
        <is>
          <t>Clessiane Pereira dos Santos</t>
        </is>
      </c>
      <c r="C2367" t="inlineStr">
        <is>
          <t>Técnico I</t>
        </is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s="3" t="n">
        <v>0</v>
      </c>
      <c r="J2367" s="3" t="n">
        <v>0</v>
      </c>
      <c r="K2367" s="3" t="n">
        <v>0</v>
      </c>
      <c r="L2367" s="3">
        <f>IF(K2367&lt;-5,"CRÍTICO",IF(K2367&lt;0,"ATENÇÃO",IF(K2367&lt;=5,"BOM","EXCELENTE")))</f>
        <v/>
      </c>
      <c r="N2367" t="n">
        <v>98.75</v>
      </c>
      <c r="O2367" t="n">
        <v>24.32432432432433</v>
      </c>
    </row>
    <row r="2368" hidden="1">
      <c r="A2368" s="11" t="n">
        <v>46076</v>
      </c>
      <c r="B2368" t="inlineStr">
        <is>
          <t>Cristiane Ramos da Silva Rocha</t>
        </is>
      </c>
      <c r="C2368" t="inlineStr">
        <is>
          <t>Técnico III</t>
        </is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s="3" t="n">
        <v>0</v>
      </c>
      <c r="J2368" s="3" t="n">
        <v>0</v>
      </c>
      <c r="K2368" s="3" t="n">
        <v>0</v>
      </c>
      <c r="L2368" s="3">
        <f>IF(K2368&lt;-5,"CRÍTICO",IF(K2368&lt;0,"ATENÇÃO",IF(K2368&lt;=5,"BOM","EXCELENTE")))</f>
        <v/>
      </c>
      <c r="N2368" t="n">
        <v>93.48</v>
      </c>
      <c r="O2368" t="n">
        <v>31.33462282398452</v>
      </c>
    </row>
    <row r="2369" hidden="1">
      <c r="A2369" s="11" t="n">
        <v>46076</v>
      </c>
      <c r="B2369" t="inlineStr">
        <is>
          <t>Damyllis Lorraine de Oliveira Gonçalves</t>
        </is>
      </c>
      <c r="C2369" t="inlineStr">
        <is>
          <t>Técnico II</t>
        </is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s="3" t="n">
        <v>0</v>
      </c>
      <c r="J2369" s="3" t="n">
        <v>0</v>
      </c>
      <c r="K2369" s="3" t="n">
        <v>0</v>
      </c>
      <c r="L2369" s="3">
        <f>IF(K2369&lt;-5,"CRÍTICO",IF(K2369&lt;0,"ATENÇÃO",IF(K2369&lt;=5,"BOM","EXCELENTE")))</f>
        <v/>
      </c>
      <c r="N2369" t="n">
        <v>99.16</v>
      </c>
      <c r="O2369" t="n">
        <v>26.13908872901678</v>
      </c>
    </row>
    <row r="2370" hidden="1">
      <c r="A2370" s="11" t="n">
        <v>46076</v>
      </c>
      <c r="B2370" t="inlineStr">
        <is>
          <t>Daniel Gomes da Silva</t>
        </is>
      </c>
      <c r="C2370" t="inlineStr">
        <is>
          <t>Técnico I</t>
        </is>
      </c>
      <c r="D2370" t="n">
        <v>22</v>
      </c>
      <c r="E2370" t="n">
        <v>19</v>
      </c>
      <c r="F2370" t="n">
        <v>24.17</v>
      </c>
      <c r="G2370" t="n">
        <v>0</v>
      </c>
      <c r="H2370" t="n">
        <v>0</v>
      </c>
      <c r="I2370" s="3">
        <f>E2370+G2370+H2370</f>
        <v/>
      </c>
      <c r="J2370" s="3">
        <f>ROUND(MIN(IF(C2370="Técnico III",35,IF(C2370="Técnico II",28,IF(C2370="Técnico I",23,IF(C2370="JR",20,IF(C2370="Estágio",10,0))))),IF(C2370="Técnico III",SUMIFS($D:$D,$A:$A,$A2370,$B:$B,"&lt;&gt;Patrícia Karla de Sousa Araújo",$B:$B,"&lt;&gt;Lorena Dias de Araujo",$B:$B,"&lt;&gt;Lucas Luiz Romero")*(35/1083),IF(C2370="Técnico II",SUMIFS($D:$D,$A:$A,$A2370,$B:$B,"&lt;&gt;Patrícia Karla de Sousa Araújo",$B:$B,"&lt;&gt;Lorena Dias de Araujo",$B:$B,"&lt;&gt;Lucas Luiz Romero")*(28/1083),IF(C2370="Técnico I",SUMIFS($D:$D,$A:$A,$A2370,$B:$B,"&lt;&gt;Patrícia Karla de Sousa Araújo",$B:$B,"&lt;&gt;Lorena Dias de Araujo",$B:$B,"&lt;&gt;Lucas Luiz Romero")*(23/1083),IF(C2370="JR",SUMIFS($D:$D,$A:$A,$A2370,$B:$B,"&lt;&gt;Patrícia Karla de Sousa Araújo",$B:$B,"&lt;&gt;Lorena Dias de Araujo",$B:$B,"&lt;&gt;Lucas Luiz Romero")*(20/1083),IF(C2370="Estágio",SUMIFS($D:$D,$A:$A,$A2370,$B:$B,"&lt;&gt;Patrícia Karla de Sousa Araújo",$B:$B,"&lt;&gt;Lorena Dias de Araujo",$B:$B,"&lt;&gt;Lucas Luiz Romero")*(10/1083),0)))))),0)</f>
        <v/>
      </c>
      <c r="K2370" s="3">
        <f>I2370-J2370</f>
        <v/>
      </c>
      <c r="L2370" s="3">
        <f>IF(K2370&lt;-5,"CRÍTICO",IF(K2370&lt;0,"ATENÇÃO",IF(K2370&lt;=5,"BOM","EXCELENTE")))</f>
        <v/>
      </c>
      <c r="N2370" t="n">
        <v>100</v>
      </c>
      <c r="O2370" t="n">
        <v>31.08974358974359</v>
      </c>
    </row>
    <row r="2371" hidden="1">
      <c r="A2371" s="11" t="n">
        <v>46076</v>
      </c>
      <c r="B2371" t="inlineStr">
        <is>
          <t>Davylla Rodrigues Freitas Silva</t>
        </is>
      </c>
      <c r="C2371" t="inlineStr">
        <is>
          <t>Técnico III</t>
        </is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s="3" t="n">
        <v>0</v>
      </c>
      <c r="J2371" s="3" t="n">
        <v>0</v>
      </c>
      <c r="K2371" s="3" t="n">
        <v>0</v>
      </c>
      <c r="L2371" s="3">
        <f>IF(K2371&lt;-5,"CRÍTICO",IF(K2371&lt;0,"ATENÇÃO",IF(K2371&lt;=5,"BOM","EXCELENTE")))</f>
        <v/>
      </c>
      <c r="N2371" t="n">
        <v>98.11</v>
      </c>
      <c r="O2371" t="n">
        <v>33.03370786516854</v>
      </c>
    </row>
    <row r="2372" hidden="1">
      <c r="A2372" s="11" t="n">
        <v>46076</v>
      </c>
      <c r="B2372" t="inlineStr">
        <is>
          <t>Emilly Caylane Costa</t>
        </is>
      </c>
      <c r="C2372" t="inlineStr">
        <is>
          <t>Estágio</t>
        </is>
      </c>
      <c r="D2372" t="n">
        <v>9</v>
      </c>
      <c r="E2372" t="n">
        <v>8</v>
      </c>
      <c r="F2372" t="n">
        <v>36.51</v>
      </c>
      <c r="G2372" t="n">
        <v>0</v>
      </c>
      <c r="H2372" t="n">
        <v>0</v>
      </c>
      <c r="I2372" s="3">
        <f>E2372+G2372+H2372</f>
        <v/>
      </c>
      <c r="J2372" s="3">
        <f>ROUND(MIN(IF(C2372="Técnico III",35,IF(C2372="Técnico II",28,IF(C2372="Técnico I",23,IF(C2372="JR",20,IF(C2372="Estágio",10,0))))),IF(C2372="Técnico III",SUMIFS($D:$D,$A:$A,$A2372,$B:$B,"&lt;&gt;Patrícia Karla de Sousa Araújo",$B:$B,"&lt;&gt;Lorena Dias de Araujo",$B:$B,"&lt;&gt;Lucas Luiz Romero")*(35/1083),IF(C2372="Técnico II",SUMIFS($D:$D,$A:$A,$A2372,$B:$B,"&lt;&gt;Patrícia Karla de Sousa Araújo",$B:$B,"&lt;&gt;Lorena Dias de Araujo",$B:$B,"&lt;&gt;Lucas Luiz Romero")*(28/1083),IF(C2372="Técnico I",SUMIFS($D:$D,$A:$A,$A2372,$B:$B,"&lt;&gt;Patrícia Karla de Sousa Araújo",$B:$B,"&lt;&gt;Lorena Dias de Araujo",$B:$B,"&lt;&gt;Lucas Luiz Romero")*(23/1083),IF(C2372="JR",SUMIFS($D:$D,$A:$A,$A2372,$B:$B,"&lt;&gt;Patrícia Karla de Sousa Araújo",$B:$B,"&lt;&gt;Lorena Dias de Araujo",$B:$B,"&lt;&gt;Lucas Luiz Romero")*(20/1083),IF(C2372="Estágio",SUMIFS($D:$D,$A:$A,$A2372,$B:$B,"&lt;&gt;Patrícia Karla de Sousa Araújo",$B:$B,"&lt;&gt;Lorena Dias de Araujo",$B:$B,"&lt;&gt;Lucas Luiz Romero")*(10/1083),0)))))),0)</f>
        <v/>
      </c>
      <c r="K2372" s="3">
        <f>I2372-J2372</f>
        <v/>
      </c>
      <c r="L2372" s="3">
        <f>IF(K2372&lt;-5,"CRÍTICO",IF(K2372&lt;0,"ATENÇÃO",IF(K2372&lt;=5,"BOM","EXCELENTE")))</f>
        <v/>
      </c>
      <c r="N2372" t="n">
        <v>78.95</v>
      </c>
      <c r="O2372" t="n">
        <v>38.98305084745763</v>
      </c>
    </row>
    <row r="2373" hidden="1">
      <c r="A2373" s="11" t="n">
        <v>46076</v>
      </c>
      <c r="B2373" t="inlineStr">
        <is>
          <t>Emilly Kamilly Medeiros Miranda</t>
        </is>
      </c>
      <c r="C2373" t="inlineStr">
        <is>
          <t>Técnico II</t>
        </is>
      </c>
      <c r="D2373" t="n">
        <v>22</v>
      </c>
      <c r="E2373" t="n">
        <v>20</v>
      </c>
      <c r="F2373" t="n">
        <v>27.02</v>
      </c>
      <c r="G2373" t="n">
        <v>0</v>
      </c>
      <c r="H2373" t="n">
        <v>0</v>
      </c>
      <c r="I2373" s="3">
        <f>E2373+G2373+H2373</f>
        <v/>
      </c>
      <c r="J2373" s="3">
        <f>ROUND(MIN(IF(C2373="Técnico III",35,IF(C2373="Técnico II",28,IF(C2373="Técnico I",23,IF(C2373="JR",20,IF(C2373="Estágio",10,0))))),IF(C2373="Técnico III",SUMIFS($D:$D,$A:$A,$A2373,$B:$B,"&lt;&gt;Patrícia Karla de Sousa Araújo",$B:$B,"&lt;&gt;Lorena Dias de Araujo",$B:$B,"&lt;&gt;Lucas Luiz Romero")*(35/1083),IF(C2373="Técnico II",SUMIFS($D:$D,$A:$A,$A2373,$B:$B,"&lt;&gt;Patrícia Karla de Sousa Araújo",$B:$B,"&lt;&gt;Lorena Dias de Araujo",$B:$B,"&lt;&gt;Lucas Luiz Romero")*(28/1083),IF(C2373="Técnico I",SUMIFS($D:$D,$A:$A,$A2373,$B:$B,"&lt;&gt;Patrícia Karla de Sousa Araújo",$B:$B,"&lt;&gt;Lorena Dias de Araujo",$B:$B,"&lt;&gt;Lucas Luiz Romero")*(23/1083),IF(C2373="JR",SUMIFS($D:$D,$A:$A,$A2373,$B:$B,"&lt;&gt;Patrícia Karla de Sousa Araújo",$B:$B,"&lt;&gt;Lorena Dias de Araujo",$B:$B,"&lt;&gt;Lucas Luiz Romero")*(20/1083),IF(C2373="Estágio",SUMIFS($D:$D,$A:$A,$A2373,$B:$B,"&lt;&gt;Patrícia Karla de Sousa Araújo",$B:$B,"&lt;&gt;Lorena Dias de Araujo",$B:$B,"&lt;&gt;Lucas Luiz Romero")*(10/1083),0)))))),0)</f>
        <v/>
      </c>
      <c r="K2373" s="3">
        <f>I2373-J2373</f>
        <v/>
      </c>
      <c r="L2373" s="3">
        <f>IF(K2373&lt;-5,"CRÍTICO",IF(K2373&lt;0,"ATENÇÃO",IF(K2373&lt;=5,"BOM","EXCELENTE")))</f>
        <v/>
      </c>
      <c r="N2373" t="n">
        <v>98.45</v>
      </c>
      <c r="O2373" t="n">
        <v>29.2817679558011</v>
      </c>
    </row>
    <row r="2374" hidden="1">
      <c r="A2374" s="11" t="n">
        <v>46076</v>
      </c>
      <c r="B2374" t="inlineStr">
        <is>
          <t>Francielson de Oliveira</t>
        </is>
      </c>
      <c r="C2374" t="inlineStr">
        <is>
          <t>Técnico III</t>
        </is>
      </c>
      <c r="D2374" t="n">
        <v>30</v>
      </c>
      <c r="E2374" t="n">
        <v>30</v>
      </c>
      <c r="F2374" t="n">
        <v>25.07</v>
      </c>
      <c r="G2374" t="n">
        <v>0</v>
      </c>
      <c r="H2374" t="n">
        <v>0</v>
      </c>
      <c r="I2374" s="3">
        <f>E2374+G2374+H2374</f>
        <v/>
      </c>
      <c r="J2374" s="3">
        <f>ROUND(MIN(IF(C2374="Técnico III",35,IF(C2374="Técnico II",28,IF(C2374="Técnico I",23,IF(C2374="JR",20,IF(C2374="Estágio",10,0))))),IF(C2374="Técnico III",SUMIFS($D:$D,$A:$A,$A2374,$B:$B,"&lt;&gt;Patrícia Karla de Sousa Araújo",$B:$B,"&lt;&gt;Lorena Dias de Araujo",$B:$B,"&lt;&gt;Lucas Luiz Romero")*(35/1083),IF(C2374="Técnico II",SUMIFS($D:$D,$A:$A,$A2374,$B:$B,"&lt;&gt;Patrícia Karla de Sousa Araújo",$B:$B,"&lt;&gt;Lorena Dias de Araujo",$B:$B,"&lt;&gt;Lucas Luiz Romero")*(28/1083),IF(C2374="Técnico I",SUMIFS($D:$D,$A:$A,$A2374,$B:$B,"&lt;&gt;Patrícia Karla de Sousa Araújo",$B:$B,"&lt;&gt;Lorena Dias de Araujo",$B:$B,"&lt;&gt;Lucas Luiz Romero")*(23/1083),IF(C2374="JR",SUMIFS($D:$D,$A:$A,$A2374,$B:$B,"&lt;&gt;Patrícia Karla de Sousa Araújo",$B:$B,"&lt;&gt;Lorena Dias de Araujo",$B:$B,"&lt;&gt;Lucas Luiz Romero")*(20/1083),IF(C2374="Estágio",SUMIFS($D:$D,$A:$A,$A2374,$B:$B,"&lt;&gt;Patrícia Karla de Sousa Araújo",$B:$B,"&lt;&gt;Lorena Dias de Araujo",$B:$B,"&lt;&gt;Lucas Luiz Romero")*(10/1083),0)))))),0)</f>
        <v/>
      </c>
      <c r="K2374" s="3">
        <f>I2374-J2374</f>
        <v/>
      </c>
      <c r="L2374" s="3">
        <f>IF(K2374&lt;-5,"CRÍTICO",IF(K2374&lt;0,"ATENÇÃO",IF(K2374&lt;=5,"BOM","EXCELENTE")))</f>
        <v/>
      </c>
      <c r="N2374" t="n">
        <v>97.84</v>
      </c>
      <c r="O2374" t="n">
        <v>26.28205128205128</v>
      </c>
    </row>
    <row r="2375" hidden="1">
      <c r="A2375" s="11" t="n">
        <v>46076</v>
      </c>
      <c r="B2375" t="inlineStr">
        <is>
          <t>Francilene Ferreira de Jesus</t>
        </is>
      </c>
      <c r="C2375" t="inlineStr">
        <is>
          <t>Técnico II</t>
        </is>
      </c>
      <c r="D2375" t="n">
        <v>27</v>
      </c>
      <c r="E2375" t="n">
        <v>25</v>
      </c>
      <c r="F2375" t="n">
        <v>30.31</v>
      </c>
      <c r="G2375" t="n">
        <v>0</v>
      </c>
      <c r="H2375" t="n">
        <v>0</v>
      </c>
      <c r="I2375" s="3">
        <f>E2375+G2375+H2375</f>
        <v/>
      </c>
      <c r="J2375" s="3">
        <f>ROUND(MIN(IF(C2375="Técnico III",35,IF(C2375="Técnico II",28,IF(C2375="Técnico I",23,IF(C2375="JR",20,IF(C2375="Estágio",10,0))))),IF(C2375="Técnico III",SUMIFS($D:$D,$A:$A,$A2375,$B:$B,"&lt;&gt;Patrícia Karla de Sousa Araújo",$B:$B,"&lt;&gt;Lorena Dias de Araujo",$B:$B,"&lt;&gt;Lucas Luiz Romero")*(35/1083),IF(C2375="Técnico II",SUMIFS($D:$D,$A:$A,$A2375,$B:$B,"&lt;&gt;Patrícia Karla de Sousa Araújo",$B:$B,"&lt;&gt;Lorena Dias de Araujo",$B:$B,"&lt;&gt;Lucas Luiz Romero")*(28/1083),IF(C2375="Técnico I",SUMIFS($D:$D,$A:$A,$A2375,$B:$B,"&lt;&gt;Patrícia Karla de Sousa Araújo",$B:$B,"&lt;&gt;Lorena Dias de Araujo",$B:$B,"&lt;&gt;Lucas Luiz Romero")*(23/1083),IF(C2375="JR",SUMIFS($D:$D,$A:$A,$A2375,$B:$B,"&lt;&gt;Patrícia Karla de Sousa Araújo",$B:$B,"&lt;&gt;Lorena Dias de Araujo",$B:$B,"&lt;&gt;Lucas Luiz Romero")*(20/1083),IF(C2375="Estágio",SUMIFS($D:$D,$A:$A,$A2375,$B:$B,"&lt;&gt;Patrícia Karla de Sousa Araújo",$B:$B,"&lt;&gt;Lorena Dias de Araujo",$B:$B,"&lt;&gt;Lucas Luiz Romero")*(10/1083),0)))))),0)</f>
        <v/>
      </c>
      <c r="K2375" s="3">
        <f>I2375-J2375</f>
        <v/>
      </c>
      <c r="L2375" s="3">
        <f>IF(K2375&lt;-5,"CRÍTICO",IF(K2375&lt;0,"ATENÇÃO",IF(K2375&lt;=5,"BOM","EXCELENTE")))</f>
        <v/>
      </c>
      <c r="N2375" t="n">
        <v>98.5</v>
      </c>
      <c r="O2375" t="n">
        <v>23.97769516728625</v>
      </c>
    </row>
    <row r="2376" hidden="1">
      <c r="A2376" s="11" t="n">
        <v>46108</v>
      </c>
      <c r="B2376" t="inlineStr">
        <is>
          <t>Gabriel Gomes de Andrade</t>
        </is>
      </c>
      <c r="C2376" t="inlineStr">
        <is>
          <t>Técnico I</t>
        </is>
      </c>
      <c r="D2376" t="n">
        <v>32</v>
      </c>
      <c r="E2376" t="n">
        <v>28</v>
      </c>
      <c r="F2376" t="n">
        <v>19.07</v>
      </c>
      <c r="G2376" t="n">
        <v>0</v>
      </c>
      <c r="H2376" t="n">
        <v>0</v>
      </c>
      <c r="I2376" s="3">
        <f>E2376+G2376+H2376</f>
        <v/>
      </c>
      <c r="J2376" s="3">
        <f>ROUND(MIN(IF(C2376="Técnico III",35,IF(C2376="Técnico II",28,IF(C2376="Técnico I",23,IF(C2376="JR",20,IF(C2376="Estágio",10,0))))),IF(C2376="Técnico III",SUMIFS($D:$D,$A:$A,$A2376,$B:$B,"&lt;&gt;Patrícia Karla de Sousa Araújo",$B:$B,"&lt;&gt;Lorena Dias de Araujo",$B:$B,"&lt;&gt;Lucas Luiz Romero")*(35/1083),IF(C2376="Técnico II",SUMIFS($D:$D,$A:$A,$A2376,$B:$B,"&lt;&gt;Patrícia Karla de Sousa Araújo",$B:$B,"&lt;&gt;Lorena Dias de Araujo",$B:$B,"&lt;&gt;Lucas Luiz Romero")*(28/1083),IF(C2376="Técnico I",SUMIFS($D:$D,$A:$A,$A2376,$B:$B,"&lt;&gt;Patrícia Karla de Sousa Araújo",$B:$B,"&lt;&gt;Lorena Dias de Araujo",$B:$B,"&lt;&gt;Lucas Luiz Romero")*(23/1083),IF(C2376="JR",SUMIFS($D:$D,$A:$A,$A2376,$B:$B,"&lt;&gt;Patrícia Karla de Sousa Araújo",$B:$B,"&lt;&gt;Lorena Dias de Araujo",$B:$B,"&lt;&gt;Lucas Luiz Romero")*(20/1083),IF(C2376="Estágio",SUMIFS($D:$D,$A:$A,$A2376,$B:$B,"&lt;&gt;Patrícia Karla de Sousa Araújo",$B:$B,"&lt;&gt;Lorena Dias de Araujo",$B:$B,"&lt;&gt;Lucas Luiz Romero")*(10/1083),0)))))),0)</f>
        <v/>
      </c>
      <c r="K2376" s="3">
        <f>I2376-J2376</f>
        <v/>
      </c>
      <c r="L2376" s="3">
        <f>IF(K2376&lt;-5,"CRÍTICO",IF(K2376&lt;0,"ATENÇÃO",IF(K2376&lt;=5,"BOM","EXCELENTE")))</f>
        <v/>
      </c>
      <c r="N2376" t="n">
        <v>99.05</v>
      </c>
      <c r="O2376" t="n">
        <v>26.62192393736018</v>
      </c>
    </row>
    <row r="2377" hidden="1">
      <c r="A2377" s="11" t="n">
        <v>46076</v>
      </c>
      <c r="B2377" t="inlineStr">
        <is>
          <t>Isabella Borges de Oliveira</t>
        </is>
      </c>
      <c r="C2377" t="inlineStr">
        <is>
          <t>Técnico II</t>
        </is>
      </c>
      <c r="D2377" t="n">
        <v>34</v>
      </c>
      <c r="E2377" t="n">
        <v>33</v>
      </c>
      <c r="F2377" t="n">
        <v>22.17</v>
      </c>
      <c r="G2377" t="n">
        <v>0</v>
      </c>
      <c r="H2377" t="n">
        <v>0</v>
      </c>
      <c r="I2377" s="3">
        <f>E2377+G2377+H2377</f>
        <v/>
      </c>
      <c r="J2377" s="3">
        <f>ROUND(MIN(IF(C2377="Técnico III",35,IF(C2377="Técnico II",28,IF(C2377="Técnico I",23,IF(C2377="JR",20,IF(C2377="Estágio",10,0))))),IF(C2377="Técnico III",SUMIFS($D:$D,$A:$A,$A2377,$B:$B,"&lt;&gt;Patrícia Karla de Sousa Araújo",$B:$B,"&lt;&gt;Lorena Dias de Araujo",$B:$B,"&lt;&gt;Lucas Luiz Romero")*(35/1083),IF(C2377="Técnico II",SUMIFS($D:$D,$A:$A,$A2377,$B:$B,"&lt;&gt;Patrícia Karla de Sousa Araújo",$B:$B,"&lt;&gt;Lorena Dias de Araujo",$B:$B,"&lt;&gt;Lucas Luiz Romero")*(28/1083),IF(C2377="Técnico I",SUMIFS($D:$D,$A:$A,$A2377,$B:$B,"&lt;&gt;Patrícia Karla de Sousa Araújo",$B:$B,"&lt;&gt;Lorena Dias de Araujo",$B:$B,"&lt;&gt;Lucas Luiz Romero")*(23/1083),IF(C2377="JR",SUMIFS($D:$D,$A:$A,$A2377,$B:$B,"&lt;&gt;Patrícia Karla de Sousa Araújo",$B:$B,"&lt;&gt;Lorena Dias de Araujo",$B:$B,"&lt;&gt;Lucas Luiz Romero")*(20/1083),IF(C2377="Estágio",SUMIFS($D:$D,$A:$A,$A2377,$B:$B,"&lt;&gt;Patrícia Karla de Sousa Araújo",$B:$B,"&lt;&gt;Lorena Dias de Araujo",$B:$B,"&lt;&gt;Lucas Luiz Romero")*(10/1083),0)))))),0)</f>
        <v/>
      </c>
      <c r="K2377" s="3">
        <f>I2377-J2377</f>
        <v/>
      </c>
      <c r="L2377" s="3">
        <f>IF(K2377&lt;-5,"CRÍTICO",IF(K2377&lt;0,"ATENÇÃO",IF(K2377&lt;=5,"BOM","EXCELENTE")))</f>
        <v/>
      </c>
      <c r="N2377" t="n">
        <v>98.53</v>
      </c>
      <c r="O2377" t="n">
        <v>31.57894736842105</v>
      </c>
    </row>
    <row r="2378" hidden="1">
      <c r="A2378" s="11" t="n">
        <v>46076</v>
      </c>
      <c r="B2378" t="inlineStr">
        <is>
          <t>Janaina Lima dos Reis Urany</t>
        </is>
      </c>
      <c r="C2378" t="inlineStr">
        <is>
          <t>Técnico III</t>
        </is>
      </c>
      <c r="D2378" t="n">
        <v>38</v>
      </c>
      <c r="E2378" t="n">
        <v>36</v>
      </c>
      <c r="F2378" t="n">
        <v>17.22</v>
      </c>
      <c r="G2378" t="n">
        <v>0</v>
      </c>
      <c r="H2378" t="n">
        <v>0</v>
      </c>
      <c r="I2378" s="3">
        <f>E2378+G2378+H2378</f>
        <v/>
      </c>
      <c r="J2378" s="3">
        <f>ROUND(MIN(IF(C2378="Técnico III",35,IF(C2378="Técnico II",28,IF(C2378="Técnico I",23,IF(C2378="JR",20,IF(C2378="Estágio",10,0))))),IF(C2378="Técnico III",SUMIFS($D:$D,$A:$A,$A2378,$B:$B,"&lt;&gt;Patrícia Karla de Sousa Araújo",$B:$B,"&lt;&gt;Lorena Dias de Araujo",$B:$B,"&lt;&gt;Lucas Luiz Romero")*(35/1083),IF(C2378="Técnico II",SUMIFS($D:$D,$A:$A,$A2378,$B:$B,"&lt;&gt;Patrícia Karla de Sousa Araújo",$B:$B,"&lt;&gt;Lorena Dias de Araujo",$B:$B,"&lt;&gt;Lucas Luiz Romero")*(28/1083),IF(C2378="Técnico I",SUMIFS($D:$D,$A:$A,$A2378,$B:$B,"&lt;&gt;Patrícia Karla de Sousa Araújo",$B:$B,"&lt;&gt;Lorena Dias de Araujo",$B:$B,"&lt;&gt;Lucas Luiz Romero")*(23/1083),IF(C2378="JR",SUMIFS($D:$D,$A:$A,$A2378,$B:$B,"&lt;&gt;Patrícia Karla de Sousa Araújo",$B:$B,"&lt;&gt;Lorena Dias de Araujo",$B:$B,"&lt;&gt;Lucas Luiz Romero")*(20/1083),IF(C2378="Estágio",SUMIFS($D:$D,$A:$A,$A2378,$B:$B,"&lt;&gt;Patrícia Karla de Sousa Araújo",$B:$B,"&lt;&gt;Lorena Dias de Araujo",$B:$B,"&lt;&gt;Lucas Luiz Romero")*(10/1083),0)))))),0)</f>
        <v/>
      </c>
      <c r="K2378" s="3">
        <f>I2378-J2378</f>
        <v/>
      </c>
      <c r="L2378" s="3">
        <f>IF(K2378&lt;-5,"CRÍTICO",IF(K2378&lt;0,"ATENÇÃO",IF(K2378&lt;=5,"BOM","EXCELENTE")))</f>
        <v/>
      </c>
      <c r="N2378" t="n">
        <v>100</v>
      </c>
      <c r="O2378" t="n">
        <v>25.72214580467676</v>
      </c>
    </row>
    <row r="2379" hidden="1">
      <c r="A2379" s="11" t="n">
        <v>46076</v>
      </c>
      <c r="B2379" t="inlineStr">
        <is>
          <t>Jaqueline Evangelista da Silva Martins</t>
        </is>
      </c>
      <c r="C2379" t="inlineStr">
        <is>
          <t>Técnico III</t>
        </is>
      </c>
      <c r="D2379" t="n">
        <v>24</v>
      </c>
      <c r="E2379" t="n">
        <v>20</v>
      </c>
      <c r="F2379" t="n">
        <v>10.12</v>
      </c>
      <c r="G2379" t="n">
        <v>0</v>
      </c>
      <c r="H2379" t="n">
        <v>0</v>
      </c>
      <c r="I2379" s="3">
        <f>E2379+G2379+H2379</f>
        <v/>
      </c>
      <c r="J2379" s="3">
        <f>ROUND(MIN(IF(C2379="Técnico III",35,IF(C2379="Técnico II",28,IF(C2379="Técnico I",23,IF(C2379="JR",20,IF(C2379="Estágio",10,0))))),IF(C2379="Técnico III",SUMIFS($D:$D,$A:$A,$A2379,$B:$B,"&lt;&gt;Patrícia Karla de Sousa Araújo",$B:$B,"&lt;&gt;Lorena Dias de Araujo",$B:$B,"&lt;&gt;Lucas Luiz Romero")*(35/1083),IF(C2379="Técnico II",SUMIFS($D:$D,$A:$A,$A2379,$B:$B,"&lt;&gt;Patrícia Karla de Sousa Araújo",$B:$B,"&lt;&gt;Lorena Dias de Araujo",$B:$B,"&lt;&gt;Lucas Luiz Romero")*(28/1083),IF(C2379="Técnico I",SUMIFS($D:$D,$A:$A,$A2379,$B:$B,"&lt;&gt;Patrícia Karla de Sousa Araújo",$B:$B,"&lt;&gt;Lorena Dias de Araujo",$B:$B,"&lt;&gt;Lucas Luiz Romero")*(23/1083),IF(C2379="JR",SUMIFS($D:$D,$A:$A,$A2379,$B:$B,"&lt;&gt;Patrícia Karla de Sousa Araújo",$B:$B,"&lt;&gt;Lorena Dias de Araujo",$B:$B,"&lt;&gt;Lucas Luiz Romero")*(20/1083),IF(C2379="Estágio",SUMIFS($D:$D,$A:$A,$A2379,$B:$B,"&lt;&gt;Patrícia Karla de Sousa Araújo",$B:$B,"&lt;&gt;Lorena Dias de Araujo",$B:$B,"&lt;&gt;Lucas Luiz Romero")*(10/1083),0)))))),0)</f>
        <v/>
      </c>
      <c r="K2379" s="3">
        <f>I2379-J2379</f>
        <v/>
      </c>
      <c r="L2379" s="3">
        <f>IF(K2379&lt;-5,"CRÍTICO",IF(K2379&lt;0,"ATENÇÃO",IF(K2379&lt;=5,"BOM","EXCELENTE")))</f>
        <v/>
      </c>
      <c r="N2379" t="n">
        <v>94.64</v>
      </c>
      <c r="O2379" t="n">
        <v>27.52941176470588</v>
      </c>
    </row>
    <row r="2380" hidden="1">
      <c r="A2380" s="11" t="n">
        <v>46076</v>
      </c>
      <c r="B2380" t="inlineStr">
        <is>
          <t>Jessica Faria da Silveira</t>
        </is>
      </c>
      <c r="C2380" t="inlineStr">
        <is>
          <t>Técnico II</t>
        </is>
      </c>
      <c r="D2380" t="n">
        <v>37</v>
      </c>
      <c r="E2380" t="n">
        <v>28</v>
      </c>
      <c r="F2380" t="n">
        <v>15.5</v>
      </c>
      <c r="G2380" t="n">
        <v>0</v>
      </c>
      <c r="H2380" t="n">
        <v>0</v>
      </c>
      <c r="I2380" s="3">
        <f>E2380+G2380+H2380</f>
        <v/>
      </c>
      <c r="J2380" s="3">
        <f>ROUND(MIN(IF(C2380="Técnico III",35,IF(C2380="Técnico II",28,IF(C2380="Técnico I",23,IF(C2380="JR",20,IF(C2380="Estágio",10,0))))),IF(C2380="Técnico III",SUMIFS($D:$D,$A:$A,$A2380,$B:$B,"&lt;&gt;Patrícia Karla de Sousa Araújo",$B:$B,"&lt;&gt;Lorena Dias de Araujo",$B:$B,"&lt;&gt;Lucas Luiz Romero")*(35/1083),IF(C2380="Técnico II",SUMIFS($D:$D,$A:$A,$A2380,$B:$B,"&lt;&gt;Patrícia Karla de Sousa Araújo",$B:$B,"&lt;&gt;Lorena Dias de Araujo",$B:$B,"&lt;&gt;Lucas Luiz Romero")*(28/1083),IF(C2380="Técnico I",SUMIFS($D:$D,$A:$A,$A2380,$B:$B,"&lt;&gt;Patrícia Karla de Sousa Araújo",$B:$B,"&lt;&gt;Lorena Dias de Araujo",$B:$B,"&lt;&gt;Lucas Luiz Romero")*(23/1083),IF(C2380="JR",SUMIFS($D:$D,$A:$A,$A2380,$B:$B,"&lt;&gt;Patrícia Karla de Sousa Araújo",$B:$B,"&lt;&gt;Lorena Dias de Araujo",$B:$B,"&lt;&gt;Lucas Luiz Romero")*(20/1083),IF(C2380="Estágio",SUMIFS($D:$D,$A:$A,$A2380,$B:$B,"&lt;&gt;Patrícia Karla de Sousa Araújo",$B:$B,"&lt;&gt;Lorena Dias de Araujo",$B:$B,"&lt;&gt;Lucas Luiz Romero")*(10/1083),0)))))),0)</f>
        <v/>
      </c>
      <c r="K2380" s="3">
        <f>I2380-J2380</f>
        <v/>
      </c>
      <c r="L2380" s="3">
        <f>IF(K2380&lt;-5,"CRÍTICO",IF(K2380&lt;0,"ATENÇÃO",IF(K2380&lt;=5,"BOM","EXCELENTE")))</f>
        <v/>
      </c>
      <c r="N2380" t="n">
        <v>99.06999999999999</v>
      </c>
      <c r="O2380" t="n">
        <v>26.3768115942029</v>
      </c>
    </row>
    <row r="2381" hidden="1">
      <c r="A2381" s="11" t="n">
        <v>46076</v>
      </c>
      <c r="B2381" t="inlineStr">
        <is>
          <t>Jéssica Fé Moura</t>
        </is>
      </c>
      <c r="C2381" t="inlineStr">
        <is>
          <t>Técnico III</t>
        </is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s="3" t="n">
        <v>0</v>
      </c>
      <c r="J2381" s="3" t="n">
        <v>0</v>
      </c>
      <c r="K2381" s="3" t="n">
        <v>0</v>
      </c>
      <c r="L2381" s="3">
        <f>IF(K2381&lt;-5,"CRÍTICO",IF(K2381&lt;0,"ATENÇÃO",IF(K2381&lt;=5,"BOM","EXCELENTE")))</f>
        <v/>
      </c>
      <c r="N2381" t="n">
        <v>100</v>
      </c>
      <c r="O2381" t="n">
        <v>0</v>
      </c>
    </row>
    <row r="2382" hidden="1">
      <c r="A2382" s="11" t="n">
        <v>46076</v>
      </c>
      <c r="B2382" t="inlineStr">
        <is>
          <t>Karina Gonçalves Martins</t>
        </is>
      </c>
      <c r="C2382" t="inlineStr">
        <is>
          <t>JR</t>
        </is>
      </c>
      <c r="D2382" t="n">
        <v>11</v>
      </c>
      <c r="E2382" t="n">
        <v>11</v>
      </c>
      <c r="F2382" t="n">
        <v>30.23</v>
      </c>
      <c r="G2382" t="n">
        <v>0</v>
      </c>
      <c r="H2382" t="n">
        <v>0</v>
      </c>
      <c r="I2382" s="3">
        <f>E2382+G2382+H2382</f>
        <v/>
      </c>
      <c r="J2382" s="3">
        <f>ROUND(MIN(IF(C2382="Técnico III",35,IF(C2382="Técnico II",28,IF(C2382="Técnico I",23,IF(C2382="JR",20,IF(C2382="Estágio",10,0))))),IF(C2382="Técnico III",SUMIFS($D:$D,$A:$A,$A2382,$B:$B,"&lt;&gt;Patrícia Karla de Sousa Araújo",$B:$B,"&lt;&gt;Lorena Dias de Araujo",$B:$B,"&lt;&gt;Lucas Luiz Romero")*(35/1083),IF(C2382="Técnico II",SUMIFS($D:$D,$A:$A,$A2382,$B:$B,"&lt;&gt;Patrícia Karla de Sousa Araújo",$B:$B,"&lt;&gt;Lorena Dias de Araujo",$B:$B,"&lt;&gt;Lucas Luiz Romero")*(28/1083),IF(C2382="Técnico I",SUMIFS($D:$D,$A:$A,$A2382,$B:$B,"&lt;&gt;Patrícia Karla de Sousa Araújo",$B:$B,"&lt;&gt;Lorena Dias de Araujo",$B:$B,"&lt;&gt;Lucas Luiz Romero")*(23/1083),IF(C2382="JR",SUMIFS($D:$D,$A:$A,$A2382,$B:$B,"&lt;&gt;Patrícia Karla de Sousa Araújo",$B:$B,"&lt;&gt;Lorena Dias de Araujo",$B:$B,"&lt;&gt;Lucas Luiz Romero")*(20/1083),IF(C2382="Estágio",SUMIFS($D:$D,$A:$A,$A2382,$B:$B,"&lt;&gt;Patrícia Karla de Sousa Araújo",$B:$B,"&lt;&gt;Lorena Dias de Araujo",$B:$B,"&lt;&gt;Lucas Luiz Romero")*(10/1083),0)))))),0)</f>
        <v/>
      </c>
      <c r="K2382" s="3">
        <f>I2382-J2382</f>
        <v/>
      </c>
      <c r="L2382" s="3">
        <f>IF(K2382&lt;-5,"CRÍTICO",IF(K2382&lt;0,"ATENÇÃO",IF(K2382&lt;=5,"BOM","EXCELENTE")))</f>
        <v/>
      </c>
      <c r="N2382" t="n">
        <v>98.48</v>
      </c>
      <c r="O2382" t="n">
        <v>27.85388127853881</v>
      </c>
    </row>
    <row r="2383" hidden="1">
      <c r="A2383" s="11" t="n">
        <v>46076</v>
      </c>
      <c r="B2383" t="inlineStr">
        <is>
          <t>Kerollen Cristielly de Jesus Siqueira</t>
        </is>
      </c>
      <c r="C2383" t="inlineStr">
        <is>
          <t>Técnico III</t>
        </is>
      </c>
      <c r="D2383" t="n">
        <v>21</v>
      </c>
      <c r="E2383" t="n">
        <v>18</v>
      </c>
      <c r="F2383" t="n">
        <v>29.15</v>
      </c>
      <c r="G2383" t="n">
        <v>0</v>
      </c>
      <c r="H2383" t="n">
        <v>0</v>
      </c>
      <c r="I2383" s="3">
        <f>E2383+G2383+H2383</f>
        <v/>
      </c>
      <c r="J2383" s="3">
        <f>ROUND(MIN(IF(C2383="Técnico III",35,IF(C2383="Técnico II",28,IF(C2383="Técnico I",23,IF(C2383="JR",20,IF(C2383="Estágio",10,0))))),IF(C2383="Técnico III",SUMIFS($D:$D,$A:$A,$A2383,$B:$B,"&lt;&gt;Patrícia Karla de Sousa Araújo",$B:$B,"&lt;&gt;Lorena Dias de Araujo",$B:$B,"&lt;&gt;Lucas Luiz Romero")*(35/1083),IF(C2383="Técnico II",SUMIFS($D:$D,$A:$A,$A2383,$B:$B,"&lt;&gt;Patrícia Karla de Sousa Araújo",$B:$B,"&lt;&gt;Lorena Dias de Araujo",$B:$B,"&lt;&gt;Lucas Luiz Romero")*(28/1083),IF(C2383="Técnico I",SUMIFS($D:$D,$A:$A,$A2383,$B:$B,"&lt;&gt;Patrícia Karla de Sousa Araújo",$B:$B,"&lt;&gt;Lorena Dias de Araujo",$B:$B,"&lt;&gt;Lucas Luiz Romero")*(23/1083),IF(C2383="JR",SUMIFS($D:$D,$A:$A,$A2383,$B:$B,"&lt;&gt;Patrícia Karla de Sousa Araújo",$B:$B,"&lt;&gt;Lorena Dias de Araujo",$B:$B,"&lt;&gt;Lucas Luiz Romero")*(20/1083),IF(C2383="Estágio",SUMIFS($D:$D,$A:$A,$A2383,$B:$B,"&lt;&gt;Patrícia Karla de Sousa Araújo",$B:$B,"&lt;&gt;Lorena Dias de Araujo",$B:$B,"&lt;&gt;Lucas Luiz Romero")*(10/1083),0)))))),0)</f>
        <v/>
      </c>
      <c r="K2383" s="3">
        <f>I2383-J2383</f>
        <v/>
      </c>
      <c r="L2383" s="3">
        <f>IF(K2383&lt;-5,"CRÍTICO",IF(K2383&lt;0,"ATENÇÃO",IF(K2383&lt;=5,"BOM","EXCELENTE")))</f>
        <v/>
      </c>
      <c r="N2383" t="n">
        <v>95.15000000000001</v>
      </c>
      <c r="O2383" t="n">
        <v>34.13173652694611</v>
      </c>
    </row>
    <row r="2384" hidden="1">
      <c r="A2384" s="11" t="n">
        <v>46076</v>
      </c>
      <c r="B2384" t="inlineStr">
        <is>
          <t>Leandro de Souza Silva</t>
        </is>
      </c>
      <c r="C2384" t="inlineStr">
        <is>
          <t>JR</t>
        </is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s="3" t="n">
        <v>0</v>
      </c>
      <c r="J2384" s="3" t="n">
        <v>0</v>
      </c>
      <c r="K2384" s="3" t="n">
        <v>0</v>
      </c>
      <c r="L2384" s="3">
        <f>IF(K2384&lt;-5,"CRÍTICO",IF(K2384&lt;0,"ATENÇÃO",IF(K2384&lt;=5,"BOM","EXCELENTE")))</f>
        <v/>
      </c>
      <c r="N2384" t="n">
        <v>0</v>
      </c>
      <c r="O2384" t="n">
        <v>0</v>
      </c>
    </row>
    <row r="2385" hidden="1">
      <c r="A2385" s="11" t="n">
        <v>46076</v>
      </c>
      <c r="B2385" t="inlineStr">
        <is>
          <t>Leandro Oliveira de Sousa</t>
        </is>
      </c>
      <c r="C2385" t="inlineStr">
        <is>
          <t>Técnico III</t>
        </is>
      </c>
      <c r="D2385" t="n">
        <v>21</v>
      </c>
      <c r="E2385" t="n">
        <v>19</v>
      </c>
      <c r="F2385" t="n">
        <v>24.03</v>
      </c>
      <c r="G2385" t="n">
        <v>0</v>
      </c>
      <c r="H2385" t="n">
        <v>0</v>
      </c>
      <c r="I2385" s="3">
        <f>E2385+G2385+H2385</f>
        <v/>
      </c>
      <c r="J2385" s="3">
        <f>ROUND(MIN(IF(C2385="Técnico III",35,IF(C2385="Técnico II",28,IF(C2385="Técnico I",23,IF(C2385="JR",20,IF(C2385="Estágio",10,0))))),IF(C2385="Técnico III",SUMIFS($D:$D,$A:$A,$A2385,$B:$B,"&lt;&gt;Patrícia Karla de Sousa Araújo",$B:$B,"&lt;&gt;Lorena Dias de Araujo",$B:$B,"&lt;&gt;Lucas Luiz Romero")*(35/1083),IF(C2385="Técnico II",SUMIFS($D:$D,$A:$A,$A2385,$B:$B,"&lt;&gt;Patrícia Karla de Sousa Araújo",$B:$B,"&lt;&gt;Lorena Dias de Araujo",$B:$B,"&lt;&gt;Lucas Luiz Romero")*(28/1083),IF(C2385="Técnico I",SUMIFS($D:$D,$A:$A,$A2385,$B:$B,"&lt;&gt;Patrícia Karla de Sousa Araújo",$B:$B,"&lt;&gt;Lorena Dias de Araujo",$B:$B,"&lt;&gt;Lucas Luiz Romero")*(23/1083),IF(C2385="JR",SUMIFS($D:$D,$A:$A,$A2385,$B:$B,"&lt;&gt;Patrícia Karla de Sousa Araújo",$B:$B,"&lt;&gt;Lorena Dias de Araujo",$B:$B,"&lt;&gt;Lucas Luiz Romero")*(20/1083),IF(C2385="Estágio",SUMIFS($D:$D,$A:$A,$A2385,$B:$B,"&lt;&gt;Patrícia Karla de Sousa Araújo",$B:$B,"&lt;&gt;Lorena Dias de Araujo",$B:$B,"&lt;&gt;Lucas Luiz Romero")*(10/1083),0)))))),0)</f>
        <v/>
      </c>
      <c r="K2385" s="3">
        <f>I2385-J2385</f>
        <v/>
      </c>
      <c r="L2385" s="3">
        <f>IF(K2385&lt;-5,"CRÍTICO",IF(K2385&lt;0,"ATENÇÃO",IF(K2385&lt;=5,"BOM","EXCELENTE")))</f>
        <v/>
      </c>
      <c r="N2385" t="n">
        <v>99.26000000000001</v>
      </c>
      <c r="O2385" t="n">
        <v>30.84832904884319</v>
      </c>
    </row>
    <row r="2386" hidden="1">
      <c r="A2386" s="11" t="n">
        <v>46076</v>
      </c>
      <c r="B2386" t="inlineStr">
        <is>
          <t>Lizandra Gomes Duarte</t>
        </is>
      </c>
      <c r="C2386" t="inlineStr">
        <is>
          <t>Técnico II</t>
        </is>
      </c>
      <c r="D2386" t="n">
        <v>28</v>
      </c>
      <c r="E2386" t="n">
        <v>27</v>
      </c>
      <c r="F2386" t="n">
        <v>25.38</v>
      </c>
      <c r="G2386" t="n">
        <v>0</v>
      </c>
      <c r="H2386" t="n">
        <v>0</v>
      </c>
      <c r="I2386" s="3">
        <f>E2386+G2386+H2386</f>
        <v/>
      </c>
      <c r="J2386" s="3">
        <f>ROUND(MIN(IF(C2386="Técnico III",35,IF(C2386="Técnico II",28,IF(C2386="Técnico I",23,IF(C2386="JR",20,IF(C2386="Estágio",10,0))))),IF(C2386="Técnico III",SUMIFS($D:$D,$A:$A,$A2386,$B:$B,"&lt;&gt;Patrícia Karla de Sousa Araújo",$B:$B,"&lt;&gt;Lorena Dias de Araujo",$B:$B,"&lt;&gt;Lucas Luiz Romero")*(35/1083),IF(C2386="Técnico II",SUMIFS($D:$D,$A:$A,$A2386,$B:$B,"&lt;&gt;Patrícia Karla de Sousa Araújo",$B:$B,"&lt;&gt;Lorena Dias de Araujo",$B:$B,"&lt;&gt;Lucas Luiz Romero")*(28/1083),IF(C2386="Técnico I",SUMIFS($D:$D,$A:$A,$A2386,$B:$B,"&lt;&gt;Patrícia Karla de Sousa Araújo",$B:$B,"&lt;&gt;Lorena Dias de Araujo",$B:$B,"&lt;&gt;Lucas Luiz Romero")*(23/1083),IF(C2386="JR",SUMIFS($D:$D,$A:$A,$A2386,$B:$B,"&lt;&gt;Patrícia Karla de Sousa Araújo",$B:$B,"&lt;&gt;Lorena Dias de Araujo",$B:$B,"&lt;&gt;Lucas Luiz Romero")*(20/1083),IF(C2386="Estágio",SUMIFS($D:$D,$A:$A,$A2386,$B:$B,"&lt;&gt;Patrícia Karla de Sousa Araújo",$B:$B,"&lt;&gt;Lorena Dias de Araujo",$B:$B,"&lt;&gt;Lucas Luiz Romero")*(10/1083),0)))))),0)</f>
        <v/>
      </c>
      <c r="K2386" s="3">
        <f>I2386-J2386</f>
        <v/>
      </c>
      <c r="L2386" s="3">
        <f>IF(K2386&lt;-5,"CRÍTICO",IF(K2386&lt;0,"ATENÇÃO",IF(K2386&lt;=5,"BOM","EXCELENTE")))</f>
        <v/>
      </c>
      <c r="N2386" t="n">
        <v>97.48</v>
      </c>
      <c r="O2386" t="n">
        <v>27.76470588235294</v>
      </c>
    </row>
    <row r="2387" hidden="1">
      <c r="A2387" s="11" t="n">
        <v>46076</v>
      </c>
      <c r="B2387" t="inlineStr">
        <is>
          <t>Lorena Dias de Araujo</t>
        </is>
      </c>
      <c r="C2387" t="inlineStr">
        <is>
          <t>Técnico II</t>
        </is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s="3" t="n">
        <v>0</v>
      </c>
      <c r="J2387" s="3" t="n">
        <v>0</v>
      </c>
      <c r="K2387" s="3" t="n">
        <v>0</v>
      </c>
      <c r="L2387" s="3">
        <f>IF(K2387&lt;-5,"CRÍTICO",IF(K2387&lt;0,"ATENÇÃO",IF(K2387&lt;=5,"BOM","EXCELENTE")))</f>
        <v/>
      </c>
      <c r="N2387" t="n">
        <v>99.34</v>
      </c>
      <c r="O2387" t="n">
        <v>30.04291845493562</v>
      </c>
    </row>
    <row r="2388" hidden="1">
      <c r="A2388" s="11" t="n">
        <v>46076</v>
      </c>
      <c r="B2388" t="inlineStr">
        <is>
          <t>Lucas Luiz Romero</t>
        </is>
      </c>
      <c r="C2388" t="inlineStr">
        <is>
          <t>Técnico III</t>
        </is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s="3" t="n">
        <v>0</v>
      </c>
      <c r="J2388" s="3" t="n">
        <v>0</v>
      </c>
      <c r="K2388" s="3" t="n">
        <v>0</v>
      </c>
      <c r="L2388" s="3">
        <f>IF(K2388&lt;-5,"CRÍTICO",IF(K2388&lt;0,"ATENÇÃO",IF(K2388&lt;=5,"BOM","EXCELENTE")))</f>
        <v/>
      </c>
      <c r="N2388" t="n">
        <v>96.3</v>
      </c>
      <c r="O2388" t="n">
        <v>24.29378531073446</v>
      </c>
    </row>
    <row r="2389" hidden="1">
      <c r="A2389" s="11" t="n">
        <v>46076</v>
      </c>
      <c r="B2389" t="inlineStr">
        <is>
          <t>Luiz Fernando de Carvalho Junior</t>
        </is>
      </c>
      <c r="C2389" t="inlineStr">
        <is>
          <t>Técnico I</t>
        </is>
      </c>
      <c r="D2389" t="n">
        <v>9</v>
      </c>
      <c r="E2389" t="n">
        <v>9</v>
      </c>
      <c r="F2389" t="n">
        <v>47.28</v>
      </c>
      <c r="G2389" t="n">
        <v>0</v>
      </c>
      <c r="H2389" t="n">
        <v>0</v>
      </c>
      <c r="I2389" s="3">
        <f>E2389+G2389+H2389</f>
        <v/>
      </c>
      <c r="J2389" s="3">
        <f>ROUND(MIN(IF(C2389="Técnico III",35,IF(C2389="Técnico II",28,IF(C2389="Técnico I",23,IF(C2389="JR",20,IF(C2389="Estágio",10,0))))),IF(C2389="Técnico III",SUMIFS($D:$D,$A:$A,$A2389,$B:$B,"&lt;&gt;Patrícia Karla de Sousa Araújo",$B:$B,"&lt;&gt;Lorena Dias de Araujo",$B:$B,"&lt;&gt;Lucas Luiz Romero")*(35/1083),IF(C2389="Técnico II",SUMIFS($D:$D,$A:$A,$A2389,$B:$B,"&lt;&gt;Patrícia Karla de Sousa Araújo",$B:$B,"&lt;&gt;Lorena Dias de Araujo",$B:$B,"&lt;&gt;Lucas Luiz Romero")*(28/1083),IF(C2389="Técnico I",SUMIFS($D:$D,$A:$A,$A2389,$B:$B,"&lt;&gt;Patrícia Karla de Sousa Araújo",$B:$B,"&lt;&gt;Lorena Dias de Araujo",$B:$B,"&lt;&gt;Lucas Luiz Romero")*(23/1083),IF(C2389="JR",SUMIFS($D:$D,$A:$A,$A2389,$B:$B,"&lt;&gt;Patrícia Karla de Sousa Araújo",$B:$B,"&lt;&gt;Lorena Dias de Araujo",$B:$B,"&lt;&gt;Lucas Luiz Romero")*(20/1083),IF(C2389="Estágio",SUMIFS($D:$D,$A:$A,$A2389,$B:$B,"&lt;&gt;Patrícia Karla de Sousa Araújo",$B:$B,"&lt;&gt;Lorena Dias de Araujo",$B:$B,"&lt;&gt;Lucas Luiz Romero")*(10/1083),0)))))),0)</f>
        <v/>
      </c>
      <c r="K2389" s="3">
        <f>I2389-J2389</f>
        <v/>
      </c>
      <c r="L2389" s="3">
        <f>IF(K2389&lt;-5,"CRÍTICO",IF(K2389&lt;0,"ATENÇÃO",IF(K2389&lt;=5,"BOM","EXCELENTE")))</f>
        <v/>
      </c>
      <c r="N2389" t="n">
        <v>100</v>
      </c>
      <c r="O2389" t="n">
        <v>26.54320987654321</v>
      </c>
    </row>
    <row r="2390" hidden="1">
      <c r="A2390" s="11" t="n">
        <v>46076</v>
      </c>
      <c r="B2390" t="inlineStr">
        <is>
          <t>Maria Eduarda Sousa Costa</t>
        </is>
      </c>
      <c r="C2390" t="inlineStr">
        <is>
          <t>Estágio</t>
        </is>
      </c>
      <c r="D2390" t="n">
        <v>10</v>
      </c>
      <c r="E2390" t="n">
        <v>10</v>
      </c>
      <c r="F2390" t="n">
        <v>59.09</v>
      </c>
      <c r="G2390" t="n">
        <v>0</v>
      </c>
      <c r="H2390" t="n">
        <v>0</v>
      </c>
      <c r="I2390" s="3">
        <f>E2390+G2390+H2390</f>
        <v/>
      </c>
      <c r="J2390" s="3">
        <f>ROUND(MIN(IF(C2390="Técnico III",35,IF(C2390="Técnico II",28,IF(C2390="Técnico I",23,IF(C2390="JR",20,IF(C2390="Estágio",10,0))))),IF(C2390="Técnico III",SUMIFS($D:$D,$A:$A,$A2390,$B:$B,"&lt;&gt;Patrícia Karla de Sousa Araújo",$B:$B,"&lt;&gt;Lorena Dias de Araujo",$B:$B,"&lt;&gt;Lucas Luiz Romero")*(35/1083),IF(C2390="Técnico II",SUMIFS($D:$D,$A:$A,$A2390,$B:$B,"&lt;&gt;Patrícia Karla de Sousa Araújo",$B:$B,"&lt;&gt;Lorena Dias de Araujo",$B:$B,"&lt;&gt;Lucas Luiz Romero")*(28/1083),IF(C2390="Técnico I",SUMIFS($D:$D,$A:$A,$A2390,$B:$B,"&lt;&gt;Patrícia Karla de Sousa Araújo",$B:$B,"&lt;&gt;Lorena Dias de Araujo",$B:$B,"&lt;&gt;Lucas Luiz Romero")*(23/1083),IF(C2390="JR",SUMIFS($D:$D,$A:$A,$A2390,$B:$B,"&lt;&gt;Patrícia Karla de Sousa Araújo",$B:$B,"&lt;&gt;Lorena Dias de Araujo",$B:$B,"&lt;&gt;Lucas Luiz Romero")*(20/1083),IF(C2390="Estágio",SUMIFS($D:$D,$A:$A,$A2390,$B:$B,"&lt;&gt;Patrícia Karla de Sousa Araújo",$B:$B,"&lt;&gt;Lorena Dias de Araujo",$B:$B,"&lt;&gt;Lucas Luiz Romero")*(10/1083),0)))))),0)</f>
        <v/>
      </c>
      <c r="K2390" s="3">
        <f>I2390-J2390</f>
        <v/>
      </c>
      <c r="L2390" s="3">
        <f>IF(K2390&lt;-5,"CRÍTICO",IF(K2390&lt;0,"ATENÇÃO",IF(K2390&lt;=5,"BOM","EXCELENTE")))</f>
        <v/>
      </c>
      <c r="N2390" t="n">
        <v>100</v>
      </c>
      <c r="O2390" t="n">
        <v>35.48387096774194</v>
      </c>
    </row>
    <row r="2391" hidden="1">
      <c r="A2391" s="11" t="n">
        <v>46076</v>
      </c>
      <c r="B2391" t="inlineStr">
        <is>
          <t>Matheus Farias De Souza</t>
        </is>
      </c>
      <c r="C2391" t="inlineStr">
        <is>
          <t>Técnico III</t>
        </is>
      </c>
      <c r="D2391" t="n">
        <v>26</v>
      </c>
      <c r="E2391" t="n">
        <v>23</v>
      </c>
      <c r="F2391" t="n">
        <v>22.35</v>
      </c>
      <c r="G2391" t="n">
        <v>0</v>
      </c>
      <c r="H2391" t="n">
        <v>0</v>
      </c>
      <c r="I2391" s="3">
        <f>E2391+G2391+H2391</f>
        <v/>
      </c>
      <c r="J2391" s="3">
        <f>ROUND(MIN(IF(C2391="Técnico III",35,IF(C2391="Técnico II",28,IF(C2391="Técnico I",23,IF(C2391="JR",20,IF(C2391="Estágio",10,0))))),IF(C2391="Técnico III",SUMIFS($D:$D,$A:$A,$A2391,$B:$B,"&lt;&gt;Patrícia Karla de Sousa Araújo",$B:$B,"&lt;&gt;Lorena Dias de Araujo",$B:$B,"&lt;&gt;Lucas Luiz Romero")*(35/1083),IF(C2391="Técnico II",SUMIFS($D:$D,$A:$A,$A2391,$B:$B,"&lt;&gt;Patrícia Karla de Sousa Araújo",$B:$B,"&lt;&gt;Lorena Dias de Araujo",$B:$B,"&lt;&gt;Lucas Luiz Romero")*(28/1083),IF(C2391="Técnico I",SUMIFS($D:$D,$A:$A,$A2391,$B:$B,"&lt;&gt;Patrícia Karla de Sousa Araújo",$B:$B,"&lt;&gt;Lorena Dias de Araujo",$B:$B,"&lt;&gt;Lucas Luiz Romero")*(23/1083),IF(C2391="JR",SUMIFS($D:$D,$A:$A,$A2391,$B:$B,"&lt;&gt;Patrícia Karla de Sousa Araújo",$B:$B,"&lt;&gt;Lorena Dias de Araujo",$B:$B,"&lt;&gt;Lucas Luiz Romero")*(20/1083),IF(C2391="Estágio",SUMIFS($D:$D,$A:$A,$A2391,$B:$B,"&lt;&gt;Patrícia Karla de Sousa Araújo",$B:$B,"&lt;&gt;Lorena Dias de Araujo",$B:$B,"&lt;&gt;Lucas Luiz Romero")*(10/1083),0)))))),0)</f>
        <v/>
      </c>
      <c r="K2391" s="3">
        <f>I2391-J2391</f>
        <v/>
      </c>
      <c r="L2391" s="3">
        <f>IF(K2391&lt;-5,"CRÍTICO",IF(K2391&lt;0,"ATENÇÃO",IF(K2391&lt;=5,"BOM","EXCELENTE")))</f>
        <v/>
      </c>
      <c r="N2391" t="n">
        <v>99.27</v>
      </c>
      <c r="O2391" t="n">
        <v>31.16370808678501</v>
      </c>
    </row>
    <row r="2392" hidden="1">
      <c r="A2392" s="11" t="n">
        <v>46076</v>
      </c>
      <c r="B2392" t="inlineStr">
        <is>
          <t>Maysa Victoria Dias Moura</t>
        </is>
      </c>
      <c r="C2392" t="inlineStr">
        <is>
          <t>Técnico III</t>
        </is>
      </c>
      <c r="D2392" t="n">
        <v>30</v>
      </c>
      <c r="E2392" t="n">
        <v>29</v>
      </c>
      <c r="F2392" t="n">
        <v>17.01</v>
      </c>
      <c r="G2392" t="n">
        <v>0</v>
      </c>
      <c r="H2392" t="n">
        <v>0</v>
      </c>
      <c r="I2392" s="3">
        <f>E2392+G2392+H2392</f>
        <v/>
      </c>
      <c r="J2392" s="3">
        <f>ROUND(MIN(IF(C2392="Técnico III",35,IF(C2392="Técnico II",28,IF(C2392="Técnico I",23,IF(C2392="JR",20,IF(C2392="Estágio",10,0))))),IF(C2392="Técnico III",SUMIFS($D:$D,$A:$A,$A2392,$B:$B,"&lt;&gt;Patrícia Karla de Sousa Araújo",$B:$B,"&lt;&gt;Lorena Dias de Araujo",$B:$B,"&lt;&gt;Lucas Luiz Romero")*(35/1083),IF(C2392="Técnico II",SUMIFS($D:$D,$A:$A,$A2392,$B:$B,"&lt;&gt;Patrícia Karla de Sousa Araújo",$B:$B,"&lt;&gt;Lorena Dias de Araujo",$B:$B,"&lt;&gt;Lucas Luiz Romero")*(28/1083),IF(C2392="Técnico I",SUMIFS($D:$D,$A:$A,$A2392,$B:$B,"&lt;&gt;Patrícia Karla de Sousa Araújo",$B:$B,"&lt;&gt;Lorena Dias de Araujo",$B:$B,"&lt;&gt;Lucas Luiz Romero")*(23/1083),IF(C2392="JR",SUMIFS($D:$D,$A:$A,$A2392,$B:$B,"&lt;&gt;Patrícia Karla de Sousa Araújo",$B:$B,"&lt;&gt;Lorena Dias de Araujo",$B:$B,"&lt;&gt;Lucas Luiz Romero")*(20/1083),IF(C2392="Estágio",SUMIFS($D:$D,$A:$A,$A2392,$B:$B,"&lt;&gt;Patrícia Karla de Sousa Araújo",$B:$B,"&lt;&gt;Lorena Dias de Araujo",$B:$B,"&lt;&gt;Lucas Luiz Romero")*(10/1083),0)))))),0)</f>
        <v/>
      </c>
      <c r="K2392" s="3">
        <f>I2392-J2392</f>
        <v/>
      </c>
      <c r="L2392" s="3">
        <f>IF(K2392&lt;-5,"CRÍTICO",IF(K2392&lt;0,"ATENÇÃO",IF(K2392&lt;=5,"BOM","EXCELENTE")))</f>
        <v/>
      </c>
      <c r="N2392" t="n">
        <v>94.16</v>
      </c>
      <c r="O2392" t="n">
        <v>27.03862660944206</v>
      </c>
    </row>
    <row r="2393" hidden="1">
      <c r="A2393" s="11" t="n">
        <v>46076</v>
      </c>
      <c r="B2393" t="inlineStr">
        <is>
          <t>Michelle G Santos</t>
        </is>
      </c>
      <c r="C2393" t="inlineStr">
        <is>
          <t>Estágio</t>
        </is>
      </c>
      <c r="D2393" t="n">
        <v>9</v>
      </c>
      <c r="E2393" t="n">
        <v>9</v>
      </c>
      <c r="F2393" t="n">
        <v>55.2</v>
      </c>
      <c r="G2393" t="n">
        <v>0</v>
      </c>
      <c r="H2393" t="n">
        <v>0</v>
      </c>
      <c r="I2393" s="3">
        <f>E2393+G2393+H2393</f>
        <v/>
      </c>
      <c r="J2393" s="3">
        <f>ROUND(MIN(IF(C2393="Técnico III",35,IF(C2393="Técnico II",28,IF(C2393="Técnico I",23,IF(C2393="JR",20,IF(C2393="Estágio",10,0))))),IF(C2393="Técnico III",SUMIFS($D:$D,$A:$A,$A2393,$B:$B,"&lt;&gt;Patrícia Karla de Sousa Araújo",$B:$B,"&lt;&gt;Lorena Dias de Araujo",$B:$B,"&lt;&gt;Lucas Luiz Romero")*(35/1083),IF(C2393="Técnico II",SUMIFS($D:$D,$A:$A,$A2393,$B:$B,"&lt;&gt;Patrícia Karla de Sousa Araújo",$B:$B,"&lt;&gt;Lorena Dias de Araujo",$B:$B,"&lt;&gt;Lucas Luiz Romero")*(28/1083),IF(C2393="Técnico I",SUMIFS($D:$D,$A:$A,$A2393,$B:$B,"&lt;&gt;Patrícia Karla de Sousa Araújo",$B:$B,"&lt;&gt;Lorena Dias de Araujo",$B:$B,"&lt;&gt;Lucas Luiz Romero")*(23/1083),IF(C2393="JR",SUMIFS($D:$D,$A:$A,$A2393,$B:$B,"&lt;&gt;Patrícia Karla de Sousa Araújo",$B:$B,"&lt;&gt;Lorena Dias de Araujo",$B:$B,"&lt;&gt;Lucas Luiz Romero")*(20/1083),IF(C2393="Estágio",SUMIFS($D:$D,$A:$A,$A2393,$B:$B,"&lt;&gt;Patrícia Karla de Sousa Araújo",$B:$B,"&lt;&gt;Lorena Dias de Araujo",$B:$B,"&lt;&gt;Lucas Luiz Romero")*(10/1083),0)))))),0)</f>
        <v/>
      </c>
      <c r="K2393" s="3">
        <f>I2393-J2393</f>
        <v/>
      </c>
      <c r="L2393" s="3">
        <f>IF(K2393&lt;-5,"CRÍTICO",IF(K2393&lt;0,"ATENÇÃO",IF(K2393&lt;=5,"BOM","EXCELENTE")))</f>
        <v/>
      </c>
      <c r="N2393" t="n">
        <v>93.75</v>
      </c>
      <c r="O2393" t="n">
        <v>19.31818181818182</v>
      </c>
    </row>
    <row r="2394" hidden="1">
      <c r="A2394" s="11" t="n">
        <v>46076</v>
      </c>
      <c r="B2394" t="inlineStr">
        <is>
          <t>Milena Sales</t>
        </is>
      </c>
      <c r="C2394" t="inlineStr">
        <is>
          <t>JR</t>
        </is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s="3" t="n">
        <v>0</v>
      </c>
      <c r="J2394" s="3" t="n">
        <v>0</v>
      </c>
      <c r="K2394" s="3" t="n">
        <v>0</v>
      </c>
      <c r="L2394" s="3">
        <f>IF(K2394&lt;-5,"CRÍTICO",IF(K2394&lt;0,"ATENÇÃO",IF(K2394&lt;=5,"BOM","EXCELENTE")))</f>
        <v/>
      </c>
      <c r="N2394" t="n">
        <v>0</v>
      </c>
      <c r="O2394" t="n">
        <v>0</v>
      </c>
    </row>
    <row r="2395" hidden="1">
      <c r="A2395" s="11" t="n">
        <v>46076</v>
      </c>
      <c r="B2395" t="inlineStr">
        <is>
          <t>Patrícia Karla de Sousa Araújo</t>
        </is>
      </c>
      <c r="C2395" t="inlineStr">
        <is>
          <t>Técnico II</t>
        </is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s="3" t="n">
        <v>0</v>
      </c>
      <c r="J2395" s="3" t="n">
        <v>0</v>
      </c>
      <c r="K2395" s="3" t="n">
        <v>0</v>
      </c>
      <c r="L2395" s="3">
        <f>IF(K2395&lt;-5,"CRÍTICO",IF(K2395&lt;0,"ATENÇÃO",IF(K2395&lt;=5,"BOM","EXCELENTE")))</f>
        <v/>
      </c>
      <c r="N2395" t="n">
        <v>97.92</v>
      </c>
      <c r="O2395" t="n">
        <v>32.87671232876712</v>
      </c>
    </row>
    <row r="2396" hidden="1">
      <c r="A2396" s="11" t="n">
        <v>46076</v>
      </c>
      <c r="B2396" t="inlineStr">
        <is>
          <t>Paulo Ricardo Santos</t>
        </is>
      </c>
      <c r="C2396" t="inlineStr">
        <is>
          <t>JR</t>
        </is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s="3" t="n">
        <v>0</v>
      </c>
      <c r="J2396" s="3" t="n">
        <v>0</v>
      </c>
      <c r="K2396" s="3" t="n">
        <v>0</v>
      </c>
      <c r="L2396" s="3">
        <f>IF(K2396&lt;-5,"CRÍTICO",IF(K2396&lt;0,"ATENÇÃO",IF(K2396&lt;=5,"BOM","EXCELENTE")))</f>
        <v/>
      </c>
      <c r="N2396" t="n">
        <v>0</v>
      </c>
      <c r="O2396" t="n">
        <v>0</v>
      </c>
    </row>
    <row r="2397" hidden="1">
      <c r="A2397" s="11" t="n">
        <v>46076</v>
      </c>
      <c r="B2397" t="inlineStr">
        <is>
          <t>Pedro Luiz Mota Sousa</t>
        </is>
      </c>
      <c r="C2397" t="inlineStr">
        <is>
          <t>JR</t>
        </is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s="3" t="n">
        <v>0</v>
      </c>
      <c r="J2397" s="3" t="n">
        <v>0</v>
      </c>
      <c r="K2397" s="3" t="n">
        <v>0</v>
      </c>
      <c r="L2397" s="3">
        <f>IF(K2397&lt;-5,"CRÍTICO",IF(K2397&lt;0,"ATENÇÃO",IF(K2397&lt;=5,"BOM","EXCELENTE")))</f>
        <v/>
      </c>
      <c r="N2397" t="n">
        <v>0</v>
      </c>
      <c r="O2397" t="n">
        <v>0</v>
      </c>
    </row>
    <row r="2398" hidden="1">
      <c r="A2398" s="11" t="n">
        <v>46076</v>
      </c>
      <c r="B2398" t="inlineStr">
        <is>
          <t>Quirino Diogo Leite Torres</t>
        </is>
      </c>
      <c r="C2398" t="inlineStr">
        <is>
          <t>Estágio</t>
        </is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s="3" t="n">
        <v>0</v>
      </c>
      <c r="J2398" s="3" t="n">
        <v>0</v>
      </c>
      <c r="K2398" s="3" t="n">
        <v>0</v>
      </c>
      <c r="L2398" s="3">
        <f>IF(K2398&lt;-5,"CRÍTICO",IF(K2398&lt;0,"ATENÇÃO",IF(K2398&lt;=5,"BOM","EXCELENTE")))</f>
        <v/>
      </c>
      <c r="N2398" t="n">
        <v>0</v>
      </c>
      <c r="O2398" t="n">
        <v>0</v>
      </c>
    </row>
    <row r="2399" hidden="1">
      <c r="A2399" s="11" t="n">
        <v>46076</v>
      </c>
      <c r="B2399" t="inlineStr">
        <is>
          <t>Raane Batista Matos</t>
        </is>
      </c>
      <c r="C2399" t="inlineStr">
        <is>
          <t>Técnico I</t>
        </is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s="3" t="n">
        <v>0</v>
      </c>
      <c r="J2399" s="3" t="n">
        <v>0</v>
      </c>
      <c r="K2399" s="3" t="n">
        <v>0</v>
      </c>
      <c r="L2399" s="3">
        <f>IF(K2399&lt;-5,"CRÍTICO",IF(K2399&lt;0,"ATENÇÃO",IF(K2399&lt;=5,"BOM","EXCELENTE")))</f>
        <v/>
      </c>
      <c r="N2399" t="n">
        <v>98.51000000000001</v>
      </c>
      <c r="O2399" t="n">
        <v>29.71014492753623</v>
      </c>
    </row>
    <row r="2400" hidden="1">
      <c r="A2400" s="11" t="n">
        <v>46076</v>
      </c>
      <c r="B2400" t="inlineStr">
        <is>
          <t>Rafael Gomes de Morais</t>
        </is>
      </c>
      <c r="C2400" t="inlineStr">
        <is>
          <t>Técnico III</t>
        </is>
      </c>
      <c r="D2400" t="n">
        <v>32</v>
      </c>
      <c r="E2400" t="n">
        <v>28</v>
      </c>
      <c r="F2400" t="n">
        <v>18.55</v>
      </c>
      <c r="G2400" t="n">
        <v>0</v>
      </c>
      <c r="H2400" t="n">
        <v>0</v>
      </c>
      <c r="I2400" s="3">
        <f>E2400+G2400+H2400</f>
        <v/>
      </c>
      <c r="J2400" s="3">
        <f>ROUND(MIN(IF(C2400="Técnico III",35,IF(C2400="Técnico II",28,IF(C2400="Técnico I",23,IF(C2400="JR",20,IF(C2400="Estágio",10,0))))),IF(C2400="Técnico III",SUMIFS($D:$D,$A:$A,$A2400,$B:$B,"&lt;&gt;Patrícia Karla de Sousa Araújo",$B:$B,"&lt;&gt;Lorena Dias de Araujo",$B:$B,"&lt;&gt;Lucas Luiz Romero")*(35/1083),IF(C2400="Técnico II",SUMIFS($D:$D,$A:$A,$A2400,$B:$B,"&lt;&gt;Patrícia Karla de Sousa Araújo",$B:$B,"&lt;&gt;Lorena Dias de Araujo",$B:$B,"&lt;&gt;Lucas Luiz Romero")*(28/1083),IF(C2400="Técnico I",SUMIFS($D:$D,$A:$A,$A2400,$B:$B,"&lt;&gt;Patrícia Karla de Sousa Araújo",$B:$B,"&lt;&gt;Lorena Dias de Araujo",$B:$B,"&lt;&gt;Lucas Luiz Romero")*(23/1083),IF(C2400="JR",SUMIFS($D:$D,$A:$A,$A2400,$B:$B,"&lt;&gt;Patrícia Karla de Sousa Araújo",$B:$B,"&lt;&gt;Lorena Dias de Araujo",$B:$B,"&lt;&gt;Lucas Luiz Romero")*(20/1083),IF(C2400="Estágio",SUMIFS($D:$D,$A:$A,$A2400,$B:$B,"&lt;&gt;Patrícia Karla de Sousa Araújo",$B:$B,"&lt;&gt;Lorena Dias de Araujo",$B:$B,"&lt;&gt;Lucas Luiz Romero")*(10/1083),0)))))),0)</f>
        <v/>
      </c>
      <c r="K2400" s="3">
        <f>I2400-J2400</f>
        <v/>
      </c>
      <c r="L2400" s="3">
        <f>IF(K2400&lt;-5,"CRÍTICO",IF(K2400&lt;0,"ATENÇÃO",IF(K2400&lt;=5,"BOM","EXCELENTE")))</f>
        <v/>
      </c>
      <c r="N2400" t="n">
        <v>98.81</v>
      </c>
      <c r="O2400" t="n">
        <v>30.71297989031079</v>
      </c>
    </row>
    <row r="2401" hidden="1">
      <c r="A2401" s="11" t="n">
        <v>46076</v>
      </c>
      <c r="B2401" t="inlineStr">
        <is>
          <t>Sara Maria Monteiro Lopes</t>
        </is>
      </c>
      <c r="C2401" t="inlineStr">
        <is>
          <t>Técnico I</t>
        </is>
      </c>
      <c r="D2401" t="n">
        <v>12</v>
      </c>
      <c r="E2401" t="n">
        <v>11</v>
      </c>
      <c r="F2401" t="n">
        <v>36.4</v>
      </c>
      <c r="G2401" t="n">
        <v>0</v>
      </c>
      <c r="H2401" t="n">
        <v>0</v>
      </c>
      <c r="I2401" s="3">
        <f>E2401+G2401+H2401</f>
        <v/>
      </c>
      <c r="J2401" s="3">
        <f>ROUND(MIN(IF(C2401="Técnico III",35,IF(C2401="Técnico II",28,IF(C2401="Técnico I",23,IF(C2401="JR",20,IF(C2401="Estágio",10,0))))),IF(C2401="Técnico III",SUMIFS($D:$D,$A:$A,$A2401,$B:$B,"&lt;&gt;Patrícia Karla de Sousa Araújo",$B:$B,"&lt;&gt;Lorena Dias de Araujo",$B:$B,"&lt;&gt;Lucas Luiz Romero")*(35/1083),IF(C2401="Técnico II",SUMIFS($D:$D,$A:$A,$A2401,$B:$B,"&lt;&gt;Patrícia Karla de Sousa Araújo",$B:$B,"&lt;&gt;Lorena Dias de Araujo",$B:$B,"&lt;&gt;Lucas Luiz Romero")*(28/1083),IF(C2401="Técnico I",SUMIFS($D:$D,$A:$A,$A2401,$B:$B,"&lt;&gt;Patrícia Karla de Sousa Araújo",$B:$B,"&lt;&gt;Lorena Dias de Araujo",$B:$B,"&lt;&gt;Lucas Luiz Romero")*(23/1083),IF(C2401="JR",SUMIFS($D:$D,$A:$A,$A2401,$B:$B,"&lt;&gt;Patrícia Karla de Sousa Araújo",$B:$B,"&lt;&gt;Lorena Dias de Araujo",$B:$B,"&lt;&gt;Lucas Luiz Romero")*(20/1083),IF(C2401="Estágio",SUMIFS($D:$D,$A:$A,$A2401,$B:$B,"&lt;&gt;Patrícia Karla de Sousa Araújo",$B:$B,"&lt;&gt;Lorena Dias de Araujo",$B:$B,"&lt;&gt;Lucas Luiz Romero")*(10/1083),0)))))),0)</f>
        <v/>
      </c>
      <c r="K2401" s="3">
        <f>I2401-J2401</f>
        <v/>
      </c>
      <c r="L2401" s="3">
        <f>IF(K2401&lt;-5,"CRÍTICO",IF(K2401&lt;0,"ATENÇÃO",IF(K2401&lt;=5,"BOM","EXCELENTE")))</f>
        <v/>
      </c>
      <c r="N2401" t="n">
        <v>98.48</v>
      </c>
      <c r="O2401" t="n">
        <v>29.35323383084577</v>
      </c>
    </row>
    <row r="2402" hidden="1">
      <c r="A2402" s="11" t="n">
        <v>46076</v>
      </c>
      <c r="B2402" t="inlineStr">
        <is>
          <t>Sarah Steffanie de Lima Borges</t>
        </is>
      </c>
      <c r="C2402" t="inlineStr">
        <is>
          <t>Técnico III</t>
        </is>
      </c>
      <c r="D2402" t="n">
        <v>28</v>
      </c>
      <c r="E2402" t="n">
        <v>28</v>
      </c>
      <c r="F2402" t="n">
        <v>22.24</v>
      </c>
      <c r="G2402" t="n">
        <v>0</v>
      </c>
      <c r="H2402" t="n">
        <v>0</v>
      </c>
      <c r="I2402" s="3">
        <f>E2402+G2402+H2402</f>
        <v/>
      </c>
      <c r="J2402" s="3">
        <f>ROUND(MIN(IF(C2402="Técnico III",35,IF(C2402="Técnico II",28,IF(C2402="Técnico I",23,IF(C2402="JR",20,IF(C2402="Estágio",10,0))))),IF(C2402="Técnico III",SUMIFS($D:$D,$A:$A,$A2402,$B:$B,"&lt;&gt;Patrícia Karla de Sousa Araújo",$B:$B,"&lt;&gt;Lorena Dias de Araujo",$B:$B,"&lt;&gt;Lucas Luiz Romero")*(35/1083),IF(C2402="Técnico II",SUMIFS($D:$D,$A:$A,$A2402,$B:$B,"&lt;&gt;Patrícia Karla de Sousa Araújo",$B:$B,"&lt;&gt;Lorena Dias de Araujo",$B:$B,"&lt;&gt;Lucas Luiz Romero")*(28/1083),IF(C2402="Técnico I",SUMIFS($D:$D,$A:$A,$A2402,$B:$B,"&lt;&gt;Patrícia Karla de Sousa Araújo",$B:$B,"&lt;&gt;Lorena Dias de Araujo",$B:$B,"&lt;&gt;Lucas Luiz Romero")*(23/1083),IF(C2402="JR",SUMIFS($D:$D,$A:$A,$A2402,$B:$B,"&lt;&gt;Patrícia Karla de Sousa Araújo",$B:$B,"&lt;&gt;Lorena Dias de Araujo",$B:$B,"&lt;&gt;Lucas Luiz Romero")*(20/1083),IF(C2402="Estágio",SUMIFS($D:$D,$A:$A,$A2402,$B:$B,"&lt;&gt;Patrícia Karla de Sousa Araújo",$B:$B,"&lt;&gt;Lorena Dias de Araujo",$B:$B,"&lt;&gt;Lucas Luiz Romero")*(10/1083),0)))))),0)</f>
        <v/>
      </c>
      <c r="K2402" s="3">
        <f>I2402-J2402</f>
        <v/>
      </c>
      <c r="L2402" s="3">
        <f>IF(K2402&lt;-5,"CRÍTICO",IF(K2402&lt;0,"ATENÇÃO",IF(K2402&lt;=5,"BOM","EXCELENTE")))</f>
        <v/>
      </c>
      <c r="N2402" t="n">
        <v>98.56</v>
      </c>
      <c r="O2402" t="n">
        <v>29.37365010799136</v>
      </c>
    </row>
    <row r="2403" hidden="1">
      <c r="A2403" s="11" t="n">
        <v>46077</v>
      </c>
      <c r="B2403" t="inlineStr">
        <is>
          <t>Alisson de Freitas Silva</t>
        </is>
      </c>
      <c r="C2403" t="inlineStr">
        <is>
          <t>Técnico II</t>
        </is>
      </c>
      <c r="D2403" t="n">
        <v>21</v>
      </c>
      <c r="E2403" t="n">
        <v>19</v>
      </c>
      <c r="F2403" t="n">
        <v>27.09</v>
      </c>
      <c r="G2403" t="n">
        <v>0</v>
      </c>
      <c r="H2403" t="n">
        <v>0</v>
      </c>
      <c r="I2403" s="3">
        <f>E2403+G2403+H2403</f>
        <v/>
      </c>
      <c r="J2403" s="3">
        <f>ROUND(MIN(IF(C2403="Técnico III",35,IF(C2403="Técnico II",28,IF(C2403="Técnico I",23,IF(C2403="JR",20,IF(C2403="Estágio",10,0))))),IF(C2403="Técnico III",SUMIFS($D:$D,$A:$A,$A2403,$B:$B,"&lt;&gt;Patrícia Karla de Sousa Araújo",$B:$B,"&lt;&gt;Lorena Dias de Araujo",$B:$B,"&lt;&gt;Lucas Luiz Romero")*(35/1083),IF(C2403="Técnico II",SUMIFS($D:$D,$A:$A,$A2403,$B:$B,"&lt;&gt;Patrícia Karla de Sousa Araújo",$B:$B,"&lt;&gt;Lorena Dias de Araujo",$B:$B,"&lt;&gt;Lucas Luiz Romero")*(28/1083),IF(C2403="Técnico I",SUMIFS($D:$D,$A:$A,$A2403,$B:$B,"&lt;&gt;Patrícia Karla de Sousa Araújo",$B:$B,"&lt;&gt;Lorena Dias de Araujo",$B:$B,"&lt;&gt;Lucas Luiz Romero")*(23/1083),IF(C2403="JR",SUMIFS($D:$D,$A:$A,$A2403,$B:$B,"&lt;&gt;Patrícia Karla de Sousa Araújo",$B:$B,"&lt;&gt;Lorena Dias de Araujo",$B:$B,"&lt;&gt;Lucas Luiz Romero")*(20/1083),IF(C2403="Estágio",SUMIFS($D:$D,$A:$A,$A2403,$B:$B,"&lt;&gt;Patrícia Karla de Sousa Araújo",$B:$B,"&lt;&gt;Lorena Dias de Araujo",$B:$B,"&lt;&gt;Lucas Luiz Romero")*(10/1083),0)))))),0)</f>
        <v/>
      </c>
      <c r="K2403" s="3">
        <f>I2403-J2403</f>
        <v/>
      </c>
      <c r="L2403" s="3">
        <f>IF(K2403&lt;-5,"CRÍTICO",IF(K2403&lt;0,"ATENÇÃO",IF(K2403&lt;=5,"BOM","EXCELENTE")))</f>
        <v/>
      </c>
      <c r="N2403" t="n">
        <v>98.31999999999999</v>
      </c>
      <c r="O2403" t="n">
        <v>30.3030303030303</v>
      </c>
    </row>
    <row r="2404" hidden="1">
      <c r="A2404" s="11" t="n">
        <v>46077</v>
      </c>
      <c r="B2404" t="inlineStr">
        <is>
          <t>Amanda Moura Ferreira</t>
        </is>
      </c>
      <c r="C2404" t="inlineStr">
        <is>
          <t>Técnico III</t>
        </is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s="3" t="n">
        <v>0</v>
      </c>
      <c r="J2404" s="3" t="n">
        <v>0</v>
      </c>
      <c r="K2404" s="3" t="n">
        <v>0</v>
      </c>
      <c r="L2404" s="3">
        <f>IF(K2404&lt;-5,"CRÍTICO",IF(K2404&lt;0,"ATENÇÃO",IF(K2404&lt;=5,"BOM","EXCELENTE")))</f>
        <v/>
      </c>
      <c r="N2404" t="n">
        <v>98.68000000000001</v>
      </c>
      <c r="O2404" t="n">
        <v>26.21951219512195</v>
      </c>
    </row>
    <row r="2405" hidden="1">
      <c r="A2405" s="11" t="n">
        <v>46077</v>
      </c>
      <c r="B2405" t="inlineStr">
        <is>
          <t>Ana Karollyne Souza Faria</t>
        </is>
      </c>
      <c r="C2405" t="inlineStr">
        <is>
          <t>Técnico I</t>
        </is>
      </c>
      <c r="D2405" t="n">
        <v>18</v>
      </c>
      <c r="E2405" t="n">
        <v>17</v>
      </c>
      <c r="F2405" t="n">
        <v>35.18</v>
      </c>
      <c r="G2405" t="n">
        <v>0</v>
      </c>
      <c r="H2405" t="n">
        <v>0</v>
      </c>
      <c r="I2405" s="3">
        <f>E2405+G2405+H2405</f>
        <v/>
      </c>
      <c r="J2405" s="3">
        <f>ROUND(MIN(IF(C2405="Técnico III",35,IF(C2405="Técnico II",28,IF(C2405="Técnico I",23,IF(C2405="JR",20,IF(C2405="Estágio",10,0))))),IF(C2405="Técnico III",SUMIFS($D:$D,$A:$A,$A2405,$B:$B,"&lt;&gt;Patrícia Karla de Sousa Araújo",$B:$B,"&lt;&gt;Lorena Dias de Araujo",$B:$B,"&lt;&gt;Lucas Luiz Romero")*(35/1083),IF(C2405="Técnico II",SUMIFS($D:$D,$A:$A,$A2405,$B:$B,"&lt;&gt;Patrícia Karla de Sousa Araújo",$B:$B,"&lt;&gt;Lorena Dias de Araujo",$B:$B,"&lt;&gt;Lucas Luiz Romero")*(28/1083),IF(C2405="Técnico I",SUMIFS($D:$D,$A:$A,$A2405,$B:$B,"&lt;&gt;Patrícia Karla de Sousa Araújo",$B:$B,"&lt;&gt;Lorena Dias de Araujo",$B:$B,"&lt;&gt;Lucas Luiz Romero")*(23/1083),IF(C2405="JR",SUMIFS($D:$D,$A:$A,$A2405,$B:$B,"&lt;&gt;Patrícia Karla de Sousa Araújo",$B:$B,"&lt;&gt;Lorena Dias de Araujo",$B:$B,"&lt;&gt;Lucas Luiz Romero")*(20/1083),IF(C2405="Estágio",SUMIFS($D:$D,$A:$A,$A2405,$B:$B,"&lt;&gt;Patrícia Karla de Sousa Araújo",$B:$B,"&lt;&gt;Lorena Dias de Araujo",$B:$B,"&lt;&gt;Lucas Luiz Romero")*(10/1083),0)))))),0)</f>
        <v/>
      </c>
      <c r="K2405" s="3">
        <f>I2405-J2405</f>
        <v/>
      </c>
      <c r="L2405" s="3">
        <f>IF(K2405&lt;-5,"CRÍTICO",IF(K2405&lt;0,"ATENÇÃO",IF(K2405&lt;=5,"BOM","EXCELENTE")))</f>
        <v/>
      </c>
      <c r="N2405" t="n">
        <v>100</v>
      </c>
      <c r="O2405" t="n">
        <v>31.74224343675418</v>
      </c>
    </row>
    <row r="2406" hidden="1">
      <c r="A2406" s="11" t="n">
        <v>46077</v>
      </c>
      <c r="B2406" t="inlineStr">
        <is>
          <t>Ana Paula Da Luz Silva Aleixo</t>
        </is>
      </c>
      <c r="C2406" t="inlineStr">
        <is>
          <t>Técnico III</t>
        </is>
      </c>
      <c r="D2406" t="n">
        <v>18</v>
      </c>
      <c r="E2406" t="n">
        <v>17</v>
      </c>
      <c r="F2406" t="n">
        <v>38.44</v>
      </c>
      <c r="G2406" t="n">
        <v>0</v>
      </c>
      <c r="H2406" t="n">
        <v>0</v>
      </c>
      <c r="I2406" s="3">
        <f>E2406+G2406+H2406</f>
        <v/>
      </c>
      <c r="J2406" s="3">
        <f>ROUND(MIN(IF(C2406="Técnico III",35,IF(C2406="Técnico II",28,IF(C2406="Técnico I",23,IF(C2406="JR",20,IF(C2406="Estágio",10,0))))),IF(C2406="Técnico III",SUMIFS($D:$D,$A:$A,$A2406,$B:$B,"&lt;&gt;Patrícia Karla de Sousa Araújo",$B:$B,"&lt;&gt;Lorena Dias de Araujo",$B:$B,"&lt;&gt;Lucas Luiz Romero")*(35/1083),IF(C2406="Técnico II",SUMIFS($D:$D,$A:$A,$A2406,$B:$B,"&lt;&gt;Patrícia Karla de Sousa Araújo",$B:$B,"&lt;&gt;Lorena Dias de Araujo",$B:$B,"&lt;&gt;Lucas Luiz Romero")*(28/1083),IF(C2406="Técnico I",SUMIFS($D:$D,$A:$A,$A2406,$B:$B,"&lt;&gt;Patrícia Karla de Sousa Araújo",$B:$B,"&lt;&gt;Lorena Dias de Araujo",$B:$B,"&lt;&gt;Lucas Luiz Romero")*(23/1083),IF(C2406="JR",SUMIFS($D:$D,$A:$A,$A2406,$B:$B,"&lt;&gt;Patrícia Karla de Sousa Araújo",$B:$B,"&lt;&gt;Lorena Dias de Araujo",$B:$B,"&lt;&gt;Lucas Luiz Romero")*(20/1083),IF(C2406="Estágio",SUMIFS($D:$D,$A:$A,$A2406,$B:$B,"&lt;&gt;Patrícia Karla de Sousa Araújo",$B:$B,"&lt;&gt;Lorena Dias de Araujo",$B:$B,"&lt;&gt;Lucas Luiz Romero")*(10/1083),0)))))),0)</f>
        <v/>
      </c>
      <c r="K2406" s="3">
        <f>I2406-J2406</f>
        <v/>
      </c>
      <c r="L2406" s="3">
        <f>IF(K2406&lt;-5,"CRÍTICO",IF(K2406&lt;0,"ATENÇÃO",IF(K2406&lt;=5,"BOM","EXCELENTE")))</f>
        <v/>
      </c>
      <c r="N2406" t="n">
        <v>98.25</v>
      </c>
      <c r="O2406" t="n">
        <v>25.83518930957684</v>
      </c>
    </row>
    <row r="2407" hidden="1">
      <c r="A2407" s="11" t="n">
        <v>46077</v>
      </c>
      <c r="B2407" t="inlineStr">
        <is>
          <t>Anna Luiza Rezende Tavares</t>
        </is>
      </c>
      <c r="C2407" t="inlineStr">
        <is>
          <t>Estágio</t>
        </is>
      </c>
      <c r="D2407" t="n">
        <v>16</v>
      </c>
      <c r="E2407" t="n">
        <v>15</v>
      </c>
      <c r="F2407" t="n">
        <v>38.48</v>
      </c>
      <c r="G2407" t="n">
        <v>0</v>
      </c>
      <c r="H2407" t="n">
        <v>0</v>
      </c>
      <c r="I2407" s="3">
        <f>E2407+G2407+H2407</f>
        <v/>
      </c>
      <c r="J2407" s="3">
        <f>ROUND(MIN(IF(C2407="Técnico III",35,IF(C2407="Técnico II",28,IF(C2407="Técnico I",23,IF(C2407="JR",20,IF(C2407="Estágio",10,0))))),IF(C2407="Técnico III",SUMIFS($D:$D,$A:$A,$A2407,$B:$B,"&lt;&gt;Patrícia Karla de Sousa Araújo",$B:$B,"&lt;&gt;Lorena Dias de Araujo",$B:$B,"&lt;&gt;Lucas Luiz Romero")*(35/1083),IF(C2407="Técnico II",SUMIFS($D:$D,$A:$A,$A2407,$B:$B,"&lt;&gt;Patrícia Karla de Sousa Araújo",$B:$B,"&lt;&gt;Lorena Dias de Araujo",$B:$B,"&lt;&gt;Lucas Luiz Romero")*(28/1083),IF(C2407="Técnico I",SUMIFS($D:$D,$A:$A,$A2407,$B:$B,"&lt;&gt;Patrícia Karla de Sousa Araújo",$B:$B,"&lt;&gt;Lorena Dias de Araujo",$B:$B,"&lt;&gt;Lucas Luiz Romero")*(23/1083),IF(C2407="JR",SUMIFS($D:$D,$A:$A,$A2407,$B:$B,"&lt;&gt;Patrícia Karla de Sousa Araújo",$B:$B,"&lt;&gt;Lorena Dias de Araujo",$B:$B,"&lt;&gt;Lucas Luiz Romero")*(20/1083),IF(C2407="Estágio",SUMIFS($D:$D,$A:$A,$A2407,$B:$B,"&lt;&gt;Patrícia Karla de Sousa Araújo",$B:$B,"&lt;&gt;Lorena Dias de Araujo",$B:$B,"&lt;&gt;Lucas Luiz Romero")*(10/1083),0)))))),0)</f>
        <v/>
      </c>
      <c r="K2407" s="3">
        <f>I2407-J2407</f>
        <v/>
      </c>
      <c r="L2407" s="3">
        <f>IF(K2407&lt;-5,"CRÍTICO",IF(K2407&lt;0,"ATENÇÃO",IF(K2407&lt;=5,"BOM","EXCELENTE")))</f>
        <v/>
      </c>
      <c r="N2407" t="n">
        <v>97.5</v>
      </c>
      <c r="O2407" t="n">
        <v>30.07518796992481</v>
      </c>
    </row>
    <row r="2408" hidden="1">
      <c r="A2408" s="11" t="n">
        <v>46077</v>
      </c>
      <c r="B2408" t="inlineStr">
        <is>
          <t>Brenda de Menezes Silva</t>
        </is>
      </c>
      <c r="C2408" t="inlineStr">
        <is>
          <t>Técnico II</t>
        </is>
      </c>
      <c r="D2408" t="n">
        <v>19</v>
      </c>
      <c r="E2408" t="n">
        <v>17</v>
      </c>
      <c r="F2408" t="n">
        <v>21.57</v>
      </c>
      <c r="G2408" t="n">
        <v>0</v>
      </c>
      <c r="H2408" t="n">
        <v>0</v>
      </c>
      <c r="I2408" s="3">
        <f>E2408+G2408+H2408</f>
        <v/>
      </c>
      <c r="J2408" s="3">
        <f>ROUND(MIN(IF(C2408="Técnico III",35,IF(C2408="Técnico II",28,IF(C2408="Técnico I",23,IF(C2408="JR",20,IF(C2408="Estágio",10,0))))),IF(C2408="Técnico III",SUMIFS($D:$D,$A:$A,$A2408,$B:$B,"&lt;&gt;Patrícia Karla de Sousa Araújo",$B:$B,"&lt;&gt;Lorena Dias de Araujo",$B:$B,"&lt;&gt;Lucas Luiz Romero")*(35/1083),IF(C2408="Técnico II",SUMIFS($D:$D,$A:$A,$A2408,$B:$B,"&lt;&gt;Patrícia Karla de Sousa Araújo",$B:$B,"&lt;&gt;Lorena Dias de Araujo",$B:$B,"&lt;&gt;Lucas Luiz Romero")*(28/1083),IF(C2408="Técnico I",SUMIFS($D:$D,$A:$A,$A2408,$B:$B,"&lt;&gt;Patrícia Karla de Sousa Araújo",$B:$B,"&lt;&gt;Lorena Dias de Araujo",$B:$B,"&lt;&gt;Lucas Luiz Romero")*(23/1083),IF(C2408="JR",SUMIFS($D:$D,$A:$A,$A2408,$B:$B,"&lt;&gt;Patrícia Karla de Sousa Araújo",$B:$B,"&lt;&gt;Lorena Dias de Araujo",$B:$B,"&lt;&gt;Lucas Luiz Romero")*(20/1083),IF(C2408="Estágio",SUMIFS($D:$D,$A:$A,$A2408,$B:$B,"&lt;&gt;Patrícia Karla de Sousa Araújo",$B:$B,"&lt;&gt;Lorena Dias de Araujo",$B:$B,"&lt;&gt;Lucas Luiz Romero")*(10/1083),0)))))),0)</f>
        <v/>
      </c>
      <c r="K2408" s="3">
        <f>I2408-J2408</f>
        <v/>
      </c>
      <c r="L2408" s="3">
        <f>IF(K2408&lt;-5,"CRÍTICO",IF(K2408&lt;0,"ATENÇÃO",IF(K2408&lt;=5,"BOM","EXCELENTE")))</f>
        <v/>
      </c>
      <c r="N2408" t="n">
        <v>100</v>
      </c>
      <c r="O2408" t="n">
        <v>29.71311475409836</v>
      </c>
    </row>
    <row r="2409" hidden="1">
      <c r="A2409" s="11" t="n">
        <v>46077</v>
      </c>
      <c r="B2409" t="inlineStr">
        <is>
          <t>Carlos Mateus Cassimiro Nunes</t>
        </is>
      </c>
      <c r="C2409" t="inlineStr">
        <is>
          <t>Técnico II</t>
        </is>
      </c>
      <c r="D2409" t="n">
        <v>5</v>
      </c>
      <c r="E2409" t="n">
        <v>5</v>
      </c>
      <c r="F2409" t="n">
        <v>39.09</v>
      </c>
      <c r="G2409" t="n">
        <v>0</v>
      </c>
      <c r="H2409" t="n">
        <v>0</v>
      </c>
      <c r="I2409" s="3">
        <f>E2409+G2409+H2409</f>
        <v/>
      </c>
      <c r="J2409" s="3">
        <f>ROUND(MIN(IF(C2409="Técnico III",35,IF(C2409="Técnico II",28,IF(C2409="Técnico I",23,IF(C2409="JR",20,IF(C2409="Estágio",10,0))))),IF(C2409="Técnico III",SUMIFS($D:$D,$A:$A,$A2409,$B:$B,"&lt;&gt;Patrícia Karla de Sousa Araújo",$B:$B,"&lt;&gt;Lorena Dias de Araujo",$B:$B,"&lt;&gt;Lucas Luiz Romero")*(35/1083),IF(C2409="Técnico II",SUMIFS($D:$D,$A:$A,$A2409,$B:$B,"&lt;&gt;Patrícia Karla de Sousa Araújo",$B:$B,"&lt;&gt;Lorena Dias de Araujo",$B:$B,"&lt;&gt;Lucas Luiz Romero")*(28/1083),IF(C2409="Técnico I",SUMIFS($D:$D,$A:$A,$A2409,$B:$B,"&lt;&gt;Patrícia Karla de Sousa Araújo",$B:$B,"&lt;&gt;Lorena Dias de Araujo",$B:$B,"&lt;&gt;Lucas Luiz Romero")*(23/1083),IF(C2409="JR",SUMIFS($D:$D,$A:$A,$A2409,$B:$B,"&lt;&gt;Patrícia Karla de Sousa Araújo",$B:$B,"&lt;&gt;Lorena Dias de Araujo",$B:$B,"&lt;&gt;Lucas Luiz Romero")*(20/1083),IF(C2409="Estágio",SUMIFS($D:$D,$A:$A,$A2409,$B:$B,"&lt;&gt;Patrícia Karla de Sousa Araújo",$B:$B,"&lt;&gt;Lorena Dias de Araujo",$B:$B,"&lt;&gt;Lucas Luiz Romero")*(10/1083),0)))))),0)</f>
        <v/>
      </c>
      <c r="K2409" s="3">
        <f>I2409-J2409</f>
        <v/>
      </c>
      <c r="L2409" s="3">
        <f>IF(K2409&lt;-5,"CRÍTICO",IF(K2409&lt;0,"ATENÇÃO",IF(K2409&lt;=5,"BOM","EXCELENTE")))</f>
        <v/>
      </c>
      <c r="N2409" t="n">
        <v>99.22</v>
      </c>
      <c r="O2409" t="n">
        <v>35.25641025641026</v>
      </c>
    </row>
    <row r="2410" hidden="1">
      <c r="A2410" s="11" t="n">
        <v>46077</v>
      </c>
      <c r="B2410" t="inlineStr">
        <is>
          <t>Claudio de Sousa Velasco Filho</t>
        </is>
      </c>
      <c r="C2410" t="inlineStr">
        <is>
          <t>Estágio</t>
        </is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s="3" t="n">
        <v>0</v>
      </c>
      <c r="J2410" s="3" t="n">
        <v>0</v>
      </c>
      <c r="K2410" s="3" t="n">
        <v>0</v>
      </c>
      <c r="L2410" s="3">
        <f>IF(K2410&lt;-5,"CRÍTICO",IF(K2410&lt;0,"ATENÇÃO",IF(K2410&lt;=5,"BOM","EXCELENTE")))</f>
        <v/>
      </c>
      <c r="N2410" t="n">
        <v>0</v>
      </c>
      <c r="O2410" t="n">
        <v>0</v>
      </c>
    </row>
    <row r="2411" hidden="1">
      <c r="A2411" s="11" t="n">
        <v>46077</v>
      </c>
      <c r="B2411" t="inlineStr">
        <is>
          <t>Clessiane Pereira dos Santos</t>
        </is>
      </c>
      <c r="C2411" t="inlineStr">
        <is>
          <t>Técnico I</t>
        </is>
      </c>
      <c r="D2411" t="n">
        <v>27</v>
      </c>
      <c r="E2411" t="n">
        <v>23</v>
      </c>
      <c r="F2411" t="n">
        <v>22.39</v>
      </c>
      <c r="G2411" t="n">
        <v>0</v>
      </c>
      <c r="H2411" t="n">
        <v>0</v>
      </c>
      <c r="I2411" s="3">
        <f>E2411+G2411+H2411</f>
        <v/>
      </c>
      <c r="J2411" s="3">
        <f>ROUND(MIN(IF(C2411="Técnico III",35,IF(C2411="Técnico II",28,IF(C2411="Técnico I",23,IF(C2411="JR",20,IF(C2411="Estágio",10,0))))),IF(C2411="Técnico III",SUMIFS($D:$D,$A:$A,$A2411,$B:$B,"&lt;&gt;Patrícia Karla de Sousa Araújo",$B:$B,"&lt;&gt;Lorena Dias de Araujo",$B:$B,"&lt;&gt;Lucas Luiz Romero")*(35/1083),IF(C2411="Técnico II",SUMIFS($D:$D,$A:$A,$A2411,$B:$B,"&lt;&gt;Patrícia Karla de Sousa Araújo",$B:$B,"&lt;&gt;Lorena Dias de Araujo",$B:$B,"&lt;&gt;Lucas Luiz Romero")*(28/1083),IF(C2411="Técnico I",SUMIFS($D:$D,$A:$A,$A2411,$B:$B,"&lt;&gt;Patrícia Karla de Sousa Araújo",$B:$B,"&lt;&gt;Lorena Dias de Araujo",$B:$B,"&lt;&gt;Lucas Luiz Romero")*(23/1083),IF(C2411="JR",SUMIFS($D:$D,$A:$A,$A2411,$B:$B,"&lt;&gt;Patrícia Karla de Sousa Araújo",$B:$B,"&lt;&gt;Lorena Dias de Araujo",$B:$B,"&lt;&gt;Lucas Luiz Romero")*(20/1083),IF(C2411="Estágio",SUMIFS($D:$D,$A:$A,$A2411,$B:$B,"&lt;&gt;Patrícia Karla de Sousa Araújo",$B:$B,"&lt;&gt;Lorena Dias de Araujo",$B:$B,"&lt;&gt;Lucas Luiz Romero")*(10/1083),0)))))),0)</f>
        <v/>
      </c>
      <c r="K2411" s="3">
        <f>I2411-J2411</f>
        <v/>
      </c>
      <c r="L2411" s="3">
        <f>IF(K2411&lt;-5,"CRÍTICO",IF(K2411&lt;0,"ATENÇÃO",IF(K2411&lt;=5,"BOM","EXCELENTE")))</f>
        <v/>
      </c>
      <c r="N2411" t="n">
        <v>98.75</v>
      </c>
      <c r="O2411" t="n">
        <v>24.32432432432433</v>
      </c>
    </row>
    <row r="2412" hidden="1">
      <c r="A2412" s="11" t="n">
        <v>46077</v>
      </c>
      <c r="B2412" t="inlineStr">
        <is>
          <t>Cristiane Ramos da Silva Rocha</t>
        </is>
      </c>
      <c r="C2412" t="inlineStr">
        <is>
          <t>Técnico III</t>
        </is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s="3" t="n">
        <v>0</v>
      </c>
      <c r="J2412" s="3" t="n">
        <v>0</v>
      </c>
      <c r="K2412" s="3" t="n">
        <v>0</v>
      </c>
      <c r="L2412" s="3">
        <f>IF(K2412&lt;-5,"CRÍTICO",IF(K2412&lt;0,"ATENÇÃO",IF(K2412&lt;=5,"BOM","EXCELENTE")))</f>
        <v/>
      </c>
      <c r="N2412" t="n">
        <v>93.48</v>
      </c>
      <c r="O2412" t="n">
        <v>31.33462282398452</v>
      </c>
    </row>
    <row r="2413" hidden="1">
      <c r="A2413" s="11" t="n">
        <v>46077</v>
      </c>
      <c r="B2413" t="inlineStr">
        <is>
          <t>Damyllis Lorraine de Oliveira Gonçalves</t>
        </is>
      </c>
      <c r="C2413" t="inlineStr">
        <is>
          <t>Técnico II</t>
        </is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s="3" t="n">
        <v>0</v>
      </c>
      <c r="J2413" s="3" t="n">
        <v>0</v>
      </c>
      <c r="K2413" s="3" t="n">
        <v>0</v>
      </c>
      <c r="L2413" s="3">
        <f>IF(K2413&lt;-5,"CRÍTICO",IF(K2413&lt;0,"ATENÇÃO",IF(K2413&lt;=5,"BOM","EXCELENTE")))</f>
        <v/>
      </c>
      <c r="N2413" t="n">
        <v>99.16</v>
      </c>
      <c r="O2413" t="n">
        <v>26.13908872901678</v>
      </c>
    </row>
    <row r="2414" hidden="1">
      <c r="A2414" s="11" t="n">
        <v>46077</v>
      </c>
      <c r="B2414" t="inlineStr">
        <is>
          <t>Daniel Gomes da Silva</t>
        </is>
      </c>
      <c r="C2414" t="inlineStr">
        <is>
          <t>Técnico I</t>
        </is>
      </c>
      <c r="D2414" t="n">
        <v>18</v>
      </c>
      <c r="E2414" t="n">
        <v>17</v>
      </c>
      <c r="F2414" t="n">
        <v>38.31</v>
      </c>
      <c r="G2414" t="n">
        <v>0</v>
      </c>
      <c r="H2414" t="n">
        <v>0</v>
      </c>
      <c r="I2414" s="3">
        <f>E2414+G2414+H2414</f>
        <v/>
      </c>
      <c r="J2414" s="3">
        <f>ROUND(MIN(IF(C2414="Técnico III",35,IF(C2414="Técnico II",28,IF(C2414="Técnico I",23,IF(C2414="JR",20,IF(C2414="Estágio",10,0))))),IF(C2414="Técnico III",SUMIFS($D:$D,$A:$A,$A2414,$B:$B,"&lt;&gt;Patrícia Karla de Sousa Araújo",$B:$B,"&lt;&gt;Lorena Dias de Araujo",$B:$B,"&lt;&gt;Lucas Luiz Romero")*(35/1083),IF(C2414="Técnico II",SUMIFS($D:$D,$A:$A,$A2414,$B:$B,"&lt;&gt;Patrícia Karla de Sousa Araújo",$B:$B,"&lt;&gt;Lorena Dias de Araujo",$B:$B,"&lt;&gt;Lucas Luiz Romero")*(28/1083),IF(C2414="Técnico I",SUMIFS($D:$D,$A:$A,$A2414,$B:$B,"&lt;&gt;Patrícia Karla de Sousa Araújo",$B:$B,"&lt;&gt;Lorena Dias de Araujo",$B:$B,"&lt;&gt;Lucas Luiz Romero")*(23/1083),IF(C2414="JR",SUMIFS($D:$D,$A:$A,$A2414,$B:$B,"&lt;&gt;Patrícia Karla de Sousa Araújo",$B:$B,"&lt;&gt;Lorena Dias de Araujo",$B:$B,"&lt;&gt;Lucas Luiz Romero")*(20/1083),IF(C2414="Estágio",SUMIFS($D:$D,$A:$A,$A2414,$B:$B,"&lt;&gt;Patrícia Karla de Sousa Araújo",$B:$B,"&lt;&gt;Lorena Dias de Araujo",$B:$B,"&lt;&gt;Lucas Luiz Romero")*(10/1083),0)))))),0)</f>
        <v/>
      </c>
      <c r="K2414" s="3">
        <f>I2414-J2414</f>
        <v/>
      </c>
      <c r="L2414" s="3">
        <f>IF(K2414&lt;-5,"CRÍTICO",IF(K2414&lt;0,"ATENÇÃO",IF(K2414&lt;=5,"BOM","EXCELENTE")))</f>
        <v/>
      </c>
      <c r="N2414" t="n">
        <v>100</v>
      </c>
      <c r="O2414" t="n">
        <v>31.08974358974359</v>
      </c>
    </row>
    <row r="2415" hidden="1">
      <c r="A2415" s="11" t="n">
        <v>46077</v>
      </c>
      <c r="B2415" t="inlineStr">
        <is>
          <t>Davylla Rodrigues Freitas Silva</t>
        </is>
      </c>
      <c r="C2415" t="inlineStr">
        <is>
          <t>Técnico III</t>
        </is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s="3" t="n">
        <v>0</v>
      </c>
      <c r="J2415" s="3" t="n">
        <v>0</v>
      </c>
      <c r="K2415" s="3" t="n">
        <v>0</v>
      </c>
      <c r="L2415" s="3">
        <f>IF(K2415&lt;-5,"CRÍTICO",IF(K2415&lt;0,"ATENÇÃO",IF(K2415&lt;=5,"BOM","EXCELENTE")))</f>
        <v/>
      </c>
      <c r="N2415" t="n">
        <v>98.11</v>
      </c>
      <c r="O2415" t="n">
        <v>33.03370786516854</v>
      </c>
    </row>
    <row r="2416" hidden="1">
      <c r="A2416" s="11" t="n">
        <v>46077</v>
      </c>
      <c r="B2416" t="inlineStr">
        <is>
          <t>Emilly Caylane Costa</t>
        </is>
      </c>
      <c r="C2416" t="inlineStr">
        <is>
          <t>Estágio</t>
        </is>
      </c>
      <c r="D2416" t="n">
        <v>8</v>
      </c>
      <c r="E2416" t="n">
        <v>8</v>
      </c>
      <c r="F2416" t="n">
        <v>55.14</v>
      </c>
      <c r="G2416" t="n">
        <v>0</v>
      </c>
      <c r="H2416" t="n">
        <v>0</v>
      </c>
      <c r="I2416" s="3">
        <f>E2416+G2416+H2416</f>
        <v/>
      </c>
      <c r="J2416" s="3">
        <f>ROUND(MIN(IF(C2416="Técnico III",35,IF(C2416="Técnico II",28,IF(C2416="Técnico I",23,IF(C2416="JR",20,IF(C2416="Estágio",10,0))))),IF(C2416="Técnico III",SUMIFS($D:$D,$A:$A,$A2416,$B:$B,"&lt;&gt;Patrícia Karla de Sousa Araújo",$B:$B,"&lt;&gt;Lorena Dias de Araujo",$B:$B,"&lt;&gt;Lucas Luiz Romero")*(35/1083),IF(C2416="Técnico II",SUMIFS($D:$D,$A:$A,$A2416,$B:$B,"&lt;&gt;Patrícia Karla de Sousa Araújo",$B:$B,"&lt;&gt;Lorena Dias de Araujo",$B:$B,"&lt;&gt;Lucas Luiz Romero")*(28/1083),IF(C2416="Técnico I",SUMIFS($D:$D,$A:$A,$A2416,$B:$B,"&lt;&gt;Patrícia Karla de Sousa Araújo",$B:$B,"&lt;&gt;Lorena Dias de Araujo",$B:$B,"&lt;&gt;Lucas Luiz Romero")*(23/1083),IF(C2416="JR",SUMIFS($D:$D,$A:$A,$A2416,$B:$B,"&lt;&gt;Patrícia Karla de Sousa Araújo",$B:$B,"&lt;&gt;Lorena Dias de Araujo",$B:$B,"&lt;&gt;Lucas Luiz Romero")*(20/1083),IF(C2416="Estágio",SUMIFS($D:$D,$A:$A,$A2416,$B:$B,"&lt;&gt;Patrícia Karla de Sousa Araújo",$B:$B,"&lt;&gt;Lorena Dias de Araujo",$B:$B,"&lt;&gt;Lucas Luiz Romero")*(10/1083),0)))))),0)</f>
        <v/>
      </c>
      <c r="K2416" s="3">
        <f>I2416-J2416</f>
        <v/>
      </c>
      <c r="L2416" s="3">
        <f>IF(K2416&lt;-5,"CRÍTICO",IF(K2416&lt;0,"ATENÇÃO",IF(K2416&lt;=5,"BOM","EXCELENTE")))</f>
        <v/>
      </c>
      <c r="N2416" t="n">
        <v>78.95</v>
      </c>
      <c r="O2416" t="n">
        <v>38.98305084745763</v>
      </c>
    </row>
    <row r="2417" hidden="1">
      <c r="A2417" s="11" t="n">
        <v>46077</v>
      </c>
      <c r="B2417" t="inlineStr">
        <is>
          <t>Emilly Kamilly Medeiros Miranda</t>
        </is>
      </c>
      <c r="C2417" t="inlineStr">
        <is>
          <t>Técnico II</t>
        </is>
      </c>
      <c r="D2417" t="n">
        <v>13</v>
      </c>
      <c r="E2417" t="n">
        <v>12</v>
      </c>
      <c r="F2417" t="n">
        <v>43.46</v>
      </c>
      <c r="G2417" t="n">
        <v>0</v>
      </c>
      <c r="H2417" t="n">
        <v>0</v>
      </c>
      <c r="I2417" s="3">
        <f>E2417+G2417+H2417</f>
        <v/>
      </c>
      <c r="J2417" s="3">
        <f>ROUND(MIN(IF(C2417="Técnico III",35,IF(C2417="Técnico II",28,IF(C2417="Técnico I",23,IF(C2417="JR",20,IF(C2417="Estágio",10,0))))),IF(C2417="Técnico III",SUMIFS($D:$D,$A:$A,$A2417,$B:$B,"&lt;&gt;Patrícia Karla de Sousa Araújo",$B:$B,"&lt;&gt;Lorena Dias de Araujo",$B:$B,"&lt;&gt;Lucas Luiz Romero")*(35/1083),IF(C2417="Técnico II",SUMIFS($D:$D,$A:$A,$A2417,$B:$B,"&lt;&gt;Patrícia Karla de Sousa Araújo",$B:$B,"&lt;&gt;Lorena Dias de Araujo",$B:$B,"&lt;&gt;Lucas Luiz Romero")*(28/1083),IF(C2417="Técnico I",SUMIFS($D:$D,$A:$A,$A2417,$B:$B,"&lt;&gt;Patrícia Karla de Sousa Araújo",$B:$B,"&lt;&gt;Lorena Dias de Araujo",$B:$B,"&lt;&gt;Lucas Luiz Romero")*(23/1083),IF(C2417="JR",SUMIFS($D:$D,$A:$A,$A2417,$B:$B,"&lt;&gt;Patrícia Karla de Sousa Araújo",$B:$B,"&lt;&gt;Lorena Dias de Araujo",$B:$B,"&lt;&gt;Lucas Luiz Romero")*(20/1083),IF(C2417="Estágio",SUMIFS($D:$D,$A:$A,$A2417,$B:$B,"&lt;&gt;Patrícia Karla de Sousa Araújo",$B:$B,"&lt;&gt;Lorena Dias de Araujo",$B:$B,"&lt;&gt;Lucas Luiz Romero")*(10/1083),0)))))),0)</f>
        <v/>
      </c>
      <c r="K2417" s="3">
        <f>I2417-J2417</f>
        <v/>
      </c>
      <c r="L2417" s="3">
        <f>IF(K2417&lt;-5,"CRÍTICO",IF(K2417&lt;0,"ATENÇÃO",IF(K2417&lt;=5,"BOM","EXCELENTE")))</f>
        <v/>
      </c>
      <c r="N2417" t="n">
        <v>98.45</v>
      </c>
      <c r="O2417" t="n">
        <v>29.2817679558011</v>
      </c>
    </row>
    <row r="2418" hidden="1">
      <c r="A2418" s="11" t="n">
        <v>46077</v>
      </c>
      <c r="B2418" t="inlineStr">
        <is>
          <t>Francielson de Oliveira</t>
        </is>
      </c>
      <c r="C2418" t="inlineStr">
        <is>
          <t>Técnico III</t>
        </is>
      </c>
      <c r="D2418" t="n">
        <v>27</v>
      </c>
      <c r="E2418" t="n">
        <v>26</v>
      </c>
      <c r="F2418" t="n">
        <v>22.26</v>
      </c>
      <c r="G2418" t="n">
        <v>0</v>
      </c>
      <c r="H2418" t="n">
        <v>0</v>
      </c>
      <c r="I2418" s="3">
        <f>E2418+G2418+H2418</f>
        <v/>
      </c>
      <c r="J2418" s="3">
        <f>ROUND(MIN(IF(C2418="Técnico III",35,IF(C2418="Técnico II",28,IF(C2418="Técnico I",23,IF(C2418="JR",20,IF(C2418="Estágio",10,0))))),IF(C2418="Técnico III",SUMIFS($D:$D,$A:$A,$A2418,$B:$B,"&lt;&gt;Patrícia Karla de Sousa Araújo",$B:$B,"&lt;&gt;Lorena Dias de Araujo",$B:$B,"&lt;&gt;Lucas Luiz Romero")*(35/1083),IF(C2418="Técnico II",SUMIFS($D:$D,$A:$A,$A2418,$B:$B,"&lt;&gt;Patrícia Karla de Sousa Araújo",$B:$B,"&lt;&gt;Lorena Dias de Araujo",$B:$B,"&lt;&gt;Lucas Luiz Romero")*(28/1083),IF(C2418="Técnico I",SUMIFS($D:$D,$A:$A,$A2418,$B:$B,"&lt;&gt;Patrícia Karla de Sousa Araújo",$B:$B,"&lt;&gt;Lorena Dias de Araujo",$B:$B,"&lt;&gt;Lucas Luiz Romero")*(23/1083),IF(C2418="JR",SUMIFS($D:$D,$A:$A,$A2418,$B:$B,"&lt;&gt;Patrícia Karla de Sousa Araújo",$B:$B,"&lt;&gt;Lorena Dias de Araujo",$B:$B,"&lt;&gt;Lucas Luiz Romero")*(20/1083),IF(C2418="Estágio",SUMIFS($D:$D,$A:$A,$A2418,$B:$B,"&lt;&gt;Patrícia Karla de Sousa Araújo",$B:$B,"&lt;&gt;Lorena Dias de Araujo",$B:$B,"&lt;&gt;Lucas Luiz Romero")*(10/1083),0)))))),0)</f>
        <v/>
      </c>
      <c r="K2418" s="3">
        <f>I2418-J2418</f>
        <v/>
      </c>
      <c r="L2418" s="3">
        <f>IF(K2418&lt;-5,"CRÍTICO",IF(K2418&lt;0,"ATENÇÃO",IF(K2418&lt;=5,"BOM","EXCELENTE")))</f>
        <v/>
      </c>
      <c r="N2418" t="n">
        <v>97.84</v>
      </c>
      <c r="O2418" t="n">
        <v>26.28205128205128</v>
      </c>
    </row>
    <row r="2419" hidden="1">
      <c r="A2419" s="11" t="n">
        <v>46077</v>
      </c>
      <c r="B2419" t="inlineStr">
        <is>
          <t>Francilene Ferreira de Jesus</t>
        </is>
      </c>
      <c r="C2419" t="inlineStr">
        <is>
          <t>Técnico II</t>
        </is>
      </c>
      <c r="D2419" t="n">
        <v>34</v>
      </c>
      <c r="E2419" t="n">
        <v>30</v>
      </c>
      <c r="F2419" t="n">
        <v>18.58</v>
      </c>
      <c r="G2419" t="n">
        <v>0</v>
      </c>
      <c r="H2419" t="n">
        <v>0</v>
      </c>
      <c r="I2419" s="3">
        <f>E2419+G2419+H2419</f>
        <v/>
      </c>
      <c r="J2419" s="3">
        <f>ROUND(MIN(IF(C2419="Técnico III",35,IF(C2419="Técnico II",28,IF(C2419="Técnico I",23,IF(C2419="JR",20,IF(C2419="Estágio",10,0))))),IF(C2419="Técnico III",SUMIFS($D:$D,$A:$A,$A2419,$B:$B,"&lt;&gt;Patrícia Karla de Sousa Araújo",$B:$B,"&lt;&gt;Lorena Dias de Araujo",$B:$B,"&lt;&gt;Lucas Luiz Romero")*(35/1083),IF(C2419="Técnico II",SUMIFS($D:$D,$A:$A,$A2419,$B:$B,"&lt;&gt;Patrícia Karla de Sousa Araújo",$B:$B,"&lt;&gt;Lorena Dias de Araujo",$B:$B,"&lt;&gt;Lucas Luiz Romero")*(28/1083),IF(C2419="Técnico I",SUMIFS($D:$D,$A:$A,$A2419,$B:$B,"&lt;&gt;Patrícia Karla de Sousa Araújo",$B:$B,"&lt;&gt;Lorena Dias de Araujo",$B:$B,"&lt;&gt;Lucas Luiz Romero")*(23/1083),IF(C2419="JR",SUMIFS($D:$D,$A:$A,$A2419,$B:$B,"&lt;&gt;Patrícia Karla de Sousa Araújo",$B:$B,"&lt;&gt;Lorena Dias de Araujo",$B:$B,"&lt;&gt;Lucas Luiz Romero")*(20/1083),IF(C2419="Estágio",SUMIFS($D:$D,$A:$A,$A2419,$B:$B,"&lt;&gt;Patrícia Karla de Sousa Araújo",$B:$B,"&lt;&gt;Lorena Dias de Araujo",$B:$B,"&lt;&gt;Lucas Luiz Romero")*(10/1083),0)))))),0)</f>
        <v/>
      </c>
      <c r="K2419" s="3">
        <f>I2419-J2419</f>
        <v/>
      </c>
      <c r="L2419" s="3">
        <f>IF(K2419&lt;-5,"CRÍTICO",IF(K2419&lt;0,"ATENÇÃO",IF(K2419&lt;=5,"BOM","EXCELENTE")))</f>
        <v/>
      </c>
      <c r="N2419" t="n">
        <v>98.5</v>
      </c>
      <c r="O2419" t="n">
        <v>23.97769516728625</v>
      </c>
    </row>
    <row r="2420" hidden="1">
      <c r="A2420" s="11" t="n">
        <v>46111</v>
      </c>
      <c r="B2420" t="inlineStr">
        <is>
          <t>Gabriel Gomes de Andrade</t>
        </is>
      </c>
      <c r="C2420" t="inlineStr">
        <is>
          <t>Técnico I</t>
        </is>
      </c>
      <c r="D2420" t="n">
        <v>26</v>
      </c>
      <c r="E2420" t="n">
        <v>25</v>
      </c>
      <c r="F2420" t="n">
        <v>22.36</v>
      </c>
      <c r="G2420" t="n">
        <v>0</v>
      </c>
      <c r="H2420" t="n">
        <v>0</v>
      </c>
      <c r="I2420" s="3">
        <f>E2420+G2420+H2420</f>
        <v/>
      </c>
      <c r="J2420" s="3">
        <f>ROUND(MIN(IF(C2420="Técnico III",35,IF(C2420="Técnico II",28,IF(C2420="Técnico I",23,IF(C2420="JR",20,IF(C2420="Estágio",10,0))))),IF(C2420="Técnico III",SUMIFS($D:$D,$A:$A,$A2420,$B:$B,"&lt;&gt;Patrícia Karla de Sousa Araújo",$B:$B,"&lt;&gt;Lorena Dias de Araujo",$B:$B,"&lt;&gt;Lucas Luiz Romero")*(35/1083),IF(C2420="Técnico II",SUMIFS($D:$D,$A:$A,$A2420,$B:$B,"&lt;&gt;Patrícia Karla de Sousa Araújo",$B:$B,"&lt;&gt;Lorena Dias de Araujo",$B:$B,"&lt;&gt;Lucas Luiz Romero")*(28/1083),IF(C2420="Técnico I",SUMIFS($D:$D,$A:$A,$A2420,$B:$B,"&lt;&gt;Patrícia Karla de Sousa Araújo",$B:$B,"&lt;&gt;Lorena Dias de Araujo",$B:$B,"&lt;&gt;Lucas Luiz Romero")*(23/1083),IF(C2420="JR",SUMIFS($D:$D,$A:$A,$A2420,$B:$B,"&lt;&gt;Patrícia Karla de Sousa Araújo",$B:$B,"&lt;&gt;Lorena Dias de Araujo",$B:$B,"&lt;&gt;Lucas Luiz Romero")*(20/1083),IF(C2420="Estágio",SUMIFS($D:$D,$A:$A,$A2420,$B:$B,"&lt;&gt;Patrícia Karla de Sousa Araújo",$B:$B,"&lt;&gt;Lorena Dias de Araujo",$B:$B,"&lt;&gt;Lucas Luiz Romero")*(10/1083),0)))))),0)</f>
        <v/>
      </c>
      <c r="K2420" s="3">
        <f>I2420-J2420</f>
        <v/>
      </c>
      <c r="L2420" s="3">
        <f>IF(K2420&lt;-5,"CRÍTICO",IF(K2420&lt;0,"ATENÇÃO",IF(K2420&lt;=5,"BOM","EXCELENTE")))</f>
        <v/>
      </c>
      <c r="N2420" t="n">
        <v>99.05</v>
      </c>
      <c r="O2420" t="n">
        <v>26.62192393736018</v>
      </c>
    </row>
    <row r="2421" hidden="1">
      <c r="A2421" s="11" t="n">
        <v>46077</v>
      </c>
      <c r="B2421" t="inlineStr">
        <is>
          <t>Isabella Borges de Oliveira</t>
        </is>
      </c>
      <c r="C2421" t="inlineStr">
        <is>
          <t>Técnico II</t>
        </is>
      </c>
      <c r="D2421" t="n">
        <v>20</v>
      </c>
      <c r="E2421" t="n">
        <v>19</v>
      </c>
      <c r="F2421" t="n">
        <v>24</v>
      </c>
      <c r="G2421" t="n">
        <v>0</v>
      </c>
      <c r="H2421" t="n">
        <v>0</v>
      </c>
      <c r="I2421" s="3">
        <f>E2421+G2421+H2421</f>
        <v/>
      </c>
      <c r="J2421" s="3">
        <f>ROUND(MIN(IF(C2421="Técnico III",35,IF(C2421="Técnico II",28,IF(C2421="Técnico I",23,IF(C2421="JR",20,IF(C2421="Estágio",10,0))))),IF(C2421="Técnico III",SUMIFS($D:$D,$A:$A,$A2421,$B:$B,"&lt;&gt;Patrícia Karla de Sousa Araújo",$B:$B,"&lt;&gt;Lorena Dias de Araujo",$B:$B,"&lt;&gt;Lucas Luiz Romero")*(35/1083),IF(C2421="Técnico II",SUMIFS($D:$D,$A:$A,$A2421,$B:$B,"&lt;&gt;Patrícia Karla de Sousa Araújo",$B:$B,"&lt;&gt;Lorena Dias de Araujo",$B:$B,"&lt;&gt;Lucas Luiz Romero")*(28/1083),IF(C2421="Técnico I",SUMIFS($D:$D,$A:$A,$A2421,$B:$B,"&lt;&gt;Patrícia Karla de Sousa Araújo",$B:$B,"&lt;&gt;Lorena Dias de Araujo",$B:$B,"&lt;&gt;Lucas Luiz Romero")*(23/1083),IF(C2421="JR",SUMIFS($D:$D,$A:$A,$A2421,$B:$B,"&lt;&gt;Patrícia Karla de Sousa Araújo",$B:$B,"&lt;&gt;Lorena Dias de Araujo",$B:$B,"&lt;&gt;Lucas Luiz Romero")*(20/1083),IF(C2421="Estágio",SUMIFS($D:$D,$A:$A,$A2421,$B:$B,"&lt;&gt;Patrícia Karla de Sousa Araújo",$B:$B,"&lt;&gt;Lorena Dias de Araujo",$B:$B,"&lt;&gt;Lucas Luiz Romero")*(10/1083),0)))))),0)</f>
        <v/>
      </c>
      <c r="K2421" s="3">
        <f>I2421-J2421</f>
        <v/>
      </c>
      <c r="L2421" s="3">
        <f>IF(K2421&lt;-5,"CRÍTICO",IF(K2421&lt;0,"ATENÇÃO",IF(K2421&lt;=5,"BOM","EXCELENTE")))</f>
        <v/>
      </c>
      <c r="N2421" t="n">
        <v>98.53</v>
      </c>
      <c r="O2421" t="n">
        <v>31.57894736842105</v>
      </c>
    </row>
    <row r="2422" hidden="1">
      <c r="A2422" s="11" t="n">
        <v>46077</v>
      </c>
      <c r="B2422" t="inlineStr">
        <is>
          <t>Janaina Lima dos Reis Urany</t>
        </is>
      </c>
      <c r="C2422" t="inlineStr">
        <is>
          <t>Técnico III</t>
        </is>
      </c>
      <c r="D2422" t="n">
        <v>40</v>
      </c>
      <c r="E2422" t="n">
        <v>35</v>
      </c>
      <c r="F2422" t="n">
        <v>17.33</v>
      </c>
      <c r="G2422" t="n">
        <v>0</v>
      </c>
      <c r="H2422" t="n">
        <v>0</v>
      </c>
      <c r="I2422" s="3">
        <f>E2422+G2422+H2422</f>
        <v/>
      </c>
      <c r="J2422" s="3">
        <f>ROUND(MIN(IF(C2422="Técnico III",35,IF(C2422="Técnico II",28,IF(C2422="Técnico I",23,IF(C2422="JR",20,IF(C2422="Estágio",10,0))))),IF(C2422="Técnico III",SUMIFS($D:$D,$A:$A,$A2422,$B:$B,"&lt;&gt;Patrícia Karla de Sousa Araújo",$B:$B,"&lt;&gt;Lorena Dias de Araujo",$B:$B,"&lt;&gt;Lucas Luiz Romero")*(35/1083),IF(C2422="Técnico II",SUMIFS($D:$D,$A:$A,$A2422,$B:$B,"&lt;&gt;Patrícia Karla de Sousa Araújo",$B:$B,"&lt;&gt;Lorena Dias de Araujo",$B:$B,"&lt;&gt;Lucas Luiz Romero")*(28/1083),IF(C2422="Técnico I",SUMIFS($D:$D,$A:$A,$A2422,$B:$B,"&lt;&gt;Patrícia Karla de Sousa Araújo",$B:$B,"&lt;&gt;Lorena Dias de Araujo",$B:$B,"&lt;&gt;Lucas Luiz Romero")*(23/1083),IF(C2422="JR",SUMIFS($D:$D,$A:$A,$A2422,$B:$B,"&lt;&gt;Patrícia Karla de Sousa Araújo",$B:$B,"&lt;&gt;Lorena Dias de Araujo",$B:$B,"&lt;&gt;Lucas Luiz Romero")*(20/1083),IF(C2422="Estágio",SUMIFS($D:$D,$A:$A,$A2422,$B:$B,"&lt;&gt;Patrícia Karla de Sousa Araújo",$B:$B,"&lt;&gt;Lorena Dias de Araujo",$B:$B,"&lt;&gt;Lucas Luiz Romero")*(10/1083),0)))))),0)</f>
        <v/>
      </c>
      <c r="K2422" s="3">
        <f>I2422-J2422</f>
        <v/>
      </c>
      <c r="L2422" s="3">
        <f>IF(K2422&lt;-5,"CRÍTICO",IF(K2422&lt;0,"ATENÇÃO",IF(K2422&lt;=5,"BOM","EXCELENTE")))</f>
        <v/>
      </c>
      <c r="N2422" t="n">
        <v>100</v>
      </c>
      <c r="O2422" t="n">
        <v>25.72214580467676</v>
      </c>
    </row>
    <row r="2423" hidden="1">
      <c r="A2423" s="11" t="n">
        <v>46077</v>
      </c>
      <c r="B2423" t="inlineStr">
        <is>
          <t>Jaqueline Evangelista da Silva Martins</t>
        </is>
      </c>
      <c r="C2423" t="inlineStr">
        <is>
          <t>Técnico III</t>
        </is>
      </c>
      <c r="D2423" t="n">
        <v>26</v>
      </c>
      <c r="E2423" t="n">
        <v>24</v>
      </c>
      <c r="F2423" t="n">
        <v>14.08</v>
      </c>
      <c r="G2423" t="n">
        <v>0</v>
      </c>
      <c r="H2423" t="n">
        <v>0</v>
      </c>
      <c r="I2423" s="3">
        <f>E2423+G2423+H2423</f>
        <v/>
      </c>
      <c r="J2423" s="3">
        <f>ROUND(MIN(IF(C2423="Técnico III",35,IF(C2423="Técnico II",28,IF(C2423="Técnico I",23,IF(C2423="JR",20,IF(C2423="Estágio",10,0))))),IF(C2423="Técnico III",SUMIFS($D:$D,$A:$A,$A2423,$B:$B,"&lt;&gt;Patrícia Karla de Sousa Araújo",$B:$B,"&lt;&gt;Lorena Dias de Araujo",$B:$B,"&lt;&gt;Lucas Luiz Romero")*(35/1083),IF(C2423="Técnico II",SUMIFS($D:$D,$A:$A,$A2423,$B:$B,"&lt;&gt;Patrícia Karla de Sousa Araújo",$B:$B,"&lt;&gt;Lorena Dias de Araujo",$B:$B,"&lt;&gt;Lucas Luiz Romero")*(28/1083),IF(C2423="Técnico I",SUMIFS($D:$D,$A:$A,$A2423,$B:$B,"&lt;&gt;Patrícia Karla de Sousa Araújo",$B:$B,"&lt;&gt;Lorena Dias de Araujo",$B:$B,"&lt;&gt;Lucas Luiz Romero")*(23/1083),IF(C2423="JR",SUMIFS($D:$D,$A:$A,$A2423,$B:$B,"&lt;&gt;Patrícia Karla de Sousa Araújo",$B:$B,"&lt;&gt;Lorena Dias de Araujo",$B:$B,"&lt;&gt;Lucas Luiz Romero")*(20/1083),IF(C2423="Estágio",SUMIFS($D:$D,$A:$A,$A2423,$B:$B,"&lt;&gt;Patrícia Karla de Sousa Araújo",$B:$B,"&lt;&gt;Lorena Dias de Araujo",$B:$B,"&lt;&gt;Lucas Luiz Romero")*(10/1083),0)))))),0)</f>
        <v/>
      </c>
      <c r="K2423" s="3">
        <f>I2423-J2423</f>
        <v/>
      </c>
      <c r="L2423" s="3">
        <f>IF(K2423&lt;-5,"CRÍTICO",IF(K2423&lt;0,"ATENÇÃO",IF(K2423&lt;=5,"BOM","EXCELENTE")))</f>
        <v/>
      </c>
      <c r="N2423" t="n">
        <v>94.64</v>
      </c>
      <c r="O2423" t="n">
        <v>27.52941176470588</v>
      </c>
    </row>
    <row r="2424" hidden="1">
      <c r="A2424" s="11" t="n">
        <v>46077</v>
      </c>
      <c r="B2424" t="inlineStr">
        <is>
          <t>Jessica Faria da Silveira</t>
        </is>
      </c>
      <c r="C2424" t="inlineStr">
        <is>
          <t>Técnico II</t>
        </is>
      </c>
      <c r="D2424" t="n">
        <v>17</v>
      </c>
      <c r="E2424" t="n">
        <v>8</v>
      </c>
      <c r="F2424" t="n">
        <v>11.53</v>
      </c>
      <c r="G2424" t="n">
        <v>0</v>
      </c>
      <c r="H2424" t="n">
        <v>0</v>
      </c>
      <c r="I2424" s="3">
        <f>E2424+G2424+H2424</f>
        <v/>
      </c>
      <c r="J2424" s="3">
        <f>ROUND(MIN(IF(C2424="Técnico III",35,IF(C2424="Técnico II",28,IF(C2424="Técnico I",23,IF(C2424="JR",20,IF(C2424="Estágio",10,0))))),IF(C2424="Técnico III",SUMIFS($D:$D,$A:$A,$A2424,$B:$B,"&lt;&gt;Patrícia Karla de Sousa Araújo",$B:$B,"&lt;&gt;Lorena Dias de Araujo",$B:$B,"&lt;&gt;Lucas Luiz Romero")*(35/1083),IF(C2424="Técnico II",SUMIFS($D:$D,$A:$A,$A2424,$B:$B,"&lt;&gt;Patrícia Karla de Sousa Araújo",$B:$B,"&lt;&gt;Lorena Dias de Araujo",$B:$B,"&lt;&gt;Lucas Luiz Romero")*(28/1083),IF(C2424="Técnico I",SUMIFS($D:$D,$A:$A,$A2424,$B:$B,"&lt;&gt;Patrícia Karla de Sousa Araújo",$B:$B,"&lt;&gt;Lorena Dias de Araujo",$B:$B,"&lt;&gt;Lucas Luiz Romero")*(23/1083),IF(C2424="JR",SUMIFS($D:$D,$A:$A,$A2424,$B:$B,"&lt;&gt;Patrícia Karla de Sousa Araújo",$B:$B,"&lt;&gt;Lorena Dias de Araujo",$B:$B,"&lt;&gt;Lucas Luiz Romero")*(20/1083),IF(C2424="Estágio",SUMIFS($D:$D,$A:$A,$A2424,$B:$B,"&lt;&gt;Patrícia Karla de Sousa Araújo",$B:$B,"&lt;&gt;Lorena Dias de Araujo",$B:$B,"&lt;&gt;Lucas Luiz Romero")*(10/1083),0)))))),0)</f>
        <v/>
      </c>
      <c r="K2424" s="3">
        <f>I2424-J2424</f>
        <v/>
      </c>
      <c r="L2424" s="3">
        <f>IF(K2424&lt;-5,"CRÍTICO",IF(K2424&lt;0,"ATENÇÃO",IF(K2424&lt;=5,"BOM","EXCELENTE")))</f>
        <v/>
      </c>
      <c r="N2424" t="n">
        <v>99.06999999999999</v>
      </c>
      <c r="O2424" t="n">
        <v>26.3768115942029</v>
      </c>
    </row>
    <row r="2425" hidden="1">
      <c r="A2425" s="11" t="n">
        <v>46077</v>
      </c>
      <c r="B2425" t="inlineStr">
        <is>
          <t>Jéssica Fé Moura</t>
        </is>
      </c>
      <c r="C2425" t="inlineStr">
        <is>
          <t>Técnico III</t>
        </is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s="3" t="n">
        <v>0</v>
      </c>
      <c r="J2425" s="3" t="n">
        <v>0</v>
      </c>
      <c r="K2425" s="3" t="n">
        <v>0</v>
      </c>
      <c r="L2425" s="3">
        <f>IF(K2425&lt;-5,"CRÍTICO",IF(K2425&lt;0,"ATENÇÃO",IF(K2425&lt;=5,"BOM","EXCELENTE")))</f>
        <v/>
      </c>
      <c r="N2425" t="n">
        <v>100</v>
      </c>
      <c r="O2425" t="n">
        <v>0</v>
      </c>
    </row>
    <row r="2426" hidden="1">
      <c r="A2426" s="11" t="n">
        <v>46077</v>
      </c>
      <c r="B2426" t="inlineStr">
        <is>
          <t>Karina Gonçalves Martins</t>
        </is>
      </c>
      <c r="C2426" t="inlineStr">
        <is>
          <t>JR</t>
        </is>
      </c>
      <c r="D2426" t="n">
        <v>15</v>
      </c>
      <c r="E2426" t="n">
        <v>15</v>
      </c>
      <c r="F2426" t="n">
        <v>25.08</v>
      </c>
      <c r="G2426" t="n">
        <v>0</v>
      </c>
      <c r="H2426" t="n">
        <v>0</v>
      </c>
      <c r="I2426" s="3">
        <f>E2426+G2426+H2426</f>
        <v/>
      </c>
      <c r="J2426" s="3">
        <f>ROUND(MIN(IF(C2426="Técnico III",35,IF(C2426="Técnico II",28,IF(C2426="Técnico I",23,IF(C2426="JR",20,IF(C2426="Estágio",10,0))))),IF(C2426="Técnico III",SUMIFS($D:$D,$A:$A,$A2426,$B:$B,"&lt;&gt;Patrícia Karla de Sousa Araújo",$B:$B,"&lt;&gt;Lorena Dias de Araujo",$B:$B,"&lt;&gt;Lucas Luiz Romero")*(35/1083),IF(C2426="Técnico II",SUMIFS($D:$D,$A:$A,$A2426,$B:$B,"&lt;&gt;Patrícia Karla de Sousa Araújo",$B:$B,"&lt;&gt;Lorena Dias de Araujo",$B:$B,"&lt;&gt;Lucas Luiz Romero")*(28/1083),IF(C2426="Técnico I",SUMIFS($D:$D,$A:$A,$A2426,$B:$B,"&lt;&gt;Patrícia Karla de Sousa Araújo",$B:$B,"&lt;&gt;Lorena Dias de Araujo",$B:$B,"&lt;&gt;Lucas Luiz Romero")*(23/1083),IF(C2426="JR",SUMIFS($D:$D,$A:$A,$A2426,$B:$B,"&lt;&gt;Patrícia Karla de Sousa Araújo",$B:$B,"&lt;&gt;Lorena Dias de Araujo",$B:$B,"&lt;&gt;Lucas Luiz Romero")*(20/1083),IF(C2426="Estágio",SUMIFS($D:$D,$A:$A,$A2426,$B:$B,"&lt;&gt;Patrícia Karla de Sousa Araújo",$B:$B,"&lt;&gt;Lorena Dias de Araujo",$B:$B,"&lt;&gt;Lucas Luiz Romero")*(10/1083),0)))))),0)</f>
        <v/>
      </c>
      <c r="K2426" s="3">
        <f>I2426-J2426</f>
        <v/>
      </c>
      <c r="L2426" s="3">
        <f>IF(K2426&lt;-5,"CRÍTICO",IF(K2426&lt;0,"ATENÇÃO",IF(K2426&lt;=5,"BOM","EXCELENTE")))</f>
        <v/>
      </c>
      <c r="N2426" t="n">
        <v>98.48</v>
      </c>
      <c r="O2426" t="n">
        <v>27.85388127853881</v>
      </c>
    </row>
    <row r="2427" hidden="1">
      <c r="A2427" s="11" t="n">
        <v>46077</v>
      </c>
      <c r="B2427" t="inlineStr">
        <is>
          <t>Kerollen Cristielly de Jesus Siqueira</t>
        </is>
      </c>
      <c r="C2427" t="inlineStr">
        <is>
          <t>Técnico III</t>
        </is>
      </c>
      <c r="D2427" t="n">
        <v>3</v>
      </c>
      <c r="E2427" t="n">
        <v>3</v>
      </c>
      <c r="F2427" t="n">
        <v>47.26</v>
      </c>
      <c r="G2427" t="n">
        <v>0</v>
      </c>
      <c r="H2427" t="n">
        <v>0</v>
      </c>
      <c r="I2427" s="3">
        <f>E2427+G2427+H2427</f>
        <v/>
      </c>
      <c r="J2427" s="3">
        <f>ROUND(MIN(IF(C2427="Técnico III",35,IF(C2427="Técnico II",28,IF(C2427="Técnico I",23,IF(C2427="JR",20,IF(C2427="Estágio",10,0))))),IF(C2427="Técnico III",SUMIFS($D:$D,$A:$A,$A2427,$B:$B,"&lt;&gt;Patrícia Karla de Sousa Araújo",$B:$B,"&lt;&gt;Lorena Dias de Araujo",$B:$B,"&lt;&gt;Lucas Luiz Romero")*(35/1083),IF(C2427="Técnico II",SUMIFS($D:$D,$A:$A,$A2427,$B:$B,"&lt;&gt;Patrícia Karla de Sousa Araújo",$B:$B,"&lt;&gt;Lorena Dias de Araujo",$B:$B,"&lt;&gt;Lucas Luiz Romero")*(28/1083),IF(C2427="Técnico I",SUMIFS($D:$D,$A:$A,$A2427,$B:$B,"&lt;&gt;Patrícia Karla de Sousa Araújo",$B:$B,"&lt;&gt;Lorena Dias de Araujo",$B:$B,"&lt;&gt;Lucas Luiz Romero")*(23/1083),IF(C2427="JR",SUMIFS($D:$D,$A:$A,$A2427,$B:$B,"&lt;&gt;Patrícia Karla de Sousa Araújo",$B:$B,"&lt;&gt;Lorena Dias de Araujo",$B:$B,"&lt;&gt;Lucas Luiz Romero")*(20/1083),IF(C2427="Estágio",SUMIFS($D:$D,$A:$A,$A2427,$B:$B,"&lt;&gt;Patrícia Karla de Sousa Araújo",$B:$B,"&lt;&gt;Lorena Dias de Araujo",$B:$B,"&lt;&gt;Lucas Luiz Romero")*(10/1083),0)))))),0)</f>
        <v/>
      </c>
      <c r="K2427" s="3">
        <f>I2427-J2427</f>
        <v/>
      </c>
      <c r="L2427" s="3">
        <f>IF(K2427&lt;-5,"CRÍTICO",IF(K2427&lt;0,"ATENÇÃO",IF(K2427&lt;=5,"BOM","EXCELENTE")))</f>
        <v/>
      </c>
      <c r="N2427" t="n">
        <v>95.15000000000001</v>
      </c>
      <c r="O2427" t="n">
        <v>34.13173652694611</v>
      </c>
    </row>
    <row r="2428" hidden="1">
      <c r="A2428" s="11" t="n">
        <v>46077</v>
      </c>
      <c r="B2428" t="inlineStr">
        <is>
          <t>Leandro de Souza Silva</t>
        </is>
      </c>
      <c r="C2428" t="inlineStr">
        <is>
          <t>JR</t>
        </is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s="3" t="n">
        <v>0</v>
      </c>
      <c r="J2428" s="3" t="n">
        <v>0</v>
      </c>
      <c r="K2428" s="3" t="n">
        <v>0</v>
      </c>
      <c r="L2428" s="3">
        <f>IF(K2428&lt;-5,"CRÍTICO",IF(K2428&lt;0,"ATENÇÃO",IF(K2428&lt;=5,"BOM","EXCELENTE")))</f>
        <v/>
      </c>
      <c r="N2428" t="n">
        <v>0</v>
      </c>
      <c r="O2428" t="n">
        <v>0</v>
      </c>
    </row>
    <row r="2429" hidden="1">
      <c r="A2429" s="11" t="n">
        <v>46077</v>
      </c>
      <c r="B2429" t="inlineStr">
        <is>
          <t>Leandro Oliveira de Sousa</t>
        </is>
      </c>
      <c r="C2429" t="inlineStr">
        <is>
          <t>Técnico III</t>
        </is>
      </c>
      <c r="D2429" t="n">
        <v>21</v>
      </c>
      <c r="E2429" t="n">
        <v>20</v>
      </c>
      <c r="F2429" t="n">
        <v>23.43</v>
      </c>
      <c r="G2429" t="n">
        <v>0</v>
      </c>
      <c r="H2429" t="n">
        <v>0</v>
      </c>
      <c r="I2429" s="3">
        <f>E2429+G2429+H2429</f>
        <v/>
      </c>
      <c r="J2429" s="3">
        <f>ROUND(MIN(IF(C2429="Técnico III",35,IF(C2429="Técnico II",28,IF(C2429="Técnico I",23,IF(C2429="JR",20,IF(C2429="Estágio",10,0))))),IF(C2429="Técnico III",SUMIFS($D:$D,$A:$A,$A2429,$B:$B,"&lt;&gt;Patrícia Karla de Sousa Araújo",$B:$B,"&lt;&gt;Lorena Dias de Araujo",$B:$B,"&lt;&gt;Lucas Luiz Romero")*(35/1083),IF(C2429="Técnico II",SUMIFS($D:$D,$A:$A,$A2429,$B:$B,"&lt;&gt;Patrícia Karla de Sousa Araújo",$B:$B,"&lt;&gt;Lorena Dias de Araujo",$B:$B,"&lt;&gt;Lucas Luiz Romero")*(28/1083),IF(C2429="Técnico I",SUMIFS($D:$D,$A:$A,$A2429,$B:$B,"&lt;&gt;Patrícia Karla de Sousa Araújo",$B:$B,"&lt;&gt;Lorena Dias de Araujo",$B:$B,"&lt;&gt;Lucas Luiz Romero")*(23/1083),IF(C2429="JR",SUMIFS($D:$D,$A:$A,$A2429,$B:$B,"&lt;&gt;Patrícia Karla de Sousa Araújo",$B:$B,"&lt;&gt;Lorena Dias de Araujo",$B:$B,"&lt;&gt;Lucas Luiz Romero")*(20/1083),IF(C2429="Estágio",SUMIFS($D:$D,$A:$A,$A2429,$B:$B,"&lt;&gt;Patrícia Karla de Sousa Araújo",$B:$B,"&lt;&gt;Lorena Dias de Araujo",$B:$B,"&lt;&gt;Lucas Luiz Romero")*(10/1083),0)))))),0)</f>
        <v/>
      </c>
      <c r="K2429" s="3">
        <f>I2429-J2429</f>
        <v/>
      </c>
      <c r="L2429" s="3">
        <f>IF(K2429&lt;-5,"CRÍTICO",IF(K2429&lt;0,"ATENÇÃO",IF(K2429&lt;=5,"BOM","EXCELENTE")))</f>
        <v/>
      </c>
      <c r="N2429" t="n">
        <v>99.26000000000001</v>
      </c>
      <c r="O2429" t="n">
        <v>30.84832904884319</v>
      </c>
    </row>
    <row r="2430" hidden="1">
      <c r="A2430" s="11" t="n">
        <v>46077</v>
      </c>
      <c r="B2430" t="inlineStr">
        <is>
          <t>Lizandra Gomes Duarte</t>
        </is>
      </c>
      <c r="C2430" t="inlineStr">
        <is>
          <t>Técnico II</t>
        </is>
      </c>
      <c r="D2430" t="n">
        <v>27</v>
      </c>
      <c r="E2430" t="n">
        <v>27</v>
      </c>
      <c r="F2430" t="n">
        <v>29.12</v>
      </c>
      <c r="G2430" t="n">
        <v>0</v>
      </c>
      <c r="H2430" t="n">
        <v>0</v>
      </c>
      <c r="I2430" s="3">
        <f>E2430+G2430+H2430</f>
        <v/>
      </c>
      <c r="J2430" s="3">
        <f>ROUND(MIN(IF(C2430="Técnico III",35,IF(C2430="Técnico II",28,IF(C2430="Técnico I",23,IF(C2430="JR",20,IF(C2430="Estágio",10,0))))),IF(C2430="Técnico III",SUMIFS($D:$D,$A:$A,$A2430,$B:$B,"&lt;&gt;Patrícia Karla de Sousa Araújo",$B:$B,"&lt;&gt;Lorena Dias de Araujo",$B:$B,"&lt;&gt;Lucas Luiz Romero")*(35/1083),IF(C2430="Técnico II",SUMIFS($D:$D,$A:$A,$A2430,$B:$B,"&lt;&gt;Patrícia Karla de Sousa Araújo",$B:$B,"&lt;&gt;Lorena Dias de Araujo",$B:$B,"&lt;&gt;Lucas Luiz Romero")*(28/1083),IF(C2430="Técnico I",SUMIFS($D:$D,$A:$A,$A2430,$B:$B,"&lt;&gt;Patrícia Karla de Sousa Araújo",$B:$B,"&lt;&gt;Lorena Dias de Araujo",$B:$B,"&lt;&gt;Lucas Luiz Romero")*(23/1083),IF(C2430="JR",SUMIFS($D:$D,$A:$A,$A2430,$B:$B,"&lt;&gt;Patrícia Karla de Sousa Araújo",$B:$B,"&lt;&gt;Lorena Dias de Araujo",$B:$B,"&lt;&gt;Lucas Luiz Romero")*(20/1083),IF(C2430="Estágio",SUMIFS($D:$D,$A:$A,$A2430,$B:$B,"&lt;&gt;Patrícia Karla de Sousa Araújo",$B:$B,"&lt;&gt;Lorena Dias de Araujo",$B:$B,"&lt;&gt;Lucas Luiz Romero")*(10/1083),0)))))),0)</f>
        <v/>
      </c>
      <c r="K2430" s="3">
        <f>I2430-J2430</f>
        <v/>
      </c>
      <c r="L2430" s="3">
        <f>IF(K2430&lt;-5,"CRÍTICO",IF(K2430&lt;0,"ATENÇÃO",IF(K2430&lt;=5,"BOM","EXCELENTE")))</f>
        <v/>
      </c>
      <c r="N2430" t="n">
        <v>97.48</v>
      </c>
      <c r="O2430" t="n">
        <v>27.76470588235294</v>
      </c>
    </row>
    <row r="2431" hidden="1">
      <c r="A2431" s="11" t="n">
        <v>46077</v>
      </c>
      <c r="B2431" t="inlineStr">
        <is>
          <t>Lorena Dias de Araujo</t>
        </is>
      </c>
      <c r="C2431" t="inlineStr">
        <is>
          <t>Técnico II</t>
        </is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s="3" t="n">
        <v>0</v>
      </c>
      <c r="J2431" s="3" t="n">
        <v>0</v>
      </c>
      <c r="K2431" s="3" t="n">
        <v>0</v>
      </c>
      <c r="L2431" s="3">
        <f>IF(K2431&lt;-5,"CRÍTICO",IF(K2431&lt;0,"ATENÇÃO",IF(K2431&lt;=5,"BOM","EXCELENTE")))</f>
        <v/>
      </c>
      <c r="N2431" t="n">
        <v>99.34</v>
      </c>
      <c r="O2431" t="n">
        <v>30.04291845493562</v>
      </c>
    </row>
    <row r="2432" hidden="1">
      <c r="A2432" s="11" t="n">
        <v>46077</v>
      </c>
      <c r="B2432" t="inlineStr">
        <is>
          <t>Lucas Luiz Romero</t>
        </is>
      </c>
      <c r="C2432" t="inlineStr">
        <is>
          <t>Técnico III</t>
        </is>
      </c>
      <c r="D2432" t="n">
        <v>43</v>
      </c>
      <c r="E2432" t="n">
        <v>37</v>
      </c>
      <c r="F2432" t="n">
        <v>18.49</v>
      </c>
      <c r="G2432" t="n">
        <v>0</v>
      </c>
      <c r="H2432" t="n">
        <v>0</v>
      </c>
      <c r="I2432" s="3">
        <f>E2432+G2432+H2432</f>
        <v/>
      </c>
      <c r="J2432" s="3">
        <f>ROUND(MIN(IF(C2432="Técnico III",35,IF(C2432="Técnico II",28,IF(C2432="Técnico I",23,IF(C2432="JR",20,IF(C2432="Estágio",10,0))))),IF(C2432="Técnico III",SUMIFS($D:$D,$A:$A,$A2432,$B:$B,"&lt;&gt;Patrícia Karla de Sousa Araújo",$B:$B,"&lt;&gt;Lorena Dias de Araujo",$B:$B,"&lt;&gt;Lucas Luiz Romero")*(35/1083),IF(C2432="Técnico II",SUMIFS($D:$D,$A:$A,$A2432,$B:$B,"&lt;&gt;Patrícia Karla de Sousa Araújo",$B:$B,"&lt;&gt;Lorena Dias de Araujo",$B:$B,"&lt;&gt;Lucas Luiz Romero")*(28/1083),IF(C2432="Técnico I",SUMIFS($D:$D,$A:$A,$A2432,$B:$B,"&lt;&gt;Patrícia Karla de Sousa Araújo",$B:$B,"&lt;&gt;Lorena Dias de Araujo",$B:$B,"&lt;&gt;Lucas Luiz Romero")*(23/1083),IF(C2432="JR",SUMIFS($D:$D,$A:$A,$A2432,$B:$B,"&lt;&gt;Patrícia Karla de Sousa Araújo",$B:$B,"&lt;&gt;Lorena Dias de Araujo",$B:$B,"&lt;&gt;Lucas Luiz Romero")*(20/1083),IF(C2432="Estágio",SUMIFS($D:$D,$A:$A,$A2432,$B:$B,"&lt;&gt;Patrícia Karla de Sousa Araújo",$B:$B,"&lt;&gt;Lorena Dias de Araujo",$B:$B,"&lt;&gt;Lucas Luiz Romero")*(10/1083),0)))))),0)</f>
        <v/>
      </c>
      <c r="K2432" s="3">
        <f>I2432-J2432</f>
        <v/>
      </c>
      <c r="L2432" s="3">
        <f>IF(K2432&lt;-5,"CRÍTICO",IF(K2432&lt;0,"ATENÇÃO",IF(K2432&lt;=5,"BOM","EXCELENTE")))</f>
        <v/>
      </c>
      <c r="N2432" t="n">
        <v>96.3</v>
      </c>
      <c r="O2432" t="n">
        <v>24.29378531073446</v>
      </c>
    </row>
    <row r="2433" hidden="1">
      <c r="A2433" s="11" t="n">
        <v>46077</v>
      </c>
      <c r="B2433" t="inlineStr">
        <is>
          <t>Luiz Fernando de Carvalho Junior</t>
        </is>
      </c>
      <c r="C2433" t="inlineStr">
        <is>
          <t>Técnico I</t>
        </is>
      </c>
      <c r="D2433" t="n">
        <v>16</v>
      </c>
      <c r="E2433" t="n">
        <v>15</v>
      </c>
      <c r="F2433" t="n">
        <v>30.59</v>
      </c>
      <c r="G2433" t="n">
        <v>0</v>
      </c>
      <c r="H2433" t="n">
        <v>0</v>
      </c>
      <c r="I2433" s="3">
        <f>E2433+G2433+H2433</f>
        <v/>
      </c>
      <c r="J2433" s="3">
        <f>ROUND(MIN(IF(C2433="Técnico III",35,IF(C2433="Técnico II",28,IF(C2433="Técnico I",23,IF(C2433="JR",20,IF(C2433="Estágio",10,0))))),IF(C2433="Técnico III",SUMIFS($D:$D,$A:$A,$A2433,$B:$B,"&lt;&gt;Patrícia Karla de Sousa Araújo",$B:$B,"&lt;&gt;Lorena Dias de Araujo",$B:$B,"&lt;&gt;Lucas Luiz Romero")*(35/1083),IF(C2433="Técnico II",SUMIFS($D:$D,$A:$A,$A2433,$B:$B,"&lt;&gt;Patrícia Karla de Sousa Araújo",$B:$B,"&lt;&gt;Lorena Dias de Araujo",$B:$B,"&lt;&gt;Lucas Luiz Romero")*(28/1083),IF(C2433="Técnico I",SUMIFS($D:$D,$A:$A,$A2433,$B:$B,"&lt;&gt;Patrícia Karla de Sousa Araújo",$B:$B,"&lt;&gt;Lorena Dias de Araujo",$B:$B,"&lt;&gt;Lucas Luiz Romero")*(23/1083),IF(C2433="JR",SUMIFS($D:$D,$A:$A,$A2433,$B:$B,"&lt;&gt;Patrícia Karla de Sousa Araújo",$B:$B,"&lt;&gt;Lorena Dias de Araujo",$B:$B,"&lt;&gt;Lucas Luiz Romero")*(20/1083),IF(C2433="Estágio",SUMIFS($D:$D,$A:$A,$A2433,$B:$B,"&lt;&gt;Patrícia Karla de Sousa Araújo",$B:$B,"&lt;&gt;Lorena Dias de Araujo",$B:$B,"&lt;&gt;Lucas Luiz Romero")*(10/1083),0)))))),0)</f>
        <v/>
      </c>
      <c r="K2433" s="3">
        <f>I2433-J2433</f>
        <v/>
      </c>
      <c r="L2433" s="3">
        <f>IF(K2433&lt;-5,"CRÍTICO",IF(K2433&lt;0,"ATENÇÃO",IF(K2433&lt;=5,"BOM","EXCELENTE")))</f>
        <v/>
      </c>
      <c r="N2433" t="n">
        <v>100</v>
      </c>
      <c r="O2433" t="n">
        <v>26.54320987654321</v>
      </c>
    </row>
    <row r="2434" hidden="1">
      <c r="A2434" s="11" t="n">
        <v>46077</v>
      </c>
      <c r="B2434" t="inlineStr">
        <is>
          <t>Maria Eduarda Sousa Costa</t>
        </is>
      </c>
      <c r="C2434" t="inlineStr">
        <is>
          <t>Estágio</t>
        </is>
      </c>
      <c r="D2434" t="n">
        <v>5</v>
      </c>
      <c r="E2434" t="n">
        <v>5</v>
      </c>
      <c r="F2434" t="n">
        <v>72.11</v>
      </c>
      <c r="G2434" t="n">
        <v>0</v>
      </c>
      <c r="H2434" t="n">
        <v>0</v>
      </c>
      <c r="I2434" s="3">
        <f>E2434+G2434+H2434</f>
        <v/>
      </c>
      <c r="J2434" s="3">
        <f>ROUND(MIN(IF(C2434="Técnico III",35,IF(C2434="Técnico II",28,IF(C2434="Técnico I",23,IF(C2434="JR",20,IF(C2434="Estágio",10,0))))),IF(C2434="Técnico III",SUMIFS($D:$D,$A:$A,$A2434,$B:$B,"&lt;&gt;Patrícia Karla de Sousa Araújo",$B:$B,"&lt;&gt;Lorena Dias de Araujo",$B:$B,"&lt;&gt;Lucas Luiz Romero")*(35/1083),IF(C2434="Técnico II",SUMIFS($D:$D,$A:$A,$A2434,$B:$B,"&lt;&gt;Patrícia Karla de Sousa Araújo",$B:$B,"&lt;&gt;Lorena Dias de Araujo",$B:$B,"&lt;&gt;Lucas Luiz Romero")*(28/1083),IF(C2434="Técnico I",SUMIFS($D:$D,$A:$A,$A2434,$B:$B,"&lt;&gt;Patrícia Karla de Sousa Araújo",$B:$B,"&lt;&gt;Lorena Dias de Araujo",$B:$B,"&lt;&gt;Lucas Luiz Romero")*(23/1083),IF(C2434="JR",SUMIFS($D:$D,$A:$A,$A2434,$B:$B,"&lt;&gt;Patrícia Karla de Sousa Araújo",$B:$B,"&lt;&gt;Lorena Dias de Araujo",$B:$B,"&lt;&gt;Lucas Luiz Romero")*(20/1083),IF(C2434="Estágio",SUMIFS($D:$D,$A:$A,$A2434,$B:$B,"&lt;&gt;Patrícia Karla de Sousa Araújo",$B:$B,"&lt;&gt;Lorena Dias de Araujo",$B:$B,"&lt;&gt;Lucas Luiz Romero")*(10/1083),0)))))),0)</f>
        <v/>
      </c>
      <c r="K2434" s="3">
        <f>I2434-J2434</f>
        <v/>
      </c>
      <c r="L2434" s="3">
        <f>IF(K2434&lt;-5,"CRÍTICO",IF(K2434&lt;0,"ATENÇÃO",IF(K2434&lt;=5,"BOM","EXCELENTE")))</f>
        <v/>
      </c>
      <c r="N2434" t="n">
        <v>100</v>
      </c>
      <c r="O2434" t="n">
        <v>35.48387096774194</v>
      </c>
    </row>
    <row r="2435" hidden="1">
      <c r="A2435" s="11" t="n">
        <v>46077</v>
      </c>
      <c r="B2435" t="inlineStr">
        <is>
          <t>Matheus Farias De Souza</t>
        </is>
      </c>
      <c r="C2435" t="inlineStr">
        <is>
          <t>Técnico III</t>
        </is>
      </c>
      <c r="D2435" t="n">
        <v>24</v>
      </c>
      <c r="E2435" t="n">
        <v>22</v>
      </c>
      <c r="F2435" t="n">
        <v>23.22</v>
      </c>
      <c r="G2435" t="n">
        <v>0</v>
      </c>
      <c r="H2435" t="n">
        <v>0</v>
      </c>
      <c r="I2435" s="3">
        <f>E2435+G2435+H2435</f>
        <v/>
      </c>
      <c r="J2435" s="3">
        <f>ROUND(MIN(IF(C2435="Técnico III",35,IF(C2435="Técnico II",28,IF(C2435="Técnico I",23,IF(C2435="JR",20,IF(C2435="Estágio",10,0))))),IF(C2435="Técnico III",SUMIFS($D:$D,$A:$A,$A2435,$B:$B,"&lt;&gt;Patrícia Karla de Sousa Araújo",$B:$B,"&lt;&gt;Lorena Dias de Araujo",$B:$B,"&lt;&gt;Lucas Luiz Romero")*(35/1083),IF(C2435="Técnico II",SUMIFS($D:$D,$A:$A,$A2435,$B:$B,"&lt;&gt;Patrícia Karla de Sousa Araújo",$B:$B,"&lt;&gt;Lorena Dias de Araujo",$B:$B,"&lt;&gt;Lucas Luiz Romero")*(28/1083),IF(C2435="Técnico I",SUMIFS($D:$D,$A:$A,$A2435,$B:$B,"&lt;&gt;Patrícia Karla de Sousa Araújo",$B:$B,"&lt;&gt;Lorena Dias de Araujo",$B:$B,"&lt;&gt;Lucas Luiz Romero")*(23/1083),IF(C2435="JR",SUMIFS($D:$D,$A:$A,$A2435,$B:$B,"&lt;&gt;Patrícia Karla de Sousa Araújo",$B:$B,"&lt;&gt;Lorena Dias de Araujo",$B:$B,"&lt;&gt;Lucas Luiz Romero")*(20/1083),IF(C2435="Estágio",SUMIFS($D:$D,$A:$A,$A2435,$B:$B,"&lt;&gt;Patrícia Karla de Sousa Araújo",$B:$B,"&lt;&gt;Lorena Dias de Araujo",$B:$B,"&lt;&gt;Lucas Luiz Romero")*(10/1083),0)))))),0)</f>
        <v/>
      </c>
      <c r="K2435" s="3">
        <f>I2435-J2435</f>
        <v/>
      </c>
      <c r="L2435" s="3">
        <f>IF(K2435&lt;-5,"CRÍTICO",IF(K2435&lt;0,"ATENÇÃO",IF(K2435&lt;=5,"BOM","EXCELENTE")))</f>
        <v/>
      </c>
      <c r="N2435" t="n">
        <v>99.27</v>
      </c>
      <c r="O2435" t="n">
        <v>31.16370808678501</v>
      </c>
    </row>
    <row r="2436" hidden="1">
      <c r="A2436" s="11" t="n">
        <v>46077</v>
      </c>
      <c r="B2436" t="inlineStr">
        <is>
          <t>Maysa Victoria Dias Moura</t>
        </is>
      </c>
      <c r="C2436" t="inlineStr">
        <is>
          <t>Técnico III</t>
        </is>
      </c>
      <c r="D2436" t="n">
        <v>33</v>
      </c>
      <c r="E2436" t="n">
        <v>33</v>
      </c>
      <c r="F2436" t="n">
        <v>16.58</v>
      </c>
      <c r="G2436" t="n">
        <v>0</v>
      </c>
      <c r="H2436" t="n">
        <v>0</v>
      </c>
      <c r="I2436" s="3">
        <f>E2436+G2436+H2436</f>
        <v/>
      </c>
      <c r="J2436" s="3">
        <f>ROUND(MIN(IF(C2436="Técnico III",35,IF(C2436="Técnico II",28,IF(C2436="Técnico I",23,IF(C2436="JR",20,IF(C2436="Estágio",10,0))))),IF(C2436="Técnico III",SUMIFS($D:$D,$A:$A,$A2436,$B:$B,"&lt;&gt;Patrícia Karla de Sousa Araújo",$B:$B,"&lt;&gt;Lorena Dias de Araujo",$B:$B,"&lt;&gt;Lucas Luiz Romero")*(35/1083),IF(C2436="Técnico II",SUMIFS($D:$D,$A:$A,$A2436,$B:$B,"&lt;&gt;Patrícia Karla de Sousa Araújo",$B:$B,"&lt;&gt;Lorena Dias de Araujo",$B:$B,"&lt;&gt;Lucas Luiz Romero")*(28/1083),IF(C2436="Técnico I",SUMIFS($D:$D,$A:$A,$A2436,$B:$B,"&lt;&gt;Patrícia Karla de Sousa Araújo",$B:$B,"&lt;&gt;Lorena Dias de Araujo",$B:$B,"&lt;&gt;Lucas Luiz Romero")*(23/1083),IF(C2436="JR",SUMIFS($D:$D,$A:$A,$A2436,$B:$B,"&lt;&gt;Patrícia Karla de Sousa Araújo",$B:$B,"&lt;&gt;Lorena Dias de Araujo",$B:$B,"&lt;&gt;Lucas Luiz Romero")*(20/1083),IF(C2436="Estágio",SUMIFS($D:$D,$A:$A,$A2436,$B:$B,"&lt;&gt;Patrícia Karla de Sousa Araújo",$B:$B,"&lt;&gt;Lorena Dias de Araujo",$B:$B,"&lt;&gt;Lucas Luiz Romero")*(10/1083),0)))))),0)</f>
        <v/>
      </c>
      <c r="K2436" s="3">
        <f>I2436-J2436</f>
        <v/>
      </c>
      <c r="L2436" s="3">
        <f>IF(K2436&lt;-5,"CRÍTICO",IF(K2436&lt;0,"ATENÇÃO",IF(K2436&lt;=5,"BOM","EXCELENTE")))</f>
        <v/>
      </c>
      <c r="N2436" t="n">
        <v>94.16</v>
      </c>
      <c r="O2436" t="n">
        <v>27.03862660944206</v>
      </c>
    </row>
    <row r="2437" hidden="1">
      <c r="A2437" s="11" t="n">
        <v>46077</v>
      </c>
      <c r="B2437" t="inlineStr">
        <is>
          <t>Michelle G Santos</t>
        </is>
      </c>
      <c r="C2437" t="inlineStr">
        <is>
          <t>Estágio</t>
        </is>
      </c>
      <c r="D2437" t="n">
        <v>15</v>
      </c>
      <c r="E2437" t="n">
        <v>14</v>
      </c>
      <c r="F2437" t="n">
        <v>40.57</v>
      </c>
      <c r="G2437" t="n">
        <v>0</v>
      </c>
      <c r="H2437" t="n">
        <v>0</v>
      </c>
      <c r="I2437" s="3">
        <f>E2437+G2437+H2437</f>
        <v/>
      </c>
      <c r="J2437" s="3">
        <f>ROUND(MIN(IF(C2437="Técnico III",35,IF(C2437="Técnico II",28,IF(C2437="Técnico I",23,IF(C2437="JR",20,IF(C2437="Estágio",10,0))))),IF(C2437="Técnico III",SUMIFS($D:$D,$A:$A,$A2437,$B:$B,"&lt;&gt;Patrícia Karla de Sousa Araújo",$B:$B,"&lt;&gt;Lorena Dias de Araujo",$B:$B,"&lt;&gt;Lucas Luiz Romero")*(35/1083),IF(C2437="Técnico II",SUMIFS($D:$D,$A:$A,$A2437,$B:$B,"&lt;&gt;Patrícia Karla de Sousa Araújo",$B:$B,"&lt;&gt;Lorena Dias de Araujo",$B:$B,"&lt;&gt;Lucas Luiz Romero")*(28/1083),IF(C2437="Técnico I",SUMIFS($D:$D,$A:$A,$A2437,$B:$B,"&lt;&gt;Patrícia Karla de Sousa Araújo",$B:$B,"&lt;&gt;Lorena Dias de Araujo",$B:$B,"&lt;&gt;Lucas Luiz Romero")*(23/1083),IF(C2437="JR",SUMIFS($D:$D,$A:$A,$A2437,$B:$B,"&lt;&gt;Patrícia Karla de Sousa Araújo",$B:$B,"&lt;&gt;Lorena Dias de Araujo",$B:$B,"&lt;&gt;Lucas Luiz Romero")*(20/1083),IF(C2437="Estágio",SUMIFS($D:$D,$A:$A,$A2437,$B:$B,"&lt;&gt;Patrícia Karla de Sousa Araújo",$B:$B,"&lt;&gt;Lorena Dias de Araujo",$B:$B,"&lt;&gt;Lucas Luiz Romero")*(10/1083),0)))))),0)</f>
        <v/>
      </c>
      <c r="K2437" s="3">
        <f>I2437-J2437</f>
        <v/>
      </c>
      <c r="L2437" s="3">
        <f>IF(K2437&lt;-5,"CRÍTICO",IF(K2437&lt;0,"ATENÇÃO",IF(K2437&lt;=5,"BOM","EXCELENTE")))</f>
        <v/>
      </c>
      <c r="N2437" t="n">
        <v>93.75</v>
      </c>
      <c r="O2437" t="n">
        <v>19.31818181818182</v>
      </c>
    </row>
    <row r="2438" hidden="1">
      <c r="A2438" s="11" t="n">
        <v>46077</v>
      </c>
      <c r="B2438" t="inlineStr">
        <is>
          <t>Milena Sales</t>
        </is>
      </c>
      <c r="C2438" t="inlineStr">
        <is>
          <t>JR</t>
        </is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s="3" t="n">
        <v>0</v>
      </c>
      <c r="J2438" s="3" t="n">
        <v>0</v>
      </c>
      <c r="K2438" s="3" t="n">
        <v>0</v>
      </c>
      <c r="L2438" s="3">
        <f>IF(K2438&lt;-5,"CRÍTICO",IF(K2438&lt;0,"ATENÇÃO",IF(K2438&lt;=5,"BOM","EXCELENTE")))</f>
        <v/>
      </c>
      <c r="N2438" t="n">
        <v>0</v>
      </c>
      <c r="O2438" t="n">
        <v>0</v>
      </c>
    </row>
    <row r="2439" hidden="1">
      <c r="A2439" s="11" t="n">
        <v>46077</v>
      </c>
      <c r="B2439" t="inlineStr">
        <is>
          <t>Patrícia Karla de Sousa Araújo</t>
        </is>
      </c>
      <c r="C2439" t="inlineStr">
        <is>
          <t>Técnico II</t>
        </is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s="3" t="n">
        <v>0</v>
      </c>
      <c r="J2439" s="3" t="n">
        <v>0</v>
      </c>
      <c r="K2439" s="3" t="n">
        <v>0</v>
      </c>
      <c r="L2439" s="3">
        <f>IF(K2439&lt;-5,"CRÍTICO",IF(K2439&lt;0,"ATENÇÃO",IF(K2439&lt;=5,"BOM","EXCELENTE")))</f>
        <v/>
      </c>
      <c r="N2439" t="n">
        <v>97.92</v>
      </c>
      <c r="O2439" t="n">
        <v>32.87671232876712</v>
      </c>
    </row>
    <row r="2440" hidden="1">
      <c r="A2440" s="11" t="n">
        <v>46077</v>
      </c>
      <c r="B2440" t="inlineStr">
        <is>
          <t>Paulo Ricardo Santos</t>
        </is>
      </c>
      <c r="C2440" t="inlineStr">
        <is>
          <t>JR</t>
        </is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s="3" t="n">
        <v>0</v>
      </c>
      <c r="J2440" s="3" t="n">
        <v>0</v>
      </c>
      <c r="K2440" s="3" t="n">
        <v>0</v>
      </c>
      <c r="L2440" s="3">
        <f>IF(K2440&lt;-5,"CRÍTICO",IF(K2440&lt;0,"ATENÇÃO",IF(K2440&lt;=5,"BOM","EXCELENTE")))</f>
        <v/>
      </c>
      <c r="N2440" t="n">
        <v>0</v>
      </c>
      <c r="O2440" t="n">
        <v>0</v>
      </c>
    </row>
    <row r="2441" hidden="1">
      <c r="A2441" s="11" t="n">
        <v>46077</v>
      </c>
      <c r="B2441" t="inlineStr">
        <is>
          <t>Pedro Luiz Mota Sousa</t>
        </is>
      </c>
      <c r="C2441" t="inlineStr">
        <is>
          <t>JR</t>
        </is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s="3" t="n">
        <v>0</v>
      </c>
      <c r="J2441" s="3" t="n">
        <v>0</v>
      </c>
      <c r="K2441" s="3" t="n">
        <v>0</v>
      </c>
      <c r="L2441" s="3">
        <f>IF(K2441&lt;-5,"CRÍTICO",IF(K2441&lt;0,"ATENÇÃO",IF(K2441&lt;=5,"BOM","EXCELENTE")))</f>
        <v/>
      </c>
      <c r="N2441" t="n">
        <v>0</v>
      </c>
      <c r="O2441" t="n">
        <v>0</v>
      </c>
    </row>
    <row r="2442" hidden="1">
      <c r="A2442" s="11" t="n">
        <v>46077</v>
      </c>
      <c r="B2442" t="inlineStr">
        <is>
          <t>Quirino Diogo Leite Torres</t>
        </is>
      </c>
      <c r="C2442" t="inlineStr">
        <is>
          <t>Estágio</t>
        </is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s="3" t="n">
        <v>0</v>
      </c>
      <c r="J2442" s="3" t="n">
        <v>0</v>
      </c>
      <c r="K2442" s="3" t="n">
        <v>0</v>
      </c>
      <c r="L2442" s="3">
        <f>IF(K2442&lt;-5,"CRÍTICO",IF(K2442&lt;0,"ATENÇÃO",IF(K2442&lt;=5,"BOM","EXCELENTE")))</f>
        <v/>
      </c>
      <c r="N2442" t="n">
        <v>0</v>
      </c>
      <c r="O2442" t="n">
        <v>0</v>
      </c>
    </row>
    <row r="2443" hidden="1">
      <c r="A2443" s="11" t="n">
        <v>46077</v>
      </c>
      <c r="B2443" t="inlineStr">
        <is>
          <t>Raane Batista Matos</t>
        </is>
      </c>
      <c r="C2443" t="inlineStr">
        <is>
          <t>Técnico I</t>
        </is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s="3" t="n">
        <v>0</v>
      </c>
      <c r="J2443" s="3" t="n">
        <v>0</v>
      </c>
      <c r="K2443" s="3" t="n">
        <v>0</v>
      </c>
      <c r="L2443" s="3">
        <f>IF(K2443&lt;-5,"CRÍTICO",IF(K2443&lt;0,"ATENÇÃO",IF(K2443&lt;=5,"BOM","EXCELENTE")))</f>
        <v/>
      </c>
      <c r="N2443" t="n">
        <v>98.51000000000001</v>
      </c>
      <c r="O2443" t="n">
        <v>29.71014492753623</v>
      </c>
    </row>
    <row r="2444" hidden="1">
      <c r="A2444" s="11" t="n">
        <v>46077</v>
      </c>
      <c r="B2444" t="inlineStr">
        <is>
          <t>Rafael Gomes de Morais</t>
        </is>
      </c>
      <c r="C2444" t="inlineStr">
        <is>
          <t>Técnico III</t>
        </is>
      </c>
      <c r="D2444" t="n">
        <v>38</v>
      </c>
      <c r="E2444" t="n">
        <v>32</v>
      </c>
      <c r="F2444" t="n">
        <v>15.07</v>
      </c>
      <c r="G2444" t="n">
        <v>0</v>
      </c>
      <c r="H2444" t="n">
        <v>0</v>
      </c>
      <c r="I2444" s="3">
        <f>E2444+G2444+H2444</f>
        <v/>
      </c>
      <c r="J2444" s="3">
        <f>ROUND(MIN(IF(C2444="Técnico III",35,IF(C2444="Técnico II",28,IF(C2444="Técnico I",23,IF(C2444="JR",20,IF(C2444="Estágio",10,0))))),IF(C2444="Técnico III",SUMIFS($D:$D,$A:$A,$A2444,$B:$B,"&lt;&gt;Patrícia Karla de Sousa Araújo",$B:$B,"&lt;&gt;Lorena Dias de Araujo",$B:$B,"&lt;&gt;Lucas Luiz Romero")*(35/1083),IF(C2444="Técnico II",SUMIFS($D:$D,$A:$A,$A2444,$B:$B,"&lt;&gt;Patrícia Karla de Sousa Araújo",$B:$B,"&lt;&gt;Lorena Dias de Araujo",$B:$B,"&lt;&gt;Lucas Luiz Romero")*(28/1083),IF(C2444="Técnico I",SUMIFS($D:$D,$A:$A,$A2444,$B:$B,"&lt;&gt;Patrícia Karla de Sousa Araújo",$B:$B,"&lt;&gt;Lorena Dias de Araujo",$B:$B,"&lt;&gt;Lucas Luiz Romero")*(23/1083),IF(C2444="JR",SUMIFS($D:$D,$A:$A,$A2444,$B:$B,"&lt;&gt;Patrícia Karla de Sousa Araújo",$B:$B,"&lt;&gt;Lorena Dias de Araujo",$B:$B,"&lt;&gt;Lucas Luiz Romero")*(20/1083),IF(C2444="Estágio",SUMIFS($D:$D,$A:$A,$A2444,$B:$B,"&lt;&gt;Patrícia Karla de Sousa Araújo",$B:$B,"&lt;&gt;Lorena Dias de Araujo",$B:$B,"&lt;&gt;Lucas Luiz Romero")*(10/1083),0)))))),0)</f>
        <v/>
      </c>
      <c r="K2444" s="3">
        <f>I2444-J2444</f>
        <v/>
      </c>
      <c r="L2444" s="3">
        <f>IF(K2444&lt;-5,"CRÍTICO",IF(K2444&lt;0,"ATENÇÃO",IF(K2444&lt;=5,"BOM","EXCELENTE")))</f>
        <v/>
      </c>
      <c r="N2444" t="n">
        <v>98.81</v>
      </c>
      <c r="O2444" t="n">
        <v>30.71297989031079</v>
      </c>
    </row>
    <row r="2445" hidden="1">
      <c r="A2445" s="11" t="n">
        <v>46077</v>
      </c>
      <c r="B2445" t="inlineStr">
        <is>
          <t>Sara Maria Monteiro Lopes</t>
        </is>
      </c>
      <c r="C2445" t="inlineStr">
        <is>
          <t>Técnico I</t>
        </is>
      </c>
      <c r="D2445" t="n">
        <v>8</v>
      </c>
      <c r="E2445" t="n">
        <v>7</v>
      </c>
      <c r="F2445" t="n">
        <v>47.18</v>
      </c>
      <c r="G2445" t="n">
        <v>0</v>
      </c>
      <c r="H2445" t="n">
        <v>0</v>
      </c>
      <c r="I2445" s="3">
        <f>E2445+G2445+H2445</f>
        <v/>
      </c>
      <c r="J2445" s="3">
        <f>ROUND(MIN(IF(C2445="Técnico III",35,IF(C2445="Técnico II",28,IF(C2445="Técnico I",23,IF(C2445="JR",20,IF(C2445="Estágio",10,0))))),IF(C2445="Técnico III",SUMIFS($D:$D,$A:$A,$A2445,$B:$B,"&lt;&gt;Patrícia Karla de Sousa Araújo",$B:$B,"&lt;&gt;Lorena Dias de Araujo",$B:$B,"&lt;&gt;Lucas Luiz Romero")*(35/1083),IF(C2445="Técnico II",SUMIFS($D:$D,$A:$A,$A2445,$B:$B,"&lt;&gt;Patrícia Karla de Sousa Araújo",$B:$B,"&lt;&gt;Lorena Dias de Araujo",$B:$B,"&lt;&gt;Lucas Luiz Romero")*(28/1083),IF(C2445="Técnico I",SUMIFS($D:$D,$A:$A,$A2445,$B:$B,"&lt;&gt;Patrícia Karla de Sousa Araújo",$B:$B,"&lt;&gt;Lorena Dias de Araujo",$B:$B,"&lt;&gt;Lucas Luiz Romero")*(23/1083),IF(C2445="JR",SUMIFS($D:$D,$A:$A,$A2445,$B:$B,"&lt;&gt;Patrícia Karla de Sousa Araújo",$B:$B,"&lt;&gt;Lorena Dias de Araujo",$B:$B,"&lt;&gt;Lucas Luiz Romero")*(20/1083),IF(C2445="Estágio",SUMIFS($D:$D,$A:$A,$A2445,$B:$B,"&lt;&gt;Patrícia Karla de Sousa Araújo",$B:$B,"&lt;&gt;Lorena Dias de Araujo",$B:$B,"&lt;&gt;Lucas Luiz Romero")*(10/1083),0)))))),0)</f>
        <v/>
      </c>
      <c r="K2445" s="3">
        <f>I2445-J2445</f>
        <v/>
      </c>
      <c r="L2445" s="3">
        <f>IF(K2445&lt;-5,"CRÍTICO",IF(K2445&lt;0,"ATENÇÃO",IF(K2445&lt;=5,"BOM","EXCELENTE")))</f>
        <v/>
      </c>
      <c r="N2445" t="n">
        <v>98.48</v>
      </c>
      <c r="O2445" t="n">
        <v>29.35323383084577</v>
      </c>
    </row>
    <row r="2446" hidden="1">
      <c r="A2446" s="11" t="n">
        <v>46077</v>
      </c>
      <c r="B2446" t="inlineStr">
        <is>
          <t>Sarah Steffanie de Lima Borges</t>
        </is>
      </c>
      <c r="C2446" t="inlineStr">
        <is>
          <t>Técnico III</t>
        </is>
      </c>
      <c r="D2446" t="n">
        <v>21</v>
      </c>
      <c r="E2446" t="n">
        <v>20</v>
      </c>
      <c r="F2446" t="n">
        <v>28.58</v>
      </c>
      <c r="G2446" t="n">
        <v>0</v>
      </c>
      <c r="H2446" t="n">
        <v>0</v>
      </c>
      <c r="I2446" s="3">
        <f>E2446+G2446+H2446</f>
        <v/>
      </c>
      <c r="J2446" s="3">
        <f>ROUND(MIN(IF(C2446="Técnico III",35,IF(C2446="Técnico II",28,IF(C2446="Técnico I",23,IF(C2446="JR",20,IF(C2446="Estágio",10,0))))),IF(C2446="Técnico III",SUMIFS($D:$D,$A:$A,$A2446,$B:$B,"&lt;&gt;Patrícia Karla de Sousa Araújo",$B:$B,"&lt;&gt;Lorena Dias de Araujo",$B:$B,"&lt;&gt;Lucas Luiz Romero")*(35/1083),IF(C2446="Técnico II",SUMIFS($D:$D,$A:$A,$A2446,$B:$B,"&lt;&gt;Patrícia Karla de Sousa Araújo",$B:$B,"&lt;&gt;Lorena Dias de Araujo",$B:$B,"&lt;&gt;Lucas Luiz Romero")*(28/1083),IF(C2446="Técnico I",SUMIFS($D:$D,$A:$A,$A2446,$B:$B,"&lt;&gt;Patrícia Karla de Sousa Araújo",$B:$B,"&lt;&gt;Lorena Dias de Araujo",$B:$B,"&lt;&gt;Lucas Luiz Romero")*(23/1083),IF(C2446="JR",SUMIFS($D:$D,$A:$A,$A2446,$B:$B,"&lt;&gt;Patrícia Karla de Sousa Araújo",$B:$B,"&lt;&gt;Lorena Dias de Araujo",$B:$B,"&lt;&gt;Lucas Luiz Romero")*(20/1083),IF(C2446="Estágio",SUMIFS($D:$D,$A:$A,$A2446,$B:$B,"&lt;&gt;Patrícia Karla de Sousa Araújo",$B:$B,"&lt;&gt;Lorena Dias de Araujo",$B:$B,"&lt;&gt;Lucas Luiz Romero")*(10/1083),0)))))),0)</f>
        <v/>
      </c>
      <c r="K2446" s="3">
        <f>I2446-J2446</f>
        <v/>
      </c>
      <c r="L2446" s="3">
        <f>IF(K2446&lt;-5,"CRÍTICO",IF(K2446&lt;0,"ATENÇÃO",IF(K2446&lt;=5,"BOM","EXCELENTE")))</f>
        <v/>
      </c>
      <c r="N2446" t="n">
        <v>98.56</v>
      </c>
      <c r="O2446" t="n">
        <v>29.37365010799136</v>
      </c>
    </row>
    <row r="2447" hidden="1">
      <c r="A2447" s="11" t="n">
        <v>46078</v>
      </c>
      <c r="B2447" t="inlineStr">
        <is>
          <t>Alisson de Freitas Silva</t>
        </is>
      </c>
      <c r="C2447" t="inlineStr">
        <is>
          <t>Técnico II</t>
        </is>
      </c>
      <c r="D2447" t="n">
        <v>6</v>
      </c>
      <c r="E2447" t="n">
        <v>6</v>
      </c>
      <c r="F2447" t="n">
        <v>71.47</v>
      </c>
      <c r="G2447" t="n">
        <v>0</v>
      </c>
      <c r="H2447" t="n">
        <v>0</v>
      </c>
      <c r="I2447" s="3">
        <f>E2447+G2447+H2447</f>
        <v/>
      </c>
      <c r="J2447" s="3">
        <f>ROUND(MIN(IF(C2447="Técnico III",35,IF(C2447="Técnico II",28,IF(C2447="Técnico I",23,IF(C2447="JR",20,IF(C2447="Estágio",10,0))))),IF(C2447="Técnico III",SUMIFS($D:$D,$A:$A,$A2447,$B:$B,"&lt;&gt;Patrícia Karla de Sousa Araújo",$B:$B,"&lt;&gt;Lorena Dias de Araujo",$B:$B,"&lt;&gt;Lucas Luiz Romero")*(35/1083),IF(C2447="Técnico II",SUMIFS($D:$D,$A:$A,$A2447,$B:$B,"&lt;&gt;Patrícia Karla de Sousa Araújo",$B:$B,"&lt;&gt;Lorena Dias de Araujo",$B:$B,"&lt;&gt;Lucas Luiz Romero")*(28/1083),IF(C2447="Técnico I",SUMIFS($D:$D,$A:$A,$A2447,$B:$B,"&lt;&gt;Patrícia Karla de Sousa Araújo",$B:$B,"&lt;&gt;Lorena Dias de Araujo",$B:$B,"&lt;&gt;Lucas Luiz Romero")*(23/1083),IF(C2447="JR",SUMIFS($D:$D,$A:$A,$A2447,$B:$B,"&lt;&gt;Patrícia Karla de Sousa Araújo",$B:$B,"&lt;&gt;Lorena Dias de Araujo",$B:$B,"&lt;&gt;Lucas Luiz Romero")*(20/1083),IF(C2447="Estágio",SUMIFS($D:$D,$A:$A,$A2447,$B:$B,"&lt;&gt;Patrícia Karla de Sousa Araújo",$B:$B,"&lt;&gt;Lorena Dias de Araujo",$B:$B,"&lt;&gt;Lucas Luiz Romero")*(10/1083),0)))))),0)</f>
        <v/>
      </c>
      <c r="K2447" s="3">
        <f>I2447-J2447</f>
        <v/>
      </c>
      <c r="L2447" s="3">
        <f>IF(K2447&lt;-5,"CRÍTICO",IF(K2447&lt;0,"ATENÇÃO",IF(K2447&lt;=5,"BOM","EXCELENTE")))</f>
        <v/>
      </c>
      <c r="N2447" t="n">
        <v>98.31999999999999</v>
      </c>
      <c r="O2447" t="n">
        <v>30.3030303030303</v>
      </c>
    </row>
    <row r="2448" hidden="1">
      <c r="A2448" s="11" t="n">
        <v>46078</v>
      </c>
      <c r="B2448" t="inlineStr">
        <is>
          <t>Amanda Moura Ferreira</t>
        </is>
      </c>
      <c r="C2448" t="inlineStr">
        <is>
          <t>Técnico III</t>
        </is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s="3" t="n">
        <v>0</v>
      </c>
      <c r="J2448" s="3" t="n">
        <v>0</v>
      </c>
      <c r="K2448" s="3" t="n">
        <v>0</v>
      </c>
      <c r="L2448" s="3">
        <f>IF(K2448&lt;-5,"CRÍTICO",IF(K2448&lt;0,"ATENÇÃO",IF(K2448&lt;=5,"BOM","EXCELENTE")))</f>
        <v/>
      </c>
      <c r="N2448" t="n">
        <v>98.68000000000001</v>
      </c>
      <c r="O2448" t="n">
        <v>26.21951219512195</v>
      </c>
    </row>
    <row r="2449" hidden="1">
      <c r="A2449" s="11" t="n">
        <v>46078</v>
      </c>
      <c r="B2449" t="inlineStr">
        <is>
          <t>Ana Karollyne Souza Faria</t>
        </is>
      </c>
      <c r="C2449" t="inlineStr">
        <is>
          <t>Técnico I</t>
        </is>
      </c>
      <c r="D2449" t="n">
        <v>29</v>
      </c>
      <c r="E2449" t="n">
        <v>27</v>
      </c>
      <c r="F2449" t="n">
        <v>27.03</v>
      </c>
      <c r="G2449" t="n">
        <v>0</v>
      </c>
      <c r="H2449" t="n">
        <v>0</v>
      </c>
      <c r="I2449" s="3">
        <f>E2449+G2449+H2449</f>
        <v/>
      </c>
      <c r="J2449" s="3">
        <f>ROUND(MIN(IF(C2449="Técnico III",35,IF(C2449="Técnico II",28,IF(C2449="Técnico I",23,IF(C2449="JR",20,IF(C2449="Estágio",10,0))))),IF(C2449="Técnico III",SUMIFS($D:$D,$A:$A,$A2449,$B:$B,"&lt;&gt;Patrícia Karla de Sousa Araújo",$B:$B,"&lt;&gt;Lorena Dias de Araujo",$B:$B,"&lt;&gt;Lucas Luiz Romero")*(35/1083),IF(C2449="Técnico II",SUMIFS($D:$D,$A:$A,$A2449,$B:$B,"&lt;&gt;Patrícia Karla de Sousa Araújo",$B:$B,"&lt;&gt;Lorena Dias de Araujo",$B:$B,"&lt;&gt;Lucas Luiz Romero")*(28/1083),IF(C2449="Técnico I",SUMIFS($D:$D,$A:$A,$A2449,$B:$B,"&lt;&gt;Patrícia Karla de Sousa Araújo",$B:$B,"&lt;&gt;Lorena Dias de Araujo",$B:$B,"&lt;&gt;Lucas Luiz Romero")*(23/1083),IF(C2449="JR",SUMIFS($D:$D,$A:$A,$A2449,$B:$B,"&lt;&gt;Patrícia Karla de Sousa Araújo",$B:$B,"&lt;&gt;Lorena Dias de Araujo",$B:$B,"&lt;&gt;Lucas Luiz Romero")*(20/1083),IF(C2449="Estágio",SUMIFS($D:$D,$A:$A,$A2449,$B:$B,"&lt;&gt;Patrícia Karla de Sousa Araújo",$B:$B,"&lt;&gt;Lorena Dias de Araujo",$B:$B,"&lt;&gt;Lucas Luiz Romero")*(10/1083),0)))))),0)</f>
        <v/>
      </c>
      <c r="K2449" s="3">
        <f>I2449-J2449</f>
        <v/>
      </c>
      <c r="L2449" s="3">
        <f>IF(K2449&lt;-5,"CRÍTICO",IF(K2449&lt;0,"ATENÇÃO",IF(K2449&lt;=5,"BOM","EXCELENTE")))</f>
        <v/>
      </c>
      <c r="N2449" t="n">
        <v>100</v>
      </c>
      <c r="O2449" t="n">
        <v>31.74224343675418</v>
      </c>
    </row>
    <row r="2450" hidden="1">
      <c r="A2450" s="11" t="n">
        <v>46078</v>
      </c>
      <c r="B2450" t="inlineStr">
        <is>
          <t>Ana Paula Da Luz Silva Aleixo</t>
        </is>
      </c>
      <c r="C2450" t="inlineStr">
        <is>
          <t>Técnico III</t>
        </is>
      </c>
      <c r="D2450" t="n">
        <v>18</v>
      </c>
      <c r="E2450" t="n">
        <v>17</v>
      </c>
      <c r="F2450" t="n">
        <v>40.31</v>
      </c>
      <c r="G2450" t="n">
        <v>0</v>
      </c>
      <c r="H2450" t="n">
        <v>0</v>
      </c>
      <c r="I2450" s="3">
        <f>E2450+G2450+H2450</f>
        <v/>
      </c>
      <c r="J2450" s="3">
        <f>ROUND(MIN(IF(C2450="Técnico III",35,IF(C2450="Técnico II",28,IF(C2450="Técnico I",23,IF(C2450="JR",20,IF(C2450="Estágio",10,0))))),IF(C2450="Técnico III",SUMIFS($D:$D,$A:$A,$A2450,$B:$B,"&lt;&gt;Patrícia Karla de Sousa Araújo",$B:$B,"&lt;&gt;Lorena Dias de Araujo",$B:$B,"&lt;&gt;Lucas Luiz Romero")*(35/1083),IF(C2450="Técnico II",SUMIFS($D:$D,$A:$A,$A2450,$B:$B,"&lt;&gt;Patrícia Karla de Sousa Araújo",$B:$B,"&lt;&gt;Lorena Dias de Araujo",$B:$B,"&lt;&gt;Lucas Luiz Romero")*(28/1083),IF(C2450="Técnico I",SUMIFS($D:$D,$A:$A,$A2450,$B:$B,"&lt;&gt;Patrícia Karla de Sousa Araújo",$B:$B,"&lt;&gt;Lorena Dias de Araujo",$B:$B,"&lt;&gt;Lucas Luiz Romero")*(23/1083),IF(C2450="JR",SUMIFS($D:$D,$A:$A,$A2450,$B:$B,"&lt;&gt;Patrícia Karla de Sousa Araújo",$B:$B,"&lt;&gt;Lorena Dias de Araujo",$B:$B,"&lt;&gt;Lucas Luiz Romero")*(20/1083),IF(C2450="Estágio",SUMIFS($D:$D,$A:$A,$A2450,$B:$B,"&lt;&gt;Patrícia Karla de Sousa Araújo",$B:$B,"&lt;&gt;Lorena Dias de Araujo",$B:$B,"&lt;&gt;Lucas Luiz Romero")*(10/1083),0)))))),0)</f>
        <v/>
      </c>
      <c r="K2450" s="3">
        <f>I2450-J2450</f>
        <v/>
      </c>
      <c r="L2450" s="3">
        <f>IF(K2450&lt;-5,"CRÍTICO",IF(K2450&lt;0,"ATENÇÃO",IF(K2450&lt;=5,"BOM","EXCELENTE")))</f>
        <v/>
      </c>
      <c r="N2450" t="n">
        <v>98.25</v>
      </c>
      <c r="O2450" t="n">
        <v>25.83518930957684</v>
      </c>
    </row>
    <row r="2451" hidden="1">
      <c r="A2451" s="11" t="n">
        <v>46078</v>
      </c>
      <c r="B2451" t="inlineStr">
        <is>
          <t>Anna Luiza Rezende Tavares</t>
        </is>
      </c>
      <c r="C2451" t="inlineStr">
        <is>
          <t>Estágio</t>
        </is>
      </c>
      <c r="D2451" t="n">
        <v>13</v>
      </c>
      <c r="E2451" t="n">
        <v>12</v>
      </c>
      <c r="F2451" t="n">
        <v>43.59</v>
      </c>
      <c r="G2451" t="n">
        <v>0</v>
      </c>
      <c r="H2451" t="n">
        <v>0</v>
      </c>
      <c r="I2451" s="3">
        <f>E2451+G2451+H2451</f>
        <v/>
      </c>
      <c r="J2451" s="3">
        <f>ROUND(MIN(IF(C2451="Técnico III",35,IF(C2451="Técnico II",28,IF(C2451="Técnico I",23,IF(C2451="JR",20,IF(C2451="Estágio",10,0))))),IF(C2451="Técnico III",SUMIFS($D:$D,$A:$A,$A2451,$B:$B,"&lt;&gt;Patrícia Karla de Sousa Araújo",$B:$B,"&lt;&gt;Lorena Dias de Araujo",$B:$B,"&lt;&gt;Lucas Luiz Romero")*(35/1083),IF(C2451="Técnico II",SUMIFS($D:$D,$A:$A,$A2451,$B:$B,"&lt;&gt;Patrícia Karla de Sousa Araújo",$B:$B,"&lt;&gt;Lorena Dias de Araujo",$B:$B,"&lt;&gt;Lucas Luiz Romero")*(28/1083),IF(C2451="Técnico I",SUMIFS($D:$D,$A:$A,$A2451,$B:$B,"&lt;&gt;Patrícia Karla de Sousa Araújo",$B:$B,"&lt;&gt;Lorena Dias de Araujo",$B:$B,"&lt;&gt;Lucas Luiz Romero")*(23/1083),IF(C2451="JR",SUMIFS($D:$D,$A:$A,$A2451,$B:$B,"&lt;&gt;Patrícia Karla de Sousa Araújo",$B:$B,"&lt;&gt;Lorena Dias de Araujo",$B:$B,"&lt;&gt;Lucas Luiz Romero")*(20/1083),IF(C2451="Estágio",SUMIFS($D:$D,$A:$A,$A2451,$B:$B,"&lt;&gt;Patrícia Karla de Sousa Araújo",$B:$B,"&lt;&gt;Lorena Dias de Araujo",$B:$B,"&lt;&gt;Lucas Luiz Romero")*(10/1083),0)))))),0)</f>
        <v/>
      </c>
      <c r="K2451" s="3">
        <f>I2451-J2451</f>
        <v/>
      </c>
      <c r="L2451" s="3">
        <f>IF(K2451&lt;-5,"CRÍTICO",IF(K2451&lt;0,"ATENÇÃO",IF(K2451&lt;=5,"BOM","EXCELENTE")))</f>
        <v/>
      </c>
      <c r="N2451" t="n">
        <v>97.5</v>
      </c>
      <c r="O2451" t="n">
        <v>30.07518796992481</v>
      </c>
    </row>
    <row r="2452" hidden="1">
      <c r="A2452" s="11" t="n">
        <v>46078</v>
      </c>
      <c r="B2452" t="inlineStr">
        <is>
          <t>Brenda de Menezes Silva</t>
        </is>
      </c>
      <c r="C2452" t="inlineStr">
        <is>
          <t>Técnico II</t>
        </is>
      </c>
      <c r="D2452" t="n">
        <v>34</v>
      </c>
      <c r="E2452" t="n">
        <v>29</v>
      </c>
      <c r="F2452" t="n">
        <v>19.19</v>
      </c>
      <c r="G2452" t="n">
        <v>0</v>
      </c>
      <c r="H2452" t="n">
        <v>0</v>
      </c>
      <c r="I2452" s="3">
        <f>E2452+G2452+H2452</f>
        <v/>
      </c>
      <c r="J2452" s="3">
        <f>ROUND(MIN(IF(C2452="Técnico III",35,IF(C2452="Técnico II",28,IF(C2452="Técnico I",23,IF(C2452="JR",20,IF(C2452="Estágio",10,0))))),IF(C2452="Técnico III",SUMIFS($D:$D,$A:$A,$A2452,$B:$B,"&lt;&gt;Patrícia Karla de Sousa Araújo",$B:$B,"&lt;&gt;Lorena Dias de Araujo",$B:$B,"&lt;&gt;Lucas Luiz Romero")*(35/1083),IF(C2452="Técnico II",SUMIFS($D:$D,$A:$A,$A2452,$B:$B,"&lt;&gt;Patrícia Karla de Sousa Araújo",$B:$B,"&lt;&gt;Lorena Dias de Araujo",$B:$B,"&lt;&gt;Lucas Luiz Romero")*(28/1083),IF(C2452="Técnico I",SUMIFS($D:$D,$A:$A,$A2452,$B:$B,"&lt;&gt;Patrícia Karla de Sousa Araújo",$B:$B,"&lt;&gt;Lorena Dias de Araujo",$B:$B,"&lt;&gt;Lucas Luiz Romero")*(23/1083),IF(C2452="JR",SUMIFS($D:$D,$A:$A,$A2452,$B:$B,"&lt;&gt;Patrícia Karla de Sousa Araújo",$B:$B,"&lt;&gt;Lorena Dias de Araujo",$B:$B,"&lt;&gt;Lucas Luiz Romero")*(20/1083),IF(C2452="Estágio",SUMIFS($D:$D,$A:$A,$A2452,$B:$B,"&lt;&gt;Patrícia Karla de Sousa Araújo",$B:$B,"&lt;&gt;Lorena Dias de Araujo",$B:$B,"&lt;&gt;Lucas Luiz Romero")*(10/1083),0)))))),0)</f>
        <v/>
      </c>
      <c r="K2452" s="3">
        <f>I2452-J2452</f>
        <v/>
      </c>
      <c r="L2452" s="3">
        <f>IF(K2452&lt;-5,"CRÍTICO",IF(K2452&lt;0,"ATENÇÃO",IF(K2452&lt;=5,"BOM","EXCELENTE")))</f>
        <v/>
      </c>
      <c r="N2452" t="n">
        <v>100</v>
      </c>
      <c r="O2452" t="n">
        <v>29.71311475409836</v>
      </c>
    </row>
    <row r="2453" hidden="1">
      <c r="A2453" s="11" t="n">
        <v>46078</v>
      </c>
      <c r="B2453" t="inlineStr">
        <is>
          <t>Carlos Mateus Cassimiro Nunes</t>
        </is>
      </c>
      <c r="C2453" t="inlineStr">
        <is>
          <t>Técnico II</t>
        </is>
      </c>
      <c r="D2453" t="n">
        <v>10</v>
      </c>
      <c r="E2453" t="n">
        <v>10</v>
      </c>
      <c r="F2453" t="n">
        <v>70.08</v>
      </c>
      <c r="G2453" t="n">
        <v>0</v>
      </c>
      <c r="H2453" t="n">
        <v>0</v>
      </c>
      <c r="I2453" s="3">
        <f>E2453+G2453+H2453</f>
        <v/>
      </c>
      <c r="J2453" s="3">
        <f>ROUND(MIN(IF(C2453="Técnico III",35,IF(C2453="Técnico II",28,IF(C2453="Técnico I",23,IF(C2453="JR",20,IF(C2453="Estágio",10,0))))),IF(C2453="Técnico III",SUMIFS($D:$D,$A:$A,$A2453,$B:$B,"&lt;&gt;Patrícia Karla de Sousa Araújo",$B:$B,"&lt;&gt;Lorena Dias de Araujo",$B:$B,"&lt;&gt;Lucas Luiz Romero")*(35/1083),IF(C2453="Técnico II",SUMIFS($D:$D,$A:$A,$A2453,$B:$B,"&lt;&gt;Patrícia Karla de Sousa Araújo",$B:$B,"&lt;&gt;Lorena Dias de Araujo",$B:$B,"&lt;&gt;Lucas Luiz Romero")*(28/1083),IF(C2453="Técnico I",SUMIFS($D:$D,$A:$A,$A2453,$B:$B,"&lt;&gt;Patrícia Karla de Sousa Araújo",$B:$B,"&lt;&gt;Lorena Dias de Araujo",$B:$B,"&lt;&gt;Lucas Luiz Romero")*(23/1083),IF(C2453="JR",SUMIFS($D:$D,$A:$A,$A2453,$B:$B,"&lt;&gt;Patrícia Karla de Sousa Araújo",$B:$B,"&lt;&gt;Lorena Dias de Araujo",$B:$B,"&lt;&gt;Lucas Luiz Romero")*(20/1083),IF(C2453="Estágio",SUMIFS($D:$D,$A:$A,$A2453,$B:$B,"&lt;&gt;Patrícia Karla de Sousa Araújo",$B:$B,"&lt;&gt;Lorena Dias de Araujo",$B:$B,"&lt;&gt;Lucas Luiz Romero")*(10/1083),0)))))),0)</f>
        <v/>
      </c>
      <c r="K2453" s="3">
        <f>I2453-J2453</f>
        <v/>
      </c>
      <c r="L2453" s="3">
        <f>IF(K2453&lt;-5,"CRÍTICO",IF(K2453&lt;0,"ATENÇÃO",IF(K2453&lt;=5,"BOM","EXCELENTE")))</f>
        <v/>
      </c>
      <c r="N2453" t="n">
        <v>99.22</v>
      </c>
      <c r="O2453" t="n">
        <v>35.25641025641026</v>
      </c>
    </row>
    <row r="2454" hidden="1">
      <c r="A2454" s="11" t="n">
        <v>46078</v>
      </c>
      <c r="B2454" t="inlineStr">
        <is>
          <t>Claudio de Sousa Velasco Filho</t>
        </is>
      </c>
      <c r="C2454" t="inlineStr">
        <is>
          <t>Estágio</t>
        </is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s="3" t="n">
        <v>0</v>
      </c>
      <c r="J2454" s="3" t="n">
        <v>0</v>
      </c>
      <c r="K2454" s="3" t="n">
        <v>0</v>
      </c>
      <c r="L2454" s="3">
        <f>IF(K2454&lt;-5,"CRÍTICO",IF(K2454&lt;0,"ATENÇÃO",IF(K2454&lt;=5,"BOM","EXCELENTE")))</f>
        <v/>
      </c>
      <c r="N2454" t="n">
        <v>0</v>
      </c>
      <c r="O2454" t="n">
        <v>0</v>
      </c>
    </row>
    <row r="2455" hidden="1">
      <c r="A2455" s="11" t="n">
        <v>46078</v>
      </c>
      <c r="B2455" t="inlineStr">
        <is>
          <t>Clessiane Pereira dos Santos</t>
        </is>
      </c>
      <c r="C2455" t="inlineStr">
        <is>
          <t>Técnico I</t>
        </is>
      </c>
      <c r="D2455" t="n">
        <v>16</v>
      </c>
      <c r="E2455" t="n">
        <v>14</v>
      </c>
      <c r="F2455" t="n">
        <v>29.15</v>
      </c>
      <c r="G2455" t="n">
        <v>0</v>
      </c>
      <c r="H2455" t="n">
        <v>0</v>
      </c>
      <c r="I2455" s="3">
        <f>E2455+G2455+H2455</f>
        <v/>
      </c>
      <c r="J2455" s="3">
        <f>ROUND(MIN(IF(C2455="Técnico III",35,IF(C2455="Técnico II",28,IF(C2455="Técnico I",23,IF(C2455="JR",20,IF(C2455="Estágio",10,0))))),IF(C2455="Técnico III",SUMIFS($D:$D,$A:$A,$A2455,$B:$B,"&lt;&gt;Patrícia Karla de Sousa Araújo",$B:$B,"&lt;&gt;Lorena Dias de Araujo",$B:$B,"&lt;&gt;Lucas Luiz Romero")*(35/1083),IF(C2455="Técnico II",SUMIFS($D:$D,$A:$A,$A2455,$B:$B,"&lt;&gt;Patrícia Karla de Sousa Araújo",$B:$B,"&lt;&gt;Lorena Dias de Araujo",$B:$B,"&lt;&gt;Lucas Luiz Romero")*(28/1083),IF(C2455="Técnico I",SUMIFS($D:$D,$A:$A,$A2455,$B:$B,"&lt;&gt;Patrícia Karla de Sousa Araújo",$B:$B,"&lt;&gt;Lorena Dias de Araujo",$B:$B,"&lt;&gt;Lucas Luiz Romero")*(23/1083),IF(C2455="JR",SUMIFS($D:$D,$A:$A,$A2455,$B:$B,"&lt;&gt;Patrícia Karla de Sousa Araújo",$B:$B,"&lt;&gt;Lorena Dias de Araujo",$B:$B,"&lt;&gt;Lucas Luiz Romero")*(20/1083),IF(C2455="Estágio",SUMIFS($D:$D,$A:$A,$A2455,$B:$B,"&lt;&gt;Patrícia Karla de Sousa Araújo",$B:$B,"&lt;&gt;Lorena Dias de Araujo",$B:$B,"&lt;&gt;Lucas Luiz Romero")*(10/1083),0)))))),0)</f>
        <v/>
      </c>
      <c r="K2455" s="3">
        <f>I2455-J2455</f>
        <v/>
      </c>
      <c r="L2455" s="3">
        <f>IF(K2455&lt;-5,"CRÍTICO",IF(K2455&lt;0,"ATENÇÃO",IF(K2455&lt;=5,"BOM","EXCELENTE")))</f>
        <v/>
      </c>
      <c r="N2455" t="n">
        <v>98.75</v>
      </c>
      <c r="O2455" t="n">
        <v>24.32432432432433</v>
      </c>
    </row>
    <row r="2456" hidden="1">
      <c r="A2456" s="11" t="n">
        <v>46078</v>
      </c>
      <c r="B2456" t="inlineStr">
        <is>
          <t>Cristiane Ramos da Silva Rocha</t>
        </is>
      </c>
      <c r="C2456" t="inlineStr">
        <is>
          <t>Técnico III</t>
        </is>
      </c>
      <c r="D2456" t="n">
        <v>23</v>
      </c>
      <c r="E2456" t="n">
        <v>21</v>
      </c>
      <c r="F2456" t="n">
        <v>26.51</v>
      </c>
      <c r="G2456" t="n">
        <v>0</v>
      </c>
      <c r="H2456" t="n">
        <v>0</v>
      </c>
      <c r="I2456" s="3">
        <f>E2456+G2456+H2456</f>
        <v/>
      </c>
      <c r="J2456" s="3">
        <f>ROUND(MIN(IF(C2456="Técnico III",35,IF(C2456="Técnico II",28,IF(C2456="Técnico I",23,IF(C2456="JR",20,IF(C2456="Estágio",10,0))))),IF(C2456="Técnico III",SUMIFS($D:$D,$A:$A,$A2456,$B:$B,"&lt;&gt;Patrícia Karla de Sousa Araújo",$B:$B,"&lt;&gt;Lorena Dias de Araujo",$B:$B,"&lt;&gt;Lucas Luiz Romero")*(35/1083),IF(C2456="Técnico II",SUMIFS($D:$D,$A:$A,$A2456,$B:$B,"&lt;&gt;Patrícia Karla de Sousa Araújo",$B:$B,"&lt;&gt;Lorena Dias de Araujo",$B:$B,"&lt;&gt;Lucas Luiz Romero")*(28/1083),IF(C2456="Técnico I",SUMIFS($D:$D,$A:$A,$A2456,$B:$B,"&lt;&gt;Patrícia Karla de Sousa Araújo",$B:$B,"&lt;&gt;Lorena Dias de Araujo",$B:$B,"&lt;&gt;Lucas Luiz Romero")*(23/1083),IF(C2456="JR",SUMIFS($D:$D,$A:$A,$A2456,$B:$B,"&lt;&gt;Patrícia Karla de Sousa Araújo",$B:$B,"&lt;&gt;Lorena Dias de Araujo",$B:$B,"&lt;&gt;Lucas Luiz Romero")*(20/1083),IF(C2456="Estágio",SUMIFS($D:$D,$A:$A,$A2456,$B:$B,"&lt;&gt;Patrícia Karla de Sousa Araújo",$B:$B,"&lt;&gt;Lorena Dias de Araujo",$B:$B,"&lt;&gt;Lucas Luiz Romero")*(10/1083),0)))))),0)</f>
        <v/>
      </c>
      <c r="K2456" s="3">
        <f>I2456-J2456</f>
        <v/>
      </c>
      <c r="L2456" s="3">
        <f>IF(K2456&lt;-5,"CRÍTICO",IF(K2456&lt;0,"ATENÇÃO",IF(K2456&lt;=5,"BOM","EXCELENTE")))</f>
        <v/>
      </c>
      <c r="N2456" t="n">
        <v>93.48</v>
      </c>
      <c r="O2456" t="n">
        <v>31.33462282398452</v>
      </c>
    </row>
    <row r="2457" hidden="1">
      <c r="A2457" s="11" t="n">
        <v>46078</v>
      </c>
      <c r="B2457" t="inlineStr">
        <is>
          <t>Damyllis Lorraine de Oliveira Gonçalves</t>
        </is>
      </c>
      <c r="C2457" t="inlineStr">
        <is>
          <t>Técnico II</t>
        </is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s="3" t="n">
        <v>0</v>
      </c>
      <c r="J2457" s="3" t="n">
        <v>0</v>
      </c>
      <c r="K2457" s="3" t="n">
        <v>0</v>
      </c>
      <c r="L2457" s="3">
        <f>IF(K2457&lt;-5,"CRÍTICO",IF(K2457&lt;0,"ATENÇÃO",IF(K2457&lt;=5,"BOM","EXCELENTE")))</f>
        <v/>
      </c>
      <c r="N2457" t="n">
        <v>99.16</v>
      </c>
      <c r="O2457" t="n">
        <v>26.13908872901678</v>
      </c>
    </row>
    <row r="2458" hidden="1">
      <c r="A2458" s="11" t="n">
        <v>46078</v>
      </c>
      <c r="B2458" t="inlineStr">
        <is>
          <t>Daniel Gomes da Silva</t>
        </is>
      </c>
      <c r="C2458" t="inlineStr">
        <is>
          <t>Técnico I</t>
        </is>
      </c>
      <c r="D2458" t="n">
        <v>14</v>
      </c>
      <c r="E2458" t="n">
        <v>14</v>
      </c>
      <c r="F2458" t="n">
        <v>47.07</v>
      </c>
      <c r="G2458" t="n">
        <v>0</v>
      </c>
      <c r="H2458" t="n">
        <v>0</v>
      </c>
      <c r="I2458" s="3">
        <f>E2458+G2458+H2458</f>
        <v/>
      </c>
      <c r="J2458" s="3">
        <f>ROUND(MIN(IF(C2458="Técnico III",35,IF(C2458="Técnico II",28,IF(C2458="Técnico I",23,IF(C2458="JR",20,IF(C2458="Estágio",10,0))))),IF(C2458="Técnico III",SUMIFS($D:$D,$A:$A,$A2458,$B:$B,"&lt;&gt;Patrícia Karla de Sousa Araújo",$B:$B,"&lt;&gt;Lorena Dias de Araujo",$B:$B,"&lt;&gt;Lucas Luiz Romero")*(35/1083),IF(C2458="Técnico II",SUMIFS($D:$D,$A:$A,$A2458,$B:$B,"&lt;&gt;Patrícia Karla de Sousa Araújo",$B:$B,"&lt;&gt;Lorena Dias de Araujo",$B:$B,"&lt;&gt;Lucas Luiz Romero")*(28/1083),IF(C2458="Técnico I",SUMIFS($D:$D,$A:$A,$A2458,$B:$B,"&lt;&gt;Patrícia Karla de Sousa Araújo",$B:$B,"&lt;&gt;Lorena Dias de Araujo",$B:$B,"&lt;&gt;Lucas Luiz Romero")*(23/1083),IF(C2458="JR",SUMIFS($D:$D,$A:$A,$A2458,$B:$B,"&lt;&gt;Patrícia Karla de Sousa Araújo",$B:$B,"&lt;&gt;Lorena Dias de Araujo",$B:$B,"&lt;&gt;Lucas Luiz Romero")*(20/1083),IF(C2458="Estágio",SUMIFS($D:$D,$A:$A,$A2458,$B:$B,"&lt;&gt;Patrícia Karla de Sousa Araújo",$B:$B,"&lt;&gt;Lorena Dias de Araujo",$B:$B,"&lt;&gt;Lucas Luiz Romero")*(10/1083),0)))))),0)</f>
        <v/>
      </c>
      <c r="K2458" s="3">
        <f>I2458-J2458</f>
        <v/>
      </c>
      <c r="L2458" s="3">
        <f>IF(K2458&lt;-5,"CRÍTICO",IF(K2458&lt;0,"ATENÇÃO",IF(K2458&lt;=5,"BOM","EXCELENTE")))</f>
        <v/>
      </c>
      <c r="N2458" t="n">
        <v>100</v>
      </c>
      <c r="O2458" t="n">
        <v>31.08974358974359</v>
      </c>
    </row>
    <row r="2459" hidden="1">
      <c r="A2459" s="11" t="n">
        <v>46078</v>
      </c>
      <c r="B2459" t="inlineStr">
        <is>
          <t>Davylla Rodrigues Freitas Silva</t>
        </is>
      </c>
      <c r="C2459" t="inlineStr">
        <is>
          <t>Técnico III</t>
        </is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s="3" t="n">
        <v>0</v>
      </c>
      <c r="J2459" s="3" t="n">
        <v>0</v>
      </c>
      <c r="K2459" s="3" t="n">
        <v>0</v>
      </c>
      <c r="L2459" s="3">
        <f>IF(K2459&lt;-5,"CRÍTICO",IF(K2459&lt;0,"ATENÇÃO",IF(K2459&lt;=5,"BOM","EXCELENTE")))</f>
        <v/>
      </c>
      <c r="N2459" t="n">
        <v>98.11</v>
      </c>
      <c r="O2459" t="n">
        <v>33.03370786516854</v>
      </c>
    </row>
    <row r="2460" hidden="1">
      <c r="A2460" s="11" t="n">
        <v>46078</v>
      </c>
      <c r="B2460" t="inlineStr">
        <is>
          <t>Emilly Caylane Costa</t>
        </is>
      </c>
      <c r="C2460" t="inlineStr">
        <is>
          <t>Estágio</t>
        </is>
      </c>
      <c r="D2460" t="n">
        <v>11</v>
      </c>
      <c r="E2460" t="n">
        <v>10</v>
      </c>
      <c r="F2460" t="n">
        <v>35.19</v>
      </c>
      <c r="G2460" t="n">
        <v>0</v>
      </c>
      <c r="H2460" t="n">
        <v>0</v>
      </c>
      <c r="I2460" s="3">
        <f>E2460+G2460+H2460</f>
        <v/>
      </c>
      <c r="J2460" s="3">
        <f>ROUND(MIN(IF(C2460="Técnico III",35,IF(C2460="Técnico II",28,IF(C2460="Técnico I",23,IF(C2460="JR",20,IF(C2460="Estágio",10,0))))),IF(C2460="Técnico III",SUMIFS($D:$D,$A:$A,$A2460,$B:$B,"&lt;&gt;Patrícia Karla de Sousa Araújo",$B:$B,"&lt;&gt;Lorena Dias de Araujo",$B:$B,"&lt;&gt;Lucas Luiz Romero")*(35/1083),IF(C2460="Técnico II",SUMIFS($D:$D,$A:$A,$A2460,$B:$B,"&lt;&gt;Patrícia Karla de Sousa Araújo",$B:$B,"&lt;&gt;Lorena Dias de Araujo",$B:$B,"&lt;&gt;Lucas Luiz Romero")*(28/1083),IF(C2460="Técnico I",SUMIFS($D:$D,$A:$A,$A2460,$B:$B,"&lt;&gt;Patrícia Karla de Sousa Araújo",$B:$B,"&lt;&gt;Lorena Dias de Araujo",$B:$B,"&lt;&gt;Lucas Luiz Romero")*(23/1083),IF(C2460="JR",SUMIFS($D:$D,$A:$A,$A2460,$B:$B,"&lt;&gt;Patrícia Karla de Sousa Araújo",$B:$B,"&lt;&gt;Lorena Dias de Araujo",$B:$B,"&lt;&gt;Lucas Luiz Romero")*(20/1083),IF(C2460="Estágio",SUMIFS($D:$D,$A:$A,$A2460,$B:$B,"&lt;&gt;Patrícia Karla de Sousa Araújo",$B:$B,"&lt;&gt;Lorena Dias de Araujo",$B:$B,"&lt;&gt;Lucas Luiz Romero")*(10/1083),0)))))),0)</f>
        <v/>
      </c>
      <c r="K2460" s="3">
        <f>I2460-J2460</f>
        <v/>
      </c>
      <c r="L2460" s="3">
        <f>IF(K2460&lt;-5,"CRÍTICO",IF(K2460&lt;0,"ATENÇÃO",IF(K2460&lt;=5,"BOM","EXCELENTE")))</f>
        <v/>
      </c>
      <c r="N2460" t="n">
        <v>78.95</v>
      </c>
      <c r="O2460" t="n">
        <v>38.98305084745763</v>
      </c>
    </row>
    <row r="2461" hidden="1">
      <c r="A2461" s="11" t="n">
        <v>46078</v>
      </c>
      <c r="B2461" t="inlineStr">
        <is>
          <t>Emilly Kamilly Medeiros Miranda</t>
        </is>
      </c>
      <c r="C2461" t="inlineStr">
        <is>
          <t>Técnico II</t>
        </is>
      </c>
      <c r="D2461" t="n">
        <v>18</v>
      </c>
      <c r="E2461" t="n">
        <v>17</v>
      </c>
      <c r="F2461" t="n">
        <v>20.52</v>
      </c>
      <c r="G2461" t="n">
        <v>0</v>
      </c>
      <c r="H2461" t="n">
        <v>0</v>
      </c>
      <c r="I2461" s="3">
        <f>E2461+G2461+H2461</f>
        <v/>
      </c>
      <c r="J2461" s="3">
        <f>ROUND(MIN(IF(C2461="Técnico III",35,IF(C2461="Técnico II",28,IF(C2461="Técnico I",23,IF(C2461="JR",20,IF(C2461="Estágio",10,0))))),IF(C2461="Técnico III",SUMIFS($D:$D,$A:$A,$A2461,$B:$B,"&lt;&gt;Patrícia Karla de Sousa Araújo",$B:$B,"&lt;&gt;Lorena Dias de Araujo",$B:$B,"&lt;&gt;Lucas Luiz Romero")*(35/1083),IF(C2461="Técnico II",SUMIFS($D:$D,$A:$A,$A2461,$B:$B,"&lt;&gt;Patrícia Karla de Sousa Araújo",$B:$B,"&lt;&gt;Lorena Dias de Araujo",$B:$B,"&lt;&gt;Lucas Luiz Romero")*(28/1083),IF(C2461="Técnico I",SUMIFS($D:$D,$A:$A,$A2461,$B:$B,"&lt;&gt;Patrícia Karla de Sousa Araújo",$B:$B,"&lt;&gt;Lorena Dias de Araujo",$B:$B,"&lt;&gt;Lucas Luiz Romero")*(23/1083),IF(C2461="JR",SUMIFS($D:$D,$A:$A,$A2461,$B:$B,"&lt;&gt;Patrícia Karla de Sousa Araújo",$B:$B,"&lt;&gt;Lorena Dias de Araujo",$B:$B,"&lt;&gt;Lucas Luiz Romero")*(20/1083),IF(C2461="Estágio",SUMIFS($D:$D,$A:$A,$A2461,$B:$B,"&lt;&gt;Patrícia Karla de Sousa Araújo",$B:$B,"&lt;&gt;Lorena Dias de Araujo",$B:$B,"&lt;&gt;Lucas Luiz Romero")*(10/1083),0)))))),0)</f>
        <v/>
      </c>
      <c r="K2461" s="3">
        <f>I2461-J2461</f>
        <v/>
      </c>
      <c r="L2461" s="3">
        <f>IF(K2461&lt;-5,"CRÍTICO",IF(K2461&lt;0,"ATENÇÃO",IF(K2461&lt;=5,"BOM","EXCELENTE")))</f>
        <v/>
      </c>
      <c r="N2461" t="n">
        <v>98.45</v>
      </c>
      <c r="O2461" t="n">
        <v>29.2817679558011</v>
      </c>
    </row>
    <row r="2462" hidden="1">
      <c r="A2462" s="11" t="n">
        <v>46078</v>
      </c>
      <c r="B2462" t="inlineStr">
        <is>
          <t>Francielson de Oliveira</t>
        </is>
      </c>
      <c r="C2462" t="inlineStr">
        <is>
          <t>Técnico III</t>
        </is>
      </c>
      <c r="D2462" t="n">
        <v>19</v>
      </c>
      <c r="E2462" t="n">
        <v>18</v>
      </c>
      <c r="F2462" t="n">
        <v>30.19</v>
      </c>
      <c r="G2462" t="n">
        <v>0</v>
      </c>
      <c r="H2462" t="n">
        <v>0</v>
      </c>
      <c r="I2462" s="3">
        <f>E2462+G2462+H2462</f>
        <v/>
      </c>
      <c r="J2462" s="3">
        <f>ROUND(MIN(IF(C2462="Técnico III",35,IF(C2462="Técnico II",28,IF(C2462="Técnico I",23,IF(C2462="JR",20,IF(C2462="Estágio",10,0))))),IF(C2462="Técnico III",SUMIFS($D:$D,$A:$A,$A2462,$B:$B,"&lt;&gt;Patrícia Karla de Sousa Araújo",$B:$B,"&lt;&gt;Lorena Dias de Araujo",$B:$B,"&lt;&gt;Lucas Luiz Romero")*(35/1083),IF(C2462="Técnico II",SUMIFS($D:$D,$A:$A,$A2462,$B:$B,"&lt;&gt;Patrícia Karla de Sousa Araújo",$B:$B,"&lt;&gt;Lorena Dias de Araujo",$B:$B,"&lt;&gt;Lucas Luiz Romero")*(28/1083),IF(C2462="Técnico I",SUMIFS($D:$D,$A:$A,$A2462,$B:$B,"&lt;&gt;Patrícia Karla de Sousa Araújo",$B:$B,"&lt;&gt;Lorena Dias de Araujo",$B:$B,"&lt;&gt;Lucas Luiz Romero")*(23/1083),IF(C2462="JR",SUMIFS($D:$D,$A:$A,$A2462,$B:$B,"&lt;&gt;Patrícia Karla de Sousa Araújo",$B:$B,"&lt;&gt;Lorena Dias de Araujo",$B:$B,"&lt;&gt;Lucas Luiz Romero")*(20/1083),IF(C2462="Estágio",SUMIFS($D:$D,$A:$A,$A2462,$B:$B,"&lt;&gt;Patrícia Karla de Sousa Araújo",$B:$B,"&lt;&gt;Lorena Dias de Araujo",$B:$B,"&lt;&gt;Lucas Luiz Romero")*(10/1083),0)))))),0)</f>
        <v/>
      </c>
      <c r="K2462" s="3">
        <f>I2462-J2462</f>
        <v/>
      </c>
      <c r="L2462" s="3">
        <f>IF(K2462&lt;-5,"CRÍTICO",IF(K2462&lt;0,"ATENÇÃO",IF(K2462&lt;=5,"BOM","EXCELENTE")))</f>
        <v/>
      </c>
      <c r="N2462" t="n">
        <v>97.84</v>
      </c>
      <c r="O2462" t="n">
        <v>26.28205128205128</v>
      </c>
    </row>
    <row r="2463" hidden="1">
      <c r="A2463" s="11" t="n">
        <v>46078</v>
      </c>
      <c r="B2463" t="inlineStr">
        <is>
          <t>Francilene Ferreira de Jesus</t>
        </is>
      </c>
      <c r="C2463" t="inlineStr">
        <is>
          <t>Técnico II</t>
        </is>
      </c>
      <c r="D2463" t="n">
        <v>25</v>
      </c>
      <c r="E2463" t="n">
        <v>21</v>
      </c>
      <c r="F2463" t="n">
        <v>32.38</v>
      </c>
      <c r="G2463" t="n">
        <v>0</v>
      </c>
      <c r="H2463" t="n">
        <v>0</v>
      </c>
      <c r="I2463" s="3">
        <f>E2463+G2463+H2463</f>
        <v/>
      </c>
      <c r="J2463" s="3">
        <f>ROUND(MIN(IF(C2463="Técnico III",35,IF(C2463="Técnico II",28,IF(C2463="Técnico I",23,IF(C2463="JR",20,IF(C2463="Estágio",10,0))))),IF(C2463="Técnico III",SUMIFS($D:$D,$A:$A,$A2463,$B:$B,"&lt;&gt;Patrícia Karla de Sousa Araújo",$B:$B,"&lt;&gt;Lorena Dias de Araujo",$B:$B,"&lt;&gt;Lucas Luiz Romero")*(35/1083),IF(C2463="Técnico II",SUMIFS($D:$D,$A:$A,$A2463,$B:$B,"&lt;&gt;Patrícia Karla de Sousa Araújo",$B:$B,"&lt;&gt;Lorena Dias de Araujo",$B:$B,"&lt;&gt;Lucas Luiz Romero")*(28/1083),IF(C2463="Técnico I",SUMIFS($D:$D,$A:$A,$A2463,$B:$B,"&lt;&gt;Patrícia Karla de Sousa Araújo",$B:$B,"&lt;&gt;Lorena Dias de Araujo",$B:$B,"&lt;&gt;Lucas Luiz Romero")*(23/1083),IF(C2463="JR",SUMIFS($D:$D,$A:$A,$A2463,$B:$B,"&lt;&gt;Patrícia Karla de Sousa Araújo",$B:$B,"&lt;&gt;Lorena Dias de Araujo",$B:$B,"&lt;&gt;Lucas Luiz Romero")*(20/1083),IF(C2463="Estágio",SUMIFS($D:$D,$A:$A,$A2463,$B:$B,"&lt;&gt;Patrícia Karla de Sousa Araújo",$B:$B,"&lt;&gt;Lorena Dias de Araujo",$B:$B,"&lt;&gt;Lucas Luiz Romero")*(10/1083),0)))))),0)</f>
        <v/>
      </c>
      <c r="K2463" s="3">
        <f>I2463-J2463</f>
        <v/>
      </c>
      <c r="L2463" s="3">
        <f>IF(K2463&lt;-5,"CRÍTICO",IF(K2463&lt;0,"ATENÇÃO",IF(K2463&lt;=5,"BOM","EXCELENTE")))</f>
        <v/>
      </c>
      <c r="N2463" t="n">
        <v>98.5</v>
      </c>
      <c r="O2463" t="n">
        <v>23.97769516728625</v>
      </c>
    </row>
    <row r="2464" hidden="1">
      <c r="A2464" s="11" t="n">
        <v>46112</v>
      </c>
      <c r="B2464" t="inlineStr">
        <is>
          <t>Gabriel Gomes de Andrade</t>
        </is>
      </c>
      <c r="C2464" t="inlineStr">
        <is>
          <t>Técnico I</t>
        </is>
      </c>
      <c r="D2464" t="n">
        <v>29</v>
      </c>
      <c r="E2464" t="n">
        <v>27</v>
      </c>
      <c r="F2464" t="n">
        <v>18.33</v>
      </c>
      <c r="G2464" t="n">
        <v>0</v>
      </c>
      <c r="H2464" t="n">
        <v>0</v>
      </c>
      <c r="I2464" s="3">
        <f>E2464+G2464+H2464</f>
        <v/>
      </c>
      <c r="J2464" s="3">
        <f>ROUND(MIN(IF(C2464="Técnico III",35,IF(C2464="Técnico II",28,IF(C2464="Técnico I",23,IF(C2464="JR",20,IF(C2464="Estágio",10,0))))),IF(C2464="Técnico III",SUMIFS($D:$D,$A:$A,$A2464,$B:$B,"&lt;&gt;Patrícia Karla de Sousa Araújo",$B:$B,"&lt;&gt;Lorena Dias de Araujo",$B:$B,"&lt;&gt;Lucas Luiz Romero")*(35/1083),IF(C2464="Técnico II",SUMIFS($D:$D,$A:$A,$A2464,$B:$B,"&lt;&gt;Patrícia Karla de Sousa Araújo",$B:$B,"&lt;&gt;Lorena Dias de Araujo",$B:$B,"&lt;&gt;Lucas Luiz Romero")*(28/1083),IF(C2464="Técnico I",SUMIFS($D:$D,$A:$A,$A2464,$B:$B,"&lt;&gt;Patrícia Karla de Sousa Araújo",$B:$B,"&lt;&gt;Lorena Dias de Araujo",$B:$B,"&lt;&gt;Lucas Luiz Romero")*(23/1083),IF(C2464="JR",SUMIFS($D:$D,$A:$A,$A2464,$B:$B,"&lt;&gt;Patrícia Karla de Sousa Araújo",$B:$B,"&lt;&gt;Lorena Dias de Araujo",$B:$B,"&lt;&gt;Lucas Luiz Romero")*(20/1083),IF(C2464="Estágio",SUMIFS($D:$D,$A:$A,$A2464,$B:$B,"&lt;&gt;Patrícia Karla de Sousa Araújo",$B:$B,"&lt;&gt;Lorena Dias de Araujo",$B:$B,"&lt;&gt;Lucas Luiz Romero")*(10/1083),0)))))),0)</f>
        <v/>
      </c>
      <c r="K2464" s="3">
        <f>I2464-J2464</f>
        <v/>
      </c>
      <c r="L2464" s="3">
        <f>IF(K2464&lt;-5,"CRÍTICO",IF(K2464&lt;0,"ATENÇÃO",IF(K2464&lt;=5,"BOM","EXCELENTE")))</f>
        <v/>
      </c>
      <c r="N2464" t="n">
        <v>99.05</v>
      </c>
      <c r="O2464" t="n">
        <v>26.62192393736018</v>
      </c>
    </row>
    <row r="2465" hidden="1">
      <c r="A2465" s="11" t="n">
        <v>46078</v>
      </c>
      <c r="B2465" t="inlineStr">
        <is>
          <t>Isabella Borges de Oliveira</t>
        </is>
      </c>
      <c r="C2465" t="inlineStr">
        <is>
          <t>Técnico II</t>
        </is>
      </c>
      <c r="D2465" t="n">
        <v>24</v>
      </c>
      <c r="E2465" t="n">
        <v>19</v>
      </c>
      <c r="F2465" t="n">
        <v>32.36</v>
      </c>
      <c r="G2465" t="n">
        <v>0</v>
      </c>
      <c r="H2465" t="n">
        <v>0</v>
      </c>
      <c r="I2465" s="3">
        <f>E2465+G2465+H2465</f>
        <v/>
      </c>
      <c r="J2465" s="3">
        <f>ROUND(MIN(IF(C2465="Técnico III",35,IF(C2465="Técnico II",28,IF(C2465="Técnico I",23,IF(C2465="JR",20,IF(C2465="Estágio",10,0))))),IF(C2465="Técnico III",SUMIFS($D:$D,$A:$A,$A2465,$B:$B,"&lt;&gt;Patrícia Karla de Sousa Araújo",$B:$B,"&lt;&gt;Lorena Dias de Araujo",$B:$B,"&lt;&gt;Lucas Luiz Romero")*(35/1083),IF(C2465="Técnico II",SUMIFS($D:$D,$A:$A,$A2465,$B:$B,"&lt;&gt;Patrícia Karla de Sousa Araújo",$B:$B,"&lt;&gt;Lorena Dias de Araujo",$B:$B,"&lt;&gt;Lucas Luiz Romero")*(28/1083),IF(C2465="Técnico I",SUMIFS($D:$D,$A:$A,$A2465,$B:$B,"&lt;&gt;Patrícia Karla de Sousa Araújo",$B:$B,"&lt;&gt;Lorena Dias de Araujo",$B:$B,"&lt;&gt;Lucas Luiz Romero")*(23/1083),IF(C2465="JR",SUMIFS($D:$D,$A:$A,$A2465,$B:$B,"&lt;&gt;Patrícia Karla de Sousa Araújo",$B:$B,"&lt;&gt;Lorena Dias de Araujo",$B:$B,"&lt;&gt;Lucas Luiz Romero")*(20/1083),IF(C2465="Estágio",SUMIFS($D:$D,$A:$A,$A2465,$B:$B,"&lt;&gt;Patrícia Karla de Sousa Araújo",$B:$B,"&lt;&gt;Lorena Dias de Araujo",$B:$B,"&lt;&gt;Lucas Luiz Romero")*(10/1083),0)))))),0)</f>
        <v/>
      </c>
      <c r="K2465" s="3">
        <f>I2465-J2465</f>
        <v/>
      </c>
      <c r="L2465" s="3">
        <f>IF(K2465&lt;-5,"CRÍTICO",IF(K2465&lt;0,"ATENÇÃO",IF(K2465&lt;=5,"BOM","EXCELENTE")))</f>
        <v/>
      </c>
      <c r="N2465" t="n">
        <v>98.53</v>
      </c>
      <c r="O2465" t="n">
        <v>31.57894736842105</v>
      </c>
    </row>
    <row r="2466" hidden="1">
      <c r="A2466" s="11" t="n">
        <v>46078</v>
      </c>
      <c r="B2466" t="inlineStr">
        <is>
          <t>Janaina Lima dos Reis Urany</t>
        </is>
      </c>
      <c r="C2466" t="inlineStr">
        <is>
          <t>Técnico III</t>
        </is>
      </c>
      <c r="D2466" t="n">
        <v>36</v>
      </c>
      <c r="E2466" t="n">
        <v>35</v>
      </c>
      <c r="F2466" t="n">
        <v>17.28</v>
      </c>
      <c r="G2466" t="n">
        <v>0</v>
      </c>
      <c r="H2466" t="n">
        <v>0</v>
      </c>
      <c r="I2466" s="3">
        <f>E2466+G2466+H2466</f>
        <v/>
      </c>
      <c r="J2466" s="3">
        <f>ROUND(MIN(IF(C2466="Técnico III",35,IF(C2466="Técnico II",28,IF(C2466="Técnico I",23,IF(C2466="JR",20,IF(C2466="Estágio",10,0))))),IF(C2466="Técnico III",SUMIFS($D:$D,$A:$A,$A2466,$B:$B,"&lt;&gt;Patrícia Karla de Sousa Araújo",$B:$B,"&lt;&gt;Lorena Dias de Araujo",$B:$B,"&lt;&gt;Lucas Luiz Romero")*(35/1083),IF(C2466="Técnico II",SUMIFS($D:$D,$A:$A,$A2466,$B:$B,"&lt;&gt;Patrícia Karla de Sousa Araújo",$B:$B,"&lt;&gt;Lorena Dias de Araujo",$B:$B,"&lt;&gt;Lucas Luiz Romero")*(28/1083),IF(C2466="Técnico I",SUMIFS($D:$D,$A:$A,$A2466,$B:$B,"&lt;&gt;Patrícia Karla de Sousa Araújo",$B:$B,"&lt;&gt;Lorena Dias de Araujo",$B:$B,"&lt;&gt;Lucas Luiz Romero")*(23/1083),IF(C2466="JR",SUMIFS($D:$D,$A:$A,$A2466,$B:$B,"&lt;&gt;Patrícia Karla de Sousa Araújo",$B:$B,"&lt;&gt;Lorena Dias de Araujo",$B:$B,"&lt;&gt;Lucas Luiz Romero")*(20/1083),IF(C2466="Estágio",SUMIFS($D:$D,$A:$A,$A2466,$B:$B,"&lt;&gt;Patrícia Karla de Sousa Araújo",$B:$B,"&lt;&gt;Lorena Dias de Araujo",$B:$B,"&lt;&gt;Lucas Luiz Romero")*(10/1083),0)))))),0)</f>
        <v/>
      </c>
      <c r="K2466" s="3">
        <f>I2466-J2466</f>
        <v/>
      </c>
      <c r="L2466" s="3">
        <f>IF(K2466&lt;-5,"CRÍTICO",IF(K2466&lt;0,"ATENÇÃO",IF(K2466&lt;=5,"BOM","EXCELENTE")))</f>
        <v/>
      </c>
      <c r="N2466" t="n">
        <v>100</v>
      </c>
      <c r="O2466" t="n">
        <v>25.72214580467676</v>
      </c>
    </row>
    <row r="2467" hidden="1">
      <c r="A2467" s="11" t="n">
        <v>46078</v>
      </c>
      <c r="B2467" t="inlineStr">
        <is>
          <t>Jaqueline Evangelista da Silva Martins</t>
        </is>
      </c>
      <c r="C2467" t="inlineStr">
        <is>
          <t>Técnico III</t>
        </is>
      </c>
      <c r="D2467" t="n">
        <v>21</v>
      </c>
      <c r="E2467" t="n">
        <v>17</v>
      </c>
      <c r="F2467" t="n">
        <v>19</v>
      </c>
      <c r="G2467" t="n">
        <v>0</v>
      </c>
      <c r="H2467" t="n">
        <v>0</v>
      </c>
      <c r="I2467" s="3">
        <f>E2467+G2467+H2467</f>
        <v/>
      </c>
      <c r="J2467" s="3">
        <f>ROUND(MIN(IF(C2467="Técnico III",35,IF(C2467="Técnico II",28,IF(C2467="Técnico I",23,IF(C2467="JR",20,IF(C2467="Estágio",10,0))))),IF(C2467="Técnico III",SUMIFS($D:$D,$A:$A,$A2467,$B:$B,"&lt;&gt;Patrícia Karla de Sousa Araújo",$B:$B,"&lt;&gt;Lorena Dias de Araujo",$B:$B,"&lt;&gt;Lucas Luiz Romero")*(35/1083),IF(C2467="Técnico II",SUMIFS($D:$D,$A:$A,$A2467,$B:$B,"&lt;&gt;Patrícia Karla de Sousa Araújo",$B:$B,"&lt;&gt;Lorena Dias de Araujo",$B:$B,"&lt;&gt;Lucas Luiz Romero")*(28/1083),IF(C2467="Técnico I",SUMIFS($D:$D,$A:$A,$A2467,$B:$B,"&lt;&gt;Patrícia Karla de Sousa Araújo",$B:$B,"&lt;&gt;Lorena Dias de Araujo",$B:$B,"&lt;&gt;Lucas Luiz Romero")*(23/1083),IF(C2467="JR",SUMIFS($D:$D,$A:$A,$A2467,$B:$B,"&lt;&gt;Patrícia Karla de Sousa Araújo",$B:$B,"&lt;&gt;Lorena Dias de Araujo",$B:$B,"&lt;&gt;Lucas Luiz Romero")*(20/1083),IF(C2467="Estágio",SUMIFS($D:$D,$A:$A,$A2467,$B:$B,"&lt;&gt;Patrícia Karla de Sousa Araújo",$B:$B,"&lt;&gt;Lorena Dias de Araujo",$B:$B,"&lt;&gt;Lucas Luiz Romero")*(10/1083),0)))))),0)</f>
        <v/>
      </c>
      <c r="K2467" s="3">
        <f>I2467-J2467</f>
        <v/>
      </c>
      <c r="L2467" s="3">
        <f>IF(K2467&lt;-5,"CRÍTICO",IF(K2467&lt;0,"ATENÇÃO",IF(K2467&lt;=5,"BOM","EXCELENTE")))</f>
        <v/>
      </c>
      <c r="N2467" t="n">
        <v>94.64</v>
      </c>
      <c r="O2467" t="n">
        <v>27.52941176470588</v>
      </c>
    </row>
    <row r="2468" hidden="1">
      <c r="A2468" s="11" t="n">
        <v>46078</v>
      </c>
      <c r="B2468" t="inlineStr">
        <is>
          <t>Jessica Faria da Silveira</t>
        </is>
      </c>
      <c r="C2468" t="inlineStr">
        <is>
          <t>Técnico II</t>
        </is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s="3" t="n">
        <v>0</v>
      </c>
      <c r="J2468" s="3" t="n">
        <v>0</v>
      </c>
      <c r="K2468" s="3" t="n">
        <v>0</v>
      </c>
      <c r="L2468" s="3">
        <f>IF(K2468&lt;-5,"CRÍTICO",IF(K2468&lt;0,"ATENÇÃO",IF(K2468&lt;=5,"BOM","EXCELENTE")))</f>
        <v/>
      </c>
      <c r="N2468" t="n">
        <v>99.06999999999999</v>
      </c>
      <c r="O2468" t="n">
        <v>26.3768115942029</v>
      </c>
    </row>
    <row r="2469" hidden="1">
      <c r="A2469" s="11" t="n">
        <v>46078</v>
      </c>
      <c r="B2469" t="inlineStr">
        <is>
          <t>Jéssica Fé Moura</t>
        </is>
      </c>
      <c r="C2469" t="inlineStr">
        <is>
          <t>Técnico III</t>
        </is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s="3" t="n">
        <v>0</v>
      </c>
      <c r="J2469" s="3" t="n">
        <v>0</v>
      </c>
      <c r="K2469" s="3" t="n">
        <v>0</v>
      </c>
      <c r="L2469" s="3">
        <f>IF(K2469&lt;-5,"CRÍTICO",IF(K2469&lt;0,"ATENÇÃO",IF(K2469&lt;=5,"BOM","EXCELENTE")))</f>
        <v/>
      </c>
      <c r="N2469" t="n">
        <v>100</v>
      </c>
      <c r="O2469" t="n">
        <v>0</v>
      </c>
    </row>
    <row r="2470" hidden="1">
      <c r="A2470" s="11" t="n">
        <v>46078</v>
      </c>
      <c r="B2470" t="inlineStr">
        <is>
          <t>Karina Gonçalves Martins</t>
        </is>
      </c>
      <c r="C2470" t="inlineStr">
        <is>
          <t>JR</t>
        </is>
      </c>
      <c r="D2470" t="n">
        <v>13</v>
      </c>
      <c r="E2470" t="n">
        <v>10</v>
      </c>
      <c r="F2470" t="n">
        <v>35.19</v>
      </c>
      <c r="G2470" t="n">
        <v>0</v>
      </c>
      <c r="H2470" t="n">
        <v>0</v>
      </c>
      <c r="I2470" s="3">
        <f>E2470+G2470+H2470</f>
        <v/>
      </c>
      <c r="J2470" s="3">
        <f>ROUND(MIN(IF(C2470="Técnico III",35,IF(C2470="Técnico II",28,IF(C2470="Técnico I",23,IF(C2470="JR",20,IF(C2470="Estágio",10,0))))),IF(C2470="Técnico III",SUMIFS($D:$D,$A:$A,$A2470,$B:$B,"&lt;&gt;Patrícia Karla de Sousa Araújo",$B:$B,"&lt;&gt;Lorena Dias de Araujo",$B:$B,"&lt;&gt;Lucas Luiz Romero")*(35/1083),IF(C2470="Técnico II",SUMIFS($D:$D,$A:$A,$A2470,$B:$B,"&lt;&gt;Patrícia Karla de Sousa Araújo",$B:$B,"&lt;&gt;Lorena Dias de Araujo",$B:$B,"&lt;&gt;Lucas Luiz Romero")*(28/1083),IF(C2470="Técnico I",SUMIFS($D:$D,$A:$A,$A2470,$B:$B,"&lt;&gt;Patrícia Karla de Sousa Araújo",$B:$B,"&lt;&gt;Lorena Dias de Araujo",$B:$B,"&lt;&gt;Lucas Luiz Romero")*(23/1083),IF(C2470="JR",SUMIFS($D:$D,$A:$A,$A2470,$B:$B,"&lt;&gt;Patrícia Karla de Sousa Araújo",$B:$B,"&lt;&gt;Lorena Dias de Araujo",$B:$B,"&lt;&gt;Lucas Luiz Romero")*(20/1083),IF(C2470="Estágio",SUMIFS($D:$D,$A:$A,$A2470,$B:$B,"&lt;&gt;Patrícia Karla de Sousa Araújo",$B:$B,"&lt;&gt;Lorena Dias de Araujo",$B:$B,"&lt;&gt;Lucas Luiz Romero")*(10/1083),0)))))),0)</f>
        <v/>
      </c>
      <c r="K2470" s="3">
        <f>I2470-J2470</f>
        <v/>
      </c>
      <c r="L2470" s="3">
        <f>IF(K2470&lt;-5,"CRÍTICO",IF(K2470&lt;0,"ATENÇÃO",IF(K2470&lt;=5,"BOM","EXCELENTE")))</f>
        <v/>
      </c>
      <c r="N2470" t="n">
        <v>98.48</v>
      </c>
      <c r="O2470" t="n">
        <v>27.85388127853881</v>
      </c>
    </row>
    <row r="2471" hidden="1">
      <c r="A2471" s="11" t="n">
        <v>46078</v>
      </c>
      <c r="B2471" t="inlineStr">
        <is>
          <t>Kerollen Cristielly de Jesus Siqueira</t>
        </is>
      </c>
      <c r="C2471" t="inlineStr">
        <is>
          <t>Técnico III</t>
        </is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s="3" t="n">
        <v>0</v>
      </c>
      <c r="J2471" s="3" t="n">
        <v>0</v>
      </c>
      <c r="K2471" s="3" t="n">
        <v>0</v>
      </c>
      <c r="L2471" s="3">
        <f>IF(K2471&lt;-5,"CRÍTICO",IF(K2471&lt;0,"ATENÇÃO",IF(K2471&lt;=5,"BOM","EXCELENTE")))</f>
        <v/>
      </c>
      <c r="N2471" t="n">
        <v>95.15000000000001</v>
      </c>
      <c r="O2471" t="n">
        <v>34.13173652694611</v>
      </c>
    </row>
    <row r="2472" hidden="1">
      <c r="A2472" s="11" t="n">
        <v>46078</v>
      </c>
      <c r="B2472" t="inlineStr">
        <is>
          <t>Leandro de Souza Silva</t>
        </is>
      </c>
      <c r="C2472" t="inlineStr">
        <is>
          <t>JR</t>
        </is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s="3" t="n">
        <v>0</v>
      </c>
      <c r="J2472" s="3" t="n">
        <v>0</v>
      </c>
      <c r="K2472" s="3" t="n">
        <v>0</v>
      </c>
      <c r="L2472" s="3">
        <f>IF(K2472&lt;-5,"CRÍTICO",IF(K2472&lt;0,"ATENÇÃO",IF(K2472&lt;=5,"BOM","EXCELENTE")))</f>
        <v/>
      </c>
      <c r="N2472" t="n">
        <v>0</v>
      </c>
      <c r="O2472" t="n">
        <v>0</v>
      </c>
    </row>
    <row r="2473" hidden="1">
      <c r="A2473" s="11" t="n">
        <v>46078</v>
      </c>
      <c r="B2473" t="inlineStr">
        <is>
          <t>Leandro Oliveira de Sousa</t>
        </is>
      </c>
      <c r="C2473" t="inlineStr">
        <is>
          <t>Técnico III</t>
        </is>
      </c>
      <c r="D2473" t="n">
        <v>18</v>
      </c>
      <c r="E2473" t="n">
        <v>17</v>
      </c>
      <c r="F2473" t="n">
        <v>25.28</v>
      </c>
      <c r="G2473" t="n">
        <v>0</v>
      </c>
      <c r="H2473" t="n">
        <v>0</v>
      </c>
      <c r="I2473" s="3">
        <f>E2473+G2473+H2473</f>
        <v/>
      </c>
      <c r="J2473" s="3">
        <f>ROUND(MIN(IF(C2473="Técnico III",35,IF(C2473="Técnico II",28,IF(C2473="Técnico I",23,IF(C2473="JR",20,IF(C2473="Estágio",10,0))))),IF(C2473="Técnico III",SUMIFS($D:$D,$A:$A,$A2473,$B:$B,"&lt;&gt;Patrícia Karla de Sousa Araújo",$B:$B,"&lt;&gt;Lorena Dias de Araujo",$B:$B,"&lt;&gt;Lucas Luiz Romero")*(35/1083),IF(C2473="Técnico II",SUMIFS($D:$D,$A:$A,$A2473,$B:$B,"&lt;&gt;Patrícia Karla de Sousa Araújo",$B:$B,"&lt;&gt;Lorena Dias de Araujo",$B:$B,"&lt;&gt;Lucas Luiz Romero")*(28/1083),IF(C2473="Técnico I",SUMIFS($D:$D,$A:$A,$A2473,$B:$B,"&lt;&gt;Patrícia Karla de Sousa Araújo",$B:$B,"&lt;&gt;Lorena Dias de Araujo",$B:$B,"&lt;&gt;Lucas Luiz Romero")*(23/1083),IF(C2473="JR",SUMIFS($D:$D,$A:$A,$A2473,$B:$B,"&lt;&gt;Patrícia Karla de Sousa Araújo",$B:$B,"&lt;&gt;Lorena Dias de Araujo",$B:$B,"&lt;&gt;Lucas Luiz Romero")*(20/1083),IF(C2473="Estágio",SUMIFS($D:$D,$A:$A,$A2473,$B:$B,"&lt;&gt;Patrícia Karla de Sousa Araújo",$B:$B,"&lt;&gt;Lorena Dias de Araujo",$B:$B,"&lt;&gt;Lucas Luiz Romero")*(10/1083),0)))))),0)</f>
        <v/>
      </c>
      <c r="K2473" s="3">
        <f>I2473-J2473</f>
        <v/>
      </c>
      <c r="L2473" s="3">
        <f>IF(K2473&lt;-5,"CRÍTICO",IF(K2473&lt;0,"ATENÇÃO",IF(K2473&lt;=5,"BOM","EXCELENTE")))</f>
        <v/>
      </c>
      <c r="N2473" t="n">
        <v>99.26000000000001</v>
      </c>
      <c r="O2473" t="n">
        <v>30.84832904884319</v>
      </c>
    </row>
    <row r="2474" hidden="1">
      <c r="A2474" s="11" t="n">
        <v>46078</v>
      </c>
      <c r="B2474" t="inlineStr">
        <is>
          <t>Lizandra Gomes Duarte</t>
        </is>
      </c>
      <c r="C2474" t="inlineStr">
        <is>
          <t>Técnico II</t>
        </is>
      </c>
      <c r="D2474" t="n">
        <v>31</v>
      </c>
      <c r="E2474" t="n">
        <v>27</v>
      </c>
      <c r="F2474" t="n">
        <v>25.11</v>
      </c>
      <c r="G2474" t="n">
        <v>0</v>
      </c>
      <c r="H2474" t="n">
        <v>0</v>
      </c>
      <c r="I2474" s="3">
        <f>E2474+G2474+H2474</f>
        <v/>
      </c>
      <c r="J2474" s="3">
        <f>ROUND(MIN(IF(C2474="Técnico III",35,IF(C2474="Técnico II",28,IF(C2474="Técnico I",23,IF(C2474="JR",20,IF(C2474="Estágio",10,0))))),IF(C2474="Técnico III",SUMIFS($D:$D,$A:$A,$A2474,$B:$B,"&lt;&gt;Patrícia Karla de Sousa Araújo",$B:$B,"&lt;&gt;Lorena Dias de Araujo",$B:$B,"&lt;&gt;Lucas Luiz Romero")*(35/1083),IF(C2474="Técnico II",SUMIFS($D:$D,$A:$A,$A2474,$B:$B,"&lt;&gt;Patrícia Karla de Sousa Araújo",$B:$B,"&lt;&gt;Lorena Dias de Araujo",$B:$B,"&lt;&gt;Lucas Luiz Romero")*(28/1083),IF(C2474="Técnico I",SUMIFS($D:$D,$A:$A,$A2474,$B:$B,"&lt;&gt;Patrícia Karla de Sousa Araújo",$B:$B,"&lt;&gt;Lorena Dias de Araujo",$B:$B,"&lt;&gt;Lucas Luiz Romero")*(23/1083),IF(C2474="JR",SUMIFS($D:$D,$A:$A,$A2474,$B:$B,"&lt;&gt;Patrícia Karla de Sousa Araújo",$B:$B,"&lt;&gt;Lorena Dias de Araujo",$B:$B,"&lt;&gt;Lucas Luiz Romero")*(20/1083),IF(C2474="Estágio",SUMIFS($D:$D,$A:$A,$A2474,$B:$B,"&lt;&gt;Patrícia Karla de Sousa Araújo",$B:$B,"&lt;&gt;Lorena Dias de Araujo",$B:$B,"&lt;&gt;Lucas Luiz Romero")*(10/1083),0)))))),0)</f>
        <v/>
      </c>
      <c r="K2474" s="3">
        <f>I2474-J2474</f>
        <v/>
      </c>
      <c r="L2474" s="3">
        <f>IF(K2474&lt;-5,"CRÍTICO",IF(K2474&lt;0,"ATENÇÃO",IF(K2474&lt;=5,"BOM","EXCELENTE")))</f>
        <v/>
      </c>
      <c r="N2474" t="n">
        <v>97.48</v>
      </c>
      <c r="O2474" t="n">
        <v>27.76470588235294</v>
      </c>
    </row>
    <row r="2475" hidden="1">
      <c r="A2475" s="11" t="n">
        <v>46078</v>
      </c>
      <c r="B2475" t="inlineStr">
        <is>
          <t>Lorena Dias de Araujo</t>
        </is>
      </c>
      <c r="C2475" t="inlineStr">
        <is>
          <t>Técnico II</t>
        </is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s="3" t="n">
        <v>0</v>
      </c>
      <c r="J2475" s="3" t="n">
        <v>0</v>
      </c>
      <c r="K2475" s="3" t="n">
        <v>0</v>
      </c>
      <c r="L2475" s="3">
        <f>IF(K2475&lt;-5,"CRÍTICO",IF(K2475&lt;0,"ATENÇÃO",IF(K2475&lt;=5,"BOM","EXCELENTE")))</f>
        <v/>
      </c>
      <c r="N2475" t="n">
        <v>99.34</v>
      </c>
      <c r="O2475" t="n">
        <v>30.04291845493562</v>
      </c>
    </row>
    <row r="2476" hidden="1">
      <c r="A2476" s="11" t="n">
        <v>46078</v>
      </c>
      <c r="B2476" t="inlineStr">
        <is>
          <t>Lucas Luiz Romero</t>
        </is>
      </c>
      <c r="C2476" t="inlineStr">
        <is>
          <t>Técnico III</t>
        </is>
      </c>
      <c r="D2476" t="n">
        <v>50</v>
      </c>
      <c r="E2476" t="n">
        <v>44</v>
      </c>
      <c r="F2476" t="n">
        <v>13.46</v>
      </c>
      <c r="G2476" t="n">
        <v>0</v>
      </c>
      <c r="H2476" t="n">
        <v>0</v>
      </c>
      <c r="I2476" s="3">
        <f>E2476+G2476+H2476</f>
        <v/>
      </c>
      <c r="J2476" s="3">
        <f>ROUND(MIN(IF(C2476="Técnico III",35,IF(C2476="Técnico II",28,IF(C2476="Técnico I",23,IF(C2476="JR",20,IF(C2476="Estágio",10,0))))),IF(C2476="Técnico III",SUMIFS($D:$D,$A:$A,$A2476,$B:$B,"&lt;&gt;Patrícia Karla de Sousa Araújo",$B:$B,"&lt;&gt;Lorena Dias de Araujo",$B:$B,"&lt;&gt;Lucas Luiz Romero")*(35/1083),IF(C2476="Técnico II",SUMIFS($D:$D,$A:$A,$A2476,$B:$B,"&lt;&gt;Patrícia Karla de Sousa Araújo",$B:$B,"&lt;&gt;Lorena Dias de Araujo",$B:$B,"&lt;&gt;Lucas Luiz Romero")*(28/1083),IF(C2476="Técnico I",SUMIFS($D:$D,$A:$A,$A2476,$B:$B,"&lt;&gt;Patrícia Karla de Sousa Araújo",$B:$B,"&lt;&gt;Lorena Dias de Araujo",$B:$B,"&lt;&gt;Lucas Luiz Romero")*(23/1083),IF(C2476="JR",SUMIFS($D:$D,$A:$A,$A2476,$B:$B,"&lt;&gt;Patrícia Karla de Sousa Araújo",$B:$B,"&lt;&gt;Lorena Dias de Araujo",$B:$B,"&lt;&gt;Lucas Luiz Romero")*(20/1083),IF(C2476="Estágio",SUMIFS($D:$D,$A:$A,$A2476,$B:$B,"&lt;&gt;Patrícia Karla de Sousa Araújo",$B:$B,"&lt;&gt;Lorena Dias de Araujo",$B:$B,"&lt;&gt;Lucas Luiz Romero")*(10/1083),0)))))),0)</f>
        <v/>
      </c>
      <c r="K2476" s="3">
        <f>I2476-J2476</f>
        <v/>
      </c>
      <c r="L2476" s="3">
        <f>IF(K2476&lt;-5,"CRÍTICO",IF(K2476&lt;0,"ATENÇÃO",IF(K2476&lt;=5,"BOM","EXCELENTE")))</f>
        <v/>
      </c>
      <c r="N2476" t="n">
        <v>96.3</v>
      </c>
      <c r="O2476" t="n">
        <v>24.29378531073446</v>
      </c>
    </row>
    <row r="2477" hidden="1">
      <c r="A2477" s="11" t="n">
        <v>46078</v>
      </c>
      <c r="B2477" t="inlineStr">
        <is>
          <t>Luiz Fernando de Carvalho Junior</t>
        </is>
      </c>
      <c r="C2477" t="inlineStr">
        <is>
          <t>Técnico I</t>
        </is>
      </c>
      <c r="D2477" t="n">
        <v>15</v>
      </c>
      <c r="E2477" t="n">
        <v>15</v>
      </c>
      <c r="F2477" t="n">
        <v>33.35</v>
      </c>
      <c r="G2477" t="n">
        <v>0</v>
      </c>
      <c r="H2477" t="n">
        <v>0</v>
      </c>
      <c r="I2477" s="3">
        <f>E2477+G2477+H2477</f>
        <v/>
      </c>
      <c r="J2477" s="3">
        <f>ROUND(MIN(IF(C2477="Técnico III",35,IF(C2477="Técnico II",28,IF(C2477="Técnico I",23,IF(C2477="JR",20,IF(C2477="Estágio",10,0))))),IF(C2477="Técnico III",SUMIFS($D:$D,$A:$A,$A2477,$B:$B,"&lt;&gt;Patrícia Karla de Sousa Araújo",$B:$B,"&lt;&gt;Lorena Dias de Araujo",$B:$B,"&lt;&gt;Lucas Luiz Romero")*(35/1083),IF(C2477="Técnico II",SUMIFS($D:$D,$A:$A,$A2477,$B:$B,"&lt;&gt;Patrícia Karla de Sousa Araújo",$B:$B,"&lt;&gt;Lorena Dias de Araujo",$B:$B,"&lt;&gt;Lucas Luiz Romero")*(28/1083),IF(C2477="Técnico I",SUMIFS($D:$D,$A:$A,$A2477,$B:$B,"&lt;&gt;Patrícia Karla de Sousa Araújo",$B:$B,"&lt;&gt;Lorena Dias de Araujo",$B:$B,"&lt;&gt;Lucas Luiz Romero")*(23/1083),IF(C2477="JR",SUMIFS($D:$D,$A:$A,$A2477,$B:$B,"&lt;&gt;Patrícia Karla de Sousa Araújo",$B:$B,"&lt;&gt;Lorena Dias de Araujo",$B:$B,"&lt;&gt;Lucas Luiz Romero")*(20/1083),IF(C2477="Estágio",SUMIFS($D:$D,$A:$A,$A2477,$B:$B,"&lt;&gt;Patrícia Karla de Sousa Araújo",$B:$B,"&lt;&gt;Lorena Dias de Araujo",$B:$B,"&lt;&gt;Lucas Luiz Romero")*(10/1083),0)))))),0)</f>
        <v/>
      </c>
      <c r="K2477" s="3">
        <f>I2477-J2477</f>
        <v/>
      </c>
      <c r="L2477" s="3">
        <f>IF(K2477&lt;-5,"CRÍTICO",IF(K2477&lt;0,"ATENÇÃO",IF(K2477&lt;=5,"BOM","EXCELENTE")))</f>
        <v/>
      </c>
      <c r="N2477" t="n">
        <v>100</v>
      </c>
      <c r="O2477" t="n">
        <v>26.54320987654321</v>
      </c>
    </row>
    <row r="2478" hidden="1">
      <c r="A2478" s="11" t="n">
        <v>46078</v>
      </c>
      <c r="B2478" t="inlineStr">
        <is>
          <t>Maria Eduarda Sousa Costa</t>
        </is>
      </c>
      <c r="C2478" t="inlineStr">
        <is>
          <t>Estágio</t>
        </is>
      </c>
      <c r="D2478" t="n">
        <v>7</v>
      </c>
      <c r="E2478" t="n">
        <v>7</v>
      </c>
      <c r="F2478" t="n">
        <v>58.35</v>
      </c>
      <c r="G2478" t="n">
        <v>0</v>
      </c>
      <c r="H2478" t="n">
        <v>0</v>
      </c>
      <c r="I2478" s="3">
        <f>E2478+G2478+H2478</f>
        <v/>
      </c>
      <c r="J2478" s="3">
        <f>ROUND(MIN(IF(C2478="Técnico III",35,IF(C2478="Técnico II",28,IF(C2478="Técnico I",23,IF(C2478="JR",20,IF(C2478="Estágio",10,0))))),IF(C2478="Técnico III",SUMIFS($D:$D,$A:$A,$A2478,$B:$B,"&lt;&gt;Patrícia Karla de Sousa Araújo",$B:$B,"&lt;&gt;Lorena Dias de Araujo",$B:$B,"&lt;&gt;Lucas Luiz Romero")*(35/1083),IF(C2478="Técnico II",SUMIFS($D:$D,$A:$A,$A2478,$B:$B,"&lt;&gt;Patrícia Karla de Sousa Araújo",$B:$B,"&lt;&gt;Lorena Dias de Araujo",$B:$B,"&lt;&gt;Lucas Luiz Romero")*(28/1083),IF(C2478="Técnico I",SUMIFS($D:$D,$A:$A,$A2478,$B:$B,"&lt;&gt;Patrícia Karla de Sousa Araújo",$B:$B,"&lt;&gt;Lorena Dias de Araujo",$B:$B,"&lt;&gt;Lucas Luiz Romero")*(23/1083),IF(C2478="JR",SUMIFS($D:$D,$A:$A,$A2478,$B:$B,"&lt;&gt;Patrícia Karla de Sousa Araújo",$B:$B,"&lt;&gt;Lorena Dias de Araujo",$B:$B,"&lt;&gt;Lucas Luiz Romero")*(20/1083),IF(C2478="Estágio",SUMIFS($D:$D,$A:$A,$A2478,$B:$B,"&lt;&gt;Patrícia Karla de Sousa Araújo",$B:$B,"&lt;&gt;Lorena Dias de Araujo",$B:$B,"&lt;&gt;Lucas Luiz Romero")*(10/1083),0)))))),0)</f>
        <v/>
      </c>
      <c r="K2478" s="3">
        <f>I2478-J2478</f>
        <v/>
      </c>
      <c r="L2478" s="3">
        <f>IF(K2478&lt;-5,"CRÍTICO",IF(K2478&lt;0,"ATENÇÃO",IF(K2478&lt;=5,"BOM","EXCELENTE")))</f>
        <v/>
      </c>
      <c r="N2478" t="n">
        <v>100</v>
      </c>
      <c r="O2478" t="n">
        <v>35.48387096774194</v>
      </c>
    </row>
    <row r="2479" hidden="1">
      <c r="A2479" s="11" t="n">
        <v>46078</v>
      </c>
      <c r="B2479" t="inlineStr">
        <is>
          <t>Matheus Farias De Souza</t>
        </is>
      </c>
      <c r="C2479" t="inlineStr">
        <is>
          <t>Técnico III</t>
        </is>
      </c>
      <c r="D2479" t="n">
        <v>25</v>
      </c>
      <c r="E2479" t="n">
        <v>23</v>
      </c>
      <c r="F2479" t="n">
        <v>25.21</v>
      </c>
      <c r="G2479" t="n">
        <v>0</v>
      </c>
      <c r="H2479" t="n">
        <v>0</v>
      </c>
      <c r="I2479" s="3">
        <f>E2479+G2479+H2479</f>
        <v/>
      </c>
      <c r="J2479" s="3">
        <f>ROUND(MIN(IF(C2479="Técnico III",35,IF(C2479="Técnico II",28,IF(C2479="Técnico I",23,IF(C2479="JR",20,IF(C2479="Estágio",10,0))))),IF(C2479="Técnico III",SUMIFS($D:$D,$A:$A,$A2479,$B:$B,"&lt;&gt;Patrícia Karla de Sousa Araújo",$B:$B,"&lt;&gt;Lorena Dias de Araujo",$B:$B,"&lt;&gt;Lucas Luiz Romero")*(35/1083),IF(C2479="Técnico II",SUMIFS($D:$D,$A:$A,$A2479,$B:$B,"&lt;&gt;Patrícia Karla de Sousa Araújo",$B:$B,"&lt;&gt;Lorena Dias de Araujo",$B:$B,"&lt;&gt;Lucas Luiz Romero")*(28/1083),IF(C2479="Técnico I",SUMIFS($D:$D,$A:$A,$A2479,$B:$B,"&lt;&gt;Patrícia Karla de Sousa Araújo",$B:$B,"&lt;&gt;Lorena Dias de Araujo",$B:$B,"&lt;&gt;Lucas Luiz Romero")*(23/1083),IF(C2479="JR",SUMIFS($D:$D,$A:$A,$A2479,$B:$B,"&lt;&gt;Patrícia Karla de Sousa Araújo",$B:$B,"&lt;&gt;Lorena Dias de Araujo",$B:$B,"&lt;&gt;Lucas Luiz Romero")*(20/1083),IF(C2479="Estágio",SUMIFS($D:$D,$A:$A,$A2479,$B:$B,"&lt;&gt;Patrícia Karla de Sousa Araújo",$B:$B,"&lt;&gt;Lorena Dias de Araujo",$B:$B,"&lt;&gt;Lucas Luiz Romero")*(10/1083),0)))))),0)</f>
        <v/>
      </c>
      <c r="K2479" s="3">
        <f>I2479-J2479</f>
        <v/>
      </c>
      <c r="L2479" s="3">
        <f>IF(K2479&lt;-5,"CRÍTICO",IF(K2479&lt;0,"ATENÇÃO",IF(K2479&lt;=5,"BOM","EXCELENTE")))</f>
        <v/>
      </c>
      <c r="N2479" t="n">
        <v>99.27</v>
      </c>
      <c r="O2479" t="n">
        <v>31.16370808678501</v>
      </c>
    </row>
    <row r="2480" hidden="1">
      <c r="A2480" s="11" t="n">
        <v>46078</v>
      </c>
      <c r="B2480" t="inlineStr">
        <is>
          <t>Maysa Victoria Dias Moura</t>
        </is>
      </c>
      <c r="C2480" t="inlineStr">
        <is>
          <t>Técnico III</t>
        </is>
      </c>
      <c r="D2480" t="n">
        <v>19</v>
      </c>
      <c r="E2480" t="n">
        <v>18</v>
      </c>
      <c r="F2480" t="n">
        <v>29.04</v>
      </c>
      <c r="G2480" t="n">
        <v>0</v>
      </c>
      <c r="H2480" t="n">
        <v>0</v>
      </c>
      <c r="I2480" s="3">
        <f>E2480+G2480+H2480</f>
        <v/>
      </c>
      <c r="J2480" s="3">
        <f>ROUND(MIN(IF(C2480="Técnico III",35,IF(C2480="Técnico II",28,IF(C2480="Técnico I",23,IF(C2480="JR",20,IF(C2480="Estágio",10,0))))),IF(C2480="Técnico III",SUMIFS($D:$D,$A:$A,$A2480,$B:$B,"&lt;&gt;Patrícia Karla de Sousa Araújo",$B:$B,"&lt;&gt;Lorena Dias de Araujo",$B:$B,"&lt;&gt;Lucas Luiz Romero")*(35/1083),IF(C2480="Técnico II",SUMIFS($D:$D,$A:$A,$A2480,$B:$B,"&lt;&gt;Patrícia Karla de Sousa Araújo",$B:$B,"&lt;&gt;Lorena Dias de Araujo",$B:$B,"&lt;&gt;Lucas Luiz Romero")*(28/1083),IF(C2480="Técnico I",SUMIFS($D:$D,$A:$A,$A2480,$B:$B,"&lt;&gt;Patrícia Karla de Sousa Araújo",$B:$B,"&lt;&gt;Lorena Dias de Araujo",$B:$B,"&lt;&gt;Lucas Luiz Romero")*(23/1083),IF(C2480="JR",SUMIFS($D:$D,$A:$A,$A2480,$B:$B,"&lt;&gt;Patrícia Karla de Sousa Araújo",$B:$B,"&lt;&gt;Lorena Dias de Araujo",$B:$B,"&lt;&gt;Lucas Luiz Romero")*(20/1083),IF(C2480="Estágio",SUMIFS($D:$D,$A:$A,$A2480,$B:$B,"&lt;&gt;Patrícia Karla de Sousa Araújo",$B:$B,"&lt;&gt;Lorena Dias de Araujo",$B:$B,"&lt;&gt;Lucas Luiz Romero")*(10/1083),0)))))),0)</f>
        <v/>
      </c>
      <c r="K2480" s="3">
        <f>I2480-J2480</f>
        <v/>
      </c>
      <c r="L2480" s="3">
        <f>IF(K2480&lt;-5,"CRÍTICO",IF(K2480&lt;0,"ATENÇÃO",IF(K2480&lt;=5,"BOM","EXCELENTE")))</f>
        <v/>
      </c>
      <c r="N2480" t="n">
        <v>94.16</v>
      </c>
      <c r="O2480" t="n">
        <v>27.03862660944206</v>
      </c>
    </row>
    <row r="2481" hidden="1">
      <c r="A2481" s="11" t="n">
        <v>46078</v>
      </c>
      <c r="B2481" t="inlineStr">
        <is>
          <t>Michelle G Santos</t>
        </is>
      </c>
      <c r="C2481" t="inlineStr">
        <is>
          <t>Estágio</t>
        </is>
      </c>
      <c r="D2481" t="n">
        <v>13</v>
      </c>
      <c r="E2481" t="n">
        <v>13</v>
      </c>
      <c r="F2481" t="n">
        <v>37.2</v>
      </c>
      <c r="G2481" t="n">
        <v>0</v>
      </c>
      <c r="H2481" t="n">
        <v>0</v>
      </c>
      <c r="I2481" s="3">
        <f>E2481+G2481+H2481</f>
        <v/>
      </c>
      <c r="J2481" s="3">
        <f>ROUND(MIN(IF(C2481="Técnico III",35,IF(C2481="Técnico II",28,IF(C2481="Técnico I",23,IF(C2481="JR",20,IF(C2481="Estágio",10,0))))),IF(C2481="Técnico III",SUMIFS($D:$D,$A:$A,$A2481,$B:$B,"&lt;&gt;Patrícia Karla de Sousa Araújo",$B:$B,"&lt;&gt;Lorena Dias de Araujo",$B:$B,"&lt;&gt;Lucas Luiz Romero")*(35/1083),IF(C2481="Técnico II",SUMIFS($D:$D,$A:$A,$A2481,$B:$B,"&lt;&gt;Patrícia Karla de Sousa Araújo",$B:$B,"&lt;&gt;Lorena Dias de Araujo",$B:$B,"&lt;&gt;Lucas Luiz Romero")*(28/1083),IF(C2481="Técnico I",SUMIFS($D:$D,$A:$A,$A2481,$B:$B,"&lt;&gt;Patrícia Karla de Sousa Araújo",$B:$B,"&lt;&gt;Lorena Dias de Araujo",$B:$B,"&lt;&gt;Lucas Luiz Romero")*(23/1083),IF(C2481="JR",SUMIFS($D:$D,$A:$A,$A2481,$B:$B,"&lt;&gt;Patrícia Karla de Sousa Araújo",$B:$B,"&lt;&gt;Lorena Dias de Araujo",$B:$B,"&lt;&gt;Lucas Luiz Romero")*(20/1083),IF(C2481="Estágio",SUMIFS($D:$D,$A:$A,$A2481,$B:$B,"&lt;&gt;Patrícia Karla de Sousa Araújo",$B:$B,"&lt;&gt;Lorena Dias de Araujo",$B:$B,"&lt;&gt;Lucas Luiz Romero")*(10/1083),0)))))),0)</f>
        <v/>
      </c>
      <c r="K2481" s="3">
        <f>I2481-J2481</f>
        <v/>
      </c>
      <c r="L2481" s="3">
        <f>IF(K2481&lt;-5,"CRÍTICO",IF(K2481&lt;0,"ATENÇÃO",IF(K2481&lt;=5,"BOM","EXCELENTE")))</f>
        <v/>
      </c>
      <c r="N2481" t="n">
        <v>93.75</v>
      </c>
      <c r="O2481" t="n">
        <v>19.31818181818182</v>
      </c>
    </row>
    <row r="2482" hidden="1">
      <c r="A2482" s="11" t="n">
        <v>46078</v>
      </c>
      <c r="B2482" t="inlineStr">
        <is>
          <t>Milena Sales</t>
        </is>
      </c>
      <c r="C2482" t="inlineStr">
        <is>
          <t>JR</t>
        </is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s="3" t="n">
        <v>0</v>
      </c>
      <c r="J2482" s="3" t="n">
        <v>0</v>
      </c>
      <c r="K2482" s="3" t="n">
        <v>0</v>
      </c>
      <c r="L2482" s="3">
        <f>IF(K2482&lt;-5,"CRÍTICO",IF(K2482&lt;0,"ATENÇÃO",IF(K2482&lt;=5,"BOM","EXCELENTE")))</f>
        <v/>
      </c>
      <c r="N2482" t="n">
        <v>0</v>
      </c>
      <c r="O2482" t="n">
        <v>0</v>
      </c>
    </row>
    <row r="2483" hidden="1">
      <c r="A2483" s="11" t="n">
        <v>46078</v>
      </c>
      <c r="B2483" t="inlineStr">
        <is>
          <t>Patrícia Karla de Sousa Araújo</t>
        </is>
      </c>
      <c r="C2483" t="inlineStr">
        <is>
          <t>Técnico II</t>
        </is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s="3" t="n">
        <v>0</v>
      </c>
      <c r="J2483" s="3" t="n">
        <v>0</v>
      </c>
      <c r="K2483" s="3" t="n">
        <v>0</v>
      </c>
      <c r="L2483" s="3">
        <f>IF(K2483&lt;-5,"CRÍTICO",IF(K2483&lt;0,"ATENÇÃO",IF(K2483&lt;=5,"BOM","EXCELENTE")))</f>
        <v/>
      </c>
      <c r="N2483" t="n">
        <v>97.92</v>
      </c>
      <c r="O2483" t="n">
        <v>32.87671232876712</v>
      </c>
    </row>
    <row r="2484" hidden="1">
      <c r="A2484" s="11" t="n">
        <v>46078</v>
      </c>
      <c r="B2484" t="inlineStr">
        <is>
          <t>Paulo Ricardo Santos</t>
        </is>
      </c>
      <c r="C2484" t="inlineStr">
        <is>
          <t>JR</t>
        </is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s="3" t="n">
        <v>0</v>
      </c>
      <c r="J2484" s="3" t="n">
        <v>0</v>
      </c>
      <c r="K2484" s="3" t="n">
        <v>0</v>
      </c>
      <c r="L2484" s="3">
        <f>IF(K2484&lt;-5,"CRÍTICO",IF(K2484&lt;0,"ATENÇÃO",IF(K2484&lt;=5,"BOM","EXCELENTE")))</f>
        <v/>
      </c>
      <c r="N2484" t="n">
        <v>0</v>
      </c>
      <c r="O2484" t="n">
        <v>0</v>
      </c>
    </row>
    <row r="2485" hidden="1">
      <c r="A2485" s="11" t="n">
        <v>46078</v>
      </c>
      <c r="B2485" t="inlineStr">
        <is>
          <t>Pedro Luiz Mota Sousa</t>
        </is>
      </c>
      <c r="C2485" t="inlineStr">
        <is>
          <t>JR</t>
        </is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s="3" t="n">
        <v>0</v>
      </c>
      <c r="J2485" s="3" t="n">
        <v>0</v>
      </c>
      <c r="K2485" s="3" t="n">
        <v>0</v>
      </c>
      <c r="L2485" s="3">
        <f>IF(K2485&lt;-5,"CRÍTICO",IF(K2485&lt;0,"ATENÇÃO",IF(K2485&lt;=5,"BOM","EXCELENTE")))</f>
        <v/>
      </c>
      <c r="N2485" t="n">
        <v>0</v>
      </c>
      <c r="O2485" t="n">
        <v>0</v>
      </c>
    </row>
    <row r="2486" hidden="1">
      <c r="A2486" s="11" t="n">
        <v>46078</v>
      </c>
      <c r="B2486" t="inlineStr">
        <is>
          <t>Quirino Diogo Leite Torres</t>
        </is>
      </c>
      <c r="C2486" t="inlineStr">
        <is>
          <t>Estágio</t>
        </is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s="3" t="n">
        <v>0</v>
      </c>
      <c r="J2486" s="3" t="n">
        <v>0</v>
      </c>
      <c r="K2486" s="3" t="n">
        <v>0</v>
      </c>
      <c r="L2486" s="3">
        <f>IF(K2486&lt;-5,"CRÍTICO",IF(K2486&lt;0,"ATENÇÃO",IF(K2486&lt;=5,"BOM","EXCELENTE")))</f>
        <v/>
      </c>
      <c r="N2486" t="n">
        <v>0</v>
      </c>
      <c r="O2486" t="n">
        <v>0</v>
      </c>
    </row>
    <row r="2487" hidden="1">
      <c r="A2487" s="11" t="n">
        <v>46078</v>
      </c>
      <c r="B2487" t="inlineStr">
        <is>
          <t>Raane Batista Matos</t>
        </is>
      </c>
      <c r="C2487" t="inlineStr">
        <is>
          <t>Técnico I</t>
        </is>
      </c>
      <c r="D2487" t="n">
        <v>22</v>
      </c>
      <c r="E2487" t="n">
        <v>21</v>
      </c>
      <c r="F2487" t="n">
        <v>23.49</v>
      </c>
      <c r="G2487" t="n">
        <v>0</v>
      </c>
      <c r="H2487" t="n">
        <v>0</v>
      </c>
      <c r="I2487" s="3">
        <f>E2487+G2487+H2487</f>
        <v/>
      </c>
      <c r="J2487" s="3">
        <f>ROUND(MIN(IF(C2487="Técnico III",35,IF(C2487="Técnico II",28,IF(C2487="Técnico I",23,IF(C2487="JR",20,IF(C2487="Estágio",10,0))))),IF(C2487="Técnico III",SUMIFS($D:$D,$A:$A,$A2487,$B:$B,"&lt;&gt;Patrícia Karla de Sousa Araújo",$B:$B,"&lt;&gt;Lorena Dias de Araujo",$B:$B,"&lt;&gt;Lucas Luiz Romero")*(35/1083),IF(C2487="Técnico II",SUMIFS($D:$D,$A:$A,$A2487,$B:$B,"&lt;&gt;Patrícia Karla de Sousa Araújo",$B:$B,"&lt;&gt;Lorena Dias de Araujo",$B:$B,"&lt;&gt;Lucas Luiz Romero")*(28/1083),IF(C2487="Técnico I",SUMIFS($D:$D,$A:$A,$A2487,$B:$B,"&lt;&gt;Patrícia Karla de Sousa Araújo",$B:$B,"&lt;&gt;Lorena Dias de Araujo",$B:$B,"&lt;&gt;Lucas Luiz Romero")*(23/1083),IF(C2487="JR",SUMIFS($D:$D,$A:$A,$A2487,$B:$B,"&lt;&gt;Patrícia Karla de Sousa Araújo",$B:$B,"&lt;&gt;Lorena Dias de Araujo",$B:$B,"&lt;&gt;Lucas Luiz Romero")*(20/1083),IF(C2487="Estágio",SUMIFS($D:$D,$A:$A,$A2487,$B:$B,"&lt;&gt;Patrícia Karla de Sousa Araújo",$B:$B,"&lt;&gt;Lorena Dias de Araujo",$B:$B,"&lt;&gt;Lucas Luiz Romero")*(10/1083),0)))))),0)</f>
        <v/>
      </c>
      <c r="K2487" s="3">
        <f>I2487-J2487</f>
        <v/>
      </c>
      <c r="L2487" s="3">
        <f>IF(K2487&lt;-5,"CRÍTICO",IF(K2487&lt;0,"ATENÇÃO",IF(K2487&lt;=5,"BOM","EXCELENTE")))</f>
        <v/>
      </c>
      <c r="N2487" t="n">
        <v>98.51000000000001</v>
      </c>
      <c r="O2487" t="n">
        <v>29.71014492753623</v>
      </c>
    </row>
    <row r="2488" hidden="1">
      <c r="A2488" s="11" t="n">
        <v>46078</v>
      </c>
      <c r="B2488" t="inlineStr">
        <is>
          <t>Rafael Gomes de Morais</t>
        </is>
      </c>
      <c r="C2488" t="inlineStr">
        <is>
          <t>Técnico III</t>
        </is>
      </c>
      <c r="D2488" t="n">
        <v>36</v>
      </c>
      <c r="E2488" t="n">
        <v>33</v>
      </c>
      <c r="F2488" t="n">
        <v>20.29</v>
      </c>
      <c r="G2488" t="n">
        <v>0</v>
      </c>
      <c r="H2488" t="n">
        <v>0</v>
      </c>
      <c r="I2488" s="3">
        <f>E2488+G2488+H2488</f>
        <v/>
      </c>
      <c r="J2488" s="3">
        <f>ROUND(MIN(IF(C2488="Técnico III",35,IF(C2488="Técnico II",28,IF(C2488="Técnico I",23,IF(C2488="JR",20,IF(C2488="Estágio",10,0))))),IF(C2488="Técnico III",SUMIFS($D:$D,$A:$A,$A2488,$B:$B,"&lt;&gt;Patrícia Karla de Sousa Araújo",$B:$B,"&lt;&gt;Lorena Dias de Araujo",$B:$B,"&lt;&gt;Lucas Luiz Romero")*(35/1083),IF(C2488="Técnico II",SUMIFS($D:$D,$A:$A,$A2488,$B:$B,"&lt;&gt;Patrícia Karla de Sousa Araújo",$B:$B,"&lt;&gt;Lorena Dias de Araujo",$B:$B,"&lt;&gt;Lucas Luiz Romero")*(28/1083),IF(C2488="Técnico I",SUMIFS($D:$D,$A:$A,$A2488,$B:$B,"&lt;&gt;Patrícia Karla de Sousa Araújo",$B:$B,"&lt;&gt;Lorena Dias de Araujo",$B:$B,"&lt;&gt;Lucas Luiz Romero")*(23/1083),IF(C2488="JR",SUMIFS($D:$D,$A:$A,$A2488,$B:$B,"&lt;&gt;Patrícia Karla de Sousa Araújo",$B:$B,"&lt;&gt;Lorena Dias de Araujo",$B:$B,"&lt;&gt;Lucas Luiz Romero")*(20/1083),IF(C2488="Estágio",SUMIFS($D:$D,$A:$A,$A2488,$B:$B,"&lt;&gt;Patrícia Karla de Sousa Araújo",$B:$B,"&lt;&gt;Lorena Dias de Araujo",$B:$B,"&lt;&gt;Lucas Luiz Romero")*(10/1083),0)))))),0)</f>
        <v/>
      </c>
      <c r="K2488" s="3">
        <f>I2488-J2488</f>
        <v/>
      </c>
      <c r="L2488" s="3">
        <f>IF(K2488&lt;-5,"CRÍTICO",IF(K2488&lt;0,"ATENÇÃO",IF(K2488&lt;=5,"BOM","EXCELENTE")))</f>
        <v/>
      </c>
      <c r="N2488" t="n">
        <v>98.81</v>
      </c>
      <c r="O2488" t="n">
        <v>30.71297989031079</v>
      </c>
    </row>
    <row r="2489" hidden="1">
      <c r="A2489" s="11" t="n">
        <v>46078</v>
      </c>
      <c r="B2489" t="inlineStr">
        <is>
          <t>Sara Maria Monteiro Lopes</t>
        </is>
      </c>
      <c r="C2489" t="inlineStr">
        <is>
          <t>Técnico I</t>
        </is>
      </c>
      <c r="D2489" t="n">
        <v>12</v>
      </c>
      <c r="E2489" t="n">
        <v>5</v>
      </c>
      <c r="F2489" t="n">
        <v>15.23</v>
      </c>
      <c r="G2489" t="n">
        <v>0</v>
      </c>
      <c r="H2489" t="n">
        <v>0</v>
      </c>
      <c r="I2489" s="3">
        <f>E2489+G2489+H2489</f>
        <v/>
      </c>
      <c r="J2489" s="3">
        <f>ROUND(MIN(IF(C2489="Técnico III",35,IF(C2489="Técnico II",28,IF(C2489="Técnico I",23,IF(C2489="JR",20,IF(C2489="Estágio",10,0))))),IF(C2489="Técnico III",SUMIFS($D:$D,$A:$A,$A2489,$B:$B,"&lt;&gt;Patrícia Karla de Sousa Araújo",$B:$B,"&lt;&gt;Lorena Dias de Araujo",$B:$B,"&lt;&gt;Lucas Luiz Romero")*(35/1083),IF(C2489="Técnico II",SUMIFS($D:$D,$A:$A,$A2489,$B:$B,"&lt;&gt;Patrícia Karla de Sousa Araújo",$B:$B,"&lt;&gt;Lorena Dias de Araujo",$B:$B,"&lt;&gt;Lucas Luiz Romero")*(28/1083),IF(C2489="Técnico I",SUMIFS($D:$D,$A:$A,$A2489,$B:$B,"&lt;&gt;Patrícia Karla de Sousa Araújo",$B:$B,"&lt;&gt;Lorena Dias de Araujo",$B:$B,"&lt;&gt;Lucas Luiz Romero")*(23/1083),IF(C2489="JR",SUMIFS($D:$D,$A:$A,$A2489,$B:$B,"&lt;&gt;Patrícia Karla de Sousa Araújo",$B:$B,"&lt;&gt;Lorena Dias de Araujo",$B:$B,"&lt;&gt;Lucas Luiz Romero")*(20/1083),IF(C2489="Estágio",SUMIFS($D:$D,$A:$A,$A2489,$B:$B,"&lt;&gt;Patrícia Karla de Sousa Araújo",$B:$B,"&lt;&gt;Lorena Dias de Araujo",$B:$B,"&lt;&gt;Lucas Luiz Romero")*(10/1083),0)))))),0)</f>
        <v/>
      </c>
      <c r="K2489" s="3">
        <f>I2489-J2489</f>
        <v/>
      </c>
      <c r="L2489" s="3">
        <f>IF(K2489&lt;-5,"CRÍTICO",IF(K2489&lt;0,"ATENÇÃO",IF(K2489&lt;=5,"BOM","EXCELENTE")))</f>
        <v/>
      </c>
      <c r="N2489" t="n">
        <v>98.48</v>
      </c>
      <c r="O2489" t="n">
        <v>29.35323383084577</v>
      </c>
    </row>
    <row r="2490" hidden="1">
      <c r="A2490" s="11" t="n">
        <v>46078</v>
      </c>
      <c r="B2490" t="inlineStr">
        <is>
          <t>Sarah Steffanie de Lima Borges</t>
        </is>
      </c>
      <c r="C2490" t="inlineStr">
        <is>
          <t>Técnico III</t>
        </is>
      </c>
      <c r="D2490" t="n">
        <v>27</v>
      </c>
      <c r="E2490" t="n">
        <v>26</v>
      </c>
      <c r="F2490" t="n">
        <v>25.24</v>
      </c>
      <c r="G2490" t="n">
        <v>0</v>
      </c>
      <c r="H2490" t="n">
        <v>0</v>
      </c>
      <c r="I2490" s="3">
        <f>E2490+G2490+H2490</f>
        <v/>
      </c>
      <c r="J2490" s="3">
        <f>ROUND(MIN(IF(C2490="Técnico III",35,IF(C2490="Técnico II",28,IF(C2490="Técnico I",23,IF(C2490="JR",20,IF(C2490="Estágio",10,0))))),IF(C2490="Técnico III",SUMIFS($D:$D,$A:$A,$A2490,$B:$B,"&lt;&gt;Patrícia Karla de Sousa Araújo",$B:$B,"&lt;&gt;Lorena Dias de Araujo",$B:$B,"&lt;&gt;Lucas Luiz Romero")*(35/1083),IF(C2490="Técnico II",SUMIFS($D:$D,$A:$A,$A2490,$B:$B,"&lt;&gt;Patrícia Karla de Sousa Araújo",$B:$B,"&lt;&gt;Lorena Dias de Araujo",$B:$B,"&lt;&gt;Lucas Luiz Romero")*(28/1083),IF(C2490="Técnico I",SUMIFS($D:$D,$A:$A,$A2490,$B:$B,"&lt;&gt;Patrícia Karla de Sousa Araújo",$B:$B,"&lt;&gt;Lorena Dias de Araujo",$B:$B,"&lt;&gt;Lucas Luiz Romero")*(23/1083),IF(C2490="JR",SUMIFS($D:$D,$A:$A,$A2490,$B:$B,"&lt;&gt;Patrícia Karla de Sousa Araújo",$B:$B,"&lt;&gt;Lorena Dias de Araujo",$B:$B,"&lt;&gt;Lucas Luiz Romero")*(20/1083),IF(C2490="Estágio",SUMIFS($D:$D,$A:$A,$A2490,$B:$B,"&lt;&gt;Patrícia Karla de Sousa Araújo",$B:$B,"&lt;&gt;Lorena Dias de Araujo",$B:$B,"&lt;&gt;Lucas Luiz Romero")*(10/1083),0)))))),0)</f>
        <v/>
      </c>
      <c r="K2490" s="3">
        <f>I2490-J2490</f>
        <v/>
      </c>
      <c r="L2490" s="3">
        <f>IF(K2490&lt;-5,"CRÍTICO",IF(K2490&lt;0,"ATENÇÃO",IF(K2490&lt;=5,"BOM","EXCELENTE")))</f>
        <v/>
      </c>
      <c r="N2490" t="n">
        <v>98.56</v>
      </c>
      <c r="O2490" t="n">
        <v>29.37365010799136</v>
      </c>
    </row>
    <row r="2491" hidden="1">
      <c r="A2491" s="11" t="n">
        <v>46079</v>
      </c>
      <c r="B2491" t="inlineStr">
        <is>
          <t>Alisson de Freitas Silva</t>
        </is>
      </c>
      <c r="C2491" t="inlineStr">
        <is>
          <t>Técnico II</t>
        </is>
      </c>
      <c r="D2491" t="n">
        <v>20</v>
      </c>
      <c r="E2491" t="n">
        <v>19</v>
      </c>
      <c r="F2491" t="n">
        <v>26.4</v>
      </c>
      <c r="G2491" t="n">
        <v>0</v>
      </c>
      <c r="H2491" t="n">
        <v>0</v>
      </c>
      <c r="I2491" s="3">
        <f>E2491+G2491+H2491</f>
        <v/>
      </c>
      <c r="J2491" s="3">
        <f>ROUND(MIN(IF(C2491="Técnico III",35,IF(C2491="Técnico II",28,IF(C2491="Técnico I",23,IF(C2491="JR",20,IF(C2491="Estágio",10,0))))),IF(C2491="Técnico III",SUMIFS($D:$D,$A:$A,$A2491,$B:$B,"&lt;&gt;Patrícia Karla de Sousa Araújo",$B:$B,"&lt;&gt;Lorena Dias de Araujo",$B:$B,"&lt;&gt;Lucas Luiz Romero")*(35/1083),IF(C2491="Técnico II",SUMIFS($D:$D,$A:$A,$A2491,$B:$B,"&lt;&gt;Patrícia Karla de Sousa Araújo",$B:$B,"&lt;&gt;Lorena Dias de Araujo",$B:$B,"&lt;&gt;Lucas Luiz Romero")*(28/1083),IF(C2491="Técnico I",SUMIFS($D:$D,$A:$A,$A2491,$B:$B,"&lt;&gt;Patrícia Karla de Sousa Araújo",$B:$B,"&lt;&gt;Lorena Dias de Araujo",$B:$B,"&lt;&gt;Lucas Luiz Romero")*(23/1083),IF(C2491="JR",SUMIFS($D:$D,$A:$A,$A2491,$B:$B,"&lt;&gt;Patrícia Karla de Sousa Araújo",$B:$B,"&lt;&gt;Lorena Dias de Araujo",$B:$B,"&lt;&gt;Lucas Luiz Romero")*(20/1083),IF(C2491="Estágio",SUMIFS($D:$D,$A:$A,$A2491,$B:$B,"&lt;&gt;Patrícia Karla de Sousa Araújo",$B:$B,"&lt;&gt;Lorena Dias de Araujo",$B:$B,"&lt;&gt;Lucas Luiz Romero")*(10/1083),0)))))),0)</f>
        <v/>
      </c>
      <c r="K2491" s="3">
        <f>I2491-J2491</f>
        <v/>
      </c>
      <c r="L2491" s="3">
        <f>IF(K2491&lt;-5,"CRÍTICO",IF(K2491&lt;0,"ATENÇÃO",IF(K2491&lt;=5,"BOM","EXCELENTE")))</f>
        <v/>
      </c>
      <c r="N2491" t="n">
        <v>98.31999999999999</v>
      </c>
      <c r="O2491" t="n">
        <v>30.3030303030303</v>
      </c>
    </row>
    <row r="2492" hidden="1">
      <c r="A2492" s="11" t="n">
        <v>46079</v>
      </c>
      <c r="B2492" t="inlineStr">
        <is>
          <t>Amanda Moura Ferreira</t>
        </is>
      </c>
      <c r="C2492" t="inlineStr">
        <is>
          <t>Técnico III</t>
        </is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s="3" t="n">
        <v>0</v>
      </c>
      <c r="J2492" s="3" t="n">
        <v>0</v>
      </c>
      <c r="K2492" s="3" t="n">
        <v>0</v>
      </c>
      <c r="L2492" s="3">
        <f>IF(K2492&lt;-5,"CRÍTICO",IF(K2492&lt;0,"ATENÇÃO",IF(K2492&lt;=5,"BOM","EXCELENTE")))</f>
        <v/>
      </c>
      <c r="N2492" t="n">
        <v>98.68000000000001</v>
      </c>
      <c r="O2492" t="n">
        <v>26.21951219512195</v>
      </c>
    </row>
    <row r="2493" hidden="1">
      <c r="A2493" s="11" t="n">
        <v>46079</v>
      </c>
      <c r="B2493" t="inlineStr">
        <is>
          <t>Ana Karollyne Souza Faria</t>
        </is>
      </c>
      <c r="C2493" t="inlineStr">
        <is>
          <t>Técnico I</t>
        </is>
      </c>
      <c r="D2493" t="n">
        <v>25</v>
      </c>
      <c r="E2493" t="n">
        <v>24</v>
      </c>
      <c r="F2493" t="n">
        <v>27.07</v>
      </c>
      <c r="G2493" t="n">
        <v>0</v>
      </c>
      <c r="H2493" t="n">
        <v>0</v>
      </c>
      <c r="I2493" s="3">
        <f>E2493+G2493+H2493</f>
        <v/>
      </c>
      <c r="J2493" s="3">
        <f>ROUND(MIN(IF(C2493="Técnico III",35,IF(C2493="Técnico II",28,IF(C2493="Técnico I",23,IF(C2493="JR",20,IF(C2493="Estágio",10,0))))),IF(C2493="Técnico III",SUMIFS($D:$D,$A:$A,$A2493,$B:$B,"&lt;&gt;Patrícia Karla de Sousa Araújo",$B:$B,"&lt;&gt;Lorena Dias de Araujo",$B:$B,"&lt;&gt;Lucas Luiz Romero")*(35/1083),IF(C2493="Técnico II",SUMIFS($D:$D,$A:$A,$A2493,$B:$B,"&lt;&gt;Patrícia Karla de Sousa Araújo",$B:$B,"&lt;&gt;Lorena Dias de Araujo",$B:$B,"&lt;&gt;Lucas Luiz Romero")*(28/1083),IF(C2493="Técnico I",SUMIFS($D:$D,$A:$A,$A2493,$B:$B,"&lt;&gt;Patrícia Karla de Sousa Araújo",$B:$B,"&lt;&gt;Lorena Dias de Araujo",$B:$B,"&lt;&gt;Lucas Luiz Romero")*(23/1083),IF(C2493="JR",SUMIFS($D:$D,$A:$A,$A2493,$B:$B,"&lt;&gt;Patrícia Karla de Sousa Araújo",$B:$B,"&lt;&gt;Lorena Dias de Araujo",$B:$B,"&lt;&gt;Lucas Luiz Romero")*(20/1083),IF(C2493="Estágio",SUMIFS($D:$D,$A:$A,$A2493,$B:$B,"&lt;&gt;Patrícia Karla de Sousa Araújo",$B:$B,"&lt;&gt;Lorena Dias de Araujo",$B:$B,"&lt;&gt;Lucas Luiz Romero")*(10/1083),0)))))),0)</f>
        <v/>
      </c>
      <c r="K2493" s="3">
        <f>I2493-J2493</f>
        <v/>
      </c>
      <c r="L2493" s="3">
        <f>IF(K2493&lt;-5,"CRÍTICO",IF(K2493&lt;0,"ATENÇÃO",IF(K2493&lt;=5,"BOM","EXCELENTE")))</f>
        <v/>
      </c>
      <c r="N2493" t="n">
        <v>100</v>
      </c>
      <c r="O2493" t="n">
        <v>31.74224343675418</v>
      </c>
    </row>
    <row r="2494" hidden="1">
      <c r="A2494" s="11" t="n">
        <v>46079</v>
      </c>
      <c r="B2494" t="inlineStr">
        <is>
          <t>Ana Paula Da Luz Silva Aleixo</t>
        </is>
      </c>
      <c r="C2494" t="inlineStr">
        <is>
          <t>Técnico III</t>
        </is>
      </c>
      <c r="D2494" t="n">
        <v>21</v>
      </c>
      <c r="E2494" t="n">
        <v>20</v>
      </c>
      <c r="F2494" t="n">
        <v>31.56</v>
      </c>
      <c r="G2494" t="n">
        <v>0</v>
      </c>
      <c r="H2494" t="n">
        <v>0</v>
      </c>
      <c r="I2494" s="3">
        <f>E2494+G2494+H2494</f>
        <v/>
      </c>
      <c r="J2494" s="3">
        <f>ROUND(MIN(IF(C2494="Técnico III",35,IF(C2494="Técnico II",28,IF(C2494="Técnico I",23,IF(C2494="JR",20,IF(C2494="Estágio",10,0))))),IF(C2494="Técnico III",SUMIFS($D:$D,$A:$A,$A2494,$B:$B,"&lt;&gt;Patrícia Karla de Sousa Araújo",$B:$B,"&lt;&gt;Lorena Dias de Araujo",$B:$B,"&lt;&gt;Lucas Luiz Romero")*(35/1083),IF(C2494="Técnico II",SUMIFS($D:$D,$A:$A,$A2494,$B:$B,"&lt;&gt;Patrícia Karla de Sousa Araújo",$B:$B,"&lt;&gt;Lorena Dias de Araujo",$B:$B,"&lt;&gt;Lucas Luiz Romero")*(28/1083),IF(C2494="Técnico I",SUMIFS($D:$D,$A:$A,$A2494,$B:$B,"&lt;&gt;Patrícia Karla de Sousa Araújo",$B:$B,"&lt;&gt;Lorena Dias de Araujo",$B:$B,"&lt;&gt;Lucas Luiz Romero")*(23/1083),IF(C2494="JR",SUMIFS($D:$D,$A:$A,$A2494,$B:$B,"&lt;&gt;Patrícia Karla de Sousa Araújo",$B:$B,"&lt;&gt;Lorena Dias de Araujo",$B:$B,"&lt;&gt;Lucas Luiz Romero")*(20/1083),IF(C2494="Estágio",SUMIFS($D:$D,$A:$A,$A2494,$B:$B,"&lt;&gt;Patrícia Karla de Sousa Araújo",$B:$B,"&lt;&gt;Lorena Dias de Araujo",$B:$B,"&lt;&gt;Lucas Luiz Romero")*(10/1083),0)))))),0)</f>
        <v/>
      </c>
      <c r="K2494" s="3">
        <f>I2494-J2494</f>
        <v/>
      </c>
      <c r="L2494" s="3">
        <f>IF(K2494&lt;-5,"CRÍTICO",IF(K2494&lt;0,"ATENÇÃO",IF(K2494&lt;=5,"BOM","EXCELENTE")))</f>
        <v/>
      </c>
      <c r="N2494" t="n">
        <v>98.25</v>
      </c>
      <c r="O2494" t="n">
        <v>25.83518930957684</v>
      </c>
    </row>
    <row r="2495" hidden="1">
      <c r="A2495" s="11" t="n">
        <v>46079</v>
      </c>
      <c r="B2495" t="inlineStr">
        <is>
          <t>Anna Luiza Rezende Tavares</t>
        </is>
      </c>
      <c r="C2495" t="inlineStr">
        <is>
          <t>Estágio</t>
        </is>
      </c>
      <c r="D2495" t="n">
        <v>11</v>
      </c>
      <c r="E2495" t="n">
        <v>9</v>
      </c>
      <c r="F2495" t="n">
        <v>32.06</v>
      </c>
      <c r="G2495" t="n">
        <v>0</v>
      </c>
      <c r="H2495" t="n">
        <v>0</v>
      </c>
      <c r="I2495" s="3">
        <f>E2495+G2495+H2495</f>
        <v/>
      </c>
      <c r="J2495" s="3">
        <f>ROUND(MIN(IF(C2495="Técnico III",35,IF(C2495="Técnico II",28,IF(C2495="Técnico I",23,IF(C2495="JR",20,IF(C2495="Estágio",10,0))))),IF(C2495="Técnico III",SUMIFS($D:$D,$A:$A,$A2495,$B:$B,"&lt;&gt;Patrícia Karla de Sousa Araújo",$B:$B,"&lt;&gt;Lorena Dias de Araujo",$B:$B,"&lt;&gt;Lucas Luiz Romero")*(35/1083),IF(C2495="Técnico II",SUMIFS($D:$D,$A:$A,$A2495,$B:$B,"&lt;&gt;Patrícia Karla de Sousa Araújo",$B:$B,"&lt;&gt;Lorena Dias de Araujo",$B:$B,"&lt;&gt;Lucas Luiz Romero")*(28/1083),IF(C2495="Técnico I",SUMIFS($D:$D,$A:$A,$A2495,$B:$B,"&lt;&gt;Patrícia Karla de Sousa Araújo",$B:$B,"&lt;&gt;Lorena Dias de Araujo",$B:$B,"&lt;&gt;Lucas Luiz Romero")*(23/1083),IF(C2495="JR",SUMIFS($D:$D,$A:$A,$A2495,$B:$B,"&lt;&gt;Patrícia Karla de Sousa Araújo",$B:$B,"&lt;&gt;Lorena Dias de Araujo",$B:$B,"&lt;&gt;Lucas Luiz Romero")*(20/1083),IF(C2495="Estágio",SUMIFS($D:$D,$A:$A,$A2495,$B:$B,"&lt;&gt;Patrícia Karla de Sousa Araújo",$B:$B,"&lt;&gt;Lorena Dias de Araujo",$B:$B,"&lt;&gt;Lucas Luiz Romero")*(10/1083),0)))))),0)</f>
        <v/>
      </c>
      <c r="K2495" s="3">
        <f>I2495-J2495</f>
        <v/>
      </c>
      <c r="L2495" s="3">
        <f>IF(K2495&lt;-5,"CRÍTICO",IF(K2495&lt;0,"ATENÇÃO",IF(K2495&lt;=5,"BOM","EXCELENTE")))</f>
        <v/>
      </c>
      <c r="N2495" t="n">
        <v>97.5</v>
      </c>
      <c r="O2495" t="n">
        <v>30.07518796992481</v>
      </c>
    </row>
    <row r="2496" hidden="1">
      <c r="A2496" s="11" t="n">
        <v>46079</v>
      </c>
      <c r="B2496" t="inlineStr">
        <is>
          <t>Brenda de Menezes Silva</t>
        </is>
      </c>
      <c r="C2496" t="inlineStr">
        <is>
          <t>Técnico II</t>
        </is>
      </c>
      <c r="D2496" t="n">
        <v>27</v>
      </c>
      <c r="E2496" t="n">
        <v>26</v>
      </c>
      <c r="F2496" t="n">
        <v>20.26</v>
      </c>
      <c r="G2496" t="n">
        <v>0</v>
      </c>
      <c r="H2496" t="n">
        <v>0</v>
      </c>
      <c r="I2496" s="3">
        <f>E2496+G2496+H2496</f>
        <v/>
      </c>
      <c r="J2496" s="3">
        <f>ROUND(MIN(IF(C2496="Técnico III",35,IF(C2496="Técnico II",28,IF(C2496="Técnico I",23,IF(C2496="JR",20,IF(C2496="Estágio",10,0))))),IF(C2496="Técnico III",SUMIFS($D:$D,$A:$A,$A2496,$B:$B,"&lt;&gt;Patrícia Karla de Sousa Araújo",$B:$B,"&lt;&gt;Lorena Dias de Araujo",$B:$B,"&lt;&gt;Lucas Luiz Romero")*(35/1083),IF(C2496="Técnico II",SUMIFS($D:$D,$A:$A,$A2496,$B:$B,"&lt;&gt;Patrícia Karla de Sousa Araújo",$B:$B,"&lt;&gt;Lorena Dias de Araujo",$B:$B,"&lt;&gt;Lucas Luiz Romero")*(28/1083),IF(C2496="Técnico I",SUMIFS($D:$D,$A:$A,$A2496,$B:$B,"&lt;&gt;Patrícia Karla de Sousa Araújo",$B:$B,"&lt;&gt;Lorena Dias de Araujo",$B:$B,"&lt;&gt;Lucas Luiz Romero")*(23/1083),IF(C2496="JR",SUMIFS($D:$D,$A:$A,$A2496,$B:$B,"&lt;&gt;Patrícia Karla de Sousa Araújo",$B:$B,"&lt;&gt;Lorena Dias de Araujo",$B:$B,"&lt;&gt;Lucas Luiz Romero")*(20/1083),IF(C2496="Estágio",SUMIFS($D:$D,$A:$A,$A2496,$B:$B,"&lt;&gt;Patrícia Karla de Sousa Araújo",$B:$B,"&lt;&gt;Lorena Dias de Araujo",$B:$B,"&lt;&gt;Lucas Luiz Romero")*(10/1083),0)))))),0)</f>
        <v/>
      </c>
      <c r="K2496" s="3">
        <f>I2496-J2496</f>
        <v/>
      </c>
      <c r="L2496" s="3">
        <f>IF(K2496&lt;-5,"CRÍTICO",IF(K2496&lt;0,"ATENÇÃO",IF(K2496&lt;=5,"BOM","EXCELENTE")))</f>
        <v/>
      </c>
      <c r="N2496" t="n">
        <v>100</v>
      </c>
      <c r="O2496" t="n">
        <v>29.71311475409836</v>
      </c>
    </row>
    <row r="2497" hidden="1">
      <c r="A2497" s="11" t="n">
        <v>46079</v>
      </c>
      <c r="B2497" t="inlineStr">
        <is>
          <t>Carlos Mateus Cassimiro Nunes</t>
        </is>
      </c>
      <c r="C2497" t="inlineStr">
        <is>
          <t>Técnico II</t>
        </is>
      </c>
      <c r="D2497" t="n">
        <v>11</v>
      </c>
      <c r="E2497" t="n">
        <v>11</v>
      </c>
      <c r="F2497" t="n">
        <v>60.37</v>
      </c>
      <c r="G2497" t="n">
        <v>0</v>
      </c>
      <c r="H2497" t="n">
        <v>0</v>
      </c>
      <c r="I2497" s="3">
        <f>E2497+G2497+H2497</f>
        <v/>
      </c>
      <c r="J2497" s="3">
        <f>ROUND(MIN(IF(C2497="Técnico III",35,IF(C2497="Técnico II",28,IF(C2497="Técnico I",23,IF(C2497="JR",20,IF(C2497="Estágio",10,0))))),IF(C2497="Técnico III",SUMIFS($D:$D,$A:$A,$A2497,$B:$B,"&lt;&gt;Patrícia Karla de Sousa Araújo",$B:$B,"&lt;&gt;Lorena Dias de Araujo",$B:$B,"&lt;&gt;Lucas Luiz Romero")*(35/1083),IF(C2497="Técnico II",SUMIFS($D:$D,$A:$A,$A2497,$B:$B,"&lt;&gt;Patrícia Karla de Sousa Araújo",$B:$B,"&lt;&gt;Lorena Dias de Araujo",$B:$B,"&lt;&gt;Lucas Luiz Romero")*(28/1083),IF(C2497="Técnico I",SUMIFS($D:$D,$A:$A,$A2497,$B:$B,"&lt;&gt;Patrícia Karla de Sousa Araújo",$B:$B,"&lt;&gt;Lorena Dias de Araujo",$B:$B,"&lt;&gt;Lucas Luiz Romero")*(23/1083),IF(C2497="JR",SUMIFS($D:$D,$A:$A,$A2497,$B:$B,"&lt;&gt;Patrícia Karla de Sousa Araújo",$B:$B,"&lt;&gt;Lorena Dias de Araujo",$B:$B,"&lt;&gt;Lucas Luiz Romero")*(20/1083),IF(C2497="Estágio",SUMIFS($D:$D,$A:$A,$A2497,$B:$B,"&lt;&gt;Patrícia Karla de Sousa Araújo",$B:$B,"&lt;&gt;Lorena Dias de Araujo",$B:$B,"&lt;&gt;Lucas Luiz Romero")*(10/1083),0)))))),0)</f>
        <v/>
      </c>
      <c r="K2497" s="3">
        <f>I2497-J2497</f>
        <v/>
      </c>
      <c r="L2497" s="3">
        <f>IF(K2497&lt;-5,"CRÍTICO",IF(K2497&lt;0,"ATENÇÃO",IF(K2497&lt;=5,"BOM","EXCELENTE")))</f>
        <v/>
      </c>
      <c r="N2497" t="n">
        <v>99.22</v>
      </c>
      <c r="O2497" t="n">
        <v>35.25641025641026</v>
      </c>
    </row>
    <row r="2498" hidden="1">
      <c r="A2498" s="11" t="n">
        <v>46079</v>
      </c>
      <c r="B2498" t="inlineStr">
        <is>
          <t>Claudio de Sousa Velasco Filho</t>
        </is>
      </c>
      <c r="C2498" t="inlineStr">
        <is>
          <t>Estágio</t>
        </is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s="3" t="n">
        <v>0</v>
      </c>
      <c r="J2498" s="3" t="n">
        <v>0</v>
      </c>
      <c r="K2498" s="3" t="n">
        <v>0</v>
      </c>
      <c r="L2498" s="3">
        <f>IF(K2498&lt;-5,"CRÍTICO",IF(K2498&lt;0,"ATENÇÃO",IF(K2498&lt;=5,"BOM","EXCELENTE")))</f>
        <v/>
      </c>
      <c r="N2498" t="n">
        <v>0</v>
      </c>
      <c r="O2498" t="n">
        <v>0</v>
      </c>
    </row>
    <row r="2499" hidden="1">
      <c r="A2499" s="11" t="n">
        <v>46079</v>
      </c>
      <c r="B2499" t="inlineStr">
        <is>
          <t>Clessiane Pereira dos Santos</t>
        </is>
      </c>
      <c r="C2499" t="inlineStr">
        <is>
          <t>Técnico I</t>
        </is>
      </c>
      <c r="D2499" t="n">
        <v>16</v>
      </c>
      <c r="E2499" t="n">
        <v>15</v>
      </c>
      <c r="F2499" t="n">
        <v>40.14</v>
      </c>
      <c r="G2499" t="n">
        <v>0</v>
      </c>
      <c r="H2499" t="n">
        <v>0</v>
      </c>
      <c r="I2499" s="3">
        <f>E2499+G2499+H2499</f>
        <v/>
      </c>
      <c r="J2499" s="3">
        <f>ROUND(MIN(IF(C2499="Técnico III",35,IF(C2499="Técnico II",28,IF(C2499="Técnico I",23,IF(C2499="JR",20,IF(C2499="Estágio",10,0))))),IF(C2499="Técnico III",SUMIFS($D:$D,$A:$A,$A2499,$B:$B,"&lt;&gt;Patrícia Karla de Sousa Araújo",$B:$B,"&lt;&gt;Lorena Dias de Araujo",$B:$B,"&lt;&gt;Lucas Luiz Romero")*(35/1083),IF(C2499="Técnico II",SUMIFS($D:$D,$A:$A,$A2499,$B:$B,"&lt;&gt;Patrícia Karla de Sousa Araújo",$B:$B,"&lt;&gt;Lorena Dias de Araujo",$B:$B,"&lt;&gt;Lucas Luiz Romero")*(28/1083),IF(C2499="Técnico I",SUMIFS($D:$D,$A:$A,$A2499,$B:$B,"&lt;&gt;Patrícia Karla de Sousa Araújo",$B:$B,"&lt;&gt;Lorena Dias de Araujo",$B:$B,"&lt;&gt;Lucas Luiz Romero")*(23/1083),IF(C2499="JR",SUMIFS($D:$D,$A:$A,$A2499,$B:$B,"&lt;&gt;Patrícia Karla de Sousa Araújo",$B:$B,"&lt;&gt;Lorena Dias de Araujo",$B:$B,"&lt;&gt;Lucas Luiz Romero")*(20/1083),IF(C2499="Estágio",SUMIFS($D:$D,$A:$A,$A2499,$B:$B,"&lt;&gt;Patrícia Karla de Sousa Araújo",$B:$B,"&lt;&gt;Lorena Dias de Araujo",$B:$B,"&lt;&gt;Lucas Luiz Romero")*(10/1083),0)))))),0)</f>
        <v/>
      </c>
      <c r="K2499" s="3">
        <f>I2499-J2499</f>
        <v/>
      </c>
      <c r="L2499" s="3">
        <f>IF(K2499&lt;-5,"CRÍTICO",IF(K2499&lt;0,"ATENÇÃO",IF(K2499&lt;=5,"BOM","EXCELENTE")))</f>
        <v/>
      </c>
      <c r="N2499" t="n">
        <v>98.75</v>
      </c>
      <c r="O2499" t="n">
        <v>24.32432432432433</v>
      </c>
    </row>
    <row r="2500" hidden="1">
      <c r="A2500" s="11" t="n">
        <v>46079</v>
      </c>
      <c r="B2500" t="inlineStr">
        <is>
          <t>Cristiane Ramos da Silva Rocha</t>
        </is>
      </c>
      <c r="C2500" t="inlineStr">
        <is>
          <t>Técnico III</t>
        </is>
      </c>
      <c r="D2500" t="n">
        <v>21</v>
      </c>
      <c r="E2500" t="n">
        <v>21</v>
      </c>
      <c r="F2500" t="n">
        <v>33.28</v>
      </c>
      <c r="G2500" t="n">
        <v>0</v>
      </c>
      <c r="H2500" t="n">
        <v>0</v>
      </c>
      <c r="I2500" s="3">
        <f>E2500+G2500+H2500</f>
        <v/>
      </c>
      <c r="J2500" s="3">
        <f>ROUND(MIN(IF(C2500="Técnico III",35,IF(C2500="Técnico II",28,IF(C2500="Técnico I",23,IF(C2500="JR",20,IF(C2500="Estágio",10,0))))),IF(C2500="Técnico III",SUMIFS($D:$D,$A:$A,$A2500,$B:$B,"&lt;&gt;Patrícia Karla de Sousa Araújo",$B:$B,"&lt;&gt;Lorena Dias de Araujo",$B:$B,"&lt;&gt;Lucas Luiz Romero")*(35/1083),IF(C2500="Técnico II",SUMIFS($D:$D,$A:$A,$A2500,$B:$B,"&lt;&gt;Patrícia Karla de Sousa Araújo",$B:$B,"&lt;&gt;Lorena Dias de Araujo",$B:$B,"&lt;&gt;Lucas Luiz Romero")*(28/1083),IF(C2500="Técnico I",SUMIFS($D:$D,$A:$A,$A2500,$B:$B,"&lt;&gt;Patrícia Karla de Sousa Araújo",$B:$B,"&lt;&gt;Lorena Dias de Araujo",$B:$B,"&lt;&gt;Lucas Luiz Romero")*(23/1083),IF(C2500="JR",SUMIFS($D:$D,$A:$A,$A2500,$B:$B,"&lt;&gt;Patrícia Karla de Sousa Araújo",$B:$B,"&lt;&gt;Lorena Dias de Araujo",$B:$B,"&lt;&gt;Lucas Luiz Romero")*(20/1083),IF(C2500="Estágio",SUMIFS($D:$D,$A:$A,$A2500,$B:$B,"&lt;&gt;Patrícia Karla de Sousa Araújo",$B:$B,"&lt;&gt;Lorena Dias de Araujo",$B:$B,"&lt;&gt;Lucas Luiz Romero")*(10/1083),0)))))),0)</f>
        <v/>
      </c>
      <c r="K2500" s="3">
        <f>I2500-J2500</f>
        <v/>
      </c>
      <c r="L2500" s="3">
        <f>IF(K2500&lt;-5,"CRÍTICO",IF(K2500&lt;0,"ATENÇÃO",IF(K2500&lt;=5,"BOM","EXCELENTE")))</f>
        <v/>
      </c>
      <c r="N2500" t="n">
        <v>93.48</v>
      </c>
      <c r="O2500" t="n">
        <v>31.33462282398452</v>
      </c>
    </row>
    <row r="2501" hidden="1">
      <c r="A2501" s="11" t="n">
        <v>46079</v>
      </c>
      <c r="B2501" t="inlineStr">
        <is>
          <t>Damyllis Lorraine de Oliveira Gonçalves</t>
        </is>
      </c>
      <c r="C2501" t="inlineStr">
        <is>
          <t>Técnico II</t>
        </is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s="3" t="n">
        <v>0</v>
      </c>
      <c r="J2501" s="3" t="n">
        <v>0</v>
      </c>
      <c r="K2501" s="3" t="n">
        <v>0</v>
      </c>
      <c r="L2501" s="3">
        <f>IF(K2501&lt;-5,"CRÍTICO",IF(K2501&lt;0,"ATENÇÃO",IF(K2501&lt;=5,"BOM","EXCELENTE")))</f>
        <v/>
      </c>
      <c r="N2501" t="n">
        <v>99.16</v>
      </c>
      <c r="O2501" t="n">
        <v>26.13908872901678</v>
      </c>
    </row>
    <row r="2502" hidden="1">
      <c r="A2502" s="11" t="n">
        <v>46079</v>
      </c>
      <c r="B2502" t="inlineStr">
        <is>
          <t>Daniel Gomes da Silva</t>
        </is>
      </c>
      <c r="C2502" t="inlineStr">
        <is>
          <t>Técnico I</t>
        </is>
      </c>
      <c r="D2502" t="n">
        <v>13</v>
      </c>
      <c r="E2502" t="n">
        <v>13</v>
      </c>
      <c r="F2502" t="n">
        <v>51.46</v>
      </c>
      <c r="G2502" t="n">
        <v>0</v>
      </c>
      <c r="H2502" t="n">
        <v>0</v>
      </c>
      <c r="I2502" s="3">
        <f>E2502+G2502+H2502</f>
        <v/>
      </c>
      <c r="J2502" s="3">
        <f>ROUND(MIN(IF(C2502="Técnico III",35,IF(C2502="Técnico II",28,IF(C2502="Técnico I",23,IF(C2502="JR",20,IF(C2502="Estágio",10,0))))),IF(C2502="Técnico III",SUMIFS($D:$D,$A:$A,$A2502,$B:$B,"&lt;&gt;Patrícia Karla de Sousa Araújo",$B:$B,"&lt;&gt;Lorena Dias de Araujo",$B:$B,"&lt;&gt;Lucas Luiz Romero")*(35/1083),IF(C2502="Técnico II",SUMIFS($D:$D,$A:$A,$A2502,$B:$B,"&lt;&gt;Patrícia Karla de Sousa Araújo",$B:$B,"&lt;&gt;Lorena Dias de Araujo",$B:$B,"&lt;&gt;Lucas Luiz Romero")*(28/1083),IF(C2502="Técnico I",SUMIFS($D:$D,$A:$A,$A2502,$B:$B,"&lt;&gt;Patrícia Karla de Sousa Araújo",$B:$B,"&lt;&gt;Lorena Dias de Araujo",$B:$B,"&lt;&gt;Lucas Luiz Romero")*(23/1083),IF(C2502="JR",SUMIFS($D:$D,$A:$A,$A2502,$B:$B,"&lt;&gt;Patrícia Karla de Sousa Araújo",$B:$B,"&lt;&gt;Lorena Dias de Araujo",$B:$B,"&lt;&gt;Lucas Luiz Romero")*(20/1083),IF(C2502="Estágio",SUMIFS($D:$D,$A:$A,$A2502,$B:$B,"&lt;&gt;Patrícia Karla de Sousa Araújo",$B:$B,"&lt;&gt;Lorena Dias de Araujo",$B:$B,"&lt;&gt;Lucas Luiz Romero")*(10/1083),0)))))),0)</f>
        <v/>
      </c>
      <c r="K2502" s="3">
        <f>I2502-J2502</f>
        <v/>
      </c>
      <c r="L2502" s="3">
        <f>IF(K2502&lt;-5,"CRÍTICO",IF(K2502&lt;0,"ATENÇÃO",IF(K2502&lt;=5,"BOM","EXCELENTE")))</f>
        <v/>
      </c>
      <c r="N2502" t="n">
        <v>100</v>
      </c>
      <c r="O2502" t="n">
        <v>31.08974358974359</v>
      </c>
    </row>
    <row r="2503" hidden="1">
      <c r="A2503" s="11" t="n">
        <v>46079</v>
      </c>
      <c r="B2503" t="inlineStr">
        <is>
          <t>Davylla Rodrigues Freitas Silva</t>
        </is>
      </c>
      <c r="C2503" t="inlineStr">
        <is>
          <t>Técnico III</t>
        </is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s="3" t="n">
        <v>0</v>
      </c>
      <c r="J2503" s="3" t="n">
        <v>0</v>
      </c>
      <c r="K2503" s="3" t="n">
        <v>0</v>
      </c>
      <c r="L2503" s="3">
        <f>IF(K2503&lt;-5,"CRÍTICO",IF(K2503&lt;0,"ATENÇÃO",IF(K2503&lt;=5,"BOM","EXCELENTE")))</f>
        <v/>
      </c>
      <c r="N2503" t="n">
        <v>98.11</v>
      </c>
      <c r="O2503" t="n">
        <v>33.03370786516854</v>
      </c>
    </row>
    <row r="2504" hidden="1">
      <c r="A2504" s="11" t="n">
        <v>46079</v>
      </c>
      <c r="B2504" t="inlineStr">
        <is>
          <t>Emilly Caylane Costa</t>
        </is>
      </c>
      <c r="C2504" t="inlineStr">
        <is>
          <t>Estágio</t>
        </is>
      </c>
      <c r="D2504" t="n">
        <v>8</v>
      </c>
      <c r="E2504" t="n">
        <v>8</v>
      </c>
      <c r="F2504" t="n">
        <v>45.06</v>
      </c>
      <c r="G2504" t="n">
        <v>0</v>
      </c>
      <c r="H2504" t="n">
        <v>0</v>
      </c>
      <c r="I2504" s="3">
        <f>E2504+G2504+H2504</f>
        <v/>
      </c>
      <c r="J2504" s="3">
        <f>ROUND(MIN(IF(C2504="Técnico III",35,IF(C2504="Técnico II",28,IF(C2504="Técnico I",23,IF(C2504="JR",20,IF(C2504="Estágio",10,0))))),IF(C2504="Técnico III",SUMIFS($D:$D,$A:$A,$A2504,$B:$B,"&lt;&gt;Patrícia Karla de Sousa Araújo",$B:$B,"&lt;&gt;Lorena Dias de Araujo",$B:$B,"&lt;&gt;Lucas Luiz Romero")*(35/1083),IF(C2504="Técnico II",SUMIFS($D:$D,$A:$A,$A2504,$B:$B,"&lt;&gt;Patrícia Karla de Sousa Araújo",$B:$B,"&lt;&gt;Lorena Dias de Araujo",$B:$B,"&lt;&gt;Lucas Luiz Romero")*(28/1083),IF(C2504="Técnico I",SUMIFS($D:$D,$A:$A,$A2504,$B:$B,"&lt;&gt;Patrícia Karla de Sousa Araújo",$B:$B,"&lt;&gt;Lorena Dias de Araujo",$B:$B,"&lt;&gt;Lucas Luiz Romero")*(23/1083),IF(C2504="JR",SUMIFS($D:$D,$A:$A,$A2504,$B:$B,"&lt;&gt;Patrícia Karla de Sousa Araújo",$B:$B,"&lt;&gt;Lorena Dias de Araujo",$B:$B,"&lt;&gt;Lucas Luiz Romero")*(20/1083),IF(C2504="Estágio",SUMIFS($D:$D,$A:$A,$A2504,$B:$B,"&lt;&gt;Patrícia Karla de Sousa Araújo",$B:$B,"&lt;&gt;Lorena Dias de Araujo",$B:$B,"&lt;&gt;Lucas Luiz Romero")*(10/1083),0)))))),0)</f>
        <v/>
      </c>
      <c r="K2504" s="3">
        <f>I2504-J2504</f>
        <v/>
      </c>
      <c r="L2504" s="3">
        <f>IF(K2504&lt;-5,"CRÍTICO",IF(K2504&lt;0,"ATENÇÃO",IF(K2504&lt;=5,"BOM","EXCELENTE")))</f>
        <v/>
      </c>
      <c r="N2504" t="n">
        <v>78.95</v>
      </c>
      <c r="O2504" t="n">
        <v>38.98305084745763</v>
      </c>
    </row>
    <row r="2505" hidden="1">
      <c r="A2505" s="11" t="n">
        <v>46079</v>
      </c>
      <c r="B2505" t="inlineStr">
        <is>
          <t>Emilly Kamilly Medeiros Miranda</t>
        </is>
      </c>
      <c r="C2505" t="inlineStr">
        <is>
          <t>Técnico II</t>
        </is>
      </c>
      <c r="D2505" t="n">
        <v>23</v>
      </c>
      <c r="E2505" t="n">
        <v>22</v>
      </c>
      <c r="F2505" t="n">
        <v>29.14</v>
      </c>
      <c r="G2505" t="n">
        <v>0</v>
      </c>
      <c r="H2505" t="n">
        <v>0</v>
      </c>
      <c r="I2505" s="3">
        <f>E2505+G2505+H2505</f>
        <v/>
      </c>
      <c r="J2505" s="3">
        <f>ROUND(MIN(IF(C2505="Técnico III",35,IF(C2505="Técnico II",28,IF(C2505="Técnico I",23,IF(C2505="JR",20,IF(C2505="Estágio",10,0))))),IF(C2505="Técnico III",SUMIFS($D:$D,$A:$A,$A2505,$B:$B,"&lt;&gt;Patrícia Karla de Sousa Araújo",$B:$B,"&lt;&gt;Lorena Dias de Araujo",$B:$B,"&lt;&gt;Lucas Luiz Romero")*(35/1083),IF(C2505="Técnico II",SUMIFS($D:$D,$A:$A,$A2505,$B:$B,"&lt;&gt;Patrícia Karla de Sousa Araújo",$B:$B,"&lt;&gt;Lorena Dias de Araujo",$B:$B,"&lt;&gt;Lucas Luiz Romero")*(28/1083),IF(C2505="Técnico I",SUMIFS($D:$D,$A:$A,$A2505,$B:$B,"&lt;&gt;Patrícia Karla de Sousa Araújo",$B:$B,"&lt;&gt;Lorena Dias de Araujo",$B:$B,"&lt;&gt;Lucas Luiz Romero")*(23/1083),IF(C2505="JR",SUMIFS($D:$D,$A:$A,$A2505,$B:$B,"&lt;&gt;Patrícia Karla de Sousa Araújo",$B:$B,"&lt;&gt;Lorena Dias de Araujo",$B:$B,"&lt;&gt;Lucas Luiz Romero")*(20/1083),IF(C2505="Estágio",SUMIFS($D:$D,$A:$A,$A2505,$B:$B,"&lt;&gt;Patrícia Karla de Sousa Araújo",$B:$B,"&lt;&gt;Lorena Dias de Araujo",$B:$B,"&lt;&gt;Lucas Luiz Romero")*(10/1083),0)))))),0)</f>
        <v/>
      </c>
      <c r="K2505" s="3">
        <f>I2505-J2505</f>
        <v/>
      </c>
      <c r="L2505" s="3">
        <f>IF(K2505&lt;-5,"CRÍTICO",IF(K2505&lt;0,"ATENÇÃO",IF(K2505&lt;=5,"BOM","EXCELENTE")))</f>
        <v/>
      </c>
      <c r="N2505" t="n">
        <v>98.45</v>
      </c>
      <c r="O2505" t="n">
        <v>29.2817679558011</v>
      </c>
    </row>
    <row r="2506" hidden="1">
      <c r="A2506" s="11" t="n">
        <v>46079</v>
      </c>
      <c r="B2506" t="inlineStr">
        <is>
          <t>Francielson de Oliveira</t>
        </is>
      </c>
      <c r="C2506" t="inlineStr">
        <is>
          <t>Técnico III</t>
        </is>
      </c>
      <c r="D2506" t="n">
        <v>22</v>
      </c>
      <c r="E2506" t="n">
        <v>21</v>
      </c>
      <c r="F2506" t="n">
        <v>28.42</v>
      </c>
      <c r="G2506" t="n">
        <v>0</v>
      </c>
      <c r="H2506" t="n">
        <v>0</v>
      </c>
      <c r="I2506" s="3">
        <f>E2506+G2506+H2506</f>
        <v/>
      </c>
      <c r="J2506" s="3">
        <f>ROUND(MIN(IF(C2506="Técnico III",35,IF(C2506="Técnico II",28,IF(C2506="Técnico I",23,IF(C2506="JR",20,IF(C2506="Estágio",10,0))))),IF(C2506="Técnico III",SUMIFS($D:$D,$A:$A,$A2506,$B:$B,"&lt;&gt;Patrícia Karla de Sousa Araújo",$B:$B,"&lt;&gt;Lorena Dias de Araujo",$B:$B,"&lt;&gt;Lucas Luiz Romero")*(35/1083),IF(C2506="Técnico II",SUMIFS($D:$D,$A:$A,$A2506,$B:$B,"&lt;&gt;Patrícia Karla de Sousa Araújo",$B:$B,"&lt;&gt;Lorena Dias de Araujo",$B:$B,"&lt;&gt;Lucas Luiz Romero")*(28/1083),IF(C2506="Técnico I",SUMIFS($D:$D,$A:$A,$A2506,$B:$B,"&lt;&gt;Patrícia Karla de Sousa Araújo",$B:$B,"&lt;&gt;Lorena Dias de Araujo",$B:$B,"&lt;&gt;Lucas Luiz Romero")*(23/1083),IF(C2506="JR",SUMIFS($D:$D,$A:$A,$A2506,$B:$B,"&lt;&gt;Patrícia Karla de Sousa Araújo",$B:$B,"&lt;&gt;Lorena Dias de Araujo",$B:$B,"&lt;&gt;Lucas Luiz Romero")*(20/1083),IF(C2506="Estágio",SUMIFS($D:$D,$A:$A,$A2506,$B:$B,"&lt;&gt;Patrícia Karla de Sousa Araújo",$B:$B,"&lt;&gt;Lorena Dias de Araujo",$B:$B,"&lt;&gt;Lucas Luiz Romero")*(10/1083),0)))))),0)</f>
        <v/>
      </c>
      <c r="K2506" s="3">
        <f>I2506-J2506</f>
        <v/>
      </c>
      <c r="L2506" s="3">
        <f>IF(K2506&lt;-5,"CRÍTICO",IF(K2506&lt;0,"ATENÇÃO",IF(K2506&lt;=5,"BOM","EXCELENTE")))</f>
        <v/>
      </c>
      <c r="N2506" t="n">
        <v>97.84</v>
      </c>
      <c r="O2506" t="n">
        <v>26.28205128205128</v>
      </c>
    </row>
    <row r="2507" hidden="1">
      <c r="A2507" s="11" t="n">
        <v>46079</v>
      </c>
      <c r="B2507" t="inlineStr">
        <is>
          <t>Francilene Ferreira de Jesus</t>
        </is>
      </c>
      <c r="C2507" t="inlineStr">
        <is>
          <t>Técnico II</t>
        </is>
      </c>
      <c r="D2507" t="n">
        <v>23</v>
      </c>
      <c r="E2507" t="n">
        <v>22</v>
      </c>
      <c r="F2507" t="n">
        <v>30.31</v>
      </c>
      <c r="G2507" t="n">
        <v>0</v>
      </c>
      <c r="H2507" t="n">
        <v>0</v>
      </c>
      <c r="I2507" s="3">
        <f>E2507+G2507+H2507</f>
        <v/>
      </c>
      <c r="J2507" s="3">
        <f>ROUND(MIN(IF(C2507="Técnico III",35,IF(C2507="Técnico II",28,IF(C2507="Técnico I",23,IF(C2507="JR",20,IF(C2507="Estágio",10,0))))),IF(C2507="Técnico III",SUMIFS($D:$D,$A:$A,$A2507,$B:$B,"&lt;&gt;Patrícia Karla de Sousa Araújo",$B:$B,"&lt;&gt;Lorena Dias de Araujo",$B:$B,"&lt;&gt;Lucas Luiz Romero")*(35/1083),IF(C2507="Técnico II",SUMIFS($D:$D,$A:$A,$A2507,$B:$B,"&lt;&gt;Patrícia Karla de Sousa Araújo",$B:$B,"&lt;&gt;Lorena Dias de Araujo",$B:$B,"&lt;&gt;Lucas Luiz Romero")*(28/1083),IF(C2507="Técnico I",SUMIFS($D:$D,$A:$A,$A2507,$B:$B,"&lt;&gt;Patrícia Karla de Sousa Araújo",$B:$B,"&lt;&gt;Lorena Dias de Araujo",$B:$B,"&lt;&gt;Lucas Luiz Romero")*(23/1083),IF(C2507="JR",SUMIFS($D:$D,$A:$A,$A2507,$B:$B,"&lt;&gt;Patrícia Karla de Sousa Araújo",$B:$B,"&lt;&gt;Lorena Dias de Araujo",$B:$B,"&lt;&gt;Lucas Luiz Romero")*(20/1083),IF(C2507="Estágio",SUMIFS($D:$D,$A:$A,$A2507,$B:$B,"&lt;&gt;Patrícia Karla de Sousa Araújo",$B:$B,"&lt;&gt;Lorena Dias de Araujo",$B:$B,"&lt;&gt;Lucas Luiz Romero")*(10/1083),0)))))),0)</f>
        <v/>
      </c>
      <c r="K2507" s="3">
        <f>I2507-J2507</f>
        <v/>
      </c>
      <c r="L2507" s="3">
        <f>IF(K2507&lt;-5,"CRÍTICO",IF(K2507&lt;0,"ATENÇÃO",IF(K2507&lt;=5,"BOM","EXCELENTE")))</f>
        <v/>
      </c>
      <c r="N2507" t="n">
        <v>98.5</v>
      </c>
      <c r="O2507" t="n">
        <v>23.97769516728625</v>
      </c>
    </row>
    <row r="2508" hidden="1">
      <c r="A2508" s="11" t="n">
        <v>46113</v>
      </c>
      <c r="B2508" t="inlineStr">
        <is>
          <t>Gabriel Gomes de Andrade</t>
        </is>
      </c>
      <c r="C2508" t="inlineStr">
        <is>
          <t>Técnico I</t>
        </is>
      </c>
      <c r="D2508" t="n">
        <v>25</v>
      </c>
      <c r="E2508" t="n">
        <v>25</v>
      </c>
      <c r="F2508" t="n">
        <v>20.4</v>
      </c>
      <c r="G2508" t="n">
        <v>0</v>
      </c>
      <c r="H2508" t="n">
        <v>0</v>
      </c>
      <c r="I2508" s="3">
        <f>E2508+G2508+H2508</f>
        <v/>
      </c>
      <c r="J2508" s="3">
        <f>ROUND(MIN(IF(C2508="Técnico III",35,IF(C2508="Técnico II",28,IF(C2508="Técnico I",23,IF(C2508="JR",20,IF(C2508="Estágio",10,0))))),IF(C2508="Técnico III",SUMIFS($D:$D,$A:$A,$A2508,$B:$B,"&lt;&gt;Patrícia Karla de Sousa Araújo",$B:$B,"&lt;&gt;Lorena Dias de Araujo",$B:$B,"&lt;&gt;Lucas Luiz Romero")*(35/1083),IF(C2508="Técnico II",SUMIFS($D:$D,$A:$A,$A2508,$B:$B,"&lt;&gt;Patrícia Karla de Sousa Araújo",$B:$B,"&lt;&gt;Lorena Dias de Araujo",$B:$B,"&lt;&gt;Lucas Luiz Romero")*(28/1083),IF(C2508="Técnico I",SUMIFS($D:$D,$A:$A,$A2508,$B:$B,"&lt;&gt;Patrícia Karla de Sousa Araújo",$B:$B,"&lt;&gt;Lorena Dias de Araujo",$B:$B,"&lt;&gt;Lucas Luiz Romero")*(23/1083),IF(C2508="JR",SUMIFS($D:$D,$A:$A,$A2508,$B:$B,"&lt;&gt;Patrícia Karla de Sousa Araújo",$B:$B,"&lt;&gt;Lorena Dias de Araujo",$B:$B,"&lt;&gt;Lucas Luiz Romero")*(20/1083),IF(C2508="Estágio",SUMIFS($D:$D,$A:$A,$A2508,$B:$B,"&lt;&gt;Patrícia Karla de Sousa Araújo",$B:$B,"&lt;&gt;Lorena Dias de Araujo",$B:$B,"&lt;&gt;Lucas Luiz Romero")*(10/1083),0)))))),0)</f>
        <v/>
      </c>
      <c r="K2508" s="3">
        <f>I2508-J2508</f>
        <v/>
      </c>
      <c r="L2508" s="3">
        <f>IF(K2508&lt;-5,"CRÍTICO",IF(K2508&lt;0,"ATENÇÃO",IF(K2508&lt;=5,"OPORTUNO","MUITO BOM")))</f>
        <v/>
      </c>
      <c r="N2508" t="n">
        <v>99.28</v>
      </c>
      <c r="O2508" t="n">
        <v>27.68924302788844</v>
      </c>
    </row>
    <row r="2509" hidden="1">
      <c r="A2509" s="11" t="n">
        <v>46079</v>
      </c>
      <c r="B2509" t="inlineStr">
        <is>
          <t>Isabella Borges de Oliveira</t>
        </is>
      </c>
      <c r="C2509" t="inlineStr">
        <is>
          <t>Técnico II</t>
        </is>
      </c>
      <c r="D2509" t="n">
        <v>29</v>
      </c>
      <c r="E2509" t="n">
        <v>26</v>
      </c>
      <c r="F2509" t="n">
        <v>23.29</v>
      </c>
      <c r="G2509" t="n">
        <v>0</v>
      </c>
      <c r="H2509" t="n">
        <v>0</v>
      </c>
      <c r="I2509" s="3">
        <f>E2509+G2509+H2509</f>
        <v/>
      </c>
      <c r="J2509" s="3">
        <f>ROUND(MIN(IF(C2509="Técnico III",35,IF(C2509="Técnico II",28,IF(C2509="Técnico I",23,IF(C2509="JR",20,IF(C2509="Estágio",10,0))))),IF(C2509="Técnico III",SUMIFS($D:$D,$A:$A,$A2509,$B:$B,"&lt;&gt;Patrícia Karla de Sousa Araújo",$B:$B,"&lt;&gt;Lorena Dias de Araujo",$B:$B,"&lt;&gt;Lucas Luiz Romero")*(35/1083),IF(C2509="Técnico II",SUMIFS($D:$D,$A:$A,$A2509,$B:$B,"&lt;&gt;Patrícia Karla de Sousa Araújo",$B:$B,"&lt;&gt;Lorena Dias de Araujo",$B:$B,"&lt;&gt;Lucas Luiz Romero")*(28/1083),IF(C2509="Técnico I",SUMIFS($D:$D,$A:$A,$A2509,$B:$B,"&lt;&gt;Patrícia Karla de Sousa Araújo",$B:$B,"&lt;&gt;Lorena Dias de Araujo",$B:$B,"&lt;&gt;Lucas Luiz Romero")*(23/1083),IF(C2509="JR",SUMIFS($D:$D,$A:$A,$A2509,$B:$B,"&lt;&gt;Patrícia Karla de Sousa Araújo",$B:$B,"&lt;&gt;Lorena Dias de Araujo",$B:$B,"&lt;&gt;Lucas Luiz Romero")*(20/1083),IF(C2509="Estágio",SUMIFS($D:$D,$A:$A,$A2509,$B:$B,"&lt;&gt;Patrícia Karla de Sousa Araújo",$B:$B,"&lt;&gt;Lorena Dias de Araujo",$B:$B,"&lt;&gt;Lucas Luiz Romero")*(10/1083),0)))))),0)</f>
        <v/>
      </c>
      <c r="K2509" s="3">
        <f>I2509-J2509</f>
        <v/>
      </c>
      <c r="L2509" s="3">
        <f>IF(K2509&lt;-5,"CRÍTICO",IF(K2509&lt;0,"ATENÇÃO",IF(K2509&lt;=5,"BOM","EXCELENTE")))</f>
        <v/>
      </c>
      <c r="N2509" t="n">
        <v>98.53</v>
      </c>
      <c r="O2509" t="n">
        <v>31.57894736842105</v>
      </c>
    </row>
    <row r="2510" hidden="1">
      <c r="A2510" s="11" t="n">
        <v>46079</v>
      </c>
      <c r="B2510" t="inlineStr">
        <is>
          <t>Janaina Lima dos Reis Urany</t>
        </is>
      </c>
      <c r="C2510" t="inlineStr">
        <is>
          <t>Técnico III</t>
        </is>
      </c>
      <c r="D2510" t="n">
        <v>45</v>
      </c>
      <c r="E2510" t="n">
        <v>43</v>
      </c>
      <c r="F2510" t="n">
        <v>17</v>
      </c>
      <c r="G2510" t="n">
        <v>0</v>
      </c>
      <c r="H2510" t="n">
        <v>0</v>
      </c>
      <c r="I2510" s="3">
        <f>E2510+G2510+H2510</f>
        <v/>
      </c>
      <c r="J2510" s="3">
        <f>ROUND(MIN(IF(C2510="Técnico III",35,IF(C2510="Técnico II",28,IF(C2510="Técnico I",23,IF(C2510="JR",20,IF(C2510="Estágio",10,0))))),IF(C2510="Técnico III",SUMIFS($D:$D,$A:$A,$A2510,$B:$B,"&lt;&gt;Patrícia Karla de Sousa Araújo",$B:$B,"&lt;&gt;Lorena Dias de Araujo",$B:$B,"&lt;&gt;Lucas Luiz Romero")*(35/1083),IF(C2510="Técnico II",SUMIFS($D:$D,$A:$A,$A2510,$B:$B,"&lt;&gt;Patrícia Karla de Sousa Araújo",$B:$B,"&lt;&gt;Lorena Dias de Araujo",$B:$B,"&lt;&gt;Lucas Luiz Romero")*(28/1083),IF(C2510="Técnico I",SUMIFS($D:$D,$A:$A,$A2510,$B:$B,"&lt;&gt;Patrícia Karla de Sousa Araújo",$B:$B,"&lt;&gt;Lorena Dias de Araujo",$B:$B,"&lt;&gt;Lucas Luiz Romero")*(23/1083),IF(C2510="JR",SUMIFS($D:$D,$A:$A,$A2510,$B:$B,"&lt;&gt;Patrícia Karla de Sousa Araújo",$B:$B,"&lt;&gt;Lorena Dias de Araujo",$B:$B,"&lt;&gt;Lucas Luiz Romero")*(20/1083),IF(C2510="Estágio",SUMIFS($D:$D,$A:$A,$A2510,$B:$B,"&lt;&gt;Patrícia Karla de Sousa Araújo",$B:$B,"&lt;&gt;Lorena Dias de Araujo",$B:$B,"&lt;&gt;Lucas Luiz Romero")*(10/1083),0)))))),0)</f>
        <v/>
      </c>
      <c r="K2510" s="3">
        <f>I2510-J2510</f>
        <v/>
      </c>
      <c r="L2510" s="3">
        <f>IF(K2510&lt;-5,"CRÍTICO",IF(K2510&lt;0,"ATENÇÃO",IF(K2510&lt;=5,"BOM","EXCELENTE")))</f>
        <v/>
      </c>
      <c r="N2510" t="n">
        <v>100</v>
      </c>
      <c r="O2510" t="n">
        <v>25.72214580467676</v>
      </c>
    </row>
    <row r="2511" hidden="1">
      <c r="A2511" s="11" t="n">
        <v>46079</v>
      </c>
      <c r="B2511" t="inlineStr">
        <is>
          <t>Jaqueline Evangelista da Silva Martins</t>
        </is>
      </c>
      <c r="C2511" t="inlineStr">
        <is>
          <t>Técnico III</t>
        </is>
      </c>
      <c r="D2511" t="n">
        <v>20</v>
      </c>
      <c r="E2511" t="n">
        <v>18</v>
      </c>
      <c r="F2511" t="n">
        <v>17.25</v>
      </c>
      <c r="G2511" t="n">
        <v>0</v>
      </c>
      <c r="H2511" t="n">
        <v>0</v>
      </c>
      <c r="I2511" s="3">
        <f>E2511+G2511+H2511</f>
        <v/>
      </c>
      <c r="J2511" s="3">
        <f>ROUND(MIN(IF(C2511="Técnico III",35,IF(C2511="Técnico II",28,IF(C2511="Técnico I",23,IF(C2511="JR",20,IF(C2511="Estágio",10,0))))),IF(C2511="Técnico III",SUMIFS($D:$D,$A:$A,$A2511,$B:$B,"&lt;&gt;Patrícia Karla de Sousa Araújo",$B:$B,"&lt;&gt;Lorena Dias de Araujo",$B:$B,"&lt;&gt;Lucas Luiz Romero")*(35/1083),IF(C2511="Técnico II",SUMIFS($D:$D,$A:$A,$A2511,$B:$B,"&lt;&gt;Patrícia Karla de Sousa Araújo",$B:$B,"&lt;&gt;Lorena Dias de Araujo",$B:$B,"&lt;&gt;Lucas Luiz Romero")*(28/1083),IF(C2511="Técnico I",SUMIFS($D:$D,$A:$A,$A2511,$B:$B,"&lt;&gt;Patrícia Karla de Sousa Araújo",$B:$B,"&lt;&gt;Lorena Dias de Araujo",$B:$B,"&lt;&gt;Lucas Luiz Romero")*(23/1083),IF(C2511="JR",SUMIFS($D:$D,$A:$A,$A2511,$B:$B,"&lt;&gt;Patrícia Karla de Sousa Araújo",$B:$B,"&lt;&gt;Lorena Dias de Araujo",$B:$B,"&lt;&gt;Lucas Luiz Romero")*(20/1083),IF(C2511="Estágio",SUMIFS($D:$D,$A:$A,$A2511,$B:$B,"&lt;&gt;Patrícia Karla de Sousa Araújo",$B:$B,"&lt;&gt;Lorena Dias de Araujo",$B:$B,"&lt;&gt;Lucas Luiz Romero")*(10/1083),0)))))),0)</f>
        <v/>
      </c>
      <c r="K2511" s="3">
        <f>I2511-J2511</f>
        <v/>
      </c>
      <c r="L2511" s="3">
        <f>IF(K2511&lt;-5,"CRÍTICO",IF(K2511&lt;0,"ATENÇÃO",IF(K2511&lt;=5,"BOM","EXCELENTE")))</f>
        <v/>
      </c>
      <c r="N2511" t="n">
        <v>94.64</v>
      </c>
      <c r="O2511" t="n">
        <v>27.52941176470588</v>
      </c>
    </row>
    <row r="2512" hidden="1">
      <c r="A2512" s="11" t="n">
        <v>46079</v>
      </c>
      <c r="B2512" t="inlineStr">
        <is>
          <t>Jessica Faria da Silveira</t>
        </is>
      </c>
      <c r="C2512" t="inlineStr">
        <is>
          <t>Técnico II</t>
        </is>
      </c>
      <c r="D2512" t="n">
        <v>12</v>
      </c>
      <c r="E2512" t="n">
        <v>12</v>
      </c>
      <c r="F2512" t="n">
        <v>43.28</v>
      </c>
      <c r="G2512" t="n">
        <v>0</v>
      </c>
      <c r="H2512" t="n">
        <v>0</v>
      </c>
      <c r="I2512" s="3">
        <f>E2512+G2512+H2512</f>
        <v/>
      </c>
      <c r="J2512" s="3">
        <f>ROUND(MIN(IF(C2512="Técnico III",35,IF(C2512="Técnico II",28,IF(C2512="Técnico I",23,IF(C2512="JR",20,IF(C2512="Estágio",10,0))))),IF(C2512="Técnico III",SUMIFS($D:$D,$A:$A,$A2512,$B:$B,"&lt;&gt;Patrícia Karla de Sousa Araújo",$B:$B,"&lt;&gt;Lorena Dias de Araujo",$B:$B,"&lt;&gt;Lucas Luiz Romero")*(35/1083),IF(C2512="Técnico II",SUMIFS($D:$D,$A:$A,$A2512,$B:$B,"&lt;&gt;Patrícia Karla de Sousa Araújo",$B:$B,"&lt;&gt;Lorena Dias de Araujo",$B:$B,"&lt;&gt;Lucas Luiz Romero")*(28/1083),IF(C2512="Técnico I",SUMIFS($D:$D,$A:$A,$A2512,$B:$B,"&lt;&gt;Patrícia Karla de Sousa Araújo",$B:$B,"&lt;&gt;Lorena Dias de Araujo",$B:$B,"&lt;&gt;Lucas Luiz Romero")*(23/1083),IF(C2512="JR",SUMIFS($D:$D,$A:$A,$A2512,$B:$B,"&lt;&gt;Patrícia Karla de Sousa Araújo",$B:$B,"&lt;&gt;Lorena Dias de Araujo",$B:$B,"&lt;&gt;Lucas Luiz Romero")*(20/1083),IF(C2512="Estágio",SUMIFS($D:$D,$A:$A,$A2512,$B:$B,"&lt;&gt;Patrícia Karla de Sousa Araújo",$B:$B,"&lt;&gt;Lorena Dias de Araujo",$B:$B,"&lt;&gt;Lucas Luiz Romero")*(10/1083),0)))))),0)</f>
        <v/>
      </c>
      <c r="K2512" s="3">
        <f>I2512-J2512</f>
        <v/>
      </c>
      <c r="L2512" s="3">
        <f>IF(K2512&lt;-5,"CRÍTICO",IF(K2512&lt;0,"ATENÇÃO",IF(K2512&lt;=5,"BOM","EXCELENTE")))</f>
        <v/>
      </c>
      <c r="N2512" t="n">
        <v>99.06999999999999</v>
      </c>
      <c r="O2512" t="n">
        <v>26.3768115942029</v>
      </c>
    </row>
    <row r="2513" hidden="1">
      <c r="A2513" s="11" t="n">
        <v>46079</v>
      </c>
      <c r="B2513" t="inlineStr">
        <is>
          <t>Jéssica Fé Moura</t>
        </is>
      </c>
      <c r="C2513" t="inlineStr">
        <is>
          <t>Técnico III</t>
        </is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s="3" t="n">
        <v>0</v>
      </c>
      <c r="J2513" s="3" t="n">
        <v>0</v>
      </c>
      <c r="K2513" s="3" t="n">
        <v>0</v>
      </c>
      <c r="L2513" s="3">
        <f>IF(K2513&lt;-5,"CRÍTICO",IF(K2513&lt;0,"ATENÇÃO",IF(K2513&lt;=5,"BOM","EXCELENTE")))</f>
        <v/>
      </c>
      <c r="N2513" t="n">
        <v>100</v>
      </c>
      <c r="O2513" t="n">
        <v>0</v>
      </c>
    </row>
    <row r="2514" hidden="1">
      <c r="A2514" s="11" t="n">
        <v>46079</v>
      </c>
      <c r="B2514" t="inlineStr">
        <is>
          <t>Karina Gonçalves Martins</t>
        </is>
      </c>
      <c r="C2514" t="inlineStr">
        <is>
          <t>JR</t>
        </is>
      </c>
      <c r="D2514" t="n">
        <v>19</v>
      </c>
      <c r="E2514" t="n">
        <v>17</v>
      </c>
      <c r="F2514" t="n">
        <v>25.03</v>
      </c>
      <c r="G2514" t="n">
        <v>0</v>
      </c>
      <c r="H2514" t="n">
        <v>0</v>
      </c>
      <c r="I2514" s="3">
        <f>E2514+G2514+H2514</f>
        <v/>
      </c>
      <c r="J2514" s="3">
        <f>ROUND(MIN(IF(C2514="Técnico III",35,IF(C2514="Técnico II",28,IF(C2514="Técnico I",23,IF(C2514="JR",20,IF(C2514="Estágio",10,0))))),IF(C2514="Técnico III",SUMIFS($D:$D,$A:$A,$A2514,$B:$B,"&lt;&gt;Patrícia Karla de Sousa Araújo",$B:$B,"&lt;&gt;Lorena Dias de Araujo",$B:$B,"&lt;&gt;Lucas Luiz Romero")*(35/1083),IF(C2514="Técnico II",SUMIFS($D:$D,$A:$A,$A2514,$B:$B,"&lt;&gt;Patrícia Karla de Sousa Araújo",$B:$B,"&lt;&gt;Lorena Dias de Araujo",$B:$B,"&lt;&gt;Lucas Luiz Romero")*(28/1083),IF(C2514="Técnico I",SUMIFS($D:$D,$A:$A,$A2514,$B:$B,"&lt;&gt;Patrícia Karla de Sousa Araújo",$B:$B,"&lt;&gt;Lorena Dias de Araujo",$B:$B,"&lt;&gt;Lucas Luiz Romero")*(23/1083),IF(C2514="JR",SUMIFS($D:$D,$A:$A,$A2514,$B:$B,"&lt;&gt;Patrícia Karla de Sousa Araújo",$B:$B,"&lt;&gt;Lorena Dias de Araujo",$B:$B,"&lt;&gt;Lucas Luiz Romero")*(20/1083),IF(C2514="Estágio",SUMIFS($D:$D,$A:$A,$A2514,$B:$B,"&lt;&gt;Patrícia Karla de Sousa Araújo",$B:$B,"&lt;&gt;Lorena Dias de Araujo",$B:$B,"&lt;&gt;Lucas Luiz Romero")*(10/1083),0)))))),0)</f>
        <v/>
      </c>
      <c r="K2514" s="3">
        <f>I2514-J2514</f>
        <v/>
      </c>
      <c r="L2514" s="3">
        <f>IF(K2514&lt;-5,"CRÍTICO",IF(K2514&lt;0,"ATENÇÃO",IF(K2514&lt;=5,"BOM","EXCELENTE")))</f>
        <v/>
      </c>
      <c r="N2514" t="n">
        <v>98.48</v>
      </c>
      <c r="O2514" t="n">
        <v>27.85388127853881</v>
      </c>
    </row>
    <row r="2515" hidden="1">
      <c r="A2515" s="11" t="n">
        <v>46079</v>
      </c>
      <c r="B2515" t="inlineStr">
        <is>
          <t>Kerollen Cristielly de Jesus Siqueira</t>
        </is>
      </c>
      <c r="C2515" t="inlineStr">
        <is>
          <t>Técnico III</t>
        </is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s="3" t="n">
        <v>0</v>
      </c>
      <c r="J2515" s="3" t="n">
        <v>0</v>
      </c>
      <c r="K2515" s="3" t="n">
        <v>0</v>
      </c>
      <c r="L2515" s="3">
        <f>IF(K2515&lt;-5,"CRÍTICO",IF(K2515&lt;0,"ATENÇÃO",IF(K2515&lt;=5,"BOM","EXCELENTE")))</f>
        <v/>
      </c>
      <c r="N2515" t="n">
        <v>95.15000000000001</v>
      </c>
      <c r="O2515" t="n">
        <v>34.13173652694611</v>
      </c>
    </row>
    <row r="2516" hidden="1">
      <c r="A2516" s="11" t="n">
        <v>46079</v>
      </c>
      <c r="B2516" t="inlineStr">
        <is>
          <t>Leandro de Souza Silva</t>
        </is>
      </c>
      <c r="C2516" t="inlineStr">
        <is>
          <t>JR</t>
        </is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s="3" t="n">
        <v>0</v>
      </c>
      <c r="J2516" s="3" t="n">
        <v>0</v>
      </c>
      <c r="K2516" s="3" t="n">
        <v>0</v>
      </c>
      <c r="L2516" s="3">
        <f>IF(K2516&lt;-5,"CRÍTICO",IF(K2516&lt;0,"ATENÇÃO",IF(K2516&lt;=5,"BOM","EXCELENTE")))</f>
        <v/>
      </c>
      <c r="N2516" t="n">
        <v>0</v>
      </c>
      <c r="O2516" t="n">
        <v>0</v>
      </c>
    </row>
    <row r="2517" hidden="1">
      <c r="A2517" s="11" t="n">
        <v>46079</v>
      </c>
      <c r="B2517" t="inlineStr">
        <is>
          <t>Leandro Oliveira de Sousa</t>
        </is>
      </c>
      <c r="C2517" t="inlineStr">
        <is>
          <t>Técnico III</t>
        </is>
      </c>
      <c r="D2517" t="n">
        <v>24</v>
      </c>
      <c r="E2517" t="n">
        <v>24</v>
      </c>
      <c r="F2517" t="n">
        <v>24.02</v>
      </c>
      <c r="G2517" t="n">
        <v>0</v>
      </c>
      <c r="H2517" t="n">
        <v>0</v>
      </c>
      <c r="I2517" s="3">
        <f>E2517+G2517+H2517</f>
        <v/>
      </c>
      <c r="J2517" s="3">
        <f>ROUND(MIN(IF(C2517="Técnico III",35,IF(C2517="Técnico II",28,IF(C2517="Técnico I",23,IF(C2517="JR",20,IF(C2517="Estágio",10,0))))),IF(C2517="Técnico III",SUMIFS($D:$D,$A:$A,$A2517,$B:$B,"&lt;&gt;Patrícia Karla de Sousa Araújo",$B:$B,"&lt;&gt;Lorena Dias de Araujo",$B:$B,"&lt;&gt;Lucas Luiz Romero")*(35/1083),IF(C2517="Técnico II",SUMIFS($D:$D,$A:$A,$A2517,$B:$B,"&lt;&gt;Patrícia Karla de Sousa Araújo",$B:$B,"&lt;&gt;Lorena Dias de Araujo",$B:$B,"&lt;&gt;Lucas Luiz Romero")*(28/1083),IF(C2517="Técnico I",SUMIFS($D:$D,$A:$A,$A2517,$B:$B,"&lt;&gt;Patrícia Karla de Sousa Araújo",$B:$B,"&lt;&gt;Lorena Dias de Araujo",$B:$B,"&lt;&gt;Lucas Luiz Romero")*(23/1083),IF(C2517="JR",SUMIFS($D:$D,$A:$A,$A2517,$B:$B,"&lt;&gt;Patrícia Karla de Sousa Araújo",$B:$B,"&lt;&gt;Lorena Dias de Araujo",$B:$B,"&lt;&gt;Lucas Luiz Romero")*(20/1083),IF(C2517="Estágio",SUMIFS($D:$D,$A:$A,$A2517,$B:$B,"&lt;&gt;Patrícia Karla de Sousa Araújo",$B:$B,"&lt;&gt;Lorena Dias de Araujo",$B:$B,"&lt;&gt;Lucas Luiz Romero")*(10/1083),0)))))),0)</f>
        <v/>
      </c>
      <c r="K2517" s="3">
        <f>I2517-J2517</f>
        <v/>
      </c>
      <c r="L2517" s="3">
        <f>IF(K2517&lt;-5,"CRÍTICO",IF(K2517&lt;0,"ATENÇÃO",IF(K2517&lt;=5,"BOM","EXCELENTE")))</f>
        <v/>
      </c>
      <c r="N2517" t="n">
        <v>99.26000000000001</v>
      </c>
      <c r="O2517" t="n">
        <v>30.84832904884319</v>
      </c>
    </row>
    <row r="2518" hidden="1">
      <c r="A2518" s="11" t="n">
        <v>46079</v>
      </c>
      <c r="B2518" t="inlineStr">
        <is>
          <t>Lizandra Gomes Duarte</t>
        </is>
      </c>
      <c r="C2518" t="inlineStr">
        <is>
          <t>Técnico II</t>
        </is>
      </c>
      <c r="D2518" t="n">
        <v>25</v>
      </c>
      <c r="E2518" t="n">
        <v>22</v>
      </c>
      <c r="F2518" t="n">
        <v>30.15</v>
      </c>
      <c r="G2518" t="n">
        <v>0</v>
      </c>
      <c r="H2518" t="n">
        <v>0</v>
      </c>
      <c r="I2518" s="3">
        <f>E2518+G2518+H2518</f>
        <v/>
      </c>
      <c r="J2518" s="3">
        <f>ROUND(MIN(IF(C2518="Técnico III",35,IF(C2518="Técnico II",28,IF(C2518="Técnico I",23,IF(C2518="JR",20,IF(C2518="Estágio",10,0))))),IF(C2518="Técnico III",SUMIFS($D:$D,$A:$A,$A2518,$B:$B,"&lt;&gt;Patrícia Karla de Sousa Araújo",$B:$B,"&lt;&gt;Lorena Dias de Araujo",$B:$B,"&lt;&gt;Lucas Luiz Romero")*(35/1083),IF(C2518="Técnico II",SUMIFS($D:$D,$A:$A,$A2518,$B:$B,"&lt;&gt;Patrícia Karla de Sousa Araújo",$B:$B,"&lt;&gt;Lorena Dias de Araujo",$B:$B,"&lt;&gt;Lucas Luiz Romero")*(28/1083),IF(C2518="Técnico I",SUMIFS($D:$D,$A:$A,$A2518,$B:$B,"&lt;&gt;Patrícia Karla de Sousa Araújo",$B:$B,"&lt;&gt;Lorena Dias de Araujo",$B:$B,"&lt;&gt;Lucas Luiz Romero")*(23/1083),IF(C2518="JR",SUMIFS($D:$D,$A:$A,$A2518,$B:$B,"&lt;&gt;Patrícia Karla de Sousa Araújo",$B:$B,"&lt;&gt;Lorena Dias de Araujo",$B:$B,"&lt;&gt;Lucas Luiz Romero")*(20/1083),IF(C2518="Estágio",SUMIFS($D:$D,$A:$A,$A2518,$B:$B,"&lt;&gt;Patrícia Karla de Sousa Araújo",$B:$B,"&lt;&gt;Lorena Dias de Araujo",$B:$B,"&lt;&gt;Lucas Luiz Romero")*(10/1083),0)))))),0)</f>
        <v/>
      </c>
      <c r="K2518" s="3">
        <f>I2518-J2518</f>
        <v/>
      </c>
      <c r="L2518" s="3">
        <f>IF(K2518&lt;-5,"CRÍTICO",IF(K2518&lt;0,"ATENÇÃO",IF(K2518&lt;=5,"BOM","EXCELENTE")))</f>
        <v/>
      </c>
      <c r="N2518" t="n">
        <v>97.48</v>
      </c>
      <c r="O2518" t="n">
        <v>27.76470588235294</v>
      </c>
    </row>
    <row r="2519" hidden="1">
      <c r="A2519" s="11" t="n">
        <v>46079</v>
      </c>
      <c r="B2519" t="inlineStr">
        <is>
          <t>Lorena Dias de Araujo</t>
        </is>
      </c>
      <c r="C2519" t="inlineStr">
        <is>
          <t>Técnico II</t>
        </is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s="3" t="n">
        <v>0</v>
      </c>
      <c r="J2519" s="3" t="n">
        <v>0</v>
      </c>
      <c r="K2519" s="3" t="n">
        <v>0</v>
      </c>
      <c r="L2519" s="3">
        <f>IF(K2519&lt;-5,"CRÍTICO",IF(K2519&lt;0,"ATENÇÃO",IF(K2519&lt;=5,"BOM","EXCELENTE")))</f>
        <v/>
      </c>
      <c r="N2519" t="n">
        <v>99.34</v>
      </c>
      <c r="O2519" t="n">
        <v>30.04291845493562</v>
      </c>
    </row>
    <row r="2520" hidden="1">
      <c r="A2520" s="11" t="n">
        <v>46079</v>
      </c>
      <c r="B2520" t="inlineStr">
        <is>
          <t>Lucas Luiz Romero</t>
        </is>
      </c>
      <c r="C2520" t="inlineStr">
        <is>
          <t>Técnico III</t>
        </is>
      </c>
      <c r="D2520" t="n">
        <v>42</v>
      </c>
      <c r="E2520" t="n">
        <v>35</v>
      </c>
      <c r="F2520" t="n">
        <v>16.45</v>
      </c>
      <c r="G2520" t="n">
        <v>0</v>
      </c>
      <c r="H2520" t="n">
        <v>0</v>
      </c>
      <c r="I2520" s="3">
        <f>E2520+G2520+H2520</f>
        <v/>
      </c>
      <c r="J2520" s="3">
        <f>ROUND(MIN(IF(C2520="Técnico III",35,IF(C2520="Técnico II",28,IF(C2520="Técnico I",23,IF(C2520="JR",20,IF(C2520="Estágio",10,0))))),IF(C2520="Técnico III",SUMIFS($D:$D,$A:$A,$A2520,$B:$B,"&lt;&gt;Patrícia Karla de Sousa Araújo",$B:$B,"&lt;&gt;Lorena Dias de Araujo",$B:$B,"&lt;&gt;Lucas Luiz Romero")*(35/1083),IF(C2520="Técnico II",SUMIFS($D:$D,$A:$A,$A2520,$B:$B,"&lt;&gt;Patrícia Karla de Sousa Araújo",$B:$B,"&lt;&gt;Lorena Dias de Araujo",$B:$B,"&lt;&gt;Lucas Luiz Romero")*(28/1083),IF(C2520="Técnico I",SUMIFS($D:$D,$A:$A,$A2520,$B:$B,"&lt;&gt;Patrícia Karla de Sousa Araújo",$B:$B,"&lt;&gt;Lorena Dias de Araujo",$B:$B,"&lt;&gt;Lucas Luiz Romero")*(23/1083),IF(C2520="JR",SUMIFS($D:$D,$A:$A,$A2520,$B:$B,"&lt;&gt;Patrícia Karla de Sousa Araújo",$B:$B,"&lt;&gt;Lorena Dias de Araujo",$B:$B,"&lt;&gt;Lucas Luiz Romero")*(20/1083),IF(C2520="Estágio",SUMIFS($D:$D,$A:$A,$A2520,$B:$B,"&lt;&gt;Patrícia Karla de Sousa Araújo",$B:$B,"&lt;&gt;Lorena Dias de Araujo",$B:$B,"&lt;&gt;Lucas Luiz Romero")*(10/1083),0)))))),0)</f>
        <v/>
      </c>
      <c r="K2520" s="3">
        <f>I2520-J2520</f>
        <v/>
      </c>
      <c r="L2520" s="3">
        <f>IF(K2520&lt;-5,"CRÍTICO",IF(K2520&lt;0,"ATENÇÃO",IF(K2520&lt;=5,"BOM","EXCELENTE")))</f>
        <v/>
      </c>
      <c r="N2520" t="n">
        <v>96.3</v>
      </c>
      <c r="O2520" t="n">
        <v>24.29378531073446</v>
      </c>
    </row>
    <row r="2521" hidden="1">
      <c r="A2521" s="11" t="n">
        <v>46079</v>
      </c>
      <c r="B2521" t="inlineStr">
        <is>
          <t>Luiz Fernando de Carvalho Junior</t>
        </is>
      </c>
      <c r="C2521" t="inlineStr">
        <is>
          <t>Técnico I</t>
        </is>
      </c>
      <c r="D2521" t="n">
        <v>14</v>
      </c>
      <c r="E2521" t="n">
        <v>14</v>
      </c>
      <c r="F2521" t="n">
        <v>38.36</v>
      </c>
      <c r="G2521" t="n">
        <v>0</v>
      </c>
      <c r="H2521" t="n">
        <v>0</v>
      </c>
      <c r="I2521" s="3">
        <f>E2521+G2521+H2521</f>
        <v/>
      </c>
      <c r="J2521" s="3">
        <f>ROUND(MIN(IF(C2521="Técnico III",35,IF(C2521="Técnico II",28,IF(C2521="Técnico I",23,IF(C2521="JR",20,IF(C2521="Estágio",10,0))))),IF(C2521="Técnico III",SUMIFS($D:$D,$A:$A,$A2521,$B:$B,"&lt;&gt;Patrícia Karla de Sousa Araújo",$B:$B,"&lt;&gt;Lorena Dias de Araujo",$B:$B,"&lt;&gt;Lucas Luiz Romero")*(35/1083),IF(C2521="Técnico II",SUMIFS($D:$D,$A:$A,$A2521,$B:$B,"&lt;&gt;Patrícia Karla de Sousa Araújo",$B:$B,"&lt;&gt;Lorena Dias de Araujo",$B:$B,"&lt;&gt;Lucas Luiz Romero")*(28/1083),IF(C2521="Técnico I",SUMIFS($D:$D,$A:$A,$A2521,$B:$B,"&lt;&gt;Patrícia Karla de Sousa Araújo",$B:$B,"&lt;&gt;Lorena Dias de Araujo",$B:$B,"&lt;&gt;Lucas Luiz Romero")*(23/1083),IF(C2521="JR",SUMIFS($D:$D,$A:$A,$A2521,$B:$B,"&lt;&gt;Patrícia Karla de Sousa Araújo",$B:$B,"&lt;&gt;Lorena Dias de Araujo",$B:$B,"&lt;&gt;Lucas Luiz Romero")*(20/1083),IF(C2521="Estágio",SUMIFS($D:$D,$A:$A,$A2521,$B:$B,"&lt;&gt;Patrícia Karla de Sousa Araújo",$B:$B,"&lt;&gt;Lorena Dias de Araujo",$B:$B,"&lt;&gt;Lucas Luiz Romero")*(10/1083),0)))))),0)</f>
        <v/>
      </c>
      <c r="K2521" s="3">
        <f>I2521-J2521</f>
        <v/>
      </c>
      <c r="L2521" s="3">
        <f>IF(K2521&lt;-5,"CRÍTICO",IF(K2521&lt;0,"ATENÇÃO",IF(K2521&lt;=5,"BOM","EXCELENTE")))</f>
        <v/>
      </c>
      <c r="N2521" t="n">
        <v>100</v>
      </c>
      <c r="O2521" t="n">
        <v>26.54320987654321</v>
      </c>
    </row>
    <row r="2522" hidden="1">
      <c r="A2522" s="11" t="n">
        <v>46079</v>
      </c>
      <c r="B2522" t="inlineStr">
        <is>
          <t>Maria Eduarda Sousa Costa</t>
        </is>
      </c>
      <c r="C2522" t="inlineStr">
        <is>
          <t>Estágio</t>
        </is>
      </c>
      <c r="D2522" t="n">
        <v>2</v>
      </c>
      <c r="E2522" t="n">
        <v>2</v>
      </c>
      <c r="F2522" t="n">
        <v>64.09999999999999</v>
      </c>
      <c r="G2522" t="n">
        <v>0</v>
      </c>
      <c r="H2522" t="n">
        <v>0</v>
      </c>
      <c r="I2522" s="3">
        <f>E2522+G2522+H2522</f>
        <v/>
      </c>
      <c r="J2522" s="3">
        <f>ROUND(MIN(IF(C2522="Técnico III",35,IF(C2522="Técnico II",28,IF(C2522="Técnico I",23,IF(C2522="JR",20,IF(C2522="Estágio",10,0))))),IF(C2522="Técnico III",SUMIFS($D:$D,$A:$A,$A2522,$B:$B,"&lt;&gt;Patrícia Karla de Sousa Araújo",$B:$B,"&lt;&gt;Lorena Dias de Araujo",$B:$B,"&lt;&gt;Lucas Luiz Romero")*(35/1083),IF(C2522="Técnico II",SUMIFS($D:$D,$A:$A,$A2522,$B:$B,"&lt;&gt;Patrícia Karla de Sousa Araújo",$B:$B,"&lt;&gt;Lorena Dias de Araujo",$B:$B,"&lt;&gt;Lucas Luiz Romero")*(28/1083),IF(C2522="Técnico I",SUMIFS($D:$D,$A:$A,$A2522,$B:$B,"&lt;&gt;Patrícia Karla de Sousa Araújo",$B:$B,"&lt;&gt;Lorena Dias de Araujo",$B:$B,"&lt;&gt;Lucas Luiz Romero")*(23/1083),IF(C2522="JR",SUMIFS($D:$D,$A:$A,$A2522,$B:$B,"&lt;&gt;Patrícia Karla de Sousa Araújo",$B:$B,"&lt;&gt;Lorena Dias de Araujo",$B:$B,"&lt;&gt;Lucas Luiz Romero")*(20/1083),IF(C2522="Estágio",SUMIFS($D:$D,$A:$A,$A2522,$B:$B,"&lt;&gt;Patrícia Karla de Sousa Araújo",$B:$B,"&lt;&gt;Lorena Dias de Araujo",$B:$B,"&lt;&gt;Lucas Luiz Romero")*(10/1083),0)))))),0)</f>
        <v/>
      </c>
      <c r="K2522" s="3">
        <f>I2522-J2522</f>
        <v/>
      </c>
      <c r="L2522" s="3">
        <f>IF(K2522&lt;-5,"CRÍTICO",IF(K2522&lt;0,"ATENÇÃO",IF(K2522&lt;=5,"BOM","EXCELENTE")))</f>
        <v/>
      </c>
      <c r="N2522" t="n">
        <v>100</v>
      </c>
      <c r="O2522" t="n">
        <v>35.48387096774194</v>
      </c>
    </row>
    <row r="2523" hidden="1">
      <c r="A2523" s="11" t="n">
        <v>46079</v>
      </c>
      <c r="B2523" t="inlineStr">
        <is>
          <t>Matheus Farias De Souza</t>
        </is>
      </c>
      <c r="C2523" t="inlineStr">
        <is>
          <t>Técnico III</t>
        </is>
      </c>
      <c r="D2523" t="n">
        <v>26</v>
      </c>
      <c r="E2523" t="n">
        <v>26</v>
      </c>
      <c r="F2523" t="n">
        <v>30.05</v>
      </c>
      <c r="G2523" t="n">
        <v>0</v>
      </c>
      <c r="H2523" t="n">
        <v>0</v>
      </c>
      <c r="I2523" s="3">
        <f>E2523+G2523+H2523</f>
        <v/>
      </c>
      <c r="J2523" s="3">
        <f>ROUND(MIN(IF(C2523="Técnico III",35,IF(C2523="Técnico II",28,IF(C2523="Técnico I",23,IF(C2523="JR",20,IF(C2523="Estágio",10,0))))),IF(C2523="Técnico III",SUMIFS($D:$D,$A:$A,$A2523,$B:$B,"&lt;&gt;Patrícia Karla de Sousa Araújo",$B:$B,"&lt;&gt;Lorena Dias de Araujo",$B:$B,"&lt;&gt;Lucas Luiz Romero")*(35/1083),IF(C2523="Técnico II",SUMIFS($D:$D,$A:$A,$A2523,$B:$B,"&lt;&gt;Patrícia Karla de Sousa Araújo",$B:$B,"&lt;&gt;Lorena Dias de Araujo",$B:$B,"&lt;&gt;Lucas Luiz Romero")*(28/1083),IF(C2523="Técnico I",SUMIFS($D:$D,$A:$A,$A2523,$B:$B,"&lt;&gt;Patrícia Karla de Sousa Araújo",$B:$B,"&lt;&gt;Lorena Dias de Araujo",$B:$B,"&lt;&gt;Lucas Luiz Romero")*(23/1083),IF(C2523="JR",SUMIFS($D:$D,$A:$A,$A2523,$B:$B,"&lt;&gt;Patrícia Karla de Sousa Araújo",$B:$B,"&lt;&gt;Lorena Dias de Araujo",$B:$B,"&lt;&gt;Lucas Luiz Romero")*(20/1083),IF(C2523="Estágio",SUMIFS($D:$D,$A:$A,$A2523,$B:$B,"&lt;&gt;Patrícia Karla de Sousa Araújo",$B:$B,"&lt;&gt;Lorena Dias de Araujo",$B:$B,"&lt;&gt;Lucas Luiz Romero")*(10/1083),0)))))),0)</f>
        <v/>
      </c>
      <c r="K2523" s="3">
        <f>I2523-J2523</f>
        <v/>
      </c>
      <c r="L2523" s="3">
        <f>IF(K2523&lt;-5,"CRÍTICO",IF(K2523&lt;0,"ATENÇÃO",IF(K2523&lt;=5,"BOM","EXCELENTE")))</f>
        <v/>
      </c>
      <c r="N2523" t="n">
        <v>99.27</v>
      </c>
      <c r="O2523" t="n">
        <v>31.16370808678501</v>
      </c>
    </row>
    <row r="2524" hidden="1">
      <c r="A2524" s="11" t="n">
        <v>46079</v>
      </c>
      <c r="B2524" t="inlineStr">
        <is>
          <t>Maysa Victoria Dias Moura</t>
        </is>
      </c>
      <c r="C2524" t="inlineStr">
        <is>
          <t>Técnico III</t>
        </is>
      </c>
      <c r="D2524" t="n">
        <v>31</v>
      </c>
      <c r="E2524" t="n">
        <v>28</v>
      </c>
      <c r="F2524" t="n">
        <v>20.56</v>
      </c>
      <c r="G2524" t="n">
        <v>0</v>
      </c>
      <c r="H2524" t="n">
        <v>0</v>
      </c>
      <c r="I2524" s="3">
        <f>E2524+G2524+H2524</f>
        <v/>
      </c>
      <c r="J2524" s="3">
        <f>ROUND(MIN(IF(C2524="Técnico III",35,IF(C2524="Técnico II",28,IF(C2524="Técnico I",23,IF(C2524="JR",20,IF(C2524="Estágio",10,0))))),IF(C2524="Técnico III",SUMIFS($D:$D,$A:$A,$A2524,$B:$B,"&lt;&gt;Patrícia Karla de Sousa Araújo",$B:$B,"&lt;&gt;Lorena Dias de Araujo",$B:$B,"&lt;&gt;Lucas Luiz Romero")*(35/1083),IF(C2524="Técnico II",SUMIFS($D:$D,$A:$A,$A2524,$B:$B,"&lt;&gt;Patrícia Karla de Sousa Araújo",$B:$B,"&lt;&gt;Lorena Dias de Araujo",$B:$B,"&lt;&gt;Lucas Luiz Romero")*(28/1083),IF(C2524="Técnico I",SUMIFS($D:$D,$A:$A,$A2524,$B:$B,"&lt;&gt;Patrícia Karla de Sousa Araújo",$B:$B,"&lt;&gt;Lorena Dias de Araujo",$B:$B,"&lt;&gt;Lucas Luiz Romero")*(23/1083),IF(C2524="JR",SUMIFS($D:$D,$A:$A,$A2524,$B:$B,"&lt;&gt;Patrícia Karla de Sousa Araújo",$B:$B,"&lt;&gt;Lorena Dias de Araujo",$B:$B,"&lt;&gt;Lucas Luiz Romero")*(20/1083),IF(C2524="Estágio",SUMIFS($D:$D,$A:$A,$A2524,$B:$B,"&lt;&gt;Patrícia Karla de Sousa Araújo",$B:$B,"&lt;&gt;Lorena Dias de Araujo",$B:$B,"&lt;&gt;Lucas Luiz Romero")*(10/1083),0)))))),0)</f>
        <v/>
      </c>
      <c r="K2524" s="3">
        <f>I2524-J2524</f>
        <v/>
      </c>
      <c r="L2524" s="3">
        <f>IF(K2524&lt;-5,"CRÍTICO",IF(K2524&lt;0,"ATENÇÃO",IF(K2524&lt;=5,"BOM","EXCELENTE")))</f>
        <v/>
      </c>
      <c r="N2524" t="n">
        <v>94.16</v>
      </c>
      <c r="O2524" t="n">
        <v>27.03862660944206</v>
      </c>
    </row>
    <row r="2525" hidden="1">
      <c r="A2525" s="11" t="n">
        <v>46079</v>
      </c>
      <c r="B2525" t="inlineStr">
        <is>
          <t>Michelle G Santos</t>
        </is>
      </c>
      <c r="C2525" t="inlineStr">
        <is>
          <t>Estágio</t>
        </is>
      </c>
      <c r="D2525" t="n">
        <v>8</v>
      </c>
      <c r="E2525" t="n">
        <v>7</v>
      </c>
      <c r="F2525" t="n">
        <v>80.13</v>
      </c>
      <c r="G2525" t="n">
        <v>0</v>
      </c>
      <c r="H2525" t="n">
        <v>0</v>
      </c>
      <c r="I2525" s="3">
        <f>E2525+G2525+H2525</f>
        <v/>
      </c>
      <c r="J2525" s="3">
        <f>ROUND(MIN(IF(C2525="Técnico III",35,IF(C2525="Técnico II",28,IF(C2525="Técnico I",23,IF(C2525="JR",20,IF(C2525="Estágio",10,0))))),IF(C2525="Técnico III",SUMIFS($D:$D,$A:$A,$A2525,$B:$B,"&lt;&gt;Patrícia Karla de Sousa Araújo",$B:$B,"&lt;&gt;Lorena Dias de Araujo",$B:$B,"&lt;&gt;Lucas Luiz Romero")*(35/1083),IF(C2525="Técnico II",SUMIFS($D:$D,$A:$A,$A2525,$B:$B,"&lt;&gt;Patrícia Karla de Sousa Araújo",$B:$B,"&lt;&gt;Lorena Dias de Araujo",$B:$B,"&lt;&gt;Lucas Luiz Romero")*(28/1083),IF(C2525="Técnico I",SUMIFS($D:$D,$A:$A,$A2525,$B:$B,"&lt;&gt;Patrícia Karla de Sousa Araújo",$B:$B,"&lt;&gt;Lorena Dias de Araujo",$B:$B,"&lt;&gt;Lucas Luiz Romero")*(23/1083),IF(C2525="JR",SUMIFS($D:$D,$A:$A,$A2525,$B:$B,"&lt;&gt;Patrícia Karla de Sousa Araújo",$B:$B,"&lt;&gt;Lorena Dias de Araujo",$B:$B,"&lt;&gt;Lucas Luiz Romero")*(20/1083),IF(C2525="Estágio",SUMIFS($D:$D,$A:$A,$A2525,$B:$B,"&lt;&gt;Patrícia Karla de Sousa Araújo",$B:$B,"&lt;&gt;Lorena Dias de Araujo",$B:$B,"&lt;&gt;Lucas Luiz Romero")*(10/1083),0)))))),0)</f>
        <v/>
      </c>
      <c r="K2525" s="3">
        <f>I2525-J2525</f>
        <v/>
      </c>
      <c r="L2525" s="3">
        <f>IF(K2525&lt;-5,"CRÍTICO",IF(K2525&lt;0,"ATENÇÃO",IF(K2525&lt;=5,"BOM","EXCELENTE")))</f>
        <v/>
      </c>
      <c r="N2525" t="n">
        <v>93.75</v>
      </c>
      <c r="O2525" t="n">
        <v>19.31818181818182</v>
      </c>
    </row>
    <row r="2526" hidden="1">
      <c r="A2526" s="11" t="n">
        <v>46079</v>
      </c>
      <c r="B2526" t="inlineStr">
        <is>
          <t>Milena Sales</t>
        </is>
      </c>
      <c r="C2526" t="inlineStr">
        <is>
          <t>JR</t>
        </is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s="3" t="n">
        <v>0</v>
      </c>
      <c r="J2526" s="3" t="n">
        <v>0</v>
      </c>
      <c r="K2526" s="3" t="n">
        <v>0</v>
      </c>
      <c r="L2526" s="3">
        <f>IF(K2526&lt;-5,"CRÍTICO",IF(K2526&lt;0,"ATENÇÃO",IF(K2526&lt;=5,"BOM","EXCELENTE")))</f>
        <v/>
      </c>
      <c r="N2526" t="n">
        <v>0</v>
      </c>
      <c r="O2526" t="n">
        <v>0</v>
      </c>
    </row>
    <row r="2527" hidden="1">
      <c r="A2527" s="11" t="n">
        <v>46079</v>
      </c>
      <c r="B2527" t="inlineStr">
        <is>
          <t>Patrícia Karla de Sousa Araújo</t>
        </is>
      </c>
      <c r="C2527" t="inlineStr">
        <is>
          <t>Técnico II</t>
        </is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s="3" t="n">
        <v>0</v>
      </c>
      <c r="J2527" s="3" t="n">
        <v>0</v>
      </c>
      <c r="K2527" s="3" t="n">
        <v>0</v>
      </c>
      <c r="L2527" s="3">
        <f>IF(K2527&lt;-5,"CRÍTICO",IF(K2527&lt;0,"ATENÇÃO",IF(K2527&lt;=5,"BOM","EXCELENTE")))</f>
        <v/>
      </c>
      <c r="N2527" t="n">
        <v>97.92</v>
      </c>
      <c r="O2527" t="n">
        <v>32.87671232876712</v>
      </c>
    </row>
    <row r="2528" hidden="1">
      <c r="A2528" s="11" t="n">
        <v>46079</v>
      </c>
      <c r="B2528" t="inlineStr">
        <is>
          <t>Paulo Ricardo Santos</t>
        </is>
      </c>
      <c r="C2528" t="inlineStr">
        <is>
          <t>JR</t>
        </is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s="3" t="n">
        <v>0</v>
      </c>
      <c r="J2528" s="3" t="n">
        <v>0</v>
      </c>
      <c r="K2528" s="3" t="n">
        <v>0</v>
      </c>
      <c r="L2528" s="3">
        <f>IF(K2528&lt;-5,"CRÍTICO",IF(K2528&lt;0,"ATENÇÃO",IF(K2528&lt;=5,"BOM","EXCELENTE")))</f>
        <v/>
      </c>
      <c r="N2528" t="n">
        <v>0</v>
      </c>
      <c r="O2528" t="n">
        <v>0</v>
      </c>
    </row>
    <row r="2529" hidden="1">
      <c r="A2529" s="11" t="n">
        <v>46079</v>
      </c>
      <c r="B2529" t="inlineStr">
        <is>
          <t>Pedro Luiz Mota Sousa</t>
        </is>
      </c>
      <c r="C2529" t="inlineStr">
        <is>
          <t>JR</t>
        </is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s="3" t="n">
        <v>0</v>
      </c>
      <c r="J2529" s="3" t="n">
        <v>0</v>
      </c>
      <c r="K2529" s="3" t="n">
        <v>0</v>
      </c>
      <c r="L2529" s="3">
        <f>IF(K2529&lt;-5,"CRÍTICO",IF(K2529&lt;0,"ATENÇÃO",IF(K2529&lt;=5,"BOM","EXCELENTE")))</f>
        <v/>
      </c>
      <c r="N2529" t="n">
        <v>0</v>
      </c>
      <c r="O2529" t="n">
        <v>0</v>
      </c>
    </row>
    <row r="2530" hidden="1">
      <c r="A2530" s="11" t="n">
        <v>46079</v>
      </c>
      <c r="B2530" t="inlineStr">
        <is>
          <t>Quirino Diogo Leite Torres</t>
        </is>
      </c>
      <c r="C2530" t="inlineStr">
        <is>
          <t>Estágio</t>
        </is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s="3" t="n">
        <v>0</v>
      </c>
      <c r="J2530" s="3" t="n">
        <v>0</v>
      </c>
      <c r="K2530" s="3" t="n">
        <v>0</v>
      </c>
      <c r="L2530" s="3">
        <f>IF(K2530&lt;-5,"CRÍTICO",IF(K2530&lt;0,"ATENÇÃO",IF(K2530&lt;=5,"BOM","EXCELENTE")))</f>
        <v/>
      </c>
      <c r="N2530" t="n">
        <v>0</v>
      </c>
      <c r="O2530" t="n">
        <v>0</v>
      </c>
    </row>
    <row r="2531" hidden="1">
      <c r="A2531" s="11" t="n">
        <v>46079</v>
      </c>
      <c r="B2531" t="inlineStr">
        <is>
          <t>Raane Batista Matos</t>
        </is>
      </c>
      <c r="C2531" t="inlineStr">
        <is>
          <t>Técnico I</t>
        </is>
      </c>
      <c r="D2531" t="n">
        <v>17</v>
      </c>
      <c r="E2531" t="n">
        <v>17</v>
      </c>
      <c r="F2531" t="n">
        <v>44.16</v>
      </c>
      <c r="G2531" t="n">
        <v>0</v>
      </c>
      <c r="H2531" t="n">
        <v>0</v>
      </c>
      <c r="I2531" s="3">
        <f>E2531+G2531+H2531</f>
        <v/>
      </c>
      <c r="J2531" s="3">
        <f>ROUND(MIN(IF(C2531="Técnico III",35,IF(C2531="Técnico II",28,IF(C2531="Técnico I",23,IF(C2531="JR",20,IF(C2531="Estágio",10,0))))),IF(C2531="Técnico III",SUMIFS($D:$D,$A:$A,$A2531,$B:$B,"&lt;&gt;Patrícia Karla de Sousa Araújo",$B:$B,"&lt;&gt;Lorena Dias de Araujo",$B:$B,"&lt;&gt;Lucas Luiz Romero")*(35/1083),IF(C2531="Técnico II",SUMIFS($D:$D,$A:$A,$A2531,$B:$B,"&lt;&gt;Patrícia Karla de Sousa Araújo",$B:$B,"&lt;&gt;Lorena Dias de Araujo",$B:$B,"&lt;&gt;Lucas Luiz Romero")*(28/1083),IF(C2531="Técnico I",SUMIFS($D:$D,$A:$A,$A2531,$B:$B,"&lt;&gt;Patrícia Karla de Sousa Araújo",$B:$B,"&lt;&gt;Lorena Dias de Araujo",$B:$B,"&lt;&gt;Lucas Luiz Romero")*(23/1083),IF(C2531="JR",SUMIFS($D:$D,$A:$A,$A2531,$B:$B,"&lt;&gt;Patrícia Karla de Sousa Araújo",$B:$B,"&lt;&gt;Lorena Dias de Araujo",$B:$B,"&lt;&gt;Lucas Luiz Romero")*(20/1083),IF(C2531="Estágio",SUMIFS($D:$D,$A:$A,$A2531,$B:$B,"&lt;&gt;Patrícia Karla de Sousa Araújo",$B:$B,"&lt;&gt;Lorena Dias de Araujo",$B:$B,"&lt;&gt;Lucas Luiz Romero")*(10/1083),0)))))),0)</f>
        <v/>
      </c>
      <c r="K2531" s="3">
        <f>I2531-J2531</f>
        <v/>
      </c>
      <c r="L2531" s="3">
        <f>IF(K2531&lt;-5,"CRÍTICO",IF(K2531&lt;0,"ATENÇÃO",IF(K2531&lt;=5,"BOM","EXCELENTE")))</f>
        <v/>
      </c>
      <c r="N2531" t="n">
        <v>98.51000000000001</v>
      </c>
      <c r="O2531" t="n">
        <v>29.71014492753623</v>
      </c>
    </row>
    <row r="2532" hidden="1">
      <c r="A2532" s="11" t="n">
        <v>46079</v>
      </c>
      <c r="B2532" t="inlineStr">
        <is>
          <t>Rafael Gomes de Morais</t>
        </is>
      </c>
      <c r="C2532" t="inlineStr">
        <is>
          <t>Técnico III</t>
        </is>
      </c>
      <c r="D2532" t="n">
        <v>32</v>
      </c>
      <c r="E2532" t="n">
        <v>29</v>
      </c>
      <c r="F2532" t="n">
        <v>17.34</v>
      </c>
      <c r="G2532" t="n">
        <v>0</v>
      </c>
      <c r="H2532" t="n">
        <v>0</v>
      </c>
      <c r="I2532" s="3">
        <f>E2532+G2532+H2532</f>
        <v/>
      </c>
      <c r="J2532" s="3">
        <f>ROUND(MIN(IF(C2532="Técnico III",35,IF(C2532="Técnico II",28,IF(C2532="Técnico I",23,IF(C2532="JR",20,IF(C2532="Estágio",10,0))))),IF(C2532="Técnico III",SUMIFS($D:$D,$A:$A,$A2532,$B:$B,"&lt;&gt;Patrícia Karla de Sousa Araújo",$B:$B,"&lt;&gt;Lorena Dias de Araujo",$B:$B,"&lt;&gt;Lucas Luiz Romero")*(35/1083),IF(C2532="Técnico II",SUMIFS($D:$D,$A:$A,$A2532,$B:$B,"&lt;&gt;Patrícia Karla de Sousa Araújo",$B:$B,"&lt;&gt;Lorena Dias de Araujo",$B:$B,"&lt;&gt;Lucas Luiz Romero")*(28/1083),IF(C2532="Técnico I",SUMIFS($D:$D,$A:$A,$A2532,$B:$B,"&lt;&gt;Patrícia Karla de Sousa Araújo",$B:$B,"&lt;&gt;Lorena Dias de Araujo",$B:$B,"&lt;&gt;Lucas Luiz Romero")*(23/1083),IF(C2532="JR",SUMIFS($D:$D,$A:$A,$A2532,$B:$B,"&lt;&gt;Patrícia Karla de Sousa Araújo",$B:$B,"&lt;&gt;Lorena Dias de Araujo",$B:$B,"&lt;&gt;Lucas Luiz Romero")*(20/1083),IF(C2532="Estágio",SUMIFS($D:$D,$A:$A,$A2532,$B:$B,"&lt;&gt;Patrícia Karla de Sousa Araújo",$B:$B,"&lt;&gt;Lorena Dias de Araujo",$B:$B,"&lt;&gt;Lucas Luiz Romero")*(10/1083),0)))))),0)</f>
        <v/>
      </c>
      <c r="K2532" s="3">
        <f>I2532-J2532</f>
        <v/>
      </c>
      <c r="L2532" s="3">
        <f>IF(K2532&lt;-5,"CRÍTICO",IF(K2532&lt;0,"ATENÇÃO",IF(K2532&lt;=5,"BOM","EXCELENTE")))</f>
        <v/>
      </c>
      <c r="N2532" t="n">
        <v>98.81</v>
      </c>
      <c r="O2532" t="n">
        <v>30.71297989031079</v>
      </c>
    </row>
    <row r="2533" hidden="1">
      <c r="A2533" s="11" t="n">
        <v>46079</v>
      </c>
      <c r="B2533" t="inlineStr">
        <is>
          <t>Sara Maria Monteiro Lopes</t>
        </is>
      </c>
      <c r="C2533" t="inlineStr">
        <is>
          <t>Técnico I</t>
        </is>
      </c>
      <c r="D2533" t="n">
        <v>11</v>
      </c>
      <c r="E2533" t="n">
        <v>11</v>
      </c>
      <c r="F2533" t="n">
        <v>30.3</v>
      </c>
      <c r="G2533" t="n">
        <v>0</v>
      </c>
      <c r="H2533" t="n">
        <v>0</v>
      </c>
      <c r="I2533" s="3">
        <f>E2533+G2533+H2533</f>
        <v/>
      </c>
      <c r="J2533" s="3">
        <f>ROUND(MIN(IF(C2533="Técnico III",35,IF(C2533="Técnico II",28,IF(C2533="Técnico I",23,IF(C2533="JR",20,IF(C2533="Estágio",10,0))))),IF(C2533="Técnico III",SUMIFS($D:$D,$A:$A,$A2533,$B:$B,"&lt;&gt;Patrícia Karla de Sousa Araújo",$B:$B,"&lt;&gt;Lorena Dias de Araujo",$B:$B,"&lt;&gt;Lucas Luiz Romero")*(35/1083),IF(C2533="Técnico II",SUMIFS($D:$D,$A:$A,$A2533,$B:$B,"&lt;&gt;Patrícia Karla de Sousa Araújo",$B:$B,"&lt;&gt;Lorena Dias de Araujo",$B:$B,"&lt;&gt;Lucas Luiz Romero")*(28/1083),IF(C2533="Técnico I",SUMIFS($D:$D,$A:$A,$A2533,$B:$B,"&lt;&gt;Patrícia Karla de Sousa Araújo",$B:$B,"&lt;&gt;Lorena Dias de Araujo",$B:$B,"&lt;&gt;Lucas Luiz Romero")*(23/1083),IF(C2533="JR",SUMIFS($D:$D,$A:$A,$A2533,$B:$B,"&lt;&gt;Patrícia Karla de Sousa Araújo",$B:$B,"&lt;&gt;Lorena Dias de Araujo",$B:$B,"&lt;&gt;Lucas Luiz Romero")*(20/1083),IF(C2533="Estágio",SUMIFS($D:$D,$A:$A,$A2533,$B:$B,"&lt;&gt;Patrícia Karla de Sousa Araújo",$B:$B,"&lt;&gt;Lorena Dias de Araujo",$B:$B,"&lt;&gt;Lucas Luiz Romero")*(10/1083),0)))))),0)</f>
        <v/>
      </c>
      <c r="K2533" s="3">
        <f>I2533-J2533</f>
        <v/>
      </c>
      <c r="L2533" s="3">
        <f>IF(K2533&lt;-5,"CRÍTICO",IF(K2533&lt;0,"ATENÇÃO",IF(K2533&lt;=5,"BOM","EXCELENTE")))</f>
        <v/>
      </c>
      <c r="N2533" t="n">
        <v>98.48</v>
      </c>
      <c r="O2533" t="n">
        <v>29.35323383084577</v>
      </c>
    </row>
    <row r="2534" hidden="1">
      <c r="A2534" s="11" t="n">
        <v>46079</v>
      </c>
      <c r="B2534" t="inlineStr">
        <is>
          <t>Sarah Steffanie de Lima Borges</t>
        </is>
      </c>
      <c r="C2534" t="inlineStr">
        <is>
          <t>Técnico III</t>
        </is>
      </c>
      <c r="D2534" t="n">
        <v>23</v>
      </c>
      <c r="E2534" t="n">
        <v>20</v>
      </c>
      <c r="F2534" t="n">
        <v>26.44</v>
      </c>
      <c r="G2534" t="n">
        <v>0</v>
      </c>
      <c r="H2534" t="n">
        <v>0</v>
      </c>
      <c r="I2534" s="3">
        <f>E2534+G2534+H2534</f>
        <v/>
      </c>
      <c r="J2534" s="3">
        <f>ROUND(MIN(IF(C2534="Técnico III",35,IF(C2534="Técnico II",28,IF(C2534="Técnico I",23,IF(C2534="JR",20,IF(C2534="Estágio",10,0))))),IF(C2534="Técnico III",SUMIFS($D:$D,$A:$A,$A2534,$B:$B,"&lt;&gt;Patrícia Karla de Sousa Araújo",$B:$B,"&lt;&gt;Lorena Dias de Araujo",$B:$B,"&lt;&gt;Lucas Luiz Romero")*(35/1083),IF(C2534="Técnico II",SUMIFS($D:$D,$A:$A,$A2534,$B:$B,"&lt;&gt;Patrícia Karla de Sousa Araújo",$B:$B,"&lt;&gt;Lorena Dias de Araujo",$B:$B,"&lt;&gt;Lucas Luiz Romero")*(28/1083),IF(C2534="Técnico I",SUMIFS($D:$D,$A:$A,$A2534,$B:$B,"&lt;&gt;Patrícia Karla de Sousa Araújo",$B:$B,"&lt;&gt;Lorena Dias de Araujo",$B:$B,"&lt;&gt;Lucas Luiz Romero")*(23/1083),IF(C2534="JR",SUMIFS($D:$D,$A:$A,$A2534,$B:$B,"&lt;&gt;Patrícia Karla de Sousa Araújo",$B:$B,"&lt;&gt;Lorena Dias de Araujo",$B:$B,"&lt;&gt;Lucas Luiz Romero")*(20/1083),IF(C2534="Estágio",SUMIFS($D:$D,$A:$A,$A2534,$B:$B,"&lt;&gt;Patrícia Karla de Sousa Araújo",$B:$B,"&lt;&gt;Lorena Dias de Araujo",$B:$B,"&lt;&gt;Lucas Luiz Romero")*(10/1083),0)))))),0)</f>
        <v/>
      </c>
      <c r="K2534" s="3">
        <f>I2534-J2534</f>
        <v/>
      </c>
      <c r="L2534" s="3">
        <f>IF(K2534&lt;-5,"CRÍTICO",IF(K2534&lt;0,"ATENÇÃO",IF(K2534&lt;=5,"BOM","EXCELENTE")))</f>
        <v/>
      </c>
      <c r="N2534" t="n">
        <v>98.56</v>
      </c>
      <c r="O2534" t="n">
        <v>29.37365010799136</v>
      </c>
    </row>
    <row r="2535" hidden="1">
      <c r="A2535" s="11" t="n">
        <v>46080</v>
      </c>
      <c r="B2535" t="inlineStr">
        <is>
          <t>Alisson de Freitas Silva</t>
        </is>
      </c>
      <c r="C2535" t="inlineStr">
        <is>
          <t>Técnico II</t>
        </is>
      </c>
      <c r="D2535" t="n">
        <v>28</v>
      </c>
      <c r="E2535" t="n">
        <v>26</v>
      </c>
      <c r="F2535" t="n">
        <v>18.4</v>
      </c>
      <c r="G2535" t="n">
        <v>0</v>
      </c>
      <c r="H2535" t="n">
        <v>0</v>
      </c>
      <c r="I2535" s="3">
        <f>E2535+G2535+H2535</f>
        <v/>
      </c>
      <c r="J2535" s="3">
        <f>ROUND(MIN(IF(C2535="Técnico III",35,IF(C2535="Técnico II",28,IF(C2535="Técnico I",23,IF(C2535="JR",20,IF(C2535="Estágio",10,0))))),IF(C2535="Técnico III",SUMIFS($D:$D,$A:$A,$A2535,$B:$B,"&lt;&gt;Patrícia Karla de Sousa Araújo",$B:$B,"&lt;&gt;Lorena Dias de Araujo",$B:$B,"&lt;&gt;Lucas Luiz Romero")*(35/1083),IF(C2535="Técnico II",SUMIFS($D:$D,$A:$A,$A2535,$B:$B,"&lt;&gt;Patrícia Karla de Sousa Araújo",$B:$B,"&lt;&gt;Lorena Dias de Araujo",$B:$B,"&lt;&gt;Lucas Luiz Romero")*(28/1083),IF(C2535="Técnico I",SUMIFS($D:$D,$A:$A,$A2535,$B:$B,"&lt;&gt;Patrícia Karla de Sousa Araújo",$B:$B,"&lt;&gt;Lorena Dias de Araujo",$B:$B,"&lt;&gt;Lucas Luiz Romero")*(23/1083),IF(C2535="JR",SUMIFS($D:$D,$A:$A,$A2535,$B:$B,"&lt;&gt;Patrícia Karla de Sousa Araújo",$B:$B,"&lt;&gt;Lorena Dias de Araujo",$B:$B,"&lt;&gt;Lucas Luiz Romero")*(20/1083),IF(C2535="Estágio",SUMIFS($D:$D,$A:$A,$A2535,$B:$B,"&lt;&gt;Patrícia Karla de Sousa Araújo",$B:$B,"&lt;&gt;Lorena Dias de Araujo",$B:$B,"&lt;&gt;Lucas Luiz Romero")*(10/1083),0)))))),0)</f>
        <v/>
      </c>
      <c r="K2535" s="3">
        <f>I2535-J2535</f>
        <v/>
      </c>
      <c r="L2535" s="3">
        <f>IF(K2535&lt;-5,"CRÍTICO",IF(K2535&lt;0,"ATENÇÃO",IF(K2535&lt;=5,"BOM","EXCELENTE")))</f>
        <v/>
      </c>
      <c r="N2535" t="n">
        <v>98.31999999999999</v>
      </c>
      <c r="O2535" t="n">
        <v>30.3030303030303</v>
      </c>
    </row>
    <row r="2536" hidden="1">
      <c r="A2536" s="11" t="n">
        <v>46080</v>
      </c>
      <c r="B2536" t="inlineStr">
        <is>
          <t>Amanda Moura Ferreira</t>
        </is>
      </c>
      <c r="C2536" t="inlineStr">
        <is>
          <t>Técnico III</t>
        </is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s="3" t="n">
        <v>0</v>
      </c>
      <c r="J2536" s="3" t="n">
        <v>0</v>
      </c>
      <c r="K2536" s="3" t="n">
        <v>0</v>
      </c>
      <c r="L2536" s="3">
        <f>IF(K2536&lt;-5,"CRÍTICO",IF(K2536&lt;0,"ATENÇÃO",IF(K2536&lt;=5,"BOM","EXCELENTE")))</f>
        <v/>
      </c>
      <c r="N2536" t="n">
        <v>98.68000000000001</v>
      </c>
      <c r="O2536" t="n">
        <v>26.21951219512195</v>
      </c>
    </row>
    <row r="2537" hidden="1">
      <c r="A2537" s="11" t="n">
        <v>46080</v>
      </c>
      <c r="B2537" t="inlineStr">
        <is>
          <t>Ana Karollyne Souza Faria</t>
        </is>
      </c>
      <c r="C2537" t="inlineStr">
        <is>
          <t>Técnico I</t>
        </is>
      </c>
      <c r="D2537" t="n">
        <v>23</v>
      </c>
      <c r="E2537" t="n">
        <v>20</v>
      </c>
      <c r="F2537" t="n">
        <v>21.55</v>
      </c>
      <c r="G2537" t="n">
        <v>0</v>
      </c>
      <c r="H2537" t="n">
        <v>0</v>
      </c>
      <c r="I2537" s="3">
        <f>E2537+G2537+H2537</f>
        <v/>
      </c>
      <c r="J2537" s="3">
        <f>ROUND(MIN(IF(C2537="Técnico III",35,IF(C2537="Técnico II",28,IF(C2537="Técnico I",23,IF(C2537="JR",20,IF(C2537="Estágio",10,0))))),IF(C2537="Técnico III",SUMIFS($D:$D,$A:$A,$A2537,$B:$B,"&lt;&gt;Patrícia Karla de Sousa Araújo",$B:$B,"&lt;&gt;Lorena Dias de Araujo",$B:$B,"&lt;&gt;Lucas Luiz Romero")*(35/1083),IF(C2537="Técnico II",SUMIFS($D:$D,$A:$A,$A2537,$B:$B,"&lt;&gt;Patrícia Karla de Sousa Araújo",$B:$B,"&lt;&gt;Lorena Dias de Araujo",$B:$B,"&lt;&gt;Lucas Luiz Romero")*(28/1083),IF(C2537="Técnico I",SUMIFS($D:$D,$A:$A,$A2537,$B:$B,"&lt;&gt;Patrícia Karla de Sousa Araújo",$B:$B,"&lt;&gt;Lorena Dias de Araujo",$B:$B,"&lt;&gt;Lucas Luiz Romero")*(23/1083),IF(C2537="JR",SUMIFS($D:$D,$A:$A,$A2537,$B:$B,"&lt;&gt;Patrícia Karla de Sousa Araújo",$B:$B,"&lt;&gt;Lorena Dias de Araujo",$B:$B,"&lt;&gt;Lucas Luiz Romero")*(20/1083),IF(C2537="Estágio",SUMIFS($D:$D,$A:$A,$A2537,$B:$B,"&lt;&gt;Patrícia Karla de Sousa Araújo",$B:$B,"&lt;&gt;Lorena Dias de Araujo",$B:$B,"&lt;&gt;Lucas Luiz Romero")*(10/1083),0)))))),0)</f>
        <v/>
      </c>
      <c r="K2537" s="3">
        <f>I2537-J2537</f>
        <v/>
      </c>
      <c r="L2537" s="3">
        <f>IF(K2537&lt;-5,"CRÍTICO",IF(K2537&lt;0,"ATENÇÃO",IF(K2537&lt;=5,"BOM","EXCELENTE")))</f>
        <v/>
      </c>
      <c r="N2537" t="n">
        <v>100</v>
      </c>
      <c r="O2537" t="n">
        <v>31.74224343675418</v>
      </c>
    </row>
    <row r="2538" hidden="1">
      <c r="A2538" s="11" t="n">
        <v>46080</v>
      </c>
      <c r="B2538" t="inlineStr">
        <is>
          <t>Ana Paula Da Luz Silva Aleixo</t>
        </is>
      </c>
      <c r="C2538" t="inlineStr">
        <is>
          <t>Técnico III</t>
        </is>
      </c>
      <c r="D2538" t="n">
        <v>21</v>
      </c>
      <c r="E2538" t="n">
        <v>19</v>
      </c>
      <c r="F2538" t="n">
        <v>30.51</v>
      </c>
      <c r="G2538" t="n">
        <v>0</v>
      </c>
      <c r="H2538" t="n">
        <v>0</v>
      </c>
      <c r="I2538" s="3">
        <f>E2538+G2538+H2538</f>
        <v/>
      </c>
      <c r="J2538" s="3">
        <f>ROUND(MIN(IF(C2538="Técnico III",35,IF(C2538="Técnico II",28,IF(C2538="Técnico I",23,IF(C2538="JR",20,IF(C2538="Estágio",10,0))))),IF(C2538="Técnico III",SUMIFS($D:$D,$A:$A,$A2538,$B:$B,"&lt;&gt;Patrícia Karla de Sousa Araújo",$B:$B,"&lt;&gt;Lorena Dias de Araujo",$B:$B,"&lt;&gt;Lucas Luiz Romero")*(35/1083),IF(C2538="Técnico II",SUMIFS($D:$D,$A:$A,$A2538,$B:$B,"&lt;&gt;Patrícia Karla de Sousa Araújo",$B:$B,"&lt;&gt;Lorena Dias de Araujo",$B:$B,"&lt;&gt;Lucas Luiz Romero")*(28/1083),IF(C2538="Técnico I",SUMIFS($D:$D,$A:$A,$A2538,$B:$B,"&lt;&gt;Patrícia Karla de Sousa Araújo",$B:$B,"&lt;&gt;Lorena Dias de Araujo",$B:$B,"&lt;&gt;Lucas Luiz Romero")*(23/1083),IF(C2538="JR",SUMIFS($D:$D,$A:$A,$A2538,$B:$B,"&lt;&gt;Patrícia Karla de Sousa Araújo",$B:$B,"&lt;&gt;Lorena Dias de Araujo",$B:$B,"&lt;&gt;Lucas Luiz Romero")*(20/1083),IF(C2538="Estágio",SUMIFS($D:$D,$A:$A,$A2538,$B:$B,"&lt;&gt;Patrícia Karla de Sousa Araújo",$B:$B,"&lt;&gt;Lorena Dias de Araujo",$B:$B,"&lt;&gt;Lucas Luiz Romero")*(10/1083),0)))))),0)</f>
        <v/>
      </c>
      <c r="K2538" s="3">
        <f>I2538-J2538</f>
        <v/>
      </c>
      <c r="L2538" s="3">
        <f>IF(K2538&lt;-5,"CRÍTICO",IF(K2538&lt;0,"ATENÇÃO",IF(K2538&lt;=5,"BOM","EXCELENTE")))</f>
        <v/>
      </c>
      <c r="N2538" t="n">
        <v>98.25</v>
      </c>
      <c r="O2538" t="n">
        <v>25.83518930957684</v>
      </c>
    </row>
    <row r="2539" hidden="1">
      <c r="A2539" s="11" t="n">
        <v>46080</v>
      </c>
      <c r="B2539" t="inlineStr">
        <is>
          <t>Anna Luiza Rezende Tavares</t>
        </is>
      </c>
      <c r="C2539" t="inlineStr">
        <is>
          <t>Estágio</t>
        </is>
      </c>
      <c r="D2539" t="n">
        <v>12</v>
      </c>
      <c r="E2539" t="n">
        <v>11</v>
      </c>
      <c r="F2539" t="n">
        <v>40.06</v>
      </c>
      <c r="G2539" t="n">
        <v>0</v>
      </c>
      <c r="H2539" t="n">
        <v>0</v>
      </c>
      <c r="I2539" s="3">
        <f>E2539+G2539+H2539</f>
        <v/>
      </c>
      <c r="J2539" s="3">
        <f>ROUND(MIN(IF(C2539="Técnico III",35,IF(C2539="Técnico II",28,IF(C2539="Técnico I",23,IF(C2539="JR",20,IF(C2539="Estágio",10,0))))),IF(C2539="Técnico III",SUMIFS($D:$D,$A:$A,$A2539,$B:$B,"&lt;&gt;Patrícia Karla de Sousa Araújo",$B:$B,"&lt;&gt;Lorena Dias de Araujo",$B:$B,"&lt;&gt;Lucas Luiz Romero")*(35/1083),IF(C2539="Técnico II",SUMIFS($D:$D,$A:$A,$A2539,$B:$B,"&lt;&gt;Patrícia Karla de Sousa Araújo",$B:$B,"&lt;&gt;Lorena Dias de Araujo",$B:$B,"&lt;&gt;Lucas Luiz Romero")*(28/1083),IF(C2539="Técnico I",SUMIFS($D:$D,$A:$A,$A2539,$B:$B,"&lt;&gt;Patrícia Karla de Sousa Araújo",$B:$B,"&lt;&gt;Lorena Dias de Araujo",$B:$B,"&lt;&gt;Lucas Luiz Romero")*(23/1083),IF(C2539="JR",SUMIFS($D:$D,$A:$A,$A2539,$B:$B,"&lt;&gt;Patrícia Karla de Sousa Araújo",$B:$B,"&lt;&gt;Lorena Dias de Araujo",$B:$B,"&lt;&gt;Lucas Luiz Romero")*(20/1083),IF(C2539="Estágio",SUMIFS($D:$D,$A:$A,$A2539,$B:$B,"&lt;&gt;Patrícia Karla de Sousa Araújo",$B:$B,"&lt;&gt;Lorena Dias de Araujo",$B:$B,"&lt;&gt;Lucas Luiz Romero")*(10/1083),0)))))),0)</f>
        <v/>
      </c>
      <c r="K2539" s="3">
        <f>I2539-J2539</f>
        <v/>
      </c>
      <c r="L2539" s="3">
        <f>IF(K2539&lt;-5,"CRÍTICO",IF(K2539&lt;0,"ATENÇÃO",IF(K2539&lt;=5,"BOM","EXCELENTE")))</f>
        <v/>
      </c>
      <c r="N2539" t="n">
        <v>97.5</v>
      </c>
      <c r="O2539" t="n">
        <v>30.07518796992481</v>
      </c>
    </row>
    <row r="2540" hidden="1">
      <c r="A2540" s="11" t="n">
        <v>46080</v>
      </c>
      <c r="B2540" t="inlineStr">
        <is>
          <t>Brenda de Menezes Silva</t>
        </is>
      </c>
      <c r="C2540" t="inlineStr">
        <is>
          <t>Técnico II</t>
        </is>
      </c>
      <c r="D2540" t="n">
        <v>35</v>
      </c>
      <c r="E2540" t="n">
        <v>32</v>
      </c>
      <c r="F2540" t="n">
        <v>20.32</v>
      </c>
      <c r="G2540" t="n">
        <v>0</v>
      </c>
      <c r="H2540" t="n">
        <v>0</v>
      </c>
      <c r="I2540" s="3">
        <f>E2540+G2540+H2540</f>
        <v/>
      </c>
      <c r="J2540" s="3">
        <f>ROUND(MIN(IF(C2540="Técnico III",35,IF(C2540="Técnico II",28,IF(C2540="Técnico I",23,IF(C2540="JR",20,IF(C2540="Estágio",10,0))))),IF(C2540="Técnico III",SUMIFS($D:$D,$A:$A,$A2540,$B:$B,"&lt;&gt;Patrícia Karla de Sousa Araújo",$B:$B,"&lt;&gt;Lorena Dias de Araujo",$B:$B,"&lt;&gt;Lucas Luiz Romero")*(35/1083),IF(C2540="Técnico II",SUMIFS($D:$D,$A:$A,$A2540,$B:$B,"&lt;&gt;Patrícia Karla de Sousa Araújo",$B:$B,"&lt;&gt;Lorena Dias de Araujo",$B:$B,"&lt;&gt;Lucas Luiz Romero")*(28/1083),IF(C2540="Técnico I",SUMIFS($D:$D,$A:$A,$A2540,$B:$B,"&lt;&gt;Patrícia Karla de Sousa Araújo",$B:$B,"&lt;&gt;Lorena Dias de Araujo",$B:$B,"&lt;&gt;Lucas Luiz Romero")*(23/1083),IF(C2540="JR",SUMIFS($D:$D,$A:$A,$A2540,$B:$B,"&lt;&gt;Patrícia Karla de Sousa Araújo",$B:$B,"&lt;&gt;Lorena Dias de Araujo",$B:$B,"&lt;&gt;Lucas Luiz Romero")*(20/1083),IF(C2540="Estágio",SUMIFS($D:$D,$A:$A,$A2540,$B:$B,"&lt;&gt;Patrícia Karla de Sousa Araújo",$B:$B,"&lt;&gt;Lorena Dias de Araujo",$B:$B,"&lt;&gt;Lucas Luiz Romero")*(10/1083),0)))))),0)</f>
        <v/>
      </c>
      <c r="K2540" s="3">
        <f>I2540-J2540</f>
        <v/>
      </c>
      <c r="L2540" s="3">
        <f>IF(K2540&lt;-5,"CRÍTICO",IF(K2540&lt;0,"ATENÇÃO",IF(K2540&lt;=5,"BOM","EXCELENTE")))</f>
        <v/>
      </c>
      <c r="N2540" t="n">
        <v>100</v>
      </c>
      <c r="O2540" t="n">
        <v>29.71311475409836</v>
      </c>
    </row>
    <row r="2541" hidden="1">
      <c r="A2541" s="11" t="n">
        <v>46080</v>
      </c>
      <c r="B2541" t="inlineStr">
        <is>
          <t>Carlos Mateus Cassimiro Nunes</t>
        </is>
      </c>
      <c r="C2541" t="inlineStr">
        <is>
          <t>Técnico II</t>
        </is>
      </c>
      <c r="D2541" t="n">
        <v>7</v>
      </c>
      <c r="E2541" t="n">
        <v>7</v>
      </c>
      <c r="F2541" t="n">
        <v>55.26</v>
      </c>
      <c r="G2541" t="n">
        <v>0</v>
      </c>
      <c r="H2541" t="n">
        <v>0</v>
      </c>
      <c r="I2541" s="3">
        <f>E2541+G2541+H2541</f>
        <v/>
      </c>
      <c r="J2541" s="3">
        <f>ROUND(MIN(IF(C2541="Técnico III",35,IF(C2541="Técnico II",28,IF(C2541="Técnico I",23,IF(C2541="JR",20,IF(C2541="Estágio",10,0))))),IF(C2541="Técnico III",SUMIFS($D:$D,$A:$A,$A2541,$B:$B,"&lt;&gt;Patrícia Karla de Sousa Araújo",$B:$B,"&lt;&gt;Lorena Dias de Araujo",$B:$B,"&lt;&gt;Lucas Luiz Romero")*(35/1083),IF(C2541="Técnico II",SUMIFS($D:$D,$A:$A,$A2541,$B:$B,"&lt;&gt;Patrícia Karla de Sousa Araújo",$B:$B,"&lt;&gt;Lorena Dias de Araujo",$B:$B,"&lt;&gt;Lucas Luiz Romero")*(28/1083),IF(C2541="Técnico I",SUMIFS($D:$D,$A:$A,$A2541,$B:$B,"&lt;&gt;Patrícia Karla de Sousa Araújo",$B:$B,"&lt;&gt;Lorena Dias de Araujo",$B:$B,"&lt;&gt;Lucas Luiz Romero")*(23/1083),IF(C2541="JR",SUMIFS($D:$D,$A:$A,$A2541,$B:$B,"&lt;&gt;Patrícia Karla de Sousa Araújo",$B:$B,"&lt;&gt;Lorena Dias de Araujo",$B:$B,"&lt;&gt;Lucas Luiz Romero")*(20/1083),IF(C2541="Estágio",SUMIFS($D:$D,$A:$A,$A2541,$B:$B,"&lt;&gt;Patrícia Karla de Sousa Araújo",$B:$B,"&lt;&gt;Lorena Dias de Araujo",$B:$B,"&lt;&gt;Lucas Luiz Romero")*(10/1083),0)))))),0)</f>
        <v/>
      </c>
      <c r="K2541" s="3">
        <f>I2541-J2541</f>
        <v/>
      </c>
      <c r="L2541" s="3">
        <f>IF(K2541&lt;-5,"CRÍTICO",IF(K2541&lt;0,"ATENÇÃO",IF(K2541&lt;=5,"BOM","EXCELENTE")))</f>
        <v/>
      </c>
      <c r="N2541" t="n">
        <v>99.22</v>
      </c>
      <c r="O2541" t="n">
        <v>35.25641025641026</v>
      </c>
    </row>
    <row r="2542" hidden="1">
      <c r="A2542" s="11" t="n">
        <v>46080</v>
      </c>
      <c r="B2542" t="inlineStr">
        <is>
          <t>Claudio de Sousa Velasco Filho</t>
        </is>
      </c>
      <c r="C2542" t="inlineStr">
        <is>
          <t>Estágio</t>
        </is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s="3" t="n">
        <v>0</v>
      </c>
      <c r="J2542" s="3" t="n">
        <v>0</v>
      </c>
      <c r="K2542" s="3" t="n">
        <v>0</v>
      </c>
      <c r="L2542" s="3">
        <f>IF(K2542&lt;-5,"CRÍTICO",IF(K2542&lt;0,"ATENÇÃO",IF(K2542&lt;=5,"BOM","EXCELENTE")))</f>
        <v/>
      </c>
      <c r="N2542" t="n">
        <v>0</v>
      </c>
      <c r="O2542" t="n">
        <v>0</v>
      </c>
    </row>
    <row r="2543" hidden="1">
      <c r="A2543" s="11" t="n">
        <v>46080</v>
      </c>
      <c r="B2543" t="inlineStr">
        <is>
          <t>Clessiane Pereira dos Santos</t>
        </is>
      </c>
      <c r="C2543" t="inlineStr">
        <is>
          <t>Técnico I</t>
        </is>
      </c>
      <c r="D2543" t="n">
        <v>15</v>
      </c>
      <c r="E2543" t="n">
        <v>13</v>
      </c>
      <c r="F2543" t="n">
        <v>40.32</v>
      </c>
      <c r="G2543" t="n">
        <v>0</v>
      </c>
      <c r="H2543" t="n">
        <v>0</v>
      </c>
      <c r="I2543" s="3">
        <f>E2543+G2543+H2543</f>
        <v/>
      </c>
      <c r="J2543" s="3">
        <f>ROUND(MIN(IF(C2543="Técnico III",35,IF(C2543="Técnico II",28,IF(C2543="Técnico I",23,IF(C2543="JR",20,IF(C2543="Estágio",10,0))))),IF(C2543="Técnico III",SUMIFS($D:$D,$A:$A,$A2543,$B:$B,"&lt;&gt;Patrícia Karla de Sousa Araújo",$B:$B,"&lt;&gt;Lorena Dias de Araujo",$B:$B,"&lt;&gt;Lucas Luiz Romero")*(35/1083),IF(C2543="Técnico II",SUMIFS($D:$D,$A:$A,$A2543,$B:$B,"&lt;&gt;Patrícia Karla de Sousa Araújo",$B:$B,"&lt;&gt;Lorena Dias de Araujo",$B:$B,"&lt;&gt;Lucas Luiz Romero")*(28/1083),IF(C2543="Técnico I",SUMIFS($D:$D,$A:$A,$A2543,$B:$B,"&lt;&gt;Patrícia Karla de Sousa Araújo",$B:$B,"&lt;&gt;Lorena Dias de Araujo",$B:$B,"&lt;&gt;Lucas Luiz Romero")*(23/1083),IF(C2543="JR",SUMIFS($D:$D,$A:$A,$A2543,$B:$B,"&lt;&gt;Patrícia Karla de Sousa Araújo",$B:$B,"&lt;&gt;Lorena Dias de Araujo",$B:$B,"&lt;&gt;Lucas Luiz Romero")*(20/1083),IF(C2543="Estágio",SUMIFS($D:$D,$A:$A,$A2543,$B:$B,"&lt;&gt;Patrícia Karla de Sousa Araújo",$B:$B,"&lt;&gt;Lorena Dias de Araujo",$B:$B,"&lt;&gt;Lucas Luiz Romero")*(10/1083),0)))))),0)</f>
        <v/>
      </c>
      <c r="K2543" s="3">
        <f>I2543-J2543</f>
        <v/>
      </c>
      <c r="L2543" s="3">
        <f>IF(K2543&lt;-5,"CRÍTICO",IF(K2543&lt;0,"ATENÇÃO",IF(K2543&lt;=5,"BOM","EXCELENTE")))</f>
        <v/>
      </c>
      <c r="N2543" t="n">
        <v>98.75</v>
      </c>
      <c r="O2543" t="n">
        <v>24.32432432432433</v>
      </c>
    </row>
    <row r="2544" hidden="1">
      <c r="A2544" s="11" t="n">
        <v>46080</v>
      </c>
      <c r="B2544" t="inlineStr">
        <is>
          <t>Cristiane Ramos da Silva Rocha</t>
        </is>
      </c>
      <c r="C2544" t="inlineStr">
        <is>
          <t>Técnico III</t>
        </is>
      </c>
      <c r="D2544" t="n">
        <v>27</v>
      </c>
      <c r="E2544" t="n">
        <v>27</v>
      </c>
      <c r="F2544" t="n">
        <v>28.56</v>
      </c>
      <c r="G2544" t="n">
        <v>0</v>
      </c>
      <c r="H2544" t="n">
        <v>0</v>
      </c>
      <c r="I2544" s="3">
        <f>E2544+G2544+H2544</f>
        <v/>
      </c>
      <c r="J2544" s="3">
        <f>ROUND(MIN(IF(C2544="Técnico III",35,IF(C2544="Técnico II",28,IF(C2544="Técnico I",23,IF(C2544="JR",20,IF(C2544="Estágio",10,0))))),IF(C2544="Técnico III",SUMIFS($D:$D,$A:$A,$A2544,$B:$B,"&lt;&gt;Patrícia Karla de Sousa Araújo",$B:$B,"&lt;&gt;Lorena Dias de Araujo",$B:$B,"&lt;&gt;Lucas Luiz Romero")*(35/1083),IF(C2544="Técnico II",SUMIFS($D:$D,$A:$A,$A2544,$B:$B,"&lt;&gt;Patrícia Karla de Sousa Araújo",$B:$B,"&lt;&gt;Lorena Dias de Araujo",$B:$B,"&lt;&gt;Lucas Luiz Romero")*(28/1083),IF(C2544="Técnico I",SUMIFS($D:$D,$A:$A,$A2544,$B:$B,"&lt;&gt;Patrícia Karla de Sousa Araújo",$B:$B,"&lt;&gt;Lorena Dias de Araujo",$B:$B,"&lt;&gt;Lucas Luiz Romero")*(23/1083),IF(C2544="JR",SUMIFS($D:$D,$A:$A,$A2544,$B:$B,"&lt;&gt;Patrícia Karla de Sousa Araújo",$B:$B,"&lt;&gt;Lorena Dias de Araujo",$B:$B,"&lt;&gt;Lucas Luiz Romero")*(20/1083),IF(C2544="Estágio",SUMIFS($D:$D,$A:$A,$A2544,$B:$B,"&lt;&gt;Patrícia Karla de Sousa Araújo",$B:$B,"&lt;&gt;Lorena Dias de Araujo",$B:$B,"&lt;&gt;Lucas Luiz Romero")*(10/1083),0)))))),0)</f>
        <v/>
      </c>
      <c r="K2544" s="3">
        <f>I2544-J2544</f>
        <v/>
      </c>
      <c r="L2544" s="3">
        <f>IF(K2544&lt;-5,"CRÍTICO",IF(K2544&lt;0,"ATENÇÃO",IF(K2544&lt;=5,"BOM","EXCELENTE")))</f>
        <v/>
      </c>
      <c r="N2544" t="n">
        <v>93.48</v>
      </c>
      <c r="O2544" t="n">
        <v>31.33462282398452</v>
      </c>
    </row>
    <row r="2545" hidden="1">
      <c r="A2545" s="11" t="n">
        <v>46080</v>
      </c>
      <c r="B2545" t="inlineStr">
        <is>
          <t>Damyllis Lorraine de Oliveira Gonçalves</t>
        </is>
      </c>
      <c r="C2545" t="inlineStr">
        <is>
          <t>Técnico II</t>
        </is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s="3" t="n">
        <v>0</v>
      </c>
      <c r="J2545" s="3" t="n">
        <v>0</v>
      </c>
      <c r="K2545" s="3" t="n">
        <v>0</v>
      </c>
      <c r="L2545" s="3">
        <f>IF(K2545&lt;-5,"CRÍTICO",IF(K2545&lt;0,"ATENÇÃO",IF(K2545&lt;=5,"BOM","EXCELENTE")))</f>
        <v/>
      </c>
      <c r="N2545" t="n">
        <v>99.16</v>
      </c>
      <c r="O2545" t="n">
        <v>26.13908872901678</v>
      </c>
    </row>
    <row r="2546" hidden="1">
      <c r="A2546" s="11" t="n">
        <v>46080</v>
      </c>
      <c r="B2546" t="inlineStr">
        <is>
          <t>Daniel Gomes da Silva</t>
        </is>
      </c>
      <c r="C2546" t="inlineStr">
        <is>
          <t>Técnico I</t>
        </is>
      </c>
      <c r="D2546" t="n">
        <v>7</v>
      </c>
      <c r="E2546" t="n">
        <v>7</v>
      </c>
      <c r="F2546" t="n">
        <v>168.22</v>
      </c>
      <c r="G2546" t="n">
        <v>0</v>
      </c>
      <c r="H2546" t="n">
        <v>0</v>
      </c>
      <c r="I2546" s="3">
        <f>E2546+G2546+H2546</f>
        <v/>
      </c>
      <c r="J2546" s="3">
        <f>ROUND(MIN(IF(C2546="Técnico III",35,IF(C2546="Técnico II",28,IF(C2546="Técnico I",23,IF(C2546="JR",20,IF(C2546="Estágio",10,0))))),IF(C2546="Técnico III",SUMIFS($D:$D,$A:$A,$A2546,$B:$B,"&lt;&gt;Patrícia Karla de Sousa Araújo",$B:$B,"&lt;&gt;Lorena Dias de Araujo",$B:$B,"&lt;&gt;Lucas Luiz Romero")*(35/1083),IF(C2546="Técnico II",SUMIFS($D:$D,$A:$A,$A2546,$B:$B,"&lt;&gt;Patrícia Karla de Sousa Araújo",$B:$B,"&lt;&gt;Lorena Dias de Araujo",$B:$B,"&lt;&gt;Lucas Luiz Romero")*(28/1083),IF(C2546="Técnico I",SUMIFS($D:$D,$A:$A,$A2546,$B:$B,"&lt;&gt;Patrícia Karla de Sousa Araújo",$B:$B,"&lt;&gt;Lorena Dias de Araujo",$B:$B,"&lt;&gt;Lucas Luiz Romero")*(23/1083),IF(C2546="JR",SUMIFS($D:$D,$A:$A,$A2546,$B:$B,"&lt;&gt;Patrícia Karla de Sousa Araújo",$B:$B,"&lt;&gt;Lorena Dias de Araujo",$B:$B,"&lt;&gt;Lucas Luiz Romero")*(20/1083),IF(C2546="Estágio",SUMIFS($D:$D,$A:$A,$A2546,$B:$B,"&lt;&gt;Patrícia Karla de Sousa Araújo",$B:$B,"&lt;&gt;Lorena Dias de Araujo",$B:$B,"&lt;&gt;Lucas Luiz Romero")*(10/1083),0)))))),0)</f>
        <v/>
      </c>
      <c r="K2546" s="3">
        <f>I2546-J2546</f>
        <v/>
      </c>
      <c r="L2546" s="3">
        <f>IF(K2546&lt;-5,"CRÍTICO",IF(K2546&lt;0,"ATENÇÃO",IF(K2546&lt;=5,"BOM","EXCELENTE")))</f>
        <v/>
      </c>
      <c r="N2546" t="n">
        <v>100</v>
      </c>
      <c r="O2546" t="n">
        <v>31.08974358974359</v>
      </c>
    </row>
    <row r="2547" hidden="1">
      <c r="A2547" s="11" t="n">
        <v>46080</v>
      </c>
      <c r="B2547" t="inlineStr">
        <is>
          <t>Davylla Rodrigues Freitas Silva</t>
        </is>
      </c>
      <c r="C2547" t="inlineStr">
        <is>
          <t>Técnico III</t>
        </is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s="3" t="n">
        <v>0</v>
      </c>
      <c r="J2547" s="3" t="n">
        <v>0</v>
      </c>
      <c r="K2547" s="3" t="n">
        <v>0</v>
      </c>
      <c r="L2547" s="3">
        <f>IF(K2547&lt;-5,"CRÍTICO",IF(K2547&lt;0,"ATENÇÃO",IF(K2547&lt;=5,"BOM","EXCELENTE")))</f>
        <v/>
      </c>
      <c r="N2547" t="n">
        <v>98.11</v>
      </c>
      <c r="O2547" t="n">
        <v>33.03370786516854</v>
      </c>
    </row>
    <row r="2548" hidden="1">
      <c r="A2548" s="11" t="n">
        <v>46080</v>
      </c>
      <c r="B2548" t="inlineStr">
        <is>
          <t>Emilly Caylane Costa</t>
        </is>
      </c>
      <c r="C2548" t="inlineStr">
        <is>
          <t>Estágio</t>
        </is>
      </c>
      <c r="D2548" t="n">
        <v>8</v>
      </c>
      <c r="E2548" t="n">
        <v>8</v>
      </c>
      <c r="F2548" t="n">
        <v>48.23</v>
      </c>
      <c r="G2548" t="n">
        <v>0</v>
      </c>
      <c r="H2548" t="n">
        <v>0</v>
      </c>
      <c r="I2548" s="3">
        <f>E2548+G2548+H2548</f>
        <v/>
      </c>
      <c r="J2548" s="3">
        <f>ROUND(MIN(IF(C2548="Técnico III",35,IF(C2548="Técnico II",28,IF(C2548="Técnico I",23,IF(C2548="JR",20,IF(C2548="Estágio",10,0))))),IF(C2548="Técnico III",SUMIFS($D:$D,$A:$A,$A2548,$B:$B,"&lt;&gt;Patrícia Karla de Sousa Araújo",$B:$B,"&lt;&gt;Lorena Dias de Araujo",$B:$B,"&lt;&gt;Lucas Luiz Romero")*(35/1083),IF(C2548="Técnico II",SUMIFS($D:$D,$A:$A,$A2548,$B:$B,"&lt;&gt;Patrícia Karla de Sousa Araújo",$B:$B,"&lt;&gt;Lorena Dias de Araujo",$B:$B,"&lt;&gt;Lucas Luiz Romero")*(28/1083),IF(C2548="Técnico I",SUMIFS($D:$D,$A:$A,$A2548,$B:$B,"&lt;&gt;Patrícia Karla de Sousa Araújo",$B:$B,"&lt;&gt;Lorena Dias de Araujo",$B:$B,"&lt;&gt;Lucas Luiz Romero")*(23/1083),IF(C2548="JR",SUMIFS($D:$D,$A:$A,$A2548,$B:$B,"&lt;&gt;Patrícia Karla de Sousa Araújo",$B:$B,"&lt;&gt;Lorena Dias de Araujo",$B:$B,"&lt;&gt;Lucas Luiz Romero")*(20/1083),IF(C2548="Estágio",SUMIFS($D:$D,$A:$A,$A2548,$B:$B,"&lt;&gt;Patrícia Karla de Sousa Araújo",$B:$B,"&lt;&gt;Lorena Dias de Araujo",$B:$B,"&lt;&gt;Lucas Luiz Romero")*(10/1083),0)))))),0)</f>
        <v/>
      </c>
      <c r="K2548" s="3">
        <f>I2548-J2548</f>
        <v/>
      </c>
      <c r="L2548" s="3">
        <f>IF(K2548&lt;-5,"CRÍTICO",IF(K2548&lt;0,"ATENÇÃO",IF(K2548&lt;=5,"BOM","EXCELENTE")))</f>
        <v/>
      </c>
      <c r="N2548" t="n">
        <v>78.95</v>
      </c>
      <c r="O2548" t="n">
        <v>38.98305084745763</v>
      </c>
    </row>
    <row r="2549" hidden="1">
      <c r="A2549" s="11" t="n">
        <v>46080</v>
      </c>
      <c r="B2549" t="inlineStr">
        <is>
          <t>Emilly Kamilly Medeiros Miranda</t>
        </is>
      </c>
      <c r="C2549" t="inlineStr">
        <is>
          <t>Técnico II</t>
        </is>
      </c>
      <c r="D2549" t="n">
        <v>14</v>
      </c>
      <c r="E2549" t="n">
        <v>13</v>
      </c>
      <c r="F2549" t="n">
        <v>48.35</v>
      </c>
      <c r="G2549" t="n">
        <v>0</v>
      </c>
      <c r="H2549" t="n">
        <v>0</v>
      </c>
      <c r="I2549" s="3">
        <f>E2549+G2549+H2549</f>
        <v/>
      </c>
      <c r="J2549" s="3">
        <f>ROUND(MIN(IF(C2549="Técnico III",35,IF(C2549="Técnico II",28,IF(C2549="Técnico I",23,IF(C2549="JR",20,IF(C2549="Estágio",10,0))))),IF(C2549="Técnico III",SUMIFS($D:$D,$A:$A,$A2549,$B:$B,"&lt;&gt;Patrícia Karla de Sousa Araújo",$B:$B,"&lt;&gt;Lorena Dias de Araujo",$B:$B,"&lt;&gt;Lucas Luiz Romero")*(35/1083),IF(C2549="Técnico II",SUMIFS($D:$D,$A:$A,$A2549,$B:$B,"&lt;&gt;Patrícia Karla de Sousa Araújo",$B:$B,"&lt;&gt;Lorena Dias de Araujo",$B:$B,"&lt;&gt;Lucas Luiz Romero")*(28/1083),IF(C2549="Técnico I",SUMIFS($D:$D,$A:$A,$A2549,$B:$B,"&lt;&gt;Patrícia Karla de Sousa Araújo",$B:$B,"&lt;&gt;Lorena Dias de Araujo",$B:$B,"&lt;&gt;Lucas Luiz Romero")*(23/1083),IF(C2549="JR",SUMIFS($D:$D,$A:$A,$A2549,$B:$B,"&lt;&gt;Patrícia Karla de Sousa Araújo",$B:$B,"&lt;&gt;Lorena Dias de Araujo",$B:$B,"&lt;&gt;Lucas Luiz Romero")*(20/1083),IF(C2549="Estágio",SUMIFS($D:$D,$A:$A,$A2549,$B:$B,"&lt;&gt;Patrícia Karla de Sousa Araújo",$B:$B,"&lt;&gt;Lorena Dias de Araujo",$B:$B,"&lt;&gt;Lucas Luiz Romero")*(10/1083),0)))))),0)</f>
        <v/>
      </c>
      <c r="K2549" s="3">
        <f>I2549-J2549</f>
        <v/>
      </c>
      <c r="L2549" s="3">
        <f>IF(K2549&lt;-5,"CRÍTICO",IF(K2549&lt;0,"ATENÇÃO",IF(K2549&lt;=5,"BOM","EXCELENTE")))</f>
        <v/>
      </c>
      <c r="N2549" t="n">
        <v>98.45</v>
      </c>
      <c r="O2549" t="n">
        <v>29.2817679558011</v>
      </c>
    </row>
    <row r="2550" hidden="1">
      <c r="A2550" s="11" t="n">
        <v>46080</v>
      </c>
      <c r="B2550" t="inlineStr">
        <is>
          <t>Francielson de Oliveira</t>
        </is>
      </c>
      <c r="C2550" t="inlineStr">
        <is>
          <t>Técnico III</t>
        </is>
      </c>
      <c r="D2550" t="n">
        <v>24</v>
      </c>
      <c r="E2550" t="n">
        <v>24</v>
      </c>
      <c r="F2550" t="n">
        <v>22.14</v>
      </c>
      <c r="G2550" t="n">
        <v>0</v>
      </c>
      <c r="H2550" t="n">
        <v>0</v>
      </c>
      <c r="I2550" s="3">
        <f>E2550+G2550+H2550</f>
        <v/>
      </c>
      <c r="J2550" s="3">
        <f>ROUND(MIN(IF(C2550="Técnico III",35,IF(C2550="Técnico II",28,IF(C2550="Técnico I",23,IF(C2550="JR",20,IF(C2550="Estágio",10,0))))),IF(C2550="Técnico III",SUMIFS($D:$D,$A:$A,$A2550,$B:$B,"&lt;&gt;Patrícia Karla de Sousa Araújo",$B:$B,"&lt;&gt;Lorena Dias de Araujo",$B:$B,"&lt;&gt;Lucas Luiz Romero")*(35/1083),IF(C2550="Técnico II",SUMIFS($D:$D,$A:$A,$A2550,$B:$B,"&lt;&gt;Patrícia Karla de Sousa Araújo",$B:$B,"&lt;&gt;Lorena Dias de Araujo",$B:$B,"&lt;&gt;Lucas Luiz Romero")*(28/1083),IF(C2550="Técnico I",SUMIFS($D:$D,$A:$A,$A2550,$B:$B,"&lt;&gt;Patrícia Karla de Sousa Araújo",$B:$B,"&lt;&gt;Lorena Dias de Araujo",$B:$B,"&lt;&gt;Lucas Luiz Romero")*(23/1083),IF(C2550="JR",SUMIFS($D:$D,$A:$A,$A2550,$B:$B,"&lt;&gt;Patrícia Karla de Sousa Araújo",$B:$B,"&lt;&gt;Lorena Dias de Araujo",$B:$B,"&lt;&gt;Lucas Luiz Romero")*(20/1083),IF(C2550="Estágio",SUMIFS($D:$D,$A:$A,$A2550,$B:$B,"&lt;&gt;Patrícia Karla de Sousa Araújo",$B:$B,"&lt;&gt;Lorena Dias de Araujo",$B:$B,"&lt;&gt;Lucas Luiz Romero")*(10/1083),0)))))),0)</f>
        <v/>
      </c>
      <c r="K2550" s="3">
        <f>I2550-J2550</f>
        <v/>
      </c>
      <c r="L2550" s="3">
        <f>IF(K2550&lt;-5,"CRÍTICO",IF(K2550&lt;0,"ATENÇÃO",IF(K2550&lt;=5,"BOM","EXCELENTE")))</f>
        <v/>
      </c>
      <c r="N2550" t="n">
        <v>97.84</v>
      </c>
      <c r="O2550" t="n">
        <v>26.28205128205128</v>
      </c>
    </row>
    <row r="2551" hidden="1">
      <c r="A2551" s="11" t="n">
        <v>46080</v>
      </c>
      <c r="B2551" t="inlineStr">
        <is>
          <t>Francilene Ferreira de Jesus</t>
        </is>
      </c>
      <c r="C2551" t="inlineStr">
        <is>
          <t>Técnico II</t>
        </is>
      </c>
      <c r="D2551" t="n">
        <v>22</v>
      </c>
      <c r="E2551" t="n">
        <v>19</v>
      </c>
      <c r="F2551" t="n">
        <v>35.34</v>
      </c>
      <c r="G2551" t="n">
        <v>0</v>
      </c>
      <c r="H2551" t="n">
        <v>0</v>
      </c>
      <c r="I2551" s="3">
        <f>E2551+G2551+H2551</f>
        <v/>
      </c>
      <c r="J2551" s="3">
        <f>ROUND(MIN(IF(C2551="Técnico III",35,IF(C2551="Técnico II",28,IF(C2551="Técnico I",23,IF(C2551="JR",20,IF(C2551="Estágio",10,0))))),IF(C2551="Técnico III",SUMIFS($D:$D,$A:$A,$A2551,$B:$B,"&lt;&gt;Patrícia Karla de Sousa Araújo",$B:$B,"&lt;&gt;Lorena Dias de Araujo",$B:$B,"&lt;&gt;Lucas Luiz Romero")*(35/1083),IF(C2551="Técnico II",SUMIFS($D:$D,$A:$A,$A2551,$B:$B,"&lt;&gt;Patrícia Karla de Sousa Araújo",$B:$B,"&lt;&gt;Lorena Dias de Araujo",$B:$B,"&lt;&gt;Lucas Luiz Romero")*(28/1083),IF(C2551="Técnico I",SUMIFS($D:$D,$A:$A,$A2551,$B:$B,"&lt;&gt;Patrícia Karla de Sousa Araújo",$B:$B,"&lt;&gt;Lorena Dias de Araujo",$B:$B,"&lt;&gt;Lucas Luiz Romero")*(23/1083),IF(C2551="JR",SUMIFS($D:$D,$A:$A,$A2551,$B:$B,"&lt;&gt;Patrícia Karla de Sousa Araújo",$B:$B,"&lt;&gt;Lorena Dias de Araujo",$B:$B,"&lt;&gt;Lucas Luiz Romero")*(20/1083),IF(C2551="Estágio",SUMIFS($D:$D,$A:$A,$A2551,$B:$B,"&lt;&gt;Patrícia Karla de Sousa Araújo",$B:$B,"&lt;&gt;Lorena Dias de Araujo",$B:$B,"&lt;&gt;Lucas Luiz Romero")*(10/1083),0)))))),0)</f>
        <v/>
      </c>
      <c r="K2551" s="3">
        <f>I2551-J2551</f>
        <v/>
      </c>
      <c r="L2551" s="3">
        <f>IF(K2551&lt;-5,"CRÍTICO",IF(K2551&lt;0,"ATENÇÃO",IF(K2551&lt;=5,"BOM","EXCELENTE")))</f>
        <v/>
      </c>
      <c r="N2551" t="n">
        <v>98.5</v>
      </c>
      <c r="O2551" t="n">
        <v>23.97769516728625</v>
      </c>
    </row>
    <row r="2552" hidden="1">
      <c r="A2552" s="11" t="n">
        <v>46114</v>
      </c>
      <c r="B2552" t="inlineStr">
        <is>
          <t>Gabriel Gomes de Andrade</t>
        </is>
      </c>
      <c r="C2552" t="inlineStr">
        <is>
          <t>Técnico I</t>
        </is>
      </c>
      <c r="D2552" t="n">
        <v>33</v>
      </c>
      <c r="E2552" t="n">
        <v>31</v>
      </c>
      <c r="F2552" t="n">
        <v>15.33</v>
      </c>
      <c r="G2552" t="n">
        <v>0</v>
      </c>
      <c r="H2552" t="n">
        <v>0</v>
      </c>
      <c r="I2552" s="3">
        <f>E2552+G2552+H2552</f>
        <v/>
      </c>
      <c r="J2552" s="3">
        <f>ROUND(MIN(IF(C2552="Técnico III",35,IF(C2552="Técnico II",28,IF(C2552="Técnico I",23,IF(C2552="JR",20,IF(C2552="Estágio",10,0))))),IF(C2552="Técnico III",SUMIFS($D:$D,$A:$A,$A2552,$B:$B,"&lt;&gt;Patrícia Karla de Sousa Araújo",$B:$B,"&lt;&gt;Lorena Dias de Araujo",$B:$B,"&lt;&gt;Lucas Luiz Romero")*(35/1083),IF(C2552="Técnico II",SUMIFS($D:$D,$A:$A,$A2552,$B:$B,"&lt;&gt;Patrícia Karla de Sousa Araújo",$B:$B,"&lt;&gt;Lorena Dias de Araujo",$B:$B,"&lt;&gt;Lucas Luiz Romero")*(28/1083),IF(C2552="Técnico I",SUMIFS($D:$D,$A:$A,$A2552,$B:$B,"&lt;&gt;Patrícia Karla de Sousa Araújo",$B:$B,"&lt;&gt;Lorena Dias de Araujo",$B:$B,"&lt;&gt;Lucas Luiz Romero")*(23/1083),IF(C2552="JR",SUMIFS($D:$D,$A:$A,$A2552,$B:$B,"&lt;&gt;Patrícia Karla de Sousa Araújo",$B:$B,"&lt;&gt;Lorena Dias de Araujo",$B:$B,"&lt;&gt;Lucas Luiz Romero")*(20/1083),IF(C2552="Estágio",SUMIFS($D:$D,$A:$A,$A2552,$B:$B,"&lt;&gt;Patrícia Karla de Sousa Araújo",$B:$B,"&lt;&gt;Lorena Dias de Araujo",$B:$B,"&lt;&gt;Lucas Luiz Romero")*(10/1083),0)))))),0)</f>
        <v/>
      </c>
      <c r="K2552" s="3">
        <f>I2552-J2552</f>
        <v/>
      </c>
      <c r="L2552" s="3">
        <f>IF(K2552&lt;-5,"CRÍTICO",IF(K2552&lt;0,"ATENÇÃO",IF(K2552&lt;=5,"OPORTUNO","MUITO BOM")))</f>
        <v/>
      </c>
      <c r="N2552" t="n">
        <v>99.28</v>
      </c>
      <c r="O2552" t="n">
        <v>27.68924302788844</v>
      </c>
    </row>
    <row r="2553" hidden="1">
      <c r="A2553" s="11" t="n">
        <v>46080</v>
      </c>
      <c r="B2553" t="inlineStr">
        <is>
          <t>Isabella Borges de Oliveira</t>
        </is>
      </c>
      <c r="C2553" t="inlineStr">
        <is>
          <t>Técnico II</t>
        </is>
      </c>
      <c r="D2553" t="n">
        <v>21</v>
      </c>
      <c r="E2553" t="n">
        <v>21</v>
      </c>
      <c r="F2553" t="n">
        <v>28.56</v>
      </c>
      <c r="G2553" t="n">
        <v>0</v>
      </c>
      <c r="H2553" t="n">
        <v>0</v>
      </c>
      <c r="I2553" s="3">
        <f>E2553+G2553+H2553</f>
        <v/>
      </c>
      <c r="J2553" s="3">
        <f>ROUND(MIN(IF(C2553="Técnico III",35,IF(C2553="Técnico II",28,IF(C2553="Técnico I",23,IF(C2553="JR",20,IF(C2553="Estágio",10,0))))),IF(C2553="Técnico III",SUMIFS($D:$D,$A:$A,$A2553,$B:$B,"&lt;&gt;Patrícia Karla de Sousa Araújo",$B:$B,"&lt;&gt;Lorena Dias de Araujo",$B:$B,"&lt;&gt;Lucas Luiz Romero")*(35/1083),IF(C2553="Técnico II",SUMIFS($D:$D,$A:$A,$A2553,$B:$B,"&lt;&gt;Patrícia Karla de Sousa Araújo",$B:$B,"&lt;&gt;Lorena Dias de Araujo",$B:$B,"&lt;&gt;Lucas Luiz Romero")*(28/1083),IF(C2553="Técnico I",SUMIFS($D:$D,$A:$A,$A2553,$B:$B,"&lt;&gt;Patrícia Karla de Sousa Araújo",$B:$B,"&lt;&gt;Lorena Dias de Araujo",$B:$B,"&lt;&gt;Lucas Luiz Romero")*(23/1083),IF(C2553="JR",SUMIFS($D:$D,$A:$A,$A2553,$B:$B,"&lt;&gt;Patrícia Karla de Sousa Araújo",$B:$B,"&lt;&gt;Lorena Dias de Araujo",$B:$B,"&lt;&gt;Lucas Luiz Romero")*(20/1083),IF(C2553="Estágio",SUMIFS($D:$D,$A:$A,$A2553,$B:$B,"&lt;&gt;Patrícia Karla de Sousa Araújo",$B:$B,"&lt;&gt;Lorena Dias de Araujo",$B:$B,"&lt;&gt;Lucas Luiz Romero")*(10/1083),0)))))),0)</f>
        <v/>
      </c>
      <c r="K2553" s="3">
        <f>I2553-J2553</f>
        <v/>
      </c>
      <c r="L2553" s="3">
        <f>IF(K2553&lt;-5,"CRÍTICO",IF(K2553&lt;0,"ATENÇÃO",IF(K2553&lt;=5,"BOM","EXCELENTE")))</f>
        <v/>
      </c>
      <c r="N2553" t="n">
        <v>98.53</v>
      </c>
      <c r="O2553" t="n">
        <v>31.57894736842105</v>
      </c>
    </row>
    <row r="2554" hidden="1">
      <c r="A2554" s="11" t="n">
        <v>46080</v>
      </c>
      <c r="B2554" t="inlineStr">
        <is>
          <t>Janaina Lima dos Reis Urany</t>
        </is>
      </c>
      <c r="C2554" t="inlineStr">
        <is>
          <t>Técnico III</t>
        </is>
      </c>
      <c r="D2554" t="n">
        <v>28</v>
      </c>
      <c r="E2554" t="n">
        <v>23</v>
      </c>
      <c r="F2554" t="n">
        <v>27.08</v>
      </c>
      <c r="G2554" t="n">
        <v>0</v>
      </c>
      <c r="H2554" t="n">
        <v>0</v>
      </c>
      <c r="I2554" s="3">
        <f>E2554+G2554+H2554</f>
        <v/>
      </c>
      <c r="J2554" s="3">
        <f>ROUND(MIN(IF(C2554="Técnico III",35,IF(C2554="Técnico II",28,IF(C2554="Técnico I",23,IF(C2554="JR",20,IF(C2554="Estágio",10,0))))),IF(C2554="Técnico III",SUMIFS($D:$D,$A:$A,$A2554,$B:$B,"&lt;&gt;Patrícia Karla de Sousa Araújo",$B:$B,"&lt;&gt;Lorena Dias de Araujo",$B:$B,"&lt;&gt;Lucas Luiz Romero")*(35/1083),IF(C2554="Técnico II",SUMIFS($D:$D,$A:$A,$A2554,$B:$B,"&lt;&gt;Patrícia Karla de Sousa Araújo",$B:$B,"&lt;&gt;Lorena Dias de Araujo",$B:$B,"&lt;&gt;Lucas Luiz Romero")*(28/1083),IF(C2554="Técnico I",SUMIFS($D:$D,$A:$A,$A2554,$B:$B,"&lt;&gt;Patrícia Karla de Sousa Araújo",$B:$B,"&lt;&gt;Lorena Dias de Araujo",$B:$B,"&lt;&gt;Lucas Luiz Romero")*(23/1083),IF(C2554="JR",SUMIFS($D:$D,$A:$A,$A2554,$B:$B,"&lt;&gt;Patrícia Karla de Sousa Araújo",$B:$B,"&lt;&gt;Lorena Dias de Araujo",$B:$B,"&lt;&gt;Lucas Luiz Romero")*(20/1083),IF(C2554="Estágio",SUMIFS($D:$D,$A:$A,$A2554,$B:$B,"&lt;&gt;Patrícia Karla de Sousa Araújo",$B:$B,"&lt;&gt;Lorena Dias de Araujo",$B:$B,"&lt;&gt;Lucas Luiz Romero")*(10/1083),0)))))),0)</f>
        <v/>
      </c>
      <c r="K2554" s="3">
        <f>I2554-J2554</f>
        <v/>
      </c>
      <c r="L2554" s="3">
        <f>IF(K2554&lt;-5,"CRÍTICO",IF(K2554&lt;0,"ATENÇÃO",IF(K2554&lt;=5,"BOM","EXCELENTE")))</f>
        <v/>
      </c>
      <c r="N2554" t="n">
        <v>100</v>
      </c>
      <c r="O2554" t="n">
        <v>25.72214580467676</v>
      </c>
    </row>
    <row r="2555" hidden="1">
      <c r="A2555" s="11" t="n">
        <v>46080</v>
      </c>
      <c r="B2555" t="inlineStr">
        <is>
          <t>Jaqueline Evangelista da Silva Martins</t>
        </is>
      </c>
      <c r="C2555" t="inlineStr">
        <is>
          <t>Técnico III</t>
        </is>
      </c>
      <c r="D2555" t="n">
        <v>3</v>
      </c>
      <c r="E2555" t="n">
        <v>3</v>
      </c>
      <c r="F2555" t="n">
        <v>67.34</v>
      </c>
      <c r="G2555" t="n">
        <v>0</v>
      </c>
      <c r="H2555" t="n">
        <v>0</v>
      </c>
      <c r="I2555" s="3">
        <f>E2555+G2555+H2555</f>
        <v/>
      </c>
      <c r="J2555" s="3">
        <f>ROUND(MIN(IF(C2555="Técnico III",35,IF(C2555="Técnico II",28,IF(C2555="Técnico I",23,IF(C2555="JR",20,IF(C2555="Estágio",10,0))))),IF(C2555="Técnico III",SUMIFS($D:$D,$A:$A,$A2555,$B:$B,"&lt;&gt;Patrícia Karla de Sousa Araújo",$B:$B,"&lt;&gt;Lorena Dias de Araujo",$B:$B,"&lt;&gt;Lucas Luiz Romero")*(35/1083),IF(C2555="Técnico II",SUMIFS($D:$D,$A:$A,$A2555,$B:$B,"&lt;&gt;Patrícia Karla de Sousa Araújo",$B:$B,"&lt;&gt;Lorena Dias de Araujo",$B:$B,"&lt;&gt;Lucas Luiz Romero")*(28/1083),IF(C2555="Técnico I",SUMIFS($D:$D,$A:$A,$A2555,$B:$B,"&lt;&gt;Patrícia Karla de Sousa Araújo",$B:$B,"&lt;&gt;Lorena Dias de Araujo",$B:$B,"&lt;&gt;Lucas Luiz Romero")*(23/1083),IF(C2555="JR",SUMIFS($D:$D,$A:$A,$A2555,$B:$B,"&lt;&gt;Patrícia Karla de Sousa Araújo",$B:$B,"&lt;&gt;Lorena Dias de Araujo",$B:$B,"&lt;&gt;Lucas Luiz Romero")*(20/1083),IF(C2555="Estágio",SUMIFS($D:$D,$A:$A,$A2555,$B:$B,"&lt;&gt;Patrícia Karla de Sousa Araújo",$B:$B,"&lt;&gt;Lorena Dias de Araujo",$B:$B,"&lt;&gt;Lucas Luiz Romero")*(10/1083),0)))))),0)</f>
        <v/>
      </c>
      <c r="K2555" s="3">
        <f>I2555-J2555</f>
        <v/>
      </c>
      <c r="L2555" s="3">
        <f>IF(K2555&lt;-5,"CRÍTICO",IF(K2555&lt;0,"ATENÇÃO",IF(K2555&lt;=5,"BOM","EXCELENTE")))</f>
        <v/>
      </c>
      <c r="N2555" t="n">
        <v>94.64</v>
      </c>
      <c r="O2555" t="n">
        <v>27.52941176470588</v>
      </c>
    </row>
    <row r="2556" hidden="1">
      <c r="A2556" s="11" t="n">
        <v>46080</v>
      </c>
      <c r="B2556" t="inlineStr">
        <is>
          <t>Jessica Faria da Silveira</t>
        </is>
      </c>
      <c r="C2556" t="inlineStr">
        <is>
          <t>Técnico II</t>
        </is>
      </c>
      <c r="D2556" t="n">
        <v>15</v>
      </c>
      <c r="E2556" t="n">
        <v>15</v>
      </c>
      <c r="F2556" t="n">
        <v>33.32</v>
      </c>
      <c r="G2556" t="n">
        <v>0</v>
      </c>
      <c r="H2556" t="n">
        <v>0</v>
      </c>
      <c r="I2556" s="3">
        <f>E2556+G2556+H2556</f>
        <v/>
      </c>
      <c r="J2556" s="3">
        <f>ROUND(MIN(IF(C2556="Técnico III",35,IF(C2556="Técnico II",28,IF(C2556="Técnico I",23,IF(C2556="JR",20,IF(C2556="Estágio",10,0))))),IF(C2556="Técnico III",SUMIFS($D:$D,$A:$A,$A2556,$B:$B,"&lt;&gt;Patrícia Karla de Sousa Araújo",$B:$B,"&lt;&gt;Lorena Dias de Araujo",$B:$B,"&lt;&gt;Lucas Luiz Romero")*(35/1083),IF(C2556="Técnico II",SUMIFS($D:$D,$A:$A,$A2556,$B:$B,"&lt;&gt;Patrícia Karla de Sousa Araújo",$B:$B,"&lt;&gt;Lorena Dias de Araujo",$B:$B,"&lt;&gt;Lucas Luiz Romero")*(28/1083),IF(C2556="Técnico I",SUMIFS($D:$D,$A:$A,$A2556,$B:$B,"&lt;&gt;Patrícia Karla de Sousa Araújo",$B:$B,"&lt;&gt;Lorena Dias de Araujo",$B:$B,"&lt;&gt;Lucas Luiz Romero")*(23/1083),IF(C2556="JR",SUMIFS($D:$D,$A:$A,$A2556,$B:$B,"&lt;&gt;Patrícia Karla de Sousa Araújo",$B:$B,"&lt;&gt;Lorena Dias de Araujo",$B:$B,"&lt;&gt;Lucas Luiz Romero")*(20/1083),IF(C2556="Estágio",SUMIFS($D:$D,$A:$A,$A2556,$B:$B,"&lt;&gt;Patrícia Karla de Sousa Araújo",$B:$B,"&lt;&gt;Lorena Dias de Araujo",$B:$B,"&lt;&gt;Lucas Luiz Romero")*(10/1083),0)))))),0)</f>
        <v/>
      </c>
      <c r="K2556" s="3">
        <f>I2556-J2556</f>
        <v/>
      </c>
      <c r="L2556" s="3">
        <f>IF(K2556&lt;-5,"CRÍTICO",IF(K2556&lt;0,"ATENÇÃO",IF(K2556&lt;=5,"BOM","EXCELENTE")))</f>
        <v/>
      </c>
      <c r="N2556" t="n">
        <v>99.06999999999999</v>
      </c>
      <c r="O2556" t="n">
        <v>26.3768115942029</v>
      </c>
    </row>
    <row r="2557" hidden="1">
      <c r="A2557" s="11" t="n">
        <v>46080</v>
      </c>
      <c r="B2557" t="inlineStr">
        <is>
          <t>Jéssica Fé Moura</t>
        </is>
      </c>
      <c r="C2557" t="inlineStr">
        <is>
          <t>Técnico III</t>
        </is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s="3" t="n">
        <v>0</v>
      </c>
      <c r="J2557" s="3" t="n">
        <v>0</v>
      </c>
      <c r="K2557" s="3" t="n">
        <v>0</v>
      </c>
      <c r="L2557" s="3">
        <f>IF(K2557&lt;-5,"CRÍTICO",IF(K2557&lt;0,"ATENÇÃO",IF(K2557&lt;=5,"BOM","EXCELENTE")))</f>
        <v/>
      </c>
      <c r="N2557" t="n">
        <v>100</v>
      </c>
      <c r="O2557" t="n">
        <v>0</v>
      </c>
    </row>
    <row r="2558" hidden="1">
      <c r="A2558" s="11" t="n">
        <v>46080</v>
      </c>
      <c r="B2558" t="inlineStr">
        <is>
          <t>Karina Gonçalves Martins</t>
        </is>
      </c>
      <c r="C2558" t="inlineStr">
        <is>
          <t>JR</t>
        </is>
      </c>
      <c r="D2558" t="n">
        <v>9</v>
      </c>
      <c r="E2558" t="n">
        <v>8</v>
      </c>
      <c r="F2558" t="n">
        <v>38.58</v>
      </c>
      <c r="G2558" t="n">
        <v>0</v>
      </c>
      <c r="H2558" t="n">
        <v>0</v>
      </c>
      <c r="I2558" s="3">
        <f>E2558+G2558+H2558</f>
        <v/>
      </c>
      <c r="J2558" s="3">
        <f>ROUND(MIN(IF(C2558="Técnico III",35,IF(C2558="Técnico II",28,IF(C2558="Técnico I",23,IF(C2558="JR",20,IF(C2558="Estágio",10,0))))),IF(C2558="Técnico III",SUMIFS($D:$D,$A:$A,$A2558,$B:$B,"&lt;&gt;Patrícia Karla de Sousa Araújo",$B:$B,"&lt;&gt;Lorena Dias de Araujo",$B:$B,"&lt;&gt;Lucas Luiz Romero")*(35/1083),IF(C2558="Técnico II",SUMIFS($D:$D,$A:$A,$A2558,$B:$B,"&lt;&gt;Patrícia Karla de Sousa Araújo",$B:$B,"&lt;&gt;Lorena Dias de Araujo",$B:$B,"&lt;&gt;Lucas Luiz Romero")*(28/1083),IF(C2558="Técnico I",SUMIFS($D:$D,$A:$A,$A2558,$B:$B,"&lt;&gt;Patrícia Karla de Sousa Araújo",$B:$B,"&lt;&gt;Lorena Dias de Araujo",$B:$B,"&lt;&gt;Lucas Luiz Romero")*(23/1083),IF(C2558="JR",SUMIFS($D:$D,$A:$A,$A2558,$B:$B,"&lt;&gt;Patrícia Karla de Sousa Araújo",$B:$B,"&lt;&gt;Lorena Dias de Araujo",$B:$B,"&lt;&gt;Lucas Luiz Romero")*(20/1083),IF(C2558="Estágio",SUMIFS($D:$D,$A:$A,$A2558,$B:$B,"&lt;&gt;Patrícia Karla de Sousa Araújo",$B:$B,"&lt;&gt;Lorena Dias de Araujo",$B:$B,"&lt;&gt;Lucas Luiz Romero")*(10/1083),0)))))),0)</f>
        <v/>
      </c>
      <c r="K2558" s="3">
        <f>I2558-J2558</f>
        <v/>
      </c>
      <c r="L2558" s="3">
        <f>IF(K2558&lt;-5,"CRÍTICO",IF(K2558&lt;0,"ATENÇÃO",IF(K2558&lt;=5,"BOM","EXCELENTE")))</f>
        <v/>
      </c>
      <c r="N2558" t="n">
        <v>98.48</v>
      </c>
      <c r="O2558" t="n">
        <v>27.85388127853881</v>
      </c>
    </row>
    <row r="2559" hidden="1">
      <c r="A2559" s="11" t="n">
        <v>46080</v>
      </c>
      <c r="B2559" t="inlineStr">
        <is>
          <t>Kerollen Cristielly de Jesus Siqueira</t>
        </is>
      </c>
      <c r="C2559" t="inlineStr">
        <is>
          <t>Técnico III</t>
        </is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s="3" t="n">
        <v>0</v>
      </c>
      <c r="J2559" s="3" t="n">
        <v>0</v>
      </c>
      <c r="K2559" s="3" t="n">
        <v>0</v>
      </c>
      <c r="L2559" s="3">
        <f>IF(K2559&lt;-5,"CRÍTICO",IF(K2559&lt;0,"ATENÇÃO",IF(K2559&lt;=5,"BOM","EXCELENTE")))</f>
        <v/>
      </c>
      <c r="N2559" t="n">
        <v>95.15000000000001</v>
      </c>
      <c r="O2559" t="n">
        <v>34.13173652694611</v>
      </c>
    </row>
    <row r="2560" hidden="1">
      <c r="A2560" s="11" t="n">
        <v>46080</v>
      </c>
      <c r="B2560" t="inlineStr">
        <is>
          <t>Leandro de Souza Silva</t>
        </is>
      </c>
      <c r="C2560" t="inlineStr">
        <is>
          <t>JR</t>
        </is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s="3" t="n">
        <v>0</v>
      </c>
      <c r="J2560" s="3" t="n">
        <v>0</v>
      </c>
      <c r="K2560" s="3" t="n">
        <v>0</v>
      </c>
      <c r="L2560" s="3">
        <f>IF(K2560&lt;-5,"CRÍTICO",IF(K2560&lt;0,"ATENÇÃO",IF(K2560&lt;=5,"BOM","EXCELENTE")))</f>
        <v/>
      </c>
      <c r="N2560" t="n">
        <v>0</v>
      </c>
      <c r="O2560" t="n">
        <v>0</v>
      </c>
    </row>
    <row r="2561" hidden="1">
      <c r="A2561" s="11" t="n">
        <v>46080</v>
      </c>
      <c r="B2561" t="inlineStr">
        <is>
          <t>Leandro Oliveira de Sousa</t>
        </is>
      </c>
      <c r="C2561" t="inlineStr">
        <is>
          <t>Técnico III</t>
        </is>
      </c>
      <c r="D2561" t="n">
        <v>16</v>
      </c>
      <c r="E2561" t="n">
        <v>16</v>
      </c>
      <c r="F2561" t="n">
        <v>45.36</v>
      </c>
      <c r="G2561" t="n">
        <v>0</v>
      </c>
      <c r="H2561" t="n">
        <v>0</v>
      </c>
      <c r="I2561" s="3">
        <f>E2561+G2561+H2561</f>
        <v/>
      </c>
      <c r="J2561" s="3">
        <f>ROUND(MIN(IF(C2561="Técnico III",35,IF(C2561="Técnico II",28,IF(C2561="Técnico I",23,IF(C2561="JR",20,IF(C2561="Estágio",10,0))))),IF(C2561="Técnico III",SUMIFS($D:$D,$A:$A,$A2561,$B:$B,"&lt;&gt;Patrícia Karla de Sousa Araújo",$B:$B,"&lt;&gt;Lorena Dias de Araujo",$B:$B,"&lt;&gt;Lucas Luiz Romero")*(35/1083),IF(C2561="Técnico II",SUMIFS($D:$D,$A:$A,$A2561,$B:$B,"&lt;&gt;Patrícia Karla de Sousa Araújo",$B:$B,"&lt;&gt;Lorena Dias de Araujo",$B:$B,"&lt;&gt;Lucas Luiz Romero")*(28/1083),IF(C2561="Técnico I",SUMIFS($D:$D,$A:$A,$A2561,$B:$B,"&lt;&gt;Patrícia Karla de Sousa Araújo",$B:$B,"&lt;&gt;Lorena Dias de Araujo",$B:$B,"&lt;&gt;Lucas Luiz Romero")*(23/1083),IF(C2561="JR",SUMIFS($D:$D,$A:$A,$A2561,$B:$B,"&lt;&gt;Patrícia Karla de Sousa Araújo",$B:$B,"&lt;&gt;Lorena Dias de Araujo",$B:$B,"&lt;&gt;Lucas Luiz Romero")*(20/1083),IF(C2561="Estágio",SUMIFS($D:$D,$A:$A,$A2561,$B:$B,"&lt;&gt;Patrícia Karla de Sousa Araújo",$B:$B,"&lt;&gt;Lorena Dias de Araujo",$B:$B,"&lt;&gt;Lucas Luiz Romero")*(10/1083),0)))))),0)</f>
        <v/>
      </c>
      <c r="K2561" s="3">
        <f>I2561-J2561</f>
        <v/>
      </c>
      <c r="L2561" s="3">
        <f>IF(K2561&lt;-5,"CRÍTICO",IF(K2561&lt;0,"ATENÇÃO",IF(K2561&lt;=5,"BOM","EXCELENTE")))</f>
        <v/>
      </c>
      <c r="N2561" t="n">
        <v>99.26000000000001</v>
      </c>
      <c r="O2561" t="n">
        <v>30.84832904884319</v>
      </c>
    </row>
    <row r="2562" hidden="1">
      <c r="A2562" s="11" t="n">
        <v>46080</v>
      </c>
      <c r="B2562" t="inlineStr">
        <is>
          <t>Lizandra Gomes Duarte</t>
        </is>
      </c>
      <c r="C2562" t="inlineStr">
        <is>
          <t>Técnico II</t>
        </is>
      </c>
      <c r="D2562" t="n">
        <v>32</v>
      </c>
      <c r="E2562" t="n">
        <v>30</v>
      </c>
      <c r="F2562" t="n">
        <v>23.44</v>
      </c>
      <c r="G2562" t="n">
        <v>0</v>
      </c>
      <c r="H2562" t="n">
        <v>0</v>
      </c>
      <c r="I2562" s="3">
        <f>E2562+G2562+H2562</f>
        <v/>
      </c>
      <c r="J2562" s="3">
        <f>ROUND(MIN(IF(C2562="Técnico III",35,IF(C2562="Técnico II",28,IF(C2562="Técnico I",23,IF(C2562="JR",20,IF(C2562="Estágio",10,0))))),IF(C2562="Técnico III",SUMIFS($D:$D,$A:$A,$A2562,$B:$B,"&lt;&gt;Patrícia Karla de Sousa Araújo",$B:$B,"&lt;&gt;Lorena Dias de Araujo",$B:$B,"&lt;&gt;Lucas Luiz Romero")*(35/1083),IF(C2562="Técnico II",SUMIFS($D:$D,$A:$A,$A2562,$B:$B,"&lt;&gt;Patrícia Karla de Sousa Araújo",$B:$B,"&lt;&gt;Lorena Dias de Araujo",$B:$B,"&lt;&gt;Lucas Luiz Romero")*(28/1083),IF(C2562="Técnico I",SUMIFS($D:$D,$A:$A,$A2562,$B:$B,"&lt;&gt;Patrícia Karla de Sousa Araújo",$B:$B,"&lt;&gt;Lorena Dias de Araujo",$B:$B,"&lt;&gt;Lucas Luiz Romero")*(23/1083),IF(C2562="JR",SUMIFS($D:$D,$A:$A,$A2562,$B:$B,"&lt;&gt;Patrícia Karla de Sousa Araújo",$B:$B,"&lt;&gt;Lorena Dias de Araujo",$B:$B,"&lt;&gt;Lucas Luiz Romero")*(20/1083),IF(C2562="Estágio",SUMIFS($D:$D,$A:$A,$A2562,$B:$B,"&lt;&gt;Patrícia Karla de Sousa Araújo",$B:$B,"&lt;&gt;Lorena Dias de Araujo",$B:$B,"&lt;&gt;Lucas Luiz Romero")*(10/1083),0)))))),0)</f>
        <v/>
      </c>
      <c r="K2562" s="3">
        <f>I2562-J2562</f>
        <v/>
      </c>
      <c r="L2562" s="3">
        <f>IF(K2562&lt;-5,"CRÍTICO",IF(K2562&lt;0,"ATENÇÃO",IF(K2562&lt;=5,"BOM","EXCELENTE")))</f>
        <v/>
      </c>
      <c r="N2562" t="n">
        <v>97.48</v>
      </c>
      <c r="O2562" t="n">
        <v>27.76470588235294</v>
      </c>
    </row>
    <row r="2563" hidden="1">
      <c r="A2563" s="11" t="n">
        <v>46080</v>
      </c>
      <c r="B2563" t="inlineStr">
        <is>
          <t>Lorena Dias de Araujo</t>
        </is>
      </c>
      <c r="C2563" t="inlineStr">
        <is>
          <t>Técnico II</t>
        </is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s="3" t="n">
        <v>0</v>
      </c>
      <c r="J2563" s="3" t="n">
        <v>0</v>
      </c>
      <c r="K2563" s="3" t="n">
        <v>0</v>
      </c>
      <c r="L2563" s="3">
        <f>IF(K2563&lt;-5,"CRÍTICO",IF(K2563&lt;0,"ATENÇÃO",IF(K2563&lt;=5,"BOM","EXCELENTE")))</f>
        <v/>
      </c>
      <c r="N2563" t="n">
        <v>99.34</v>
      </c>
      <c r="O2563" t="n">
        <v>30.04291845493562</v>
      </c>
    </row>
    <row r="2564" hidden="1">
      <c r="A2564" s="11" t="n">
        <v>46080</v>
      </c>
      <c r="B2564" t="inlineStr">
        <is>
          <t>Lucas Luiz Romero</t>
        </is>
      </c>
      <c r="C2564" t="inlineStr">
        <is>
          <t>Técnico III</t>
        </is>
      </c>
      <c r="D2564" t="n">
        <v>23</v>
      </c>
      <c r="E2564" t="n">
        <v>21</v>
      </c>
      <c r="F2564" t="n">
        <v>18.41</v>
      </c>
      <c r="G2564" t="n">
        <v>0</v>
      </c>
      <c r="H2564" t="n">
        <v>0</v>
      </c>
      <c r="I2564" s="3">
        <f>E2564+G2564+H2564</f>
        <v/>
      </c>
      <c r="J2564" s="3">
        <f>ROUND(MIN(IF(C2564="Técnico III",35,IF(C2564="Técnico II",28,IF(C2564="Técnico I",23,IF(C2564="JR",20,IF(C2564="Estágio",10,0))))),IF(C2564="Técnico III",SUMIFS($D:$D,$A:$A,$A2564,$B:$B,"&lt;&gt;Patrícia Karla de Sousa Araújo",$B:$B,"&lt;&gt;Lorena Dias de Araujo",$B:$B,"&lt;&gt;Lucas Luiz Romero")*(35/1083),IF(C2564="Técnico II",SUMIFS($D:$D,$A:$A,$A2564,$B:$B,"&lt;&gt;Patrícia Karla de Sousa Araújo",$B:$B,"&lt;&gt;Lorena Dias de Araujo",$B:$B,"&lt;&gt;Lucas Luiz Romero")*(28/1083),IF(C2564="Técnico I",SUMIFS($D:$D,$A:$A,$A2564,$B:$B,"&lt;&gt;Patrícia Karla de Sousa Araújo",$B:$B,"&lt;&gt;Lorena Dias de Araujo",$B:$B,"&lt;&gt;Lucas Luiz Romero")*(23/1083),IF(C2564="JR",SUMIFS($D:$D,$A:$A,$A2564,$B:$B,"&lt;&gt;Patrícia Karla de Sousa Araújo",$B:$B,"&lt;&gt;Lorena Dias de Araujo",$B:$B,"&lt;&gt;Lucas Luiz Romero")*(20/1083),IF(C2564="Estágio",SUMIFS($D:$D,$A:$A,$A2564,$B:$B,"&lt;&gt;Patrícia Karla de Sousa Araújo",$B:$B,"&lt;&gt;Lorena Dias de Araujo",$B:$B,"&lt;&gt;Lucas Luiz Romero")*(10/1083),0)))))),0)</f>
        <v/>
      </c>
      <c r="K2564" s="3">
        <f>I2564-J2564</f>
        <v/>
      </c>
      <c r="L2564" s="3">
        <f>IF(K2564&lt;-5,"CRÍTICO",IF(K2564&lt;0,"ATENÇÃO",IF(K2564&lt;=5,"BOM","EXCELENTE")))</f>
        <v/>
      </c>
      <c r="N2564" t="n">
        <v>96.3</v>
      </c>
      <c r="O2564" t="n">
        <v>24.29378531073446</v>
      </c>
    </row>
    <row r="2565" hidden="1">
      <c r="A2565" s="11" t="n">
        <v>46080</v>
      </c>
      <c r="B2565" t="inlineStr">
        <is>
          <t>Luiz Fernando de Carvalho Junior</t>
        </is>
      </c>
      <c r="C2565" t="inlineStr">
        <is>
          <t>Técnico I</t>
        </is>
      </c>
      <c r="D2565" t="n">
        <v>13</v>
      </c>
      <c r="E2565" t="n">
        <v>13</v>
      </c>
      <c r="F2565" t="n">
        <v>55.19</v>
      </c>
      <c r="G2565" t="n">
        <v>0</v>
      </c>
      <c r="H2565" t="n">
        <v>0</v>
      </c>
      <c r="I2565" s="3">
        <f>E2565+G2565+H2565</f>
        <v/>
      </c>
      <c r="J2565" s="3">
        <f>ROUND(MIN(IF(C2565="Técnico III",35,IF(C2565="Técnico II",28,IF(C2565="Técnico I",23,IF(C2565="JR",20,IF(C2565="Estágio",10,0))))),IF(C2565="Técnico III",SUMIFS($D:$D,$A:$A,$A2565,$B:$B,"&lt;&gt;Patrícia Karla de Sousa Araújo",$B:$B,"&lt;&gt;Lorena Dias de Araujo",$B:$B,"&lt;&gt;Lucas Luiz Romero")*(35/1083),IF(C2565="Técnico II",SUMIFS($D:$D,$A:$A,$A2565,$B:$B,"&lt;&gt;Patrícia Karla de Sousa Araújo",$B:$B,"&lt;&gt;Lorena Dias de Araujo",$B:$B,"&lt;&gt;Lucas Luiz Romero")*(28/1083),IF(C2565="Técnico I",SUMIFS($D:$D,$A:$A,$A2565,$B:$B,"&lt;&gt;Patrícia Karla de Sousa Araújo",$B:$B,"&lt;&gt;Lorena Dias de Araujo",$B:$B,"&lt;&gt;Lucas Luiz Romero")*(23/1083),IF(C2565="JR",SUMIFS($D:$D,$A:$A,$A2565,$B:$B,"&lt;&gt;Patrícia Karla de Sousa Araújo",$B:$B,"&lt;&gt;Lorena Dias de Araujo",$B:$B,"&lt;&gt;Lucas Luiz Romero")*(20/1083),IF(C2565="Estágio",SUMIFS($D:$D,$A:$A,$A2565,$B:$B,"&lt;&gt;Patrícia Karla de Sousa Araújo",$B:$B,"&lt;&gt;Lorena Dias de Araujo",$B:$B,"&lt;&gt;Lucas Luiz Romero")*(10/1083),0)))))),0)</f>
        <v/>
      </c>
      <c r="K2565" s="3">
        <f>I2565-J2565</f>
        <v/>
      </c>
      <c r="L2565" s="3">
        <f>IF(K2565&lt;-5,"CRÍTICO",IF(K2565&lt;0,"ATENÇÃO",IF(K2565&lt;=5,"BOM","EXCELENTE")))</f>
        <v/>
      </c>
      <c r="N2565" t="n">
        <v>100</v>
      </c>
      <c r="O2565" t="n">
        <v>26.54320987654321</v>
      </c>
    </row>
    <row r="2566" hidden="1">
      <c r="A2566" s="11" t="n">
        <v>46080</v>
      </c>
      <c r="B2566" t="inlineStr">
        <is>
          <t>Maria Eduarda Sousa Costa</t>
        </is>
      </c>
      <c r="C2566" t="inlineStr">
        <is>
          <t>Estágio</t>
        </is>
      </c>
      <c r="D2566" t="n">
        <v>14</v>
      </c>
      <c r="E2566" t="n">
        <v>14</v>
      </c>
      <c r="F2566" t="n">
        <v>53.33</v>
      </c>
      <c r="G2566" t="n">
        <v>0</v>
      </c>
      <c r="H2566" t="n">
        <v>0</v>
      </c>
      <c r="I2566" s="3">
        <f>E2566+G2566+H2566</f>
        <v/>
      </c>
      <c r="J2566" s="3">
        <f>ROUND(MIN(IF(C2566="Técnico III",35,IF(C2566="Técnico II",28,IF(C2566="Técnico I",23,IF(C2566="JR",20,IF(C2566="Estágio",10,0))))),IF(C2566="Técnico III",SUMIFS($D:$D,$A:$A,$A2566,$B:$B,"&lt;&gt;Patrícia Karla de Sousa Araújo",$B:$B,"&lt;&gt;Lorena Dias de Araujo",$B:$B,"&lt;&gt;Lucas Luiz Romero")*(35/1083),IF(C2566="Técnico II",SUMIFS($D:$D,$A:$A,$A2566,$B:$B,"&lt;&gt;Patrícia Karla de Sousa Araújo",$B:$B,"&lt;&gt;Lorena Dias de Araujo",$B:$B,"&lt;&gt;Lucas Luiz Romero")*(28/1083),IF(C2566="Técnico I",SUMIFS($D:$D,$A:$A,$A2566,$B:$B,"&lt;&gt;Patrícia Karla de Sousa Araújo",$B:$B,"&lt;&gt;Lorena Dias de Araujo",$B:$B,"&lt;&gt;Lucas Luiz Romero")*(23/1083),IF(C2566="JR",SUMIFS($D:$D,$A:$A,$A2566,$B:$B,"&lt;&gt;Patrícia Karla de Sousa Araújo",$B:$B,"&lt;&gt;Lorena Dias de Araujo",$B:$B,"&lt;&gt;Lucas Luiz Romero")*(20/1083),IF(C2566="Estágio",SUMIFS($D:$D,$A:$A,$A2566,$B:$B,"&lt;&gt;Patrícia Karla de Sousa Araújo",$B:$B,"&lt;&gt;Lorena Dias de Araujo",$B:$B,"&lt;&gt;Lucas Luiz Romero")*(10/1083),0)))))),0)</f>
        <v/>
      </c>
      <c r="K2566" s="3">
        <f>I2566-J2566</f>
        <v/>
      </c>
      <c r="L2566" s="3">
        <f>IF(K2566&lt;-5,"CRÍTICO",IF(K2566&lt;0,"ATENÇÃO",IF(K2566&lt;=5,"BOM","EXCELENTE")))</f>
        <v/>
      </c>
      <c r="N2566" t="n">
        <v>100</v>
      </c>
      <c r="O2566" t="n">
        <v>35.48387096774194</v>
      </c>
    </row>
    <row r="2567" hidden="1">
      <c r="A2567" s="11" t="n">
        <v>46080</v>
      </c>
      <c r="B2567" t="inlineStr">
        <is>
          <t>Matheus Farias De Souza</t>
        </is>
      </c>
      <c r="C2567" t="inlineStr">
        <is>
          <t>Técnico III</t>
        </is>
      </c>
      <c r="D2567" t="n">
        <v>20</v>
      </c>
      <c r="E2567" t="n">
        <v>20</v>
      </c>
      <c r="F2567" t="n">
        <v>35.56</v>
      </c>
      <c r="G2567" t="n">
        <v>0</v>
      </c>
      <c r="H2567" t="n">
        <v>0</v>
      </c>
      <c r="I2567" s="3">
        <f>E2567+G2567+H2567</f>
        <v/>
      </c>
      <c r="J2567" s="3">
        <f>ROUND(MIN(IF(C2567="Técnico III",35,IF(C2567="Técnico II",28,IF(C2567="Técnico I",23,IF(C2567="JR",20,IF(C2567="Estágio",10,0))))),IF(C2567="Técnico III",SUMIFS($D:$D,$A:$A,$A2567,$B:$B,"&lt;&gt;Patrícia Karla de Sousa Araújo",$B:$B,"&lt;&gt;Lorena Dias de Araujo",$B:$B,"&lt;&gt;Lucas Luiz Romero")*(35/1083),IF(C2567="Técnico II",SUMIFS($D:$D,$A:$A,$A2567,$B:$B,"&lt;&gt;Patrícia Karla de Sousa Araújo",$B:$B,"&lt;&gt;Lorena Dias de Araujo",$B:$B,"&lt;&gt;Lucas Luiz Romero")*(28/1083),IF(C2567="Técnico I",SUMIFS($D:$D,$A:$A,$A2567,$B:$B,"&lt;&gt;Patrícia Karla de Sousa Araújo",$B:$B,"&lt;&gt;Lorena Dias de Araujo",$B:$B,"&lt;&gt;Lucas Luiz Romero")*(23/1083),IF(C2567="JR",SUMIFS($D:$D,$A:$A,$A2567,$B:$B,"&lt;&gt;Patrícia Karla de Sousa Araújo",$B:$B,"&lt;&gt;Lorena Dias de Araujo",$B:$B,"&lt;&gt;Lucas Luiz Romero")*(20/1083),IF(C2567="Estágio",SUMIFS($D:$D,$A:$A,$A2567,$B:$B,"&lt;&gt;Patrícia Karla de Sousa Araújo",$B:$B,"&lt;&gt;Lorena Dias de Araujo",$B:$B,"&lt;&gt;Lucas Luiz Romero")*(10/1083),0)))))),0)</f>
        <v/>
      </c>
      <c r="K2567" s="3">
        <f>I2567-J2567</f>
        <v/>
      </c>
      <c r="L2567" s="3">
        <f>IF(K2567&lt;-5,"CRÍTICO",IF(K2567&lt;0,"ATENÇÃO",IF(K2567&lt;=5,"BOM","EXCELENTE")))</f>
        <v/>
      </c>
      <c r="N2567" t="n">
        <v>99.27</v>
      </c>
      <c r="O2567" t="n">
        <v>31.16370808678501</v>
      </c>
    </row>
    <row r="2568" hidden="1">
      <c r="A2568" s="11" t="n">
        <v>46080</v>
      </c>
      <c r="B2568" t="inlineStr">
        <is>
          <t>Maysa Victoria Dias Moura</t>
        </is>
      </c>
      <c r="C2568" t="inlineStr">
        <is>
          <t>Técnico III</t>
        </is>
      </c>
      <c r="D2568" t="n">
        <v>28</v>
      </c>
      <c r="E2568" t="n">
        <v>23</v>
      </c>
      <c r="F2568" t="n">
        <v>25.26</v>
      </c>
      <c r="G2568" t="n">
        <v>0</v>
      </c>
      <c r="H2568" t="n">
        <v>0</v>
      </c>
      <c r="I2568" s="3">
        <f>E2568+G2568+H2568</f>
        <v/>
      </c>
      <c r="J2568" s="3">
        <f>ROUND(MIN(IF(C2568="Técnico III",35,IF(C2568="Técnico II",28,IF(C2568="Técnico I",23,IF(C2568="JR",20,IF(C2568="Estágio",10,0))))),IF(C2568="Técnico III",SUMIFS($D:$D,$A:$A,$A2568,$B:$B,"&lt;&gt;Patrícia Karla de Sousa Araújo",$B:$B,"&lt;&gt;Lorena Dias de Araujo",$B:$B,"&lt;&gt;Lucas Luiz Romero")*(35/1083),IF(C2568="Técnico II",SUMIFS($D:$D,$A:$A,$A2568,$B:$B,"&lt;&gt;Patrícia Karla de Sousa Araújo",$B:$B,"&lt;&gt;Lorena Dias de Araujo",$B:$B,"&lt;&gt;Lucas Luiz Romero")*(28/1083),IF(C2568="Técnico I",SUMIFS($D:$D,$A:$A,$A2568,$B:$B,"&lt;&gt;Patrícia Karla de Sousa Araújo",$B:$B,"&lt;&gt;Lorena Dias de Araujo",$B:$B,"&lt;&gt;Lucas Luiz Romero")*(23/1083),IF(C2568="JR",SUMIFS($D:$D,$A:$A,$A2568,$B:$B,"&lt;&gt;Patrícia Karla de Sousa Araújo",$B:$B,"&lt;&gt;Lorena Dias de Araujo",$B:$B,"&lt;&gt;Lucas Luiz Romero")*(20/1083),IF(C2568="Estágio",SUMIFS($D:$D,$A:$A,$A2568,$B:$B,"&lt;&gt;Patrícia Karla de Sousa Araújo",$B:$B,"&lt;&gt;Lorena Dias de Araujo",$B:$B,"&lt;&gt;Lucas Luiz Romero")*(10/1083),0)))))),0)</f>
        <v/>
      </c>
      <c r="K2568" s="3">
        <f>I2568-J2568</f>
        <v/>
      </c>
      <c r="L2568" s="3">
        <f>IF(K2568&lt;-5,"CRÍTICO",IF(K2568&lt;0,"ATENÇÃO",IF(K2568&lt;=5,"BOM","EXCELENTE")))</f>
        <v/>
      </c>
      <c r="N2568" t="n">
        <v>94.16</v>
      </c>
      <c r="O2568" t="n">
        <v>27.03862660944206</v>
      </c>
    </row>
    <row r="2569" hidden="1">
      <c r="A2569" s="11" t="n">
        <v>46080</v>
      </c>
      <c r="B2569" t="inlineStr">
        <is>
          <t>Michelle G Santos</t>
        </is>
      </c>
      <c r="C2569" t="inlineStr">
        <is>
          <t>Estágio</t>
        </is>
      </c>
      <c r="D2569" t="n">
        <v>14</v>
      </c>
      <c r="E2569" t="n">
        <v>14</v>
      </c>
      <c r="F2569" t="n">
        <v>43.59</v>
      </c>
      <c r="G2569" t="n">
        <v>0</v>
      </c>
      <c r="H2569" t="n">
        <v>0</v>
      </c>
      <c r="I2569" s="3">
        <f>E2569+G2569+H2569</f>
        <v/>
      </c>
      <c r="J2569" s="3">
        <f>ROUND(MIN(IF(C2569="Técnico III",35,IF(C2569="Técnico II",28,IF(C2569="Técnico I",23,IF(C2569="JR",20,IF(C2569="Estágio",10,0))))),IF(C2569="Técnico III",SUMIFS($D:$D,$A:$A,$A2569,$B:$B,"&lt;&gt;Patrícia Karla de Sousa Araújo",$B:$B,"&lt;&gt;Lorena Dias de Araujo",$B:$B,"&lt;&gt;Lucas Luiz Romero")*(35/1083),IF(C2569="Técnico II",SUMIFS($D:$D,$A:$A,$A2569,$B:$B,"&lt;&gt;Patrícia Karla de Sousa Araújo",$B:$B,"&lt;&gt;Lorena Dias de Araujo",$B:$B,"&lt;&gt;Lucas Luiz Romero")*(28/1083),IF(C2569="Técnico I",SUMIFS($D:$D,$A:$A,$A2569,$B:$B,"&lt;&gt;Patrícia Karla de Sousa Araújo",$B:$B,"&lt;&gt;Lorena Dias de Araujo",$B:$B,"&lt;&gt;Lucas Luiz Romero")*(23/1083),IF(C2569="JR",SUMIFS($D:$D,$A:$A,$A2569,$B:$B,"&lt;&gt;Patrícia Karla de Sousa Araújo",$B:$B,"&lt;&gt;Lorena Dias de Araujo",$B:$B,"&lt;&gt;Lucas Luiz Romero")*(20/1083),IF(C2569="Estágio",SUMIFS($D:$D,$A:$A,$A2569,$B:$B,"&lt;&gt;Patrícia Karla de Sousa Araújo",$B:$B,"&lt;&gt;Lorena Dias de Araujo",$B:$B,"&lt;&gt;Lucas Luiz Romero")*(10/1083),0)))))),0)</f>
        <v/>
      </c>
      <c r="K2569" s="3">
        <f>I2569-J2569</f>
        <v/>
      </c>
      <c r="L2569" s="3">
        <f>IF(K2569&lt;-5,"CRÍTICO",IF(K2569&lt;0,"ATENÇÃO",IF(K2569&lt;=5,"BOM","EXCELENTE")))</f>
        <v/>
      </c>
      <c r="N2569" t="n">
        <v>93.75</v>
      </c>
      <c r="O2569" t="n">
        <v>19.31818181818182</v>
      </c>
    </row>
    <row r="2570" hidden="1">
      <c r="A2570" s="11" t="n">
        <v>46080</v>
      </c>
      <c r="B2570" t="inlineStr">
        <is>
          <t>Milena Sales</t>
        </is>
      </c>
      <c r="C2570" t="inlineStr">
        <is>
          <t>JR</t>
        </is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s="3" t="n">
        <v>0</v>
      </c>
      <c r="J2570" s="3" t="n">
        <v>0</v>
      </c>
      <c r="K2570" s="3" t="n">
        <v>0</v>
      </c>
      <c r="L2570" s="3">
        <f>IF(K2570&lt;-5,"CRÍTICO",IF(K2570&lt;0,"ATENÇÃO",IF(K2570&lt;=5,"BOM","EXCELENTE")))</f>
        <v/>
      </c>
      <c r="N2570" t="n">
        <v>0</v>
      </c>
      <c r="O2570" t="n">
        <v>0</v>
      </c>
    </row>
    <row r="2571" hidden="1">
      <c r="A2571" s="11" t="n">
        <v>46080</v>
      </c>
      <c r="B2571" t="inlineStr">
        <is>
          <t>Patrícia Karla de Sousa Araújo</t>
        </is>
      </c>
      <c r="C2571" t="inlineStr">
        <is>
          <t>Técnico II</t>
        </is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s="3" t="n">
        <v>0</v>
      </c>
      <c r="J2571" s="3" t="n">
        <v>0</v>
      </c>
      <c r="K2571" s="3" t="n">
        <v>0</v>
      </c>
      <c r="L2571" s="3">
        <f>IF(K2571&lt;-5,"CRÍTICO",IF(K2571&lt;0,"ATENÇÃO",IF(K2571&lt;=5,"BOM","EXCELENTE")))</f>
        <v/>
      </c>
      <c r="N2571" t="n">
        <v>97.92</v>
      </c>
      <c r="O2571" t="n">
        <v>32.87671232876712</v>
      </c>
    </row>
    <row r="2572" hidden="1">
      <c r="A2572" s="11" t="n">
        <v>46080</v>
      </c>
      <c r="B2572" t="inlineStr">
        <is>
          <t>Paulo Ricardo Santos</t>
        </is>
      </c>
      <c r="C2572" t="inlineStr">
        <is>
          <t>JR</t>
        </is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s="3" t="n">
        <v>0</v>
      </c>
      <c r="J2572" s="3" t="n">
        <v>0</v>
      </c>
      <c r="K2572" s="3" t="n">
        <v>0</v>
      </c>
      <c r="L2572" s="3">
        <f>IF(K2572&lt;-5,"CRÍTICO",IF(K2572&lt;0,"ATENÇÃO",IF(K2572&lt;=5,"BOM","EXCELENTE")))</f>
        <v/>
      </c>
      <c r="N2572" t="n">
        <v>0</v>
      </c>
      <c r="O2572" t="n">
        <v>0</v>
      </c>
    </row>
    <row r="2573" hidden="1">
      <c r="A2573" s="11" t="n">
        <v>46080</v>
      </c>
      <c r="B2573" t="inlineStr">
        <is>
          <t>Pedro Luiz Mota Sousa</t>
        </is>
      </c>
      <c r="C2573" t="inlineStr">
        <is>
          <t>JR</t>
        </is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s="3" t="n">
        <v>0</v>
      </c>
      <c r="J2573" s="3" t="n">
        <v>0</v>
      </c>
      <c r="K2573" s="3" t="n">
        <v>0</v>
      </c>
      <c r="L2573" s="3">
        <f>IF(K2573&lt;-5,"CRÍTICO",IF(K2573&lt;0,"ATENÇÃO",IF(K2573&lt;=5,"BOM","EXCELENTE")))</f>
        <v/>
      </c>
      <c r="N2573" t="n">
        <v>0</v>
      </c>
      <c r="O2573" t="n">
        <v>0</v>
      </c>
    </row>
    <row r="2574" hidden="1">
      <c r="A2574" s="11" t="n">
        <v>46080</v>
      </c>
      <c r="B2574" t="inlineStr">
        <is>
          <t>Quirino Diogo Leite Torres</t>
        </is>
      </c>
      <c r="C2574" t="inlineStr">
        <is>
          <t>Estágio</t>
        </is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s="3" t="n">
        <v>0</v>
      </c>
      <c r="J2574" s="3" t="n">
        <v>0</v>
      </c>
      <c r="K2574" s="3" t="n">
        <v>0</v>
      </c>
      <c r="L2574" s="3">
        <f>IF(K2574&lt;-5,"CRÍTICO",IF(K2574&lt;0,"ATENÇÃO",IF(K2574&lt;=5,"BOM","EXCELENTE")))</f>
        <v/>
      </c>
      <c r="N2574" t="n">
        <v>0</v>
      </c>
      <c r="O2574" t="n">
        <v>0</v>
      </c>
    </row>
    <row r="2575" hidden="1">
      <c r="A2575" s="11" t="n">
        <v>46080</v>
      </c>
      <c r="B2575" t="inlineStr">
        <is>
          <t>Raane Batista Matos</t>
        </is>
      </c>
      <c r="C2575" t="inlineStr">
        <is>
          <t>Técnico I</t>
        </is>
      </c>
      <c r="D2575" t="n">
        <v>22</v>
      </c>
      <c r="E2575" t="n">
        <v>22</v>
      </c>
      <c r="F2575" t="n">
        <v>33.55</v>
      </c>
      <c r="G2575" t="n">
        <v>0</v>
      </c>
      <c r="H2575" t="n">
        <v>0</v>
      </c>
      <c r="I2575" s="3">
        <f>E2575+G2575+H2575</f>
        <v/>
      </c>
      <c r="J2575" s="3">
        <f>ROUND(MIN(IF(C2575="Técnico III",35,IF(C2575="Técnico II",28,IF(C2575="Técnico I",23,IF(C2575="JR",20,IF(C2575="Estágio",10,0))))),IF(C2575="Técnico III",SUMIFS($D:$D,$A:$A,$A2575,$B:$B,"&lt;&gt;Patrícia Karla de Sousa Araújo",$B:$B,"&lt;&gt;Lorena Dias de Araujo",$B:$B,"&lt;&gt;Lucas Luiz Romero")*(35/1083),IF(C2575="Técnico II",SUMIFS($D:$D,$A:$A,$A2575,$B:$B,"&lt;&gt;Patrícia Karla de Sousa Araújo",$B:$B,"&lt;&gt;Lorena Dias de Araujo",$B:$B,"&lt;&gt;Lucas Luiz Romero")*(28/1083),IF(C2575="Técnico I",SUMIFS($D:$D,$A:$A,$A2575,$B:$B,"&lt;&gt;Patrícia Karla de Sousa Araújo",$B:$B,"&lt;&gt;Lorena Dias de Araujo",$B:$B,"&lt;&gt;Lucas Luiz Romero")*(23/1083),IF(C2575="JR",SUMIFS($D:$D,$A:$A,$A2575,$B:$B,"&lt;&gt;Patrícia Karla de Sousa Araújo",$B:$B,"&lt;&gt;Lorena Dias de Araujo",$B:$B,"&lt;&gt;Lucas Luiz Romero")*(20/1083),IF(C2575="Estágio",SUMIFS($D:$D,$A:$A,$A2575,$B:$B,"&lt;&gt;Patrícia Karla de Sousa Araújo",$B:$B,"&lt;&gt;Lorena Dias de Araujo",$B:$B,"&lt;&gt;Lucas Luiz Romero")*(10/1083),0)))))),0)</f>
        <v/>
      </c>
      <c r="K2575" s="3">
        <f>I2575-J2575</f>
        <v/>
      </c>
      <c r="L2575" s="3">
        <f>IF(K2575&lt;-5,"CRÍTICO",IF(K2575&lt;0,"ATENÇÃO",IF(K2575&lt;=5,"BOM","EXCELENTE")))</f>
        <v/>
      </c>
      <c r="N2575" t="n">
        <v>98.51000000000001</v>
      </c>
      <c r="O2575" t="n">
        <v>29.71014492753623</v>
      </c>
    </row>
    <row r="2576" hidden="1">
      <c r="A2576" s="11" t="n">
        <v>46080</v>
      </c>
      <c r="B2576" t="inlineStr">
        <is>
          <t>Rafael Gomes de Morais</t>
        </is>
      </c>
      <c r="C2576" t="inlineStr">
        <is>
          <t>Técnico III</t>
        </is>
      </c>
      <c r="D2576" t="n">
        <v>36</v>
      </c>
      <c r="E2576" t="n">
        <v>28</v>
      </c>
      <c r="F2576" t="n">
        <v>17.28</v>
      </c>
      <c r="G2576" t="n">
        <v>0</v>
      </c>
      <c r="H2576" t="n">
        <v>0</v>
      </c>
      <c r="I2576" s="3">
        <f>E2576+G2576+H2576</f>
        <v/>
      </c>
      <c r="J2576" s="3">
        <f>ROUND(MIN(IF(C2576="Técnico III",35,IF(C2576="Técnico II",28,IF(C2576="Técnico I",23,IF(C2576="JR",20,IF(C2576="Estágio",10,0))))),IF(C2576="Técnico III",SUMIFS($D:$D,$A:$A,$A2576,$B:$B,"&lt;&gt;Patrícia Karla de Sousa Araújo",$B:$B,"&lt;&gt;Lorena Dias de Araujo",$B:$B,"&lt;&gt;Lucas Luiz Romero")*(35/1083),IF(C2576="Técnico II",SUMIFS($D:$D,$A:$A,$A2576,$B:$B,"&lt;&gt;Patrícia Karla de Sousa Araújo",$B:$B,"&lt;&gt;Lorena Dias de Araujo",$B:$B,"&lt;&gt;Lucas Luiz Romero")*(28/1083),IF(C2576="Técnico I",SUMIFS($D:$D,$A:$A,$A2576,$B:$B,"&lt;&gt;Patrícia Karla de Sousa Araújo",$B:$B,"&lt;&gt;Lorena Dias de Araujo",$B:$B,"&lt;&gt;Lucas Luiz Romero")*(23/1083),IF(C2576="JR",SUMIFS($D:$D,$A:$A,$A2576,$B:$B,"&lt;&gt;Patrícia Karla de Sousa Araújo",$B:$B,"&lt;&gt;Lorena Dias de Araujo",$B:$B,"&lt;&gt;Lucas Luiz Romero")*(20/1083),IF(C2576="Estágio",SUMIFS($D:$D,$A:$A,$A2576,$B:$B,"&lt;&gt;Patrícia Karla de Sousa Araújo",$B:$B,"&lt;&gt;Lorena Dias de Araujo",$B:$B,"&lt;&gt;Lucas Luiz Romero")*(10/1083),0)))))),0)</f>
        <v/>
      </c>
      <c r="K2576" s="3">
        <f>I2576-J2576</f>
        <v/>
      </c>
      <c r="L2576" s="3">
        <f>IF(K2576&lt;-5,"CRÍTICO",IF(K2576&lt;0,"ATENÇÃO",IF(K2576&lt;=5,"BOM","EXCELENTE")))</f>
        <v/>
      </c>
      <c r="N2576" t="n">
        <v>98.81</v>
      </c>
      <c r="O2576" t="n">
        <v>30.71297989031079</v>
      </c>
    </row>
    <row r="2577" hidden="1">
      <c r="A2577" s="11" t="n">
        <v>46080</v>
      </c>
      <c r="B2577" t="inlineStr">
        <is>
          <t>Sara Maria Monteiro Lopes</t>
        </is>
      </c>
      <c r="C2577" t="inlineStr">
        <is>
          <t>Técnico I</t>
        </is>
      </c>
      <c r="D2577" t="n">
        <v>11</v>
      </c>
      <c r="E2577" t="n">
        <v>10</v>
      </c>
      <c r="F2577" t="n">
        <v>42.3</v>
      </c>
      <c r="G2577" t="n">
        <v>0</v>
      </c>
      <c r="H2577" t="n">
        <v>0</v>
      </c>
      <c r="I2577" s="3">
        <f>E2577+G2577+H2577</f>
        <v/>
      </c>
      <c r="J2577" s="3">
        <f>ROUND(MIN(IF(C2577="Técnico III",35,IF(C2577="Técnico II",28,IF(C2577="Técnico I",23,IF(C2577="JR",20,IF(C2577="Estágio",10,0))))),IF(C2577="Técnico III",SUMIFS($D:$D,$A:$A,$A2577,$B:$B,"&lt;&gt;Patrícia Karla de Sousa Araújo",$B:$B,"&lt;&gt;Lorena Dias de Araujo",$B:$B,"&lt;&gt;Lucas Luiz Romero")*(35/1083),IF(C2577="Técnico II",SUMIFS($D:$D,$A:$A,$A2577,$B:$B,"&lt;&gt;Patrícia Karla de Sousa Araújo",$B:$B,"&lt;&gt;Lorena Dias de Araujo",$B:$B,"&lt;&gt;Lucas Luiz Romero")*(28/1083),IF(C2577="Técnico I",SUMIFS($D:$D,$A:$A,$A2577,$B:$B,"&lt;&gt;Patrícia Karla de Sousa Araújo",$B:$B,"&lt;&gt;Lorena Dias de Araujo",$B:$B,"&lt;&gt;Lucas Luiz Romero")*(23/1083),IF(C2577="JR",SUMIFS($D:$D,$A:$A,$A2577,$B:$B,"&lt;&gt;Patrícia Karla de Sousa Araújo",$B:$B,"&lt;&gt;Lorena Dias de Araujo",$B:$B,"&lt;&gt;Lucas Luiz Romero")*(20/1083),IF(C2577="Estágio",SUMIFS($D:$D,$A:$A,$A2577,$B:$B,"&lt;&gt;Patrícia Karla de Sousa Araújo",$B:$B,"&lt;&gt;Lorena Dias de Araujo",$B:$B,"&lt;&gt;Lucas Luiz Romero")*(10/1083),0)))))),0)</f>
        <v/>
      </c>
      <c r="K2577" s="3">
        <f>I2577-J2577</f>
        <v/>
      </c>
      <c r="L2577" s="3">
        <f>IF(K2577&lt;-5,"CRÍTICO",IF(K2577&lt;0,"ATENÇÃO",IF(K2577&lt;=5,"BOM","EXCELENTE")))</f>
        <v/>
      </c>
      <c r="N2577" t="n">
        <v>98.48</v>
      </c>
      <c r="O2577" t="n">
        <v>29.35323383084577</v>
      </c>
    </row>
    <row r="2578" hidden="1">
      <c r="A2578" s="11" t="n">
        <v>46080</v>
      </c>
      <c r="B2578" t="inlineStr">
        <is>
          <t>Sarah Steffanie de Lima Borges</t>
        </is>
      </c>
      <c r="C2578" t="inlineStr">
        <is>
          <t>Técnico III</t>
        </is>
      </c>
      <c r="D2578" t="n">
        <v>21</v>
      </c>
      <c r="E2578" t="n">
        <v>17</v>
      </c>
      <c r="F2578" t="n">
        <v>22.13</v>
      </c>
      <c r="G2578" t="n">
        <v>0</v>
      </c>
      <c r="H2578" t="n">
        <v>0</v>
      </c>
      <c r="I2578" s="3">
        <f>E2578+G2578+H2578</f>
        <v/>
      </c>
      <c r="J2578" s="3">
        <f>ROUND(MIN(IF(C2578="Técnico III",35,IF(C2578="Técnico II",28,IF(C2578="Técnico I",23,IF(C2578="JR",20,IF(C2578="Estágio",10,0))))),IF(C2578="Técnico III",SUMIFS($D:$D,$A:$A,$A2578,$B:$B,"&lt;&gt;Patrícia Karla de Sousa Araújo",$B:$B,"&lt;&gt;Lorena Dias de Araujo",$B:$B,"&lt;&gt;Lucas Luiz Romero")*(35/1083),IF(C2578="Técnico II",SUMIFS($D:$D,$A:$A,$A2578,$B:$B,"&lt;&gt;Patrícia Karla de Sousa Araújo",$B:$B,"&lt;&gt;Lorena Dias de Araujo",$B:$B,"&lt;&gt;Lucas Luiz Romero")*(28/1083),IF(C2578="Técnico I",SUMIFS($D:$D,$A:$A,$A2578,$B:$B,"&lt;&gt;Patrícia Karla de Sousa Araújo",$B:$B,"&lt;&gt;Lorena Dias de Araujo",$B:$B,"&lt;&gt;Lucas Luiz Romero")*(23/1083),IF(C2578="JR",SUMIFS($D:$D,$A:$A,$A2578,$B:$B,"&lt;&gt;Patrícia Karla de Sousa Araújo",$B:$B,"&lt;&gt;Lorena Dias de Araujo",$B:$B,"&lt;&gt;Lucas Luiz Romero")*(20/1083),IF(C2578="Estágio",SUMIFS($D:$D,$A:$A,$A2578,$B:$B,"&lt;&gt;Patrícia Karla de Sousa Araújo",$B:$B,"&lt;&gt;Lorena Dias de Araujo",$B:$B,"&lt;&gt;Lucas Luiz Romero")*(10/1083),0)))))),0)</f>
        <v/>
      </c>
      <c r="K2578" s="3">
        <f>I2578-J2578</f>
        <v/>
      </c>
      <c r="L2578" s="3">
        <f>IF(K2578&lt;-5,"CRÍTICO",IF(K2578&lt;0,"ATENÇÃO",IF(K2578&lt;=5,"BOM","EXCELENTE")))</f>
        <v/>
      </c>
      <c r="N2578" t="n">
        <v>98.56</v>
      </c>
      <c r="O2578" t="n">
        <v>29.37365010799136</v>
      </c>
    </row>
    <row r="2579" hidden="1">
      <c r="A2579" s="11" t="n">
        <v>46083</v>
      </c>
      <c r="B2579" t="inlineStr">
        <is>
          <t>Alisson de Freitas Silva</t>
        </is>
      </c>
      <c r="C2579" t="inlineStr">
        <is>
          <t>Técnico II</t>
        </is>
      </c>
      <c r="D2579" t="n">
        <v>34</v>
      </c>
      <c r="E2579" t="n">
        <v>30</v>
      </c>
      <c r="F2579" t="n">
        <v>20.19</v>
      </c>
      <c r="G2579" t="n">
        <v>0</v>
      </c>
      <c r="H2579" t="n">
        <v>0</v>
      </c>
      <c r="I2579" s="3">
        <f>E2579+G2579+H2579</f>
        <v/>
      </c>
      <c r="J2579" s="3">
        <f>ROUND(MIN(IF(C2579="Técnico III",35,IF(C2579="Técnico II",28,IF(C2579="Técnico I",23,IF(C2579="JR",20,IF(C2579="Estágio",10,0))))),IF(C2579="Técnico III",SUMIFS($D:$D,$A:$A,$A2579,$B:$B,"&lt;&gt;Patrícia Karla de Sousa Araújo",$B:$B,"&lt;&gt;Lorena Dias de Araujo",$B:$B,"&lt;&gt;Lucas Luiz Romero")*(35/1083),IF(C2579="Técnico II",SUMIFS($D:$D,$A:$A,$A2579,$B:$B,"&lt;&gt;Patrícia Karla de Sousa Araújo",$B:$B,"&lt;&gt;Lorena Dias de Araujo",$B:$B,"&lt;&gt;Lucas Luiz Romero")*(28/1083),IF(C2579="Técnico I",SUMIFS($D:$D,$A:$A,$A2579,$B:$B,"&lt;&gt;Patrícia Karla de Sousa Araújo",$B:$B,"&lt;&gt;Lorena Dias de Araujo",$B:$B,"&lt;&gt;Lucas Luiz Romero")*(23/1083),IF(C2579="JR",SUMIFS($D:$D,$A:$A,$A2579,$B:$B,"&lt;&gt;Patrícia Karla de Sousa Araújo",$B:$B,"&lt;&gt;Lorena Dias de Araujo",$B:$B,"&lt;&gt;Lucas Luiz Romero")*(20/1083),IF(C2579="Estágio",SUMIFS($D:$D,$A:$A,$A2579,$B:$B,"&lt;&gt;Patrícia Karla de Sousa Araújo",$B:$B,"&lt;&gt;Lorena Dias de Araujo",$B:$B,"&lt;&gt;Lucas Luiz Romero")*(10/1083),0)))))),0)</f>
        <v/>
      </c>
      <c r="K2579" s="3">
        <f>I2579-J2579</f>
        <v/>
      </c>
      <c r="L2579" s="3">
        <f>IF(K2579&lt;-5,"CRÍTICO",IF(K2579&lt;0,"ATENÇÃO",IF(K2579&lt;=5,"BOM","EXCELENTE")))</f>
        <v/>
      </c>
      <c r="N2579" t="n">
        <v>94.29000000000001</v>
      </c>
      <c r="O2579" t="n">
        <v>25.64766839378239</v>
      </c>
    </row>
    <row r="2580" hidden="1">
      <c r="A2580" s="11" t="n">
        <v>46083</v>
      </c>
      <c r="B2580" t="inlineStr">
        <is>
          <t>Amanda Moura Ferreira</t>
        </is>
      </c>
      <c r="C2580" t="inlineStr">
        <is>
          <t>Técnico III</t>
        </is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s="3" t="n">
        <v>0</v>
      </c>
      <c r="J2580" s="3" t="n">
        <v>0</v>
      </c>
      <c r="K2580" s="3" t="n">
        <v>0</v>
      </c>
      <c r="L2580" s="3">
        <f>IF(K2580&lt;-5,"CRÍTICO",IF(K2580&lt;0,"ATENÇÃO",IF(K2580&lt;=5,"BOM","EXCELENTE")))</f>
        <v/>
      </c>
      <c r="N2580" t="n">
        <v>98.26000000000001</v>
      </c>
      <c r="O2580" t="n">
        <v>26.66666666666667</v>
      </c>
    </row>
    <row r="2581" hidden="1">
      <c r="A2581" s="11" t="n">
        <v>46083</v>
      </c>
      <c r="B2581" t="inlineStr">
        <is>
          <t>Ana Karollyne Souza Faria</t>
        </is>
      </c>
      <c r="C2581" t="inlineStr">
        <is>
          <t>Técnico I</t>
        </is>
      </c>
      <c r="D2581" t="n">
        <v>24</v>
      </c>
      <c r="E2581" t="n">
        <v>20</v>
      </c>
      <c r="F2581" t="n">
        <v>18.27</v>
      </c>
      <c r="G2581" t="n">
        <v>0</v>
      </c>
      <c r="H2581" t="n">
        <v>0</v>
      </c>
      <c r="I2581" s="3">
        <f>E2581+G2581+H2581</f>
        <v/>
      </c>
      <c r="J2581" s="3">
        <f>ROUND(MIN(IF(C2581="Técnico III",35,IF(C2581="Técnico II",28,IF(C2581="Técnico I",23,IF(C2581="JR",20,IF(C2581="Estágio",10,0))))),IF(C2581="Técnico III",SUMIFS($D:$D,$A:$A,$A2581,$B:$B,"&lt;&gt;Patrícia Karla de Sousa Araújo",$B:$B,"&lt;&gt;Lorena Dias de Araujo",$B:$B,"&lt;&gt;Lucas Luiz Romero")*(35/1083),IF(C2581="Técnico II",SUMIFS($D:$D,$A:$A,$A2581,$B:$B,"&lt;&gt;Patrícia Karla de Sousa Araújo",$B:$B,"&lt;&gt;Lorena Dias de Araujo",$B:$B,"&lt;&gt;Lucas Luiz Romero")*(28/1083),IF(C2581="Técnico I",SUMIFS($D:$D,$A:$A,$A2581,$B:$B,"&lt;&gt;Patrícia Karla de Sousa Araújo",$B:$B,"&lt;&gt;Lorena Dias de Araujo",$B:$B,"&lt;&gt;Lucas Luiz Romero")*(23/1083),IF(C2581="JR",SUMIFS($D:$D,$A:$A,$A2581,$B:$B,"&lt;&gt;Patrícia Karla de Sousa Araújo",$B:$B,"&lt;&gt;Lorena Dias de Araujo",$B:$B,"&lt;&gt;Lucas Luiz Romero")*(20/1083),IF(C2581="Estágio",SUMIFS($D:$D,$A:$A,$A2581,$B:$B,"&lt;&gt;Patrícia Karla de Sousa Araújo",$B:$B,"&lt;&gt;Lorena Dias de Araujo",$B:$B,"&lt;&gt;Lucas Luiz Romero")*(10/1083),0)))))),0)</f>
        <v/>
      </c>
      <c r="K2581" s="3">
        <f>I2581-J2581</f>
        <v/>
      </c>
      <c r="L2581" s="3">
        <f>IF(K2581&lt;-5,"CRÍTICO",IF(K2581&lt;0,"ATENÇÃO",IF(K2581&lt;=5,"BOM","EXCELENTE")))</f>
        <v/>
      </c>
      <c r="N2581" t="n">
        <v>98.2</v>
      </c>
      <c r="O2581" t="n">
        <v>23.37962962962963</v>
      </c>
    </row>
    <row r="2582" hidden="1">
      <c r="A2582" s="11" t="n">
        <v>46083</v>
      </c>
      <c r="B2582" t="inlineStr">
        <is>
          <t>Ana Paula Da Luz Silva Aleixo</t>
        </is>
      </c>
      <c r="C2582" t="inlineStr">
        <is>
          <t>Técnico III</t>
        </is>
      </c>
      <c r="D2582" t="n">
        <v>24</v>
      </c>
      <c r="E2582" t="n">
        <v>24</v>
      </c>
      <c r="F2582" t="n">
        <v>30.47</v>
      </c>
      <c r="G2582" t="n">
        <v>0</v>
      </c>
      <c r="H2582" t="n">
        <v>0</v>
      </c>
      <c r="I2582" s="3">
        <f>E2582+G2582+H2582</f>
        <v/>
      </c>
      <c r="J2582" s="3">
        <f>ROUND(MIN(IF(C2582="Técnico III",35,IF(C2582="Técnico II",28,IF(C2582="Técnico I",23,IF(C2582="JR",20,IF(C2582="Estágio",10,0))))),IF(C2582="Técnico III",SUMIFS($D:$D,$A:$A,$A2582,$B:$B,"&lt;&gt;Patrícia Karla de Sousa Araújo",$B:$B,"&lt;&gt;Lorena Dias de Araujo",$B:$B,"&lt;&gt;Lucas Luiz Romero")*(35/1083),IF(C2582="Técnico II",SUMIFS($D:$D,$A:$A,$A2582,$B:$B,"&lt;&gt;Patrícia Karla de Sousa Araújo",$B:$B,"&lt;&gt;Lorena Dias de Araujo",$B:$B,"&lt;&gt;Lucas Luiz Romero")*(28/1083),IF(C2582="Técnico I",SUMIFS($D:$D,$A:$A,$A2582,$B:$B,"&lt;&gt;Patrícia Karla de Sousa Araújo",$B:$B,"&lt;&gt;Lorena Dias de Araujo",$B:$B,"&lt;&gt;Lucas Luiz Romero")*(23/1083),IF(C2582="JR",SUMIFS($D:$D,$A:$A,$A2582,$B:$B,"&lt;&gt;Patrícia Karla de Sousa Araújo",$B:$B,"&lt;&gt;Lorena Dias de Araujo",$B:$B,"&lt;&gt;Lucas Luiz Romero")*(20/1083),IF(C2582="Estágio",SUMIFS($D:$D,$A:$A,$A2582,$B:$B,"&lt;&gt;Patrícia Karla de Sousa Araújo",$B:$B,"&lt;&gt;Lorena Dias de Araujo",$B:$B,"&lt;&gt;Lucas Luiz Romero")*(10/1083),0)))))),0)</f>
        <v/>
      </c>
      <c r="K2582" s="3">
        <f>I2582-J2582</f>
        <v/>
      </c>
      <c r="L2582" s="3">
        <f>IF(K2582&lt;-5,"CRÍTICO",IF(K2582&lt;0,"ATENÇÃO",IF(K2582&lt;=5,"BOM","EXCELENTE")))</f>
        <v/>
      </c>
      <c r="N2582" t="n">
        <v>97.3</v>
      </c>
      <c r="O2582" t="n">
        <v>23.84769539078156</v>
      </c>
    </row>
    <row r="2583" hidden="1">
      <c r="A2583" s="11" t="n">
        <v>46083</v>
      </c>
      <c r="B2583" t="inlineStr">
        <is>
          <t>Anna Luiza Rezende Tavares</t>
        </is>
      </c>
      <c r="C2583" t="inlineStr">
        <is>
          <t>Estágio</t>
        </is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s="3" t="n">
        <v>0</v>
      </c>
      <c r="J2583" s="3" t="n">
        <v>0</v>
      </c>
      <c r="K2583" s="3" t="n">
        <v>0</v>
      </c>
      <c r="L2583" s="3">
        <f>IF(K2583&lt;-5,"CRÍTICO",IF(K2583&lt;0,"ATENÇÃO",IF(K2583&lt;=5,"BOM","EXCELENTE")))</f>
        <v/>
      </c>
      <c r="N2583" t="n">
        <v>100</v>
      </c>
      <c r="O2583" t="n">
        <v>25.26881720430108</v>
      </c>
    </row>
    <row r="2584" hidden="1">
      <c r="A2584" s="11" t="n">
        <v>46083</v>
      </c>
      <c r="B2584" t="inlineStr">
        <is>
          <t>Brenda de Menezes Silva</t>
        </is>
      </c>
      <c r="C2584" t="inlineStr">
        <is>
          <t>Técnico II</t>
        </is>
      </c>
      <c r="D2584" t="n">
        <v>55</v>
      </c>
      <c r="E2584" t="n">
        <v>48</v>
      </c>
      <c r="F2584" t="n">
        <v>12.31</v>
      </c>
      <c r="G2584" t="n">
        <v>0</v>
      </c>
      <c r="H2584" t="n">
        <v>0</v>
      </c>
      <c r="I2584" s="3">
        <f>E2584+G2584+H2584</f>
        <v/>
      </c>
      <c r="J2584" s="3">
        <f>ROUND(MIN(IF(C2584="Técnico III",35,IF(C2584="Técnico II",28,IF(C2584="Técnico I",23,IF(C2584="JR",20,IF(C2584="Estágio",10,0))))),IF(C2584="Técnico III",SUMIFS($D:$D,$A:$A,$A2584,$B:$B,"&lt;&gt;Patrícia Karla de Sousa Araújo",$B:$B,"&lt;&gt;Lorena Dias de Araujo",$B:$B,"&lt;&gt;Lucas Luiz Romero")*(35/1083),IF(C2584="Técnico II",SUMIFS($D:$D,$A:$A,$A2584,$B:$B,"&lt;&gt;Patrícia Karla de Sousa Araújo",$B:$B,"&lt;&gt;Lorena Dias de Araujo",$B:$B,"&lt;&gt;Lucas Luiz Romero")*(28/1083),IF(C2584="Técnico I",SUMIFS($D:$D,$A:$A,$A2584,$B:$B,"&lt;&gt;Patrícia Karla de Sousa Araújo",$B:$B,"&lt;&gt;Lorena Dias de Araujo",$B:$B,"&lt;&gt;Lucas Luiz Romero")*(23/1083),IF(C2584="JR",SUMIFS($D:$D,$A:$A,$A2584,$B:$B,"&lt;&gt;Patrícia Karla de Sousa Araújo",$B:$B,"&lt;&gt;Lorena Dias de Araujo",$B:$B,"&lt;&gt;Lucas Luiz Romero")*(20/1083),IF(C2584="Estágio",SUMIFS($D:$D,$A:$A,$A2584,$B:$B,"&lt;&gt;Patrícia Karla de Sousa Araújo",$B:$B,"&lt;&gt;Lorena Dias de Araujo",$B:$B,"&lt;&gt;Lucas Luiz Romero")*(10/1083),0)))))),0)</f>
        <v/>
      </c>
      <c r="K2584" s="3">
        <f>I2584-J2584</f>
        <v/>
      </c>
      <c r="L2584" s="3">
        <f>IF(K2584&lt;-5,"CRÍTICO",IF(K2584&lt;0,"ATENÇÃO",IF(K2584&lt;=5,"BOM","EXCELENTE")))</f>
        <v/>
      </c>
      <c r="N2584" t="n">
        <v>99.31999999999999</v>
      </c>
      <c r="O2584" t="n">
        <v>22.82282282282282</v>
      </c>
    </row>
    <row r="2585" hidden="1">
      <c r="A2585" s="11" t="n">
        <v>46083</v>
      </c>
      <c r="B2585" t="inlineStr">
        <is>
          <t>Carlos Mateus Cassimiro Nunes</t>
        </is>
      </c>
      <c r="C2585" t="inlineStr">
        <is>
          <t>Técnico II</t>
        </is>
      </c>
      <c r="D2585" t="n">
        <v>20</v>
      </c>
      <c r="E2585" t="n">
        <v>20</v>
      </c>
      <c r="F2585" t="n">
        <v>32.09</v>
      </c>
      <c r="G2585" t="n">
        <v>0</v>
      </c>
      <c r="H2585" t="n">
        <v>0</v>
      </c>
      <c r="I2585" s="3">
        <f>E2585+G2585+H2585</f>
        <v/>
      </c>
      <c r="J2585" s="3">
        <f>ROUND(MIN(IF(C2585="Técnico III",35,IF(C2585="Técnico II",28,IF(C2585="Técnico I",23,IF(C2585="JR",20,IF(C2585="Estágio",10,0))))),IF(C2585="Técnico III",SUMIFS($D:$D,$A:$A,$A2585,$B:$B,"&lt;&gt;Patrícia Karla de Sousa Araújo",$B:$B,"&lt;&gt;Lorena Dias de Araujo",$B:$B,"&lt;&gt;Lucas Luiz Romero")*(35/1083),IF(C2585="Técnico II",SUMIFS($D:$D,$A:$A,$A2585,$B:$B,"&lt;&gt;Patrícia Karla de Sousa Araújo",$B:$B,"&lt;&gt;Lorena Dias de Araujo",$B:$B,"&lt;&gt;Lucas Luiz Romero")*(28/1083),IF(C2585="Técnico I",SUMIFS($D:$D,$A:$A,$A2585,$B:$B,"&lt;&gt;Patrícia Karla de Sousa Araújo",$B:$B,"&lt;&gt;Lorena Dias de Araujo",$B:$B,"&lt;&gt;Lucas Luiz Romero")*(23/1083),IF(C2585="JR",SUMIFS($D:$D,$A:$A,$A2585,$B:$B,"&lt;&gt;Patrícia Karla de Sousa Araújo",$B:$B,"&lt;&gt;Lorena Dias de Araujo",$B:$B,"&lt;&gt;Lucas Luiz Romero")*(20/1083),IF(C2585="Estágio",SUMIFS($D:$D,$A:$A,$A2585,$B:$B,"&lt;&gt;Patrícia Karla de Sousa Araújo",$B:$B,"&lt;&gt;Lorena Dias de Araujo",$B:$B,"&lt;&gt;Lucas Luiz Romero")*(10/1083),0)))))),0)</f>
        <v/>
      </c>
      <c r="K2585" s="3">
        <f>I2585-J2585</f>
        <v/>
      </c>
      <c r="L2585" s="3">
        <f>IF(K2585&lt;-5,"CRÍTICO",IF(K2585&lt;0,"ATENÇÃO",IF(K2585&lt;=5,"BOM","EXCELENTE")))</f>
        <v/>
      </c>
      <c r="N2585" t="n">
        <v>100</v>
      </c>
      <c r="O2585" t="n">
        <v>27.96610169491525</v>
      </c>
    </row>
    <row r="2586" hidden="1">
      <c r="A2586" s="11" t="n">
        <v>46083</v>
      </c>
      <c r="B2586" t="inlineStr">
        <is>
          <t>Claudio de Sousa Velasco Filho</t>
        </is>
      </c>
      <c r="C2586" t="inlineStr">
        <is>
          <t>Estágio</t>
        </is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s="3" t="n">
        <v>0</v>
      </c>
      <c r="J2586" s="3" t="n">
        <v>0</v>
      </c>
      <c r="K2586" s="3" t="n">
        <v>0</v>
      </c>
      <c r="L2586" s="3">
        <f>IF(K2586&lt;-5,"CRÍTICO",IF(K2586&lt;0,"ATENÇÃO",IF(K2586&lt;=5,"BOM","EXCELENTE")))</f>
        <v/>
      </c>
      <c r="N2586" t="n">
        <v>100</v>
      </c>
      <c r="O2586" t="n">
        <v>30.43478260869566</v>
      </c>
    </row>
    <row r="2587" hidden="1">
      <c r="A2587" s="11" t="n">
        <v>46083</v>
      </c>
      <c r="B2587" t="inlineStr">
        <is>
          <t>Clessiane Pereira dos Santos</t>
        </is>
      </c>
      <c r="C2587" t="inlineStr">
        <is>
          <t>Técnico I</t>
        </is>
      </c>
      <c r="D2587" t="n">
        <v>21</v>
      </c>
      <c r="E2587" t="n">
        <v>21</v>
      </c>
      <c r="F2587" t="n">
        <v>28.49</v>
      </c>
      <c r="G2587" t="n">
        <v>0</v>
      </c>
      <c r="H2587" t="n">
        <v>0</v>
      </c>
      <c r="I2587" s="3">
        <f>E2587+G2587+H2587</f>
        <v/>
      </c>
      <c r="J2587" s="3">
        <f>ROUND(MIN(IF(C2587="Técnico III",35,IF(C2587="Técnico II",28,IF(C2587="Técnico I",23,IF(C2587="JR",20,IF(C2587="Estágio",10,0))))),IF(C2587="Técnico III",SUMIFS($D:$D,$A:$A,$A2587,$B:$B,"&lt;&gt;Patrícia Karla de Sousa Araújo",$B:$B,"&lt;&gt;Lorena Dias de Araujo",$B:$B,"&lt;&gt;Lucas Luiz Romero")*(35/1083),IF(C2587="Técnico II",SUMIFS($D:$D,$A:$A,$A2587,$B:$B,"&lt;&gt;Patrícia Karla de Sousa Araújo",$B:$B,"&lt;&gt;Lorena Dias de Araujo",$B:$B,"&lt;&gt;Lucas Luiz Romero")*(28/1083),IF(C2587="Técnico I",SUMIFS($D:$D,$A:$A,$A2587,$B:$B,"&lt;&gt;Patrícia Karla de Sousa Araújo",$B:$B,"&lt;&gt;Lorena Dias de Araujo",$B:$B,"&lt;&gt;Lucas Luiz Romero")*(23/1083),IF(C2587="JR",SUMIFS($D:$D,$A:$A,$A2587,$B:$B,"&lt;&gt;Patrícia Karla de Sousa Araújo",$B:$B,"&lt;&gt;Lorena Dias de Araujo",$B:$B,"&lt;&gt;Lucas Luiz Romero")*(20/1083),IF(C2587="Estágio",SUMIFS($D:$D,$A:$A,$A2587,$B:$B,"&lt;&gt;Patrícia Karla de Sousa Araújo",$B:$B,"&lt;&gt;Lorena Dias de Araujo",$B:$B,"&lt;&gt;Lucas Luiz Romero")*(10/1083),0)))))),0)</f>
        <v/>
      </c>
      <c r="K2587" s="3">
        <f>I2587-J2587</f>
        <v/>
      </c>
      <c r="L2587" s="3">
        <f>IF(K2587&lt;-5,"CRÍTICO",IF(K2587&lt;0,"ATENÇÃO",IF(K2587&lt;=5,"BOM","EXCELENTE")))</f>
        <v/>
      </c>
      <c r="N2587" t="n">
        <v>96.51000000000001</v>
      </c>
      <c r="O2587" t="n">
        <v>22.80285035629454</v>
      </c>
    </row>
    <row r="2588" hidden="1">
      <c r="A2588" s="11" t="n">
        <v>46083</v>
      </c>
      <c r="B2588" t="inlineStr">
        <is>
          <t>Cristiane Ramos da Silva Rocha</t>
        </is>
      </c>
      <c r="C2588" t="inlineStr">
        <is>
          <t>Técnico III</t>
        </is>
      </c>
      <c r="D2588" t="n">
        <v>39</v>
      </c>
      <c r="E2588" t="n">
        <v>37</v>
      </c>
      <c r="F2588" t="n">
        <v>12.26</v>
      </c>
      <c r="G2588" t="n">
        <v>0</v>
      </c>
      <c r="H2588" t="n">
        <v>0</v>
      </c>
      <c r="I2588" s="3">
        <f>E2588+G2588+H2588</f>
        <v/>
      </c>
      <c r="J2588" s="3">
        <f>ROUND(MIN(IF(C2588="Técnico III",35,IF(C2588="Técnico II",28,IF(C2588="Técnico I",23,IF(C2588="JR",20,IF(C2588="Estágio",10,0))))),IF(C2588="Técnico III",SUMIFS($D:$D,$A:$A,$A2588,$B:$B,"&lt;&gt;Patrícia Karla de Sousa Araújo",$B:$B,"&lt;&gt;Lorena Dias de Araujo",$B:$B,"&lt;&gt;Lucas Luiz Romero")*(35/1083),IF(C2588="Técnico II",SUMIFS($D:$D,$A:$A,$A2588,$B:$B,"&lt;&gt;Patrícia Karla de Sousa Araújo",$B:$B,"&lt;&gt;Lorena Dias de Araujo",$B:$B,"&lt;&gt;Lucas Luiz Romero")*(28/1083),IF(C2588="Técnico I",SUMIFS($D:$D,$A:$A,$A2588,$B:$B,"&lt;&gt;Patrícia Karla de Sousa Araújo",$B:$B,"&lt;&gt;Lorena Dias de Araujo",$B:$B,"&lt;&gt;Lucas Luiz Romero")*(23/1083),IF(C2588="JR",SUMIFS($D:$D,$A:$A,$A2588,$B:$B,"&lt;&gt;Patrícia Karla de Sousa Araújo",$B:$B,"&lt;&gt;Lorena Dias de Araujo",$B:$B,"&lt;&gt;Lucas Luiz Romero")*(20/1083),IF(C2588="Estágio",SUMIFS($D:$D,$A:$A,$A2588,$B:$B,"&lt;&gt;Patrícia Karla de Sousa Araújo",$B:$B,"&lt;&gt;Lorena Dias de Araujo",$B:$B,"&lt;&gt;Lucas Luiz Romero")*(10/1083),0)))))),0)</f>
        <v/>
      </c>
      <c r="K2588" s="3">
        <f>I2588-J2588</f>
        <v/>
      </c>
      <c r="L2588" s="3">
        <f>IF(K2588&lt;-5,"CRÍTICO",IF(K2588&lt;0,"ATENÇÃO",IF(K2588&lt;=5,"BOM","EXCELENTE")))</f>
        <v/>
      </c>
      <c r="N2588" t="n">
        <v>92.68000000000001</v>
      </c>
      <c r="O2588" t="n">
        <v>27.77777777777778</v>
      </c>
    </row>
    <row r="2589" hidden="1">
      <c r="A2589" s="11" t="n">
        <v>46083</v>
      </c>
      <c r="B2589" t="inlineStr">
        <is>
          <t>Damyllis Lorraine de Oliveira Gonçalves</t>
        </is>
      </c>
      <c r="C2589" t="inlineStr">
        <is>
          <t>Técnico II</t>
        </is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s="3" t="n">
        <v>0</v>
      </c>
      <c r="J2589" s="3" t="n">
        <v>0</v>
      </c>
      <c r="K2589" s="3" t="n">
        <v>0</v>
      </c>
      <c r="L2589" s="3">
        <f>IF(K2589&lt;-5,"CRÍTICO",IF(K2589&lt;0,"ATENÇÃO",IF(K2589&lt;=5,"BOM","EXCELENTE")))</f>
        <v/>
      </c>
      <c r="N2589" t="n">
        <v>99.03</v>
      </c>
      <c r="O2589" t="n">
        <v>23.99150743099788</v>
      </c>
    </row>
    <row r="2590" hidden="1">
      <c r="A2590" s="11" t="n">
        <v>46083</v>
      </c>
      <c r="B2590" t="inlineStr">
        <is>
          <t>Daniel Gomes da Silva</t>
        </is>
      </c>
      <c r="C2590" t="inlineStr">
        <is>
          <t>Técnico I</t>
        </is>
      </c>
      <c r="D2590" t="n">
        <v>7</v>
      </c>
      <c r="E2590" t="n">
        <v>6</v>
      </c>
      <c r="F2590" t="n">
        <v>37.37</v>
      </c>
      <c r="G2590" t="n">
        <v>0</v>
      </c>
      <c r="H2590" t="n">
        <v>0</v>
      </c>
      <c r="I2590" s="3">
        <f>E2590+G2590+H2590</f>
        <v/>
      </c>
      <c r="J2590" s="3">
        <f>ROUND(MIN(IF(C2590="Técnico III",35,IF(C2590="Técnico II",28,IF(C2590="Técnico I",23,IF(C2590="JR",20,IF(C2590="Estágio",10,0))))),IF(C2590="Técnico III",SUMIFS($D:$D,$A:$A,$A2590,$B:$B,"&lt;&gt;Patrícia Karla de Sousa Araújo",$B:$B,"&lt;&gt;Lorena Dias de Araujo",$B:$B,"&lt;&gt;Lucas Luiz Romero")*(35/1083),IF(C2590="Técnico II",SUMIFS($D:$D,$A:$A,$A2590,$B:$B,"&lt;&gt;Patrícia Karla de Sousa Araújo",$B:$B,"&lt;&gt;Lorena Dias de Araujo",$B:$B,"&lt;&gt;Lucas Luiz Romero")*(28/1083),IF(C2590="Técnico I",SUMIFS($D:$D,$A:$A,$A2590,$B:$B,"&lt;&gt;Patrícia Karla de Sousa Araújo",$B:$B,"&lt;&gt;Lorena Dias de Araujo",$B:$B,"&lt;&gt;Lucas Luiz Romero")*(23/1083),IF(C2590="JR",SUMIFS($D:$D,$A:$A,$A2590,$B:$B,"&lt;&gt;Patrícia Karla de Sousa Araújo",$B:$B,"&lt;&gt;Lorena Dias de Araujo",$B:$B,"&lt;&gt;Lucas Luiz Romero")*(20/1083),IF(C2590="Estágio",SUMIFS($D:$D,$A:$A,$A2590,$B:$B,"&lt;&gt;Patrícia Karla de Sousa Araújo",$B:$B,"&lt;&gt;Lorena Dias de Araujo",$B:$B,"&lt;&gt;Lucas Luiz Romero")*(10/1083),0)))))),0)</f>
        <v/>
      </c>
      <c r="K2590" s="3">
        <f>I2590-J2590</f>
        <v/>
      </c>
      <c r="L2590" s="3">
        <f>IF(K2590&lt;-5,"CRÍTICO",IF(K2590&lt;0,"ATENÇÃO",IF(K2590&lt;=5,"BOM","EXCELENTE")))</f>
        <v/>
      </c>
      <c r="N2590" t="n">
        <v>98.41</v>
      </c>
      <c r="O2590" t="n">
        <v>28.13852813852814</v>
      </c>
    </row>
    <row r="2591" hidden="1">
      <c r="A2591" s="11" t="n">
        <v>46083</v>
      </c>
      <c r="B2591" t="inlineStr">
        <is>
          <t>Davylla Rodrigues Freitas Silva</t>
        </is>
      </c>
      <c r="C2591" t="inlineStr">
        <is>
          <t>Técnico III</t>
        </is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s="3" t="n">
        <v>0</v>
      </c>
      <c r="J2591" s="3" t="n">
        <v>0</v>
      </c>
      <c r="K2591" s="3" t="n">
        <v>0</v>
      </c>
      <c r="L2591" s="3">
        <f>IF(K2591&lt;-5,"CRÍTICO",IF(K2591&lt;0,"ATENÇÃO",IF(K2591&lt;=5,"BOM","EXCELENTE")))</f>
        <v/>
      </c>
      <c r="N2591" t="n">
        <v>98.73</v>
      </c>
      <c r="O2591" t="n">
        <v>29.14285714285714</v>
      </c>
    </row>
    <row r="2592" hidden="1">
      <c r="A2592" s="11" t="n">
        <v>46083</v>
      </c>
      <c r="B2592" t="inlineStr">
        <is>
          <t>Emilly Caylane Costa</t>
        </is>
      </c>
      <c r="C2592" t="inlineStr">
        <is>
          <t>Estágio</t>
        </is>
      </c>
      <c r="D2592" t="n">
        <v>8</v>
      </c>
      <c r="E2592" t="n">
        <v>8</v>
      </c>
      <c r="F2592" t="n">
        <v>46.54</v>
      </c>
      <c r="G2592" t="n">
        <v>0</v>
      </c>
      <c r="H2592" t="n">
        <v>0</v>
      </c>
      <c r="I2592" s="3">
        <f>E2592+G2592+H2592</f>
        <v/>
      </c>
      <c r="J2592" s="3">
        <f>ROUND(MIN(IF(C2592="Técnico III",35,IF(C2592="Técnico II",28,IF(C2592="Técnico I",23,IF(C2592="JR",20,IF(C2592="Estágio",10,0))))),IF(C2592="Técnico III",SUMIFS($D:$D,$A:$A,$A2592,$B:$B,"&lt;&gt;Patrícia Karla de Sousa Araújo",$B:$B,"&lt;&gt;Lorena Dias de Araujo",$B:$B,"&lt;&gt;Lucas Luiz Romero")*(35/1083),IF(C2592="Técnico II",SUMIFS($D:$D,$A:$A,$A2592,$B:$B,"&lt;&gt;Patrícia Karla de Sousa Araújo",$B:$B,"&lt;&gt;Lorena Dias de Araujo",$B:$B,"&lt;&gt;Lucas Luiz Romero")*(28/1083),IF(C2592="Técnico I",SUMIFS($D:$D,$A:$A,$A2592,$B:$B,"&lt;&gt;Patrícia Karla de Sousa Araújo",$B:$B,"&lt;&gt;Lorena Dias de Araujo",$B:$B,"&lt;&gt;Lucas Luiz Romero")*(23/1083),IF(C2592="JR",SUMIFS($D:$D,$A:$A,$A2592,$B:$B,"&lt;&gt;Patrícia Karla de Sousa Araújo",$B:$B,"&lt;&gt;Lorena Dias de Araujo",$B:$B,"&lt;&gt;Lucas Luiz Romero")*(20/1083),IF(C2592="Estágio",SUMIFS($D:$D,$A:$A,$A2592,$B:$B,"&lt;&gt;Patrícia Karla de Sousa Araújo",$B:$B,"&lt;&gt;Lorena Dias de Araujo",$B:$B,"&lt;&gt;Lucas Luiz Romero")*(10/1083),0)))))),0)</f>
        <v/>
      </c>
      <c r="K2592" s="3">
        <f>I2592-J2592</f>
        <v/>
      </c>
      <c r="L2592" s="3">
        <f>IF(K2592&lt;-5,"CRÍTICO",IF(K2592&lt;0,"ATENÇÃO",IF(K2592&lt;=5,"BOM","EXCELENTE")))</f>
        <v/>
      </c>
      <c r="N2592" t="n">
        <v>90.48</v>
      </c>
      <c r="O2592" t="n">
        <v>20.68965517241379</v>
      </c>
    </row>
    <row r="2593" hidden="1">
      <c r="A2593" s="11" t="n">
        <v>46083</v>
      </c>
      <c r="B2593" t="inlineStr">
        <is>
          <t>Emilly Kamilly Medeiros Miranda</t>
        </is>
      </c>
      <c r="C2593" t="inlineStr">
        <is>
          <t>Técnico II</t>
        </is>
      </c>
      <c r="D2593" t="n">
        <v>38</v>
      </c>
      <c r="E2593" t="n">
        <v>38</v>
      </c>
      <c r="F2593" t="n">
        <v>17.39</v>
      </c>
      <c r="G2593" t="n">
        <v>0</v>
      </c>
      <c r="H2593" t="n">
        <v>0</v>
      </c>
      <c r="I2593" s="3">
        <f>E2593+G2593+H2593</f>
        <v/>
      </c>
      <c r="J2593" s="3">
        <f>ROUND(MIN(IF(C2593="Técnico III",35,IF(C2593="Técnico II",28,IF(C2593="Técnico I",23,IF(C2593="JR",20,IF(C2593="Estágio",10,0))))),IF(C2593="Técnico III",SUMIFS($D:$D,$A:$A,$A2593,$B:$B,"&lt;&gt;Patrícia Karla de Sousa Araújo",$B:$B,"&lt;&gt;Lorena Dias de Araujo",$B:$B,"&lt;&gt;Lucas Luiz Romero")*(35/1083),IF(C2593="Técnico II",SUMIFS($D:$D,$A:$A,$A2593,$B:$B,"&lt;&gt;Patrícia Karla de Sousa Araújo",$B:$B,"&lt;&gt;Lorena Dias de Araujo",$B:$B,"&lt;&gt;Lucas Luiz Romero")*(28/1083),IF(C2593="Técnico I",SUMIFS($D:$D,$A:$A,$A2593,$B:$B,"&lt;&gt;Patrícia Karla de Sousa Araújo",$B:$B,"&lt;&gt;Lorena Dias de Araujo",$B:$B,"&lt;&gt;Lucas Luiz Romero")*(23/1083),IF(C2593="JR",SUMIFS($D:$D,$A:$A,$A2593,$B:$B,"&lt;&gt;Patrícia Karla de Sousa Araújo",$B:$B,"&lt;&gt;Lorena Dias de Araujo",$B:$B,"&lt;&gt;Lucas Luiz Romero")*(20/1083),IF(C2593="Estágio",SUMIFS($D:$D,$A:$A,$A2593,$B:$B,"&lt;&gt;Patrícia Karla de Sousa Araújo",$B:$B,"&lt;&gt;Lorena Dias de Araujo",$B:$B,"&lt;&gt;Lucas Luiz Romero")*(10/1083),0)))))),0)</f>
        <v/>
      </c>
      <c r="K2593" s="3">
        <f>I2593-J2593</f>
        <v/>
      </c>
      <c r="L2593" s="3">
        <f>IF(K2593&lt;-5,"CRÍTICO",IF(K2593&lt;0,"ATENÇÃO",IF(K2593&lt;=5,"BOM","EXCELENTE")))</f>
        <v/>
      </c>
      <c r="N2593" t="n">
        <v>98.06</v>
      </c>
      <c r="O2593" t="n">
        <v>24.78991596638656</v>
      </c>
    </row>
    <row r="2594" hidden="1">
      <c r="A2594" s="11" t="n">
        <v>46083</v>
      </c>
      <c r="B2594" t="inlineStr">
        <is>
          <t>Francielson de Oliveira</t>
        </is>
      </c>
      <c r="C2594" t="inlineStr">
        <is>
          <t>Técnico III</t>
        </is>
      </c>
      <c r="D2594" t="n">
        <v>30</v>
      </c>
      <c r="E2594" t="n">
        <v>29</v>
      </c>
      <c r="F2594" t="n">
        <v>18.58</v>
      </c>
      <c r="G2594" t="n">
        <v>0</v>
      </c>
      <c r="H2594" t="n">
        <v>0</v>
      </c>
      <c r="I2594" s="3">
        <f>E2594+G2594+H2594</f>
        <v/>
      </c>
      <c r="J2594" s="3">
        <f>ROUND(MIN(IF(C2594="Técnico III",35,IF(C2594="Técnico II",28,IF(C2594="Técnico I",23,IF(C2594="JR",20,IF(C2594="Estágio",10,0))))),IF(C2594="Técnico III",SUMIFS($D:$D,$A:$A,$A2594,$B:$B,"&lt;&gt;Patrícia Karla de Sousa Araújo",$B:$B,"&lt;&gt;Lorena Dias de Araujo",$B:$B,"&lt;&gt;Lucas Luiz Romero")*(35/1083),IF(C2594="Técnico II",SUMIFS($D:$D,$A:$A,$A2594,$B:$B,"&lt;&gt;Patrícia Karla de Sousa Araújo",$B:$B,"&lt;&gt;Lorena Dias de Araujo",$B:$B,"&lt;&gt;Lucas Luiz Romero")*(28/1083),IF(C2594="Técnico I",SUMIFS($D:$D,$A:$A,$A2594,$B:$B,"&lt;&gt;Patrícia Karla de Sousa Araújo",$B:$B,"&lt;&gt;Lorena Dias de Araujo",$B:$B,"&lt;&gt;Lucas Luiz Romero")*(23/1083),IF(C2594="JR",SUMIFS($D:$D,$A:$A,$A2594,$B:$B,"&lt;&gt;Patrícia Karla de Sousa Araújo",$B:$B,"&lt;&gt;Lorena Dias de Araujo",$B:$B,"&lt;&gt;Lucas Luiz Romero")*(20/1083),IF(C2594="Estágio",SUMIFS($D:$D,$A:$A,$A2594,$B:$B,"&lt;&gt;Patrícia Karla de Sousa Araújo",$B:$B,"&lt;&gt;Lorena Dias de Araujo",$B:$B,"&lt;&gt;Lucas Luiz Romero")*(10/1083),0)))))),0)</f>
        <v/>
      </c>
      <c r="K2594" s="3">
        <f>I2594-J2594</f>
        <v/>
      </c>
      <c r="L2594" s="3">
        <f>IF(K2594&lt;-5,"CRÍTICO",IF(K2594&lt;0,"ATENÇÃO",IF(K2594&lt;=5,"BOM","EXCELENTE")))</f>
        <v/>
      </c>
      <c r="N2594" t="n">
        <v>97.78</v>
      </c>
      <c r="O2594" t="n">
        <v>25.49407114624506</v>
      </c>
    </row>
    <row r="2595" hidden="1">
      <c r="A2595" s="11" t="n">
        <v>46083</v>
      </c>
      <c r="B2595" t="inlineStr">
        <is>
          <t>Francilene Ferreira de Jesus</t>
        </is>
      </c>
      <c r="C2595" t="inlineStr">
        <is>
          <t>Técnico II</t>
        </is>
      </c>
      <c r="D2595" t="n">
        <v>25</v>
      </c>
      <c r="E2595" t="n">
        <v>25</v>
      </c>
      <c r="F2595" t="n">
        <v>33.47</v>
      </c>
      <c r="G2595" t="n">
        <v>0</v>
      </c>
      <c r="H2595" t="n">
        <v>0</v>
      </c>
      <c r="I2595" s="3">
        <f>E2595+G2595+H2595</f>
        <v/>
      </c>
      <c r="J2595" s="3">
        <f>ROUND(MIN(IF(C2595="Técnico III",35,IF(C2595="Técnico II",28,IF(C2595="Técnico I",23,IF(C2595="JR",20,IF(C2595="Estágio",10,0))))),IF(C2595="Técnico III",SUMIFS($D:$D,$A:$A,$A2595,$B:$B,"&lt;&gt;Patrícia Karla de Sousa Araújo",$B:$B,"&lt;&gt;Lorena Dias de Araujo",$B:$B,"&lt;&gt;Lucas Luiz Romero")*(35/1083),IF(C2595="Técnico II",SUMIFS($D:$D,$A:$A,$A2595,$B:$B,"&lt;&gt;Patrícia Karla de Sousa Araújo",$B:$B,"&lt;&gt;Lorena Dias de Araujo",$B:$B,"&lt;&gt;Lucas Luiz Romero")*(28/1083),IF(C2595="Técnico I",SUMIFS($D:$D,$A:$A,$A2595,$B:$B,"&lt;&gt;Patrícia Karla de Sousa Araújo",$B:$B,"&lt;&gt;Lorena Dias de Araujo",$B:$B,"&lt;&gt;Lucas Luiz Romero")*(23/1083),IF(C2595="JR",SUMIFS($D:$D,$A:$A,$A2595,$B:$B,"&lt;&gt;Patrícia Karla de Sousa Araújo",$B:$B,"&lt;&gt;Lorena Dias de Araujo",$B:$B,"&lt;&gt;Lucas Luiz Romero")*(20/1083),IF(C2595="Estágio",SUMIFS($D:$D,$A:$A,$A2595,$B:$B,"&lt;&gt;Patrícia Karla de Sousa Araújo",$B:$B,"&lt;&gt;Lorena Dias de Araujo",$B:$B,"&lt;&gt;Lucas Luiz Romero")*(10/1083),0)))))),0)</f>
        <v/>
      </c>
      <c r="K2595" s="3">
        <f>I2595-J2595</f>
        <v/>
      </c>
      <c r="L2595" s="3">
        <f>IF(K2595&lt;-5,"CRÍTICO",IF(K2595&lt;0,"ATENÇÃO",IF(K2595&lt;=5,"BOM","EXCELENTE")))</f>
        <v/>
      </c>
      <c r="N2595" t="n">
        <v>98.02</v>
      </c>
      <c r="O2595" t="n">
        <v>23.48484848484848</v>
      </c>
    </row>
    <row r="2596" hidden="1">
      <c r="A2596" s="11" t="n">
        <v>46115</v>
      </c>
      <c r="B2596" t="inlineStr">
        <is>
          <t>Gabriel Gomes de Andrade</t>
        </is>
      </c>
      <c r="C2596" t="inlineStr">
        <is>
          <t>Técnico I</t>
        </is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s="3" t="n">
        <v>0</v>
      </c>
      <c r="J2596" s="3" t="n">
        <v>0</v>
      </c>
      <c r="K2596" s="3" t="n">
        <v>0</v>
      </c>
      <c r="L2596" s="3">
        <f>IF(K2596&lt;-5,"CRÍTICO",IF(K2596&lt;0,"ATENÇÃO",IF(K2596&lt;=5,"OPORTUNO","MUITO BOM")))</f>
        <v/>
      </c>
      <c r="N2596" t="n">
        <v>99.28</v>
      </c>
      <c r="O2596" t="n">
        <v>27.68924302788844</v>
      </c>
    </row>
    <row r="2597" hidden="1">
      <c r="A2597" s="11" t="n">
        <v>46083</v>
      </c>
      <c r="B2597" t="inlineStr">
        <is>
          <t>Isabella Borges de Oliveira</t>
        </is>
      </c>
      <c r="C2597" t="inlineStr">
        <is>
          <t>Técnico II</t>
        </is>
      </c>
      <c r="D2597" t="n">
        <v>21</v>
      </c>
      <c r="E2597" t="n">
        <v>20</v>
      </c>
      <c r="F2597" t="n">
        <v>28.58</v>
      </c>
      <c r="G2597" t="n">
        <v>0</v>
      </c>
      <c r="H2597" t="n">
        <v>0</v>
      </c>
      <c r="I2597" s="3">
        <f>E2597+G2597+H2597</f>
        <v/>
      </c>
      <c r="J2597" s="3">
        <f>ROUND(MIN(IF(C2597="Técnico III",35,IF(C2597="Técnico II",28,IF(C2597="Técnico I",23,IF(C2597="JR",20,IF(C2597="Estágio",10,0))))),IF(C2597="Técnico III",SUMIFS($D:$D,$A:$A,$A2597,$B:$B,"&lt;&gt;Patrícia Karla de Sousa Araújo",$B:$B,"&lt;&gt;Lorena Dias de Araujo",$B:$B,"&lt;&gt;Lucas Luiz Romero")*(35/1083),IF(C2597="Técnico II",SUMIFS($D:$D,$A:$A,$A2597,$B:$B,"&lt;&gt;Patrícia Karla de Sousa Araújo",$B:$B,"&lt;&gt;Lorena Dias de Araujo",$B:$B,"&lt;&gt;Lucas Luiz Romero")*(28/1083),IF(C2597="Técnico I",SUMIFS($D:$D,$A:$A,$A2597,$B:$B,"&lt;&gt;Patrícia Karla de Sousa Araújo",$B:$B,"&lt;&gt;Lorena Dias de Araujo",$B:$B,"&lt;&gt;Lucas Luiz Romero")*(23/1083),IF(C2597="JR",SUMIFS($D:$D,$A:$A,$A2597,$B:$B,"&lt;&gt;Patrícia Karla de Sousa Araújo",$B:$B,"&lt;&gt;Lorena Dias de Araujo",$B:$B,"&lt;&gt;Lucas Luiz Romero")*(20/1083),IF(C2597="Estágio",SUMIFS($D:$D,$A:$A,$A2597,$B:$B,"&lt;&gt;Patrícia Karla de Sousa Araújo",$B:$B,"&lt;&gt;Lorena Dias de Araujo",$B:$B,"&lt;&gt;Lucas Luiz Romero")*(10/1083),0)))))),0)</f>
        <v/>
      </c>
      <c r="K2597" s="3">
        <f>I2597-J2597</f>
        <v/>
      </c>
      <c r="L2597" s="3">
        <f>IF(K2597&lt;-5,"CRÍTICO",IF(K2597&lt;0,"ATENÇÃO",IF(K2597&lt;=5,"BOM","EXCELENTE")))</f>
        <v/>
      </c>
      <c r="N2597" t="n">
        <v>100</v>
      </c>
      <c r="O2597" t="n">
        <v>27.04918032786885</v>
      </c>
    </row>
    <row r="2598" hidden="1">
      <c r="A2598" s="11" t="n">
        <v>46083</v>
      </c>
      <c r="B2598" t="inlineStr">
        <is>
          <t>Janaina Lima dos Reis Urany</t>
        </is>
      </c>
      <c r="C2598" t="inlineStr">
        <is>
          <t>Técnico III</t>
        </is>
      </c>
      <c r="D2598" t="n">
        <v>42</v>
      </c>
      <c r="E2598" t="n">
        <v>35</v>
      </c>
      <c r="F2598" t="n">
        <v>15.13</v>
      </c>
      <c r="G2598" t="n">
        <v>0</v>
      </c>
      <c r="H2598" t="n">
        <v>0</v>
      </c>
      <c r="I2598" s="3">
        <f>E2598+G2598+H2598</f>
        <v/>
      </c>
      <c r="J2598" s="3">
        <f>ROUND(MIN(IF(C2598="Técnico III",35,IF(C2598="Técnico II",28,IF(C2598="Técnico I",23,IF(C2598="JR",20,IF(C2598="Estágio",10,0))))),IF(C2598="Técnico III",SUMIFS($D:$D,$A:$A,$A2598,$B:$B,"&lt;&gt;Patrícia Karla de Sousa Araújo",$B:$B,"&lt;&gt;Lorena Dias de Araujo",$B:$B,"&lt;&gt;Lucas Luiz Romero")*(35/1083),IF(C2598="Técnico II",SUMIFS($D:$D,$A:$A,$A2598,$B:$B,"&lt;&gt;Patrícia Karla de Sousa Araújo",$B:$B,"&lt;&gt;Lorena Dias de Araujo",$B:$B,"&lt;&gt;Lucas Luiz Romero")*(28/1083),IF(C2598="Técnico I",SUMIFS($D:$D,$A:$A,$A2598,$B:$B,"&lt;&gt;Patrícia Karla de Sousa Araújo",$B:$B,"&lt;&gt;Lorena Dias de Araujo",$B:$B,"&lt;&gt;Lucas Luiz Romero")*(23/1083),IF(C2598="JR",SUMIFS($D:$D,$A:$A,$A2598,$B:$B,"&lt;&gt;Patrícia Karla de Sousa Araújo",$B:$B,"&lt;&gt;Lorena Dias de Araujo",$B:$B,"&lt;&gt;Lucas Luiz Romero")*(20/1083),IF(C2598="Estágio",SUMIFS($D:$D,$A:$A,$A2598,$B:$B,"&lt;&gt;Patrícia Karla de Sousa Araújo",$B:$B,"&lt;&gt;Lorena Dias de Araujo",$B:$B,"&lt;&gt;Lucas Luiz Romero")*(10/1083),0)))))),0)</f>
        <v/>
      </c>
      <c r="K2598" s="3">
        <f>I2598-J2598</f>
        <v/>
      </c>
      <c r="L2598" s="3">
        <f>IF(K2598&lt;-5,"CRÍTICO",IF(K2598&lt;0,"ATENÇÃO",IF(K2598&lt;=5,"BOM","EXCELENTE")))</f>
        <v/>
      </c>
      <c r="N2598" t="n">
        <v>97.83</v>
      </c>
      <c r="O2598" t="n">
        <v>26.31578947368421</v>
      </c>
    </row>
    <row r="2599" hidden="1">
      <c r="A2599" s="11" t="n">
        <v>46083</v>
      </c>
      <c r="B2599" t="inlineStr">
        <is>
          <t>Jaqueline Evangelista da Silva Martins</t>
        </is>
      </c>
      <c r="C2599" t="inlineStr">
        <is>
          <t>Técnico III</t>
        </is>
      </c>
      <c r="D2599" t="n">
        <v>13</v>
      </c>
      <c r="E2599" t="n">
        <v>12</v>
      </c>
      <c r="F2599" t="n">
        <v>10.52</v>
      </c>
      <c r="G2599" t="n">
        <v>0</v>
      </c>
      <c r="H2599" t="n">
        <v>0</v>
      </c>
      <c r="I2599" s="3">
        <f>E2599+G2599+H2599</f>
        <v/>
      </c>
      <c r="J2599" s="3">
        <f>ROUND(MIN(IF(C2599="Técnico III",35,IF(C2599="Técnico II",28,IF(C2599="Técnico I",23,IF(C2599="JR",20,IF(C2599="Estágio",10,0))))),IF(C2599="Técnico III",SUMIFS($D:$D,$A:$A,$A2599,$B:$B,"&lt;&gt;Patrícia Karla de Sousa Araújo",$B:$B,"&lt;&gt;Lorena Dias de Araujo",$B:$B,"&lt;&gt;Lucas Luiz Romero")*(35/1083),IF(C2599="Técnico II",SUMIFS($D:$D,$A:$A,$A2599,$B:$B,"&lt;&gt;Patrícia Karla de Sousa Araújo",$B:$B,"&lt;&gt;Lorena Dias de Araujo",$B:$B,"&lt;&gt;Lucas Luiz Romero")*(28/1083),IF(C2599="Técnico I",SUMIFS($D:$D,$A:$A,$A2599,$B:$B,"&lt;&gt;Patrícia Karla de Sousa Araújo",$B:$B,"&lt;&gt;Lorena Dias de Araujo",$B:$B,"&lt;&gt;Lucas Luiz Romero")*(23/1083),IF(C2599="JR",SUMIFS($D:$D,$A:$A,$A2599,$B:$B,"&lt;&gt;Patrícia Karla de Sousa Araújo",$B:$B,"&lt;&gt;Lorena Dias de Araujo",$B:$B,"&lt;&gt;Lucas Luiz Romero")*(20/1083),IF(C2599="Estágio",SUMIFS($D:$D,$A:$A,$A2599,$B:$B,"&lt;&gt;Patrícia Karla de Sousa Araújo",$B:$B,"&lt;&gt;Lorena Dias de Araujo",$B:$B,"&lt;&gt;Lucas Luiz Romero")*(10/1083),0)))))),0)</f>
        <v/>
      </c>
      <c r="K2599" s="3">
        <f>I2599-J2599</f>
        <v/>
      </c>
      <c r="L2599" s="3">
        <f>IF(K2599&lt;-5,"CRÍTICO",IF(K2599&lt;0,"ATENÇÃO",IF(K2599&lt;=5,"BOM","EXCELENTE")))</f>
        <v/>
      </c>
      <c r="N2599" t="n">
        <v>100</v>
      </c>
      <c r="O2599" t="n">
        <v>26.70157068062827</v>
      </c>
    </row>
    <row r="2600" hidden="1">
      <c r="A2600" s="11" t="n">
        <v>46083</v>
      </c>
      <c r="B2600" t="inlineStr">
        <is>
          <t>Jessica Faria da Silveira</t>
        </is>
      </c>
      <c r="C2600" t="inlineStr">
        <is>
          <t>Técnico II</t>
        </is>
      </c>
      <c r="D2600" t="n">
        <v>24</v>
      </c>
      <c r="E2600" t="n">
        <v>19</v>
      </c>
      <c r="F2600" t="n">
        <v>27.34</v>
      </c>
      <c r="G2600" t="n">
        <v>0</v>
      </c>
      <c r="H2600" t="n">
        <v>0</v>
      </c>
      <c r="I2600" s="3">
        <f>E2600+G2600+H2600</f>
        <v/>
      </c>
      <c r="J2600" s="3">
        <f>ROUND(MIN(IF(C2600="Técnico III",35,IF(C2600="Técnico II",28,IF(C2600="Técnico I",23,IF(C2600="JR",20,IF(C2600="Estágio",10,0))))),IF(C2600="Técnico III",SUMIFS($D:$D,$A:$A,$A2600,$B:$B,"&lt;&gt;Patrícia Karla de Sousa Araújo",$B:$B,"&lt;&gt;Lorena Dias de Araujo",$B:$B,"&lt;&gt;Lucas Luiz Romero")*(35/1083),IF(C2600="Técnico II",SUMIFS($D:$D,$A:$A,$A2600,$B:$B,"&lt;&gt;Patrícia Karla de Sousa Araújo",$B:$B,"&lt;&gt;Lorena Dias de Araujo",$B:$B,"&lt;&gt;Lucas Luiz Romero")*(28/1083),IF(C2600="Técnico I",SUMIFS($D:$D,$A:$A,$A2600,$B:$B,"&lt;&gt;Patrícia Karla de Sousa Araújo",$B:$B,"&lt;&gt;Lorena Dias de Araujo",$B:$B,"&lt;&gt;Lucas Luiz Romero")*(23/1083),IF(C2600="JR",SUMIFS($D:$D,$A:$A,$A2600,$B:$B,"&lt;&gt;Patrícia Karla de Sousa Araújo",$B:$B,"&lt;&gt;Lorena Dias de Araujo",$B:$B,"&lt;&gt;Lucas Luiz Romero")*(20/1083),IF(C2600="Estágio",SUMIFS($D:$D,$A:$A,$A2600,$B:$B,"&lt;&gt;Patrícia Karla de Sousa Araújo",$B:$B,"&lt;&gt;Lorena Dias de Araujo",$B:$B,"&lt;&gt;Lucas Luiz Romero")*(10/1083),0)))))),0)</f>
        <v/>
      </c>
      <c r="K2600" s="3">
        <f>I2600-J2600</f>
        <v/>
      </c>
      <c r="L2600" s="3">
        <f>IF(K2600&lt;-5,"CRÍTICO",IF(K2600&lt;0,"ATENÇÃO",IF(K2600&lt;=5,"BOM","EXCELENTE")))</f>
        <v/>
      </c>
      <c r="N2600" t="n">
        <v>97.47</v>
      </c>
      <c r="O2600" t="n">
        <v>22.88732394366197</v>
      </c>
    </row>
    <row r="2601" hidden="1">
      <c r="A2601" s="11" t="n">
        <v>46083</v>
      </c>
      <c r="B2601" t="inlineStr">
        <is>
          <t>Jéssica Fé Moura</t>
        </is>
      </c>
      <c r="C2601" t="inlineStr">
        <is>
          <t>Técnico III</t>
        </is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s="3" t="n">
        <v>0</v>
      </c>
      <c r="J2601" s="3" t="n">
        <v>0</v>
      </c>
      <c r="K2601" s="3" t="n">
        <v>0</v>
      </c>
      <c r="L2601" s="3">
        <f>IF(K2601&lt;-5,"CRÍTICO",IF(K2601&lt;0,"ATENÇÃO",IF(K2601&lt;=5,"BOM","EXCELENTE")))</f>
        <v/>
      </c>
      <c r="N2601" t="n">
        <v>0</v>
      </c>
      <c r="O2601" t="n">
        <v>0</v>
      </c>
    </row>
    <row r="2602" hidden="1">
      <c r="A2602" s="11" t="n">
        <v>46083</v>
      </c>
      <c r="B2602" t="inlineStr">
        <is>
          <t>Karina Gonçalves Martins</t>
        </is>
      </c>
      <c r="C2602" t="inlineStr">
        <is>
          <t>JR</t>
        </is>
      </c>
      <c r="D2602" t="n">
        <v>17</v>
      </c>
      <c r="E2602" t="n">
        <v>17</v>
      </c>
      <c r="F2602" t="n">
        <v>20.52</v>
      </c>
      <c r="G2602" t="n">
        <v>0</v>
      </c>
      <c r="H2602" t="n">
        <v>0</v>
      </c>
      <c r="I2602" s="3">
        <f>E2602+G2602+H2602</f>
        <v/>
      </c>
      <c r="J2602" s="3">
        <f>ROUND(MIN(IF(C2602="Técnico III",35,IF(C2602="Técnico II",28,IF(C2602="Técnico I",23,IF(C2602="JR",20,IF(C2602="Estágio",10,0))))),IF(C2602="Técnico III",SUMIFS($D:$D,$A:$A,$A2602,$B:$B,"&lt;&gt;Patrícia Karla de Sousa Araújo",$B:$B,"&lt;&gt;Lorena Dias de Araujo",$B:$B,"&lt;&gt;Lucas Luiz Romero")*(35/1083),IF(C2602="Técnico II",SUMIFS($D:$D,$A:$A,$A2602,$B:$B,"&lt;&gt;Patrícia Karla de Sousa Araújo",$B:$B,"&lt;&gt;Lorena Dias de Araujo",$B:$B,"&lt;&gt;Lucas Luiz Romero")*(28/1083),IF(C2602="Técnico I",SUMIFS($D:$D,$A:$A,$A2602,$B:$B,"&lt;&gt;Patrícia Karla de Sousa Araújo",$B:$B,"&lt;&gt;Lorena Dias de Araujo",$B:$B,"&lt;&gt;Lucas Luiz Romero")*(23/1083),IF(C2602="JR",SUMIFS($D:$D,$A:$A,$A2602,$B:$B,"&lt;&gt;Patrícia Karla de Sousa Araújo",$B:$B,"&lt;&gt;Lorena Dias de Araujo",$B:$B,"&lt;&gt;Lucas Luiz Romero")*(20/1083),IF(C2602="Estágio",SUMIFS($D:$D,$A:$A,$A2602,$B:$B,"&lt;&gt;Patrícia Karla de Sousa Araújo",$B:$B,"&lt;&gt;Lorena Dias de Araujo",$B:$B,"&lt;&gt;Lucas Luiz Romero")*(10/1083),0)))))),0)</f>
        <v/>
      </c>
      <c r="K2602" s="3">
        <f>I2602-J2602</f>
        <v/>
      </c>
      <c r="L2602" s="3">
        <f>IF(K2602&lt;-5,"CRÍTICO",IF(K2602&lt;0,"ATENÇÃO",IF(K2602&lt;=5,"BOM","EXCELENTE")))</f>
        <v/>
      </c>
      <c r="N2602" t="n">
        <v>98.31</v>
      </c>
      <c r="O2602" t="n">
        <v>24.92012779552715</v>
      </c>
    </row>
    <row r="2603" hidden="1">
      <c r="A2603" s="11" t="n">
        <v>46083</v>
      </c>
      <c r="B2603" t="inlineStr">
        <is>
          <t>Kerollen Cristielly de Jesus Siqueira</t>
        </is>
      </c>
      <c r="C2603" t="inlineStr">
        <is>
          <t>Técnico III</t>
        </is>
      </c>
      <c r="D2603" t="n">
        <v>21</v>
      </c>
      <c r="E2603" t="n">
        <v>20</v>
      </c>
      <c r="F2603" t="n">
        <v>26.43</v>
      </c>
      <c r="G2603" t="n">
        <v>0</v>
      </c>
      <c r="H2603" t="n">
        <v>0</v>
      </c>
      <c r="I2603" s="3">
        <f>E2603+G2603+H2603</f>
        <v/>
      </c>
      <c r="J2603" s="3">
        <f>ROUND(MIN(IF(C2603="Técnico III",35,IF(C2603="Técnico II",28,IF(C2603="Técnico I",23,IF(C2603="JR",20,IF(C2603="Estágio",10,0))))),IF(C2603="Técnico III",SUMIFS($D:$D,$A:$A,$A2603,$B:$B,"&lt;&gt;Patrícia Karla de Sousa Araújo",$B:$B,"&lt;&gt;Lorena Dias de Araujo",$B:$B,"&lt;&gt;Lucas Luiz Romero")*(35/1083),IF(C2603="Técnico II",SUMIFS($D:$D,$A:$A,$A2603,$B:$B,"&lt;&gt;Patrícia Karla de Sousa Araújo",$B:$B,"&lt;&gt;Lorena Dias de Araujo",$B:$B,"&lt;&gt;Lucas Luiz Romero")*(28/1083),IF(C2603="Técnico I",SUMIFS($D:$D,$A:$A,$A2603,$B:$B,"&lt;&gt;Patrícia Karla de Sousa Araújo",$B:$B,"&lt;&gt;Lorena Dias de Araujo",$B:$B,"&lt;&gt;Lucas Luiz Romero")*(23/1083),IF(C2603="JR",SUMIFS($D:$D,$A:$A,$A2603,$B:$B,"&lt;&gt;Patrícia Karla de Sousa Araújo",$B:$B,"&lt;&gt;Lorena Dias de Araujo",$B:$B,"&lt;&gt;Lucas Luiz Romero")*(20/1083),IF(C2603="Estágio",SUMIFS($D:$D,$A:$A,$A2603,$B:$B,"&lt;&gt;Patrícia Karla de Sousa Araújo",$B:$B,"&lt;&gt;Lorena Dias de Araujo",$B:$B,"&lt;&gt;Lucas Luiz Romero")*(10/1083),0)))))),0)</f>
        <v/>
      </c>
      <c r="K2603" s="3">
        <f>I2603-J2603</f>
        <v/>
      </c>
      <c r="L2603" s="3">
        <f>IF(K2603&lt;-5,"CRÍTICO",IF(K2603&lt;0,"ATENÇÃO",IF(K2603&lt;=5,"BOM","EXCELENTE")))</f>
        <v/>
      </c>
      <c r="N2603" t="n">
        <v>96.81</v>
      </c>
      <c r="O2603" t="n">
        <v>32.36514522821577</v>
      </c>
    </row>
    <row r="2604" hidden="1">
      <c r="A2604" s="11" t="n">
        <v>46083</v>
      </c>
      <c r="B2604" t="inlineStr">
        <is>
          <t>Leandro de Souza Silva</t>
        </is>
      </c>
      <c r="C2604" t="inlineStr">
        <is>
          <t>JR</t>
        </is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s="3" t="n">
        <v>0</v>
      </c>
      <c r="J2604" s="3" t="n">
        <v>0</v>
      </c>
      <c r="K2604" s="3" t="n">
        <v>0</v>
      </c>
      <c r="L2604" s="3">
        <f>IF(K2604&lt;-5,"CRÍTICO",IF(K2604&lt;0,"ATENÇÃO",IF(K2604&lt;=5,"BOM","EXCELENTE")))</f>
        <v/>
      </c>
      <c r="N2604" t="n">
        <v>100</v>
      </c>
      <c r="O2604" t="n">
        <v>26.47058823529412</v>
      </c>
    </row>
    <row r="2605" hidden="1">
      <c r="A2605" s="11" t="n">
        <v>46083</v>
      </c>
      <c r="B2605" t="inlineStr">
        <is>
          <t>Leandro Oliveira de Sousa</t>
        </is>
      </c>
      <c r="C2605" t="inlineStr">
        <is>
          <t>Técnico III</t>
        </is>
      </c>
      <c r="D2605" t="n">
        <v>22</v>
      </c>
      <c r="E2605" t="n">
        <v>22</v>
      </c>
      <c r="F2605" t="n">
        <v>24.17</v>
      </c>
      <c r="G2605" t="n">
        <v>0</v>
      </c>
      <c r="H2605" t="n">
        <v>0</v>
      </c>
      <c r="I2605" s="3">
        <f>E2605+G2605+H2605</f>
        <v/>
      </c>
      <c r="J2605" s="3">
        <f>ROUND(MIN(IF(C2605="Técnico III",35,IF(C2605="Técnico II",28,IF(C2605="Técnico I",23,IF(C2605="JR",20,IF(C2605="Estágio",10,0))))),IF(C2605="Técnico III",SUMIFS($D:$D,$A:$A,$A2605,$B:$B,"&lt;&gt;Patrícia Karla de Sousa Araújo",$B:$B,"&lt;&gt;Lorena Dias de Araujo",$B:$B,"&lt;&gt;Lucas Luiz Romero")*(35/1083),IF(C2605="Técnico II",SUMIFS($D:$D,$A:$A,$A2605,$B:$B,"&lt;&gt;Patrícia Karla de Sousa Araújo",$B:$B,"&lt;&gt;Lorena Dias de Araujo",$B:$B,"&lt;&gt;Lucas Luiz Romero")*(28/1083),IF(C2605="Técnico I",SUMIFS($D:$D,$A:$A,$A2605,$B:$B,"&lt;&gt;Patrícia Karla de Sousa Araújo",$B:$B,"&lt;&gt;Lorena Dias de Araujo",$B:$B,"&lt;&gt;Lucas Luiz Romero")*(23/1083),IF(C2605="JR",SUMIFS($D:$D,$A:$A,$A2605,$B:$B,"&lt;&gt;Patrícia Karla de Sousa Araújo",$B:$B,"&lt;&gt;Lorena Dias de Araujo",$B:$B,"&lt;&gt;Lucas Luiz Romero")*(20/1083),IF(C2605="Estágio",SUMIFS($D:$D,$A:$A,$A2605,$B:$B,"&lt;&gt;Patrícia Karla de Sousa Araújo",$B:$B,"&lt;&gt;Lorena Dias de Araujo",$B:$B,"&lt;&gt;Lucas Luiz Romero")*(10/1083),0)))))),0)</f>
        <v/>
      </c>
      <c r="K2605" s="3">
        <f>I2605-J2605</f>
        <v/>
      </c>
      <c r="L2605" s="3">
        <f>IF(K2605&lt;-5,"CRÍTICO",IF(K2605&lt;0,"ATENÇÃO",IF(K2605&lt;=5,"BOM","EXCELENTE")))</f>
        <v/>
      </c>
      <c r="N2605" t="n">
        <v>100</v>
      </c>
      <c r="O2605" t="n">
        <v>28.49002849002849</v>
      </c>
    </row>
    <row r="2606" hidden="1">
      <c r="A2606" s="11" t="n">
        <v>46083</v>
      </c>
      <c r="B2606" t="inlineStr">
        <is>
          <t>Lizandra Gomes Duarte</t>
        </is>
      </c>
      <c r="C2606" t="inlineStr">
        <is>
          <t>Técnico II</t>
        </is>
      </c>
      <c r="D2606" t="n">
        <v>26</v>
      </c>
      <c r="E2606" t="n">
        <v>25</v>
      </c>
      <c r="F2606" t="n">
        <v>30.24</v>
      </c>
      <c r="G2606" t="n">
        <v>0</v>
      </c>
      <c r="H2606" t="n">
        <v>0</v>
      </c>
      <c r="I2606" s="3">
        <f>E2606+G2606+H2606</f>
        <v/>
      </c>
      <c r="J2606" s="3">
        <f>ROUND(MIN(IF(C2606="Técnico III",35,IF(C2606="Técnico II",28,IF(C2606="Técnico I",23,IF(C2606="JR",20,IF(C2606="Estágio",10,0))))),IF(C2606="Técnico III",SUMIFS($D:$D,$A:$A,$A2606,$B:$B,"&lt;&gt;Patrícia Karla de Sousa Araújo",$B:$B,"&lt;&gt;Lorena Dias de Araujo",$B:$B,"&lt;&gt;Lucas Luiz Romero")*(35/1083),IF(C2606="Técnico II",SUMIFS($D:$D,$A:$A,$A2606,$B:$B,"&lt;&gt;Patrícia Karla de Sousa Araújo",$B:$B,"&lt;&gt;Lorena Dias de Araujo",$B:$B,"&lt;&gt;Lucas Luiz Romero")*(28/1083),IF(C2606="Técnico I",SUMIFS($D:$D,$A:$A,$A2606,$B:$B,"&lt;&gt;Patrícia Karla de Sousa Araújo",$B:$B,"&lt;&gt;Lorena Dias de Araujo",$B:$B,"&lt;&gt;Lucas Luiz Romero")*(23/1083),IF(C2606="JR",SUMIFS($D:$D,$A:$A,$A2606,$B:$B,"&lt;&gt;Patrícia Karla de Sousa Araújo",$B:$B,"&lt;&gt;Lorena Dias de Araujo",$B:$B,"&lt;&gt;Lucas Luiz Romero")*(20/1083),IF(C2606="Estágio",SUMIFS($D:$D,$A:$A,$A2606,$B:$B,"&lt;&gt;Patrícia Karla de Sousa Araújo",$B:$B,"&lt;&gt;Lorena Dias de Araujo",$B:$B,"&lt;&gt;Lucas Luiz Romero")*(10/1083),0)))))),0)</f>
        <v/>
      </c>
      <c r="K2606" s="3">
        <f>I2606-J2606</f>
        <v/>
      </c>
      <c r="L2606" s="3">
        <f>IF(K2606&lt;-5,"CRÍTICO",IF(K2606&lt;0,"ATENÇÃO",IF(K2606&lt;=5,"BOM","EXCELENTE")))</f>
        <v/>
      </c>
      <c r="N2606" t="n">
        <v>99.14</v>
      </c>
      <c r="O2606" t="n">
        <v>27.2289156626506</v>
      </c>
    </row>
    <row r="2607" hidden="1">
      <c r="A2607" s="11" t="n">
        <v>46083</v>
      </c>
      <c r="B2607" t="inlineStr">
        <is>
          <t>Lorena Dias de Araujo</t>
        </is>
      </c>
      <c r="C2607" t="inlineStr">
        <is>
          <t>Técnico II</t>
        </is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s="3" t="n">
        <v>0</v>
      </c>
      <c r="J2607" s="3" t="n">
        <v>0</v>
      </c>
      <c r="K2607" s="3" t="n">
        <v>0</v>
      </c>
      <c r="L2607" s="3">
        <f>IF(K2607&lt;-5,"CRÍTICO",IF(K2607&lt;0,"ATENÇÃO",IF(K2607&lt;=5,"BOM","EXCELENTE")))</f>
        <v/>
      </c>
      <c r="N2607" t="n">
        <v>97.52</v>
      </c>
      <c r="O2607" t="n">
        <v>28.2051282051282</v>
      </c>
    </row>
    <row r="2608" hidden="1">
      <c r="A2608" s="11" t="n">
        <v>46083</v>
      </c>
      <c r="B2608" t="inlineStr">
        <is>
          <t>Lucas Luiz Romero</t>
        </is>
      </c>
      <c r="C2608" t="inlineStr">
        <is>
          <t>Técnico III</t>
        </is>
      </c>
      <c r="D2608" t="n">
        <v>33</v>
      </c>
      <c r="E2608" t="n">
        <v>28</v>
      </c>
      <c r="F2608" t="n">
        <v>15.49</v>
      </c>
      <c r="G2608" t="n">
        <v>0</v>
      </c>
      <c r="H2608" t="n">
        <v>0</v>
      </c>
      <c r="I2608" s="3">
        <f>E2608+G2608+H2608</f>
        <v/>
      </c>
      <c r="J2608" s="3">
        <f>ROUND(MIN(IF(C2608="Técnico III",35,IF(C2608="Técnico II",28,IF(C2608="Técnico I",23,IF(C2608="JR",20,IF(C2608="Estágio",10,0))))),IF(C2608="Técnico III",SUMIFS($D:$D,$A:$A,$A2608,$B:$B,"&lt;&gt;Patrícia Karla de Sousa Araújo",$B:$B,"&lt;&gt;Lorena Dias de Araujo",$B:$B,"&lt;&gt;Lucas Luiz Romero")*(35/1083),IF(C2608="Técnico II",SUMIFS($D:$D,$A:$A,$A2608,$B:$B,"&lt;&gt;Patrícia Karla de Sousa Araújo",$B:$B,"&lt;&gt;Lorena Dias de Araujo",$B:$B,"&lt;&gt;Lucas Luiz Romero")*(28/1083),IF(C2608="Técnico I",SUMIFS($D:$D,$A:$A,$A2608,$B:$B,"&lt;&gt;Patrícia Karla de Sousa Araújo",$B:$B,"&lt;&gt;Lorena Dias de Araujo",$B:$B,"&lt;&gt;Lucas Luiz Romero")*(23/1083),IF(C2608="JR",SUMIFS($D:$D,$A:$A,$A2608,$B:$B,"&lt;&gt;Patrícia Karla de Sousa Araújo",$B:$B,"&lt;&gt;Lorena Dias de Araujo",$B:$B,"&lt;&gt;Lucas Luiz Romero")*(20/1083),IF(C2608="Estágio",SUMIFS($D:$D,$A:$A,$A2608,$B:$B,"&lt;&gt;Patrícia Karla de Sousa Araújo",$B:$B,"&lt;&gt;Lorena Dias de Araujo",$B:$B,"&lt;&gt;Lucas Luiz Romero")*(10/1083),0)))))),0)</f>
        <v/>
      </c>
      <c r="K2608" s="3">
        <f>I2608-J2608</f>
        <v/>
      </c>
      <c r="L2608" s="3">
        <f>IF(K2608&lt;-5,"CRÍTICO",IF(K2608&lt;0,"ATENÇÃO",IF(K2608&lt;=5,"BOM","EXCELENTE")))</f>
        <v/>
      </c>
      <c r="N2608" t="n">
        <v>90</v>
      </c>
      <c r="O2608" t="n">
        <v>24.18604651162791</v>
      </c>
    </row>
    <row r="2609" hidden="1">
      <c r="A2609" s="11" t="n">
        <v>46083</v>
      </c>
      <c r="B2609" t="inlineStr">
        <is>
          <t>Luiz Fernando de Carvalho Junior</t>
        </is>
      </c>
      <c r="C2609" t="inlineStr">
        <is>
          <t>Técnico I</t>
        </is>
      </c>
      <c r="D2609" t="n">
        <v>30</v>
      </c>
      <c r="E2609" t="n">
        <v>28</v>
      </c>
      <c r="F2609" t="n">
        <v>18.29</v>
      </c>
      <c r="G2609" t="n">
        <v>0</v>
      </c>
      <c r="H2609" t="n">
        <v>0</v>
      </c>
      <c r="I2609" s="3">
        <f>E2609+G2609+H2609</f>
        <v/>
      </c>
      <c r="J2609" s="3">
        <f>ROUND(MIN(IF(C2609="Técnico III",35,IF(C2609="Técnico II",28,IF(C2609="Técnico I",23,IF(C2609="JR",20,IF(C2609="Estágio",10,0))))),IF(C2609="Técnico III",SUMIFS($D:$D,$A:$A,$A2609,$B:$B,"&lt;&gt;Patrícia Karla de Sousa Araújo",$B:$B,"&lt;&gt;Lorena Dias de Araujo",$B:$B,"&lt;&gt;Lucas Luiz Romero")*(35/1083),IF(C2609="Técnico II",SUMIFS($D:$D,$A:$A,$A2609,$B:$B,"&lt;&gt;Patrícia Karla de Sousa Araújo",$B:$B,"&lt;&gt;Lorena Dias de Araujo",$B:$B,"&lt;&gt;Lucas Luiz Romero")*(28/1083),IF(C2609="Técnico I",SUMIFS($D:$D,$A:$A,$A2609,$B:$B,"&lt;&gt;Patrícia Karla de Sousa Araújo",$B:$B,"&lt;&gt;Lorena Dias de Araujo",$B:$B,"&lt;&gt;Lucas Luiz Romero")*(23/1083),IF(C2609="JR",SUMIFS($D:$D,$A:$A,$A2609,$B:$B,"&lt;&gt;Patrícia Karla de Sousa Araújo",$B:$B,"&lt;&gt;Lorena Dias de Araujo",$B:$B,"&lt;&gt;Lucas Luiz Romero")*(20/1083),IF(C2609="Estágio",SUMIFS($D:$D,$A:$A,$A2609,$B:$B,"&lt;&gt;Patrícia Karla de Sousa Araújo",$B:$B,"&lt;&gt;Lorena Dias de Araujo",$B:$B,"&lt;&gt;Lucas Luiz Romero")*(10/1083),0)))))),0)</f>
        <v/>
      </c>
      <c r="K2609" s="3">
        <f>I2609-J2609</f>
        <v/>
      </c>
      <c r="L2609" s="3">
        <f>IF(K2609&lt;-5,"CRÍTICO",IF(K2609&lt;0,"ATENÇÃO",IF(K2609&lt;=5,"BOM","EXCELENTE")))</f>
        <v/>
      </c>
      <c r="N2609" t="n">
        <v>98.90000000000001</v>
      </c>
      <c r="O2609" t="n">
        <v>26.7639902676399</v>
      </c>
    </row>
    <row r="2610" hidden="1">
      <c r="A2610" s="11" t="n">
        <v>46083</v>
      </c>
      <c r="B2610" t="inlineStr">
        <is>
          <t>Maria Eduarda Sousa Costa</t>
        </is>
      </c>
      <c r="C2610" t="inlineStr">
        <is>
          <t>Estágio</t>
        </is>
      </c>
      <c r="D2610" t="n">
        <v>15</v>
      </c>
      <c r="E2610" t="n">
        <v>14</v>
      </c>
      <c r="F2610" t="n">
        <v>23.32</v>
      </c>
      <c r="G2610" t="n">
        <v>0</v>
      </c>
      <c r="H2610" t="n">
        <v>0</v>
      </c>
      <c r="I2610" s="3">
        <f>E2610+G2610+H2610</f>
        <v/>
      </c>
      <c r="J2610" s="3">
        <f>ROUND(MIN(IF(C2610="Técnico III",35,IF(C2610="Técnico II",28,IF(C2610="Técnico I",23,IF(C2610="JR",20,IF(C2610="Estágio",10,0))))),IF(C2610="Técnico III",SUMIFS($D:$D,$A:$A,$A2610,$B:$B,"&lt;&gt;Patrícia Karla de Sousa Araújo",$B:$B,"&lt;&gt;Lorena Dias de Araujo",$B:$B,"&lt;&gt;Lucas Luiz Romero")*(35/1083),IF(C2610="Técnico II",SUMIFS($D:$D,$A:$A,$A2610,$B:$B,"&lt;&gt;Patrícia Karla de Sousa Araújo",$B:$B,"&lt;&gt;Lorena Dias de Araujo",$B:$B,"&lt;&gt;Lucas Luiz Romero")*(28/1083),IF(C2610="Técnico I",SUMIFS($D:$D,$A:$A,$A2610,$B:$B,"&lt;&gt;Patrícia Karla de Sousa Araújo",$B:$B,"&lt;&gt;Lorena Dias de Araujo",$B:$B,"&lt;&gt;Lucas Luiz Romero")*(23/1083),IF(C2610="JR",SUMIFS($D:$D,$A:$A,$A2610,$B:$B,"&lt;&gt;Patrícia Karla de Sousa Araújo",$B:$B,"&lt;&gt;Lorena Dias de Araujo",$B:$B,"&lt;&gt;Lucas Luiz Romero")*(20/1083),IF(C2610="Estágio",SUMIFS($D:$D,$A:$A,$A2610,$B:$B,"&lt;&gt;Patrícia Karla de Sousa Araújo",$B:$B,"&lt;&gt;Lorena Dias de Araujo",$B:$B,"&lt;&gt;Lucas Luiz Romero")*(10/1083),0)))))),0)</f>
        <v/>
      </c>
      <c r="K2610" s="3">
        <f>I2610-J2610</f>
        <v/>
      </c>
      <c r="L2610" s="3">
        <f>IF(K2610&lt;-5,"CRÍTICO",IF(K2610&lt;0,"ATENÇÃO",IF(K2610&lt;=5,"BOM","EXCELENTE")))</f>
        <v/>
      </c>
      <c r="N2610" t="n">
        <v>88.89</v>
      </c>
      <c r="O2610" t="n">
        <v>25.26315789473684</v>
      </c>
    </row>
    <row r="2611" hidden="1">
      <c r="A2611" s="11" t="n">
        <v>46083</v>
      </c>
      <c r="B2611" t="inlineStr">
        <is>
          <t>Matheus Farias De Souza</t>
        </is>
      </c>
      <c r="C2611" t="inlineStr">
        <is>
          <t>Técnico III</t>
        </is>
      </c>
      <c r="D2611" t="n">
        <v>43</v>
      </c>
      <c r="E2611" t="n">
        <v>38</v>
      </c>
      <c r="F2611" t="n">
        <v>17.28</v>
      </c>
      <c r="G2611" t="n">
        <v>0</v>
      </c>
      <c r="H2611" t="n">
        <v>0</v>
      </c>
      <c r="I2611" s="3">
        <f>E2611+G2611+H2611</f>
        <v/>
      </c>
      <c r="J2611" s="3">
        <f>ROUND(MIN(IF(C2611="Técnico III",35,IF(C2611="Técnico II",28,IF(C2611="Técnico I",23,IF(C2611="JR",20,IF(C2611="Estágio",10,0))))),IF(C2611="Técnico III",SUMIFS($D:$D,$A:$A,$A2611,$B:$B,"&lt;&gt;Patrícia Karla de Sousa Araújo",$B:$B,"&lt;&gt;Lorena Dias de Araujo",$B:$B,"&lt;&gt;Lucas Luiz Romero")*(35/1083),IF(C2611="Técnico II",SUMIFS($D:$D,$A:$A,$A2611,$B:$B,"&lt;&gt;Patrícia Karla de Sousa Araújo",$B:$B,"&lt;&gt;Lorena Dias de Araujo",$B:$B,"&lt;&gt;Lucas Luiz Romero")*(28/1083),IF(C2611="Técnico I",SUMIFS($D:$D,$A:$A,$A2611,$B:$B,"&lt;&gt;Patrícia Karla de Sousa Araújo",$B:$B,"&lt;&gt;Lorena Dias de Araujo",$B:$B,"&lt;&gt;Lucas Luiz Romero")*(23/1083),IF(C2611="JR",SUMIFS($D:$D,$A:$A,$A2611,$B:$B,"&lt;&gt;Patrícia Karla de Sousa Araújo",$B:$B,"&lt;&gt;Lorena Dias de Araujo",$B:$B,"&lt;&gt;Lucas Luiz Romero")*(20/1083),IF(C2611="Estágio",SUMIFS($D:$D,$A:$A,$A2611,$B:$B,"&lt;&gt;Patrícia Karla de Sousa Araújo",$B:$B,"&lt;&gt;Lorena Dias de Araujo",$B:$B,"&lt;&gt;Lucas Luiz Romero")*(10/1083),0)))))),0)</f>
        <v/>
      </c>
      <c r="K2611" s="3">
        <f>I2611-J2611</f>
        <v/>
      </c>
      <c r="L2611" s="3">
        <f>IF(K2611&lt;-5,"CRÍTICO",IF(K2611&lt;0,"ATENÇÃO",IF(K2611&lt;=5,"BOM","EXCELENTE")))</f>
        <v/>
      </c>
      <c r="N2611" t="n">
        <v>98.86</v>
      </c>
      <c r="O2611" t="n">
        <v>28.95927601809955</v>
      </c>
    </row>
    <row r="2612" hidden="1">
      <c r="A2612" s="11" t="n">
        <v>46083</v>
      </c>
      <c r="B2612" t="inlineStr">
        <is>
          <t>Maysa Victoria Dias Moura</t>
        </is>
      </c>
      <c r="C2612" t="inlineStr">
        <is>
          <t>Técnico III</t>
        </is>
      </c>
      <c r="D2612" t="n">
        <v>33</v>
      </c>
      <c r="E2612" t="n">
        <v>32</v>
      </c>
      <c r="F2612" t="n">
        <v>15.17</v>
      </c>
      <c r="G2612" t="n">
        <v>0</v>
      </c>
      <c r="H2612" t="n">
        <v>0</v>
      </c>
      <c r="I2612" s="3">
        <f>E2612+G2612+H2612</f>
        <v/>
      </c>
      <c r="J2612" s="3">
        <f>ROUND(MIN(IF(C2612="Técnico III",35,IF(C2612="Técnico II",28,IF(C2612="Técnico I",23,IF(C2612="JR",20,IF(C2612="Estágio",10,0))))),IF(C2612="Técnico III",SUMIFS($D:$D,$A:$A,$A2612,$B:$B,"&lt;&gt;Patrícia Karla de Sousa Araújo",$B:$B,"&lt;&gt;Lorena Dias de Araujo",$B:$B,"&lt;&gt;Lucas Luiz Romero")*(35/1083),IF(C2612="Técnico II",SUMIFS($D:$D,$A:$A,$A2612,$B:$B,"&lt;&gt;Patrícia Karla de Sousa Araújo",$B:$B,"&lt;&gt;Lorena Dias de Araujo",$B:$B,"&lt;&gt;Lucas Luiz Romero")*(28/1083),IF(C2612="Técnico I",SUMIFS($D:$D,$A:$A,$A2612,$B:$B,"&lt;&gt;Patrícia Karla de Sousa Araújo",$B:$B,"&lt;&gt;Lorena Dias de Araujo",$B:$B,"&lt;&gt;Lucas Luiz Romero")*(23/1083),IF(C2612="JR",SUMIFS($D:$D,$A:$A,$A2612,$B:$B,"&lt;&gt;Patrícia Karla de Sousa Araújo",$B:$B,"&lt;&gt;Lorena Dias de Araujo",$B:$B,"&lt;&gt;Lucas Luiz Romero")*(20/1083),IF(C2612="Estágio",SUMIFS($D:$D,$A:$A,$A2612,$B:$B,"&lt;&gt;Patrícia Karla de Sousa Araújo",$B:$B,"&lt;&gt;Lorena Dias de Araujo",$B:$B,"&lt;&gt;Lucas Luiz Romero")*(10/1083),0)))))),0)</f>
        <v/>
      </c>
      <c r="K2612" s="3">
        <f>I2612-J2612</f>
        <v/>
      </c>
      <c r="L2612" s="3">
        <f>IF(K2612&lt;-5,"CRÍTICO",IF(K2612&lt;0,"ATENÇÃO",IF(K2612&lt;=5,"BOM","EXCELENTE")))</f>
        <v/>
      </c>
      <c r="N2612" t="n">
        <v>98.06</v>
      </c>
      <c r="O2612" t="n">
        <v>22.40566037735849</v>
      </c>
    </row>
    <row r="2613" hidden="1">
      <c r="A2613" s="11" t="n">
        <v>46083</v>
      </c>
      <c r="B2613" t="inlineStr">
        <is>
          <t>Michelle G Santos</t>
        </is>
      </c>
      <c r="C2613" t="inlineStr">
        <is>
          <t>Estágio</t>
        </is>
      </c>
      <c r="D2613" t="n">
        <v>6</v>
      </c>
      <c r="E2613" t="n">
        <v>6</v>
      </c>
      <c r="F2613" t="n">
        <v>53.33</v>
      </c>
      <c r="G2613" t="n">
        <v>0</v>
      </c>
      <c r="H2613" t="n">
        <v>0</v>
      </c>
      <c r="I2613" s="3">
        <f>E2613+G2613+H2613</f>
        <v/>
      </c>
      <c r="J2613" s="3">
        <f>ROUND(MIN(IF(C2613="Técnico III",35,IF(C2613="Técnico II",28,IF(C2613="Técnico I",23,IF(C2613="JR",20,IF(C2613="Estágio",10,0))))),IF(C2613="Técnico III",SUMIFS($D:$D,$A:$A,$A2613,$B:$B,"&lt;&gt;Patrícia Karla de Sousa Araújo",$B:$B,"&lt;&gt;Lorena Dias de Araujo",$B:$B,"&lt;&gt;Lucas Luiz Romero")*(35/1083),IF(C2613="Técnico II",SUMIFS($D:$D,$A:$A,$A2613,$B:$B,"&lt;&gt;Patrícia Karla de Sousa Araújo",$B:$B,"&lt;&gt;Lorena Dias de Araujo",$B:$B,"&lt;&gt;Lucas Luiz Romero")*(28/1083),IF(C2613="Técnico I",SUMIFS($D:$D,$A:$A,$A2613,$B:$B,"&lt;&gt;Patrícia Karla de Sousa Araújo",$B:$B,"&lt;&gt;Lorena Dias de Araujo",$B:$B,"&lt;&gt;Lucas Luiz Romero")*(23/1083),IF(C2613="JR",SUMIFS($D:$D,$A:$A,$A2613,$B:$B,"&lt;&gt;Patrícia Karla de Sousa Araújo",$B:$B,"&lt;&gt;Lorena Dias de Araujo",$B:$B,"&lt;&gt;Lucas Luiz Romero")*(20/1083),IF(C2613="Estágio",SUMIFS($D:$D,$A:$A,$A2613,$B:$B,"&lt;&gt;Patrícia Karla de Sousa Araújo",$B:$B,"&lt;&gt;Lorena Dias de Araujo",$B:$B,"&lt;&gt;Lucas Luiz Romero")*(10/1083),0)))))),0)</f>
        <v/>
      </c>
      <c r="K2613" s="3">
        <f>I2613-J2613</f>
        <v/>
      </c>
      <c r="L2613" s="3">
        <f>IF(K2613&lt;-5,"CRÍTICO",IF(K2613&lt;0,"ATENÇÃO",IF(K2613&lt;=5,"BOM","EXCELENTE")))</f>
        <v/>
      </c>
      <c r="N2613" t="n">
        <v>95.83</v>
      </c>
      <c r="O2613" t="n">
        <v>25.77319587628866</v>
      </c>
    </row>
    <row r="2614" hidden="1">
      <c r="A2614" s="11" t="n">
        <v>46083</v>
      </c>
      <c r="B2614" t="inlineStr">
        <is>
          <t>Milena Sales</t>
        </is>
      </c>
      <c r="C2614" t="inlineStr">
        <is>
          <t>JR</t>
        </is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s="3" t="n">
        <v>0</v>
      </c>
      <c r="J2614" s="3" t="n">
        <v>0</v>
      </c>
      <c r="K2614" s="3" t="n">
        <v>0</v>
      </c>
      <c r="L2614" s="3">
        <f>IF(K2614&lt;-5,"CRÍTICO",IF(K2614&lt;0,"ATENÇÃO",IF(K2614&lt;=5,"BOM","EXCELENTE")))</f>
        <v/>
      </c>
      <c r="N2614" t="n">
        <v>100</v>
      </c>
      <c r="O2614" t="n">
        <v>15.38461538461539</v>
      </c>
    </row>
    <row r="2615" hidden="1">
      <c r="A2615" s="11" t="n">
        <v>46083</v>
      </c>
      <c r="B2615" t="inlineStr">
        <is>
          <t>Patrícia Karla de Sousa Araújo</t>
        </is>
      </c>
      <c r="C2615" t="inlineStr">
        <is>
          <t>Técnico II</t>
        </is>
      </c>
      <c r="D2615" t="n">
        <v>18</v>
      </c>
      <c r="E2615" t="n">
        <v>18</v>
      </c>
      <c r="F2615" t="n">
        <v>30.04</v>
      </c>
      <c r="G2615" t="n">
        <v>0</v>
      </c>
      <c r="H2615" t="n">
        <v>0</v>
      </c>
      <c r="I2615" s="3">
        <f>E2615+G2615+H2615</f>
        <v/>
      </c>
      <c r="J2615" s="3">
        <f>ROUND(MIN(IF(C2615="Técnico III",35,IF(C2615="Técnico II",28,IF(C2615="Técnico I",23,IF(C2615="JR",20,IF(C2615="Estágio",10,0))))),IF(C2615="Técnico III",SUMIFS($D:$D,$A:$A,$A2615,$B:$B,"&lt;&gt;Patrícia Karla de Sousa Araújo",$B:$B,"&lt;&gt;Lorena Dias de Araujo",$B:$B,"&lt;&gt;Lucas Luiz Romero")*(35/1083),IF(C2615="Técnico II",SUMIFS($D:$D,$A:$A,$A2615,$B:$B,"&lt;&gt;Patrícia Karla de Sousa Araújo",$B:$B,"&lt;&gt;Lorena Dias de Araujo",$B:$B,"&lt;&gt;Lucas Luiz Romero")*(28/1083),IF(C2615="Técnico I",SUMIFS($D:$D,$A:$A,$A2615,$B:$B,"&lt;&gt;Patrícia Karla de Sousa Araújo",$B:$B,"&lt;&gt;Lorena Dias de Araujo",$B:$B,"&lt;&gt;Lucas Luiz Romero")*(23/1083),IF(C2615="JR",SUMIFS($D:$D,$A:$A,$A2615,$B:$B,"&lt;&gt;Patrícia Karla de Sousa Araújo",$B:$B,"&lt;&gt;Lorena Dias de Araujo",$B:$B,"&lt;&gt;Lucas Luiz Romero")*(20/1083),IF(C2615="Estágio",SUMIFS($D:$D,$A:$A,$A2615,$B:$B,"&lt;&gt;Patrícia Karla de Sousa Araújo",$B:$B,"&lt;&gt;Lorena Dias de Araujo",$B:$B,"&lt;&gt;Lucas Luiz Romero")*(10/1083),0)))))),0)</f>
        <v/>
      </c>
      <c r="K2615" s="3">
        <f>I2615-J2615</f>
        <v/>
      </c>
      <c r="L2615" s="3">
        <f>IF(K2615&lt;-5,"CRÍTICO",IF(K2615&lt;0,"ATENÇÃO",IF(K2615&lt;=5,"BOM","EXCELENTE")))</f>
        <v/>
      </c>
      <c r="N2615" t="n">
        <v>100</v>
      </c>
      <c r="O2615" t="n">
        <v>27.51479289940828</v>
      </c>
    </row>
    <row r="2616" hidden="1">
      <c r="A2616" s="11" t="n">
        <v>46083</v>
      </c>
      <c r="B2616" t="inlineStr">
        <is>
          <t>Paulo Ricardo Santos</t>
        </is>
      </c>
      <c r="C2616" t="inlineStr">
        <is>
          <t>JR</t>
        </is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s="3" t="n">
        <v>0</v>
      </c>
      <c r="J2616" s="3" t="n">
        <v>0</v>
      </c>
      <c r="K2616" s="3" t="n">
        <v>0</v>
      </c>
      <c r="L2616" s="3">
        <f>IF(K2616&lt;-5,"CRÍTICO",IF(K2616&lt;0,"ATENÇÃO",IF(K2616&lt;=5,"BOM","EXCELENTE")))</f>
        <v/>
      </c>
      <c r="N2616" t="n">
        <v>100</v>
      </c>
      <c r="O2616" t="n">
        <v>24.87562189054727</v>
      </c>
    </row>
    <row r="2617" hidden="1">
      <c r="A2617" s="11" t="n">
        <v>46083</v>
      </c>
      <c r="B2617" t="inlineStr">
        <is>
          <t>Pedro Luiz Mota Sousa</t>
        </is>
      </c>
      <c r="C2617" t="inlineStr">
        <is>
          <t>JR</t>
        </is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s="3" t="n">
        <v>0</v>
      </c>
      <c r="J2617" s="3" t="n">
        <v>0</v>
      </c>
      <c r="K2617" s="3" t="n">
        <v>0</v>
      </c>
      <c r="L2617" s="3">
        <f>IF(K2617&lt;-5,"CRÍTICO",IF(K2617&lt;0,"ATENÇÃO",IF(K2617&lt;=5,"BOM","EXCELENTE")))</f>
        <v/>
      </c>
      <c r="N2617" t="n">
        <v>100</v>
      </c>
      <c r="O2617" t="n">
        <v>28.10810810810811</v>
      </c>
    </row>
    <row r="2618" hidden="1">
      <c r="A2618" s="11" t="n">
        <v>46083</v>
      </c>
      <c r="B2618" t="inlineStr">
        <is>
          <t>Quirino Diogo Leite Torres</t>
        </is>
      </c>
      <c r="C2618" t="inlineStr">
        <is>
          <t>Estágio</t>
        </is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s="3" t="n">
        <v>0</v>
      </c>
      <c r="J2618" s="3" t="n">
        <v>0</v>
      </c>
      <c r="K2618" s="3" t="n">
        <v>0</v>
      </c>
      <c r="L2618" s="3">
        <f>IF(K2618&lt;-5,"CRÍTICO",IF(K2618&lt;0,"ATENÇÃO",IF(K2618&lt;=5,"BOM","EXCELENTE")))</f>
        <v/>
      </c>
      <c r="N2618" t="n">
        <v>100</v>
      </c>
      <c r="O2618" t="n">
        <v>35</v>
      </c>
    </row>
    <row r="2619" hidden="1">
      <c r="A2619" s="11" t="n">
        <v>46083</v>
      </c>
      <c r="B2619" t="inlineStr">
        <is>
          <t>Raane Batista Matos</t>
        </is>
      </c>
      <c r="C2619" t="inlineStr">
        <is>
          <t>Técnico I</t>
        </is>
      </c>
      <c r="D2619" t="n">
        <v>25</v>
      </c>
      <c r="E2619" t="n">
        <v>25</v>
      </c>
      <c r="F2619" t="n">
        <v>26.46</v>
      </c>
      <c r="G2619" t="n">
        <v>0</v>
      </c>
      <c r="H2619" t="n">
        <v>0</v>
      </c>
      <c r="I2619" s="3">
        <f>E2619+G2619+H2619</f>
        <v/>
      </c>
      <c r="J2619" s="3">
        <f>ROUND(MIN(IF(C2619="Técnico III",35,IF(C2619="Técnico II",28,IF(C2619="Técnico I",23,IF(C2619="JR",20,IF(C2619="Estágio",10,0))))),IF(C2619="Técnico III",SUMIFS($D:$D,$A:$A,$A2619,$B:$B,"&lt;&gt;Patrícia Karla de Sousa Araújo",$B:$B,"&lt;&gt;Lorena Dias de Araujo",$B:$B,"&lt;&gt;Lucas Luiz Romero")*(35/1083),IF(C2619="Técnico II",SUMIFS($D:$D,$A:$A,$A2619,$B:$B,"&lt;&gt;Patrícia Karla de Sousa Araújo",$B:$B,"&lt;&gt;Lorena Dias de Araujo",$B:$B,"&lt;&gt;Lucas Luiz Romero")*(28/1083),IF(C2619="Técnico I",SUMIFS($D:$D,$A:$A,$A2619,$B:$B,"&lt;&gt;Patrícia Karla de Sousa Araújo",$B:$B,"&lt;&gt;Lorena Dias de Araujo",$B:$B,"&lt;&gt;Lucas Luiz Romero")*(23/1083),IF(C2619="JR",SUMIFS($D:$D,$A:$A,$A2619,$B:$B,"&lt;&gt;Patrícia Karla de Sousa Araújo",$B:$B,"&lt;&gt;Lorena Dias de Araujo",$B:$B,"&lt;&gt;Lucas Luiz Romero")*(20/1083),IF(C2619="Estágio",SUMIFS($D:$D,$A:$A,$A2619,$B:$B,"&lt;&gt;Patrícia Karla de Sousa Araújo",$B:$B,"&lt;&gt;Lorena Dias de Araujo",$B:$B,"&lt;&gt;Lucas Luiz Romero")*(10/1083),0)))))),0)</f>
        <v/>
      </c>
      <c r="K2619" s="3">
        <f>I2619-J2619</f>
        <v/>
      </c>
      <c r="L2619" s="3">
        <f>IF(K2619&lt;-5,"CRÍTICO",IF(K2619&lt;0,"ATENÇÃO",IF(K2619&lt;=5,"BOM","EXCELENTE")))</f>
        <v/>
      </c>
      <c r="N2619" t="n">
        <v>95.34999999999999</v>
      </c>
      <c r="O2619" t="n">
        <v>28.61538461538461</v>
      </c>
    </row>
    <row r="2620" hidden="1">
      <c r="A2620" s="11" t="n">
        <v>46083</v>
      </c>
      <c r="B2620" t="inlineStr">
        <is>
          <t>Rafael Gomes de Morais</t>
        </is>
      </c>
      <c r="C2620" t="inlineStr">
        <is>
          <t>Técnico III</t>
        </is>
      </c>
      <c r="D2620" t="n">
        <v>46</v>
      </c>
      <c r="E2620" t="n">
        <v>44</v>
      </c>
      <c r="F2620" t="n">
        <v>14.01</v>
      </c>
      <c r="G2620" t="n">
        <v>0</v>
      </c>
      <c r="H2620" t="n">
        <v>0</v>
      </c>
      <c r="I2620" s="3">
        <f>E2620+G2620+H2620</f>
        <v/>
      </c>
      <c r="J2620" s="3">
        <f>ROUND(MIN(IF(C2620="Técnico III",35,IF(C2620="Técnico II",28,IF(C2620="Técnico I",23,IF(C2620="JR",20,IF(C2620="Estágio",10,0))))),IF(C2620="Técnico III",SUMIFS($D:$D,$A:$A,$A2620,$B:$B,"&lt;&gt;Patrícia Karla de Sousa Araújo",$B:$B,"&lt;&gt;Lorena Dias de Araujo",$B:$B,"&lt;&gt;Lucas Luiz Romero")*(35/1083),IF(C2620="Técnico II",SUMIFS($D:$D,$A:$A,$A2620,$B:$B,"&lt;&gt;Patrícia Karla de Sousa Araújo",$B:$B,"&lt;&gt;Lorena Dias de Araujo",$B:$B,"&lt;&gt;Lucas Luiz Romero")*(28/1083),IF(C2620="Técnico I",SUMIFS($D:$D,$A:$A,$A2620,$B:$B,"&lt;&gt;Patrícia Karla de Sousa Araújo",$B:$B,"&lt;&gt;Lorena Dias de Araujo",$B:$B,"&lt;&gt;Lucas Luiz Romero")*(23/1083),IF(C2620="JR",SUMIFS($D:$D,$A:$A,$A2620,$B:$B,"&lt;&gt;Patrícia Karla de Sousa Araújo",$B:$B,"&lt;&gt;Lorena Dias de Araujo",$B:$B,"&lt;&gt;Lucas Luiz Romero")*(20/1083),IF(C2620="Estágio",SUMIFS($D:$D,$A:$A,$A2620,$B:$B,"&lt;&gt;Patrícia Karla de Sousa Araújo",$B:$B,"&lt;&gt;Lorena Dias de Araujo",$B:$B,"&lt;&gt;Lucas Luiz Romero")*(10/1083),0)))))),0)</f>
        <v/>
      </c>
      <c r="K2620" s="3">
        <f>I2620-J2620</f>
        <v/>
      </c>
      <c r="L2620" s="3">
        <f>IF(K2620&lt;-5,"CRÍTICO",IF(K2620&lt;0,"ATENÇÃO",IF(K2620&lt;=5,"BOM","EXCELENTE")))</f>
        <v/>
      </c>
      <c r="N2620" t="n">
        <v>98.26000000000001</v>
      </c>
      <c r="O2620" t="n">
        <v>27.54491017964072</v>
      </c>
    </row>
    <row r="2621" hidden="1">
      <c r="A2621" s="11" t="n">
        <v>46083</v>
      </c>
      <c r="B2621" t="inlineStr">
        <is>
          <t>Sara Maria Monteiro Lopes</t>
        </is>
      </c>
      <c r="C2621" t="inlineStr">
        <is>
          <t>Técnico I</t>
        </is>
      </c>
      <c r="D2621" t="n">
        <v>9</v>
      </c>
      <c r="E2621" t="n">
        <v>9</v>
      </c>
      <c r="F2621" t="n">
        <v>52.15</v>
      </c>
      <c r="G2621" t="n">
        <v>0</v>
      </c>
      <c r="H2621" t="n">
        <v>0</v>
      </c>
      <c r="I2621" s="3">
        <f>E2621+G2621+H2621</f>
        <v/>
      </c>
      <c r="J2621" s="3">
        <f>ROUND(MIN(IF(C2621="Técnico III",35,IF(C2621="Técnico II",28,IF(C2621="Técnico I",23,IF(C2621="JR",20,IF(C2621="Estágio",10,0))))),IF(C2621="Técnico III",SUMIFS($D:$D,$A:$A,$A2621,$B:$B,"&lt;&gt;Patrícia Karla de Sousa Araújo",$B:$B,"&lt;&gt;Lorena Dias de Araujo",$B:$B,"&lt;&gt;Lucas Luiz Romero")*(35/1083),IF(C2621="Técnico II",SUMIFS($D:$D,$A:$A,$A2621,$B:$B,"&lt;&gt;Patrícia Karla de Sousa Araújo",$B:$B,"&lt;&gt;Lorena Dias de Araujo",$B:$B,"&lt;&gt;Lucas Luiz Romero")*(28/1083),IF(C2621="Técnico I",SUMIFS($D:$D,$A:$A,$A2621,$B:$B,"&lt;&gt;Patrícia Karla de Sousa Araújo",$B:$B,"&lt;&gt;Lorena Dias de Araujo",$B:$B,"&lt;&gt;Lucas Luiz Romero")*(23/1083),IF(C2621="JR",SUMIFS($D:$D,$A:$A,$A2621,$B:$B,"&lt;&gt;Patrícia Karla de Sousa Araújo",$B:$B,"&lt;&gt;Lorena Dias de Araujo",$B:$B,"&lt;&gt;Lucas Luiz Romero")*(20/1083),IF(C2621="Estágio",SUMIFS($D:$D,$A:$A,$A2621,$B:$B,"&lt;&gt;Patrícia Karla de Sousa Araújo",$B:$B,"&lt;&gt;Lorena Dias de Araujo",$B:$B,"&lt;&gt;Lucas Luiz Romero")*(10/1083),0)))))),0)</f>
        <v/>
      </c>
      <c r="K2621" s="3">
        <f>I2621-J2621</f>
        <v/>
      </c>
      <c r="L2621" s="3">
        <f>IF(K2621&lt;-5,"CRÍTICO",IF(K2621&lt;0,"ATENÇÃO",IF(K2621&lt;=5,"BOM","EXCELENTE")))</f>
        <v/>
      </c>
      <c r="N2621" t="n">
        <v>98.55</v>
      </c>
      <c r="O2621" t="n">
        <v>25.33783783783784</v>
      </c>
    </row>
    <row r="2622" hidden="1">
      <c r="A2622" s="11" t="n">
        <v>46083</v>
      </c>
      <c r="B2622" t="inlineStr">
        <is>
          <t>Sarah Steffanie de Lima Borges</t>
        </is>
      </c>
      <c r="C2622" t="inlineStr">
        <is>
          <t>Técnico III</t>
        </is>
      </c>
      <c r="D2622" t="n">
        <v>35</v>
      </c>
      <c r="E2622" t="n">
        <v>35</v>
      </c>
      <c r="F2622" t="n">
        <v>15.55</v>
      </c>
      <c r="G2622" t="n">
        <v>0</v>
      </c>
      <c r="H2622" t="n">
        <v>0</v>
      </c>
      <c r="I2622" s="3">
        <f>E2622+G2622+H2622</f>
        <v/>
      </c>
      <c r="J2622" s="3">
        <f>ROUND(MIN(IF(C2622="Técnico III",35,IF(C2622="Técnico II",28,IF(C2622="Técnico I",23,IF(C2622="JR",20,IF(C2622="Estágio",10,0))))),IF(C2622="Técnico III",SUMIFS($D:$D,$A:$A,$A2622,$B:$B,"&lt;&gt;Patrícia Karla de Sousa Araújo",$B:$B,"&lt;&gt;Lorena Dias de Araujo",$B:$B,"&lt;&gt;Lucas Luiz Romero")*(35/1083),IF(C2622="Técnico II",SUMIFS($D:$D,$A:$A,$A2622,$B:$B,"&lt;&gt;Patrícia Karla de Sousa Araújo",$B:$B,"&lt;&gt;Lorena Dias de Araujo",$B:$B,"&lt;&gt;Lucas Luiz Romero")*(28/1083),IF(C2622="Técnico I",SUMIFS($D:$D,$A:$A,$A2622,$B:$B,"&lt;&gt;Patrícia Karla de Sousa Araújo",$B:$B,"&lt;&gt;Lorena Dias de Araujo",$B:$B,"&lt;&gt;Lucas Luiz Romero")*(23/1083),IF(C2622="JR",SUMIFS($D:$D,$A:$A,$A2622,$B:$B,"&lt;&gt;Patrícia Karla de Sousa Araújo",$B:$B,"&lt;&gt;Lorena Dias de Araujo",$B:$B,"&lt;&gt;Lucas Luiz Romero")*(20/1083),IF(C2622="Estágio",SUMIFS($D:$D,$A:$A,$A2622,$B:$B,"&lt;&gt;Patrícia Karla de Sousa Araújo",$B:$B,"&lt;&gt;Lorena Dias de Araujo",$B:$B,"&lt;&gt;Lucas Luiz Romero")*(10/1083),0)))))),0)</f>
        <v/>
      </c>
      <c r="K2622" s="3">
        <f>I2622-J2622</f>
        <v/>
      </c>
      <c r="L2622" s="3">
        <f>IF(K2622&lt;-5,"CRÍTICO",IF(K2622&lt;0,"ATENÇÃO",IF(K2622&lt;=5,"BOM","EXCELENTE")))</f>
        <v/>
      </c>
      <c r="N2622" t="n">
        <v>98.39</v>
      </c>
      <c r="O2622" t="n">
        <v>25.56390977443609</v>
      </c>
    </row>
    <row r="2623" hidden="1">
      <c r="A2623" s="11" t="n">
        <v>46084</v>
      </c>
      <c r="B2623" t="inlineStr">
        <is>
          <t>Alisson de Freitas Silva</t>
        </is>
      </c>
      <c r="C2623" t="inlineStr">
        <is>
          <t>Técnico II</t>
        </is>
      </c>
      <c r="D2623" t="n">
        <v>34</v>
      </c>
      <c r="E2623" t="n">
        <v>30</v>
      </c>
      <c r="F2623" t="n">
        <v>21.47</v>
      </c>
      <c r="G2623" t="n">
        <v>0</v>
      </c>
      <c r="H2623" t="n">
        <v>0</v>
      </c>
      <c r="I2623" s="3">
        <f>E2623+G2623+H2623</f>
        <v/>
      </c>
      <c r="J2623" s="3">
        <f>ROUND(MIN(IF(C2623="Técnico III",35,IF(C2623="Técnico II",28,IF(C2623="Técnico I",23,IF(C2623="JR",20,IF(C2623="Estágio",10,0))))),IF(C2623="Técnico III",SUMIFS($D:$D,$A:$A,$A2623,$B:$B,"&lt;&gt;Patrícia Karla de Sousa Araújo",$B:$B,"&lt;&gt;Lorena Dias de Araujo",$B:$B,"&lt;&gt;Lucas Luiz Romero")*(35/1083),IF(C2623="Técnico II",SUMIFS($D:$D,$A:$A,$A2623,$B:$B,"&lt;&gt;Patrícia Karla de Sousa Araújo",$B:$B,"&lt;&gt;Lorena Dias de Araujo",$B:$B,"&lt;&gt;Lucas Luiz Romero")*(28/1083),IF(C2623="Técnico I",SUMIFS($D:$D,$A:$A,$A2623,$B:$B,"&lt;&gt;Patrícia Karla de Sousa Araújo",$B:$B,"&lt;&gt;Lorena Dias de Araujo",$B:$B,"&lt;&gt;Lucas Luiz Romero")*(23/1083),IF(C2623="JR",SUMIFS($D:$D,$A:$A,$A2623,$B:$B,"&lt;&gt;Patrícia Karla de Sousa Araújo",$B:$B,"&lt;&gt;Lorena Dias de Araujo",$B:$B,"&lt;&gt;Lucas Luiz Romero")*(20/1083),IF(C2623="Estágio",SUMIFS($D:$D,$A:$A,$A2623,$B:$B,"&lt;&gt;Patrícia Karla de Sousa Araújo",$B:$B,"&lt;&gt;Lorena Dias de Araujo",$B:$B,"&lt;&gt;Lucas Luiz Romero")*(10/1083),0)))))),0)</f>
        <v/>
      </c>
      <c r="K2623" s="3">
        <f>I2623-J2623</f>
        <v/>
      </c>
      <c r="L2623" s="3">
        <f>IF(K2623&lt;-5,"CRÍTICO",IF(K2623&lt;0,"ATENÇÃO",IF(K2623&lt;=5,"BOM","EXCELENTE")))</f>
        <v/>
      </c>
      <c r="N2623" t="n">
        <v>94.29000000000001</v>
      </c>
      <c r="O2623" t="n">
        <v>25.64766839378239</v>
      </c>
    </row>
    <row r="2624" hidden="1">
      <c r="A2624" s="11" t="n">
        <v>46084</v>
      </c>
      <c r="B2624" t="inlineStr">
        <is>
          <t>Amanda Moura Ferreira</t>
        </is>
      </c>
      <c r="C2624" t="inlineStr">
        <is>
          <t>Técnico III</t>
        </is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s="3" t="n">
        <v>0</v>
      </c>
      <c r="J2624" s="3" t="n">
        <v>0</v>
      </c>
      <c r="K2624" s="3" t="n">
        <v>0</v>
      </c>
      <c r="L2624" s="3">
        <f>IF(K2624&lt;-5,"CRÍTICO",IF(K2624&lt;0,"ATENÇÃO",IF(K2624&lt;=5,"BOM","EXCELENTE")))</f>
        <v/>
      </c>
      <c r="N2624" t="n">
        <v>98.26000000000001</v>
      </c>
      <c r="O2624" t="n">
        <v>26.66666666666667</v>
      </c>
    </row>
    <row r="2625" hidden="1">
      <c r="A2625" s="11" t="n">
        <v>46084</v>
      </c>
      <c r="B2625" t="inlineStr">
        <is>
          <t>Ana Karollyne Souza Faria</t>
        </is>
      </c>
      <c r="C2625" t="inlineStr">
        <is>
          <t>Técnico I</t>
        </is>
      </c>
      <c r="D2625" t="n">
        <v>33</v>
      </c>
      <c r="E2625" t="n">
        <v>30</v>
      </c>
      <c r="F2625" t="n">
        <v>18.39</v>
      </c>
      <c r="G2625" t="n">
        <v>0</v>
      </c>
      <c r="H2625" t="n">
        <v>0</v>
      </c>
      <c r="I2625" s="3">
        <f>E2625+G2625+H2625</f>
        <v/>
      </c>
      <c r="J2625" s="3">
        <f>ROUND(MIN(IF(C2625="Técnico III",35,IF(C2625="Técnico II",28,IF(C2625="Técnico I",23,IF(C2625="JR",20,IF(C2625="Estágio",10,0))))),IF(C2625="Técnico III",SUMIFS($D:$D,$A:$A,$A2625,$B:$B,"&lt;&gt;Patrícia Karla de Sousa Araújo",$B:$B,"&lt;&gt;Lorena Dias de Araujo",$B:$B,"&lt;&gt;Lucas Luiz Romero")*(35/1083),IF(C2625="Técnico II",SUMIFS($D:$D,$A:$A,$A2625,$B:$B,"&lt;&gt;Patrícia Karla de Sousa Araújo",$B:$B,"&lt;&gt;Lorena Dias de Araujo",$B:$B,"&lt;&gt;Lucas Luiz Romero")*(28/1083),IF(C2625="Técnico I",SUMIFS($D:$D,$A:$A,$A2625,$B:$B,"&lt;&gt;Patrícia Karla de Sousa Araújo",$B:$B,"&lt;&gt;Lorena Dias de Araujo",$B:$B,"&lt;&gt;Lucas Luiz Romero")*(23/1083),IF(C2625="JR",SUMIFS($D:$D,$A:$A,$A2625,$B:$B,"&lt;&gt;Patrícia Karla de Sousa Araújo",$B:$B,"&lt;&gt;Lorena Dias de Araujo",$B:$B,"&lt;&gt;Lucas Luiz Romero")*(20/1083),IF(C2625="Estágio",SUMIFS($D:$D,$A:$A,$A2625,$B:$B,"&lt;&gt;Patrícia Karla de Sousa Araújo",$B:$B,"&lt;&gt;Lorena Dias de Araujo",$B:$B,"&lt;&gt;Lucas Luiz Romero")*(10/1083),0)))))),0)</f>
        <v/>
      </c>
      <c r="K2625" s="3">
        <f>I2625-J2625</f>
        <v/>
      </c>
      <c r="L2625" s="3">
        <f>IF(K2625&lt;-5,"CRÍTICO",IF(K2625&lt;0,"ATENÇÃO",IF(K2625&lt;=5,"BOM","EXCELENTE")))</f>
        <v/>
      </c>
      <c r="N2625" t="n">
        <v>98.2</v>
      </c>
      <c r="O2625" t="n">
        <v>23.37962962962963</v>
      </c>
    </row>
    <row r="2626" hidden="1">
      <c r="A2626" s="11" t="n">
        <v>46084</v>
      </c>
      <c r="B2626" t="inlineStr">
        <is>
          <t>Ana Paula Da Luz Silva Aleixo</t>
        </is>
      </c>
      <c r="C2626" t="inlineStr">
        <is>
          <t>Técnico III</t>
        </is>
      </c>
      <c r="D2626" t="n">
        <v>27</v>
      </c>
      <c r="E2626" t="n">
        <v>24</v>
      </c>
      <c r="F2626" t="n">
        <v>22.09</v>
      </c>
      <c r="G2626" t="n">
        <v>0</v>
      </c>
      <c r="H2626" t="n">
        <v>0</v>
      </c>
      <c r="I2626" s="3">
        <f>E2626+G2626+H2626</f>
        <v/>
      </c>
      <c r="J2626" s="3">
        <f>ROUND(MIN(IF(C2626="Técnico III",35,IF(C2626="Técnico II",28,IF(C2626="Técnico I",23,IF(C2626="JR",20,IF(C2626="Estágio",10,0))))),IF(C2626="Técnico III",SUMIFS($D:$D,$A:$A,$A2626,$B:$B,"&lt;&gt;Patrícia Karla de Sousa Araújo",$B:$B,"&lt;&gt;Lorena Dias de Araujo",$B:$B,"&lt;&gt;Lucas Luiz Romero")*(35/1083),IF(C2626="Técnico II",SUMIFS($D:$D,$A:$A,$A2626,$B:$B,"&lt;&gt;Patrícia Karla de Sousa Araújo",$B:$B,"&lt;&gt;Lorena Dias de Araujo",$B:$B,"&lt;&gt;Lucas Luiz Romero")*(28/1083),IF(C2626="Técnico I",SUMIFS($D:$D,$A:$A,$A2626,$B:$B,"&lt;&gt;Patrícia Karla de Sousa Araújo",$B:$B,"&lt;&gt;Lorena Dias de Araujo",$B:$B,"&lt;&gt;Lucas Luiz Romero")*(23/1083),IF(C2626="JR",SUMIFS($D:$D,$A:$A,$A2626,$B:$B,"&lt;&gt;Patrícia Karla de Sousa Araújo",$B:$B,"&lt;&gt;Lorena Dias de Araujo",$B:$B,"&lt;&gt;Lucas Luiz Romero")*(20/1083),IF(C2626="Estágio",SUMIFS($D:$D,$A:$A,$A2626,$B:$B,"&lt;&gt;Patrícia Karla de Sousa Araújo",$B:$B,"&lt;&gt;Lorena Dias de Araujo",$B:$B,"&lt;&gt;Lucas Luiz Romero")*(10/1083),0)))))),0)</f>
        <v/>
      </c>
      <c r="K2626" s="3">
        <f>I2626-J2626</f>
        <v/>
      </c>
      <c r="L2626" s="3">
        <f>IF(K2626&lt;-5,"CRÍTICO",IF(K2626&lt;0,"ATENÇÃO",IF(K2626&lt;=5,"BOM","EXCELENTE")))</f>
        <v/>
      </c>
      <c r="N2626" t="n">
        <v>97.3</v>
      </c>
      <c r="O2626" t="n">
        <v>23.84769539078156</v>
      </c>
    </row>
    <row r="2627" hidden="1">
      <c r="A2627" s="11" t="n">
        <v>46084</v>
      </c>
      <c r="B2627" t="inlineStr">
        <is>
          <t>Anna Luiza Rezende Tavares</t>
        </is>
      </c>
      <c r="C2627" t="inlineStr">
        <is>
          <t>Estágio</t>
        </is>
      </c>
      <c r="D2627" t="n">
        <v>9</v>
      </c>
      <c r="E2627" t="n">
        <v>8</v>
      </c>
      <c r="F2627" t="n">
        <v>25.22</v>
      </c>
      <c r="G2627" t="n">
        <v>0</v>
      </c>
      <c r="H2627" t="n">
        <v>0</v>
      </c>
      <c r="I2627" s="3">
        <f>E2627+G2627+H2627</f>
        <v/>
      </c>
      <c r="J2627" s="3">
        <f>ROUND(MIN(IF(C2627="Técnico III",35,IF(C2627="Técnico II",28,IF(C2627="Técnico I",23,IF(C2627="JR",20,IF(C2627="Estágio",10,0))))),IF(C2627="Técnico III",SUMIFS($D:$D,$A:$A,$A2627,$B:$B,"&lt;&gt;Patrícia Karla de Sousa Araújo",$B:$B,"&lt;&gt;Lorena Dias de Araujo",$B:$B,"&lt;&gt;Lucas Luiz Romero")*(35/1083),IF(C2627="Técnico II",SUMIFS($D:$D,$A:$A,$A2627,$B:$B,"&lt;&gt;Patrícia Karla de Sousa Araújo",$B:$B,"&lt;&gt;Lorena Dias de Araujo",$B:$B,"&lt;&gt;Lucas Luiz Romero")*(28/1083),IF(C2627="Técnico I",SUMIFS($D:$D,$A:$A,$A2627,$B:$B,"&lt;&gt;Patrícia Karla de Sousa Araújo",$B:$B,"&lt;&gt;Lorena Dias de Araujo",$B:$B,"&lt;&gt;Lucas Luiz Romero")*(23/1083),IF(C2627="JR",SUMIFS($D:$D,$A:$A,$A2627,$B:$B,"&lt;&gt;Patrícia Karla de Sousa Araújo",$B:$B,"&lt;&gt;Lorena Dias de Araujo",$B:$B,"&lt;&gt;Lucas Luiz Romero")*(20/1083),IF(C2627="Estágio",SUMIFS($D:$D,$A:$A,$A2627,$B:$B,"&lt;&gt;Patrícia Karla de Sousa Araújo",$B:$B,"&lt;&gt;Lorena Dias de Araujo",$B:$B,"&lt;&gt;Lucas Luiz Romero")*(10/1083),0)))))),0)</f>
        <v/>
      </c>
      <c r="K2627" s="3">
        <f>I2627-J2627</f>
        <v/>
      </c>
      <c r="L2627" s="3">
        <f>IF(K2627&lt;-5,"CRÍTICO",IF(K2627&lt;0,"ATENÇÃO",IF(K2627&lt;=5,"BOM","EXCELENTE")))</f>
        <v/>
      </c>
      <c r="N2627" t="n">
        <v>100</v>
      </c>
      <c r="O2627" t="n">
        <v>25.26881720430108</v>
      </c>
    </row>
    <row r="2628" hidden="1">
      <c r="A2628" s="11" t="n">
        <v>46084</v>
      </c>
      <c r="B2628" t="inlineStr">
        <is>
          <t>Brenda de Menezes Silva</t>
        </is>
      </c>
      <c r="C2628" t="inlineStr">
        <is>
          <t>Técnico II</t>
        </is>
      </c>
      <c r="D2628" t="n">
        <v>29</v>
      </c>
      <c r="E2628" t="n">
        <v>25</v>
      </c>
      <c r="F2628" t="n">
        <v>20.13</v>
      </c>
      <c r="G2628" t="n">
        <v>0</v>
      </c>
      <c r="H2628" t="n">
        <v>0</v>
      </c>
      <c r="I2628" s="3">
        <f>E2628+G2628+H2628</f>
        <v/>
      </c>
      <c r="J2628" s="3">
        <f>ROUND(MIN(IF(C2628="Técnico III",35,IF(C2628="Técnico II",28,IF(C2628="Técnico I",23,IF(C2628="JR",20,IF(C2628="Estágio",10,0))))),IF(C2628="Técnico III",SUMIFS($D:$D,$A:$A,$A2628,$B:$B,"&lt;&gt;Patrícia Karla de Sousa Araújo",$B:$B,"&lt;&gt;Lorena Dias de Araujo",$B:$B,"&lt;&gt;Lucas Luiz Romero")*(35/1083),IF(C2628="Técnico II",SUMIFS($D:$D,$A:$A,$A2628,$B:$B,"&lt;&gt;Patrícia Karla de Sousa Araújo",$B:$B,"&lt;&gt;Lorena Dias de Araujo",$B:$B,"&lt;&gt;Lucas Luiz Romero")*(28/1083),IF(C2628="Técnico I",SUMIFS($D:$D,$A:$A,$A2628,$B:$B,"&lt;&gt;Patrícia Karla de Sousa Araújo",$B:$B,"&lt;&gt;Lorena Dias de Araujo",$B:$B,"&lt;&gt;Lucas Luiz Romero")*(23/1083),IF(C2628="JR",SUMIFS($D:$D,$A:$A,$A2628,$B:$B,"&lt;&gt;Patrícia Karla de Sousa Araújo",$B:$B,"&lt;&gt;Lorena Dias de Araujo",$B:$B,"&lt;&gt;Lucas Luiz Romero")*(20/1083),IF(C2628="Estágio",SUMIFS($D:$D,$A:$A,$A2628,$B:$B,"&lt;&gt;Patrícia Karla de Sousa Araújo",$B:$B,"&lt;&gt;Lorena Dias de Araujo",$B:$B,"&lt;&gt;Lucas Luiz Romero")*(10/1083),0)))))),0)</f>
        <v/>
      </c>
      <c r="K2628" s="3">
        <f>I2628-J2628</f>
        <v/>
      </c>
      <c r="L2628" s="3">
        <f>IF(K2628&lt;-5,"CRÍTICO",IF(K2628&lt;0,"ATENÇÃO",IF(K2628&lt;=5,"BOM","EXCELENTE")))</f>
        <v/>
      </c>
      <c r="N2628" t="n">
        <v>99.31999999999999</v>
      </c>
      <c r="O2628" t="n">
        <v>22.82282282282282</v>
      </c>
    </row>
    <row r="2629" hidden="1">
      <c r="A2629" s="11" t="n">
        <v>46084</v>
      </c>
      <c r="B2629" t="inlineStr">
        <is>
          <t>Carlos Mateus Cassimiro Nunes</t>
        </is>
      </c>
      <c r="C2629" t="inlineStr">
        <is>
          <t>Técnico II</t>
        </is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s="3" t="n">
        <v>0</v>
      </c>
      <c r="J2629" s="3" t="n">
        <v>0</v>
      </c>
      <c r="K2629" s="3" t="n">
        <v>0</v>
      </c>
      <c r="L2629" s="3">
        <f>IF(K2629&lt;-5,"CRÍTICO",IF(K2629&lt;0,"ATENÇÃO",IF(K2629&lt;=5,"BOM","EXCELENTE")))</f>
        <v/>
      </c>
      <c r="N2629" t="n">
        <v>100</v>
      </c>
      <c r="O2629" t="n">
        <v>27.96610169491525</v>
      </c>
    </row>
    <row r="2630" hidden="1">
      <c r="A2630" s="11" t="n">
        <v>46084</v>
      </c>
      <c r="B2630" t="inlineStr">
        <is>
          <t>Claudio de Sousa Velasco Filho</t>
        </is>
      </c>
      <c r="C2630" t="inlineStr">
        <is>
          <t>Estágio</t>
        </is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s="3" t="n">
        <v>0</v>
      </c>
      <c r="J2630" s="3" t="n">
        <v>0</v>
      </c>
      <c r="K2630" s="3" t="n">
        <v>0</v>
      </c>
      <c r="L2630" s="3">
        <f>IF(K2630&lt;-5,"CRÍTICO",IF(K2630&lt;0,"ATENÇÃO",IF(K2630&lt;=5,"BOM","EXCELENTE")))</f>
        <v/>
      </c>
      <c r="N2630" t="n">
        <v>100</v>
      </c>
      <c r="O2630" t="n">
        <v>30.43478260869566</v>
      </c>
    </row>
    <row r="2631" hidden="1">
      <c r="A2631" s="11" t="n">
        <v>46084</v>
      </c>
      <c r="B2631" t="inlineStr">
        <is>
          <t>Clessiane Pereira dos Santos</t>
        </is>
      </c>
      <c r="C2631" t="inlineStr">
        <is>
          <t>Técnico I</t>
        </is>
      </c>
      <c r="D2631" t="n">
        <v>22</v>
      </c>
      <c r="E2631" t="n">
        <v>22</v>
      </c>
      <c r="F2631" t="n">
        <v>25.18</v>
      </c>
      <c r="G2631" t="n">
        <v>0</v>
      </c>
      <c r="H2631" t="n">
        <v>0</v>
      </c>
      <c r="I2631" s="3">
        <f>E2631+G2631+H2631</f>
        <v/>
      </c>
      <c r="J2631" s="3">
        <f>ROUND(MIN(IF(C2631="Técnico III",35,IF(C2631="Técnico II",28,IF(C2631="Técnico I",23,IF(C2631="JR",20,IF(C2631="Estágio",10,0))))),IF(C2631="Técnico III",SUMIFS($D:$D,$A:$A,$A2631,$B:$B,"&lt;&gt;Patrícia Karla de Sousa Araújo",$B:$B,"&lt;&gt;Lorena Dias de Araujo",$B:$B,"&lt;&gt;Lucas Luiz Romero")*(35/1083),IF(C2631="Técnico II",SUMIFS($D:$D,$A:$A,$A2631,$B:$B,"&lt;&gt;Patrícia Karla de Sousa Araújo",$B:$B,"&lt;&gt;Lorena Dias de Araujo",$B:$B,"&lt;&gt;Lucas Luiz Romero")*(28/1083),IF(C2631="Técnico I",SUMIFS($D:$D,$A:$A,$A2631,$B:$B,"&lt;&gt;Patrícia Karla de Sousa Araújo",$B:$B,"&lt;&gt;Lorena Dias de Araujo",$B:$B,"&lt;&gt;Lucas Luiz Romero")*(23/1083),IF(C2631="JR",SUMIFS($D:$D,$A:$A,$A2631,$B:$B,"&lt;&gt;Patrícia Karla de Sousa Araújo",$B:$B,"&lt;&gt;Lorena Dias de Araujo",$B:$B,"&lt;&gt;Lucas Luiz Romero")*(20/1083),IF(C2631="Estágio",SUMIFS($D:$D,$A:$A,$A2631,$B:$B,"&lt;&gt;Patrícia Karla de Sousa Araújo",$B:$B,"&lt;&gt;Lorena Dias de Araujo",$B:$B,"&lt;&gt;Lucas Luiz Romero")*(10/1083),0)))))),0)</f>
        <v/>
      </c>
      <c r="K2631" s="3">
        <f>I2631-J2631</f>
        <v/>
      </c>
      <c r="L2631" s="3">
        <f>IF(K2631&lt;-5,"CRÍTICO",IF(K2631&lt;0,"ATENÇÃO",IF(K2631&lt;=5,"BOM","EXCELENTE")))</f>
        <v/>
      </c>
      <c r="N2631" t="n">
        <v>96.51000000000001</v>
      </c>
      <c r="O2631" t="n">
        <v>22.80285035629454</v>
      </c>
    </row>
    <row r="2632" hidden="1">
      <c r="A2632" s="11" t="n">
        <v>46084</v>
      </c>
      <c r="B2632" t="inlineStr">
        <is>
          <t>Cristiane Ramos da Silva Rocha</t>
        </is>
      </c>
      <c r="C2632" t="inlineStr">
        <is>
          <t>Técnico III</t>
        </is>
      </c>
      <c r="D2632" t="n">
        <v>36</v>
      </c>
      <c r="E2632" t="n">
        <v>34</v>
      </c>
      <c r="F2632" t="n">
        <v>15.55</v>
      </c>
      <c r="G2632" t="n">
        <v>0</v>
      </c>
      <c r="H2632" t="n">
        <v>0</v>
      </c>
      <c r="I2632" s="3">
        <f>E2632+G2632+H2632</f>
        <v/>
      </c>
      <c r="J2632" s="3">
        <f>ROUND(MIN(IF(C2632="Técnico III",35,IF(C2632="Técnico II",28,IF(C2632="Técnico I",23,IF(C2632="JR",20,IF(C2632="Estágio",10,0))))),IF(C2632="Técnico III",SUMIFS($D:$D,$A:$A,$A2632,$B:$B,"&lt;&gt;Patrícia Karla de Sousa Araújo",$B:$B,"&lt;&gt;Lorena Dias de Araujo",$B:$B,"&lt;&gt;Lucas Luiz Romero")*(35/1083),IF(C2632="Técnico II",SUMIFS($D:$D,$A:$A,$A2632,$B:$B,"&lt;&gt;Patrícia Karla de Sousa Araújo",$B:$B,"&lt;&gt;Lorena Dias de Araujo",$B:$B,"&lt;&gt;Lucas Luiz Romero")*(28/1083),IF(C2632="Técnico I",SUMIFS($D:$D,$A:$A,$A2632,$B:$B,"&lt;&gt;Patrícia Karla de Sousa Araújo",$B:$B,"&lt;&gt;Lorena Dias de Araujo",$B:$B,"&lt;&gt;Lucas Luiz Romero")*(23/1083),IF(C2632="JR",SUMIFS($D:$D,$A:$A,$A2632,$B:$B,"&lt;&gt;Patrícia Karla de Sousa Araújo",$B:$B,"&lt;&gt;Lorena Dias de Araujo",$B:$B,"&lt;&gt;Lucas Luiz Romero")*(20/1083),IF(C2632="Estágio",SUMIFS($D:$D,$A:$A,$A2632,$B:$B,"&lt;&gt;Patrícia Karla de Sousa Araújo",$B:$B,"&lt;&gt;Lorena Dias de Araujo",$B:$B,"&lt;&gt;Lucas Luiz Romero")*(10/1083),0)))))),0)</f>
        <v/>
      </c>
      <c r="K2632" s="3">
        <f>I2632-J2632</f>
        <v/>
      </c>
      <c r="L2632" s="3">
        <f>IF(K2632&lt;-5,"CRÍTICO",IF(K2632&lt;0,"ATENÇÃO",IF(K2632&lt;=5,"BOM","EXCELENTE")))</f>
        <v/>
      </c>
      <c r="N2632" t="n">
        <v>92.68000000000001</v>
      </c>
      <c r="O2632" t="n">
        <v>27.77777777777778</v>
      </c>
    </row>
    <row r="2633" hidden="1">
      <c r="A2633" s="11" t="n">
        <v>46084</v>
      </c>
      <c r="B2633" t="inlineStr">
        <is>
          <t>Damyllis Lorraine de Oliveira Gonçalves</t>
        </is>
      </c>
      <c r="C2633" t="inlineStr">
        <is>
          <t>Técnico II</t>
        </is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s="3" t="n">
        <v>0</v>
      </c>
      <c r="J2633" s="3" t="n">
        <v>0</v>
      </c>
      <c r="K2633" s="3" t="n">
        <v>0</v>
      </c>
      <c r="L2633" s="3">
        <f>IF(K2633&lt;-5,"CRÍTICO",IF(K2633&lt;0,"ATENÇÃO",IF(K2633&lt;=5,"BOM","EXCELENTE")))</f>
        <v/>
      </c>
      <c r="N2633" t="n">
        <v>99.03</v>
      </c>
      <c r="O2633" t="n">
        <v>23.99150743099788</v>
      </c>
    </row>
    <row r="2634" hidden="1">
      <c r="A2634" s="11" t="n">
        <v>46084</v>
      </c>
      <c r="B2634" t="inlineStr">
        <is>
          <t>Daniel Gomes da Silva</t>
        </is>
      </c>
      <c r="C2634" t="inlineStr">
        <is>
          <t>Técnico I</t>
        </is>
      </c>
      <c r="D2634" t="n">
        <v>37</v>
      </c>
      <c r="E2634" t="n">
        <v>34</v>
      </c>
      <c r="F2634" t="n">
        <v>17.02</v>
      </c>
      <c r="G2634" t="n">
        <v>0</v>
      </c>
      <c r="H2634" t="n">
        <v>0</v>
      </c>
      <c r="I2634" s="3">
        <f>E2634+G2634+H2634</f>
        <v/>
      </c>
      <c r="J2634" s="3">
        <f>ROUND(MIN(IF(C2634="Técnico III",35,IF(C2634="Técnico II",28,IF(C2634="Técnico I",23,IF(C2634="JR",20,IF(C2634="Estágio",10,0))))),IF(C2634="Técnico III",SUMIFS($D:$D,$A:$A,$A2634,$B:$B,"&lt;&gt;Patrícia Karla de Sousa Araújo",$B:$B,"&lt;&gt;Lorena Dias de Araujo",$B:$B,"&lt;&gt;Lucas Luiz Romero")*(35/1083),IF(C2634="Técnico II",SUMIFS($D:$D,$A:$A,$A2634,$B:$B,"&lt;&gt;Patrícia Karla de Sousa Araújo",$B:$B,"&lt;&gt;Lorena Dias de Araujo",$B:$B,"&lt;&gt;Lucas Luiz Romero")*(28/1083),IF(C2634="Técnico I",SUMIFS($D:$D,$A:$A,$A2634,$B:$B,"&lt;&gt;Patrícia Karla de Sousa Araújo",$B:$B,"&lt;&gt;Lorena Dias de Araujo",$B:$B,"&lt;&gt;Lucas Luiz Romero")*(23/1083),IF(C2634="JR",SUMIFS($D:$D,$A:$A,$A2634,$B:$B,"&lt;&gt;Patrícia Karla de Sousa Araújo",$B:$B,"&lt;&gt;Lorena Dias de Araujo",$B:$B,"&lt;&gt;Lucas Luiz Romero")*(20/1083),IF(C2634="Estágio",SUMIFS($D:$D,$A:$A,$A2634,$B:$B,"&lt;&gt;Patrícia Karla de Sousa Araújo",$B:$B,"&lt;&gt;Lorena Dias de Araujo",$B:$B,"&lt;&gt;Lucas Luiz Romero")*(10/1083),0)))))),0)</f>
        <v/>
      </c>
      <c r="K2634" s="3">
        <f>I2634-J2634</f>
        <v/>
      </c>
      <c r="L2634" s="3">
        <f>IF(K2634&lt;-5,"CRÍTICO",IF(K2634&lt;0,"ATENÇÃO",IF(K2634&lt;=5,"BOM","EXCELENTE")))</f>
        <v/>
      </c>
      <c r="N2634" t="n">
        <v>98.41</v>
      </c>
      <c r="O2634" t="n">
        <v>28.13852813852814</v>
      </c>
    </row>
    <row r="2635" hidden="1">
      <c r="A2635" s="11" t="n">
        <v>46084</v>
      </c>
      <c r="B2635" t="inlineStr">
        <is>
          <t>Davylla Rodrigues Freitas Silva</t>
        </is>
      </c>
      <c r="C2635" t="inlineStr">
        <is>
          <t>Técnico III</t>
        </is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s="3" t="n">
        <v>0</v>
      </c>
      <c r="J2635" s="3" t="n">
        <v>0</v>
      </c>
      <c r="K2635" s="3" t="n">
        <v>0</v>
      </c>
      <c r="L2635" s="3">
        <f>IF(K2635&lt;-5,"CRÍTICO",IF(K2635&lt;0,"ATENÇÃO",IF(K2635&lt;=5,"BOM","EXCELENTE")))</f>
        <v/>
      </c>
      <c r="N2635" t="n">
        <v>98.73</v>
      </c>
      <c r="O2635" t="n">
        <v>29.14285714285714</v>
      </c>
    </row>
    <row r="2636" hidden="1">
      <c r="A2636" s="11" t="n">
        <v>46084</v>
      </c>
      <c r="B2636" t="inlineStr">
        <is>
          <t>Emilly Caylane Costa</t>
        </is>
      </c>
      <c r="C2636" t="inlineStr">
        <is>
          <t>Estágio</t>
        </is>
      </c>
      <c r="D2636" t="n">
        <v>5</v>
      </c>
      <c r="E2636" t="n">
        <v>5</v>
      </c>
      <c r="F2636" t="n">
        <v>62.16</v>
      </c>
      <c r="G2636" t="n">
        <v>0</v>
      </c>
      <c r="H2636" t="n">
        <v>0</v>
      </c>
      <c r="I2636" s="3">
        <f>E2636+G2636+H2636</f>
        <v/>
      </c>
      <c r="J2636" s="3">
        <f>ROUND(MIN(IF(C2636="Técnico III",35,IF(C2636="Técnico II",28,IF(C2636="Técnico I",23,IF(C2636="JR",20,IF(C2636="Estágio",10,0))))),IF(C2636="Técnico III",SUMIFS($D:$D,$A:$A,$A2636,$B:$B,"&lt;&gt;Patrícia Karla de Sousa Araújo",$B:$B,"&lt;&gt;Lorena Dias de Araujo",$B:$B,"&lt;&gt;Lucas Luiz Romero")*(35/1083),IF(C2636="Técnico II",SUMIFS($D:$D,$A:$A,$A2636,$B:$B,"&lt;&gt;Patrícia Karla de Sousa Araújo",$B:$B,"&lt;&gt;Lorena Dias de Araujo",$B:$B,"&lt;&gt;Lucas Luiz Romero")*(28/1083),IF(C2636="Técnico I",SUMIFS($D:$D,$A:$A,$A2636,$B:$B,"&lt;&gt;Patrícia Karla de Sousa Araújo",$B:$B,"&lt;&gt;Lorena Dias de Araujo",$B:$B,"&lt;&gt;Lucas Luiz Romero")*(23/1083),IF(C2636="JR",SUMIFS($D:$D,$A:$A,$A2636,$B:$B,"&lt;&gt;Patrícia Karla de Sousa Araújo",$B:$B,"&lt;&gt;Lorena Dias de Araujo",$B:$B,"&lt;&gt;Lucas Luiz Romero")*(20/1083),IF(C2636="Estágio",SUMIFS($D:$D,$A:$A,$A2636,$B:$B,"&lt;&gt;Patrícia Karla de Sousa Araújo",$B:$B,"&lt;&gt;Lorena Dias de Araujo",$B:$B,"&lt;&gt;Lucas Luiz Romero")*(10/1083),0)))))),0)</f>
        <v/>
      </c>
      <c r="K2636" s="3">
        <f>I2636-J2636</f>
        <v/>
      </c>
      <c r="L2636" s="3">
        <f>IF(K2636&lt;-5,"CRÍTICO",IF(K2636&lt;0,"ATENÇÃO",IF(K2636&lt;=5,"BOM","EXCELENTE")))</f>
        <v/>
      </c>
      <c r="N2636" t="n">
        <v>90.48</v>
      </c>
      <c r="O2636" t="n">
        <v>20.68965517241379</v>
      </c>
    </row>
    <row r="2637" hidden="1">
      <c r="A2637" s="11" t="n">
        <v>46084</v>
      </c>
      <c r="B2637" t="inlineStr">
        <is>
          <t>Emilly Kamilly Medeiros Miranda</t>
        </is>
      </c>
      <c r="C2637" t="inlineStr">
        <is>
          <t>Técnico II</t>
        </is>
      </c>
      <c r="D2637" t="n">
        <v>44</v>
      </c>
      <c r="E2637" t="n">
        <v>43</v>
      </c>
      <c r="F2637" t="n">
        <v>17.2</v>
      </c>
      <c r="G2637" t="n">
        <v>0</v>
      </c>
      <c r="H2637" t="n">
        <v>0</v>
      </c>
      <c r="I2637" s="3">
        <f>E2637+G2637+H2637</f>
        <v/>
      </c>
      <c r="J2637" s="3">
        <f>ROUND(MIN(IF(C2637="Técnico III",35,IF(C2637="Técnico II",28,IF(C2637="Técnico I",23,IF(C2637="JR",20,IF(C2637="Estágio",10,0))))),IF(C2637="Técnico III",SUMIFS($D:$D,$A:$A,$A2637,$B:$B,"&lt;&gt;Patrícia Karla de Sousa Araújo",$B:$B,"&lt;&gt;Lorena Dias de Araujo",$B:$B,"&lt;&gt;Lucas Luiz Romero")*(35/1083),IF(C2637="Técnico II",SUMIFS($D:$D,$A:$A,$A2637,$B:$B,"&lt;&gt;Patrícia Karla de Sousa Araújo",$B:$B,"&lt;&gt;Lorena Dias de Araujo",$B:$B,"&lt;&gt;Lucas Luiz Romero")*(28/1083),IF(C2637="Técnico I",SUMIFS($D:$D,$A:$A,$A2637,$B:$B,"&lt;&gt;Patrícia Karla de Sousa Araújo",$B:$B,"&lt;&gt;Lorena Dias de Araujo",$B:$B,"&lt;&gt;Lucas Luiz Romero")*(23/1083),IF(C2637="JR",SUMIFS($D:$D,$A:$A,$A2637,$B:$B,"&lt;&gt;Patrícia Karla de Sousa Araújo",$B:$B,"&lt;&gt;Lorena Dias de Araujo",$B:$B,"&lt;&gt;Lucas Luiz Romero")*(20/1083),IF(C2637="Estágio",SUMIFS($D:$D,$A:$A,$A2637,$B:$B,"&lt;&gt;Patrícia Karla de Sousa Araújo",$B:$B,"&lt;&gt;Lorena Dias de Araujo",$B:$B,"&lt;&gt;Lucas Luiz Romero")*(10/1083),0)))))),0)</f>
        <v/>
      </c>
      <c r="K2637" s="3">
        <f>I2637-J2637</f>
        <v/>
      </c>
      <c r="L2637" s="3">
        <f>IF(K2637&lt;-5,"CRÍTICO",IF(K2637&lt;0,"ATENÇÃO",IF(K2637&lt;=5,"BOM","EXCELENTE")))</f>
        <v/>
      </c>
      <c r="N2637" t="n">
        <v>98.06</v>
      </c>
      <c r="O2637" t="n">
        <v>24.78991596638656</v>
      </c>
    </row>
    <row r="2638" hidden="1">
      <c r="A2638" s="11" t="n">
        <v>46084</v>
      </c>
      <c r="B2638" t="inlineStr">
        <is>
          <t>Francielson de Oliveira</t>
        </is>
      </c>
      <c r="C2638" t="inlineStr">
        <is>
          <t>Técnico III</t>
        </is>
      </c>
      <c r="D2638" t="n">
        <v>20</v>
      </c>
      <c r="E2638" t="n">
        <v>18</v>
      </c>
      <c r="F2638" t="n">
        <v>13.25</v>
      </c>
      <c r="G2638" t="n">
        <v>0</v>
      </c>
      <c r="H2638" t="n">
        <v>0</v>
      </c>
      <c r="I2638" s="3">
        <f>E2638+G2638+H2638</f>
        <v/>
      </c>
      <c r="J2638" s="3">
        <f>ROUND(MIN(IF(C2638="Técnico III",35,IF(C2638="Técnico II",28,IF(C2638="Técnico I",23,IF(C2638="JR",20,IF(C2638="Estágio",10,0))))),IF(C2638="Técnico III",SUMIFS($D:$D,$A:$A,$A2638,$B:$B,"&lt;&gt;Patrícia Karla de Sousa Araújo",$B:$B,"&lt;&gt;Lorena Dias de Araujo",$B:$B,"&lt;&gt;Lucas Luiz Romero")*(35/1083),IF(C2638="Técnico II",SUMIFS($D:$D,$A:$A,$A2638,$B:$B,"&lt;&gt;Patrícia Karla de Sousa Araújo",$B:$B,"&lt;&gt;Lorena Dias de Araujo",$B:$B,"&lt;&gt;Lucas Luiz Romero")*(28/1083),IF(C2638="Técnico I",SUMIFS($D:$D,$A:$A,$A2638,$B:$B,"&lt;&gt;Patrícia Karla de Sousa Araújo",$B:$B,"&lt;&gt;Lorena Dias de Araujo",$B:$B,"&lt;&gt;Lucas Luiz Romero")*(23/1083),IF(C2638="JR",SUMIFS($D:$D,$A:$A,$A2638,$B:$B,"&lt;&gt;Patrícia Karla de Sousa Araújo",$B:$B,"&lt;&gt;Lorena Dias de Araujo",$B:$B,"&lt;&gt;Lucas Luiz Romero")*(20/1083),IF(C2638="Estágio",SUMIFS($D:$D,$A:$A,$A2638,$B:$B,"&lt;&gt;Patrícia Karla de Sousa Araújo",$B:$B,"&lt;&gt;Lorena Dias de Araujo",$B:$B,"&lt;&gt;Lucas Luiz Romero")*(10/1083),0)))))),0)</f>
        <v/>
      </c>
      <c r="K2638" s="3">
        <f>I2638-J2638</f>
        <v/>
      </c>
      <c r="L2638" s="3">
        <f>IF(K2638&lt;-5,"CRÍTICO",IF(K2638&lt;0,"ATENÇÃO",IF(K2638&lt;=5,"BOM","EXCELENTE")))</f>
        <v/>
      </c>
      <c r="N2638" t="n">
        <v>97.78</v>
      </c>
      <c r="O2638" t="n">
        <v>25.49407114624506</v>
      </c>
    </row>
    <row r="2639" hidden="1">
      <c r="A2639" s="11" t="n">
        <v>46084</v>
      </c>
      <c r="B2639" t="inlineStr">
        <is>
          <t>Francilene Ferreira de Jesus</t>
        </is>
      </c>
      <c r="C2639" t="inlineStr">
        <is>
          <t>Técnico II</t>
        </is>
      </c>
      <c r="D2639" t="n">
        <v>35</v>
      </c>
      <c r="E2639" t="n">
        <v>34</v>
      </c>
      <c r="F2639" t="n">
        <v>21.41</v>
      </c>
      <c r="G2639" t="n">
        <v>0</v>
      </c>
      <c r="H2639" t="n">
        <v>0</v>
      </c>
      <c r="I2639" s="3">
        <f>E2639+G2639+H2639</f>
        <v/>
      </c>
      <c r="J2639" s="3">
        <f>ROUND(MIN(IF(C2639="Técnico III",35,IF(C2639="Técnico II",28,IF(C2639="Técnico I",23,IF(C2639="JR",20,IF(C2639="Estágio",10,0))))),IF(C2639="Técnico III",SUMIFS($D:$D,$A:$A,$A2639,$B:$B,"&lt;&gt;Patrícia Karla de Sousa Araújo",$B:$B,"&lt;&gt;Lorena Dias de Araujo",$B:$B,"&lt;&gt;Lucas Luiz Romero")*(35/1083),IF(C2639="Técnico II",SUMIFS($D:$D,$A:$A,$A2639,$B:$B,"&lt;&gt;Patrícia Karla de Sousa Araújo",$B:$B,"&lt;&gt;Lorena Dias de Araujo",$B:$B,"&lt;&gt;Lucas Luiz Romero")*(28/1083),IF(C2639="Técnico I",SUMIFS($D:$D,$A:$A,$A2639,$B:$B,"&lt;&gt;Patrícia Karla de Sousa Araújo",$B:$B,"&lt;&gt;Lorena Dias de Araujo",$B:$B,"&lt;&gt;Lucas Luiz Romero")*(23/1083),IF(C2639="JR",SUMIFS($D:$D,$A:$A,$A2639,$B:$B,"&lt;&gt;Patrícia Karla de Sousa Araújo",$B:$B,"&lt;&gt;Lorena Dias de Araujo",$B:$B,"&lt;&gt;Lucas Luiz Romero")*(20/1083),IF(C2639="Estágio",SUMIFS($D:$D,$A:$A,$A2639,$B:$B,"&lt;&gt;Patrícia Karla de Sousa Araújo",$B:$B,"&lt;&gt;Lorena Dias de Araujo",$B:$B,"&lt;&gt;Lucas Luiz Romero")*(10/1083),0)))))),0)</f>
        <v/>
      </c>
      <c r="K2639" s="3">
        <f>I2639-J2639</f>
        <v/>
      </c>
      <c r="L2639" s="3">
        <f>IF(K2639&lt;-5,"CRÍTICO",IF(K2639&lt;0,"ATENÇÃO",IF(K2639&lt;=5,"BOM","EXCELENTE")))</f>
        <v/>
      </c>
      <c r="N2639" t="n">
        <v>98.02</v>
      </c>
      <c r="O2639" t="n">
        <v>23.48484848484848</v>
      </c>
    </row>
    <row r="2640" hidden="1">
      <c r="A2640" s="11" t="n">
        <v>46118</v>
      </c>
      <c r="B2640" t="inlineStr">
        <is>
          <t>Gabriel Gomes de Andrade</t>
        </is>
      </c>
      <c r="C2640" t="inlineStr">
        <is>
          <t>Técnico I</t>
        </is>
      </c>
      <c r="D2640" t="n">
        <v>30</v>
      </c>
      <c r="E2640" t="n">
        <v>26</v>
      </c>
      <c r="F2640" t="n">
        <v>15.1</v>
      </c>
      <c r="G2640" t="n">
        <v>0</v>
      </c>
      <c r="H2640" t="n">
        <v>0</v>
      </c>
      <c r="I2640" s="3">
        <f>E2640+G2640+H2640</f>
        <v/>
      </c>
      <c r="J2640" s="3">
        <f>ROUND(MIN(IF(C2640="Técnico III",35,IF(C2640="Técnico II",28,IF(C2640="Técnico I",23,IF(C2640="JR",20,IF(C2640="Estágio",10,0))))),IF(C2640="Técnico III",SUMIFS($D:$D,$A:$A,$A2640,$B:$B,"&lt;&gt;Patrícia Karla de Sousa Araújo",$B:$B,"&lt;&gt;Lorena Dias de Araujo",$B:$B,"&lt;&gt;Lucas Luiz Romero")*(35/1083),IF(C2640="Técnico II",SUMIFS($D:$D,$A:$A,$A2640,$B:$B,"&lt;&gt;Patrícia Karla de Sousa Araújo",$B:$B,"&lt;&gt;Lorena Dias de Araujo",$B:$B,"&lt;&gt;Lucas Luiz Romero")*(28/1083),IF(C2640="Técnico I",SUMIFS($D:$D,$A:$A,$A2640,$B:$B,"&lt;&gt;Patrícia Karla de Sousa Araújo",$B:$B,"&lt;&gt;Lorena Dias de Araujo",$B:$B,"&lt;&gt;Lucas Luiz Romero")*(23/1083),IF(C2640="JR",SUMIFS($D:$D,$A:$A,$A2640,$B:$B,"&lt;&gt;Patrícia Karla de Sousa Araújo",$B:$B,"&lt;&gt;Lorena Dias de Araujo",$B:$B,"&lt;&gt;Lucas Luiz Romero")*(20/1083),IF(C2640="Estágio",SUMIFS($D:$D,$A:$A,$A2640,$B:$B,"&lt;&gt;Patrícia Karla de Sousa Araújo",$B:$B,"&lt;&gt;Lorena Dias de Araujo",$B:$B,"&lt;&gt;Lucas Luiz Romero")*(10/1083),0)))))),0)</f>
        <v/>
      </c>
      <c r="K2640" s="3">
        <f>I2640-J2640</f>
        <v/>
      </c>
      <c r="L2640" s="3">
        <f>IF(K2640&lt;-5,"CRÍTICO",IF(K2640&lt;0,"ATENÇÃO",IF(K2640&lt;=5,"OPORTUNO","MUITO BOM")))</f>
        <v/>
      </c>
      <c r="N2640" t="n">
        <v>99.28</v>
      </c>
      <c r="O2640" t="n">
        <v>27.68924302788844</v>
      </c>
    </row>
    <row r="2641" hidden="1">
      <c r="A2641" s="11" t="n">
        <v>46084</v>
      </c>
      <c r="B2641" t="inlineStr">
        <is>
          <t>Isabella Borges de Oliveira</t>
        </is>
      </c>
      <c r="C2641" t="inlineStr">
        <is>
          <t>Técnico II</t>
        </is>
      </c>
      <c r="D2641" t="n">
        <v>32</v>
      </c>
      <c r="E2641" t="n">
        <v>31</v>
      </c>
      <c r="F2641" t="n">
        <v>16.51</v>
      </c>
      <c r="G2641" t="n">
        <v>0</v>
      </c>
      <c r="H2641" t="n">
        <v>0</v>
      </c>
      <c r="I2641" s="3">
        <f>E2641+G2641+H2641</f>
        <v/>
      </c>
      <c r="J2641" s="3">
        <f>ROUND(MIN(IF(C2641="Técnico III",35,IF(C2641="Técnico II",28,IF(C2641="Técnico I",23,IF(C2641="JR",20,IF(C2641="Estágio",10,0))))),IF(C2641="Técnico III",SUMIFS($D:$D,$A:$A,$A2641,$B:$B,"&lt;&gt;Patrícia Karla de Sousa Araújo",$B:$B,"&lt;&gt;Lorena Dias de Araujo",$B:$B,"&lt;&gt;Lucas Luiz Romero")*(35/1083),IF(C2641="Técnico II",SUMIFS($D:$D,$A:$A,$A2641,$B:$B,"&lt;&gt;Patrícia Karla de Sousa Araújo",$B:$B,"&lt;&gt;Lorena Dias de Araujo",$B:$B,"&lt;&gt;Lucas Luiz Romero")*(28/1083),IF(C2641="Técnico I",SUMIFS($D:$D,$A:$A,$A2641,$B:$B,"&lt;&gt;Patrícia Karla de Sousa Araújo",$B:$B,"&lt;&gt;Lorena Dias de Araujo",$B:$B,"&lt;&gt;Lucas Luiz Romero")*(23/1083),IF(C2641="JR",SUMIFS($D:$D,$A:$A,$A2641,$B:$B,"&lt;&gt;Patrícia Karla de Sousa Araújo",$B:$B,"&lt;&gt;Lorena Dias de Araujo",$B:$B,"&lt;&gt;Lucas Luiz Romero")*(20/1083),IF(C2641="Estágio",SUMIFS($D:$D,$A:$A,$A2641,$B:$B,"&lt;&gt;Patrícia Karla de Sousa Araújo",$B:$B,"&lt;&gt;Lorena Dias de Araujo",$B:$B,"&lt;&gt;Lucas Luiz Romero")*(10/1083),0)))))),0)</f>
        <v/>
      </c>
      <c r="K2641" s="3">
        <f>I2641-J2641</f>
        <v/>
      </c>
      <c r="L2641" s="3">
        <f>IF(K2641&lt;-5,"CRÍTICO",IF(K2641&lt;0,"ATENÇÃO",IF(K2641&lt;=5,"BOM","EXCELENTE")))</f>
        <v/>
      </c>
      <c r="N2641" t="n">
        <v>100</v>
      </c>
      <c r="O2641" t="n">
        <v>27.04918032786885</v>
      </c>
    </row>
    <row r="2642" hidden="1">
      <c r="A2642" s="11" t="n">
        <v>46084</v>
      </c>
      <c r="B2642" t="inlineStr">
        <is>
          <t>Janaina Lima dos Reis Urany</t>
        </is>
      </c>
      <c r="C2642" t="inlineStr">
        <is>
          <t>Técnico III</t>
        </is>
      </c>
      <c r="D2642" t="n">
        <v>46</v>
      </c>
      <c r="E2642" t="n">
        <v>42</v>
      </c>
      <c r="F2642" t="n">
        <v>15.35</v>
      </c>
      <c r="G2642" t="n">
        <v>0</v>
      </c>
      <c r="H2642" t="n">
        <v>0</v>
      </c>
      <c r="I2642" s="3">
        <f>E2642+G2642+H2642</f>
        <v/>
      </c>
      <c r="J2642" s="3">
        <f>ROUND(MIN(IF(C2642="Técnico III",35,IF(C2642="Técnico II",28,IF(C2642="Técnico I",23,IF(C2642="JR",20,IF(C2642="Estágio",10,0))))),IF(C2642="Técnico III",SUMIFS($D:$D,$A:$A,$A2642,$B:$B,"&lt;&gt;Patrícia Karla de Sousa Araújo",$B:$B,"&lt;&gt;Lorena Dias de Araujo",$B:$B,"&lt;&gt;Lucas Luiz Romero")*(35/1083),IF(C2642="Técnico II",SUMIFS($D:$D,$A:$A,$A2642,$B:$B,"&lt;&gt;Patrícia Karla de Sousa Araújo",$B:$B,"&lt;&gt;Lorena Dias de Araujo",$B:$B,"&lt;&gt;Lucas Luiz Romero")*(28/1083),IF(C2642="Técnico I",SUMIFS($D:$D,$A:$A,$A2642,$B:$B,"&lt;&gt;Patrícia Karla de Sousa Araújo",$B:$B,"&lt;&gt;Lorena Dias de Araujo",$B:$B,"&lt;&gt;Lucas Luiz Romero")*(23/1083),IF(C2642="JR",SUMIFS($D:$D,$A:$A,$A2642,$B:$B,"&lt;&gt;Patrícia Karla de Sousa Araújo",$B:$B,"&lt;&gt;Lorena Dias de Araujo",$B:$B,"&lt;&gt;Lucas Luiz Romero")*(20/1083),IF(C2642="Estágio",SUMIFS($D:$D,$A:$A,$A2642,$B:$B,"&lt;&gt;Patrícia Karla de Sousa Araújo",$B:$B,"&lt;&gt;Lorena Dias de Araujo",$B:$B,"&lt;&gt;Lucas Luiz Romero")*(10/1083),0)))))),0)</f>
        <v/>
      </c>
      <c r="K2642" s="3">
        <f>I2642-J2642</f>
        <v/>
      </c>
      <c r="L2642" s="3">
        <f>IF(K2642&lt;-5,"CRÍTICO",IF(K2642&lt;0,"ATENÇÃO",IF(K2642&lt;=5,"BOM","EXCELENTE")))</f>
        <v/>
      </c>
      <c r="N2642" t="n">
        <v>97.83</v>
      </c>
      <c r="O2642" t="n">
        <v>26.31578947368421</v>
      </c>
    </row>
    <row r="2643" hidden="1">
      <c r="A2643" s="11" t="n">
        <v>46084</v>
      </c>
      <c r="B2643" t="inlineStr">
        <is>
          <t>Jaqueline Evangelista da Silva Martins</t>
        </is>
      </c>
      <c r="C2643" t="inlineStr">
        <is>
          <t>Técnico III</t>
        </is>
      </c>
      <c r="D2643" t="n">
        <v>4</v>
      </c>
      <c r="E2643" t="n">
        <v>3</v>
      </c>
      <c r="F2643" t="n">
        <v>15.16</v>
      </c>
      <c r="G2643" t="n">
        <v>0</v>
      </c>
      <c r="H2643" t="n">
        <v>0</v>
      </c>
      <c r="I2643" s="3">
        <f>E2643+G2643+H2643</f>
        <v/>
      </c>
      <c r="J2643" s="3">
        <f>ROUND(MIN(IF(C2643="Técnico III",35,IF(C2643="Técnico II",28,IF(C2643="Técnico I",23,IF(C2643="JR",20,IF(C2643="Estágio",10,0))))),IF(C2643="Técnico III",SUMIFS($D:$D,$A:$A,$A2643,$B:$B,"&lt;&gt;Patrícia Karla de Sousa Araújo",$B:$B,"&lt;&gt;Lorena Dias de Araujo",$B:$B,"&lt;&gt;Lucas Luiz Romero")*(35/1083),IF(C2643="Técnico II",SUMIFS($D:$D,$A:$A,$A2643,$B:$B,"&lt;&gt;Patrícia Karla de Sousa Araújo",$B:$B,"&lt;&gt;Lorena Dias de Araujo",$B:$B,"&lt;&gt;Lucas Luiz Romero")*(28/1083),IF(C2643="Técnico I",SUMIFS($D:$D,$A:$A,$A2643,$B:$B,"&lt;&gt;Patrícia Karla de Sousa Araújo",$B:$B,"&lt;&gt;Lorena Dias de Araujo",$B:$B,"&lt;&gt;Lucas Luiz Romero")*(23/1083),IF(C2643="JR",SUMIFS($D:$D,$A:$A,$A2643,$B:$B,"&lt;&gt;Patrícia Karla de Sousa Araújo",$B:$B,"&lt;&gt;Lorena Dias de Araujo",$B:$B,"&lt;&gt;Lucas Luiz Romero")*(20/1083),IF(C2643="Estágio",SUMIFS($D:$D,$A:$A,$A2643,$B:$B,"&lt;&gt;Patrícia Karla de Sousa Araújo",$B:$B,"&lt;&gt;Lorena Dias de Araujo",$B:$B,"&lt;&gt;Lucas Luiz Romero")*(10/1083),0)))))),0)</f>
        <v/>
      </c>
      <c r="K2643" s="3">
        <f>I2643-J2643</f>
        <v/>
      </c>
      <c r="L2643" s="3">
        <f>IF(K2643&lt;-5,"CRÍTICO",IF(K2643&lt;0,"ATENÇÃO",IF(K2643&lt;=5,"BOM","EXCELENTE")))</f>
        <v/>
      </c>
      <c r="N2643" t="n">
        <v>100</v>
      </c>
      <c r="O2643" t="n">
        <v>26.70157068062827</v>
      </c>
    </row>
    <row r="2644" hidden="1">
      <c r="A2644" s="11" t="n">
        <v>46084</v>
      </c>
      <c r="B2644" t="inlineStr">
        <is>
          <t>Jessica Faria da Silveira</t>
        </is>
      </c>
      <c r="C2644" t="inlineStr">
        <is>
          <t>Técnico II</t>
        </is>
      </c>
      <c r="D2644" t="n">
        <v>34</v>
      </c>
      <c r="E2644" t="n">
        <v>31</v>
      </c>
      <c r="F2644" t="n">
        <v>18.54</v>
      </c>
      <c r="G2644" t="n">
        <v>0</v>
      </c>
      <c r="H2644" t="n">
        <v>0</v>
      </c>
      <c r="I2644" s="3">
        <f>E2644+G2644+H2644</f>
        <v/>
      </c>
      <c r="J2644" s="3">
        <f>ROUND(MIN(IF(C2644="Técnico III",35,IF(C2644="Técnico II",28,IF(C2644="Técnico I",23,IF(C2644="JR",20,IF(C2644="Estágio",10,0))))),IF(C2644="Técnico III",SUMIFS($D:$D,$A:$A,$A2644,$B:$B,"&lt;&gt;Patrícia Karla de Sousa Araújo",$B:$B,"&lt;&gt;Lorena Dias de Araujo",$B:$B,"&lt;&gt;Lucas Luiz Romero")*(35/1083),IF(C2644="Técnico II",SUMIFS($D:$D,$A:$A,$A2644,$B:$B,"&lt;&gt;Patrícia Karla de Sousa Araújo",$B:$B,"&lt;&gt;Lorena Dias de Araujo",$B:$B,"&lt;&gt;Lucas Luiz Romero")*(28/1083),IF(C2644="Técnico I",SUMIFS($D:$D,$A:$A,$A2644,$B:$B,"&lt;&gt;Patrícia Karla de Sousa Araújo",$B:$B,"&lt;&gt;Lorena Dias de Araujo",$B:$B,"&lt;&gt;Lucas Luiz Romero")*(23/1083),IF(C2644="JR",SUMIFS($D:$D,$A:$A,$A2644,$B:$B,"&lt;&gt;Patrícia Karla de Sousa Araújo",$B:$B,"&lt;&gt;Lorena Dias de Araujo",$B:$B,"&lt;&gt;Lucas Luiz Romero")*(20/1083),IF(C2644="Estágio",SUMIFS($D:$D,$A:$A,$A2644,$B:$B,"&lt;&gt;Patrícia Karla de Sousa Araújo",$B:$B,"&lt;&gt;Lorena Dias de Araujo",$B:$B,"&lt;&gt;Lucas Luiz Romero")*(10/1083),0)))))),0)</f>
        <v/>
      </c>
      <c r="K2644" s="3">
        <f>I2644-J2644</f>
        <v/>
      </c>
      <c r="L2644" s="3">
        <f>IF(K2644&lt;-5,"CRÍTICO",IF(K2644&lt;0,"ATENÇÃO",IF(K2644&lt;=5,"BOM","EXCELENTE")))</f>
        <v/>
      </c>
      <c r="N2644" t="n">
        <v>97.47</v>
      </c>
      <c r="O2644" t="n">
        <v>22.88732394366197</v>
      </c>
    </row>
    <row r="2645" hidden="1">
      <c r="A2645" s="11" t="n">
        <v>46084</v>
      </c>
      <c r="B2645" t="inlineStr">
        <is>
          <t>Jéssica Fé Moura</t>
        </is>
      </c>
      <c r="C2645" t="inlineStr">
        <is>
          <t>Técnico III</t>
        </is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s="3" t="n">
        <v>0</v>
      </c>
      <c r="J2645" s="3" t="n">
        <v>0</v>
      </c>
      <c r="K2645" s="3" t="n">
        <v>0</v>
      </c>
      <c r="L2645" s="3">
        <f>IF(K2645&lt;-5,"CRÍTICO",IF(K2645&lt;0,"ATENÇÃO",IF(K2645&lt;=5,"BOM","EXCELENTE")))</f>
        <v/>
      </c>
      <c r="N2645" t="n">
        <v>0</v>
      </c>
      <c r="O2645" t="n">
        <v>0</v>
      </c>
    </row>
    <row r="2646" hidden="1">
      <c r="A2646" s="11" t="n">
        <v>46084</v>
      </c>
      <c r="B2646" t="inlineStr">
        <is>
          <t>Karina Gonçalves Martins</t>
        </is>
      </c>
      <c r="C2646" t="inlineStr">
        <is>
          <t>JR</t>
        </is>
      </c>
      <c r="D2646" t="n">
        <v>14</v>
      </c>
      <c r="E2646" t="n">
        <v>14</v>
      </c>
      <c r="F2646" t="n">
        <v>26.42</v>
      </c>
      <c r="G2646" t="n">
        <v>0</v>
      </c>
      <c r="H2646" t="n">
        <v>0</v>
      </c>
      <c r="I2646" s="3">
        <f>E2646+G2646+H2646</f>
        <v/>
      </c>
      <c r="J2646" s="3">
        <f>ROUND(MIN(IF(C2646="Técnico III",35,IF(C2646="Técnico II",28,IF(C2646="Técnico I",23,IF(C2646="JR",20,IF(C2646="Estágio",10,0))))),IF(C2646="Técnico III",SUMIFS($D:$D,$A:$A,$A2646,$B:$B,"&lt;&gt;Patrícia Karla de Sousa Araújo",$B:$B,"&lt;&gt;Lorena Dias de Araujo",$B:$B,"&lt;&gt;Lucas Luiz Romero")*(35/1083),IF(C2646="Técnico II",SUMIFS($D:$D,$A:$A,$A2646,$B:$B,"&lt;&gt;Patrícia Karla de Sousa Araújo",$B:$B,"&lt;&gt;Lorena Dias de Araujo",$B:$B,"&lt;&gt;Lucas Luiz Romero")*(28/1083),IF(C2646="Técnico I",SUMIFS($D:$D,$A:$A,$A2646,$B:$B,"&lt;&gt;Patrícia Karla de Sousa Araújo",$B:$B,"&lt;&gt;Lorena Dias de Araujo",$B:$B,"&lt;&gt;Lucas Luiz Romero")*(23/1083),IF(C2646="JR",SUMIFS($D:$D,$A:$A,$A2646,$B:$B,"&lt;&gt;Patrícia Karla de Sousa Araújo",$B:$B,"&lt;&gt;Lorena Dias de Araujo",$B:$B,"&lt;&gt;Lucas Luiz Romero")*(20/1083),IF(C2646="Estágio",SUMIFS($D:$D,$A:$A,$A2646,$B:$B,"&lt;&gt;Patrícia Karla de Sousa Araújo",$B:$B,"&lt;&gt;Lorena Dias de Araujo",$B:$B,"&lt;&gt;Lucas Luiz Romero")*(10/1083),0)))))),0)</f>
        <v/>
      </c>
      <c r="K2646" s="3">
        <f>I2646-J2646</f>
        <v/>
      </c>
      <c r="L2646" s="3">
        <f>IF(K2646&lt;-5,"CRÍTICO",IF(K2646&lt;0,"ATENÇÃO",IF(K2646&lt;=5,"BOM","EXCELENTE")))</f>
        <v/>
      </c>
      <c r="N2646" t="n">
        <v>98.31</v>
      </c>
      <c r="O2646" t="n">
        <v>24.92012779552715</v>
      </c>
    </row>
    <row r="2647" hidden="1">
      <c r="A2647" s="11" t="n">
        <v>46084</v>
      </c>
      <c r="B2647" t="inlineStr">
        <is>
          <t>Kerollen Cristielly de Jesus Siqueira</t>
        </is>
      </c>
      <c r="C2647" t="inlineStr">
        <is>
          <t>Técnico III</t>
        </is>
      </c>
      <c r="D2647" t="n">
        <v>2</v>
      </c>
      <c r="E2647" t="n">
        <v>2</v>
      </c>
      <c r="F2647" t="n">
        <v>27.01</v>
      </c>
      <c r="G2647" t="n">
        <v>0</v>
      </c>
      <c r="H2647" t="n">
        <v>0</v>
      </c>
      <c r="I2647" s="3">
        <f>E2647+G2647+H2647</f>
        <v/>
      </c>
      <c r="J2647" s="3">
        <f>ROUND(MIN(IF(C2647="Técnico III",35,IF(C2647="Técnico II",28,IF(C2647="Técnico I",23,IF(C2647="JR",20,IF(C2647="Estágio",10,0))))),IF(C2647="Técnico III",SUMIFS($D:$D,$A:$A,$A2647,$B:$B,"&lt;&gt;Patrícia Karla de Sousa Araújo",$B:$B,"&lt;&gt;Lorena Dias de Araujo",$B:$B,"&lt;&gt;Lucas Luiz Romero")*(35/1083),IF(C2647="Técnico II",SUMIFS($D:$D,$A:$A,$A2647,$B:$B,"&lt;&gt;Patrícia Karla de Sousa Araújo",$B:$B,"&lt;&gt;Lorena Dias de Araujo",$B:$B,"&lt;&gt;Lucas Luiz Romero")*(28/1083),IF(C2647="Técnico I",SUMIFS($D:$D,$A:$A,$A2647,$B:$B,"&lt;&gt;Patrícia Karla de Sousa Araújo",$B:$B,"&lt;&gt;Lorena Dias de Araujo",$B:$B,"&lt;&gt;Lucas Luiz Romero")*(23/1083),IF(C2647="JR",SUMIFS($D:$D,$A:$A,$A2647,$B:$B,"&lt;&gt;Patrícia Karla de Sousa Araújo",$B:$B,"&lt;&gt;Lorena Dias de Araujo",$B:$B,"&lt;&gt;Lucas Luiz Romero")*(20/1083),IF(C2647="Estágio",SUMIFS($D:$D,$A:$A,$A2647,$B:$B,"&lt;&gt;Patrícia Karla de Sousa Araújo",$B:$B,"&lt;&gt;Lorena Dias de Araujo",$B:$B,"&lt;&gt;Lucas Luiz Romero")*(10/1083),0)))))),0)</f>
        <v/>
      </c>
      <c r="K2647" s="3">
        <f>I2647-J2647</f>
        <v/>
      </c>
      <c r="L2647" s="3">
        <f>IF(K2647&lt;-5,"CRÍTICO",IF(K2647&lt;0,"ATENÇÃO",IF(K2647&lt;=5,"BOM","EXCELENTE")))</f>
        <v/>
      </c>
      <c r="N2647" t="n">
        <v>96.81</v>
      </c>
      <c r="O2647" t="n">
        <v>32.36514522821577</v>
      </c>
    </row>
    <row r="2648" hidden="1">
      <c r="A2648" s="11" t="n">
        <v>46084</v>
      </c>
      <c r="B2648" t="inlineStr">
        <is>
          <t>Leandro de Souza Silva</t>
        </is>
      </c>
      <c r="C2648" t="inlineStr">
        <is>
          <t>JR</t>
        </is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s="3" t="n">
        <v>0</v>
      </c>
      <c r="J2648" s="3" t="n">
        <v>0</v>
      </c>
      <c r="K2648" s="3" t="n">
        <v>0</v>
      </c>
      <c r="L2648" s="3">
        <f>IF(K2648&lt;-5,"CRÍTICO",IF(K2648&lt;0,"ATENÇÃO",IF(K2648&lt;=5,"BOM","EXCELENTE")))</f>
        <v/>
      </c>
      <c r="N2648" t="n">
        <v>100</v>
      </c>
      <c r="O2648" t="n">
        <v>26.47058823529412</v>
      </c>
    </row>
    <row r="2649" hidden="1">
      <c r="A2649" s="11" t="n">
        <v>46084</v>
      </c>
      <c r="B2649" t="inlineStr">
        <is>
          <t>Leandro Oliveira de Sousa</t>
        </is>
      </c>
      <c r="C2649" t="inlineStr">
        <is>
          <t>Técnico III</t>
        </is>
      </c>
      <c r="D2649" t="n">
        <v>4</v>
      </c>
      <c r="E2649" t="n">
        <v>4</v>
      </c>
      <c r="F2649" t="n">
        <v>25.43</v>
      </c>
      <c r="G2649" t="n">
        <v>0</v>
      </c>
      <c r="H2649" t="n">
        <v>0</v>
      </c>
      <c r="I2649" s="3">
        <f>E2649+G2649+H2649</f>
        <v/>
      </c>
      <c r="J2649" s="3">
        <f>ROUND(MIN(IF(C2649="Técnico III",35,IF(C2649="Técnico II",28,IF(C2649="Técnico I",23,IF(C2649="JR",20,IF(C2649="Estágio",10,0))))),IF(C2649="Técnico III",SUMIFS($D:$D,$A:$A,$A2649,$B:$B,"&lt;&gt;Patrícia Karla de Sousa Araújo",$B:$B,"&lt;&gt;Lorena Dias de Araujo",$B:$B,"&lt;&gt;Lucas Luiz Romero")*(35/1083),IF(C2649="Técnico II",SUMIFS($D:$D,$A:$A,$A2649,$B:$B,"&lt;&gt;Patrícia Karla de Sousa Araújo",$B:$B,"&lt;&gt;Lorena Dias de Araujo",$B:$B,"&lt;&gt;Lucas Luiz Romero")*(28/1083),IF(C2649="Técnico I",SUMIFS($D:$D,$A:$A,$A2649,$B:$B,"&lt;&gt;Patrícia Karla de Sousa Araújo",$B:$B,"&lt;&gt;Lorena Dias de Araujo",$B:$B,"&lt;&gt;Lucas Luiz Romero")*(23/1083),IF(C2649="JR",SUMIFS($D:$D,$A:$A,$A2649,$B:$B,"&lt;&gt;Patrícia Karla de Sousa Araújo",$B:$B,"&lt;&gt;Lorena Dias de Araujo",$B:$B,"&lt;&gt;Lucas Luiz Romero")*(20/1083),IF(C2649="Estágio",SUMIFS($D:$D,$A:$A,$A2649,$B:$B,"&lt;&gt;Patrícia Karla de Sousa Araújo",$B:$B,"&lt;&gt;Lorena Dias de Araujo",$B:$B,"&lt;&gt;Lucas Luiz Romero")*(10/1083),0)))))),0)</f>
        <v/>
      </c>
      <c r="K2649" s="3">
        <f>I2649-J2649</f>
        <v/>
      </c>
      <c r="L2649" s="3">
        <f>IF(K2649&lt;-5,"CRÍTICO",IF(K2649&lt;0,"ATENÇÃO",IF(K2649&lt;=5,"BOM","EXCELENTE")))</f>
        <v/>
      </c>
      <c r="N2649" t="n">
        <v>100</v>
      </c>
      <c r="O2649" t="n">
        <v>28.49002849002849</v>
      </c>
    </row>
    <row r="2650" hidden="1">
      <c r="A2650" s="11" t="n">
        <v>46084</v>
      </c>
      <c r="B2650" t="inlineStr">
        <is>
          <t>Lizandra Gomes Duarte</t>
        </is>
      </c>
      <c r="C2650" t="inlineStr">
        <is>
          <t>Técnico II</t>
        </is>
      </c>
      <c r="D2650" t="n">
        <v>30</v>
      </c>
      <c r="E2650" t="n">
        <v>25</v>
      </c>
      <c r="F2650" t="n">
        <v>20.04</v>
      </c>
      <c r="G2650" t="n">
        <v>0</v>
      </c>
      <c r="H2650" t="n">
        <v>0</v>
      </c>
      <c r="I2650" s="3">
        <f>E2650+G2650+H2650</f>
        <v/>
      </c>
      <c r="J2650" s="3">
        <f>ROUND(MIN(IF(C2650="Técnico III",35,IF(C2650="Técnico II",28,IF(C2650="Técnico I",23,IF(C2650="JR",20,IF(C2650="Estágio",10,0))))),IF(C2650="Técnico III",SUMIFS($D:$D,$A:$A,$A2650,$B:$B,"&lt;&gt;Patrícia Karla de Sousa Araújo",$B:$B,"&lt;&gt;Lorena Dias de Araujo",$B:$B,"&lt;&gt;Lucas Luiz Romero")*(35/1083),IF(C2650="Técnico II",SUMIFS($D:$D,$A:$A,$A2650,$B:$B,"&lt;&gt;Patrícia Karla de Sousa Araújo",$B:$B,"&lt;&gt;Lorena Dias de Araujo",$B:$B,"&lt;&gt;Lucas Luiz Romero")*(28/1083),IF(C2650="Técnico I",SUMIFS($D:$D,$A:$A,$A2650,$B:$B,"&lt;&gt;Patrícia Karla de Sousa Araújo",$B:$B,"&lt;&gt;Lorena Dias de Araujo",$B:$B,"&lt;&gt;Lucas Luiz Romero")*(23/1083),IF(C2650="JR",SUMIFS($D:$D,$A:$A,$A2650,$B:$B,"&lt;&gt;Patrícia Karla de Sousa Araújo",$B:$B,"&lt;&gt;Lorena Dias de Araujo",$B:$B,"&lt;&gt;Lucas Luiz Romero")*(20/1083),IF(C2650="Estágio",SUMIFS($D:$D,$A:$A,$A2650,$B:$B,"&lt;&gt;Patrícia Karla de Sousa Araújo",$B:$B,"&lt;&gt;Lorena Dias de Araujo",$B:$B,"&lt;&gt;Lucas Luiz Romero")*(10/1083),0)))))),0)</f>
        <v/>
      </c>
      <c r="K2650" s="3">
        <f>I2650-J2650</f>
        <v/>
      </c>
      <c r="L2650" s="3">
        <f>IF(K2650&lt;-5,"CRÍTICO",IF(K2650&lt;0,"ATENÇÃO",IF(K2650&lt;=5,"BOM","EXCELENTE")))</f>
        <v/>
      </c>
      <c r="N2650" t="n">
        <v>99.14</v>
      </c>
      <c r="O2650" t="n">
        <v>27.2289156626506</v>
      </c>
    </row>
    <row r="2651" hidden="1">
      <c r="A2651" s="11" t="n">
        <v>46084</v>
      </c>
      <c r="B2651" t="inlineStr">
        <is>
          <t>Lorena Dias de Araujo</t>
        </is>
      </c>
      <c r="C2651" t="inlineStr">
        <is>
          <t>Técnico II</t>
        </is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s="3" t="n">
        <v>0</v>
      </c>
      <c r="J2651" s="3" t="n">
        <v>0</v>
      </c>
      <c r="K2651" s="3" t="n">
        <v>0</v>
      </c>
      <c r="L2651" s="3">
        <f>IF(K2651&lt;-5,"CRÍTICO",IF(K2651&lt;0,"ATENÇÃO",IF(K2651&lt;=5,"BOM","EXCELENTE")))</f>
        <v/>
      </c>
      <c r="N2651" t="n">
        <v>97.52</v>
      </c>
      <c r="O2651" t="n">
        <v>28.2051282051282</v>
      </c>
    </row>
    <row r="2652" hidden="1">
      <c r="A2652" s="11" t="n">
        <v>46084</v>
      </c>
      <c r="B2652" t="inlineStr">
        <is>
          <t>Lucas Luiz Romero</t>
        </is>
      </c>
      <c r="C2652" t="inlineStr">
        <is>
          <t>Técnico III</t>
        </is>
      </c>
      <c r="D2652" t="n">
        <v>44</v>
      </c>
      <c r="E2652" t="n">
        <v>38</v>
      </c>
      <c r="F2652" t="n">
        <v>17.2</v>
      </c>
      <c r="G2652" t="n">
        <v>0</v>
      </c>
      <c r="H2652" t="n">
        <v>0</v>
      </c>
      <c r="I2652" s="3">
        <f>E2652+G2652+H2652</f>
        <v/>
      </c>
      <c r="J2652" s="3">
        <f>ROUND(MIN(IF(C2652="Técnico III",35,IF(C2652="Técnico II",28,IF(C2652="Técnico I",23,IF(C2652="JR",20,IF(C2652="Estágio",10,0))))),IF(C2652="Técnico III",SUMIFS($D:$D,$A:$A,$A2652,$B:$B,"&lt;&gt;Patrícia Karla de Sousa Araújo",$B:$B,"&lt;&gt;Lorena Dias de Araujo",$B:$B,"&lt;&gt;Lucas Luiz Romero")*(35/1083),IF(C2652="Técnico II",SUMIFS($D:$D,$A:$A,$A2652,$B:$B,"&lt;&gt;Patrícia Karla de Sousa Araújo",$B:$B,"&lt;&gt;Lorena Dias de Araujo",$B:$B,"&lt;&gt;Lucas Luiz Romero")*(28/1083),IF(C2652="Técnico I",SUMIFS($D:$D,$A:$A,$A2652,$B:$B,"&lt;&gt;Patrícia Karla de Sousa Araújo",$B:$B,"&lt;&gt;Lorena Dias de Araujo",$B:$B,"&lt;&gt;Lucas Luiz Romero")*(23/1083),IF(C2652="JR",SUMIFS($D:$D,$A:$A,$A2652,$B:$B,"&lt;&gt;Patrícia Karla de Sousa Araújo",$B:$B,"&lt;&gt;Lorena Dias de Araujo",$B:$B,"&lt;&gt;Lucas Luiz Romero")*(20/1083),IF(C2652="Estágio",SUMIFS($D:$D,$A:$A,$A2652,$B:$B,"&lt;&gt;Patrícia Karla de Sousa Araújo",$B:$B,"&lt;&gt;Lorena Dias de Araujo",$B:$B,"&lt;&gt;Lucas Luiz Romero")*(10/1083),0)))))),0)</f>
        <v/>
      </c>
      <c r="K2652" s="3">
        <f>I2652-J2652</f>
        <v/>
      </c>
      <c r="L2652" s="3">
        <f>IF(K2652&lt;-5,"CRÍTICO",IF(K2652&lt;0,"ATENÇÃO",IF(K2652&lt;=5,"BOM","EXCELENTE")))</f>
        <v/>
      </c>
      <c r="N2652" t="n">
        <v>90</v>
      </c>
      <c r="O2652" t="n">
        <v>24.18604651162791</v>
      </c>
    </row>
    <row r="2653" hidden="1">
      <c r="A2653" s="11" t="n">
        <v>46084</v>
      </c>
      <c r="B2653" t="inlineStr">
        <is>
          <t>Luiz Fernando de Carvalho Junior</t>
        </is>
      </c>
      <c r="C2653" t="inlineStr">
        <is>
          <t>Técnico I</t>
        </is>
      </c>
      <c r="D2653" t="n">
        <v>26</v>
      </c>
      <c r="E2653" t="n">
        <v>23</v>
      </c>
      <c r="F2653" t="n">
        <v>22.02</v>
      </c>
      <c r="G2653" t="n">
        <v>0</v>
      </c>
      <c r="H2653" t="n">
        <v>0</v>
      </c>
      <c r="I2653" s="3">
        <f>E2653+G2653+H2653</f>
        <v/>
      </c>
      <c r="J2653" s="3">
        <f>ROUND(MIN(IF(C2653="Técnico III",35,IF(C2653="Técnico II",28,IF(C2653="Técnico I",23,IF(C2653="JR",20,IF(C2653="Estágio",10,0))))),IF(C2653="Técnico III",SUMIFS($D:$D,$A:$A,$A2653,$B:$B,"&lt;&gt;Patrícia Karla de Sousa Araújo",$B:$B,"&lt;&gt;Lorena Dias de Araujo",$B:$B,"&lt;&gt;Lucas Luiz Romero")*(35/1083),IF(C2653="Técnico II",SUMIFS($D:$D,$A:$A,$A2653,$B:$B,"&lt;&gt;Patrícia Karla de Sousa Araújo",$B:$B,"&lt;&gt;Lorena Dias de Araujo",$B:$B,"&lt;&gt;Lucas Luiz Romero")*(28/1083),IF(C2653="Técnico I",SUMIFS($D:$D,$A:$A,$A2653,$B:$B,"&lt;&gt;Patrícia Karla de Sousa Araújo",$B:$B,"&lt;&gt;Lorena Dias de Araujo",$B:$B,"&lt;&gt;Lucas Luiz Romero")*(23/1083),IF(C2653="JR",SUMIFS($D:$D,$A:$A,$A2653,$B:$B,"&lt;&gt;Patrícia Karla de Sousa Araújo",$B:$B,"&lt;&gt;Lorena Dias de Araujo",$B:$B,"&lt;&gt;Lucas Luiz Romero")*(20/1083),IF(C2653="Estágio",SUMIFS($D:$D,$A:$A,$A2653,$B:$B,"&lt;&gt;Patrícia Karla de Sousa Araújo",$B:$B,"&lt;&gt;Lorena Dias de Araujo",$B:$B,"&lt;&gt;Lucas Luiz Romero")*(10/1083),0)))))),0)</f>
        <v/>
      </c>
      <c r="K2653" s="3">
        <f>I2653-J2653</f>
        <v/>
      </c>
      <c r="L2653" s="3">
        <f>IF(K2653&lt;-5,"CRÍTICO",IF(K2653&lt;0,"ATENÇÃO",IF(K2653&lt;=5,"BOM","EXCELENTE")))</f>
        <v/>
      </c>
      <c r="N2653" t="n">
        <v>98.90000000000001</v>
      </c>
      <c r="O2653" t="n">
        <v>26.7639902676399</v>
      </c>
    </row>
    <row r="2654" hidden="1">
      <c r="A2654" s="11" t="n">
        <v>46084</v>
      </c>
      <c r="B2654" t="inlineStr">
        <is>
          <t>Maria Eduarda Sousa Costa</t>
        </is>
      </c>
      <c r="C2654" t="inlineStr">
        <is>
          <t>Estágio</t>
        </is>
      </c>
      <c r="D2654" t="n">
        <v>9</v>
      </c>
      <c r="E2654" t="n">
        <v>7</v>
      </c>
      <c r="F2654" t="n">
        <v>26.4</v>
      </c>
      <c r="G2654" t="n">
        <v>0</v>
      </c>
      <c r="H2654" t="n">
        <v>0</v>
      </c>
      <c r="I2654" s="3">
        <f>E2654+G2654+H2654</f>
        <v/>
      </c>
      <c r="J2654" s="3">
        <f>ROUND(MIN(IF(C2654="Técnico III",35,IF(C2654="Técnico II",28,IF(C2654="Técnico I",23,IF(C2654="JR",20,IF(C2654="Estágio",10,0))))),IF(C2654="Técnico III",SUMIFS($D:$D,$A:$A,$A2654,$B:$B,"&lt;&gt;Patrícia Karla de Sousa Araújo",$B:$B,"&lt;&gt;Lorena Dias de Araujo",$B:$B,"&lt;&gt;Lucas Luiz Romero")*(35/1083),IF(C2654="Técnico II",SUMIFS($D:$D,$A:$A,$A2654,$B:$B,"&lt;&gt;Patrícia Karla de Sousa Araújo",$B:$B,"&lt;&gt;Lorena Dias de Araujo",$B:$B,"&lt;&gt;Lucas Luiz Romero")*(28/1083),IF(C2654="Técnico I",SUMIFS($D:$D,$A:$A,$A2654,$B:$B,"&lt;&gt;Patrícia Karla de Sousa Araújo",$B:$B,"&lt;&gt;Lorena Dias de Araujo",$B:$B,"&lt;&gt;Lucas Luiz Romero")*(23/1083),IF(C2654="JR",SUMIFS($D:$D,$A:$A,$A2654,$B:$B,"&lt;&gt;Patrícia Karla de Sousa Araújo",$B:$B,"&lt;&gt;Lorena Dias de Araujo",$B:$B,"&lt;&gt;Lucas Luiz Romero")*(20/1083),IF(C2654="Estágio",SUMIFS($D:$D,$A:$A,$A2654,$B:$B,"&lt;&gt;Patrícia Karla de Sousa Araújo",$B:$B,"&lt;&gt;Lorena Dias de Araujo",$B:$B,"&lt;&gt;Lucas Luiz Romero")*(10/1083),0)))))),0)</f>
        <v/>
      </c>
      <c r="K2654" s="3">
        <f>I2654-J2654</f>
        <v/>
      </c>
      <c r="L2654" s="3">
        <f>IF(K2654&lt;-5,"CRÍTICO",IF(K2654&lt;0,"ATENÇÃO",IF(K2654&lt;=5,"BOM","EXCELENTE")))</f>
        <v/>
      </c>
      <c r="N2654" t="n">
        <v>88.89</v>
      </c>
      <c r="O2654" t="n">
        <v>25.26315789473684</v>
      </c>
    </row>
    <row r="2655" hidden="1">
      <c r="A2655" s="11" t="n">
        <v>46084</v>
      </c>
      <c r="B2655" t="inlineStr">
        <is>
          <t>Matheus Farias De Souza</t>
        </is>
      </c>
      <c r="C2655" t="inlineStr">
        <is>
          <t>Técnico III</t>
        </is>
      </c>
      <c r="D2655" t="n">
        <v>32</v>
      </c>
      <c r="E2655" t="n">
        <v>30</v>
      </c>
      <c r="F2655" t="n">
        <v>19.1</v>
      </c>
      <c r="G2655" t="n">
        <v>0</v>
      </c>
      <c r="H2655" t="n">
        <v>0</v>
      </c>
      <c r="I2655" s="3">
        <f>E2655+G2655+H2655</f>
        <v/>
      </c>
      <c r="J2655" s="3">
        <f>ROUND(MIN(IF(C2655="Técnico III",35,IF(C2655="Técnico II",28,IF(C2655="Técnico I",23,IF(C2655="JR",20,IF(C2655="Estágio",10,0))))),IF(C2655="Técnico III",SUMIFS($D:$D,$A:$A,$A2655,$B:$B,"&lt;&gt;Patrícia Karla de Sousa Araújo",$B:$B,"&lt;&gt;Lorena Dias de Araujo",$B:$B,"&lt;&gt;Lucas Luiz Romero")*(35/1083),IF(C2655="Técnico II",SUMIFS($D:$D,$A:$A,$A2655,$B:$B,"&lt;&gt;Patrícia Karla de Sousa Araújo",$B:$B,"&lt;&gt;Lorena Dias de Araujo",$B:$B,"&lt;&gt;Lucas Luiz Romero")*(28/1083),IF(C2655="Técnico I",SUMIFS($D:$D,$A:$A,$A2655,$B:$B,"&lt;&gt;Patrícia Karla de Sousa Araújo",$B:$B,"&lt;&gt;Lorena Dias de Araujo",$B:$B,"&lt;&gt;Lucas Luiz Romero")*(23/1083),IF(C2655="JR",SUMIFS($D:$D,$A:$A,$A2655,$B:$B,"&lt;&gt;Patrícia Karla de Sousa Araújo",$B:$B,"&lt;&gt;Lorena Dias de Araujo",$B:$B,"&lt;&gt;Lucas Luiz Romero")*(20/1083),IF(C2655="Estágio",SUMIFS($D:$D,$A:$A,$A2655,$B:$B,"&lt;&gt;Patrícia Karla de Sousa Araújo",$B:$B,"&lt;&gt;Lorena Dias de Araujo",$B:$B,"&lt;&gt;Lucas Luiz Romero")*(10/1083),0)))))),0)</f>
        <v/>
      </c>
      <c r="K2655" s="3">
        <f>I2655-J2655</f>
        <v/>
      </c>
      <c r="L2655" s="3">
        <f>IF(K2655&lt;-5,"CRÍTICO",IF(K2655&lt;0,"ATENÇÃO",IF(K2655&lt;=5,"BOM","EXCELENTE")))</f>
        <v/>
      </c>
      <c r="N2655" t="n">
        <v>98.86</v>
      </c>
      <c r="O2655" t="n">
        <v>28.95927601809955</v>
      </c>
    </row>
    <row r="2656" hidden="1">
      <c r="A2656" s="11" t="n">
        <v>46084</v>
      </c>
      <c r="B2656" t="inlineStr">
        <is>
          <t>Maysa Victoria Dias Moura</t>
        </is>
      </c>
      <c r="C2656" t="inlineStr">
        <is>
          <t>Técnico III</t>
        </is>
      </c>
      <c r="D2656" t="n">
        <v>39</v>
      </c>
      <c r="E2656" t="n">
        <v>38</v>
      </c>
      <c r="F2656" t="n">
        <v>15.52</v>
      </c>
      <c r="G2656" t="n">
        <v>0</v>
      </c>
      <c r="H2656" t="n">
        <v>0</v>
      </c>
      <c r="I2656" s="3">
        <f>E2656+G2656+H2656</f>
        <v/>
      </c>
      <c r="J2656" s="3">
        <f>ROUND(MIN(IF(C2656="Técnico III",35,IF(C2656="Técnico II",28,IF(C2656="Técnico I",23,IF(C2656="JR",20,IF(C2656="Estágio",10,0))))),IF(C2656="Técnico III",SUMIFS($D:$D,$A:$A,$A2656,$B:$B,"&lt;&gt;Patrícia Karla de Sousa Araújo",$B:$B,"&lt;&gt;Lorena Dias de Araujo",$B:$B,"&lt;&gt;Lucas Luiz Romero")*(35/1083),IF(C2656="Técnico II",SUMIFS($D:$D,$A:$A,$A2656,$B:$B,"&lt;&gt;Patrícia Karla de Sousa Araújo",$B:$B,"&lt;&gt;Lorena Dias de Araujo",$B:$B,"&lt;&gt;Lucas Luiz Romero")*(28/1083),IF(C2656="Técnico I",SUMIFS($D:$D,$A:$A,$A2656,$B:$B,"&lt;&gt;Patrícia Karla de Sousa Araújo",$B:$B,"&lt;&gt;Lorena Dias de Araujo",$B:$B,"&lt;&gt;Lucas Luiz Romero")*(23/1083),IF(C2656="JR",SUMIFS($D:$D,$A:$A,$A2656,$B:$B,"&lt;&gt;Patrícia Karla de Sousa Araújo",$B:$B,"&lt;&gt;Lorena Dias de Araujo",$B:$B,"&lt;&gt;Lucas Luiz Romero")*(20/1083),IF(C2656="Estágio",SUMIFS($D:$D,$A:$A,$A2656,$B:$B,"&lt;&gt;Patrícia Karla de Sousa Araújo",$B:$B,"&lt;&gt;Lorena Dias de Araujo",$B:$B,"&lt;&gt;Lucas Luiz Romero")*(10/1083),0)))))),0)</f>
        <v/>
      </c>
      <c r="K2656" s="3">
        <f>I2656-J2656</f>
        <v/>
      </c>
      <c r="L2656" s="3">
        <f>IF(K2656&lt;-5,"CRÍTICO",IF(K2656&lt;0,"ATENÇÃO",IF(K2656&lt;=5,"BOM","EXCELENTE")))</f>
        <v/>
      </c>
      <c r="N2656" t="n">
        <v>98.06</v>
      </c>
      <c r="O2656" t="n">
        <v>22.40566037735849</v>
      </c>
    </row>
    <row r="2657" hidden="1">
      <c r="A2657" s="11" t="n">
        <v>46084</v>
      </c>
      <c r="B2657" t="inlineStr">
        <is>
          <t>Michelle G Santos</t>
        </is>
      </c>
      <c r="C2657" t="inlineStr">
        <is>
          <t>Estágio</t>
        </is>
      </c>
      <c r="D2657" t="n">
        <v>15</v>
      </c>
      <c r="E2657" t="n">
        <v>13</v>
      </c>
      <c r="F2657" t="n">
        <v>42.31</v>
      </c>
      <c r="G2657" t="n">
        <v>0</v>
      </c>
      <c r="H2657" t="n">
        <v>0</v>
      </c>
      <c r="I2657" s="3">
        <f>E2657+G2657+H2657</f>
        <v/>
      </c>
      <c r="J2657" s="3">
        <f>ROUND(MIN(IF(C2657="Técnico III",35,IF(C2657="Técnico II",28,IF(C2657="Técnico I",23,IF(C2657="JR",20,IF(C2657="Estágio",10,0))))),IF(C2657="Técnico III",SUMIFS($D:$D,$A:$A,$A2657,$B:$B,"&lt;&gt;Patrícia Karla de Sousa Araújo",$B:$B,"&lt;&gt;Lorena Dias de Araujo",$B:$B,"&lt;&gt;Lucas Luiz Romero")*(35/1083),IF(C2657="Técnico II",SUMIFS($D:$D,$A:$A,$A2657,$B:$B,"&lt;&gt;Patrícia Karla de Sousa Araújo",$B:$B,"&lt;&gt;Lorena Dias de Araujo",$B:$B,"&lt;&gt;Lucas Luiz Romero")*(28/1083),IF(C2657="Técnico I",SUMIFS($D:$D,$A:$A,$A2657,$B:$B,"&lt;&gt;Patrícia Karla de Sousa Araújo",$B:$B,"&lt;&gt;Lorena Dias de Araujo",$B:$B,"&lt;&gt;Lucas Luiz Romero")*(23/1083),IF(C2657="JR",SUMIFS($D:$D,$A:$A,$A2657,$B:$B,"&lt;&gt;Patrícia Karla de Sousa Araújo",$B:$B,"&lt;&gt;Lorena Dias de Araujo",$B:$B,"&lt;&gt;Lucas Luiz Romero")*(20/1083),IF(C2657="Estágio",SUMIFS($D:$D,$A:$A,$A2657,$B:$B,"&lt;&gt;Patrícia Karla de Sousa Araújo",$B:$B,"&lt;&gt;Lorena Dias de Araujo",$B:$B,"&lt;&gt;Lucas Luiz Romero")*(10/1083),0)))))),0)</f>
        <v/>
      </c>
      <c r="K2657" s="3">
        <f>I2657-J2657</f>
        <v/>
      </c>
      <c r="L2657" s="3">
        <f>IF(K2657&lt;-5,"CRÍTICO",IF(K2657&lt;0,"ATENÇÃO",IF(K2657&lt;=5,"BOM","EXCELENTE")))</f>
        <v/>
      </c>
      <c r="N2657" t="n">
        <v>95.83</v>
      </c>
      <c r="O2657" t="n">
        <v>25.77319587628866</v>
      </c>
    </row>
    <row r="2658" hidden="1">
      <c r="A2658" s="11" t="n">
        <v>46084</v>
      </c>
      <c r="B2658" t="inlineStr">
        <is>
          <t>Milena Sales</t>
        </is>
      </c>
      <c r="C2658" t="inlineStr">
        <is>
          <t>JR</t>
        </is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s="3" t="n">
        <v>0</v>
      </c>
      <c r="J2658" s="3" t="n">
        <v>0</v>
      </c>
      <c r="K2658" s="3" t="n">
        <v>0</v>
      </c>
      <c r="L2658" s="3">
        <f>IF(K2658&lt;-5,"CRÍTICO",IF(K2658&lt;0,"ATENÇÃO",IF(K2658&lt;=5,"BOM","EXCELENTE")))</f>
        <v/>
      </c>
      <c r="N2658" t="n">
        <v>100</v>
      </c>
      <c r="O2658" t="n">
        <v>15.38461538461539</v>
      </c>
    </row>
    <row r="2659" hidden="1">
      <c r="A2659" s="11" t="n">
        <v>46084</v>
      </c>
      <c r="B2659" t="inlineStr">
        <is>
          <t>Patrícia Karla de Sousa Araújo</t>
        </is>
      </c>
      <c r="C2659" t="inlineStr">
        <is>
          <t>Técnico II</t>
        </is>
      </c>
      <c r="D2659" t="n">
        <v>24</v>
      </c>
      <c r="E2659" t="n">
        <v>24</v>
      </c>
      <c r="F2659" t="n">
        <v>23.54</v>
      </c>
      <c r="G2659" t="n">
        <v>0</v>
      </c>
      <c r="H2659" t="n">
        <v>0</v>
      </c>
      <c r="I2659" s="3">
        <f>E2659+G2659+H2659</f>
        <v/>
      </c>
      <c r="J2659" s="3">
        <f>ROUND(MIN(IF(C2659="Técnico III",35,IF(C2659="Técnico II",28,IF(C2659="Técnico I",23,IF(C2659="JR",20,IF(C2659="Estágio",10,0))))),IF(C2659="Técnico III",SUMIFS($D:$D,$A:$A,$A2659,$B:$B,"&lt;&gt;Patrícia Karla de Sousa Araújo",$B:$B,"&lt;&gt;Lorena Dias de Araujo",$B:$B,"&lt;&gt;Lucas Luiz Romero")*(35/1083),IF(C2659="Técnico II",SUMIFS($D:$D,$A:$A,$A2659,$B:$B,"&lt;&gt;Patrícia Karla de Sousa Araújo",$B:$B,"&lt;&gt;Lorena Dias de Araujo",$B:$B,"&lt;&gt;Lucas Luiz Romero")*(28/1083),IF(C2659="Técnico I",SUMIFS($D:$D,$A:$A,$A2659,$B:$B,"&lt;&gt;Patrícia Karla de Sousa Araújo",$B:$B,"&lt;&gt;Lorena Dias de Araujo",$B:$B,"&lt;&gt;Lucas Luiz Romero")*(23/1083),IF(C2659="JR",SUMIFS($D:$D,$A:$A,$A2659,$B:$B,"&lt;&gt;Patrícia Karla de Sousa Araújo",$B:$B,"&lt;&gt;Lorena Dias de Araujo",$B:$B,"&lt;&gt;Lucas Luiz Romero")*(20/1083),IF(C2659="Estágio",SUMIFS($D:$D,$A:$A,$A2659,$B:$B,"&lt;&gt;Patrícia Karla de Sousa Araújo",$B:$B,"&lt;&gt;Lorena Dias de Araujo",$B:$B,"&lt;&gt;Lucas Luiz Romero")*(10/1083),0)))))),0)</f>
        <v/>
      </c>
      <c r="K2659" s="3">
        <f>I2659-J2659</f>
        <v/>
      </c>
      <c r="L2659" s="3">
        <f>IF(K2659&lt;-5,"CRÍTICO",IF(K2659&lt;0,"ATENÇÃO",IF(K2659&lt;=5,"BOM","EXCELENTE")))</f>
        <v/>
      </c>
      <c r="N2659" t="n">
        <v>100</v>
      </c>
      <c r="O2659" t="n">
        <v>27.51479289940828</v>
      </c>
    </row>
    <row r="2660" hidden="1">
      <c r="A2660" s="11" t="n">
        <v>46084</v>
      </c>
      <c r="B2660" t="inlineStr">
        <is>
          <t>Paulo Ricardo Santos</t>
        </is>
      </c>
      <c r="C2660" t="inlineStr">
        <is>
          <t>JR</t>
        </is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s="3" t="n">
        <v>0</v>
      </c>
      <c r="J2660" s="3" t="n">
        <v>0</v>
      </c>
      <c r="K2660" s="3" t="n">
        <v>0</v>
      </c>
      <c r="L2660" s="3">
        <f>IF(K2660&lt;-5,"CRÍTICO",IF(K2660&lt;0,"ATENÇÃO",IF(K2660&lt;=5,"BOM","EXCELENTE")))</f>
        <v/>
      </c>
      <c r="N2660" t="n">
        <v>100</v>
      </c>
      <c r="O2660" t="n">
        <v>24.87562189054727</v>
      </c>
    </row>
    <row r="2661" hidden="1">
      <c r="A2661" s="11" t="n">
        <v>46084</v>
      </c>
      <c r="B2661" t="inlineStr">
        <is>
          <t>Pedro Luiz Mota Sousa</t>
        </is>
      </c>
      <c r="C2661" t="inlineStr">
        <is>
          <t>JR</t>
        </is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s="3" t="n">
        <v>0</v>
      </c>
      <c r="J2661" s="3" t="n">
        <v>0</v>
      </c>
      <c r="K2661" s="3" t="n">
        <v>0</v>
      </c>
      <c r="L2661" s="3">
        <f>IF(K2661&lt;-5,"CRÍTICO",IF(K2661&lt;0,"ATENÇÃO",IF(K2661&lt;=5,"BOM","EXCELENTE")))</f>
        <v/>
      </c>
      <c r="N2661" t="n">
        <v>100</v>
      </c>
      <c r="O2661" t="n">
        <v>28.10810810810811</v>
      </c>
    </row>
    <row r="2662" hidden="1">
      <c r="A2662" s="11" t="n">
        <v>46084</v>
      </c>
      <c r="B2662" t="inlineStr">
        <is>
          <t>Quirino Diogo Leite Torres</t>
        </is>
      </c>
      <c r="C2662" t="inlineStr">
        <is>
          <t>Estágio</t>
        </is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s="3" t="n">
        <v>0</v>
      </c>
      <c r="J2662" s="3" t="n">
        <v>0</v>
      </c>
      <c r="K2662" s="3" t="n">
        <v>0</v>
      </c>
      <c r="L2662" s="3">
        <f>IF(K2662&lt;-5,"CRÍTICO",IF(K2662&lt;0,"ATENÇÃO",IF(K2662&lt;=5,"BOM","EXCELENTE")))</f>
        <v/>
      </c>
      <c r="N2662" t="n">
        <v>100</v>
      </c>
      <c r="O2662" t="n">
        <v>35</v>
      </c>
    </row>
    <row r="2663" hidden="1">
      <c r="A2663" s="11" t="n">
        <v>46084</v>
      </c>
      <c r="B2663" t="inlineStr">
        <is>
          <t>Raane Batista Matos</t>
        </is>
      </c>
      <c r="C2663" t="inlineStr">
        <is>
          <t>Técnico I</t>
        </is>
      </c>
      <c r="D2663" t="n">
        <v>40</v>
      </c>
      <c r="E2663" t="n">
        <v>38</v>
      </c>
      <c r="F2663" t="n">
        <v>20.04</v>
      </c>
      <c r="G2663" t="n">
        <v>0</v>
      </c>
      <c r="H2663" t="n">
        <v>0</v>
      </c>
      <c r="I2663" s="3">
        <f>E2663+G2663+H2663</f>
        <v/>
      </c>
      <c r="J2663" s="3">
        <f>ROUND(MIN(IF(C2663="Técnico III",35,IF(C2663="Técnico II",28,IF(C2663="Técnico I",23,IF(C2663="JR",20,IF(C2663="Estágio",10,0))))),IF(C2663="Técnico III",SUMIFS($D:$D,$A:$A,$A2663,$B:$B,"&lt;&gt;Patrícia Karla de Sousa Araújo",$B:$B,"&lt;&gt;Lorena Dias de Araujo",$B:$B,"&lt;&gt;Lucas Luiz Romero")*(35/1083),IF(C2663="Técnico II",SUMIFS($D:$D,$A:$A,$A2663,$B:$B,"&lt;&gt;Patrícia Karla de Sousa Araújo",$B:$B,"&lt;&gt;Lorena Dias de Araujo",$B:$B,"&lt;&gt;Lucas Luiz Romero")*(28/1083),IF(C2663="Técnico I",SUMIFS($D:$D,$A:$A,$A2663,$B:$B,"&lt;&gt;Patrícia Karla de Sousa Araújo",$B:$B,"&lt;&gt;Lorena Dias de Araujo",$B:$B,"&lt;&gt;Lucas Luiz Romero")*(23/1083),IF(C2663="JR",SUMIFS($D:$D,$A:$A,$A2663,$B:$B,"&lt;&gt;Patrícia Karla de Sousa Araújo",$B:$B,"&lt;&gt;Lorena Dias de Araujo",$B:$B,"&lt;&gt;Lucas Luiz Romero")*(20/1083),IF(C2663="Estágio",SUMIFS($D:$D,$A:$A,$A2663,$B:$B,"&lt;&gt;Patrícia Karla de Sousa Araújo",$B:$B,"&lt;&gt;Lorena Dias de Araujo",$B:$B,"&lt;&gt;Lucas Luiz Romero")*(10/1083),0)))))),0)</f>
        <v/>
      </c>
      <c r="K2663" s="3">
        <f>I2663-J2663</f>
        <v/>
      </c>
      <c r="L2663" s="3">
        <f>IF(K2663&lt;-5,"CRÍTICO",IF(K2663&lt;0,"ATENÇÃO",IF(K2663&lt;=5,"BOM","EXCELENTE")))</f>
        <v/>
      </c>
      <c r="N2663" t="n">
        <v>95.34999999999999</v>
      </c>
      <c r="O2663" t="n">
        <v>28.61538461538461</v>
      </c>
    </row>
    <row r="2664" hidden="1">
      <c r="A2664" s="11" t="n">
        <v>46084</v>
      </c>
      <c r="B2664" t="inlineStr">
        <is>
          <t>Rafael Gomes de Morais</t>
        </is>
      </c>
      <c r="C2664" t="inlineStr">
        <is>
          <t>Técnico III</t>
        </is>
      </c>
      <c r="D2664" t="n">
        <v>40</v>
      </c>
      <c r="E2664" t="n">
        <v>36</v>
      </c>
      <c r="F2664" t="n">
        <v>16.44</v>
      </c>
      <c r="G2664" t="n">
        <v>0</v>
      </c>
      <c r="H2664" t="n">
        <v>0</v>
      </c>
      <c r="I2664" s="3">
        <f>E2664+G2664+H2664</f>
        <v/>
      </c>
      <c r="J2664" s="3">
        <f>ROUND(MIN(IF(C2664="Técnico III",35,IF(C2664="Técnico II",28,IF(C2664="Técnico I",23,IF(C2664="JR",20,IF(C2664="Estágio",10,0))))),IF(C2664="Técnico III",SUMIFS($D:$D,$A:$A,$A2664,$B:$B,"&lt;&gt;Patrícia Karla de Sousa Araújo",$B:$B,"&lt;&gt;Lorena Dias de Araujo",$B:$B,"&lt;&gt;Lucas Luiz Romero")*(35/1083),IF(C2664="Técnico II",SUMIFS($D:$D,$A:$A,$A2664,$B:$B,"&lt;&gt;Patrícia Karla de Sousa Araújo",$B:$B,"&lt;&gt;Lorena Dias de Araujo",$B:$B,"&lt;&gt;Lucas Luiz Romero")*(28/1083),IF(C2664="Técnico I",SUMIFS($D:$D,$A:$A,$A2664,$B:$B,"&lt;&gt;Patrícia Karla de Sousa Araújo",$B:$B,"&lt;&gt;Lorena Dias de Araujo",$B:$B,"&lt;&gt;Lucas Luiz Romero")*(23/1083),IF(C2664="JR",SUMIFS($D:$D,$A:$A,$A2664,$B:$B,"&lt;&gt;Patrícia Karla de Sousa Araújo",$B:$B,"&lt;&gt;Lorena Dias de Araujo",$B:$B,"&lt;&gt;Lucas Luiz Romero")*(20/1083),IF(C2664="Estágio",SUMIFS($D:$D,$A:$A,$A2664,$B:$B,"&lt;&gt;Patrícia Karla de Sousa Araújo",$B:$B,"&lt;&gt;Lorena Dias de Araujo",$B:$B,"&lt;&gt;Lucas Luiz Romero")*(10/1083),0)))))),0)</f>
        <v/>
      </c>
      <c r="K2664" s="3">
        <f>I2664-J2664</f>
        <v/>
      </c>
      <c r="L2664" s="3">
        <f>IF(K2664&lt;-5,"CRÍTICO",IF(K2664&lt;0,"ATENÇÃO",IF(K2664&lt;=5,"BOM","EXCELENTE")))</f>
        <v/>
      </c>
      <c r="N2664" t="n">
        <v>98.26000000000001</v>
      </c>
      <c r="O2664" t="n">
        <v>27.54491017964072</v>
      </c>
    </row>
    <row r="2665" hidden="1">
      <c r="A2665" s="11" t="n">
        <v>46084</v>
      </c>
      <c r="B2665" t="inlineStr">
        <is>
          <t>Sara Maria Monteiro Lopes</t>
        </is>
      </c>
      <c r="C2665" t="inlineStr">
        <is>
          <t>Técnico I</t>
        </is>
      </c>
      <c r="D2665" t="n">
        <v>21</v>
      </c>
      <c r="E2665" t="n">
        <v>20</v>
      </c>
      <c r="F2665" t="n">
        <v>26.56</v>
      </c>
      <c r="G2665" t="n">
        <v>0</v>
      </c>
      <c r="H2665" t="n">
        <v>0</v>
      </c>
      <c r="I2665" s="3">
        <f>E2665+G2665+H2665</f>
        <v/>
      </c>
      <c r="J2665" s="3">
        <f>ROUND(MIN(IF(C2665="Técnico III",35,IF(C2665="Técnico II",28,IF(C2665="Técnico I",23,IF(C2665="JR",20,IF(C2665="Estágio",10,0))))),IF(C2665="Técnico III",SUMIFS($D:$D,$A:$A,$A2665,$B:$B,"&lt;&gt;Patrícia Karla de Sousa Araújo",$B:$B,"&lt;&gt;Lorena Dias de Araujo",$B:$B,"&lt;&gt;Lucas Luiz Romero")*(35/1083),IF(C2665="Técnico II",SUMIFS($D:$D,$A:$A,$A2665,$B:$B,"&lt;&gt;Patrícia Karla de Sousa Araújo",$B:$B,"&lt;&gt;Lorena Dias de Araujo",$B:$B,"&lt;&gt;Lucas Luiz Romero")*(28/1083),IF(C2665="Técnico I",SUMIFS($D:$D,$A:$A,$A2665,$B:$B,"&lt;&gt;Patrícia Karla de Sousa Araújo",$B:$B,"&lt;&gt;Lorena Dias de Araujo",$B:$B,"&lt;&gt;Lucas Luiz Romero")*(23/1083),IF(C2665="JR",SUMIFS($D:$D,$A:$A,$A2665,$B:$B,"&lt;&gt;Patrícia Karla de Sousa Araújo",$B:$B,"&lt;&gt;Lorena Dias de Araujo",$B:$B,"&lt;&gt;Lucas Luiz Romero")*(20/1083),IF(C2665="Estágio",SUMIFS($D:$D,$A:$A,$A2665,$B:$B,"&lt;&gt;Patrícia Karla de Sousa Araújo",$B:$B,"&lt;&gt;Lorena Dias de Araujo",$B:$B,"&lt;&gt;Lucas Luiz Romero")*(10/1083),0)))))),0)</f>
        <v/>
      </c>
      <c r="K2665" s="3">
        <f>I2665-J2665</f>
        <v/>
      </c>
      <c r="L2665" s="3">
        <f>IF(K2665&lt;-5,"CRÍTICO",IF(K2665&lt;0,"ATENÇÃO",IF(K2665&lt;=5,"BOM","EXCELENTE")))</f>
        <v/>
      </c>
      <c r="N2665" t="n">
        <v>98.55</v>
      </c>
      <c r="O2665" t="n">
        <v>25.33783783783784</v>
      </c>
    </row>
    <row r="2666" hidden="1">
      <c r="A2666" s="11" t="n">
        <v>46084</v>
      </c>
      <c r="B2666" t="inlineStr">
        <is>
          <t>Sarah Steffanie de Lima Borges</t>
        </is>
      </c>
      <c r="C2666" t="inlineStr">
        <is>
          <t>Técnico III</t>
        </is>
      </c>
      <c r="D2666" t="n">
        <v>33</v>
      </c>
      <c r="E2666" t="n">
        <v>30</v>
      </c>
      <c r="F2666" t="n">
        <v>19.19</v>
      </c>
      <c r="G2666" t="n">
        <v>0</v>
      </c>
      <c r="H2666" t="n">
        <v>0</v>
      </c>
      <c r="I2666" s="3">
        <f>E2666+G2666+H2666</f>
        <v/>
      </c>
      <c r="J2666" s="3">
        <f>ROUND(MIN(IF(C2666="Técnico III",35,IF(C2666="Técnico II",28,IF(C2666="Técnico I",23,IF(C2666="JR",20,IF(C2666="Estágio",10,0))))),IF(C2666="Técnico III",SUMIFS($D:$D,$A:$A,$A2666,$B:$B,"&lt;&gt;Patrícia Karla de Sousa Araújo",$B:$B,"&lt;&gt;Lorena Dias de Araujo",$B:$B,"&lt;&gt;Lucas Luiz Romero")*(35/1083),IF(C2666="Técnico II",SUMIFS($D:$D,$A:$A,$A2666,$B:$B,"&lt;&gt;Patrícia Karla de Sousa Araújo",$B:$B,"&lt;&gt;Lorena Dias de Araujo",$B:$B,"&lt;&gt;Lucas Luiz Romero")*(28/1083),IF(C2666="Técnico I",SUMIFS($D:$D,$A:$A,$A2666,$B:$B,"&lt;&gt;Patrícia Karla de Sousa Araújo",$B:$B,"&lt;&gt;Lorena Dias de Araujo",$B:$B,"&lt;&gt;Lucas Luiz Romero")*(23/1083),IF(C2666="JR",SUMIFS($D:$D,$A:$A,$A2666,$B:$B,"&lt;&gt;Patrícia Karla de Sousa Araújo",$B:$B,"&lt;&gt;Lorena Dias de Araujo",$B:$B,"&lt;&gt;Lucas Luiz Romero")*(20/1083),IF(C2666="Estágio",SUMIFS($D:$D,$A:$A,$A2666,$B:$B,"&lt;&gt;Patrícia Karla de Sousa Araújo",$B:$B,"&lt;&gt;Lorena Dias de Araujo",$B:$B,"&lt;&gt;Lucas Luiz Romero")*(10/1083),0)))))),0)</f>
        <v/>
      </c>
      <c r="K2666" s="3">
        <f>I2666-J2666</f>
        <v/>
      </c>
      <c r="L2666" s="3">
        <f>IF(K2666&lt;-5,"CRÍTICO",IF(K2666&lt;0,"ATENÇÃO",IF(K2666&lt;=5,"BOM","EXCELENTE")))</f>
        <v/>
      </c>
      <c r="N2666" t="n">
        <v>98.39</v>
      </c>
      <c r="O2666" t="n">
        <v>25.56390977443609</v>
      </c>
    </row>
    <row r="2667" hidden="1">
      <c r="A2667" s="11" t="n">
        <v>46085</v>
      </c>
      <c r="B2667" t="inlineStr">
        <is>
          <t>Alisson de Freitas Silva</t>
        </is>
      </c>
      <c r="C2667" t="inlineStr">
        <is>
          <t>Técnico II</t>
        </is>
      </c>
      <c r="D2667" t="n">
        <v>27</v>
      </c>
      <c r="E2667" t="n">
        <v>22</v>
      </c>
      <c r="F2667" t="n">
        <v>23.28</v>
      </c>
      <c r="G2667" t="n">
        <v>0</v>
      </c>
      <c r="H2667" t="n">
        <v>0</v>
      </c>
      <c r="I2667" s="3">
        <f>E2667+G2667+H2667</f>
        <v/>
      </c>
      <c r="J2667" s="3">
        <f>ROUND(MIN(IF(C2667="Técnico III",35,IF(C2667="Técnico II",28,IF(C2667="Técnico I",23,IF(C2667="JR",20,IF(C2667="Estágio",10,0))))),IF(C2667="Técnico III",SUMIFS($D:$D,$A:$A,$A2667,$B:$B,"&lt;&gt;Patrícia Karla de Sousa Araújo",$B:$B,"&lt;&gt;Lorena Dias de Araujo",$B:$B,"&lt;&gt;Lucas Luiz Romero")*(35/1083),IF(C2667="Técnico II",SUMIFS($D:$D,$A:$A,$A2667,$B:$B,"&lt;&gt;Patrícia Karla de Sousa Araújo",$B:$B,"&lt;&gt;Lorena Dias de Araujo",$B:$B,"&lt;&gt;Lucas Luiz Romero")*(28/1083),IF(C2667="Técnico I",SUMIFS($D:$D,$A:$A,$A2667,$B:$B,"&lt;&gt;Patrícia Karla de Sousa Araújo",$B:$B,"&lt;&gt;Lorena Dias de Araujo",$B:$B,"&lt;&gt;Lucas Luiz Romero")*(23/1083),IF(C2667="JR",SUMIFS($D:$D,$A:$A,$A2667,$B:$B,"&lt;&gt;Patrícia Karla de Sousa Araújo",$B:$B,"&lt;&gt;Lorena Dias de Araujo",$B:$B,"&lt;&gt;Lucas Luiz Romero")*(20/1083),IF(C2667="Estágio",SUMIFS($D:$D,$A:$A,$A2667,$B:$B,"&lt;&gt;Patrícia Karla de Sousa Araújo",$B:$B,"&lt;&gt;Lorena Dias de Araujo",$B:$B,"&lt;&gt;Lucas Luiz Romero")*(10/1083),0)))))),0)</f>
        <v/>
      </c>
      <c r="K2667" s="3">
        <f>I2667-J2667</f>
        <v/>
      </c>
      <c r="L2667" s="3">
        <f>IF(K2667&lt;-5,"CRÍTICO",IF(K2667&lt;0,"ATENÇÃO",IF(K2667&lt;=5,"BOM","EXCELENTE")))</f>
        <v/>
      </c>
      <c r="N2667" t="n">
        <v>94.29000000000001</v>
      </c>
      <c r="O2667" t="n">
        <v>25.64766839378239</v>
      </c>
    </row>
    <row r="2668" hidden="1">
      <c r="A2668" s="11" t="n">
        <v>46085</v>
      </c>
      <c r="B2668" t="inlineStr">
        <is>
          <t>Amanda Moura Ferreira</t>
        </is>
      </c>
      <c r="C2668" t="inlineStr">
        <is>
          <t>Técnico III</t>
        </is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s="3" t="n">
        <v>0</v>
      </c>
      <c r="J2668" s="3" t="n">
        <v>0</v>
      </c>
      <c r="K2668" s="3" t="n">
        <v>0</v>
      </c>
      <c r="L2668" s="3">
        <f>IF(K2668&lt;-5,"CRÍTICO",IF(K2668&lt;0,"ATENÇÃO",IF(K2668&lt;=5,"BOM","EXCELENTE")))</f>
        <v/>
      </c>
      <c r="N2668" t="n">
        <v>98.26000000000001</v>
      </c>
      <c r="O2668" t="n">
        <v>26.66666666666667</v>
      </c>
    </row>
    <row r="2669" hidden="1">
      <c r="A2669" s="11" t="n">
        <v>46085</v>
      </c>
      <c r="B2669" t="inlineStr">
        <is>
          <t>Ana Karollyne Souza Faria</t>
        </is>
      </c>
      <c r="C2669" t="inlineStr">
        <is>
          <t>Técnico I</t>
        </is>
      </c>
      <c r="D2669" t="n">
        <v>21</v>
      </c>
      <c r="E2669" t="n">
        <v>20</v>
      </c>
      <c r="F2669" t="n">
        <v>26.5</v>
      </c>
      <c r="G2669" t="n">
        <v>0</v>
      </c>
      <c r="H2669" t="n">
        <v>0</v>
      </c>
      <c r="I2669" s="3">
        <f>E2669+G2669+H2669</f>
        <v/>
      </c>
      <c r="J2669" s="3">
        <f>ROUND(MIN(IF(C2669="Técnico III",35,IF(C2669="Técnico II",28,IF(C2669="Técnico I",23,IF(C2669="JR",20,IF(C2669="Estágio",10,0))))),IF(C2669="Técnico III",SUMIFS($D:$D,$A:$A,$A2669,$B:$B,"&lt;&gt;Patrícia Karla de Sousa Araújo",$B:$B,"&lt;&gt;Lorena Dias de Araujo",$B:$B,"&lt;&gt;Lucas Luiz Romero")*(35/1083),IF(C2669="Técnico II",SUMIFS($D:$D,$A:$A,$A2669,$B:$B,"&lt;&gt;Patrícia Karla de Sousa Araújo",$B:$B,"&lt;&gt;Lorena Dias de Araujo",$B:$B,"&lt;&gt;Lucas Luiz Romero")*(28/1083),IF(C2669="Técnico I",SUMIFS($D:$D,$A:$A,$A2669,$B:$B,"&lt;&gt;Patrícia Karla de Sousa Araújo",$B:$B,"&lt;&gt;Lorena Dias de Araujo",$B:$B,"&lt;&gt;Lucas Luiz Romero")*(23/1083),IF(C2669="JR",SUMIFS($D:$D,$A:$A,$A2669,$B:$B,"&lt;&gt;Patrícia Karla de Sousa Araújo",$B:$B,"&lt;&gt;Lorena Dias de Araujo",$B:$B,"&lt;&gt;Lucas Luiz Romero")*(20/1083),IF(C2669="Estágio",SUMIFS($D:$D,$A:$A,$A2669,$B:$B,"&lt;&gt;Patrícia Karla de Sousa Araújo",$B:$B,"&lt;&gt;Lorena Dias de Araujo",$B:$B,"&lt;&gt;Lucas Luiz Romero")*(10/1083),0)))))),0)</f>
        <v/>
      </c>
      <c r="K2669" s="3">
        <f>I2669-J2669</f>
        <v/>
      </c>
      <c r="L2669" s="3">
        <f>IF(K2669&lt;-5,"CRÍTICO",IF(K2669&lt;0,"ATENÇÃO",IF(K2669&lt;=5,"BOM","EXCELENTE")))</f>
        <v/>
      </c>
      <c r="N2669" t="n">
        <v>98.2</v>
      </c>
      <c r="O2669" t="n">
        <v>23.37962962962963</v>
      </c>
    </row>
    <row r="2670" hidden="1">
      <c r="A2670" s="11" t="n">
        <v>46085</v>
      </c>
      <c r="B2670" t="inlineStr">
        <is>
          <t>Ana Paula Da Luz Silva Aleixo</t>
        </is>
      </c>
      <c r="C2670" t="inlineStr">
        <is>
          <t>Técnico III</t>
        </is>
      </c>
      <c r="D2670" t="n">
        <v>33</v>
      </c>
      <c r="E2670" t="n">
        <v>30</v>
      </c>
      <c r="F2670" t="n">
        <v>19.04</v>
      </c>
      <c r="G2670" t="n">
        <v>0</v>
      </c>
      <c r="H2670" t="n">
        <v>0</v>
      </c>
      <c r="I2670" s="3">
        <f>E2670+G2670+H2670</f>
        <v/>
      </c>
      <c r="J2670" s="3">
        <f>ROUND(MIN(IF(C2670="Técnico III",35,IF(C2670="Técnico II",28,IF(C2670="Técnico I",23,IF(C2670="JR",20,IF(C2670="Estágio",10,0))))),IF(C2670="Técnico III",SUMIFS($D:$D,$A:$A,$A2670,$B:$B,"&lt;&gt;Patrícia Karla de Sousa Araújo",$B:$B,"&lt;&gt;Lorena Dias de Araujo",$B:$B,"&lt;&gt;Lucas Luiz Romero")*(35/1083),IF(C2670="Técnico II",SUMIFS($D:$D,$A:$A,$A2670,$B:$B,"&lt;&gt;Patrícia Karla de Sousa Araújo",$B:$B,"&lt;&gt;Lorena Dias de Araujo",$B:$B,"&lt;&gt;Lucas Luiz Romero")*(28/1083),IF(C2670="Técnico I",SUMIFS($D:$D,$A:$A,$A2670,$B:$B,"&lt;&gt;Patrícia Karla de Sousa Araújo",$B:$B,"&lt;&gt;Lorena Dias de Araujo",$B:$B,"&lt;&gt;Lucas Luiz Romero")*(23/1083),IF(C2670="JR",SUMIFS($D:$D,$A:$A,$A2670,$B:$B,"&lt;&gt;Patrícia Karla de Sousa Araújo",$B:$B,"&lt;&gt;Lorena Dias de Araujo",$B:$B,"&lt;&gt;Lucas Luiz Romero")*(20/1083),IF(C2670="Estágio",SUMIFS($D:$D,$A:$A,$A2670,$B:$B,"&lt;&gt;Patrícia Karla de Sousa Araújo",$B:$B,"&lt;&gt;Lorena Dias de Araujo",$B:$B,"&lt;&gt;Lucas Luiz Romero")*(10/1083),0)))))),0)</f>
        <v/>
      </c>
      <c r="K2670" s="3">
        <f>I2670-J2670</f>
        <v/>
      </c>
      <c r="L2670" s="3">
        <f>IF(K2670&lt;-5,"CRÍTICO",IF(K2670&lt;0,"ATENÇÃO",IF(K2670&lt;=5,"BOM","EXCELENTE")))</f>
        <v/>
      </c>
      <c r="N2670" t="n">
        <v>97.3</v>
      </c>
      <c r="O2670" t="n">
        <v>23.84769539078156</v>
      </c>
    </row>
    <row r="2671" hidden="1">
      <c r="A2671" s="11" t="n">
        <v>46085</v>
      </c>
      <c r="B2671" t="inlineStr">
        <is>
          <t>Anna Luiza Rezende Tavares</t>
        </is>
      </c>
      <c r="C2671" t="inlineStr">
        <is>
          <t>Estágio</t>
        </is>
      </c>
      <c r="D2671" t="n">
        <v>8</v>
      </c>
      <c r="E2671" t="n">
        <v>6</v>
      </c>
      <c r="F2671" t="n">
        <v>40.26</v>
      </c>
      <c r="G2671" t="n">
        <v>0</v>
      </c>
      <c r="H2671" t="n">
        <v>0</v>
      </c>
      <c r="I2671" s="3">
        <f>E2671+G2671+H2671</f>
        <v/>
      </c>
      <c r="J2671" s="3">
        <f>ROUND(MIN(IF(C2671="Técnico III",35,IF(C2671="Técnico II",28,IF(C2671="Técnico I",23,IF(C2671="JR",20,IF(C2671="Estágio",10,0))))),IF(C2671="Técnico III",SUMIFS($D:$D,$A:$A,$A2671,$B:$B,"&lt;&gt;Patrícia Karla de Sousa Araújo",$B:$B,"&lt;&gt;Lorena Dias de Araujo",$B:$B,"&lt;&gt;Lucas Luiz Romero")*(35/1083),IF(C2671="Técnico II",SUMIFS($D:$D,$A:$A,$A2671,$B:$B,"&lt;&gt;Patrícia Karla de Sousa Araújo",$B:$B,"&lt;&gt;Lorena Dias de Araujo",$B:$B,"&lt;&gt;Lucas Luiz Romero")*(28/1083),IF(C2671="Técnico I",SUMIFS($D:$D,$A:$A,$A2671,$B:$B,"&lt;&gt;Patrícia Karla de Sousa Araújo",$B:$B,"&lt;&gt;Lorena Dias de Araujo",$B:$B,"&lt;&gt;Lucas Luiz Romero")*(23/1083),IF(C2671="JR",SUMIFS($D:$D,$A:$A,$A2671,$B:$B,"&lt;&gt;Patrícia Karla de Sousa Araújo",$B:$B,"&lt;&gt;Lorena Dias de Araujo",$B:$B,"&lt;&gt;Lucas Luiz Romero")*(20/1083),IF(C2671="Estágio",SUMIFS($D:$D,$A:$A,$A2671,$B:$B,"&lt;&gt;Patrícia Karla de Sousa Araújo",$B:$B,"&lt;&gt;Lorena Dias de Araujo",$B:$B,"&lt;&gt;Lucas Luiz Romero")*(10/1083),0)))))),0)</f>
        <v/>
      </c>
      <c r="K2671" s="3">
        <f>I2671-J2671</f>
        <v/>
      </c>
      <c r="L2671" s="3">
        <f>IF(K2671&lt;-5,"CRÍTICO",IF(K2671&lt;0,"ATENÇÃO",IF(K2671&lt;=5,"BOM","EXCELENTE")))</f>
        <v/>
      </c>
      <c r="N2671" t="n">
        <v>100</v>
      </c>
      <c r="O2671" t="n">
        <v>25.26881720430108</v>
      </c>
    </row>
    <row r="2672" hidden="1">
      <c r="A2672" s="11" t="n">
        <v>46085</v>
      </c>
      <c r="B2672" t="inlineStr">
        <is>
          <t>Brenda de Menezes Silva</t>
        </is>
      </c>
      <c r="C2672" t="inlineStr">
        <is>
          <t>Técnico II</t>
        </is>
      </c>
      <c r="D2672" t="n">
        <v>34</v>
      </c>
      <c r="E2672" t="n">
        <v>32</v>
      </c>
      <c r="F2672" t="n">
        <v>17.39</v>
      </c>
      <c r="G2672" t="n">
        <v>0</v>
      </c>
      <c r="H2672" t="n">
        <v>0</v>
      </c>
      <c r="I2672" s="3">
        <f>E2672+G2672+H2672</f>
        <v/>
      </c>
      <c r="J2672" s="3">
        <f>ROUND(MIN(IF(C2672="Técnico III",35,IF(C2672="Técnico II",28,IF(C2672="Técnico I",23,IF(C2672="JR",20,IF(C2672="Estágio",10,0))))),IF(C2672="Técnico III",SUMIFS($D:$D,$A:$A,$A2672,$B:$B,"&lt;&gt;Patrícia Karla de Sousa Araújo",$B:$B,"&lt;&gt;Lorena Dias de Araujo",$B:$B,"&lt;&gt;Lucas Luiz Romero")*(35/1083),IF(C2672="Técnico II",SUMIFS($D:$D,$A:$A,$A2672,$B:$B,"&lt;&gt;Patrícia Karla de Sousa Araújo",$B:$B,"&lt;&gt;Lorena Dias de Araujo",$B:$B,"&lt;&gt;Lucas Luiz Romero")*(28/1083),IF(C2672="Técnico I",SUMIFS($D:$D,$A:$A,$A2672,$B:$B,"&lt;&gt;Patrícia Karla de Sousa Araújo",$B:$B,"&lt;&gt;Lorena Dias de Araujo",$B:$B,"&lt;&gt;Lucas Luiz Romero")*(23/1083),IF(C2672="JR",SUMIFS($D:$D,$A:$A,$A2672,$B:$B,"&lt;&gt;Patrícia Karla de Sousa Araújo",$B:$B,"&lt;&gt;Lorena Dias de Araujo",$B:$B,"&lt;&gt;Lucas Luiz Romero")*(20/1083),IF(C2672="Estágio",SUMIFS($D:$D,$A:$A,$A2672,$B:$B,"&lt;&gt;Patrícia Karla de Sousa Araújo",$B:$B,"&lt;&gt;Lorena Dias de Araujo",$B:$B,"&lt;&gt;Lucas Luiz Romero")*(10/1083),0)))))),0)</f>
        <v/>
      </c>
      <c r="K2672" s="3">
        <f>I2672-J2672</f>
        <v/>
      </c>
      <c r="L2672" s="3">
        <f>IF(K2672&lt;-5,"CRÍTICO",IF(K2672&lt;0,"ATENÇÃO",IF(K2672&lt;=5,"BOM","EXCELENTE")))</f>
        <v/>
      </c>
      <c r="N2672" t="n">
        <v>99.31999999999999</v>
      </c>
      <c r="O2672" t="n">
        <v>22.82282282282282</v>
      </c>
    </row>
    <row r="2673" hidden="1">
      <c r="A2673" s="11" t="n">
        <v>46085</v>
      </c>
      <c r="B2673" t="inlineStr">
        <is>
          <t>Carlos Mateus Cassimiro Nunes</t>
        </is>
      </c>
      <c r="C2673" t="inlineStr">
        <is>
          <t>Técnico II</t>
        </is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s="3" t="n">
        <v>0</v>
      </c>
      <c r="J2673" s="3" t="n">
        <v>0</v>
      </c>
      <c r="K2673" s="3" t="n">
        <v>0</v>
      </c>
      <c r="L2673" s="3">
        <f>IF(K2673&lt;-5,"CRÍTICO",IF(K2673&lt;0,"ATENÇÃO",IF(K2673&lt;=5,"BOM","EXCELENTE")))</f>
        <v/>
      </c>
      <c r="N2673" t="n">
        <v>100</v>
      </c>
      <c r="O2673" t="n">
        <v>27.96610169491525</v>
      </c>
    </row>
    <row r="2674" hidden="1">
      <c r="A2674" s="11" t="n">
        <v>46085</v>
      </c>
      <c r="B2674" t="inlineStr">
        <is>
          <t>Claudio de Sousa Velasco Filho</t>
        </is>
      </c>
      <c r="C2674" t="inlineStr">
        <is>
          <t>Estágio</t>
        </is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s="3" t="n">
        <v>0</v>
      </c>
      <c r="J2674" s="3" t="n">
        <v>0</v>
      </c>
      <c r="K2674" s="3" t="n">
        <v>0</v>
      </c>
      <c r="L2674" s="3">
        <f>IF(K2674&lt;-5,"CRÍTICO",IF(K2674&lt;0,"ATENÇÃO",IF(K2674&lt;=5,"BOM","EXCELENTE")))</f>
        <v/>
      </c>
      <c r="N2674" t="n">
        <v>100</v>
      </c>
      <c r="O2674" t="n">
        <v>30.43478260869566</v>
      </c>
    </row>
    <row r="2675" hidden="1">
      <c r="A2675" s="11" t="n">
        <v>46085</v>
      </c>
      <c r="B2675" t="inlineStr">
        <is>
          <t>Clessiane Pereira dos Santos</t>
        </is>
      </c>
      <c r="C2675" t="inlineStr">
        <is>
          <t>Técnico I</t>
        </is>
      </c>
      <c r="D2675" t="n">
        <v>21</v>
      </c>
      <c r="E2675" t="n">
        <v>18</v>
      </c>
      <c r="F2675" t="n">
        <v>28.3</v>
      </c>
      <c r="G2675" t="n">
        <v>0</v>
      </c>
      <c r="H2675" t="n">
        <v>0</v>
      </c>
      <c r="I2675" s="3">
        <f>E2675+G2675+H2675</f>
        <v/>
      </c>
      <c r="J2675" s="3">
        <f>ROUND(MIN(IF(C2675="Técnico III",35,IF(C2675="Técnico II",28,IF(C2675="Técnico I",23,IF(C2675="JR",20,IF(C2675="Estágio",10,0))))),IF(C2675="Técnico III",SUMIFS($D:$D,$A:$A,$A2675,$B:$B,"&lt;&gt;Patrícia Karla de Sousa Araújo",$B:$B,"&lt;&gt;Lorena Dias de Araujo",$B:$B,"&lt;&gt;Lucas Luiz Romero")*(35/1083),IF(C2675="Técnico II",SUMIFS($D:$D,$A:$A,$A2675,$B:$B,"&lt;&gt;Patrícia Karla de Sousa Araújo",$B:$B,"&lt;&gt;Lorena Dias de Araujo",$B:$B,"&lt;&gt;Lucas Luiz Romero")*(28/1083),IF(C2675="Técnico I",SUMIFS($D:$D,$A:$A,$A2675,$B:$B,"&lt;&gt;Patrícia Karla de Sousa Araújo",$B:$B,"&lt;&gt;Lorena Dias de Araujo",$B:$B,"&lt;&gt;Lucas Luiz Romero")*(23/1083),IF(C2675="JR",SUMIFS($D:$D,$A:$A,$A2675,$B:$B,"&lt;&gt;Patrícia Karla de Sousa Araújo",$B:$B,"&lt;&gt;Lorena Dias de Araujo",$B:$B,"&lt;&gt;Lucas Luiz Romero")*(20/1083),IF(C2675="Estágio",SUMIFS($D:$D,$A:$A,$A2675,$B:$B,"&lt;&gt;Patrícia Karla de Sousa Araújo",$B:$B,"&lt;&gt;Lorena Dias de Araujo",$B:$B,"&lt;&gt;Lucas Luiz Romero")*(10/1083),0)))))),0)</f>
        <v/>
      </c>
      <c r="K2675" s="3">
        <f>I2675-J2675</f>
        <v/>
      </c>
      <c r="L2675" s="3">
        <f>IF(K2675&lt;-5,"CRÍTICO",IF(K2675&lt;0,"ATENÇÃO",IF(K2675&lt;=5,"BOM","EXCELENTE")))</f>
        <v/>
      </c>
      <c r="N2675" t="n">
        <v>96.51000000000001</v>
      </c>
      <c r="O2675" t="n">
        <v>22.80285035629454</v>
      </c>
    </row>
    <row r="2676" hidden="1">
      <c r="A2676" s="11" t="n">
        <v>46085</v>
      </c>
      <c r="B2676" t="inlineStr">
        <is>
          <t>Cristiane Ramos da Silva Rocha</t>
        </is>
      </c>
      <c r="C2676" t="inlineStr">
        <is>
          <t>Técnico III</t>
        </is>
      </c>
      <c r="D2676" t="n">
        <v>39</v>
      </c>
      <c r="E2676" t="n">
        <v>38</v>
      </c>
      <c r="F2676" t="n">
        <v>16.42</v>
      </c>
      <c r="G2676" t="n">
        <v>0</v>
      </c>
      <c r="H2676" t="n">
        <v>0</v>
      </c>
      <c r="I2676" s="3">
        <f>E2676+G2676+H2676</f>
        <v/>
      </c>
      <c r="J2676" s="3">
        <f>ROUND(MIN(IF(C2676="Técnico III",35,IF(C2676="Técnico II",28,IF(C2676="Técnico I",23,IF(C2676="JR",20,IF(C2676="Estágio",10,0))))),IF(C2676="Técnico III",SUMIFS($D:$D,$A:$A,$A2676,$B:$B,"&lt;&gt;Patrícia Karla de Sousa Araújo",$B:$B,"&lt;&gt;Lorena Dias de Araujo",$B:$B,"&lt;&gt;Lucas Luiz Romero")*(35/1083),IF(C2676="Técnico II",SUMIFS($D:$D,$A:$A,$A2676,$B:$B,"&lt;&gt;Patrícia Karla de Sousa Araújo",$B:$B,"&lt;&gt;Lorena Dias de Araujo",$B:$B,"&lt;&gt;Lucas Luiz Romero")*(28/1083),IF(C2676="Técnico I",SUMIFS($D:$D,$A:$A,$A2676,$B:$B,"&lt;&gt;Patrícia Karla de Sousa Araújo",$B:$B,"&lt;&gt;Lorena Dias de Araujo",$B:$B,"&lt;&gt;Lucas Luiz Romero")*(23/1083),IF(C2676="JR",SUMIFS($D:$D,$A:$A,$A2676,$B:$B,"&lt;&gt;Patrícia Karla de Sousa Araújo",$B:$B,"&lt;&gt;Lorena Dias de Araujo",$B:$B,"&lt;&gt;Lucas Luiz Romero")*(20/1083),IF(C2676="Estágio",SUMIFS($D:$D,$A:$A,$A2676,$B:$B,"&lt;&gt;Patrícia Karla de Sousa Araújo",$B:$B,"&lt;&gt;Lorena Dias de Araujo",$B:$B,"&lt;&gt;Lucas Luiz Romero")*(10/1083),0)))))),0)</f>
        <v/>
      </c>
      <c r="K2676" s="3">
        <f>I2676-J2676</f>
        <v/>
      </c>
      <c r="L2676" s="3">
        <f>IF(K2676&lt;-5,"CRÍTICO",IF(K2676&lt;0,"ATENÇÃO",IF(K2676&lt;=5,"BOM","EXCELENTE")))</f>
        <v/>
      </c>
      <c r="N2676" t="n">
        <v>92.68000000000001</v>
      </c>
      <c r="O2676" t="n">
        <v>27.77777777777778</v>
      </c>
    </row>
    <row r="2677" hidden="1">
      <c r="A2677" s="11" t="n">
        <v>46085</v>
      </c>
      <c r="B2677" t="inlineStr">
        <is>
          <t>Damyllis Lorraine de Oliveira Gonçalves</t>
        </is>
      </c>
      <c r="C2677" t="inlineStr">
        <is>
          <t>Técnico II</t>
        </is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s="3" t="n">
        <v>0</v>
      </c>
      <c r="J2677" s="3" t="n">
        <v>0</v>
      </c>
      <c r="K2677" s="3" t="n">
        <v>0</v>
      </c>
      <c r="L2677" s="3">
        <f>IF(K2677&lt;-5,"CRÍTICO",IF(K2677&lt;0,"ATENÇÃO",IF(K2677&lt;=5,"BOM","EXCELENTE")))</f>
        <v/>
      </c>
      <c r="N2677" t="n">
        <v>99.03</v>
      </c>
      <c r="O2677" t="n">
        <v>23.99150743099788</v>
      </c>
    </row>
    <row r="2678" hidden="1">
      <c r="A2678" s="11" t="n">
        <v>46085</v>
      </c>
      <c r="B2678" t="inlineStr">
        <is>
          <t>Daniel Gomes da Silva</t>
        </is>
      </c>
      <c r="C2678" t="inlineStr">
        <is>
          <t>Técnico I</t>
        </is>
      </c>
      <c r="D2678" t="n">
        <v>26</v>
      </c>
      <c r="E2678" t="n">
        <v>25</v>
      </c>
      <c r="F2678" t="n">
        <v>22.15</v>
      </c>
      <c r="G2678" t="n">
        <v>0</v>
      </c>
      <c r="H2678" t="n">
        <v>0</v>
      </c>
      <c r="I2678" s="3">
        <f>E2678+G2678+H2678</f>
        <v/>
      </c>
      <c r="J2678" s="3">
        <f>ROUND(MIN(IF(C2678="Técnico III",35,IF(C2678="Técnico II",28,IF(C2678="Técnico I",23,IF(C2678="JR",20,IF(C2678="Estágio",10,0))))),IF(C2678="Técnico III",SUMIFS($D:$D,$A:$A,$A2678,$B:$B,"&lt;&gt;Patrícia Karla de Sousa Araújo",$B:$B,"&lt;&gt;Lorena Dias de Araujo",$B:$B,"&lt;&gt;Lucas Luiz Romero")*(35/1083),IF(C2678="Técnico II",SUMIFS($D:$D,$A:$A,$A2678,$B:$B,"&lt;&gt;Patrícia Karla de Sousa Araújo",$B:$B,"&lt;&gt;Lorena Dias de Araujo",$B:$B,"&lt;&gt;Lucas Luiz Romero")*(28/1083),IF(C2678="Técnico I",SUMIFS($D:$D,$A:$A,$A2678,$B:$B,"&lt;&gt;Patrícia Karla de Sousa Araújo",$B:$B,"&lt;&gt;Lorena Dias de Araujo",$B:$B,"&lt;&gt;Lucas Luiz Romero")*(23/1083),IF(C2678="JR",SUMIFS($D:$D,$A:$A,$A2678,$B:$B,"&lt;&gt;Patrícia Karla de Sousa Araújo",$B:$B,"&lt;&gt;Lorena Dias de Araujo",$B:$B,"&lt;&gt;Lucas Luiz Romero")*(20/1083),IF(C2678="Estágio",SUMIFS($D:$D,$A:$A,$A2678,$B:$B,"&lt;&gt;Patrícia Karla de Sousa Araújo",$B:$B,"&lt;&gt;Lorena Dias de Araujo",$B:$B,"&lt;&gt;Lucas Luiz Romero")*(10/1083),0)))))),0)</f>
        <v/>
      </c>
      <c r="K2678" s="3">
        <f>I2678-J2678</f>
        <v/>
      </c>
      <c r="L2678" s="3">
        <f>IF(K2678&lt;-5,"CRÍTICO",IF(K2678&lt;0,"ATENÇÃO",IF(K2678&lt;=5,"BOM","EXCELENTE")))</f>
        <v/>
      </c>
      <c r="N2678" t="n">
        <v>98.41</v>
      </c>
      <c r="O2678" t="n">
        <v>28.13852813852814</v>
      </c>
    </row>
    <row r="2679" hidden="1">
      <c r="A2679" s="11" t="n">
        <v>46085</v>
      </c>
      <c r="B2679" t="inlineStr">
        <is>
          <t>Davylla Rodrigues Freitas Silva</t>
        </is>
      </c>
      <c r="C2679" t="inlineStr">
        <is>
          <t>Técnico III</t>
        </is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s="3" t="n">
        <v>0</v>
      </c>
      <c r="J2679" s="3" t="n">
        <v>0</v>
      </c>
      <c r="K2679" s="3" t="n">
        <v>0</v>
      </c>
      <c r="L2679" s="3">
        <f>IF(K2679&lt;-5,"CRÍTICO",IF(K2679&lt;0,"ATENÇÃO",IF(K2679&lt;=5,"BOM","EXCELENTE")))</f>
        <v/>
      </c>
      <c r="N2679" t="n">
        <v>98.73</v>
      </c>
      <c r="O2679" t="n">
        <v>29.14285714285714</v>
      </c>
    </row>
    <row r="2680" hidden="1">
      <c r="A2680" s="11" t="n">
        <v>46085</v>
      </c>
      <c r="B2680" t="inlineStr">
        <is>
          <t>Emilly Caylane Costa</t>
        </is>
      </c>
      <c r="C2680" t="inlineStr">
        <is>
          <t>Estágio</t>
        </is>
      </c>
      <c r="D2680" t="n">
        <v>11</v>
      </c>
      <c r="E2680" t="n">
        <v>10</v>
      </c>
      <c r="F2680" t="n">
        <v>30.32</v>
      </c>
      <c r="G2680" t="n">
        <v>0</v>
      </c>
      <c r="H2680" t="n">
        <v>0</v>
      </c>
      <c r="I2680" s="3">
        <f>E2680+G2680+H2680</f>
        <v/>
      </c>
      <c r="J2680" s="3">
        <f>ROUND(MIN(IF(C2680="Técnico III",35,IF(C2680="Técnico II",28,IF(C2680="Técnico I",23,IF(C2680="JR",20,IF(C2680="Estágio",10,0))))),IF(C2680="Técnico III",SUMIFS($D:$D,$A:$A,$A2680,$B:$B,"&lt;&gt;Patrícia Karla de Sousa Araújo",$B:$B,"&lt;&gt;Lorena Dias de Araujo",$B:$B,"&lt;&gt;Lucas Luiz Romero")*(35/1083),IF(C2680="Técnico II",SUMIFS($D:$D,$A:$A,$A2680,$B:$B,"&lt;&gt;Patrícia Karla de Sousa Araújo",$B:$B,"&lt;&gt;Lorena Dias de Araujo",$B:$B,"&lt;&gt;Lucas Luiz Romero")*(28/1083),IF(C2680="Técnico I",SUMIFS($D:$D,$A:$A,$A2680,$B:$B,"&lt;&gt;Patrícia Karla de Sousa Araújo",$B:$B,"&lt;&gt;Lorena Dias de Araujo",$B:$B,"&lt;&gt;Lucas Luiz Romero")*(23/1083),IF(C2680="JR",SUMIFS($D:$D,$A:$A,$A2680,$B:$B,"&lt;&gt;Patrícia Karla de Sousa Araújo",$B:$B,"&lt;&gt;Lorena Dias de Araujo",$B:$B,"&lt;&gt;Lucas Luiz Romero")*(20/1083),IF(C2680="Estágio",SUMIFS($D:$D,$A:$A,$A2680,$B:$B,"&lt;&gt;Patrícia Karla de Sousa Araújo",$B:$B,"&lt;&gt;Lorena Dias de Araujo",$B:$B,"&lt;&gt;Lucas Luiz Romero")*(10/1083),0)))))),0)</f>
        <v/>
      </c>
      <c r="K2680" s="3">
        <f>I2680-J2680</f>
        <v/>
      </c>
      <c r="L2680" s="3">
        <f>IF(K2680&lt;-5,"CRÍTICO",IF(K2680&lt;0,"ATENÇÃO",IF(K2680&lt;=5,"BOM","EXCELENTE")))</f>
        <v/>
      </c>
      <c r="N2680" t="n">
        <v>90.48</v>
      </c>
      <c r="O2680" t="n">
        <v>20.68965517241379</v>
      </c>
    </row>
    <row r="2681" hidden="1">
      <c r="A2681" s="11" t="n">
        <v>46085</v>
      </c>
      <c r="B2681" t="inlineStr">
        <is>
          <t>Emilly Kamilly Medeiros Miranda</t>
        </is>
      </c>
      <c r="C2681" t="inlineStr">
        <is>
          <t>Técnico II</t>
        </is>
      </c>
      <c r="D2681" t="n">
        <v>22</v>
      </c>
      <c r="E2681" t="n">
        <v>21</v>
      </c>
      <c r="F2681" t="n">
        <v>28.51</v>
      </c>
      <c r="G2681" t="n">
        <v>0</v>
      </c>
      <c r="H2681" t="n">
        <v>0</v>
      </c>
      <c r="I2681" s="3">
        <f>E2681+G2681+H2681</f>
        <v/>
      </c>
      <c r="J2681" s="3">
        <f>ROUND(MIN(IF(C2681="Técnico III",35,IF(C2681="Técnico II",28,IF(C2681="Técnico I",23,IF(C2681="JR",20,IF(C2681="Estágio",10,0))))),IF(C2681="Técnico III",SUMIFS($D:$D,$A:$A,$A2681,$B:$B,"&lt;&gt;Patrícia Karla de Sousa Araújo",$B:$B,"&lt;&gt;Lorena Dias de Araujo",$B:$B,"&lt;&gt;Lucas Luiz Romero")*(35/1083),IF(C2681="Técnico II",SUMIFS($D:$D,$A:$A,$A2681,$B:$B,"&lt;&gt;Patrícia Karla de Sousa Araújo",$B:$B,"&lt;&gt;Lorena Dias de Araujo",$B:$B,"&lt;&gt;Lucas Luiz Romero")*(28/1083),IF(C2681="Técnico I",SUMIFS($D:$D,$A:$A,$A2681,$B:$B,"&lt;&gt;Patrícia Karla de Sousa Araújo",$B:$B,"&lt;&gt;Lorena Dias de Araujo",$B:$B,"&lt;&gt;Lucas Luiz Romero")*(23/1083),IF(C2681="JR",SUMIFS($D:$D,$A:$A,$A2681,$B:$B,"&lt;&gt;Patrícia Karla de Sousa Araújo",$B:$B,"&lt;&gt;Lorena Dias de Araujo",$B:$B,"&lt;&gt;Lucas Luiz Romero")*(20/1083),IF(C2681="Estágio",SUMIFS($D:$D,$A:$A,$A2681,$B:$B,"&lt;&gt;Patrícia Karla de Sousa Araújo",$B:$B,"&lt;&gt;Lorena Dias de Araujo",$B:$B,"&lt;&gt;Lucas Luiz Romero")*(10/1083),0)))))),0)</f>
        <v/>
      </c>
      <c r="K2681" s="3">
        <f>I2681-J2681</f>
        <v/>
      </c>
      <c r="L2681" s="3">
        <f>IF(K2681&lt;-5,"CRÍTICO",IF(K2681&lt;0,"ATENÇÃO",IF(K2681&lt;=5,"BOM","EXCELENTE")))</f>
        <v/>
      </c>
      <c r="N2681" t="n">
        <v>98.06</v>
      </c>
      <c r="O2681" t="n">
        <v>24.78991596638656</v>
      </c>
    </row>
    <row r="2682" hidden="1">
      <c r="A2682" s="11" t="n">
        <v>46085</v>
      </c>
      <c r="B2682" t="inlineStr">
        <is>
          <t>Francielson de Oliveira</t>
        </is>
      </c>
      <c r="C2682" t="inlineStr">
        <is>
          <t>Técnico III</t>
        </is>
      </c>
      <c r="D2682" t="n">
        <v>30</v>
      </c>
      <c r="E2682" t="n">
        <v>29</v>
      </c>
      <c r="F2682" t="n">
        <v>15.59</v>
      </c>
      <c r="G2682" t="n">
        <v>0</v>
      </c>
      <c r="H2682" t="n">
        <v>0</v>
      </c>
      <c r="I2682" s="3">
        <f>E2682+G2682+H2682</f>
        <v/>
      </c>
      <c r="J2682" s="3">
        <f>ROUND(MIN(IF(C2682="Técnico III",35,IF(C2682="Técnico II",28,IF(C2682="Técnico I",23,IF(C2682="JR",20,IF(C2682="Estágio",10,0))))),IF(C2682="Técnico III",SUMIFS($D:$D,$A:$A,$A2682,$B:$B,"&lt;&gt;Patrícia Karla de Sousa Araújo",$B:$B,"&lt;&gt;Lorena Dias de Araujo",$B:$B,"&lt;&gt;Lucas Luiz Romero")*(35/1083),IF(C2682="Técnico II",SUMIFS($D:$D,$A:$A,$A2682,$B:$B,"&lt;&gt;Patrícia Karla de Sousa Araújo",$B:$B,"&lt;&gt;Lorena Dias de Araujo",$B:$B,"&lt;&gt;Lucas Luiz Romero")*(28/1083),IF(C2682="Técnico I",SUMIFS($D:$D,$A:$A,$A2682,$B:$B,"&lt;&gt;Patrícia Karla de Sousa Araújo",$B:$B,"&lt;&gt;Lorena Dias de Araujo",$B:$B,"&lt;&gt;Lucas Luiz Romero")*(23/1083),IF(C2682="JR",SUMIFS($D:$D,$A:$A,$A2682,$B:$B,"&lt;&gt;Patrícia Karla de Sousa Araújo",$B:$B,"&lt;&gt;Lorena Dias de Araujo",$B:$B,"&lt;&gt;Lucas Luiz Romero")*(20/1083),IF(C2682="Estágio",SUMIFS($D:$D,$A:$A,$A2682,$B:$B,"&lt;&gt;Patrícia Karla de Sousa Araújo",$B:$B,"&lt;&gt;Lorena Dias de Araujo",$B:$B,"&lt;&gt;Lucas Luiz Romero")*(10/1083),0)))))),0)</f>
        <v/>
      </c>
      <c r="K2682" s="3">
        <f>I2682-J2682</f>
        <v/>
      </c>
      <c r="L2682" s="3">
        <f>IF(K2682&lt;-5,"CRÍTICO",IF(K2682&lt;0,"ATENÇÃO",IF(K2682&lt;=5,"BOM","EXCELENTE")))</f>
        <v/>
      </c>
      <c r="N2682" t="n">
        <v>97.78</v>
      </c>
      <c r="O2682" t="n">
        <v>25.49407114624506</v>
      </c>
    </row>
    <row r="2683" hidden="1">
      <c r="A2683" s="11" t="n">
        <v>46085</v>
      </c>
      <c r="B2683" t="inlineStr">
        <is>
          <t>Francilene Ferreira de Jesus</t>
        </is>
      </c>
      <c r="C2683" t="inlineStr">
        <is>
          <t>Técnico II</t>
        </is>
      </c>
      <c r="D2683" t="n">
        <v>40</v>
      </c>
      <c r="E2683" t="n">
        <v>35</v>
      </c>
      <c r="F2683" t="n">
        <v>16.53</v>
      </c>
      <c r="G2683" t="n">
        <v>0</v>
      </c>
      <c r="H2683" t="n">
        <v>0</v>
      </c>
      <c r="I2683" s="3">
        <f>E2683+G2683+H2683</f>
        <v/>
      </c>
      <c r="J2683" s="3">
        <f>ROUND(MIN(IF(C2683="Técnico III",35,IF(C2683="Técnico II",28,IF(C2683="Técnico I",23,IF(C2683="JR",20,IF(C2683="Estágio",10,0))))),IF(C2683="Técnico III",SUMIFS($D:$D,$A:$A,$A2683,$B:$B,"&lt;&gt;Patrícia Karla de Sousa Araújo",$B:$B,"&lt;&gt;Lorena Dias de Araujo",$B:$B,"&lt;&gt;Lucas Luiz Romero")*(35/1083),IF(C2683="Técnico II",SUMIFS($D:$D,$A:$A,$A2683,$B:$B,"&lt;&gt;Patrícia Karla de Sousa Araújo",$B:$B,"&lt;&gt;Lorena Dias de Araujo",$B:$B,"&lt;&gt;Lucas Luiz Romero")*(28/1083),IF(C2683="Técnico I",SUMIFS($D:$D,$A:$A,$A2683,$B:$B,"&lt;&gt;Patrícia Karla de Sousa Araújo",$B:$B,"&lt;&gt;Lorena Dias de Araujo",$B:$B,"&lt;&gt;Lucas Luiz Romero")*(23/1083),IF(C2683="JR",SUMIFS($D:$D,$A:$A,$A2683,$B:$B,"&lt;&gt;Patrícia Karla de Sousa Araújo",$B:$B,"&lt;&gt;Lorena Dias de Araujo",$B:$B,"&lt;&gt;Lucas Luiz Romero")*(20/1083),IF(C2683="Estágio",SUMIFS($D:$D,$A:$A,$A2683,$B:$B,"&lt;&gt;Patrícia Karla de Sousa Araújo",$B:$B,"&lt;&gt;Lorena Dias de Araujo",$B:$B,"&lt;&gt;Lucas Luiz Romero")*(10/1083),0)))))),0)</f>
        <v/>
      </c>
      <c r="K2683" s="3">
        <f>I2683-J2683</f>
        <v/>
      </c>
      <c r="L2683" s="3">
        <f>IF(K2683&lt;-5,"CRÍTICO",IF(K2683&lt;0,"ATENÇÃO",IF(K2683&lt;=5,"BOM","EXCELENTE")))</f>
        <v/>
      </c>
      <c r="N2683" t="n">
        <v>98.02</v>
      </c>
      <c r="O2683" t="n">
        <v>23.48484848484848</v>
      </c>
    </row>
    <row r="2684" hidden="1">
      <c r="A2684" s="11" t="n">
        <v>46119</v>
      </c>
      <c r="B2684" t="inlineStr">
        <is>
          <t>Gabriel Gomes de Andrade</t>
        </is>
      </c>
      <c r="C2684" t="inlineStr">
        <is>
          <t>Técnico I</t>
        </is>
      </c>
      <c r="D2684" t="n">
        <v>26</v>
      </c>
      <c r="E2684" t="n">
        <v>25</v>
      </c>
      <c r="F2684" t="n">
        <v>17.1</v>
      </c>
      <c r="G2684" t="n">
        <v>0</v>
      </c>
      <c r="H2684" t="n">
        <v>0</v>
      </c>
      <c r="I2684" s="3">
        <f>E2684+G2684+H2684</f>
        <v/>
      </c>
      <c r="J2684" s="3">
        <f>ROUND(MIN(IF(C2684="Técnico III",35,IF(C2684="Técnico II",28,IF(C2684="Técnico I",23,IF(C2684="JR",20,IF(C2684="Estágio",10,0))))),IF(C2684="Técnico III",SUMIFS($D:$D,$A:$A,$A2684,$B:$B,"&lt;&gt;Patrícia Karla de Sousa Araújo",$B:$B,"&lt;&gt;Lorena Dias de Araujo",$B:$B,"&lt;&gt;Lucas Luiz Romero")*(35/1083),IF(C2684="Técnico II",SUMIFS($D:$D,$A:$A,$A2684,$B:$B,"&lt;&gt;Patrícia Karla de Sousa Araújo",$B:$B,"&lt;&gt;Lorena Dias de Araujo",$B:$B,"&lt;&gt;Lucas Luiz Romero")*(28/1083),IF(C2684="Técnico I",SUMIFS($D:$D,$A:$A,$A2684,$B:$B,"&lt;&gt;Patrícia Karla de Sousa Araújo",$B:$B,"&lt;&gt;Lorena Dias de Araujo",$B:$B,"&lt;&gt;Lucas Luiz Romero")*(23/1083),IF(C2684="JR",SUMIFS($D:$D,$A:$A,$A2684,$B:$B,"&lt;&gt;Patrícia Karla de Sousa Araújo",$B:$B,"&lt;&gt;Lorena Dias de Araujo",$B:$B,"&lt;&gt;Lucas Luiz Romero")*(20/1083),IF(C2684="Estágio",SUMIFS($D:$D,$A:$A,$A2684,$B:$B,"&lt;&gt;Patrícia Karla de Sousa Araújo",$B:$B,"&lt;&gt;Lorena Dias de Araujo",$B:$B,"&lt;&gt;Lucas Luiz Romero")*(10/1083),0)))))),0)</f>
        <v/>
      </c>
      <c r="K2684" s="3">
        <f>I2684-J2684</f>
        <v/>
      </c>
      <c r="L2684" s="3">
        <f>IF(K2684&lt;-5,"CRÍTICO",IF(K2684&lt;0,"ATENÇÃO",IF(K2684&lt;=5,"OPORTUNO","MUITO BOM")))</f>
        <v/>
      </c>
      <c r="N2684" t="n">
        <v>99.28</v>
      </c>
      <c r="O2684" t="n">
        <v>27.68924302788844</v>
      </c>
    </row>
    <row r="2685" hidden="1">
      <c r="A2685" s="11" t="n">
        <v>46085</v>
      </c>
      <c r="B2685" t="inlineStr">
        <is>
          <t>Isabella Borges de Oliveira</t>
        </is>
      </c>
      <c r="C2685" t="inlineStr">
        <is>
          <t>Técnico II</t>
        </is>
      </c>
      <c r="D2685" t="n">
        <v>31</v>
      </c>
      <c r="E2685" t="n">
        <v>30</v>
      </c>
      <c r="F2685" t="n">
        <v>23.58</v>
      </c>
      <c r="G2685" t="n">
        <v>0</v>
      </c>
      <c r="H2685" t="n">
        <v>0</v>
      </c>
      <c r="I2685" s="3">
        <f>E2685+G2685+H2685</f>
        <v/>
      </c>
      <c r="J2685" s="3">
        <f>ROUND(MIN(IF(C2685="Técnico III",35,IF(C2685="Técnico II",28,IF(C2685="Técnico I",23,IF(C2685="JR",20,IF(C2685="Estágio",10,0))))),IF(C2685="Técnico III",SUMIFS($D:$D,$A:$A,$A2685,$B:$B,"&lt;&gt;Patrícia Karla de Sousa Araújo",$B:$B,"&lt;&gt;Lorena Dias de Araujo",$B:$B,"&lt;&gt;Lucas Luiz Romero")*(35/1083),IF(C2685="Técnico II",SUMIFS($D:$D,$A:$A,$A2685,$B:$B,"&lt;&gt;Patrícia Karla de Sousa Araújo",$B:$B,"&lt;&gt;Lorena Dias de Araujo",$B:$B,"&lt;&gt;Lucas Luiz Romero")*(28/1083),IF(C2685="Técnico I",SUMIFS($D:$D,$A:$A,$A2685,$B:$B,"&lt;&gt;Patrícia Karla de Sousa Araújo",$B:$B,"&lt;&gt;Lorena Dias de Araujo",$B:$B,"&lt;&gt;Lucas Luiz Romero")*(23/1083),IF(C2685="JR",SUMIFS($D:$D,$A:$A,$A2685,$B:$B,"&lt;&gt;Patrícia Karla de Sousa Araújo",$B:$B,"&lt;&gt;Lorena Dias de Araujo",$B:$B,"&lt;&gt;Lucas Luiz Romero")*(20/1083),IF(C2685="Estágio",SUMIFS($D:$D,$A:$A,$A2685,$B:$B,"&lt;&gt;Patrícia Karla de Sousa Araújo",$B:$B,"&lt;&gt;Lorena Dias de Araujo",$B:$B,"&lt;&gt;Lucas Luiz Romero")*(10/1083),0)))))),0)</f>
        <v/>
      </c>
      <c r="K2685" s="3">
        <f>I2685-J2685</f>
        <v/>
      </c>
      <c r="L2685" s="3">
        <f>IF(K2685&lt;-5,"CRÍTICO",IF(K2685&lt;0,"ATENÇÃO",IF(K2685&lt;=5,"BOM","EXCELENTE")))</f>
        <v/>
      </c>
      <c r="N2685" t="n">
        <v>100</v>
      </c>
      <c r="O2685" t="n">
        <v>27.04918032786885</v>
      </c>
    </row>
    <row r="2686" hidden="1">
      <c r="A2686" s="11" t="n">
        <v>46085</v>
      </c>
      <c r="B2686" t="inlineStr">
        <is>
          <t>Janaina Lima dos Reis Urany</t>
        </is>
      </c>
      <c r="C2686" t="inlineStr">
        <is>
          <t>Técnico III</t>
        </is>
      </c>
      <c r="D2686" t="n">
        <v>42</v>
      </c>
      <c r="E2686" t="n">
        <v>40</v>
      </c>
      <c r="F2686" t="n">
        <v>14.16</v>
      </c>
      <c r="G2686" t="n">
        <v>0</v>
      </c>
      <c r="H2686" t="n">
        <v>0</v>
      </c>
      <c r="I2686" s="3">
        <f>E2686+G2686+H2686</f>
        <v/>
      </c>
      <c r="J2686" s="3">
        <f>ROUND(MIN(IF(C2686="Técnico III",35,IF(C2686="Técnico II",28,IF(C2686="Técnico I",23,IF(C2686="JR",20,IF(C2686="Estágio",10,0))))),IF(C2686="Técnico III",SUMIFS($D:$D,$A:$A,$A2686,$B:$B,"&lt;&gt;Patrícia Karla de Sousa Araújo",$B:$B,"&lt;&gt;Lorena Dias de Araujo",$B:$B,"&lt;&gt;Lucas Luiz Romero")*(35/1083),IF(C2686="Técnico II",SUMIFS($D:$D,$A:$A,$A2686,$B:$B,"&lt;&gt;Patrícia Karla de Sousa Araújo",$B:$B,"&lt;&gt;Lorena Dias de Araujo",$B:$B,"&lt;&gt;Lucas Luiz Romero")*(28/1083),IF(C2686="Técnico I",SUMIFS($D:$D,$A:$A,$A2686,$B:$B,"&lt;&gt;Patrícia Karla de Sousa Araújo",$B:$B,"&lt;&gt;Lorena Dias de Araujo",$B:$B,"&lt;&gt;Lucas Luiz Romero")*(23/1083),IF(C2686="JR",SUMIFS($D:$D,$A:$A,$A2686,$B:$B,"&lt;&gt;Patrícia Karla de Sousa Araújo",$B:$B,"&lt;&gt;Lorena Dias de Araujo",$B:$B,"&lt;&gt;Lucas Luiz Romero")*(20/1083),IF(C2686="Estágio",SUMIFS($D:$D,$A:$A,$A2686,$B:$B,"&lt;&gt;Patrícia Karla de Sousa Araújo",$B:$B,"&lt;&gt;Lorena Dias de Araujo",$B:$B,"&lt;&gt;Lucas Luiz Romero")*(10/1083),0)))))),0)</f>
        <v/>
      </c>
      <c r="K2686" s="3">
        <f>I2686-J2686</f>
        <v/>
      </c>
      <c r="L2686" s="3">
        <f>IF(K2686&lt;-5,"CRÍTICO",IF(K2686&lt;0,"ATENÇÃO",IF(K2686&lt;=5,"BOM","EXCELENTE")))</f>
        <v/>
      </c>
      <c r="N2686" t="n">
        <v>97.83</v>
      </c>
      <c r="O2686" t="n">
        <v>26.31578947368421</v>
      </c>
    </row>
    <row r="2687" hidden="1">
      <c r="A2687" s="11" t="n">
        <v>46085</v>
      </c>
      <c r="B2687" t="inlineStr">
        <is>
          <t>Jaqueline Evangelista da Silva Martins</t>
        </is>
      </c>
      <c r="C2687" t="inlineStr">
        <is>
          <t>Técnico III</t>
        </is>
      </c>
      <c r="D2687" t="n">
        <v>15</v>
      </c>
      <c r="E2687" t="n">
        <v>15</v>
      </c>
      <c r="F2687" t="n">
        <v>20.1</v>
      </c>
      <c r="G2687" t="n">
        <v>0</v>
      </c>
      <c r="H2687" t="n">
        <v>0</v>
      </c>
      <c r="I2687" s="3">
        <f>E2687+G2687+H2687</f>
        <v/>
      </c>
      <c r="J2687" s="3">
        <f>ROUND(MIN(IF(C2687="Técnico III",35,IF(C2687="Técnico II",28,IF(C2687="Técnico I",23,IF(C2687="JR",20,IF(C2687="Estágio",10,0))))),IF(C2687="Técnico III",SUMIFS($D:$D,$A:$A,$A2687,$B:$B,"&lt;&gt;Patrícia Karla de Sousa Araújo",$B:$B,"&lt;&gt;Lorena Dias de Araujo",$B:$B,"&lt;&gt;Lucas Luiz Romero")*(35/1083),IF(C2687="Técnico II",SUMIFS($D:$D,$A:$A,$A2687,$B:$B,"&lt;&gt;Patrícia Karla de Sousa Araújo",$B:$B,"&lt;&gt;Lorena Dias de Araujo",$B:$B,"&lt;&gt;Lucas Luiz Romero")*(28/1083),IF(C2687="Técnico I",SUMIFS($D:$D,$A:$A,$A2687,$B:$B,"&lt;&gt;Patrícia Karla de Sousa Araújo",$B:$B,"&lt;&gt;Lorena Dias de Araujo",$B:$B,"&lt;&gt;Lucas Luiz Romero")*(23/1083),IF(C2687="JR",SUMIFS($D:$D,$A:$A,$A2687,$B:$B,"&lt;&gt;Patrícia Karla de Sousa Araújo",$B:$B,"&lt;&gt;Lorena Dias de Araujo",$B:$B,"&lt;&gt;Lucas Luiz Romero")*(20/1083),IF(C2687="Estágio",SUMIFS($D:$D,$A:$A,$A2687,$B:$B,"&lt;&gt;Patrícia Karla de Sousa Araújo",$B:$B,"&lt;&gt;Lorena Dias de Araujo",$B:$B,"&lt;&gt;Lucas Luiz Romero")*(10/1083),0)))))),0)</f>
        <v/>
      </c>
      <c r="K2687" s="3">
        <f>I2687-J2687</f>
        <v/>
      </c>
      <c r="L2687" s="3">
        <f>IF(K2687&lt;-5,"CRÍTICO",IF(K2687&lt;0,"ATENÇÃO",IF(K2687&lt;=5,"BOM","EXCELENTE")))</f>
        <v/>
      </c>
      <c r="N2687" t="n">
        <v>100</v>
      </c>
      <c r="O2687" t="n">
        <v>26.70157068062827</v>
      </c>
    </row>
    <row r="2688" hidden="1">
      <c r="A2688" s="11" t="n">
        <v>46085</v>
      </c>
      <c r="B2688" t="inlineStr">
        <is>
          <t>Jessica Faria da Silveira</t>
        </is>
      </c>
      <c r="C2688" t="inlineStr">
        <is>
          <t>Técnico II</t>
        </is>
      </c>
      <c r="D2688" t="n">
        <v>31</v>
      </c>
      <c r="E2688" t="n">
        <v>26</v>
      </c>
      <c r="F2688" t="n">
        <v>23.56</v>
      </c>
      <c r="G2688" t="n">
        <v>0</v>
      </c>
      <c r="H2688" t="n">
        <v>0</v>
      </c>
      <c r="I2688" s="3">
        <f>E2688+G2688+H2688</f>
        <v/>
      </c>
      <c r="J2688" s="3">
        <f>ROUND(MIN(IF(C2688="Técnico III",35,IF(C2688="Técnico II",28,IF(C2688="Técnico I",23,IF(C2688="JR",20,IF(C2688="Estágio",10,0))))),IF(C2688="Técnico III",SUMIFS($D:$D,$A:$A,$A2688,$B:$B,"&lt;&gt;Patrícia Karla de Sousa Araújo",$B:$B,"&lt;&gt;Lorena Dias de Araujo",$B:$B,"&lt;&gt;Lucas Luiz Romero")*(35/1083),IF(C2688="Técnico II",SUMIFS($D:$D,$A:$A,$A2688,$B:$B,"&lt;&gt;Patrícia Karla de Sousa Araújo",$B:$B,"&lt;&gt;Lorena Dias de Araujo",$B:$B,"&lt;&gt;Lucas Luiz Romero")*(28/1083),IF(C2688="Técnico I",SUMIFS($D:$D,$A:$A,$A2688,$B:$B,"&lt;&gt;Patrícia Karla de Sousa Araújo",$B:$B,"&lt;&gt;Lorena Dias de Araujo",$B:$B,"&lt;&gt;Lucas Luiz Romero")*(23/1083),IF(C2688="JR",SUMIFS($D:$D,$A:$A,$A2688,$B:$B,"&lt;&gt;Patrícia Karla de Sousa Araújo",$B:$B,"&lt;&gt;Lorena Dias de Araujo",$B:$B,"&lt;&gt;Lucas Luiz Romero")*(20/1083),IF(C2688="Estágio",SUMIFS($D:$D,$A:$A,$A2688,$B:$B,"&lt;&gt;Patrícia Karla de Sousa Araújo",$B:$B,"&lt;&gt;Lorena Dias de Araujo",$B:$B,"&lt;&gt;Lucas Luiz Romero")*(10/1083),0)))))),0)</f>
        <v/>
      </c>
      <c r="K2688" s="3">
        <f>I2688-J2688</f>
        <v/>
      </c>
      <c r="L2688" s="3">
        <f>IF(K2688&lt;-5,"CRÍTICO",IF(K2688&lt;0,"ATENÇÃO",IF(K2688&lt;=5,"BOM","EXCELENTE")))</f>
        <v/>
      </c>
      <c r="N2688" t="n">
        <v>97.47</v>
      </c>
      <c r="O2688" t="n">
        <v>22.88732394366197</v>
      </c>
    </row>
    <row r="2689" hidden="1">
      <c r="A2689" s="11" t="n">
        <v>46085</v>
      </c>
      <c r="B2689" t="inlineStr">
        <is>
          <t>Jéssica Fé Moura</t>
        </is>
      </c>
      <c r="C2689" t="inlineStr">
        <is>
          <t>Técnico III</t>
        </is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s="3" t="n">
        <v>0</v>
      </c>
      <c r="J2689" s="3" t="n">
        <v>0</v>
      </c>
      <c r="K2689" s="3" t="n">
        <v>0</v>
      </c>
      <c r="L2689" s="3">
        <f>IF(K2689&lt;-5,"CRÍTICO",IF(K2689&lt;0,"ATENÇÃO",IF(K2689&lt;=5,"BOM","EXCELENTE")))</f>
        <v/>
      </c>
      <c r="N2689" t="n">
        <v>0</v>
      </c>
      <c r="O2689" t="n">
        <v>0</v>
      </c>
    </row>
    <row r="2690" hidden="1">
      <c r="A2690" s="11" t="n">
        <v>46085</v>
      </c>
      <c r="B2690" t="inlineStr">
        <is>
          <t>Karina Gonçalves Martins</t>
        </is>
      </c>
      <c r="C2690" t="inlineStr">
        <is>
          <t>JR</t>
        </is>
      </c>
      <c r="D2690" t="n">
        <v>21</v>
      </c>
      <c r="E2690" t="n">
        <v>18</v>
      </c>
      <c r="F2690" t="n">
        <v>24.05</v>
      </c>
      <c r="G2690" t="n">
        <v>0</v>
      </c>
      <c r="H2690" t="n">
        <v>0</v>
      </c>
      <c r="I2690" s="3">
        <f>E2690+G2690+H2690</f>
        <v/>
      </c>
      <c r="J2690" s="3">
        <f>ROUND(MIN(IF(C2690="Técnico III",35,IF(C2690="Técnico II",28,IF(C2690="Técnico I",23,IF(C2690="JR",20,IF(C2690="Estágio",10,0))))),IF(C2690="Técnico III",SUMIFS($D:$D,$A:$A,$A2690,$B:$B,"&lt;&gt;Patrícia Karla de Sousa Araújo",$B:$B,"&lt;&gt;Lorena Dias de Araujo",$B:$B,"&lt;&gt;Lucas Luiz Romero")*(35/1083),IF(C2690="Técnico II",SUMIFS($D:$D,$A:$A,$A2690,$B:$B,"&lt;&gt;Patrícia Karla de Sousa Araújo",$B:$B,"&lt;&gt;Lorena Dias de Araujo",$B:$B,"&lt;&gt;Lucas Luiz Romero")*(28/1083),IF(C2690="Técnico I",SUMIFS($D:$D,$A:$A,$A2690,$B:$B,"&lt;&gt;Patrícia Karla de Sousa Araújo",$B:$B,"&lt;&gt;Lorena Dias de Araujo",$B:$B,"&lt;&gt;Lucas Luiz Romero")*(23/1083),IF(C2690="JR",SUMIFS($D:$D,$A:$A,$A2690,$B:$B,"&lt;&gt;Patrícia Karla de Sousa Araújo",$B:$B,"&lt;&gt;Lorena Dias de Araujo",$B:$B,"&lt;&gt;Lucas Luiz Romero")*(20/1083),IF(C2690="Estágio",SUMIFS($D:$D,$A:$A,$A2690,$B:$B,"&lt;&gt;Patrícia Karla de Sousa Araújo",$B:$B,"&lt;&gt;Lorena Dias de Araujo",$B:$B,"&lt;&gt;Lucas Luiz Romero")*(10/1083),0)))))),0)</f>
        <v/>
      </c>
      <c r="K2690" s="3">
        <f>I2690-J2690</f>
        <v/>
      </c>
      <c r="L2690" s="3">
        <f>IF(K2690&lt;-5,"CRÍTICO",IF(K2690&lt;0,"ATENÇÃO",IF(K2690&lt;=5,"BOM","EXCELENTE")))</f>
        <v/>
      </c>
      <c r="N2690" t="n">
        <v>98.31</v>
      </c>
      <c r="O2690" t="n">
        <v>24.92012779552715</v>
      </c>
    </row>
    <row r="2691" hidden="1">
      <c r="A2691" s="11" t="n">
        <v>46085</v>
      </c>
      <c r="B2691" t="inlineStr">
        <is>
          <t>Kerollen Cristielly de Jesus Siqueira</t>
        </is>
      </c>
      <c r="C2691" t="inlineStr">
        <is>
          <t>Técnico III</t>
        </is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s="3" t="n">
        <v>0</v>
      </c>
      <c r="J2691" s="3" t="n">
        <v>0</v>
      </c>
      <c r="K2691" s="3" t="n">
        <v>0</v>
      </c>
      <c r="L2691" s="3">
        <f>IF(K2691&lt;-5,"CRÍTICO",IF(K2691&lt;0,"ATENÇÃO",IF(K2691&lt;=5,"BOM","EXCELENTE")))</f>
        <v/>
      </c>
      <c r="N2691" t="n">
        <v>96.81</v>
      </c>
      <c r="O2691" t="n">
        <v>32.36514522821577</v>
      </c>
    </row>
    <row r="2692" hidden="1">
      <c r="A2692" s="11" t="n">
        <v>46085</v>
      </c>
      <c r="B2692" t="inlineStr">
        <is>
          <t>Leandro de Souza Silva</t>
        </is>
      </c>
      <c r="C2692" t="inlineStr">
        <is>
          <t>JR</t>
        </is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s="3" t="n">
        <v>0</v>
      </c>
      <c r="J2692" s="3" t="n">
        <v>0</v>
      </c>
      <c r="K2692" s="3" t="n">
        <v>0</v>
      </c>
      <c r="L2692" s="3">
        <f>IF(K2692&lt;-5,"CRÍTICO",IF(K2692&lt;0,"ATENÇÃO",IF(K2692&lt;=5,"BOM","EXCELENTE")))</f>
        <v/>
      </c>
      <c r="N2692" t="n">
        <v>100</v>
      </c>
      <c r="O2692" t="n">
        <v>26.47058823529412</v>
      </c>
    </row>
    <row r="2693" hidden="1">
      <c r="A2693" s="11" t="n">
        <v>46085</v>
      </c>
      <c r="B2693" t="inlineStr">
        <is>
          <t>Leandro Oliveira de Sousa</t>
        </is>
      </c>
      <c r="C2693" t="inlineStr">
        <is>
          <t>Técnico III</t>
        </is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s="3" t="n">
        <v>0</v>
      </c>
      <c r="J2693" s="3" t="n">
        <v>0</v>
      </c>
      <c r="K2693" s="3" t="n">
        <v>0</v>
      </c>
      <c r="L2693" s="3">
        <f>IF(K2693&lt;-5,"CRÍTICO",IF(K2693&lt;0,"ATENÇÃO",IF(K2693&lt;=5,"BOM","EXCELENTE")))</f>
        <v/>
      </c>
      <c r="N2693" t="n">
        <v>100</v>
      </c>
      <c r="O2693" t="n">
        <v>28.49002849002849</v>
      </c>
    </row>
    <row r="2694" hidden="1">
      <c r="A2694" s="11" t="n">
        <v>46085</v>
      </c>
      <c r="B2694" t="inlineStr">
        <is>
          <t>Lizandra Gomes Duarte</t>
        </is>
      </c>
      <c r="C2694" t="inlineStr">
        <is>
          <t>Técnico II</t>
        </is>
      </c>
      <c r="D2694" t="n">
        <v>23</v>
      </c>
      <c r="E2694" t="n">
        <v>19</v>
      </c>
      <c r="F2694" t="n">
        <v>23.28</v>
      </c>
      <c r="G2694" t="n">
        <v>0</v>
      </c>
      <c r="H2694" t="n">
        <v>0</v>
      </c>
      <c r="I2694" s="3">
        <f>E2694+G2694+H2694</f>
        <v/>
      </c>
      <c r="J2694" s="3">
        <f>ROUND(MIN(IF(C2694="Técnico III",35,IF(C2694="Técnico II",28,IF(C2694="Técnico I",23,IF(C2694="JR",20,IF(C2694="Estágio",10,0))))),IF(C2694="Técnico III",SUMIFS($D:$D,$A:$A,$A2694,$B:$B,"&lt;&gt;Patrícia Karla de Sousa Araújo",$B:$B,"&lt;&gt;Lorena Dias de Araujo",$B:$B,"&lt;&gt;Lucas Luiz Romero")*(35/1083),IF(C2694="Técnico II",SUMIFS($D:$D,$A:$A,$A2694,$B:$B,"&lt;&gt;Patrícia Karla de Sousa Araújo",$B:$B,"&lt;&gt;Lorena Dias de Araujo",$B:$B,"&lt;&gt;Lucas Luiz Romero")*(28/1083),IF(C2694="Técnico I",SUMIFS($D:$D,$A:$A,$A2694,$B:$B,"&lt;&gt;Patrícia Karla de Sousa Araújo",$B:$B,"&lt;&gt;Lorena Dias de Araujo",$B:$B,"&lt;&gt;Lucas Luiz Romero")*(23/1083),IF(C2694="JR",SUMIFS($D:$D,$A:$A,$A2694,$B:$B,"&lt;&gt;Patrícia Karla de Sousa Araújo",$B:$B,"&lt;&gt;Lorena Dias de Araujo",$B:$B,"&lt;&gt;Lucas Luiz Romero")*(20/1083),IF(C2694="Estágio",SUMIFS($D:$D,$A:$A,$A2694,$B:$B,"&lt;&gt;Patrícia Karla de Sousa Araújo",$B:$B,"&lt;&gt;Lorena Dias de Araujo",$B:$B,"&lt;&gt;Lucas Luiz Romero")*(10/1083),0)))))),0)</f>
        <v/>
      </c>
      <c r="K2694" s="3">
        <f>I2694-J2694</f>
        <v/>
      </c>
      <c r="L2694" s="3">
        <f>IF(K2694&lt;-5,"CRÍTICO",IF(K2694&lt;0,"ATENÇÃO",IF(K2694&lt;=5,"BOM","EXCELENTE")))</f>
        <v/>
      </c>
      <c r="N2694" t="n">
        <v>99.14</v>
      </c>
      <c r="O2694" t="n">
        <v>27.2289156626506</v>
      </c>
    </row>
    <row r="2695" hidden="1">
      <c r="A2695" s="11" t="n">
        <v>46085</v>
      </c>
      <c r="B2695" t="inlineStr">
        <is>
          <t>Lorena Dias de Araujo</t>
        </is>
      </c>
      <c r="C2695" t="inlineStr">
        <is>
          <t>Técnico II</t>
        </is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s="3" t="n">
        <v>0</v>
      </c>
      <c r="J2695" s="3" t="n">
        <v>0</v>
      </c>
      <c r="K2695" s="3" t="n">
        <v>0</v>
      </c>
      <c r="L2695" s="3">
        <f>IF(K2695&lt;-5,"CRÍTICO",IF(K2695&lt;0,"ATENÇÃO",IF(K2695&lt;=5,"BOM","EXCELENTE")))</f>
        <v/>
      </c>
      <c r="N2695" t="n">
        <v>97.52</v>
      </c>
      <c r="O2695" t="n">
        <v>28.2051282051282</v>
      </c>
    </row>
    <row r="2696" hidden="1">
      <c r="A2696" s="11" t="n">
        <v>46085</v>
      </c>
      <c r="B2696" t="inlineStr">
        <is>
          <t>Lucas Luiz Romero</t>
        </is>
      </c>
      <c r="C2696" t="inlineStr">
        <is>
          <t>Técnico III</t>
        </is>
      </c>
      <c r="D2696" t="n">
        <v>48</v>
      </c>
      <c r="E2696" t="n">
        <v>43</v>
      </c>
      <c r="F2696" t="n">
        <v>15.18</v>
      </c>
      <c r="G2696" t="n">
        <v>0</v>
      </c>
      <c r="H2696" t="n">
        <v>0</v>
      </c>
      <c r="I2696" s="3">
        <f>E2696+G2696+H2696</f>
        <v/>
      </c>
      <c r="J2696" s="3">
        <f>ROUND(MIN(IF(C2696="Técnico III",35,IF(C2696="Técnico II",28,IF(C2696="Técnico I",23,IF(C2696="JR",20,IF(C2696="Estágio",10,0))))),IF(C2696="Técnico III",SUMIFS($D:$D,$A:$A,$A2696,$B:$B,"&lt;&gt;Patrícia Karla de Sousa Araújo",$B:$B,"&lt;&gt;Lorena Dias de Araujo",$B:$B,"&lt;&gt;Lucas Luiz Romero")*(35/1083),IF(C2696="Técnico II",SUMIFS($D:$D,$A:$A,$A2696,$B:$B,"&lt;&gt;Patrícia Karla de Sousa Araújo",$B:$B,"&lt;&gt;Lorena Dias de Araujo",$B:$B,"&lt;&gt;Lucas Luiz Romero")*(28/1083),IF(C2696="Técnico I",SUMIFS($D:$D,$A:$A,$A2696,$B:$B,"&lt;&gt;Patrícia Karla de Sousa Araújo",$B:$B,"&lt;&gt;Lorena Dias de Araujo",$B:$B,"&lt;&gt;Lucas Luiz Romero")*(23/1083),IF(C2696="JR",SUMIFS($D:$D,$A:$A,$A2696,$B:$B,"&lt;&gt;Patrícia Karla de Sousa Araújo",$B:$B,"&lt;&gt;Lorena Dias de Araujo",$B:$B,"&lt;&gt;Lucas Luiz Romero")*(20/1083),IF(C2696="Estágio",SUMIFS($D:$D,$A:$A,$A2696,$B:$B,"&lt;&gt;Patrícia Karla de Sousa Araújo",$B:$B,"&lt;&gt;Lorena Dias de Araujo",$B:$B,"&lt;&gt;Lucas Luiz Romero")*(10/1083),0)))))),0)</f>
        <v/>
      </c>
      <c r="K2696" s="3">
        <f>I2696-J2696</f>
        <v/>
      </c>
      <c r="L2696" s="3">
        <f>IF(K2696&lt;-5,"CRÍTICO",IF(K2696&lt;0,"ATENÇÃO",IF(K2696&lt;=5,"BOM","EXCELENTE")))</f>
        <v/>
      </c>
      <c r="N2696" t="n">
        <v>90</v>
      </c>
      <c r="O2696" t="n">
        <v>24.18604651162791</v>
      </c>
    </row>
    <row r="2697" hidden="1">
      <c r="A2697" s="11" t="n">
        <v>46085</v>
      </c>
      <c r="B2697" t="inlineStr">
        <is>
          <t>Luiz Fernando de Carvalho Junior</t>
        </is>
      </c>
      <c r="C2697" t="inlineStr">
        <is>
          <t>Técnico I</t>
        </is>
      </c>
      <c r="D2697" t="n">
        <v>24</v>
      </c>
      <c r="E2697" t="n">
        <v>23</v>
      </c>
      <c r="F2697" t="n">
        <v>25.09</v>
      </c>
      <c r="G2697" t="n">
        <v>0</v>
      </c>
      <c r="H2697" t="n">
        <v>0</v>
      </c>
      <c r="I2697" s="3">
        <f>E2697+G2697+H2697</f>
        <v/>
      </c>
      <c r="J2697" s="3">
        <f>ROUND(MIN(IF(C2697="Técnico III",35,IF(C2697="Técnico II",28,IF(C2697="Técnico I",23,IF(C2697="JR",20,IF(C2697="Estágio",10,0))))),IF(C2697="Técnico III",SUMIFS($D:$D,$A:$A,$A2697,$B:$B,"&lt;&gt;Patrícia Karla de Sousa Araújo",$B:$B,"&lt;&gt;Lorena Dias de Araujo",$B:$B,"&lt;&gt;Lucas Luiz Romero")*(35/1083),IF(C2697="Técnico II",SUMIFS($D:$D,$A:$A,$A2697,$B:$B,"&lt;&gt;Patrícia Karla de Sousa Araújo",$B:$B,"&lt;&gt;Lorena Dias de Araujo",$B:$B,"&lt;&gt;Lucas Luiz Romero")*(28/1083),IF(C2697="Técnico I",SUMIFS($D:$D,$A:$A,$A2697,$B:$B,"&lt;&gt;Patrícia Karla de Sousa Araújo",$B:$B,"&lt;&gt;Lorena Dias de Araujo",$B:$B,"&lt;&gt;Lucas Luiz Romero")*(23/1083),IF(C2697="JR",SUMIFS($D:$D,$A:$A,$A2697,$B:$B,"&lt;&gt;Patrícia Karla de Sousa Araújo",$B:$B,"&lt;&gt;Lorena Dias de Araujo",$B:$B,"&lt;&gt;Lucas Luiz Romero")*(20/1083),IF(C2697="Estágio",SUMIFS($D:$D,$A:$A,$A2697,$B:$B,"&lt;&gt;Patrícia Karla de Sousa Araújo",$B:$B,"&lt;&gt;Lorena Dias de Araujo",$B:$B,"&lt;&gt;Lucas Luiz Romero")*(10/1083),0)))))),0)</f>
        <v/>
      </c>
      <c r="K2697" s="3">
        <f>I2697-J2697</f>
        <v/>
      </c>
      <c r="L2697" s="3">
        <f>IF(K2697&lt;-5,"CRÍTICO",IF(K2697&lt;0,"ATENÇÃO",IF(K2697&lt;=5,"BOM","EXCELENTE")))</f>
        <v/>
      </c>
      <c r="N2697" t="n">
        <v>98.90000000000001</v>
      </c>
      <c r="O2697" t="n">
        <v>26.7639902676399</v>
      </c>
    </row>
    <row r="2698" hidden="1">
      <c r="A2698" s="11" t="n">
        <v>46085</v>
      </c>
      <c r="B2698" t="inlineStr">
        <is>
          <t>Maria Eduarda Sousa Costa</t>
        </is>
      </c>
      <c r="C2698" t="inlineStr">
        <is>
          <t>Estágio</t>
        </is>
      </c>
      <c r="D2698" t="n">
        <v>59</v>
      </c>
      <c r="E2698" t="n">
        <v>37</v>
      </c>
      <c r="F2698" t="n">
        <v>5.01</v>
      </c>
      <c r="G2698" t="n">
        <v>0</v>
      </c>
      <c r="H2698" t="n">
        <v>0</v>
      </c>
      <c r="I2698" s="3">
        <f>E2698+G2698+H2698</f>
        <v/>
      </c>
      <c r="J2698" s="3">
        <f>ROUND(MIN(IF(C2698="Técnico III",35,IF(C2698="Técnico II",28,IF(C2698="Técnico I",23,IF(C2698="JR",20,IF(C2698="Estágio",10,0))))),IF(C2698="Técnico III",SUMIFS($D:$D,$A:$A,$A2698,$B:$B,"&lt;&gt;Patrícia Karla de Sousa Araújo",$B:$B,"&lt;&gt;Lorena Dias de Araujo",$B:$B,"&lt;&gt;Lucas Luiz Romero")*(35/1083),IF(C2698="Técnico II",SUMIFS($D:$D,$A:$A,$A2698,$B:$B,"&lt;&gt;Patrícia Karla de Sousa Araújo",$B:$B,"&lt;&gt;Lorena Dias de Araujo",$B:$B,"&lt;&gt;Lucas Luiz Romero")*(28/1083),IF(C2698="Técnico I",SUMIFS($D:$D,$A:$A,$A2698,$B:$B,"&lt;&gt;Patrícia Karla de Sousa Araújo",$B:$B,"&lt;&gt;Lorena Dias de Araujo",$B:$B,"&lt;&gt;Lucas Luiz Romero")*(23/1083),IF(C2698="JR",SUMIFS($D:$D,$A:$A,$A2698,$B:$B,"&lt;&gt;Patrícia Karla de Sousa Araújo",$B:$B,"&lt;&gt;Lorena Dias de Araujo",$B:$B,"&lt;&gt;Lucas Luiz Romero")*(20/1083),IF(C2698="Estágio",SUMIFS($D:$D,$A:$A,$A2698,$B:$B,"&lt;&gt;Patrícia Karla de Sousa Araújo",$B:$B,"&lt;&gt;Lorena Dias de Araujo",$B:$B,"&lt;&gt;Lucas Luiz Romero")*(10/1083),0)))))),0)</f>
        <v/>
      </c>
      <c r="K2698" s="3">
        <f>I2698-J2698</f>
        <v/>
      </c>
      <c r="L2698" s="3">
        <f>IF(K2698&lt;-5,"CRÍTICO",IF(K2698&lt;0,"ATENÇÃO",IF(K2698&lt;=5,"BOM","EXCELENTE")))</f>
        <v/>
      </c>
      <c r="N2698" t="n">
        <v>88.89</v>
      </c>
      <c r="O2698" t="n">
        <v>25.26315789473684</v>
      </c>
    </row>
    <row r="2699" hidden="1">
      <c r="A2699" s="11" t="n">
        <v>46085</v>
      </c>
      <c r="B2699" t="inlineStr">
        <is>
          <t>Matheus Farias De Souza</t>
        </is>
      </c>
      <c r="C2699" t="inlineStr">
        <is>
          <t>Técnico III</t>
        </is>
      </c>
      <c r="D2699" t="n">
        <v>11</v>
      </c>
      <c r="E2699" t="n">
        <v>11</v>
      </c>
      <c r="F2699" t="n">
        <v>24.12</v>
      </c>
      <c r="G2699" t="n">
        <v>0</v>
      </c>
      <c r="H2699" t="n">
        <v>0</v>
      </c>
      <c r="I2699" s="3">
        <f>E2699+G2699+H2699</f>
        <v/>
      </c>
      <c r="J2699" s="3">
        <f>ROUND(MIN(IF(C2699="Técnico III",35,IF(C2699="Técnico II",28,IF(C2699="Técnico I",23,IF(C2699="JR",20,IF(C2699="Estágio",10,0))))),IF(C2699="Técnico III",SUMIFS($D:$D,$A:$A,$A2699,$B:$B,"&lt;&gt;Patrícia Karla de Sousa Araújo",$B:$B,"&lt;&gt;Lorena Dias de Araujo",$B:$B,"&lt;&gt;Lucas Luiz Romero")*(35/1083),IF(C2699="Técnico II",SUMIFS($D:$D,$A:$A,$A2699,$B:$B,"&lt;&gt;Patrícia Karla de Sousa Araújo",$B:$B,"&lt;&gt;Lorena Dias de Araujo",$B:$B,"&lt;&gt;Lucas Luiz Romero")*(28/1083),IF(C2699="Técnico I",SUMIFS($D:$D,$A:$A,$A2699,$B:$B,"&lt;&gt;Patrícia Karla de Sousa Araújo",$B:$B,"&lt;&gt;Lorena Dias de Araujo",$B:$B,"&lt;&gt;Lucas Luiz Romero")*(23/1083),IF(C2699="JR",SUMIFS($D:$D,$A:$A,$A2699,$B:$B,"&lt;&gt;Patrícia Karla de Sousa Araújo",$B:$B,"&lt;&gt;Lorena Dias de Araujo",$B:$B,"&lt;&gt;Lucas Luiz Romero")*(20/1083),IF(C2699="Estágio",SUMIFS($D:$D,$A:$A,$A2699,$B:$B,"&lt;&gt;Patrícia Karla de Sousa Araújo",$B:$B,"&lt;&gt;Lorena Dias de Araujo",$B:$B,"&lt;&gt;Lucas Luiz Romero")*(10/1083),0)))))),0)</f>
        <v/>
      </c>
      <c r="K2699" s="3">
        <f>I2699-J2699</f>
        <v/>
      </c>
      <c r="L2699" s="3">
        <f>IF(K2699&lt;-5,"CRÍTICO",IF(K2699&lt;0,"ATENÇÃO",IF(K2699&lt;=5,"BOM","EXCELENTE")))</f>
        <v/>
      </c>
      <c r="N2699" t="n">
        <v>98.86</v>
      </c>
      <c r="O2699" t="n">
        <v>28.95927601809955</v>
      </c>
    </row>
    <row r="2700" hidden="1">
      <c r="A2700" s="11" t="n">
        <v>46085</v>
      </c>
      <c r="B2700" t="inlineStr">
        <is>
          <t>Maysa Victoria Dias Moura</t>
        </is>
      </c>
      <c r="C2700" t="inlineStr">
        <is>
          <t>Técnico III</t>
        </is>
      </c>
      <c r="D2700" t="n">
        <v>38</v>
      </c>
      <c r="E2700" t="n">
        <v>35</v>
      </c>
      <c r="F2700" t="n">
        <v>17.29</v>
      </c>
      <c r="G2700" t="n">
        <v>0</v>
      </c>
      <c r="H2700" t="n">
        <v>0</v>
      </c>
      <c r="I2700" s="3">
        <f>E2700+G2700+H2700</f>
        <v/>
      </c>
      <c r="J2700" s="3">
        <f>ROUND(MIN(IF(C2700="Técnico III",35,IF(C2700="Técnico II",28,IF(C2700="Técnico I",23,IF(C2700="JR",20,IF(C2700="Estágio",10,0))))),IF(C2700="Técnico III",SUMIFS($D:$D,$A:$A,$A2700,$B:$B,"&lt;&gt;Patrícia Karla de Sousa Araújo",$B:$B,"&lt;&gt;Lorena Dias de Araujo",$B:$B,"&lt;&gt;Lucas Luiz Romero")*(35/1083),IF(C2700="Técnico II",SUMIFS($D:$D,$A:$A,$A2700,$B:$B,"&lt;&gt;Patrícia Karla de Sousa Araújo",$B:$B,"&lt;&gt;Lorena Dias de Araujo",$B:$B,"&lt;&gt;Lucas Luiz Romero")*(28/1083),IF(C2700="Técnico I",SUMIFS($D:$D,$A:$A,$A2700,$B:$B,"&lt;&gt;Patrícia Karla de Sousa Araújo",$B:$B,"&lt;&gt;Lorena Dias de Araujo",$B:$B,"&lt;&gt;Lucas Luiz Romero")*(23/1083),IF(C2700="JR",SUMIFS($D:$D,$A:$A,$A2700,$B:$B,"&lt;&gt;Patrícia Karla de Sousa Araújo",$B:$B,"&lt;&gt;Lorena Dias de Araujo",$B:$B,"&lt;&gt;Lucas Luiz Romero")*(20/1083),IF(C2700="Estágio",SUMIFS($D:$D,$A:$A,$A2700,$B:$B,"&lt;&gt;Patrícia Karla de Sousa Araújo",$B:$B,"&lt;&gt;Lorena Dias de Araujo",$B:$B,"&lt;&gt;Lucas Luiz Romero")*(10/1083),0)))))),0)</f>
        <v/>
      </c>
      <c r="K2700" s="3">
        <f>I2700-J2700</f>
        <v/>
      </c>
      <c r="L2700" s="3">
        <f>IF(K2700&lt;-5,"CRÍTICO",IF(K2700&lt;0,"ATENÇÃO",IF(K2700&lt;=5,"BOM","EXCELENTE")))</f>
        <v/>
      </c>
      <c r="N2700" t="n">
        <v>98.06</v>
      </c>
      <c r="O2700" t="n">
        <v>22.40566037735849</v>
      </c>
    </row>
    <row r="2701" hidden="1">
      <c r="A2701" s="11" t="n">
        <v>46085</v>
      </c>
      <c r="B2701" t="inlineStr">
        <is>
          <t>Michelle G Santos</t>
        </is>
      </c>
      <c r="C2701" t="inlineStr">
        <is>
          <t>Estágio</t>
        </is>
      </c>
      <c r="D2701" t="n">
        <v>7</v>
      </c>
      <c r="E2701" t="n">
        <v>7</v>
      </c>
      <c r="F2701" t="n">
        <v>63.21</v>
      </c>
      <c r="G2701" t="n">
        <v>0</v>
      </c>
      <c r="H2701" t="n">
        <v>0</v>
      </c>
      <c r="I2701" s="3">
        <f>E2701+G2701+H2701</f>
        <v/>
      </c>
      <c r="J2701" s="3">
        <f>ROUND(MIN(IF(C2701="Técnico III",35,IF(C2701="Técnico II",28,IF(C2701="Técnico I",23,IF(C2701="JR",20,IF(C2701="Estágio",10,0))))),IF(C2701="Técnico III",SUMIFS($D:$D,$A:$A,$A2701,$B:$B,"&lt;&gt;Patrícia Karla de Sousa Araújo",$B:$B,"&lt;&gt;Lorena Dias de Araujo",$B:$B,"&lt;&gt;Lucas Luiz Romero")*(35/1083),IF(C2701="Técnico II",SUMIFS($D:$D,$A:$A,$A2701,$B:$B,"&lt;&gt;Patrícia Karla de Sousa Araújo",$B:$B,"&lt;&gt;Lorena Dias de Araujo",$B:$B,"&lt;&gt;Lucas Luiz Romero")*(28/1083),IF(C2701="Técnico I",SUMIFS($D:$D,$A:$A,$A2701,$B:$B,"&lt;&gt;Patrícia Karla de Sousa Araújo",$B:$B,"&lt;&gt;Lorena Dias de Araujo",$B:$B,"&lt;&gt;Lucas Luiz Romero")*(23/1083),IF(C2701="JR",SUMIFS($D:$D,$A:$A,$A2701,$B:$B,"&lt;&gt;Patrícia Karla de Sousa Araújo",$B:$B,"&lt;&gt;Lorena Dias de Araujo",$B:$B,"&lt;&gt;Lucas Luiz Romero")*(20/1083),IF(C2701="Estágio",SUMIFS($D:$D,$A:$A,$A2701,$B:$B,"&lt;&gt;Patrícia Karla de Sousa Araújo",$B:$B,"&lt;&gt;Lorena Dias de Araujo",$B:$B,"&lt;&gt;Lucas Luiz Romero")*(10/1083),0)))))),0)</f>
        <v/>
      </c>
      <c r="K2701" s="3">
        <f>I2701-J2701</f>
        <v/>
      </c>
      <c r="L2701" s="3">
        <f>IF(K2701&lt;-5,"CRÍTICO",IF(K2701&lt;0,"ATENÇÃO",IF(K2701&lt;=5,"BOM","EXCELENTE")))</f>
        <v/>
      </c>
      <c r="N2701" t="n">
        <v>95.83</v>
      </c>
      <c r="O2701" t="n">
        <v>25.77319587628866</v>
      </c>
    </row>
    <row r="2702" hidden="1">
      <c r="A2702" s="11" t="n">
        <v>46085</v>
      </c>
      <c r="B2702" t="inlineStr">
        <is>
          <t>Milena Sales</t>
        </is>
      </c>
      <c r="C2702" t="inlineStr">
        <is>
          <t>JR</t>
        </is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s="3" t="n">
        <v>0</v>
      </c>
      <c r="J2702" s="3" t="n">
        <v>0</v>
      </c>
      <c r="K2702" s="3" t="n">
        <v>0</v>
      </c>
      <c r="L2702" s="3">
        <f>IF(K2702&lt;-5,"CRÍTICO",IF(K2702&lt;0,"ATENÇÃO",IF(K2702&lt;=5,"BOM","EXCELENTE")))</f>
        <v/>
      </c>
      <c r="N2702" t="n">
        <v>100</v>
      </c>
      <c r="O2702" t="n">
        <v>15.38461538461539</v>
      </c>
    </row>
    <row r="2703" hidden="1">
      <c r="A2703" s="11" t="n">
        <v>46085</v>
      </c>
      <c r="B2703" t="inlineStr">
        <is>
          <t>Patrícia Karla de Sousa Araújo</t>
        </is>
      </c>
      <c r="C2703" t="inlineStr">
        <is>
          <t>Técnico II</t>
        </is>
      </c>
      <c r="D2703" t="n">
        <v>21</v>
      </c>
      <c r="E2703" t="n">
        <v>20</v>
      </c>
      <c r="F2703" t="n">
        <v>26.49</v>
      </c>
      <c r="G2703" t="n">
        <v>0</v>
      </c>
      <c r="H2703" t="n">
        <v>0</v>
      </c>
      <c r="I2703" s="3">
        <f>E2703+G2703+H2703</f>
        <v/>
      </c>
      <c r="J2703" s="3">
        <f>ROUND(MIN(IF(C2703="Técnico III",35,IF(C2703="Técnico II",28,IF(C2703="Técnico I",23,IF(C2703="JR",20,IF(C2703="Estágio",10,0))))),IF(C2703="Técnico III",SUMIFS($D:$D,$A:$A,$A2703,$B:$B,"&lt;&gt;Patrícia Karla de Sousa Araújo",$B:$B,"&lt;&gt;Lorena Dias de Araujo",$B:$B,"&lt;&gt;Lucas Luiz Romero")*(35/1083),IF(C2703="Técnico II",SUMIFS($D:$D,$A:$A,$A2703,$B:$B,"&lt;&gt;Patrícia Karla de Sousa Araújo",$B:$B,"&lt;&gt;Lorena Dias de Araujo",$B:$B,"&lt;&gt;Lucas Luiz Romero")*(28/1083),IF(C2703="Técnico I",SUMIFS($D:$D,$A:$A,$A2703,$B:$B,"&lt;&gt;Patrícia Karla de Sousa Araújo",$B:$B,"&lt;&gt;Lorena Dias de Araujo",$B:$B,"&lt;&gt;Lucas Luiz Romero")*(23/1083),IF(C2703="JR",SUMIFS($D:$D,$A:$A,$A2703,$B:$B,"&lt;&gt;Patrícia Karla de Sousa Araújo",$B:$B,"&lt;&gt;Lorena Dias de Araujo",$B:$B,"&lt;&gt;Lucas Luiz Romero")*(20/1083),IF(C2703="Estágio",SUMIFS($D:$D,$A:$A,$A2703,$B:$B,"&lt;&gt;Patrícia Karla de Sousa Araújo",$B:$B,"&lt;&gt;Lorena Dias de Araujo",$B:$B,"&lt;&gt;Lucas Luiz Romero")*(10/1083),0)))))),0)</f>
        <v/>
      </c>
      <c r="K2703" s="3">
        <f>I2703-J2703</f>
        <v/>
      </c>
      <c r="L2703" s="3">
        <f>IF(K2703&lt;-5,"CRÍTICO",IF(K2703&lt;0,"ATENÇÃO",IF(K2703&lt;=5,"BOM","EXCELENTE")))</f>
        <v/>
      </c>
      <c r="N2703" t="n">
        <v>100</v>
      </c>
      <c r="O2703" t="n">
        <v>27.51479289940828</v>
      </c>
    </row>
    <row r="2704" hidden="1">
      <c r="A2704" s="11" t="n">
        <v>46085</v>
      </c>
      <c r="B2704" t="inlineStr">
        <is>
          <t>Paulo Ricardo Santos</t>
        </is>
      </c>
      <c r="C2704" t="inlineStr">
        <is>
          <t>JR</t>
        </is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s="3" t="n">
        <v>0</v>
      </c>
      <c r="J2704" s="3" t="n">
        <v>0</v>
      </c>
      <c r="K2704" s="3" t="n">
        <v>0</v>
      </c>
      <c r="L2704" s="3">
        <f>IF(K2704&lt;-5,"CRÍTICO",IF(K2704&lt;0,"ATENÇÃO",IF(K2704&lt;=5,"BOM","EXCELENTE")))</f>
        <v/>
      </c>
      <c r="N2704" t="n">
        <v>100</v>
      </c>
      <c r="O2704" t="n">
        <v>24.87562189054727</v>
      </c>
    </row>
    <row r="2705" hidden="1">
      <c r="A2705" s="11" t="n">
        <v>46085</v>
      </c>
      <c r="B2705" t="inlineStr">
        <is>
          <t>Pedro Luiz Mota Sousa</t>
        </is>
      </c>
      <c r="C2705" t="inlineStr">
        <is>
          <t>JR</t>
        </is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s="3" t="n">
        <v>0</v>
      </c>
      <c r="J2705" s="3" t="n">
        <v>0</v>
      </c>
      <c r="K2705" s="3" t="n">
        <v>0</v>
      </c>
      <c r="L2705" s="3">
        <f>IF(K2705&lt;-5,"CRÍTICO",IF(K2705&lt;0,"ATENÇÃO",IF(K2705&lt;=5,"BOM","EXCELENTE")))</f>
        <v/>
      </c>
      <c r="N2705" t="n">
        <v>100</v>
      </c>
      <c r="O2705" t="n">
        <v>28.10810810810811</v>
      </c>
    </row>
    <row r="2706" hidden="1">
      <c r="A2706" s="11" t="n">
        <v>46085</v>
      </c>
      <c r="B2706" t="inlineStr">
        <is>
          <t>Quirino Diogo Leite Torres</t>
        </is>
      </c>
      <c r="C2706" t="inlineStr">
        <is>
          <t>Estágio</t>
        </is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s="3" t="n">
        <v>0</v>
      </c>
      <c r="J2706" s="3" t="n">
        <v>0</v>
      </c>
      <c r="K2706" s="3" t="n">
        <v>0</v>
      </c>
      <c r="L2706" s="3">
        <f>IF(K2706&lt;-5,"CRÍTICO",IF(K2706&lt;0,"ATENÇÃO",IF(K2706&lt;=5,"BOM","EXCELENTE")))</f>
        <v/>
      </c>
      <c r="N2706" t="n">
        <v>100</v>
      </c>
      <c r="O2706" t="n">
        <v>35</v>
      </c>
    </row>
    <row r="2707" hidden="1">
      <c r="A2707" s="11" t="n">
        <v>46085</v>
      </c>
      <c r="B2707" t="inlineStr">
        <is>
          <t>Raane Batista Matos</t>
        </is>
      </c>
      <c r="C2707" t="inlineStr">
        <is>
          <t>Técnico I</t>
        </is>
      </c>
      <c r="D2707" t="n">
        <v>32</v>
      </c>
      <c r="E2707" t="n">
        <v>23</v>
      </c>
      <c r="F2707" t="n">
        <v>15.25</v>
      </c>
      <c r="G2707" t="n">
        <v>0</v>
      </c>
      <c r="H2707" t="n">
        <v>0</v>
      </c>
      <c r="I2707" s="3">
        <f>E2707+G2707+H2707</f>
        <v/>
      </c>
      <c r="J2707" s="3">
        <f>ROUND(MIN(IF(C2707="Técnico III",35,IF(C2707="Técnico II",28,IF(C2707="Técnico I",23,IF(C2707="JR",20,IF(C2707="Estágio",10,0))))),IF(C2707="Técnico III",SUMIFS($D:$D,$A:$A,$A2707,$B:$B,"&lt;&gt;Patrícia Karla de Sousa Araújo",$B:$B,"&lt;&gt;Lorena Dias de Araujo",$B:$B,"&lt;&gt;Lucas Luiz Romero")*(35/1083),IF(C2707="Técnico II",SUMIFS($D:$D,$A:$A,$A2707,$B:$B,"&lt;&gt;Patrícia Karla de Sousa Araújo",$B:$B,"&lt;&gt;Lorena Dias de Araujo",$B:$B,"&lt;&gt;Lucas Luiz Romero")*(28/1083),IF(C2707="Técnico I",SUMIFS($D:$D,$A:$A,$A2707,$B:$B,"&lt;&gt;Patrícia Karla de Sousa Araújo",$B:$B,"&lt;&gt;Lorena Dias de Araujo",$B:$B,"&lt;&gt;Lucas Luiz Romero")*(23/1083),IF(C2707="JR",SUMIFS($D:$D,$A:$A,$A2707,$B:$B,"&lt;&gt;Patrícia Karla de Sousa Araújo",$B:$B,"&lt;&gt;Lorena Dias de Araujo",$B:$B,"&lt;&gt;Lucas Luiz Romero")*(20/1083),IF(C2707="Estágio",SUMIFS($D:$D,$A:$A,$A2707,$B:$B,"&lt;&gt;Patrícia Karla de Sousa Araújo",$B:$B,"&lt;&gt;Lorena Dias de Araujo",$B:$B,"&lt;&gt;Lucas Luiz Romero")*(10/1083),0)))))),0)</f>
        <v/>
      </c>
      <c r="K2707" s="3">
        <f>I2707-J2707</f>
        <v/>
      </c>
      <c r="L2707" s="3">
        <f>IF(K2707&lt;-5,"CRÍTICO",IF(K2707&lt;0,"ATENÇÃO",IF(K2707&lt;=5,"BOM","EXCELENTE")))</f>
        <v/>
      </c>
      <c r="N2707" t="n">
        <v>95.34999999999999</v>
      </c>
      <c r="O2707" t="n">
        <v>28.61538461538461</v>
      </c>
    </row>
    <row r="2708" hidden="1">
      <c r="A2708" s="11" t="n">
        <v>46085</v>
      </c>
      <c r="B2708" t="inlineStr">
        <is>
          <t>Rafael Gomes de Morais</t>
        </is>
      </c>
      <c r="C2708" t="inlineStr">
        <is>
          <t>Técnico III</t>
        </is>
      </c>
      <c r="D2708" t="n">
        <v>41</v>
      </c>
      <c r="E2708" t="n">
        <v>39</v>
      </c>
      <c r="F2708" t="n">
        <v>13.43</v>
      </c>
      <c r="G2708" t="n">
        <v>0</v>
      </c>
      <c r="H2708" t="n">
        <v>0</v>
      </c>
      <c r="I2708" s="3">
        <f>E2708+G2708+H2708</f>
        <v/>
      </c>
      <c r="J2708" s="3">
        <f>ROUND(MIN(IF(C2708="Técnico III",35,IF(C2708="Técnico II",28,IF(C2708="Técnico I",23,IF(C2708="JR",20,IF(C2708="Estágio",10,0))))),IF(C2708="Técnico III",SUMIFS($D:$D,$A:$A,$A2708,$B:$B,"&lt;&gt;Patrícia Karla de Sousa Araújo",$B:$B,"&lt;&gt;Lorena Dias de Araujo",$B:$B,"&lt;&gt;Lucas Luiz Romero")*(35/1083),IF(C2708="Técnico II",SUMIFS($D:$D,$A:$A,$A2708,$B:$B,"&lt;&gt;Patrícia Karla de Sousa Araújo",$B:$B,"&lt;&gt;Lorena Dias de Araujo",$B:$B,"&lt;&gt;Lucas Luiz Romero")*(28/1083),IF(C2708="Técnico I",SUMIFS($D:$D,$A:$A,$A2708,$B:$B,"&lt;&gt;Patrícia Karla de Sousa Araújo",$B:$B,"&lt;&gt;Lorena Dias de Araujo",$B:$B,"&lt;&gt;Lucas Luiz Romero")*(23/1083),IF(C2708="JR",SUMIFS($D:$D,$A:$A,$A2708,$B:$B,"&lt;&gt;Patrícia Karla de Sousa Araújo",$B:$B,"&lt;&gt;Lorena Dias de Araujo",$B:$B,"&lt;&gt;Lucas Luiz Romero")*(20/1083),IF(C2708="Estágio",SUMIFS($D:$D,$A:$A,$A2708,$B:$B,"&lt;&gt;Patrícia Karla de Sousa Araújo",$B:$B,"&lt;&gt;Lorena Dias de Araujo",$B:$B,"&lt;&gt;Lucas Luiz Romero")*(10/1083),0)))))),0)</f>
        <v/>
      </c>
      <c r="K2708" s="3">
        <f>I2708-J2708</f>
        <v/>
      </c>
      <c r="L2708" s="3">
        <f>IF(K2708&lt;-5,"CRÍTICO",IF(K2708&lt;0,"ATENÇÃO",IF(K2708&lt;=5,"BOM","EXCELENTE")))</f>
        <v/>
      </c>
      <c r="N2708" t="n">
        <v>98.26000000000001</v>
      </c>
      <c r="O2708" t="n">
        <v>27.54491017964072</v>
      </c>
    </row>
    <row r="2709" hidden="1">
      <c r="A2709" s="11" t="n">
        <v>46085</v>
      </c>
      <c r="B2709" t="inlineStr">
        <is>
          <t>Sara Maria Monteiro Lopes</t>
        </is>
      </c>
      <c r="C2709" t="inlineStr">
        <is>
          <t>Técnico I</t>
        </is>
      </c>
      <c r="D2709" t="n">
        <v>16</v>
      </c>
      <c r="E2709" t="n">
        <v>15</v>
      </c>
      <c r="F2709" t="n">
        <v>35.01</v>
      </c>
      <c r="G2709" t="n">
        <v>0</v>
      </c>
      <c r="H2709" t="n">
        <v>0</v>
      </c>
      <c r="I2709" s="3">
        <f>E2709+G2709+H2709</f>
        <v/>
      </c>
      <c r="J2709" s="3">
        <f>ROUND(MIN(IF(C2709="Técnico III",35,IF(C2709="Técnico II",28,IF(C2709="Técnico I",23,IF(C2709="JR",20,IF(C2709="Estágio",10,0))))),IF(C2709="Técnico III",SUMIFS($D:$D,$A:$A,$A2709,$B:$B,"&lt;&gt;Patrícia Karla de Sousa Araújo",$B:$B,"&lt;&gt;Lorena Dias de Araujo",$B:$B,"&lt;&gt;Lucas Luiz Romero")*(35/1083),IF(C2709="Técnico II",SUMIFS($D:$D,$A:$A,$A2709,$B:$B,"&lt;&gt;Patrícia Karla de Sousa Araújo",$B:$B,"&lt;&gt;Lorena Dias de Araujo",$B:$B,"&lt;&gt;Lucas Luiz Romero")*(28/1083),IF(C2709="Técnico I",SUMIFS($D:$D,$A:$A,$A2709,$B:$B,"&lt;&gt;Patrícia Karla de Sousa Araújo",$B:$B,"&lt;&gt;Lorena Dias de Araujo",$B:$B,"&lt;&gt;Lucas Luiz Romero")*(23/1083),IF(C2709="JR",SUMIFS($D:$D,$A:$A,$A2709,$B:$B,"&lt;&gt;Patrícia Karla de Sousa Araújo",$B:$B,"&lt;&gt;Lorena Dias de Araujo",$B:$B,"&lt;&gt;Lucas Luiz Romero")*(20/1083),IF(C2709="Estágio",SUMIFS($D:$D,$A:$A,$A2709,$B:$B,"&lt;&gt;Patrícia Karla de Sousa Araújo",$B:$B,"&lt;&gt;Lorena Dias de Araujo",$B:$B,"&lt;&gt;Lucas Luiz Romero")*(10/1083),0)))))),0)</f>
        <v/>
      </c>
      <c r="K2709" s="3">
        <f>I2709-J2709</f>
        <v/>
      </c>
      <c r="L2709" s="3">
        <f>IF(K2709&lt;-5,"CRÍTICO",IF(K2709&lt;0,"ATENÇÃO",IF(K2709&lt;=5,"BOM","EXCELENTE")))</f>
        <v/>
      </c>
      <c r="N2709" t="n">
        <v>98.55</v>
      </c>
      <c r="O2709" t="n">
        <v>25.33783783783784</v>
      </c>
    </row>
    <row r="2710" hidden="1">
      <c r="A2710" s="11" t="n">
        <v>46085</v>
      </c>
      <c r="B2710" t="inlineStr">
        <is>
          <t>Sarah Steffanie de Lima Borges</t>
        </is>
      </c>
      <c r="C2710" t="inlineStr">
        <is>
          <t>Técnico III</t>
        </is>
      </c>
      <c r="D2710" t="n">
        <v>27</v>
      </c>
      <c r="E2710" t="n">
        <v>22</v>
      </c>
      <c r="F2710" t="n">
        <v>17.07</v>
      </c>
      <c r="G2710" t="n">
        <v>0</v>
      </c>
      <c r="H2710" t="n">
        <v>0</v>
      </c>
      <c r="I2710" s="3">
        <f>E2710+G2710+H2710</f>
        <v/>
      </c>
      <c r="J2710" s="3">
        <f>ROUND(MIN(IF(C2710="Técnico III",35,IF(C2710="Técnico II",28,IF(C2710="Técnico I",23,IF(C2710="JR",20,IF(C2710="Estágio",10,0))))),IF(C2710="Técnico III",SUMIFS($D:$D,$A:$A,$A2710,$B:$B,"&lt;&gt;Patrícia Karla de Sousa Araújo",$B:$B,"&lt;&gt;Lorena Dias de Araujo",$B:$B,"&lt;&gt;Lucas Luiz Romero")*(35/1083),IF(C2710="Técnico II",SUMIFS($D:$D,$A:$A,$A2710,$B:$B,"&lt;&gt;Patrícia Karla de Sousa Araújo",$B:$B,"&lt;&gt;Lorena Dias de Araujo",$B:$B,"&lt;&gt;Lucas Luiz Romero")*(28/1083),IF(C2710="Técnico I",SUMIFS($D:$D,$A:$A,$A2710,$B:$B,"&lt;&gt;Patrícia Karla de Sousa Araújo",$B:$B,"&lt;&gt;Lorena Dias de Araujo",$B:$B,"&lt;&gt;Lucas Luiz Romero")*(23/1083),IF(C2710="JR",SUMIFS($D:$D,$A:$A,$A2710,$B:$B,"&lt;&gt;Patrícia Karla de Sousa Araújo",$B:$B,"&lt;&gt;Lorena Dias de Araujo",$B:$B,"&lt;&gt;Lucas Luiz Romero")*(20/1083),IF(C2710="Estágio",SUMIFS($D:$D,$A:$A,$A2710,$B:$B,"&lt;&gt;Patrícia Karla de Sousa Araújo",$B:$B,"&lt;&gt;Lorena Dias de Araujo",$B:$B,"&lt;&gt;Lucas Luiz Romero")*(10/1083),0)))))),0)</f>
        <v/>
      </c>
      <c r="K2710" s="3">
        <f>I2710-J2710</f>
        <v/>
      </c>
      <c r="L2710" s="3">
        <f>IF(K2710&lt;-5,"CRÍTICO",IF(K2710&lt;0,"ATENÇÃO",IF(K2710&lt;=5,"BOM","EXCELENTE")))</f>
        <v/>
      </c>
      <c r="N2710" t="n">
        <v>98.39</v>
      </c>
      <c r="O2710" t="n">
        <v>25.56390977443609</v>
      </c>
    </row>
    <row r="2711" hidden="1">
      <c r="A2711" s="11" t="n">
        <v>46086</v>
      </c>
      <c r="B2711" t="inlineStr">
        <is>
          <t>Alisson de Freitas Silva</t>
        </is>
      </c>
      <c r="C2711" t="inlineStr">
        <is>
          <t>Técnico II</t>
        </is>
      </c>
      <c r="D2711" t="n">
        <v>30</v>
      </c>
      <c r="E2711" t="n">
        <v>24</v>
      </c>
      <c r="F2711" t="n">
        <v>17.33</v>
      </c>
      <c r="G2711" t="n">
        <v>0</v>
      </c>
      <c r="H2711" t="n">
        <v>0</v>
      </c>
      <c r="I2711" s="3">
        <f>E2711+G2711+H2711</f>
        <v/>
      </c>
      <c r="J2711" s="3">
        <f>ROUND(MIN(IF(C2711="Técnico III",35,IF(C2711="Técnico II",28,IF(C2711="Técnico I",23,IF(C2711="JR",20,IF(C2711="Estágio",10,0))))),IF(C2711="Técnico III",SUMIFS($D:$D,$A:$A,$A2711,$B:$B,"&lt;&gt;Patrícia Karla de Sousa Araújo",$B:$B,"&lt;&gt;Lorena Dias de Araujo",$B:$B,"&lt;&gt;Lucas Luiz Romero")*(35/1083),IF(C2711="Técnico II",SUMIFS($D:$D,$A:$A,$A2711,$B:$B,"&lt;&gt;Patrícia Karla de Sousa Araújo",$B:$B,"&lt;&gt;Lorena Dias de Araujo",$B:$B,"&lt;&gt;Lucas Luiz Romero")*(28/1083),IF(C2711="Técnico I",SUMIFS($D:$D,$A:$A,$A2711,$B:$B,"&lt;&gt;Patrícia Karla de Sousa Araújo",$B:$B,"&lt;&gt;Lorena Dias de Araujo",$B:$B,"&lt;&gt;Lucas Luiz Romero")*(23/1083),IF(C2711="JR",SUMIFS($D:$D,$A:$A,$A2711,$B:$B,"&lt;&gt;Patrícia Karla de Sousa Araújo",$B:$B,"&lt;&gt;Lorena Dias de Araujo",$B:$B,"&lt;&gt;Lucas Luiz Romero")*(20/1083),IF(C2711="Estágio",SUMIFS($D:$D,$A:$A,$A2711,$B:$B,"&lt;&gt;Patrícia Karla de Sousa Araújo",$B:$B,"&lt;&gt;Lorena Dias de Araujo",$B:$B,"&lt;&gt;Lucas Luiz Romero")*(10/1083),0)))))),0)</f>
        <v/>
      </c>
      <c r="K2711" s="3">
        <f>I2711-J2711</f>
        <v/>
      </c>
      <c r="L2711" s="3">
        <f>IF(K2711&lt;-5,"CRÍTICO",IF(K2711&lt;0,"ATENÇÃO",IF(K2711&lt;=5,"BOM","EXCELENTE")))</f>
        <v/>
      </c>
      <c r="N2711" t="n">
        <v>94.29000000000001</v>
      </c>
      <c r="O2711" t="n">
        <v>25.64766839378239</v>
      </c>
    </row>
    <row r="2712" hidden="1">
      <c r="A2712" s="11" t="n">
        <v>46086</v>
      </c>
      <c r="B2712" t="inlineStr">
        <is>
          <t>Amanda Moura Ferreira</t>
        </is>
      </c>
      <c r="C2712" t="inlineStr">
        <is>
          <t>Técnico III</t>
        </is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s="3" t="n">
        <v>0</v>
      </c>
      <c r="J2712" s="3" t="n">
        <v>0</v>
      </c>
      <c r="K2712" s="3" t="n">
        <v>0</v>
      </c>
      <c r="L2712" s="3">
        <f>IF(K2712&lt;-5,"CRÍTICO",IF(K2712&lt;0,"ATENÇÃO",IF(K2712&lt;=5,"BOM","EXCELENTE")))</f>
        <v/>
      </c>
      <c r="N2712" t="n">
        <v>98.26000000000001</v>
      </c>
      <c r="O2712" t="n">
        <v>26.66666666666667</v>
      </c>
    </row>
    <row r="2713" hidden="1">
      <c r="A2713" s="11" t="n">
        <v>46086</v>
      </c>
      <c r="B2713" t="inlineStr">
        <is>
          <t>Ana Karollyne Souza Faria</t>
        </is>
      </c>
      <c r="C2713" t="inlineStr">
        <is>
          <t>Técnico I</t>
        </is>
      </c>
      <c r="D2713" t="n">
        <v>25</v>
      </c>
      <c r="E2713" t="n">
        <v>23</v>
      </c>
      <c r="F2713" t="n">
        <v>21.54</v>
      </c>
      <c r="G2713" t="n">
        <v>0</v>
      </c>
      <c r="H2713" t="n">
        <v>0</v>
      </c>
      <c r="I2713" s="3">
        <f>E2713+G2713+H2713</f>
        <v/>
      </c>
      <c r="J2713" s="3">
        <f>ROUND(MIN(IF(C2713="Técnico III",35,IF(C2713="Técnico II",28,IF(C2713="Técnico I",23,IF(C2713="JR",20,IF(C2713="Estágio",10,0))))),IF(C2713="Técnico III",SUMIFS($D:$D,$A:$A,$A2713,$B:$B,"&lt;&gt;Patrícia Karla de Sousa Araújo",$B:$B,"&lt;&gt;Lorena Dias de Araujo",$B:$B,"&lt;&gt;Lucas Luiz Romero")*(35/1083),IF(C2713="Técnico II",SUMIFS($D:$D,$A:$A,$A2713,$B:$B,"&lt;&gt;Patrícia Karla de Sousa Araújo",$B:$B,"&lt;&gt;Lorena Dias de Araujo",$B:$B,"&lt;&gt;Lucas Luiz Romero")*(28/1083),IF(C2713="Técnico I",SUMIFS($D:$D,$A:$A,$A2713,$B:$B,"&lt;&gt;Patrícia Karla de Sousa Araújo",$B:$B,"&lt;&gt;Lorena Dias de Araujo",$B:$B,"&lt;&gt;Lucas Luiz Romero")*(23/1083),IF(C2713="JR",SUMIFS($D:$D,$A:$A,$A2713,$B:$B,"&lt;&gt;Patrícia Karla de Sousa Araújo",$B:$B,"&lt;&gt;Lorena Dias de Araujo",$B:$B,"&lt;&gt;Lucas Luiz Romero")*(20/1083),IF(C2713="Estágio",SUMIFS($D:$D,$A:$A,$A2713,$B:$B,"&lt;&gt;Patrícia Karla de Sousa Araújo",$B:$B,"&lt;&gt;Lorena Dias de Araujo",$B:$B,"&lt;&gt;Lucas Luiz Romero")*(10/1083),0)))))),0)</f>
        <v/>
      </c>
      <c r="K2713" s="3">
        <f>I2713-J2713</f>
        <v/>
      </c>
      <c r="L2713" s="3">
        <f>IF(K2713&lt;-5,"CRÍTICO",IF(K2713&lt;0,"ATENÇÃO",IF(K2713&lt;=5,"BOM","EXCELENTE")))</f>
        <v/>
      </c>
      <c r="N2713" t="n">
        <v>98.2</v>
      </c>
      <c r="O2713" t="n">
        <v>23.37962962962963</v>
      </c>
    </row>
    <row r="2714" hidden="1">
      <c r="A2714" s="11" t="n">
        <v>46086</v>
      </c>
      <c r="B2714" t="inlineStr">
        <is>
          <t>Ana Paula Da Luz Silva Aleixo</t>
        </is>
      </c>
      <c r="C2714" t="inlineStr">
        <is>
          <t>Técnico III</t>
        </is>
      </c>
      <c r="D2714" t="n">
        <v>28</v>
      </c>
      <c r="E2714" t="n">
        <v>26</v>
      </c>
      <c r="F2714" t="n">
        <v>22.09</v>
      </c>
      <c r="G2714" t="n">
        <v>0</v>
      </c>
      <c r="H2714" t="n">
        <v>0</v>
      </c>
      <c r="I2714" s="3">
        <f>E2714+G2714+H2714</f>
        <v/>
      </c>
      <c r="J2714" s="3">
        <f>ROUND(MIN(IF(C2714="Técnico III",35,IF(C2714="Técnico II",28,IF(C2714="Técnico I",23,IF(C2714="JR",20,IF(C2714="Estágio",10,0))))),IF(C2714="Técnico III",SUMIFS($D:$D,$A:$A,$A2714,$B:$B,"&lt;&gt;Patrícia Karla de Sousa Araújo",$B:$B,"&lt;&gt;Lorena Dias de Araujo",$B:$B,"&lt;&gt;Lucas Luiz Romero")*(35/1083),IF(C2714="Técnico II",SUMIFS($D:$D,$A:$A,$A2714,$B:$B,"&lt;&gt;Patrícia Karla de Sousa Araújo",$B:$B,"&lt;&gt;Lorena Dias de Araujo",$B:$B,"&lt;&gt;Lucas Luiz Romero")*(28/1083),IF(C2714="Técnico I",SUMIFS($D:$D,$A:$A,$A2714,$B:$B,"&lt;&gt;Patrícia Karla de Sousa Araújo",$B:$B,"&lt;&gt;Lorena Dias de Araujo",$B:$B,"&lt;&gt;Lucas Luiz Romero")*(23/1083),IF(C2714="JR",SUMIFS($D:$D,$A:$A,$A2714,$B:$B,"&lt;&gt;Patrícia Karla de Sousa Araújo",$B:$B,"&lt;&gt;Lorena Dias de Araujo",$B:$B,"&lt;&gt;Lucas Luiz Romero")*(20/1083),IF(C2714="Estágio",SUMIFS($D:$D,$A:$A,$A2714,$B:$B,"&lt;&gt;Patrícia Karla de Sousa Araújo",$B:$B,"&lt;&gt;Lorena Dias de Araujo",$B:$B,"&lt;&gt;Lucas Luiz Romero")*(10/1083),0)))))),0)</f>
        <v/>
      </c>
      <c r="K2714" s="3">
        <f>I2714-J2714</f>
        <v/>
      </c>
      <c r="L2714" s="3">
        <f>IF(K2714&lt;-5,"CRÍTICO",IF(K2714&lt;0,"ATENÇÃO",IF(K2714&lt;=5,"BOM","EXCELENTE")))</f>
        <v/>
      </c>
      <c r="N2714" t="n">
        <v>97.3</v>
      </c>
      <c r="O2714" t="n">
        <v>23.84769539078156</v>
      </c>
    </row>
    <row r="2715" hidden="1">
      <c r="A2715" s="11" t="n">
        <v>46086</v>
      </c>
      <c r="B2715" t="inlineStr">
        <is>
          <t>Anna Luiza Rezende Tavares</t>
        </is>
      </c>
      <c r="C2715" t="inlineStr">
        <is>
          <t>Estágio</t>
        </is>
      </c>
      <c r="D2715" t="n">
        <v>13</v>
      </c>
      <c r="E2715" t="n">
        <v>11</v>
      </c>
      <c r="F2715" t="n">
        <v>22.22</v>
      </c>
      <c r="G2715" t="n">
        <v>0</v>
      </c>
      <c r="H2715" t="n">
        <v>0</v>
      </c>
      <c r="I2715" s="3">
        <f>E2715+G2715+H2715</f>
        <v/>
      </c>
      <c r="J2715" s="3">
        <f>ROUND(MIN(IF(C2715="Técnico III",35,IF(C2715="Técnico II",28,IF(C2715="Técnico I",23,IF(C2715="JR",20,IF(C2715="Estágio",10,0))))),IF(C2715="Técnico III",SUMIFS($D:$D,$A:$A,$A2715,$B:$B,"&lt;&gt;Patrícia Karla de Sousa Araújo",$B:$B,"&lt;&gt;Lorena Dias de Araujo",$B:$B,"&lt;&gt;Lucas Luiz Romero")*(35/1083),IF(C2715="Técnico II",SUMIFS($D:$D,$A:$A,$A2715,$B:$B,"&lt;&gt;Patrícia Karla de Sousa Araújo",$B:$B,"&lt;&gt;Lorena Dias de Araujo",$B:$B,"&lt;&gt;Lucas Luiz Romero")*(28/1083),IF(C2715="Técnico I",SUMIFS($D:$D,$A:$A,$A2715,$B:$B,"&lt;&gt;Patrícia Karla de Sousa Araújo",$B:$B,"&lt;&gt;Lorena Dias de Araujo",$B:$B,"&lt;&gt;Lucas Luiz Romero")*(23/1083),IF(C2715="JR",SUMIFS($D:$D,$A:$A,$A2715,$B:$B,"&lt;&gt;Patrícia Karla de Sousa Araújo",$B:$B,"&lt;&gt;Lorena Dias de Araujo",$B:$B,"&lt;&gt;Lucas Luiz Romero")*(20/1083),IF(C2715="Estágio",SUMIFS($D:$D,$A:$A,$A2715,$B:$B,"&lt;&gt;Patrícia Karla de Sousa Araújo",$B:$B,"&lt;&gt;Lorena Dias de Araujo",$B:$B,"&lt;&gt;Lucas Luiz Romero")*(10/1083),0)))))),0)</f>
        <v/>
      </c>
      <c r="K2715" s="3">
        <f>I2715-J2715</f>
        <v/>
      </c>
      <c r="L2715" s="3">
        <f>IF(K2715&lt;-5,"CRÍTICO",IF(K2715&lt;0,"ATENÇÃO",IF(K2715&lt;=5,"BOM","EXCELENTE")))</f>
        <v/>
      </c>
      <c r="N2715" t="n">
        <v>100</v>
      </c>
      <c r="O2715" t="n">
        <v>25.26881720430108</v>
      </c>
    </row>
    <row r="2716" hidden="1">
      <c r="A2716" s="11" t="n">
        <v>46086</v>
      </c>
      <c r="B2716" t="inlineStr">
        <is>
          <t>Brenda de Menezes Silva</t>
        </is>
      </c>
      <c r="C2716" t="inlineStr">
        <is>
          <t>Técnico II</t>
        </is>
      </c>
      <c r="D2716" t="n">
        <v>25</v>
      </c>
      <c r="E2716" t="n">
        <v>24</v>
      </c>
      <c r="F2716" t="n">
        <v>20.16</v>
      </c>
      <c r="G2716" t="n">
        <v>0</v>
      </c>
      <c r="H2716" t="n">
        <v>0</v>
      </c>
      <c r="I2716" s="3">
        <f>E2716+G2716+H2716</f>
        <v/>
      </c>
      <c r="J2716" s="3">
        <f>ROUND(MIN(IF(C2716="Técnico III",35,IF(C2716="Técnico II",28,IF(C2716="Técnico I",23,IF(C2716="JR",20,IF(C2716="Estágio",10,0))))),IF(C2716="Técnico III",SUMIFS($D:$D,$A:$A,$A2716,$B:$B,"&lt;&gt;Patrícia Karla de Sousa Araújo",$B:$B,"&lt;&gt;Lorena Dias de Araujo",$B:$B,"&lt;&gt;Lucas Luiz Romero")*(35/1083),IF(C2716="Técnico II",SUMIFS($D:$D,$A:$A,$A2716,$B:$B,"&lt;&gt;Patrícia Karla de Sousa Araújo",$B:$B,"&lt;&gt;Lorena Dias de Araujo",$B:$B,"&lt;&gt;Lucas Luiz Romero")*(28/1083),IF(C2716="Técnico I",SUMIFS($D:$D,$A:$A,$A2716,$B:$B,"&lt;&gt;Patrícia Karla de Sousa Araújo",$B:$B,"&lt;&gt;Lorena Dias de Araujo",$B:$B,"&lt;&gt;Lucas Luiz Romero")*(23/1083),IF(C2716="JR",SUMIFS($D:$D,$A:$A,$A2716,$B:$B,"&lt;&gt;Patrícia Karla de Sousa Araújo",$B:$B,"&lt;&gt;Lorena Dias de Araujo",$B:$B,"&lt;&gt;Lucas Luiz Romero")*(20/1083),IF(C2716="Estágio",SUMIFS($D:$D,$A:$A,$A2716,$B:$B,"&lt;&gt;Patrícia Karla de Sousa Araújo",$B:$B,"&lt;&gt;Lorena Dias de Araujo",$B:$B,"&lt;&gt;Lucas Luiz Romero")*(10/1083),0)))))),0)</f>
        <v/>
      </c>
      <c r="K2716" s="3">
        <f>I2716-J2716</f>
        <v/>
      </c>
      <c r="L2716" s="3">
        <f>IF(K2716&lt;-5,"CRÍTICO",IF(K2716&lt;0,"ATENÇÃO",IF(K2716&lt;=5,"BOM","EXCELENTE")))</f>
        <v/>
      </c>
      <c r="N2716" t="n">
        <v>99.31999999999999</v>
      </c>
      <c r="O2716" t="n">
        <v>22.82282282282282</v>
      </c>
    </row>
    <row r="2717" hidden="1">
      <c r="A2717" s="11" t="n">
        <v>46086</v>
      </c>
      <c r="B2717" t="inlineStr">
        <is>
          <t>Carlos Mateus Cassimiro Nunes</t>
        </is>
      </c>
      <c r="C2717" t="inlineStr">
        <is>
          <t>Técnico II</t>
        </is>
      </c>
      <c r="D2717" t="n">
        <v>16</v>
      </c>
      <c r="E2717" t="n">
        <v>16</v>
      </c>
      <c r="F2717" t="n">
        <v>40.26</v>
      </c>
      <c r="G2717" t="n">
        <v>0</v>
      </c>
      <c r="H2717" t="n">
        <v>0</v>
      </c>
      <c r="I2717" s="3">
        <f>E2717+G2717+H2717</f>
        <v/>
      </c>
      <c r="J2717" s="3">
        <f>ROUND(MIN(IF(C2717="Técnico III",35,IF(C2717="Técnico II",28,IF(C2717="Técnico I",23,IF(C2717="JR",20,IF(C2717="Estágio",10,0))))),IF(C2717="Técnico III",SUMIFS($D:$D,$A:$A,$A2717,$B:$B,"&lt;&gt;Patrícia Karla de Sousa Araújo",$B:$B,"&lt;&gt;Lorena Dias de Araujo",$B:$B,"&lt;&gt;Lucas Luiz Romero")*(35/1083),IF(C2717="Técnico II",SUMIFS($D:$D,$A:$A,$A2717,$B:$B,"&lt;&gt;Patrícia Karla de Sousa Araújo",$B:$B,"&lt;&gt;Lorena Dias de Araujo",$B:$B,"&lt;&gt;Lucas Luiz Romero")*(28/1083),IF(C2717="Técnico I",SUMIFS($D:$D,$A:$A,$A2717,$B:$B,"&lt;&gt;Patrícia Karla de Sousa Araújo",$B:$B,"&lt;&gt;Lorena Dias de Araujo",$B:$B,"&lt;&gt;Lucas Luiz Romero")*(23/1083),IF(C2717="JR",SUMIFS($D:$D,$A:$A,$A2717,$B:$B,"&lt;&gt;Patrícia Karla de Sousa Araújo",$B:$B,"&lt;&gt;Lorena Dias de Araujo",$B:$B,"&lt;&gt;Lucas Luiz Romero")*(20/1083),IF(C2717="Estágio",SUMIFS($D:$D,$A:$A,$A2717,$B:$B,"&lt;&gt;Patrícia Karla de Sousa Araújo",$B:$B,"&lt;&gt;Lorena Dias de Araujo",$B:$B,"&lt;&gt;Lucas Luiz Romero")*(10/1083),0)))))),0)</f>
        <v/>
      </c>
      <c r="K2717" s="3">
        <f>I2717-J2717</f>
        <v/>
      </c>
      <c r="L2717" s="3">
        <f>IF(K2717&lt;-5,"CRÍTICO",IF(K2717&lt;0,"ATENÇÃO",IF(K2717&lt;=5,"BOM","EXCELENTE")))</f>
        <v/>
      </c>
      <c r="N2717" t="n">
        <v>100</v>
      </c>
      <c r="O2717" t="n">
        <v>27.96610169491525</v>
      </c>
    </row>
    <row r="2718" hidden="1">
      <c r="A2718" s="11" t="n">
        <v>46086</v>
      </c>
      <c r="B2718" t="inlineStr">
        <is>
          <t>Claudio de Sousa Velasco Filho</t>
        </is>
      </c>
      <c r="C2718" t="inlineStr">
        <is>
          <t>Estágio</t>
        </is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s="3" t="n">
        <v>0</v>
      </c>
      <c r="J2718" s="3" t="n">
        <v>0</v>
      </c>
      <c r="K2718" s="3" t="n">
        <v>0</v>
      </c>
      <c r="L2718" s="3">
        <f>IF(K2718&lt;-5,"CRÍTICO",IF(K2718&lt;0,"ATENÇÃO",IF(K2718&lt;=5,"BOM","EXCELENTE")))</f>
        <v/>
      </c>
      <c r="N2718" t="n">
        <v>100</v>
      </c>
      <c r="O2718" t="n">
        <v>30.43478260869566</v>
      </c>
    </row>
    <row r="2719" hidden="1">
      <c r="A2719" s="11" t="n">
        <v>46086</v>
      </c>
      <c r="B2719" t="inlineStr">
        <is>
          <t>Clessiane Pereira dos Santos</t>
        </is>
      </c>
      <c r="C2719" t="inlineStr">
        <is>
          <t>Técnico I</t>
        </is>
      </c>
      <c r="D2719" t="n">
        <v>21</v>
      </c>
      <c r="E2719" t="n">
        <v>19</v>
      </c>
      <c r="F2719" t="n">
        <v>33.27</v>
      </c>
      <c r="G2719" t="n">
        <v>0</v>
      </c>
      <c r="H2719" t="n">
        <v>0</v>
      </c>
      <c r="I2719" s="3">
        <f>E2719+G2719+H2719</f>
        <v/>
      </c>
      <c r="J2719" s="3">
        <f>ROUND(MIN(IF(C2719="Técnico III",35,IF(C2719="Técnico II",28,IF(C2719="Técnico I",23,IF(C2719="JR",20,IF(C2719="Estágio",10,0))))),IF(C2719="Técnico III",SUMIFS($D:$D,$A:$A,$A2719,$B:$B,"&lt;&gt;Patrícia Karla de Sousa Araújo",$B:$B,"&lt;&gt;Lorena Dias de Araujo",$B:$B,"&lt;&gt;Lucas Luiz Romero")*(35/1083),IF(C2719="Técnico II",SUMIFS($D:$D,$A:$A,$A2719,$B:$B,"&lt;&gt;Patrícia Karla de Sousa Araújo",$B:$B,"&lt;&gt;Lorena Dias de Araujo",$B:$B,"&lt;&gt;Lucas Luiz Romero")*(28/1083),IF(C2719="Técnico I",SUMIFS($D:$D,$A:$A,$A2719,$B:$B,"&lt;&gt;Patrícia Karla de Sousa Araújo",$B:$B,"&lt;&gt;Lorena Dias de Araujo",$B:$B,"&lt;&gt;Lucas Luiz Romero")*(23/1083),IF(C2719="JR",SUMIFS($D:$D,$A:$A,$A2719,$B:$B,"&lt;&gt;Patrícia Karla de Sousa Araújo",$B:$B,"&lt;&gt;Lorena Dias de Araujo",$B:$B,"&lt;&gt;Lucas Luiz Romero")*(20/1083),IF(C2719="Estágio",SUMIFS($D:$D,$A:$A,$A2719,$B:$B,"&lt;&gt;Patrícia Karla de Sousa Araújo",$B:$B,"&lt;&gt;Lorena Dias de Araujo",$B:$B,"&lt;&gt;Lucas Luiz Romero")*(10/1083),0)))))),0)</f>
        <v/>
      </c>
      <c r="K2719" s="3">
        <f>I2719-J2719</f>
        <v/>
      </c>
      <c r="L2719" s="3">
        <f>IF(K2719&lt;-5,"CRÍTICO",IF(K2719&lt;0,"ATENÇÃO",IF(K2719&lt;=5,"BOM","EXCELENTE")))</f>
        <v/>
      </c>
      <c r="N2719" t="n">
        <v>96.51000000000001</v>
      </c>
      <c r="O2719" t="n">
        <v>22.80285035629454</v>
      </c>
    </row>
    <row r="2720" hidden="1">
      <c r="A2720" s="11" t="n">
        <v>46086</v>
      </c>
      <c r="B2720" t="inlineStr">
        <is>
          <t>Cristiane Ramos da Silva Rocha</t>
        </is>
      </c>
      <c r="C2720" t="inlineStr">
        <is>
          <t>Técnico III</t>
        </is>
      </c>
      <c r="D2720" t="n">
        <v>42</v>
      </c>
      <c r="E2720" t="n">
        <v>38</v>
      </c>
      <c r="F2720" t="n">
        <v>13.49</v>
      </c>
      <c r="G2720" t="n">
        <v>0</v>
      </c>
      <c r="H2720" t="n">
        <v>0</v>
      </c>
      <c r="I2720" s="3">
        <f>E2720+G2720+H2720</f>
        <v/>
      </c>
      <c r="J2720" s="3">
        <f>ROUND(MIN(IF(C2720="Técnico III",35,IF(C2720="Técnico II",28,IF(C2720="Técnico I",23,IF(C2720="JR",20,IF(C2720="Estágio",10,0))))),IF(C2720="Técnico III",SUMIFS($D:$D,$A:$A,$A2720,$B:$B,"&lt;&gt;Patrícia Karla de Sousa Araújo",$B:$B,"&lt;&gt;Lorena Dias de Araujo",$B:$B,"&lt;&gt;Lucas Luiz Romero")*(35/1083),IF(C2720="Técnico II",SUMIFS($D:$D,$A:$A,$A2720,$B:$B,"&lt;&gt;Patrícia Karla de Sousa Araújo",$B:$B,"&lt;&gt;Lorena Dias de Araujo",$B:$B,"&lt;&gt;Lucas Luiz Romero")*(28/1083),IF(C2720="Técnico I",SUMIFS($D:$D,$A:$A,$A2720,$B:$B,"&lt;&gt;Patrícia Karla de Sousa Araújo",$B:$B,"&lt;&gt;Lorena Dias de Araujo",$B:$B,"&lt;&gt;Lucas Luiz Romero")*(23/1083),IF(C2720="JR",SUMIFS($D:$D,$A:$A,$A2720,$B:$B,"&lt;&gt;Patrícia Karla de Sousa Araújo",$B:$B,"&lt;&gt;Lorena Dias de Araujo",$B:$B,"&lt;&gt;Lucas Luiz Romero")*(20/1083),IF(C2720="Estágio",SUMIFS($D:$D,$A:$A,$A2720,$B:$B,"&lt;&gt;Patrícia Karla de Sousa Araújo",$B:$B,"&lt;&gt;Lorena Dias de Araujo",$B:$B,"&lt;&gt;Lucas Luiz Romero")*(10/1083),0)))))),0)</f>
        <v/>
      </c>
      <c r="K2720" s="3">
        <f>I2720-J2720</f>
        <v/>
      </c>
      <c r="L2720" s="3">
        <f>IF(K2720&lt;-5,"CRÍTICO",IF(K2720&lt;0,"ATENÇÃO",IF(K2720&lt;=5,"BOM","EXCELENTE")))</f>
        <v/>
      </c>
      <c r="N2720" t="n">
        <v>92.68000000000001</v>
      </c>
      <c r="O2720" t="n">
        <v>27.77777777777778</v>
      </c>
    </row>
    <row r="2721" hidden="1">
      <c r="A2721" s="11" t="n">
        <v>46086</v>
      </c>
      <c r="B2721" t="inlineStr">
        <is>
          <t>Damyllis Lorraine de Oliveira Gonçalves</t>
        </is>
      </c>
      <c r="C2721" t="inlineStr">
        <is>
          <t>Técnico II</t>
        </is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s="3" t="n">
        <v>0</v>
      </c>
      <c r="J2721" s="3" t="n">
        <v>0</v>
      </c>
      <c r="K2721" s="3" t="n">
        <v>0</v>
      </c>
      <c r="L2721" s="3">
        <f>IF(K2721&lt;-5,"CRÍTICO",IF(K2721&lt;0,"ATENÇÃO",IF(K2721&lt;=5,"BOM","EXCELENTE")))</f>
        <v/>
      </c>
      <c r="N2721" t="n">
        <v>99.03</v>
      </c>
      <c r="O2721" t="n">
        <v>23.99150743099788</v>
      </c>
    </row>
    <row r="2722" hidden="1">
      <c r="A2722" s="11" t="n">
        <v>46086</v>
      </c>
      <c r="B2722" t="inlineStr">
        <is>
          <t>Daniel Gomes da Silva</t>
        </is>
      </c>
      <c r="C2722" t="inlineStr">
        <is>
          <t>Técnico I</t>
        </is>
      </c>
      <c r="D2722" t="n">
        <v>22</v>
      </c>
      <c r="E2722" t="n">
        <v>22</v>
      </c>
      <c r="F2722" t="n">
        <v>25.34</v>
      </c>
      <c r="G2722" t="n">
        <v>0</v>
      </c>
      <c r="H2722" t="n">
        <v>0</v>
      </c>
      <c r="I2722" s="3">
        <f>E2722+G2722+H2722</f>
        <v/>
      </c>
      <c r="J2722" s="3">
        <f>ROUND(MIN(IF(C2722="Técnico III",35,IF(C2722="Técnico II",28,IF(C2722="Técnico I",23,IF(C2722="JR",20,IF(C2722="Estágio",10,0))))),IF(C2722="Técnico III",SUMIFS($D:$D,$A:$A,$A2722,$B:$B,"&lt;&gt;Patrícia Karla de Sousa Araújo",$B:$B,"&lt;&gt;Lorena Dias de Araujo",$B:$B,"&lt;&gt;Lucas Luiz Romero")*(35/1083),IF(C2722="Técnico II",SUMIFS($D:$D,$A:$A,$A2722,$B:$B,"&lt;&gt;Patrícia Karla de Sousa Araújo",$B:$B,"&lt;&gt;Lorena Dias de Araujo",$B:$B,"&lt;&gt;Lucas Luiz Romero")*(28/1083),IF(C2722="Técnico I",SUMIFS($D:$D,$A:$A,$A2722,$B:$B,"&lt;&gt;Patrícia Karla de Sousa Araújo",$B:$B,"&lt;&gt;Lorena Dias de Araujo",$B:$B,"&lt;&gt;Lucas Luiz Romero")*(23/1083),IF(C2722="JR",SUMIFS($D:$D,$A:$A,$A2722,$B:$B,"&lt;&gt;Patrícia Karla de Sousa Araújo",$B:$B,"&lt;&gt;Lorena Dias de Araujo",$B:$B,"&lt;&gt;Lucas Luiz Romero")*(20/1083),IF(C2722="Estágio",SUMIFS($D:$D,$A:$A,$A2722,$B:$B,"&lt;&gt;Patrícia Karla de Sousa Araújo",$B:$B,"&lt;&gt;Lorena Dias de Araujo",$B:$B,"&lt;&gt;Lucas Luiz Romero")*(10/1083),0)))))),0)</f>
        <v/>
      </c>
      <c r="K2722" s="3">
        <f>I2722-J2722</f>
        <v/>
      </c>
      <c r="L2722" s="3">
        <f>IF(K2722&lt;-5,"CRÍTICO",IF(K2722&lt;0,"ATENÇÃO",IF(K2722&lt;=5,"BOM","EXCELENTE")))</f>
        <v/>
      </c>
      <c r="N2722" t="n">
        <v>98.41</v>
      </c>
      <c r="O2722" t="n">
        <v>28.13852813852814</v>
      </c>
    </row>
    <row r="2723" hidden="1">
      <c r="A2723" s="11" t="n">
        <v>46086</v>
      </c>
      <c r="B2723" t="inlineStr">
        <is>
          <t>Davylla Rodrigues Freitas Silva</t>
        </is>
      </c>
      <c r="C2723" t="inlineStr">
        <is>
          <t>Técnico III</t>
        </is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s="3" t="n">
        <v>0</v>
      </c>
      <c r="J2723" s="3" t="n">
        <v>0</v>
      </c>
      <c r="K2723" s="3" t="n">
        <v>0</v>
      </c>
      <c r="L2723" s="3">
        <f>IF(K2723&lt;-5,"CRÍTICO",IF(K2723&lt;0,"ATENÇÃO",IF(K2723&lt;=5,"BOM","EXCELENTE")))</f>
        <v/>
      </c>
      <c r="N2723" t="n">
        <v>98.73</v>
      </c>
      <c r="O2723" t="n">
        <v>29.14285714285714</v>
      </c>
    </row>
    <row r="2724" hidden="1">
      <c r="A2724" s="11" t="n">
        <v>46086</v>
      </c>
      <c r="B2724" t="inlineStr">
        <is>
          <t>Emilly Caylane Costa</t>
        </is>
      </c>
      <c r="C2724" t="inlineStr">
        <is>
          <t>Estágio</t>
        </is>
      </c>
      <c r="D2724" t="n">
        <v>55</v>
      </c>
      <c r="E2724" t="n">
        <v>45</v>
      </c>
      <c r="F2724" t="n">
        <v>5.55</v>
      </c>
      <c r="G2724" t="n">
        <v>0</v>
      </c>
      <c r="H2724" t="n">
        <v>0</v>
      </c>
      <c r="I2724" s="3">
        <f>E2724+G2724+H2724</f>
        <v/>
      </c>
      <c r="J2724" s="3">
        <f>ROUND(MIN(IF(C2724="Técnico III",35,IF(C2724="Técnico II",28,IF(C2724="Técnico I",23,IF(C2724="JR",20,IF(C2724="Estágio",10,0))))),IF(C2724="Técnico III",SUMIFS($D:$D,$A:$A,$A2724,$B:$B,"&lt;&gt;Patrícia Karla de Sousa Araújo",$B:$B,"&lt;&gt;Lorena Dias de Araujo",$B:$B,"&lt;&gt;Lucas Luiz Romero")*(35/1083),IF(C2724="Técnico II",SUMIFS($D:$D,$A:$A,$A2724,$B:$B,"&lt;&gt;Patrícia Karla de Sousa Araújo",$B:$B,"&lt;&gt;Lorena Dias de Araujo",$B:$B,"&lt;&gt;Lucas Luiz Romero")*(28/1083),IF(C2724="Técnico I",SUMIFS($D:$D,$A:$A,$A2724,$B:$B,"&lt;&gt;Patrícia Karla de Sousa Araújo",$B:$B,"&lt;&gt;Lorena Dias de Araujo",$B:$B,"&lt;&gt;Lucas Luiz Romero")*(23/1083),IF(C2724="JR",SUMIFS($D:$D,$A:$A,$A2724,$B:$B,"&lt;&gt;Patrícia Karla de Sousa Araújo",$B:$B,"&lt;&gt;Lorena Dias de Araujo",$B:$B,"&lt;&gt;Lucas Luiz Romero")*(20/1083),IF(C2724="Estágio",SUMIFS($D:$D,$A:$A,$A2724,$B:$B,"&lt;&gt;Patrícia Karla de Sousa Araújo",$B:$B,"&lt;&gt;Lorena Dias de Araujo",$B:$B,"&lt;&gt;Lucas Luiz Romero")*(10/1083),0)))))),0)</f>
        <v/>
      </c>
      <c r="K2724" s="3">
        <f>I2724-J2724</f>
        <v/>
      </c>
      <c r="L2724" s="3">
        <f>IF(K2724&lt;-5,"CRÍTICO",IF(K2724&lt;0,"ATENÇÃO",IF(K2724&lt;=5,"BOM","EXCELENTE")))</f>
        <v/>
      </c>
      <c r="N2724" t="n">
        <v>90.48</v>
      </c>
      <c r="O2724" t="n">
        <v>20.68965517241379</v>
      </c>
    </row>
    <row r="2725" hidden="1">
      <c r="A2725" s="11" t="n">
        <v>46086</v>
      </c>
      <c r="B2725" t="inlineStr">
        <is>
          <t>Emilly Kamilly Medeiros Miranda</t>
        </is>
      </c>
      <c r="C2725" t="inlineStr">
        <is>
          <t>Técnico II</t>
        </is>
      </c>
      <c r="D2725" t="n">
        <v>33</v>
      </c>
      <c r="E2725" t="n">
        <v>31</v>
      </c>
      <c r="F2725" t="n">
        <v>20.32</v>
      </c>
      <c r="G2725" t="n">
        <v>0</v>
      </c>
      <c r="H2725" t="n">
        <v>0</v>
      </c>
      <c r="I2725" s="3">
        <f>E2725+G2725+H2725</f>
        <v/>
      </c>
      <c r="J2725" s="3">
        <f>ROUND(MIN(IF(C2725="Técnico III",35,IF(C2725="Técnico II",28,IF(C2725="Técnico I",23,IF(C2725="JR",20,IF(C2725="Estágio",10,0))))),IF(C2725="Técnico III",SUMIFS($D:$D,$A:$A,$A2725,$B:$B,"&lt;&gt;Patrícia Karla de Sousa Araújo",$B:$B,"&lt;&gt;Lorena Dias de Araujo",$B:$B,"&lt;&gt;Lucas Luiz Romero")*(35/1083),IF(C2725="Técnico II",SUMIFS($D:$D,$A:$A,$A2725,$B:$B,"&lt;&gt;Patrícia Karla de Sousa Araújo",$B:$B,"&lt;&gt;Lorena Dias de Araujo",$B:$B,"&lt;&gt;Lucas Luiz Romero")*(28/1083),IF(C2725="Técnico I",SUMIFS($D:$D,$A:$A,$A2725,$B:$B,"&lt;&gt;Patrícia Karla de Sousa Araújo",$B:$B,"&lt;&gt;Lorena Dias de Araujo",$B:$B,"&lt;&gt;Lucas Luiz Romero")*(23/1083),IF(C2725="JR",SUMIFS($D:$D,$A:$A,$A2725,$B:$B,"&lt;&gt;Patrícia Karla de Sousa Araújo",$B:$B,"&lt;&gt;Lorena Dias de Araujo",$B:$B,"&lt;&gt;Lucas Luiz Romero")*(20/1083),IF(C2725="Estágio",SUMIFS($D:$D,$A:$A,$A2725,$B:$B,"&lt;&gt;Patrícia Karla de Sousa Araújo",$B:$B,"&lt;&gt;Lorena Dias de Araujo",$B:$B,"&lt;&gt;Lucas Luiz Romero")*(10/1083),0)))))),0)</f>
        <v/>
      </c>
      <c r="K2725" s="3">
        <f>I2725-J2725</f>
        <v/>
      </c>
      <c r="L2725" s="3">
        <f>IF(K2725&lt;-5,"CRÍTICO",IF(K2725&lt;0,"ATENÇÃO",IF(K2725&lt;=5,"BOM","EXCELENTE")))</f>
        <v/>
      </c>
      <c r="N2725" t="n">
        <v>98.06</v>
      </c>
      <c r="O2725" t="n">
        <v>24.78991596638656</v>
      </c>
    </row>
    <row r="2726" hidden="1">
      <c r="A2726" s="11" t="n">
        <v>46086</v>
      </c>
      <c r="B2726" t="inlineStr">
        <is>
          <t>Francielson de Oliveira</t>
        </is>
      </c>
      <c r="C2726" t="inlineStr">
        <is>
          <t>Técnico III</t>
        </is>
      </c>
      <c r="D2726" t="n">
        <v>36</v>
      </c>
      <c r="E2726" t="n">
        <v>36</v>
      </c>
      <c r="F2726" t="n">
        <v>17.34</v>
      </c>
      <c r="G2726" t="n">
        <v>0</v>
      </c>
      <c r="H2726" t="n">
        <v>0</v>
      </c>
      <c r="I2726" s="3">
        <f>E2726+G2726+H2726</f>
        <v/>
      </c>
      <c r="J2726" s="3">
        <f>ROUND(MIN(IF(C2726="Técnico III",35,IF(C2726="Técnico II",28,IF(C2726="Técnico I",23,IF(C2726="JR",20,IF(C2726="Estágio",10,0))))),IF(C2726="Técnico III",SUMIFS($D:$D,$A:$A,$A2726,$B:$B,"&lt;&gt;Patrícia Karla de Sousa Araújo",$B:$B,"&lt;&gt;Lorena Dias de Araujo",$B:$B,"&lt;&gt;Lucas Luiz Romero")*(35/1083),IF(C2726="Técnico II",SUMIFS($D:$D,$A:$A,$A2726,$B:$B,"&lt;&gt;Patrícia Karla de Sousa Araújo",$B:$B,"&lt;&gt;Lorena Dias de Araujo",$B:$B,"&lt;&gt;Lucas Luiz Romero")*(28/1083),IF(C2726="Técnico I",SUMIFS($D:$D,$A:$A,$A2726,$B:$B,"&lt;&gt;Patrícia Karla de Sousa Araújo",$B:$B,"&lt;&gt;Lorena Dias de Araujo",$B:$B,"&lt;&gt;Lucas Luiz Romero")*(23/1083),IF(C2726="JR",SUMIFS($D:$D,$A:$A,$A2726,$B:$B,"&lt;&gt;Patrícia Karla de Sousa Araújo",$B:$B,"&lt;&gt;Lorena Dias de Araujo",$B:$B,"&lt;&gt;Lucas Luiz Romero")*(20/1083),IF(C2726="Estágio",SUMIFS($D:$D,$A:$A,$A2726,$B:$B,"&lt;&gt;Patrícia Karla de Sousa Araújo",$B:$B,"&lt;&gt;Lorena Dias de Araujo",$B:$B,"&lt;&gt;Lucas Luiz Romero")*(10/1083),0)))))),0)</f>
        <v/>
      </c>
      <c r="K2726" s="3">
        <f>I2726-J2726</f>
        <v/>
      </c>
      <c r="L2726" s="3">
        <f>IF(K2726&lt;-5,"CRÍTICO",IF(K2726&lt;0,"ATENÇÃO",IF(K2726&lt;=5,"BOM","EXCELENTE")))</f>
        <v/>
      </c>
      <c r="N2726" t="n">
        <v>97.78</v>
      </c>
      <c r="O2726" t="n">
        <v>25.49407114624506</v>
      </c>
    </row>
    <row r="2727" hidden="1">
      <c r="A2727" s="11" t="n">
        <v>46086</v>
      </c>
      <c r="B2727" t="inlineStr">
        <is>
          <t>Francilene Ferreira de Jesus</t>
        </is>
      </c>
      <c r="C2727" t="inlineStr">
        <is>
          <t>Técnico II</t>
        </is>
      </c>
      <c r="D2727" t="n">
        <v>18</v>
      </c>
      <c r="E2727" t="n">
        <v>17</v>
      </c>
      <c r="F2727" t="n">
        <v>35.2</v>
      </c>
      <c r="G2727" t="n">
        <v>0</v>
      </c>
      <c r="H2727" t="n">
        <v>0</v>
      </c>
      <c r="I2727" s="3">
        <f>E2727+G2727+H2727</f>
        <v/>
      </c>
      <c r="J2727" s="3">
        <f>ROUND(MIN(IF(C2727="Técnico III",35,IF(C2727="Técnico II",28,IF(C2727="Técnico I",23,IF(C2727="JR",20,IF(C2727="Estágio",10,0))))),IF(C2727="Técnico III",SUMIFS($D:$D,$A:$A,$A2727,$B:$B,"&lt;&gt;Patrícia Karla de Sousa Araújo",$B:$B,"&lt;&gt;Lorena Dias de Araujo",$B:$B,"&lt;&gt;Lucas Luiz Romero")*(35/1083),IF(C2727="Técnico II",SUMIFS($D:$D,$A:$A,$A2727,$B:$B,"&lt;&gt;Patrícia Karla de Sousa Araújo",$B:$B,"&lt;&gt;Lorena Dias de Araujo",$B:$B,"&lt;&gt;Lucas Luiz Romero")*(28/1083),IF(C2727="Técnico I",SUMIFS($D:$D,$A:$A,$A2727,$B:$B,"&lt;&gt;Patrícia Karla de Sousa Araújo",$B:$B,"&lt;&gt;Lorena Dias de Araujo",$B:$B,"&lt;&gt;Lucas Luiz Romero")*(23/1083),IF(C2727="JR",SUMIFS($D:$D,$A:$A,$A2727,$B:$B,"&lt;&gt;Patrícia Karla de Sousa Araújo",$B:$B,"&lt;&gt;Lorena Dias de Araujo",$B:$B,"&lt;&gt;Lucas Luiz Romero")*(20/1083),IF(C2727="Estágio",SUMIFS($D:$D,$A:$A,$A2727,$B:$B,"&lt;&gt;Patrícia Karla de Sousa Araújo",$B:$B,"&lt;&gt;Lorena Dias de Araujo",$B:$B,"&lt;&gt;Lucas Luiz Romero")*(10/1083),0)))))),0)</f>
        <v/>
      </c>
      <c r="K2727" s="3">
        <f>I2727-J2727</f>
        <v/>
      </c>
      <c r="L2727" s="3">
        <f>IF(K2727&lt;-5,"CRÍTICO",IF(K2727&lt;0,"ATENÇÃO",IF(K2727&lt;=5,"BOM","EXCELENTE")))</f>
        <v/>
      </c>
      <c r="N2727" t="n">
        <v>98.02</v>
      </c>
      <c r="O2727" t="n">
        <v>23.48484848484848</v>
      </c>
    </row>
    <row r="2728" hidden="1">
      <c r="A2728" s="11" t="n">
        <v>46120</v>
      </c>
      <c r="B2728" t="inlineStr">
        <is>
          <t>Gabriel Gomes de Andrade</t>
        </is>
      </c>
      <c r="C2728" t="inlineStr">
        <is>
          <t>Técnico I</t>
        </is>
      </c>
      <c r="D2728" t="n">
        <v>30</v>
      </c>
      <c r="E2728" t="n">
        <v>28</v>
      </c>
      <c r="F2728" t="n">
        <v>15.58</v>
      </c>
      <c r="G2728" t="n">
        <v>0</v>
      </c>
      <c r="H2728" t="n">
        <v>0</v>
      </c>
      <c r="I2728" s="3">
        <f>E2728+G2728+H2728</f>
        <v/>
      </c>
      <c r="J2728" s="3">
        <f>ROUND(MIN(IF(C2728="Técnico III",35,IF(C2728="Técnico II",28,IF(C2728="Técnico I",23,IF(C2728="JR",20,IF(C2728="Estágio",10,0))))),IF(C2728="Técnico III",SUMIFS($D:$D,$A:$A,$A2728,$B:$B,"&lt;&gt;Patrícia Karla de Sousa Araújo",$B:$B,"&lt;&gt;Lorena Dias de Araujo",$B:$B,"&lt;&gt;Lucas Luiz Romero")*(35/1083),IF(C2728="Técnico II",SUMIFS($D:$D,$A:$A,$A2728,$B:$B,"&lt;&gt;Patrícia Karla de Sousa Araújo",$B:$B,"&lt;&gt;Lorena Dias de Araujo",$B:$B,"&lt;&gt;Lucas Luiz Romero")*(28/1083),IF(C2728="Técnico I",SUMIFS($D:$D,$A:$A,$A2728,$B:$B,"&lt;&gt;Patrícia Karla de Sousa Araújo",$B:$B,"&lt;&gt;Lorena Dias de Araujo",$B:$B,"&lt;&gt;Lucas Luiz Romero")*(23/1083),IF(C2728="JR",SUMIFS($D:$D,$A:$A,$A2728,$B:$B,"&lt;&gt;Patrícia Karla de Sousa Araújo",$B:$B,"&lt;&gt;Lorena Dias de Araujo",$B:$B,"&lt;&gt;Lucas Luiz Romero")*(20/1083),IF(C2728="Estágio",SUMIFS($D:$D,$A:$A,$A2728,$B:$B,"&lt;&gt;Patrícia Karla de Sousa Araújo",$B:$B,"&lt;&gt;Lorena Dias de Araujo",$B:$B,"&lt;&gt;Lucas Luiz Romero")*(10/1083),0)))))),0)</f>
        <v/>
      </c>
      <c r="K2728" s="3">
        <f>I2728-J2728</f>
        <v/>
      </c>
      <c r="L2728" s="3">
        <f>IF(K2728&lt;-5,"CRÍTICO",IF(K2728&lt;0,"ATENÇÃO",IF(K2728&lt;=5,"OPORTUNO","MUITO BOM")))</f>
        <v/>
      </c>
      <c r="N2728" t="n">
        <v>99.28</v>
      </c>
      <c r="O2728" t="n">
        <v>27.68924302788844</v>
      </c>
    </row>
    <row r="2729" hidden="1">
      <c r="A2729" s="11" t="n">
        <v>46086</v>
      </c>
      <c r="B2729" t="inlineStr">
        <is>
          <t>Isabella Borges de Oliveira</t>
        </is>
      </c>
      <c r="C2729" t="inlineStr">
        <is>
          <t>Técnico II</t>
        </is>
      </c>
      <c r="D2729" t="n">
        <v>29</v>
      </c>
      <c r="E2729" t="n">
        <v>28</v>
      </c>
      <c r="F2729" t="n">
        <v>23.28</v>
      </c>
      <c r="G2729" t="n">
        <v>0</v>
      </c>
      <c r="H2729" t="n">
        <v>0</v>
      </c>
      <c r="I2729" s="3">
        <f>E2729+G2729+H2729</f>
        <v/>
      </c>
      <c r="J2729" s="3">
        <f>ROUND(MIN(IF(C2729="Técnico III",35,IF(C2729="Técnico II",28,IF(C2729="Técnico I",23,IF(C2729="JR",20,IF(C2729="Estágio",10,0))))),IF(C2729="Técnico III",SUMIFS($D:$D,$A:$A,$A2729,$B:$B,"&lt;&gt;Patrícia Karla de Sousa Araújo",$B:$B,"&lt;&gt;Lorena Dias de Araujo",$B:$B,"&lt;&gt;Lucas Luiz Romero")*(35/1083),IF(C2729="Técnico II",SUMIFS($D:$D,$A:$A,$A2729,$B:$B,"&lt;&gt;Patrícia Karla de Sousa Araújo",$B:$B,"&lt;&gt;Lorena Dias de Araujo",$B:$B,"&lt;&gt;Lucas Luiz Romero")*(28/1083),IF(C2729="Técnico I",SUMIFS($D:$D,$A:$A,$A2729,$B:$B,"&lt;&gt;Patrícia Karla de Sousa Araújo",$B:$B,"&lt;&gt;Lorena Dias de Araujo",$B:$B,"&lt;&gt;Lucas Luiz Romero")*(23/1083),IF(C2729="JR",SUMIFS($D:$D,$A:$A,$A2729,$B:$B,"&lt;&gt;Patrícia Karla de Sousa Araújo",$B:$B,"&lt;&gt;Lorena Dias de Araujo",$B:$B,"&lt;&gt;Lucas Luiz Romero")*(20/1083),IF(C2729="Estágio",SUMIFS($D:$D,$A:$A,$A2729,$B:$B,"&lt;&gt;Patrícia Karla de Sousa Araújo",$B:$B,"&lt;&gt;Lorena Dias de Araujo",$B:$B,"&lt;&gt;Lucas Luiz Romero")*(10/1083),0)))))),0)</f>
        <v/>
      </c>
      <c r="K2729" s="3">
        <f>I2729-J2729</f>
        <v/>
      </c>
      <c r="L2729" s="3">
        <f>IF(K2729&lt;-5,"CRÍTICO",IF(K2729&lt;0,"ATENÇÃO",IF(K2729&lt;=5,"BOM","EXCELENTE")))</f>
        <v/>
      </c>
      <c r="N2729" t="n">
        <v>100</v>
      </c>
      <c r="O2729" t="n">
        <v>27.04918032786885</v>
      </c>
    </row>
    <row r="2730" hidden="1">
      <c r="A2730" s="11" t="n">
        <v>46086</v>
      </c>
      <c r="B2730" t="inlineStr">
        <is>
          <t>Janaina Lima dos Reis Urany</t>
        </is>
      </c>
      <c r="C2730" t="inlineStr">
        <is>
          <t>Técnico III</t>
        </is>
      </c>
      <c r="D2730" t="n">
        <v>51</v>
      </c>
      <c r="E2730" t="n">
        <v>47</v>
      </c>
      <c r="F2730" t="n">
        <v>12.19</v>
      </c>
      <c r="G2730" t="n">
        <v>0</v>
      </c>
      <c r="H2730" t="n">
        <v>0</v>
      </c>
      <c r="I2730" s="3">
        <f>E2730+G2730+H2730</f>
        <v/>
      </c>
      <c r="J2730" s="3">
        <f>ROUND(MIN(IF(C2730="Técnico III",35,IF(C2730="Técnico II",28,IF(C2730="Técnico I",23,IF(C2730="JR",20,IF(C2730="Estágio",10,0))))),IF(C2730="Técnico III",SUMIFS($D:$D,$A:$A,$A2730,$B:$B,"&lt;&gt;Patrícia Karla de Sousa Araújo",$B:$B,"&lt;&gt;Lorena Dias de Araujo",$B:$B,"&lt;&gt;Lucas Luiz Romero")*(35/1083),IF(C2730="Técnico II",SUMIFS($D:$D,$A:$A,$A2730,$B:$B,"&lt;&gt;Patrícia Karla de Sousa Araújo",$B:$B,"&lt;&gt;Lorena Dias de Araujo",$B:$B,"&lt;&gt;Lucas Luiz Romero")*(28/1083),IF(C2730="Técnico I",SUMIFS($D:$D,$A:$A,$A2730,$B:$B,"&lt;&gt;Patrícia Karla de Sousa Araújo",$B:$B,"&lt;&gt;Lorena Dias de Araujo",$B:$B,"&lt;&gt;Lucas Luiz Romero")*(23/1083),IF(C2730="JR",SUMIFS($D:$D,$A:$A,$A2730,$B:$B,"&lt;&gt;Patrícia Karla de Sousa Araújo",$B:$B,"&lt;&gt;Lorena Dias de Araujo",$B:$B,"&lt;&gt;Lucas Luiz Romero")*(20/1083),IF(C2730="Estágio",SUMIFS($D:$D,$A:$A,$A2730,$B:$B,"&lt;&gt;Patrícia Karla de Sousa Araújo",$B:$B,"&lt;&gt;Lorena Dias de Araujo",$B:$B,"&lt;&gt;Lucas Luiz Romero")*(10/1083),0)))))),0)</f>
        <v/>
      </c>
      <c r="K2730" s="3">
        <f>I2730-J2730</f>
        <v/>
      </c>
      <c r="L2730" s="3">
        <f>IF(K2730&lt;-5,"CRÍTICO",IF(K2730&lt;0,"ATENÇÃO",IF(K2730&lt;=5,"BOM","EXCELENTE")))</f>
        <v/>
      </c>
      <c r="N2730" t="n">
        <v>97.83</v>
      </c>
      <c r="O2730" t="n">
        <v>26.31578947368421</v>
      </c>
    </row>
    <row r="2731" hidden="1">
      <c r="A2731" s="11" t="n">
        <v>46086</v>
      </c>
      <c r="B2731" t="inlineStr">
        <is>
          <t>Jaqueline Evangelista da Silva Martins</t>
        </is>
      </c>
      <c r="C2731" t="inlineStr">
        <is>
          <t>Técnico III</t>
        </is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s="3" t="n">
        <v>0</v>
      </c>
      <c r="J2731" s="3" t="n">
        <v>0</v>
      </c>
      <c r="K2731" s="3" t="n">
        <v>0</v>
      </c>
      <c r="L2731" s="3">
        <f>IF(K2731&lt;-5,"CRÍTICO",IF(K2731&lt;0,"ATENÇÃO",IF(K2731&lt;=5,"BOM","EXCELENTE")))</f>
        <v/>
      </c>
      <c r="N2731" t="n">
        <v>100</v>
      </c>
      <c r="O2731" t="n">
        <v>26.70157068062827</v>
      </c>
    </row>
    <row r="2732" hidden="1">
      <c r="A2732" s="11" t="n">
        <v>46086</v>
      </c>
      <c r="B2732" t="inlineStr">
        <is>
          <t>Jessica Faria da Silveira</t>
        </is>
      </c>
      <c r="C2732" t="inlineStr">
        <is>
          <t>Técnico II</t>
        </is>
      </c>
      <c r="D2732" t="n">
        <v>38</v>
      </c>
      <c r="E2732" t="n">
        <v>29</v>
      </c>
      <c r="F2732" t="n">
        <v>17.32</v>
      </c>
      <c r="G2732" t="n">
        <v>0</v>
      </c>
      <c r="H2732" t="n">
        <v>0</v>
      </c>
      <c r="I2732" s="3">
        <f>E2732+G2732+H2732</f>
        <v/>
      </c>
      <c r="J2732" s="3">
        <f>ROUND(MIN(IF(C2732="Técnico III",35,IF(C2732="Técnico II",28,IF(C2732="Técnico I",23,IF(C2732="JR",20,IF(C2732="Estágio",10,0))))),IF(C2732="Técnico III",SUMIFS($D:$D,$A:$A,$A2732,$B:$B,"&lt;&gt;Patrícia Karla de Sousa Araújo",$B:$B,"&lt;&gt;Lorena Dias de Araujo",$B:$B,"&lt;&gt;Lucas Luiz Romero")*(35/1083),IF(C2732="Técnico II",SUMIFS($D:$D,$A:$A,$A2732,$B:$B,"&lt;&gt;Patrícia Karla de Sousa Araújo",$B:$B,"&lt;&gt;Lorena Dias de Araujo",$B:$B,"&lt;&gt;Lucas Luiz Romero")*(28/1083),IF(C2732="Técnico I",SUMIFS($D:$D,$A:$A,$A2732,$B:$B,"&lt;&gt;Patrícia Karla de Sousa Araújo",$B:$B,"&lt;&gt;Lorena Dias de Araujo",$B:$B,"&lt;&gt;Lucas Luiz Romero")*(23/1083),IF(C2732="JR",SUMIFS($D:$D,$A:$A,$A2732,$B:$B,"&lt;&gt;Patrícia Karla de Sousa Araújo",$B:$B,"&lt;&gt;Lorena Dias de Araujo",$B:$B,"&lt;&gt;Lucas Luiz Romero")*(20/1083),IF(C2732="Estágio",SUMIFS($D:$D,$A:$A,$A2732,$B:$B,"&lt;&gt;Patrícia Karla de Sousa Araújo",$B:$B,"&lt;&gt;Lorena Dias de Araujo",$B:$B,"&lt;&gt;Lucas Luiz Romero")*(10/1083),0)))))),0)</f>
        <v/>
      </c>
      <c r="K2732" s="3">
        <f>I2732-J2732</f>
        <v/>
      </c>
      <c r="L2732" s="3">
        <f>IF(K2732&lt;-5,"CRÍTICO",IF(K2732&lt;0,"ATENÇÃO",IF(K2732&lt;=5,"BOM","EXCELENTE")))</f>
        <v/>
      </c>
      <c r="N2732" t="n">
        <v>97.47</v>
      </c>
      <c r="O2732" t="n">
        <v>22.88732394366197</v>
      </c>
    </row>
    <row r="2733" hidden="1">
      <c r="A2733" s="11" t="n">
        <v>46086</v>
      </c>
      <c r="B2733" t="inlineStr">
        <is>
          <t>Jéssica Fé Moura</t>
        </is>
      </c>
      <c r="C2733" t="inlineStr">
        <is>
          <t>Técnico III</t>
        </is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s="3" t="n">
        <v>0</v>
      </c>
      <c r="J2733" s="3" t="n">
        <v>0</v>
      </c>
      <c r="K2733" s="3" t="n">
        <v>0</v>
      </c>
      <c r="L2733" s="3">
        <f>IF(K2733&lt;-5,"CRÍTICO",IF(K2733&lt;0,"ATENÇÃO",IF(K2733&lt;=5,"BOM","EXCELENTE")))</f>
        <v/>
      </c>
      <c r="N2733" t="n">
        <v>0</v>
      </c>
      <c r="O2733" t="n">
        <v>0</v>
      </c>
    </row>
    <row r="2734" hidden="1">
      <c r="A2734" s="11" t="n">
        <v>46086</v>
      </c>
      <c r="B2734" t="inlineStr">
        <is>
          <t>Karina Gonçalves Martins</t>
        </is>
      </c>
      <c r="C2734" t="inlineStr">
        <is>
          <t>JR</t>
        </is>
      </c>
      <c r="D2734" t="n">
        <v>21</v>
      </c>
      <c r="E2734" t="n">
        <v>17</v>
      </c>
      <c r="F2734" t="n">
        <v>23.55</v>
      </c>
      <c r="G2734" t="n">
        <v>0</v>
      </c>
      <c r="H2734" t="n">
        <v>0</v>
      </c>
      <c r="I2734" s="3">
        <f>E2734+G2734+H2734</f>
        <v/>
      </c>
      <c r="J2734" s="3">
        <f>ROUND(MIN(IF(C2734="Técnico III",35,IF(C2734="Técnico II",28,IF(C2734="Técnico I",23,IF(C2734="JR",20,IF(C2734="Estágio",10,0))))),IF(C2734="Técnico III",SUMIFS($D:$D,$A:$A,$A2734,$B:$B,"&lt;&gt;Patrícia Karla de Sousa Araújo",$B:$B,"&lt;&gt;Lorena Dias de Araujo",$B:$B,"&lt;&gt;Lucas Luiz Romero")*(35/1083),IF(C2734="Técnico II",SUMIFS($D:$D,$A:$A,$A2734,$B:$B,"&lt;&gt;Patrícia Karla de Sousa Araújo",$B:$B,"&lt;&gt;Lorena Dias de Araujo",$B:$B,"&lt;&gt;Lucas Luiz Romero")*(28/1083),IF(C2734="Técnico I",SUMIFS($D:$D,$A:$A,$A2734,$B:$B,"&lt;&gt;Patrícia Karla de Sousa Araújo",$B:$B,"&lt;&gt;Lorena Dias de Araujo",$B:$B,"&lt;&gt;Lucas Luiz Romero")*(23/1083),IF(C2734="JR",SUMIFS($D:$D,$A:$A,$A2734,$B:$B,"&lt;&gt;Patrícia Karla de Sousa Araújo",$B:$B,"&lt;&gt;Lorena Dias de Araujo",$B:$B,"&lt;&gt;Lucas Luiz Romero")*(20/1083),IF(C2734="Estágio",SUMIFS($D:$D,$A:$A,$A2734,$B:$B,"&lt;&gt;Patrícia Karla de Sousa Araújo",$B:$B,"&lt;&gt;Lorena Dias de Araujo",$B:$B,"&lt;&gt;Lucas Luiz Romero")*(10/1083),0)))))),0)</f>
        <v/>
      </c>
      <c r="K2734" s="3">
        <f>I2734-J2734</f>
        <v/>
      </c>
      <c r="L2734" s="3">
        <f>IF(K2734&lt;-5,"CRÍTICO",IF(K2734&lt;0,"ATENÇÃO",IF(K2734&lt;=5,"BOM","EXCELENTE")))</f>
        <v/>
      </c>
      <c r="N2734" t="n">
        <v>98.31</v>
      </c>
      <c r="O2734" t="n">
        <v>24.92012779552715</v>
      </c>
    </row>
    <row r="2735" hidden="1">
      <c r="A2735" s="11" t="n">
        <v>46086</v>
      </c>
      <c r="B2735" t="inlineStr">
        <is>
          <t>Kerollen Cristielly de Jesus Siqueira</t>
        </is>
      </c>
      <c r="C2735" t="inlineStr">
        <is>
          <t>Técnico III</t>
        </is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s="3" t="n">
        <v>0</v>
      </c>
      <c r="J2735" s="3" t="n">
        <v>0</v>
      </c>
      <c r="K2735" s="3" t="n">
        <v>0</v>
      </c>
      <c r="L2735" s="3">
        <f>IF(K2735&lt;-5,"CRÍTICO",IF(K2735&lt;0,"ATENÇÃO",IF(K2735&lt;=5,"BOM","EXCELENTE")))</f>
        <v/>
      </c>
      <c r="N2735" t="n">
        <v>96.81</v>
      </c>
      <c r="O2735" t="n">
        <v>32.36514522821577</v>
      </c>
    </row>
    <row r="2736" hidden="1">
      <c r="A2736" s="11" t="n">
        <v>46086</v>
      </c>
      <c r="B2736" t="inlineStr">
        <is>
          <t>Leandro de Souza Silva</t>
        </is>
      </c>
      <c r="C2736" t="inlineStr">
        <is>
          <t>JR</t>
        </is>
      </c>
      <c r="D2736" t="n">
        <v>6</v>
      </c>
      <c r="E2736" t="n">
        <v>6</v>
      </c>
      <c r="F2736" t="n">
        <v>32.12</v>
      </c>
      <c r="G2736" t="n">
        <v>0</v>
      </c>
      <c r="H2736" t="n">
        <v>0</v>
      </c>
      <c r="I2736" s="3">
        <f>E2736+G2736+H2736</f>
        <v/>
      </c>
      <c r="J2736" s="3">
        <f>ROUND(MIN(IF(C2736="Técnico III",35,IF(C2736="Técnico II",28,IF(C2736="Técnico I",23,IF(C2736="JR",20,IF(C2736="Estágio",10,0))))),IF(C2736="Técnico III",SUMIFS($D:$D,$A:$A,$A2736,$B:$B,"&lt;&gt;Patrícia Karla de Sousa Araújo",$B:$B,"&lt;&gt;Lorena Dias de Araujo",$B:$B,"&lt;&gt;Lucas Luiz Romero")*(35/1083),IF(C2736="Técnico II",SUMIFS($D:$D,$A:$A,$A2736,$B:$B,"&lt;&gt;Patrícia Karla de Sousa Araújo",$B:$B,"&lt;&gt;Lorena Dias de Araujo",$B:$B,"&lt;&gt;Lucas Luiz Romero")*(28/1083),IF(C2736="Técnico I",SUMIFS($D:$D,$A:$A,$A2736,$B:$B,"&lt;&gt;Patrícia Karla de Sousa Araújo",$B:$B,"&lt;&gt;Lorena Dias de Araujo",$B:$B,"&lt;&gt;Lucas Luiz Romero")*(23/1083),IF(C2736="JR",SUMIFS($D:$D,$A:$A,$A2736,$B:$B,"&lt;&gt;Patrícia Karla de Sousa Araújo",$B:$B,"&lt;&gt;Lorena Dias de Araujo",$B:$B,"&lt;&gt;Lucas Luiz Romero")*(20/1083),IF(C2736="Estágio",SUMIFS($D:$D,$A:$A,$A2736,$B:$B,"&lt;&gt;Patrícia Karla de Sousa Araújo",$B:$B,"&lt;&gt;Lorena Dias de Araujo",$B:$B,"&lt;&gt;Lucas Luiz Romero")*(10/1083),0)))))),0)</f>
        <v/>
      </c>
      <c r="K2736" s="3">
        <f>I2736-J2736</f>
        <v/>
      </c>
      <c r="L2736" s="3">
        <f>IF(K2736&lt;-5,"CRÍTICO",IF(K2736&lt;0,"ATENÇÃO",IF(K2736&lt;=5,"BOM","EXCELENTE")))</f>
        <v/>
      </c>
      <c r="N2736" t="n">
        <v>100</v>
      </c>
      <c r="O2736" t="n">
        <v>26.47058823529412</v>
      </c>
    </row>
    <row r="2737" hidden="1">
      <c r="A2737" s="11" t="n">
        <v>46086</v>
      </c>
      <c r="B2737" t="inlineStr">
        <is>
          <t>Leandro Oliveira de Sousa</t>
        </is>
      </c>
      <c r="C2737" t="inlineStr">
        <is>
          <t>Técnico III</t>
        </is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s="3" t="n">
        <v>0</v>
      </c>
      <c r="J2737" s="3" t="n">
        <v>0</v>
      </c>
      <c r="K2737" s="3" t="n">
        <v>0</v>
      </c>
      <c r="L2737" s="3">
        <f>IF(K2737&lt;-5,"CRÍTICO",IF(K2737&lt;0,"ATENÇÃO",IF(K2737&lt;=5,"BOM","EXCELENTE")))</f>
        <v/>
      </c>
      <c r="N2737" t="n">
        <v>100</v>
      </c>
      <c r="O2737" t="n">
        <v>28.49002849002849</v>
      </c>
    </row>
    <row r="2738" hidden="1">
      <c r="A2738" s="11" t="n">
        <v>46086</v>
      </c>
      <c r="B2738" t="inlineStr">
        <is>
          <t>Lizandra Gomes Duarte</t>
        </is>
      </c>
      <c r="C2738" t="inlineStr">
        <is>
          <t>Técnico II</t>
        </is>
      </c>
      <c r="D2738" t="n">
        <v>30</v>
      </c>
      <c r="E2738" t="n">
        <v>26</v>
      </c>
      <c r="F2738" t="n">
        <v>18.53</v>
      </c>
      <c r="G2738" t="n">
        <v>0</v>
      </c>
      <c r="H2738" t="n">
        <v>0</v>
      </c>
      <c r="I2738" s="3">
        <f>E2738+G2738+H2738</f>
        <v/>
      </c>
      <c r="J2738" s="3">
        <f>ROUND(MIN(IF(C2738="Técnico III",35,IF(C2738="Técnico II",28,IF(C2738="Técnico I",23,IF(C2738="JR",20,IF(C2738="Estágio",10,0))))),IF(C2738="Técnico III",SUMIFS($D:$D,$A:$A,$A2738,$B:$B,"&lt;&gt;Patrícia Karla de Sousa Araújo",$B:$B,"&lt;&gt;Lorena Dias de Araujo",$B:$B,"&lt;&gt;Lucas Luiz Romero")*(35/1083),IF(C2738="Técnico II",SUMIFS($D:$D,$A:$A,$A2738,$B:$B,"&lt;&gt;Patrícia Karla de Sousa Araújo",$B:$B,"&lt;&gt;Lorena Dias de Araujo",$B:$B,"&lt;&gt;Lucas Luiz Romero")*(28/1083),IF(C2738="Técnico I",SUMIFS($D:$D,$A:$A,$A2738,$B:$B,"&lt;&gt;Patrícia Karla de Sousa Araújo",$B:$B,"&lt;&gt;Lorena Dias de Araujo",$B:$B,"&lt;&gt;Lucas Luiz Romero")*(23/1083),IF(C2738="JR",SUMIFS($D:$D,$A:$A,$A2738,$B:$B,"&lt;&gt;Patrícia Karla de Sousa Araújo",$B:$B,"&lt;&gt;Lorena Dias de Araujo",$B:$B,"&lt;&gt;Lucas Luiz Romero")*(20/1083),IF(C2738="Estágio",SUMIFS($D:$D,$A:$A,$A2738,$B:$B,"&lt;&gt;Patrícia Karla de Sousa Araújo",$B:$B,"&lt;&gt;Lorena Dias de Araujo",$B:$B,"&lt;&gt;Lucas Luiz Romero")*(10/1083),0)))))),0)</f>
        <v/>
      </c>
      <c r="K2738" s="3">
        <f>I2738-J2738</f>
        <v/>
      </c>
      <c r="L2738" s="3">
        <f>IF(K2738&lt;-5,"CRÍTICO",IF(K2738&lt;0,"ATENÇÃO",IF(K2738&lt;=5,"BOM","EXCELENTE")))</f>
        <v/>
      </c>
      <c r="N2738" t="n">
        <v>99.14</v>
      </c>
      <c r="O2738" t="n">
        <v>27.2289156626506</v>
      </c>
    </row>
    <row r="2739" hidden="1">
      <c r="A2739" s="11" t="n">
        <v>46086</v>
      </c>
      <c r="B2739" t="inlineStr">
        <is>
          <t>Lorena Dias de Araujo</t>
        </is>
      </c>
      <c r="C2739" t="inlineStr">
        <is>
          <t>Técnico II</t>
        </is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s="3" t="n">
        <v>0</v>
      </c>
      <c r="J2739" s="3" t="n">
        <v>0</v>
      </c>
      <c r="K2739" s="3" t="n">
        <v>0</v>
      </c>
      <c r="L2739" s="3">
        <f>IF(K2739&lt;-5,"CRÍTICO",IF(K2739&lt;0,"ATENÇÃO",IF(K2739&lt;=5,"BOM","EXCELENTE")))</f>
        <v/>
      </c>
      <c r="N2739" t="n">
        <v>97.52</v>
      </c>
      <c r="O2739" t="n">
        <v>28.2051282051282</v>
      </c>
    </row>
    <row r="2740" hidden="1">
      <c r="A2740" s="11" t="n">
        <v>46086</v>
      </c>
      <c r="B2740" t="inlineStr">
        <is>
          <t>Lucas Luiz Romero</t>
        </is>
      </c>
      <c r="C2740" t="inlineStr">
        <is>
          <t>Técnico III</t>
        </is>
      </c>
      <c r="D2740" t="n">
        <v>39</v>
      </c>
      <c r="E2740" t="n">
        <v>29</v>
      </c>
      <c r="F2740" t="n">
        <v>16.45</v>
      </c>
      <c r="G2740" t="n">
        <v>0</v>
      </c>
      <c r="H2740" t="n">
        <v>0</v>
      </c>
      <c r="I2740" s="3">
        <f>E2740+G2740+H2740</f>
        <v/>
      </c>
      <c r="J2740" s="3">
        <f>ROUND(MIN(IF(C2740="Técnico III",35,IF(C2740="Técnico II",28,IF(C2740="Técnico I",23,IF(C2740="JR",20,IF(C2740="Estágio",10,0))))),IF(C2740="Técnico III",SUMIFS($D:$D,$A:$A,$A2740,$B:$B,"&lt;&gt;Patrícia Karla de Sousa Araújo",$B:$B,"&lt;&gt;Lorena Dias de Araujo",$B:$B,"&lt;&gt;Lucas Luiz Romero")*(35/1083),IF(C2740="Técnico II",SUMIFS($D:$D,$A:$A,$A2740,$B:$B,"&lt;&gt;Patrícia Karla de Sousa Araújo",$B:$B,"&lt;&gt;Lorena Dias de Araujo",$B:$B,"&lt;&gt;Lucas Luiz Romero")*(28/1083),IF(C2740="Técnico I",SUMIFS($D:$D,$A:$A,$A2740,$B:$B,"&lt;&gt;Patrícia Karla de Sousa Araújo",$B:$B,"&lt;&gt;Lorena Dias de Araujo",$B:$B,"&lt;&gt;Lucas Luiz Romero")*(23/1083),IF(C2740="JR",SUMIFS($D:$D,$A:$A,$A2740,$B:$B,"&lt;&gt;Patrícia Karla de Sousa Araújo",$B:$B,"&lt;&gt;Lorena Dias de Araujo",$B:$B,"&lt;&gt;Lucas Luiz Romero")*(20/1083),IF(C2740="Estágio",SUMIFS($D:$D,$A:$A,$A2740,$B:$B,"&lt;&gt;Patrícia Karla de Sousa Araújo",$B:$B,"&lt;&gt;Lorena Dias de Araujo",$B:$B,"&lt;&gt;Lucas Luiz Romero")*(10/1083),0)))))),0)</f>
        <v/>
      </c>
      <c r="K2740" s="3">
        <f>I2740-J2740</f>
        <v/>
      </c>
      <c r="L2740" s="3">
        <f>IF(K2740&lt;-5,"CRÍTICO",IF(K2740&lt;0,"ATENÇÃO",IF(K2740&lt;=5,"BOM","EXCELENTE")))</f>
        <v/>
      </c>
      <c r="N2740" t="n">
        <v>90</v>
      </c>
      <c r="O2740" t="n">
        <v>24.18604651162791</v>
      </c>
    </row>
    <row r="2741" hidden="1">
      <c r="A2741" s="11" t="n">
        <v>46086</v>
      </c>
      <c r="B2741" t="inlineStr">
        <is>
          <t>Luiz Fernando de Carvalho Junior</t>
        </is>
      </c>
      <c r="C2741" t="inlineStr">
        <is>
          <t>Técnico I</t>
        </is>
      </c>
      <c r="D2741" t="n">
        <v>28</v>
      </c>
      <c r="E2741" t="n">
        <v>25</v>
      </c>
      <c r="F2741" t="n">
        <v>19</v>
      </c>
      <c r="G2741" t="n">
        <v>0</v>
      </c>
      <c r="H2741" t="n">
        <v>0</v>
      </c>
      <c r="I2741" s="3">
        <f>E2741+G2741+H2741</f>
        <v/>
      </c>
      <c r="J2741" s="3">
        <f>ROUND(MIN(IF(C2741="Técnico III",35,IF(C2741="Técnico II",28,IF(C2741="Técnico I",23,IF(C2741="JR",20,IF(C2741="Estágio",10,0))))),IF(C2741="Técnico III",SUMIFS($D:$D,$A:$A,$A2741,$B:$B,"&lt;&gt;Patrícia Karla de Sousa Araújo",$B:$B,"&lt;&gt;Lorena Dias de Araujo",$B:$B,"&lt;&gt;Lucas Luiz Romero")*(35/1083),IF(C2741="Técnico II",SUMIFS($D:$D,$A:$A,$A2741,$B:$B,"&lt;&gt;Patrícia Karla de Sousa Araújo",$B:$B,"&lt;&gt;Lorena Dias de Araujo",$B:$B,"&lt;&gt;Lucas Luiz Romero")*(28/1083),IF(C2741="Técnico I",SUMIFS($D:$D,$A:$A,$A2741,$B:$B,"&lt;&gt;Patrícia Karla de Sousa Araújo",$B:$B,"&lt;&gt;Lorena Dias de Araujo",$B:$B,"&lt;&gt;Lucas Luiz Romero")*(23/1083),IF(C2741="JR",SUMIFS($D:$D,$A:$A,$A2741,$B:$B,"&lt;&gt;Patrícia Karla de Sousa Araújo",$B:$B,"&lt;&gt;Lorena Dias de Araujo",$B:$B,"&lt;&gt;Lucas Luiz Romero")*(20/1083),IF(C2741="Estágio",SUMIFS($D:$D,$A:$A,$A2741,$B:$B,"&lt;&gt;Patrícia Karla de Sousa Araújo",$B:$B,"&lt;&gt;Lorena Dias de Araujo",$B:$B,"&lt;&gt;Lucas Luiz Romero")*(10/1083),0)))))),0)</f>
        <v/>
      </c>
      <c r="K2741" s="3">
        <f>I2741-J2741</f>
        <v/>
      </c>
      <c r="L2741" s="3">
        <f>IF(K2741&lt;-5,"CRÍTICO",IF(K2741&lt;0,"ATENÇÃO",IF(K2741&lt;=5,"BOM","EXCELENTE")))</f>
        <v/>
      </c>
      <c r="N2741" t="n">
        <v>98.90000000000001</v>
      </c>
      <c r="O2741" t="n">
        <v>26.7639902676399</v>
      </c>
    </row>
    <row r="2742" hidden="1">
      <c r="A2742" s="11" t="n">
        <v>46086</v>
      </c>
      <c r="B2742" t="inlineStr">
        <is>
          <t>Maria Eduarda Sousa Costa</t>
        </is>
      </c>
      <c r="C2742" t="inlineStr">
        <is>
          <t>Estágio</t>
        </is>
      </c>
      <c r="D2742" t="n">
        <v>60</v>
      </c>
      <c r="E2742" t="n">
        <v>31</v>
      </c>
      <c r="F2742" t="n">
        <v>3.5</v>
      </c>
      <c r="G2742" t="n">
        <v>0</v>
      </c>
      <c r="H2742" t="n">
        <v>0</v>
      </c>
      <c r="I2742" s="3">
        <f>E2742+G2742+H2742</f>
        <v/>
      </c>
      <c r="J2742" s="3">
        <f>ROUND(MIN(IF(C2742="Técnico III",35,IF(C2742="Técnico II",28,IF(C2742="Técnico I",23,IF(C2742="JR",20,IF(C2742="Estágio",10,0))))),IF(C2742="Técnico III",SUMIFS($D:$D,$A:$A,$A2742,$B:$B,"&lt;&gt;Patrícia Karla de Sousa Araújo",$B:$B,"&lt;&gt;Lorena Dias de Araujo",$B:$B,"&lt;&gt;Lucas Luiz Romero")*(35/1083),IF(C2742="Técnico II",SUMIFS($D:$D,$A:$A,$A2742,$B:$B,"&lt;&gt;Patrícia Karla de Sousa Araújo",$B:$B,"&lt;&gt;Lorena Dias de Araujo",$B:$B,"&lt;&gt;Lucas Luiz Romero")*(28/1083),IF(C2742="Técnico I",SUMIFS($D:$D,$A:$A,$A2742,$B:$B,"&lt;&gt;Patrícia Karla de Sousa Araújo",$B:$B,"&lt;&gt;Lorena Dias de Araujo",$B:$B,"&lt;&gt;Lucas Luiz Romero")*(23/1083),IF(C2742="JR",SUMIFS($D:$D,$A:$A,$A2742,$B:$B,"&lt;&gt;Patrícia Karla de Sousa Araújo",$B:$B,"&lt;&gt;Lorena Dias de Araujo",$B:$B,"&lt;&gt;Lucas Luiz Romero")*(20/1083),IF(C2742="Estágio",SUMIFS($D:$D,$A:$A,$A2742,$B:$B,"&lt;&gt;Patrícia Karla de Sousa Araújo",$B:$B,"&lt;&gt;Lorena Dias de Araujo",$B:$B,"&lt;&gt;Lucas Luiz Romero")*(10/1083),0)))))),0)</f>
        <v/>
      </c>
      <c r="K2742" s="3">
        <f>I2742-J2742</f>
        <v/>
      </c>
      <c r="L2742" s="3">
        <f>IF(K2742&lt;-5,"CRÍTICO",IF(K2742&lt;0,"ATENÇÃO",IF(K2742&lt;=5,"BOM","EXCELENTE")))</f>
        <v/>
      </c>
      <c r="N2742" t="n">
        <v>88.89</v>
      </c>
      <c r="O2742" t="n">
        <v>25.26315789473684</v>
      </c>
    </row>
    <row r="2743" hidden="1">
      <c r="A2743" s="11" t="n">
        <v>46086</v>
      </c>
      <c r="B2743" t="inlineStr">
        <is>
          <t>Matheus Farias De Souza</t>
        </is>
      </c>
      <c r="C2743" t="inlineStr">
        <is>
          <t>Técnico III</t>
        </is>
      </c>
      <c r="D2743" t="n">
        <v>7</v>
      </c>
      <c r="E2743" t="n">
        <v>7</v>
      </c>
      <c r="F2743" t="n">
        <v>10.57</v>
      </c>
      <c r="G2743" t="n">
        <v>0</v>
      </c>
      <c r="H2743" t="n">
        <v>0</v>
      </c>
      <c r="I2743" s="3">
        <f>E2743+G2743+H2743</f>
        <v/>
      </c>
      <c r="J2743" s="3">
        <f>ROUND(MIN(IF(C2743="Técnico III",35,IF(C2743="Técnico II",28,IF(C2743="Técnico I",23,IF(C2743="JR",20,IF(C2743="Estágio",10,0))))),IF(C2743="Técnico III",SUMIFS($D:$D,$A:$A,$A2743,$B:$B,"&lt;&gt;Patrícia Karla de Sousa Araújo",$B:$B,"&lt;&gt;Lorena Dias de Araujo",$B:$B,"&lt;&gt;Lucas Luiz Romero")*(35/1083),IF(C2743="Técnico II",SUMIFS($D:$D,$A:$A,$A2743,$B:$B,"&lt;&gt;Patrícia Karla de Sousa Araújo",$B:$B,"&lt;&gt;Lorena Dias de Araujo",$B:$B,"&lt;&gt;Lucas Luiz Romero")*(28/1083),IF(C2743="Técnico I",SUMIFS($D:$D,$A:$A,$A2743,$B:$B,"&lt;&gt;Patrícia Karla de Sousa Araújo",$B:$B,"&lt;&gt;Lorena Dias de Araujo",$B:$B,"&lt;&gt;Lucas Luiz Romero")*(23/1083),IF(C2743="JR",SUMIFS($D:$D,$A:$A,$A2743,$B:$B,"&lt;&gt;Patrícia Karla de Sousa Araújo",$B:$B,"&lt;&gt;Lorena Dias de Araujo",$B:$B,"&lt;&gt;Lucas Luiz Romero")*(20/1083),IF(C2743="Estágio",SUMIFS($D:$D,$A:$A,$A2743,$B:$B,"&lt;&gt;Patrícia Karla de Sousa Araújo",$B:$B,"&lt;&gt;Lorena Dias de Araujo",$B:$B,"&lt;&gt;Lucas Luiz Romero")*(10/1083),0)))))),0)</f>
        <v/>
      </c>
      <c r="K2743" s="3">
        <f>I2743-J2743</f>
        <v/>
      </c>
      <c r="L2743" s="3">
        <f>IF(K2743&lt;-5,"CRÍTICO",IF(K2743&lt;0,"ATENÇÃO",IF(K2743&lt;=5,"BOM","EXCELENTE")))</f>
        <v/>
      </c>
      <c r="N2743" t="n">
        <v>98.86</v>
      </c>
      <c r="O2743" t="n">
        <v>28.95927601809955</v>
      </c>
    </row>
    <row r="2744" hidden="1">
      <c r="A2744" s="11" t="n">
        <v>46086</v>
      </c>
      <c r="B2744" t="inlineStr">
        <is>
          <t>Maysa Victoria Dias Moura</t>
        </is>
      </c>
      <c r="C2744" t="inlineStr">
        <is>
          <t>Técnico III</t>
        </is>
      </c>
      <c r="D2744" t="n">
        <v>31</v>
      </c>
      <c r="E2744" t="n">
        <v>29</v>
      </c>
      <c r="F2744" t="n">
        <v>21.55</v>
      </c>
      <c r="G2744" t="n">
        <v>0</v>
      </c>
      <c r="H2744" t="n">
        <v>0</v>
      </c>
      <c r="I2744" s="3">
        <f>E2744+G2744+H2744</f>
        <v/>
      </c>
      <c r="J2744" s="3">
        <f>ROUND(MIN(IF(C2744="Técnico III",35,IF(C2744="Técnico II",28,IF(C2744="Técnico I",23,IF(C2744="JR",20,IF(C2744="Estágio",10,0))))),IF(C2744="Técnico III",SUMIFS($D:$D,$A:$A,$A2744,$B:$B,"&lt;&gt;Patrícia Karla de Sousa Araújo",$B:$B,"&lt;&gt;Lorena Dias de Araujo",$B:$B,"&lt;&gt;Lucas Luiz Romero")*(35/1083),IF(C2744="Técnico II",SUMIFS($D:$D,$A:$A,$A2744,$B:$B,"&lt;&gt;Patrícia Karla de Sousa Araújo",$B:$B,"&lt;&gt;Lorena Dias de Araujo",$B:$B,"&lt;&gt;Lucas Luiz Romero")*(28/1083),IF(C2744="Técnico I",SUMIFS($D:$D,$A:$A,$A2744,$B:$B,"&lt;&gt;Patrícia Karla de Sousa Araújo",$B:$B,"&lt;&gt;Lorena Dias de Araujo",$B:$B,"&lt;&gt;Lucas Luiz Romero")*(23/1083),IF(C2744="JR",SUMIFS($D:$D,$A:$A,$A2744,$B:$B,"&lt;&gt;Patrícia Karla de Sousa Araújo",$B:$B,"&lt;&gt;Lorena Dias de Araujo",$B:$B,"&lt;&gt;Lucas Luiz Romero")*(20/1083),IF(C2744="Estágio",SUMIFS($D:$D,$A:$A,$A2744,$B:$B,"&lt;&gt;Patrícia Karla de Sousa Araújo",$B:$B,"&lt;&gt;Lorena Dias de Araujo",$B:$B,"&lt;&gt;Lucas Luiz Romero")*(10/1083),0)))))),0)</f>
        <v/>
      </c>
      <c r="K2744" s="3">
        <f>I2744-J2744</f>
        <v/>
      </c>
      <c r="L2744" s="3">
        <f>IF(K2744&lt;-5,"CRÍTICO",IF(K2744&lt;0,"ATENÇÃO",IF(K2744&lt;=5,"BOM","EXCELENTE")))</f>
        <v/>
      </c>
      <c r="N2744" t="n">
        <v>98.06</v>
      </c>
      <c r="O2744" t="n">
        <v>22.40566037735849</v>
      </c>
    </row>
    <row r="2745" hidden="1">
      <c r="A2745" s="11" t="n">
        <v>46086</v>
      </c>
      <c r="B2745" t="inlineStr">
        <is>
          <t>Michelle G Santos</t>
        </is>
      </c>
      <c r="C2745" t="inlineStr">
        <is>
          <t>Estágio</t>
        </is>
      </c>
      <c r="D2745" t="n">
        <v>15</v>
      </c>
      <c r="E2745" t="n">
        <v>14</v>
      </c>
      <c r="F2745" t="n">
        <v>33.55</v>
      </c>
      <c r="G2745" t="n">
        <v>0</v>
      </c>
      <c r="H2745" t="n">
        <v>0</v>
      </c>
      <c r="I2745" s="3">
        <f>E2745+G2745+H2745</f>
        <v/>
      </c>
      <c r="J2745" s="3">
        <f>ROUND(MIN(IF(C2745="Técnico III",35,IF(C2745="Técnico II",28,IF(C2745="Técnico I",23,IF(C2745="JR",20,IF(C2745="Estágio",10,0))))),IF(C2745="Técnico III",SUMIFS($D:$D,$A:$A,$A2745,$B:$B,"&lt;&gt;Patrícia Karla de Sousa Araújo",$B:$B,"&lt;&gt;Lorena Dias de Araujo",$B:$B,"&lt;&gt;Lucas Luiz Romero")*(35/1083),IF(C2745="Técnico II",SUMIFS($D:$D,$A:$A,$A2745,$B:$B,"&lt;&gt;Patrícia Karla de Sousa Araújo",$B:$B,"&lt;&gt;Lorena Dias de Araujo",$B:$B,"&lt;&gt;Lucas Luiz Romero")*(28/1083),IF(C2745="Técnico I",SUMIFS($D:$D,$A:$A,$A2745,$B:$B,"&lt;&gt;Patrícia Karla de Sousa Araújo",$B:$B,"&lt;&gt;Lorena Dias de Araujo",$B:$B,"&lt;&gt;Lucas Luiz Romero")*(23/1083),IF(C2745="JR",SUMIFS($D:$D,$A:$A,$A2745,$B:$B,"&lt;&gt;Patrícia Karla de Sousa Araújo",$B:$B,"&lt;&gt;Lorena Dias de Araujo",$B:$B,"&lt;&gt;Lucas Luiz Romero")*(20/1083),IF(C2745="Estágio",SUMIFS($D:$D,$A:$A,$A2745,$B:$B,"&lt;&gt;Patrícia Karla de Sousa Araújo",$B:$B,"&lt;&gt;Lorena Dias de Araujo",$B:$B,"&lt;&gt;Lucas Luiz Romero")*(10/1083),0)))))),0)</f>
        <v/>
      </c>
      <c r="K2745" s="3">
        <f>I2745-J2745</f>
        <v/>
      </c>
      <c r="L2745" s="3">
        <f>IF(K2745&lt;-5,"CRÍTICO",IF(K2745&lt;0,"ATENÇÃO",IF(K2745&lt;=5,"BOM","EXCELENTE")))</f>
        <v/>
      </c>
      <c r="N2745" t="n">
        <v>95.83</v>
      </c>
      <c r="O2745" t="n">
        <v>25.77319587628866</v>
      </c>
    </row>
    <row r="2746" hidden="1">
      <c r="A2746" s="11" t="n">
        <v>46086</v>
      </c>
      <c r="B2746" t="inlineStr">
        <is>
          <t>Milena Sales</t>
        </is>
      </c>
      <c r="C2746" t="inlineStr">
        <is>
          <t>JR</t>
        </is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s="3" t="n">
        <v>0</v>
      </c>
      <c r="J2746" s="3" t="n">
        <v>0</v>
      </c>
      <c r="K2746" s="3" t="n">
        <v>0</v>
      </c>
      <c r="L2746" s="3">
        <f>IF(K2746&lt;-5,"CRÍTICO",IF(K2746&lt;0,"ATENÇÃO",IF(K2746&lt;=5,"BOM","EXCELENTE")))</f>
        <v/>
      </c>
      <c r="N2746" t="n">
        <v>100</v>
      </c>
      <c r="O2746" t="n">
        <v>15.38461538461539</v>
      </c>
    </row>
    <row r="2747" hidden="1">
      <c r="A2747" s="11" t="n">
        <v>46086</v>
      </c>
      <c r="B2747" t="inlineStr">
        <is>
          <t>Patrícia Karla de Sousa Araújo</t>
        </is>
      </c>
      <c r="C2747" t="inlineStr">
        <is>
          <t>Técnico II</t>
        </is>
      </c>
      <c r="D2747" t="n">
        <v>26</v>
      </c>
      <c r="E2747" t="n">
        <v>25</v>
      </c>
      <c r="F2747" t="n">
        <v>30.55</v>
      </c>
      <c r="G2747" t="n">
        <v>0</v>
      </c>
      <c r="H2747" t="n">
        <v>0</v>
      </c>
      <c r="I2747" s="3">
        <f>E2747+G2747+H2747</f>
        <v/>
      </c>
      <c r="J2747" s="3">
        <f>ROUND(MIN(IF(C2747="Técnico III",35,IF(C2747="Técnico II",28,IF(C2747="Técnico I",23,IF(C2747="JR",20,IF(C2747="Estágio",10,0))))),IF(C2747="Técnico III",SUMIFS($D:$D,$A:$A,$A2747,$B:$B,"&lt;&gt;Patrícia Karla de Sousa Araújo",$B:$B,"&lt;&gt;Lorena Dias de Araujo",$B:$B,"&lt;&gt;Lucas Luiz Romero")*(35/1083),IF(C2747="Técnico II",SUMIFS($D:$D,$A:$A,$A2747,$B:$B,"&lt;&gt;Patrícia Karla de Sousa Araújo",$B:$B,"&lt;&gt;Lorena Dias de Araujo",$B:$B,"&lt;&gt;Lucas Luiz Romero")*(28/1083),IF(C2747="Técnico I",SUMIFS($D:$D,$A:$A,$A2747,$B:$B,"&lt;&gt;Patrícia Karla de Sousa Araújo",$B:$B,"&lt;&gt;Lorena Dias de Araujo",$B:$B,"&lt;&gt;Lucas Luiz Romero")*(23/1083),IF(C2747="JR",SUMIFS($D:$D,$A:$A,$A2747,$B:$B,"&lt;&gt;Patrícia Karla de Sousa Araújo",$B:$B,"&lt;&gt;Lorena Dias de Araujo",$B:$B,"&lt;&gt;Lucas Luiz Romero")*(20/1083),IF(C2747="Estágio",SUMIFS($D:$D,$A:$A,$A2747,$B:$B,"&lt;&gt;Patrícia Karla de Sousa Araújo",$B:$B,"&lt;&gt;Lorena Dias de Araujo",$B:$B,"&lt;&gt;Lucas Luiz Romero")*(10/1083),0)))))),0)</f>
        <v/>
      </c>
      <c r="K2747" s="3">
        <f>I2747-J2747</f>
        <v/>
      </c>
      <c r="L2747" s="3">
        <f>IF(K2747&lt;-5,"CRÍTICO",IF(K2747&lt;0,"ATENÇÃO",IF(K2747&lt;=5,"OPORTUNO","MUITO BOM")))</f>
        <v/>
      </c>
      <c r="N2747" t="n">
        <v>100</v>
      </c>
      <c r="O2747" t="n">
        <v>27.51479289940828</v>
      </c>
    </row>
    <row r="2748" hidden="1">
      <c r="A2748" s="11" t="n">
        <v>46086</v>
      </c>
      <c r="B2748" t="inlineStr">
        <is>
          <t>Paulo Ricardo Santos</t>
        </is>
      </c>
      <c r="C2748" t="inlineStr">
        <is>
          <t>JR</t>
        </is>
      </c>
      <c r="D2748" t="n">
        <v>6</v>
      </c>
      <c r="E2748" t="n">
        <v>6</v>
      </c>
      <c r="F2748" t="n">
        <v>25</v>
      </c>
      <c r="G2748" t="n">
        <v>0</v>
      </c>
      <c r="H2748" t="n">
        <v>0</v>
      </c>
      <c r="I2748" s="3">
        <f>E2748+G2748+H2748</f>
        <v/>
      </c>
      <c r="J2748" s="3">
        <f>ROUND(MIN(IF(C2748="Técnico III",35,IF(C2748="Técnico II",28,IF(C2748="Técnico I",23,IF(C2748="JR",20,IF(C2748="Estágio",10,0))))),IF(C2748="Técnico III",SUMIFS($D:$D,$A:$A,$A2748,$B:$B,"&lt;&gt;Patrícia Karla de Sousa Araújo",$B:$B,"&lt;&gt;Lorena Dias de Araujo",$B:$B,"&lt;&gt;Lucas Luiz Romero")*(35/1083),IF(C2748="Técnico II",SUMIFS($D:$D,$A:$A,$A2748,$B:$B,"&lt;&gt;Patrícia Karla de Sousa Araújo",$B:$B,"&lt;&gt;Lorena Dias de Araujo",$B:$B,"&lt;&gt;Lucas Luiz Romero")*(28/1083),IF(C2748="Técnico I",SUMIFS($D:$D,$A:$A,$A2748,$B:$B,"&lt;&gt;Patrícia Karla de Sousa Araújo",$B:$B,"&lt;&gt;Lorena Dias de Araujo",$B:$B,"&lt;&gt;Lucas Luiz Romero")*(23/1083),IF(C2748="JR",SUMIFS($D:$D,$A:$A,$A2748,$B:$B,"&lt;&gt;Patrícia Karla de Sousa Araújo",$B:$B,"&lt;&gt;Lorena Dias de Araujo",$B:$B,"&lt;&gt;Lucas Luiz Romero")*(20/1083),IF(C2748="Estágio",SUMIFS($D:$D,$A:$A,$A2748,$B:$B,"&lt;&gt;Patrícia Karla de Sousa Araújo",$B:$B,"&lt;&gt;Lorena Dias de Araujo",$B:$B,"&lt;&gt;Lucas Luiz Romero")*(10/1083),0)))))),0)</f>
        <v/>
      </c>
      <c r="K2748" s="3">
        <f>I2748-J2748</f>
        <v/>
      </c>
      <c r="L2748" s="3">
        <f>IF(K2748&lt;-5,"CRÍTICO",IF(K2748&lt;0,"ATENÇÃO",IF(K2748&lt;=5,"OPORTUNO","MUITO BOM")))</f>
        <v/>
      </c>
      <c r="N2748" t="n">
        <v>100</v>
      </c>
      <c r="O2748" t="n">
        <v>24.87562189054727</v>
      </c>
    </row>
    <row r="2749" hidden="1">
      <c r="A2749" s="11" t="n">
        <v>46086</v>
      </c>
      <c r="B2749" t="inlineStr">
        <is>
          <t>Pedro Luiz Mota Sousa</t>
        </is>
      </c>
      <c r="C2749" t="inlineStr">
        <is>
          <t>JR</t>
        </is>
      </c>
      <c r="D2749" t="n">
        <v>5</v>
      </c>
      <c r="E2749" t="n">
        <v>5</v>
      </c>
      <c r="F2749" t="n">
        <v>41.48</v>
      </c>
      <c r="G2749" t="n">
        <v>0</v>
      </c>
      <c r="H2749" t="n">
        <v>0</v>
      </c>
      <c r="I2749" s="3">
        <f>E2749+G2749+H2749</f>
        <v/>
      </c>
      <c r="J2749" s="3">
        <f>ROUND(MIN(IF(C2749="Técnico III",35,IF(C2749="Técnico II",28,IF(C2749="Técnico I",23,IF(C2749="JR",20,IF(C2749="Estágio",10,0))))),IF(C2749="Técnico III",SUMIFS($D:$D,$A:$A,$A2749,$B:$B,"&lt;&gt;Patrícia Karla de Sousa Araújo",$B:$B,"&lt;&gt;Lorena Dias de Araujo",$B:$B,"&lt;&gt;Lucas Luiz Romero")*(35/1083),IF(C2749="Técnico II",SUMIFS($D:$D,$A:$A,$A2749,$B:$B,"&lt;&gt;Patrícia Karla de Sousa Araújo",$B:$B,"&lt;&gt;Lorena Dias de Araujo",$B:$B,"&lt;&gt;Lucas Luiz Romero")*(28/1083),IF(C2749="Técnico I",SUMIFS($D:$D,$A:$A,$A2749,$B:$B,"&lt;&gt;Patrícia Karla de Sousa Araújo",$B:$B,"&lt;&gt;Lorena Dias de Araujo",$B:$B,"&lt;&gt;Lucas Luiz Romero")*(23/1083),IF(C2749="JR",SUMIFS($D:$D,$A:$A,$A2749,$B:$B,"&lt;&gt;Patrícia Karla de Sousa Araújo",$B:$B,"&lt;&gt;Lorena Dias de Araujo",$B:$B,"&lt;&gt;Lucas Luiz Romero")*(20/1083),IF(C2749="Estágio",SUMIFS($D:$D,$A:$A,$A2749,$B:$B,"&lt;&gt;Patrícia Karla de Sousa Araújo",$B:$B,"&lt;&gt;Lorena Dias de Araujo",$B:$B,"&lt;&gt;Lucas Luiz Romero")*(10/1083),0)))))),0)</f>
        <v/>
      </c>
      <c r="K2749" s="3">
        <f>I2749-J2749</f>
        <v/>
      </c>
      <c r="L2749" s="3">
        <f>IF(K2749&lt;-5,"CRÍTICO",IF(K2749&lt;0,"ATENÇÃO",IF(K2749&lt;=5,"OPORTUNO","MUITO BOM")))</f>
        <v/>
      </c>
      <c r="N2749" t="n">
        <v>100</v>
      </c>
      <c r="O2749" t="n">
        <v>28.10810810810811</v>
      </c>
    </row>
    <row r="2750" hidden="1">
      <c r="A2750" s="11" t="n">
        <v>46086</v>
      </c>
      <c r="B2750" t="inlineStr">
        <is>
          <t>Quirino Diogo Leite Torres</t>
        </is>
      </c>
      <c r="C2750" t="inlineStr">
        <is>
          <t>Estágio</t>
        </is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s="3" t="n">
        <v>0</v>
      </c>
      <c r="J2750" s="3" t="n">
        <v>0</v>
      </c>
      <c r="K2750" s="3" t="n">
        <v>0</v>
      </c>
      <c r="L2750" s="3">
        <f>IF(K2750&lt;-5,"CRÍTICO",IF(K2750&lt;0,"ATENÇÃO",IF(K2750&lt;=5,"OPORTUNO","MUITO BOM")))</f>
        <v/>
      </c>
      <c r="N2750" t="n">
        <v>100</v>
      </c>
      <c r="O2750" t="n">
        <v>35</v>
      </c>
    </row>
    <row r="2751" hidden="1">
      <c r="A2751" s="11" t="n">
        <v>46086</v>
      </c>
      <c r="B2751" t="inlineStr">
        <is>
          <t>Raane Batista Matos</t>
        </is>
      </c>
      <c r="C2751" t="inlineStr">
        <is>
          <t>Técnico I</t>
        </is>
      </c>
      <c r="D2751" t="n">
        <v>24</v>
      </c>
      <c r="E2751" t="n">
        <v>23</v>
      </c>
      <c r="F2751" t="n">
        <v>25.34</v>
      </c>
      <c r="G2751" t="n">
        <v>0</v>
      </c>
      <c r="H2751" t="n">
        <v>0</v>
      </c>
      <c r="I2751" s="3">
        <f>E2751+G2751+H2751</f>
        <v/>
      </c>
      <c r="J2751" s="3">
        <f>ROUND(MIN(IF(C2751="Técnico III",35,IF(C2751="Técnico II",28,IF(C2751="Técnico I",23,IF(C2751="JR",20,IF(C2751="Estágio",10,0))))),IF(C2751="Técnico III",SUMIFS($D:$D,$A:$A,$A2751,$B:$B,"&lt;&gt;Patrícia Karla de Sousa Araújo",$B:$B,"&lt;&gt;Lorena Dias de Araujo",$B:$B,"&lt;&gt;Lucas Luiz Romero")*(35/1083),IF(C2751="Técnico II",SUMIFS($D:$D,$A:$A,$A2751,$B:$B,"&lt;&gt;Patrícia Karla de Sousa Araújo",$B:$B,"&lt;&gt;Lorena Dias de Araujo",$B:$B,"&lt;&gt;Lucas Luiz Romero")*(28/1083),IF(C2751="Técnico I",SUMIFS($D:$D,$A:$A,$A2751,$B:$B,"&lt;&gt;Patrícia Karla de Sousa Araújo",$B:$B,"&lt;&gt;Lorena Dias de Araujo",$B:$B,"&lt;&gt;Lucas Luiz Romero")*(23/1083),IF(C2751="JR",SUMIFS($D:$D,$A:$A,$A2751,$B:$B,"&lt;&gt;Patrícia Karla de Sousa Araújo",$B:$B,"&lt;&gt;Lorena Dias de Araujo",$B:$B,"&lt;&gt;Lucas Luiz Romero")*(20/1083),IF(C2751="Estágio",SUMIFS($D:$D,$A:$A,$A2751,$B:$B,"&lt;&gt;Patrícia Karla de Sousa Araújo",$B:$B,"&lt;&gt;Lorena Dias de Araujo",$B:$B,"&lt;&gt;Lucas Luiz Romero")*(10/1083),0)))))),0)</f>
        <v/>
      </c>
      <c r="K2751" s="3">
        <f>I2751-J2751</f>
        <v/>
      </c>
      <c r="L2751" s="3">
        <f>IF(K2751&lt;-5,"CRÍTICO",IF(K2751&lt;0,"ATENÇÃO",IF(K2751&lt;=5,"OPORTUNO","MUITO BOM")))</f>
        <v/>
      </c>
      <c r="N2751" t="n">
        <v>95.34999999999999</v>
      </c>
      <c r="O2751" t="n">
        <v>28.61538461538461</v>
      </c>
    </row>
    <row r="2752" hidden="1">
      <c r="A2752" s="11" t="n">
        <v>46086</v>
      </c>
      <c r="B2752" t="inlineStr">
        <is>
          <t>Rafael Gomes de Morais</t>
        </is>
      </c>
      <c r="C2752" t="inlineStr">
        <is>
          <t>Técnico III</t>
        </is>
      </c>
      <c r="D2752" t="n">
        <v>38</v>
      </c>
      <c r="E2752" t="n">
        <v>36</v>
      </c>
      <c r="F2752" t="n">
        <v>13.55</v>
      </c>
      <c r="G2752" t="n">
        <v>0</v>
      </c>
      <c r="H2752" t="n">
        <v>0</v>
      </c>
      <c r="I2752" s="3">
        <f>E2752+G2752+H2752</f>
        <v/>
      </c>
      <c r="J2752" s="3">
        <f>ROUND(MIN(IF(C2752="Técnico III",35,IF(C2752="Técnico II",28,IF(C2752="Técnico I",23,IF(C2752="JR",20,IF(C2752="Estágio",10,0))))),IF(C2752="Técnico III",SUMIFS($D:$D,$A:$A,$A2752,$B:$B,"&lt;&gt;Patrícia Karla de Sousa Araújo",$B:$B,"&lt;&gt;Lorena Dias de Araujo",$B:$B,"&lt;&gt;Lucas Luiz Romero")*(35/1083),IF(C2752="Técnico II",SUMIFS($D:$D,$A:$A,$A2752,$B:$B,"&lt;&gt;Patrícia Karla de Sousa Araújo",$B:$B,"&lt;&gt;Lorena Dias de Araujo",$B:$B,"&lt;&gt;Lucas Luiz Romero")*(28/1083),IF(C2752="Técnico I",SUMIFS($D:$D,$A:$A,$A2752,$B:$B,"&lt;&gt;Patrícia Karla de Sousa Araújo",$B:$B,"&lt;&gt;Lorena Dias de Araujo",$B:$B,"&lt;&gt;Lucas Luiz Romero")*(23/1083),IF(C2752="JR",SUMIFS($D:$D,$A:$A,$A2752,$B:$B,"&lt;&gt;Patrícia Karla de Sousa Araújo",$B:$B,"&lt;&gt;Lorena Dias de Araujo",$B:$B,"&lt;&gt;Lucas Luiz Romero")*(20/1083),IF(C2752="Estágio",SUMIFS($D:$D,$A:$A,$A2752,$B:$B,"&lt;&gt;Patrícia Karla de Sousa Araújo",$B:$B,"&lt;&gt;Lorena Dias de Araujo",$B:$B,"&lt;&gt;Lucas Luiz Romero")*(10/1083),0)))))),0)</f>
        <v/>
      </c>
      <c r="K2752" s="3">
        <f>I2752-J2752</f>
        <v/>
      </c>
      <c r="L2752" s="3">
        <f>IF(K2752&lt;-5,"CRÍTICO",IF(K2752&lt;0,"ATENÇÃO",IF(K2752&lt;=5,"OPORTUNO","MUITO BOM")))</f>
        <v/>
      </c>
      <c r="N2752" t="n">
        <v>98.26000000000001</v>
      </c>
      <c r="O2752" t="n">
        <v>27.54491017964072</v>
      </c>
    </row>
    <row r="2753" hidden="1">
      <c r="A2753" s="11" t="n">
        <v>46086</v>
      </c>
      <c r="B2753" t="inlineStr">
        <is>
          <t>Sara Maria Monteiro Lopes</t>
        </is>
      </c>
      <c r="C2753" t="inlineStr">
        <is>
          <t>Técnico I</t>
        </is>
      </c>
      <c r="D2753" t="n">
        <v>22</v>
      </c>
      <c r="E2753" t="n">
        <v>21</v>
      </c>
      <c r="F2753" t="n">
        <v>29.05</v>
      </c>
      <c r="G2753" t="n">
        <v>0</v>
      </c>
      <c r="H2753" t="n">
        <v>0</v>
      </c>
      <c r="I2753" s="3">
        <f>E2753+G2753+H2753</f>
        <v/>
      </c>
      <c r="J2753" s="3">
        <f>ROUND(MIN(IF(C2753="Técnico III",35,IF(C2753="Técnico II",28,IF(C2753="Técnico I",23,IF(C2753="JR",20,IF(C2753="Estágio",10,0))))),IF(C2753="Técnico III",SUMIFS($D:$D,$A:$A,$A2753,$B:$B,"&lt;&gt;Patrícia Karla de Sousa Araújo",$B:$B,"&lt;&gt;Lorena Dias de Araujo",$B:$B,"&lt;&gt;Lucas Luiz Romero")*(35/1083),IF(C2753="Técnico II",SUMIFS($D:$D,$A:$A,$A2753,$B:$B,"&lt;&gt;Patrícia Karla de Sousa Araújo",$B:$B,"&lt;&gt;Lorena Dias de Araujo",$B:$B,"&lt;&gt;Lucas Luiz Romero")*(28/1083),IF(C2753="Técnico I",SUMIFS($D:$D,$A:$A,$A2753,$B:$B,"&lt;&gt;Patrícia Karla de Sousa Araújo",$B:$B,"&lt;&gt;Lorena Dias de Araujo",$B:$B,"&lt;&gt;Lucas Luiz Romero")*(23/1083),IF(C2753="JR",SUMIFS($D:$D,$A:$A,$A2753,$B:$B,"&lt;&gt;Patrícia Karla de Sousa Araújo",$B:$B,"&lt;&gt;Lorena Dias de Araujo",$B:$B,"&lt;&gt;Lucas Luiz Romero")*(20/1083),IF(C2753="Estágio",SUMIFS($D:$D,$A:$A,$A2753,$B:$B,"&lt;&gt;Patrícia Karla de Sousa Araújo",$B:$B,"&lt;&gt;Lorena Dias de Araujo",$B:$B,"&lt;&gt;Lucas Luiz Romero")*(10/1083),0)))))),0)</f>
        <v/>
      </c>
      <c r="K2753" s="3">
        <f>I2753-J2753</f>
        <v/>
      </c>
      <c r="L2753" s="3">
        <f>IF(K2753&lt;-5,"CRÍTICO",IF(K2753&lt;0,"ATENÇÃO",IF(K2753&lt;=5,"OPORTUNO","MUITO BOM")))</f>
        <v/>
      </c>
      <c r="N2753" t="n">
        <v>98.55</v>
      </c>
      <c r="O2753" t="n">
        <v>25.33783783783784</v>
      </c>
    </row>
    <row r="2754" hidden="1">
      <c r="A2754" s="11" t="n">
        <v>46086</v>
      </c>
      <c r="B2754" t="inlineStr">
        <is>
          <t>Sarah Steffanie de Lima Borges</t>
        </is>
      </c>
      <c r="C2754" t="inlineStr">
        <is>
          <t>Técnico III</t>
        </is>
      </c>
      <c r="D2754" t="n">
        <v>27</v>
      </c>
      <c r="E2754" t="n">
        <v>27</v>
      </c>
      <c r="F2754" t="n">
        <v>20.56</v>
      </c>
      <c r="G2754" t="n">
        <v>0</v>
      </c>
      <c r="H2754" t="n">
        <v>0</v>
      </c>
      <c r="I2754" s="3">
        <f>E2754+G2754+H2754</f>
        <v/>
      </c>
      <c r="J2754" s="3">
        <f>ROUND(MIN(IF(C2754="Técnico III",35,IF(C2754="Técnico II",28,IF(C2754="Técnico I",23,IF(C2754="JR",20,IF(C2754="Estágio",10,0))))),IF(C2754="Técnico III",SUMIFS($D:$D,$A:$A,$A2754,$B:$B,"&lt;&gt;Patrícia Karla de Sousa Araújo",$B:$B,"&lt;&gt;Lorena Dias de Araujo",$B:$B,"&lt;&gt;Lucas Luiz Romero")*(35/1083),IF(C2754="Técnico II",SUMIFS($D:$D,$A:$A,$A2754,$B:$B,"&lt;&gt;Patrícia Karla de Sousa Araújo",$B:$B,"&lt;&gt;Lorena Dias de Araujo",$B:$B,"&lt;&gt;Lucas Luiz Romero")*(28/1083),IF(C2754="Técnico I",SUMIFS($D:$D,$A:$A,$A2754,$B:$B,"&lt;&gt;Patrícia Karla de Sousa Araújo",$B:$B,"&lt;&gt;Lorena Dias de Araujo",$B:$B,"&lt;&gt;Lucas Luiz Romero")*(23/1083),IF(C2754="JR",SUMIFS($D:$D,$A:$A,$A2754,$B:$B,"&lt;&gt;Patrícia Karla de Sousa Araújo",$B:$B,"&lt;&gt;Lorena Dias de Araujo",$B:$B,"&lt;&gt;Lucas Luiz Romero")*(20/1083),IF(C2754="Estágio",SUMIFS($D:$D,$A:$A,$A2754,$B:$B,"&lt;&gt;Patrícia Karla de Sousa Araújo",$B:$B,"&lt;&gt;Lorena Dias de Araujo",$B:$B,"&lt;&gt;Lucas Luiz Romero")*(10/1083),0)))))),0)</f>
        <v/>
      </c>
      <c r="K2754" s="3">
        <f>I2754-J2754</f>
        <v/>
      </c>
      <c r="L2754" s="3">
        <f>IF(K2754&lt;-5,"CRÍTICO",IF(K2754&lt;0,"ATENÇÃO",IF(K2754&lt;=5,"OPORTUNO","MUITO BOM")))</f>
        <v/>
      </c>
      <c r="N2754" t="n">
        <v>98.39</v>
      </c>
      <c r="O2754" t="n">
        <v>25.56390977443609</v>
      </c>
    </row>
    <row r="2755" hidden="1">
      <c r="A2755" s="11" t="n">
        <v>46087</v>
      </c>
      <c r="B2755" t="inlineStr">
        <is>
          <t>Alisson de Freitas Silva</t>
        </is>
      </c>
      <c r="C2755" t="inlineStr">
        <is>
          <t>Técnico II</t>
        </is>
      </c>
      <c r="D2755" t="n">
        <v>41</v>
      </c>
      <c r="E2755" t="n">
        <v>33</v>
      </c>
      <c r="F2755" t="n">
        <v>13.43</v>
      </c>
      <c r="G2755" t="n">
        <v>0</v>
      </c>
      <c r="H2755" t="n">
        <v>0</v>
      </c>
      <c r="I2755" s="3">
        <f>E2755+G2755+H2755</f>
        <v/>
      </c>
      <c r="J2755" s="3">
        <f>ROUND(MIN(IF(C2755="Técnico III",35,IF(C2755="Técnico II",28,IF(C2755="Técnico I",23,IF(C2755="JR",20,IF(C2755="Estágio",10,0))))),IF(C2755="Técnico III",SUMIFS($D:$D,$A:$A,$A2755,$B:$B,"&lt;&gt;Patrícia Karla de Sousa Araújo",$B:$B,"&lt;&gt;Lorena Dias de Araujo",$B:$B,"&lt;&gt;Lucas Luiz Romero")*(35/1083),IF(C2755="Técnico II",SUMIFS($D:$D,$A:$A,$A2755,$B:$B,"&lt;&gt;Patrícia Karla de Sousa Araújo",$B:$B,"&lt;&gt;Lorena Dias de Araujo",$B:$B,"&lt;&gt;Lucas Luiz Romero")*(28/1083),IF(C2755="Técnico I",SUMIFS($D:$D,$A:$A,$A2755,$B:$B,"&lt;&gt;Patrícia Karla de Sousa Araújo",$B:$B,"&lt;&gt;Lorena Dias de Araujo",$B:$B,"&lt;&gt;Lucas Luiz Romero")*(23/1083),IF(C2755="JR",SUMIFS($D:$D,$A:$A,$A2755,$B:$B,"&lt;&gt;Patrícia Karla de Sousa Araújo",$B:$B,"&lt;&gt;Lorena Dias de Araujo",$B:$B,"&lt;&gt;Lucas Luiz Romero")*(20/1083),IF(C2755="Estágio",SUMIFS($D:$D,$A:$A,$A2755,$B:$B,"&lt;&gt;Patrícia Karla de Sousa Araújo",$B:$B,"&lt;&gt;Lorena Dias de Araujo",$B:$B,"&lt;&gt;Lucas Luiz Romero")*(10/1083),0)))))),0)</f>
        <v/>
      </c>
      <c r="K2755" s="3">
        <f>I2755-J2755</f>
        <v/>
      </c>
      <c r="L2755" s="3">
        <f>IF(K2755&lt;-5,"CRÍTICO",IF(K2755&lt;0,"ATENÇÃO",IF(K2755&lt;=5,"OPORTUNO","MUITO BOM")))</f>
        <v/>
      </c>
      <c r="N2755" t="n">
        <v>94.29000000000001</v>
      </c>
      <c r="O2755" t="n">
        <v>25.64766839378239</v>
      </c>
    </row>
    <row r="2756" hidden="1">
      <c r="A2756" s="11" t="n">
        <v>46087</v>
      </c>
      <c r="B2756" t="inlineStr">
        <is>
          <t>Amanda Moura Ferreira</t>
        </is>
      </c>
      <c r="C2756" t="inlineStr">
        <is>
          <t>Técnico III</t>
        </is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s="3" t="n">
        <v>0</v>
      </c>
      <c r="J2756" s="3" t="n">
        <v>0</v>
      </c>
      <c r="K2756" s="3" t="n">
        <v>0</v>
      </c>
      <c r="L2756" s="3">
        <f>IF(K2756&lt;-5,"CRÍTICO",IF(K2756&lt;0,"ATENÇÃO",IF(K2756&lt;=5,"OPORTUNO","MUITO BOM")))</f>
        <v/>
      </c>
      <c r="N2756" t="n">
        <v>98.26000000000001</v>
      </c>
      <c r="O2756" t="n">
        <v>26.66666666666667</v>
      </c>
    </row>
    <row r="2757" hidden="1">
      <c r="A2757" s="11" t="n">
        <v>46087</v>
      </c>
      <c r="B2757" t="inlineStr">
        <is>
          <t>Ana Karollyne Souza Faria</t>
        </is>
      </c>
      <c r="C2757" t="inlineStr">
        <is>
          <t>Técnico I</t>
        </is>
      </c>
      <c r="D2757" t="n">
        <v>23</v>
      </c>
      <c r="E2757" t="n">
        <v>21</v>
      </c>
      <c r="F2757" t="n">
        <v>25.12</v>
      </c>
      <c r="G2757" t="n">
        <v>0</v>
      </c>
      <c r="H2757" t="n">
        <v>0</v>
      </c>
      <c r="I2757" s="3">
        <f>E2757+G2757+H2757</f>
        <v/>
      </c>
      <c r="J2757" s="3">
        <f>ROUND(MIN(IF(C2757="Técnico III",35,IF(C2757="Técnico II",28,IF(C2757="Técnico I",23,IF(C2757="JR",20,IF(C2757="Estágio",10,0))))),IF(C2757="Técnico III",SUMIFS($D:$D,$A:$A,$A2757,$B:$B,"&lt;&gt;Patrícia Karla de Sousa Araújo",$B:$B,"&lt;&gt;Lorena Dias de Araujo",$B:$B,"&lt;&gt;Lucas Luiz Romero")*(35/1083),IF(C2757="Técnico II",SUMIFS($D:$D,$A:$A,$A2757,$B:$B,"&lt;&gt;Patrícia Karla de Sousa Araújo",$B:$B,"&lt;&gt;Lorena Dias de Araujo",$B:$B,"&lt;&gt;Lucas Luiz Romero")*(28/1083),IF(C2757="Técnico I",SUMIFS($D:$D,$A:$A,$A2757,$B:$B,"&lt;&gt;Patrícia Karla de Sousa Araújo",$B:$B,"&lt;&gt;Lorena Dias de Araujo",$B:$B,"&lt;&gt;Lucas Luiz Romero")*(23/1083),IF(C2757="JR",SUMIFS($D:$D,$A:$A,$A2757,$B:$B,"&lt;&gt;Patrícia Karla de Sousa Araújo",$B:$B,"&lt;&gt;Lorena Dias de Araujo",$B:$B,"&lt;&gt;Lucas Luiz Romero")*(20/1083),IF(C2757="Estágio",SUMIFS($D:$D,$A:$A,$A2757,$B:$B,"&lt;&gt;Patrícia Karla de Sousa Araújo",$B:$B,"&lt;&gt;Lorena Dias de Araujo",$B:$B,"&lt;&gt;Lucas Luiz Romero")*(10/1083),0)))))),0)</f>
        <v/>
      </c>
      <c r="K2757" s="3">
        <f>I2757-J2757</f>
        <v/>
      </c>
      <c r="L2757" s="3">
        <f>IF(K2757&lt;-5,"CRÍTICO",IF(K2757&lt;0,"ATENÇÃO",IF(K2757&lt;=5,"OPORTUNO","MUITO BOM")))</f>
        <v/>
      </c>
      <c r="N2757" t="n">
        <v>98.2</v>
      </c>
      <c r="O2757" t="n">
        <v>23.37962962962963</v>
      </c>
    </row>
    <row r="2758" hidden="1">
      <c r="A2758" s="11" t="n">
        <v>46087</v>
      </c>
      <c r="B2758" t="inlineStr">
        <is>
          <t>Ana Paula Da Luz Silva Aleixo</t>
        </is>
      </c>
      <c r="C2758" t="inlineStr">
        <is>
          <t>Técnico III</t>
        </is>
      </c>
      <c r="D2758" t="n">
        <v>27</v>
      </c>
      <c r="E2758" t="n">
        <v>25</v>
      </c>
      <c r="F2758" t="n">
        <v>20</v>
      </c>
      <c r="G2758" t="n">
        <v>0</v>
      </c>
      <c r="H2758" t="n">
        <v>0</v>
      </c>
      <c r="I2758" s="3">
        <f>E2758+G2758+H2758</f>
        <v/>
      </c>
      <c r="J2758" s="3">
        <f>ROUND(MIN(IF(C2758="Técnico III",35,IF(C2758="Técnico II",28,IF(C2758="Técnico I",23,IF(C2758="JR",20,IF(C2758="Estágio",10,0))))),IF(C2758="Técnico III",SUMIFS($D:$D,$A:$A,$A2758,$B:$B,"&lt;&gt;Patrícia Karla de Sousa Araújo",$B:$B,"&lt;&gt;Lorena Dias de Araujo",$B:$B,"&lt;&gt;Lucas Luiz Romero")*(35/1083),IF(C2758="Técnico II",SUMIFS($D:$D,$A:$A,$A2758,$B:$B,"&lt;&gt;Patrícia Karla de Sousa Araújo",$B:$B,"&lt;&gt;Lorena Dias de Araujo",$B:$B,"&lt;&gt;Lucas Luiz Romero")*(28/1083),IF(C2758="Técnico I",SUMIFS($D:$D,$A:$A,$A2758,$B:$B,"&lt;&gt;Patrícia Karla de Sousa Araújo",$B:$B,"&lt;&gt;Lorena Dias de Araujo",$B:$B,"&lt;&gt;Lucas Luiz Romero")*(23/1083),IF(C2758="JR",SUMIFS($D:$D,$A:$A,$A2758,$B:$B,"&lt;&gt;Patrícia Karla de Sousa Araújo",$B:$B,"&lt;&gt;Lorena Dias de Araujo",$B:$B,"&lt;&gt;Lucas Luiz Romero")*(20/1083),IF(C2758="Estágio",SUMIFS($D:$D,$A:$A,$A2758,$B:$B,"&lt;&gt;Patrícia Karla de Sousa Araújo",$B:$B,"&lt;&gt;Lorena Dias de Araujo",$B:$B,"&lt;&gt;Lucas Luiz Romero")*(10/1083),0)))))),0)</f>
        <v/>
      </c>
      <c r="K2758" s="3">
        <f>I2758-J2758</f>
        <v/>
      </c>
      <c r="L2758" s="3">
        <f>IF(K2758&lt;-5,"CRÍTICO",IF(K2758&lt;0,"ATENÇÃO",IF(K2758&lt;=5,"OPORTUNO","MUITO BOM")))</f>
        <v/>
      </c>
      <c r="N2758" t="n">
        <v>97.3</v>
      </c>
      <c r="O2758" t="n">
        <v>23.84769539078156</v>
      </c>
    </row>
    <row r="2759" hidden="1">
      <c r="A2759" s="11" t="n">
        <v>46087</v>
      </c>
      <c r="B2759" t="inlineStr">
        <is>
          <t>Anna Luiza Rezende Tavares</t>
        </is>
      </c>
      <c r="C2759" t="inlineStr">
        <is>
          <t>Estágio</t>
        </is>
      </c>
      <c r="D2759" t="n">
        <v>6</v>
      </c>
      <c r="E2759" t="n">
        <v>6</v>
      </c>
      <c r="F2759" t="n">
        <v>43.41</v>
      </c>
      <c r="G2759" t="n">
        <v>0</v>
      </c>
      <c r="H2759" t="n">
        <v>0</v>
      </c>
      <c r="I2759" s="3">
        <f>E2759+G2759+H2759</f>
        <v/>
      </c>
      <c r="J2759" s="3">
        <f>ROUND(MIN(IF(C2759="Técnico III",35,IF(C2759="Técnico II",28,IF(C2759="Técnico I",23,IF(C2759="JR",20,IF(C2759="Estágio",10,0))))),IF(C2759="Técnico III",SUMIFS($D:$D,$A:$A,$A2759,$B:$B,"&lt;&gt;Patrícia Karla de Sousa Araújo",$B:$B,"&lt;&gt;Lorena Dias de Araujo",$B:$B,"&lt;&gt;Lucas Luiz Romero")*(35/1083),IF(C2759="Técnico II",SUMIFS($D:$D,$A:$A,$A2759,$B:$B,"&lt;&gt;Patrícia Karla de Sousa Araújo",$B:$B,"&lt;&gt;Lorena Dias de Araujo",$B:$B,"&lt;&gt;Lucas Luiz Romero")*(28/1083),IF(C2759="Técnico I",SUMIFS($D:$D,$A:$A,$A2759,$B:$B,"&lt;&gt;Patrícia Karla de Sousa Araújo",$B:$B,"&lt;&gt;Lorena Dias de Araujo",$B:$B,"&lt;&gt;Lucas Luiz Romero")*(23/1083),IF(C2759="JR",SUMIFS($D:$D,$A:$A,$A2759,$B:$B,"&lt;&gt;Patrícia Karla de Sousa Araújo",$B:$B,"&lt;&gt;Lorena Dias de Araujo",$B:$B,"&lt;&gt;Lucas Luiz Romero")*(20/1083),IF(C2759="Estágio",SUMIFS($D:$D,$A:$A,$A2759,$B:$B,"&lt;&gt;Patrícia Karla de Sousa Araújo",$B:$B,"&lt;&gt;Lorena Dias de Araujo",$B:$B,"&lt;&gt;Lucas Luiz Romero")*(10/1083),0)))))),0)</f>
        <v/>
      </c>
      <c r="K2759" s="3">
        <f>I2759-J2759</f>
        <v/>
      </c>
      <c r="L2759" s="3">
        <f>IF(K2759&lt;-5,"CRÍTICO",IF(K2759&lt;0,"ATENÇÃO",IF(K2759&lt;=5,"OPORTUNO","MUITO BOM")))</f>
        <v/>
      </c>
      <c r="N2759" t="n">
        <v>100</v>
      </c>
      <c r="O2759" t="n">
        <v>25.26881720430108</v>
      </c>
    </row>
    <row r="2760" hidden="1">
      <c r="A2760" s="11" t="n">
        <v>46087</v>
      </c>
      <c r="B2760" t="inlineStr">
        <is>
          <t>Brenda de Menezes Silva</t>
        </is>
      </c>
      <c r="C2760" t="inlineStr">
        <is>
          <t>Técnico II</t>
        </is>
      </c>
      <c r="D2760" t="n">
        <v>45</v>
      </c>
      <c r="E2760" t="n">
        <v>43</v>
      </c>
      <c r="F2760" t="n">
        <v>13.55</v>
      </c>
      <c r="G2760" t="n">
        <v>0</v>
      </c>
      <c r="H2760" t="n">
        <v>0</v>
      </c>
      <c r="I2760" s="3">
        <f>E2760+G2760+H2760</f>
        <v/>
      </c>
      <c r="J2760" s="3">
        <f>ROUND(MIN(IF(C2760="Técnico III",35,IF(C2760="Técnico II",28,IF(C2760="Técnico I",23,IF(C2760="JR",20,IF(C2760="Estágio",10,0))))),IF(C2760="Técnico III",SUMIFS($D:$D,$A:$A,$A2760,$B:$B,"&lt;&gt;Patrícia Karla de Sousa Araújo",$B:$B,"&lt;&gt;Lorena Dias de Araujo",$B:$B,"&lt;&gt;Lucas Luiz Romero")*(35/1083),IF(C2760="Técnico II",SUMIFS($D:$D,$A:$A,$A2760,$B:$B,"&lt;&gt;Patrícia Karla de Sousa Araújo",$B:$B,"&lt;&gt;Lorena Dias de Araujo",$B:$B,"&lt;&gt;Lucas Luiz Romero")*(28/1083),IF(C2760="Técnico I",SUMIFS($D:$D,$A:$A,$A2760,$B:$B,"&lt;&gt;Patrícia Karla de Sousa Araújo",$B:$B,"&lt;&gt;Lorena Dias de Araujo",$B:$B,"&lt;&gt;Lucas Luiz Romero")*(23/1083),IF(C2760="JR",SUMIFS($D:$D,$A:$A,$A2760,$B:$B,"&lt;&gt;Patrícia Karla de Sousa Araújo",$B:$B,"&lt;&gt;Lorena Dias de Araujo",$B:$B,"&lt;&gt;Lucas Luiz Romero")*(20/1083),IF(C2760="Estágio",SUMIFS($D:$D,$A:$A,$A2760,$B:$B,"&lt;&gt;Patrícia Karla de Sousa Araújo",$B:$B,"&lt;&gt;Lorena Dias de Araujo",$B:$B,"&lt;&gt;Lucas Luiz Romero")*(10/1083),0)))))),0)</f>
        <v/>
      </c>
      <c r="K2760" s="3">
        <f>I2760-J2760</f>
        <v/>
      </c>
      <c r="L2760" s="3">
        <f>IF(K2760&lt;-5,"CRÍTICO",IF(K2760&lt;0,"ATENÇÃO",IF(K2760&lt;=5,"OPORTUNO","MUITO BOM")))</f>
        <v/>
      </c>
      <c r="N2760" t="n">
        <v>99.31999999999999</v>
      </c>
      <c r="O2760" t="n">
        <v>22.82282282282282</v>
      </c>
    </row>
    <row r="2761" hidden="1">
      <c r="A2761" s="11" t="n">
        <v>46087</v>
      </c>
      <c r="B2761" t="inlineStr">
        <is>
          <t>Carlos Mateus Cassimiro Nunes</t>
        </is>
      </c>
      <c r="C2761" t="inlineStr">
        <is>
          <t>Técnico II</t>
        </is>
      </c>
      <c r="D2761" t="n">
        <v>23</v>
      </c>
      <c r="E2761" t="n">
        <v>23</v>
      </c>
      <c r="F2761" t="n">
        <v>28.33</v>
      </c>
      <c r="G2761" t="n">
        <v>0</v>
      </c>
      <c r="H2761" t="n">
        <v>0</v>
      </c>
      <c r="I2761" s="3">
        <f>E2761+G2761+H2761</f>
        <v/>
      </c>
      <c r="J2761" s="3">
        <f>ROUND(MIN(IF(C2761="Técnico III",35,IF(C2761="Técnico II",28,IF(C2761="Técnico I",23,IF(C2761="JR",20,IF(C2761="Estágio",10,0))))),IF(C2761="Técnico III",SUMIFS($D:$D,$A:$A,$A2761,$B:$B,"&lt;&gt;Patrícia Karla de Sousa Araújo",$B:$B,"&lt;&gt;Lorena Dias de Araujo",$B:$B,"&lt;&gt;Lucas Luiz Romero")*(35/1083),IF(C2761="Técnico II",SUMIFS($D:$D,$A:$A,$A2761,$B:$B,"&lt;&gt;Patrícia Karla de Sousa Araújo",$B:$B,"&lt;&gt;Lorena Dias de Araujo",$B:$B,"&lt;&gt;Lucas Luiz Romero")*(28/1083),IF(C2761="Técnico I",SUMIFS($D:$D,$A:$A,$A2761,$B:$B,"&lt;&gt;Patrícia Karla de Sousa Araújo",$B:$B,"&lt;&gt;Lorena Dias de Araujo",$B:$B,"&lt;&gt;Lucas Luiz Romero")*(23/1083),IF(C2761="JR",SUMIFS($D:$D,$A:$A,$A2761,$B:$B,"&lt;&gt;Patrícia Karla de Sousa Araújo",$B:$B,"&lt;&gt;Lorena Dias de Araujo",$B:$B,"&lt;&gt;Lucas Luiz Romero")*(20/1083),IF(C2761="Estágio",SUMIFS($D:$D,$A:$A,$A2761,$B:$B,"&lt;&gt;Patrícia Karla de Sousa Araújo",$B:$B,"&lt;&gt;Lorena Dias de Araujo",$B:$B,"&lt;&gt;Lucas Luiz Romero")*(10/1083),0)))))),0)</f>
        <v/>
      </c>
      <c r="K2761" s="3">
        <f>I2761-J2761</f>
        <v/>
      </c>
      <c r="L2761" s="3">
        <f>IF(K2761&lt;-5,"CRÍTICO",IF(K2761&lt;0,"ATENÇÃO",IF(K2761&lt;=5,"OPORTUNO","MUITO BOM")))</f>
        <v/>
      </c>
      <c r="N2761" t="n">
        <v>100</v>
      </c>
      <c r="O2761" t="n">
        <v>27.96610169491525</v>
      </c>
    </row>
    <row r="2762" hidden="1">
      <c r="A2762" s="11" t="n">
        <v>46087</v>
      </c>
      <c r="B2762" t="inlineStr">
        <is>
          <t>Claudio de Sousa Velasco Filho</t>
        </is>
      </c>
      <c r="C2762" t="inlineStr">
        <is>
          <t>Estágio</t>
        </is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s="3" t="n">
        <v>0</v>
      </c>
      <c r="J2762" s="3" t="n">
        <v>0</v>
      </c>
      <c r="K2762" s="3" t="n">
        <v>0</v>
      </c>
      <c r="L2762" s="3">
        <f>IF(K2762&lt;-5,"CRÍTICO",IF(K2762&lt;0,"ATENÇÃO",IF(K2762&lt;=5,"OPORTUNO","MUITO BOM")))</f>
        <v/>
      </c>
      <c r="N2762" t="n">
        <v>100</v>
      </c>
      <c r="O2762" t="n">
        <v>30.43478260869566</v>
      </c>
    </row>
    <row r="2763" hidden="1">
      <c r="A2763" s="11" t="n">
        <v>46087</v>
      </c>
      <c r="B2763" t="inlineStr">
        <is>
          <t>Clessiane Pereira dos Santos</t>
        </is>
      </c>
      <c r="C2763" t="inlineStr">
        <is>
          <t>Técnico I</t>
        </is>
      </c>
      <c r="D2763" t="n">
        <v>23</v>
      </c>
      <c r="E2763" t="n">
        <v>18</v>
      </c>
      <c r="F2763" t="n">
        <v>25.29</v>
      </c>
      <c r="G2763" t="n">
        <v>0</v>
      </c>
      <c r="H2763" t="n">
        <v>0</v>
      </c>
      <c r="I2763" s="3">
        <f>E2763+G2763+H2763</f>
        <v/>
      </c>
      <c r="J2763" s="3">
        <f>ROUND(MIN(IF(C2763="Técnico III",35,IF(C2763="Técnico II",28,IF(C2763="Técnico I",23,IF(C2763="JR",20,IF(C2763="Estágio",10,0))))),IF(C2763="Técnico III",SUMIFS($D:$D,$A:$A,$A2763,$B:$B,"&lt;&gt;Patrícia Karla de Sousa Araújo",$B:$B,"&lt;&gt;Lorena Dias de Araujo",$B:$B,"&lt;&gt;Lucas Luiz Romero")*(35/1083),IF(C2763="Técnico II",SUMIFS($D:$D,$A:$A,$A2763,$B:$B,"&lt;&gt;Patrícia Karla de Sousa Araújo",$B:$B,"&lt;&gt;Lorena Dias de Araujo",$B:$B,"&lt;&gt;Lucas Luiz Romero")*(28/1083),IF(C2763="Técnico I",SUMIFS($D:$D,$A:$A,$A2763,$B:$B,"&lt;&gt;Patrícia Karla de Sousa Araújo",$B:$B,"&lt;&gt;Lorena Dias de Araujo",$B:$B,"&lt;&gt;Lucas Luiz Romero")*(23/1083),IF(C2763="JR",SUMIFS($D:$D,$A:$A,$A2763,$B:$B,"&lt;&gt;Patrícia Karla de Sousa Araújo",$B:$B,"&lt;&gt;Lorena Dias de Araujo",$B:$B,"&lt;&gt;Lucas Luiz Romero")*(20/1083),IF(C2763="Estágio",SUMIFS($D:$D,$A:$A,$A2763,$B:$B,"&lt;&gt;Patrícia Karla de Sousa Araújo",$B:$B,"&lt;&gt;Lorena Dias de Araujo",$B:$B,"&lt;&gt;Lucas Luiz Romero")*(10/1083),0)))))),0)</f>
        <v/>
      </c>
      <c r="K2763" s="3">
        <f>I2763-J2763</f>
        <v/>
      </c>
      <c r="L2763" s="3">
        <f>IF(K2763&lt;-5,"CRÍTICO",IF(K2763&lt;0,"ATENÇÃO",IF(K2763&lt;=5,"OPORTUNO","MUITO BOM")))</f>
        <v/>
      </c>
      <c r="N2763" t="n">
        <v>96.51000000000001</v>
      </c>
      <c r="O2763" t="n">
        <v>22.80285035629454</v>
      </c>
    </row>
    <row r="2764" hidden="1">
      <c r="A2764" s="11" t="n">
        <v>46087</v>
      </c>
      <c r="B2764" t="inlineStr">
        <is>
          <t>Cristiane Ramos da Silva Rocha</t>
        </is>
      </c>
      <c r="C2764" t="inlineStr">
        <is>
          <t>Técnico III</t>
        </is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s="3" t="n">
        <v>0</v>
      </c>
      <c r="J2764" s="3" t="n">
        <v>0</v>
      </c>
      <c r="K2764" s="3" t="n">
        <v>0</v>
      </c>
      <c r="L2764" s="3">
        <f>IF(K2764&lt;-5,"CRÍTICO",IF(K2764&lt;0,"ATENÇÃO",IF(K2764&lt;=5,"OPORTUNO","MUITO BOM")))</f>
        <v/>
      </c>
      <c r="N2764" t="n">
        <v>92.68000000000001</v>
      </c>
      <c r="O2764" t="n">
        <v>27.77777777777778</v>
      </c>
    </row>
    <row r="2765" hidden="1">
      <c r="A2765" s="11" t="n">
        <v>46087</v>
      </c>
      <c r="B2765" t="inlineStr">
        <is>
          <t>Damyllis Lorraine de Oliveira Gonçalves</t>
        </is>
      </c>
      <c r="C2765" t="inlineStr">
        <is>
          <t>Técnico II</t>
        </is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s="3" t="n">
        <v>0</v>
      </c>
      <c r="J2765" s="3" t="n">
        <v>0</v>
      </c>
      <c r="K2765" s="3" t="n">
        <v>0</v>
      </c>
      <c r="L2765" s="3">
        <f>IF(K2765&lt;-5,"CRÍTICO",IF(K2765&lt;0,"ATENÇÃO",IF(K2765&lt;=5,"OPORTUNO","MUITO BOM")))</f>
        <v/>
      </c>
      <c r="N2765" t="n">
        <v>99.03</v>
      </c>
      <c r="O2765" t="n">
        <v>23.99150743099788</v>
      </c>
    </row>
    <row r="2766" hidden="1">
      <c r="A2766" s="11" t="n">
        <v>46087</v>
      </c>
      <c r="B2766" t="inlineStr">
        <is>
          <t>Daniel Gomes da Silva</t>
        </is>
      </c>
      <c r="C2766" t="inlineStr">
        <is>
          <t>Técnico I</t>
        </is>
      </c>
      <c r="D2766" t="n">
        <v>21</v>
      </c>
      <c r="E2766" t="n">
        <v>21</v>
      </c>
      <c r="F2766" t="n">
        <v>25.27</v>
      </c>
      <c r="G2766" t="n">
        <v>0</v>
      </c>
      <c r="H2766" t="n">
        <v>0</v>
      </c>
      <c r="I2766" s="3">
        <f>E2766+G2766+H2766</f>
        <v/>
      </c>
      <c r="J2766" s="3">
        <f>ROUND(MIN(IF(C2766="Técnico III",35,IF(C2766="Técnico II",28,IF(C2766="Técnico I",23,IF(C2766="JR",20,IF(C2766="Estágio",10,0))))),IF(C2766="Técnico III",SUMIFS($D:$D,$A:$A,$A2766,$B:$B,"&lt;&gt;Patrícia Karla de Sousa Araújo",$B:$B,"&lt;&gt;Lorena Dias de Araujo",$B:$B,"&lt;&gt;Lucas Luiz Romero")*(35/1083),IF(C2766="Técnico II",SUMIFS($D:$D,$A:$A,$A2766,$B:$B,"&lt;&gt;Patrícia Karla de Sousa Araújo",$B:$B,"&lt;&gt;Lorena Dias de Araujo",$B:$B,"&lt;&gt;Lucas Luiz Romero")*(28/1083),IF(C2766="Técnico I",SUMIFS($D:$D,$A:$A,$A2766,$B:$B,"&lt;&gt;Patrícia Karla de Sousa Araújo",$B:$B,"&lt;&gt;Lorena Dias de Araujo",$B:$B,"&lt;&gt;Lucas Luiz Romero")*(23/1083),IF(C2766="JR",SUMIFS($D:$D,$A:$A,$A2766,$B:$B,"&lt;&gt;Patrícia Karla de Sousa Araújo",$B:$B,"&lt;&gt;Lorena Dias de Araujo",$B:$B,"&lt;&gt;Lucas Luiz Romero")*(20/1083),IF(C2766="Estágio",SUMIFS($D:$D,$A:$A,$A2766,$B:$B,"&lt;&gt;Patrícia Karla de Sousa Araújo",$B:$B,"&lt;&gt;Lorena Dias de Araujo",$B:$B,"&lt;&gt;Lucas Luiz Romero")*(10/1083),0)))))),0)</f>
        <v/>
      </c>
      <c r="K2766" s="3">
        <f>I2766-J2766</f>
        <v/>
      </c>
      <c r="L2766" s="3">
        <f>IF(K2766&lt;-5,"CRÍTICO",IF(K2766&lt;0,"ATENÇÃO",IF(K2766&lt;=5,"OPORTUNO","MUITO BOM")))</f>
        <v/>
      </c>
      <c r="N2766" t="n">
        <v>98.41</v>
      </c>
      <c r="O2766" t="n">
        <v>28.13852813852814</v>
      </c>
    </row>
    <row r="2767" hidden="1">
      <c r="A2767" s="11" t="n">
        <v>46087</v>
      </c>
      <c r="B2767" t="inlineStr">
        <is>
          <t>Davylla Rodrigues Freitas Silva</t>
        </is>
      </c>
      <c r="C2767" t="inlineStr">
        <is>
          <t>Técnico III</t>
        </is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s="3" t="n">
        <v>0</v>
      </c>
      <c r="J2767" s="3" t="n">
        <v>0</v>
      </c>
      <c r="K2767" s="3" t="n">
        <v>0</v>
      </c>
      <c r="L2767" s="3">
        <f>IF(K2767&lt;-5,"CRÍTICO",IF(K2767&lt;0,"ATENÇÃO",IF(K2767&lt;=5,"OPORTUNO","MUITO BOM")))</f>
        <v/>
      </c>
      <c r="N2767" t="n">
        <v>98.73</v>
      </c>
      <c r="O2767" t="n">
        <v>29.14285714285714</v>
      </c>
    </row>
    <row r="2768" hidden="1">
      <c r="A2768" s="11" t="n">
        <v>46087</v>
      </c>
      <c r="B2768" t="inlineStr">
        <is>
          <t>Emilly Caylane Costa</t>
        </is>
      </c>
      <c r="C2768" t="inlineStr">
        <is>
          <t>Estágio</t>
        </is>
      </c>
      <c r="D2768" t="n">
        <v>39</v>
      </c>
      <c r="E2768" t="n">
        <v>35</v>
      </c>
      <c r="F2768" t="n">
        <v>8.59</v>
      </c>
      <c r="G2768" t="n">
        <v>0</v>
      </c>
      <c r="H2768" t="n">
        <v>0</v>
      </c>
      <c r="I2768" s="3">
        <f>E2768+G2768+H2768</f>
        <v/>
      </c>
      <c r="J2768" s="3">
        <f>ROUND(MIN(IF(C2768="Técnico III",35,IF(C2768="Técnico II",28,IF(C2768="Técnico I",23,IF(C2768="JR",20,IF(C2768="Estágio",10,0))))),IF(C2768="Técnico III",SUMIFS($D:$D,$A:$A,$A2768,$B:$B,"&lt;&gt;Patrícia Karla de Sousa Araújo",$B:$B,"&lt;&gt;Lorena Dias de Araujo",$B:$B,"&lt;&gt;Lucas Luiz Romero")*(35/1083),IF(C2768="Técnico II",SUMIFS($D:$D,$A:$A,$A2768,$B:$B,"&lt;&gt;Patrícia Karla de Sousa Araújo",$B:$B,"&lt;&gt;Lorena Dias de Araujo",$B:$B,"&lt;&gt;Lucas Luiz Romero")*(28/1083),IF(C2768="Técnico I",SUMIFS($D:$D,$A:$A,$A2768,$B:$B,"&lt;&gt;Patrícia Karla de Sousa Araújo",$B:$B,"&lt;&gt;Lorena Dias de Araujo",$B:$B,"&lt;&gt;Lucas Luiz Romero")*(23/1083),IF(C2768="JR",SUMIFS($D:$D,$A:$A,$A2768,$B:$B,"&lt;&gt;Patrícia Karla de Sousa Araújo",$B:$B,"&lt;&gt;Lorena Dias de Araujo",$B:$B,"&lt;&gt;Lucas Luiz Romero")*(20/1083),IF(C2768="Estágio",SUMIFS($D:$D,$A:$A,$A2768,$B:$B,"&lt;&gt;Patrícia Karla de Sousa Araújo",$B:$B,"&lt;&gt;Lorena Dias de Araujo",$B:$B,"&lt;&gt;Lucas Luiz Romero")*(10/1083),0)))))),0)</f>
        <v/>
      </c>
      <c r="K2768" s="3">
        <f>I2768-J2768</f>
        <v/>
      </c>
      <c r="L2768" s="3">
        <f>IF(K2768&lt;-5,"CRÍTICO",IF(K2768&lt;0,"ATENÇÃO",IF(K2768&lt;=5,"OPORTUNO","MUITO BOM")))</f>
        <v/>
      </c>
      <c r="N2768" t="n">
        <v>90.48</v>
      </c>
      <c r="O2768" t="n">
        <v>20.68965517241379</v>
      </c>
    </row>
    <row r="2769" hidden="1">
      <c r="A2769" s="11" t="n">
        <v>46087</v>
      </c>
      <c r="B2769" t="inlineStr">
        <is>
          <t>Emilly Kamilly Medeiros Miranda</t>
        </is>
      </c>
      <c r="C2769" t="inlineStr">
        <is>
          <t>Técnico II</t>
        </is>
      </c>
      <c r="D2769" t="n">
        <v>27</v>
      </c>
      <c r="E2769" t="n">
        <v>26</v>
      </c>
      <c r="F2769" t="n">
        <v>20.08</v>
      </c>
      <c r="G2769" t="n">
        <v>0</v>
      </c>
      <c r="H2769" t="n">
        <v>0</v>
      </c>
      <c r="I2769" s="3">
        <f>E2769+G2769+H2769</f>
        <v/>
      </c>
      <c r="J2769" s="3">
        <f>ROUND(MIN(IF(C2769="Técnico III",35,IF(C2769="Técnico II",28,IF(C2769="Técnico I",23,IF(C2769="JR",20,IF(C2769="Estágio",10,0))))),IF(C2769="Técnico III",SUMIFS($D:$D,$A:$A,$A2769,$B:$B,"&lt;&gt;Patrícia Karla de Sousa Araújo",$B:$B,"&lt;&gt;Lorena Dias de Araujo",$B:$B,"&lt;&gt;Lucas Luiz Romero")*(35/1083),IF(C2769="Técnico II",SUMIFS($D:$D,$A:$A,$A2769,$B:$B,"&lt;&gt;Patrícia Karla de Sousa Araújo",$B:$B,"&lt;&gt;Lorena Dias de Araujo",$B:$B,"&lt;&gt;Lucas Luiz Romero")*(28/1083),IF(C2769="Técnico I",SUMIFS($D:$D,$A:$A,$A2769,$B:$B,"&lt;&gt;Patrícia Karla de Sousa Araújo",$B:$B,"&lt;&gt;Lorena Dias de Araujo",$B:$B,"&lt;&gt;Lucas Luiz Romero")*(23/1083),IF(C2769="JR",SUMIFS($D:$D,$A:$A,$A2769,$B:$B,"&lt;&gt;Patrícia Karla de Sousa Araújo",$B:$B,"&lt;&gt;Lorena Dias de Araujo",$B:$B,"&lt;&gt;Lucas Luiz Romero")*(20/1083),IF(C2769="Estágio",SUMIFS($D:$D,$A:$A,$A2769,$B:$B,"&lt;&gt;Patrícia Karla de Sousa Araújo",$B:$B,"&lt;&gt;Lorena Dias de Araujo",$B:$B,"&lt;&gt;Lucas Luiz Romero")*(10/1083),0)))))),0)</f>
        <v/>
      </c>
      <c r="K2769" s="3">
        <f>I2769-J2769</f>
        <v/>
      </c>
      <c r="L2769" s="3">
        <f>IF(K2769&lt;-5,"CRÍTICO",IF(K2769&lt;0,"ATENÇÃO",IF(K2769&lt;=5,"OPORTUNO","MUITO BOM")))</f>
        <v/>
      </c>
      <c r="N2769" t="n">
        <v>98.06</v>
      </c>
      <c r="O2769" t="n">
        <v>24.78991596638656</v>
      </c>
    </row>
    <row r="2770" hidden="1">
      <c r="A2770" s="11" t="n">
        <v>46087</v>
      </c>
      <c r="B2770" t="inlineStr">
        <is>
          <t>Francielson de Oliveira</t>
        </is>
      </c>
      <c r="C2770" t="inlineStr">
        <is>
          <t>Técnico III</t>
        </is>
      </c>
      <c r="D2770" t="n">
        <v>19</v>
      </c>
      <c r="E2770" t="n">
        <v>19</v>
      </c>
      <c r="F2770" t="n">
        <v>14.15</v>
      </c>
      <c r="G2770" t="n">
        <v>0</v>
      </c>
      <c r="H2770" t="n">
        <v>0</v>
      </c>
      <c r="I2770" s="3">
        <f>E2770+G2770+H2770</f>
        <v/>
      </c>
      <c r="J2770" s="3">
        <f>ROUND(MIN(IF(C2770="Técnico III",35,IF(C2770="Técnico II",28,IF(C2770="Técnico I",23,IF(C2770="JR",20,IF(C2770="Estágio",10,0))))),IF(C2770="Técnico III",SUMIFS($D:$D,$A:$A,$A2770,$B:$B,"&lt;&gt;Patrícia Karla de Sousa Araújo",$B:$B,"&lt;&gt;Lorena Dias de Araujo",$B:$B,"&lt;&gt;Lucas Luiz Romero")*(35/1083),IF(C2770="Técnico II",SUMIFS($D:$D,$A:$A,$A2770,$B:$B,"&lt;&gt;Patrícia Karla de Sousa Araújo",$B:$B,"&lt;&gt;Lorena Dias de Araujo",$B:$B,"&lt;&gt;Lucas Luiz Romero")*(28/1083),IF(C2770="Técnico I",SUMIFS($D:$D,$A:$A,$A2770,$B:$B,"&lt;&gt;Patrícia Karla de Sousa Araújo",$B:$B,"&lt;&gt;Lorena Dias de Araujo",$B:$B,"&lt;&gt;Lucas Luiz Romero")*(23/1083),IF(C2770="JR",SUMIFS($D:$D,$A:$A,$A2770,$B:$B,"&lt;&gt;Patrícia Karla de Sousa Araújo",$B:$B,"&lt;&gt;Lorena Dias de Araujo",$B:$B,"&lt;&gt;Lucas Luiz Romero")*(20/1083),IF(C2770="Estágio",SUMIFS($D:$D,$A:$A,$A2770,$B:$B,"&lt;&gt;Patrícia Karla de Sousa Araújo",$B:$B,"&lt;&gt;Lorena Dias de Araujo",$B:$B,"&lt;&gt;Lucas Luiz Romero")*(10/1083),0)))))),0)</f>
        <v/>
      </c>
      <c r="K2770" s="3">
        <f>I2770-J2770</f>
        <v/>
      </c>
      <c r="L2770" s="3">
        <f>IF(K2770&lt;-5,"CRÍTICO",IF(K2770&lt;0,"ATENÇÃO",IF(K2770&lt;=5,"OPORTUNO","MUITO BOM")))</f>
        <v/>
      </c>
      <c r="N2770" t="n">
        <v>97.78</v>
      </c>
      <c r="O2770" t="n">
        <v>25.49407114624506</v>
      </c>
    </row>
    <row r="2771" hidden="1">
      <c r="A2771" s="11" t="n">
        <v>46087</v>
      </c>
      <c r="B2771" t="inlineStr">
        <is>
          <t>Francilene Ferreira de Jesus</t>
        </is>
      </c>
      <c r="C2771" t="inlineStr">
        <is>
          <t>Técnico II</t>
        </is>
      </c>
      <c r="D2771" t="n">
        <v>28</v>
      </c>
      <c r="E2771" t="n">
        <v>26</v>
      </c>
      <c r="F2771" t="n">
        <v>29.09</v>
      </c>
      <c r="G2771" t="n">
        <v>0</v>
      </c>
      <c r="H2771" t="n">
        <v>0</v>
      </c>
      <c r="I2771" s="3">
        <f>E2771+G2771+H2771</f>
        <v/>
      </c>
      <c r="J2771" s="3">
        <f>ROUND(MIN(IF(C2771="Técnico III",35,IF(C2771="Técnico II",28,IF(C2771="Técnico I",23,IF(C2771="JR",20,IF(C2771="Estágio",10,0))))),IF(C2771="Técnico III",SUMIFS($D:$D,$A:$A,$A2771,$B:$B,"&lt;&gt;Patrícia Karla de Sousa Araújo",$B:$B,"&lt;&gt;Lorena Dias de Araujo",$B:$B,"&lt;&gt;Lucas Luiz Romero")*(35/1083),IF(C2771="Técnico II",SUMIFS($D:$D,$A:$A,$A2771,$B:$B,"&lt;&gt;Patrícia Karla de Sousa Araújo",$B:$B,"&lt;&gt;Lorena Dias de Araujo",$B:$B,"&lt;&gt;Lucas Luiz Romero")*(28/1083),IF(C2771="Técnico I",SUMIFS($D:$D,$A:$A,$A2771,$B:$B,"&lt;&gt;Patrícia Karla de Sousa Araújo",$B:$B,"&lt;&gt;Lorena Dias de Araujo",$B:$B,"&lt;&gt;Lucas Luiz Romero")*(23/1083),IF(C2771="JR",SUMIFS($D:$D,$A:$A,$A2771,$B:$B,"&lt;&gt;Patrícia Karla de Sousa Araújo",$B:$B,"&lt;&gt;Lorena Dias de Araujo",$B:$B,"&lt;&gt;Lucas Luiz Romero")*(20/1083),IF(C2771="Estágio",SUMIFS($D:$D,$A:$A,$A2771,$B:$B,"&lt;&gt;Patrícia Karla de Sousa Araújo",$B:$B,"&lt;&gt;Lorena Dias de Araujo",$B:$B,"&lt;&gt;Lucas Luiz Romero")*(10/1083),0)))))),0)</f>
        <v/>
      </c>
      <c r="K2771" s="3">
        <f>I2771-J2771</f>
        <v/>
      </c>
      <c r="L2771" s="3">
        <f>IF(K2771&lt;-5,"CRÍTICO",IF(K2771&lt;0,"ATENÇÃO",IF(K2771&lt;=5,"OPORTUNO","MUITO BOM")))</f>
        <v/>
      </c>
      <c r="N2771" t="n">
        <v>98.02</v>
      </c>
      <c r="O2771" t="n">
        <v>23.48484848484848</v>
      </c>
    </row>
    <row r="2772" hidden="1">
      <c r="A2772" s="11" t="n">
        <v>46121</v>
      </c>
      <c r="B2772" t="inlineStr">
        <is>
          <t>Gabriel Gomes de Andrade</t>
        </is>
      </c>
      <c r="C2772" t="inlineStr">
        <is>
          <t>Técnico I</t>
        </is>
      </c>
      <c r="D2772" t="n">
        <v>28</v>
      </c>
      <c r="E2772" t="n">
        <v>25</v>
      </c>
      <c r="F2772" t="n">
        <v>15.5</v>
      </c>
      <c r="G2772" t="n">
        <v>0</v>
      </c>
      <c r="H2772" t="n">
        <v>0</v>
      </c>
      <c r="I2772" s="3">
        <f>E2772+G2772+H2772</f>
        <v/>
      </c>
      <c r="J2772" s="3">
        <f>ROUND(MIN(IF(C2772="Técnico III",35,IF(C2772="Técnico II",28,IF(C2772="Técnico I",23,IF(C2772="JR",20,IF(C2772="Estágio",10,0))))),IF(C2772="Técnico III",SUMIFS($D:$D,$A:$A,$A2772,$B:$B,"&lt;&gt;Patrícia Karla de Sousa Araújo",$B:$B,"&lt;&gt;Lorena Dias de Araujo",$B:$B,"&lt;&gt;Lucas Luiz Romero")*(35/1083),IF(C2772="Técnico II",SUMIFS($D:$D,$A:$A,$A2772,$B:$B,"&lt;&gt;Patrícia Karla de Sousa Araújo",$B:$B,"&lt;&gt;Lorena Dias de Araujo",$B:$B,"&lt;&gt;Lucas Luiz Romero")*(28/1083),IF(C2772="Técnico I",SUMIFS($D:$D,$A:$A,$A2772,$B:$B,"&lt;&gt;Patrícia Karla de Sousa Araújo",$B:$B,"&lt;&gt;Lorena Dias de Araujo",$B:$B,"&lt;&gt;Lucas Luiz Romero")*(23/1083),IF(C2772="JR",SUMIFS($D:$D,$A:$A,$A2772,$B:$B,"&lt;&gt;Patrícia Karla de Sousa Araújo",$B:$B,"&lt;&gt;Lorena Dias de Araujo",$B:$B,"&lt;&gt;Lucas Luiz Romero")*(20/1083),IF(C2772="Estágio",SUMIFS($D:$D,$A:$A,$A2772,$B:$B,"&lt;&gt;Patrícia Karla de Sousa Araújo",$B:$B,"&lt;&gt;Lorena Dias de Araujo",$B:$B,"&lt;&gt;Lucas Luiz Romero")*(10/1083),0)))))),0)</f>
        <v/>
      </c>
      <c r="K2772" s="3">
        <f>I2772-J2772</f>
        <v/>
      </c>
      <c r="L2772" s="3">
        <f>IF(K2772&lt;-5,"CRÍTICO",IF(K2772&lt;0,"ATENÇÃO",IF(K2772&lt;=5,"OPORTUNO","MUITO BOM")))</f>
        <v/>
      </c>
      <c r="N2772" t="n">
        <v>99.28</v>
      </c>
      <c r="O2772" t="n">
        <v>27.68924302788844</v>
      </c>
    </row>
    <row r="2773" hidden="1">
      <c r="A2773" s="11" t="n">
        <v>46087</v>
      </c>
      <c r="B2773" t="inlineStr">
        <is>
          <t>Isabella Borges de Oliveira</t>
        </is>
      </c>
      <c r="C2773" t="inlineStr">
        <is>
          <t>Técnico II</t>
        </is>
      </c>
      <c r="D2773" t="n">
        <v>30</v>
      </c>
      <c r="E2773" t="n">
        <v>29</v>
      </c>
      <c r="F2773" t="n">
        <v>17.3</v>
      </c>
      <c r="G2773" t="n">
        <v>0</v>
      </c>
      <c r="H2773" t="n">
        <v>0</v>
      </c>
      <c r="I2773" s="3">
        <f>E2773+G2773+H2773</f>
        <v/>
      </c>
      <c r="J2773" s="3">
        <f>ROUND(MIN(IF(C2773="Técnico III",35,IF(C2773="Técnico II",28,IF(C2773="Técnico I",23,IF(C2773="JR",20,IF(C2773="Estágio",10,0))))),IF(C2773="Técnico III",SUMIFS($D:$D,$A:$A,$A2773,$B:$B,"&lt;&gt;Patrícia Karla de Sousa Araújo",$B:$B,"&lt;&gt;Lorena Dias de Araujo",$B:$B,"&lt;&gt;Lucas Luiz Romero")*(35/1083),IF(C2773="Técnico II",SUMIFS($D:$D,$A:$A,$A2773,$B:$B,"&lt;&gt;Patrícia Karla de Sousa Araújo",$B:$B,"&lt;&gt;Lorena Dias de Araujo",$B:$B,"&lt;&gt;Lucas Luiz Romero")*(28/1083),IF(C2773="Técnico I",SUMIFS($D:$D,$A:$A,$A2773,$B:$B,"&lt;&gt;Patrícia Karla de Sousa Araújo",$B:$B,"&lt;&gt;Lorena Dias de Araujo",$B:$B,"&lt;&gt;Lucas Luiz Romero")*(23/1083),IF(C2773="JR",SUMIFS($D:$D,$A:$A,$A2773,$B:$B,"&lt;&gt;Patrícia Karla de Sousa Araújo",$B:$B,"&lt;&gt;Lorena Dias de Araujo",$B:$B,"&lt;&gt;Lucas Luiz Romero")*(20/1083),IF(C2773="Estágio",SUMIFS($D:$D,$A:$A,$A2773,$B:$B,"&lt;&gt;Patrícia Karla de Sousa Araújo",$B:$B,"&lt;&gt;Lorena Dias de Araujo",$B:$B,"&lt;&gt;Lucas Luiz Romero")*(10/1083),0)))))),0)</f>
        <v/>
      </c>
      <c r="K2773" s="3">
        <f>I2773-J2773</f>
        <v/>
      </c>
      <c r="L2773" s="3">
        <f>IF(K2773&lt;-5,"CRÍTICO",IF(K2773&lt;0,"ATENÇÃO",IF(K2773&lt;=5,"OPORTUNO","MUITO BOM")))</f>
        <v/>
      </c>
      <c r="N2773" t="n">
        <v>100</v>
      </c>
      <c r="O2773" t="n">
        <v>27.04918032786885</v>
      </c>
    </row>
    <row r="2774" hidden="1">
      <c r="A2774" s="11" t="n">
        <v>46087</v>
      </c>
      <c r="B2774" t="inlineStr">
        <is>
          <t>Janaina Lima dos Reis Urany</t>
        </is>
      </c>
      <c r="C2774" t="inlineStr">
        <is>
          <t>Técnico III</t>
        </is>
      </c>
      <c r="D2774" t="n">
        <v>51</v>
      </c>
      <c r="E2774" t="n">
        <v>46</v>
      </c>
      <c r="F2774" t="n">
        <v>13.22</v>
      </c>
      <c r="G2774" t="n">
        <v>0</v>
      </c>
      <c r="H2774" t="n">
        <v>0</v>
      </c>
      <c r="I2774" s="3">
        <f>E2774+G2774+H2774</f>
        <v/>
      </c>
      <c r="J2774" s="3">
        <f>ROUND(MIN(IF(C2774="Técnico III",35,IF(C2774="Técnico II",28,IF(C2774="Técnico I",23,IF(C2774="JR",20,IF(C2774="Estágio",10,0))))),IF(C2774="Técnico III",SUMIFS($D:$D,$A:$A,$A2774,$B:$B,"&lt;&gt;Patrícia Karla de Sousa Araújo",$B:$B,"&lt;&gt;Lorena Dias de Araujo",$B:$B,"&lt;&gt;Lucas Luiz Romero")*(35/1083),IF(C2774="Técnico II",SUMIFS($D:$D,$A:$A,$A2774,$B:$B,"&lt;&gt;Patrícia Karla de Sousa Araújo",$B:$B,"&lt;&gt;Lorena Dias de Araujo",$B:$B,"&lt;&gt;Lucas Luiz Romero")*(28/1083),IF(C2774="Técnico I",SUMIFS($D:$D,$A:$A,$A2774,$B:$B,"&lt;&gt;Patrícia Karla de Sousa Araújo",$B:$B,"&lt;&gt;Lorena Dias de Araujo",$B:$B,"&lt;&gt;Lucas Luiz Romero")*(23/1083),IF(C2774="JR",SUMIFS($D:$D,$A:$A,$A2774,$B:$B,"&lt;&gt;Patrícia Karla de Sousa Araújo",$B:$B,"&lt;&gt;Lorena Dias de Araujo",$B:$B,"&lt;&gt;Lucas Luiz Romero")*(20/1083),IF(C2774="Estágio",SUMIFS($D:$D,$A:$A,$A2774,$B:$B,"&lt;&gt;Patrícia Karla de Sousa Araújo",$B:$B,"&lt;&gt;Lorena Dias de Araujo",$B:$B,"&lt;&gt;Lucas Luiz Romero")*(10/1083),0)))))),0)</f>
        <v/>
      </c>
      <c r="K2774" s="3">
        <f>I2774-J2774</f>
        <v/>
      </c>
      <c r="L2774" s="3">
        <f>IF(K2774&lt;-5,"CRÍTICO",IF(K2774&lt;0,"ATENÇÃO",IF(K2774&lt;=5,"OPORTUNO","MUITO BOM")))</f>
        <v/>
      </c>
      <c r="N2774" t="n">
        <v>97.83</v>
      </c>
      <c r="O2774" t="n">
        <v>26.31578947368421</v>
      </c>
    </row>
    <row r="2775" hidden="1">
      <c r="A2775" s="11" t="n">
        <v>46087</v>
      </c>
      <c r="B2775" t="inlineStr">
        <is>
          <t>Jaqueline Evangelista da Silva Martins</t>
        </is>
      </c>
      <c r="C2775" t="inlineStr">
        <is>
          <t>Técnico III</t>
        </is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s="3" t="n">
        <v>0</v>
      </c>
      <c r="J2775" s="3" t="n">
        <v>0</v>
      </c>
      <c r="K2775" s="3" t="n">
        <v>0</v>
      </c>
      <c r="L2775" s="3">
        <f>IF(K2775&lt;-5,"CRÍTICO",IF(K2775&lt;0,"ATENÇÃO",IF(K2775&lt;=5,"OPORTUNO","MUITO BOM")))</f>
        <v/>
      </c>
      <c r="N2775" t="n">
        <v>100</v>
      </c>
      <c r="O2775" t="n">
        <v>26.70157068062827</v>
      </c>
    </row>
    <row r="2776" hidden="1">
      <c r="A2776" s="11" t="n">
        <v>46087</v>
      </c>
      <c r="B2776" t="inlineStr">
        <is>
          <t>Jessica Faria da Silveira</t>
        </is>
      </c>
      <c r="C2776" t="inlineStr">
        <is>
          <t>Técnico II</t>
        </is>
      </c>
      <c r="D2776" t="n">
        <v>41</v>
      </c>
      <c r="E2776" t="n">
        <v>34</v>
      </c>
      <c r="F2776" t="n">
        <v>17</v>
      </c>
      <c r="G2776" t="n">
        <v>0</v>
      </c>
      <c r="H2776" t="n">
        <v>0</v>
      </c>
      <c r="I2776" s="3">
        <f>E2776+G2776+H2776</f>
        <v/>
      </c>
      <c r="J2776" s="3">
        <f>ROUND(MIN(IF(C2776="Técnico III",35,IF(C2776="Técnico II",28,IF(C2776="Técnico I",23,IF(C2776="JR",20,IF(C2776="Estágio",10,0))))),IF(C2776="Técnico III",SUMIFS($D:$D,$A:$A,$A2776,$B:$B,"&lt;&gt;Patrícia Karla de Sousa Araújo",$B:$B,"&lt;&gt;Lorena Dias de Araujo",$B:$B,"&lt;&gt;Lucas Luiz Romero")*(35/1083),IF(C2776="Técnico II",SUMIFS($D:$D,$A:$A,$A2776,$B:$B,"&lt;&gt;Patrícia Karla de Sousa Araújo",$B:$B,"&lt;&gt;Lorena Dias de Araujo",$B:$B,"&lt;&gt;Lucas Luiz Romero")*(28/1083),IF(C2776="Técnico I",SUMIFS($D:$D,$A:$A,$A2776,$B:$B,"&lt;&gt;Patrícia Karla de Sousa Araújo",$B:$B,"&lt;&gt;Lorena Dias de Araujo",$B:$B,"&lt;&gt;Lucas Luiz Romero")*(23/1083),IF(C2776="JR",SUMIFS($D:$D,$A:$A,$A2776,$B:$B,"&lt;&gt;Patrícia Karla de Sousa Araújo",$B:$B,"&lt;&gt;Lorena Dias de Araujo",$B:$B,"&lt;&gt;Lucas Luiz Romero")*(20/1083),IF(C2776="Estágio",SUMIFS($D:$D,$A:$A,$A2776,$B:$B,"&lt;&gt;Patrícia Karla de Sousa Araújo",$B:$B,"&lt;&gt;Lorena Dias de Araujo",$B:$B,"&lt;&gt;Lucas Luiz Romero")*(10/1083),0)))))),0)</f>
        <v/>
      </c>
      <c r="K2776" s="3">
        <f>I2776-J2776</f>
        <v/>
      </c>
      <c r="L2776" s="3">
        <f>IF(K2776&lt;-5,"CRÍTICO",IF(K2776&lt;0,"ATENÇÃO",IF(K2776&lt;=5,"OPORTUNO","MUITO BOM")))</f>
        <v/>
      </c>
      <c r="N2776" t="n">
        <v>97.47</v>
      </c>
      <c r="O2776" t="n">
        <v>22.88732394366197</v>
      </c>
    </row>
    <row r="2777" hidden="1">
      <c r="A2777" s="11" t="n">
        <v>46087</v>
      </c>
      <c r="B2777" t="inlineStr">
        <is>
          <t>Jéssica Fé Moura</t>
        </is>
      </c>
      <c r="C2777" t="inlineStr">
        <is>
          <t>Técnico III</t>
        </is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s="3" t="n">
        <v>0</v>
      </c>
      <c r="J2777" s="3" t="n">
        <v>0</v>
      </c>
      <c r="K2777" s="3" t="n">
        <v>0</v>
      </c>
      <c r="L2777" s="3">
        <f>IF(K2777&lt;-5,"CRÍTICO",IF(K2777&lt;0,"ATENÇÃO",IF(K2777&lt;=5,"OPORTUNO","MUITO BOM")))</f>
        <v/>
      </c>
      <c r="N2777" t="n">
        <v>0</v>
      </c>
      <c r="O2777" t="n">
        <v>0</v>
      </c>
    </row>
    <row r="2778" hidden="1">
      <c r="A2778" s="11" t="n">
        <v>46087</v>
      </c>
      <c r="B2778" t="inlineStr">
        <is>
          <t>Karina Gonçalves Martins</t>
        </is>
      </c>
      <c r="C2778" t="inlineStr">
        <is>
          <t>JR</t>
        </is>
      </c>
      <c r="D2778" t="n">
        <v>27</v>
      </c>
      <c r="E2778" t="n">
        <v>23</v>
      </c>
      <c r="F2778" t="n">
        <v>18.31</v>
      </c>
      <c r="G2778" t="n">
        <v>0</v>
      </c>
      <c r="H2778" t="n">
        <v>0</v>
      </c>
      <c r="I2778" s="3">
        <f>E2778+G2778+H2778</f>
        <v/>
      </c>
      <c r="J2778" s="3">
        <f>ROUND(MIN(IF(C2778="Técnico III",35,IF(C2778="Técnico II",28,IF(C2778="Técnico I",23,IF(C2778="JR",20,IF(C2778="Estágio",10,0))))),IF(C2778="Técnico III",SUMIFS($D:$D,$A:$A,$A2778,$B:$B,"&lt;&gt;Patrícia Karla de Sousa Araújo",$B:$B,"&lt;&gt;Lorena Dias de Araujo",$B:$B,"&lt;&gt;Lucas Luiz Romero")*(35/1083),IF(C2778="Técnico II",SUMIFS($D:$D,$A:$A,$A2778,$B:$B,"&lt;&gt;Patrícia Karla de Sousa Araújo",$B:$B,"&lt;&gt;Lorena Dias de Araujo",$B:$B,"&lt;&gt;Lucas Luiz Romero")*(28/1083),IF(C2778="Técnico I",SUMIFS($D:$D,$A:$A,$A2778,$B:$B,"&lt;&gt;Patrícia Karla de Sousa Araújo",$B:$B,"&lt;&gt;Lorena Dias de Araujo",$B:$B,"&lt;&gt;Lucas Luiz Romero")*(23/1083),IF(C2778="JR",SUMIFS($D:$D,$A:$A,$A2778,$B:$B,"&lt;&gt;Patrícia Karla de Sousa Araújo",$B:$B,"&lt;&gt;Lorena Dias de Araujo",$B:$B,"&lt;&gt;Lucas Luiz Romero")*(20/1083),IF(C2778="Estágio",SUMIFS($D:$D,$A:$A,$A2778,$B:$B,"&lt;&gt;Patrícia Karla de Sousa Araújo",$B:$B,"&lt;&gt;Lorena Dias de Araujo",$B:$B,"&lt;&gt;Lucas Luiz Romero")*(10/1083),0)))))),0)</f>
        <v/>
      </c>
      <c r="K2778" s="3">
        <f>I2778-J2778</f>
        <v/>
      </c>
      <c r="L2778" s="3">
        <f>IF(K2778&lt;-5,"CRÍTICO",IF(K2778&lt;0,"ATENÇÃO",IF(K2778&lt;=5,"OPORTUNO","MUITO BOM")))</f>
        <v/>
      </c>
      <c r="N2778" t="n">
        <v>98.31</v>
      </c>
      <c r="O2778" t="n">
        <v>24.92012779552715</v>
      </c>
    </row>
    <row r="2779" hidden="1">
      <c r="A2779" s="11" t="n">
        <v>46087</v>
      </c>
      <c r="B2779" t="inlineStr">
        <is>
          <t>Kerollen Cristielly de Jesus Siqueira</t>
        </is>
      </c>
      <c r="C2779" t="inlineStr">
        <is>
          <t>Técnico III</t>
        </is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s="3" t="n">
        <v>0</v>
      </c>
      <c r="J2779" s="3" t="n">
        <v>0</v>
      </c>
      <c r="K2779" s="3" t="n">
        <v>0</v>
      </c>
      <c r="L2779" s="3">
        <f>IF(K2779&lt;-5,"CRÍTICO",IF(K2779&lt;0,"ATENÇÃO",IF(K2779&lt;=5,"OPORTUNO","MUITO BOM")))</f>
        <v/>
      </c>
      <c r="N2779" t="n">
        <v>96.81</v>
      </c>
      <c r="O2779" t="n">
        <v>32.36514522821577</v>
      </c>
    </row>
    <row r="2780" hidden="1">
      <c r="A2780" s="11" t="n">
        <v>46087</v>
      </c>
      <c r="B2780" t="inlineStr">
        <is>
          <t>Leandro de Souza Silva</t>
        </is>
      </c>
      <c r="C2780" t="inlineStr">
        <is>
          <t>JR</t>
        </is>
      </c>
      <c r="D2780" t="n">
        <v>9</v>
      </c>
      <c r="E2780" t="n">
        <v>9</v>
      </c>
      <c r="F2780" t="n">
        <v>42.16</v>
      </c>
      <c r="G2780" t="n">
        <v>0</v>
      </c>
      <c r="H2780" t="n">
        <v>0</v>
      </c>
      <c r="I2780" s="3">
        <f>E2780+G2780+H2780</f>
        <v/>
      </c>
      <c r="J2780" s="3">
        <f>ROUND(MIN(IF(C2780="Técnico III",35,IF(C2780="Técnico II",28,IF(C2780="Técnico I",23,IF(C2780="JR",20,IF(C2780="Estágio",10,0))))),IF(C2780="Técnico III",SUMIFS($D:$D,$A:$A,$A2780,$B:$B,"&lt;&gt;Patrícia Karla de Sousa Araújo",$B:$B,"&lt;&gt;Lorena Dias de Araujo",$B:$B,"&lt;&gt;Lucas Luiz Romero")*(35/1083),IF(C2780="Técnico II",SUMIFS($D:$D,$A:$A,$A2780,$B:$B,"&lt;&gt;Patrícia Karla de Sousa Araújo",$B:$B,"&lt;&gt;Lorena Dias de Araujo",$B:$B,"&lt;&gt;Lucas Luiz Romero")*(28/1083),IF(C2780="Técnico I",SUMIFS($D:$D,$A:$A,$A2780,$B:$B,"&lt;&gt;Patrícia Karla de Sousa Araújo",$B:$B,"&lt;&gt;Lorena Dias de Araujo",$B:$B,"&lt;&gt;Lucas Luiz Romero")*(23/1083),IF(C2780="JR",SUMIFS($D:$D,$A:$A,$A2780,$B:$B,"&lt;&gt;Patrícia Karla de Sousa Araújo",$B:$B,"&lt;&gt;Lorena Dias de Araujo",$B:$B,"&lt;&gt;Lucas Luiz Romero")*(20/1083),IF(C2780="Estágio",SUMIFS($D:$D,$A:$A,$A2780,$B:$B,"&lt;&gt;Patrícia Karla de Sousa Araújo",$B:$B,"&lt;&gt;Lorena Dias de Araujo",$B:$B,"&lt;&gt;Lucas Luiz Romero")*(10/1083),0)))))),0)</f>
        <v/>
      </c>
      <c r="K2780" s="3">
        <f>I2780-J2780</f>
        <v/>
      </c>
      <c r="L2780" s="3">
        <f>IF(K2780&lt;-5,"CRÍTICO",IF(K2780&lt;0,"ATENÇÃO",IF(K2780&lt;=5,"OPORTUNO","MUITO BOM")))</f>
        <v/>
      </c>
      <c r="N2780" t="n">
        <v>100</v>
      </c>
      <c r="O2780" t="n">
        <v>26.47058823529412</v>
      </c>
    </row>
    <row r="2781" hidden="1">
      <c r="A2781" s="11" t="n">
        <v>46087</v>
      </c>
      <c r="B2781" t="inlineStr">
        <is>
          <t>Leandro Oliveira de Sousa</t>
        </is>
      </c>
      <c r="C2781" t="inlineStr">
        <is>
          <t>Técnico III</t>
        </is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s="3" t="n">
        <v>0</v>
      </c>
      <c r="J2781" s="3" t="n">
        <v>0</v>
      </c>
      <c r="K2781" s="3" t="n">
        <v>0</v>
      </c>
      <c r="L2781" s="3">
        <f>IF(K2781&lt;-5,"CRÍTICO",IF(K2781&lt;0,"ATENÇÃO",IF(K2781&lt;=5,"OPORTUNO","MUITO BOM")))</f>
        <v/>
      </c>
      <c r="N2781" t="n">
        <v>100</v>
      </c>
      <c r="O2781" t="n">
        <v>28.49002849002849</v>
      </c>
    </row>
    <row r="2782" hidden="1">
      <c r="A2782" s="11" t="n">
        <v>46087</v>
      </c>
      <c r="B2782" t="inlineStr">
        <is>
          <t>Lizandra Gomes Duarte</t>
        </is>
      </c>
      <c r="C2782" t="inlineStr">
        <is>
          <t>Técnico II</t>
        </is>
      </c>
      <c r="D2782" t="n">
        <v>31</v>
      </c>
      <c r="E2782" t="n">
        <v>29</v>
      </c>
      <c r="F2782" t="n">
        <v>23.42</v>
      </c>
      <c r="G2782" t="n">
        <v>0</v>
      </c>
      <c r="H2782" t="n">
        <v>0</v>
      </c>
      <c r="I2782" s="3">
        <f>E2782+G2782+H2782</f>
        <v/>
      </c>
      <c r="J2782" s="3">
        <f>ROUND(MIN(IF(C2782="Técnico III",35,IF(C2782="Técnico II",28,IF(C2782="Técnico I",23,IF(C2782="JR",20,IF(C2782="Estágio",10,0))))),IF(C2782="Técnico III",SUMIFS($D:$D,$A:$A,$A2782,$B:$B,"&lt;&gt;Patrícia Karla de Sousa Araújo",$B:$B,"&lt;&gt;Lorena Dias de Araujo",$B:$B,"&lt;&gt;Lucas Luiz Romero")*(35/1083),IF(C2782="Técnico II",SUMIFS($D:$D,$A:$A,$A2782,$B:$B,"&lt;&gt;Patrícia Karla de Sousa Araújo",$B:$B,"&lt;&gt;Lorena Dias de Araujo",$B:$B,"&lt;&gt;Lucas Luiz Romero")*(28/1083),IF(C2782="Técnico I",SUMIFS($D:$D,$A:$A,$A2782,$B:$B,"&lt;&gt;Patrícia Karla de Sousa Araújo",$B:$B,"&lt;&gt;Lorena Dias de Araujo",$B:$B,"&lt;&gt;Lucas Luiz Romero")*(23/1083),IF(C2782="JR",SUMIFS($D:$D,$A:$A,$A2782,$B:$B,"&lt;&gt;Patrícia Karla de Sousa Araújo",$B:$B,"&lt;&gt;Lorena Dias de Araujo",$B:$B,"&lt;&gt;Lucas Luiz Romero")*(20/1083),IF(C2782="Estágio",SUMIFS($D:$D,$A:$A,$A2782,$B:$B,"&lt;&gt;Patrícia Karla de Sousa Araújo",$B:$B,"&lt;&gt;Lorena Dias de Araujo",$B:$B,"&lt;&gt;Lucas Luiz Romero")*(10/1083),0)))))),0)</f>
        <v/>
      </c>
      <c r="K2782" s="3">
        <f>I2782-J2782</f>
        <v/>
      </c>
      <c r="L2782" s="3">
        <f>IF(K2782&lt;-5,"CRÍTICO",IF(K2782&lt;0,"ATENÇÃO",IF(K2782&lt;=5,"OPORTUNO","MUITO BOM")))</f>
        <v/>
      </c>
      <c r="N2782" t="n">
        <v>99.14</v>
      </c>
      <c r="O2782" t="n">
        <v>27.2289156626506</v>
      </c>
    </row>
    <row r="2783" hidden="1">
      <c r="A2783" s="11" t="n">
        <v>46087</v>
      </c>
      <c r="B2783" t="inlineStr">
        <is>
          <t>Lorena Dias de Araujo</t>
        </is>
      </c>
      <c r="C2783" t="inlineStr">
        <is>
          <t>Técnico II</t>
        </is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s="3" t="n">
        <v>0</v>
      </c>
      <c r="J2783" s="3" t="n">
        <v>0</v>
      </c>
      <c r="K2783" s="3" t="n">
        <v>0</v>
      </c>
      <c r="L2783" s="3">
        <f>IF(K2783&lt;-5,"CRÍTICO",IF(K2783&lt;0,"ATENÇÃO",IF(K2783&lt;=5,"OPORTUNO","MUITO BOM")))</f>
        <v/>
      </c>
      <c r="N2783" t="n">
        <v>97.52</v>
      </c>
      <c r="O2783" t="n">
        <v>28.2051282051282</v>
      </c>
    </row>
    <row r="2784" hidden="1">
      <c r="A2784" s="11" t="n">
        <v>46087</v>
      </c>
      <c r="B2784" t="inlineStr">
        <is>
          <t>Lucas Luiz Romero</t>
        </is>
      </c>
      <c r="C2784" t="inlineStr">
        <is>
          <t>Técnico III</t>
        </is>
      </c>
      <c r="D2784" t="n">
        <v>36</v>
      </c>
      <c r="E2784" t="n">
        <v>32</v>
      </c>
      <c r="F2784" t="n">
        <v>18.42</v>
      </c>
      <c r="G2784" t="n">
        <v>0</v>
      </c>
      <c r="H2784" t="n">
        <v>0</v>
      </c>
      <c r="I2784" s="3">
        <f>E2784+G2784+H2784</f>
        <v/>
      </c>
      <c r="J2784" s="3">
        <f>ROUND(MIN(IF(C2784="Técnico III",35,IF(C2784="Técnico II",28,IF(C2784="Técnico I",23,IF(C2784="JR",20,IF(C2784="Estágio",10,0))))),IF(C2784="Técnico III",SUMIFS($D:$D,$A:$A,$A2784,$B:$B,"&lt;&gt;Patrícia Karla de Sousa Araújo",$B:$B,"&lt;&gt;Lorena Dias de Araujo",$B:$B,"&lt;&gt;Lucas Luiz Romero")*(35/1083),IF(C2784="Técnico II",SUMIFS($D:$D,$A:$A,$A2784,$B:$B,"&lt;&gt;Patrícia Karla de Sousa Araújo",$B:$B,"&lt;&gt;Lorena Dias de Araujo",$B:$B,"&lt;&gt;Lucas Luiz Romero")*(28/1083),IF(C2784="Técnico I",SUMIFS($D:$D,$A:$A,$A2784,$B:$B,"&lt;&gt;Patrícia Karla de Sousa Araújo",$B:$B,"&lt;&gt;Lorena Dias de Araujo",$B:$B,"&lt;&gt;Lucas Luiz Romero")*(23/1083),IF(C2784="JR",SUMIFS($D:$D,$A:$A,$A2784,$B:$B,"&lt;&gt;Patrícia Karla de Sousa Araújo",$B:$B,"&lt;&gt;Lorena Dias de Araujo",$B:$B,"&lt;&gt;Lucas Luiz Romero")*(20/1083),IF(C2784="Estágio",SUMIFS($D:$D,$A:$A,$A2784,$B:$B,"&lt;&gt;Patrícia Karla de Sousa Araújo",$B:$B,"&lt;&gt;Lorena Dias de Araujo",$B:$B,"&lt;&gt;Lucas Luiz Romero")*(10/1083),0)))))),0)</f>
        <v/>
      </c>
      <c r="K2784" s="3">
        <f>I2784-J2784</f>
        <v/>
      </c>
      <c r="L2784" s="3">
        <f>IF(K2784&lt;-5,"CRÍTICO",IF(K2784&lt;0,"ATENÇÃO",IF(K2784&lt;=5,"OPORTUNO","MUITO BOM")))</f>
        <v/>
      </c>
      <c r="N2784" t="n">
        <v>90</v>
      </c>
      <c r="O2784" t="n">
        <v>24.18604651162791</v>
      </c>
    </row>
    <row r="2785" hidden="1">
      <c r="A2785" s="11" t="n">
        <v>46087</v>
      </c>
      <c r="B2785" t="inlineStr">
        <is>
          <t>Luiz Fernando de Carvalho Junior</t>
        </is>
      </c>
      <c r="C2785" t="inlineStr">
        <is>
          <t>Técnico I</t>
        </is>
      </c>
      <c r="D2785" t="n">
        <v>24</v>
      </c>
      <c r="E2785" t="n">
        <v>20</v>
      </c>
      <c r="F2785" t="n">
        <v>19.01</v>
      </c>
      <c r="G2785" t="n">
        <v>0</v>
      </c>
      <c r="H2785" t="n">
        <v>0</v>
      </c>
      <c r="I2785" s="3">
        <f>E2785+G2785+H2785</f>
        <v/>
      </c>
      <c r="J2785" s="3">
        <f>ROUND(MIN(IF(C2785="Técnico III",35,IF(C2785="Técnico II",28,IF(C2785="Técnico I",23,IF(C2785="JR",20,IF(C2785="Estágio",10,0))))),IF(C2785="Técnico III",SUMIFS($D:$D,$A:$A,$A2785,$B:$B,"&lt;&gt;Patrícia Karla de Sousa Araújo",$B:$B,"&lt;&gt;Lorena Dias de Araujo",$B:$B,"&lt;&gt;Lucas Luiz Romero")*(35/1083),IF(C2785="Técnico II",SUMIFS($D:$D,$A:$A,$A2785,$B:$B,"&lt;&gt;Patrícia Karla de Sousa Araújo",$B:$B,"&lt;&gt;Lorena Dias de Araujo",$B:$B,"&lt;&gt;Lucas Luiz Romero")*(28/1083),IF(C2785="Técnico I",SUMIFS($D:$D,$A:$A,$A2785,$B:$B,"&lt;&gt;Patrícia Karla de Sousa Araújo",$B:$B,"&lt;&gt;Lorena Dias de Araujo",$B:$B,"&lt;&gt;Lucas Luiz Romero")*(23/1083),IF(C2785="JR",SUMIFS($D:$D,$A:$A,$A2785,$B:$B,"&lt;&gt;Patrícia Karla de Sousa Araújo",$B:$B,"&lt;&gt;Lorena Dias de Araujo",$B:$B,"&lt;&gt;Lucas Luiz Romero")*(20/1083),IF(C2785="Estágio",SUMIFS($D:$D,$A:$A,$A2785,$B:$B,"&lt;&gt;Patrícia Karla de Sousa Araújo",$B:$B,"&lt;&gt;Lorena Dias de Araujo",$B:$B,"&lt;&gt;Lucas Luiz Romero")*(10/1083),0)))))),0)</f>
        <v/>
      </c>
      <c r="K2785" s="3">
        <f>I2785-J2785</f>
        <v/>
      </c>
      <c r="L2785" s="3">
        <f>IF(K2785&lt;-5,"CRÍTICO",IF(K2785&lt;0,"ATENÇÃO",IF(K2785&lt;=5,"OPORTUNO","MUITO BOM")))</f>
        <v/>
      </c>
      <c r="N2785" t="n">
        <v>98.90000000000001</v>
      </c>
      <c r="O2785" t="n">
        <v>26.7639902676399</v>
      </c>
    </row>
    <row r="2786" hidden="1">
      <c r="A2786" s="11" t="n">
        <v>46087</v>
      </c>
      <c r="B2786" t="inlineStr">
        <is>
          <t>Maria Eduarda Sousa Costa</t>
        </is>
      </c>
      <c r="C2786" t="inlineStr">
        <is>
          <t>Estágio</t>
        </is>
      </c>
      <c r="D2786" t="n">
        <v>61</v>
      </c>
      <c r="E2786" t="n">
        <v>28</v>
      </c>
      <c r="F2786" t="n">
        <v>3.41</v>
      </c>
      <c r="G2786" t="n">
        <v>0</v>
      </c>
      <c r="H2786" t="n">
        <v>0</v>
      </c>
      <c r="I2786" s="3">
        <f>E2786+G2786+H2786</f>
        <v/>
      </c>
      <c r="J2786" s="3">
        <f>ROUND(MIN(IF(C2786="Técnico III",35,IF(C2786="Técnico II",28,IF(C2786="Técnico I",23,IF(C2786="JR",20,IF(C2786="Estágio",10,0))))),IF(C2786="Técnico III",SUMIFS($D:$D,$A:$A,$A2786,$B:$B,"&lt;&gt;Patrícia Karla de Sousa Araújo",$B:$B,"&lt;&gt;Lorena Dias de Araujo",$B:$B,"&lt;&gt;Lucas Luiz Romero")*(35/1083),IF(C2786="Técnico II",SUMIFS($D:$D,$A:$A,$A2786,$B:$B,"&lt;&gt;Patrícia Karla de Sousa Araújo",$B:$B,"&lt;&gt;Lorena Dias de Araujo",$B:$B,"&lt;&gt;Lucas Luiz Romero")*(28/1083),IF(C2786="Técnico I",SUMIFS($D:$D,$A:$A,$A2786,$B:$B,"&lt;&gt;Patrícia Karla de Sousa Araújo",$B:$B,"&lt;&gt;Lorena Dias de Araujo",$B:$B,"&lt;&gt;Lucas Luiz Romero")*(23/1083),IF(C2786="JR",SUMIFS($D:$D,$A:$A,$A2786,$B:$B,"&lt;&gt;Patrícia Karla de Sousa Araújo",$B:$B,"&lt;&gt;Lorena Dias de Araujo",$B:$B,"&lt;&gt;Lucas Luiz Romero")*(20/1083),IF(C2786="Estágio",SUMIFS($D:$D,$A:$A,$A2786,$B:$B,"&lt;&gt;Patrícia Karla de Sousa Araújo",$B:$B,"&lt;&gt;Lorena Dias de Araujo",$B:$B,"&lt;&gt;Lucas Luiz Romero")*(10/1083),0)))))),0)</f>
        <v/>
      </c>
      <c r="K2786" s="3">
        <f>I2786-J2786</f>
        <v/>
      </c>
      <c r="L2786" s="3">
        <f>IF(K2786&lt;-5,"CRÍTICO",IF(K2786&lt;0,"ATENÇÃO",IF(K2786&lt;=5,"OPORTUNO","MUITO BOM")))</f>
        <v/>
      </c>
      <c r="N2786" t="n">
        <v>88.89</v>
      </c>
      <c r="O2786" t="n">
        <v>25.26315789473684</v>
      </c>
    </row>
    <row r="2787" hidden="1">
      <c r="A2787" s="11" t="n">
        <v>46087</v>
      </c>
      <c r="B2787" t="inlineStr">
        <is>
          <t>Matheus Farias De Souza</t>
        </is>
      </c>
      <c r="C2787" t="inlineStr">
        <is>
          <t>Técnico III</t>
        </is>
      </c>
      <c r="D2787" t="n">
        <v>11</v>
      </c>
      <c r="E2787" t="n">
        <v>10</v>
      </c>
      <c r="F2787" t="n">
        <v>18.29</v>
      </c>
      <c r="G2787" t="n">
        <v>0</v>
      </c>
      <c r="H2787" t="n">
        <v>0</v>
      </c>
      <c r="I2787" s="3">
        <f>E2787+G2787+H2787</f>
        <v/>
      </c>
      <c r="J2787" s="3">
        <f>ROUND(MIN(IF(C2787="Técnico III",35,IF(C2787="Técnico II",28,IF(C2787="Técnico I",23,IF(C2787="JR",20,IF(C2787="Estágio",10,0))))),IF(C2787="Técnico III",SUMIFS($D:$D,$A:$A,$A2787,$B:$B,"&lt;&gt;Patrícia Karla de Sousa Araújo",$B:$B,"&lt;&gt;Lorena Dias de Araujo",$B:$B,"&lt;&gt;Lucas Luiz Romero")*(35/1083),IF(C2787="Técnico II",SUMIFS($D:$D,$A:$A,$A2787,$B:$B,"&lt;&gt;Patrícia Karla de Sousa Araújo",$B:$B,"&lt;&gt;Lorena Dias de Araujo",$B:$B,"&lt;&gt;Lucas Luiz Romero")*(28/1083),IF(C2787="Técnico I",SUMIFS($D:$D,$A:$A,$A2787,$B:$B,"&lt;&gt;Patrícia Karla de Sousa Araújo",$B:$B,"&lt;&gt;Lorena Dias de Araujo",$B:$B,"&lt;&gt;Lucas Luiz Romero")*(23/1083),IF(C2787="JR",SUMIFS($D:$D,$A:$A,$A2787,$B:$B,"&lt;&gt;Patrícia Karla de Sousa Araújo",$B:$B,"&lt;&gt;Lorena Dias de Araujo",$B:$B,"&lt;&gt;Lucas Luiz Romero")*(20/1083),IF(C2787="Estágio",SUMIFS($D:$D,$A:$A,$A2787,$B:$B,"&lt;&gt;Patrícia Karla de Sousa Araújo",$B:$B,"&lt;&gt;Lorena Dias de Araujo",$B:$B,"&lt;&gt;Lucas Luiz Romero")*(10/1083),0)))))),0)</f>
        <v/>
      </c>
      <c r="K2787" s="3">
        <f>I2787-J2787</f>
        <v/>
      </c>
      <c r="L2787" s="3">
        <f>IF(K2787&lt;-5,"CRÍTICO",IF(K2787&lt;0,"ATENÇÃO",IF(K2787&lt;=5,"OPORTUNO","MUITO BOM")))</f>
        <v/>
      </c>
      <c r="N2787" t="n">
        <v>98.86</v>
      </c>
      <c r="O2787" t="n">
        <v>28.95927601809955</v>
      </c>
    </row>
    <row r="2788" hidden="1">
      <c r="A2788" s="11" t="n">
        <v>46087</v>
      </c>
      <c r="B2788" t="inlineStr">
        <is>
          <t>Maysa Victoria Dias Moura</t>
        </is>
      </c>
      <c r="C2788" t="inlineStr">
        <is>
          <t>Técnico III</t>
        </is>
      </c>
      <c r="D2788" t="n">
        <v>33</v>
      </c>
      <c r="E2788" t="n">
        <v>29</v>
      </c>
      <c r="F2788" t="n">
        <v>18.22</v>
      </c>
      <c r="G2788" t="n">
        <v>0</v>
      </c>
      <c r="H2788" t="n">
        <v>0</v>
      </c>
      <c r="I2788" s="3">
        <f>E2788+G2788+H2788</f>
        <v/>
      </c>
      <c r="J2788" s="3">
        <f>ROUND(MIN(IF(C2788="Técnico III",35,IF(C2788="Técnico II",28,IF(C2788="Técnico I",23,IF(C2788="JR",20,IF(C2788="Estágio",10,0))))),IF(C2788="Técnico III",SUMIFS($D:$D,$A:$A,$A2788,$B:$B,"&lt;&gt;Patrícia Karla de Sousa Araújo",$B:$B,"&lt;&gt;Lorena Dias de Araujo",$B:$B,"&lt;&gt;Lucas Luiz Romero")*(35/1083),IF(C2788="Técnico II",SUMIFS($D:$D,$A:$A,$A2788,$B:$B,"&lt;&gt;Patrícia Karla de Sousa Araújo",$B:$B,"&lt;&gt;Lorena Dias de Araujo",$B:$B,"&lt;&gt;Lucas Luiz Romero")*(28/1083),IF(C2788="Técnico I",SUMIFS($D:$D,$A:$A,$A2788,$B:$B,"&lt;&gt;Patrícia Karla de Sousa Araújo",$B:$B,"&lt;&gt;Lorena Dias de Araujo",$B:$B,"&lt;&gt;Lucas Luiz Romero")*(23/1083),IF(C2788="JR",SUMIFS($D:$D,$A:$A,$A2788,$B:$B,"&lt;&gt;Patrícia Karla de Sousa Araújo",$B:$B,"&lt;&gt;Lorena Dias de Araujo",$B:$B,"&lt;&gt;Lucas Luiz Romero")*(20/1083),IF(C2788="Estágio",SUMIFS($D:$D,$A:$A,$A2788,$B:$B,"&lt;&gt;Patrícia Karla de Sousa Araújo",$B:$B,"&lt;&gt;Lorena Dias de Araujo",$B:$B,"&lt;&gt;Lucas Luiz Romero")*(10/1083),0)))))),0)</f>
        <v/>
      </c>
      <c r="K2788" s="3">
        <f>I2788-J2788</f>
        <v/>
      </c>
      <c r="L2788" s="3">
        <f>IF(K2788&lt;-5,"CRÍTICO",IF(K2788&lt;0,"ATENÇÃO",IF(K2788&lt;=5,"OPORTUNO","MUITO BOM")))</f>
        <v/>
      </c>
      <c r="N2788" t="n">
        <v>98.06</v>
      </c>
      <c r="O2788" t="n">
        <v>22.40566037735849</v>
      </c>
    </row>
    <row r="2789" hidden="1">
      <c r="A2789" s="11" t="n">
        <v>46087</v>
      </c>
      <c r="B2789" t="inlineStr">
        <is>
          <t>Michelle G Santos</t>
        </is>
      </c>
      <c r="C2789" t="inlineStr">
        <is>
          <t>Estágio</t>
        </is>
      </c>
      <c r="D2789" t="n">
        <v>5</v>
      </c>
      <c r="E2789" t="n">
        <v>4</v>
      </c>
      <c r="F2789" t="n">
        <v>75.33</v>
      </c>
      <c r="G2789" t="n">
        <v>0</v>
      </c>
      <c r="H2789" t="n">
        <v>0</v>
      </c>
      <c r="I2789" s="3">
        <f>E2789+G2789+H2789</f>
        <v/>
      </c>
      <c r="J2789" s="3">
        <f>ROUND(MIN(IF(C2789="Técnico III",35,IF(C2789="Técnico II",28,IF(C2789="Técnico I",23,IF(C2789="JR",20,IF(C2789="Estágio",10,0))))),IF(C2789="Técnico III",SUMIFS($D:$D,$A:$A,$A2789,$B:$B,"&lt;&gt;Patrícia Karla de Sousa Araújo",$B:$B,"&lt;&gt;Lorena Dias de Araujo",$B:$B,"&lt;&gt;Lucas Luiz Romero")*(35/1083),IF(C2789="Técnico II",SUMIFS($D:$D,$A:$A,$A2789,$B:$B,"&lt;&gt;Patrícia Karla de Sousa Araújo",$B:$B,"&lt;&gt;Lorena Dias de Araujo",$B:$B,"&lt;&gt;Lucas Luiz Romero")*(28/1083),IF(C2789="Técnico I",SUMIFS($D:$D,$A:$A,$A2789,$B:$B,"&lt;&gt;Patrícia Karla de Sousa Araújo",$B:$B,"&lt;&gt;Lorena Dias de Araujo",$B:$B,"&lt;&gt;Lucas Luiz Romero")*(23/1083),IF(C2789="JR",SUMIFS($D:$D,$A:$A,$A2789,$B:$B,"&lt;&gt;Patrícia Karla de Sousa Araújo",$B:$B,"&lt;&gt;Lorena Dias de Araujo",$B:$B,"&lt;&gt;Lucas Luiz Romero")*(20/1083),IF(C2789="Estágio",SUMIFS($D:$D,$A:$A,$A2789,$B:$B,"&lt;&gt;Patrícia Karla de Sousa Araújo",$B:$B,"&lt;&gt;Lorena Dias de Araujo",$B:$B,"&lt;&gt;Lucas Luiz Romero")*(10/1083),0)))))),0)</f>
        <v/>
      </c>
      <c r="K2789" s="3">
        <f>I2789-J2789</f>
        <v/>
      </c>
      <c r="L2789" s="3">
        <f>IF(K2789&lt;-5,"CRÍTICO",IF(K2789&lt;0,"ATENÇÃO",IF(K2789&lt;=5,"OPORTUNO","MUITO BOM")))</f>
        <v/>
      </c>
      <c r="N2789" t="n">
        <v>95.83</v>
      </c>
      <c r="O2789" t="n">
        <v>25.77319587628866</v>
      </c>
    </row>
    <row r="2790" hidden="1">
      <c r="A2790" s="11" t="n">
        <v>46087</v>
      </c>
      <c r="B2790" t="inlineStr">
        <is>
          <t>Milena Sales</t>
        </is>
      </c>
      <c r="C2790" t="inlineStr">
        <is>
          <t>JR</t>
        </is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s="3" t="n">
        <v>0</v>
      </c>
      <c r="J2790" s="3" t="n">
        <v>0</v>
      </c>
      <c r="K2790" s="3" t="n">
        <v>0</v>
      </c>
      <c r="L2790" s="3">
        <f>IF(K2790&lt;-5,"CRÍTICO",IF(K2790&lt;0,"ATENÇÃO",IF(K2790&lt;=5,"OPORTUNO","MUITO BOM")))</f>
        <v/>
      </c>
      <c r="N2790" t="n">
        <v>100</v>
      </c>
      <c r="O2790" t="n">
        <v>15.38461538461539</v>
      </c>
    </row>
    <row r="2791" hidden="1">
      <c r="A2791" s="11" t="n">
        <v>46087</v>
      </c>
      <c r="B2791" t="inlineStr">
        <is>
          <t>Patrícia Karla de Sousa Araújo</t>
        </is>
      </c>
      <c r="C2791" t="inlineStr">
        <is>
          <t>Técnico II</t>
        </is>
      </c>
      <c r="D2791" t="n">
        <v>32</v>
      </c>
      <c r="E2791" t="n">
        <v>30</v>
      </c>
      <c r="F2791" t="n">
        <v>18.57</v>
      </c>
      <c r="G2791" t="n">
        <v>0</v>
      </c>
      <c r="H2791" t="n">
        <v>0</v>
      </c>
      <c r="I2791" s="3">
        <f>E2791+G2791+H2791</f>
        <v/>
      </c>
      <c r="J2791" s="3">
        <f>ROUND(MIN(IF(C2791="Técnico III",35,IF(C2791="Técnico II",28,IF(C2791="Técnico I",23,IF(C2791="JR",20,IF(C2791="Estágio",10,0))))),IF(C2791="Técnico III",SUMIFS($D:$D,$A:$A,$A2791,$B:$B,"&lt;&gt;Patrícia Karla de Sousa Araújo",$B:$B,"&lt;&gt;Lorena Dias de Araujo",$B:$B,"&lt;&gt;Lucas Luiz Romero")*(35/1083),IF(C2791="Técnico II",SUMIFS($D:$D,$A:$A,$A2791,$B:$B,"&lt;&gt;Patrícia Karla de Sousa Araújo",$B:$B,"&lt;&gt;Lorena Dias de Araujo",$B:$B,"&lt;&gt;Lucas Luiz Romero")*(28/1083),IF(C2791="Técnico I",SUMIFS($D:$D,$A:$A,$A2791,$B:$B,"&lt;&gt;Patrícia Karla de Sousa Araújo",$B:$B,"&lt;&gt;Lorena Dias de Araujo",$B:$B,"&lt;&gt;Lucas Luiz Romero")*(23/1083),IF(C2791="JR",SUMIFS($D:$D,$A:$A,$A2791,$B:$B,"&lt;&gt;Patrícia Karla de Sousa Araújo",$B:$B,"&lt;&gt;Lorena Dias de Araujo",$B:$B,"&lt;&gt;Lucas Luiz Romero")*(20/1083),IF(C2791="Estágio",SUMIFS($D:$D,$A:$A,$A2791,$B:$B,"&lt;&gt;Patrícia Karla de Sousa Araújo",$B:$B,"&lt;&gt;Lorena Dias de Araujo",$B:$B,"&lt;&gt;Lucas Luiz Romero")*(10/1083),0)))))),0)</f>
        <v/>
      </c>
      <c r="K2791" s="3">
        <f>I2791-J2791</f>
        <v/>
      </c>
      <c r="L2791" s="3">
        <f>IF(K2791&lt;-5,"CRÍTICO",IF(K2791&lt;0,"ATENÇÃO",IF(K2791&lt;=5,"OPORTUNO","MUITO BOM")))</f>
        <v/>
      </c>
      <c r="N2791" t="n">
        <v>100</v>
      </c>
      <c r="O2791" t="n">
        <v>27.51479289940828</v>
      </c>
    </row>
    <row r="2792" hidden="1">
      <c r="A2792" s="11" t="n">
        <v>46087</v>
      </c>
      <c r="B2792" t="inlineStr">
        <is>
          <t>Paulo Ricardo Santos</t>
        </is>
      </c>
      <c r="C2792" t="inlineStr">
        <is>
          <t>JR</t>
        </is>
      </c>
      <c r="D2792" t="n">
        <v>15</v>
      </c>
      <c r="E2792" t="n">
        <v>15</v>
      </c>
      <c r="F2792" t="n">
        <v>27</v>
      </c>
      <c r="G2792" t="n">
        <v>0</v>
      </c>
      <c r="H2792" t="n">
        <v>0</v>
      </c>
      <c r="I2792" s="3">
        <f>E2792+G2792+H2792</f>
        <v/>
      </c>
      <c r="J2792" s="3">
        <f>ROUND(MIN(IF(C2792="Técnico III",35,IF(C2792="Técnico II",28,IF(C2792="Técnico I",23,IF(C2792="JR",20,IF(C2792="Estágio",10,0))))),IF(C2792="Técnico III",SUMIFS($D:$D,$A:$A,$A2792,$B:$B,"&lt;&gt;Patrícia Karla de Sousa Araújo",$B:$B,"&lt;&gt;Lorena Dias de Araujo",$B:$B,"&lt;&gt;Lucas Luiz Romero")*(35/1083),IF(C2792="Técnico II",SUMIFS($D:$D,$A:$A,$A2792,$B:$B,"&lt;&gt;Patrícia Karla de Sousa Araújo",$B:$B,"&lt;&gt;Lorena Dias de Araujo",$B:$B,"&lt;&gt;Lucas Luiz Romero")*(28/1083),IF(C2792="Técnico I",SUMIFS($D:$D,$A:$A,$A2792,$B:$B,"&lt;&gt;Patrícia Karla de Sousa Araújo",$B:$B,"&lt;&gt;Lorena Dias de Araujo",$B:$B,"&lt;&gt;Lucas Luiz Romero")*(23/1083),IF(C2792="JR",SUMIFS($D:$D,$A:$A,$A2792,$B:$B,"&lt;&gt;Patrícia Karla de Sousa Araújo",$B:$B,"&lt;&gt;Lorena Dias de Araujo",$B:$B,"&lt;&gt;Lucas Luiz Romero")*(20/1083),IF(C2792="Estágio",SUMIFS($D:$D,$A:$A,$A2792,$B:$B,"&lt;&gt;Patrícia Karla de Sousa Araújo",$B:$B,"&lt;&gt;Lorena Dias de Araujo",$B:$B,"&lt;&gt;Lucas Luiz Romero")*(10/1083),0)))))),0)</f>
        <v/>
      </c>
      <c r="K2792" s="3">
        <f>I2792-J2792</f>
        <v/>
      </c>
      <c r="L2792" s="3">
        <f>IF(K2792&lt;-5,"CRÍTICO",IF(K2792&lt;0,"ATENÇÃO",IF(K2792&lt;=5,"OPORTUNO","MUITO BOM")))</f>
        <v/>
      </c>
      <c r="N2792" t="n">
        <v>100</v>
      </c>
      <c r="O2792" t="n">
        <v>24.87562189054727</v>
      </c>
    </row>
    <row r="2793" hidden="1">
      <c r="A2793" s="11" t="n">
        <v>46087</v>
      </c>
      <c r="B2793" t="inlineStr">
        <is>
          <t>Pedro Luiz Mota Sousa</t>
        </is>
      </c>
      <c r="C2793" t="inlineStr">
        <is>
          <t>JR</t>
        </is>
      </c>
      <c r="D2793" t="n">
        <v>8</v>
      </c>
      <c r="E2793" t="n">
        <v>8</v>
      </c>
      <c r="F2793" t="n">
        <v>45.18</v>
      </c>
      <c r="G2793" t="n">
        <v>0</v>
      </c>
      <c r="H2793" t="n">
        <v>0</v>
      </c>
      <c r="I2793" s="3">
        <f>E2793+G2793+H2793</f>
        <v/>
      </c>
      <c r="J2793" s="3">
        <f>ROUND(MIN(IF(C2793="Técnico III",35,IF(C2793="Técnico II",28,IF(C2793="Técnico I",23,IF(C2793="JR",20,IF(C2793="Estágio",10,0))))),IF(C2793="Técnico III",SUMIFS($D:$D,$A:$A,$A2793,$B:$B,"&lt;&gt;Patrícia Karla de Sousa Araújo",$B:$B,"&lt;&gt;Lorena Dias de Araujo",$B:$B,"&lt;&gt;Lucas Luiz Romero")*(35/1083),IF(C2793="Técnico II",SUMIFS($D:$D,$A:$A,$A2793,$B:$B,"&lt;&gt;Patrícia Karla de Sousa Araújo",$B:$B,"&lt;&gt;Lorena Dias de Araujo",$B:$B,"&lt;&gt;Lucas Luiz Romero")*(28/1083),IF(C2793="Técnico I",SUMIFS($D:$D,$A:$A,$A2793,$B:$B,"&lt;&gt;Patrícia Karla de Sousa Araújo",$B:$B,"&lt;&gt;Lorena Dias de Araujo",$B:$B,"&lt;&gt;Lucas Luiz Romero")*(23/1083),IF(C2793="JR",SUMIFS($D:$D,$A:$A,$A2793,$B:$B,"&lt;&gt;Patrícia Karla de Sousa Araújo",$B:$B,"&lt;&gt;Lorena Dias de Araujo",$B:$B,"&lt;&gt;Lucas Luiz Romero")*(20/1083),IF(C2793="Estágio",SUMIFS($D:$D,$A:$A,$A2793,$B:$B,"&lt;&gt;Patrícia Karla de Sousa Araújo",$B:$B,"&lt;&gt;Lorena Dias de Araujo",$B:$B,"&lt;&gt;Lucas Luiz Romero")*(10/1083),0)))))),0)</f>
        <v/>
      </c>
      <c r="K2793" s="3">
        <f>I2793-J2793</f>
        <v/>
      </c>
      <c r="L2793" s="3">
        <f>IF(K2793&lt;-5,"CRÍTICO",IF(K2793&lt;0,"ATENÇÃO",IF(K2793&lt;=5,"OPORTUNO","MUITO BOM")))</f>
        <v/>
      </c>
      <c r="N2793" t="n">
        <v>100</v>
      </c>
      <c r="O2793" t="n">
        <v>28.10810810810811</v>
      </c>
    </row>
    <row r="2794" hidden="1">
      <c r="A2794" s="11" t="n">
        <v>46087</v>
      </c>
      <c r="B2794" t="inlineStr">
        <is>
          <t>Quirino Diogo Leite Torres</t>
        </is>
      </c>
      <c r="C2794" t="inlineStr">
        <is>
          <t>Estágio</t>
        </is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s="3" t="n">
        <v>0</v>
      </c>
      <c r="J2794" s="3" t="n">
        <v>0</v>
      </c>
      <c r="K2794" s="3" t="n">
        <v>0</v>
      </c>
      <c r="L2794" s="3">
        <f>IF(K2794&lt;-5,"CRÍTICO",IF(K2794&lt;0,"ATENÇÃO",IF(K2794&lt;=5,"OPORTUNO","MUITO BOM")))</f>
        <v/>
      </c>
      <c r="N2794" t="n">
        <v>100</v>
      </c>
      <c r="O2794" t="n">
        <v>35</v>
      </c>
    </row>
    <row r="2795" hidden="1">
      <c r="A2795" s="11" t="n">
        <v>46087</v>
      </c>
      <c r="B2795" t="inlineStr">
        <is>
          <t>Raane Batista Matos</t>
        </is>
      </c>
      <c r="C2795" t="inlineStr">
        <is>
          <t>Técnico I</t>
        </is>
      </c>
      <c r="D2795" t="n">
        <v>18</v>
      </c>
      <c r="E2795" t="n">
        <v>18</v>
      </c>
      <c r="F2795" t="n">
        <v>31.47</v>
      </c>
      <c r="G2795" t="n">
        <v>0</v>
      </c>
      <c r="H2795" t="n">
        <v>0</v>
      </c>
      <c r="I2795" s="3">
        <f>E2795+G2795+H2795</f>
        <v/>
      </c>
      <c r="J2795" s="3">
        <f>ROUND(MIN(IF(C2795="Técnico III",35,IF(C2795="Técnico II",28,IF(C2795="Técnico I",23,IF(C2795="JR",20,IF(C2795="Estágio",10,0))))),IF(C2795="Técnico III",SUMIFS($D:$D,$A:$A,$A2795,$B:$B,"&lt;&gt;Patrícia Karla de Sousa Araújo",$B:$B,"&lt;&gt;Lorena Dias de Araujo",$B:$B,"&lt;&gt;Lucas Luiz Romero")*(35/1083),IF(C2795="Técnico II",SUMIFS($D:$D,$A:$A,$A2795,$B:$B,"&lt;&gt;Patrícia Karla de Sousa Araújo",$B:$B,"&lt;&gt;Lorena Dias de Araujo",$B:$B,"&lt;&gt;Lucas Luiz Romero")*(28/1083),IF(C2795="Técnico I",SUMIFS($D:$D,$A:$A,$A2795,$B:$B,"&lt;&gt;Patrícia Karla de Sousa Araújo",$B:$B,"&lt;&gt;Lorena Dias de Araujo",$B:$B,"&lt;&gt;Lucas Luiz Romero")*(23/1083),IF(C2795="JR",SUMIFS($D:$D,$A:$A,$A2795,$B:$B,"&lt;&gt;Patrícia Karla de Sousa Araújo",$B:$B,"&lt;&gt;Lorena Dias de Araujo",$B:$B,"&lt;&gt;Lucas Luiz Romero")*(20/1083),IF(C2795="Estágio",SUMIFS($D:$D,$A:$A,$A2795,$B:$B,"&lt;&gt;Patrícia Karla de Sousa Araújo",$B:$B,"&lt;&gt;Lorena Dias de Araujo",$B:$B,"&lt;&gt;Lucas Luiz Romero")*(10/1083),0)))))),0)</f>
        <v/>
      </c>
      <c r="K2795" s="3">
        <f>I2795-J2795</f>
        <v/>
      </c>
      <c r="L2795" s="3">
        <f>IF(K2795&lt;-5,"CRÍTICO",IF(K2795&lt;0,"ATENÇÃO",IF(K2795&lt;=5,"OPORTUNO","MUITO BOM")))</f>
        <v/>
      </c>
      <c r="N2795" t="n">
        <v>95.34999999999999</v>
      </c>
      <c r="O2795" t="n">
        <v>28.61538461538461</v>
      </c>
    </row>
    <row r="2796" hidden="1">
      <c r="A2796" s="11" t="n">
        <v>46087</v>
      </c>
      <c r="B2796" t="inlineStr">
        <is>
          <t>Rafael Gomes de Morais</t>
        </is>
      </c>
      <c r="C2796" t="inlineStr">
        <is>
          <t>Técnico III</t>
        </is>
      </c>
      <c r="D2796" t="n">
        <v>49</v>
      </c>
      <c r="E2796" t="n">
        <v>42</v>
      </c>
      <c r="F2796" t="n">
        <v>9.039999999999999</v>
      </c>
      <c r="G2796" t="n">
        <v>0</v>
      </c>
      <c r="H2796" t="n">
        <v>0</v>
      </c>
      <c r="I2796" s="3">
        <f>E2796+G2796+H2796</f>
        <v/>
      </c>
      <c r="J2796" s="3">
        <f>ROUND(MIN(IF(C2796="Técnico III",35,IF(C2796="Técnico II",28,IF(C2796="Técnico I",23,IF(C2796="JR",20,IF(C2796="Estágio",10,0))))),IF(C2796="Técnico III",SUMIFS($D:$D,$A:$A,$A2796,$B:$B,"&lt;&gt;Patrícia Karla de Sousa Araújo",$B:$B,"&lt;&gt;Lorena Dias de Araujo",$B:$B,"&lt;&gt;Lucas Luiz Romero")*(35/1083),IF(C2796="Técnico II",SUMIFS($D:$D,$A:$A,$A2796,$B:$B,"&lt;&gt;Patrícia Karla de Sousa Araújo",$B:$B,"&lt;&gt;Lorena Dias de Araujo",$B:$B,"&lt;&gt;Lucas Luiz Romero")*(28/1083),IF(C2796="Técnico I",SUMIFS($D:$D,$A:$A,$A2796,$B:$B,"&lt;&gt;Patrícia Karla de Sousa Araújo",$B:$B,"&lt;&gt;Lorena Dias de Araujo",$B:$B,"&lt;&gt;Lucas Luiz Romero")*(23/1083),IF(C2796="JR",SUMIFS($D:$D,$A:$A,$A2796,$B:$B,"&lt;&gt;Patrícia Karla de Sousa Araújo",$B:$B,"&lt;&gt;Lorena Dias de Araujo",$B:$B,"&lt;&gt;Lucas Luiz Romero")*(20/1083),IF(C2796="Estágio",SUMIFS($D:$D,$A:$A,$A2796,$B:$B,"&lt;&gt;Patrícia Karla de Sousa Araújo",$B:$B,"&lt;&gt;Lorena Dias de Araujo",$B:$B,"&lt;&gt;Lucas Luiz Romero")*(10/1083),0)))))),0)</f>
        <v/>
      </c>
      <c r="K2796" s="3">
        <f>I2796-J2796</f>
        <v/>
      </c>
      <c r="L2796" s="3">
        <f>IF(K2796&lt;-5,"CRÍTICO",IF(K2796&lt;0,"ATENÇÃO",IF(K2796&lt;=5,"OPORTUNO","MUITO BOM")))</f>
        <v/>
      </c>
      <c r="N2796" t="n">
        <v>98.26000000000001</v>
      </c>
      <c r="O2796" t="n">
        <v>27.54491017964072</v>
      </c>
    </row>
    <row r="2797" hidden="1">
      <c r="A2797" s="11" t="n">
        <v>46087</v>
      </c>
      <c r="B2797" t="inlineStr">
        <is>
          <t>Sara Maria Monteiro Lopes</t>
        </is>
      </c>
      <c r="C2797" t="inlineStr">
        <is>
          <t>Técnico I</t>
        </is>
      </c>
      <c r="D2797" t="n">
        <v>15</v>
      </c>
      <c r="E2797" t="n">
        <v>14</v>
      </c>
      <c r="F2797" t="n">
        <v>40.12</v>
      </c>
      <c r="G2797" t="n">
        <v>0</v>
      </c>
      <c r="H2797" t="n">
        <v>0</v>
      </c>
      <c r="I2797" s="3">
        <f>E2797+G2797+H2797</f>
        <v/>
      </c>
      <c r="J2797" s="3">
        <f>ROUND(MIN(IF(C2797="Técnico III",35,IF(C2797="Técnico II",28,IF(C2797="Técnico I",23,IF(C2797="JR",20,IF(C2797="Estágio",10,0))))),IF(C2797="Técnico III",SUMIFS($D:$D,$A:$A,$A2797,$B:$B,"&lt;&gt;Patrícia Karla de Sousa Araújo",$B:$B,"&lt;&gt;Lorena Dias de Araujo",$B:$B,"&lt;&gt;Lucas Luiz Romero")*(35/1083),IF(C2797="Técnico II",SUMIFS($D:$D,$A:$A,$A2797,$B:$B,"&lt;&gt;Patrícia Karla de Sousa Araújo",$B:$B,"&lt;&gt;Lorena Dias de Araujo",$B:$B,"&lt;&gt;Lucas Luiz Romero")*(28/1083),IF(C2797="Técnico I",SUMIFS($D:$D,$A:$A,$A2797,$B:$B,"&lt;&gt;Patrícia Karla de Sousa Araújo",$B:$B,"&lt;&gt;Lorena Dias de Araujo",$B:$B,"&lt;&gt;Lucas Luiz Romero")*(23/1083),IF(C2797="JR",SUMIFS($D:$D,$A:$A,$A2797,$B:$B,"&lt;&gt;Patrícia Karla de Sousa Araújo",$B:$B,"&lt;&gt;Lorena Dias de Araujo",$B:$B,"&lt;&gt;Lucas Luiz Romero")*(20/1083),IF(C2797="Estágio",SUMIFS($D:$D,$A:$A,$A2797,$B:$B,"&lt;&gt;Patrícia Karla de Sousa Araújo",$B:$B,"&lt;&gt;Lorena Dias de Araujo",$B:$B,"&lt;&gt;Lucas Luiz Romero")*(10/1083),0)))))),0)</f>
        <v/>
      </c>
      <c r="K2797" s="3">
        <f>I2797-J2797</f>
        <v/>
      </c>
      <c r="L2797" s="3">
        <f>IF(K2797&lt;-5,"CRÍTICO",IF(K2797&lt;0,"ATENÇÃO",IF(K2797&lt;=5,"OPORTUNO","MUITO BOM")))</f>
        <v/>
      </c>
      <c r="N2797" t="n">
        <v>98.55</v>
      </c>
      <c r="O2797" t="n">
        <v>25.33783783783784</v>
      </c>
    </row>
    <row r="2798" hidden="1">
      <c r="A2798" s="11" t="n">
        <v>46087</v>
      </c>
      <c r="B2798" t="inlineStr">
        <is>
          <t>Sarah Steffanie de Lima Borges</t>
        </is>
      </c>
      <c r="C2798" t="inlineStr">
        <is>
          <t>Técnico III</t>
        </is>
      </c>
      <c r="D2798" t="n">
        <v>38</v>
      </c>
      <c r="E2798" t="n">
        <v>37</v>
      </c>
      <c r="F2798" t="n">
        <v>15.18</v>
      </c>
      <c r="G2798" t="n">
        <v>0</v>
      </c>
      <c r="H2798" t="n">
        <v>0</v>
      </c>
      <c r="I2798" s="3">
        <f>E2798+G2798+H2798</f>
        <v/>
      </c>
      <c r="J2798" s="3">
        <f>ROUND(MIN(IF(C2798="Técnico III",35,IF(C2798="Técnico II",28,IF(C2798="Técnico I",23,IF(C2798="JR",20,IF(C2798="Estágio",10,0))))),IF(C2798="Técnico III",SUMIFS($D:$D,$A:$A,$A2798,$B:$B,"&lt;&gt;Patrícia Karla de Sousa Araújo",$B:$B,"&lt;&gt;Lorena Dias de Araujo",$B:$B,"&lt;&gt;Lucas Luiz Romero")*(35/1083),IF(C2798="Técnico II",SUMIFS($D:$D,$A:$A,$A2798,$B:$B,"&lt;&gt;Patrícia Karla de Sousa Araújo",$B:$B,"&lt;&gt;Lorena Dias de Araujo",$B:$B,"&lt;&gt;Lucas Luiz Romero")*(28/1083),IF(C2798="Técnico I",SUMIFS($D:$D,$A:$A,$A2798,$B:$B,"&lt;&gt;Patrícia Karla de Sousa Araújo",$B:$B,"&lt;&gt;Lorena Dias de Araujo",$B:$B,"&lt;&gt;Lucas Luiz Romero")*(23/1083),IF(C2798="JR",SUMIFS($D:$D,$A:$A,$A2798,$B:$B,"&lt;&gt;Patrícia Karla de Sousa Araújo",$B:$B,"&lt;&gt;Lorena Dias de Araujo",$B:$B,"&lt;&gt;Lucas Luiz Romero")*(20/1083),IF(C2798="Estágio",SUMIFS($D:$D,$A:$A,$A2798,$B:$B,"&lt;&gt;Patrícia Karla de Sousa Araújo",$B:$B,"&lt;&gt;Lorena Dias de Araujo",$B:$B,"&lt;&gt;Lucas Luiz Romero")*(10/1083),0)))))),0)</f>
        <v/>
      </c>
      <c r="K2798" s="3">
        <f>I2798-J2798</f>
        <v/>
      </c>
      <c r="L2798" s="3">
        <f>IF(K2798&lt;-5,"CRÍTICO",IF(K2798&lt;0,"ATENÇÃO",IF(K2798&lt;=5,"OPORTUNO","MUITO BOM")))</f>
        <v/>
      </c>
      <c r="N2798" t="n">
        <v>98.39</v>
      </c>
      <c r="O2798" t="n">
        <v>25.56390977443609</v>
      </c>
    </row>
    <row r="2799" hidden="1">
      <c r="A2799" s="11" t="n">
        <v>46090</v>
      </c>
      <c r="B2799" t="inlineStr">
        <is>
          <t>Alisson de Freitas Silva</t>
        </is>
      </c>
      <c r="C2799" t="inlineStr">
        <is>
          <t>Técnico II</t>
        </is>
      </c>
      <c r="D2799" t="n">
        <v>21</v>
      </c>
      <c r="E2799" t="n">
        <v>20</v>
      </c>
      <c r="F2799" t="n">
        <v>15.23</v>
      </c>
      <c r="G2799" t="n">
        <v>0</v>
      </c>
      <c r="H2799" t="n">
        <v>0</v>
      </c>
      <c r="I2799" s="3">
        <f>E2799+G2799+H2799</f>
        <v/>
      </c>
      <c r="J2799" s="3">
        <f>ROUND(MIN(IF(C2799="Técnico III",35,IF(C2799="Técnico II",28,IF(C2799="Técnico I",23,IF(C2799="JR",20,IF(C2799="Estágio",10,0))))),IF(C2799="Técnico III",SUMIFS($D:$D,$A:$A,$A2799,$B:$B,"&lt;&gt;Patrícia Karla de Sousa Araújo",$B:$B,"&lt;&gt;Lorena Dias de Araujo",$B:$B,"&lt;&gt;Lucas Luiz Romero")*(35/1083),IF(C2799="Técnico II",SUMIFS($D:$D,$A:$A,$A2799,$B:$B,"&lt;&gt;Patrícia Karla de Sousa Araújo",$B:$B,"&lt;&gt;Lorena Dias de Araujo",$B:$B,"&lt;&gt;Lucas Luiz Romero")*(28/1083),IF(C2799="Técnico I",SUMIFS($D:$D,$A:$A,$A2799,$B:$B,"&lt;&gt;Patrícia Karla de Sousa Araújo",$B:$B,"&lt;&gt;Lorena Dias de Araujo",$B:$B,"&lt;&gt;Lucas Luiz Romero")*(23/1083),IF(C2799="JR",SUMIFS($D:$D,$A:$A,$A2799,$B:$B,"&lt;&gt;Patrícia Karla de Sousa Araújo",$B:$B,"&lt;&gt;Lorena Dias de Araujo",$B:$B,"&lt;&gt;Lucas Luiz Romero")*(20/1083),IF(C2799="Estágio",SUMIFS($D:$D,$A:$A,$A2799,$B:$B,"&lt;&gt;Patrícia Karla de Sousa Araújo",$B:$B,"&lt;&gt;Lorena Dias de Araujo",$B:$B,"&lt;&gt;Lucas Luiz Romero")*(10/1083),0)))))),0)</f>
        <v/>
      </c>
      <c r="K2799" s="3">
        <f>I2799-J2799</f>
        <v/>
      </c>
      <c r="L2799" s="3">
        <f>IF(K2799&lt;-5,"CRÍTICO",IF(K2799&lt;0,"ATENÇÃO",IF(K2799&lt;=5,"OPORTUNO","MUITO BOM")))</f>
        <v/>
      </c>
      <c r="N2799" t="n">
        <v>94.29000000000001</v>
      </c>
      <c r="O2799" t="n">
        <v>25.64766839378239</v>
      </c>
    </row>
    <row r="2800" hidden="1">
      <c r="A2800" s="11" t="n">
        <v>46090</v>
      </c>
      <c r="B2800" t="inlineStr">
        <is>
          <t>Amanda Moura Ferreira</t>
        </is>
      </c>
      <c r="C2800" t="inlineStr">
        <is>
          <t>Técnico III</t>
        </is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s="3" t="n">
        <v>0</v>
      </c>
      <c r="J2800" s="3" t="n">
        <v>0</v>
      </c>
      <c r="K2800" s="3" t="n">
        <v>0</v>
      </c>
      <c r="L2800" s="3">
        <f>IF(K2800&lt;-5,"CRÍTICO",IF(K2800&lt;0,"ATENÇÃO",IF(K2800&lt;=5,"OPORTUNO","MUITO BOM")))</f>
        <v/>
      </c>
      <c r="N2800" t="n">
        <v>98.26000000000001</v>
      </c>
      <c r="O2800" t="n">
        <v>26.66666666666667</v>
      </c>
    </row>
    <row r="2801" hidden="1">
      <c r="A2801" s="11" t="n">
        <v>46090</v>
      </c>
      <c r="B2801" t="inlineStr">
        <is>
          <t>Ana Karollyne Souza Faria</t>
        </is>
      </c>
      <c r="C2801" t="inlineStr">
        <is>
          <t>Técnico I</t>
        </is>
      </c>
      <c r="D2801" t="n">
        <v>21</v>
      </c>
      <c r="E2801" t="n">
        <v>19</v>
      </c>
      <c r="F2801" t="n">
        <v>24.11</v>
      </c>
      <c r="G2801" t="n">
        <v>0</v>
      </c>
      <c r="H2801" t="n">
        <v>0</v>
      </c>
      <c r="I2801" s="3">
        <f>E2801+G2801+H2801</f>
        <v/>
      </c>
      <c r="J2801" s="3">
        <f>ROUND(MIN(IF(C2801="Técnico III",35,IF(C2801="Técnico II",28,IF(C2801="Técnico I",23,IF(C2801="JR",20,IF(C2801="Estágio",10,0))))),IF(C2801="Técnico III",SUMIFS($D:$D,$A:$A,$A2801,$B:$B,"&lt;&gt;Patrícia Karla de Sousa Araújo",$B:$B,"&lt;&gt;Lorena Dias de Araujo",$B:$B,"&lt;&gt;Lucas Luiz Romero")*(35/1083),IF(C2801="Técnico II",SUMIFS($D:$D,$A:$A,$A2801,$B:$B,"&lt;&gt;Patrícia Karla de Sousa Araújo",$B:$B,"&lt;&gt;Lorena Dias de Araujo",$B:$B,"&lt;&gt;Lucas Luiz Romero")*(28/1083),IF(C2801="Técnico I",SUMIFS($D:$D,$A:$A,$A2801,$B:$B,"&lt;&gt;Patrícia Karla de Sousa Araújo",$B:$B,"&lt;&gt;Lorena Dias de Araujo",$B:$B,"&lt;&gt;Lucas Luiz Romero")*(23/1083),IF(C2801="JR",SUMIFS($D:$D,$A:$A,$A2801,$B:$B,"&lt;&gt;Patrícia Karla de Sousa Araújo",$B:$B,"&lt;&gt;Lorena Dias de Araujo",$B:$B,"&lt;&gt;Lucas Luiz Romero")*(20/1083),IF(C2801="Estágio",SUMIFS($D:$D,$A:$A,$A2801,$B:$B,"&lt;&gt;Patrícia Karla de Sousa Araújo",$B:$B,"&lt;&gt;Lorena Dias de Araujo",$B:$B,"&lt;&gt;Lucas Luiz Romero")*(10/1083),0)))))),0)</f>
        <v/>
      </c>
      <c r="K2801" s="3">
        <f>I2801-J2801</f>
        <v/>
      </c>
      <c r="L2801" s="3">
        <f>IF(K2801&lt;-5,"CRÍTICO",IF(K2801&lt;0,"ATENÇÃO",IF(K2801&lt;=5,"OPORTUNO","MUITO BOM")))</f>
        <v/>
      </c>
      <c r="N2801" t="n">
        <v>98.2</v>
      </c>
      <c r="O2801" t="n">
        <v>23.37962962962963</v>
      </c>
    </row>
    <row r="2802" hidden="1">
      <c r="A2802" s="11" t="n">
        <v>46090</v>
      </c>
      <c r="B2802" t="inlineStr">
        <is>
          <t>Ana Paula Da Luz Silva Aleixo</t>
        </is>
      </c>
      <c r="C2802" t="inlineStr">
        <is>
          <t>Técnico III</t>
        </is>
      </c>
      <c r="D2802" t="n">
        <v>23</v>
      </c>
      <c r="E2802" t="n">
        <v>23</v>
      </c>
      <c r="F2802" t="n">
        <v>23.58</v>
      </c>
      <c r="G2802" t="n">
        <v>0</v>
      </c>
      <c r="H2802" t="n">
        <v>0</v>
      </c>
      <c r="I2802" s="3">
        <f>E2802+G2802+H2802</f>
        <v/>
      </c>
      <c r="J2802" s="3">
        <f>ROUND(MIN(IF(C2802="Técnico III",35,IF(C2802="Técnico II",28,IF(C2802="Técnico I",23,IF(C2802="JR",20,IF(C2802="Estágio",10,0))))),IF(C2802="Técnico III",SUMIFS($D:$D,$A:$A,$A2802,$B:$B,"&lt;&gt;Patrícia Karla de Sousa Araújo",$B:$B,"&lt;&gt;Lorena Dias de Araujo",$B:$B,"&lt;&gt;Lucas Luiz Romero")*(35/1083),IF(C2802="Técnico II",SUMIFS($D:$D,$A:$A,$A2802,$B:$B,"&lt;&gt;Patrícia Karla de Sousa Araújo",$B:$B,"&lt;&gt;Lorena Dias de Araujo",$B:$B,"&lt;&gt;Lucas Luiz Romero")*(28/1083),IF(C2802="Técnico I",SUMIFS($D:$D,$A:$A,$A2802,$B:$B,"&lt;&gt;Patrícia Karla de Sousa Araújo",$B:$B,"&lt;&gt;Lorena Dias de Araujo",$B:$B,"&lt;&gt;Lucas Luiz Romero")*(23/1083),IF(C2802="JR",SUMIFS($D:$D,$A:$A,$A2802,$B:$B,"&lt;&gt;Patrícia Karla de Sousa Araújo",$B:$B,"&lt;&gt;Lorena Dias de Araujo",$B:$B,"&lt;&gt;Lucas Luiz Romero")*(20/1083),IF(C2802="Estágio",SUMIFS($D:$D,$A:$A,$A2802,$B:$B,"&lt;&gt;Patrícia Karla de Sousa Araújo",$B:$B,"&lt;&gt;Lorena Dias de Araujo",$B:$B,"&lt;&gt;Lucas Luiz Romero")*(10/1083),0)))))),0)</f>
        <v/>
      </c>
      <c r="K2802" s="3">
        <f>I2802-J2802</f>
        <v/>
      </c>
      <c r="L2802" s="3">
        <f>IF(K2802&lt;-5,"CRÍTICO",IF(K2802&lt;0,"ATENÇÃO",IF(K2802&lt;=5,"OPORTUNO","MUITO BOM")))</f>
        <v/>
      </c>
      <c r="N2802" t="n">
        <v>97.3</v>
      </c>
      <c r="O2802" t="n">
        <v>23.84769539078156</v>
      </c>
    </row>
    <row r="2803" hidden="1">
      <c r="A2803" s="11" t="n">
        <v>46090</v>
      </c>
      <c r="B2803" t="inlineStr">
        <is>
          <t>Anna Luiza Rezende Tavares</t>
        </is>
      </c>
      <c r="C2803" t="inlineStr">
        <is>
          <t>Estágio</t>
        </is>
      </c>
      <c r="D2803" t="n">
        <v>10</v>
      </c>
      <c r="E2803" t="n">
        <v>9</v>
      </c>
      <c r="F2803" t="n">
        <v>33.57</v>
      </c>
      <c r="G2803" t="n">
        <v>0</v>
      </c>
      <c r="H2803" t="n">
        <v>0</v>
      </c>
      <c r="I2803" s="3">
        <f>E2803+G2803+H2803</f>
        <v/>
      </c>
      <c r="J2803" s="3">
        <f>ROUND(MIN(IF(C2803="Técnico III",35,IF(C2803="Técnico II",28,IF(C2803="Técnico I",23,IF(C2803="JR",20,IF(C2803="Estágio",10,0))))),IF(C2803="Técnico III",SUMIFS($D:$D,$A:$A,$A2803,$B:$B,"&lt;&gt;Patrícia Karla de Sousa Araújo",$B:$B,"&lt;&gt;Lorena Dias de Araujo",$B:$B,"&lt;&gt;Lucas Luiz Romero")*(35/1083),IF(C2803="Técnico II",SUMIFS($D:$D,$A:$A,$A2803,$B:$B,"&lt;&gt;Patrícia Karla de Sousa Araújo",$B:$B,"&lt;&gt;Lorena Dias de Araujo",$B:$B,"&lt;&gt;Lucas Luiz Romero")*(28/1083),IF(C2803="Técnico I",SUMIFS($D:$D,$A:$A,$A2803,$B:$B,"&lt;&gt;Patrícia Karla de Sousa Araújo",$B:$B,"&lt;&gt;Lorena Dias de Araujo",$B:$B,"&lt;&gt;Lucas Luiz Romero")*(23/1083),IF(C2803="JR",SUMIFS($D:$D,$A:$A,$A2803,$B:$B,"&lt;&gt;Patrícia Karla de Sousa Araújo",$B:$B,"&lt;&gt;Lorena Dias de Araujo",$B:$B,"&lt;&gt;Lucas Luiz Romero")*(20/1083),IF(C2803="Estágio",SUMIFS($D:$D,$A:$A,$A2803,$B:$B,"&lt;&gt;Patrícia Karla de Sousa Araújo",$B:$B,"&lt;&gt;Lorena Dias de Araujo",$B:$B,"&lt;&gt;Lucas Luiz Romero")*(10/1083),0)))))),0)</f>
        <v/>
      </c>
      <c r="K2803" s="3">
        <f>I2803-J2803</f>
        <v/>
      </c>
      <c r="L2803" s="3">
        <f>IF(K2803&lt;-5,"CRÍTICO",IF(K2803&lt;0,"ATENÇÃO",IF(K2803&lt;=5,"OPORTUNO","MUITO BOM")))</f>
        <v/>
      </c>
      <c r="N2803" t="n">
        <v>100</v>
      </c>
      <c r="O2803" t="n">
        <v>25.26881720430108</v>
      </c>
    </row>
    <row r="2804" hidden="1">
      <c r="A2804" s="11" t="n">
        <v>46090</v>
      </c>
      <c r="B2804" t="inlineStr">
        <is>
          <t>Brenda de Menezes Silva</t>
        </is>
      </c>
      <c r="C2804" t="inlineStr">
        <is>
          <t>Técnico II</t>
        </is>
      </c>
      <c r="D2804" t="n">
        <v>37</v>
      </c>
      <c r="E2804" t="n">
        <v>36</v>
      </c>
      <c r="F2804" t="n">
        <v>17.36</v>
      </c>
      <c r="G2804" t="n">
        <v>0</v>
      </c>
      <c r="H2804" t="n">
        <v>0</v>
      </c>
      <c r="I2804" s="3">
        <f>E2804+G2804+H2804</f>
        <v/>
      </c>
      <c r="J2804" s="3">
        <f>ROUND(MIN(IF(C2804="Técnico III",35,IF(C2804="Técnico II",28,IF(C2804="Técnico I",23,IF(C2804="JR",20,IF(C2804="Estágio",10,0))))),IF(C2804="Técnico III",SUMIFS($D:$D,$A:$A,$A2804,$B:$B,"&lt;&gt;Patrícia Karla de Sousa Araújo",$B:$B,"&lt;&gt;Lorena Dias de Araujo",$B:$B,"&lt;&gt;Lucas Luiz Romero")*(35/1083),IF(C2804="Técnico II",SUMIFS($D:$D,$A:$A,$A2804,$B:$B,"&lt;&gt;Patrícia Karla de Sousa Araújo",$B:$B,"&lt;&gt;Lorena Dias de Araujo",$B:$B,"&lt;&gt;Lucas Luiz Romero")*(28/1083),IF(C2804="Técnico I",SUMIFS($D:$D,$A:$A,$A2804,$B:$B,"&lt;&gt;Patrícia Karla de Sousa Araújo",$B:$B,"&lt;&gt;Lorena Dias de Araujo",$B:$B,"&lt;&gt;Lucas Luiz Romero")*(23/1083),IF(C2804="JR",SUMIFS($D:$D,$A:$A,$A2804,$B:$B,"&lt;&gt;Patrícia Karla de Sousa Araújo",$B:$B,"&lt;&gt;Lorena Dias de Araujo",$B:$B,"&lt;&gt;Lucas Luiz Romero")*(20/1083),IF(C2804="Estágio",SUMIFS($D:$D,$A:$A,$A2804,$B:$B,"&lt;&gt;Patrícia Karla de Sousa Araújo",$B:$B,"&lt;&gt;Lorena Dias de Araujo",$B:$B,"&lt;&gt;Lucas Luiz Romero")*(10/1083),0)))))),0)</f>
        <v/>
      </c>
      <c r="K2804" s="3">
        <f>I2804-J2804</f>
        <v/>
      </c>
      <c r="L2804" s="3">
        <f>IF(K2804&lt;-5,"CRÍTICO",IF(K2804&lt;0,"ATENÇÃO",IF(K2804&lt;=5,"OPORTUNO","MUITO BOM")))</f>
        <v/>
      </c>
      <c r="N2804" t="n">
        <v>99.31999999999999</v>
      </c>
      <c r="O2804" t="n">
        <v>22.82282282282282</v>
      </c>
    </row>
    <row r="2805" hidden="1">
      <c r="A2805" s="11" t="n">
        <v>46090</v>
      </c>
      <c r="B2805" t="inlineStr">
        <is>
          <t>Carlos Mateus Cassimiro Nunes</t>
        </is>
      </c>
      <c r="C2805" t="inlineStr">
        <is>
          <t>Técnico II</t>
        </is>
      </c>
      <c r="D2805" t="n">
        <v>8</v>
      </c>
      <c r="E2805" t="n">
        <v>7</v>
      </c>
      <c r="F2805" t="n">
        <v>59.02</v>
      </c>
      <c r="G2805" t="n">
        <v>0</v>
      </c>
      <c r="H2805" t="n">
        <v>0</v>
      </c>
      <c r="I2805" s="3">
        <f>E2805+G2805+H2805</f>
        <v/>
      </c>
      <c r="J2805" s="3">
        <f>ROUND(MIN(IF(C2805="Técnico III",35,IF(C2805="Técnico II",28,IF(C2805="Técnico I",23,IF(C2805="JR",20,IF(C2805="Estágio",10,0))))),IF(C2805="Técnico III",SUMIFS($D:$D,$A:$A,$A2805,$B:$B,"&lt;&gt;Patrícia Karla de Sousa Araújo",$B:$B,"&lt;&gt;Lorena Dias de Araujo",$B:$B,"&lt;&gt;Lucas Luiz Romero")*(35/1083),IF(C2805="Técnico II",SUMIFS($D:$D,$A:$A,$A2805,$B:$B,"&lt;&gt;Patrícia Karla de Sousa Araújo",$B:$B,"&lt;&gt;Lorena Dias de Araujo",$B:$B,"&lt;&gt;Lucas Luiz Romero")*(28/1083),IF(C2805="Técnico I",SUMIFS($D:$D,$A:$A,$A2805,$B:$B,"&lt;&gt;Patrícia Karla de Sousa Araújo",$B:$B,"&lt;&gt;Lorena Dias de Araujo",$B:$B,"&lt;&gt;Lucas Luiz Romero")*(23/1083),IF(C2805="JR",SUMIFS($D:$D,$A:$A,$A2805,$B:$B,"&lt;&gt;Patrícia Karla de Sousa Araújo",$B:$B,"&lt;&gt;Lorena Dias de Araujo",$B:$B,"&lt;&gt;Lucas Luiz Romero")*(20/1083),IF(C2805="Estágio",SUMIFS($D:$D,$A:$A,$A2805,$B:$B,"&lt;&gt;Patrícia Karla de Sousa Araújo",$B:$B,"&lt;&gt;Lorena Dias de Araujo",$B:$B,"&lt;&gt;Lucas Luiz Romero")*(10/1083),0)))))),0)</f>
        <v/>
      </c>
      <c r="K2805" s="3">
        <f>I2805-J2805</f>
        <v/>
      </c>
      <c r="L2805" s="3">
        <f>IF(K2805&lt;-5,"CRÍTICO",IF(K2805&lt;0,"ATENÇÃO",IF(K2805&lt;=5,"OPORTUNO","MUITO BOM")))</f>
        <v/>
      </c>
      <c r="N2805" t="n">
        <v>100</v>
      </c>
      <c r="O2805" t="n">
        <v>27.96610169491525</v>
      </c>
    </row>
    <row r="2806" hidden="1">
      <c r="A2806" s="11" t="n">
        <v>46090</v>
      </c>
      <c r="B2806" t="inlineStr">
        <is>
          <t>Claudio de Sousa Velasco Filho</t>
        </is>
      </c>
      <c r="C2806" t="inlineStr">
        <is>
          <t>Estágio</t>
        </is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s="3" t="n">
        <v>0</v>
      </c>
      <c r="J2806" s="3" t="n">
        <v>0</v>
      </c>
      <c r="K2806" s="3" t="n">
        <v>0</v>
      </c>
      <c r="L2806" s="3">
        <f>IF(K2806&lt;-5,"CRÍTICO",IF(K2806&lt;0,"ATENÇÃO",IF(K2806&lt;=5,"OPORTUNO","MUITO BOM")))</f>
        <v/>
      </c>
      <c r="N2806" t="n">
        <v>100</v>
      </c>
      <c r="O2806" t="n">
        <v>30.43478260869566</v>
      </c>
    </row>
    <row r="2807" hidden="1">
      <c r="A2807" s="11" t="n">
        <v>46090</v>
      </c>
      <c r="B2807" t="inlineStr">
        <is>
          <t>Clessiane Pereira dos Santos</t>
        </is>
      </c>
      <c r="C2807" t="inlineStr">
        <is>
          <t>Técnico I</t>
        </is>
      </c>
      <c r="D2807" t="n">
        <v>19</v>
      </c>
      <c r="E2807" t="n">
        <v>19</v>
      </c>
      <c r="F2807" t="n">
        <v>25.46</v>
      </c>
      <c r="G2807" t="n">
        <v>0</v>
      </c>
      <c r="H2807" t="n">
        <v>0</v>
      </c>
      <c r="I2807" s="3">
        <f>E2807+G2807+H2807</f>
        <v/>
      </c>
      <c r="J2807" s="3">
        <f>ROUND(MIN(IF(C2807="Técnico III",35,IF(C2807="Técnico II",28,IF(C2807="Técnico I",23,IF(C2807="JR",20,IF(C2807="Estágio",10,0))))),IF(C2807="Técnico III",SUMIFS($D:$D,$A:$A,$A2807,$B:$B,"&lt;&gt;Patrícia Karla de Sousa Araújo",$B:$B,"&lt;&gt;Lorena Dias de Araujo",$B:$B,"&lt;&gt;Lucas Luiz Romero")*(35/1083),IF(C2807="Técnico II",SUMIFS($D:$D,$A:$A,$A2807,$B:$B,"&lt;&gt;Patrícia Karla de Sousa Araújo",$B:$B,"&lt;&gt;Lorena Dias de Araujo",$B:$B,"&lt;&gt;Lucas Luiz Romero")*(28/1083),IF(C2807="Técnico I",SUMIFS($D:$D,$A:$A,$A2807,$B:$B,"&lt;&gt;Patrícia Karla de Sousa Araújo",$B:$B,"&lt;&gt;Lorena Dias de Araujo",$B:$B,"&lt;&gt;Lucas Luiz Romero")*(23/1083),IF(C2807="JR",SUMIFS($D:$D,$A:$A,$A2807,$B:$B,"&lt;&gt;Patrícia Karla de Sousa Araújo",$B:$B,"&lt;&gt;Lorena Dias de Araujo",$B:$B,"&lt;&gt;Lucas Luiz Romero")*(20/1083),IF(C2807="Estágio",SUMIFS($D:$D,$A:$A,$A2807,$B:$B,"&lt;&gt;Patrícia Karla de Sousa Araújo",$B:$B,"&lt;&gt;Lorena Dias de Araujo",$B:$B,"&lt;&gt;Lucas Luiz Romero")*(10/1083),0)))))),0)</f>
        <v/>
      </c>
      <c r="K2807" s="3">
        <f>I2807-J2807</f>
        <v/>
      </c>
      <c r="L2807" s="3">
        <f>IF(K2807&lt;-5,"CRÍTICO",IF(K2807&lt;0,"ATENÇÃO",IF(K2807&lt;=5,"OPORTUNO","MUITO BOM")))</f>
        <v/>
      </c>
      <c r="N2807" t="n">
        <v>96.51000000000001</v>
      </c>
      <c r="O2807" t="n">
        <v>22.80285035629454</v>
      </c>
    </row>
    <row r="2808" hidden="1">
      <c r="A2808" s="11" t="n">
        <v>46090</v>
      </c>
      <c r="B2808" t="inlineStr">
        <is>
          <t>Cristiane Ramos da Silva Rocha</t>
        </is>
      </c>
      <c r="C2808" t="inlineStr">
        <is>
          <t>Técnico III</t>
        </is>
      </c>
      <c r="D2808" t="n">
        <v>35</v>
      </c>
      <c r="E2808" t="n">
        <v>33</v>
      </c>
      <c r="F2808" t="n">
        <v>15.3</v>
      </c>
      <c r="G2808" t="n">
        <v>0</v>
      </c>
      <c r="H2808" t="n">
        <v>0</v>
      </c>
      <c r="I2808" s="3">
        <f>E2808+G2808+H2808</f>
        <v/>
      </c>
      <c r="J2808" s="3">
        <f>ROUND(MIN(IF(C2808="Técnico III",35,IF(C2808="Técnico II",28,IF(C2808="Técnico I",23,IF(C2808="JR",20,IF(C2808="Estágio",10,0))))),IF(C2808="Técnico III",SUMIFS($D:$D,$A:$A,$A2808,$B:$B,"&lt;&gt;Patrícia Karla de Sousa Araújo",$B:$B,"&lt;&gt;Lorena Dias de Araujo",$B:$B,"&lt;&gt;Lucas Luiz Romero")*(35/1083),IF(C2808="Técnico II",SUMIFS($D:$D,$A:$A,$A2808,$B:$B,"&lt;&gt;Patrícia Karla de Sousa Araújo",$B:$B,"&lt;&gt;Lorena Dias de Araujo",$B:$B,"&lt;&gt;Lucas Luiz Romero")*(28/1083),IF(C2808="Técnico I",SUMIFS($D:$D,$A:$A,$A2808,$B:$B,"&lt;&gt;Patrícia Karla de Sousa Araújo",$B:$B,"&lt;&gt;Lorena Dias de Araujo",$B:$B,"&lt;&gt;Lucas Luiz Romero")*(23/1083),IF(C2808="JR",SUMIFS($D:$D,$A:$A,$A2808,$B:$B,"&lt;&gt;Patrícia Karla de Sousa Araújo",$B:$B,"&lt;&gt;Lorena Dias de Araujo",$B:$B,"&lt;&gt;Lucas Luiz Romero")*(20/1083),IF(C2808="Estágio",SUMIFS($D:$D,$A:$A,$A2808,$B:$B,"&lt;&gt;Patrícia Karla de Sousa Araújo",$B:$B,"&lt;&gt;Lorena Dias de Araujo",$B:$B,"&lt;&gt;Lucas Luiz Romero")*(10/1083),0)))))),0)</f>
        <v/>
      </c>
      <c r="K2808" s="3">
        <f>I2808-J2808</f>
        <v/>
      </c>
      <c r="L2808" s="3">
        <f>IF(K2808&lt;-5,"CRÍTICO",IF(K2808&lt;0,"ATENÇÃO",IF(K2808&lt;=5,"OPORTUNO","MUITO BOM")))</f>
        <v/>
      </c>
      <c r="N2808" t="n">
        <v>92.68000000000001</v>
      </c>
      <c r="O2808" t="n">
        <v>27.77777777777778</v>
      </c>
    </row>
    <row r="2809" hidden="1">
      <c r="A2809" s="11" t="n">
        <v>46090</v>
      </c>
      <c r="B2809" t="inlineStr">
        <is>
          <t>Damyllis Lorraine de Oliveira Gonçalves</t>
        </is>
      </c>
      <c r="C2809" t="inlineStr">
        <is>
          <t>Técnico II</t>
        </is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s="3" t="n">
        <v>0</v>
      </c>
      <c r="J2809" s="3" t="n">
        <v>0</v>
      </c>
      <c r="K2809" s="3" t="n">
        <v>0</v>
      </c>
      <c r="L2809" s="3">
        <f>IF(K2809&lt;-5,"CRÍTICO",IF(K2809&lt;0,"ATENÇÃO",IF(K2809&lt;=5,"OPORTUNO","MUITO BOM")))</f>
        <v/>
      </c>
      <c r="N2809" t="n">
        <v>99.03</v>
      </c>
      <c r="O2809" t="n">
        <v>23.99150743099788</v>
      </c>
    </row>
    <row r="2810" hidden="1">
      <c r="A2810" s="11" t="n">
        <v>46090</v>
      </c>
      <c r="B2810" t="inlineStr">
        <is>
          <t>Daniel Gomes da Silva</t>
        </is>
      </c>
      <c r="C2810" t="inlineStr">
        <is>
          <t>Técnico I</t>
        </is>
      </c>
      <c r="D2810" t="n">
        <v>19</v>
      </c>
      <c r="E2810" t="n">
        <v>19</v>
      </c>
      <c r="F2810" t="n">
        <v>28.26</v>
      </c>
      <c r="G2810" t="n">
        <v>0</v>
      </c>
      <c r="H2810" t="n">
        <v>0</v>
      </c>
      <c r="I2810" s="3">
        <f>E2810+G2810+H2810</f>
        <v/>
      </c>
      <c r="J2810" s="3">
        <f>ROUND(MIN(IF(C2810="Técnico III",35,IF(C2810="Técnico II",28,IF(C2810="Técnico I",23,IF(C2810="JR",20,IF(C2810="Estágio",10,0))))),IF(C2810="Técnico III",SUMIFS($D:$D,$A:$A,$A2810,$B:$B,"&lt;&gt;Patrícia Karla de Sousa Araújo",$B:$B,"&lt;&gt;Lorena Dias de Araujo",$B:$B,"&lt;&gt;Lucas Luiz Romero")*(35/1083),IF(C2810="Técnico II",SUMIFS($D:$D,$A:$A,$A2810,$B:$B,"&lt;&gt;Patrícia Karla de Sousa Araújo",$B:$B,"&lt;&gt;Lorena Dias de Araujo",$B:$B,"&lt;&gt;Lucas Luiz Romero")*(28/1083),IF(C2810="Técnico I",SUMIFS($D:$D,$A:$A,$A2810,$B:$B,"&lt;&gt;Patrícia Karla de Sousa Araújo",$B:$B,"&lt;&gt;Lorena Dias de Araujo",$B:$B,"&lt;&gt;Lucas Luiz Romero")*(23/1083),IF(C2810="JR",SUMIFS($D:$D,$A:$A,$A2810,$B:$B,"&lt;&gt;Patrícia Karla de Sousa Araújo",$B:$B,"&lt;&gt;Lorena Dias de Araujo",$B:$B,"&lt;&gt;Lucas Luiz Romero")*(20/1083),IF(C2810="Estágio",SUMIFS($D:$D,$A:$A,$A2810,$B:$B,"&lt;&gt;Patrícia Karla de Sousa Araújo",$B:$B,"&lt;&gt;Lorena Dias de Araujo",$B:$B,"&lt;&gt;Lucas Luiz Romero")*(10/1083),0)))))),0)</f>
        <v/>
      </c>
      <c r="K2810" s="3">
        <f>I2810-J2810</f>
        <v/>
      </c>
      <c r="L2810" s="3">
        <f>IF(K2810&lt;-5,"CRÍTICO",IF(K2810&lt;0,"ATENÇÃO",IF(K2810&lt;=5,"OPORTUNO","MUITO BOM")))</f>
        <v/>
      </c>
      <c r="N2810" t="n">
        <v>98.41</v>
      </c>
      <c r="O2810" t="n">
        <v>28.13852813852814</v>
      </c>
    </row>
    <row r="2811" hidden="1">
      <c r="A2811" s="11" t="n">
        <v>46090</v>
      </c>
      <c r="B2811" t="inlineStr">
        <is>
          <t>Davylla Rodrigues Freitas Silva</t>
        </is>
      </c>
      <c r="C2811" t="inlineStr">
        <is>
          <t>Técnico III</t>
        </is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s="3" t="n">
        <v>0</v>
      </c>
      <c r="J2811" s="3" t="n">
        <v>0</v>
      </c>
      <c r="K2811" s="3" t="n">
        <v>0</v>
      </c>
      <c r="L2811" s="3">
        <f>IF(K2811&lt;-5,"CRÍTICO",IF(K2811&lt;0,"ATENÇÃO",IF(K2811&lt;=5,"OPORTUNO","MUITO BOM")))</f>
        <v/>
      </c>
      <c r="N2811" t="n">
        <v>98.73</v>
      </c>
      <c r="O2811" t="n">
        <v>29.14285714285714</v>
      </c>
    </row>
    <row r="2812" hidden="1">
      <c r="A2812" s="11" t="n">
        <v>46090</v>
      </c>
      <c r="B2812" t="inlineStr">
        <is>
          <t>Emilly Caylane Costa</t>
        </is>
      </c>
      <c r="C2812" t="inlineStr">
        <is>
          <t>Estágio</t>
        </is>
      </c>
      <c r="D2812" t="n">
        <v>9</v>
      </c>
      <c r="E2812" t="n">
        <v>8</v>
      </c>
      <c r="F2812" t="n">
        <v>55.38</v>
      </c>
      <c r="G2812" t="n">
        <v>0</v>
      </c>
      <c r="H2812" t="n">
        <v>0</v>
      </c>
      <c r="I2812" s="3">
        <f>E2812+G2812+H2812</f>
        <v/>
      </c>
      <c r="J2812" s="3">
        <f>ROUND(MIN(IF(C2812="Técnico III",35,IF(C2812="Técnico II",28,IF(C2812="Técnico I",23,IF(C2812="JR",20,IF(C2812="Estágio",10,0))))),IF(C2812="Técnico III",SUMIFS($D:$D,$A:$A,$A2812,$B:$B,"&lt;&gt;Patrícia Karla de Sousa Araújo",$B:$B,"&lt;&gt;Lorena Dias de Araujo",$B:$B,"&lt;&gt;Lucas Luiz Romero")*(35/1083),IF(C2812="Técnico II",SUMIFS($D:$D,$A:$A,$A2812,$B:$B,"&lt;&gt;Patrícia Karla de Sousa Araújo",$B:$B,"&lt;&gt;Lorena Dias de Araujo",$B:$B,"&lt;&gt;Lucas Luiz Romero")*(28/1083),IF(C2812="Técnico I",SUMIFS($D:$D,$A:$A,$A2812,$B:$B,"&lt;&gt;Patrícia Karla de Sousa Araújo",$B:$B,"&lt;&gt;Lorena Dias de Araujo",$B:$B,"&lt;&gt;Lucas Luiz Romero")*(23/1083),IF(C2812="JR",SUMIFS($D:$D,$A:$A,$A2812,$B:$B,"&lt;&gt;Patrícia Karla de Sousa Araújo",$B:$B,"&lt;&gt;Lorena Dias de Araujo",$B:$B,"&lt;&gt;Lucas Luiz Romero")*(20/1083),IF(C2812="Estágio",SUMIFS($D:$D,$A:$A,$A2812,$B:$B,"&lt;&gt;Patrícia Karla de Sousa Araújo",$B:$B,"&lt;&gt;Lorena Dias de Araujo",$B:$B,"&lt;&gt;Lucas Luiz Romero")*(10/1083),0)))))),0)</f>
        <v/>
      </c>
      <c r="K2812" s="3">
        <f>I2812-J2812</f>
        <v/>
      </c>
      <c r="L2812" s="3">
        <f>IF(K2812&lt;-5,"CRÍTICO",IF(K2812&lt;0,"ATENÇÃO",IF(K2812&lt;=5,"OPORTUNO","MUITO BOM")))</f>
        <v/>
      </c>
      <c r="N2812" t="n">
        <v>90.48</v>
      </c>
      <c r="O2812" t="n">
        <v>20.68965517241379</v>
      </c>
    </row>
    <row r="2813" hidden="1">
      <c r="A2813" s="11" t="n">
        <v>46090</v>
      </c>
      <c r="B2813" t="inlineStr">
        <is>
          <t>Emilly Kamilly Medeiros Miranda</t>
        </is>
      </c>
      <c r="C2813" t="inlineStr">
        <is>
          <t>Técnico II</t>
        </is>
      </c>
      <c r="D2813" t="n">
        <v>26</v>
      </c>
      <c r="E2813" t="n">
        <v>25</v>
      </c>
      <c r="F2813" t="n">
        <v>25.01</v>
      </c>
      <c r="G2813" t="n">
        <v>0</v>
      </c>
      <c r="H2813" t="n">
        <v>0</v>
      </c>
      <c r="I2813" s="3">
        <f>E2813+G2813+H2813</f>
        <v/>
      </c>
      <c r="J2813" s="3">
        <f>ROUND(MIN(IF(C2813="Técnico III",35,IF(C2813="Técnico II",28,IF(C2813="Técnico I",23,IF(C2813="JR",20,IF(C2813="Estágio",10,0))))),IF(C2813="Técnico III",SUMIFS($D:$D,$A:$A,$A2813,$B:$B,"&lt;&gt;Patrícia Karla de Sousa Araújo",$B:$B,"&lt;&gt;Lorena Dias de Araujo",$B:$B,"&lt;&gt;Lucas Luiz Romero")*(35/1083),IF(C2813="Técnico II",SUMIFS($D:$D,$A:$A,$A2813,$B:$B,"&lt;&gt;Patrícia Karla de Sousa Araújo",$B:$B,"&lt;&gt;Lorena Dias de Araujo",$B:$B,"&lt;&gt;Lucas Luiz Romero")*(28/1083),IF(C2813="Técnico I",SUMIFS($D:$D,$A:$A,$A2813,$B:$B,"&lt;&gt;Patrícia Karla de Sousa Araújo",$B:$B,"&lt;&gt;Lorena Dias de Araujo",$B:$B,"&lt;&gt;Lucas Luiz Romero")*(23/1083),IF(C2813="JR",SUMIFS($D:$D,$A:$A,$A2813,$B:$B,"&lt;&gt;Patrícia Karla de Sousa Araújo",$B:$B,"&lt;&gt;Lorena Dias de Araujo",$B:$B,"&lt;&gt;Lucas Luiz Romero")*(20/1083),IF(C2813="Estágio",SUMIFS($D:$D,$A:$A,$A2813,$B:$B,"&lt;&gt;Patrícia Karla de Sousa Araújo",$B:$B,"&lt;&gt;Lorena Dias de Araujo",$B:$B,"&lt;&gt;Lucas Luiz Romero")*(10/1083),0)))))),0)</f>
        <v/>
      </c>
      <c r="K2813" s="3">
        <f>I2813-J2813</f>
        <v/>
      </c>
      <c r="L2813" s="3">
        <f>IF(K2813&lt;-5,"CRÍTICO",IF(K2813&lt;0,"ATENÇÃO",IF(K2813&lt;=5,"OPORTUNO","MUITO BOM")))</f>
        <v/>
      </c>
      <c r="N2813" t="n">
        <v>98.06</v>
      </c>
      <c r="O2813" t="n">
        <v>24.78991596638656</v>
      </c>
    </row>
    <row r="2814" hidden="1">
      <c r="A2814" s="11" t="n">
        <v>46090</v>
      </c>
      <c r="B2814" t="inlineStr">
        <is>
          <t>Francielson de Oliveira</t>
        </is>
      </c>
      <c r="C2814" t="inlineStr">
        <is>
          <t>Técnico III</t>
        </is>
      </c>
      <c r="D2814" t="n">
        <v>26</v>
      </c>
      <c r="E2814" t="n">
        <v>26</v>
      </c>
      <c r="F2814" t="n">
        <v>28.37</v>
      </c>
      <c r="G2814" t="n">
        <v>0</v>
      </c>
      <c r="H2814" t="n">
        <v>0</v>
      </c>
      <c r="I2814" s="3">
        <f>E2814+G2814+H2814</f>
        <v/>
      </c>
      <c r="J2814" s="3">
        <f>ROUND(MIN(IF(C2814="Técnico III",35,IF(C2814="Técnico II",28,IF(C2814="Técnico I",23,IF(C2814="JR",20,IF(C2814="Estágio",10,0))))),IF(C2814="Técnico III",SUMIFS($D:$D,$A:$A,$A2814,$B:$B,"&lt;&gt;Patrícia Karla de Sousa Araújo",$B:$B,"&lt;&gt;Lorena Dias de Araujo",$B:$B,"&lt;&gt;Lucas Luiz Romero")*(35/1083),IF(C2814="Técnico II",SUMIFS($D:$D,$A:$A,$A2814,$B:$B,"&lt;&gt;Patrícia Karla de Sousa Araújo",$B:$B,"&lt;&gt;Lorena Dias de Araujo",$B:$B,"&lt;&gt;Lucas Luiz Romero")*(28/1083),IF(C2814="Técnico I",SUMIFS($D:$D,$A:$A,$A2814,$B:$B,"&lt;&gt;Patrícia Karla de Sousa Araújo",$B:$B,"&lt;&gt;Lorena Dias de Araujo",$B:$B,"&lt;&gt;Lucas Luiz Romero")*(23/1083),IF(C2814="JR",SUMIFS($D:$D,$A:$A,$A2814,$B:$B,"&lt;&gt;Patrícia Karla de Sousa Araújo",$B:$B,"&lt;&gt;Lorena Dias de Araujo",$B:$B,"&lt;&gt;Lucas Luiz Romero")*(20/1083),IF(C2814="Estágio",SUMIFS($D:$D,$A:$A,$A2814,$B:$B,"&lt;&gt;Patrícia Karla de Sousa Araújo",$B:$B,"&lt;&gt;Lorena Dias de Araujo",$B:$B,"&lt;&gt;Lucas Luiz Romero")*(10/1083),0)))))),0)</f>
        <v/>
      </c>
      <c r="K2814" s="3">
        <f>I2814-J2814</f>
        <v/>
      </c>
      <c r="L2814" s="3">
        <f>IF(K2814&lt;-5,"CRÍTICO",IF(K2814&lt;0,"ATENÇÃO",IF(K2814&lt;=5,"OPORTUNO","MUITO BOM")))</f>
        <v/>
      </c>
      <c r="N2814" t="n">
        <v>97.78</v>
      </c>
      <c r="O2814" t="n">
        <v>25.49407114624506</v>
      </c>
    </row>
    <row r="2815" hidden="1">
      <c r="A2815" s="11" t="n">
        <v>46090</v>
      </c>
      <c r="B2815" t="inlineStr">
        <is>
          <t>Francilene Ferreira de Jesus</t>
        </is>
      </c>
      <c r="C2815" t="inlineStr">
        <is>
          <t>Técnico II</t>
        </is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s="3" t="n">
        <v>0</v>
      </c>
      <c r="J2815" s="3" t="n">
        <v>0</v>
      </c>
      <c r="K2815" s="3" t="n">
        <v>0</v>
      </c>
      <c r="L2815" s="3">
        <f>IF(K2815&lt;-5,"CRÍTICO",IF(K2815&lt;0,"ATENÇÃO",IF(K2815&lt;=5,"OPORTUNO","MUITO BOM")))</f>
        <v/>
      </c>
      <c r="N2815" t="n">
        <v>98.02</v>
      </c>
      <c r="O2815" t="n">
        <v>23.48484848484848</v>
      </c>
    </row>
    <row r="2816" hidden="1">
      <c r="A2816" s="11" t="n">
        <v>46122</v>
      </c>
      <c r="B2816" t="inlineStr">
        <is>
          <t>Gabriel Gomes de Andrade</t>
        </is>
      </c>
      <c r="C2816" t="inlineStr">
        <is>
          <t>Técnico I</t>
        </is>
      </c>
      <c r="D2816" t="n">
        <v>28</v>
      </c>
      <c r="E2816" t="n">
        <v>21</v>
      </c>
      <c r="F2816" t="n">
        <v>12.14</v>
      </c>
      <c r="G2816" t="n">
        <v>0</v>
      </c>
      <c r="H2816" t="n">
        <v>0</v>
      </c>
      <c r="I2816" s="3">
        <f>E2816+G2816+H2816</f>
        <v/>
      </c>
      <c r="J2816" s="3">
        <f>ROUND(MIN(IF(C2816="Técnico III",35,IF(C2816="Técnico II",28,IF(C2816="Técnico I",23,IF(C2816="JR",20,IF(C2816="Estágio",10,0))))),IF(C2816="Técnico III",SUMIFS($D:$D,$A:$A,$A2816,$B:$B,"&lt;&gt;Patrícia Karla de Sousa Araújo",$B:$B,"&lt;&gt;Lorena Dias de Araujo",$B:$B,"&lt;&gt;Lucas Luiz Romero")*(35/1083),IF(C2816="Técnico II",SUMIFS($D:$D,$A:$A,$A2816,$B:$B,"&lt;&gt;Patrícia Karla de Sousa Araújo",$B:$B,"&lt;&gt;Lorena Dias de Araujo",$B:$B,"&lt;&gt;Lucas Luiz Romero")*(28/1083),IF(C2816="Técnico I",SUMIFS($D:$D,$A:$A,$A2816,$B:$B,"&lt;&gt;Patrícia Karla de Sousa Araújo",$B:$B,"&lt;&gt;Lorena Dias de Araujo",$B:$B,"&lt;&gt;Lucas Luiz Romero")*(23/1083),IF(C2816="JR",SUMIFS($D:$D,$A:$A,$A2816,$B:$B,"&lt;&gt;Patrícia Karla de Sousa Araújo",$B:$B,"&lt;&gt;Lorena Dias de Araujo",$B:$B,"&lt;&gt;Lucas Luiz Romero")*(20/1083),IF(C2816="Estágio",SUMIFS($D:$D,$A:$A,$A2816,$B:$B,"&lt;&gt;Patrícia Karla de Sousa Araújo",$B:$B,"&lt;&gt;Lorena Dias de Araujo",$B:$B,"&lt;&gt;Lucas Luiz Romero")*(10/1083),0)))))),0)</f>
        <v/>
      </c>
      <c r="K2816" s="3">
        <f>I2816-J2816</f>
        <v/>
      </c>
      <c r="L2816" s="3">
        <f>IF(K2816&lt;-5,"CRÍTICO",IF(K2816&lt;0,"ATENÇÃO",IF(K2816&lt;=5,"OPORTUNO","MUITO BOM")))</f>
        <v/>
      </c>
      <c r="N2816" t="n">
        <v>99.28</v>
      </c>
      <c r="O2816" t="n">
        <v>27.68924302788844</v>
      </c>
    </row>
    <row r="2817" hidden="1">
      <c r="A2817" s="11" t="n">
        <v>46090</v>
      </c>
      <c r="B2817" t="inlineStr">
        <is>
          <t>Isabella Borges de Oliveira</t>
        </is>
      </c>
      <c r="C2817" t="inlineStr">
        <is>
          <t>Técnico II</t>
        </is>
      </c>
      <c r="D2817" t="n">
        <v>19</v>
      </c>
      <c r="E2817" t="n">
        <v>17</v>
      </c>
      <c r="F2817" t="n">
        <v>25.53</v>
      </c>
      <c r="G2817" t="n">
        <v>0</v>
      </c>
      <c r="H2817" t="n">
        <v>0</v>
      </c>
      <c r="I2817" s="3">
        <f>E2817+G2817+H2817</f>
        <v/>
      </c>
      <c r="J2817" s="3">
        <f>ROUND(MIN(IF(C2817="Técnico III",35,IF(C2817="Técnico II",28,IF(C2817="Técnico I",23,IF(C2817="JR",20,IF(C2817="Estágio",10,0))))),IF(C2817="Técnico III",SUMIFS($D:$D,$A:$A,$A2817,$B:$B,"&lt;&gt;Patrícia Karla de Sousa Araújo",$B:$B,"&lt;&gt;Lorena Dias de Araujo",$B:$B,"&lt;&gt;Lucas Luiz Romero")*(35/1083),IF(C2817="Técnico II",SUMIFS($D:$D,$A:$A,$A2817,$B:$B,"&lt;&gt;Patrícia Karla de Sousa Araújo",$B:$B,"&lt;&gt;Lorena Dias de Araujo",$B:$B,"&lt;&gt;Lucas Luiz Romero")*(28/1083),IF(C2817="Técnico I",SUMIFS($D:$D,$A:$A,$A2817,$B:$B,"&lt;&gt;Patrícia Karla de Sousa Araújo",$B:$B,"&lt;&gt;Lorena Dias de Araujo",$B:$B,"&lt;&gt;Lucas Luiz Romero")*(23/1083),IF(C2817="JR",SUMIFS($D:$D,$A:$A,$A2817,$B:$B,"&lt;&gt;Patrícia Karla de Sousa Araújo",$B:$B,"&lt;&gt;Lorena Dias de Araujo",$B:$B,"&lt;&gt;Lucas Luiz Romero")*(20/1083),IF(C2817="Estágio",SUMIFS($D:$D,$A:$A,$A2817,$B:$B,"&lt;&gt;Patrícia Karla de Sousa Araújo",$B:$B,"&lt;&gt;Lorena Dias de Araujo",$B:$B,"&lt;&gt;Lucas Luiz Romero")*(10/1083),0)))))),0)</f>
        <v/>
      </c>
      <c r="K2817" s="3">
        <f>I2817-J2817</f>
        <v/>
      </c>
      <c r="L2817" s="3">
        <f>IF(K2817&lt;-5,"CRÍTICO",IF(K2817&lt;0,"ATENÇÃO",IF(K2817&lt;=5,"OPORTUNO","MUITO BOM")))</f>
        <v/>
      </c>
      <c r="N2817" t="n">
        <v>100</v>
      </c>
      <c r="O2817" t="n">
        <v>27.04918032786885</v>
      </c>
    </row>
    <row r="2818" hidden="1">
      <c r="A2818" s="11" t="n">
        <v>46090</v>
      </c>
      <c r="B2818" t="inlineStr">
        <is>
          <t>Janaina Lima dos Reis Urany</t>
        </is>
      </c>
      <c r="C2818" t="inlineStr">
        <is>
          <t>Técnico III</t>
        </is>
      </c>
      <c r="D2818" t="n">
        <v>43</v>
      </c>
      <c r="E2818" t="n">
        <v>39</v>
      </c>
      <c r="F2818" t="n">
        <v>15.06</v>
      </c>
      <c r="G2818" t="n">
        <v>0</v>
      </c>
      <c r="H2818" t="n">
        <v>0</v>
      </c>
      <c r="I2818" s="3">
        <f>E2818+G2818+H2818</f>
        <v/>
      </c>
      <c r="J2818" s="3">
        <f>ROUND(MIN(IF(C2818="Técnico III",35,IF(C2818="Técnico II",28,IF(C2818="Técnico I",23,IF(C2818="JR",20,IF(C2818="Estágio",10,0))))),IF(C2818="Técnico III",SUMIFS($D:$D,$A:$A,$A2818,$B:$B,"&lt;&gt;Patrícia Karla de Sousa Araújo",$B:$B,"&lt;&gt;Lorena Dias de Araujo",$B:$B,"&lt;&gt;Lucas Luiz Romero")*(35/1083),IF(C2818="Técnico II",SUMIFS($D:$D,$A:$A,$A2818,$B:$B,"&lt;&gt;Patrícia Karla de Sousa Araújo",$B:$B,"&lt;&gt;Lorena Dias de Araujo",$B:$B,"&lt;&gt;Lucas Luiz Romero")*(28/1083),IF(C2818="Técnico I",SUMIFS($D:$D,$A:$A,$A2818,$B:$B,"&lt;&gt;Patrícia Karla de Sousa Araújo",$B:$B,"&lt;&gt;Lorena Dias de Araujo",$B:$B,"&lt;&gt;Lucas Luiz Romero")*(23/1083),IF(C2818="JR",SUMIFS($D:$D,$A:$A,$A2818,$B:$B,"&lt;&gt;Patrícia Karla de Sousa Araújo",$B:$B,"&lt;&gt;Lorena Dias de Araujo",$B:$B,"&lt;&gt;Lucas Luiz Romero")*(20/1083),IF(C2818="Estágio",SUMIFS($D:$D,$A:$A,$A2818,$B:$B,"&lt;&gt;Patrícia Karla de Sousa Araújo",$B:$B,"&lt;&gt;Lorena Dias de Araujo",$B:$B,"&lt;&gt;Lucas Luiz Romero")*(10/1083),0)))))),0)</f>
        <v/>
      </c>
      <c r="K2818" s="3">
        <f>I2818-J2818</f>
        <v/>
      </c>
      <c r="L2818" s="3">
        <f>IF(K2818&lt;-5,"CRÍTICO",IF(K2818&lt;0,"ATENÇÃO",IF(K2818&lt;=5,"OPORTUNO","MUITO BOM")))</f>
        <v/>
      </c>
      <c r="N2818" t="n">
        <v>97.83</v>
      </c>
      <c r="O2818" t="n">
        <v>26.31578947368421</v>
      </c>
    </row>
    <row r="2819" hidden="1">
      <c r="A2819" s="11" t="n">
        <v>46090</v>
      </c>
      <c r="B2819" t="inlineStr">
        <is>
          <t>Jaqueline Evangelista da Silva Martins</t>
        </is>
      </c>
      <c r="C2819" t="inlineStr">
        <is>
          <t>Técnico III</t>
        </is>
      </c>
      <c r="D2819" t="n">
        <v>3</v>
      </c>
      <c r="E2819" t="n">
        <v>3</v>
      </c>
      <c r="F2819" t="n">
        <v>28.33</v>
      </c>
      <c r="G2819" t="n">
        <v>0</v>
      </c>
      <c r="H2819" t="n">
        <v>0</v>
      </c>
      <c r="I2819" s="3">
        <f>E2819+G2819+H2819</f>
        <v/>
      </c>
      <c r="J2819" s="3">
        <f>ROUND(MIN(IF(C2819="Técnico III",35,IF(C2819="Técnico II",28,IF(C2819="Técnico I",23,IF(C2819="JR",20,IF(C2819="Estágio",10,0))))),IF(C2819="Técnico III",SUMIFS($D:$D,$A:$A,$A2819,$B:$B,"&lt;&gt;Patrícia Karla de Sousa Araújo",$B:$B,"&lt;&gt;Lorena Dias de Araujo",$B:$B,"&lt;&gt;Lucas Luiz Romero")*(35/1083),IF(C2819="Técnico II",SUMIFS($D:$D,$A:$A,$A2819,$B:$B,"&lt;&gt;Patrícia Karla de Sousa Araújo",$B:$B,"&lt;&gt;Lorena Dias de Araujo",$B:$B,"&lt;&gt;Lucas Luiz Romero")*(28/1083),IF(C2819="Técnico I",SUMIFS($D:$D,$A:$A,$A2819,$B:$B,"&lt;&gt;Patrícia Karla de Sousa Araújo",$B:$B,"&lt;&gt;Lorena Dias de Araujo",$B:$B,"&lt;&gt;Lucas Luiz Romero")*(23/1083),IF(C2819="JR",SUMIFS($D:$D,$A:$A,$A2819,$B:$B,"&lt;&gt;Patrícia Karla de Sousa Araújo",$B:$B,"&lt;&gt;Lorena Dias de Araujo",$B:$B,"&lt;&gt;Lucas Luiz Romero")*(20/1083),IF(C2819="Estágio",SUMIFS($D:$D,$A:$A,$A2819,$B:$B,"&lt;&gt;Patrícia Karla de Sousa Araújo",$B:$B,"&lt;&gt;Lorena Dias de Araujo",$B:$B,"&lt;&gt;Lucas Luiz Romero")*(10/1083),0)))))),0)</f>
        <v/>
      </c>
      <c r="K2819" s="3">
        <f>I2819-J2819</f>
        <v/>
      </c>
      <c r="L2819" s="3">
        <f>IF(K2819&lt;-5,"CRÍTICO",IF(K2819&lt;0,"ATENÇÃO",IF(K2819&lt;=5,"OPORTUNO","MUITO BOM")))</f>
        <v/>
      </c>
      <c r="N2819" t="n">
        <v>100</v>
      </c>
      <c r="O2819" t="n">
        <v>26.70157068062827</v>
      </c>
    </row>
    <row r="2820" hidden="1">
      <c r="A2820" s="11" t="n">
        <v>46090</v>
      </c>
      <c r="B2820" t="inlineStr">
        <is>
          <t>Jessica Faria da Silveira</t>
        </is>
      </c>
      <c r="C2820" t="inlineStr">
        <is>
          <t>Técnico II</t>
        </is>
      </c>
      <c r="D2820" t="n">
        <v>29</v>
      </c>
      <c r="E2820" t="n">
        <v>26</v>
      </c>
      <c r="F2820" t="n">
        <v>18.26</v>
      </c>
      <c r="G2820" t="n">
        <v>0</v>
      </c>
      <c r="H2820" t="n">
        <v>0</v>
      </c>
      <c r="I2820" s="3">
        <f>E2820+G2820+H2820</f>
        <v/>
      </c>
      <c r="J2820" s="3">
        <f>ROUND(MIN(IF(C2820="Técnico III",35,IF(C2820="Técnico II",28,IF(C2820="Técnico I",23,IF(C2820="JR",20,IF(C2820="Estágio",10,0))))),IF(C2820="Técnico III",SUMIFS($D:$D,$A:$A,$A2820,$B:$B,"&lt;&gt;Patrícia Karla de Sousa Araújo",$B:$B,"&lt;&gt;Lorena Dias de Araujo",$B:$B,"&lt;&gt;Lucas Luiz Romero")*(35/1083),IF(C2820="Técnico II",SUMIFS($D:$D,$A:$A,$A2820,$B:$B,"&lt;&gt;Patrícia Karla de Sousa Araújo",$B:$B,"&lt;&gt;Lorena Dias de Araujo",$B:$B,"&lt;&gt;Lucas Luiz Romero")*(28/1083),IF(C2820="Técnico I",SUMIFS($D:$D,$A:$A,$A2820,$B:$B,"&lt;&gt;Patrícia Karla de Sousa Araújo",$B:$B,"&lt;&gt;Lorena Dias de Araujo",$B:$B,"&lt;&gt;Lucas Luiz Romero")*(23/1083),IF(C2820="JR",SUMIFS($D:$D,$A:$A,$A2820,$B:$B,"&lt;&gt;Patrícia Karla de Sousa Araújo",$B:$B,"&lt;&gt;Lorena Dias de Araujo",$B:$B,"&lt;&gt;Lucas Luiz Romero")*(20/1083),IF(C2820="Estágio",SUMIFS($D:$D,$A:$A,$A2820,$B:$B,"&lt;&gt;Patrícia Karla de Sousa Araújo",$B:$B,"&lt;&gt;Lorena Dias de Araujo",$B:$B,"&lt;&gt;Lucas Luiz Romero")*(10/1083),0)))))),0)</f>
        <v/>
      </c>
      <c r="K2820" s="3">
        <f>I2820-J2820</f>
        <v/>
      </c>
      <c r="L2820" s="3">
        <f>IF(K2820&lt;-5,"CRÍTICO",IF(K2820&lt;0,"ATENÇÃO",IF(K2820&lt;=5,"OPORTUNO","MUITO BOM")))</f>
        <v/>
      </c>
      <c r="N2820" t="n">
        <v>97.47</v>
      </c>
      <c r="O2820" t="n">
        <v>22.88732394366197</v>
      </c>
    </row>
    <row r="2821" hidden="1">
      <c r="A2821" s="11" t="n">
        <v>46090</v>
      </c>
      <c r="B2821" t="inlineStr">
        <is>
          <t>Jéssica Fé Moura</t>
        </is>
      </c>
      <c r="C2821" t="inlineStr">
        <is>
          <t>Técnico III</t>
        </is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s="3" t="n">
        <v>0</v>
      </c>
      <c r="J2821" s="3" t="n">
        <v>0</v>
      </c>
      <c r="K2821" s="3" t="n">
        <v>0</v>
      </c>
      <c r="L2821" s="3">
        <f>IF(K2821&lt;-5,"CRÍTICO",IF(K2821&lt;0,"ATENÇÃO",IF(K2821&lt;=5,"OPORTUNO","MUITO BOM")))</f>
        <v/>
      </c>
      <c r="N2821" t="n">
        <v>0</v>
      </c>
      <c r="O2821" t="n">
        <v>0</v>
      </c>
    </row>
    <row r="2822" hidden="1">
      <c r="A2822" s="11" t="n">
        <v>46090</v>
      </c>
      <c r="B2822" t="inlineStr">
        <is>
          <t>Karina Gonçalves Martins</t>
        </is>
      </c>
      <c r="C2822" t="inlineStr">
        <is>
          <t>JR</t>
        </is>
      </c>
      <c r="D2822" t="n">
        <v>8</v>
      </c>
      <c r="E2822" t="n">
        <v>8</v>
      </c>
      <c r="F2822" t="n">
        <v>35.03</v>
      </c>
      <c r="G2822" t="n">
        <v>0</v>
      </c>
      <c r="H2822" t="n">
        <v>0</v>
      </c>
      <c r="I2822" s="3">
        <f>E2822+G2822+H2822</f>
        <v/>
      </c>
      <c r="J2822" s="3">
        <f>ROUND(MIN(IF(C2822="Técnico III",35,IF(C2822="Técnico II",28,IF(C2822="Técnico I",23,IF(C2822="JR",20,IF(C2822="Estágio",10,0))))),IF(C2822="Técnico III",SUMIFS($D:$D,$A:$A,$A2822,$B:$B,"&lt;&gt;Patrícia Karla de Sousa Araújo",$B:$B,"&lt;&gt;Lorena Dias de Araujo",$B:$B,"&lt;&gt;Lucas Luiz Romero")*(35/1083),IF(C2822="Técnico II",SUMIFS($D:$D,$A:$A,$A2822,$B:$B,"&lt;&gt;Patrícia Karla de Sousa Araújo",$B:$B,"&lt;&gt;Lorena Dias de Araujo",$B:$B,"&lt;&gt;Lucas Luiz Romero")*(28/1083),IF(C2822="Técnico I",SUMIFS($D:$D,$A:$A,$A2822,$B:$B,"&lt;&gt;Patrícia Karla de Sousa Araújo",$B:$B,"&lt;&gt;Lorena Dias de Araujo",$B:$B,"&lt;&gt;Lucas Luiz Romero")*(23/1083),IF(C2822="JR",SUMIFS($D:$D,$A:$A,$A2822,$B:$B,"&lt;&gt;Patrícia Karla de Sousa Araújo",$B:$B,"&lt;&gt;Lorena Dias de Araujo",$B:$B,"&lt;&gt;Lucas Luiz Romero")*(20/1083),IF(C2822="Estágio",SUMIFS($D:$D,$A:$A,$A2822,$B:$B,"&lt;&gt;Patrícia Karla de Sousa Araújo",$B:$B,"&lt;&gt;Lorena Dias de Araujo",$B:$B,"&lt;&gt;Lucas Luiz Romero")*(10/1083),0)))))),0)</f>
        <v/>
      </c>
      <c r="K2822" s="3">
        <f>I2822-J2822</f>
        <v/>
      </c>
      <c r="L2822" s="3">
        <f>IF(K2822&lt;-5,"CRÍTICO",IF(K2822&lt;0,"ATENÇÃO",IF(K2822&lt;=5,"OPORTUNO","MUITO BOM")))</f>
        <v/>
      </c>
      <c r="N2822" t="n">
        <v>98.31</v>
      </c>
      <c r="O2822" t="n">
        <v>24.92012779552715</v>
      </c>
    </row>
    <row r="2823" hidden="1">
      <c r="A2823" s="11" t="n">
        <v>46090</v>
      </c>
      <c r="B2823" t="inlineStr">
        <is>
          <t>Kerollen Cristielly de Jesus Siqueira</t>
        </is>
      </c>
      <c r="C2823" t="inlineStr">
        <is>
          <t>Técnico III</t>
        </is>
      </c>
      <c r="D2823" t="n">
        <v>15</v>
      </c>
      <c r="E2823" t="n">
        <v>14</v>
      </c>
      <c r="F2823" t="n">
        <v>26.47</v>
      </c>
      <c r="G2823" t="n">
        <v>0</v>
      </c>
      <c r="H2823" t="n">
        <v>0</v>
      </c>
      <c r="I2823" s="3">
        <f>E2823+G2823+H2823</f>
        <v/>
      </c>
      <c r="J2823" s="3">
        <f>ROUND(MIN(IF(C2823="Técnico III",35,IF(C2823="Técnico II",28,IF(C2823="Técnico I",23,IF(C2823="JR",20,IF(C2823="Estágio",10,0))))),IF(C2823="Técnico III",SUMIFS($D:$D,$A:$A,$A2823,$B:$B,"&lt;&gt;Patrícia Karla de Sousa Araújo",$B:$B,"&lt;&gt;Lorena Dias de Araujo",$B:$B,"&lt;&gt;Lucas Luiz Romero")*(35/1083),IF(C2823="Técnico II",SUMIFS($D:$D,$A:$A,$A2823,$B:$B,"&lt;&gt;Patrícia Karla de Sousa Araújo",$B:$B,"&lt;&gt;Lorena Dias de Araujo",$B:$B,"&lt;&gt;Lucas Luiz Romero")*(28/1083),IF(C2823="Técnico I",SUMIFS($D:$D,$A:$A,$A2823,$B:$B,"&lt;&gt;Patrícia Karla de Sousa Araújo",$B:$B,"&lt;&gt;Lorena Dias de Araujo",$B:$B,"&lt;&gt;Lucas Luiz Romero")*(23/1083),IF(C2823="JR",SUMIFS($D:$D,$A:$A,$A2823,$B:$B,"&lt;&gt;Patrícia Karla de Sousa Araújo",$B:$B,"&lt;&gt;Lorena Dias de Araujo",$B:$B,"&lt;&gt;Lucas Luiz Romero")*(20/1083),IF(C2823="Estágio",SUMIFS($D:$D,$A:$A,$A2823,$B:$B,"&lt;&gt;Patrícia Karla de Sousa Araújo",$B:$B,"&lt;&gt;Lorena Dias de Araujo",$B:$B,"&lt;&gt;Lucas Luiz Romero")*(10/1083),0)))))),0)</f>
        <v/>
      </c>
      <c r="K2823" s="3">
        <f>I2823-J2823</f>
        <v/>
      </c>
      <c r="L2823" s="3">
        <f>IF(K2823&lt;-5,"CRÍTICO",IF(K2823&lt;0,"ATENÇÃO",IF(K2823&lt;=5,"OPORTUNO","MUITO BOM")))</f>
        <v/>
      </c>
      <c r="N2823" t="n">
        <v>96.81</v>
      </c>
      <c r="O2823" t="n">
        <v>32.36514522821577</v>
      </c>
    </row>
    <row r="2824" hidden="1">
      <c r="A2824" s="11" t="n">
        <v>46090</v>
      </c>
      <c r="B2824" t="inlineStr">
        <is>
          <t>Leandro de Souza Silva</t>
        </is>
      </c>
      <c r="C2824" t="inlineStr">
        <is>
          <t>JR</t>
        </is>
      </c>
      <c r="D2824" t="n">
        <v>5</v>
      </c>
      <c r="E2824" t="n">
        <v>5</v>
      </c>
      <c r="F2824" t="n">
        <v>43.59</v>
      </c>
      <c r="G2824" t="n">
        <v>0</v>
      </c>
      <c r="H2824" t="n">
        <v>0</v>
      </c>
      <c r="I2824" s="3">
        <f>E2824+G2824+H2824</f>
        <v/>
      </c>
      <c r="J2824" s="3">
        <f>ROUND(MIN(IF(C2824="Técnico III",35,IF(C2824="Técnico II",28,IF(C2824="Técnico I",23,IF(C2824="JR",20,IF(C2824="Estágio",10,0))))),IF(C2824="Técnico III",SUMIFS($D:$D,$A:$A,$A2824,$B:$B,"&lt;&gt;Patrícia Karla de Sousa Araújo",$B:$B,"&lt;&gt;Lorena Dias de Araujo",$B:$B,"&lt;&gt;Lucas Luiz Romero")*(35/1083),IF(C2824="Técnico II",SUMIFS($D:$D,$A:$A,$A2824,$B:$B,"&lt;&gt;Patrícia Karla de Sousa Araújo",$B:$B,"&lt;&gt;Lorena Dias de Araujo",$B:$B,"&lt;&gt;Lucas Luiz Romero")*(28/1083),IF(C2824="Técnico I",SUMIFS($D:$D,$A:$A,$A2824,$B:$B,"&lt;&gt;Patrícia Karla de Sousa Araújo",$B:$B,"&lt;&gt;Lorena Dias de Araujo",$B:$B,"&lt;&gt;Lucas Luiz Romero")*(23/1083),IF(C2824="JR",SUMIFS($D:$D,$A:$A,$A2824,$B:$B,"&lt;&gt;Patrícia Karla de Sousa Araújo",$B:$B,"&lt;&gt;Lorena Dias de Araujo",$B:$B,"&lt;&gt;Lucas Luiz Romero")*(20/1083),IF(C2824="Estágio",SUMIFS($D:$D,$A:$A,$A2824,$B:$B,"&lt;&gt;Patrícia Karla de Sousa Araújo",$B:$B,"&lt;&gt;Lorena Dias de Araujo",$B:$B,"&lt;&gt;Lucas Luiz Romero")*(10/1083),0)))))),0)</f>
        <v/>
      </c>
      <c r="K2824" s="3">
        <f>I2824-J2824</f>
        <v/>
      </c>
      <c r="L2824" s="3">
        <f>IF(K2824&lt;-5,"CRÍTICO",IF(K2824&lt;0,"ATENÇÃO",IF(K2824&lt;=5,"OPORTUNO","MUITO BOM")))</f>
        <v/>
      </c>
      <c r="N2824" t="n">
        <v>100</v>
      </c>
      <c r="O2824" t="n">
        <v>26.47058823529412</v>
      </c>
    </row>
    <row r="2825" hidden="1">
      <c r="A2825" s="11" t="n">
        <v>46090</v>
      </c>
      <c r="B2825" t="inlineStr">
        <is>
          <t>Leandro Oliveira de Sousa</t>
        </is>
      </c>
      <c r="C2825" t="inlineStr">
        <is>
          <t>Técnico III</t>
        </is>
      </c>
      <c r="D2825" t="n">
        <v>7</v>
      </c>
      <c r="E2825" t="n">
        <v>7</v>
      </c>
      <c r="F2825" t="n">
        <v>17.12</v>
      </c>
      <c r="G2825" t="n">
        <v>0</v>
      </c>
      <c r="H2825" t="n">
        <v>0</v>
      </c>
      <c r="I2825" s="3">
        <f>E2825+G2825+H2825</f>
        <v/>
      </c>
      <c r="J2825" s="3">
        <f>ROUND(MIN(IF(C2825="Técnico III",35,IF(C2825="Técnico II",28,IF(C2825="Técnico I",23,IF(C2825="JR",20,IF(C2825="Estágio",10,0))))),IF(C2825="Técnico III",SUMIFS($D:$D,$A:$A,$A2825,$B:$B,"&lt;&gt;Patrícia Karla de Sousa Araújo",$B:$B,"&lt;&gt;Lorena Dias de Araujo",$B:$B,"&lt;&gt;Lucas Luiz Romero")*(35/1083),IF(C2825="Técnico II",SUMIFS($D:$D,$A:$A,$A2825,$B:$B,"&lt;&gt;Patrícia Karla de Sousa Araújo",$B:$B,"&lt;&gt;Lorena Dias de Araujo",$B:$B,"&lt;&gt;Lucas Luiz Romero")*(28/1083),IF(C2825="Técnico I",SUMIFS($D:$D,$A:$A,$A2825,$B:$B,"&lt;&gt;Patrícia Karla de Sousa Araújo",$B:$B,"&lt;&gt;Lorena Dias de Araujo",$B:$B,"&lt;&gt;Lucas Luiz Romero")*(23/1083),IF(C2825="JR",SUMIFS($D:$D,$A:$A,$A2825,$B:$B,"&lt;&gt;Patrícia Karla de Sousa Araújo",$B:$B,"&lt;&gt;Lorena Dias de Araujo",$B:$B,"&lt;&gt;Lucas Luiz Romero")*(20/1083),IF(C2825="Estágio",SUMIFS($D:$D,$A:$A,$A2825,$B:$B,"&lt;&gt;Patrícia Karla de Sousa Araújo",$B:$B,"&lt;&gt;Lorena Dias de Araujo",$B:$B,"&lt;&gt;Lucas Luiz Romero")*(10/1083),0)))))),0)</f>
        <v/>
      </c>
      <c r="K2825" s="3">
        <f>I2825-J2825</f>
        <v/>
      </c>
      <c r="L2825" s="3">
        <f>IF(K2825&lt;-5,"CRÍTICO",IF(K2825&lt;0,"ATENÇÃO",IF(K2825&lt;=5,"OPORTUNO","MUITO BOM")))</f>
        <v/>
      </c>
      <c r="N2825" t="n">
        <v>100</v>
      </c>
      <c r="O2825" t="n">
        <v>28.49002849002849</v>
      </c>
    </row>
    <row r="2826" hidden="1">
      <c r="A2826" s="11" t="n">
        <v>46090</v>
      </c>
      <c r="B2826" t="inlineStr">
        <is>
          <t>Lizandra Gomes Duarte</t>
        </is>
      </c>
      <c r="C2826" t="inlineStr">
        <is>
          <t>Técnico II</t>
        </is>
      </c>
      <c r="D2826" t="n">
        <v>23</v>
      </c>
      <c r="E2826" t="n">
        <v>21</v>
      </c>
      <c r="F2826" t="n">
        <v>18.3</v>
      </c>
      <c r="G2826" t="n">
        <v>0</v>
      </c>
      <c r="H2826" t="n">
        <v>0</v>
      </c>
      <c r="I2826" s="3">
        <f>E2826+G2826+H2826</f>
        <v/>
      </c>
      <c r="J2826" s="3">
        <f>ROUND(MIN(IF(C2826="Técnico III",35,IF(C2826="Técnico II",28,IF(C2826="Técnico I",23,IF(C2826="JR",20,IF(C2826="Estágio",10,0))))),IF(C2826="Técnico III",SUMIFS($D:$D,$A:$A,$A2826,$B:$B,"&lt;&gt;Patrícia Karla de Sousa Araújo",$B:$B,"&lt;&gt;Lorena Dias de Araujo",$B:$B,"&lt;&gt;Lucas Luiz Romero")*(35/1083),IF(C2826="Técnico II",SUMIFS($D:$D,$A:$A,$A2826,$B:$B,"&lt;&gt;Patrícia Karla de Sousa Araújo",$B:$B,"&lt;&gt;Lorena Dias de Araujo",$B:$B,"&lt;&gt;Lucas Luiz Romero")*(28/1083),IF(C2826="Técnico I",SUMIFS($D:$D,$A:$A,$A2826,$B:$B,"&lt;&gt;Patrícia Karla de Sousa Araújo",$B:$B,"&lt;&gt;Lorena Dias de Araujo",$B:$B,"&lt;&gt;Lucas Luiz Romero")*(23/1083),IF(C2826="JR",SUMIFS($D:$D,$A:$A,$A2826,$B:$B,"&lt;&gt;Patrícia Karla de Sousa Araújo",$B:$B,"&lt;&gt;Lorena Dias de Araujo",$B:$B,"&lt;&gt;Lucas Luiz Romero")*(20/1083),IF(C2826="Estágio",SUMIFS($D:$D,$A:$A,$A2826,$B:$B,"&lt;&gt;Patrícia Karla de Sousa Araújo",$B:$B,"&lt;&gt;Lorena Dias de Araujo",$B:$B,"&lt;&gt;Lucas Luiz Romero")*(10/1083),0)))))),0)</f>
        <v/>
      </c>
      <c r="K2826" s="3">
        <f>I2826-J2826</f>
        <v/>
      </c>
      <c r="L2826" s="3">
        <f>IF(K2826&lt;-5,"CRÍTICO",IF(K2826&lt;0,"ATENÇÃO",IF(K2826&lt;=5,"OPORTUNO","MUITO BOM")))</f>
        <v/>
      </c>
      <c r="N2826" t="n">
        <v>99.14</v>
      </c>
      <c r="O2826" t="n">
        <v>27.2289156626506</v>
      </c>
    </row>
    <row r="2827" hidden="1">
      <c r="A2827" s="11" t="n">
        <v>46090</v>
      </c>
      <c r="B2827" t="inlineStr">
        <is>
          <t>Lorena Dias de Araujo</t>
        </is>
      </c>
      <c r="C2827" t="inlineStr">
        <is>
          <t>Técnico II</t>
        </is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s="3" t="n">
        <v>0</v>
      </c>
      <c r="J2827" s="3" t="n">
        <v>0</v>
      </c>
      <c r="K2827" s="3" t="n">
        <v>0</v>
      </c>
      <c r="L2827" s="3">
        <f>IF(K2827&lt;-5,"CRÍTICO",IF(K2827&lt;0,"ATENÇÃO",IF(K2827&lt;=5,"OPORTUNO","MUITO BOM")))</f>
        <v/>
      </c>
      <c r="N2827" t="n">
        <v>97.52</v>
      </c>
      <c r="O2827" t="n">
        <v>28.2051282051282</v>
      </c>
    </row>
    <row r="2828" hidden="1">
      <c r="A2828" s="11" t="n">
        <v>46090</v>
      </c>
      <c r="B2828" t="inlineStr">
        <is>
          <t>Lucas Luiz Romero</t>
        </is>
      </c>
      <c r="C2828" t="inlineStr">
        <is>
          <t>Técnico III</t>
        </is>
      </c>
      <c r="D2828" t="n">
        <v>31</v>
      </c>
      <c r="E2828" t="n">
        <v>24</v>
      </c>
      <c r="F2828" t="n">
        <v>20.45</v>
      </c>
      <c r="G2828" t="n">
        <v>0</v>
      </c>
      <c r="H2828" t="n">
        <v>0</v>
      </c>
      <c r="I2828" s="3">
        <f>E2828+G2828+H2828</f>
        <v/>
      </c>
      <c r="J2828" s="3">
        <f>ROUND(MIN(IF(C2828="Técnico III",35,IF(C2828="Técnico II",28,IF(C2828="Técnico I",23,IF(C2828="JR",20,IF(C2828="Estágio",10,0))))),IF(C2828="Técnico III",SUMIFS($D:$D,$A:$A,$A2828,$B:$B,"&lt;&gt;Patrícia Karla de Sousa Araújo",$B:$B,"&lt;&gt;Lorena Dias de Araujo",$B:$B,"&lt;&gt;Lucas Luiz Romero")*(35/1083),IF(C2828="Técnico II",SUMIFS($D:$D,$A:$A,$A2828,$B:$B,"&lt;&gt;Patrícia Karla de Sousa Araújo",$B:$B,"&lt;&gt;Lorena Dias de Araujo",$B:$B,"&lt;&gt;Lucas Luiz Romero")*(28/1083),IF(C2828="Técnico I",SUMIFS($D:$D,$A:$A,$A2828,$B:$B,"&lt;&gt;Patrícia Karla de Sousa Araújo",$B:$B,"&lt;&gt;Lorena Dias de Araujo",$B:$B,"&lt;&gt;Lucas Luiz Romero")*(23/1083),IF(C2828="JR",SUMIFS($D:$D,$A:$A,$A2828,$B:$B,"&lt;&gt;Patrícia Karla de Sousa Araújo",$B:$B,"&lt;&gt;Lorena Dias de Araujo",$B:$B,"&lt;&gt;Lucas Luiz Romero")*(20/1083),IF(C2828="Estágio",SUMIFS($D:$D,$A:$A,$A2828,$B:$B,"&lt;&gt;Patrícia Karla de Sousa Araújo",$B:$B,"&lt;&gt;Lorena Dias de Araujo",$B:$B,"&lt;&gt;Lucas Luiz Romero")*(10/1083),0)))))),0)</f>
        <v/>
      </c>
      <c r="K2828" s="3">
        <f>I2828-J2828</f>
        <v/>
      </c>
      <c r="L2828" s="3">
        <f>IF(K2828&lt;-5,"CRÍTICO",IF(K2828&lt;0,"ATENÇÃO",IF(K2828&lt;=5,"OPORTUNO","MUITO BOM")))</f>
        <v/>
      </c>
      <c r="N2828" t="n">
        <v>90</v>
      </c>
      <c r="O2828" t="n">
        <v>24.18604651162791</v>
      </c>
    </row>
    <row r="2829" hidden="1">
      <c r="A2829" s="11" t="n">
        <v>46090</v>
      </c>
      <c r="B2829" t="inlineStr">
        <is>
          <t>Luiz Fernando de Carvalho Junior</t>
        </is>
      </c>
      <c r="C2829" t="inlineStr">
        <is>
          <t>Técnico I</t>
        </is>
      </c>
      <c r="D2829" t="n">
        <v>23</v>
      </c>
      <c r="E2829" t="n">
        <v>23</v>
      </c>
      <c r="F2829" t="n">
        <v>23.52</v>
      </c>
      <c r="G2829" t="n">
        <v>0</v>
      </c>
      <c r="H2829" t="n">
        <v>0</v>
      </c>
      <c r="I2829" s="3">
        <f>E2829+G2829+H2829</f>
        <v/>
      </c>
      <c r="J2829" s="3">
        <f>ROUND(MIN(IF(C2829="Técnico III",35,IF(C2829="Técnico II",28,IF(C2829="Técnico I",23,IF(C2829="JR",20,IF(C2829="Estágio",10,0))))),IF(C2829="Técnico III",SUMIFS($D:$D,$A:$A,$A2829,$B:$B,"&lt;&gt;Patrícia Karla de Sousa Araújo",$B:$B,"&lt;&gt;Lorena Dias de Araujo",$B:$B,"&lt;&gt;Lucas Luiz Romero")*(35/1083),IF(C2829="Técnico II",SUMIFS($D:$D,$A:$A,$A2829,$B:$B,"&lt;&gt;Patrícia Karla de Sousa Araújo",$B:$B,"&lt;&gt;Lorena Dias de Araujo",$B:$B,"&lt;&gt;Lucas Luiz Romero")*(28/1083),IF(C2829="Técnico I",SUMIFS($D:$D,$A:$A,$A2829,$B:$B,"&lt;&gt;Patrícia Karla de Sousa Araújo",$B:$B,"&lt;&gt;Lorena Dias de Araujo",$B:$B,"&lt;&gt;Lucas Luiz Romero")*(23/1083),IF(C2829="JR",SUMIFS($D:$D,$A:$A,$A2829,$B:$B,"&lt;&gt;Patrícia Karla de Sousa Araújo",$B:$B,"&lt;&gt;Lorena Dias de Araujo",$B:$B,"&lt;&gt;Lucas Luiz Romero")*(20/1083),IF(C2829="Estágio",SUMIFS($D:$D,$A:$A,$A2829,$B:$B,"&lt;&gt;Patrícia Karla de Sousa Araújo",$B:$B,"&lt;&gt;Lorena Dias de Araujo",$B:$B,"&lt;&gt;Lucas Luiz Romero")*(10/1083),0)))))),0)</f>
        <v/>
      </c>
      <c r="K2829" s="3">
        <f>I2829-J2829</f>
        <v/>
      </c>
      <c r="L2829" s="3">
        <f>IF(K2829&lt;-5,"CRÍTICO",IF(K2829&lt;0,"ATENÇÃO",IF(K2829&lt;=5,"OPORTUNO","MUITO BOM")))</f>
        <v/>
      </c>
      <c r="N2829" t="n">
        <v>98.90000000000001</v>
      </c>
      <c r="O2829" t="n">
        <v>26.7639902676399</v>
      </c>
    </row>
    <row r="2830" hidden="1">
      <c r="A2830" s="11" t="n">
        <v>46090</v>
      </c>
      <c r="B2830" t="inlineStr">
        <is>
          <t>Maria Eduarda Sousa Costa</t>
        </is>
      </c>
      <c r="C2830" t="inlineStr">
        <is>
          <t>Estágio</t>
        </is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s="3" t="n">
        <v>0</v>
      </c>
      <c r="J2830" s="3" t="n">
        <v>0</v>
      </c>
      <c r="K2830" s="3" t="n">
        <v>0</v>
      </c>
      <c r="L2830" s="3">
        <f>IF(K2830&lt;-5,"CRÍTICO",IF(K2830&lt;0,"ATENÇÃO",IF(K2830&lt;=5,"OPORTUNO","MUITO BOM")))</f>
        <v/>
      </c>
      <c r="N2830" t="n">
        <v>88.89</v>
      </c>
      <c r="O2830" t="n">
        <v>25.26315789473684</v>
      </c>
    </row>
    <row r="2831" hidden="1">
      <c r="A2831" s="11" t="n">
        <v>46090</v>
      </c>
      <c r="B2831" t="inlineStr">
        <is>
          <t>Matheus Farias De Souza</t>
        </is>
      </c>
      <c r="C2831" t="inlineStr">
        <is>
          <t>Técnico III</t>
        </is>
      </c>
      <c r="D2831" t="n">
        <v>35</v>
      </c>
      <c r="E2831" t="n">
        <v>35</v>
      </c>
      <c r="F2831" t="n">
        <v>20.02</v>
      </c>
      <c r="G2831" t="n">
        <v>0</v>
      </c>
      <c r="H2831" t="n">
        <v>0</v>
      </c>
      <c r="I2831" s="3">
        <f>E2831+G2831+H2831</f>
        <v/>
      </c>
      <c r="J2831" s="3">
        <f>ROUND(MIN(IF(C2831="Técnico III",35,IF(C2831="Técnico II",28,IF(C2831="Técnico I",23,IF(C2831="JR",20,IF(C2831="Estágio",10,0))))),IF(C2831="Técnico III",SUMIFS($D:$D,$A:$A,$A2831,$B:$B,"&lt;&gt;Patrícia Karla de Sousa Araújo",$B:$B,"&lt;&gt;Lorena Dias de Araujo",$B:$B,"&lt;&gt;Lucas Luiz Romero")*(35/1083),IF(C2831="Técnico II",SUMIFS($D:$D,$A:$A,$A2831,$B:$B,"&lt;&gt;Patrícia Karla de Sousa Araújo",$B:$B,"&lt;&gt;Lorena Dias de Araujo",$B:$B,"&lt;&gt;Lucas Luiz Romero")*(28/1083),IF(C2831="Técnico I",SUMIFS($D:$D,$A:$A,$A2831,$B:$B,"&lt;&gt;Patrícia Karla de Sousa Araújo",$B:$B,"&lt;&gt;Lorena Dias de Araujo",$B:$B,"&lt;&gt;Lucas Luiz Romero")*(23/1083),IF(C2831="JR",SUMIFS($D:$D,$A:$A,$A2831,$B:$B,"&lt;&gt;Patrícia Karla de Sousa Araújo",$B:$B,"&lt;&gt;Lorena Dias de Araujo",$B:$B,"&lt;&gt;Lucas Luiz Romero")*(20/1083),IF(C2831="Estágio",SUMIFS($D:$D,$A:$A,$A2831,$B:$B,"&lt;&gt;Patrícia Karla de Sousa Araújo",$B:$B,"&lt;&gt;Lorena Dias de Araujo",$B:$B,"&lt;&gt;Lucas Luiz Romero")*(10/1083),0)))))),0)</f>
        <v/>
      </c>
      <c r="K2831" s="3">
        <f>I2831-J2831</f>
        <v/>
      </c>
      <c r="L2831" s="3">
        <f>IF(K2831&lt;-5,"CRÍTICO",IF(K2831&lt;0,"ATENÇÃO",IF(K2831&lt;=5,"OPORTUNO","MUITO BOM")))</f>
        <v/>
      </c>
      <c r="N2831" t="n">
        <v>98.86</v>
      </c>
      <c r="O2831" t="n">
        <v>28.95927601809955</v>
      </c>
    </row>
    <row r="2832" hidden="1">
      <c r="A2832" s="11" t="n">
        <v>46090</v>
      </c>
      <c r="B2832" t="inlineStr">
        <is>
          <t>Maysa Victoria Dias Moura</t>
        </is>
      </c>
      <c r="C2832" t="inlineStr">
        <is>
          <t>Técnico III</t>
        </is>
      </c>
      <c r="D2832" t="n">
        <v>27</v>
      </c>
      <c r="E2832" t="n">
        <v>23</v>
      </c>
      <c r="F2832" t="n">
        <v>19.06</v>
      </c>
      <c r="G2832" t="n">
        <v>0</v>
      </c>
      <c r="H2832" t="n">
        <v>0</v>
      </c>
      <c r="I2832" s="3">
        <f>E2832+G2832+H2832</f>
        <v/>
      </c>
      <c r="J2832" s="3">
        <f>ROUND(MIN(IF(C2832="Técnico III",35,IF(C2832="Técnico II",28,IF(C2832="Técnico I",23,IF(C2832="JR",20,IF(C2832="Estágio",10,0))))),IF(C2832="Técnico III",SUMIFS($D:$D,$A:$A,$A2832,$B:$B,"&lt;&gt;Patrícia Karla de Sousa Araújo",$B:$B,"&lt;&gt;Lorena Dias de Araujo",$B:$B,"&lt;&gt;Lucas Luiz Romero")*(35/1083),IF(C2832="Técnico II",SUMIFS($D:$D,$A:$A,$A2832,$B:$B,"&lt;&gt;Patrícia Karla de Sousa Araújo",$B:$B,"&lt;&gt;Lorena Dias de Araujo",$B:$B,"&lt;&gt;Lucas Luiz Romero")*(28/1083),IF(C2832="Técnico I",SUMIFS($D:$D,$A:$A,$A2832,$B:$B,"&lt;&gt;Patrícia Karla de Sousa Araújo",$B:$B,"&lt;&gt;Lorena Dias de Araujo",$B:$B,"&lt;&gt;Lucas Luiz Romero")*(23/1083),IF(C2832="JR",SUMIFS($D:$D,$A:$A,$A2832,$B:$B,"&lt;&gt;Patrícia Karla de Sousa Araújo",$B:$B,"&lt;&gt;Lorena Dias de Araujo",$B:$B,"&lt;&gt;Lucas Luiz Romero")*(20/1083),IF(C2832="Estágio",SUMIFS($D:$D,$A:$A,$A2832,$B:$B,"&lt;&gt;Patrícia Karla de Sousa Araújo",$B:$B,"&lt;&gt;Lorena Dias de Araujo",$B:$B,"&lt;&gt;Lucas Luiz Romero")*(10/1083),0)))))),0)</f>
        <v/>
      </c>
      <c r="K2832" s="3">
        <f>I2832-J2832</f>
        <v/>
      </c>
      <c r="L2832" s="3">
        <f>IF(K2832&lt;-5,"CRÍTICO",IF(K2832&lt;0,"ATENÇÃO",IF(K2832&lt;=5,"OPORTUNO","MUITO BOM")))</f>
        <v/>
      </c>
      <c r="N2832" t="n">
        <v>98.06</v>
      </c>
      <c r="O2832" t="n">
        <v>22.40566037735849</v>
      </c>
    </row>
    <row r="2833" hidden="1">
      <c r="A2833" s="11" t="n">
        <v>46090</v>
      </c>
      <c r="B2833" t="inlineStr">
        <is>
          <t>Michelle G Santos</t>
        </is>
      </c>
      <c r="C2833" t="inlineStr">
        <is>
          <t>Estágio</t>
        </is>
      </c>
      <c r="D2833" t="n">
        <v>3</v>
      </c>
      <c r="E2833" t="n">
        <v>3</v>
      </c>
      <c r="F2833" t="n">
        <v>90.51000000000001</v>
      </c>
      <c r="G2833" t="n">
        <v>0</v>
      </c>
      <c r="H2833" t="n">
        <v>0</v>
      </c>
      <c r="I2833" s="3">
        <f>E2833+G2833+H2833</f>
        <v/>
      </c>
      <c r="J2833" s="3">
        <f>ROUND(MIN(IF(C2833="Técnico III",35,IF(C2833="Técnico II",28,IF(C2833="Técnico I",23,IF(C2833="JR",20,IF(C2833="Estágio",10,0))))),IF(C2833="Técnico III",SUMIFS($D:$D,$A:$A,$A2833,$B:$B,"&lt;&gt;Patrícia Karla de Sousa Araújo",$B:$B,"&lt;&gt;Lorena Dias de Araujo",$B:$B,"&lt;&gt;Lucas Luiz Romero")*(35/1083),IF(C2833="Técnico II",SUMIFS($D:$D,$A:$A,$A2833,$B:$B,"&lt;&gt;Patrícia Karla de Sousa Araújo",$B:$B,"&lt;&gt;Lorena Dias de Araujo",$B:$B,"&lt;&gt;Lucas Luiz Romero")*(28/1083),IF(C2833="Técnico I",SUMIFS($D:$D,$A:$A,$A2833,$B:$B,"&lt;&gt;Patrícia Karla de Sousa Araújo",$B:$B,"&lt;&gt;Lorena Dias de Araujo",$B:$B,"&lt;&gt;Lucas Luiz Romero")*(23/1083),IF(C2833="JR",SUMIFS($D:$D,$A:$A,$A2833,$B:$B,"&lt;&gt;Patrícia Karla de Sousa Araújo",$B:$B,"&lt;&gt;Lorena Dias de Araujo",$B:$B,"&lt;&gt;Lucas Luiz Romero")*(20/1083),IF(C2833="Estágio",SUMIFS($D:$D,$A:$A,$A2833,$B:$B,"&lt;&gt;Patrícia Karla de Sousa Araújo",$B:$B,"&lt;&gt;Lorena Dias de Araujo",$B:$B,"&lt;&gt;Lucas Luiz Romero")*(10/1083),0)))))),0)</f>
        <v/>
      </c>
      <c r="K2833" s="3">
        <f>I2833-J2833</f>
        <v/>
      </c>
      <c r="L2833" s="3">
        <f>IF(K2833&lt;-5,"CRÍTICO",IF(K2833&lt;0,"ATENÇÃO",IF(K2833&lt;=5,"OPORTUNO","MUITO BOM")))</f>
        <v/>
      </c>
      <c r="N2833" t="n">
        <v>95.83</v>
      </c>
      <c r="O2833" t="n">
        <v>25.77319587628866</v>
      </c>
    </row>
    <row r="2834" hidden="1">
      <c r="A2834" s="11" t="n">
        <v>46090</v>
      </c>
      <c r="B2834" t="inlineStr">
        <is>
          <t>Milena Sales</t>
        </is>
      </c>
      <c r="C2834" t="inlineStr">
        <is>
          <t>JR</t>
        </is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s="3" t="n">
        <v>0</v>
      </c>
      <c r="J2834" s="3" t="n">
        <v>0</v>
      </c>
      <c r="K2834" s="3" t="n">
        <v>0</v>
      </c>
      <c r="L2834" s="3">
        <f>IF(K2834&lt;-5,"CRÍTICO",IF(K2834&lt;0,"ATENÇÃO",IF(K2834&lt;=5,"OPORTUNO","MUITO BOM")))</f>
        <v/>
      </c>
      <c r="N2834" t="n">
        <v>100</v>
      </c>
      <c r="O2834" t="n">
        <v>15.38461538461539</v>
      </c>
    </row>
    <row r="2835" hidden="1">
      <c r="A2835" s="11" t="n">
        <v>46090</v>
      </c>
      <c r="B2835" t="inlineStr">
        <is>
          <t>Patrícia Karla de Sousa Araújo</t>
        </is>
      </c>
      <c r="C2835" t="inlineStr">
        <is>
          <t>Técnico II</t>
        </is>
      </c>
      <c r="D2835" t="n">
        <v>15</v>
      </c>
      <c r="E2835" t="n">
        <v>14</v>
      </c>
      <c r="F2835" t="n">
        <v>33.32</v>
      </c>
      <c r="G2835" t="n">
        <v>0</v>
      </c>
      <c r="H2835" t="n">
        <v>0</v>
      </c>
      <c r="I2835" s="3">
        <f>E2835+G2835+H2835</f>
        <v/>
      </c>
      <c r="J2835" s="3">
        <f>ROUND(MIN(IF(C2835="Técnico III",35,IF(C2835="Técnico II",28,IF(C2835="Técnico I",23,IF(C2835="JR",20,IF(C2835="Estágio",10,0))))),IF(C2835="Técnico III",SUMIFS($D:$D,$A:$A,$A2835,$B:$B,"&lt;&gt;Patrícia Karla de Sousa Araújo",$B:$B,"&lt;&gt;Lorena Dias de Araujo",$B:$B,"&lt;&gt;Lucas Luiz Romero")*(35/1083),IF(C2835="Técnico II",SUMIFS($D:$D,$A:$A,$A2835,$B:$B,"&lt;&gt;Patrícia Karla de Sousa Araújo",$B:$B,"&lt;&gt;Lorena Dias de Araujo",$B:$B,"&lt;&gt;Lucas Luiz Romero")*(28/1083),IF(C2835="Técnico I",SUMIFS($D:$D,$A:$A,$A2835,$B:$B,"&lt;&gt;Patrícia Karla de Sousa Araújo",$B:$B,"&lt;&gt;Lorena Dias de Araujo",$B:$B,"&lt;&gt;Lucas Luiz Romero")*(23/1083),IF(C2835="JR",SUMIFS($D:$D,$A:$A,$A2835,$B:$B,"&lt;&gt;Patrícia Karla de Sousa Araújo",$B:$B,"&lt;&gt;Lorena Dias de Araujo",$B:$B,"&lt;&gt;Lucas Luiz Romero")*(20/1083),IF(C2835="Estágio",SUMIFS($D:$D,$A:$A,$A2835,$B:$B,"&lt;&gt;Patrícia Karla de Sousa Araújo",$B:$B,"&lt;&gt;Lorena Dias de Araujo",$B:$B,"&lt;&gt;Lucas Luiz Romero")*(10/1083),0)))))),0)</f>
        <v/>
      </c>
      <c r="K2835" s="3">
        <f>I2835-J2835</f>
        <v/>
      </c>
      <c r="L2835" s="3">
        <f>IF(K2835&lt;-5,"CRÍTICO",IF(K2835&lt;0,"ATENÇÃO",IF(K2835&lt;=5,"OPORTUNO","MUITO BOM")))</f>
        <v/>
      </c>
      <c r="N2835" t="n">
        <v>100</v>
      </c>
      <c r="O2835" t="n">
        <v>27.51479289940828</v>
      </c>
    </row>
    <row r="2836" hidden="1">
      <c r="A2836" s="11" t="n">
        <v>46090</v>
      </c>
      <c r="B2836" t="inlineStr">
        <is>
          <t>Paulo Ricardo Santos</t>
        </is>
      </c>
      <c r="C2836" t="inlineStr">
        <is>
          <t>JR</t>
        </is>
      </c>
      <c r="D2836" t="n">
        <v>4</v>
      </c>
      <c r="E2836" t="n">
        <v>4</v>
      </c>
      <c r="F2836" t="n">
        <v>62.16</v>
      </c>
      <c r="G2836" t="n">
        <v>0</v>
      </c>
      <c r="H2836" t="n">
        <v>0</v>
      </c>
      <c r="I2836" s="3">
        <f>E2836+G2836+H2836</f>
        <v/>
      </c>
      <c r="J2836" s="3">
        <f>ROUND(MIN(IF(C2836="Técnico III",35,IF(C2836="Técnico II",28,IF(C2836="Técnico I",23,IF(C2836="JR",20,IF(C2836="Estágio",10,0))))),IF(C2836="Técnico III",SUMIFS($D:$D,$A:$A,$A2836,$B:$B,"&lt;&gt;Patrícia Karla de Sousa Araújo",$B:$B,"&lt;&gt;Lorena Dias de Araujo",$B:$B,"&lt;&gt;Lucas Luiz Romero")*(35/1083),IF(C2836="Técnico II",SUMIFS($D:$D,$A:$A,$A2836,$B:$B,"&lt;&gt;Patrícia Karla de Sousa Araújo",$B:$B,"&lt;&gt;Lorena Dias de Araujo",$B:$B,"&lt;&gt;Lucas Luiz Romero")*(28/1083),IF(C2836="Técnico I",SUMIFS($D:$D,$A:$A,$A2836,$B:$B,"&lt;&gt;Patrícia Karla de Sousa Araújo",$B:$B,"&lt;&gt;Lorena Dias de Araujo",$B:$B,"&lt;&gt;Lucas Luiz Romero")*(23/1083),IF(C2836="JR",SUMIFS($D:$D,$A:$A,$A2836,$B:$B,"&lt;&gt;Patrícia Karla de Sousa Araújo",$B:$B,"&lt;&gt;Lorena Dias de Araujo",$B:$B,"&lt;&gt;Lucas Luiz Romero")*(20/1083),IF(C2836="Estágio",SUMIFS($D:$D,$A:$A,$A2836,$B:$B,"&lt;&gt;Patrícia Karla de Sousa Araújo",$B:$B,"&lt;&gt;Lorena Dias de Araujo",$B:$B,"&lt;&gt;Lucas Luiz Romero")*(10/1083),0)))))),0)</f>
        <v/>
      </c>
      <c r="K2836" s="3">
        <f>I2836-J2836</f>
        <v/>
      </c>
      <c r="L2836" s="3">
        <f>IF(K2836&lt;-5,"CRÍTICO",IF(K2836&lt;0,"ATENÇÃO",IF(K2836&lt;=5,"OPORTUNO","MUITO BOM")))</f>
        <v/>
      </c>
      <c r="N2836" t="n">
        <v>100</v>
      </c>
      <c r="O2836" t="n">
        <v>24.87562189054727</v>
      </c>
    </row>
    <row r="2837" hidden="1">
      <c r="A2837" s="11" t="n">
        <v>46090</v>
      </c>
      <c r="B2837" t="inlineStr">
        <is>
          <t>Pedro Luiz Mota Sousa</t>
        </is>
      </c>
      <c r="C2837" t="inlineStr">
        <is>
          <t>JR</t>
        </is>
      </c>
      <c r="D2837" t="n">
        <v>7</v>
      </c>
      <c r="E2837" t="n">
        <v>7</v>
      </c>
      <c r="F2837" t="n">
        <v>53.56</v>
      </c>
      <c r="G2837" t="n">
        <v>0</v>
      </c>
      <c r="H2837" t="n">
        <v>0</v>
      </c>
      <c r="I2837" s="3">
        <f>E2837+G2837+H2837</f>
        <v/>
      </c>
      <c r="J2837" s="3">
        <f>ROUND(MIN(IF(C2837="Técnico III",35,IF(C2837="Técnico II",28,IF(C2837="Técnico I",23,IF(C2837="JR",20,IF(C2837="Estágio",10,0))))),IF(C2837="Técnico III",SUMIFS($D:$D,$A:$A,$A2837,$B:$B,"&lt;&gt;Patrícia Karla de Sousa Araújo",$B:$B,"&lt;&gt;Lorena Dias de Araujo",$B:$B,"&lt;&gt;Lucas Luiz Romero")*(35/1083),IF(C2837="Técnico II",SUMIFS($D:$D,$A:$A,$A2837,$B:$B,"&lt;&gt;Patrícia Karla de Sousa Araújo",$B:$B,"&lt;&gt;Lorena Dias de Araujo",$B:$B,"&lt;&gt;Lucas Luiz Romero")*(28/1083),IF(C2837="Técnico I",SUMIFS($D:$D,$A:$A,$A2837,$B:$B,"&lt;&gt;Patrícia Karla de Sousa Araújo",$B:$B,"&lt;&gt;Lorena Dias de Araujo",$B:$B,"&lt;&gt;Lucas Luiz Romero")*(23/1083),IF(C2837="JR",SUMIFS($D:$D,$A:$A,$A2837,$B:$B,"&lt;&gt;Patrícia Karla de Sousa Araújo",$B:$B,"&lt;&gt;Lorena Dias de Araujo",$B:$B,"&lt;&gt;Lucas Luiz Romero")*(20/1083),IF(C2837="Estágio",SUMIFS($D:$D,$A:$A,$A2837,$B:$B,"&lt;&gt;Patrícia Karla de Sousa Araújo",$B:$B,"&lt;&gt;Lorena Dias de Araujo",$B:$B,"&lt;&gt;Lucas Luiz Romero")*(10/1083),0)))))),0)</f>
        <v/>
      </c>
      <c r="K2837" s="3">
        <f>I2837-J2837</f>
        <v/>
      </c>
      <c r="L2837" s="3">
        <f>IF(K2837&lt;-5,"CRÍTICO",IF(K2837&lt;0,"ATENÇÃO",IF(K2837&lt;=5,"OPORTUNO","MUITO BOM")))</f>
        <v/>
      </c>
      <c r="N2837" t="n">
        <v>100</v>
      </c>
      <c r="O2837" t="n">
        <v>28.10810810810811</v>
      </c>
    </row>
    <row r="2838" hidden="1">
      <c r="A2838" s="11" t="n">
        <v>46090</v>
      </c>
      <c r="B2838" t="inlineStr">
        <is>
          <t>Quirino Diogo Leite Torres</t>
        </is>
      </c>
      <c r="C2838" t="inlineStr">
        <is>
          <t>Estágio</t>
        </is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s="3" t="n">
        <v>0</v>
      </c>
      <c r="J2838" s="3" t="n">
        <v>0</v>
      </c>
      <c r="K2838" s="3" t="n">
        <v>0</v>
      </c>
      <c r="L2838" s="3">
        <f>IF(K2838&lt;-5,"CRÍTICO",IF(K2838&lt;0,"ATENÇÃO",IF(K2838&lt;=5,"OPORTUNO","MUITO BOM")))</f>
        <v/>
      </c>
      <c r="N2838" t="n">
        <v>100</v>
      </c>
      <c r="O2838" t="n">
        <v>35</v>
      </c>
    </row>
    <row r="2839" hidden="1">
      <c r="A2839" s="11" t="n">
        <v>46090</v>
      </c>
      <c r="B2839" t="inlineStr">
        <is>
          <t>Raane Batista Matos</t>
        </is>
      </c>
      <c r="C2839" t="inlineStr">
        <is>
          <t>Técnico I</t>
        </is>
      </c>
      <c r="D2839" t="n">
        <v>1</v>
      </c>
      <c r="E2839" t="n">
        <v>1</v>
      </c>
      <c r="F2839" t="n">
        <v>73.31</v>
      </c>
      <c r="G2839" t="n">
        <v>0</v>
      </c>
      <c r="H2839" t="n">
        <v>0</v>
      </c>
      <c r="I2839" s="3">
        <f>E2839+G2839+H2839</f>
        <v/>
      </c>
      <c r="J2839" s="3">
        <f>ROUND(MIN(IF(C2839="Técnico III",35,IF(C2839="Técnico II",28,IF(C2839="Técnico I",23,IF(C2839="JR",20,IF(C2839="Estágio",10,0))))),IF(C2839="Técnico III",SUMIFS($D:$D,$A:$A,$A2839,$B:$B,"&lt;&gt;Patrícia Karla de Sousa Araújo",$B:$B,"&lt;&gt;Lorena Dias de Araujo",$B:$B,"&lt;&gt;Lucas Luiz Romero")*(35/1083),IF(C2839="Técnico II",SUMIFS($D:$D,$A:$A,$A2839,$B:$B,"&lt;&gt;Patrícia Karla de Sousa Araújo",$B:$B,"&lt;&gt;Lorena Dias de Araujo",$B:$B,"&lt;&gt;Lucas Luiz Romero")*(28/1083),IF(C2839="Técnico I",SUMIFS($D:$D,$A:$A,$A2839,$B:$B,"&lt;&gt;Patrícia Karla de Sousa Araújo",$B:$B,"&lt;&gt;Lorena Dias de Araujo",$B:$B,"&lt;&gt;Lucas Luiz Romero")*(23/1083),IF(C2839="JR",SUMIFS($D:$D,$A:$A,$A2839,$B:$B,"&lt;&gt;Patrícia Karla de Sousa Araújo",$B:$B,"&lt;&gt;Lorena Dias de Araujo",$B:$B,"&lt;&gt;Lucas Luiz Romero")*(20/1083),IF(C2839="Estágio",SUMIFS($D:$D,$A:$A,$A2839,$B:$B,"&lt;&gt;Patrícia Karla de Sousa Araújo",$B:$B,"&lt;&gt;Lorena Dias de Araujo",$B:$B,"&lt;&gt;Lucas Luiz Romero")*(10/1083),0)))))),0)</f>
        <v/>
      </c>
      <c r="K2839" s="3">
        <f>I2839-J2839</f>
        <v/>
      </c>
      <c r="L2839" s="3">
        <f>IF(K2839&lt;-5,"CRÍTICO",IF(K2839&lt;0,"ATENÇÃO",IF(K2839&lt;=5,"OPORTUNO","MUITO BOM")))</f>
        <v/>
      </c>
      <c r="N2839" t="n">
        <v>95.34999999999999</v>
      </c>
      <c r="O2839" t="n">
        <v>28.61538461538461</v>
      </c>
    </row>
    <row r="2840" hidden="1">
      <c r="A2840" s="11" t="n">
        <v>46090</v>
      </c>
      <c r="B2840" t="inlineStr">
        <is>
          <t>Rafael Gomes de Morais</t>
        </is>
      </c>
      <c r="C2840" t="inlineStr">
        <is>
          <t>Técnico III</t>
        </is>
      </c>
      <c r="D2840" t="n">
        <v>33</v>
      </c>
      <c r="E2840" t="n">
        <v>32</v>
      </c>
      <c r="F2840" t="n">
        <v>15.46</v>
      </c>
      <c r="G2840" t="n">
        <v>0</v>
      </c>
      <c r="H2840" t="n">
        <v>0</v>
      </c>
      <c r="I2840" s="3">
        <f>E2840+G2840+H2840</f>
        <v/>
      </c>
      <c r="J2840" s="3">
        <f>ROUND(MIN(IF(C2840="Técnico III",35,IF(C2840="Técnico II",28,IF(C2840="Técnico I",23,IF(C2840="JR",20,IF(C2840="Estágio",10,0))))),IF(C2840="Técnico III",SUMIFS($D:$D,$A:$A,$A2840,$B:$B,"&lt;&gt;Patrícia Karla de Sousa Araújo",$B:$B,"&lt;&gt;Lorena Dias de Araujo",$B:$B,"&lt;&gt;Lucas Luiz Romero")*(35/1083),IF(C2840="Técnico II",SUMIFS($D:$D,$A:$A,$A2840,$B:$B,"&lt;&gt;Patrícia Karla de Sousa Araújo",$B:$B,"&lt;&gt;Lorena Dias de Araujo",$B:$B,"&lt;&gt;Lucas Luiz Romero")*(28/1083),IF(C2840="Técnico I",SUMIFS($D:$D,$A:$A,$A2840,$B:$B,"&lt;&gt;Patrícia Karla de Sousa Araújo",$B:$B,"&lt;&gt;Lorena Dias de Araujo",$B:$B,"&lt;&gt;Lucas Luiz Romero")*(23/1083),IF(C2840="JR",SUMIFS($D:$D,$A:$A,$A2840,$B:$B,"&lt;&gt;Patrícia Karla de Sousa Araújo",$B:$B,"&lt;&gt;Lorena Dias de Araujo",$B:$B,"&lt;&gt;Lucas Luiz Romero")*(20/1083),IF(C2840="Estágio",SUMIFS($D:$D,$A:$A,$A2840,$B:$B,"&lt;&gt;Patrícia Karla de Sousa Araújo",$B:$B,"&lt;&gt;Lorena Dias de Araujo",$B:$B,"&lt;&gt;Lucas Luiz Romero")*(10/1083),0)))))),0)</f>
        <v/>
      </c>
      <c r="K2840" s="3">
        <f>I2840-J2840</f>
        <v/>
      </c>
      <c r="L2840" s="3">
        <f>IF(K2840&lt;-5,"CRÍTICO",IF(K2840&lt;0,"ATENÇÃO",IF(K2840&lt;=5,"OPORTUNO","MUITO BOM")))</f>
        <v/>
      </c>
      <c r="N2840" t="n">
        <v>98.26000000000001</v>
      </c>
      <c r="O2840" t="n">
        <v>27.54491017964072</v>
      </c>
    </row>
    <row r="2841" hidden="1">
      <c r="A2841" s="11" t="n">
        <v>46090</v>
      </c>
      <c r="B2841" t="inlineStr">
        <is>
          <t>Sara Maria Monteiro Lopes</t>
        </is>
      </c>
      <c r="C2841" t="inlineStr">
        <is>
          <t>Técnico I</t>
        </is>
      </c>
      <c r="D2841" t="n">
        <v>9</v>
      </c>
      <c r="E2841" t="n">
        <v>9</v>
      </c>
      <c r="F2841" t="n">
        <v>50.16</v>
      </c>
      <c r="G2841" t="n">
        <v>0</v>
      </c>
      <c r="H2841" t="n">
        <v>0</v>
      </c>
      <c r="I2841" s="3">
        <f>E2841+G2841+H2841</f>
        <v/>
      </c>
      <c r="J2841" s="3">
        <f>ROUND(MIN(IF(C2841="Técnico III",35,IF(C2841="Técnico II",28,IF(C2841="Técnico I",23,IF(C2841="JR",20,IF(C2841="Estágio",10,0))))),IF(C2841="Técnico III",SUMIFS($D:$D,$A:$A,$A2841,$B:$B,"&lt;&gt;Patrícia Karla de Sousa Araújo",$B:$B,"&lt;&gt;Lorena Dias de Araujo",$B:$B,"&lt;&gt;Lucas Luiz Romero")*(35/1083),IF(C2841="Técnico II",SUMIFS($D:$D,$A:$A,$A2841,$B:$B,"&lt;&gt;Patrícia Karla de Sousa Araújo",$B:$B,"&lt;&gt;Lorena Dias de Araujo",$B:$B,"&lt;&gt;Lucas Luiz Romero")*(28/1083),IF(C2841="Técnico I",SUMIFS($D:$D,$A:$A,$A2841,$B:$B,"&lt;&gt;Patrícia Karla de Sousa Araújo",$B:$B,"&lt;&gt;Lorena Dias de Araujo",$B:$B,"&lt;&gt;Lucas Luiz Romero")*(23/1083),IF(C2841="JR",SUMIFS($D:$D,$A:$A,$A2841,$B:$B,"&lt;&gt;Patrícia Karla de Sousa Araújo",$B:$B,"&lt;&gt;Lorena Dias de Araujo",$B:$B,"&lt;&gt;Lucas Luiz Romero")*(20/1083),IF(C2841="Estágio",SUMIFS($D:$D,$A:$A,$A2841,$B:$B,"&lt;&gt;Patrícia Karla de Sousa Araújo",$B:$B,"&lt;&gt;Lorena Dias de Araujo",$B:$B,"&lt;&gt;Lucas Luiz Romero")*(10/1083),0)))))),0)</f>
        <v/>
      </c>
      <c r="K2841" s="3">
        <f>I2841-J2841</f>
        <v/>
      </c>
      <c r="L2841" s="3">
        <f>IF(K2841&lt;-5,"CRÍTICO",IF(K2841&lt;0,"ATENÇÃO",IF(K2841&lt;=5,"OPORTUNO","MUITO BOM")))</f>
        <v/>
      </c>
      <c r="N2841" t="n">
        <v>98.55</v>
      </c>
      <c r="O2841" t="n">
        <v>25.33783783783784</v>
      </c>
    </row>
    <row r="2842" hidden="1">
      <c r="A2842" s="11" t="n">
        <v>46090</v>
      </c>
      <c r="B2842" t="inlineStr">
        <is>
          <t>Sarah Steffanie de Lima Borges</t>
        </is>
      </c>
      <c r="C2842" t="inlineStr">
        <is>
          <t>Técnico III</t>
        </is>
      </c>
      <c r="D2842" t="n">
        <v>23</v>
      </c>
      <c r="E2842" t="n">
        <v>22</v>
      </c>
      <c r="F2842" t="n">
        <v>21.45</v>
      </c>
      <c r="G2842" t="n">
        <v>0</v>
      </c>
      <c r="H2842" t="n">
        <v>0</v>
      </c>
      <c r="I2842" s="3">
        <f>E2842+G2842+H2842</f>
        <v/>
      </c>
      <c r="J2842" s="3">
        <f>ROUND(MIN(IF(C2842="Técnico III",35,IF(C2842="Técnico II",28,IF(C2842="Técnico I",23,IF(C2842="JR",20,IF(C2842="Estágio",10,0))))),IF(C2842="Técnico III",SUMIFS($D:$D,$A:$A,$A2842,$B:$B,"&lt;&gt;Patrícia Karla de Sousa Araújo",$B:$B,"&lt;&gt;Lorena Dias de Araujo",$B:$B,"&lt;&gt;Lucas Luiz Romero")*(35/1083),IF(C2842="Técnico II",SUMIFS($D:$D,$A:$A,$A2842,$B:$B,"&lt;&gt;Patrícia Karla de Sousa Araújo",$B:$B,"&lt;&gt;Lorena Dias de Araujo",$B:$B,"&lt;&gt;Lucas Luiz Romero")*(28/1083),IF(C2842="Técnico I",SUMIFS($D:$D,$A:$A,$A2842,$B:$B,"&lt;&gt;Patrícia Karla de Sousa Araújo",$B:$B,"&lt;&gt;Lorena Dias de Araujo",$B:$B,"&lt;&gt;Lucas Luiz Romero")*(23/1083),IF(C2842="JR",SUMIFS($D:$D,$A:$A,$A2842,$B:$B,"&lt;&gt;Patrícia Karla de Sousa Araújo",$B:$B,"&lt;&gt;Lorena Dias de Araujo",$B:$B,"&lt;&gt;Lucas Luiz Romero")*(20/1083),IF(C2842="Estágio",SUMIFS($D:$D,$A:$A,$A2842,$B:$B,"&lt;&gt;Patrícia Karla de Sousa Araújo",$B:$B,"&lt;&gt;Lorena Dias de Araujo",$B:$B,"&lt;&gt;Lucas Luiz Romero")*(10/1083),0)))))),0)</f>
        <v/>
      </c>
      <c r="K2842" s="3">
        <f>I2842-J2842</f>
        <v/>
      </c>
      <c r="L2842" s="3">
        <f>IF(K2842&lt;-5,"CRÍTICO",IF(K2842&lt;0,"ATENÇÃO",IF(K2842&lt;=5,"OPORTUNO","MUITO BOM")))</f>
        <v/>
      </c>
      <c r="N2842" t="n">
        <v>98.39</v>
      </c>
      <c r="O2842" t="n">
        <v>25.56390977443609</v>
      </c>
    </row>
    <row r="2843" hidden="1">
      <c r="A2843" s="11" t="n">
        <v>46091</v>
      </c>
      <c r="B2843" t="inlineStr">
        <is>
          <t>Alisson de Freitas Silva</t>
        </is>
      </c>
      <c r="C2843" t="inlineStr">
        <is>
          <t>Técnico II</t>
        </is>
      </c>
      <c r="D2843" t="n">
        <v>37</v>
      </c>
      <c r="E2843" t="n">
        <v>32</v>
      </c>
      <c r="F2843" t="n">
        <v>17.05</v>
      </c>
      <c r="G2843" t="n">
        <v>0</v>
      </c>
      <c r="H2843" t="n">
        <v>0</v>
      </c>
      <c r="I2843" s="3">
        <f>E2843+G2843+H2843</f>
        <v/>
      </c>
      <c r="J2843" s="3">
        <f>ROUND(MIN(IF(C2843="Técnico III",35,IF(C2843="Técnico II",28,IF(C2843="Técnico I",23,IF(C2843="JR",20,IF(C2843="Estágio",10,0))))),IF(C2843="Técnico III",SUMIFS($D:$D,$A:$A,$A2843,$B:$B,"&lt;&gt;Patrícia Karla de Sousa Araújo",$B:$B,"&lt;&gt;Lorena Dias de Araujo",$B:$B,"&lt;&gt;Lucas Luiz Romero")*(35/1083),IF(C2843="Técnico II",SUMIFS($D:$D,$A:$A,$A2843,$B:$B,"&lt;&gt;Patrícia Karla de Sousa Araújo",$B:$B,"&lt;&gt;Lorena Dias de Araujo",$B:$B,"&lt;&gt;Lucas Luiz Romero")*(28/1083),IF(C2843="Técnico I",SUMIFS($D:$D,$A:$A,$A2843,$B:$B,"&lt;&gt;Patrícia Karla de Sousa Araújo",$B:$B,"&lt;&gt;Lorena Dias de Araujo",$B:$B,"&lt;&gt;Lucas Luiz Romero")*(23/1083),IF(C2843="JR",SUMIFS($D:$D,$A:$A,$A2843,$B:$B,"&lt;&gt;Patrícia Karla de Sousa Araújo",$B:$B,"&lt;&gt;Lorena Dias de Araujo",$B:$B,"&lt;&gt;Lucas Luiz Romero")*(20/1083),IF(C2843="Estágio",SUMIFS($D:$D,$A:$A,$A2843,$B:$B,"&lt;&gt;Patrícia Karla de Sousa Araújo",$B:$B,"&lt;&gt;Lorena Dias de Araujo",$B:$B,"&lt;&gt;Lucas Luiz Romero")*(10/1083),0)))))),0)</f>
        <v/>
      </c>
      <c r="K2843" s="3">
        <f>I2843-J2843</f>
        <v/>
      </c>
      <c r="L2843" s="3">
        <f>IF(K2843&lt;-5,"CRÍTICO",IF(K2843&lt;0,"ATENÇÃO",IF(K2843&lt;=5,"OPORTUNO","MUITO BOM")))</f>
        <v/>
      </c>
      <c r="N2843" t="n">
        <v>94.29000000000001</v>
      </c>
      <c r="O2843" t="n">
        <v>25.64766839378239</v>
      </c>
    </row>
    <row r="2844" hidden="1">
      <c r="A2844" s="11" t="n">
        <v>46091</v>
      </c>
      <c r="B2844" t="inlineStr">
        <is>
          <t>Amanda Moura Ferreira</t>
        </is>
      </c>
      <c r="C2844" t="inlineStr">
        <is>
          <t>Técnico III</t>
        </is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s="3" t="n">
        <v>0</v>
      </c>
      <c r="J2844" s="3" t="n">
        <v>0</v>
      </c>
      <c r="K2844" s="3" t="n">
        <v>0</v>
      </c>
      <c r="L2844" s="3">
        <f>IF(K2844&lt;-5,"CRÍTICO",IF(K2844&lt;0,"ATENÇÃO",IF(K2844&lt;=5,"OPORTUNO","MUITO BOM")))</f>
        <v/>
      </c>
      <c r="N2844" t="n">
        <v>98.26000000000001</v>
      </c>
      <c r="O2844" t="n">
        <v>26.66666666666667</v>
      </c>
    </row>
    <row r="2845" hidden="1">
      <c r="A2845" s="11" t="n">
        <v>46091</v>
      </c>
      <c r="B2845" t="inlineStr">
        <is>
          <t>Ana Karollyne Souza Faria</t>
        </is>
      </c>
      <c r="C2845" t="inlineStr">
        <is>
          <t>Técnico I</t>
        </is>
      </c>
      <c r="D2845" t="n">
        <v>20</v>
      </c>
      <c r="E2845" t="n">
        <v>18</v>
      </c>
      <c r="F2845" t="n">
        <v>25.06</v>
      </c>
      <c r="G2845" t="n">
        <v>0</v>
      </c>
      <c r="H2845" t="n">
        <v>0</v>
      </c>
      <c r="I2845" s="3">
        <f>E2845+G2845+H2845</f>
        <v/>
      </c>
      <c r="J2845" s="3">
        <f>ROUND(MIN(IF(C2845="Técnico III",35,IF(C2845="Técnico II",28,IF(C2845="Técnico I",23,IF(C2845="JR",20,IF(C2845="Estágio",10,0))))),IF(C2845="Técnico III",SUMIFS($D:$D,$A:$A,$A2845,$B:$B,"&lt;&gt;Patrícia Karla de Sousa Araújo",$B:$B,"&lt;&gt;Lorena Dias de Araujo",$B:$B,"&lt;&gt;Lucas Luiz Romero")*(35/1083),IF(C2845="Técnico II",SUMIFS($D:$D,$A:$A,$A2845,$B:$B,"&lt;&gt;Patrícia Karla de Sousa Araújo",$B:$B,"&lt;&gt;Lorena Dias de Araujo",$B:$B,"&lt;&gt;Lucas Luiz Romero")*(28/1083),IF(C2845="Técnico I",SUMIFS($D:$D,$A:$A,$A2845,$B:$B,"&lt;&gt;Patrícia Karla de Sousa Araújo",$B:$B,"&lt;&gt;Lorena Dias de Araujo",$B:$B,"&lt;&gt;Lucas Luiz Romero")*(23/1083),IF(C2845="JR",SUMIFS($D:$D,$A:$A,$A2845,$B:$B,"&lt;&gt;Patrícia Karla de Sousa Araújo",$B:$B,"&lt;&gt;Lorena Dias de Araujo",$B:$B,"&lt;&gt;Lucas Luiz Romero")*(20/1083),IF(C2845="Estágio",SUMIFS($D:$D,$A:$A,$A2845,$B:$B,"&lt;&gt;Patrícia Karla de Sousa Araújo",$B:$B,"&lt;&gt;Lorena Dias de Araujo",$B:$B,"&lt;&gt;Lucas Luiz Romero")*(10/1083),0)))))),0)</f>
        <v/>
      </c>
      <c r="K2845" s="3">
        <f>I2845-J2845</f>
        <v/>
      </c>
      <c r="L2845" s="3">
        <f>IF(K2845&lt;-5,"CRÍTICO",IF(K2845&lt;0,"ATENÇÃO",IF(K2845&lt;=5,"OPORTUNO","MUITO BOM")))</f>
        <v/>
      </c>
      <c r="N2845" t="n">
        <v>98.2</v>
      </c>
      <c r="O2845" t="n">
        <v>23.37962962962963</v>
      </c>
    </row>
    <row r="2846" hidden="1">
      <c r="A2846" s="11" t="n">
        <v>46091</v>
      </c>
      <c r="B2846" t="inlineStr">
        <is>
          <t>Ana Paula Da Luz Silva Aleixo</t>
        </is>
      </c>
      <c r="C2846" t="inlineStr">
        <is>
          <t>Técnico III</t>
        </is>
      </c>
      <c r="D2846" t="n">
        <v>19</v>
      </c>
      <c r="E2846" t="n">
        <v>19</v>
      </c>
      <c r="F2846" t="n">
        <v>31.44</v>
      </c>
      <c r="G2846" t="n">
        <v>0</v>
      </c>
      <c r="H2846" t="n">
        <v>0</v>
      </c>
      <c r="I2846" s="3">
        <f>E2846+G2846+H2846</f>
        <v/>
      </c>
      <c r="J2846" s="3">
        <f>ROUND(MIN(IF(C2846="Técnico III",35,IF(C2846="Técnico II",28,IF(C2846="Técnico I",23,IF(C2846="JR",20,IF(C2846="Estágio",10,0))))),IF(C2846="Técnico III",SUMIFS($D:$D,$A:$A,$A2846,$B:$B,"&lt;&gt;Patrícia Karla de Sousa Araújo",$B:$B,"&lt;&gt;Lorena Dias de Araujo",$B:$B,"&lt;&gt;Lucas Luiz Romero")*(35/1083),IF(C2846="Técnico II",SUMIFS($D:$D,$A:$A,$A2846,$B:$B,"&lt;&gt;Patrícia Karla de Sousa Araújo",$B:$B,"&lt;&gt;Lorena Dias de Araujo",$B:$B,"&lt;&gt;Lucas Luiz Romero")*(28/1083),IF(C2846="Técnico I",SUMIFS($D:$D,$A:$A,$A2846,$B:$B,"&lt;&gt;Patrícia Karla de Sousa Araújo",$B:$B,"&lt;&gt;Lorena Dias de Araujo",$B:$B,"&lt;&gt;Lucas Luiz Romero")*(23/1083),IF(C2846="JR",SUMIFS($D:$D,$A:$A,$A2846,$B:$B,"&lt;&gt;Patrícia Karla de Sousa Araújo",$B:$B,"&lt;&gt;Lorena Dias de Araujo",$B:$B,"&lt;&gt;Lucas Luiz Romero")*(20/1083),IF(C2846="Estágio",SUMIFS($D:$D,$A:$A,$A2846,$B:$B,"&lt;&gt;Patrícia Karla de Sousa Araújo",$B:$B,"&lt;&gt;Lorena Dias de Araujo",$B:$B,"&lt;&gt;Lucas Luiz Romero")*(10/1083),0)))))),0)</f>
        <v/>
      </c>
      <c r="K2846" s="3">
        <f>I2846-J2846</f>
        <v/>
      </c>
      <c r="L2846" s="3">
        <f>IF(K2846&lt;-5,"CRÍTICO",IF(K2846&lt;0,"ATENÇÃO",IF(K2846&lt;=5,"OPORTUNO","MUITO BOM")))</f>
        <v/>
      </c>
      <c r="N2846" t="n">
        <v>97.3</v>
      </c>
      <c r="O2846" t="n">
        <v>23.84769539078156</v>
      </c>
    </row>
    <row r="2847" hidden="1">
      <c r="A2847" s="11" t="n">
        <v>46091</v>
      </c>
      <c r="B2847" t="inlineStr">
        <is>
          <t>Anna Luiza Rezende Tavares</t>
        </is>
      </c>
      <c r="C2847" t="inlineStr">
        <is>
          <t>Estágio</t>
        </is>
      </c>
      <c r="D2847" t="n">
        <v>10</v>
      </c>
      <c r="E2847" t="n">
        <v>10</v>
      </c>
      <c r="F2847" t="n">
        <v>20.57</v>
      </c>
      <c r="G2847" t="n">
        <v>0</v>
      </c>
      <c r="H2847" t="n">
        <v>0</v>
      </c>
      <c r="I2847" s="3">
        <f>E2847+G2847+H2847</f>
        <v/>
      </c>
      <c r="J2847" s="3">
        <f>ROUND(MIN(IF(C2847="Técnico III",35,IF(C2847="Técnico II",28,IF(C2847="Técnico I",23,IF(C2847="JR",20,IF(C2847="Estágio",10,0))))),IF(C2847="Técnico III",SUMIFS($D:$D,$A:$A,$A2847,$B:$B,"&lt;&gt;Patrícia Karla de Sousa Araújo",$B:$B,"&lt;&gt;Lorena Dias de Araujo",$B:$B,"&lt;&gt;Lucas Luiz Romero")*(35/1083),IF(C2847="Técnico II",SUMIFS($D:$D,$A:$A,$A2847,$B:$B,"&lt;&gt;Patrícia Karla de Sousa Araújo",$B:$B,"&lt;&gt;Lorena Dias de Araujo",$B:$B,"&lt;&gt;Lucas Luiz Romero")*(28/1083),IF(C2847="Técnico I",SUMIFS($D:$D,$A:$A,$A2847,$B:$B,"&lt;&gt;Patrícia Karla de Sousa Araújo",$B:$B,"&lt;&gt;Lorena Dias de Araujo",$B:$B,"&lt;&gt;Lucas Luiz Romero")*(23/1083),IF(C2847="JR",SUMIFS($D:$D,$A:$A,$A2847,$B:$B,"&lt;&gt;Patrícia Karla de Sousa Araújo",$B:$B,"&lt;&gt;Lorena Dias de Araujo",$B:$B,"&lt;&gt;Lucas Luiz Romero")*(20/1083),IF(C2847="Estágio",SUMIFS($D:$D,$A:$A,$A2847,$B:$B,"&lt;&gt;Patrícia Karla de Sousa Araújo",$B:$B,"&lt;&gt;Lorena Dias de Araujo",$B:$B,"&lt;&gt;Lucas Luiz Romero")*(10/1083),0)))))),0)</f>
        <v/>
      </c>
      <c r="K2847" s="3">
        <f>I2847-J2847</f>
        <v/>
      </c>
      <c r="L2847" s="3">
        <f>IF(K2847&lt;-5,"CRÍTICO",IF(K2847&lt;0,"ATENÇÃO",IF(K2847&lt;=5,"OPORTUNO","MUITO BOM")))</f>
        <v/>
      </c>
      <c r="N2847" t="n">
        <v>100</v>
      </c>
      <c r="O2847" t="n">
        <v>25.26881720430108</v>
      </c>
    </row>
    <row r="2848" hidden="1">
      <c r="A2848" s="11" t="n">
        <v>46091</v>
      </c>
      <c r="B2848" t="inlineStr">
        <is>
          <t>Brenda de Menezes Silva</t>
        </is>
      </c>
      <c r="C2848" t="inlineStr">
        <is>
          <t>Técnico II</t>
        </is>
      </c>
      <c r="D2848" t="n">
        <v>45</v>
      </c>
      <c r="E2848" t="n">
        <v>34</v>
      </c>
      <c r="F2848" t="n">
        <v>13.21</v>
      </c>
      <c r="G2848" t="n">
        <v>0</v>
      </c>
      <c r="H2848" t="n">
        <v>0</v>
      </c>
      <c r="I2848" s="3">
        <f>E2848+G2848+H2848</f>
        <v/>
      </c>
      <c r="J2848" s="3">
        <f>ROUND(MIN(IF(C2848="Técnico III",35,IF(C2848="Técnico II",28,IF(C2848="Técnico I",23,IF(C2848="JR",20,IF(C2848="Estágio",10,0))))),IF(C2848="Técnico III",SUMIFS($D:$D,$A:$A,$A2848,$B:$B,"&lt;&gt;Patrícia Karla de Sousa Araújo",$B:$B,"&lt;&gt;Lorena Dias de Araujo",$B:$B,"&lt;&gt;Lucas Luiz Romero")*(35/1083),IF(C2848="Técnico II",SUMIFS($D:$D,$A:$A,$A2848,$B:$B,"&lt;&gt;Patrícia Karla de Sousa Araújo",$B:$B,"&lt;&gt;Lorena Dias de Araujo",$B:$B,"&lt;&gt;Lucas Luiz Romero")*(28/1083),IF(C2848="Técnico I",SUMIFS($D:$D,$A:$A,$A2848,$B:$B,"&lt;&gt;Patrícia Karla de Sousa Araújo",$B:$B,"&lt;&gt;Lorena Dias de Araujo",$B:$B,"&lt;&gt;Lucas Luiz Romero")*(23/1083),IF(C2848="JR",SUMIFS($D:$D,$A:$A,$A2848,$B:$B,"&lt;&gt;Patrícia Karla de Sousa Araújo",$B:$B,"&lt;&gt;Lorena Dias de Araujo",$B:$B,"&lt;&gt;Lucas Luiz Romero")*(20/1083),IF(C2848="Estágio",SUMIFS($D:$D,$A:$A,$A2848,$B:$B,"&lt;&gt;Patrícia Karla de Sousa Araújo",$B:$B,"&lt;&gt;Lorena Dias de Araujo",$B:$B,"&lt;&gt;Lucas Luiz Romero")*(10/1083),0)))))),0)</f>
        <v/>
      </c>
      <c r="K2848" s="3">
        <f>I2848-J2848</f>
        <v/>
      </c>
      <c r="L2848" s="3">
        <f>IF(K2848&lt;-5,"CRÍTICO",IF(K2848&lt;0,"ATENÇÃO",IF(K2848&lt;=5,"OPORTUNO","MUITO BOM")))</f>
        <v/>
      </c>
      <c r="N2848" t="n">
        <v>99.31999999999999</v>
      </c>
      <c r="O2848" t="n">
        <v>22.82282282282282</v>
      </c>
    </row>
    <row r="2849" hidden="1">
      <c r="A2849" s="11" t="n">
        <v>46091</v>
      </c>
      <c r="B2849" t="inlineStr">
        <is>
          <t>Carlos Mateus Cassimiro Nunes</t>
        </is>
      </c>
      <c r="C2849" t="inlineStr">
        <is>
          <t>Técnico II</t>
        </is>
      </c>
      <c r="D2849" t="n">
        <v>15</v>
      </c>
      <c r="E2849" t="n">
        <v>15</v>
      </c>
      <c r="F2849" t="n">
        <v>48.55</v>
      </c>
      <c r="G2849" t="n">
        <v>0</v>
      </c>
      <c r="H2849" t="n">
        <v>0</v>
      </c>
      <c r="I2849" s="3">
        <f>E2849+G2849+H2849</f>
        <v/>
      </c>
      <c r="J2849" s="3">
        <f>ROUND(MIN(IF(C2849="Técnico III",35,IF(C2849="Técnico II",28,IF(C2849="Técnico I",23,IF(C2849="JR",20,IF(C2849="Estágio",10,0))))),IF(C2849="Técnico III",SUMIFS($D:$D,$A:$A,$A2849,$B:$B,"&lt;&gt;Patrícia Karla de Sousa Araújo",$B:$B,"&lt;&gt;Lorena Dias de Araujo",$B:$B,"&lt;&gt;Lucas Luiz Romero")*(35/1083),IF(C2849="Técnico II",SUMIFS($D:$D,$A:$A,$A2849,$B:$B,"&lt;&gt;Patrícia Karla de Sousa Araújo",$B:$B,"&lt;&gt;Lorena Dias de Araujo",$B:$B,"&lt;&gt;Lucas Luiz Romero")*(28/1083),IF(C2849="Técnico I",SUMIFS($D:$D,$A:$A,$A2849,$B:$B,"&lt;&gt;Patrícia Karla de Sousa Araújo",$B:$B,"&lt;&gt;Lorena Dias de Araujo",$B:$B,"&lt;&gt;Lucas Luiz Romero")*(23/1083),IF(C2849="JR",SUMIFS($D:$D,$A:$A,$A2849,$B:$B,"&lt;&gt;Patrícia Karla de Sousa Araújo",$B:$B,"&lt;&gt;Lorena Dias de Araujo",$B:$B,"&lt;&gt;Lucas Luiz Romero")*(20/1083),IF(C2849="Estágio",SUMIFS($D:$D,$A:$A,$A2849,$B:$B,"&lt;&gt;Patrícia Karla de Sousa Araújo",$B:$B,"&lt;&gt;Lorena Dias de Araujo",$B:$B,"&lt;&gt;Lucas Luiz Romero")*(10/1083),0)))))),0)</f>
        <v/>
      </c>
      <c r="K2849" s="3">
        <f>I2849-J2849</f>
        <v/>
      </c>
      <c r="L2849" s="3">
        <f>IF(K2849&lt;-5,"CRÍTICO",IF(K2849&lt;0,"ATENÇÃO",IF(K2849&lt;=5,"OPORTUNO","MUITO BOM")))</f>
        <v/>
      </c>
      <c r="N2849" t="n">
        <v>100</v>
      </c>
      <c r="O2849" t="n">
        <v>27.96610169491525</v>
      </c>
    </row>
    <row r="2850" hidden="1">
      <c r="A2850" s="11" t="n">
        <v>46091</v>
      </c>
      <c r="B2850" t="inlineStr">
        <is>
          <t>Claudio de Sousa Velasco Filho</t>
        </is>
      </c>
      <c r="C2850" t="inlineStr">
        <is>
          <t>Estágio</t>
        </is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s="3" t="n">
        <v>0</v>
      </c>
      <c r="J2850" s="3" t="n">
        <v>0</v>
      </c>
      <c r="K2850" s="3" t="n">
        <v>0</v>
      </c>
      <c r="L2850" s="3">
        <f>IF(K2850&lt;-5,"CRÍTICO",IF(K2850&lt;0,"ATENÇÃO",IF(K2850&lt;=5,"OPORTUNO","MUITO BOM")))</f>
        <v/>
      </c>
      <c r="N2850" t="n">
        <v>100</v>
      </c>
      <c r="O2850" t="n">
        <v>30.43478260869566</v>
      </c>
    </row>
    <row r="2851" hidden="1">
      <c r="A2851" s="11" t="n">
        <v>46091</v>
      </c>
      <c r="B2851" t="inlineStr">
        <is>
          <t>Clessiane Pereira dos Santos</t>
        </is>
      </c>
      <c r="C2851" t="inlineStr">
        <is>
          <t>Técnico I</t>
        </is>
      </c>
      <c r="D2851" t="n">
        <v>26</v>
      </c>
      <c r="E2851" t="n">
        <v>24</v>
      </c>
      <c r="F2851" t="n">
        <v>25.42</v>
      </c>
      <c r="G2851" t="n">
        <v>0</v>
      </c>
      <c r="H2851" t="n">
        <v>0</v>
      </c>
      <c r="I2851" s="3">
        <f>E2851+G2851+H2851</f>
        <v/>
      </c>
      <c r="J2851" s="3">
        <f>ROUND(MIN(IF(C2851="Técnico III",35,IF(C2851="Técnico II",28,IF(C2851="Técnico I",23,IF(C2851="JR",20,IF(C2851="Estágio",10,0))))),IF(C2851="Técnico III",SUMIFS($D:$D,$A:$A,$A2851,$B:$B,"&lt;&gt;Patrícia Karla de Sousa Araújo",$B:$B,"&lt;&gt;Lorena Dias de Araujo",$B:$B,"&lt;&gt;Lucas Luiz Romero")*(35/1083),IF(C2851="Técnico II",SUMIFS($D:$D,$A:$A,$A2851,$B:$B,"&lt;&gt;Patrícia Karla de Sousa Araújo",$B:$B,"&lt;&gt;Lorena Dias de Araujo",$B:$B,"&lt;&gt;Lucas Luiz Romero")*(28/1083),IF(C2851="Técnico I",SUMIFS($D:$D,$A:$A,$A2851,$B:$B,"&lt;&gt;Patrícia Karla de Sousa Araújo",$B:$B,"&lt;&gt;Lorena Dias de Araujo",$B:$B,"&lt;&gt;Lucas Luiz Romero")*(23/1083),IF(C2851="JR",SUMIFS($D:$D,$A:$A,$A2851,$B:$B,"&lt;&gt;Patrícia Karla de Sousa Araújo",$B:$B,"&lt;&gt;Lorena Dias de Araujo",$B:$B,"&lt;&gt;Lucas Luiz Romero")*(20/1083),IF(C2851="Estágio",SUMIFS($D:$D,$A:$A,$A2851,$B:$B,"&lt;&gt;Patrícia Karla de Sousa Araújo",$B:$B,"&lt;&gt;Lorena Dias de Araujo",$B:$B,"&lt;&gt;Lucas Luiz Romero")*(10/1083),0)))))),0)</f>
        <v/>
      </c>
      <c r="K2851" s="3">
        <f>I2851-J2851</f>
        <v/>
      </c>
      <c r="L2851" s="3">
        <f>IF(K2851&lt;-5,"CRÍTICO",IF(K2851&lt;0,"ATENÇÃO",IF(K2851&lt;=5,"OPORTUNO","MUITO BOM")))</f>
        <v/>
      </c>
      <c r="N2851" t="n">
        <v>96.51000000000001</v>
      </c>
      <c r="O2851" t="n">
        <v>22.80285035629454</v>
      </c>
    </row>
    <row r="2852" hidden="1">
      <c r="A2852" s="11" t="n">
        <v>46091</v>
      </c>
      <c r="B2852" t="inlineStr">
        <is>
          <t>Cristiane Ramos da Silva Rocha</t>
        </is>
      </c>
      <c r="C2852" t="inlineStr">
        <is>
          <t>Técnico III</t>
        </is>
      </c>
      <c r="D2852" t="n">
        <v>16</v>
      </c>
      <c r="E2852" t="n">
        <v>15</v>
      </c>
      <c r="F2852" t="n">
        <v>22.2</v>
      </c>
      <c r="G2852" t="n">
        <v>0</v>
      </c>
      <c r="H2852" t="n">
        <v>0</v>
      </c>
      <c r="I2852" s="3">
        <f>E2852+G2852+H2852</f>
        <v/>
      </c>
      <c r="J2852" s="3">
        <f>ROUND(MIN(IF(C2852="Técnico III",35,IF(C2852="Técnico II",28,IF(C2852="Técnico I",23,IF(C2852="JR",20,IF(C2852="Estágio",10,0))))),IF(C2852="Técnico III",SUMIFS($D:$D,$A:$A,$A2852,$B:$B,"&lt;&gt;Patrícia Karla de Sousa Araújo",$B:$B,"&lt;&gt;Lorena Dias de Araujo",$B:$B,"&lt;&gt;Lucas Luiz Romero")*(35/1083),IF(C2852="Técnico II",SUMIFS($D:$D,$A:$A,$A2852,$B:$B,"&lt;&gt;Patrícia Karla de Sousa Araújo",$B:$B,"&lt;&gt;Lorena Dias de Araujo",$B:$B,"&lt;&gt;Lucas Luiz Romero")*(28/1083),IF(C2852="Técnico I",SUMIFS($D:$D,$A:$A,$A2852,$B:$B,"&lt;&gt;Patrícia Karla de Sousa Araújo",$B:$B,"&lt;&gt;Lorena Dias de Araujo",$B:$B,"&lt;&gt;Lucas Luiz Romero")*(23/1083),IF(C2852="JR",SUMIFS($D:$D,$A:$A,$A2852,$B:$B,"&lt;&gt;Patrícia Karla de Sousa Araújo",$B:$B,"&lt;&gt;Lorena Dias de Araujo",$B:$B,"&lt;&gt;Lucas Luiz Romero")*(20/1083),IF(C2852="Estágio",SUMIFS($D:$D,$A:$A,$A2852,$B:$B,"&lt;&gt;Patrícia Karla de Sousa Araújo",$B:$B,"&lt;&gt;Lorena Dias de Araujo",$B:$B,"&lt;&gt;Lucas Luiz Romero")*(10/1083),0)))))),0)</f>
        <v/>
      </c>
      <c r="K2852" s="3">
        <f>I2852-J2852</f>
        <v/>
      </c>
      <c r="L2852" s="3">
        <f>IF(K2852&lt;-5,"CRÍTICO",IF(K2852&lt;0,"ATENÇÃO",IF(K2852&lt;=5,"OPORTUNO","MUITO BOM")))</f>
        <v/>
      </c>
      <c r="N2852" t="n">
        <v>92.68000000000001</v>
      </c>
      <c r="O2852" t="n">
        <v>27.77777777777778</v>
      </c>
    </row>
    <row r="2853" hidden="1">
      <c r="A2853" s="11" t="n">
        <v>46091</v>
      </c>
      <c r="B2853" t="inlineStr">
        <is>
          <t>Damyllis Lorraine de Oliveira Gonçalves</t>
        </is>
      </c>
      <c r="C2853" t="inlineStr">
        <is>
          <t>Técnico II</t>
        </is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s="3" t="n">
        <v>0</v>
      </c>
      <c r="J2853" s="3" t="n">
        <v>0</v>
      </c>
      <c r="K2853" s="3" t="n">
        <v>0</v>
      </c>
      <c r="L2853" s="3">
        <f>IF(K2853&lt;-5,"CRÍTICO",IF(K2853&lt;0,"ATENÇÃO",IF(K2853&lt;=5,"OPORTUNO","MUITO BOM")))</f>
        <v/>
      </c>
      <c r="N2853" t="n">
        <v>99.03</v>
      </c>
      <c r="O2853" t="n">
        <v>23.99150743099788</v>
      </c>
    </row>
    <row r="2854" hidden="1">
      <c r="A2854" s="11" t="n">
        <v>46091</v>
      </c>
      <c r="B2854" t="inlineStr">
        <is>
          <t>Daniel Gomes da Silva</t>
        </is>
      </c>
      <c r="C2854" t="inlineStr">
        <is>
          <t>Técnico I</t>
        </is>
      </c>
      <c r="D2854" t="n">
        <v>22</v>
      </c>
      <c r="E2854" t="n">
        <v>22</v>
      </c>
      <c r="F2854" t="n">
        <v>30.08</v>
      </c>
      <c r="G2854" t="n">
        <v>0</v>
      </c>
      <c r="H2854" t="n">
        <v>0</v>
      </c>
      <c r="I2854" s="3">
        <f>E2854+G2854+H2854</f>
        <v/>
      </c>
      <c r="J2854" s="3">
        <f>ROUND(MIN(IF(C2854="Técnico III",35,IF(C2854="Técnico II",28,IF(C2854="Técnico I",23,IF(C2854="JR",20,IF(C2854="Estágio",10,0))))),IF(C2854="Técnico III",SUMIFS($D:$D,$A:$A,$A2854,$B:$B,"&lt;&gt;Patrícia Karla de Sousa Araújo",$B:$B,"&lt;&gt;Lorena Dias de Araujo",$B:$B,"&lt;&gt;Lucas Luiz Romero")*(35/1083),IF(C2854="Técnico II",SUMIFS($D:$D,$A:$A,$A2854,$B:$B,"&lt;&gt;Patrícia Karla de Sousa Araújo",$B:$B,"&lt;&gt;Lorena Dias de Araujo",$B:$B,"&lt;&gt;Lucas Luiz Romero")*(28/1083),IF(C2854="Técnico I",SUMIFS($D:$D,$A:$A,$A2854,$B:$B,"&lt;&gt;Patrícia Karla de Sousa Araújo",$B:$B,"&lt;&gt;Lorena Dias de Araujo",$B:$B,"&lt;&gt;Lucas Luiz Romero")*(23/1083),IF(C2854="JR",SUMIFS($D:$D,$A:$A,$A2854,$B:$B,"&lt;&gt;Patrícia Karla de Sousa Araújo",$B:$B,"&lt;&gt;Lorena Dias de Araujo",$B:$B,"&lt;&gt;Lucas Luiz Romero")*(20/1083),IF(C2854="Estágio",SUMIFS($D:$D,$A:$A,$A2854,$B:$B,"&lt;&gt;Patrícia Karla de Sousa Araújo",$B:$B,"&lt;&gt;Lorena Dias de Araujo",$B:$B,"&lt;&gt;Lucas Luiz Romero")*(10/1083),0)))))),0)</f>
        <v/>
      </c>
      <c r="K2854" s="3">
        <f>I2854-J2854</f>
        <v/>
      </c>
      <c r="L2854" s="3">
        <f>IF(K2854&lt;-5,"CRÍTICO",IF(K2854&lt;0,"ATENÇÃO",IF(K2854&lt;=5,"OPORTUNO","MUITO BOM")))</f>
        <v/>
      </c>
      <c r="N2854" t="n">
        <v>98.41</v>
      </c>
      <c r="O2854" t="n">
        <v>28.13852813852814</v>
      </c>
    </row>
    <row r="2855" hidden="1">
      <c r="A2855" s="11" t="n">
        <v>46091</v>
      </c>
      <c r="B2855" t="inlineStr">
        <is>
          <t>Davylla Rodrigues Freitas Silva</t>
        </is>
      </c>
      <c r="C2855" t="inlineStr">
        <is>
          <t>Técnico III</t>
        </is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s="3" t="n">
        <v>0</v>
      </c>
      <c r="J2855" s="3" t="n">
        <v>0</v>
      </c>
      <c r="K2855" s="3" t="n">
        <v>0</v>
      </c>
      <c r="L2855" s="3">
        <f>IF(K2855&lt;-5,"CRÍTICO",IF(K2855&lt;0,"ATENÇÃO",IF(K2855&lt;=5,"OPORTUNO","MUITO BOM")))</f>
        <v/>
      </c>
      <c r="N2855" t="n">
        <v>98.73</v>
      </c>
      <c r="O2855" t="n">
        <v>29.14285714285714</v>
      </c>
    </row>
    <row r="2856" hidden="1">
      <c r="A2856" s="11" t="n">
        <v>46091</v>
      </c>
      <c r="B2856" t="inlineStr">
        <is>
          <t>Emilly Caylane Costa</t>
        </is>
      </c>
      <c r="C2856" t="inlineStr">
        <is>
          <t>Estágio</t>
        </is>
      </c>
      <c r="D2856" t="n">
        <v>6</v>
      </c>
      <c r="E2856" t="n">
        <v>6</v>
      </c>
      <c r="F2856" t="n">
        <v>54.19</v>
      </c>
      <c r="G2856" t="n">
        <v>0</v>
      </c>
      <c r="H2856" t="n">
        <v>0</v>
      </c>
      <c r="I2856" s="3">
        <f>E2856+G2856+H2856</f>
        <v/>
      </c>
      <c r="J2856" s="3">
        <f>ROUND(MIN(IF(C2856="Técnico III",35,IF(C2856="Técnico II",28,IF(C2856="Técnico I",23,IF(C2856="JR",20,IF(C2856="Estágio",10,0))))),IF(C2856="Técnico III",SUMIFS($D:$D,$A:$A,$A2856,$B:$B,"&lt;&gt;Patrícia Karla de Sousa Araújo",$B:$B,"&lt;&gt;Lorena Dias de Araujo",$B:$B,"&lt;&gt;Lucas Luiz Romero")*(35/1083),IF(C2856="Técnico II",SUMIFS($D:$D,$A:$A,$A2856,$B:$B,"&lt;&gt;Patrícia Karla de Sousa Araújo",$B:$B,"&lt;&gt;Lorena Dias de Araujo",$B:$B,"&lt;&gt;Lucas Luiz Romero")*(28/1083),IF(C2856="Técnico I",SUMIFS($D:$D,$A:$A,$A2856,$B:$B,"&lt;&gt;Patrícia Karla de Sousa Araújo",$B:$B,"&lt;&gt;Lorena Dias de Araujo",$B:$B,"&lt;&gt;Lucas Luiz Romero")*(23/1083),IF(C2856="JR",SUMIFS($D:$D,$A:$A,$A2856,$B:$B,"&lt;&gt;Patrícia Karla de Sousa Araújo",$B:$B,"&lt;&gt;Lorena Dias de Araujo",$B:$B,"&lt;&gt;Lucas Luiz Romero")*(20/1083),IF(C2856="Estágio",SUMIFS($D:$D,$A:$A,$A2856,$B:$B,"&lt;&gt;Patrícia Karla de Sousa Araújo",$B:$B,"&lt;&gt;Lorena Dias de Araujo",$B:$B,"&lt;&gt;Lucas Luiz Romero")*(10/1083),0)))))),0)</f>
        <v/>
      </c>
      <c r="K2856" s="3">
        <f>I2856-J2856</f>
        <v/>
      </c>
      <c r="L2856" s="3">
        <f>IF(K2856&lt;-5,"CRÍTICO",IF(K2856&lt;0,"ATENÇÃO",IF(K2856&lt;=5,"OPORTUNO","MUITO BOM")))</f>
        <v/>
      </c>
      <c r="N2856" t="n">
        <v>90.48</v>
      </c>
      <c r="O2856" t="n">
        <v>20.68965517241379</v>
      </c>
    </row>
    <row r="2857" hidden="1">
      <c r="A2857" s="11" t="n">
        <v>46091</v>
      </c>
      <c r="B2857" t="inlineStr">
        <is>
          <t>Emilly Kamilly Medeiros Miranda</t>
        </is>
      </c>
      <c r="C2857" t="inlineStr">
        <is>
          <t>Técnico II</t>
        </is>
      </c>
      <c r="D2857" t="n">
        <v>16</v>
      </c>
      <c r="E2857" t="n">
        <v>15</v>
      </c>
      <c r="F2857" t="n">
        <v>36.4</v>
      </c>
      <c r="G2857" t="n">
        <v>0</v>
      </c>
      <c r="H2857" t="n">
        <v>0</v>
      </c>
      <c r="I2857" s="3">
        <f>E2857+G2857+H2857</f>
        <v/>
      </c>
      <c r="J2857" s="3">
        <f>ROUND(MIN(IF(C2857="Técnico III",35,IF(C2857="Técnico II",28,IF(C2857="Técnico I",23,IF(C2857="JR",20,IF(C2857="Estágio",10,0))))),IF(C2857="Técnico III",SUMIFS($D:$D,$A:$A,$A2857,$B:$B,"&lt;&gt;Patrícia Karla de Sousa Araújo",$B:$B,"&lt;&gt;Lorena Dias de Araujo",$B:$B,"&lt;&gt;Lucas Luiz Romero")*(35/1083),IF(C2857="Técnico II",SUMIFS($D:$D,$A:$A,$A2857,$B:$B,"&lt;&gt;Patrícia Karla de Sousa Araújo",$B:$B,"&lt;&gt;Lorena Dias de Araujo",$B:$B,"&lt;&gt;Lucas Luiz Romero")*(28/1083),IF(C2857="Técnico I",SUMIFS($D:$D,$A:$A,$A2857,$B:$B,"&lt;&gt;Patrícia Karla de Sousa Araújo",$B:$B,"&lt;&gt;Lorena Dias de Araujo",$B:$B,"&lt;&gt;Lucas Luiz Romero")*(23/1083),IF(C2857="JR",SUMIFS($D:$D,$A:$A,$A2857,$B:$B,"&lt;&gt;Patrícia Karla de Sousa Araújo",$B:$B,"&lt;&gt;Lorena Dias de Araujo",$B:$B,"&lt;&gt;Lucas Luiz Romero")*(20/1083),IF(C2857="Estágio",SUMIFS($D:$D,$A:$A,$A2857,$B:$B,"&lt;&gt;Patrícia Karla de Sousa Araújo",$B:$B,"&lt;&gt;Lorena Dias de Araujo",$B:$B,"&lt;&gt;Lucas Luiz Romero")*(10/1083),0)))))),0)</f>
        <v/>
      </c>
      <c r="K2857" s="3">
        <f>I2857-J2857</f>
        <v/>
      </c>
      <c r="L2857" s="3">
        <f>IF(K2857&lt;-5,"CRÍTICO",IF(K2857&lt;0,"ATENÇÃO",IF(K2857&lt;=5,"OPORTUNO","MUITO BOM")))</f>
        <v/>
      </c>
      <c r="N2857" t="n">
        <v>98.06</v>
      </c>
      <c r="O2857" t="n">
        <v>24.78991596638656</v>
      </c>
    </row>
    <row r="2858" hidden="1">
      <c r="A2858" s="11" t="n">
        <v>46091</v>
      </c>
      <c r="B2858" t="inlineStr">
        <is>
          <t>Francielson de Oliveira</t>
        </is>
      </c>
      <c r="C2858" t="inlineStr">
        <is>
          <t>Técnico III</t>
        </is>
      </c>
      <c r="D2858" t="n">
        <v>12</v>
      </c>
      <c r="E2858" t="n">
        <v>12</v>
      </c>
      <c r="F2858" t="n">
        <v>24.06</v>
      </c>
      <c r="G2858" t="n">
        <v>0</v>
      </c>
      <c r="H2858" t="n">
        <v>0</v>
      </c>
      <c r="I2858" s="3">
        <f>E2858+G2858+H2858</f>
        <v/>
      </c>
      <c r="J2858" s="3">
        <f>ROUND(MIN(IF(C2858="Técnico III",35,IF(C2858="Técnico II",28,IF(C2858="Técnico I",23,IF(C2858="JR",20,IF(C2858="Estágio",10,0))))),IF(C2858="Técnico III",SUMIFS($D:$D,$A:$A,$A2858,$B:$B,"&lt;&gt;Patrícia Karla de Sousa Araújo",$B:$B,"&lt;&gt;Lorena Dias de Araujo",$B:$B,"&lt;&gt;Lucas Luiz Romero")*(35/1083),IF(C2858="Técnico II",SUMIFS($D:$D,$A:$A,$A2858,$B:$B,"&lt;&gt;Patrícia Karla de Sousa Araújo",$B:$B,"&lt;&gt;Lorena Dias de Araujo",$B:$B,"&lt;&gt;Lucas Luiz Romero")*(28/1083),IF(C2858="Técnico I",SUMIFS($D:$D,$A:$A,$A2858,$B:$B,"&lt;&gt;Patrícia Karla de Sousa Araújo",$B:$B,"&lt;&gt;Lorena Dias de Araujo",$B:$B,"&lt;&gt;Lucas Luiz Romero")*(23/1083),IF(C2858="JR",SUMIFS($D:$D,$A:$A,$A2858,$B:$B,"&lt;&gt;Patrícia Karla de Sousa Araújo",$B:$B,"&lt;&gt;Lorena Dias de Araujo",$B:$B,"&lt;&gt;Lucas Luiz Romero")*(20/1083),IF(C2858="Estágio",SUMIFS($D:$D,$A:$A,$A2858,$B:$B,"&lt;&gt;Patrícia Karla de Sousa Araújo",$B:$B,"&lt;&gt;Lorena Dias de Araujo",$B:$B,"&lt;&gt;Lucas Luiz Romero")*(10/1083),0)))))),0)</f>
        <v/>
      </c>
      <c r="K2858" s="3">
        <f>I2858-J2858</f>
        <v/>
      </c>
      <c r="L2858" s="3">
        <f>IF(K2858&lt;-5,"CRÍTICO",IF(K2858&lt;0,"ATENÇÃO",IF(K2858&lt;=5,"OPORTUNO","MUITO BOM")))</f>
        <v/>
      </c>
      <c r="N2858" t="n">
        <v>97.78</v>
      </c>
      <c r="O2858" t="n">
        <v>25.49407114624506</v>
      </c>
    </row>
    <row r="2859" hidden="1">
      <c r="A2859" s="11" t="n">
        <v>46091</v>
      </c>
      <c r="B2859" t="inlineStr">
        <is>
          <t>Francilene Ferreira de Jesus</t>
        </is>
      </c>
      <c r="C2859" t="inlineStr">
        <is>
          <t>Técnico II</t>
        </is>
      </c>
      <c r="D2859" t="n">
        <v>16</v>
      </c>
      <c r="E2859" t="n">
        <v>15</v>
      </c>
      <c r="F2859" t="n">
        <v>45.24</v>
      </c>
      <c r="G2859" t="n">
        <v>0</v>
      </c>
      <c r="H2859" t="n">
        <v>0</v>
      </c>
      <c r="I2859" s="3">
        <f>E2859+G2859+H2859</f>
        <v/>
      </c>
      <c r="J2859" s="3">
        <f>ROUND(MIN(IF(C2859="Técnico III",35,IF(C2859="Técnico II",28,IF(C2859="Técnico I",23,IF(C2859="JR",20,IF(C2859="Estágio",10,0))))),IF(C2859="Técnico III",SUMIFS($D:$D,$A:$A,$A2859,$B:$B,"&lt;&gt;Patrícia Karla de Sousa Araújo",$B:$B,"&lt;&gt;Lorena Dias de Araujo",$B:$B,"&lt;&gt;Lucas Luiz Romero")*(35/1083),IF(C2859="Técnico II",SUMIFS($D:$D,$A:$A,$A2859,$B:$B,"&lt;&gt;Patrícia Karla de Sousa Araújo",$B:$B,"&lt;&gt;Lorena Dias de Araujo",$B:$B,"&lt;&gt;Lucas Luiz Romero")*(28/1083),IF(C2859="Técnico I",SUMIFS($D:$D,$A:$A,$A2859,$B:$B,"&lt;&gt;Patrícia Karla de Sousa Araújo",$B:$B,"&lt;&gt;Lorena Dias de Araujo",$B:$B,"&lt;&gt;Lucas Luiz Romero")*(23/1083),IF(C2859="JR",SUMIFS($D:$D,$A:$A,$A2859,$B:$B,"&lt;&gt;Patrícia Karla de Sousa Araújo",$B:$B,"&lt;&gt;Lorena Dias de Araujo",$B:$B,"&lt;&gt;Lucas Luiz Romero")*(20/1083),IF(C2859="Estágio",SUMIFS($D:$D,$A:$A,$A2859,$B:$B,"&lt;&gt;Patrícia Karla de Sousa Araújo",$B:$B,"&lt;&gt;Lorena Dias de Araujo",$B:$B,"&lt;&gt;Lucas Luiz Romero")*(10/1083),0)))))),0)</f>
        <v/>
      </c>
      <c r="K2859" s="3">
        <f>I2859-J2859</f>
        <v/>
      </c>
      <c r="L2859" s="3">
        <f>IF(K2859&lt;-5,"CRÍTICO",IF(K2859&lt;0,"ATENÇÃO",IF(K2859&lt;=5,"OPORTUNO","MUITO BOM")))</f>
        <v/>
      </c>
      <c r="N2859" t="n">
        <v>98.02</v>
      </c>
      <c r="O2859" t="n">
        <v>23.48484848484848</v>
      </c>
    </row>
    <row r="2860" hidden="1">
      <c r="A2860" s="11" t="n">
        <v>46125</v>
      </c>
      <c r="B2860" t="inlineStr">
        <is>
          <t>Gabriel Gomes de Andrade</t>
        </is>
      </c>
      <c r="C2860" t="inlineStr">
        <is>
          <t>Técnico I</t>
        </is>
      </c>
      <c r="D2860" t="n">
        <v>27</v>
      </c>
      <c r="E2860" t="n">
        <v>24</v>
      </c>
      <c r="F2860" t="n">
        <v>15.42</v>
      </c>
      <c r="G2860" t="n">
        <v>0</v>
      </c>
      <c r="H2860" t="n">
        <v>0</v>
      </c>
      <c r="I2860" s="3">
        <f>E2860+G2860+H2860</f>
        <v/>
      </c>
      <c r="J2860" s="3">
        <f>ROUND(MIN(IF(C2860="Técnico III",35,IF(C2860="Técnico II",28,IF(C2860="Técnico I",23,IF(C2860="JR",20,IF(C2860="Estágio",10,0))))),IF(C2860="Técnico III",SUMIFS($D:$D,$A:$A,$A2860,$B:$B,"&lt;&gt;Patrícia Karla de Sousa Araújo",$B:$B,"&lt;&gt;Lorena Dias de Araujo",$B:$B,"&lt;&gt;Lucas Luiz Romero")*(35/1083),IF(C2860="Técnico II",SUMIFS($D:$D,$A:$A,$A2860,$B:$B,"&lt;&gt;Patrícia Karla de Sousa Araújo",$B:$B,"&lt;&gt;Lorena Dias de Araujo",$B:$B,"&lt;&gt;Lucas Luiz Romero")*(28/1083),IF(C2860="Técnico I",SUMIFS($D:$D,$A:$A,$A2860,$B:$B,"&lt;&gt;Patrícia Karla de Sousa Araújo",$B:$B,"&lt;&gt;Lorena Dias de Araujo",$B:$B,"&lt;&gt;Lucas Luiz Romero")*(23/1083),IF(C2860="JR",SUMIFS($D:$D,$A:$A,$A2860,$B:$B,"&lt;&gt;Patrícia Karla de Sousa Araújo",$B:$B,"&lt;&gt;Lorena Dias de Araujo",$B:$B,"&lt;&gt;Lucas Luiz Romero")*(20/1083),IF(C2860="Estágio",SUMIFS($D:$D,$A:$A,$A2860,$B:$B,"&lt;&gt;Patrícia Karla de Sousa Araújo",$B:$B,"&lt;&gt;Lorena Dias de Araujo",$B:$B,"&lt;&gt;Lucas Luiz Romero")*(10/1083),0)))))),0)</f>
        <v/>
      </c>
      <c r="K2860" s="3">
        <f>I2860-J2860</f>
        <v/>
      </c>
      <c r="L2860" s="3">
        <f>IF(K2860&lt;-5,"CRÍTICO",IF(K2860&lt;0,"ATENÇÃO",IF(K2860&lt;=5,"OPORTUNO","MUITO BOM")))</f>
        <v/>
      </c>
      <c r="N2860" t="n">
        <v>99.28</v>
      </c>
      <c r="O2860" t="n">
        <v>27.68924302788844</v>
      </c>
    </row>
    <row r="2861" hidden="1">
      <c r="A2861" s="11" t="n">
        <v>46091</v>
      </c>
      <c r="B2861" t="inlineStr">
        <is>
          <t>Isabella Borges de Oliveira</t>
        </is>
      </c>
      <c r="C2861" t="inlineStr">
        <is>
          <t>Técnico II</t>
        </is>
      </c>
      <c r="D2861" t="n">
        <v>24</v>
      </c>
      <c r="E2861" t="n">
        <v>24</v>
      </c>
      <c r="F2861" t="n">
        <v>27.22</v>
      </c>
      <c r="G2861" t="n">
        <v>0</v>
      </c>
      <c r="H2861" t="n">
        <v>0</v>
      </c>
      <c r="I2861" s="3">
        <f>E2861+G2861+H2861</f>
        <v/>
      </c>
      <c r="J2861" s="3">
        <f>ROUND(MIN(IF(C2861="Técnico III",35,IF(C2861="Técnico II",28,IF(C2861="Técnico I",23,IF(C2861="JR",20,IF(C2861="Estágio",10,0))))),IF(C2861="Técnico III",SUMIFS($D:$D,$A:$A,$A2861,$B:$B,"&lt;&gt;Patrícia Karla de Sousa Araújo",$B:$B,"&lt;&gt;Lorena Dias de Araujo",$B:$B,"&lt;&gt;Lucas Luiz Romero")*(35/1083),IF(C2861="Técnico II",SUMIFS($D:$D,$A:$A,$A2861,$B:$B,"&lt;&gt;Patrícia Karla de Sousa Araújo",$B:$B,"&lt;&gt;Lorena Dias de Araujo",$B:$B,"&lt;&gt;Lucas Luiz Romero")*(28/1083),IF(C2861="Técnico I",SUMIFS($D:$D,$A:$A,$A2861,$B:$B,"&lt;&gt;Patrícia Karla de Sousa Araújo",$B:$B,"&lt;&gt;Lorena Dias de Araujo",$B:$B,"&lt;&gt;Lucas Luiz Romero")*(23/1083),IF(C2861="JR",SUMIFS($D:$D,$A:$A,$A2861,$B:$B,"&lt;&gt;Patrícia Karla de Sousa Araújo",$B:$B,"&lt;&gt;Lorena Dias de Araujo",$B:$B,"&lt;&gt;Lucas Luiz Romero")*(20/1083),IF(C2861="Estágio",SUMIFS($D:$D,$A:$A,$A2861,$B:$B,"&lt;&gt;Patrícia Karla de Sousa Araújo",$B:$B,"&lt;&gt;Lorena Dias de Araujo",$B:$B,"&lt;&gt;Lucas Luiz Romero")*(10/1083),0)))))),0)</f>
        <v/>
      </c>
      <c r="K2861" s="3">
        <f>I2861-J2861</f>
        <v/>
      </c>
      <c r="L2861" s="3">
        <f>IF(K2861&lt;-5,"CRÍTICO",IF(K2861&lt;0,"ATENÇÃO",IF(K2861&lt;=5,"OPORTUNO","MUITO BOM")))</f>
        <v/>
      </c>
      <c r="N2861" t="n">
        <v>100</v>
      </c>
      <c r="O2861" t="n">
        <v>27.04918032786885</v>
      </c>
    </row>
    <row r="2862" hidden="1">
      <c r="A2862" s="11" t="n">
        <v>46091</v>
      </c>
      <c r="B2862" t="inlineStr">
        <is>
          <t>Janaina Lima dos Reis Urany</t>
        </is>
      </c>
      <c r="C2862" t="inlineStr">
        <is>
          <t>Técnico III</t>
        </is>
      </c>
      <c r="D2862" t="n">
        <v>40</v>
      </c>
      <c r="E2862" t="n">
        <v>36</v>
      </c>
      <c r="F2862" t="n">
        <v>16.46</v>
      </c>
      <c r="G2862" t="n">
        <v>0</v>
      </c>
      <c r="H2862" t="n">
        <v>0</v>
      </c>
      <c r="I2862" s="3">
        <f>E2862+G2862+H2862</f>
        <v/>
      </c>
      <c r="J2862" s="3">
        <f>ROUND(MIN(IF(C2862="Técnico III",35,IF(C2862="Técnico II",28,IF(C2862="Técnico I",23,IF(C2862="JR",20,IF(C2862="Estágio",10,0))))),IF(C2862="Técnico III",SUMIFS($D:$D,$A:$A,$A2862,$B:$B,"&lt;&gt;Patrícia Karla de Sousa Araújo",$B:$B,"&lt;&gt;Lorena Dias de Araujo",$B:$B,"&lt;&gt;Lucas Luiz Romero")*(35/1083),IF(C2862="Técnico II",SUMIFS($D:$D,$A:$A,$A2862,$B:$B,"&lt;&gt;Patrícia Karla de Sousa Araújo",$B:$B,"&lt;&gt;Lorena Dias de Araujo",$B:$B,"&lt;&gt;Lucas Luiz Romero")*(28/1083),IF(C2862="Técnico I",SUMIFS($D:$D,$A:$A,$A2862,$B:$B,"&lt;&gt;Patrícia Karla de Sousa Araújo",$B:$B,"&lt;&gt;Lorena Dias de Araujo",$B:$B,"&lt;&gt;Lucas Luiz Romero")*(23/1083),IF(C2862="JR",SUMIFS($D:$D,$A:$A,$A2862,$B:$B,"&lt;&gt;Patrícia Karla de Sousa Araújo",$B:$B,"&lt;&gt;Lorena Dias de Araujo",$B:$B,"&lt;&gt;Lucas Luiz Romero")*(20/1083),IF(C2862="Estágio",SUMIFS($D:$D,$A:$A,$A2862,$B:$B,"&lt;&gt;Patrícia Karla de Sousa Araújo",$B:$B,"&lt;&gt;Lorena Dias de Araujo",$B:$B,"&lt;&gt;Lucas Luiz Romero")*(10/1083),0)))))),0)</f>
        <v/>
      </c>
      <c r="K2862" s="3">
        <f>I2862-J2862</f>
        <v/>
      </c>
      <c r="L2862" s="3">
        <f>IF(K2862&lt;-5,"CRÍTICO",IF(K2862&lt;0,"ATENÇÃO",IF(K2862&lt;=5,"OPORTUNO","MUITO BOM")))</f>
        <v/>
      </c>
      <c r="N2862" t="n">
        <v>97.83</v>
      </c>
      <c r="O2862" t="n">
        <v>26.31578947368421</v>
      </c>
    </row>
    <row r="2863" hidden="1">
      <c r="A2863" s="11" t="n">
        <v>46091</v>
      </c>
      <c r="B2863" t="inlineStr">
        <is>
          <t>Jaqueline Evangelista da Silva Martins</t>
        </is>
      </c>
      <c r="C2863" t="inlineStr">
        <is>
          <t>Técnico III</t>
        </is>
      </c>
      <c r="D2863" t="n">
        <v>9</v>
      </c>
      <c r="E2863" t="n">
        <v>9</v>
      </c>
      <c r="F2863" t="n">
        <v>25.5</v>
      </c>
      <c r="G2863" t="n">
        <v>0</v>
      </c>
      <c r="H2863" t="n">
        <v>0</v>
      </c>
      <c r="I2863" s="3">
        <f>E2863+G2863+H2863</f>
        <v/>
      </c>
      <c r="J2863" s="3">
        <f>ROUND(MIN(IF(C2863="Técnico III",35,IF(C2863="Técnico II",28,IF(C2863="Técnico I",23,IF(C2863="JR",20,IF(C2863="Estágio",10,0))))),IF(C2863="Técnico III",SUMIFS($D:$D,$A:$A,$A2863,$B:$B,"&lt;&gt;Patrícia Karla de Sousa Araújo",$B:$B,"&lt;&gt;Lorena Dias de Araujo",$B:$B,"&lt;&gt;Lucas Luiz Romero")*(35/1083),IF(C2863="Técnico II",SUMIFS($D:$D,$A:$A,$A2863,$B:$B,"&lt;&gt;Patrícia Karla de Sousa Araújo",$B:$B,"&lt;&gt;Lorena Dias de Araujo",$B:$B,"&lt;&gt;Lucas Luiz Romero")*(28/1083),IF(C2863="Técnico I",SUMIFS($D:$D,$A:$A,$A2863,$B:$B,"&lt;&gt;Patrícia Karla de Sousa Araújo",$B:$B,"&lt;&gt;Lorena Dias de Araujo",$B:$B,"&lt;&gt;Lucas Luiz Romero")*(23/1083),IF(C2863="JR",SUMIFS($D:$D,$A:$A,$A2863,$B:$B,"&lt;&gt;Patrícia Karla de Sousa Araújo",$B:$B,"&lt;&gt;Lorena Dias de Araujo",$B:$B,"&lt;&gt;Lucas Luiz Romero")*(20/1083),IF(C2863="Estágio",SUMIFS($D:$D,$A:$A,$A2863,$B:$B,"&lt;&gt;Patrícia Karla de Sousa Araújo",$B:$B,"&lt;&gt;Lorena Dias de Araujo",$B:$B,"&lt;&gt;Lucas Luiz Romero")*(10/1083),0)))))),0)</f>
        <v/>
      </c>
      <c r="K2863" s="3">
        <f>I2863-J2863</f>
        <v/>
      </c>
      <c r="L2863" s="3">
        <f>IF(K2863&lt;-5,"CRÍTICO",IF(K2863&lt;0,"ATENÇÃO",IF(K2863&lt;=5,"OPORTUNO","MUITO BOM")))</f>
        <v/>
      </c>
      <c r="N2863" t="n">
        <v>100</v>
      </c>
      <c r="O2863" t="n">
        <v>26.70157068062827</v>
      </c>
    </row>
    <row r="2864" hidden="1">
      <c r="A2864" s="11" t="n">
        <v>46091</v>
      </c>
      <c r="B2864" t="inlineStr">
        <is>
          <t>Jessica Faria da Silveira</t>
        </is>
      </c>
      <c r="C2864" t="inlineStr">
        <is>
          <t>Técnico II</t>
        </is>
      </c>
      <c r="D2864" t="n">
        <v>22</v>
      </c>
      <c r="E2864" t="n">
        <v>19</v>
      </c>
      <c r="F2864" t="n">
        <v>23.29</v>
      </c>
      <c r="G2864" t="n">
        <v>0</v>
      </c>
      <c r="H2864" t="n">
        <v>0</v>
      </c>
      <c r="I2864" s="3">
        <f>E2864+G2864+H2864</f>
        <v/>
      </c>
      <c r="J2864" s="3">
        <f>ROUND(MIN(IF(C2864="Técnico III",35,IF(C2864="Técnico II",28,IF(C2864="Técnico I",23,IF(C2864="JR",20,IF(C2864="Estágio",10,0))))),IF(C2864="Técnico III",SUMIFS($D:$D,$A:$A,$A2864,$B:$B,"&lt;&gt;Patrícia Karla de Sousa Araújo",$B:$B,"&lt;&gt;Lorena Dias de Araujo",$B:$B,"&lt;&gt;Lucas Luiz Romero")*(35/1083),IF(C2864="Técnico II",SUMIFS($D:$D,$A:$A,$A2864,$B:$B,"&lt;&gt;Patrícia Karla de Sousa Araújo",$B:$B,"&lt;&gt;Lorena Dias de Araujo",$B:$B,"&lt;&gt;Lucas Luiz Romero")*(28/1083),IF(C2864="Técnico I",SUMIFS($D:$D,$A:$A,$A2864,$B:$B,"&lt;&gt;Patrícia Karla de Sousa Araújo",$B:$B,"&lt;&gt;Lorena Dias de Araujo",$B:$B,"&lt;&gt;Lucas Luiz Romero")*(23/1083),IF(C2864="JR",SUMIFS($D:$D,$A:$A,$A2864,$B:$B,"&lt;&gt;Patrícia Karla de Sousa Araújo",$B:$B,"&lt;&gt;Lorena Dias de Araujo",$B:$B,"&lt;&gt;Lucas Luiz Romero")*(20/1083),IF(C2864="Estágio",SUMIFS($D:$D,$A:$A,$A2864,$B:$B,"&lt;&gt;Patrícia Karla de Sousa Araújo",$B:$B,"&lt;&gt;Lorena Dias de Araujo",$B:$B,"&lt;&gt;Lucas Luiz Romero")*(10/1083),0)))))),0)</f>
        <v/>
      </c>
      <c r="K2864" s="3">
        <f>I2864-J2864</f>
        <v/>
      </c>
      <c r="L2864" s="3">
        <f>IF(K2864&lt;-5,"CRÍTICO",IF(K2864&lt;0,"ATENÇÃO",IF(K2864&lt;=5,"OPORTUNO","MUITO BOM")))</f>
        <v/>
      </c>
      <c r="N2864" t="n">
        <v>97.47</v>
      </c>
      <c r="O2864" t="n">
        <v>22.88732394366197</v>
      </c>
    </row>
    <row r="2865" hidden="1">
      <c r="A2865" s="11" t="n">
        <v>46091</v>
      </c>
      <c r="B2865" t="inlineStr">
        <is>
          <t>Jéssica Fé Moura</t>
        </is>
      </c>
      <c r="C2865" t="inlineStr">
        <is>
          <t>Técnico III</t>
        </is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s="3" t="n">
        <v>0</v>
      </c>
      <c r="J2865" s="3" t="n">
        <v>0</v>
      </c>
      <c r="K2865" s="3" t="n">
        <v>0</v>
      </c>
      <c r="L2865" s="3">
        <f>IF(K2865&lt;-5,"CRÍTICO",IF(K2865&lt;0,"ATENÇÃO",IF(K2865&lt;=5,"OPORTUNO","MUITO BOM")))</f>
        <v/>
      </c>
      <c r="N2865" t="n">
        <v>0</v>
      </c>
      <c r="O2865" t="n">
        <v>0</v>
      </c>
    </row>
    <row r="2866" hidden="1">
      <c r="A2866" s="11" t="n">
        <v>46091</v>
      </c>
      <c r="B2866" t="inlineStr">
        <is>
          <t>Karina Gonçalves Martins</t>
        </is>
      </c>
      <c r="C2866" t="inlineStr">
        <is>
          <t>JR</t>
        </is>
      </c>
      <c r="D2866" t="n">
        <v>8</v>
      </c>
      <c r="E2866" t="n">
        <v>8</v>
      </c>
      <c r="F2866" t="n">
        <v>33.2</v>
      </c>
      <c r="G2866" t="n">
        <v>0</v>
      </c>
      <c r="H2866" t="n">
        <v>0</v>
      </c>
      <c r="I2866" s="3">
        <f>E2866+G2866+H2866</f>
        <v/>
      </c>
      <c r="J2866" s="3">
        <f>ROUND(MIN(IF(C2866="Técnico III",35,IF(C2866="Técnico II",28,IF(C2866="Técnico I",23,IF(C2866="JR",20,IF(C2866="Estágio",10,0))))),IF(C2866="Técnico III",SUMIFS($D:$D,$A:$A,$A2866,$B:$B,"&lt;&gt;Patrícia Karla de Sousa Araújo",$B:$B,"&lt;&gt;Lorena Dias de Araujo",$B:$B,"&lt;&gt;Lucas Luiz Romero")*(35/1083),IF(C2866="Técnico II",SUMIFS($D:$D,$A:$A,$A2866,$B:$B,"&lt;&gt;Patrícia Karla de Sousa Araújo",$B:$B,"&lt;&gt;Lorena Dias de Araujo",$B:$B,"&lt;&gt;Lucas Luiz Romero")*(28/1083),IF(C2866="Técnico I",SUMIFS($D:$D,$A:$A,$A2866,$B:$B,"&lt;&gt;Patrícia Karla de Sousa Araújo",$B:$B,"&lt;&gt;Lorena Dias de Araujo",$B:$B,"&lt;&gt;Lucas Luiz Romero")*(23/1083),IF(C2866="JR",SUMIFS($D:$D,$A:$A,$A2866,$B:$B,"&lt;&gt;Patrícia Karla de Sousa Araújo",$B:$B,"&lt;&gt;Lorena Dias de Araujo",$B:$B,"&lt;&gt;Lucas Luiz Romero")*(20/1083),IF(C2866="Estágio",SUMIFS($D:$D,$A:$A,$A2866,$B:$B,"&lt;&gt;Patrícia Karla de Sousa Araújo",$B:$B,"&lt;&gt;Lorena Dias de Araujo",$B:$B,"&lt;&gt;Lucas Luiz Romero")*(10/1083),0)))))),0)</f>
        <v/>
      </c>
      <c r="K2866" s="3">
        <f>I2866-J2866</f>
        <v/>
      </c>
      <c r="L2866" s="3">
        <f>IF(K2866&lt;-5,"CRÍTICO",IF(K2866&lt;0,"ATENÇÃO",IF(K2866&lt;=5,"OPORTUNO","MUITO BOM")))</f>
        <v/>
      </c>
      <c r="N2866" t="n">
        <v>98.31</v>
      </c>
      <c r="O2866" t="n">
        <v>24.92012779552715</v>
      </c>
    </row>
    <row r="2867" hidden="1">
      <c r="A2867" s="11" t="n">
        <v>46091</v>
      </c>
      <c r="B2867" t="inlineStr">
        <is>
          <t>Kerollen Cristielly de Jesus Siqueira</t>
        </is>
      </c>
      <c r="C2867" t="inlineStr">
        <is>
          <t>Técnico III</t>
        </is>
      </c>
      <c r="D2867" t="n">
        <v>1</v>
      </c>
      <c r="E2867" t="n">
        <v>1</v>
      </c>
      <c r="F2867" t="n">
        <v>43.44</v>
      </c>
      <c r="G2867" t="n">
        <v>0</v>
      </c>
      <c r="H2867" t="n">
        <v>0</v>
      </c>
      <c r="I2867" s="3">
        <f>E2867+G2867+H2867</f>
        <v/>
      </c>
      <c r="J2867" s="3">
        <f>ROUND(MIN(IF(C2867="Técnico III",35,IF(C2867="Técnico II",28,IF(C2867="Técnico I",23,IF(C2867="JR",20,IF(C2867="Estágio",10,0))))),IF(C2867="Técnico III",SUMIFS($D:$D,$A:$A,$A2867,$B:$B,"&lt;&gt;Patrícia Karla de Sousa Araújo",$B:$B,"&lt;&gt;Lorena Dias de Araujo",$B:$B,"&lt;&gt;Lucas Luiz Romero")*(35/1083),IF(C2867="Técnico II",SUMIFS($D:$D,$A:$A,$A2867,$B:$B,"&lt;&gt;Patrícia Karla de Sousa Araújo",$B:$B,"&lt;&gt;Lorena Dias de Araujo",$B:$B,"&lt;&gt;Lucas Luiz Romero")*(28/1083),IF(C2867="Técnico I",SUMIFS($D:$D,$A:$A,$A2867,$B:$B,"&lt;&gt;Patrícia Karla de Sousa Araújo",$B:$B,"&lt;&gt;Lorena Dias de Araujo",$B:$B,"&lt;&gt;Lucas Luiz Romero")*(23/1083),IF(C2867="JR",SUMIFS($D:$D,$A:$A,$A2867,$B:$B,"&lt;&gt;Patrícia Karla de Sousa Araújo",$B:$B,"&lt;&gt;Lorena Dias de Araujo",$B:$B,"&lt;&gt;Lucas Luiz Romero")*(20/1083),IF(C2867="Estágio",SUMIFS($D:$D,$A:$A,$A2867,$B:$B,"&lt;&gt;Patrícia Karla de Sousa Araújo",$B:$B,"&lt;&gt;Lorena Dias de Araujo",$B:$B,"&lt;&gt;Lucas Luiz Romero")*(10/1083),0)))))),0)</f>
        <v/>
      </c>
      <c r="K2867" s="3">
        <f>I2867-J2867</f>
        <v/>
      </c>
      <c r="L2867" s="3">
        <f>IF(K2867&lt;-5,"CRÍTICO",IF(K2867&lt;0,"ATENÇÃO",IF(K2867&lt;=5,"OPORTUNO","MUITO BOM")))</f>
        <v/>
      </c>
      <c r="N2867" t="n">
        <v>96.81</v>
      </c>
      <c r="O2867" t="n">
        <v>32.36514522821577</v>
      </c>
    </row>
    <row r="2868" hidden="1">
      <c r="A2868" s="11" t="n">
        <v>46091</v>
      </c>
      <c r="B2868" t="inlineStr">
        <is>
          <t>Leandro de Souza Silva</t>
        </is>
      </c>
      <c r="C2868" t="inlineStr">
        <is>
          <t>JR</t>
        </is>
      </c>
      <c r="D2868" t="n">
        <v>16</v>
      </c>
      <c r="E2868" t="n">
        <v>12</v>
      </c>
      <c r="F2868" t="n">
        <v>25.06</v>
      </c>
      <c r="G2868" t="n">
        <v>0</v>
      </c>
      <c r="H2868" t="n">
        <v>0</v>
      </c>
      <c r="I2868" s="3">
        <f>E2868+G2868+H2868</f>
        <v/>
      </c>
      <c r="J2868" s="3">
        <f>ROUND(MIN(IF(C2868="Técnico III",35,IF(C2868="Técnico II",28,IF(C2868="Técnico I",23,IF(C2868="JR",20,IF(C2868="Estágio",10,0))))),IF(C2868="Técnico III",SUMIFS($D:$D,$A:$A,$A2868,$B:$B,"&lt;&gt;Patrícia Karla de Sousa Araújo",$B:$B,"&lt;&gt;Lorena Dias de Araujo",$B:$B,"&lt;&gt;Lucas Luiz Romero")*(35/1083),IF(C2868="Técnico II",SUMIFS($D:$D,$A:$A,$A2868,$B:$B,"&lt;&gt;Patrícia Karla de Sousa Araújo",$B:$B,"&lt;&gt;Lorena Dias de Araujo",$B:$B,"&lt;&gt;Lucas Luiz Romero")*(28/1083),IF(C2868="Técnico I",SUMIFS($D:$D,$A:$A,$A2868,$B:$B,"&lt;&gt;Patrícia Karla de Sousa Araújo",$B:$B,"&lt;&gt;Lorena Dias de Araujo",$B:$B,"&lt;&gt;Lucas Luiz Romero")*(23/1083),IF(C2868="JR",SUMIFS($D:$D,$A:$A,$A2868,$B:$B,"&lt;&gt;Patrícia Karla de Sousa Araújo",$B:$B,"&lt;&gt;Lorena Dias de Araujo",$B:$B,"&lt;&gt;Lucas Luiz Romero")*(20/1083),IF(C2868="Estágio",SUMIFS($D:$D,$A:$A,$A2868,$B:$B,"&lt;&gt;Patrícia Karla de Sousa Araújo",$B:$B,"&lt;&gt;Lorena Dias de Araujo",$B:$B,"&lt;&gt;Lucas Luiz Romero")*(10/1083),0)))))),0)</f>
        <v/>
      </c>
      <c r="K2868" s="3">
        <f>I2868-J2868</f>
        <v/>
      </c>
      <c r="L2868" s="3">
        <f>IF(K2868&lt;-5,"CRÍTICO",IF(K2868&lt;0,"ATENÇÃO",IF(K2868&lt;=5,"OPORTUNO","MUITO BOM")))</f>
        <v/>
      </c>
      <c r="N2868" t="n">
        <v>100</v>
      </c>
      <c r="O2868" t="n">
        <v>26.47058823529412</v>
      </c>
    </row>
    <row r="2869" hidden="1">
      <c r="A2869" s="11" t="n">
        <v>46091</v>
      </c>
      <c r="B2869" t="inlineStr">
        <is>
          <t>Leandro Oliveira de Sousa</t>
        </is>
      </c>
      <c r="C2869" t="inlineStr">
        <is>
          <t>Técnico III</t>
        </is>
      </c>
      <c r="D2869" t="n">
        <v>15</v>
      </c>
      <c r="E2869" t="n">
        <v>13</v>
      </c>
      <c r="F2869" t="n">
        <v>20.18</v>
      </c>
      <c r="G2869" t="n">
        <v>0</v>
      </c>
      <c r="H2869" t="n">
        <v>0</v>
      </c>
      <c r="I2869" s="3">
        <f>E2869+G2869+H2869</f>
        <v/>
      </c>
      <c r="J2869" s="3">
        <f>ROUND(MIN(IF(C2869="Técnico III",35,IF(C2869="Técnico II",28,IF(C2869="Técnico I",23,IF(C2869="JR",20,IF(C2869="Estágio",10,0))))),IF(C2869="Técnico III",SUMIFS($D:$D,$A:$A,$A2869,$B:$B,"&lt;&gt;Patrícia Karla de Sousa Araújo",$B:$B,"&lt;&gt;Lorena Dias de Araujo",$B:$B,"&lt;&gt;Lucas Luiz Romero")*(35/1083),IF(C2869="Técnico II",SUMIFS($D:$D,$A:$A,$A2869,$B:$B,"&lt;&gt;Patrícia Karla de Sousa Araújo",$B:$B,"&lt;&gt;Lorena Dias de Araujo",$B:$B,"&lt;&gt;Lucas Luiz Romero")*(28/1083),IF(C2869="Técnico I",SUMIFS($D:$D,$A:$A,$A2869,$B:$B,"&lt;&gt;Patrícia Karla de Sousa Araújo",$B:$B,"&lt;&gt;Lorena Dias de Araujo",$B:$B,"&lt;&gt;Lucas Luiz Romero")*(23/1083),IF(C2869="JR",SUMIFS($D:$D,$A:$A,$A2869,$B:$B,"&lt;&gt;Patrícia Karla de Sousa Araújo",$B:$B,"&lt;&gt;Lorena Dias de Araujo",$B:$B,"&lt;&gt;Lucas Luiz Romero")*(20/1083),IF(C2869="Estágio",SUMIFS($D:$D,$A:$A,$A2869,$B:$B,"&lt;&gt;Patrícia Karla de Sousa Araújo",$B:$B,"&lt;&gt;Lorena Dias de Araujo",$B:$B,"&lt;&gt;Lucas Luiz Romero")*(10/1083),0)))))),0)</f>
        <v/>
      </c>
      <c r="K2869" s="3">
        <f>I2869-J2869</f>
        <v/>
      </c>
      <c r="L2869" s="3">
        <f>IF(K2869&lt;-5,"CRÍTICO",IF(K2869&lt;0,"ATENÇÃO",IF(K2869&lt;=5,"OPORTUNO","MUITO BOM")))</f>
        <v/>
      </c>
      <c r="N2869" t="n">
        <v>100</v>
      </c>
      <c r="O2869" t="n">
        <v>28.49002849002849</v>
      </c>
    </row>
    <row r="2870" hidden="1">
      <c r="A2870" s="11" t="n">
        <v>46091</v>
      </c>
      <c r="B2870" t="inlineStr">
        <is>
          <t>Lizandra Gomes Duarte</t>
        </is>
      </c>
      <c r="C2870" t="inlineStr">
        <is>
          <t>Técnico II</t>
        </is>
      </c>
      <c r="D2870" t="n">
        <v>24</v>
      </c>
      <c r="E2870" t="n">
        <v>22</v>
      </c>
      <c r="F2870" t="n">
        <v>25.13</v>
      </c>
      <c r="G2870" t="n">
        <v>0</v>
      </c>
      <c r="H2870" t="n">
        <v>0</v>
      </c>
      <c r="I2870" s="3">
        <f>E2870+G2870+H2870</f>
        <v/>
      </c>
      <c r="J2870" s="3">
        <f>ROUND(MIN(IF(C2870="Técnico III",35,IF(C2870="Técnico II",28,IF(C2870="Técnico I",23,IF(C2870="JR",20,IF(C2870="Estágio",10,0))))),IF(C2870="Técnico III",SUMIFS($D:$D,$A:$A,$A2870,$B:$B,"&lt;&gt;Patrícia Karla de Sousa Araújo",$B:$B,"&lt;&gt;Lorena Dias de Araujo",$B:$B,"&lt;&gt;Lucas Luiz Romero")*(35/1083),IF(C2870="Técnico II",SUMIFS($D:$D,$A:$A,$A2870,$B:$B,"&lt;&gt;Patrícia Karla de Sousa Araújo",$B:$B,"&lt;&gt;Lorena Dias de Araujo",$B:$B,"&lt;&gt;Lucas Luiz Romero")*(28/1083),IF(C2870="Técnico I",SUMIFS($D:$D,$A:$A,$A2870,$B:$B,"&lt;&gt;Patrícia Karla de Sousa Araújo",$B:$B,"&lt;&gt;Lorena Dias de Araujo",$B:$B,"&lt;&gt;Lucas Luiz Romero")*(23/1083),IF(C2870="JR",SUMIFS($D:$D,$A:$A,$A2870,$B:$B,"&lt;&gt;Patrícia Karla de Sousa Araújo",$B:$B,"&lt;&gt;Lorena Dias de Araujo",$B:$B,"&lt;&gt;Lucas Luiz Romero")*(20/1083),IF(C2870="Estágio",SUMIFS($D:$D,$A:$A,$A2870,$B:$B,"&lt;&gt;Patrícia Karla de Sousa Araújo",$B:$B,"&lt;&gt;Lorena Dias de Araujo",$B:$B,"&lt;&gt;Lucas Luiz Romero")*(10/1083),0)))))),0)</f>
        <v/>
      </c>
      <c r="K2870" s="3">
        <f>I2870-J2870</f>
        <v/>
      </c>
      <c r="L2870" s="3">
        <f>IF(K2870&lt;-5,"CRÍTICO",IF(K2870&lt;0,"ATENÇÃO",IF(K2870&lt;=5,"OPORTUNO","MUITO BOM")))</f>
        <v/>
      </c>
      <c r="N2870" t="n">
        <v>99.14</v>
      </c>
      <c r="O2870" t="n">
        <v>27.2289156626506</v>
      </c>
    </row>
    <row r="2871" hidden="1">
      <c r="A2871" s="11" t="n">
        <v>46091</v>
      </c>
      <c r="B2871" t="inlineStr">
        <is>
          <t>Lorena Dias de Araujo</t>
        </is>
      </c>
      <c r="C2871" t="inlineStr">
        <is>
          <t>Técnico II</t>
        </is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s="3" t="n">
        <v>0</v>
      </c>
      <c r="J2871" s="3" t="n">
        <v>0</v>
      </c>
      <c r="K2871" s="3" t="n">
        <v>0</v>
      </c>
      <c r="L2871" s="3">
        <f>IF(K2871&lt;-5,"CRÍTICO",IF(K2871&lt;0,"ATENÇÃO",IF(K2871&lt;=5,"OPORTUNO","MUITO BOM")))</f>
        <v/>
      </c>
      <c r="N2871" t="n">
        <v>97.52</v>
      </c>
      <c r="O2871" t="n">
        <v>28.2051282051282</v>
      </c>
    </row>
    <row r="2872" hidden="1">
      <c r="A2872" s="11" t="n">
        <v>46091</v>
      </c>
      <c r="B2872" t="inlineStr">
        <is>
          <t>Lucas Luiz Romero</t>
        </is>
      </c>
      <c r="C2872" t="inlineStr">
        <is>
          <t>Técnico III</t>
        </is>
      </c>
      <c r="D2872" t="n">
        <v>37</v>
      </c>
      <c r="E2872" t="n">
        <v>30</v>
      </c>
      <c r="F2872" t="n">
        <v>13.52</v>
      </c>
      <c r="G2872" t="n">
        <v>0</v>
      </c>
      <c r="H2872" t="n">
        <v>0</v>
      </c>
      <c r="I2872" s="3">
        <f>E2872+G2872+H2872</f>
        <v/>
      </c>
      <c r="J2872" s="3">
        <f>ROUND(MIN(IF(C2872="Técnico III",35,IF(C2872="Técnico II",28,IF(C2872="Técnico I",23,IF(C2872="JR",20,IF(C2872="Estágio",10,0))))),IF(C2872="Técnico III",SUMIFS($D:$D,$A:$A,$A2872,$B:$B,"&lt;&gt;Patrícia Karla de Sousa Araújo",$B:$B,"&lt;&gt;Lorena Dias de Araujo",$B:$B,"&lt;&gt;Lucas Luiz Romero")*(35/1083),IF(C2872="Técnico II",SUMIFS($D:$D,$A:$A,$A2872,$B:$B,"&lt;&gt;Patrícia Karla de Sousa Araújo",$B:$B,"&lt;&gt;Lorena Dias de Araujo",$B:$B,"&lt;&gt;Lucas Luiz Romero")*(28/1083),IF(C2872="Técnico I",SUMIFS($D:$D,$A:$A,$A2872,$B:$B,"&lt;&gt;Patrícia Karla de Sousa Araújo",$B:$B,"&lt;&gt;Lorena Dias de Araujo",$B:$B,"&lt;&gt;Lucas Luiz Romero")*(23/1083),IF(C2872="JR",SUMIFS($D:$D,$A:$A,$A2872,$B:$B,"&lt;&gt;Patrícia Karla de Sousa Araújo",$B:$B,"&lt;&gt;Lorena Dias de Araujo",$B:$B,"&lt;&gt;Lucas Luiz Romero")*(20/1083),IF(C2872="Estágio",SUMIFS($D:$D,$A:$A,$A2872,$B:$B,"&lt;&gt;Patrícia Karla de Sousa Araújo",$B:$B,"&lt;&gt;Lorena Dias de Araujo",$B:$B,"&lt;&gt;Lucas Luiz Romero")*(10/1083),0)))))),0)</f>
        <v/>
      </c>
      <c r="K2872" s="3">
        <f>I2872-J2872</f>
        <v/>
      </c>
      <c r="L2872" s="3">
        <f>IF(K2872&lt;-5,"CRÍTICO",IF(K2872&lt;0,"ATENÇÃO",IF(K2872&lt;=5,"OPORTUNO","MUITO BOM")))</f>
        <v/>
      </c>
      <c r="N2872" t="n">
        <v>90</v>
      </c>
      <c r="O2872" t="n">
        <v>24.18604651162791</v>
      </c>
    </row>
    <row r="2873" hidden="1">
      <c r="A2873" s="11" t="n">
        <v>46091</v>
      </c>
      <c r="B2873" t="inlineStr">
        <is>
          <t>Luiz Fernando de Carvalho Junior</t>
        </is>
      </c>
      <c r="C2873" t="inlineStr">
        <is>
          <t>Técnico I</t>
        </is>
      </c>
      <c r="D2873" t="n">
        <v>20</v>
      </c>
      <c r="E2873" t="n">
        <v>19</v>
      </c>
      <c r="F2873" t="n">
        <v>30.04</v>
      </c>
      <c r="G2873" t="n">
        <v>0</v>
      </c>
      <c r="H2873" t="n">
        <v>0</v>
      </c>
      <c r="I2873" s="3">
        <f>E2873+G2873+H2873</f>
        <v/>
      </c>
      <c r="J2873" s="3">
        <f>ROUND(MIN(IF(C2873="Técnico III",35,IF(C2873="Técnico II",28,IF(C2873="Técnico I",23,IF(C2873="JR",20,IF(C2873="Estágio",10,0))))),IF(C2873="Técnico III",SUMIFS($D:$D,$A:$A,$A2873,$B:$B,"&lt;&gt;Patrícia Karla de Sousa Araújo",$B:$B,"&lt;&gt;Lorena Dias de Araujo",$B:$B,"&lt;&gt;Lucas Luiz Romero")*(35/1083),IF(C2873="Técnico II",SUMIFS($D:$D,$A:$A,$A2873,$B:$B,"&lt;&gt;Patrícia Karla de Sousa Araújo",$B:$B,"&lt;&gt;Lorena Dias de Araujo",$B:$B,"&lt;&gt;Lucas Luiz Romero")*(28/1083),IF(C2873="Técnico I",SUMIFS($D:$D,$A:$A,$A2873,$B:$B,"&lt;&gt;Patrícia Karla de Sousa Araújo",$B:$B,"&lt;&gt;Lorena Dias de Araujo",$B:$B,"&lt;&gt;Lucas Luiz Romero")*(23/1083),IF(C2873="JR",SUMIFS($D:$D,$A:$A,$A2873,$B:$B,"&lt;&gt;Patrícia Karla de Sousa Araújo",$B:$B,"&lt;&gt;Lorena Dias de Araujo",$B:$B,"&lt;&gt;Lucas Luiz Romero")*(20/1083),IF(C2873="Estágio",SUMIFS($D:$D,$A:$A,$A2873,$B:$B,"&lt;&gt;Patrícia Karla de Sousa Araújo",$B:$B,"&lt;&gt;Lorena Dias de Araujo",$B:$B,"&lt;&gt;Lucas Luiz Romero")*(10/1083),0)))))),0)</f>
        <v/>
      </c>
      <c r="K2873" s="3">
        <f>I2873-J2873</f>
        <v/>
      </c>
      <c r="L2873" s="3">
        <f>IF(K2873&lt;-5,"CRÍTICO",IF(K2873&lt;0,"ATENÇÃO",IF(K2873&lt;=5,"OPORTUNO","MUITO BOM")))</f>
        <v/>
      </c>
      <c r="N2873" t="n">
        <v>98.90000000000001</v>
      </c>
      <c r="O2873" t="n">
        <v>26.7639902676399</v>
      </c>
    </row>
    <row r="2874" hidden="1">
      <c r="A2874" s="11" t="n">
        <v>46091</v>
      </c>
      <c r="B2874" t="inlineStr">
        <is>
          <t>Maria Eduarda Sousa Costa</t>
        </is>
      </c>
      <c r="C2874" t="inlineStr">
        <is>
          <t>Estágio</t>
        </is>
      </c>
      <c r="D2874" t="n">
        <v>10</v>
      </c>
      <c r="E2874" t="n">
        <v>8</v>
      </c>
      <c r="F2874" t="n">
        <v>33.5</v>
      </c>
      <c r="G2874" t="n">
        <v>0</v>
      </c>
      <c r="H2874" t="n">
        <v>0</v>
      </c>
      <c r="I2874" s="3">
        <f>E2874+G2874+H2874</f>
        <v/>
      </c>
      <c r="J2874" s="3">
        <f>ROUND(MIN(IF(C2874="Técnico III",35,IF(C2874="Técnico II",28,IF(C2874="Técnico I",23,IF(C2874="JR",20,IF(C2874="Estágio",10,0))))),IF(C2874="Técnico III",SUMIFS($D:$D,$A:$A,$A2874,$B:$B,"&lt;&gt;Patrícia Karla de Sousa Araújo",$B:$B,"&lt;&gt;Lorena Dias de Araujo",$B:$B,"&lt;&gt;Lucas Luiz Romero")*(35/1083),IF(C2874="Técnico II",SUMIFS($D:$D,$A:$A,$A2874,$B:$B,"&lt;&gt;Patrícia Karla de Sousa Araújo",$B:$B,"&lt;&gt;Lorena Dias de Araujo",$B:$B,"&lt;&gt;Lucas Luiz Romero")*(28/1083),IF(C2874="Técnico I",SUMIFS($D:$D,$A:$A,$A2874,$B:$B,"&lt;&gt;Patrícia Karla de Sousa Araújo",$B:$B,"&lt;&gt;Lorena Dias de Araujo",$B:$B,"&lt;&gt;Lucas Luiz Romero")*(23/1083),IF(C2874="JR",SUMIFS($D:$D,$A:$A,$A2874,$B:$B,"&lt;&gt;Patrícia Karla de Sousa Araújo",$B:$B,"&lt;&gt;Lorena Dias de Araujo",$B:$B,"&lt;&gt;Lucas Luiz Romero")*(20/1083),IF(C2874="Estágio",SUMIFS($D:$D,$A:$A,$A2874,$B:$B,"&lt;&gt;Patrícia Karla de Sousa Araújo",$B:$B,"&lt;&gt;Lorena Dias de Araujo",$B:$B,"&lt;&gt;Lucas Luiz Romero")*(10/1083),0)))))),0)</f>
        <v/>
      </c>
      <c r="K2874" s="3">
        <f>I2874-J2874</f>
        <v/>
      </c>
      <c r="L2874" s="3">
        <f>IF(K2874&lt;-5,"CRÍTICO",IF(K2874&lt;0,"ATENÇÃO",IF(K2874&lt;=5,"OPORTUNO","MUITO BOM")))</f>
        <v/>
      </c>
      <c r="N2874" t="n">
        <v>88.89</v>
      </c>
      <c r="O2874" t="n">
        <v>25.26315789473684</v>
      </c>
    </row>
    <row r="2875" hidden="1">
      <c r="A2875" s="11" t="n">
        <v>46091</v>
      </c>
      <c r="B2875" t="inlineStr">
        <is>
          <t>Matheus Farias De Souza</t>
        </is>
      </c>
      <c r="C2875" t="inlineStr">
        <is>
          <t>Técnico III</t>
        </is>
      </c>
      <c r="D2875" t="n">
        <v>25</v>
      </c>
      <c r="E2875" t="n">
        <v>24</v>
      </c>
      <c r="F2875" t="n">
        <v>18.29</v>
      </c>
      <c r="G2875" t="n">
        <v>0</v>
      </c>
      <c r="H2875" t="n">
        <v>0</v>
      </c>
      <c r="I2875" s="3">
        <f>E2875+G2875+H2875</f>
        <v/>
      </c>
      <c r="J2875" s="3">
        <f>ROUND(MIN(IF(C2875="Técnico III",35,IF(C2875="Técnico II",28,IF(C2875="Técnico I",23,IF(C2875="JR",20,IF(C2875="Estágio",10,0))))),IF(C2875="Técnico III",SUMIFS($D:$D,$A:$A,$A2875,$B:$B,"&lt;&gt;Patrícia Karla de Sousa Araújo",$B:$B,"&lt;&gt;Lorena Dias de Araujo",$B:$B,"&lt;&gt;Lucas Luiz Romero")*(35/1083),IF(C2875="Técnico II",SUMIFS($D:$D,$A:$A,$A2875,$B:$B,"&lt;&gt;Patrícia Karla de Sousa Araújo",$B:$B,"&lt;&gt;Lorena Dias de Araujo",$B:$B,"&lt;&gt;Lucas Luiz Romero")*(28/1083),IF(C2875="Técnico I",SUMIFS($D:$D,$A:$A,$A2875,$B:$B,"&lt;&gt;Patrícia Karla de Sousa Araújo",$B:$B,"&lt;&gt;Lorena Dias de Araujo",$B:$B,"&lt;&gt;Lucas Luiz Romero")*(23/1083),IF(C2875="JR",SUMIFS($D:$D,$A:$A,$A2875,$B:$B,"&lt;&gt;Patrícia Karla de Sousa Araújo",$B:$B,"&lt;&gt;Lorena Dias de Araujo",$B:$B,"&lt;&gt;Lucas Luiz Romero")*(20/1083),IF(C2875="Estágio",SUMIFS($D:$D,$A:$A,$A2875,$B:$B,"&lt;&gt;Patrícia Karla de Sousa Araújo",$B:$B,"&lt;&gt;Lorena Dias de Araujo",$B:$B,"&lt;&gt;Lucas Luiz Romero")*(10/1083),0)))))),0)</f>
        <v/>
      </c>
      <c r="K2875" s="3">
        <f>I2875-J2875</f>
        <v/>
      </c>
      <c r="L2875" s="3">
        <f>IF(K2875&lt;-5,"CRÍTICO",IF(K2875&lt;0,"ATENÇÃO",IF(K2875&lt;=5,"OPORTUNO","MUITO BOM")))</f>
        <v/>
      </c>
      <c r="N2875" t="n">
        <v>98.86</v>
      </c>
      <c r="O2875" t="n">
        <v>28.95927601809955</v>
      </c>
    </row>
    <row r="2876" hidden="1">
      <c r="A2876" s="11" t="n">
        <v>46091</v>
      </c>
      <c r="B2876" t="inlineStr">
        <is>
          <t>Maysa Victoria Dias Moura</t>
        </is>
      </c>
      <c r="C2876" t="inlineStr">
        <is>
          <t>Técnico III</t>
        </is>
      </c>
      <c r="D2876" t="n">
        <v>30</v>
      </c>
      <c r="E2876" t="n">
        <v>30</v>
      </c>
      <c r="F2876" t="n">
        <v>17.24</v>
      </c>
      <c r="G2876" t="n">
        <v>0</v>
      </c>
      <c r="H2876" t="n">
        <v>0</v>
      </c>
      <c r="I2876" s="3">
        <f>E2876+G2876+H2876</f>
        <v/>
      </c>
      <c r="J2876" s="3">
        <f>ROUND(MIN(IF(C2876="Técnico III",35,IF(C2876="Técnico II",28,IF(C2876="Técnico I",23,IF(C2876="JR",20,IF(C2876="Estágio",10,0))))),IF(C2876="Técnico III",SUMIFS($D:$D,$A:$A,$A2876,$B:$B,"&lt;&gt;Patrícia Karla de Sousa Araújo",$B:$B,"&lt;&gt;Lorena Dias de Araujo",$B:$B,"&lt;&gt;Lucas Luiz Romero")*(35/1083),IF(C2876="Técnico II",SUMIFS($D:$D,$A:$A,$A2876,$B:$B,"&lt;&gt;Patrícia Karla de Sousa Araújo",$B:$B,"&lt;&gt;Lorena Dias de Araujo",$B:$B,"&lt;&gt;Lucas Luiz Romero")*(28/1083),IF(C2876="Técnico I",SUMIFS($D:$D,$A:$A,$A2876,$B:$B,"&lt;&gt;Patrícia Karla de Sousa Araújo",$B:$B,"&lt;&gt;Lorena Dias de Araujo",$B:$B,"&lt;&gt;Lucas Luiz Romero")*(23/1083),IF(C2876="JR",SUMIFS($D:$D,$A:$A,$A2876,$B:$B,"&lt;&gt;Patrícia Karla de Sousa Araújo",$B:$B,"&lt;&gt;Lorena Dias de Araujo",$B:$B,"&lt;&gt;Lucas Luiz Romero")*(20/1083),IF(C2876="Estágio",SUMIFS($D:$D,$A:$A,$A2876,$B:$B,"&lt;&gt;Patrícia Karla de Sousa Araújo",$B:$B,"&lt;&gt;Lorena Dias de Araujo",$B:$B,"&lt;&gt;Lucas Luiz Romero")*(10/1083),0)))))),0)</f>
        <v/>
      </c>
      <c r="K2876" s="3">
        <f>I2876-J2876</f>
        <v/>
      </c>
      <c r="L2876" s="3">
        <f>IF(K2876&lt;-5,"CRÍTICO",IF(K2876&lt;0,"ATENÇÃO",IF(K2876&lt;=5,"OPORTUNO","MUITO BOM")))</f>
        <v/>
      </c>
      <c r="N2876" t="n">
        <v>98.06</v>
      </c>
      <c r="O2876" t="n">
        <v>22.40566037735849</v>
      </c>
    </row>
    <row r="2877" hidden="1">
      <c r="A2877" s="11" t="n">
        <v>46091</v>
      </c>
      <c r="B2877" t="inlineStr">
        <is>
          <t>Michelle G Santos</t>
        </is>
      </c>
      <c r="C2877" t="inlineStr">
        <is>
          <t>Estágio</t>
        </is>
      </c>
      <c r="D2877" t="n">
        <v>4</v>
      </c>
      <c r="E2877" t="n">
        <v>4</v>
      </c>
      <c r="F2877" t="n">
        <v>85.25</v>
      </c>
      <c r="G2877" t="n">
        <v>0</v>
      </c>
      <c r="H2877" t="n">
        <v>0</v>
      </c>
      <c r="I2877" s="3">
        <f>E2877+G2877+H2877</f>
        <v/>
      </c>
      <c r="J2877" s="3">
        <f>ROUND(MIN(IF(C2877="Técnico III",35,IF(C2877="Técnico II",28,IF(C2877="Técnico I",23,IF(C2877="JR",20,IF(C2877="Estágio",10,0))))),IF(C2877="Técnico III",SUMIFS($D:$D,$A:$A,$A2877,$B:$B,"&lt;&gt;Patrícia Karla de Sousa Araújo",$B:$B,"&lt;&gt;Lorena Dias de Araujo",$B:$B,"&lt;&gt;Lucas Luiz Romero")*(35/1083),IF(C2877="Técnico II",SUMIFS($D:$D,$A:$A,$A2877,$B:$B,"&lt;&gt;Patrícia Karla de Sousa Araújo",$B:$B,"&lt;&gt;Lorena Dias de Araujo",$B:$B,"&lt;&gt;Lucas Luiz Romero")*(28/1083),IF(C2877="Técnico I",SUMIFS($D:$D,$A:$A,$A2877,$B:$B,"&lt;&gt;Patrícia Karla de Sousa Araújo",$B:$B,"&lt;&gt;Lorena Dias de Araujo",$B:$B,"&lt;&gt;Lucas Luiz Romero")*(23/1083),IF(C2877="JR",SUMIFS($D:$D,$A:$A,$A2877,$B:$B,"&lt;&gt;Patrícia Karla de Sousa Araújo",$B:$B,"&lt;&gt;Lorena Dias de Araujo",$B:$B,"&lt;&gt;Lucas Luiz Romero")*(20/1083),IF(C2877="Estágio",SUMIFS($D:$D,$A:$A,$A2877,$B:$B,"&lt;&gt;Patrícia Karla de Sousa Araújo",$B:$B,"&lt;&gt;Lorena Dias de Araujo",$B:$B,"&lt;&gt;Lucas Luiz Romero")*(10/1083),0)))))),0)</f>
        <v/>
      </c>
      <c r="K2877" s="3">
        <f>I2877-J2877</f>
        <v/>
      </c>
      <c r="L2877" s="3">
        <f>IF(K2877&lt;-5,"CRÍTICO",IF(K2877&lt;0,"ATENÇÃO",IF(K2877&lt;=5,"OPORTUNO","MUITO BOM")))</f>
        <v/>
      </c>
      <c r="N2877" t="n">
        <v>95.83</v>
      </c>
      <c r="O2877" t="n">
        <v>25.77319587628866</v>
      </c>
    </row>
    <row r="2878" hidden="1">
      <c r="A2878" s="11" t="n">
        <v>46091</v>
      </c>
      <c r="B2878" t="inlineStr">
        <is>
          <t>Milena Sales</t>
        </is>
      </c>
      <c r="C2878" t="inlineStr">
        <is>
          <t>JR</t>
        </is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s="3" t="n">
        <v>0</v>
      </c>
      <c r="J2878" s="3" t="n">
        <v>0</v>
      </c>
      <c r="K2878" s="3" t="n">
        <v>0</v>
      </c>
      <c r="L2878" s="3">
        <f>IF(K2878&lt;-5,"CRÍTICO",IF(K2878&lt;0,"ATENÇÃO",IF(K2878&lt;=5,"OPORTUNO","MUITO BOM")))</f>
        <v/>
      </c>
      <c r="N2878" t="n">
        <v>100</v>
      </c>
      <c r="O2878" t="n">
        <v>15.38461538461539</v>
      </c>
    </row>
    <row r="2879" hidden="1">
      <c r="A2879" s="11" t="n">
        <v>46091</v>
      </c>
      <c r="B2879" t="inlineStr">
        <is>
          <t>Patrícia Karla de Sousa Araújo</t>
        </is>
      </c>
      <c r="C2879" t="inlineStr">
        <is>
          <t>Técnico II</t>
        </is>
      </c>
      <c r="D2879" t="n">
        <v>22</v>
      </c>
      <c r="E2879" t="n">
        <v>22</v>
      </c>
      <c r="F2879" t="n">
        <v>24.05</v>
      </c>
      <c r="G2879" t="n">
        <v>0</v>
      </c>
      <c r="H2879" t="n">
        <v>0</v>
      </c>
      <c r="I2879" s="3">
        <f>E2879+G2879+H2879</f>
        <v/>
      </c>
      <c r="J2879" s="3">
        <f>ROUND(MIN(IF(C2879="Técnico III",35,IF(C2879="Técnico II",28,IF(C2879="Técnico I",23,IF(C2879="JR",20,IF(C2879="Estágio",10,0))))),IF(C2879="Técnico III",SUMIFS($D:$D,$A:$A,$A2879,$B:$B,"&lt;&gt;Patrícia Karla de Sousa Araújo",$B:$B,"&lt;&gt;Lorena Dias de Araujo",$B:$B,"&lt;&gt;Lucas Luiz Romero")*(35/1083),IF(C2879="Técnico II",SUMIFS($D:$D,$A:$A,$A2879,$B:$B,"&lt;&gt;Patrícia Karla de Sousa Araújo",$B:$B,"&lt;&gt;Lorena Dias de Araujo",$B:$B,"&lt;&gt;Lucas Luiz Romero")*(28/1083),IF(C2879="Técnico I",SUMIFS($D:$D,$A:$A,$A2879,$B:$B,"&lt;&gt;Patrícia Karla de Sousa Araújo",$B:$B,"&lt;&gt;Lorena Dias de Araujo",$B:$B,"&lt;&gt;Lucas Luiz Romero")*(23/1083),IF(C2879="JR",SUMIFS($D:$D,$A:$A,$A2879,$B:$B,"&lt;&gt;Patrícia Karla de Sousa Araújo",$B:$B,"&lt;&gt;Lorena Dias de Araujo",$B:$B,"&lt;&gt;Lucas Luiz Romero")*(20/1083),IF(C2879="Estágio",SUMIFS($D:$D,$A:$A,$A2879,$B:$B,"&lt;&gt;Patrícia Karla de Sousa Araújo",$B:$B,"&lt;&gt;Lorena Dias de Araujo",$B:$B,"&lt;&gt;Lucas Luiz Romero")*(10/1083),0)))))),0)</f>
        <v/>
      </c>
      <c r="K2879" s="3">
        <f>I2879-J2879</f>
        <v/>
      </c>
      <c r="L2879" s="3">
        <f>IF(K2879&lt;-5,"CRÍTICO",IF(K2879&lt;0,"ATENÇÃO",IF(K2879&lt;=5,"OPORTUNO","MUITO BOM")))</f>
        <v/>
      </c>
      <c r="N2879" t="n">
        <v>100</v>
      </c>
      <c r="O2879" t="n">
        <v>27.51479289940828</v>
      </c>
    </row>
    <row r="2880" hidden="1">
      <c r="A2880" s="11" t="n">
        <v>46091</v>
      </c>
      <c r="B2880" t="inlineStr">
        <is>
          <t>Paulo Ricardo Santos</t>
        </is>
      </c>
      <c r="C2880" t="inlineStr">
        <is>
          <t>JR</t>
        </is>
      </c>
      <c r="D2880" t="n">
        <v>7</v>
      </c>
      <c r="E2880" t="n">
        <v>6</v>
      </c>
      <c r="F2880" t="n">
        <v>48.48</v>
      </c>
      <c r="G2880" t="n">
        <v>0</v>
      </c>
      <c r="H2880" t="n">
        <v>0</v>
      </c>
      <c r="I2880" s="3">
        <f>E2880+G2880+H2880</f>
        <v/>
      </c>
      <c r="J2880" s="3">
        <f>ROUND(MIN(IF(C2880="Técnico III",35,IF(C2880="Técnico II",28,IF(C2880="Técnico I",23,IF(C2880="JR",20,IF(C2880="Estágio",10,0))))),IF(C2880="Técnico III",SUMIFS($D:$D,$A:$A,$A2880,$B:$B,"&lt;&gt;Patrícia Karla de Sousa Araújo",$B:$B,"&lt;&gt;Lorena Dias de Araujo",$B:$B,"&lt;&gt;Lucas Luiz Romero")*(35/1083),IF(C2880="Técnico II",SUMIFS($D:$D,$A:$A,$A2880,$B:$B,"&lt;&gt;Patrícia Karla de Sousa Araújo",$B:$B,"&lt;&gt;Lorena Dias de Araujo",$B:$B,"&lt;&gt;Lucas Luiz Romero")*(28/1083),IF(C2880="Técnico I",SUMIFS($D:$D,$A:$A,$A2880,$B:$B,"&lt;&gt;Patrícia Karla de Sousa Araújo",$B:$B,"&lt;&gt;Lorena Dias de Araujo",$B:$B,"&lt;&gt;Lucas Luiz Romero")*(23/1083),IF(C2880="JR",SUMIFS($D:$D,$A:$A,$A2880,$B:$B,"&lt;&gt;Patrícia Karla de Sousa Araújo",$B:$B,"&lt;&gt;Lorena Dias de Araujo",$B:$B,"&lt;&gt;Lucas Luiz Romero")*(20/1083),IF(C2880="Estágio",SUMIFS($D:$D,$A:$A,$A2880,$B:$B,"&lt;&gt;Patrícia Karla de Sousa Araújo",$B:$B,"&lt;&gt;Lorena Dias de Araujo",$B:$B,"&lt;&gt;Lucas Luiz Romero")*(10/1083),0)))))),0)</f>
        <v/>
      </c>
      <c r="K2880" s="3">
        <f>I2880-J2880</f>
        <v/>
      </c>
      <c r="L2880" s="3">
        <f>IF(K2880&lt;-5,"CRÍTICO",IF(K2880&lt;0,"ATENÇÃO",IF(K2880&lt;=5,"OPORTUNO","MUITO BOM")))</f>
        <v/>
      </c>
      <c r="N2880" t="n">
        <v>100</v>
      </c>
      <c r="O2880" t="n">
        <v>24.87562189054727</v>
      </c>
    </row>
    <row r="2881" hidden="1">
      <c r="A2881" s="11" t="n">
        <v>46091</v>
      </c>
      <c r="B2881" t="inlineStr">
        <is>
          <t>Pedro Luiz Mota Sousa</t>
        </is>
      </c>
      <c r="C2881" t="inlineStr">
        <is>
          <t>JR</t>
        </is>
      </c>
      <c r="D2881" t="n">
        <v>8</v>
      </c>
      <c r="E2881" t="n">
        <v>8</v>
      </c>
      <c r="F2881" t="n">
        <v>55.01</v>
      </c>
      <c r="G2881" t="n">
        <v>0</v>
      </c>
      <c r="H2881" t="n">
        <v>0</v>
      </c>
      <c r="I2881" s="3">
        <f>E2881+G2881+H2881</f>
        <v/>
      </c>
      <c r="J2881" s="3">
        <f>ROUND(MIN(IF(C2881="Técnico III",35,IF(C2881="Técnico II",28,IF(C2881="Técnico I",23,IF(C2881="JR",20,IF(C2881="Estágio",10,0))))),IF(C2881="Técnico III",SUMIFS($D:$D,$A:$A,$A2881,$B:$B,"&lt;&gt;Patrícia Karla de Sousa Araújo",$B:$B,"&lt;&gt;Lorena Dias de Araujo",$B:$B,"&lt;&gt;Lucas Luiz Romero")*(35/1083),IF(C2881="Técnico II",SUMIFS($D:$D,$A:$A,$A2881,$B:$B,"&lt;&gt;Patrícia Karla de Sousa Araújo",$B:$B,"&lt;&gt;Lorena Dias de Araujo",$B:$B,"&lt;&gt;Lucas Luiz Romero")*(28/1083),IF(C2881="Técnico I",SUMIFS($D:$D,$A:$A,$A2881,$B:$B,"&lt;&gt;Patrícia Karla de Sousa Araújo",$B:$B,"&lt;&gt;Lorena Dias de Araujo",$B:$B,"&lt;&gt;Lucas Luiz Romero")*(23/1083),IF(C2881="JR",SUMIFS($D:$D,$A:$A,$A2881,$B:$B,"&lt;&gt;Patrícia Karla de Sousa Araújo",$B:$B,"&lt;&gt;Lorena Dias de Araujo",$B:$B,"&lt;&gt;Lucas Luiz Romero")*(20/1083),IF(C2881="Estágio",SUMIFS($D:$D,$A:$A,$A2881,$B:$B,"&lt;&gt;Patrícia Karla de Sousa Araújo",$B:$B,"&lt;&gt;Lorena Dias de Araujo",$B:$B,"&lt;&gt;Lucas Luiz Romero")*(10/1083),0)))))),0)</f>
        <v/>
      </c>
      <c r="K2881" s="3">
        <f>I2881-J2881</f>
        <v/>
      </c>
      <c r="L2881" s="3">
        <f>IF(K2881&lt;-5,"CRÍTICO",IF(K2881&lt;0,"ATENÇÃO",IF(K2881&lt;=5,"OPORTUNO","MUITO BOM")))</f>
        <v/>
      </c>
      <c r="N2881" t="n">
        <v>100</v>
      </c>
      <c r="O2881" t="n">
        <v>28.10810810810811</v>
      </c>
    </row>
    <row r="2882" hidden="1">
      <c r="A2882" s="11" t="n">
        <v>46091</v>
      </c>
      <c r="B2882" t="inlineStr">
        <is>
          <t>Quirino Diogo Leite Torres</t>
        </is>
      </c>
      <c r="C2882" t="inlineStr">
        <is>
          <t>Estágio</t>
        </is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s="3" t="n">
        <v>0</v>
      </c>
      <c r="J2882" s="3" t="n">
        <v>0</v>
      </c>
      <c r="K2882" s="3" t="n">
        <v>0</v>
      </c>
      <c r="L2882" s="3">
        <f>IF(K2882&lt;-5,"CRÍTICO",IF(K2882&lt;0,"ATENÇÃO",IF(K2882&lt;=5,"OPORTUNO","MUITO BOM")))</f>
        <v/>
      </c>
      <c r="N2882" t="n">
        <v>100</v>
      </c>
      <c r="O2882" t="n">
        <v>35</v>
      </c>
    </row>
    <row r="2883" hidden="1">
      <c r="A2883" s="11" t="n">
        <v>46091</v>
      </c>
      <c r="B2883" t="inlineStr">
        <is>
          <t>Raane Batista Matos</t>
        </is>
      </c>
      <c r="C2883" t="inlineStr">
        <is>
          <t>Técnico I</t>
        </is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s="3" t="n">
        <v>0</v>
      </c>
      <c r="J2883" s="3" t="n">
        <v>0</v>
      </c>
      <c r="K2883" s="3" t="n">
        <v>0</v>
      </c>
      <c r="L2883" s="3">
        <f>IF(K2883&lt;-5,"CRÍTICO",IF(K2883&lt;0,"ATENÇÃO",IF(K2883&lt;=5,"OPORTUNO","MUITO BOM")))</f>
        <v/>
      </c>
      <c r="N2883" t="n">
        <v>95.34999999999999</v>
      </c>
      <c r="O2883" t="n">
        <v>28.61538461538461</v>
      </c>
    </row>
    <row r="2884" hidden="1">
      <c r="A2884" s="11" t="n">
        <v>46091</v>
      </c>
      <c r="B2884" t="inlineStr">
        <is>
          <t>Rafael Gomes de Morais</t>
        </is>
      </c>
      <c r="C2884" t="inlineStr">
        <is>
          <t>Técnico III</t>
        </is>
      </c>
      <c r="D2884" t="n">
        <v>40</v>
      </c>
      <c r="E2884" t="n">
        <v>39</v>
      </c>
      <c r="F2884" t="n">
        <v>15.33</v>
      </c>
      <c r="G2884" t="n">
        <v>0</v>
      </c>
      <c r="H2884" t="n">
        <v>0</v>
      </c>
      <c r="I2884" s="3">
        <f>E2884+G2884+H2884</f>
        <v/>
      </c>
      <c r="J2884" s="3">
        <f>ROUND(MIN(IF(C2884="Técnico III",35,IF(C2884="Técnico II",28,IF(C2884="Técnico I",23,IF(C2884="JR",20,IF(C2884="Estágio",10,0))))),IF(C2884="Técnico III",SUMIFS($D:$D,$A:$A,$A2884,$B:$B,"&lt;&gt;Patrícia Karla de Sousa Araújo",$B:$B,"&lt;&gt;Lorena Dias de Araujo",$B:$B,"&lt;&gt;Lucas Luiz Romero")*(35/1083),IF(C2884="Técnico II",SUMIFS($D:$D,$A:$A,$A2884,$B:$B,"&lt;&gt;Patrícia Karla de Sousa Araújo",$B:$B,"&lt;&gt;Lorena Dias de Araujo",$B:$B,"&lt;&gt;Lucas Luiz Romero")*(28/1083),IF(C2884="Técnico I",SUMIFS($D:$D,$A:$A,$A2884,$B:$B,"&lt;&gt;Patrícia Karla de Sousa Araújo",$B:$B,"&lt;&gt;Lorena Dias de Araujo",$B:$B,"&lt;&gt;Lucas Luiz Romero")*(23/1083),IF(C2884="JR",SUMIFS($D:$D,$A:$A,$A2884,$B:$B,"&lt;&gt;Patrícia Karla de Sousa Araújo",$B:$B,"&lt;&gt;Lorena Dias de Araujo",$B:$B,"&lt;&gt;Lucas Luiz Romero")*(20/1083),IF(C2884="Estágio",SUMIFS($D:$D,$A:$A,$A2884,$B:$B,"&lt;&gt;Patrícia Karla de Sousa Araújo",$B:$B,"&lt;&gt;Lorena Dias de Araujo",$B:$B,"&lt;&gt;Lucas Luiz Romero")*(10/1083),0)))))),0)</f>
        <v/>
      </c>
      <c r="K2884" s="3">
        <f>I2884-J2884</f>
        <v/>
      </c>
      <c r="L2884" s="3">
        <f>IF(K2884&lt;-5,"CRÍTICO",IF(K2884&lt;0,"ATENÇÃO",IF(K2884&lt;=5,"OPORTUNO","MUITO BOM")))</f>
        <v/>
      </c>
      <c r="N2884" t="n">
        <v>98.26000000000001</v>
      </c>
      <c r="O2884" t="n">
        <v>27.54491017964072</v>
      </c>
    </row>
    <row r="2885" hidden="1">
      <c r="A2885" s="11" t="n">
        <v>46091</v>
      </c>
      <c r="B2885" t="inlineStr">
        <is>
          <t>Sara Maria Monteiro Lopes</t>
        </is>
      </c>
      <c r="C2885" t="inlineStr">
        <is>
          <t>Técnico I</t>
        </is>
      </c>
      <c r="D2885" t="n">
        <v>15</v>
      </c>
      <c r="E2885" t="n">
        <v>14</v>
      </c>
      <c r="F2885" t="n">
        <v>40.23</v>
      </c>
      <c r="G2885" t="n">
        <v>0</v>
      </c>
      <c r="H2885" t="n">
        <v>0</v>
      </c>
      <c r="I2885" s="3">
        <f>E2885+G2885+H2885</f>
        <v/>
      </c>
      <c r="J2885" s="3">
        <f>ROUND(MIN(IF(C2885="Técnico III",35,IF(C2885="Técnico II",28,IF(C2885="Técnico I",23,IF(C2885="JR",20,IF(C2885="Estágio",10,0))))),IF(C2885="Técnico III",SUMIFS($D:$D,$A:$A,$A2885,$B:$B,"&lt;&gt;Patrícia Karla de Sousa Araújo",$B:$B,"&lt;&gt;Lorena Dias de Araujo",$B:$B,"&lt;&gt;Lucas Luiz Romero")*(35/1083),IF(C2885="Técnico II",SUMIFS($D:$D,$A:$A,$A2885,$B:$B,"&lt;&gt;Patrícia Karla de Sousa Araújo",$B:$B,"&lt;&gt;Lorena Dias de Araujo",$B:$B,"&lt;&gt;Lucas Luiz Romero")*(28/1083),IF(C2885="Técnico I",SUMIFS($D:$D,$A:$A,$A2885,$B:$B,"&lt;&gt;Patrícia Karla de Sousa Araújo",$B:$B,"&lt;&gt;Lorena Dias de Araujo",$B:$B,"&lt;&gt;Lucas Luiz Romero")*(23/1083),IF(C2885="JR",SUMIFS($D:$D,$A:$A,$A2885,$B:$B,"&lt;&gt;Patrícia Karla de Sousa Araújo",$B:$B,"&lt;&gt;Lorena Dias de Araujo",$B:$B,"&lt;&gt;Lucas Luiz Romero")*(20/1083),IF(C2885="Estágio",SUMIFS($D:$D,$A:$A,$A2885,$B:$B,"&lt;&gt;Patrícia Karla de Sousa Araújo",$B:$B,"&lt;&gt;Lorena Dias de Araujo",$B:$B,"&lt;&gt;Lucas Luiz Romero")*(10/1083),0)))))),0)</f>
        <v/>
      </c>
      <c r="K2885" s="3">
        <f>I2885-J2885</f>
        <v/>
      </c>
      <c r="L2885" s="3">
        <f>IF(K2885&lt;-5,"CRÍTICO",IF(K2885&lt;0,"ATENÇÃO",IF(K2885&lt;=5,"OPORTUNO","MUITO BOM")))</f>
        <v/>
      </c>
      <c r="N2885" t="n">
        <v>98.55</v>
      </c>
      <c r="O2885" t="n">
        <v>25.33783783783784</v>
      </c>
    </row>
    <row r="2886" hidden="1">
      <c r="A2886" s="11" t="n">
        <v>46091</v>
      </c>
      <c r="B2886" t="inlineStr">
        <is>
          <t>Sarah Steffanie de Lima Borges</t>
        </is>
      </c>
      <c r="C2886" t="inlineStr">
        <is>
          <t>Técnico III</t>
        </is>
      </c>
      <c r="D2886" t="n">
        <v>24</v>
      </c>
      <c r="E2886" t="n">
        <v>22</v>
      </c>
      <c r="F2886" t="n">
        <v>20.4</v>
      </c>
      <c r="G2886" t="n">
        <v>0</v>
      </c>
      <c r="H2886" t="n">
        <v>0</v>
      </c>
      <c r="I2886" s="3">
        <f>E2886+G2886+H2886</f>
        <v/>
      </c>
      <c r="J2886" s="3">
        <f>ROUND(MIN(IF(C2886="Técnico III",35,IF(C2886="Técnico II",28,IF(C2886="Técnico I",23,IF(C2886="JR",20,IF(C2886="Estágio",10,0))))),IF(C2886="Técnico III",SUMIFS($D:$D,$A:$A,$A2886,$B:$B,"&lt;&gt;Patrícia Karla de Sousa Araújo",$B:$B,"&lt;&gt;Lorena Dias de Araujo",$B:$B,"&lt;&gt;Lucas Luiz Romero")*(35/1083),IF(C2886="Técnico II",SUMIFS($D:$D,$A:$A,$A2886,$B:$B,"&lt;&gt;Patrícia Karla de Sousa Araújo",$B:$B,"&lt;&gt;Lorena Dias de Araujo",$B:$B,"&lt;&gt;Lucas Luiz Romero")*(28/1083),IF(C2886="Técnico I",SUMIFS($D:$D,$A:$A,$A2886,$B:$B,"&lt;&gt;Patrícia Karla de Sousa Araújo",$B:$B,"&lt;&gt;Lorena Dias de Araujo",$B:$B,"&lt;&gt;Lucas Luiz Romero")*(23/1083),IF(C2886="JR",SUMIFS($D:$D,$A:$A,$A2886,$B:$B,"&lt;&gt;Patrícia Karla de Sousa Araújo",$B:$B,"&lt;&gt;Lorena Dias de Araujo",$B:$B,"&lt;&gt;Lucas Luiz Romero")*(20/1083),IF(C2886="Estágio",SUMIFS($D:$D,$A:$A,$A2886,$B:$B,"&lt;&gt;Patrícia Karla de Sousa Araújo",$B:$B,"&lt;&gt;Lorena Dias de Araujo",$B:$B,"&lt;&gt;Lucas Luiz Romero")*(10/1083),0)))))),0)</f>
        <v/>
      </c>
      <c r="K2886" s="3">
        <f>I2886-J2886</f>
        <v/>
      </c>
      <c r="L2886" s="3">
        <f>IF(K2886&lt;-5,"CRÍTICO",IF(K2886&lt;0,"ATENÇÃO",IF(K2886&lt;=5,"OPORTUNO","MUITO BOM")))</f>
        <v/>
      </c>
      <c r="N2886" t="n">
        <v>98.39</v>
      </c>
      <c r="O2886" t="n">
        <v>25.56390977443609</v>
      </c>
    </row>
    <row r="2887" hidden="1">
      <c r="A2887" s="11" t="n">
        <v>46092</v>
      </c>
      <c r="B2887" t="inlineStr">
        <is>
          <t>Alisson de Freitas Silva</t>
        </is>
      </c>
      <c r="C2887" t="inlineStr">
        <is>
          <t>Técnico II</t>
        </is>
      </c>
      <c r="D2887" t="n">
        <v>43</v>
      </c>
      <c r="E2887" t="n">
        <v>33</v>
      </c>
      <c r="F2887" t="n">
        <v>13.21</v>
      </c>
      <c r="G2887" t="n">
        <v>0</v>
      </c>
      <c r="H2887" t="n">
        <v>0</v>
      </c>
      <c r="I2887" s="3">
        <f>E2887+G2887+H2887</f>
        <v/>
      </c>
      <c r="J2887" s="3">
        <f>ROUND(MIN(IF(C2887="Técnico III",35,IF(C2887="Técnico II",28,IF(C2887="Técnico I",23,IF(C2887="JR",20,IF(C2887="Estágio",10,0))))),IF(C2887="Técnico III",SUMIFS($D:$D,$A:$A,$A2887,$B:$B,"&lt;&gt;Patrícia Karla de Sousa Araújo",$B:$B,"&lt;&gt;Lorena Dias de Araujo",$B:$B,"&lt;&gt;Lucas Luiz Romero")*(35/1083),IF(C2887="Técnico II",SUMIFS($D:$D,$A:$A,$A2887,$B:$B,"&lt;&gt;Patrícia Karla de Sousa Araújo",$B:$B,"&lt;&gt;Lorena Dias de Araujo",$B:$B,"&lt;&gt;Lucas Luiz Romero")*(28/1083),IF(C2887="Técnico I",SUMIFS($D:$D,$A:$A,$A2887,$B:$B,"&lt;&gt;Patrícia Karla de Sousa Araújo",$B:$B,"&lt;&gt;Lorena Dias de Araujo",$B:$B,"&lt;&gt;Lucas Luiz Romero")*(23/1083),IF(C2887="JR",SUMIFS($D:$D,$A:$A,$A2887,$B:$B,"&lt;&gt;Patrícia Karla de Sousa Araújo",$B:$B,"&lt;&gt;Lorena Dias de Araujo",$B:$B,"&lt;&gt;Lucas Luiz Romero")*(20/1083),IF(C2887="Estágio",SUMIFS($D:$D,$A:$A,$A2887,$B:$B,"&lt;&gt;Patrícia Karla de Sousa Araújo",$B:$B,"&lt;&gt;Lorena Dias de Araujo",$B:$B,"&lt;&gt;Lucas Luiz Romero")*(10/1083),0)))))),0)</f>
        <v/>
      </c>
      <c r="K2887" s="3">
        <f>I2887-J2887</f>
        <v/>
      </c>
      <c r="L2887" s="3">
        <f>IF(K2887&lt;-5,"CRÍTICO",IF(K2887&lt;0,"ATENÇÃO",IF(K2887&lt;=5,"OPORTUNO","MUITO BOM")))</f>
        <v/>
      </c>
      <c r="N2887" t="n">
        <v>94.29000000000001</v>
      </c>
      <c r="O2887" t="n">
        <v>25.64766839378239</v>
      </c>
    </row>
    <row r="2888" hidden="1">
      <c r="A2888" s="11" t="n">
        <v>46092</v>
      </c>
      <c r="B2888" t="inlineStr">
        <is>
          <t>Amanda Moura Ferreira</t>
        </is>
      </c>
      <c r="C2888" t="inlineStr">
        <is>
          <t>Técnico III</t>
        </is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s="3" t="n">
        <v>0</v>
      </c>
      <c r="J2888" s="3" t="n">
        <v>0</v>
      </c>
      <c r="K2888" s="3" t="n">
        <v>0</v>
      </c>
      <c r="L2888" s="3">
        <f>IF(K2888&lt;-5,"CRÍTICO",IF(K2888&lt;0,"ATENÇÃO",IF(K2888&lt;=5,"OPORTUNO","MUITO BOM")))</f>
        <v/>
      </c>
      <c r="N2888" t="n">
        <v>98.26000000000001</v>
      </c>
      <c r="O2888" t="n">
        <v>26.66666666666667</v>
      </c>
    </row>
    <row r="2889" hidden="1">
      <c r="A2889" s="11" t="n">
        <v>46092</v>
      </c>
      <c r="B2889" t="inlineStr">
        <is>
          <t>Ana Karollyne Souza Faria</t>
        </is>
      </c>
      <c r="C2889" t="inlineStr">
        <is>
          <t>Técnico I</t>
        </is>
      </c>
      <c r="D2889" t="n">
        <v>19</v>
      </c>
      <c r="E2889" t="n">
        <v>17</v>
      </c>
      <c r="F2889" t="n">
        <v>29.08</v>
      </c>
      <c r="G2889" t="n">
        <v>0</v>
      </c>
      <c r="H2889" t="n">
        <v>0</v>
      </c>
      <c r="I2889" s="3">
        <f>E2889+G2889+H2889</f>
        <v/>
      </c>
      <c r="J2889" s="3">
        <f>ROUND(MIN(IF(C2889="Técnico III",35,IF(C2889="Técnico II",28,IF(C2889="Técnico I",23,IF(C2889="JR",20,IF(C2889="Estágio",10,0))))),IF(C2889="Técnico III",SUMIFS($D:$D,$A:$A,$A2889,$B:$B,"&lt;&gt;Patrícia Karla de Sousa Araújo",$B:$B,"&lt;&gt;Lorena Dias de Araujo",$B:$B,"&lt;&gt;Lucas Luiz Romero")*(35/1083),IF(C2889="Técnico II",SUMIFS($D:$D,$A:$A,$A2889,$B:$B,"&lt;&gt;Patrícia Karla de Sousa Araújo",$B:$B,"&lt;&gt;Lorena Dias de Araujo",$B:$B,"&lt;&gt;Lucas Luiz Romero")*(28/1083),IF(C2889="Técnico I",SUMIFS($D:$D,$A:$A,$A2889,$B:$B,"&lt;&gt;Patrícia Karla de Sousa Araújo",$B:$B,"&lt;&gt;Lorena Dias de Araujo",$B:$B,"&lt;&gt;Lucas Luiz Romero")*(23/1083),IF(C2889="JR",SUMIFS($D:$D,$A:$A,$A2889,$B:$B,"&lt;&gt;Patrícia Karla de Sousa Araújo",$B:$B,"&lt;&gt;Lorena Dias de Araujo",$B:$B,"&lt;&gt;Lucas Luiz Romero")*(20/1083),IF(C2889="Estágio",SUMIFS($D:$D,$A:$A,$A2889,$B:$B,"&lt;&gt;Patrícia Karla de Sousa Araújo",$B:$B,"&lt;&gt;Lorena Dias de Araujo",$B:$B,"&lt;&gt;Lucas Luiz Romero")*(10/1083),0)))))),0)</f>
        <v/>
      </c>
      <c r="K2889" s="3">
        <f>I2889-J2889</f>
        <v/>
      </c>
      <c r="L2889" s="3">
        <f>IF(K2889&lt;-5,"CRÍTICO",IF(K2889&lt;0,"ATENÇÃO",IF(K2889&lt;=5,"OPORTUNO","MUITO BOM")))</f>
        <v/>
      </c>
      <c r="N2889" t="n">
        <v>98.2</v>
      </c>
      <c r="O2889" t="n">
        <v>23.37962962962963</v>
      </c>
    </row>
    <row r="2890" hidden="1">
      <c r="A2890" s="11" t="n">
        <v>46092</v>
      </c>
      <c r="B2890" t="inlineStr">
        <is>
          <t>Ana Paula Da Luz Silva Aleixo</t>
        </is>
      </c>
      <c r="C2890" t="inlineStr">
        <is>
          <t>Técnico III</t>
        </is>
      </c>
      <c r="D2890" t="n">
        <v>36</v>
      </c>
      <c r="E2890" t="n">
        <v>29</v>
      </c>
      <c r="F2890" t="n">
        <v>12.22</v>
      </c>
      <c r="G2890" t="n">
        <v>0</v>
      </c>
      <c r="H2890" t="n">
        <v>0</v>
      </c>
      <c r="I2890" s="3">
        <f>E2890+G2890+H2890</f>
        <v/>
      </c>
      <c r="J2890" s="3">
        <f>ROUND(MIN(IF(C2890="Técnico III",35,IF(C2890="Técnico II",28,IF(C2890="Técnico I",23,IF(C2890="JR",20,IF(C2890="Estágio",10,0))))),IF(C2890="Técnico III",SUMIFS($D:$D,$A:$A,$A2890,$B:$B,"&lt;&gt;Patrícia Karla de Sousa Araújo",$B:$B,"&lt;&gt;Lorena Dias de Araujo",$B:$B,"&lt;&gt;Lucas Luiz Romero")*(35/1083),IF(C2890="Técnico II",SUMIFS($D:$D,$A:$A,$A2890,$B:$B,"&lt;&gt;Patrícia Karla de Sousa Araújo",$B:$B,"&lt;&gt;Lorena Dias de Araujo",$B:$B,"&lt;&gt;Lucas Luiz Romero")*(28/1083),IF(C2890="Técnico I",SUMIFS($D:$D,$A:$A,$A2890,$B:$B,"&lt;&gt;Patrícia Karla de Sousa Araújo",$B:$B,"&lt;&gt;Lorena Dias de Araujo",$B:$B,"&lt;&gt;Lucas Luiz Romero")*(23/1083),IF(C2890="JR",SUMIFS($D:$D,$A:$A,$A2890,$B:$B,"&lt;&gt;Patrícia Karla de Sousa Araújo",$B:$B,"&lt;&gt;Lorena Dias de Araujo",$B:$B,"&lt;&gt;Lucas Luiz Romero")*(20/1083),IF(C2890="Estágio",SUMIFS($D:$D,$A:$A,$A2890,$B:$B,"&lt;&gt;Patrícia Karla de Sousa Araújo",$B:$B,"&lt;&gt;Lorena Dias de Araujo",$B:$B,"&lt;&gt;Lucas Luiz Romero")*(10/1083),0)))))),0)</f>
        <v/>
      </c>
      <c r="K2890" s="3">
        <f>I2890-J2890</f>
        <v/>
      </c>
      <c r="L2890" s="3">
        <f>IF(K2890&lt;-5,"CRÍTICO",IF(K2890&lt;0,"ATENÇÃO",IF(K2890&lt;=5,"OPORTUNO","MUITO BOM")))</f>
        <v/>
      </c>
      <c r="N2890" t="n">
        <v>97.3</v>
      </c>
      <c r="O2890" t="n">
        <v>23.84769539078156</v>
      </c>
    </row>
    <row r="2891" hidden="1">
      <c r="A2891" s="11" t="n">
        <v>46092</v>
      </c>
      <c r="B2891" t="inlineStr">
        <is>
          <t>Anna Luiza Rezende Tavares</t>
        </is>
      </c>
      <c r="C2891" t="inlineStr">
        <is>
          <t>Estágio</t>
        </is>
      </c>
      <c r="D2891" t="n">
        <v>11</v>
      </c>
      <c r="E2891" t="n">
        <v>8</v>
      </c>
      <c r="F2891" t="n">
        <v>25.38</v>
      </c>
      <c r="G2891" t="n">
        <v>0</v>
      </c>
      <c r="H2891" t="n">
        <v>0</v>
      </c>
      <c r="I2891" s="3">
        <f>E2891+G2891+H2891</f>
        <v/>
      </c>
      <c r="J2891" s="3">
        <f>ROUND(MIN(IF(C2891="Técnico III",35,IF(C2891="Técnico II",28,IF(C2891="Técnico I",23,IF(C2891="JR",20,IF(C2891="Estágio",10,0))))),IF(C2891="Técnico III",SUMIFS($D:$D,$A:$A,$A2891,$B:$B,"&lt;&gt;Patrícia Karla de Sousa Araújo",$B:$B,"&lt;&gt;Lorena Dias de Araujo",$B:$B,"&lt;&gt;Lucas Luiz Romero")*(35/1083),IF(C2891="Técnico II",SUMIFS($D:$D,$A:$A,$A2891,$B:$B,"&lt;&gt;Patrícia Karla de Sousa Araújo",$B:$B,"&lt;&gt;Lorena Dias de Araujo",$B:$B,"&lt;&gt;Lucas Luiz Romero")*(28/1083),IF(C2891="Técnico I",SUMIFS($D:$D,$A:$A,$A2891,$B:$B,"&lt;&gt;Patrícia Karla de Sousa Araújo",$B:$B,"&lt;&gt;Lorena Dias de Araujo",$B:$B,"&lt;&gt;Lucas Luiz Romero")*(23/1083),IF(C2891="JR",SUMIFS($D:$D,$A:$A,$A2891,$B:$B,"&lt;&gt;Patrícia Karla de Sousa Araújo",$B:$B,"&lt;&gt;Lorena Dias de Araujo",$B:$B,"&lt;&gt;Lucas Luiz Romero")*(20/1083),IF(C2891="Estágio",SUMIFS($D:$D,$A:$A,$A2891,$B:$B,"&lt;&gt;Patrícia Karla de Sousa Araújo",$B:$B,"&lt;&gt;Lorena Dias de Araujo",$B:$B,"&lt;&gt;Lucas Luiz Romero")*(10/1083),0)))))),0)</f>
        <v/>
      </c>
      <c r="K2891" s="3">
        <f>I2891-J2891</f>
        <v/>
      </c>
      <c r="L2891" s="3">
        <f>IF(K2891&lt;-5,"CRÍTICO",IF(K2891&lt;0,"ATENÇÃO",IF(K2891&lt;=5,"OPORTUNO","MUITO BOM")))</f>
        <v/>
      </c>
      <c r="N2891" t="n">
        <v>100</v>
      </c>
      <c r="O2891" t="n">
        <v>25.26881720430108</v>
      </c>
    </row>
    <row r="2892" hidden="1">
      <c r="A2892" s="11" t="n">
        <v>46092</v>
      </c>
      <c r="B2892" t="inlineStr">
        <is>
          <t>Brenda de Menezes Silva</t>
        </is>
      </c>
      <c r="C2892" t="inlineStr">
        <is>
          <t>Técnico II</t>
        </is>
      </c>
      <c r="D2892" t="n">
        <v>38</v>
      </c>
      <c r="E2892" t="n">
        <v>33</v>
      </c>
      <c r="F2892" t="n">
        <v>15.41</v>
      </c>
      <c r="G2892" t="n">
        <v>0</v>
      </c>
      <c r="H2892" t="n">
        <v>0</v>
      </c>
      <c r="I2892" s="3">
        <f>E2892+G2892+H2892</f>
        <v/>
      </c>
      <c r="J2892" s="3">
        <f>ROUND(MIN(IF(C2892="Técnico III",35,IF(C2892="Técnico II",28,IF(C2892="Técnico I",23,IF(C2892="JR",20,IF(C2892="Estágio",10,0))))),IF(C2892="Técnico III",SUMIFS($D:$D,$A:$A,$A2892,$B:$B,"&lt;&gt;Patrícia Karla de Sousa Araújo",$B:$B,"&lt;&gt;Lorena Dias de Araujo",$B:$B,"&lt;&gt;Lucas Luiz Romero")*(35/1083),IF(C2892="Técnico II",SUMIFS($D:$D,$A:$A,$A2892,$B:$B,"&lt;&gt;Patrícia Karla de Sousa Araújo",$B:$B,"&lt;&gt;Lorena Dias de Araujo",$B:$B,"&lt;&gt;Lucas Luiz Romero")*(28/1083),IF(C2892="Técnico I",SUMIFS($D:$D,$A:$A,$A2892,$B:$B,"&lt;&gt;Patrícia Karla de Sousa Araújo",$B:$B,"&lt;&gt;Lorena Dias de Araujo",$B:$B,"&lt;&gt;Lucas Luiz Romero")*(23/1083),IF(C2892="JR",SUMIFS($D:$D,$A:$A,$A2892,$B:$B,"&lt;&gt;Patrícia Karla de Sousa Araújo",$B:$B,"&lt;&gt;Lorena Dias de Araujo",$B:$B,"&lt;&gt;Lucas Luiz Romero")*(20/1083),IF(C2892="Estágio",SUMIFS($D:$D,$A:$A,$A2892,$B:$B,"&lt;&gt;Patrícia Karla de Sousa Araújo",$B:$B,"&lt;&gt;Lorena Dias de Araujo",$B:$B,"&lt;&gt;Lucas Luiz Romero")*(10/1083),0)))))),0)</f>
        <v/>
      </c>
      <c r="K2892" s="3">
        <f>I2892-J2892</f>
        <v/>
      </c>
      <c r="L2892" s="3">
        <f>IF(K2892&lt;-5,"CRÍTICO",IF(K2892&lt;0,"ATENÇÃO",IF(K2892&lt;=5,"OPORTUNO","MUITO BOM")))</f>
        <v/>
      </c>
      <c r="N2892" t="n">
        <v>99.31999999999999</v>
      </c>
      <c r="O2892" t="n">
        <v>22.82282282282282</v>
      </c>
    </row>
    <row r="2893" hidden="1">
      <c r="A2893" s="11" t="n">
        <v>46092</v>
      </c>
      <c r="B2893" t="inlineStr">
        <is>
          <t>Carlos Mateus Cassimiro Nunes</t>
        </is>
      </c>
      <c r="C2893" t="inlineStr">
        <is>
          <t>Técnico II</t>
        </is>
      </c>
      <c r="D2893" t="n">
        <v>11</v>
      </c>
      <c r="E2893" t="n">
        <v>11</v>
      </c>
      <c r="F2893" t="n">
        <v>33.31</v>
      </c>
      <c r="G2893" t="n">
        <v>0</v>
      </c>
      <c r="H2893" t="n">
        <v>0</v>
      </c>
      <c r="I2893" s="3">
        <f>E2893+G2893+H2893</f>
        <v/>
      </c>
      <c r="J2893" s="3">
        <f>ROUND(MIN(IF(C2893="Técnico III",35,IF(C2893="Técnico II",28,IF(C2893="Técnico I",23,IF(C2893="JR",20,IF(C2893="Estágio",10,0))))),IF(C2893="Técnico III",SUMIFS($D:$D,$A:$A,$A2893,$B:$B,"&lt;&gt;Patrícia Karla de Sousa Araújo",$B:$B,"&lt;&gt;Lorena Dias de Araujo",$B:$B,"&lt;&gt;Lucas Luiz Romero")*(35/1083),IF(C2893="Técnico II",SUMIFS($D:$D,$A:$A,$A2893,$B:$B,"&lt;&gt;Patrícia Karla de Sousa Araújo",$B:$B,"&lt;&gt;Lorena Dias de Araujo",$B:$B,"&lt;&gt;Lucas Luiz Romero")*(28/1083),IF(C2893="Técnico I",SUMIFS($D:$D,$A:$A,$A2893,$B:$B,"&lt;&gt;Patrícia Karla de Sousa Araújo",$B:$B,"&lt;&gt;Lorena Dias de Araujo",$B:$B,"&lt;&gt;Lucas Luiz Romero")*(23/1083),IF(C2893="JR",SUMIFS($D:$D,$A:$A,$A2893,$B:$B,"&lt;&gt;Patrícia Karla de Sousa Araújo",$B:$B,"&lt;&gt;Lorena Dias de Araujo",$B:$B,"&lt;&gt;Lucas Luiz Romero")*(20/1083),IF(C2893="Estágio",SUMIFS($D:$D,$A:$A,$A2893,$B:$B,"&lt;&gt;Patrícia Karla de Sousa Araújo",$B:$B,"&lt;&gt;Lorena Dias de Araujo",$B:$B,"&lt;&gt;Lucas Luiz Romero")*(10/1083),0)))))),0)</f>
        <v/>
      </c>
      <c r="K2893" s="3">
        <f>I2893-J2893</f>
        <v/>
      </c>
      <c r="L2893" s="3">
        <f>IF(K2893&lt;-5,"CRÍTICO",IF(K2893&lt;0,"ATENÇÃO",IF(K2893&lt;=5,"OPORTUNO","MUITO BOM")))</f>
        <v/>
      </c>
      <c r="N2893" t="n">
        <v>100</v>
      </c>
      <c r="O2893" t="n">
        <v>27.96610169491525</v>
      </c>
    </row>
    <row r="2894" hidden="1">
      <c r="A2894" s="11" t="n">
        <v>46092</v>
      </c>
      <c r="B2894" t="inlineStr">
        <is>
          <t>Claudio de Sousa Velasco Filho</t>
        </is>
      </c>
      <c r="C2894" t="inlineStr">
        <is>
          <t>Estágio</t>
        </is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s="3" t="n">
        <v>0</v>
      </c>
      <c r="J2894" s="3" t="n">
        <v>0</v>
      </c>
      <c r="K2894" s="3" t="n">
        <v>0</v>
      </c>
      <c r="L2894" s="3">
        <f>IF(K2894&lt;-5,"CRÍTICO",IF(K2894&lt;0,"ATENÇÃO",IF(K2894&lt;=5,"OPORTUNO","MUITO BOM")))</f>
        <v/>
      </c>
      <c r="N2894" t="n">
        <v>100</v>
      </c>
      <c r="O2894" t="n">
        <v>30.43478260869566</v>
      </c>
    </row>
    <row r="2895" hidden="1">
      <c r="A2895" s="11" t="n">
        <v>46092</v>
      </c>
      <c r="B2895" t="inlineStr">
        <is>
          <t>Clessiane Pereira dos Santos</t>
        </is>
      </c>
      <c r="C2895" t="inlineStr">
        <is>
          <t>Técnico I</t>
        </is>
      </c>
      <c r="D2895" t="n">
        <v>23</v>
      </c>
      <c r="E2895" t="n">
        <v>18</v>
      </c>
      <c r="F2895" t="n">
        <v>25.53</v>
      </c>
      <c r="G2895" t="n">
        <v>0</v>
      </c>
      <c r="H2895" t="n">
        <v>0</v>
      </c>
      <c r="I2895" s="3">
        <f>E2895+G2895+H2895</f>
        <v/>
      </c>
      <c r="J2895" s="3">
        <f>ROUND(MIN(IF(C2895="Técnico III",35,IF(C2895="Técnico II",28,IF(C2895="Técnico I",23,IF(C2895="JR",20,IF(C2895="Estágio",10,0))))),IF(C2895="Técnico III",SUMIFS($D:$D,$A:$A,$A2895,$B:$B,"&lt;&gt;Patrícia Karla de Sousa Araújo",$B:$B,"&lt;&gt;Lorena Dias de Araujo",$B:$B,"&lt;&gt;Lucas Luiz Romero")*(35/1083),IF(C2895="Técnico II",SUMIFS($D:$D,$A:$A,$A2895,$B:$B,"&lt;&gt;Patrícia Karla de Sousa Araújo",$B:$B,"&lt;&gt;Lorena Dias de Araujo",$B:$B,"&lt;&gt;Lucas Luiz Romero")*(28/1083),IF(C2895="Técnico I",SUMIFS($D:$D,$A:$A,$A2895,$B:$B,"&lt;&gt;Patrícia Karla de Sousa Araújo",$B:$B,"&lt;&gt;Lorena Dias de Araujo",$B:$B,"&lt;&gt;Lucas Luiz Romero")*(23/1083),IF(C2895="JR",SUMIFS($D:$D,$A:$A,$A2895,$B:$B,"&lt;&gt;Patrícia Karla de Sousa Araújo",$B:$B,"&lt;&gt;Lorena Dias de Araujo",$B:$B,"&lt;&gt;Lucas Luiz Romero")*(20/1083),IF(C2895="Estágio",SUMIFS($D:$D,$A:$A,$A2895,$B:$B,"&lt;&gt;Patrícia Karla de Sousa Araújo",$B:$B,"&lt;&gt;Lorena Dias de Araujo",$B:$B,"&lt;&gt;Lucas Luiz Romero")*(10/1083),0)))))),0)</f>
        <v/>
      </c>
      <c r="K2895" s="3">
        <f>I2895-J2895</f>
        <v/>
      </c>
      <c r="L2895" s="3">
        <f>IF(K2895&lt;-5,"CRÍTICO",IF(K2895&lt;0,"ATENÇÃO",IF(K2895&lt;=5,"OPORTUNO","MUITO BOM")))</f>
        <v/>
      </c>
      <c r="N2895" t="n">
        <v>96.51000000000001</v>
      </c>
      <c r="O2895" t="n">
        <v>22.80285035629454</v>
      </c>
    </row>
    <row r="2896" hidden="1">
      <c r="A2896" s="11" t="n">
        <v>46092</v>
      </c>
      <c r="B2896" t="inlineStr">
        <is>
          <t>Cristiane Ramos da Silva Rocha</t>
        </is>
      </c>
      <c r="C2896" t="inlineStr">
        <is>
          <t>Técnico III</t>
        </is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s="3" t="n">
        <v>0</v>
      </c>
      <c r="J2896" s="3" t="n">
        <v>0</v>
      </c>
      <c r="K2896" s="3" t="n">
        <v>0</v>
      </c>
      <c r="L2896" s="3">
        <f>IF(K2896&lt;-5,"CRÍTICO",IF(K2896&lt;0,"ATENÇÃO",IF(K2896&lt;=5,"OPORTUNO","MUITO BOM")))</f>
        <v/>
      </c>
      <c r="N2896" t="n">
        <v>92.68000000000001</v>
      </c>
      <c r="O2896" t="n">
        <v>27.77777777777778</v>
      </c>
    </row>
    <row r="2897" hidden="1">
      <c r="A2897" s="11" t="n">
        <v>46092</v>
      </c>
      <c r="B2897" t="inlineStr">
        <is>
          <t>Damyllis Lorraine de Oliveira Gonçalves</t>
        </is>
      </c>
      <c r="C2897" t="inlineStr">
        <is>
          <t>Técnico II</t>
        </is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s="3" t="n">
        <v>0</v>
      </c>
      <c r="J2897" s="3" t="n">
        <v>0</v>
      </c>
      <c r="K2897" s="3" t="n">
        <v>0</v>
      </c>
      <c r="L2897" s="3">
        <f>IF(K2897&lt;-5,"CRÍTICO",IF(K2897&lt;0,"ATENÇÃO",IF(K2897&lt;=5,"OPORTUNO","MUITO BOM")))</f>
        <v/>
      </c>
      <c r="N2897" t="n">
        <v>99.03</v>
      </c>
      <c r="O2897" t="n">
        <v>23.99150743099788</v>
      </c>
    </row>
    <row r="2898" hidden="1">
      <c r="A2898" s="11" t="n">
        <v>46092</v>
      </c>
      <c r="B2898" t="inlineStr">
        <is>
          <t>Daniel Gomes da Silva</t>
        </is>
      </c>
      <c r="C2898" t="inlineStr">
        <is>
          <t>Técnico I</t>
        </is>
      </c>
      <c r="D2898" t="n">
        <v>16</v>
      </c>
      <c r="E2898" t="n">
        <v>15</v>
      </c>
      <c r="F2898" t="n">
        <v>29.04</v>
      </c>
      <c r="G2898" t="n">
        <v>0</v>
      </c>
      <c r="H2898" t="n">
        <v>0</v>
      </c>
      <c r="I2898" s="3">
        <f>E2898+G2898+H2898</f>
        <v/>
      </c>
      <c r="J2898" s="3">
        <f>ROUND(MIN(IF(C2898="Técnico III",35,IF(C2898="Técnico II",28,IF(C2898="Técnico I",23,IF(C2898="JR",20,IF(C2898="Estágio",10,0))))),IF(C2898="Técnico III",SUMIFS($D:$D,$A:$A,$A2898,$B:$B,"&lt;&gt;Patrícia Karla de Sousa Araújo",$B:$B,"&lt;&gt;Lorena Dias de Araujo",$B:$B,"&lt;&gt;Lucas Luiz Romero")*(35/1083),IF(C2898="Técnico II",SUMIFS($D:$D,$A:$A,$A2898,$B:$B,"&lt;&gt;Patrícia Karla de Sousa Araújo",$B:$B,"&lt;&gt;Lorena Dias de Araujo",$B:$B,"&lt;&gt;Lucas Luiz Romero")*(28/1083),IF(C2898="Técnico I",SUMIFS($D:$D,$A:$A,$A2898,$B:$B,"&lt;&gt;Patrícia Karla de Sousa Araújo",$B:$B,"&lt;&gt;Lorena Dias de Araujo",$B:$B,"&lt;&gt;Lucas Luiz Romero")*(23/1083),IF(C2898="JR",SUMIFS($D:$D,$A:$A,$A2898,$B:$B,"&lt;&gt;Patrícia Karla de Sousa Araújo",$B:$B,"&lt;&gt;Lorena Dias de Araujo",$B:$B,"&lt;&gt;Lucas Luiz Romero")*(20/1083),IF(C2898="Estágio",SUMIFS($D:$D,$A:$A,$A2898,$B:$B,"&lt;&gt;Patrícia Karla de Sousa Araújo",$B:$B,"&lt;&gt;Lorena Dias de Araujo",$B:$B,"&lt;&gt;Lucas Luiz Romero")*(10/1083),0)))))),0)</f>
        <v/>
      </c>
      <c r="K2898" s="3">
        <f>I2898-J2898</f>
        <v/>
      </c>
      <c r="L2898" s="3">
        <f>IF(K2898&lt;-5,"CRÍTICO",IF(K2898&lt;0,"ATENÇÃO",IF(K2898&lt;=5,"OPORTUNO","MUITO BOM")))</f>
        <v/>
      </c>
      <c r="N2898" t="n">
        <v>98.41</v>
      </c>
      <c r="O2898" t="n">
        <v>28.13852813852814</v>
      </c>
    </row>
    <row r="2899" hidden="1">
      <c r="A2899" s="11" t="n">
        <v>46092</v>
      </c>
      <c r="B2899" t="inlineStr">
        <is>
          <t>Davylla Rodrigues Freitas Silva</t>
        </is>
      </c>
      <c r="C2899" t="inlineStr">
        <is>
          <t>Técnico III</t>
        </is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s="3" t="n">
        <v>0</v>
      </c>
      <c r="J2899" s="3" t="n">
        <v>0</v>
      </c>
      <c r="K2899" s="3" t="n">
        <v>0</v>
      </c>
      <c r="L2899" s="3">
        <f>IF(K2899&lt;-5,"CRÍTICO",IF(K2899&lt;0,"ATENÇÃO",IF(K2899&lt;=5,"OPORTUNO","MUITO BOM")))</f>
        <v/>
      </c>
      <c r="N2899" t="n">
        <v>98.73</v>
      </c>
      <c r="O2899" t="n">
        <v>29.14285714285714</v>
      </c>
    </row>
    <row r="2900" hidden="1">
      <c r="A2900" s="11" t="n">
        <v>46092</v>
      </c>
      <c r="B2900" t="inlineStr">
        <is>
          <t>Emilly Caylane Costa</t>
        </is>
      </c>
      <c r="C2900" t="inlineStr">
        <is>
          <t>Estágio</t>
        </is>
      </c>
      <c r="D2900" t="n">
        <v>7</v>
      </c>
      <c r="E2900" t="n">
        <v>6</v>
      </c>
      <c r="F2900" t="n">
        <v>55.59</v>
      </c>
      <c r="G2900" t="n">
        <v>0</v>
      </c>
      <c r="H2900" t="n">
        <v>0</v>
      </c>
      <c r="I2900" s="3">
        <f>E2900+G2900+H2900</f>
        <v/>
      </c>
      <c r="J2900" s="3">
        <f>ROUND(MIN(IF(C2900="Técnico III",35,IF(C2900="Técnico II",28,IF(C2900="Técnico I",23,IF(C2900="JR",20,IF(C2900="Estágio",10,0))))),IF(C2900="Técnico III",SUMIFS($D:$D,$A:$A,$A2900,$B:$B,"&lt;&gt;Patrícia Karla de Sousa Araújo",$B:$B,"&lt;&gt;Lorena Dias de Araujo",$B:$B,"&lt;&gt;Lucas Luiz Romero")*(35/1083),IF(C2900="Técnico II",SUMIFS($D:$D,$A:$A,$A2900,$B:$B,"&lt;&gt;Patrícia Karla de Sousa Araújo",$B:$B,"&lt;&gt;Lorena Dias de Araujo",$B:$B,"&lt;&gt;Lucas Luiz Romero")*(28/1083),IF(C2900="Técnico I",SUMIFS($D:$D,$A:$A,$A2900,$B:$B,"&lt;&gt;Patrícia Karla de Sousa Araújo",$B:$B,"&lt;&gt;Lorena Dias de Araujo",$B:$B,"&lt;&gt;Lucas Luiz Romero")*(23/1083),IF(C2900="JR",SUMIFS($D:$D,$A:$A,$A2900,$B:$B,"&lt;&gt;Patrícia Karla de Sousa Araújo",$B:$B,"&lt;&gt;Lorena Dias de Araujo",$B:$B,"&lt;&gt;Lucas Luiz Romero")*(20/1083),IF(C2900="Estágio",SUMIFS($D:$D,$A:$A,$A2900,$B:$B,"&lt;&gt;Patrícia Karla de Sousa Araújo",$B:$B,"&lt;&gt;Lorena Dias de Araujo",$B:$B,"&lt;&gt;Lucas Luiz Romero")*(10/1083),0)))))),0)</f>
        <v/>
      </c>
      <c r="K2900" s="3">
        <f>I2900-J2900</f>
        <v/>
      </c>
      <c r="L2900" s="3">
        <f>IF(K2900&lt;-5,"CRÍTICO",IF(K2900&lt;0,"ATENÇÃO",IF(K2900&lt;=5,"OPORTUNO","MUITO BOM")))</f>
        <v/>
      </c>
      <c r="N2900" t="n">
        <v>90.48</v>
      </c>
      <c r="O2900" t="n">
        <v>20.68965517241379</v>
      </c>
    </row>
    <row r="2901" hidden="1">
      <c r="A2901" s="11" t="n">
        <v>46092</v>
      </c>
      <c r="B2901" t="inlineStr">
        <is>
          <t>Emilly Kamilly Medeiros Miranda</t>
        </is>
      </c>
      <c r="C2901" t="inlineStr">
        <is>
          <t>Técnico II</t>
        </is>
      </c>
      <c r="D2901" t="n">
        <v>23</v>
      </c>
      <c r="E2901" t="n">
        <v>16</v>
      </c>
      <c r="F2901" t="n">
        <v>19.13</v>
      </c>
      <c r="G2901" t="n">
        <v>0</v>
      </c>
      <c r="H2901" t="n">
        <v>0</v>
      </c>
      <c r="I2901" s="3">
        <f>E2901+G2901+H2901</f>
        <v/>
      </c>
      <c r="J2901" s="3">
        <f>ROUND(MIN(IF(C2901="Técnico III",35,IF(C2901="Técnico II",28,IF(C2901="Técnico I",23,IF(C2901="JR",20,IF(C2901="Estágio",10,0))))),IF(C2901="Técnico III",SUMIFS($D:$D,$A:$A,$A2901,$B:$B,"&lt;&gt;Patrícia Karla de Sousa Araújo",$B:$B,"&lt;&gt;Lorena Dias de Araujo",$B:$B,"&lt;&gt;Lucas Luiz Romero")*(35/1083),IF(C2901="Técnico II",SUMIFS($D:$D,$A:$A,$A2901,$B:$B,"&lt;&gt;Patrícia Karla de Sousa Araújo",$B:$B,"&lt;&gt;Lorena Dias de Araujo",$B:$B,"&lt;&gt;Lucas Luiz Romero")*(28/1083),IF(C2901="Técnico I",SUMIFS($D:$D,$A:$A,$A2901,$B:$B,"&lt;&gt;Patrícia Karla de Sousa Araújo",$B:$B,"&lt;&gt;Lorena Dias de Araujo",$B:$B,"&lt;&gt;Lucas Luiz Romero")*(23/1083),IF(C2901="JR",SUMIFS($D:$D,$A:$A,$A2901,$B:$B,"&lt;&gt;Patrícia Karla de Sousa Araújo",$B:$B,"&lt;&gt;Lorena Dias de Araujo",$B:$B,"&lt;&gt;Lucas Luiz Romero")*(20/1083),IF(C2901="Estágio",SUMIFS($D:$D,$A:$A,$A2901,$B:$B,"&lt;&gt;Patrícia Karla de Sousa Araújo",$B:$B,"&lt;&gt;Lorena Dias de Araujo",$B:$B,"&lt;&gt;Lucas Luiz Romero")*(10/1083),0)))))),0)</f>
        <v/>
      </c>
      <c r="K2901" s="3">
        <f>I2901-J2901</f>
        <v/>
      </c>
      <c r="L2901" s="3">
        <f>IF(K2901&lt;-5,"CRÍTICO",IF(K2901&lt;0,"ATENÇÃO",IF(K2901&lt;=5,"OPORTUNO","MUITO BOM")))</f>
        <v/>
      </c>
      <c r="N2901" t="n">
        <v>98.06</v>
      </c>
      <c r="O2901" t="n">
        <v>24.78991596638656</v>
      </c>
    </row>
    <row r="2902" hidden="1">
      <c r="A2902" s="11" t="n">
        <v>46092</v>
      </c>
      <c r="B2902" t="inlineStr">
        <is>
          <t>Francielson de Oliveira</t>
        </is>
      </c>
      <c r="C2902" t="inlineStr">
        <is>
          <t>Técnico III</t>
        </is>
      </c>
      <c r="D2902" t="n">
        <v>31</v>
      </c>
      <c r="E2902" t="n">
        <v>28</v>
      </c>
      <c r="F2902" t="n">
        <v>17.32</v>
      </c>
      <c r="G2902" t="n">
        <v>0</v>
      </c>
      <c r="H2902" t="n">
        <v>0</v>
      </c>
      <c r="I2902" s="3">
        <f>E2902+G2902+H2902</f>
        <v/>
      </c>
      <c r="J2902" s="3">
        <f>ROUND(MIN(IF(C2902="Técnico III",35,IF(C2902="Técnico II",28,IF(C2902="Técnico I",23,IF(C2902="JR",20,IF(C2902="Estágio",10,0))))),IF(C2902="Técnico III",SUMIFS($D:$D,$A:$A,$A2902,$B:$B,"&lt;&gt;Patrícia Karla de Sousa Araújo",$B:$B,"&lt;&gt;Lorena Dias de Araujo",$B:$B,"&lt;&gt;Lucas Luiz Romero")*(35/1083),IF(C2902="Técnico II",SUMIFS($D:$D,$A:$A,$A2902,$B:$B,"&lt;&gt;Patrícia Karla de Sousa Araújo",$B:$B,"&lt;&gt;Lorena Dias de Araujo",$B:$B,"&lt;&gt;Lucas Luiz Romero")*(28/1083),IF(C2902="Técnico I",SUMIFS($D:$D,$A:$A,$A2902,$B:$B,"&lt;&gt;Patrícia Karla de Sousa Araújo",$B:$B,"&lt;&gt;Lorena Dias de Araujo",$B:$B,"&lt;&gt;Lucas Luiz Romero")*(23/1083),IF(C2902="JR",SUMIFS($D:$D,$A:$A,$A2902,$B:$B,"&lt;&gt;Patrícia Karla de Sousa Araújo",$B:$B,"&lt;&gt;Lorena Dias de Araujo",$B:$B,"&lt;&gt;Lucas Luiz Romero")*(20/1083),IF(C2902="Estágio",SUMIFS($D:$D,$A:$A,$A2902,$B:$B,"&lt;&gt;Patrícia Karla de Sousa Araújo",$B:$B,"&lt;&gt;Lorena Dias de Araujo",$B:$B,"&lt;&gt;Lucas Luiz Romero")*(10/1083),0)))))),0)</f>
        <v/>
      </c>
      <c r="K2902" s="3">
        <f>I2902-J2902</f>
        <v/>
      </c>
      <c r="L2902" s="3">
        <f>IF(K2902&lt;-5,"CRÍTICO",IF(K2902&lt;0,"ATENÇÃO",IF(K2902&lt;=5,"OPORTUNO","MUITO BOM")))</f>
        <v/>
      </c>
      <c r="N2902" t="n">
        <v>97.78</v>
      </c>
      <c r="O2902" t="n">
        <v>25.49407114624506</v>
      </c>
    </row>
    <row r="2903" hidden="1">
      <c r="A2903" s="11" t="n">
        <v>46092</v>
      </c>
      <c r="B2903" t="inlineStr">
        <is>
          <t>Francilene Ferreira de Jesus</t>
        </is>
      </c>
      <c r="C2903" t="inlineStr">
        <is>
          <t>Técnico II</t>
        </is>
      </c>
      <c r="D2903" t="n">
        <v>46</v>
      </c>
      <c r="E2903" t="n">
        <v>33</v>
      </c>
      <c r="F2903" t="n">
        <v>14.02</v>
      </c>
      <c r="G2903" t="n">
        <v>0</v>
      </c>
      <c r="H2903" t="n">
        <v>0</v>
      </c>
      <c r="I2903" s="3">
        <f>E2903+G2903+H2903</f>
        <v/>
      </c>
      <c r="J2903" s="3">
        <f>ROUND(MIN(IF(C2903="Técnico III",35,IF(C2903="Técnico II",28,IF(C2903="Técnico I",23,IF(C2903="JR",20,IF(C2903="Estágio",10,0))))),IF(C2903="Técnico III",SUMIFS($D:$D,$A:$A,$A2903,$B:$B,"&lt;&gt;Patrícia Karla de Sousa Araújo",$B:$B,"&lt;&gt;Lorena Dias de Araujo",$B:$B,"&lt;&gt;Lucas Luiz Romero")*(35/1083),IF(C2903="Técnico II",SUMIFS($D:$D,$A:$A,$A2903,$B:$B,"&lt;&gt;Patrícia Karla de Sousa Araújo",$B:$B,"&lt;&gt;Lorena Dias de Araujo",$B:$B,"&lt;&gt;Lucas Luiz Romero")*(28/1083),IF(C2903="Técnico I",SUMIFS($D:$D,$A:$A,$A2903,$B:$B,"&lt;&gt;Patrícia Karla de Sousa Araújo",$B:$B,"&lt;&gt;Lorena Dias de Araujo",$B:$B,"&lt;&gt;Lucas Luiz Romero")*(23/1083),IF(C2903="JR",SUMIFS($D:$D,$A:$A,$A2903,$B:$B,"&lt;&gt;Patrícia Karla de Sousa Araújo",$B:$B,"&lt;&gt;Lorena Dias de Araujo",$B:$B,"&lt;&gt;Lucas Luiz Romero")*(20/1083),IF(C2903="Estágio",SUMIFS($D:$D,$A:$A,$A2903,$B:$B,"&lt;&gt;Patrícia Karla de Sousa Araújo",$B:$B,"&lt;&gt;Lorena Dias de Araujo",$B:$B,"&lt;&gt;Lucas Luiz Romero")*(10/1083),0)))))),0)</f>
        <v/>
      </c>
      <c r="K2903" s="3">
        <f>I2903-J2903</f>
        <v/>
      </c>
      <c r="L2903" s="3">
        <f>IF(K2903&lt;-5,"CRÍTICO",IF(K2903&lt;0,"ATENÇÃO",IF(K2903&lt;=5,"OPORTUNO","MUITO BOM")))</f>
        <v/>
      </c>
      <c r="N2903" t="n">
        <v>98.02</v>
      </c>
      <c r="O2903" t="n">
        <v>23.48484848484848</v>
      </c>
    </row>
    <row r="2904" hidden="1">
      <c r="A2904" s="11" t="n">
        <v>46126</v>
      </c>
      <c r="B2904" t="inlineStr">
        <is>
          <t>Gabriel Gomes de Andrade</t>
        </is>
      </c>
      <c r="C2904" t="inlineStr">
        <is>
          <t>Técnico I</t>
        </is>
      </c>
      <c r="D2904" t="n">
        <v>33</v>
      </c>
      <c r="E2904" t="n">
        <v>29</v>
      </c>
      <c r="F2904" t="n">
        <v>13.25</v>
      </c>
      <c r="G2904" t="n">
        <v>0</v>
      </c>
      <c r="H2904" t="n">
        <v>0</v>
      </c>
      <c r="I2904" s="3">
        <f>E2904+G2904+H2904</f>
        <v/>
      </c>
      <c r="J2904" s="3">
        <f>ROUND(MIN(IF(C2904="Técnico III",35,IF(C2904="Técnico II",28,IF(C2904="Técnico I",23,IF(C2904="JR",20,IF(C2904="Estágio",10,0))))),IF(C2904="Técnico III",SUMIFS($D:$D,$A:$A,$A2904,$B:$B,"&lt;&gt;Patrícia Karla de Sousa Araújo",$B:$B,"&lt;&gt;Lorena Dias de Araujo",$B:$B,"&lt;&gt;Lucas Luiz Romero")*(35/1083),IF(C2904="Técnico II",SUMIFS($D:$D,$A:$A,$A2904,$B:$B,"&lt;&gt;Patrícia Karla de Sousa Araújo",$B:$B,"&lt;&gt;Lorena Dias de Araujo",$B:$B,"&lt;&gt;Lucas Luiz Romero")*(28/1083),IF(C2904="Técnico I",SUMIFS($D:$D,$A:$A,$A2904,$B:$B,"&lt;&gt;Patrícia Karla de Sousa Araújo",$B:$B,"&lt;&gt;Lorena Dias de Araujo",$B:$B,"&lt;&gt;Lucas Luiz Romero")*(23/1083),IF(C2904="JR",SUMIFS($D:$D,$A:$A,$A2904,$B:$B,"&lt;&gt;Patrícia Karla de Sousa Araújo",$B:$B,"&lt;&gt;Lorena Dias de Araujo",$B:$B,"&lt;&gt;Lucas Luiz Romero")*(20/1083),IF(C2904="Estágio",SUMIFS($D:$D,$A:$A,$A2904,$B:$B,"&lt;&gt;Patrícia Karla de Sousa Araújo",$B:$B,"&lt;&gt;Lorena Dias de Araujo",$B:$B,"&lt;&gt;Lucas Luiz Romero")*(10/1083),0)))))),0)</f>
        <v/>
      </c>
      <c r="K2904" s="3">
        <f>I2904-J2904</f>
        <v/>
      </c>
      <c r="L2904" s="3">
        <f>IF(K2904&lt;-5,"CRÍTICO",IF(K2904&lt;0,"ATENÇÃO",IF(K2904&lt;=5,"OPORTUNO","MUITO BOM")))</f>
        <v/>
      </c>
      <c r="N2904" t="n">
        <v>99.28</v>
      </c>
      <c r="O2904" t="n">
        <v>27.68924302788844</v>
      </c>
    </row>
    <row r="2905" hidden="1">
      <c r="A2905" s="11" t="n">
        <v>46092</v>
      </c>
      <c r="B2905" t="inlineStr">
        <is>
          <t>Isabella Borges de Oliveira</t>
        </is>
      </c>
      <c r="C2905" t="inlineStr">
        <is>
          <t>Técnico II</t>
        </is>
      </c>
      <c r="D2905" t="n">
        <v>29</v>
      </c>
      <c r="E2905" t="n">
        <v>24</v>
      </c>
      <c r="F2905" t="n">
        <v>16.43</v>
      </c>
      <c r="G2905" t="n">
        <v>0</v>
      </c>
      <c r="H2905" t="n">
        <v>0</v>
      </c>
      <c r="I2905" s="3">
        <f>E2905+G2905+H2905</f>
        <v/>
      </c>
      <c r="J2905" s="3">
        <f>ROUND(MIN(IF(C2905="Técnico III",35,IF(C2905="Técnico II",28,IF(C2905="Técnico I",23,IF(C2905="JR",20,IF(C2905="Estágio",10,0))))),IF(C2905="Técnico III",SUMIFS($D:$D,$A:$A,$A2905,$B:$B,"&lt;&gt;Patrícia Karla de Sousa Araújo",$B:$B,"&lt;&gt;Lorena Dias de Araujo",$B:$B,"&lt;&gt;Lucas Luiz Romero")*(35/1083),IF(C2905="Técnico II",SUMIFS($D:$D,$A:$A,$A2905,$B:$B,"&lt;&gt;Patrícia Karla de Sousa Araújo",$B:$B,"&lt;&gt;Lorena Dias de Araujo",$B:$B,"&lt;&gt;Lucas Luiz Romero")*(28/1083),IF(C2905="Técnico I",SUMIFS($D:$D,$A:$A,$A2905,$B:$B,"&lt;&gt;Patrícia Karla de Sousa Araújo",$B:$B,"&lt;&gt;Lorena Dias de Araujo",$B:$B,"&lt;&gt;Lucas Luiz Romero")*(23/1083),IF(C2905="JR",SUMIFS($D:$D,$A:$A,$A2905,$B:$B,"&lt;&gt;Patrícia Karla de Sousa Araújo",$B:$B,"&lt;&gt;Lorena Dias de Araujo",$B:$B,"&lt;&gt;Lucas Luiz Romero")*(20/1083),IF(C2905="Estágio",SUMIFS($D:$D,$A:$A,$A2905,$B:$B,"&lt;&gt;Patrícia Karla de Sousa Araújo",$B:$B,"&lt;&gt;Lorena Dias de Araujo",$B:$B,"&lt;&gt;Lucas Luiz Romero")*(10/1083),0)))))),0)</f>
        <v/>
      </c>
      <c r="K2905" s="3">
        <f>I2905-J2905</f>
        <v/>
      </c>
      <c r="L2905" s="3">
        <f>IF(K2905&lt;-5,"CRÍTICO",IF(K2905&lt;0,"ATENÇÃO",IF(K2905&lt;=5,"OPORTUNO","MUITO BOM")))</f>
        <v/>
      </c>
      <c r="N2905" t="n">
        <v>100</v>
      </c>
      <c r="O2905" t="n">
        <v>27.04918032786885</v>
      </c>
    </row>
    <row r="2906" hidden="1">
      <c r="A2906" s="11" t="n">
        <v>46092</v>
      </c>
      <c r="B2906" t="inlineStr">
        <is>
          <t>Janaina Lima dos Reis Urany</t>
        </is>
      </c>
      <c r="C2906" t="inlineStr">
        <is>
          <t>Técnico III</t>
        </is>
      </c>
      <c r="D2906" t="n">
        <v>43</v>
      </c>
      <c r="E2906" t="n">
        <v>39</v>
      </c>
      <c r="F2906" t="n">
        <v>17.24</v>
      </c>
      <c r="G2906" t="n">
        <v>0</v>
      </c>
      <c r="H2906" t="n">
        <v>0</v>
      </c>
      <c r="I2906" s="3">
        <f>E2906+G2906+H2906</f>
        <v/>
      </c>
      <c r="J2906" s="3">
        <f>ROUND(MIN(IF(C2906="Técnico III",35,IF(C2906="Técnico II",28,IF(C2906="Técnico I",23,IF(C2906="JR",20,IF(C2906="Estágio",10,0))))),IF(C2906="Técnico III",SUMIFS($D:$D,$A:$A,$A2906,$B:$B,"&lt;&gt;Patrícia Karla de Sousa Araújo",$B:$B,"&lt;&gt;Lorena Dias de Araujo",$B:$B,"&lt;&gt;Lucas Luiz Romero")*(35/1083),IF(C2906="Técnico II",SUMIFS($D:$D,$A:$A,$A2906,$B:$B,"&lt;&gt;Patrícia Karla de Sousa Araújo",$B:$B,"&lt;&gt;Lorena Dias de Araujo",$B:$B,"&lt;&gt;Lucas Luiz Romero")*(28/1083),IF(C2906="Técnico I",SUMIFS($D:$D,$A:$A,$A2906,$B:$B,"&lt;&gt;Patrícia Karla de Sousa Araújo",$B:$B,"&lt;&gt;Lorena Dias de Araujo",$B:$B,"&lt;&gt;Lucas Luiz Romero")*(23/1083),IF(C2906="JR",SUMIFS($D:$D,$A:$A,$A2906,$B:$B,"&lt;&gt;Patrícia Karla de Sousa Araújo",$B:$B,"&lt;&gt;Lorena Dias de Araujo",$B:$B,"&lt;&gt;Lucas Luiz Romero")*(20/1083),IF(C2906="Estágio",SUMIFS($D:$D,$A:$A,$A2906,$B:$B,"&lt;&gt;Patrícia Karla de Sousa Araújo",$B:$B,"&lt;&gt;Lorena Dias de Araujo",$B:$B,"&lt;&gt;Lucas Luiz Romero")*(10/1083),0)))))),0)</f>
        <v/>
      </c>
      <c r="K2906" s="3">
        <f>I2906-J2906</f>
        <v/>
      </c>
      <c r="L2906" s="3">
        <f>IF(K2906&lt;-5,"CRÍTICO",IF(K2906&lt;0,"ATENÇÃO",IF(K2906&lt;=5,"OPORTUNO","MUITO BOM")))</f>
        <v/>
      </c>
      <c r="N2906" t="n">
        <v>97.83</v>
      </c>
      <c r="O2906" t="n">
        <v>26.31578947368421</v>
      </c>
    </row>
    <row r="2907" hidden="1">
      <c r="A2907" s="11" t="n">
        <v>46092</v>
      </c>
      <c r="B2907" t="inlineStr">
        <is>
          <t>Jaqueline Evangelista da Silva Martins</t>
        </is>
      </c>
      <c r="C2907" t="inlineStr">
        <is>
          <t>Técnico III</t>
        </is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s="3" t="n">
        <v>0</v>
      </c>
      <c r="J2907" s="3" t="n">
        <v>0</v>
      </c>
      <c r="K2907" s="3" t="n">
        <v>0</v>
      </c>
      <c r="L2907" s="3">
        <f>IF(K2907&lt;-5,"CRÍTICO",IF(K2907&lt;0,"ATENÇÃO",IF(K2907&lt;=5,"OPORTUNO","MUITO BOM")))</f>
        <v/>
      </c>
      <c r="N2907" t="n">
        <v>100</v>
      </c>
      <c r="O2907" t="n">
        <v>26.70157068062827</v>
      </c>
    </row>
    <row r="2908" hidden="1">
      <c r="A2908" s="11" t="n">
        <v>46092</v>
      </c>
      <c r="B2908" t="inlineStr">
        <is>
          <t>Jessica Faria da Silveira</t>
        </is>
      </c>
      <c r="C2908" t="inlineStr">
        <is>
          <t>Técnico II</t>
        </is>
      </c>
      <c r="D2908" t="n">
        <v>29</v>
      </c>
      <c r="E2908" t="n">
        <v>24</v>
      </c>
      <c r="F2908" t="n">
        <v>20.36</v>
      </c>
      <c r="G2908" t="n">
        <v>0</v>
      </c>
      <c r="H2908" t="n">
        <v>0</v>
      </c>
      <c r="I2908" s="3">
        <f>E2908+G2908+H2908</f>
        <v/>
      </c>
      <c r="J2908" s="3">
        <f>ROUND(MIN(IF(C2908="Técnico III",35,IF(C2908="Técnico II",28,IF(C2908="Técnico I",23,IF(C2908="JR",20,IF(C2908="Estágio",10,0))))),IF(C2908="Técnico III",SUMIFS($D:$D,$A:$A,$A2908,$B:$B,"&lt;&gt;Patrícia Karla de Sousa Araújo",$B:$B,"&lt;&gt;Lorena Dias de Araujo",$B:$B,"&lt;&gt;Lucas Luiz Romero")*(35/1083),IF(C2908="Técnico II",SUMIFS($D:$D,$A:$A,$A2908,$B:$B,"&lt;&gt;Patrícia Karla de Sousa Araújo",$B:$B,"&lt;&gt;Lorena Dias de Araujo",$B:$B,"&lt;&gt;Lucas Luiz Romero")*(28/1083),IF(C2908="Técnico I",SUMIFS($D:$D,$A:$A,$A2908,$B:$B,"&lt;&gt;Patrícia Karla de Sousa Araújo",$B:$B,"&lt;&gt;Lorena Dias de Araujo",$B:$B,"&lt;&gt;Lucas Luiz Romero")*(23/1083),IF(C2908="JR",SUMIFS($D:$D,$A:$A,$A2908,$B:$B,"&lt;&gt;Patrícia Karla de Sousa Araújo",$B:$B,"&lt;&gt;Lorena Dias de Araujo",$B:$B,"&lt;&gt;Lucas Luiz Romero")*(20/1083),IF(C2908="Estágio",SUMIFS($D:$D,$A:$A,$A2908,$B:$B,"&lt;&gt;Patrícia Karla de Sousa Araújo",$B:$B,"&lt;&gt;Lorena Dias de Araujo",$B:$B,"&lt;&gt;Lucas Luiz Romero")*(10/1083),0)))))),0)</f>
        <v/>
      </c>
      <c r="K2908" s="3">
        <f>I2908-J2908</f>
        <v/>
      </c>
      <c r="L2908" s="3">
        <f>IF(K2908&lt;-5,"CRÍTICO",IF(K2908&lt;0,"ATENÇÃO",IF(K2908&lt;=5,"OPORTUNO","MUITO BOM")))</f>
        <v/>
      </c>
      <c r="N2908" t="n">
        <v>97.47</v>
      </c>
      <c r="O2908" t="n">
        <v>22.88732394366197</v>
      </c>
    </row>
    <row r="2909" hidden="1">
      <c r="A2909" s="11" t="n">
        <v>46092</v>
      </c>
      <c r="B2909" t="inlineStr">
        <is>
          <t>Jéssica Fé Moura</t>
        </is>
      </c>
      <c r="C2909" t="inlineStr">
        <is>
          <t>Técnico III</t>
        </is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s="3" t="n">
        <v>0</v>
      </c>
      <c r="J2909" s="3" t="n">
        <v>0</v>
      </c>
      <c r="K2909" s="3" t="n">
        <v>0</v>
      </c>
      <c r="L2909" s="3">
        <f>IF(K2909&lt;-5,"CRÍTICO",IF(K2909&lt;0,"ATENÇÃO",IF(K2909&lt;=5,"OPORTUNO","MUITO BOM")))</f>
        <v/>
      </c>
      <c r="N2909" t="n">
        <v>0</v>
      </c>
      <c r="O2909" t="n">
        <v>0</v>
      </c>
    </row>
    <row r="2910" hidden="1">
      <c r="A2910" s="11" t="n">
        <v>46092</v>
      </c>
      <c r="B2910" t="inlineStr">
        <is>
          <t>Karina Gonçalves Martins</t>
        </is>
      </c>
      <c r="C2910" t="inlineStr">
        <is>
          <t>JR</t>
        </is>
      </c>
      <c r="D2910" t="n">
        <v>6</v>
      </c>
      <c r="E2910" t="n">
        <v>6</v>
      </c>
      <c r="F2910" t="n">
        <v>55.21</v>
      </c>
      <c r="G2910" t="n">
        <v>0</v>
      </c>
      <c r="H2910" t="n">
        <v>0</v>
      </c>
      <c r="I2910" s="3">
        <f>E2910+G2910+H2910</f>
        <v/>
      </c>
      <c r="J2910" s="3">
        <f>ROUND(MIN(IF(C2910="Técnico III",35,IF(C2910="Técnico II",28,IF(C2910="Técnico I",23,IF(C2910="JR",20,IF(C2910="Estágio",10,0))))),IF(C2910="Técnico III",SUMIFS($D:$D,$A:$A,$A2910,$B:$B,"&lt;&gt;Patrícia Karla de Sousa Araújo",$B:$B,"&lt;&gt;Lorena Dias de Araujo",$B:$B,"&lt;&gt;Lucas Luiz Romero")*(35/1083),IF(C2910="Técnico II",SUMIFS($D:$D,$A:$A,$A2910,$B:$B,"&lt;&gt;Patrícia Karla de Sousa Araújo",$B:$B,"&lt;&gt;Lorena Dias de Araujo",$B:$B,"&lt;&gt;Lucas Luiz Romero")*(28/1083),IF(C2910="Técnico I",SUMIFS($D:$D,$A:$A,$A2910,$B:$B,"&lt;&gt;Patrícia Karla de Sousa Araújo",$B:$B,"&lt;&gt;Lorena Dias de Araujo",$B:$B,"&lt;&gt;Lucas Luiz Romero")*(23/1083),IF(C2910="JR",SUMIFS($D:$D,$A:$A,$A2910,$B:$B,"&lt;&gt;Patrícia Karla de Sousa Araújo",$B:$B,"&lt;&gt;Lorena Dias de Araujo",$B:$B,"&lt;&gt;Lucas Luiz Romero")*(20/1083),IF(C2910="Estágio",SUMIFS($D:$D,$A:$A,$A2910,$B:$B,"&lt;&gt;Patrícia Karla de Sousa Araújo",$B:$B,"&lt;&gt;Lorena Dias de Araujo",$B:$B,"&lt;&gt;Lucas Luiz Romero")*(10/1083),0)))))),0)</f>
        <v/>
      </c>
      <c r="K2910" s="3">
        <f>I2910-J2910</f>
        <v/>
      </c>
      <c r="L2910" s="3">
        <f>IF(K2910&lt;-5,"CRÍTICO",IF(K2910&lt;0,"ATENÇÃO",IF(K2910&lt;=5,"OPORTUNO","MUITO BOM")))</f>
        <v/>
      </c>
      <c r="N2910" t="n">
        <v>98.31</v>
      </c>
      <c r="O2910" t="n">
        <v>24.92012779552715</v>
      </c>
    </row>
    <row r="2911" hidden="1">
      <c r="A2911" s="11" t="n">
        <v>46092</v>
      </c>
      <c r="B2911" t="inlineStr">
        <is>
          <t>Kerollen Cristielly de Jesus Siqueira</t>
        </is>
      </c>
      <c r="C2911" t="inlineStr">
        <is>
          <t>Técnico III</t>
        </is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s="3" t="n">
        <v>0</v>
      </c>
      <c r="J2911" s="3" t="n">
        <v>0</v>
      </c>
      <c r="K2911" s="3" t="n">
        <v>0</v>
      </c>
      <c r="L2911" s="3">
        <f>IF(K2911&lt;-5,"CRÍTICO",IF(K2911&lt;0,"ATENÇÃO",IF(K2911&lt;=5,"OPORTUNO","MUITO BOM")))</f>
        <v/>
      </c>
      <c r="N2911" t="n">
        <v>96.81</v>
      </c>
      <c r="O2911" t="n">
        <v>32.36514522821577</v>
      </c>
    </row>
    <row r="2912" hidden="1">
      <c r="A2912" s="11" t="n">
        <v>46092</v>
      </c>
      <c r="B2912" t="inlineStr">
        <is>
          <t>Leandro de Souza Silva</t>
        </is>
      </c>
      <c r="C2912" t="inlineStr">
        <is>
          <t>JR</t>
        </is>
      </c>
      <c r="D2912" t="n">
        <v>12</v>
      </c>
      <c r="E2912" t="n">
        <v>11</v>
      </c>
      <c r="F2912" t="n">
        <v>45</v>
      </c>
      <c r="G2912" t="n">
        <v>0</v>
      </c>
      <c r="H2912" t="n">
        <v>0</v>
      </c>
      <c r="I2912" s="3">
        <f>E2912+G2912+H2912</f>
        <v/>
      </c>
      <c r="J2912" s="3">
        <f>ROUND(MIN(IF(C2912="Técnico III",35,IF(C2912="Técnico II",28,IF(C2912="Técnico I",23,IF(C2912="JR",20,IF(C2912="Estágio",10,0))))),IF(C2912="Técnico III",SUMIFS($D:$D,$A:$A,$A2912,$B:$B,"&lt;&gt;Patrícia Karla de Sousa Araújo",$B:$B,"&lt;&gt;Lorena Dias de Araujo",$B:$B,"&lt;&gt;Lucas Luiz Romero")*(35/1083),IF(C2912="Técnico II",SUMIFS($D:$D,$A:$A,$A2912,$B:$B,"&lt;&gt;Patrícia Karla de Sousa Araújo",$B:$B,"&lt;&gt;Lorena Dias de Araujo",$B:$B,"&lt;&gt;Lucas Luiz Romero")*(28/1083),IF(C2912="Técnico I",SUMIFS($D:$D,$A:$A,$A2912,$B:$B,"&lt;&gt;Patrícia Karla de Sousa Araújo",$B:$B,"&lt;&gt;Lorena Dias de Araujo",$B:$B,"&lt;&gt;Lucas Luiz Romero")*(23/1083),IF(C2912="JR",SUMIFS($D:$D,$A:$A,$A2912,$B:$B,"&lt;&gt;Patrícia Karla de Sousa Araújo",$B:$B,"&lt;&gt;Lorena Dias de Araujo",$B:$B,"&lt;&gt;Lucas Luiz Romero")*(20/1083),IF(C2912="Estágio",SUMIFS($D:$D,$A:$A,$A2912,$B:$B,"&lt;&gt;Patrícia Karla de Sousa Araújo",$B:$B,"&lt;&gt;Lorena Dias de Araujo",$B:$B,"&lt;&gt;Lucas Luiz Romero")*(10/1083),0)))))),0)</f>
        <v/>
      </c>
      <c r="K2912" s="3">
        <f>I2912-J2912</f>
        <v/>
      </c>
      <c r="L2912" s="3">
        <f>IF(K2912&lt;-5,"CRÍTICO",IF(K2912&lt;0,"ATENÇÃO",IF(K2912&lt;=5,"OPORTUNO","MUITO BOM")))</f>
        <v/>
      </c>
      <c r="N2912" t="n">
        <v>100</v>
      </c>
      <c r="O2912" t="n">
        <v>26.47058823529412</v>
      </c>
    </row>
    <row r="2913" hidden="1">
      <c r="A2913" s="11" t="n">
        <v>46092</v>
      </c>
      <c r="B2913" t="inlineStr">
        <is>
          <t>Leandro Oliveira de Sousa</t>
        </is>
      </c>
      <c r="C2913" t="inlineStr">
        <is>
          <t>Técnico III</t>
        </is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s="3" t="n">
        <v>0</v>
      </c>
      <c r="J2913" s="3" t="n">
        <v>0</v>
      </c>
      <c r="K2913" s="3" t="n">
        <v>0</v>
      </c>
      <c r="L2913" s="3">
        <f>IF(K2913&lt;-5,"CRÍTICO",IF(K2913&lt;0,"ATENÇÃO",IF(K2913&lt;=5,"OPORTUNO","MUITO BOM")))</f>
        <v/>
      </c>
      <c r="N2913" t="n">
        <v>100</v>
      </c>
      <c r="O2913" t="n">
        <v>28.49002849002849</v>
      </c>
    </row>
    <row r="2914" hidden="1">
      <c r="A2914" s="11" t="n">
        <v>46092</v>
      </c>
      <c r="B2914" t="inlineStr">
        <is>
          <t>Lizandra Gomes Duarte</t>
        </is>
      </c>
      <c r="C2914" t="inlineStr">
        <is>
          <t>Técnico II</t>
        </is>
      </c>
      <c r="D2914" t="n">
        <v>36</v>
      </c>
      <c r="E2914" t="n">
        <v>34</v>
      </c>
      <c r="F2914" t="n">
        <v>17.37</v>
      </c>
      <c r="G2914" t="n">
        <v>0</v>
      </c>
      <c r="H2914" t="n">
        <v>0</v>
      </c>
      <c r="I2914" s="3">
        <f>E2914+G2914+H2914</f>
        <v/>
      </c>
      <c r="J2914" s="3">
        <f>ROUND(MIN(IF(C2914="Técnico III",35,IF(C2914="Técnico II",28,IF(C2914="Técnico I",23,IF(C2914="JR",20,IF(C2914="Estágio",10,0))))),IF(C2914="Técnico III",SUMIFS($D:$D,$A:$A,$A2914,$B:$B,"&lt;&gt;Patrícia Karla de Sousa Araújo",$B:$B,"&lt;&gt;Lorena Dias de Araujo",$B:$B,"&lt;&gt;Lucas Luiz Romero")*(35/1083),IF(C2914="Técnico II",SUMIFS($D:$D,$A:$A,$A2914,$B:$B,"&lt;&gt;Patrícia Karla de Sousa Araújo",$B:$B,"&lt;&gt;Lorena Dias de Araujo",$B:$B,"&lt;&gt;Lucas Luiz Romero")*(28/1083),IF(C2914="Técnico I",SUMIFS($D:$D,$A:$A,$A2914,$B:$B,"&lt;&gt;Patrícia Karla de Sousa Araújo",$B:$B,"&lt;&gt;Lorena Dias de Araujo",$B:$B,"&lt;&gt;Lucas Luiz Romero")*(23/1083),IF(C2914="JR",SUMIFS($D:$D,$A:$A,$A2914,$B:$B,"&lt;&gt;Patrícia Karla de Sousa Araújo",$B:$B,"&lt;&gt;Lorena Dias de Araujo",$B:$B,"&lt;&gt;Lucas Luiz Romero")*(20/1083),IF(C2914="Estágio",SUMIFS($D:$D,$A:$A,$A2914,$B:$B,"&lt;&gt;Patrícia Karla de Sousa Araújo",$B:$B,"&lt;&gt;Lorena Dias de Araujo",$B:$B,"&lt;&gt;Lucas Luiz Romero")*(10/1083),0)))))),0)</f>
        <v/>
      </c>
      <c r="K2914" s="3">
        <f>I2914-J2914</f>
        <v/>
      </c>
      <c r="L2914" s="3">
        <f>IF(K2914&lt;-5,"CRÍTICO",IF(K2914&lt;0,"ATENÇÃO",IF(K2914&lt;=5,"OPORTUNO","MUITO BOM")))</f>
        <v/>
      </c>
      <c r="N2914" t="n">
        <v>99.14</v>
      </c>
      <c r="O2914" t="n">
        <v>27.2289156626506</v>
      </c>
    </row>
    <row r="2915" hidden="1">
      <c r="A2915" s="11" t="n">
        <v>46092</v>
      </c>
      <c r="B2915" t="inlineStr">
        <is>
          <t>Lorena Dias de Araujo</t>
        </is>
      </c>
      <c r="C2915" t="inlineStr">
        <is>
          <t>Técnico II</t>
        </is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s="3" t="n">
        <v>0</v>
      </c>
      <c r="J2915" s="3" t="n">
        <v>0</v>
      </c>
      <c r="K2915" s="3" t="n">
        <v>0</v>
      </c>
      <c r="L2915" s="3">
        <f>IF(K2915&lt;-5,"CRÍTICO",IF(K2915&lt;0,"ATENÇÃO",IF(K2915&lt;=5,"OPORTUNO","MUITO BOM")))</f>
        <v/>
      </c>
      <c r="N2915" t="n">
        <v>97.52</v>
      </c>
      <c r="O2915" t="n">
        <v>28.2051282051282</v>
      </c>
    </row>
    <row r="2916" hidden="1">
      <c r="A2916" s="11" t="n">
        <v>46092</v>
      </c>
      <c r="B2916" t="inlineStr">
        <is>
          <t>Lucas Luiz Romero</t>
        </is>
      </c>
      <c r="C2916" t="inlineStr">
        <is>
          <t>Técnico III</t>
        </is>
      </c>
      <c r="D2916" t="n">
        <v>60</v>
      </c>
      <c r="E2916" t="n">
        <v>50</v>
      </c>
      <c r="F2916" t="n">
        <v>12.09</v>
      </c>
      <c r="G2916" t="n">
        <v>0</v>
      </c>
      <c r="H2916" t="n">
        <v>0</v>
      </c>
      <c r="I2916" s="3">
        <f>E2916+G2916+H2916</f>
        <v/>
      </c>
      <c r="J2916" s="3">
        <f>ROUND(MIN(IF(C2916="Técnico III",35,IF(C2916="Técnico II",28,IF(C2916="Técnico I",23,IF(C2916="JR",20,IF(C2916="Estágio",10,0))))),IF(C2916="Técnico III",SUMIFS($D:$D,$A:$A,$A2916,$B:$B,"&lt;&gt;Patrícia Karla de Sousa Araújo",$B:$B,"&lt;&gt;Lorena Dias de Araujo",$B:$B,"&lt;&gt;Lucas Luiz Romero")*(35/1083),IF(C2916="Técnico II",SUMIFS($D:$D,$A:$A,$A2916,$B:$B,"&lt;&gt;Patrícia Karla de Sousa Araújo",$B:$B,"&lt;&gt;Lorena Dias de Araujo",$B:$B,"&lt;&gt;Lucas Luiz Romero")*(28/1083),IF(C2916="Técnico I",SUMIFS($D:$D,$A:$A,$A2916,$B:$B,"&lt;&gt;Patrícia Karla de Sousa Araújo",$B:$B,"&lt;&gt;Lorena Dias de Araujo",$B:$B,"&lt;&gt;Lucas Luiz Romero")*(23/1083),IF(C2916="JR",SUMIFS($D:$D,$A:$A,$A2916,$B:$B,"&lt;&gt;Patrícia Karla de Sousa Araújo",$B:$B,"&lt;&gt;Lorena Dias de Araujo",$B:$B,"&lt;&gt;Lucas Luiz Romero")*(20/1083),IF(C2916="Estágio",SUMIFS($D:$D,$A:$A,$A2916,$B:$B,"&lt;&gt;Patrícia Karla de Sousa Araújo",$B:$B,"&lt;&gt;Lorena Dias de Araujo",$B:$B,"&lt;&gt;Lucas Luiz Romero")*(10/1083),0)))))),0)</f>
        <v/>
      </c>
      <c r="K2916" s="3">
        <f>I2916-J2916</f>
        <v/>
      </c>
      <c r="L2916" s="3">
        <f>IF(K2916&lt;-5,"CRÍTICO",IF(K2916&lt;0,"ATENÇÃO",IF(K2916&lt;=5,"OPORTUNO","MUITO BOM")))</f>
        <v/>
      </c>
      <c r="N2916" t="n">
        <v>90</v>
      </c>
      <c r="O2916" t="n">
        <v>24.18604651162791</v>
      </c>
    </row>
    <row r="2917" hidden="1">
      <c r="A2917" s="11" t="n">
        <v>46092</v>
      </c>
      <c r="B2917" t="inlineStr">
        <is>
          <t>Luiz Fernando de Carvalho Junior</t>
        </is>
      </c>
      <c r="C2917" t="inlineStr">
        <is>
          <t>Técnico I</t>
        </is>
      </c>
      <c r="D2917" t="n">
        <v>15</v>
      </c>
      <c r="E2917" t="n">
        <v>14</v>
      </c>
      <c r="F2917" t="n">
        <v>38.46</v>
      </c>
      <c r="G2917" t="n">
        <v>0</v>
      </c>
      <c r="H2917" t="n">
        <v>0</v>
      </c>
      <c r="I2917" s="3">
        <f>E2917+G2917+H2917</f>
        <v/>
      </c>
      <c r="J2917" s="3">
        <f>ROUND(MIN(IF(C2917="Técnico III",35,IF(C2917="Técnico II",28,IF(C2917="Técnico I",23,IF(C2917="JR",20,IF(C2917="Estágio",10,0))))),IF(C2917="Técnico III",SUMIFS($D:$D,$A:$A,$A2917,$B:$B,"&lt;&gt;Patrícia Karla de Sousa Araújo",$B:$B,"&lt;&gt;Lorena Dias de Araujo",$B:$B,"&lt;&gt;Lucas Luiz Romero")*(35/1083),IF(C2917="Técnico II",SUMIFS($D:$D,$A:$A,$A2917,$B:$B,"&lt;&gt;Patrícia Karla de Sousa Araújo",$B:$B,"&lt;&gt;Lorena Dias de Araujo",$B:$B,"&lt;&gt;Lucas Luiz Romero")*(28/1083),IF(C2917="Técnico I",SUMIFS($D:$D,$A:$A,$A2917,$B:$B,"&lt;&gt;Patrícia Karla de Sousa Araújo",$B:$B,"&lt;&gt;Lorena Dias de Araujo",$B:$B,"&lt;&gt;Lucas Luiz Romero")*(23/1083),IF(C2917="JR",SUMIFS($D:$D,$A:$A,$A2917,$B:$B,"&lt;&gt;Patrícia Karla de Sousa Araújo",$B:$B,"&lt;&gt;Lorena Dias de Araujo",$B:$B,"&lt;&gt;Lucas Luiz Romero")*(20/1083),IF(C2917="Estágio",SUMIFS($D:$D,$A:$A,$A2917,$B:$B,"&lt;&gt;Patrícia Karla de Sousa Araújo",$B:$B,"&lt;&gt;Lorena Dias de Araujo",$B:$B,"&lt;&gt;Lucas Luiz Romero")*(10/1083),0)))))),0)</f>
        <v/>
      </c>
      <c r="K2917" s="3">
        <f>I2917-J2917</f>
        <v/>
      </c>
      <c r="L2917" s="3">
        <f>IF(K2917&lt;-5,"CRÍTICO",IF(K2917&lt;0,"ATENÇÃO",IF(K2917&lt;=5,"OPORTUNO","MUITO BOM")))</f>
        <v/>
      </c>
      <c r="N2917" t="n">
        <v>98.90000000000001</v>
      </c>
      <c r="O2917" t="n">
        <v>26.7639902676399</v>
      </c>
    </row>
    <row r="2918" hidden="1">
      <c r="A2918" s="11" t="n">
        <v>46092</v>
      </c>
      <c r="B2918" t="inlineStr">
        <is>
          <t>Maria Eduarda Sousa Costa</t>
        </is>
      </c>
      <c r="C2918" t="inlineStr">
        <is>
          <t>Estágio</t>
        </is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s="3" t="n">
        <v>0</v>
      </c>
      <c r="J2918" s="3" t="n">
        <v>0</v>
      </c>
      <c r="K2918" s="3" t="n">
        <v>0</v>
      </c>
      <c r="L2918" s="3">
        <f>IF(K2918&lt;-5,"CRÍTICO",IF(K2918&lt;0,"ATENÇÃO",IF(K2918&lt;=5,"OPORTUNO","MUITO BOM")))</f>
        <v/>
      </c>
      <c r="N2918" t="n">
        <v>88.89</v>
      </c>
      <c r="O2918" t="n">
        <v>25.26315789473684</v>
      </c>
    </row>
    <row r="2919" hidden="1">
      <c r="A2919" s="11" t="n">
        <v>46092</v>
      </c>
      <c r="B2919" t="inlineStr">
        <is>
          <t>Matheus Farias De Souza</t>
        </is>
      </c>
      <c r="C2919" t="inlineStr">
        <is>
          <t>Técnico III</t>
        </is>
      </c>
      <c r="D2919" t="n">
        <v>39</v>
      </c>
      <c r="E2919" t="n">
        <v>36</v>
      </c>
      <c r="F2919" t="n">
        <v>17.07</v>
      </c>
      <c r="G2919" t="n">
        <v>0</v>
      </c>
      <c r="H2919" t="n">
        <v>0</v>
      </c>
      <c r="I2919" s="3">
        <f>E2919+G2919+H2919</f>
        <v/>
      </c>
      <c r="J2919" s="3">
        <f>ROUND(MIN(IF(C2919="Técnico III",35,IF(C2919="Técnico II",28,IF(C2919="Técnico I",23,IF(C2919="JR",20,IF(C2919="Estágio",10,0))))),IF(C2919="Técnico III",SUMIFS($D:$D,$A:$A,$A2919,$B:$B,"&lt;&gt;Patrícia Karla de Sousa Araújo",$B:$B,"&lt;&gt;Lorena Dias de Araujo",$B:$B,"&lt;&gt;Lucas Luiz Romero")*(35/1083),IF(C2919="Técnico II",SUMIFS($D:$D,$A:$A,$A2919,$B:$B,"&lt;&gt;Patrícia Karla de Sousa Araújo",$B:$B,"&lt;&gt;Lorena Dias de Araujo",$B:$B,"&lt;&gt;Lucas Luiz Romero")*(28/1083),IF(C2919="Técnico I",SUMIFS($D:$D,$A:$A,$A2919,$B:$B,"&lt;&gt;Patrícia Karla de Sousa Araújo",$B:$B,"&lt;&gt;Lorena Dias de Araujo",$B:$B,"&lt;&gt;Lucas Luiz Romero")*(23/1083),IF(C2919="JR",SUMIFS($D:$D,$A:$A,$A2919,$B:$B,"&lt;&gt;Patrícia Karla de Sousa Araújo",$B:$B,"&lt;&gt;Lorena Dias de Araujo",$B:$B,"&lt;&gt;Lucas Luiz Romero")*(20/1083),IF(C2919="Estágio",SUMIFS($D:$D,$A:$A,$A2919,$B:$B,"&lt;&gt;Patrícia Karla de Sousa Araújo",$B:$B,"&lt;&gt;Lorena Dias de Araujo",$B:$B,"&lt;&gt;Lucas Luiz Romero")*(10/1083),0)))))),0)</f>
        <v/>
      </c>
      <c r="K2919" s="3">
        <f>I2919-J2919</f>
        <v/>
      </c>
      <c r="L2919" s="3">
        <f>IF(K2919&lt;-5,"CRÍTICO",IF(K2919&lt;0,"ATENÇÃO",IF(K2919&lt;=5,"OPORTUNO","MUITO BOM")))</f>
        <v/>
      </c>
      <c r="N2919" t="n">
        <v>98.86</v>
      </c>
      <c r="O2919" t="n">
        <v>28.95927601809955</v>
      </c>
    </row>
    <row r="2920" hidden="1">
      <c r="A2920" s="11" t="n">
        <v>46092</v>
      </c>
      <c r="B2920" t="inlineStr">
        <is>
          <t>Maysa Victoria Dias Moura</t>
        </is>
      </c>
      <c r="C2920" t="inlineStr">
        <is>
          <t>Técnico III</t>
        </is>
      </c>
      <c r="D2920" t="n">
        <v>33</v>
      </c>
      <c r="E2920" t="n">
        <v>29</v>
      </c>
      <c r="F2920" t="n">
        <v>17.15</v>
      </c>
      <c r="G2920" t="n">
        <v>0</v>
      </c>
      <c r="H2920" t="n">
        <v>0</v>
      </c>
      <c r="I2920" s="3">
        <f>E2920+G2920+H2920</f>
        <v/>
      </c>
      <c r="J2920" s="3">
        <f>ROUND(MIN(IF(C2920="Técnico III",35,IF(C2920="Técnico II",28,IF(C2920="Técnico I",23,IF(C2920="JR",20,IF(C2920="Estágio",10,0))))),IF(C2920="Técnico III",SUMIFS($D:$D,$A:$A,$A2920,$B:$B,"&lt;&gt;Patrícia Karla de Sousa Araújo",$B:$B,"&lt;&gt;Lorena Dias de Araujo",$B:$B,"&lt;&gt;Lucas Luiz Romero")*(35/1083),IF(C2920="Técnico II",SUMIFS($D:$D,$A:$A,$A2920,$B:$B,"&lt;&gt;Patrícia Karla de Sousa Araújo",$B:$B,"&lt;&gt;Lorena Dias de Araujo",$B:$B,"&lt;&gt;Lucas Luiz Romero")*(28/1083),IF(C2920="Técnico I",SUMIFS($D:$D,$A:$A,$A2920,$B:$B,"&lt;&gt;Patrícia Karla de Sousa Araújo",$B:$B,"&lt;&gt;Lorena Dias de Araujo",$B:$B,"&lt;&gt;Lucas Luiz Romero")*(23/1083),IF(C2920="JR",SUMIFS($D:$D,$A:$A,$A2920,$B:$B,"&lt;&gt;Patrícia Karla de Sousa Araújo",$B:$B,"&lt;&gt;Lorena Dias de Araujo",$B:$B,"&lt;&gt;Lucas Luiz Romero")*(20/1083),IF(C2920="Estágio",SUMIFS($D:$D,$A:$A,$A2920,$B:$B,"&lt;&gt;Patrícia Karla de Sousa Araújo",$B:$B,"&lt;&gt;Lorena Dias de Araujo",$B:$B,"&lt;&gt;Lucas Luiz Romero")*(10/1083),0)))))),0)</f>
        <v/>
      </c>
      <c r="K2920" s="3">
        <f>I2920-J2920</f>
        <v/>
      </c>
      <c r="L2920" s="3">
        <f>IF(K2920&lt;-5,"CRÍTICO",IF(K2920&lt;0,"ATENÇÃO",IF(K2920&lt;=5,"OPORTUNO","MUITO BOM")))</f>
        <v/>
      </c>
      <c r="N2920" t="n">
        <v>98.06</v>
      </c>
      <c r="O2920" t="n">
        <v>22.40566037735849</v>
      </c>
    </row>
    <row r="2921" hidden="1">
      <c r="A2921" s="11" t="n">
        <v>46092</v>
      </c>
      <c r="B2921" t="inlineStr">
        <is>
          <t>Michelle G Santos</t>
        </is>
      </c>
      <c r="C2921" t="inlineStr">
        <is>
          <t>Estágio</t>
        </is>
      </c>
      <c r="D2921" t="n">
        <v>6</v>
      </c>
      <c r="E2921" t="n">
        <v>5</v>
      </c>
      <c r="F2921" t="n">
        <v>46.5</v>
      </c>
      <c r="G2921" t="n">
        <v>0</v>
      </c>
      <c r="H2921" t="n">
        <v>0</v>
      </c>
      <c r="I2921" s="3">
        <f>E2921+G2921+H2921</f>
        <v/>
      </c>
      <c r="J2921" s="3">
        <f>ROUND(MIN(IF(C2921="Técnico III",35,IF(C2921="Técnico II",28,IF(C2921="Técnico I",23,IF(C2921="JR",20,IF(C2921="Estágio",10,0))))),IF(C2921="Técnico III",SUMIFS($D:$D,$A:$A,$A2921,$B:$B,"&lt;&gt;Patrícia Karla de Sousa Araújo",$B:$B,"&lt;&gt;Lorena Dias de Araujo",$B:$B,"&lt;&gt;Lucas Luiz Romero")*(35/1083),IF(C2921="Técnico II",SUMIFS($D:$D,$A:$A,$A2921,$B:$B,"&lt;&gt;Patrícia Karla de Sousa Araújo",$B:$B,"&lt;&gt;Lorena Dias de Araujo",$B:$B,"&lt;&gt;Lucas Luiz Romero")*(28/1083),IF(C2921="Técnico I",SUMIFS($D:$D,$A:$A,$A2921,$B:$B,"&lt;&gt;Patrícia Karla de Sousa Araújo",$B:$B,"&lt;&gt;Lorena Dias de Araujo",$B:$B,"&lt;&gt;Lucas Luiz Romero")*(23/1083),IF(C2921="JR",SUMIFS($D:$D,$A:$A,$A2921,$B:$B,"&lt;&gt;Patrícia Karla de Sousa Araújo",$B:$B,"&lt;&gt;Lorena Dias de Araujo",$B:$B,"&lt;&gt;Lucas Luiz Romero")*(20/1083),IF(C2921="Estágio",SUMIFS($D:$D,$A:$A,$A2921,$B:$B,"&lt;&gt;Patrícia Karla de Sousa Araújo",$B:$B,"&lt;&gt;Lorena Dias de Araujo",$B:$B,"&lt;&gt;Lucas Luiz Romero")*(10/1083),0)))))),0)</f>
        <v/>
      </c>
      <c r="K2921" s="3">
        <f>I2921-J2921</f>
        <v/>
      </c>
      <c r="L2921" s="3">
        <f>IF(K2921&lt;-5,"CRÍTICO",IF(K2921&lt;0,"ATENÇÃO",IF(K2921&lt;=5,"OPORTUNO","MUITO BOM")))</f>
        <v/>
      </c>
      <c r="N2921" t="n">
        <v>95.83</v>
      </c>
      <c r="O2921" t="n">
        <v>25.77319587628866</v>
      </c>
    </row>
    <row r="2922" hidden="1">
      <c r="A2922" s="11" t="n">
        <v>46092</v>
      </c>
      <c r="B2922" t="inlineStr">
        <is>
          <t>Milena Sales</t>
        </is>
      </c>
      <c r="C2922" t="inlineStr">
        <is>
          <t>JR</t>
        </is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s="3" t="n">
        <v>0</v>
      </c>
      <c r="J2922" s="3" t="n">
        <v>0</v>
      </c>
      <c r="K2922" s="3" t="n">
        <v>0</v>
      </c>
      <c r="L2922" s="3">
        <f>IF(K2922&lt;-5,"CRÍTICO",IF(K2922&lt;0,"ATENÇÃO",IF(K2922&lt;=5,"OPORTUNO","MUITO BOM")))</f>
        <v/>
      </c>
      <c r="N2922" t="n">
        <v>100</v>
      </c>
      <c r="O2922" t="n">
        <v>15.38461538461539</v>
      </c>
    </row>
    <row r="2923" hidden="1">
      <c r="A2923" s="11" t="n">
        <v>46092</v>
      </c>
      <c r="B2923" t="inlineStr">
        <is>
          <t>Patrícia Karla de Sousa Araújo</t>
        </is>
      </c>
      <c r="C2923" t="inlineStr">
        <is>
          <t>Técnico II</t>
        </is>
      </c>
      <c r="D2923" t="n">
        <v>12</v>
      </c>
      <c r="E2923" t="n">
        <v>11</v>
      </c>
      <c r="F2923" t="n">
        <v>20.49</v>
      </c>
      <c r="G2923" t="n">
        <v>0</v>
      </c>
      <c r="H2923" t="n">
        <v>0</v>
      </c>
      <c r="I2923" s="3">
        <f>E2923+G2923+H2923</f>
        <v/>
      </c>
      <c r="J2923" s="3">
        <f>ROUND(MIN(IF(C2923="Técnico III",35,IF(C2923="Técnico II",28,IF(C2923="Técnico I",23,IF(C2923="JR",20,IF(C2923="Estágio",10,0))))),IF(C2923="Técnico III",SUMIFS($D:$D,$A:$A,$A2923,$B:$B,"&lt;&gt;Patrícia Karla de Sousa Araújo",$B:$B,"&lt;&gt;Lorena Dias de Araujo",$B:$B,"&lt;&gt;Lucas Luiz Romero")*(35/1083),IF(C2923="Técnico II",SUMIFS($D:$D,$A:$A,$A2923,$B:$B,"&lt;&gt;Patrícia Karla de Sousa Araújo",$B:$B,"&lt;&gt;Lorena Dias de Araujo",$B:$B,"&lt;&gt;Lucas Luiz Romero")*(28/1083),IF(C2923="Técnico I",SUMIFS($D:$D,$A:$A,$A2923,$B:$B,"&lt;&gt;Patrícia Karla de Sousa Araújo",$B:$B,"&lt;&gt;Lorena Dias de Araujo",$B:$B,"&lt;&gt;Lucas Luiz Romero")*(23/1083),IF(C2923="JR",SUMIFS($D:$D,$A:$A,$A2923,$B:$B,"&lt;&gt;Patrícia Karla de Sousa Araújo",$B:$B,"&lt;&gt;Lorena Dias de Araujo",$B:$B,"&lt;&gt;Lucas Luiz Romero")*(20/1083),IF(C2923="Estágio",SUMIFS($D:$D,$A:$A,$A2923,$B:$B,"&lt;&gt;Patrícia Karla de Sousa Araújo",$B:$B,"&lt;&gt;Lorena Dias de Araujo",$B:$B,"&lt;&gt;Lucas Luiz Romero")*(10/1083),0)))))),0)</f>
        <v/>
      </c>
      <c r="K2923" s="3">
        <f>I2923-J2923</f>
        <v/>
      </c>
      <c r="L2923" s="3">
        <f>IF(K2923&lt;-5,"CRÍTICO",IF(K2923&lt;0,"ATENÇÃO",IF(K2923&lt;=5,"OPORTUNO","MUITO BOM")))</f>
        <v/>
      </c>
      <c r="N2923" t="n">
        <v>100</v>
      </c>
      <c r="O2923" t="n">
        <v>27.51479289940828</v>
      </c>
    </row>
    <row r="2924" hidden="1">
      <c r="A2924" s="11" t="n">
        <v>46092</v>
      </c>
      <c r="B2924" t="inlineStr">
        <is>
          <t>Paulo Ricardo Santos</t>
        </is>
      </c>
      <c r="C2924" t="inlineStr">
        <is>
          <t>JR</t>
        </is>
      </c>
      <c r="D2924" t="n">
        <v>9</v>
      </c>
      <c r="E2924" t="n">
        <v>8</v>
      </c>
      <c r="F2924" t="n">
        <v>40.11</v>
      </c>
      <c r="G2924" t="n">
        <v>0</v>
      </c>
      <c r="H2924" t="n">
        <v>0</v>
      </c>
      <c r="I2924" s="3">
        <f>E2924+G2924+H2924</f>
        <v/>
      </c>
      <c r="J2924" s="3">
        <f>ROUND(MIN(IF(C2924="Técnico III",35,IF(C2924="Técnico II",28,IF(C2924="Técnico I",23,IF(C2924="JR",20,IF(C2924="Estágio",10,0))))),IF(C2924="Técnico III",SUMIFS($D:$D,$A:$A,$A2924,$B:$B,"&lt;&gt;Patrícia Karla de Sousa Araújo",$B:$B,"&lt;&gt;Lorena Dias de Araujo",$B:$B,"&lt;&gt;Lucas Luiz Romero")*(35/1083),IF(C2924="Técnico II",SUMIFS($D:$D,$A:$A,$A2924,$B:$B,"&lt;&gt;Patrícia Karla de Sousa Araújo",$B:$B,"&lt;&gt;Lorena Dias de Araujo",$B:$B,"&lt;&gt;Lucas Luiz Romero")*(28/1083),IF(C2924="Técnico I",SUMIFS($D:$D,$A:$A,$A2924,$B:$B,"&lt;&gt;Patrícia Karla de Sousa Araújo",$B:$B,"&lt;&gt;Lorena Dias de Araujo",$B:$B,"&lt;&gt;Lucas Luiz Romero")*(23/1083),IF(C2924="JR",SUMIFS($D:$D,$A:$A,$A2924,$B:$B,"&lt;&gt;Patrícia Karla de Sousa Araújo",$B:$B,"&lt;&gt;Lorena Dias de Araujo",$B:$B,"&lt;&gt;Lucas Luiz Romero")*(20/1083),IF(C2924="Estágio",SUMIFS($D:$D,$A:$A,$A2924,$B:$B,"&lt;&gt;Patrícia Karla de Sousa Araújo",$B:$B,"&lt;&gt;Lorena Dias de Araujo",$B:$B,"&lt;&gt;Lucas Luiz Romero")*(10/1083),0)))))),0)</f>
        <v/>
      </c>
      <c r="K2924" s="3">
        <f>I2924-J2924</f>
        <v/>
      </c>
      <c r="L2924" s="3">
        <f>IF(K2924&lt;-5,"CRÍTICO",IF(K2924&lt;0,"ATENÇÃO",IF(K2924&lt;=5,"OPORTUNO","MUITO BOM")))</f>
        <v/>
      </c>
      <c r="N2924" t="n">
        <v>100</v>
      </c>
      <c r="O2924" t="n">
        <v>24.87562189054727</v>
      </c>
    </row>
    <row r="2925" hidden="1">
      <c r="A2925" s="11" t="n">
        <v>46092</v>
      </c>
      <c r="B2925" t="inlineStr">
        <is>
          <t>Pedro Luiz Mota Sousa</t>
        </is>
      </c>
      <c r="C2925" t="inlineStr">
        <is>
          <t>JR</t>
        </is>
      </c>
      <c r="D2925" t="n">
        <v>13</v>
      </c>
      <c r="E2925" t="n">
        <v>13</v>
      </c>
      <c r="F2925" t="n">
        <v>34.16</v>
      </c>
      <c r="G2925" t="n">
        <v>0</v>
      </c>
      <c r="H2925" t="n">
        <v>0</v>
      </c>
      <c r="I2925" s="3">
        <f>E2925+G2925+H2925</f>
        <v/>
      </c>
      <c r="J2925" s="3">
        <f>ROUND(MIN(IF(C2925="Técnico III",35,IF(C2925="Técnico II",28,IF(C2925="Técnico I",23,IF(C2925="JR",20,IF(C2925="Estágio",10,0))))),IF(C2925="Técnico III",SUMIFS($D:$D,$A:$A,$A2925,$B:$B,"&lt;&gt;Patrícia Karla de Sousa Araújo",$B:$B,"&lt;&gt;Lorena Dias de Araujo",$B:$B,"&lt;&gt;Lucas Luiz Romero")*(35/1083),IF(C2925="Técnico II",SUMIFS($D:$D,$A:$A,$A2925,$B:$B,"&lt;&gt;Patrícia Karla de Sousa Araújo",$B:$B,"&lt;&gt;Lorena Dias de Araujo",$B:$B,"&lt;&gt;Lucas Luiz Romero")*(28/1083),IF(C2925="Técnico I",SUMIFS($D:$D,$A:$A,$A2925,$B:$B,"&lt;&gt;Patrícia Karla de Sousa Araújo",$B:$B,"&lt;&gt;Lorena Dias de Araujo",$B:$B,"&lt;&gt;Lucas Luiz Romero")*(23/1083),IF(C2925="JR",SUMIFS($D:$D,$A:$A,$A2925,$B:$B,"&lt;&gt;Patrícia Karla de Sousa Araújo",$B:$B,"&lt;&gt;Lorena Dias de Araujo",$B:$B,"&lt;&gt;Lucas Luiz Romero")*(20/1083),IF(C2925="Estágio",SUMIFS($D:$D,$A:$A,$A2925,$B:$B,"&lt;&gt;Patrícia Karla de Sousa Araújo",$B:$B,"&lt;&gt;Lorena Dias de Araujo",$B:$B,"&lt;&gt;Lucas Luiz Romero")*(10/1083),0)))))),0)</f>
        <v/>
      </c>
      <c r="K2925" s="3">
        <f>I2925-J2925</f>
        <v/>
      </c>
      <c r="L2925" s="3">
        <f>IF(K2925&lt;-5,"CRÍTICO",IF(K2925&lt;0,"ATENÇÃO",IF(K2925&lt;=5,"OPORTUNO","MUITO BOM")))</f>
        <v/>
      </c>
      <c r="N2925" t="n">
        <v>100</v>
      </c>
      <c r="O2925" t="n">
        <v>28.10810810810811</v>
      </c>
    </row>
    <row r="2926" hidden="1">
      <c r="A2926" s="11" t="n">
        <v>46092</v>
      </c>
      <c r="B2926" t="inlineStr">
        <is>
          <t>Quirino Diogo Leite Torres</t>
        </is>
      </c>
      <c r="C2926" t="inlineStr">
        <is>
          <t>Estágio</t>
        </is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s="3" t="n">
        <v>0</v>
      </c>
      <c r="J2926" s="3" t="n">
        <v>0</v>
      </c>
      <c r="K2926" s="3" t="n">
        <v>0</v>
      </c>
      <c r="L2926" s="3">
        <f>IF(K2926&lt;-5,"CRÍTICO",IF(K2926&lt;0,"ATENÇÃO",IF(K2926&lt;=5,"OPORTUNO","MUITO BOM")))</f>
        <v/>
      </c>
      <c r="N2926" t="n">
        <v>100</v>
      </c>
      <c r="O2926" t="n">
        <v>35</v>
      </c>
    </row>
    <row r="2927" hidden="1">
      <c r="A2927" s="11" t="n">
        <v>46092</v>
      </c>
      <c r="B2927" t="inlineStr">
        <is>
          <t>Raane Batista Matos</t>
        </is>
      </c>
      <c r="C2927" t="inlineStr">
        <is>
          <t>Técnico I</t>
        </is>
      </c>
      <c r="D2927" t="n">
        <v>34</v>
      </c>
      <c r="E2927" t="n">
        <v>27</v>
      </c>
      <c r="F2927" t="n">
        <v>22.3</v>
      </c>
      <c r="G2927" t="n">
        <v>0</v>
      </c>
      <c r="H2927" t="n">
        <v>0</v>
      </c>
      <c r="I2927" s="3">
        <f>E2927+G2927+H2927</f>
        <v/>
      </c>
      <c r="J2927" s="3">
        <f>ROUND(MIN(IF(C2927="Técnico III",35,IF(C2927="Técnico II",28,IF(C2927="Técnico I",23,IF(C2927="JR",20,IF(C2927="Estágio",10,0))))),IF(C2927="Técnico III",SUMIFS($D:$D,$A:$A,$A2927,$B:$B,"&lt;&gt;Patrícia Karla de Sousa Araújo",$B:$B,"&lt;&gt;Lorena Dias de Araujo",$B:$B,"&lt;&gt;Lucas Luiz Romero")*(35/1083),IF(C2927="Técnico II",SUMIFS($D:$D,$A:$A,$A2927,$B:$B,"&lt;&gt;Patrícia Karla de Sousa Araújo",$B:$B,"&lt;&gt;Lorena Dias de Araujo",$B:$B,"&lt;&gt;Lucas Luiz Romero")*(28/1083),IF(C2927="Técnico I",SUMIFS($D:$D,$A:$A,$A2927,$B:$B,"&lt;&gt;Patrícia Karla de Sousa Araújo",$B:$B,"&lt;&gt;Lorena Dias de Araujo",$B:$B,"&lt;&gt;Lucas Luiz Romero")*(23/1083),IF(C2927="JR",SUMIFS($D:$D,$A:$A,$A2927,$B:$B,"&lt;&gt;Patrícia Karla de Sousa Araújo",$B:$B,"&lt;&gt;Lorena Dias de Araujo",$B:$B,"&lt;&gt;Lucas Luiz Romero")*(20/1083),IF(C2927="Estágio",SUMIFS($D:$D,$A:$A,$A2927,$B:$B,"&lt;&gt;Patrícia Karla de Sousa Araújo",$B:$B,"&lt;&gt;Lorena Dias de Araujo",$B:$B,"&lt;&gt;Lucas Luiz Romero")*(10/1083),0)))))),0)</f>
        <v/>
      </c>
      <c r="K2927" s="3">
        <f>I2927-J2927</f>
        <v/>
      </c>
      <c r="L2927" s="3">
        <f>IF(K2927&lt;-5,"CRÍTICO",IF(K2927&lt;0,"ATENÇÃO",IF(K2927&lt;=5,"OPORTUNO","MUITO BOM")))</f>
        <v/>
      </c>
      <c r="N2927" t="n">
        <v>95.34999999999999</v>
      </c>
      <c r="O2927" t="n">
        <v>28.61538461538461</v>
      </c>
    </row>
    <row r="2928" hidden="1">
      <c r="A2928" s="11" t="n">
        <v>46092</v>
      </c>
      <c r="B2928" t="inlineStr">
        <is>
          <t>Rafael Gomes de Morais</t>
        </is>
      </c>
      <c r="C2928" t="inlineStr">
        <is>
          <t>Técnico III</t>
        </is>
      </c>
      <c r="D2928" t="n">
        <v>49</v>
      </c>
      <c r="E2928" t="n">
        <v>44</v>
      </c>
      <c r="F2928" t="n">
        <v>15.2</v>
      </c>
      <c r="G2928" t="n">
        <v>0</v>
      </c>
      <c r="H2928" t="n">
        <v>0</v>
      </c>
      <c r="I2928" s="3">
        <f>E2928+G2928+H2928</f>
        <v/>
      </c>
      <c r="J2928" s="3">
        <f>ROUND(MIN(IF(C2928="Técnico III",35,IF(C2928="Técnico II",28,IF(C2928="Técnico I",23,IF(C2928="JR",20,IF(C2928="Estágio",10,0))))),IF(C2928="Técnico III",SUMIFS($D:$D,$A:$A,$A2928,$B:$B,"&lt;&gt;Patrícia Karla de Sousa Araújo",$B:$B,"&lt;&gt;Lorena Dias de Araujo",$B:$B,"&lt;&gt;Lucas Luiz Romero")*(35/1083),IF(C2928="Técnico II",SUMIFS($D:$D,$A:$A,$A2928,$B:$B,"&lt;&gt;Patrícia Karla de Sousa Araújo",$B:$B,"&lt;&gt;Lorena Dias de Araujo",$B:$B,"&lt;&gt;Lucas Luiz Romero")*(28/1083),IF(C2928="Técnico I",SUMIFS($D:$D,$A:$A,$A2928,$B:$B,"&lt;&gt;Patrícia Karla de Sousa Araújo",$B:$B,"&lt;&gt;Lorena Dias de Araujo",$B:$B,"&lt;&gt;Lucas Luiz Romero")*(23/1083),IF(C2928="JR",SUMIFS($D:$D,$A:$A,$A2928,$B:$B,"&lt;&gt;Patrícia Karla de Sousa Araújo",$B:$B,"&lt;&gt;Lorena Dias de Araujo",$B:$B,"&lt;&gt;Lucas Luiz Romero")*(20/1083),IF(C2928="Estágio",SUMIFS($D:$D,$A:$A,$A2928,$B:$B,"&lt;&gt;Patrícia Karla de Sousa Araújo",$B:$B,"&lt;&gt;Lorena Dias de Araujo",$B:$B,"&lt;&gt;Lucas Luiz Romero")*(10/1083),0)))))),0)</f>
        <v/>
      </c>
      <c r="K2928" s="3">
        <f>I2928-J2928</f>
        <v/>
      </c>
      <c r="L2928" s="3">
        <f>IF(K2928&lt;-5,"CRÍTICO",IF(K2928&lt;0,"ATENÇÃO",IF(K2928&lt;=5,"OPORTUNO","MUITO BOM")))</f>
        <v/>
      </c>
      <c r="N2928" t="n">
        <v>98.26000000000001</v>
      </c>
      <c r="O2928" t="n">
        <v>27.54491017964072</v>
      </c>
    </row>
    <row r="2929" hidden="1">
      <c r="A2929" s="11" t="n">
        <v>46092</v>
      </c>
      <c r="B2929" t="inlineStr">
        <is>
          <t>Sara Maria Monteiro Lopes</t>
        </is>
      </c>
      <c r="C2929" t="inlineStr">
        <is>
          <t>Técnico I</t>
        </is>
      </c>
      <c r="D2929" t="n">
        <v>17</v>
      </c>
      <c r="E2929" t="n">
        <v>17</v>
      </c>
      <c r="F2929" t="n">
        <v>30.11</v>
      </c>
      <c r="G2929" t="n">
        <v>0</v>
      </c>
      <c r="H2929" t="n">
        <v>0</v>
      </c>
      <c r="I2929" s="3">
        <f>E2929+G2929+H2929</f>
        <v/>
      </c>
      <c r="J2929" s="3">
        <f>ROUND(MIN(IF(C2929="Técnico III",35,IF(C2929="Técnico II",28,IF(C2929="Técnico I",23,IF(C2929="JR",20,IF(C2929="Estágio",10,0))))),IF(C2929="Técnico III",SUMIFS($D:$D,$A:$A,$A2929,$B:$B,"&lt;&gt;Patrícia Karla de Sousa Araújo",$B:$B,"&lt;&gt;Lorena Dias de Araujo",$B:$B,"&lt;&gt;Lucas Luiz Romero")*(35/1083),IF(C2929="Técnico II",SUMIFS($D:$D,$A:$A,$A2929,$B:$B,"&lt;&gt;Patrícia Karla de Sousa Araújo",$B:$B,"&lt;&gt;Lorena Dias de Araujo",$B:$B,"&lt;&gt;Lucas Luiz Romero")*(28/1083),IF(C2929="Técnico I",SUMIFS($D:$D,$A:$A,$A2929,$B:$B,"&lt;&gt;Patrícia Karla de Sousa Araújo",$B:$B,"&lt;&gt;Lorena Dias de Araujo",$B:$B,"&lt;&gt;Lucas Luiz Romero")*(23/1083),IF(C2929="JR",SUMIFS($D:$D,$A:$A,$A2929,$B:$B,"&lt;&gt;Patrícia Karla de Sousa Araújo",$B:$B,"&lt;&gt;Lorena Dias de Araujo",$B:$B,"&lt;&gt;Lucas Luiz Romero")*(20/1083),IF(C2929="Estágio",SUMIFS($D:$D,$A:$A,$A2929,$B:$B,"&lt;&gt;Patrícia Karla de Sousa Araújo",$B:$B,"&lt;&gt;Lorena Dias de Araujo",$B:$B,"&lt;&gt;Lucas Luiz Romero")*(10/1083),0)))))),0)</f>
        <v/>
      </c>
      <c r="K2929" s="3">
        <f>I2929-J2929</f>
        <v/>
      </c>
      <c r="L2929" s="3">
        <f>IF(K2929&lt;-5,"CRÍTICO",IF(K2929&lt;0,"ATENÇÃO",IF(K2929&lt;=5,"OPORTUNO","MUITO BOM")))</f>
        <v/>
      </c>
      <c r="N2929" t="n">
        <v>98.55</v>
      </c>
      <c r="O2929" t="n">
        <v>25.33783783783784</v>
      </c>
    </row>
    <row r="2930" hidden="1">
      <c r="A2930" s="11" t="n">
        <v>46092</v>
      </c>
      <c r="B2930" t="inlineStr">
        <is>
          <t>Sarah Steffanie de Lima Borges</t>
        </is>
      </c>
      <c r="C2930" t="inlineStr">
        <is>
          <t>Técnico III</t>
        </is>
      </c>
      <c r="D2930" t="n">
        <v>37</v>
      </c>
      <c r="E2930" t="n">
        <v>32</v>
      </c>
      <c r="F2930" t="n">
        <v>14.03</v>
      </c>
      <c r="G2930" t="n">
        <v>0</v>
      </c>
      <c r="H2930" t="n">
        <v>0</v>
      </c>
      <c r="I2930" s="3">
        <f>E2930+G2930+H2930</f>
        <v/>
      </c>
      <c r="J2930" s="3">
        <f>ROUND(MIN(IF(C2930="Técnico III",35,IF(C2930="Técnico II",28,IF(C2930="Técnico I",23,IF(C2930="JR",20,IF(C2930="Estágio",10,0))))),IF(C2930="Técnico III",SUMIFS($D:$D,$A:$A,$A2930,$B:$B,"&lt;&gt;Patrícia Karla de Sousa Araújo",$B:$B,"&lt;&gt;Lorena Dias de Araujo",$B:$B,"&lt;&gt;Lucas Luiz Romero")*(35/1083),IF(C2930="Técnico II",SUMIFS($D:$D,$A:$A,$A2930,$B:$B,"&lt;&gt;Patrícia Karla de Sousa Araújo",$B:$B,"&lt;&gt;Lorena Dias de Araujo",$B:$B,"&lt;&gt;Lucas Luiz Romero")*(28/1083),IF(C2930="Técnico I",SUMIFS($D:$D,$A:$A,$A2930,$B:$B,"&lt;&gt;Patrícia Karla de Sousa Araújo",$B:$B,"&lt;&gt;Lorena Dias de Araujo",$B:$B,"&lt;&gt;Lucas Luiz Romero")*(23/1083),IF(C2930="JR",SUMIFS($D:$D,$A:$A,$A2930,$B:$B,"&lt;&gt;Patrícia Karla de Sousa Araújo",$B:$B,"&lt;&gt;Lorena Dias de Araujo",$B:$B,"&lt;&gt;Lucas Luiz Romero")*(20/1083),IF(C2930="Estágio",SUMIFS($D:$D,$A:$A,$A2930,$B:$B,"&lt;&gt;Patrícia Karla de Sousa Araújo",$B:$B,"&lt;&gt;Lorena Dias de Araujo",$B:$B,"&lt;&gt;Lucas Luiz Romero")*(10/1083),0)))))),0)</f>
        <v/>
      </c>
      <c r="K2930" s="3">
        <f>I2930-J2930</f>
        <v/>
      </c>
      <c r="L2930" s="3">
        <f>IF(K2930&lt;-5,"CRÍTICO",IF(K2930&lt;0,"ATENÇÃO",IF(K2930&lt;=5,"OPORTUNO","MUITO BOM")))</f>
        <v/>
      </c>
      <c r="N2930" t="n">
        <v>98.39</v>
      </c>
      <c r="O2930" t="n">
        <v>25.56390977443609</v>
      </c>
    </row>
    <row r="2931" hidden="1">
      <c r="A2931" s="11" t="n">
        <v>46093</v>
      </c>
      <c r="B2931" t="inlineStr">
        <is>
          <t>Alisson de Freitas Silva</t>
        </is>
      </c>
      <c r="C2931" t="inlineStr">
        <is>
          <t>Técnico II</t>
        </is>
      </c>
      <c r="D2931" t="n">
        <v>14</v>
      </c>
      <c r="E2931" t="n">
        <v>11</v>
      </c>
      <c r="F2931" t="n">
        <v>25.59</v>
      </c>
      <c r="G2931" t="n">
        <v>0</v>
      </c>
      <c r="H2931" t="n">
        <v>0</v>
      </c>
      <c r="I2931" s="3">
        <f>E2931+G2931+H2931</f>
        <v/>
      </c>
      <c r="J2931" s="3">
        <f>ROUND(MIN(IF(C2931="Técnico III",35,IF(C2931="Técnico II",28,IF(C2931="Técnico I",23,IF(C2931="JR",20,IF(C2931="Estágio",10,0))))),IF(C2931="Técnico III",SUMIFS($D:$D,$A:$A,$A2931,$B:$B,"&lt;&gt;Patrícia Karla de Sousa Araújo",$B:$B,"&lt;&gt;Lorena Dias de Araujo",$B:$B,"&lt;&gt;Lucas Luiz Romero")*(35/1083),IF(C2931="Técnico II",SUMIFS($D:$D,$A:$A,$A2931,$B:$B,"&lt;&gt;Patrícia Karla de Sousa Araújo",$B:$B,"&lt;&gt;Lorena Dias de Araujo",$B:$B,"&lt;&gt;Lucas Luiz Romero")*(28/1083),IF(C2931="Técnico I",SUMIFS($D:$D,$A:$A,$A2931,$B:$B,"&lt;&gt;Patrícia Karla de Sousa Araújo",$B:$B,"&lt;&gt;Lorena Dias de Araujo",$B:$B,"&lt;&gt;Lucas Luiz Romero")*(23/1083),IF(C2931="JR",SUMIFS($D:$D,$A:$A,$A2931,$B:$B,"&lt;&gt;Patrícia Karla de Sousa Araújo",$B:$B,"&lt;&gt;Lorena Dias de Araujo",$B:$B,"&lt;&gt;Lucas Luiz Romero")*(20/1083),IF(C2931="Estágio",SUMIFS($D:$D,$A:$A,$A2931,$B:$B,"&lt;&gt;Patrícia Karla de Sousa Araújo",$B:$B,"&lt;&gt;Lorena Dias de Araujo",$B:$B,"&lt;&gt;Lucas Luiz Romero")*(10/1083),0)))))),0)</f>
        <v/>
      </c>
      <c r="K2931" s="3">
        <f>I2931-J2931</f>
        <v/>
      </c>
      <c r="L2931" s="3">
        <f>IF(K2931&lt;-5,"CRÍTICO",IF(K2931&lt;0,"ATENÇÃO",IF(K2931&lt;=5,"OPORTUNO","MUITO BOM")))</f>
        <v/>
      </c>
      <c r="N2931" t="n">
        <v>94.29000000000001</v>
      </c>
      <c r="O2931" t="n">
        <v>25.64766839378239</v>
      </c>
    </row>
    <row r="2932" hidden="1">
      <c r="A2932" s="11" t="n">
        <v>46093</v>
      </c>
      <c r="B2932" t="inlineStr">
        <is>
          <t>Amanda Moura Ferreira</t>
        </is>
      </c>
      <c r="C2932" t="inlineStr">
        <is>
          <t>Técnico III</t>
        </is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s="3" t="n">
        <v>0</v>
      </c>
      <c r="J2932" s="3" t="n">
        <v>0</v>
      </c>
      <c r="K2932" s="3" t="n">
        <v>0</v>
      </c>
      <c r="L2932" s="3">
        <f>IF(K2932&lt;-5,"CRÍTICO",IF(K2932&lt;0,"ATENÇÃO",IF(K2932&lt;=5,"OPORTUNO","MUITO BOM")))</f>
        <v/>
      </c>
      <c r="N2932" t="n">
        <v>98.26000000000001</v>
      </c>
      <c r="O2932" t="n">
        <v>26.66666666666667</v>
      </c>
    </row>
    <row r="2933" hidden="1">
      <c r="A2933" s="11" t="n">
        <v>46093</v>
      </c>
      <c r="B2933" t="inlineStr">
        <is>
          <t>Ana Karollyne Souza Faria</t>
        </is>
      </c>
      <c r="C2933" t="inlineStr">
        <is>
          <t>Técnico I</t>
        </is>
      </c>
      <c r="D2933" t="n">
        <v>20</v>
      </c>
      <c r="E2933" t="n">
        <v>17</v>
      </c>
      <c r="F2933" t="n">
        <v>28.43</v>
      </c>
      <c r="G2933" t="n">
        <v>0</v>
      </c>
      <c r="H2933" t="n">
        <v>0</v>
      </c>
      <c r="I2933" s="3">
        <f>E2933+G2933+H2933</f>
        <v/>
      </c>
      <c r="J2933" s="3">
        <f>ROUND(MIN(IF(C2933="Técnico III",35,IF(C2933="Técnico II",28,IF(C2933="Técnico I",23,IF(C2933="JR",20,IF(C2933="Estágio",10,0))))),IF(C2933="Técnico III",SUMIFS($D:$D,$A:$A,$A2933,$B:$B,"&lt;&gt;Patrícia Karla de Sousa Araújo",$B:$B,"&lt;&gt;Lorena Dias de Araujo",$B:$B,"&lt;&gt;Lucas Luiz Romero")*(35/1083),IF(C2933="Técnico II",SUMIFS($D:$D,$A:$A,$A2933,$B:$B,"&lt;&gt;Patrícia Karla de Sousa Araújo",$B:$B,"&lt;&gt;Lorena Dias de Araujo",$B:$B,"&lt;&gt;Lucas Luiz Romero")*(28/1083),IF(C2933="Técnico I",SUMIFS($D:$D,$A:$A,$A2933,$B:$B,"&lt;&gt;Patrícia Karla de Sousa Araújo",$B:$B,"&lt;&gt;Lorena Dias de Araujo",$B:$B,"&lt;&gt;Lucas Luiz Romero")*(23/1083),IF(C2933="JR",SUMIFS($D:$D,$A:$A,$A2933,$B:$B,"&lt;&gt;Patrícia Karla de Sousa Araújo",$B:$B,"&lt;&gt;Lorena Dias de Araujo",$B:$B,"&lt;&gt;Lucas Luiz Romero")*(20/1083),IF(C2933="Estágio",SUMIFS($D:$D,$A:$A,$A2933,$B:$B,"&lt;&gt;Patrícia Karla de Sousa Araújo",$B:$B,"&lt;&gt;Lorena Dias de Araujo",$B:$B,"&lt;&gt;Lucas Luiz Romero")*(10/1083),0)))))),0)</f>
        <v/>
      </c>
      <c r="K2933" s="3">
        <f>I2933-J2933</f>
        <v/>
      </c>
      <c r="L2933" s="3">
        <f>IF(K2933&lt;-5,"CRÍTICO",IF(K2933&lt;0,"ATENÇÃO",IF(K2933&lt;=5,"OPORTUNO","MUITO BOM")))</f>
        <v/>
      </c>
      <c r="N2933" t="n">
        <v>98.2</v>
      </c>
      <c r="O2933" t="n">
        <v>23.37962962962963</v>
      </c>
    </row>
    <row r="2934" hidden="1">
      <c r="A2934" s="11" t="n">
        <v>46093</v>
      </c>
      <c r="B2934" t="inlineStr">
        <is>
          <t>Ana Paula Da Luz Silva Aleixo</t>
        </is>
      </c>
      <c r="C2934" t="inlineStr">
        <is>
          <t>Técnico III</t>
        </is>
      </c>
      <c r="D2934" t="n">
        <v>26</v>
      </c>
      <c r="E2934" t="n">
        <v>24</v>
      </c>
      <c r="F2934" t="n">
        <v>20.03</v>
      </c>
      <c r="G2934" t="n">
        <v>0</v>
      </c>
      <c r="H2934" t="n">
        <v>0</v>
      </c>
      <c r="I2934" s="3">
        <f>E2934+G2934+H2934</f>
        <v/>
      </c>
      <c r="J2934" s="3">
        <f>ROUND(MIN(IF(C2934="Técnico III",35,IF(C2934="Técnico II",28,IF(C2934="Técnico I",23,IF(C2934="JR",20,IF(C2934="Estágio",10,0))))),IF(C2934="Técnico III",SUMIFS($D:$D,$A:$A,$A2934,$B:$B,"&lt;&gt;Patrícia Karla de Sousa Araújo",$B:$B,"&lt;&gt;Lorena Dias de Araujo",$B:$B,"&lt;&gt;Lucas Luiz Romero")*(35/1083),IF(C2934="Técnico II",SUMIFS($D:$D,$A:$A,$A2934,$B:$B,"&lt;&gt;Patrícia Karla de Sousa Araújo",$B:$B,"&lt;&gt;Lorena Dias de Araujo",$B:$B,"&lt;&gt;Lucas Luiz Romero")*(28/1083),IF(C2934="Técnico I",SUMIFS($D:$D,$A:$A,$A2934,$B:$B,"&lt;&gt;Patrícia Karla de Sousa Araújo",$B:$B,"&lt;&gt;Lorena Dias de Araujo",$B:$B,"&lt;&gt;Lucas Luiz Romero")*(23/1083),IF(C2934="JR",SUMIFS($D:$D,$A:$A,$A2934,$B:$B,"&lt;&gt;Patrícia Karla de Sousa Araújo",$B:$B,"&lt;&gt;Lorena Dias de Araujo",$B:$B,"&lt;&gt;Lucas Luiz Romero")*(20/1083),IF(C2934="Estágio",SUMIFS($D:$D,$A:$A,$A2934,$B:$B,"&lt;&gt;Patrícia Karla de Sousa Araújo",$B:$B,"&lt;&gt;Lorena Dias de Araujo",$B:$B,"&lt;&gt;Lucas Luiz Romero")*(10/1083),0)))))),0)</f>
        <v/>
      </c>
      <c r="K2934" s="3">
        <f>I2934-J2934</f>
        <v/>
      </c>
      <c r="L2934" s="3">
        <f>IF(K2934&lt;-5,"CRÍTICO",IF(K2934&lt;0,"ATENÇÃO",IF(K2934&lt;=5,"OPORTUNO","MUITO BOM")))</f>
        <v/>
      </c>
      <c r="N2934" t="n">
        <v>97.3</v>
      </c>
      <c r="O2934" t="n">
        <v>23.84769539078156</v>
      </c>
    </row>
    <row r="2935" hidden="1">
      <c r="A2935" s="11" t="n">
        <v>46093</v>
      </c>
      <c r="B2935" t="inlineStr">
        <is>
          <t>Anna Luiza Rezende Tavares</t>
        </is>
      </c>
      <c r="C2935" t="inlineStr">
        <is>
          <t>Estágio</t>
        </is>
      </c>
      <c r="D2935" t="n">
        <v>11</v>
      </c>
      <c r="E2935" t="n">
        <v>10</v>
      </c>
      <c r="F2935" t="n">
        <v>30.13</v>
      </c>
      <c r="G2935" t="n">
        <v>0</v>
      </c>
      <c r="H2935" t="n">
        <v>0</v>
      </c>
      <c r="I2935" s="3">
        <f>E2935+G2935+H2935</f>
        <v/>
      </c>
      <c r="J2935" s="3">
        <f>ROUND(MIN(IF(C2935="Técnico III",35,IF(C2935="Técnico II",28,IF(C2935="Técnico I",23,IF(C2935="JR",20,IF(C2935="Estágio",10,0))))),IF(C2935="Técnico III",SUMIFS($D:$D,$A:$A,$A2935,$B:$B,"&lt;&gt;Patrícia Karla de Sousa Araújo",$B:$B,"&lt;&gt;Lorena Dias de Araujo",$B:$B,"&lt;&gt;Lucas Luiz Romero")*(35/1083),IF(C2935="Técnico II",SUMIFS($D:$D,$A:$A,$A2935,$B:$B,"&lt;&gt;Patrícia Karla de Sousa Araújo",$B:$B,"&lt;&gt;Lorena Dias de Araujo",$B:$B,"&lt;&gt;Lucas Luiz Romero")*(28/1083),IF(C2935="Técnico I",SUMIFS($D:$D,$A:$A,$A2935,$B:$B,"&lt;&gt;Patrícia Karla de Sousa Araújo",$B:$B,"&lt;&gt;Lorena Dias de Araujo",$B:$B,"&lt;&gt;Lucas Luiz Romero")*(23/1083),IF(C2935="JR",SUMIFS($D:$D,$A:$A,$A2935,$B:$B,"&lt;&gt;Patrícia Karla de Sousa Araújo",$B:$B,"&lt;&gt;Lorena Dias de Araujo",$B:$B,"&lt;&gt;Lucas Luiz Romero")*(20/1083),IF(C2935="Estágio",SUMIFS($D:$D,$A:$A,$A2935,$B:$B,"&lt;&gt;Patrícia Karla de Sousa Araújo",$B:$B,"&lt;&gt;Lorena Dias de Araujo",$B:$B,"&lt;&gt;Lucas Luiz Romero")*(10/1083),0)))))),0)</f>
        <v/>
      </c>
      <c r="K2935" s="3">
        <f>I2935-J2935</f>
        <v/>
      </c>
      <c r="L2935" s="3">
        <f>IF(K2935&lt;-5,"CRÍTICO",IF(K2935&lt;0,"ATENÇÃO",IF(K2935&lt;=5,"OPORTUNO","MUITO BOM")))</f>
        <v/>
      </c>
      <c r="N2935" t="n">
        <v>100</v>
      </c>
      <c r="O2935" t="n">
        <v>25.26881720430108</v>
      </c>
    </row>
    <row r="2936" hidden="1">
      <c r="A2936" s="11" t="n">
        <v>46093</v>
      </c>
      <c r="B2936" t="inlineStr">
        <is>
          <t>Brenda de Menezes Silva</t>
        </is>
      </c>
      <c r="C2936" t="inlineStr">
        <is>
          <t>Técnico II</t>
        </is>
      </c>
      <c r="D2936" t="n">
        <v>37</v>
      </c>
      <c r="E2936" t="n">
        <v>35</v>
      </c>
      <c r="F2936" t="n">
        <v>18.51</v>
      </c>
      <c r="G2936" t="n">
        <v>0</v>
      </c>
      <c r="H2936" t="n">
        <v>0</v>
      </c>
      <c r="I2936" s="3">
        <f>E2936+G2936+H2936</f>
        <v/>
      </c>
      <c r="J2936" s="3">
        <f>ROUND(MIN(IF(C2936="Técnico III",35,IF(C2936="Técnico II",28,IF(C2936="Técnico I",23,IF(C2936="JR",20,IF(C2936="Estágio",10,0))))),IF(C2936="Técnico III",SUMIFS($D:$D,$A:$A,$A2936,$B:$B,"&lt;&gt;Patrícia Karla de Sousa Araújo",$B:$B,"&lt;&gt;Lorena Dias de Araujo",$B:$B,"&lt;&gt;Lucas Luiz Romero")*(35/1083),IF(C2936="Técnico II",SUMIFS($D:$D,$A:$A,$A2936,$B:$B,"&lt;&gt;Patrícia Karla de Sousa Araújo",$B:$B,"&lt;&gt;Lorena Dias de Araujo",$B:$B,"&lt;&gt;Lucas Luiz Romero")*(28/1083),IF(C2936="Técnico I",SUMIFS($D:$D,$A:$A,$A2936,$B:$B,"&lt;&gt;Patrícia Karla de Sousa Araújo",$B:$B,"&lt;&gt;Lorena Dias de Araujo",$B:$B,"&lt;&gt;Lucas Luiz Romero")*(23/1083),IF(C2936="JR",SUMIFS($D:$D,$A:$A,$A2936,$B:$B,"&lt;&gt;Patrícia Karla de Sousa Araújo",$B:$B,"&lt;&gt;Lorena Dias de Araujo",$B:$B,"&lt;&gt;Lucas Luiz Romero")*(20/1083),IF(C2936="Estágio",SUMIFS($D:$D,$A:$A,$A2936,$B:$B,"&lt;&gt;Patrícia Karla de Sousa Araújo",$B:$B,"&lt;&gt;Lorena Dias de Araujo",$B:$B,"&lt;&gt;Lucas Luiz Romero")*(10/1083),0)))))),0)</f>
        <v/>
      </c>
      <c r="K2936" s="3">
        <f>I2936-J2936</f>
        <v/>
      </c>
      <c r="L2936" s="3">
        <f>IF(K2936&lt;-5,"CRÍTICO",IF(K2936&lt;0,"ATENÇÃO",IF(K2936&lt;=5,"OPORTUNO","MUITO BOM")))</f>
        <v/>
      </c>
      <c r="N2936" t="n">
        <v>99.31999999999999</v>
      </c>
      <c r="O2936" t="n">
        <v>22.82282282282282</v>
      </c>
    </row>
    <row r="2937" hidden="1">
      <c r="A2937" s="11" t="n">
        <v>46093</v>
      </c>
      <c r="B2937" t="inlineStr">
        <is>
          <t>Carlos Mateus Cassimiro Nunes</t>
        </is>
      </c>
      <c r="C2937" t="inlineStr">
        <is>
          <t>Técnico II</t>
        </is>
      </c>
      <c r="D2937" t="n">
        <v>9</v>
      </c>
      <c r="E2937" t="n">
        <v>9</v>
      </c>
      <c r="F2937" t="n">
        <v>56.55</v>
      </c>
      <c r="G2937" t="n">
        <v>0</v>
      </c>
      <c r="H2937" t="n">
        <v>0</v>
      </c>
      <c r="I2937" s="3">
        <f>E2937+G2937+H2937</f>
        <v/>
      </c>
      <c r="J2937" s="3">
        <f>ROUND(MIN(IF(C2937="Técnico III",35,IF(C2937="Técnico II",28,IF(C2937="Técnico I",23,IF(C2937="JR",20,IF(C2937="Estágio",10,0))))),IF(C2937="Técnico III",SUMIFS($D:$D,$A:$A,$A2937,$B:$B,"&lt;&gt;Patrícia Karla de Sousa Araújo",$B:$B,"&lt;&gt;Lorena Dias de Araujo",$B:$B,"&lt;&gt;Lucas Luiz Romero")*(35/1083),IF(C2937="Técnico II",SUMIFS($D:$D,$A:$A,$A2937,$B:$B,"&lt;&gt;Patrícia Karla de Sousa Araújo",$B:$B,"&lt;&gt;Lorena Dias de Araujo",$B:$B,"&lt;&gt;Lucas Luiz Romero")*(28/1083),IF(C2937="Técnico I",SUMIFS($D:$D,$A:$A,$A2937,$B:$B,"&lt;&gt;Patrícia Karla de Sousa Araújo",$B:$B,"&lt;&gt;Lorena Dias de Araujo",$B:$B,"&lt;&gt;Lucas Luiz Romero")*(23/1083),IF(C2937="JR",SUMIFS($D:$D,$A:$A,$A2937,$B:$B,"&lt;&gt;Patrícia Karla de Sousa Araújo",$B:$B,"&lt;&gt;Lorena Dias de Araujo",$B:$B,"&lt;&gt;Lucas Luiz Romero")*(20/1083),IF(C2937="Estágio",SUMIFS($D:$D,$A:$A,$A2937,$B:$B,"&lt;&gt;Patrícia Karla de Sousa Araújo",$B:$B,"&lt;&gt;Lorena Dias de Araujo",$B:$B,"&lt;&gt;Lucas Luiz Romero")*(10/1083),0)))))),0)</f>
        <v/>
      </c>
      <c r="K2937" s="3">
        <f>I2937-J2937</f>
        <v/>
      </c>
      <c r="L2937" s="3">
        <f>IF(K2937&lt;-5,"CRÍTICO",IF(K2937&lt;0,"ATENÇÃO",IF(K2937&lt;=5,"OPORTUNO","MUITO BOM")))</f>
        <v/>
      </c>
      <c r="N2937" t="n">
        <v>100</v>
      </c>
      <c r="O2937" t="n">
        <v>27.96610169491525</v>
      </c>
    </row>
    <row r="2938" hidden="1">
      <c r="A2938" s="11" t="n">
        <v>46093</v>
      </c>
      <c r="B2938" t="inlineStr">
        <is>
          <t>Claudio de Sousa Velasco Filho</t>
        </is>
      </c>
      <c r="C2938" t="inlineStr">
        <is>
          <t>Estágio</t>
        </is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s="3" t="n">
        <v>0</v>
      </c>
      <c r="J2938" s="3" t="n">
        <v>0</v>
      </c>
      <c r="K2938" s="3" t="n">
        <v>0</v>
      </c>
      <c r="L2938" s="3">
        <f>IF(K2938&lt;-5,"CRÍTICO",IF(K2938&lt;0,"ATENÇÃO",IF(K2938&lt;=5,"OPORTUNO","MUITO BOM")))</f>
        <v/>
      </c>
      <c r="N2938" t="n">
        <v>100</v>
      </c>
      <c r="O2938" t="n">
        <v>30.43478260869566</v>
      </c>
    </row>
    <row r="2939" hidden="1">
      <c r="A2939" s="11" t="n">
        <v>46093</v>
      </c>
      <c r="B2939" t="inlineStr">
        <is>
          <t>Clessiane Pereira dos Santos</t>
        </is>
      </c>
      <c r="C2939" t="inlineStr">
        <is>
          <t>Técnico I</t>
        </is>
      </c>
      <c r="D2939" t="n">
        <v>15</v>
      </c>
      <c r="E2939" t="n">
        <v>14</v>
      </c>
      <c r="F2939" t="n">
        <v>35.05</v>
      </c>
      <c r="G2939" t="n">
        <v>0</v>
      </c>
      <c r="H2939" t="n">
        <v>0</v>
      </c>
      <c r="I2939" s="3">
        <f>E2939+G2939+H2939</f>
        <v/>
      </c>
      <c r="J2939" s="3">
        <f>ROUND(MIN(IF(C2939="Técnico III",35,IF(C2939="Técnico II",28,IF(C2939="Técnico I",23,IF(C2939="JR",20,IF(C2939="Estágio",10,0))))),IF(C2939="Técnico III",SUMIFS($D:$D,$A:$A,$A2939,$B:$B,"&lt;&gt;Patrícia Karla de Sousa Araújo",$B:$B,"&lt;&gt;Lorena Dias de Araujo",$B:$B,"&lt;&gt;Lucas Luiz Romero")*(35/1083),IF(C2939="Técnico II",SUMIFS($D:$D,$A:$A,$A2939,$B:$B,"&lt;&gt;Patrícia Karla de Sousa Araújo",$B:$B,"&lt;&gt;Lorena Dias de Araujo",$B:$B,"&lt;&gt;Lucas Luiz Romero")*(28/1083),IF(C2939="Técnico I",SUMIFS($D:$D,$A:$A,$A2939,$B:$B,"&lt;&gt;Patrícia Karla de Sousa Araújo",$B:$B,"&lt;&gt;Lorena Dias de Araujo",$B:$B,"&lt;&gt;Lucas Luiz Romero")*(23/1083),IF(C2939="JR",SUMIFS($D:$D,$A:$A,$A2939,$B:$B,"&lt;&gt;Patrícia Karla de Sousa Araújo",$B:$B,"&lt;&gt;Lorena Dias de Araujo",$B:$B,"&lt;&gt;Lucas Luiz Romero")*(20/1083),IF(C2939="Estágio",SUMIFS($D:$D,$A:$A,$A2939,$B:$B,"&lt;&gt;Patrícia Karla de Sousa Araújo",$B:$B,"&lt;&gt;Lorena Dias de Araujo",$B:$B,"&lt;&gt;Lucas Luiz Romero")*(10/1083),0)))))),0)</f>
        <v/>
      </c>
      <c r="K2939" s="3">
        <f>I2939-J2939</f>
        <v/>
      </c>
      <c r="L2939" s="3">
        <f>IF(K2939&lt;-5,"CRÍTICO",IF(K2939&lt;0,"ATENÇÃO",IF(K2939&lt;=5,"OPORTUNO","MUITO BOM")))</f>
        <v/>
      </c>
      <c r="N2939" t="n">
        <v>96.51000000000001</v>
      </c>
      <c r="O2939" t="n">
        <v>22.80285035629454</v>
      </c>
    </row>
    <row r="2940" hidden="1">
      <c r="A2940" s="11" t="n">
        <v>46093</v>
      </c>
      <c r="B2940" t="inlineStr">
        <is>
          <t>Cristiane Ramos da Silva Rocha</t>
        </is>
      </c>
      <c r="C2940" t="inlineStr">
        <is>
          <t>Técnico III</t>
        </is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s="3" t="n">
        <v>0</v>
      </c>
      <c r="J2940" s="3" t="n">
        <v>0</v>
      </c>
      <c r="K2940" s="3" t="n">
        <v>0</v>
      </c>
      <c r="L2940" s="3">
        <f>IF(K2940&lt;-5,"CRÍTICO",IF(K2940&lt;0,"ATENÇÃO",IF(K2940&lt;=5,"OPORTUNO","MUITO BOM")))</f>
        <v/>
      </c>
      <c r="N2940" t="n">
        <v>92.68000000000001</v>
      </c>
      <c r="O2940" t="n">
        <v>27.77777777777778</v>
      </c>
    </row>
    <row r="2941" hidden="1">
      <c r="A2941" s="11" t="n">
        <v>46093</v>
      </c>
      <c r="B2941" t="inlineStr">
        <is>
          <t>Damyllis Lorraine de Oliveira Gonçalves</t>
        </is>
      </c>
      <c r="C2941" t="inlineStr">
        <is>
          <t>Técnico II</t>
        </is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s="3" t="n">
        <v>0</v>
      </c>
      <c r="J2941" s="3" t="n">
        <v>0</v>
      </c>
      <c r="K2941" s="3" t="n">
        <v>0</v>
      </c>
      <c r="L2941" s="3">
        <f>IF(K2941&lt;-5,"CRÍTICO",IF(K2941&lt;0,"ATENÇÃO",IF(K2941&lt;=5,"OPORTUNO","MUITO BOM")))</f>
        <v/>
      </c>
      <c r="N2941" t="n">
        <v>99.03</v>
      </c>
      <c r="O2941" t="n">
        <v>23.99150743099788</v>
      </c>
    </row>
    <row r="2942" hidden="1">
      <c r="A2942" s="11" t="n">
        <v>46093</v>
      </c>
      <c r="B2942" t="inlineStr">
        <is>
          <t>Daniel Gomes da Silva</t>
        </is>
      </c>
      <c r="C2942" t="inlineStr">
        <is>
          <t>Técnico I</t>
        </is>
      </c>
      <c r="D2942" t="n">
        <v>27</v>
      </c>
      <c r="E2942" t="n">
        <v>26</v>
      </c>
      <c r="F2942" t="n">
        <v>25.51</v>
      </c>
      <c r="G2942" t="n">
        <v>0</v>
      </c>
      <c r="H2942" t="n">
        <v>0</v>
      </c>
      <c r="I2942" s="3">
        <f>E2942+G2942+H2942</f>
        <v/>
      </c>
      <c r="J2942" s="3">
        <f>ROUND(MIN(IF(C2942="Técnico III",35,IF(C2942="Técnico II",28,IF(C2942="Técnico I",23,IF(C2942="JR",20,IF(C2942="Estágio",10,0))))),IF(C2942="Técnico III",SUMIFS($D:$D,$A:$A,$A2942,$B:$B,"&lt;&gt;Patrícia Karla de Sousa Araújo",$B:$B,"&lt;&gt;Lorena Dias de Araujo",$B:$B,"&lt;&gt;Lucas Luiz Romero")*(35/1083),IF(C2942="Técnico II",SUMIFS($D:$D,$A:$A,$A2942,$B:$B,"&lt;&gt;Patrícia Karla de Sousa Araújo",$B:$B,"&lt;&gt;Lorena Dias de Araujo",$B:$B,"&lt;&gt;Lucas Luiz Romero")*(28/1083),IF(C2942="Técnico I",SUMIFS($D:$D,$A:$A,$A2942,$B:$B,"&lt;&gt;Patrícia Karla de Sousa Araújo",$B:$B,"&lt;&gt;Lorena Dias de Araujo",$B:$B,"&lt;&gt;Lucas Luiz Romero")*(23/1083),IF(C2942="JR",SUMIFS($D:$D,$A:$A,$A2942,$B:$B,"&lt;&gt;Patrícia Karla de Sousa Araújo",$B:$B,"&lt;&gt;Lorena Dias de Araujo",$B:$B,"&lt;&gt;Lucas Luiz Romero")*(20/1083),IF(C2942="Estágio",SUMIFS($D:$D,$A:$A,$A2942,$B:$B,"&lt;&gt;Patrícia Karla de Sousa Araújo",$B:$B,"&lt;&gt;Lorena Dias de Araujo",$B:$B,"&lt;&gt;Lucas Luiz Romero")*(10/1083),0)))))),0)</f>
        <v/>
      </c>
      <c r="K2942" s="3">
        <f>I2942-J2942</f>
        <v/>
      </c>
      <c r="L2942" s="3">
        <f>IF(K2942&lt;-5,"CRÍTICO",IF(K2942&lt;0,"ATENÇÃO",IF(K2942&lt;=5,"OPORTUNO","MUITO BOM")))</f>
        <v/>
      </c>
      <c r="N2942" t="n">
        <v>98.41</v>
      </c>
      <c r="O2942" t="n">
        <v>28.13852813852814</v>
      </c>
    </row>
    <row r="2943" hidden="1">
      <c r="A2943" s="11" t="n">
        <v>46093</v>
      </c>
      <c r="B2943" t="inlineStr">
        <is>
          <t>Davylla Rodrigues Freitas Silva</t>
        </is>
      </c>
      <c r="C2943" t="inlineStr">
        <is>
          <t>Técnico III</t>
        </is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s="3" t="n">
        <v>0</v>
      </c>
      <c r="J2943" s="3" t="n">
        <v>0</v>
      </c>
      <c r="K2943" s="3" t="n">
        <v>0</v>
      </c>
      <c r="L2943" s="3">
        <f>IF(K2943&lt;-5,"CRÍTICO",IF(K2943&lt;0,"ATENÇÃO",IF(K2943&lt;=5,"OPORTUNO","MUITO BOM")))</f>
        <v/>
      </c>
      <c r="N2943" t="n">
        <v>98.73</v>
      </c>
      <c r="O2943" t="n">
        <v>29.14285714285714</v>
      </c>
    </row>
    <row r="2944" hidden="1">
      <c r="A2944" s="11" t="n">
        <v>46093</v>
      </c>
      <c r="B2944" t="inlineStr">
        <is>
          <t>Emilly Caylane Costa</t>
        </is>
      </c>
      <c r="C2944" t="inlineStr">
        <is>
          <t>Estágio</t>
        </is>
      </c>
      <c r="D2944" t="n">
        <v>10</v>
      </c>
      <c r="E2944" t="n">
        <v>9</v>
      </c>
      <c r="F2944" t="n">
        <v>37.2</v>
      </c>
      <c r="G2944" t="n">
        <v>0</v>
      </c>
      <c r="H2944" t="n">
        <v>0</v>
      </c>
      <c r="I2944" s="3">
        <f>E2944+G2944+H2944</f>
        <v/>
      </c>
      <c r="J2944" s="3">
        <f>ROUND(MIN(IF(C2944="Técnico III",35,IF(C2944="Técnico II",28,IF(C2944="Técnico I",23,IF(C2944="JR",20,IF(C2944="Estágio",10,0))))),IF(C2944="Técnico III",SUMIFS($D:$D,$A:$A,$A2944,$B:$B,"&lt;&gt;Patrícia Karla de Sousa Araújo",$B:$B,"&lt;&gt;Lorena Dias de Araujo",$B:$B,"&lt;&gt;Lucas Luiz Romero")*(35/1083),IF(C2944="Técnico II",SUMIFS($D:$D,$A:$A,$A2944,$B:$B,"&lt;&gt;Patrícia Karla de Sousa Araújo",$B:$B,"&lt;&gt;Lorena Dias de Araujo",$B:$B,"&lt;&gt;Lucas Luiz Romero")*(28/1083),IF(C2944="Técnico I",SUMIFS($D:$D,$A:$A,$A2944,$B:$B,"&lt;&gt;Patrícia Karla de Sousa Araújo",$B:$B,"&lt;&gt;Lorena Dias de Araujo",$B:$B,"&lt;&gt;Lucas Luiz Romero")*(23/1083),IF(C2944="JR",SUMIFS($D:$D,$A:$A,$A2944,$B:$B,"&lt;&gt;Patrícia Karla de Sousa Araújo",$B:$B,"&lt;&gt;Lorena Dias de Araujo",$B:$B,"&lt;&gt;Lucas Luiz Romero")*(20/1083),IF(C2944="Estágio",SUMIFS($D:$D,$A:$A,$A2944,$B:$B,"&lt;&gt;Patrícia Karla de Sousa Araújo",$B:$B,"&lt;&gt;Lorena Dias de Araujo",$B:$B,"&lt;&gt;Lucas Luiz Romero")*(10/1083),0)))))),0)</f>
        <v/>
      </c>
      <c r="K2944" s="3">
        <f>I2944-J2944</f>
        <v/>
      </c>
      <c r="L2944" s="3">
        <f>IF(K2944&lt;-5,"CRÍTICO",IF(K2944&lt;0,"ATENÇÃO",IF(K2944&lt;=5,"OPORTUNO","MUITO BOM")))</f>
        <v/>
      </c>
      <c r="N2944" t="n">
        <v>90.48</v>
      </c>
      <c r="O2944" t="n">
        <v>20.68965517241379</v>
      </c>
    </row>
    <row r="2945" hidden="1">
      <c r="A2945" s="11" t="n">
        <v>46093</v>
      </c>
      <c r="B2945" t="inlineStr">
        <is>
          <t>Emilly Kamilly Medeiros Miranda</t>
        </is>
      </c>
      <c r="C2945" t="inlineStr">
        <is>
          <t>Técnico II</t>
        </is>
      </c>
      <c r="D2945" t="n">
        <v>24</v>
      </c>
      <c r="E2945" t="n">
        <v>24</v>
      </c>
      <c r="F2945" t="n">
        <v>29.17</v>
      </c>
      <c r="G2945" t="n">
        <v>0</v>
      </c>
      <c r="H2945" t="n">
        <v>0</v>
      </c>
      <c r="I2945" s="3">
        <f>E2945+G2945+H2945</f>
        <v/>
      </c>
      <c r="J2945" s="3">
        <f>ROUND(MIN(IF(C2945="Técnico III",35,IF(C2945="Técnico II",28,IF(C2945="Técnico I",23,IF(C2945="JR",20,IF(C2945="Estágio",10,0))))),IF(C2945="Técnico III",SUMIFS($D:$D,$A:$A,$A2945,$B:$B,"&lt;&gt;Patrícia Karla de Sousa Araújo",$B:$B,"&lt;&gt;Lorena Dias de Araujo",$B:$B,"&lt;&gt;Lucas Luiz Romero")*(35/1083),IF(C2945="Técnico II",SUMIFS($D:$D,$A:$A,$A2945,$B:$B,"&lt;&gt;Patrícia Karla de Sousa Araújo",$B:$B,"&lt;&gt;Lorena Dias de Araujo",$B:$B,"&lt;&gt;Lucas Luiz Romero")*(28/1083),IF(C2945="Técnico I",SUMIFS($D:$D,$A:$A,$A2945,$B:$B,"&lt;&gt;Patrícia Karla de Sousa Araújo",$B:$B,"&lt;&gt;Lorena Dias de Araujo",$B:$B,"&lt;&gt;Lucas Luiz Romero")*(23/1083),IF(C2945="JR",SUMIFS($D:$D,$A:$A,$A2945,$B:$B,"&lt;&gt;Patrícia Karla de Sousa Araújo",$B:$B,"&lt;&gt;Lorena Dias de Araujo",$B:$B,"&lt;&gt;Lucas Luiz Romero")*(20/1083),IF(C2945="Estágio",SUMIFS($D:$D,$A:$A,$A2945,$B:$B,"&lt;&gt;Patrícia Karla de Sousa Araújo",$B:$B,"&lt;&gt;Lorena Dias de Araujo",$B:$B,"&lt;&gt;Lucas Luiz Romero")*(10/1083),0)))))),0)</f>
        <v/>
      </c>
      <c r="K2945" s="3">
        <f>I2945-J2945</f>
        <v/>
      </c>
      <c r="L2945" s="3">
        <f>IF(K2945&lt;-5,"CRÍTICO",IF(K2945&lt;0,"ATENÇÃO",IF(K2945&lt;=5,"OPORTUNO","MUITO BOM")))</f>
        <v/>
      </c>
      <c r="N2945" t="n">
        <v>98.06</v>
      </c>
      <c r="O2945" t="n">
        <v>24.78991596638656</v>
      </c>
    </row>
    <row r="2946" hidden="1">
      <c r="A2946" s="11" t="n">
        <v>46093</v>
      </c>
      <c r="B2946" t="inlineStr">
        <is>
          <t>Francielson de Oliveira</t>
        </is>
      </c>
      <c r="C2946" t="inlineStr">
        <is>
          <t>Técnico III</t>
        </is>
      </c>
      <c r="D2946" t="n">
        <v>27</v>
      </c>
      <c r="E2946" t="n">
        <v>27</v>
      </c>
      <c r="F2946" t="n">
        <v>20.31</v>
      </c>
      <c r="G2946" t="n">
        <v>0</v>
      </c>
      <c r="H2946" t="n">
        <v>0</v>
      </c>
      <c r="I2946" s="3">
        <f>E2946+G2946+H2946</f>
        <v/>
      </c>
      <c r="J2946" s="3">
        <f>ROUND(MIN(IF(C2946="Técnico III",35,IF(C2946="Técnico II",28,IF(C2946="Técnico I",23,IF(C2946="JR",20,IF(C2946="Estágio",10,0))))),IF(C2946="Técnico III",SUMIFS($D:$D,$A:$A,$A2946,$B:$B,"&lt;&gt;Patrícia Karla de Sousa Araújo",$B:$B,"&lt;&gt;Lorena Dias de Araujo",$B:$B,"&lt;&gt;Lucas Luiz Romero")*(35/1083),IF(C2946="Técnico II",SUMIFS($D:$D,$A:$A,$A2946,$B:$B,"&lt;&gt;Patrícia Karla de Sousa Araújo",$B:$B,"&lt;&gt;Lorena Dias de Araujo",$B:$B,"&lt;&gt;Lucas Luiz Romero")*(28/1083),IF(C2946="Técnico I",SUMIFS($D:$D,$A:$A,$A2946,$B:$B,"&lt;&gt;Patrícia Karla de Sousa Araújo",$B:$B,"&lt;&gt;Lorena Dias de Araujo",$B:$B,"&lt;&gt;Lucas Luiz Romero")*(23/1083),IF(C2946="JR",SUMIFS($D:$D,$A:$A,$A2946,$B:$B,"&lt;&gt;Patrícia Karla de Sousa Araújo",$B:$B,"&lt;&gt;Lorena Dias de Araujo",$B:$B,"&lt;&gt;Lucas Luiz Romero")*(20/1083),IF(C2946="Estágio",SUMIFS($D:$D,$A:$A,$A2946,$B:$B,"&lt;&gt;Patrícia Karla de Sousa Araújo",$B:$B,"&lt;&gt;Lorena Dias de Araujo",$B:$B,"&lt;&gt;Lucas Luiz Romero")*(10/1083),0)))))),0)</f>
        <v/>
      </c>
      <c r="K2946" s="3">
        <f>I2946-J2946</f>
        <v/>
      </c>
      <c r="L2946" s="3">
        <f>IF(K2946&lt;-5,"CRÍTICO",IF(K2946&lt;0,"ATENÇÃO",IF(K2946&lt;=5,"OPORTUNO","MUITO BOM")))</f>
        <v/>
      </c>
      <c r="N2946" t="n">
        <v>97.78</v>
      </c>
      <c r="O2946" t="n">
        <v>25.49407114624506</v>
      </c>
    </row>
    <row r="2947" hidden="1">
      <c r="A2947" s="11" t="n">
        <v>46093</v>
      </c>
      <c r="B2947" t="inlineStr">
        <is>
          <t>Francilene Ferreira de Jesus</t>
        </is>
      </c>
      <c r="C2947" t="inlineStr">
        <is>
          <t>Técnico II</t>
        </is>
      </c>
      <c r="D2947" t="n">
        <v>28</v>
      </c>
      <c r="E2947" t="n">
        <v>25</v>
      </c>
      <c r="F2947" t="n">
        <v>26.46</v>
      </c>
      <c r="G2947" t="n">
        <v>0</v>
      </c>
      <c r="H2947" t="n">
        <v>0</v>
      </c>
      <c r="I2947" s="3">
        <f>E2947+G2947+H2947</f>
        <v/>
      </c>
      <c r="J2947" s="3">
        <f>ROUND(MIN(IF(C2947="Técnico III",35,IF(C2947="Técnico II",28,IF(C2947="Técnico I",23,IF(C2947="JR",20,IF(C2947="Estágio",10,0))))),IF(C2947="Técnico III",SUMIFS($D:$D,$A:$A,$A2947,$B:$B,"&lt;&gt;Patrícia Karla de Sousa Araújo",$B:$B,"&lt;&gt;Lorena Dias de Araujo",$B:$B,"&lt;&gt;Lucas Luiz Romero")*(35/1083),IF(C2947="Técnico II",SUMIFS($D:$D,$A:$A,$A2947,$B:$B,"&lt;&gt;Patrícia Karla de Sousa Araújo",$B:$B,"&lt;&gt;Lorena Dias de Araujo",$B:$B,"&lt;&gt;Lucas Luiz Romero")*(28/1083),IF(C2947="Técnico I",SUMIFS($D:$D,$A:$A,$A2947,$B:$B,"&lt;&gt;Patrícia Karla de Sousa Araújo",$B:$B,"&lt;&gt;Lorena Dias de Araujo",$B:$B,"&lt;&gt;Lucas Luiz Romero")*(23/1083),IF(C2947="JR",SUMIFS($D:$D,$A:$A,$A2947,$B:$B,"&lt;&gt;Patrícia Karla de Sousa Araújo",$B:$B,"&lt;&gt;Lorena Dias de Araujo",$B:$B,"&lt;&gt;Lucas Luiz Romero")*(20/1083),IF(C2947="Estágio",SUMIFS($D:$D,$A:$A,$A2947,$B:$B,"&lt;&gt;Patrícia Karla de Sousa Araújo",$B:$B,"&lt;&gt;Lorena Dias de Araujo",$B:$B,"&lt;&gt;Lucas Luiz Romero")*(10/1083),0)))))),0)</f>
        <v/>
      </c>
      <c r="K2947" s="3">
        <f>I2947-J2947</f>
        <v/>
      </c>
      <c r="L2947" s="3">
        <f>IF(K2947&lt;-5,"CRÍTICO",IF(K2947&lt;0,"ATENÇÃO",IF(K2947&lt;=5,"OPORTUNO","MUITO BOM")))</f>
        <v/>
      </c>
      <c r="N2947" t="n">
        <v>98.02</v>
      </c>
      <c r="O2947" t="n">
        <v>23.48484848484848</v>
      </c>
    </row>
    <row r="2948" hidden="1">
      <c r="A2948" s="11" t="n">
        <v>46127</v>
      </c>
      <c r="B2948" t="inlineStr">
        <is>
          <t>Gabriel Gomes de Andrade</t>
        </is>
      </c>
      <c r="C2948" t="inlineStr">
        <is>
          <t>Técnico I</t>
        </is>
      </c>
      <c r="D2948" t="n">
        <v>44</v>
      </c>
      <c r="E2948" t="n">
        <v>38</v>
      </c>
      <c r="F2948" t="n">
        <v>12.23</v>
      </c>
      <c r="G2948" t="n">
        <v>0</v>
      </c>
      <c r="H2948" t="n">
        <v>0</v>
      </c>
      <c r="I2948" s="3">
        <f>E2948+G2948+H2948</f>
        <v/>
      </c>
      <c r="J2948" s="3">
        <f>ROUND(MIN(IF(C2948="Técnico III",35,IF(C2948="Técnico II",28,IF(C2948="Técnico I",23,IF(C2948="JR",20,IF(C2948="Estágio",10,0))))),IF(C2948="Técnico III",SUMIFS($D:$D,$A:$A,$A2948,$B:$B,"&lt;&gt;Patrícia Karla de Sousa Araújo",$B:$B,"&lt;&gt;Lorena Dias de Araujo",$B:$B,"&lt;&gt;Lucas Luiz Romero")*(35/1083),IF(C2948="Técnico II",SUMIFS($D:$D,$A:$A,$A2948,$B:$B,"&lt;&gt;Patrícia Karla de Sousa Araújo",$B:$B,"&lt;&gt;Lorena Dias de Araujo",$B:$B,"&lt;&gt;Lucas Luiz Romero")*(28/1083),IF(C2948="Técnico I",SUMIFS($D:$D,$A:$A,$A2948,$B:$B,"&lt;&gt;Patrícia Karla de Sousa Araújo",$B:$B,"&lt;&gt;Lorena Dias de Araujo",$B:$B,"&lt;&gt;Lucas Luiz Romero")*(23/1083),IF(C2948="JR",SUMIFS($D:$D,$A:$A,$A2948,$B:$B,"&lt;&gt;Patrícia Karla de Sousa Araújo",$B:$B,"&lt;&gt;Lorena Dias de Araujo",$B:$B,"&lt;&gt;Lucas Luiz Romero")*(20/1083),IF(C2948="Estágio",SUMIFS($D:$D,$A:$A,$A2948,$B:$B,"&lt;&gt;Patrícia Karla de Sousa Araújo",$B:$B,"&lt;&gt;Lorena Dias de Araujo",$B:$B,"&lt;&gt;Lucas Luiz Romero")*(10/1083),0)))))),0)</f>
        <v/>
      </c>
      <c r="K2948" s="3">
        <f>I2948-J2948</f>
        <v/>
      </c>
      <c r="L2948" s="3">
        <f>IF(K2948&lt;-5,"CRÍTICO",IF(K2948&lt;0,"ATENÇÃO",IF(K2948&lt;=5,"OPORTUNO","MUITO BOM")))</f>
        <v/>
      </c>
      <c r="N2948" t="n">
        <v>99.28</v>
      </c>
      <c r="O2948" t="n">
        <v>27.68924302788844</v>
      </c>
    </row>
    <row r="2949" hidden="1">
      <c r="A2949" s="11" t="n">
        <v>46093</v>
      </c>
      <c r="B2949" t="inlineStr">
        <is>
          <t>Isabella Borges de Oliveira</t>
        </is>
      </c>
      <c r="C2949" t="inlineStr">
        <is>
          <t>Técnico II</t>
        </is>
      </c>
      <c r="D2949" t="n">
        <v>23</v>
      </c>
      <c r="E2949" t="n">
        <v>21</v>
      </c>
      <c r="F2949" t="n">
        <v>22.1</v>
      </c>
      <c r="G2949" t="n">
        <v>0</v>
      </c>
      <c r="H2949" t="n">
        <v>0</v>
      </c>
      <c r="I2949" s="3">
        <f>E2949+G2949+H2949</f>
        <v/>
      </c>
      <c r="J2949" s="3">
        <f>ROUND(MIN(IF(C2949="Técnico III",35,IF(C2949="Técnico II",28,IF(C2949="Técnico I",23,IF(C2949="JR",20,IF(C2949="Estágio",10,0))))),IF(C2949="Técnico III",SUMIFS($D:$D,$A:$A,$A2949,$B:$B,"&lt;&gt;Patrícia Karla de Sousa Araújo",$B:$B,"&lt;&gt;Lorena Dias de Araujo",$B:$B,"&lt;&gt;Lucas Luiz Romero")*(35/1083),IF(C2949="Técnico II",SUMIFS($D:$D,$A:$A,$A2949,$B:$B,"&lt;&gt;Patrícia Karla de Sousa Araújo",$B:$B,"&lt;&gt;Lorena Dias de Araujo",$B:$B,"&lt;&gt;Lucas Luiz Romero")*(28/1083),IF(C2949="Técnico I",SUMIFS($D:$D,$A:$A,$A2949,$B:$B,"&lt;&gt;Patrícia Karla de Sousa Araújo",$B:$B,"&lt;&gt;Lorena Dias de Araujo",$B:$B,"&lt;&gt;Lucas Luiz Romero")*(23/1083),IF(C2949="JR",SUMIFS($D:$D,$A:$A,$A2949,$B:$B,"&lt;&gt;Patrícia Karla de Sousa Araújo",$B:$B,"&lt;&gt;Lorena Dias de Araujo",$B:$B,"&lt;&gt;Lucas Luiz Romero")*(20/1083),IF(C2949="Estágio",SUMIFS($D:$D,$A:$A,$A2949,$B:$B,"&lt;&gt;Patrícia Karla de Sousa Araújo",$B:$B,"&lt;&gt;Lorena Dias de Araujo",$B:$B,"&lt;&gt;Lucas Luiz Romero")*(10/1083),0)))))),0)</f>
        <v/>
      </c>
      <c r="K2949" s="3">
        <f>I2949-J2949</f>
        <v/>
      </c>
      <c r="L2949" s="3">
        <f>IF(K2949&lt;-5,"CRÍTICO",IF(K2949&lt;0,"ATENÇÃO",IF(K2949&lt;=5,"OPORTUNO","MUITO BOM")))</f>
        <v/>
      </c>
      <c r="N2949" t="n">
        <v>100</v>
      </c>
      <c r="O2949" t="n">
        <v>27.04918032786885</v>
      </c>
    </row>
    <row r="2950" hidden="1">
      <c r="A2950" s="11" t="n">
        <v>46093</v>
      </c>
      <c r="B2950" t="inlineStr">
        <is>
          <t>Janaina Lima dos Reis Urany</t>
        </is>
      </c>
      <c r="C2950" t="inlineStr">
        <is>
          <t>Técnico III</t>
        </is>
      </c>
      <c r="D2950" t="n">
        <v>46</v>
      </c>
      <c r="E2950" t="n">
        <v>42</v>
      </c>
      <c r="F2950" t="n">
        <v>11.51</v>
      </c>
      <c r="G2950" t="n">
        <v>0</v>
      </c>
      <c r="H2950" t="n">
        <v>0</v>
      </c>
      <c r="I2950" s="3">
        <f>E2950+G2950+H2950</f>
        <v/>
      </c>
      <c r="J2950" s="3">
        <f>ROUND(MIN(IF(C2950="Técnico III",35,IF(C2950="Técnico II",28,IF(C2950="Técnico I",23,IF(C2950="JR",20,IF(C2950="Estágio",10,0))))),IF(C2950="Técnico III",SUMIFS($D:$D,$A:$A,$A2950,$B:$B,"&lt;&gt;Patrícia Karla de Sousa Araújo",$B:$B,"&lt;&gt;Lorena Dias de Araujo",$B:$B,"&lt;&gt;Lucas Luiz Romero")*(35/1083),IF(C2950="Técnico II",SUMIFS($D:$D,$A:$A,$A2950,$B:$B,"&lt;&gt;Patrícia Karla de Sousa Araújo",$B:$B,"&lt;&gt;Lorena Dias de Araujo",$B:$B,"&lt;&gt;Lucas Luiz Romero")*(28/1083),IF(C2950="Técnico I",SUMIFS($D:$D,$A:$A,$A2950,$B:$B,"&lt;&gt;Patrícia Karla de Sousa Araújo",$B:$B,"&lt;&gt;Lorena Dias de Araujo",$B:$B,"&lt;&gt;Lucas Luiz Romero")*(23/1083),IF(C2950="JR",SUMIFS($D:$D,$A:$A,$A2950,$B:$B,"&lt;&gt;Patrícia Karla de Sousa Araújo",$B:$B,"&lt;&gt;Lorena Dias de Araujo",$B:$B,"&lt;&gt;Lucas Luiz Romero")*(20/1083),IF(C2950="Estágio",SUMIFS($D:$D,$A:$A,$A2950,$B:$B,"&lt;&gt;Patrícia Karla de Sousa Araújo",$B:$B,"&lt;&gt;Lorena Dias de Araujo",$B:$B,"&lt;&gt;Lucas Luiz Romero")*(10/1083),0)))))),0)</f>
        <v/>
      </c>
      <c r="K2950" s="3">
        <f>I2950-J2950</f>
        <v/>
      </c>
      <c r="L2950" s="3">
        <f>IF(K2950&lt;-5,"CRÍTICO",IF(K2950&lt;0,"ATENÇÃO",IF(K2950&lt;=5,"OPORTUNO","MUITO BOM")))</f>
        <v/>
      </c>
      <c r="N2950" t="n">
        <v>97.83</v>
      </c>
      <c r="O2950" t="n">
        <v>26.31578947368421</v>
      </c>
    </row>
    <row r="2951" hidden="1">
      <c r="A2951" s="11" t="n">
        <v>46093</v>
      </c>
      <c r="B2951" t="inlineStr">
        <is>
          <t>Jaqueline Evangelista da Silva Martins</t>
        </is>
      </c>
      <c r="C2951" t="inlineStr">
        <is>
          <t>Técnico III</t>
        </is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s="3" t="n">
        <v>0</v>
      </c>
      <c r="J2951" s="3" t="n">
        <v>0</v>
      </c>
      <c r="K2951" s="3" t="n">
        <v>0</v>
      </c>
      <c r="L2951" s="3">
        <f>IF(K2951&lt;-5,"CRÍTICO",IF(K2951&lt;0,"ATENÇÃO",IF(K2951&lt;=5,"OPORTUNO","MUITO BOM")))</f>
        <v/>
      </c>
      <c r="N2951" t="n">
        <v>100</v>
      </c>
      <c r="O2951" t="n">
        <v>26.70157068062827</v>
      </c>
    </row>
    <row r="2952" hidden="1">
      <c r="A2952" s="11" t="n">
        <v>46093</v>
      </c>
      <c r="B2952" t="inlineStr">
        <is>
          <t>Jessica Faria da Silveira</t>
        </is>
      </c>
      <c r="C2952" t="inlineStr">
        <is>
          <t>Técnico II</t>
        </is>
      </c>
      <c r="D2952" t="n">
        <v>28</v>
      </c>
      <c r="E2952" t="n">
        <v>23</v>
      </c>
      <c r="F2952" t="n">
        <v>18.52</v>
      </c>
      <c r="G2952" t="n">
        <v>0</v>
      </c>
      <c r="H2952" t="n">
        <v>0</v>
      </c>
      <c r="I2952" s="3">
        <f>E2952+G2952+H2952</f>
        <v/>
      </c>
      <c r="J2952" s="3">
        <f>ROUND(MIN(IF(C2952="Técnico III",35,IF(C2952="Técnico II",28,IF(C2952="Técnico I",23,IF(C2952="JR",20,IF(C2952="Estágio",10,0))))),IF(C2952="Técnico III",SUMIFS($D:$D,$A:$A,$A2952,$B:$B,"&lt;&gt;Patrícia Karla de Sousa Araújo",$B:$B,"&lt;&gt;Lorena Dias de Araujo",$B:$B,"&lt;&gt;Lucas Luiz Romero")*(35/1083),IF(C2952="Técnico II",SUMIFS($D:$D,$A:$A,$A2952,$B:$B,"&lt;&gt;Patrícia Karla de Sousa Araújo",$B:$B,"&lt;&gt;Lorena Dias de Araujo",$B:$B,"&lt;&gt;Lucas Luiz Romero")*(28/1083),IF(C2952="Técnico I",SUMIFS($D:$D,$A:$A,$A2952,$B:$B,"&lt;&gt;Patrícia Karla de Sousa Araújo",$B:$B,"&lt;&gt;Lorena Dias de Araujo",$B:$B,"&lt;&gt;Lucas Luiz Romero")*(23/1083),IF(C2952="JR",SUMIFS($D:$D,$A:$A,$A2952,$B:$B,"&lt;&gt;Patrícia Karla de Sousa Araújo",$B:$B,"&lt;&gt;Lorena Dias de Araujo",$B:$B,"&lt;&gt;Lucas Luiz Romero")*(20/1083),IF(C2952="Estágio",SUMIFS($D:$D,$A:$A,$A2952,$B:$B,"&lt;&gt;Patrícia Karla de Sousa Araújo",$B:$B,"&lt;&gt;Lorena Dias de Araujo",$B:$B,"&lt;&gt;Lucas Luiz Romero")*(10/1083),0)))))),0)</f>
        <v/>
      </c>
      <c r="K2952" s="3">
        <f>I2952-J2952</f>
        <v/>
      </c>
      <c r="L2952" s="3">
        <f>IF(K2952&lt;-5,"CRÍTICO",IF(K2952&lt;0,"ATENÇÃO",IF(K2952&lt;=5,"OPORTUNO","MUITO BOM")))</f>
        <v/>
      </c>
      <c r="N2952" t="n">
        <v>97.47</v>
      </c>
      <c r="O2952" t="n">
        <v>22.88732394366197</v>
      </c>
    </row>
    <row r="2953" hidden="1">
      <c r="A2953" s="11" t="n">
        <v>46093</v>
      </c>
      <c r="B2953" t="inlineStr">
        <is>
          <t>Jéssica Fé Moura</t>
        </is>
      </c>
      <c r="C2953" t="inlineStr">
        <is>
          <t>Técnico III</t>
        </is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s="3" t="n">
        <v>0</v>
      </c>
      <c r="J2953" s="3" t="n">
        <v>0</v>
      </c>
      <c r="K2953" s="3" t="n">
        <v>0</v>
      </c>
      <c r="L2953" s="3">
        <f>IF(K2953&lt;-5,"CRÍTICO",IF(K2953&lt;0,"ATENÇÃO",IF(K2953&lt;=5,"OPORTUNO","MUITO BOM")))</f>
        <v/>
      </c>
      <c r="N2953" t="n">
        <v>0</v>
      </c>
      <c r="O2953" t="n">
        <v>0</v>
      </c>
    </row>
    <row r="2954" hidden="1">
      <c r="A2954" s="11" t="n">
        <v>46093</v>
      </c>
      <c r="B2954" t="inlineStr">
        <is>
          <t>Karina Gonçalves Martins</t>
        </is>
      </c>
      <c r="C2954" t="inlineStr">
        <is>
          <t>JR</t>
        </is>
      </c>
      <c r="D2954" t="n">
        <v>12</v>
      </c>
      <c r="E2954" t="n">
        <v>11</v>
      </c>
      <c r="F2954" t="n">
        <v>27.26</v>
      </c>
      <c r="G2954" t="n">
        <v>0</v>
      </c>
      <c r="H2954" t="n">
        <v>0</v>
      </c>
      <c r="I2954" s="3">
        <f>E2954+G2954+H2954</f>
        <v/>
      </c>
      <c r="J2954" s="3">
        <f>ROUND(MIN(IF(C2954="Técnico III",35,IF(C2954="Técnico II",28,IF(C2954="Técnico I",23,IF(C2954="JR",20,IF(C2954="Estágio",10,0))))),IF(C2954="Técnico III",SUMIFS($D:$D,$A:$A,$A2954,$B:$B,"&lt;&gt;Patrícia Karla de Sousa Araújo",$B:$B,"&lt;&gt;Lorena Dias de Araujo",$B:$B,"&lt;&gt;Lucas Luiz Romero")*(35/1083),IF(C2954="Técnico II",SUMIFS($D:$D,$A:$A,$A2954,$B:$B,"&lt;&gt;Patrícia Karla de Sousa Araújo",$B:$B,"&lt;&gt;Lorena Dias de Araujo",$B:$B,"&lt;&gt;Lucas Luiz Romero")*(28/1083),IF(C2954="Técnico I",SUMIFS($D:$D,$A:$A,$A2954,$B:$B,"&lt;&gt;Patrícia Karla de Sousa Araújo",$B:$B,"&lt;&gt;Lorena Dias de Araujo",$B:$B,"&lt;&gt;Lucas Luiz Romero")*(23/1083),IF(C2954="JR",SUMIFS($D:$D,$A:$A,$A2954,$B:$B,"&lt;&gt;Patrícia Karla de Sousa Araújo",$B:$B,"&lt;&gt;Lorena Dias de Araujo",$B:$B,"&lt;&gt;Lucas Luiz Romero")*(20/1083),IF(C2954="Estágio",SUMIFS($D:$D,$A:$A,$A2954,$B:$B,"&lt;&gt;Patrícia Karla de Sousa Araújo",$B:$B,"&lt;&gt;Lorena Dias de Araujo",$B:$B,"&lt;&gt;Lucas Luiz Romero")*(10/1083),0)))))),0)</f>
        <v/>
      </c>
      <c r="K2954" s="3">
        <f>I2954-J2954</f>
        <v/>
      </c>
      <c r="L2954" s="3">
        <f>IF(K2954&lt;-5,"CRÍTICO",IF(K2954&lt;0,"ATENÇÃO",IF(K2954&lt;=5,"OPORTUNO","MUITO BOM")))</f>
        <v/>
      </c>
      <c r="N2954" t="n">
        <v>98.31</v>
      </c>
      <c r="O2954" t="n">
        <v>24.92012779552715</v>
      </c>
    </row>
    <row r="2955" hidden="1">
      <c r="A2955" s="11" t="n">
        <v>46093</v>
      </c>
      <c r="B2955" t="inlineStr">
        <is>
          <t>Kerollen Cristielly de Jesus Siqueira</t>
        </is>
      </c>
      <c r="C2955" t="inlineStr">
        <is>
          <t>Técnico III</t>
        </is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s="3" t="n">
        <v>0</v>
      </c>
      <c r="J2955" s="3" t="n">
        <v>0</v>
      </c>
      <c r="K2955" s="3" t="n">
        <v>0</v>
      </c>
      <c r="L2955" s="3">
        <f>IF(K2955&lt;-5,"CRÍTICO",IF(K2955&lt;0,"ATENÇÃO",IF(K2955&lt;=5,"OPORTUNO","MUITO BOM")))</f>
        <v/>
      </c>
      <c r="N2955" t="n">
        <v>96.81</v>
      </c>
      <c r="O2955" t="n">
        <v>32.36514522821577</v>
      </c>
    </row>
    <row r="2956" hidden="1">
      <c r="A2956" s="11" t="n">
        <v>46093</v>
      </c>
      <c r="B2956" t="inlineStr">
        <is>
          <t>Leandro de Souza Silva</t>
        </is>
      </c>
      <c r="C2956" t="inlineStr">
        <is>
          <t>JR</t>
        </is>
      </c>
      <c r="D2956" t="n">
        <v>13</v>
      </c>
      <c r="E2956" t="n">
        <v>12</v>
      </c>
      <c r="F2956" t="n">
        <v>43.58</v>
      </c>
      <c r="G2956" t="n">
        <v>0</v>
      </c>
      <c r="H2956" t="n">
        <v>0</v>
      </c>
      <c r="I2956" s="3">
        <f>E2956+G2956+H2956</f>
        <v/>
      </c>
      <c r="J2956" s="3">
        <f>ROUND(MIN(IF(C2956="Técnico III",35,IF(C2956="Técnico II",28,IF(C2956="Técnico I",23,IF(C2956="JR",20,IF(C2956="Estágio",10,0))))),IF(C2956="Técnico III",SUMIFS($D:$D,$A:$A,$A2956,$B:$B,"&lt;&gt;Patrícia Karla de Sousa Araújo",$B:$B,"&lt;&gt;Lorena Dias de Araujo",$B:$B,"&lt;&gt;Lucas Luiz Romero")*(35/1083),IF(C2956="Técnico II",SUMIFS($D:$D,$A:$A,$A2956,$B:$B,"&lt;&gt;Patrícia Karla de Sousa Araújo",$B:$B,"&lt;&gt;Lorena Dias de Araujo",$B:$B,"&lt;&gt;Lucas Luiz Romero")*(28/1083),IF(C2956="Técnico I",SUMIFS($D:$D,$A:$A,$A2956,$B:$B,"&lt;&gt;Patrícia Karla de Sousa Araújo",$B:$B,"&lt;&gt;Lorena Dias de Araujo",$B:$B,"&lt;&gt;Lucas Luiz Romero")*(23/1083),IF(C2956="JR",SUMIFS($D:$D,$A:$A,$A2956,$B:$B,"&lt;&gt;Patrícia Karla de Sousa Araújo",$B:$B,"&lt;&gt;Lorena Dias de Araujo",$B:$B,"&lt;&gt;Lucas Luiz Romero")*(20/1083),IF(C2956="Estágio",SUMIFS($D:$D,$A:$A,$A2956,$B:$B,"&lt;&gt;Patrícia Karla de Sousa Araújo",$B:$B,"&lt;&gt;Lorena Dias de Araujo",$B:$B,"&lt;&gt;Lucas Luiz Romero")*(10/1083),0)))))),0)</f>
        <v/>
      </c>
      <c r="K2956" s="3">
        <f>I2956-J2956</f>
        <v/>
      </c>
      <c r="L2956" s="3">
        <f>IF(K2956&lt;-5,"CRÍTICO",IF(K2956&lt;0,"ATENÇÃO",IF(K2956&lt;=5,"OPORTUNO","MUITO BOM")))</f>
        <v/>
      </c>
      <c r="N2956" t="n">
        <v>100</v>
      </c>
      <c r="O2956" t="n">
        <v>26.47058823529412</v>
      </c>
    </row>
    <row r="2957" hidden="1">
      <c r="A2957" s="11" t="n">
        <v>46093</v>
      </c>
      <c r="B2957" t="inlineStr">
        <is>
          <t>Leandro Oliveira de Sousa</t>
        </is>
      </c>
      <c r="C2957" t="inlineStr">
        <is>
          <t>Técnico III</t>
        </is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s="3" t="n">
        <v>0</v>
      </c>
      <c r="J2957" s="3" t="n">
        <v>0</v>
      </c>
      <c r="K2957" s="3" t="n">
        <v>0</v>
      </c>
      <c r="L2957" s="3">
        <f>IF(K2957&lt;-5,"CRÍTICO",IF(K2957&lt;0,"ATENÇÃO",IF(K2957&lt;=5,"OPORTUNO","MUITO BOM")))</f>
        <v/>
      </c>
      <c r="N2957" t="n">
        <v>100</v>
      </c>
      <c r="O2957" t="n">
        <v>28.49002849002849</v>
      </c>
    </row>
    <row r="2958" hidden="1">
      <c r="A2958" s="11" t="n">
        <v>46093</v>
      </c>
      <c r="B2958" t="inlineStr">
        <is>
          <t>Lizandra Gomes Duarte</t>
        </is>
      </c>
      <c r="C2958" t="inlineStr">
        <is>
          <t>Técnico II</t>
        </is>
      </c>
      <c r="D2958" t="n">
        <v>16</v>
      </c>
      <c r="E2958" t="n">
        <v>14</v>
      </c>
      <c r="F2958" t="n">
        <v>38.26</v>
      </c>
      <c r="G2958" t="n">
        <v>0</v>
      </c>
      <c r="H2958" t="n">
        <v>0</v>
      </c>
      <c r="I2958" s="3">
        <f>E2958+G2958+H2958</f>
        <v/>
      </c>
      <c r="J2958" s="3">
        <f>ROUND(MIN(IF(C2958="Técnico III",35,IF(C2958="Técnico II",28,IF(C2958="Técnico I",23,IF(C2958="JR",20,IF(C2958="Estágio",10,0))))),IF(C2958="Técnico III",SUMIFS($D:$D,$A:$A,$A2958,$B:$B,"&lt;&gt;Patrícia Karla de Sousa Araújo",$B:$B,"&lt;&gt;Lorena Dias de Araujo",$B:$B,"&lt;&gt;Lucas Luiz Romero")*(35/1083),IF(C2958="Técnico II",SUMIFS($D:$D,$A:$A,$A2958,$B:$B,"&lt;&gt;Patrícia Karla de Sousa Araújo",$B:$B,"&lt;&gt;Lorena Dias de Araujo",$B:$B,"&lt;&gt;Lucas Luiz Romero")*(28/1083),IF(C2958="Técnico I",SUMIFS($D:$D,$A:$A,$A2958,$B:$B,"&lt;&gt;Patrícia Karla de Sousa Araújo",$B:$B,"&lt;&gt;Lorena Dias de Araujo",$B:$B,"&lt;&gt;Lucas Luiz Romero")*(23/1083),IF(C2958="JR",SUMIFS($D:$D,$A:$A,$A2958,$B:$B,"&lt;&gt;Patrícia Karla de Sousa Araújo",$B:$B,"&lt;&gt;Lorena Dias de Araujo",$B:$B,"&lt;&gt;Lucas Luiz Romero")*(20/1083),IF(C2958="Estágio",SUMIFS($D:$D,$A:$A,$A2958,$B:$B,"&lt;&gt;Patrícia Karla de Sousa Araújo",$B:$B,"&lt;&gt;Lorena Dias de Araujo",$B:$B,"&lt;&gt;Lucas Luiz Romero")*(10/1083),0)))))),0)</f>
        <v/>
      </c>
      <c r="K2958" s="3">
        <f>I2958-J2958</f>
        <v/>
      </c>
      <c r="L2958" s="3">
        <f>IF(K2958&lt;-5,"CRÍTICO",IF(K2958&lt;0,"ATENÇÃO",IF(K2958&lt;=5,"OPORTUNO","MUITO BOM")))</f>
        <v/>
      </c>
      <c r="N2958" t="n">
        <v>99.14</v>
      </c>
      <c r="O2958" t="n">
        <v>27.2289156626506</v>
      </c>
    </row>
    <row r="2959" hidden="1">
      <c r="A2959" s="11" t="n">
        <v>46093</v>
      </c>
      <c r="B2959" t="inlineStr">
        <is>
          <t>Lorena Dias de Araujo</t>
        </is>
      </c>
      <c r="C2959" t="inlineStr">
        <is>
          <t>Técnico II</t>
        </is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s="3" t="n">
        <v>0</v>
      </c>
      <c r="J2959" s="3" t="n">
        <v>0</v>
      </c>
      <c r="K2959" s="3" t="n">
        <v>0</v>
      </c>
      <c r="L2959" s="3">
        <f>IF(K2959&lt;-5,"CRÍTICO",IF(K2959&lt;0,"ATENÇÃO",IF(K2959&lt;=5,"OPORTUNO","MUITO BOM")))</f>
        <v/>
      </c>
      <c r="N2959" t="n">
        <v>97.52</v>
      </c>
      <c r="O2959" t="n">
        <v>28.2051282051282</v>
      </c>
    </row>
    <row r="2960" hidden="1">
      <c r="A2960" s="11" t="n">
        <v>46093</v>
      </c>
      <c r="B2960" t="inlineStr">
        <is>
          <t>Lucas Luiz Romero</t>
        </is>
      </c>
      <c r="C2960" t="inlineStr">
        <is>
          <t>Técnico III</t>
        </is>
      </c>
      <c r="D2960" t="n">
        <v>24</v>
      </c>
      <c r="E2960" t="n">
        <v>21</v>
      </c>
      <c r="F2960" t="n">
        <v>29.1</v>
      </c>
      <c r="G2960" t="n">
        <v>0</v>
      </c>
      <c r="H2960" t="n">
        <v>0</v>
      </c>
      <c r="I2960" s="3">
        <f>E2960+G2960+H2960</f>
        <v/>
      </c>
      <c r="J2960" s="3">
        <f>ROUND(MIN(IF(C2960="Técnico III",35,IF(C2960="Técnico II",28,IF(C2960="Técnico I",23,IF(C2960="JR",20,IF(C2960="Estágio",10,0))))),IF(C2960="Técnico III",SUMIFS($D:$D,$A:$A,$A2960,$B:$B,"&lt;&gt;Patrícia Karla de Sousa Araújo",$B:$B,"&lt;&gt;Lorena Dias de Araujo",$B:$B,"&lt;&gt;Lucas Luiz Romero")*(35/1083),IF(C2960="Técnico II",SUMIFS($D:$D,$A:$A,$A2960,$B:$B,"&lt;&gt;Patrícia Karla de Sousa Araújo",$B:$B,"&lt;&gt;Lorena Dias de Araujo",$B:$B,"&lt;&gt;Lucas Luiz Romero")*(28/1083),IF(C2960="Técnico I",SUMIFS($D:$D,$A:$A,$A2960,$B:$B,"&lt;&gt;Patrícia Karla de Sousa Araújo",$B:$B,"&lt;&gt;Lorena Dias de Araujo",$B:$B,"&lt;&gt;Lucas Luiz Romero")*(23/1083),IF(C2960="JR",SUMIFS($D:$D,$A:$A,$A2960,$B:$B,"&lt;&gt;Patrícia Karla de Sousa Araújo",$B:$B,"&lt;&gt;Lorena Dias de Araujo",$B:$B,"&lt;&gt;Lucas Luiz Romero")*(20/1083),IF(C2960="Estágio",SUMIFS($D:$D,$A:$A,$A2960,$B:$B,"&lt;&gt;Patrícia Karla de Sousa Araújo",$B:$B,"&lt;&gt;Lorena Dias de Araujo",$B:$B,"&lt;&gt;Lucas Luiz Romero")*(10/1083),0)))))),0)</f>
        <v/>
      </c>
      <c r="K2960" s="3">
        <f>I2960-J2960</f>
        <v/>
      </c>
      <c r="L2960" s="3">
        <f>IF(K2960&lt;-5,"CRÍTICO",IF(K2960&lt;0,"ATENÇÃO",IF(K2960&lt;=5,"OPORTUNO","MUITO BOM")))</f>
        <v/>
      </c>
      <c r="N2960" t="n">
        <v>90</v>
      </c>
      <c r="O2960" t="n">
        <v>24.18604651162791</v>
      </c>
    </row>
    <row r="2961" hidden="1">
      <c r="A2961" s="11" t="n">
        <v>46093</v>
      </c>
      <c r="B2961" t="inlineStr">
        <is>
          <t>Luiz Fernando de Carvalho Junior</t>
        </is>
      </c>
      <c r="C2961" t="inlineStr">
        <is>
          <t>Técnico I</t>
        </is>
      </c>
      <c r="D2961" t="n">
        <v>22</v>
      </c>
      <c r="E2961" t="n">
        <v>21</v>
      </c>
      <c r="F2961" t="n">
        <v>20.32</v>
      </c>
      <c r="G2961" t="n">
        <v>0</v>
      </c>
      <c r="H2961" t="n">
        <v>0</v>
      </c>
      <c r="I2961" s="3">
        <f>E2961+G2961+H2961</f>
        <v/>
      </c>
      <c r="J2961" s="3">
        <f>ROUND(MIN(IF(C2961="Técnico III",35,IF(C2961="Técnico II",28,IF(C2961="Técnico I",23,IF(C2961="JR",20,IF(C2961="Estágio",10,0))))),IF(C2961="Técnico III",SUMIFS($D:$D,$A:$A,$A2961,$B:$B,"&lt;&gt;Patrícia Karla de Sousa Araújo",$B:$B,"&lt;&gt;Lorena Dias de Araujo",$B:$B,"&lt;&gt;Lucas Luiz Romero")*(35/1083),IF(C2961="Técnico II",SUMIFS($D:$D,$A:$A,$A2961,$B:$B,"&lt;&gt;Patrícia Karla de Sousa Araújo",$B:$B,"&lt;&gt;Lorena Dias de Araujo",$B:$B,"&lt;&gt;Lucas Luiz Romero")*(28/1083),IF(C2961="Técnico I",SUMIFS($D:$D,$A:$A,$A2961,$B:$B,"&lt;&gt;Patrícia Karla de Sousa Araújo",$B:$B,"&lt;&gt;Lorena Dias de Araujo",$B:$B,"&lt;&gt;Lucas Luiz Romero")*(23/1083),IF(C2961="JR",SUMIFS($D:$D,$A:$A,$A2961,$B:$B,"&lt;&gt;Patrícia Karla de Sousa Araújo",$B:$B,"&lt;&gt;Lorena Dias de Araujo",$B:$B,"&lt;&gt;Lucas Luiz Romero")*(20/1083),IF(C2961="Estágio",SUMIFS($D:$D,$A:$A,$A2961,$B:$B,"&lt;&gt;Patrícia Karla de Sousa Araújo",$B:$B,"&lt;&gt;Lorena Dias de Araujo",$B:$B,"&lt;&gt;Lucas Luiz Romero")*(10/1083),0)))))),0)</f>
        <v/>
      </c>
      <c r="K2961" s="3">
        <f>I2961-J2961</f>
        <v/>
      </c>
      <c r="L2961" s="3">
        <f>IF(K2961&lt;-5,"CRÍTICO",IF(K2961&lt;0,"ATENÇÃO",IF(K2961&lt;=5,"OPORTUNO","MUITO BOM")))</f>
        <v/>
      </c>
      <c r="N2961" t="n">
        <v>98.90000000000001</v>
      </c>
      <c r="O2961" t="n">
        <v>26.7639902676399</v>
      </c>
    </row>
    <row r="2962" hidden="1">
      <c r="A2962" s="11" t="n">
        <v>46093</v>
      </c>
      <c r="B2962" t="inlineStr">
        <is>
          <t>Maria Eduarda Sousa Costa</t>
        </is>
      </c>
      <c r="C2962" t="inlineStr">
        <is>
          <t>Estágio</t>
        </is>
      </c>
      <c r="D2962" t="n">
        <v>4</v>
      </c>
      <c r="E2962" t="n">
        <v>4</v>
      </c>
      <c r="F2962" t="n">
        <v>85.44</v>
      </c>
      <c r="G2962" t="n">
        <v>0</v>
      </c>
      <c r="H2962" t="n">
        <v>0</v>
      </c>
      <c r="I2962" s="3">
        <f>E2962+G2962+H2962</f>
        <v/>
      </c>
      <c r="J2962" s="3">
        <f>ROUND(MIN(IF(C2962="Técnico III",35,IF(C2962="Técnico II",28,IF(C2962="Técnico I",23,IF(C2962="JR",20,IF(C2962="Estágio",10,0))))),IF(C2962="Técnico III",SUMIFS($D:$D,$A:$A,$A2962,$B:$B,"&lt;&gt;Patrícia Karla de Sousa Araújo",$B:$B,"&lt;&gt;Lorena Dias de Araujo",$B:$B,"&lt;&gt;Lucas Luiz Romero")*(35/1083),IF(C2962="Técnico II",SUMIFS($D:$D,$A:$A,$A2962,$B:$B,"&lt;&gt;Patrícia Karla de Sousa Araújo",$B:$B,"&lt;&gt;Lorena Dias de Araujo",$B:$B,"&lt;&gt;Lucas Luiz Romero")*(28/1083),IF(C2962="Técnico I",SUMIFS($D:$D,$A:$A,$A2962,$B:$B,"&lt;&gt;Patrícia Karla de Sousa Araújo",$B:$B,"&lt;&gt;Lorena Dias de Araujo",$B:$B,"&lt;&gt;Lucas Luiz Romero")*(23/1083),IF(C2962="JR",SUMIFS($D:$D,$A:$A,$A2962,$B:$B,"&lt;&gt;Patrícia Karla de Sousa Araújo",$B:$B,"&lt;&gt;Lorena Dias de Araujo",$B:$B,"&lt;&gt;Lucas Luiz Romero")*(20/1083),IF(C2962="Estágio",SUMIFS($D:$D,$A:$A,$A2962,$B:$B,"&lt;&gt;Patrícia Karla de Sousa Araújo",$B:$B,"&lt;&gt;Lorena Dias de Araujo",$B:$B,"&lt;&gt;Lucas Luiz Romero")*(10/1083),0)))))),0)</f>
        <v/>
      </c>
      <c r="K2962" s="3">
        <f>I2962-J2962</f>
        <v/>
      </c>
      <c r="L2962" s="3">
        <f>IF(K2962&lt;-5,"CRÍTICO",IF(K2962&lt;0,"ATENÇÃO",IF(K2962&lt;=5,"OPORTUNO","MUITO BOM")))</f>
        <v/>
      </c>
      <c r="N2962" t="n">
        <v>88.89</v>
      </c>
      <c r="O2962" t="n">
        <v>25.26315789473684</v>
      </c>
    </row>
    <row r="2963" hidden="1">
      <c r="A2963" s="11" t="n">
        <v>46093</v>
      </c>
      <c r="B2963" t="inlineStr">
        <is>
          <t>Matheus Farias De Souza</t>
        </is>
      </c>
      <c r="C2963" t="inlineStr">
        <is>
          <t>Técnico III</t>
        </is>
      </c>
      <c r="D2963" t="n">
        <v>25</v>
      </c>
      <c r="E2963" t="n">
        <v>25</v>
      </c>
      <c r="F2963" t="n">
        <v>20.52</v>
      </c>
      <c r="G2963" t="n">
        <v>0</v>
      </c>
      <c r="H2963" t="n">
        <v>0</v>
      </c>
      <c r="I2963" s="3">
        <f>E2963+G2963+H2963</f>
        <v/>
      </c>
      <c r="J2963" s="3">
        <f>ROUND(MIN(IF(C2963="Técnico III",35,IF(C2963="Técnico II",28,IF(C2963="Técnico I",23,IF(C2963="JR",20,IF(C2963="Estágio",10,0))))),IF(C2963="Técnico III",SUMIFS($D:$D,$A:$A,$A2963,$B:$B,"&lt;&gt;Patrícia Karla de Sousa Araújo",$B:$B,"&lt;&gt;Lorena Dias de Araujo",$B:$B,"&lt;&gt;Lucas Luiz Romero")*(35/1083),IF(C2963="Técnico II",SUMIFS($D:$D,$A:$A,$A2963,$B:$B,"&lt;&gt;Patrícia Karla de Sousa Araújo",$B:$B,"&lt;&gt;Lorena Dias de Araujo",$B:$B,"&lt;&gt;Lucas Luiz Romero")*(28/1083),IF(C2963="Técnico I",SUMIFS($D:$D,$A:$A,$A2963,$B:$B,"&lt;&gt;Patrícia Karla de Sousa Araújo",$B:$B,"&lt;&gt;Lorena Dias de Araujo",$B:$B,"&lt;&gt;Lucas Luiz Romero")*(23/1083),IF(C2963="JR",SUMIFS($D:$D,$A:$A,$A2963,$B:$B,"&lt;&gt;Patrícia Karla de Sousa Araújo",$B:$B,"&lt;&gt;Lorena Dias de Araujo",$B:$B,"&lt;&gt;Lucas Luiz Romero")*(20/1083),IF(C2963="Estágio",SUMIFS($D:$D,$A:$A,$A2963,$B:$B,"&lt;&gt;Patrícia Karla de Sousa Araújo",$B:$B,"&lt;&gt;Lorena Dias de Araujo",$B:$B,"&lt;&gt;Lucas Luiz Romero")*(10/1083),0)))))),0)</f>
        <v/>
      </c>
      <c r="K2963" s="3">
        <f>I2963-J2963</f>
        <v/>
      </c>
      <c r="L2963" s="3">
        <f>IF(K2963&lt;-5,"CRÍTICO",IF(K2963&lt;0,"ATENÇÃO",IF(K2963&lt;=5,"OPORTUNO","MUITO BOM")))</f>
        <v/>
      </c>
      <c r="N2963" t="n">
        <v>98.86</v>
      </c>
      <c r="O2963" t="n">
        <v>28.95927601809955</v>
      </c>
    </row>
    <row r="2964" hidden="1">
      <c r="A2964" s="11" t="n">
        <v>46093</v>
      </c>
      <c r="B2964" t="inlineStr">
        <is>
          <t>Maysa Victoria Dias Moura</t>
        </is>
      </c>
      <c r="C2964" t="inlineStr">
        <is>
          <t>Técnico III</t>
        </is>
      </c>
      <c r="D2964" t="n">
        <v>33</v>
      </c>
      <c r="E2964" t="n">
        <v>26</v>
      </c>
      <c r="F2964" t="n">
        <v>12.22</v>
      </c>
      <c r="G2964" t="n">
        <v>0</v>
      </c>
      <c r="H2964" t="n">
        <v>0</v>
      </c>
      <c r="I2964" s="3">
        <f>E2964+G2964+H2964</f>
        <v/>
      </c>
      <c r="J2964" s="3">
        <f>ROUND(MIN(IF(C2964="Técnico III",35,IF(C2964="Técnico II",28,IF(C2964="Técnico I",23,IF(C2964="JR",20,IF(C2964="Estágio",10,0))))),IF(C2964="Técnico III",SUMIFS($D:$D,$A:$A,$A2964,$B:$B,"&lt;&gt;Patrícia Karla de Sousa Araújo",$B:$B,"&lt;&gt;Lorena Dias de Araujo",$B:$B,"&lt;&gt;Lucas Luiz Romero")*(35/1083),IF(C2964="Técnico II",SUMIFS($D:$D,$A:$A,$A2964,$B:$B,"&lt;&gt;Patrícia Karla de Sousa Araújo",$B:$B,"&lt;&gt;Lorena Dias de Araujo",$B:$B,"&lt;&gt;Lucas Luiz Romero")*(28/1083),IF(C2964="Técnico I",SUMIFS($D:$D,$A:$A,$A2964,$B:$B,"&lt;&gt;Patrícia Karla de Sousa Araújo",$B:$B,"&lt;&gt;Lorena Dias de Araujo",$B:$B,"&lt;&gt;Lucas Luiz Romero")*(23/1083),IF(C2964="JR",SUMIFS($D:$D,$A:$A,$A2964,$B:$B,"&lt;&gt;Patrícia Karla de Sousa Araújo",$B:$B,"&lt;&gt;Lorena Dias de Araujo",$B:$B,"&lt;&gt;Lucas Luiz Romero")*(20/1083),IF(C2964="Estágio",SUMIFS($D:$D,$A:$A,$A2964,$B:$B,"&lt;&gt;Patrícia Karla de Sousa Araújo",$B:$B,"&lt;&gt;Lorena Dias de Araujo",$B:$B,"&lt;&gt;Lucas Luiz Romero")*(10/1083),0)))))),0)</f>
        <v/>
      </c>
      <c r="K2964" s="3">
        <f>I2964-J2964</f>
        <v/>
      </c>
      <c r="L2964" s="3">
        <f>IF(K2964&lt;-5,"CRÍTICO",IF(K2964&lt;0,"ATENÇÃO",IF(K2964&lt;=5,"OPORTUNO","MUITO BOM")))</f>
        <v/>
      </c>
      <c r="N2964" t="n">
        <v>98.06</v>
      </c>
      <c r="O2964" t="n">
        <v>22.40566037735849</v>
      </c>
    </row>
    <row r="2965" hidden="1">
      <c r="A2965" s="11" t="n">
        <v>46093</v>
      </c>
      <c r="B2965" t="inlineStr">
        <is>
          <t>Michelle G Santos</t>
        </is>
      </c>
      <c r="C2965" t="inlineStr">
        <is>
          <t>Estágio</t>
        </is>
      </c>
      <c r="D2965" t="n">
        <v>6</v>
      </c>
      <c r="E2965" t="n">
        <v>6</v>
      </c>
      <c r="F2965" t="n">
        <v>43.49</v>
      </c>
      <c r="G2965" t="n">
        <v>0</v>
      </c>
      <c r="H2965" t="n">
        <v>0</v>
      </c>
      <c r="I2965" s="3">
        <f>E2965+G2965+H2965</f>
        <v/>
      </c>
      <c r="J2965" s="3">
        <f>ROUND(MIN(IF(C2965="Técnico III",35,IF(C2965="Técnico II",28,IF(C2965="Técnico I",23,IF(C2965="JR",20,IF(C2965="Estágio",10,0))))),IF(C2965="Técnico III",SUMIFS($D:$D,$A:$A,$A2965,$B:$B,"&lt;&gt;Patrícia Karla de Sousa Araújo",$B:$B,"&lt;&gt;Lorena Dias de Araujo",$B:$B,"&lt;&gt;Lucas Luiz Romero")*(35/1083),IF(C2965="Técnico II",SUMIFS($D:$D,$A:$A,$A2965,$B:$B,"&lt;&gt;Patrícia Karla de Sousa Araújo",$B:$B,"&lt;&gt;Lorena Dias de Araujo",$B:$B,"&lt;&gt;Lucas Luiz Romero")*(28/1083),IF(C2965="Técnico I",SUMIFS($D:$D,$A:$A,$A2965,$B:$B,"&lt;&gt;Patrícia Karla de Sousa Araújo",$B:$B,"&lt;&gt;Lorena Dias de Araujo",$B:$B,"&lt;&gt;Lucas Luiz Romero")*(23/1083),IF(C2965="JR",SUMIFS($D:$D,$A:$A,$A2965,$B:$B,"&lt;&gt;Patrícia Karla de Sousa Araújo",$B:$B,"&lt;&gt;Lorena Dias de Araujo",$B:$B,"&lt;&gt;Lucas Luiz Romero")*(20/1083),IF(C2965="Estágio",SUMIFS($D:$D,$A:$A,$A2965,$B:$B,"&lt;&gt;Patrícia Karla de Sousa Araújo",$B:$B,"&lt;&gt;Lorena Dias de Araujo",$B:$B,"&lt;&gt;Lucas Luiz Romero")*(10/1083),0)))))),0)</f>
        <v/>
      </c>
      <c r="K2965" s="3">
        <f>I2965-J2965</f>
        <v/>
      </c>
      <c r="L2965" s="3">
        <f>IF(K2965&lt;-5,"CRÍTICO",IF(K2965&lt;0,"ATENÇÃO",IF(K2965&lt;=5,"OPORTUNO","MUITO BOM")))</f>
        <v/>
      </c>
      <c r="N2965" t="n">
        <v>95.83</v>
      </c>
      <c r="O2965" t="n">
        <v>25.77319587628866</v>
      </c>
    </row>
    <row r="2966" hidden="1">
      <c r="A2966" s="11" t="n">
        <v>46093</v>
      </c>
      <c r="B2966" t="inlineStr">
        <is>
          <t>Milena Sales</t>
        </is>
      </c>
      <c r="C2966" t="inlineStr">
        <is>
          <t>JR</t>
        </is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s="3" t="n">
        <v>0</v>
      </c>
      <c r="J2966" s="3" t="n">
        <v>0</v>
      </c>
      <c r="K2966" s="3" t="n">
        <v>0</v>
      </c>
      <c r="L2966" s="3">
        <f>IF(K2966&lt;-5,"CRÍTICO",IF(K2966&lt;0,"ATENÇÃO",IF(K2966&lt;=5,"OPORTUNO","MUITO BOM")))</f>
        <v/>
      </c>
      <c r="N2966" t="n">
        <v>100</v>
      </c>
      <c r="O2966" t="n">
        <v>15.38461538461539</v>
      </c>
    </row>
    <row r="2967" hidden="1">
      <c r="A2967" s="11" t="n">
        <v>46093</v>
      </c>
      <c r="B2967" t="inlineStr">
        <is>
          <t>Patrícia Karla de Sousa Araújo</t>
        </is>
      </c>
      <c r="C2967" t="inlineStr">
        <is>
          <t>Técnico II</t>
        </is>
      </c>
      <c r="D2967" t="n">
        <v>13</v>
      </c>
      <c r="E2967" t="n">
        <v>12</v>
      </c>
      <c r="F2967" t="n">
        <v>25.35</v>
      </c>
      <c r="G2967" t="n">
        <v>0</v>
      </c>
      <c r="H2967" t="n">
        <v>0</v>
      </c>
      <c r="I2967" s="3">
        <f>E2967+G2967+H2967</f>
        <v/>
      </c>
      <c r="J2967" s="3">
        <f>ROUND(MIN(IF(C2967="Técnico III",35,IF(C2967="Técnico II",28,IF(C2967="Técnico I",23,IF(C2967="JR",20,IF(C2967="Estágio",10,0))))),IF(C2967="Técnico III",SUMIFS($D:$D,$A:$A,$A2967,$B:$B,"&lt;&gt;Patrícia Karla de Sousa Araújo",$B:$B,"&lt;&gt;Lorena Dias de Araujo",$B:$B,"&lt;&gt;Lucas Luiz Romero")*(35/1083),IF(C2967="Técnico II",SUMIFS($D:$D,$A:$A,$A2967,$B:$B,"&lt;&gt;Patrícia Karla de Sousa Araújo",$B:$B,"&lt;&gt;Lorena Dias de Araujo",$B:$B,"&lt;&gt;Lucas Luiz Romero")*(28/1083),IF(C2967="Técnico I",SUMIFS($D:$D,$A:$A,$A2967,$B:$B,"&lt;&gt;Patrícia Karla de Sousa Araújo",$B:$B,"&lt;&gt;Lorena Dias de Araujo",$B:$B,"&lt;&gt;Lucas Luiz Romero")*(23/1083),IF(C2967="JR",SUMIFS($D:$D,$A:$A,$A2967,$B:$B,"&lt;&gt;Patrícia Karla de Sousa Araújo",$B:$B,"&lt;&gt;Lorena Dias de Araujo",$B:$B,"&lt;&gt;Lucas Luiz Romero")*(20/1083),IF(C2967="Estágio",SUMIFS($D:$D,$A:$A,$A2967,$B:$B,"&lt;&gt;Patrícia Karla de Sousa Araújo",$B:$B,"&lt;&gt;Lorena Dias de Araujo",$B:$B,"&lt;&gt;Lucas Luiz Romero")*(10/1083),0)))))),0)</f>
        <v/>
      </c>
      <c r="K2967" s="3">
        <f>I2967-J2967</f>
        <v/>
      </c>
      <c r="L2967" s="3">
        <f>IF(K2967&lt;-5,"CRÍTICO",IF(K2967&lt;0,"ATENÇÃO",IF(K2967&lt;=5,"OPORTUNO","MUITO BOM")))</f>
        <v/>
      </c>
      <c r="N2967" t="n">
        <v>100</v>
      </c>
      <c r="O2967" t="n">
        <v>27.51479289940828</v>
      </c>
    </row>
    <row r="2968" hidden="1">
      <c r="A2968" s="11" t="n">
        <v>46093</v>
      </c>
      <c r="B2968" t="inlineStr">
        <is>
          <t>Paulo Ricardo Santos</t>
        </is>
      </c>
      <c r="C2968" t="inlineStr">
        <is>
          <t>JR</t>
        </is>
      </c>
      <c r="D2968" t="n">
        <v>14</v>
      </c>
      <c r="E2968" t="n">
        <v>11</v>
      </c>
      <c r="F2968" t="n">
        <v>18.59</v>
      </c>
      <c r="G2968" t="n">
        <v>0</v>
      </c>
      <c r="H2968" t="n">
        <v>0</v>
      </c>
      <c r="I2968" s="3">
        <f>E2968+G2968+H2968</f>
        <v/>
      </c>
      <c r="J2968" s="3">
        <f>ROUND(MIN(IF(C2968="Técnico III",35,IF(C2968="Técnico II",28,IF(C2968="Técnico I",23,IF(C2968="JR",20,IF(C2968="Estágio",10,0))))),IF(C2968="Técnico III",SUMIFS($D:$D,$A:$A,$A2968,$B:$B,"&lt;&gt;Patrícia Karla de Sousa Araújo",$B:$B,"&lt;&gt;Lorena Dias de Araujo",$B:$B,"&lt;&gt;Lucas Luiz Romero")*(35/1083),IF(C2968="Técnico II",SUMIFS($D:$D,$A:$A,$A2968,$B:$B,"&lt;&gt;Patrícia Karla de Sousa Araújo",$B:$B,"&lt;&gt;Lorena Dias de Araujo",$B:$B,"&lt;&gt;Lucas Luiz Romero")*(28/1083),IF(C2968="Técnico I",SUMIFS($D:$D,$A:$A,$A2968,$B:$B,"&lt;&gt;Patrícia Karla de Sousa Araújo",$B:$B,"&lt;&gt;Lorena Dias de Araujo",$B:$B,"&lt;&gt;Lucas Luiz Romero")*(23/1083),IF(C2968="JR",SUMIFS($D:$D,$A:$A,$A2968,$B:$B,"&lt;&gt;Patrícia Karla de Sousa Araújo",$B:$B,"&lt;&gt;Lorena Dias de Araujo",$B:$B,"&lt;&gt;Lucas Luiz Romero")*(20/1083),IF(C2968="Estágio",SUMIFS($D:$D,$A:$A,$A2968,$B:$B,"&lt;&gt;Patrícia Karla de Sousa Araújo",$B:$B,"&lt;&gt;Lorena Dias de Araujo",$B:$B,"&lt;&gt;Lucas Luiz Romero")*(10/1083),0)))))),0)</f>
        <v/>
      </c>
      <c r="K2968" s="3">
        <f>I2968-J2968</f>
        <v/>
      </c>
      <c r="L2968" s="3">
        <f>IF(K2968&lt;-5,"CRÍTICO",IF(K2968&lt;0,"ATENÇÃO",IF(K2968&lt;=5,"OPORTUNO","MUITO BOM")))</f>
        <v/>
      </c>
      <c r="N2968" t="n">
        <v>100</v>
      </c>
      <c r="O2968" t="n">
        <v>24.87562189054727</v>
      </c>
    </row>
    <row r="2969" hidden="1">
      <c r="A2969" s="11" t="n">
        <v>46093</v>
      </c>
      <c r="B2969" t="inlineStr">
        <is>
          <t>Pedro Luiz Mota Sousa</t>
        </is>
      </c>
      <c r="C2969" t="inlineStr">
        <is>
          <t>JR</t>
        </is>
      </c>
      <c r="D2969" t="n">
        <v>11</v>
      </c>
      <c r="E2969" t="n">
        <v>11</v>
      </c>
      <c r="F2969" t="n">
        <v>52.06</v>
      </c>
      <c r="G2969" t="n">
        <v>0</v>
      </c>
      <c r="H2969" t="n">
        <v>0</v>
      </c>
      <c r="I2969" s="3">
        <f>E2969+G2969+H2969</f>
        <v/>
      </c>
      <c r="J2969" s="3">
        <f>ROUND(MIN(IF(C2969="Técnico III",35,IF(C2969="Técnico II",28,IF(C2969="Técnico I",23,IF(C2969="JR",20,IF(C2969="Estágio",10,0))))),IF(C2969="Técnico III",SUMIFS($D:$D,$A:$A,$A2969,$B:$B,"&lt;&gt;Patrícia Karla de Sousa Araújo",$B:$B,"&lt;&gt;Lorena Dias de Araujo",$B:$B,"&lt;&gt;Lucas Luiz Romero")*(35/1083),IF(C2969="Técnico II",SUMIFS($D:$D,$A:$A,$A2969,$B:$B,"&lt;&gt;Patrícia Karla de Sousa Araújo",$B:$B,"&lt;&gt;Lorena Dias de Araujo",$B:$B,"&lt;&gt;Lucas Luiz Romero")*(28/1083),IF(C2969="Técnico I",SUMIFS($D:$D,$A:$A,$A2969,$B:$B,"&lt;&gt;Patrícia Karla de Sousa Araújo",$B:$B,"&lt;&gt;Lorena Dias de Araujo",$B:$B,"&lt;&gt;Lucas Luiz Romero")*(23/1083),IF(C2969="JR",SUMIFS($D:$D,$A:$A,$A2969,$B:$B,"&lt;&gt;Patrícia Karla de Sousa Araújo",$B:$B,"&lt;&gt;Lorena Dias de Araujo",$B:$B,"&lt;&gt;Lucas Luiz Romero")*(20/1083),IF(C2969="Estágio",SUMIFS($D:$D,$A:$A,$A2969,$B:$B,"&lt;&gt;Patrícia Karla de Sousa Araújo",$B:$B,"&lt;&gt;Lorena Dias de Araujo",$B:$B,"&lt;&gt;Lucas Luiz Romero")*(10/1083),0)))))),0)</f>
        <v/>
      </c>
      <c r="K2969" s="3">
        <f>I2969-J2969</f>
        <v/>
      </c>
      <c r="L2969" s="3">
        <f>IF(K2969&lt;-5,"CRÍTICO",IF(K2969&lt;0,"ATENÇÃO",IF(K2969&lt;=5,"OPORTUNO","MUITO BOM")))</f>
        <v/>
      </c>
      <c r="N2969" t="n">
        <v>100</v>
      </c>
      <c r="O2969" t="n">
        <v>28.10810810810811</v>
      </c>
    </row>
    <row r="2970" hidden="1">
      <c r="A2970" s="11" t="n">
        <v>46093</v>
      </c>
      <c r="B2970" t="inlineStr">
        <is>
          <t>Quirino Diogo Leite Torres</t>
        </is>
      </c>
      <c r="C2970" t="inlineStr">
        <is>
          <t>Estágio</t>
        </is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s="3" t="n">
        <v>0</v>
      </c>
      <c r="J2970" s="3" t="n">
        <v>0</v>
      </c>
      <c r="K2970" s="3" t="n">
        <v>0</v>
      </c>
      <c r="L2970" s="3">
        <f>IF(K2970&lt;-5,"CRÍTICO",IF(K2970&lt;0,"ATENÇÃO",IF(K2970&lt;=5,"OPORTUNO","MUITO BOM")))</f>
        <v/>
      </c>
      <c r="N2970" t="n">
        <v>100</v>
      </c>
      <c r="O2970" t="n">
        <v>35</v>
      </c>
    </row>
    <row r="2971" hidden="1">
      <c r="A2971" s="11" t="n">
        <v>46093</v>
      </c>
      <c r="B2971" t="inlineStr">
        <is>
          <t>Raane Batista Matos</t>
        </is>
      </c>
      <c r="C2971" t="inlineStr">
        <is>
          <t>Técnico I</t>
        </is>
      </c>
      <c r="D2971" t="n">
        <v>25</v>
      </c>
      <c r="E2971" t="n">
        <v>25</v>
      </c>
      <c r="F2971" t="n">
        <v>28.46</v>
      </c>
      <c r="G2971" t="n">
        <v>0</v>
      </c>
      <c r="H2971" t="n">
        <v>0</v>
      </c>
      <c r="I2971" s="3">
        <f>E2971+G2971+H2971</f>
        <v/>
      </c>
      <c r="J2971" s="3">
        <f>ROUND(MIN(IF(C2971="Técnico III",35,IF(C2971="Técnico II",28,IF(C2971="Técnico I",23,IF(C2971="JR",20,IF(C2971="Estágio",10,0))))),IF(C2971="Técnico III",SUMIFS($D:$D,$A:$A,$A2971,$B:$B,"&lt;&gt;Patrícia Karla de Sousa Araújo",$B:$B,"&lt;&gt;Lorena Dias de Araujo",$B:$B,"&lt;&gt;Lucas Luiz Romero")*(35/1083),IF(C2971="Técnico II",SUMIFS($D:$D,$A:$A,$A2971,$B:$B,"&lt;&gt;Patrícia Karla de Sousa Araújo",$B:$B,"&lt;&gt;Lorena Dias de Araujo",$B:$B,"&lt;&gt;Lucas Luiz Romero")*(28/1083),IF(C2971="Técnico I",SUMIFS($D:$D,$A:$A,$A2971,$B:$B,"&lt;&gt;Patrícia Karla de Sousa Araújo",$B:$B,"&lt;&gt;Lorena Dias de Araujo",$B:$B,"&lt;&gt;Lucas Luiz Romero")*(23/1083),IF(C2971="JR",SUMIFS($D:$D,$A:$A,$A2971,$B:$B,"&lt;&gt;Patrícia Karla de Sousa Araújo",$B:$B,"&lt;&gt;Lorena Dias de Araujo",$B:$B,"&lt;&gt;Lucas Luiz Romero")*(20/1083),IF(C2971="Estágio",SUMIFS($D:$D,$A:$A,$A2971,$B:$B,"&lt;&gt;Patrícia Karla de Sousa Araújo",$B:$B,"&lt;&gt;Lorena Dias de Araujo",$B:$B,"&lt;&gt;Lucas Luiz Romero")*(10/1083),0)))))),0)</f>
        <v/>
      </c>
      <c r="K2971" s="3">
        <f>I2971-J2971</f>
        <v/>
      </c>
      <c r="L2971" s="3">
        <f>IF(K2971&lt;-5,"CRÍTICO",IF(K2971&lt;0,"ATENÇÃO",IF(K2971&lt;=5,"OPORTUNO","MUITO BOM")))</f>
        <v/>
      </c>
      <c r="N2971" t="n">
        <v>95.34999999999999</v>
      </c>
      <c r="O2971" t="n">
        <v>28.61538461538461</v>
      </c>
    </row>
    <row r="2972" hidden="1">
      <c r="A2972" s="11" t="n">
        <v>46093</v>
      </c>
      <c r="B2972" t="inlineStr">
        <is>
          <t>Rafael Gomes de Morais</t>
        </is>
      </c>
      <c r="C2972" t="inlineStr">
        <is>
          <t>Técnico III</t>
        </is>
      </c>
      <c r="D2972" t="n">
        <v>45</v>
      </c>
      <c r="E2972" t="n">
        <v>42</v>
      </c>
      <c r="F2972" t="n">
        <v>13.5</v>
      </c>
      <c r="G2972" t="n">
        <v>0</v>
      </c>
      <c r="H2972" t="n">
        <v>0</v>
      </c>
      <c r="I2972" s="3">
        <f>E2972+G2972+H2972</f>
        <v/>
      </c>
      <c r="J2972" s="3">
        <f>ROUND(MIN(IF(C2972="Técnico III",35,IF(C2972="Técnico II",28,IF(C2972="Técnico I",23,IF(C2972="JR",20,IF(C2972="Estágio",10,0))))),IF(C2972="Técnico III",SUMIFS($D:$D,$A:$A,$A2972,$B:$B,"&lt;&gt;Patrícia Karla de Sousa Araújo",$B:$B,"&lt;&gt;Lorena Dias de Araujo",$B:$B,"&lt;&gt;Lucas Luiz Romero")*(35/1083),IF(C2972="Técnico II",SUMIFS($D:$D,$A:$A,$A2972,$B:$B,"&lt;&gt;Patrícia Karla de Sousa Araújo",$B:$B,"&lt;&gt;Lorena Dias de Araujo",$B:$B,"&lt;&gt;Lucas Luiz Romero")*(28/1083),IF(C2972="Técnico I",SUMIFS($D:$D,$A:$A,$A2972,$B:$B,"&lt;&gt;Patrícia Karla de Sousa Araújo",$B:$B,"&lt;&gt;Lorena Dias de Araujo",$B:$B,"&lt;&gt;Lucas Luiz Romero")*(23/1083),IF(C2972="JR",SUMIFS($D:$D,$A:$A,$A2972,$B:$B,"&lt;&gt;Patrícia Karla de Sousa Araújo",$B:$B,"&lt;&gt;Lorena Dias de Araujo",$B:$B,"&lt;&gt;Lucas Luiz Romero")*(20/1083),IF(C2972="Estágio",SUMIFS($D:$D,$A:$A,$A2972,$B:$B,"&lt;&gt;Patrícia Karla de Sousa Araújo",$B:$B,"&lt;&gt;Lorena Dias de Araujo",$B:$B,"&lt;&gt;Lucas Luiz Romero")*(10/1083),0)))))),0)</f>
        <v/>
      </c>
      <c r="K2972" s="3">
        <f>I2972-J2972</f>
        <v/>
      </c>
      <c r="L2972" s="3">
        <f>IF(K2972&lt;-5,"CRÍTICO",IF(K2972&lt;0,"ATENÇÃO",IF(K2972&lt;=5,"OPORTUNO","MUITO BOM")))</f>
        <v/>
      </c>
      <c r="N2972" t="n">
        <v>98.26000000000001</v>
      </c>
      <c r="O2972" t="n">
        <v>27.54491017964072</v>
      </c>
    </row>
    <row r="2973" hidden="1">
      <c r="A2973" s="11" t="n">
        <v>46093</v>
      </c>
      <c r="B2973" t="inlineStr">
        <is>
          <t>Sara Maria Monteiro Lopes</t>
        </is>
      </c>
      <c r="C2973" t="inlineStr">
        <is>
          <t>Técnico I</t>
        </is>
      </c>
      <c r="D2973" t="n">
        <v>17</v>
      </c>
      <c r="E2973" t="n">
        <v>16</v>
      </c>
      <c r="F2973" t="n">
        <v>28.36</v>
      </c>
      <c r="G2973" t="n">
        <v>0</v>
      </c>
      <c r="H2973" t="n">
        <v>0</v>
      </c>
      <c r="I2973" s="3">
        <f>E2973+G2973+H2973</f>
        <v/>
      </c>
      <c r="J2973" s="3">
        <f>ROUND(MIN(IF(C2973="Técnico III",35,IF(C2973="Técnico II",28,IF(C2973="Técnico I",23,IF(C2973="JR",20,IF(C2973="Estágio",10,0))))),IF(C2973="Técnico III",SUMIFS($D:$D,$A:$A,$A2973,$B:$B,"&lt;&gt;Patrícia Karla de Sousa Araújo",$B:$B,"&lt;&gt;Lorena Dias de Araujo",$B:$B,"&lt;&gt;Lucas Luiz Romero")*(35/1083),IF(C2973="Técnico II",SUMIFS($D:$D,$A:$A,$A2973,$B:$B,"&lt;&gt;Patrícia Karla de Sousa Araújo",$B:$B,"&lt;&gt;Lorena Dias de Araujo",$B:$B,"&lt;&gt;Lucas Luiz Romero")*(28/1083),IF(C2973="Técnico I",SUMIFS($D:$D,$A:$A,$A2973,$B:$B,"&lt;&gt;Patrícia Karla de Sousa Araújo",$B:$B,"&lt;&gt;Lorena Dias de Araujo",$B:$B,"&lt;&gt;Lucas Luiz Romero")*(23/1083),IF(C2973="JR",SUMIFS($D:$D,$A:$A,$A2973,$B:$B,"&lt;&gt;Patrícia Karla de Sousa Araújo",$B:$B,"&lt;&gt;Lorena Dias de Araujo",$B:$B,"&lt;&gt;Lucas Luiz Romero")*(20/1083),IF(C2973="Estágio",SUMIFS($D:$D,$A:$A,$A2973,$B:$B,"&lt;&gt;Patrícia Karla de Sousa Araújo",$B:$B,"&lt;&gt;Lorena Dias de Araujo",$B:$B,"&lt;&gt;Lucas Luiz Romero")*(10/1083),0)))))),0)</f>
        <v/>
      </c>
      <c r="K2973" s="3">
        <f>I2973-J2973</f>
        <v/>
      </c>
      <c r="L2973" s="3">
        <f>IF(K2973&lt;-5,"CRÍTICO",IF(K2973&lt;0,"ATENÇÃO",IF(K2973&lt;=5,"OPORTUNO","MUITO BOM")))</f>
        <v/>
      </c>
      <c r="N2973" t="n">
        <v>98.55</v>
      </c>
      <c r="O2973" t="n">
        <v>25.33783783783784</v>
      </c>
    </row>
    <row r="2974" hidden="1">
      <c r="A2974" s="11" t="n">
        <v>46093</v>
      </c>
      <c r="B2974" t="inlineStr">
        <is>
          <t>Sarah Steffanie de Lima Borges</t>
        </is>
      </c>
      <c r="C2974" t="inlineStr">
        <is>
          <t>Técnico III</t>
        </is>
      </c>
      <c r="D2974" t="n">
        <v>40</v>
      </c>
      <c r="E2974" t="n">
        <v>35</v>
      </c>
      <c r="F2974" t="n">
        <v>15.18</v>
      </c>
      <c r="G2974" t="n">
        <v>0</v>
      </c>
      <c r="H2974" t="n">
        <v>0</v>
      </c>
      <c r="I2974" s="3">
        <f>E2974+G2974+H2974</f>
        <v/>
      </c>
      <c r="J2974" s="3">
        <f>ROUND(MIN(IF(C2974="Técnico III",35,IF(C2974="Técnico II",28,IF(C2974="Técnico I",23,IF(C2974="JR",20,IF(C2974="Estágio",10,0))))),IF(C2974="Técnico III",SUMIFS($D:$D,$A:$A,$A2974,$B:$B,"&lt;&gt;Patrícia Karla de Sousa Araújo",$B:$B,"&lt;&gt;Lorena Dias de Araujo",$B:$B,"&lt;&gt;Lucas Luiz Romero")*(35/1083),IF(C2974="Técnico II",SUMIFS($D:$D,$A:$A,$A2974,$B:$B,"&lt;&gt;Patrícia Karla de Sousa Araújo",$B:$B,"&lt;&gt;Lorena Dias de Araujo",$B:$B,"&lt;&gt;Lucas Luiz Romero")*(28/1083),IF(C2974="Técnico I",SUMIFS($D:$D,$A:$A,$A2974,$B:$B,"&lt;&gt;Patrícia Karla de Sousa Araújo",$B:$B,"&lt;&gt;Lorena Dias de Araujo",$B:$B,"&lt;&gt;Lucas Luiz Romero")*(23/1083),IF(C2974="JR",SUMIFS($D:$D,$A:$A,$A2974,$B:$B,"&lt;&gt;Patrícia Karla de Sousa Araújo",$B:$B,"&lt;&gt;Lorena Dias de Araujo",$B:$B,"&lt;&gt;Lucas Luiz Romero")*(20/1083),IF(C2974="Estágio",SUMIFS($D:$D,$A:$A,$A2974,$B:$B,"&lt;&gt;Patrícia Karla de Sousa Araújo",$B:$B,"&lt;&gt;Lorena Dias de Araujo",$B:$B,"&lt;&gt;Lucas Luiz Romero")*(10/1083),0)))))),0)</f>
        <v/>
      </c>
      <c r="K2974" s="3">
        <f>I2974-J2974</f>
        <v/>
      </c>
      <c r="L2974" s="3">
        <f>IF(K2974&lt;-5,"CRÍTICO",IF(K2974&lt;0,"ATENÇÃO",IF(K2974&lt;=5,"OPORTUNO","MUITO BOM")))</f>
        <v/>
      </c>
      <c r="N2974" t="n">
        <v>98.39</v>
      </c>
      <c r="O2974" t="n">
        <v>25.56390977443609</v>
      </c>
    </row>
    <row r="2975" hidden="1">
      <c r="A2975" s="11" t="n">
        <v>46094</v>
      </c>
      <c r="B2975" t="inlineStr">
        <is>
          <t>Alisson de Freitas Silva</t>
        </is>
      </c>
      <c r="C2975" t="inlineStr">
        <is>
          <t>Técnico II</t>
        </is>
      </c>
      <c r="D2975" t="n">
        <v>37</v>
      </c>
      <c r="E2975" t="n">
        <v>32</v>
      </c>
      <c r="F2975" t="n">
        <v>17.19</v>
      </c>
      <c r="G2975" t="n">
        <v>0</v>
      </c>
      <c r="H2975" t="n">
        <v>0</v>
      </c>
      <c r="I2975" s="3">
        <f>E2975+G2975+H2975</f>
        <v/>
      </c>
      <c r="J2975" s="3">
        <f>ROUND(MIN(IF(C2975="Técnico III",35,IF(C2975="Técnico II",28,IF(C2975="Técnico I",23,IF(C2975="JR",20,IF(C2975="Estágio",10,0))))),IF(C2975="Técnico III",SUMIFS($D:$D,$A:$A,$A2975,$B:$B,"&lt;&gt;Patrícia Karla de Sousa Araújo",$B:$B,"&lt;&gt;Lorena Dias de Araujo",$B:$B,"&lt;&gt;Lucas Luiz Romero")*(35/1083),IF(C2975="Técnico II",SUMIFS($D:$D,$A:$A,$A2975,$B:$B,"&lt;&gt;Patrícia Karla de Sousa Araújo",$B:$B,"&lt;&gt;Lorena Dias de Araujo",$B:$B,"&lt;&gt;Lucas Luiz Romero")*(28/1083),IF(C2975="Técnico I",SUMIFS($D:$D,$A:$A,$A2975,$B:$B,"&lt;&gt;Patrícia Karla de Sousa Araújo",$B:$B,"&lt;&gt;Lorena Dias de Araujo",$B:$B,"&lt;&gt;Lucas Luiz Romero")*(23/1083),IF(C2975="JR",SUMIFS($D:$D,$A:$A,$A2975,$B:$B,"&lt;&gt;Patrícia Karla de Sousa Araújo",$B:$B,"&lt;&gt;Lorena Dias de Araujo",$B:$B,"&lt;&gt;Lucas Luiz Romero")*(20/1083),IF(C2975="Estágio",SUMIFS($D:$D,$A:$A,$A2975,$B:$B,"&lt;&gt;Patrícia Karla de Sousa Araújo",$B:$B,"&lt;&gt;Lorena Dias de Araujo",$B:$B,"&lt;&gt;Lucas Luiz Romero")*(10/1083),0)))))),0)</f>
        <v/>
      </c>
      <c r="K2975" s="3">
        <f>I2975-J2975</f>
        <v/>
      </c>
      <c r="L2975" s="3">
        <f>IF(K2975&lt;-5,"CRÍTICO",IF(K2975&lt;0,"ATENÇÃO",IF(K2975&lt;=5,"OPORTUNO","MUITO BOM")))</f>
        <v/>
      </c>
      <c r="N2975" t="n">
        <v>94.29000000000001</v>
      </c>
      <c r="O2975" t="n">
        <v>25.64766839378239</v>
      </c>
    </row>
    <row r="2976" hidden="1">
      <c r="A2976" s="11" t="n">
        <v>46094</v>
      </c>
      <c r="B2976" t="inlineStr">
        <is>
          <t>Amanda Moura Ferreira</t>
        </is>
      </c>
      <c r="C2976" t="inlineStr">
        <is>
          <t>Técnico III</t>
        </is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s="3" t="n">
        <v>0</v>
      </c>
      <c r="J2976" s="3" t="n">
        <v>0</v>
      </c>
      <c r="K2976" s="3" t="n">
        <v>0</v>
      </c>
      <c r="L2976" s="3">
        <f>IF(K2976&lt;-5,"CRÍTICO",IF(K2976&lt;0,"ATENÇÃO",IF(K2976&lt;=5,"OPORTUNO","MUITO BOM")))</f>
        <v/>
      </c>
      <c r="N2976" t="n">
        <v>98.26000000000001</v>
      </c>
      <c r="O2976" t="n">
        <v>26.66666666666667</v>
      </c>
    </row>
    <row r="2977" hidden="1">
      <c r="A2977" s="11" t="n">
        <v>46094</v>
      </c>
      <c r="B2977" t="inlineStr">
        <is>
          <t>Ana Karollyne Souza Faria</t>
        </is>
      </c>
      <c r="C2977" t="inlineStr">
        <is>
          <t>Técnico I</t>
        </is>
      </c>
      <c r="D2977" t="n">
        <v>19</v>
      </c>
      <c r="E2977" t="n">
        <v>18</v>
      </c>
      <c r="F2977" t="n">
        <v>27.37</v>
      </c>
      <c r="G2977" t="n">
        <v>0</v>
      </c>
      <c r="H2977" t="n">
        <v>0</v>
      </c>
      <c r="I2977" s="3">
        <f>E2977+G2977+H2977</f>
        <v/>
      </c>
      <c r="J2977" s="3">
        <f>ROUND(MIN(IF(C2977="Técnico III",35,IF(C2977="Técnico II",28,IF(C2977="Técnico I",23,IF(C2977="JR",20,IF(C2977="Estágio",10,0))))),IF(C2977="Técnico III",SUMIFS($D:$D,$A:$A,$A2977,$B:$B,"&lt;&gt;Patrícia Karla de Sousa Araújo",$B:$B,"&lt;&gt;Lorena Dias de Araujo",$B:$B,"&lt;&gt;Lucas Luiz Romero")*(35/1083),IF(C2977="Técnico II",SUMIFS($D:$D,$A:$A,$A2977,$B:$B,"&lt;&gt;Patrícia Karla de Sousa Araújo",$B:$B,"&lt;&gt;Lorena Dias de Araujo",$B:$B,"&lt;&gt;Lucas Luiz Romero")*(28/1083),IF(C2977="Técnico I",SUMIFS($D:$D,$A:$A,$A2977,$B:$B,"&lt;&gt;Patrícia Karla de Sousa Araújo",$B:$B,"&lt;&gt;Lorena Dias de Araujo",$B:$B,"&lt;&gt;Lucas Luiz Romero")*(23/1083),IF(C2977="JR",SUMIFS($D:$D,$A:$A,$A2977,$B:$B,"&lt;&gt;Patrícia Karla de Sousa Araújo",$B:$B,"&lt;&gt;Lorena Dias de Araujo",$B:$B,"&lt;&gt;Lucas Luiz Romero")*(20/1083),IF(C2977="Estágio",SUMIFS($D:$D,$A:$A,$A2977,$B:$B,"&lt;&gt;Patrícia Karla de Sousa Araújo",$B:$B,"&lt;&gt;Lorena Dias de Araujo",$B:$B,"&lt;&gt;Lucas Luiz Romero")*(10/1083),0)))))),0)</f>
        <v/>
      </c>
      <c r="K2977" s="3">
        <f>I2977-J2977</f>
        <v/>
      </c>
      <c r="L2977" s="3">
        <f>IF(K2977&lt;-5,"CRÍTICO",IF(K2977&lt;0,"ATENÇÃO",IF(K2977&lt;=5,"OPORTUNO","MUITO BOM")))</f>
        <v/>
      </c>
      <c r="N2977" t="n">
        <v>98.2</v>
      </c>
      <c r="O2977" t="n">
        <v>23.37962962962963</v>
      </c>
    </row>
    <row r="2978" hidden="1">
      <c r="A2978" s="11" t="n">
        <v>46094</v>
      </c>
      <c r="B2978" t="inlineStr">
        <is>
          <t>Ana Paula Da Luz Silva Aleixo</t>
        </is>
      </c>
      <c r="C2978" t="inlineStr">
        <is>
          <t>Técnico III</t>
        </is>
      </c>
      <c r="D2978" t="n">
        <v>22</v>
      </c>
      <c r="E2978" t="n">
        <v>21</v>
      </c>
      <c r="F2978" t="n">
        <v>28.53</v>
      </c>
      <c r="G2978" t="n">
        <v>0</v>
      </c>
      <c r="H2978" t="n">
        <v>0</v>
      </c>
      <c r="I2978" s="3">
        <f>E2978+G2978+H2978</f>
        <v/>
      </c>
      <c r="J2978" s="3">
        <f>ROUND(MIN(IF(C2978="Técnico III",35,IF(C2978="Técnico II",28,IF(C2978="Técnico I",23,IF(C2978="JR",20,IF(C2978="Estágio",10,0))))),IF(C2978="Técnico III",SUMIFS($D:$D,$A:$A,$A2978,$B:$B,"&lt;&gt;Patrícia Karla de Sousa Araújo",$B:$B,"&lt;&gt;Lorena Dias de Araujo",$B:$B,"&lt;&gt;Lucas Luiz Romero")*(35/1083),IF(C2978="Técnico II",SUMIFS($D:$D,$A:$A,$A2978,$B:$B,"&lt;&gt;Patrícia Karla de Sousa Araújo",$B:$B,"&lt;&gt;Lorena Dias de Araujo",$B:$B,"&lt;&gt;Lucas Luiz Romero")*(28/1083),IF(C2978="Técnico I",SUMIFS($D:$D,$A:$A,$A2978,$B:$B,"&lt;&gt;Patrícia Karla de Sousa Araújo",$B:$B,"&lt;&gt;Lorena Dias de Araujo",$B:$B,"&lt;&gt;Lucas Luiz Romero")*(23/1083),IF(C2978="JR",SUMIFS($D:$D,$A:$A,$A2978,$B:$B,"&lt;&gt;Patrícia Karla de Sousa Araújo",$B:$B,"&lt;&gt;Lorena Dias de Araujo",$B:$B,"&lt;&gt;Lucas Luiz Romero")*(20/1083),IF(C2978="Estágio",SUMIFS($D:$D,$A:$A,$A2978,$B:$B,"&lt;&gt;Patrícia Karla de Sousa Araújo",$B:$B,"&lt;&gt;Lorena Dias de Araujo",$B:$B,"&lt;&gt;Lucas Luiz Romero")*(10/1083),0)))))),0)</f>
        <v/>
      </c>
      <c r="K2978" s="3">
        <f>I2978-J2978</f>
        <v/>
      </c>
      <c r="L2978" s="3">
        <f>IF(K2978&lt;-5,"CRÍTICO",IF(K2978&lt;0,"ATENÇÃO",IF(K2978&lt;=5,"OPORTUNO","MUITO BOM")))</f>
        <v/>
      </c>
      <c r="N2978" t="n">
        <v>97.3</v>
      </c>
      <c r="O2978" t="n">
        <v>23.84769539078156</v>
      </c>
    </row>
    <row r="2979" hidden="1">
      <c r="A2979" s="11" t="n">
        <v>46094</v>
      </c>
      <c r="B2979" t="inlineStr">
        <is>
          <t>Anna Luiza Rezende Tavares</t>
        </is>
      </c>
      <c r="C2979" t="inlineStr">
        <is>
          <t>Estágio</t>
        </is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s="3" t="n">
        <v>0</v>
      </c>
      <c r="J2979" s="3" t="n">
        <v>0</v>
      </c>
      <c r="K2979" s="3" t="n">
        <v>0</v>
      </c>
      <c r="L2979" s="3">
        <f>IF(K2979&lt;-5,"CRÍTICO",IF(K2979&lt;0,"ATENÇÃO",IF(K2979&lt;=5,"OPORTUNO","MUITO BOM")))</f>
        <v/>
      </c>
      <c r="N2979" t="n">
        <v>100</v>
      </c>
      <c r="O2979" t="n">
        <v>25.26881720430108</v>
      </c>
    </row>
    <row r="2980" hidden="1">
      <c r="A2980" s="11" t="n">
        <v>46094</v>
      </c>
      <c r="B2980" t="inlineStr">
        <is>
          <t>Brenda de Menezes Silva</t>
        </is>
      </c>
      <c r="C2980" t="inlineStr">
        <is>
          <t>Técnico II</t>
        </is>
      </c>
      <c r="D2980" t="n">
        <v>40</v>
      </c>
      <c r="E2980" t="n">
        <v>37</v>
      </c>
      <c r="F2980" t="n">
        <v>15.08</v>
      </c>
      <c r="G2980" t="n">
        <v>0</v>
      </c>
      <c r="H2980" t="n">
        <v>0</v>
      </c>
      <c r="I2980" s="3">
        <f>E2980+G2980+H2980</f>
        <v/>
      </c>
      <c r="J2980" s="3">
        <f>ROUND(MIN(IF(C2980="Técnico III",35,IF(C2980="Técnico II",28,IF(C2980="Técnico I",23,IF(C2980="JR",20,IF(C2980="Estágio",10,0))))),IF(C2980="Técnico III",SUMIFS($D:$D,$A:$A,$A2980,$B:$B,"&lt;&gt;Patrícia Karla de Sousa Araújo",$B:$B,"&lt;&gt;Lorena Dias de Araujo",$B:$B,"&lt;&gt;Lucas Luiz Romero")*(35/1083),IF(C2980="Técnico II",SUMIFS($D:$D,$A:$A,$A2980,$B:$B,"&lt;&gt;Patrícia Karla de Sousa Araújo",$B:$B,"&lt;&gt;Lorena Dias de Araujo",$B:$B,"&lt;&gt;Lucas Luiz Romero")*(28/1083),IF(C2980="Técnico I",SUMIFS($D:$D,$A:$A,$A2980,$B:$B,"&lt;&gt;Patrícia Karla de Sousa Araújo",$B:$B,"&lt;&gt;Lorena Dias de Araujo",$B:$B,"&lt;&gt;Lucas Luiz Romero")*(23/1083),IF(C2980="JR",SUMIFS($D:$D,$A:$A,$A2980,$B:$B,"&lt;&gt;Patrícia Karla de Sousa Araújo",$B:$B,"&lt;&gt;Lorena Dias de Araujo",$B:$B,"&lt;&gt;Lucas Luiz Romero")*(20/1083),IF(C2980="Estágio",SUMIFS($D:$D,$A:$A,$A2980,$B:$B,"&lt;&gt;Patrícia Karla de Sousa Araújo",$B:$B,"&lt;&gt;Lorena Dias de Araujo",$B:$B,"&lt;&gt;Lucas Luiz Romero")*(10/1083),0)))))),0)</f>
        <v/>
      </c>
      <c r="K2980" s="3">
        <f>I2980-J2980</f>
        <v/>
      </c>
      <c r="L2980" s="3">
        <f>IF(K2980&lt;-5,"CRÍTICO",IF(K2980&lt;0,"ATENÇÃO",IF(K2980&lt;=5,"OPORTUNO","MUITO BOM")))</f>
        <v/>
      </c>
      <c r="N2980" t="n">
        <v>99.31999999999999</v>
      </c>
      <c r="O2980" t="n">
        <v>22.82282282282282</v>
      </c>
    </row>
    <row r="2981" hidden="1">
      <c r="A2981" s="11" t="n">
        <v>46094</v>
      </c>
      <c r="B2981" t="inlineStr">
        <is>
          <t>Carlos Mateus Cassimiro Nunes</t>
        </is>
      </c>
      <c r="C2981" t="inlineStr">
        <is>
          <t>Técnico II</t>
        </is>
      </c>
      <c r="D2981" t="n">
        <v>16</v>
      </c>
      <c r="E2981" t="n">
        <v>16</v>
      </c>
      <c r="F2981" t="n">
        <v>38.34</v>
      </c>
      <c r="G2981" t="n">
        <v>0</v>
      </c>
      <c r="H2981" t="n">
        <v>0</v>
      </c>
      <c r="I2981" s="3">
        <f>E2981+G2981+H2981</f>
        <v/>
      </c>
      <c r="J2981" s="3">
        <f>ROUND(MIN(IF(C2981="Técnico III",35,IF(C2981="Técnico II",28,IF(C2981="Técnico I",23,IF(C2981="JR",20,IF(C2981="Estágio",10,0))))),IF(C2981="Técnico III",SUMIFS($D:$D,$A:$A,$A2981,$B:$B,"&lt;&gt;Patrícia Karla de Sousa Araújo",$B:$B,"&lt;&gt;Lorena Dias de Araujo",$B:$B,"&lt;&gt;Lucas Luiz Romero")*(35/1083),IF(C2981="Técnico II",SUMIFS($D:$D,$A:$A,$A2981,$B:$B,"&lt;&gt;Patrícia Karla de Sousa Araújo",$B:$B,"&lt;&gt;Lorena Dias de Araujo",$B:$B,"&lt;&gt;Lucas Luiz Romero")*(28/1083),IF(C2981="Técnico I",SUMIFS($D:$D,$A:$A,$A2981,$B:$B,"&lt;&gt;Patrícia Karla de Sousa Araújo",$B:$B,"&lt;&gt;Lorena Dias de Araujo",$B:$B,"&lt;&gt;Lucas Luiz Romero")*(23/1083),IF(C2981="JR",SUMIFS($D:$D,$A:$A,$A2981,$B:$B,"&lt;&gt;Patrícia Karla de Sousa Araújo",$B:$B,"&lt;&gt;Lorena Dias de Araujo",$B:$B,"&lt;&gt;Lucas Luiz Romero")*(20/1083),IF(C2981="Estágio",SUMIFS($D:$D,$A:$A,$A2981,$B:$B,"&lt;&gt;Patrícia Karla de Sousa Araújo",$B:$B,"&lt;&gt;Lorena Dias de Araujo",$B:$B,"&lt;&gt;Lucas Luiz Romero")*(10/1083),0)))))),0)</f>
        <v/>
      </c>
      <c r="K2981" s="3">
        <f>I2981-J2981</f>
        <v/>
      </c>
      <c r="L2981" s="3">
        <f>IF(K2981&lt;-5,"CRÍTICO",IF(K2981&lt;0,"ATENÇÃO",IF(K2981&lt;=5,"OPORTUNO","MUITO BOM")))</f>
        <v/>
      </c>
      <c r="N2981" t="n">
        <v>100</v>
      </c>
      <c r="O2981" t="n">
        <v>27.96610169491525</v>
      </c>
    </row>
    <row r="2982" hidden="1">
      <c r="A2982" s="11" t="n">
        <v>46094</v>
      </c>
      <c r="B2982" t="inlineStr">
        <is>
          <t>Claudio de Sousa Velasco Filho</t>
        </is>
      </c>
      <c r="C2982" t="inlineStr">
        <is>
          <t>Estágio</t>
        </is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s="3" t="n">
        <v>0</v>
      </c>
      <c r="J2982" s="3" t="n">
        <v>0</v>
      </c>
      <c r="K2982" s="3" t="n">
        <v>0</v>
      </c>
      <c r="L2982" s="3">
        <f>IF(K2982&lt;-5,"CRÍTICO",IF(K2982&lt;0,"ATENÇÃO",IF(K2982&lt;=5,"OPORTUNO","MUITO BOM")))</f>
        <v/>
      </c>
      <c r="N2982" t="n">
        <v>100</v>
      </c>
      <c r="O2982" t="n">
        <v>30.43478260869566</v>
      </c>
    </row>
    <row r="2983" hidden="1">
      <c r="A2983" s="11" t="n">
        <v>46094</v>
      </c>
      <c r="B2983" t="inlineStr">
        <is>
          <t>Clessiane Pereira dos Santos</t>
        </is>
      </c>
      <c r="C2983" t="inlineStr">
        <is>
          <t>Técnico I</t>
        </is>
      </c>
      <c r="D2983" t="n">
        <v>21</v>
      </c>
      <c r="E2983" t="n">
        <v>20</v>
      </c>
      <c r="F2983" t="n">
        <v>25.22</v>
      </c>
      <c r="G2983" t="n">
        <v>0</v>
      </c>
      <c r="H2983" t="n">
        <v>0</v>
      </c>
      <c r="I2983" s="3">
        <f>E2983+G2983+H2983</f>
        <v/>
      </c>
      <c r="J2983" s="3">
        <f>ROUND(MIN(IF(C2983="Técnico III",35,IF(C2983="Técnico II",28,IF(C2983="Técnico I",23,IF(C2983="JR",20,IF(C2983="Estágio",10,0))))),IF(C2983="Técnico III",SUMIFS($D:$D,$A:$A,$A2983,$B:$B,"&lt;&gt;Patrícia Karla de Sousa Araújo",$B:$B,"&lt;&gt;Lorena Dias de Araujo",$B:$B,"&lt;&gt;Lucas Luiz Romero")*(35/1083),IF(C2983="Técnico II",SUMIFS($D:$D,$A:$A,$A2983,$B:$B,"&lt;&gt;Patrícia Karla de Sousa Araújo",$B:$B,"&lt;&gt;Lorena Dias de Araujo",$B:$B,"&lt;&gt;Lucas Luiz Romero")*(28/1083),IF(C2983="Técnico I",SUMIFS($D:$D,$A:$A,$A2983,$B:$B,"&lt;&gt;Patrícia Karla de Sousa Araújo",$B:$B,"&lt;&gt;Lorena Dias de Araujo",$B:$B,"&lt;&gt;Lucas Luiz Romero")*(23/1083),IF(C2983="JR",SUMIFS($D:$D,$A:$A,$A2983,$B:$B,"&lt;&gt;Patrícia Karla de Sousa Araújo",$B:$B,"&lt;&gt;Lorena Dias de Araujo",$B:$B,"&lt;&gt;Lucas Luiz Romero")*(20/1083),IF(C2983="Estágio",SUMIFS($D:$D,$A:$A,$A2983,$B:$B,"&lt;&gt;Patrícia Karla de Sousa Araújo",$B:$B,"&lt;&gt;Lorena Dias de Araujo",$B:$B,"&lt;&gt;Lucas Luiz Romero")*(10/1083),0)))))),0)</f>
        <v/>
      </c>
      <c r="K2983" s="3">
        <f>I2983-J2983</f>
        <v/>
      </c>
      <c r="L2983" s="3">
        <f>IF(K2983&lt;-5,"CRÍTICO",IF(K2983&lt;0,"ATENÇÃO",IF(K2983&lt;=5,"OPORTUNO","MUITO BOM")))</f>
        <v/>
      </c>
      <c r="N2983" t="n">
        <v>96.51000000000001</v>
      </c>
      <c r="O2983" t="n">
        <v>22.80285035629454</v>
      </c>
    </row>
    <row r="2984" hidden="1">
      <c r="A2984" s="11" t="n">
        <v>46094</v>
      </c>
      <c r="B2984" t="inlineStr">
        <is>
          <t>Cristiane Ramos da Silva Rocha</t>
        </is>
      </c>
      <c r="C2984" t="inlineStr">
        <is>
          <t>Técnico III</t>
        </is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s="3" t="n">
        <v>0</v>
      </c>
      <c r="J2984" s="3" t="n">
        <v>0</v>
      </c>
      <c r="K2984" s="3" t="n">
        <v>0</v>
      </c>
      <c r="L2984" s="3">
        <f>IF(K2984&lt;-5,"CRÍTICO",IF(K2984&lt;0,"ATENÇÃO",IF(K2984&lt;=5,"OPORTUNO","MUITO BOM")))</f>
        <v/>
      </c>
      <c r="N2984" t="n">
        <v>92.68000000000001</v>
      </c>
      <c r="O2984" t="n">
        <v>27.77777777777778</v>
      </c>
    </row>
    <row r="2985" hidden="1">
      <c r="A2985" s="11" t="n">
        <v>46094</v>
      </c>
      <c r="B2985" t="inlineStr">
        <is>
          <t>Damyllis Lorraine de Oliveira Gonçalves</t>
        </is>
      </c>
      <c r="C2985" t="inlineStr">
        <is>
          <t>Técnico II</t>
        </is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s="3" t="n">
        <v>0</v>
      </c>
      <c r="J2985" s="3" t="n">
        <v>0</v>
      </c>
      <c r="K2985" s="3" t="n">
        <v>0</v>
      </c>
      <c r="L2985" s="3">
        <f>IF(K2985&lt;-5,"CRÍTICO",IF(K2985&lt;0,"ATENÇÃO",IF(K2985&lt;=5,"OPORTUNO","MUITO BOM")))</f>
        <v/>
      </c>
      <c r="N2985" t="n">
        <v>99.03</v>
      </c>
      <c r="O2985" t="n">
        <v>23.99150743099788</v>
      </c>
    </row>
    <row r="2986" hidden="1">
      <c r="A2986" s="11" t="n">
        <v>46094</v>
      </c>
      <c r="B2986" t="inlineStr">
        <is>
          <t>Daniel Gomes da Silva</t>
        </is>
      </c>
      <c r="C2986" t="inlineStr">
        <is>
          <t>Técnico I</t>
        </is>
      </c>
      <c r="D2986" t="n">
        <v>21</v>
      </c>
      <c r="E2986" t="n">
        <v>18</v>
      </c>
      <c r="F2986" t="n">
        <v>29.14</v>
      </c>
      <c r="G2986" t="n">
        <v>0</v>
      </c>
      <c r="H2986" t="n">
        <v>0</v>
      </c>
      <c r="I2986" s="3">
        <f>E2986+G2986+H2986</f>
        <v/>
      </c>
      <c r="J2986" s="3">
        <f>ROUND(MIN(IF(C2986="Técnico III",35,IF(C2986="Técnico II",28,IF(C2986="Técnico I",23,IF(C2986="JR",20,IF(C2986="Estágio",10,0))))),IF(C2986="Técnico III",SUMIFS($D:$D,$A:$A,$A2986,$B:$B,"&lt;&gt;Patrícia Karla de Sousa Araújo",$B:$B,"&lt;&gt;Lorena Dias de Araujo",$B:$B,"&lt;&gt;Lucas Luiz Romero")*(35/1083),IF(C2986="Técnico II",SUMIFS($D:$D,$A:$A,$A2986,$B:$B,"&lt;&gt;Patrícia Karla de Sousa Araújo",$B:$B,"&lt;&gt;Lorena Dias de Araujo",$B:$B,"&lt;&gt;Lucas Luiz Romero")*(28/1083),IF(C2986="Técnico I",SUMIFS($D:$D,$A:$A,$A2986,$B:$B,"&lt;&gt;Patrícia Karla de Sousa Araújo",$B:$B,"&lt;&gt;Lorena Dias de Araujo",$B:$B,"&lt;&gt;Lucas Luiz Romero")*(23/1083),IF(C2986="JR",SUMIFS($D:$D,$A:$A,$A2986,$B:$B,"&lt;&gt;Patrícia Karla de Sousa Araújo",$B:$B,"&lt;&gt;Lorena Dias de Araujo",$B:$B,"&lt;&gt;Lucas Luiz Romero")*(20/1083),IF(C2986="Estágio",SUMIFS($D:$D,$A:$A,$A2986,$B:$B,"&lt;&gt;Patrícia Karla de Sousa Araújo",$B:$B,"&lt;&gt;Lorena Dias de Araujo",$B:$B,"&lt;&gt;Lucas Luiz Romero")*(10/1083),0)))))),0)</f>
        <v/>
      </c>
      <c r="K2986" s="3">
        <f>I2986-J2986</f>
        <v/>
      </c>
      <c r="L2986" s="3">
        <f>IF(K2986&lt;-5,"CRÍTICO",IF(K2986&lt;0,"ATENÇÃO",IF(K2986&lt;=5,"OPORTUNO","MUITO BOM")))</f>
        <v/>
      </c>
      <c r="N2986" t="n">
        <v>98.41</v>
      </c>
      <c r="O2986" t="n">
        <v>28.13852813852814</v>
      </c>
    </row>
    <row r="2987" hidden="1">
      <c r="A2987" s="11" t="n">
        <v>46094</v>
      </c>
      <c r="B2987" t="inlineStr">
        <is>
          <t>Davylla Rodrigues Freitas Silva</t>
        </is>
      </c>
      <c r="C2987" t="inlineStr">
        <is>
          <t>Técnico III</t>
        </is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s="3" t="n">
        <v>0</v>
      </c>
      <c r="J2987" s="3" t="n">
        <v>0</v>
      </c>
      <c r="K2987" s="3" t="n">
        <v>0</v>
      </c>
      <c r="L2987" s="3">
        <f>IF(K2987&lt;-5,"CRÍTICO",IF(K2987&lt;0,"ATENÇÃO",IF(K2987&lt;=5,"OPORTUNO","MUITO BOM")))</f>
        <v/>
      </c>
      <c r="N2987" t="n">
        <v>98.73</v>
      </c>
      <c r="O2987" t="n">
        <v>29.14285714285714</v>
      </c>
    </row>
    <row r="2988" hidden="1">
      <c r="A2988" s="11" t="n">
        <v>46094</v>
      </c>
      <c r="B2988" t="inlineStr">
        <is>
          <t>Emilly Caylane Costa</t>
        </is>
      </c>
      <c r="C2988" t="inlineStr">
        <is>
          <t>Estágio</t>
        </is>
      </c>
      <c r="D2988" t="n">
        <v>8</v>
      </c>
      <c r="E2988" t="n">
        <v>8</v>
      </c>
      <c r="F2988" t="n">
        <v>38.27</v>
      </c>
      <c r="G2988" t="n">
        <v>0</v>
      </c>
      <c r="H2988" t="n">
        <v>0</v>
      </c>
      <c r="I2988" s="3">
        <f>E2988+G2988+H2988</f>
        <v/>
      </c>
      <c r="J2988" s="3">
        <f>ROUND(MIN(IF(C2988="Técnico III",35,IF(C2988="Técnico II",28,IF(C2988="Técnico I",23,IF(C2988="JR",20,IF(C2988="Estágio",10,0))))),IF(C2988="Técnico III",SUMIFS($D:$D,$A:$A,$A2988,$B:$B,"&lt;&gt;Patrícia Karla de Sousa Araújo",$B:$B,"&lt;&gt;Lorena Dias de Araujo",$B:$B,"&lt;&gt;Lucas Luiz Romero")*(35/1083),IF(C2988="Técnico II",SUMIFS($D:$D,$A:$A,$A2988,$B:$B,"&lt;&gt;Patrícia Karla de Sousa Araújo",$B:$B,"&lt;&gt;Lorena Dias de Araujo",$B:$B,"&lt;&gt;Lucas Luiz Romero")*(28/1083),IF(C2988="Técnico I",SUMIFS($D:$D,$A:$A,$A2988,$B:$B,"&lt;&gt;Patrícia Karla de Sousa Araújo",$B:$B,"&lt;&gt;Lorena Dias de Araujo",$B:$B,"&lt;&gt;Lucas Luiz Romero")*(23/1083),IF(C2988="JR",SUMIFS($D:$D,$A:$A,$A2988,$B:$B,"&lt;&gt;Patrícia Karla de Sousa Araújo",$B:$B,"&lt;&gt;Lorena Dias de Araujo",$B:$B,"&lt;&gt;Lucas Luiz Romero")*(20/1083),IF(C2988="Estágio",SUMIFS($D:$D,$A:$A,$A2988,$B:$B,"&lt;&gt;Patrícia Karla de Sousa Araújo",$B:$B,"&lt;&gt;Lorena Dias de Araujo",$B:$B,"&lt;&gt;Lucas Luiz Romero")*(10/1083),0)))))),0)</f>
        <v/>
      </c>
      <c r="K2988" s="3">
        <f>I2988-J2988</f>
        <v/>
      </c>
      <c r="L2988" s="3">
        <f>IF(K2988&lt;-5,"CRÍTICO",IF(K2988&lt;0,"ATENÇÃO",IF(K2988&lt;=5,"OPORTUNO","MUITO BOM")))</f>
        <v/>
      </c>
      <c r="N2988" t="n">
        <v>90.48</v>
      </c>
      <c r="O2988" t="n">
        <v>20.68965517241379</v>
      </c>
    </row>
    <row r="2989" hidden="1">
      <c r="A2989" s="11" t="n">
        <v>46094</v>
      </c>
      <c r="B2989" t="inlineStr">
        <is>
          <t>Emilly Kamilly Medeiros Miranda</t>
        </is>
      </c>
      <c r="C2989" t="inlineStr">
        <is>
          <t>Técnico II</t>
        </is>
      </c>
      <c r="D2989" t="n">
        <v>14</v>
      </c>
      <c r="E2989" t="n">
        <v>13</v>
      </c>
      <c r="F2989" t="n">
        <v>27.23</v>
      </c>
      <c r="G2989" t="n">
        <v>0</v>
      </c>
      <c r="H2989" t="n">
        <v>0</v>
      </c>
      <c r="I2989" s="3">
        <f>E2989+G2989+H2989</f>
        <v/>
      </c>
      <c r="J2989" s="3">
        <f>ROUND(MIN(IF(C2989="Técnico III",35,IF(C2989="Técnico II",28,IF(C2989="Técnico I",23,IF(C2989="JR",20,IF(C2989="Estágio",10,0))))),IF(C2989="Técnico III",SUMIFS($D:$D,$A:$A,$A2989,$B:$B,"&lt;&gt;Patrícia Karla de Sousa Araújo",$B:$B,"&lt;&gt;Lorena Dias de Araujo",$B:$B,"&lt;&gt;Lucas Luiz Romero")*(35/1083),IF(C2989="Técnico II",SUMIFS($D:$D,$A:$A,$A2989,$B:$B,"&lt;&gt;Patrícia Karla de Sousa Araújo",$B:$B,"&lt;&gt;Lorena Dias de Araujo",$B:$B,"&lt;&gt;Lucas Luiz Romero")*(28/1083),IF(C2989="Técnico I",SUMIFS($D:$D,$A:$A,$A2989,$B:$B,"&lt;&gt;Patrícia Karla de Sousa Araújo",$B:$B,"&lt;&gt;Lorena Dias de Araujo",$B:$B,"&lt;&gt;Lucas Luiz Romero")*(23/1083),IF(C2989="JR",SUMIFS($D:$D,$A:$A,$A2989,$B:$B,"&lt;&gt;Patrícia Karla de Sousa Araújo",$B:$B,"&lt;&gt;Lorena Dias de Araujo",$B:$B,"&lt;&gt;Lucas Luiz Romero")*(20/1083),IF(C2989="Estágio",SUMIFS($D:$D,$A:$A,$A2989,$B:$B,"&lt;&gt;Patrícia Karla de Sousa Araújo",$B:$B,"&lt;&gt;Lorena Dias de Araujo",$B:$B,"&lt;&gt;Lucas Luiz Romero")*(10/1083),0)))))),0)</f>
        <v/>
      </c>
      <c r="K2989" s="3">
        <f>I2989-J2989</f>
        <v/>
      </c>
      <c r="L2989" s="3">
        <f>IF(K2989&lt;-5,"CRÍTICO",IF(K2989&lt;0,"ATENÇÃO",IF(K2989&lt;=5,"OPORTUNO","MUITO BOM")))</f>
        <v/>
      </c>
      <c r="N2989" t="n">
        <v>98.06</v>
      </c>
      <c r="O2989" t="n">
        <v>24.78991596638656</v>
      </c>
    </row>
    <row r="2990" hidden="1">
      <c r="A2990" s="11" t="n">
        <v>46094</v>
      </c>
      <c r="B2990" t="inlineStr">
        <is>
          <t>Francielson de Oliveira</t>
        </is>
      </c>
      <c r="C2990" t="inlineStr">
        <is>
          <t>Técnico III</t>
        </is>
      </c>
      <c r="D2990" t="n">
        <v>22</v>
      </c>
      <c r="E2990" t="n">
        <v>22</v>
      </c>
      <c r="F2990" t="n">
        <v>23.45</v>
      </c>
      <c r="G2990" t="n">
        <v>0</v>
      </c>
      <c r="H2990" t="n">
        <v>0</v>
      </c>
      <c r="I2990" s="3">
        <f>E2990+G2990+H2990</f>
        <v/>
      </c>
      <c r="J2990" s="3">
        <f>ROUND(MIN(IF(C2990="Técnico III",35,IF(C2990="Técnico II",28,IF(C2990="Técnico I",23,IF(C2990="JR",20,IF(C2990="Estágio",10,0))))),IF(C2990="Técnico III",SUMIFS($D:$D,$A:$A,$A2990,$B:$B,"&lt;&gt;Patrícia Karla de Sousa Araújo",$B:$B,"&lt;&gt;Lorena Dias de Araujo",$B:$B,"&lt;&gt;Lucas Luiz Romero")*(35/1083),IF(C2990="Técnico II",SUMIFS($D:$D,$A:$A,$A2990,$B:$B,"&lt;&gt;Patrícia Karla de Sousa Araújo",$B:$B,"&lt;&gt;Lorena Dias de Araujo",$B:$B,"&lt;&gt;Lucas Luiz Romero")*(28/1083),IF(C2990="Técnico I",SUMIFS($D:$D,$A:$A,$A2990,$B:$B,"&lt;&gt;Patrícia Karla de Sousa Araújo",$B:$B,"&lt;&gt;Lorena Dias de Araujo",$B:$B,"&lt;&gt;Lucas Luiz Romero")*(23/1083),IF(C2990="JR",SUMIFS($D:$D,$A:$A,$A2990,$B:$B,"&lt;&gt;Patrícia Karla de Sousa Araújo",$B:$B,"&lt;&gt;Lorena Dias de Araujo",$B:$B,"&lt;&gt;Lucas Luiz Romero")*(20/1083),IF(C2990="Estágio",SUMIFS($D:$D,$A:$A,$A2990,$B:$B,"&lt;&gt;Patrícia Karla de Sousa Araújo",$B:$B,"&lt;&gt;Lorena Dias de Araujo",$B:$B,"&lt;&gt;Lucas Luiz Romero")*(10/1083),0)))))),0)</f>
        <v/>
      </c>
      <c r="K2990" s="3">
        <f>I2990-J2990</f>
        <v/>
      </c>
      <c r="L2990" s="3">
        <f>IF(K2990&lt;-5,"CRÍTICO",IF(K2990&lt;0,"ATENÇÃO",IF(K2990&lt;=5,"OPORTUNO","MUITO BOM")))</f>
        <v/>
      </c>
      <c r="N2990" t="n">
        <v>97.78</v>
      </c>
      <c r="O2990" t="n">
        <v>25.49407114624506</v>
      </c>
    </row>
    <row r="2991" hidden="1">
      <c r="A2991" s="11" t="n">
        <v>46094</v>
      </c>
      <c r="B2991" t="inlineStr">
        <is>
          <t>Francilene Ferreira de Jesus</t>
        </is>
      </c>
      <c r="C2991" t="inlineStr">
        <is>
          <t>Técnico II</t>
        </is>
      </c>
      <c r="D2991" t="n">
        <v>15</v>
      </c>
      <c r="E2991" t="n">
        <v>14</v>
      </c>
      <c r="F2991" t="n">
        <v>40.17</v>
      </c>
      <c r="G2991" t="n">
        <v>0</v>
      </c>
      <c r="H2991" t="n">
        <v>0</v>
      </c>
      <c r="I2991" s="3">
        <f>E2991+G2991+H2991</f>
        <v/>
      </c>
      <c r="J2991" s="3">
        <f>ROUND(MIN(IF(C2991="Técnico III",35,IF(C2991="Técnico II",28,IF(C2991="Técnico I",23,IF(C2991="JR",20,IF(C2991="Estágio",10,0))))),IF(C2991="Técnico III",SUMIFS($D:$D,$A:$A,$A2991,$B:$B,"&lt;&gt;Patrícia Karla de Sousa Araújo",$B:$B,"&lt;&gt;Lorena Dias de Araujo",$B:$B,"&lt;&gt;Lucas Luiz Romero")*(35/1083),IF(C2991="Técnico II",SUMIFS($D:$D,$A:$A,$A2991,$B:$B,"&lt;&gt;Patrícia Karla de Sousa Araújo",$B:$B,"&lt;&gt;Lorena Dias de Araujo",$B:$B,"&lt;&gt;Lucas Luiz Romero")*(28/1083),IF(C2991="Técnico I",SUMIFS($D:$D,$A:$A,$A2991,$B:$B,"&lt;&gt;Patrícia Karla de Sousa Araújo",$B:$B,"&lt;&gt;Lorena Dias de Araujo",$B:$B,"&lt;&gt;Lucas Luiz Romero")*(23/1083),IF(C2991="JR",SUMIFS($D:$D,$A:$A,$A2991,$B:$B,"&lt;&gt;Patrícia Karla de Sousa Araújo",$B:$B,"&lt;&gt;Lorena Dias de Araujo",$B:$B,"&lt;&gt;Lucas Luiz Romero")*(20/1083),IF(C2991="Estágio",SUMIFS($D:$D,$A:$A,$A2991,$B:$B,"&lt;&gt;Patrícia Karla de Sousa Araújo",$B:$B,"&lt;&gt;Lorena Dias de Araujo",$B:$B,"&lt;&gt;Lucas Luiz Romero")*(10/1083),0)))))),0)</f>
        <v/>
      </c>
      <c r="K2991" s="3">
        <f>I2991-J2991</f>
        <v/>
      </c>
      <c r="L2991" s="3">
        <f>IF(K2991&lt;-5,"CRÍTICO",IF(K2991&lt;0,"ATENÇÃO",IF(K2991&lt;=5,"OPORTUNO","MUITO BOM")))</f>
        <v/>
      </c>
      <c r="N2991" t="n">
        <v>98.02</v>
      </c>
      <c r="O2991" t="n">
        <v>23.48484848484848</v>
      </c>
    </row>
    <row r="2992" hidden="1">
      <c r="A2992" s="11" t="n">
        <v>46128</v>
      </c>
      <c r="B2992" t="inlineStr">
        <is>
          <t>Gabriel Gomes de Andrade</t>
        </is>
      </c>
      <c r="C2992" t="inlineStr">
        <is>
          <t>Técnico I</t>
        </is>
      </c>
      <c r="D2992" t="n">
        <v>33</v>
      </c>
      <c r="E2992" t="n">
        <v>30</v>
      </c>
      <c r="F2992" t="n">
        <v>15.31</v>
      </c>
      <c r="G2992" t="n">
        <v>0</v>
      </c>
      <c r="H2992" t="n">
        <v>0</v>
      </c>
      <c r="I2992" s="3">
        <f>E2992+G2992+H2992</f>
        <v/>
      </c>
      <c r="J2992" s="3">
        <f>ROUND(MIN(IF(C2992="Técnico III",35,IF(C2992="Técnico II",28,IF(C2992="Técnico I",23,IF(C2992="JR",20,IF(C2992="Estágio",10,0))))),IF(C2992="Técnico III",SUMIFS($D:$D,$A:$A,$A2992,$B:$B,"&lt;&gt;Patrícia Karla de Sousa Araújo",$B:$B,"&lt;&gt;Lorena Dias de Araujo",$B:$B,"&lt;&gt;Lucas Luiz Romero")*(35/1083),IF(C2992="Técnico II",SUMIFS($D:$D,$A:$A,$A2992,$B:$B,"&lt;&gt;Patrícia Karla de Sousa Araújo",$B:$B,"&lt;&gt;Lorena Dias de Araujo",$B:$B,"&lt;&gt;Lucas Luiz Romero")*(28/1083),IF(C2992="Técnico I",SUMIFS($D:$D,$A:$A,$A2992,$B:$B,"&lt;&gt;Patrícia Karla de Sousa Araújo",$B:$B,"&lt;&gt;Lorena Dias de Araujo",$B:$B,"&lt;&gt;Lucas Luiz Romero")*(23/1083),IF(C2992="JR",SUMIFS($D:$D,$A:$A,$A2992,$B:$B,"&lt;&gt;Patrícia Karla de Sousa Araújo",$B:$B,"&lt;&gt;Lorena Dias de Araujo",$B:$B,"&lt;&gt;Lucas Luiz Romero")*(20/1083),IF(C2992="Estágio",SUMIFS($D:$D,$A:$A,$A2992,$B:$B,"&lt;&gt;Patrícia Karla de Sousa Araújo",$B:$B,"&lt;&gt;Lorena Dias de Araujo",$B:$B,"&lt;&gt;Lucas Luiz Romero")*(10/1083),0)))))),0)</f>
        <v/>
      </c>
      <c r="K2992" s="3">
        <f>I2992-J2992</f>
        <v/>
      </c>
      <c r="L2992" s="3">
        <f>IF(K2992&lt;-5,"CRÍTICO",IF(K2992&lt;0,"ATENÇÃO",IF(K2992&lt;=5,"OPORTUNO","MUITO BOM")))</f>
        <v/>
      </c>
      <c r="N2992" t="n">
        <v>99.28</v>
      </c>
      <c r="O2992" t="n">
        <v>27.68924302788844</v>
      </c>
    </row>
    <row r="2993" hidden="1">
      <c r="A2993" s="11" t="n">
        <v>46094</v>
      </c>
      <c r="B2993" t="inlineStr">
        <is>
          <t>Isabella Borges de Oliveira</t>
        </is>
      </c>
      <c r="C2993" t="inlineStr">
        <is>
          <t>Técnico II</t>
        </is>
      </c>
      <c r="D2993" t="n">
        <v>25</v>
      </c>
      <c r="E2993" t="n">
        <v>23</v>
      </c>
      <c r="F2993" t="n">
        <v>30.32</v>
      </c>
      <c r="G2993" t="n">
        <v>0</v>
      </c>
      <c r="H2993" t="n">
        <v>0</v>
      </c>
      <c r="I2993" s="3">
        <f>E2993+G2993+H2993</f>
        <v/>
      </c>
      <c r="J2993" s="3">
        <f>ROUND(MIN(IF(C2993="Técnico III",35,IF(C2993="Técnico II",28,IF(C2993="Técnico I",23,IF(C2993="JR",20,IF(C2993="Estágio",10,0))))),IF(C2993="Técnico III",SUMIFS($D:$D,$A:$A,$A2993,$B:$B,"&lt;&gt;Patrícia Karla de Sousa Araújo",$B:$B,"&lt;&gt;Lorena Dias de Araujo",$B:$B,"&lt;&gt;Lucas Luiz Romero")*(35/1083),IF(C2993="Técnico II",SUMIFS($D:$D,$A:$A,$A2993,$B:$B,"&lt;&gt;Patrícia Karla de Sousa Araújo",$B:$B,"&lt;&gt;Lorena Dias de Araujo",$B:$B,"&lt;&gt;Lucas Luiz Romero")*(28/1083),IF(C2993="Técnico I",SUMIFS($D:$D,$A:$A,$A2993,$B:$B,"&lt;&gt;Patrícia Karla de Sousa Araújo",$B:$B,"&lt;&gt;Lorena Dias de Araujo",$B:$B,"&lt;&gt;Lucas Luiz Romero")*(23/1083),IF(C2993="JR",SUMIFS($D:$D,$A:$A,$A2993,$B:$B,"&lt;&gt;Patrícia Karla de Sousa Araújo",$B:$B,"&lt;&gt;Lorena Dias de Araujo",$B:$B,"&lt;&gt;Lucas Luiz Romero")*(20/1083),IF(C2993="Estágio",SUMIFS($D:$D,$A:$A,$A2993,$B:$B,"&lt;&gt;Patrícia Karla de Sousa Araújo",$B:$B,"&lt;&gt;Lorena Dias de Araujo",$B:$B,"&lt;&gt;Lucas Luiz Romero")*(10/1083),0)))))),0)</f>
        <v/>
      </c>
      <c r="K2993" s="3">
        <f>I2993-J2993</f>
        <v/>
      </c>
      <c r="L2993" s="3">
        <f>IF(K2993&lt;-5,"CRÍTICO",IF(K2993&lt;0,"ATENÇÃO",IF(K2993&lt;=5,"OPORTUNO","MUITO BOM")))</f>
        <v/>
      </c>
      <c r="N2993" t="n">
        <v>100</v>
      </c>
      <c r="O2993" t="n">
        <v>27.04918032786885</v>
      </c>
    </row>
    <row r="2994" hidden="1">
      <c r="A2994" s="11" t="n">
        <v>46094</v>
      </c>
      <c r="B2994" t="inlineStr">
        <is>
          <t>Janaina Lima dos Reis Urany</t>
        </is>
      </c>
      <c r="C2994" t="inlineStr">
        <is>
          <t>Técnico III</t>
        </is>
      </c>
      <c r="D2994" t="n">
        <v>36</v>
      </c>
      <c r="E2994" t="n">
        <v>35</v>
      </c>
      <c r="F2994" t="n">
        <v>18.46</v>
      </c>
      <c r="G2994" t="n">
        <v>0</v>
      </c>
      <c r="H2994" t="n">
        <v>0</v>
      </c>
      <c r="I2994" s="3">
        <f>E2994+G2994+H2994</f>
        <v/>
      </c>
      <c r="J2994" s="3">
        <f>ROUND(MIN(IF(C2994="Técnico III",35,IF(C2994="Técnico II",28,IF(C2994="Técnico I",23,IF(C2994="JR",20,IF(C2994="Estágio",10,0))))),IF(C2994="Técnico III",SUMIFS($D:$D,$A:$A,$A2994,$B:$B,"&lt;&gt;Patrícia Karla de Sousa Araújo",$B:$B,"&lt;&gt;Lorena Dias de Araujo",$B:$B,"&lt;&gt;Lucas Luiz Romero")*(35/1083),IF(C2994="Técnico II",SUMIFS($D:$D,$A:$A,$A2994,$B:$B,"&lt;&gt;Patrícia Karla de Sousa Araújo",$B:$B,"&lt;&gt;Lorena Dias de Araujo",$B:$B,"&lt;&gt;Lucas Luiz Romero")*(28/1083),IF(C2994="Técnico I",SUMIFS($D:$D,$A:$A,$A2994,$B:$B,"&lt;&gt;Patrícia Karla de Sousa Araújo",$B:$B,"&lt;&gt;Lorena Dias de Araujo",$B:$B,"&lt;&gt;Lucas Luiz Romero")*(23/1083),IF(C2994="JR",SUMIFS($D:$D,$A:$A,$A2994,$B:$B,"&lt;&gt;Patrícia Karla de Sousa Araújo",$B:$B,"&lt;&gt;Lorena Dias de Araujo",$B:$B,"&lt;&gt;Lucas Luiz Romero")*(20/1083),IF(C2994="Estágio",SUMIFS($D:$D,$A:$A,$A2994,$B:$B,"&lt;&gt;Patrícia Karla de Sousa Araújo",$B:$B,"&lt;&gt;Lorena Dias de Araujo",$B:$B,"&lt;&gt;Lucas Luiz Romero")*(10/1083),0)))))),0)</f>
        <v/>
      </c>
      <c r="K2994" s="3">
        <f>I2994-J2994</f>
        <v/>
      </c>
      <c r="L2994" s="3">
        <f>IF(K2994&lt;-5,"CRÍTICO",IF(K2994&lt;0,"ATENÇÃO",IF(K2994&lt;=5,"OPORTUNO","MUITO BOM")))</f>
        <v/>
      </c>
      <c r="N2994" t="n">
        <v>97.83</v>
      </c>
      <c r="O2994" t="n">
        <v>26.31578947368421</v>
      </c>
    </row>
    <row r="2995" hidden="1">
      <c r="A2995" s="11" t="n">
        <v>46094</v>
      </c>
      <c r="B2995" t="inlineStr">
        <is>
          <t>Jaqueline Evangelista da Silva Martins</t>
        </is>
      </c>
      <c r="C2995" t="inlineStr">
        <is>
          <t>Técnico III</t>
        </is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s="3" t="n">
        <v>0</v>
      </c>
      <c r="J2995" s="3" t="n">
        <v>0</v>
      </c>
      <c r="K2995" s="3" t="n">
        <v>0</v>
      </c>
      <c r="L2995" s="3">
        <f>IF(K2995&lt;-5,"CRÍTICO",IF(K2995&lt;0,"ATENÇÃO",IF(K2995&lt;=5,"OPORTUNO","MUITO BOM")))</f>
        <v/>
      </c>
      <c r="N2995" t="n">
        <v>100</v>
      </c>
      <c r="O2995" t="n">
        <v>26.70157068062827</v>
      </c>
    </row>
    <row r="2996" hidden="1">
      <c r="A2996" s="11" t="n">
        <v>46094</v>
      </c>
      <c r="B2996" t="inlineStr">
        <is>
          <t>Jessica Faria da Silveira</t>
        </is>
      </c>
      <c r="C2996" t="inlineStr">
        <is>
          <t>Técnico II</t>
        </is>
      </c>
      <c r="D2996" t="n">
        <v>22</v>
      </c>
      <c r="E2996" t="n">
        <v>18</v>
      </c>
      <c r="F2996" t="n">
        <v>27.05</v>
      </c>
      <c r="G2996" t="n">
        <v>0</v>
      </c>
      <c r="H2996" t="n">
        <v>0</v>
      </c>
      <c r="I2996" s="3">
        <f>E2996+G2996+H2996</f>
        <v/>
      </c>
      <c r="J2996" s="3">
        <f>ROUND(MIN(IF(C2996="Técnico III",35,IF(C2996="Técnico II",28,IF(C2996="Técnico I",23,IF(C2996="JR",20,IF(C2996="Estágio",10,0))))),IF(C2996="Técnico III",SUMIFS($D:$D,$A:$A,$A2996,$B:$B,"&lt;&gt;Patrícia Karla de Sousa Araújo",$B:$B,"&lt;&gt;Lorena Dias de Araujo",$B:$B,"&lt;&gt;Lucas Luiz Romero")*(35/1083),IF(C2996="Técnico II",SUMIFS($D:$D,$A:$A,$A2996,$B:$B,"&lt;&gt;Patrícia Karla de Sousa Araújo",$B:$B,"&lt;&gt;Lorena Dias de Araujo",$B:$B,"&lt;&gt;Lucas Luiz Romero")*(28/1083),IF(C2996="Técnico I",SUMIFS($D:$D,$A:$A,$A2996,$B:$B,"&lt;&gt;Patrícia Karla de Sousa Araújo",$B:$B,"&lt;&gt;Lorena Dias de Araujo",$B:$B,"&lt;&gt;Lucas Luiz Romero")*(23/1083),IF(C2996="JR",SUMIFS($D:$D,$A:$A,$A2996,$B:$B,"&lt;&gt;Patrícia Karla de Sousa Araújo",$B:$B,"&lt;&gt;Lorena Dias de Araujo",$B:$B,"&lt;&gt;Lucas Luiz Romero")*(20/1083),IF(C2996="Estágio",SUMIFS($D:$D,$A:$A,$A2996,$B:$B,"&lt;&gt;Patrícia Karla de Sousa Araújo",$B:$B,"&lt;&gt;Lorena Dias de Araujo",$B:$B,"&lt;&gt;Lucas Luiz Romero")*(10/1083),0)))))),0)</f>
        <v/>
      </c>
      <c r="K2996" s="3">
        <f>I2996-J2996</f>
        <v/>
      </c>
      <c r="L2996" s="3">
        <f>IF(K2996&lt;-5,"CRÍTICO",IF(K2996&lt;0,"ATENÇÃO",IF(K2996&lt;=5,"OPORTUNO","MUITO BOM")))</f>
        <v/>
      </c>
      <c r="N2996" t="n">
        <v>97.47</v>
      </c>
      <c r="O2996" t="n">
        <v>22.88732394366197</v>
      </c>
    </row>
    <row r="2997" hidden="1">
      <c r="A2997" s="11" t="n">
        <v>46094</v>
      </c>
      <c r="B2997" t="inlineStr">
        <is>
          <t>Jéssica Fé Moura</t>
        </is>
      </c>
      <c r="C2997" t="inlineStr">
        <is>
          <t>Técnico III</t>
        </is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s="3" t="n">
        <v>0</v>
      </c>
      <c r="J2997" s="3" t="n">
        <v>0</v>
      </c>
      <c r="K2997" s="3" t="n">
        <v>0</v>
      </c>
      <c r="L2997" s="3">
        <f>IF(K2997&lt;-5,"CRÍTICO",IF(K2997&lt;0,"ATENÇÃO",IF(K2997&lt;=5,"OPORTUNO","MUITO BOM")))</f>
        <v/>
      </c>
      <c r="N2997" t="n">
        <v>0</v>
      </c>
      <c r="O2997" t="n">
        <v>0</v>
      </c>
    </row>
    <row r="2998" hidden="1">
      <c r="A2998" s="11" t="n">
        <v>46094</v>
      </c>
      <c r="B2998" t="inlineStr">
        <is>
          <t>Karina Gonçalves Martins</t>
        </is>
      </c>
      <c r="C2998" t="inlineStr">
        <is>
          <t>JR</t>
        </is>
      </c>
      <c r="D2998" t="n">
        <v>5</v>
      </c>
      <c r="E2998" t="n">
        <v>5</v>
      </c>
      <c r="F2998" t="n">
        <v>61.54</v>
      </c>
      <c r="G2998" t="n">
        <v>0</v>
      </c>
      <c r="H2998" t="n">
        <v>0</v>
      </c>
      <c r="I2998" s="3">
        <f>E2998+G2998+H2998</f>
        <v/>
      </c>
      <c r="J2998" s="3">
        <f>ROUND(MIN(IF(C2998="Técnico III",35,IF(C2998="Técnico II",28,IF(C2998="Técnico I",23,IF(C2998="JR",20,IF(C2998="Estágio",10,0))))),IF(C2998="Técnico III",SUMIFS($D:$D,$A:$A,$A2998,$B:$B,"&lt;&gt;Patrícia Karla de Sousa Araújo",$B:$B,"&lt;&gt;Lorena Dias de Araujo",$B:$B,"&lt;&gt;Lucas Luiz Romero")*(35/1083),IF(C2998="Técnico II",SUMIFS($D:$D,$A:$A,$A2998,$B:$B,"&lt;&gt;Patrícia Karla de Sousa Araújo",$B:$B,"&lt;&gt;Lorena Dias de Araujo",$B:$B,"&lt;&gt;Lucas Luiz Romero")*(28/1083),IF(C2998="Técnico I",SUMIFS($D:$D,$A:$A,$A2998,$B:$B,"&lt;&gt;Patrícia Karla de Sousa Araújo",$B:$B,"&lt;&gt;Lorena Dias de Araujo",$B:$B,"&lt;&gt;Lucas Luiz Romero")*(23/1083),IF(C2998="JR",SUMIFS($D:$D,$A:$A,$A2998,$B:$B,"&lt;&gt;Patrícia Karla de Sousa Araújo",$B:$B,"&lt;&gt;Lorena Dias de Araujo",$B:$B,"&lt;&gt;Lucas Luiz Romero")*(20/1083),IF(C2998="Estágio",SUMIFS($D:$D,$A:$A,$A2998,$B:$B,"&lt;&gt;Patrícia Karla de Sousa Araújo",$B:$B,"&lt;&gt;Lorena Dias de Araujo",$B:$B,"&lt;&gt;Lucas Luiz Romero")*(10/1083),0)))))),0)</f>
        <v/>
      </c>
      <c r="K2998" s="3">
        <f>I2998-J2998</f>
        <v/>
      </c>
      <c r="L2998" s="3">
        <f>IF(K2998&lt;-5,"CRÍTICO",IF(K2998&lt;0,"ATENÇÃO",IF(K2998&lt;=5,"OPORTUNO","MUITO BOM")))</f>
        <v/>
      </c>
      <c r="N2998" t="n">
        <v>98.31</v>
      </c>
      <c r="O2998" t="n">
        <v>24.92012779552715</v>
      </c>
    </row>
    <row r="2999" hidden="1">
      <c r="A2999" s="11" t="n">
        <v>46094</v>
      </c>
      <c r="B2999" t="inlineStr">
        <is>
          <t>Kerollen Cristielly de Jesus Siqueira</t>
        </is>
      </c>
      <c r="C2999" t="inlineStr">
        <is>
          <t>Técnico III</t>
        </is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s="3" t="n">
        <v>0</v>
      </c>
      <c r="J2999" s="3" t="n">
        <v>0</v>
      </c>
      <c r="K2999" s="3" t="n">
        <v>0</v>
      </c>
      <c r="L2999" s="3">
        <f>IF(K2999&lt;-5,"CRÍTICO",IF(K2999&lt;0,"ATENÇÃO",IF(K2999&lt;=5,"OPORTUNO","MUITO BOM")))</f>
        <v/>
      </c>
      <c r="N2999" t="n">
        <v>96.81</v>
      </c>
      <c r="O2999" t="n">
        <v>32.36514522821577</v>
      </c>
    </row>
    <row r="3000" hidden="1">
      <c r="A3000" s="11" t="n">
        <v>46094</v>
      </c>
      <c r="B3000" t="inlineStr">
        <is>
          <t>Leandro de Souza Silva</t>
        </is>
      </c>
      <c r="C3000" t="inlineStr">
        <is>
          <t>JR</t>
        </is>
      </c>
      <c r="D3000" t="n">
        <v>18</v>
      </c>
      <c r="E3000" t="n">
        <v>14</v>
      </c>
      <c r="F3000" t="n">
        <v>19.08</v>
      </c>
      <c r="G3000" t="n">
        <v>0</v>
      </c>
      <c r="H3000" t="n">
        <v>0</v>
      </c>
      <c r="I3000" s="3">
        <f>E3000+G3000+H3000</f>
        <v/>
      </c>
      <c r="J3000" s="3">
        <f>ROUND(MIN(IF(C3000="Técnico III",35,IF(C3000="Técnico II",28,IF(C3000="Técnico I",23,IF(C3000="JR",20,IF(C3000="Estágio",10,0))))),IF(C3000="Técnico III",SUMIFS($D:$D,$A:$A,$A3000,$B:$B,"&lt;&gt;Patrícia Karla de Sousa Araújo",$B:$B,"&lt;&gt;Lorena Dias de Araujo",$B:$B,"&lt;&gt;Lucas Luiz Romero")*(35/1083),IF(C3000="Técnico II",SUMIFS($D:$D,$A:$A,$A3000,$B:$B,"&lt;&gt;Patrícia Karla de Sousa Araújo",$B:$B,"&lt;&gt;Lorena Dias de Araujo",$B:$B,"&lt;&gt;Lucas Luiz Romero")*(28/1083),IF(C3000="Técnico I",SUMIFS($D:$D,$A:$A,$A3000,$B:$B,"&lt;&gt;Patrícia Karla de Sousa Araújo",$B:$B,"&lt;&gt;Lorena Dias de Araujo",$B:$B,"&lt;&gt;Lucas Luiz Romero")*(23/1083),IF(C3000="JR",SUMIFS($D:$D,$A:$A,$A3000,$B:$B,"&lt;&gt;Patrícia Karla de Sousa Araújo",$B:$B,"&lt;&gt;Lorena Dias de Araujo",$B:$B,"&lt;&gt;Lucas Luiz Romero")*(20/1083),IF(C3000="Estágio",SUMIFS($D:$D,$A:$A,$A3000,$B:$B,"&lt;&gt;Patrícia Karla de Sousa Araújo",$B:$B,"&lt;&gt;Lorena Dias de Araujo",$B:$B,"&lt;&gt;Lucas Luiz Romero")*(10/1083),0)))))),0)</f>
        <v/>
      </c>
      <c r="K3000" s="3">
        <f>I3000-J3000</f>
        <v/>
      </c>
      <c r="L3000" s="3">
        <f>IF(K3000&lt;-5,"CRÍTICO",IF(K3000&lt;0,"ATENÇÃO",IF(K3000&lt;=5,"OPORTUNO","MUITO BOM")))</f>
        <v/>
      </c>
      <c r="N3000" t="n">
        <v>100</v>
      </c>
      <c r="O3000" t="n">
        <v>26.47058823529412</v>
      </c>
    </row>
    <row r="3001" hidden="1">
      <c r="A3001" s="11" t="n">
        <v>46094</v>
      </c>
      <c r="B3001" t="inlineStr">
        <is>
          <t>Leandro Oliveira de Sousa</t>
        </is>
      </c>
      <c r="C3001" t="inlineStr">
        <is>
          <t>Técnico III</t>
        </is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s="3" t="n">
        <v>0</v>
      </c>
      <c r="J3001" s="3" t="n">
        <v>0</v>
      </c>
      <c r="K3001" s="3" t="n">
        <v>0</v>
      </c>
      <c r="L3001" s="3">
        <f>IF(K3001&lt;-5,"CRÍTICO",IF(K3001&lt;0,"ATENÇÃO",IF(K3001&lt;=5,"OPORTUNO","MUITO BOM")))</f>
        <v/>
      </c>
      <c r="N3001" t="n">
        <v>100</v>
      </c>
      <c r="O3001" t="n">
        <v>28.49002849002849</v>
      </c>
    </row>
    <row r="3002" hidden="1">
      <c r="A3002" s="11" t="n">
        <v>46094</v>
      </c>
      <c r="B3002" t="inlineStr">
        <is>
          <t>Lizandra Gomes Duarte</t>
        </is>
      </c>
      <c r="C3002" t="inlineStr">
        <is>
          <t>Técnico II</t>
        </is>
      </c>
      <c r="D3002" t="n">
        <v>33</v>
      </c>
      <c r="E3002" t="n">
        <v>30</v>
      </c>
      <c r="F3002" t="n">
        <v>15.43</v>
      </c>
      <c r="G3002" t="n">
        <v>0</v>
      </c>
      <c r="H3002" t="n">
        <v>0</v>
      </c>
      <c r="I3002" s="3">
        <f>E3002+G3002+H3002</f>
        <v/>
      </c>
      <c r="J3002" s="3">
        <f>ROUND(MIN(IF(C3002="Técnico III",35,IF(C3002="Técnico II",28,IF(C3002="Técnico I",23,IF(C3002="JR",20,IF(C3002="Estágio",10,0))))),IF(C3002="Técnico III",SUMIFS($D:$D,$A:$A,$A3002,$B:$B,"&lt;&gt;Patrícia Karla de Sousa Araújo",$B:$B,"&lt;&gt;Lorena Dias de Araujo",$B:$B,"&lt;&gt;Lucas Luiz Romero")*(35/1083),IF(C3002="Técnico II",SUMIFS($D:$D,$A:$A,$A3002,$B:$B,"&lt;&gt;Patrícia Karla de Sousa Araújo",$B:$B,"&lt;&gt;Lorena Dias de Araujo",$B:$B,"&lt;&gt;Lucas Luiz Romero")*(28/1083),IF(C3002="Técnico I",SUMIFS($D:$D,$A:$A,$A3002,$B:$B,"&lt;&gt;Patrícia Karla de Sousa Araújo",$B:$B,"&lt;&gt;Lorena Dias de Araujo",$B:$B,"&lt;&gt;Lucas Luiz Romero")*(23/1083),IF(C3002="JR",SUMIFS($D:$D,$A:$A,$A3002,$B:$B,"&lt;&gt;Patrícia Karla de Sousa Araújo",$B:$B,"&lt;&gt;Lorena Dias de Araujo",$B:$B,"&lt;&gt;Lucas Luiz Romero")*(20/1083),IF(C3002="Estágio",SUMIFS($D:$D,$A:$A,$A3002,$B:$B,"&lt;&gt;Patrícia Karla de Sousa Araújo",$B:$B,"&lt;&gt;Lorena Dias de Araujo",$B:$B,"&lt;&gt;Lucas Luiz Romero")*(10/1083),0)))))),0)</f>
        <v/>
      </c>
      <c r="K3002" s="3">
        <f>I3002-J3002</f>
        <v/>
      </c>
      <c r="L3002" s="3">
        <f>IF(K3002&lt;-5,"CRÍTICO",IF(K3002&lt;0,"ATENÇÃO",IF(K3002&lt;=5,"OPORTUNO","MUITO BOM")))</f>
        <v/>
      </c>
      <c r="N3002" t="n">
        <v>99.14</v>
      </c>
      <c r="O3002" t="n">
        <v>27.2289156626506</v>
      </c>
    </row>
    <row r="3003" hidden="1">
      <c r="A3003" s="11" t="n">
        <v>46094</v>
      </c>
      <c r="B3003" t="inlineStr">
        <is>
          <t>Lorena Dias de Araujo</t>
        </is>
      </c>
      <c r="C3003" t="inlineStr">
        <is>
          <t>Técnico II</t>
        </is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s="3" t="n">
        <v>0</v>
      </c>
      <c r="J3003" s="3" t="n">
        <v>0</v>
      </c>
      <c r="K3003" s="3" t="n">
        <v>0</v>
      </c>
      <c r="L3003" s="3">
        <f>IF(K3003&lt;-5,"CRÍTICO",IF(K3003&lt;0,"ATENÇÃO",IF(K3003&lt;=5,"OPORTUNO","MUITO BOM")))</f>
        <v/>
      </c>
      <c r="N3003" t="n">
        <v>97.52</v>
      </c>
      <c r="O3003" t="n">
        <v>28.2051282051282</v>
      </c>
    </row>
    <row r="3004" hidden="1">
      <c r="A3004" s="11" t="n">
        <v>46094</v>
      </c>
      <c r="B3004" t="inlineStr">
        <is>
          <t>Lucas Luiz Romero</t>
        </is>
      </c>
      <c r="C3004" t="inlineStr">
        <is>
          <t>Técnico III</t>
        </is>
      </c>
      <c r="D3004" t="n">
        <v>26</v>
      </c>
      <c r="E3004" t="n">
        <v>22</v>
      </c>
      <c r="F3004" t="n">
        <v>16.52</v>
      </c>
      <c r="G3004" t="n">
        <v>0</v>
      </c>
      <c r="H3004" t="n">
        <v>0</v>
      </c>
      <c r="I3004" s="3">
        <f>E3004+G3004+H3004</f>
        <v/>
      </c>
      <c r="J3004" s="3">
        <f>ROUND(MIN(IF(C3004="Técnico III",35,IF(C3004="Técnico II",28,IF(C3004="Técnico I",23,IF(C3004="JR",20,IF(C3004="Estágio",10,0))))),IF(C3004="Técnico III",SUMIFS($D:$D,$A:$A,$A3004,$B:$B,"&lt;&gt;Patrícia Karla de Sousa Araújo",$B:$B,"&lt;&gt;Lorena Dias de Araujo",$B:$B,"&lt;&gt;Lucas Luiz Romero")*(35/1083),IF(C3004="Técnico II",SUMIFS($D:$D,$A:$A,$A3004,$B:$B,"&lt;&gt;Patrícia Karla de Sousa Araújo",$B:$B,"&lt;&gt;Lorena Dias de Araujo",$B:$B,"&lt;&gt;Lucas Luiz Romero")*(28/1083),IF(C3004="Técnico I",SUMIFS($D:$D,$A:$A,$A3004,$B:$B,"&lt;&gt;Patrícia Karla de Sousa Araújo",$B:$B,"&lt;&gt;Lorena Dias de Araujo",$B:$B,"&lt;&gt;Lucas Luiz Romero")*(23/1083),IF(C3004="JR",SUMIFS($D:$D,$A:$A,$A3004,$B:$B,"&lt;&gt;Patrícia Karla de Sousa Araújo",$B:$B,"&lt;&gt;Lorena Dias de Araujo",$B:$B,"&lt;&gt;Lucas Luiz Romero")*(20/1083),IF(C3004="Estágio",SUMIFS($D:$D,$A:$A,$A3004,$B:$B,"&lt;&gt;Patrícia Karla de Sousa Araújo",$B:$B,"&lt;&gt;Lorena Dias de Araujo",$B:$B,"&lt;&gt;Lucas Luiz Romero")*(10/1083),0)))))),0)</f>
        <v/>
      </c>
      <c r="K3004" s="3">
        <f>I3004-J3004</f>
        <v/>
      </c>
      <c r="L3004" s="3">
        <f>IF(K3004&lt;-5,"CRÍTICO",IF(K3004&lt;0,"ATENÇÃO",IF(K3004&lt;=5,"OPORTUNO","MUITO BOM")))</f>
        <v/>
      </c>
      <c r="N3004" t="n">
        <v>90</v>
      </c>
      <c r="O3004" t="n">
        <v>24.18604651162791</v>
      </c>
    </row>
    <row r="3005" hidden="1">
      <c r="A3005" s="11" t="n">
        <v>46094</v>
      </c>
      <c r="B3005" t="inlineStr">
        <is>
          <t>Luiz Fernando de Carvalho Junior</t>
        </is>
      </c>
      <c r="C3005" t="inlineStr">
        <is>
          <t>Técnico I</t>
        </is>
      </c>
      <c r="D3005" t="n">
        <v>13</v>
      </c>
      <c r="E3005" t="n">
        <v>12</v>
      </c>
      <c r="F3005" t="n">
        <v>37.32</v>
      </c>
      <c r="G3005" t="n">
        <v>0</v>
      </c>
      <c r="H3005" t="n">
        <v>0</v>
      </c>
      <c r="I3005" s="3">
        <f>E3005+G3005+H3005</f>
        <v/>
      </c>
      <c r="J3005" s="3">
        <f>ROUND(MIN(IF(C3005="Técnico III",35,IF(C3005="Técnico II",28,IF(C3005="Técnico I",23,IF(C3005="JR",20,IF(C3005="Estágio",10,0))))),IF(C3005="Técnico III",SUMIFS($D:$D,$A:$A,$A3005,$B:$B,"&lt;&gt;Patrícia Karla de Sousa Araújo",$B:$B,"&lt;&gt;Lorena Dias de Araujo",$B:$B,"&lt;&gt;Lucas Luiz Romero")*(35/1083),IF(C3005="Técnico II",SUMIFS($D:$D,$A:$A,$A3005,$B:$B,"&lt;&gt;Patrícia Karla de Sousa Araújo",$B:$B,"&lt;&gt;Lorena Dias de Araujo",$B:$B,"&lt;&gt;Lucas Luiz Romero")*(28/1083),IF(C3005="Técnico I",SUMIFS($D:$D,$A:$A,$A3005,$B:$B,"&lt;&gt;Patrícia Karla de Sousa Araújo",$B:$B,"&lt;&gt;Lorena Dias de Araujo",$B:$B,"&lt;&gt;Lucas Luiz Romero")*(23/1083),IF(C3005="JR",SUMIFS($D:$D,$A:$A,$A3005,$B:$B,"&lt;&gt;Patrícia Karla de Sousa Araújo",$B:$B,"&lt;&gt;Lorena Dias de Araujo",$B:$B,"&lt;&gt;Lucas Luiz Romero")*(20/1083),IF(C3005="Estágio",SUMIFS($D:$D,$A:$A,$A3005,$B:$B,"&lt;&gt;Patrícia Karla de Sousa Araújo",$B:$B,"&lt;&gt;Lorena Dias de Araujo",$B:$B,"&lt;&gt;Lucas Luiz Romero")*(10/1083),0)))))),0)</f>
        <v/>
      </c>
      <c r="K3005" s="3">
        <f>I3005-J3005</f>
        <v/>
      </c>
      <c r="L3005" s="3">
        <f>IF(K3005&lt;-5,"CRÍTICO",IF(K3005&lt;0,"ATENÇÃO",IF(K3005&lt;=5,"OPORTUNO","MUITO BOM")))</f>
        <v/>
      </c>
      <c r="N3005" t="n">
        <v>98.90000000000001</v>
      </c>
      <c r="O3005" t="n">
        <v>26.7639902676399</v>
      </c>
    </row>
    <row r="3006" hidden="1">
      <c r="A3006" s="11" t="n">
        <v>46094</v>
      </c>
      <c r="B3006" t="inlineStr">
        <is>
          <t>Maria Eduarda Sousa Costa</t>
        </is>
      </c>
      <c r="C3006" t="inlineStr">
        <is>
          <t>Estágio</t>
        </is>
      </c>
      <c r="D3006" t="n">
        <v>6</v>
      </c>
      <c r="E3006" t="n">
        <v>4</v>
      </c>
      <c r="F3006" t="n">
        <v>53.49</v>
      </c>
      <c r="G3006" t="n">
        <v>0</v>
      </c>
      <c r="H3006" t="n">
        <v>0</v>
      </c>
      <c r="I3006" s="3">
        <f>E3006+G3006+H3006</f>
        <v/>
      </c>
      <c r="J3006" s="3">
        <f>ROUND(MIN(IF(C3006="Técnico III",35,IF(C3006="Técnico II",28,IF(C3006="Técnico I",23,IF(C3006="JR",20,IF(C3006="Estágio",10,0))))),IF(C3006="Técnico III",SUMIFS($D:$D,$A:$A,$A3006,$B:$B,"&lt;&gt;Patrícia Karla de Sousa Araújo",$B:$B,"&lt;&gt;Lorena Dias de Araujo",$B:$B,"&lt;&gt;Lucas Luiz Romero")*(35/1083),IF(C3006="Técnico II",SUMIFS($D:$D,$A:$A,$A3006,$B:$B,"&lt;&gt;Patrícia Karla de Sousa Araújo",$B:$B,"&lt;&gt;Lorena Dias de Araujo",$B:$B,"&lt;&gt;Lucas Luiz Romero")*(28/1083),IF(C3006="Técnico I",SUMIFS($D:$D,$A:$A,$A3006,$B:$B,"&lt;&gt;Patrícia Karla de Sousa Araújo",$B:$B,"&lt;&gt;Lorena Dias de Araujo",$B:$B,"&lt;&gt;Lucas Luiz Romero")*(23/1083),IF(C3006="JR",SUMIFS($D:$D,$A:$A,$A3006,$B:$B,"&lt;&gt;Patrícia Karla de Sousa Araújo",$B:$B,"&lt;&gt;Lorena Dias de Araujo",$B:$B,"&lt;&gt;Lucas Luiz Romero")*(20/1083),IF(C3006="Estágio",SUMIFS($D:$D,$A:$A,$A3006,$B:$B,"&lt;&gt;Patrícia Karla de Sousa Araújo",$B:$B,"&lt;&gt;Lorena Dias de Araujo",$B:$B,"&lt;&gt;Lucas Luiz Romero")*(10/1083),0)))))),0)</f>
        <v/>
      </c>
      <c r="K3006" s="3">
        <f>I3006-J3006</f>
        <v/>
      </c>
      <c r="L3006" s="3">
        <f>IF(K3006&lt;-5,"CRÍTICO",IF(K3006&lt;0,"ATENÇÃO",IF(K3006&lt;=5,"OPORTUNO","MUITO BOM")))</f>
        <v/>
      </c>
      <c r="N3006" t="n">
        <v>88.89</v>
      </c>
      <c r="O3006" t="n">
        <v>25.26315789473684</v>
      </c>
    </row>
    <row r="3007" hidden="1">
      <c r="A3007" s="11" t="n">
        <v>46094</v>
      </c>
      <c r="B3007" t="inlineStr">
        <is>
          <t>Matheus Farias De Souza</t>
        </is>
      </c>
      <c r="C3007" t="inlineStr">
        <is>
          <t>Técnico III</t>
        </is>
      </c>
      <c r="D3007" t="n">
        <v>18</v>
      </c>
      <c r="E3007" t="n">
        <v>17</v>
      </c>
      <c r="F3007" t="n">
        <v>22.09</v>
      </c>
      <c r="G3007" t="n">
        <v>0</v>
      </c>
      <c r="H3007" t="n">
        <v>0</v>
      </c>
      <c r="I3007" s="3">
        <f>E3007+G3007+H3007</f>
        <v/>
      </c>
      <c r="J3007" s="3">
        <f>ROUND(MIN(IF(C3007="Técnico III",35,IF(C3007="Técnico II",28,IF(C3007="Técnico I",23,IF(C3007="JR",20,IF(C3007="Estágio",10,0))))),IF(C3007="Técnico III",SUMIFS($D:$D,$A:$A,$A3007,$B:$B,"&lt;&gt;Patrícia Karla de Sousa Araújo",$B:$B,"&lt;&gt;Lorena Dias de Araujo",$B:$B,"&lt;&gt;Lucas Luiz Romero")*(35/1083),IF(C3007="Técnico II",SUMIFS($D:$D,$A:$A,$A3007,$B:$B,"&lt;&gt;Patrícia Karla de Sousa Araújo",$B:$B,"&lt;&gt;Lorena Dias de Araujo",$B:$B,"&lt;&gt;Lucas Luiz Romero")*(28/1083),IF(C3007="Técnico I",SUMIFS($D:$D,$A:$A,$A3007,$B:$B,"&lt;&gt;Patrícia Karla de Sousa Araújo",$B:$B,"&lt;&gt;Lorena Dias de Araujo",$B:$B,"&lt;&gt;Lucas Luiz Romero")*(23/1083),IF(C3007="JR",SUMIFS($D:$D,$A:$A,$A3007,$B:$B,"&lt;&gt;Patrícia Karla de Sousa Araújo",$B:$B,"&lt;&gt;Lorena Dias de Araujo",$B:$B,"&lt;&gt;Lucas Luiz Romero")*(20/1083),IF(C3007="Estágio",SUMIFS($D:$D,$A:$A,$A3007,$B:$B,"&lt;&gt;Patrícia Karla de Sousa Araújo",$B:$B,"&lt;&gt;Lorena Dias de Araujo",$B:$B,"&lt;&gt;Lucas Luiz Romero")*(10/1083),0)))))),0)</f>
        <v/>
      </c>
      <c r="K3007" s="3">
        <f>I3007-J3007</f>
        <v/>
      </c>
      <c r="L3007" s="3">
        <f>IF(K3007&lt;-5,"CRÍTICO",IF(K3007&lt;0,"ATENÇÃO",IF(K3007&lt;=5,"OPORTUNO","MUITO BOM")))</f>
        <v/>
      </c>
      <c r="N3007" t="n">
        <v>98.86</v>
      </c>
      <c r="O3007" t="n">
        <v>28.95927601809955</v>
      </c>
    </row>
    <row r="3008" hidden="1">
      <c r="A3008" s="11" t="n">
        <v>46094</v>
      </c>
      <c r="B3008" t="inlineStr">
        <is>
          <t>Maysa Victoria Dias Moura</t>
        </is>
      </c>
      <c r="C3008" t="inlineStr">
        <is>
          <t>Técnico III</t>
        </is>
      </c>
      <c r="D3008" t="n">
        <v>32</v>
      </c>
      <c r="E3008" t="n">
        <v>28</v>
      </c>
      <c r="F3008" t="n">
        <v>15</v>
      </c>
      <c r="G3008" t="n">
        <v>0</v>
      </c>
      <c r="H3008" t="n">
        <v>0</v>
      </c>
      <c r="I3008" s="3">
        <f>E3008+G3008+H3008</f>
        <v/>
      </c>
      <c r="J3008" s="3">
        <f>ROUND(MIN(IF(C3008="Técnico III",35,IF(C3008="Técnico II",28,IF(C3008="Técnico I",23,IF(C3008="JR",20,IF(C3008="Estágio",10,0))))),IF(C3008="Técnico III",SUMIFS($D:$D,$A:$A,$A3008,$B:$B,"&lt;&gt;Patrícia Karla de Sousa Araújo",$B:$B,"&lt;&gt;Lorena Dias de Araujo",$B:$B,"&lt;&gt;Lucas Luiz Romero")*(35/1083),IF(C3008="Técnico II",SUMIFS($D:$D,$A:$A,$A3008,$B:$B,"&lt;&gt;Patrícia Karla de Sousa Araújo",$B:$B,"&lt;&gt;Lorena Dias de Araujo",$B:$B,"&lt;&gt;Lucas Luiz Romero")*(28/1083),IF(C3008="Técnico I",SUMIFS($D:$D,$A:$A,$A3008,$B:$B,"&lt;&gt;Patrícia Karla de Sousa Araújo",$B:$B,"&lt;&gt;Lorena Dias de Araujo",$B:$B,"&lt;&gt;Lucas Luiz Romero")*(23/1083),IF(C3008="JR",SUMIFS($D:$D,$A:$A,$A3008,$B:$B,"&lt;&gt;Patrícia Karla de Sousa Araújo",$B:$B,"&lt;&gt;Lorena Dias de Araujo",$B:$B,"&lt;&gt;Lucas Luiz Romero")*(20/1083),IF(C3008="Estágio",SUMIFS($D:$D,$A:$A,$A3008,$B:$B,"&lt;&gt;Patrícia Karla de Sousa Araújo",$B:$B,"&lt;&gt;Lorena Dias de Araujo",$B:$B,"&lt;&gt;Lucas Luiz Romero")*(10/1083),0)))))),0)</f>
        <v/>
      </c>
      <c r="K3008" s="3">
        <f>I3008-J3008</f>
        <v/>
      </c>
      <c r="L3008" s="3">
        <f>IF(K3008&lt;-5,"CRÍTICO",IF(K3008&lt;0,"ATENÇÃO",IF(K3008&lt;=5,"OPORTUNO","MUITO BOM")))</f>
        <v/>
      </c>
      <c r="N3008" t="n">
        <v>98.06</v>
      </c>
      <c r="O3008" t="n">
        <v>22.40566037735849</v>
      </c>
    </row>
    <row r="3009" hidden="1">
      <c r="A3009" s="11" t="n">
        <v>46094</v>
      </c>
      <c r="B3009" t="inlineStr">
        <is>
          <t>Michelle G Santos</t>
        </is>
      </c>
      <c r="C3009" t="inlineStr">
        <is>
          <t>Estágio</t>
        </is>
      </c>
      <c r="D3009" t="n">
        <v>6</v>
      </c>
      <c r="E3009" t="n">
        <v>6</v>
      </c>
      <c r="F3009" t="n">
        <v>48.34</v>
      </c>
      <c r="G3009" t="n">
        <v>0</v>
      </c>
      <c r="H3009" t="n">
        <v>0</v>
      </c>
      <c r="I3009" s="3">
        <f>E3009+G3009+H3009</f>
        <v/>
      </c>
      <c r="J3009" s="3">
        <f>ROUND(MIN(IF(C3009="Técnico III",35,IF(C3009="Técnico II",28,IF(C3009="Técnico I",23,IF(C3009="JR",20,IF(C3009="Estágio",10,0))))),IF(C3009="Técnico III",SUMIFS($D:$D,$A:$A,$A3009,$B:$B,"&lt;&gt;Patrícia Karla de Sousa Araújo",$B:$B,"&lt;&gt;Lorena Dias de Araujo",$B:$B,"&lt;&gt;Lucas Luiz Romero")*(35/1083),IF(C3009="Técnico II",SUMIFS($D:$D,$A:$A,$A3009,$B:$B,"&lt;&gt;Patrícia Karla de Sousa Araújo",$B:$B,"&lt;&gt;Lorena Dias de Araujo",$B:$B,"&lt;&gt;Lucas Luiz Romero")*(28/1083),IF(C3009="Técnico I",SUMIFS($D:$D,$A:$A,$A3009,$B:$B,"&lt;&gt;Patrícia Karla de Sousa Araújo",$B:$B,"&lt;&gt;Lorena Dias de Araujo",$B:$B,"&lt;&gt;Lucas Luiz Romero")*(23/1083),IF(C3009="JR",SUMIFS($D:$D,$A:$A,$A3009,$B:$B,"&lt;&gt;Patrícia Karla de Sousa Araújo",$B:$B,"&lt;&gt;Lorena Dias de Araujo",$B:$B,"&lt;&gt;Lucas Luiz Romero")*(20/1083),IF(C3009="Estágio",SUMIFS($D:$D,$A:$A,$A3009,$B:$B,"&lt;&gt;Patrícia Karla de Sousa Araújo",$B:$B,"&lt;&gt;Lorena Dias de Araujo",$B:$B,"&lt;&gt;Lucas Luiz Romero")*(10/1083),0)))))),0)</f>
        <v/>
      </c>
      <c r="K3009" s="3">
        <f>I3009-J3009</f>
        <v/>
      </c>
      <c r="L3009" s="3">
        <f>IF(K3009&lt;-5,"CRÍTICO",IF(K3009&lt;0,"ATENÇÃO",IF(K3009&lt;=5,"OPORTUNO","MUITO BOM")))</f>
        <v/>
      </c>
      <c r="N3009" t="n">
        <v>95.83</v>
      </c>
      <c r="O3009" t="n">
        <v>25.77319587628866</v>
      </c>
    </row>
    <row r="3010" hidden="1">
      <c r="A3010" s="11" t="n">
        <v>46094</v>
      </c>
      <c r="B3010" t="inlineStr">
        <is>
          <t>Milena Sales</t>
        </is>
      </c>
      <c r="C3010" t="inlineStr">
        <is>
          <t>JR</t>
        </is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s="3" t="n">
        <v>0</v>
      </c>
      <c r="J3010" s="3" t="n">
        <v>0</v>
      </c>
      <c r="K3010" s="3" t="n">
        <v>0</v>
      </c>
      <c r="L3010" s="3">
        <f>IF(K3010&lt;-5,"CRÍTICO",IF(K3010&lt;0,"ATENÇÃO",IF(K3010&lt;=5,"OPORTUNO","MUITO BOM")))</f>
        <v/>
      </c>
      <c r="N3010" t="n">
        <v>100</v>
      </c>
      <c r="O3010" t="n">
        <v>15.38461538461539</v>
      </c>
    </row>
    <row r="3011" hidden="1">
      <c r="A3011" s="11" t="n">
        <v>46094</v>
      </c>
      <c r="B3011" t="inlineStr">
        <is>
          <t>Patrícia Karla de Sousa Araújo</t>
        </is>
      </c>
      <c r="C3011" t="inlineStr">
        <is>
          <t>Técnico II</t>
        </is>
      </c>
      <c r="D3011" t="n">
        <v>26</v>
      </c>
      <c r="E3011" t="n">
        <v>26</v>
      </c>
      <c r="F3011" t="n">
        <v>27.03</v>
      </c>
      <c r="G3011" t="n">
        <v>0</v>
      </c>
      <c r="H3011" t="n">
        <v>0</v>
      </c>
      <c r="I3011" s="3">
        <f>E3011+G3011+H3011</f>
        <v/>
      </c>
      <c r="J3011" s="3">
        <f>ROUND(MIN(IF(C3011="Técnico III",35,IF(C3011="Técnico II",28,IF(C3011="Técnico I",23,IF(C3011="JR",20,IF(C3011="Estágio",10,0))))),IF(C3011="Técnico III",SUMIFS($D:$D,$A:$A,$A3011,$B:$B,"&lt;&gt;Patrícia Karla de Sousa Araújo",$B:$B,"&lt;&gt;Lorena Dias de Araujo",$B:$B,"&lt;&gt;Lucas Luiz Romero")*(35/1083),IF(C3011="Técnico II",SUMIFS($D:$D,$A:$A,$A3011,$B:$B,"&lt;&gt;Patrícia Karla de Sousa Araújo",$B:$B,"&lt;&gt;Lorena Dias de Araujo",$B:$B,"&lt;&gt;Lucas Luiz Romero")*(28/1083),IF(C3011="Técnico I",SUMIFS($D:$D,$A:$A,$A3011,$B:$B,"&lt;&gt;Patrícia Karla de Sousa Araújo",$B:$B,"&lt;&gt;Lorena Dias de Araujo",$B:$B,"&lt;&gt;Lucas Luiz Romero")*(23/1083),IF(C3011="JR",SUMIFS($D:$D,$A:$A,$A3011,$B:$B,"&lt;&gt;Patrícia Karla de Sousa Araújo",$B:$B,"&lt;&gt;Lorena Dias de Araujo",$B:$B,"&lt;&gt;Lucas Luiz Romero")*(20/1083),IF(C3011="Estágio",SUMIFS($D:$D,$A:$A,$A3011,$B:$B,"&lt;&gt;Patrícia Karla de Sousa Araújo",$B:$B,"&lt;&gt;Lorena Dias de Araujo",$B:$B,"&lt;&gt;Lucas Luiz Romero")*(10/1083),0)))))),0)</f>
        <v/>
      </c>
      <c r="K3011" s="3">
        <f>I3011-J3011</f>
        <v/>
      </c>
      <c r="L3011" s="3">
        <f>IF(K3011&lt;-5,"CRÍTICO",IF(K3011&lt;0,"ATENÇÃO",IF(K3011&lt;=5,"OPORTUNO","MUITO BOM")))</f>
        <v/>
      </c>
      <c r="N3011" t="n">
        <v>100</v>
      </c>
      <c r="O3011" t="n">
        <v>27.51479289940828</v>
      </c>
    </row>
    <row r="3012" hidden="1">
      <c r="A3012" s="11" t="n">
        <v>46094</v>
      </c>
      <c r="B3012" t="inlineStr">
        <is>
          <t>Paulo Ricardo Santos</t>
        </is>
      </c>
      <c r="C3012" t="inlineStr">
        <is>
          <t>JR</t>
        </is>
      </c>
      <c r="D3012" t="n">
        <v>13</v>
      </c>
      <c r="E3012" t="n">
        <v>12</v>
      </c>
      <c r="F3012" t="n">
        <v>40.55</v>
      </c>
      <c r="G3012" t="n">
        <v>0</v>
      </c>
      <c r="H3012" t="n">
        <v>0</v>
      </c>
      <c r="I3012" s="3">
        <f>E3012+G3012+H3012</f>
        <v/>
      </c>
      <c r="J3012" s="3">
        <f>ROUND(MIN(IF(C3012="Técnico III",35,IF(C3012="Técnico II",28,IF(C3012="Técnico I",23,IF(C3012="JR",20,IF(C3012="Estágio",10,0))))),IF(C3012="Técnico III",SUMIFS($D:$D,$A:$A,$A3012,$B:$B,"&lt;&gt;Patrícia Karla de Sousa Araújo",$B:$B,"&lt;&gt;Lorena Dias de Araujo",$B:$B,"&lt;&gt;Lucas Luiz Romero")*(35/1083),IF(C3012="Técnico II",SUMIFS($D:$D,$A:$A,$A3012,$B:$B,"&lt;&gt;Patrícia Karla de Sousa Araújo",$B:$B,"&lt;&gt;Lorena Dias de Araujo",$B:$B,"&lt;&gt;Lucas Luiz Romero")*(28/1083),IF(C3012="Técnico I",SUMIFS($D:$D,$A:$A,$A3012,$B:$B,"&lt;&gt;Patrícia Karla de Sousa Araújo",$B:$B,"&lt;&gt;Lorena Dias de Araujo",$B:$B,"&lt;&gt;Lucas Luiz Romero")*(23/1083),IF(C3012="JR",SUMIFS($D:$D,$A:$A,$A3012,$B:$B,"&lt;&gt;Patrícia Karla de Sousa Araújo",$B:$B,"&lt;&gt;Lorena Dias de Araujo",$B:$B,"&lt;&gt;Lucas Luiz Romero")*(20/1083),IF(C3012="Estágio",SUMIFS($D:$D,$A:$A,$A3012,$B:$B,"&lt;&gt;Patrícia Karla de Sousa Araújo",$B:$B,"&lt;&gt;Lorena Dias de Araujo",$B:$B,"&lt;&gt;Lucas Luiz Romero")*(10/1083),0)))))),0)</f>
        <v/>
      </c>
      <c r="K3012" s="3">
        <f>I3012-J3012</f>
        <v/>
      </c>
      <c r="L3012" s="3">
        <f>IF(K3012&lt;-5,"CRÍTICO",IF(K3012&lt;0,"ATENÇÃO",IF(K3012&lt;=5,"OPORTUNO","MUITO BOM")))</f>
        <v/>
      </c>
      <c r="N3012" t="n">
        <v>100</v>
      </c>
      <c r="O3012" t="n">
        <v>24.87562189054727</v>
      </c>
    </row>
    <row r="3013" hidden="1">
      <c r="A3013" s="11" t="n">
        <v>46094</v>
      </c>
      <c r="B3013" t="inlineStr">
        <is>
          <t>Pedro Luiz Mota Sousa</t>
        </is>
      </c>
      <c r="C3013" t="inlineStr">
        <is>
          <t>JR</t>
        </is>
      </c>
      <c r="D3013" t="n">
        <v>14</v>
      </c>
      <c r="E3013" t="n">
        <v>14</v>
      </c>
      <c r="F3013" t="n">
        <v>43.33</v>
      </c>
      <c r="G3013" t="n">
        <v>0</v>
      </c>
      <c r="H3013" t="n">
        <v>0</v>
      </c>
      <c r="I3013" s="3">
        <f>E3013+G3013+H3013</f>
        <v/>
      </c>
      <c r="J3013" s="3">
        <f>ROUND(MIN(IF(C3013="Técnico III",35,IF(C3013="Técnico II",28,IF(C3013="Técnico I",23,IF(C3013="JR",20,IF(C3013="Estágio",10,0))))),IF(C3013="Técnico III",SUMIFS($D:$D,$A:$A,$A3013,$B:$B,"&lt;&gt;Patrícia Karla de Sousa Araújo",$B:$B,"&lt;&gt;Lorena Dias de Araujo",$B:$B,"&lt;&gt;Lucas Luiz Romero")*(35/1083),IF(C3013="Técnico II",SUMIFS($D:$D,$A:$A,$A3013,$B:$B,"&lt;&gt;Patrícia Karla de Sousa Araújo",$B:$B,"&lt;&gt;Lorena Dias de Araujo",$B:$B,"&lt;&gt;Lucas Luiz Romero")*(28/1083),IF(C3013="Técnico I",SUMIFS($D:$D,$A:$A,$A3013,$B:$B,"&lt;&gt;Patrícia Karla de Sousa Araújo",$B:$B,"&lt;&gt;Lorena Dias de Araujo",$B:$B,"&lt;&gt;Lucas Luiz Romero")*(23/1083),IF(C3013="JR",SUMIFS($D:$D,$A:$A,$A3013,$B:$B,"&lt;&gt;Patrícia Karla de Sousa Araújo",$B:$B,"&lt;&gt;Lorena Dias de Araujo",$B:$B,"&lt;&gt;Lucas Luiz Romero")*(20/1083),IF(C3013="Estágio",SUMIFS($D:$D,$A:$A,$A3013,$B:$B,"&lt;&gt;Patrícia Karla de Sousa Araújo",$B:$B,"&lt;&gt;Lorena Dias de Araujo",$B:$B,"&lt;&gt;Lucas Luiz Romero")*(10/1083),0)))))),0)</f>
        <v/>
      </c>
      <c r="K3013" s="3">
        <f>I3013-J3013</f>
        <v/>
      </c>
      <c r="L3013" s="3">
        <f>IF(K3013&lt;-5,"CRÍTICO",IF(K3013&lt;0,"ATENÇÃO",IF(K3013&lt;=5,"OPORTUNO","MUITO BOM")))</f>
        <v/>
      </c>
      <c r="N3013" t="n">
        <v>100</v>
      </c>
      <c r="O3013" t="n">
        <v>28.10810810810811</v>
      </c>
    </row>
    <row r="3014" hidden="1">
      <c r="A3014" s="11" t="n">
        <v>46094</v>
      </c>
      <c r="B3014" t="inlineStr">
        <is>
          <t>Quirino Diogo Leite Torres</t>
        </is>
      </c>
      <c r="C3014" t="inlineStr">
        <is>
          <t>Estágio</t>
        </is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s="3" t="n">
        <v>0</v>
      </c>
      <c r="J3014" s="3" t="n">
        <v>0</v>
      </c>
      <c r="K3014" s="3" t="n">
        <v>0</v>
      </c>
      <c r="L3014" s="3">
        <f>IF(K3014&lt;-5,"CRÍTICO",IF(K3014&lt;0,"ATENÇÃO",IF(K3014&lt;=5,"OPORTUNO","MUITO BOM")))</f>
        <v/>
      </c>
      <c r="N3014" t="n">
        <v>100</v>
      </c>
      <c r="O3014" t="n">
        <v>35</v>
      </c>
    </row>
    <row r="3015" hidden="1">
      <c r="A3015" s="11" t="n">
        <v>46094</v>
      </c>
      <c r="B3015" t="inlineStr">
        <is>
          <t>Raane Batista Matos</t>
        </is>
      </c>
      <c r="C3015" t="inlineStr">
        <is>
          <t>Técnico I</t>
        </is>
      </c>
      <c r="D3015" t="n">
        <v>24</v>
      </c>
      <c r="E3015" t="n">
        <v>23</v>
      </c>
      <c r="F3015" t="n">
        <v>28.27</v>
      </c>
      <c r="G3015" t="n">
        <v>0</v>
      </c>
      <c r="H3015" t="n">
        <v>0</v>
      </c>
      <c r="I3015" s="3">
        <f>E3015+G3015+H3015</f>
        <v/>
      </c>
      <c r="J3015" s="3">
        <f>ROUND(MIN(IF(C3015="Técnico III",35,IF(C3015="Técnico II",28,IF(C3015="Técnico I",23,IF(C3015="JR",20,IF(C3015="Estágio",10,0))))),IF(C3015="Técnico III",SUMIFS($D:$D,$A:$A,$A3015,$B:$B,"&lt;&gt;Patrícia Karla de Sousa Araújo",$B:$B,"&lt;&gt;Lorena Dias de Araujo",$B:$B,"&lt;&gt;Lucas Luiz Romero")*(35/1083),IF(C3015="Técnico II",SUMIFS($D:$D,$A:$A,$A3015,$B:$B,"&lt;&gt;Patrícia Karla de Sousa Araújo",$B:$B,"&lt;&gt;Lorena Dias de Araujo",$B:$B,"&lt;&gt;Lucas Luiz Romero")*(28/1083),IF(C3015="Técnico I",SUMIFS($D:$D,$A:$A,$A3015,$B:$B,"&lt;&gt;Patrícia Karla de Sousa Araújo",$B:$B,"&lt;&gt;Lorena Dias de Araujo",$B:$B,"&lt;&gt;Lucas Luiz Romero")*(23/1083),IF(C3015="JR",SUMIFS($D:$D,$A:$A,$A3015,$B:$B,"&lt;&gt;Patrícia Karla de Sousa Araújo",$B:$B,"&lt;&gt;Lorena Dias de Araujo",$B:$B,"&lt;&gt;Lucas Luiz Romero")*(20/1083),IF(C3015="Estágio",SUMIFS($D:$D,$A:$A,$A3015,$B:$B,"&lt;&gt;Patrícia Karla de Sousa Araújo",$B:$B,"&lt;&gt;Lorena Dias de Araujo",$B:$B,"&lt;&gt;Lucas Luiz Romero")*(10/1083),0)))))),0)</f>
        <v/>
      </c>
      <c r="K3015" s="3">
        <f>I3015-J3015</f>
        <v/>
      </c>
      <c r="L3015" s="3">
        <f>IF(K3015&lt;-5,"CRÍTICO",IF(K3015&lt;0,"ATENÇÃO",IF(K3015&lt;=5,"OPORTUNO","MUITO BOM")))</f>
        <v/>
      </c>
      <c r="N3015" t="n">
        <v>95.34999999999999</v>
      </c>
      <c r="O3015" t="n">
        <v>28.61538461538461</v>
      </c>
    </row>
    <row r="3016" hidden="1">
      <c r="A3016" s="11" t="n">
        <v>46094</v>
      </c>
      <c r="B3016" t="inlineStr">
        <is>
          <t>Rafael Gomes de Morais</t>
        </is>
      </c>
      <c r="C3016" t="inlineStr">
        <is>
          <t>Técnico III</t>
        </is>
      </c>
      <c r="D3016" t="n">
        <v>36</v>
      </c>
      <c r="E3016" t="n">
        <v>36</v>
      </c>
      <c r="F3016" t="n">
        <v>15.38</v>
      </c>
      <c r="G3016" t="n">
        <v>0</v>
      </c>
      <c r="H3016" t="n">
        <v>0</v>
      </c>
      <c r="I3016" s="3">
        <f>E3016+G3016+H3016</f>
        <v/>
      </c>
      <c r="J3016" s="3">
        <f>ROUND(MIN(IF(C3016="Técnico III",35,IF(C3016="Técnico II",28,IF(C3016="Técnico I",23,IF(C3016="JR",20,IF(C3016="Estágio",10,0))))),IF(C3016="Técnico III",SUMIFS($D:$D,$A:$A,$A3016,$B:$B,"&lt;&gt;Patrícia Karla de Sousa Araújo",$B:$B,"&lt;&gt;Lorena Dias de Araujo",$B:$B,"&lt;&gt;Lucas Luiz Romero")*(35/1083),IF(C3016="Técnico II",SUMIFS($D:$D,$A:$A,$A3016,$B:$B,"&lt;&gt;Patrícia Karla de Sousa Araújo",$B:$B,"&lt;&gt;Lorena Dias de Araujo",$B:$B,"&lt;&gt;Lucas Luiz Romero")*(28/1083),IF(C3016="Técnico I",SUMIFS($D:$D,$A:$A,$A3016,$B:$B,"&lt;&gt;Patrícia Karla de Sousa Araújo",$B:$B,"&lt;&gt;Lorena Dias de Araujo",$B:$B,"&lt;&gt;Lucas Luiz Romero")*(23/1083),IF(C3016="JR",SUMIFS($D:$D,$A:$A,$A3016,$B:$B,"&lt;&gt;Patrícia Karla de Sousa Araújo",$B:$B,"&lt;&gt;Lorena Dias de Araujo",$B:$B,"&lt;&gt;Lucas Luiz Romero")*(20/1083),IF(C3016="Estágio",SUMIFS($D:$D,$A:$A,$A3016,$B:$B,"&lt;&gt;Patrícia Karla de Sousa Araújo",$B:$B,"&lt;&gt;Lorena Dias de Araujo",$B:$B,"&lt;&gt;Lucas Luiz Romero")*(10/1083),0)))))),0)</f>
        <v/>
      </c>
      <c r="K3016" s="3">
        <f>I3016-J3016</f>
        <v/>
      </c>
      <c r="L3016" s="3">
        <f>IF(K3016&lt;-5,"CRÍTICO",IF(K3016&lt;0,"ATENÇÃO",IF(K3016&lt;=5,"OPORTUNO","MUITO BOM")))</f>
        <v/>
      </c>
      <c r="N3016" t="n">
        <v>98.26000000000001</v>
      </c>
      <c r="O3016" t="n">
        <v>27.54491017964072</v>
      </c>
    </row>
    <row r="3017" hidden="1">
      <c r="A3017" s="11" t="n">
        <v>46094</v>
      </c>
      <c r="B3017" t="inlineStr">
        <is>
          <t>Sara Maria Monteiro Lopes</t>
        </is>
      </c>
      <c r="C3017" t="inlineStr">
        <is>
          <t>Técnico I</t>
        </is>
      </c>
      <c r="D3017" t="n">
        <v>13</v>
      </c>
      <c r="E3017" t="n">
        <v>13</v>
      </c>
      <c r="F3017" t="n">
        <v>48.32</v>
      </c>
      <c r="G3017" t="n">
        <v>0</v>
      </c>
      <c r="H3017" t="n">
        <v>0</v>
      </c>
      <c r="I3017" s="3">
        <f>E3017+G3017+H3017</f>
        <v/>
      </c>
      <c r="J3017" s="3">
        <f>ROUND(MIN(IF(C3017="Técnico III",35,IF(C3017="Técnico II",28,IF(C3017="Técnico I",23,IF(C3017="JR",20,IF(C3017="Estágio",10,0))))),IF(C3017="Técnico III",SUMIFS($D:$D,$A:$A,$A3017,$B:$B,"&lt;&gt;Patrícia Karla de Sousa Araújo",$B:$B,"&lt;&gt;Lorena Dias de Araujo",$B:$B,"&lt;&gt;Lucas Luiz Romero")*(35/1083),IF(C3017="Técnico II",SUMIFS($D:$D,$A:$A,$A3017,$B:$B,"&lt;&gt;Patrícia Karla de Sousa Araújo",$B:$B,"&lt;&gt;Lorena Dias de Araujo",$B:$B,"&lt;&gt;Lucas Luiz Romero")*(28/1083),IF(C3017="Técnico I",SUMIFS($D:$D,$A:$A,$A3017,$B:$B,"&lt;&gt;Patrícia Karla de Sousa Araújo",$B:$B,"&lt;&gt;Lorena Dias de Araujo",$B:$B,"&lt;&gt;Lucas Luiz Romero")*(23/1083),IF(C3017="JR",SUMIFS($D:$D,$A:$A,$A3017,$B:$B,"&lt;&gt;Patrícia Karla de Sousa Araújo",$B:$B,"&lt;&gt;Lorena Dias de Araujo",$B:$B,"&lt;&gt;Lucas Luiz Romero")*(20/1083),IF(C3017="Estágio",SUMIFS($D:$D,$A:$A,$A3017,$B:$B,"&lt;&gt;Patrícia Karla de Sousa Araújo",$B:$B,"&lt;&gt;Lorena Dias de Araujo",$B:$B,"&lt;&gt;Lucas Luiz Romero")*(10/1083),0)))))),0)</f>
        <v/>
      </c>
      <c r="K3017" s="3">
        <f>I3017-J3017</f>
        <v/>
      </c>
      <c r="L3017" s="3">
        <f>IF(K3017&lt;-5,"CRÍTICO",IF(K3017&lt;0,"ATENÇÃO",IF(K3017&lt;=5,"OPORTUNO","MUITO BOM")))</f>
        <v/>
      </c>
      <c r="N3017" t="n">
        <v>98.55</v>
      </c>
      <c r="O3017" t="n">
        <v>25.33783783783784</v>
      </c>
    </row>
    <row r="3018" hidden="1">
      <c r="A3018" s="11" t="n">
        <v>46094</v>
      </c>
      <c r="B3018" t="inlineStr">
        <is>
          <t>Sarah Steffanie de Lima Borges</t>
        </is>
      </c>
      <c r="C3018" t="inlineStr">
        <is>
          <t>Técnico III</t>
        </is>
      </c>
      <c r="D3018" t="n">
        <v>31</v>
      </c>
      <c r="E3018" t="n">
        <v>28</v>
      </c>
      <c r="F3018" t="n">
        <v>22.31</v>
      </c>
      <c r="G3018" t="n">
        <v>0</v>
      </c>
      <c r="H3018" t="n">
        <v>0</v>
      </c>
      <c r="I3018" s="3">
        <f>E3018+G3018+H3018</f>
        <v/>
      </c>
      <c r="J3018" s="3">
        <f>ROUND(MIN(IF(C3018="Técnico III",35,IF(C3018="Técnico II",28,IF(C3018="Técnico I",23,IF(C3018="JR",20,IF(C3018="Estágio",10,0))))),IF(C3018="Técnico III",SUMIFS($D:$D,$A:$A,$A3018,$B:$B,"&lt;&gt;Patrícia Karla de Sousa Araújo",$B:$B,"&lt;&gt;Lorena Dias de Araujo",$B:$B,"&lt;&gt;Lucas Luiz Romero")*(35/1083),IF(C3018="Técnico II",SUMIFS($D:$D,$A:$A,$A3018,$B:$B,"&lt;&gt;Patrícia Karla de Sousa Araújo",$B:$B,"&lt;&gt;Lorena Dias de Araujo",$B:$B,"&lt;&gt;Lucas Luiz Romero")*(28/1083),IF(C3018="Técnico I",SUMIFS($D:$D,$A:$A,$A3018,$B:$B,"&lt;&gt;Patrícia Karla de Sousa Araújo",$B:$B,"&lt;&gt;Lorena Dias de Araujo",$B:$B,"&lt;&gt;Lucas Luiz Romero")*(23/1083),IF(C3018="JR",SUMIFS($D:$D,$A:$A,$A3018,$B:$B,"&lt;&gt;Patrícia Karla de Sousa Araújo",$B:$B,"&lt;&gt;Lorena Dias de Araujo",$B:$B,"&lt;&gt;Lucas Luiz Romero")*(20/1083),IF(C3018="Estágio",SUMIFS($D:$D,$A:$A,$A3018,$B:$B,"&lt;&gt;Patrícia Karla de Sousa Araújo",$B:$B,"&lt;&gt;Lorena Dias de Araujo",$B:$B,"&lt;&gt;Lucas Luiz Romero")*(10/1083),0)))))),0)</f>
        <v/>
      </c>
      <c r="K3018" s="3">
        <f>I3018-J3018</f>
        <v/>
      </c>
      <c r="L3018" s="3">
        <f>IF(K3018&lt;-5,"CRÍTICO",IF(K3018&lt;0,"ATENÇÃO",IF(K3018&lt;=5,"OPORTUNO","MUITO BOM")))</f>
        <v/>
      </c>
      <c r="N3018" t="n">
        <v>98.39</v>
      </c>
      <c r="O3018" t="n">
        <v>25.56390977443609</v>
      </c>
    </row>
    <row r="3019" hidden="1">
      <c r="A3019" s="11" t="n">
        <v>46097</v>
      </c>
      <c r="B3019" t="inlineStr">
        <is>
          <t>Alisson de Freitas Silva</t>
        </is>
      </c>
      <c r="C3019" t="inlineStr">
        <is>
          <t>Técnico II</t>
        </is>
      </c>
      <c r="D3019" t="n">
        <v>33</v>
      </c>
      <c r="E3019" t="n">
        <v>27</v>
      </c>
      <c r="F3019" t="n">
        <v>14.14</v>
      </c>
      <c r="G3019" t="n">
        <v>0</v>
      </c>
      <c r="H3019" t="n">
        <v>0</v>
      </c>
      <c r="I3019" s="3">
        <f>E3019+G3019+H3019</f>
        <v/>
      </c>
      <c r="J3019" s="3">
        <f>ROUND(MIN(IF(C3019="Técnico III",35,IF(C3019="Técnico II",28,IF(C3019="Técnico I",23,IF(C3019="JR",20,IF(C3019="Estágio",10,0))))),IF(C3019="Técnico III",SUMIFS($D:$D,$A:$A,$A3019,$B:$B,"&lt;&gt;Patrícia Karla de Sousa Araújo",$B:$B,"&lt;&gt;Lorena Dias de Araujo",$B:$B,"&lt;&gt;Lucas Luiz Romero")*(35/1083),IF(C3019="Técnico II",SUMIFS($D:$D,$A:$A,$A3019,$B:$B,"&lt;&gt;Patrícia Karla de Sousa Araújo",$B:$B,"&lt;&gt;Lorena Dias de Araujo",$B:$B,"&lt;&gt;Lucas Luiz Romero")*(28/1083),IF(C3019="Técnico I",SUMIFS($D:$D,$A:$A,$A3019,$B:$B,"&lt;&gt;Patrícia Karla de Sousa Araújo",$B:$B,"&lt;&gt;Lorena Dias de Araujo",$B:$B,"&lt;&gt;Lucas Luiz Romero")*(23/1083),IF(C3019="JR",SUMIFS($D:$D,$A:$A,$A3019,$B:$B,"&lt;&gt;Patrícia Karla de Sousa Araújo",$B:$B,"&lt;&gt;Lorena Dias de Araujo",$B:$B,"&lt;&gt;Lucas Luiz Romero")*(20/1083),IF(C3019="Estágio",SUMIFS($D:$D,$A:$A,$A3019,$B:$B,"&lt;&gt;Patrícia Karla de Sousa Araújo",$B:$B,"&lt;&gt;Lorena Dias de Araujo",$B:$B,"&lt;&gt;Lucas Luiz Romero")*(10/1083),0)))))),0)</f>
        <v/>
      </c>
      <c r="K3019" s="3">
        <f>I3019-J3019</f>
        <v/>
      </c>
      <c r="L3019" s="3">
        <f>IF(K3019&lt;-5,"CRÍTICO",IF(K3019&lt;0,"ATENÇÃO",IF(K3019&lt;=5,"OPORTUNO","MUITO BOM")))</f>
        <v/>
      </c>
      <c r="N3019" t="n">
        <v>94.29000000000001</v>
      </c>
      <c r="O3019" t="n">
        <v>25.64766839378239</v>
      </c>
    </row>
    <row r="3020" hidden="1">
      <c r="A3020" s="11" t="n">
        <v>46097</v>
      </c>
      <c r="B3020" t="inlineStr">
        <is>
          <t>Amanda Moura Ferreira</t>
        </is>
      </c>
      <c r="C3020" t="inlineStr">
        <is>
          <t>Técnico III</t>
        </is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s="3" t="n">
        <v>0</v>
      </c>
      <c r="J3020" s="3" t="n">
        <v>0</v>
      </c>
      <c r="K3020" s="3" t="n">
        <v>0</v>
      </c>
      <c r="L3020" s="3">
        <f>IF(K3020&lt;-5,"CRÍTICO",IF(K3020&lt;0,"ATENÇÃO",IF(K3020&lt;=5,"OPORTUNO","MUITO BOM")))</f>
        <v/>
      </c>
      <c r="N3020" t="n">
        <v>98.26000000000001</v>
      </c>
      <c r="O3020" t="n">
        <v>26.66666666666667</v>
      </c>
    </row>
    <row r="3021" hidden="1">
      <c r="A3021" s="11" t="n">
        <v>46097</v>
      </c>
      <c r="B3021" t="inlineStr">
        <is>
          <t>Ana Karollyne Souza Faria</t>
        </is>
      </c>
      <c r="C3021" t="inlineStr">
        <is>
          <t>Técnico I</t>
        </is>
      </c>
      <c r="D3021" t="n">
        <v>29</v>
      </c>
      <c r="E3021" t="n">
        <v>29</v>
      </c>
      <c r="F3021" t="n">
        <v>23.33</v>
      </c>
      <c r="G3021" t="n">
        <v>0</v>
      </c>
      <c r="H3021" t="n">
        <v>0</v>
      </c>
      <c r="I3021" s="3">
        <f>E3021+G3021+H3021</f>
        <v/>
      </c>
      <c r="J3021" s="3">
        <f>ROUND(MIN(IF(C3021="Técnico III",35,IF(C3021="Técnico II",28,IF(C3021="Técnico I",23,IF(C3021="JR",20,IF(C3021="Estágio",10,0))))),IF(C3021="Técnico III",SUMIFS($D:$D,$A:$A,$A3021,$B:$B,"&lt;&gt;Patrícia Karla de Sousa Araújo",$B:$B,"&lt;&gt;Lorena Dias de Araujo",$B:$B,"&lt;&gt;Lucas Luiz Romero")*(35/1083),IF(C3021="Técnico II",SUMIFS($D:$D,$A:$A,$A3021,$B:$B,"&lt;&gt;Patrícia Karla de Sousa Araújo",$B:$B,"&lt;&gt;Lorena Dias de Araujo",$B:$B,"&lt;&gt;Lucas Luiz Romero")*(28/1083),IF(C3021="Técnico I",SUMIFS($D:$D,$A:$A,$A3021,$B:$B,"&lt;&gt;Patrícia Karla de Sousa Araújo",$B:$B,"&lt;&gt;Lorena Dias de Araujo",$B:$B,"&lt;&gt;Lucas Luiz Romero")*(23/1083),IF(C3021="JR",SUMIFS($D:$D,$A:$A,$A3021,$B:$B,"&lt;&gt;Patrícia Karla de Sousa Araújo",$B:$B,"&lt;&gt;Lorena Dias de Araujo",$B:$B,"&lt;&gt;Lucas Luiz Romero")*(20/1083),IF(C3021="Estágio",SUMIFS($D:$D,$A:$A,$A3021,$B:$B,"&lt;&gt;Patrícia Karla de Sousa Araújo",$B:$B,"&lt;&gt;Lorena Dias de Araujo",$B:$B,"&lt;&gt;Lucas Luiz Romero")*(10/1083),0)))))),0)</f>
        <v/>
      </c>
      <c r="K3021" s="3">
        <f>I3021-J3021</f>
        <v/>
      </c>
      <c r="L3021" s="3">
        <f>IF(K3021&lt;-5,"CRÍTICO",IF(K3021&lt;0,"ATENÇÃO",IF(K3021&lt;=5,"OPORTUNO","MUITO BOM")))</f>
        <v/>
      </c>
      <c r="N3021" t="n">
        <v>98.2</v>
      </c>
      <c r="O3021" t="n">
        <v>23.37962962962963</v>
      </c>
    </row>
    <row r="3022" hidden="1">
      <c r="A3022" s="11" t="n">
        <v>46097</v>
      </c>
      <c r="B3022" t="inlineStr">
        <is>
          <t>Ana Paula Da Luz Silva Aleixo</t>
        </is>
      </c>
      <c r="C3022" t="inlineStr">
        <is>
          <t>Técnico III</t>
        </is>
      </c>
      <c r="D3022" t="n">
        <v>33</v>
      </c>
      <c r="E3022" t="n">
        <v>31</v>
      </c>
      <c r="F3022" t="n">
        <v>18.47</v>
      </c>
      <c r="G3022" t="n">
        <v>0</v>
      </c>
      <c r="H3022" t="n">
        <v>0</v>
      </c>
      <c r="I3022" s="3">
        <f>E3022+G3022+H3022</f>
        <v/>
      </c>
      <c r="J3022" s="3">
        <f>ROUND(MIN(IF(C3022="Técnico III",35,IF(C3022="Técnico II",28,IF(C3022="Técnico I",23,IF(C3022="JR",20,IF(C3022="Estágio",10,0))))),IF(C3022="Técnico III",SUMIFS($D:$D,$A:$A,$A3022,$B:$B,"&lt;&gt;Patrícia Karla de Sousa Araújo",$B:$B,"&lt;&gt;Lorena Dias de Araujo",$B:$B,"&lt;&gt;Lucas Luiz Romero")*(35/1083),IF(C3022="Técnico II",SUMIFS($D:$D,$A:$A,$A3022,$B:$B,"&lt;&gt;Patrícia Karla de Sousa Araújo",$B:$B,"&lt;&gt;Lorena Dias de Araujo",$B:$B,"&lt;&gt;Lucas Luiz Romero")*(28/1083),IF(C3022="Técnico I",SUMIFS($D:$D,$A:$A,$A3022,$B:$B,"&lt;&gt;Patrícia Karla de Sousa Araújo",$B:$B,"&lt;&gt;Lorena Dias de Araujo",$B:$B,"&lt;&gt;Lucas Luiz Romero")*(23/1083),IF(C3022="JR",SUMIFS($D:$D,$A:$A,$A3022,$B:$B,"&lt;&gt;Patrícia Karla de Sousa Araújo",$B:$B,"&lt;&gt;Lorena Dias de Araujo",$B:$B,"&lt;&gt;Lucas Luiz Romero")*(20/1083),IF(C3022="Estágio",SUMIFS($D:$D,$A:$A,$A3022,$B:$B,"&lt;&gt;Patrícia Karla de Sousa Araújo",$B:$B,"&lt;&gt;Lorena Dias de Araujo",$B:$B,"&lt;&gt;Lucas Luiz Romero")*(10/1083),0)))))),0)</f>
        <v/>
      </c>
      <c r="K3022" s="3">
        <f>I3022-J3022</f>
        <v/>
      </c>
      <c r="L3022" s="3">
        <f>IF(K3022&lt;-5,"CRÍTICO",IF(K3022&lt;0,"ATENÇÃO",IF(K3022&lt;=5,"OPORTUNO","MUITO BOM")))</f>
        <v/>
      </c>
      <c r="N3022" t="n">
        <v>97.3</v>
      </c>
      <c r="O3022" t="n">
        <v>23.84769539078156</v>
      </c>
    </row>
    <row r="3023" hidden="1">
      <c r="A3023" s="11" t="n">
        <v>46097</v>
      </c>
      <c r="B3023" t="inlineStr">
        <is>
          <t>Anna Luiza Rezende Tavares</t>
        </is>
      </c>
      <c r="C3023" t="inlineStr">
        <is>
          <t>Estágio</t>
        </is>
      </c>
      <c r="D3023" t="n">
        <v>7</v>
      </c>
      <c r="E3023" t="n">
        <v>7</v>
      </c>
      <c r="F3023" t="n">
        <v>33.53</v>
      </c>
      <c r="G3023" t="n">
        <v>0</v>
      </c>
      <c r="H3023" t="n">
        <v>0</v>
      </c>
      <c r="I3023" s="3">
        <f>E3023+G3023+H3023</f>
        <v/>
      </c>
      <c r="J3023" s="3">
        <f>ROUND(MIN(IF(C3023="Técnico III",35,IF(C3023="Técnico II",28,IF(C3023="Técnico I",23,IF(C3023="JR",20,IF(C3023="Estágio",10,0))))),IF(C3023="Técnico III",SUMIFS($D:$D,$A:$A,$A3023,$B:$B,"&lt;&gt;Patrícia Karla de Sousa Araújo",$B:$B,"&lt;&gt;Lorena Dias de Araujo",$B:$B,"&lt;&gt;Lucas Luiz Romero")*(35/1083),IF(C3023="Técnico II",SUMIFS($D:$D,$A:$A,$A3023,$B:$B,"&lt;&gt;Patrícia Karla de Sousa Araújo",$B:$B,"&lt;&gt;Lorena Dias de Araujo",$B:$B,"&lt;&gt;Lucas Luiz Romero")*(28/1083),IF(C3023="Técnico I",SUMIFS($D:$D,$A:$A,$A3023,$B:$B,"&lt;&gt;Patrícia Karla de Sousa Araújo",$B:$B,"&lt;&gt;Lorena Dias de Araujo",$B:$B,"&lt;&gt;Lucas Luiz Romero")*(23/1083),IF(C3023="JR",SUMIFS($D:$D,$A:$A,$A3023,$B:$B,"&lt;&gt;Patrícia Karla de Sousa Araújo",$B:$B,"&lt;&gt;Lorena Dias de Araujo",$B:$B,"&lt;&gt;Lucas Luiz Romero")*(20/1083),IF(C3023="Estágio",SUMIFS($D:$D,$A:$A,$A3023,$B:$B,"&lt;&gt;Patrícia Karla de Sousa Araújo",$B:$B,"&lt;&gt;Lorena Dias de Araujo",$B:$B,"&lt;&gt;Lucas Luiz Romero")*(10/1083),0)))))),0)</f>
        <v/>
      </c>
      <c r="K3023" s="3">
        <f>I3023-J3023</f>
        <v/>
      </c>
      <c r="L3023" s="3">
        <f>IF(K3023&lt;-5,"CRÍTICO",IF(K3023&lt;0,"ATENÇÃO",IF(K3023&lt;=5,"OPORTUNO","MUITO BOM")))</f>
        <v/>
      </c>
      <c r="N3023" t="n">
        <v>100</v>
      </c>
      <c r="O3023" t="n">
        <v>25.26881720430108</v>
      </c>
    </row>
    <row r="3024" hidden="1">
      <c r="A3024" s="11" t="n">
        <v>46097</v>
      </c>
      <c r="B3024" t="inlineStr">
        <is>
          <t>Brenda de Menezes Silva</t>
        </is>
      </c>
      <c r="C3024" t="inlineStr">
        <is>
          <t>Técnico II</t>
        </is>
      </c>
      <c r="D3024" t="n">
        <v>21</v>
      </c>
      <c r="E3024" t="n">
        <v>18</v>
      </c>
      <c r="F3024" t="n">
        <v>22.09</v>
      </c>
      <c r="G3024" t="n">
        <v>0</v>
      </c>
      <c r="H3024" t="n">
        <v>0</v>
      </c>
      <c r="I3024" s="3">
        <f>E3024+G3024+H3024</f>
        <v/>
      </c>
      <c r="J3024" s="3">
        <f>ROUND(MIN(IF(C3024="Técnico III",35,IF(C3024="Técnico II",28,IF(C3024="Técnico I",23,IF(C3024="JR",20,IF(C3024="Estágio",10,0))))),IF(C3024="Técnico III",SUMIFS($D:$D,$A:$A,$A3024,$B:$B,"&lt;&gt;Patrícia Karla de Sousa Araújo",$B:$B,"&lt;&gt;Lorena Dias de Araujo",$B:$B,"&lt;&gt;Lucas Luiz Romero")*(35/1083),IF(C3024="Técnico II",SUMIFS($D:$D,$A:$A,$A3024,$B:$B,"&lt;&gt;Patrícia Karla de Sousa Araújo",$B:$B,"&lt;&gt;Lorena Dias de Araujo",$B:$B,"&lt;&gt;Lucas Luiz Romero")*(28/1083),IF(C3024="Técnico I",SUMIFS($D:$D,$A:$A,$A3024,$B:$B,"&lt;&gt;Patrícia Karla de Sousa Araújo",$B:$B,"&lt;&gt;Lorena Dias de Araujo",$B:$B,"&lt;&gt;Lucas Luiz Romero")*(23/1083),IF(C3024="JR",SUMIFS($D:$D,$A:$A,$A3024,$B:$B,"&lt;&gt;Patrícia Karla de Sousa Araújo",$B:$B,"&lt;&gt;Lorena Dias de Araujo",$B:$B,"&lt;&gt;Lucas Luiz Romero")*(20/1083),IF(C3024="Estágio",SUMIFS($D:$D,$A:$A,$A3024,$B:$B,"&lt;&gt;Patrícia Karla de Sousa Araújo",$B:$B,"&lt;&gt;Lorena Dias de Araujo",$B:$B,"&lt;&gt;Lucas Luiz Romero")*(10/1083),0)))))),0)</f>
        <v/>
      </c>
      <c r="K3024" s="3">
        <f>I3024-J3024</f>
        <v/>
      </c>
      <c r="L3024" s="3">
        <f>IF(K3024&lt;-5,"CRÍTICO",IF(K3024&lt;0,"ATENÇÃO",IF(K3024&lt;=5,"OPORTUNO","MUITO BOM")))</f>
        <v/>
      </c>
      <c r="N3024" t="n">
        <v>99.31999999999999</v>
      </c>
      <c r="O3024" t="n">
        <v>22.82282282282282</v>
      </c>
    </row>
    <row r="3025" hidden="1">
      <c r="A3025" s="11" t="n">
        <v>46097</v>
      </c>
      <c r="B3025" t="inlineStr">
        <is>
          <t>Carlos Mateus Cassimiro Nunes</t>
        </is>
      </c>
      <c r="C3025" t="inlineStr">
        <is>
          <t>Técnico II</t>
        </is>
      </c>
      <c r="D3025" t="n">
        <v>19</v>
      </c>
      <c r="E3025" t="n">
        <v>19</v>
      </c>
      <c r="F3025" t="n">
        <v>30.51</v>
      </c>
      <c r="G3025" t="n">
        <v>0</v>
      </c>
      <c r="H3025" t="n">
        <v>0</v>
      </c>
      <c r="I3025" s="3">
        <f>E3025+G3025+H3025</f>
        <v/>
      </c>
      <c r="J3025" s="3">
        <f>ROUND(MIN(IF(C3025="Técnico III",35,IF(C3025="Técnico II",28,IF(C3025="Técnico I",23,IF(C3025="JR",20,IF(C3025="Estágio",10,0))))),IF(C3025="Técnico III",SUMIFS($D:$D,$A:$A,$A3025,$B:$B,"&lt;&gt;Patrícia Karla de Sousa Araújo",$B:$B,"&lt;&gt;Lorena Dias de Araujo",$B:$B,"&lt;&gt;Lucas Luiz Romero")*(35/1083),IF(C3025="Técnico II",SUMIFS($D:$D,$A:$A,$A3025,$B:$B,"&lt;&gt;Patrícia Karla de Sousa Araújo",$B:$B,"&lt;&gt;Lorena Dias de Araujo",$B:$B,"&lt;&gt;Lucas Luiz Romero")*(28/1083),IF(C3025="Técnico I",SUMIFS($D:$D,$A:$A,$A3025,$B:$B,"&lt;&gt;Patrícia Karla de Sousa Araújo",$B:$B,"&lt;&gt;Lorena Dias de Araujo",$B:$B,"&lt;&gt;Lucas Luiz Romero")*(23/1083),IF(C3025="JR",SUMIFS($D:$D,$A:$A,$A3025,$B:$B,"&lt;&gt;Patrícia Karla de Sousa Araújo",$B:$B,"&lt;&gt;Lorena Dias de Araujo",$B:$B,"&lt;&gt;Lucas Luiz Romero")*(20/1083),IF(C3025="Estágio",SUMIFS($D:$D,$A:$A,$A3025,$B:$B,"&lt;&gt;Patrícia Karla de Sousa Araújo",$B:$B,"&lt;&gt;Lorena Dias de Araujo",$B:$B,"&lt;&gt;Lucas Luiz Romero")*(10/1083),0)))))),0)</f>
        <v/>
      </c>
      <c r="K3025" s="3">
        <f>I3025-J3025</f>
        <v/>
      </c>
      <c r="L3025" s="3">
        <f>IF(K3025&lt;-5,"CRÍTICO",IF(K3025&lt;0,"ATENÇÃO",IF(K3025&lt;=5,"OPORTUNO","MUITO BOM")))</f>
        <v/>
      </c>
      <c r="N3025" t="n">
        <v>100</v>
      </c>
      <c r="O3025" t="n">
        <v>27.96610169491525</v>
      </c>
    </row>
    <row r="3026" hidden="1">
      <c r="A3026" s="11" t="n">
        <v>46097</v>
      </c>
      <c r="B3026" t="inlineStr">
        <is>
          <t>Claudio de Sousa Velasco Filho</t>
        </is>
      </c>
      <c r="C3026" t="inlineStr">
        <is>
          <t>Estágio</t>
        </is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s="3" t="n">
        <v>0</v>
      </c>
      <c r="J3026" s="3" t="n">
        <v>0</v>
      </c>
      <c r="K3026" s="3" t="n">
        <v>0</v>
      </c>
      <c r="L3026" s="3">
        <f>IF(K3026&lt;-5,"CRÍTICO",IF(K3026&lt;0,"ATENÇÃO",IF(K3026&lt;=5,"OPORTUNO","MUITO BOM")))</f>
        <v/>
      </c>
      <c r="N3026" t="n">
        <v>100</v>
      </c>
      <c r="O3026" t="n">
        <v>30.43478260869566</v>
      </c>
    </row>
    <row r="3027" hidden="1">
      <c r="A3027" s="11" t="n">
        <v>46097</v>
      </c>
      <c r="B3027" t="inlineStr">
        <is>
          <t>Clessiane Pereira dos Santos</t>
        </is>
      </c>
      <c r="C3027" t="inlineStr">
        <is>
          <t>Técnico I</t>
        </is>
      </c>
      <c r="D3027" t="n">
        <v>22</v>
      </c>
      <c r="E3027" t="n">
        <v>19</v>
      </c>
      <c r="F3027" t="n">
        <v>22.23</v>
      </c>
      <c r="G3027" t="n">
        <v>0</v>
      </c>
      <c r="H3027" t="n">
        <v>0</v>
      </c>
      <c r="I3027" s="3">
        <f>E3027+G3027+H3027</f>
        <v/>
      </c>
      <c r="J3027" s="3">
        <f>ROUND(MIN(IF(C3027="Técnico III",35,IF(C3027="Técnico II",28,IF(C3027="Técnico I",23,IF(C3027="JR",20,IF(C3027="Estágio",10,0))))),IF(C3027="Técnico III",SUMIFS($D:$D,$A:$A,$A3027,$B:$B,"&lt;&gt;Patrícia Karla de Sousa Araújo",$B:$B,"&lt;&gt;Lorena Dias de Araujo",$B:$B,"&lt;&gt;Lucas Luiz Romero")*(35/1083),IF(C3027="Técnico II",SUMIFS($D:$D,$A:$A,$A3027,$B:$B,"&lt;&gt;Patrícia Karla de Sousa Araújo",$B:$B,"&lt;&gt;Lorena Dias de Araujo",$B:$B,"&lt;&gt;Lucas Luiz Romero")*(28/1083),IF(C3027="Técnico I",SUMIFS($D:$D,$A:$A,$A3027,$B:$B,"&lt;&gt;Patrícia Karla de Sousa Araújo",$B:$B,"&lt;&gt;Lorena Dias de Araujo",$B:$B,"&lt;&gt;Lucas Luiz Romero")*(23/1083),IF(C3027="JR",SUMIFS($D:$D,$A:$A,$A3027,$B:$B,"&lt;&gt;Patrícia Karla de Sousa Araújo",$B:$B,"&lt;&gt;Lorena Dias de Araujo",$B:$B,"&lt;&gt;Lucas Luiz Romero")*(20/1083),IF(C3027="Estágio",SUMIFS($D:$D,$A:$A,$A3027,$B:$B,"&lt;&gt;Patrícia Karla de Sousa Araújo",$B:$B,"&lt;&gt;Lorena Dias de Araujo",$B:$B,"&lt;&gt;Lucas Luiz Romero")*(10/1083),0)))))),0)</f>
        <v/>
      </c>
      <c r="K3027" s="3">
        <f>I3027-J3027</f>
        <v/>
      </c>
      <c r="L3027" s="3">
        <f>IF(K3027&lt;-5,"CRÍTICO",IF(K3027&lt;0,"ATENÇÃO",IF(K3027&lt;=5,"OPORTUNO","MUITO BOM")))</f>
        <v/>
      </c>
      <c r="N3027" t="n">
        <v>96.51000000000001</v>
      </c>
      <c r="O3027" t="n">
        <v>22.80285035629454</v>
      </c>
    </row>
    <row r="3028" hidden="1">
      <c r="A3028" s="11" t="n">
        <v>46097</v>
      </c>
      <c r="B3028" t="inlineStr">
        <is>
          <t>Cristiane Ramos da Silva Rocha</t>
        </is>
      </c>
      <c r="C3028" t="inlineStr">
        <is>
          <t>Técnico III</t>
        </is>
      </c>
      <c r="D3028" t="n">
        <v>31</v>
      </c>
      <c r="E3028" t="n">
        <v>27</v>
      </c>
      <c r="F3028" t="n">
        <v>13.56</v>
      </c>
      <c r="G3028" t="n">
        <v>0</v>
      </c>
      <c r="H3028" t="n">
        <v>0</v>
      </c>
      <c r="I3028" s="3">
        <f>E3028+G3028+H3028</f>
        <v/>
      </c>
      <c r="J3028" s="3">
        <f>ROUND(MIN(IF(C3028="Técnico III",35,IF(C3028="Técnico II",28,IF(C3028="Técnico I",23,IF(C3028="JR",20,IF(C3028="Estágio",10,0))))),IF(C3028="Técnico III",SUMIFS($D:$D,$A:$A,$A3028,$B:$B,"&lt;&gt;Patrícia Karla de Sousa Araújo",$B:$B,"&lt;&gt;Lorena Dias de Araujo",$B:$B,"&lt;&gt;Lucas Luiz Romero")*(35/1083),IF(C3028="Técnico II",SUMIFS($D:$D,$A:$A,$A3028,$B:$B,"&lt;&gt;Patrícia Karla de Sousa Araújo",$B:$B,"&lt;&gt;Lorena Dias de Araujo",$B:$B,"&lt;&gt;Lucas Luiz Romero")*(28/1083),IF(C3028="Técnico I",SUMIFS($D:$D,$A:$A,$A3028,$B:$B,"&lt;&gt;Patrícia Karla de Sousa Araújo",$B:$B,"&lt;&gt;Lorena Dias de Araujo",$B:$B,"&lt;&gt;Lucas Luiz Romero")*(23/1083),IF(C3028="JR",SUMIFS($D:$D,$A:$A,$A3028,$B:$B,"&lt;&gt;Patrícia Karla de Sousa Araújo",$B:$B,"&lt;&gt;Lorena Dias de Araujo",$B:$B,"&lt;&gt;Lucas Luiz Romero")*(20/1083),IF(C3028="Estágio",SUMIFS($D:$D,$A:$A,$A3028,$B:$B,"&lt;&gt;Patrícia Karla de Sousa Araújo",$B:$B,"&lt;&gt;Lorena Dias de Araujo",$B:$B,"&lt;&gt;Lucas Luiz Romero")*(10/1083),0)))))),0)</f>
        <v/>
      </c>
      <c r="K3028" s="3">
        <f>I3028-J3028</f>
        <v/>
      </c>
      <c r="L3028" s="3">
        <f>IF(K3028&lt;-5,"CRÍTICO",IF(K3028&lt;0,"ATENÇÃO",IF(K3028&lt;=5,"OPORTUNO","MUITO BOM")))</f>
        <v/>
      </c>
      <c r="N3028" t="n">
        <v>92.68000000000001</v>
      </c>
      <c r="O3028" t="n">
        <v>27.77777777777778</v>
      </c>
    </row>
    <row r="3029" hidden="1">
      <c r="A3029" s="11" t="n">
        <v>46097</v>
      </c>
      <c r="B3029" t="inlineStr">
        <is>
          <t>Damyllis Lorraine de Oliveira Gonçalves</t>
        </is>
      </c>
      <c r="C3029" t="inlineStr">
        <is>
          <t>Técnico II</t>
        </is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s="3" t="n">
        <v>0</v>
      </c>
      <c r="J3029" s="3" t="n">
        <v>0</v>
      </c>
      <c r="K3029" s="3" t="n">
        <v>0</v>
      </c>
      <c r="L3029" s="3">
        <f>IF(K3029&lt;-5,"CRÍTICO",IF(K3029&lt;0,"ATENÇÃO",IF(K3029&lt;=5,"OPORTUNO","MUITO BOM")))</f>
        <v/>
      </c>
      <c r="N3029" t="n">
        <v>99.03</v>
      </c>
      <c r="O3029" t="n">
        <v>23.99150743099788</v>
      </c>
    </row>
    <row r="3030" hidden="1">
      <c r="A3030" s="11" t="n">
        <v>46097</v>
      </c>
      <c r="B3030" t="inlineStr">
        <is>
          <t>Daniel Gomes da Silva</t>
        </is>
      </c>
      <c r="C3030" t="inlineStr">
        <is>
          <t>Técnico I</t>
        </is>
      </c>
      <c r="D3030" t="n">
        <v>21</v>
      </c>
      <c r="E3030" t="n">
        <v>19</v>
      </c>
      <c r="F3030" t="n">
        <v>33.49</v>
      </c>
      <c r="G3030" t="n">
        <v>0</v>
      </c>
      <c r="H3030" t="n">
        <v>0</v>
      </c>
      <c r="I3030" s="3">
        <f>E3030+G3030+H3030</f>
        <v/>
      </c>
      <c r="J3030" s="3">
        <f>ROUND(MIN(IF(C3030="Técnico III",35,IF(C3030="Técnico II",28,IF(C3030="Técnico I",23,IF(C3030="JR",20,IF(C3030="Estágio",10,0))))),IF(C3030="Técnico III",SUMIFS($D:$D,$A:$A,$A3030,$B:$B,"&lt;&gt;Patrícia Karla de Sousa Araújo",$B:$B,"&lt;&gt;Lorena Dias de Araujo",$B:$B,"&lt;&gt;Lucas Luiz Romero")*(35/1083),IF(C3030="Técnico II",SUMIFS($D:$D,$A:$A,$A3030,$B:$B,"&lt;&gt;Patrícia Karla de Sousa Araújo",$B:$B,"&lt;&gt;Lorena Dias de Araujo",$B:$B,"&lt;&gt;Lucas Luiz Romero")*(28/1083),IF(C3030="Técnico I",SUMIFS($D:$D,$A:$A,$A3030,$B:$B,"&lt;&gt;Patrícia Karla de Sousa Araújo",$B:$B,"&lt;&gt;Lorena Dias de Araujo",$B:$B,"&lt;&gt;Lucas Luiz Romero")*(23/1083),IF(C3030="JR",SUMIFS($D:$D,$A:$A,$A3030,$B:$B,"&lt;&gt;Patrícia Karla de Sousa Araújo",$B:$B,"&lt;&gt;Lorena Dias de Araujo",$B:$B,"&lt;&gt;Lucas Luiz Romero")*(20/1083),IF(C3030="Estágio",SUMIFS($D:$D,$A:$A,$A3030,$B:$B,"&lt;&gt;Patrícia Karla de Sousa Araújo",$B:$B,"&lt;&gt;Lorena Dias de Araujo",$B:$B,"&lt;&gt;Lucas Luiz Romero")*(10/1083),0)))))),0)</f>
        <v/>
      </c>
      <c r="K3030" s="3">
        <f>I3030-J3030</f>
        <v/>
      </c>
      <c r="L3030" s="3">
        <f>IF(K3030&lt;-5,"CRÍTICO",IF(K3030&lt;0,"ATENÇÃO",IF(K3030&lt;=5,"OPORTUNO","MUITO BOM")))</f>
        <v/>
      </c>
      <c r="N3030" t="n">
        <v>98.41</v>
      </c>
      <c r="O3030" t="n">
        <v>28.13852813852814</v>
      </c>
    </row>
    <row r="3031" hidden="1">
      <c r="A3031" s="11" t="n">
        <v>46097</v>
      </c>
      <c r="B3031" t="inlineStr">
        <is>
          <t>Davylla Rodrigues Freitas Silva</t>
        </is>
      </c>
      <c r="C3031" t="inlineStr">
        <is>
          <t>Técnico III</t>
        </is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s="3" t="n">
        <v>0</v>
      </c>
      <c r="J3031" s="3" t="n">
        <v>0</v>
      </c>
      <c r="K3031" s="3" t="n">
        <v>0</v>
      </c>
      <c r="L3031" s="3">
        <f>IF(K3031&lt;-5,"CRÍTICO",IF(K3031&lt;0,"ATENÇÃO",IF(K3031&lt;=5,"OPORTUNO","MUITO BOM")))</f>
        <v/>
      </c>
      <c r="N3031" t="n">
        <v>98.73</v>
      </c>
      <c r="O3031" t="n">
        <v>29.14285714285714</v>
      </c>
    </row>
    <row r="3032" hidden="1">
      <c r="A3032" s="11" t="n">
        <v>46097</v>
      </c>
      <c r="B3032" t="inlineStr">
        <is>
          <t>Emilly Caylane Costa</t>
        </is>
      </c>
      <c r="C3032" t="inlineStr">
        <is>
          <t>Estágio</t>
        </is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s="3" t="n">
        <v>0</v>
      </c>
      <c r="J3032" s="3" t="n">
        <v>0</v>
      </c>
      <c r="K3032" s="3" t="n">
        <v>0</v>
      </c>
      <c r="L3032" s="3">
        <f>IF(K3032&lt;-5,"CRÍTICO",IF(K3032&lt;0,"ATENÇÃO",IF(K3032&lt;=5,"OPORTUNO","MUITO BOM")))</f>
        <v/>
      </c>
      <c r="N3032" t="n">
        <v>90.48</v>
      </c>
      <c r="O3032" t="n">
        <v>20.68965517241379</v>
      </c>
    </row>
    <row r="3033" hidden="1">
      <c r="A3033" s="11" t="n">
        <v>46097</v>
      </c>
      <c r="B3033" t="inlineStr">
        <is>
          <t>Emilly Kamilly Medeiros Miranda</t>
        </is>
      </c>
      <c r="C3033" t="inlineStr">
        <is>
          <t>Técnico II</t>
        </is>
      </c>
      <c r="D3033" t="n">
        <v>27</v>
      </c>
      <c r="E3033" t="n">
        <v>24</v>
      </c>
      <c r="F3033" t="n">
        <v>23.54</v>
      </c>
      <c r="G3033" t="n">
        <v>0</v>
      </c>
      <c r="H3033" t="n">
        <v>0</v>
      </c>
      <c r="I3033" s="3">
        <f>E3033+G3033+H3033</f>
        <v/>
      </c>
      <c r="J3033" s="3">
        <f>ROUND(MIN(IF(C3033="Técnico III",35,IF(C3033="Técnico II",28,IF(C3033="Técnico I",23,IF(C3033="JR",20,IF(C3033="Estágio",10,0))))),IF(C3033="Técnico III",SUMIFS($D:$D,$A:$A,$A3033,$B:$B,"&lt;&gt;Patrícia Karla de Sousa Araújo",$B:$B,"&lt;&gt;Lorena Dias de Araujo",$B:$B,"&lt;&gt;Lucas Luiz Romero")*(35/1083),IF(C3033="Técnico II",SUMIFS($D:$D,$A:$A,$A3033,$B:$B,"&lt;&gt;Patrícia Karla de Sousa Araújo",$B:$B,"&lt;&gt;Lorena Dias de Araujo",$B:$B,"&lt;&gt;Lucas Luiz Romero")*(28/1083),IF(C3033="Técnico I",SUMIFS($D:$D,$A:$A,$A3033,$B:$B,"&lt;&gt;Patrícia Karla de Sousa Araújo",$B:$B,"&lt;&gt;Lorena Dias de Araujo",$B:$B,"&lt;&gt;Lucas Luiz Romero")*(23/1083),IF(C3033="JR",SUMIFS($D:$D,$A:$A,$A3033,$B:$B,"&lt;&gt;Patrícia Karla de Sousa Araújo",$B:$B,"&lt;&gt;Lorena Dias de Araujo",$B:$B,"&lt;&gt;Lucas Luiz Romero")*(20/1083),IF(C3033="Estágio",SUMIFS($D:$D,$A:$A,$A3033,$B:$B,"&lt;&gt;Patrícia Karla de Sousa Araújo",$B:$B,"&lt;&gt;Lorena Dias de Araujo",$B:$B,"&lt;&gt;Lucas Luiz Romero")*(10/1083),0)))))),0)</f>
        <v/>
      </c>
      <c r="K3033" s="3">
        <f>I3033-J3033</f>
        <v/>
      </c>
      <c r="L3033" s="3">
        <f>IF(K3033&lt;-5,"CRÍTICO",IF(K3033&lt;0,"ATENÇÃO",IF(K3033&lt;=5,"OPORTUNO","MUITO BOM")))</f>
        <v/>
      </c>
      <c r="N3033" t="n">
        <v>98.06</v>
      </c>
      <c r="O3033" t="n">
        <v>24.78991596638656</v>
      </c>
    </row>
    <row r="3034" hidden="1">
      <c r="A3034" s="11" t="n">
        <v>46097</v>
      </c>
      <c r="B3034" t="inlineStr">
        <is>
          <t>Francielson de Oliveira</t>
        </is>
      </c>
      <c r="C3034" t="inlineStr">
        <is>
          <t>Técnico III</t>
        </is>
      </c>
      <c r="D3034" t="n">
        <v>26</v>
      </c>
      <c r="E3034" t="n">
        <v>24</v>
      </c>
      <c r="F3034" t="n">
        <v>18.45</v>
      </c>
      <c r="G3034" t="n">
        <v>0</v>
      </c>
      <c r="H3034" t="n">
        <v>0</v>
      </c>
      <c r="I3034" s="3">
        <f>E3034+G3034+H3034</f>
        <v/>
      </c>
      <c r="J3034" s="3">
        <f>ROUND(MIN(IF(C3034="Técnico III",35,IF(C3034="Técnico II",28,IF(C3034="Técnico I",23,IF(C3034="JR",20,IF(C3034="Estágio",10,0))))),IF(C3034="Técnico III",SUMIFS($D:$D,$A:$A,$A3034,$B:$B,"&lt;&gt;Patrícia Karla de Sousa Araújo",$B:$B,"&lt;&gt;Lorena Dias de Araujo",$B:$B,"&lt;&gt;Lucas Luiz Romero")*(35/1083),IF(C3034="Técnico II",SUMIFS($D:$D,$A:$A,$A3034,$B:$B,"&lt;&gt;Patrícia Karla de Sousa Araújo",$B:$B,"&lt;&gt;Lorena Dias de Araujo",$B:$B,"&lt;&gt;Lucas Luiz Romero")*(28/1083),IF(C3034="Técnico I",SUMIFS($D:$D,$A:$A,$A3034,$B:$B,"&lt;&gt;Patrícia Karla de Sousa Araújo",$B:$B,"&lt;&gt;Lorena Dias de Araujo",$B:$B,"&lt;&gt;Lucas Luiz Romero")*(23/1083),IF(C3034="JR",SUMIFS($D:$D,$A:$A,$A3034,$B:$B,"&lt;&gt;Patrícia Karla de Sousa Araújo",$B:$B,"&lt;&gt;Lorena Dias de Araujo",$B:$B,"&lt;&gt;Lucas Luiz Romero")*(20/1083),IF(C3034="Estágio",SUMIFS($D:$D,$A:$A,$A3034,$B:$B,"&lt;&gt;Patrícia Karla de Sousa Araújo",$B:$B,"&lt;&gt;Lorena Dias de Araujo",$B:$B,"&lt;&gt;Lucas Luiz Romero")*(10/1083),0)))))),0)</f>
        <v/>
      </c>
      <c r="K3034" s="3">
        <f>I3034-J3034</f>
        <v/>
      </c>
      <c r="L3034" s="3">
        <f>IF(K3034&lt;-5,"CRÍTICO",IF(K3034&lt;0,"ATENÇÃO",IF(K3034&lt;=5,"OPORTUNO","MUITO BOM")))</f>
        <v/>
      </c>
      <c r="N3034" t="n">
        <v>97.78</v>
      </c>
      <c r="O3034" t="n">
        <v>25.49407114624506</v>
      </c>
    </row>
    <row r="3035" hidden="1">
      <c r="A3035" s="11" t="n">
        <v>46097</v>
      </c>
      <c r="B3035" t="inlineStr">
        <is>
          <t>Francilene Ferreira de Jesus</t>
        </is>
      </c>
      <c r="C3035" t="inlineStr">
        <is>
          <t>Técnico II</t>
        </is>
      </c>
      <c r="D3035" t="n">
        <v>11</v>
      </c>
      <c r="E3035" t="n">
        <v>11</v>
      </c>
      <c r="F3035" t="n">
        <v>41.49</v>
      </c>
      <c r="G3035" t="n">
        <v>0</v>
      </c>
      <c r="H3035" t="n">
        <v>0</v>
      </c>
      <c r="I3035" s="3">
        <f>E3035+G3035+H3035</f>
        <v/>
      </c>
      <c r="J3035" s="3">
        <f>ROUND(MIN(IF(C3035="Técnico III",35,IF(C3035="Técnico II",28,IF(C3035="Técnico I",23,IF(C3035="JR",20,IF(C3035="Estágio",10,0))))),IF(C3035="Técnico III",SUMIFS($D:$D,$A:$A,$A3035,$B:$B,"&lt;&gt;Patrícia Karla de Sousa Araújo",$B:$B,"&lt;&gt;Lorena Dias de Araujo",$B:$B,"&lt;&gt;Lucas Luiz Romero")*(35/1083),IF(C3035="Técnico II",SUMIFS($D:$D,$A:$A,$A3035,$B:$B,"&lt;&gt;Patrícia Karla de Sousa Araújo",$B:$B,"&lt;&gt;Lorena Dias de Araujo",$B:$B,"&lt;&gt;Lucas Luiz Romero")*(28/1083),IF(C3035="Técnico I",SUMIFS($D:$D,$A:$A,$A3035,$B:$B,"&lt;&gt;Patrícia Karla de Sousa Araújo",$B:$B,"&lt;&gt;Lorena Dias de Araujo",$B:$B,"&lt;&gt;Lucas Luiz Romero")*(23/1083),IF(C3035="JR",SUMIFS($D:$D,$A:$A,$A3035,$B:$B,"&lt;&gt;Patrícia Karla de Sousa Araújo",$B:$B,"&lt;&gt;Lorena Dias de Araujo",$B:$B,"&lt;&gt;Lucas Luiz Romero")*(20/1083),IF(C3035="Estágio",SUMIFS($D:$D,$A:$A,$A3035,$B:$B,"&lt;&gt;Patrícia Karla de Sousa Araújo",$B:$B,"&lt;&gt;Lorena Dias de Araujo",$B:$B,"&lt;&gt;Lucas Luiz Romero")*(10/1083),0)))))),0)</f>
        <v/>
      </c>
      <c r="K3035" s="3">
        <f>I3035-J3035</f>
        <v/>
      </c>
      <c r="L3035" s="3">
        <f>IF(K3035&lt;-5,"CRÍTICO",IF(K3035&lt;0,"ATENÇÃO",IF(K3035&lt;=5,"OPORTUNO","MUITO BOM")))</f>
        <v/>
      </c>
      <c r="N3035" t="n">
        <v>98.02</v>
      </c>
      <c r="O3035" t="n">
        <v>23.48484848484848</v>
      </c>
    </row>
    <row r="3036" hidden="1">
      <c r="A3036" s="11" t="n">
        <v>46129</v>
      </c>
      <c r="B3036" t="inlineStr">
        <is>
          <t>Gabriel Gomes de Andrade</t>
        </is>
      </c>
      <c r="C3036" t="inlineStr">
        <is>
          <t>Técnico I</t>
        </is>
      </c>
      <c r="D3036" t="n">
        <v>24</v>
      </c>
      <c r="E3036" t="n">
        <v>21</v>
      </c>
      <c r="F3036" t="n">
        <v>17.01</v>
      </c>
      <c r="G3036" t="n">
        <v>0</v>
      </c>
      <c r="H3036" t="n">
        <v>0</v>
      </c>
      <c r="I3036" s="3">
        <f>E3036+G3036+H3036</f>
        <v/>
      </c>
      <c r="J3036" s="3">
        <f>ROUND(MIN(IF(C3036="Técnico III",35,IF(C3036="Técnico II",28,IF(C3036="Técnico I",23,IF(C3036="JR",20,IF(C3036="Estágio",10,0))))),IF(C3036="Técnico III",SUMIFS($D:$D,$A:$A,$A3036,$B:$B,"&lt;&gt;Patrícia Karla de Sousa Araújo",$B:$B,"&lt;&gt;Lorena Dias de Araujo",$B:$B,"&lt;&gt;Lucas Luiz Romero")*(35/1083),IF(C3036="Técnico II",SUMIFS($D:$D,$A:$A,$A3036,$B:$B,"&lt;&gt;Patrícia Karla de Sousa Araújo",$B:$B,"&lt;&gt;Lorena Dias de Araujo",$B:$B,"&lt;&gt;Lucas Luiz Romero")*(28/1083),IF(C3036="Técnico I",SUMIFS($D:$D,$A:$A,$A3036,$B:$B,"&lt;&gt;Patrícia Karla de Sousa Araújo",$B:$B,"&lt;&gt;Lorena Dias de Araujo",$B:$B,"&lt;&gt;Lucas Luiz Romero")*(23/1083),IF(C3036="JR",SUMIFS($D:$D,$A:$A,$A3036,$B:$B,"&lt;&gt;Patrícia Karla de Sousa Araújo",$B:$B,"&lt;&gt;Lorena Dias de Araujo",$B:$B,"&lt;&gt;Lucas Luiz Romero")*(20/1083),IF(C3036="Estágio",SUMIFS($D:$D,$A:$A,$A3036,$B:$B,"&lt;&gt;Patrícia Karla de Sousa Araújo",$B:$B,"&lt;&gt;Lorena Dias de Araujo",$B:$B,"&lt;&gt;Lucas Luiz Romero")*(10/1083),0)))))),0)</f>
        <v/>
      </c>
      <c r="K3036" s="3">
        <f>I3036-J3036</f>
        <v/>
      </c>
      <c r="L3036" s="3">
        <f>IF(K3036&lt;-5,"CRÍTICO",IF(K3036&lt;0,"ATENÇÃO",IF(K3036&lt;=5,"OPORTUNO","MUITO BOM")))</f>
        <v/>
      </c>
      <c r="N3036" t="n">
        <v>99.28</v>
      </c>
      <c r="O3036" t="n">
        <v>27.68924302788844</v>
      </c>
    </row>
    <row r="3037" hidden="1">
      <c r="A3037" s="11" t="n">
        <v>46097</v>
      </c>
      <c r="B3037" t="inlineStr">
        <is>
          <t>Isabella Borges de Oliveira</t>
        </is>
      </c>
      <c r="C3037" t="inlineStr">
        <is>
          <t>Técnico II</t>
        </is>
      </c>
      <c r="D3037" t="n">
        <v>23</v>
      </c>
      <c r="E3037" t="n">
        <v>22</v>
      </c>
      <c r="F3037" t="n">
        <v>22.16</v>
      </c>
      <c r="G3037" t="n">
        <v>0</v>
      </c>
      <c r="H3037" t="n">
        <v>0</v>
      </c>
      <c r="I3037" s="3">
        <f>E3037+G3037+H3037</f>
        <v/>
      </c>
      <c r="J3037" s="3">
        <f>ROUND(MIN(IF(C3037="Técnico III",35,IF(C3037="Técnico II",28,IF(C3037="Técnico I",23,IF(C3037="JR",20,IF(C3037="Estágio",10,0))))),IF(C3037="Técnico III",SUMIFS($D:$D,$A:$A,$A3037,$B:$B,"&lt;&gt;Patrícia Karla de Sousa Araújo",$B:$B,"&lt;&gt;Lorena Dias de Araujo",$B:$B,"&lt;&gt;Lucas Luiz Romero")*(35/1083),IF(C3037="Técnico II",SUMIFS($D:$D,$A:$A,$A3037,$B:$B,"&lt;&gt;Patrícia Karla de Sousa Araújo",$B:$B,"&lt;&gt;Lorena Dias de Araujo",$B:$B,"&lt;&gt;Lucas Luiz Romero")*(28/1083),IF(C3037="Técnico I",SUMIFS($D:$D,$A:$A,$A3037,$B:$B,"&lt;&gt;Patrícia Karla de Sousa Araújo",$B:$B,"&lt;&gt;Lorena Dias de Araujo",$B:$B,"&lt;&gt;Lucas Luiz Romero")*(23/1083),IF(C3037="JR",SUMIFS($D:$D,$A:$A,$A3037,$B:$B,"&lt;&gt;Patrícia Karla de Sousa Araújo",$B:$B,"&lt;&gt;Lorena Dias de Araujo",$B:$B,"&lt;&gt;Lucas Luiz Romero")*(20/1083),IF(C3037="Estágio",SUMIFS($D:$D,$A:$A,$A3037,$B:$B,"&lt;&gt;Patrícia Karla de Sousa Araújo",$B:$B,"&lt;&gt;Lorena Dias de Araujo",$B:$B,"&lt;&gt;Lucas Luiz Romero")*(10/1083),0)))))),0)</f>
        <v/>
      </c>
      <c r="K3037" s="3">
        <f>I3037-J3037</f>
        <v/>
      </c>
      <c r="L3037" s="3">
        <f>IF(K3037&lt;-5,"CRÍTICO",IF(K3037&lt;0,"ATENÇÃO",IF(K3037&lt;=5,"OPORTUNO","MUITO BOM")))</f>
        <v/>
      </c>
      <c r="N3037" t="n">
        <v>100</v>
      </c>
      <c r="O3037" t="n">
        <v>27.04918032786885</v>
      </c>
    </row>
    <row r="3038" hidden="1">
      <c r="A3038" s="11" t="n">
        <v>46097</v>
      </c>
      <c r="B3038" t="inlineStr">
        <is>
          <t>Janaina Lima dos Reis Urany</t>
        </is>
      </c>
      <c r="C3038" t="inlineStr">
        <is>
          <t>Técnico III</t>
        </is>
      </c>
      <c r="D3038" t="n">
        <v>50</v>
      </c>
      <c r="E3038" t="n">
        <v>44</v>
      </c>
      <c r="F3038" t="n">
        <v>11.41</v>
      </c>
      <c r="G3038" t="n">
        <v>0</v>
      </c>
      <c r="H3038" t="n">
        <v>0</v>
      </c>
      <c r="I3038" s="3">
        <f>E3038+G3038+H3038</f>
        <v/>
      </c>
      <c r="J3038" s="3">
        <f>ROUND(MIN(IF(C3038="Técnico III",35,IF(C3038="Técnico II",28,IF(C3038="Técnico I",23,IF(C3038="JR",20,IF(C3038="Estágio",10,0))))),IF(C3038="Técnico III",SUMIFS($D:$D,$A:$A,$A3038,$B:$B,"&lt;&gt;Patrícia Karla de Sousa Araújo",$B:$B,"&lt;&gt;Lorena Dias de Araujo",$B:$B,"&lt;&gt;Lucas Luiz Romero")*(35/1083),IF(C3038="Técnico II",SUMIFS($D:$D,$A:$A,$A3038,$B:$B,"&lt;&gt;Patrícia Karla de Sousa Araújo",$B:$B,"&lt;&gt;Lorena Dias de Araujo",$B:$B,"&lt;&gt;Lucas Luiz Romero")*(28/1083),IF(C3038="Técnico I",SUMIFS($D:$D,$A:$A,$A3038,$B:$B,"&lt;&gt;Patrícia Karla de Sousa Araújo",$B:$B,"&lt;&gt;Lorena Dias de Araujo",$B:$B,"&lt;&gt;Lucas Luiz Romero")*(23/1083),IF(C3038="JR",SUMIFS($D:$D,$A:$A,$A3038,$B:$B,"&lt;&gt;Patrícia Karla de Sousa Araújo",$B:$B,"&lt;&gt;Lorena Dias de Araujo",$B:$B,"&lt;&gt;Lucas Luiz Romero")*(20/1083),IF(C3038="Estágio",SUMIFS($D:$D,$A:$A,$A3038,$B:$B,"&lt;&gt;Patrícia Karla de Sousa Araújo",$B:$B,"&lt;&gt;Lorena Dias de Araujo",$B:$B,"&lt;&gt;Lucas Luiz Romero")*(10/1083),0)))))),0)</f>
        <v/>
      </c>
      <c r="K3038" s="3">
        <f>I3038-J3038</f>
        <v/>
      </c>
      <c r="L3038" s="3">
        <f>IF(K3038&lt;-5,"CRÍTICO",IF(K3038&lt;0,"ATENÇÃO",IF(K3038&lt;=5,"OPORTUNO","MUITO BOM")))</f>
        <v/>
      </c>
      <c r="N3038" t="n">
        <v>97.83</v>
      </c>
      <c r="O3038" t="n">
        <v>26.31578947368421</v>
      </c>
    </row>
    <row r="3039" hidden="1">
      <c r="A3039" s="11" t="n">
        <v>46097</v>
      </c>
      <c r="B3039" t="inlineStr">
        <is>
          <t>Jaqueline Evangelista da Silva Martins</t>
        </is>
      </c>
      <c r="C3039" t="inlineStr">
        <is>
          <t>Técnico III</t>
        </is>
      </c>
      <c r="D3039" t="n">
        <v>19</v>
      </c>
      <c r="E3039" t="n">
        <v>19</v>
      </c>
      <c r="F3039" t="n">
        <v>12.17</v>
      </c>
      <c r="G3039" t="n">
        <v>0</v>
      </c>
      <c r="H3039" t="n">
        <v>0</v>
      </c>
      <c r="I3039" s="3">
        <f>E3039+G3039+H3039</f>
        <v/>
      </c>
      <c r="J3039" s="3">
        <f>ROUND(MIN(IF(C3039="Técnico III",35,IF(C3039="Técnico II",28,IF(C3039="Técnico I",23,IF(C3039="JR",20,IF(C3039="Estágio",10,0))))),IF(C3039="Técnico III",SUMIFS($D:$D,$A:$A,$A3039,$B:$B,"&lt;&gt;Patrícia Karla de Sousa Araújo",$B:$B,"&lt;&gt;Lorena Dias de Araujo",$B:$B,"&lt;&gt;Lucas Luiz Romero")*(35/1083),IF(C3039="Técnico II",SUMIFS($D:$D,$A:$A,$A3039,$B:$B,"&lt;&gt;Patrícia Karla de Sousa Araújo",$B:$B,"&lt;&gt;Lorena Dias de Araujo",$B:$B,"&lt;&gt;Lucas Luiz Romero")*(28/1083),IF(C3039="Técnico I",SUMIFS($D:$D,$A:$A,$A3039,$B:$B,"&lt;&gt;Patrícia Karla de Sousa Araújo",$B:$B,"&lt;&gt;Lorena Dias de Araujo",$B:$B,"&lt;&gt;Lucas Luiz Romero")*(23/1083),IF(C3039="JR",SUMIFS($D:$D,$A:$A,$A3039,$B:$B,"&lt;&gt;Patrícia Karla de Sousa Araújo",$B:$B,"&lt;&gt;Lorena Dias de Araujo",$B:$B,"&lt;&gt;Lucas Luiz Romero")*(20/1083),IF(C3039="Estágio",SUMIFS($D:$D,$A:$A,$A3039,$B:$B,"&lt;&gt;Patrícia Karla de Sousa Araújo",$B:$B,"&lt;&gt;Lorena Dias de Araujo",$B:$B,"&lt;&gt;Lucas Luiz Romero")*(10/1083),0)))))),0)</f>
        <v/>
      </c>
      <c r="K3039" s="3">
        <f>I3039-J3039</f>
        <v/>
      </c>
      <c r="L3039" s="3">
        <f>IF(K3039&lt;-5,"CRÍTICO",IF(K3039&lt;0,"ATENÇÃO",IF(K3039&lt;=5,"OPORTUNO","MUITO BOM")))</f>
        <v/>
      </c>
      <c r="N3039" t="n">
        <v>100</v>
      </c>
      <c r="O3039" t="n">
        <v>26.70157068062827</v>
      </c>
    </row>
    <row r="3040" hidden="1">
      <c r="A3040" s="11" t="n">
        <v>46097</v>
      </c>
      <c r="B3040" t="inlineStr">
        <is>
          <t>Jessica Faria da Silveira</t>
        </is>
      </c>
      <c r="C3040" t="inlineStr">
        <is>
          <t>Técnico II</t>
        </is>
      </c>
      <c r="D3040" t="n">
        <v>9</v>
      </c>
      <c r="E3040" t="n">
        <v>7</v>
      </c>
      <c r="F3040" t="n">
        <v>12.08</v>
      </c>
      <c r="G3040" t="n">
        <v>0</v>
      </c>
      <c r="H3040" t="n">
        <v>0</v>
      </c>
      <c r="I3040" s="3">
        <f>E3040+G3040+H3040</f>
        <v/>
      </c>
      <c r="J3040" s="3">
        <f>ROUND(MIN(IF(C3040="Técnico III",35,IF(C3040="Técnico II",28,IF(C3040="Técnico I",23,IF(C3040="JR",20,IF(C3040="Estágio",10,0))))),IF(C3040="Técnico III",SUMIFS($D:$D,$A:$A,$A3040,$B:$B,"&lt;&gt;Patrícia Karla de Sousa Araújo",$B:$B,"&lt;&gt;Lorena Dias de Araujo",$B:$B,"&lt;&gt;Lucas Luiz Romero")*(35/1083),IF(C3040="Técnico II",SUMIFS($D:$D,$A:$A,$A3040,$B:$B,"&lt;&gt;Patrícia Karla de Sousa Araújo",$B:$B,"&lt;&gt;Lorena Dias de Araujo",$B:$B,"&lt;&gt;Lucas Luiz Romero")*(28/1083),IF(C3040="Técnico I",SUMIFS($D:$D,$A:$A,$A3040,$B:$B,"&lt;&gt;Patrícia Karla de Sousa Araújo",$B:$B,"&lt;&gt;Lorena Dias de Araujo",$B:$B,"&lt;&gt;Lucas Luiz Romero")*(23/1083),IF(C3040="JR",SUMIFS($D:$D,$A:$A,$A3040,$B:$B,"&lt;&gt;Patrícia Karla de Sousa Araújo",$B:$B,"&lt;&gt;Lorena Dias de Araujo",$B:$B,"&lt;&gt;Lucas Luiz Romero")*(20/1083),IF(C3040="Estágio",SUMIFS($D:$D,$A:$A,$A3040,$B:$B,"&lt;&gt;Patrícia Karla de Sousa Araújo",$B:$B,"&lt;&gt;Lorena Dias de Araujo",$B:$B,"&lt;&gt;Lucas Luiz Romero")*(10/1083),0)))))),0)</f>
        <v/>
      </c>
      <c r="K3040" s="3">
        <f>I3040-J3040</f>
        <v/>
      </c>
      <c r="L3040" s="3">
        <f>IF(K3040&lt;-5,"CRÍTICO",IF(K3040&lt;0,"ATENÇÃO",IF(K3040&lt;=5,"OPORTUNO","MUITO BOM")))</f>
        <v/>
      </c>
      <c r="N3040" t="n">
        <v>97.47</v>
      </c>
      <c r="O3040" t="n">
        <v>22.88732394366197</v>
      </c>
    </row>
    <row r="3041" hidden="1">
      <c r="A3041" s="11" t="n">
        <v>46097</v>
      </c>
      <c r="B3041" t="inlineStr">
        <is>
          <t>Jéssica Fé Moura</t>
        </is>
      </c>
      <c r="C3041" t="inlineStr">
        <is>
          <t>Técnico III</t>
        </is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s="3" t="n">
        <v>0</v>
      </c>
      <c r="J3041" s="3" t="n">
        <v>0</v>
      </c>
      <c r="K3041" s="3" t="n">
        <v>0</v>
      </c>
      <c r="L3041" s="3">
        <f>IF(K3041&lt;-5,"CRÍTICO",IF(K3041&lt;0,"ATENÇÃO",IF(K3041&lt;=5,"OPORTUNO","MUITO BOM")))</f>
        <v/>
      </c>
      <c r="N3041" t="n">
        <v>0</v>
      </c>
      <c r="O3041" t="n">
        <v>0</v>
      </c>
    </row>
    <row r="3042" hidden="1">
      <c r="A3042" s="11" t="n">
        <v>46097</v>
      </c>
      <c r="B3042" t="inlineStr">
        <is>
          <t>Karina Gonçalves Martins</t>
        </is>
      </c>
      <c r="C3042" t="inlineStr">
        <is>
          <t>JR</t>
        </is>
      </c>
      <c r="D3042" t="n">
        <v>6</v>
      </c>
      <c r="E3042" t="n">
        <v>6</v>
      </c>
      <c r="F3042" t="n">
        <v>42.26</v>
      </c>
      <c r="G3042" t="n">
        <v>0</v>
      </c>
      <c r="H3042" t="n">
        <v>0</v>
      </c>
      <c r="I3042" s="3">
        <f>E3042+G3042+H3042</f>
        <v/>
      </c>
      <c r="J3042" s="3">
        <f>ROUND(MIN(IF(C3042="Técnico III",35,IF(C3042="Técnico II",28,IF(C3042="Técnico I",23,IF(C3042="JR",20,IF(C3042="Estágio",10,0))))),IF(C3042="Técnico III",SUMIFS($D:$D,$A:$A,$A3042,$B:$B,"&lt;&gt;Patrícia Karla de Sousa Araújo",$B:$B,"&lt;&gt;Lorena Dias de Araujo",$B:$B,"&lt;&gt;Lucas Luiz Romero")*(35/1083),IF(C3042="Técnico II",SUMIFS($D:$D,$A:$A,$A3042,$B:$B,"&lt;&gt;Patrícia Karla de Sousa Araújo",$B:$B,"&lt;&gt;Lorena Dias de Araujo",$B:$B,"&lt;&gt;Lucas Luiz Romero")*(28/1083),IF(C3042="Técnico I",SUMIFS($D:$D,$A:$A,$A3042,$B:$B,"&lt;&gt;Patrícia Karla de Sousa Araújo",$B:$B,"&lt;&gt;Lorena Dias de Araujo",$B:$B,"&lt;&gt;Lucas Luiz Romero")*(23/1083),IF(C3042="JR",SUMIFS($D:$D,$A:$A,$A3042,$B:$B,"&lt;&gt;Patrícia Karla de Sousa Araújo",$B:$B,"&lt;&gt;Lorena Dias de Araujo",$B:$B,"&lt;&gt;Lucas Luiz Romero")*(20/1083),IF(C3042="Estágio",SUMIFS($D:$D,$A:$A,$A3042,$B:$B,"&lt;&gt;Patrícia Karla de Sousa Araújo",$B:$B,"&lt;&gt;Lorena Dias de Araujo",$B:$B,"&lt;&gt;Lucas Luiz Romero")*(10/1083),0)))))),0)</f>
        <v/>
      </c>
      <c r="K3042" s="3">
        <f>I3042-J3042</f>
        <v/>
      </c>
      <c r="L3042" s="3">
        <f>IF(K3042&lt;-5,"CRÍTICO",IF(K3042&lt;0,"ATENÇÃO",IF(K3042&lt;=5,"OPORTUNO","MUITO BOM")))</f>
        <v/>
      </c>
      <c r="N3042" t="n">
        <v>98.31</v>
      </c>
      <c r="O3042" t="n">
        <v>24.92012779552715</v>
      </c>
    </row>
    <row r="3043" hidden="1">
      <c r="A3043" s="11" t="n">
        <v>46097</v>
      </c>
      <c r="B3043" t="inlineStr">
        <is>
          <t>Kerollen Cristielly de Jesus Siqueira</t>
        </is>
      </c>
      <c r="C3043" t="inlineStr">
        <is>
          <t>Técnico III</t>
        </is>
      </c>
      <c r="D3043" t="n">
        <v>3</v>
      </c>
      <c r="E3043" t="n">
        <v>3</v>
      </c>
      <c r="F3043" t="n">
        <v>13.24</v>
      </c>
      <c r="G3043" t="n">
        <v>0</v>
      </c>
      <c r="H3043" t="n">
        <v>0</v>
      </c>
      <c r="I3043" s="3">
        <f>E3043+G3043+H3043</f>
        <v/>
      </c>
      <c r="J3043" s="3">
        <f>ROUND(MIN(IF(C3043="Técnico III",35,IF(C3043="Técnico II",28,IF(C3043="Técnico I",23,IF(C3043="JR",20,IF(C3043="Estágio",10,0))))),IF(C3043="Técnico III",SUMIFS($D:$D,$A:$A,$A3043,$B:$B,"&lt;&gt;Patrícia Karla de Sousa Araújo",$B:$B,"&lt;&gt;Lorena Dias de Araujo",$B:$B,"&lt;&gt;Lucas Luiz Romero")*(35/1083),IF(C3043="Técnico II",SUMIFS($D:$D,$A:$A,$A3043,$B:$B,"&lt;&gt;Patrícia Karla de Sousa Araújo",$B:$B,"&lt;&gt;Lorena Dias de Araujo",$B:$B,"&lt;&gt;Lucas Luiz Romero")*(28/1083),IF(C3043="Técnico I",SUMIFS($D:$D,$A:$A,$A3043,$B:$B,"&lt;&gt;Patrícia Karla de Sousa Araújo",$B:$B,"&lt;&gt;Lorena Dias de Araujo",$B:$B,"&lt;&gt;Lucas Luiz Romero")*(23/1083),IF(C3043="JR",SUMIFS($D:$D,$A:$A,$A3043,$B:$B,"&lt;&gt;Patrícia Karla de Sousa Araújo",$B:$B,"&lt;&gt;Lorena Dias de Araujo",$B:$B,"&lt;&gt;Lucas Luiz Romero")*(20/1083),IF(C3043="Estágio",SUMIFS($D:$D,$A:$A,$A3043,$B:$B,"&lt;&gt;Patrícia Karla de Sousa Araújo",$B:$B,"&lt;&gt;Lorena Dias de Araujo",$B:$B,"&lt;&gt;Lucas Luiz Romero")*(10/1083),0)))))),0)</f>
        <v/>
      </c>
      <c r="K3043" s="3">
        <f>I3043-J3043</f>
        <v/>
      </c>
      <c r="L3043" s="3">
        <f>IF(K3043&lt;-5,"CRÍTICO",IF(K3043&lt;0,"ATENÇÃO",IF(K3043&lt;=5,"OPORTUNO","MUITO BOM")))</f>
        <v/>
      </c>
      <c r="N3043" t="n">
        <v>96.81</v>
      </c>
      <c r="O3043" t="n">
        <v>32.36514522821577</v>
      </c>
    </row>
    <row r="3044" hidden="1">
      <c r="A3044" s="11" t="n">
        <v>46097</v>
      </c>
      <c r="B3044" t="inlineStr">
        <is>
          <t>Leandro de Souza Silva</t>
        </is>
      </c>
      <c r="C3044" t="inlineStr">
        <is>
          <t>JR</t>
        </is>
      </c>
      <c r="D3044" t="n">
        <v>9</v>
      </c>
      <c r="E3044" t="n">
        <v>8</v>
      </c>
      <c r="F3044" t="n">
        <v>22.27</v>
      </c>
      <c r="G3044" t="n">
        <v>0</v>
      </c>
      <c r="H3044" t="n">
        <v>0</v>
      </c>
      <c r="I3044" s="3">
        <f>E3044+G3044+H3044</f>
        <v/>
      </c>
      <c r="J3044" s="3">
        <f>ROUND(MIN(IF(C3044="Técnico III",35,IF(C3044="Técnico II",28,IF(C3044="Técnico I",23,IF(C3044="JR",20,IF(C3044="Estágio",10,0))))),IF(C3044="Técnico III",SUMIFS($D:$D,$A:$A,$A3044,$B:$B,"&lt;&gt;Patrícia Karla de Sousa Araújo",$B:$B,"&lt;&gt;Lorena Dias de Araujo",$B:$B,"&lt;&gt;Lucas Luiz Romero")*(35/1083),IF(C3044="Técnico II",SUMIFS($D:$D,$A:$A,$A3044,$B:$B,"&lt;&gt;Patrícia Karla de Sousa Araújo",$B:$B,"&lt;&gt;Lorena Dias de Araujo",$B:$B,"&lt;&gt;Lucas Luiz Romero")*(28/1083),IF(C3044="Técnico I",SUMIFS($D:$D,$A:$A,$A3044,$B:$B,"&lt;&gt;Patrícia Karla de Sousa Araújo",$B:$B,"&lt;&gt;Lorena Dias de Araujo",$B:$B,"&lt;&gt;Lucas Luiz Romero")*(23/1083),IF(C3044="JR",SUMIFS($D:$D,$A:$A,$A3044,$B:$B,"&lt;&gt;Patrícia Karla de Sousa Araújo",$B:$B,"&lt;&gt;Lorena Dias de Araujo",$B:$B,"&lt;&gt;Lucas Luiz Romero")*(20/1083),IF(C3044="Estágio",SUMIFS($D:$D,$A:$A,$A3044,$B:$B,"&lt;&gt;Patrícia Karla de Sousa Araújo",$B:$B,"&lt;&gt;Lorena Dias de Araujo",$B:$B,"&lt;&gt;Lucas Luiz Romero")*(10/1083),0)))))),0)</f>
        <v/>
      </c>
      <c r="K3044" s="3">
        <f>I3044-J3044</f>
        <v/>
      </c>
      <c r="L3044" s="3">
        <f>IF(K3044&lt;-5,"CRÍTICO",IF(K3044&lt;0,"ATENÇÃO",IF(K3044&lt;=5,"OPORTUNO","MUITO BOM")))</f>
        <v/>
      </c>
      <c r="N3044" t="n">
        <v>100</v>
      </c>
      <c r="O3044" t="n">
        <v>26.47058823529412</v>
      </c>
    </row>
    <row r="3045" hidden="1">
      <c r="A3045" s="11" t="n">
        <v>46097</v>
      </c>
      <c r="B3045" t="inlineStr">
        <is>
          <t>Leandro Oliveira de Sousa</t>
        </is>
      </c>
      <c r="C3045" t="inlineStr">
        <is>
          <t>Técnico III</t>
        </is>
      </c>
      <c r="D3045" t="n">
        <v>17</v>
      </c>
      <c r="E3045" t="n">
        <v>17</v>
      </c>
      <c r="F3045" t="n">
        <v>18.47</v>
      </c>
      <c r="G3045" t="n">
        <v>0</v>
      </c>
      <c r="H3045" t="n">
        <v>0</v>
      </c>
      <c r="I3045" s="3">
        <f>E3045+G3045+H3045</f>
        <v/>
      </c>
      <c r="J3045" s="3">
        <f>ROUND(MIN(IF(C3045="Técnico III",35,IF(C3045="Técnico II",28,IF(C3045="Técnico I",23,IF(C3045="JR",20,IF(C3045="Estágio",10,0))))),IF(C3045="Técnico III",SUMIFS($D:$D,$A:$A,$A3045,$B:$B,"&lt;&gt;Patrícia Karla de Sousa Araújo",$B:$B,"&lt;&gt;Lorena Dias de Araujo",$B:$B,"&lt;&gt;Lucas Luiz Romero")*(35/1083),IF(C3045="Técnico II",SUMIFS($D:$D,$A:$A,$A3045,$B:$B,"&lt;&gt;Patrícia Karla de Sousa Araújo",$B:$B,"&lt;&gt;Lorena Dias de Araujo",$B:$B,"&lt;&gt;Lucas Luiz Romero")*(28/1083),IF(C3045="Técnico I",SUMIFS($D:$D,$A:$A,$A3045,$B:$B,"&lt;&gt;Patrícia Karla de Sousa Araújo",$B:$B,"&lt;&gt;Lorena Dias de Araujo",$B:$B,"&lt;&gt;Lucas Luiz Romero")*(23/1083),IF(C3045="JR",SUMIFS($D:$D,$A:$A,$A3045,$B:$B,"&lt;&gt;Patrícia Karla de Sousa Araújo",$B:$B,"&lt;&gt;Lorena Dias de Araujo",$B:$B,"&lt;&gt;Lucas Luiz Romero")*(20/1083),IF(C3045="Estágio",SUMIFS($D:$D,$A:$A,$A3045,$B:$B,"&lt;&gt;Patrícia Karla de Sousa Araújo",$B:$B,"&lt;&gt;Lorena Dias de Araujo",$B:$B,"&lt;&gt;Lucas Luiz Romero")*(10/1083),0)))))),0)</f>
        <v/>
      </c>
      <c r="K3045" s="3">
        <f>I3045-J3045</f>
        <v/>
      </c>
      <c r="L3045" s="3">
        <f>IF(K3045&lt;-5,"CRÍTICO",IF(K3045&lt;0,"ATENÇÃO",IF(K3045&lt;=5,"OPORTUNO","MUITO BOM")))</f>
        <v/>
      </c>
      <c r="N3045" t="n">
        <v>100</v>
      </c>
      <c r="O3045" t="n">
        <v>28.49002849002849</v>
      </c>
    </row>
    <row r="3046" hidden="1">
      <c r="A3046" s="11" t="n">
        <v>46097</v>
      </c>
      <c r="B3046" t="inlineStr">
        <is>
          <t>Lizandra Gomes Duarte</t>
        </is>
      </c>
      <c r="C3046" t="inlineStr">
        <is>
          <t>Técnico II</t>
        </is>
      </c>
      <c r="D3046" t="n">
        <v>29</v>
      </c>
      <c r="E3046" t="n">
        <v>27</v>
      </c>
      <c r="F3046" t="n">
        <v>21.55</v>
      </c>
      <c r="G3046" t="n">
        <v>0</v>
      </c>
      <c r="H3046" t="n">
        <v>0</v>
      </c>
      <c r="I3046" s="3">
        <f>E3046+G3046+H3046</f>
        <v/>
      </c>
      <c r="J3046" s="3">
        <f>ROUND(MIN(IF(C3046="Técnico III",35,IF(C3046="Técnico II",28,IF(C3046="Técnico I",23,IF(C3046="JR",20,IF(C3046="Estágio",10,0))))),IF(C3046="Técnico III",SUMIFS($D:$D,$A:$A,$A3046,$B:$B,"&lt;&gt;Patrícia Karla de Sousa Araújo",$B:$B,"&lt;&gt;Lorena Dias de Araujo",$B:$B,"&lt;&gt;Lucas Luiz Romero")*(35/1083),IF(C3046="Técnico II",SUMIFS($D:$D,$A:$A,$A3046,$B:$B,"&lt;&gt;Patrícia Karla de Sousa Araújo",$B:$B,"&lt;&gt;Lorena Dias de Araujo",$B:$B,"&lt;&gt;Lucas Luiz Romero")*(28/1083),IF(C3046="Técnico I",SUMIFS($D:$D,$A:$A,$A3046,$B:$B,"&lt;&gt;Patrícia Karla de Sousa Araújo",$B:$B,"&lt;&gt;Lorena Dias de Araujo",$B:$B,"&lt;&gt;Lucas Luiz Romero")*(23/1083),IF(C3046="JR",SUMIFS($D:$D,$A:$A,$A3046,$B:$B,"&lt;&gt;Patrícia Karla de Sousa Araújo",$B:$B,"&lt;&gt;Lorena Dias de Araujo",$B:$B,"&lt;&gt;Lucas Luiz Romero")*(20/1083),IF(C3046="Estágio",SUMIFS($D:$D,$A:$A,$A3046,$B:$B,"&lt;&gt;Patrícia Karla de Sousa Araújo",$B:$B,"&lt;&gt;Lorena Dias de Araujo",$B:$B,"&lt;&gt;Lucas Luiz Romero")*(10/1083),0)))))),0)</f>
        <v/>
      </c>
      <c r="K3046" s="3">
        <f>I3046-J3046</f>
        <v/>
      </c>
      <c r="L3046" s="3">
        <f>IF(K3046&lt;-5,"CRÍTICO",IF(K3046&lt;0,"ATENÇÃO",IF(K3046&lt;=5,"OPORTUNO","MUITO BOM")))</f>
        <v/>
      </c>
      <c r="N3046" t="n">
        <v>99.14</v>
      </c>
      <c r="O3046" t="n">
        <v>27.2289156626506</v>
      </c>
    </row>
    <row r="3047" hidden="1">
      <c r="A3047" s="11" t="n">
        <v>46097</v>
      </c>
      <c r="B3047" t="inlineStr">
        <is>
          <t>Lorena Dias de Araujo</t>
        </is>
      </c>
      <c r="C3047" t="inlineStr">
        <is>
          <t>Técnico II</t>
        </is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s="3" t="n">
        <v>0</v>
      </c>
      <c r="J3047" s="3" t="n">
        <v>0</v>
      </c>
      <c r="K3047" s="3" t="n">
        <v>0</v>
      </c>
      <c r="L3047" s="3">
        <f>IF(K3047&lt;-5,"CRÍTICO",IF(K3047&lt;0,"ATENÇÃO",IF(K3047&lt;=5,"OPORTUNO","MUITO BOM")))</f>
        <v/>
      </c>
      <c r="N3047" t="n">
        <v>97.52</v>
      </c>
      <c r="O3047" t="n">
        <v>28.2051282051282</v>
      </c>
    </row>
    <row r="3048" hidden="1">
      <c r="A3048" s="11" t="n">
        <v>46097</v>
      </c>
      <c r="B3048" t="inlineStr">
        <is>
          <t>Lucas Luiz Romero</t>
        </is>
      </c>
      <c r="C3048" t="inlineStr">
        <is>
          <t>Técnico III</t>
        </is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s="3" t="n">
        <v>0</v>
      </c>
      <c r="J3048" s="3" t="n">
        <v>0</v>
      </c>
      <c r="K3048" s="3" t="n">
        <v>0</v>
      </c>
      <c r="L3048" s="3">
        <f>IF(K3048&lt;-5,"CRÍTICO",IF(K3048&lt;0,"ATENÇÃO",IF(K3048&lt;=5,"OPORTUNO","MUITO BOM")))</f>
        <v/>
      </c>
      <c r="N3048" t="n">
        <v>90</v>
      </c>
      <c r="O3048" t="n">
        <v>24.18604651162791</v>
      </c>
    </row>
    <row r="3049" hidden="1">
      <c r="A3049" s="11" t="n">
        <v>46097</v>
      </c>
      <c r="B3049" t="inlineStr">
        <is>
          <t>Luiz Fernando de Carvalho Junior</t>
        </is>
      </c>
      <c r="C3049" t="inlineStr">
        <is>
          <t>Técnico I</t>
        </is>
      </c>
      <c r="D3049" t="n">
        <v>12</v>
      </c>
      <c r="E3049" t="n">
        <v>11</v>
      </c>
      <c r="F3049" t="n">
        <v>30.43</v>
      </c>
      <c r="G3049" t="n">
        <v>0</v>
      </c>
      <c r="H3049" t="n">
        <v>0</v>
      </c>
      <c r="I3049" s="3">
        <f>E3049+G3049+H3049</f>
        <v/>
      </c>
      <c r="J3049" s="3">
        <f>ROUND(MIN(IF(C3049="Técnico III",35,IF(C3049="Técnico II",28,IF(C3049="Técnico I",23,IF(C3049="JR",20,IF(C3049="Estágio",10,0))))),IF(C3049="Técnico III",SUMIFS($D:$D,$A:$A,$A3049,$B:$B,"&lt;&gt;Patrícia Karla de Sousa Araújo",$B:$B,"&lt;&gt;Lorena Dias de Araujo",$B:$B,"&lt;&gt;Lucas Luiz Romero")*(35/1083),IF(C3049="Técnico II",SUMIFS($D:$D,$A:$A,$A3049,$B:$B,"&lt;&gt;Patrícia Karla de Sousa Araújo",$B:$B,"&lt;&gt;Lorena Dias de Araujo",$B:$B,"&lt;&gt;Lucas Luiz Romero")*(28/1083),IF(C3049="Técnico I",SUMIFS($D:$D,$A:$A,$A3049,$B:$B,"&lt;&gt;Patrícia Karla de Sousa Araújo",$B:$B,"&lt;&gt;Lorena Dias de Araujo",$B:$B,"&lt;&gt;Lucas Luiz Romero")*(23/1083),IF(C3049="JR",SUMIFS($D:$D,$A:$A,$A3049,$B:$B,"&lt;&gt;Patrícia Karla de Sousa Araújo",$B:$B,"&lt;&gt;Lorena Dias de Araujo",$B:$B,"&lt;&gt;Lucas Luiz Romero")*(20/1083),IF(C3049="Estágio",SUMIFS($D:$D,$A:$A,$A3049,$B:$B,"&lt;&gt;Patrícia Karla de Sousa Araújo",$B:$B,"&lt;&gt;Lorena Dias de Araujo",$B:$B,"&lt;&gt;Lucas Luiz Romero")*(10/1083),0)))))),0)</f>
        <v/>
      </c>
      <c r="K3049" s="3">
        <f>I3049-J3049</f>
        <v/>
      </c>
      <c r="L3049" s="3">
        <f>IF(K3049&lt;-5,"CRÍTICO",IF(K3049&lt;0,"ATENÇÃO",IF(K3049&lt;=5,"OPORTUNO","MUITO BOM")))</f>
        <v/>
      </c>
      <c r="N3049" t="n">
        <v>98.90000000000001</v>
      </c>
      <c r="O3049" t="n">
        <v>26.7639902676399</v>
      </c>
    </row>
    <row r="3050" hidden="1">
      <c r="A3050" s="11" t="n">
        <v>46097</v>
      </c>
      <c r="B3050" t="inlineStr">
        <is>
          <t>Maria Eduarda Sousa Costa</t>
        </is>
      </c>
      <c r="C3050" t="inlineStr">
        <is>
          <t>Estágio</t>
        </is>
      </c>
      <c r="D3050" t="n">
        <v>7</v>
      </c>
      <c r="E3050" t="n">
        <v>7</v>
      </c>
      <c r="F3050" t="n">
        <v>54.04</v>
      </c>
      <c r="G3050" t="n">
        <v>0</v>
      </c>
      <c r="H3050" t="n">
        <v>0</v>
      </c>
      <c r="I3050" s="3">
        <f>E3050+G3050+H3050</f>
        <v/>
      </c>
      <c r="J3050" s="3">
        <f>ROUND(MIN(IF(C3050="Técnico III",35,IF(C3050="Técnico II",28,IF(C3050="Técnico I",23,IF(C3050="JR",20,IF(C3050="Estágio",10,0))))),IF(C3050="Técnico III",SUMIFS($D:$D,$A:$A,$A3050,$B:$B,"&lt;&gt;Patrícia Karla de Sousa Araújo",$B:$B,"&lt;&gt;Lorena Dias de Araujo",$B:$B,"&lt;&gt;Lucas Luiz Romero")*(35/1083),IF(C3050="Técnico II",SUMIFS($D:$D,$A:$A,$A3050,$B:$B,"&lt;&gt;Patrícia Karla de Sousa Araújo",$B:$B,"&lt;&gt;Lorena Dias de Araujo",$B:$B,"&lt;&gt;Lucas Luiz Romero")*(28/1083),IF(C3050="Técnico I",SUMIFS($D:$D,$A:$A,$A3050,$B:$B,"&lt;&gt;Patrícia Karla de Sousa Araújo",$B:$B,"&lt;&gt;Lorena Dias de Araujo",$B:$B,"&lt;&gt;Lucas Luiz Romero")*(23/1083),IF(C3050="JR",SUMIFS($D:$D,$A:$A,$A3050,$B:$B,"&lt;&gt;Patrícia Karla de Sousa Araújo",$B:$B,"&lt;&gt;Lorena Dias de Araujo",$B:$B,"&lt;&gt;Lucas Luiz Romero")*(20/1083),IF(C3050="Estágio",SUMIFS($D:$D,$A:$A,$A3050,$B:$B,"&lt;&gt;Patrícia Karla de Sousa Araújo",$B:$B,"&lt;&gt;Lorena Dias de Araujo",$B:$B,"&lt;&gt;Lucas Luiz Romero")*(10/1083),0)))))),0)</f>
        <v/>
      </c>
      <c r="K3050" s="3">
        <f>I3050-J3050</f>
        <v/>
      </c>
      <c r="L3050" s="3">
        <f>IF(K3050&lt;-5,"CRÍTICO",IF(K3050&lt;0,"ATENÇÃO",IF(K3050&lt;=5,"OPORTUNO","MUITO BOM")))</f>
        <v/>
      </c>
      <c r="N3050" t="n">
        <v>88.89</v>
      </c>
      <c r="O3050" t="n">
        <v>25.26315789473684</v>
      </c>
    </row>
    <row r="3051" hidden="1">
      <c r="A3051" s="11" t="n">
        <v>46097</v>
      </c>
      <c r="B3051" t="inlineStr">
        <is>
          <t>Matheus Farias De Souza</t>
        </is>
      </c>
      <c r="C3051" t="inlineStr">
        <is>
          <t>Técnico III</t>
        </is>
      </c>
      <c r="D3051" t="n">
        <v>31</v>
      </c>
      <c r="E3051" t="n">
        <v>29</v>
      </c>
      <c r="F3051" t="n">
        <v>17.25</v>
      </c>
      <c r="G3051" t="n">
        <v>0</v>
      </c>
      <c r="H3051" t="n">
        <v>0</v>
      </c>
      <c r="I3051" s="3">
        <f>E3051+G3051+H3051</f>
        <v/>
      </c>
      <c r="J3051" s="3">
        <f>ROUND(MIN(IF(C3051="Técnico III",35,IF(C3051="Técnico II",28,IF(C3051="Técnico I",23,IF(C3051="JR",20,IF(C3051="Estágio",10,0))))),IF(C3051="Técnico III",SUMIFS($D:$D,$A:$A,$A3051,$B:$B,"&lt;&gt;Patrícia Karla de Sousa Araújo",$B:$B,"&lt;&gt;Lorena Dias de Araujo",$B:$B,"&lt;&gt;Lucas Luiz Romero")*(35/1083),IF(C3051="Técnico II",SUMIFS($D:$D,$A:$A,$A3051,$B:$B,"&lt;&gt;Patrícia Karla de Sousa Araújo",$B:$B,"&lt;&gt;Lorena Dias de Araujo",$B:$B,"&lt;&gt;Lucas Luiz Romero")*(28/1083),IF(C3051="Técnico I",SUMIFS($D:$D,$A:$A,$A3051,$B:$B,"&lt;&gt;Patrícia Karla de Sousa Araújo",$B:$B,"&lt;&gt;Lorena Dias de Araujo",$B:$B,"&lt;&gt;Lucas Luiz Romero")*(23/1083),IF(C3051="JR",SUMIFS($D:$D,$A:$A,$A3051,$B:$B,"&lt;&gt;Patrícia Karla de Sousa Araújo",$B:$B,"&lt;&gt;Lorena Dias de Araujo",$B:$B,"&lt;&gt;Lucas Luiz Romero")*(20/1083),IF(C3051="Estágio",SUMIFS($D:$D,$A:$A,$A3051,$B:$B,"&lt;&gt;Patrícia Karla de Sousa Araújo",$B:$B,"&lt;&gt;Lorena Dias de Araujo",$B:$B,"&lt;&gt;Lucas Luiz Romero")*(10/1083),0)))))),0)</f>
        <v/>
      </c>
      <c r="K3051" s="3">
        <f>I3051-J3051</f>
        <v/>
      </c>
      <c r="L3051" s="3">
        <f>IF(K3051&lt;-5,"CRÍTICO",IF(K3051&lt;0,"ATENÇÃO",IF(K3051&lt;=5,"OPORTUNO","MUITO BOM")))</f>
        <v/>
      </c>
      <c r="N3051" t="n">
        <v>98.86</v>
      </c>
      <c r="O3051" t="n">
        <v>28.95927601809955</v>
      </c>
    </row>
    <row r="3052" hidden="1">
      <c r="A3052" s="11" t="n">
        <v>46097</v>
      </c>
      <c r="B3052" t="inlineStr">
        <is>
          <t>Maysa Victoria Dias Moura</t>
        </is>
      </c>
      <c r="C3052" t="inlineStr">
        <is>
          <t>Técnico III</t>
        </is>
      </c>
      <c r="D3052" t="n">
        <v>33</v>
      </c>
      <c r="E3052" t="n">
        <v>30</v>
      </c>
      <c r="F3052" t="n">
        <v>18.29</v>
      </c>
      <c r="G3052" t="n">
        <v>0</v>
      </c>
      <c r="H3052" t="n">
        <v>0</v>
      </c>
      <c r="I3052" s="3">
        <f>E3052+G3052+H3052</f>
        <v/>
      </c>
      <c r="J3052" s="3">
        <f>ROUND(MIN(IF(C3052="Técnico III",35,IF(C3052="Técnico II",28,IF(C3052="Técnico I",23,IF(C3052="JR",20,IF(C3052="Estágio",10,0))))),IF(C3052="Técnico III",SUMIFS($D:$D,$A:$A,$A3052,$B:$B,"&lt;&gt;Patrícia Karla de Sousa Araújo",$B:$B,"&lt;&gt;Lorena Dias de Araujo",$B:$B,"&lt;&gt;Lucas Luiz Romero")*(35/1083),IF(C3052="Técnico II",SUMIFS($D:$D,$A:$A,$A3052,$B:$B,"&lt;&gt;Patrícia Karla de Sousa Araújo",$B:$B,"&lt;&gt;Lorena Dias de Araujo",$B:$B,"&lt;&gt;Lucas Luiz Romero")*(28/1083),IF(C3052="Técnico I",SUMIFS($D:$D,$A:$A,$A3052,$B:$B,"&lt;&gt;Patrícia Karla de Sousa Araújo",$B:$B,"&lt;&gt;Lorena Dias de Araujo",$B:$B,"&lt;&gt;Lucas Luiz Romero")*(23/1083),IF(C3052="JR",SUMIFS($D:$D,$A:$A,$A3052,$B:$B,"&lt;&gt;Patrícia Karla de Sousa Araújo",$B:$B,"&lt;&gt;Lorena Dias de Araujo",$B:$B,"&lt;&gt;Lucas Luiz Romero")*(20/1083),IF(C3052="Estágio",SUMIFS($D:$D,$A:$A,$A3052,$B:$B,"&lt;&gt;Patrícia Karla de Sousa Araújo",$B:$B,"&lt;&gt;Lorena Dias de Araujo",$B:$B,"&lt;&gt;Lucas Luiz Romero")*(10/1083),0)))))),0)</f>
        <v/>
      </c>
      <c r="K3052" s="3">
        <f>I3052-J3052</f>
        <v/>
      </c>
      <c r="L3052" s="3">
        <f>IF(K3052&lt;-5,"CRÍTICO",IF(K3052&lt;0,"ATENÇÃO",IF(K3052&lt;=5,"OPORTUNO","MUITO BOM")))</f>
        <v/>
      </c>
      <c r="N3052" t="n">
        <v>98.06</v>
      </c>
      <c r="O3052" t="n">
        <v>22.40566037735849</v>
      </c>
    </row>
    <row r="3053" hidden="1">
      <c r="A3053" s="11" t="n">
        <v>46097</v>
      </c>
      <c r="B3053" t="inlineStr">
        <is>
          <t>Michelle G Santos</t>
        </is>
      </c>
      <c r="C3053" t="inlineStr">
        <is>
          <t>Estágio</t>
        </is>
      </c>
      <c r="D3053" t="n">
        <v>4</v>
      </c>
      <c r="E3053" t="n">
        <v>4</v>
      </c>
      <c r="F3053" t="n">
        <v>77.19</v>
      </c>
      <c r="G3053" t="n">
        <v>0</v>
      </c>
      <c r="H3053" t="n">
        <v>0</v>
      </c>
      <c r="I3053" s="3">
        <f>E3053+G3053+H3053</f>
        <v/>
      </c>
      <c r="J3053" s="3">
        <f>ROUND(MIN(IF(C3053="Técnico III",35,IF(C3053="Técnico II",28,IF(C3053="Técnico I",23,IF(C3053="JR",20,IF(C3053="Estágio",10,0))))),IF(C3053="Técnico III",SUMIFS($D:$D,$A:$A,$A3053,$B:$B,"&lt;&gt;Patrícia Karla de Sousa Araújo",$B:$B,"&lt;&gt;Lorena Dias de Araujo",$B:$B,"&lt;&gt;Lucas Luiz Romero")*(35/1083),IF(C3053="Técnico II",SUMIFS($D:$D,$A:$A,$A3053,$B:$B,"&lt;&gt;Patrícia Karla de Sousa Araújo",$B:$B,"&lt;&gt;Lorena Dias de Araujo",$B:$B,"&lt;&gt;Lucas Luiz Romero")*(28/1083),IF(C3053="Técnico I",SUMIFS($D:$D,$A:$A,$A3053,$B:$B,"&lt;&gt;Patrícia Karla de Sousa Araújo",$B:$B,"&lt;&gt;Lorena Dias de Araujo",$B:$B,"&lt;&gt;Lucas Luiz Romero")*(23/1083),IF(C3053="JR",SUMIFS($D:$D,$A:$A,$A3053,$B:$B,"&lt;&gt;Patrícia Karla de Sousa Araújo",$B:$B,"&lt;&gt;Lorena Dias de Araujo",$B:$B,"&lt;&gt;Lucas Luiz Romero")*(20/1083),IF(C3053="Estágio",SUMIFS($D:$D,$A:$A,$A3053,$B:$B,"&lt;&gt;Patrícia Karla de Sousa Araújo",$B:$B,"&lt;&gt;Lorena Dias de Araujo",$B:$B,"&lt;&gt;Lucas Luiz Romero")*(10/1083),0)))))),0)</f>
        <v/>
      </c>
      <c r="K3053" s="3">
        <f>I3053-J3053</f>
        <v/>
      </c>
      <c r="L3053" s="3">
        <f>IF(K3053&lt;-5,"CRÍTICO",IF(K3053&lt;0,"ATENÇÃO",IF(K3053&lt;=5,"OPORTUNO","MUITO BOM")))</f>
        <v/>
      </c>
      <c r="N3053" t="n">
        <v>95.83</v>
      </c>
      <c r="O3053" t="n">
        <v>25.77319587628866</v>
      </c>
    </row>
    <row r="3054" hidden="1">
      <c r="A3054" s="11" t="n">
        <v>46097</v>
      </c>
      <c r="B3054" t="inlineStr">
        <is>
          <t>Milena Sales</t>
        </is>
      </c>
      <c r="C3054" t="inlineStr">
        <is>
          <t>JR</t>
        </is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s="3" t="n">
        <v>0</v>
      </c>
      <c r="J3054" s="3" t="n">
        <v>0</v>
      </c>
      <c r="K3054" s="3" t="n">
        <v>0</v>
      </c>
      <c r="L3054" s="3">
        <f>IF(K3054&lt;-5,"CRÍTICO",IF(K3054&lt;0,"ATENÇÃO",IF(K3054&lt;=5,"OPORTUNO","MUITO BOM")))</f>
        <v/>
      </c>
      <c r="N3054" t="n">
        <v>100</v>
      </c>
      <c r="O3054" t="n">
        <v>15.38461538461539</v>
      </c>
    </row>
    <row r="3055" hidden="1">
      <c r="A3055" s="11" t="n">
        <v>46097</v>
      </c>
      <c r="B3055" t="inlineStr">
        <is>
          <t>Patrícia Karla de Sousa Araújo</t>
        </is>
      </c>
      <c r="C3055" t="inlineStr">
        <is>
          <t>Técnico II</t>
        </is>
      </c>
      <c r="D3055" t="n">
        <v>3</v>
      </c>
      <c r="E3055" t="n">
        <v>3</v>
      </c>
      <c r="F3055" t="n">
        <v>40.22</v>
      </c>
      <c r="G3055" t="n">
        <v>0</v>
      </c>
      <c r="H3055" t="n">
        <v>0</v>
      </c>
      <c r="I3055" s="3">
        <f>E3055+G3055+H3055</f>
        <v/>
      </c>
      <c r="J3055" s="3">
        <f>ROUND(MIN(IF(C3055="Técnico III",35,IF(C3055="Técnico II",28,IF(C3055="Técnico I",23,IF(C3055="JR",20,IF(C3055="Estágio",10,0))))),IF(C3055="Técnico III",SUMIFS($D:$D,$A:$A,$A3055,$B:$B,"&lt;&gt;Patrícia Karla de Sousa Araújo",$B:$B,"&lt;&gt;Lorena Dias de Araujo",$B:$B,"&lt;&gt;Lucas Luiz Romero")*(35/1083),IF(C3055="Técnico II",SUMIFS($D:$D,$A:$A,$A3055,$B:$B,"&lt;&gt;Patrícia Karla de Sousa Araújo",$B:$B,"&lt;&gt;Lorena Dias de Araujo",$B:$B,"&lt;&gt;Lucas Luiz Romero")*(28/1083),IF(C3055="Técnico I",SUMIFS($D:$D,$A:$A,$A3055,$B:$B,"&lt;&gt;Patrícia Karla de Sousa Araújo",$B:$B,"&lt;&gt;Lorena Dias de Araujo",$B:$B,"&lt;&gt;Lucas Luiz Romero")*(23/1083),IF(C3055="JR",SUMIFS($D:$D,$A:$A,$A3055,$B:$B,"&lt;&gt;Patrícia Karla de Sousa Araújo",$B:$B,"&lt;&gt;Lorena Dias de Araujo",$B:$B,"&lt;&gt;Lucas Luiz Romero")*(20/1083),IF(C3055="Estágio",SUMIFS($D:$D,$A:$A,$A3055,$B:$B,"&lt;&gt;Patrícia Karla de Sousa Araújo",$B:$B,"&lt;&gt;Lorena Dias de Araujo",$B:$B,"&lt;&gt;Lucas Luiz Romero")*(10/1083),0)))))),0)</f>
        <v/>
      </c>
      <c r="K3055" s="3">
        <f>I3055-J3055</f>
        <v/>
      </c>
      <c r="L3055" s="3">
        <f>IF(K3055&lt;-5,"CRÍTICO",IF(K3055&lt;0,"ATENÇÃO",IF(K3055&lt;=5,"OPORTUNO","MUITO BOM")))</f>
        <v/>
      </c>
      <c r="N3055" t="n">
        <v>100</v>
      </c>
      <c r="O3055" t="n">
        <v>27.51479289940828</v>
      </c>
    </row>
    <row r="3056" hidden="1">
      <c r="A3056" s="11" t="n">
        <v>46097</v>
      </c>
      <c r="B3056" t="inlineStr">
        <is>
          <t>Paulo Ricardo Santos</t>
        </is>
      </c>
      <c r="C3056" t="inlineStr">
        <is>
          <t>JR</t>
        </is>
      </c>
      <c r="D3056" t="n">
        <v>4</v>
      </c>
      <c r="E3056" t="n">
        <v>3</v>
      </c>
      <c r="F3056" t="n">
        <v>53.39</v>
      </c>
      <c r="G3056" t="n">
        <v>0</v>
      </c>
      <c r="H3056" t="n">
        <v>0</v>
      </c>
      <c r="I3056" s="3">
        <f>E3056+G3056+H3056</f>
        <v/>
      </c>
      <c r="J3056" s="3">
        <f>ROUND(MIN(IF(C3056="Técnico III",35,IF(C3056="Técnico II",28,IF(C3056="Técnico I",23,IF(C3056="JR",20,IF(C3056="Estágio",10,0))))),IF(C3056="Técnico III",SUMIFS($D:$D,$A:$A,$A3056,$B:$B,"&lt;&gt;Patrícia Karla de Sousa Araújo",$B:$B,"&lt;&gt;Lorena Dias de Araujo",$B:$B,"&lt;&gt;Lucas Luiz Romero")*(35/1083),IF(C3056="Técnico II",SUMIFS($D:$D,$A:$A,$A3056,$B:$B,"&lt;&gt;Patrícia Karla de Sousa Araújo",$B:$B,"&lt;&gt;Lorena Dias de Araujo",$B:$B,"&lt;&gt;Lucas Luiz Romero")*(28/1083),IF(C3056="Técnico I",SUMIFS($D:$D,$A:$A,$A3056,$B:$B,"&lt;&gt;Patrícia Karla de Sousa Araújo",$B:$B,"&lt;&gt;Lorena Dias de Araujo",$B:$B,"&lt;&gt;Lucas Luiz Romero")*(23/1083),IF(C3056="JR",SUMIFS($D:$D,$A:$A,$A3056,$B:$B,"&lt;&gt;Patrícia Karla de Sousa Araújo",$B:$B,"&lt;&gt;Lorena Dias de Araujo",$B:$B,"&lt;&gt;Lucas Luiz Romero")*(20/1083),IF(C3056="Estágio",SUMIFS($D:$D,$A:$A,$A3056,$B:$B,"&lt;&gt;Patrícia Karla de Sousa Araújo",$B:$B,"&lt;&gt;Lorena Dias de Araujo",$B:$B,"&lt;&gt;Lucas Luiz Romero")*(10/1083),0)))))),0)</f>
        <v/>
      </c>
      <c r="K3056" s="3">
        <f>I3056-J3056</f>
        <v/>
      </c>
      <c r="L3056" s="3">
        <f>IF(K3056&lt;-5,"CRÍTICO",IF(K3056&lt;0,"ATENÇÃO",IF(K3056&lt;=5,"OPORTUNO","MUITO BOM")))</f>
        <v/>
      </c>
      <c r="N3056" t="n">
        <v>100</v>
      </c>
      <c r="O3056" t="n">
        <v>24.87562189054727</v>
      </c>
    </row>
    <row r="3057" hidden="1">
      <c r="A3057" s="11" t="n">
        <v>46097</v>
      </c>
      <c r="B3057" t="inlineStr">
        <is>
          <t>Pedro Luiz Mota Sousa</t>
        </is>
      </c>
      <c r="C3057" t="inlineStr">
        <is>
          <t>JR</t>
        </is>
      </c>
      <c r="D3057" t="n">
        <v>8</v>
      </c>
      <c r="E3057" t="n">
        <v>6</v>
      </c>
      <c r="F3057" t="n">
        <v>38.26</v>
      </c>
      <c r="G3057" t="n">
        <v>0</v>
      </c>
      <c r="H3057" t="n">
        <v>0</v>
      </c>
      <c r="I3057" s="3">
        <f>E3057+G3057+H3057</f>
        <v/>
      </c>
      <c r="J3057" s="3">
        <f>ROUND(MIN(IF(C3057="Técnico III",35,IF(C3057="Técnico II",28,IF(C3057="Técnico I",23,IF(C3057="JR",20,IF(C3057="Estágio",10,0))))),IF(C3057="Técnico III",SUMIFS($D:$D,$A:$A,$A3057,$B:$B,"&lt;&gt;Patrícia Karla de Sousa Araújo",$B:$B,"&lt;&gt;Lorena Dias de Araujo",$B:$B,"&lt;&gt;Lucas Luiz Romero")*(35/1083),IF(C3057="Técnico II",SUMIFS($D:$D,$A:$A,$A3057,$B:$B,"&lt;&gt;Patrícia Karla de Sousa Araújo",$B:$B,"&lt;&gt;Lorena Dias de Araujo",$B:$B,"&lt;&gt;Lucas Luiz Romero")*(28/1083),IF(C3057="Técnico I",SUMIFS($D:$D,$A:$A,$A3057,$B:$B,"&lt;&gt;Patrícia Karla de Sousa Araújo",$B:$B,"&lt;&gt;Lorena Dias de Araujo",$B:$B,"&lt;&gt;Lucas Luiz Romero")*(23/1083),IF(C3057="JR",SUMIFS($D:$D,$A:$A,$A3057,$B:$B,"&lt;&gt;Patrícia Karla de Sousa Araújo",$B:$B,"&lt;&gt;Lorena Dias de Araujo",$B:$B,"&lt;&gt;Lucas Luiz Romero")*(20/1083),IF(C3057="Estágio",SUMIFS($D:$D,$A:$A,$A3057,$B:$B,"&lt;&gt;Patrícia Karla de Sousa Araújo",$B:$B,"&lt;&gt;Lorena Dias de Araujo",$B:$B,"&lt;&gt;Lucas Luiz Romero")*(10/1083),0)))))),0)</f>
        <v/>
      </c>
      <c r="K3057" s="3">
        <f>I3057-J3057</f>
        <v/>
      </c>
      <c r="L3057" s="3">
        <f>IF(K3057&lt;-5,"CRÍTICO",IF(K3057&lt;0,"ATENÇÃO",IF(K3057&lt;=5,"OPORTUNO","MUITO BOM")))</f>
        <v/>
      </c>
      <c r="N3057" t="n">
        <v>100</v>
      </c>
      <c r="O3057" t="n">
        <v>28.10810810810811</v>
      </c>
    </row>
    <row r="3058" hidden="1">
      <c r="A3058" s="11" t="n">
        <v>46097</v>
      </c>
      <c r="B3058" t="inlineStr">
        <is>
          <t>Quirino Diogo Leite Torres</t>
        </is>
      </c>
      <c r="C3058" t="inlineStr">
        <is>
          <t>Estágio</t>
        </is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s="3" t="n">
        <v>0</v>
      </c>
      <c r="J3058" s="3" t="n">
        <v>0</v>
      </c>
      <c r="K3058" s="3" t="n">
        <v>0</v>
      </c>
      <c r="L3058" s="3">
        <f>IF(K3058&lt;-5,"CRÍTICO",IF(K3058&lt;0,"ATENÇÃO",IF(K3058&lt;=5,"OPORTUNO","MUITO BOM")))</f>
        <v/>
      </c>
      <c r="N3058" t="n">
        <v>100</v>
      </c>
      <c r="O3058" t="n">
        <v>35</v>
      </c>
    </row>
    <row r="3059" hidden="1">
      <c r="A3059" s="11" t="n">
        <v>46097</v>
      </c>
      <c r="B3059" t="inlineStr">
        <is>
          <t>Raane Batista Matos</t>
        </is>
      </c>
      <c r="C3059" t="inlineStr">
        <is>
          <t>Técnico I</t>
        </is>
      </c>
      <c r="D3059" t="n">
        <v>15</v>
      </c>
      <c r="E3059" t="n">
        <v>14</v>
      </c>
      <c r="F3059" t="n">
        <v>26.4</v>
      </c>
      <c r="G3059" t="n">
        <v>0</v>
      </c>
      <c r="H3059" t="n">
        <v>0</v>
      </c>
      <c r="I3059" s="3">
        <f>E3059+G3059+H3059</f>
        <v/>
      </c>
      <c r="J3059" s="3">
        <f>ROUND(MIN(IF(C3059="Técnico III",35,IF(C3059="Técnico II",28,IF(C3059="Técnico I",23,IF(C3059="JR",20,IF(C3059="Estágio",10,0))))),IF(C3059="Técnico III",SUMIFS($D:$D,$A:$A,$A3059,$B:$B,"&lt;&gt;Patrícia Karla de Sousa Araújo",$B:$B,"&lt;&gt;Lorena Dias de Araujo",$B:$B,"&lt;&gt;Lucas Luiz Romero")*(35/1083),IF(C3059="Técnico II",SUMIFS($D:$D,$A:$A,$A3059,$B:$B,"&lt;&gt;Patrícia Karla de Sousa Araújo",$B:$B,"&lt;&gt;Lorena Dias de Araujo",$B:$B,"&lt;&gt;Lucas Luiz Romero")*(28/1083),IF(C3059="Técnico I",SUMIFS($D:$D,$A:$A,$A3059,$B:$B,"&lt;&gt;Patrícia Karla de Sousa Araújo",$B:$B,"&lt;&gt;Lorena Dias de Araujo",$B:$B,"&lt;&gt;Lucas Luiz Romero")*(23/1083),IF(C3059="JR",SUMIFS($D:$D,$A:$A,$A3059,$B:$B,"&lt;&gt;Patrícia Karla de Sousa Araújo",$B:$B,"&lt;&gt;Lorena Dias de Araujo",$B:$B,"&lt;&gt;Lucas Luiz Romero")*(20/1083),IF(C3059="Estágio",SUMIFS($D:$D,$A:$A,$A3059,$B:$B,"&lt;&gt;Patrícia Karla de Sousa Araújo",$B:$B,"&lt;&gt;Lorena Dias de Araujo",$B:$B,"&lt;&gt;Lucas Luiz Romero")*(10/1083),0)))))),0)</f>
        <v/>
      </c>
      <c r="K3059" s="3">
        <f>I3059-J3059</f>
        <v/>
      </c>
      <c r="L3059" s="3">
        <f>IF(K3059&lt;-5,"CRÍTICO",IF(K3059&lt;0,"ATENÇÃO",IF(K3059&lt;=5,"OPORTUNO","MUITO BOM")))</f>
        <v/>
      </c>
      <c r="N3059" t="n">
        <v>95.34999999999999</v>
      </c>
      <c r="O3059" t="n">
        <v>28.61538461538461</v>
      </c>
    </row>
    <row r="3060" hidden="1">
      <c r="A3060" s="11" t="n">
        <v>46097</v>
      </c>
      <c r="B3060" t="inlineStr">
        <is>
          <t>Rafael Gomes de Morais</t>
        </is>
      </c>
      <c r="C3060" t="inlineStr">
        <is>
          <t>Técnico III</t>
        </is>
      </c>
      <c r="D3060" t="n">
        <v>37</v>
      </c>
      <c r="E3060" t="n">
        <v>32</v>
      </c>
      <c r="F3060" t="n">
        <v>14.09</v>
      </c>
      <c r="G3060" t="n">
        <v>0</v>
      </c>
      <c r="H3060" t="n">
        <v>0</v>
      </c>
      <c r="I3060" s="3">
        <f>E3060+G3060+H3060</f>
        <v/>
      </c>
      <c r="J3060" s="3">
        <f>ROUND(MIN(IF(C3060="Técnico III",35,IF(C3060="Técnico II",28,IF(C3060="Técnico I",23,IF(C3060="JR",20,IF(C3060="Estágio",10,0))))),IF(C3060="Técnico III",SUMIFS($D:$D,$A:$A,$A3060,$B:$B,"&lt;&gt;Patrícia Karla de Sousa Araújo",$B:$B,"&lt;&gt;Lorena Dias de Araujo",$B:$B,"&lt;&gt;Lucas Luiz Romero")*(35/1083),IF(C3060="Técnico II",SUMIFS($D:$D,$A:$A,$A3060,$B:$B,"&lt;&gt;Patrícia Karla de Sousa Araújo",$B:$B,"&lt;&gt;Lorena Dias de Araujo",$B:$B,"&lt;&gt;Lucas Luiz Romero")*(28/1083),IF(C3060="Técnico I",SUMIFS($D:$D,$A:$A,$A3060,$B:$B,"&lt;&gt;Patrícia Karla de Sousa Araújo",$B:$B,"&lt;&gt;Lorena Dias de Araujo",$B:$B,"&lt;&gt;Lucas Luiz Romero")*(23/1083),IF(C3060="JR",SUMIFS($D:$D,$A:$A,$A3060,$B:$B,"&lt;&gt;Patrícia Karla de Sousa Araújo",$B:$B,"&lt;&gt;Lorena Dias de Araujo",$B:$B,"&lt;&gt;Lucas Luiz Romero")*(20/1083),IF(C3060="Estágio",SUMIFS($D:$D,$A:$A,$A3060,$B:$B,"&lt;&gt;Patrícia Karla de Sousa Araújo",$B:$B,"&lt;&gt;Lorena Dias de Araujo",$B:$B,"&lt;&gt;Lucas Luiz Romero")*(10/1083),0)))))),0)</f>
        <v/>
      </c>
      <c r="K3060" s="3">
        <f>I3060-J3060</f>
        <v/>
      </c>
      <c r="L3060" s="3">
        <f>IF(K3060&lt;-5,"CRÍTICO",IF(K3060&lt;0,"ATENÇÃO",IF(K3060&lt;=5,"OPORTUNO","MUITO BOM")))</f>
        <v/>
      </c>
      <c r="N3060" t="n">
        <v>98.26000000000001</v>
      </c>
      <c r="O3060" t="n">
        <v>27.54491017964072</v>
      </c>
    </row>
    <row r="3061" hidden="1">
      <c r="A3061" s="11" t="n">
        <v>46097</v>
      </c>
      <c r="B3061" t="inlineStr">
        <is>
          <t>Sara Maria Monteiro Lopes</t>
        </is>
      </c>
      <c r="C3061" t="inlineStr">
        <is>
          <t>Técnico I</t>
        </is>
      </c>
      <c r="D3061" t="n">
        <v>15</v>
      </c>
      <c r="E3061" t="n">
        <v>15</v>
      </c>
      <c r="F3061" t="n">
        <v>37.07</v>
      </c>
      <c r="G3061" t="n">
        <v>0</v>
      </c>
      <c r="H3061" t="n">
        <v>0</v>
      </c>
      <c r="I3061" s="3">
        <f>E3061+G3061+H3061</f>
        <v/>
      </c>
      <c r="J3061" s="3">
        <f>ROUND(MIN(IF(C3061="Técnico III",35,IF(C3061="Técnico II",28,IF(C3061="Técnico I",23,IF(C3061="JR",20,IF(C3061="Estágio",10,0))))),IF(C3061="Técnico III",SUMIFS($D:$D,$A:$A,$A3061,$B:$B,"&lt;&gt;Patrícia Karla de Sousa Araújo",$B:$B,"&lt;&gt;Lorena Dias de Araujo",$B:$B,"&lt;&gt;Lucas Luiz Romero")*(35/1083),IF(C3061="Técnico II",SUMIFS($D:$D,$A:$A,$A3061,$B:$B,"&lt;&gt;Patrícia Karla de Sousa Araújo",$B:$B,"&lt;&gt;Lorena Dias de Araujo",$B:$B,"&lt;&gt;Lucas Luiz Romero")*(28/1083),IF(C3061="Técnico I",SUMIFS($D:$D,$A:$A,$A3061,$B:$B,"&lt;&gt;Patrícia Karla de Sousa Araújo",$B:$B,"&lt;&gt;Lorena Dias de Araujo",$B:$B,"&lt;&gt;Lucas Luiz Romero")*(23/1083),IF(C3061="JR",SUMIFS($D:$D,$A:$A,$A3061,$B:$B,"&lt;&gt;Patrícia Karla de Sousa Araújo",$B:$B,"&lt;&gt;Lorena Dias de Araujo",$B:$B,"&lt;&gt;Lucas Luiz Romero")*(20/1083),IF(C3061="Estágio",SUMIFS($D:$D,$A:$A,$A3061,$B:$B,"&lt;&gt;Patrícia Karla de Sousa Araújo",$B:$B,"&lt;&gt;Lorena Dias de Araujo",$B:$B,"&lt;&gt;Lucas Luiz Romero")*(10/1083),0)))))),0)</f>
        <v/>
      </c>
      <c r="K3061" s="3">
        <f>I3061-J3061</f>
        <v/>
      </c>
      <c r="L3061" s="3">
        <f>IF(K3061&lt;-5,"CRÍTICO",IF(K3061&lt;0,"ATENÇÃO",IF(K3061&lt;=5,"OPORTUNO","MUITO BOM")))</f>
        <v/>
      </c>
      <c r="N3061" t="n">
        <v>98.55</v>
      </c>
      <c r="O3061" t="n">
        <v>25.33783783783784</v>
      </c>
    </row>
    <row r="3062" hidden="1">
      <c r="A3062" s="11" t="n">
        <v>46097</v>
      </c>
      <c r="B3062" t="inlineStr">
        <is>
          <t>Sarah Steffanie de Lima Borges</t>
        </is>
      </c>
      <c r="C3062" t="inlineStr">
        <is>
          <t>Técnico III</t>
        </is>
      </c>
      <c r="D3062" t="n">
        <v>28</v>
      </c>
      <c r="E3062" t="n">
        <v>28</v>
      </c>
      <c r="F3062" t="n">
        <v>17.19</v>
      </c>
      <c r="G3062" t="n">
        <v>0</v>
      </c>
      <c r="H3062" t="n">
        <v>0</v>
      </c>
      <c r="I3062" s="3">
        <f>E3062+G3062+H3062</f>
        <v/>
      </c>
      <c r="J3062" s="3">
        <f>ROUND(MIN(IF(C3062="Técnico III",35,IF(C3062="Técnico II",28,IF(C3062="Técnico I",23,IF(C3062="JR",20,IF(C3062="Estágio",10,0))))),IF(C3062="Técnico III",SUMIFS($D:$D,$A:$A,$A3062,$B:$B,"&lt;&gt;Patrícia Karla de Sousa Araújo",$B:$B,"&lt;&gt;Lorena Dias de Araujo",$B:$B,"&lt;&gt;Lucas Luiz Romero")*(35/1083),IF(C3062="Técnico II",SUMIFS($D:$D,$A:$A,$A3062,$B:$B,"&lt;&gt;Patrícia Karla de Sousa Araújo",$B:$B,"&lt;&gt;Lorena Dias de Araujo",$B:$B,"&lt;&gt;Lucas Luiz Romero")*(28/1083),IF(C3062="Técnico I",SUMIFS($D:$D,$A:$A,$A3062,$B:$B,"&lt;&gt;Patrícia Karla de Sousa Araújo",$B:$B,"&lt;&gt;Lorena Dias de Araujo",$B:$B,"&lt;&gt;Lucas Luiz Romero")*(23/1083),IF(C3062="JR",SUMIFS($D:$D,$A:$A,$A3062,$B:$B,"&lt;&gt;Patrícia Karla de Sousa Araújo",$B:$B,"&lt;&gt;Lorena Dias de Araujo",$B:$B,"&lt;&gt;Lucas Luiz Romero")*(20/1083),IF(C3062="Estágio",SUMIFS($D:$D,$A:$A,$A3062,$B:$B,"&lt;&gt;Patrícia Karla de Sousa Araújo",$B:$B,"&lt;&gt;Lorena Dias de Araujo",$B:$B,"&lt;&gt;Lucas Luiz Romero")*(10/1083),0)))))),0)</f>
        <v/>
      </c>
      <c r="K3062" s="3">
        <f>I3062-J3062</f>
        <v/>
      </c>
      <c r="L3062" s="3">
        <f>IF(K3062&lt;-5,"CRÍTICO",IF(K3062&lt;0,"ATENÇÃO",IF(K3062&lt;=5,"OPORTUNO","MUITO BOM")))</f>
        <v/>
      </c>
      <c r="N3062" t="n">
        <v>98.39</v>
      </c>
      <c r="O3062" t="n">
        <v>25.56390977443609</v>
      </c>
    </row>
    <row r="3063" hidden="1">
      <c r="A3063" s="11" t="n">
        <v>46098</v>
      </c>
      <c r="B3063" t="inlineStr">
        <is>
          <t>Alisson de Freitas Silva</t>
        </is>
      </c>
      <c r="C3063" t="inlineStr">
        <is>
          <t>Técnico II</t>
        </is>
      </c>
      <c r="D3063" t="n">
        <v>31</v>
      </c>
      <c r="E3063" t="n">
        <v>27</v>
      </c>
      <c r="F3063" t="n">
        <v>16.56</v>
      </c>
      <c r="G3063" t="n">
        <v>0</v>
      </c>
      <c r="H3063" t="n">
        <v>0</v>
      </c>
      <c r="I3063" s="3">
        <f>E3063+G3063+H3063</f>
        <v/>
      </c>
      <c r="J3063" s="3">
        <f>ROUND(MIN(IF(C3063="Técnico III",35,IF(C3063="Técnico II",28,IF(C3063="Técnico I",23,IF(C3063="JR",20,IF(C3063="Estágio",10,0))))),IF(C3063="Técnico III",SUMIFS($D:$D,$A:$A,$A3063,$B:$B,"&lt;&gt;Patrícia Karla de Sousa Araújo",$B:$B,"&lt;&gt;Lorena Dias de Araujo",$B:$B,"&lt;&gt;Lucas Luiz Romero")*(35/1083),IF(C3063="Técnico II",SUMIFS($D:$D,$A:$A,$A3063,$B:$B,"&lt;&gt;Patrícia Karla de Sousa Araújo",$B:$B,"&lt;&gt;Lorena Dias de Araujo",$B:$B,"&lt;&gt;Lucas Luiz Romero")*(28/1083),IF(C3063="Técnico I",SUMIFS($D:$D,$A:$A,$A3063,$B:$B,"&lt;&gt;Patrícia Karla de Sousa Araújo",$B:$B,"&lt;&gt;Lorena Dias de Araujo",$B:$B,"&lt;&gt;Lucas Luiz Romero")*(23/1083),IF(C3063="JR",SUMIFS($D:$D,$A:$A,$A3063,$B:$B,"&lt;&gt;Patrícia Karla de Sousa Araújo",$B:$B,"&lt;&gt;Lorena Dias de Araujo",$B:$B,"&lt;&gt;Lucas Luiz Romero")*(20/1083),IF(C3063="Estágio",SUMIFS($D:$D,$A:$A,$A3063,$B:$B,"&lt;&gt;Patrícia Karla de Sousa Araújo",$B:$B,"&lt;&gt;Lorena Dias de Araujo",$B:$B,"&lt;&gt;Lucas Luiz Romero")*(10/1083),0)))))),0)</f>
        <v/>
      </c>
      <c r="K3063" s="3">
        <f>I3063-J3063</f>
        <v/>
      </c>
      <c r="L3063" s="3">
        <f>IF(K3063&lt;-5,"CRÍTICO",IF(K3063&lt;0,"ATENÇÃO",IF(K3063&lt;=5,"OPORTUNO","MUITO BOM")))</f>
        <v/>
      </c>
      <c r="N3063" t="n">
        <v>94.29000000000001</v>
      </c>
      <c r="O3063" t="n">
        <v>25.64766839378239</v>
      </c>
    </row>
    <row r="3064" hidden="1">
      <c r="A3064" s="11" t="n">
        <v>46098</v>
      </c>
      <c r="B3064" t="inlineStr">
        <is>
          <t>Amanda Moura Ferreira</t>
        </is>
      </c>
      <c r="C3064" t="inlineStr">
        <is>
          <t>Técnico III</t>
        </is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s="3" t="n">
        <v>0</v>
      </c>
      <c r="J3064" s="3" t="n">
        <v>0</v>
      </c>
      <c r="K3064" s="3" t="n">
        <v>0</v>
      </c>
      <c r="L3064" s="3">
        <f>IF(K3064&lt;-5,"CRÍTICO",IF(K3064&lt;0,"ATENÇÃO",IF(K3064&lt;=5,"OPORTUNO","MUITO BOM")))</f>
        <v/>
      </c>
      <c r="N3064" t="n">
        <v>98.26000000000001</v>
      </c>
      <c r="O3064" t="n">
        <v>26.66666666666667</v>
      </c>
    </row>
    <row r="3065" hidden="1">
      <c r="A3065" s="11" t="n">
        <v>46098</v>
      </c>
      <c r="B3065" t="inlineStr">
        <is>
          <t>Ana Karollyne Souza Faria</t>
        </is>
      </c>
      <c r="C3065" t="inlineStr">
        <is>
          <t>Técnico I</t>
        </is>
      </c>
      <c r="D3065" t="n">
        <v>13</v>
      </c>
      <c r="E3065" t="n">
        <v>12</v>
      </c>
      <c r="F3065" t="n">
        <v>29.12</v>
      </c>
      <c r="G3065" t="n">
        <v>0</v>
      </c>
      <c r="H3065" t="n">
        <v>0</v>
      </c>
      <c r="I3065" s="3">
        <f>E3065+G3065+H3065</f>
        <v/>
      </c>
      <c r="J3065" s="3">
        <f>ROUND(MIN(IF(C3065="Técnico III",35,IF(C3065="Técnico II",28,IF(C3065="Técnico I",23,IF(C3065="JR",20,IF(C3065="Estágio",10,0))))),IF(C3065="Técnico III",SUMIFS($D:$D,$A:$A,$A3065,$B:$B,"&lt;&gt;Patrícia Karla de Sousa Araújo",$B:$B,"&lt;&gt;Lorena Dias de Araujo",$B:$B,"&lt;&gt;Lucas Luiz Romero")*(35/1083),IF(C3065="Técnico II",SUMIFS($D:$D,$A:$A,$A3065,$B:$B,"&lt;&gt;Patrícia Karla de Sousa Araújo",$B:$B,"&lt;&gt;Lorena Dias de Araujo",$B:$B,"&lt;&gt;Lucas Luiz Romero")*(28/1083),IF(C3065="Técnico I",SUMIFS($D:$D,$A:$A,$A3065,$B:$B,"&lt;&gt;Patrícia Karla de Sousa Araújo",$B:$B,"&lt;&gt;Lorena Dias de Araujo",$B:$B,"&lt;&gt;Lucas Luiz Romero")*(23/1083),IF(C3065="JR",SUMIFS($D:$D,$A:$A,$A3065,$B:$B,"&lt;&gt;Patrícia Karla de Sousa Araújo",$B:$B,"&lt;&gt;Lorena Dias de Araujo",$B:$B,"&lt;&gt;Lucas Luiz Romero")*(20/1083),IF(C3065="Estágio",SUMIFS($D:$D,$A:$A,$A3065,$B:$B,"&lt;&gt;Patrícia Karla de Sousa Araújo",$B:$B,"&lt;&gt;Lorena Dias de Araujo",$B:$B,"&lt;&gt;Lucas Luiz Romero")*(10/1083),0)))))),0)</f>
        <v/>
      </c>
      <c r="K3065" s="3">
        <f>I3065-J3065</f>
        <v/>
      </c>
      <c r="L3065" s="3">
        <f>IF(K3065&lt;-5,"CRÍTICO",IF(K3065&lt;0,"ATENÇÃO",IF(K3065&lt;=5,"OPORTUNO","MUITO BOM")))</f>
        <v/>
      </c>
      <c r="N3065" t="n">
        <v>98.2</v>
      </c>
      <c r="O3065" t="n">
        <v>23.37962962962963</v>
      </c>
    </row>
    <row r="3066" hidden="1">
      <c r="A3066" s="11" t="n">
        <v>46098</v>
      </c>
      <c r="B3066" t="inlineStr">
        <is>
          <t>Ana Paula Da Luz Silva Aleixo</t>
        </is>
      </c>
      <c r="C3066" t="inlineStr">
        <is>
          <t>Técnico III</t>
        </is>
      </c>
      <c r="D3066" t="n">
        <v>30</v>
      </c>
      <c r="E3066" t="n">
        <v>27</v>
      </c>
      <c r="F3066" t="n">
        <v>20.36</v>
      </c>
      <c r="G3066" t="n">
        <v>0</v>
      </c>
      <c r="H3066" t="n">
        <v>0</v>
      </c>
      <c r="I3066" s="3">
        <f>E3066+G3066+H3066</f>
        <v/>
      </c>
      <c r="J3066" s="3">
        <f>ROUND(MIN(IF(C3066="Técnico III",35,IF(C3066="Técnico II",28,IF(C3066="Técnico I",23,IF(C3066="JR",20,IF(C3066="Estágio",10,0))))),IF(C3066="Técnico III",SUMIFS($D:$D,$A:$A,$A3066,$B:$B,"&lt;&gt;Patrícia Karla de Sousa Araújo",$B:$B,"&lt;&gt;Lorena Dias de Araujo",$B:$B,"&lt;&gt;Lucas Luiz Romero")*(35/1083),IF(C3066="Técnico II",SUMIFS($D:$D,$A:$A,$A3066,$B:$B,"&lt;&gt;Patrícia Karla de Sousa Araújo",$B:$B,"&lt;&gt;Lorena Dias de Araujo",$B:$B,"&lt;&gt;Lucas Luiz Romero")*(28/1083),IF(C3066="Técnico I",SUMIFS($D:$D,$A:$A,$A3066,$B:$B,"&lt;&gt;Patrícia Karla de Sousa Araújo",$B:$B,"&lt;&gt;Lorena Dias de Araujo",$B:$B,"&lt;&gt;Lucas Luiz Romero")*(23/1083),IF(C3066="JR",SUMIFS($D:$D,$A:$A,$A3066,$B:$B,"&lt;&gt;Patrícia Karla de Sousa Araújo",$B:$B,"&lt;&gt;Lorena Dias de Araujo",$B:$B,"&lt;&gt;Lucas Luiz Romero")*(20/1083),IF(C3066="Estágio",SUMIFS($D:$D,$A:$A,$A3066,$B:$B,"&lt;&gt;Patrícia Karla de Sousa Araújo",$B:$B,"&lt;&gt;Lorena Dias de Araujo",$B:$B,"&lt;&gt;Lucas Luiz Romero")*(10/1083),0)))))),0)</f>
        <v/>
      </c>
      <c r="K3066" s="3">
        <f>I3066-J3066</f>
        <v/>
      </c>
      <c r="L3066" s="3">
        <f>IF(K3066&lt;-5,"CRÍTICO",IF(K3066&lt;0,"ATENÇÃO",IF(K3066&lt;=5,"OPORTUNO","MUITO BOM")))</f>
        <v/>
      </c>
      <c r="N3066" t="n">
        <v>97.3</v>
      </c>
      <c r="O3066" t="n">
        <v>23.84769539078156</v>
      </c>
    </row>
    <row r="3067" hidden="1">
      <c r="A3067" s="11" t="n">
        <v>46098</v>
      </c>
      <c r="B3067" t="inlineStr">
        <is>
          <t>Anna Luiza Rezende Tavares</t>
        </is>
      </c>
      <c r="C3067" t="inlineStr">
        <is>
          <t>Estágio</t>
        </is>
      </c>
      <c r="D3067" t="n">
        <v>18</v>
      </c>
      <c r="E3067" t="n">
        <v>15</v>
      </c>
      <c r="F3067" t="n">
        <v>20.54</v>
      </c>
      <c r="G3067" t="n">
        <v>0</v>
      </c>
      <c r="H3067" t="n">
        <v>0</v>
      </c>
      <c r="I3067" s="3">
        <f>E3067+G3067+H3067</f>
        <v/>
      </c>
      <c r="J3067" s="3">
        <f>ROUND(MIN(IF(C3067="Técnico III",35,IF(C3067="Técnico II",28,IF(C3067="Técnico I",23,IF(C3067="JR",20,IF(C3067="Estágio",10,0))))),IF(C3067="Técnico III",SUMIFS($D:$D,$A:$A,$A3067,$B:$B,"&lt;&gt;Patrícia Karla de Sousa Araújo",$B:$B,"&lt;&gt;Lorena Dias de Araujo",$B:$B,"&lt;&gt;Lucas Luiz Romero")*(35/1083),IF(C3067="Técnico II",SUMIFS($D:$D,$A:$A,$A3067,$B:$B,"&lt;&gt;Patrícia Karla de Sousa Araújo",$B:$B,"&lt;&gt;Lorena Dias de Araujo",$B:$B,"&lt;&gt;Lucas Luiz Romero")*(28/1083),IF(C3067="Técnico I",SUMIFS($D:$D,$A:$A,$A3067,$B:$B,"&lt;&gt;Patrícia Karla de Sousa Araújo",$B:$B,"&lt;&gt;Lorena Dias de Araujo",$B:$B,"&lt;&gt;Lucas Luiz Romero")*(23/1083),IF(C3067="JR",SUMIFS($D:$D,$A:$A,$A3067,$B:$B,"&lt;&gt;Patrícia Karla de Sousa Araújo",$B:$B,"&lt;&gt;Lorena Dias de Araujo",$B:$B,"&lt;&gt;Lucas Luiz Romero")*(20/1083),IF(C3067="Estágio",SUMIFS($D:$D,$A:$A,$A3067,$B:$B,"&lt;&gt;Patrícia Karla de Sousa Araújo",$B:$B,"&lt;&gt;Lorena Dias de Araujo",$B:$B,"&lt;&gt;Lucas Luiz Romero")*(10/1083),0)))))),0)</f>
        <v/>
      </c>
      <c r="K3067" s="3">
        <f>I3067-J3067</f>
        <v/>
      </c>
      <c r="L3067" s="3">
        <f>IF(K3067&lt;-5,"CRÍTICO",IF(K3067&lt;0,"ATENÇÃO",IF(K3067&lt;=5,"OPORTUNO","MUITO BOM")))</f>
        <v/>
      </c>
      <c r="N3067" t="n">
        <v>100</v>
      </c>
      <c r="O3067" t="n">
        <v>25.26881720430108</v>
      </c>
    </row>
    <row r="3068" hidden="1">
      <c r="A3068" s="11" t="n">
        <v>46098</v>
      </c>
      <c r="B3068" t="inlineStr">
        <is>
          <t>Brenda de Menezes Silva</t>
        </is>
      </c>
      <c r="C3068" t="inlineStr">
        <is>
          <t>Técnico II</t>
        </is>
      </c>
      <c r="D3068" t="n">
        <v>40</v>
      </c>
      <c r="E3068" t="n">
        <v>35</v>
      </c>
      <c r="F3068" t="n">
        <v>15.36</v>
      </c>
      <c r="G3068" t="n">
        <v>0</v>
      </c>
      <c r="H3068" t="n">
        <v>0</v>
      </c>
      <c r="I3068" s="3">
        <f>E3068+G3068+H3068</f>
        <v/>
      </c>
      <c r="J3068" s="3">
        <f>ROUND(MIN(IF(C3068="Técnico III",35,IF(C3068="Técnico II",28,IF(C3068="Técnico I",23,IF(C3068="JR",20,IF(C3068="Estágio",10,0))))),IF(C3068="Técnico III",SUMIFS($D:$D,$A:$A,$A3068,$B:$B,"&lt;&gt;Patrícia Karla de Sousa Araújo",$B:$B,"&lt;&gt;Lorena Dias de Araujo",$B:$B,"&lt;&gt;Lucas Luiz Romero")*(35/1083),IF(C3068="Técnico II",SUMIFS($D:$D,$A:$A,$A3068,$B:$B,"&lt;&gt;Patrícia Karla de Sousa Araújo",$B:$B,"&lt;&gt;Lorena Dias de Araujo",$B:$B,"&lt;&gt;Lucas Luiz Romero")*(28/1083),IF(C3068="Técnico I",SUMIFS($D:$D,$A:$A,$A3068,$B:$B,"&lt;&gt;Patrícia Karla de Sousa Araújo",$B:$B,"&lt;&gt;Lorena Dias de Araujo",$B:$B,"&lt;&gt;Lucas Luiz Romero")*(23/1083),IF(C3068="JR",SUMIFS($D:$D,$A:$A,$A3068,$B:$B,"&lt;&gt;Patrícia Karla de Sousa Araújo",$B:$B,"&lt;&gt;Lorena Dias de Araujo",$B:$B,"&lt;&gt;Lucas Luiz Romero")*(20/1083),IF(C3068="Estágio",SUMIFS($D:$D,$A:$A,$A3068,$B:$B,"&lt;&gt;Patrícia Karla de Sousa Araújo",$B:$B,"&lt;&gt;Lorena Dias de Araujo",$B:$B,"&lt;&gt;Lucas Luiz Romero")*(10/1083),0)))))),0)</f>
        <v/>
      </c>
      <c r="K3068" s="3">
        <f>I3068-J3068</f>
        <v/>
      </c>
      <c r="L3068" s="3">
        <f>IF(K3068&lt;-5,"CRÍTICO",IF(K3068&lt;0,"ATENÇÃO",IF(K3068&lt;=5,"OPORTUNO","MUITO BOM")))</f>
        <v/>
      </c>
      <c r="N3068" t="n">
        <v>99.31999999999999</v>
      </c>
      <c r="O3068" t="n">
        <v>22.82282282282282</v>
      </c>
    </row>
    <row r="3069" hidden="1">
      <c r="A3069" s="11" t="n">
        <v>46098</v>
      </c>
      <c r="B3069" t="inlineStr">
        <is>
          <t>Carlos Mateus Cassimiro Nunes</t>
        </is>
      </c>
      <c r="C3069" t="inlineStr">
        <is>
          <t>Técnico II</t>
        </is>
      </c>
      <c r="D3069" t="n">
        <v>4</v>
      </c>
      <c r="E3069" t="n">
        <v>4</v>
      </c>
      <c r="F3069" t="n">
        <v>17.18</v>
      </c>
      <c r="G3069" t="n">
        <v>0</v>
      </c>
      <c r="H3069" t="n">
        <v>0</v>
      </c>
      <c r="I3069" s="3">
        <f>E3069+G3069+H3069</f>
        <v/>
      </c>
      <c r="J3069" s="3">
        <f>ROUND(MIN(IF(C3069="Técnico III",35,IF(C3069="Técnico II",28,IF(C3069="Técnico I",23,IF(C3069="JR",20,IF(C3069="Estágio",10,0))))),IF(C3069="Técnico III",SUMIFS($D:$D,$A:$A,$A3069,$B:$B,"&lt;&gt;Patrícia Karla de Sousa Araújo",$B:$B,"&lt;&gt;Lorena Dias de Araujo",$B:$B,"&lt;&gt;Lucas Luiz Romero")*(35/1083),IF(C3069="Técnico II",SUMIFS($D:$D,$A:$A,$A3069,$B:$B,"&lt;&gt;Patrícia Karla de Sousa Araújo",$B:$B,"&lt;&gt;Lorena Dias de Araujo",$B:$B,"&lt;&gt;Lucas Luiz Romero")*(28/1083),IF(C3069="Técnico I",SUMIFS($D:$D,$A:$A,$A3069,$B:$B,"&lt;&gt;Patrícia Karla de Sousa Araújo",$B:$B,"&lt;&gt;Lorena Dias de Araujo",$B:$B,"&lt;&gt;Lucas Luiz Romero")*(23/1083),IF(C3069="JR",SUMIFS($D:$D,$A:$A,$A3069,$B:$B,"&lt;&gt;Patrícia Karla de Sousa Araújo",$B:$B,"&lt;&gt;Lorena Dias de Araujo",$B:$B,"&lt;&gt;Lucas Luiz Romero")*(20/1083),IF(C3069="Estágio",SUMIFS($D:$D,$A:$A,$A3069,$B:$B,"&lt;&gt;Patrícia Karla de Sousa Araújo",$B:$B,"&lt;&gt;Lorena Dias de Araujo",$B:$B,"&lt;&gt;Lucas Luiz Romero")*(10/1083),0)))))),0)</f>
        <v/>
      </c>
      <c r="K3069" s="3">
        <f>I3069-J3069</f>
        <v/>
      </c>
      <c r="L3069" s="3">
        <f>IF(K3069&lt;-5,"CRÍTICO",IF(K3069&lt;0,"ATENÇÃO",IF(K3069&lt;=5,"OPORTUNO","MUITO BOM")))</f>
        <v/>
      </c>
      <c r="N3069" t="n">
        <v>100</v>
      </c>
      <c r="O3069" t="n">
        <v>27.96610169491525</v>
      </c>
    </row>
    <row r="3070" hidden="1">
      <c r="A3070" s="11" t="n">
        <v>46098</v>
      </c>
      <c r="B3070" t="inlineStr">
        <is>
          <t>Claudio de Sousa Velasco Filho</t>
        </is>
      </c>
      <c r="C3070" t="inlineStr">
        <is>
          <t>Estágio</t>
        </is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s="3" t="n">
        <v>0</v>
      </c>
      <c r="J3070" s="3" t="n">
        <v>0</v>
      </c>
      <c r="K3070" s="3" t="n">
        <v>0</v>
      </c>
      <c r="L3070" s="3">
        <f>IF(K3070&lt;-5,"CRÍTICO",IF(K3070&lt;0,"ATENÇÃO",IF(K3070&lt;=5,"OPORTUNO","MUITO BOM")))</f>
        <v/>
      </c>
      <c r="N3070" t="n">
        <v>100</v>
      </c>
      <c r="O3070" t="n">
        <v>30.43478260869566</v>
      </c>
    </row>
    <row r="3071" hidden="1">
      <c r="A3071" s="11" t="n">
        <v>46098</v>
      </c>
      <c r="B3071" t="inlineStr">
        <is>
          <t>Clessiane Pereira dos Santos</t>
        </is>
      </c>
      <c r="C3071" t="inlineStr">
        <is>
          <t>Técnico I</t>
        </is>
      </c>
      <c r="D3071" t="n">
        <v>24</v>
      </c>
      <c r="E3071" t="n">
        <v>24</v>
      </c>
      <c r="F3071" t="n">
        <v>20.29</v>
      </c>
      <c r="G3071" t="n">
        <v>0</v>
      </c>
      <c r="H3071" t="n">
        <v>0</v>
      </c>
      <c r="I3071" s="3">
        <f>E3071+G3071+H3071</f>
        <v/>
      </c>
      <c r="J3071" s="3">
        <f>ROUND(MIN(IF(C3071="Técnico III",35,IF(C3071="Técnico II",28,IF(C3071="Técnico I",23,IF(C3071="JR",20,IF(C3071="Estágio",10,0))))),IF(C3071="Técnico III",SUMIFS($D:$D,$A:$A,$A3071,$B:$B,"&lt;&gt;Patrícia Karla de Sousa Araújo",$B:$B,"&lt;&gt;Lorena Dias de Araujo",$B:$B,"&lt;&gt;Lucas Luiz Romero")*(35/1083),IF(C3071="Técnico II",SUMIFS($D:$D,$A:$A,$A3071,$B:$B,"&lt;&gt;Patrícia Karla de Sousa Araújo",$B:$B,"&lt;&gt;Lorena Dias de Araujo",$B:$B,"&lt;&gt;Lucas Luiz Romero")*(28/1083),IF(C3071="Técnico I",SUMIFS($D:$D,$A:$A,$A3071,$B:$B,"&lt;&gt;Patrícia Karla de Sousa Araújo",$B:$B,"&lt;&gt;Lorena Dias de Araujo",$B:$B,"&lt;&gt;Lucas Luiz Romero")*(23/1083),IF(C3071="JR",SUMIFS($D:$D,$A:$A,$A3071,$B:$B,"&lt;&gt;Patrícia Karla de Sousa Araújo",$B:$B,"&lt;&gt;Lorena Dias de Araujo",$B:$B,"&lt;&gt;Lucas Luiz Romero")*(20/1083),IF(C3071="Estágio",SUMIFS($D:$D,$A:$A,$A3071,$B:$B,"&lt;&gt;Patrícia Karla de Sousa Araújo",$B:$B,"&lt;&gt;Lorena Dias de Araujo",$B:$B,"&lt;&gt;Lucas Luiz Romero")*(10/1083),0)))))),0)</f>
        <v/>
      </c>
      <c r="K3071" s="3">
        <f>I3071-J3071</f>
        <v/>
      </c>
      <c r="L3071" s="3">
        <f>IF(K3071&lt;-5,"CRÍTICO",IF(K3071&lt;0,"ATENÇÃO",IF(K3071&lt;=5,"OPORTUNO","MUITO BOM")))</f>
        <v/>
      </c>
      <c r="N3071" t="n">
        <v>96.51000000000001</v>
      </c>
      <c r="O3071" t="n">
        <v>22.80285035629454</v>
      </c>
    </row>
    <row r="3072" hidden="1">
      <c r="A3072" s="11" t="n">
        <v>46098</v>
      </c>
      <c r="B3072" t="inlineStr">
        <is>
          <t>Cristiane Ramos da Silva Rocha</t>
        </is>
      </c>
      <c r="C3072" t="inlineStr">
        <is>
          <t>Técnico III</t>
        </is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s="3" t="n">
        <v>0</v>
      </c>
      <c r="J3072" s="3" t="n">
        <v>0</v>
      </c>
      <c r="K3072" s="3" t="n">
        <v>0</v>
      </c>
      <c r="L3072" s="3">
        <f>IF(K3072&lt;-5,"CRÍTICO",IF(K3072&lt;0,"ATENÇÃO",IF(K3072&lt;=5,"OPORTUNO","MUITO BOM")))</f>
        <v/>
      </c>
      <c r="N3072" t="n">
        <v>92.68000000000001</v>
      </c>
      <c r="O3072" t="n">
        <v>27.77777777777778</v>
      </c>
    </row>
    <row r="3073" hidden="1">
      <c r="A3073" s="11" t="n">
        <v>46098</v>
      </c>
      <c r="B3073" t="inlineStr">
        <is>
          <t>Damyllis Lorraine de Oliveira Gonçalves</t>
        </is>
      </c>
      <c r="C3073" t="inlineStr">
        <is>
          <t>Técnico II</t>
        </is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s="3" t="n">
        <v>0</v>
      </c>
      <c r="J3073" s="3" t="n">
        <v>0</v>
      </c>
      <c r="K3073" s="3" t="n">
        <v>0</v>
      </c>
      <c r="L3073" s="3">
        <f>IF(K3073&lt;-5,"CRÍTICO",IF(K3073&lt;0,"ATENÇÃO",IF(K3073&lt;=5,"OPORTUNO","MUITO BOM")))</f>
        <v/>
      </c>
      <c r="N3073" t="n">
        <v>99.03</v>
      </c>
      <c r="O3073" t="n">
        <v>23.99150743099788</v>
      </c>
    </row>
    <row r="3074" hidden="1">
      <c r="A3074" s="11" t="n">
        <v>46098</v>
      </c>
      <c r="B3074" t="inlineStr">
        <is>
          <t>Daniel Gomes da Silva</t>
        </is>
      </c>
      <c r="C3074" t="inlineStr">
        <is>
          <t>Técnico I</t>
        </is>
      </c>
      <c r="D3074" t="n">
        <v>24</v>
      </c>
      <c r="E3074" t="n">
        <v>22</v>
      </c>
      <c r="F3074" t="n">
        <v>25.58</v>
      </c>
      <c r="G3074" t="n">
        <v>0</v>
      </c>
      <c r="H3074" t="n">
        <v>0</v>
      </c>
      <c r="I3074" s="3">
        <f>E3074+G3074+H3074</f>
        <v/>
      </c>
      <c r="J3074" s="3">
        <f>ROUND(MIN(IF(C3074="Técnico III",35,IF(C3074="Técnico II",28,IF(C3074="Técnico I",23,IF(C3074="JR",20,IF(C3074="Estágio",10,0))))),IF(C3074="Técnico III",SUMIFS($D:$D,$A:$A,$A3074,$B:$B,"&lt;&gt;Patrícia Karla de Sousa Araújo",$B:$B,"&lt;&gt;Lorena Dias de Araujo",$B:$B,"&lt;&gt;Lucas Luiz Romero")*(35/1083),IF(C3074="Técnico II",SUMIFS($D:$D,$A:$A,$A3074,$B:$B,"&lt;&gt;Patrícia Karla de Sousa Araújo",$B:$B,"&lt;&gt;Lorena Dias de Araujo",$B:$B,"&lt;&gt;Lucas Luiz Romero")*(28/1083),IF(C3074="Técnico I",SUMIFS($D:$D,$A:$A,$A3074,$B:$B,"&lt;&gt;Patrícia Karla de Sousa Araújo",$B:$B,"&lt;&gt;Lorena Dias de Araujo",$B:$B,"&lt;&gt;Lucas Luiz Romero")*(23/1083),IF(C3074="JR",SUMIFS($D:$D,$A:$A,$A3074,$B:$B,"&lt;&gt;Patrícia Karla de Sousa Araújo",$B:$B,"&lt;&gt;Lorena Dias de Araujo",$B:$B,"&lt;&gt;Lucas Luiz Romero")*(20/1083),IF(C3074="Estágio",SUMIFS($D:$D,$A:$A,$A3074,$B:$B,"&lt;&gt;Patrícia Karla de Sousa Araújo",$B:$B,"&lt;&gt;Lorena Dias de Araujo",$B:$B,"&lt;&gt;Lucas Luiz Romero")*(10/1083),0)))))),0)</f>
        <v/>
      </c>
      <c r="K3074" s="3">
        <f>I3074-J3074</f>
        <v/>
      </c>
      <c r="L3074" s="3">
        <f>IF(K3074&lt;-5,"CRÍTICO",IF(K3074&lt;0,"ATENÇÃO",IF(K3074&lt;=5,"OPORTUNO","MUITO BOM")))</f>
        <v/>
      </c>
      <c r="N3074" t="n">
        <v>98.41</v>
      </c>
      <c r="O3074" t="n">
        <v>28.13852813852814</v>
      </c>
    </row>
    <row r="3075" hidden="1">
      <c r="A3075" s="11" t="n">
        <v>46098</v>
      </c>
      <c r="B3075" t="inlineStr">
        <is>
          <t>Davylla Rodrigues Freitas Silva</t>
        </is>
      </c>
      <c r="C3075" t="inlineStr">
        <is>
          <t>Técnico III</t>
        </is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s="3" t="n">
        <v>0</v>
      </c>
      <c r="J3075" s="3" t="n">
        <v>0</v>
      </c>
      <c r="K3075" s="3" t="n">
        <v>0</v>
      </c>
      <c r="L3075" s="3">
        <f>IF(K3075&lt;-5,"CRÍTICO",IF(K3075&lt;0,"ATENÇÃO",IF(K3075&lt;=5,"OPORTUNO","MUITO BOM")))</f>
        <v/>
      </c>
      <c r="N3075" t="n">
        <v>98.73</v>
      </c>
      <c r="O3075" t="n">
        <v>29.14285714285714</v>
      </c>
    </row>
    <row r="3076" hidden="1">
      <c r="A3076" s="11" t="n">
        <v>46098</v>
      </c>
      <c r="B3076" t="inlineStr">
        <is>
          <t>Emilly Caylane Costa</t>
        </is>
      </c>
      <c r="C3076" t="inlineStr">
        <is>
          <t>Estágio</t>
        </is>
      </c>
      <c r="D3076" t="n">
        <v>9</v>
      </c>
      <c r="E3076" t="n">
        <v>8</v>
      </c>
      <c r="F3076" t="n">
        <v>43.36</v>
      </c>
      <c r="G3076" t="n">
        <v>0</v>
      </c>
      <c r="H3076" t="n">
        <v>0</v>
      </c>
      <c r="I3076" s="3">
        <f>E3076+G3076+H3076</f>
        <v/>
      </c>
      <c r="J3076" s="3">
        <f>ROUND(MIN(IF(C3076="Técnico III",35,IF(C3076="Técnico II",28,IF(C3076="Técnico I",23,IF(C3076="JR",20,IF(C3076="Estágio",10,0))))),IF(C3076="Técnico III",SUMIFS($D:$D,$A:$A,$A3076,$B:$B,"&lt;&gt;Patrícia Karla de Sousa Araújo",$B:$B,"&lt;&gt;Lorena Dias de Araujo",$B:$B,"&lt;&gt;Lucas Luiz Romero")*(35/1083),IF(C3076="Técnico II",SUMIFS($D:$D,$A:$A,$A3076,$B:$B,"&lt;&gt;Patrícia Karla de Sousa Araújo",$B:$B,"&lt;&gt;Lorena Dias de Araujo",$B:$B,"&lt;&gt;Lucas Luiz Romero")*(28/1083),IF(C3076="Técnico I",SUMIFS($D:$D,$A:$A,$A3076,$B:$B,"&lt;&gt;Patrícia Karla de Sousa Araújo",$B:$B,"&lt;&gt;Lorena Dias de Araujo",$B:$B,"&lt;&gt;Lucas Luiz Romero")*(23/1083),IF(C3076="JR",SUMIFS($D:$D,$A:$A,$A3076,$B:$B,"&lt;&gt;Patrícia Karla de Sousa Araújo",$B:$B,"&lt;&gt;Lorena Dias de Araujo",$B:$B,"&lt;&gt;Lucas Luiz Romero")*(20/1083),IF(C3076="Estágio",SUMIFS($D:$D,$A:$A,$A3076,$B:$B,"&lt;&gt;Patrícia Karla de Sousa Araújo",$B:$B,"&lt;&gt;Lorena Dias de Araujo",$B:$B,"&lt;&gt;Lucas Luiz Romero")*(10/1083),0)))))),0)</f>
        <v/>
      </c>
      <c r="K3076" s="3">
        <f>I3076-J3076</f>
        <v/>
      </c>
      <c r="L3076" s="3">
        <f>IF(K3076&lt;-5,"CRÍTICO",IF(K3076&lt;0,"ATENÇÃO",IF(K3076&lt;=5,"OPORTUNO","MUITO BOM")))</f>
        <v/>
      </c>
      <c r="N3076" t="n">
        <v>90.48</v>
      </c>
      <c r="O3076" t="n">
        <v>20.68965517241379</v>
      </c>
    </row>
    <row r="3077" hidden="1">
      <c r="A3077" s="11" t="n">
        <v>46098</v>
      </c>
      <c r="B3077" t="inlineStr">
        <is>
          <t>Emilly Kamilly Medeiros Miranda</t>
        </is>
      </c>
      <c r="C3077" t="inlineStr">
        <is>
          <t>Técnico II</t>
        </is>
      </c>
      <c r="D3077" t="n">
        <v>25</v>
      </c>
      <c r="E3077" t="n">
        <v>25</v>
      </c>
      <c r="F3077" t="n">
        <v>20.08</v>
      </c>
      <c r="G3077" t="n">
        <v>0</v>
      </c>
      <c r="H3077" t="n">
        <v>0</v>
      </c>
      <c r="I3077" s="3">
        <f>E3077+G3077+H3077</f>
        <v/>
      </c>
      <c r="J3077" s="3">
        <f>ROUND(MIN(IF(C3077="Técnico III",35,IF(C3077="Técnico II",28,IF(C3077="Técnico I",23,IF(C3077="JR",20,IF(C3077="Estágio",10,0))))),IF(C3077="Técnico III",SUMIFS($D:$D,$A:$A,$A3077,$B:$B,"&lt;&gt;Patrícia Karla de Sousa Araújo",$B:$B,"&lt;&gt;Lorena Dias de Araujo",$B:$B,"&lt;&gt;Lucas Luiz Romero")*(35/1083),IF(C3077="Técnico II",SUMIFS($D:$D,$A:$A,$A3077,$B:$B,"&lt;&gt;Patrícia Karla de Sousa Araújo",$B:$B,"&lt;&gt;Lorena Dias de Araujo",$B:$B,"&lt;&gt;Lucas Luiz Romero")*(28/1083),IF(C3077="Técnico I",SUMIFS($D:$D,$A:$A,$A3077,$B:$B,"&lt;&gt;Patrícia Karla de Sousa Araújo",$B:$B,"&lt;&gt;Lorena Dias de Araujo",$B:$B,"&lt;&gt;Lucas Luiz Romero")*(23/1083),IF(C3077="JR",SUMIFS($D:$D,$A:$A,$A3077,$B:$B,"&lt;&gt;Patrícia Karla de Sousa Araújo",$B:$B,"&lt;&gt;Lorena Dias de Araujo",$B:$B,"&lt;&gt;Lucas Luiz Romero")*(20/1083),IF(C3077="Estágio",SUMIFS($D:$D,$A:$A,$A3077,$B:$B,"&lt;&gt;Patrícia Karla de Sousa Araújo",$B:$B,"&lt;&gt;Lorena Dias de Araujo",$B:$B,"&lt;&gt;Lucas Luiz Romero")*(10/1083),0)))))),0)</f>
        <v/>
      </c>
      <c r="K3077" s="3">
        <f>I3077-J3077</f>
        <v/>
      </c>
      <c r="L3077" s="3">
        <f>IF(K3077&lt;-5,"CRÍTICO",IF(K3077&lt;0,"ATENÇÃO",IF(K3077&lt;=5,"OPORTUNO","MUITO BOM")))</f>
        <v/>
      </c>
      <c r="N3077" t="n">
        <v>98.06</v>
      </c>
      <c r="O3077" t="n">
        <v>24.78991596638656</v>
      </c>
    </row>
    <row r="3078" hidden="1">
      <c r="A3078" s="11" t="n">
        <v>46098</v>
      </c>
      <c r="B3078" t="inlineStr">
        <is>
          <t>Francielson de Oliveira</t>
        </is>
      </c>
      <c r="C3078" t="inlineStr">
        <is>
          <t>Técnico III</t>
        </is>
      </c>
      <c r="D3078" t="n">
        <v>29</v>
      </c>
      <c r="E3078" t="n">
        <v>29</v>
      </c>
      <c r="F3078" t="n">
        <v>20.37</v>
      </c>
      <c r="G3078" t="n">
        <v>0</v>
      </c>
      <c r="H3078" t="n">
        <v>0</v>
      </c>
      <c r="I3078" s="3">
        <f>E3078+G3078+H3078</f>
        <v/>
      </c>
      <c r="J3078" s="3">
        <f>ROUND(MIN(IF(C3078="Técnico III",35,IF(C3078="Técnico II",28,IF(C3078="Técnico I",23,IF(C3078="JR",20,IF(C3078="Estágio",10,0))))),IF(C3078="Técnico III",SUMIFS($D:$D,$A:$A,$A3078,$B:$B,"&lt;&gt;Patrícia Karla de Sousa Araújo",$B:$B,"&lt;&gt;Lorena Dias de Araujo",$B:$B,"&lt;&gt;Lucas Luiz Romero")*(35/1083),IF(C3078="Técnico II",SUMIFS($D:$D,$A:$A,$A3078,$B:$B,"&lt;&gt;Patrícia Karla de Sousa Araújo",$B:$B,"&lt;&gt;Lorena Dias de Araujo",$B:$B,"&lt;&gt;Lucas Luiz Romero")*(28/1083),IF(C3078="Técnico I",SUMIFS($D:$D,$A:$A,$A3078,$B:$B,"&lt;&gt;Patrícia Karla de Sousa Araújo",$B:$B,"&lt;&gt;Lorena Dias de Araujo",$B:$B,"&lt;&gt;Lucas Luiz Romero")*(23/1083),IF(C3078="JR",SUMIFS($D:$D,$A:$A,$A3078,$B:$B,"&lt;&gt;Patrícia Karla de Sousa Araújo",$B:$B,"&lt;&gt;Lorena Dias de Araujo",$B:$B,"&lt;&gt;Lucas Luiz Romero")*(20/1083),IF(C3078="Estágio",SUMIFS($D:$D,$A:$A,$A3078,$B:$B,"&lt;&gt;Patrícia Karla de Sousa Araújo",$B:$B,"&lt;&gt;Lorena Dias de Araujo",$B:$B,"&lt;&gt;Lucas Luiz Romero")*(10/1083),0)))))),0)</f>
        <v/>
      </c>
      <c r="K3078" s="3">
        <f>I3078-J3078</f>
        <v/>
      </c>
      <c r="L3078" s="3">
        <f>IF(K3078&lt;-5,"CRÍTICO",IF(K3078&lt;0,"ATENÇÃO",IF(K3078&lt;=5,"OPORTUNO","MUITO BOM")))</f>
        <v/>
      </c>
      <c r="N3078" t="n">
        <v>97.78</v>
      </c>
      <c r="O3078" t="n">
        <v>25.49407114624506</v>
      </c>
    </row>
    <row r="3079" hidden="1">
      <c r="A3079" s="11" t="n">
        <v>46098</v>
      </c>
      <c r="B3079" t="inlineStr">
        <is>
          <t>Francilene Ferreira de Jesus</t>
        </is>
      </c>
      <c r="C3079" t="inlineStr">
        <is>
          <t>Técnico II</t>
        </is>
      </c>
      <c r="D3079" t="n">
        <v>21</v>
      </c>
      <c r="E3079" t="n">
        <v>20</v>
      </c>
      <c r="F3079" t="n">
        <v>18.32</v>
      </c>
      <c r="G3079" t="n">
        <v>0</v>
      </c>
      <c r="H3079" t="n">
        <v>0</v>
      </c>
      <c r="I3079" s="3">
        <f>E3079+G3079+H3079</f>
        <v/>
      </c>
      <c r="J3079" s="3">
        <f>ROUND(MIN(IF(C3079="Técnico III",35,IF(C3079="Técnico II",28,IF(C3079="Técnico I",23,IF(C3079="JR",20,IF(C3079="Estágio",10,0))))),IF(C3079="Técnico III",SUMIFS($D:$D,$A:$A,$A3079,$B:$B,"&lt;&gt;Patrícia Karla de Sousa Araújo",$B:$B,"&lt;&gt;Lorena Dias de Araujo",$B:$B,"&lt;&gt;Lucas Luiz Romero")*(35/1083),IF(C3079="Técnico II",SUMIFS($D:$D,$A:$A,$A3079,$B:$B,"&lt;&gt;Patrícia Karla de Sousa Araújo",$B:$B,"&lt;&gt;Lorena Dias de Araujo",$B:$B,"&lt;&gt;Lucas Luiz Romero")*(28/1083),IF(C3079="Técnico I",SUMIFS($D:$D,$A:$A,$A3079,$B:$B,"&lt;&gt;Patrícia Karla de Sousa Araújo",$B:$B,"&lt;&gt;Lorena Dias de Araujo",$B:$B,"&lt;&gt;Lucas Luiz Romero")*(23/1083),IF(C3079="JR",SUMIFS($D:$D,$A:$A,$A3079,$B:$B,"&lt;&gt;Patrícia Karla de Sousa Araújo",$B:$B,"&lt;&gt;Lorena Dias de Araujo",$B:$B,"&lt;&gt;Lucas Luiz Romero")*(20/1083),IF(C3079="Estágio",SUMIFS($D:$D,$A:$A,$A3079,$B:$B,"&lt;&gt;Patrícia Karla de Sousa Araújo",$B:$B,"&lt;&gt;Lorena Dias de Araujo",$B:$B,"&lt;&gt;Lucas Luiz Romero")*(10/1083),0)))))),0)</f>
        <v/>
      </c>
      <c r="K3079" s="3">
        <f>I3079-J3079</f>
        <v/>
      </c>
      <c r="L3079" s="3">
        <f>IF(K3079&lt;-5,"CRÍTICO",IF(K3079&lt;0,"ATENÇÃO",IF(K3079&lt;=5,"OPORTUNO","MUITO BOM")))</f>
        <v/>
      </c>
      <c r="N3079" t="n">
        <v>98.02</v>
      </c>
      <c r="O3079" t="n">
        <v>23.48484848484848</v>
      </c>
    </row>
    <row r="3080" hidden="1">
      <c r="A3080" s="11" t="n">
        <v>46132</v>
      </c>
      <c r="B3080" t="inlineStr">
        <is>
          <t>Gabriel Gomes de Andrade</t>
        </is>
      </c>
      <c r="C3080" t="inlineStr">
        <is>
          <t>Técnico I</t>
        </is>
      </c>
      <c r="D3080" t="n">
        <v>10</v>
      </c>
      <c r="E3080" t="n">
        <v>9</v>
      </c>
      <c r="F3080" t="n">
        <v>23.48</v>
      </c>
      <c r="G3080" t="n">
        <v>0</v>
      </c>
      <c r="H3080" t="n">
        <v>0</v>
      </c>
      <c r="I3080" s="3">
        <f>E3080+G3080+H3080</f>
        <v/>
      </c>
      <c r="J3080" s="3">
        <f>ROUND(MIN(IF(C3080="Técnico III",35,IF(C3080="Técnico II",28,IF(C3080="Técnico I",23,IF(C3080="JR",20,IF(C3080="Estágio",10,0))))),IF(C3080="Técnico III",SUMIFS($D:$D,$A:$A,$A3080,$B:$B,"&lt;&gt;Patrícia Karla de Sousa Araújo",$B:$B,"&lt;&gt;Lorena Dias de Araujo",$B:$B,"&lt;&gt;Lucas Luiz Romero")*(35/1083),IF(C3080="Técnico II",SUMIFS($D:$D,$A:$A,$A3080,$B:$B,"&lt;&gt;Patrícia Karla de Sousa Araújo",$B:$B,"&lt;&gt;Lorena Dias de Araujo",$B:$B,"&lt;&gt;Lucas Luiz Romero")*(28/1083),IF(C3080="Técnico I",SUMIFS($D:$D,$A:$A,$A3080,$B:$B,"&lt;&gt;Patrícia Karla de Sousa Araújo",$B:$B,"&lt;&gt;Lorena Dias de Araujo",$B:$B,"&lt;&gt;Lucas Luiz Romero")*(23/1083),IF(C3080="JR",SUMIFS($D:$D,$A:$A,$A3080,$B:$B,"&lt;&gt;Patrícia Karla de Sousa Araújo",$B:$B,"&lt;&gt;Lorena Dias de Araujo",$B:$B,"&lt;&gt;Lucas Luiz Romero")*(20/1083),IF(C3080="Estágio",SUMIFS($D:$D,$A:$A,$A3080,$B:$B,"&lt;&gt;Patrícia Karla de Sousa Araújo",$B:$B,"&lt;&gt;Lorena Dias de Araujo",$B:$B,"&lt;&gt;Lucas Luiz Romero")*(10/1083),0)))))),0)</f>
        <v/>
      </c>
      <c r="K3080" s="3">
        <f>I3080-J3080</f>
        <v/>
      </c>
      <c r="L3080" s="3">
        <f>IF(K3080&lt;-5,"CRÍTICO",IF(K3080&lt;0,"ATENÇÃO",IF(K3080&lt;=5,"OPORTUNO","MUITO BOM")))</f>
        <v/>
      </c>
      <c r="N3080" t="n">
        <v>99.28</v>
      </c>
      <c r="O3080" t="n">
        <v>27.68924302788844</v>
      </c>
    </row>
    <row r="3081" hidden="1">
      <c r="A3081" s="11" t="n">
        <v>46098</v>
      </c>
      <c r="B3081" t="inlineStr">
        <is>
          <t>Isabella Borges de Oliveira</t>
        </is>
      </c>
      <c r="C3081" t="inlineStr">
        <is>
          <t>Técnico II</t>
        </is>
      </c>
      <c r="D3081" t="n">
        <v>33</v>
      </c>
      <c r="E3081" t="n">
        <v>31</v>
      </c>
      <c r="F3081" t="n">
        <v>14.06</v>
      </c>
      <c r="G3081" t="n">
        <v>0</v>
      </c>
      <c r="H3081" t="n">
        <v>0</v>
      </c>
      <c r="I3081" s="3">
        <f>E3081+G3081+H3081</f>
        <v/>
      </c>
      <c r="J3081" s="3">
        <f>ROUND(MIN(IF(C3081="Técnico III",35,IF(C3081="Técnico II",28,IF(C3081="Técnico I",23,IF(C3081="JR",20,IF(C3081="Estágio",10,0))))),IF(C3081="Técnico III",SUMIFS($D:$D,$A:$A,$A3081,$B:$B,"&lt;&gt;Patrícia Karla de Sousa Araújo",$B:$B,"&lt;&gt;Lorena Dias de Araujo",$B:$B,"&lt;&gt;Lucas Luiz Romero")*(35/1083),IF(C3081="Técnico II",SUMIFS($D:$D,$A:$A,$A3081,$B:$B,"&lt;&gt;Patrícia Karla de Sousa Araújo",$B:$B,"&lt;&gt;Lorena Dias de Araujo",$B:$B,"&lt;&gt;Lucas Luiz Romero")*(28/1083),IF(C3081="Técnico I",SUMIFS($D:$D,$A:$A,$A3081,$B:$B,"&lt;&gt;Patrícia Karla de Sousa Araújo",$B:$B,"&lt;&gt;Lorena Dias de Araujo",$B:$B,"&lt;&gt;Lucas Luiz Romero")*(23/1083),IF(C3081="JR",SUMIFS($D:$D,$A:$A,$A3081,$B:$B,"&lt;&gt;Patrícia Karla de Sousa Araújo",$B:$B,"&lt;&gt;Lorena Dias de Araujo",$B:$B,"&lt;&gt;Lucas Luiz Romero")*(20/1083),IF(C3081="Estágio",SUMIFS($D:$D,$A:$A,$A3081,$B:$B,"&lt;&gt;Patrícia Karla de Sousa Araújo",$B:$B,"&lt;&gt;Lorena Dias de Araujo",$B:$B,"&lt;&gt;Lucas Luiz Romero")*(10/1083),0)))))),0)</f>
        <v/>
      </c>
      <c r="K3081" s="3">
        <f>I3081-J3081</f>
        <v/>
      </c>
      <c r="L3081" s="3">
        <f>IF(K3081&lt;-5,"CRÍTICO",IF(K3081&lt;0,"ATENÇÃO",IF(K3081&lt;=5,"OPORTUNO","MUITO BOM")))</f>
        <v/>
      </c>
      <c r="N3081" t="n">
        <v>100</v>
      </c>
      <c r="O3081" t="n">
        <v>27.04918032786885</v>
      </c>
    </row>
    <row r="3082" hidden="1">
      <c r="A3082" s="11" t="n">
        <v>46098</v>
      </c>
      <c r="B3082" t="inlineStr">
        <is>
          <t>Janaina Lima dos Reis Urany</t>
        </is>
      </c>
      <c r="C3082" t="inlineStr">
        <is>
          <t>Técnico III</t>
        </is>
      </c>
      <c r="D3082" t="n">
        <v>45</v>
      </c>
      <c r="E3082" t="n">
        <v>39</v>
      </c>
      <c r="F3082" t="n">
        <v>15.06</v>
      </c>
      <c r="G3082" t="n">
        <v>0</v>
      </c>
      <c r="H3082" t="n">
        <v>0</v>
      </c>
      <c r="I3082" s="3">
        <f>E3082+G3082+H3082</f>
        <v/>
      </c>
      <c r="J3082" s="3">
        <f>ROUND(MIN(IF(C3082="Técnico III",35,IF(C3082="Técnico II",28,IF(C3082="Técnico I",23,IF(C3082="JR",20,IF(C3082="Estágio",10,0))))),IF(C3082="Técnico III",SUMIFS($D:$D,$A:$A,$A3082,$B:$B,"&lt;&gt;Patrícia Karla de Sousa Araújo",$B:$B,"&lt;&gt;Lorena Dias de Araujo",$B:$B,"&lt;&gt;Lucas Luiz Romero")*(35/1083),IF(C3082="Técnico II",SUMIFS($D:$D,$A:$A,$A3082,$B:$B,"&lt;&gt;Patrícia Karla de Sousa Araújo",$B:$B,"&lt;&gt;Lorena Dias de Araujo",$B:$B,"&lt;&gt;Lucas Luiz Romero")*(28/1083),IF(C3082="Técnico I",SUMIFS($D:$D,$A:$A,$A3082,$B:$B,"&lt;&gt;Patrícia Karla de Sousa Araújo",$B:$B,"&lt;&gt;Lorena Dias de Araujo",$B:$B,"&lt;&gt;Lucas Luiz Romero")*(23/1083),IF(C3082="JR",SUMIFS($D:$D,$A:$A,$A3082,$B:$B,"&lt;&gt;Patrícia Karla de Sousa Araújo",$B:$B,"&lt;&gt;Lorena Dias de Araujo",$B:$B,"&lt;&gt;Lucas Luiz Romero")*(20/1083),IF(C3082="Estágio",SUMIFS($D:$D,$A:$A,$A3082,$B:$B,"&lt;&gt;Patrícia Karla de Sousa Araújo",$B:$B,"&lt;&gt;Lorena Dias de Araujo",$B:$B,"&lt;&gt;Lucas Luiz Romero")*(10/1083),0)))))),0)</f>
        <v/>
      </c>
      <c r="K3082" s="3">
        <f>I3082-J3082</f>
        <v/>
      </c>
      <c r="L3082" s="3">
        <f>IF(K3082&lt;-5,"CRÍTICO",IF(K3082&lt;0,"ATENÇÃO",IF(K3082&lt;=5,"OPORTUNO","MUITO BOM")))</f>
        <v/>
      </c>
      <c r="N3082" t="n">
        <v>97.83</v>
      </c>
      <c r="O3082" t="n">
        <v>26.31578947368421</v>
      </c>
    </row>
    <row r="3083" hidden="1">
      <c r="A3083" s="11" t="n">
        <v>46098</v>
      </c>
      <c r="B3083" t="inlineStr">
        <is>
          <t>Jaqueline Evangelista da Silva Martins</t>
        </is>
      </c>
      <c r="C3083" t="inlineStr">
        <is>
          <t>Técnico III</t>
        </is>
      </c>
      <c r="D3083" t="n">
        <v>9</v>
      </c>
      <c r="E3083" t="n">
        <v>8</v>
      </c>
      <c r="F3083" t="n">
        <v>18.23</v>
      </c>
      <c r="G3083" t="n">
        <v>0</v>
      </c>
      <c r="H3083" t="n">
        <v>0</v>
      </c>
      <c r="I3083" s="3">
        <f>E3083+G3083+H3083</f>
        <v/>
      </c>
      <c r="J3083" s="3">
        <f>ROUND(MIN(IF(C3083="Técnico III",35,IF(C3083="Técnico II",28,IF(C3083="Técnico I",23,IF(C3083="JR",20,IF(C3083="Estágio",10,0))))),IF(C3083="Técnico III",SUMIFS($D:$D,$A:$A,$A3083,$B:$B,"&lt;&gt;Patrícia Karla de Sousa Araújo",$B:$B,"&lt;&gt;Lorena Dias de Araujo",$B:$B,"&lt;&gt;Lucas Luiz Romero")*(35/1083),IF(C3083="Técnico II",SUMIFS($D:$D,$A:$A,$A3083,$B:$B,"&lt;&gt;Patrícia Karla de Sousa Araújo",$B:$B,"&lt;&gt;Lorena Dias de Araujo",$B:$B,"&lt;&gt;Lucas Luiz Romero")*(28/1083),IF(C3083="Técnico I",SUMIFS($D:$D,$A:$A,$A3083,$B:$B,"&lt;&gt;Patrícia Karla de Sousa Araújo",$B:$B,"&lt;&gt;Lorena Dias de Araujo",$B:$B,"&lt;&gt;Lucas Luiz Romero")*(23/1083),IF(C3083="JR",SUMIFS($D:$D,$A:$A,$A3083,$B:$B,"&lt;&gt;Patrícia Karla de Sousa Araújo",$B:$B,"&lt;&gt;Lorena Dias de Araujo",$B:$B,"&lt;&gt;Lucas Luiz Romero")*(20/1083),IF(C3083="Estágio",SUMIFS($D:$D,$A:$A,$A3083,$B:$B,"&lt;&gt;Patrícia Karla de Sousa Araújo",$B:$B,"&lt;&gt;Lorena Dias de Araujo",$B:$B,"&lt;&gt;Lucas Luiz Romero")*(10/1083),0)))))),0)</f>
        <v/>
      </c>
      <c r="K3083" s="3">
        <f>I3083-J3083</f>
        <v/>
      </c>
      <c r="L3083" s="3">
        <f>IF(K3083&lt;-5,"CRÍTICO",IF(K3083&lt;0,"ATENÇÃO",IF(K3083&lt;=5,"OPORTUNO","MUITO BOM")))</f>
        <v/>
      </c>
      <c r="N3083" t="n">
        <v>100</v>
      </c>
      <c r="O3083" t="n">
        <v>26.70157068062827</v>
      </c>
    </row>
    <row r="3084" hidden="1">
      <c r="A3084" s="11" t="n">
        <v>46098</v>
      </c>
      <c r="B3084" t="inlineStr">
        <is>
          <t>Jessica Faria da Silveira</t>
        </is>
      </c>
      <c r="C3084" t="inlineStr">
        <is>
          <t>Técnico II</t>
        </is>
      </c>
      <c r="D3084" t="n">
        <v>29</v>
      </c>
      <c r="E3084" t="n">
        <v>26</v>
      </c>
      <c r="F3084" t="n">
        <v>20.14</v>
      </c>
      <c r="G3084" t="n">
        <v>0</v>
      </c>
      <c r="H3084" t="n">
        <v>0</v>
      </c>
      <c r="I3084" s="3">
        <f>E3084+G3084+H3084</f>
        <v/>
      </c>
      <c r="J3084" s="3">
        <f>ROUND(MIN(IF(C3084="Técnico III",35,IF(C3084="Técnico II",28,IF(C3084="Técnico I",23,IF(C3084="JR",20,IF(C3084="Estágio",10,0))))),IF(C3084="Técnico III",SUMIFS($D:$D,$A:$A,$A3084,$B:$B,"&lt;&gt;Patrícia Karla de Sousa Araújo",$B:$B,"&lt;&gt;Lorena Dias de Araujo",$B:$B,"&lt;&gt;Lucas Luiz Romero")*(35/1083),IF(C3084="Técnico II",SUMIFS($D:$D,$A:$A,$A3084,$B:$B,"&lt;&gt;Patrícia Karla de Sousa Araújo",$B:$B,"&lt;&gt;Lorena Dias de Araujo",$B:$B,"&lt;&gt;Lucas Luiz Romero")*(28/1083),IF(C3084="Técnico I",SUMIFS($D:$D,$A:$A,$A3084,$B:$B,"&lt;&gt;Patrícia Karla de Sousa Araújo",$B:$B,"&lt;&gt;Lorena Dias de Araujo",$B:$B,"&lt;&gt;Lucas Luiz Romero")*(23/1083),IF(C3084="JR",SUMIFS($D:$D,$A:$A,$A3084,$B:$B,"&lt;&gt;Patrícia Karla de Sousa Araújo",$B:$B,"&lt;&gt;Lorena Dias de Araujo",$B:$B,"&lt;&gt;Lucas Luiz Romero")*(20/1083),IF(C3084="Estágio",SUMIFS($D:$D,$A:$A,$A3084,$B:$B,"&lt;&gt;Patrícia Karla de Sousa Araújo",$B:$B,"&lt;&gt;Lorena Dias de Araujo",$B:$B,"&lt;&gt;Lucas Luiz Romero")*(10/1083),0)))))),0)</f>
        <v/>
      </c>
      <c r="K3084" s="3">
        <f>I3084-J3084</f>
        <v/>
      </c>
      <c r="L3084" s="3">
        <f>IF(K3084&lt;-5,"CRÍTICO",IF(K3084&lt;0,"ATENÇÃO",IF(K3084&lt;=5,"OPORTUNO","MUITO BOM")))</f>
        <v/>
      </c>
      <c r="N3084" t="n">
        <v>97.47</v>
      </c>
      <c r="O3084" t="n">
        <v>22.88732394366197</v>
      </c>
    </row>
    <row r="3085" hidden="1">
      <c r="A3085" s="11" t="n">
        <v>46098</v>
      </c>
      <c r="B3085" t="inlineStr">
        <is>
          <t>Jéssica Fé Moura</t>
        </is>
      </c>
      <c r="C3085" t="inlineStr">
        <is>
          <t>Técnico III</t>
        </is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s="3" t="n">
        <v>0</v>
      </c>
      <c r="J3085" s="3" t="n">
        <v>0</v>
      </c>
      <c r="K3085" s="3" t="n">
        <v>0</v>
      </c>
      <c r="L3085" s="3">
        <f>IF(K3085&lt;-5,"CRÍTICO",IF(K3085&lt;0,"ATENÇÃO",IF(K3085&lt;=5,"OPORTUNO","MUITO BOM")))</f>
        <v/>
      </c>
      <c r="N3085" t="n">
        <v>0</v>
      </c>
      <c r="O3085" t="n">
        <v>0</v>
      </c>
    </row>
    <row r="3086" hidden="1">
      <c r="A3086" s="11" t="n">
        <v>46098</v>
      </c>
      <c r="B3086" t="inlineStr">
        <is>
          <t>Karina Gonçalves Martins</t>
        </is>
      </c>
      <c r="C3086" t="inlineStr">
        <is>
          <t>JR</t>
        </is>
      </c>
      <c r="D3086" t="n">
        <v>8</v>
      </c>
      <c r="E3086" t="n">
        <v>6</v>
      </c>
      <c r="F3086" t="n">
        <v>32.02</v>
      </c>
      <c r="G3086" t="n">
        <v>0</v>
      </c>
      <c r="H3086" t="n">
        <v>0</v>
      </c>
      <c r="I3086" s="3">
        <f>E3086+G3086+H3086</f>
        <v/>
      </c>
      <c r="J3086" s="3">
        <f>ROUND(MIN(IF(C3086="Técnico III",35,IF(C3086="Técnico II",28,IF(C3086="Técnico I",23,IF(C3086="JR",20,IF(C3086="Estágio",10,0))))),IF(C3086="Técnico III",SUMIFS($D:$D,$A:$A,$A3086,$B:$B,"&lt;&gt;Patrícia Karla de Sousa Araújo",$B:$B,"&lt;&gt;Lorena Dias de Araujo",$B:$B,"&lt;&gt;Lucas Luiz Romero")*(35/1083),IF(C3086="Técnico II",SUMIFS($D:$D,$A:$A,$A3086,$B:$B,"&lt;&gt;Patrícia Karla de Sousa Araújo",$B:$B,"&lt;&gt;Lorena Dias de Araujo",$B:$B,"&lt;&gt;Lucas Luiz Romero")*(28/1083),IF(C3086="Técnico I",SUMIFS($D:$D,$A:$A,$A3086,$B:$B,"&lt;&gt;Patrícia Karla de Sousa Araújo",$B:$B,"&lt;&gt;Lorena Dias de Araujo",$B:$B,"&lt;&gt;Lucas Luiz Romero")*(23/1083),IF(C3086="JR",SUMIFS($D:$D,$A:$A,$A3086,$B:$B,"&lt;&gt;Patrícia Karla de Sousa Araújo",$B:$B,"&lt;&gt;Lorena Dias de Araujo",$B:$B,"&lt;&gt;Lucas Luiz Romero")*(20/1083),IF(C3086="Estágio",SUMIFS($D:$D,$A:$A,$A3086,$B:$B,"&lt;&gt;Patrícia Karla de Sousa Araújo",$B:$B,"&lt;&gt;Lorena Dias de Araujo",$B:$B,"&lt;&gt;Lucas Luiz Romero")*(10/1083),0)))))),0)</f>
        <v/>
      </c>
      <c r="K3086" s="3">
        <f>I3086-J3086</f>
        <v/>
      </c>
      <c r="L3086" s="3">
        <f>IF(K3086&lt;-5,"CRÍTICO",IF(K3086&lt;0,"ATENÇÃO",IF(K3086&lt;=5,"OPORTUNO","MUITO BOM")))</f>
        <v/>
      </c>
      <c r="N3086" t="n">
        <v>98.31</v>
      </c>
      <c r="O3086" t="n">
        <v>24.92012779552715</v>
      </c>
    </row>
    <row r="3087" hidden="1">
      <c r="A3087" s="11" t="n">
        <v>46098</v>
      </c>
      <c r="B3087" t="inlineStr">
        <is>
          <t>Kerollen Cristielly de Jesus Siqueira</t>
        </is>
      </c>
      <c r="C3087" t="inlineStr">
        <is>
          <t>Técnico III</t>
        </is>
      </c>
      <c r="D3087" t="n">
        <v>1</v>
      </c>
      <c r="E3087" t="n">
        <v>1</v>
      </c>
      <c r="F3087" t="n">
        <v>10.12</v>
      </c>
      <c r="G3087" t="n">
        <v>0</v>
      </c>
      <c r="H3087" t="n">
        <v>0</v>
      </c>
      <c r="I3087" s="3">
        <f>E3087+G3087+H3087</f>
        <v/>
      </c>
      <c r="J3087" s="3">
        <f>ROUND(MIN(IF(C3087="Técnico III",35,IF(C3087="Técnico II",28,IF(C3087="Técnico I",23,IF(C3087="JR",20,IF(C3087="Estágio",10,0))))),IF(C3087="Técnico III",SUMIFS($D:$D,$A:$A,$A3087,$B:$B,"&lt;&gt;Patrícia Karla de Sousa Araújo",$B:$B,"&lt;&gt;Lorena Dias de Araujo",$B:$B,"&lt;&gt;Lucas Luiz Romero")*(35/1083),IF(C3087="Técnico II",SUMIFS($D:$D,$A:$A,$A3087,$B:$B,"&lt;&gt;Patrícia Karla de Sousa Araújo",$B:$B,"&lt;&gt;Lorena Dias de Araujo",$B:$B,"&lt;&gt;Lucas Luiz Romero")*(28/1083),IF(C3087="Técnico I",SUMIFS($D:$D,$A:$A,$A3087,$B:$B,"&lt;&gt;Patrícia Karla de Sousa Araújo",$B:$B,"&lt;&gt;Lorena Dias de Araujo",$B:$B,"&lt;&gt;Lucas Luiz Romero")*(23/1083),IF(C3087="JR",SUMIFS($D:$D,$A:$A,$A3087,$B:$B,"&lt;&gt;Patrícia Karla de Sousa Araújo",$B:$B,"&lt;&gt;Lorena Dias de Araujo",$B:$B,"&lt;&gt;Lucas Luiz Romero")*(20/1083),IF(C3087="Estágio",SUMIFS($D:$D,$A:$A,$A3087,$B:$B,"&lt;&gt;Patrícia Karla de Sousa Araújo",$B:$B,"&lt;&gt;Lorena Dias de Araujo",$B:$B,"&lt;&gt;Lucas Luiz Romero")*(10/1083),0)))))),0)</f>
        <v/>
      </c>
      <c r="K3087" s="3">
        <f>I3087-J3087</f>
        <v/>
      </c>
      <c r="L3087" s="3">
        <f>IF(K3087&lt;-5,"CRÍTICO",IF(K3087&lt;0,"ATENÇÃO",IF(K3087&lt;=5,"OPORTUNO","MUITO BOM")))</f>
        <v/>
      </c>
      <c r="N3087" t="n">
        <v>96.81</v>
      </c>
      <c r="O3087" t="n">
        <v>32.36514522821577</v>
      </c>
    </row>
    <row r="3088" hidden="1">
      <c r="A3088" s="11" t="n">
        <v>46098</v>
      </c>
      <c r="B3088" t="inlineStr">
        <is>
          <t>Leandro de Souza Silva</t>
        </is>
      </c>
      <c r="C3088" t="inlineStr">
        <is>
          <t>JR</t>
        </is>
      </c>
      <c r="D3088" t="n">
        <v>10</v>
      </c>
      <c r="E3088" t="n">
        <v>9</v>
      </c>
      <c r="F3088" t="n">
        <v>35.33</v>
      </c>
      <c r="G3088" t="n">
        <v>0</v>
      </c>
      <c r="H3088" t="n">
        <v>0</v>
      </c>
      <c r="I3088" s="3">
        <f>E3088+G3088+H3088</f>
        <v/>
      </c>
      <c r="J3088" s="3">
        <f>ROUND(MIN(IF(C3088="Técnico III",35,IF(C3088="Técnico II",28,IF(C3088="Técnico I",23,IF(C3088="JR",20,IF(C3088="Estágio",10,0))))),IF(C3088="Técnico III",SUMIFS($D:$D,$A:$A,$A3088,$B:$B,"&lt;&gt;Patrícia Karla de Sousa Araújo",$B:$B,"&lt;&gt;Lorena Dias de Araujo",$B:$B,"&lt;&gt;Lucas Luiz Romero")*(35/1083),IF(C3088="Técnico II",SUMIFS($D:$D,$A:$A,$A3088,$B:$B,"&lt;&gt;Patrícia Karla de Sousa Araújo",$B:$B,"&lt;&gt;Lorena Dias de Araujo",$B:$B,"&lt;&gt;Lucas Luiz Romero")*(28/1083),IF(C3088="Técnico I",SUMIFS($D:$D,$A:$A,$A3088,$B:$B,"&lt;&gt;Patrícia Karla de Sousa Araújo",$B:$B,"&lt;&gt;Lorena Dias de Araujo",$B:$B,"&lt;&gt;Lucas Luiz Romero")*(23/1083),IF(C3088="JR",SUMIFS($D:$D,$A:$A,$A3088,$B:$B,"&lt;&gt;Patrícia Karla de Sousa Araújo",$B:$B,"&lt;&gt;Lorena Dias de Araujo",$B:$B,"&lt;&gt;Lucas Luiz Romero")*(20/1083),IF(C3088="Estágio",SUMIFS($D:$D,$A:$A,$A3088,$B:$B,"&lt;&gt;Patrícia Karla de Sousa Araújo",$B:$B,"&lt;&gt;Lorena Dias de Araujo",$B:$B,"&lt;&gt;Lucas Luiz Romero")*(10/1083),0)))))),0)</f>
        <v/>
      </c>
      <c r="K3088" s="3">
        <f>I3088-J3088</f>
        <v/>
      </c>
      <c r="L3088" s="3">
        <f>IF(K3088&lt;-5,"CRÍTICO",IF(K3088&lt;0,"ATENÇÃO",IF(K3088&lt;=5,"OPORTUNO","MUITO BOM")))</f>
        <v/>
      </c>
      <c r="N3088" t="n">
        <v>100</v>
      </c>
      <c r="O3088" t="n">
        <v>26.47058823529412</v>
      </c>
    </row>
    <row r="3089" hidden="1">
      <c r="A3089" s="11" t="n">
        <v>46098</v>
      </c>
      <c r="B3089" t="inlineStr">
        <is>
          <t>Leandro Oliveira de Sousa</t>
        </is>
      </c>
      <c r="C3089" t="inlineStr">
        <is>
          <t>Técnico III</t>
        </is>
      </c>
      <c r="D3089" t="n">
        <v>18</v>
      </c>
      <c r="E3089" t="n">
        <v>18</v>
      </c>
      <c r="F3089" t="n">
        <v>25.22</v>
      </c>
      <c r="G3089" t="n">
        <v>0</v>
      </c>
      <c r="H3089" t="n">
        <v>0</v>
      </c>
      <c r="I3089" s="3">
        <f>E3089+G3089+H3089</f>
        <v/>
      </c>
      <c r="J3089" s="3">
        <f>ROUND(MIN(IF(C3089="Técnico III",35,IF(C3089="Técnico II",28,IF(C3089="Técnico I",23,IF(C3089="JR",20,IF(C3089="Estágio",10,0))))),IF(C3089="Técnico III",SUMIFS($D:$D,$A:$A,$A3089,$B:$B,"&lt;&gt;Patrícia Karla de Sousa Araújo",$B:$B,"&lt;&gt;Lorena Dias de Araujo",$B:$B,"&lt;&gt;Lucas Luiz Romero")*(35/1083),IF(C3089="Técnico II",SUMIFS($D:$D,$A:$A,$A3089,$B:$B,"&lt;&gt;Patrícia Karla de Sousa Araújo",$B:$B,"&lt;&gt;Lorena Dias de Araujo",$B:$B,"&lt;&gt;Lucas Luiz Romero")*(28/1083),IF(C3089="Técnico I",SUMIFS($D:$D,$A:$A,$A3089,$B:$B,"&lt;&gt;Patrícia Karla de Sousa Araújo",$B:$B,"&lt;&gt;Lorena Dias de Araujo",$B:$B,"&lt;&gt;Lucas Luiz Romero")*(23/1083),IF(C3089="JR",SUMIFS($D:$D,$A:$A,$A3089,$B:$B,"&lt;&gt;Patrícia Karla de Sousa Araújo",$B:$B,"&lt;&gt;Lorena Dias de Araujo",$B:$B,"&lt;&gt;Lucas Luiz Romero")*(20/1083),IF(C3089="Estágio",SUMIFS($D:$D,$A:$A,$A3089,$B:$B,"&lt;&gt;Patrícia Karla de Sousa Araújo",$B:$B,"&lt;&gt;Lorena Dias de Araujo",$B:$B,"&lt;&gt;Lucas Luiz Romero")*(10/1083),0)))))),0)</f>
        <v/>
      </c>
      <c r="K3089" s="3">
        <f>I3089-J3089</f>
        <v/>
      </c>
      <c r="L3089" s="3">
        <f>IF(K3089&lt;-5,"CRÍTICO",IF(K3089&lt;0,"ATENÇÃO",IF(K3089&lt;=5,"OPORTUNO","MUITO BOM")))</f>
        <v/>
      </c>
      <c r="N3089" t="n">
        <v>100</v>
      </c>
      <c r="O3089" t="n">
        <v>28.49002849002849</v>
      </c>
    </row>
    <row r="3090" hidden="1">
      <c r="A3090" s="11" t="n">
        <v>46098</v>
      </c>
      <c r="B3090" t="inlineStr">
        <is>
          <t>Lizandra Gomes Duarte</t>
        </is>
      </c>
      <c r="C3090" t="inlineStr">
        <is>
          <t>Técnico II</t>
        </is>
      </c>
      <c r="D3090" t="n">
        <v>38</v>
      </c>
      <c r="E3090" t="n">
        <v>36</v>
      </c>
      <c r="F3090" t="n">
        <v>20.03</v>
      </c>
      <c r="G3090" t="n">
        <v>0</v>
      </c>
      <c r="H3090" t="n">
        <v>0</v>
      </c>
      <c r="I3090" s="3">
        <f>E3090+G3090+H3090</f>
        <v/>
      </c>
      <c r="J3090" s="3">
        <f>ROUND(MIN(IF(C3090="Técnico III",35,IF(C3090="Técnico II",28,IF(C3090="Técnico I",23,IF(C3090="JR",20,IF(C3090="Estágio",10,0))))),IF(C3090="Técnico III",SUMIFS($D:$D,$A:$A,$A3090,$B:$B,"&lt;&gt;Patrícia Karla de Sousa Araújo",$B:$B,"&lt;&gt;Lorena Dias de Araujo",$B:$B,"&lt;&gt;Lucas Luiz Romero")*(35/1083),IF(C3090="Técnico II",SUMIFS($D:$D,$A:$A,$A3090,$B:$B,"&lt;&gt;Patrícia Karla de Sousa Araújo",$B:$B,"&lt;&gt;Lorena Dias de Araujo",$B:$B,"&lt;&gt;Lucas Luiz Romero")*(28/1083),IF(C3090="Técnico I",SUMIFS($D:$D,$A:$A,$A3090,$B:$B,"&lt;&gt;Patrícia Karla de Sousa Araújo",$B:$B,"&lt;&gt;Lorena Dias de Araujo",$B:$B,"&lt;&gt;Lucas Luiz Romero")*(23/1083),IF(C3090="JR",SUMIFS($D:$D,$A:$A,$A3090,$B:$B,"&lt;&gt;Patrícia Karla de Sousa Araújo",$B:$B,"&lt;&gt;Lorena Dias de Araujo",$B:$B,"&lt;&gt;Lucas Luiz Romero")*(20/1083),IF(C3090="Estágio",SUMIFS($D:$D,$A:$A,$A3090,$B:$B,"&lt;&gt;Patrícia Karla de Sousa Araújo",$B:$B,"&lt;&gt;Lorena Dias de Araujo",$B:$B,"&lt;&gt;Lucas Luiz Romero")*(10/1083),0)))))),0)</f>
        <v/>
      </c>
      <c r="K3090" s="3">
        <f>I3090-J3090</f>
        <v/>
      </c>
      <c r="L3090" s="3">
        <f>IF(K3090&lt;-5,"CRÍTICO",IF(K3090&lt;0,"ATENÇÃO",IF(K3090&lt;=5,"OPORTUNO","MUITO BOM")))</f>
        <v/>
      </c>
      <c r="N3090" t="n">
        <v>99.14</v>
      </c>
      <c r="O3090" t="n">
        <v>27.2289156626506</v>
      </c>
    </row>
    <row r="3091" hidden="1">
      <c r="A3091" s="11" t="n">
        <v>46098</v>
      </c>
      <c r="B3091" t="inlineStr">
        <is>
          <t>Lorena Dias de Araujo</t>
        </is>
      </c>
      <c r="C3091" t="inlineStr">
        <is>
          <t>Técnico II</t>
        </is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s="3" t="n">
        <v>0</v>
      </c>
      <c r="J3091" s="3" t="n">
        <v>0</v>
      </c>
      <c r="K3091" s="3" t="n">
        <v>0</v>
      </c>
      <c r="L3091" s="3">
        <f>IF(K3091&lt;-5,"CRÍTICO",IF(K3091&lt;0,"ATENÇÃO",IF(K3091&lt;=5,"OPORTUNO","MUITO BOM")))</f>
        <v/>
      </c>
      <c r="N3091" t="n">
        <v>97.52</v>
      </c>
      <c r="O3091" t="n">
        <v>28.2051282051282</v>
      </c>
    </row>
    <row r="3092" hidden="1">
      <c r="A3092" s="11" t="n">
        <v>46098</v>
      </c>
      <c r="B3092" t="inlineStr">
        <is>
          <t>Lucas Luiz Romero</t>
        </is>
      </c>
      <c r="C3092" t="inlineStr">
        <is>
          <t>Técnico III</t>
        </is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s="3" t="n">
        <v>0</v>
      </c>
      <c r="J3092" s="3" t="n">
        <v>0</v>
      </c>
      <c r="K3092" s="3" t="n">
        <v>0</v>
      </c>
      <c r="L3092" s="3">
        <f>IF(K3092&lt;-5,"CRÍTICO",IF(K3092&lt;0,"ATENÇÃO",IF(K3092&lt;=5,"OPORTUNO","MUITO BOM")))</f>
        <v/>
      </c>
      <c r="N3092" t="n">
        <v>90</v>
      </c>
      <c r="O3092" t="n">
        <v>24.18604651162791</v>
      </c>
    </row>
    <row r="3093" hidden="1">
      <c r="A3093" s="11" t="n">
        <v>46098</v>
      </c>
      <c r="B3093" t="inlineStr">
        <is>
          <t>Luiz Fernando de Carvalho Junior</t>
        </is>
      </c>
      <c r="C3093" t="inlineStr">
        <is>
          <t>Técnico I</t>
        </is>
      </c>
      <c r="D3093" t="n">
        <v>16</v>
      </c>
      <c r="E3093" t="n">
        <v>16</v>
      </c>
      <c r="F3093" t="n">
        <v>33.57</v>
      </c>
      <c r="G3093" t="n">
        <v>0</v>
      </c>
      <c r="H3093" t="n">
        <v>0</v>
      </c>
      <c r="I3093" s="3">
        <f>E3093+G3093+H3093</f>
        <v/>
      </c>
      <c r="J3093" s="3">
        <f>ROUND(MIN(IF(C3093="Técnico III",35,IF(C3093="Técnico II",28,IF(C3093="Técnico I",23,IF(C3093="JR",20,IF(C3093="Estágio",10,0))))),IF(C3093="Técnico III",SUMIFS($D:$D,$A:$A,$A3093,$B:$B,"&lt;&gt;Patrícia Karla de Sousa Araújo",$B:$B,"&lt;&gt;Lorena Dias de Araujo",$B:$B,"&lt;&gt;Lucas Luiz Romero")*(35/1083),IF(C3093="Técnico II",SUMIFS($D:$D,$A:$A,$A3093,$B:$B,"&lt;&gt;Patrícia Karla de Sousa Araújo",$B:$B,"&lt;&gt;Lorena Dias de Araujo",$B:$B,"&lt;&gt;Lucas Luiz Romero")*(28/1083),IF(C3093="Técnico I",SUMIFS($D:$D,$A:$A,$A3093,$B:$B,"&lt;&gt;Patrícia Karla de Sousa Araújo",$B:$B,"&lt;&gt;Lorena Dias de Araujo",$B:$B,"&lt;&gt;Lucas Luiz Romero")*(23/1083),IF(C3093="JR",SUMIFS($D:$D,$A:$A,$A3093,$B:$B,"&lt;&gt;Patrícia Karla de Sousa Araújo",$B:$B,"&lt;&gt;Lorena Dias de Araujo",$B:$B,"&lt;&gt;Lucas Luiz Romero")*(20/1083),IF(C3093="Estágio",SUMIFS($D:$D,$A:$A,$A3093,$B:$B,"&lt;&gt;Patrícia Karla de Sousa Araújo",$B:$B,"&lt;&gt;Lorena Dias de Araujo",$B:$B,"&lt;&gt;Lucas Luiz Romero")*(10/1083),0)))))),0)</f>
        <v/>
      </c>
      <c r="K3093" s="3">
        <f>I3093-J3093</f>
        <v/>
      </c>
      <c r="L3093" s="3">
        <f>IF(K3093&lt;-5,"CRÍTICO",IF(K3093&lt;0,"ATENÇÃO",IF(K3093&lt;=5,"OPORTUNO","MUITO BOM")))</f>
        <v/>
      </c>
      <c r="N3093" t="n">
        <v>98.90000000000001</v>
      </c>
      <c r="O3093" t="n">
        <v>26.7639902676399</v>
      </c>
    </row>
    <row r="3094" hidden="1">
      <c r="A3094" s="11" t="n">
        <v>46098</v>
      </c>
      <c r="B3094" t="inlineStr">
        <is>
          <t>Maria Eduarda Sousa Costa</t>
        </is>
      </c>
      <c r="C3094" t="inlineStr">
        <is>
          <t>Estágio</t>
        </is>
      </c>
      <c r="D3094" t="n">
        <v>8</v>
      </c>
      <c r="E3094" t="n">
        <v>8</v>
      </c>
      <c r="F3094" t="n">
        <v>38.31</v>
      </c>
      <c r="G3094" t="n">
        <v>0</v>
      </c>
      <c r="H3094" t="n">
        <v>0</v>
      </c>
      <c r="I3094" s="3">
        <f>E3094+G3094+H3094</f>
        <v/>
      </c>
      <c r="J3094" s="3">
        <f>ROUND(MIN(IF(C3094="Técnico III",35,IF(C3094="Técnico II",28,IF(C3094="Técnico I",23,IF(C3094="JR",20,IF(C3094="Estágio",10,0))))),IF(C3094="Técnico III",SUMIFS($D:$D,$A:$A,$A3094,$B:$B,"&lt;&gt;Patrícia Karla de Sousa Araújo",$B:$B,"&lt;&gt;Lorena Dias de Araujo",$B:$B,"&lt;&gt;Lucas Luiz Romero")*(35/1083),IF(C3094="Técnico II",SUMIFS($D:$D,$A:$A,$A3094,$B:$B,"&lt;&gt;Patrícia Karla de Sousa Araújo",$B:$B,"&lt;&gt;Lorena Dias de Araujo",$B:$B,"&lt;&gt;Lucas Luiz Romero")*(28/1083),IF(C3094="Técnico I",SUMIFS($D:$D,$A:$A,$A3094,$B:$B,"&lt;&gt;Patrícia Karla de Sousa Araújo",$B:$B,"&lt;&gt;Lorena Dias de Araujo",$B:$B,"&lt;&gt;Lucas Luiz Romero")*(23/1083),IF(C3094="JR",SUMIFS($D:$D,$A:$A,$A3094,$B:$B,"&lt;&gt;Patrícia Karla de Sousa Araújo",$B:$B,"&lt;&gt;Lorena Dias de Araujo",$B:$B,"&lt;&gt;Lucas Luiz Romero")*(20/1083),IF(C3094="Estágio",SUMIFS($D:$D,$A:$A,$A3094,$B:$B,"&lt;&gt;Patrícia Karla de Sousa Araújo",$B:$B,"&lt;&gt;Lorena Dias de Araujo",$B:$B,"&lt;&gt;Lucas Luiz Romero")*(10/1083),0)))))),0)</f>
        <v/>
      </c>
      <c r="K3094" s="3">
        <f>I3094-J3094</f>
        <v/>
      </c>
      <c r="L3094" s="3">
        <f>IF(K3094&lt;-5,"CRÍTICO",IF(K3094&lt;0,"ATENÇÃO",IF(K3094&lt;=5,"OPORTUNO","MUITO BOM")))</f>
        <v/>
      </c>
      <c r="N3094" t="n">
        <v>88.89</v>
      </c>
      <c r="O3094" t="n">
        <v>25.26315789473684</v>
      </c>
    </row>
    <row r="3095" hidden="1">
      <c r="A3095" s="11" t="n">
        <v>46098</v>
      </c>
      <c r="B3095" t="inlineStr">
        <is>
          <t>Matheus Farias De Souza</t>
        </is>
      </c>
      <c r="C3095" t="inlineStr">
        <is>
          <t>Técnico III</t>
        </is>
      </c>
      <c r="D3095" t="n">
        <v>34</v>
      </c>
      <c r="E3095" t="n">
        <v>32</v>
      </c>
      <c r="F3095" t="n">
        <v>17</v>
      </c>
      <c r="G3095" t="n">
        <v>0</v>
      </c>
      <c r="H3095" t="n">
        <v>0</v>
      </c>
      <c r="I3095" s="3">
        <f>E3095+G3095+H3095</f>
        <v/>
      </c>
      <c r="J3095" s="3">
        <f>ROUND(MIN(IF(C3095="Técnico III",35,IF(C3095="Técnico II",28,IF(C3095="Técnico I",23,IF(C3095="JR",20,IF(C3095="Estágio",10,0))))),IF(C3095="Técnico III",SUMIFS($D:$D,$A:$A,$A3095,$B:$B,"&lt;&gt;Patrícia Karla de Sousa Araújo",$B:$B,"&lt;&gt;Lorena Dias de Araujo",$B:$B,"&lt;&gt;Lucas Luiz Romero")*(35/1083),IF(C3095="Técnico II",SUMIFS($D:$D,$A:$A,$A3095,$B:$B,"&lt;&gt;Patrícia Karla de Sousa Araújo",$B:$B,"&lt;&gt;Lorena Dias de Araujo",$B:$B,"&lt;&gt;Lucas Luiz Romero")*(28/1083),IF(C3095="Técnico I",SUMIFS($D:$D,$A:$A,$A3095,$B:$B,"&lt;&gt;Patrícia Karla de Sousa Araújo",$B:$B,"&lt;&gt;Lorena Dias de Araujo",$B:$B,"&lt;&gt;Lucas Luiz Romero")*(23/1083),IF(C3095="JR",SUMIFS($D:$D,$A:$A,$A3095,$B:$B,"&lt;&gt;Patrícia Karla de Sousa Araújo",$B:$B,"&lt;&gt;Lorena Dias de Araujo",$B:$B,"&lt;&gt;Lucas Luiz Romero")*(20/1083),IF(C3095="Estágio",SUMIFS($D:$D,$A:$A,$A3095,$B:$B,"&lt;&gt;Patrícia Karla de Sousa Araújo",$B:$B,"&lt;&gt;Lorena Dias de Araujo",$B:$B,"&lt;&gt;Lucas Luiz Romero")*(10/1083),0)))))),0)</f>
        <v/>
      </c>
      <c r="K3095" s="3">
        <f>I3095-J3095</f>
        <v/>
      </c>
      <c r="L3095" s="3">
        <f>IF(K3095&lt;-5,"CRÍTICO",IF(K3095&lt;0,"ATENÇÃO",IF(K3095&lt;=5,"OPORTUNO","MUITO BOM")))</f>
        <v/>
      </c>
      <c r="N3095" t="n">
        <v>98.86</v>
      </c>
      <c r="O3095" t="n">
        <v>28.95927601809955</v>
      </c>
    </row>
    <row r="3096" hidden="1">
      <c r="A3096" s="11" t="n">
        <v>46098</v>
      </c>
      <c r="B3096" t="inlineStr">
        <is>
          <t>Maysa Victoria Dias Moura</t>
        </is>
      </c>
      <c r="C3096" t="inlineStr">
        <is>
          <t>Técnico III</t>
        </is>
      </c>
      <c r="D3096" t="n">
        <v>2</v>
      </c>
      <c r="E3096" t="n">
        <v>2</v>
      </c>
      <c r="F3096" t="n">
        <v>5.24</v>
      </c>
      <c r="G3096" t="n">
        <v>0</v>
      </c>
      <c r="H3096" t="n">
        <v>0</v>
      </c>
      <c r="I3096" s="3">
        <f>E3096+G3096+H3096</f>
        <v/>
      </c>
      <c r="J3096" s="3">
        <f>ROUND(MIN(IF(C3096="Técnico III",35,IF(C3096="Técnico II",28,IF(C3096="Técnico I",23,IF(C3096="JR",20,IF(C3096="Estágio",10,0))))),IF(C3096="Técnico III",SUMIFS($D:$D,$A:$A,$A3096,$B:$B,"&lt;&gt;Patrícia Karla de Sousa Araújo",$B:$B,"&lt;&gt;Lorena Dias de Araujo",$B:$B,"&lt;&gt;Lucas Luiz Romero")*(35/1083),IF(C3096="Técnico II",SUMIFS($D:$D,$A:$A,$A3096,$B:$B,"&lt;&gt;Patrícia Karla de Sousa Araújo",$B:$B,"&lt;&gt;Lorena Dias de Araujo",$B:$B,"&lt;&gt;Lucas Luiz Romero")*(28/1083),IF(C3096="Técnico I",SUMIFS($D:$D,$A:$A,$A3096,$B:$B,"&lt;&gt;Patrícia Karla de Sousa Araújo",$B:$B,"&lt;&gt;Lorena Dias de Araujo",$B:$B,"&lt;&gt;Lucas Luiz Romero")*(23/1083),IF(C3096="JR",SUMIFS($D:$D,$A:$A,$A3096,$B:$B,"&lt;&gt;Patrícia Karla de Sousa Araújo",$B:$B,"&lt;&gt;Lorena Dias de Araujo",$B:$B,"&lt;&gt;Lucas Luiz Romero")*(20/1083),IF(C3096="Estágio",SUMIFS($D:$D,$A:$A,$A3096,$B:$B,"&lt;&gt;Patrícia Karla de Sousa Araújo",$B:$B,"&lt;&gt;Lorena Dias de Araujo",$B:$B,"&lt;&gt;Lucas Luiz Romero")*(10/1083),0)))))),0)</f>
        <v/>
      </c>
      <c r="K3096" s="3">
        <f>I3096-J3096</f>
        <v/>
      </c>
      <c r="L3096" s="3">
        <f>IF(K3096&lt;-5,"CRÍTICO",IF(K3096&lt;0,"ATENÇÃO",IF(K3096&lt;=5,"OPORTUNO","MUITO BOM")))</f>
        <v/>
      </c>
      <c r="N3096" t="n">
        <v>98.06</v>
      </c>
      <c r="O3096" t="n">
        <v>22.40566037735849</v>
      </c>
    </row>
    <row r="3097" hidden="1">
      <c r="A3097" s="11" t="n">
        <v>46098</v>
      </c>
      <c r="B3097" t="inlineStr">
        <is>
          <t>Michelle G Santos</t>
        </is>
      </c>
      <c r="C3097" t="inlineStr">
        <is>
          <t>Estágio</t>
        </is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s="3" t="n">
        <v>0</v>
      </c>
      <c r="J3097" s="3" t="n">
        <v>0</v>
      </c>
      <c r="K3097" s="3" t="n">
        <v>0</v>
      </c>
      <c r="L3097" s="3">
        <f>IF(K3097&lt;-5,"CRÍTICO",IF(K3097&lt;0,"ATENÇÃO",IF(K3097&lt;=5,"OPORTUNO","MUITO BOM")))</f>
        <v/>
      </c>
      <c r="N3097" t="n">
        <v>95.83</v>
      </c>
      <c r="O3097" t="n">
        <v>25.77319587628866</v>
      </c>
    </row>
    <row r="3098" hidden="1">
      <c r="A3098" s="11" t="n">
        <v>46098</v>
      </c>
      <c r="B3098" t="inlineStr">
        <is>
          <t>Milena Sales</t>
        </is>
      </c>
      <c r="C3098" t="inlineStr">
        <is>
          <t>JR</t>
        </is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s="3" t="n">
        <v>0</v>
      </c>
      <c r="J3098" s="3" t="n">
        <v>0</v>
      </c>
      <c r="K3098" s="3" t="n">
        <v>0</v>
      </c>
      <c r="L3098" s="3">
        <f>IF(K3098&lt;-5,"CRÍTICO",IF(K3098&lt;0,"ATENÇÃO",IF(K3098&lt;=5,"OPORTUNO","MUITO BOM")))</f>
        <v/>
      </c>
      <c r="N3098" t="n">
        <v>100</v>
      </c>
      <c r="O3098" t="n">
        <v>15.38461538461539</v>
      </c>
    </row>
    <row r="3099" hidden="1">
      <c r="A3099" s="11" t="n">
        <v>46098</v>
      </c>
      <c r="B3099" t="inlineStr">
        <is>
          <t>Patrícia Karla de Sousa Araújo</t>
        </is>
      </c>
      <c r="C3099" t="inlineStr">
        <is>
          <t>Técnico II</t>
        </is>
      </c>
      <c r="D3099" t="n">
        <v>36</v>
      </c>
      <c r="E3099" t="n">
        <v>33</v>
      </c>
      <c r="F3099" t="n">
        <v>18.33</v>
      </c>
      <c r="G3099" t="n">
        <v>0</v>
      </c>
      <c r="H3099" t="n">
        <v>0</v>
      </c>
      <c r="I3099" s="3">
        <f>E3099+G3099+H3099</f>
        <v/>
      </c>
      <c r="J3099" s="3">
        <f>ROUND(MIN(IF(C3099="Técnico III",35,IF(C3099="Técnico II",28,IF(C3099="Técnico I",23,IF(C3099="JR",20,IF(C3099="Estágio",10,0))))),IF(C3099="Técnico III",SUMIFS($D:$D,$A:$A,$A3099,$B:$B,"&lt;&gt;Patrícia Karla de Sousa Araújo",$B:$B,"&lt;&gt;Lorena Dias de Araujo",$B:$B,"&lt;&gt;Lucas Luiz Romero")*(35/1083),IF(C3099="Técnico II",SUMIFS($D:$D,$A:$A,$A3099,$B:$B,"&lt;&gt;Patrícia Karla de Sousa Araújo",$B:$B,"&lt;&gt;Lorena Dias de Araujo",$B:$B,"&lt;&gt;Lucas Luiz Romero")*(28/1083),IF(C3099="Técnico I",SUMIFS($D:$D,$A:$A,$A3099,$B:$B,"&lt;&gt;Patrícia Karla de Sousa Araújo",$B:$B,"&lt;&gt;Lorena Dias de Araujo",$B:$B,"&lt;&gt;Lucas Luiz Romero")*(23/1083),IF(C3099="JR",SUMIFS($D:$D,$A:$A,$A3099,$B:$B,"&lt;&gt;Patrícia Karla de Sousa Araújo",$B:$B,"&lt;&gt;Lorena Dias de Araujo",$B:$B,"&lt;&gt;Lucas Luiz Romero")*(20/1083),IF(C3099="Estágio",SUMIFS($D:$D,$A:$A,$A3099,$B:$B,"&lt;&gt;Patrícia Karla de Sousa Araújo",$B:$B,"&lt;&gt;Lorena Dias de Araujo",$B:$B,"&lt;&gt;Lucas Luiz Romero")*(10/1083),0)))))),0)</f>
        <v/>
      </c>
      <c r="K3099" s="3">
        <f>I3099-J3099</f>
        <v/>
      </c>
      <c r="L3099" s="3">
        <f>IF(K3099&lt;-5,"CRÍTICO",IF(K3099&lt;0,"ATENÇÃO",IF(K3099&lt;=5,"OPORTUNO","MUITO BOM")))</f>
        <v/>
      </c>
      <c r="N3099" t="n">
        <v>100</v>
      </c>
      <c r="O3099" t="n">
        <v>27.51479289940828</v>
      </c>
    </row>
    <row r="3100" hidden="1">
      <c r="A3100" s="11" t="n">
        <v>46098</v>
      </c>
      <c r="B3100" t="inlineStr">
        <is>
          <t>Paulo Ricardo Santos</t>
        </is>
      </c>
      <c r="C3100" t="inlineStr">
        <is>
          <t>JR</t>
        </is>
      </c>
      <c r="D3100" t="n">
        <v>14</v>
      </c>
      <c r="E3100" t="n">
        <v>14</v>
      </c>
      <c r="F3100" t="n">
        <v>25.2</v>
      </c>
      <c r="G3100" t="n">
        <v>0</v>
      </c>
      <c r="H3100" t="n">
        <v>0</v>
      </c>
      <c r="I3100" s="3">
        <f>E3100+G3100+H3100</f>
        <v/>
      </c>
      <c r="J3100" s="3">
        <f>ROUND(MIN(IF(C3100="Técnico III",35,IF(C3100="Técnico II",28,IF(C3100="Técnico I",23,IF(C3100="JR",20,IF(C3100="Estágio",10,0))))),IF(C3100="Técnico III",SUMIFS($D:$D,$A:$A,$A3100,$B:$B,"&lt;&gt;Patrícia Karla de Sousa Araújo",$B:$B,"&lt;&gt;Lorena Dias de Araujo",$B:$B,"&lt;&gt;Lucas Luiz Romero")*(35/1083),IF(C3100="Técnico II",SUMIFS($D:$D,$A:$A,$A3100,$B:$B,"&lt;&gt;Patrícia Karla de Sousa Araújo",$B:$B,"&lt;&gt;Lorena Dias de Araujo",$B:$B,"&lt;&gt;Lucas Luiz Romero")*(28/1083),IF(C3100="Técnico I",SUMIFS($D:$D,$A:$A,$A3100,$B:$B,"&lt;&gt;Patrícia Karla de Sousa Araújo",$B:$B,"&lt;&gt;Lorena Dias de Araujo",$B:$B,"&lt;&gt;Lucas Luiz Romero")*(23/1083),IF(C3100="JR",SUMIFS($D:$D,$A:$A,$A3100,$B:$B,"&lt;&gt;Patrícia Karla de Sousa Araújo",$B:$B,"&lt;&gt;Lorena Dias de Araujo",$B:$B,"&lt;&gt;Lucas Luiz Romero")*(20/1083),IF(C3100="Estágio",SUMIFS($D:$D,$A:$A,$A3100,$B:$B,"&lt;&gt;Patrícia Karla de Sousa Araújo",$B:$B,"&lt;&gt;Lorena Dias de Araujo",$B:$B,"&lt;&gt;Lucas Luiz Romero")*(10/1083),0)))))),0)</f>
        <v/>
      </c>
      <c r="K3100" s="3">
        <f>I3100-J3100</f>
        <v/>
      </c>
      <c r="L3100" s="3">
        <f>IF(K3100&lt;-5,"CRÍTICO",IF(K3100&lt;0,"ATENÇÃO",IF(K3100&lt;=5,"OPORTUNO","MUITO BOM")))</f>
        <v/>
      </c>
      <c r="N3100" t="n">
        <v>100</v>
      </c>
      <c r="O3100" t="n">
        <v>24.87562189054727</v>
      </c>
    </row>
    <row r="3101" hidden="1">
      <c r="A3101" s="11" t="n">
        <v>46098</v>
      </c>
      <c r="B3101" t="inlineStr">
        <is>
          <t>Pedro Luiz Mota Sousa</t>
        </is>
      </c>
      <c r="C3101" t="inlineStr">
        <is>
          <t>JR</t>
        </is>
      </c>
      <c r="D3101" t="n">
        <v>16</v>
      </c>
      <c r="E3101" t="n">
        <v>15</v>
      </c>
      <c r="F3101" t="n">
        <v>33.22</v>
      </c>
      <c r="G3101" t="n">
        <v>0</v>
      </c>
      <c r="H3101" t="n">
        <v>0</v>
      </c>
      <c r="I3101" s="3">
        <f>E3101+G3101+H3101</f>
        <v/>
      </c>
      <c r="J3101" s="3">
        <f>ROUND(MIN(IF(C3101="Técnico III",35,IF(C3101="Técnico II",28,IF(C3101="Técnico I",23,IF(C3101="JR",20,IF(C3101="Estágio",10,0))))),IF(C3101="Técnico III",SUMIFS($D:$D,$A:$A,$A3101,$B:$B,"&lt;&gt;Patrícia Karla de Sousa Araújo",$B:$B,"&lt;&gt;Lorena Dias de Araujo",$B:$B,"&lt;&gt;Lucas Luiz Romero")*(35/1083),IF(C3101="Técnico II",SUMIFS($D:$D,$A:$A,$A3101,$B:$B,"&lt;&gt;Patrícia Karla de Sousa Araújo",$B:$B,"&lt;&gt;Lorena Dias de Araujo",$B:$B,"&lt;&gt;Lucas Luiz Romero")*(28/1083),IF(C3101="Técnico I",SUMIFS($D:$D,$A:$A,$A3101,$B:$B,"&lt;&gt;Patrícia Karla de Sousa Araújo",$B:$B,"&lt;&gt;Lorena Dias de Araujo",$B:$B,"&lt;&gt;Lucas Luiz Romero")*(23/1083),IF(C3101="JR",SUMIFS($D:$D,$A:$A,$A3101,$B:$B,"&lt;&gt;Patrícia Karla de Sousa Araújo",$B:$B,"&lt;&gt;Lorena Dias de Araujo",$B:$B,"&lt;&gt;Lucas Luiz Romero")*(20/1083),IF(C3101="Estágio",SUMIFS($D:$D,$A:$A,$A3101,$B:$B,"&lt;&gt;Patrícia Karla de Sousa Araújo",$B:$B,"&lt;&gt;Lorena Dias de Araujo",$B:$B,"&lt;&gt;Lucas Luiz Romero")*(10/1083),0)))))),0)</f>
        <v/>
      </c>
      <c r="K3101" s="3">
        <f>I3101-J3101</f>
        <v/>
      </c>
      <c r="L3101" s="3">
        <f>IF(K3101&lt;-5,"CRÍTICO",IF(K3101&lt;0,"ATENÇÃO",IF(K3101&lt;=5,"OPORTUNO","MUITO BOM")))</f>
        <v/>
      </c>
      <c r="N3101" t="n">
        <v>100</v>
      </c>
      <c r="O3101" t="n">
        <v>28.10810810810811</v>
      </c>
    </row>
    <row r="3102" hidden="1">
      <c r="A3102" s="11" t="n">
        <v>46098</v>
      </c>
      <c r="B3102" t="inlineStr">
        <is>
          <t>Quirino Diogo Leite Torres</t>
        </is>
      </c>
      <c r="C3102" t="inlineStr">
        <is>
          <t>Estágio</t>
        </is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s="3" t="n">
        <v>0</v>
      </c>
      <c r="J3102" s="3" t="n">
        <v>0</v>
      </c>
      <c r="K3102" s="3" t="n">
        <v>0</v>
      </c>
      <c r="L3102" s="3">
        <f>IF(K3102&lt;-5,"CRÍTICO",IF(K3102&lt;0,"ATENÇÃO",IF(K3102&lt;=5,"OPORTUNO","MUITO BOM")))</f>
        <v/>
      </c>
      <c r="N3102" t="n">
        <v>100</v>
      </c>
      <c r="O3102" t="n">
        <v>35</v>
      </c>
    </row>
    <row r="3103" hidden="1">
      <c r="A3103" s="11" t="n">
        <v>46098</v>
      </c>
      <c r="B3103" t="inlineStr">
        <is>
          <t>Raane Batista Matos</t>
        </is>
      </c>
      <c r="C3103" t="inlineStr">
        <is>
          <t>Técnico I</t>
        </is>
      </c>
      <c r="D3103" t="n">
        <v>19</v>
      </c>
      <c r="E3103" t="n">
        <v>19</v>
      </c>
      <c r="F3103" t="n">
        <v>33.4</v>
      </c>
      <c r="G3103" t="n">
        <v>0</v>
      </c>
      <c r="H3103" t="n">
        <v>0</v>
      </c>
      <c r="I3103" s="3">
        <f>E3103+G3103+H3103</f>
        <v/>
      </c>
      <c r="J3103" s="3">
        <f>ROUND(MIN(IF(C3103="Técnico III",35,IF(C3103="Técnico II",28,IF(C3103="Técnico I",23,IF(C3103="JR",20,IF(C3103="Estágio",10,0))))),IF(C3103="Técnico III",SUMIFS($D:$D,$A:$A,$A3103,$B:$B,"&lt;&gt;Patrícia Karla de Sousa Araújo",$B:$B,"&lt;&gt;Lorena Dias de Araujo",$B:$B,"&lt;&gt;Lucas Luiz Romero")*(35/1083),IF(C3103="Técnico II",SUMIFS($D:$D,$A:$A,$A3103,$B:$B,"&lt;&gt;Patrícia Karla de Sousa Araújo",$B:$B,"&lt;&gt;Lorena Dias de Araujo",$B:$B,"&lt;&gt;Lucas Luiz Romero")*(28/1083),IF(C3103="Técnico I",SUMIFS($D:$D,$A:$A,$A3103,$B:$B,"&lt;&gt;Patrícia Karla de Sousa Araújo",$B:$B,"&lt;&gt;Lorena Dias de Araujo",$B:$B,"&lt;&gt;Lucas Luiz Romero")*(23/1083),IF(C3103="JR",SUMIFS($D:$D,$A:$A,$A3103,$B:$B,"&lt;&gt;Patrícia Karla de Sousa Araújo",$B:$B,"&lt;&gt;Lorena Dias de Araujo",$B:$B,"&lt;&gt;Lucas Luiz Romero")*(20/1083),IF(C3103="Estágio",SUMIFS($D:$D,$A:$A,$A3103,$B:$B,"&lt;&gt;Patrícia Karla de Sousa Araújo",$B:$B,"&lt;&gt;Lorena Dias de Araujo",$B:$B,"&lt;&gt;Lucas Luiz Romero")*(10/1083),0)))))),0)</f>
        <v/>
      </c>
      <c r="K3103" s="3">
        <f>I3103-J3103</f>
        <v/>
      </c>
      <c r="L3103" s="3">
        <f>IF(K3103&lt;-5,"CRÍTICO",IF(K3103&lt;0,"ATENÇÃO",IF(K3103&lt;=5,"OPORTUNO","MUITO BOM")))</f>
        <v/>
      </c>
      <c r="N3103" t="n">
        <v>95.34999999999999</v>
      </c>
      <c r="O3103" t="n">
        <v>28.61538461538461</v>
      </c>
    </row>
    <row r="3104" hidden="1">
      <c r="A3104" s="11" t="n">
        <v>46098</v>
      </c>
      <c r="B3104" t="inlineStr">
        <is>
          <t>Rafael Gomes de Morais</t>
        </is>
      </c>
      <c r="C3104" t="inlineStr">
        <is>
          <t>Técnico III</t>
        </is>
      </c>
      <c r="D3104" t="n">
        <v>37</v>
      </c>
      <c r="E3104" t="n">
        <v>37</v>
      </c>
      <c r="F3104" t="n">
        <v>15.07</v>
      </c>
      <c r="G3104" t="n">
        <v>0</v>
      </c>
      <c r="H3104" t="n">
        <v>0</v>
      </c>
      <c r="I3104" s="3">
        <f>E3104+G3104+H3104</f>
        <v/>
      </c>
      <c r="J3104" s="3">
        <f>ROUND(MIN(IF(C3104="Técnico III",35,IF(C3104="Técnico II",28,IF(C3104="Técnico I",23,IF(C3104="JR",20,IF(C3104="Estágio",10,0))))),IF(C3104="Técnico III",SUMIFS($D:$D,$A:$A,$A3104,$B:$B,"&lt;&gt;Patrícia Karla de Sousa Araújo",$B:$B,"&lt;&gt;Lorena Dias de Araujo",$B:$B,"&lt;&gt;Lucas Luiz Romero")*(35/1083),IF(C3104="Técnico II",SUMIFS($D:$D,$A:$A,$A3104,$B:$B,"&lt;&gt;Patrícia Karla de Sousa Araújo",$B:$B,"&lt;&gt;Lorena Dias de Araujo",$B:$B,"&lt;&gt;Lucas Luiz Romero")*(28/1083),IF(C3104="Técnico I",SUMIFS($D:$D,$A:$A,$A3104,$B:$B,"&lt;&gt;Patrícia Karla de Sousa Araújo",$B:$B,"&lt;&gt;Lorena Dias de Araujo",$B:$B,"&lt;&gt;Lucas Luiz Romero")*(23/1083),IF(C3104="JR",SUMIFS($D:$D,$A:$A,$A3104,$B:$B,"&lt;&gt;Patrícia Karla de Sousa Araújo",$B:$B,"&lt;&gt;Lorena Dias de Araujo",$B:$B,"&lt;&gt;Lucas Luiz Romero")*(20/1083),IF(C3104="Estágio",SUMIFS($D:$D,$A:$A,$A3104,$B:$B,"&lt;&gt;Patrícia Karla de Sousa Araújo",$B:$B,"&lt;&gt;Lorena Dias de Araujo",$B:$B,"&lt;&gt;Lucas Luiz Romero")*(10/1083),0)))))),0)</f>
        <v/>
      </c>
      <c r="K3104" s="3">
        <f>I3104-J3104</f>
        <v/>
      </c>
      <c r="L3104" s="3">
        <f>IF(K3104&lt;-5,"CRÍTICO",IF(K3104&lt;0,"ATENÇÃO",IF(K3104&lt;=5,"OPORTUNO","MUITO BOM")))</f>
        <v/>
      </c>
      <c r="N3104" t="n">
        <v>98.26000000000001</v>
      </c>
      <c r="O3104" t="n">
        <v>27.54491017964072</v>
      </c>
    </row>
    <row r="3105" hidden="1">
      <c r="A3105" s="11" t="n">
        <v>46098</v>
      </c>
      <c r="B3105" t="inlineStr">
        <is>
          <t>Sara Maria Monteiro Lopes</t>
        </is>
      </c>
      <c r="C3105" t="inlineStr">
        <is>
          <t>Técnico I</t>
        </is>
      </c>
      <c r="D3105" t="n">
        <v>10</v>
      </c>
      <c r="E3105" t="n">
        <v>10</v>
      </c>
      <c r="F3105" t="n">
        <v>48.4</v>
      </c>
      <c r="G3105" t="n">
        <v>0</v>
      </c>
      <c r="H3105" t="n">
        <v>0</v>
      </c>
      <c r="I3105" s="3">
        <f>E3105+G3105+H3105</f>
        <v/>
      </c>
      <c r="J3105" s="3">
        <f>ROUND(MIN(IF(C3105="Técnico III",35,IF(C3105="Técnico II",28,IF(C3105="Técnico I",23,IF(C3105="JR",20,IF(C3105="Estágio",10,0))))),IF(C3105="Técnico III",SUMIFS($D:$D,$A:$A,$A3105,$B:$B,"&lt;&gt;Patrícia Karla de Sousa Araújo",$B:$B,"&lt;&gt;Lorena Dias de Araujo",$B:$B,"&lt;&gt;Lucas Luiz Romero")*(35/1083),IF(C3105="Técnico II",SUMIFS($D:$D,$A:$A,$A3105,$B:$B,"&lt;&gt;Patrícia Karla de Sousa Araújo",$B:$B,"&lt;&gt;Lorena Dias de Araujo",$B:$B,"&lt;&gt;Lucas Luiz Romero")*(28/1083),IF(C3105="Técnico I",SUMIFS($D:$D,$A:$A,$A3105,$B:$B,"&lt;&gt;Patrícia Karla de Sousa Araújo",$B:$B,"&lt;&gt;Lorena Dias de Araujo",$B:$B,"&lt;&gt;Lucas Luiz Romero")*(23/1083),IF(C3105="JR",SUMIFS($D:$D,$A:$A,$A3105,$B:$B,"&lt;&gt;Patrícia Karla de Sousa Araújo",$B:$B,"&lt;&gt;Lorena Dias de Araujo",$B:$B,"&lt;&gt;Lucas Luiz Romero")*(20/1083),IF(C3105="Estágio",SUMIFS($D:$D,$A:$A,$A3105,$B:$B,"&lt;&gt;Patrícia Karla de Sousa Araújo",$B:$B,"&lt;&gt;Lorena Dias de Araujo",$B:$B,"&lt;&gt;Lucas Luiz Romero")*(10/1083),0)))))),0)</f>
        <v/>
      </c>
      <c r="K3105" s="3">
        <f>I3105-J3105</f>
        <v/>
      </c>
      <c r="L3105" s="3">
        <f>IF(K3105&lt;-5,"CRÍTICO",IF(K3105&lt;0,"ATENÇÃO",IF(K3105&lt;=5,"OPORTUNO","MUITO BOM")))</f>
        <v/>
      </c>
      <c r="N3105" t="n">
        <v>98.55</v>
      </c>
      <c r="O3105" t="n">
        <v>25.33783783783784</v>
      </c>
    </row>
    <row r="3106" hidden="1">
      <c r="A3106" s="11" t="n">
        <v>46098</v>
      </c>
      <c r="B3106" t="inlineStr">
        <is>
          <t>Sarah Steffanie de Lima Borges</t>
        </is>
      </c>
      <c r="C3106" t="inlineStr">
        <is>
          <t>Técnico III</t>
        </is>
      </c>
      <c r="D3106" t="n">
        <v>27</v>
      </c>
      <c r="E3106" t="n">
        <v>26</v>
      </c>
      <c r="F3106" t="n">
        <v>21.43</v>
      </c>
      <c r="G3106" t="n">
        <v>0</v>
      </c>
      <c r="H3106" t="n">
        <v>0</v>
      </c>
      <c r="I3106" s="3">
        <f>E3106+G3106+H3106</f>
        <v/>
      </c>
      <c r="J3106" s="3">
        <f>ROUND(MIN(IF(C3106="Técnico III",35,IF(C3106="Técnico II",28,IF(C3106="Técnico I",23,IF(C3106="JR",20,IF(C3106="Estágio",10,0))))),IF(C3106="Técnico III",SUMIFS($D:$D,$A:$A,$A3106,$B:$B,"&lt;&gt;Patrícia Karla de Sousa Araújo",$B:$B,"&lt;&gt;Lorena Dias de Araujo",$B:$B,"&lt;&gt;Lucas Luiz Romero")*(35/1083),IF(C3106="Técnico II",SUMIFS($D:$D,$A:$A,$A3106,$B:$B,"&lt;&gt;Patrícia Karla de Sousa Araújo",$B:$B,"&lt;&gt;Lorena Dias de Araujo",$B:$B,"&lt;&gt;Lucas Luiz Romero")*(28/1083),IF(C3106="Técnico I",SUMIFS($D:$D,$A:$A,$A3106,$B:$B,"&lt;&gt;Patrícia Karla de Sousa Araújo",$B:$B,"&lt;&gt;Lorena Dias de Araujo",$B:$B,"&lt;&gt;Lucas Luiz Romero")*(23/1083),IF(C3106="JR",SUMIFS($D:$D,$A:$A,$A3106,$B:$B,"&lt;&gt;Patrícia Karla de Sousa Araújo",$B:$B,"&lt;&gt;Lorena Dias de Araujo",$B:$B,"&lt;&gt;Lucas Luiz Romero")*(20/1083),IF(C3106="Estágio",SUMIFS($D:$D,$A:$A,$A3106,$B:$B,"&lt;&gt;Patrícia Karla de Sousa Araújo",$B:$B,"&lt;&gt;Lorena Dias de Araujo",$B:$B,"&lt;&gt;Lucas Luiz Romero")*(10/1083),0)))))),0)</f>
        <v/>
      </c>
      <c r="K3106" s="3">
        <f>I3106-J3106</f>
        <v/>
      </c>
      <c r="L3106" s="3">
        <f>IF(K3106&lt;-5,"CRÍTICO",IF(K3106&lt;0,"ATENÇÃO",IF(K3106&lt;=5,"OPORTUNO","MUITO BOM")))</f>
        <v/>
      </c>
      <c r="N3106" t="n">
        <v>98.39</v>
      </c>
      <c r="O3106" t="n">
        <v>25.56390977443609</v>
      </c>
    </row>
    <row r="3107" hidden="1">
      <c r="A3107" s="11" t="n">
        <v>46099</v>
      </c>
      <c r="B3107" t="inlineStr">
        <is>
          <t>Alisson de Freitas Silva</t>
        </is>
      </c>
      <c r="C3107" t="inlineStr">
        <is>
          <t>Técnico II</t>
        </is>
      </c>
      <c r="D3107" t="n">
        <v>25</v>
      </c>
      <c r="E3107" t="n">
        <v>24</v>
      </c>
      <c r="F3107" t="n">
        <v>18.42</v>
      </c>
      <c r="G3107" t="n">
        <v>0</v>
      </c>
      <c r="H3107" t="n">
        <v>0</v>
      </c>
      <c r="I3107" s="3">
        <f>E3107+G3107+H3107</f>
        <v/>
      </c>
      <c r="J3107" s="3">
        <f>ROUND(MIN(IF(C3107="Técnico III",35,IF(C3107="Técnico II",28,IF(C3107="Técnico I",23,IF(C3107="JR",20,IF(C3107="Estágio",10,0))))),IF(C3107="Técnico III",SUMIFS($D:$D,$A:$A,$A3107,$B:$B,"&lt;&gt;Patrícia Karla de Sousa Araújo",$B:$B,"&lt;&gt;Lorena Dias de Araujo",$B:$B,"&lt;&gt;Lucas Luiz Romero")*(35/1083),IF(C3107="Técnico II",SUMIFS($D:$D,$A:$A,$A3107,$B:$B,"&lt;&gt;Patrícia Karla de Sousa Araújo",$B:$B,"&lt;&gt;Lorena Dias de Araujo",$B:$B,"&lt;&gt;Lucas Luiz Romero")*(28/1083),IF(C3107="Técnico I",SUMIFS($D:$D,$A:$A,$A3107,$B:$B,"&lt;&gt;Patrícia Karla de Sousa Araújo",$B:$B,"&lt;&gt;Lorena Dias de Araujo",$B:$B,"&lt;&gt;Lucas Luiz Romero")*(23/1083),IF(C3107="JR",SUMIFS($D:$D,$A:$A,$A3107,$B:$B,"&lt;&gt;Patrícia Karla de Sousa Araújo",$B:$B,"&lt;&gt;Lorena Dias de Araujo",$B:$B,"&lt;&gt;Lucas Luiz Romero")*(20/1083),IF(C3107="Estágio",SUMIFS($D:$D,$A:$A,$A3107,$B:$B,"&lt;&gt;Patrícia Karla de Sousa Araújo",$B:$B,"&lt;&gt;Lorena Dias de Araujo",$B:$B,"&lt;&gt;Lucas Luiz Romero")*(10/1083),0)))))),0)</f>
        <v/>
      </c>
      <c r="K3107" s="3">
        <f>I3107-J3107</f>
        <v/>
      </c>
      <c r="L3107" s="3">
        <f>IF(K3107&lt;-5,"CRÍTICO",IF(K3107&lt;0,"ATENÇÃO",IF(K3107&lt;=5,"OPORTUNO","MUITO BOM")))</f>
        <v/>
      </c>
      <c r="N3107" t="n">
        <v>94.29000000000001</v>
      </c>
      <c r="O3107" t="n">
        <v>25.64766839378239</v>
      </c>
    </row>
    <row r="3108" hidden="1">
      <c r="A3108" s="11" t="n">
        <v>46099</v>
      </c>
      <c r="B3108" t="inlineStr">
        <is>
          <t>Amanda Moura Ferreira</t>
        </is>
      </c>
      <c r="C3108" t="inlineStr">
        <is>
          <t>Técnico III</t>
        </is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s="3" t="n">
        <v>0</v>
      </c>
      <c r="J3108" s="3" t="n">
        <v>0</v>
      </c>
      <c r="K3108" s="3" t="n">
        <v>0</v>
      </c>
      <c r="L3108" s="3">
        <f>IF(K3108&lt;-5,"CRÍTICO",IF(K3108&lt;0,"ATENÇÃO",IF(K3108&lt;=5,"OPORTUNO","MUITO BOM")))</f>
        <v/>
      </c>
      <c r="N3108" t="n">
        <v>98.26000000000001</v>
      </c>
      <c r="O3108" t="n">
        <v>26.66666666666667</v>
      </c>
    </row>
    <row r="3109" hidden="1">
      <c r="A3109" s="11" t="n">
        <v>46099</v>
      </c>
      <c r="B3109" t="inlineStr">
        <is>
          <t>Ana Karollyne Souza Faria</t>
        </is>
      </c>
      <c r="C3109" t="inlineStr">
        <is>
          <t>Técnico I</t>
        </is>
      </c>
      <c r="D3109" t="n">
        <v>7</v>
      </c>
      <c r="E3109" t="n">
        <v>7</v>
      </c>
      <c r="F3109" t="n">
        <v>36.57</v>
      </c>
      <c r="G3109" t="n">
        <v>0</v>
      </c>
      <c r="H3109" t="n">
        <v>0</v>
      </c>
      <c r="I3109" s="3">
        <f>E3109+G3109+H3109</f>
        <v/>
      </c>
      <c r="J3109" s="3">
        <f>ROUND(MIN(IF(C3109="Técnico III",35,IF(C3109="Técnico II",28,IF(C3109="Técnico I",23,IF(C3109="JR",20,IF(C3109="Estágio",10,0))))),IF(C3109="Técnico III",SUMIFS($D:$D,$A:$A,$A3109,$B:$B,"&lt;&gt;Patrícia Karla de Sousa Araújo",$B:$B,"&lt;&gt;Lorena Dias de Araujo",$B:$B,"&lt;&gt;Lucas Luiz Romero")*(35/1083),IF(C3109="Técnico II",SUMIFS($D:$D,$A:$A,$A3109,$B:$B,"&lt;&gt;Patrícia Karla de Sousa Araújo",$B:$B,"&lt;&gt;Lorena Dias de Araujo",$B:$B,"&lt;&gt;Lucas Luiz Romero")*(28/1083),IF(C3109="Técnico I",SUMIFS($D:$D,$A:$A,$A3109,$B:$B,"&lt;&gt;Patrícia Karla de Sousa Araújo",$B:$B,"&lt;&gt;Lorena Dias de Araujo",$B:$B,"&lt;&gt;Lucas Luiz Romero")*(23/1083),IF(C3109="JR",SUMIFS($D:$D,$A:$A,$A3109,$B:$B,"&lt;&gt;Patrícia Karla de Sousa Araújo",$B:$B,"&lt;&gt;Lorena Dias de Araujo",$B:$B,"&lt;&gt;Lucas Luiz Romero")*(20/1083),IF(C3109="Estágio",SUMIFS($D:$D,$A:$A,$A3109,$B:$B,"&lt;&gt;Patrícia Karla de Sousa Araújo",$B:$B,"&lt;&gt;Lorena Dias de Araujo",$B:$B,"&lt;&gt;Lucas Luiz Romero")*(10/1083),0)))))),0)</f>
        <v/>
      </c>
      <c r="K3109" s="3">
        <f>I3109-J3109</f>
        <v/>
      </c>
      <c r="L3109" s="3">
        <f>IF(K3109&lt;-5,"CRÍTICO",IF(K3109&lt;0,"ATENÇÃO",IF(K3109&lt;=5,"OPORTUNO","MUITO BOM")))</f>
        <v/>
      </c>
      <c r="N3109" t="n">
        <v>98.2</v>
      </c>
      <c r="O3109" t="n">
        <v>23.37962962962963</v>
      </c>
    </row>
    <row r="3110" hidden="1">
      <c r="A3110" s="11" t="n">
        <v>46099</v>
      </c>
      <c r="B3110" t="inlineStr">
        <is>
          <t>Ana Paula Da Luz Silva Aleixo</t>
        </is>
      </c>
      <c r="C3110" t="inlineStr">
        <is>
          <t>Técnico III</t>
        </is>
      </c>
      <c r="D3110" t="n">
        <v>28</v>
      </c>
      <c r="E3110" t="n">
        <v>28</v>
      </c>
      <c r="F3110" t="n">
        <v>20.21</v>
      </c>
      <c r="G3110" t="n">
        <v>0</v>
      </c>
      <c r="H3110" t="n">
        <v>0</v>
      </c>
      <c r="I3110" s="3">
        <f>E3110+G3110+H3110</f>
        <v/>
      </c>
      <c r="J3110" s="3">
        <f>ROUND(MIN(IF(C3110="Técnico III",35,IF(C3110="Técnico II",28,IF(C3110="Técnico I",23,IF(C3110="JR",20,IF(C3110="Estágio",10,0))))),IF(C3110="Técnico III",SUMIFS($D:$D,$A:$A,$A3110,$B:$B,"&lt;&gt;Patrícia Karla de Sousa Araújo",$B:$B,"&lt;&gt;Lorena Dias de Araujo",$B:$B,"&lt;&gt;Lucas Luiz Romero")*(35/1083),IF(C3110="Técnico II",SUMIFS($D:$D,$A:$A,$A3110,$B:$B,"&lt;&gt;Patrícia Karla de Sousa Araújo",$B:$B,"&lt;&gt;Lorena Dias de Araujo",$B:$B,"&lt;&gt;Lucas Luiz Romero")*(28/1083),IF(C3110="Técnico I",SUMIFS($D:$D,$A:$A,$A3110,$B:$B,"&lt;&gt;Patrícia Karla de Sousa Araújo",$B:$B,"&lt;&gt;Lorena Dias de Araujo",$B:$B,"&lt;&gt;Lucas Luiz Romero")*(23/1083),IF(C3110="JR",SUMIFS($D:$D,$A:$A,$A3110,$B:$B,"&lt;&gt;Patrícia Karla de Sousa Araújo",$B:$B,"&lt;&gt;Lorena Dias de Araujo",$B:$B,"&lt;&gt;Lucas Luiz Romero")*(20/1083),IF(C3110="Estágio",SUMIFS($D:$D,$A:$A,$A3110,$B:$B,"&lt;&gt;Patrícia Karla de Sousa Araújo",$B:$B,"&lt;&gt;Lorena Dias de Araujo",$B:$B,"&lt;&gt;Lucas Luiz Romero")*(10/1083),0)))))),0)</f>
        <v/>
      </c>
      <c r="K3110" s="3">
        <f>I3110-J3110</f>
        <v/>
      </c>
      <c r="L3110" s="3">
        <f>IF(K3110&lt;-5,"CRÍTICO",IF(K3110&lt;0,"ATENÇÃO",IF(K3110&lt;=5,"OPORTUNO","MUITO BOM")))</f>
        <v/>
      </c>
      <c r="N3110" t="n">
        <v>97.3</v>
      </c>
      <c r="O3110" t="n">
        <v>23.84769539078156</v>
      </c>
    </row>
    <row r="3111" hidden="1">
      <c r="A3111" s="11" t="n">
        <v>46099</v>
      </c>
      <c r="B3111" t="inlineStr">
        <is>
          <t>Anna Luiza Rezende Tavares</t>
        </is>
      </c>
      <c r="C3111" t="inlineStr">
        <is>
          <t>Estágio</t>
        </is>
      </c>
      <c r="D3111" t="n">
        <v>8</v>
      </c>
      <c r="E3111" t="n">
        <v>8</v>
      </c>
      <c r="F3111" t="n">
        <v>45.29</v>
      </c>
      <c r="G3111" t="n">
        <v>0</v>
      </c>
      <c r="H3111" t="n">
        <v>0</v>
      </c>
      <c r="I3111" s="3">
        <f>E3111+G3111+H3111</f>
        <v/>
      </c>
      <c r="J3111" s="3">
        <f>ROUND(MIN(IF(C3111="Técnico III",35,IF(C3111="Técnico II",28,IF(C3111="Técnico I",23,IF(C3111="JR",20,IF(C3111="Estágio",10,0))))),IF(C3111="Técnico III",SUMIFS($D:$D,$A:$A,$A3111,$B:$B,"&lt;&gt;Patrícia Karla de Sousa Araújo",$B:$B,"&lt;&gt;Lorena Dias de Araujo",$B:$B,"&lt;&gt;Lucas Luiz Romero")*(35/1083),IF(C3111="Técnico II",SUMIFS($D:$D,$A:$A,$A3111,$B:$B,"&lt;&gt;Patrícia Karla de Sousa Araújo",$B:$B,"&lt;&gt;Lorena Dias de Araujo",$B:$B,"&lt;&gt;Lucas Luiz Romero")*(28/1083),IF(C3111="Técnico I",SUMIFS($D:$D,$A:$A,$A3111,$B:$B,"&lt;&gt;Patrícia Karla de Sousa Araújo",$B:$B,"&lt;&gt;Lorena Dias de Araujo",$B:$B,"&lt;&gt;Lucas Luiz Romero")*(23/1083),IF(C3111="JR",SUMIFS($D:$D,$A:$A,$A3111,$B:$B,"&lt;&gt;Patrícia Karla de Sousa Araújo",$B:$B,"&lt;&gt;Lorena Dias de Araujo",$B:$B,"&lt;&gt;Lucas Luiz Romero")*(20/1083),IF(C3111="Estágio",SUMIFS($D:$D,$A:$A,$A3111,$B:$B,"&lt;&gt;Patrícia Karla de Sousa Araújo",$B:$B,"&lt;&gt;Lorena Dias de Araujo",$B:$B,"&lt;&gt;Lucas Luiz Romero")*(10/1083),0)))))),0)</f>
        <v/>
      </c>
      <c r="K3111" s="3">
        <f>I3111-J3111</f>
        <v/>
      </c>
      <c r="L3111" s="3">
        <f>IF(K3111&lt;-5,"CRÍTICO",IF(K3111&lt;0,"ATENÇÃO",IF(K3111&lt;=5,"OPORTUNO","MUITO BOM")))</f>
        <v/>
      </c>
      <c r="N3111" t="n">
        <v>100</v>
      </c>
      <c r="O3111" t="n">
        <v>25.26881720430108</v>
      </c>
    </row>
    <row r="3112" hidden="1">
      <c r="A3112" s="11" t="n">
        <v>46099</v>
      </c>
      <c r="B3112" t="inlineStr">
        <is>
          <t>Brenda de Menezes Silva</t>
        </is>
      </c>
      <c r="C3112" t="inlineStr">
        <is>
          <t>Técnico II</t>
        </is>
      </c>
      <c r="D3112" t="n">
        <v>31</v>
      </c>
      <c r="E3112" t="n">
        <v>26</v>
      </c>
      <c r="F3112" t="n">
        <v>18.32</v>
      </c>
      <c r="G3112" t="n">
        <v>0</v>
      </c>
      <c r="H3112" t="n">
        <v>0</v>
      </c>
      <c r="I3112" s="3">
        <f>E3112+G3112+H3112</f>
        <v/>
      </c>
      <c r="J3112" s="3">
        <f>ROUND(MIN(IF(C3112="Técnico III",35,IF(C3112="Técnico II",28,IF(C3112="Técnico I",23,IF(C3112="JR",20,IF(C3112="Estágio",10,0))))),IF(C3112="Técnico III",SUMIFS($D:$D,$A:$A,$A3112,$B:$B,"&lt;&gt;Patrícia Karla de Sousa Araújo",$B:$B,"&lt;&gt;Lorena Dias de Araujo",$B:$B,"&lt;&gt;Lucas Luiz Romero")*(35/1083),IF(C3112="Técnico II",SUMIFS($D:$D,$A:$A,$A3112,$B:$B,"&lt;&gt;Patrícia Karla de Sousa Araújo",$B:$B,"&lt;&gt;Lorena Dias de Araujo",$B:$B,"&lt;&gt;Lucas Luiz Romero")*(28/1083),IF(C3112="Técnico I",SUMIFS($D:$D,$A:$A,$A3112,$B:$B,"&lt;&gt;Patrícia Karla de Sousa Araújo",$B:$B,"&lt;&gt;Lorena Dias de Araujo",$B:$B,"&lt;&gt;Lucas Luiz Romero")*(23/1083),IF(C3112="JR",SUMIFS($D:$D,$A:$A,$A3112,$B:$B,"&lt;&gt;Patrícia Karla de Sousa Araújo",$B:$B,"&lt;&gt;Lorena Dias de Araujo",$B:$B,"&lt;&gt;Lucas Luiz Romero")*(20/1083),IF(C3112="Estágio",SUMIFS($D:$D,$A:$A,$A3112,$B:$B,"&lt;&gt;Patrícia Karla de Sousa Araújo",$B:$B,"&lt;&gt;Lorena Dias de Araujo",$B:$B,"&lt;&gt;Lucas Luiz Romero")*(10/1083),0)))))),0)</f>
        <v/>
      </c>
      <c r="K3112" s="3">
        <f>I3112-J3112</f>
        <v/>
      </c>
      <c r="L3112" s="3">
        <f>IF(K3112&lt;-5,"CRÍTICO",IF(K3112&lt;0,"ATENÇÃO",IF(K3112&lt;=5,"OPORTUNO","MUITO BOM")))</f>
        <v/>
      </c>
      <c r="N3112" t="n">
        <v>99.31999999999999</v>
      </c>
      <c r="O3112" t="n">
        <v>22.82282282282282</v>
      </c>
    </row>
    <row r="3113" hidden="1">
      <c r="A3113" s="11" t="n">
        <v>46099</v>
      </c>
      <c r="B3113" t="inlineStr">
        <is>
          <t>Carlos Mateus Cassimiro Nunes</t>
        </is>
      </c>
      <c r="C3113" t="inlineStr">
        <is>
          <t>Técnico II</t>
        </is>
      </c>
      <c r="D3113" t="n">
        <v>17</v>
      </c>
      <c r="E3113" t="n">
        <v>16</v>
      </c>
      <c r="F3113" t="n">
        <v>18.24</v>
      </c>
      <c r="G3113" t="n">
        <v>0</v>
      </c>
      <c r="H3113" t="n">
        <v>0</v>
      </c>
      <c r="I3113" s="3">
        <f>E3113+G3113+H3113</f>
        <v/>
      </c>
      <c r="J3113" s="3">
        <f>ROUND(MIN(IF(C3113="Técnico III",35,IF(C3113="Técnico II",28,IF(C3113="Técnico I",23,IF(C3113="JR",20,IF(C3113="Estágio",10,0))))),IF(C3113="Técnico III",SUMIFS($D:$D,$A:$A,$A3113,$B:$B,"&lt;&gt;Patrícia Karla de Sousa Araújo",$B:$B,"&lt;&gt;Lorena Dias de Araujo",$B:$B,"&lt;&gt;Lucas Luiz Romero")*(35/1083),IF(C3113="Técnico II",SUMIFS($D:$D,$A:$A,$A3113,$B:$B,"&lt;&gt;Patrícia Karla de Sousa Araújo",$B:$B,"&lt;&gt;Lorena Dias de Araujo",$B:$B,"&lt;&gt;Lucas Luiz Romero")*(28/1083),IF(C3113="Técnico I",SUMIFS($D:$D,$A:$A,$A3113,$B:$B,"&lt;&gt;Patrícia Karla de Sousa Araújo",$B:$B,"&lt;&gt;Lorena Dias de Araujo",$B:$B,"&lt;&gt;Lucas Luiz Romero")*(23/1083),IF(C3113="JR",SUMIFS($D:$D,$A:$A,$A3113,$B:$B,"&lt;&gt;Patrícia Karla de Sousa Araújo",$B:$B,"&lt;&gt;Lorena Dias de Araujo",$B:$B,"&lt;&gt;Lucas Luiz Romero")*(20/1083),IF(C3113="Estágio",SUMIFS($D:$D,$A:$A,$A3113,$B:$B,"&lt;&gt;Patrícia Karla de Sousa Araújo",$B:$B,"&lt;&gt;Lorena Dias de Araujo",$B:$B,"&lt;&gt;Lucas Luiz Romero")*(10/1083),0)))))),0)</f>
        <v/>
      </c>
      <c r="K3113" s="3">
        <f>I3113-J3113</f>
        <v/>
      </c>
      <c r="L3113" s="3">
        <f>IF(K3113&lt;-5,"CRÍTICO",IF(K3113&lt;0,"ATENÇÃO",IF(K3113&lt;=5,"OPORTUNO","MUITO BOM")))</f>
        <v/>
      </c>
      <c r="N3113" t="n">
        <v>100</v>
      </c>
      <c r="O3113" t="n">
        <v>27.96610169491525</v>
      </c>
    </row>
    <row r="3114" hidden="1">
      <c r="A3114" s="11" t="n">
        <v>46099</v>
      </c>
      <c r="B3114" t="inlineStr">
        <is>
          <t>Claudio de Sousa Velasco Filho</t>
        </is>
      </c>
      <c r="C3114" t="inlineStr">
        <is>
          <t>Estágio</t>
        </is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s="3" t="n">
        <v>0</v>
      </c>
      <c r="J3114" s="3" t="n">
        <v>0</v>
      </c>
      <c r="K3114" s="3" t="n">
        <v>0</v>
      </c>
      <c r="L3114" s="3">
        <f>IF(K3114&lt;-5,"CRÍTICO",IF(K3114&lt;0,"ATENÇÃO",IF(K3114&lt;=5,"OPORTUNO","MUITO BOM")))</f>
        <v/>
      </c>
      <c r="N3114" t="n">
        <v>100</v>
      </c>
      <c r="O3114" t="n">
        <v>30.43478260869566</v>
      </c>
    </row>
    <row r="3115" hidden="1">
      <c r="A3115" s="11" t="n">
        <v>46099</v>
      </c>
      <c r="B3115" t="inlineStr">
        <is>
          <t>Clessiane Pereira dos Santos</t>
        </is>
      </c>
      <c r="C3115" t="inlineStr">
        <is>
          <t>Técnico I</t>
        </is>
      </c>
      <c r="D3115" t="n">
        <v>19</v>
      </c>
      <c r="E3115" t="n">
        <v>19</v>
      </c>
      <c r="F3115" t="n">
        <v>32.01</v>
      </c>
      <c r="G3115" t="n">
        <v>0</v>
      </c>
      <c r="H3115" t="n">
        <v>0</v>
      </c>
      <c r="I3115" s="3">
        <f>E3115+G3115+H3115</f>
        <v/>
      </c>
      <c r="J3115" s="3">
        <f>ROUND(MIN(IF(C3115="Técnico III",35,IF(C3115="Técnico II",28,IF(C3115="Técnico I",23,IF(C3115="JR",20,IF(C3115="Estágio",10,0))))),IF(C3115="Técnico III",SUMIFS($D:$D,$A:$A,$A3115,$B:$B,"&lt;&gt;Patrícia Karla de Sousa Araújo",$B:$B,"&lt;&gt;Lorena Dias de Araujo",$B:$B,"&lt;&gt;Lucas Luiz Romero")*(35/1083),IF(C3115="Técnico II",SUMIFS($D:$D,$A:$A,$A3115,$B:$B,"&lt;&gt;Patrícia Karla de Sousa Araújo",$B:$B,"&lt;&gt;Lorena Dias de Araujo",$B:$B,"&lt;&gt;Lucas Luiz Romero")*(28/1083),IF(C3115="Técnico I",SUMIFS($D:$D,$A:$A,$A3115,$B:$B,"&lt;&gt;Patrícia Karla de Sousa Araújo",$B:$B,"&lt;&gt;Lorena Dias de Araujo",$B:$B,"&lt;&gt;Lucas Luiz Romero")*(23/1083),IF(C3115="JR",SUMIFS($D:$D,$A:$A,$A3115,$B:$B,"&lt;&gt;Patrícia Karla de Sousa Araújo",$B:$B,"&lt;&gt;Lorena Dias de Araujo",$B:$B,"&lt;&gt;Lucas Luiz Romero")*(20/1083),IF(C3115="Estágio",SUMIFS($D:$D,$A:$A,$A3115,$B:$B,"&lt;&gt;Patrícia Karla de Sousa Araújo",$B:$B,"&lt;&gt;Lorena Dias de Araujo",$B:$B,"&lt;&gt;Lucas Luiz Romero")*(10/1083),0)))))),0)</f>
        <v/>
      </c>
      <c r="K3115" s="3">
        <f>I3115-J3115</f>
        <v/>
      </c>
      <c r="L3115" s="3">
        <f>IF(K3115&lt;-5,"CRÍTICO",IF(K3115&lt;0,"ATENÇÃO",IF(K3115&lt;=5,"OPORTUNO","MUITO BOM")))</f>
        <v/>
      </c>
      <c r="N3115" t="n">
        <v>96.51000000000001</v>
      </c>
      <c r="O3115" t="n">
        <v>22.80285035629454</v>
      </c>
    </row>
    <row r="3116" hidden="1">
      <c r="A3116" s="11" t="n">
        <v>46099</v>
      </c>
      <c r="B3116" t="inlineStr">
        <is>
          <t>Cristiane Ramos da Silva Rocha</t>
        </is>
      </c>
      <c r="C3116" t="inlineStr">
        <is>
          <t>Técnico III</t>
        </is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s="3" t="n">
        <v>0</v>
      </c>
      <c r="J3116" s="3" t="n">
        <v>0</v>
      </c>
      <c r="K3116" s="3" t="n">
        <v>0</v>
      </c>
      <c r="L3116" s="3">
        <f>IF(K3116&lt;-5,"CRÍTICO",IF(K3116&lt;0,"ATENÇÃO",IF(K3116&lt;=5,"OPORTUNO","MUITO BOM")))</f>
        <v/>
      </c>
      <c r="N3116" t="n">
        <v>92.68000000000001</v>
      </c>
      <c r="O3116" t="n">
        <v>27.77777777777778</v>
      </c>
    </row>
    <row r="3117" hidden="1">
      <c r="A3117" s="11" t="n">
        <v>46099</v>
      </c>
      <c r="B3117" t="inlineStr">
        <is>
          <t>Damyllis Lorraine de Oliveira Gonçalves</t>
        </is>
      </c>
      <c r="C3117" t="inlineStr">
        <is>
          <t>Técnico II</t>
        </is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s="3" t="n">
        <v>0</v>
      </c>
      <c r="J3117" s="3" t="n">
        <v>0</v>
      </c>
      <c r="K3117" s="3" t="n">
        <v>0</v>
      </c>
      <c r="L3117" s="3">
        <f>IF(K3117&lt;-5,"CRÍTICO",IF(K3117&lt;0,"ATENÇÃO",IF(K3117&lt;=5,"OPORTUNO","MUITO BOM")))</f>
        <v/>
      </c>
      <c r="N3117" t="n">
        <v>99.03</v>
      </c>
      <c r="O3117" t="n">
        <v>23.99150743099788</v>
      </c>
    </row>
    <row r="3118" hidden="1">
      <c r="A3118" s="11" t="n">
        <v>46099</v>
      </c>
      <c r="B3118" t="inlineStr">
        <is>
          <t>Daniel Gomes da Silva</t>
        </is>
      </c>
      <c r="C3118" t="inlineStr">
        <is>
          <t>Técnico I</t>
        </is>
      </c>
      <c r="D3118" t="n">
        <v>12</v>
      </c>
      <c r="E3118" t="n">
        <v>12</v>
      </c>
      <c r="F3118" t="n">
        <v>25.21</v>
      </c>
      <c r="G3118" t="n">
        <v>0</v>
      </c>
      <c r="H3118" t="n">
        <v>0</v>
      </c>
      <c r="I3118" s="3">
        <f>E3118+G3118+H3118</f>
        <v/>
      </c>
      <c r="J3118" s="3">
        <f>ROUND(MIN(IF(C3118="Técnico III",35,IF(C3118="Técnico II",28,IF(C3118="Técnico I",23,IF(C3118="JR",20,IF(C3118="Estágio",10,0))))),IF(C3118="Técnico III",SUMIFS($D:$D,$A:$A,$A3118,$B:$B,"&lt;&gt;Patrícia Karla de Sousa Araújo",$B:$B,"&lt;&gt;Lorena Dias de Araujo",$B:$B,"&lt;&gt;Lucas Luiz Romero")*(35/1083),IF(C3118="Técnico II",SUMIFS($D:$D,$A:$A,$A3118,$B:$B,"&lt;&gt;Patrícia Karla de Sousa Araújo",$B:$B,"&lt;&gt;Lorena Dias de Araujo",$B:$B,"&lt;&gt;Lucas Luiz Romero")*(28/1083),IF(C3118="Técnico I",SUMIFS($D:$D,$A:$A,$A3118,$B:$B,"&lt;&gt;Patrícia Karla de Sousa Araújo",$B:$B,"&lt;&gt;Lorena Dias de Araujo",$B:$B,"&lt;&gt;Lucas Luiz Romero")*(23/1083),IF(C3118="JR",SUMIFS($D:$D,$A:$A,$A3118,$B:$B,"&lt;&gt;Patrícia Karla de Sousa Araújo",$B:$B,"&lt;&gt;Lorena Dias de Araujo",$B:$B,"&lt;&gt;Lucas Luiz Romero")*(20/1083),IF(C3118="Estágio",SUMIFS($D:$D,$A:$A,$A3118,$B:$B,"&lt;&gt;Patrícia Karla de Sousa Araújo",$B:$B,"&lt;&gt;Lorena Dias de Araujo",$B:$B,"&lt;&gt;Lucas Luiz Romero")*(10/1083),0)))))),0)</f>
        <v/>
      </c>
      <c r="K3118" s="3">
        <f>I3118-J3118</f>
        <v/>
      </c>
      <c r="L3118" s="3">
        <f>IF(K3118&lt;-5,"CRÍTICO",IF(K3118&lt;0,"ATENÇÃO",IF(K3118&lt;=5,"OPORTUNO","MUITO BOM")))</f>
        <v/>
      </c>
      <c r="N3118" t="n">
        <v>98.41</v>
      </c>
      <c r="O3118" t="n">
        <v>28.13852813852814</v>
      </c>
    </row>
    <row r="3119" hidden="1">
      <c r="A3119" s="11" t="n">
        <v>46099</v>
      </c>
      <c r="B3119" t="inlineStr">
        <is>
          <t>Davylla Rodrigues Freitas Silva</t>
        </is>
      </c>
      <c r="C3119" t="inlineStr">
        <is>
          <t>Técnico III</t>
        </is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s="3" t="n">
        <v>0</v>
      </c>
      <c r="J3119" s="3" t="n">
        <v>0</v>
      </c>
      <c r="K3119" s="3" t="n">
        <v>0</v>
      </c>
      <c r="L3119" s="3">
        <f>IF(K3119&lt;-5,"CRÍTICO",IF(K3119&lt;0,"ATENÇÃO",IF(K3119&lt;=5,"OPORTUNO","MUITO BOM")))</f>
        <v/>
      </c>
      <c r="N3119" t="n">
        <v>98.73</v>
      </c>
      <c r="O3119" t="n">
        <v>29.14285714285714</v>
      </c>
    </row>
    <row r="3120" hidden="1">
      <c r="A3120" s="11" t="n">
        <v>46099</v>
      </c>
      <c r="B3120" t="inlineStr">
        <is>
          <t>Emilly Caylane Costa</t>
        </is>
      </c>
      <c r="C3120" t="inlineStr">
        <is>
          <t>Estágio</t>
        </is>
      </c>
      <c r="D3120" t="n">
        <v>6</v>
      </c>
      <c r="E3120" t="n">
        <v>6</v>
      </c>
      <c r="F3120" t="n">
        <v>52.09</v>
      </c>
      <c r="G3120" t="n">
        <v>0</v>
      </c>
      <c r="H3120" t="n">
        <v>0</v>
      </c>
      <c r="I3120" s="3">
        <f>E3120+G3120+H3120</f>
        <v/>
      </c>
      <c r="J3120" s="3">
        <f>ROUND(MIN(IF(C3120="Técnico III",35,IF(C3120="Técnico II",28,IF(C3120="Técnico I",23,IF(C3120="JR",20,IF(C3120="Estágio",10,0))))),IF(C3120="Técnico III",SUMIFS($D:$D,$A:$A,$A3120,$B:$B,"&lt;&gt;Patrícia Karla de Sousa Araújo",$B:$B,"&lt;&gt;Lorena Dias de Araujo",$B:$B,"&lt;&gt;Lucas Luiz Romero")*(35/1083),IF(C3120="Técnico II",SUMIFS($D:$D,$A:$A,$A3120,$B:$B,"&lt;&gt;Patrícia Karla de Sousa Araújo",$B:$B,"&lt;&gt;Lorena Dias de Araujo",$B:$B,"&lt;&gt;Lucas Luiz Romero")*(28/1083),IF(C3120="Técnico I",SUMIFS($D:$D,$A:$A,$A3120,$B:$B,"&lt;&gt;Patrícia Karla de Sousa Araújo",$B:$B,"&lt;&gt;Lorena Dias de Araujo",$B:$B,"&lt;&gt;Lucas Luiz Romero")*(23/1083),IF(C3120="JR",SUMIFS($D:$D,$A:$A,$A3120,$B:$B,"&lt;&gt;Patrícia Karla de Sousa Araújo",$B:$B,"&lt;&gt;Lorena Dias de Araujo",$B:$B,"&lt;&gt;Lucas Luiz Romero")*(20/1083),IF(C3120="Estágio",SUMIFS($D:$D,$A:$A,$A3120,$B:$B,"&lt;&gt;Patrícia Karla de Sousa Araújo",$B:$B,"&lt;&gt;Lorena Dias de Araujo",$B:$B,"&lt;&gt;Lucas Luiz Romero")*(10/1083),0)))))),0)</f>
        <v/>
      </c>
      <c r="K3120" s="3">
        <f>I3120-J3120</f>
        <v/>
      </c>
      <c r="L3120" s="3">
        <f>IF(K3120&lt;-5,"CRÍTICO",IF(K3120&lt;0,"ATENÇÃO",IF(K3120&lt;=5,"OPORTUNO","MUITO BOM")))</f>
        <v/>
      </c>
      <c r="N3120" t="n">
        <v>90.48</v>
      </c>
      <c r="O3120" t="n">
        <v>20.68965517241379</v>
      </c>
    </row>
    <row r="3121" hidden="1">
      <c r="A3121" s="11" t="n">
        <v>46099</v>
      </c>
      <c r="B3121" t="inlineStr">
        <is>
          <t>Emilly Kamilly Medeiros Miranda</t>
        </is>
      </c>
      <c r="C3121" t="inlineStr">
        <is>
          <t>Técnico II</t>
        </is>
      </c>
      <c r="D3121" t="n">
        <v>29</v>
      </c>
      <c r="E3121" t="n">
        <v>25</v>
      </c>
      <c r="F3121" t="n">
        <v>20.57</v>
      </c>
      <c r="G3121" t="n">
        <v>0</v>
      </c>
      <c r="H3121" t="n">
        <v>0</v>
      </c>
      <c r="I3121" s="3">
        <f>E3121+G3121+H3121</f>
        <v/>
      </c>
      <c r="J3121" s="3">
        <f>ROUND(MIN(IF(C3121="Técnico III",35,IF(C3121="Técnico II",28,IF(C3121="Técnico I",23,IF(C3121="JR",20,IF(C3121="Estágio",10,0))))),IF(C3121="Técnico III",SUMIFS($D:$D,$A:$A,$A3121,$B:$B,"&lt;&gt;Patrícia Karla de Sousa Araújo",$B:$B,"&lt;&gt;Lorena Dias de Araujo",$B:$B,"&lt;&gt;Lucas Luiz Romero")*(35/1083),IF(C3121="Técnico II",SUMIFS($D:$D,$A:$A,$A3121,$B:$B,"&lt;&gt;Patrícia Karla de Sousa Araújo",$B:$B,"&lt;&gt;Lorena Dias de Araujo",$B:$B,"&lt;&gt;Lucas Luiz Romero")*(28/1083),IF(C3121="Técnico I",SUMIFS($D:$D,$A:$A,$A3121,$B:$B,"&lt;&gt;Patrícia Karla de Sousa Araújo",$B:$B,"&lt;&gt;Lorena Dias de Araujo",$B:$B,"&lt;&gt;Lucas Luiz Romero")*(23/1083),IF(C3121="JR",SUMIFS($D:$D,$A:$A,$A3121,$B:$B,"&lt;&gt;Patrícia Karla de Sousa Araújo",$B:$B,"&lt;&gt;Lorena Dias de Araujo",$B:$B,"&lt;&gt;Lucas Luiz Romero")*(20/1083),IF(C3121="Estágio",SUMIFS($D:$D,$A:$A,$A3121,$B:$B,"&lt;&gt;Patrícia Karla de Sousa Araújo",$B:$B,"&lt;&gt;Lorena Dias de Araujo",$B:$B,"&lt;&gt;Lucas Luiz Romero")*(10/1083),0)))))),0)</f>
        <v/>
      </c>
      <c r="K3121" s="3">
        <f>I3121-J3121</f>
        <v/>
      </c>
      <c r="L3121" s="3">
        <f>IF(K3121&lt;-5,"CRÍTICO",IF(K3121&lt;0,"ATENÇÃO",IF(K3121&lt;=5,"OPORTUNO","MUITO BOM")))</f>
        <v/>
      </c>
      <c r="N3121" t="n">
        <v>98.06</v>
      </c>
      <c r="O3121" t="n">
        <v>24.78991596638656</v>
      </c>
    </row>
    <row r="3122" hidden="1">
      <c r="A3122" s="11" t="n">
        <v>46099</v>
      </c>
      <c r="B3122" t="inlineStr">
        <is>
          <t>Francielson de Oliveira</t>
        </is>
      </c>
      <c r="C3122" t="inlineStr">
        <is>
          <t>Técnico III</t>
        </is>
      </c>
      <c r="D3122" t="n">
        <v>31</v>
      </c>
      <c r="E3122" t="n">
        <v>30</v>
      </c>
      <c r="F3122" t="n">
        <v>14.14</v>
      </c>
      <c r="G3122" t="n">
        <v>0</v>
      </c>
      <c r="H3122" t="n">
        <v>0</v>
      </c>
      <c r="I3122" s="3">
        <f>E3122+G3122+H3122</f>
        <v/>
      </c>
      <c r="J3122" s="3">
        <f>ROUND(MIN(IF(C3122="Técnico III",35,IF(C3122="Técnico II",28,IF(C3122="Técnico I",23,IF(C3122="JR",20,IF(C3122="Estágio",10,0))))),IF(C3122="Técnico III",SUMIFS($D:$D,$A:$A,$A3122,$B:$B,"&lt;&gt;Patrícia Karla de Sousa Araújo",$B:$B,"&lt;&gt;Lorena Dias de Araujo",$B:$B,"&lt;&gt;Lucas Luiz Romero")*(35/1083),IF(C3122="Técnico II",SUMIFS($D:$D,$A:$A,$A3122,$B:$B,"&lt;&gt;Patrícia Karla de Sousa Araújo",$B:$B,"&lt;&gt;Lorena Dias de Araujo",$B:$B,"&lt;&gt;Lucas Luiz Romero")*(28/1083),IF(C3122="Técnico I",SUMIFS($D:$D,$A:$A,$A3122,$B:$B,"&lt;&gt;Patrícia Karla de Sousa Araújo",$B:$B,"&lt;&gt;Lorena Dias de Araujo",$B:$B,"&lt;&gt;Lucas Luiz Romero")*(23/1083),IF(C3122="JR",SUMIFS($D:$D,$A:$A,$A3122,$B:$B,"&lt;&gt;Patrícia Karla de Sousa Araújo",$B:$B,"&lt;&gt;Lorena Dias de Araujo",$B:$B,"&lt;&gt;Lucas Luiz Romero")*(20/1083),IF(C3122="Estágio",SUMIFS($D:$D,$A:$A,$A3122,$B:$B,"&lt;&gt;Patrícia Karla de Sousa Araújo",$B:$B,"&lt;&gt;Lorena Dias de Araujo",$B:$B,"&lt;&gt;Lucas Luiz Romero")*(10/1083),0)))))),0)</f>
        <v/>
      </c>
      <c r="K3122" s="3">
        <f>I3122-J3122</f>
        <v/>
      </c>
      <c r="L3122" s="3">
        <f>IF(K3122&lt;-5,"CRÍTICO",IF(K3122&lt;0,"ATENÇÃO",IF(K3122&lt;=5,"OPORTUNO","MUITO BOM")))</f>
        <v/>
      </c>
      <c r="N3122" t="n">
        <v>97.78</v>
      </c>
      <c r="O3122" t="n">
        <v>25.49407114624506</v>
      </c>
    </row>
    <row r="3123" hidden="1">
      <c r="A3123" s="11" t="n">
        <v>46099</v>
      </c>
      <c r="B3123" t="inlineStr">
        <is>
          <t>Francilene Ferreira de Jesus</t>
        </is>
      </c>
      <c r="C3123" t="inlineStr">
        <is>
          <t>Técnico II</t>
        </is>
      </c>
      <c r="D3123" t="n">
        <v>28</v>
      </c>
      <c r="E3123" t="n">
        <v>24</v>
      </c>
      <c r="F3123" t="n">
        <v>23.54</v>
      </c>
      <c r="G3123" t="n">
        <v>0</v>
      </c>
      <c r="H3123" t="n">
        <v>0</v>
      </c>
      <c r="I3123" s="3">
        <f>E3123+G3123+H3123</f>
        <v/>
      </c>
      <c r="J3123" s="3">
        <f>ROUND(MIN(IF(C3123="Técnico III",35,IF(C3123="Técnico II",28,IF(C3123="Técnico I",23,IF(C3123="JR",20,IF(C3123="Estágio",10,0))))),IF(C3123="Técnico III",SUMIFS($D:$D,$A:$A,$A3123,$B:$B,"&lt;&gt;Patrícia Karla de Sousa Araújo",$B:$B,"&lt;&gt;Lorena Dias de Araujo",$B:$B,"&lt;&gt;Lucas Luiz Romero")*(35/1083),IF(C3123="Técnico II",SUMIFS($D:$D,$A:$A,$A3123,$B:$B,"&lt;&gt;Patrícia Karla de Sousa Araújo",$B:$B,"&lt;&gt;Lorena Dias de Araujo",$B:$B,"&lt;&gt;Lucas Luiz Romero")*(28/1083),IF(C3123="Técnico I",SUMIFS($D:$D,$A:$A,$A3123,$B:$B,"&lt;&gt;Patrícia Karla de Sousa Araújo",$B:$B,"&lt;&gt;Lorena Dias de Araujo",$B:$B,"&lt;&gt;Lucas Luiz Romero")*(23/1083),IF(C3123="JR",SUMIFS($D:$D,$A:$A,$A3123,$B:$B,"&lt;&gt;Patrícia Karla de Sousa Araújo",$B:$B,"&lt;&gt;Lorena Dias de Araujo",$B:$B,"&lt;&gt;Lucas Luiz Romero")*(20/1083),IF(C3123="Estágio",SUMIFS($D:$D,$A:$A,$A3123,$B:$B,"&lt;&gt;Patrícia Karla de Sousa Araújo",$B:$B,"&lt;&gt;Lorena Dias de Araujo",$B:$B,"&lt;&gt;Lucas Luiz Romero")*(10/1083),0)))))),0)</f>
        <v/>
      </c>
      <c r="K3123" s="3">
        <f>I3123-J3123</f>
        <v/>
      </c>
      <c r="L3123" s="3">
        <f>IF(K3123&lt;-5,"CRÍTICO",IF(K3123&lt;0,"ATENÇÃO",IF(K3123&lt;=5,"OPORTUNO","MUITO BOM")))</f>
        <v/>
      </c>
      <c r="N3123" t="n">
        <v>98.02</v>
      </c>
      <c r="O3123" t="n">
        <v>23.48484848484848</v>
      </c>
    </row>
    <row r="3124" hidden="1">
      <c r="A3124" s="11" t="n">
        <v>46134</v>
      </c>
      <c r="B3124" t="inlineStr">
        <is>
          <t>Gabriel Gomes de Andrade</t>
        </is>
      </c>
      <c r="C3124" t="inlineStr">
        <is>
          <t>Técnico I</t>
        </is>
      </c>
      <c r="D3124" t="n">
        <v>20</v>
      </c>
      <c r="E3124" t="n">
        <v>18</v>
      </c>
      <c r="F3124" t="n">
        <v>27.29</v>
      </c>
      <c r="G3124" t="n">
        <v>0</v>
      </c>
      <c r="H3124" t="n">
        <v>0</v>
      </c>
      <c r="I3124" s="3">
        <f>E3124+G3124+H3124</f>
        <v/>
      </c>
      <c r="J3124" s="3">
        <f>ROUND(MIN(IF(C3124="Técnico III",35,IF(C3124="Técnico II",28,IF(C3124="Técnico I",23,IF(C3124="JR",20,IF(C3124="Estágio",10,0))))),IF(C3124="Técnico III",SUMIFS($D:$D,$A:$A,$A3124,$B:$B,"&lt;&gt;Patrícia Karla de Sousa Araújo",$B:$B,"&lt;&gt;Lorena Dias de Araujo",$B:$B,"&lt;&gt;Lucas Luiz Romero")*(35/1083),IF(C3124="Técnico II",SUMIFS($D:$D,$A:$A,$A3124,$B:$B,"&lt;&gt;Patrícia Karla de Sousa Araújo",$B:$B,"&lt;&gt;Lorena Dias de Araujo",$B:$B,"&lt;&gt;Lucas Luiz Romero")*(28/1083),IF(C3124="Técnico I",SUMIFS($D:$D,$A:$A,$A3124,$B:$B,"&lt;&gt;Patrícia Karla de Sousa Araújo",$B:$B,"&lt;&gt;Lorena Dias de Araujo",$B:$B,"&lt;&gt;Lucas Luiz Romero")*(23/1083),IF(C3124="JR",SUMIFS($D:$D,$A:$A,$A3124,$B:$B,"&lt;&gt;Patrícia Karla de Sousa Araújo",$B:$B,"&lt;&gt;Lorena Dias de Araujo",$B:$B,"&lt;&gt;Lucas Luiz Romero")*(20/1083),IF(C3124="Estágio",SUMIFS($D:$D,$A:$A,$A3124,$B:$B,"&lt;&gt;Patrícia Karla de Sousa Araújo",$B:$B,"&lt;&gt;Lorena Dias de Araujo",$B:$B,"&lt;&gt;Lucas Luiz Romero")*(10/1083),0)))))),0)</f>
        <v/>
      </c>
      <c r="K3124" s="3">
        <f>I3124-J3124</f>
        <v/>
      </c>
      <c r="L3124" s="3">
        <f>IF(K3124&lt;-5,"CRÍTICO",IF(K3124&lt;0,"ATENÇÃO",IF(K3124&lt;=5,"OPORTUNO","MUITO BOM")))</f>
        <v/>
      </c>
      <c r="N3124" t="n">
        <v>99.28</v>
      </c>
      <c r="O3124" t="n">
        <v>27.68924302788844</v>
      </c>
    </row>
    <row r="3125" hidden="1">
      <c r="A3125" s="11" t="n">
        <v>46099</v>
      </c>
      <c r="B3125" t="inlineStr">
        <is>
          <t>Isabella Borges de Oliveira</t>
        </is>
      </c>
      <c r="C3125" t="inlineStr">
        <is>
          <t>Técnico II</t>
        </is>
      </c>
      <c r="D3125" t="n">
        <v>29</v>
      </c>
      <c r="E3125" t="n">
        <v>27</v>
      </c>
      <c r="F3125" t="n">
        <v>17.32</v>
      </c>
      <c r="G3125" t="n">
        <v>0</v>
      </c>
      <c r="H3125" t="n">
        <v>0</v>
      </c>
      <c r="I3125" s="3">
        <f>E3125+G3125+H3125</f>
        <v/>
      </c>
      <c r="J3125" s="3">
        <f>ROUND(MIN(IF(C3125="Técnico III",35,IF(C3125="Técnico II",28,IF(C3125="Técnico I",23,IF(C3125="JR",20,IF(C3125="Estágio",10,0))))),IF(C3125="Técnico III",SUMIFS($D:$D,$A:$A,$A3125,$B:$B,"&lt;&gt;Patrícia Karla de Sousa Araújo",$B:$B,"&lt;&gt;Lorena Dias de Araujo",$B:$B,"&lt;&gt;Lucas Luiz Romero")*(35/1083),IF(C3125="Técnico II",SUMIFS($D:$D,$A:$A,$A3125,$B:$B,"&lt;&gt;Patrícia Karla de Sousa Araújo",$B:$B,"&lt;&gt;Lorena Dias de Araujo",$B:$B,"&lt;&gt;Lucas Luiz Romero")*(28/1083),IF(C3125="Técnico I",SUMIFS($D:$D,$A:$A,$A3125,$B:$B,"&lt;&gt;Patrícia Karla de Sousa Araújo",$B:$B,"&lt;&gt;Lorena Dias de Araujo",$B:$B,"&lt;&gt;Lucas Luiz Romero")*(23/1083),IF(C3125="JR",SUMIFS($D:$D,$A:$A,$A3125,$B:$B,"&lt;&gt;Patrícia Karla de Sousa Araújo",$B:$B,"&lt;&gt;Lorena Dias de Araujo",$B:$B,"&lt;&gt;Lucas Luiz Romero")*(20/1083),IF(C3125="Estágio",SUMIFS($D:$D,$A:$A,$A3125,$B:$B,"&lt;&gt;Patrícia Karla de Sousa Araújo",$B:$B,"&lt;&gt;Lorena Dias de Araujo",$B:$B,"&lt;&gt;Lucas Luiz Romero")*(10/1083),0)))))),0)</f>
        <v/>
      </c>
      <c r="K3125" s="3">
        <f>I3125-J3125</f>
        <v/>
      </c>
      <c r="L3125" s="3">
        <f>IF(K3125&lt;-5,"CRÍTICO",IF(K3125&lt;0,"ATENÇÃO",IF(K3125&lt;=5,"OPORTUNO","MUITO BOM")))</f>
        <v/>
      </c>
      <c r="N3125" t="n">
        <v>100</v>
      </c>
      <c r="O3125" t="n">
        <v>27.04918032786885</v>
      </c>
    </row>
    <row r="3126" hidden="1">
      <c r="A3126" s="11" t="n">
        <v>46099</v>
      </c>
      <c r="B3126" t="inlineStr">
        <is>
          <t>Janaina Lima dos Reis Urany</t>
        </is>
      </c>
      <c r="C3126" t="inlineStr">
        <is>
          <t>Técnico III</t>
        </is>
      </c>
      <c r="D3126" t="n">
        <v>43</v>
      </c>
      <c r="E3126" t="n">
        <v>40</v>
      </c>
      <c r="F3126" t="n">
        <v>16.5</v>
      </c>
      <c r="G3126" t="n">
        <v>0</v>
      </c>
      <c r="H3126" t="n">
        <v>0</v>
      </c>
      <c r="I3126" s="3">
        <f>E3126+G3126+H3126</f>
        <v/>
      </c>
      <c r="J3126" s="3">
        <f>ROUND(MIN(IF(C3126="Técnico III",35,IF(C3126="Técnico II",28,IF(C3126="Técnico I",23,IF(C3126="JR",20,IF(C3126="Estágio",10,0))))),IF(C3126="Técnico III",SUMIFS($D:$D,$A:$A,$A3126,$B:$B,"&lt;&gt;Patrícia Karla de Sousa Araújo",$B:$B,"&lt;&gt;Lorena Dias de Araujo",$B:$B,"&lt;&gt;Lucas Luiz Romero")*(35/1083),IF(C3126="Técnico II",SUMIFS($D:$D,$A:$A,$A3126,$B:$B,"&lt;&gt;Patrícia Karla de Sousa Araújo",$B:$B,"&lt;&gt;Lorena Dias de Araujo",$B:$B,"&lt;&gt;Lucas Luiz Romero")*(28/1083),IF(C3126="Técnico I",SUMIFS($D:$D,$A:$A,$A3126,$B:$B,"&lt;&gt;Patrícia Karla de Sousa Araújo",$B:$B,"&lt;&gt;Lorena Dias de Araujo",$B:$B,"&lt;&gt;Lucas Luiz Romero")*(23/1083),IF(C3126="JR",SUMIFS($D:$D,$A:$A,$A3126,$B:$B,"&lt;&gt;Patrícia Karla de Sousa Araújo",$B:$B,"&lt;&gt;Lorena Dias de Araujo",$B:$B,"&lt;&gt;Lucas Luiz Romero")*(20/1083),IF(C3126="Estágio",SUMIFS($D:$D,$A:$A,$A3126,$B:$B,"&lt;&gt;Patrícia Karla de Sousa Araújo",$B:$B,"&lt;&gt;Lorena Dias de Araujo",$B:$B,"&lt;&gt;Lucas Luiz Romero")*(10/1083),0)))))),0)</f>
        <v/>
      </c>
      <c r="K3126" s="3">
        <f>I3126-J3126</f>
        <v/>
      </c>
      <c r="L3126" s="3">
        <f>IF(K3126&lt;-5,"CRÍTICO",IF(K3126&lt;0,"ATENÇÃO",IF(K3126&lt;=5,"OPORTUNO","MUITO BOM")))</f>
        <v/>
      </c>
      <c r="N3126" t="n">
        <v>97.83</v>
      </c>
      <c r="O3126" t="n">
        <v>26.31578947368421</v>
      </c>
    </row>
    <row r="3127" hidden="1">
      <c r="A3127" s="11" t="n">
        <v>46099</v>
      </c>
      <c r="B3127" t="inlineStr">
        <is>
          <t>Jaqueline Evangelista da Silva Martins</t>
        </is>
      </c>
      <c r="C3127" t="inlineStr">
        <is>
          <t>Técnico III</t>
        </is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s="3" t="n">
        <v>0</v>
      </c>
      <c r="J3127" s="3" t="n">
        <v>0</v>
      </c>
      <c r="K3127" s="3" t="n">
        <v>0</v>
      </c>
      <c r="L3127" s="3">
        <f>IF(K3127&lt;-5,"CRÍTICO",IF(K3127&lt;0,"ATENÇÃO",IF(K3127&lt;=5,"OPORTUNO","MUITO BOM")))</f>
        <v/>
      </c>
      <c r="N3127" t="n">
        <v>100</v>
      </c>
      <c r="O3127" t="n">
        <v>26.70157068062827</v>
      </c>
    </row>
    <row r="3128" hidden="1">
      <c r="A3128" s="11" t="n">
        <v>46099</v>
      </c>
      <c r="B3128" t="inlineStr">
        <is>
          <t>Jessica Faria da Silveira</t>
        </is>
      </c>
      <c r="C3128" t="inlineStr">
        <is>
          <t>Técnico II</t>
        </is>
      </c>
      <c r="D3128" t="n">
        <v>19</v>
      </c>
      <c r="E3128" t="n">
        <v>16</v>
      </c>
      <c r="F3128" t="n">
        <v>32.33</v>
      </c>
      <c r="G3128" t="n">
        <v>0</v>
      </c>
      <c r="H3128" t="n">
        <v>0</v>
      </c>
      <c r="I3128" s="3">
        <f>E3128+G3128+H3128</f>
        <v/>
      </c>
      <c r="J3128" s="3">
        <f>ROUND(MIN(IF(C3128="Técnico III",35,IF(C3128="Técnico II",28,IF(C3128="Técnico I",23,IF(C3128="JR",20,IF(C3128="Estágio",10,0))))),IF(C3128="Técnico III",SUMIFS($D:$D,$A:$A,$A3128,$B:$B,"&lt;&gt;Patrícia Karla de Sousa Araújo",$B:$B,"&lt;&gt;Lorena Dias de Araujo",$B:$B,"&lt;&gt;Lucas Luiz Romero")*(35/1083),IF(C3128="Técnico II",SUMIFS($D:$D,$A:$A,$A3128,$B:$B,"&lt;&gt;Patrícia Karla de Sousa Araújo",$B:$B,"&lt;&gt;Lorena Dias de Araujo",$B:$B,"&lt;&gt;Lucas Luiz Romero")*(28/1083),IF(C3128="Técnico I",SUMIFS($D:$D,$A:$A,$A3128,$B:$B,"&lt;&gt;Patrícia Karla de Sousa Araújo",$B:$B,"&lt;&gt;Lorena Dias de Araujo",$B:$B,"&lt;&gt;Lucas Luiz Romero")*(23/1083),IF(C3128="JR",SUMIFS($D:$D,$A:$A,$A3128,$B:$B,"&lt;&gt;Patrícia Karla de Sousa Araújo",$B:$B,"&lt;&gt;Lorena Dias de Araujo",$B:$B,"&lt;&gt;Lucas Luiz Romero")*(20/1083),IF(C3128="Estágio",SUMIFS($D:$D,$A:$A,$A3128,$B:$B,"&lt;&gt;Patrícia Karla de Sousa Araújo",$B:$B,"&lt;&gt;Lorena Dias de Araujo",$B:$B,"&lt;&gt;Lucas Luiz Romero")*(10/1083),0)))))),0)</f>
        <v/>
      </c>
      <c r="K3128" s="3">
        <f>I3128-J3128</f>
        <v/>
      </c>
      <c r="L3128" s="3">
        <f>IF(K3128&lt;-5,"CRÍTICO",IF(K3128&lt;0,"ATENÇÃO",IF(K3128&lt;=5,"OPORTUNO","MUITO BOM")))</f>
        <v/>
      </c>
      <c r="N3128" t="n">
        <v>97.47</v>
      </c>
      <c r="O3128" t="n">
        <v>22.88732394366197</v>
      </c>
    </row>
    <row r="3129" hidden="1">
      <c r="A3129" s="11" t="n">
        <v>46099</v>
      </c>
      <c r="B3129" t="inlineStr">
        <is>
          <t>Jéssica Fé Moura</t>
        </is>
      </c>
      <c r="C3129" t="inlineStr">
        <is>
          <t>Técnico III</t>
        </is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s="3" t="n">
        <v>0</v>
      </c>
      <c r="J3129" s="3" t="n">
        <v>0</v>
      </c>
      <c r="K3129" s="3" t="n">
        <v>0</v>
      </c>
      <c r="L3129" s="3">
        <f>IF(K3129&lt;-5,"CRÍTICO",IF(K3129&lt;0,"ATENÇÃO",IF(K3129&lt;=5,"OPORTUNO","MUITO BOM")))</f>
        <v/>
      </c>
      <c r="N3129" t="n">
        <v>0</v>
      </c>
      <c r="O3129" t="n">
        <v>0</v>
      </c>
    </row>
    <row r="3130" hidden="1">
      <c r="A3130" s="11" t="n">
        <v>46099</v>
      </c>
      <c r="B3130" t="inlineStr">
        <is>
          <t>Karina Gonçalves Martins</t>
        </is>
      </c>
      <c r="C3130" t="inlineStr">
        <is>
          <t>JR</t>
        </is>
      </c>
      <c r="D3130" t="n">
        <v>19</v>
      </c>
      <c r="E3130" t="n">
        <v>18</v>
      </c>
      <c r="F3130" t="n">
        <v>30.2</v>
      </c>
      <c r="G3130" t="n">
        <v>0</v>
      </c>
      <c r="H3130" t="n">
        <v>0</v>
      </c>
      <c r="I3130" s="3">
        <f>E3130+G3130+H3130</f>
        <v/>
      </c>
      <c r="J3130" s="3">
        <f>ROUND(MIN(IF(C3130="Técnico III",35,IF(C3130="Técnico II",28,IF(C3130="Técnico I",23,IF(C3130="JR",20,IF(C3130="Estágio",10,0))))),IF(C3130="Técnico III",SUMIFS($D:$D,$A:$A,$A3130,$B:$B,"&lt;&gt;Patrícia Karla de Sousa Araújo",$B:$B,"&lt;&gt;Lorena Dias de Araujo",$B:$B,"&lt;&gt;Lucas Luiz Romero")*(35/1083),IF(C3130="Técnico II",SUMIFS($D:$D,$A:$A,$A3130,$B:$B,"&lt;&gt;Patrícia Karla de Sousa Araújo",$B:$B,"&lt;&gt;Lorena Dias de Araujo",$B:$B,"&lt;&gt;Lucas Luiz Romero")*(28/1083),IF(C3130="Técnico I",SUMIFS($D:$D,$A:$A,$A3130,$B:$B,"&lt;&gt;Patrícia Karla de Sousa Araújo",$B:$B,"&lt;&gt;Lorena Dias de Araujo",$B:$B,"&lt;&gt;Lucas Luiz Romero")*(23/1083),IF(C3130="JR",SUMIFS($D:$D,$A:$A,$A3130,$B:$B,"&lt;&gt;Patrícia Karla de Sousa Araújo",$B:$B,"&lt;&gt;Lorena Dias de Araujo",$B:$B,"&lt;&gt;Lucas Luiz Romero")*(20/1083),IF(C3130="Estágio",SUMIFS($D:$D,$A:$A,$A3130,$B:$B,"&lt;&gt;Patrícia Karla de Sousa Araújo",$B:$B,"&lt;&gt;Lorena Dias de Araujo",$B:$B,"&lt;&gt;Lucas Luiz Romero")*(10/1083),0)))))),0)</f>
        <v/>
      </c>
      <c r="K3130" s="3">
        <f>I3130-J3130</f>
        <v/>
      </c>
      <c r="L3130" s="3">
        <f>IF(K3130&lt;-5,"CRÍTICO",IF(K3130&lt;0,"ATENÇÃO",IF(K3130&lt;=5,"OPORTUNO","MUITO BOM")))</f>
        <v/>
      </c>
      <c r="N3130" t="n">
        <v>98.31</v>
      </c>
      <c r="O3130" t="n">
        <v>24.92012779552715</v>
      </c>
    </row>
    <row r="3131" hidden="1">
      <c r="A3131" s="11" t="n">
        <v>46099</v>
      </c>
      <c r="B3131" t="inlineStr">
        <is>
          <t>Kerollen Cristielly de Jesus Siqueira</t>
        </is>
      </c>
      <c r="C3131" t="inlineStr">
        <is>
          <t>Técnico III</t>
        </is>
      </c>
      <c r="D3131" t="n">
        <v>11</v>
      </c>
      <c r="E3131" t="n">
        <v>7</v>
      </c>
      <c r="F3131" t="n">
        <v>14</v>
      </c>
      <c r="G3131" t="n">
        <v>0</v>
      </c>
      <c r="H3131" t="n">
        <v>0</v>
      </c>
      <c r="I3131" s="3">
        <f>E3131+G3131+H3131</f>
        <v/>
      </c>
      <c r="J3131" s="3">
        <f>ROUND(MIN(IF(C3131="Técnico III",35,IF(C3131="Técnico II",28,IF(C3131="Técnico I",23,IF(C3131="JR",20,IF(C3131="Estágio",10,0))))),IF(C3131="Técnico III",SUMIFS($D:$D,$A:$A,$A3131,$B:$B,"&lt;&gt;Patrícia Karla de Sousa Araújo",$B:$B,"&lt;&gt;Lorena Dias de Araujo",$B:$B,"&lt;&gt;Lucas Luiz Romero")*(35/1083),IF(C3131="Técnico II",SUMIFS($D:$D,$A:$A,$A3131,$B:$B,"&lt;&gt;Patrícia Karla de Sousa Araújo",$B:$B,"&lt;&gt;Lorena Dias de Araujo",$B:$B,"&lt;&gt;Lucas Luiz Romero")*(28/1083),IF(C3131="Técnico I",SUMIFS($D:$D,$A:$A,$A3131,$B:$B,"&lt;&gt;Patrícia Karla de Sousa Araújo",$B:$B,"&lt;&gt;Lorena Dias de Araujo",$B:$B,"&lt;&gt;Lucas Luiz Romero")*(23/1083),IF(C3131="JR",SUMIFS($D:$D,$A:$A,$A3131,$B:$B,"&lt;&gt;Patrícia Karla de Sousa Araújo",$B:$B,"&lt;&gt;Lorena Dias de Araujo",$B:$B,"&lt;&gt;Lucas Luiz Romero")*(20/1083),IF(C3131="Estágio",SUMIFS($D:$D,$A:$A,$A3131,$B:$B,"&lt;&gt;Patrícia Karla de Sousa Araújo",$B:$B,"&lt;&gt;Lorena Dias de Araujo",$B:$B,"&lt;&gt;Lucas Luiz Romero")*(10/1083),0)))))),0)</f>
        <v/>
      </c>
      <c r="K3131" s="3">
        <f>I3131-J3131</f>
        <v/>
      </c>
      <c r="L3131" s="3">
        <f>IF(K3131&lt;-5,"CRÍTICO",IF(K3131&lt;0,"ATENÇÃO",IF(K3131&lt;=5,"OPORTUNO","MUITO BOM")))</f>
        <v/>
      </c>
      <c r="N3131" t="n">
        <v>96.81</v>
      </c>
      <c r="O3131" t="n">
        <v>32.36514522821577</v>
      </c>
    </row>
    <row r="3132" hidden="1">
      <c r="A3132" s="11" t="n">
        <v>46099</v>
      </c>
      <c r="B3132" t="inlineStr">
        <is>
          <t>Leandro de Souza Silva</t>
        </is>
      </c>
      <c r="C3132" t="inlineStr">
        <is>
          <t>JR</t>
        </is>
      </c>
      <c r="D3132" t="n">
        <v>16</v>
      </c>
      <c r="E3132" t="n">
        <v>16</v>
      </c>
      <c r="F3132" t="n">
        <v>24.14</v>
      </c>
      <c r="G3132" t="n">
        <v>0</v>
      </c>
      <c r="H3132" t="n">
        <v>0</v>
      </c>
      <c r="I3132" s="3">
        <f>E3132+G3132+H3132</f>
        <v/>
      </c>
      <c r="J3132" s="3">
        <f>ROUND(MIN(IF(C3132="Técnico III",35,IF(C3132="Técnico II",28,IF(C3132="Técnico I",23,IF(C3132="JR",20,IF(C3132="Estágio",10,0))))),IF(C3132="Técnico III",SUMIFS($D:$D,$A:$A,$A3132,$B:$B,"&lt;&gt;Patrícia Karla de Sousa Araújo",$B:$B,"&lt;&gt;Lorena Dias de Araujo",$B:$B,"&lt;&gt;Lucas Luiz Romero")*(35/1083),IF(C3132="Técnico II",SUMIFS($D:$D,$A:$A,$A3132,$B:$B,"&lt;&gt;Patrícia Karla de Sousa Araújo",$B:$B,"&lt;&gt;Lorena Dias de Araujo",$B:$B,"&lt;&gt;Lucas Luiz Romero")*(28/1083),IF(C3132="Técnico I",SUMIFS($D:$D,$A:$A,$A3132,$B:$B,"&lt;&gt;Patrícia Karla de Sousa Araújo",$B:$B,"&lt;&gt;Lorena Dias de Araujo",$B:$B,"&lt;&gt;Lucas Luiz Romero")*(23/1083),IF(C3132="JR",SUMIFS($D:$D,$A:$A,$A3132,$B:$B,"&lt;&gt;Patrícia Karla de Sousa Araújo",$B:$B,"&lt;&gt;Lorena Dias de Araujo",$B:$B,"&lt;&gt;Lucas Luiz Romero")*(20/1083),IF(C3132="Estágio",SUMIFS($D:$D,$A:$A,$A3132,$B:$B,"&lt;&gt;Patrícia Karla de Sousa Araújo",$B:$B,"&lt;&gt;Lorena Dias de Araujo",$B:$B,"&lt;&gt;Lucas Luiz Romero")*(10/1083),0)))))),0)</f>
        <v/>
      </c>
      <c r="K3132" s="3">
        <f>I3132-J3132</f>
        <v/>
      </c>
      <c r="L3132" s="3">
        <f>IF(K3132&lt;-5,"CRÍTICO",IF(K3132&lt;0,"ATENÇÃO",IF(K3132&lt;=5,"OPORTUNO","MUITO BOM")))</f>
        <v/>
      </c>
      <c r="N3132" t="n">
        <v>100</v>
      </c>
      <c r="O3132" t="n">
        <v>26.47058823529412</v>
      </c>
    </row>
    <row r="3133" hidden="1">
      <c r="A3133" s="11" t="n">
        <v>46099</v>
      </c>
      <c r="B3133" t="inlineStr">
        <is>
          <t>Leandro Oliveira de Sousa</t>
        </is>
      </c>
      <c r="C3133" t="inlineStr">
        <is>
          <t>Técnico III</t>
        </is>
      </c>
      <c r="D3133" t="n">
        <v>18</v>
      </c>
      <c r="E3133" t="n">
        <v>18</v>
      </c>
      <c r="F3133" t="n">
        <v>30.43</v>
      </c>
      <c r="G3133" t="n">
        <v>0</v>
      </c>
      <c r="H3133" t="n">
        <v>0</v>
      </c>
      <c r="I3133" s="3">
        <f>E3133+G3133+H3133</f>
        <v/>
      </c>
      <c r="J3133" s="3">
        <f>ROUND(MIN(IF(C3133="Técnico III",35,IF(C3133="Técnico II",28,IF(C3133="Técnico I",23,IF(C3133="JR",20,IF(C3133="Estágio",10,0))))),IF(C3133="Técnico III",SUMIFS($D:$D,$A:$A,$A3133,$B:$B,"&lt;&gt;Patrícia Karla de Sousa Araújo",$B:$B,"&lt;&gt;Lorena Dias de Araujo",$B:$B,"&lt;&gt;Lucas Luiz Romero")*(35/1083),IF(C3133="Técnico II",SUMIFS($D:$D,$A:$A,$A3133,$B:$B,"&lt;&gt;Patrícia Karla de Sousa Araújo",$B:$B,"&lt;&gt;Lorena Dias de Araujo",$B:$B,"&lt;&gt;Lucas Luiz Romero")*(28/1083),IF(C3133="Técnico I",SUMIFS($D:$D,$A:$A,$A3133,$B:$B,"&lt;&gt;Patrícia Karla de Sousa Araújo",$B:$B,"&lt;&gt;Lorena Dias de Araujo",$B:$B,"&lt;&gt;Lucas Luiz Romero")*(23/1083),IF(C3133="JR",SUMIFS($D:$D,$A:$A,$A3133,$B:$B,"&lt;&gt;Patrícia Karla de Sousa Araújo",$B:$B,"&lt;&gt;Lorena Dias de Araujo",$B:$B,"&lt;&gt;Lucas Luiz Romero")*(20/1083),IF(C3133="Estágio",SUMIFS($D:$D,$A:$A,$A3133,$B:$B,"&lt;&gt;Patrícia Karla de Sousa Araújo",$B:$B,"&lt;&gt;Lorena Dias de Araujo",$B:$B,"&lt;&gt;Lucas Luiz Romero")*(10/1083),0)))))),0)</f>
        <v/>
      </c>
      <c r="K3133" s="3">
        <f>I3133-J3133</f>
        <v/>
      </c>
      <c r="L3133" s="3">
        <f>IF(K3133&lt;-5,"CRÍTICO",IF(K3133&lt;0,"ATENÇÃO",IF(K3133&lt;=5,"OPORTUNO","MUITO BOM")))</f>
        <v/>
      </c>
      <c r="N3133" t="n">
        <v>100</v>
      </c>
      <c r="O3133" t="n">
        <v>28.49002849002849</v>
      </c>
    </row>
    <row r="3134" hidden="1">
      <c r="A3134" s="11" t="n">
        <v>46099</v>
      </c>
      <c r="B3134" t="inlineStr">
        <is>
          <t>Lizandra Gomes Duarte</t>
        </is>
      </c>
      <c r="C3134" t="inlineStr">
        <is>
          <t>Técnico II</t>
        </is>
      </c>
      <c r="D3134" t="n">
        <v>29</v>
      </c>
      <c r="E3134" t="n">
        <v>29</v>
      </c>
      <c r="F3134" t="n">
        <v>23.43</v>
      </c>
      <c r="G3134" t="n">
        <v>0</v>
      </c>
      <c r="H3134" t="n">
        <v>0</v>
      </c>
      <c r="I3134" s="3">
        <f>E3134+G3134+H3134</f>
        <v/>
      </c>
      <c r="J3134" s="3">
        <f>ROUND(MIN(IF(C3134="Técnico III",35,IF(C3134="Técnico II",28,IF(C3134="Técnico I",23,IF(C3134="JR",20,IF(C3134="Estágio",10,0))))),IF(C3134="Técnico III",SUMIFS($D:$D,$A:$A,$A3134,$B:$B,"&lt;&gt;Patrícia Karla de Sousa Araújo",$B:$B,"&lt;&gt;Lorena Dias de Araujo",$B:$B,"&lt;&gt;Lucas Luiz Romero")*(35/1083),IF(C3134="Técnico II",SUMIFS($D:$D,$A:$A,$A3134,$B:$B,"&lt;&gt;Patrícia Karla de Sousa Araújo",$B:$B,"&lt;&gt;Lorena Dias de Araujo",$B:$B,"&lt;&gt;Lucas Luiz Romero")*(28/1083),IF(C3134="Técnico I",SUMIFS($D:$D,$A:$A,$A3134,$B:$B,"&lt;&gt;Patrícia Karla de Sousa Araújo",$B:$B,"&lt;&gt;Lorena Dias de Araujo",$B:$B,"&lt;&gt;Lucas Luiz Romero")*(23/1083),IF(C3134="JR",SUMIFS($D:$D,$A:$A,$A3134,$B:$B,"&lt;&gt;Patrícia Karla de Sousa Araújo",$B:$B,"&lt;&gt;Lorena Dias de Araujo",$B:$B,"&lt;&gt;Lucas Luiz Romero")*(20/1083),IF(C3134="Estágio",SUMIFS($D:$D,$A:$A,$A3134,$B:$B,"&lt;&gt;Patrícia Karla de Sousa Araújo",$B:$B,"&lt;&gt;Lorena Dias de Araujo",$B:$B,"&lt;&gt;Lucas Luiz Romero")*(10/1083),0)))))),0)</f>
        <v/>
      </c>
      <c r="K3134" s="3">
        <f>I3134-J3134</f>
        <v/>
      </c>
      <c r="L3134" s="3">
        <f>IF(K3134&lt;-5,"CRÍTICO",IF(K3134&lt;0,"ATENÇÃO",IF(K3134&lt;=5,"OPORTUNO","MUITO BOM")))</f>
        <v/>
      </c>
      <c r="N3134" t="n">
        <v>99.14</v>
      </c>
      <c r="O3134" t="n">
        <v>27.2289156626506</v>
      </c>
    </row>
    <row r="3135" hidden="1">
      <c r="A3135" s="11" t="n">
        <v>46099</v>
      </c>
      <c r="B3135" t="inlineStr">
        <is>
          <t>Lorena Dias de Araujo</t>
        </is>
      </c>
      <c r="C3135" t="inlineStr">
        <is>
          <t>Técnico II</t>
        </is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s="3" t="n">
        <v>0</v>
      </c>
      <c r="J3135" s="3" t="n">
        <v>0</v>
      </c>
      <c r="K3135" s="3" t="n">
        <v>0</v>
      </c>
      <c r="L3135" s="3">
        <f>IF(K3135&lt;-5,"CRÍTICO",IF(K3135&lt;0,"ATENÇÃO",IF(K3135&lt;=5,"OPORTUNO","MUITO BOM")))</f>
        <v/>
      </c>
      <c r="N3135" t="n">
        <v>97.52</v>
      </c>
      <c r="O3135" t="n">
        <v>28.2051282051282</v>
      </c>
    </row>
    <row r="3136" hidden="1">
      <c r="A3136" s="11" t="n">
        <v>46099</v>
      </c>
      <c r="B3136" t="inlineStr">
        <is>
          <t>Lucas Luiz Romero</t>
        </is>
      </c>
      <c r="C3136" t="inlineStr">
        <is>
          <t>Técnico III</t>
        </is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s="3" t="n">
        <v>0</v>
      </c>
      <c r="J3136" s="3" t="n">
        <v>0</v>
      </c>
      <c r="K3136" s="3" t="n">
        <v>0</v>
      </c>
      <c r="L3136" s="3">
        <f>IF(K3136&lt;-5,"CRÍTICO",IF(K3136&lt;0,"ATENÇÃO",IF(K3136&lt;=5,"OPORTUNO","MUITO BOM")))</f>
        <v/>
      </c>
      <c r="N3136" t="n">
        <v>90</v>
      </c>
      <c r="O3136" t="n">
        <v>24.18604651162791</v>
      </c>
    </row>
    <row r="3137" hidden="1">
      <c r="A3137" s="11" t="n">
        <v>46099</v>
      </c>
      <c r="B3137" t="inlineStr">
        <is>
          <t>Luiz Fernando de Carvalho Junior</t>
        </is>
      </c>
      <c r="C3137" t="inlineStr">
        <is>
          <t>Técnico I</t>
        </is>
      </c>
      <c r="D3137" t="n">
        <v>19</v>
      </c>
      <c r="E3137" t="n">
        <v>19</v>
      </c>
      <c r="F3137" t="n">
        <v>24.11</v>
      </c>
      <c r="G3137" t="n">
        <v>0</v>
      </c>
      <c r="H3137" t="n">
        <v>0</v>
      </c>
      <c r="I3137" s="3">
        <f>E3137+G3137+H3137</f>
        <v/>
      </c>
      <c r="J3137" s="3">
        <f>ROUND(MIN(IF(C3137="Técnico III",35,IF(C3137="Técnico II",28,IF(C3137="Técnico I",23,IF(C3137="JR",20,IF(C3137="Estágio",10,0))))),IF(C3137="Técnico III",SUMIFS($D:$D,$A:$A,$A3137,$B:$B,"&lt;&gt;Patrícia Karla de Sousa Araújo",$B:$B,"&lt;&gt;Lorena Dias de Araujo",$B:$B,"&lt;&gt;Lucas Luiz Romero")*(35/1083),IF(C3137="Técnico II",SUMIFS($D:$D,$A:$A,$A3137,$B:$B,"&lt;&gt;Patrícia Karla de Sousa Araújo",$B:$B,"&lt;&gt;Lorena Dias de Araujo",$B:$B,"&lt;&gt;Lucas Luiz Romero")*(28/1083),IF(C3137="Técnico I",SUMIFS($D:$D,$A:$A,$A3137,$B:$B,"&lt;&gt;Patrícia Karla de Sousa Araújo",$B:$B,"&lt;&gt;Lorena Dias de Araujo",$B:$B,"&lt;&gt;Lucas Luiz Romero")*(23/1083),IF(C3137="JR",SUMIFS($D:$D,$A:$A,$A3137,$B:$B,"&lt;&gt;Patrícia Karla de Sousa Araújo",$B:$B,"&lt;&gt;Lorena Dias de Araujo",$B:$B,"&lt;&gt;Lucas Luiz Romero")*(20/1083),IF(C3137="Estágio",SUMIFS($D:$D,$A:$A,$A3137,$B:$B,"&lt;&gt;Patrícia Karla de Sousa Araújo",$B:$B,"&lt;&gt;Lorena Dias de Araujo",$B:$B,"&lt;&gt;Lucas Luiz Romero")*(10/1083),0)))))),0)</f>
        <v/>
      </c>
      <c r="K3137" s="3">
        <f>I3137-J3137</f>
        <v/>
      </c>
      <c r="L3137" s="3">
        <f>IF(K3137&lt;-5,"CRÍTICO",IF(K3137&lt;0,"ATENÇÃO",IF(K3137&lt;=5,"OPORTUNO","MUITO BOM")))</f>
        <v/>
      </c>
      <c r="N3137" t="n">
        <v>98.90000000000001</v>
      </c>
      <c r="O3137" t="n">
        <v>26.7639902676399</v>
      </c>
    </row>
    <row r="3138" hidden="1">
      <c r="A3138" s="11" t="n">
        <v>46099</v>
      </c>
      <c r="B3138" t="inlineStr">
        <is>
          <t>Maria Eduarda Sousa Costa</t>
        </is>
      </c>
      <c r="C3138" t="inlineStr">
        <is>
          <t>Estágio</t>
        </is>
      </c>
      <c r="D3138" t="n">
        <v>4</v>
      </c>
      <c r="E3138" t="n">
        <v>4</v>
      </c>
      <c r="F3138" t="n">
        <v>67.31999999999999</v>
      </c>
      <c r="G3138" t="n">
        <v>0</v>
      </c>
      <c r="H3138" t="n">
        <v>0</v>
      </c>
      <c r="I3138" s="3">
        <f>E3138+G3138+H3138</f>
        <v/>
      </c>
      <c r="J3138" s="3">
        <f>ROUND(MIN(IF(C3138="Técnico III",35,IF(C3138="Técnico II",28,IF(C3138="Técnico I",23,IF(C3138="JR",20,IF(C3138="Estágio",10,0))))),IF(C3138="Técnico III",SUMIFS($D:$D,$A:$A,$A3138,$B:$B,"&lt;&gt;Patrícia Karla de Sousa Araújo",$B:$B,"&lt;&gt;Lorena Dias de Araujo",$B:$B,"&lt;&gt;Lucas Luiz Romero")*(35/1083),IF(C3138="Técnico II",SUMIFS($D:$D,$A:$A,$A3138,$B:$B,"&lt;&gt;Patrícia Karla de Sousa Araújo",$B:$B,"&lt;&gt;Lorena Dias de Araujo",$B:$B,"&lt;&gt;Lucas Luiz Romero")*(28/1083),IF(C3138="Técnico I",SUMIFS($D:$D,$A:$A,$A3138,$B:$B,"&lt;&gt;Patrícia Karla de Sousa Araújo",$B:$B,"&lt;&gt;Lorena Dias de Araujo",$B:$B,"&lt;&gt;Lucas Luiz Romero")*(23/1083),IF(C3138="JR",SUMIFS($D:$D,$A:$A,$A3138,$B:$B,"&lt;&gt;Patrícia Karla de Sousa Araújo",$B:$B,"&lt;&gt;Lorena Dias de Araujo",$B:$B,"&lt;&gt;Lucas Luiz Romero")*(20/1083),IF(C3138="Estágio",SUMIFS($D:$D,$A:$A,$A3138,$B:$B,"&lt;&gt;Patrícia Karla de Sousa Araújo",$B:$B,"&lt;&gt;Lorena Dias de Araujo",$B:$B,"&lt;&gt;Lucas Luiz Romero")*(10/1083),0)))))),0)</f>
        <v/>
      </c>
      <c r="K3138" s="3">
        <f>I3138-J3138</f>
        <v/>
      </c>
      <c r="L3138" s="3">
        <f>IF(K3138&lt;-5,"CRÍTICO",IF(K3138&lt;0,"ATENÇÃO",IF(K3138&lt;=5,"OPORTUNO","MUITO BOM")))</f>
        <v/>
      </c>
      <c r="N3138" t="n">
        <v>88.89</v>
      </c>
      <c r="O3138" t="n">
        <v>25.26315789473684</v>
      </c>
    </row>
    <row r="3139" hidden="1">
      <c r="A3139" s="11" t="n">
        <v>46099</v>
      </c>
      <c r="B3139" t="inlineStr">
        <is>
          <t>Matheus Farias De Souza</t>
        </is>
      </c>
      <c r="C3139" t="inlineStr">
        <is>
          <t>Técnico III</t>
        </is>
      </c>
      <c r="D3139" t="n">
        <v>32</v>
      </c>
      <c r="E3139" t="n">
        <v>31</v>
      </c>
      <c r="F3139" t="n">
        <v>17.18</v>
      </c>
      <c r="G3139" t="n">
        <v>0</v>
      </c>
      <c r="H3139" t="n">
        <v>0</v>
      </c>
      <c r="I3139" s="3">
        <f>E3139+G3139+H3139</f>
        <v/>
      </c>
      <c r="J3139" s="3">
        <f>ROUND(MIN(IF(C3139="Técnico III",35,IF(C3139="Técnico II",28,IF(C3139="Técnico I",23,IF(C3139="JR",20,IF(C3139="Estágio",10,0))))),IF(C3139="Técnico III",SUMIFS($D:$D,$A:$A,$A3139,$B:$B,"&lt;&gt;Patrícia Karla de Sousa Araújo",$B:$B,"&lt;&gt;Lorena Dias de Araujo",$B:$B,"&lt;&gt;Lucas Luiz Romero")*(35/1083),IF(C3139="Técnico II",SUMIFS($D:$D,$A:$A,$A3139,$B:$B,"&lt;&gt;Patrícia Karla de Sousa Araújo",$B:$B,"&lt;&gt;Lorena Dias de Araujo",$B:$B,"&lt;&gt;Lucas Luiz Romero")*(28/1083),IF(C3139="Técnico I",SUMIFS($D:$D,$A:$A,$A3139,$B:$B,"&lt;&gt;Patrícia Karla de Sousa Araújo",$B:$B,"&lt;&gt;Lorena Dias de Araujo",$B:$B,"&lt;&gt;Lucas Luiz Romero")*(23/1083),IF(C3139="JR",SUMIFS($D:$D,$A:$A,$A3139,$B:$B,"&lt;&gt;Patrícia Karla de Sousa Araújo",$B:$B,"&lt;&gt;Lorena Dias de Araujo",$B:$B,"&lt;&gt;Lucas Luiz Romero")*(20/1083),IF(C3139="Estágio",SUMIFS($D:$D,$A:$A,$A3139,$B:$B,"&lt;&gt;Patrícia Karla de Sousa Araújo",$B:$B,"&lt;&gt;Lorena Dias de Araujo",$B:$B,"&lt;&gt;Lucas Luiz Romero")*(10/1083),0)))))),0)</f>
        <v/>
      </c>
      <c r="K3139" s="3">
        <f>I3139-J3139</f>
        <v/>
      </c>
      <c r="L3139" s="3">
        <f>IF(K3139&lt;-5,"CRÍTICO",IF(K3139&lt;0,"ATENÇÃO",IF(K3139&lt;=5,"OPORTUNO","MUITO BOM")))</f>
        <v/>
      </c>
      <c r="N3139" t="n">
        <v>98.86</v>
      </c>
      <c r="O3139" t="n">
        <v>28.95927601809955</v>
      </c>
    </row>
    <row r="3140" hidden="1">
      <c r="A3140" s="11" t="n">
        <v>46099</v>
      </c>
      <c r="B3140" t="inlineStr">
        <is>
          <t>Maysa Victoria Dias Moura</t>
        </is>
      </c>
      <c r="C3140" t="inlineStr">
        <is>
          <t>Técnico III</t>
        </is>
      </c>
      <c r="D3140" t="n">
        <v>4</v>
      </c>
      <c r="E3140" t="n">
        <v>3</v>
      </c>
      <c r="F3140" t="n">
        <v>66.43000000000001</v>
      </c>
      <c r="G3140" t="n">
        <v>0</v>
      </c>
      <c r="H3140" t="n">
        <v>0</v>
      </c>
      <c r="I3140" s="3">
        <f>E3140+G3140+H3140</f>
        <v/>
      </c>
      <c r="J3140" s="3">
        <f>ROUND(MIN(IF(C3140="Técnico III",35,IF(C3140="Técnico II",28,IF(C3140="Técnico I",23,IF(C3140="JR",20,IF(C3140="Estágio",10,0))))),IF(C3140="Técnico III",SUMIFS($D:$D,$A:$A,$A3140,$B:$B,"&lt;&gt;Patrícia Karla de Sousa Araújo",$B:$B,"&lt;&gt;Lorena Dias de Araujo",$B:$B,"&lt;&gt;Lucas Luiz Romero")*(35/1083),IF(C3140="Técnico II",SUMIFS($D:$D,$A:$A,$A3140,$B:$B,"&lt;&gt;Patrícia Karla de Sousa Araújo",$B:$B,"&lt;&gt;Lorena Dias de Araujo",$B:$B,"&lt;&gt;Lucas Luiz Romero")*(28/1083),IF(C3140="Técnico I",SUMIFS($D:$D,$A:$A,$A3140,$B:$B,"&lt;&gt;Patrícia Karla de Sousa Araújo",$B:$B,"&lt;&gt;Lorena Dias de Araujo",$B:$B,"&lt;&gt;Lucas Luiz Romero")*(23/1083),IF(C3140="JR",SUMIFS($D:$D,$A:$A,$A3140,$B:$B,"&lt;&gt;Patrícia Karla de Sousa Araújo",$B:$B,"&lt;&gt;Lorena Dias de Araujo",$B:$B,"&lt;&gt;Lucas Luiz Romero")*(20/1083),IF(C3140="Estágio",SUMIFS($D:$D,$A:$A,$A3140,$B:$B,"&lt;&gt;Patrícia Karla de Sousa Araújo",$B:$B,"&lt;&gt;Lorena Dias de Araujo",$B:$B,"&lt;&gt;Lucas Luiz Romero")*(10/1083),0)))))),0)</f>
        <v/>
      </c>
      <c r="K3140" s="3">
        <f>I3140-J3140</f>
        <v/>
      </c>
      <c r="L3140" s="3">
        <f>IF(K3140&lt;-5,"CRÍTICO",IF(K3140&lt;0,"ATENÇÃO",IF(K3140&lt;=5,"OPORTUNO","MUITO BOM")))</f>
        <v/>
      </c>
      <c r="N3140" t="n">
        <v>98.06</v>
      </c>
      <c r="O3140" t="n">
        <v>22.40566037735849</v>
      </c>
    </row>
    <row r="3141" hidden="1">
      <c r="A3141" s="11" t="n">
        <v>46099</v>
      </c>
      <c r="B3141" t="inlineStr">
        <is>
          <t>Michelle G Santos</t>
        </is>
      </c>
      <c r="C3141" t="inlineStr">
        <is>
          <t>Estágio</t>
        </is>
      </c>
      <c r="D3141" t="n">
        <v>6</v>
      </c>
      <c r="E3141" t="n">
        <v>6</v>
      </c>
      <c r="F3141" t="n">
        <v>94.02</v>
      </c>
      <c r="G3141" t="n">
        <v>0</v>
      </c>
      <c r="H3141" t="n">
        <v>0</v>
      </c>
      <c r="I3141" s="3">
        <f>E3141+G3141+H3141</f>
        <v/>
      </c>
      <c r="J3141" s="3">
        <f>ROUND(MIN(IF(C3141="Técnico III",35,IF(C3141="Técnico II",28,IF(C3141="Técnico I",23,IF(C3141="JR",20,IF(C3141="Estágio",10,0))))),IF(C3141="Técnico III",SUMIFS($D:$D,$A:$A,$A3141,$B:$B,"&lt;&gt;Patrícia Karla de Sousa Araújo",$B:$B,"&lt;&gt;Lorena Dias de Araujo",$B:$B,"&lt;&gt;Lucas Luiz Romero")*(35/1083),IF(C3141="Técnico II",SUMIFS($D:$D,$A:$A,$A3141,$B:$B,"&lt;&gt;Patrícia Karla de Sousa Araújo",$B:$B,"&lt;&gt;Lorena Dias de Araujo",$B:$B,"&lt;&gt;Lucas Luiz Romero")*(28/1083),IF(C3141="Técnico I",SUMIFS($D:$D,$A:$A,$A3141,$B:$B,"&lt;&gt;Patrícia Karla de Sousa Araújo",$B:$B,"&lt;&gt;Lorena Dias de Araujo",$B:$B,"&lt;&gt;Lucas Luiz Romero")*(23/1083),IF(C3141="JR",SUMIFS($D:$D,$A:$A,$A3141,$B:$B,"&lt;&gt;Patrícia Karla de Sousa Araújo",$B:$B,"&lt;&gt;Lorena Dias de Araujo",$B:$B,"&lt;&gt;Lucas Luiz Romero")*(20/1083),IF(C3141="Estágio",SUMIFS($D:$D,$A:$A,$A3141,$B:$B,"&lt;&gt;Patrícia Karla de Sousa Araújo",$B:$B,"&lt;&gt;Lorena Dias de Araujo",$B:$B,"&lt;&gt;Lucas Luiz Romero")*(10/1083),0)))))),0)</f>
        <v/>
      </c>
      <c r="K3141" s="3">
        <f>I3141-J3141</f>
        <v/>
      </c>
      <c r="L3141" s="3">
        <f>IF(K3141&lt;-5,"CRÍTICO",IF(K3141&lt;0,"ATENÇÃO",IF(K3141&lt;=5,"OPORTUNO","MUITO BOM")))</f>
        <v/>
      </c>
      <c r="N3141" t="n">
        <v>95.83</v>
      </c>
      <c r="O3141" t="n">
        <v>25.77319587628866</v>
      </c>
    </row>
    <row r="3142" hidden="1">
      <c r="A3142" s="11" t="n">
        <v>46099</v>
      </c>
      <c r="B3142" t="inlineStr">
        <is>
          <t>Milena Sales</t>
        </is>
      </c>
      <c r="C3142" t="inlineStr">
        <is>
          <t>JR</t>
        </is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s="3" t="n">
        <v>0</v>
      </c>
      <c r="J3142" s="3" t="n">
        <v>0</v>
      </c>
      <c r="K3142" s="3" t="n">
        <v>0</v>
      </c>
      <c r="L3142" s="3">
        <f>IF(K3142&lt;-5,"CRÍTICO",IF(K3142&lt;0,"ATENÇÃO",IF(K3142&lt;=5,"OPORTUNO","MUITO BOM")))</f>
        <v/>
      </c>
      <c r="N3142" t="n">
        <v>100</v>
      </c>
      <c r="O3142" t="n">
        <v>15.38461538461539</v>
      </c>
    </row>
    <row r="3143" hidden="1">
      <c r="A3143" s="11" t="n">
        <v>46099</v>
      </c>
      <c r="B3143" t="inlineStr">
        <is>
          <t>Patrícia Karla de Sousa Araújo</t>
        </is>
      </c>
      <c r="C3143" t="inlineStr">
        <is>
          <t>Técnico II</t>
        </is>
      </c>
      <c r="D3143" t="n">
        <v>16</v>
      </c>
      <c r="E3143" t="n">
        <v>12</v>
      </c>
      <c r="F3143" t="n">
        <v>16.43</v>
      </c>
      <c r="G3143" t="n">
        <v>0</v>
      </c>
      <c r="H3143" t="n">
        <v>0</v>
      </c>
      <c r="I3143" s="3">
        <f>E3143+G3143+H3143</f>
        <v/>
      </c>
      <c r="J3143" s="3">
        <f>ROUND(MIN(IF(C3143="Técnico III",35,IF(C3143="Técnico II",28,IF(C3143="Técnico I",23,IF(C3143="JR",20,IF(C3143="Estágio",10,0))))),IF(C3143="Técnico III",SUMIFS($D:$D,$A:$A,$A3143,$B:$B,"&lt;&gt;Patrícia Karla de Sousa Araújo",$B:$B,"&lt;&gt;Lorena Dias de Araujo",$B:$B,"&lt;&gt;Lucas Luiz Romero")*(35/1083),IF(C3143="Técnico II",SUMIFS($D:$D,$A:$A,$A3143,$B:$B,"&lt;&gt;Patrícia Karla de Sousa Araújo",$B:$B,"&lt;&gt;Lorena Dias de Araujo",$B:$B,"&lt;&gt;Lucas Luiz Romero")*(28/1083),IF(C3143="Técnico I",SUMIFS($D:$D,$A:$A,$A3143,$B:$B,"&lt;&gt;Patrícia Karla de Sousa Araújo",$B:$B,"&lt;&gt;Lorena Dias de Araujo",$B:$B,"&lt;&gt;Lucas Luiz Romero")*(23/1083),IF(C3143="JR",SUMIFS($D:$D,$A:$A,$A3143,$B:$B,"&lt;&gt;Patrícia Karla de Sousa Araújo",$B:$B,"&lt;&gt;Lorena Dias de Araujo",$B:$B,"&lt;&gt;Lucas Luiz Romero")*(20/1083),IF(C3143="Estágio",SUMIFS($D:$D,$A:$A,$A3143,$B:$B,"&lt;&gt;Patrícia Karla de Sousa Araújo",$B:$B,"&lt;&gt;Lorena Dias de Araujo",$B:$B,"&lt;&gt;Lucas Luiz Romero")*(10/1083),0)))))),0)</f>
        <v/>
      </c>
      <c r="K3143" s="3">
        <f>I3143-J3143</f>
        <v/>
      </c>
      <c r="L3143" s="3">
        <f>IF(K3143&lt;-5,"CRÍTICO",IF(K3143&lt;0,"ATENÇÃO",IF(K3143&lt;=5,"OPORTUNO","MUITO BOM")))</f>
        <v/>
      </c>
      <c r="N3143" t="n">
        <v>100</v>
      </c>
      <c r="O3143" t="n">
        <v>27.51479289940828</v>
      </c>
    </row>
    <row r="3144" hidden="1">
      <c r="A3144" s="11" t="n">
        <v>46099</v>
      </c>
      <c r="B3144" t="inlineStr">
        <is>
          <t>Paulo Ricardo Santos</t>
        </is>
      </c>
      <c r="C3144" t="inlineStr">
        <is>
          <t>JR</t>
        </is>
      </c>
      <c r="D3144" t="n">
        <v>12</v>
      </c>
      <c r="E3144" t="n">
        <v>12</v>
      </c>
      <c r="F3144" t="n">
        <v>25.18</v>
      </c>
      <c r="G3144" t="n">
        <v>0</v>
      </c>
      <c r="H3144" t="n">
        <v>0</v>
      </c>
      <c r="I3144" s="3">
        <f>E3144+G3144+H3144</f>
        <v/>
      </c>
      <c r="J3144" s="3">
        <f>ROUND(MIN(IF(C3144="Técnico III",35,IF(C3144="Técnico II",28,IF(C3144="Técnico I",23,IF(C3144="JR",20,IF(C3144="Estágio",10,0))))),IF(C3144="Técnico III",SUMIFS($D:$D,$A:$A,$A3144,$B:$B,"&lt;&gt;Patrícia Karla de Sousa Araújo",$B:$B,"&lt;&gt;Lorena Dias de Araujo",$B:$B,"&lt;&gt;Lucas Luiz Romero")*(35/1083),IF(C3144="Técnico II",SUMIFS($D:$D,$A:$A,$A3144,$B:$B,"&lt;&gt;Patrícia Karla de Sousa Araújo",$B:$B,"&lt;&gt;Lorena Dias de Araujo",$B:$B,"&lt;&gt;Lucas Luiz Romero")*(28/1083),IF(C3144="Técnico I",SUMIFS($D:$D,$A:$A,$A3144,$B:$B,"&lt;&gt;Patrícia Karla de Sousa Araújo",$B:$B,"&lt;&gt;Lorena Dias de Araujo",$B:$B,"&lt;&gt;Lucas Luiz Romero")*(23/1083),IF(C3144="JR",SUMIFS($D:$D,$A:$A,$A3144,$B:$B,"&lt;&gt;Patrícia Karla de Sousa Araújo",$B:$B,"&lt;&gt;Lorena Dias de Araujo",$B:$B,"&lt;&gt;Lucas Luiz Romero")*(20/1083),IF(C3144="Estágio",SUMIFS($D:$D,$A:$A,$A3144,$B:$B,"&lt;&gt;Patrícia Karla de Sousa Araújo",$B:$B,"&lt;&gt;Lorena Dias de Araujo",$B:$B,"&lt;&gt;Lucas Luiz Romero")*(10/1083),0)))))),0)</f>
        <v/>
      </c>
      <c r="K3144" s="3">
        <f>I3144-J3144</f>
        <v/>
      </c>
      <c r="L3144" s="3">
        <f>IF(K3144&lt;-5,"CRÍTICO",IF(K3144&lt;0,"ATENÇÃO",IF(K3144&lt;=5,"OPORTUNO","MUITO BOM")))</f>
        <v/>
      </c>
      <c r="N3144" t="n">
        <v>100</v>
      </c>
      <c r="O3144" t="n">
        <v>24.87562189054727</v>
      </c>
    </row>
    <row r="3145" hidden="1">
      <c r="A3145" s="11" t="n">
        <v>46099</v>
      </c>
      <c r="B3145" t="inlineStr">
        <is>
          <t>Pedro Luiz Mota Sousa</t>
        </is>
      </c>
      <c r="C3145" t="inlineStr">
        <is>
          <t>JR</t>
        </is>
      </c>
      <c r="D3145" t="n">
        <v>11</v>
      </c>
      <c r="E3145" t="n">
        <v>11</v>
      </c>
      <c r="F3145" t="n">
        <v>42.15</v>
      </c>
      <c r="G3145" t="n">
        <v>0</v>
      </c>
      <c r="H3145" t="n">
        <v>0</v>
      </c>
      <c r="I3145" s="3">
        <f>E3145+G3145+H3145</f>
        <v/>
      </c>
      <c r="J3145" s="3">
        <f>ROUND(MIN(IF(C3145="Técnico III",35,IF(C3145="Técnico II",28,IF(C3145="Técnico I",23,IF(C3145="JR",20,IF(C3145="Estágio",10,0))))),IF(C3145="Técnico III",SUMIFS($D:$D,$A:$A,$A3145,$B:$B,"&lt;&gt;Patrícia Karla de Sousa Araújo",$B:$B,"&lt;&gt;Lorena Dias de Araujo",$B:$B,"&lt;&gt;Lucas Luiz Romero")*(35/1083),IF(C3145="Técnico II",SUMIFS($D:$D,$A:$A,$A3145,$B:$B,"&lt;&gt;Patrícia Karla de Sousa Araújo",$B:$B,"&lt;&gt;Lorena Dias de Araujo",$B:$B,"&lt;&gt;Lucas Luiz Romero")*(28/1083),IF(C3145="Técnico I",SUMIFS($D:$D,$A:$A,$A3145,$B:$B,"&lt;&gt;Patrícia Karla de Sousa Araújo",$B:$B,"&lt;&gt;Lorena Dias de Araujo",$B:$B,"&lt;&gt;Lucas Luiz Romero")*(23/1083),IF(C3145="JR",SUMIFS($D:$D,$A:$A,$A3145,$B:$B,"&lt;&gt;Patrícia Karla de Sousa Araújo",$B:$B,"&lt;&gt;Lorena Dias de Araujo",$B:$B,"&lt;&gt;Lucas Luiz Romero")*(20/1083),IF(C3145="Estágio",SUMIFS($D:$D,$A:$A,$A3145,$B:$B,"&lt;&gt;Patrícia Karla de Sousa Araújo",$B:$B,"&lt;&gt;Lorena Dias de Araujo",$B:$B,"&lt;&gt;Lucas Luiz Romero")*(10/1083),0)))))),0)</f>
        <v/>
      </c>
      <c r="K3145" s="3">
        <f>I3145-J3145</f>
        <v/>
      </c>
      <c r="L3145" s="3">
        <f>IF(K3145&lt;-5,"CRÍTICO",IF(K3145&lt;0,"ATENÇÃO",IF(K3145&lt;=5,"OPORTUNO","MUITO BOM")))</f>
        <v/>
      </c>
      <c r="N3145" t="n">
        <v>100</v>
      </c>
      <c r="O3145" t="n">
        <v>28.10810810810811</v>
      </c>
    </row>
    <row r="3146" hidden="1">
      <c r="A3146" s="11" t="n">
        <v>46099</v>
      </c>
      <c r="B3146" t="inlineStr">
        <is>
          <t>Quirino Diogo Leite Torres</t>
        </is>
      </c>
      <c r="C3146" t="inlineStr">
        <is>
          <t>Estágio</t>
        </is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s="3" t="n">
        <v>0</v>
      </c>
      <c r="J3146" s="3" t="n">
        <v>0</v>
      </c>
      <c r="K3146" s="3" t="n">
        <v>0</v>
      </c>
      <c r="L3146" s="3">
        <f>IF(K3146&lt;-5,"CRÍTICO",IF(K3146&lt;0,"ATENÇÃO",IF(K3146&lt;=5,"OPORTUNO","MUITO BOM")))</f>
        <v/>
      </c>
      <c r="N3146" t="n">
        <v>100</v>
      </c>
      <c r="O3146" t="n">
        <v>35</v>
      </c>
    </row>
    <row r="3147" hidden="1">
      <c r="A3147" s="11" t="n">
        <v>46099</v>
      </c>
      <c r="B3147" t="inlineStr">
        <is>
          <t>Raane Batista Matos</t>
        </is>
      </c>
      <c r="C3147" t="inlineStr">
        <is>
          <t>Técnico I</t>
        </is>
      </c>
      <c r="D3147" t="n">
        <v>18</v>
      </c>
      <c r="E3147" t="n">
        <v>18</v>
      </c>
      <c r="F3147" t="n">
        <v>36.41</v>
      </c>
      <c r="G3147" t="n">
        <v>0</v>
      </c>
      <c r="H3147" t="n">
        <v>0</v>
      </c>
      <c r="I3147" s="3">
        <f>E3147+G3147+H3147</f>
        <v/>
      </c>
      <c r="J3147" s="3">
        <f>ROUND(MIN(IF(C3147="Técnico III",35,IF(C3147="Técnico II",28,IF(C3147="Técnico I",23,IF(C3147="JR",20,IF(C3147="Estágio",10,0))))),IF(C3147="Técnico III",SUMIFS($D:$D,$A:$A,$A3147,$B:$B,"&lt;&gt;Patrícia Karla de Sousa Araújo",$B:$B,"&lt;&gt;Lorena Dias de Araujo",$B:$B,"&lt;&gt;Lucas Luiz Romero")*(35/1083),IF(C3147="Técnico II",SUMIFS($D:$D,$A:$A,$A3147,$B:$B,"&lt;&gt;Patrícia Karla de Sousa Araújo",$B:$B,"&lt;&gt;Lorena Dias de Araujo",$B:$B,"&lt;&gt;Lucas Luiz Romero")*(28/1083),IF(C3147="Técnico I",SUMIFS($D:$D,$A:$A,$A3147,$B:$B,"&lt;&gt;Patrícia Karla de Sousa Araújo",$B:$B,"&lt;&gt;Lorena Dias de Araujo",$B:$B,"&lt;&gt;Lucas Luiz Romero")*(23/1083),IF(C3147="JR",SUMIFS($D:$D,$A:$A,$A3147,$B:$B,"&lt;&gt;Patrícia Karla de Sousa Araújo",$B:$B,"&lt;&gt;Lorena Dias de Araujo",$B:$B,"&lt;&gt;Lucas Luiz Romero")*(20/1083),IF(C3147="Estágio",SUMIFS($D:$D,$A:$A,$A3147,$B:$B,"&lt;&gt;Patrícia Karla de Sousa Araújo",$B:$B,"&lt;&gt;Lorena Dias de Araujo",$B:$B,"&lt;&gt;Lucas Luiz Romero")*(10/1083),0)))))),0)</f>
        <v/>
      </c>
      <c r="K3147" s="3">
        <f>I3147-J3147</f>
        <v/>
      </c>
      <c r="L3147" s="3">
        <f>IF(K3147&lt;-5,"CRÍTICO",IF(K3147&lt;0,"ATENÇÃO",IF(K3147&lt;=5,"OPORTUNO","MUITO BOM")))</f>
        <v/>
      </c>
      <c r="N3147" t="n">
        <v>95.34999999999999</v>
      </c>
      <c r="O3147" t="n">
        <v>28.61538461538461</v>
      </c>
    </row>
    <row r="3148" hidden="1">
      <c r="A3148" s="11" t="n">
        <v>46099</v>
      </c>
      <c r="B3148" t="inlineStr">
        <is>
          <t>Rafael Gomes de Morais</t>
        </is>
      </c>
      <c r="C3148" t="inlineStr">
        <is>
          <t>Técnico III</t>
        </is>
      </c>
      <c r="D3148" t="n">
        <v>35</v>
      </c>
      <c r="E3148" t="n">
        <v>34</v>
      </c>
      <c r="F3148" t="n">
        <v>14.11</v>
      </c>
      <c r="G3148" t="n">
        <v>0</v>
      </c>
      <c r="H3148" t="n">
        <v>0</v>
      </c>
      <c r="I3148" s="3">
        <f>E3148+G3148+H3148</f>
        <v/>
      </c>
      <c r="J3148" s="3">
        <f>ROUND(MIN(IF(C3148="Técnico III",35,IF(C3148="Técnico II",28,IF(C3148="Técnico I",23,IF(C3148="JR",20,IF(C3148="Estágio",10,0))))),IF(C3148="Técnico III",SUMIFS($D:$D,$A:$A,$A3148,$B:$B,"&lt;&gt;Patrícia Karla de Sousa Araújo",$B:$B,"&lt;&gt;Lorena Dias de Araujo",$B:$B,"&lt;&gt;Lucas Luiz Romero")*(35/1083),IF(C3148="Técnico II",SUMIFS($D:$D,$A:$A,$A3148,$B:$B,"&lt;&gt;Patrícia Karla de Sousa Araújo",$B:$B,"&lt;&gt;Lorena Dias de Araujo",$B:$B,"&lt;&gt;Lucas Luiz Romero")*(28/1083),IF(C3148="Técnico I",SUMIFS($D:$D,$A:$A,$A3148,$B:$B,"&lt;&gt;Patrícia Karla de Sousa Araújo",$B:$B,"&lt;&gt;Lorena Dias de Araujo",$B:$B,"&lt;&gt;Lucas Luiz Romero")*(23/1083),IF(C3148="JR",SUMIFS($D:$D,$A:$A,$A3148,$B:$B,"&lt;&gt;Patrícia Karla de Sousa Araújo",$B:$B,"&lt;&gt;Lorena Dias de Araujo",$B:$B,"&lt;&gt;Lucas Luiz Romero")*(20/1083),IF(C3148="Estágio",SUMIFS($D:$D,$A:$A,$A3148,$B:$B,"&lt;&gt;Patrícia Karla de Sousa Araújo",$B:$B,"&lt;&gt;Lorena Dias de Araujo",$B:$B,"&lt;&gt;Lucas Luiz Romero")*(10/1083),0)))))),0)</f>
        <v/>
      </c>
      <c r="K3148" s="3">
        <f>I3148-J3148</f>
        <v/>
      </c>
      <c r="L3148" s="3">
        <f>IF(K3148&lt;-5,"CRÍTICO",IF(K3148&lt;0,"ATENÇÃO",IF(K3148&lt;=5,"OPORTUNO","MUITO BOM")))</f>
        <v/>
      </c>
      <c r="N3148" t="n">
        <v>98.26000000000001</v>
      </c>
      <c r="O3148" t="n">
        <v>27.54491017964072</v>
      </c>
    </row>
    <row r="3149" hidden="1">
      <c r="A3149" s="11" t="n">
        <v>46099</v>
      </c>
      <c r="B3149" t="inlineStr">
        <is>
          <t>Sara Maria Monteiro Lopes</t>
        </is>
      </c>
      <c r="C3149" t="inlineStr">
        <is>
          <t>Técnico I</t>
        </is>
      </c>
      <c r="D3149" t="n">
        <v>12</v>
      </c>
      <c r="E3149" t="n">
        <v>12</v>
      </c>
      <c r="F3149" t="n">
        <v>38.48</v>
      </c>
      <c r="G3149" t="n">
        <v>0</v>
      </c>
      <c r="H3149" t="n">
        <v>0</v>
      </c>
      <c r="I3149" s="3">
        <f>E3149+G3149+H3149</f>
        <v/>
      </c>
      <c r="J3149" s="3">
        <f>ROUND(MIN(IF(C3149="Técnico III",35,IF(C3149="Técnico II",28,IF(C3149="Técnico I",23,IF(C3149="JR",20,IF(C3149="Estágio",10,0))))),IF(C3149="Técnico III",SUMIFS($D:$D,$A:$A,$A3149,$B:$B,"&lt;&gt;Patrícia Karla de Sousa Araújo",$B:$B,"&lt;&gt;Lorena Dias de Araujo",$B:$B,"&lt;&gt;Lucas Luiz Romero")*(35/1083),IF(C3149="Técnico II",SUMIFS($D:$D,$A:$A,$A3149,$B:$B,"&lt;&gt;Patrícia Karla de Sousa Araújo",$B:$B,"&lt;&gt;Lorena Dias de Araujo",$B:$B,"&lt;&gt;Lucas Luiz Romero")*(28/1083),IF(C3149="Técnico I",SUMIFS($D:$D,$A:$A,$A3149,$B:$B,"&lt;&gt;Patrícia Karla de Sousa Araújo",$B:$B,"&lt;&gt;Lorena Dias de Araujo",$B:$B,"&lt;&gt;Lucas Luiz Romero")*(23/1083),IF(C3149="JR",SUMIFS($D:$D,$A:$A,$A3149,$B:$B,"&lt;&gt;Patrícia Karla de Sousa Araújo",$B:$B,"&lt;&gt;Lorena Dias de Araujo",$B:$B,"&lt;&gt;Lucas Luiz Romero")*(20/1083),IF(C3149="Estágio",SUMIFS($D:$D,$A:$A,$A3149,$B:$B,"&lt;&gt;Patrícia Karla de Sousa Araújo",$B:$B,"&lt;&gt;Lorena Dias de Araujo",$B:$B,"&lt;&gt;Lucas Luiz Romero")*(10/1083),0)))))),0)</f>
        <v/>
      </c>
      <c r="K3149" s="3">
        <f>I3149-J3149</f>
        <v/>
      </c>
      <c r="L3149" s="3">
        <f>IF(K3149&lt;-5,"CRÍTICO",IF(K3149&lt;0,"ATENÇÃO",IF(K3149&lt;=5,"OPORTUNO","MUITO BOM")))</f>
        <v/>
      </c>
      <c r="N3149" t="n">
        <v>98.55</v>
      </c>
      <c r="O3149" t="n">
        <v>25.33783783783784</v>
      </c>
    </row>
    <row r="3150" hidden="1">
      <c r="A3150" s="11" t="n">
        <v>46099</v>
      </c>
      <c r="B3150" t="inlineStr">
        <is>
          <t>Sarah Steffanie de Lima Borges</t>
        </is>
      </c>
      <c r="C3150" t="inlineStr">
        <is>
          <t>Técnico III</t>
        </is>
      </c>
      <c r="D3150" t="n">
        <v>27</v>
      </c>
      <c r="E3150" t="n">
        <v>27</v>
      </c>
      <c r="F3150" t="n">
        <v>17.32</v>
      </c>
      <c r="G3150" t="n">
        <v>0</v>
      </c>
      <c r="H3150" t="n">
        <v>0</v>
      </c>
      <c r="I3150" s="3">
        <f>E3150+G3150+H3150</f>
        <v/>
      </c>
      <c r="J3150" s="3">
        <f>ROUND(MIN(IF(C3150="Técnico III",35,IF(C3150="Técnico II",28,IF(C3150="Técnico I",23,IF(C3150="JR",20,IF(C3150="Estágio",10,0))))),IF(C3150="Técnico III",SUMIFS($D:$D,$A:$A,$A3150,$B:$B,"&lt;&gt;Patrícia Karla de Sousa Araújo",$B:$B,"&lt;&gt;Lorena Dias de Araujo",$B:$B,"&lt;&gt;Lucas Luiz Romero")*(35/1083),IF(C3150="Técnico II",SUMIFS($D:$D,$A:$A,$A3150,$B:$B,"&lt;&gt;Patrícia Karla de Sousa Araújo",$B:$B,"&lt;&gt;Lorena Dias de Araujo",$B:$B,"&lt;&gt;Lucas Luiz Romero")*(28/1083),IF(C3150="Técnico I",SUMIFS($D:$D,$A:$A,$A3150,$B:$B,"&lt;&gt;Patrícia Karla de Sousa Araújo",$B:$B,"&lt;&gt;Lorena Dias de Araujo",$B:$B,"&lt;&gt;Lucas Luiz Romero")*(23/1083),IF(C3150="JR",SUMIFS($D:$D,$A:$A,$A3150,$B:$B,"&lt;&gt;Patrícia Karla de Sousa Araújo",$B:$B,"&lt;&gt;Lorena Dias de Araujo",$B:$B,"&lt;&gt;Lucas Luiz Romero")*(20/1083),IF(C3150="Estágio",SUMIFS($D:$D,$A:$A,$A3150,$B:$B,"&lt;&gt;Patrícia Karla de Sousa Araújo",$B:$B,"&lt;&gt;Lorena Dias de Araujo",$B:$B,"&lt;&gt;Lucas Luiz Romero")*(10/1083),0)))))),0)</f>
        <v/>
      </c>
      <c r="K3150" s="3">
        <f>I3150-J3150</f>
        <v/>
      </c>
      <c r="L3150" s="3">
        <f>IF(K3150&lt;-5,"CRÍTICO",IF(K3150&lt;0,"ATENÇÃO",IF(K3150&lt;=5,"OPORTUNO","MUITO BOM")))</f>
        <v/>
      </c>
      <c r="N3150" t="n">
        <v>98.39</v>
      </c>
      <c r="O3150" t="n">
        <v>25.56390977443609</v>
      </c>
    </row>
    <row r="3151" hidden="1">
      <c r="A3151" s="11" t="n">
        <v>46100</v>
      </c>
      <c r="B3151" t="inlineStr">
        <is>
          <t>Alisson de Freitas Silva</t>
        </is>
      </c>
      <c r="C3151" t="inlineStr">
        <is>
          <t>Técnico II</t>
        </is>
      </c>
      <c r="D3151" t="n">
        <v>24</v>
      </c>
      <c r="E3151" t="n">
        <v>20</v>
      </c>
      <c r="F3151" t="n">
        <v>20.02</v>
      </c>
      <c r="G3151" t="n">
        <v>0</v>
      </c>
      <c r="H3151" t="n">
        <v>0</v>
      </c>
      <c r="I3151" s="3">
        <f>E3151+G3151+H3151</f>
        <v/>
      </c>
      <c r="J3151" s="3">
        <f>ROUND(MIN(IF(C3151="Técnico III",35,IF(C3151="Técnico II",28,IF(C3151="Técnico I",23,IF(C3151="JR",20,IF(C3151="Estágio",10,0))))),IF(C3151="Técnico III",SUMIFS($D:$D,$A:$A,$A3151,$B:$B,"&lt;&gt;Patrícia Karla de Sousa Araújo",$B:$B,"&lt;&gt;Lorena Dias de Araujo",$B:$B,"&lt;&gt;Lucas Luiz Romero")*(35/1083),IF(C3151="Técnico II",SUMIFS($D:$D,$A:$A,$A3151,$B:$B,"&lt;&gt;Patrícia Karla de Sousa Araújo",$B:$B,"&lt;&gt;Lorena Dias de Araujo",$B:$B,"&lt;&gt;Lucas Luiz Romero")*(28/1083),IF(C3151="Técnico I",SUMIFS($D:$D,$A:$A,$A3151,$B:$B,"&lt;&gt;Patrícia Karla de Sousa Araújo",$B:$B,"&lt;&gt;Lorena Dias de Araujo",$B:$B,"&lt;&gt;Lucas Luiz Romero")*(23/1083),IF(C3151="JR",SUMIFS($D:$D,$A:$A,$A3151,$B:$B,"&lt;&gt;Patrícia Karla de Sousa Araújo",$B:$B,"&lt;&gt;Lorena Dias de Araujo",$B:$B,"&lt;&gt;Lucas Luiz Romero")*(20/1083),IF(C3151="Estágio",SUMIFS($D:$D,$A:$A,$A3151,$B:$B,"&lt;&gt;Patrícia Karla de Sousa Araújo",$B:$B,"&lt;&gt;Lorena Dias de Araujo",$B:$B,"&lt;&gt;Lucas Luiz Romero")*(10/1083),0)))))),0)</f>
        <v/>
      </c>
      <c r="K3151" s="3">
        <f>I3151-J3151</f>
        <v/>
      </c>
      <c r="L3151" s="3">
        <f>IF(K3151&lt;-5,"CRÍTICO",IF(K3151&lt;0,"ATENÇÃO",IF(K3151&lt;=5,"OPORTUNO","MUITO BOM")))</f>
        <v/>
      </c>
      <c r="N3151" t="n">
        <v>94.29000000000001</v>
      </c>
      <c r="O3151" t="n">
        <v>25.64766839378239</v>
      </c>
    </row>
    <row r="3152" hidden="1">
      <c r="A3152" s="11" t="n">
        <v>46100</v>
      </c>
      <c r="B3152" t="inlineStr">
        <is>
          <t>Amanda Moura Ferreira</t>
        </is>
      </c>
      <c r="C3152" t="inlineStr">
        <is>
          <t>Técnico III</t>
        </is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s="3" t="n">
        <v>0</v>
      </c>
      <c r="J3152" s="3" t="n">
        <v>0</v>
      </c>
      <c r="K3152" s="3" t="n">
        <v>0</v>
      </c>
      <c r="L3152" s="3">
        <f>IF(K3152&lt;-5,"CRÍTICO",IF(K3152&lt;0,"ATENÇÃO",IF(K3152&lt;=5,"OPORTUNO","MUITO BOM")))</f>
        <v/>
      </c>
      <c r="N3152" t="n">
        <v>98.26000000000001</v>
      </c>
      <c r="O3152" t="n">
        <v>26.66666666666667</v>
      </c>
    </row>
    <row r="3153" hidden="1">
      <c r="A3153" s="11" t="n">
        <v>46100</v>
      </c>
      <c r="B3153" t="inlineStr">
        <is>
          <t>Ana Karollyne Souza Faria</t>
        </is>
      </c>
      <c r="C3153" t="inlineStr">
        <is>
          <t>Técnico I</t>
        </is>
      </c>
      <c r="D3153" t="n">
        <v>43</v>
      </c>
      <c r="E3153" t="n">
        <v>40</v>
      </c>
      <c r="F3153" t="n">
        <v>13.56</v>
      </c>
      <c r="G3153" t="n">
        <v>0</v>
      </c>
      <c r="H3153" t="n">
        <v>0</v>
      </c>
      <c r="I3153" s="3">
        <f>E3153+G3153+H3153</f>
        <v/>
      </c>
      <c r="J3153" s="3">
        <f>ROUND(MIN(IF(C3153="Técnico III",35,IF(C3153="Técnico II",28,IF(C3153="Técnico I",23,IF(C3153="JR",20,IF(C3153="Estágio",10,0))))),IF(C3153="Técnico III",SUMIFS($D:$D,$A:$A,$A3153,$B:$B,"&lt;&gt;Patrícia Karla de Sousa Araújo",$B:$B,"&lt;&gt;Lorena Dias de Araujo",$B:$B,"&lt;&gt;Lucas Luiz Romero")*(35/1083),IF(C3153="Técnico II",SUMIFS($D:$D,$A:$A,$A3153,$B:$B,"&lt;&gt;Patrícia Karla de Sousa Araújo",$B:$B,"&lt;&gt;Lorena Dias de Araujo",$B:$B,"&lt;&gt;Lucas Luiz Romero")*(28/1083),IF(C3153="Técnico I",SUMIFS($D:$D,$A:$A,$A3153,$B:$B,"&lt;&gt;Patrícia Karla de Sousa Araújo",$B:$B,"&lt;&gt;Lorena Dias de Araujo",$B:$B,"&lt;&gt;Lucas Luiz Romero")*(23/1083),IF(C3153="JR",SUMIFS($D:$D,$A:$A,$A3153,$B:$B,"&lt;&gt;Patrícia Karla de Sousa Araújo",$B:$B,"&lt;&gt;Lorena Dias de Araujo",$B:$B,"&lt;&gt;Lucas Luiz Romero")*(20/1083),IF(C3153="Estágio",SUMIFS($D:$D,$A:$A,$A3153,$B:$B,"&lt;&gt;Patrícia Karla de Sousa Araújo",$B:$B,"&lt;&gt;Lorena Dias de Araujo",$B:$B,"&lt;&gt;Lucas Luiz Romero")*(10/1083),0)))))),0)</f>
        <v/>
      </c>
      <c r="K3153" s="3">
        <f>I3153-J3153</f>
        <v/>
      </c>
      <c r="L3153" s="3">
        <f>IF(K3153&lt;-5,"CRÍTICO",IF(K3153&lt;0,"ATENÇÃO",IF(K3153&lt;=5,"OPORTUNO","MUITO BOM")))</f>
        <v/>
      </c>
      <c r="N3153" t="n">
        <v>98.2</v>
      </c>
      <c r="O3153" t="n">
        <v>23.37962962962963</v>
      </c>
    </row>
    <row r="3154" hidden="1">
      <c r="A3154" s="11" t="n">
        <v>46100</v>
      </c>
      <c r="B3154" t="inlineStr">
        <is>
          <t>Ana Paula Da Luz Silva Aleixo</t>
        </is>
      </c>
      <c r="C3154" t="inlineStr">
        <is>
          <t>Técnico III</t>
        </is>
      </c>
      <c r="D3154" t="n">
        <v>9</v>
      </c>
      <c r="E3154" t="n">
        <v>8</v>
      </c>
      <c r="F3154" t="n">
        <v>18.37</v>
      </c>
      <c r="G3154" t="n">
        <v>0</v>
      </c>
      <c r="H3154" t="n">
        <v>0</v>
      </c>
      <c r="I3154" s="3">
        <f>E3154+G3154+H3154</f>
        <v/>
      </c>
      <c r="J3154" s="3">
        <f>ROUND(MIN(IF(C3154="Técnico III",35,IF(C3154="Técnico II",28,IF(C3154="Técnico I",23,IF(C3154="JR",20,IF(C3154="Estágio",10,0))))),IF(C3154="Técnico III",SUMIFS($D:$D,$A:$A,$A3154,$B:$B,"&lt;&gt;Patrícia Karla de Sousa Araújo",$B:$B,"&lt;&gt;Lorena Dias de Araujo",$B:$B,"&lt;&gt;Lucas Luiz Romero")*(35/1083),IF(C3154="Técnico II",SUMIFS($D:$D,$A:$A,$A3154,$B:$B,"&lt;&gt;Patrícia Karla de Sousa Araújo",$B:$B,"&lt;&gt;Lorena Dias de Araujo",$B:$B,"&lt;&gt;Lucas Luiz Romero")*(28/1083),IF(C3154="Técnico I",SUMIFS($D:$D,$A:$A,$A3154,$B:$B,"&lt;&gt;Patrícia Karla de Sousa Araújo",$B:$B,"&lt;&gt;Lorena Dias de Araujo",$B:$B,"&lt;&gt;Lucas Luiz Romero")*(23/1083),IF(C3154="JR",SUMIFS($D:$D,$A:$A,$A3154,$B:$B,"&lt;&gt;Patrícia Karla de Sousa Araújo",$B:$B,"&lt;&gt;Lorena Dias de Araujo",$B:$B,"&lt;&gt;Lucas Luiz Romero")*(20/1083),IF(C3154="Estágio",SUMIFS($D:$D,$A:$A,$A3154,$B:$B,"&lt;&gt;Patrícia Karla de Sousa Araújo",$B:$B,"&lt;&gt;Lorena Dias de Araujo",$B:$B,"&lt;&gt;Lucas Luiz Romero")*(10/1083),0)))))),0)</f>
        <v/>
      </c>
      <c r="K3154" s="3">
        <f>I3154-J3154</f>
        <v/>
      </c>
      <c r="L3154" s="3">
        <f>IF(K3154&lt;-5,"CRÍTICO",IF(K3154&lt;0,"ATENÇÃO",IF(K3154&lt;=5,"OPORTUNO","MUITO BOM")))</f>
        <v/>
      </c>
      <c r="N3154" t="n">
        <v>97.3</v>
      </c>
      <c r="O3154" t="n">
        <v>23.84769539078156</v>
      </c>
    </row>
    <row r="3155" hidden="1">
      <c r="A3155" s="11" t="n">
        <v>46100</v>
      </c>
      <c r="B3155" t="inlineStr">
        <is>
          <t>Anna Luiza Rezende Tavares</t>
        </is>
      </c>
      <c r="C3155" t="inlineStr">
        <is>
          <t>Estágio</t>
        </is>
      </c>
      <c r="D3155" t="n">
        <v>15</v>
      </c>
      <c r="E3155" t="n">
        <v>15</v>
      </c>
      <c r="F3155" t="n">
        <v>25.19</v>
      </c>
      <c r="G3155" t="n">
        <v>0</v>
      </c>
      <c r="H3155" t="n">
        <v>0</v>
      </c>
      <c r="I3155" s="3">
        <f>E3155+G3155+H3155</f>
        <v/>
      </c>
      <c r="J3155" s="3">
        <f>ROUND(MIN(IF(C3155="Técnico III",35,IF(C3155="Técnico II",28,IF(C3155="Técnico I",23,IF(C3155="JR",20,IF(C3155="Estágio",10,0))))),IF(C3155="Técnico III",SUMIFS($D:$D,$A:$A,$A3155,$B:$B,"&lt;&gt;Patrícia Karla de Sousa Araújo",$B:$B,"&lt;&gt;Lorena Dias de Araujo",$B:$B,"&lt;&gt;Lucas Luiz Romero")*(35/1083),IF(C3155="Técnico II",SUMIFS($D:$D,$A:$A,$A3155,$B:$B,"&lt;&gt;Patrícia Karla de Sousa Araújo",$B:$B,"&lt;&gt;Lorena Dias de Araujo",$B:$B,"&lt;&gt;Lucas Luiz Romero")*(28/1083),IF(C3155="Técnico I",SUMIFS($D:$D,$A:$A,$A3155,$B:$B,"&lt;&gt;Patrícia Karla de Sousa Araújo",$B:$B,"&lt;&gt;Lorena Dias de Araujo",$B:$B,"&lt;&gt;Lucas Luiz Romero")*(23/1083),IF(C3155="JR",SUMIFS($D:$D,$A:$A,$A3155,$B:$B,"&lt;&gt;Patrícia Karla de Sousa Araújo",$B:$B,"&lt;&gt;Lorena Dias de Araujo",$B:$B,"&lt;&gt;Lucas Luiz Romero")*(20/1083),IF(C3155="Estágio",SUMIFS($D:$D,$A:$A,$A3155,$B:$B,"&lt;&gt;Patrícia Karla de Sousa Araújo",$B:$B,"&lt;&gt;Lorena Dias de Araujo",$B:$B,"&lt;&gt;Lucas Luiz Romero")*(10/1083),0)))))),0)</f>
        <v/>
      </c>
      <c r="K3155" s="3">
        <f>I3155-J3155</f>
        <v/>
      </c>
      <c r="L3155" s="3">
        <f>IF(K3155&lt;-5,"CRÍTICO",IF(K3155&lt;0,"ATENÇÃO",IF(K3155&lt;=5,"OPORTUNO","MUITO BOM")))</f>
        <v/>
      </c>
      <c r="N3155" t="n">
        <v>100</v>
      </c>
      <c r="O3155" t="n">
        <v>25.26881720430108</v>
      </c>
    </row>
    <row r="3156" hidden="1">
      <c r="A3156" s="11" t="n">
        <v>46100</v>
      </c>
      <c r="B3156" t="inlineStr">
        <is>
          <t>Brenda de Menezes Silva</t>
        </is>
      </c>
      <c r="C3156" t="inlineStr">
        <is>
          <t>Técnico II</t>
        </is>
      </c>
      <c r="D3156" t="n">
        <v>27</v>
      </c>
      <c r="E3156" t="n">
        <v>22</v>
      </c>
      <c r="F3156" t="n">
        <v>15.16</v>
      </c>
      <c r="G3156" t="n">
        <v>0</v>
      </c>
      <c r="H3156" t="n">
        <v>0</v>
      </c>
      <c r="I3156" s="3">
        <f>E3156+G3156+H3156</f>
        <v/>
      </c>
      <c r="J3156" s="3">
        <f>ROUND(MIN(IF(C3156="Técnico III",35,IF(C3156="Técnico II",28,IF(C3156="Técnico I",23,IF(C3156="JR",20,IF(C3156="Estágio",10,0))))),IF(C3156="Técnico III",SUMIFS($D:$D,$A:$A,$A3156,$B:$B,"&lt;&gt;Patrícia Karla de Sousa Araújo",$B:$B,"&lt;&gt;Lorena Dias de Araujo",$B:$B,"&lt;&gt;Lucas Luiz Romero")*(35/1083),IF(C3156="Técnico II",SUMIFS($D:$D,$A:$A,$A3156,$B:$B,"&lt;&gt;Patrícia Karla de Sousa Araújo",$B:$B,"&lt;&gt;Lorena Dias de Araujo",$B:$B,"&lt;&gt;Lucas Luiz Romero")*(28/1083),IF(C3156="Técnico I",SUMIFS($D:$D,$A:$A,$A3156,$B:$B,"&lt;&gt;Patrícia Karla de Sousa Araújo",$B:$B,"&lt;&gt;Lorena Dias de Araujo",$B:$B,"&lt;&gt;Lucas Luiz Romero")*(23/1083),IF(C3156="JR",SUMIFS($D:$D,$A:$A,$A3156,$B:$B,"&lt;&gt;Patrícia Karla de Sousa Araújo",$B:$B,"&lt;&gt;Lorena Dias de Araujo",$B:$B,"&lt;&gt;Lucas Luiz Romero")*(20/1083),IF(C3156="Estágio",SUMIFS($D:$D,$A:$A,$A3156,$B:$B,"&lt;&gt;Patrícia Karla de Sousa Araújo",$B:$B,"&lt;&gt;Lorena Dias de Araujo",$B:$B,"&lt;&gt;Lucas Luiz Romero")*(10/1083),0)))))),0)</f>
        <v/>
      </c>
      <c r="K3156" s="3">
        <f>I3156-J3156</f>
        <v/>
      </c>
      <c r="L3156" s="3">
        <f>IF(K3156&lt;-5,"CRÍTICO",IF(K3156&lt;0,"ATENÇÃO",IF(K3156&lt;=5,"OPORTUNO","MUITO BOM")))</f>
        <v/>
      </c>
      <c r="N3156" t="n">
        <v>99.31999999999999</v>
      </c>
      <c r="O3156" t="n">
        <v>22.82282282282282</v>
      </c>
    </row>
    <row r="3157" hidden="1">
      <c r="A3157" s="11" t="n">
        <v>46100</v>
      </c>
      <c r="B3157" t="inlineStr">
        <is>
          <t>Carlos Mateus Cassimiro Nunes</t>
        </is>
      </c>
      <c r="C3157" t="inlineStr">
        <is>
          <t>Técnico II</t>
        </is>
      </c>
      <c r="D3157" t="n">
        <v>27</v>
      </c>
      <c r="E3157" t="n">
        <v>24</v>
      </c>
      <c r="F3157" t="n">
        <v>25.5</v>
      </c>
      <c r="G3157" t="n">
        <v>0</v>
      </c>
      <c r="H3157" t="n">
        <v>0</v>
      </c>
      <c r="I3157" s="3">
        <f>E3157+G3157+H3157</f>
        <v/>
      </c>
      <c r="J3157" s="3">
        <f>ROUND(MIN(IF(C3157="Técnico III",35,IF(C3157="Técnico II",28,IF(C3157="Técnico I",23,IF(C3157="JR",20,IF(C3157="Estágio",10,0))))),IF(C3157="Técnico III",SUMIFS($D:$D,$A:$A,$A3157,$B:$B,"&lt;&gt;Patrícia Karla de Sousa Araújo",$B:$B,"&lt;&gt;Lorena Dias de Araujo",$B:$B,"&lt;&gt;Lucas Luiz Romero")*(35/1083),IF(C3157="Técnico II",SUMIFS($D:$D,$A:$A,$A3157,$B:$B,"&lt;&gt;Patrícia Karla de Sousa Araújo",$B:$B,"&lt;&gt;Lorena Dias de Araujo",$B:$B,"&lt;&gt;Lucas Luiz Romero")*(28/1083),IF(C3157="Técnico I",SUMIFS($D:$D,$A:$A,$A3157,$B:$B,"&lt;&gt;Patrícia Karla de Sousa Araújo",$B:$B,"&lt;&gt;Lorena Dias de Araujo",$B:$B,"&lt;&gt;Lucas Luiz Romero")*(23/1083),IF(C3157="JR",SUMIFS($D:$D,$A:$A,$A3157,$B:$B,"&lt;&gt;Patrícia Karla de Sousa Araújo",$B:$B,"&lt;&gt;Lorena Dias de Araujo",$B:$B,"&lt;&gt;Lucas Luiz Romero")*(20/1083),IF(C3157="Estágio",SUMIFS($D:$D,$A:$A,$A3157,$B:$B,"&lt;&gt;Patrícia Karla de Sousa Araújo",$B:$B,"&lt;&gt;Lorena Dias de Araujo",$B:$B,"&lt;&gt;Lucas Luiz Romero")*(10/1083),0)))))),0)</f>
        <v/>
      </c>
      <c r="K3157" s="3">
        <f>I3157-J3157</f>
        <v/>
      </c>
      <c r="L3157" s="3">
        <f>IF(K3157&lt;-5,"CRÍTICO",IF(K3157&lt;0,"ATENÇÃO",IF(K3157&lt;=5,"OPORTUNO","MUITO BOM")))</f>
        <v/>
      </c>
      <c r="N3157" t="n">
        <v>100</v>
      </c>
      <c r="O3157" t="n">
        <v>27.96610169491525</v>
      </c>
    </row>
    <row r="3158" hidden="1">
      <c r="A3158" s="11" t="n">
        <v>46100</v>
      </c>
      <c r="B3158" t="inlineStr">
        <is>
          <t>Claudio de Sousa Velasco Filho</t>
        </is>
      </c>
      <c r="C3158" t="inlineStr">
        <is>
          <t>Estágio</t>
        </is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s="3" t="n">
        <v>0</v>
      </c>
      <c r="J3158" s="3" t="n">
        <v>0</v>
      </c>
      <c r="K3158" s="3" t="n">
        <v>0</v>
      </c>
      <c r="L3158" s="3">
        <f>IF(K3158&lt;-5,"CRÍTICO",IF(K3158&lt;0,"ATENÇÃO",IF(K3158&lt;=5,"OPORTUNO","MUITO BOM")))</f>
        <v/>
      </c>
      <c r="N3158" t="n">
        <v>100</v>
      </c>
      <c r="O3158" t="n">
        <v>30.43478260869566</v>
      </c>
    </row>
    <row r="3159" hidden="1">
      <c r="A3159" s="11" t="n">
        <v>46100</v>
      </c>
      <c r="B3159" t="inlineStr">
        <is>
          <t>Clessiane Pereira dos Santos</t>
        </is>
      </c>
      <c r="C3159" t="inlineStr">
        <is>
          <t>Técnico I</t>
        </is>
      </c>
      <c r="D3159" t="n">
        <v>32</v>
      </c>
      <c r="E3159" t="n">
        <v>28</v>
      </c>
      <c r="F3159" t="n">
        <v>20.14</v>
      </c>
      <c r="G3159" t="n">
        <v>0</v>
      </c>
      <c r="H3159" t="n">
        <v>0</v>
      </c>
      <c r="I3159" s="3">
        <f>E3159+G3159+H3159</f>
        <v/>
      </c>
      <c r="J3159" s="3">
        <f>ROUND(MIN(IF(C3159="Técnico III",35,IF(C3159="Técnico II",28,IF(C3159="Técnico I",23,IF(C3159="JR",20,IF(C3159="Estágio",10,0))))),IF(C3159="Técnico III",SUMIFS($D:$D,$A:$A,$A3159,$B:$B,"&lt;&gt;Patrícia Karla de Sousa Araújo",$B:$B,"&lt;&gt;Lorena Dias de Araujo",$B:$B,"&lt;&gt;Lucas Luiz Romero")*(35/1083),IF(C3159="Técnico II",SUMIFS($D:$D,$A:$A,$A3159,$B:$B,"&lt;&gt;Patrícia Karla de Sousa Araújo",$B:$B,"&lt;&gt;Lorena Dias de Araujo",$B:$B,"&lt;&gt;Lucas Luiz Romero")*(28/1083),IF(C3159="Técnico I",SUMIFS($D:$D,$A:$A,$A3159,$B:$B,"&lt;&gt;Patrícia Karla de Sousa Araújo",$B:$B,"&lt;&gt;Lorena Dias de Araujo",$B:$B,"&lt;&gt;Lucas Luiz Romero")*(23/1083),IF(C3159="JR",SUMIFS($D:$D,$A:$A,$A3159,$B:$B,"&lt;&gt;Patrícia Karla de Sousa Araújo",$B:$B,"&lt;&gt;Lorena Dias de Araujo",$B:$B,"&lt;&gt;Lucas Luiz Romero")*(20/1083),IF(C3159="Estágio",SUMIFS($D:$D,$A:$A,$A3159,$B:$B,"&lt;&gt;Patrícia Karla de Sousa Araújo",$B:$B,"&lt;&gt;Lorena Dias de Araujo",$B:$B,"&lt;&gt;Lucas Luiz Romero")*(10/1083),0)))))),0)</f>
        <v/>
      </c>
      <c r="K3159" s="3">
        <f>I3159-J3159</f>
        <v/>
      </c>
      <c r="L3159" s="3">
        <f>IF(K3159&lt;-5,"CRÍTICO",IF(K3159&lt;0,"ATENÇÃO",IF(K3159&lt;=5,"OPORTUNO","MUITO BOM")))</f>
        <v/>
      </c>
      <c r="N3159" t="n">
        <v>96.51000000000001</v>
      </c>
      <c r="O3159" t="n">
        <v>22.80285035629454</v>
      </c>
    </row>
    <row r="3160" hidden="1">
      <c r="A3160" s="11" t="n">
        <v>46100</v>
      </c>
      <c r="B3160" t="inlineStr">
        <is>
          <t>Cristiane Ramos da Silva Rocha</t>
        </is>
      </c>
      <c r="C3160" t="inlineStr">
        <is>
          <t>Técnico III</t>
        </is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s="3" t="n">
        <v>0</v>
      </c>
      <c r="J3160" s="3" t="n">
        <v>0</v>
      </c>
      <c r="K3160" s="3" t="n">
        <v>0</v>
      </c>
      <c r="L3160" s="3">
        <f>IF(K3160&lt;-5,"CRÍTICO",IF(K3160&lt;0,"ATENÇÃO",IF(K3160&lt;=5,"OPORTUNO","MUITO BOM")))</f>
        <v/>
      </c>
      <c r="N3160" t="n">
        <v>92.68000000000001</v>
      </c>
      <c r="O3160" t="n">
        <v>27.77777777777778</v>
      </c>
    </row>
    <row r="3161" hidden="1">
      <c r="A3161" s="11" t="n">
        <v>46100</v>
      </c>
      <c r="B3161" t="inlineStr">
        <is>
          <t>Damyllis Lorraine de Oliveira Gonçalves</t>
        </is>
      </c>
      <c r="C3161" t="inlineStr">
        <is>
          <t>Técnico II</t>
        </is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s="3" t="n">
        <v>0</v>
      </c>
      <c r="J3161" s="3" t="n">
        <v>0</v>
      </c>
      <c r="K3161" s="3" t="n">
        <v>0</v>
      </c>
      <c r="L3161" s="3">
        <f>IF(K3161&lt;-5,"CRÍTICO",IF(K3161&lt;0,"ATENÇÃO",IF(K3161&lt;=5,"OPORTUNO","MUITO BOM")))</f>
        <v/>
      </c>
      <c r="N3161" t="n">
        <v>99.03</v>
      </c>
      <c r="O3161" t="n">
        <v>23.99150743099788</v>
      </c>
    </row>
    <row r="3162" hidden="1">
      <c r="A3162" s="11" t="n">
        <v>46100</v>
      </c>
      <c r="B3162" t="inlineStr">
        <is>
          <t>Daniel Gomes da Silva</t>
        </is>
      </c>
      <c r="C3162" t="inlineStr">
        <is>
          <t>Técnico I</t>
        </is>
      </c>
      <c r="D3162" t="n">
        <v>21</v>
      </c>
      <c r="E3162" t="n">
        <v>21</v>
      </c>
      <c r="F3162" t="n">
        <v>27.08</v>
      </c>
      <c r="G3162" t="n">
        <v>0</v>
      </c>
      <c r="H3162" t="n">
        <v>0</v>
      </c>
      <c r="I3162" s="3">
        <f>E3162+G3162+H3162</f>
        <v/>
      </c>
      <c r="J3162" s="3">
        <f>ROUND(MIN(IF(C3162="Técnico III",35,IF(C3162="Técnico II",28,IF(C3162="Técnico I",23,IF(C3162="JR",20,IF(C3162="Estágio",10,0))))),IF(C3162="Técnico III",SUMIFS($D:$D,$A:$A,$A3162,$B:$B,"&lt;&gt;Patrícia Karla de Sousa Araújo",$B:$B,"&lt;&gt;Lorena Dias de Araujo",$B:$B,"&lt;&gt;Lucas Luiz Romero")*(35/1083),IF(C3162="Técnico II",SUMIFS($D:$D,$A:$A,$A3162,$B:$B,"&lt;&gt;Patrícia Karla de Sousa Araújo",$B:$B,"&lt;&gt;Lorena Dias de Araujo",$B:$B,"&lt;&gt;Lucas Luiz Romero")*(28/1083),IF(C3162="Técnico I",SUMIFS($D:$D,$A:$A,$A3162,$B:$B,"&lt;&gt;Patrícia Karla de Sousa Araújo",$B:$B,"&lt;&gt;Lorena Dias de Araujo",$B:$B,"&lt;&gt;Lucas Luiz Romero")*(23/1083),IF(C3162="JR",SUMIFS($D:$D,$A:$A,$A3162,$B:$B,"&lt;&gt;Patrícia Karla de Sousa Araújo",$B:$B,"&lt;&gt;Lorena Dias de Araujo",$B:$B,"&lt;&gt;Lucas Luiz Romero")*(20/1083),IF(C3162="Estágio",SUMIFS($D:$D,$A:$A,$A3162,$B:$B,"&lt;&gt;Patrícia Karla de Sousa Araújo",$B:$B,"&lt;&gt;Lorena Dias de Araujo",$B:$B,"&lt;&gt;Lucas Luiz Romero")*(10/1083),0)))))),0)</f>
        <v/>
      </c>
      <c r="K3162" s="3">
        <f>I3162-J3162</f>
        <v/>
      </c>
      <c r="L3162" s="3">
        <f>IF(K3162&lt;-5,"CRÍTICO",IF(K3162&lt;0,"ATENÇÃO",IF(K3162&lt;=5,"OPORTUNO","MUITO BOM")))</f>
        <v/>
      </c>
      <c r="N3162" t="n">
        <v>98.41</v>
      </c>
      <c r="O3162" t="n">
        <v>28.13852813852814</v>
      </c>
    </row>
    <row r="3163" hidden="1">
      <c r="A3163" s="11" t="n">
        <v>46100</v>
      </c>
      <c r="B3163" t="inlineStr">
        <is>
          <t>Davylla Rodrigues Freitas Silva</t>
        </is>
      </c>
      <c r="C3163" t="inlineStr">
        <is>
          <t>Técnico III</t>
        </is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s="3" t="n">
        <v>0</v>
      </c>
      <c r="J3163" s="3" t="n">
        <v>0</v>
      </c>
      <c r="K3163" s="3" t="n">
        <v>0</v>
      </c>
      <c r="L3163" s="3">
        <f>IF(K3163&lt;-5,"CRÍTICO",IF(K3163&lt;0,"ATENÇÃO",IF(K3163&lt;=5,"OPORTUNO","MUITO BOM")))</f>
        <v/>
      </c>
      <c r="N3163" t="n">
        <v>98.73</v>
      </c>
      <c r="O3163" t="n">
        <v>29.14285714285714</v>
      </c>
    </row>
    <row r="3164" hidden="1">
      <c r="A3164" s="11" t="n">
        <v>46100</v>
      </c>
      <c r="B3164" t="inlineStr">
        <is>
          <t>Emilly Caylane Costa</t>
        </is>
      </c>
      <c r="C3164" t="inlineStr">
        <is>
          <t>Estágio</t>
        </is>
      </c>
      <c r="D3164" t="n">
        <v>8</v>
      </c>
      <c r="E3164" t="n">
        <v>8</v>
      </c>
      <c r="F3164" t="n">
        <v>46.58</v>
      </c>
      <c r="G3164" t="n">
        <v>0</v>
      </c>
      <c r="H3164" t="n">
        <v>0</v>
      </c>
      <c r="I3164" s="3">
        <f>E3164+G3164+H3164</f>
        <v/>
      </c>
      <c r="J3164" s="3">
        <f>ROUND(MIN(IF(C3164="Técnico III",35,IF(C3164="Técnico II",28,IF(C3164="Técnico I",23,IF(C3164="JR",20,IF(C3164="Estágio",10,0))))),IF(C3164="Técnico III",SUMIFS($D:$D,$A:$A,$A3164,$B:$B,"&lt;&gt;Patrícia Karla de Sousa Araújo",$B:$B,"&lt;&gt;Lorena Dias de Araujo",$B:$B,"&lt;&gt;Lucas Luiz Romero")*(35/1083),IF(C3164="Técnico II",SUMIFS($D:$D,$A:$A,$A3164,$B:$B,"&lt;&gt;Patrícia Karla de Sousa Araújo",$B:$B,"&lt;&gt;Lorena Dias de Araujo",$B:$B,"&lt;&gt;Lucas Luiz Romero")*(28/1083),IF(C3164="Técnico I",SUMIFS($D:$D,$A:$A,$A3164,$B:$B,"&lt;&gt;Patrícia Karla de Sousa Araújo",$B:$B,"&lt;&gt;Lorena Dias de Araujo",$B:$B,"&lt;&gt;Lucas Luiz Romero")*(23/1083),IF(C3164="JR",SUMIFS($D:$D,$A:$A,$A3164,$B:$B,"&lt;&gt;Patrícia Karla de Sousa Araújo",$B:$B,"&lt;&gt;Lorena Dias de Araujo",$B:$B,"&lt;&gt;Lucas Luiz Romero")*(20/1083),IF(C3164="Estágio",SUMIFS($D:$D,$A:$A,$A3164,$B:$B,"&lt;&gt;Patrícia Karla de Sousa Araújo",$B:$B,"&lt;&gt;Lorena Dias de Araujo",$B:$B,"&lt;&gt;Lucas Luiz Romero")*(10/1083),0)))))),0)</f>
        <v/>
      </c>
      <c r="K3164" s="3">
        <f>I3164-J3164</f>
        <v/>
      </c>
      <c r="L3164" s="3">
        <f>IF(K3164&lt;-5,"CRÍTICO",IF(K3164&lt;0,"ATENÇÃO",IF(K3164&lt;=5,"OPORTUNO","MUITO BOM")))</f>
        <v/>
      </c>
      <c r="N3164" t="n">
        <v>90.48</v>
      </c>
      <c r="O3164" t="n">
        <v>20.68965517241379</v>
      </c>
    </row>
    <row r="3165" hidden="1">
      <c r="A3165" s="11" t="n">
        <v>46100</v>
      </c>
      <c r="B3165" t="inlineStr">
        <is>
          <t>Emilly Kamilly Medeiros Miranda</t>
        </is>
      </c>
      <c r="C3165" t="inlineStr">
        <is>
          <t>Técnico II</t>
        </is>
      </c>
      <c r="D3165" t="n">
        <v>21</v>
      </c>
      <c r="E3165" t="n">
        <v>19</v>
      </c>
      <c r="F3165" t="n">
        <v>15.13</v>
      </c>
      <c r="G3165" t="n">
        <v>0</v>
      </c>
      <c r="H3165" t="n">
        <v>0</v>
      </c>
      <c r="I3165" s="3">
        <f>E3165+G3165+H3165</f>
        <v/>
      </c>
      <c r="J3165" s="3">
        <f>ROUND(MIN(IF(C3165="Técnico III",35,IF(C3165="Técnico II",28,IF(C3165="Técnico I",23,IF(C3165="JR",20,IF(C3165="Estágio",10,0))))),IF(C3165="Técnico III",SUMIFS($D:$D,$A:$A,$A3165,$B:$B,"&lt;&gt;Patrícia Karla de Sousa Araújo",$B:$B,"&lt;&gt;Lorena Dias de Araujo",$B:$B,"&lt;&gt;Lucas Luiz Romero")*(35/1083),IF(C3165="Técnico II",SUMIFS($D:$D,$A:$A,$A3165,$B:$B,"&lt;&gt;Patrícia Karla de Sousa Araújo",$B:$B,"&lt;&gt;Lorena Dias de Araujo",$B:$B,"&lt;&gt;Lucas Luiz Romero")*(28/1083),IF(C3165="Técnico I",SUMIFS($D:$D,$A:$A,$A3165,$B:$B,"&lt;&gt;Patrícia Karla de Sousa Araújo",$B:$B,"&lt;&gt;Lorena Dias de Araujo",$B:$B,"&lt;&gt;Lucas Luiz Romero")*(23/1083),IF(C3165="JR",SUMIFS($D:$D,$A:$A,$A3165,$B:$B,"&lt;&gt;Patrícia Karla de Sousa Araújo",$B:$B,"&lt;&gt;Lorena Dias de Araujo",$B:$B,"&lt;&gt;Lucas Luiz Romero")*(20/1083),IF(C3165="Estágio",SUMIFS($D:$D,$A:$A,$A3165,$B:$B,"&lt;&gt;Patrícia Karla de Sousa Araújo",$B:$B,"&lt;&gt;Lorena Dias de Araujo",$B:$B,"&lt;&gt;Lucas Luiz Romero")*(10/1083),0)))))),0)</f>
        <v/>
      </c>
      <c r="K3165" s="3">
        <f>I3165-J3165</f>
        <v/>
      </c>
      <c r="L3165" s="3">
        <f>IF(K3165&lt;-5,"CRÍTICO",IF(K3165&lt;0,"ATENÇÃO",IF(K3165&lt;=5,"OPORTUNO","MUITO BOM")))</f>
        <v/>
      </c>
      <c r="N3165" t="n">
        <v>98.06</v>
      </c>
      <c r="O3165" t="n">
        <v>24.78991596638656</v>
      </c>
    </row>
    <row r="3166" hidden="1">
      <c r="A3166" s="11" t="n">
        <v>46100</v>
      </c>
      <c r="B3166" t="inlineStr">
        <is>
          <t>Francielson de Oliveira</t>
        </is>
      </c>
      <c r="C3166" t="inlineStr">
        <is>
          <t>Técnico III</t>
        </is>
      </c>
      <c r="D3166" t="n">
        <v>29</v>
      </c>
      <c r="E3166" t="n">
        <v>27</v>
      </c>
      <c r="F3166" t="n">
        <v>17.38</v>
      </c>
      <c r="G3166" t="n">
        <v>0</v>
      </c>
      <c r="H3166" t="n">
        <v>0</v>
      </c>
      <c r="I3166" s="3">
        <f>E3166+G3166+H3166</f>
        <v/>
      </c>
      <c r="J3166" s="3">
        <f>ROUND(MIN(IF(C3166="Técnico III",35,IF(C3166="Técnico II",28,IF(C3166="Técnico I",23,IF(C3166="JR",20,IF(C3166="Estágio",10,0))))),IF(C3166="Técnico III",SUMIFS($D:$D,$A:$A,$A3166,$B:$B,"&lt;&gt;Patrícia Karla de Sousa Araújo",$B:$B,"&lt;&gt;Lorena Dias de Araujo",$B:$B,"&lt;&gt;Lucas Luiz Romero")*(35/1083),IF(C3166="Técnico II",SUMIFS($D:$D,$A:$A,$A3166,$B:$B,"&lt;&gt;Patrícia Karla de Sousa Araújo",$B:$B,"&lt;&gt;Lorena Dias de Araujo",$B:$B,"&lt;&gt;Lucas Luiz Romero")*(28/1083),IF(C3166="Técnico I",SUMIFS($D:$D,$A:$A,$A3166,$B:$B,"&lt;&gt;Patrícia Karla de Sousa Araújo",$B:$B,"&lt;&gt;Lorena Dias de Araujo",$B:$B,"&lt;&gt;Lucas Luiz Romero")*(23/1083),IF(C3166="JR",SUMIFS($D:$D,$A:$A,$A3166,$B:$B,"&lt;&gt;Patrícia Karla de Sousa Araújo",$B:$B,"&lt;&gt;Lorena Dias de Araujo",$B:$B,"&lt;&gt;Lucas Luiz Romero")*(20/1083),IF(C3166="Estágio",SUMIFS($D:$D,$A:$A,$A3166,$B:$B,"&lt;&gt;Patrícia Karla de Sousa Araújo",$B:$B,"&lt;&gt;Lorena Dias de Araujo",$B:$B,"&lt;&gt;Lucas Luiz Romero")*(10/1083),0)))))),0)</f>
        <v/>
      </c>
      <c r="K3166" s="3">
        <f>I3166-J3166</f>
        <v/>
      </c>
      <c r="L3166" s="3">
        <f>IF(K3166&lt;-5,"CRÍTICO",IF(K3166&lt;0,"ATENÇÃO",IF(K3166&lt;=5,"OPORTUNO","MUITO BOM")))</f>
        <v/>
      </c>
      <c r="N3166" t="n">
        <v>97.78</v>
      </c>
      <c r="O3166" t="n">
        <v>25.49407114624506</v>
      </c>
    </row>
    <row r="3167" hidden="1">
      <c r="A3167" s="11" t="n">
        <v>46100</v>
      </c>
      <c r="B3167" t="inlineStr">
        <is>
          <t>Francilene Ferreira de Jesus</t>
        </is>
      </c>
      <c r="C3167" t="inlineStr">
        <is>
          <t>Técnico II</t>
        </is>
      </c>
      <c r="D3167" t="n">
        <v>17</v>
      </c>
      <c r="E3167" t="n">
        <v>15</v>
      </c>
      <c r="F3167" t="n">
        <v>22</v>
      </c>
      <c r="G3167" t="n">
        <v>0</v>
      </c>
      <c r="H3167" t="n">
        <v>0</v>
      </c>
      <c r="I3167" s="3">
        <f>E3167+G3167+H3167</f>
        <v/>
      </c>
      <c r="J3167" s="3">
        <f>ROUND(MIN(IF(C3167="Técnico III",35,IF(C3167="Técnico II",28,IF(C3167="Técnico I",23,IF(C3167="JR",20,IF(C3167="Estágio",10,0))))),IF(C3167="Técnico III",SUMIFS($D:$D,$A:$A,$A3167,$B:$B,"&lt;&gt;Patrícia Karla de Sousa Araújo",$B:$B,"&lt;&gt;Lorena Dias de Araujo",$B:$B,"&lt;&gt;Lucas Luiz Romero")*(35/1083),IF(C3167="Técnico II",SUMIFS($D:$D,$A:$A,$A3167,$B:$B,"&lt;&gt;Patrícia Karla de Sousa Araújo",$B:$B,"&lt;&gt;Lorena Dias de Araujo",$B:$B,"&lt;&gt;Lucas Luiz Romero")*(28/1083),IF(C3167="Técnico I",SUMIFS($D:$D,$A:$A,$A3167,$B:$B,"&lt;&gt;Patrícia Karla de Sousa Araújo",$B:$B,"&lt;&gt;Lorena Dias de Araujo",$B:$B,"&lt;&gt;Lucas Luiz Romero")*(23/1083),IF(C3167="JR",SUMIFS($D:$D,$A:$A,$A3167,$B:$B,"&lt;&gt;Patrícia Karla de Sousa Araújo",$B:$B,"&lt;&gt;Lorena Dias de Araujo",$B:$B,"&lt;&gt;Lucas Luiz Romero")*(20/1083),IF(C3167="Estágio",SUMIFS($D:$D,$A:$A,$A3167,$B:$B,"&lt;&gt;Patrícia Karla de Sousa Araújo",$B:$B,"&lt;&gt;Lorena Dias de Araujo",$B:$B,"&lt;&gt;Lucas Luiz Romero")*(10/1083),0)))))),0)</f>
        <v/>
      </c>
      <c r="K3167" s="3">
        <f>I3167-J3167</f>
        <v/>
      </c>
      <c r="L3167" s="3">
        <f>IF(K3167&lt;-5,"CRÍTICO",IF(K3167&lt;0,"ATENÇÃO",IF(K3167&lt;=5,"OPORTUNO","MUITO BOM")))</f>
        <v/>
      </c>
      <c r="N3167" t="n">
        <v>98.02</v>
      </c>
      <c r="O3167" t="n">
        <v>23.48484848484848</v>
      </c>
    </row>
    <row r="3168" hidden="1">
      <c r="A3168" s="11" t="n">
        <v>46135</v>
      </c>
      <c r="B3168" t="inlineStr">
        <is>
          <t>Gabriel Gomes de Andrade</t>
        </is>
      </c>
      <c r="C3168" t="inlineStr">
        <is>
          <t>Técnico I</t>
        </is>
      </c>
      <c r="D3168" t="n">
        <v>23</v>
      </c>
      <c r="E3168" t="n">
        <v>21</v>
      </c>
      <c r="F3168" t="n">
        <v>17.05</v>
      </c>
      <c r="G3168" t="n">
        <v>0</v>
      </c>
      <c r="H3168" t="n">
        <v>0</v>
      </c>
      <c r="I3168" s="3">
        <f>E3168+G3168+H3168</f>
        <v/>
      </c>
      <c r="J3168" s="3">
        <f>ROUND(MIN(IF(C3168="Técnico III",35,IF(C3168="Técnico II",28,IF(C3168="Técnico I",23,IF(C3168="JR",20,IF(C3168="Estágio",10,0))))),IF(C3168="Técnico III",SUMIFS($D:$D,$A:$A,$A3168,$B:$B,"&lt;&gt;Patrícia Karla de Sousa Araújo",$B:$B,"&lt;&gt;Lorena Dias de Araujo",$B:$B,"&lt;&gt;Lucas Luiz Romero")*(35/1083),IF(C3168="Técnico II",SUMIFS($D:$D,$A:$A,$A3168,$B:$B,"&lt;&gt;Patrícia Karla de Sousa Araújo",$B:$B,"&lt;&gt;Lorena Dias de Araujo",$B:$B,"&lt;&gt;Lucas Luiz Romero")*(28/1083),IF(C3168="Técnico I",SUMIFS($D:$D,$A:$A,$A3168,$B:$B,"&lt;&gt;Patrícia Karla de Sousa Araújo",$B:$B,"&lt;&gt;Lorena Dias de Araujo",$B:$B,"&lt;&gt;Lucas Luiz Romero")*(23/1083),IF(C3168="JR",SUMIFS($D:$D,$A:$A,$A3168,$B:$B,"&lt;&gt;Patrícia Karla de Sousa Araújo",$B:$B,"&lt;&gt;Lorena Dias de Araujo",$B:$B,"&lt;&gt;Lucas Luiz Romero")*(20/1083),IF(C3168="Estágio",SUMIFS($D:$D,$A:$A,$A3168,$B:$B,"&lt;&gt;Patrícia Karla de Sousa Araújo",$B:$B,"&lt;&gt;Lorena Dias de Araujo",$B:$B,"&lt;&gt;Lucas Luiz Romero")*(10/1083),0)))))),0)</f>
        <v/>
      </c>
      <c r="K3168" s="3">
        <f>I3168-J3168</f>
        <v/>
      </c>
      <c r="L3168" s="3">
        <f>IF(K3168&lt;-5,"CRÍTICO",IF(K3168&lt;0,"ATENÇÃO",IF(K3168&lt;=5,"OPORTUNO","MUITO BOM")))</f>
        <v/>
      </c>
      <c r="N3168" t="n">
        <v>99.28</v>
      </c>
      <c r="O3168" t="n">
        <v>27.68924302788844</v>
      </c>
    </row>
    <row r="3169" hidden="1">
      <c r="A3169" s="11" t="n">
        <v>46100</v>
      </c>
      <c r="B3169" t="inlineStr">
        <is>
          <t>Isabella Borges de Oliveira</t>
        </is>
      </c>
      <c r="C3169" t="inlineStr">
        <is>
          <t>Técnico II</t>
        </is>
      </c>
      <c r="D3169" t="n">
        <v>23</v>
      </c>
      <c r="E3169" t="n">
        <v>22</v>
      </c>
      <c r="F3169" t="n">
        <v>27.1</v>
      </c>
      <c r="G3169" t="n">
        <v>0</v>
      </c>
      <c r="H3169" t="n">
        <v>0</v>
      </c>
      <c r="I3169" s="3">
        <f>E3169+G3169+H3169</f>
        <v/>
      </c>
      <c r="J3169" s="3">
        <f>ROUND(MIN(IF(C3169="Técnico III",35,IF(C3169="Técnico II",28,IF(C3169="Técnico I",23,IF(C3169="JR",20,IF(C3169="Estágio",10,0))))),IF(C3169="Técnico III",SUMIFS($D:$D,$A:$A,$A3169,$B:$B,"&lt;&gt;Patrícia Karla de Sousa Araújo",$B:$B,"&lt;&gt;Lorena Dias de Araujo",$B:$B,"&lt;&gt;Lucas Luiz Romero")*(35/1083),IF(C3169="Técnico II",SUMIFS($D:$D,$A:$A,$A3169,$B:$B,"&lt;&gt;Patrícia Karla de Sousa Araújo",$B:$B,"&lt;&gt;Lorena Dias de Araujo",$B:$B,"&lt;&gt;Lucas Luiz Romero")*(28/1083),IF(C3169="Técnico I",SUMIFS($D:$D,$A:$A,$A3169,$B:$B,"&lt;&gt;Patrícia Karla de Sousa Araújo",$B:$B,"&lt;&gt;Lorena Dias de Araujo",$B:$B,"&lt;&gt;Lucas Luiz Romero")*(23/1083),IF(C3169="JR",SUMIFS($D:$D,$A:$A,$A3169,$B:$B,"&lt;&gt;Patrícia Karla de Sousa Araújo",$B:$B,"&lt;&gt;Lorena Dias de Araujo",$B:$B,"&lt;&gt;Lucas Luiz Romero")*(20/1083),IF(C3169="Estágio",SUMIFS($D:$D,$A:$A,$A3169,$B:$B,"&lt;&gt;Patrícia Karla de Sousa Araújo",$B:$B,"&lt;&gt;Lorena Dias de Araujo",$B:$B,"&lt;&gt;Lucas Luiz Romero")*(10/1083),0)))))),0)</f>
        <v/>
      </c>
      <c r="K3169" s="3">
        <f>I3169-J3169</f>
        <v/>
      </c>
      <c r="L3169" s="3">
        <f>IF(K3169&lt;-5,"CRÍTICO",IF(K3169&lt;0,"ATENÇÃO",IF(K3169&lt;=5,"OPORTUNO","MUITO BOM")))</f>
        <v/>
      </c>
      <c r="N3169" t="n">
        <v>100</v>
      </c>
      <c r="O3169" t="n">
        <v>27.04918032786885</v>
      </c>
    </row>
    <row r="3170" hidden="1">
      <c r="A3170" s="11" t="n">
        <v>46100</v>
      </c>
      <c r="B3170" t="inlineStr">
        <is>
          <t>Janaina Lima dos Reis Urany</t>
        </is>
      </c>
      <c r="C3170" t="inlineStr">
        <is>
          <t>Técnico III</t>
        </is>
      </c>
      <c r="D3170" t="n">
        <v>45</v>
      </c>
      <c r="E3170" t="n">
        <v>41</v>
      </c>
      <c r="F3170" t="n">
        <v>14</v>
      </c>
      <c r="G3170" t="n">
        <v>0</v>
      </c>
      <c r="H3170" t="n">
        <v>0</v>
      </c>
      <c r="I3170" s="3">
        <f>E3170+G3170+H3170</f>
        <v/>
      </c>
      <c r="J3170" s="3">
        <f>ROUND(MIN(IF(C3170="Técnico III",35,IF(C3170="Técnico II",28,IF(C3170="Técnico I",23,IF(C3170="JR",20,IF(C3170="Estágio",10,0))))),IF(C3170="Técnico III",SUMIFS($D:$D,$A:$A,$A3170,$B:$B,"&lt;&gt;Patrícia Karla de Sousa Araújo",$B:$B,"&lt;&gt;Lorena Dias de Araujo",$B:$B,"&lt;&gt;Lucas Luiz Romero")*(35/1083),IF(C3170="Técnico II",SUMIFS($D:$D,$A:$A,$A3170,$B:$B,"&lt;&gt;Patrícia Karla de Sousa Araújo",$B:$B,"&lt;&gt;Lorena Dias de Araujo",$B:$B,"&lt;&gt;Lucas Luiz Romero")*(28/1083),IF(C3170="Técnico I",SUMIFS($D:$D,$A:$A,$A3170,$B:$B,"&lt;&gt;Patrícia Karla de Sousa Araújo",$B:$B,"&lt;&gt;Lorena Dias de Araujo",$B:$B,"&lt;&gt;Lucas Luiz Romero")*(23/1083),IF(C3170="JR",SUMIFS($D:$D,$A:$A,$A3170,$B:$B,"&lt;&gt;Patrícia Karla de Sousa Araújo",$B:$B,"&lt;&gt;Lorena Dias de Araujo",$B:$B,"&lt;&gt;Lucas Luiz Romero")*(20/1083),IF(C3170="Estágio",SUMIFS($D:$D,$A:$A,$A3170,$B:$B,"&lt;&gt;Patrícia Karla de Sousa Araújo",$B:$B,"&lt;&gt;Lorena Dias de Araujo",$B:$B,"&lt;&gt;Lucas Luiz Romero")*(10/1083),0)))))),0)</f>
        <v/>
      </c>
      <c r="K3170" s="3">
        <f>I3170-J3170</f>
        <v/>
      </c>
      <c r="L3170" s="3">
        <f>IF(K3170&lt;-5,"CRÍTICO",IF(K3170&lt;0,"ATENÇÃO",IF(K3170&lt;=5,"OPORTUNO","MUITO BOM")))</f>
        <v/>
      </c>
      <c r="N3170" t="n">
        <v>97.83</v>
      </c>
      <c r="O3170" t="n">
        <v>26.31578947368421</v>
      </c>
    </row>
    <row r="3171" hidden="1">
      <c r="A3171" s="11" t="n">
        <v>46100</v>
      </c>
      <c r="B3171" t="inlineStr">
        <is>
          <t>Jaqueline Evangelista da Silva Martins</t>
        </is>
      </c>
      <c r="C3171" t="inlineStr">
        <is>
          <t>Técnico III</t>
        </is>
      </c>
      <c r="D3171" t="n">
        <v>1</v>
      </c>
      <c r="E3171" t="n">
        <v>1</v>
      </c>
      <c r="F3171" t="n">
        <v>20.21</v>
      </c>
      <c r="G3171" t="n">
        <v>0</v>
      </c>
      <c r="H3171" t="n">
        <v>0</v>
      </c>
      <c r="I3171" s="3">
        <f>E3171+G3171+H3171</f>
        <v/>
      </c>
      <c r="J3171" s="3">
        <f>ROUND(MIN(IF(C3171="Técnico III",35,IF(C3171="Técnico II",28,IF(C3171="Técnico I",23,IF(C3171="JR",20,IF(C3171="Estágio",10,0))))),IF(C3171="Técnico III",SUMIFS($D:$D,$A:$A,$A3171,$B:$B,"&lt;&gt;Patrícia Karla de Sousa Araújo",$B:$B,"&lt;&gt;Lorena Dias de Araujo",$B:$B,"&lt;&gt;Lucas Luiz Romero")*(35/1083),IF(C3171="Técnico II",SUMIFS($D:$D,$A:$A,$A3171,$B:$B,"&lt;&gt;Patrícia Karla de Sousa Araújo",$B:$B,"&lt;&gt;Lorena Dias de Araujo",$B:$B,"&lt;&gt;Lucas Luiz Romero")*(28/1083),IF(C3171="Técnico I",SUMIFS($D:$D,$A:$A,$A3171,$B:$B,"&lt;&gt;Patrícia Karla de Sousa Araújo",$B:$B,"&lt;&gt;Lorena Dias de Araujo",$B:$B,"&lt;&gt;Lucas Luiz Romero")*(23/1083),IF(C3171="JR",SUMIFS($D:$D,$A:$A,$A3171,$B:$B,"&lt;&gt;Patrícia Karla de Sousa Araújo",$B:$B,"&lt;&gt;Lorena Dias de Araujo",$B:$B,"&lt;&gt;Lucas Luiz Romero")*(20/1083),IF(C3171="Estágio",SUMIFS($D:$D,$A:$A,$A3171,$B:$B,"&lt;&gt;Patrícia Karla de Sousa Araújo",$B:$B,"&lt;&gt;Lorena Dias de Araujo",$B:$B,"&lt;&gt;Lucas Luiz Romero")*(10/1083),0)))))),0)</f>
        <v/>
      </c>
      <c r="K3171" s="3">
        <f>I3171-J3171</f>
        <v/>
      </c>
      <c r="L3171" s="3">
        <f>IF(K3171&lt;-5,"CRÍTICO",IF(K3171&lt;0,"ATENÇÃO",IF(K3171&lt;=5,"OPORTUNO","MUITO BOM")))</f>
        <v/>
      </c>
      <c r="N3171" t="n">
        <v>100</v>
      </c>
      <c r="O3171" t="n">
        <v>26.70157068062827</v>
      </c>
    </row>
    <row r="3172" hidden="1">
      <c r="A3172" s="11" t="n">
        <v>46100</v>
      </c>
      <c r="B3172" t="inlineStr">
        <is>
          <t>Jessica Faria da Silveira</t>
        </is>
      </c>
      <c r="C3172" t="inlineStr">
        <is>
          <t>Técnico II</t>
        </is>
      </c>
      <c r="D3172" t="n">
        <v>2</v>
      </c>
      <c r="E3172" t="n">
        <v>2</v>
      </c>
      <c r="F3172" t="n">
        <v>20.13</v>
      </c>
      <c r="G3172" t="n">
        <v>0</v>
      </c>
      <c r="H3172" t="n">
        <v>0</v>
      </c>
      <c r="I3172" s="3">
        <f>E3172+G3172+H3172</f>
        <v/>
      </c>
      <c r="J3172" s="3">
        <f>ROUND(MIN(IF(C3172="Técnico III",35,IF(C3172="Técnico II",28,IF(C3172="Técnico I",23,IF(C3172="JR",20,IF(C3172="Estágio",10,0))))),IF(C3172="Técnico III",SUMIFS($D:$D,$A:$A,$A3172,$B:$B,"&lt;&gt;Patrícia Karla de Sousa Araújo",$B:$B,"&lt;&gt;Lorena Dias de Araujo",$B:$B,"&lt;&gt;Lucas Luiz Romero")*(35/1083),IF(C3172="Técnico II",SUMIFS($D:$D,$A:$A,$A3172,$B:$B,"&lt;&gt;Patrícia Karla de Sousa Araújo",$B:$B,"&lt;&gt;Lorena Dias de Araujo",$B:$B,"&lt;&gt;Lucas Luiz Romero")*(28/1083),IF(C3172="Técnico I",SUMIFS($D:$D,$A:$A,$A3172,$B:$B,"&lt;&gt;Patrícia Karla de Sousa Araújo",$B:$B,"&lt;&gt;Lorena Dias de Araujo",$B:$B,"&lt;&gt;Lucas Luiz Romero")*(23/1083),IF(C3172="JR",SUMIFS($D:$D,$A:$A,$A3172,$B:$B,"&lt;&gt;Patrícia Karla de Sousa Araújo",$B:$B,"&lt;&gt;Lorena Dias de Araujo",$B:$B,"&lt;&gt;Lucas Luiz Romero")*(20/1083),IF(C3172="Estágio",SUMIFS($D:$D,$A:$A,$A3172,$B:$B,"&lt;&gt;Patrícia Karla de Sousa Araújo",$B:$B,"&lt;&gt;Lorena Dias de Araujo",$B:$B,"&lt;&gt;Lucas Luiz Romero")*(10/1083),0)))))),0)</f>
        <v/>
      </c>
      <c r="K3172" s="3">
        <f>I3172-J3172</f>
        <v/>
      </c>
      <c r="L3172" s="3">
        <f>IF(K3172&lt;-5,"CRÍTICO",IF(K3172&lt;0,"ATENÇÃO",IF(K3172&lt;=5,"OPORTUNO","MUITO BOM")))</f>
        <v/>
      </c>
      <c r="N3172" t="n">
        <v>97.47</v>
      </c>
      <c r="O3172" t="n">
        <v>22.88732394366197</v>
      </c>
    </row>
    <row r="3173" hidden="1">
      <c r="A3173" s="11" t="n">
        <v>46100</v>
      </c>
      <c r="B3173" t="inlineStr">
        <is>
          <t>Jéssica Fé Moura</t>
        </is>
      </c>
      <c r="C3173" t="inlineStr">
        <is>
          <t>Técnico III</t>
        </is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s="3" t="n">
        <v>0</v>
      </c>
      <c r="J3173" s="3" t="n">
        <v>0</v>
      </c>
      <c r="K3173" s="3" t="n">
        <v>0</v>
      </c>
      <c r="L3173" s="3">
        <f>IF(K3173&lt;-5,"CRÍTICO",IF(K3173&lt;0,"ATENÇÃO",IF(K3173&lt;=5,"OPORTUNO","MUITO BOM")))</f>
        <v/>
      </c>
      <c r="N3173" t="n">
        <v>0</v>
      </c>
      <c r="O3173" t="n">
        <v>0</v>
      </c>
    </row>
    <row r="3174" hidden="1">
      <c r="A3174" s="11" t="n">
        <v>46100</v>
      </c>
      <c r="B3174" t="inlineStr">
        <is>
          <t>Karina Gonçalves Martins</t>
        </is>
      </c>
      <c r="C3174" t="inlineStr">
        <is>
          <t>JR</t>
        </is>
      </c>
      <c r="D3174" t="n">
        <v>20</v>
      </c>
      <c r="E3174" t="n">
        <v>19</v>
      </c>
      <c r="F3174" t="n">
        <v>33.43</v>
      </c>
      <c r="G3174" t="n">
        <v>0</v>
      </c>
      <c r="H3174" t="n">
        <v>0</v>
      </c>
      <c r="I3174" s="3">
        <f>E3174+G3174+H3174</f>
        <v/>
      </c>
      <c r="J3174" s="3">
        <f>ROUND(MIN(IF(C3174="Técnico III",35,IF(C3174="Técnico II",28,IF(C3174="Técnico I",23,IF(C3174="JR",20,IF(C3174="Estágio",10,0))))),IF(C3174="Técnico III",SUMIFS($D:$D,$A:$A,$A3174,$B:$B,"&lt;&gt;Patrícia Karla de Sousa Araújo",$B:$B,"&lt;&gt;Lorena Dias de Araujo",$B:$B,"&lt;&gt;Lucas Luiz Romero")*(35/1083),IF(C3174="Técnico II",SUMIFS($D:$D,$A:$A,$A3174,$B:$B,"&lt;&gt;Patrícia Karla de Sousa Araújo",$B:$B,"&lt;&gt;Lorena Dias de Araujo",$B:$B,"&lt;&gt;Lucas Luiz Romero")*(28/1083),IF(C3174="Técnico I",SUMIFS($D:$D,$A:$A,$A3174,$B:$B,"&lt;&gt;Patrícia Karla de Sousa Araújo",$B:$B,"&lt;&gt;Lorena Dias de Araujo",$B:$B,"&lt;&gt;Lucas Luiz Romero")*(23/1083),IF(C3174="JR",SUMIFS($D:$D,$A:$A,$A3174,$B:$B,"&lt;&gt;Patrícia Karla de Sousa Araújo",$B:$B,"&lt;&gt;Lorena Dias de Araujo",$B:$B,"&lt;&gt;Lucas Luiz Romero")*(20/1083),IF(C3174="Estágio",SUMIFS($D:$D,$A:$A,$A3174,$B:$B,"&lt;&gt;Patrícia Karla de Sousa Araújo",$B:$B,"&lt;&gt;Lorena Dias de Araujo",$B:$B,"&lt;&gt;Lucas Luiz Romero")*(10/1083),0)))))),0)</f>
        <v/>
      </c>
      <c r="K3174" s="3">
        <f>I3174-J3174</f>
        <v/>
      </c>
      <c r="L3174" s="3">
        <f>IF(K3174&lt;-5,"CRÍTICO",IF(K3174&lt;0,"ATENÇÃO",IF(K3174&lt;=5,"OPORTUNO","MUITO BOM")))</f>
        <v/>
      </c>
      <c r="N3174" t="n">
        <v>98.31</v>
      </c>
      <c r="O3174" t="n">
        <v>24.92012779552715</v>
      </c>
    </row>
    <row r="3175" hidden="1">
      <c r="A3175" s="11" t="n">
        <v>46100</v>
      </c>
      <c r="B3175" t="inlineStr">
        <is>
          <t>Kerollen Cristielly de Jesus Siqueira</t>
        </is>
      </c>
      <c r="C3175" t="inlineStr">
        <is>
          <t>Técnico III</t>
        </is>
      </c>
      <c r="D3175" t="n">
        <v>19</v>
      </c>
      <c r="E3175" t="n">
        <v>18</v>
      </c>
      <c r="F3175" t="n">
        <v>31.46</v>
      </c>
      <c r="G3175" t="n">
        <v>0</v>
      </c>
      <c r="H3175" t="n">
        <v>0</v>
      </c>
      <c r="I3175" s="3">
        <f>E3175+G3175+H3175</f>
        <v/>
      </c>
      <c r="J3175" s="3">
        <f>ROUND(MIN(IF(C3175="Técnico III",35,IF(C3175="Técnico II",28,IF(C3175="Técnico I",23,IF(C3175="JR",20,IF(C3175="Estágio",10,0))))),IF(C3175="Técnico III",SUMIFS($D:$D,$A:$A,$A3175,$B:$B,"&lt;&gt;Patrícia Karla de Sousa Araújo",$B:$B,"&lt;&gt;Lorena Dias de Araujo",$B:$B,"&lt;&gt;Lucas Luiz Romero")*(35/1083),IF(C3175="Técnico II",SUMIFS($D:$D,$A:$A,$A3175,$B:$B,"&lt;&gt;Patrícia Karla de Sousa Araújo",$B:$B,"&lt;&gt;Lorena Dias de Araujo",$B:$B,"&lt;&gt;Lucas Luiz Romero")*(28/1083),IF(C3175="Técnico I",SUMIFS($D:$D,$A:$A,$A3175,$B:$B,"&lt;&gt;Patrícia Karla de Sousa Araújo",$B:$B,"&lt;&gt;Lorena Dias de Araujo",$B:$B,"&lt;&gt;Lucas Luiz Romero")*(23/1083),IF(C3175="JR",SUMIFS($D:$D,$A:$A,$A3175,$B:$B,"&lt;&gt;Patrícia Karla de Sousa Araújo",$B:$B,"&lt;&gt;Lorena Dias de Araujo",$B:$B,"&lt;&gt;Lucas Luiz Romero")*(20/1083),IF(C3175="Estágio",SUMIFS($D:$D,$A:$A,$A3175,$B:$B,"&lt;&gt;Patrícia Karla de Sousa Araújo",$B:$B,"&lt;&gt;Lorena Dias de Araujo",$B:$B,"&lt;&gt;Lucas Luiz Romero")*(10/1083),0)))))),0)</f>
        <v/>
      </c>
      <c r="K3175" s="3">
        <f>I3175-J3175</f>
        <v/>
      </c>
      <c r="L3175" s="3">
        <f>IF(K3175&lt;-5,"CRÍTICO",IF(K3175&lt;0,"ATENÇÃO",IF(K3175&lt;=5,"OPORTUNO","MUITO BOM")))</f>
        <v/>
      </c>
      <c r="N3175" t="n">
        <v>96.81</v>
      </c>
      <c r="O3175" t="n">
        <v>32.36514522821577</v>
      </c>
    </row>
    <row r="3176" hidden="1">
      <c r="A3176" s="11" t="n">
        <v>46100</v>
      </c>
      <c r="B3176" t="inlineStr">
        <is>
          <t>Leandro de Souza Silva</t>
        </is>
      </c>
      <c r="C3176" t="inlineStr">
        <is>
          <t>JR</t>
        </is>
      </c>
      <c r="D3176" t="n">
        <v>13</v>
      </c>
      <c r="E3176" t="n">
        <v>13</v>
      </c>
      <c r="F3176" t="n">
        <v>40.06</v>
      </c>
      <c r="G3176" t="n">
        <v>0</v>
      </c>
      <c r="H3176" t="n">
        <v>0</v>
      </c>
      <c r="I3176" s="3">
        <f>E3176+G3176+H3176</f>
        <v/>
      </c>
      <c r="J3176" s="3">
        <f>ROUND(MIN(IF(C3176="Técnico III",35,IF(C3176="Técnico II",28,IF(C3176="Técnico I",23,IF(C3176="JR",20,IF(C3176="Estágio",10,0))))),IF(C3176="Técnico III",SUMIFS($D:$D,$A:$A,$A3176,$B:$B,"&lt;&gt;Patrícia Karla de Sousa Araújo",$B:$B,"&lt;&gt;Lorena Dias de Araujo",$B:$B,"&lt;&gt;Lucas Luiz Romero")*(35/1083),IF(C3176="Técnico II",SUMIFS($D:$D,$A:$A,$A3176,$B:$B,"&lt;&gt;Patrícia Karla de Sousa Araújo",$B:$B,"&lt;&gt;Lorena Dias de Araujo",$B:$B,"&lt;&gt;Lucas Luiz Romero")*(28/1083),IF(C3176="Técnico I",SUMIFS($D:$D,$A:$A,$A3176,$B:$B,"&lt;&gt;Patrícia Karla de Sousa Araújo",$B:$B,"&lt;&gt;Lorena Dias de Araujo",$B:$B,"&lt;&gt;Lucas Luiz Romero")*(23/1083),IF(C3176="JR",SUMIFS($D:$D,$A:$A,$A3176,$B:$B,"&lt;&gt;Patrícia Karla de Sousa Araújo",$B:$B,"&lt;&gt;Lorena Dias de Araujo",$B:$B,"&lt;&gt;Lucas Luiz Romero")*(20/1083),IF(C3176="Estágio",SUMIFS($D:$D,$A:$A,$A3176,$B:$B,"&lt;&gt;Patrícia Karla de Sousa Araújo",$B:$B,"&lt;&gt;Lorena Dias de Araujo",$B:$B,"&lt;&gt;Lucas Luiz Romero")*(10/1083),0)))))),0)</f>
        <v/>
      </c>
      <c r="K3176" s="3">
        <f>I3176-J3176</f>
        <v/>
      </c>
      <c r="L3176" s="3">
        <f>IF(K3176&lt;-5,"CRÍTICO",IF(K3176&lt;0,"ATENÇÃO",IF(K3176&lt;=5,"OPORTUNO","MUITO BOM")))</f>
        <v/>
      </c>
      <c r="N3176" t="n">
        <v>100</v>
      </c>
      <c r="O3176" t="n">
        <v>26.47058823529412</v>
      </c>
    </row>
    <row r="3177" hidden="1">
      <c r="A3177" s="11" t="n">
        <v>46100</v>
      </c>
      <c r="B3177" t="inlineStr">
        <is>
          <t>Leandro Oliveira de Sousa</t>
        </is>
      </c>
      <c r="C3177" t="inlineStr">
        <is>
          <t>Técnico III</t>
        </is>
      </c>
      <c r="D3177" t="n">
        <v>15</v>
      </c>
      <c r="E3177" t="n">
        <v>14</v>
      </c>
      <c r="F3177" t="n">
        <v>30.42</v>
      </c>
      <c r="G3177" t="n">
        <v>0</v>
      </c>
      <c r="H3177" t="n">
        <v>0</v>
      </c>
      <c r="I3177" s="3">
        <f>E3177+G3177+H3177</f>
        <v/>
      </c>
      <c r="J3177" s="3">
        <f>ROUND(MIN(IF(C3177="Técnico III",35,IF(C3177="Técnico II",28,IF(C3177="Técnico I",23,IF(C3177="JR",20,IF(C3177="Estágio",10,0))))),IF(C3177="Técnico III",SUMIFS($D:$D,$A:$A,$A3177,$B:$B,"&lt;&gt;Patrícia Karla de Sousa Araújo",$B:$B,"&lt;&gt;Lorena Dias de Araujo",$B:$B,"&lt;&gt;Lucas Luiz Romero")*(35/1083),IF(C3177="Técnico II",SUMIFS($D:$D,$A:$A,$A3177,$B:$B,"&lt;&gt;Patrícia Karla de Sousa Araújo",$B:$B,"&lt;&gt;Lorena Dias de Araujo",$B:$B,"&lt;&gt;Lucas Luiz Romero")*(28/1083),IF(C3177="Técnico I",SUMIFS($D:$D,$A:$A,$A3177,$B:$B,"&lt;&gt;Patrícia Karla de Sousa Araújo",$B:$B,"&lt;&gt;Lorena Dias de Araujo",$B:$B,"&lt;&gt;Lucas Luiz Romero")*(23/1083),IF(C3177="JR",SUMIFS($D:$D,$A:$A,$A3177,$B:$B,"&lt;&gt;Patrícia Karla de Sousa Araújo",$B:$B,"&lt;&gt;Lorena Dias de Araujo",$B:$B,"&lt;&gt;Lucas Luiz Romero")*(20/1083),IF(C3177="Estágio",SUMIFS($D:$D,$A:$A,$A3177,$B:$B,"&lt;&gt;Patrícia Karla de Sousa Araújo",$B:$B,"&lt;&gt;Lorena Dias de Araujo",$B:$B,"&lt;&gt;Lucas Luiz Romero")*(10/1083),0)))))),0)</f>
        <v/>
      </c>
      <c r="K3177" s="3">
        <f>I3177-J3177</f>
        <v/>
      </c>
      <c r="L3177" s="3">
        <f>IF(K3177&lt;-5,"CRÍTICO",IF(K3177&lt;0,"ATENÇÃO",IF(K3177&lt;=5,"OPORTUNO","MUITO BOM")))</f>
        <v/>
      </c>
      <c r="N3177" t="n">
        <v>100</v>
      </c>
      <c r="O3177" t="n">
        <v>28.49002849002849</v>
      </c>
    </row>
    <row r="3178" hidden="1">
      <c r="A3178" s="11" t="n">
        <v>46100</v>
      </c>
      <c r="B3178" t="inlineStr">
        <is>
          <t>Lizandra Gomes Duarte</t>
        </is>
      </c>
      <c r="C3178" t="inlineStr">
        <is>
          <t>Técnico II</t>
        </is>
      </c>
      <c r="D3178" t="n">
        <v>19</v>
      </c>
      <c r="E3178" t="n">
        <v>18</v>
      </c>
      <c r="F3178" t="n">
        <v>32.37</v>
      </c>
      <c r="G3178" t="n">
        <v>0</v>
      </c>
      <c r="H3178" t="n">
        <v>0</v>
      </c>
      <c r="I3178" s="3">
        <f>E3178+G3178+H3178</f>
        <v/>
      </c>
      <c r="J3178" s="3">
        <f>ROUND(MIN(IF(C3178="Técnico III",35,IF(C3178="Técnico II",28,IF(C3178="Técnico I",23,IF(C3178="JR",20,IF(C3178="Estágio",10,0))))),IF(C3178="Técnico III",SUMIFS($D:$D,$A:$A,$A3178,$B:$B,"&lt;&gt;Patrícia Karla de Sousa Araújo",$B:$B,"&lt;&gt;Lorena Dias de Araujo",$B:$B,"&lt;&gt;Lucas Luiz Romero")*(35/1083),IF(C3178="Técnico II",SUMIFS($D:$D,$A:$A,$A3178,$B:$B,"&lt;&gt;Patrícia Karla de Sousa Araújo",$B:$B,"&lt;&gt;Lorena Dias de Araujo",$B:$B,"&lt;&gt;Lucas Luiz Romero")*(28/1083),IF(C3178="Técnico I",SUMIFS($D:$D,$A:$A,$A3178,$B:$B,"&lt;&gt;Patrícia Karla de Sousa Araújo",$B:$B,"&lt;&gt;Lorena Dias de Araujo",$B:$B,"&lt;&gt;Lucas Luiz Romero")*(23/1083),IF(C3178="JR",SUMIFS($D:$D,$A:$A,$A3178,$B:$B,"&lt;&gt;Patrícia Karla de Sousa Araújo",$B:$B,"&lt;&gt;Lorena Dias de Araujo",$B:$B,"&lt;&gt;Lucas Luiz Romero")*(20/1083),IF(C3178="Estágio",SUMIFS($D:$D,$A:$A,$A3178,$B:$B,"&lt;&gt;Patrícia Karla de Sousa Araújo",$B:$B,"&lt;&gt;Lorena Dias de Araujo",$B:$B,"&lt;&gt;Lucas Luiz Romero")*(10/1083),0)))))),0)</f>
        <v/>
      </c>
      <c r="K3178" s="3">
        <f>I3178-J3178</f>
        <v/>
      </c>
      <c r="L3178" s="3">
        <f>IF(K3178&lt;-5,"CRÍTICO",IF(K3178&lt;0,"ATENÇÃO",IF(K3178&lt;=5,"OPORTUNO","MUITO BOM")))</f>
        <v/>
      </c>
      <c r="N3178" t="n">
        <v>99.14</v>
      </c>
      <c r="O3178" t="n">
        <v>27.2289156626506</v>
      </c>
    </row>
    <row r="3179" hidden="1">
      <c r="A3179" s="11" t="n">
        <v>46100</v>
      </c>
      <c r="B3179" t="inlineStr">
        <is>
          <t>Lorena Dias de Araujo</t>
        </is>
      </c>
      <c r="C3179" t="inlineStr">
        <is>
          <t>Técnico II</t>
        </is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s="3" t="n">
        <v>0</v>
      </c>
      <c r="J3179" s="3" t="n">
        <v>0</v>
      </c>
      <c r="K3179" s="3" t="n">
        <v>0</v>
      </c>
      <c r="L3179" s="3">
        <f>IF(K3179&lt;-5,"CRÍTICO",IF(K3179&lt;0,"ATENÇÃO",IF(K3179&lt;=5,"OPORTUNO","MUITO BOM")))</f>
        <v/>
      </c>
      <c r="N3179" t="n">
        <v>97.52</v>
      </c>
      <c r="O3179" t="n">
        <v>28.2051282051282</v>
      </c>
    </row>
    <row r="3180" hidden="1">
      <c r="A3180" s="11" t="n">
        <v>46100</v>
      </c>
      <c r="B3180" t="inlineStr">
        <is>
          <t>Lucas Luiz Romero</t>
        </is>
      </c>
      <c r="C3180" t="inlineStr">
        <is>
          <t>Técnico III</t>
        </is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s="3" t="n">
        <v>0</v>
      </c>
      <c r="J3180" s="3" t="n">
        <v>0</v>
      </c>
      <c r="K3180" s="3" t="n">
        <v>0</v>
      </c>
      <c r="L3180" s="3">
        <f>IF(K3180&lt;-5,"CRÍTICO",IF(K3180&lt;0,"ATENÇÃO",IF(K3180&lt;=5,"OPORTUNO","MUITO BOM")))</f>
        <v/>
      </c>
      <c r="N3180" t="n">
        <v>90</v>
      </c>
      <c r="O3180" t="n">
        <v>24.18604651162791</v>
      </c>
    </row>
    <row r="3181" hidden="1">
      <c r="A3181" s="11" t="n">
        <v>46100</v>
      </c>
      <c r="B3181" t="inlineStr">
        <is>
          <t>Luiz Fernando de Carvalho Junior</t>
        </is>
      </c>
      <c r="C3181" t="inlineStr">
        <is>
          <t>Técnico I</t>
        </is>
      </c>
      <c r="D3181" t="n">
        <v>18</v>
      </c>
      <c r="E3181" t="n">
        <v>17</v>
      </c>
      <c r="F3181" t="n">
        <v>25.47</v>
      </c>
      <c r="G3181" t="n">
        <v>0</v>
      </c>
      <c r="H3181" t="n">
        <v>0</v>
      </c>
      <c r="I3181" s="3">
        <f>E3181+G3181+H3181</f>
        <v/>
      </c>
      <c r="J3181" s="3">
        <f>ROUND(MIN(IF(C3181="Técnico III",35,IF(C3181="Técnico II",28,IF(C3181="Técnico I",23,IF(C3181="JR",20,IF(C3181="Estágio",10,0))))),IF(C3181="Técnico III",SUMIFS($D:$D,$A:$A,$A3181,$B:$B,"&lt;&gt;Patrícia Karla de Sousa Araújo",$B:$B,"&lt;&gt;Lorena Dias de Araujo",$B:$B,"&lt;&gt;Lucas Luiz Romero")*(35/1083),IF(C3181="Técnico II",SUMIFS($D:$D,$A:$A,$A3181,$B:$B,"&lt;&gt;Patrícia Karla de Sousa Araújo",$B:$B,"&lt;&gt;Lorena Dias de Araujo",$B:$B,"&lt;&gt;Lucas Luiz Romero")*(28/1083),IF(C3181="Técnico I",SUMIFS($D:$D,$A:$A,$A3181,$B:$B,"&lt;&gt;Patrícia Karla de Sousa Araújo",$B:$B,"&lt;&gt;Lorena Dias de Araujo",$B:$B,"&lt;&gt;Lucas Luiz Romero")*(23/1083),IF(C3181="JR",SUMIFS($D:$D,$A:$A,$A3181,$B:$B,"&lt;&gt;Patrícia Karla de Sousa Araújo",$B:$B,"&lt;&gt;Lorena Dias de Araujo",$B:$B,"&lt;&gt;Lucas Luiz Romero")*(20/1083),IF(C3181="Estágio",SUMIFS($D:$D,$A:$A,$A3181,$B:$B,"&lt;&gt;Patrícia Karla de Sousa Araújo",$B:$B,"&lt;&gt;Lorena Dias de Araujo",$B:$B,"&lt;&gt;Lucas Luiz Romero")*(10/1083),0)))))),0)</f>
        <v/>
      </c>
      <c r="K3181" s="3">
        <f>I3181-J3181</f>
        <v/>
      </c>
      <c r="L3181" s="3">
        <f>IF(K3181&lt;-5,"CRÍTICO",IF(K3181&lt;0,"ATENÇÃO",IF(K3181&lt;=5,"OPORTUNO","MUITO BOM")))</f>
        <v/>
      </c>
      <c r="N3181" t="n">
        <v>98.90000000000001</v>
      </c>
      <c r="O3181" t="n">
        <v>26.7639902676399</v>
      </c>
    </row>
    <row r="3182" hidden="1">
      <c r="A3182" s="11" t="n">
        <v>46100</v>
      </c>
      <c r="B3182" t="inlineStr">
        <is>
          <t>Maria Eduarda Sousa Costa</t>
        </is>
      </c>
      <c r="C3182" t="inlineStr">
        <is>
          <t>Estágio</t>
        </is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s="3" t="n">
        <v>0</v>
      </c>
      <c r="J3182" s="3" t="n">
        <v>0</v>
      </c>
      <c r="K3182" s="3" t="n">
        <v>0</v>
      </c>
      <c r="L3182" s="3">
        <f>IF(K3182&lt;-5,"CRÍTICO",IF(K3182&lt;0,"ATENÇÃO",IF(K3182&lt;=5,"OPORTUNO","MUITO BOM")))</f>
        <v/>
      </c>
      <c r="N3182" t="n">
        <v>88.89</v>
      </c>
      <c r="O3182" t="n">
        <v>25.26315789473684</v>
      </c>
    </row>
    <row r="3183" hidden="1">
      <c r="A3183" s="11" t="n">
        <v>46100</v>
      </c>
      <c r="B3183" t="inlineStr">
        <is>
          <t>Matheus Farias De Souza</t>
        </is>
      </c>
      <c r="C3183" t="inlineStr">
        <is>
          <t>Técnico III</t>
        </is>
      </c>
      <c r="D3183" t="n">
        <v>34</v>
      </c>
      <c r="E3183" t="n">
        <v>30</v>
      </c>
      <c r="F3183" t="n">
        <v>20.07</v>
      </c>
      <c r="G3183" t="n">
        <v>0</v>
      </c>
      <c r="H3183" t="n">
        <v>0</v>
      </c>
      <c r="I3183" s="3">
        <f>E3183+G3183+H3183</f>
        <v/>
      </c>
      <c r="J3183" s="3">
        <f>ROUND(MIN(IF(C3183="Técnico III",35,IF(C3183="Técnico II",28,IF(C3183="Técnico I",23,IF(C3183="JR",20,IF(C3183="Estágio",10,0))))),IF(C3183="Técnico III",SUMIFS($D:$D,$A:$A,$A3183,$B:$B,"&lt;&gt;Patrícia Karla de Sousa Araújo",$B:$B,"&lt;&gt;Lorena Dias de Araujo",$B:$B,"&lt;&gt;Lucas Luiz Romero")*(35/1083),IF(C3183="Técnico II",SUMIFS($D:$D,$A:$A,$A3183,$B:$B,"&lt;&gt;Patrícia Karla de Sousa Araújo",$B:$B,"&lt;&gt;Lorena Dias de Araujo",$B:$B,"&lt;&gt;Lucas Luiz Romero")*(28/1083),IF(C3183="Técnico I",SUMIFS($D:$D,$A:$A,$A3183,$B:$B,"&lt;&gt;Patrícia Karla de Sousa Araújo",$B:$B,"&lt;&gt;Lorena Dias de Araujo",$B:$B,"&lt;&gt;Lucas Luiz Romero")*(23/1083),IF(C3183="JR",SUMIFS($D:$D,$A:$A,$A3183,$B:$B,"&lt;&gt;Patrícia Karla de Sousa Araújo",$B:$B,"&lt;&gt;Lorena Dias de Araujo",$B:$B,"&lt;&gt;Lucas Luiz Romero")*(20/1083),IF(C3183="Estágio",SUMIFS($D:$D,$A:$A,$A3183,$B:$B,"&lt;&gt;Patrícia Karla de Sousa Araújo",$B:$B,"&lt;&gt;Lorena Dias de Araujo",$B:$B,"&lt;&gt;Lucas Luiz Romero")*(10/1083),0)))))),0)</f>
        <v/>
      </c>
      <c r="K3183" s="3">
        <f>I3183-J3183</f>
        <v/>
      </c>
      <c r="L3183" s="3">
        <f>IF(K3183&lt;-5,"CRÍTICO",IF(K3183&lt;0,"ATENÇÃO",IF(K3183&lt;=5,"OPORTUNO","MUITO BOM")))</f>
        <v/>
      </c>
      <c r="N3183" t="n">
        <v>98.86</v>
      </c>
      <c r="O3183" t="n">
        <v>28.95927601809955</v>
      </c>
    </row>
    <row r="3184" hidden="1">
      <c r="A3184" s="11" t="n">
        <v>46100</v>
      </c>
      <c r="B3184" t="inlineStr">
        <is>
          <t>Maysa Victoria Dias Moura</t>
        </is>
      </c>
      <c r="C3184" t="inlineStr">
        <is>
          <t>Técnico III</t>
        </is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s="3" t="n">
        <v>0</v>
      </c>
      <c r="J3184" s="3" t="n">
        <v>0</v>
      </c>
      <c r="K3184" s="3" t="n">
        <v>0</v>
      </c>
      <c r="L3184" s="3">
        <f>IF(K3184&lt;-5,"CRÍTICO",IF(K3184&lt;0,"ATENÇÃO",IF(K3184&lt;=5,"OPORTUNO","MUITO BOM")))</f>
        <v/>
      </c>
      <c r="N3184" t="n">
        <v>98.06</v>
      </c>
      <c r="O3184" t="n">
        <v>22.40566037735849</v>
      </c>
    </row>
    <row r="3185" hidden="1">
      <c r="A3185" s="11" t="n">
        <v>46100</v>
      </c>
      <c r="B3185" t="inlineStr">
        <is>
          <t>Michelle G Santos</t>
        </is>
      </c>
      <c r="C3185" t="inlineStr">
        <is>
          <t>Estágio</t>
        </is>
      </c>
      <c r="D3185" t="n">
        <v>6</v>
      </c>
      <c r="E3185" t="n">
        <v>6</v>
      </c>
      <c r="F3185" t="n">
        <v>48.35</v>
      </c>
      <c r="G3185" t="n">
        <v>0</v>
      </c>
      <c r="H3185" t="n">
        <v>0</v>
      </c>
      <c r="I3185" s="3">
        <f>E3185+G3185+H3185</f>
        <v/>
      </c>
      <c r="J3185" s="3">
        <f>ROUND(MIN(IF(C3185="Técnico III",35,IF(C3185="Técnico II",28,IF(C3185="Técnico I",23,IF(C3185="JR",20,IF(C3185="Estágio",10,0))))),IF(C3185="Técnico III",SUMIFS($D:$D,$A:$A,$A3185,$B:$B,"&lt;&gt;Patrícia Karla de Sousa Araújo",$B:$B,"&lt;&gt;Lorena Dias de Araujo",$B:$B,"&lt;&gt;Lucas Luiz Romero")*(35/1083),IF(C3185="Técnico II",SUMIFS($D:$D,$A:$A,$A3185,$B:$B,"&lt;&gt;Patrícia Karla de Sousa Araújo",$B:$B,"&lt;&gt;Lorena Dias de Araujo",$B:$B,"&lt;&gt;Lucas Luiz Romero")*(28/1083),IF(C3185="Técnico I",SUMIFS($D:$D,$A:$A,$A3185,$B:$B,"&lt;&gt;Patrícia Karla de Sousa Araújo",$B:$B,"&lt;&gt;Lorena Dias de Araujo",$B:$B,"&lt;&gt;Lucas Luiz Romero")*(23/1083),IF(C3185="JR",SUMIFS($D:$D,$A:$A,$A3185,$B:$B,"&lt;&gt;Patrícia Karla de Sousa Araújo",$B:$B,"&lt;&gt;Lorena Dias de Araujo",$B:$B,"&lt;&gt;Lucas Luiz Romero")*(20/1083),IF(C3185="Estágio",SUMIFS($D:$D,$A:$A,$A3185,$B:$B,"&lt;&gt;Patrícia Karla de Sousa Araújo",$B:$B,"&lt;&gt;Lorena Dias de Araujo",$B:$B,"&lt;&gt;Lucas Luiz Romero")*(10/1083),0)))))),0)</f>
        <v/>
      </c>
      <c r="K3185" s="3">
        <f>I3185-J3185</f>
        <v/>
      </c>
      <c r="L3185" s="3">
        <f>IF(K3185&lt;-5,"CRÍTICO",IF(K3185&lt;0,"ATENÇÃO",IF(K3185&lt;=5,"OPORTUNO","MUITO BOM")))</f>
        <v/>
      </c>
      <c r="N3185" t="n">
        <v>95.83</v>
      </c>
      <c r="O3185" t="n">
        <v>25.77319587628866</v>
      </c>
    </row>
    <row r="3186" hidden="1">
      <c r="A3186" s="11" t="n">
        <v>46100</v>
      </c>
      <c r="B3186" t="inlineStr">
        <is>
          <t>Milena Sales</t>
        </is>
      </c>
      <c r="C3186" t="inlineStr">
        <is>
          <t>JR</t>
        </is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s="3" t="n">
        <v>0</v>
      </c>
      <c r="J3186" s="3" t="n">
        <v>0</v>
      </c>
      <c r="K3186" s="3" t="n">
        <v>0</v>
      </c>
      <c r="L3186" s="3">
        <f>IF(K3186&lt;-5,"CRÍTICO",IF(K3186&lt;0,"ATENÇÃO",IF(K3186&lt;=5,"OPORTUNO","MUITO BOM")))</f>
        <v/>
      </c>
      <c r="N3186" t="n">
        <v>100</v>
      </c>
      <c r="O3186" t="n">
        <v>15.38461538461539</v>
      </c>
    </row>
    <row r="3187" hidden="1">
      <c r="A3187" s="11" t="n">
        <v>46100</v>
      </c>
      <c r="B3187" t="inlineStr">
        <is>
          <t>Patrícia Karla de Sousa Araújo</t>
        </is>
      </c>
      <c r="C3187" t="inlineStr">
        <is>
          <t>Técnico II</t>
        </is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s="3" t="n">
        <v>0</v>
      </c>
      <c r="J3187" s="3" t="n">
        <v>0</v>
      </c>
      <c r="K3187" s="3" t="n">
        <v>0</v>
      </c>
      <c r="L3187" s="3">
        <f>IF(K3187&lt;-5,"CRÍTICO",IF(K3187&lt;0,"ATENÇÃO",IF(K3187&lt;=5,"OPORTUNO","MUITO BOM")))</f>
        <v/>
      </c>
      <c r="N3187" t="n">
        <v>100</v>
      </c>
      <c r="O3187" t="n">
        <v>27.51479289940828</v>
      </c>
    </row>
    <row r="3188" hidden="1">
      <c r="A3188" s="11" t="n">
        <v>46100</v>
      </c>
      <c r="B3188" t="inlineStr">
        <is>
          <t>Paulo Ricardo Santos</t>
        </is>
      </c>
      <c r="C3188" t="inlineStr">
        <is>
          <t>JR</t>
        </is>
      </c>
      <c r="D3188" t="n">
        <v>12</v>
      </c>
      <c r="E3188" t="n">
        <v>12</v>
      </c>
      <c r="F3188" t="n">
        <v>27.16</v>
      </c>
      <c r="G3188" t="n">
        <v>0</v>
      </c>
      <c r="H3188" t="n">
        <v>0</v>
      </c>
      <c r="I3188" s="3">
        <f>E3188+G3188+H3188</f>
        <v/>
      </c>
      <c r="J3188" s="3">
        <f>ROUND(MIN(IF(C3188="Técnico III",35,IF(C3188="Técnico II",28,IF(C3188="Técnico I",23,IF(C3188="JR",20,IF(C3188="Estágio",10,0))))),IF(C3188="Técnico III",SUMIFS($D:$D,$A:$A,$A3188,$B:$B,"&lt;&gt;Patrícia Karla de Sousa Araújo",$B:$B,"&lt;&gt;Lorena Dias de Araujo",$B:$B,"&lt;&gt;Lucas Luiz Romero")*(35/1083),IF(C3188="Técnico II",SUMIFS($D:$D,$A:$A,$A3188,$B:$B,"&lt;&gt;Patrícia Karla de Sousa Araújo",$B:$B,"&lt;&gt;Lorena Dias de Araujo",$B:$B,"&lt;&gt;Lucas Luiz Romero")*(28/1083),IF(C3188="Técnico I",SUMIFS($D:$D,$A:$A,$A3188,$B:$B,"&lt;&gt;Patrícia Karla de Sousa Araújo",$B:$B,"&lt;&gt;Lorena Dias de Araujo",$B:$B,"&lt;&gt;Lucas Luiz Romero")*(23/1083),IF(C3188="JR",SUMIFS($D:$D,$A:$A,$A3188,$B:$B,"&lt;&gt;Patrícia Karla de Sousa Araújo",$B:$B,"&lt;&gt;Lorena Dias de Araujo",$B:$B,"&lt;&gt;Lucas Luiz Romero")*(20/1083),IF(C3188="Estágio",SUMIFS($D:$D,$A:$A,$A3188,$B:$B,"&lt;&gt;Patrícia Karla de Sousa Araújo",$B:$B,"&lt;&gt;Lorena Dias de Araujo",$B:$B,"&lt;&gt;Lucas Luiz Romero")*(10/1083),0)))))),0)</f>
        <v/>
      </c>
      <c r="K3188" s="3">
        <f>I3188-J3188</f>
        <v/>
      </c>
      <c r="L3188" s="3">
        <f>IF(K3188&lt;-5,"CRÍTICO",IF(K3188&lt;0,"ATENÇÃO",IF(K3188&lt;=5,"OPORTUNO","MUITO BOM")))</f>
        <v/>
      </c>
      <c r="N3188" t="n">
        <v>100</v>
      </c>
      <c r="O3188" t="n">
        <v>24.87562189054727</v>
      </c>
    </row>
    <row r="3189" hidden="1">
      <c r="A3189" s="11" t="n">
        <v>46100</v>
      </c>
      <c r="B3189" t="inlineStr">
        <is>
          <t>Pedro Luiz Mota Sousa</t>
        </is>
      </c>
      <c r="C3189" t="inlineStr">
        <is>
          <t>JR</t>
        </is>
      </c>
      <c r="D3189" t="n">
        <v>8</v>
      </c>
      <c r="E3189" t="n">
        <v>8</v>
      </c>
      <c r="F3189" t="n">
        <v>52.08</v>
      </c>
      <c r="G3189" t="n">
        <v>0</v>
      </c>
      <c r="H3189" t="n">
        <v>0</v>
      </c>
      <c r="I3189" s="3">
        <f>E3189+G3189+H3189</f>
        <v/>
      </c>
      <c r="J3189" s="3">
        <f>ROUND(MIN(IF(C3189="Técnico III",35,IF(C3189="Técnico II",28,IF(C3189="Técnico I",23,IF(C3189="JR",20,IF(C3189="Estágio",10,0))))),IF(C3189="Técnico III",SUMIFS($D:$D,$A:$A,$A3189,$B:$B,"&lt;&gt;Patrícia Karla de Sousa Araújo",$B:$B,"&lt;&gt;Lorena Dias de Araujo",$B:$B,"&lt;&gt;Lucas Luiz Romero")*(35/1083),IF(C3189="Técnico II",SUMIFS($D:$D,$A:$A,$A3189,$B:$B,"&lt;&gt;Patrícia Karla de Sousa Araújo",$B:$B,"&lt;&gt;Lorena Dias de Araujo",$B:$B,"&lt;&gt;Lucas Luiz Romero")*(28/1083),IF(C3189="Técnico I",SUMIFS($D:$D,$A:$A,$A3189,$B:$B,"&lt;&gt;Patrícia Karla de Sousa Araújo",$B:$B,"&lt;&gt;Lorena Dias de Araujo",$B:$B,"&lt;&gt;Lucas Luiz Romero")*(23/1083),IF(C3189="JR",SUMIFS($D:$D,$A:$A,$A3189,$B:$B,"&lt;&gt;Patrícia Karla de Sousa Araújo",$B:$B,"&lt;&gt;Lorena Dias de Araujo",$B:$B,"&lt;&gt;Lucas Luiz Romero")*(20/1083),IF(C3189="Estágio",SUMIFS($D:$D,$A:$A,$A3189,$B:$B,"&lt;&gt;Patrícia Karla de Sousa Araújo",$B:$B,"&lt;&gt;Lorena Dias de Araujo",$B:$B,"&lt;&gt;Lucas Luiz Romero")*(10/1083),0)))))),0)</f>
        <v/>
      </c>
      <c r="K3189" s="3">
        <f>I3189-J3189</f>
        <v/>
      </c>
      <c r="L3189" s="3">
        <f>IF(K3189&lt;-5,"CRÍTICO",IF(K3189&lt;0,"ATENÇÃO",IF(K3189&lt;=5,"OPORTUNO","MUITO BOM")))</f>
        <v/>
      </c>
      <c r="N3189" t="n">
        <v>100</v>
      </c>
      <c r="O3189" t="n">
        <v>28.10810810810811</v>
      </c>
    </row>
    <row r="3190" hidden="1">
      <c r="A3190" s="11" t="n">
        <v>46100</v>
      </c>
      <c r="B3190" t="inlineStr">
        <is>
          <t>Quirino Diogo Leite Torres</t>
        </is>
      </c>
      <c r="C3190" t="inlineStr">
        <is>
          <t>Estágio</t>
        </is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s="3" t="n">
        <v>0</v>
      </c>
      <c r="J3190" s="3" t="n">
        <v>0</v>
      </c>
      <c r="K3190" s="3" t="n">
        <v>0</v>
      </c>
      <c r="L3190" s="3">
        <f>IF(K3190&lt;-5,"CRÍTICO",IF(K3190&lt;0,"ATENÇÃO",IF(K3190&lt;=5,"OPORTUNO","MUITO BOM")))</f>
        <v/>
      </c>
      <c r="N3190" t="n">
        <v>100</v>
      </c>
      <c r="O3190" t="n">
        <v>35</v>
      </c>
    </row>
    <row r="3191" hidden="1">
      <c r="A3191" s="11" t="n">
        <v>46100</v>
      </c>
      <c r="B3191" t="inlineStr">
        <is>
          <t>Raane Batista Matos</t>
        </is>
      </c>
      <c r="C3191" t="inlineStr">
        <is>
          <t>Técnico I</t>
        </is>
      </c>
      <c r="D3191" t="n">
        <v>26</v>
      </c>
      <c r="E3191" t="n">
        <v>25</v>
      </c>
      <c r="F3191" t="n">
        <v>25.22</v>
      </c>
      <c r="G3191" t="n">
        <v>0</v>
      </c>
      <c r="H3191" t="n">
        <v>0</v>
      </c>
      <c r="I3191" s="3">
        <f>E3191+G3191+H3191</f>
        <v/>
      </c>
      <c r="J3191" s="3">
        <f>ROUND(MIN(IF(C3191="Técnico III",35,IF(C3191="Técnico II",28,IF(C3191="Técnico I",23,IF(C3191="JR",20,IF(C3191="Estágio",10,0))))),IF(C3191="Técnico III",SUMIFS($D:$D,$A:$A,$A3191,$B:$B,"&lt;&gt;Patrícia Karla de Sousa Araújo",$B:$B,"&lt;&gt;Lorena Dias de Araujo",$B:$B,"&lt;&gt;Lucas Luiz Romero")*(35/1083),IF(C3191="Técnico II",SUMIFS($D:$D,$A:$A,$A3191,$B:$B,"&lt;&gt;Patrícia Karla de Sousa Araújo",$B:$B,"&lt;&gt;Lorena Dias de Araujo",$B:$B,"&lt;&gt;Lucas Luiz Romero")*(28/1083),IF(C3191="Técnico I",SUMIFS($D:$D,$A:$A,$A3191,$B:$B,"&lt;&gt;Patrícia Karla de Sousa Araújo",$B:$B,"&lt;&gt;Lorena Dias de Araujo",$B:$B,"&lt;&gt;Lucas Luiz Romero")*(23/1083),IF(C3191="JR",SUMIFS($D:$D,$A:$A,$A3191,$B:$B,"&lt;&gt;Patrícia Karla de Sousa Araújo",$B:$B,"&lt;&gt;Lorena Dias de Araujo",$B:$B,"&lt;&gt;Lucas Luiz Romero")*(20/1083),IF(C3191="Estágio",SUMIFS($D:$D,$A:$A,$A3191,$B:$B,"&lt;&gt;Patrícia Karla de Sousa Araújo",$B:$B,"&lt;&gt;Lorena Dias de Araujo",$B:$B,"&lt;&gt;Lucas Luiz Romero")*(10/1083),0)))))),0)</f>
        <v/>
      </c>
      <c r="K3191" s="3">
        <f>I3191-J3191</f>
        <v/>
      </c>
      <c r="L3191" s="3">
        <f>IF(K3191&lt;-5,"CRÍTICO",IF(K3191&lt;0,"ATENÇÃO",IF(K3191&lt;=5,"OPORTUNO","MUITO BOM")))</f>
        <v/>
      </c>
      <c r="N3191" t="n">
        <v>95.34999999999999</v>
      </c>
      <c r="O3191" t="n">
        <v>28.61538461538461</v>
      </c>
    </row>
    <row r="3192" hidden="1">
      <c r="A3192" s="11" t="n">
        <v>46100</v>
      </c>
      <c r="B3192" t="inlineStr">
        <is>
          <t>Rafael Gomes de Morais</t>
        </is>
      </c>
      <c r="C3192" t="inlineStr">
        <is>
          <t>Técnico III</t>
        </is>
      </c>
      <c r="D3192" t="n">
        <v>43</v>
      </c>
      <c r="E3192" t="n">
        <v>38</v>
      </c>
      <c r="F3192" t="n">
        <v>12.18</v>
      </c>
      <c r="G3192" t="n">
        <v>0</v>
      </c>
      <c r="H3192" t="n">
        <v>0</v>
      </c>
      <c r="I3192" s="3">
        <f>E3192+G3192+H3192</f>
        <v/>
      </c>
      <c r="J3192" s="3">
        <f>ROUND(MIN(IF(C3192="Técnico III",35,IF(C3192="Técnico II",28,IF(C3192="Técnico I",23,IF(C3192="JR",20,IF(C3192="Estágio",10,0))))),IF(C3192="Técnico III",SUMIFS($D:$D,$A:$A,$A3192,$B:$B,"&lt;&gt;Patrícia Karla de Sousa Araújo",$B:$B,"&lt;&gt;Lorena Dias de Araujo",$B:$B,"&lt;&gt;Lucas Luiz Romero")*(35/1083),IF(C3192="Técnico II",SUMIFS($D:$D,$A:$A,$A3192,$B:$B,"&lt;&gt;Patrícia Karla de Sousa Araújo",$B:$B,"&lt;&gt;Lorena Dias de Araujo",$B:$B,"&lt;&gt;Lucas Luiz Romero")*(28/1083),IF(C3192="Técnico I",SUMIFS($D:$D,$A:$A,$A3192,$B:$B,"&lt;&gt;Patrícia Karla de Sousa Araújo",$B:$B,"&lt;&gt;Lorena Dias de Araujo",$B:$B,"&lt;&gt;Lucas Luiz Romero")*(23/1083),IF(C3192="JR",SUMIFS($D:$D,$A:$A,$A3192,$B:$B,"&lt;&gt;Patrícia Karla de Sousa Araújo",$B:$B,"&lt;&gt;Lorena Dias de Araujo",$B:$B,"&lt;&gt;Lucas Luiz Romero")*(20/1083),IF(C3192="Estágio",SUMIFS($D:$D,$A:$A,$A3192,$B:$B,"&lt;&gt;Patrícia Karla de Sousa Araújo",$B:$B,"&lt;&gt;Lorena Dias de Araujo",$B:$B,"&lt;&gt;Lucas Luiz Romero")*(10/1083),0)))))),0)</f>
        <v/>
      </c>
      <c r="K3192" s="3">
        <f>I3192-J3192</f>
        <v/>
      </c>
      <c r="L3192" s="3">
        <f>IF(K3192&lt;-5,"CRÍTICO",IF(K3192&lt;0,"ATENÇÃO",IF(K3192&lt;=5,"OPORTUNO","MUITO BOM")))</f>
        <v/>
      </c>
      <c r="N3192" t="n">
        <v>98.26000000000001</v>
      </c>
      <c r="O3192" t="n">
        <v>27.54491017964072</v>
      </c>
    </row>
    <row r="3193" hidden="1">
      <c r="A3193" s="11" t="n">
        <v>46100</v>
      </c>
      <c r="B3193" t="inlineStr">
        <is>
          <t>Sara Maria Monteiro Lopes</t>
        </is>
      </c>
      <c r="C3193" t="inlineStr">
        <is>
          <t>Técnico I</t>
        </is>
      </c>
      <c r="D3193" t="n">
        <v>17</v>
      </c>
      <c r="E3193" t="n">
        <v>17</v>
      </c>
      <c r="F3193" t="n">
        <v>32.04</v>
      </c>
      <c r="G3193" t="n">
        <v>0</v>
      </c>
      <c r="H3193" t="n">
        <v>0</v>
      </c>
      <c r="I3193" s="3">
        <f>E3193+G3193+H3193</f>
        <v/>
      </c>
      <c r="J3193" s="3">
        <f>ROUND(MIN(IF(C3193="Técnico III",35,IF(C3193="Técnico II",28,IF(C3193="Técnico I",23,IF(C3193="JR",20,IF(C3193="Estágio",10,0))))),IF(C3193="Técnico III",SUMIFS($D:$D,$A:$A,$A3193,$B:$B,"&lt;&gt;Patrícia Karla de Sousa Araújo",$B:$B,"&lt;&gt;Lorena Dias de Araujo",$B:$B,"&lt;&gt;Lucas Luiz Romero")*(35/1083),IF(C3193="Técnico II",SUMIFS($D:$D,$A:$A,$A3193,$B:$B,"&lt;&gt;Patrícia Karla de Sousa Araújo",$B:$B,"&lt;&gt;Lorena Dias de Araujo",$B:$B,"&lt;&gt;Lucas Luiz Romero")*(28/1083),IF(C3193="Técnico I",SUMIFS($D:$D,$A:$A,$A3193,$B:$B,"&lt;&gt;Patrícia Karla de Sousa Araújo",$B:$B,"&lt;&gt;Lorena Dias de Araujo",$B:$B,"&lt;&gt;Lucas Luiz Romero")*(23/1083),IF(C3193="JR",SUMIFS($D:$D,$A:$A,$A3193,$B:$B,"&lt;&gt;Patrícia Karla de Sousa Araújo",$B:$B,"&lt;&gt;Lorena Dias de Araujo",$B:$B,"&lt;&gt;Lucas Luiz Romero")*(20/1083),IF(C3193="Estágio",SUMIFS($D:$D,$A:$A,$A3193,$B:$B,"&lt;&gt;Patrícia Karla de Sousa Araújo",$B:$B,"&lt;&gt;Lorena Dias de Araujo",$B:$B,"&lt;&gt;Lucas Luiz Romero")*(10/1083),0)))))),0)</f>
        <v/>
      </c>
      <c r="K3193" s="3">
        <f>I3193-J3193</f>
        <v/>
      </c>
      <c r="L3193" s="3">
        <f>IF(K3193&lt;-5,"CRÍTICO",IF(K3193&lt;0,"ATENÇÃO",IF(K3193&lt;=5,"OPORTUNO","MUITO BOM")))</f>
        <v/>
      </c>
      <c r="N3193" t="n">
        <v>98.55</v>
      </c>
      <c r="O3193" t="n">
        <v>25.33783783783784</v>
      </c>
    </row>
    <row r="3194" hidden="1">
      <c r="A3194" s="11" t="n">
        <v>46100</v>
      </c>
      <c r="B3194" t="inlineStr">
        <is>
          <t>Sarah Steffanie de Lima Borges</t>
        </is>
      </c>
      <c r="C3194" t="inlineStr">
        <is>
          <t>Técnico III</t>
        </is>
      </c>
      <c r="D3194" t="n">
        <v>29</v>
      </c>
      <c r="E3194" t="n">
        <v>27</v>
      </c>
      <c r="F3194" t="n">
        <v>22.19</v>
      </c>
      <c r="G3194" t="n">
        <v>0</v>
      </c>
      <c r="H3194" t="n">
        <v>0</v>
      </c>
      <c r="I3194" s="3">
        <f>E3194+G3194+H3194</f>
        <v/>
      </c>
      <c r="J3194" s="3">
        <f>ROUND(MIN(IF(C3194="Técnico III",35,IF(C3194="Técnico II",28,IF(C3194="Técnico I",23,IF(C3194="JR",20,IF(C3194="Estágio",10,0))))),IF(C3194="Técnico III",SUMIFS($D:$D,$A:$A,$A3194,$B:$B,"&lt;&gt;Patrícia Karla de Sousa Araújo",$B:$B,"&lt;&gt;Lorena Dias de Araujo",$B:$B,"&lt;&gt;Lucas Luiz Romero")*(35/1083),IF(C3194="Técnico II",SUMIFS($D:$D,$A:$A,$A3194,$B:$B,"&lt;&gt;Patrícia Karla de Sousa Araújo",$B:$B,"&lt;&gt;Lorena Dias de Araujo",$B:$B,"&lt;&gt;Lucas Luiz Romero")*(28/1083),IF(C3194="Técnico I",SUMIFS($D:$D,$A:$A,$A3194,$B:$B,"&lt;&gt;Patrícia Karla de Sousa Araújo",$B:$B,"&lt;&gt;Lorena Dias de Araujo",$B:$B,"&lt;&gt;Lucas Luiz Romero")*(23/1083),IF(C3194="JR",SUMIFS($D:$D,$A:$A,$A3194,$B:$B,"&lt;&gt;Patrícia Karla de Sousa Araújo",$B:$B,"&lt;&gt;Lorena Dias de Araujo",$B:$B,"&lt;&gt;Lucas Luiz Romero")*(20/1083),IF(C3194="Estágio",SUMIFS($D:$D,$A:$A,$A3194,$B:$B,"&lt;&gt;Patrícia Karla de Sousa Araújo",$B:$B,"&lt;&gt;Lorena Dias de Araujo",$B:$B,"&lt;&gt;Lucas Luiz Romero")*(10/1083),0)))))),0)</f>
        <v/>
      </c>
      <c r="K3194" s="3">
        <f>I3194-J3194</f>
        <v/>
      </c>
      <c r="L3194" s="3">
        <f>IF(K3194&lt;-5,"CRÍTICO",IF(K3194&lt;0,"ATENÇÃO",IF(K3194&lt;=5,"OPORTUNO","MUITO BOM")))</f>
        <v/>
      </c>
      <c r="N3194" t="n">
        <v>98.39</v>
      </c>
      <c r="O3194" t="n">
        <v>25.56390977443609</v>
      </c>
    </row>
    <row r="3195" hidden="1">
      <c r="A3195" s="11" t="n">
        <v>46101</v>
      </c>
      <c r="B3195" t="inlineStr">
        <is>
          <t>Alisson de Freitas Silva</t>
        </is>
      </c>
      <c r="C3195" t="inlineStr">
        <is>
          <t>Técnico II</t>
        </is>
      </c>
      <c r="D3195" t="n">
        <v>18</v>
      </c>
      <c r="E3195" t="n">
        <v>12</v>
      </c>
      <c r="F3195" t="n">
        <v>15.4</v>
      </c>
      <c r="G3195" t="n">
        <v>0</v>
      </c>
      <c r="H3195" t="n">
        <v>0</v>
      </c>
      <c r="I3195" s="3">
        <f>E3195+G3195+H3195</f>
        <v/>
      </c>
      <c r="J3195" s="3">
        <f>ROUND(MIN(IF(C3195="Técnico III",35,IF(C3195="Técnico II",28,IF(C3195="Técnico I",23,IF(C3195="JR",20,IF(C3195="Estágio",10,0))))),IF(C3195="Técnico III",SUMIFS($D:$D,$A:$A,$A3195,$B:$B,"&lt;&gt;Patrícia Karla de Sousa Araújo",$B:$B,"&lt;&gt;Lorena Dias de Araujo",$B:$B,"&lt;&gt;Lucas Luiz Romero")*(35/1083),IF(C3195="Técnico II",SUMIFS($D:$D,$A:$A,$A3195,$B:$B,"&lt;&gt;Patrícia Karla de Sousa Araújo",$B:$B,"&lt;&gt;Lorena Dias de Araujo",$B:$B,"&lt;&gt;Lucas Luiz Romero")*(28/1083),IF(C3195="Técnico I",SUMIFS($D:$D,$A:$A,$A3195,$B:$B,"&lt;&gt;Patrícia Karla de Sousa Araújo",$B:$B,"&lt;&gt;Lorena Dias de Araujo",$B:$B,"&lt;&gt;Lucas Luiz Romero")*(23/1083),IF(C3195="JR",SUMIFS($D:$D,$A:$A,$A3195,$B:$B,"&lt;&gt;Patrícia Karla de Sousa Araújo",$B:$B,"&lt;&gt;Lorena Dias de Araujo",$B:$B,"&lt;&gt;Lucas Luiz Romero")*(20/1083),IF(C3195="Estágio",SUMIFS($D:$D,$A:$A,$A3195,$B:$B,"&lt;&gt;Patrícia Karla de Sousa Araújo",$B:$B,"&lt;&gt;Lorena Dias de Araujo",$B:$B,"&lt;&gt;Lucas Luiz Romero")*(10/1083),0)))))),0)</f>
        <v/>
      </c>
      <c r="K3195" s="3">
        <f>I3195-J3195</f>
        <v/>
      </c>
      <c r="L3195" s="3">
        <f>IF(K3195&lt;-5,"CRÍTICO",IF(K3195&lt;0,"ATENÇÃO",IF(K3195&lt;=5,"OPORTUNO","MUITO BOM")))</f>
        <v/>
      </c>
      <c r="N3195" t="n">
        <v>94.29000000000001</v>
      </c>
      <c r="O3195" t="n">
        <v>25.64766839378239</v>
      </c>
    </row>
    <row r="3196" hidden="1">
      <c r="A3196" s="11" t="n">
        <v>46101</v>
      </c>
      <c r="B3196" t="inlineStr">
        <is>
          <t>Amanda Moura Ferreira</t>
        </is>
      </c>
      <c r="C3196" t="inlineStr">
        <is>
          <t>Técnico III</t>
        </is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s="3" t="n">
        <v>0</v>
      </c>
      <c r="J3196" s="3" t="n">
        <v>0</v>
      </c>
      <c r="K3196" s="3" t="n">
        <v>0</v>
      </c>
      <c r="L3196" s="3">
        <f>IF(K3196&lt;-5,"CRÍTICO",IF(K3196&lt;0,"ATENÇÃO",IF(K3196&lt;=5,"OPORTUNO","MUITO BOM")))</f>
        <v/>
      </c>
      <c r="N3196" t="n">
        <v>98.26000000000001</v>
      </c>
      <c r="O3196" t="n">
        <v>26.66666666666667</v>
      </c>
    </row>
    <row r="3197" hidden="1">
      <c r="A3197" s="11" t="n">
        <v>46101</v>
      </c>
      <c r="B3197" t="inlineStr">
        <is>
          <t>Ana Karollyne Souza Faria</t>
        </is>
      </c>
      <c r="C3197" t="inlineStr">
        <is>
          <t>Técnico I</t>
        </is>
      </c>
      <c r="D3197" t="n">
        <v>18</v>
      </c>
      <c r="E3197" t="n">
        <v>18</v>
      </c>
      <c r="F3197" t="n">
        <v>20.48</v>
      </c>
      <c r="G3197" t="n">
        <v>0</v>
      </c>
      <c r="H3197" t="n">
        <v>0</v>
      </c>
      <c r="I3197" s="3">
        <f>E3197+G3197+H3197</f>
        <v/>
      </c>
      <c r="J3197" s="3">
        <f>ROUND(MIN(IF(C3197="Técnico III",35,IF(C3197="Técnico II",28,IF(C3197="Técnico I",23,IF(C3197="JR",20,IF(C3197="Estágio",10,0))))),IF(C3197="Técnico III",SUMIFS($D:$D,$A:$A,$A3197,$B:$B,"&lt;&gt;Patrícia Karla de Sousa Araújo",$B:$B,"&lt;&gt;Lorena Dias de Araujo",$B:$B,"&lt;&gt;Lucas Luiz Romero")*(35/1083),IF(C3197="Técnico II",SUMIFS($D:$D,$A:$A,$A3197,$B:$B,"&lt;&gt;Patrícia Karla de Sousa Araújo",$B:$B,"&lt;&gt;Lorena Dias de Araujo",$B:$B,"&lt;&gt;Lucas Luiz Romero")*(28/1083),IF(C3197="Técnico I",SUMIFS($D:$D,$A:$A,$A3197,$B:$B,"&lt;&gt;Patrícia Karla de Sousa Araújo",$B:$B,"&lt;&gt;Lorena Dias de Araujo",$B:$B,"&lt;&gt;Lucas Luiz Romero")*(23/1083),IF(C3197="JR",SUMIFS($D:$D,$A:$A,$A3197,$B:$B,"&lt;&gt;Patrícia Karla de Sousa Araújo",$B:$B,"&lt;&gt;Lorena Dias de Araujo",$B:$B,"&lt;&gt;Lucas Luiz Romero")*(20/1083),IF(C3197="Estágio",SUMIFS($D:$D,$A:$A,$A3197,$B:$B,"&lt;&gt;Patrícia Karla de Sousa Araújo",$B:$B,"&lt;&gt;Lorena Dias de Araujo",$B:$B,"&lt;&gt;Lucas Luiz Romero")*(10/1083),0)))))),0)</f>
        <v/>
      </c>
      <c r="K3197" s="3">
        <f>I3197-J3197</f>
        <v/>
      </c>
      <c r="L3197" s="3">
        <f>IF(K3197&lt;-5,"CRÍTICO",IF(K3197&lt;0,"ATENÇÃO",IF(K3197&lt;=5,"OPORTUNO","MUITO BOM")))</f>
        <v/>
      </c>
      <c r="N3197" t="n">
        <v>98.2</v>
      </c>
      <c r="O3197" t="n">
        <v>23.37962962962963</v>
      </c>
    </row>
    <row r="3198" hidden="1">
      <c r="A3198" s="11" t="n">
        <v>46101</v>
      </c>
      <c r="B3198" t="inlineStr">
        <is>
          <t>Ana Paula Da Luz Silva Aleixo</t>
        </is>
      </c>
      <c r="C3198" t="inlineStr">
        <is>
          <t>Técnico III</t>
        </is>
      </c>
      <c r="D3198" t="n">
        <v>22</v>
      </c>
      <c r="E3198" t="n">
        <v>21</v>
      </c>
      <c r="F3198" t="n">
        <v>23.54</v>
      </c>
      <c r="G3198" t="n">
        <v>0</v>
      </c>
      <c r="H3198" t="n">
        <v>0</v>
      </c>
      <c r="I3198" s="3">
        <f>E3198+G3198+H3198</f>
        <v/>
      </c>
      <c r="J3198" s="3">
        <f>ROUND(MIN(IF(C3198="Técnico III",35,IF(C3198="Técnico II",28,IF(C3198="Técnico I",23,IF(C3198="JR",20,IF(C3198="Estágio",10,0))))),IF(C3198="Técnico III",SUMIFS($D:$D,$A:$A,$A3198,$B:$B,"&lt;&gt;Patrícia Karla de Sousa Araújo",$B:$B,"&lt;&gt;Lorena Dias de Araujo",$B:$B,"&lt;&gt;Lucas Luiz Romero")*(35/1083),IF(C3198="Técnico II",SUMIFS($D:$D,$A:$A,$A3198,$B:$B,"&lt;&gt;Patrícia Karla de Sousa Araújo",$B:$B,"&lt;&gt;Lorena Dias de Araujo",$B:$B,"&lt;&gt;Lucas Luiz Romero")*(28/1083),IF(C3198="Técnico I",SUMIFS($D:$D,$A:$A,$A3198,$B:$B,"&lt;&gt;Patrícia Karla de Sousa Araújo",$B:$B,"&lt;&gt;Lorena Dias de Araujo",$B:$B,"&lt;&gt;Lucas Luiz Romero")*(23/1083),IF(C3198="JR",SUMIFS($D:$D,$A:$A,$A3198,$B:$B,"&lt;&gt;Patrícia Karla de Sousa Araújo",$B:$B,"&lt;&gt;Lorena Dias de Araujo",$B:$B,"&lt;&gt;Lucas Luiz Romero")*(20/1083),IF(C3198="Estágio",SUMIFS($D:$D,$A:$A,$A3198,$B:$B,"&lt;&gt;Patrícia Karla de Sousa Araújo",$B:$B,"&lt;&gt;Lorena Dias de Araujo",$B:$B,"&lt;&gt;Lucas Luiz Romero")*(10/1083),0)))))),0)</f>
        <v/>
      </c>
      <c r="K3198" s="3">
        <f>I3198-J3198</f>
        <v/>
      </c>
      <c r="L3198" s="3">
        <f>IF(K3198&lt;-5,"CRÍTICO",IF(K3198&lt;0,"ATENÇÃO",IF(K3198&lt;=5,"OPORTUNO","MUITO BOM")))</f>
        <v/>
      </c>
      <c r="N3198" t="n">
        <v>97.3</v>
      </c>
      <c r="O3198" t="n">
        <v>23.84769539078156</v>
      </c>
    </row>
    <row r="3199" hidden="1">
      <c r="A3199" s="11" t="n">
        <v>46101</v>
      </c>
      <c r="B3199" t="inlineStr">
        <is>
          <t>Anna Luiza Rezende Tavares</t>
        </is>
      </c>
      <c r="C3199" t="inlineStr">
        <is>
          <t>Estágio</t>
        </is>
      </c>
      <c r="D3199" t="n">
        <v>10</v>
      </c>
      <c r="E3199" t="n">
        <v>10</v>
      </c>
      <c r="F3199" t="n">
        <v>32.38</v>
      </c>
      <c r="G3199" t="n">
        <v>0</v>
      </c>
      <c r="H3199" t="n">
        <v>0</v>
      </c>
      <c r="I3199" s="3">
        <f>E3199+G3199+H3199</f>
        <v/>
      </c>
      <c r="J3199" s="3">
        <f>ROUND(MIN(IF(C3199="Técnico III",35,IF(C3199="Técnico II",28,IF(C3199="Técnico I",23,IF(C3199="JR",20,IF(C3199="Estágio",10,0))))),IF(C3199="Técnico III",SUMIFS($D:$D,$A:$A,$A3199,$B:$B,"&lt;&gt;Patrícia Karla de Sousa Araújo",$B:$B,"&lt;&gt;Lorena Dias de Araujo",$B:$B,"&lt;&gt;Lucas Luiz Romero")*(35/1083),IF(C3199="Técnico II",SUMIFS($D:$D,$A:$A,$A3199,$B:$B,"&lt;&gt;Patrícia Karla de Sousa Araújo",$B:$B,"&lt;&gt;Lorena Dias de Araujo",$B:$B,"&lt;&gt;Lucas Luiz Romero")*(28/1083),IF(C3199="Técnico I",SUMIFS($D:$D,$A:$A,$A3199,$B:$B,"&lt;&gt;Patrícia Karla de Sousa Araújo",$B:$B,"&lt;&gt;Lorena Dias de Araujo",$B:$B,"&lt;&gt;Lucas Luiz Romero")*(23/1083),IF(C3199="JR",SUMIFS($D:$D,$A:$A,$A3199,$B:$B,"&lt;&gt;Patrícia Karla de Sousa Araújo",$B:$B,"&lt;&gt;Lorena Dias de Araujo",$B:$B,"&lt;&gt;Lucas Luiz Romero")*(20/1083),IF(C3199="Estágio",SUMIFS($D:$D,$A:$A,$A3199,$B:$B,"&lt;&gt;Patrícia Karla de Sousa Araújo",$B:$B,"&lt;&gt;Lorena Dias de Araujo",$B:$B,"&lt;&gt;Lucas Luiz Romero")*(10/1083),0)))))),0)</f>
        <v/>
      </c>
      <c r="K3199" s="3">
        <f>I3199-J3199</f>
        <v/>
      </c>
      <c r="L3199" s="3">
        <f>IF(K3199&lt;-5,"CRÍTICO",IF(K3199&lt;0,"ATENÇÃO",IF(K3199&lt;=5,"OPORTUNO","MUITO BOM")))</f>
        <v/>
      </c>
      <c r="N3199" t="n">
        <v>100</v>
      </c>
      <c r="O3199" t="n">
        <v>25.26881720430108</v>
      </c>
    </row>
    <row r="3200" hidden="1">
      <c r="A3200" s="11" t="n">
        <v>46101</v>
      </c>
      <c r="B3200" t="inlineStr">
        <is>
          <t>Brenda de Menezes Silva</t>
        </is>
      </c>
      <c r="C3200" t="inlineStr">
        <is>
          <t>Técnico II</t>
        </is>
      </c>
      <c r="D3200" t="n">
        <v>14</v>
      </c>
      <c r="E3200" t="n">
        <v>12</v>
      </c>
      <c r="F3200" t="n">
        <v>24.18</v>
      </c>
      <c r="G3200" t="n">
        <v>0</v>
      </c>
      <c r="H3200" t="n">
        <v>0</v>
      </c>
      <c r="I3200" s="3">
        <f>E3200+G3200+H3200</f>
        <v/>
      </c>
      <c r="J3200" s="3">
        <f>ROUND(MIN(IF(C3200="Técnico III",35,IF(C3200="Técnico II",28,IF(C3200="Técnico I",23,IF(C3200="JR",20,IF(C3200="Estágio",10,0))))),IF(C3200="Técnico III",SUMIFS($D:$D,$A:$A,$A3200,$B:$B,"&lt;&gt;Patrícia Karla de Sousa Araújo",$B:$B,"&lt;&gt;Lorena Dias de Araujo",$B:$B,"&lt;&gt;Lucas Luiz Romero")*(35/1083),IF(C3200="Técnico II",SUMIFS($D:$D,$A:$A,$A3200,$B:$B,"&lt;&gt;Patrícia Karla de Sousa Araújo",$B:$B,"&lt;&gt;Lorena Dias de Araujo",$B:$B,"&lt;&gt;Lucas Luiz Romero")*(28/1083),IF(C3200="Técnico I",SUMIFS($D:$D,$A:$A,$A3200,$B:$B,"&lt;&gt;Patrícia Karla de Sousa Araújo",$B:$B,"&lt;&gt;Lorena Dias de Araujo",$B:$B,"&lt;&gt;Lucas Luiz Romero")*(23/1083),IF(C3200="JR",SUMIFS($D:$D,$A:$A,$A3200,$B:$B,"&lt;&gt;Patrícia Karla de Sousa Araújo",$B:$B,"&lt;&gt;Lorena Dias de Araujo",$B:$B,"&lt;&gt;Lucas Luiz Romero")*(20/1083),IF(C3200="Estágio",SUMIFS($D:$D,$A:$A,$A3200,$B:$B,"&lt;&gt;Patrícia Karla de Sousa Araújo",$B:$B,"&lt;&gt;Lorena Dias de Araujo",$B:$B,"&lt;&gt;Lucas Luiz Romero")*(10/1083),0)))))),0)</f>
        <v/>
      </c>
      <c r="K3200" s="3">
        <f>I3200-J3200</f>
        <v/>
      </c>
      <c r="L3200" s="3">
        <f>IF(K3200&lt;-5,"CRÍTICO",IF(K3200&lt;0,"ATENÇÃO",IF(K3200&lt;=5,"OPORTUNO","MUITO BOM")))</f>
        <v/>
      </c>
      <c r="N3200" t="n">
        <v>99.31999999999999</v>
      </c>
      <c r="O3200" t="n">
        <v>22.82282282282282</v>
      </c>
    </row>
    <row r="3201" hidden="1">
      <c r="A3201" s="11" t="n">
        <v>46101</v>
      </c>
      <c r="B3201" t="inlineStr">
        <is>
          <t>Carlos Mateus Cassimiro Nunes</t>
        </is>
      </c>
      <c r="C3201" t="inlineStr">
        <is>
          <t>Técnico II</t>
        </is>
      </c>
      <c r="D3201" t="n">
        <v>25</v>
      </c>
      <c r="E3201" t="n">
        <v>24</v>
      </c>
      <c r="F3201" t="n">
        <v>29.11</v>
      </c>
      <c r="G3201" t="n">
        <v>0</v>
      </c>
      <c r="H3201" t="n">
        <v>0</v>
      </c>
      <c r="I3201" s="3">
        <f>E3201+G3201+H3201</f>
        <v/>
      </c>
      <c r="J3201" s="3">
        <f>ROUND(MIN(IF(C3201="Técnico III",35,IF(C3201="Técnico II",28,IF(C3201="Técnico I",23,IF(C3201="JR",20,IF(C3201="Estágio",10,0))))),IF(C3201="Técnico III",SUMIFS($D:$D,$A:$A,$A3201,$B:$B,"&lt;&gt;Patrícia Karla de Sousa Araújo",$B:$B,"&lt;&gt;Lorena Dias de Araujo",$B:$B,"&lt;&gt;Lucas Luiz Romero")*(35/1083),IF(C3201="Técnico II",SUMIFS($D:$D,$A:$A,$A3201,$B:$B,"&lt;&gt;Patrícia Karla de Sousa Araújo",$B:$B,"&lt;&gt;Lorena Dias de Araujo",$B:$B,"&lt;&gt;Lucas Luiz Romero")*(28/1083),IF(C3201="Técnico I",SUMIFS($D:$D,$A:$A,$A3201,$B:$B,"&lt;&gt;Patrícia Karla de Sousa Araújo",$B:$B,"&lt;&gt;Lorena Dias de Araujo",$B:$B,"&lt;&gt;Lucas Luiz Romero")*(23/1083),IF(C3201="JR",SUMIFS($D:$D,$A:$A,$A3201,$B:$B,"&lt;&gt;Patrícia Karla de Sousa Araújo",$B:$B,"&lt;&gt;Lorena Dias de Araujo",$B:$B,"&lt;&gt;Lucas Luiz Romero")*(20/1083),IF(C3201="Estágio",SUMIFS($D:$D,$A:$A,$A3201,$B:$B,"&lt;&gt;Patrícia Karla de Sousa Araújo",$B:$B,"&lt;&gt;Lorena Dias de Araujo",$B:$B,"&lt;&gt;Lucas Luiz Romero")*(10/1083),0)))))),0)</f>
        <v/>
      </c>
      <c r="K3201" s="3">
        <f>I3201-J3201</f>
        <v/>
      </c>
      <c r="L3201" s="3">
        <f>IF(K3201&lt;-5,"CRÍTICO",IF(K3201&lt;0,"ATENÇÃO",IF(K3201&lt;=5,"OPORTUNO","MUITO BOM")))</f>
        <v/>
      </c>
      <c r="N3201" t="n">
        <v>100</v>
      </c>
      <c r="O3201" t="n">
        <v>27.96610169491525</v>
      </c>
    </row>
    <row r="3202" hidden="1">
      <c r="A3202" s="11" t="n">
        <v>46101</v>
      </c>
      <c r="B3202" t="inlineStr">
        <is>
          <t>Claudio de Sousa Velasco Filho</t>
        </is>
      </c>
      <c r="C3202" t="inlineStr">
        <is>
          <t>Estágio</t>
        </is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s="3" t="n">
        <v>0</v>
      </c>
      <c r="J3202" s="3" t="n">
        <v>0</v>
      </c>
      <c r="K3202" s="3" t="n">
        <v>0</v>
      </c>
      <c r="L3202" s="3">
        <f>IF(K3202&lt;-5,"CRÍTICO",IF(K3202&lt;0,"ATENÇÃO",IF(K3202&lt;=5,"OPORTUNO","MUITO BOM")))</f>
        <v/>
      </c>
      <c r="N3202" t="n">
        <v>100</v>
      </c>
      <c r="O3202" t="n">
        <v>30.43478260869566</v>
      </c>
    </row>
    <row r="3203" hidden="1">
      <c r="A3203" s="11" t="n">
        <v>46101</v>
      </c>
      <c r="B3203" t="inlineStr">
        <is>
          <t>Clessiane Pereira dos Santos</t>
        </is>
      </c>
      <c r="C3203" t="inlineStr">
        <is>
          <t>Técnico I</t>
        </is>
      </c>
      <c r="D3203" t="n">
        <v>25</v>
      </c>
      <c r="E3203" t="n">
        <v>23</v>
      </c>
      <c r="F3203" t="n">
        <v>20.24</v>
      </c>
      <c r="G3203" t="n">
        <v>0</v>
      </c>
      <c r="H3203" t="n">
        <v>0</v>
      </c>
      <c r="I3203" s="3">
        <f>E3203+G3203+H3203</f>
        <v/>
      </c>
      <c r="J3203" s="3">
        <f>ROUND(MIN(IF(C3203="Técnico III",35,IF(C3203="Técnico II",28,IF(C3203="Técnico I",23,IF(C3203="JR",20,IF(C3203="Estágio",10,0))))),IF(C3203="Técnico III",SUMIFS($D:$D,$A:$A,$A3203,$B:$B,"&lt;&gt;Patrícia Karla de Sousa Araújo",$B:$B,"&lt;&gt;Lorena Dias de Araujo",$B:$B,"&lt;&gt;Lucas Luiz Romero")*(35/1083),IF(C3203="Técnico II",SUMIFS($D:$D,$A:$A,$A3203,$B:$B,"&lt;&gt;Patrícia Karla de Sousa Araújo",$B:$B,"&lt;&gt;Lorena Dias de Araujo",$B:$B,"&lt;&gt;Lucas Luiz Romero")*(28/1083),IF(C3203="Técnico I",SUMIFS($D:$D,$A:$A,$A3203,$B:$B,"&lt;&gt;Patrícia Karla de Sousa Araújo",$B:$B,"&lt;&gt;Lorena Dias de Araujo",$B:$B,"&lt;&gt;Lucas Luiz Romero")*(23/1083),IF(C3203="JR",SUMIFS($D:$D,$A:$A,$A3203,$B:$B,"&lt;&gt;Patrícia Karla de Sousa Araújo",$B:$B,"&lt;&gt;Lorena Dias de Araujo",$B:$B,"&lt;&gt;Lucas Luiz Romero")*(20/1083),IF(C3203="Estágio",SUMIFS($D:$D,$A:$A,$A3203,$B:$B,"&lt;&gt;Patrícia Karla de Sousa Araújo",$B:$B,"&lt;&gt;Lorena Dias de Araujo",$B:$B,"&lt;&gt;Lucas Luiz Romero")*(10/1083),0)))))),0)</f>
        <v/>
      </c>
      <c r="K3203" s="3">
        <f>I3203-J3203</f>
        <v/>
      </c>
      <c r="L3203" s="3">
        <f>IF(K3203&lt;-5,"CRÍTICO",IF(K3203&lt;0,"ATENÇÃO",IF(K3203&lt;=5,"OPORTUNO","MUITO BOM")))</f>
        <v/>
      </c>
      <c r="N3203" t="n">
        <v>96.51000000000001</v>
      </c>
      <c r="O3203" t="n">
        <v>22.80285035629454</v>
      </c>
    </row>
    <row r="3204" hidden="1">
      <c r="A3204" s="11" t="n">
        <v>46101</v>
      </c>
      <c r="B3204" t="inlineStr">
        <is>
          <t>Cristiane Ramos da Silva Rocha</t>
        </is>
      </c>
      <c r="C3204" t="inlineStr">
        <is>
          <t>Técnico III</t>
        </is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s="3" t="n">
        <v>0</v>
      </c>
      <c r="J3204" s="3" t="n">
        <v>0</v>
      </c>
      <c r="K3204" s="3" t="n">
        <v>0</v>
      </c>
      <c r="L3204" s="3">
        <f>IF(K3204&lt;-5,"CRÍTICO",IF(K3204&lt;0,"ATENÇÃO",IF(K3204&lt;=5,"OPORTUNO","MUITO BOM")))</f>
        <v/>
      </c>
      <c r="N3204" t="n">
        <v>92.68000000000001</v>
      </c>
      <c r="O3204" t="n">
        <v>27.77777777777778</v>
      </c>
    </row>
    <row r="3205" hidden="1">
      <c r="A3205" s="11" t="n">
        <v>46101</v>
      </c>
      <c r="B3205" t="inlineStr">
        <is>
          <t>Damyllis Lorraine de Oliveira Gonçalves</t>
        </is>
      </c>
      <c r="C3205" t="inlineStr">
        <is>
          <t>Técnico II</t>
        </is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s="3" t="n">
        <v>0</v>
      </c>
      <c r="J3205" s="3" t="n">
        <v>0</v>
      </c>
      <c r="K3205" s="3" t="n">
        <v>0</v>
      </c>
      <c r="L3205" s="3">
        <f>IF(K3205&lt;-5,"CRÍTICO",IF(K3205&lt;0,"ATENÇÃO",IF(K3205&lt;=5,"OPORTUNO","MUITO BOM")))</f>
        <v/>
      </c>
      <c r="N3205" t="n">
        <v>99.03</v>
      </c>
      <c r="O3205" t="n">
        <v>23.99150743099788</v>
      </c>
    </row>
    <row r="3206" hidden="1">
      <c r="A3206" s="11" t="n">
        <v>46101</v>
      </c>
      <c r="B3206" t="inlineStr">
        <is>
          <t>Daniel Gomes da Silva</t>
        </is>
      </c>
      <c r="C3206" t="inlineStr">
        <is>
          <t>Técnico I</t>
        </is>
      </c>
      <c r="D3206" t="n">
        <v>24</v>
      </c>
      <c r="E3206" t="n">
        <v>22</v>
      </c>
      <c r="F3206" t="n">
        <v>24.01</v>
      </c>
      <c r="G3206" t="n">
        <v>0</v>
      </c>
      <c r="H3206" t="n">
        <v>0</v>
      </c>
      <c r="I3206" s="3">
        <f>E3206+G3206+H3206</f>
        <v/>
      </c>
      <c r="J3206" s="3">
        <f>ROUND(MIN(IF(C3206="Técnico III",35,IF(C3206="Técnico II",28,IF(C3206="Técnico I",23,IF(C3206="JR",20,IF(C3206="Estágio",10,0))))),IF(C3206="Técnico III",SUMIFS($D:$D,$A:$A,$A3206,$B:$B,"&lt;&gt;Patrícia Karla de Sousa Araújo",$B:$B,"&lt;&gt;Lorena Dias de Araujo",$B:$B,"&lt;&gt;Lucas Luiz Romero")*(35/1083),IF(C3206="Técnico II",SUMIFS($D:$D,$A:$A,$A3206,$B:$B,"&lt;&gt;Patrícia Karla de Sousa Araújo",$B:$B,"&lt;&gt;Lorena Dias de Araujo",$B:$B,"&lt;&gt;Lucas Luiz Romero")*(28/1083),IF(C3206="Técnico I",SUMIFS($D:$D,$A:$A,$A3206,$B:$B,"&lt;&gt;Patrícia Karla de Sousa Araújo",$B:$B,"&lt;&gt;Lorena Dias de Araujo",$B:$B,"&lt;&gt;Lucas Luiz Romero")*(23/1083),IF(C3206="JR",SUMIFS($D:$D,$A:$A,$A3206,$B:$B,"&lt;&gt;Patrícia Karla de Sousa Araújo",$B:$B,"&lt;&gt;Lorena Dias de Araujo",$B:$B,"&lt;&gt;Lucas Luiz Romero")*(20/1083),IF(C3206="Estágio",SUMIFS($D:$D,$A:$A,$A3206,$B:$B,"&lt;&gt;Patrícia Karla de Sousa Araújo",$B:$B,"&lt;&gt;Lorena Dias de Araujo",$B:$B,"&lt;&gt;Lucas Luiz Romero")*(10/1083),0)))))),0)</f>
        <v/>
      </c>
      <c r="K3206" s="3">
        <f>I3206-J3206</f>
        <v/>
      </c>
      <c r="L3206" s="3">
        <f>IF(K3206&lt;-5,"CRÍTICO",IF(K3206&lt;0,"ATENÇÃO",IF(K3206&lt;=5,"OPORTUNO","MUITO BOM")))</f>
        <v/>
      </c>
      <c r="N3206" t="n">
        <v>98.41</v>
      </c>
      <c r="O3206" t="n">
        <v>28.13852813852814</v>
      </c>
    </row>
    <row r="3207" hidden="1">
      <c r="A3207" s="11" t="n">
        <v>46101</v>
      </c>
      <c r="B3207" t="inlineStr">
        <is>
          <t>Davylla Rodrigues Freitas Silva</t>
        </is>
      </c>
      <c r="C3207" t="inlineStr">
        <is>
          <t>Técnico III</t>
        </is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s="3" t="n">
        <v>0</v>
      </c>
      <c r="J3207" s="3" t="n">
        <v>0</v>
      </c>
      <c r="K3207" s="3" t="n">
        <v>0</v>
      </c>
      <c r="L3207" s="3">
        <f>IF(K3207&lt;-5,"CRÍTICO",IF(K3207&lt;0,"ATENÇÃO",IF(K3207&lt;=5,"OPORTUNO","MUITO BOM")))</f>
        <v/>
      </c>
      <c r="N3207" t="n">
        <v>98.73</v>
      </c>
      <c r="O3207" t="n">
        <v>29.14285714285714</v>
      </c>
    </row>
    <row r="3208" hidden="1">
      <c r="A3208" s="11" t="n">
        <v>46101</v>
      </c>
      <c r="B3208" t="inlineStr">
        <is>
          <t>Emilly Caylane Costa</t>
        </is>
      </c>
      <c r="C3208" t="inlineStr">
        <is>
          <t>Estágio</t>
        </is>
      </c>
      <c r="D3208" t="n">
        <v>8</v>
      </c>
      <c r="E3208" t="n">
        <v>8</v>
      </c>
      <c r="F3208" t="n">
        <v>44.17</v>
      </c>
      <c r="G3208" t="n">
        <v>0</v>
      </c>
      <c r="H3208" t="n">
        <v>0</v>
      </c>
      <c r="I3208" s="3">
        <f>E3208+G3208+H3208</f>
        <v/>
      </c>
      <c r="J3208" s="3">
        <f>ROUND(MIN(IF(C3208="Técnico III",35,IF(C3208="Técnico II",28,IF(C3208="Técnico I",23,IF(C3208="JR",20,IF(C3208="Estágio",10,0))))),IF(C3208="Técnico III",SUMIFS($D:$D,$A:$A,$A3208,$B:$B,"&lt;&gt;Patrícia Karla de Sousa Araújo",$B:$B,"&lt;&gt;Lorena Dias de Araujo",$B:$B,"&lt;&gt;Lucas Luiz Romero")*(35/1083),IF(C3208="Técnico II",SUMIFS($D:$D,$A:$A,$A3208,$B:$B,"&lt;&gt;Patrícia Karla de Sousa Araújo",$B:$B,"&lt;&gt;Lorena Dias de Araujo",$B:$B,"&lt;&gt;Lucas Luiz Romero")*(28/1083),IF(C3208="Técnico I",SUMIFS($D:$D,$A:$A,$A3208,$B:$B,"&lt;&gt;Patrícia Karla de Sousa Araújo",$B:$B,"&lt;&gt;Lorena Dias de Araujo",$B:$B,"&lt;&gt;Lucas Luiz Romero")*(23/1083),IF(C3208="JR",SUMIFS($D:$D,$A:$A,$A3208,$B:$B,"&lt;&gt;Patrícia Karla de Sousa Araújo",$B:$B,"&lt;&gt;Lorena Dias de Araujo",$B:$B,"&lt;&gt;Lucas Luiz Romero")*(20/1083),IF(C3208="Estágio",SUMIFS($D:$D,$A:$A,$A3208,$B:$B,"&lt;&gt;Patrícia Karla de Sousa Araújo",$B:$B,"&lt;&gt;Lorena Dias de Araujo",$B:$B,"&lt;&gt;Lucas Luiz Romero")*(10/1083),0)))))),0)</f>
        <v/>
      </c>
      <c r="K3208" s="3">
        <f>I3208-J3208</f>
        <v/>
      </c>
      <c r="L3208" s="3">
        <f>IF(K3208&lt;-5,"CRÍTICO",IF(K3208&lt;0,"ATENÇÃO",IF(K3208&lt;=5,"OPORTUNO","MUITO BOM")))</f>
        <v/>
      </c>
      <c r="N3208" t="n">
        <v>90.48</v>
      </c>
      <c r="O3208" t="n">
        <v>20.68965517241379</v>
      </c>
    </row>
    <row r="3209" hidden="1">
      <c r="A3209" s="11" t="n">
        <v>46101</v>
      </c>
      <c r="B3209" t="inlineStr">
        <is>
          <t>Emilly Kamilly Medeiros Miranda</t>
        </is>
      </c>
      <c r="C3209" t="inlineStr">
        <is>
          <t>Técnico II</t>
        </is>
      </c>
      <c r="D3209" t="n">
        <v>17</v>
      </c>
      <c r="E3209" t="n">
        <v>15</v>
      </c>
      <c r="F3209" t="n">
        <v>25.32</v>
      </c>
      <c r="G3209" t="n">
        <v>0</v>
      </c>
      <c r="H3209" t="n">
        <v>0</v>
      </c>
      <c r="I3209" s="3">
        <f>E3209+G3209+H3209</f>
        <v/>
      </c>
      <c r="J3209" s="3">
        <f>ROUND(MIN(IF(C3209="Técnico III",35,IF(C3209="Técnico II",28,IF(C3209="Técnico I",23,IF(C3209="JR",20,IF(C3209="Estágio",10,0))))),IF(C3209="Técnico III",SUMIFS($D:$D,$A:$A,$A3209,$B:$B,"&lt;&gt;Patrícia Karla de Sousa Araújo",$B:$B,"&lt;&gt;Lorena Dias de Araujo",$B:$B,"&lt;&gt;Lucas Luiz Romero")*(35/1083),IF(C3209="Técnico II",SUMIFS($D:$D,$A:$A,$A3209,$B:$B,"&lt;&gt;Patrícia Karla de Sousa Araújo",$B:$B,"&lt;&gt;Lorena Dias de Araujo",$B:$B,"&lt;&gt;Lucas Luiz Romero")*(28/1083),IF(C3209="Técnico I",SUMIFS($D:$D,$A:$A,$A3209,$B:$B,"&lt;&gt;Patrícia Karla de Sousa Araújo",$B:$B,"&lt;&gt;Lorena Dias de Araujo",$B:$B,"&lt;&gt;Lucas Luiz Romero")*(23/1083),IF(C3209="JR",SUMIFS($D:$D,$A:$A,$A3209,$B:$B,"&lt;&gt;Patrícia Karla de Sousa Araújo",$B:$B,"&lt;&gt;Lorena Dias de Araujo",$B:$B,"&lt;&gt;Lucas Luiz Romero")*(20/1083),IF(C3209="Estágio",SUMIFS($D:$D,$A:$A,$A3209,$B:$B,"&lt;&gt;Patrícia Karla de Sousa Araújo",$B:$B,"&lt;&gt;Lorena Dias de Araujo",$B:$B,"&lt;&gt;Lucas Luiz Romero")*(10/1083),0)))))),0)</f>
        <v/>
      </c>
      <c r="K3209" s="3">
        <f>I3209-J3209</f>
        <v/>
      </c>
      <c r="L3209" s="3">
        <f>IF(K3209&lt;-5,"CRÍTICO",IF(K3209&lt;0,"ATENÇÃO",IF(K3209&lt;=5,"OPORTUNO","MUITO BOM")))</f>
        <v/>
      </c>
      <c r="N3209" t="n">
        <v>98.06</v>
      </c>
      <c r="O3209" t="n">
        <v>24.78991596638656</v>
      </c>
    </row>
    <row r="3210" hidden="1">
      <c r="A3210" s="11" t="n">
        <v>46101</v>
      </c>
      <c r="B3210" t="inlineStr">
        <is>
          <t>Francielson de Oliveira</t>
        </is>
      </c>
      <c r="C3210" t="inlineStr">
        <is>
          <t>Técnico III</t>
        </is>
      </c>
      <c r="D3210" t="n">
        <v>27</v>
      </c>
      <c r="E3210" t="n">
        <v>27</v>
      </c>
      <c r="F3210" t="n">
        <v>18.4</v>
      </c>
      <c r="G3210" t="n">
        <v>0</v>
      </c>
      <c r="H3210" t="n">
        <v>0</v>
      </c>
      <c r="I3210" s="3">
        <f>E3210+G3210+H3210</f>
        <v/>
      </c>
      <c r="J3210" s="3">
        <f>ROUND(MIN(IF(C3210="Técnico III",35,IF(C3210="Técnico II",28,IF(C3210="Técnico I",23,IF(C3210="JR",20,IF(C3210="Estágio",10,0))))),IF(C3210="Técnico III",SUMIFS($D:$D,$A:$A,$A3210,$B:$B,"&lt;&gt;Patrícia Karla de Sousa Araújo",$B:$B,"&lt;&gt;Lorena Dias de Araujo",$B:$B,"&lt;&gt;Lucas Luiz Romero")*(35/1083),IF(C3210="Técnico II",SUMIFS($D:$D,$A:$A,$A3210,$B:$B,"&lt;&gt;Patrícia Karla de Sousa Araújo",$B:$B,"&lt;&gt;Lorena Dias de Araujo",$B:$B,"&lt;&gt;Lucas Luiz Romero")*(28/1083),IF(C3210="Técnico I",SUMIFS($D:$D,$A:$A,$A3210,$B:$B,"&lt;&gt;Patrícia Karla de Sousa Araújo",$B:$B,"&lt;&gt;Lorena Dias de Araujo",$B:$B,"&lt;&gt;Lucas Luiz Romero")*(23/1083),IF(C3210="JR",SUMIFS($D:$D,$A:$A,$A3210,$B:$B,"&lt;&gt;Patrícia Karla de Sousa Araújo",$B:$B,"&lt;&gt;Lorena Dias de Araujo",$B:$B,"&lt;&gt;Lucas Luiz Romero")*(20/1083),IF(C3210="Estágio",SUMIFS($D:$D,$A:$A,$A3210,$B:$B,"&lt;&gt;Patrícia Karla de Sousa Araújo",$B:$B,"&lt;&gt;Lorena Dias de Araujo",$B:$B,"&lt;&gt;Lucas Luiz Romero")*(10/1083),0)))))),0)</f>
        <v/>
      </c>
      <c r="K3210" s="3">
        <f>I3210-J3210</f>
        <v/>
      </c>
      <c r="L3210" s="3">
        <f>IF(K3210&lt;-5,"CRÍTICO",IF(K3210&lt;0,"ATENÇÃO",IF(K3210&lt;=5,"OPORTUNO","MUITO BOM")))</f>
        <v/>
      </c>
      <c r="N3210" t="n">
        <v>97.78</v>
      </c>
      <c r="O3210" t="n">
        <v>25.49407114624506</v>
      </c>
    </row>
    <row r="3211" hidden="1">
      <c r="A3211" s="11" t="n">
        <v>46101</v>
      </c>
      <c r="B3211" t="inlineStr">
        <is>
          <t>Francilene Ferreira de Jesus</t>
        </is>
      </c>
      <c r="C3211" t="inlineStr">
        <is>
          <t>Técnico II</t>
        </is>
      </c>
      <c r="D3211" t="n">
        <v>12</v>
      </c>
      <c r="E3211" t="n">
        <v>10</v>
      </c>
      <c r="F3211" t="n">
        <v>35.19</v>
      </c>
      <c r="G3211" t="n">
        <v>0</v>
      </c>
      <c r="H3211" t="n">
        <v>0</v>
      </c>
      <c r="I3211" s="3">
        <f>E3211+G3211+H3211</f>
        <v/>
      </c>
      <c r="J3211" s="3">
        <f>ROUND(MIN(IF(C3211="Técnico III",35,IF(C3211="Técnico II",28,IF(C3211="Técnico I",23,IF(C3211="JR",20,IF(C3211="Estágio",10,0))))),IF(C3211="Técnico III",SUMIFS($D:$D,$A:$A,$A3211,$B:$B,"&lt;&gt;Patrícia Karla de Sousa Araújo",$B:$B,"&lt;&gt;Lorena Dias de Araujo",$B:$B,"&lt;&gt;Lucas Luiz Romero")*(35/1083),IF(C3211="Técnico II",SUMIFS($D:$D,$A:$A,$A3211,$B:$B,"&lt;&gt;Patrícia Karla de Sousa Araújo",$B:$B,"&lt;&gt;Lorena Dias de Araujo",$B:$B,"&lt;&gt;Lucas Luiz Romero")*(28/1083),IF(C3211="Técnico I",SUMIFS($D:$D,$A:$A,$A3211,$B:$B,"&lt;&gt;Patrícia Karla de Sousa Araújo",$B:$B,"&lt;&gt;Lorena Dias de Araujo",$B:$B,"&lt;&gt;Lucas Luiz Romero")*(23/1083),IF(C3211="JR",SUMIFS($D:$D,$A:$A,$A3211,$B:$B,"&lt;&gt;Patrícia Karla de Sousa Araújo",$B:$B,"&lt;&gt;Lorena Dias de Araujo",$B:$B,"&lt;&gt;Lucas Luiz Romero")*(20/1083),IF(C3211="Estágio",SUMIFS($D:$D,$A:$A,$A3211,$B:$B,"&lt;&gt;Patrícia Karla de Sousa Araújo",$B:$B,"&lt;&gt;Lorena Dias de Araujo",$B:$B,"&lt;&gt;Lucas Luiz Romero")*(10/1083),0)))))),0)</f>
        <v/>
      </c>
      <c r="K3211" s="3">
        <f>I3211-J3211</f>
        <v/>
      </c>
      <c r="L3211" s="3">
        <f>IF(K3211&lt;-5,"CRÍTICO",IF(K3211&lt;0,"ATENÇÃO",IF(K3211&lt;=5,"OPORTUNO","MUITO BOM")))</f>
        <v/>
      </c>
      <c r="N3211" t="n">
        <v>98.02</v>
      </c>
      <c r="O3211" t="n">
        <v>23.48484848484848</v>
      </c>
    </row>
    <row r="3212" hidden="1">
      <c r="A3212" s="11" t="n">
        <v>46136</v>
      </c>
      <c r="B3212" t="inlineStr">
        <is>
          <t>Gabriel Gomes de Andrade</t>
        </is>
      </c>
      <c r="C3212" t="inlineStr">
        <is>
          <t>Técnico I</t>
        </is>
      </c>
      <c r="D3212" t="n">
        <v>16</v>
      </c>
      <c r="E3212" t="n">
        <v>15</v>
      </c>
      <c r="F3212" t="n">
        <v>24.14</v>
      </c>
      <c r="G3212" t="n">
        <v>0</v>
      </c>
      <c r="H3212" t="n">
        <v>0</v>
      </c>
      <c r="I3212" s="3">
        <f>E3212+G3212+H3212</f>
        <v/>
      </c>
      <c r="J3212" s="3">
        <f>ROUND(MIN(IF(C3212="Técnico III",35,IF(C3212="Técnico II",28,IF(C3212="Técnico I",23,IF(C3212="JR",20,IF(C3212="Estágio",10,0))))),IF(C3212="Técnico III",SUMIFS($D:$D,$A:$A,$A3212,$B:$B,"&lt;&gt;Patrícia Karla de Sousa Araújo",$B:$B,"&lt;&gt;Lorena Dias de Araujo",$B:$B,"&lt;&gt;Lucas Luiz Romero")*(35/1083),IF(C3212="Técnico II",SUMIFS($D:$D,$A:$A,$A3212,$B:$B,"&lt;&gt;Patrícia Karla de Sousa Araújo",$B:$B,"&lt;&gt;Lorena Dias de Araujo",$B:$B,"&lt;&gt;Lucas Luiz Romero")*(28/1083),IF(C3212="Técnico I",SUMIFS($D:$D,$A:$A,$A3212,$B:$B,"&lt;&gt;Patrícia Karla de Sousa Araújo",$B:$B,"&lt;&gt;Lorena Dias de Araujo",$B:$B,"&lt;&gt;Lucas Luiz Romero")*(23/1083),IF(C3212="JR",SUMIFS($D:$D,$A:$A,$A3212,$B:$B,"&lt;&gt;Patrícia Karla de Sousa Araújo",$B:$B,"&lt;&gt;Lorena Dias de Araujo",$B:$B,"&lt;&gt;Lucas Luiz Romero")*(20/1083),IF(C3212="Estágio",SUMIFS($D:$D,$A:$A,$A3212,$B:$B,"&lt;&gt;Patrícia Karla de Sousa Araújo",$B:$B,"&lt;&gt;Lorena Dias de Araujo",$B:$B,"&lt;&gt;Lucas Luiz Romero")*(10/1083),0)))))),0)</f>
        <v/>
      </c>
      <c r="K3212" s="3">
        <f>I3212-J3212</f>
        <v/>
      </c>
      <c r="L3212" s="3">
        <f>IF(K3212&lt;-5,"CRÍTICO",IF(K3212&lt;0,"ATENÇÃO",IF(K3212&lt;=5,"OPORTUNO","MUITO BOM")))</f>
        <v/>
      </c>
      <c r="N3212" t="n">
        <v>99.28</v>
      </c>
      <c r="O3212" t="n">
        <v>27.68924302788844</v>
      </c>
    </row>
    <row r="3213" hidden="1">
      <c r="A3213" s="11" t="n">
        <v>46101</v>
      </c>
      <c r="B3213" t="inlineStr">
        <is>
          <t>Isabella Borges de Oliveira</t>
        </is>
      </c>
      <c r="C3213" t="inlineStr">
        <is>
          <t>Técnico II</t>
        </is>
      </c>
      <c r="D3213" t="n">
        <v>29</v>
      </c>
      <c r="E3213" t="n">
        <v>28</v>
      </c>
      <c r="F3213" t="n">
        <v>20.32</v>
      </c>
      <c r="G3213" t="n">
        <v>0</v>
      </c>
      <c r="H3213" t="n">
        <v>0</v>
      </c>
      <c r="I3213" s="3">
        <f>E3213+G3213+H3213</f>
        <v/>
      </c>
      <c r="J3213" s="3">
        <f>ROUND(MIN(IF(C3213="Técnico III",35,IF(C3213="Técnico II",28,IF(C3213="Técnico I",23,IF(C3213="JR",20,IF(C3213="Estágio",10,0))))),IF(C3213="Técnico III",SUMIFS($D:$D,$A:$A,$A3213,$B:$B,"&lt;&gt;Patrícia Karla de Sousa Araújo",$B:$B,"&lt;&gt;Lorena Dias de Araujo",$B:$B,"&lt;&gt;Lucas Luiz Romero")*(35/1083),IF(C3213="Técnico II",SUMIFS($D:$D,$A:$A,$A3213,$B:$B,"&lt;&gt;Patrícia Karla de Sousa Araújo",$B:$B,"&lt;&gt;Lorena Dias de Araujo",$B:$B,"&lt;&gt;Lucas Luiz Romero")*(28/1083),IF(C3213="Técnico I",SUMIFS($D:$D,$A:$A,$A3213,$B:$B,"&lt;&gt;Patrícia Karla de Sousa Araújo",$B:$B,"&lt;&gt;Lorena Dias de Araujo",$B:$B,"&lt;&gt;Lucas Luiz Romero")*(23/1083),IF(C3213="JR",SUMIFS($D:$D,$A:$A,$A3213,$B:$B,"&lt;&gt;Patrícia Karla de Sousa Araújo",$B:$B,"&lt;&gt;Lorena Dias de Araujo",$B:$B,"&lt;&gt;Lucas Luiz Romero")*(20/1083),IF(C3213="Estágio",SUMIFS($D:$D,$A:$A,$A3213,$B:$B,"&lt;&gt;Patrícia Karla de Sousa Araújo",$B:$B,"&lt;&gt;Lorena Dias de Araujo",$B:$B,"&lt;&gt;Lucas Luiz Romero")*(10/1083),0)))))),0)</f>
        <v/>
      </c>
      <c r="K3213" s="3">
        <f>I3213-J3213</f>
        <v/>
      </c>
      <c r="L3213" s="3">
        <f>IF(K3213&lt;-5,"CRÍTICO",IF(K3213&lt;0,"ATENÇÃO",IF(K3213&lt;=5,"OPORTUNO","MUITO BOM")))</f>
        <v/>
      </c>
      <c r="N3213" t="n">
        <v>100</v>
      </c>
      <c r="O3213" t="n">
        <v>27.04918032786885</v>
      </c>
    </row>
    <row r="3214" hidden="1">
      <c r="A3214" s="11" t="n">
        <v>46101</v>
      </c>
      <c r="B3214" t="inlineStr">
        <is>
          <t>Janaina Lima dos Reis Urany</t>
        </is>
      </c>
      <c r="C3214" t="inlineStr">
        <is>
          <t>Técnico III</t>
        </is>
      </c>
      <c r="D3214" t="n">
        <v>39</v>
      </c>
      <c r="E3214" t="n">
        <v>38</v>
      </c>
      <c r="F3214" t="n">
        <v>16.5</v>
      </c>
      <c r="G3214" t="n">
        <v>0</v>
      </c>
      <c r="H3214" t="n">
        <v>0</v>
      </c>
      <c r="I3214" s="3">
        <f>E3214+G3214+H3214</f>
        <v/>
      </c>
      <c r="J3214" s="3">
        <f>ROUND(MIN(IF(C3214="Técnico III",35,IF(C3214="Técnico II",28,IF(C3214="Técnico I",23,IF(C3214="JR",20,IF(C3214="Estágio",10,0))))),IF(C3214="Técnico III",SUMIFS($D:$D,$A:$A,$A3214,$B:$B,"&lt;&gt;Patrícia Karla de Sousa Araújo",$B:$B,"&lt;&gt;Lorena Dias de Araujo",$B:$B,"&lt;&gt;Lucas Luiz Romero")*(35/1083),IF(C3214="Técnico II",SUMIFS($D:$D,$A:$A,$A3214,$B:$B,"&lt;&gt;Patrícia Karla de Sousa Araújo",$B:$B,"&lt;&gt;Lorena Dias de Araujo",$B:$B,"&lt;&gt;Lucas Luiz Romero")*(28/1083),IF(C3214="Técnico I",SUMIFS($D:$D,$A:$A,$A3214,$B:$B,"&lt;&gt;Patrícia Karla de Sousa Araújo",$B:$B,"&lt;&gt;Lorena Dias de Araujo",$B:$B,"&lt;&gt;Lucas Luiz Romero")*(23/1083),IF(C3214="JR",SUMIFS($D:$D,$A:$A,$A3214,$B:$B,"&lt;&gt;Patrícia Karla de Sousa Araújo",$B:$B,"&lt;&gt;Lorena Dias de Araujo",$B:$B,"&lt;&gt;Lucas Luiz Romero")*(20/1083),IF(C3214="Estágio",SUMIFS($D:$D,$A:$A,$A3214,$B:$B,"&lt;&gt;Patrícia Karla de Sousa Araújo",$B:$B,"&lt;&gt;Lorena Dias de Araujo",$B:$B,"&lt;&gt;Lucas Luiz Romero")*(10/1083),0)))))),0)</f>
        <v/>
      </c>
      <c r="K3214" s="3">
        <f>I3214-J3214</f>
        <v/>
      </c>
      <c r="L3214" s="3">
        <f>IF(K3214&lt;-5,"CRÍTICO",IF(K3214&lt;0,"ATENÇÃO",IF(K3214&lt;=5,"OPORTUNO","MUITO BOM")))</f>
        <v/>
      </c>
      <c r="N3214" t="n">
        <v>97.83</v>
      </c>
      <c r="O3214" t="n">
        <v>26.31578947368421</v>
      </c>
    </row>
    <row r="3215" hidden="1">
      <c r="A3215" s="11" t="n">
        <v>46101</v>
      </c>
      <c r="B3215" t="inlineStr">
        <is>
          <t>Jaqueline Evangelista da Silva Martins</t>
        </is>
      </c>
      <c r="C3215" t="inlineStr">
        <is>
          <t>Técnico III</t>
        </is>
      </c>
      <c r="D3215" t="n">
        <v>3</v>
      </c>
      <c r="E3215" t="n">
        <v>3</v>
      </c>
      <c r="F3215" t="n">
        <v>4.02</v>
      </c>
      <c r="G3215" t="n">
        <v>0</v>
      </c>
      <c r="H3215" t="n">
        <v>0</v>
      </c>
      <c r="I3215" s="3">
        <f>E3215+G3215+H3215</f>
        <v/>
      </c>
      <c r="J3215" s="3">
        <f>ROUND(MIN(IF(C3215="Técnico III",35,IF(C3215="Técnico II",28,IF(C3215="Técnico I",23,IF(C3215="JR",20,IF(C3215="Estágio",10,0))))),IF(C3215="Técnico III",SUMIFS($D:$D,$A:$A,$A3215,$B:$B,"&lt;&gt;Patrícia Karla de Sousa Araújo",$B:$B,"&lt;&gt;Lorena Dias de Araujo",$B:$B,"&lt;&gt;Lucas Luiz Romero")*(35/1083),IF(C3215="Técnico II",SUMIFS($D:$D,$A:$A,$A3215,$B:$B,"&lt;&gt;Patrícia Karla de Sousa Araújo",$B:$B,"&lt;&gt;Lorena Dias de Araujo",$B:$B,"&lt;&gt;Lucas Luiz Romero")*(28/1083),IF(C3215="Técnico I",SUMIFS($D:$D,$A:$A,$A3215,$B:$B,"&lt;&gt;Patrícia Karla de Sousa Araújo",$B:$B,"&lt;&gt;Lorena Dias de Araujo",$B:$B,"&lt;&gt;Lucas Luiz Romero")*(23/1083),IF(C3215="JR",SUMIFS($D:$D,$A:$A,$A3215,$B:$B,"&lt;&gt;Patrícia Karla de Sousa Araújo",$B:$B,"&lt;&gt;Lorena Dias de Araujo",$B:$B,"&lt;&gt;Lucas Luiz Romero")*(20/1083),IF(C3215="Estágio",SUMIFS($D:$D,$A:$A,$A3215,$B:$B,"&lt;&gt;Patrícia Karla de Sousa Araújo",$B:$B,"&lt;&gt;Lorena Dias de Araujo",$B:$B,"&lt;&gt;Lucas Luiz Romero")*(10/1083),0)))))),0)</f>
        <v/>
      </c>
      <c r="K3215" s="3">
        <f>I3215-J3215</f>
        <v/>
      </c>
      <c r="L3215" s="3">
        <f>IF(K3215&lt;-5,"CRÍTICO",IF(K3215&lt;0,"ATENÇÃO",IF(K3215&lt;=5,"OPORTUNO","MUITO BOM")))</f>
        <v/>
      </c>
      <c r="N3215" t="n">
        <v>100</v>
      </c>
      <c r="O3215" t="n">
        <v>26.70157068062827</v>
      </c>
    </row>
    <row r="3216" hidden="1">
      <c r="A3216" s="11" t="n">
        <v>46101</v>
      </c>
      <c r="B3216" t="inlineStr">
        <is>
          <t>Jessica Faria da Silveira</t>
        </is>
      </c>
      <c r="C3216" t="inlineStr">
        <is>
          <t>Técnico II</t>
        </is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s="3" t="n">
        <v>0</v>
      </c>
      <c r="J3216" s="3" t="n">
        <v>0</v>
      </c>
      <c r="K3216" s="3" t="n">
        <v>0</v>
      </c>
      <c r="L3216" s="3">
        <f>IF(K3216&lt;-5,"CRÍTICO",IF(K3216&lt;0,"ATENÇÃO",IF(K3216&lt;=5,"OPORTUNO","MUITO BOM")))</f>
        <v/>
      </c>
      <c r="N3216" t="n">
        <v>97.47</v>
      </c>
      <c r="O3216" t="n">
        <v>22.88732394366197</v>
      </c>
    </row>
    <row r="3217" hidden="1">
      <c r="A3217" s="11" t="n">
        <v>46101</v>
      </c>
      <c r="B3217" t="inlineStr">
        <is>
          <t>Jéssica Fé Moura</t>
        </is>
      </c>
      <c r="C3217" t="inlineStr">
        <is>
          <t>Técnico III</t>
        </is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s="3" t="n">
        <v>0</v>
      </c>
      <c r="J3217" s="3" t="n">
        <v>0</v>
      </c>
      <c r="K3217" s="3" t="n">
        <v>0</v>
      </c>
      <c r="L3217" s="3">
        <f>IF(K3217&lt;-5,"CRÍTICO",IF(K3217&lt;0,"ATENÇÃO",IF(K3217&lt;=5,"OPORTUNO","MUITO BOM")))</f>
        <v/>
      </c>
      <c r="N3217" t="n">
        <v>0</v>
      </c>
      <c r="O3217" t="n">
        <v>0</v>
      </c>
    </row>
    <row r="3218" hidden="1">
      <c r="A3218" s="11" t="n">
        <v>46101</v>
      </c>
      <c r="B3218" t="inlineStr">
        <is>
          <t>Karina Gonçalves Martins</t>
        </is>
      </c>
      <c r="C3218" t="inlineStr">
        <is>
          <t>JR</t>
        </is>
      </c>
      <c r="D3218" t="n">
        <v>23</v>
      </c>
      <c r="E3218" t="n">
        <v>22</v>
      </c>
      <c r="F3218" t="n">
        <v>26.4</v>
      </c>
      <c r="G3218" t="n">
        <v>0</v>
      </c>
      <c r="H3218" t="n">
        <v>0</v>
      </c>
      <c r="I3218" s="3">
        <f>E3218+G3218+H3218</f>
        <v/>
      </c>
      <c r="J3218" s="3">
        <f>ROUND(MIN(IF(C3218="Técnico III",35,IF(C3218="Técnico II",28,IF(C3218="Técnico I",23,IF(C3218="JR",20,IF(C3218="Estágio",10,0))))),IF(C3218="Técnico III",SUMIFS($D:$D,$A:$A,$A3218,$B:$B,"&lt;&gt;Patrícia Karla de Sousa Araújo",$B:$B,"&lt;&gt;Lorena Dias de Araujo",$B:$B,"&lt;&gt;Lucas Luiz Romero")*(35/1083),IF(C3218="Técnico II",SUMIFS($D:$D,$A:$A,$A3218,$B:$B,"&lt;&gt;Patrícia Karla de Sousa Araújo",$B:$B,"&lt;&gt;Lorena Dias de Araujo",$B:$B,"&lt;&gt;Lucas Luiz Romero")*(28/1083),IF(C3218="Técnico I",SUMIFS($D:$D,$A:$A,$A3218,$B:$B,"&lt;&gt;Patrícia Karla de Sousa Araújo",$B:$B,"&lt;&gt;Lorena Dias de Araujo",$B:$B,"&lt;&gt;Lucas Luiz Romero")*(23/1083),IF(C3218="JR",SUMIFS($D:$D,$A:$A,$A3218,$B:$B,"&lt;&gt;Patrícia Karla de Sousa Araújo",$B:$B,"&lt;&gt;Lorena Dias de Araujo",$B:$B,"&lt;&gt;Lucas Luiz Romero")*(20/1083),IF(C3218="Estágio",SUMIFS($D:$D,$A:$A,$A3218,$B:$B,"&lt;&gt;Patrícia Karla de Sousa Araújo",$B:$B,"&lt;&gt;Lorena Dias de Araujo",$B:$B,"&lt;&gt;Lucas Luiz Romero")*(10/1083),0)))))),0)</f>
        <v/>
      </c>
      <c r="K3218" s="3">
        <f>I3218-J3218</f>
        <v/>
      </c>
      <c r="L3218" s="3">
        <f>IF(K3218&lt;-5,"CRÍTICO",IF(K3218&lt;0,"ATENÇÃO",IF(K3218&lt;=5,"OPORTUNO","MUITO BOM")))</f>
        <v/>
      </c>
      <c r="N3218" t="n">
        <v>98.31</v>
      </c>
      <c r="O3218" t="n">
        <v>24.92012779552715</v>
      </c>
    </row>
    <row r="3219" hidden="1">
      <c r="A3219" s="11" t="n">
        <v>46101</v>
      </c>
      <c r="B3219" t="inlineStr">
        <is>
          <t>Kerollen Cristielly de Jesus Siqueira</t>
        </is>
      </c>
      <c r="C3219" t="inlineStr">
        <is>
          <t>Técnico III</t>
        </is>
      </c>
      <c r="D3219" t="n">
        <v>5</v>
      </c>
      <c r="E3219" t="n">
        <v>5</v>
      </c>
      <c r="F3219" t="n">
        <v>44.14</v>
      </c>
      <c r="G3219" t="n">
        <v>0</v>
      </c>
      <c r="H3219" t="n">
        <v>0</v>
      </c>
      <c r="I3219" s="3">
        <f>E3219+G3219+H3219</f>
        <v/>
      </c>
      <c r="J3219" s="3">
        <f>ROUND(MIN(IF(C3219="Técnico III",35,IF(C3219="Técnico II",28,IF(C3219="Técnico I",23,IF(C3219="JR",20,IF(C3219="Estágio",10,0))))),IF(C3219="Técnico III",SUMIFS($D:$D,$A:$A,$A3219,$B:$B,"&lt;&gt;Patrícia Karla de Sousa Araújo",$B:$B,"&lt;&gt;Lorena Dias de Araujo",$B:$B,"&lt;&gt;Lucas Luiz Romero")*(35/1083),IF(C3219="Técnico II",SUMIFS($D:$D,$A:$A,$A3219,$B:$B,"&lt;&gt;Patrícia Karla de Sousa Araújo",$B:$B,"&lt;&gt;Lorena Dias de Araujo",$B:$B,"&lt;&gt;Lucas Luiz Romero")*(28/1083),IF(C3219="Técnico I",SUMIFS($D:$D,$A:$A,$A3219,$B:$B,"&lt;&gt;Patrícia Karla de Sousa Araújo",$B:$B,"&lt;&gt;Lorena Dias de Araujo",$B:$B,"&lt;&gt;Lucas Luiz Romero")*(23/1083),IF(C3219="JR",SUMIFS($D:$D,$A:$A,$A3219,$B:$B,"&lt;&gt;Patrícia Karla de Sousa Araújo",$B:$B,"&lt;&gt;Lorena Dias de Araujo",$B:$B,"&lt;&gt;Lucas Luiz Romero")*(20/1083),IF(C3219="Estágio",SUMIFS($D:$D,$A:$A,$A3219,$B:$B,"&lt;&gt;Patrícia Karla de Sousa Araújo",$B:$B,"&lt;&gt;Lorena Dias de Araujo",$B:$B,"&lt;&gt;Lucas Luiz Romero")*(10/1083),0)))))),0)</f>
        <v/>
      </c>
      <c r="K3219" s="3">
        <f>I3219-J3219</f>
        <v/>
      </c>
      <c r="L3219" s="3">
        <f>IF(K3219&lt;-5,"CRÍTICO",IF(K3219&lt;0,"ATENÇÃO",IF(K3219&lt;=5,"OPORTUNO","MUITO BOM")))</f>
        <v/>
      </c>
      <c r="N3219" t="n">
        <v>96.81</v>
      </c>
      <c r="O3219" t="n">
        <v>32.36514522821577</v>
      </c>
    </row>
    <row r="3220" hidden="1">
      <c r="A3220" s="11" t="n">
        <v>46101</v>
      </c>
      <c r="B3220" t="inlineStr">
        <is>
          <t>Leandro de Souza Silva</t>
        </is>
      </c>
      <c r="C3220" t="inlineStr">
        <is>
          <t>JR</t>
        </is>
      </c>
      <c r="D3220" t="n">
        <v>15</v>
      </c>
      <c r="E3220" t="n">
        <v>12</v>
      </c>
      <c r="F3220" t="n">
        <v>32.02</v>
      </c>
      <c r="G3220" t="n">
        <v>0</v>
      </c>
      <c r="H3220" t="n">
        <v>0</v>
      </c>
      <c r="I3220" s="3">
        <f>E3220+G3220+H3220</f>
        <v/>
      </c>
      <c r="J3220" s="3">
        <f>ROUND(MIN(IF(C3220="Técnico III",35,IF(C3220="Técnico II",28,IF(C3220="Técnico I",23,IF(C3220="JR",20,IF(C3220="Estágio",10,0))))),IF(C3220="Técnico III",SUMIFS($D:$D,$A:$A,$A3220,$B:$B,"&lt;&gt;Patrícia Karla de Sousa Araújo",$B:$B,"&lt;&gt;Lorena Dias de Araujo",$B:$B,"&lt;&gt;Lucas Luiz Romero")*(35/1083),IF(C3220="Técnico II",SUMIFS($D:$D,$A:$A,$A3220,$B:$B,"&lt;&gt;Patrícia Karla de Sousa Araújo",$B:$B,"&lt;&gt;Lorena Dias de Araujo",$B:$B,"&lt;&gt;Lucas Luiz Romero")*(28/1083),IF(C3220="Técnico I",SUMIFS($D:$D,$A:$A,$A3220,$B:$B,"&lt;&gt;Patrícia Karla de Sousa Araújo",$B:$B,"&lt;&gt;Lorena Dias de Araujo",$B:$B,"&lt;&gt;Lucas Luiz Romero")*(23/1083),IF(C3220="JR",SUMIFS($D:$D,$A:$A,$A3220,$B:$B,"&lt;&gt;Patrícia Karla de Sousa Araújo",$B:$B,"&lt;&gt;Lorena Dias de Araujo",$B:$B,"&lt;&gt;Lucas Luiz Romero")*(20/1083),IF(C3220="Estágio",SUMIFS($D:$D,$A:$A,$A3220,$B:$B,"&lt;&gt;Patrícia Karla de Sousa Araújo",$B:$B,"&lt;&gt;Lorena Dias de Araujo",$B:$B,"&lt;&gt;Lucas Luiz Romero")*(10/1083),0)))))),0)</f>
        <v/>
      </c>
      <c r="K3220" s="3">
        <f>I3220-J3220</f>
        <v/>
      </c>
      <c r="L3220" s="3">
        <f>IF(K3220&lt;-5,"CRÍTICO",IF(K3220&lt;0,"ATENÇÃO",IF(K3220&lt;=5,"OPORTUNO","MUITO BOM")))</f>
        <v/>
      </c>
      <c r="N3220" t="n">
        <v>100</v>
      </c>
      <c r="O3220" t="n">
        <v>26.47058823529412</v>
      </c>
    </row>
    <row r="3221" hidden="1">
      <c r="A3221" s="11" t="n">
        <v>46101</v>
      </c>
      <c r="B3221" t="inlineStr">
        <is>
          <t>Leandro Oliveira de Sousa</t>
        </is>
      </c>
      <c r="C3221" t="inlineStr">
        <is>
          <t>Técnico III</t>
        </is>
      </c>
      <c r="D3221" t="n">
        <v>21</v>
      </c>
      <c r="E3221" t="n">
        <v>19</v>
      </c>
      <c r="F3221" t="n">
        <v>30.07</v>
      </c>
      <c r="G3221" t="n">
        <v>0</v>
      </c>
      <c r="H3221" t="n">
        <v>0</v>
      </c>
      <c r="I3221" s="3">
        <f>E3221+G3221+H3221</f>
        <v/>
      </c>
      <c r="J3221" s="3">
        <f>ROUND(MIN(IF(C3221="Técnico III",35,IF(C3221="Técnico II",28,IF(C3221="Técnico I",23,IF(C3221="JR",20,IF(C3221="Estágio",10,0))))),IF(C3221="Técnico III",SUMIFS($D:$D,$A:$A,$A3221,$B:$B,"&lt;&gt;Patrícia Karla de Sousa Araújo",$B:$B,"&lt;&gt;Lorena Dias de Araujo",$B:$B,"&lt;&gt;Lucas Luiz Romero")*(35/1083),IF(C3221="Técnico II",SUMIFS($D:$D,$A:$A,$A3221,$B:$B,"&lt;&gt;Patrícia Karla de Sousa Araújo",$B:$B,"&lt;&gt;Lorena Dias de Araujo",$B:$B,"&lt;&gt;Lucas Luiz Romero")*(28/1083),IF(C3221="Técnico I",SUMIFS($D:$D,$A:$A,$A3221,$B:$B,"&lt;&gt;Patrícia Karla de Sousa Araújo",$B:$B,"&lt;&gt;Lorena Dias de Araujo",$B:$B,"&lt;&gt;Lucas Luiz Romero")*(23/1083),IF(C3221="JR",SUMIFS($D:$D,$A:$A,$A3221,$B:$B,"&lt;&gt;Patrícia Karla de Sousa Araújo",$B:$B,"&lt;&gt;Lorena Dias de Araujo",$B:$B,"&lt;&gt;Lucas Luiz Romero")*(20/1083),IF(C3221="Estágio",SUMIFS($D:$D,$A:$A,$A3221,$B:$B,"&lt;&gt;Patrícia Karla de Sousa Araújo",$B:$B,"&lt;&gt;Lorena Dias de Araujo",$B:$B,"&lt;&gt;Lucas Luiz Romero")*(10/1083),0)))))),0)</f>
        <v/>
      </c>
      <c r="K3221" s="3">
        <f>I3221-J3221</f>
        <v/>
      </c>
      <c r="L3221" s="3">
        <f>IF(K3221&lt;-5,"CRÍTICO",IF(K3221&lt;0,"ATENÇÃO",IF(K3221&lt;=5,"OPORTUNO","MUITO BOM")))</f>
        <v/>
      </c>
      <c r="N3221" t="n">
        <v>100</v>
      </c>
      <c r="O3221" t="n">
        <v>28.49002849002849</v>
      </c>
    </row>
    <row r="3222" hidden="1">
      <c r="A3222" s="11" t="n">
        <v>46101</v>
      </c>
      <c r="B3222" t="inlineStr">
        <is>
          <t>Lizandra Gomes Duarte</t>
        </is>
      </c>
      <c r="C3222" t="inlineStr">
        <is>
          <t>Técnico II</t>
        </is>
      </c>
      <c r="D3222" t="n">
        <v>26</v>
      </c>
      <c r="E3222" t="n">
        <v>23</v>
      </c>
      <c r="F3222" t="n">
        <v>24.09</v>
      </c>
      <c r="G3222" t="n">
        <v>0</v>
      </c>
      <c r="H3222" t="n">
        <v>0</v>
      </c>
      <c r="I3222" s="3">
        <f>E3222+G3222+H3222</f>
        <v/>
      </c>
      <c r="J3222" s="3">
        <f>ROUND(MIN(IF(C3222="Técnico III",35,IF(C3222="Técnico II",28,IF(C3222="Técnico I",23,IF(C3222="JR",20,IF(C3222="Estágio",10,0))))),IF(C3222="Técnico III",SUMIFS($D:$D,$A:$A,$A3222,$B:$B,"&lt;&gt;Patrícia Karla de Sousa Araújo",$B:$B,"&lt;&gt;Lorena Dias de Araujo",$B:$B,"&lt;&gt;Lucas Luiz Romero")*(35/1083),IF(C3222="Técnico II",SUMIFS($D:$D,$A:$A,$A3222,$B:$B,"&lt;&gt;Patrícia Karla de Sousa Araújo",$B:$B,"&lt;&gt;Lorena Dias de Araujo",$B:$B,"&lt;&gt;Lucas Luiz Romero")*(28/1083),IF(C3222="Técnico I",SUMIFS($D:$D,$A:$A,$A3222,$B:$B,"&lt;&gt;Patrícia Karla de Sousa Araújo",$B:$B,"&lt;&gt;Lorena Dias de Araujo",$B:$B,"&lt;&gt;Lucas Luiz Romero")*(23/1083),IF(C3222="JR",SUMIFS($D:$D,$A:$A,$A3222,$B:$B,"&lt;&gt;Patrícia Karla de Sousa Araújo",$B:$B,"&lt;&gt;Lorena Dias de Araujo",$B:$B,"&lt;&gt;Lucas Luiz Romero")*(20/1083),IF(C3222="Estágio",SUMIFS($D:$D,$A:$A,$A3222,$B:$B,"&lt;&gt;Patrícia Karla de Sousa Araújo",$B:$B,"&lt;&gt;Lorena Dias de Araujo",$B:$B,"&lt;&gt;Lucas Luiz Romero")*(10/1083),0)))))),0)</f>
        <v/>
      </c>
      <c r="K3222" s="3">
        <f>I3222-J3222</f>
        <v/>
      </c>
      <c r="L3222" s="3">
        <f>IF(K3222&lt;-5,"CRÍTICO",IF(K3222&lt;0,"ATENÇÃO",IF(K3222&lt;=5,"OPORTUNO","MUITO BOM")))</f>
        <v/>
      </c>
      <c r="N3222" t="n">
        <v>99.14</v>
      </c>
      <c r="O3222" t="n">
        <v>27.2289156626506</v>
      </c>
    </row>
    <row r="3223" hidden="1">
      <c r="A3223" s="11" t="n">
        <v>46101</v>
      </c>
      <c r="B3223" t="inlineStr">
        <is>
          <t>Lorena Dias de Araujo</t>
        </is>
      </c>
      <c r="C3223" t="inlineStr">
        <is>
          <t>Técnico II</t>
        </is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s="3" t="n">
        <v>0</v>
      </c>
      <c r="J3223" s="3" t="n">
        <v>0</v>
      </c>
      <c r="K3223" s="3" t="n">
        <v>0</v>
      </c>
      <c r="L3223" s="3">
        <f>IF(K3223&lt;-5,"CRÍTICO",IF(K3223&lt;0,"ATENÇÃO",IF(K3223&lt;=5,"OPORTUNO","MUITO BOM")))</f>
        <v/>
      </c>
      <c r="N3223" t="n">
        <v>97.52</v>
      </c>
      <c r="O3223" t="n">
        <v>28.2051282051282</v>
      </c>
    </row>
    <row r="3224" hidden="1">
      <c r="A3224" s="11" t="n">
        <v>46101</v>
      </c>
      <c r="B3224" t="inlineStr">
        <is>
          <t>Lucas Luiz Romero</t>
        </is>
      </c>
      <c r="C3224" t="inlineStr">
        <is>
          <t>Técnico III</t>
        </is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s="3" t="n">
        <v>0</v>
      </c>
      <c r="J3224" s="3" t="n">
        <v>0</v>
      </c>
      <c r="K3224" s="3" t="n">
        <v>0</v>
      </c>
      <c r="L3224" s="3">
        <f>IF(K3224&lt;-5,"CRÍTICO",IF(K3224&lt;0,"ATENÇÃO",IF(K3224&lt;=5,"OPORTUNO","MUITO BOM")))</f>
        <v/>
      </c>
      <c r="N3224" t="n">
        <v>90</v>
      </c>
      <c r="O3224" t="n">
        <v>24.18604651162791</v>
      </c>
    </row>
    <row r="3225" hidden="1">
      <c r="A3225" s="11" t="n">
        <v>46101</v>
      </c>
      <c r="B3225" t="inlineStr">
        <is>
          <t>Luiz Fernando de Carvalho Junior</t>
        </is>
      </c>
      <c r="C3225" t="inlineStr">
        <is>
          <t>Técnico I</t>
        </is>
      </c>
      <c r="D3225" t="n">
        <v>27</v>
      </c>
      <c r="E3225" t="n">
        <v>25</v>
      </c>
      <c r="F3225" t="n">
        <v>22.33</v>
      </c>
      <c r="G3225" t="n">
        <v>0</v>
      </c>
      <c r="H3225" t="n">
        <v>0</v>
      </c>
      <c r="I3225" s="3">
        <f>E3225+G3225+H3225</f>
        <v/>
      </c>
      <c r="J3225" s="3">
        <f>ROUND(MIN(IF(C3225="Técnico III",35,IF(C3225="Técnico II",28,IF(C3225="Técnico I",23,IF(C3225="JR",20,IF(C3225="Estágio",10,0))))),IF(C3225="Técnico III",SUMIFS($D:$D,$A:$A,$A3225,$B:$B,"&lt;&gt;Patrícia Karla de Sousa Araújo",$B:$B,"&lt;&gt;Lorena Dias de Araujo",$B:$B,"&lt;&gt;Lucas Luiz Romero")*(35/1083),IF(C3225="Técnico II",SUMIFS($D:$D,$A:$A,$A3225,$B:$B,"&lt;&gt;Patrícia Karla de Sousa Araújo",$B:$B,"&lt;&gt;Lorena Dias de Araujo",$B:$B,"&lt;&gt;Lucas Luiz Romero")*(28/1083),IF(C3225="Técnico I",SUMIFS($D:$D,$A:$A,$A3225,$B:$B,"&lt;&gt;Patrícia Karla de Sousa Araújo",$B:$B,"&lt;&gt;Lorena Dias de Araujo",$B:$B,"&lt;&gt;Lucas Luiz Romero")*(23/1083),IF(C3225="JR",SUMIFS($D:$D,$A:$A,$A3225,$B:$B,"&lt;&gt;Patrícia Karla de Sousa Araújo",$B:$B,"&lt;&gt;Lorena Dias de Araujo",$B:$B,"&lt;&gt;Lucas Luiz Romero")*(20/1083),IF(C3225="Estágio",SUMIFS($D:$D,$A:$A,$A3225,$B:$B,"&lt;&gt;Patrícia Karla de Sousa Araújo",$B:$B,"&lt;&gt;Lorena Dias de Araujo",$B:$B,"&lt;&gt;Lucas Luiz Romero")*(10/1083),0)))))),0)</f>
        <v/>
      </c>
      <c r="K3225" s="3">
        <f>I3225-J3225</f>
        <v/>
      </c>
      <c r="L3225" s="3">
        <f>IF(K3225&lt;-5,"CRÍTICO",IF(K3225&lt;0,"ATENÇÃO",IF(K3225&lt;=5,"OPORTUNO","MUITO BOM")))</f>
        <v/>
      </c>
      <c r="N3225" t="n">
        <v>98.90000000000001</v>
      </c>
      <c r="O3225" t="n">
        <v>26.7639902676399</v>
      </c>
    </row>
    <row r="3226" hidden="1">
      <c r="A3226" s="11" t="n">
        <v>46101</v>
      </c>
      <c r="B3226" t="inlineStr">
        <is>
          <t>Maria Eduarda Sousa Costa</t>
        </is>
      </c>
      <c r="C3226" t="inlineStr">
        <is>
          <t>Estágio</t>
        </is>
      </c>
      <c r="D3226" t="n">
        <v>9</v>
      </c>
      <c r="E3226" t="n">
        <v>7</v>
      </c>
      <c r="F3226" t="n">
        <v>38.37</v>
      </c>
      <c r="G3226" t="n">
        <v>0</v>
      </c>
      <c r="H3226" t="n">
        <v>0</v>
      </c>
      <c r="I3226" s="3">
        <f>E3226+G3226+H3226</f>
        <v/>
      </c>
      <c r="J3226" s="3">
        <f>ROUND(MIN(IF(C3226="Técnico III",35,IF(C3226="Técnico II",28,IF(C3226="Técnico I",23,IF(C3226="JR",20,IF(C3226="Estágio",10,0))))),IF(C3226="Técnico III",SUMIFS($D:$D,$A:$A,$A3226,$B:$B,"&lt;&gt;Patrícia Karla de Sousa Araújo",$B:$B,"&lt;&gt;Lorena Dias de Araujo",$B:$B,"&lt;&gt;Lucas Luiz Romero")*(35/1083),IF(C3226="Técnico II",SUMIFS($D:$D,$A:$A,$A3226,$B:$B,"&lt;&gt;Patrícia Karla de Sousa Araújo",$B:$B,"&lt;&gt;Lorena Dias de Araujo",$B:$B,"&lt;&gt;Lucas Luiz Romero")*(28/1083),IF(C3226="Técnico I",SUMIFS($D:$D,$A:$A,$A3226,$B:$B,"&lt;&gt;Patrícia Karla de Sousa Araújo",$B:$B,"&lt;&gt;Lorena Dias de Araujo",$B:$B,"&lt;&gt;Lucas Luiz Romero")*(23/1083),IF(C3226="JR",SUMIFS($D:$D,$A:$A,$A3226,$B:$B,"&lt;&gt;Patrícia Karla de Sousa Araújo",$B:$B,"&lt;&gt;Lorena Dias de Araujo",$B:$B,"&lt;&gt;Lucas Luiz Romero")*(20/1083),IF(C3226="Estágio",SUMIFS($D:$D,$A:$A,$A3226,$B:$B,"&lt;&gt;Patrícia Karla de Sousa Araújo",$B:$B,"&lt;&gt;Lorena Dias de Araujo",$B:$B,"&lt;&gt;Lucas Luiz Romero")*(10/1083),0)))))),0)</f>
        <v/>
      </c>
      <c r="K3226" s="3">
        <f>I3226-J3226</f>
        <v/>
      </c>
      <c r="L3226" s="3">
        <f>IF(K3226&lt;-5,"CRÍTICO",IF(K3226&lt;0,"ATENÇÃO",IF(K3226&lt;=5,"OPORTUNO","MUITO BOM")))</f>
        <v/>
      </c>
      <c r="N3226" t="n">
        <v>88.89</v>
      </c>
      <c r="O3226" t="n">
        <v>25.26315789473684</v>
      </c>
    </row>
    <row r="3227" hidden="1">
      <c r="A3227" s="11" t="n">
        <v>46101</v>
      </c>
      <c r="B3227" t="inlineStr">
        <is>
          <t>Matheus Farias De Souza</t>
        </is>
      </c>
      <c r="C3227" t="inlineStr">
        <is>
          <t>Técnico III</t>
        </is>
      </c>
      <c r="D3227" t="n">
        <v>42</v>
      </c>
      <c r="E3227" t="n">
        <v>40</v>
      </c>
      <c r="F3227" t="n">
        <v>13.39</v>
      </c>
      <c r="G3227" t="n">
        <v>0</v>
      </c>
      <c r="H3227" t="n">
        <v>0</v>
      </c>
      <c r="I3227" s="3">
        <f>E3227+G3227+H3227</f>
        <v/>
      </c>
      <c r="J3227" s="3">
        <f>ROUND(MIN(IF(C3227="Técnico III",35,IF(C3227="Técnico II",28,IF(C3227="Técnico I",23,IF(C3227="JR",20,IF(C3227="Estágio",10,0))))),IF(C3227="Técnico III",SUMIFS($D:$D,$A:$A,$A3227,$B:$B,"&lt;&gt;Patrícia Karla de Sousa Araújo",$B:$B,"&lt;&gt;Lorena Dias de Araujo",$B:$B,"&lt;&gt;Lucas Luiz Romero")*(35/1083),IF(C3227="Técnico II",SUMIFS($D:$D,$A:$A,$A3227,$B:$B,"&lt;&gt;Patrícia Karla de Sousa Araújo",$B:$B,"&lt;&gt;Lorena Dias de Araujo",$B:$B,"&lt;&gt;Lucas Luiz Romero")*(28/1083),IF(C3227="Técnico I",SUMIFS($D:$D,$A:$A,$A3227,$B:$B,"&lt;&gt;Patrícia Karla de Sousa Araújo",$B:$B,"&lt;&gt;Lorena Dias de Araujo",$B:$B,"&lt;&gt;Lucas Luiz Romero")*(23/1083),IF(C3227="JR",SUMIFS($D:$D,$A:$A,$A3227,$B:$B,"&lt;&gt;Patrícia Karla de Sousa Araújo",$B:$B,"&lt;&gt;Lorena Dias de Araujo",$B:$B,"&lt;&gt;Lucas Luiz Romero")*(20/1083),IF(C3227="Estágio",SUMIFS($D:$D,$A:$A,$A3227,$B:$B,"&lt;&gt;Patrícia Karla de Sousa Araújo",$B:$B,"&lt;&gt;Lorena Dias de Araujo",$B:$B,"&lt;&gt;Lucas Luiz Romero")*(10/1083),0)))))),0)</f>
        <v/>
      </c>
      <c r="K3227" s="3">
        <f>I3227-J3227</f>
        <v/>
      </c>
      <c r="L3227" s="3">
        <f>IF(K3227&lt;-5,"CRÍTICO",IF(K3227&lt;0,"ATENÇÃO",IF(K3227&lt;=5,"OPORTUNO","MUITO BOM")))</f>
        <v/>
      </c>
      <c r="N3227" t="n">
        <v>98.86</v>
      </c>
      <c r="O3227" t="n">
        <v>28.95927601809955</v>
      </c>
    </row>
    <row r="3228" hidden="1">
      <c r="A3228" s="11" t="n">
        <v>46101</v>
      </c>
      <c r="B3228" t="inlineStr">
        <is>
          <t>Maysa Victoria Dias Moura</t>
        </is>
      </c>
      <c r="C3228" t="inlineStr">
        <is>
          <t>Técnico III</t>
        </is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s="3" t="n">
        <v>0</v>
      </c>
      <c r="J3228" s="3" t="n">
        <v>0</v>
      </c>
      <c r="K3228" s="3" t="n">
        <v>0</v>
      </c>
      <c r="L3228" s="3">
        <f>IF(K3228&lt;-5,"CRÍTICO",IF(K3228&lt;0,"ATENÇÃO",IF(K3228&lt;=5,"OPORTUNO","MUITO BOM")))</f>
        <v/>
      </c>
      <c r="N3228" t="n">
        <v>98.06</v>
      </c>
      <c r="O3228" t="n">
        <v>22.40566037735849</v>
      </c>
    </row>
    <row r="3229" hidden="1">
      <c r="A3229" s="11" t="n">
        <v>46101</v>
      </c>
      <c r="B3229" t="inlineStr">
        <is>
          <t>Michelle G Santos</t>
        </is>
      </c>
      <c r="C3229" t="inlineStr">
        <is>
          <t>Estágio</t>
        </is>
      </c>
      <c r="D3229" t="n">
        <v>4</v>
      </c>
      <c r="E3229" t="n">
        <v>4</v>
      </c>
      <c r="F3229" t="n">
        <v>63.47</v>
      </c>
      <c r="G3229" t="n">
        <v>0</v>
      </c>
      <c r="H3229" t="n">
        <v>0</v>
      </c>
      <c r="I3229" s="3">
        <f>E3229+G3229+H3229</f>
        <v/>
      </c>
      <c r="J3229" s="3">
        <f>ROUND(MIN(IF(C3229="Técnico III",35,IF(C3229="Técnico II",28,IF(C3229="Técnico I",23,IF(C3229="JR",20,IF(C3229="Estágio",10,0))))),IF(C3229="Técnico III",SUMIFS($D:$D,$A:$A,$A3229,$B:$B,"&lt;&gt;Patrícia Karla de Sousa Araújo",$B:$B,"&lt;&gt;Lorena Dias de Araujo",$B:$B,"&lt;&gt;Lucas Luiz Romero")*(35/1083),IF(C3229="Técnico II",SUMIFS($D:$D,$A:$A,$A3229,$B:$B,"&lt;&gt;Patrícia Karla de Sousa Araújo",$B:$B,"&lt;&gt;Lorena Dias de Araujo",$B:$B,"&lt;&gt;Lucas Luiz Romero")*(28/1083),IF(C3229="Técnico I",SUMIFS($D:$D,$A:$A,$A3229,$B:$B,"&lt;&gt;Patrícia Karla de Sousa Araújo",$B:$B,"&lt;&gt;Lorena Dias de Araujo",$B:$B,"&lt;&gt;Lucas Luiz Romero")*(23/1083),IF(C3229="JR",SUMIFS($D:$D,$A:$A,$A3229,$B:$B,"&lt;&gt;Patrícia Karla de Sousa Araújo",$B:$B,"&lt;&gt;Lorena Dias de Araujo",$B:$B,"&lt;&gt;Lucas Luiz Romero")*(20/1083),IF(C3229="Estágio",SUMIFS($D:$D,$A:$A,$A3229,$B:$B,"&lt;&gt;Patrícia Karla de Sousa Araújo",$B:$B,"&lt;&gt;Lorena Dias de Araujo",$B:$B,"&lt;&gt;Lucas Luiz Romero")*(10/1083),0)))))),0)</f>
        <v/>
      </c>
      <c r="K3229" s="3">
        <f>I3229-J3229</f>
        <v/>
      </c>
      <c r="L3229" s="3">
        <f>IF(K3229&lt;-5,"CRÍTICO",IF(K3229&lt;0,"ATENÇÃO",IF(K3229&lt;=5,"OPORTUNO","MUITO BOM")))</f>
        <v/>
      </c>
      <c r="N3229" t="n">
        <v>95.83</v>
      </c>
      <c r="O3229" t="n">
        <v>25.77319587628866</v>
      </c>
    </row>
    <row r="3230" hidden="1">
      <c r="A3230" s="11" t="n">
        <v>46101</v>
      </c>
      <c r="B3230" t="inlineStr">
        <is>
          <t>Milena Sales</t>
        </is>
      </c>
      <c r="C3230" t="inlineStr">
        <is>
          <t>JR</t>
        </is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s="3" t="n">
        <v>0</v>
      </c>
      <c r="J3230" s="3" t="n">
        <v>0</v>
      </c>
      <c r="K3230" s="3" t="n">
        <v>0</v>
      </c>
      <c r="L3230" s="3">
        <f>IF(K3230&lt;-5,"CRÍTICO",IF(K3230&lt;0,"ATENÇÃO",IF(K3230&lt;=5,"OPORTUNO","MUITO BOM")))</f>
        <v/>
      </c>
      <c r="N3230" t="n">
        <v>100</v>
      </c>
      <c r="O3230" t="n">
        <v>15.38461538461539</v>
      </c>
    </row>
    <row r="3231" hidden="1">
      <c r="A3231" s="11" t="n">
        <v>46101</v>
      </c>
      <c r="B3231" t="inlineStr">
        <is>
          <t>Patrícia Karla de Sousa Araújo</t>
        </is>
      </c>
      <c r="C3231" t="inlineStr">
        <is>
          <t>Técnico II</t>
        </is>
      </c>
      <c r="D3231" t="n">
        <v>36</v>
      </c>
      <c r="E3231" t="n">
        <v>34</v>
      </c>
      <c r="F3231" t="n">
        <v>17.15</v>
      </c>
      <c r="G3231" t="n">
        <v>0</v>
      </c>
      <c r="H3231" t="n">
        <v>0</v>
      </c>
      <c r="I3231" s="3">
        <f>E3231+G3231+H3231</f>
        <v/>
      </c>
      <c r="J3231" s="3">
        <f>ROUND(MIN(IF(C3231="Técnico III",35,IF(C3231="Técnico II",28,IF(C3231="Técnico I",23,IF(C3231="JR",20,IF(C3231="Estágio",10,0))))),IF(C3231="Técnico III",SUMIFS($D:$D,$A:$A,$A3231,$B:$B,"&lt;&gt;Patrícia Karla de Sousa Araújo",$B:$B,"&lt;&gt;Lorena Dias de Araujo",$B:$B,"&lt;&gt;Lucas Luiz Romero")*(35/1083),IF(C3231="Técnico II",SUMIFS($D:$D,$A:$A,$A3231,$B:$B,"&lt;&gt;Patrícia Karla de Sousa Araújo",$B:$B,"&lt;&gt;Lorena Dias de Araujo",$B:$B,"&lt;&gt;Lucas Luiz Romero")*(28/1083),IF(C3231="Técnico I",SUMIFS($D:$D,$A:$A,$A3231,$B:$B,"&lt;&gt;Patrícia Karla de Sousa Araújo",$B:$B,"&lt;&gt;Lorena Dias de Araujo",$B:$B,"&lt;&gt;Lucas Luiz Romero")*(23/1083),IF(C3231="JR",SUMIFS($D:$D,$A:$A,$A3231,$B:$B,"&lt;&gt;Patrícia Karla de Sousa Araújo",$B:$B,"&lt;&gt;Lorena Dias de Araujo",$B:$B,"&lt;&gt;Lucas Luiz Romero")*(20/1083),IF(C3231="Estágio",SUMIFS($D:$D,$A:$A,$A3231,$B:$B,"&lt;&gt;Patrícia Karla de Sousa Araújo",$B:$B,"&lt;&gt;Lorena Dias de Araujo",$B:$B,"&lt;&gt;Lucas Luiz Romero")*(10/1083),0)))))),0)</f>
        <v/>
      </c>
      <c r="K3231" s="3">
        <f>I3231-J3231</f>
        <v/>
      </c>
      <c r="L3231" s="3">
        <f>IF(K3231&lt;-5,"CRÍTICO",IF(K3231&lt;0,"ATENÇÃO",IF(K3231&lt;=5,"OPORTUNO","MUITO BOM")))</f>
        <v/>
      </c>
      <c r="N3231" t="n">
        <v>100</v>
      </c>
      <c r="O3231" t="n">
        <v>27.51479289940828</v>
      </c>
    </row>
    <row r="3232" hidden="1">
      <c r="A3232" s="11" t="n">
        <v>46101</v>
      </c>
      <c r="B3232" t="inlineStr">
        <is>
          <t>Paulo Ricardo Santos</t>
        </is>
      </c>
      <c r="C3232" t="inlineStr">
        <is>
          <t>JR</t>
        </is>
      </c>
      <c r="D3232" t="n">
        <v>14</v>
      </c>
      <c r="E3232" t="n">
        <v>13</v>
      </c>
      <c r="F3232" t="n">
        <v>38.42</v>
      </c>
      <c r="G3232" t="n">
        <v>0</v>
      </c>
      <c r="H3232" t="n">
        <v>0</v>
      </c>
      <c r="I3232" s="3">
        <f>E3232+G3232+H3232</f>
        <v/>
      </c>
      <c r="J3232" s="3">
        <f>ROUND(MIN(IF(C3232="Técnico III",35,IF(C3232="Técnico II",28,IF(C3232="Técnico I",23,IF(C3232="JR",20,IF(C3232="Estágio",10,0))))),IF(C3232="Técnico III",SUMIFS($D:$D,$A:$A,$A3232,$B:$B,"&lt;&gt;Patrícia Karla de Sousa Araújo",$B:$B,"&lt;&gt;Lorena Dias de Araujo",$B:$B,"&lt;&gt;Lucas Luiz Romero")*(35/1083),IF(C3232="Técnico II",SUMIFS($D:$D,$A:$A,$A3232,$B:$B,"&lt;&gt;Patrícia Karla de Sousa Araújo",$B:$B,"&lt;&gt;Lorena Dias de Araujo",$B:$B,"&lt;&gt;Lucas Luiz Romero")*(28/1083),IF(C3232="Técnico I",SUMIFS($D:$D,$A:$A,$A3232,$B:$B,"&lt;&gt;Patrícia Karla de Sousa Araújo",$B:$B,"&lt;&gt;Lorena Dias de Araujo",$B:$B,"&lt;&gt;Lucas Luiz Romero")*(23/1083),IF(C3232="JR",SUMIFS($D:$D,$A:$A,$A3232,$B:$B,"&lt;&gt;Patrícia Karla de Sousa Araújo",$B:$B,"&lt;&gt;Lorena Dias de Araujo",$B:$B,"&lt;&gt;Lucas Luiz Romero")*(20/1083),IF(C3232="Estágio",SUMIFS($D:$D,$A:$A,$A3232,$B:$B,"&lt;&gt;Patrícia Karla de Sousa Araújo",$B:$B,"&lt;&gt;Lorena Dias de Araujo",$B:$B,"&lt;&gt;Lucas Luiz Romero")*(10/1083),0)))))),0)</f>
        <v/>
      </c>
      <c r="K3232" s="3">
        <f>I3232-J3232</f>
        <v/>
      </c>
      <c r="L3232" s="3">
        <f>IF(K3232&lt;-5,"CRÍTICO",IF(K3232&lt;0,"ATENÇÃO",IF(K3232&lt;=5,"OPORTUNO","MUITO BOM")))</f>
        <v/>
      </c>
      <c r="N3232" t="n">
        <v>100</v>
      </c>
      <c r="O3232" t="n">
        <v>24.87562189054727</v>
      </c>
    </row>
    <row r="3233" hidden="1">
      <c r="A3233" s="11" t="n">
        <v>46101</v>
      </c>
      <c r="B3233" t="inlineStr">
        <is>
          <t>Pedro Luiz Mota Sousa</t>
        </is>
      </c>
      <c r="C3233" t="inlineStr">
        <is>
          <t>JR</t>
        </is>
      </c>
      <c r="D3233" t="n">
        <v>16</v>
      </c>
      <c r="E3233" t="n">
        <v>16</v>
      </c>
      <c r="F3233" t="n">
        <v>33.32</v>
      </c>
      <c r="G3233" t="n">
        <v>0</v>
      </c>
      <c r="H3233" t="n">
        <v>0</v>
      </c>
      <c r="I3233" s="3">
        <f>E3233+G3233+H3233</f>
        <v/>
      </c>
      <c r="J3233" s="3">
        <f>ROUND(MIN(IF(C3233="Técnico III",35,IF(C3233="Técnico II",28,IF(C3233="Técnico I",23,IF(C3233="JR",20,IF(C3233="Estágio",10,0))))),IF(C3233="Técnico III",SUMIFS($D:$D,$A:$A,$A3233,$B:$B,"&lt;&gt;Patrícia Karla de Sousa Araújo",$B:$B,"&lt;&gt;Lorena Dias de Araujo",$B:$B,"&lt;&gt;Lucas Luiz Romero")*(35/1083),IF(C3233="Técnico II",SUMIFS($D:$D,$A:$A,$A3233,$B:$B,"&lt;&gt;Patrícia Karla de Sousa Araújo",$B:$B,"&lt;&gt;Lorena Dias de Araujo",$B:$B,"&lt;&gt;Lucas Luiz Romero")*(28/1083),IF(C3233="Técnico I",SUMIFS($D:$D,$A:$A,$A3233,$B:$B,"&lt;&gt;Patrícia Karla de Sousa Araújo",$B:$B,"&lt;&gt;Lorena Dias de Araujo",$B:$B,"&lt;&gt;Lucas Luiz Romero")*(23/1083),IF(C3233="JR",SUMIFS($D:$D,$A:$A,$A3233,$B:$B,"&lt;&gt;Patrícia Karla de Sousa Araújo",$B:$B,"&lt;&gt;Lorena Dias de Araujo",$B:$B,"&lt;&gt;Lucas Luiz Romero")*(20/1083),IF(C3233="Estágio",SUMIFS($D:$D,$A:$A,$A3233,$B:$B,"&lt;&gt;Patrícia Karla de Sousa Araújo",$B:$B,"&lt;&gt;Lorena Dias de Araujo",$B:$B,"&lt;&gt;Lucas Luiz Romero")*(10/1083),0)))))),0)</f>
        <v/>
      </c>
      <c r="K3233" s="3">
        <f>I3233-J3233</f>
        <v/>
      </c>
      <c r="L3233" s="3">
        <f>IF(K3233&lt;-5,"CRÍTICO",IF(K3233&lt;0,"ATENÇÃO",IF(K3233&lt;=5,"OPORTUNO","MUITO BOM")))</f>
        <v/>
      </c>
      <c r="N3233" t="n">
        <v>100</v>
      </c>
      <c r="O3233" t="n">
        <v>28.10810810810811</v>
      </c>
    </row>
    <row r="3234" hidden="1">
      <c r="A3234" s="11" t="n">
        <v>46101</v>
      </c>
      <c r="B3234" t="inlineStr">
        <is>
          <t>Quirino Diogo Leite Torres</t>
        </is>
      </c>
      <c r="C3234" t="inlineStr">
        <is>
          <t>Estágio</t>
        </is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s="3" t="n">
        <v>0</v>
      </c>
      <c r="J3234" s="3" t="n">
        <v>0</v>
      </c>
      <c r="K3234" s="3" t="n">
        <v>0</v>
      </c>
      <c r="L3234" s="3">
        <f>IF(K3234&lt;-5,"CRÍTICO",IF(K3234&lt;0,"ATENÇÃO",IF(K3234&lt;=5,"OPORTUNO","MUITO BOM")))</f>
        <v/>
      </c>
      <c r="N3234" t="n">
        <v>100</v>
      </c>
      <c r="O3234" t="n">
        <v>35</v>
      </c>
    </row>
    <row r="3235" hidden="1">
      <c r="A3235" s="11" t="n">
        <v>46101</v>
      </c>
      <c r="B3235" t="inlineStr">
        <is>
          <t>Raane Batista Matos</t>
        </is>
      </c>
      <c r="C3235" t="inlineStr">
        <is>
          <t>Técnico I</t>
        </is>
      </c>
      <c r="D3235" t="n">
        <v>21</v>
      </c>
      <c r="E3235" t="n">
        <v>20</v>
      </c>
      <c r="F3235" t="n">
        <v>29.14</v>
      </c>
      <c r="G3235" t="n">
        <v>0</v>
      </c>
      <c r="H3235" t="n">
        <v>0</v>
      </c>
      <c r="I3235" s="3">
        <f>E3235+G3235+H3235</f>
        <v/>
      </c>
      <c r="J3235" s="3">
        <f>ROUND(MIN(IF(C3235="Técnico III",35,IF(C3235="Técnico II",28,IF(C3235="Técnico I",23,IF(C3235="JR",20,IF(C3235="Estágio",10,0))))),IF(C3235="Técnico III",SUMIFS($D:$D,$A:$A,$A3235,$B:$B,"&lt;&gt;Patrícia Karla de Sousa Araújo",$B:$B,"&lt;&gt;Lorena Dias de Araujo",$B:$B,"&lt;&gt;Lucas Luiz Romero")*(35/1083),IF(C3235="Técnico II",SUMIFS($D:$D,$A:$A,$A3235,$B:$B,"&lt;&gt;Patrícia Karla de Sousa Araújo",$B:$B,"&lt;&gt;Lorena Dias de Araujo",$B:$B,"&lt;&gt;Lucas Luiz Romero")*(28/1083),IF(C3235="Técnico I",SUMIFS($D:$D,$A:$A,$A3235,$B:$B,"&lt;&gt;Patrícia Karla de Sousa Araújo",$B:$B,"&lt;&gt;Lorena Dias de Araujo",$B:$B,"&lt;&gt;Lucas Luiz Romero")*(23/1083),IF(C3235="JR",SUMIFS($D:$D,$A:$A,$A3235,$B:$B,"&lt;&gt;Patrícia Karla de Sousa Araújo",$B:$B,"&lt;&gt;Lorena Dias de Araujo",$B:$B,"&lt;&gt;Lucas Luiz Romero")*(20/1083),IF(C3235="Estágio",SUMIFS($D:$D,$A:$A,$A3235,$B:$B,"&lt;&gt;Patrícia Karla de Sousa Araújo",$B:$B,"&lt;&gt;Lorena Dias de Araujo",$B:$B,"&lt;&gt;Lucas Luiz Romero")*(10/1083),0)))))),0)</f>
        <v/>
      </c>
      <c r="K3235" s="3">
        <f>I3235-J3235</f>
        <v/>
      </c>
      <c r="L3235" s="3">
        <f>IF(K3235&lt;-5,"CRÍTICO",IF(K3235&lt;0,"ATENÇÃO",IF(K3235&lt;=5,"OPORTUNO","MUITO BOM")))</f>
        <v/>
      </c>
      <c r="N3235" t="n">
        <v>95.34999999999999</v>
      </c>
      <c r="O3235" t="n">
        <v>28.61538461538461</v>
      </c>
    </row>
    <row r="3236" hidden="1">
      <c r="A3236" s="11" t="n">
        <v>46101</v>
      </c>
      <c r="B3236" t="inlineStr">
        <is>
          <t>Rafael Gomes de Morais</t>
        </is>
      </c>
      <c r="C3236" t="inlineStr">
        <is>
          <t>Técnico III</t>
        </is>
      </c>
      <c r="D3236" t="n">
        <v>34</v>
      </c>
      <c r="E3236" t="n">
        <v>34</v>
      </c>
      <c r="F3236" t="n">
        <v>15.17</v>
      </c>
      <c r="G3236" t="n">
        <v>0</v>
      </c>
      <c r="H3236" t="n">
        <v>0</v>
      </c>
      <c r="I3236" s="3">
        <f>E3236+G3236+H3236</f>
        <v/>
      </c>
      <c r="J3236" s="3">
        <f>ROUND(MIN(IF(C3236="Técnico III",35,IF(C3236="Técnico II",28,IF(C3236="Técnico I",23,IF(C3236="JR",20,IF(C3236="Estágio",10,0))))),IF(C3236="Técnico III",SUMIFS($D:$D,$A:$A,$A3236,$B:$B,"&lt;&gt;Patrícia Karla de Sousa Araújo",$B:$B,"&lt;&gt;Lorena Dias de Araujo",$B:$B,"&lt;&gt;Lucas Luiz Romero")*(35/1083),IF(C3236="Técnico II",SUMIFS($D:$D,$A:$A,$A3236,$B:$B,"&lt;&gt;Patrícia Karla de Sousa Araújo",$B:$B,"&lt;&gt;Lorena Dias de Araujo",$B:$B,"&lt;&gt;Lucas Luiz Romero")*(28/1083),IF(C3236="Técnico I",SUMIFS($D:$D,$A:$A,$A3236,$B:$B,"&lt;&gt;Patrícia Karla de Sousa Araújo",$B:$B,"&lt;&gt;Lorena Dias de Araujo",$B:$B,"&lt;&gt;Lucas Luiz Romero")*(23/1083),IF(C3236="JR",SUMIFS($D:$D,$A:$A,$A3236,$B:$B,"&lt;&gt;Patrícia Karla de Sousa Araújo",$B:$B,"&lt;&gt;Lorena Dias de Araujo",$B:$B,"&lt;&gt;Lucas Luiz Romero")*(20/1083),IF(C3236="Estágio",SUMIFS($D:$D,$A:$A,$A3236,$B:$B,"&lt;&gt;Patrícia Karla de Sousa Araújo",$B:$B,"&lt;&gt;Lorena Dias de Araujo",$B:$B,"&lt;&gt;Lucas Luiz Romero")*(10/1083),0)))))),0)</f>
        <v/>
      </c>
      <c r="K3236" s="3">
        <f>I3236-J3236</f>
        <v/>
      </c>
      <c r="L3236" s="3">
        <f>IF(K3236&lt;-5,"CRÍTICO",IF(K3236&lt;0,"ATENÇÃO",IF(K3236&lt;=5,"OPORTUNO","MUITO BOM")))</f>
        <v/>
      </c>
      <c r="N3236" t="n">
        <v>98.26000000000001</v>
      </c>
      <c r="O3236" t="n">
        <v>27.54491017964072</v>
      </c>
    </row>
    <row r="3237" hidden="1">
      <c r="A3237" s="11" t="n">
        <v>46101</v>
      </c>
      <c r="B3237" t="inlineStr">
        <is>
          <t>Sara Maria Monteiro Lopes</t>
        </is>
      </c>
      <c r="C3237" t="inlineStr">
        <is>
          <t>Técnico I</t>
        </is>
      </c>
      <c r="D3237" t="n">
        <v>19</v>
      </c>
      <c r="E3237" t="n">
        <v>18</v>
      </c>
      <c r="F3237" t="n">
        <v>24.03</v>
      </c>
      <c r="G3237" t="n">
        <v>0</v>
      </c>
      <c r="H3237" t="n">
        <v>0</v>
      </c>
      <c r="I3237" s="3">
        <f>E3237+G3237+H3237</f>
        <v/>
      </c>
      <c r="J3237" s="3">
        <f>ROUND(MIN(IF(C3237="Técnico III",35,IF(C3237="Técnico II",28,IF(C3237="Técnico I",23,IF(C3237="JR",20,IF(C3237="Estágio",10,0))))),IF(C3237="Técnico III",SUMIFS($D:$D,$A:$A,$A3237,$B:$B,"&lt;&gt;Patrícia Karla de Sousa Araújo",$B:$B,"&lt;&gt;Lorena Dias de Araujo",$B:$B,"&lt;&gt;Lucas Luiz Romero")*(35/1083),IF(C3237="Técnico II",SUMIFS($D:$D,$A:$A,$A3237,$B:$B,"&lt;&gt;Patrícia Karla de Sousa Araújo",$B:$B,"&lt;&gt;Lorena Dias de Araujo",$B:$B,"&lt;&gt;Lucas Luiz Romero")*(28/1083),IF(C3237="Técnico I",SUMIFS($D:$D,$A:$A,$A3237,$B:$B,"&lt;&gt;Patrícia Karla de Sousa Araújo",$B:$B,"&lt;&gt;Lorena Dias de Araujo",$B:$B,"&lt;&gt;Lucas Luiz Romero")*(23/1083),IF(C3237="JR",SUMIFS($D:$D,$A:$A,$A3237,$B:$B,"&lt;&gt;Patrícia Karla de Sousa Araújo",$B:$B,"&lt;&gt;Lorena Dias de Araujo",$B:$B,"&lt;&gt;Lucas Luiz Romero")*(20/1083),IF(C3237="Estágio",SUMIFS($D:$D,$A:$A,$A3237,$B:$B,"&lt;&gt;Patrícia Karla de Sousa Araújo",$B:$B,"&lt;&gt;Lorena Dias de Araujo",$B:$B,"&lt;&gt;Lucas Luiz Romero")*(10/1083),0)))))),0)</f>
        <v/>
      </c>
      <c r="K3237" s="3">
        <f>I3237-J3237</f>
        <v/>
      </c>
      <c r="L3237" s="3">
        <f>IF(K3237&lt;-5,"CRÍTICO",IF(K3237&lt;0,"ATENÇÃO",IF(K3237&lt;=5,"OPORTUNO","MUITO BOM")))</f>
        <v/>
      </c>
      <c r="N3237" t="n">
        <v>98.55</v>
      </c>
      <c r="O3237" t="n">
        <v>25.33783783783784</v>
      </c>
    </row>
    <row r="3238" hidden="1">
      <c r="A3238" s="11" t="n">
        <v>46101</v>
      </c>
      <c r="B3238" t="inlineStr">
        <is>
          <t>Sarah Steffanie de Lima Borges</t>
        </is>
      </c>
      <c r="C3238" t="inlineStr">
        <is>
          <t>Técnico III</t>
        </is>
      </c>
      <c r="D3238" t="n">
        <v>33</v>
      </c>
      <c r="E3238" t="n">
        <v>32</v>
      </c>
      <c r="F3238" t="n">
        <v>19.05</v>
      </c>
      <c r="G3238" t="n">
        <v>0</v>
      </c>
      <c r="H3238" t="n">
        <v>0</v>
      </c>
      <c r="I3238" s="3">
        <f>E3238+G3238+H3238</f>
        <v/>
      </c>
      <c r="J3238" s="3">
        <f>ROUND(MIN(IF(C3238="Técnico III",35,IF(C3238="Técnico II",28,IF(C3238="Técnico I",23,IF(C3238="JR",20,IF(C3238="Estágio",10,0))))),IF(C3238="Técnico III",SUMIFS($D:$D,$A:$A,$A3238,$B:$B,"&lt;&gt;Patrícia Karla de Sousa Araújo",$B:$B,"&lt;&gt;Lorena Dias de Araujo",$B:$B,"&lt;&gt;Lucas Luiz Romero")*(35/1083),IF(C3238="Técnico II",SUMIFS($D:$D,$A:$A,$A3238,$B:$B,"&lt;&gt;Patrícia Karla de Sousa Araújo",$B:$B,"&lt;&gt;Lorena Dias de Araujo",$B:$B,"&lt;&gt;Lucas Luiz Romero")*(28/1083),IF(C3238="Técnico I",SUMIFS($D:$D,$A:$A,$A3238,$B:$B,"&lt;&gt;Patrícia Karla de Sousa Araújo",$B:$B,"&lt;&gt;Lorena Dias de Araujo",$B:$B,"&lt;&gt;Lucas Luiz Romero")*(23/1083),IF(C3238="JR",SUMIFS($D:$D,$A:$A,$A3238,$B:$B,"&lt;&gt;Patrícia Karla de Sousa Araújo",$B:$B,"&lt;&gt;Lorena Dias de Araujo",$B:$B,"&lt;&gt;Lucas Luiz Romero")*(20/1083),IF(C3238="Estágio",SUMIFS($D:$D,$A:$A,$A3238,$B:$B,"&lt;&gt;Patrícia Karla de Sousa Araújo",$B:$B,"&lt;&gt;Lorena Dias de Araujo",$B:$B,"&lt;&gt;Lucas Luiz Romero")*(10/1083),0)))))),0)</f>
        <v/>
      </c>
      <c r="K3238" s="3">
        <f>I3238-J3238</f>
        <v/>
      </c>
      <c r="L3238" s="3">
        <f>IF(K3238&lt;-5,"CRÍTICO",IF(K3238&lt;0,"ATENÇÃO",IF(K3238&lt;=5,"OPORTUNO","MUITO BOM")))</f>
        <v/>
      </c>
      <c r="N3238" t="n">
        <v>98.39</v>
      </c>
      <c r="O3238" t="n">
        <v>25.56390977443609</v>
      </c>
    </row>
    <row r="3239" hidden="1">
      <c r="A3239" s="11" t="n">
        <v>46104</v>
      </c>
      <c r="B3239" t="inlineStr">
        <is>
          <t>Alisson de Freitas Silva</t>
        </is>
      </c>
      <c r="C3239" t="inlineStr">
        <is>
          <t>Técnico II</t>
        </is>
      </c>
      <c r="D3239" t="n">
        <v>28</v>
      </c>
      <c r="E3239" t="n">
        <v>25</v>
      </c>
      <c r="F3239" t="n">
        <v>13.45</v>
      </c>
      <c r="G3239" t="n">
        <v>0</v>
      </c>
      <c r="H3239" t="n">
        <v>0</v>
      </c>
      <c r="I3239" s="3">
        <f>E3239+G3239+H3239</f>
        <v/>
      </c>
      <c r="J3239" s="3">
        <f>ROUND(MIN(IF(C3239="Técnico III",35,IF(C3239="Técnico II",28,IF(C3239="Técnico I",23,IF(C3239="JR",20,IF(C3239="Estágio",10,0))))),IF(C3239="Técnico III",SUMIFS($D:$D,$A:$A,$A3239,$B:$B,"&lt;&gt;Patrícia Karla de Sousa Araújo",$B:$B,"&lt;&gt;Lorena Dias de Araujo",$B:$B,"&lt;&gt;Lucas Luiz Romero")*(35/1083),IF(C3239="Técnico II",SUMIFS($D:$D,$A:$A,$A3239,$B:$B,"&lt;&gt;Patrícia Karla de Sousa Araújo",$B:$B,"&lt;&gt;Lorena Dias de Araujo",$B:$B,"&lt;&gt;Lucas Luiz Romero")*(28/1083),IF(C3239="Técnico I",SUMIFS($D:$D,$A:$A,$A3239,$B:$B,"&lt;&gt;Patrícia Karla de Sousa Araújo",$B:$B,"&lt;&gt;Lorena Dias de Araujo",$B:$B,"&lt;&gt;Lucas Luiz Romero")*(23/1083),IF(C3239="JR",SUMIFS($D:$D,$A:$A,$A3239,$B:$B,"&lt;&gt;Patrícia Karla de Sousa Araújo",$B:$B,"&lt;&gt;Lorena Dias de Araujo",$B:$B,"&lt;&gt;Lucas Luiz Romero")*(20/1083),IF(C3239="Estágio",SUMIFS($D:$D,$A:$A,$A3239,$B:$B,"&lt;&gt;Patrícia Karla de Sousa Araújo",$B:$B,"&lt;&gt;Lorena Dias de Araujo",$B:$B,"&lt;&gt;Lucas Luiz Romero")*(10/1083),0)))))),0)</f>
        <v/>
      </c>
      <c r="K3239" s="3">
        <f>I3239-J3239</f>
        <v/>
      </c>
      <c r="L3239" s="3">
        <f>IF(K3239&lt;-5,"CRÍTICO",IF(K3239&lt;0,"ATENÇÃO",IF(K3239&lt;=5,"OPORTUNO","MUITO BOM")))</f>
        <v/>
      </c>
      <c r="N3239" t="n">
        <v>94.29000000000001</v>
      </c>
      <c r="O3239" t="n">
        <v>25.64766839378239</v>
      </c>
    </row>
    <row r="3240" hidden="1">
      <c r="A3240" s="11" t="n">
        <v>46104</v>
      </c>
      <c r="B3240" t="inlineStr">
        <is>
          <t>Amanda Moura Ferreira</t>
        </is>
      </c>
      <c r="C3240" t="inlineStr">
        <is>
          <t>Técnico III</t>
        </is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s="3" t="n">
        <v>0</v>
      </c>
      <c r="J3240" s="3" t="n">
        <v>0</v>
      </c>
      <c r="K3240" s="3" t="n">
        <v>0</v>
      </c>
      <c r="L3240" s="3">
        <f>IF(K3240&lt;-5,"CRÍTICO",IF(K3240&lt;0,"ATENÇÃO",IF(K3240&lt;=5,"OPORTUNO","MUITO BOM")))</f>
        <v/>
      </c>
      <c r="N3240" t="n">
        <v>98.26000000000001</v>
      </c>
      <c r="O3240" t="n">
        <v>26.66666666666667</v>
      </c>
    </row>
    <row r="3241" hidden="1">
      <c r="A3241" s="11" t="n">
        <v>46104</v>
      </c>
      <c r="B3241" t="inlineStr">
        <is>
          <t>Ana Karollyne Souza Faria</t>
        </is>
      </c>
      <c r="C3241" t="inlineStr">
        <is>
          <t>Técnico I</t>
        </is>
      </c>
      <c r="D3241" t="n">
        <v>24</v>
      </c>
      <c r="E3241" t="n">
        <v>22</v>
      </c>
      <c r="F3241" t="n">
        <v>23.59</v>
      </c>
      <c r="G3241" t="n">
        <v>0</v>
      </c>
      <c r="H3241" t="n">
        <v>0</v>
      </c>
      <c r="I3241" s="3">
        <f>E3241+G3241+H3241</f>
        <v/>
      </c>
      <c r="J3241" s="3">
        <f>ROUND(MIN(IF(C3241="Técnico III",35,IF(C3241="Técnico II",28,IF(C3241="Técnico I",23,IF(C3241="JR",20,IF(C3241="Estágio",10,0))))),IF(C3241="Técnico III",SUMIFS($D:$D,$A:$A,$A3241,$B:$B,"&lt;&gt;Patrícia Karla de Sousa Araújo",$B:$B,"&lt;&gt;Lorena Dias de Araujo",$B:$B,"&lt;&gt;Lucas Luiz Romero")*(35/1083),IF(C3241="Técnico II",SUMIFS($D:$D,$A:$A,$A3241,$B:$B,"&lt;&gt;Patrícia Karla de Sousa Araújo",$B:$B,"&lt;&gt;Lorena Dias de Araujo",$B:$B,"&lt;&gt;Lucas Luiz Romero")*(28/1083),IF(C3241="Técnico I",SUMIFS($D:$D,$A:$A,$A3241,$B:$B,"&lt;&gt;Patrícia Karla de Sousa Araújo",$B:$B,"&lt;&gt;Lorena Dias de Araujo",$B:$B,"&lt;&gt;Lucas Luiz Romero")*(23/1083),IF(C3241="JR",SUMIFS($D:$D,$A:$A,$A3241,$B:$B,"&lt;&gt;Patrícia Karla de Sousa Araújo",$B:$B,"&lt;&gt;Lorena Dias de Araujo",$B:$B,"&lt;&gt;Lucas Luiz Romero")*(20/1083),IF(C3241="Estágio",SUMIFS($D:$D,$A:$A,$A3241,$B:$B,"&lt;&gt;Patrícia Karla de Sousa Araújo",$B:$B,"&lt;&gt;Lorena Dias de Araujo",$B:$B,"&lt;&gt;Lucas Luiz Romero")*(10/1083),0)))))),0)</f>
        <v/>
      </c>
      <c r="K3241" s="3">
        <f>I3241-J3241</f>
        <v/>
      </c>
      <c r="L3241" s="3">
        <f>IF(K3241&lt;-5,"CRÍTICO",IF(K3241&lt;0,"ATENÇÃO",IF(K3241&lt;=5,"OPORTUNO","MUITO BOM")))</f>
        <v/>
      </c>
      <c r="N3241" t="n">
        <v>98.2</v>
      </c>
      <c r="O3241" t="n">
        <v>23.37962962962963</v>
      </c>
    </row>
    <row r="3242" hidden="1">
      <c r="A3242" s="11" t="n">
        <v>46104</v>
      </c>
      <c r="B3242" t="inlineStr">
        <is>
          <t>Ana Paula Da Luz Silva Aleixo</t>
        </is>
      </c>
      <c r="C3242" t="inlineStr">
        <is>
          <t>Técnico III</t>
        </is>
      </c>
      <c r="D3242" t="n">
        <v>21</v>
      </c>
      <c r="E3242" t="n">
        <v>18</v>
      </c>
      <c r="F3242" t="n">
        <v>18.25</v>
      </c>
      <c r="G3242" t="n">
        <v>0</v>
      </c>
      <c r="H3242" t="n">
        <v>0</v>
      </c>
      <c r="I3242" s="3">
        <f>E3242+G3242+H3242</f>
        <v/>
      </c>
      <c r="J3242" s="3">
        <f>ROUND(MIN(IF(C3242="Técnico III",35,IF(C3242="Técnico II",28,IF(C3242="Técnico I",23,IF(C3242="JR",20,IF(C3242="Estágio",10,0))))),IF(C3242="Técnico III",SUMIFS($D:$D,$A:$A,$A3242,$B:$B,"&lt;&gt;Patrícia Karla de Sousa Araújo",$B:$B,"&lt;&gt;Lorena Dias de Araujo",$B:$B,"&lt;&gt;Lucas Luiz Romero")*(35/1083),IF(C3242="Técnico II",SUMIFS($D:$D,$A:$A,$A3242,$B:$B,"&lt;&gt;Patrícia Karla de Sousa Araújo",$B:$B,"&lt;&gt;Lorena Dias de Araujo",$B:$B,"&lt;&gt;Lucas Luiz Romero")*(28/1083),IF(C3242="Técnico I",SUMIFS($D:$D,$A:$A,$A3242,$B:$B,"&lt;&gt;Patrícia Karla de Sousa Araújo",$B:$B,"&lt;&gt;Lorena Dias de Araujo",$B:$B,"&lt;&gt;Lucas Luiz Romero")*(23/1083),IF(C3242="JR",SUMIFS($D:$D,$A:$A,$A3242,$B:$B,"&lt;&gt;Patrícia Karla de Sousa Araújo",$B:$B,"&lt;&gt;Lorena Dias de Araujo",$B:$B,"&lt;&gt;Lucas Luiz Romero")*(20/1083),IF(C3242="Estágio",SUMIFS($D:$D,$A:$A,$A3242,$B:$B,"&lt;&gt;Patrícia Karla de Sousa Araújo",$B:$B,"&lt;&gt;Lorena Dias de Araujo",$B:$B,"&lt;&gt;Lucas Luiz Romero")*(10/1083),0)))))),0)</f>
        <v/>
      </c>
      <c r="K3242" s="3">
        <f>I3242-J3242</f>
        <v/>
      </c>
      <c r="L3242" s="3">
        <f>IF(K3242&lt;-5,"CRÍTICO",IF(K3242&lt;0,"ATENÇÃO",IF(K3242&lt;=5,"OPORTUNO","MUITO BOM")))</f>
        <v/>
      </c>
      <c r="N3242" t="n">
        <v>97.3</v>
      </c>
      <c r="O3242" t="n">
        <v>23.84769539078156</v>
      </c>
    </row>
    <row r="3243" hidden="1">
      <c r="A3243" s="11" t="n">
        <v>46104</v>
      </c>
      <c r="B3243" t="inlineStr">
        <is>
          <t>Anna Luiza Rezende Tavares</t>
        </is>
      </c>
      <c r="C3243" t="inlineStr">
        <is>
          <t>Estágio</t>
        </is>
      </c>
      <c r="D3243" t="n">
        <v>12</v>
      </c>
      <c r="E3243" t="n">
        <v>10</v>
      </c>
      <c r="F3243" t="n">
        <v>33.47</v>
      </c>
      <c r="G3243" t="n">
        <v>0</v>
      </c>
      <c r="H3243" t="n">
        <v>0</v>
      </c>
      <c r="I3243" s="3">
        <f>E3243+G3243+H3243</f>
        <v/>
      </c>
      <c r="J3243" s="3">
        <f>ROUND(MIN(IF(C3243="Técnico III",35,IF(C3243="Técnico II",28,IF(C3243="Técnico I",23,IF(C3243="JR",20,IF(C3243="Estágio",10,0))))),IF(C3243="Técnico III",SUMIFS($D:$D,$A:$A,$A3243,$B:$B,"&lt;&gt;Patrícia Karla de Sousa Araújo",$B:$B,"&lt;&gt;Lorena Dias de Araujo",$B:$B,"&lt;&gt;Lucas Luiz Romero")*(35/1083),IF(C3243="Técnico II",SUMIFS($D:$D,$A:$A,$A3243,$B:$B,"&lt;&gt;Patrícia Karla de Sousa Araújo",$B:$B,"&lt;&gt;Lorena Dias de Araujo",$B:$B,"&lt;&gt;Lucas Luiz Romero")*(28/1083),IF(C3243="Técnico I",SUMIFS($D:$D,$A:$A,$A3243,$B:$B,"&lt;&gt;Patrícia Karla de Sousa Araújo",$B:$B,"&lt;&gt;Lorena Dias de Araujo",$B:$B,"&lt;&gt;Lucas Luiz Romero")*(23/1083),IF(C3243="JR",SUMIFS($D:$D,$A:$A,$A3243,$B:$B,"&lt;&gt;Patrícia Karla de Sousa Araújo",$B:$B,"&lt;&gt;Lorena Dias de Araujo",$B:$B,"&lt;&gt;Lucas Luiz Romero")*(20/1083),IF(C3243="Estágio",SUMIFS($D:$D,$A:$A,$A3243,$B:$B,"&lt;&gt;Patrícia Karla de Sousa Araújo",$B:$B,"&lt;&gt;Lorena Dias de Araujo",$B:$B,"&lt;&gt;Lucas Luiz Romero")*(10/1083),0)))))),0)</f>
        <v/>
      </c>
      <c r="K3243" s="3">
        <f>I3243-J3243</f>
        <v/>
      </c>
      <c r="L3243" s="3">
        <f>IF(K3243&lt;-5,"CRÍTICO",IF(K3243&lt;0,"ATENÇÃO",IF(K3243&lt;=5,"OPORTUNO","MUITO BOM")))</f>
        <v/>
      </c>
      <c r="N3243" t="n">
        <v>100</v>
      </c>
      <c r="O3243" t="n">
        <v>25.26881720430108</v>
      </c>
    </row>
    <row r="3244" hidden="1">
      <c r="A3244" s="11" t="n">
        <v>46104</v>
      </c>
      <c r="B3244" t="inlineStr">
        <is>
          <t>Brenda de Menezes Silva</t>
        </is>
      </c>
      <c r="C3244" t="inlineStr">
        <is>
          <t>Técnico II</t>
        </is>
      </c>
      <c r="D3244" t="n">
        <v>24</v>
      </c>
      <c r="E3244" t="n">
        <v>21</v>
      </c>
      <c r="F3244" t="n">
        <v>12.05</v>
      </c>
      <c r="G3244" t="n">
        <v>0</v>
      </c>
      <c r="H3244" t="n">
        <v>0</v>
      </c>
      <c r="I3244" s="3">
        <f>E3244+G3244+H3244</f>
        <v/>
      </c>
      <c r="J3244" s="3">
        <f>ROUND(MIN(IF(C3244="Técnico III",35,IF(C3244="Técnico II",28,IF(C3244="Técnico I",23,IF(C3244="JR",20,IF(C3244="Estágio",10,0))))),IF(C3244="Técnico III",SUMIFS($D:$D,$A:$A,$A3244,$B:$B,"&lt;&gt;Patrícia Karla de Sousa Araújo",$B:$B,"&lt;&gt;Lorena Dias de Araujo",$B:$B,"&lt;&gt;Lucas Luiz Romero")*(35/1083),IF(C3244="Técnico II",SUMIFS($D:$D,$A:$A,$A3244,$B:$B,"&lt;&gt;Patrícia Karla de Sousa Araújo",$B:$B,"&lt;&gt;Lorena Dias de Araujo",$B:$B,"&lt;&gt;Lucas Luiz Romero")*(28/1083),IF(C3244="Técnico I",SUMIFS($D:$D,$A:$A,$A3244,$B:$B,"&lt;&gt;Patrícia Karla de Sousa Araújo",$B:$B,"&lt;&gt;Lorena Dias de Araujo",$B:$B,"&lt;&gt;Lucas Luiz Romero")*(23/1083),IF(C3244="JR",SUMIFS($D:$D,$A:$A,$A3244,$B:$B,"&lt;&gt;Patrícia Karla de Sousa Araújo",$B:$B,"&lt;&gt;Lorena Dias de Araujo",$B:$B,"&lt;&gt;Lucas Luiz Romero")*(20/1083),IF(C3244="Estágio",SUMIFS($D:$D,$A:$A,$A3244,$B:$B,"&lt;&gt;Patrícia Karla de Sousa Araújo",$B:$B,"&lt;&gt;Lorena Dias de Araujo",$B:$B,"&lt;&gt;Lucas Luiz Romero")*(10/1083),0)))))),0)</f>
        <v/>
      </c>
      <c r="K3244" s="3">
        <f>I3244-J3244</f>
        <v/>
      </c>
      <c r="L3244" s="3">
        <f>IF(K3244&lt;-5,"CRÍTICO",IF(K3244&lt;0,"ATENÇÃO",IF(K3244&lt;=5,"OPORTUNO","MUITO BOM")))</f>
        <v/>
      </c>
      <c r="N3244" t="n">
        <v>99.31999999999999</v>
      </c>
      <c r="O3244" t="n">
        <v>22.82282282282282</v>
      </c>
    </row>
    <row r="3245" hidden="1">
      <c r="A3245" s="11" t="n">
        <v>46104</v>
      </c>
      <c r="B3245" t="inlineStr">
        <is>
          <t>Carlos Mateus Cassimiro Nunes</t>
        </is>
      </c>
      <c r="C3245" t="inlineStr">
        <is>
          <t>Técnico II</t>
        </is>
      </c>
      <c r="D3245" t="n">
        <v>18</v>
      </c>
      <c r="E3245" t="n">
        <v>17</v>
      </c>
      <c r="F3245" t="n">
        <v>25.42</v>
      </c>
      <c r="G3245" t="n">
        <v>0</v>
      </c>
      <c r="H3245" t="n">
        <v>0</v>
      </c>
      <c r="I3245" s="3">
        <f>E3245+G3245+H3245</f>
        <v/>
      </c>
      <c r="J3245" s="3">
        <f>ROUND(MIN(IF(C3245="Técnico III",35,IF(C3245="Técnico II",28,IF(C3245="Técnico I",23,IF(C3245="JR",20,IF(C3245="Estágio",10,0))))),IF(C3245="Técnico III",SUMIFS($D:$D,$A:$A,$A3245,$B:$B,"&lt;&gt;Patrícia Karla de Sousa Araújo",$B:$B,"&lt;&gt;Lorena Dias de Araujo",$B:$B,"&lt;&gt;Lucas Luiz Romero")*(35/1083),IF(C3245="Técnico II",SUMIFS($D:$D,$A:$A,$A3245,$B:$B,"&lt;&gt;Patrícia Karla de Sousa Araújo",$B:$B,"&lt;&gt;Lorena Dias de Araujo",$B:$B,"&lt;&gt;Lucas Luiz Romero")*(28/1083),IF(C3245="Técnico I",SUMIFS($D:$D,$A:$A,$A3245,$B:$B,"&lt;&gt;Patrícia Karla de Sousa Araújo",$B:$B,"&lt;&gt;Lorena Dias de Araujo",$B:$B,"&lt;&gt;Lucas Luiz Romero")*(23/1083),IF(C3245="JR",SUMIFS($D:$D,$A:$A,$A3245,$B:$B,"&lt;&gt;Patrícia Karla de Sousa Araújo",$B:$B,"&lt;&gt;Lorena Dias de Araujo",$B:$B,"&lt;&gt;Lucas Luiz Romero")*(20/1083),IF(C3245="Estágio",SUMIFS($D:$D,$A:$A,$A3245,$B:$B,"&lt;&gt;Patrícia Karla de Sousa Araújo",$B:$B,"&lt;&gt;Lorena Dias de Araujo",$B:$B,"&lt;&gt;Lucas Luiz Romero")*(10/1083),0)))))),0)</f>
        <v/>
      </c>
      <c r="K3245" s="3">
        <f>I3245-J3245</f>
        <v/>
      </c>
      <c r="L3245" s="3">
        <f>IF(K3245&lt;-5,"CRÍTICO",IF(K3245&lt;0,"ATENÇÃO",IF(K3245&lt;=5,"OPORTUNO","MUITO BOM")))</f>
        <v/>
      </c>
      <c r="N3245" t="n">
        <v>100</v>
      </c>
      <c r="O3245" t="n">
        <v>27.96610169491525</v>
      </c>
    </row>
    <row r="3246" hidden="1">
      <c r="A3246" s="11" t="n">
        <v>46104</v>
      </c>
      <c r="B3246" t="inlineStr">
        <is>
          <t>Claudio de Sousa Velasco Filho</t>
        </is>
      </c>
      <c r="C3246" t="inlineStr">
        <is>
          <t>Estágio</t>
        </is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s="3" t="n">
        <v>0</v>
      </c>
      <c r="J3246" s="3" t="n">
        <v>0</v>
      </c>
      <c r="K3246" s="3" t="n">
        <v>0</v>
      </c>
      <c r="L3246" s="3">
        <f>IF(K3246&lt;-5,"CRÍTICO",IF(K3246&lt;0,"ATENÇÃO",IF(K3246&lt;=5,"OPORTUNO","MUITO BOM")))</f>
        <v/>
      </c>
      <c r="N3246" t="n">
        <v>100</v>
      </c>
      <c r="O3246" t="n">
        <v>30.43478260869566</v>
      </c>
    </row>
    <row r="3247" hidden="1">
      <c r="A3247" s="11" t="n">
        <v>46104</v>
      </c>
      <c r="B3247" t="inlineStr">
        <is>
          <t>Clessiane Pereira dos Santos</t>
        </is>
      </c>
      <c r="C3247" t="inlineStr">
        <is>
          <t>Técnico I</t>
        </is>
      </c>
      <c r="D3247" t="n">
        <v>25</v>
      </c>
      <c r="E3247" t="n">
        <v>22</v>
      </c>
      <c r="F3247" t="n">
        <v>21.53</v>
      </c>
      <c r="G3247" t="n">
        <v>0</v>
      </c>
      <c r="H3247" t="n">
        <v>0</v>
      </c>
      <c r="I3247" s="3">
        <f>E3247+G3247+H3247</f>
        <v/>
      </c>
      <c r="J3247" s="3">
        <f>ROUND(MIN(IF(C3247="Técnico III",35,IF(C3247="Técnico II",28,IF(C3247="Técnico I",23,IF(C3247="JR",20,IF(C3247="Estágio",10,0))))),IF(C3247="Técnico III",SUMIFS($D:$D,$A:$A,$A3247,$B:$B,"&lt;&gt;Patrícia Karla de Sousa Araújo",$B:$B,"&lt;&gt;Lorena Dias de Araujo",$B:$B,"&lt;&gt;Lucas Luiz Romero")*(35/1083),IF(C3247="Técnico II",SUMIFS($D:$D,$A:$A,$A3247,$B:$B,"&lt;&gt;Patrícia Karla de Sousa Araújo",$B:$B,"&lt;&gt;Lorena Dias de Araujo",$B:$B,"&lt;&gt;Lucas Luiz Romero")*(28/1083),IF(C3247="Técnico I",SUMIFS($D:$D,$A:$A,$A3247,$B:$B,"&lt;&gt;Patrícia Karla de Sousa Araújo",$B:$B,"&lt;&gt;Lorena Dias de Araujo",$B:$B,"&lt;&gt;Lucas Luiz Romero")*(23/1083),IF(C3247="JR",SUMIFS($D:$D,$A:$A,$A3247,$B:$B,"&lt;&gt;Patrícia Karla de Sousa Araújo",$B:$B,"&lt;&gt;Lorena Dias de Araujo",$B:$B,"&lt;&gt;Lucas Luiz Romero")*(20/1083),IF(C3247="Estágio",SUMIFS($D:$D,$A:$A,$A3247,$B:$B,"&lt;&gt;Patrícia Karla de Sousa Araújo",$B:$B,"&lt;&gt;Lorena Dias de Araujo",$B:$B,"&lt;&gt;Lucas Luiz Romero")*(10/1083),0)))))),0)</f>
        <v/>
      </c>
      <c r="K3247" s="3">
        <f>I3247-J3247</f>
        <v/>
      </c>
      <c r="L3247" s="3">
        <f>IF(K3247&lt;-5,"CRÍTICO",IF(K3247&lt;0,"ATENÇÃO",IF(K3247&lt;=5,"OPORTUNO","MUITO BOM")))</f>
        <v/>
      </c>
      <c r="N3247" t="n">
        <v>96.51000000000001</v>
      </c>
      <c r="O3247" t="n">
        <v>22.80285035629454</v>
      </c>
    </row>
    <row r="3248" hidden="1">
      <c r="A3248" s="11" t="n">
        <v>46104</v>
      </c>
      <c r="B3248" t="inlineStr">
        <is>
          <t>Cristiane Ramos da Silva Rocha</t>
        </is>
      </c>
      <c r="C3248" t="inlineStr">
        <is>
          <t>Técnico III</t>
        </is>
      </c>
      <c r="D3248" t="n">
        <v>6</v>
      </c>
      <c r="E3248" t="n">
        <v>6</v>
      </c>
      <c r="F3248" t="n">
        <v>25.29</v>
      </c>
      <c r="G3248" t="n">
        <v>0</v>
      </c>
      <c r="H3248" t="n">
        <v>0</v>
      </c>
      <c r="I3248" s="3">
        <f>E3248+G3248+H3248</f>
        <v/>
      </c>
      <c r="J3248" s="3">
        <f>ROUND(MIN(IF(C3248="Técnico III",35,IF(C3248="Técnico II",28,IF(C3248="Técnico I",23,IF(C3248="JR",20,IF(C3248="Estágio",10,0))))),IF(C3248="Técnico III",SUMIFS($D:$D,$A:$A,$A3248,$B:$B,"&lt;&gt;Patrícia Karla de Sousa Araújo",$B:$B,"&lt;&gt;Lorena Dias de Araujo",$B:$B,"&lt;&gt;Lucas Luiz Romero")*(35/1083),IF(C3248="Técnico II",SUMIFS($D:$D,$A:$A,$A3248,$B:$B,"&lt;&gt;Patrícia Karla de Sousa Araújo",$B:$B,"&lt;&gt;Lorena Dias de Araujo",$B:$B,"&lt;&gt;Lucas Luiz Romero")*(28/1083),IF(C3248="Técnico I",SUMIFS($D:$D,$A:$A,$A3248,$B:$B,"&lt;&gt;Patrícia Karla de Sousa Araújo",$B:$B,"&lt;&gt;Lorena Dias de Araujo",$B:$B,"&lt;&gt;Lucas Luiz Romero")*(23/1083),IF(C3248="JR",SUMIFS($D:$D,$A:$A,$A3248,$B:$B,"&lt;&gt;Patrícia Karla de Sousa Araújo",$B:$B,"&lt;&gt;Lorena Dias de Araujo",$B:$B,"&lt;&gt;Lucas Luiz Romero")*(20/1083),IF(C3248="Estágio",SUMIFS($D:$D,$A:$A,$A3248,$B:$B,"&lt;&gt;Patrícia Karla de Sousa Araújo",$B:$B,"&lt;&gt;Lorena Dias de Araujo",$B:$B,"&lt;&gt;Lucas Luiz Romero")*(10/1083),0)))))),0)</f>
        <v/>
      </c>
      <c r="K3248" s="3">
        <f>I3248-J3248</f>
        <v/>
      </c>
      <c r="L3248" s="3">
        <f>IF(K3248&lt;-5,"CRÍTICO",IF(K3248&lt;0,"ATENÇÃO",IF(K3248&lt;=5,"OPORTUNO","MUITO BOM")))</f>
        <v/>
      </c>
      <c r="N3248" t="n">
        <v>92.68000000000001</v>
      </c>
      <c r="O3248" t="n">
        <v>27.77777777777778</v>
      </c>
    </row>
    <row r="3249" hidden="1">
      <c r="A3249" s="11" t="n">
        <v>46104</v>
      </c>
      <c r="B3249" t="inlineStr">
        <is>
          <t>Damyllis Lorraine de Oliveira Gonçalves</t>
        </is>
      </c>
      <c r="C3249" t="inlineStr">
        <is>
          <t>Técnico II</t>
        </is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s="3" t="n">
        <v>0</v>
      </c>
      <c r="J3249" s="3" t="n">
        <v>0</v>
      </c>
      <c r="K3249" s="3" t="n">
        <v>0</v>
      </c>
      <c r="L3249" s="3">
        <f>IF(K3249&lt;-5,"CRÍTICO",IF(K3249&lt;0,"ATENÇÃO",IF(K3249&lt;=5,"OPORTUNO","MUITO BOM")))</f>
        <v/>
      </c>
      <c r="N3249" t="n">
        <v>99.03</v>
      </c>
      <c r="O3249" t="n">
        <v>23.99150743099788</v>
      </c>
    </row>
    <row r="3250" hidden="1">
      <c r="A3250" s="11" t="n">
        <v>46104</v>
      </c>
      <c r="B3250" t="inlineStr">
        <is>
          <t>Daniel Gomes da Silva</t>
        </is>
      </c>
      <c r="C3250" t="inlineStr">
        <is>
          <t>Técnico I</t>
        </is>
      </c>
      <c r="D3250" t="n">
        <v>18</v>
      </c>
      <c r="E3250" t="n">
        <v>18</v>
      </c>
      <c r="F3250" t="n">
        <v>21.48</v>
      </c>
      <c r="G3250" t="n">
        <v>0</v>
      </c>
      <c r="H3250" t="n">
        <v>0</v>
      </c>
      <c r="I3250" s="3">
        <f>E3250+G3250+H3250</f>
        <v/>
      </c>
      <c r="J3250" s="3">
        <f>ROUND(MIN(IF(C3250="Técnico III",35,IF(C3250="Técnico II",28,IF(C3250="Técnico I",23,IF(C3250="JR",20,IF(C3250="Estágio",10,0))))),IF(C3250="Técnico III",SUMIFS($D:$D,$A:$A,$A3250,$B:$B,"&lt;&gt;Patrícia Karla de Sousa Araújo",$B:$B,"&lt;&gt;Lorena Dias de Araujo",$B:$B,"&lt;&gt;Lucas Luiz Romero")*(35/1083),IF(C3250="Técnico II",SUMIFS($D:$D,$A:$A,$A3250,$B:$B,"&lt;&gt;Patrícia Karla de Sousa Araújo",$B:$B,"&lt;&gt;Lorena Dias de Araujo",$B:$B,"&lt;&gt;Lucas Luiz Romero")*(28/1083),IF(C3250="Técnico I",SUMIFS($D:$D,$A:$A,$A3250,$B:$B,"&lt;&gt;Patrícia Karla de Sousa Araújo",$B:$B,"&lt;&gt;Lorena Dias de Araujo",$B:$B,"&lt;&gt;Lucas Luiz Romero")*(23/1083),IF(C3250="JR",SUMIFS($D:$D,$A:$A,$A3250,$B:$B,"&lt;&gt;Patrícia Karla de Sousa Araújo",$B:$B,"&lt;&gt;Lorena Dias de Araujo",$B:$B,"&lt;&gt;Lucas Luiz Romero")*(20/1083),IF(C3250="Estágio",SUMIFS($D:$D,$A:$A,$A3250,$B:$B,"&lt;&gt;Patrícia Karla de Sousa Araújo",$B:$B,"&lt;&gt;Lorena Dias de Araujo",$B:$B,"&lt;&gt;Lucas Luiz Romero")*(10/1083),0)))))),0)</f>
        <v/>
      </c>
      <c r="K3250" s="3">
        <f>I3250-J3250</f>
        <v/>
      </c>
      <c r="L3250" s="3">
        <f>IF(K3250&lt;-5,"CRÍTICO",IF(K3250&lt;0,"ATENÇÃO",IF(K3250&lt;=5,"OPORTUNO","MUITO BOM")))</f>
        <v/>
      </c>
      <c r="N3250" t="n">
        <v>98.41</v>
      </c>
      <c r="O3250" t="n">
        <v>28.13852813852814</v>
      </c>
    </row>
    <row r="3251" hidden="1">
      <c r="A3251" s="11" t="n">
        <v>46104</v>
      </c>
      <c r="B3251" t="inlineStr">
        <is>
          <t>Davylla Rodrigues Freitas Silva</t>
        </is>
      </c>
      <c r="C3251" t="inlineStr">
        <is>
          <t>Técnico III</t>
        </is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s="3" t="n">
        <v>0</v>
      </c>
      <c r="J3251" s="3" t="n">
        <v>0</v>
      </c>
      <c r="K3251" s="3" t="n">
        <v>0</v>
      </c>
      <c r="L3251" s="3">
        <f>IF(K3251&lt;-5,"CRÍTICO",IF(K3251&lt;0,"ATENÇÃO",IF(K3251&lt;=5,"OPORTUNO","MUITO BOM")))</f>
        <v/>
      </c>
      <c r="N3251" t="n">
        <v>98.73</v>
      </c>
      <c r="O3251" t="n">
        <v>29.14285714285714</v>
      </c>
    </row>
    <row r="3252" hidden="1">
      <c r="A3252" s="11" t="n">
        <v>46104</v>
      </c>
      <c r="B3252" t="inlineStr">
        <is>
          <t>Emilly Caylane Costa</t>
        </is>
      </c>
      <c r="C3252" t="inlineStr">
        <is>
          <t>Estágio</t>
        </is>
      </c>
      <c r="D3252" t="n">
        <v>6</v>
      </c>
      <c r="E3252" t="n">
        <v>6</v>
      </c>
      <c r="F3252" t="n">
        <v>42.25</v>
      </c>
      <c r="G3252" t="n">
        <v>0</v>
      </c>
      <c r="H3252" t="n">
        <v>0</v>
      </c>
      <c r="I3252" s="3">
        <f>E3252+G3252+H3252</f>
        <v/>
      </c>
      <c r="J3252" s="3">
        <f>ROUND(MIN(IF(C3252="Técnico III",35,IF(C3252="Técnico II",28,IF(C3252="Técnico I",23,IF(C3252="JR",20,IF(C3252="Estágio",10,0))))),IF(C3252="Técnico III",SUMIFS($D:$D,$A:$A,$A3252,$B:$B,"&lt;&gt;Patrícia Karla de Sousa Araújo",$B:$B,"&lt;&gt;Lorena Dias de Araujo",$B:$B,"&lt;&gt;Lucas Luiz Romero")*(35/1083),IF(C3252="Técnico II",SUMIFS($D:$D,$A:$A,$A3252,$B:$B,"&lt;&gt;Patrícia Karla de Sousa Araújo",$B:$B,"&lt;&gt;Lorena Dias de Araujo",$B:$B,"&lt;&gt;Lucas Luiz Romero")*(28/1083),IF(C3252="Técnico I",SUMIFS($D:$D,$A:$A,$A3252,$B:$B,"&lt;&gt;Patrícia Karla de Sousa Araújo",$B:$B,"&lt;&gt;Lorena Dias de Araujo",$B:$B,"&lt;&gt;Lucas Luiz Romero")*(23/1083),IF(C3252="JR",SUMIFS($D:$D,$A:$A,$A3252,$B:$B,"&lt;&gt;Patrícia Karla de Sousa Araújo",$B:$B,"&lt;&gt;Lorena Dias de Araujo",$B:$B,"&lt;&gt;Lucas Luiz Romero")*(20/1083),IF(C3252="Estágio",SUMIFS($D:$D,$A:$A,$A3252,$B:$B,"&lt;&gt;Patrícia Karla de Sousa Araújo",$B:$B,"&lt;&gt;Lorena Dias de Araujo",$B:$B,"&lt;&gt;Lucas Luiz Romero")*(10/1083),0)))))),0)</f>
        <v/>
      </c>
      <c r="K3252" s="3">
        <f>I3252-J3252</f>
        <v/>
      </c>
      <c r="L3252" s="3">
        <f>IF(K3252&lt;-5,"CRÍTICO",IF(K3252&lt;0,"ATENÇÃO",IF(K3252&lt;=5,"OPORTUNO","MUITO BOM")))</f>
        <v/>
      </c>
      <c r="N3252" t="n">
        <v>90.48</v>
      </c>
      <c r="O3252" t="n">
        <v>20.68965517241379</v>
      </c>
    </row>
    <row r="3253" hidden="1">
      <c r="A3253" s="11" t="n">
        <v>46104</v>
      </c>
      <c r="B3253" t="inlineStr">
        <is>
          <t>Emilly Kamilly Medeiros Miranda</t>
        </is>
      </c>
      <c r="C3253" t="inlineStr">
        <is>
          <t>Técnico II</t>
        </is>
      </c>
      <c r="D3253" t="n">
        <v>26</v>
      </c>
      <c r="E3253" t="n">
        <v>25</v>
      </c>
      <c r="F3253" t="n">
        <v>17.31</v>
      </c>
      <c r="G3253" t="n">
        <v>0</v>
      </c>
      <c r="H3253" t="n">
        <v>0</v>
      </c>
      <c r="I3253" s="3">
        <f>E3253+G3253+H3253</f>
        <v/>
      </c>
      <c r="J3253" s="3">
        <f>ROUND(MIN(IF(C3253="Técnico III",35,IF(C3253="Técnico II",28,IF(C3253="Técnico I",23,IF(C3253="JR",20,IF(C3253="Estágio",10,0))))),IF(C3253="Técnico III",SUMIFS($D:$D,$A:$A,$A3253,$B:$B,"&lt;&gt;Patrícia Karla de Sousa Araújo",$B:$B,"&lt;&gt;Lorena Dias de Araujo",$B:$B,"&lt;&gt;Lucas Luiz Romero")*(35/1083),IF(C3253="Técnico II",SUMIFS($D:$D,$A:$A,$A3253,$B:$B,"&lt;&gt;Patrícia Karla de Sousa Araújo",$B:$B,"&lt;&gt;Lorena Dias de Araujo",$B:$B,"&lt;&gt;Lucas Luiz Romero")*(28/1083),IF(C3253="Técnico I",SUMIFS($D:$D,$A:$A,$A3253,$B:$B,"&lt;&gt;Patrícia Karla de Sousa Araújo",$B:$B,"&lt;&gt;Lorena Dias de Araujo",$B:$B,"&lt;&gt;Lucas Luiz Romero")*(23/1083),IF(C3253="JR",SUMIFS($D:$D,$A:$A,$A3253,$B:$B,"&lt;&gt;Patrícia Karla de Sousa Araújo",$B:$B,"&lt;&gt;Lorena Dias de Araujo",$B:$B,"&lt;&gt;Lucas Luiz Romero")*(20/1083),IF(C3253="Estágio",SUMIFS($D:$D,$A:$A,$A3253,$B:$B,"&lt;&gt;Patrícia Karla de Sousa Araújo",$B:$B,"&lt;&gt;Lorena Dias de Araujo",$B:$B,"&lt;&gt;Lucas Luiz Romero")*(10/1083),0)))))),0)</f>
        <v/>
      </c>
      <c r="K3253" s="3">
        <f>I3253-J3253</f>
        <v/>
      </c>
      <c r="L3253" s="3">
        <f>IF(K3253&lt;-5,"CRÍTICO",IF(K3253&lt;0,"ATENÇÃO",IF(K3253&lt;=5,"OPORTUNO","MUITO BOM")))</f>
        <v/>
      </c>
      <c r="N3253" t="n">
        <v>98.06</v>
      </c>
      <c r="O3253" t="n">
        <v>24.78991596638656</v>
      </c>
    </row>
    <row r="3254" hidden="1">
      <c r="A3254" s="11" t="n">
        <v>46104</v>
      </c>
      <c r="B3254" t="inlineStr">
        <is>
          <t>Francielson de Oliveira</t>
        </is>
      </c>
      <c r="C3254" t="inlineStr">
        <is>
          <t>Técnico III</t>
        </is>
      </c>
      <c r="D3254" t="n">
        <v>27</v>
      </c>
      <c r="E3254" t="n">
        <v>27</v>
      </c>
      <c r="F3254" t="n">
        <v>15.59</v>
      </c>
      <c r="G3254" t="n">
        <v>0</v>
      </c>
      <c r="H3254" t="n">
        <v>0</v>
      </c>
      <c r="I3254" s="3">
        <f>E3254+G3254+H3254</f>
        <v/>
      </c>
      <c r="J3254" s="3">
        <f>ROUND(MIN(IF(C3254="Técnico III",35,IF(C3254="Técnico II",28,IF(C3254="Técnico I",23,IF(C3254="JR",20,IF(C3254="Estágio",10,0))))),IF(C3254="Técnico III",SUMIFS($D:$D,$A:$A,$A3254,$B:$B,"&lt;&gt;Patrícia Karla de Sousa Araújo",$B:$B,"&lt;&gt;Lorena Dias de Araujo",$B:$B,"&lt;&gt;Lucas Luiz Romero")*(35/1083),IF(C3254="Técnico II",SUMIFS($D:$D,$A:$A,$A3254,$B:$B,"&lt;&gt;Patrícia Karla de Sousa Araújo",$B:$B,"&lt;&gt;Lorena Dias de Araujo",$B:$B,"&lt;&gt;Lucas Luiz Romero")*(28/1083),IF(C3254="Técnico I",SUMIFS($D:$D,$A:$A,$A3254,$B:$B,"&lt;&gt;Patrícia Karla de Sousa Araújo",$B:$B,"&lt;&gt;Lorena Dias de Araujo",$B:$B,"&lt;&gt;Lucas Luiz Romero")*(23/1083),IF(C3254="JR",SUMIFS($D:$D,$A:$A,$A3254,$B:$B,"&lt;&gt;Patrícia Karla de Sousa Araújo",$B:$B,"&lt;&gt;Lorena Dias de Araujo",$B:$B,"&lt;&gt;Lucas Luiz Romero")*(20/1083),IF(C3254="Estágio",SUMIFS($D:$D,$A:$A,$A3254,$B:$B,"&lt;&gt;Patrícia Karla de Sousa Araújo",$B:$B,"&lt;&gt;Lorena Dias de Araujo",$B:$B,"&lt;&gt;Lucas Luiz Romero")*(10/1083),0)))))),0)</f>
        <v/>
      </c>
      <c r="K3254" s="3">
        <f>I3254-J3254</f>
        <v/>
      </c>
      <c r="L3254" s="3">
        <f>IF(K3254&lt;-5,"CRÍTICO",IF(K3254&lt;0,"ATENÇÃO",IF(K3254&lt;=5,"OPORTUNO","MUITO BOM")))</f>
        <v/>
      </c>
      <c r="N3254" t="n">
        <v>97.78</v>
      </c>
      <c r="O3254" t="n">
        <v>25.49407114624506</v>
      </c>
    </row>
    <row r="3255" hidden="1">
      <c r="A3255" s="11" t="n">
        <v>46104</v>
      </c>
      <c r="B3255" t="inlineStr">
        <is>
          <t>Francilene Ferreira de Jesus</t>
        </is>
      </c>
      <c r="C3255" t="inlineStr">
        <is>
          <t>Técnico II</t>
        </is>
      </c>
      <c r="D3255" t="n">
        <v>28</v>
      </c>
      <c r="E3255" t="n">
        <v>26</v>
      </c>
      <c r="F3255" t="n">
        <v>20.49</v>
      </c>
      <c r="G3255" t="n">
        <v>0</v>
      </c>
      <c r="H3255" t="n">
        <v>0</v>
      </c>
      <c r="I3255" s="3">
        <f>E3255+G3255+H3255</f>
        <v/>
      </c>
      <c r="J3255" s="3">
        <f>ROUND(MIN(IF(C3255="Técnico III",35,IF(C3255="Técnico II",28,IF(C3255="Técnico I",23,IF(C3255="JR",20,IF(C3255="Estágio",10,0))))),IF(C3255="Técnico III",SUMIFS($D:$D,$A:$A,$A3255,$B:$B,"&lt;&gt;Patrícia Karla de Sousa Araújo",$B:$B,"&lt;&gt;Lorena Dias de Araujo",$B:$B,"&lt;&gt;Lucas Luiz Romero")*(35/1083),IF(C3255="Técnico II",SUMIFS($D:$D,$A:$A,$A3255,$B:$B,"&lt;&gt;Patrícia Karla de Sousa Araújo",$B:$B,"&lt;&gt;Lorena Dias de Araujo",$B:$B,"&lt;&gt;Lucas Luiz Romero")*(28/1083),IF(C3255="Técnico I",SUMIFS($D:$D,$A:$A,$A3255,$B:$B,"&lt;&gt;Patrícia Karla de Sousa Araújo",$B:$B,"&lt;&gt;Lorena Dias de Araujo",$B:$B,"&lt;&gt;Lucas Luiz Romero")*(23/1083),IF(C3255="JR",SUMIFS($D:$D,$A:$A,$A3255,$B:$B,"&lt;&gt;Patrícia Karla de Sousa Araújo",$B:$B,"&lt;&gt;Lorena Dias de Araujo",$B:$B,"&lt;&gt;Lucas Luiz Romero")*(20/1083),IF(C3255="Estágio",SUMIFS($D:$D,$A:$A,$A3255,$B:$B,"&lt;&gt;Patrícia Karla de Sousa Araújo",$B:$B,"&lt;&gt;Lorena Dias de Araujo",$B:$B,"&lt;&gt;Lucas Luiz Romero")*(10/1083),0)))))),0)</f>
        <v/>
      </c>
      <c r="K3255" s="3">
        <f>I3255-J3255</f>
        <v/>
      </c>
      <c r="L3255" s="3">
        <f>IF(K3255&lt;-5,"CRÍTICO",IF(K3255&lt;0,"ATENÇÃO",IF(K3255&lt;=5,"OPORTUNO","MUITO BOM")))</f>
        <v/>
      </c>
      <c r="N3255" t="n">
        <v>98.02</v>
      </c>
      <c r="O3255" t="n">
        <v>23.48484848484848</v>
      </c>
    </row>
    <row r="3256" hidden="1">
      <c r="A3256" s="11" t="n">
        <v>46139</v>
      </c>
      <c r="B3256" t="inlineStr">
        <is>
          <t>Gabriel Gomes de Andrade</t>
        </is>
      </c>
      <c r="C3256" t="inlineStr">
        <is>
          <t>Técnico I</t>
        </is>
      </c>
      <c r="D3256" t="n">
        <v>13</v>
      </c>
      <c r="E3256" t="n">
        <v>12</v>
      </c>
      <c r="F3256" t="n">
        <v>13.29</v>
      </c>
      <c r="G3256" t="n">
        <v>0</v>
      </c>
      <c r="H3256" t="n">
        <v>0</v>
      </c>
      <c r="I3256" s="3">
        <f>E3256+G3256+H3256</f>
        <v/>
      </c>
      <c r="J3256" s="3">
        <f>ROUND(MIN(IF(C3256="Técnico III",35,IF(C3256="Técnico II",28,IF(C3256="Técnico I",23,IF(C3256="JR",20,IF(C3256="Estágio",10,0))))),IF(C3256="Técnico III",SUMIFS($D:$D,$A:$A,$A3256,$B:$B,"&lt;&gt;Patrícia Karla de Sousa Araújo",$B:$B,"&lt;&gt;Lorena Dias de Araujo",$B:$B,"&lt;&gt;Lucas Luiz Romero")*(35/1083),IF(C3256="Técnico II",SUMIFS($D:$D,$A:$A,$A3256,$B:$B,"&lt;&gt;Patrícia Karla de Sousa Araújo",$B:$B,"&lt;&gt;Lorena Dias de Araujo",$B:$B,"&lt;&gt;Lucas Luiz Romero")*(28/1083),IF(C3256="Técnico I",SUMIFS($D:$D,$A:$A,$A3256,$B:$B,"&lt;&gt;Patrícia Karla de Sousa Araújo",$B:$B,"&lt;&gt;Lorena Dias de Araujo",$B:$B,"&lt;&gt;Lucas Luiz Romero")*(23/1083),IF(C3256="JR",SUMIFS($D:$D,$A:$A,$A3256,$B:$B,"&lt;&gt;Patrícia Karla de Sousa Araújo",$B:$B,"&lt;&gt;Lorena Dias de Araujo",$B:$B,"&lt;&gt;Lucas Luiz Romero")*(20/1083),IF(C3256="Estágio",SUMIFS($D:$D,$A:$A,$A3256,$B:$B,"&lt;&gt;Patrícia Karla de Sousa Araújo",$B:$B,"&lt;&gt;Lorena Dias de Araujo",$B:$B,"&lt;&gt;Lucas Luiz Romero")*(10/1083),0)))))),0)</f>
        <v/>
      </c>
      <c r="K3256" s="3">
        <f>I3256-J3256</f>
        <v/>
      </c>
      <c r="L3256" s="3">
        <f>IF(K3256&lt;-5,"CRÍTICO",IF(K3256&lt;0,"ATENÇÃO",IF(K3256&lt;=5,"OPORTUNO","MUITO BOM")))</f>
        <v/>
      </c>
      <c r="N3256" t="n">
        <v>99.28</v>
      </c>
      <c r="O3256" t="n">
        <v>27.68924302788844</v>
      </c>
    </row>
    <row r="3257" hidden="1">
      <c r="A3257" s="11" t="n">
        <v>46104</v>
      </c>
      <c r="B3257" t="inlineStr">
        <is>
          <t>Isabella Borges de Oliveira</t>
        </is>
      </c>
      <c r="C3257" t="inlineStr">
        <is>
          <t>Técnico II</t>
        </is>
      </c>
      <c r="D3257" t="n">
        <v>32</v>
      </c>
      <c r="E3257" t="n">
        <v>29</v>
      </c>
      <c r="F3257" t="n">
        <v>20.14</v>
      </c>
      <c r="G3257" t="n">
        <v>0</v>
      </c>
      <c r="H3257" t="n">
        <v>0</v>
      </c>
      <c r="I3257" s="3">
        <f>E3257+G3257+H3257</f>
        <v/>
      </c>
      <c r="J3257" s="3">
        <f>ROUND(MIN(IF(C3257="Técnico III",35,IF(C3257="Técnico II",28,IF(C3257="Técnico I",23,IF(C3257="JR",20,IF(C3257="Estágio",10,0))))),IF(C3257="Técnico III",SUMIFS($D:$D,$A:$A,$A3257,$B:$B,"&lt;&gt;Patrícia Karla de Sousa Araújo",$B:$B,"&lt;&gt;Lorena Dias de Araujo",$B:$B,"&lt;&gt;Lucas Luiz Romero")*(35/1083),IF(C3257="Técnico II",SUMIFS($D:$D,$A:$A,$A3257,$B:$B,"&lt;&gt;Patrícia Karla de Sousa Araújo",$B:$B,"&lt;&gt;Lorena Dias de Araujo",$B:$B,"&lt;&gt;Lucas Luiz Romero")*(28/1083),IF(C3257="Técnico I",SUMIFS($D:$D,$A:$A,$A3257,$B:$B,"&lt;&gt;Patrícia Karla de Sousa Araújo",$B:$B,"&lt;&gt;Lorena Dias de Araujo",$B:$B,"&lt;&gt;Lucas Luiz Romero")*(23/1083),IF(C3257="JR",SUMIFS($D:$D,$A:$A,$A3257,$B:$B,"&lt;&gt;Patrícia Karla de Sousa Araújo",$B:$B,"&lt;&gt;Lorena Dias de Araujo",$B:$B,"&lt;&gt;Lucas Luiz Romero")*(20/1083),IF(C3257="Estágio",SUMIFS($D:$D,$A:$A,$A3257,$B:$B,"&lt;&gt;Patrícia Karla de Sousa Araújo",$B:$B,"&lt;&gt;Lorena Dias de Araujo",$B:$B,"&lt;&gt;Lucas Luiz Romero")*(10/1083),0)))))),0)</f>
        <v/>
      </c>
      <c r="K3257" s="3">
        <f>I3257-J3257</f>
        <v/>
      </c>
      <c r="L3257" s="3">
        <f>IF(K3257&lt;-5,"CRÍTICO",IF(K3257&lt;0,"ATENÇÃO",IF(K3257&lt;=5,"OPORTUNO","MUITO BOM")))</f>
        <v/>
      </c>
      <c r="N3257" t="n">
        <v>100</v>
      </c>
      <c r="O3257" t="n">
        <v>27.04918032786885</v>
      </c>
    </row>
    <row r="3258" hidden="1">
      <c r="A3258" s="11" t="n">
        <v>46104</v>
      </c>
      <c r="B3258" t="inlineStr">
        <is>
          <t>Janaina Lima dos Reis Urany</t>
        </is>
      </c>
      <c r="C3258" t="inlineStr">
        <is>
          <t>Técnico III</t>
        </is>
      </c>
      <c r="D3258" t="n">
        <v>32</v>
      </c>
      <c r="E3258" t="n">
        <v>30</v>
      </c>
      <c r="F3258" t="n">
        <v>16.42</v>
      </c>
      <c r="G3258" t="n">
        <v>0</v>
      </c>
      <c r="H3258" t="n">
        <v>0</v>
      </c>
      <c r="I3258" s="3">
        <f>E3258+G3258+H3258</f>
        <v/>
      </c>
      <c r="J3258" s="3">
        <f>ROUND(MIN(IF(C3258="Técnico III",35,IF(C3258="Técnico II",28,IF(C3258="Técnico I",23,IF(C3258="JR",20,IF(C3258="Estágio",10,0))))),IF(C3258="Técnico III",SUMIFS($D:$D,$A:$A,$A3258,$B:$B,"&lt;&gt;Patrícia Karla de Sousa Araújo",$B:$B,"&lt;&gt;Lorena Dias de Araujo",$B:$B,"&lt;&gt;Lucas Luiz Romero")*(35/1083),IF(C3258="Técnico II",SUMIFS($D:$D,$A:$A,$A3258,$B:$B,"&lt;&gt;Patrícia Karla de Sousa Araújo",$B:$B,"&lt;&gt;Lorena Dias de Araujo",$B:$B,"&lt;&gt;Lucas Luiz Romero")*(28/1083),IF(C3258="Técnico I",SUMIFS($D:$D,$A:$A,$A3258,$B:$B,"&lt;&gt;Patrícia Karla de Sousa Araújo",$B:$B,"&lt;&gt;Lorena Dias de Araujo",$B:$B,"&lt;&gt;Lucas Luiz Romero")*(23/1083),IF(C3258="JR",SUMIFS($D:$D,$A:$A,$A3258,$B:$B,"&lt;&gt;Patrícia Karla de Sousa Araújo",$B:$B,"&lt;&gt;Lorena Dias de Araujo",$B:$B,"&lt;&gt;Lucas Luiz Romero")*(20/1083),IF(C3258="Estágio",SUMIFS($D:$D,$A:$A,$A3258,$B:$B,"&lt;&gt;Patrícia Karla de Sousa Araújo",$B:$B,"&lt;&gt;Lorena Dias de Araujo",$B:$B,"&lt;&gt;Lucas Luiz Romero")*(10/1083),0)))))),0)</f>
        <v/>
      </c>
      <c r="K3258" s="3">
        <f>I3258-J3258</f>
        <v/>
      </c>
      <c r="L3258" s="3">
        <f>IF(K3258&lt;-5,"CRÍTICO",IF(K3258&lt;0,"ATENÇÃO",IF(K3258&lt;=5,"OPORTUNO","MUITO BOM")))</f>
        <v/>
      </c>
      <c r="N3258" t="n">
        <v>97.83</v>
      </c>
      <c r="O3258" t="n">
        <v>26.31578947368421</v>
      </c>
    </row>
    <row r="3259" hidden="1">
      <c r="A3259" s="11" t="n">
        <v>46104</v>
      </c>
      <c r="B3259" t="inlineStr">
        <is>
          <t>Jaqueline Evangelista da Silva Martins</t>
        </is>
      </c>
      <c r="C3259" t="inlineStr">
        <is>
          <t>Técnico III</t>
        </is>
      </c>
      <c r="D3259" t="n">
        <v>7</v>
      </c>
      <c r="E3259" t="n">
        <v>6</v>
      </c>
      <c r="F3259" t="n">
        <v>15.49</v>
      </c>
      <c r="G3259" t="n">
        <v>0</v>
      </c>
      <c r="H3259" t="n">
        <v>0</v>
      </c>
      <c r="I3259" s="3">
        <f>E3259+G3259+H3259</f>
        <v/>
      </c>
      <c r="J3259" s="3">
        <f>ROUND(MIN(IF(C3259="Técnico III",35,IF(C3259="Técnico II",28,IF(C3259="Técnico I",23,IF(C3259="JR",20,IF(C3259="Estágio",10,0))))),IF(C3259="Técnico III",SUMIFS($D:$D,$A:$A,$A3259,$B:$B,"&lt;&gt;Patrícia Karla de Sousa Araújo",$B:$B,"&lt;&gt;Lorena Dias de Araujo",$B:$B,"&lt;&gt;Lucas Luiz Romero")*(35/1083),IF(C3259="Técnico II",SUMIFS($D:$D,$A:$A,$A3259,$B:$B,"&lt;&gt;Patrícia Karla de Sousa Araújo",$B:$B,"&lt;&gt;Lorena Dias de Araujo",$B:$B,"&lt;&gt;Lucas Luiz Romero")*(28/1083),IF(C3259="Técnico I",SUMIFS($D:$D,$A:$A,$A3259,$B:$B,"&lt;&gt;Patrícia Karla de Sousa Araújo",$B:$B,"&lt;&gt;Lorena Dias de Araujo",$B:$B,"&lt;&gt;Lucas Luiz Romero")*(23/1083),IF(C3259="JR",SUMIFS($D:$D,$A:$A,$A3259,$B:$B,"&lt;&gt;Patrícia Karla de Sousa Araújo",$B:$B,"&lt;&gt;Lorena Dias de Araujo",$B:$B,"&lt;&gt;Lucas Luiz Romero")*(20/1083),IF(C3259="Estágio",SUMIFS($D:$D,$A:$A,$A3259,$B:$B,"&lt;&gt;Patrícia Karla de Sousa Araújo",$B:$B,"&lt;&gt;Lorena Dias de Araujo",$B:$B,"&lt;&gt;Lucas Luiz Romero")*(10/1083),0)))))),0)</f>
        <v/>
      </c>
      <c r="K3259" s="3">
        <f>I3259-J3259</f>
        <v/>
      </c>
      <c r="L3259" s="3">
        <f>IF(K3259&lt;-5,"CRÍTICO",IF(K3259&lt;0,"ATENÇÃO",IF(K3259&lt;=5,"OPORTUNO","MUITO BOM")))</f>
        <v/>
      </c>
      <c r="N3259" t="n">
        <v>100</v>
      </c>
      <c r="O3259" t="n">
        <v>26.70157068062827</v>
      </c>
    </row>
    <row r="3260" hidden="1">
      <c r="A3260" s="11" t="n">
        <v>46104</v>
      </c>
      <c r="B3260" t="inlineStr">
        <is>
          <t>Jessica Faria da Silveira</t>
        </is>
      </c>
      <c r="C3260" t="inlineStr">
        <is>
          <t>Técnico II</t>
        </is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s="3" t="n">
        <v>0</v>
      </c>
      <c r="J3260" s="3" t="n">
        <v>0</v>
      </c>
      <c r="K3260" s="3" t="n">
        <v>0</v>
      </c>
      <c r="L3260" s="3">
        <f>IF(K3260&lt;-5,"CRÍTICO",IF(K3260&lt;0,"ATENÇÃO",IF(K3260&lt;=5,"OPORTUNO","MUITO BOM")))</f>
        <v/>
      </c>
      <c r="N3260" t="n">
        <v>97.47</v>
      </c>
      <c r="O3260" t="n">
        <v>22.88732394366197</v>
      </c>
    </row>
    <row r="3261" hidden="1">
      <c r="A3261" s="11" t="n">
        <v>46104</v>
      </c>
      <c r="B3261" t="inlineStr">
        <is>
          <t>Jéssica Fé Moura</t>
        </is>
      </c>
      <c r="C3261" t="inlineStr">
        <is>
          <t>Técnico III</t>
        </is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s="3" t="n">
        <v>0</v>
      </c>
      <c r="J3261" s="3" t="n">
        <v>0</v>
      </c>
      <c r="K3261" s="3" t="n">
        <v>0</v>
      </c>
      <c r="L3261" s="3">
        <f>IF(K3261&lt;-5,"CRÍTICO",IF(K3261&lt;0,"ATENÇÃO",IF(K3261&lt;=5,"OPORTUNO","MUITO BOM")))</f>
        <v/>
      </c>
      <c r="N3261" t="n">
        <v>0</v>
      </c>
      <c r="O3261" t="n">
        <v>0</v>
      </c>
    </row>
    <row r="3262" hidden="1">
      <c r="A3262" s="11" t="n">
        <v>46104</v>
      </c>
      <c r="B3262" t="inlineStr">
        <is>
          <t>Karina Gonçalves Martins</t>
        </is>
      </c>
      <c r="C3262" t="inlineStr">
        <is>
          <t>JR</t>
        </is>
      </c>
      <c r="D3262" t="n">
        <v>10</v>
      </c>
      <c r="E3262" t="n">
        <v>9</v>
      </c>
      <c r="F3262" t="n">
        <v>42.22</v>
      </c>
      <c r="G3262" t="n">
        <v>0</v>
      </c>
      <c r="H3262" t="n">
        <v>0</v>
      </c>
      <c r="I3262" s="3">
        <f>E3262+G3262+H3262</f>
        <v/>
      </c>
      <c r="J3262" s="3">
        <f>ROUND(MIN(IF(C3262="Técnico III",35,IF(C3262="Técnico II",28,IF(C3262="Técnico I",23,IF(C3262="JR",20,IF(C3262="Estágio",10,0))))),IF(C3262="Técnico III",SUMIFS($D:$D,$A:$A,$A3262,$B:$B,"&lt;&gt;Patrícia Karla de Sousa Araújo",$B:$B,"&lt;&gt;Lorena Dias de Araujo",$B:$B,"&lt;&gt;Lucas Luiz Romero")*(35/1083),IF(C3262="Técnico II",SUMIFS($D:$D,$A:$A,$A3262,$B:$B,"&lt;&gt;Patrícia Karla de Sousa Araújo",$B:$B,"&lt;&gt;Lorena Dias de Araujo",$B:$B,"&lt;&gt;Lucas Luiz Romero")*(28/1083),IF(C3262="Técnico I",SUMIFS($D:$D,$A:$A,$A3262,$B:$B,"&lt;&gt;Patrícia Karla de Sousa Araújo",$B:$B,"&lt;&gt;Lorena Dias de Araujo",$B:$B,"&lt;&gt;Lucas Luiz Romero")*(23/1083),IF(C3262="JR",SUMIFS($D:$D,$A:$A,$A3262,$B:$B,"&lt;&gt;Patrícia Karla de Sousa Araújo",$B:$B,"&lt;&gt;Lorena Dias de Araujo",$B:$B,"&lt;&gt;Lucas Luiz Romero")*(20/1083),IF(C3262="Estágio",SUMIFS($D:$D,$A:$A,$A3262,$B:$B,"&lt;&gt;Patrícia Karla de Sousa Araújo",$B:$B,"&lt;&gt;Lorena Dias de Araujo",$B:$B,"&lt;&gt;Lucas Luiz Romero")*(10/1083),0)))))),0)</f>
        <v/>
      </c>
      <c r="K3262" s="3">
        <f>I3262-J3262</f>
        <v/>
      </c>
      <c r="L3262" s="3">
        <f>IF(K3262&lt;-5,"CRÍTICO",IF(K3262&lt;0,"ATENÇÃO",IF(K3262&lt;=5,"OPORTUNO","MUITO BOM")))</f>
        <v/>
      </c>
      <c r="N3262" t="n">
        <v>98.31</v>
      </c>
      <c r="O3262" t="n">
        <v>24.92012779552715</v>
      </c>
    </row>
    <row r="3263" hidden="1">
      <c r="A3263" s="11" t="n">
        <v>46104</v>
      </c>
      <c r="B3263" t="inlineStr">
        <is>
          <t>Kerollen Cristielly de Jesus Siqueira</t>
        </is>
      </c>
      <c r="C3263" t="inlineStr">
        <is>
          <t>Técnico III</t>
        </is>
      </c>
      <c r="D3263" t="n">
        <v>13</v>
      </c>
      <c r="E3263" t="n">
        <v>13</v>
      </c>
      <c r="F3263" t="n">
        <v>27.29</v>
      </c>
      <c r="G3263" t="n">
        <v>0</v>
      </c>
      <c r="H3263" t="n">
        <v>0</v>
      </c>
      <c r="I3263" s="3">
        <f>E3263+G3263+H3263</f>
        <v/>
      </c>
      <c r="J3263" s="3">
        <f>ROUND(MIN(IF(C3263="Técnico III",35,IF(C3263="Técnico II",28,IF(C3263="Técnico I",23,IF(C3263="JR",20,IF(C3263="Estágio",10,0))))),IF(C3263="Técnico III",SUMIFS($D:$D,$A:$A,$A3263,$B:$B,"&lt;&gt;Patrícia Karla de Sousa Araújo",$B:$B,"&lt;&gt;Lorena Dias de Araujo",$B:$B,"&lt;&gt;Lucas Luiz Romero")*(35/1083),IF(C3263="Técnico II",SUMIFS($D:$D,$A:$A,$A3263,$B:$B,"&lt;&gt;Patrícia Karla de Sousa Araújo",$B:$B,"&lt;&gt;Lorena Dias de Araujo",$B:$B,"&lt;&gt;Lucas Luiz Romero")*(28/1083),IF(C3263="Técnico I",SUMIFS($D:$D,$A:$A,$A3263,$B:$B,"&lt;&gt;Patrícia Karla de Sousa Araújo",$B:$B,"&lt;&gt;Lorena Dias de Araujo",$B:$B,"&lt;&gt;Lucas Luiz Romero")*(23/1083),IF(C3263="JR",SUMIFS($D:$D,$A:$A,$A3263,$B:$B,"&lt;&gt;Patrícia Karla de Sousa Araújo",$B:$B,"&lt;&gt;Lorena Dias de Araujo",$B:$B,"&lt;&gt;Lucas Luiz Romero")*(20/1083),IF(C3263="Estágio",SUMIFS($D:$D,$A:$A,$A3263,$B:$B,"&lt;&gt;Patrícia Karla de Sousa Araújo",$B:$B,"&lt;&gt;Lorena Dias de Araujo",$B:$B,"&lt;&gt;Lucas Luiz Romero")*(10/1083),0)))))),0)</f>
        <v/>
      </c>
      <c r="K3263" s="3">
        <f>I3263-J3263</f>
        <v/>
      </c>
      <c r="L3263" s="3">
        <f>IF(K3263&lt;-5,"CRÍTICO",IF(K3263&lt;0,"ATENÇÃO",IF(K3263&lt;=5,"OPORTUNO","MUITO BOM")))</f>
        <v/>
      </c>
      <c r="N3263" t="n">
        <v>96.81</v>
      </c>
      <c r="O3263" t="n">
        <v>32.36514522821577</v>
      </c>
    </row>
    <row r="3264" hidden="1">
      <c r="A3264" s="11" t="n">
        <v>46104</v>
      </c>
      <c r="B3264" t="inlineStr">
        <is>
          <t>Leandro de Souza Silva</t>
        </is>
      </c>
      <c r="C3264" t="inlineStr">
        <is>
          <t>JR</t>
        </is>
      </c>
      <c r="D3264" t="n">
        <v>17</v>
      </c>
      <c r="E3264" t="n">
        <v>16</v>
      </c>
      <c r="F3264" t="n">
        <v>22.37</v>
      </c>
      <c r="G3264" t="n">
        <v>0</v>
      </c>
      <c r="H3264" t="n">
        <v>0</v>
      </c>
      <c r="I3264" s="3">
        <f>E3264+G3264+H3264</f>
        <v/>
      </c>
      <c r="J3264" s="3">
        <f>ROUND(MIN(IF(C3264="Técnico III",35,IF(C3264="Técnico II",28,IF(C3264="Técnico I",23,IF(C3264="JR",20,IF(C3264="Estágio",10,0))))),IF(C3264="Técnico III",SUMIFS($D:$D,$A:$A,$A3264,$B:$B,"&lt;&gt;Patrícia Karla de Sousa Araújo",$B:$B,"&lt;&gt;Lorena Dias de Araujo",$B:$B,"&lt;&gt;Lucas Luiz Romero")*(35/1083),IF(C3264="Técnico II",SUMIFS($D:$D,$A:$A,$A3264,$B:$B,"&lt;&gt;Patrícia Karla de Sousa Araújo",$B:$B,"&lt;&gt;Lorena Dias de Araujo",$B:$B,"&lt;&gt;Lucas Luiz Romero")*(28/1083),IF(C3264="Técnico I",SUMIFS($D:$D,$A:$A,$A3264,$B:$B,"&lt;&gt;Patrícia Karla de Sousa Araújo",$B:$B,"&lt;&gt;Lorena Dias de Araujo",$B:$B,"&lt;&gt;Lucas Luiz Romero")*(23/1083),IF(C3264="JR",SUMIFS($D:$D,$A:$A,$A3264,$B:$B,"&lt;&gt;Patrícia Karla de Sousa Araújo",$B:$B,"&lt;&gt;Lorena Dias de Araujo",$B:$B,"&lt;&gt;Lucas Luiz Romero")*(20/1083),IF(C3264="Estágio",SUMIFS($D:$D,$A:$A,$A3264,$B:$B,"&lt;&gt;Patrícia Karla de Sousa Araújo",$B:$B,"&lt;&gt;Lorena Dias de Araujo",$B:$B,"&lt;&gt;Lucas Luiz Romero")*(10/1083),0)))))),0)</f>
        <v/>
      </c>
      <c r="K3264" s="3">
        <f>I3264-J3264</f>
        <v/>
      </c>
      <c r="L3264" s="3">
        <f>IF(K3264&lt;-5,"CRÍTICO",IF(K3264&lt;0,"ATENÇÃO",IF(K3264&lt;=5,"OPORTUNO","MUITO BOM")))</f>
        <v/>
      </c>
      <c r="N3264" t="n">
        <v>100</v>
      </c>
      <c r="O3264" t="n">
        <v>26.47058823529412</v>
      </c>
    </row>
    <row r="3265" hidden="1">
      <c r="A3265" s="11" t="n">
        <v>46104</v>
      </c>
      <c r="B3265" t="inlineStr">
        <is>
          <t>Leandro Oliveira de Sousa</t>
        </is>
      </c>
      <c r="C3265" t="inlineStr">
        <is>
          <t>Técnico III</t>
        </is>
      </c>
      <c r="D3265" t="n">
        <v>15</v>
      </c>
      <c r="E3265" t="n">
        <v>15</v>
      </c>
      <c r="F3265" t="n">
        <v>22.15</v>
      </c>
      <c r="G3265" t="n">
        <v>0</v>
      </c>
      <c r="H3265" t="n">
        <v>0</v>
      </c>
      <c r="I3265" s="3">
        <f>E3265+G3265+H3265</f>
        <v/>
      </c>
      <c r="J3265" s="3">
        <f>ROUND(MIN(IF(C3265="Técnico III",35,IF(C3265="Técnico II",28,IF(C3265="Técnico I",23,IF(C3265="JR",20,IF(C3265="Estágio",10,0))))),IF(C3265="Técnico III",SUMIFS($D:$D,$A:$A,$A3265,$B:$B,"&lt;&gt;Patrícia Karla de Sousa Araújo",$B:$B,"&lt;&gt;Lorena Dias de Araujo",$B:$B,"&lt;&gt;Lucas Luiz Romero")*(35/1083),IF(C3265="Técnico II",SUMIFS($D:$D,$A:$A,$A3265,$B:$B,"&lt;&gt;Patrícia Karla de Sousa Araújo",$B:$B,"&lt;&gt;Lorena Dias de Araujo",$B:$B,"&lt;&gt;Lucas Luiz Romero")*(28/1083),IF(C3265="Técnico I",SUMIFS($D:$D,$A:$A,$A3265,$B:$B,"&lt;&gt;Patrícia Karla de Sousa Araújo",$B:$B,"&lt;&gt;Lorena Dias de Araujo",$B:$B,"&lt;&gt;Lucas Luiz Romero")*(23/1083),IF(C3265="JR",SUMIFS($D:$D,$A:$A,$A3265,$B:$B,"&lt;&gt;Patrícia Karla de Sousa Araújo",$B:$B,"&lt;&gt;Lorena Dias de Araujo",$B:$B,"&lt;&gt;Lucas Luiz Romero")*(20/1083),IF(C3265="Estágio",SUMIFS($D:$D,$A:$A,$A3265,$B:$B,"&lt;&gt;Patrícia Karla de Sousa Araújo",$B:$B,"&lt;&gt;Lorena Dias de Araujo",$B:$B,"&lt;&gt;Lucas Luiz Romero")*(10/1083),0)))))),0)</f>
        <v/>
      </c>
      <c r="K3265" s="3">
        <f>I3265-J3265</f>
        <v/>
      </c>
      <c r="L3265" s="3">
        <f>IF(K3265&lt;-5,"CRÍTICO",IF(K3265&lt;0,"ATENÇÃO",IF(K3265&lt;=5,"OPORTUNO","MUITO BOM")))</f>
        <v/>
      </c>
      <c r="N3265" t="n">
        <v>100</v>
      </c>
      <c r="O3265" t="n">
        <v>28.49002849002849</v>
      </c>
    </row>
    <row r="3266" hidden="1">
      <c r="A3266" s="11" t="n">
        <v>46104</v>
      </c>
      <c r="B3266" t="inlineStr">
        <is>
          <t>Lizandra Gomes Duarte</t>
        </is>
      </c>
      <c r="C3266" t="inlineStr">
        <is>
          <t>Técnico II</t>
        </is>
      </c>
      <c r="D3266" t="n">
        <v>20</v>
      </c>
      <c r="E3266" t="n">
        <v>19</v>
      </c>
      <c r="F3266" t="n">
        <v>21.56</v>
      </c>
      <c r="G3266" t="n">
        <v>0</v>
      </c>
      <c r="H3266" t="n">
        <v>0</v>
      </c>
      <c r="I3266" s="3">
        <f>E3266+G3266+H3266</f>
        <v/>
      </c>
      <c r="J3266" s="3">
        <f>ROUND(MIN(IF(C3266="Técnico III",35,IF(C3266="Técnico II",28,IF(C3266="Técnico I",23,IF(C3266="JR",20,IF(C3266="Estágio",10,0))))),IF(C3266="Técnico III",SUMIFS($D:$D,$A:$A,$A3266,$B:$B,"&lt;&gt;Patrícia Karla de Sousa Araújo",$B:$B,"&lt;&gt;Lorena Dias de Araujo",$B:$B,"&lt;&gt;Lucas Luiz Romero")*(35/1083),IF(C3266="Técnico II",SUMIFS($D:$D,$A:$A,$A3266,$B:$B,"&lt;&gt;Patrícia Karla de Sousa Araújo",$B:$B,"&lt;&gt;Lorena Dias de Araujo",$B:$B,"&lt;&gt;Lucas Luiz Romero")*(28/1083),IF(C3266="Técnico I",SUMIFS($D:$D,$A:$A,$A3266,$B:$B,"&lt;&gt;Patrícia Karla de Sousa Araújo",$B:$B,"&lt;&gt;Lorena Dias de Araujo",$B:$B,"&lt;&gt;Lucas Luiz Romero")*(23/1083),IF(C3266="JR",SUMIFS($D:$D,$A:$A,$A3266,$B:$B,"&lt;&gt;Patrícia Karla de Sousa Araújo",$B:$B,"&lt;&gt;Lorena Dias de Araujo",$B:$B,"&lt;&gt;Lucas Luiz Romero")*(20/1083),IF(C3266="Estágio",SUMIFS($D:$D,$A:$A,$A3266,$B:$B,"&lt;&gt;Patrícia Karla de Sousa Araújo",$B:$B,"&lt;&gt;Lorena Dias de Araujo",$B:$B,"&lt;&gt;Lucas Luiz Romero")*(10/1083),0)))))),0)</f>
        <v/>
      </c>
      <c r="K3266" s="3">
        <f>I3266-J3266</f>
        <v/>
      </c>
      <c r="L3266" s="3">
        <f>IF(K3266&lt;-5,"CRÍTICO",IF(K3266&lt;0,"ATENÇÃO",IF(K3266&lt;=5,"OPORTUNO","MUITO BOM")))</f>
        <v/>
      </c>
      <c r="N3266" t="n">
        <v>99.14</v>
      </c>
      <c r="O3266" t="n">
        <v>27.2289156626506</v>
      </c>
    </row>
    <row r="3267" hidden="1">
      <c r="A3267" s="11" t="n">
        <v>46104</v>
      </c>
      <c r="B3267" t="inlineStr">
        <is>
          <t>Lorena Dias de Araujo</t>
        </is>
      </c>
      <c r="C3267" t="inlineStr">
        <is>
          <t>Técnico II</t>
        </is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s="3" t="n">
        <v>0</v>
      </c>
      <c r="J3267" s="3" t="n">
        <v>0</v>
      </c>
      <c r="K3267" s="3" t="n">
        <v>0</v>
      </c>
      <c r="L3267" s="3">
        <f>IF(K3267&lt;-5,"CRÍTICO",IF(K3267&lt;0,"ATENÇÃO",IF(K3267&lt;=5,"OPORTUNO","MUITO BOM")))</f>
        <v/>
      </c>
      <c r="N3267" t="n">
        <v>97.52</v>
      </c>
      <c r="O3267" t="n">
        <v>28.2051282051282</v>
      </c>
    </row>
    <row r="3268" hidden="1">
      <c r="A3268" s="11" t="n">
        <v>46104</v>
      </c>
      <c r="B3268" t="inlineStr">
        <is>
          <t>Lucas Luiz Romero</t>
        </is>
      </c>
      <c r="C3268" t="inlineStr">
        <is>
          <t>Técnico III</t>
        </is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s="3" t="n">
        <v>0</v>
      </c>
      <c r="J3268" s="3" t="n">
        <v>0</v>
      </c>
      <c r="K3268" s="3" t="n">
        <v>0</v>
      </c>
      <c r="L3268" s="3">
        <f>IF(K3268&lt;-5,"CRÍTICO",IF(K3268&lt;0,"ATENÇÃO",IF(K3268&lt;=5,"OPORTUNO","MUITO BOM")))</f>
        <v/>
      </c>
      <c r="N3268" t="n">
        <v>90</v>
      </c>
      <c r="O3268" t="n">
        <v>24.18604651162791</v>
      </c>
    </row>
    <row r="3269" hidden="1">
      <c r="A3269" s="11" t="n">
        <v>46104</v>
      </c>
      <c r="B3269" t="inlineStr">
        <is>
          <t>Luiz Fernando de Carvalho Junior</t>
        </is>
      </c>
      <c r="C3269" t="inlineStr">
        <is>
          <t>Técnico I</t>
        </is>
      </c>
      <c r="D3269" t="n">
        <v>21</v>
      </c>
      <c r="E3269" t="n">
        <v>21</v>
      </c>
      <c r="F3269" t="n">
        <v>23.4</v>
      </c>
      <c r="G3269" t="n">
        <v>0</v>
      </c>
      <c r="H3269" t="n">
        <v>0</v>
      </c>
      <c r="I3269" s="3">
        <f>E3269+G3269+H3269</f>
        <v/>
      </c>
      <c r="J3269" s="3">
        <f>ROUND(MIN(IF(C3269="Técnico III",35,IF(C3269="Técnico II",28,IF(C3269="Técnico I",23,IF(C3269="JR",20,IF(C3269="Estágio",10,0))))),IF(C3269="Técnico III",SUMIFS($D:$D,$A:$A,$A3269,$B:$B,"&lt;&gt;Patrícia Karla de Sousa Araújo",$B:$B,"&lt;&gt;Lorena Dias de Araujo",$B:$B,"&lt;&gt;Lucas Luiz Romero")*(35/1083),IF(C3269="Técnico II",SUMIFS($D:$D,$A:$A,$A3269,$B:$B,"&lt;&gt;Patrícia Karla de Sousa Araújo",$B:$B,"&lt;&gt;Lorena Dias de Araujo",$B:$B,"&lt;&gt;Lucas Luiz Romero")*(28/1083),IF(C3269="Técnico I",SUMIFS($D:$D,$A:$A,$A3269,$B:$B,"&lt;&gt;Patrícia Karla de Sousa Araújo",$B:$B,"&lt;&gt;Lorena Dias de Araujo",$B:$B,"&lt;&gt;Lucas Luiz Romero")*(23/1083),IF(C3269="JR",SUMIFS($D:$D,$A:$A,$A3269,$B:$B,"&lt;&gt;Patrícia Karla de Sousa Araújo",$B:$B,"&lt;&gt;Lorena Dias de Araujo",$B:$B,"&lt;&gt;Lucas Luiz Romero")*(20/1083),IF(C3269="Estágio",SUMIFS($D:$D,$A:$A,$A3269,$B:$B,"&lt;&gt;Patrícia Karla de Sousa Araújo",$B:$B,"&lt;&gt;Lorena Dias de Araujo",$B:$B,"&lt;&gt;Lucas Luiz Romero")*(10/1083),0)))))),0)</f>
        <v/>
      </c>
      <c r="K3269" s="3">
        <f>I3269-J3269</f>
        <v/>
      </c>
      <c r="L3269" s="3">
        <f>IF(K3269&lt;-5,"CRÍTICO",IF(K3269&lt;0,"ATENÇÃO",IF(K3269&lt;=5,"OPORTUNO","MUITO BOM")))</f>
        <v/>
      </c>
      <c r="N3269" t="n">
        <v>98.90000000000001</v>
      </c>
      <c r="O3269" t="n">
        <v>26.7639902676399</v>
      </c>
    </row>
    <row r="3270" hidden="1">
      <c r="A3270" s="11" t="n">
        <v>46104</v>
      </c>
      <c r="B3270" t="inlineStr">
        <is>
          <t>Maria Eduarda Sousa Costa</t>
        </is>
      </c>
      <c r="C3270" t="inlineStr">
        <is>
          <t>Estágio</t>
        </is>
      </c>
      <c r="D3270" t="n">
        <v>8</v>
      </c>
      <c r="E3270" t="n">
        <v>8</v>
      </c>
      <c r="F3270" t="n">
        <v>42.12</v>
      </c>
      <c r="G3270" t="n">
        <v>0</v>
      </c>
      <c r="H3270" t="n">
        <v>0</v>
      </c>
      <c r="I3270" s="3">
        <f>E3270+G3270+H3270</f>
        <v/>
      </c>
      <c r="J3270" s="3">
        <f>ROUND(MIN(IF(C3270="Técnico III",35,IF(C3270="Técnico II",28,IF(C3270="Técnico I",23,IF(C3270="JR",20,IF(C3270="Estágio",10,0))))),IF(C3270="Técnico III",SUMIFS($D:$D,$A:$A,$A3270,$B:$B,"&lt;&gt;Patrícia Karla de Sousa Araújo",$B:$B,"&lt;&gt;Lorena Dias de Araujo",$B:$B,"&lt;&gt;Lucas Luiz Romero")*(35/1083),IF(C3270="Técnico II",SUMIFS($D:$D,$A:$A,$A3270,$B:$B,"&lt;&gt;Patrícia Karla de Sousa Araújo",$B:$B,"&lt;&gt;Lorena Dias de Araujo",$B:$B,"&lt;&gt;Lucas Luiz Romero")*(28/1083),IF(C3270="Técnico I",SUMIFS($D:$D,$A:$A,$A3270,$B:$B,"&lt;&gt;Patrícia Karla de Sousa Araújo",$B:$B,"&lt;&gt;Lorena Dias de Araujo",$B:$B,"&lt;&gt;Lucas Luiz Romero")*(23/1083),IF(C3270="JR",SUMIFS($D:$D,$A:$A,$A3270,$B:$B,"&lt;&gt;Patrícia Karla de Sousa Araújo",$B:$B,"&lt;&gt;Lorena Dias de Araujo",$B:$B,"&lt;&gt;Lucas Luiz Romero")*(20/1083),IF(C3270="Estágio",SUMIFS($D:$D,$A:$A,$A3270,$B:$B,"&lt;&gt;Patrícia Karla de Sousa Araújo",$B:$B,"&lt;&gt;Lorena Dias de Araujo",$B:$B,"&lt;&gt;Lucas Luiz Romero")*(10/1083),0)))))),0)</f>
        <v/>
      </c>
      <c r="K3270" s="3">
        <f>I3270-J3270</f>
        <v/>
      </c>
      <c r="L3270" s="3">
        <f>IF(K3270&lt;-5,"CRÍTICO",IF(K3270&lt;0,"ATENÇÃO",IF(K3270&lt;=5,"OPORTUNO","MUITO BOM")))</f>
        <v/>
      </c>
      <c r="N3270" t="n">
        <v>88.89</v>
      </c>
      <c r="O3270" t="n">
        <v>25.26315789473684</v>
      </c>
    </row>
    <row r="3271" hidden="1">
      <c r="A3271" s="11" t="n">
        <v>46104</v>
      </c>
      <c r="B3271" t="inlineStr">
        <is>
          <t>Matheus Farias De Souza</t>
        </is>
      </c>
      <c r="C3271" t="inlineStr">
        <is>
          <t>Técnico III</t>
        </is>
      </c>
      <c r="D3271" t="n">
        <v>21</v>
      </c>
      <c r="E3271" t="n">
        <v>20</v>
      </c>
      <c r="F3271" t="n">
        <v>19.08</v>
      </c>
      <c r="G3271" t="n">
        <v>0</v>
      </c>
      <c r="H3271" t="n">
        <v>0</v>
      </c>
      <c r="I3271" s="3">
        <f>E3271+G3271+H3271</f>
        <v/>
      </c>
      <c r="J3271" s="3">
        <f>ROUND(MIN(IF(C3271="Técnico III",35,IF(C3271="Técnico II",28,IF(C3271="Técnico I",23,IF(C3271="JR",20,IF(C3271="Estágio",10,0))))),IF(C3271="Técnico III",SUMIFS($D:$D,$A:$A,$A3271,$B:$B,"&lt;&gt;Patrícia Karla de Sousa Araújo",$B:$B,"&lt;&gt;Lorena Dias de Araujo",$B:$B,"&lt;&gt;Lucas Luiz Romero")*(35/1083),IF(C3271="Técnico II",SUMIFS($D:$D,$A:$A,$A3271,$B:$B,"&lt;&gt;Patrícia Karla de Sousa Araújo",$B:$B,"&lt;&gt;Lorena Dias de Araujo",$B:$B,"&lt;&gt;Lucas Luiz Romero")*(28/1083),IF(C3271="Técnico I",SUMIFS($D:$D,$A:$A,$A3271,$B:$B,"&lt;&gt;Patrícia Karla de Sousa Araújo",$B:$B,"&lt;&gt;Lorena Dias de Araujo",$B:$B,"&lt;&gt;Lucas Luiz Romero")*(23/1083),IF(C3271="JR",SUMIFS($D:$D,$A:$A,$A3271,$B:$B,"&lt;&gt;Patrícia Karla de Sousa Araújo",$B:$B,"&lt;&gt;Lorena Dias de Araujo",$B:$B,"&lt;&gt;Lucas Luiz Romero")*(20/1083),IF(C3271="Estágio",SUMIFS($D:$D,$A:$A,$A3271,$B:$B,"&lt;&gt;Patrícia Karla de Sousa Araújo",$B:$B,"&lt;&gt;Lorena Dias de Araujo",$B:$B,"&lt;&gt;Lucas Luiz Romero")*(10/1083),0)))))),0)</f>
        <v/>
      </c>
      <c r="K3271" s="3">
        <f>I3271-J3271</f>
        <v/>
      </c>
      <c r="L3271" s="3">
        <f>IF(K3271&lt;-5,"CRÍTICO",IF(K3271&lt;0,"ATENÇÃO",IF(K3271&lt;=5,"OPORTUNO","MUITO BOM")))</f>
        <v/>
      </c>
      <c r="N3271" t="n">
        <v>98.86</v>
      </c>
      <c r="O3271" t="n">
        <v>28.95927601809955</v>
      </c>
    </row>
    <row r="3272" hidden="1">
      <c r="A3272" s="11" t="n">
        <v>46104</v>
      </c>
      <c r="B3272" t="inlineStr">
        <is>
          <t>Maysa Victoria Dias Moura</t>
        </is>
      </c>
      <c r="C3272" t="inlineStr">
        <is>
          <t>Técnico III</t>
        </is>
      </c>
      <c r="D3272" t="n">
        <v>33</v>
      </c>
      <c r="E3272" t="n">
        <v>30</v>
      </c>
      <c r="F3272" t="n">
        <v>10.43</v>
      </c>
      <c r="G3272" t="n">
        <v>0</v>
      </c>
      <c r="H3272" t="n">
        <v>0</v>
      </c>
      <c r="I3272" s="3">
        <f>E3272+G3272+H3272</f>
        <v/>
      </c>
      <c r="J3272" s="3">
        <f>ROUND(MIN(IF(C3272="Técnico III",35,IF(C3272="Técnico II",28,IF(C3272="Técnico I",23,IF(C3272="JR",20,IF(C3272="Estágio",10,0))))),IF(C3272="Técnico III",SUMIFS($D:$D,$A:$A,$A3272,$B:$B,"&lt;&gt;Patrícia Karla de Sousa Araújo",$B:$B,"&lt;&gt;Lorena Dias de Araujo",$B:$B,"&lt;&gt;Lucas Luiz Romero")*(35/1083),IF(C3272="Técnico II",SUMIFS($D:$D,$A:$A,$A3272,$B:$B,"&lt;&gt;Patrícia Karla de Sousa Araújo",$B:$B,"&lt;&gt;Lorena Dias de Araujo",$B:$B,"&lt;&gt;Lucas Luiz Romero")*(28/1083),IF(C3272="Técnico I",SUMIFS($D:$D,$A:$A,$A3272,$B:$B,"&lt;&gt;Patrícia Karla de Sousa Araújo",$B:$B,"&lt;&gt;Lorena Dias de Araujo",$B:$B,"&lt;&gt;Lucas Luiz Romero")*(23/1083),IF(C3272="JR",SUMIFS($D:$D,$A:$A,$A3272,$B:$B,"&lt;&gt;Patrícia Karla de Sousa Araújo",$B:$B,"&lt;&gt;Lorena Dias de Araujo",$B:$B,"&lt;&gt;Lucas Luiz Romero")*(20/1083),IF(C3272="Estágio",SUMIFS($D:$D,$A:$A,$A3272,$B:$B,"&lt;&gt;Patrícia Karla de Sousa Araújo",$B:$B,"&lt;&gt;Lorena Dias de Araujo",$B:$B,"&lt;&gt;Lucas Luiz Romero")*(10/1083),0)))))),0)</f>
        <v/>
      </c>
      <c r="K3272" s="3">
        <f>I3272-J3272</f>
        <v/>
      </c>
      <c r="L3272" s="3">
        <f>IF(K3272&lt;-5,"CRÍTICO",IF(K3272&lt;0,"ATENÇÃO",IF(K3272&lt;=5,"OPORTUNO","MUITO BOM")))</f>
        <v/>
      </c>
      <c r="N3272" t="n">
        <v>98.06</v>
      </c>
      <c r="O3272" t="n">
        <v>22.40566037735849</v>
      </c>
    </row>
    <row r="3273" hidden="1">
      <c r="A3273" s="11" t="n">
        <v>46104</v>
      </c>
      <c r="B3273" t="inlineStr">
        <is>
          <t>Michelle G Santos</t>
        </is>
      </c>
      <c r="C3273" t="inlineStr">
        <is>
          <t>Estágio</t>
        </is>
      </c>
      <c r="D3273" t="n">
        <v>4</v>
      </c>
      <c r="E3273" t="n">
        <v>4</v>
      </c>
      <c r="F3273" t="n">
        <v>60.03</v>
      </c>
      <c r="G3273" t="n">
        <v>0</v>
      </c>
      <c r="H3273" t="n">
        <v>0</v>
      </c>
      <c r="I3273" s="3">
        <f>E3273+G3273+H3273</f>
        <v/>
      </c>
      <c r="J3273" s="3">
        <f>ROUND(MIN(IF(C3273="Técnico III",35,IF(C3273="Técnico II",28,IF(C3273="Técnico I",23,IF(C3273="JR",20,IF(C3273="Estágio",10,0))))),IF(C3273="Técnico III",SUMIFS($D:$D,$A:$A,$A3273,$B:$B,"&lt;&gt;Patrícia Karla de Sousa Araújo",$B:$B,"&lt;&gt;Lorena Dias de Araujo",$B:$B,"&lt;&gt;Lucas Luiz Romero")*(35/1083),IF(C3273="Técnico II",SUMIFS($D:$D,$A:$A,$A3273,$B:$B,"&lt;&gt;Patrícia Karla de Sousa Araújo",$B:$B,"&lt;&gt;Lorena Dias de Araujo",$B:$B,"&lt;&gt;Lucas Luiz Romero")*(28/1083),IF(C3273="Técnico I",SUMIFS($D:$D,$A:$A,$A3273,$B:$B,"&lt;&gt;Patrícia Karla de Sousa Araújo",$B:$B,"&lt;&gt;Lorena Dias de Araujo",$B:$B,"&lt;&gt;Lucas Luiz Romero")*(23/1083),IF(C3273="JR",SUMIFS($D:$D,$A:$A,$A3273,$B:$B,"&lt;&gt;Patrícia Karla de Sousa Araújo",$B:$B,"&lt;&gt;Lorena Dias de Araujo",$B:$B,"&lt;&gt;Lucas Luiz Romero")*(20/1083),IF(C3273="Estágio",SUMIFS($D:$D,$A:$A,$A3273,$B:$B,"&lt;&gt;Patrícia Karla de Sousa Araújo",$B:$B,"&lt;&gt;Lorena Dias de Araujo",$B:$B,"&lt;&gt;Lucas Luiz Romero")*(10/1083),0)))))),0)</f>
        <v/>
      </c>
      <c r="K3273" s="3">
        <f>I3273-J3273</f>
        <v/>
      </c>
      <c r="L3273" s="3">
        <f>IF(K3273&lt;-5,"CRÍTICO",IF(K3273&lt;0,"ATENÇÃO",IF(K3273&lt;=5,"OPORTUNO","MUITO BOM")))</f>
        <v/>
      </c>
      <c r="N3273" t="n">
        <v>95.83</v>
      </c>
      <c r="O3273" t="n">
        <v>25.77319587628866</v>
      </c>
    </row>
    <row r="3274" hidden="1">
      <c r="A3274" s="11" t="n">
        <v>46104</v>
      </c>
      <c r="B3274" t="inlineStr">
        <is>
          <t>Milena Sales</t>
        </is>
      </c>
      <c r="C3274" t="inlineStr">
        <is>
          <t>JR</t>
        </is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s="3" t="n">
        <v>0</v>
      </c>
      <c r="J3274" s="3" t="n">
        <v>0</v>
      </c>
      <c r="K3274" s="3" t="n">
        <v>0</v>
      </c>
      <c r="L3274" s="3">
        <f>IF(K3274&lt;-5,"CRÍTICO",IF(K3274&lt;0,"ATENÇÃO",IF(K3274&lt;=5,"OPORTUNO","MUITO BOM")))</f>
        <v/>
      </c>
      <c r="N3274" t="n">
        <v>100</v>
      </c>
      <c r="O3274" t="n">
        <v>15.38461538461539</v>
      </c>
    </row>
    <row r="3275" hidden="1">
      <c r="A3275" s="11" t="n">
        <v>46104</v>
      </c>
      <c r="B3275" t="inlineStr">
        <is>
          <t>Patrícia Karla de Sousa Araújo</t>
        </is>
      </c>
      <c r="C3275" t="inlineStr">
        <is>
          <t>Técnico II</t>
        </is>
      </c>
      <c r="D3275" t="n">
        <v>21</v>
      </c>
      <c r="E3275" t="n">
        <v>20</v>
      </c>
      <c r="F3275" t="n">
        <v>22.12</v>
      </c>
      <c r="G3275" t="n">
        <v>0</v>
      </c>
      <c r="H3275" t="n">
        <v>0</v>
      </c>
      <c r="I3275" s="3">
        <f>E3275+G3275+H3275</f>
        <v/>
      </c>
      <c r="J3275" s="3">
        <f>ROUND(MIN(IF(C3275="Técnico III",35,IF(C3275="Técnico II",28,IF(C3275="Técnico I",23,IF(C3275="JR",20,IF(C3275="Estágio",10,0))))),IF(C3275="Técnico III",SUMIFS($D:$D,$A:$A,$A3275,$B:$B,"&lt;&gt;Patrícia Karla de Sousa Araújo",$B:$B,"&lt;&gt;Lorena Dias de Araujo",$B:$B,"&lt;&gt;Lucas Luiz Romero")*(35/1083),IF(C3275="Técnico II",SUMIFS($D:$D,$A:$A,$A3275,$B:$B,"&lt;&gt;Patrícia Karla de Sousa Araújo",$B:$B,"&lt;&gt;Lorena Dias de Araujo",$B:$B,"&lt;&gt;Lucas Luiz Romero")*(28/1083),IF(C3275="Técnico I",SUMIFS($D:$D,$A:$A,$A3275,$B:$B,"&lt;&gt;Patrícia Karla de Sousa Araújo",$B:$B,"&lt;&gt;Lorena Dias de Araujo",$B:$B,"&lt;&gt;Lucas Luiz Romero")*(23/1083),IF(C3275="JR",SUMIFS($D:$D,$A:$A,$A3275,$B:$B,"&lt;&gt;Patrícia Karla de Sousa Araújo",$B:$B,"&lt;&gt;Lorena Dias de Araujo",$B:$B,"&lt;&gt;Lucas Luiz Romero")*(20/1083),IF(C3275="Estágio",SUMIFS($D:$D,$A:$A,$A3275,$B:$B,"&lt;&gt;Patrícia Karla de Sousa Araújo",$B:$B,"&lt;&gt;Lorena Dias de Araujo",$B:$B,"&lt;&gt;Lucas Luiz Romero")*(10/1083),0)))))),0)</f>
        <v/>
      </c>
      <c r="K3275" s="3">
        <f>I3275-J3275</f>
        <v/>
      </c>
      <c r="L3275" s="3">
        <f>IF(K3275&lt;-5,"CRÍTICO",IF(K3275&lt;0,"ATENÇÃO",IF(K3275&lt;=5,"OPORTUNO","MUITO BOM")))</f>
        <v/>
      </c>
      <c r="N3275" t="n">
        <v>100</v>
      </c>
      <c r="O3275" t="n">
        <v>27.51479289940828</v>
      </c>
    </row>
    <row r="3276" hidden="1">
      <c r="A3276" s="11" t="n">
        <v>46104</v>
      </c>
      <c r="B3276" t="inlineStr">
        <is>
          <t>Paulo Ricardo Santos</t>
        </is>
      </c>
      <c r="C3276" t="inlineStr">
        <is>
          <t>JR</t>
        </is>
      </c>
      <c r="D3276" t="n">
        <v>18</v>
      </c>
      <c r="E3276" t="n">
        <v>16</v>
      </c>
      <c r="F3276" t="n">
        <v>19.04</v>
      </c>
      <c r="G3276" t="n">
        <v>0</v>
      </c>
      <c r="H3276" t="n">
        <v>0</v>
      </c>
      <c r="I3276" s="3">
        <f>E3276+G3276+H3276</f>
        <v/>
      </c>
      <c r="J3276" s="3">
        <f>ROUND(MIN(IF(C3276="Técnico III",35,IF(C3276="Técnico II",28,IF(C3276="Técnico I",23,IF(C3276="JR",20,IF(C3276="Estágio",10,0))))),IF(C3276="Técnico III",SUMIFS($D:$D,$A:$A,$A3276,$B:$B,"&lt;&gt;Patrícia Karla de Sousa Araújo",$B:$B,"&lt;&gt;Lorena Dias de Araujo",$B:$B,"&lt;&gt;Lucas Luiz Romero")*(35/1083),IF(C3276="Técnico II",SUMIFS($D:$D,$A:$A,$A3276,$B:$B,"&lt;&gt;Patrícia Karla de Sousa Araújo",$B:$B,"&lt;&gt;Lorena Dias de Araujo",$B:$B,"&lt;&gt;Lucas Luiz Romero")*(28/1083),IF(C3276="Técnico I",SUMIFS($D:$D,$A:$A,$A3276,$B:$B,"&lt;&gt;Patrícia Karla de Sousa Araújo",$B:$B,"&lt;&gt;Lorena Dias de Araujo",$B:$B,"&lt;&gt;Lucas Luiz Romero")*(23/1083),IF(C3276="JR",SUMIFS($D:$D,$A:$A,$A3276,$B:$B,"&lt;&gt;Patrícia Karla de Sousa Araújo",$B:$B,"&lt;&gt;Lorena Dias de Araujo",$B:$B,"&lt;&gt;Lucas Luiz Romero")*(20/1083),IF(C3276="Estágio",SUMIFS($D:$D,$A:$A,$A3276,$B:$B,"&lt;&gt;Patrícia Karla de Sousa Araújo",$B:$B,"&lt;&gt;Lorena Dias de Araujo",$B:$B,"&lt;&gt;Lucas Luiz Romero")*(10/1083),0)))))),0)</f>
        <v/>
      </c>
      <c r="K3276" s="3">
        <f>I3276-J3276</f>
        <v/>
      </c>
      <c r="L3276" s="3">
        <f>IF(K3276&lt;-5,"CRÍTICO",IF(K3276&lt;0,"ATENÇÃO",IF(K3276&lt;=5,"OPORTUNO","MUITO BOM")))</f>
        <v/>
      </c>
      <c r="N3276" t="n">
        <v>100</v>
      </c>
      <c r="O3276" t="n">
        <v>24.87562189054727</v>
      </c>
    </row>
    <row r="3277" hidden="1">
      <c r="A3277" s="11" t="n">
        <v>46104</v>
      </c>
      <c r="B3277" t="inlineStr">
        <is>
          <t>Pedro Luiz Mota Sousa</t>
        </is>
      </c>
      <c r="C3277" t="inlineStr">
        <is>
          <t>JR</t>
        </is>
      </c>
      <c r="D3277" t="n">
        <v>17</v>
      </c>
      <c r="E3277" t="n">
        <v>16</v>
      </c>
      <c r="F3277" t="n">
        <v>25.52</v>
      </c>
      <c r="G3277" t="n">
        <v>0</v>
      </c>
      <c r="H3277" t="n">
        <v>0</v>
      </c>
      <c r="I3277" s="3">
        <f>E3277+G3277+H3277</f>
        <v/>
      </c>
      <c r="J3277" s="3">
        <f>ROUND(MIN(IF(C3277="Técnico III",35,IF(C3277="Técnico II",28,IF(C3277="Técnico I",23,IF(C3277="JR",20,IF(C3277="Estágio",10,0))))),IF(C3277="Técnico III",SUMIFS($D:$D,$A:$A,$A3277,$B:$B,"&lt;&gt;Patrícia Karla de Sousa Araújo",$B:$B,"&lt;&gt;Lorena Dias de Araujo",$B:$B,"&lt;&gt;Lucas Luiz Romero")*(35/1083),IF(C3277="Técnico II",SUMIFS($D:$D,$A:$A,$A3277,$B:$B,"&lt;&gt;Patrícia Karla de Sousa Araújo",$B:$B,"&lt;&gt;Lorena Dias de Araujo",$B:$B,"&lt;&gt;Lucas Luiz Romero")*(28/1083),IF(C3277="Técnico I",SUMIFS($D:$D,$A:$A,$A3277,$B:$B,"&lt;&gt;Patrícia Karla de Sousa Araújo",$B:$B,"&lt;&gt;Lorena Dias de Araujo",$B:$B,"&lt;&gt;Lucas Luiz Romero")*(23/1083),IF(C3277="JR",SUMIFS($D:$D,$A:$A,$A3277,$B:$B,"&lt;&gt;Patrícia Karla de Sousa Araújo",$B:$B,"&lt;&gt;Lorena Dias de Araujo",$B:$B,"&lt;&gt;Lucas Luiz Romero")*(20/1083),IF(C3277="Estágio",SUMIFS($D:$D,$A:$A,$A3277,$B:$B,"&lt;&gt;Patrícia Karla de Sousa Araújo",$B:$B,"&lt;&gt;Lorena Dias de Araujo",$B:$B,"&lt;&gt;Lucas Luiz Romero")*(10/1083),0)))))),0)</f>
        <v/>
      </c>
      <c r="K3277" s="3">
        <f>I3277-J3277</f>
        <v/>
      </c>
      <c r="L3277" s="3">
        <f>IF(K3277&lt;-5,"CRÍTICO",IF(K3277&lt;0,"ATENÇÃO",IF(K3277&lt;=5,"OPORTUNO","MUITO BOM")))</f>
        <v/>
      </c>
      <c r="N3277" t="n">
        <v>100</v>
      </c>
      <c r="O3277" t="n">
        <v>28.10810810810811</v>
      </c>
    </row>
    <row r="3278" hidden="1">
      <c r="A3278" s="11" t="n">
        <v>46104</v>
      </c>
      <c r="B3278" t="inlineStr">
        <is>
          <t>Quirino Diogo Leite Torres</t>
        </is>
      </c>
      <c r="C3278" t="inlineStr">
        <is>
          <t>Estágio</t>
        </is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s="3" t="n">
        <v>0</v>
      </c>
      <c r="J3278" s="3" t="n">
        <v>0</v>
      </c>
      <c r="K3278" s="3" t="n">
        <v>0</v>
      </c>
      <c r="L3278" s="3">
        <f>IF(K3278&lt;-5,"CRÍTICO",IF(K3278&lt;0,"ATENÇÃO",IF(K3278&lt;=5,"OPORTUNO","MUITO BOM")))</f>
        <v/>
      </c>
      <c r="N3278" t="n">
        <v>100</v>
      </c>
      <c r="O3278" t="n">
        <v>35</v>
      </c>
    </row>
    <row r="3279" hidden="1">
      <c r="A3279" s="11" t="n">
        <v>46104</v>
      </c>
      <c r="B3279" t="inlineStr">
        <is>
          <t>Raane Batista Matos</t>
        </is>
      </c>
      <c r="C3279" t="inlineStr">
        <is>
          <t>Técnico I</t>
        </is>
      </c>
      <c r="D3279" t="n">
        <v>21</v>
      </c>
      <c r="E3279" t="n">
        <v>19</v>
      </c>
      <c r="F3279" t="n">
        <v>25.55</v>
      </c>
      <c r="G3279" t="n">
        <v>0</v>
      </c>
      <c r="H3279" t="n">
        <v>0</v>
      </c>
      <c r="I3279" s="3">
        <f>E3279+G3279+H3279</f>
        <v/>
      </c>
      <c r="J3279" s="3">
        <f>ROUND(MIN(IF(C3279="Técnico III",35,IF(C3279="Técnico II",28,IF(C3279="Técnico I",23,IF(C3279="JR",20,IF(C3279="Estágio",10,0))))),IF(C3279="Técnico III",SUMIFS($D:$D,$A:$A,$A3279,$B:$B,"&lt;&gt;Patrícia Karla de Sousa Araújo",$B:$B,"&lt;&gt;Lorena Dias de Araujo",$B:$B,"&lt;&gt;Lucas Luiz Romero")*(35/1083),IF(C3279="Técnico II",SUMIFS($D:$D,$A:$A,$A3279,$B:$B,"&lt;&gt;Patrícia Karla de Sousa Araújo",$B:$B,"&lt;&gt;Lorena Dias de Araujo",$B:$B,"&lt;&gt;Lucas Luiz Romero")*(28/1083),IF(C3279="Técnico I",SUMIFS($D:$D,$A:$A,$A3279,$B:$B,"&lt;&gt;Patrícia Karla de Sousa Araújo",$B:$B,"&lt;&gt;Lorena Dias de Araujo",$B:$B,"&lt;&gt;Lucas Luiz Romero")*(23/1083),IF(C3279="JR",SUMIFS($D:$D,$A:$A,$A3279,$B:$B,"&lt;&gt;Patrícia Karla de Sousa Araújo",$B:$B,"&lt;&gt;Lorena Dias de Araujo",$B:$B,"&lt;&gt;Lucas Luiz Romero")*(20/1083),IF(C3279="Estágio",SUMIFS($D:$D,$A:$A,$A3279,$B:$B,"&lt;&gt;Patrícia Karla de Sousa Araújo",$B:$B,"&lt;&gt;Lorena Dias de Araujo",$B:$B,"&lt;&gt;Lucas Luiz Romero")*(10/1083),0)))))),0)</f>
        <v/>
      </c>
      <c r="K3279" s="3">
        <f>I3279-J3279</f>
        <v/>
      </c>
      <c r="L3279" s="3">
        <f>IF(K3279&lt;-5,"CRÍTICO",IF(K3279&lt;0,"ATENÇÃO",IF(K3279&lt;=5,"OPORTUNO","MUITO BOM")))</f>
        <v/>
      </c>
      <c r="N3279" t="n">
        <v>95.34999999999999</v>
      </c>
      <c r="O3279" t="n">
        <v>28.61538461538461</v>
      </c>
    </row>
    <row r="3280" hidden="1">
      <c r="A3280" s="11" t="n">
        <v>46104</v>
      </c>
      <c r="B3280" t="inlineStr">
        <is>
          <t>Rafael Gomes de Morais</t>
        </is>
      </c>
      <c r="C3280" t="inlineStr">
        <is>
          <t>Técnico III</t>
        </is>
      </c>
      <c r="D3280" t="n">
        <v>28</v>
      </c>
      <c r="E3280" t="n">
        <v>25</v>
      </c>
      <c r="F3280" t="n">
        <v>15.07</v>
      </c>
      <c r="G3280" t="n">
        <v>0</v>
      </c>
      <c r="H3280" t="n">
        <v>0</v>
      </c>
      <c r="I3280" s="3">
        <f>E3280+G3280+H3280</f>
        <v/>
      </c>
      <c r="J3280" s="3">
        <f>ROUND(MIN(IF(C3280="Técnico III",35,IF(C3280="Técnico II",28,IF(C3280="Técnico I",23,IF(C3280="JR",20,IF(C3280="Estágio",10,0))))),IF(C3280="Técnico III",SUMIFS($D:$D,$A:$A,$A3280,$B:$B,"&lt;&gt;Patrícia Karla de Sousa Araújo",$B:$B,"&lt;&gt;Lorena Dias de Araujo",$B:$B,"&lt;&gt;Lucas Luiz Romero")*(35/1083),IF(C3280="Técnico II",SUMIFS($D:$D,$A:$A,$A3280,$B:$B,"&lt;&gt;Patrícia Karla de Sousa Araújo",$B:$B,"&lt;&gt;Lorena Dias de Araujo",$B:$B,"&lt;&gt;Lucas Luiz Romero")*(28/1083),IF(C3280="Técnico I",SUMIFS($D:$D,$A:$A,$A3280,$B:$B,"&lt;&gt;Patrícia Karla de Sousa Araújo",$B:$B,"&lt;&gt;Lorena Dias de Araujo",$B:$B,"&lt;&gt;Lucas Luiz Romero")*(23/1083),IF(C3280="JR",SUMIFS($D:$D,$A:$A,$A3280,$B:$B,"&lt;&gt;Patrícia Karla de Sousa Araújo",$B:$B,"&lt;&gt;Lorena Dias de Araujo",$B:$B,"&lt;&gt;Lucas Luiz Romero")*(20/1083),IF(C3280="Estágio",SUMIFS($D:$D,$A:$A,$A3280,$B:$B,"&lt;&gt;Patrícia Karla de Sousa Araújo",$B:$B,"&lt;&gt;Lorena Dias de Araujo",$B:$B,"&lt;&gt;Lucas Luiz Romero")*(10/1083),0)))))),0)</f>
        <v/>
      </c>
      <c r="K3280" s="3">
        <f>I3280-J3280</f>
        <v/>
      </c>
      <c r="L3280" s="3">
        <f>IF(K3280&lt;-5,"CRÍTICO",IF(K3280&lt;0,"ATENÇÃO",IF(K3280&lt;=5,"OPORTUNO","MUITO BOM")))</f>
        <v/>
      </c>
      <c r="N3280" t="n">
        <v>98.26000000000001</v>
      </c>
      <c r="O3280" t="n">
        <v>27.54491017964072</v>
      </c>
    </row>
    <row r="3281" hidden="1">
      <c r="A3281" s="11" t="n">
        <v>46104</v>
      </c>
      <c r="B3281" t="inlineStr">
        <is>
          <t>Sara Maria Monteiro Lopes</t>
        </is>
      </c>
      <c r="C3281" t="inlineStr">
        <is>
          <t>Técnico I</t>
        </is>
      </c>
      <c r="D3281" t="n">
        <v>10</v>
      </c>
      <c r="E3281" t="n">
        <v>10</v>
      </c>
      <c r="F3281" t="n">
        <v>48.41</v>
      </c>
      <c r="G3281" t="n">
        <v>0</v>
      </c>
      <c r="H3281" t="n">
        <v>0</v>
      </c>
      <c r="I3281" s="3">
        <f>E3281+G3281+H3281</f>
        <v/>
      </c>
      <c r="J3281" s="3">
        <f>ROUND(MIN(IF(C3281="Técnico III",35,IF(C3281="Técnico II",28,IF(C3281="Técnico I",23,IF(C3281="JR",20,IF(C3281="Estágio",10,0))))),IF(C3281="Técnico III",SUMIFS($D:$D,$A:$A,$A3281,$B:$B,"&lt;&gt;Patrícia Karla de Sousa Araújo",$B:$B,"&lt;&gt;Lorena Dias de Araujo",$B:$B,"&lt;&gt;Lucas Luiz Romero")*(35/1083),IF(C3281="Técnico II",SUMIFS($D:$D,$A:$A,$A3281,$B:$B,"&lt;&gt;Patrícia Karla de Sousa Araújo",$B:$B,"&lt;&gt;Lorena Dias de Araujo",$B:$B,"&lt;&gt;Lucas Luiz Romero")*(28/1083),IF(C3281="Técnico I",SUMIFS($D:$D,$A:$A,$A3281,$B:$B,"&lt;&gt;Patrícia Karla de Sousa Araújo",$B:$B,"&lt;&gt;Lorena Dias de Araujo",$B:$B,"&lt;&gt;Lucas Luiz Romero")*(23/1083),IF(C3281="JR",SUMIFS($D:$D,$A:$A,$A3281,$B:$B,"&lt;&gt;Patrícia Karla de Sousa Araújo",$B:$B,"&lt;&gt;Lorena Dias de Araujo",$B:$B,"&lt;&gt;Lucas Luiz Romero")*(20/1083),IF(C3281="Estágio",SUMIFS($D:$D,$A:$A,$A3281,$B:$B,"&lt;&gt;Patrícia Karla de Sousa Araújo",$B:$B,"&lt;&gt;Lorena Dias de Araujo",$B:$B,"&lt;&gt;Lucas Luiz Romero")*(10/1083),0)))))),0)</f>
        <v/>
      </c>
      <c r="K3281" s="3">
        <f>I3281-J3281</f>
        <v/>
      </c>
      <c r="L3281" s="3">
        <f>IF(K3281&lt;-5,"CRÍTICO",IF(K3281&lt;0,"ATENÇÃO",IF(K3281&lt;=5,"OPORTUNO","MUITO BOM")))</f>
        <v/>
      </c>
      <c r="N3281" t="n">
        <v>98.55</v>
      </c>
      <c r="O3281" t="n">
        <v>25.33783783783784</v>
      </c>
    </row>
    <row r="3282" hidden="1">
      <c r="A3282" s="11" t="n">
        <v>46104</v>
      </c>
      <c r="B3282" t="inlineStr">
        <is>
          <t>Sarah Steffanie de Lima Borges</t>
        </is>
      </c>
      <c r="C3282" t="inlineStr">
        <is>
          <t>Técnico III</t>
        </is>
      </c>
      <c r="D3282" t="n">
        <v>25</v>
      </c>
      <c r="E3282" t="n">
        <v>24</v>
      </c>
      <c r="F3282" t="n">
        <v>17.36</v>
      </c>
      <c r="G3282" t="n">
        <v>0</v>
      </c>
      <c r="H3282" t="n">
        <v>0</v>
      </c>
      <c r="I3282" s="3">
        <f>E3282+G3282+H3282</f>
        <v/>
      </c>
      <c r="J3282" s="3">
        <f>ROUND(MIN(IF(C3282="Técnico III",35,IF(C3282="Técnico II",28,IF(C3282="Técnico I",23,IF(C3282="JR",20,IF(C3282="Estágio",10,0))))),IF(C3282="Técnico III",SUMIFS($D:$D,$A:$A,$A3282,$B:$B,"&lt;&gt;Patrícia Karla de Sousa Araújo",$B:$B,"&lt;&gt;Lorena Dias de Araujo",$B:$B,"&lt;&gt;Lucas Luiz Romero")*(35/1083),IF(C3282="Técnico II",SUMIFS($D:$D,$A:$A,$A3282,$B:$B,"&lt;&gt;Patrícia Karla de Sousa Araújo",$B:$B,"&lt;&gt;Lorena Dias de Araujo",$B:$B,"&lt;&gt;Lucas Luiz Romero")*(28/1083),IF(C3282="Técnico I",SUMIFS($D:$D,$A:$A,$A3282,$B:$B,"&lt;&gt;Patrícia Karla de Sousa Araújo",$B:$B,"&lt;&gt;Lorena Dias de Araujo",$B:$B,"&lt;&gt;Lucas Luiz Romero")*(23/1083),IF(C3282="JR",SUMIFS($D:$D,$A:$A,$A3282,$B:$B,"&lt;&gt;Patrícia Karla de Sousa Araújo",$B:$B,"&lt;&gt;Lorena Dias de Araujo",$B:$B,"&lt;&gt;Lucas Luiz Romero")*(20/1083),IF(C3282="Estágio",SUMIFS($D:$D,$A:$A,$A3282,$B:$B,"&lt;&gt;Patrícia Karla de Sousa Araújo",$B:$B,"&lt;&gt;Lorena Dias de Araujo",$B:$B,"&lt;&gt;Lucas Luiz Romero")*(10/1083),0)))))),0)</f>
        <v/>
      </c>
      <c r="K3282" s="3">
        <f>I3282-J3282</f>
        <v/>
      </c>
      <c r="L3282" s="3">
        <f>IF(K3282&lt;-5,"CRÍTICO",IF(K3282&lt;0,"ATENÇÃO",IF(K3282&lt;=5,"OPORTUNO","MUITO BOM")))</f>
        <v/>
      </c>
      <c r="N3282" t="n">
        <v>98.39</v>
      </c>
      <c r="O3282" t="n">
        <v>25.56390977443609</v>
      </c>
    </row>
    <row r="3283" hidden="1">
      <c r="A3283" s="11" t="n">
        <v>46105</v>
      </c>
      <c r="B3283" t="inlineStr">
        <is>
          <t>Alisson de Freitas Silva</t>
        </is>
      </c>
      <c r="C3283" t="inlineStr">
        <is>
          <t>Técnico II</t>
        </is>
      </c>
      <c r="D3283" t="n">
        <v>28</v>
      </c>
      <c r="E3283" t="n">
        <v>21</v>
      </c>
      <c r="F3283" t="n">
        <v>12.34</v>
      </c>
      <c r="G3283" t="n">
        <v>0</v>
      </c>
      <c r="H3283" t="n">
        <v>0</v>
      </c>
      <c r="I3283" s="3">
        <f>E3283+G3283+H3283</f>
        <v/>
      </c>
      <c r="J3283" s="3">
        <f>ROUND(MIN(IF(C3283="Técnico III",35,IF(C3283="Técnico II",28,IF(C3283="Técnico I",23,IF(C3283="JR",20,IF(C3283="Estágio",10,0))))),IF(C3283="Técnico III",SUMIFS($D:$D,$A:$A,$A3283,$B:$B,"&lt;&gt;Patrícia Karla de Sousa Araújo",$B:$B,"&lt;&gt;Lorena Dias de Araujo",$B:$B,"&lt;&gt;Lucas Luiz Romero")*(35/1083),IF(C3283="Técnico II",SUMIFS($D:$D,$A:$A,$A3283,$B:$B,"&lt;&gt;Patrícia Karla de Sousa Araújo",$B:$B,"&lt;&gt;Lorena Dias de Araujo",$B:$B,"&lt;&gt;Lucas Luiz Romero")*(28/1083),IF(C3283="Técnico I",SUMIFS($D:$D,$A:$A,$A3283,$B:$B,"&lt;&gt;Patrícia Karla de Sousa Araújo",$B:$B,"&lt;&gt;Lorena Dias de Araujo",$B:$B,"&lt;&gt;Lucas Luiz Romero")*(23/1083),IF(C3283="JR",SUMIFS($D:$D,$A:$A,$A3283,$B:$B,"&lt;&gt;Patrícia Karla de Sousa Araújo",$B:$B,"&lt;&gt;Lorena Dias de Araujo",$B:$B,"&lt;&gt;Lucas Luiz Romero")*(20/1083),IF(C3283="Estágio",SUMIFS($D:$D,$A:$A,$A3283,$B:$B,"&lt;&gt;Patrícia Karla de Sousa Araújo",$B:$B,"&lt;&gt;Lorena Dias de Araujo",$B:$B,"&lt;&gt;Lucas Luiz Romero")*(10/1083),0)))))),0)</f>
        <v/>
      </c>
      <c r="K3283" s="3">
        <f>I3283-J3283</f>
        <v/>
      </c>
      <c r="L3283" s="3">
        <f>IF(K3283&lt;-5,"CRÍTICO",IF(K3283&lt;0,"ATENÇÃO",IF(K3283&lt;=5,"OPORTUNO","MUITO BOM")))</f>
        <v/>
      </c>
      <c r="N3283" t="n">
        <v>94.29000000000001</v>
      </c>
      <c r="O3283" t="n">
        <v>25.64766839378239</v>
      </c>
    </row>
    <row r="3284" hidden="1">
      <c r="A3284" s="11" t="n">
        <v>46105</v>
      </c>
      <c r="B3284" t="inlineStr">
        <is>
          <t>Amanda Moura Ferreira</t>
        </is>
      </c>
      <c r="C3284" t="inlineStr">
        <is>
          <t>Técnico III</t>
        </is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s="3" t="n">
        <v>0</v>
      </c>
      <c r="J3284" s="3" t="n">
        <v>0</v>
      </c>
      <c r="K3284" s="3" t="n">
        <v>0</v>
      </c>
      <c r="L3284" s="3">
        <f>IF(K3284&lt;-5,"CRÍTICO",IF(K3284&lt;0,"ATENÇÃO",IF(K3284&lt;=5,"OPORTUNO","MUITO BOM")))</f>
        <v/>
      </c>
      <c r="N3284" t="n">
        <v>98.26000000000001</v>
      </c>
      <c r="O3284" t="n">
        <v>26.66666666666667</v>
      </c>
    </row>
    <row r="3285" hidden="1">
      <c r="A3285" s="11" t="n">
        <v>46105</v>
      </c>
      <c r="B3285" t="inlineStr">
        <is>
          <t>Ana Karollyne Souza Faria</t>
        </is>
      </c>
      <c r="C3285" t="inlineStr">
        <is>
          <t>Técnico I</t>
        </is>
      </c>
      <c r="D3285" t="n">
        <v>28</v>
      </c>
      <c r="E3285" t="n">
        <v>26</v>
      </c>
      <c r="F3285" t="n">
        <v>17.24</v>
      </c>
      <c r="G3285" t="n">
        <v>0</v>
      </c>
      <c r="H3285" t="n">
        <v>0</v>
      </c>
      <c r="I3285" s="3">
        <f>E3285+G3285+H3285</f>
        <v/>
      </c>
      <c r="J3285" s="3">
        <f>ROUND(MIN(IF(C3285="Técnico III",35,IF(C3285="Técnico II",28,IF(C3285="Técnico I",23,IF(C3285="JR",20,IF(C3285="Estágio",10,0))))),IF(C3285="Técnico III",SUMIFS($D:$D,$A:$A,$A3285,$B:$B,"&lt;&gt;Patrícia Karla de Sousa Araújo",$B:$B,"&lt;&gt;Lorena Dias de Araujo",$B:$B,"&lt;&gt;Lucas Luiz Romero")*(35/1083),IF(C3285="Técnico II",SUMIFS($D:$D,$A:$A,$A3285,$B:$B,"&lt;&gt;Patrícia Karla de Sousa Araújo",$B:$B,"&lt;&gt;Lorena Dias de Araujo",$B:$B,"&lt;&gt;Lucas Luiz Romero")*(28/1083),IF(C3285="Técnico I",SUMIFS($D:$D,$A:$A,$A3285,$B:$B,"&lt;&gt;Patrícia Karla de Sousa Araújo",$B:$B,"&lt;&gt;Lorena Dias de Araujo",$B:$B,"&lt;&gt;Lucas Luiz Romero")*(23/1083),IF(C3285="JR",SUMIFS($D:$D,$A:$A,$A3285,$B:$B,"&lt;&gt;Patrícia Karla de Sousa Araújo",$B:$B,"&lt;&gt;Lorena Dias de Araujo",$B:$B,"&lt;&gt;Lucas Luiz Romero")*(20/1083),IF(C3285="Estágio",SUMIFS($D:$D,$A:$A,$A3285,$B:$B,"&lt;&gt;Patrícia Karla de Sousa Araújo",$B:$B,"&lt;&gt;Lorena Dias de Araujo",$B:$B,"&lt;&gt;Lucas Luiz Romero")*(10/1083),0)))))),0)</f>
        <v/>
      </c>
      <c r="K3285" s="3">
        <f>I3285-J3285</f>
        <v/>
      </c>
      <c r="L3285" s="3">
        <f>IF(K3285&lt;-5,"CRÍTICO",IF(K3285&lt;0,"ATENÇÃO",IF(K3285&lt;=5,"OPORTUNO","MUITO BOM")))</f>
        <v/>
      </c>
      <c r="N3285" t="n">
        <v>98.2</v>
      </c>
      <c r="O3285" t="n">
        <v>23.37962962962963</v>
      </c>
    </row>
    <row r="3286" hidden="1">
      <c r="A3286" s="11" t="n">
        <v>46105</v>
      </c>
      <c r="B3286" t="inlineStr">
        <is>
          <t>Ana Paula Da Luz Silva Aleixo</t>
        </is>
      </c>
      <c r="C3286" t="inlineStr">
        <is>
          <t>Técnico III</t>
        </is>
      </c>
      <c r="D3286" t="n">
        <v>36</v>
      </c>
      <c r="E3286" t="n">
        <v>34</v>
      </c>
      <c r="F3286" t="n">
        <v>17.36</v>
      </c>
      <c r="G3286" t="n">
        <v>0</v>
      </c>
      <c r="H3286" t="n">
        <v>0</v>
      </c>
      <c r="I3286" s="3">
        <f>E3286+G3286+H3286</f>
        <v/>
      </c>
      <c r="J3286" s="3">
        <f>ROUND(MIN(IF(C3286="Técnico III",35,IF(C3286="Técnico II",28,IF(C3286="Técnico I",23,IF(C3286="JR",20,IF(C3286="Estágio",10,0))))),IF(C3286="Técnico III",SUMIFS($D:$D,$A:$A,$A3286,$B:$B,"&lt;&gt;Patrícia Karla de Sousa Araújo",$B:$B,"&lt;&gt;Lorena Dias de Araujo",$B:$B,"&lt;&gt;Lucas Luiz Romero")*(35/1083),IF(C3286="Técnico II",SUMIFS($D:$D,$A:$A,$A3286,$B:$B,"&lt;&gt;Patrícia Karla de Sousa Araújo",$B:$B,"&lt;&gt;Lorena Dias de Araujo",$B:$B,"&lt;&gt;Lucas Luiz Romero")*(28/1083),IF(C3286="Técnico I",SUMIFS($D:$D,$A:$A,$A3286,$B:$B,"&lt;&gt;Patrícia Karla de Sousa Araújo",$B:$B,"&lt;&gt;Lorena Dias de Araujo",$B:$B,"&lt;&gt;Lucas Luiz Romero")*(23/1083),IF(C3286="JR",SUMIFS($D:$D,$A:$A,$A3286,$B:$B,"&lt;&gt;Patrícia Karla de Sousa Araújo",$B:$B,"&lt;&gt;Lorena Dias de Araujo",$B:$B,"&lt;&gt;Lucas Luiz Romero")*(20/1083),IF(C3286="Estágio",SUMIFS($D:$D,$A:$A,$A3286,$B:$B,"&lt;&gt;Patrícia Karla de Sousa Araújo",$B:$B,"&lt;&gt;Lorena Dias de Araujo",$B:$B,"&lt;&gt;Lucas Luiz Romero")*(10/1083),0)))))),0)</f>
        <v/>
      </c>
      <c r="K3286" s="3">
        <f>I3286-J3286</f>
        <v/>
      </c>
      <c r="L3286" s="3">
        <f>IF(K3286&lt;-5,"CRÍTICO",IF(K3286&lt;0,"ATENÇÃO",IF(K3286&lt;=5,"OPORTUNO","MUITO BOM")))</f>
        <v/>
      </c>
      <c r="N3286" t="n">
        <v>97.3</v>
      </c>
      <c r="O3286" t="n">
        <v>23.84769539078156</v>
      </c>
    </row>
    <row r="3287" hidden="1">
      <c r="A3287" s="11" t="n">
        <v>46105</v>
      </c>
      <c r="B3287" t="inlineStr">
        <is>
          <t>Anna Luiza Rezende Tavares</t>
        </is>
      </c>
      <c r="C3287" t="inlineStr">
        <is>
          <t>Estágio</t>
        </is>
      </c>
      <c r="D3287" t="n">
        <v>10</v>
      </c>
      <c r="E3287" t="n">
        <v>9</v>
      </c>
      <c r="F3287" t="n">
        <v>19.06</v>
      </c>
      <c r="G3287" t="n">
        <v>0</v>
      </c>
      <c r="H3287" t="n">
        <v>0</v>
      </c>
      <c r="I3287" s="3">
        <f>E3287+G3287+H3287</f>
        <v/>
      </c>
      <c r="J3287" s="3">
        <f>ROUND(MIN(IF(C3287="Técnico III",35,IF(C3287="Técnico II",28,IF(C3287="Técnico I",23,IF(C3287="JR",20,IF(C3287="Estágio",10,0))))),IF(C3287="Técnico III",SUMIFS($D:$D,$A:$A,$A3287,$B:$B,"&lt;&gt;Patrícia Karla de Sousa Araújo",$B:$B,"&lt;&gt;Lorena Dias de Araujo",$B:$B,"&lt;&gt;Lucas Luiz Romero")*(35/1083),IF(C3287="Técnico II",SUMIFS($D:$D,$A:$A,$A3287,$B:$B,"&lt;&gt;Patrícia Karla de Sousa Araújo",$B:$B,"&lt;&gt;Lorena Dias de Araujo",$B:$B,"&lt;&gt;Lucas Luiz Romero")*(28/1083),IF(C3287="Técnico I",SUMIFS($D:$D,$A:$A,$A3287,$B:$B,"&lt;&gt;Patrícia Karla de Sousa Araújo",$B:$B,"&lt;&gt;Lorena Dias de Araujo",$B:$B,"&lt;&gt;Lucas Luiz Romero")*(23/1083),IF(C3287="JR",SUMIFS($D:$D,$A:$A,$A3287,$B:$B,"&lt;&gt;Patrícia Karla de Sousa Araújo",$B:$B,"&lt;&gt;Lorena Dias de Araujo",$B:$B,"&lt;&gt;Lucas Luiz Romero")*(20/1083),IF(C3287="Estágio",SUMIFS($D:$D,$A:$A,$A3287,$B:$B,"&lt;&gt;Patrícia Karla de Sousa Araújo",$B:$B,"&lt;&gt;Lorena Dias de Araujo",$B:$B,"&lt;&gt;Lucas Luiz Romero")*(10/1083),0)))))),0)</f>
        <v/>
      </c>
      <c r="K3287" s="3">
        <f>I3287-J3287</f>
        <v/>
      </c>
      <c r="L3287" s="3">
        <f>IF(K3287&lt;-5,"CRÍTICO",IF(K3287&lt;0,"ATENÇÃO",IF(K3287&lt;=5,"OPORTUNO","MUITO BOM")))</f>
        <v/>
      </c>
      <c r="N3287" t="n">
        <v>100</v>
      </c>
      <c r="O3287" t="n">
        <v>25.26881720430108</v>
      </c>
    </row>
    <row r="3288" hidden="1">
      <c r="A3288" s="11" t="n">
        <v>46105</v>
      </c>
      <c r="B3288" t="inlineStr">
        <is>
          <t>Brenda de Menezes Silva</t>
        </is>
      </c>
      <c r="C3288" t="inlineStr">
        <is>
          <t>Técnico II</t>
        </is>
      </c>
      <c r="D3288" t="n">
        <v>37</v>
      </c>
      <c r="E3288" t="n">
        <v>32</v>
      </c>
      <c r="F3288" t="n">
        <v>12.22</v>
      </c>
      <c r="G3288" t="n">
        <v>0</v>
      </c>
      <c r="H3288" t="n">
        <v>0</v>
      </c>
      <c r="I3288" s="3">
        <f>E3288+G3288+H3288</f>
        <v/>
      </c>
      <c r="J3288" s="3">
        <f>ROUND(MIN(IF(C3288="Técnico III",35,IF(C3288="Técnico II",28,IF(C3288="Técnico I",23,IF(C3288="JR",20,IF(C3288="Estágio",10,0))))),IF(C3288="Técnico III",SUMIFS($D:$D,$A:$A,$A3288,$B:$B,"&lt;&gt;Patrícia Karla de Sousa Araújo",$B:$B,"&lt;&gt;Lorena Dias de Araujo",$B:$B,"&lt;&gt;Lucas Luiz Romero")*(35/1083),IF(C3288="Técnico II",SUMIFS($D:$D,$A:$A,$A3288,$B:$B,"&lt;&gt;Patrícia Karla de Sousa Araújo",$B:$B,"&lt;&gt;Lorena Dias de Araujo",$B:$B,"&lt;&gt;Lucas Luiz Romero")*(28/1083),IF(C3288="Técnico I",SUMIFS($D:$D,$A:$A,$A3288,$B:$B,"&lt;&gt;Patrícia Karla de Sousa Araújo",$B:$B,"&lt;&gt;Lorena Dias de Araujo",$B:$B,"&lt;&gt;Lucas Luiz Romero")*(23/1083),IF(C3288="JR",SUMIFS($D:$D,$A:$A,$A3288,$B:$B,"&lt;&gt;Patrícia Karla de Sousa Araújo",$B:$B,"&lt;&gt;Lorena Dias de Araujo",$B:$B,"&lt;&gt;Lucas Luiz Romero")*(20/1083),IF(C3288="Estágio",SUMIFS($D:$D,$A:$A,$A3288,$B:$B,"&lt;&gt;Patrícia Karla de Sousa Araújo",$B:$B,"&lt;&gt;Lorena Dias de Araujo",$B:$B,"&lt;&gt;Lucas Luiz Romero")*(10/1083),0)))))),0)</f>
        <v/>
      </c>
      <c r="K3288" s="3">
        <f>I3288-J3288</f>
        <v/>
      </c>
      <c r="L3288" s="3">
        <f>IF(K3288&lt;-5,"CRÍTICO",IF(K3288&lt;0,"ATENÇÃO",IF(K3288&lt;=5,"OPORTUNO","MUITO BOM")))</f>
        <v/>
      </c>
      <c r="N3288" t="n">
        <v>99.31999999999999</v>
      </c>
      <c r="O3288" t="n">
        <v>22.82282282282282</v>
      </c>
    </row>
    <row r="3289" hidden="1">
      <c r="A3289" s="11" t="n">
        <v>46105</v>
      </c>
      <c r="B3289" t="inlineStr">
        <is>
          <t>Carlos Mateus Cassimiro Nunes</t>
        </is>
      </c>
      <c r="C3289" t="inlineStr">
        <is>
          <t>Técnico II</t>
        </is>
      </c>
      <c r="D3289" t="n">
        <v>23</v>
      </c>
      <c r="E3289" t="n">
        <v>22</v>
      </c>
      <c r="F3289" t="n">
        <v>23.4</v>
      </c>
      <c r="G3289" t="n">
        <v>0</v>
      </c>
      <c r="H3289" t="n">
        <v>0</v>
      </c>
      <c r="I3289" s="3">
        <f>E3289+G3289+H3289</f>
        <v/>
      </c>
      <c r="J3289" s="3">
        <f>ROUND(MIN(IF(C3289="Técnico III",35,IF(C3289="Técnico II",28,IF(C3289="Técnico I",23,IF(C3289="JR",20,IF(C3289="Estágio",10,0))))),IF(C3289="Técnico III",SUMIFS($D:$D,$A:$A,$A3289,$B:$B,"&lt;&gt;Patrícia Karla de Sousa Araújo",$B:$B,"&lt;&gt;Lorena Dias de Araujo",$B:$B,"&lt;&gt;Lucas Luiz Romero")*(35/1083),IF(C3289="Técnico II",SUMIFS($D:$D,$A:$A,$A3289,$B:$B,"&lt;&gt;Patrícia Karla de Sousa Araújo",$B:$B,"&lt;&gt;Lorena Dias de Araujo",$B:$B,"&lt;&gt;Lucas Luiz Romero")*(28/1083),IF(C3289="Técnico I",SUMIFS($D:$D,$A:$A,$A3289,$B:$B,"&lt;&gt;Patrícia Karla de Sousa Araújo",$B:$B,"&lt;&gt;Lorena Dias de Araujo",$B:$B,"&lt;&gt;Lucas Luiz Romero")*(23/1083),IF(C3289="JR",SUMIFS($D:$D,$A:$A,$A3289,$B:$B,"&lt;&gt;Patrícia Karla de Sousa Araújo",$B:$B,"&lt;&gt;Lorena Dias de Araujo",$B:$B,"&lt;&gt;Lucas Luiz Romero")*(20/1083),IF(C3289="Estágio",SUMIFS($D:$D,$A:$A,$A3289,$B:$B,"&lt;&gt;Patrícia Karla de Sousa Araújo",$B:$B,"&lt;&gt;Lorena Dias de Araujo",$B:$B,"&lt;&gt;Lucas Luiz Romero")*(10/1083),0)))))),0)</f>
        <v/>
      </c>
      <c r="K3289" s="3">
        <f>I3289-J3289</f>
        <v/>
      </c>
      <c r="L3289" s="3">
        <f>IF(K3289&lt;-5,"CRÍTICO",IF(K3289&lt;0,"ATENÇÃO",IF(K3289&lt;=5,"OPORTUNO","MUITO BOM")))</f>
        <v/>
      </c>
      <c r="N3289" t="n">
        <v>100</v>
      </c>
      <c r="O3289" t="n">
        <v>27.96610169491525</v>
      </c>
    </row>
    <row r="3290" hidden="1">
      <c r="A3290" s="11" t="n">
        <v>46105</v>
      </c>
      <c r="B3290" t="inlineStr">
        <is>
          <t>Claudio de Sousa Velasco Filho</t>
        </is>
      </c>
      <c r="C3290" t="inlineStr">
        <is>
          <t>Estágio</t>
        </is>
      </c>
      <c r="D3290" t="n">
        <v>4</v>
      </c>
      <c r="E3290" t="n">
        <v>4</v>
      </c>
      <c r="F3290" t="n">
        <v>16.42</v>
      </c>
      <c r="G3290" t="n">
        <v>0</v>
      </c>
      <c r="H3290" t="n">
        <v>0</v>
      </c>
      <c r="I3290" s="3">
        <f>E3290+G3290+H3290</f>
        <v/>
      </c>
      <c r="J3290" s="3">
        <f>ROUND(MIN(IF(C3290="Técnico III",35,IF(C3290="Técnico II",28,IF(C3290="Técnico I",23,IF(C3290="JR",20,IF(C3290="Estágio",10,0))))),IF(C3290="Técnico III",SUMIFS($D:$D,$A:$A,$A3290,$B:$B,"&lt;&gt;Patrícia Karla de Sousa Araújo",$B:$B,"&lt;&gt;Lorena Dias de Araujo",$B:$B,"&lt;&gt;Lucas Luiz Romero")*(35/1083),IF(C3290="Técnico II",SUMIFS($D:$D,$A:$A,$A3290,$B:$B,"&lt;&gt;Patrícia Karla de Sousa Araújo",$B:$B,"&lt;&gt;Lorena Dias de Araujo",$B:$B,"&lt;&gt;Lucas Luiz Romero")*(28/1083),IF(C3290="Técnico I",SUMIFS($D:$D,$A:$A,$A3290,$B:$B,"&lt;&gt;Patrícia Karla de Sousa Araújo",$B:$B,"&lt;&gt;Lorena Dias de Araujo",$B:$B,"&lt;&gt;Lucas Luiz Romero")*(23/1083),IF(C3290="JR",SUMIFS($D:$D,$A:$A,$A3290,$B:$B,"&lt;&gt;Patrícia Karla de Sousa Araújo",$B:$B,"&lt;&gt;Lorena Dias de Araujo",$B:$B,"&lt;&gt;Lucas Luiz Romero")*(20/1083),IF(C3290="Estágio",SUMIFS($D:$D,$A:$A,$A3290,$B:$B,"&lt;&gt;Patrícia Karla de Sousa Araújo",$B:$B,"&lt;&gt;Lorena Dias de Araujo",$B:$B,"&lt;&gt;Lucas Luiz Romero")*(10/1083),0)))))),0)</f>
        <v/>
      </c>
      <c r="K3290" s="3">
        <f>I3290-J3290</f>
        <v/>
      </c>
      <c r="L3290" s="3">
        <f>IF(K3290&lt;-5,"CRÍTICO",IF(K3290&lt;0,"ATENÇÃO",IF(K3290&lt;=5,"OPORTUNO","MUITO BOM")))</f>
        <v/>
      </c>
      <c r="N3290" t="n">
        <v>100</v>
      </c>
      <c r="O3290" t="n">
        <v>30.43478260869566</v>
      </c>
    </row>
    <row r="3291" hidden="1">
      <c r="A3291" s="11" t="n">
        <v>46105</v>
      </c>
      <c r="B3291" t="inlineStr">
        <is>
          <t>Clessiane Pereira dos Santos</t>
        </is>
      </c>
      <c r="C3291" t="inlineStr">
        <is>
          <t>Técnico I</t>
        </is>
      </c>
      <c r="D3291" t="n">
        <v>29</v>
      </c>
      <c r="E3291" t="n">
        <v>28</v>
      </c>
      <c r="F3291" t="n">
        <v>18.55</v>
      </c>
      <c r="G3291" t="n">
        <v>0</v>
      </c>
      <c r="H3291" t="n">
        <v>0</v>
      </c>
      <c r="I3291" s="3">
        <f>E3291+G3291+H3291</f>
        <v/>
      </c>
      <c r="J3291" s="3">
        <f>ROUND(MIN(IF(C3291="Técnico III",35,IF(C3291="Técnico II",28,IF(C3291="Técnico I",23,IF(C3291="JR",20,IF(C3291="Estágio",10,0))))),IF(C3291="Técnico III",SUMIFS($D:$D,$A:$A,$A3291,$B:$B,"&lt;&gt;Patrícia Karla de Sousa Araújo",$B:$B,"&lt;&gt;Lorena Dias de Araujo",$B:$B,"&lt;&gt;Lucas Luiz Romero")*(35/1083),IF(C3291="Técnico II",SUMIFS($D:$D,$A:$A,$A3291,$B:$B,"&lt;&gt;Patrícia Karla de Sousa Araújo",$B:$B,"&lt;&gt;Lorena Dias de Araujo",$B:$B,"&lt;&gt;Lucas Luiz Romero")*(28/1083),IF(C3291="Técnico I",SUMIFS($D:$D,$A:$A,$A3291,$B:$B,"&lt;&gt;Patrícia Karla de Sousa Araújo",$B:$B,"&lt;&gt;Lorena Dias de Araujo",$B:$B,"&lt;&gt;Lucas Luiz Romero")*(23/1083),IF(C3291="JR",SUMIFS($D:$D,$A:$A,$A3291,$B:$B,"&lt;&gt;Patrícia Karla de Sousa Araújo",$B:$B,"&lt;&gt;Lorena Dias de Araujo",$B:$B,"&lt;&gt;Lucas Luiz Romero")*(20/1083),IF(C3291="Estágio",SUMIFS($D:$D,$A:$A,$A3291,$B:$B,"&lt;&gt;Patrícia Karla de Sousa Araújo",$B:$B,"&lt;&gt;Lorena Dias de Araujo",$B:$B,"&lt;&gt;Lucas Luiz Romero")*(10/1083),0)))))),0)</f>
        <v/>
      </c>
      <c r="K3291" s="3">
        <f>I3291-J3291</f>
        <v/>
      </c>
      <c r="L3291" s="3">
        <f>IF(K3291&lt;-5,"CRÍTICO",IF(K3291&lt;0,"ATENÇÃO",IF(K3291&lt;=5,"OPORTUNO","MUITO BOM")))</f>
        <v/>
      </c>
      <c r="N3291" t="n">
        <v>96.51000000000001</v>
      </c>
      <c r="O3291" t="n">
        <v>22.80285035629454</v>
      </c>
    </row>
    <row r="3292" hidden="1">
      <c r="A3292" s="11" t="n">
        <v>46105</v>
      </c>
      <c r="B3292" t="inlineStr">
        <is>
          <t>Cristiane Ramos da Silva Rocha</t>
        </is>
      </c>
      <c r="C3292" t="inlineStr">
        <is>
          <t>Técnico III</t>
        </is>
      </c>
      <c r="D3292" t="n">
        <v>36</v>
      </c>
      <c r="E3292" t="n">
        <v>33</v>
      </c>
      <c r="F3292" t="n">
        <v>13.28</v>
      </c>
      <c r="G3292" t="n">
        <v>0</v>
      </c>
      <c r="H3292" t="n">
        <v>0</v>
      </c>
      <c r="I3292" s="3">
        <f>E3292+G3292+H3292</f>
        <v/>
      </c>
      <c r="J3292" s="3">
        <f>ROUND(MIN(IF(C3292="Técnico III",35,IF(C3292="Técnico II",28,IF(C3292="Técnico I",23,IF(C3292="JR",20,IF(C3292="Estágio",10,0))))),IF(C3292="Técnico III",SUMIFS($D:$D,$A:$A,$A3292,$B:$B,"&lt;&gt;Patrícia Karla de Sousa Araújo",$B:$B,"&lt;&gt;Lorena Dias de Araujo",$B:$B,"&lt;&gt;Lucas Luiz Romero")*(35/1083),IF(C3292="Técnico II",SUMIFS($D:$D,$A:$A,$A3292,$B:$B,"&lt;&gt;Patrícia Karla de Sousa Araújo",$B:$B,"&lt;&gt;Lorena Dias de Araujo",$B:$B,"&lt;&gt;Lucas Luiz Romero")*(28/1083),IF(C3292="Técnico I",SUMIFS($D:$D,$A:$A,$A3292,$B:$B,"&lt;&gt;Patrícia Karla de Sousa Araújo",$B:$B,"&lt;&gt;Lorena Dias de Araujo",$B:$B,"&lt;&gt;Lucas Luiz Romero")*(23/1083),IF(C3292="JR",SUMIFS($D:$D,$A:$A,$A3292,$B:$B,"&lt;&gt;Patrícia Karla de Sousa Araújo",$B:$B,"&lt;&gt;Lorena Dias de Araujo",$B:$B,"&lt;&gt;Lucas Luiz Romero")*(20/1083),IF(C3292="Estágio",SUMIFS($D:$D,$A:$A,$A3292,$B:$B,"&lt;&gt;Patrícia Karla de Sousa Araújo",$B:$B,"&lt;&gt;Lorena Dias de Araujo",$B:$B,"&lt;&gt;Lucas Luiz Romero")*(10/1083),0)))))),0)</f>
        <v/>
      </c>
      <c r="K3292" s="3">
        <f>I3292-J3292</f>
        <v/>
      </c>
      <c r="L3292" s="3">
        <f>IF(K3292&lt;-5,"CRÍTICO",IF(K3292&lt;0,"ATENÇÃO",IF(K3292&lt;=5,"OPORTUNO","MUITO BOM")))</f>
        <v/>
      </c>
      <c r="N3292" t="n">
        <v>92.68000000000001</v>
      </c>
      <c r="O3292" t="n">
        <v>27.77777777777778</v>
      </c>
    </row>
    <row r="3293" hidden="1">
      <c r="A3293" s="11" t="n">
        <v>46105</v>
      </c>
      <c r="B3293" t="inlineStr">
        <is>
          <t>Damyllis Lorraine de Oliveira Gonçalves</t>
        </is>
      </c>
      <c r="C3293" t="inlineStr">
        <is>
          <t>Técnico II</t>
        </is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s="3" t="n">
        <v>0</v>
      </c>
      <c r="J3293" s="3" t="n">
        <v>0</v>
      </c>
      <c r="K3293" s="3" t="n">
        <v>0</v>
      </c>
      <c r="L3293" s="3">
        <f>IF(K3293&lt;-5,"CRÍTICO",IF(K3293&lt;0,"ATENÇÃO",IF(K3293&lt;=5,"OPORTUNO","MUITO BOM")))</f>
        <v/>
      </c>
      <c r="N3293" t="n">
        <v>99.03</v>
      </c>
      <c r="O3293" t="n">
        <v>23.99150743099788</v>
      </c>
    </row>
    <row r="3294" hidden="1">
      <c r="A3294" s="11" t="n">
        <v>46105</v>
      </c>
      <c r="B3294" t="inlineStr">
        <is>
          <t>Daniel Gomes da Silva</t>
        </is>
      </c>
      <c r="C3294" t="inlineStr">
        <is>
          <t>Técnico I</t>
        </is>
      </c>
      <c r="D3294" t="n">
        <v>22</v>
      </c>
      <c r="E3294" t="n">
        <v>21</v>
      </c>
      <c r="F3294" t="n">
        <v>23.52</v>
      </c>
      <c r="G3294" t="n">
        <v>0</v>
      </c>
      <c r="H3294" t="n">
        <v>0</v>
      </c>
      <c r="I3294" s="3">
        <f>E3294+G3294+H3294</f>
        <v/>
      </c>
      <c r="J3294" s="3">
        <f>ROUND(MIN(IF(C3294="Técnico III",35,IF(C3294="Técnico II",28,IF(C3294="Técnico I",23,IF(C3294="JR",20,IF(C3294="Estágio",10,0))))),IF(C3294="Técnico III",SUMIFS($D:$D,$A:$A,$A3294,$B:$B,"&lt;&gt;Patrícia Karla de Sousa Araújo",$B:$B,"&lt;&gt;Lorena Dias de Araujo",$B:$B,"&lt;&gt;Lucas Luiz Romero")*(35/1083),IF(C3294="Técnico II",SUMIFS($D:$D,$A:$A,$A3294,$B:$B,"&lt;&gt;Patrícia Karla de Sousa Araújo",$B:$B,"&lt;&gt;Lorena Dias de Araujo",$B:$B,"&lt;&gt;Lucas Luiz Romero")*(28/1083),IF(C3294="Técnico I",SUMIFS($D:$D,$A:$A,$A3294,$B:$B,"&lt;&gt;Patrícia Karla de Sousa Araújo",$B:$B,"&lt;&gt;Lorena Dias de Araujo",$B:$B,"&lt;&gt;Lucas Luiz Romero")*(23/1083),IF(C3294="JR",SUMIFS($D:$D,$A:$A,$A3294,$B:$B,"&lt;&gt;Patrícia Karla de Sousa Araújo",$B:$B,"&lt;&gt;Lorena Dias de Araujo",$B:$B,"&lt;&gt;Lucas Luiz Romero")*(20/1083),IF(C3294="Estágio",SUMIFS($D:$D,$A:$A,$A3294,$B:$B,"&lt;&gt;Patrícia Karla de Sousa Araújo",$B:$B,"&lt;&gt;Lorena Dias de Araujo",$B:$B,"&lt;&gt;Lucas Luiz Romero")*(10/1083),0)))))),0)</f>
        <v/>
      </c>
      <c r="K3294" s="3">
        <f>I3294-J3294</f>
        <v/>
      </c>
      <c r="L3294" s="3">
        <f>IF(K3294&lt;-5,"CRÍTICO",IF(K3294&lt;0,"ATENÇÃO",IF(K3294&lt;=5,"OPORTUNO","MUITO BOM")))</f>
        <v/>
      </c>
      <c r="N3294" t="n">
        <v>98.41</v>
      </c>
      <c r="O3294" t="n">
        <v>28.13852813852814</v>
      </c>
    </row>
    <row r="3295" hidden="1">
      <c r="A3295" s="11" t="n">
        <v>46105</v>
      </c>
      <c r="B3295" t="inlineStr">
        <is>
          <t>Davylla Rodrigues Freitas Silva</t>
        </is>
      </c>
      <c r="C3295" t="inlineStr">
        <is>
          <t>Técnico III</t>
        </is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s="3" t="n">
        <v>0</v>
      </c>
      <c r="J3295" s="3" t="n">
        <v>0</v>
      </c>
      <c r="K3295" s="3" t="n">
        <v>0</v>
      </c>
      <c r="L3295" s="3">
        <f>IF(K3295&lt;-5,"CRÍTICO",IF(K3295&lt;0,"ATENÇÃO",IF(K3295&lt;=5,"OPORTUNO","MUITO BOM")))</f>
        <v/>
      </c>
      <c r="N3295" t="n">
        <v>98.73</v>
      </c>
      <c r="O3295" t="n">
        <v>29.14285714285714</v>
      </c>
    </row>
    <row r="3296" hidden="1">
      <c r="A3296" s="11" t="n">
        <v>46105</v>
      </c>
      <c r="B3296" t="inlineStr">
        <is>
          <t>Emilly Caylane Costa</t>
        </is>
      </c>
      <c r="C3296" t="inlineStr">
        <is>
          <t>Estágio</t>
        </is>
      </c>
      <c r="D3296" t="n">
        <v>4</v>
      </c>
      <c r="E3296" t="n">
        <v>4</v>
      </c>
      <c r="F3296" t="n">
        <v>82.38</v>
      </c>
      <c r="G3296" t="n">
        <v>0</v>
      </c>
      <c r="H3296" t="n">
        <v>0</v>
      </c>
      <c r="I3296" s="3">
        <f>E3296+G3296+H3296</f>
        <v/>
      </c>
      <c r="J3296" s="3">
        <f>ROUND(MIN(IF(C3296="Técnico III",35,IF(C3296="Técnico II",28,IF(C3296="Técnico I",23,IF(C3296="JR",20,IF(C3296="Estágio",10,0))))),IF(C3296="Técnico III",SUMIFS($D:$D,$A:$A,$A3296,$B:$B,"&lt;&gt;Patrícia Karla de Sousa Araújo",$B:$B,"&lt;&gt;Lorena Dias de Araujo",$B:$B,"&lt;&gt;Lucas Luiz Romero")*(35/1083),IF(C3296="Técnico II",SUMIFS($D:$D,$A:$A,$A3296,$B:$B,"&lt;&gt;Patrícia Karla de Sousa Araújo",$B:$B,"&lt;&gt;Lorena Dias de Araujo",$B:$B,"&lt;&gt;Lucas Luiz Romero")*(28/1083),IF(C3296="Técnico I",SUMIFS($D:$D,$A:$A,$A3296,$B:$B,"&lt;&gt;Patrícia Karla de Sousa Araújo",$B:$B,"&lt;&gt;Lorena Dias de Araujo",$B:$B,"&lt;&gt;Lucas Luiz Romero")*(23/1083),IF(C3296="JR",SUMIFS($D:$D,$A:$A,$A3296,$B:$B,"&lt;&gt;Patrícia Karla de Sousa Araújo",$B:$B,"&lt;&gt;Lorena Dias de Araujo",$B:$B,"&lt;&gt;Lucas Luiz Romero")*(20/1083),IF(C3296="Estágio",SUMIFS($D:$D,$A:$A,$A3296,$B:$B,"&lt;&gt;Patrícia Karla de Sousa Araújo",$B:$B,"&lt;&gt;Lorena Dias de Araujo",$B:$B,"&lt;&gt;Lucas Luiz Romero")*(10/1083),0)))))),0)</f>
        <v/>
      </c>
      <c r="K3296" s="3">
        <f>I3296-J3296</f>
        <v/>
      </c>
      <c r="L3296" s="3">
        <f>IF(K3296&lt;-5,"CRÍTICO",IF(K3296&lt;0,"ATENÇÃO",IF(K3296&lt;=5,"OPORTUNO","MUITO BOM")))</f>
        <v/>
      </c>
      <c r="N3296" t="n">
        <v>90.48</v>
      </c>
      <c r="O3296" t="n">
        <v>20.68965517241379</v>
      </c>
    </row>
    <row r="3297" hidden="1">
      <c r="A3297" s="11" t="n">
        <v>46105</v>
      </c>
      <c r="B3297" t="inlineStr">
        <is>
          <t>Emilly Kamilly Medeiros Miranda</t>
        </is>
      </c>
      <c r="C3297" t="inlineStr">
        <is>
          <t>Técnico II</t>
        </is>
      </c>
      <c r="D3297" t="n">
        <v>15</v>
      </c>
      <c r="E3297" t="n">
        <v>14</v>
      </c>
      <c r="F3297" t="n">
        <v>22.39</v>
      </c>
      <c r="G3297" t="n">
        <v>0</v>
      </c>
      <c r="H3297" t="n">
        <v>0</v>
      </c>
      <c r="I3297" s="3">
        <f>E3297+G3297+H3297</f>
        <v/>
      </c>
      <c r="J3297" s="3">
        <f>ROUND(MIN(IF(C3297="Técnico III",35,IF(C3297="Técnico II",28,IF(C3297="Técnico I",23,IF(C3297="JR",20,IF(C3297="Estágio",10,0))))),IF(C3297="Técnico III",SUMIFS($D:$D,$A:$A,$A3297,$B:$B,"&lt;&gt;Patrícia Karla de Sousa Araújo",$B:$B,"&lt;&gt;Lorena Dias de Araujo",$B:$B,"&lt;&gt;Lucas Luiz Romero")*(35/1083),IF(C3297="Técnico II",SUMIFS($D:$D,$A:$A,$A3297,$B:$B,"&lt;&gt;Patrícia Karla de Sousa Araújo",$B:$B,"&lt;&gt;Lorena Dias de Araujo",$B:$B,"&lt;&gt;Lucas Luiz Romero")*(28/1083),IF(C3297="Técnico I",SUMIFS($D:$D,$A:$A,$A3297,$B:$B,"&lt;&gt;Patrícia Karla de Sousa Araújo",$B:$B,"&lt;&gt;Lorena Dias de Araujo",$B:$B,"&lt;&gt;Lucas Luiz Romero")*(23/1083),IF(C3297="JR",SUMIFS($D:$D,$A:$A,$A3297,$B:$B,"&lt;&gt;Patrícia Karla de Sousa Araújo",$B:$B,"&lt;&gt;Lorena Dias de Araujo",$B:$B,"&lt;&gt;Lucas Luiz Romero")*(20/1083),IF(C3297="Estágio",SUMIFS($D:$D,$A:$A,$A3297,$B:$B,"&lt;&gt;Patrícia Karla de Sousa Araújo",$B:$B,"&lt;&gt;Lorena Dias de Araujo",$B:$B,"&lt;&gt;Lucas Luiz Romero")*(10/1083),0)))))),0)</f>
        <v/>
      </c>
      <c r="K3297" s="3">
        <f>I3297-J3297</f>
        <v/>
      </c>
      <c r="L3297" s="3">
        <f>IF(K3297&lt;-5,"CRÍTICO",IF(K3297&lt;0,"ATENÇÃO",IF(K3297&lt;=5,"OPORTUNO","MUITO BOM")))</f>
        <v/>
      </c>
      <c r="N3297" t="n">
        <v>98.06</v>
      </c>
      <c r="O3297" t="n">
        <v>24.78991596638656</v>
      </c>
    </row>
    <row r="3298" hidden="1">
      <c r="A3298" s="11" t="n">
        <v>46105</v>
      </c>
      <c r="B3298" t="inlineStr">
        <is>
          <t>Francielson de Oliveira</t>
        </is>
      </c>
      <c r="C3298" t="inlineStr">
        <is>
          <t>Técnico III</t>
        </is>
      </c>
      <c r="D3298" t="n">
        <v>25</v>
      </c>
      <c r="E3298" t="n">
        <v>24</v>
      </c>
      <c r="F3298" t="n">
        <v>20.51</v>
      </c>
      <c r="G3298" t="n">
        <v>0</v>
      </c>
      <c r="H3298" t="n">
        <v>0</v>
      </c>
      <c r="I3298" s="3">
        <f>E3298+G3298+H3298</f>
        <v/>
      </c>
      <c r="J3298" s="3">
        <f>ROUND(MIN(IF(C3298="Técnico III",35,IF(C3298="Técnico II",28,IF(C3298="Técnico I",23,IF(C3298="JR",20,IF(C3298="Estágio",10,0))))),IF(C3298="Técnico III",SUMIFS($D:$D,$A:$A,$A3298,$B:$B,"&lt;&gt;Patrícia Karla de Sousa Araújo",$B:$B,"&lt;&gt;Lorena Dias de Araujo",$B:$B,"&lt;&gt;Lucas Luiz Romero")*(35/1083),IF(C3298="Técnico II",SUMIFS($D:$D,$A:$A,$A3298,$B:$B,"&lt;&gt;Patrícia Karla de Sousa Araújo",$B:$B,"&lt;&gt;Lorena Dias de Araujo",$B:$B,"&lt;&gt;Lucas Luiz Romero")*(28/1083),IF(C3298="Técnico I",SUMIFS($D:$D,$A:$A,$A3298,$B:$B,"&lt;&gt;Patrícia Karla de Sousa Araújo",$B:$B,"&lt;&gt;Lorena Dias de Araujo",$B:$B,"&lt;&gt;Lucas Luiz Romero")*(23/1083),IF(C3298="JR",SUMIFS($D:$D,$A:$A,$A3298,$B:$B,"&lt;&gt;Patrícia Karla de Sousa Araújo",$B:$B,"&lt;&gt;Lorena Dias de Araujo",$B:$B,"&lt;&gt;Lucas Luiz Romero")*(20/1083),IF(C3298="Estágio",SUMIFS($D:$D,$A:$A,$A3298,$B:$B,"&lt;&gt;Patrícia Karla de Sousa Araújo",$B:$B,"&lt;&gt;Lorena Dias de Araujo",$B:$B,"&lt;&gt;Lucas Luiz Romero")*(10/1083),0)))))),0)</f>
        <v/>
      </c>
      <c r="K3298" s="3">
        <f>I3298-J3298</f>
        <v/>
      </c>
      <c r="L3298" s="3">
        <f>IF(K3298&lt;-5,"CRÍTICO",IF(K3298&lt;0,"ATENÇÃO",IF(K3298&lt;=5,"OPORTUNO","MUITO BOM")))</f>
        <v/>
      </c>
      <c r="N3298" t="n">
        <v>97.78</v>
      </c>
      <c r="O3298" t="n">
        <v>25.49407114624506</v>
      </c>
    </row>
    <row r="3299" hidden="1">
      <c r="A3299" s="11" t="n">
        <v>46105</v>
      </c>
      <c r="B3299" t="inlineStr">
        <is>
          <t>Francilene Ferreira de Jesus</t>
        </is>
      </c>
      <c r="C3299" t="inlineStr">
        <is>
          <t>Técnico II</t>
        </is>
      </c>
      <c r="D3299" t="n">
        <v>25</v>
      </c>
      <c r="E3299" t="n">
        <v>22</v>
      </c>
      <c r="F3299" t="n">
        <v>18.2</v>
      </c>
      <c r="G3299" t="n">
        <v>0</v>
      </c>
      <c r="H3299" t="n">
        <v>0</v>
      </c>
      <c r="I3299" s="3">
        <f>E3299+G3299+H3299</f>
        <v/>
      </c>
      <c r="J3299" s="3">
        <f>ROUND(MIN(IF(C3299="Técnico III",35,IF(C3299="Técnico II",28,IF(C3299="Técnico I",23,IF(C3299="JR",20,IF(C3299="Estágio",10,0))))),IF(C3299="Técnico III",SUMIFS($D:$D,$A:$A,$A3299,$B:$B,"&lt;&gt;Patrícia Karla de Sousa Araújo",$B:$B,"&lt;&gt;Lorena Dias de Araujo",$B:$B,"&lt;&gt;Lucas Luiz Romero")*(35/1083),IF(C3299="Técnico II",SUMIFS($D:$D,$A:$A,$A3299,$B:$B,"&lt;&gt;Patrícia Karla de Sousa Araújo",$B:$B,"&lt;&gt;Lorena Dias de Araujo",$B:$B,"&lt;&gt;Lucas Luiz Romero")*(28/1083),IF(C3299="Técnico I",SUMIFS($D:$D,$A:$A,$A3299,$B:$B,"&lt;&gt;Patrícia Karla de Sousa Araújo",$B:$B,"&lt;&gt;Lorena Dias de Araujo",$B:$B,"&lt;&gt;Lucas Luiz Romero")*(23/1083),IF(C3299="JR",SUMIFS($D:$D,$A:$A,$A3299,$B:$B,"&lt;&gt;Patrícia Karla de Sousa Araújo",$B:$B,"&lt;&gt;Lorena Dias de Araujo",$B:$B,"&lt;&gt;Lucas Luiz Romero")*(20/1083),IF(C3299="Estágio",SUMIFS($D:$D,$A:$A,$A3299,$B:$B,"&lt;&gt;Patrícia Karla de Sousa Araújo",$B:$B,"&lt;&gt;Lorena Dias de Araujo",$B:$B,"&lt;&gt;Lucas Luiz Romero")*(10/1083),0)))))),0)</f>
        <v/>
      </c>
      <c r="K3299" s="3">
        <f>I3299-J3299</f>
        <v/>
      </c>
      <c r="L3299" s="3">
        <f>IF(K3299&lt;-5,"CRÍTICO",IF(K3299&lt;0,"ATENÇÃO",IF(K3299&lt;=5,"OPORTUNO","MUITO BOM")))</f>
        <v/>
      </c>
      <c r="N3299" t="n">
        <v>98.02</v>
      </c>
      <c r="O3299" t="n">
        <v>23.48484848484848</v>
      </c>
    </row>
    <row r="3300" hidden="1">
      <c r="A3300" s="10" t="n">
        <v>46164</v>
      </c>
      <c r="B3300" s="6" t="inlineStr">
        <is>
          <t>Francilene Ferreira de Jesus</t>
        </is>
      </c>
      <c r="C3300" s="3" t="inlineStr">
        <is>
          <t>Técnico II</t>
        </is>
      </c>
      <c r="D3300" s="3" t="n">
        <v>0</v>
      </c>
      <c r="E3300" s="3" t="n">
        <v>0</v>
      </c>
      <c r="F3300" s="3" t="n">
        <v>0</v>
      </c>
      <c r="G3300" s="3" t="n">
        <v>0</v>
      </c>
      <c r="H3300" s="3" t="n">
        <v>0</v>
      </c>
      <c r="I3300" s="3" t="n">
        <v>0</v>
      </c>
      <c r="J3300" s="3" t="n">
        <v>0</v>
      </c>
      <c r="K3300" s="3" t="n">
        <v>0</v>
      </c>
      <c r="L3300" s="3">
        <f>IF(K3300&lt;-5,"CRÍTICO",IF(K3300&lt;0,"ATENÇÃO",IF(K3300&lt;=5,"OPORTUNO","MUITO BOM")))</f>
        <v/>
      </c>
      <c r="M3300" s="3" t="n">
        <v>0</v>
      </c>
      <c r="N3300" s="3" t="n">
        <v>100</v>
      </c>
      <c r="O3300" s="3" t="n">
        <v>17.24137931034483</v>
      </c>
    </row>
    <row r="3301" hidden="1">
      <c r="A3301" s="11" t="n">
        <v>46105</v>
      </c>
      <c r="B3301" t="inlineStr">
        <is>
          <t>Isabella Borges de Oliveira</t>
        </is>
      </c>
      <c r="C3301" t="inlineStr">
        <is>
          <t>Técnico II</t>
        </is>
      </c>
      <c r="D3301" t="n">
        <v>25</v>
      </c>
      <c r="E3301" t="n">
        <v>23</v>
      </c>
      <c r="F3301" t="n">
        <v>25.13</v>
      </c>
      <c r="G3301" t="n">
        <v>0</v>
      </c>
      <c r="H3301" t="n">
        <v>0</v>
      </c>
      <c r="I3301" s="3">
        <f>E3301+G3301+H3301</f>
        <v/>
      </c>
      <c r="J3301" s="3">
        <f>ROUND(MIN(IF(C3301="Técnico III",35,IF(C3301="Técnico II",28,IF(C3301="Técnico I",23,IF(C3301="JR",20,IF(C3301="Estágio",10,0))))),IF(C3301="Técnico III",SUMIFS($D:$D,$A:$A,$A3301,$B:$B,"&lt;&gt;Patrícia Karla de Sousa Araújo",$B:$B,"&lt;&gt;Lorena Dias de Araujo",$B:$B,"&lt;&gt;Lucas Luiz Romero")*(35/1083),IF(C3301="Técnico II",SUMIFS($D:$D,$A:$A,$A3301,$B:$B,"&lt;&gt;Patrícia Karla de Sousa Araújo",$B:$B,"&lt;&gt;Lorena Dias de Araujo",$B:$B,"&lt;&gt;Lucas Luiz Romero")*(28/1083),IF(C3301="Técnico I",SUMIFS($D:$D,$A:$A,$A3301,$B:$B,"&lt;&gt;Patrícia Karla de Sousa Araújo",$B:$B,"&lt;&gt;Lorena Dias de Araujo",$B:$B,"&lt;&gt;Lucas Luiz Romero")*(23/1083),IF(C3301="JR",SUMIFS($D:$D,$A:$A,$A3301,$B:$B,"&lt;&gt;Patrícia Karla de Sousa Araújo",$B:$B,"&lt;&gt;Lorena Dias de Araujo",$B:$B,"&lt;&gt;Lucas Luiz Romero")*(20/1083),IF(C3301="Estágio",SUMIFS($D:$D,$A:$A,$A3301,$B:$B,"&lt;&gt;Patrícia Karla de Sousa Araújo",$B:$B,"&lt;&gt;Lorena Dias de Araujo",$B:$B,"&lt;&gt;Lucas Luiz Romero")*(10/1083),0)))))),0)</f>
        <v/>
      </c>
      <c r="K3301" s="3">
        <f>I3301-J3301</f>
        <v/>
      </c>
      <c r="L3301" s="3">
        <f>IF(K3301&lt;-5,"CRÍTICO",IF(K3301&lt;0,"ATENÇÃO",IF(K3301&lt;=5,"OPORTUNO","MUITO BOM")))</f>
        <v/>
      </c>
      <c r="N3301" t="n">
        <v>100</v>
      </c>
      <c r="O3301" t="n">
        <v>27.04918032786885</v>
      </c>
    </row>
    <row r="3302" hidden="1">
      <c r="A3302" s="11" t="n">
        <v>46105</v>
      </c>
      <c r="B3302" t="inlineStr">
        <is>
          <t>Janaina Lima dos Reis Urany</t>
        </is>
      </c>
      <c r="C3302" t="inlineStr">
        <is>
          <t>Técnico III</t>
        </is>
      </c>
      <c r="D3302" t="n">
        <v>36</v>
      </c>
      <c r="E3302" t="n">
        <v>32</v>
      </c>
      <c r="F3302" t="n">
        <v>12.15</v>
      </c>
      <c r="G3302" t="n">
        <v>0</v>
      </c>
      <c r="H3302" t="n">
        <v>0</v>
      </c>
      <c r="I3302" s="3">
        <f>E3302+G3302+H3302</f>
        <v/>
      </c>
      <c r="J3302" s="3">
        <f>ROUND(MIN(IF(C3302="Técnico III",35,IF(C3302="Técnico II",28,IF(C3302="Técnico I",23,IF(C3302="JR",20,IF(C3302="Estágio",10,0))))),IF(C3302="Técnico III",SUMIFS($D:$D,$A:$A,$A3302,$B:$B,"&lt;&gt;Patrícia Karla de Sousa Araújo",$B:$B,"&lt;&gt;Lorena Dias de Araujo",$B:$B,"&lt;&gt;Lucas Luiz Romero")*(35/1083),IF(C3302="Técnico II",SUMIFS($D:$D,$A:$A,$A3302,$B:$B,"&lt;&gt;Patrícia Karla de Sousa Araújo",$B:$B,"&lt;&gt;Lorena Dias de Araujo",$B:$B,"&lt;&gt;Lucas Luiz Romero")*(28/1083),IF(C3302="Técnico I",SUMIFS($D:$D,$A:$A,$A3302,$B:$B,"&lt;&gt;Patrícia Karla de Sousa Araújo",$B:$B,"&lt;&gt;Lorena Dias de Araujo",$B:$B,"&lt;&gt;Lucas Luiz Romero")*(23/1083),IF(C3302="JR",SUMIFS($D:$D,$A:$A,$A3302,$B:$B,"&lt;&gt;Patrícia Karla de Sousa Araújo",$B:$B,"&lt;&gt;Lorena Dias de Araujo",$B:$B,"&lt;&gt;Lucas Luiz Romero")*(20/1083),IF(C3302="Estágio",SUMIFS($D:$D,$A:$A,$A3302,$B:$B,"&lt;&gt;Patrícia Karla de Sousa Araújo",$B:$B,"&lt;&gt;Lorena Dias de Araujo",$B:$B,"&lt;&gt;Lucas Luiz Romero")*(10/1083),0)))))),0)</f>
        <v/>
      </c>
      <c r="K3302" s="3">
        <f>I3302-J3302</f>
        <v/>
      </c>
      <c r="L3302" s="3">
        <f>IF(K3302&lt;-5,"CRÍTICO",IF(K3302&lt;0,"ATENÇÃO",IF(K3302&lt;=5,"OPORTUNO","MUITO BOM")))</f>
        <v/>
      </c>
      <c r="N3302" t="n">
        <v>97.83</v>
      </c>
      <c r="O3302" t="n">
        <v>26.31578947368421</v>
      </c>
    </row>
    <row r="3303" hidden="1">
      <c r="A3303" s="11" t="n">
        <v>46105</v>
      </c>
      <c r="B3303" t="inlineStr">
        <is>
          <t>Jaqueline Evangelista da Silva Martins</t>
        </is>
      </c>
      <c r="C3303" t="inlineStr">
        <is>
          <t>Técnico III</t>
        </is>
      </c>
      <c r="D3303" t="n">
        <v>25</v>
      </c>
      <c r="E3303" t="n">
        <v>24</v>
      </c>
      <c r="F3303" t="n">
        <v>14.07</v>
      </c>
      <c r="G3303" t="n">
        <v>0</v>
      </c>
      <c r="H3303" t="n">
        <v>0</v>
      </c>
      <c r="I3303" s="3">
        <f>E3303+G3303+H3303</f>
        <v/>
      </c>
      <c r="J3303" s="3">
        <f>ROUND(MIN(IF(C3303="Técnico III",35,IF(C3303="Técnico II",28,IF(C3303="Técnico I",23,IF(C3303="JR",20,IF(C3303="Estágio",10,0))))),IF(C3303="Técnico III",SUMIFS($D:$D,$A:$A,$A3303,$B:$B,"&lt;&gt;Patrícia Karla de Sousa Araújo",$B:$B,"&lt;&gt;Lorena Dias de Araujo",$B:$B,"&lt;&gt;Lucas Luiz Romero")*(35/1083),IF(C3303="Técnico II",SUMIFS($D:$D,$A:$A,$A3303,$B:$B,"&lt;&gt;Patrícia Karla de Sousa Araújo",$B:$B,"&lt;&gt;Lorena Dias de Araujo",$B:$B,"&lt;&gt;Lucas Luiz Romero")*(28/1083),IF(C3303="Técnico I",SUMIFS($D:$D,$A:$A,$A3303,$B:$B,"&lt;&gt;Patrícia Karla de Sousa Araújo",$B:$B,"&lt;&gt;Lorena Dias de Araujo",$B:$B,"&lt;&gt;Lucas Luiz Romero")*(23/1083),IF(C3303="JR",SUMIFS($D:$D,$A:$A,$A3303,$B:$B,"&lt;&gt;Patrícia Karla de Sousa Araújo",$B:$B,"&lt;&gt;Lorena Dias de Araujo",$B:$B,"&lt;&gt;Lucas Luiz Romero")*(20/1083),IF(C3303="Estágio",SUMIFS($D:$D,$A:$A,$A3303,$B:$B,"&lt;&gt;Patrícia Karla de Sousa Araújo",$B:$B,"&lt;&gt;Lorena Dias de Araujo",$B:$B,"&lt;&gt;Lucas Luiz Romero")*(10/1083),0)))))),0)</f>
        <v/>
      </c>
      <c r="K3303" s="3">
        <f>I3303-J3303</f>
        <v/>
      </c>
      <c r="L3303" s="3">
        <f>IF(K3303&lt;-5,"CRÍTICO",IF(K3303&lt;0,"ATENÇÃO",IF(K3303&lt;=5,"OPORTUNO","MUITO BOM")))</f>
        <v/>
      </c>
      <c r="N3303" t="n">
        <v>100</v>
      </c>
      <c r="O3303" t="n">
        <v>26.70157068062827</v>
      </c>
    </row>
    <row r="3304" hidden="1">
      <c r="A3304" s="11" t="n">
        <v>46105</v>
      </c>
      <c r="B3304" t="inlineStr">
        <is>
          <t>Jessica Faria da Silveira</t>
        </is>
      </c>
      <c r="C3304" t="inlineStr">
        <is>
          <t>Técnico II</t>
        </is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s="3" t="n">
        <v>0</v>
      </c>
      <c r="J3304" s="3" t="n">
        <v>0</v>
      </c>
      <c r="K3304" s="3" t="n">
        <v>0</v>
      </c>
      <c r="L3304" s="3">
        <f>IF(K3304&lt;-5,"CRÍTICO",IF(K3304&lt;0,"ATENÇÃO",IF(K3304&lt;=5,"OPORTUNO","MUITO BOM")))</f>
        <v/>
      </c>
      <c r="N3304" t="n">
        <v>97.47</v>
      </c>
      <c r="O3304" t="n">
        <v>22.88732394366197</v>
      </c>
    </row>
    <row r="3305" hidden="1">
      <c r="A3305" s="11" t="n">
        <v>46105</v>
      </c>
      <c r="B3305" t="inlineStr">
        <is>
          <t>Jéssica Fé Moura</t>
        </is>
      </c>
      <c r="C3305" t="inlineStr">
        <is>
          <t>Técnico III</t>
        </is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s="3" t="n">
        <v>0</v>
      </c>
      <c r="J3305" s="3" t="n">
        <v>0</v>
      </c>
      <c r="K3305" s="3" t="n">
        <v>0</v>
      </c>
      <c r="L3305" s="3">
        <f>IF(K3305&lt;-5,"CRÍTICO",IF(K3305&lt;0,"ATENÇÃO",IF(K3305&lt;=5,"OPORTUNO","MUITO BOM")))</f>
        <v/>
      </c>
      <c r="N3305" t="n">
        <v>0</v>
      </c>
      <c r="O3305" t="n">
        <v>0</v>
      </c>
    </row>
    <row r="3306" hidden="1">
      <c r="A3306" s="11" t="n">
        <v>46105</v>
      </c>
      <c r="B3306" t="inlineStr">
        <is>
          <t>Karina Gonçalves Martins</t>
        </is>
      </c>
      <c r="C3306" t="inlineStr">
        <is>
          <t>JR</t>
        </is>
      </c>
      <c r="D3306" t="n">
        <v>25</v>
      </c>
      <c r="E3306" t="n">
        <v>24</v>
      </c>
      <c r="F3306" t="n">
        <v>23.34</v>
      </c>
      <c r="G3306" t="n">
        <v>0</v>
      </c>
      <c r="H3306" t="n">
        <v>0</v>
      </c>
      <c r="I3306" s="3">
        <f>E3306+G3306+H3306</f>
        <v/>
      </c>
      <c r="J3306" s="3">
        <f>ROUND(MIN(IF(C3306="Técnico III",35,IF(C3306="Técnico II",28,IF(C3306="Técnico I",23,IF(C3306="JR",20,IF(C3306="Estágio",10,0))))),IF(C3306="Técnico III",SUMIFS($D:$D,$A:$A,$A3306,$B:$B,"&lt;&gt;Patrícia Karla de Sousa Araújo",$B:$B,"&lt;&gt;Lorena Dias de Araujo",$B:$B,"&lt;&gt;Lucas Luiz Romero")*(35/1083),IF(C3306="Técnico II",SUMIFS($D:$D,$A:$A,$A3306,$B:$B,"&lt;&gt;Patrícia Karla de Sousa Araújo",$B:$B,"&lt;&gt;Lorena Dias de Araujo",$B:$B,"&lt;&gt;Lucas Luiz Romero")*(28/1083),IF(C3306="Técnico I",SUMIFS($D:$D,$A:$A,$A3306,$B:$B,"&lt;&gt;Patrícia Karla de Sousa Araújo",$B:$B,"&lt;&gt;Lorena Dias de Araujo",$B:$B,"&lt;&gt;Lucas Luiz Romero")*(23/1083),IF(C3306="JR",SUMIFS($D:$D,$A:$A,$A3306,$B:$B,"&lt;&gt;Patrícia Karla de Sousa Araújo",$B:$B,"&lt;&gt;Lorena Dias de Araujo",$B:$B,"&lt;&gt;Lucas Luiz Romero")*(20/1083),IF(C3306="Estágio",SUMIFS($D:$D,$A:$A,$A3306,$B:$B,"&lt;&gt;Patrícia Karla de Sousa Araújo",$B:$B,"&lt;&gt;Lorena Dias de Araujo",$B:$B,"&lt;&gt;Lucas Luiz Romero")*(10/1083),0)))))),0)</f>
        <v/>
      </c>
      <c r="K3306" s="3">
        <f>I3306-J3306</f>
        <v/>
      </c>
      <c r="L3306" s="3">
        <f>IF(K3306&lt;-5,"CRÍTICO",IF(K3306&lt;0,"ATENÇÃO",IF(K3306&lt;=5,"OPORTUNO","MUITO BOM")))</f>
        <v/>
      </c>
      <c r="N3306" t="n">
        <v>98.31</v>
      </c>
      <c r="O3306" t="n">
        <v>24.92012779552715</v>
      </c>
    </row>
    <row r="3307" hidden="1">
      <c r="A3307" s="11" t="n">
        <v>46105</v>
      </c>
      <c r="B3307" t="inlineStr">
        <is>
          <t>Kerollen Cristielly de Jesus Siqueira</t>
        </is>
      </c>
      <c r="C3307" t="inlineStr">
        <is>
          <t>Técnico III</t>
        </is>
      </c>
      <c r="D3307" t="n">
        <v>21</v>
      </c>
      <c r="E3307" t="n">
        <v>20</v>
      </c>
      <c r="F3307" t="n">
        <v>23.31</v>
      </c>
      <c r="G3307" t="n">
        <v>0</v>
      </c>
      <c r="H3307" t="n">
        <v>0</v>
      </c>
      <c r="I3307" s="3">
        <f>E3307+G3307+H3307</f>
        <v/>
      </c>
      <c r="J3307" s="3">
        <f>ROUND(MIN(IF(C3307="Técnico III",35,IF(C3307="Técnico II",28,IF(C3307="Técnico I",23,IF(C3307="JR",20,IF(C3307="Estágio",10,0))))),IF(C3307="Técnico III",SUMIFS($D:$D,$A:$A,$A3307,$B:$B,"&lt;&gt;Patrícia Karla de Sousa Araújo",$B:$B,"&lt;&gt;Lorena Dias de Araujo",$B:$B,"&lt;&gt;Lucas Luiz Romero")*(35/1083),IF(C3307="Técnico II",SUMIFS($D:$D,$A:$A,$A3307,$B:$B,"&lt;&gt;Patrícia Karla de Sousa Araújo",$B:$B,"&lt;&gt;Lorena Dias de Araujo",$B:$B,"&lt;&gt;Lucas Luiz Romero")*(28/1083),IF(C3307="Técnico I",SUMIFS($D:$D,$A:$A,$A3307,$B:$B,"&lt;&gt;Patrícia Karla de Sousa Araújo",$B:$B,"&lt;&gt;Lorena Dias de Araujo",$B:$B,"&lt;&gt;Lucas Luiz Romero")*(23/1083),IF(C3307="JR",SUMIFS($D:$D,$A:$A,$A3307,$B:$B,"&lt;&gt;Patrícia Karla de Sousa Araújo",$B:$B,"&lt;&gt;Lorena Dias de Araujo",$B:$B,"&lt;&gt;Lucas Luiz Romero")*(20/1083),IF(C3307="Estágio",SUMIFS($D:$D,$A:$A,$A3307,$B:$B,"&lt;&gt;Patrícia Karla de Sousa Araújo",$B:$B,"&lt;&gt;Lorena Dias de Araujo",$B:$B,"&lt;&gt;Lucas Luiz Romero")*(10/1083),0)))))),0)</f>
        <v/>
      </c>
      <c r="K3307" s="3">
        <f>I3307-J3307</f>
        <v/>
      </c>
      <c r="L3307" s="3">
        <f>IF(K3307&lt;-5,"CRÍTICO",IF(K3307&lt;0,"ATENÇÃO",IF(K3307&lt;=5,"OPORTUNO","MUITO BOM")))</f>
        <v/>
      </c>
      <c r="N3307" t="n">
        <v>96.81</v>
      </c>
      <c r="O3307" t="n">
        <v>32.36514522821577</v>
      </c>
    </row>
    <row r="3308" hidden="1">
      <c r="A3308" s="11" t="n">
        <v>46105</v>
      </c>
      <c r="B3308" t="inlineStr">
        <is>
          <t>Leandro de Souza Silva</t>
        </is>
      </c>
      <c r="C3308" t="inlineStr">
        <is>
          <t>JR</t>
        </is>
      </c>
      <c r="D3308" t="n">
        <v>18</v>
      </c>
      <c r="E3308" t="n">
        <v>14</v>
      </c>
      <c r="F3308" t="n">
        <v>22.21</v>
      </c>
      <c r="G3308" t="n">
        <v>0</v>
      </c>
      <c r="H3308" t="n">
        <v>0</v>
      </c>
      <c r="I3308" s="3">
        <f>E3308+G3308+H3308</f>
        <v/>
      </c>
      <c r="J3308" s="3">
        <f>ROUND(MIN(IF(C3308="Técnico III",35,IF(C3308="Técnico II",28,IF(C3308="Técnico I",23,IF(C3308="JR",20,IF(C3308="Estágio",10,0))))),IF(C3308="Técnico III",SUMIFS($D:$D,$A:$A,$A3308,$B:$B,"&lt;&gt;Patrícia Karla de Sousa Araújo",$B:$B,"&lt;&gt;Lorena Dias de Araujo",$B:$B,"&lt;&gt;Lucas Luiz Romero")*(35/1083),IF(C3308="Técnico II",SUMIFS($D:$D,$A:$A,$A3308,$B:$B,"&lt;&gt;Patrícia Karla de Sousa Araújo",$B:$B,"&lt;&gt;Lorena Dias de Araujo",$B:$B,"&lt;&gt;Lucas Luiz Romero")*(28/1083),IF(C3308="Técnico I",SUMIFS($D:$D,$A:$A,$A3308,$B:$B,"&lt;&gt;Patrícia Karla de Sousa Araújo",$B:$B,"&lt;&gt;Lorena Dias de Araujo",$B:$B,"&lt;&gt;Lucas Luiz Romero")*(23/1083),IF(C3308="JR",SUMIFS($D:$D,$A:$A,$A3308,$B:$B,"&lt;&gt;Patrícia Karla de Sousa Araújo",$B:$B,"&lt;&gt;Lorena Dias de Araujo",$B:$B,"&lt;&gt;Lucas Luiz Romero")*(20/1083),IF(C3308="Estágio",SUMIFS($D:$D,$A:$A,$A3308,$B:$B,"&lt;&gt;Patrícia Karla de Sousa Araújo",$B:$B,"&lt;&gt;Lorena Dias de Araujo",$B:$B,"&lt;&gt;Lucas Luiz Romero")*(10/1083),0)))))),0)</f>
        <v/>
      </c>
      <c r="K3308" s="3">
        <f>I3308-J3308</f>
        <v/>
      </c>
      <c r="L3308" s="3">
        <f>IF(K3308&lt;-5,"CRÍTICO",IF(K3308&lt;0,"ATENÇÃO",IF(K3308&lt;=5,"OPORTUNO","MUITO BOM")))</f>
        <v/>
      </c>
      <c r="N3308" t="n">
        <v>100</v>
      </c>
      <c r="O3308" t="n">
        <v>26.47058823529412</v>
      </c>
    </row>
    <row r="3309" hidden="1">
      <c r="A3309" s="11" t="n">
        <v>46105</v>
      </c>
      <c r="B3309" t="inlineStr">
        <is>
          <t>Leandro Oliveira de Sousa</t>
        </is>
      </c>
      <c r="C3309" t="inlineStr">
        <is>
          <t>Técnico III</t>
        </is>
      </c>
      <c r="D3309" t="n">
        <v>30</v>
      </c>
      <c r="E3309" t="n">
        <v>25</v>
      </c>
      <c r="F3309" t="n">
        <v>15.51</v>
      </c>
      <c r="G3309" t="n">
        <v>0</v>
      </c>
      <c r="H3309" t="n">
        <v>0</v>
      </c>
      <c r="I3309" s="3">
        <f>E3309+G3309+H3309</f>
        <v/>
      </c>
      <c r="J3309" s="3">
        <f>ROUND(MIN(IF(C3309="Técnico III",35,IF(C3309="Técnico II",28,IF(C3309="Técnico I",23,IF(C3309="JR",20,IF(C3309="Estágio",10,0))))),IF(C3309="Técnico III",SUMIFS($D:$D,$A:$A,$A3309,$B:$B,"&lt;&gt;Patrícia Karla de Sousa Araújo",$B:$B,"&lt;&gt;Lorena Dias de Araujo",$B:$B,"&lt;&gt;Lucas Luiz Romero")*(35/1083),IF(C3309="Técnico II",SUMIFS($D:$D,$A:$A,$A3309,$B:$B,"&lt;&gt;Patrícia Karla de Sousa Araújo",$B:$B,"&lt;&gt;Lorena Dias de Araujo",$B:$B,"&lt;&gt;Lucas Luiz Romero")*(28/1083),IF(C3309="Técnico I",SUMIFS($D:$D,$A:$A,$A3309,$B:$B,"&lt;&gt;Patrícia Karla de Sousa Araújo",$B:$B,"&lt;&gt;Lorena Dias de Araujo",$B:$B,"&lt;&gt;Lucas Luiz Romero")*(23/1083),IF(C3309="JR",SUMIFS($D:$D,$A:$A,$A3309,$B:$B,"&lt;&gt;Patrícia Karla de Sousa Araújo",$B:$B,"&lt;&gt;Lorena Dias de Araujo",$B:$B,"&lt;&gt;Lucas Luiz Romero")*(20/1083),IF(C3309="Estágio",SUMIFS($D:$D,$A:$A,$A3309,$B:$B,"&lt;&gt;Patrícia Karla de Sousa Araújo",$B:$B,"&lt;&gt;Lorena Dias de Araujo",$B:$B,"&lt;&gt;Lucas Luiz Romero")*(10/1083),0)))))),0)</f>
        <v/>
      </c>
      <c r="K3309" s="3">
        <f>I3309-J3309</f>
        <v/>
      </c>
      <c r="L3309" s="3">
        <f>IF(K3309&lt;-5,"CRÍTICO",IF(K3309&lt;0,"ATENÇÃO",IF(K3309&lt;=5,"OPORTUNO","MUITO BOM")))</f>
        <v/>
      </c>
      <c r="N3309" t="n">
        <v>100</v>
      </c>
      <c r="O3309" t="n">
        <v>28.49002849002849</v>
      </c>
    </row>
    <row r="3310" hidden="1">
      <c r="A3310" s="11" t="n">
        <v>46105</v>
      </c>
      <c r="B3310" t="inlineStr">
        <is>
          <t>Lizandra Gomes Duarte</t>
        </is>
      </c>
      <c r="C3310" t="inlineStr">
        <is>
          <t>Técnico II</t>
        </is>
      </c>
      <c r="D3310" t="n">
        <v>18</v>
      </c>
      <c r="E3310" t="n">
        <v>18</v>
      </c>
      <c r="F3310" t="n">
        <v>24.18</v>
      </c>
      <c r="G3310" t="n">
        <v>0</v>
      </c>
      <c r="H3310" t="n">
        <v>0</v>
      </c>
      <c r="I3310" s="3">
        <f>E3310+G3310+H3310</f>
        <v/>
      </c>
      <c r="J3310" s="3">
        <f>ROUND(MIN(IF(C3310="Técnico III",35,IF(C3310="Técnico II",28,IF(C3310="Técnico I",23,IF(C3310="JR",20,IF(C3310="Estágio",10,0))))),IF(C3310="Técnico III",SUMIFS($D:$D,$A:$A,$A3310,$B:$B,"&lt;&gt;Patrícia Karla de Sousa Araújo",$B:$B,"&lt;&gt;Lorena Dias de Araujo",$B:$B,"&lt;&gt;Lucas Luiz Romero")*(35/1083),IF(C3310="Técnico II",SUMIFS($D:$D,$A:$A,$A3310,$B:$B,"&lt;&gt;Patrícia Karla de Sousa Araújo",$B:$B,"&lt;&gt;Lorena Dias de Araujo",$B:$B,"&lt;&gt;Lucas Luiz Romero")*(28/1083),IF(C3310="Técnico I",SUMIFS($D:$D,$A:$A,$A3310,$B:$B,"&lt;&gt;Patrícia Karla de Sousa Araújo",$B:$B,"&lt;&gt;Lorena Dias de Araujo",$B:$B,"&lt;&gt;Lucas Luiz Romero")*(23/1083),IF(C3310="JR",SUMIFS($D:$D,$A:$A,$A3310,$B:$B,"&lt;&gt;Patrícia Karla de Sousa Araújo",$B:$B,"&lt;&gt;Lorena Dias de Araujo",$B:$B,"&lt;&gt;Lucas Luiz Romero")*(20/1083),IF(C3310="Estágio",SUMIFS($D:$D,$A:$A,$A3310,$B:$B,"&lt;&gt;Patrícia Karla de Sousa Araújo",$B:$B,"&lt;&gt;Lorena Dias de Araujo",$B:$B,"&lt;&gt;Lucas Luiz Romero")*(10/1083),0)))))),0)</f>
        <v/>
      </c>
      <c r="K3310" s="3">
        <f>I3310-J3310</f>
        <v/>
      </c>
      <c r="L3310" s="3">
        <f>IF(K3310&lt;-5,"CRÍTICO",IF(K3310&lt;0,"ATENÇÃO",IF(K3310&lt;=5,"OPORTUNO","MUITO BOM")))</f>
        <v/>
      </c>
      <c r="N3310" t="n">
        <v>99.14</v>
      </c>
      <c r="O3310" t="n">
        <v>27.2289156626506</v>
      </c>
    </row>
    <row r="3311" hidden="1">
      <c r="A3311" s="11" t="n">
        <v>46105</v>
      </c>
      <c r="B3311" t="inlineStr">
        <is>
          <t>Lorena Dias de Araujo</t>
        </is>
      </c>
      <c r="C3311" t="inlineStr">
        <is>
          <t>Técnico II</t>
        </is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s="3" t="n">
        <v>0</v>
      </c>
      <c r="J3311" s="3" t="n">
        <v>0</v>
      </c>
      <c r="K3311" s="3" t="n">
        <v>0</v>
      </c>
      <c r="L3311" s="3">
        <f>IF(K3311&lt;-5,"CRÍTICO",IF(K3311&lt;0,"ATENÇÃO",IF(K3311&lt;=5,"OPORTUNO","MUITO BOM")))</f>
        <v/>
      </c>
      <c r="N3311" t="n">
        <v>97.52</v>
      </c>
      <c r="O3311" t="n">
        <v>28.2051282051282</v>
      </c>
    </row>
    <row r="3312" hidden="1">
      <c r="A3312" s="11" t="n">
        <v>46105</v>
      </c>
      <c r="B3312" t="inlineStr">
        <is>
          <t>Lucas Luiz Romero</t>
        </is>
      </c>
      <c r="C3312" t="inlineStr">
        <is>
          <t>Técnico III</t>
        </is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s="3" t="n">
        <v>0</v>
      </c>
      <c r="J3312" s="3" t="n">
        <v>0</v>
      </c>
      <c r="K3312" s="3" t="n">
        <v>0</v>
      </c>
      <c r="L3312" s="3">
        <f>IF(K3312&lt;-5,"CRÍTICO",IF(K3312&lt;0,"ATENÇÃO",IF(K3312&lt;=5,"OPORTUNO","MUITO BOM")))</f>
        <v/>
      </c>
      <c r="N3312" t="n">
        <v>90</v>
      </c>
      <c r="O3312" t="n">
        <v>24.18604651162791</v>
      </c>
    </row>
    <row r="3313" hidden="1">
      <c r="A3313" s="11" t="n">
        <v>46105</v>
      </c>
      <c r="B3313" t="inlineStr">
        <is>
          <t>Luiz Fernando de Carvalho Junior</t>
        </is>
      </c>
      <c r="C3313" t="inlineStr">
        <is>
          <t>Técnico I</t>
        </is>
      </c>
      <c r="D3313" t="n">
        <v>26</v>
      </c>
      <c r="E3313" t="n">
        <v>25</v>
      </c>
      <c r="F3313" t="n">
        <v>18.21</v>
      </c>
      <c r="G3313" t="n">
        <v>0</v>
      </c>
      <c r="H3313" t="n">
        <v>0</v>
      </c>
      <c r="I3313" s="3">
        <f>E3313+G3313+H3313</f>
        <v/>
      </c>
      <c r="J3313" s="3">
        <f>ROUND(MIN(IF(C3313="Técnico III",35,IF(C3313="Técnico II",28,IF(C3313="Técnico I",23,IF(C3313="JR",20,IF(C3313="Estágio",10,0))))),IF(C3313="Técnico III",SUMIFS($D:$D,$A:$A,$A3313,$B:$B,"&lt;&gt;Patrícia Karla de Sousa Araújo",$B:$B,"&lt;&gt;Lorena Dias de Araujo",$B:$B,"&lt;&gt;Lucas Luiz Romero")*(35/1083),IF(C3313="Técnico II",SUMIFS($D:$D,$A:$A,$A3313,$B:$B,"&lt;&gt;Patrícia Karla de Sousa Araújo",$B:$B,"&lt;&gt;Lorena Dias de Araujo",$B:$B,"&lt;&gt;Lucas Luiz Romero")*(28/1083),IF(C3313="Técnico I",SUMIFS($D:$D,$A:$A,$A3313,$B:$B,"&lt;&gt;Patrícia Karla de Sousa Araújo",$B:$B,"&lt;&gt;Lorena Dias de Araujo",$B:$B,"&lt;&gt;Lucas Luiz Romero")*(23/1083),IF(C3313="JR",SUMIFS($D:$D,$A:$A,$A3313,$B:$B,"&lt;&gt;Patrícia Karla de Sousa Araújo",$B:$B,"&lt;&gt;Lorena Dias de Araujo",$B:$B,"&lt;&gt;Lucas Luiz Romero")*(20/1083),IF(C3313="Estágio",SUMIFS($D:$D,$A:$A,$A3313,$B:$B,"&lt;&gt;Patrícia Karla de Sousa Araújo",$B:$B,"&lt;&gt;Lorena Dias de Araujo",$B:$B,"&lt;&gt;Lucas Luiz Romero")*(10/1083),0)))))),0)</f>
        <v/>
      </c>
      <c r="K3313" s="3">
        <f>I3313-J3313</f>
        <v/>
      </c>
      <c r="L3313" s="3">
        <f>IF(K3313&lt;-5,"CRÍTICO",IF(K3313&lt;0,"ATENÇÃO",IF(K3313&lt;=5,"OPORTUNO","MUITO BOM")))</f>
        <v/>
      </c>
      <c r="N3313" t="n">
        <v>98.90000000000001</v>
      </c>
      <c r="O3313" t="n">
        <v>26.7639902676399</v>
      </c>
    </row>
    <row r="3314" hidden="1">
      <c r="A3314" s="11" t="n">
        <v>46105</v>
      </c>
      <c r="B3314" t="inlineStr">
        <is>
          <t>Maria Eduarda Sousa Costa</t>
        </is>
      </c>
      <c r="C3314" t="inlineStr">
        <is>
          <t>Estágio</t>
        </is>
      </c>
      <c r="D3314" t="n">
        <v>6</v>
      </c>
      <c r="E3314" t="n">
        <v>6</v>
      </c>
      <c r="F3314" t="n">
        <v>50.07</v>
      </c>
      <c r="G3314" t="n">
        <v>0</v>
      </c>
      <c r="H3314" t="n">
        <v>0</v>
      </c>
      <c r="I3314" s="3">
        <f>E3314+G3314+H3314</f>
        <v/>
      </c>
      <c r="J3314" s="3">
        <f>ROUND(MIN(IF(C3314="Técnico III",35,IF(C3314="Técnico II",28,IF(C3314="Técnico I",23,IF(C3314="JR",20,IF(C3314="Estágio",10,0))))),IF(C3314="Técnico III",SUMIFS($D:$D,$A:$A,$A3314,$B:$B,"&lt;&gt;Patrícia Karla de Sousa Araújo",$B:$B,"&lt;&gt;Lorena Dias de Araujo",$B:$B,"&lt;&gt;Lucas Luiz Romero")*(35/1083),IF(C3314="Técnico II",SUMIFS($D:$D,$A:$A,$A3314,$B:$B,"&lt;&gt;Patrícia Karla de Sousa Araújo",$B:$B,"&lt;&gt;Lorena Dias de Araujo",$B:$B,"&lt;&gt;Lucas Luiz Romero")*(28/1083),IF(C3314="Técnico I",SUMIFS($D:$D,$A:$A,$A3314,$B:$B,"&lt;&gt;Patrícia Karla de Sousa Araújo",$B:$B,"&lt;&gt;Lorena Dias de Araujo",$B:$B,"&lt;&gt;Lucas Luiz Romero")*(23/1083),IF(C3314="JR",SUMIFS($D:$D,$A:$A,$A3314,$B:$B,"&lt;&gt;Patrícia Karla de Sousa Araújo",$B:$B,"&lt;&gt;Lorena Dias de Araujo",$B:$B,"&lt;&gt;Lucas Luiz Romero")*(20/1083),IF(C3314="Estágio",SUMIFS($D:$D,$A:$A,$A3314,$B:$B,"&lt;&gt;Patrícia Karla de Sousa Araújo",$B:$B,"&lt;&gt;Lorena Dias de Araujo",$B:$B,"&lt;&gt;Lucas Luiz Romero")*(10/1083),0)))))),0)</f>
        <v/>
      </c>
      <c r="K3314" s="3">
        <f>I3314-J3314</f>
        <v/>
      </c>
      <c r="L3314" s="3">
        <f>IF(K3314&lt;-5,"CRÍTICO",IF(K3314&lt;0,"ATENÇÃO",IF(K3314&lt;=5,"OPORTUNO","MUITO BOM")))</f>
        <v/>
      </c>
      <c r="N3314" t="n">
        <v>88.89</v>
      </c>
      <c r="O3314" t="n">
        <v>25.26315789473684</v>
      </c>
    </row>
    <row r="3315" hidden="1">
      <c r="A3315" s="11" t="n">
        <v>46105</v>
      </c>
      <c r="B3315" t="inlineStr">
        <is>
          <t>Matheus Farias De Souza</t>
        </is>
      </c>
      <c r="C3315" t="inlineStr">
        <is>
          <t>Técnico III</t>
        </is>
      </c>
      <c r="D3315" t="n">
        <v>24</v>
      </c>
      <c r="E3315" t="n">
        <v>22</v>
      </c>
      <c r="F3315" t="n">
        <v>15.5</v>
      </c>
      <c r="G3315" t="n">
        <v>0</v>
      </c>
      <c r="H3315" t="n">
        <v>0</v>
      </c>
      <c r="I3315" s="3">
        <f>E3315+G3315+H3315</f>
        <v/>
      </c>
      <c r="J3315" s="3">
        <f>ROUND(MIN(IF(C3315="Técnico III",35,IF(C3315="Técnico II",28,IF(C3315="Técnico I",23,IF(C3315="JR",20,IF(C3315="Estágio",10,0))))),IF(C3315="Técnico III",SUMIFS($D:$D,$A:$A,$A3315,$B:$B,"&lt;&gt;Patrícia Karla de Sousa Araújo",$B:$B,"&lt;&gt;Lorena Dias de Araujo",$B:$B,"&lt;&gt;Lucas Luiz Romero")*(35/1083),IF(C3315="Técnico II",SUMIFS($D:$D,$A:$A,$A3315,$B:$B,"&lt;&gt;Patrícia Karla de Sousa Araújo",$B:$B,"&lt;&gt;Lorena Dias de Araujo",$B:$B,"&lt;&gt;Lucas Luiz Romero")*(28/1083),IF(C3315="Técnico I",SUMIFS($D:$D,$A:$A,$A3315,$B:$B,"&lt;&gt;Patrícia Karla de Sousa Araújo",$B:$B,"&lt;&gt;Lorena Dias de Araujo",$B:$B,"&lt;&gt;Lucas Luiz Romero")*(23/1083),IF(C3315="JR",SUMIFS($D:$D,$A:$A,$A3315,$B:$B,"&lt;&gt;Patrícia Karla de Sousa Araújo",$B:$B,"&lt;&gt;Lorena Dias de Araujo",$B:$B,"&lt;&gt;Lucas Luiz Romero")*(20/1083),IF(C3315="Estágio",SUMIFS($D:$D,$A:$A,$A3315,$B:$B,"&lt;&gt;Patrícia Karla de Sousa Araújo",$B:$B,"&lt;&gt;Lorena Dias de Araujo",$B:$B,"&lt;&gt;Lucas Luiz Romero")*(10/1083),0)))))),0)</f>
        <v/>
      </c>
      <c r="K3315" s="3">
        <f>I3315-J3315</f>
        <v/>
      </c>
      <c r="L3315" s="3">
        <f>IF(K3315&lt;-5,"CRÍTICO",IF(K3315&lt;0,"ATENÇÃO",IF(K3315&lt;=5,"OPORTUNO","MUITO BOM")))</f>
        <v/>
      </c>
      <c r="N3315" t="n">
        <v>98.86</v>
      </c>
      <c r="O3315" t="n">
        <v>28.95927601809955</v>
      </c>
    </row>
    <row r="3316" hidden="1">
      <c r="A3316" s="11" t="n">
        <v>46105</v>
      </c>
      <c r="B3316" t="inlineStr">
        <is>
          <t>Maysa Victoria Dias Moura</t>
        </is>
      </c>
      <c r="C3316" t="inlineStr">
        <is>
          <t>Técnico III</t>
        </is>
      </c>
      <c r="D3316" t="n">
        <v>26</v>
      </c>
      <c r="E3316" t="n">
        <v>23</v>
      </c>
      <c r="F3316" t="n">
        <v>15.14</v>
      </c>
      <c r="G3316" t="n">
        <v>0</v>
      </c>
      <c r="H3316" t="n">
        <v>0</v>
      </c>
      <c r="I3316" s="3">
        <f>E3316+G3316+H3316</f>
        <v/>
      </c>
      <c r="J3316" s="3">
        <f>ROUND(MIN(IF(C3316="Técnico III",35,IF(C3316="Técnico II",28,IF(C3316="Técnico I",23,IF(C3316="JR",20,IF(C3316="Estágio",10,0))))),IF(C3316="Técnico III",SUMIFS($D:$D,$A:$A,$A3316,$B:$B,"&lt;&gt;Patrícia Karla de Sousa Araújo",$B:$B,"&lt;&gt;Lorena Dias de Araujo",$B:$B,"&lt;&gt;Lucas Luiz Romero")*(35/1083),IF(C3316="Técnico II",SUMIFS($D:$D,$A:$A,$A3316,$B:$B,"&lt;&gt;Patrícia Karla de Sousa Araújo",$B:$B,"&lt;&gt;Lorena Dias de Araujo",$B:$B,"&lt;&gt;Lucas Luiz Romero")*(28/1083),IF(C3316="Técnico I",SUMIFS($D:$D,$A:$A,$A3316,$B:$B,"&lt;&gt;Patrícia Karla de Sousa Araújo",$B:$B,"&lt;&gt;Lorena Dias de Araujo",$B:$B,"&lt;&gt;Lucas Luiz Romero")*(23/1083),IF(C3316="JR",SUMIFS($D:$D,$A:$A,$A3316,$B:$B,"&lt;&gt;Patrícia Karla de Sousa Araújo",$B:$B,"&lt;&gt;Lorena Dias de Araujo",$B:$B,"&lt;&gt;Lucas Luiz Romero")*(20/1083),IF(C3316="Estágio",SUMIFS($D:$D,$A:$A,$A3316,$B:$B,"&lt;&gt;Patrícia Karla de Sousa Araújo",$B:$B,"&lt;&gt;Lorena Dias de Araujo",$B:$B,"&lt;&gt;Lucas Luiz Romero")*(10/1083),0)))))),0)</f>
        <v/>
      </c>
      <c r="K3316" s="3">
        <f>I3316-J3316</f>
        <v/>
      </c>
      <c r="L3316" s="3">
        <f>IF(K3316&lt;-5,"CRÍTICO",IF(K3316&lt;0,"ATENÇÃO",IF(K3316&lt;=5,"OPORTUNO","MUITO BOM")))</f>
        <v/>
      </c>
      <c r="N3316" t="n">
        <v>98.06</v>
      </c>
      <c r="O3316" t="n">
        <v>22.40566037735849</v>
      </c>
    </row>
    <row r="3317" hidden="1">
      <c r="A3317" s="11" t="n">
        <v>46105</v>
      </c>
      <c r="B3317" t="inlineStr">
        <is>
          <t>Michelle G Santos</t>
        </is>
      </c>
      <c r="C3317" t="inlineStr">
        <is>
          <t>Estágio</t>
        </is>
      </c>
      <c r="D3317" t="n">
        <v>17</v>
      </c>
      <c r="E3317" t="n">
        <v>16</v>
      </c>
      <c r="F3317" t="n">
        <v>23.5</v>
      </c>
      <c r="G3317" t="n">
        <v>0</v>
      </c>
      <c r="H3317" t="n">
        <v>0</v>
      </c>
      <c r="I3317" s="3">
        <f>E3317+G3317+H3317</f>
        <v/>
      </c>
      <c r="J3317" s="3">
        <f>ROUND(MIN(IF(C3317="Técnico III",35,IF(C3317="Técnico II",28,IF(C3317="Técnico I",23,IF(C3317="JR",20,IF(C3317="Estágio",10,0))))),IF(C3317="Técnico III",SUMIFS($D:$D,$A:$A,$A3317,$B:$B,"&lt;&gt;Patrícia Karla de Sousa Araújo",$B:$B,"&lt;&gt;Lorena Dias de Araujo",$B:$B,"&lt;&gt;Lucas Luiz Romero")*(35/1083),IF(C3317="Técnico II",SUMIFS($D:$D,$A:$A,$A3317,$B:$B,"&lt;&gt;Patrícia Karla de Sousa Araújo",$B:$B,"&lt;&gt;Lorena Dias de Araujo",$B:$B,"&lt;&gt;Lucas Luiz Romero")*(28/1083),IF(C3317="Técnico I",SUMIFS($D:$D,$A:$A,$A3317,$B:$B,"&lt;&gt;Patrícia Karla de Sousa Araújo",$B:$B,"&lt;&gt;Lorena Dias de Araujo",$B:$B,"&lt;&gt;Lucas Luiz Romero")*(23/1083),IF(C3317="JR",SUMIFS($D:$D,$A:$A,$A3317,$B:$B,"&lt;&gt;Patrícia Karla de Sousa Araújo",$B:$B,"&lt;&gt;Lorena Dias de Araujo",$B:$B,"&lt;&gt;Lucas Luiz Romero")*(20/1083),IF(C3317="Estágio",SUMIFS($D:$D,$A:$A,$A3317,$B:$B,"&lt;&gt;Patrícia Karla de Sousa Araújo",$B:$B,"&lt;&gt;Lorena Dias de Araujo",$B:$B,"&lt;&gt;Lucas Luiz Romero")*(10/1083),0)))))),0)</f>
        <v/>
      </c>
      <c r="K3317" s="3">
        <f>I3317-J3317</f>
        <v/>
      </c>
      <c r="L3317" s="3">
        <f>IF(K3317&lt;-5,"CRÍTICO",IF(K3317&lt;0,"ATENÇÃO",IF(K3317&lt;=5,"OPORTUNO","MUITO BOM")))</f>
        <v/>
      </c>
      <c r="N3317" t="n">
        <v>95.83</v>
      </c>
      <c r="O3317" t="n">
        <v>25.77319587628866</v>
      </c>
    </row>
    <row r="3318" hidden="1">
      <c r="A3318" s="11" t="n">
        <v>46105</v>
      </c>
      <c r="B3318" t="inlineStr">
        <is>
          <t>Milena Sales</t>
        </is>
      </c>
      <c r="C3318" t="inlineStr">
        <is>
          <t>JR</t>
        </is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s="3" t="n">
        <v>0</v>
      </c>
      <c r="J3318" s="3" t="n">
        <v>0</v>
      </c>
      <c r="K3318" s="3" t="n">
        <v>0</v>
      </c>
      <c r="L3318" s="3">
        <f>IF(K3318&lt;-5,"CRÍTICO",IF(K3318&lt;0,"ATENÇÃO",IF(K3318&lt;=5,"OPORTUNO","MUITO BOM")))</f>
        <v/>
      </c>
      <c r="N3318" t="n">
        <v>100</v>
      </c>
      <c r="O3318" t="n">
        <v>15.38461538461539</v>
      </c>
    </row>
    <row r="3319" hidden="1">
      <c r="A3319" s="11" t="n">
        <v>46105</v>
      </c>
      <c r="B3319" t="inlineStr">
        <is>
          <t>Patrícia Karla de Sousa Araújo</t>
        </is>
      </c>
      <c r="C3319" t="inlineStr">
        <is>
          <t>Técnico II</t>
        </is>
      </c>
      <c r="D3319" t="n">
        <v>25</v>
      </c>
      <c r="E3319" t="n">
        <v>21</v>
      </c>
      <c r="F3319" t="n">
        <v>15</v>
      </c>
      <c r="G3319" t="n">
        <v>0</v>
      </c>
      <c r="H3319" t="n">
        <v>0</v>
      </c>
      <c r="I3319" s="3">
        <f>E3319+G3319+H3319</f>
        <v/>
      </c>
      <c r="J3319" s="3">
        <f>ROUND(MIN(IF(C3319="Técnico III",35,IF(C3319="Técnico II",28,IF(C3319="Técnico I",23,IF(C3319="JR",20,IF(C3319="Estágio",10,0))))),IF(C3319="Técnico III",SUMIFS($D:$D,$A:$A,$A3319,$B:$B,"&lt;&gt;Patrícia Karla de Sousa Araújo",$B:$B,"&lt;&gt;Lorena Dias de Araujo",$B:$B,"&lt;&gt;Lucas Luiz Romero")*(35/1083),IF(C3319="Técnico II",SUMIFS($D:$D,$A:$A,$A3319,$B:$B,"&lt;&gt;Patrícia Karla de Sousa Araújo",$B:$B,"&lt;&gt;Lorena Dias de Araujo",$B:$B,"&lt;&gt;Lucas Luiz Romero")*(28/1083),IF(C3319="Técnico I",SUMIFS($D:$D,$A:$A,$A3319,$B:$B,"&lt;&gt;Patrícia Karla de Sousa Araújo",$B:$B,"&lt;&gt;Lorena Dias de Araujo",$B:$B,"&lt;&gt;Lucas Luiz Romero")*(23/1083),IF(C3319="JR",SUMIFS($D:$D,$A:$A,$A3319,$B:$B,"&lt;&gt;Patrícia Karla de Sousa Araújo",$B:$B,"&lt;&gt;Lorena Dias de Araujo",$B:$B,"&lt;&gt;Lucas Luiz Romero")*(20/1083),IF(C3319="Estágio",SUMIFS($D:$D,$A:$A,$A3319,$B:$B,"&lt;&gt;Patrícia Karla de Sousa Araújo",$B:$B,"&lt;&gt;Lorena Dias de Araujo",$B:$B,"&lt;&gt;Lucas Luiz Romero")*(10/1083),0)))))),0)</f>
        <v/>
      </c>
      <c r="K3319" s="3">
        <f>I3319-J3319</f>
        <v/>
      </c>
      <c r="L3319" s="3">
        <f>IF(K3319&lt;-5,"CRÍTICO",IF(K3319&lt;0,"ATENÇÃO",IF(K3319&lt;=5,"OPORTUNO","MUITO BOM")))</f>
        <v/>
      </c>
      <c r="N3319" t="n">
        <v>100</v>
      </c>
      <c r="O3319" t="n">
        <v>27.51479289940828</v>
      </c>
    </row>
    <row r="3320" hidden="1">
      <c r="A3320" s="11" t="n">
        <v>46105</v>
      </c>
      <c r="B3320" t="inlineStr">
        <is>
          <t>Paulo Ricardo Santos</t>
        </is>
      </c>
      <c r="C3320" t="inlineStr">
        <is>
          <t>JR</t>
        </is>
      </c>
      <c r="D3320" t="n">
        <v>14</v>
      </c>
      <c r="E3320" t="n">
        <v>13</v>
      </c>
      <c r="F3320" t="n">
        <v>30.32</v>
      </c>
      <c r="G3320" t="n">
        <v>0</v>
      </c>
      <c r="H3320" t="n">
        <v>0</v>
      </c>
      <c r="I3320" s="3">
        <f>E3320+G3320+H3320</f>
        <v/>
      </c>
      <c r="J3320" s="3">
        <f>ROUND(MIN(IF(C3320="Técnico III",35,IF(C3320="Técnico II",28,IF(C3320="Técnico I",23,IF(C3320="JR",20,IF(C3320="Estágio",10,0))))),IF(C3320="Técnico III",SUMIFS($D:$D,$A:$A,$A3320,$B:$B,"&lt;&gt;Patrícia Karla de Sousa Araújo",$B:$B,"&lt;&gt;Lorena Dias de Araujo",$B:$B,"&lt;&gt;Lucas Luiz Romero")*(35/1083),IF(C3320="Técnico II",SUMIFS($D:$D,$A:$A,$A3320,$B:$B,"&lt;&gt;Patrícia Karla de Sousa Araújo",$B:$B,"&lt;&gt;Lorena Dias de Araujo",$B:$B,"&lt;&gt;Lucas Luiz Romero")*(28/1083),IF(C3320="Técnico I",SUMIFS($D:$D,$A:$A,$A3320,$B:$B,"&lt;&gt;Patrícia Karla de Sousa Araújo",$B:$B,"&lt;&gt;Lorena Dias de Araujo",$B:$B,"&lt;&gt;Lucas Luiz Romero")*(23/1083),IF(C3320="JR",SUMIFS($D:$D,$A:$A,$A3320,$B:$B,"&lt;&gt;Patrícia Karla de Sousa Araújo",$B:$B,"&lt;&gt;Lorena Dias de Araujo",$B:$B,"&lt;&gt;Lucas Luiz Romero")*(20/1083),IF(C3320="Estágio",SUMIFS($D:$D,$A:$A,$A3320,$B:$B,"&lt;&gt;Patrícia Karla de Sousa Araújo",$B:$B,"&lt;&gt;Lorena Dias de Araujo",$B:$B,"&lt;&gt;Lucas Luiz Romero")*(10/1083),0)))))),0)</f>
        <v/>
      </c>
      <c r="K3320" s="3">
        <f>I3320-J3320</f>
        <v/>
      </c>
      <c r="L3320" s="3">
        <f>IF(K3320&lt;-5,"CRÍTICO",IF(K3320&lt;0,"ATENÇÃO",IF(K3320&lt;=5,"OPORTUNO","MUITO BOM")))</f>
        <v/>
      </c>
      <c r="N3320" t="n">
        <v>100</v>
      </c>
      <c r="O3320" t="n">
        <v>24.87562189054727</v>
      </c>
    </row>
    <row r="3321" hidden="1">
      <c r="A3321" s="11" t="n">
        <v>46105</v>
      </c>
      <c r="B3321" t="inlineStr">
        <is>
          <t>Pedro Luiz Mota Sousa</t>
        </is>
      </c>
      <c r="C3321" t="inlineStr">
        <is>
          <t>JR</t>
        </is>
      </c>
      <c r="D3321" t="n">
        <v>13</v>
      </c>
      <c r="E3321" t="n">
        <v>12</v>
      </c>
      <c r="F3321" t="n">
        <v>36.52</v>
      </c>
      <c r="G3321" t="n">
        <v>0</v>
      </c>
      <c r="H3321" t="n">
        <v>0</v>
      </c>
      <c r="I3321" s="3">
        <f>E3321+G3321+H3321</f>
        <v/>
      </c>
      <c r="J3321" s="3">
        <f>ROUND(MIN(IF(C3321="Técnico III",35,IF(C3321="Técnico II",28,IF(C3321="Técnico I",23,IF(C3321="JR",20,IF(C3321="Estágio",10,0))))),IF(C3321="Técnico III",SUMIFS($D:$D,$A:$A,$A3321,$B:$B,"&lt;&gt;Patrícia Karla de Sousa Araújo",$B:$B,"&lt;&gt;Lorena Dias de Araujo",$B:$B,"&lt;&gt;Lucas Luiz Romero")*(35/1083),IF(C3321="Técnico II",SUMIFS($D:$D,$A:$A,$A3321,$B:$B,"&lt;&gt;Patrícia Karla de Sousa Araújo",$B:$B,"&lt;&gt;Lorena Dias de Araujo",$B:$B,"&lt;&gt;Lucas Luiz Romero")*(28/1083),IF(C3321="Técnico I",SUMIFS($D:$D,$A:$A,$A3321,$B:$B,"&lt;&gt;Patrícia Karla de Sousa Araújo",$B:$B,"&lt;&gt;Lorena Dias de Araujo",$B:$B,"&lt;&gt;Lucas Luiz Romero")*(23/1083),IF(C3321="JR",SUMIFS($D:$D,$A:$A,$A3321,$B:$B,"&lt;&gt;Patrícia Karla de Sousa Araújo",$B:$B,"&lt;&gt;Lorena Dias de Araujo",$B:$B,"&lt;&gt;Lucas Luiz Romero")*(20/1083),IF(C3321="Estágio",SUMIFS($D:$D,$A:$A,$A3321,$B:$B,"&lt;&gt;Patrícia Karla de Sousa Araújo",$B:$B,"&lt;&gt;Lorena Dias de Araujo",$B:$B,"&lt;&gt;Lucas Luiz Romero")*(10/1083),0)))))),0)</f>
        <v/>
      </c>
      <c r="K3321" s="3">
        <f>I3321-J3321</f>
        <v/>
      </c>
      <c r="L3321" s="3">
        <f>IF(K3321&lt;-5,"CRÍTICO",IF(K3321&lt;0,"ATENÇÃO",IF(K3321&lt;=5,"OPORTUNO","MUITO BOM")))</f>
        <v/>
      </c>
      <c r="N3321" t="n">
        <v>100</v>
      </c>
      <c r="O3321" t="n">
        <v>28.10810810810811</v>
      </c>
    </row>
    <row r="3322" hidden="1">
      <c r="A3322" s="11" t="n">
        <v>46105</v>
      </c>
      <c r="B3322" t="inlineStr">
        <is>
          <t>Quirino Diogo Leite Torres</t>
        </is>
      </c>
      <c r="C3322" t="inlineStr">
        <is>
          <t>Estágio</t>
        </is>
      </c>
      <c r="D3322" t="n">
        <v>3</v>
      </c>
      <c r="E3322" t="n">
        <v>3</v>
      </c>
      <c r="F3322" t="n">
        <v>23.28</v>
      </c>
      <c r="G3322" t="n">
        <v>0</v>
      </c>
      <c r="H3322" t="n">
        <v>0</v>
      </c>
      <c r="I3322" s="3">
        <f>E3322+G3322+H3322</f>
        <v/>
      </c>
      <c r="J3322" s="3">
        <f>ROUND(MIN(IF(C3322="Técnico III",35,IF(C3322="Técnico II",28,IF(C3322="Técnico I",23,IF(C3322="JR",20,IF(C3322="Estágio",10,0))))),IF(C3322="Técnico III",SUMIFS($D:$D,$A:$A,$A3322,$B:$B,"&lt;&gt;Patrícia Karla de Sousa Araújo",$B:$B,"&lt;&gt;Lorena Dias de Araujo",$B:$B,"&lt;&gt;Lucas Luiz Romero")*(35/1083),IF(C3322="Técnico II",SUMIFS($D:$D,$A:$A,$A3322,$B:$B,"&lt;&gt;Patrícia Karla de Sousa Araújo",$B:$B,"&lt;&gt;Lorena Dias de Araujo",$B:$B,"&lt;&gt;Lucas Luiz Romero")*(28/1083),IF(C3322="Técnico I",SUMIFS($D:$D,$A:$A,$A3322,$B:$B,"&lt;&gt;Patrícia Karla de Sousa Araújo",$B:$B,"&lt;&gt;Lorena Dias de Araujo",$B:$B,"&lt;&gt;Lucas Luiz Romero")*(23/1083),IF(C3322="JR",SUMIFS($D:$D,$A:$A,$A3322,$B:$B,"&lt;&gt;Patrícia Karla de Sousa Araújo",$B:$B,"&lt;&gt;Lorena Dias de Araujo",$B:$B,"&lt;&gt;Lucas Luiz Romero")*(20/1083),IF(C3322="Estágio",SUMIFS($D:$D,$A:$A,$A3322,$B:$B,"&lt;&gt;Patrícia Karla de Sousa Araújo",$B:$B,"&lt;&gt;Lorena Dias de Araujo",$B:$B,"&lt;&gt;Lucas Luiz Romero")*(10/1083),0)))))),0)</f>
        <v/>
      </c>
      <c r="K3322" s="3">
        <f>I3322-J3322</f>
        <v/>
      </c>
      <c r="L3322" s="3">
        <f>IF(K3322&lt;-5,"CRÍTICO",IF(K3322&lt;0,"ATENÇÃO",IF(K3322&lt;=5,"OPORTUNO","MUITO BOM")))</f>
        <v/>
      </c>
      <c r="N3322" t="n">
        <v>100</v>
      </c>
      <c r="O3322" t="n">
        <v>35</v>
      </c>
    </row>
    <row r="3323" hidden="1">
      <c r="A3323" s="11" t="n">
        <v>46105</v>
      </c>
      <c r="B3323" t="inlineStr">
        <is>
          <t>Raane Batista Matos</t>
        </is>
      </c>
      <c r="C3323" t="inlineStr">
        <is>
          <t>Técnico I</t>
        </is>
      </c>
      <c r="D3323" t="n">
        <v>30</v>
      </c>
      <c r="E3323" t="n">
        <v>25</v>
      </c>
      <c r="F3323" t="n">
        <v>20.05</v>
      </c>
      <c r="G3323" t="n">
        <v>0</v>
      </c>
      <c r="H3323" t="n">
        <v>0</v>
      </c>
      <c r="I3323" s="3">
        <f>E3323+G3323+H3323</f>
        <v/>
      </c>
      <c r="J3323" s="3">
        <f>ROUND(MIN(IF(C3323="Técnico III",35,IF(C3323="Técnico II",28,IF(C3323="Técnico I",23,IF(C3323="JR",20,IF(C3323="Estágio",10,0))))),IF(C3323="Técnico III",SUMIFS($D:$D,$A:$A,$A3323,$B:$B,"&lt;&gt;Patrícia Karla de Sousa Araújo",$B:$B,"&lt;&gt;Lorena Dias de Araujo",$B:$B,"&lt;&gt;Lucas Luiz Romero")*(35/1083),IF(C3323="Técnico II",SUMIFS($D:$D,$A:$A,$A3323,$B:$B,"&lt;&gt;Patrícia Karla de Sousa Araújo",$B:$B,"&lt;&gt;Lorena Dias de Araujo",$B:$B,"&lt;&gt;Lucas Luiz Romero")*(28/1083),IF(C3323="Técnico I",SUMIFS($D:$D,$A:$A,$A3323,$B:$B,"&lt;&gt;Patrícia Karla de Sousa Araújo",$B:$B,"&lt;&gt;Lorena Dias de Araujo",$B:$B,"&lt;&gt;Lucas Luiz Romero")*(23/1083),IF(C3323="JR",SUMIFS($D:$D,$A:$A,$A3323,$B:$B,"&lt;&gt;Patrícia Karla de Sousa Araújo",$B:$B,"&lt;&gt;Lorena Dias de Araujo",$B:$B,"&lt;&gt;Lucas Luiz Romero")*(20/1083),IF(C3323="Estágio",SUMIFS($D:$D,$A:$A,$A3323,$B:$B,"&lt;&gt;Patrícia Karla de Sousa Araújo",$B:$B,"&lt;&gt;Lorena Dias de Araujo",$B:$B,"&lt;&gt;Lucas Luiz Romero")*(10/1083),0)))))),0)</f>
        <v/>
      </c>
      <c r="K3323" s="3">
        <f>I3323-J3323</f>
        <v/>
      </c>
      <c r="L3323" s="3">
        <f>IF(K3323&lt;-5,"CRÍTICO",IF(K3323&lt;0,"ATENÇÃO",IF(K3323&lt;=5,"OPORTUNO","MUITO BOM")))</f>
        <v/>
      </c>
      <c r="N3323" t="n">
        <v>95.34999999999999</v>
      </c>
      <c r="O3323" t="n">
        <v>28.61538461538461</v>
      </c>
    </row>
    <row r="3324" hidden="1">
      <c r="A3324" s="11" t="n">
        <v>46105</v>
      </c>
      <c r="B3324" t="inlineStr">
        <is>
          <t>Rafael Gomes de Morais</t>
        </is>
      </c>
      <c r="C3324" t="inlineStr">
        <is>
          <t>Técnico III</t>
        </is>
      </c>
      <c r="D3324" t="n">
        <v>37</v>
      </c>
      <c r="E3324" t="n">
        <v>34</v>
      </c>
      <c r="F3324" t="n">
        <v>15.27</v>
      </c>
      <c r="G3324" t="n">
        <v>0</v>
      </c>
      <c r="H3324" t="n">
        <v>0</v>
      </c>
      <c r="I3324" s="3">
        <f>E3324+G3324+H3324</f>
        <v/>
      </c>
      <c r="J3324" s="3">
        <f>ROUND(MIN(IF(C3324="Técnico III",35,IF(C3324="Técnico II",28,IF(C3324="Técnico I",23,IF(C3324="JR",20,IF(C3324="Estágio",10,0))))),IF(C3324="Técnico III",SUMIFS($D:$D,$A:$A,$A3324,$B:$B,"&lt;&gt;Patrícia Karla de Sousa Araújo",$B:$B,"&lt;&gt;Lorena Dias de Araujo",$B:$B,"&lt;&gt;Lucas Luiz Romero")*(35/1083),IF(C3324="Técnico II",SUMIFS($D:$D,$A:$A,$A3324,$B:$B,"&lt;&gt;Patrícia Karla de Sousa Araújo",$B:$B,"&lt;&gt;Lorena Dias de Araujo",$B:$B,"&lt;&gt;Lucas Luiz Romero")*(28/1083),IF(C3324="Técnico I",SUMIFS($D:$D,$A:$A,$A3324,$B:$B,"&lt;&gt;Patrícia Karla de Sousa Araújo",$B:$B,"&lt;&gt;Lorena Dias de Araujo",$B:$B,"&lt;&gt;Lucas Luiz Romero")*(23/1083),IF(C3324="JR",SUMIFS($D:$D,$A:$A,$A3324,$B:$B,"&lt;&gt;Patrícia Karla de Sousa Araújo",$B:$B,"&lt;&gt;Lorena Dias de Araujo",$B:$B,"&lt;&gt;Lucas Luiz Romero")*(20/1083),IF(C3324="Estágio",SUMIFS($D:$D,$A:$A,$A3324,$B:$B,"&lt;&gt;Patrícia Karla de Sousa Araújo",$B:$B,"&lt;&gt;Lorena Dias de Araujo",$B:$B,"&lt;&gt;Lucas Luiz Romero")*(10/1083),0)))))),0)</f>
        <v/>
      </c>
      <c r="K3324" s="3">
        <f>I3324-J3324</f>
        <v/>
      </c>
      <c r="L3324" s="3">
        <f>IF(K3324&lt;-5,"CRÍTICO",IF(K3324&lt;0,"ATENÇÃO",IF(K3324&lt;=5,"OPORTUNO","MUITO BOM")))</f>
        <v/>
      </c>
      <c r="N3324" t="n">
        <v>98.26000000000001</v>
      </c>
      <c r="O3324" t="n">
        <v>27.54491017964072</v>
      </c>
    </row>
    <row r="3325" hidden="1">
      <c r="A3325" s="11" t="n">
        <v>46105</v>
      </c>
      <c r="B3325" t="inlineStr">
        <is>
          <t>Sara Maria Monteiro Lopes</t>
        </is>
      </c>
      <c r="C3325" t="inlineStr">
        <is>
          <t>Técnico I</t>
        </is>
      </c>
      <c r="D3325" t="n">
        <v>12</v>
      </c>
      <c r="E3325" t="n">
        <v>11</v>
      </c>
      <c r="F3325" t="n">
        <v>37.35</v>
      </c>
      <c r="G3325" t="n">
        <v>0</v>
      </c>
      <c r="H3325" t="n">
        <v>0</v>
      </c>
      <c r="I3325" s="3">
        <f>E3325+G3325+H3325</f>
        <v/>
      </c>
      <c r="J3325" s="3">
        <f>ROUND(MIN(IF(C3325="Técnico III",35,IF(C3325="Técnico II",28,IF(C3325="Técnico I",23,IF(C3325="JR",20,IF(C3325="Estágio",10,0))))),IF(C3325="Técnico III",SUMIFS($D:$D,$A:$A,$A3325,$B:$B,"&lt;&gt;Patrícia Karla de Sousa Araújo",$B:$B,"&lt;&gt;Lorena Dias de Araujo",$B:$B,"&lt;&gt;Lucas Luiz Romero")*(35/1083),IF(C3325="Técnico II",SUMIFS($D:$D,$A:$A,$A3325,$B:$B,"&lt;&gt;Patrícia Karla de Sousa Araújo",$B:$B,"&lt;&gt;Lorena Dias de Araujo",$B:$B,"&lt;&gt;Lucas Luiz Romero")*(28/1083),IF(C3325="Técnico I",SUMIFS($D:$D,$A:$A,$A3325,$B:$B,"&lt;&gt;Patrícia Karla de Sousa Araújo",$B:$B,"&lt;&gt;Lorena Dias de Araujo",$B:$B,"&lt;&gt;Lucas Luiz Romero")*(23/1083),IF(C3325="JR",SUMIFS($D:$D,$A:$A,$A3325,$B:$B,"&lt;&gt;Patrícia Karla de Sousa Araújo",$B:$B,"&lt;&gt;Lorena Dias de Araujo",$B:$B,"&lt;&gt;Lucas Luiz Romero")*(20/1083),IF(C3325="Estágio",SUMIFS($D:$D,$A:$A,$A3325,$B:$B,"&lt;&gt;Patrícia Karla de Sousa Araújo",$B:$B,"&lt;&gt;Lorena Dias de Araujo",$B:$B,"&lt;&gt;Lucas Luiz Romero")*(10/1083),0)))))),0)</f>
        <v/>
      </c>
      <c r="K3325" s="3">
        <f>I3325-J3325</f>
        <v/>
      </c>
      <c r="L3325" s="3">
        <f>IF(K3325&lt;-5,"CRÍTICO",IF(K3325&lt;0,"ATENÇÃO",IF(K3325&lt;=5,"OPORTUNO","MUITO BOM")))</f>
        <v/>
      </c>
      <c r="N3325" t="n">
        <v>98.55</v>
      </c>
      <c r="O3325" t="n">
        <v>25.33783783783784</v>
      </c>
    </row>
    <row r="3326" hidden="1">
      <c r="A3326" s="11" t="n">
        <v>46105</v>
      </c>
      <c r="B3326" t="inlineStr">
        <is>
          <t>Sarah Steffanie de Lima Borges</t>
        </is>
      </c>
      <c r="C3326" t="inlineStr">
        <is>
          <t>Técnico III</t>
        </is>
      </c>
      <c r="D3326" t="n">
        <v>28</v>
      </c>
      <c r="E3326" t="n">
        <v>27</v>
      </c>
      <c r="F3326" t="n">
        <v>15.34</v>
      </c>
      <c r="G3326" t="n">
        <v>0</v>
      </c>
      <c r="H3326" t="n">
        <v>0</v>
      </c>
      <c r="I3326" s="3">
        <f>E3326+G3326+H3326</f>
        <v/>
      </c>
      <c r="J3326" s="3">
        <f>ROUND(MIN(IF(C3326="Técnico III",35,IF(C3326="Técnico II",28,IF(C3326="Técnico I",23,IF(C3326="JR",20,IF(C3326="Estágio",10,0))))),IF(C3326="Técnico III",SUMIFS($D:$D,$A:$A,$A3326,$B:$B,"&lt;&gt;Patrícia Karla de Sousa Araújo",$B:$B,"&lt;&gt;Lorena Dias de Araujo",$B:$B,"&lt;&gt;Lucas Luiz Romero")*(35/1083),IF(C3326="Técnico II",SUMIFS($D:$D,$A:$A,$A3326,$B:$B,"&lt;&gt;Patrícia Karla de Sousa Araújo",$B:$B,"&lt;&gt;Lorena Dias de Araujo",$B:$B,"&lt;&gt;Lucas Luiz Romero")*(28/1083),IF(C3326="Técnico I",SUMIFS($D:$D,$A:$A,$A3326,$B:$B,"&lt;&gt;Patrícia Karla de Sousa Araújo",$B:$B,"&lt;&gt;Lorena Dias de Araujo",$B:$B,"&lt;&gt;Lucas Luiz Romero")*(23/1083),IF(C3326="JR",SUMIFS($D:$D,$A:$A,$A3326,$B:$B,"&lt;&gt;Patrícia Karla de Sousa Araújo",$B:$B,"&lt;&gt;Lorena Dias de Araujo",$B:$B,"&lt;&gt;Lucas Luiz Romero")*(20/1083),IF(C3326="Estágio",SUMIFS($D:$D,$A:$A,$A3326,$B:$B,"&lt;&gt;Patrícia Karla de Sousa Araújo",$B:$B,"&lt;&gt;Lorena Dias de Araujo",$B:$B,"&lt;&gt;Lucas Luiz Romero")*(10/1083),0)))))),0)</f>
        <v/>
      </c>
      <c r="K3326" s="3">
        <f>I3326-J3326</f>
        <v/>
      </c>
      <c r="L3326" s="3">
        <f>IF(K3326&lt;-5,"CRÍTICO",IF(K3326&lt;0,"ATENÇÃO",IF(K3326&lt;=5,"OPORTUNO","MUITO BOM")))</f>
        <v/>
      </c>
      <c r="N3326" t="n">
        <v>98.39</v>
      </c>
      <c r="O3326" t="n">
        <v>25.56390977443609</v>
      </c>
    </row>
    <row r="3327" hidden="1">
      <c r="A3327" s="11" t="n">
        <v>46106</v>
      </c>
      <c r="B3327" t="inlineStr">
        <is>
          <t>Alisson de Freitas Silva</t>
        </is>
      </c>
      <c r="C3327" t="inlineStr">
        <is>
          <t>Técnico II</t>
        </is>
      </c>
      <c r="D3327" t="n">
        <v>26</v>
      </c>
      <c r="E3327" t="n">
        <v>18</v>
      </c>
      <c r="F3327" t="n">
        <v>10.2</v>
      </c>
      <c r="G3327" t="n">
        <v>0</v>
      </c>
      <c r="H3327" t="n">
        <v>0</v>
      </c>
      <c r="I3327" s="3">
        <f>E3327+G3327+H3327</f>
        <v/>
      </c>
      <c r="J3327" s="3">
        <f>ROUND(MIN(IF(C3327="Técnico III",35,IF(C3327="Técnico II",28,IF(C3327="Técnico I",23,IF(C3327="JR",20,IF(C3327="Estágio",10,0))))),IF(C3327="Técnico III",SUMIFS($D:$D,$A:$A,$A3327,$B:$B,"&lt;&gt;Patrícia Karla de Sousa Araújo",$B:$B,"&lt;&gt;Lorena Dias de Araujo",$B:$B,"&lt;&gt;Lucas Luiz Romero")*(35/1083),IF(C3327="Técnico II",SUMIFS($D:$D,$A:$A,$A3327,$B:$B,"&lt;&gt;Patrícia Karla de Sousa Araújo",$B:$B,"&lt;&gt;Lorena Dias de Araujo",$B:$B,"&lt;&gt;Lucas Luiz Romero")*(28/1083),IF(C3327="Técnico I",SUMIFS($D:$D,$A:$A,$A3327,$B:$B,"&lt;&gt;Patrícia Karla de Sousa Araújo",$B:$B,"&lt;&gt;Lorena Dias de Araujo",$B:$B,"&lt;&gt;Lucas Luiz Romero")*(23/1083),IF(C3327="JR",SUMIFS($D:$D,$A:$A,$A3327,$B:$B,"&lt;&gt;Patrícia Karla de Sousa Araújo",$B:$B,"&lt;&gt;Lorena Dias de Araujo",$B:$B,"&lt;&gt;Lucas Luiz Romero")*(20/1083),IF(C3327="Estágio",SUMIFS($D:$D,$A:$A,$A3327,$B:$B,"&lt;&gt;Patrícia Karla de Sousa Araújo",$B:$B,"&lt;&gt;Lorena Dias de Araujo",$B:$B,"&lt;&gt;Lucas Luiz Romero")*(10/1083),0)))))),0)</f>
        <v/>
      </c>
      <c r="K3327" s="3">
        <f>I3327-J3327</f>
        <v/>
      </c>
      <c r="L3327" s="3">
        <f>IF(K3327&lt;-5,"CRÍTICO",IF(K3327&lt;0,"ATENÇÃO",IF(K3327&lt;=5,"OPORTUNO","MUITO BOM")))</f>
        <v/>
      </c>
      <c r="N3327" t="n">
        <v>94.29000000000001</v>
      </c>
      <c r="O3327" t="n">
        <v>25.64766839378239</v>
      </c>
    </row>
    <row r="3328" hidden="1">
      <c r="A3328" s="11" t="n">
        <v>46106</v>
      </c>
      <c r="B3328" t="inlineStr">
        <is>
          <t>Amanda Moura Ferreira</t>
        </is>
      </c>
      <c r="C3328" t="inlineStr">
        <is>
          <t>Técnico III</t>
        </is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s="3" t="n">
        <v>0</v>
      </c>
      <c r="J3328" s="3" t="n">
        <v>0</v>
      </c>
      <c r="K3328" s="3" t="n">
        <v>0</v>
      </c>
      <c r="L3328" s="3">
        <f>IF(K3328&lt;-5,"CRÍTICO",IF(K3328&lt;0,"ATENÇÃO",IF(K3328&lt;=5,"OPORTUNO","MUITO BOM")))</f>
        <v/>
      </c>
      <c r="N3328" t="n">
        <v>98.26000000000001</v>
      </c>
      <c r="O3328" t="n">
        <v>26.66666666666667</v>
      </c>
    </row>
    <row r="3329" hidden="1">
      <c r="A3329" s="11" t="n">
        <v>46106</v>
      </c>
      <c r="B3329" t="inlineStr">
        <is>
          <t>Ana Karollyne Souza Faria</t>
        </is>
      </c>
      <c r="C3329" t="inlineStr">
        <is>
          <t>Técnico I</t>
        </is>
      </c>
      <c r="D3329" t="n">
        <v>18</v>
      </c>
      <c r="E3329" t="n">
        <v>18</v>
      </c>
      <c r="F3329" t="n">
        <v>25.31</v>
      </c>
      <c r="G3329" t="n">
        <v>0</v>
      </c>
      <c r="H3329" t="n">
        <v>0</v>
      </c>
      <c r="I3329" s="3">
        <f>E3329+G3329+H3329</f>
        <v/>
      </c>
      <c r="J3329" s="3">
        <f>ROUND(MIN(IF(C3329="Técnico III",35,IF(C3329="Técnico II",28,IF(C3329="Técnico I",23,IF(C3329="JR",20,IF(C3329="Estágio",10,0))))),IF(C3329="Técnico III",SUMIFS($D:$D,$A:$A,$A3329,$B:$B,"&lt;&gt;Patrícia Karla de Sousa Araújo",$B:$B,"&lt;&gt;Lorena Dias de Araujo",$B:$B,"&lt;&gt;Lucas Luiz Romero")*(35/1083),IF(C3329="Técnico II",SUMIFS($D:$D,$A:$A,$A3329,$B:$B,"&lt;&gt;Patrícia Karla de Sousa Araújo",$B:$B,"&lt;&gt;Lorena Dias de Araujo",$B:$B,"&lt;&gt;Lucas Luiz Romero")*(28/1083),IF(C3329="Técnico I",SUMIFS($D:$D,$A:$A,$A3329,$B:$B,"&lt;&gt;Patrícia Karla de Sousa Araújo",$B:$B,"&lt;&gt;Lorena Dias de Araujo",$B:$B,"&lt;&gt;Lucas Luiz Romero")*(23/1083),IF(C3329="JR",SUMIFS($D:$D,$A:$A,$A3329,$B:$B,"&lt;&gt;Patrícia Karla de Sousa Araújo",$B:$B,"&lt;&gt;Lorena Dias de Araujo",$B:$B,"&lt;&gt;Lucas Luiz Romero")*(20/1083),IF(C3329="Estágio",SUMIFS($D:$D,$A:$A,$A3329,$B:$B,"&lt;&gt;Patrícia Karla de Sousa Araújo",$B:$B,"&lt;&gt;Lorena Dias de Araujo",$B:$B,"&lt;&gt;Lucas Luiz Romero")*(10/1083),0)))))),0)</f>
        <v/>
      </c>
      <c r="K3329" s="3">
        <f>I3329-J3329</f>
        <v/>
      </c>
      <c r="L3329" s="3">
        <f>IF(K3329&lt;-5,"CRÍTICO",IF(K3329&lt;0,"ATENÇÃO",IF(K3329&lt;=5,"OPORTUNO","MUITO BOM")))</f>
        <v/>
      </c>
      <c r="N3329" t="n">
        <v>98.2</v>
      </c>
      <c r="O3329" t="n">
        <v>23.37962962962963</v>
      </c>
    </row>
    <row r="3330" hidden="1">
      <c r="A3330" s="11" t="n">
        <v>46106</v>
      </c>
      <c r="B3330" t="inlineStr">
        <is>
          <t>Ana Paula Da Luz Silva Aleixo</t>
        </is>
      </c>
      <c r="C3330" t="inlineStr">
        <is>
          <t>Técnico III</t>
        </is>
      </c>
      <c r="D3330" t="n">
        <v>23</v>
      </c>
      <c r="E3330" t="n">
        <v>22</v>
      </c>
      <c r="F3330" t="n">
        <v>22.37</v>
      </c>
      <c r="G3330" t="n">
        <v>0</v>
      </c>
      <c r="H3330" t="n">
        <v>0</v>
      </c>
      <c r="I3330" s="3">
        <f>E3330+G3330+H3330</f>
        <v/>
      </c>
      <c r="J3330" s="3">
        <f>ROUND(MIN(IF(C3330="Técnico III",35,IF(C3330="Técnico II",28,IF(C3330="Técnico I",23,IF(C3330="JR",20,IF(C3330="Estágio",10,0))))),IF(C3330="Técnico III",SUMIFS($D:$D,$A:$A,$A3330,$B:$B,"&lt;&gt;Patrícia Karla de Sousa Araújo",$B:$B,"&lt;&gt;Lorena Dias de Araujo",$B:$B,"&lt;&gt;Lucas Luiz Romero")*(35/1083),IF(C3330="Técnico II",SUMIFS($D:$D,$A:$A,$A3330,$B:$B,"&lt;&gt;Patrícia Karla de Sousa Araújo",$B:$B,"&lt;&gt;Lorena Dias de Araujo",$B:$B,"&lt;&gt;Lucas Luiz Romero")*(28/1083),IF(C3330="Técnico I",SUMIFS($D:$D,$A:$A,$A3330,$B:$B,"&lt;&gt;Patrícia Karla de Sousa Araújo",$B:$B,"&lt;&gt;Lorena Dias de Araujo",$B:$B,"&lt;&gt;Lucas Luiz Romero")*(23/1083),IF(C3330="JR",SUMIFS($D:$D,$A:$A,$A3330,$B:$B,"&lt;&gt;Patrícia Karla de Sousa Araújo",$B:$B,"&lt;&gt;Lorena Dias de Araujo",$B:$B,"&lt;&gt;Lucas Luiz Romero")*(20/1083),IF(C3330="Estágio",SUMIFS($D:$D,$A:$A,$A3330,$B:$B,"&lt;&gt;Patrícia Karla de Sousa Araújo",$B:$B,"&lt;&gt;Lorena Dias de Araujo",$B:$B,"&lt;&gt;Lucas Luiz Romero")*(10/1083),0)))))),0)</f>
        <v/>
      </c>
      <c r="K3330" s="3">
        <f>I3330-J3330</f>
        <v/>
      </c>
      <c r="L3330" s="3">
        <f>IF(K3330&lt;-5,"CRÍTICO",IF(K3330&lt;0,"ATENÇÃO",IF(K3330&lt;=5,"OPORTUNO","MUITO BOM")))</f>
        <v/>
      </c>
      <c r="N3330" t="n">
        <v>97.3</v>
      </c>
      <c r="O3330" t="n">
        <v>23.84769539078156</v>
      </c>
    </row>
    <row r="3331" hidden="1">
      <c r="A3331" s="11" t="n">
        <v>46106</v>
      </c>
      <c r="B3331" t="inlineStr">
        <is>
          <t>Anna Luiza Rezende Tavares</t>
        </is>
      </c>
      <c r="C3331" t="inlineStr">
        <is>
          <t>Estágio</t>
        </is>
      </c>
      <c r="D3331" t="n">
        <v>10</v>
      </c>
      <c r="E3331" t="n">
        <v>9</v>
      </c>
      <c r="F3331" t="n">
        <v>33.36</v>
      </c>
      <c r="G3331" t="n">
        <v>0</v>
      </c>
      <c r="H3331" t="n">
        <v>0</v>
      </c>
      <c r="I3331" s="3">
        <f>E3331+G3331+H3331</f>
        <v/>
      </c>
      <c r="J3331" s="3">
        <f>ROUND(MIN(IF(C3331="Técnico III",35,IF(C3331="Técnico II",28,IF(C3331="Técnico I",23,IF(C3331="JR",20,IF(C3331="Estágio",10,0))))),IF(C3331="Técnico III",SUMIFS($D:$D,$A:$A,$A3331,$B:$B,"&lt;&gt;Patrícia Karla de Sousa Araújo",$B:$B,"&lt;&gt;Lorena Dias de Araujo",$B:$B,"&lt;&gt;Lucas Luiz Romero")*(35/1083),IF(C3331="Técnico II",SUMIFS($D:$D,$A:$A,$A3331,$B:$B,"&lt;&gt;Patrícia Karla de Sousa Araújo",$B:$B,"&lt;&gt;Lorena Dias de Araujo",$B:$B,"&lt;&gt;Lucas Luiz Romero")*(28/1083),IF(C3331="Técnico I",SUMIFS($D:$D,$A:$A,$A3331,$B:$B,"&lt;&gt;Patrícia Karla de Sousa Araújo",$B:$B,"&lt;&gt;Lorena Dias de Araujo",$B:$B,"&lt;&gt;Lucas Luiz Romero")*(23/1083),IF(C3331="JR",SUMIFS($D:$D,$A:$A,$A3331,$B:$B,"&lt;&gt;Patrícia Karla de Sousa Araújo",$B:$B,"&lt;&gt;Lorena Dias de Araujo",$B:$B,"&lt;&gt;Lucas Luiz Romero")*(20/1083),IF(C3331="Estágio",SUMIFS($D:$D,$A:$A,$A3331,$B:$B,"&lt;&gt;Patrícia Karla de Sousa Araújo",$B:$B,"&lt;&gt;Lorena Dias de Araujo",$B:$B,"&lt;&gt;Lucas Luiz Romero")*(10/1083),0)))))),0)</f>
        <v/>
      </c>
      <c r="K3331" s="3">
        <f>I3331-J3331</f>
        <v/>
      </c>
      <c r="L3331" s="3">
        <f>IF(K3331&lt;-5,"CRÍTICO",IF(K3331&lt;0,"ATENÇÃO",IF(K3331&lt;=5,"OPORTUNO","MUITO BOM")))</f>
        <v/>
      </c>
      <c r="N3331" t="n">
        <v>100</v>
      </c>
      <c r="O3331" t="n">
        <v>25.26881720430108</v>
      </c>
    </row>
    <row r="3332" hidden="1">
      <c r="A3332" s="11" t="n">
        <v>46106</v>
      </c>
      <c r="B3332" t="inlineStr">
        <is>
          <t>Brenda de Menezes Silva</t>
        </is>
      </c>
      <c r="C3332" t="inlineStr">
        <is>
          <t>Técnico II</t>
        </is>
      </c>
      <c r="D3332" t="n">
        <v>32</v>
      </c>
      <c r="E3332" t="n">
        <v>29</v>
      </c>
      <c r="F3332" t="n">
        <v>10.56</v>
      </c>
      <c r="G3332" t="n">
        <v>0</v>
      </c>
      <c r="H3332" t="n">
        <v>0</v>
      </c>
      <c r="I3332" s="3">
        <f>E3332+G3332+H3332</f>
        <v/>
      </c>
      <c r="J3332" s="3">
        <f>ROUND(MIN(IF(C3332="Técnico III",35,IF(C3332="Técnico II",28,IF(C3332="Técnico I",23,IF(C3332="JR",20,IF(C3332="Estágio",10,0))))),IF(C3332="Técnico III",SUMIFS($D:$D,$A:$A,$A3332,$B:$B,"&lt;&gt;Patrícia Karla de Sousa Araújo",$B:$B,"&lt;&gt;Lorena Dias de Araujo",$B:$B,"&lt;&gt;Lucas Luiz Romero")*(35/1083),IF(C3332="Técnico II",SUMIFS($D:$D,$A:$A,$A3332,$B:$B,"&lt;&gt;Patrícia Karla de Sousa Araújo",$B:$B,"&lt;&gt;Lorena Dias de Araujo",$B:$B,"&lt;&gt;Lucas Luiz Romero")*(28/1083),IF(C3332="Técnico I",SUMIFS($D:$D,$A:$A,$A3332,$B:$B,"&lt;&gt;Patrícia Karla de Sousa Araújo",$B:$B,"&lt;&gt;Lorena Dias de Araujo",$B:$B,"&lt;&gt;Lucas Luiz Romero")*(23/1083),IF(C3332="JR",SUMIFS($D:$D,$A:$A,$A3332,$B:$B,"&lt;&gt;Patrícia Karla de Sousa Araújo",$B:$B,"&lt;&gt;Lorena Dias de Araujo",$B:$B,"&lt;&gt;Lucas Luiz Romero")*(20/1083),IF(C3332="Estágio",SUMIFS($D:$D,$A:$A,$A3332,$B:$B,"&lt;&gt;Patrícia Karla de Sousa Araújo",$B:$B,"&lt;&gt;Lorena Dias de Araujo",$B:$B,"&lt;&gt;Lucas Luiz Romero")*(10/1083),0)))))),0)</f>
        <v/>
      </c>
      <c r="K3332" s="3">
        <f>I3332-J3332</f>
        <v/>
      </c>
      <c r="L3332" s="3">
        <f>IF(K3332&lt;-5,"CRÍTICO",IF(K3332&lt;0,"ATENÇÃO",IF(K3332&lt;=5,"OPORTUNO","MUITO BOM")))</f>
        <v/>
      </c>
      <c r="N3332" t="n">
        <v>99.31999999999999</v>
      </c>
      <c r="O3332" t="n">
        <v>22.82282282282282</v>
      </c>
    </row>
    <row r="3333" hidden="1">
      <c r="A3333" s="11" t="n">
        <v>46106</v>
      </c>
      <c r="B3333" t="inlineStr">
        <is>
          <t>Carlos Mateus Cassimiro Nunes</t>
        </is>
      </c>
      <c r="C3333" t="inlineStr">
        <is>
          <t>Técnico II</t>
        </is>
      </c>
      <c r="D3333" t="n">
        <v>18</v>
      </c>
      <c r="E3333" t="n">
        <v>18</v>
      </c>
      <c r="F3333" t="n">
        <v>27.36</v>
      </c>
      <c r="G3333" t="n">
        <v>0</v>
      </c>
      <c r="H3333" t="n">
        <v>0</v>
      </c>
      <c r="I3333" s="3">
        <f>E3333+G3333+H3333</f>
        <v/>
      </c>
      <c r="J3333" s="3">
        <f>ROUND(MIN(IF(C3333="Técnico III",35,IF(C3333="Técnico II",28,IF(C3333="Técnico I",23,IF(C3333="JR",20,IF(C3333="Estágio",10,0))))),IF(C3333="Técnico III",SUMIFS($D:$D,$A:$A,$A3333,$B:$B,"&lt;&gt;Patrícia Karla de Sousa Araújo",$B:$B,"&lt;&gt;Lorena Dias de Araujo",$B:$B,"&lt;&gt;Lucas Luiz Romero")*(35/1083),IF(C3333="Técnico II",SUMIFS($D:$D,$A:$A,$A3333,$B:$B,"&lt;&gt;Patrícia Karla de Sousa Araújo",$B:$B,"&lt;&gt;Lorena Dias de Araujo",$B:$B,"&lt;&gt;Lucas Luiz Romero")*(28/1083),IF(C3333="Técnico I",SUMIFS($D:$D,$A:$A,$A3333,$B:$B,"&lt;&gt;Patrícia Karla de Sousa Araújo",$B:$B,"&lt;&gt;Lorena Dias de Araujo",$B:$B,"&lt;&gt;Lucas Luiz Romero")*(23/1083),IF(C3333="JR",SUMIFS($D:$D,$A:$A,$A3333,$B:$B,"&lt;&gt;Patrícia Karla de Sousa Araújo",$B:$B,"&lt;&gt;Lorena Dias de Araujo",$B:$B,"&lt;&gt;Lucas Luiz Romero")*(20/1083),IF(C3333="Estágio",SUMIFS($D:$D,$A:$A,$A3333,$B:$B,"&lt;&gt;Patrícia Karla de Sousa Araújo",$B:$B,"&lt;&gt;Lorena Dias de Araujo",$B:$B,"&lt;&gt;Lucas Luiz Romero")*(10/1083),0)))))),0)</f>
        <v/>
      </c>
      <c r="K3333" s="3">
        <f>I3333-J3333</f>
        <v/>
      </c>
      <c r="L3333" s="3">
        <f>IF(K3333&lt;-5,"CRÍTICO",IF(K3333&lt;0,"ATENÇÃO",IF(K3333&lt;=5,"OPORTUNO","MUITO BOM")))</f>
        <v/>
      </c>
      <c r="N3333" t="n">
        <v>100</v>
      </c>
      <c r="O3333" t="n">
        <v>27.96610169491525</v>
      </c>
    </row>
    <row r="3334" hidden="1">
      <c r="A3334" s="11" t="n">
        <v>46106</v>
      </c>
      <c r="B3334" t="inlineStr">
        <is>
          <t>Claudio de Sousa Velasco Filho</t>
        </is>
      </c>
      <c r="C3334" t="inlineStr">
        <is>
          <t>Estágio</t>
        </is>
      </c>
      <c r="D3334" t="n">
        <v>4</v>
      </c>
      <c r="E3334" t="n">
        <v>4</v>
      </c>
      <c r="F3334" t="n">
        <v>24.17</v>
      </c>
      <c r="G3334" t="n">
        <v>0</v>
      </c>
      <c r="H3334" t="n">
        <v>0</v>
      </c>
      <c r="I3334" s="3">
        <f>E3334+G3334+H3334</f>
        <v/>
      </c>
      <c r="J3334" s="3">
        <f>ROUND(MIN(IF(C3334="Técnico III",35,IF(C3334="Técnico II",28,IF(C3334="Técnico I",23,IF(C3334="JR",20,IF(C3334="Estágio",10,0))))),IF(C3334="Técnico III",SUMIFS($D:$D,$A:$A,$A3334,$B:$B,"&lt;&gt;Patrícia Karla de Sousa Araújo",$B:$B,"&lt;&gt;Lorena Dias de Araujo",$B:$B,"&lt;&gt;Lucas Luiz Romero")*(35/1083),IF(C3334="Técnico II",SUMIFS($D:$D,$A:$A,$A3334,$B:$B,"&lt;&gt;Patrícia Karla de Sousa Araújo",$B:$B,"&lt;&gt;Lorena Dias de Araujo",$B:$B,"&lt;&gt;Lucas Luiz Romero")*(28/1083),IF(C3334="Técnico I",SUMIFS($D:$D,$A:$A,$A3334,$B:$B,"&lt;&gt;Patrícia Karla de Sousa Araújo",$B:$B,"&lt;&gt;Lorena Dias de Araujo",$B:$B,"&lt;&gt;Lucas Luiz Romero")*(23/1083),IF(C3334="JR",SUMIFS($D:$D,$A:$A,$A3334,$B:$B,"&lt;&gt;Patrícia Karla de Sousa Araújo",$B:$B,"&lt;&gt;Lorena Dias de Araujo",$B:$B,"&lt;&gt;Lucas Luiz Romero")*(20/1083),IF(C3334="Estágio",SUMIFS($D:$D,$A:$A,$A3334,$B:$B,"&lt;&gt;Patrícia Karla de Sousa Araújo",$B:$B,"&lt;&gt;Lorena Dias de Araujo",$B:$B,"&lt;&gt;Lucas Luiz Romero")*(10/1083),0)))))),0)</f>
        <v/>
      </c>
      <c r="K3334" s="3">
        <f>I3334-J3334</f>
        <v/>
      </c>
      <c r="L3334" s="3">
        <f>IF(K3334&lt;-5,"CRÍTICO",IF(K3334&lt;0,"ATENÇÃO",IF(K3334&lt;=5,"OPORTUNO","MUITO BOM")))</f>
        <v/>
      </c>
      <c r="N3334" t="n">
        <v>100</v>
      </c>
      <c r="O3334" t="n">
        <v>30.43478260869566</v>
      </c>
    </row>
    <row r="3335" hidden="1">
      <c r="A3335" s="11" t="n">
        <v>46106</v>
      </c>
      <c r="B3335" t="inlineStr">
        <is>
          <t>Clessiane Pereira dos Santos</t>
        </is>
      </c>
      <c r="C3335" t="inlineStr">
        <is>
          <t>Técnico I</t>
        </is>
      </c>
      <c r="D3335" t="n">
        <v>20</v>
      </c>
      <c r="E3335" t="n">
        <v>20</v>
      </c>
      <c r="F3335" t="n">
        <v>21.42</v>
      </c>
      <c r="G3335" t="n">
        <v>0</v>
      </c>
      <c r="H3335" t="n">
        <v>0</v>
      </c>
      <c r="I3335" s="3">
        <f>E3335+G3335+H3335</f>
        <v/>
      </c>
      <c r="J3335" s="3">
        <f>ROUND(MIN(IF(C3335="Técnico III",35,IF(C3335="Técnico II",28,IF(C3335="Técnico I",23,IF(C3335="JR",20,IF(C3335="Estágio",10,0))))),IF(C3335="Técnico III",SUMIFS($D:$D,$A:$A,$A3335,$B:$B,"&lt;&gt;Patrícia Karla de Sousa Araújo",$B:$B,"&lt;&gt;Lorena Dias de Araujo",$B:$B,"&lt;&gt;Lucas Luiz Romero")*(35/1083),IF(C3335="Técnico II",SUMIFS($D:$D,$A:$A,$A3335,$B:$B,"&lt;&gt;Patrícia Karla de Sousa Araújo",$B:$B,"&lt;&gt;Lorena Dias de Araujo",$B:$B,"&lt;&gt;Lucas Luiz Romero")*(28/1083),IF(C3335="Técnico I",SUMIFS($D:$D,$A:$A,$A3335,$B:$B,"&lt;&gt;Patrícia Karla de Sousa Araújo",$B:$B,"&lt;&gt;Lorena Dias de Araujo",$B:$B,"&lt;&gt;Lucas Luiz Romero")*(23/1083),IF(C3335="JR",SUMIFS($D:$D,$A:$A,$A3335,$B:$B,"&lt;&gt;Patrícia Karla de Sousa Araújo",$B:$B,"&lt;&gt;Lorena Dias de Araujo",$B:$B,"&lt;&gt;Lucas Luiz Romero")*(20/1083),IF(C3335="Estágio",SUMIFS($D:$D,$A:$A,$A3335,$B:$B,"&lt;&gt;Patrícia Karla de Sousa Araújo",$B:$B,"&lt;&gt;Lorena Dias de Araujo",$B:$B,"&lt;&gt;Lucas Luiz Romero")*(10/1083),0)))))),0)</f>
        <v/>
      </c>
      <c r="K3335" s="3">
        <f>I3335-J3335</f>
        <v/>
      </c>
      <c r="L3335" s="3">
        <f>IF(K3335&lt;-5,"CRÍTICO",IF(K3335&lt;0,"ATENÇÃO",IF(K3335&lt;=5,"OPORTUNO","MUITO BOM")))</f>
        <v/>
      </c>
      <c r="N3335" t="n">
        <v>96.51000000000001</v>
      </c>
      <c r="O3335" t="n">
        <v>22.80285035629454</v>
      </c>
    </row>
    <row r="3336" hidden="1">
      <c r="A3336" s="11" t="n">
        <v>46106</v>
      </c>
      <c r="B3336" t="inlineStr">
        <is>
          <t>Cristiane Ramos da Silva Rocha</t>
        </is>
      </c>
      <c r="C3336" t="inlineStr">
        <is>
          <t>Técnico III</t>
        </is>
      </c>
      <c r="D3336" t="n">
        <v>30</v>
      </c>
      <c r="E3336" t="n">
        <v>27</v>
      </c>
      <c r="F3336" t="n">
        <v>12.2</v>
      </c>
      <c r="G3336" t="n">
        <v>0</v>
      </c>
      <c r="H3336" t="n">
        <v>0</v>
      </c>
      <c r="I3336" s="3">
        <f>E3336+G3336+H3336</f>
        <v/>
      </c>
      <c r="J3336" s="3">
        <f>ROUND(MIN(IF(C3336="Técnico III",35,IF(C3336="Técnico II",28,IF(C3336="Técnico I",23,IF(C3336="JR",20,IF(C3336="Estágio",10,0))))),IF(C3336="Técnico III",SUMIFS($D:$D,$A:$A,$A3336,$B:$B,"&lt;&gt;Patrícia Karla de Sousa Araújo",$B:$B,"&lt;&gt;Lorena Dias de Araujo",$B:$B,"&lt;&gt;Lucas Luiz Romero")*(35/1083),IF(C3336="Técnico II",SUMIFS($D:$D,$A:$A,$A3336,$B:$B,"&lt;&gt;Patrícia Karla de Sousa Araújo",$B:$B,"&lt;&gt;Lorena Dias de Araujo",$B:$B,"&lt;&gt;Lucas Luiz Romero")*(28/1083),IF(C3336="Técnico I",SUMIFS($D:$D,$A:$A,$A3336,$B:$B,"&lt;&gt;Patrícia Karla de Sousa Araújo",$B:$B,"&lt;&gt;Lorena Dias de Araujo",$B:$B,"&lt;&gt;Lucas Luiz Romero")*(23/1083),IF(C3336="JR",SUMIFS($D:$D,$A:$A,$A3336,$B:$B,"&lt;&gt;Patrícia Karla de Sousa Araújo",$B:$B,"&lt;&gt;Lorena Dias de Araujo",$B:$B,"&lt;&gt;Lucas Luiz Romero")*(20/1083),IF(C3336="Estágio",SUMIFS($D:$D,$A:$A,$A3336,$B:$B,"&lt;&gt;Patrícia Karla de Sousa Araújo",$B:$B,"&lt;&gt;Lorena Dias de Araujo",$B:$B,"&lt;&gt;Lucas Luiz Romero")*(10/1083),0)))))),0)</f>
        <v/>
      </c>
      <c r="K3336" s="3">
        <f>I3336-J3336</f>
        <v/>
      </c>
      <c r="L3336" s="3">
        <f>IF(K3336&lt;-5,"CRÍTICO",IF(K3336&lt;0,"ATENÇÃO",IF(K3336&lt;=5,"OPORTUNO","MUITO BOM")))</f>
        <v/>
      </c>
      <c r="N3336" t="n">
        <v>92.68000000000001</v>
      </c>
      <c r="O3336" t="n">
        <v>27.77777777777778</v>
      </c>
    </row>
    <row r="3337" hidden="1">
      <c r="A3337" s="11" t="n">
        <v>46106</v>
      </c>
      <c r="B3337" t="inlineStr">
        <is>
          <t>Damyllis Lorraine de Oliveira Gonçalves</t>
        </is>
      </c>
      <c r="C3337" t="inlineStr">
        <is>
          <t>Técnico II</t>
        </is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s="3" t="n">
        <v>0</v>
      </c>
      <c r="J3337" s="3" t="n">
        <v>0</v>
      </c>
      <c r="K3337" s="3" t="n">
        <v>0</v>
      </c>
      <c r="L3337" s="3">
        <f>IF(K3337&lt;-5,"CRÍTICO",IF(K3337&lt;0,"ATENÇÃO",IF(K3337&lt;=5,"OPORTUNO","MUITO BOM")))</f>
        <v/>
      </c>
      <c r="N3337" t="n">
        <v>99.03</v>
      </c>
      <c r="O3337" t="n">
        <v>23.99150743099788</v>
      </c>
    </row>
    <row r="3338" hidden="1">
      <c r="A3338" s="11" t="n">
        <v>46106</v>
      </c>
      <c r="B3338" t="inlineStr">
        <is>
          <t>Daniel Gomes da Silva</t>
        </is>
      </c>
      <c r="C3338" t="inlineStr">
        <is>
          <t>Técnico I</t>
        </is>
      </c>
      <c r="D3338" t="n">
        <v>20</v>
      </c>
      <c r="E3338" t="n">
        <v>20</v>
      </c>
      <c r="F3338" t="n">
        <v>23.46</v>
      </c>
      <c r="G3338" t="n">
        <v>0</v>
      </c>
      <c r="H3338" t="n">
        <v>0</v>
      </c>
      <c r="I3338" s="3">
        <f>E3338+G3338+H3338</f>
        <v/>
      </c>
      <c r="J3338" s="3">
        <f>ROUND(MIN(IF(C3338="Técnico III",35,IF(C3338="Técnico II",28,IF(C3338="Técnico I",23,IF(C3338="JR",20,IF(C3338="Estágio",10,0))))),IF(C3338="Técnico III",SUMIFS($D:$D,$A:$A,$A3338,$B:$B,"&lt;&gt;Patrícia Karla de Sousa Araújo",$B:$B,"&lt;&gt;Lorena Dias de Araujo",$B:$B,"&lt;&gt;Lucas Luiz Romero")*(35/1083),IF(C3338="Técnico II",SUMIFS($D:$D,$A:$A,$A3338,$B:$B,"&lt;&gt;Patrícia Karla de Sousa Araújo",$B:$B,"&lt;&gt;Lorena Dias de Araujo",$B:$B,"&lt;&gt;Lucas Luiz Romero")*(28/1083),IF(C3338="Técnico I",SUMIFS($D:$D,$A:$A,$A3338,$B:$B,"&lt;&gt;Patrícia Karla de Sousa Araújo",$B:$B,"&lt;&gt;Lorena Dias de Araujo",$B:$B,"&lt;&gt;Lucas Luiz Romero")*(23/1083),IF(C3338="JR",SUMIFS($D:$D,$A:$A,$A3338,$B:$B,"&lt;&gt;Patrícia Karla de Sousa Araújo",$B:$B,"&lt;&gt;Lorena Dias de Araujo",$B:$B,"&lt;&gt;Lucas Luiz Romero")*(20/1083),IF(C3338="Estágio",SUMIFS($D:$D,$A:$A,$A3338,$B:$B,"&lt;&gt;Patrícia Karla de Sousa Araújo",$B:$B,"&lt;&gt;Lorena Dias de Araujo",$B:$B,"&lt;&gt;Lucas Luiz Romero")*(10/1083),0)))))),0)</f>
        <v/>
      </c>
      <c r="K3338" s="3">
        <f>I3338-J3338</f>
        <v/>
      </c>
      <c r="L3338" s="3">
        <f>IF(K3338&lt;-5,"CRÍTICO",IF(K3338&lt;0,"ATENÇÃO",IF(K3338&lt;=5,"OPORTUNO","MUITO BOM")))</f>
        <v/>
      </c>
      <c r="N3338" t="n">
        <v>98.41</v>
      </c>
      <c r="O3338" t="n">
        <v>28.13852813852814</v>
      </c>
    </row>
    <row r="3339" hidden="1">
      <c r="A3339" s="11" t="n">
        <v>46106</v>
      </c>
      <c r="B3339" t="inlineStr">
        <is>
          <t>Davylla Rodrigues Freitas Silva</t>
        </is>
      </c>
      <c r="C3339" t="inlineStr">
        <is>
          <t>Técnico III</t>
        </is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s="3" t="n">
        <v>0</v>
      </c>
      <c r="J3339" s="3" t="n">
        <v>0</v>
      </c>
      <c r="K3339" s="3" t="n">
        <v>0</v>
      </c>
      <c r="L3339" s="3">
        <f>IF(K3339&lt;-5,"CRÍTICO",IF(K3339&lt;0,"ATENÇÃO",IF(K3339&lt;=5,"OPORTUNO","MUITO BOM")))</f>
        <v/>
      </c>
      <c r="N3339" t="n">
        <v>98.73</v>
      </c>
      <c r="O3339" t="n">
        <v>29.14285714285714</v>
      </c>
    </row>
    <row r="3340" hidden="1">
      <c r="A3340" s="11" t="n">
        <v>46106</v>
      </c>
      <c r="B3340" t="inlineStr">
        <is>
          <t>Emilly Caylane Costa</t>
        </is>
      </c>
      <c r="C3340" t="inlineStr">
        <is>
          <t>Estágio</t>
        </is>
      </c>
      <c r="D3340" t="n">
        <v>7</v>
      </c>
      <c r="E3340" t="n">
        <v>7</v>
      </c>
      <c r="F3340" t="n">
        <v>43.54</v>
      </c>
      <c r="G3340" t="n">
        <v>0</v>
      </c>
      <c r="H3340" t="n">
        <v>0</v>
      </c>
      <c r="I3340" s="3">
        <f>E3340+G3340+H3340</f>
        <v/>
      </c>
      <c r="J3340" s="3">
        <f>ROUND(MIN(IF(C3340="Técnico III",35,IF(C3340="Técnico II",28,IF(C3340="Técnico I",23,IF(C3340="JR",20,IF(C3340="Estágio",10,0))))),IF(C3340="Técnico III",SUMIFS($D:$D,$A:$A,$A3340,$B:$B,"&lt;&gt;Patrícia Karla de Sousa Araújo",$B:$B,"&lt;&gt;Lorena Dias de Araujo",$B:$B,"&lt;&gt;Lucas Luiz Romero")*(35/1083),IF(C3340="Técnico II",SUMIFS($D:$D,$A:$A,$A3340,$B:$B,"&lt;&gt;Patrícia Karla de Sousa Araújo",$B:$B,"&lt;&gt;Lorena Dias de Araujo",$B:$B,"&lt;&gt;Lucas Luiz Romero")*(28/1083),IF(C3340="Técnico I",SUMIFS($D:$D,$A:$A,$A3340,$B:$B,"&lt;&gt;Patrícia Karla de Sousa Araújo",$B:$B,"&lt;&gt;Lorena Dias de Araujo",$B:$B,"&lt;&gt;Lucas Luiz Romero")*(23/1083),IF(C3340="JR",SUMIFS($D:$D,$A:$A,$A3340,$B:$B,"&lt;&gt;Patrícia Karla de Sousa Araújo",$B:$B,"&lt;&gt;Lorena Dias de Araujo",$B:$B,"&lt;&gt;Lucas Luiz Romero")*(20/1083),IF(C3340="Estágio",SUMIFS($D:$D,$A:$A,$A3340,$B:$B,"&lt;&gt;Patrícia Karla de Sousa Araújo",$B:$B,"&lt;&gt;Lorena Dias de Araujo",$B:$B,"&lt;&gt;Lucas Luiz Romero")*(10/1083),0)))))),0)</f>
        <v/>
      </c>
      <c r="K3340" s="3">
        <f>I3340-J3340</f>
        <v/>
      </c>
      <c r="L3340" s="3">
        <f>IF(K3340&lt;-5,"CRÍTICO",IF(K3340&lt;0,"ATENÇÃO",IF(K3340&lt;=5,"OPORTUNO","MUITO BOM")))</f>
        <v/>
      </c>
      <c r="N3340" t="n">
        <v>90.48</v>
      </c>
      <c r="O3340" t="n">
        <v>20.68965517241379</v>
      </c>
    </row>
    <row r="3341" hidden="1">
      <c r="A3341" s="11" t="n">
        <v>46106</v>
      </c>
      <c r="B3341" t="inlineStr">
        <is>
          <t>Emilly Kamilly Medeiros Miranda</t>
        </is>
      </c>
      <c r="C3341" t="inlineStr">
        <is>
          <t>Técnico II</t>
        </is>
      </c>
      <c r="D3341" t="n">
        <v>23</v>
      </c>
      <c r="E3341" t="n">
        <v>23</v>
      </c>
      <c r="F3341" t="n">
        <v>20.33</v>
      </c>
      <c r="G3341" t="n">
        <v>0</v>
      </c>
      <c r="H3341" t="n">
        <v>0</v>
      </c>
      <c r="I3341" s="3">
        <f>E3341+G3341+H3341</f>
        <v/>
      </c>
      <c r="J3341" s="3">
        <f>ROUND(MIN(IF(C3341="Técnico III",35,IF(C3341="Técnico II",28,IF(C3341="Técnico I",23,IF(C3341="JR",20,IF(C3341="Estágio",10,0))))),IF(C3341="Técnico III",SUMIFS($D:$D,$A:$A,$A3341,$B:$B,"&lt;&gt;Patrícia Karla de Sousa Araújo",$B:$B,"&lt;&gt;Lorena Dias de Araujo",$B:$B,"&lt;&gt;Lucas Luiz Romero")*(35/1083),IF(C3341="Técnico II",SUMIFS($D:$D,$A:$A,$A3341,$B:$B,"&lt;&gt;Patrícia Karla de Sousa Araújo",$B:$B,"&lt;&gt;Lorena Dias de Araujo",$B:$B,"&lt;&gt;Lucas Luiz Romero")*(28/1083),IF(C3341="Técnico I",SUMIFS($D:$D,$A:$A,$A3341,$B:$B,"&lt;&gt;Patrícia Karla de Sousa Araújo",$B:$B,"&lt;&gt;Lorena Dias de Araujo",$B:$B,"&lt;&gt;Lucas Luiz Romero")*(23/1083),IF(C3341="JR",SUMIFS($D:$D,$A:$A,$A3341,$B:$B,"&lt;&gt;Patrícia Karla de Sousa Araújo",$B:$B,"&lt;&gt;Lorena Dias de Araujo",$B:$B,"&lt;&gt;Lucas Luiz Romero")*(20/1083),IF(C3341="Estágio",SUMIFS($D:$D,$A:$A,$A3341,$B:$B,"&lt;&gt;Patrícia Karla de Sousa Araújo",$B:$B,"&lt;&gt;Lorena Dias de Araujo",$B:$B,"&lt;&gt;Lucas Luiz Romero")*(10/1083),0)))))),0)</f>
        <v/>
      </c>
      <c r="K3341" s="3">
        <f>I3341-J3341</f>
        <v/>
      </c>
      <c r="L3341" s="3">
        <f>IF(K3341&lt;-5,"CRÍTICO",IF(K3341&lt;0,"ATENÇÃO",IF(K3341&lt;=5,"OPORTUNO","MUITO BOM")))</f>
        <v/>
      </c>
      <c r="N3341" t="n">
        <v>98.06</v>
      </c>
      <c r="O3341" t="n">
        <v>24.78991596638656</v>
      </c>
    </row>
    <row r="3342" hidden="1">
      <c r="A3342" s="11" t="n">
        <v>46106</v>
      </c>
      <c r="B3342" t="inlineStr">
        <is>
          <t>Francielson de Oliveira</t>
        </is>
      </c>
      <c r="C3342" t="inlineStr">
        <is>
          <t>Técnico III</t>
        </is>
      </c>
      <c r="D3342" t="n">
        <v>20</v>
      </c>
      <c r="E3342" t="n">
        <v>19</v>
      </c>
      <c r="F3342" t="n">
        <v>18.57</v>
      </c>
      <c r="G3342" t="n">
        <v>0</v>
      </c>
      <c r="H3342" t="n">
        <v>0</v>
      </c>
      <c r="I3342" s="3">
        <f>E3342+G3342+H3342</f>
        <v/>
      </c>
      <c r="J3342" s="3">
        <f>ROUND(MIN(IF(C3342="Técnico III",35,IF(C3342="Técnico II",28,IF(C3342="Técnico I",23,IF(C3342="JR",20,IF(C3342="Estágio",10,0))))),IF(C3342="Técnico III",SUMIFS($D:$D,$A:$A,$A3342,$B:$B,"&lt;&gt;Patrícia Karla de Sousa Araújo",$B:$B,"&lt;&gt;Lorena Dias de Araujo",$B:$B,"&lt;&gt;Lucas Luiz Romero")*(35/1083),IF(C3342="Técnico II",SUMIFS($D:$D,$A:$A,$A3342,$B:$B,"&lt;&gt;Patrícia Karla de Sousa Araújo",$B:$B,"&lt;&gt;Lorena Dias de Araujo",$B:$B,"&lt;&gt;Lucas Luiz Romero")*(28/1083),IF(C3342="Técnico I",SUMIFS($D:$D,$A:$A,$A3342,$B:$B,"&lt;&gt;Patrícia Karla de Sousa Araújo",$B:$B,"&lt;&gt;Lorena Dias de Araujo",$B:$B,"&lt;&gt;Lucas Luiz Romero")*(23/1083),IF(C3342="JR",SUMIFS($D:$D,$A:$A,$A3342,$B:$B,"&lt;&gt;Patrícia Karla de Sousa Araújo",$B:$B,"&lt;&gt;Lorena Dias de Araujo",$B:$B,"&lt;&gt;Lucas Luiz Romero")*(20/1083),IF(C3342="Estágio",SUMIFS($D:$D,$A:$A,$A3342,$B:$B,"&lt;&gt;Patrícia Karla de Sousa Araújo",$B:$B,"&lt;&gt;Lorena Dias de Araujo",$B:$B,"&lt;&gt;Lucas Luiz Romero")*(10/1083),0)))))),0)</f>
        <v/>
      </c>
      <c r="K3342" s="3">
        <f>I3342-J3342</f>
        <v/>
      </c>
      <c r="L3342" s="3">
        <f>IF(K3342&lt;-5,"CRÍTICO",IF(K3342&lt;0,"ATENÇÃO",IF(K3342&lt;=5,"OPORTUNO","MUITO BOM")))</f>
        <v/>
      </c>
      <c r="N3342" t="n">
        <v>97.78</v>
      </c>
      <c r="O3342" t="n">
        <v>25.49407114624506</v>
      </c>
    </row>
    <row r="3343" hidden="1">
      <c r="A3343" s="11" t="n">
        <v>46106</v>
      </c>
      <c r="B3343" t="inlineStr">
        <is>
          <t>Francilene Ferreira de Jesus</t>
        </is>
      </c>
      <c r="C3343" t="inlineStr">
        <is>
          <t>Técnico II</t>
        </is>
      </c>
      <c r="D3343" t="n">
        <v>19</v>
      </c>
      <c r="E3343" t="n">
        <v>17</v>
      </c>
      <c r="F3343" t="n">
        <v>23.57</v>
      </c>
      <c r="G3343" t="n">
        <v>0</v>
      </c>
      <c r="H3343" t="n">
        <v>0</v>
      </c>
      <c r="I3343" s="3">
        <f>E3343+G3343+H3343</f>
        <v/>
      </c>
      <c r="J3343" s="3">
        <f>ROUND(MIN(IF(C3343="Técnico III",35,IF(C3343="Técnico II",28,IF(C3343="Técnico I",23,IF(C3343="JR",20,IF(C3343="Estágio",10,0))))),IF(C3343="Técnico III",SUMIFS($D:$D,$A:$A,$A3343,$B:$B,"&lt;&gt;Patrícia Karla de Sousa Araújo",$B:$B,"&lt;&gt;Lorena Dias de Araujo",$B:$B,"&lt;&gt;Lucas Luiz Romero")*(35/1083),IF(C3343="Técnico II",SUMIFS($D:$D,$A:$A,$A3343,$B:$B,"&lt;&gt;Patrícia Karla de Sousa Araújo",$B:$B,"&lt;&gt;Lorena Dias de Araujo",$B:$B,"&lt;&gt;Lucas Luiz Romero")*(28/1083),IF(C3343="Técnico I",SUMIFS($D:$D,$A:$A,$A3343,$B:$B,"&lt;&gt;Patrícia Karla de Sousa Araújo",$B:$B,"&lt;&gt;Lorena Dias de Araujo",$B:$B,"&lt;&gt;Lucas Luiz Romero")*(23/1083),IF(C3343="JR",SUMIFS($D:$D,$A:$A,$A3343,$B:$B,"&lt;&gt;Patrícia Karla de Sousa Araújo",$B:$B,"&lt;&gt;Lorena Dias de Araujo",$B:$B,"&lt;&gt;Lucas Luiz Romero")*(20/1083),IF(C3343="Estágio",SUMIFS($D:$D,$A:$A,$A3343,$B:$B,"&lt;&gt;Patrícia Karla de Sousa Araújo",$B:$B,"&lt;&gt;Lorena Dias de Araujo",$B:$B,"&lt;&gt;Lucas Luiz Romero")*(10/1083),0)))))),0)</f>
        <v/>
      </c>
      <c r="K3343" s="3">
        <f>I3343-J3343</f>
        <v/>
      </c>
      <c r="L3343" s="3">
        <f>IF(K3343&lt;-5,"CRÍTICO",IF(K3343&lt;0,"ATENÇÃO",IF(K3343&lt;=5,"OPORTUNO","MUITO BOM")))</f>
        <v/>
      </c>
      <c r="N3343" t="n">
        <v>98.02</v>
      </c>
      <c r="O3343" t="n">
        <v>23.48484848484848</v>
      </c>
    </row>
    <row r="3344" hidden="1">
      <c r="A3344" s="10" t="n">
        <v>46164</v>
      </c>
      <c r="B3344" s="6" t="inlineStr">
        <is>
          <t>Isabella Borges de Oliveira</t>
        </is>
      </c>
      <c r="C3344" s="3" t="inlineStr">
        <is>
          <t>Técnico II</t>
        </is>
      </c>
      <c r="D3344" s="3" t="n">
        <v>15</v>
      </c>
      <c r="E3344" s="3" t="n">
        <v>15</v>
      </c>
      <c r="F3344" s="3" t="n">
        <v>28.35</v>
      </c>
      <c r="G3344" s="3" t="n">
        <v>0</v>
      </c>
      <c r="H3344" s="3" t="n">
        <v>0</v>
      </c>
      <c r="I3344" s="3">
        <f>E3344+G3344+H3344</f>
        <v/>
      </c>
      <c r="J3344" s="3">
        <f>ROUND(MIN(IF(C3344="Técnico III",35,IF(C3344="Técnico II",28,IF(C3344="Técnico I",23,IF(C3344="JR",20,IF(C3344="Estágio",10,0))))),IF(C3344="Técnico III",SUMIFS($D:$D,$A:$A,$A3344,$B:$B,"&lt;&gt;Patrícia Karla de Sousa Araújo",$B:$B,"&lt;&gt;Lorena Dias de Araujo",$B:$B,"&lt;&gt;Lucas Luiz Romero")*(35/1083),IF(C3344="Técnico II",SUMIFS($D:$D,$A:$A,$A3344,$B:$B,"&lt;&gt;Patrícia Karla de Sousa Araújo",$B:$B,"&lt;&gt;Lorena Dias de Araujo",$B:$B,"&lt;&gt;Lucas Luiz Romero")*(28/1083),IF(C3344="Técnico I",SUMIFS($D:$D,$A:$A,$A3344,$B:$B,"&lt;&gt;Patrícia Karla de Sousa Araújo",$B:$B,"&lt;&gt;Lorena Dias de Araujo",$B:$B,"&lt;&gt;Lucas Luiz Romero")*(23/1083),IF(C3344="JR",SUMIFS($D:$D,$A:$A,$A3344,$B:$B,"&lt;&gt;Patrícia Karla de Sousa Araújo",$B:$B,"&lt;&gt;Lorena Dias de Araujo",$B:$B,"&lt;&gt;Lucas Luiz Romero")*(20/1083),IF(C3344="Estágio",SUMIFS($D:$D,$A:$A,$A3344,$B:$B,"&lt;&gt;Patrícia Karla de Sousa Araújo",$B:$B,"&lt;&gt;Lorena Dias de Araujo",$B:$B,"&lt;&gt;Lucas Luiz Romero")*(10/1083),0)))))),0)</f>
        <v/>
      </c>
      <c r="K3344" s="3">
        <f>I3344-J3344</f>
        <v/>
      </c>
      <c r="L3344" s="3">
        <f>IF(K3344&lt;-5,"CRÍTICO",IF(K3344&lt;0,"ATENÇÃO",IF(K3344&lt;=5,"OPORTUNO","MUITO BOM")))</f>
        <v/>
      </c>
      <c r="M3344" s="3" t="n">
        <v>14</v>
      </c>
      <c r="N3344" s="3" t="n">
        <v>98.63</v>
      </c>
      <c r="O3344" s="3" t="n">
        <v>15.75757575757576</v>
      </c>
    </row>
    <row r="3345" hidden="1">
      <c r="A3345" s="11" t="n">
        <v>46106</v>
      </c>
      <c r="B3345" t="inlineStr">
        <is>
          <t>Isabella Borges de Oliveira</t>
        </is>
      </c>
      <c r="C3345" t="inlineStr">
        <is>
          <t>Técnico II</t>
        </is>
      </c>
      <c r="D3345" t="n">
        <v>23</v>
      </c>
      <c r="E3345" t="n">
        <v>20</v>
      </c>
      <c r="F3345" t="n">
        <v>23.53</v>
      </c>
      <c r="G3345" t="n">
        <v>0</v>
      </c>
      <c r="H3345" t="n">
        <v>0</v>
      </c>
      <c r="I3345" s="3">
        <f>E3345+G3345+H3345</f>
        <v/>
      </c>
      <c r="J3345" s="3">
        <f>ROUND(MIN(IF(C3345="Técnico III",35,IF(C3345="Técnico II",28,IF(C3345="Técnico I",23,IF(C3345="JR",20,IF(C3345="Estágio",10,0))))),IF(C3345="Técnico III",SUMIFS($D:$D,$A:$A,$A3345,$B:$B,"&lt;&gt;Patrícia Karla de Sousa Araújo",$B:$B,"&lt;&gt;Lorena Dias de Araujo",$B:$B,"&lt;&gt;Lucas Luiz Romero")*(35/1083),IF(C3345="Técnico II",SUMIFS($D:$D,$A:$A,$A3345,$B:$B,"&lt;&gt;Patrícia Karla de Sousa Araújo",$B:$B,"&lt;&gt;Lorena Dias de Araujo",$B:$B,"&lt;&gt;Lucas Luiz Romero")*(28/1083),IF(C3345="Técnico I",SUMIFS($D:$D,$A:$A,$A3345,$B:$B,"&lt;&gt;Patrícia Karla de Sousa Araújo",$B:$B,"&lt;&gt;Lorena Dias de Araujo",$B:$B,"&lt;&gt;Lucas Luiz Romero")*(23/1083),IF(C3345="JR",SUMIFS($D:$D,$A:$A,$A3345,$B:$B,"&lt;&gt;Patrícia Karla de Sousa Araújo",$B:$B,"&lt;&gt;Lorena Dias de Araujo",$B:$B,"&lt;&gt;Lucas Luiz Romero")*(20/1083),IF(C3345="Estágio",SUMIFS($D:$D,$A:$A,$A3345,$B:$B,"&lt;&gt;Patrícia Karla de Sousa Araújo",$B:$B,"&lt;&gt;Lorena Dias de Araujo",$B:$B,"&lt;&gt;Lucas Luiz Romero")*(10/1083),0)))))),0)</f>
        <v/>
      </c>
      <c r="K3345" s="3">
        <f>I3345-J3345</f>
        <v/>
      </c>
      <c r="L3345" s="3">
        <f>IF(K3345&lt;-5,"CRÍTICO",IF(K3345&lt;0,"ATENÇÃO",IF(K3345&lt;=5,"OPORTUNO","MUITO BOM")))</f>
        <v/>
      </c>
      <c r="N3345" t="n">
        <v>100</v>
      </c>
      <c r="O3345" t="n">
        <v>27.04918032786885</v>
      </c>
    </row>
    <row r="3346" hidden="1">
      <c r="A3346" s="11" t="n">
        <v>46106</v>
      </c>
      <c r="B3346" t="inlineStr">
        <is>
          <t>Janaina Lima dos Reis Urany</t>
        </is>
      </c>
      <c r="C3346" t="inlineStr">
        <is>
          <t>Técnico III</t>
        </is>
      </c>
      <c r="D3346" t="n">
        <v>34</v>
      </c>
      <c r="E3346" t="n">
        <v>29</v>
      </c>
      <c r="F3346" t="n">
        <v>13.28</v>
      </c>
      <c r="G3346" t="n">
        <v>0</v>
      </c>
      <c r="H3346" t="n">
        <v>0</v>
      </c>
      <c r="I3346" s="3">
        <f>E3346+G3346+H3346</f>
        <v/>
      </c>
      <c r="J3346" s="3">
        <f>ROUND(MIN(IF(C3346="Técnico III",35,IF(C3346="Técnico II",28,IF(C3346="Técnico I",23,IF(C3346="JR",20,IF(C3346="Estágio",10,0))))),IF(C3346="Técnico III",SUMIFS($D:$D,$A:$A,$A3346,$B:$B,"&lt;&gt;Patrícia Karla de Sousa Araújo",$B:$B,"&lt;&gt;Lorena Dias de Araujo",$B:$B,"&lt;&gt;Lucas Luiz Romero")*(35/1083),IF(C3346="Técnico II",SUMIFS($D:$D,$A:$A,$A3346,$B:$B,"&lt;&gt;Patrícia Karla de Sousa Araújo",$B:$B,"&lt;&gt;Lorena Dias de Araujo",$B:$B,"&lt;&gt;Lucas Luiz Romero")*(28/1083),IF(C3346="Técnico I",SUMIFS($D:$D,$A:$A,$A3346,$B:$B,"&lt;&gt;Patrícia Karla de Sousa Araújo",$B:$B,"&lt;&gt;Lorena Dias de Araujo",$B:$B,"&lt;&gt;Lucas Luiz Romero")*(23/1083),IF(C3346="JR",SUMIFS($D:$D,$A:$A,$A3346,$B:$B,"&lt;&gt;Patrícia Karla de Sousa Araújo",$B:$B,"&lt;&gt;Lorena Dias de Araujo",$B:$B,"&lt;&gt;Lucas Luiz Romero")*(20/1083),IF(C3346="Estágio",SUMIFS($D:$D,$A:$A,$A3346,$B:$B,"&lt;&gt;Patrícia Karla de Sousa Araújo",$B:$B,"&lt;&gt;Lorena Dias de Araujo",$B:$B,"&lt;&gt;Lucas Luiz Romero")*(10/1083),0)))))),0)</f>
        <v/>
      </c>
      <c r="K3346" s="3">
        <f>I3346-J3346</f>
        <v/>
      </c>
      <c r="L3346" s="3">
        <f>IF(K3346&lt;-5,"CRÍTICO",IF(K3346&lt;0,"ATENÇÃO",IF(K3346&lt;=5,"OPORTUNO","MUITO BOM")))</f>
        <v/>
      </c>
      <c r="N3346" t="n">
        <v>97.83</v>
      </c>
      <c r="O3346" t="n">
        <v>26.31578947368421</v>
      </c>
    </row>
    <row r="3347" hidden="1">
      <c r="A3347" s="11" t="n">
        <v>46106</v>
      </c>
      <c r="B3347" t="inlineStr">
        <is>
          <t>Jaqueline Evangelista da Silva Martins</t>
        </is>
      </c>
      <c r="C3347" t="inlineStr">
        <is>
          <t>Técnico III</t>
        </is>
      </c>
      <c r="D3347" t="n">
        <v>16</v>
      </c>
      <c r="E3347" t="n">
        <v>15</v>
      </c>
      <c r="F3347" t="n">
        <v>18.52</v>
      </c>
      <c r="G3347" t="n">
        <v>0</v>
      </c>
      <c r="H3347" t="n">
        <v>0</v>
      </c>
      <c r="I3347" s="3">
        <f>E3347+G3347+H3347</f>
        <v/>
      </c>
      <c r="J3347" s="3">
        <f>ROUND(MIN(IF(C3347="Técnico III",35,IF(C3347="Técnico II",28,IF(C3347="Técnico I",23,IF(C3347="JR",20,IF(C3347="Estágio",10,0))))),IF(C3347="Técnico III",SUMIFS($D:$D,$A:$A,$A3347,$B:$B,"&lt;&gt;Patrícia Karla de Sousa Araújo",$B:$B,"&lt;&gt;Lorena Dias de Araujo",$B:$B,"&lt;&gt;Lucas Luiz Romero")*(35/1083),IF(C3347="Técnico II",SUMIFS($D:$D,$A:$A,$A3347,$B:$B,"&lt;&gt;Patrícia Karla de Sousa Araújo",$B:$B,"&lt;&gt;Lorena Dias de Araujo",$B:$B,"&lt;&gt;Lucas Luiz Romero")*(28/1083),IF(C3347="Técnico I",SUMIFS($D:$D,$A:$A,$A3347,$B:$B,"&lt;&gt;Patrícia Karla de Sousa Araújo",$B:$B,"&lt;&gt;Lorena Dias de Araujo",$B:$B,"&lt;&gt;Lucas Luiz Romero")*(23/1083),IF(C3347="JR",SUMIFS($D:$D,$A:$A,$A3347,$B:$B,"&lt;&gt;Patrícia Karla de Sousa Araújo",$B:$B,"&lt;&gt;Lorena Dias de Araujo",$B:$B,"&lt;&gt;Lucas Luiz Romero")*(20/1083),IF(C3347="Estágio",SUMIFS($D:$D,$A:$A,$A3347,$B:$B,"&lt;&gt;Patrícia Karla de Sousa Araújo",$B:$B,"&lt;&gt;Lorena Dias de Araujo",$B:$B,"&lt;&gt;Lucas Luiz Romero")*(10/1083),0)))))),0)</f>
        <v/>
      </c>
      <c r="K3347" s="3">
        <f>I3347-J3347</f>
        <v/>
      </c>
      <c r="L3347" s="3">
        <f>IF(K3347&lt;-5,"CRÍTICO",IF(K3347&lt;0,"ATENÇÃO",IF(K3347&lt;=5,"OPORTUNO","MUITO BOM")))</f>
        <v/>
      </c>
      <c r="N3347" t="n">
        <v>100</v>
      </c>
      <c r="O3347" t="n">
        <v>26.70157068062827</v>
      </c>
    </row>
    <row r="3348" hidden="1">
      <c r="A3348" s="11" t="n">
        <v>46106</v>
      </c>
      <c r="B3348" t="inlineStr">
        <is>
          <t>Jessica Faria da Silveira</t>
        </is>
      </c>
      <c r="C3348" t="inlineStr">
        <is>
          <t>Técnico II</t>
        </is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s="3" t="n">
        <v>0</v>
      </c>
      <c r="J3348" s="3" t="n">
        <v>0</v>
      </c>
      <c r="K3348" s="3" t="n">
        <v>0</v>
      </c>
      <c r="L3348" s="3">
        <f>IF(K3348&lt;-5,"CRÍTICO",IF(K3348&lt;0,"ATENÇÃO",IF(K3348&lt;=5,"OPORTUNO","MUITO BOM")))</f>
        <v/>
      </c>
      <c r="N3348" t="n">
        <v>97.47</v>
      </c>
      <c r="O3348" t="n">
        <v>22.88732394366197</v>
      </c>
    </row>
    <row r="3349" hidden="1">
      <c r="A3349" s="11" t="n">
        <v>46106</v>
      </c>
      <c r="B3349" t="inlineStr">
        <is>
          <t>Jéssica Fé Moura</t>
        </is>
      </c>
      <c r="C3349" t="inlineStr">
        <is>
          <t>Técnico III</t>
        </is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s="3" t="n">
        <v>0</v>
      </c>
      <c r="J3349" s="3" t="n">
        <v>0</v>
      </c>
      <c r="K3349" s="3" t="n">
        <v>0</v>
      </c>
      <c r="L3349" s="3">
        <f>IF(K3349&lt;-5,"CRÍTICO",IF(K3349&lt;0,"ATENÇÃO",IF(K3349&lt;=5,"OPORTUNO","MUITO BOM")))</f>
        <v/>
      </c>
      <c r="N3349" t="n">
        <v>0</v>
      </c>
      <c r="O3349" t="n">
        <v>0</v>
      </c>
    </row>
    <row r="3350" hidden="1">
      <c r="A3350" s="11" t="n">
        <v>46106</v>
      </c>
      <c r="B3350" t="inlineStr">
        <is>
          <t>Karina Gonçalves Martins</t>
        </is>
      </c>
      <c r="C3350" t="inlineStr">
        <is>
          <t>JR</t>
        </is>
      </c>
      <c r="D3350" t="n">
        <v>15</v>
      </c>
      <c r="E3350" t="n">
        <v>14</v>
      </c>
      <c r="F3350" t="n">
        <v>21.47</v>
      </c>
      <c r="G3350" t="n">
        <v>0</v>
      </c>
      <c r="H3350" t="n">
        <v>0</v>
      </c>
      <c r="I3350" s="3">
        <f>E3350+G3350+H3350</f>
        <v/>
      </c>
      <c r="J3350" s="3">
        <f>ROUND(MIN(IF(C3350="Técnico III",35,IF(C3350="Técnico II",28,IF(C3350="Técnico I",23,IF(C3350="JR",20,IF(C3350="Estágio",10,0))))),IF(C3350="Técnico III",SUMIFS($D:$D,$A:$A,$A3350,$B:$B,"&lt;&gt;Patrícia Karla de Sousa Araújo",$B:$B,"&lt;&gt;Lorena Dias de Araujo",$B:$B,"&lt;&gt;Lucas Luiz Romero")*(35/1083),IF(C3350="Técnico II",SUMIFS($D:$D,$A:$A,$A3350,$B:$B,"&lt;&gt;Patrícia Karla de Sousa Araújo",$B:$B,"&lt;&gt;Lorena Dias de Araujo",$B:$B,"&lt;&gt;Lucas Luiz Romero")*(28/1083),IF(C3350="Técnico I",SUMIFS($D:$D,$A:$A,$A3350,$B:$B,"&lt;&gt;Patrícia Karla de Sousa Araújo",$B:$B,"&lt;&gt;Lorena Dias de Araujo",$B:$B,"&lt;&gt;Lucas Luiz Romero")*(23/1083),IF(C3350="JR",SUMIFS($D:$D,$A:$A,$A3350,$B:$B,"&lt;&gt;Patrícia Karla de Sousa Araújo",$B:$B,"&lt;&gt;Lorena Dias de Araujo",$B:$B,"&lt;&gt;Lucas Luiz Romero")*(20/1083),IF(C3350="Estágio",SUMIFS($D:$D,$A:$A,$A3350,$B:$B,"&lt;&gt;Patrícia Karla de Sousa Araújo",$B:$B,"&lt;&gt;Lorena Dias de Araujo",$B:$B,"&lt;&gt;Lucas Luiz Romero")*(10/1083),0)))))),0)</f>
        <v/>
      </c>
      <c r="K3350" s="3">
        <f>I3350-J3350</f>
        <v/>
      </c>
      <c r="L3350" s="3">
        <f>IF(K3350&lt;-5,"CRÍTICO",IF(K3350&lt;0,"ATENÇÃO",IF(K3350&lt;=5,"OPORTUNO","MUITO BOM")))</f>
        <v/>
      </c>
      <c r="N3350" t="n">
        <v>98.31</v>
      </c>
      <c r="O3350" t="n">
        <v>24.92012779552715</v>
      </c>
    </row>
    <row r="3351" hidden="1">
      <c r="A3351" s="11" t="n">
        <v>46106</v>
      </c>
      <c r="B3351" t="inlineStr">
        <is>
          <t>Kerollen Cristielly de Jesus Siqueira</t>
        </is>
      </c>
      <c r="C3351" t="inlineStr">
        <is>
          <t>Técnico III</t>
        </is>
      </c>
      <c r="D3351" t="n">
        <v>19</v>
      </c>
      <c r="E3351" t="n">
        <v>18</v>
      </c>
      <c r="F3351" t="n">
        <v>20.45</v>
      </c>
      <c r="G3351" t="n">
        <v>0</v>
      </c>
      <c r="H3351" t="n">
        <v>0</v>
      </c>
      <c r="I3351" s="3">
        <f>E3351+G3351+H3351</f>
        <v/>
      </c>
      <c r="J3351" s="3">
        <f>ROUND(MIN(IF(C3351="Técnico III",35,IF(C3351="Técnico II",28,IF(C3351="Técnico I",23,IF(C3351="JR",20,IF(C3351="Estágio",10,0))))),IF(C3351="Técnico III",SUMIFS($D:$D,$A:$A,$A3351,$B:$B,"&lt;&gt;Patrícia Karla de Sousa Araújo",$B:$B,"&lt;&gt;Lorena Dias de Araujo",$B:$B,"&lt;&gt;Lucas Luiz Romero")*(35/1083),IF(C3351="Técnico II",SUMIFS($D:$D,$A:$A,$A3351,$B:$B,"&lt;&gt;Patrícia Karla de Sousa Araújo",$B:$B,"&lt;&gt;Lorena Dias de Araujo",$B:$B,"&lt;&gt;Lucas Luiz Romero")*(28/1083),IF(C3351="Técnico I",SUMIFS($D:$D,$A:$A,$A3351,$B:$B,"&lt;&gt;Patrícia Karla de Sousa Araújo",$B:$B,"&lt;&gt;Lorena Dias de Araujo",$B:$B,"&lt;&gt;Lucas Luiz Romero")*(23/1083),IF(C3351="JR",SUMIFS($D:$D,$A:$A,$A3351,$B:$B,"&lt;&gt;Patrícia Karla de Sousa Araújo",$B:$B,"&lt;&gt;Lorena Dias de Araujo",$B:$B,"&lt;&gt;Lucas Luiz Romero")*(20/1083),IF(C3351="Estágio",SUMIFS($D:$D,$A:$A,$A3351,$B:$B,"&lt;&gt;Patrícia Karla de Sousa Araújo",$B:$B,"&lt;&gt;Lorena Dias de Araujo",$B:$B,"&lt;&gt;Lucas Luiz Romero")*(10/1083),0)))))),0)</f>
        <v/>
      </c>
      <c r="K3351" s="3">
        <f>I3351-J3351</f>
        <v/>
      </c>
      <c r="L3351" s="3">
        <f>IF(K3351&lt;-5,"CRÍTICO",IF(K3351&lt;0,"ATENÇÃO",IF(K3351&lt;=5,"OPORTUNO","MUITO BOM")))</f>
        <v/>
      </c>
      <c r="N3351" t="n">
        <v>96.81</v>
      </c>
      <c r="O3351" t="n">
        <v>32.36514522821577</v>
      </c>
    </row>
    <row r="3352" hidden="1">
      <c r="A3352" s="11" t="n">
        <v>46106</v>
      </c>
      <c r="B3352" t="inlineStr">
        <is>
          <t>Leandro de Souza Silva</t>
        </is>
      </c>
      <c r="C3352" t="inlineStr">
        <is>
          <t>JR</t>
        </is>
      </c>
      <c r="D3352" t="n">
        <v>15</v>
      </c>
      <c r="E3352" t="n">
        <v>15</v>
      </c>
      <c r="F3352" t="n">
        <v>21.58</v>
      </c>
      <c r="G3352" t="n">
        <v>0</v>
      </c>
      <c r="H3352" t="n">
        <v>0</v>
      </c>
      <c r="I3352" s="3">
        <f>E3352+G3352+H3352</f>
        <v/>
      </c>
      <c r="J3352" s="3">
        <f>ROUND(MIN(IF(C3352="Técnico III",35,IF(C3352="Técnico II",28,IF(C3352="Técnico I",23,IF(C3352="JR",20,IF(C3352="Estágio",10,0))))),IF(C3352="Técnico III",SUMIFS($D:$D,$A:$A,$A3352,$B:$B,"&lt;&gt;Patrícia Karla de Sousa Araújo",$B:$B,"&lt;&gt;Lorena Dias de Araujo",$B:$B,"&lt;&gt;Lucas Luiz Romero")*(35/1083),IF(C3352="Técnico II",SUMIFS($D:$D,$A:$A,$A3352,$B:$B,"&lt;&gt;Patrícia Karla de Sousa Araújo",$B:$B,"&lt;&gt;Lorena Dias de Araujo",$B:$B,"&lt;&gt;Lucas Luiz Romero")*(28/1083),IF(C3352="Técnico I",SUMIFS($D:$D,$A:$A,$A3352,$B:$B,"&lt;&gt;Patrícia Karla de Sousa Araújo",$B:$B,"&lt;&gt;Lorena Dias de Araujo",$B:$B,"&lt;&gt;Lucas Luiz Romero")*(23/1083),IF(C3352="JR",SUMIFS($D:$D,$A:$A,$A3352,$B:$B,"&lt;&gt;Patrícia Karla de Sousa Araújo",$B:$B,"&lt;&gt;Lorena Dias de Araujo",$B:$B,"&lt;&gt;Lucas Luiz Romero")*(20/1083),IF(C3352="Estágio",SUMIFS($D:$D,$A:$A,$A3352,$B:$B,"&lt;&gt;Patrícia Karla de Sousa Araújo",$B:$B,"&lt;&gt;Lorena Dias de Araujo",$B:$B,"&lt;&gt;Lucas Luiz Romero")*(10/1083),0)))))),0)</f>
        <v/>
      </c>
      <c r="K3352" s="3">
        <f>I3352-J3352</f>
        <v/>
      </c>
      <c r="L3352" s="3">
        <f>IF(K3352&lt;-5,"CRÍTICO",IF(K3352&lt;0,"ATENÇÃO",IF(K3352&lt;=5,"OPORTUNO","MUITO BOM")))</f>
        <v/>
      </c>
      <c r="N3352" t="n">
        <v>100</v>
      </c>
      <c r="O3352" t="n">
        <v>26.47058823529412</v>
      </c>
    </row>
    <row r="3353" hidden="1">
      <c r="A3353" s="11" t="n">
        <v>46106</v>
      </c>
      <c r="B3353" t="inlineStr">
        <is>
          <t>Leandro Oliveira de Sousa</t>
        </is>
      </c>
      <c r="C3353" t="inlineStr">
        <is>
          <t>Técnico III</t>
        </is>
      </c>
      <c r="D3353" t="n">
        <v>28</v>
      </c>
      <c r="E3353" t="n">
        <v>24</v>
      </c>
      <c r="F3353" t="n">
        <v>15.3</v>
      </c>
      <c r="G3353" t="n">
        <v>0</v>
      </c>
      <c r="H3353" t="n">
        <v>0</v>
      </c>
      <c r="I3353" s="3">
        <f>E3353+G3353+H3353</f>
        <v/>
      </c>
      <c r="J3353" s="3">
        <f>ROUND(MIN(IF(C3353="Técnico III",35,IF(C3353="Técnico II",28,IF(C3353="Técnico I",23,IF(C3353="JR",20,IF(C3353="Estágio",10,0))))),IF(C3353="Técnico III",SUMIFS($D:$D,$A:$A,$A3353,$B:$B,"&lt;&gt;Patrícia Karla de Sousa Araújo",$B:$B,"&lt;&gt;Lorena Dias de Araujo",$B:$B,"&lt;&gt;Lucas Luiz Romero")*(35/1083),IF(C3353="Técnico II",SUMIFS($D:$D,$A:$A,$A3353,$B:$B,"&lt;&gt;Patrícia Karla de Sousa Araújo",$B:$B,"&lt;&gt;Lorena Dias de Araujo",$B:$B,"&lt;&gt;Lucas Luiz Romero")*(28/1083),IF(C3353="Técnico I",SUMIFS($D:$D,$A:$A,$A3353,$B:$B,"&lt;&gt;Patrícia Karla de Sousa Araújo",$B:$B,"&lt;&gt;Lorena Dias de Araujo",$B:$B,"&lt;&gt;Lucas Luiz Romero")*(23/1083),IF(C3353="JR",SUMIFS($D:$D,$A:$A,$A3353,$B:$B,"&lt;&gt;Patrícia Karla de Sousa Araújo",$B:$B,"&lt;&gt;Lorena Dias de Araujo",$B:$B,"&lt;&gt;Lucas Luiz Romero")*(20/1083),IF(C3353="Estágio",SUMIFS($D:$D,$A:$A,$A3353,$B:$B,"&lt;&gt;Patrícia Karla de Sousa Araújo",$B:$B,"&lt;&gt;Lorena Dias de Araujo",$B:$B,"&lt;&gt;Lucas Luiz Romero")*(10/1083),0)))))),0)</f>
        <v/>
      </c>
      <c r="K3353" s="3">
        <f>I3353-J3353</f>
        <v/>
      </c>
      <c r="L3353" s="3">
        <f>IF(K3353&lt;-5,"CRÍTICO",IF(K3353&lt;0,"ATENÇÃO",IF(K3353&lt;=5,"OPORTUNO","MUITO BOM")))</f>
        <v/>
      </c>
      <c r="N3353" t="n">
        <v>100</v>
      </c>
      <c r="O3353" t="n">
        <v>28.49002849002849</v>
      </c>
    </row>
    <row r="3354" hidden="1">
      <c r="A3354" s="11" t="n">
        <v>46106</v>
      </c>
      <c r="B3354" t="inlineStr">
        <is>
          <t>Lizandra Gomes Duarte</t>
        </is>
      </c>
      <c r="C3354" t="inlineStr">
        <is>
          <t>Técnico II</t>
        </is>
      </c>
      <c r="D3354" t="n">
        <v>24</v>
      </c>
      <c r="E3354" t="n">
        <v>23</v>
      </c>
      <c r="F3354" t="n">
        <v>21.48</v>
      </c>
      <c r="G3354" t="n">
        <v>0</v>
      </c>
      <c r="H3354" t="n">
        <v>0</v>
      </c>
      <c r="I3354" s="3">
        <f>E3354+G3354+H3354</f>
        <v/>
      </c>
      <c r="J3354" s="3">
        <f>ROUND(MIN(IF(C3354="Técnico III",35,IF(C3354="Técnico II",28,IF(C3354="Técnico I",23,IF(C3354="JR",20,IF(C3354="Estágio",10,0))))),IF(C3354="Técnico III",SUMIFS($D:$D,$A:$A,$A3354,$B:$B,"&lt;&gt;Patrícia Karla de Sousa Araújo",$B:$B,"&lt;&gt;Lorena Dias de Araujo",$B:$B,"&lt;&gt;Lucas Luiz Romero")*(35/1083),IF(C3354="Técnico II",SUMIFS($D:$D,$A:$A,$A3354,$B:$B,"&lt;&gt;Patrícia Karla de Sousa Araújo",$B:$B,"&lt;&gt;Lorena Dias de Araujo",$B:$B,"&lt;&gt;Lucas Luiz Romero")*(28/1083),IF(C3354="Técnico I",SUMIFS($D:$D,$A:$A,$A3354,$B:$B,"&lt;&gt;Patrícia Karla de Sousa Araújo",$B:$B,"&lt;&gt;Lorena Dias de Araujo",$B:$B,"&lt;&gt;Lucas Luiz Romero")*(23/1083),IF(C3354="JR",SUMIFS($D:$D,$A:$A,$A3354,$B:$B,"&lt;&gt;Patrícia Karla de Sousa Araújo",$B:$B,"&lt;&gt;Lorena Dias de Araujo",$B:$B,"&lt;&gt;Lucas Luiz Romero")*(20/1083),IF(C3354="Estágio",SUMIFS($D:$D,$A:$A,$A3354,$B:$B,"&lt;&gt;Patrícia Karla de Sousa Araújo",$B:$B,"&lt;&gt;Lorena Dias de Araujo",$B:$B,"&lt;&gt;Lucas Luiz Romero")*(10/1083),0)))))),0)</f>
        <v/>
      </c>
      <c r="K3354" s="3">
        <f>I3354-J3354</f>
        <v/>
      </c>
      <c r="L3354" s="3">
        <f>IF(K3354&lt;-5,"CRÍTICO",IF(K3354&lt;0,"ATENÇÃO",IF(K3354&lt;=5,"OPORTUNO","MUITO BOM")))</f>
        <v/>
      </c>
      <c r="N3354" t="n">
        <v>99.14</v>
      </c>
      <c r="O3354" t="n">
        <v>27.2289156626506</v>
      </c>
    </row>
    <row r="3355" hidden="1">
      <c r="A3355" s="11" t="n">
        <v>46106</v>
      </c>
      <c r="B3355" t="inlineStr">
        <is>
          <t>Lorena Dias de Araujo</t>
        </is>
      </c>
      <c r="C3355" t="inlineStr">
        <is>
          <t>Técnico II</t>
        </is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s="3" t="n">
        <v>0</v>
      </c>
      <c r="J3355" s="3" t="n">
        <v>0</v>
      </c>
      <c r="K3355" s="3" t="n">
        <v>0</v>
      </c>
      <c r="L3355" s="3">
        <f>IF(K3355&lt;-5,"CRÍTICO",IF(K3355&lt;0,"ATENÇÃO",IF(K3355&lt;=5,"OPORTUNO","MUITO BOM")))</f>
        <v/>
      </c>
      <c r="N3355" t="n">
        <v>97.52</v>
      </c>
      <c r="O3355" t="n">
        <v>28.2051282051282</v>
      </c>
    </row>
    <row r="3356" hidden="1">
      <c r="A3356" s="11" t="n">
        <v>46106</v>
      </c>
      <c r="B3356" t="inlineStr">
        <is>
          <t>Lucas Luiz Romero</t>
        </is>
      </c>
      <c r="C3356" t="inlineStr">
        <is>
          <t>Técnico III</t>
        </is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s="3" t="n">
        <v>0</v>
      </c>
      <c r="J3356" s="3" t="n">
        <v>0</v>
      </c>
      <c r="K3356" s="3" t="n">
        <v>0</v>
      </c>
      <c r="L3356" s="3">
        <f>IF(K3356&lt;-5,"CRÍTICO",IF(K3356&lt;0,"ATENÇÃO",IF(K3356&lt;=5,"OPORTUNO","MUITO BOM")))</f>
        <v/>
      </c>
      <c r="N3356" t="n">
        <v>90</v>
      </c>
      <c r="O3356" t="n">
        <v>24.18604651162791</v>
      </c>
    </row>
    <row r="3357" hidden="1">
      <c r="A3357" s="11" t="n">
        <v>46106</v>
      </c>
      <c r="B3357" t="inlineStr">
        <is>
          <t>Luiz Fernando de Carvalho Junior</t>
        </is>
      </c>
      <c r="C3357" t="inlineStr">
        <is>
          <t>Técnico I</t>
        </is>
      </c>
      <c r="D3357" t="n">
        <v>19</v>
      </c>
      <c r="E3357" t="n">
        <v>17</v>
      </c>
      <c r="F3357" t="n">
        <v>27.37</v>
      </c>
      <c r="G3357" t="n">
        <v>0</v>
      </c>
      <c r="H3357" t="n">
        <v>0</v>
      </c>
      <c r="I3357" s="3">
        <f>E3357+G3357+H3357</f>
        <v/>
      </c>
      <c r="J3357" s="3">
        <f>ROUND(MIN(IF(C3357="Técnico III",35,IF(C3357="Técnico II",28,IF(C3357="Técnico I",23,IF(C3357="JR",20,IF(C3357="Estágio",10,0))))),IF(C3357="Técnico III",SUMIFS($D:$D,$A:$A,$A3357,$B:$B,"&lt;&gt;Patrícia Karla de Sousa Araújo",$B:$B,"&lt;&gt;Lorena Dias de Araujo",$B:$B,"&lt;&gt;Lucas Luiz Romero")*(35/1083),IF(C3357="Técnico II",SUMIFS($D:$D,$A:$A,$A3357,$B:$B,"&lt;&gt;Patrícia Karla de Sousa Araújo",$B:$B,"&lt;&gt;Lorena Dias de Araujo",$B:$B,"&lt;&gt;Lucas Luiz Romero")*(28/1083),IF(C3357="Técnico I",SUMIFS($D:$D,$A:$A,$A3357,$B:$B,"&lt;&gt;Patrícia Karla de Sousa Araújo",$B:$B,"&lt;&gt;Lorena Dias de Araujo",$B:$B,"&lt;&gt;Lucas Luiz Romero")*(23/1083),IF(C3357="JR",SUMIFS($D:$D,$A:$A,$A3357,$B:$B,"&lt;&gt;Patrícia Karla de Sousa Araújo",$B:$B,"&lt;&gt;Lorena Dias de Araujo",$B:$B,"&lt;&gt;Lucas Luiz Romero")*(20/1083),IF(C3357="Estágio",SUMIFS($D:$D,$A:$A,$A3357,$B:$B,"&lt;&gt;Patrícia Karla de Sousa Araújo",$B:$B,"&lt;&gt;Lorena Dias de Araujo",$B:$B,"&lt;&gt;Lucas Luiz Romero")*(10/1083),0)))))),0)</f>
        <v/>
      </c>
      <c r="K3357" s="3">
        <f>I3357-J3357</f>
        <v/>
      </c>
      <c r="L3357" s="3">
        <f>IF(K3357&lt;-5,"CRÍTICO",IF(K3357&lt;0,"ATENÇÃO",IF(K3357&lt;=5,"OPORTUNO","MUITO BOM")))</f>
        <v/>
      </c>
      <c r="N3357" t="n">
        <v>98.90000000000001</v>
      </c>
      <c r="O3357" t="n">
        <v>26.7639902676399</v>
      </c>
    </row>
    <row r="3358" hidden="1">
      <c r="A3358" s="11" t="n">
        <v>46106</v>
      </c>
      <c r="B3358" t="inlineStr">
        <is>
          <t>Maria Eduarda Sousa Costa</t>
        </is>
      </c>
      <c r="C3358" t="inlineStr">
        <is>
          <t>Estágio</t>
        </is>
      </c>
      <c r="D3358" t="n">
        <v>8</v>
      </c>
      <c r="E3358" t="n">
        <v>7</v>
      </c>
      <c r="F3358" t="n">
        <v>40.06</v>
      </c>
      <c r="G3358" t="n">
        <v>0</v>
      </c>
      <c r="H3358" t="n">
        <v>0</v>
      </c>
      <c r="I3358" s="3">
        <f>E3358+G3358+H3358</f>
        <v/>
      </c>
      <c r="J3358" s="3">
        <f>ROUND(MIN(IF(C3358="Técnico III",35,IF(C3358="Técnico II",28,IF(C3358="Técnico I",23,IF(C3358="JR",20,IF(C3358="Estágio",10,0))))),IF(C3358="Técnico III",SUMIFS($D:$D,$A:$A,$A3358,$B:$B,"&lt;&gt;Patrícia Karla de Sousa Araújo",$B:$B,"&lt;&gt;Lorena Dias de Araujo",$B:$B,"&lt;&gt;Lucas Luiz Romero")*(35/1083),IF(C3358="Técnico II",SUMIFS($D:$D,$A:$A,$A3358,$B:$B,"&lt;&gt;Patrícia Karla de Sousa Araújo",$B:$B,"&lt;&gt;Lorena Dias de Araujo",$B:$B,"&lt;&gt;Lucas Luiz Romero")*(28/1083),IF(C3358="Técnico I",SUMIFS($D:$D,$A:$A,$A3358,$B:$B,"&lt;&gt;Patrícia Karla de Sousa Araújo",$B:$B,"&lt;&gt;Lorena Dias de Araujo",$B:$B,"&lt;&gt;Lucas Luiz Romero")*(23/1083),IF(C3358="JR",SUMIFS($D:$D,$A:$A,$A3358,$B:$B,"&lt;&gt;Patrícia Karla de Sousa Araújo",$B:$B,"&lt;&gt;Lorena Dias de Araujo",$B:$B,"&lt;&gt;Lucas Luiz Romero")*(20/1083),IF(C3358="Estágio",SUMIFS($D:$D,$A:$A,$A3358,$B:$B,"&lt;&gt;Patrícia Karla de Sousa Araújo",$B:$B,"&lt;&gt;Lorena Dias de Araujo",$B:$B,"&lt;&gt;Lucas Luiz Romero")*(10/1083),0)))))),0)</f>
        <v/>
      </c>
      <c r="K3358" s="3">
        <f>I3358-J3358</f>
        <v/>
      </c>
      <c r="L3358" s="3">
        <f>IF(K3358&lt;-5,"CRÍTICO",IF(K3358&lt;0,"ATENÇÃO",IF(K3358&lt;=5,"OPORTUNO","MUITO BOM")))</f>
        <v/>
      </c>
      <c r="N3358" t="n">
        <v>88.89</v>
      </c>
      <c r="O3358" t="n">
        <v>25.26315789473684</v>
      </c>
    </row>
    <row r="3359" hidden="1">
      <c r="A3359" s="11" t="n">
        <v>46106</v>
      </c>
      <c r="B3359" t="inlineStr">
        <is>
          <t>Matheus Farias De Souza</t>
        </is>
      </c>
      <c r="C3359" t="inlineStr">
        <is>
          <t>Técnico III</t>
        </is>
      </c>
      <c r="D3359" t="n">
        <v>32</v>
      </c>
      <c r="E3359" t="n">
        <v>30</v>
      </c>
      <c r="F3359" t="n">
        <v>14</v>
      </c>
      <c r="G3359" t="n">
        <v>0</v>
      </c>
      <c r="H3359" t="n">
        <v>0</v>
      </c>
      <c r="I3359" s="3">
        <f>E3359+G3359+H3359</f>
        <v/>
      </c>
      <c r="J3359" s="3">
        <f>ROUND(MIN(IF(C3359="Técnico III",35,IF(C3359="Técnico II",28,IF(C3359="Técnico I",23,IF(C3359="JR",20,IF(C3359="Estágio",10,0))))),IF(C3359="Técnico III",SUMIFS($D:$D,$A:$A,$A3359,$B:$B,"&lt;&gt;Patrícia Karla de Sousa Araújo",$B:$B,"&lt;&gt;Lorena Dias de Araujo",$B:$B,"&lt;&gt;Lucas Luiz Romero")*(35/1083),IF(C3359="Técnico II",SUMIFS($D:$D,$A:$A,$A3359,$B:$B,"&lt;&gt;Patrícia Karla de Sousa Araújo",$B:$B,"&lt;&gt;Lorena Dias de Araujo",$B:$B,"&lt;&gt;Lucas Luiz Romero")*(28/1083),IF(C3359="Técnico I",SUMIFS($D:$D,$A:$A,$A3359,$B:$B,"&lt;&gt;Patrícia Karla de Sousa Araújo",$B:$B,"&lt;&gt;Lorena Dias de Araujo",$B:$B,"&lt;&gt;Lucas Luiz Romero")*(23/1083),IF(C3359="JR",SUMIFS($D:$D,$A:$A,$A3359,$B:$B,"&lt;&gt;Patrícia Karla de Sousa Araújo",$B:$B,"&lt;&gt;Lorena Dias de Araujo",$B:$B,"&lt;&gt;Lucas Luiz Romero")*(20/1083),IF(C3359="Estágio",SUMIFS($D:$D,$A:$A,$A3359,$B:$B,"&lt;&gt;Patrícia Karla de Sousa Araújo",$B:$B,"&lt;&gt;Lorena Dias de Araujo",$B:$B,"&lt;&gt;Lucas Luiz Romero")*(10/1083),0)))))),0)</f>
        <v/>
      </c>
      <c r="K3359" s="3">
        <f>I3359-J3359</f>
        <v/>
      </c>
      <c r="L3359" s="3">
        <f>IF(K3359&lt;-5,"CRÍTICO",IF(K3359&lt;0,"ATENÇÃO",IF(K3359&lt;=5,"OPORTUNO","MUITO BOM")))</f>
        <v/>
      </c>
      <c r="N3359" t="n">
        <v>98.86</v>
      </c>
      <c r="O3359" t="n">
        <v>28.95927601809955</v>
      </c>
    </row>
    <row r="3360" hidden="1">
      <c r="A3360" s="11" t="n">
        <v>46106</v>
      </c>
      <c r="B3360" t="inlineStr">
        <is>
          <t>Maysa Victoria Dias Moura</t>
        </is>
      </c>
      <c r="C3360" t="inlineStr">
        <is>
          <t>Técnico III</t>
        </is>
      </c>
      <c r="D3360" t="n">
        <v>26</v>
      </c>
      <c r="E3360" t="n">
        <v>24</v>
      </c>
      <c r="F3360" t="n">
        <v>13.36</v>
      </c>
      <c r="G3360" t="n">
        <v>0</v>
      </c>
      <c r="H3360" t="n">
        <v>0</v>
      </c>
      <c r="I3360" s="3">
        <f>E3360+G3360+H3360</f>
        <v/>
      </c>
      <c r="J3360" s="3">
        <f>ROUND(MIN(IF(C3360="Técnico III",35,IF(C3360="Técnico II",28,IF(C3360="Técnico I",23,IF(C3360="JR",20,IF(C3360="Estágio",10,0))))),IF(C3360="Técnico III",SUMIFS($D:$D,$A:$A,$A3360,$B:$B,"&lt;&gt;Patrícia Karla de Sousa Araújo",$B:$B,"&lt;&gt;Lorena Dias de Araujo",$B:$B,"&lt;&gt;Lucas Luiz Romero")*(35/1083),IF(C3360="Técnico II",SUMIFS($D:$D,$A:$A,$A3360,$B:$B,"&lt;&gt;Patrícia Karla de Sousa Araújo",$B:$B,"&lt;&gt;Lorena Dias de Araujo",$B:$B,"&lt;&gt;Lucas Luiz Romero")*(28/1083),IF(C3360="Técnico I",SUMIFS($D:$D,$A:$A,$A3360,$B:$B,"&lt;&gt;Patrícia Karla de Sousa Araújo",$B:$B,"&lt;&gt;Lorena Dias de Araujo",$B:$B,"&lt;&gt;Lucas Luiz Romero")*(23/1083),IF(C3360="JR",SUMIFS($D:$D,$A:$A,$A3360,$B:$B,"&lt;&gt;Patrícia Karla de Sousa Araújo",$B:$B,"&lt;&gt;Lorena Dias de Araujo",$B:$B,"&lt;&gt;Lucas Luiz Romero")*(20/1083),IF(C3360="Estágio",SUMIFS($D:$D,$A:$A,$A3360,$B:$B,"&lt;&gt;Patrícia Karla de Sousa Araújo",$B:$B,"&lt;&gt;Lorena Dias de Araujo",$B:$B,"&lt;&gt;Lucas Luiz Romero")*(10/1083),0)))))),0)</f>
        <v/>
      </c>
      <c r="K3360" s="3">
        <f>I3360-J3360</f>
        <v/>
      </c>
      <c r="L3360" s="3">
        <f>IF(K3360&lt;-5,"CRÍTICO",IF(K3360&lt;0,"ATENÇÃO",IF(K3360&lt;=5,"OPORTUNO","MUITO BOM")))</f>
        <v/>
      </c>
      <c r="N3360" t="n">
        <v>98.06</v>
      </c>
      <c r="O3360" t="n">
        <v>22.40566037735849</v>
      </c>
    </row>
    <row r="3361" hidden="1">
      <c r="A3361" s="11" t="n">
        <v>46106</v>
      </c>
      <c r="B3361" t="inlineStr">
        <is>
          <t>Michelle G Santos</t>
        </is>
      </c>
      <c r="C3361" t="inlineStr">
        <is>
          <t>Estágio</t>
        </is>
      </c>
      <c r="D3361" t="n">
        <v>13</v>
      </c>
      <c r="E3361" t="n">
        <v>13</v>
      </c>
      <c r="F3361" t="n">
        <v>38.44</v>
      </c>
      <c r="G3361" t="n">
        <v>0</v>
      </c>
      <c r="H3361" t="n">
        <v>0</v>
      </c>
      <c r="I3361" s="3">
        <f>E3361+G3361+H3361</f>
        <v/>
      </c>
      <c r="J3361" s="3">
        <f>ROUND(MIN(IF(C3361="Técnico III",35,IF(C3361="Técnico II",28,IF(C3361="Técnico I",23,IF(C3361="JR",20,IF(C3361="Estágio",10,0))))),IF(C3361="Técnico III",SUMIFS($D:$D,$A:$A,$A3361,$B:$B,"&lt;&gt;Patrícia Karla de Sousa Araújo",$B:$B,"&lt;&gt;Lorena Dias de Araujo",$B:$B,"&lt;&gt;Lucas Luiz Romero")*(35/1083),IF(C3361="Técnico II",SUMIFS($D:$D,$A:$A,$A3361,$B:$B,"&lt;&gt;Patrícia Karla de Sousa Araújo",$B:$B,"&lt;&gt;Lorena Dias de Araujo",$B:$B,"&lt;&gt;Lucas Luiz Romero")*(28/1083),IF(C3361="Técnico I",SUMIFS($D:$D,$A:$A,$A3361,$B:$B,"&lt;&gt;Patrícia Karla de Sousa Araújo",$B:$B,"&lt;&gt;Lorena Dias de Araujo",$B:$B,"&lt;&gt;Lucas Luiz Romero")*(23/1083),IF(C3361="JR",SUMIFS($D:$D,$A:$A,$A3361,$B:$B,"&lt;&gt;Patrícia Karla de Sousa Araújo",$B:$B,"&lt;&gt;Lorena Dias de Araujo",$B:$B,"&lt;&gt;Lucas Luiz Romero")*(20/1083),IF(C3361="Estágio",SUMIFS($D:$D,$A:$A,$A3361,$B:$B,"&lt;&gt;Patrícia Karla de Sousa Araújo",$B:$B,"&lt;&gt;Lorena Dias de Araujo",$B:$B,"&lt;&gt;Lucas Luiz Romero")*(10/1083),0)))))),0)</f>
        <v/>
      </c>
      <c r="K3361" s="3">
        <f>I3361-J3361</f>
        <v/>
      </c>
      <c r="L3361" s="3">
        <f>IF(K3361&lt;-5,"CRÍTICO",IF(K3361&lt;0,"ATENÇÃO",IF(K3361&lt;=5,"OPORTUNO","MUITO BOM")))</f>
        <v/>
      </c>
      <c r="N3361" t="n">
        <v>95.83</v>
      </c>
      <c r="O3361" t="n">
        <v>25.77319587628866</v>
      </c>
    </row>
    <row r="3362" hidden="1">
      <c r="A3362" s="11" t="n">
        <v>46106</v>
      </c>
      <c r="B3362" t="inlineStr">
        <is>
          <t>Milena Sales</t>
        </is>
      </c>
      <c r="C3362" t="inlineStr">
        <is>
          <t>JR</t>
        </is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s="3" t="n">
        <v>0</v>
      </c>
      <c r="J3362" s="3" t="n">
        <v>0</v>
      </c>
      <c r="K3362" s="3" t="n">
        <v>0</v>
      </c>
      <c r="L3362" s="3">
        <f>IF(K3362&lt;-5,"CRÍTICO",IF(K3362&lt;0,"ATENÇÃO",IF(K3362&lt;=5,"OPORTUNO","MUITO BOM")))</f>
        <v/>
      </c>
      <c r="N3362" t="n">
        <v>100</v>
      </c>
      <c r="O3362" t="n">
        <v>15.38461538461539</v>
      </c>
    </row>
    <row r="3363" hidden="1">
      <c r="A3363" s="11" t="n">
        <v>46106</v>
      </c>
      <c r="B3363" t="inlineStr">
        <is>
          <t>Patrícia Karla de Sousa Araújo</t>
        </is>
      </c>
      <c r="C3363" t="inlineStr">
        <is>
          <t>Técnico II</t>
        </is>
      </c>
      <c r="D3363" t="n">
        <v>6</v>
      </c>
      <c r="E3363" t="n">
        <v>5</v>
      </c>
      <c r="F3363" t="n">
        <v>27.19</v>
      </c>
      <c r="G3363" t="n">
        <v>0</v>
      </c>
      <c r="H3363" t="n">
        <v>0</v>
      </c>
      <c r="I3363" s="3">
        <f>E3363+G3363+H3363</f>
        <v/>
      </c>
      <c r="J3363" s="3">
        <f>ROUND(MIN(IF(C3363="Técnico III",35,IF(C3363="Técnico II",28,IF(C3363="Técnico I",23,IF(C3363="JR",20,IF(C3363="Estágio",10,0))))),IF(C3363="Técnico III",SUMIFS($D:$D,$A:$A,$A3363,$B:$B,"&lt;&gt;Patrícia Karla de Sousa Araújo",$B:$B,"&lt;&gt;Lorena Dias de Araujo",$B:$B,"&lt;&gt;Lucas Luiz Romero")*(35/1083),IF(C3363="Técnico II",SUMIFS($D:$D,$A:$A,$A3363,$B:$B,"&lt;&gt;Patrícia Karla de Sousa Araújo",$B:$B,"&lt;&gt;Lorena Dias de Araujo",$B:$B,"&lt;&gt;Lucas Luiz Romero")*(28/1083),IF(C3363="Técnico I",SUMIFS($D:$D,$A:$A,$A3363,$B:$B,"&lt;&gt;Patrícia Karla de Sousa Araújo",$B:$B,"&lt;&gt;Lorena Dias de Araujo",$B:$B,"&lt;&gt;Lucas Luiz Romero")*(23/1083),IF(C3363="JR",SUMIFS($D:$D,$A:$A,$A3363,$B:$B,"&lt;&gt;Patrícia Karla de Sousa Araújo",$B:$B,"&lt;&gt;Lorena Dias de Araujo",$B:$B,"&lt;&gt;Lucas Luiz Romero")*(20/1083),IF(C3363="Estágio",SUMIFS($D:$D,$A:$A,$A3363,$B:$B,"&lt;&gt;Patrícia Karla de Sousa Araújo",$B:$B,"&lt;&gt;Lorena Dias de Araujo",$B:$B,"&lt;&gt;Lucas Luiz Romero")*(10/1083),0)))))),0)</f>
        <v/>
      </c>
      <c r="K3363" s="3">
        <f>I3363-J3363</f>
        <v/>
      </c>
      <c r="L3363" s="3">
        <f>IF(K3363&lt;-5,"CRÍTICO",IF(K3363&lt;0,"ATENÇÃO",IF(K3363&lt;=5,"OPORTUNO","MUITO BOM")))</f>
        <v/>
      </c>
      <c r="N3363" t="n">
        <v>100</v>
      </c>
      <c r="O3363" t="n">
        <v>27.51479289940828</v>
      </c>
    </row>
    <row r="3364" hidden="1">
      <c r="A3364" s="11" t="n">
        <v>46106</v>
      </c>
      <c r="B3364" t="inlineStr">
        <is>
          <t>Paulo Ricardo Santos</t>
        </is>
      </c>
      <c r="C3364" t="inlineStr">
        <is>
          <t>JR</t>
        </is>
      </c>
      <c r="D3364" t="n">
        <v>17</v>
      </c>
      <c r="E3364" t="n">
        <v>16</v>
      </c>
      <c r="F3364" t="n">
        <v>23.21</v>
      </c>
      <c r="G3364" t="n">
        <v>0</v>
      </c>
      <c r="H3364" t="n">
        <v>0</v>
      </c>
      <c r="I3364" s="3">
        <f>E3364+G3364+H3364</f>
        <v/>
      </c>
      <c r="J3364" s="3">
        <f>ROUND(MIN(IF(C3364="Técnico III",35,IF(C3364="Técnico II",28,IF(C3364="Técnico I",23,IF(C3364="JR",20,IF(C3364="Estágio",10,0))))),IF(C3364="Técnico III",SUMIFS($D:$D,$A:$A,$A3364,$B:$B,"&lt;&gt;Patrícia Karla de Sousa Araújo",$B:$B,"&lt;&gt;Lorena Dias de Araujo",$B:$B,"&lt;&gt;Lucas Luiz Romero")*(35/1083),IF(C3364="Técnico II",SUMIFS($D:$D,$A:$A,$A3364,$B:$B,"&lt;&gt;Patrícia Karla de Sousa Araújo",$B:$B,"&lt;&gt;Lorena Dias de Araujo",$B:$B,"&lt;&gt;Lucas Luiz Romero")*(28/1083),IF(C3364="Técnico I",SUMIFS($D:$D,$A:$A,$A3364,$B:$B,"&lt;&gt;Patrícia Karla de Sousa Araújo",$B:$B,"&lt;&gt;Lorena Dias de Araujo",$B:$B,"&lt;&gt;Lucas Luiz Romero")*(23/1083),IF(C3364="JR",SUMIFS($D:$D,$A:$A,$A3364,$B:$B,"&lt;&gt;Patrícia Karla de Sousa Araújo",$B:$B,"&lt;&gt;Lorena Dias de Araujo",$B:$B,"&lt;&gt;Lucas Luiz Romero")*(20/1083),IF(C3364="Estágio",SUMIFS($D:$D,$A:$A,$A3364,$B:$B,"&lt;&gt;Patrícia Karla de Sousa Araújo",$B:$B,"&lt;&gt;Lorena Dias de Araujo",$B:$B,"&lt;&gt;Lucas Luiz Romero")*(10/1083),0)))))),0)</f>
        <v/>
      </c>
      <c r="K3364" s="3">
        <f>I3364-J3364</f>
        <v/>
      </c>
      <c r="L3364" s="3">
        <f>IF(K3364&lt;-5,"CRÍTICO",IF(K3364&lt;0,"ATENÇÃO",IF(K3364&lt;=5,"OPORTUNO","MUITO BOM")))</f>
        <v/>
      </c>
      <c r="N3364" t="n">
        <v>100</v>
      </c>
      <c r="O3364" t="n">
        <v>24.87562189054727</v>
      </c>
    </row>
    <row r="3365" hidden="1">
      <c r="A3365" s="11" t="n">
        <v>46106</v>
      </c>
      <c r="B3365" t="inlineStr">
        <is>
          <t>Pedro Luiz Mota Sousa</t>
        </is>
      </c>
      <c r="C3365" t="inlineStr">
        <is>
          <t>JR</t>
        </is>
      </c>
      <c r="D3365" t="n">
        <v>16</v>
      </c>
      <c r="E3365" t="n">
        <v>16</v>
      </c>
      <c r="F3365" t="n">
        <v>32.09</v>
      </c>
      <c r="G3365" t="n">
        <v>0</v>
      </c>
      <c r="H3365" t="n">
        <v>0</v>
      </c>
      <c r="I3365" s="3">
        <f>E3365+G3365+H3365</f>
        <v/>
      </c>
      <c r="J3365" s="3">
        <f>ROUND(MIN(IF(C3365="Técnico III",35,IF(C3365="Técnico II",28,IF(C3365="Técnico I",23,IF(C3365="JR",20,IF(C3365="Estágio",10,0))))),IF(C3365="Técnico III",SUMIFS($D:$D,$A:$A,$A3365,$B:$B,"&lt;&gt;Patrícia Karla de Sousa Araújo",$B:$B,"&lt;&gt;Lorena Dias de Araujo",$B:$B,"&lt;&gt;Lucas Luiz Romero")*(35/1083),IF(C3365="Técnico II",SUMIFS($D:$D,$A:$A,$A3365,$B:$B,"&lt;&gt;Patrícia Karla de Sousa Araújo",$B:$B,"&lt;&gt;Lorena Dias de Araujo",$B:$B,"&lt;&gt;Lucas Luiz Romero")*(28/1083),IF(C3365="Técnico I",SUMIFS($D:$D,$A:$A,$A3365,$B:$B,"&lt;&gt;Patrícia Karla de Sousa Araújo",$B:$B,"&lt;&gt;Lorena Dias de Araujo",$B:$B,"&lt;&gt;Lucas Luiz Romero")*(23/1083),IF(C3365="JR",SUMIFS($D:$D,$A:$A,$A3365,$B:$B,"&lt;&gt;Patrícia Karla de Sousa Araújo",$B:$B,"&lt;&gt;Lorena Dias de Araujo",$B:$B,"&lt;&gt;Lucas Luiz Romero")*(20/1083),IF(C3365="Estágio",SUMIFS($D:$D,$A:$A,$A3365,$B:$B,"&lt;&gt;Patrícia Karla de Sousa Araújo",$B:$B,"&lt;&gt;Lorena Dias de Araujo",$B:$B,"&lt;&gt;Lucas Luiz Romero")*(10/1083),0)))))),0)</f>
        <v/>
      </c>
      <c r="K3365" s="3">
        <f>I3365-J3365</f>
        <v/>
      </c>
      <c r="L3365" s="3">
        <f>IF(K3365&lt;-5,"CRÍTICO",IF(K3365&lt;0,"ATENÇÃO",IF(K3365&lt;=5,"OPORTUNO","MUITO BOM")))</f>
        <v/>
      </c>
      <c r="N3365" t="n">
        <v>100</v>
      </c>
      <c r="O3365" t="n">
        <v>28.10810810810811</v>
      </c>
    </row>
    <row r="3366" hidden="1">
      <c r="A3366" s="11" t="n">
        <v>46106</v>
      </c>
      <c r="B3366" t="inlineStr">
        <is>
          <t>Quirino Diogo Leite Torres</t>
        </is>
      </c>
      <c r="C3366" t="inlineStr">
        <is>
          <t>Estágio</t>
        </is>
      </c>
      <c r="D3366" t="n">
        <v>5</v>
      </c>
      <c r="E3366" t="n">
        <v>5</v>
      </c>
      <c r="F3366" t="n">
        <v>17.02</v>
      </c>
      <c r="G3366" t="n">
        <v>0</v>
      </c>
      <c r="H3366" t="n">
        <v>0</v>
      </c>
      <c r="I3366" s="3">
        <f>E3366+G3366+H3366</f>
        <v/>
      </c>
      <c r="J3366" s="3">
        <f>ROUND(MIN(IF(C3366="Técnico III",35,IF(C3366="Técnico II",28,IF(C3366="Técnico I",23,IF(C3366="JR",20,IF(C3366="Estágio",10,0))))),IF(C3366="Técnico III",SUMIFS($D:$D,$A:$A,$A3366,$B:$B,"&lt;&gt;Patrícia Karla de Sousa Araújo",$B:$B,"&lt;&gt;Lorena Dias de Araujo",$B:$B,"&lt;&gt;Lucas Luiz Romero")*(35/1083),IF(C3366="Técnico II",SUMIFS($D:$D,$A:$A,$A3366,$B:$B,"&lt;&gt;Patrícia Karla de Sousa Araújo",$B:$B,"&lt;&gt;Lorena Dias de Araujo",$B:$B,"&lt;&gt;Lucas Luiz Romero")*(28/1083),IF(C3366="Técnico I",SUMIFS($D:$D,$A:$A,$A3366,$B:$B,"&lt;&gt;Patrícia Karla de Sousa Araújo",$B:$B,"&lt;&gt;Lorena Dias de Araujo",$B:$B,"&lt;&gt;Lucas Luiz Romero")*(23/1083),IF(C3366="JR",SUMIFS($D:$D,$A:$A,$A3366,$B:$B,"&lt;&gt;Patrícia Karla de Sousa Araújo",$B:$B,"&lt;&gt;Lorena Dias de Araujo",$B:$B,"&lt;&gt;Lucas Luiz Romero")*(20/1083),IF(C3366="Estágio",SUMIFS($D:$D,$A:$A,$A3366,$B:$B,"&lt;&gt;Patrícia Karla de Sousa Araújo",$B:$B,"&lt;&gt;Lorena Dias de Araujo",$B:$B,"&lt;&gt;Lucas Luiz Romero")*(10/1083),0)))))),0)</f>
        <v/>
      </c>
      <c r="K3366" s="3">
        <f>I3366-J3366</f>
        <v/>
      </c>
      <c r="L3366" s="3">
        <f>IF(K3366&lt;-5,"CRÍTICO",IF(K3366&lt;0,"ATENÇÃO",IF(K3366&lt;=5,"OPORTUNO","MUITO BOM")))</f>
        <v/>
      </c>
      <c r="N3366" t="n">
        <v>100</v>
      </c>
      <c r="O3366" t="n">
        <v>35</v>
      </c>
    </row>
    <row r="3367" hidden="1">
      <c r="A3367" s="11" t="n">
        <v>46106</v>
      </c>
      <c r="B3367" t="inlineStr">
        <is>
          <t>Raane Batista Matos</t>
        </is>
      </c>
      <c r="C3367" t="inlineStr">
        <is>
          <t>Técnico I</t>
        </is>
      </c>
      <c r="D3367" t="n">
        <v>20</v>
      </c>
      <c r="E3367" t="n">
        <v>17</v>
      </c>
      <c r="F3367" t="n">
        <v>22.17</v>
      </c>
      <c r="G3367" t="n">
        <v>0</v>
      </c>
      <c r="H3367" t="n">
        <v>0</v>
      </c>
      <c r="I3367" s="3">
        <f>E3367+G3367+H3367</f>
        <v/>
      </c>
      <c r="J3367" s="3">
        <f>ROUND(MIN(IF(C3367="Técnico III",35,IF(C3367="Técnico II",28,IF(C3367="Técnico I",23,IF(C3367="JR",20,IF(C3367="Estágio",10,0))))),IF(C3367="Técnico III",SUMIFS($D:$D,$A:$A,$A3367,$B:$B,"&lt;&gt;Patrícia Karla de Sousa Araújo",$B:$B,"&lt;&gt;Lorena Dias de Araujo",$B:$B,"&lt;&gt;Lucas Luiz Romero")*(35/1083),IF(C3367="Técnico II",SUMIFS($D:$D,$A:$A,$A3367,$B:$B,"&lt;&gt;Patrícia Karla de Sousa Araújo",$B:$B,"&lt;&gt;Lorena Dias de Araujo",$B:$B,"&lt;&gt;Lucas Luiz Romero")*(28/1083),IF(C3367="Técnico I",SUMIFS($D:$D,$A:$A,$A3367,$B:$B,"&lt;&gt;Patrícia Karla de Sousa Araújo",$B:$B,"&lt;&gt;Lorena Dias de Araujo",$B:$B,"&lt;&gt;Lucas Luiz Romero")*(23/1083),IF(C3367="JR",SUMIFS($D:$D,$A:$A,$A3367,$B:$B,"&lt;&gt;Patrícia Karla de Sousa Araújo",$B:$B,"&lt;&gt;Lorena Dias de Araujo",$B:$B,"&lt;&gt;Lucas Luiz Romero")*(20/1083),IF(C3367="Estágio",SUMIFS($D:$D,$A:$A,$A3367,$B:$B,"&lt;&gt;Patrícia Karla de Sousa Araújo",$B:$B,"&lt;&gt;Lorena Dias de Araujo",$B:$B,"&lt;&gt;Lucas Luiz Romero")*(10/1083),0)))))),0)</f>
        <v/>
      </c>
      <c r="K3367" s="3">
        <f>I3367-J3367</f>
        <v/>
      </c>
      <c r="L3367" s="3">
        <f>IF(K3367&lt;-5,"CRÍTICO",IF(K3367&lt;0,"ATENÇÃO",IF(K3367&lt;=5,"OPORTUNO","MUITO BOM")))</f>
        <v/>
      </c>
      <c r="N3367" t="n">
        <v>95.34999999999999</v>
      </c>
      <c r="O3367" t="n">
        <v>28.61538461538461</v>
      </c>
    </row>
    <row r="3368" hidden="1">
      <c r="A3368" s="11" t="n">
        <v>46106</v>
      </c>
      <c r="B3368" t="inlineStr">
        <is>
          <t>Rafael Gomes de Morais</t>
        </is>
      </c>
      <c r="C3368" t="inlineStr">
        <is>
          <t>Técnico III</t>
        </is>
      </c>
      <c r="D3368" t="n">
        <v>33</v>
      </c>
      <c r="E3368" t="n">
        <v>31</v>
      </c>
      <c r="F3368" t="n">
        <v>10.58</v>
      </c>
      <c r="G3368" t="n">
        <v>0</v>
      </c>
      <c r="H3368" t="n">
        <v>0</v>
      </c>
      <c r="I3368" s="3">
        <f>E3368+G3368+H3368</f>
        <v/>
      </c>
      <c r="J3368" s="3">
        <f>ROUND(MIN(IF(C3368="Técnico III",35,IF(C3368="Técnico II",28,IF(C3368="Técnico I",23,IF(C3368="JR",20,IF(C3368="Estágio",10,0))))),IF(C3368="Técnico III",SUMIFS($D:$D,$A:$A,$A3368,$B:$B,"&lt;&gt;Patrícia Karla de Sousa Araújo",$B:$B,"&lt;&gt;Lorena Dias de Araujo",$B:$B,"&lt;&gt;Lucas Luiz Romero")*(35/1083),IF(C3368="Técnico II",SUMIFS($D:$D,$A:$A,$A3368,$B:$B,"&lt;&gt;Patrícia Karla de Sousa Araújo",$B:$B,"&lt;&gt;Lorena Dias de Araujo",$B:$B,"&lt;&gt;Lucas Luiz Romero")*(28/1083),IF(C3368="Técnico I",SUMIFS($D:$D,$A:$A,$A3368,$B:$B,"&lt;&gt;Patrícia Karla de Sousa Araújo",$B:$B,"&lt;&gt;Lorena Dias de Araujo",$B:$B,"&lt;&gt;Lucas Luiz Romero")*(23/1083),IF(C3368="JR",SUMIFS($D:$D,$A:$A,$A3368,$B:$B,"&lt;&gt;Patrícia Karla de Sousa Araújo",$B:$B,"&lt;&gt;Lorena Dias de Araujo",$B:$B,"&lt;&gt;Lucas Luiz Romero")*(20/1083),IF(C3368="Estágio",SUMIFS($D:$D,$A:$A,$A3368,$B:$B,"&lt;&gt;Patrícia Karla de Sousa Araújo",$B:$B,"&lt;&gt;Lorena Dias de Araujo",$B:$B,"&lt;&gt;Lucas Luiz Romero")*(10/1083),0)))))),0)</f>
        <v/>
      </c>
      <c r="K3368" s="3">
        <f>I3368-J3368</f>
        <v/>
      </c>
      <c r="L3368" s="3">
        <f>IF(K3368&lt;-5,"CRÍTICO",IF(K3368&lt;0,"ATENÇÃO",IF(K3368&lt;=5,"OPORTUNO","MUITO BOM")))</f>
        <v/>
      </c>
      <c r="N3368" t="n">
        <v>98.26000000000001</v>
      </c>
      <c r="O3368" t="n">
        <v>27.54491017964072</v>
      </c>
    </row>
    <row r="3369" hidden="1">
      <c r="A3369" s="11" t="n">
        <v>46106</v>
      </c>
      <c r="B3369" t="inlineStr">
        <is>
          <t>Sara Maria Monteiro Lopes</t>
        </is>
      </c>
      <c r="C3369" t="inlineStr">
        <is>
          <t>Técnico I</t>
        </is>
      </c>
      <c r="D3369" t="n">
        <v>12</v>
      </c>
      <c r="E3369" t="n">
        <v>12</v>
      </c>
      <c r="F3369" t="n">
        <v>46.5</v>
      </c>
      <c r="G3369" t="n">
        <v>0</v>
      </c>
      <c r="H3369" t="n">
        <v>0</v>
      </c>
      <c r="I3369" s="3">
        <f>E3369+G3369+H3369</f>
        <v/>
      </c>
      <c r="J3369" s="3">
        <f>ROUND(MIN(IF(C3369="Técnico III",35,IF(C3369="Técnico II",28,IF(C3369="Técnico I",23,IF(C3369="JR",20,IF(C3369="Estágio",10,0))))),IF(C3369="Técnico III",SUMIFS($D:$D,$A:$A,$A3369,$B:$B,"&lt;&gt;Patrícia Karla de Sousa Araújo",$B:$B,"&lt;&gt;Lorena Dias de Araujo",$B:$B,"&lt;&gt;Lucas Luiz Romero")*(35/1083),IF(C3369="Técnico II",SUMIFS($D:$D,$A:$A,$A3369,$B:$B,"&lt;&gt;Patrícia Karla de Sousa Araújo",$B:$B,"&lt;&gt;Lorena Dias de Araujo",$B:$B,"&lt;&gt;Lucas Luiz Romero")*(28/1083),IF(C3369="Técnico I",SUMIFS($D:$D,$A:$A,$A3369,$B:$B,"&lt;&gt;Patrícia Karla de Sousa Araújo",$B:$B,"&lt;&gt;Lorena Dias de Araujo",$B:$B,"&lt;&gt;Lucas Luiz Romero")*(23/1083),IF(C3369="JR",SUMIFS($D:$D,$A:$A,$A3369,$B:$B,"&lt;&gt;Patrícia Karla de Sousa Araújo",$B:$B,"&lt;&gt;Lorena Dias de Araujo",$B:$B,"&lt;&gt;Lucas Luiz Romero")*(20/1083),IF(C3369="Estágio",SUMIFS($D:$D,$A:$A,$A3369,$B:$B,"&lt;&gt;Patrícia Karla de Sousa Araújo",$B:$B,"&lt;&gt;Lorena Dias de Araujo",$B:$B,"&lt;&gt;Lucas Luiz Romero")*(10/1083),0)))))),0)</f>
        <v/>
      </c>
      <c r="K3369" s="3">
        <f>I3369-J3369</f>
        <v/>
      </c>
      <c r="L3369" s="3">
        <f>IF(K3369&lt;-5,"CRÍTICO",IF(K3369&lt;0,"ATENÇÃO",IF(K3369&lt;=5,"OPORTUNO","MUITO BOM")))</f>
        <v/>
      </c>
      <c r="N3369" t="n">
        <v>98.55</v>
      </c>
      <c r="O3369" t="n">
        <v>25.33783783783784</v>
      </c>
    </row>
    <row r="3370" hidden="1">
      <c r="A3370" s="11" t="n">
        <v>46106</v>
      </c>
      <c r="B3370" t="inlineStr">
        <is>
          <t>Sarah Steffanie de Lima Borges</t>
        </is>
      </c>
      <c r="C3370" t="inlineStr">
        <is>
          <t>Técnico III</t>
        </is>
      </c>
      <c r="D3370" t="n">
        <v>25</v>
      </c>
      <c r="E3370" t="n">
        <v>21</v>
      </c>
      <c r="F3370" t="n">
        <v>13.43</v>
      </c>
      <c r="G3370" t="n">
        <v>0</v>
      </c>
      <c r="H3370" t="n">
        <v>0</v>
      </c>
      <c r="I3370" s="3">
        <f>E3370+G3370+H3370</f>
        <v/>
      </c>
      <c r="J3370" s="3">
        <f>ROUND(MIN(IF(C3370="Técnico III",35,IF(C3370="Técnico II",28,IF(C3370="Técnico I",23,IF(C3370="JR",20,IF(C3370="Estágio",10,0))))),IF(C3370="Técnico III",SUMIFS($D:$D,$A:$A,$A3370,$B:$B,"&lt;&gt;Patrícia Karla de Sousa Araújo",$B:$B,"&lt;&gt;Lorena Dias de Araujo",$B:$B,"&lt;&gt;Lucas Luiz Romero")*(35/1083),IF(C3370="Técnico II",SUMIFS($D:$D,$A:$A,$A3370,$B:$B,"&lt;&gt;Patrícia Karla de Sousa Araújo",$B:$B,"&lt;&gt;Lorena Dias de Araujo",$B:$B,"&lt;&gt;Lucas Luiz Romero")*(28/1083),IF(C3370="Técnico I",SUMIFS($D:$D,$A:$A,$A3370,$B:$B,"&lt;&gt;Patrícia Karla de Sousa Araújo",$B:$B,"&lt;&gt;Lorena Dias de Araujo",$B:$B,"&lt;&gt;Lucas Luiz Romero")*(23/1083),IF(C3370="JR",SUMIFS($D:$D,$A:$A,$A3370,$B:$B,"&lt;&gt;Patrícia Karla de Sousa Araújo",$B:$B,"&lt;&gt;Lorena Dias de Araujo",$B:$B,"&lt;&gt;Lucas Luiz Romero")*(20/1083),IF(C3370="Estágio",SUMIFS($D:$D,$A:$A,$A3370,$B:$B,"&lt;&gt;Patrícia Karla de Sousa Araújo",$B:$B,"&lt;&gt;Lorena Dias de Araujo",$B:$B,"&lt;&gt;Lucas Luiz Romero")*(10/1083),0)))))),0)</f>
        <v/>
      </c>
      <c r="K3370" s="3">
        <f>I3370-J3370</f>
        <v/>
      </c>
      <c r="L3370" s="3">
        <f>IF(K3370&lt;-5,"CRÍTICO",IF(K3370&lt;0,"ATENÇÃO",IF(K3370&lt;=5,"OPORTUNO","MUITO BOM")))</f>
        <v/>
      </c>
      <c r="N3370" t="n">
        <v>98.39</v>
      </c>
      <c r="O3370" t="n">
        <v>25.56390977443609</v>
      </c>
    </row>
    <row r="3371" hidden="1">
      <c r="A3371" s="11" t="n">
        <v>46107</v>
      </c>
      <c r="B3371" t="inlineStr">
        <is>
          <t>Alisson de Freitas Silva</t>
        </is>
      </c>
      <c r="C3371" t="inlineStr">
        <is>
          <t>Técnico II</t>
        </is>
      </c>
      <c r="D3371" t="n">
        <v>33</v>
      </c>
      <c r="E3371" t="n">
        <v>28</v>
      </c>
      <c r="F3371" t="n">
        <v>14.09</v>
      </c>
      <c r="G3371" t="n">
        <v>0</v>
      </c>
      <c r="H3371" t="n">
        <v>0</v>
      </c>
      <c r="I3371" s="3">
        <f>E3371+G3371+H3371</f>
        <v/>
      </c>
      <c r="J3371" s="3">
        <f>ROUND(MIN(IF(C3371="Técnico III",35,IF(C3371="Técnico II",28,IF(C3371="Técnico I",23,IF(C3371="JR",20,IF(C3371="Estágio",10,0))))),IF(C3371="Técnico III",SUMIFS($D:$D,$A:$A,$A3371,$B:$B,"&lt;&gt;Patrícia Karla de Sousa Araújo",$B:$B,"&lt;&gt;Lorena Dias de Araujo",$B:$B,"&lt;&gt;Lucas Luiz Romero")*(35/1083),IF(C3371="Técnico II",SUMIFS($D:$D,$A:$A,$A3371,$B:$B,"&lt;&gt;Patrícia Karla de Sousa Araújo",$B:$B,"&lt;&gt;Lorena Dias de Araujo",$B:$B,"&lt;&gt;Lucas Luiz Romero")*(28/1083),IF(C3371="Técnico I",SUMIFS($D:$D,$A:$A,$A3371,$B:$B,"&lt;&gt;Patrícia Karla de Sousa Araújo",$B:$B,"&lt;&gt;Lorena Dias de Araujo",$B:$B,"&lt;&gt;Lucas Luiz Romero")*(23/1083),IF(C3371="JR",SUMIFS($D:$D,$A:$A,$A3371,$B:$B,"&lt;&gt;Patrícia Karla de Sousa Araújo",$B:$B,"&lt;&gt;Lorena Dias de Araujo",$B:$B,"&lt;&gt;Lucas Luiz Romero")*(20/1083),IF(C3371="Estágio",SUMIFS($D:$D,$A:$A,$A3371,$B:$B,"&lt;&gt;Patrícia Karla de Sousa Araújo",$B:$B,"&lt;&gt;Lorena Dias de Araujo",$B:$B,"&lt;&gt;Lucas Luiz Romero")*(10/1083),0)))))),0)</f>
        <v/>
      </c>
      <c r="K3371" s="3">
        <f>I3371-J3371</f>
        <v/>
      </c>
      <c r="L3371" s="3">
        <f>IF(K3371&lt;-5,"CRÍTICO",IF(K3371&lt;0,"ATENÇÃO",IF(K3371&lt;=5,"OPORTUNO","MUITO BOM")))</f>
        <v/>
      </c>
      <c r="N3371" t="n">
        <v>94.29000000000001</v>
      </c>
      <c r="O3371" t="n">
        <v>25.64766839378239</v>
      </c>
    </row>
    <row r="3372" hidden="1">
      <c r="A3372" s="11" t="n">
        <v>46107</v>
      </c>
      <c r="B3372" t="inlineStr">
        <is>
          <t>Amanda Moura Ferreira</t>
        </is>
      </c>
      <c r="C3372" t="inlineStr">
        <is>
          <t>Técnico III</t>
        </is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s="3" t="n">
        <v>0</v>
      </c>
      <c r="J3372" s="3" t="n">
        <v>0</v>
      </c>
      <c r="K3372" s="3" t="n">
        <v>0</v>
      </c>
      <c r="L3372" s="3">
        <f>IF(K3372&lt;-5,"CRÍTICO",IF(K3372&lt;0,"ATENÇÃO",IF(K3372&lt;=5,"OPORTUNO","MUITO BOM")))</f>
        <v/>
      </c>
      <c r="N3372" t="n">
        <v>98.26000000000001</v>
      </c>
      <c r="O3372" t="n">
        <v>26.66666666666667</v>
      </c>
    </row>
    <row r="3373" hidden="1">
      <c r="A3373" s="11" t="n">
        <v>46107</v>
      </c>
      <c r="B3373" t="inlineStr">
        <is>
          <t>Ana Karollyne Souza Faria</t>
        </is>
      </c>
      <c r="C3373" t="inlineStr">
        <is>
          <t>Técnico I</t>
        </is>
      </c>
      <c r="D3373" t="n">
        <v>21</v>
      </c>
      <c r="E3373" t="n">
        <v>21</v>
      </c>
      <c r="F3373" t="n">
        <v>23.32</v>
      </c>
      <c r="G3373" t="n">
        <v>0</v>
      </c>
      <c r="H3373" t="n">
        <v>0</v>
      </c>
      <c r="I3373" s="3">
        <f>E3373+G3373+H3373</f>
        <v/>
      </c>
      <c r="J3373" s="3">
        <f>ROUND(MIN(IF(C3373="Técnico III",35,IF(C3373="Técnico II",28,IF(C3373="Técnico I",23,IF(C3373="JR",20,IF(C3373="Estágio",10,0))))),IF(C3373="Técnico III",SUMIFS($D:$D,$A:$A,$A3373,$B:$B,"&lt;&gt;Patrícia Karla de Sousa Araújo",$B:$B,"&lt;&gt;Lorena Dias de Araujo",$B:$B,"&lt;&gt;Lucas Luiz Romero")*(35/1083),IF(C3373="Técnico II",SUMIFS($D:$D,$A:$A,$A3373,$B:$B,"&lt;&gt;Patrícia Karla de Sousa Araújo",$B:$B,"&lt;&gt;Lorena Dias de Araujo",$B:$B,"&lt;&gt;Lucas Luiz Romero")*(28/1083),IF(C3373="Técnico I",SUMIFS($D:$D,$A:$A,$A3373,$B:$B,"&lt;&gt;Patrícia Karla de Sousa Araújo",$B:$B,"&lt;&gt;Lorena Dias de Araujo",$B:$B,"&lt;&gt;Lucas Luiz Romero")*(23/1083),IF(C3373="JR",SUMIFS($D:$D,$A:$A,$A3373,$B:$B,"&lt;&gt;Patrícia Karla de Sousa Araújo",$B:$B,"&lt;&gt;Lorena Dias de Araujo",$B:$B,"&lt;&gt;Lucas Luiz Romero")*(20/1083),IF(C3373="Estágio",SUMIFS($D:$D,$A:$A,$A3373,$B:$B,"&lt;&gt;Patrícia Karla de Sousa Araújo",$B:$B,"&lt;&gt;Lorena Dias de Araujo",$B:$B,"&lt;&gt;Lucas Luiz Romero")*(10/1083),0)))))),0)</f>
        <v/>
      </c>
      <c r="K3373" s="3">
        <f>I3373-J3373</f>
        <v/>
      </c>
      <c r="L3373" s="3">
        <f>IF(K3373&lt;-5,"CRÍTICO",IF(K3373&lt;0,"ATENÇÃO",IF(K3373&lt;=5,"OPORTUNO","MUITO BOM")))</f>
        <v/>
      </c>
      <c r="N3373" t="n">
        <v>98.2</v>
      </c>
      <c r="O3373" t="n">
        <v>23.37962962962963</v>
      </c>
    </row>
    <row r="3374" hidden="1">
      <c r="A3374" s="11" t="n">
        <v>46107</v>
      </c>
      <c r="B3374" t="inlineStr">
        <is>
          <t>Ana Paula Da Luz Silva Aleixo</t>
        </is>
      </c>
      <c r="C3374" t="inlineStr">
        <is>
          <t>Técnico III</t>
        </is>
      </c>
      <c r="D3374" t="n">
        <v>35</v>
      </c>
      <c r="E3374" t="n">
        <v>32</v>
      </c>
      <c r="F3374" t="n">
        <v>15.52</v>
      </c>
      <c r="G3374" t="n">
        <v>0</v>
      </c>
      <c r="H3374" t="n">
        <v>0</v>
      </c>
      <c r="I3374" s="3">
        <f>E3374+G3374+H3374</f>
        <v/>
      </c>
      <c r="J3374" s="3">
        <f>ROUND(MIN(IF(C3374="Técnico III",35,IF(C3374="Técnico II",28,IF(C3374="Técnico I",23,IF(C3374="JR",20,IF(C3374="Estágio",10,0))))),IF(C3374="Técnico III",SUMIFS($D:$D,$A:$A,$A3374,$B:$B,"&lt;&gt;Patrícia Karla de Sousa Araújo",$B:$B,"&lt;&gt;Lorena Dias de Araujo",$B:$B,"&lt;&gt;Lucas Luiz Romero")*(35/1083),IF(C3374="Técnico II",SUMIFS($D:$D,$A:$A,$A3374,$B:$B,"&lt;&gt;Patrícia Karla de Sousa Araújo",$B:$B,"&lt;&gt;Lorena Dias de Araujo",$B:$B,"&lt;&gt;Lucas Luiz Romero")*(28/1083),IF(C3374="Técnico I",SUMIFS($D:$D,$A:$A,$A3374,$B:$B,"&lt;&gt;Patrícia Karla de Sousa Araújo",$B:$B,"&lt;&gt;Lorena Dias de Araujo",$B:$B,"&lt;&gt;Lucas Luiz Romero")*(23/1083),IF(C3374="JR",SUMIFS($D:$D,$A:$A,$A3374,$B:$B,"&lt;&gt;Patrícia Karla de Sousa Araújo",$B:$B,"&lt;&gt;Lorena Dias de Araujo",$B:$B,"&lt;&gt;Lucas Luiz Romero")*(20/1083),IF(C3374="Estágio",SUMIFS($D:$D,$A:$A,$A3374,$B:$B,"&lt;&gt;Patrícia Karla de Sousa Araújo",$B:$B,"&lt;&gt;Lorena Dias de Araujo",$B:$B,"&lt;&gt;Lucas Luiz Romero")*(10/1083),0)))))),0)</f>
        <v/>
      </c>
      <c r="K3374" s="3">
        <f>I3374-J3374</f>
        <v/>
      </c>
      <c r="L3374" s="3">
        <f>IF(K3374&lt;-5,"CRÍTICO",IF(K3374&lt;0,"ATENÇÃO",IF(K3374&lt;=5,"OPORTUNO","MUITO BOM")))</f>
        <v/>
      </c>
      <c r="N3374" t="n">
        <v>97.3</v>
      </c>
      <c r="O3374" t="n">
        <v>23.84769539078156</v>
      </c>
    </row>
    <row r="3375" hidden="1">
      <c r="A3375" s="11" t="n">
        <v>46107</v>
      </c>
      <c r="B3375" t="inlineStr">
        <is>
          <t>Anna Luiza Rezende Tavares</t>
        </is>
      </c>
      <c r="C3375" t="inlineStr">
        <is>
          <t>Estágio</t>
        </is>
      </c>
      <c r="D3375" t="n">
        <v>21</v>
      </c>
      <c r="E3375" t="n">
        <v>20</v>
      </c>
      <c r="F3375" t="n">
        <v>15.55</v>
      </c>
      <c r="G3375" t="n">
        <v>0</v>
      </c>
      <c r="H3375" t="n">
        <v>0</v>
      </c>
      <c r="I3375" s="3">
        <f>E3375+G3375+H3375</f>
        <v/>
      </c>
      <c r="J3375" s="3">
        <f>ROUND(MIN(IF(C3375="Técnico III",35,IF(C3375="Técnico II",28,IF(C3375="Técnico I",23,IF(C3375="JR",20,IF(C3375="Estágio",10,0))))),IF(C3375="Técnico III",SUMIFS($D:$D,$A:$A,$A3375,$B:$B,"&lt;&gt;Patrícia Karla de Sousa Araújo",$B:$B,"&lt;&gt;Lorena Dias de Araujo",$B:$B,"&lt;&gt;Lucas Luiz Romero")*(35/1083),IF(C3375="Técnico II",SUMIFS($D:$D,$A:$A,$A3375,$B:$B,"&lt;&gt;Patrícia Karla de Sousa Araújo",$B:$B,"&lt;&gt;Lorena Dias de Araujo",$B:$B,"&lt;&gt;Lucas Luiz Romero")*(28/1083),IF(C3375="Técnico I",SUMIFS($D:$D,$A:$A,$A3375,$B:$B,"&lt;&gt;Patrícia Karla de Sousa Araújo",$B:$B,"&lt;&gt;Lorena Dias de Araujo",$B:$B,"&lt;&gt;Lucas Luiz Romero")*(23/1083),IF(C3375="JR",SUMIFS($D:$D,$A:$A,$A3375,$B:$B,"&lt;&gt;Patrícia Karla de Sousa Araújo",$B:$B,"&lt;&gt;Lorena Dias de Araujo",$B:$B,"&lt;&gt;Lucas Luiz Romero")*(20/1083),IF(C3375="Estágio",SUMIFS($D:$D,$A:$A,$A3375,$B:$B,"&lt;&gt;Patrícia Karla de Sousa Araújo",$B:$B,"&lt;&gt;Lorena Dias de Araujo",$B:$B,"&lt;&gt;Lucas Luiz Romero")*(10/1083),0)))))),0)</f>
        <v/>
      </c>
      <c r="K3375" s="3">
        <f>I3375-J3375</f>
        <v/>
      </c>
      <c r="L3375" s="3">
        <f>IF(K3375&lt;-5,"CRÍTICO",IF(K3375&lt;0,"ATENÇÃO",IF(K3375&lt;=5,"OPORTUNO","MUITO BOM")))</f>
        <v/>
      </c>
      <c r="N3375" t="n">
        <v>100</v>
      </c>
      <c r="O3375" t="n">
        <v>25.26881720430108</v>
      </c>
    </row>
    <row r="3376" hidden="1">
      <c r="A3376" s="11" t="n">
        <v>46107</v>
      </c>
      <c r="B3376" t="inlineStr">
        <is>
          <t>Brenda de Menezes Silva</t>
        </is>
      </c>
      <c r="C3376" t="inlineStr">
        <is>
          <t>Técnico II</t>
        </is>
      </c>
      <c r="D3376" t="n">
        <v>35</v>
      </c>
      <c r="E3376" t="n">
        <v>31</v>
      </c>
      <c r="F3376" t="n">
        <v>15.38</v>
      </c>
      <c r="G3376" t="n">
        <v>0</v>
      </c>
      <c r="H3376" t="n">
        <v>0</v>
      </c>
      <c r="I3376" s="3">
        <f>E3376+G3376+H3376</f>
        <v/>
      </c>
      <c r="J3376" s="3">
        <f>ROUND(MIN(IF(C3376="Técnico III",35,IF(C3376="Técnico II",28,IF(C3376="Técnico I",23,IF(C3376="JR",20,IF(C3376="Estágio",10,0))))),IF(C3376="Técnico III",SUMIFS($D:$D,$A:$A,$A3376,$B:$B,"&lt;&gt;Patrícia Karla de Sousa Araújo",$B:$B,"&lt;&gt;Lorena Dias de Araujo",$B:$B,"&lt;&gt;Lucas Luiz Romero")*(35/1083),IF(C3376="Técnico II",SUMIFS($D:$D,$A:$A,$A3376,$B:$B,"&lt;&gt;Patrícia Karla de Sousa Araújo",$B:$B,"&lt;&gt;Lorena Dias de Araujo",$B:$B,"&lt;&gt;Lucas Luiz Romero")*(28/1083),IF(C3376="Técnico I",SUMIFS($D:$D,$A:$A,$A3376,$B:$B,"&lt;&gt;Patrícia Karla de Sousa Araújo",$B:$B,"&lt;&gt;Lorena Dias de Araujo",$B:$B,"&lt;&gt;Lucas Luiz Romero")*(23/1083),IF(C3376="JR",SUMIFS($D:$D,$A:$A,$A3376,$B:$B,"&lt;&gt;Patrícia Karla de Sousa Araújo",$B:$B,"&lt;&gt;Lorena Dias de Araujo",$B:$B,"&lt;&gt;Lucas Luiz Romero")*(20/1083),IF(C3376="Estágio",SUMIFS($D:$D,$A:$A,$A3376,$B:$B,"&lt;&gt;Patrícia Karla de Sousa Araújo",$B:$B,"&lt;&gt;Lorena Dias de Araujo",$B:$B,"&lt;&gt;Lucas Luiz Romero")*(10/1083),0)))))),0)</f>
        <v/>
      </c>
      <c r="K3376" s="3">
        <f>I3376-J3376</f>
        <v/>
      </c>
      <c r="L3376" s="3">
        <f>IF(K3376&lt;-5,"CRÍTICO",IF(K3376&lt;0,"ATENÇÃO",IF(K3376&lt;=5,"OPORTUNO","MUITO BOM")))</f>
        <v/>
      </c>
      <c r="N3376" t="n">
        <v>99.31999999999999</v>
      </c>
      <c r="O3376" t="n">
        <v>22.82282282282282</v>
      </c>
    </row>
    <row r="3377" hidden="1">
      <c r="A3377" s="11" t="n">
        <v>46107</v>
      </c>
      <c r="B3377" t="inlineStr">
        <is>
          <t>Carlos Mateus Cassimiro Nunes</t>
        </is>
      </c>
      <c r="C3377" t="inlineStr">
        <is>
          <t>Técnico II</t>
        </is>
      </c>
      <c r="D3377" t="n">
        <v>18</v>
      </c>
      <c r="E3377" t="n">
        <v>18</v>
      </c>
      <c r="F3377" t="n">
        <v>27</v>
      </c>
      <c r="G3377" t="n">
        <v>0</v>
      </c>
      <c r="H3377" t="n">
        <v>0</v>
      </c>
      <c r="I3377" s="3">
        <f>E3377+G3377+H3377</f>
        <v/>
      </c>
      <c r="J3377" s="3">
        <f>ROUND(MIN(IF(C3377="Técnico III",35,IF(C3377="Técnico II",28,IF(C3377="Técnico I",23,IF(C3377="JR",20,IF(C3377="Estágio",10,0))))),IF(C3377="Técnico III",SUMIFS($D:$D,$A:$A,$A3377,$B:$B,"&lt;&gt;Patrícia Karla de Sousa Araújo",$B:$B,"&lt;&gt;Lorena Dias de Araujo",$B:$B,"&lt;&gt;Lucas Luiz Romero")*(35/1083),IF(C3377="Técnico II",SUMIFS($D:$D,$A:$A,$A3377,$B:$B,"&lt;&gt;Patrícia Karla de Sousa Araújo",$B:$B,"&lt;&gt;Lorena Dias de Araujo",$B:$B,"&lt;&gt;Lucas Luiz Romero")*(28/1083),IF(C3377="Técnico I",SUMIFS($D:$D,$A:$A,$A3377,$B:$B,"&lt;&gt;Patrícia Karla de Sousa Araújo",$B:$B,"&lt;&gt;Lorena Dias de Araujo",$B:$B,"&lt;&gt;Lucas Luiz Romero")*(23/1083),IF(C3377="JR",SUMIFS($D:$D,$A:$A,$A3377,$B:$B,"&lt;&gt;Patrícia Karla de Sousa Araújo",$B:$B,"&lt;&gt;Lorena Dias de Araujo",$B:$B,"&lt;&gt;Lucas Luiz Romero")*(20/1083),IF(C3377="Estágio",SUMIFS($D:$D,$A:$A,$A3377,$B:$B,"&lt;&gt;Patrícia Karla de Sousa Araújo",$B:$B,"&lt;&gt;Lorena Dias de Araujo",$B:$B,"&lt;&gt;Lucas Luiz Romero")*(10/1083),0)))))),0)</f>
        <v/>
      </c>
      <c r="K3377" s="3">
        <f>I3377-J3377</f>
        <v/>
      </c>
      <c r="L3377" s="3">
        <f>IF(K3377&lt;-5,"CRÍTICO",IF(K3377&lt;0,"ATENÇÃO",IF(K3377&lt;=5,"OPORTUNO","MUITO BOM")))</f>
        <v/>
      </c>
      <c r="N3377" t="n">
        <v>100</v>
      </c>
      <c r="O3377" t="n">
        <v>27.96610169491525</v>
      </c>
    </row>
    <row r="3378" hidden="1">
      <c r="A3378" s="11" t="n">
        <v>46107</v>
      </c>
      <c r="B3378" t="inlineStr">
        <is>
          <t>Claudio de Sousa Velasco Filho</t>
        </is>
      </c>
      <c r="C3378" t="inlineStr">
        <is>
          <t>Estágio</t>
        </is>
      </c>
      <c r="D3378" t="n">
        <v>8</v>
      </c>
      <c r="E3378" t="n">
        <v>7</v>
      </c>
      <c r="F3378" t="n">
        <v>25.28</v>
      </c>
      <c r="G3378" t="n">
        <v>0</v>
      </c>
      <c r="H3378" t="n">
        <v>0</v>
      </c>
      <c r="I3378" s="3">
        <f>E3378+G3378+H3378</f>
        <v/>
      </c>
      <c r="J3378" s="3">
        <f>ROUND(MIN(IF(C3378="Técnico III",35,IF(C3378="Técnico II",28,IF(C3378="Técnico I",23,IF(C3378="JR",20,IF(C3378="Estágio",10,0))))),IF(C3378="Técnico III",SUMIFS($D:$D,$A:$A,$A3378,$B:$B,"&lt;&gt;Patrícia Karla de Sousa Araújo",$B:$B,"&lt;&gt;Lorena Dias de Araujo",$B:$B,"&lt;&gt;Lucas Luiz Romero")*(35/1083),IF(C3378="Técnico II",SUMIFS($D:$D,$A:$A,$A3378,$B:$B,"&lt;&gt;Patrícia Karla de Sousa Araújo",$B:$B,"&lt;&gt;Lorena Dias de Araujo",$B:$B,"&lt;&gt;Lucas Luiz Romero")*(28/1083),IF(C3378="Técnico I",SUMIFS($D:$D,$A:$A,$A3378,$B:$B,"&lt;&gt;Patrícia Karla de Sousa Araújo",$B:$B,"&lt;&gt;Lorena Dias de Araujo",$B:$B,"&lt;&gt;Lucas Luiz Romero")*(23/1083),IF(C3378="JR",SUMIFS($D:$D,$A:$A,$A3378,$B:$B,"&lt;&gt;Patrícia Karla de Sousa Araújo",$B:$B,"&lt;&gt;Lorena Dias de Araujo",$B:$B,"&lt;&gt;Lucas Luiz Romero")*(20/1083),IF(C3378="Estágio",SUMIFS($D:$D,$A:$A,$A3378,$B:$B,"&lt;&gt;Patrícia Karla de Sousa Araújo",$B:$B,"&lt;&gt;Lorena Dias de Araujo",$B:$B,"&lt;&gt;Lucas Luiz Romero")*(10/1083),0)))))),0)</f>
        <v/>
      </c>
      <c r="K3378" s="3">
        <f>I3378-J3378</f>
        <v/>
      </c>
      <c r="L3378" s="3">
        <f>IF(K3378&lt;-5,"CRÍTICO",IF(K3378&lt;0,"ATENÇÃO",IF(K3378&lt;=5,"OPORTUNO","MUITO BOM")))</f>
        <v/>
      </c>
      <c r="N3378" t="n">
        <v>100</v>
      </c>
      <c r="O3378" t="n">
        <v>30.43478260869566</v>
      </c>
    </row>
    <row r="3379" hidden="1">
      <c r="A3379" s="11" t="n">
        <v>46107</v>
      </c>
      <c r="B3379" t="inlineStr">
        <is>
          <t>Clessiane Pereira dos Santos</t>
        </is>
      </c>
      <c r="C3379" t="inlineStr">
        <is>
          <t>Técnico I</t>
        </is>
      </c>
      <c r="D3379" t="n">
        <v>22</v>
      </c>
      <c r="E3379" t="n">
        <v>22</v>
      </c>
      <c r="F3379" t="n">
        <v>21.58</v>
      </c>
      <c r="G3379" t="n">
        <v>0</v>
      </c>
      <c r="H3379" t="n">
        <v>0</v>
      </c>
      <c r="I3379" s="3">
        <f>E3379+G3379+H3379</f>
        <v/>
      </c>
      <c r="J3379" s="3">
        <f>ROUND(MIN(IF(C3379="Técnico III",35,IF(C3379="Técnico II",28,IF(C3379="Técnico I",23,IF(C3379="JR",20,IF(C3379="Estágio",10,0))))),IF(C3379="Técnico III",SUMIFS($D:$D,$A:$A,$A3379,$B:$B,"&lt;&gt;Patrícia Karla de Sousa Araújo",$B:$B,"&lt;&gt;Lorena Dias de Araujo",$B:$B,"&lt;&gt;Lucas Luiz Romero")*(35/1083),IF(C3379="Técnico II",SUMIFS($D:$D,$A:$A,$A3379,$B:$B,"&lt;&gt;Patrícia Karla de Sousa Araújo",$B:$B,"&lt;&gt;Lorena Dias de Araujo",$B:$B,"&lt;&gt;Lucas Luiz Romero")*(28/1083),IF(C3379="Técnico I",SUMIFS($D:$D,$A:$A,$A3379,$B:$B,"&lt;&gt;Patrícia Karla de Sousa Araújo",$B:$B,"&lt;&gt;Lorena Dias de Araujo",$B:$B,"&lt;&gt;Lucas Luiz Romero")*(23/1083),IF(C3379="JR",SUMIFS($D:$D,$A:$A,$A3379,$B:$B,"&lt;&gt;Patrícia Karla de Sousa Araújo",$B:$B,"&lt;&gt;Lorena Dias de Araujo",$B:$B,"&lt;&gt;Lucas Luiz Romero")*(20/1083),IF(C3379="Estágio",SUMIFS($D:$D,$A:$A,$A3379,$B:$B,"&lt;&gt;Patrícia Karla de Sousa Araújo",$B:$B,"&lt;&gt;Lorena Dias de Araujo",$B:$B,"&lt;&gt;Lucas Luiz Romero")*(10/1083),0)))))),0)</f>
        <v/>
      </c>
      <c r="K3379" s="3">
        <f>I3379-J3379</f>
        <v/>
      </c>
      <c r="L3379" s="3">
        <f>IF(K3379&lt;-5,"CRÍTICO",IF(K3379&lt;0,"ATENÇÃO",IF(K3379&lt;=5,"OPORTUNO","MUITO BOM")))</f>
        <v/>
      </c>
      <c r="N3379" t="n">
        <v>96.51000000000001</v>
      </c>
      <c r="O3379" t="n">
        <v>22.80285035629454</v>
      </c>
    </row>
    <row r="3380" hidden="1">
      <c r="A3380" s="11" t="n">
        <v>46107</v>
      </c>
      <c r="B3380" t="inlineStr">
        <is>
          <t>Cristiane Ramos da Silva Rocha</t>
        </is>
      </c>
      <c r="C3380" t="inlineStr">
        <is>
          <t>Técnico III</t>
        </is>
      </c>
      <c r="D3380" t="n">
        <v>36</v>
      </c>
      <c r="E3380" t="n">
        <v>33</v>
      </c>
      <c r="F3380" t="n">
        <v>13.27</v>
      </c>
      <c r="G3380" t="n">
        <v>0</v>
      </c>
      <c r="H3380" t="n">
        <v>0</v>
      </c>
      <c r="I3380" s="3">
        <f>E3380+G3380+H3380</f>
        <v/>
      </c>
      <c r="J3380" s="3">
        <f>ROUND(MIN(IF(C3380="Técnico III",35,IF(C3380="Técnico II",28,IF(C3380="Técnico I",23,IF(C3380="JR",20,IF(C3380="Estágio",10,0))))),IF(C3380="Técnico III",SUMIFS($D:$D,$A:$A,$A3380,$B:$B,"&lt;&gt;Patrícia Karla de Sousa Araújo",$B:$B,"&lt;&gt;Lorena Dias de Araujo",$B:$B,"&lt;&gt;Lucas Luiz Romero")*(35/1083),IF(C3380="Técnico II",SUMIFS($D:$D,$A:$A,$A3380,$B:$B,"&lt;&gt;Patrícia Karla de Sousa Araújo",$B:$B,"&lt;&gt;Lorena Dias de Araujo",$B:$B,"&lt;&gt;Lucas Luiz Romero")*(28/1083),IF(C3380="Técnico I",SUMIFS($D:$D,$A:$A,$A3380,$B:$B,"&lt;&gt;Patrícia Karla de Sousa Araújo",$B:$B,"&lt;&gt;Lorena Dias de Araujo",$B:$B,"&lt;&gt;Lucas Luiz Romero")*(23/1083),IF(C3380="JR",SUMIFS($D:$D,$A:$A,$A3380,$B:$B,"&lt;&gt;Patrícia Karla de Sousa Araújo",$B:$B,"&lt;&gt;Lorena Dias de Araujo",$B:$B,"&lt;&gt;Lucas Luiz Romero")*(20/1083),IF(C3380="Estágio",SUMIFS($D:$D,$A:$A,$A3380,$B:$B,"&lt;&gt;Patrícia Karla de Sousa Araújo",$B:$B,"&lt;&gt;Lorena Dias de Araujo",$B:$B,"&lt;&gt;Lucas Luiz Romero")*(10/1083),0)))))),0)</f>
        <v/>
      </c>
      <c r="K3380" s="3">
        <f>I3380-J3380</f>
        <v/>
      </c>
      <c r="L3380" s="3">
        <f>IF(K3380&lt;-5,"CRÍTICO",IF(K3380&lt;0,"ATENÇÃO",IF(K3380&lt;=5,"OPORTUNO","MUITO BOM")))</f>
        <v/>
      </c>
      <c r="N3380" t="n">
        <v>92.68000000000001</v>
      </c>
      <c r="O3380" t="n">
        <v>27.77777777777778</v>
      </c>
    </row>
    <row r="3381" hidden="1">
      <c r="A3381" s="11" t="n">
        <v>46107</v>
      </c>
      <c r="B3381" t="inlineStr">
        <is>
          <t>Damyllis Lorraine de Oliveira Gonçalves</t>
        </is>
      </c>
      <c r="C3381" t="inlineStr">
        <is>
          <t>Técnico II</t>
        </is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s="3" t="n">
        <v>0</v>
      </c>
      <c r="J3381" s="3" t="n">
        <v>0</v>
      </c>
      <c r="K3381" s="3" t="n">
        <v>0</v>
      </c>
      <c r="L3381" s="3">
        <f>IF(K3381&lt;-5,"CRÍTICO",IF(K3381&lt;0,"ATENÇÃO",IF(K3381&lt;=5,"OPORTUNO","MUITO BOM")))</f>
        <v/>
      </c>
      <c r="N3381" t="n">
        <v>99.03</v>
      </c>
      <c r="O3381" t="n">
        <v>23.99150743099788</v>
      </c>
    </row>
    <row r="3382" hidden="1">
      <c r="A3382" s="11" t="n">
        <v>46107</v>
      </c>
      <c r="B3382" t="inlineStr">
        <is>
          <t>Daniel Gomes da Silva</t>
        </is>
      </c>
      <c r="C3382" t="inlineStr">
        <is>
          <t>Técnico I</t>
        </is>
      </c>
      <c r="D3382" t="n">
        <v>17</v>
      </c>
      <c r="E3382" t="n">
        <v>17</v>
      </c>
      <c r="F3382" t="n">
        <v>25.03</v>
      </c>
      <c r="G3382" t="n">
        <v>0</v>
      </c>
      <c r="H3382" t="n">
        <v>0</v>
      </c>
      <c r="I3382" s="3">
        <f>E3382+G3382+H3382</f>
        <v/>
      </c>
      <c r="J3382" s="3">
        <f>ROUND(MIN(IF(C3382="Técnico III",35,IF(C3382="Técnico II",28,IF(C3382="Técnico I",23,IF(C3382="JR",20,IF(C3382="Estágio",10,0))))),IF(C3382="Técnico III",SUMIFS($D:$D,$A:$A,$A3382,$B:$B,"&lt;&gt;Patrícia Karla de Sousa Araújo",$B:$B,"&lt;&gt;Lorena Dias de Araujo",$B:$B,"&lt;&gt;Lucas Luiz Romero")*(35/1083),IF(C3382="Técnico II",SUMIFS($D:$D,$A:$A,$A3382,$B:$B,"&lt;&gt;Patrícia Karla de Sousa Araújo",$B:$B,"&lt;&gt;Lorena Dias de Araujo",$B:$B,"&lt;&gt;Lucas Luiz Romero")*(28/1083),IF(C3382="Técnico I",SUMIFS($D:$D,$A:$A,$A3382,$B:$B,"&lt;&gt;Patrícia Karla de Sousa Araújo",$B:$B,"&lt;&gt;Lorena Dias de Araujo",$B:$B,"&lt;&gt;Lucas Luiz Romero")*(23/1083),IF(C3382="JR",SUMIFS($D:$D,$A:$A,$A3382,$B:$B,"&lt;&gt;Patrícia Karla de Sousa Araújo",$B:$B,"&lt;&gt;Lorena Dias de Araujo",$B:$B,"&lt;&gt;Lucas Luiz Romero")*(20/1083),IF(C3382="Estágio",SUMIFS($D:$D,$A:$A,$A3382,$B:$B,"&lt;&gt;Patrícia Karla de Sousa Araújo",$B:$B,"&lt;&gt;Lorena Dias de Araujo",$B:$B,"&lt;&gt;Lucas Luiz Romero")*(10/1083),0)))))),0)</f>
        <v/>
      </c>
      <c r="K3382" s="3">
        <f>I3382-J3382</f>
        <v/>
      </c>
      <c r="L3382" s="3">
        <f>IF(K3382&lt;-5,"CRÍTICO",IF(K3382&lt;0,"ATENÇÃO",IF(K3382&lt;=5,"OPORTUNO","MUITO BOM")))</f>
        <v/>
      </c>
      <c r="N3382" t="n">
        <v>98.41</v>
      </c>
      <c r="O3382" t="n">
        <v>28.13852813852814</v>
      </c>
    </row>
    <row r="3383" hidden="1">
      <c r="A3383" s="11" t="n">
        <v>46107</v>
      </c>
      <c r="B3383" t="inlineStr">
        <is>
          <t>Davylla Rodrigues Freitas Silva</t>
        </is>
      </c>
      <c r="C3383" t="inlineStr">
        <is>
          <t>Técnico III</t>
        </is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s="3" t="n">
        <v>0</v>
      </c>
      <c r="J3383" s="3" t="n">
        <v>0</v>
      </c>
      <c r="K3383" s="3" t="n">
        <v>0</v>
      </c>
      <c r="L3383" s="3">
        <f>IF(K3383&lt;-5,"CRÍTICO",IF(K3383&lt;0,"ATENÇÃO",IF(K3383&lt;=5,"OPORTUNO","MUITO BOM")))</f>
        <v/>
      </c>
      <c r="N3383" t="n">
        <v>98.73</v>
      </c>
      <c r="O3383" t="n">
        <v>29.14285714285714</v>
      </c>
    </row>
    <row r="3384" hidden="1">
      <c r="A3384" s="11" t="n">
        <v>46107</v>
      </c>
      <c r="B3384" t="inlineStr">
        <is>
          <t>Emilly Caylane Costa</t>
        </is>
      </c>
      <c r="C3384" t="inlineStr">
        <is>
          <t>Estágio</t>
        </is>
      </c>
      <c r="D3384" t="n">
        <v>15</v>
      </c>
      <c r="E3384" t="n">
        <v>13</v>
      </c>
      <c r="F3384" t="n">
        <v>20.47</v>
      </c>
      <c r="G3384" t="n">
        <v>0</v>
      </c>
      <c r="H3384" t="n">
        <v>0</v>
      </c>
      <c r="I3384" s="3">
        <f>E3384+G3384+H3384</f>
        <v/>
      </c>
      <c r="J3384" s="3">
        <f>ROUND(MIN(IF(C3384="Técnico III",35,IF(C3384="Técnico II",28,IF(C3384="Técnico I",23,IF(C3384="JR",20,IF(C3384="Estágio",10,0))))),IF(C3384="Técnico III",SUMIFS($D:$D,$A:$A,$A3384,$B:$B,"&lt;&gt;Patrícia Karla de Sousa Araújo",$B:$B,"&lt;&gt;Lorena Dias de Araujo",$B:$B,"&lt;&gt;Lucas Luiz Romero")*(35/1083),IF(C3384="Técnico II",SUMIFS($D:$D,$A:$A,$A3384,$B:$B,"&lt;&gt;Patrícia Karla de Sousa Araújo",$B:$B,"&lt;&gt;Lorena Dias de Araujo",$B:$B,"&lt;&gt;Lucas Luiz Romero")*(28/1083),IF(C3384="Técnico I",SUMIFS($D:$D,$A:$A,$A3384,$B:$B,"&lt;&gt;Patrícia Karla de Sousa Araújo",$B:$B,"&lt;&gt;Lorena Dias de Araujo",$B:$B,"&lt;&gt;Lucas Luiz Romero")*(23/1083),IF(C3384="JR",SUMIFS($D:$D,$A:$A,$A3384,$B:$B,"&lt;&gt;Patrícia Karla de Sousa Araújo",$B:$B,"&lt;&gt;Lorena Dias de Araujo",$B:$B,"&lt;&gt;Lucas Luiz Romero")*(20/1083),IF(C3384="Estágio",SUMIFS($D:$D,$A:$A,$A3384,$B:$B,"&lt;&gt;Patrícia Karla de Sousa Araújo",$B:$B,"&lt;&gt;Lorena Dias de Araujo",$B:$B,"&lt;&gt;Lucas Luiz Romero")*(10/1083),0)))))),0)</f>
        <v/>
      </c>
      <c r="K3384" s="3">
        <f>I3384-J3384</f>
        <v/>
      </c>
      <c r="L3384" s="3">
        <f>IF(K3384&lt;-5,"CRÍTICO",IF(K3384&lt;0,"ATENÇÃO",IF(K3384&lt;=5,"OPORTUNO","MUITO BOM")))</f>
        <v/>
      </c>
      <c r="N3384" t="n">
        <v>90.48</v>
      </c>
      <c r="O3384" t="n">
        <v>20.68965517241379</v>
      </c>
    </row>
    <row r="3385" hidden="1">
      <c r="A3385" s="11" t="n">
        <v>46107</v>
      </c>
      <c r="B3385" t="inlineStr">
        <is>
          <t>Emilly Kamilly Medeiros Miranda</t>
        </is>
      </c>
      <c r="C3385" t="inlineStr">
        <is>
          <t>Técnico II</t>
        </is>
      </c>
      <c r="D3385" t="n">
        <v>29</v>
      </c>
      <c r="E3385" t="n">
        <v>26</v>
      </c>
      <c r="F3385" t="n">
        <v>16.44</v>
      </c>
      <c r="G3385" t="n">
        <v>0</v>
      </c>
      <c r="H3385" t="n">
        <v>0</v>
      </c>
      <c r="I3385" s="3">
        <f>E3385+G3385+H3385</f>
        <v/>
      </c>
      <c r="J3385" s="3">
        <f>ROUND(MIN(IF(C3385="Técnico III",35,IF(C3385="Técnico II",28,IF(C3385="Técnico I",23,IF(C3385="JR",20,IF(C3385="Estágio",10,0))))),IF(C3385="Técnico III",SUMIFS($D:$D,$A:$A,$A3385,$B:$B,"&lt;&gt;Patrícia Karla de Sousa Araújo",$B:$B,"&lt;&gt;Lorena Dias de Araujo",$B:$B,"&lt;&gt;Lucas Luiz Romero")*(35/1083),IF(C3385="Técnico II",SUMIFS($D:$D,$A:$A,$A3385,$B:$B,"&lt;&gt;Patrícia Karla de Sousa Araújo",$B:$B,"&lt;&gt;Lorena Dias de Araujo",$B:$B,"&lt;&gt;Lucas Luiz Romero")*(28/1083),IF(C3385="Técnico I",SUMIFS($D:$D,$A:$A,$A3385,$B:$B,"&lt;&gt;Patrícia Karla de Sousa Araújo",$B:$B,"&lt;&gt;Lorena Dias de Araujo",$B:$B,"&lt;&gt;Lucas Luiz Romero")*(23/1083),IF(C3385="JR",SUMIFS($D:$D,$A:$A,$A3385,$B:$B,"&lt;&gt;Patrícia Karla de Sousa Araújo",$B:$B,"&lt;&gt;Lorena Dias de Araujo",$B:$B,"&lt;&gt;Lucas Luiz Romero")*(20/1083),IF(C3385="Estágio",SUMIFS($D:$D,$A:$A,$A3385,$B:$B,"&lt;&gt;Patrícia Karla de Sousa Araújo",$B:$B,"&lt;&gt;Lorena Dias de Araujo",$B:$B,"&lt;&gt;Lucas Luiz Romero")*(10/1083),0)))))),0)</f>
        <v/>
      </c>
      <c r="K3385" s="3">
        <f>I3385-J3385</f>
        <v/>
      </c>
      <c r="L3385" s="3">
        <f>IF(K3385&lt;-5,"CRÍTICO",IF(K3385&lt;0,"ATENÇÃO",IF(K3385&lt;=5,"OPORTUNO","MUITO BOM")))</f>
        <v/>
      </c>
      <c r="N3385" t="n">
        <v>98.06</v>
      </c>
      <c r="O3385" t="n">
        <v>24.78991596638656</v>
      </c>
    </row>
    <row r="3386" hidden="1">
      <c r="A3386" s="11" t="n">
        <v>46107</v>
      </c>
      <c r="B3386" t="inlineStr">
        <is>
          <t>Francielson de Oliveira</t>
        </is>
      </c>
      <c r="C3386" t="inlineStr">
        <is>
          <t>Técnico III</t>
        </is>
      </c>
      <c r="D3386" t="n">
        <v>31</v>
      </c>
      <c r="E3386" t="n">
        <v>30</v>
      </c>
      <c r="F3386" t="n">
        <v>18.32</v>
      </c>
      <c r="G3386" t="n">
        <v>0</v>
      </c>
      <c r="H3386" t="n">
        <v>0</v>
      </c>
      <c r="I3386" s="3">
        <f>E3386+G3386+H3386</f>
        <v/>
      </c>
      <c r="J3386" s="3">
        <f>ROUND(MIN(IF(C3386="Técnico III",35,IF(C3386="Técnico II",28,IF(C3386="Técnico I",23,IF(C3386="JR",20,IF(C3386="Estágio",10,0))))),IF(C3386="Técnico III",SUMIFS($D:$D,$A:$A,$A3386,$B:$B,"&lt;&gt;Patrícia Karla de Sousa Araújo",$B:$B,"&lt;&gt;Lorena Dias de Araujo",$B:$B,"&lt;&gt;Lucas Luiz Romero")*(35/1083),IF(C3386="Técnico II",SUMIFS($D:$D,$A:$A,$A3386,$B:$B,"&lt;&gt;Patrícia Karla de Sousa Araújo",$B:$B,"&lt;&gt;Lorena Dias de Araujo",$B:$B,"&lt;&gt;Lucas Luiz Romero")*(28/1083),IF(C3386="Técnico I",SUMIFS($D:$D,$A:$A,$A3386,$B:$B,"&lt;&gt;Patrícia Karla de Sousa Araújo",$B:$B,"&lt;&gt;Lorena Dias de Araujo",$B:$B,"&lt;&gt;Lucas Luiz Romero")*(23/1083),IF(C3386="JR",SUMIFS($D:$D,$A:$A,$A3386,$B:$B,"&lt;&gt;Patrícia Karla de Sousa Araújo",$B:$B,"&lt;&gt;Lorena Dias de Araujo",$B:$B,"&lt;&gt;Lucas Luiz Romero")*(20/1083),IF(C3386="Estágio",SUMIFS($D:$D,$A:$A,$A3386,$B:$B,"&lt;&gt;Patrícia Karla de Sousa Araújo",$B:$B,"&lt;&gt;Lorena Dias de Araujo",$B:$B,"&lt;&gt;Lucas Luiz Romero")*(10/1083),0)))))),0)</f>
        <v/>
      </c>
      <c r="K3386" s="3">
        <f>I3386-J3386</f>
        <v/>
      </c>
      <c r="L3386" s="3">
        <f>IF(K3386&lt;-5,"CRÍTICO",IF(K3386&lt;0,"ATENÇÃO",IF(K3386&lt;=5,"OPORTUNO","MUITO BOM")))</f>
        <v/>
      </c>
      <c r="N3386" t="n">
        <v>97.78</v>
      </c>
      <c r="O3386" t="n">
        <v>25.49407114624506</v>
      </c>
    </row>
    <row r="3387" hidden="1">
      <c r="A3387" s="11" t="n">
        <v>46107</v>
      </c>
      <c r="B3387" t="inlineStr">
        <is>
          <t>Francilene Ferreira de Jesus</t>
        </is>
      </c>
      <c r="C3387" t="inlineStr">
        <is>
          <t>Técnico II</t>
        </is>
      </c>
      <c r="D3387" t="n">
        <v>23</v>
      </c>
      <c r="E3387" t="n">
        <v>23</v>
      </c>
      <c r="F3387" t="n">
        <v>24.1</v>
      </c>
      <c r="G3387" t="n">
        <v>0</v>
      </c>
      <c r="H3387" t="n">
        <v>0</v>
      </c>
      <c r="I3387" s="3">
        <f>E3387+G3387+H3387</f>
        <v/>
      </c>
      <c r="J3387" s="3">
        <f>ROUND(MIN(IF(C3387="Técnico III",35,IF(C3387="Técnico II",28,IF(C3387="Técnico I",23,IF(C3387="JR",20,IF(C3387="Estágio",10,0))))),IF(C3387="Técnico III",SUMIFS($D:$D,$A:$A,$A3387,$B:$B,"&lt;&gt;Patrícia Karla de Sousa Araújo",$B:$B,"&lt;&gt;Lorena Dias de Araujo",$B:$B,"&lt;&gt;Lucas Luiz Romero")*(35/1083),IF(C3387="Técnico II",SUMIFS($D:$D,$A:$A,$A3387,$B:$B,"&lt;&gt;Patrícia Karla de Sousa Araújo",$B:$B,"&lt;&gt;Lorena Dias de Araujo",$B:$B,"&lt;&gt;Lucas Luiz Romero")*(28/1083),IF(C3387="Técnico I",SUMIFS($D:$D,$A:$A,$A3387,$B:$B,"&lt;&gt;Patrícia Karla de Sousa Araújo",$B:$B,"&lt;&gt;Lorena Dias de Araujo",$B:$B,"&lt;&gt;Lucas Luiz Romero")*(23/1083),IF(C3387="JR",SUMIFS($D:$D,$A:$A,$A3387,$B:$B,"&lt;&gt;Patrícia Karla de Sousa Araújo",$B:$B,"&lt;&gt;Lorena Dias de Araujo",$B:$B,"&lt;&gt;Lucas Luiz Romero")*(20/1083),IF(C3387="Estágio",SUMIFS($D:$D,$A:$A,$A3387,$B:$B,"&lt;&gt;Patrícia Karla de Sousa Araújo",$B:$B,"&lt;&gt;Lorena Dias de Araujo",$B:$B,"&lt;&gt;Lucas Luiz Romero")*(10/1083),0)))))),0)</f>
        <v/>
      </c>
      <c r="K3387" s="3">
        <f>I3387-J3387</f>
        <v/>
      </c>
      <c r="L3387" s="3">
        <f>IF(K3387&lt;-5,"CRÍTICO",IF(K3387&lt;0,"ATENÇÃO",IF(K3387&lt;=5,"OPORTUNO","MUITO BOM")))</f>
        <v/>
      </c>
      <c r="N3387" t="n">
        <v>98.02</v>
      </c>
      <c r="O3387" t="n">
        <v>23.48484848484848</v>
      </c>
    </row>
    <row r="3388" hidden="1">
      <c r="A3388" s="10" t="n">
        <v>46164</v>
      </c>
      <c r="B3388" s="6" t="inlineStr">
        <is>
          <t>Jessica Faria da Silveira</t>
        </is>
      </c>
      <c r="C3388" s="3" t="inlineStr">
        <is>
          <t>Técnico II</t>
        </is>
      </c>
      <c r="D3388" s="3" t="n">
        <v>13</v>
      </c>
      <c r="E3388" s="3" t="n">
        <v>12</v>
      </c>
      <c r="F3388" s="3" t="n">
        <v>11.42</v>
      </c>
      <c r="G3388" s="3" t="n">
        <v>1</v>
      </c>
      <c r="H3388" s="3" t="n">
        <v>0</v>
      </c>
      <c r="I3388" s="3">
        <f>E3388+G3388+H3388</f>
        <v/>
      </c>
      <c r="J3388" s="3">
        <f>ROUND(MIN(IF(C3388="Técnico III",35,IF(C3388="Técnico II",28,IF(C3388="Técnico I",23,IF(C3388="JR",20,IF(C3388="Estágio",10,0))))),IF(C3388="Técnico III",SUMIFS($D:$D,$A:$A,$A3388,$B:$B,"&lt;&gt;Patrícia Karla de Sousa Araújo",$B:$B,"&lt;&gt;Lorena Dias de Araujo",$B:$B,"&lt;&gt;Lucas Luiz Romero")*(35/1083),IF(C3388="Técnico II",SUMIFS($D:$D,$A:$A,$A3388,$B:$B,"&lt;&gt;Patrícia Karla de Sousa Araújo",$B:$B,"&lt;&gt;Lorena Dias de Araujo",$B:$B,"&lt;&gt;Lucas Luiz Romero")*(28/1083),IF(C3388="Técnico I",SUMIFS($D:$D,$A:$A,$A3388,$B:$B,"&lt;&gt;Patrícia Karla de Sousa Araújo",$B:$B,"&lt;&gt;Lorena Dias de Araujo",$B:$B,"&lt;&gt;Lucas Luiz Romero")*(23/1083),IF(C3388="JR",SUMIFS($D:$D,$A:$A,$A3388,$B:$B,"&lt;&gt;Patrícia Karla de Sousa Araújo",$B:$B,"&lt;&gt;Lorena Dias de Araujo",$B:$B,"&lt;&gt;Lucas Luiz Romero")*(20/1083),IF(C3388="Estágio",SUMIFS($D:$D,$A:$A,$A3388,$B:$B,"&lt;&gt;Patrícia Karla de Sousa Araújo",$B:$B,"&lt;&gt;Lorena Dias de Araujo",$B:$B,"&lt;&gt;Lucas Luiz Romero")*(10/1083),0)))))),0)</f>
        <v/>
      </c>
      <c r="K3388" s="3">
        <f>I3388-J3388</f>
        <v/>
      </c>
      <c r="L3388" s="3">
        <f>IF(K3388&lt;-5,"CRÍTICO",IF(K3388&lt;0,"ATENÇÃO",IF(K3388&lt;=5,"OPORTUNO","MUITO BOM")))</f>
        <v/>
      </c>
      <c r="M3388" s="3" t="n">
        <v>10</v>
      </c>
      <c r="N3388" s="3" t="n">
        <v>98.61</v>
      </c>
      <c r="O3388" s="3" t="n">
        <v>16.97530864197531</v>
      </c>
    </row>
    <row r="3389" hidden="1">
      <c r="A3389" s="11" t="n">
        <v>46107</v>
      </c>
      <c r="B3389" t="inlineStr">
        <is>
          <t>Isabella Borges de Oliveira</t>
        </is>
      </c>
      <c r="C3389" t="inlineStr">
        <is>
          <t>Técnico II</t>
        </is>
      </c>
      <c r="D3389" t="n">
        <v>25</v>
      </c>
      <c r="E3389" t="n">
        <v>23</v>
      </c>
      <c r="F3389" t="n">
        <v>20.4</v>
      </c>
      <c r="G3389" t="n">
        <v>0</v>
      </c>
      <c r="H3389" t="n">
        <v>0</v>
      </c>
      <c r="I3389" s="3">
        <f>E3389+G3389+H3389</f>
        <v/>
      </c>
      <c r="J3389" s="3">
        <f>ROUND(MIN(IF(C3389="Técnico III",35,IF(C3389="Técnico II",28,IF(C3389="Técnico I",23,IF(C3389="JR",20,IF(C3389="Estágio",10,0))))),IF(C3389="Técnico III",SUMIFS($D:$D,$A:$A,$A3389,$B:$B,"&lt;&gt;Patrícia Karla de Sousa Araújo",$B:$B,"&lt;&gt;Lorena Dias de Araujo",$B:$B,"&lt;&gt;Lucas Luiz Romero")*(35/1083),IF(C3389="Técnico II",SUMIFS($D:$D,$A:$A,$A3389,$B:$B,"&lt;&gt;Patrícia Karla de Sousa Araújo",$B:$B,"&lt;&gt;Lorena Dias de Araujo",$B:$B,"&lt;&gt;Lucas Luiz Romero")*(28/1083),IF(C3389="Técnico I",SUMIFS($D:$D,$A:$A,$A3389,$B:$B,"&lt;&gt;Patrícia Karla de Sousa Araújo",$B:$B,"&lt;&gt;Lorena Dias de Araujo",$B:$B,"&lt;&gt;Lucas Luiz Romero")*(23/1083),IF(C3389="JR",SUMIFS($D:$D,$A:$A,$A3389,$B:$B,"&lt;&gt;Patrícia Karla de Sousa Araújo",$B:$B,"&lt;&gt;Lorena Dias de Araujo",$B:$B,"&lt;&gt;Lucas Luiz Romero")*(20/1083),IF(C3389="Estágio",SUMIFS($D:$D,$A:$A,$A3389,$B:$B,"&lt;&gt;Patrícia Karla de Sousa Araújo",$B:$B,"&lt;&gt;Lorena Dias de Araujo",$B:$B,"&lt;&gt;Lucas Luiz Romero")*(10/1083),0)))))),0)</f>
        <v/>
      </c>
      <c r="K3389" s="3">
        <f>I3389-J3389</f>
        <v/>
      </c>
      <c r="L3389" s="3">
        <f>IF(K3389&lt;-5,"CRÍTICO",IF(K3389&lt;0,"ATENÇÃO",IF(K3389&lt;=5,"OPORTUNO","MUITO BOM")))</f>
        <v/>
      </c>
      <c r="N3389" t="n">
        <v>100</v>
      </c>
      <c r="O3389" t="n">
        <v>27.04918032786885</v>
      </c>
    </row>
    <row r="3390" hidden="1">
      <c r="A3390" s="11" t="n">
        <v>46107</v>
      </c>
      <c r="B3390" t="inlineStr">
        <is>
          <t>Janaina Lima dos Reis Urany</t>
        </is>
      </c>
      <c r="C3390" t="inlineStr">
        <is>
          <t>Técnico III</t>
        </is>
      </c>
      <c r="D3390" t="n">
        <v>40</v>
      </c>
      <c r="E3390" t="n">
        <v>38</v>
      </c>
      <c r="F3390" t="n">
        <v>14.19</v>
      </c>
      <c r="G3390" t="n">
        <v>0</v>
      </c>
      <c r="H3390" t="n">
        <v>0</v>
      </c>
      <c r="I3390" s="3">
        <f>E3390+G3390+H3390</f>
        <v/>
      </c>
      <c r="J3390" s="3">
        <f>ROUND(MIN(IF(C3390="Técnico III",35,IF(C3390="Técnico II",28,IF(C3390="Técnico I",23,IF(C3390="JR",20,IF(C3390="Estágio",10,0))))),IF(C3390="Técnico III",SUMIFS($D:$D,$A:$A,$A3390,$B:$B,"&lt;&gt;Patrícia Karla de Sousa Araújo",$B:$B,"&lt;&gt;Lorena Dias de Araujo",$B:$B,"&lt;&gt;Lucas Luiz Romero")*(35/1083),IF(C3390="Técnico II",SUMIFS($D:$D,$A:$A,$A3390,$B:$B,"&lt;&gt;Patrícia Karla de Sousa Araújo",$B:$B,"&lt;&gt;Lorena Dias de Araujo",$B:$B,"&lt;&gt;Lucas Luiz Romero")*(28/1083),IF(C3390="Técnico I",SUMIFS($D:$D,$A:$A,$A3390,$B:$B,"&lt;&gt;Patrícia Karla de Sousa Araújo",$B:$B,"&lt;&gt;Lorena Dias de Araujo",$B:$B,"&lt;&gt;Lucas Luiz Romero")*(23/1083),IF(C3390="JR",SUMIFS($D:$D,$A:$A,$A3390,$B:$B,"&lt;&gt;Patrícia Karla de Sousa Araújo",$B:$B,"&lt;&gt;Lorena Dias de Araujo",$B:$B,"&lt;&gt;Lucas Luiz Romero")*(20/1083),IF(C3390="Estágio",SUMIFS($D:$D,$A:$A,$A3390,$B:$B,"&lt;&gt;Patrícia Karla de Sousa Araújo",$B:$B,"&lt;&gt;Lorena Dias de Araujo",$B:$B,"&lt;&gt;Lucas Luiz Romero")*(10/1083),0)))))),0)</f>
        <v/>
      </c>
      <c r="K3390" s="3">
        <f>I3390-J3390</f>
        <v/>
      </c>
      <c r="L3390" s="3">
        <f>IF(K3390&lt;-5,"CRÍTICO",IF(K3390&lt;0,"ATENÇÃO",IF(K3390&lt;=5,"OPORTUNO","MUITO BOM")))</f>
        <v/>
      </c>
      <c r="N3390" t="n">
        <v>97.83</v>
      </c>
      <c r="O3390" t="n">
        <v>26.31578947368421</v>
      </c>
    </row>
    <row r="3391" hidden="1">
      <c r="A3391" s="11" t="n">
        <v>46107</v>
      </c>
      <c r="B3391" t="inlineStr">
        <is>
          <t>Jaqueline Evangelista da Silva Martins</t>
        </is>
      </c>
      <c r="C3391" t="inlineStr">
        <is>
          <t>Técnico III</t>
        </is>
      </c>
      <c r="D3391" t="n">
        <v>24</v>
      </c>
      <c r="E3391" t="n">
        <v>21</v>
      </c>
      <c r="F3391" t="n">
        <v>13.26</v>
      </c>
      <c r="G3391" t="n">
        <v>0</v>
      </c>
      <c r="H3391" t="n">
        <v>0</v>
      </c>
      <c r="I3391" s="3">
        <f>E3391+G3391+H3391</f>
        <v/>
      </c>
      <c r="J3391" s="3">
        <f>ROUND(MIN(IF(C3391="Técnico III",35,IF(C3391="Técnico II",28,IF(C3391="Técnico I",23,IF(C3391="JR",20,IF(C3391="Estágio",10,0))))),IF(C3391="Técnico III",SUMIFS($D:$D,$A:$A,$A3391,$B:$B,"&lt;&gt;Patrícia Karla de Sousa Araújo",$B:$B,"&lt;&gt;Lorena Dias de Araujo",$B:$B,"&lt;&gt;Lucas Luiz Romero")*(35/1083),IF(C3391="Técnico II",SUMIFS($D:$D,$A:$A,$A3391,$B:$B,"&lt;&gt;Patrícia Karla de Sousa Araújo",$B:$B,"&lt;&gt;Lorena Dias de Araujo",$B:$B,"&lt;&gt;Lucas Luiz Romero")*(28/1083),IF(C3391="Técnico I",SUMIFS($D:$D,$A:$A,$A3391,$B:$B,"&lt;&gt;Patrícia Karla de Sousa Araújo",$B:$B,"&lt;&gt;Lorena Dias de Araujo",$B:$B,"&lt;&gt;Lucas Luiz Romero")*(23/1083),IF(C3391="JR",SUMIFS($D:$D,$A:$A,$A3391,$B:$B,"&lt;&gt;Patrícia Karla de Sousa Araújo",$B:$B,"&lt;&gt;Lorena Dias de Araujo",$B:$B,"&lt;&gt;Lucas Luiz Romero")*(20/1083),IF(C3391="Estágio",SUMIFS($D:$D,$A:$A,$A3391,$B:$B,"&lt;&gt;Patrícia Karla de Sousa Araújo",$B:$B,"&lt;&gt;Lorena Dias de Araujo",$B:$B,"&lt;&gt;Lucas Luiz Romero")*(10/1083),0)))))),0)</f>
        <v/>
      </c>
      <c r="K3391" s="3">
        <f>I3391-J3391</f>
        <v/>
      </c>
      <c r="L3391" s="3">
        <f>IF(K3391&lt;-5,"CRÍTICO",IF(K3391&lt;0,"ATENÇÃO",IF(K3391&lt;=5,"OPORTUNO","MUITO BOM")))</f>
        <v/>
      </c>
      <c r="N3391" t="n">
        <v>100</v>
      </c>
      <c r="O3391" t="n">
        <v>26.70157068062827</v>
      </c>
    </row>
    <row r="3392" hidden="1">
      <c r="A3392" s="11" t="n">
        <v>46107</v>
      </c>
      <c r="B3392" t="inlineStr">
        <is>
          <t>Jessica Faria da Silveira</t>
        </is>
      </c>
      <c r="C3392" t="inlineStr">
        <is>
          <t>Técnico II</t>
        </is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s="3" t="n">
        <v>0</v>
      </c>
      <c r="J3392" s="3" t="n">
        <v>0</v>
      </c>
      <c r="K3392" s="3" t="n">
        <v>0</v>
      </c>
      <c r="L3392" s="3">
        <f>IF(K3392&lt;-5,"CRÍTICO",IF(K3392&lt;0,"ATENÇÃO",IF(K3392&lt;=5,"OPORTUNO","MUITO BOM")))</f>
        <v/>
      </c>
      <c r="N3392" t="n">
        <v>97.47</v>
      </c>
      <c r="O3392" t="n">
        <v>22.88732394366197</v>
      </c>
    </row>
    <row r="3393" hidden="1">
      <c r="A3393" s="11" t="n">
        <v>46107</v>
      </c>
      <c r="B3393" t="inlineStr">
        <is>
          <t>Jéssica Fé Moura</t>
        </is>
      </c>
      <c r="C3393" t="inlineStr">
        <is>
          <t>Técnico III</t>
        </is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s="3" t="n">
        <v>0</v>
      </c>
      <c r="J3393" s="3" t="n">
        <v>0</v>
      </c>
      <c r="K3393" s="3" t="n">
        <v>0</v>
      </c>
      <c r="L3393" s="3">
        <f>IF(K3393&lt;-5,"CRÍTICO",IF(K3393&lt;0,"ATENÇÃO",IF(K3393&lt;=5,"OPORTUNO","MUITO BOM")))</f>
        <v/>
      </c>
      <c r="N3393" t="n">
        <v>0</v>
      </c>
      <c r="O3393" t="n">
        <v>0</v>
      </c>
    </row>
    <row r="3394" hidden="1">
      <c r="A3394" s="11" t="n">
        <v>46107</v>
      </c>
      <c r="B3394" t="inlineStr">
        <is>
          <t>Karina Gonçalves Martins</t>
        </is>
      </c>
      <c r="C3394" t="inlineStr">
        <is>
          <t>JR</t>
        </is>
      </c>
      <c r="D3394" t="n">
        <v>23</v>
      </c>
      <c r="E3394" t="n">
        <v>22</v>
      </c>
      <c r="F3394" t="n">
        <v>24.15</v>
      </c>
      <c r="G3394" t="n">
        <v>0</v>
      </c>
      <c r="H3394" t="n">
        <v>0</v>
      </c>
      <c r="I3394" s="3">
        <f>E3394+G3394+H3394</f>
        <v/>
      </c>
      <c r="J3394" s="3">
        <f>ROUND(MIN(IF(C3394="Técnico III",35,IF(C3394="Técnico II",28,IF(C3394="Técnico I",23,IF(C3394="JR",20,IF(C3394="Estágio",10,0))))),IF(C3394="Técnico III",SUMIFS($D:$D,$A:$A,$A3394,$B:$B,"&lt;&gt;Patrícia Karla de Sousa Araújo",$B:$B,"&lt;&gt;Lorena Dias de Araujo",$B:$B,"&lt;&gt;Lucas Luiz Romero")*(35/1083),IF(C3394="Técnico II",SUMIFS($D:$D,$A:$A,$A3394,$B:$B,"&lt;&gt;Patrícia Karla de Sousa Araújo",$B:$B,"&lt;&gt;Lorena Dias de Araujo",$B:$B,"&lt;&gt;Lucas Luiz Romero")*(28/1083),IF(C3394="Técnico I",SUMIFS($D:$D,$A:$A,$A3394,$B:$B,"&lt;&gt;Patrícia Karla de Sousa Araújo",$B:$B,"&lt;&gt;Lorena Dias de Araujo",$B:$B,"&lt;&gt;Lucas Luiz Romero")*(23/1083),IF(C3394="JR",SUMIFS($D:$D,$A:$A,$A3394,$B:$B,"&lt;&gt;Patrícia Karla de Sousa Araújo",$B:$B,"&lt;&gt;Lorena Dias de Araujo",$B:$B,"&lt;&gt;Lucas Luiz Romero")*(20/1083),IF(C3394="Estágio",SUMIFS($D:$D,$A:$A,$A3394,$B:$B,"&lt;&gt;Patrícia Karla de Sousa Araújo",$B:$B,"&lt;&gt;Lorena Dias de Araujo",$B:$B,"&lt;&gt;Lucas Luiz Romero")*(10/1083),0)))))),0)</f>
        <v/>
      </c>
      <c r="K3394" s="3">
        <f>I3394-J3394</f>
        <v/>
      </c>
      <c r="L3394" s="3">
        <f>IF(K3394&lt;-5,"CRÍTICO",IF(K3394&lt;0,"ATENÇÃO",IF(K3394&lt;=5,"OPORTUNO","MUITO BOM")))</f>
        <v/>
      </c>
      <c r="N3394" t="n">
        <v>98.31</v>
      </c>
      <c r="O3394" t="n">
        <v>24.92012779552715</v>
      </c>
    </row>
    <row r="3395" hidden="1">
      <c r="A3395" s="11" t="n">
        <v>46107</v>
      </c>
      <c r="B3395" t="inlineStr">
        <is>
          <t>Kerollen Cristielly de Jesus Siqueira</t>
        </is>
      </c>
      <c r="C3395" t="inlineStr">
        <is>
          <t>Técnico III</t>
        </is>
      </c>
      <c r="D3395" t="n">
        <v>18</v>
      </c>
      <c r="E3395" t="n">
        <v>18</v>
      </c>
      <c r="F3395" t="n">
        <v>27.37</v>
      </c>
      <c r="G3395" t="n">
        <v>0</v>
      </c>
      <c r="H3395" t="n">
        <v>0</v>
      </c>
      <c r="I3395" s="3">
        <f>E3395+G3395+H3395</f>
        <v/>
      </c>
      <c r="J3395" s="3">
        <f>ROUND(MIN(IF(C3395="Técnico III",35,IF(C3395="Técnico II",28,IF(C3395="Técnico I",23,IF(C3395="JR",20,IF(C3395="Estágio",10,0))))),IF(C3395="Técnico III",SUMIFS($D:$D,$A:$A,$A3395,$B:$B,"&lt;&gt;Patrícia Karla de Sousa Araújo",$B:$B,"&lt;&gt;Lorena Dias de Araujo",$B:$B,"&lt;&gt;Lucas Luiz Romero")*(35/1083),IF(C3395="Técnico II",SUMIFS($D:$D,$A:$A,$A3395,$B:$B,"&lt;&gt;Patrícia Karla de Sousa Araújo",$B:$B,"&lt;&gt;Lorena Dias de Araujo",$B:$B,"&lt;&gt;Lucas Luiz Romero")*(28/1083),IF(C3395="Técnico I",SUMIFS($D:$D,$A:$A,$A3395,$B:$B,"&lt;&gt;Patrícia Karla de Sousa Araújo",$B:$B,"&lt;&gt;Lorena Dias de Araujo",$B:$B,"&lt;&gt;Lucas Luiz Romero")*(23/1083),IF(C3395="JR",SUMIFS($D:$D,$A:$A,$A3395,$B:$B,"&lt;&gt;Patrícia Karla de Sousa Araújo",$B:$B,"&lt;&gt;Lorena Dias de Araujo",$B:$B,"&lt;&gt;Lucas Luiz Romero")*(20/1083),IF(C3395="Estágio",SUMIFS($D:$D,$A:$A,$A3395,$B:$B,"&lt;&gt;Patrícia Karla de Sousa Araújo",$B:$B,"&lt;&gt;Lorena Dias de Araujo",$B:$B,"&lt;&gt;Lucas Luiz Romero")*(10/1083),0)))))),0)</f>
        <v/>
      </c>
      <c r="K3395" s="3">
        <f>I3395-J3395</f>
        <v/>
      </c>
      <c r="L3395" s="3">
        <f>IF(K3395&lt;-5,"CRÍTICO",IF(K3395&lt;0,"ATENÇÃO",IF(K3395&lt;=5,"OPORTUNO","MUITO BOM")))</f>
        <v/>
      </c>
      <c r="N3395" t="n">
        <v>96.81</v>
      </c>
      <c r="O3395" t="n">
        <v>32.36514522821577</v>
      </c>
    </row>
    <row r="3396" hidden="1">
      <c r="A3396" s="11" t="n">
        <v>46107</v>
      </c>
      <c r="B3396" t="inlineStr">
        <is>
          <t>Leandro de Souza Silva</t>
        </is>
      </c>
      <c r="C3396" t="inlineStr">
        <is>
          <t>JR</t>
        </is>
      </c>
      <c r="D3396" t="n">
        <v>23</v>
      </c>
      <c r="E3396" t="n">
        <v>16</v>
      </c>
      <c r="F3396" t="n">
        <v>20.43</v>
      </c>
      <c r="G3396" t="n">
        <v>0</v>
      </c>
      <c r="H3396" t="n">
        <v>0</v>
      </c>
      <c r="I3396" s="3">
        <f>E3396+G3396+H3396</f>
        <v/>
      </c>
      <c r="J3396" s="3">
        <f>ROUND(MIN(IF(C3396="Técnico III",35,IF(C3396="Técnico II",28,IF(C3396="Técnico I",23,IF(C3396="JR",20,IF(C3396="Estágio",10,0))))),IF(C3396="Técnico III",SUMIFS($D:$D,$A:$A,$A3396,$B:$B,"&lt;&gt;Patrícia Karla de Sousa Araújo",$B:$B,"&lt;&gt;Lorena Dias de Araujo",$B:$B,"&lt;&gt;Lucas Luiz Romero")*(35/1083),IF(C3396="Técnico II",SUMIFS($D:$D,$A:$A,$A3396,$B:$B,"&lt;&gt;Patrícia Karla de Sousa Araújo",$B:$B,"&lt;&gt;Lorena Dias de Araujo",$B:$B,"&lt;&gt;Lucas Luiz Romero")*(28/1083),IF(C3396="Técnico I",SUMIFS($D:$D,$A:$A,$A3396,$B:$B,"&lt;&gt;Patrícia Karla de Sousa Araújo",$B:$B,"&lt;&gt;Lorena Dias de Araujo",$B:$B,"&lt;&gt;Lucas Luiz Romero")*(23/1083),IF(C3396="JR",SUMIFS($D:$D,$A:$A,$A3396,$B:$B,"&lt;&gt;Patrícia Karla de Sousa Araújo",$B:$B,"&lt;&gt;Lorena Dias de Araujo",$B:$B,"&lt;&gt;Lucas Luiz Romero")*(20/1083),IF(C3396="Estágio",SUMIFS($D:$D,$A:$A,$A3396,$B:$B,"&lt;&gt;Patrícia Karla de Sousa Araújo",$B:$B,"&lt;&gt;Lorena Dias de Araujo",$B:$B,"&lt;&gt;Lucas Luiz Romero")*(10/1083),0)))))),0)</f>
        <v/>
      </c>
      <c r="K3396" s="3">
        <f>I3396-J3396</f>
        <v/>
      </c>
      <c r="L3396" s="3">
        <f>IF(K3396&lt;-5,"CRÍTICO",IF(K3396&lt;0,"ATENÇÃO",IF(K3396&lt;=5,"OPORTUNO","MUITO BOM")))</f>
        <v/>
      </c>
      <c r="N3396" t="n">
        <v>100</v>
      </c>
      <c r="O3396" t="n">
        <v>26.47058823529412</v>
      </c>
    </row>
    <row r="3397" hidden="1">
      <c r="A3397" s="11" t="n">
        <v>46107</v>
      </c>
      <c r="B3397" t="inlineStr">
        <is>
          <t>Leandro Oliveira de Sousa</t>
        </is>
      </c>
      <c r="C3397" t="inlineStr">
        <is>
          <t>Técnico III</t>
        </is>
      </c>
      <c r="D3397" t="n">
        <v>27</v>
      </c>
      <c r="E3397" t="n">
        <v>24</v>
      </c>
      <c r="F3397" t="n">
        <v>18.47</v>
      </c>
      <c r="G3397" t="n">
        <v>0</v>
      </c>
      <c r="H3397" t="n">
        <v>0</v>
      </c>
      <c r="I3397" s="3">
        <f>E3397+G3397+H3397</f>
        <v/>
      </c>
      <c r="J3397" s="3">
        <f>ROUND(MIN(IF(C3397="Técnico III",35,IF(C3397="Técnico II",28,IF(C3397="Técnico I",23,IF(C3397="JR",20,IF(C3397="Estágio",10,0))))),IF(C3397="Técnico III",SUMIFS($D:$D,$A:$A,$A3397,$B:$B,"&lt;&gt;Patrícia Karla de Sousa Araújo",$B:$B,"&lt;&gt;Lorena Dias de Araujo",$B:$B,"&lt;&gt;Lucas Luiz Romero")*(35/1083),IF(C3397="Técnico II",SUMIFS($D:$D,$A:$A,$A3397,$B:$B,"&lt;&gt;Patrícia Karla de Sousa Araújo",$B:$B,"&lt;&gt;Lorena Dias de Araujo",$B:$B,"&lt;&gt;Lucas Luiz Romero")*(28/1083),IF(C3397="Técnico I",SUMIFS($D:$D,$A:$A,$A3397,$B:$B,"&lt;&gt;Patrícia Karla de Sousa Araújo",$B:$B,"&lt;&gt;Lorena Dias de Araujo",$B:$B,"&lt;&gt;Lucas Luiz Romero")*(23/1083),IF(C3397="JR",SUMIFS($D:$D,$A:$A,$A3397,$B:$B,"&lt;&gt;Patrícia Karla de Sousa Araújo",$B:$B,"&lt;&gt;Lorena Dias de Araujo",$B:$B,"&lt;&gt;Lucas Luiz Romero")*(20/1083),IF(C3397="Estágio",SUMIFS($D:$D,$A:$A,$A3397,$B:$B,"&lt;&gt;Patrícia Karla de Sousa Araújo",$B:$B,"&lt;&gt;Lorena Dias de Araujo",$B:$B,"&lt;&gt;Lucas Luiz Romero")*(10/1083),0)))))),0)</f>
        <v/>
      </c>
      <c r="K3397" s="3">
        <f>I3397-J3397</f>
        <v/>
      </c>
      <c r="L3397" s="3">
        <f>IF(K3397&lt;-5,"CRÍTICO",IF(K3397&lt;0,"ATENÇÃO",IF(K3397&lt;=5,"OPORTUNO","MUITO BOM")))</f>
        <v/>
      </c>
      <c r="N3397" t="n">
        <v>100</v>
      </c>
      <c r="O3397" t="n">
        <v>28.49002849002849</v>
      </c>
    </row>
    <row r="3398" hidden="1">
      <c r="A3398" s="11" t="n">
        <v>46107</v>
      </c>
      <c r="B3398" t="inlineStr">
        <is>
          <t>Lizandra Gomes Duarte</t>
        </is>
      </c>
      <c r="C3398" t="inlineStr">
        <is>
          <t>Técnico II</t>
        </is>
      </c>
      <c r="D3398" t="n">
        <v>30</v>
      </c>
      <c r="E3398" t="n">
        <v>29</v>
      </c>
      <c r="F3398" t="n">
        <v>25.31</v>
      </c>
      <c r="G3398" t="n">
        <v>0</v>
      </c>
      <c r="H3398" t="n">
        <v>0</v>
      </c>
      <c r="I3398" s="3">
        <f>E3398+G3398+H3398</f>
        <v/>
      </c>
      <c r="J3398" s="3">
        <f>ROUND(MIN(IF(C3398="Técnico III",35,IF(C3398="Técnico II",28,IF(C3398="Técnico I",23,IF(C3398="JR",20,IF(C3398="Estágio",10,0))))),IF(C3398="Técnico III",SUMIFS($D:$D,$A:$A,$A3398,$B:$B,"&lt;&gt;Patrícia Karla de Sousa Araújo",$B:$B,"&lt;&gt;Lorena Dias de Araujo",$B:$B,"&lt;&gt;Lucas Luiz Romero")*(35/1083),IF(C3398="Técnico II",SUMIFS($D:$D,$A:$A,$A3398,$B:$B,"&lt;&gt;Patrícia Karla de Sousa Araújo",$B:$B,"&lt;&gt;Lorena Dias de Araujo",$B:$B,"&lt;&gt;Lucas Luiz Romero")*(28/1083),IF(C3398="Técnico I",SUMIFS($D:$D,$A:$A,$A3398,$B:$B,"&lt;&gt;Patrícia Karla de Sousa Araújo",$B:$B,"&lt;&gt;Lorena Dias de Araujo",$B:$B,"&lt;&gt;Lucas Luiz Romero")*(23/1083),IF(C3398="JR",SUMIFS($D:$D,$A:$A,$A3398,$B:$B,"&lt;&gt;Patrícia Karla de Sousa Araújo",$B:$B,"&lt;&gt;Lorena Dias de Araujo",$B:$B,"&lt;&gt;Lucas Luiz Romero")*(20/1083),IF(C3398="Estágio",SUMIFS($D:$D,$A:$A,$A3398,$B:$B,"&lt;&gt;Patrícia Karla de Sousa Araújo",$B:$B,"&lt;&gt;Lorena Dias de Araujo",$B:$B,"&lt;&gt;Lucas Luiz Romero")*(10/1083),0)))))),0)</f>
        <v/>
      </c>
      <c r="K3398" s="3">
        <f>I3398-J3398</f>
        <v/>
      </c>
      <c r="L3398" s="3">
        <f>IF(K3398&lt;-5,"CRÍTICO",IF(K3398&lt;0,"ATENÇÃO",IF(K3398&lt;=5,"OPORTUNO","MUITO BOM")))</f>
        <v/>
      </c>
      <c r="N3398" t="n">
        <v>99.14</v>
      </c>
      <c r="O3398" t="n">
        <v>27.2289156626506</v>
      </c>
    </row>
    <row r="3399" hidden="1">
      <c r="A3399" s="11" t="n">
        <v>46107</v>
      </c>
      <c r="B3399" t="inlineStr">
        <is>
          <t>Lorena Dias de Araujo</t>
        </is>
      </c>
      <c r="C3399" t="inlineStr">
        <is>
          <t>Técnico II</t>
        </is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s="3" t="n">
        <v>0</v>
      </c>
      <c r="J3399" s="3" t="n">
        <v>0</v>
      </c>
      <c r="K3399" s="3" t="n">
        <v>0</v>
      </c>
      <c r="L3399" s="3">
        <f>IF(K3399&lt;-5,"CRÍTICO",IF(K3399&lt;0,"ATENÇÃO",IF(K3399&lt;=5,"OPORTUNO","MUITO BOM")))</f>
        <v/>
      </c>
      <c r="N3399" t="n">
        <v>97.52</v>
      </c>
      <c r="O3399" t="n">
        <v>28.2051282051282</v>
      </c>
    </row>
    <row r="3400" hidden="1">
      <c r="A3400" s="11" t="n">
        <v>46107</v>
      </c>
      <c r="B3400" t="inlineStr">
        <is>
          <t>Lucas Luiz Romero</t>
        </is>
      </c>
      <c r="C3400" t="inlineStr">
        <is>
          <t>Técnico III</t>
        </is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s="3" t="n">
        <v>0</v>
      </c>
      <c r="J3400" s="3" t="n">
        <v>0</v>
      </c>
      <c r="K3400" s="3" t="n">
        <v>0</v>
      </c>
      <c r="L3400" s="3">
        <f>IF(K3400&lt;-5,"CRÍTICO",IF(K3400&lt;0,"ATENÇÃO",IF(K3400&lt;=5,"OPORTUNO","MUITO BOM")))</f>
        <v/>
      </c>
      <c r="N3400" t="n">
        <v>90</v>
      </c>
      <c r="O3400" t="n">
        <v>24.18604651162791</v>
      </c>
    </row>
    <row r="3401" hidden="1">
      <c r="A3401" s="11" t="n">
        <v>46107</v>
      </c>
      <c r="B3401" t="inlineStr">
        <is>
          <t>Luiz Fernando de Carvalho Junior</t>
        </is>
      </c>
      <c r="C3401" t="inlineStr">
        <is>
          <t>Técnico I</t>
        </is>
      </c>
      <c r="D3401" t="n">
        <v>32</v>
      </c>
      <c r="E3401" t="n">
        <v>31</v>
      </c>
      <c r="F3401" t="n">
        <v>18.53</v>
      </c>
      <c r="G3401" t="n">
        <v>0</v>
      </c>
      <c r="H3401" t="n">
        <v>0</v>
      </c>
      <c r="I3401" s="3">
        <f>E3401+G3401+H3401</f>
        <v/>
      </c>
      <c r="J3401" s="3">
        <f>ROUND(MIN(IF(C3401="Técnico III",35,IF(C3401="Técnico II",28,IF(C3401="Técnico I",23,IF(C3401="JR",20,IF(C3401="Estágio",10,0))))),IF(C3401="Técnico III",SUMIFS($D:$D,$A:$A,$A3401,$B:$B,"&lt;&gt;Patrícia Karla de Sousa Araújo",$B:$B,"&lt;&gt;Lorena Dias de Araujo",$B:$B,"&lt;&gt;Lucas Luiz Romero")*(35/1083),IF(C3401="Técnico II",SUMIFS($D:$D,$A:$A,$A3401,$B:$B,"&lt;&gt;Patrícia Karla de Sousa Araújo",$B:$B,"&lt;&gt;Lorena Dias de Araujo",$B:$B,"&lt;&gt;Lucas Luiz Romero")*(28/1083),IF(C3401="Técnico I",SUMIFS($D:$D,$A:$A,$A3401,$B:$B,"&lt;&gt;Patrícia Karla de Sousa Araújo",$B:$B,"&lt;&gt;Lorena Dias de Araujo",$B:$B,"&lt;&gt;Lucas Luiz Romero")*(23/1083),IF(C3401="JR",SUMIFS($D:$D,$A:$A,$A3401,$B:$B,"&lt;&gt;Patrícia Karla de Sousa Araújo",$B:$B,"&lt;&gt;Lorena Dias de Araujo",$B:$B,"&lt;&gt;Lucas Luiz Romero")*(20/1083),IF(C3401="Estágio",SUMIFS($D:$D,$A:$A,$A3401,$B:$B,"&lt;&gt;Patrícia Karla de Sousa Araújo",$B:$B,"&lt;&gt;Lorena Dias de Araujo",$B:$B,"&lt;&gt;Lucas Luiz Romero")*(10/1083),0)))))),0)</f>
        <v/>
      </c>
      <c r="K3401" s="3">
        <f>I3401-J3401</f>
        <v/>
      </c>
      <c r="L3401" s="3">
        <f>IF(K3401&lt;-5,"CRÍTICO",IF(K3401&lt;0,"ATENÇÃO",IF(K3401&lt;=5,"OPORTUNO","MUITO BOM")))</f>
        <v/>
      </c>
      <c r="N3401" t="n">
        <v>98.90000000000001</v>
      </c>
      <c r="O3401" t="n">
        <v>26.7639902676399</v>
      </c>
    </row>
    <row r="3402" hidden="1">
      <c r="A3402" s="11" t="n">
        <v>46107</v>
      </c>
      <c r="B3402" t="inlineStr">
        <is>
          <t>Maria Eduarda Sousa Costa</t>
        </is>
      </c>
      <c r="C3402" t="inlineStr">
        <is>
          <t>Estágio</t>
        </is>
      </c>
      <c r="D3402" t="n">
        <v>8</v>
      </c>
      <c r="E3402" t="n">
        <v>7</v>
      </c>
      <c r="F3402" t="n">
        <v>42.36</v>
      </c>
      <c r="G3402" t="n">
        <v>0</v>
      </c>
      <c r="H3402" t="n">
        <v>0</v>
      </c>
      <c r="I3402" s="3">
        <f>E3402+G3402+H3402</f>
        <v/>
      </c>
      <c r="J3402" s="3">
        <f>ROUND(MIN(IF(C3402="Técnico III",35,IF(C3402="Técnico II",28,IF(C3402="Técnico I",23,IF(C3402="JR",20,IF(C3402="Estágio",10,0))))),IF(C3402="Técnico III",SUMIFS($D:$D,$A:$A,$A3402,$B:$B,"&lt;&gt;Patrícia Karla de Sousa Araújo",$B:$B,"&lt;&gt;Lorena Dias de Araujo",$B:$B,"&lt;&gt;Lucas Luiz Romero")*(35/1083),IF(C3402="Técnico II",SUMIFS($D:$D,$A:$A,$A3402,$B:$B,"&lt;&gt;Patrícia Karla de Sousa Araújo",$B:$B,"&lt;&gt;Lorena Dias de Araujo",$B:$B,"&lt;&gt;Lucas Luiz Romero")*(28/1083),IF(C3402="Técnico I",SUMIFS($D:$D,$A:$A,$A3402,$B:$B,"&lt;&gt;Patrícia Karla de Sousa Araújo",$B:$B,"&lt;&gt;Lorena Dias de Araujo",$B:$B,"&lt;&gt;Lucas Luiz Romero")*(23/1083),IF(C3402="JR",SUMIFS($D:$D,$A:$A,$A3402,$B:$B,"&lt;&gt;Patrícia Karla de Sousa Araújo",$B:$B,"&lt;&gt;Lorena Dias de Araujo",$B:$B,"&lt;&gt;Lucas Luiz Romero")*(20/1083),IF(C3402="Estágio",SUMIFS($D:$D,$A:$A,$A3402,$B:$B,"&lt;&gt;Patrícia Karla de Sousa Araújo",$B:$B,"&lt;&gt;Lorena Dias de Araujo",$B:$B,"&lt;&gt;Lucas Luiz Romero")*(10/1083),0)))))),0)</f>
        <v/>
      </c>
      <c r="K3402" s="3">
        <f>I3402-J3402</f>
        <v/>
      </c>
      <c r="L3402" s="3">
        <f>IF(K3402&lt;-5,"CRÍTICO",IF(K3402&lt;0,"ATENÇÃO",IF(K3402&lt;=5,"OPORTUNO","MUITO BOM")))</f>
        <v/>
      </c>
      <c r="N3402" t="n">
        <v>88.89</v>
      </c>
      <c r="O3402" t="n">
        <v>25.26315789473684</v>
      </c>
    </row>
    <row r="3403" hidden="1">
      <c r="A3403" s="11" t="n">
        <v>46107</v>
      </c>
      <c r="B3403" t="inlineStr">
        <is>
          <t>Matheus Farias De Souza</t>
        </is>
      </c>
      <c r="C3403" t="inlineStr">
        <is>
          <t>Técnico III</t>
        </is>
      </c>
      <c r="D3403" t="n">
        <v>23</v>
      </c>
      <c r="E3403" t="n">
        <v>22</v>
      </c>
      <c r="F3403" t="n">
        <v>17.34</v>
      </c>
      <c r="G3403" t="n">
        <v>0</v>
      </c>
      <c r="H3403" t="n">
        <v>0</v>
      </c>
      <c r="I3403" s="3">
        <f>E3403+G3403+H3403</f>
        <v/>
      </c>
      <c r="J3403" s="3">
        <f>ROUND(MIN(IF(C3403="Técnico III",35,IF(C3403="Técnico II",28,IF(C3403="Técnico I",23,IF(C3403="JR",20,IF(C3403="Estágio",10,0))))),IF(C3403="Técnico III",SUMIFS($D:$D,$A:$A,$A3403,$B:$B,"&lt;&gt;Patrícia Karla de Sousa Araújo",$B:$B,"&lt;&gt;Lorena Dias de Araujo",$B:$B,"&lt;&gt;Lucas Luiz Romero")*(35/1083),IF(C3403="Técnico II",SUMIFS($D:$D,$A:$A,$A3403,$B:$B,"&lt;&gt;Patrícia Karla de Sousa Araújo",$B:$B,"&lt;&gt;Lorena Dias de Araujo",$B:$B,"&lt;&gt;Lucas Luiz Romero")*(28/1083),IF(C3403="Técnico I",SUMIFS($D:$D,$A:$A,$A3403,$B:$B,"&lt;&gt;Patrícia Karla de Sousa Araújo",$B:$B,"&lt;&gt;Lorena Dias de Araujo",$B:$B,"&lt;&gt;Lucas Luiz Romero")*(23/1083),IF(C3403="JR",SUMIFS($D:$D,$A:$A,$A3403,$B:$B,"&lt;&gt;Patrícia Karla de Sousa Araújo",$B:$B,"&lt;&gt;Lorena Dias de Araujo",$B:$B,"&lt;&gt;Lucas Luiz Romero")*(20/1083),IF(C3403="Estágio",SUMIFS($D:$D,$A:$A,$A3403,$B:$B,"&lt;&gt;Patrícia Karla de Sousa Araújo",$B:$B,"&lt;&gt;Lorena Dias de Araujo",$B:$B,"&lt;&gt;Lucas Luiz Romero")*(10/1083),0)))))),0)</f>
        <v/>
      </c>
      <c r="K3403" s="3">
        <f>I3403-J3403</f>
        <v/>
      </c>
      <c r="L3403" s="3">
        <f>IF(K3403&lt;-5,"CRÍTICO",IF(K3403&lt;0,"ATENÇÃO",IF(K3403&lt;=5,"OPORTUNO","MUITO BOM")))</f>
        <v/>
      </c>
      <c r="N3403" t="n">
        <v>98.86</v>
      </c>
      <c r="O3403" t="n">
        <v>28.95927601809955</v>
      </c>
    </row>
    <row r="3404" hidden="1">
      <c r="A3404" s="11" t="n">
        <v>46107</v>
      </c>
      <c r="B3404" t="inlineStr">
        <is>
          <t>Maysa Victoria Dias Moura</t>
        </is>
      </c>
      <c r="C3404" t="inlineStr">
        <is>
          <t>Técnico III</t>
        </is>
      </c>
      <c r="D3404" t="n">
        <v>15</v>
      </c>
      <c r="E3404" t="n">
        <v>13</v>
      </c>
      <c r="F3404" t="n">
        <v>16.53</v>
      </c>
      <c r="G3404" t="n">
        <v>0</v>
      </c>
      <c r="H3404" t="n">
        <v>0</v>
      </c>
      <c r="I3404" s="3">
        <f>E3404+G3404+H3404</f>
        <v/>
      </c>
      <c r="J3404" s="3">
        <f>ROUND(MIN(IF(C3404="Técnico III",35,IF(C3404="Técnico II",28,IF(C3404="Técnico I",23,IF(C3404="JR",20,IF(C3404="Estágio",10,0))))),IF(C3404="Técnico III",SUMIFS($D:$D,$A:$A,$A3404,$B:$B,"&lt;&gt;Patrícia Karla de Sousa Araújo",$B:$B,"&lt;&gt;Lorena Dias de Araujo",$B:$B,"&lt;&gt;Lucas Luiz Romero")*(35/1083),IF(C3404="Técnico II",SUMIFS($D:$D,$A:$A,$A3404,$B:$B,"&lt;&gt;Patrícia Karla de Sousa Araújo",$B:$B,"&lt;&gt;Lorena Dias de Araujo",$B:$B,"&lt;&gt;Lucas Luiz Romero")*(28/1083),IF(C3404="Técnico I",SUMIFS($D:$D,$A:$A,$A3404,$B:$B,"&lt;&gt;Patrícia Karla de Sousa Araújo",$B:$B,"&lt;&gt;Lorena Dias de Araujo",$B:$B,"&lt;&gt;Lucas Luiz Romero")*(23/1083),IF(C3404="JR",SUMIFS($D:$D,$A:$A,$A3404,$B:$B,"&lt;&gt;Patrícia Karla de Sousa Araújo",$B:$B,"&lt;&gt;Lorena Dias de Araujo",$B:$B,"&lt;&gt;Lucas Luiz Romero")*(20/1083),IF(C3404="Estágio",SUMIFS($D:$D,$A:$A,$A3404,$B:$B,"&lt;&gt;Patrícia Karla de Sousa Araújo",$B:$B,"&lt;&gt;Lorena Dias de Araujo",$B:$B,"&lt;&gt;Lucas Luiz Romero")*(10/1083),0)))))),0)</f>
        <v/>
      </c>
      <c r="K3404" s="3">
        <f>I3404-J3404</f>
        <v/>
      </c>
      <c r="L3404" s="3">
        <f>IF(K3404&lt;-5,"CRÍTICO",IF(K3404&lt;0,"ATENÇÃO",IF(K3404&lt;=5,"OPORTUNO","MUITO BOM")))</f>
        <v/>
      </c>
      <c r="N3404" t="n">
        <v>98.06</v>
      </c>
      <c r="O3404" t="n">
        <v>22.40566037735849</v>
      </c>
    </row>
    <row r="3405" hidden="1">
      <c r="A3405" s="11" t="n">
        <v>46107</v>
      </c>
      <c r="B3405" t="inlineStr">
        <is>
          <t>Michelle G Santos</t>
        </is>
      </c>
      <c r="C3405" t="inlineStr">
        <is>
          <t>Estágio</t>
        </is>
      </c>
      <c r="D3405" t="n">
        <v>7</v>
      </c>
      <c r="E3405" t="n">
        <v>7</v>
      </c>
      <c r="F3405" t="n">
        <v>35.38</v>
      </c>
      <c r="G3405" t="n">
        <v>0</v>
      </c>
      <c r="H3405" t="n">
        <v>0</v>
      </c>
      <c r="I3405" s="3">
        <f>E3405+G3405+H3405</f>
        <v/>
      </c>
      <c r="J3405" s="3">
        <f>ROUND(MIN(IF(C3405="Técnico III",35,IF(C3405="Técnico II",28,IF(C3405="Técnico I",23,IF(C3405="JR",20,IF(C3405="Estágio",10,0))))),IF(C3405="Técnico III",SUMIFS($D:$D,$A:$A,$A3405,$B:$B,"&lt;&gt;Patrícia Karla de Sousa Araújo",$B:$B,"&lt;&gt;Lorena Dias de Araujo",$B:$B,"&lt;&gt;Lucas Luiz Romero")*(35/1083),IF(C3405="Técnico II",SUMIFS($D:$D,$A:$A,$A3405,$B:$B,"&lt;&gt;Patrícia Karla de Sousa Araújo",$B:$B,"&lt;&gt;Lorena Dias de Araujo",$B:$B,"&lt;&gt;Lucas Luiz Romero")*(28/1083),IF(C3405="Técnico I",SUMIFS($D:$D,$A:$A,$A3405,$B:$B,"&lt;&gt;Patrícia Karla de Sousa Araújo",$B:$B,"&lt;&gt;Lorena Dias de Araujo",$B:$B,"&lt;&gt;Lucas Luiz Romero")*(23/1083),IF(C3405="JR",SUMIFS($D:$D,$A:$A,$A3405,$B:$B,"&lt;&gt;Patrícia Karla de Sousa Araújo",$B:$B,"&lt;&gt;Lorena Dias de Araujo",$B:$B,"&lt;&gt;Lucas Luiz Romero")*(20/1083),IF(C3405="Estágio",SUMIFS($D:$D,$A:$A,$A3405,$B:$B,"&lt;&gt;Patrícia Karla de Sousa Araújo",$B:$B,"&lt;&gt;Lorena Dias de Araujo",$B:$B,"&lt;&gt;Lucas Luiz Romero")*(10/1083),0)))))),0)</f>
        <v/>
      </c>
      <c r="K3405" s="3">
        <f>I3405-J3405</f>
        <v/>
      </c>
      <c r="L3405" s="3">
        <f>IF(K3405&lt;-5,"CRÍTICO",IF(K3405&lt;0,"ATENÇÃO",IF(K3405&lt;=5,"OPORTUNO","MUITO BOM")))</f>
        <v/>
      </c>
      <c r="N3405" t="n">
        <v>95.83</v>
      </c>
      <c r="O3405" t="n">
        <v>25.77319587628866</v>
      </c>
    </row>
    <row r="3406" hidden="1">
      <c r="A3406" s="11" t="n">
        <v>46107</v>
      </c>
      <c r="B3406" t="inlineStr">
        <is>
          <t>Milena Sales</t>
        </is>
      </c>
      <c r="C3406" t="inlineStr">
        <is>
          <t>JR</t>
        </is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s="3" t="n">
        <v>0</v>
      </c>
      <c r="J3406" s="3" t="n">
        <v>0</v>
      </c>
      <c r="K3406" s="3" t="n">
        <v>0</v>
      </c>
      <c r="L3406" s="3">
        <f>IF(K3406&lt;-5,"CRÍTICO",IF(K3406&lt;0,"ATENÇÃO",IF(K3406&lt;=5,"OPORTUNO","MUITO BOM")))</f>
        <v/>
      </c>
      <c r="N3406" t="n">
        <v>100</v>
      </c>
      <c r="O3406" t="n">
        <v>15.38461538461539</v>
      </c>
    </row>
    <row r="3407" hidden="1">
      <c r="A3407" s="11" t="n">
        <v>46107</v>
      </c>
      <c r="B3407" t="inlineStr">
        <is>
          <t>Patrícia Karla de Sousa Araújo</t>
        </is>
      </c>
      <c r="C3407" t="inlineStr">
        <is>
          <t>Técnico II</t>
        </is>
      </c>
      <c r="D3407" t="n">
        <v>7</v>
      </c>
      <c r="E3407" t="n">
        <v>6</v>
      </c>
      <c r="F3407" t="n">
        <v>8.5</v>
      </c>
      <c r="G3407" t="n">
        <v>0</v>
      </c>
      <c r="H3407" t="n">
        <v>0</v>
      </c>
      <c r="I3407" s="3">
        <f>E3407+G3407+H3407</f>
        <v/>
      </c>
      <c r="J3407" s="3">
        <f>ROUND(MIN(IF(C3407="Técnico III",35,IF(C3407="Técnico II",28,IF(C3407="Técnico I",23,IF(C3407="JR",20,IF(C3407="Estágio",10,0))))),IF(C3407="Técnico III",SUMIFS($D:$D,$A:$A,$A3407,$B:$B,"&lt;&gt;Patrícia Karla de Sousa Araújo",$B:$B,"&lt;&gt;Lorena Dias de Araujo",$B:$B,"&lt;&gt;Lucas Luiz Romero")*(35/1083),IF(C3407="Técnico II",SUMIFS($D:$D,$A:$A,$A3407,$B:$B,"&lt;&gt;Patrícia Karla de Sousa Araújo",$B:$B,"&lt;&gt;Lorena Dias de Araujo",$B:$B,"&lt;&gt;Lucas Luiz Romero")*(28/1083),IF(C3407="Técnico I",SUMIFS($D:$D,$A:$A,$A3407,$B:$B,"&lt;&gt;Patrícia Karla de Sousa Araújo",$B:$B,"&lt;&gt;Lorena Dias de Araujo",$B:$B,"&lt;&gt;Lucas Luiz Romero")*(23/1083),IF(C3407="JR",SUMIFS($D:$D,$A:$A,$A3407,$B:$B,"&lt;&gt;Patrícia Karla de Sousa Araújo",$B:$B,"&lt;&gt;Lorena Dias de Araujo",$B:$B,"&lt;&gt;Lucas Luiz Romero")*(20/1083),IF(C3407="Estágio",SUMIFS($D:$D,$A:$A,$A3407,$B:$B,"&lt;&gt;Patrícia Karla de Sousa Araújo",$B:$B,"&lt;&gt;Lorena Dias de Araujo",$B:$B,"&lt;&gt;Lucas Luiz Romero")*(10/1083),0)))))),0)</f>
        <v/>
      </c>
      <c r="K3407" s="3">
        <f>I3407-J3407</f>
        <v/>
      </c>
      <c r="L3407" s="3">
        <f>IF(K3407&lt;-5,"CRÍTICO",IF(K3407&lt;0,"ATENÇÃO",IF(K3407&lt;=5,"OPORTUNO","MUITO BOM")))</f>
        <v/>
      </c>
      <c r="N3407" t="n">
        <v>100</v>
      </c>
      <c r="O3407" t="n">
        <v>27.51479289940828</v>
      </c>
    </row>
    <row r="3408" hidden="1">
      <c r="A3408" s="11" t="n">
        <v>46107</v>
      </c>
      <c r="B3408" t="inlineStr">
        <is>
          <t>Paulo Ricardo Santos</t>
        </is>
      </c>
      <c r="C3408" t="inlineStr">
        <is>
          <t>JR</t>
        </is>
      </c>
      <c r="D3408" t="n">
        <v>20</v>
      </c>
      <c r="E3408" t="n">
        <v>20</v>
      </c>
      <c r="F3408" t="n">
        <v>18.29</v>
      </c>
      <c r="G3408" t="n">
        <v>0</v>
      </c>
      <c r="H3408" t="n">
        <v>0</v>
      </c>
      <c r="I3408" s="3">
        <f>E3408+G3408+H3408</f>
        <v/>
      </c>
      <c r="J3408" s="3">
        <f>ROUND(MIN(IF(C3408="Técnico III",35,IF(C3408="Técnico II",28,IF(C3408="Técnico I",23,IF(C3408="JR",20,IF(C3408="Estágio",10,0))))),IF(C3408="Técnico III",SUMIFS($D:$D,$A:$A,$A3408,$B:$B,"&lt;&gt;Patrícia Karla de Sousa Araújo",$B:$B,"&lt;&gt;Lorena Dias de Araujo",$B:$B,"&lt;&gt;Lucas Luiz Romero")*(35/1083),IF(C3408="Técnico II",SUMIFS($D:$D,$A:$A,$A3408,$B:$B,"&lt;&gt;Patrícia Karla de Sousa Araújo",$B:$B,"&lt;&gt;Lorena Dias de Araujo",$B:$B,"&lt;&gt;Lucas Luiz Romero")*(28/1083),IF(C3408="Técnico I",SUMIFS($D:$D,$A:$A,$A3408,$B:$B,"&lt;&gt;Patrícia Karla de Sousa Araújo",$B:$B,"&lt;&gt;Lorena Dias de Araujo",$B:$B,"&lt;&gt;Lucas Luiz Romero")*(23/1083),IF(C3408="JR",SUMIFS($D:$D,$A:$A,$A3408,$B:$B,"&lt;&gt;Patrícia Karla de Sousa Araújo",$B:$B,"&lt;&gt;Lorena Dias de Araujo",$B:$B,"&lt;&gt;Lucas Luiz Romero")*(20/1083),IF(C3408="Estágio",SUMIFS($D:$D,$A:$A,$A3408,$B:$B,"&lt;&gt;Patrícia Karla de Sousa Araújo",$B:$B,"&lt;&gt;Lorena Dias de Araujo",$B:$B,"&lt;&gt;Lucas Luiz Romero")*(10/1083),0)))))),0)</f>
        <v/>
      </c>
      <c r="K3408" s="3">
        <f>I3408-J3408</f>
        <v/>
      </c>
      <c r="L3408" s="3">
        <f>IF(K3408&lt;-5,"CRÍTICO",IF(K3408&lt;0,"ATENÇÃO",IF(K3408&lt;=5,"OPORTUNO","MUITO BOM")))</f>
        <v/>
      </c>
      <c r="N3408" t="n">
        <v>100</v>
      </c>
      <c r="O3408" t="n">
        <v>24.87562189054727</v>
      </c>
    </row>
    <row r="3409" hidden="1">
      <c r="A3409" s="11" t="n">
        <v>46107</v>
      </c>
      <c r="B3409" t="inlineStr">
        <is>
          <t>Pedro Luiz Mota Sousa</t>
        </is>
      </c>
      <c r="C3409" t="inlineStr">
        <is>
          <t>JR</t>
        </is>
      </c>
      <c r="D3409" t="n">
        <v>11</v>
      </c>
      <c r="E3409" t="n">
        <v>11</v>
      </c>
      <c r="F3409" t="n">
        <v>42.36</v>
      </c>
      <c r="G3409" t="n">
        <v>0</v>
      </c>
      <c r="H3409" t="n">
        <v>0</v>
      </c>
      <c r="I3409" s="3">
        <f>E3409+G3409+H3409</f>
        <v/>
      </c>
      <c r="J3409" s="3">
        <f>ROUND(MIN(IF(C3409="Técnico III",35,IF(C3409="Técnico II",28,IF(C3409="Técnico I",23,IF(C3409="JR",20,IF(C3409="Estágio",10,0))))),IF(C3409="Técnico III",SUMIFS($D:$D,$A:$A,$A3409,$B:$B,"&lt;&gt;Patrícia Karla de Sousa Araújo",$B:$B,"&lt;&gt;Lorena Dias de Araujo",$B:$B,"&lt;&gt;Lucas Luiz Romero")*(35/1083),IF(C3409="Técnico II",SUMIFS($D:$D,$A:$A,$A3409,$B:$B,"&lt;&gt;Patrícia Karla de Sousa Araújo",$B:$B,"&lt;&gt;Lorena Dias de Araujo",$B:$B,"&lt;&gt;Lucas Luiz Romero")*(28/1083),IF(C3409="Técnico I",SUMIFS($D:$D,$A:$A,$A3409,$B:$B,"&lt;&gt;Patrícia Karla de Sousa Araújo",$B:$B,"&lt;&gt;Lorena Dias de Araujo",$B:$B,"&lt;&gt;Lucas Luiz Romero")*(23/1083),IF(C3409="JR",SUMIFS($D:$D,$A:$A,$A3409,$B:$B,"&lt;&gt;Patrícia Karla de Sousa Araújo",$B:$B,"&lt;&gt;Lorena Dias de Araujo",$B:$B,"&lt;&gt;Lucas Luiz Romero")*(20/1083),IF(C3409="Estágio",SUMIFS($D:$D,$A:$A,$A3409,$B:$B,"&lt;&gt;Patrícia Karla de Sousa Araújo",$B:$B,"&lt;&gt;Lorena Dias de Araujo",$B:$B,"&lt;&gt;Lucas Luiz Romero")*(10/1083),0)))))),0)</f>
        <v/>
      </c>
      <c r="K3409" s="3">
        <f>I3409-J3409</f>
        <v/>
      </c>
      <c r="L3409" s="3">
        <f>IF(K3409&lt;-5,"CRÍTICO",IF(K3409&lt;0,"ATENÇÃO",IF(K3409&lt;=5,"OPORTUNO","MUITO BOM")))</f>
        <v/>
      </c>
      <c r="N3409" t="n">
        <v>100</v>
      </c>
      <c r="O3409" t="n">
        <v>28.10810810810811</v>
      </c>
    </row>
    <row r="3410" hidden="1">
      <c r="A3410" s="11" t="n">
        <v>46107</v>
      </c>
      <c r="B3410" t="inlineStr">
        <is>
          <t>Quirino Diogo Leite Torres</t>
        </is>
      </c>
      <c r="C3410" t="inlineStr">
        <is>
          <t>Estágio</t>
        </is>
      </c>
      <c r="D3410" t="n">
        <v>5</v>
      </c>
      <c r="E3410" t="n">
        <v>5</v>
      </c>
      <c r="F3410" t="n">
        <v>29.06</v>
      </c>
      <c r="G3410" t="n">
        <v>0</v>
      </c>
      <c r="H3410" t="n">
        <v>0</v>
      </c>
      <c r="I3410" s="3">
        <f>E3410+G3410+H3410</f>
        <v/>
      </c>
      <c r="J3410" s="3">
        <f>ROUND(MIN(IF(C3410="Técnico III",35,IF(C3410="Técnico II",28,IF(C3410="Técnico I",23,IF(C3410="JR",20,IF(C3410="Estágio",10,0))))),IF(C3410="Técnico III",SUMIFS($D:$D,$A:$A,$A3410,$B:$B,"&lt;&gt;Patrícia Karla de Sousa Araújo",$B:$B,"&lt;&gt;Lorena Dias de Araujo",$B:$B,"&lt;&gt;Lucas Luiz Romero")*(35/1083),IF(C3410="Técnico II",SUMIFS($D:$D,$A:$A,$A3410,$B:$B,"&lt;&gt;Patrícia Karla de Sousa Araújo",$B:$B,"&lt;&gt;Lorena Dias de Araujo",$B:$B,"&lt;&gt;Lucas Luiz Romero")*(28/1083),IF(C3410="Técnico I",SUMIFS($D:$D,$A:$A,$A3410,$B:$B,"&lt;&gt;Patrícia Karla de Sousa Araújo",$B:$B,"&lt;&gt;Lorena Dias de Araujo",$B:$B,"&lt;&gt;Lucas Luiz Romero")*(23/1083),IF(C3410="JR",SUMIFS($D:$D,$A:$A,$A3410,$B:$B,"&lt;&gt;Patrícia Karla de Sousa Araújo",$B:$B,"&lt;&gt;Lorena Dias de Araujo",$B:$B,"&lt;&gt;Lucas Luiz Romero")*(20/1083),IF(C3410="Estágio",SUMIFS($D:$D,$A:$A,$A3410,$B:$B,"&lt;&gt;Patrícia Karla de Sousa Araújo",$B:$B,"&lt;&gt;Lorena Dias de Araujo",$B:$B,"&lt;&gt;Lucas Luiz Romero")*(10/1083),0)))))),0)</f>
        <v/>
      </c>
      <c r="K3410" s="3">
        <f>I3410-J3410</f>
        <v/>
      </c>
      <c r="L3410" s="3">
        <f>IF(K3410&lt;-5,"CRÍTICO",IF(K3410&lt;0,"ATENÇÃO",IF(K3410&lt;=5,"OPORTUNO","MUITO BOM")))</f>
        <v/>
      </c>
      <c r="N3410" t="n">
        <v>100</v>
      </c>
      <c r="O3410" t="n">
        <v>35</v>
      </c>
    </row>
    <row r="3411" hidden="1">
      <c r="A3411" s="11" t="n">
        <v>46107</v>
      </c>
      <c r="B3411" t="inlineStr">
        <is>
          <t>Raane Batista Matos</t>
        </is>
      </c>
      <c r="C3411" t="inlineStr">
        <is>
          <t>Técnico I</t>
        </is>
      </c>
      <c r="D3411" t="n">
        <v>24</v>
      </c>
      <c r="E3411" t="n">
        <v>20</v>
      </c>
      <c r="F3411" t="n">
        <v>20.4</v>
      </c>
      <c r="G3411" t="n">
        <v>0</v>
      </c>
      <c r="H3411" t="n">
        <v>0</v>
      </c>
      <c r="I3411" s="3">
        <f>E3411+G3411+H3411</f>
        <v/>
      </c>
      <c r="J3411" s="3">
        <f>ROUND(MIN(IF(C3411="Técnico III",35,IF(C3411="Técnico II",28,IF(C3411="Técnico I",23,IF(C3411="JR",20,IF(C3411="Estágio",10,0))))),IF(C3411="Técnico III",SUMIFS($D:$D,$A:$A,$A3411,$B:$B,"&lt;&gt;Patrícia Karla de Sousa Araújo",$B:$B,"&lt;&gt;Lorena Dias de Araujo",$B:$B,"&lt;&gt;Lucas Luiz Romero")*(35/1083),IF(C3411="Técnico II",SUMIFS($D:$D,$A:$A,$A3411,$B:$B,"&lt;&gt;Patrícia Karla de Sousa Araújo",$B:$B,"&lt;&gt;Lorena Dias de Araujo",$B:$B,"&lt;&gt;Lucas Luiz Romero")*(28/1083),IF(C3411="Técnico I",SUMIFS($D:$D,$A:$A,$A3411,$B:$B,"&lt;&gt;Patrícia Karla de Sousa Araújo",$B:$B,"&lt;&gt;Lorena Dias de Araujo",$B:$B,"&lt;&gt;Lucas Luiz Romero")*(23/1083),IF(C3411="JR",SUMIFS($D:$D,$A:$A,$A3411,$B:$B,"&lt;&gt;Patrícia Karla de Sousa Araújo",$B:$B,"&lt;&gt;Lorena Dias de Araujo",$B:$B,"&lt;&gt;Lucas Luiz Romero")*(20/1083),IF(C3411="Estágio",SUMIFS($D:$D,$A:$A,$A3411,$B:$B,"&lt;&gt;Patrícia Karla de Sousa Araújo",$B:$B,"&lt;&gt;Lorena Dias de Araujo",$B:$B,"&lt;&gt;Lucas Luiz Romero")*(10/1083),0)))))),0)</f>
        <v/>
      </c>
      <c r="K3411" s="3">
        <f>I3411-J3411</f>
        <v/>
      </c>
      <c r="L3411" s="3">
        <f>IF(K3411&lt;-5,"CRÍTICO",IF(K3411&lt;0,"ATENÇÃO",IF(K3411&lt;=5,"OPORTUNO","MUITO BOM")))</f>
        <v/>
      </c>
      <c r="N3411" t="n">
        <v>95.34999999999999</v>
      </c>
      <c r="O3411" t="n">
        <v>28.61538461538461</v>
      </c>
    </row>
    <row r="3412" hidden="1">
      <c r="A3412" s="11" t="n">
        <v>46107</v>
      </c>
      <c r="B3412" t="inlineStr">
        <is>
          <t>Rafael Gomes de Morais</t>
        </is>
      </c>
      <c r="C3412" t="inlineStr">
        <is>
          <t>Técnico III</t>
        </is>
      </c>
      <c r="D3412" t="n">
        <v>27</v>
      </c>
      <c r="E3412" t="n">
        <v>25</v>
      </c>
      <c r="F3412" t="n">
        <v>18.27</v>
      </c>
      <c r="G3412" t="n">
        <v>0</v>
      </c>
      <c r="H3412" t="n">
        <v>0</v>
      </c>
      <c r="I3412" s="3">
        <f>E3412+G3412+H3412</f>
        <v/>
      </c>
      <c r="J3412" s="3">
        <f>ROUND(MIN(IF(C3412="Técnico III",35,IF(C3412="Técnico II",28,IF(C3412="Técnico I",23,IF(C3412="JR",20,IF(C3412="Estágio",10,0))))),IF(C3412="Técnico III",SUMIFS($D:$D,$A:$A,$A3412,$B:$B,"&lt;&gt;Patrícia Karla de Sousa Araújo",$B:$B,"&lt;&gt;Lorena Dias de Araujo",$B:$B,"&lt;&gt;Lucas Luiz Romero")*(35/1083),IF(C3412="Técnico II",SUMIFS($D:$D,$A:$A,$A3412,$B:$B,"&lt;&gt;Patrícia Karla de Sousa Araújo",$B:$B,"&lt;&gt;Lorena Dias de Araujo",$B:$B,"&lt;&gt;Lucas Luiz Romero")*(28/1083),IF(C3412="Técnico I",SUMIFS($D:$D,$A:$A,$A3412,$B:$B,"&lt;&gt;Patrícia Karla de Sousa Araújo",$B:$B,"&lt;&gt;Lorena Dias de Araujo",$B:$B,"&lt;&gt;Lucas Luiz Romero")*(23/1083),IF(C3412="JR",SUMIFS($D:$D,$A:$A,$A3412,$B:$B,"&lt;&gt;Patrícia Karla de Sousa Araújo",$B:$B,"&lt;&gt;Lorena Dias de Araujo",$B:$B,"&lt;&gt;Lucas Luiz Romero")*(20/1083),IF(C3412="Estágio",SUMIFS($D:$D,$A:$A,$A3412,$B:$B,"&lt;&gt;Patrícia Karla de Sousa Araújo",$B:$B,"&lt;&gt;Lorena Dias de Araujo",$B:$B,"&lt;&gt;Lucas Luiz Romero")*(10/1083),0)))))),0)</f>
        <v/>
      </c>
      <c r="K3412" s="3">
        <f>I3412-J3412</f>
        <v/>
      </c>
      <c r="L3412" s="3">
        <f>IF(K3412&lt;-5,"CRÍTICO",IF(K3412&lt;0,"ATENÇÃO",IF(K3412&lt;=5,"OPORTUNO","MUITO BOM")))</f>
        <v/>
      </c>
      <c r="N3412" t="n">
        <v>98.26000000000001</v>
      </c>
      <c r="O3412" t="n">
        <v>27.54491017964072</v>
      </c>
    </row>
    <row r="3413" hidden="1">
      <c r="A3413" s="11" t="n">
        <v>46107</v>
      </c>
      <c r="B3413" t="inlineStr">
        <is>
          <t>Sara Maria Monteiro Lopes</t>
        </is>
      </c>
      <c r="C3413" t="inlineStr">
        <is>
          <t>Técnico I</t>
        </is>
      </c>
      <c r="D3413" t="n">
        <v>11</v>
      </c>
      <c r="E3413" t="n">
        <v>11</v>
      </c>
      <c r="F3413" t="n">
        <v>35.36</v>
      </c>
      <c r="G3413" t="n">
        <v>0</v>
      </c>
      <c r="H3413" t="n">
        <v>0</v>
      </c>
      <c r="I3413" s="3">
        <f>E3413+G3413+H3413</f>
        <v/>
      </c>
      <c r="J3413" s="3">
        <f>ROUND(MIN(IF(C3413="Técnico III",35,IF(C3413="Técnico II",28,IF(C3413="Técnico I",23,IF(C3413="JR",20,IF(C3413="Estágio",10,0))))),IF(C3413="Técnico III",SUMIFS($D:$D,$A:$A,$A3413,$B:$B,"&lt;&gt;Patrícia Karla de Sousa Araújo",$B:$B,"&lt;&gt;Lorena Dias de Araujo",$B:$B,"&lt;&gt;Lucas Luiz Romero")*(35/1083),IF(C3413="Técnico II",SUMIFS($D:$D,$A:$A,$A3413,$B:$B,"&lt;&gt;Patrícia Karla de Sousa Araújo",$B:$B,"&lt;&gt;Lorena Dias de Araujo",$B:$B,"&lt;&gt;Lucas Luiz Romero")*(28/1083),IF(C3413="Técnico I",SUMIFS($D:$D,$A:$A,$A3413,$B:$B,"&lt;&gt;Patrícia Karla de Sousa Araújo",$B:$B,"&lt;&gt;Lorena Dias de Araujo",$B:$B,"&lt;&gt;Lucas Luiz Romero")*(23/1083),IF(C3413="JR",SUMIFS($D:$D,$A:$A,$A3413,$B:$B,"&lt;&gt;Patrícia Karla de Sousa Araújo",$B:$B,"&lt;&gt;Lorena Dias de Araujo",$B:$B,"&lt;&gt;Lucas Luiz Romero")*(20/1083),IF(C3413="Estágio",SUMIFS($D:$D,$A:$A,$A3413,$B:$B,"&lt;&gt;Patrícia Karla de Sousa Araújo",$B:$B,"&lt;&gt;Lorena Dias de Araujo",$B:$B,"&lt;&gt;Lucas Luiz Romero")*(10/1083),0)))))),0)</f>
        <v/>
      </c>
      <c r="K3413" s="3">
        <f>I3413-J3413</f>
        <v/>
      </c>
      <c r="L3413" s="3">
        <f>IF(K3413&lt;-5,"CRÍTICO",IF(K3413&lt;0,"ATENÇÃO",IF(K3413&lt;=5,"OPORTUNO","MUITO BOM")))</f>
        <v/>
      </c>
      <c r="N3413" t="n">
        <v>98.55</v>
      </c>
      <c r="O3413" t="n">
        <v>25.33783783783784</v>
      </c>
    </row>
    <row r="3414" hidden="1">
      <c r="A3414" s="11" t="n">
        <v>46107</v>
      </c>
      <c r="B3414" t="inlineStr">
        <is>
          <t>Sarah Steffanie de Lima Borges</t>
        </is>
      </c>
      <c r="C3414" t="inlineStr">
        <is>
          <t>Técnico III</t>
        </is>
      </c>
      <c r="D3414" t="n">
        <v>28</v>
      </c>
      <c r="E3414" t="n">
        <v>27</v>
      </c>
      <c r="F3414" t="n">
        <v>17.03</v>
      </c>
      <c r="G3414" t="n">
        <v>0</v>
      </c>
      <c r="H3414" t="n">
        <v>0</v>
      </c>
      <c r="I3414" s="3">
        <f>E3414+G3414+H3414</f>
        <v/>
      </c>
      <c r="J3414" s="3">
        <f>ROUND(MIN(IF(C3414="Técnico III",35,IF(C3414="Técnico II",28,IF(C3414="Técnico I",23,IF(C3414="JR",20,IF(C3414="Estágio",10,0))))),IF(C3414="Técnico III",SUMIFS($D:$D,$A:$A,$A3414,$B:$B,"&lt;&gt;Patrícia Karla de Sousa Araújo",$B:$B,"&lt;&gt;Lorena Dias de Araujo",$B:$B,"&lt;&gt;Lucas Luiz Romero")*(35/1083),IF(C3414="Técnico II",SUMIFS($D:$D,$A:$A,$A3414,$B:$B,"&lt;&gt;Patrícia Karla de Sousa Araújo",$B:$B,"&lt;&gt;Lorena Dias de Araujo",$B:$B,"&lt;&gt;Lucas Luiz Romero")*(28/1083),IF(C3414="Técnico I",SUMIFS($D:$D,$A:$A,$A3414,$B:$B,"&lt;&gt;Patrícia Karla de Sousa Araújo",$B:$B,"&lt;&gt;Lorena Dias de Araujo",$B:$B,"&lt;&gt;Lucas Luiz Romero")*(23/1083),IF(C3414="JR",SUMIFS($D:$D,$A:$A,$A3414,$B:$B,"&lt;&gt;Patrícia Karla de Sousa Araújo",$B:$B,"&lt;&gt;Lorena Dias de Araujo",$B:$B,"&lt;&gt;Lucas Luiz Romero")*(20/1083),IF(C3414="Estágio",SUMIFS($D:$D,$A:$A,$A3414,$B:$B,"&lt;&gt;Patrícia Karla de Sousa Araújo",$B:$B,"&lt;&gt;Lorena Dias de Araujo",$B:$B,"&lt;&gt;Lucas Luiz Romero")*(10/1083),0)))))),0)</f>
        <v/>
      </c>
      <c r="K3414" s="3">
        <f>I3414-J3414</f>
        <v/>
      </c>
      <c r="L3414" s="3">
        <f>IF(K3414&lt;-5,"CRÍTICO",IF(K3414&lt;0,"ATENÇÃO",IF(K3414&lt;=5,"OPORTUNO","MUITO BOM")))</f>
        <v/>
      </c>
      <c r="N3414" t="n">
        <v>98.39</v>
      </c>
      <c r="O3414" t="n">
        <v>25.56390977443609</v>
      </c>
    </row>
    <row r="3415" hidden="1">
      <c r="A3415" s="11" t="n">
        <v>46108</v>
      </c>
      <c r="B3415" t="inlineStr">
        <is>
          <t>Alisson de Freitas Silva</t>
        </is>
      </c>
      <c r="C3415" t="inlineStr">
        <is>
          <t>Técnico II</t>
        </is>
      </c>
      <c r="D3415" t="n">
        <v>25</v>
      </c>
      <c r="E3415" t="n">
        <v>22</v>
      </c>
      <c r="F3415" t="n">
        <v>13.53</v>
      </c>
      <c r="G3415" t="n">
        <v>0</v>
      </c>
      <c r="H3415" t="n">
        <v>0</v>
      </c>
      <c r="I3415" s="3">
        <f>E3415+G3415+H3415</f>
        <v/>
      </c>
      <c r="J3415" s="3">
        <f>ROUND(MIN(IF(C3415="Técnico III",35,IF(C3415="Técnico II",28,IF(C3415="Técnico I",23,IF(C3415="JR",20,IF(C3415="Estágio",10,0))))),IF(C3415="Técnico III",SUMIFS($D:$D,$A:$A,$A3415,$B:$B,"&lt;&gt;Patrícia Karla de Sousa Araújo",$B:$B,"&lt;&gt;Lorena Dias de Araujo",$B:$B,"&lt;&gt;Lucas Luiz Romero")*(35/1083),IF(C3415="Técnico II",SUMIFS($D:$D,$A:$A,$A3415,$B:$B,"&lt;&gt;Patrícia Karla de Sousa Araújo",$B:$B,"&lt;&gt;Lorena Dias de Araujo",$B:$B,"&lt;&gt;Lucas Luiz Romero")*(28/1083),IF(C3415="Técnico I",SUMIFS($D:$D,$A:$A,$A3415,$B:$B,"&lt;&gt;Patrícia Karla de Sousa Araújo",$B:$B,"&lt;&gt;Lorena Dias de Araujo",$B:$B,"&lt;&gt;Lucas Luiz Romero")*(23/1083),IF(C3415="JR",SUMIFS($D:$D,$A:$A,$A3415,$B:$B,"&lt;&gt;Patrícia Karla de Sousa Araújo",$B:$B,"&lt;&gt;Lorena Dias de Araujo",$B:$B,"&lt;&gt;Lucas Luiz Romero")*(20/1083),IF(C3415="Estágio",SUMIFS($D:$D,$A:$A,$A3415,$B:$B,"&lt;&gt;Patrícia Karla de Sousa Araújo",$B:$B,"&lt;&gt;Lorena Dias de Araujo",$B:$B,"&lt;&gt;Lucas Luiz Romero")*(10/1083),0)))))),0)</f>
        <v/>
      </c>
      <c r="K3415" s="3">
        <f>I3415-J3415</f>
        <v/>
      </c>
      <c r="L3415" s="3">
        <f>IF(K3415&lt;-5,"CRÍTICO",IF(K3415&lt;0,"ATENÇÃO",IF(K3415&lt;=5,"OPORTUNO","MUITO BOM")))</f>
        <v/>
      </c>
      <c r="N3415" t="n">
        <v>94.29000000000001</v>
      </c>
      <c r="O3415" t="n">
        <v>25.64766839378239</v>
      </c>
    </row>
    <row r="3416" hidden="1">
      <c r="A3416" s="11" t="n">
        <v>46108</v>
      </c>
      <c r="B3416" t="inlineStr">
        <is>
          <t>Amanda Moura Ferreira</t>
        </is>
      </c>
      <c r="C3416" t="inlineStr">
        <is>
          <t>Técnico III</t>
        </is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s="3" t="n">
        <v>0</v>
      </c>
      <c r="J3416" s="3" t="n">
        <v>0</v>
      </c>
      <c r="K3416" s="3" t="n">
        <v>0</v>
      </c>
      <c r="L3416" s="3">
        <f>IF(K3416&lt;-5,"CRÍTICO",IF(K3416&lt;0,"ATENÇÃO",IF(K3416&lt;=5,"OPORTUNO","MUITO BOM")))</f>
        <v/>
      </c>
      <c r="N3416" t="n">
        <v>98.26000000000001</v>
      </c>
      <c r="O3416" t="n">
        <v>26.66666666666667</v>
      </c>
    </row>
    <row r="3417" hidden="1">
      <c r="A3417" s="11" t="n">
        <v>46108</v>
      </c>
      <c r="B3417" t="inlineStr">
        <is>
          <t>Ana Karollyne Souza Faria</t>
        </is>
      </c>
      <c r="C3417" t="inlineStr">
        <is>
          <t>Técnico I</t>
        </is>
      </c>
      <c r="D3417" t="n">
        <v>30</v>
      </c>
      <c r="E3417" t="n">
        <v>29</v>
      </c>
      <c r="F3417" t="n">
        <v>15.25</v>
      </c>
      <c r="G3417" t="n">
        <v>0</v>
      </c>
      <c r="H3417" t="n">
        <v>0</v>
      </c>
      <c r="I3417" s="3">
        <f>E3417+G3417+H3417</f>
        <v/>
      </c>
      <c r="J3417" s="3">
        <f>ROUND(MIN(IF(C3417="Técnico III",35,IF(C3417="Técnico II",28,IF(C3417="Técnico I",23,IF(C3417="JR",20,IF(C3417="Estágio",10,0))))),IF(C3417="Técnico III",SUMIFS($D:$D,$A:$A,$A3417,$B:$B,"&lt;&gt;Patrícia Karla de Sousa Araújo",$B:$B,"&lt;&gt;Lorena Dias de Araujo",$B:$B,"&lt;&gt;Lucas Luiz Romero")*(35/1083),IF(C3417="Técnico II",SUMIFS($D:$D,$A:$A,$A3417,$B:$B,"&lt;&gt;Patrícia Karla de Sousa Araújo",$B:$B,"&lt;&gt;Lorena Dias de Araujo",$B:$B,"&lt;&gt;Lucas Luiz Romero")*(28/1083),IF(C3417="Técnico I",SUMIFS($D:$D,$A:$A,$A3417,$B:$B,"&lt;&gt;Patrícia Karla de Sousa Araújo",$B:$B,"&lt;&gt;Lorena Dias de Araujo",$B:$B,"&lt;&gt;Lucas Luiz Romero")*(23/1083),IF(C3417="JR",SUMIFS($D:$D,$A:$A,$A3417,$B:$B,"&lt;&gt;Patrícia Karla de Sousa Araújo",$B:$B,"&lt;&gt;Lorena Dias de Araujo",$B:$B,"&lt;&gt;Lucas Luiz Romero")*(20/1083),IF(C3417="Estágio",SUMIFS($D:$D,$A:$A,$A3417,$B:$B,"&lt;&gt;Patrícia Karla de Sousa Araújo",$B:$B,"&lt;&gt;Lorena Dias de Araujo",$B:$B,"&lt;&gt;Lucas Luiz Romero")*(10/1083),0)))))),0)</f>
        <v/>
      </c>
      <c r="K3417" s="3">
        <f>I3417-J3417</f>
        <v/>
      </c>
      <c r="L3417" s="3">
        <f>IF(K3417&lt;-5,"CRÍTICO",IF(K3417&lt;0,"ATENÇÃO",IF(K3417&lt;=5,"OPORTUNO","MUITO BOM")))</f>
        <v/>
      </c>
      <c r="N3417" t="n">
        <v>98.2</v>
      </c>
      <c r="O3417" t="n">
        <v>23.37962962962963</v>
      </c>
    </row>
    <row r="3418" hidden="1">
      <c r="A3418" s="11" t="n">
        <v>46108</v>
      </c>
      <c r="B3418" t="inlineStr">
        <is>
          <t>Ana Paula Da Luz Silva Aleixo</t>
        </is>
      </c>
      <c r="C3418" t="inlineStr">
        <is>
          <t>Técnico III</t>
        </is>
      </c>
      <c r="D3418" t="n">
        <v>26</v>
      </c>
      <c r="E3418" t="n">
        <v>22</v>
      </c>
      <c r="F3418" t="n">
        <v>16.58</v>
      </c>
      <c r="G3418" t="n">
        <v>0</v>
      </c>
      <c r="H3418" t="n">
        <v>0</v>
      </c>
      <c r="I3418" s="3">
        <f>E3418+G3418+H3418</f>
        <v/>
      </c>
      <c r="J3418" s="3">
        <f>ROUND(MIN(IF(C3418="Técnico III",35,IF(C3418="Técnico II",28,IF(C3418="Técnico I",23,IF(C3418="JR",20,IF(C3418="Estágio",10,0))))),IF(C3418="Técnico III",SUMIFS($D:$D,$A:$A,$A3418,$B:$B,"&lt;&gt;Patrícia Karla de Sousa Araújo",$B:$B,"&lt;&gt;Lorena Dias de Araujo",$B:$B,"&lt;&gt;Lucas Luiz Romero")*(35/1083),IF(C3418="Técnico II",SUMIFS($D:$D,$A:$A,$A3418,$B:$B,"&lt;&gt;Patrícia Karla de Sousa Araújo",$B:$B,"&lt;&gt;Lorena Dias de Araujo",$B:$B,"&lt;&gt;Lucas Luiz Romero")*(28/1083),IF(C3418="Técnico I",SUMIFS($D:$D,$A:$A,$A3418,$B:$B,"&lt;&gt;Patrícia Karla de Sousa Araújo",$B:$B,"&lt;&gt;Lorena Dias de Araujo",$B:$B,"&lt;&gt;Lucas Luiz Romero")*(23/1083),IF(C3418="JR",SUMIFS($D:$D,$A:$A,$A3418,$B:$B,"&lt;&gt;Patrícia Karla de Sousa Araújo",$B:$B,"&lt;&gt;Lorena Dias de Araujo",$B:$B,"&lt;&gt;Lucas Luiz Romero")*(20/1083),IF(C3418="Estágio",SUMIFS($D:$D,$A:$A,$A3418,$B:$B,"&lt;&gt;Patrícia Karla de Sousa Araújo",$B:$B,"&lt;&gt;Lorena Dias de Araujo",$B:$B,"&lt;&gt;Lucas Luiz Romero")*(10/1083),0)))))),0)</f>
        <v/>
      </c>
      <c r="K3418" s="3">
        <f>I3418-J3418</f>
        <v/>
      </c>
      <c r="L3418" s="3">
        <f>IF(K3418&lt;-5,"CRÍTICO",IF(K3418&lt;0,"ATENÇÃO",IF(K3418&lt;=5,"OPORTUNO","MUITO BOM")))</f>
        <v/>
      </c>
      <c r="N3418" t="n">
        <v>97.3</v>
      </c>
      <c r="O3418" t="n">
        <v>23.84769539078156</v>
      </c>
    </row>
    <row r="3419" hidden="1">
      <c r="A3419" s="11" t="n">
        <v>46108</v>
      </c>
      <c r="B3419" t="inlineStr">
        <is>
          <t>Anna Luiza Rezende Tavares</t>
        </is>
      </c>
      <c r="C3419" t="inlineStr">
        <is>
          <t>Estágio</t>
        </is>
      </c>
      <c r="D3419" t="n">
        <v>16</v>
      </c>
      <c r="E3419" t="n">
        <v>16</v>
      </c>
      <c r="F3419" t="n">
        <v>20.28</v>
      </c>
      <c r="G3419" t="n">
        <v>0</v>
      </c>
      <c r="H3419" t="n">
        <v>0</v>
      </c>
      <c r="I3419" s="3">
        <f>E3419+G3419+H3419</f>
        <v/>
      </c>
      <c r="J3419" s="3">
        <f>ROUND(MIN(IF(C3419="Técnico III",35,IF(C3419="Técnico II",28,IF(C3419="Técnico I",23,IF(C3419="JR",20,IF(C3419="Estágio",10,0))))),IF(C3419="Técnico III",SUMIFS($D:$D,$A:$A,$A3419,$B:$B,"&lt;&gt;Patrícia Karla de Sousa Araújo",$B:$B,"&lt;&gt;Lorena Dias de Araujo",$B:$B,"&lt;&gt;Lucas Luiz Romero")*(35/1083),IF(C3419="Técnico II",SUMIFS($D:$D,$A:$A,$A3419,$B:$B,"&lt;&gt;Patrícia Karla de Sousa Araújo",$B:$B,"&lt;&gt;Lorena Dias de Araujo",$B:$B,"&lt;&gt;Lucas Luiz Romero")*(28/1083),IF(C3419="Técnico I",SUMIFS($D:$D,$A:$A,$A3419,$B:$B,"&lt;&gt;Patrícia Karla de Sousa Araújo",$B:$B,"&lt;&gt;Lorena Dias de Araujo",$B:$B,"&lt;&gt;Lucas Luiz Romero")*(23/1083),IF(C3419="JR",SUMIFS($D:$D,$A:$A,$A3419,$B:$B,"&lt;&gt;Patrícia Karla de Sousa Araújo",$B:$B,"&lt;&gt;Lorena Dias de Araujo",$B:$B,"&lt;&gt;Lucas Luiz Romero")*(20/1083),IF(C3419="Estágio",SUMIFS($D:$D,$A:$A,$A3419,$B:$B,"&lt;&gt;Patrícia Karla de Sousa Araújo",$B:$B,"&lt;&gt;Lorena Dias de Araujo",$B:$B,"&lt;&gt;Lucas Luiz Romero")*(10/1083),0)))))),0)</f>
        <v/>
      </c>
      <c r="K3419" s="3">
        <f>I3419-J3419</f>
        <v/>
      </c>
      <c r="L3419" s="3">
        <f>IF(K3419&lt;-5,"CRÍTICO",IF(K3419&lt;0,"ATENÇÃO",IF(K3419&lt;=5,"OPORTUNO","MUITO BOM")))</f>
        <v/>
      </c>
      <c r="N3419" t="n">
        <v>100</v>
      </c>
      <c r="O3419" t="n">
        <v>25.26881720430108</v>
      </c>
    </row>
    <row r="3420" hidden="1">
      <c r="A3420" s="11" t="n">
        <v>46108</v>
      </c>
      <c r="B3420" t="inlineStr">
        <is>
          <t>Brenda de Menezes Silva</t>
        </is>
      </c>
      <c r="C3420" t="inlineStr">
        <is>
          <t>Técnico II</t>
        </is>
      </c>
      <c r="D3420" t="n">
        <v>32</v>
      </c>
      <c r="E3420" t="n">
        <v>29</v>
      </c>
      <c r="F3420" t="n">
        <v>17.32</v>
      </c>
      <c r="G3420" t="n">
        <v>0</v>
      </c>
      <c r="H3420" t="n">
        <v>0</v>
      </c>
      <c r="I3420" s="3">
        <f>E3420+G3420+H3420</f>
        <v/>
      </c>
      <c r="J3420" s="3">
        <f>ROUND(MIN(IF(C3420="Técnico III",35,IF(C3420="Técnico II",28,IF(C3420="Técnico I",23,IF(C3420="JR",20,IF(C3420="Estágio",10,0))))),IF(C3420="Técnico III",SUMIFS($D:$D,$A:$A,$A3420,$B:$B,"&lt;&gt;Patrícia Karla de Sousa Araújo",$B:$B,"&lt;&gt;Lorena Dias de Araujo",$B:$B,"&lt;&gt;Lucas Luiz Romero")*(35/1083),IF(C3420="Técnico II",SUMIFS($D:$D,$A:$A,$A3420,$B:$B,"&lt;&gt;Patrícia Karla de Sousa Araújo",$B:$B,"&lt;&gt;Lorena Dias de Araujo",$B:$B,"&lt;&gt;Lucas Luiz Romero")*(28/1083),IF(C3420="Técnico I",SUMIFS($D:$D,$A:$A,$A3420,$B:$B,"&lt;&gt;Patrícia Karla de Sousa Araújo",$B:$B,"&lt;&gt;Lorena Dias de Araujo",$B:$B,"&lt;&gt;Lucas Luiz Romero")*(23/1083),IF(C3420="JR",SUMIFS($D:$D,$A:$A,$A3420,$B:$B,"&lt;&gt;Patrícia Karla de Sousa Araújo",$B:$B,"&lt;&gt;Lorena Dias de Araujo",$B:$B,"&lt;&gt;Lucas Luiz Romero")*(20/1083),IF(C3420="Estágio",SUMIFS($D:$D,$A:$A,$A3420,$B:$B,"&lt;&gt;Patrícia Karla de Sousa Araújo",$B:$B,"&lt;&gt;Lorena Dias de Araujo",$B:$B,"&lt;&gt;Lucas Luiz Romero")*(10/1083),0)))))),0)</f>
        <v/>
      </c>
      <c r="K3420" s="3">
        <f>I3420-J3420</f>
        <v/>
      </c>
      <c r="L3420" s="3">
        <f>IF(K3420&lt;-5,"CRÍTICO",IF(K3420&lt;0,"ATENÇÃO",IF(K3420&lt;=5,"OPORTUNO","MUITO BOM")))</f>
        <v/>
      </c>
      <c r="N3420" t="n">
        <v>99.31999999999999</v>
      </c>
      <c r="O3420" t="n">
        <v>22.82282282282282</v>
      </c>
    </row>
    <row r="3421" hidden="1">
      <c r="A3421" s="11" t="n">
        <v>46108</v>
      </c>
      <c r="B3421" t="inlineStr">
        <is>
          <t>Carlos Mateus Cassimiro Nunes</t>
        </is>
      </c>
      <c r="C3421" t="inlineStr">
        <is>
          <t>Técnico II</t>
        </is>
      </c>
      <c r="D3421" t="n">
        <v>19</v>
      </c>
      <c r="E3421" t="n">
        <v>17</v>
      </c>
      <c r="F3421" t="n">
        <v>23.48</v>
      </c>
      <c r="G3421" t="n">
        <v>0</v>
      </c>
      <c r="H3421" t="n">
        <v>0</v>
      </c>
      <c r="I3421" s="3">
        <f>E3421+G3421+H3421</f>
        <v/>
      </c>
      <c r="J3421" s="3">
        <f>ROUND(MIN(IF(C3421="Técnico III",35,IF(C3421="Técnico II",28,IF(C3421="Técnico I",23,IF(C3421="JR",20,IF(C3421="Estágio",10,0))))),IF(C3421="Técnico III",SUMIFS($D:$D,$A:$A,$A3421,$B:$B,"&lt;&gt;Patrícia Karla de Sousa Araújo",$B:$B,"&lt;&gt;Lorena Dias de Araujo",$B:$B,"&lt;&gt;Lucas Luiz Romero")*(35/1083),IF(C3421="Técnico II",SUMIFS($D:$D,$A:$A,$A3421,$B:$B,"&lt;&gt;Patrícia Karla de Sousa Araújo",$B:$B,"&lt;&gt;Lorena Dias de Araujo",$B:$B,"&lt;&gt;Lucas Luiz Romero")*(28/1083),IF(C3421="Técnico I",SUMIFS($D:$D,$A:$A,$A3421,$B:$B,"&lt;&gt;Patrícia Karla de Sousa Araújo",$B:$B,"&lt;&gt;Lorena Dias de Araujo",$B:$B,"&lt;&gt;Lucas Luiz Romero")*(23/1083),IF(C3421="JR",SUMIFS($D:$D,$A:$A,$A3421,$B:$B,"&lt;&gt;Patrícia Karla de Sousa Araújo",$B:$B,"&lt;&gt;Lorena Dias de Araujo",$B:$B,"&lt;&gt;Lucas Luiz Romero")*(20/1083),IF(C3421="Estágio",SUMIFS($D:$D,$A:$A,$A3421,$B:$B,"&lt;&gt;Patrícia Karla de Sousa Araújo",$B:$B,"&lt;&gt;Lorena Dias de Araujo",$B:$B,"&lt;&gt;Lucas Luiz Romero")*(10/1083),0)))))),0)</f>
        <v/>
      </c>
      <c r="K3421" s="3">
        <f>I3421-J3421</f>
        <v/>
      </c>
      <c r="L3421" s="3">
        <f>IF(K3421&lt;-5,"CRÍTICO",IF(K3421&lt;0,"ATENÇÃO",IF(K3421&lt;=5,"OPORTUNO","MUITO BOM")))</f>
        <v/>
      </c>
      <c r="N3421" t="n">
        <v>100</v>
      </c>
      <c r="O3421" t="n">
        <v>27.96610169491525</v>
      </c>
    </row>
    <row r="3422" hidden="1">
      <c r="A3422" s="11" t="n">
        <v>46108</v>
      </c>
      <c r="B3422" t="inlineStr">
        <is>
          <t>Claudio de Sousa Velasco Filho</t>
        </is>
      </c>
      <c r="C3422" t="inlineStr">
        <is>
          <t>Estágio</t>
        </is>
      </c>
      <c r="D3422" t="n">
        <v>10</v>
      </c>
      <c r="E3422" t="n">
        <v>10</v>
      </c>
      <c r="F3422" t="n">
        <v>15.45</v>
      </c>
      <c r="G3422" t="n">
        <v>0</v>
      </c>
      <c r="H3422" t="n">
        <v>0</v>
      </c>
      <c r="I3422" s="3">
        <f>E3422+G3422+H3422</f>
        <v/>
      </c>
      <c r="J3422" s="3">
        <f>ROUND(MIN(IF(C3422="Técnico III",35,IF(C3422="Técnico II",28,IF(C3422="Técnico I",23,IF(C3422="JR",20,IF(C3422="Estágio",10,0))))),IF(C3422="Técnico III",SUMIFS($D:$D,$A:$A,$A3422,$B:$B,"&lt;&gt;Patrícia Karla de Sousa Araújo",$B:$B,"&lt;&gt;Lorena Dias de Araujo",$B:$B,"&lt;&gt;Lucas Luiz Romero")*(35/1083),IF(C3422="Técnico II",SUMIFS($D:$D,$A:$A,$A3422,$B:$B,"&lt;&gt;Patrícia Karla de Sousa Araújo",$B:$B,"&lt;&gt;Lorena Dias de Araujo",$B:$B,"&lt;&gt;Lucas Luiz Romero")*(28/1083),IF(C3422="Técnico I",SUMIFS($D:$D,$A:$A,$A3422,$B:$B,"&lt;&gt;Patrícia Karla de Sousa Araújo",$B:$B,"&lt;&gt;Lorena Dias de Araujo",$B:$B,"&lt;&gt;Lucas Luiz Romero")*(23/1083),IF(C3422="JR",SUMIFS($D:$D,$A:$A,$A3422,$B:$B,"&lt;&gt;Patrícia Karla de Sousa Araújo",$B:$B,"&lt;&gt;Lorena Dias de Araujo",$B:$B,"&lt;&gt;Lucas Luiz Romero")*(20/1083),IF(C3422="Estágio",SUMIFS($D:$D,$A:$A,$A3422,$B:$B,"&lt;&gt;Patrícia Karla de Sousa Araújo",$B:$B,"&lt;&gt;Lorena Dias de Araujo",$B:$B,"&lt;&gt;Lucas Luiz Romero")*(10/1083),0)))))),0)</f>
        <v/>
      </c>
      <c r="K3422" s="3">
        <f>I3422-J3422</f>
        <v/>
      </c>
      <c r="L3422" s="3">
        <f>IF(K3422&lt;-5,"CRÍTICO",IF(K3422&lt;0,"ATENÇÃO",IF(K3422&lt;=5,"OPORTUNO","MUITO BOM")))</f>
        <v/>
      </c>
      <c r="N3422" t="n">
        <v>100</v>
      </c>
      <c r="O3422" t="n">
        <v>30.43478260869566</v>
      </c>
    </row>
    <row r="3423" hidden="1">
      <c r="A3423" s="11" t="n">
        <v>46108</v>
      </c>
      <c r="B3423" t="inlineStr">
        <is>
          <t>Clessiane Pereira dos Santos</t>
        </is>
      </c>
      <c r="C3423" t="inlineStr">
        <is>
          <t>Técnico I</t>
        </is>
      </c>
      <c r="D3423" t="n">
        <v>31</v>
      </c>
      <c r="E3423" t="n">
        <v>30</v>
      </c>
      <c r="F3423" t="n">
        <v>21.45</v>
      </c>
      <c r="G3423" t="n">
        <v>0</v>
      </c>
      <c r="H3423" t="n">
        <v>0</v>
      </c>
      <c r="I3423" s="3">
        <f>E3423+G3423+H3423</f>
        <v/>
      </c>
      <c r="J3423" s="3">
        <f>ROUND(MIN(IF(C3423="Técnico III",35,IF(C3423="Técnico II",28,IF(C3423="Técnico I",23,IF(C3423="JR",20,IF(C3423="Estágio",10,0))))),IF(C3423="Técnico III",SUMIFS($D:$D,$A:$A,$A3423,$B:$B,"&lt;&gt;Patrícia Karla de Sousa Araújo",$B:$B,"&lt;&gt;Lorena Dias de Araujo",$B:$B,"&lt;&gt;Lucas Luiz Romero")*(35/1083),IF(C3423="Técnico II",SUMIFS($D:$D,$A:$A,$A3423,$B:$B,"&lt;&gt;Patrícia Karla de Sousa Araújo",$B:$B,"&lt;&gt;Lorena Dias de Araujo",$B:$B,"&lt;&gt;Lucas Luiz Romero")*(28/1083),IF(C3423="Técnico I",SUMIFS($D:$D,$A:$A,$A3423,$B:$B,"&lt;&gt;Patrícia Karla de Sousa Araújo",$B:$B,"&lt;&gt;Lorena Dias de Araujo",$B:$B,"&lt;&gt;Lucas Luiz Romero")*(23/1083),IF(C3423="JR",SUMIFS($D:$D,$A:$A,$A3423,$B:$B,"&lt;&gt;Patrícia Karla de Sousa Araújo",$B:$B,"&lt;&gt;Lorena Dias de Araujo",$B:$B,"&lt;&gt;Lucas Luiz Romero")*(20/1083),IF(C3423="Estágio",SUMIFS($D:$D,$A:$A,$A3423,$B:$B,"&lt;&gt;Patrícia Karla de Sousa Araújo",$B:$B,"&lt;&gt;Lorena Dias de Araujo",$B:$B,"&lt;&gt;Lucas Luiz Romero")*(10/1083),0)))))),0)</f>
        <v/>
      </c>
      <c r="K3423" s="3">
        <f>I3423-J3423</f>
        <v/>
      </c>
      <c r="L3423" s="3">
        <f>IF(K3423&lt;-5,"CRÍTICO",IF(K3423&lt;0,"ATENÇÃO",IF(K3423&lt;=5,"OPORTUNO","MUITO BOM")))</f>
        <v/>
      </c>
      <c r="N3423" t="n">
        <v>96.51000000000001</v>
      </c>
      <c r="O3423" t="n">
        <v>22.80285035629454</v>
      </c>
    </row>
    <row r="3424" hidden="1">
      <c r="A3424" s="11" t="n">
        <v>46108</v>
      </c>
      <c r="B3424" t="inlineStr">
        <is>
          <t>Cristiane Ramos da Silva Rocha</t>
        </is>
      </c>
      <c r="C3424" t="inlineStr">
        <is>
          <t>Técnico III</t>
        </is>
      </c>
      <c r="D3424" t="n">
        <v>29</v>
      </c>
      <c r="E3424" t="n">
        <v>25</v>
      </c>
      <c r="F3424" t="n">
        <v>10.48</v>
      </c>
      <c r="G3424" t="n">
        <v>0</v>
      </c>
      <c r="H3424" t="n">
        <v>0</v>
      </c>
      <c r="I3424" s="3">
        <f>E3424+G3424+H3424</f>
        <v/>
      </c>
      <c r="J3424" s="3">
        <f>ROUND(MIN(IF(C3424="Técnico III",35,IF(C3424="Técnico II",28,IF(C3424="Técnico I",23,IF(C3424="JR",20,IF(C3424="Estágio",10,0))))),IF(C3424="Técnico III",SUMIFS($D:$D,$A:$A,$A3424,$B:$B,"&lt;&gt;Patrícia Karla de Sousa Araújo",$B:$B,"&lt;&gt;Lorena Dias de Araujo",$B:$B,"&lt;&gt;Lucas Luiz Romero")*(35/1083),IF(C3424="Técnico II",SUMIFS($D:$D,$A:$A,$A3424,$B:$B,"&lt;&gt;Patrícia Karla de Sousa Araújo",$B:$B,"&lt;&gt;Lorena Dias de Araujo",$B:$B,"&lt;&gt;Lucas Luiz Romero")*(28/1083),IF(C3424="Técnico I",SUMIFS($D:$D,$A:$A,$A3424,$B:$B,"&lt;&gt;Patrícia Karla de Sousa Araújo",$B:$B,"&lt;&gt;Lorena Dias de Araujo",$B:$B,"&lt;&gt;Lucas Luiz Romero")*(23/1083),IF(C3424="JR",SUMIFS($D:$D,$A:$A,$A3424,$B:$B,"&lt;&gt;Patrícia Karla de Sousa Araújo",$B:$B,"&lt;&gt;Lorena Dias de Araujo",$B:$B,"&lt;&gt;Lucas Luiz Romero")*(20/1083),IF(C3424="Estágio",SUMIFS($D:$D,$A:$A,$A3424,$B:$B,"&lt;&gt;Patrícia Karla de Sousa Araújo",$B:$B,"&lt;&gt;Lorena Dias de Araujo",$B:$B,"&lt;&gt;Lucas Luiz Romero")*(10/1083),0)))))),0)</f>
        <v/>
      </c>
      <c r="K3424" s="3">
        <f>I3424-J3424</f>
        <v/>
      </c>
      <c r="L3424" s="3">
        <f>IF(K3424&lt;-5,"CRÍTICO",IF(K3424&lt;0,"ATENÇÃO",IF(K3424&lt;=5,"OPORTUNO","MUITO BOM")))</f>
        <v/>
      </c>
      <c r="N3424" t="n">
        <v>92.68000000000001</v>
      </c>
      <c r="O3424" t="n">
        <v>27.77777777777778</v>
      </c>
    </row>
    <row r="3425" hidden="1">
      <c r="A3425" s="11" t="n">
        <v>46108</v>
      </c>
      <c r="B3425" t="inlineStr">
        <is>
          <t>Damyllis Lorraine de Oliveira Gonçalves</t>
        </is>
      </c>
      <c r="C3425" t="inlineStr">
        <is>
          <t>Técnico II</t>
        </is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s="3" t="n">
        <v>0</v>
      </c>
      <c r="J3425" s="3" t="n">
        <v>0</v>
      </c>
      <c r="K3425" s="3" t="n">
        <v>0</v>
      </c>
      <c r="L3425" s="3">
        <f>IF(K3425&lt;-5,"CRÍTICO",IF(K3425&lt;0,"ATENÇÃO",IF(K3425&lt;=5,"OPORTUNO","MUITO BOM")))</f>
        <v/>
      </c>
      <c r="N3425" t="n">
        <v>99.03</v>
      </c>
      <c r="O3425" t="n">
        <v>23.99150743099788</v>
      </c>
    </row>
    <row r="3426" hidden="1">
      <c r="A3426" s="11" t="n">
        <v>46108</v>
      </c>
      <c r="B3426" t="inlineStr">
        <is>
          <t>Daniel Gomes da Silva</t>
        </is>
      </c>
      <c r="C3426" t="inlineStr">
        <is>
          <t>Técnico I</t>
        </is>
      </c>
      <c r="D3426" t="n">
        <v>19</v>
      </c>
      <c r="E3426" t="n">
        <v>17</v>
      </c>
      <c r="F3426" t="n">
        <v>20.48</v>
      </c>
      <c r="G3426" t="n">
        <v>0</v>
      </c>
      <c r="H3426" t="n">
        <v>0</v>
      </c>
      <c r="I3426" s="3">
        <f>E3426+G3426+H3426</f>
        <v/>
      </c>
      <c r="J3426" s="3">
        <f>ROUND(MIN(IF(C3426="Técnico III",35,IF(C3426="Técnico II",28,IF(C3426="Técnico I",23,IF(C3426="JR",20,IF(C3426="Estágio",10,0))))),IF(C3426="Técnico III",SUMIFS($D:$D,$A:$A,$A3426,$B:$B,"&lt;&gt;Patrícia Karla de Sousa Araújo",$B:$B,"&lt;&gt;Lorena Dias de Araujo",$B:$B,"&lt;&gt;Lucas Luiz Romero")*(35/1083),IF(C3426="Técnico II",SUMIFS($D:$D,$A:$A,$A3426,$B:$B,"&lt;&gt;Patrícia Karla de Sousa Araújo",$B:$B,"&lt;&gt;Lorena Dias de Araujo",$B:$B,"&lt;&gt;Lucas Luiz Romero")*(28/1083),IF(C3426="Técnico I",SUMIFS($D:$D,$A:$A,$A3426,$B:$B,"&lt;&gt;Patrícia Karla de Sousa Araújo",$B:$B,"&lt;&gt;Lorena Dias de Araujo",$B:$B,"&lt;&gt;Lucas Luiz Romero")*(23/1083),IF(C3426="JR",SUMIFS($D:$D,$A:$A,$A3426,$B:$B,"&lt;&gt;Patrícia Karla de Sousa Araújo",$B:$B,"&lt;&gt;Lorena Dias de Araujo",$B:$B,"&lt;&gt;Lucas Luiz Romero")*(20/1083),IF(C3426="Estágio",SUMIFS($D:$D,$A:$A,$A3426,$B:$B,"&lt;&gt;Patrícia Karla de Sousa Araújo",$B:$B,"&lt;&gt;Lorena Dias de Araujo",$B:$B,"&lt;&gt;Lucas Luiz Romero")*(10/1083),0)))))),0)</f>
        <v/>
      </c>
      <c r="K3426" s="3">
        <f>I3426-J3426</f>
        <v/>
      </c>
      <c r="L3426" s="3">
        <f>IF(K3426&lt;-5,"CRÍTICO",IF(K3426&lt;0,"ATENÇÃO",IF(K3426&lt;=5,"OPORTUNO","MUITO BOM")))</f>
        <v/>
      </c>
      <c r="N3426" t="n">
        <v>98.41</v>
      </c>
      <c r="O3426" t="n">
        <v>28.13852813852814</v>
      </c>
    </row>
    <row r="3427" hidden="1">
      <c r="A3427" s="11" t="n">
        <v>46108</v>
      </c>
      <c r="B3427" t="inlineStr">
        <is>
          <t>Davylla Rodrigues Freitas Silva</t>
        </is>
      </c>
      <c r="C3427" t="inlineStr">
        <is>
          <t>Técnico III</t>
        </is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s="3" t="n">
        <v>0</v>
      </c>
      <c r="J3427" s="3" t="n">
        <v>0</v>
      </c>
      <c r="K3427" s="3" t="n">
        <v>0</v>
      </c>
      <c r="L3427" s="3">
        <f>IF(K3427&lt;-5,"CRÍTICO",IF(K3427&lt;0,"ATENÇÃO",IF(K3427&lt;=5,"OPORTUNO","MUITO BOM")))</f>
        <v/>
      </c>
      <c r="N3427" t="n">
        <v>98.73</v>
      </c>
      <c r="O3427" t="n">
        <v>29.14285714285714</v>
      </c>
    </row>
    <row r="3428" hidden="1">
      <c r="A3428" s="11" t="n">
        <v>46108</v>
      </c>
      <c r="B3428" t="inlineStr">
        <is>
          <t>Emilly Caylane Costa</t>
        </is>
      </c>
      <c r="C3428" t="inlineStr">
        <is>
          <t>Estágio</t>
        </is>
      </c>
      <c r="D3428" t="n">
        <v>10</v>
      </c>
      <c r="E3428" t="n">
        <v>8</v>
      </c>
      <c r="F3428" t="n">
        <v>27.39</v>
      </c>
      <c r="G3428" t="n">
        <v>0</v>
      </c>
      <c r="H3428" t="n">
        <v>0</v>
      </c>
      <c r="I3428" s="3">
        <f>E3428+G3428+H3428</f>
        <v/>
      </c>
      <c r="J3428" s="3">
        <f>ROUND(MIN(IF(C3428="Técnico III",35,IF(C3428="Técnico II",28,IF(C3428="Técnico I",23,IF(C3428="JR",20,IF(C3428="Estágio",10,0))))),IF(C3428="Técnico III",SUMIFS($D:$D,$A:$A,$A3428,$B:$B,"&lt;&gt;Patrícia Karla de Sousa Araújo",$B:$B,"&lt;&gt;Lorena Dias de Araujo",$B:$B,"&lt;&gt;Lucas Luiz Romero")*(35/1083),IF(C3428="Técnico II",SUMIFS($D:$D,$A:$A,$A3428,$B:$B,"&lt;&gt;Patrícia Karla de Sousa Araújo",$B:$B,"&lt;&gt;Lorena Dias de Araujo",$B:$B,"&lt;&gt;Lucas Luiz Romero")*(28/1083),IF(C3428="Técnico I",SUMIFS($D:$D,$A:$A,$A3428,$B:$B,"&lt;&gt;Patrícia Karla de Sousa Araújo",$B:$B,"&lt;&gt;Lorena Dias de Araujo",$B:$B,"&lt;&gt;Lucas Luiz Romero")*(23/1083),IF(C3428="JR",SUMIFS($D:$D,$A:$A,$A3428,$B:$B,"&lt;&gt;Patrícia Karla de Sousa Araújo",$B:$B,"&lt;&gt;Lorena Dias de Araujo",$B:$B,"&lt;&gt;Lucas Luiz Romero")*(20/1083),IF(C3428="Estágio",SUMIFS($D:$D,$A:$A,$A3428,$B:$B,"&lt;&gt;Patrícia Karla de Sousa Araújo",$B:$B,"&lt;&gt;Lorena Dias de Araujo",$B:$B,"&lt;&gt;Lucas Luiz Romero")*(10/1083),0)))))),0)</f>
        <v/>
      </c>
      <c r="K3428" s="3">
        <f>I3428-J3428</f>
        <v/>
      </c>
      <c r="L3428" s="3">
        <f>IF(K3428&lt;-5,"CRÍTICO",IF(K3428&lt;0,"ATENÇÃO",IF(K3428&lt;=5,"OPORTUNO","MUITO BOM")))</f>
        <v/>
      </c>
      <c r="N3428" t="n">
        <v>90.48</v>
      </c>
      <c r="O3428" t="n">
        <v>20.68965517241379</v>
      </c>
    </row>
    <row r="3429" hidden="1">
      <c r="A3429" s="11" t="n">
        <v>46108</v>
      </c>
      <c r="B3429" t="inlineStr">
        <is>
          <t>Emilly Kamilly Medeiros Miranda</t>
        </is>
      </c>
      <c r="C3429" t="inlineStr">
        <is>
          <t>Técnico II</t>
        </is>
      </c>
      <c r="D3429" t="n">
        <v>23</v>
      </c>
      <c r="E3429" t="n">
        <v>23</v>
      </c>
      <c r="F3429" t="n">
        <v>16.47</v>
      </c>
      <c r="G3429" t="n">
        <v>0</v>
      </c>
      <c r="H3429" t="n">
        <v>0</v>
      </c>
      <c r="I3429" s="3">
        <f>E3429+G3429+H3429</f>
        <v/>
      </c>
      <c r="J3429" s="3">
        <f>ROUND(MIN(IF(C3429="Técnico III",35,IF(C3429="Técnico II",28,IF(C3429="Técnico I",23,IF(C3429="JR",20,IF(C3429="Estágio",10,0))))),IF(C3429="Técnico III",SUMIFS($D:$D,$A:$A,$A3429,$B:$B,"&lt;&gt;Patrícia Karla de Sousa Araújo",$B:$B,"&lt;&gt;Lorena Dias de Araujo",$B:$B,"&lt;&gt;Lucas Luiz Romero")*(35/1083),IF(C3429="Técnico II",SUMIFS($D:$D,$A:$A,$A3429,$B:$B,"&lt;&gt;Patrícia Karla de Sousa Araújo",$B:$B,"&lt;&gt;Lorena Dias de Araujo",$B:$B,"&lt;&gt;Lucas Luiz Romero")*(28/1083),IF(C3429="Técnico I",SUMIFS($D:$D,$A:$A,$A3429,$B:$B,"&lt;&gt;Patrícia Karla de Sousa Araújo",$B:$B,"&lt;&gt;Lorena Dias de Araujo",$B:$B,"&lt;&gt;Lucas Luiz Romero")*(23/1083),IF(C3429="JR",SUMIFS($D:$D,$A:$A,$A3429,$B:$B,"&lt;&gt;Patrícia Karla de Sousa Araújo",$B:$B,"&lt;&gt;Lorena Dias de Araujo",$B:$B,"&lt;&gt;Lucas Luiz Romero")*(20/1083),IF(C3429="Estágio",SUMIFS($D:$D,$A:$A,$A3429,$B:$B,"&lt;&gt;Patrícia Karla de Sousa Araújo",$B:$B,"&lt;&gt;Lorena Dias de Araujo",$B:$B,"&lt;&gt;Lucas Luiz Romero")*(10/1083),0)))))),0)</f>
        <v/>
      </c>
      <c r="K3429" s="3">
        <f>I3429-J3429</f>
        <v/>
      </c>
      <c r="L3429" s="3">
        <f>IF(K3429&lt;-5,"CRÍTICO",IF(K3429&lt;0,"ATENÇÃO",IF(K3429&lt;=5,"OPORTUNO","MUITO BOM")))</f>
        <v/>
      </c>
      <c r="N3429" t="n">
        <v>98.06</v>
      </c>
      <c r="O3429" t="n">
        <v>24.78991596638656</v>
      </c>
    </row>
    <row r="3430" hidden="1">
      <c r="A3430" s="11" t="n">
        <v>46108</v>
      </c>
      <c r="B3430" t="inlineStr">
        <is>
          <t>Francielson de Oliveira</t>
        </is>
      </c>
      <c r="C3430" t="inlineStr">
        <is>
          <t>Técnico III</t>
        </is>
      </c>
      <c r="D3430" t="n">
        <v>20</v>
      </c>
      <c r="E3430" t="n">
        <v>19</v>
      </c>
      <c r="F3430" t="n">
        <v>16.4</v>
      </c>
      <c r="G3430" t="n">
        <v>0</v>
      </c>
      <c r="H3430" t="n">
        <v>0</v>
      </c>
      <c r="I3430" s="3">
        <f>E3430+G3430+H3430</f>
        <v/>
      </c>
      <c r="J3430" s="3">
        <f>ROUND(MIN(IF(C3430="Técnico III",35,IF(C3430="Técnico II",28,IF(C3430="Técnico I",23,IF(C3430="JR",20,IF(C3430="Estágio",10,0))))),IF(C3430="Técnico III",SUMIFS($D:$D,$A:$A,$A3430,$B:$B,"&lt;&gt;Patrícia Karla de Sousa Araújo",$B:$B,"&lt;&gt;Lorena Dias de Araujo",$B:$B,"&lt;&gt;Lucas Luiz Romero")*(35/1083),IF(C3430="Técnico II",SUMIFS($D:$D,$A:$A,$A3430,$B:$B,"&lt;&gt;Patrícia Karla de Sousa Araújo",$B:$B,"&lt;&gt;Lorena Dias de Araujo",$B:$B,"&lt;&gt;Lucas Luiz Romero")*(28/1083),IF(C3430="Técnico I",SUMIFS($D:$D,$A:$A,$A3430,$B:$B,"&lt;&gt;Patrícia Karla de Sousa Araújo",$B:$B,"&lt;&gt;Lorena Dias de Araujo",$B:$B,"&lt;&gt;Lucas Luiz Romero")*(23/1083),IF(C3430="JR",SUMIFS($D:$D,$A:$A,$A3430,$B:$B,"&lt;&gt;Patrícia Karla de Sousa Araújo",$B:$B,"&lt;&gt;Lorena Dias de Araujo",$B:$B,"&lt;&gt;Lucas Luiz Romero")*(20/1083),IF(C3430="Estágio",SUMIFS($D:$D,$A:$A,$A3430,$B:$B,"&lt;&gt;Patrícia Karla de Sousa Araújo",$B:$B,"&lt;&gt;Lorena Dias de Araujo",$B:$B,"&lt;&gt;Lucas Luiz Romero")*(10/1083),0)))))),0)</f>
        <v/>
      </c>
      <c r="K3430" s="3">
        <f>I3430-J3430</f>
        <v/>
      </c>
      <c r="L3430" s="3">
        <f>IF(K3430&lt;-5,"CRÍTICO",IF(K3430&lt;0,"ATENÇÃO",IF(K3430&lt;=5,"OPORTUNO","MUITO BOM")))</f>
        <v/>
      </c>
      <c r="N3430" t="n">
        <v>97.78</v>
      </c>
      <c r="O3430" t="n">
        <v>25.49407114624506</v>
      </c>
    </row>
    <row r="3431" hidden="1">
      <c r="A3431" s="11" t="n">
        <v>46108</v>
      </c>
      <c r="B3431" t="inlineStr">
        <is>
          <t>Francilene Ferreira de Jesus</t>
        </is>
      </c>
      <c r="C3431" t="inlineStr">
        <is>
          <t>Técnico II</t>
        </is>
      </c>
      <c r="D3431" t="n">
        <v>25</v>
      </c>
      <c r="E3431" t="n">
        <v>20</v>
      </c>
      <c r="F3431" t="n">
        <v>23.59</v>
      </c>
      <c r="G3431" t="n">
        <v>0</v>
      </c>
      <c r="H3431" t="n">
        <v>0</v>
      </c>
      <c r="I3431" s="3">
        <f>E3431+G3431+H3431</f>
        <v/>
      </c>
      <c r="J3431" s="3">
        <f>ROUND(MIN(IF(C3431="Técnico III",35,IF(C3431="Técnico II",28,IF(C3431="Técnico I",23,IF(C3431="JR",20,IF(C3431="Estágio",10,0))))),IF(C3431="Técnico III",SUMIFS($D:$D,$A:$A,$A3431,$B:$B,"&lt;&gt;Patrícia Karla de Sousa Araújo",$B:$B,"&lt;&gt;Lorena Dias de Araujo",$B:$B,"&lt;&gt;Lucas Luiz Romero")*(35/1083),IF(C3431="Técnico II",SUMIFS($D:$D,$A:$A,$A3431,$B:$B,"&lt;&gt;Patrícia Karla de Sousa Araújo",$B:$B,"&lt;&gt;Lorena Dias de Araujo",$B:$B,"&lt;&gt;Lucas Luiz Romero")*(28/1083),IF(C3431="Técnico I",SUMIFS($D:$D,$A:$A,$A3431,$B:$B,"&lt;&gt;Patrícia Karla de Sousa Araújo",$B:$B,"&lt;&gt;Lorena Dias de Araujo",$B:$B,"&lt;&gt;Lucas Luiz Romero")*(23/1083),IF(C3431="JR",SUMIFS($D:$D,$A:$A,$A3431,$B:$B,"&lt;&gt;Patrícia Karla de Sousa Araújo",$B:$B,"&lt;&gt;Lorena Dias de Araujo",$B:$B,"&lt;&gt;Lucas Luiz Romero")*(20/1083),IF(C3431="Estágio",SUMIFS($D:$D,$A:$A,$A3431,$B:$B,"&lt;&gt;Patrícia Karla de Sousa Araújo",$B:$B,"&lt;&gt;Lorena Dias de Araujo",$B:$B,"&lt;&gt;Lucas Luiz Romero")*(10/1083),0)))))),0)</f>
        <v/>
      </c>
      <c r="K3431" s="3">
        <f>I3431-J3431</f>
        <v/>
      </c>
      <c r="L3431" s="3">
        <f>IF(K3431&lt;-5,"CRÍTICO",IF(K3431&lt;0,"ATENÇÃO",IF(K3431&lt;=5,"OPORTUNO","MUITO BOM")))</f>
        <v/>
      </c>
      <c r="N3431" t="n">
        <v>98.02</v>
      </c>
      <c r="O3431" t="n">
        <v>23.48484848484848</v>
      </c>
    </row>
    <row r="3432" hidden="1">
      <c r="A3432" s="10" t="n">
        <v>46164</v>
      </c>
      <c r="B3432" s="6" t="inlineStr">
        <is>
          <t>Lizandra Gomes Duarte</t>
        </is>
      </c>
      <c r="C3432" s="3" t="inlineStr">
        <is>
          <t>Técnico II</t>
        </is>
      </c>
      <c r="D3432" s="3" t="n">
        <v>19</v>
      </c>
      <c r="E3432" s="3" t="n">
        <v>18</v>
      </c>
      <c r="F3432" s="3" t="n">
        <v>20.48</v>
      </c>
      <c r="G3432" s="3" t="n">
        <v>1</v>
      </c>
      <c r="H3432" s="3" t="n">
        <v>0</v>
      </c>
      <c r="I3432" s="3">
        <f>E3432+G3432+H3432</f>
        <v/>
      </c>
      <c r="J3432" s="3">
        <f>ROUND(MIN(IF(C3432="Técnico III",35,IF(C3432="Técnico II",28,IF(C3432="Técnico I",23,IF(C3432="JR",20,IF(C3432="Estágio",10,0))))),IF(C3432="Técnico III",SUMIFS($D:$D,$A:$A,$A3432,$B:$B,"&lt;&gt;Patrícia Karla de Sousa Araújo",$B:$B,"&lt;&gt;Lorena Dias de Araujo",$B:$B,"&lt;&gt;Lucas Luiz Romero")*(35/1083),IF(C3432="Técnico II",SUMIFS($D:$D,$A:$A,$A3432,$B:$B,"&lt;&gt;Patrícia Karla de Sousa Araújo",$B:$B,"&lt;&gt;Lorena Dias de Araujo",$B:$B,"&lt;&gt;Lucas Luiz Romero")*(28/1083),IF(C3432="Técnico I",SUMIFS($D:$D,$A:$A,$A3432,$B:$B,"&lt;&gt;Patrícia Karla de Sousa Araújo",$B:$B,"&lt;&gt;Lorena Dias de Araujo",$B:$B,"&lt;&gt;Lucas Luiz Romero")*(23/1083),IF(C3432="JR",SUMIFS($D:$D,$A:$A,$A3432,$B:$B,"&lt;&gt;Patrícia Karla de Sousa Araújo",$B:$B,"&lt;&gt;Lorena Dias de Araujo",$B:$B,"&lt;&gt;Lucas Luiz Romero")*(20/1083),IF(C3432="Estágio",SUMIFS($D:$D,$A:$A,$A3432,$B:$B,"&lt;&gt;Patrícia Karla de Sousa Araújo",$B:$B,"&lt;&gt;Lorena Dias de Araujo",$B:$B,"&lt;&gt;Lucas Luiz Romero")*(10/1083),0)))))),0)</f>
        <v/>
      </c>
      <c r="K3432" s="3">
        <f>I3432-J3432</f>
        <v/>
      </c>
      <c r="L3432" s="3">
        <f>IF(K3432&lt;-5,"CRÍTICO",IF(K3432&lt;0,"ATENÇÃO",IF(K3432&lt;=5,"OPORTUNO","MUITO BOM")))</f>
        <v/>
      </c>
      <c r="M3432" s="3" t="n">
        <v>18</v>
      </c>
      <c r="N3432" s="3" t="n">
        <v>98.61</v>
      </c>
      <c r="O3432" s="3" t="n">
        <v>16.86746987951807</v>
      </c>
    </row>
    <row r="3433" hidden="1">
      <c r="A3433" s="11" t="n">
        <v>46108</v>
      </c>
      <c r="B3433" t="inlineStr">
        <is>
          <t>Isabella Borges de Oliveira</t>
        </is>
      </c>
      <c r="C3433" t="inlineStr">
        <is>
          <t>Técnico II</t>
        </is>
      </c>
      <c r="D3433" t="n">
        <v>22</v>
      </c>
      <c r="E3433" t="n">
        <v>22</v>
      </c>
      <c r="F3433" t="n">
        <v>20.03</v>
      </c>
      <c r="G3433" t="n">
        <v>0</v>
      </c>
      <c r="H3433" t="n">
        <v>0</v>
      </c>
      <c r="I3433" s="3">
        <f>E3433+G3433+H3433</f>
        <v/>
      </c>
      <c r="J3433" s="3">
        <f>ROUND(MIN(IF(C3433="Técnico III",35,IF(C3433="Técnico II",28,IF(C3433="Técnico I",23,IF(C3433="JR",20,IF(C3433="Estágio",10,0))))),IF(C3433="Técnico III",SUMIFS($D:$D,$A:$A,$A3433,$B:$B,"&lt;&gt;Patrícia Karla de Sousa Araújo",$B:$B,"&lt;&gt;Lorena Dias de Araujo",$B:$B,"&lt;&gt;Lucas Luiz Romero")*(35/1083),IF(C3433="Técnico II",SUMIFS($D:$D,$A:$A,$A3433,$B:$B,"&lt;&gt;Patrícia Karla de Sousa Araújo",$B:$B,"&lt;&gt;Lorena Dias de Araujo",$B:$B,"&lt;&gt;Lucas Luiz Romero")*(28/1083),IF(C3433="Técnico I",SUMIFS($D:$D,$A:$A,$A3433,$B:$B,"&lt;&gt;Patrícia Karla de Sousa Araújo",$B:$B,"&lt;&gt;Lorena Dias de Araujo",$B:$B,"&lt;&gt;Lucas Luiz Romero")*(23/1083),IF(C3433="JR",SUMIFS($D:$D,$A:$A,$A3433,$B:$B,"&lt;&gt;Patrícia Karla de Sousa Araújo",$B:$B,"&lt;&gt;Lorena Dias de Araujo",$B:$B,"&lt;&gt;Lucas Luiz Romero")*(20/1083),IF(C3433="Estágio",SUMIFS($D:$D,$A:$A,$A3433,$B:$B,"&lt;&gt;Patrícia Karla de Sousa Araújo",$B:$B,"&lt;&gt;Lorena Dias de Araujo",$B:$B,"&lt;&gt;Lucas Luiz Romero")*(10/1083),0)))))),0)</f>
        <v/>
      </c>
      <c r="K3433" s="3">
        <f>I3433-J3433</f>
        <v/>
      </c>
      <c r="L3433" s="3">
        <f>IF(K3433&lt;-5,"CRÍTICO",IF(K3433&lt;0,"ATENÇÃO",IF(K3433&lt;=5,"OPORTUNO","MUITO BOM")))</f>
        <v/>
      </c>
      <c r="N3433" t="n">
        <v>100</v>
      </c>
      <c r="O3433" t="n">
        <v>27.04918032786885</v>
      </c>
    </row>
    <row r="3434" hidden="1">
      <c r="A3434" s="11" t="n">
        <v>46108</v>
      </c>
      <c r="B3434" t="inlineStr">
        <is>
          <t>Janaina Lima dos Reis Urany</t>
        </is>
      </c>
      <c r="C3434" t="inlineStr">
        <is>
          <t>Técnico III</t>
        </is>
      </c>
      <c r="D3434" t="n">
        <v>42</v>
      </c>
      <c r="E3434" t="n">
        <v>39</v>
      </c>
      <c r="F3434" t="n">
        <v>14.16</v>
      </c>
      <c r="G3434" t="n">
        <v>0</v>
      </c>
      <c r="H3434" t="n">
        <v>0</v>
      </c>
      <c r="I3434" s="3">
        <f>E3434+G3434+H3434</f>
        <v/>
      </c>
      <c r="J3434" s="3">
        <f>ROUND(MIN(IF(C3434="Técnico III",35,IF(C3434="Técnico II",28,IF(C3434="Técnico I",23,IF(C3434="JR",20,IF(C3434="Estágio",10,0))))),IF(C3434="Técnico III",SUMIFS($D:$D,$A:$A,$A3434,$B:$B,"&lt;&gt;Patrícia Karla de Sousa Araújo",$B:$B,"&lt;&gt;Lorena Dias de Araujo",$B:$B,"&lt;&gt;Lucas Luiz Romero")*(35/1083),IF(C3434="Técnico II",SUMIFS($D:$D,$A:$A,$A3434,$B:$B,"&lt;&gt;Patrícia Karla de Sousa Araújo",$B:$B,"&lt;&gt;Lorena Dias de Araujo",$B:$B,"&lt;&gt;Lucas Luiz Romero")*(28/1083),IF(C3434="Técnico I",SUMIFS($D:$D,$A:$A,$A3434,$B:$B,"&lt;&gt;Patrícia Karla de Sousa Araújo",$B:$B,"&lt;&gt;Lorena Dias de Araujo",$B:$B,"&lt;&gt;Lucas Luiz Romero")*(23/1083),IF(C3434="JR",SUMIFS($D:$D,$A:$A,$A3434,$B:$B,"&lt;&gt;Patrícia Karla de Sousa Araújo",$B:$B,"&lt;&gt;Lorena Dias de Araujo",$B:$B,"&lt;&gt;Lucas Luiz Romero")*(20/1083),IF(C3434="Estágio",SUMIFS($D:$D,$A:$A,$A3434,$B:$B,"&lt;&gt;Patrícia Karla de Sousa Araújo",$B:$B,"&lt;&gt;Lorena Dias de Araujo",$B:$B,"&lt;&gt;Lucas Luiz Romero")*(10/1083),0)))))),0)</f>
        <v/>
      </c>
      <c r="K3434" s="3">
        <f>I3434-J3434</f>
        <v/>
      </c>
      <c r="L3434" s="3">
        <f>IF(K3434&lt;-5,"CRÍTICO",IF(K3434&lt;0,"ATENÇÃO",IF(K3434&lt;=5,"OPORTUNO","MUITO BOM")))</f>
        <v/>
      </c>
      <c r="N3434" t="n">
        <v>97.83</v>
      </c>
      <c r="O3434" t="n">
        <v>26.31578947368421</v>
      </c>
    </row>
    <row r="3435" hidden="1">
      <c r="A3435" s="11" t="n">
        <v>46108</v>
      </c>
      <c r="B3435" t="inlineStr">
        <is>
          <t>Jaqueline Evangelista da Silva Martins</t>
        </is>
      </c>
      <c r="C3435" t="inlineStr">
        <is>
          <t>Técnico III</t>
        </is>
      </c>
      <c r="D3435" t="n">
        <v>6</v>
      </c>
      <c r="E3435" t="n">
        <v>6</v>
      </c>
      <c r="F3435" t="n">
        <v>13.41</v>
      </c>
      <c r="G3435" t="n">
        <v>0</v>
      </c>
      <c r="H3435" t="n">
        <v>0</v>
      </c>
      <c r="I3435" s="3">
        <f>E3435+G3435+H3435</f>
        <v/>
      </c>
      <c r="J3435" s="3">
        <f>ROUND(MIN(IF(C3435="Técnico III",35,IF(C3435="Técnico II",28,IF(C3435="Técnico I",23,IF(C3435="JR",20,IF(C3435="Estágio",10,0))))),IF(C3435="Técnico III",SUMIFS($D:$D,$A:$A,$A3435,$B:$B,"&lt;&gt;Patrícia Karla de Sousa Araújo",$B:$B,"&lt;&gt;Lorena Dias de Araujo",$B:$B,"&lt;&gt;Lucas Luiz Romero")*(35/1083),IF(C3435="Técnico II",SUMIFS($D:$D,$A:$A,$A3435,$B:$B,"&lt;&gt;Patrícia Karla de Sousa Araújo",$B:$B,"&lt;&gt;Lorena Dias de Araujo",$B:$B,"&lt;&gt;Lucas Luiz Romero")*(28/1083),IF(C3435="Técnico I",SUMIFS($D:$D,$A:$A,$A3435,$B:$B,"&lt;&gt;Patrícia Karla de Sousa Araújo",$B:$B,"&lt;&gt;Lorena Dias de Araujo",$B:$B,"&lt;&gt;Lucas Luiz Romero")*(23/1083),IF(C3435="JR",SUMIFS($D:$D,$A:$A,$A3435,$B:$B,"&lt;&gt;Patrícia Karla de Sousa Araújo",$B:$B,"&lt;&gt;Lorena Dias de Araujo",$B:$B,"&lt;&gt;Lucas Luiz Romero")*(20/1083),IF(C3435="Estágio",SUMIFS($D:$D,$A:$A,$A3435,$B:$B,"&lt;&gt;Patrícia Karla de Sousa Araújo",$B:$B,"&lt;&gt;Lorena Dias de Araujo",$B:$B,"&lt;&gt;Lucas Luiz Romero")*(10/1083),0)))))),0)</f>
        <v/>
      </c>
      <c r="K3435" s="3">
        <f>I3435-J3435</f>
        <v/>
      </c>
      <c r="L3435" s="3">
        <f>IF(K3435&lt;-5,"CRÍTICO",IF(K3435&lt;0,"ATENÇÃO",IF(K3435&lt;=5,"OPORTUNO","MUITO BOM")))</f>
        <v/>
      </c>
      <c r="N3435" t="n">
        <v>100</v>
      </c>
      <c r="O3435" t="n">
        <v>26.70157068062827</v>
      </c>
    </row>
    <row r="3436" hidden="1">
      <c r="A3436" s="11" t="n">
        <v>46108</v>
      </c>
      <c r="B3436" t="inlineStr">
        <is>
          <t>Jessica Faria da Silveira</t>
        </is>
      </c>
      <c r="C3436" t="inlineStr">
        <is>
          <t>Técnico II</t>
        </is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s="3" t="n">
        <v>0</v>
      </c>
      <c r="J3436" s="3" t="n">
        <v>0</v>
      </c>
      <c r="K3436" s="3" t="n">
        <v>0</v>
      </c>
      <c r="L3436" s="3">
        <f>IF(K3436&lt;-5,"CRÍTICO",IF(K3436&lt;0,"ATENÇÃO",IF(K3436&lt;=5,"OPORTUNO","MUITO BOM")))</f>
        <v/>
      </c>
      <c r="N3436" t="n">
        <v>97.47</v>
      </c>
      <c r="O3436" t="n">
        <v>22.88732394366197</v>
      </c>
    </row>
    <row r="3437" hidden="1">
      <c r="A3437" s="11" t="n">
        <v>46108</v>
      </c>
      <c r="B3437" t="inlineStr">
        <is>
          <t>Jéssica Fé Moura</t>
        </is>
      </c>
      <c r="C3437" t="inlineStr">
        <is>
          <t>Técnico III</t>
        </is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s="3" t="n">
        <v>0</v>
      </c>
      <c r="J3437" s="3" t="n">
        <v>0</v>
      </c>
      <c r="K3437" s="3" t="n">
        <v>0</v>
      </c>
      <c r="L3437" s="3">
        <f>IF(K3437&lt;-5,"CRÍTICO",IF(K3437&lt;0,"ATENÇÃO",IF(K3437&lt;=5,"OPORTUNO","MUITO BOM")))</f>
        <v/>
      </c>
      <c r="N3437" t="n">
        <v>0</v>
      </c>
      <c r="O3437" t="n">
        <v>0</v>
      </c>
    </row>
    <row r="3438" hidden="1">
      <c r="A3438" s="11" t="n">
        <v>46108</v>
      </c>
      <c r="B3438" t="inlineStr">
        <is>
          <t>Karina Gonçalves Martins</t>
        </is>
      </c>
      <c r="C3438" t="inlineStr">
        <is>
          <t>JR</t>
        </is>
      </c>
      <c r="D3438" t="n">
        <v>24</v>
      </c>
      <c r="E3438" t="n">
        <v>24</v>
      </c>
      <c r="F3438" t="n">
        <v>24.03</v>
      </c>
      <c r="G3438" t="n">
        <v>0</v>
      </c>
      <c r="H3438" t="n">
        <v>0</v>
      </c>
      <c r="I3438" s="3">
        <f>E3438+G3438+H3438</f>
        <v/>
      </c>
      <c r="J3438" s="3">
        <f>ROUND(MIN(IF(C3438="Técnico III",35,IF(C3438="Técnico II",28,IF(C3438="Técnico I",23,IF(C3438="JR",20,IF(C3438="Estágio",10,0))))),IF(C3438="Técnico III",SUMIFS($D:$D,$A:$A,$A3438,$B:$B,"&lt;&gt;Patrícia Karla de Sousa Araújo",$B:$B,"&lt;&gt;Lorena Dias de Araujo",$B:$B,"&lt;&gt;Lucas Luiz Romero")*(35/1083),IF(C3438="Técnico II",SUMIFS($D:$D,$A:$A,$A3438,$B:$B,"&lt;&gt;Patrícia Karla de Sousa Araújo",$B:$B,"&lt;&gt;Lorena Dias de Araujo",$B:$B,"&lt;&gt;Lucas Luiz Romero")*(28/1083),IF(C3438="Técnico I",SUMIFS($D:$D,$A:$A,$A3438,$B:$B,"&lt;&gt;Patrícia Karla de Sousa Araújo",$B:$B,"&lt;&gt;Lorena Dias de Araujo",$B:$B,"&lt;&gt;Lucas Luiz Romero")*(23/1083),IF(C3438="JR",SUMIFS($D:$D,$A:$A,$A3438,$B:$B,"&lt;&gt;Patrícia Karla de Sousa Araújo",$B:$B,"&lt;&gt;Lorena Dias de Araujo",$B:$B,"&lt;&gt;Lucas Luiz Romero")*(20/1083),IF(C3438="Estágio",SUMIFS($D:$D,$A:$A,$A3438,$B:$B,"&lt;&gt;Patrícia Karla de Sousa Araújo",$B:$B,"&lt;&gt;Lorena Dias de Araujo",$B:$B,"&lt;&gt;Lucas Luiz Romero")*(10/1083),0)))))),0)</f>
        <v/>
      </c>
      <c r="K3438" s="3">
        <f>I3438-J3438</f>
        <v/>
      </c>
      <c r="L3438" s="3">
        <f>IF(K3438&lt;-5,"CRÍTICO",IF(K3438&lt;0,"ATENÇÃO",IF(K3438&lt;=5,"OPORTUNO","MUITO BOM")))</f>
        <v/>
      </c>
      <c r="N3438" t="n">
        <v>98.31</v>
      </c>
      <c r="O3438" t="n">
        <v>24.92012779552715</v>
      </c>
    </row>
    <row r="3439" hidden="1">
      <c r="A3439" s="11" t="n">
        <v>46108</v>
      </c>
      <c r="B3439" t="inlineStr">
        <is>
          <t>Kerollen Cristielly de Jesus Siqueira</t>
        </is>
      </c>
      <c r="C3439" t="inlineStr">
        <is>
          <t>Técnico III</t>
        </is>
      </c>
      <c r="D3439" t="n">
        <v>27</v>
      </c>
      <c r="E3439" t="n">
        <v>25</v>
      </c>
      <c r="F3439" t="n">
        <v>16.43</v>
      </c>
      <c r="G3439" t="n">
        <v>0</v>
      </c>
      <c r="H3439" t="n">
        <v>0</v>
      </c>
      <c r="I3439" s="3">
        <f>E3439+G3439+H3439</f>
        <v/>
      </c>
      <c r="J3439" s="3">
        <f>ROUND(MIN(IF(C3439="Técnico III",35,IF(C3439="Técnico II",28,IF(C3439="Técnico I",23,IF(C3439="JR",20,IF(C3439="Estágio",10,0))))),IF(C3439="Técnico III",SUMIFS($D:$D,$A:$A,$A3439,$B:$B,"&lt;&gt;Patrícia Karla de Sousa Araújo",$B:$B,"&lt;&gt;Lorena Dias de Araujo",$B:$B,"&lt;&gt;Lucas Luiz Romero")*(35/1083),IF(C3439="Técnico II",SUMIFS($D:$D,$A:$A,$A3439,$B:$B,"&lt;&gt;Patrícia Karla de Sousa Araújo",$B:$B,"&lt;&gt;Lorena Dias de Araujo",$B:$B,"&lt;&gt;Lucas Luiz Romero")*(28/1083),IF(C3439="Técnico I",SUMIFS($D:$D,$A:$A,$A3439,$B:$B,"&lt;&gt;Patrícia Karla de Sousa Araújo",$B:$B,"&lt;&gt;Lorena Dias de Araujo",$B:$B,"&lt;&gt;Lucas Luiz Romero")*(23/1083),IF(C3439="JR",SUMIFS($D:$D,$A:$A,$A3439,$B:$B,"&lt;&gt;Patrícia Karla de Sousa Araújo",$B:$B,"&lt;&gt;Lorena Dias de Araujo",$B:$B,"&lt;&gt;Lucas Luiz Romero")*(20/1083),IF(C3439="Estágio",SUMIFS($D:$D,$A:$A,$A3439,$B:$B,"&lt;&gt;Patrícia Karla de Sousa Araújo",$B:$B,"&lt;&gt;Lorena Dias de Araujo",$B:$B,"&lt;&gt;Lucas Luiz Romero")*(10/1083),0)))))),0)</f>
        <v/>
      </c>
      <c r="K3439" s="3">
        <f>I3439-J3439</f>
        <v/>
      </c>
      <c r="L3439" s="3">
        <f>IF(K3439&lt;-5,"CRÍTICO",IF(K3439&lt;0,"ATENÇÃO",IF(K3439&lt;=5,"OPORTUNO","MUITO BOM")))</f>
        <v/>
      </c>
      <c r="N3439" t="n">
        <v>96.81</v>
      </c>
      <c r="O3439" t="n">
        <v>32.36514522821577</v>
      </c>
    </row>
    <row r="3440" hidden="1">
      <c r="A3440" s="11" t="n">
        <v>46108</v>
      </c>
      <c r="B3440" t="inlineStr">
        <is>
          <t>Leandro de Souza Silva</t>
        </is>
      </c>
      <c r="C3440" t="inlineStr">
        <is>
          <t>JR</t>
        </is>
      </c>
      <c r="D3440" t="n">
        <v>14</v>
      </c>
      <c r="E3440" t="n">
        <v>11</v>
      </c>
      <c r="F3440" t="n">
        <v>34.02</v>
      </c>
      <c r="G3440" t="n">
        <v>0</v>
      </c>
      <c r="H3440" t="n">
        <v>0</v>
      </c>
      <c r="I3440" s="3">
        <f>E3440+G3440+H3440</f>
        <v/>
      </c>
      <c r="J3440" s="3">
        <f>ROUND(MIN(IF(C3440="Técnico III",35,IF(C3440="Técnico II",28,IF(C3440="Técnico I",23,IF(C3440="JR",20,IF(C3440="Estágio",10,0))))),IF(C3440="Técnico III",SUMIFS($D:$D,$A:$A,$A3440,$B:$B,"&lt;&gt;Patrícia Karla de Sousa Araújo",$B:$B,"&lt;&gt;Lorena Dias de Araujo",$B:$B,"&lt;&gt;Lucas Luiz Romero")*(35/1083),IF(C3440="Técnico II",SUMIFS($D:$D,$A:$A,$A3440,$B:$B,"&lt;&gt;Patrícia Karla de Sousa Araújo",$B:$B,"&lt;&gt;Lorena Dias de Araujo",$B:$B,"&lt;&gt;Lucas Luiz Romero")*(28/1083),IF(C3440="Técnico I",SUMIFS($D:$D,$A:$A,$A3440,$B:$B,"&lt;&gt;Patrícia Karla de Sousa Araújo",$B:$B,"&lt;&gt;Lorena Dias de Araujo",$B:$B,"&lt;&gt;Lucas Luiz Romero")*(23/1083),IF(C3440="JR",SUMIFS($D:$D,$A:$A,$A3440,$B:$B,"&lt;&gt;Patrícia Karla de Sousa Araújo",$B:$B,"&lt;&gt;Lorena Dias de Araujo",$B:$B,"&lt;&gt;Lucas Luiz Romero")*(20/1083),IF(C3440="Estágio",SUMIFS($D:$D,$A:$A,$A3440,$B:$B,"&lt;&gt;Patrícia Karla de Sousa Araújo",$B:$B,"&lt;&gt;Lorena Dias de Araujo",$B:$B,"&lt;&gt;Lucas Luiz Romero")*(10/1083),0)))))),0)</f>
        <v/>
      </c>
      <c r="K3440" s="3">
        <f>I3440-J3440</f>
        <v/>
      </c>
      <c r="L3440" s="3">
        <f>IF(K3440&lt;-5,"CRÍTICO",IF(K3440&lt;0,"ATENÇÃO",IF(K3440&lt;=5,"OPORTUNO","MUITO BOM")))</f>
        <v/>
      </c>
      <c r="N3440" t="n">
        <v>100</v>
      </c>
      <c r="O3440" t="n">
        <v>26.47058823529412</v>
      </c>
    </row>
    <row r="3441" hidden="1">
      <c r="A3441" s="11" t="n">
        <v>46108</v>
      </c>
      <c r="B3441" t="inlineStr">
        <is>
          <t>Leandro Oliveira de Sousa</t>
        </is>
      </c>
      <c r="C3441" t="inlineStr">
        <is>
          <t>Técnico III</t>
        </is>
      </c>
      <c r="D3441" t="n">
        <v>30</v>
      </c>
      <c r="E3441" t="n">
        <v>28</v>
      </c>
      <c r="F3441" t="n">
        <v>20.5</v>
      </c>
      <c r="G3441" t="n">
        <v>0</v>
      </c>
      <c r="H3441" t="n">
        <v>0</v>
      </c>
      <c r="I3441" s="3">
        <f>E3441+G3441+H3441</f>
        <v/>
      </c>
      <c r="J3441" s="3">
        <f>ROUND(MIN(IF(C3441="Técnico III",35,IF(C3441="Técnico II",28,IF(C3441="Técnico I",23,IF(C3441="JR",20,IF(C3441="Estágio",10,0))))),IF(C3441="Técnico III",SUMIFS($D:$D,$A:$A,$A3441,$B:$B,"&lt;&gt;Patrícia Karla de Sousa Araújo",$B:$B,"&lt;&gt;Lorena Dias de Araujo",$B:$B,"&lt;&gt;Lucas Luiz Romero")*(35/1083),IF(C3441="Técnico II",SUMIFS($D:$D,$A:$A,$A3441,$B:$B,"&lt;&gt;Patrícia Karla de Sousa Araújo",$B:$B,"&lt;&gt;Lorena Dias de Araujo",$B:$B,"&lt;&gt;Lucas Luiz Romero")*(28/1083),IF(C3441="Técnico I",SUMIFS($D:$D,$A:$A,$A3441,$B:$B,"&lt;&gt;Patrícia Karla de Sousa Araújo",$B:$B,"&lt;&gt;Lorena Dias de Araujo",$B:$B,"&lt;&gt;Lucas Luiz Romero")*(23/1083),IF(C3441="JR",SUMIFS($D:$D,$A:$A,$A3441,$B:$B,"&lt;&gt;Patrícia Karla de Sousa Araújo",$B:$B,"&lt;&gt;Lorena Dias de Araujo",$B:$B,"&lt;&gt;Lucas Luiz Romero")*(20/1083),IF(C3441="Estágio",SUMIFS($D:$D,$A:$A,$A3441,$B:$B,"&lt;&gt;Patrícia Karla de Sousa Araújo",$B:$B,"&lt;&gt;Lorena Dias de Araujo",$B:$B,"&lt;&gt;Lucas Luiz Romero")*(10/1083),0)))))),0)</f>
        <v/>
      </c>
      <c r="K3441" s="3">
        <f>I3441-J3441</f>
        <v/>
      </c>
      <c r="L3441" s="3">
        <f>IF(K3441&lt;-5,"CRÍTICO",IF(K3441&lt;0,"ATENÇÃO",IF(K3441&lt;=5,"OPORTUNO","MUITO BOM")))</f>
        <v/>
      </c>
      <c r="N3441" t="n">
        <v>100</v>
      </c>
      <c r="O3441" t="n">
        <v>28.49002849002849</v>
      </c>
    </row>
    <row r="3442" hidden="1">
      <c r="A3442" s="11" t="n">
        <v>46108</v>
      </c>
      <c r="B3442" t="inlineStr">
        <is>
          <t>Lizandra Gomes Duarte</t>
        </is>
      </c>
      <c r="C3442" t="inlineStr">
        <is>
          <t>Técnico II</t>
        </is>
      </c>
      <c r="D3442" t="n">
        <v>34</v>
      </c>
      <c r="E3442" t="n">
        <v>30</v>
      </c>
      <c r="F3442" t="n">
        <v>20.05</v>
      </c>
      <c r="G3442" t="n">
        <v>0</v>
      </c>
      <c r="H3442" t="n">
        <v>0</v>
      </c>
      <c r="I3442" s="3">
        <f>E3442+G3442+H3442</f>
        <v/>
      </c>
      <c r="J3442" s="3">
        <f>ROUND(MIN(IF(C3442="Técnico III",35,IF(C3442="Técnico II",28,IF(C3442="Técnico I",23,IF(C3442="JR",20,IF(C3442="Estágio",10,0))))),IF(C3442="Técnico III",SUMIFS($D:$D,$A:$A,$A3442,$B:$B,"&lt;&gt;Patrícia Karla de Sousa Araújo",$B:$B,"&lt;&gt;Lorena Dias de Araujo",$B:$B,"&lt;&gt;Lucas Luiz Romero")*(35/1083),IF(C3442="Técnico II",SUMIFS($D:$D,$A:$A,$A3442,$B:$B,"&lt;&gt;Patrícia Karla de Sousa Araújo",$B:$B,"&lt;&gt;Lorena Dias de Araujo",$B:$B,"&lt;&gt;Lucas Luiz Romero")*(28/1083),IF(C3442="Técnico I",SUMIFS($D:$D,$A:$A,$A3442,$B:$B,"&lt;&gt;Patrícia Karla de Sousa Araújo",$B:$B,"&lt;&gt;Lorena Dias de Araujo",$B:$B,"&lt;&gt;Lucas Luiz Romero")*(23/1083),IF(C3442="JR",SUMIFS($D:$D,$A:$A,$A3442,$B:$B,"&lt;&gt;Patrícia Karla de Sousa Araújo",$B:$B,"&lt;&gt;Lorena Dias de Araujo",$B:$B,"&lt;&gt;Lucas Luiz Romero")*(20/1083),IF(C3442="Estágio",SUMIFS($D:$D,$A:$A,$A3442,$B:$B,"&lt;&gt;Patrícia Karla de Sousa Araújo",$B:$B,"&lt;&gt;Lorena Dias de Araujo",$B:$B,"&lt;&gt;Lucas Luiz Romero")*(10/1083),0)))))),0)</f>
        <v/>
      </c>
      <c r="K3442" s="3">
        <f>I3442-J3442</f>
        <v/>
      </c>
      <c r="L3442" s="3">
        <f>IF(K3442&lt;-5,"CRÍTICO",IF(K3442&lt;0,"ATENÇÃO",IF(K3442&lt;=5,"OPORTUNO","MUITO BOM")))</f>
        <v/>
      </c>
      <c r="N3442" t="n">
        <v>99.14</v>
      </c>
      <c r="O3442" t="n">
        <v>27.2289156626506</v>
      </c>
    </row>
    <row r="3443" hidden="1">
      <c r="A3443" s="11" t="n">
        <v>46108</v>
      </c>
      <c r="B3443" t="inlineStr">
        <is>
          <t>Lorena Dias de Araujo</t>
        </is>
      </c>
      <c r="C3443" t="inlineStr">
        <is>
          <t>Técnico II</t>
        </is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s="3" t="n">
        <v>0</v>
      </c>
      <c r="J3443" s="3" t="n">
        <v>0</v>
      </c>
      <c r="K3443" s="3" t="n">
        <v>0</v>
      </c>
      <c r="L3443" s="3">
        <f>IF(K3443&lt;-5,"CRÍTICO",IF(K3443&lt;0,"ATENÇÃO",IF(K3443&lt;=5,"OPORTUNO","MUITO BOM")))</f>
        <v/>
      </c>
      <c r="N3443" t="n">
        <v>97.52</v>
      </c>
      <c r="O3443" t="n">
        <v>28.2051282051282</v>
      </c>
    </row>
    <row r="3444" hidden="1">
      <c r="A3444" s="11" t="n">
        <v>46108</v>
      </c>
      <c r="B3444" t="inlineStr">
        <is>
          <t>Lucas Luiz Romero</t>
        </is>
      </c>
      <c r="C3444" t="inlineStr">
        <is>
          <t>Técnico III</t>
        </is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s="3" t="n">
        <v>0</v>
      </c>
      <c r="J3444" s="3" t="n">
        <v>0</v>
      </c>
      <c r="K3444" s="3" t="n">
        <v>0</v>
      </c>
      <c r="L3444" s="3">
        <f>IF(K3444&lt;-5,"CRÍTICO",IF(K3444&lt;0,"ATENÇÃO",IF(K3444&lt;=5,"OPORTUNO","MUITO BOM")))</f>
        <v/>
      </c>
      <c r="N3444" t="n">
        <v>90</v>
      </c>
      <c r="O3444" t="n">
        <v>24.18604651162791</v>
      </c>
    </row>
    <row r="3445" hidden="1">
      <c r="A3445" s="11" t="n">
        <v>46108</v>
      </c>
      <c r="B3445" t="inlineStr">
        <is>
          <t>Luiz Fernando de Carvalho Junior</t>
        </is>
      </c>
      <c r="C3445" t="inlineStr">
        <is>
          <t>Técnico I</t>
        </is>
      </c>
      <c r="D3445" t="n">
        <v>25</v>
      </c>
      <c r="E3445" t="n">
        <v>23</v>
      </c>
      <c r="F3445" t="n">
        <v>20.17</v>
      </c>
      <c r="G3445" t="n">
        <v>0</v>
      </c>
      <c r="H3445" t="n">
        <v>0</v>
      </c>
      <c r="I3445" s="3">
        <f>E3445+G3445+H3445</f>
        <v/>
      </c>
      <c r="J3445" s="3">
        <f>ROUND(MIN(IF(C3445="Técnico III",35,IF(C3445="Técnico II",28,IF(C3445="Técnico I",23,IF(C3445="JR",20,IF(C3445="Estágio",10,0))))),IF(C3445="Técnico III",SUMIFS($D:$D,$A:$A,$A3445,$B:$B,"&lt;&gt;Patrícia Karla de Sousa Araújo",$B:$B,"&lt;&gt;Lorena Dias de Araujo",$B:$B,"&lt;&gt;Lucas Luiz Romero")*(35/1083),IF(C3445="Técnico II",SUMIFS($D:$D,$A:$A,$A3445,$B:$B,"&lt;&gt;Patrícia Karla de Sousa Araújo",$B:$B,"&lt;&gt;Lorena Dias de Araujo",$B:$B,"&lt;&gt;Lucas Luiz Romero")*(28/1083),IF(C3445="Técnico I",SUMIFS($D:$D,$A:$A,$A3445,$B:$B,"&lt;&gt;Patrícia Karla de Sousa Araújo",$B:$B,"&lt;&gt;Lorena Dias de Araujo",$B:$B,"&lt;&gt;Lucas Luiz Romero")*(23/1083),IF(C3445="JR",SUMIFS($D:$D,$A:$A,$A3445,$B:$B,"&lt;&gt;Patrícia Karla de Sousa Araújo",$B:$B,"&lt;&gt;Lorena Dias de Araujo",$B:$B,"&lt;&gt;Lucas Luiz Romero")*(20/1083),IF(C3445="Estágio",SUMIFS($D:$D,$A:$A,$A3445,$B:$B,"&lt;&gt;Patrícia Karla de Sousa Araújo",$B:$B,"&lt;&gt;Lorena Dias de Araujo",$B:$B,"&lt;&gt;Lucas Luiz Romero")*(10/1083),0)))))),0)</f>
        <v/>
      </c>
      <c r="K3445" s="3">
        <f>I3445-J3445</f>
        <v/>
      </c>
      <c r="L3445" s="3">
        <f>IF(K3445&lt;-5,"CRÍTICO",IF(K3445&lt;0,"ATENÇÃO",IF(K3445&lt;=5,"OPORTUNO","MUITO BOM")))</f>
        <v/>
      </c>
      <c r="N3445" t="n">
        <v>98.90000000000001</v>
      </c>
      <c r="O3445" t="n">
        <v>26.7639902676399</v>
      </c>
    </row>
    <row r="3446" hidden="1">
      <c r="A3446" s="11" t="n">
        <v>46108</v>
      </c>
      <c r="B3446" t="inlineStr">
        <is>
          <t>Maria Eduarda Sousa Costa</t>
        </is>
      </c>
      <c r="C3446" t="inlineStr">
        <is>
          <t>Estágio</t>
        </is>
      </c>
      <c r="D3446" t="n">
        <v>8</v>
      </c>
      <c r="E3446" t="n">
        <v>7</v>
      </c>
      <c r="F3446" t="n">
        <v>33.32</v>
      </c>
      <c r="G3446" t="n">
        <v>0</v>
      </c>
      <c r="H3446" t="n">
        <v>0</v>
      </c>
      <c r="I3446" s="3">
        <f>E3446+G3446+H3446</f>
        <v/>
      </c>
      <c r="J3446" s="3">
        <f>ROUND(MIN(IF(C3446="Técnico III",35,IF(C3446="Técnico II",28,IF(C3446="Técnico I",23,IF(C3446="JR",20,IF(C3446="Estágio",10,0))))),IF(C3446="Técnico III",SUMIFS($D:$D,$A:$A,$A3446,$B:$B,"&lt;&gt;Patrícia Karla de Sousa Araújo",$B:$B,"&lt;&gt;Lorena Dias de Araujo",$B:$B,"&lt;&gt;Lucas Luiz Romero")*(35/1083),IF(C3446="Técnico II",SUMIFS($D:$D,$A:$A,$A3446,$B:$B,"&lt;&gt;Patrícia Karla de Sousa Araújo",$B:$B,"&lt;&gt;Lorena Dias de Araujo",$B:$B,"&lt;&gt;Lucas Luiz Romero")*(28/1083),IF(C3446="Técnico I",SUMIFS($D:$D,$A:$A,$A3446,$B:$B,"&lt;&gt;Patrícia Karla de Sousa Araújo",$B:$B,"&lt;&gt;Lorena Dias de Araujo",$B:$B,"&lt;&gt;Lucas Luiz Romero")*(23/1083),IF(C3446="JR",SUMIFS($D:$D,$A:$A,$A3446,$B:$B,"&lt;&gt;Patrícia Karla de Sousa Araújo",$B:$B,"&lt;&gt;Lorena Dias de Araujo",$B:$B,"&lt;&gt;Lucas Luiz Romero")*(20/1083),IF(C3446="Estágio",SUMIFS($D:$D,$A:$A,$A3446,$B:$B,"&lt;&gt;Patrícia Karla de Sousa Araújo",$B:$B,"&lt;&gt;Lorena Dias de Araujo",$B:$B,"&lt;&gt;Lucas Luiz Romero")*(10/1083),0)))))),0)</f>
        <v/>
      </c>
      <c r="K3446" s="3">
        <f>I3446-J3446</f>
        <v/>
      </c>
      <c r="L3446" s="3">
        <f>IF(K3446&lt;-5,"CRÍTICO",IF(K3446&lt;0,"ATENÇÃO",IF(K3446&lt;=5,"OPORTUNO","MUITO BOM")))</f>
        <v/>
      </c>
      <c r="N3446" t="n">
        <v>88.89</v>
      </c>
      <c r="O3446" t="n">
        <v>25.26315789473684</v>
      </c>
    </row>
    <row r="3447" hidden="1">
      <c r="A3447" s="11" t="n">
        <v>46108</v>
      </c>
      <c r="B3447" t="inlineStr">
        <is>
          <t>Matheus Farias De Souza</t>
        </is>
      </c>
      <c r="C3447" t="inlineStr">
        <is>
          <t>Técnico III</t>
        </is>
      </c>
      <c r="D3447" t="n">
        <v>29</v>
      </c>
      <c r="E3447" t="n">
        <v>27</v>
      </c>
      <c r="F3447" t="n">
        <v>14.01</v>
      </c>
      <c r="G3447" t="n">
        <v>0</v>
      </c>
      <c r="H3447" t="n">
        <v>0</v>
      </c>
      <c r="I3447" s="3">
        <f>E3447+G3447+H3447</f>
        <v/>
      </c>
      <c r="J3447" s="3">
        <f>ROUND(MIN(IF(C3447="Técnico III",35,IF(C3447="Técnico II",28,IF(C3447="Técnico I",23,IF(C3447="JR",20,IF(C3447="Estágio",10,0))))),IF(C3447="Técnico III",SUMIFS($D:$D,$A:$A,$A3447,$B:$B,"&lt;&gt;Patrícia Karla de Sousa Araújo",$B:$B,"&lt;&gt;Lorena Dias de Araujo",$B:$B,"&lt;&gt;Lucas Luiz Romero")*(35/1083),IF(C3447="Técnico II",SUMIFS($D:$D,$A:$A,$A3447,$B:$B,"&lt;&gt;Patrícia Karla de Sousa Araújo",$B:$B,"&lt;&gt;Lorena Dias de Araujo",$B:$B,"&lt;&gt;Lucas Luiz Romero")*(28/1083),IF(C3447="Técnico I",SUMIFS($D:$D,$A:$A,$A3447,$B:$B,"&lt;&gt;Patrícia Karla de Sousa Araújo",$B:$B,"&lt;&gt;Lorena Dias de Araujo",$B:$B,"&lt;&gt;Lucas Luiz Romero")*(23/1083),IF(C3447="JR",SUMIFS($D:$D,$A:$A,$A3447,$B:$B,"&lt;&gt;Patrícia Karla de Sousa Araújo",$B:$B,"&lt;&gt;Lorena Dias de Araujo",$B:$B,"&lt;&gt;Lucas Luiz Romero")*(20/1083),IF(C3447="Estágio",SUMIFS($D:$D,$A:$A,$A3447,$B:$B,"&lt;&gt;Patrícia Karla de Sousa Araújo",$B:$B,"&lt;&gt;Lorena Dias de Araujo",$B:$B,"&lt;&gt;Lucas Luiz Romero")*(10/1083),0)))))),0)</f>
        <v/>
      </c>
      <c r="K3447" s="3">
        <f>I3447-J3447</f>
        <v/>
      </c>
      <c r="L3447" s="3">
        <f>IF(K3447&lt;-5,"CRÍTICO",IF(K3447&lt;0,"ATENÇÃO",IF(K3447&lt;=5,"OPORTUNO","MUITO BOM")))</f>
        <v/>
      </c>
      <c r="N3447" t="n">
        <v>98.86</v>
      </c>
      <c r="O3447" t="n">
        <v>28.95927601809955</v>
      </c>
    </row>
    <row r="3448" hidden="1">
      <c r="A3448" s="11" t="n">
        <v>46108</v>
      </c>
      <c r="B3448" t="inlineStr">
        <is>
          <t>Maysa Victoria Dias Moura</t>
        </is>
      </c>
      <c r="C3448" t="inlineStr">
        <is>
          <t>Técnico III</t>
        </is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s="3" t="n">
        <v>0</v>
      </c>
      <c r="J3448" s="3" t="n">
        <v>0</v>
      </c>
      <c r="K3448" s="3" t="n">
        <v>0</v>
      </c>
      <c r="L3448" s="3">
        <f>IF(K3448&lt;-5,"CRÍTICO",IF(K3448&lt;0,"ATENÇÃO",IF(K3448&lt;=5,"OPORTUNO","MUITO BOM")))</f>
        <v/>
      </c>
      <c r="N3448" t="n">
        <v>98.06</v>
      </c>
      <c r="O3448" t="n">
        <v>22.40566037735849</v>
      </c>
    </row>
    <row r="3449" hidden="1">
      <c r="A3449" s="11" t="n">
        <v>46108</v>
      </c>
      <c r="B3449" t="inlineStr">
        <is>
          <t>Michelle G Santos</t>
        </is>
      </c>
      <c r="C3449" t="inlineStr">
        <is>
          <t>Estágio</t>
        </is>
      </c>
      <c r="D3449" t="n">
        <v>9</v>
      </c>
      <c r="E3449" t="n">
        <v>9</v>
      </c>
      <c r="F3449" t="n">
        <v>27.12</v>
      </c>
      <c r="G3449" t="n">
        <v>0</v>
      </c>
      <c r="H3449" t="n">
        <v>0</v>
      </c>
      <c r="I3449" s="3">
        <f>E3449+G3449+H3449</f>
        <v/>
      </c>
      <c r="J3449" s="3">
        <f>ROUND(MIN(IF(C3449="Técnico III",35,IF(C3449="Técnico II",28,IF(C3449="Técnico I",23,IF(C3449="JR",20,IF(C3449="Estágio",10,0))))),IF(C3449="Técnico III",SUMIFS($D:$D,$A:$A,$A3449,$B:$B,"&lt;&gt;Patrícia Karla de Sousa Araújo",$B:$B,"&lt;&gt;Lorena Dias de Araujo",$B:$B,"&lt;&gt;Lucas Luiz Romero")*(35/1083),IF(C3449="Técnico II",SUMIFS($D:$D,$A:$A,$A3449,$B:$B,"&lt;&gt;Patrícia Karla de Sousa Araújo",$B:$B,"&lt;&gt;Lorena Dias de Araujo",$B:$B,"&lt;&gt;Lucas Luiz Romero")*(28/1083),IF(C3449="Técnico I",SUMIFS($D:$D,$A:$A,$A3449,$B:$B,"&lt;&gt;Patrícia Karla de Sousa Araújo",$B:$B,"&lt;&gt;Lorena Dias de Araujo",$B:$B,"&lt;&gt;Lucas Luiz Romero")*(23/1083),IF(C3449="JR",SUMIFS($D:$D,$A:$A,$A3449,$B:$B,"&lt;&gt;Patrícia Karla de Sousa Araújo",$B:$B,"&lt;&gt;Lorena Dias de Araujo",$B:$B,"&lt;&gt;Lucas Luiz Romero")*(20/1083),IF(C3449="Estágio",SUMIFS($D:$D,$A:$A,$A3449,$B:$B,"&lt;&gt;Patrícia Karla de Sousa Araújo",$B:$B,"&lt;&gt;Lorena Dias de Araujo",$B:$B,"&lt;&gt;Lucas Luiz Romero")*(10/1083),0)))))),0)</f>
        <v/>
      </c>
      <c r="K3449" s="3">
        <f>I3449-J3449</f>
        <v/>
      </c>
      <c r="L3449" s="3">
        <f>IF(K3449&lt;-5,"CRÍTICO",IF(K3449&lt;0,"ATENÇÃO",IF(K3449&lt;=5,"OPORTUNO","MUITO BOM")))</f>
        <v/>
      </c>
      <c r="N3449" t="n">
        <v>95.83</v>
      </c>
      <c r="O3449" t="n">
        <v>25.77319587628866</v>
      </c>
    </row>
    <row r="3450" hidden="1">
      <c r="A3450" s="11" t="n">
        <v>46108</v>
      </c>
      <c r="B3450" t="inlineStr">
        <is>
          <t>Milena Sales</t>
        </is>
      </c>
      <c r="C3450" t="inlineStr">
        <is>
          <t>JR</t>
        </is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s="3" t="n">
        <v>0</v>
      </c>
      <c r="J3450" s="3" t="n">
        <v>0</v>
      </c>
      <c r="K3450" s="3" t="n">
        <v>0</v>
      </c>
      <c r="L3450" s="3">
        <f>IF(K3450&lt;-5,"CRÍTICO",IF(K3450&lt;0,"ATENÇÃO",IF(K3450&lt;=5,"OPORTUNO","MUITO BOM")))</f>
        <v/>
      </c>
      <c r="N3450" t="n">
        <v>100</v>
      </c>
      <c r="O3450" t="n">
        <v>15.38461538461539</v>
      </c>
    </row>
    <row r="3451" hidden="1">
      <c r="A3451" s="11" t="n">
        <v>46108</v>
      </c>
      <c r="B3451" t="inlineStr">
        <is>
          <t>Patrícia Karla de Sousa Araújo</t>
        </is>
      </c>
      <c r="C3451" t="inlineStr">
        <is>
          <t>Técnico II</t>
        </is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s="3" t="n">
        <v>0</v>
      </c>
      <c r="J3451" s="3" t="n">
        <v>0</v>
      </c>
      <c r="K3451" s="3" t="n">
        <v>0</v>
      </c>
      <c r="L3451" s="3">
        <f>IF(K3451&lt;-5,"CRÍTICO",IF(K3451&lt;0,"ATENÇÃO",IF(K3451&lt;=5,"OPORTUNO","MUITO BOM")))</f>
        <v/>
      </c>
      <c r="N3451" t="n">
        <v>100</v>
      </c>
      <c r="O3451" t="n">
        <v>27.51479289940828</v>
      </c>
    </row>
    <row r="3452" hidden="1">
      <c r="A3452" s="11" t="n">
        <v>46108</v>
      </c>
      <c r="B3452" t="inlineStr">
        <is>
          <t>Paulo Ricardo Santos</t>
        </is>
      </c>
      <c r="C3452" t="inlineStr">
        <is>
          <t>JR</t>
        </is>
      </c>
      <c r="D3452" t="n">
        <v>16</v>
      </c>
      <c r="E3452" t="n">
        <v>15</v>
      </c>
      <c r="F3452" t="n">
        <v>22.04</v>
      </c>
      <c r="G3452" t="n">
        <v>0</v>
      </c>
      <c r="H3452" t="n">
        <v>0</v>
      </c>
      <c r="I3452" s="3">
        <f>E3452+G3452+H3452</f>
        <v/>
      </c>
      <c r="J3452" s="3">
        <f>ROUND(MIN(IF(C3452="Técnico III",35,IF(C3452="Técnico II",28,IF(C3452="Técnico I",23,IF(C3452="JR",20,IF(C3452="Estágio",10,0))))),IF(C3452="Técnico III",SUMIFS($D:$D,$A:$A,$A3452,$B:$B,"&lt;&gt;Patrícia Karla de Sousa Araújo",$B:$B,"&lt;&gt;Lorena Dias de Araujo",$B:$B,"&lt;&gt;Lucas Luiz Romero")*(35/1083),IF(C3452="Técnico II",SUMIFS($D:$D,$A:$A,$A3452,$B:$B,"&lt;&gt;Patrícia Karla de Sousa Araújo",$B:$B,"&lt;&gt;Lorena Dias de Araujo",$B:$B,"&lt;&gt;Lucas Luiz Romero")*(28/1083),IF(C3452="Técnico I",SUMIFS($D:$D,$A:$A,$A3452,$B:$B,"&lt;&gt;Patrícia Karla de Sousa Araújo",$B:$B,"&lt;&gt;Lorena Dias de Araujo",$B:$B,"&lt;&gt;Lucas Luiz Romero")*(23/1083),IF(C3452="JR",SUMIFS($D:$D,$A:$A,$A3452,$B:$B,"&lt;&gt;Patrícia Karla de Sousa Araújo",$B:$B,"&lt;&gt;Lorena Dias de Araujo",$B:$B,"&lt;&gt;Lucas Luiz Romero")*(20/1083),IF(C3452="Estágio",SUMIFS($D:$D,$A:$A,$A3452,$B:$B,"&lt;&gt;Patrícia Karla de Sousa Araújo",$B:$B,"&lt;&gt;Lorena Dias de Araujo",$B:$B,"&lt;&gt;Lucas Luiz Romero")*(10/1083),0)))))),0)</f>
        <v/>
      </c>
      <c r="K3452" s="3">
        <f>I3452-J3452</f>
        <v/>
      </c>
      <c r="L3452" s="3">
        <f>IF(K3452&lt;-5,"CRÍTICO",IF(K3452&lt;0,"ATENÇÃO",IF(K3452&lt;=5,"OPORTUNO","MUITO BOM")))</f>
        <v/>
      </c>
      <c r="N3452" t="n">
        <v>100</v>
      </c>
      <c r="O3452" t="n">
        <v>24.87562189054727</v>
      </c>
    </row>
    <row r="3453" hidden="1">
      <c r="A3453" s="11" t="n">
        <v>46108</v>
      </c>
      <c r="B3453" t="inlineStr">
        <is>
          <t>Pedro Luiz Mota Sousa</t>
        </is>
      </c>
      <c r="C3453" t="inlineStr">
        <is>
          <t>JR</t>
        </is>
      </c>
      <c r="D3453" t="n">
        <v>21</v>
      </c>
      <c r="E3453" t="n">
        <v>21</v>
      </c>
      <c r="F3453" t="n">
        <v>27.23</v>
      </c>
      <c r="G3453" t="n">
        <v>0</v>
      </c>
      <c r="H3453" t="n">
        <v>0</v>
      </c>
      <c r="I3453" s="3">
        <f>E3453+G3453+H3453</f>
        <v/>
      </c>
      <c r="J3453" s="3">
        <f>ROUND(MIN(IF(C3453="Técnico III",35,IF(C3453="Técnico II",28,IF(C3453="Técnico I",23,IF(C3453="JR",20,IF(C3453="Estágio",10,0))))),IF(C3453="Técnico III",SUMIFS($D:$D,$A:$A,$A3453,$B:$B,"&lt;&gt;Patrícia Karla de Sousa Araújo",$B:$B,"&lt;&gt;Lorena Dias de Araujo",$B:$B,"&lt;&gt;Lucas Luiz Romero")*(35/1083),IF(C3453="Técnico II",SUMIFS($D:$D,$A:$A,$A3453,$B:$B,"&lt;&gt;Patrícia Karla de Sousa Araújo",$B:$B,"&lt;&gt;Lorena Dias de Araujo",$B:$B,"&lt;&gt;Lucas Luiz Romero")*(28/1083),IF(C3453="Técnico I",SUMIFS($D:$D,$A:$A,$A3453,$B:$B,"&lt;&gt;Patrícia Karla de Sousa Araújo",$B:$B,"&lt;&gt;Lorena Dias de Araujo",$B:$B,"&lt;&gt;Lucas Luiz Romero")*(23/1083),IF(C3453="JR",SUMIFS($D:$D,$A:$A,$A3453,$B:$B,"&lt;&gt;Patrícia Karla de Sousa Araújo",$B:$B,"&lt;&gt;Lorena Dias de Araujo",$B:$B,"&lt;&gt;Lucas Luiz Romero")*(20/1083),IF(C3453="Estágio",SUMIFS($D:$D,$A:$A,$A3453,$B:$B,"&lt;&gt;Patrícia Karla de Sousa Araújo",$B:$B,"&lt;&gt;Lorena Dias de Araujo",$B:$B,"&lt;&gt;Lucas Luiz Romero")*(10/1083),0)))))),0)</f>
        <v/>
      </c>
      <c r="K3453" s="3">
        <f>I3453-J3453</f>
        <v/>
      </c>
      <c r="L3453" s="3">
        <f>IF(K3453&lt;-5,"CRÍTICO",IF(K3453&lt;0,"ATENÇÃO",IF(K3453&lt;=5,"OPORTUNO","MUITO BOM")))</f>
        <v/>
      </c>
      <c r="N3453" t="n">
        <v>100</v>
      </c>
      <c r="O3453" t="n">
        <v>28.10810810810811</v>
      </c>
    </row>
    <row r="3454" hidden="1">
      <c r="A3454" s="11" t="n">
        <v>46108</v>
      </c>
      <c r="B3454" t="inlineStr">
        <is>
          <t>Quirino Diogo Leite Torres</t>
        </is>
      </c>
      <c r="C3454" t="inlineStr">
        <is>
          <t>Estágio</t>
        </is>
      </c>
      <c r="D3454" t="n">
        <v>6</v>
      </c>
      <c r="E3454" t="n">
        <v>6</v>
      </c>
      <c r="F3454" t="n">
        <v>32.29</v>
      </c>
      <c r="G3454" t="n">
        <v>0</v>
      </c>
      <c r="H3454" t="n">
        <v>0</v>
      </c>
      <c r="I3454" s="3">
        <f>E3454+G3454+H3454</f>
        <v/>
      </c>
      <c r="J3454" s="3">
        <f>ROUND(MIN(IF(C3454="Técnico III",35,IF(C3454="Técnico II",28,IF(C3454="Técnico I",23,IF(C3454="JR",20,IF(C3454="Estágio",10,0))))),IF(C3454="Técnico III",SUMIFS($D:$D,$A:$A,$A3454,$B:$B,"&lt;&gt;Patrícia Karla de Sousa Araújo",$B:$B,"&lt;&gt;Lorena Dias de Araujo",$B:$B,"&lt;&gt;Lucas Luiz Romero")*(35/1083),IF(C3454="Técnico II",SUMIFS($D:$D,$A:$A,$A3454,$B:$B,"&lt;&gt;Patrícia Karla de Sousa Araújo",$B:$B,"&lt;&gt;Lorena Dias de Araujo",$B:$B,"&lt;&gt;Lucas Luiz Romero")*(28/1083),IF(C3454="Técnico I",SUMIFS($D:$D,$A:$A,$A3454,$B:$B,"&lt;&gt;Patrícia Karla de Sousa Araújo",$B:$B,"&lt;&gt;Lorena Dias de Araujo",$B:$B,"&lt;&gt;Lucas Luiz Romero")*(23/1083),IF(C3454="JR",SUMIFS($D:$D,$A:$A,$A3454,$B:$B,"&lt;&gt;Patrícia Karla de Sousa Araújo",$B:$B,"&lt;&gt;Lorena Dias de Araujo",$B:$B,"&lt;&gt;Lucas Luiz Romero")*(20/1083),IF(C3454="Estágio",SUMIFS($D:$D,$A:$A,$A3454,$B:$B,"&lt;&gt;Patrícia Karla de Sousa Araújo",$B:$B,"&lt;&gt;Lorena Dias de Araujo",$B:$B,"&lt;&gt;Lucas Luiz Romero")*(10/1083),0)))))),0)</f>
        <v/>
      </c>
      <c r="K3454" s="3">
        <f>I3454-J3454</f>
        <v/>
      </c>
      <c r="L3454" s="3">
        <f>IF(K3454&lt;-5,"CRÍTICO",IF(K3454&lt;0,"ATENÇÃO",IF(K3454&lt;=5,"OPORTUNO","MUITO BOM")))</f>
        <v/>
      </c>
      <c r="N3454" t="n">
        <v>100</v>
      </c>
      <c r="O3454" t="n">
        <v>35</v>
      </c>
    </row>
    <row r="3455" hidden="1">
      <c r="A3455" s="11" t="n">
        <v>46108</v>
      </c>
      <c r="B3455" t="inlineStr">
        <is>
          <t>Raane Batista Matos</t>
        </is>
      </c>
      <c r="C3455" t="inlineStr">
        <is>
          <t>Técnico I</t>
        </is>
      </c>
      <c r="D3455" t="n">
        <v>22</v>
      </c>
      <c r="E3455" t="n">
        <v>21</v>
      </c>
      <c r="F3455" t="n">
        <v>18.28</v>
      </c>
      <c r="G3455" t="n">
        <v>0</v>
      </c>
      <c r="H3455" t="n">
        <v>0</v>
      </c>
      <c r="I3455" s="3">
        <f>E3455+G3455+H3455</f>
        <v/>
      </c>
      <c r="J3455" s="3">
        <f>ROUND(MIN(IF(C3455="Técnico III",35,IF(C3455="Técnico II",28,IF(C3455="Técnico I",23,IF(C3455="JR",20,IF(C3455="Estágio",10,0))))),IF(C3455="Técnico III",SUMIFS($D:$D,$A:$A,$A3455,$B:$B,"&lt;&gt;Patrícia Karla de Sousa Araújo",$B:$B,"&lt;&gt;Lorena Dias de Araujo",$B:$B,"&lt;&gt;Lucas Luiz Romero")*(35/1083),IF(C3455="Técnico II",SUMIFS($D:$D,$A:$A,$A3455,$B:$B,"&lt;&gt;Patrícia Karla de Sousa Araújo",$B:$B,"&lt;&gt;Lorena Dias de Araujo",$B:$B,"&lt;&gt;Lucas Luiz Romero")*(28/1083),IF(C3455="Técnico I",SUMIFS($D:$D,$A:$A,$A3455,$B:$B,"&lt;&gt;Patrícia Karla de Sousa Araújo",$B:$B,"&lt;&gt;Lorena Dias de Araujo",$B:$B,"&lt;&gt;Lucas Luiz Romero")*(23/1083),IF(C3455="JR",SUMIFS($D:$D,$A:$A,$A3455,$B:$B,"&lt;&gt;Patrícia Karla de Sousa Araújo",$B:$B,"&lt;&gt;Lorena Dias de Araujo",$B:$B,"&lt;&gt;Lucas Luiz Romero")*(20/1083),IF(C3455="Estágio",SUMIFS($D:$D,$A:$A,$A3455,$B:$B,"&lt;&gt;Patrícia Karla de Sousa Araújo",$B:$B,"&lt;&gt;Lorena Dias de Araujo",$B:$B,"&lt;&gt;Lucas Luiz Romero")*(10/1083),0)))))),0)</f>
        <v/>
      </c>
      <c r="K3455" s="3">
        <f>I3455-J3455</f>
        <v/>
      </c>
      <c r="L3455" s="3">
        <f>IF(K3455&lt;-5,"CRÍTICO",IF(K3455&lt;0,"ATENÇÃO",IF(K3455&lt;=5,"OPORTUNO","MUITO BOM")))</f>
        <v/>
      </c>
      <c r="N3455" t="n">
        <v>95.34999999999999</v>
      </c>
      <c r="O3455" t="n">
        <v>28.61538461538461</v>
      </c>
    </row>
    <row r="3456" hidden="1">
      <c r="A3456" s="11" t="n">
        <v>46108</v>
      </c>
      <c r="B3456" t="inlineStr">
        <is>
          <t>Rafael Gomes de Morais</t>
        </is>
      </c>
      <c r="C3456" t="inlineStr">
        <is>
          <t>Técnico III</t>
        </is>
      </c>
      <c r="D3456" t="n">
        <v>31</v>
      </c>
      <c r="E3456" t="n">
        <v>31</v>
      </c>
      <c r="F3456" t="n">
        <v>17.07</v>
      </c>
      <c r="G3456" t="n">
        <v>0</v>
      </c>
      <c r="H3456" t="n">
        <v>0</v>
      </c>
      <c r="I3456" s="3">
        <f>E3456+G3456+H3456</f>
        <v/>
      </c>
      <c r="J3456" s="3">
        <f>ROUND(MIN(IF(C3456="Técnico III",35,IF(C3456="Técnico II",28,IF(C3456="Técnico I",23,IF(C3456="JR",20,IF(C3456="Estágio",10,0))))),IF(C3456="Técnico III",SUMIFS($D:$D,$A:$A,$A3456,$B:$B,"&lt;&gt;Patrícia Karla de Sousa Araújo",$B:$B,"&lt;&gt;Lorena Dias de Araujo",$B:$B,"&lt;&gt;Lucas Luiz Romero")*(35/1083),IF(C3456="Técnico II",SUMIFS($D:$D,$A:$A,$A3456,$B:$B,"&lt;&gt;Patrícia Karla de Sousa Araújo",$B:$B,"&lt;&gt;Lorena Dias de Araujo",$B:$B,"&lt;&gt;Lucas Luiz Romero")*(28/1083),IF(C3456="Técnico I",SUMIFS($D:$D,$A:$A,$A3456,$B:$B,"&lt;&gt;Patrícia Karla de Sousa Araújo",$B:$B,"&lt;&gt;Lorena Dias de Araujo",$B:$B,"&lt;&gt;Lucas Luiz Romero")*(23/1083),IF(C3456="JR",SUMIFS($D:$D,$A:$A,$A3456,$B:$B,"&lt;&gt;Patrícia Karla de Sousa Araújo",$B:$B,"&lt;&gt;Lorena Dias de Araujo",$B:$B,"&lt;&gt;Lucas Luiz Romero")*(20/1083),IF(C3456="Estágio",SUMIFS($D:$D,$A:$A,$A3456,$B:$B,"&lt;&gt;Patrícia Karla de Sousa Araújo",$B:$B,"&lt;&gt;Lorena Dias de Araujo",$B:$B,"&lt;&gt;Lucas Luiz Romero")*(10/1083),0)))))),0)</f>
        <v/>
      </c>
      <c r="K3456" s="3">
        <f>I3456-J3456</f>
        <v/>
      </c>
      <c r="L3456" s="3">
        <f>IF(K3456&lt;-5,"CRÍTICO",IF(K3456&lt;0,"ATENÇÃO",IF(K3456&lt;=5,"OPORTUNO","MUITO BOM")))</f>
        <v/>
      </c>
      <c r="N3456" t="n">
        <v>98.26000000000001</v>
      </c>
      <c r="O3456" t="n">
        <v>27.54491017964072</v>
      </c>
    </row>
    <row r="3457" hidden="1">
      <c r="A3457" s="11" t="n">
        <v>46108</v>
      </c>
      <c r="B3457" t="inlineStr">
        <is>
          <t>Sara Maria Monteiro Lopes</t>
        </is>
      </c>
      <c r="C3457" t="inlineStr">
        <is>
          <t>Técnico I</t>
        </is>
      </c>
      <c r="D3457" t="n">
        <v>18</v>
      </c>
      <c r="E3457" t="n">
        <v>17</v>
      </c>
      <c r="F3457" t="n">
        <v>29</v>
      </c>
      <c r="G3457" t="n">
        <v>0</v>
      </c>
      <c r="H3457" t="n">
        <v>0</v>
      </c>
      <c r="I3457" s="3">
        <f>E3457+G3457+H3457</f>
        <v/>
      </c>
      <c r="J3457" s="3">
        <f>ROUND(MIN(IF(C3457="Técnico III",35,IF(C3457="Técnico II",28,IF(C3457="Técnico I",23,IF(C3457="JR",20,IF(C3457="Estágio",10,0))))),IF(C3457="Técnico III",SUMIFS($D:$D,$A:$A,$A3457,$B:$B,"&lt;&gt;Patrícia Karla de Sousa Araújo",$B:$B,"&lt;&gt;Lorena Dias de Araujo",$B:$B,"&lt;&gt;Lucas Luiz Romero")*(35/1083),IF(C3457="Técnico II",SUMIFS($D:$D,$A:$A,$A3457,$B:$B,"&lt;&gt;Patrícia Karla de Sousa Araújo",$B:$B,"&lt;&gt;Lorena Dias de Araujo",$B:$B,"&lt;&gt;Lucas Luiz Romero")*(28/1083),IF(C3457="Técnico I",SUMIFS($D:$D,$A:$A,$A3457,$B:$B,"&lt;&gt;Patrícia Karla de Sousa Araújo",$B:$B,"&lt;&gt;Lorena Dias de Araujo",$B:$B,"&lt;&gt;Lucas Luiz Romero")*(23/1083),IF(C3457="JR",SUMIFS($D:$D,$A:$A,$A3457,$B:$B,"&lt;&gt;Patrícia Karla de Sousa Araújo",$B:$B,"&lt;&gt;Lorena Dias de Araujo",$B:$B,"&lt;&gt;Lucas Luiz Romero")*(20/1083),IF(C3457="Estágio",SUMIFS($D:$D,$A:$A,$A3457,$B:$B,"&lt;&gt;Patrícia Karla de Sousa Araújo",$B:$B,"&lt;&gt;Lorena Dias de Araujo",$B:$B,"&lt;&gt;Lucas Luiz Romero")*(10/1083),0)))))),0)</f>
        <v/>
      </c>
      <c r="K3457" s="3">
        <f>I3457-J3457</f>
        <v/>
      </c>
      <c r="L3457" s="3">
        <f>IF(K3457&lt;-5,"CRÍTICO",IF(K3457&lt;0,"ATENÇÃO",IF(K3457&lt;=5,"OPORTUNO","MUITO BOM")))</f>
        <v/>
      </c>
      <c r="N3457" t="n">
        <v>98.55</v>
      </c>
      <c r="O3457" t="n">
        <v>25.33783783783784</v>
      </c>
    </row>
    <row r="3458" hidden="1">
      <c r="A3458" s="11" t="n">
        <v>46108</v>
      </c>
      <c r="B3458" t="inlineStr">
        <is>
          <t>Sarah Steffanie de Lima Borges</t>
        </is>
      </c>
      <c r="C3458" t="inlineStr">
        <is>
          <t>Técnico III</t>
        </is>
      </c>
      <c r="D3458" t="n">
        <v>31</v>
      </c>
      <c r="E3458" t="n">
        <v>30</v>
      </c>
      <c r="F3458" t="n">
        <v>17.09</v>
      </c>
      <c r="G3458" t="n">
        <v>0</v>
      </c>
      <c r="H3458" t="n">
        <v>0</v>
      </c>
      <c r="I3458" s="3">
        <f>E3458+G3458+H3458</f>
        <v/>
      </c>
      <c r="J3458" s="3">
        <f>ROUND(MIN(IF(C3458="Técnico III",35,IF(C3458="Técnico II",28,IF(C3458="Técnico I",23,IF(C3458="JR",20,IF(C3458="Estágio",10,0))))),IF(C3458="Técnico III",SUMIFS($D:$D,$A:$A,$A3458,$B:$B,"&lt;&gt;Patrícia Karla de Sousa Araújo",$B:$B,"&lt;&gt;Lorena Dias de Araujo",$B:$B,"&lt;&gt;Lucas Luiz Romero")*(35/1083),IF(C3458="Técnico II",SUMIFS($D:$D,$A:$A,$A3458,$B:$B,"&lt;&gt;Patrícia Karla de Sousa Araújo",$B:$B,"&lt;&gt;Lorena Dias de Araujo",$B:$B,"&lt;&gt;Lucas Luiz Romero")*(28/1083),IF(C3458="Técnico I",SUMIFS($D:$D,$A:$A,$A3458,$B:$B,"&lt;&gt;Patrícia Karla de Sousa Araújo",$B:$B,"&lt;&gt;Lorena Dias de Araujo",$B:$B,"&lt;&gt;Lucas Luiz Romero")*(23/1083),IF(C3458="JR",SUMIFS($D:$D,$A:$A,$A3458,$B:$B,"&lt;&gt;Patrícia Karla de Sousa Araújo",$B:$B,"&lt;&gt;Lorena Dias de Araujo",$B:$B,"&lt;&gt;Lucas Luiz Romero")*(20/1083),IF(C3458="Estágio",SUMIFS($D:$D,$A:$A,$A3458,$B:$B,"&lt;&gt;Patrícia Karla de Sousa Araújo",$B:$B,"&lt;&gt;Lorena Dias de Araujo",$B:$B,"&lt;&gt;Lucas Luiz Romero")*(10/1083),0)))))),0)</f>
        <v/>
      </c>
      <c r="K3458" s="3">
        <f>I3458-J3458</f>
        <v/>
      </c>
      <c r="L3458" s="3">
        <f>IF(K3458&lt;-5,"CRÍTICO",IF(K3458&lt;0,"ATENÇÃO",IF(K3458&lt;=5,"OPORTUNO","MUITO BOM")))</f>
        <v/>
      </c>
      <c r="N3458" t="n">
        <v>98.39</v>
      </c>
      <c r="O3458" t="n">
        <v>25.56390977443609</v>
      </c>
    </row>
    <row r="3459" hidden="1">
      <c r="A3459" s="11" t="n">
        <v>46111</v>
      </c>
      <c r="B3459" t="inlineStr">
        <is>
          <t>Alisson de Freitas Silva</t>
        </is>
      </c>
      <c r="C3459" t="inlineStr">
        <is>
          <t>Técnico II</t>
        </is>
      </c>
      <c r="D3459" t="n">
        <v>31</v>
      </c>
      <c r="E3459" t="n">
        <v>25</v>
      </c>
      <c r="F3459" t="n">
        <v>10.42</v>
      </c>
      <c r="G3459" t="n">
        <v>0</v>
      </c>
      <c r="H3459" t="n">
        <v>0</v>
      </c>
      <c r="I3459" s="3">
        <f>E3459+G3459+H3459</f>
        <v/>
      </c>
      <c r="J3459" s="3">
        <f>ROUND(MIN(IF(C3459="Técnico III",35,IF(C3459="Técnico II",28,IF(C3459="Técnico I",23,IF(C3459="JR",20,IF(C3459="Estágio",10,0))))),IF(C3459="Técnico III",SUMIFS($D:$D,$A:$A,$A3459,$B:$B,"&lt;&gt;Patrícia Karla de Sousa Araújo",$B:$B,"&lt;&gt;Lorena Dias de Araujo",$B:$B,"&lt;&gt;Lucas Luiz Romero")*(35/1083),IF(C3459="Técnico II",SUMIFS($D:$D,$A:$A,$A3459,$B:$B,"&lt;&gt;Patrícia Karla de Sousa Araújo",$B:$B,"&lt;&gt;Lorena Dias de Araujo",$B:$B,"&lt;&gt;Lucas Luiz Romero")*(28/1083),IF(C3459="Técnico I",SUMIFS($D:$D,$A:$A,$A3459,$B:$B,"&lt;&gt;Patrícia Karla de Sousa Araújo",$B:$B,"&lt;&gt;Lorena Dias de Araujo",$B:$B,"&lt;&gt;Lucas Luiz Romero")*(23/1083),IF(C3459="JR",SUMIFS($D:$D,$A:$A,$A3459,$B:$B,"&lt;&gt;Patrícia Karla de Sousa Araújo",$B:$B,"&lt;&gt;Lorena Dias de Araujo",$B:$B,"&lt;&gt;Lucas Luiz Romero")*(20/1083),IF(C3459="Estágio",SUMIFS($D:$D,$A:$A,$A3459,$B:$B,"&lt;&gt;Patrícia Karla de Sousa Araújo",$B:$B,"&lt;&gt;Lorena Dias de Araujo",$B:$B,"&lt;&gt;Lucas Luiz Romero")*(10/1083),0)))))),0)</f>
        <v/>
      </c>
      <c r="K3459" s="3">
        <f>I3459-J3459</f>
        <v/>
      </c>
      <c r="L3459" s="3">
        <f>IF(K3459&lt;-5,"CRÍTICO",IF(K3459&lt;0,"ATENÇÃO",IF(K3459&lt;=5,"OPORTUNO","MUITO BOM")))</f>
        <v/>
      </c>
      <c r="N3459" t="n">
        <v>94.29000000000001</v>
      </c>
      <c r="O3459" t="n">
        <v>25.64766839378239</v>
      </c>
    </row>
    <row r="3460" hidden="1">
      <c r="A3460" s="11" t="n">
        <v>46111</v>
      </c>
      <c r="B3460" t="inlineStr">
        <is>
          <t>Amanda Moura Ferreira</t>
        </is>
      </c>
      <c r="C3460" t="inlineStr">
        <is>
          <t>Técnico III</t>
        </is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s="3" t="n">
        <v>0</v>
      </c>
      <c r="J3460" s="3" t="n">
        <v>0</v>
      </c>
      <c r="K3460" s="3" t="n">
        <v>0</v>
      </c>
      <c r="L3460" s="3">
        <f>IF(K3460&lt;-5,"CRÍTICO",IF(K3460&lt;0,"ATENÇÃO",IF(K3460&lt;=5,"OPORTUNO","MUITO BOM")))</f>
        <v/>
      </c>
      <c r="N3460" t="n">
        <v>98.26000000000001</v>
      </c>
      <c r="O3460" t="n">
        <v>26.66666666666667</v>
      </c>
    </row>
    <row r="3461" hidden="1">
      <c r="A3461" s="11" t="n">
        <v>46111</v>
      </c>
      <c r="B3461" t="inlineStr">
        <is>
          <t>Ana Karollyne Souza Faria</t>
        </is>
      </c>
      <c r="C3461" t="inlineStr">
        <is>
          <t>Técnico I</t>
        </is>
      </c>
      <c r="D3461" t="n">
        <v>18</v>
      </c>
      <c r="E3461" t="n">
        <v>18</v>
      </c>
      <c r="F3461" t="n">
        <v>25.13</v>
      </c>
      <c r="G3461" t="n">
        <v>0</v>
      </c>
      <c r="H3461" t="n">
        <v>0</v>
      </c>
      <c r="I3461" s="3">
        <f>E3461+G3461+H3461</f>
        <v/>
      </c>
      <c r="J3461" s="3">
        <f>ROUND(MIN(IF(C3461="Técnico III",35,IF(C3461="Técnico II",28,IF(C3461="Técnico I",23,IF(C3461="JR",20,IF(C3461="Estágio",10,0))))),IF(C3461="Técnico III",SUMIFS($D:$D,$A:$A,$A3461,$B:$B,"&lt;&gt;Patrícia Karla de Sousa Araújo",$B:$B,"&lt;&gt;Lorena Dias de Araujo",$B:$B,"&lt;&gt;Lucas Luiz Romero")*(35/1083),IF(C3461="Técnico II",SUMIFS($D:$D,$A:$A,$A3461,$B:$B,"&lt;&gt;Patrícia Karla de Sousa Araújo",$B:$B,"&lt;&gt;Lorena Dias de Araujo",$B:$B,"&lt;&gt;Lucas Luiz Romero")*(28/1083),IF(C3461="Técnico I",SUMIFS($D:$D,$A:$A,$A3461,$B:$B,"&lt;&gt;Patrícia Karla de Sousa Araújo",$B:$B,"&lt;&gt;Lorena Dias de Araujo",$B:$B,"&lt;&gt;Lucas Luiz Romero")*(23/1083),IF(C3461="JR",SUMIFS($D:$D,$A:$A,$A3461,$B:$B,"&lt;&gt;Patrícia Karla de Sousa Araújo",$B:$B,"&lt;&gt;Lorena Dias de Araujo",$B:$B,"&lt;&gt;Lucas Luiz Romero")*(20/1083),IF(C3461="Estágio",SUMIFS($D:$D,$A:$A,$A3461,$B:$B,"&lt;&gt;Patrícia Karla de Sousa Araújo",$B:$B,"&lt;&gt;Lorena Dias de Araujo",$B:$B,"&lt;&gt;Lucas Luiz Romero")*(10/1083),0)))))),0)</f>
        <v/>
      </c>
      <c r="K3461" s="3">
        <f>I3461-J3461</f>
        <v/>
      </c>
      <c r="L3461" s="3">
        <f>IF(K3461&lt;-5,"CRÍTICO",IF(K3461&lt;0,"ATENÇÃO",IF(K3461&lt;=5,"OPORTUNO","MUITO BOM")))</f>
        <v/>
      </c>
      <c r="N3461" t="n">
        <v>98.2</v>
      </c>
      <c r="O3461" t="n">
        <v>23.37962962962963</v>
      </c>
    </row>
    <row r="3462" hidden="1">
      <c r="A3462" s="11" t="n">
        <v>46111</v>
      </c>
      <c r="B3462" t="inlineStr">
        <is>
          <t>Ana Paula Da Luz Silva Aleixo</t>
        </is>
      </c>
      <c r="C3462" t="inlineStr">
        <is>
          <t>Técnico III</t>
        </is>
      </c>
      <c r="D3462" t="n">
        <v>38</v>
      </c>
      <c r="E3462" t="n">
        <v>35</v>
      </c>
      <c r="F3462" t="n">
        <v>15.11</v>
      </c>
      <c r="G3462" t="n">
        <v>0</v>
      </c>
      <c r="H3462" t="n">
        <v>0</v>
      </c>
      <c r="I3462" s="3">
        <f>E3462+G3462+H3462</f>
        <v/>
      </c>
      <c r="J3462" s="3">
        <f>ROUND(MIN(IF(C3462="Técnico III",35,IF(C3462="Técnico II",28,IF(C3462="Técnico I",23,IF(C3462="JR",20,IF(C3462="Estágio",10,0))))),IF(C3462="Técnico III",SUMIFS($D:$D,$A:$A,$A3462,$B:$B,"&lt;&gt;Patrícia Karla de Sousa Araújo",$B:$B,"&lt;&gt;Lorena Dias de Araujo",$B:$B,"&lt;&gt;Lucas Luiz Romero")*(35/1083),IF(C3462="Técnico II",SUMIFS($D:$D,$A:$A,$A3462,$B:$B,"&lt;&gt;Patrícia Karla de Sousa Araújo",$B:$B,"&lt;&gt;Lorena Dias de Araujo",$B:$B,"&lt;&gt;Lucas Luiz Romero")*(28/1083),IF(C3462="Técnico I",SUMIFS($D:$D,$A:$A,$A3462,$B:$B,"&lt;&gt;Patrícia Karla de Sousa Araújo",$B:$B,"&lt;&gt;Lorena Dias de Araujo",$B:$B,"&lt;&gt;Lucas Luiz Romero")*(23/1083),IF(C3462="JR",SUMIFS($D:$D,$A:$A,$A3462,$B:$B,"&lt;&gt;Patrícia Karla de Sousa Araújo",$B:$B,"&lt;&gt;Lorena Dias de Araujo",$B:$B,"&lt;&gt;Lucas Luiz Romero")*(20/1083),IF(C3462="Estágio",SUMIFS($D:$D,$A:$A,$A3462,$B:$B,"&lt;&gt;Patrícia Karla de Sousa Araújo",$B:$B,"&lt;&gt;Lorena Dias de Araujo",$B:$B,"&lt;&gt;Lucas Luiz Romero")*(10/1083),0)))))),0)</f>
        <v/>
      </c>
      <c r="K3462" s="3">
        <f>I3462-J3462</f>
        <v/>
      </c>
      <c r="L3462" s="3">
        <f>IF(K3462&lt;-5,"CRÍTICO",IF(K3462&lt;0,"ATENÇÃO",IF(K3462&lt;=5,"OPORTUNO","MUITO BOM")))</f>
        <v/>
      </c>
      <c r="N3462" t="n">
        <v>97.3</v>
      </c>
      <c r="O3462" t="n">
        <v>23.84769539078156</v>
      </c>
    </row>
    <row r="3463" hidden="1">
      <c r="A3463" s="11" t="n">
        <v>46111</v>
      </c>
      <c r="B3463" t="inlineStr">
        <is>
          <t>Anna Luiza Rezende Tavares</t>
        </is>
      </c>
      <c r="C3463" t="inlineStr">
        <is>
          <t>Estágio</t>
        </is>
      </c>
      <c r="D3463" t="n">
        <v>16</v>
      </c>
      <c r="E3463" t="n">
        <v>15</v>
      </c>
      <c r="F3463" t="n">
        <v>20.52</v>
      </c>
      <c r="G3463" t="n">
        <v>0</v>
      </c>
      <c r="H3463" t="n">
        <v>0</v>
      </c>
      <c r="I3463" s="3">
        <f>E3463+G3463+H3463</f>
        <v/>
      </c>
      <c r="J3463" s="3">
        <f>ROUND(MIN(IF(C3463="Técnico III",35,IF(C3463="Técnico II",28,IF(C3463="Técnico I",23,IF(C3463="JR",20,IF(C3463="Estágio",10,0))))),IF(C3463="Técnico III",SUMIFS($D:$D,$A:$A,$A3463,$B:$B,"&lt;&gt;Patrícia Karla de Sousa Araújo",$B:$B,"&lt;&gt;Lorena Dias de Araujo",$B:$B,"&lt;&gt;Lucas Luiz Romero")*(35/1083),IF(C3463="Técnico II",SUMIFS($D:$D,$A:$A,$A3463,$B:$B,"&lt;&gt;Patrícia Karla de Sousa Araújo",$B:$B,"&lt;&gt;Lorena Dias de Araujo",$B:$B,"&lt;&gt;Lucas Luiz Romero")*(28/1083),IF(C3463="Técnico I",SUMIFS($D:$D,$A:$A,$A3463,$B:$B,"&lt;&gt;Patrícia Karla de Sousa Araújo",$B:$B,"&lt;&gt;Lorena Dias de Araujo",$B:$B,"&lt;&gt;Lucas Luiz Romero")*(23/1083),IF(C3463="JR",SUMIFS($D:$D,$A:$A,$A3463,$B:$B,"&lt;&gt;Patrícia Karla de Sousa Araújo",$B:$B,"&lt;&gt;Lorena Dias de Araujo",$B:$B,"&lt;&gt;Lucas Luiz Romero")*(20/1083),IF(C3463="Estágio",SUMIFS($D:$D,$A:$A,$A3463,$B:$B,"&lt;&gt;Patrícia Karla de Sousa Araújo",$B:$B,"&lt;&gt;Lorena Dias de Araujo",$B:$B,"&lt;&gt;Lucas Luiz Romero")*(10/1083),0)))))),0)</f>
        <v/>
      </c>
      <c r="K3463" s="3">
        <f>I3463-J3463</f>
        <v/>
      </c>
      <c r="L3463" s="3">
        <f>IF(K3463&lt;-5,"CRÍTICO",IF(K3463&lt;0,"ATENÇÃO",IF(K3463&lt;=5,"OPORTUNO","MUITO BOM")))</f>
        <v/>
      </c>
      <c r="N3463" t="n">
        <v>100</v>
      </c>
      <c r="O3463" t="n">
        <v>25.26881720430108</v>
      </c>
    </row>
    <row r="3464" hidden="1">
      <c r="A3464" s="11" t="n">
        <v>46111</v>
      </c>
      <c r="B3464" t="inlineStr">
        <is>
          <t>Brenda de Menezes Silva</t>
        </is>
      </c>
      <c r="C3464" t="inlineStr">
        <is>
          <t>Técnico II</t>
        </is>
      </c>
      <c r="D3464" t="n">
        <v>35</v>
      </c>
      <c r="E3464" t="n">
        <v>33</v>
      </c>
      <c r="F3464" t="n">
        <v>15.14</v>
      </c>
      <c r="G3464" t="n">
        <v>0</v>
      </c>
      <c r="H3464" t="n">
        <v>0</v>
      </c>
      <c r="I3464" s="3">
        <f>E3464+G3464+H3464</f>
        <v/>
      </c>
      <c r="J3464" s="3">
        <f>ROUND(MIN(IF(C3464="Técnico III",35,IF(C3464="Técnico II",28,IF(C3464="Técnico I",23,IF(C3464="JR",20,IF(C3464="Estágio",10,0))))),IF(C3464="Técnico III",SUMIFS($D:$D,$A:$A,$A3464,$B:$B,"&lt;&gt;Patrícia Karla de Sousa Araújo",$B:$B,"&lt;&gt;Lorena Dias de Araujo",$B:$B,"&lt;&gt;Lucas Luiz Romero")*(35/1083),IF(C3464="Técnico II",SUMIFS($D:$D,$A:$A,$A3464,$B:$B,"&lt;&gt;Patrícia Karla de Sousa Araújo",$B:$B,"&lt;&gt;Lorena Dias de Araujo",$B:$B,"&lt;&gt;Lucas Luiz Romero")*(28/1083),IF(C3464="Técnico I",SUMIFS($D:$D,$A:$A,$A3464,$B:$B,"&lt;&gt;Patrícia Karla de Sousa Araújo",$B:$B,"&lt;&gt;Lorena Dias de Araujo",$B:$B,"&lt;&gt;Lucas Luiz Romero")*(23/1083),IF(C3464="JR",SUMIFS($D:$D,$A:$A,$A3464,$B:$B,"&lt;&gt;Patrícia Karla de Sousa Araújo",$B:$B,"&lt;&gt;Lorena Dias de Araujo",$B:$B,"&lt;&gt;Lucas Luiz Romero")*(20/1083),IF(C3464="Estágio",SUMIFS($D:$D,$A:$A,$A3464,$B:$B,"&lt;&gt;Patrícia Karla de Sousa Araújo",$B:$B,"&lt;&gt;Lorena Dias de Araujo",$B:$B,"&lt;&gt;Lucas Luiz Romero")*(10/1083),0)))))),0)</f>
        <v/>
      </c>
      <c r="K3464" s="3">
        <f>I3464-J3464</f>
        <v/>
      </c>
      <c r="L3464" s="3">
        <f>IF(K3464&lt;-5,"CRÍTICO",IF(K3464&lt;0,"ATENÇÃO",IF(K3464&lt;=5,"OPORTUNO","MUITO BOM")))</f>
        <v/>
      </c>
      <c r="N3464" t="n">
        <v>99.31999999999999</v>
      </c>
      <c r="O3464" t="n">
        <v>22.82282282282282</v>
      </c>
    </row>
    <row r="3465" hidden="1">
      <c r="A3465" s="11" t="n">
        <v>46111</v>
      </c>
      <c r="B3465" t="inlineStr">
        <is>
          <t>Carlos Mateus Cassimiro Nunes</t>
        </is>
      </c>
      <c r="C3465" t="inlineStr">
        <is>
          <t>Técnico II</t>
        </is>
      </c>
      <c r="D3465" t="n">
        <v>26</v>
      </c>
      <c r="E3465" t="n">
        <v>24</v>
      </c>
      <c r="F3465" t="n">
        <v>21.53</v>
      </c>
      <c r="G3465" t="n">
        <v>0</v>
      </c>
      <c r="H3465" t="n">
        <v>0</v>
      </c>
      <c r="I3465" s="3">
        <f>E3465+G3465+H3465</f>
        <v/>
      </c>
      <c r="J3465" s="3">
        <f>ROUND(MIN(IF(C3465="Técnico III",35,IF(C3465="Técnico II",28,IF(C3465="Técnico I",23,IF(C3465="JR",20,IF(C3465="Estágio",10,0))))),IF(C3465="Técnico III",SUMIFS($D:$D,$A:$A,$A3465,$B:$B,"&lt;&gt;Patrícia Karla de Sousa Araújo",$B:$B,"&lt;&gt;Lorena Dias de Araujo",$B:$B,"&lt;&gt;Lucas Luiz Romero")*(35/1083),IF(C3465="Técnico II",SUMIFS($D:$D,$A:$A,$A3465,$B:$B,"&lt;&gt;Patrícia Karla de Sousa Araújo",$B:$B,"&lt;&gt;Lorena Dias de Araujo",$B:$B,"&lt;&gt;Lucas Luiz Romero")*(28/1083),IF(C3465="Técnico I",SUMIFS($D:$D,$A:$A,$A3465,$B:$B,"&lt;&gt;Patrícia Karla de Sousa Araújo",$B:$B,"&lt;&gt;Lorena Dias de Araujo",$B:$B,"&lt;&gt;Lucas Luiz Romero")*(23/1083),IF(C3465="JR",SUMIFS($D:$D,$A:$A,$A3465,$B:$B,"&lt;&gt;Patrícia Karla de Sousa Araújo",$B:$B,"&lt;&gt;Lorena Dias de Araujo",$B:$B,"&lt;&gt;Lucas Luiz Romero")*(20/1083),IF(C3465="Estágio",SUMIFS($D:$D,$A:$A,$A3465,$B:$B,"&lt;&gt;Patrícia Karla de Sousa Araújo",$B:$B,"&lt;&gt;Lorena Dias de Araujo",$B:$B,"&lt;&gt;Lucas Luiz Romero")*(10/1083),0)))))),0)</f>
        <v/>
      </c>
      <c r="K3465" s="3">
        <f>I3465-J3465</f>
        <v/>
      </c>
      <c r="L3465" s="3">
        <f>IF(K3465&lt;-5,"CRÍTICO",IF(K3465&lt;0,"ATENÇÃO",IF(K3465&lt;=5,"OPORTUNO","MUITO BOM")))</f>
        <v/>
      </c>
      <c r="N3465" t="n">
        <v>100</v>
      </c>
      <c r="O3465" t="n">
        <v>27.96610169491525</v>
      </c>
    </row>
    <row r="3466" hidden="1">
      <c r="A3466" s="11" t="n">
        <v>46111</v>
      </c>
      <c r="B3466" t="inlineStr">
        <is>
          <t>Claudio de Sousa Velasco Filho</t>
        </is>
      </c>
      <c r="C3466" t="inlineStr">
        <is>
          <t>Estágio</t>
        </is>
      </c>
      <c r="D3466" t="n">
        <v>2</v>
      </c>
      <c r="E3466" t="n">
        <v>2</v>
      </c>
      <c r="F3466" t="n">
        <v>35.36</v>
      </c>
      <c r="G3466" t="n">
        <v>0</v>
      </c>
      <c r="H3466" t="n">
        <v>0</v>
      </c>
      <c r="I3466" s="3">
        <f>E3466+G3466+H3466</f>
        <v/>
      </c>
      <c r="J3466" s="3">
        <f>ROUND(MIN(IF(C3466="Técnico III",35,IF(C3466="Técnico II",28,IF(C3466="Técnico I",23,IF(C3466="JR",20,IF(C3466="Estágio",10,0))))),IF(C3466="Técnico III",SUMIFS($D:$D,$A:$A,$A3466,$B:$B,"&lt;&gt;Patrícia Karla de Sousa Araújo",$B:$B,"&lt;&gt;Lorena Dias de Araujo",$B:$B,"&lt;&gt;Lucas Luiz Romero")*(35/1083),IF(C3466="Técnico II",SUMIFS($D:$D,$A:$A,$A3466,$B:$B,"&lt;&gt;Patrícia Karla de Sousa Araújo",$B:$B,"&lt;&gt;Lorena Dias de Araujo",$B:$B,"&lt;&gt;Lucas Luiz Romero")*(28/1083),IF(C3466="Técnico I",SUMIFS($D:$D,$A:$A,$A3466,$B:$B,"&lt;&gt;Patrícia Karla de Sousa Araújo",$B:$B,"&lt;&gt;Lorena Dias de Araujo",$B:$B,"&lt;&gt;Lucas Luiz Romero")*(23/1083),IF(C3466="JR",SUMIFS($D:$D,$A:$A,$A3466,$B:$B,"&lt;&gt;Patrícia Karla de Sousa Araújo",$B:$B,"&lt;&gt;Lorena Dias de Araujo",$B:$B,"&lt;&gt;Lucas Luiz Romero")*(20/1083),IF(C3466="Estágio",SUMIFS($D:$D,$A:$A,$A3466,$B:$B,"&lt;&gt;Patrícia Karla de Sousa Araújo",$B:$B,"&lt;&gt;Lorena Dias de Araujo",$B:$B,"&lt;&gt;Lucas Luiz Romero")*(10/1083),0)))))),0)</f>
        <v/>
      </c>
      <c r="K3466" s="3">
        <f>I3466-J3466</f>
        <v/>
      </c>
      <c r="L3466" s="3">
        <f>IF(K3466&lt;-5,"CRÍTICO",IF(K3466&lt;0,"ATENÇÃO",IF(K3466&lt;=5,"OPORTUNO","MUITO BOM")))</f>
        <v/>
      </c>
      <c r="N3466" t="n">
        <v>100</v>
      </c>
      <c r="O3466" t="n">
        <v>30.43478260869566</v>
      </c>
    </row>
    <row r="3467" hidden="1">
      <c r="A3467" s="11" t="n">
        <v>46111</v>
      </c>
      <c r="B3467" t="inlineStr">
        <is>
          <t>Clessiane Pereira dos Santos</t>
        </is>
      </c>
      <c r="C3467" t="inlineStr">
        <is>
          <t>Técnico I</t>
        </is>
      </c>
      <c r="D3467" t="n">
        <v>28</v>
      </c>
      <c r="E3467" t="n">
        <v>25</v>
      </c>
      <c r="F3467" t="n">
        <v>18.49</v>
      </c>
      <c r="G3467" t="n">
        <v>0</v>
      </c>
      <c r="H3467" t="n">
        <v>0</v>
      </c>
      <c r="I3467" s="3">
        <f>E3467+G3467+H3467</f>
        <v/>
      </c>
      <c r="J3467" s="3">
        <f>ROUND(MIN(IF(C3467="Técnico III",35,IF(C3467="Técnico II",28,IF(C3467="Técnico I",23,IF(C3467="JR",20,IF(C3467="Estágio",10,0))))),IF(C3467="Técnico III",SUMIFS($D:$D,$A:$A,$A3467,$B:$B,"&lt;&gt;Patrícia Karla de Sousa Araújo",$B:$B,"&lt;&gt;Lorena Dias de Araujo",$B:$B,"&lt;&gt;Lucas Luiz Romero")*(35/1083),IF(C3467="Técnico II",SUMIFS($D:$D,$A:$A,$A3467,$B:$B,"&lt;&gt;Patrícia Karla de Sousa Araújo",$B:$B,"&lt;&gt;Lorena Dias de Araujo",$B:$B,"&lt;&gt;Lucas Luiz Romero")*(28/1083),IF(C3467="Técnico I",SUMIFS($D:$D,$A:$A,$A3467,$B:$B,"&lt;&gt;Patrícia Karla de Sousa Araújo",$B:$B,"&lt;&gt;Lorena Dias de Araujo",$B:$B,"&lt;&gt;Lucas Luiz Romero")*(23/1083),IF(C3467="JR",SUMIFS($D:$D,$A:$A,$A3467,$B:$B,"&lt;&gt;Patrícia Karla de Sousa Araújo",$B:$B,"&lt;&gt;Lorena Dias de Araujo",$B:$B,"&lt;&gt;Lucas Luiz Romero")*(20/1083),IF(C3467="Estágio",SUMIFS($D:$D,$A:$A,$A3467,$B:$B,"&lt;&gt;Patrícia Karla de Sousa Araújo",$B:$B,"&lt;&gt;Lorena Dias de Araujo",$B:$B,"&lt;&gt;Lucas Luiz Romero")*(10/1083),0)))))),0)</f>
        <v/>
      </c>
      <c r="K3467" s="3">
        <f>I3467-J3467</f>
        <v/>
      </c>
      <c r="L3467" s="3">
        <f>IF(K3467&lt;-5,"CRÍTICO",IF(K3467&lt;0,"ATENÇÃO",IF(K3467&lt;=5,"OPORTUNO","MUITO BOM")))</f>
        <v/>
      </c>
      <c r="N3467" t="n">
        <v>96.51000000000001</v>
      </c>
      <c r="O3467" t="n">
        <v>22.80285035629454</v>
      </c>
    </row>
    <row r="3468" hidden="1">
      <c r="A3468" s="11" t="n">
        <v>46111</v>
      </c>
      <c r="B3468" t="inlineStr">
        <is>
          <t>Cristiane Ramos da Silva Rocha</t>
        </is>
      </c>
      <c r="C3468" t="inlineStr">
        <is>
          <t>Técnico III</t>
        </is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s="3" t="n">
        <v>0</v>
      </c>
      <c r="J3468" s="3" t="n">
        <v>0</v>
      </c>
      <c r="K3468" s="3" t="n">
        <v>0</v>
      </c>
      <c r="L3468" s="3">
        <f>IF(K3468&lt;-5,"CRÍTICO",IF(K3468&lt;0,"ATENÇÃO",IF(K3468&lt;=5,"OPORTUNO","MUITO BOM")))</f>
        <v/>
      </c>
      <c r="N3468" t="n">
        <v>92.68000000000001</v>
      </c>
      <c r="O3468" t="n">
        <v>27.77777777777778</v>
      </c>
    </row>
    <row r="3469" hidden="1">
      <c r="A3469" s="11" t="n">
        <v>46111</v>
      </c>
      <c r="B3469" t="inlineStr">
        <is>
          <t>Damyllis Lorraine de Oliveira Gonçalves</t>
        </is>
      </c>
      <c r="C3469" t="inlineStr">
        <is>
          <t>Técnico II</t>
        </is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s="3" t="n">
        <v>0</v>
      </c>
      <c r="J3469" s="3" t="n">
        <v>0</v>
      </c>
      <c r="K3469" s="3" t="n">
        <v>0</v>
      </c>
      <c r="L3469" s="3">
        <f>IF(K3469&lt;-5,"CRÍTICO",IF(K3469&lt;0,"ATENÇÃO",IF(K3469&lt;=5,"OPORTUNO","MUITO BOM")))</f>
        <v/>
      </c>
      <c r="N3469" t="n">
        <v>99.03</v>
      </c>
      <c r="O3469" t="n">
        <v>23.99150743099788</v>
      </c>
    </row>
    <row r="3470" hidden="1">
      <c r="A3470" s="11" t="n">
        <v>46111</v>
      </c>
      <c r="B3470" t="inlineStr">
        <is>
          <t>Daniel Gomes da Silva</t>
        </is>
      </c>
      <c r="C3470" t="inlineStr">
        <is>
          <t>Técnico I</t>
        </is>
      </c>
      <c r="D3470" t="n">
        <v>19</v>
      </c>
      <c r="E3470" t="n">
        <v>19</v>
      </c>
      <c r="F3470" t="n">
        <v>25.08</v>
      </c>
      <c r="G3470" t="n">
        <v>0</v>
      </c>
      <c r="H3470" t="n">
        <v>0</v>
      </c>
      <c r="I3470" s="3">
        <f>E3470+G3470+H3470</f>
        <v/>
      </c>
      <c r="J3470" s="3">
        <f>ROUND(MIN(IF(C3470="Técnico III",35,IF(C3470="Técnico II",28,IF(C3470="Técnico I",23,IF(C3470="JR",20,IF(C3470="Estágio",10,0))))),IF(C3470="Técnico III",SUMIFS($D:$D,$A:$A,$A3470,$B:$B,"&lt;&gt;Patrícia Karla de Sousa Araújo",$B:$B,"&lt;&gt;Lorena Dias de Araujo",$B:$B,"&lt;&gt;Lucas Luiz Romero")*(35/1083),IF(C3470="Técnico II",SUMIFS($D:$D,$A:$A,$A3470,$B:$B,"&lt;&gt;Patrícia Karla de Sousa Araújo",$B:$B,"&lt;&gt;Lorena Dias de Araujo",$B:$B,"&lt;&gt;Lucas Luiz Romero")*(28/1083),IF(C3470="Técnico I",SUMIFS($D:$D,$A:$A,$A3470,$B:$B,"&lt;&gt;Patrícia Karla de Sousa Araújo",$B:$B,"&lt;&gt;Lorena Dias de Araujo",$B:$B,"&lt;&gt;Lucas Luiz Romero")*(23/1083),IF(C3470="JR",SUMIFS($D:$D,$A:$A,$A3470,$B:$B,"&lt;&gt;Patrícia Karla de Sousa Araújo",$B:$B,"&lt;&gt;Lorena Dias de Araujo",$B:$B,"&lt;&gt;Lucas Luiz Romero")*(20/1083),IF(C3470="Estágio",SUMIFS($D:$D,$A:$A,$A3470,$B:$B,"&lt;&gt;Patrícia Karla de Sousa Araújo",$B:$B,"&lt;&gt;Lorena Dias de Araujo",$B:$B,"&lt;&gt;Lucas Luiz Romero")*(10/1083),0)))))),0)</f>
        <v/>
      </c>
      <c r="K3470" s="3">
        <f>I3470-J3470</f>
        <v/>
      </c>
      <c r="L3470" s="3">
        <f>IF(K3470&lt;-5,"CRÍTICO",IF(K3470&lt;0,"ATENÇÃO",IF(K3470&lt;=5,"OPORTUNO","MUITO BOM")))</f>
        <v/>
      </c>
      <c r="N3470" t="n">
        <v>98.41</v>
      </c>
      <c r="O3470" t="n">
        <v>28.13852813852814</v>
      </c>
    </row>
    <row r="3471" hidden="1">
      <c r="A3471" s="11" t="n">
        <v>46111</v>
      </c>
      <c r="B3471" t="inlineStr">
        <is>
          <t>Davylla Rodrigues Freitas Silva</t>
        </is>
      </c>
      <c r="C3471" t="inlineStr">
        <is>
          <t>Técnico III</t>
        </is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s="3" t="n">
        <v>0</v>
      </c>
      <c r="J3471" s="3" t="n">
        <v>0</v>
      </c>
      <c r="K3471" s="3" t="n">
        <v>0</v>
      </c>
      <c r="L3471" s="3">
        <f>IF(K3471&lt;-5,"CRÍTICO",IF(K3471&lt;0,"ATENÇÃO",IF(K3471&lt;=5,"OPORTUNO","MUITO BOM")))</f>
        <v/>
      </c>
      <c r="N3471" t="n">
        <v>98.73</v>
      </c>
      <c r="O3471" t="n">
        <v>29.14285714285714</v>
      </c>
    </row>
    <row r="3472" hidden="1">
      <c r="A3472" s="11" t="n">
        <v>46111</v>
      </c>
      <c r="B3472" t="inlineStr">
        <is>
          <t>Emilly Caylane Costa</t>
        </is>
      </c>
      <c r="C3472" t="inlineStr">
        <is>
          <t>Estágio</t>
        </is>
      </c>
      <c r="D3472" t="n">
        <v>11</v>
      </c>
      <c r="E3472" t="n">
        <v>10</v>
      </c>
      <c r="F3472" t="n">
        <v>26.5</v>
      </c>
      <c r="G3472" t="n">
        <v>0</v>
      </c>
      <c r="H3472" t="n">
        <v>0</v>
      </c>
      <c r="I3472" s="3">
        <f>E3472+G3472+H3472</f>
        <v/>
      </c>
      <c r="J3472" s="3">
        <f>ROUND(MIN(IF(C3472="Técnico III",35,IF(C3472="Técnico II",28,IF(C3472="Técnico I",23,IF(C3472="JR",20,IF(C3472="Estágio",10,0))))),IF(C3472="Técnico III",SUMIFS($D:$D,$A:$A,$A3472,$B:$B,"&lt;&gt;Patrícia Karla de Sousa Araújo",$B:$B,"&lt;&gt;Lorena Dias de Araujo",$B:$B,"&lt;&gt;Lucas Luiz Romero")*(35/1083),IF(C3472="Técnico II",SUMIFS($D:$D,$A:$A,$A3472,$B:$B,"&lt;&gt;Patrícia Karla de Sousa Araújo",$B:$B,"&lt;&gt;Lorena Dias de Araujo",$B:$B,"&lt;&gt;Lucas Luiz Romero")*(28/1083),IF(C3472="Técnico I",SUMIFS($D:$D,$A:$A,$A3472,$B:$B,"&lt;&gt;Patrícia Karla de Sousa Araújo",$B:$B,"&lt;&gt;Lorena Dias de Araujo",$B:$B,"&lt;&gt;Lucas Luiz Romero")*(23/1083),IF(C3472="JR",SUMIFS($D:$D,$A:$A,$A3472,$B:$B,"&lt;&gt;Patrícia Karla de Sousa Araújo",$B:$B,"&lt;&gt;Lorena Dias de Araujo",$B:$B,"&lt;&gt;Lucas Luiz Romero")*(20/1083),IF(C3472="Estágio",SUMIFS($D:$D,$A:$A,$A3472,$B:$B,"&lt;&gt;Patrícia Karla de Sousa Araújo",$B:$B,"&lt;&gt;Lorena Dias de Araujo",$B:$B,"&lt;&gt;Lucas Luiz Romero")*(10/1083),0)))))),0)</f>
        <v/>
      </c>
      <c r="K3472" s="3">
        <f>I3472-J3472</f>
        <v/>
      </c>
      <c r="L3472" s="3">
        <f>IF(K3472&lt;-5,"CRÍTICO",IF(K3472&lt;0,"ATENÇÃO",IF(K3472&lt;=5,"OPORTUNO","MUITO BOM")))</f>
        <v/>
      </c>
      <c r="N3472" t="n">
        <v>90.48</v>
      </c>
      <c r="O3472" t="n">
        <v>20.68965517241379</v>
      </c>
    </row>
    <row r="3473" hidden="1">
      <c r="A3473" s="11" t="n">
        <v>46111</v>
      </c>
      <c r="B3473" t="inlineStr">
        <is>
          <t>Emilly Kamilly Medeiros Miranda</t>
        </is>
      </c>
      <c r="C3473" t="inlineStr">
        <is>
          <t>Técnico II</t>
        </is>
      </c>
      <c r="D3473" t="n">
        <v>32</v>
      </c>
      <c r="E3473" t="n">
        <v>31</v>
      </c>
      <c r="F3473" t="n">
        <v>16.43</v>
      </c>
      <c r="G3473" t="n">
        <v>0</v>
      </c>
      <c r="H3473" t="n">
        <v>0</v>
      </c>
      <c r="I3473" s="3">
        <f>E3473+G3473+H3473</f>
        <v/>
      </c>
      <c r="J3473" s="3">
        <f>ROUND(MIN(IF(C3473="Técnico III",35,IF(C3473="Técnico II",28,IF(C3473="Técnico I",23,IF(C3473="JR",20,IF(C3473="Estágio",10,0))))),IF(C3473="Técnico III",SUMIFS($D:$D,$A:$A,$A3473,$B:$B,"&lt;&gt;Patrícia Karla de Sousa Araújo",$B:$B,"&lt;&gt;Lorena Dias de Araujo",$B:$B,"&lt;&gt;Lucas Luiz Romero")*(35/1083),IF(C3473="Técnico II",SUMIFS($D:$D,$A:$A,$A3473,$B:$B,"&lt;&gt;Patrícia Karla de Sousa Araújo",$B:$B,"&lt;&gt;Lorena Dias de Araujo",$B:$B,"&lt;&gt;Lucas Luiz Romero")*(28/1083),IF(C3473="Técnico I",SUMIFS($D:$D,$A:$A,$A3473,$B:$B,"&lt;&gt;Patrícia Karla de Sousa Araújo",$B:$B,"&lt;&gt;Lorena Dias de Araujo",$B:$B,"&lt;&gt;Lucas Luiz Romero")*(23/1083),IF(C3473="JR",SUMIFS($D:$D,$A:$A,$A3473,$B:$B,"&lt;&gt;Patrícia Karla de Sousa Araújo",$B:$B,"&lt;&gt;Lorena Dias de Araujo",$B:$B,"&lt;&gt;Lucas Luiz Romero")*(20/1083),IF(C3473="Estágio",SUMIFS($D:$D,$A:$A,$A3473,$B:$B,"&lt;&gt;Patrícia Karla de Sousa Araújo",$B:$B,"&lt;&gt;Lorena Dias de Araujo",$B:$B,"&lt;&gt;Lucas Luiz Romero")*(10/1083),0)))))),0)</f>
        <v/>
      </c>
      <c r="K3473" s="3">
        <f>I3473-J3473</f>
        <v/>
      </c>
      <c r="L3473" s="3">
        <f>IF(K3473&lt;-5,"CRÍTICO",IF(K3473&lt;0,"ATENÇÃO",IF(K3473&lt;=5,"OPORTUNO","MUITO BOM")))</f>
        <v/>
      </c>
      <c r="N3473" t="n">
        <v>98.06</v>
      </c>
      <c r="O3473" t="n">
        <v>24.78991596638656</v>
      </c>
    </row>
    <row r="3474" hidden="1">
      <c r="A3474" s="11" t="n">
        <v>46111</v>
      </c>
      <c r="B3474" t="inlineStr">
        <is>
          <t>Francielson de Oliveira</t>
        </is>
      </c>
      <c r="C3474" t="inlineStr">
        <is>
          <t>Técnico III</t>
        </is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s="3" t="n">
        <v>0</v>
      </c>
      <c r="J3474" s="3" t="n">
        <v>0</v>
      </c>
      <c r="K3474" s="3" t="n">
        <v>0</v>
      </c>
      <c r="L3474" s="3">
        <f>IF(K3474&lt;-5,"CRÍTICO",IF(K3474&lt;0,"ATENÇÃO",IF(K3474&lt;=5,"OPORTUNO","MUITO BOM")))</f>
        <v/>
      </c>
      <c r="N3474" t="n">
        <v>97.78</v>
      </c>
      <c r="O3474" t="n">
        <v>25.49407114624506</v>
      </c>
    </row>
    <row r="3475" hidden="1">
      <c r="A3475" s="11" t="n">
        <v>46111</v>
      </c>
      <c r="B3475" t="inlineStr">
        <is>
          <t>Francilene Ferreira de Jesus</t>
        </is>
      </c>
      <c r="C3475" t="inlineStr">
        <is>
          <t>Técnico II</t>
        </is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s="3" t="n">
        <v>0</v>
      </c>
      <c r="J3475" s="3" t="n">
        <v>0</v>
      </c>
      <c r="K3475" s="3" t="n">
        <v>0</v>
      </c>
      <c r="L3475" s="3">
        <f>IF(K3475&lt;-5,"CRÍTICO",IF(K3475&lt;0,"ATENÇÃO",IF(K3475&lt;=5,"OPORTUNO","MUITO BOM")))</f>
        <v/>
      </c>
      <c r="N3475" t="n">
        <v>98.02</v>
      </c>
      <c r="O3475" t="n">
        <v>23.48484848484848</v>
      </c>
    </row>
    <row r="3476" hidden="1">
      <c r="A3476" s="10" t="n">
        <v>46164</v>
      </c>
      <c r="B3476" s="6" t="inlineStr">
        <is>
          <t>Lorena Dias de Araujo</t>
        </is>
      </c>
      <c r="C3476" s="3" t="inlineStr">
        <is>
          <t>Técnico II</t>
        </is>
      </c>
      <c r="D3476" s="3" t="n">
        <v>0</v>
      </c>
      <c r="E3476" s="3" t="n">
        <v>0</v>
      </c>
      <c r="F3476" s="3" t="n">
        <v>0</v>
      </c>
      <c r="G3476" s="3" t="n">
        <v>0</v>
      </c>
      <c r="H3476" s="3" t="n">
        <v>0</v>
      </c>
      <c r="I3476" s="3" t="n">
        <v>0</v>
      </c>
      <c r="J3476" s="3" t="n">
        <v>0</v>
      </c>
      <c r="K3476" s="3" t="n">
        <v>0</v>
      </c>
      <c r="L3476" s="3">
        <f>IF(K3476&lt;-5,"CRÍTICO",IF(K3476&lt;0,"ATENÇÃO",IF(K3476&lt;=5,"OPORTUNO","MUITO BOM")))</f>
        <v/>
      </c>
      <c r="M3476" s="3" t="n">
        <v>0</v>
      </c>
      <c r="N3476" s="3" t="n">
        <v>100</v>
      </c>
      <c r="O3476" s="3" t="n">
        <v>20.82018927444795</v>
      </c>
    </row>
    <row r="3477" hidden="1">
      <c r="A3477" s="11" t="n">
        <v>46111</v>
      </c>
      <c r="B3477" t="inlineStr">
        <is>
          <t>Isabella Borges de Oliveira</t>
        </is>
      </c>
      <c r="C3477" t="inlineStr">
        <is>
          <t>Técnico II</t>
        </is>
      </c>
      <c r="D3477" t="n">
        <v>31</v>
      </c>
      <c r="E3477" t="n">
        <v>28</v>
      </c>
      <c r="F3477" t="n">
        <v>19.17</v>
      </c>
      <c r="G3477" t="n">
        <v>0</v>
      </c>
      <c r="H3477" t="n">
        <v>0</v>
      </c>
      <c r="I3477" s="3">
        <f>E3477+G3477+H3477</f>
        <v/>
      </c>
      <c r="J3477" s="3">
        <f>ROUND(MIN(IF(C3477="Técnico III",35,IF(C3477="Técnico II",28,IF(C3477="Técnico I",23,IF(C3477="JR",20,IF(C3477="Estágio",10,0))))),IF(C3477="Técnico III",SUMIFS($D:$D,$A:$A,$A3477,$B:$B,"&lt;&gt;Patrícia Karla de Sousa Araújo",$B:$B,"&lt;&gt;Lorena Dias de Araujo",$B:$B,"&lt;&gt;Lucas Luiz Romero")*(35/1083),IF(C3477="Técnico II",SUMIFS($D:$D,$A:$A,$A3477,$B:$B,"&lt;&gt;Patrícia Karla de Sousa Araújo",$B:$B,"&lt;&gt;Lorena Dias de Araujo",$B:$B,"&lt;&gt;Lucas Luiz Romero")*(28/1083),IF(C3477="Técnico I",SUMIFS($D:$D,$A:$A,$A3477,$B:$B,"&lt;&gt;Patrícia Karla de Sousa Araújo",$B:$B,"&lt;&gt;Lorena Dias de Araujo",$B:$B,"&lt;&gt;Lucas Luiz Romero")*(23/1083),IF(C3477="JR",SUMIFS($D:$D,$A:$A,$A3477,$B:$B,"&lt;&gt;Patrícia Karla de Sousa Araújo",$B:$B,"&lt;&gt;Lorena Dias de Araujo",$B:$B,"&lt;&gt;Lucas Luiz Romero")*(20/1083),IF(C3477="Estágio",SUMIFS($D:$D,$A:$A,$A3477,$B:$B,"&lt;&gt;Patrícia Karla de Sousa Araújo",$B:$B,"&lt;&gt;Lorena Dias de Araujo",$B:$B,"&lt;&gt;Lucas Luiz Romero")*(10/1083),0)))))),0)</f>
        <v/>
      </c>
      <c r="K3477" s="3">
        <f>I3477-J3477</f>
        <v/>
      </c>
      <c r="L3477" s="3">
        <f>IF(K3477&lt;-5,"CRÍTICO",IF(K3477&lt;0,"ATENÇÃO",IF(K3477&lt;=5,"OPORTUNO","MUITO BOM")))</f>
        <v/>
      </c>
      <c r="N3477" t="n">
        <v>100</v>
      </c>
      <c r="O3477" t="n">
        <v>27.04918032786885</v>
      </c>
    </row>
    <row r="3478" hidden="1">
      <c r="A3478" s="11" t="n">
        <v>46111</v>
      </c>
      <c r="B3478" t="inlineStr">
        <is>
          <t>Janaina Lima dos Reis Urany</t>
        </is>
      </c>
      <c r="C3478" t="inlineStr">
        <is>
          <t>Técnico III</t>
        </is>
      </c>
      <c r="D3478" t="n">
        <v>44</v>
      </c>
      <c r="E3478" t="n">
        <v>40</v>
      </c>
      <c r="F3478" t="n">
        <v>17.17</v>
      </c>
      <c r="G3478" t="n">
        <v>0</v>
      </c>
      <c r="H3478" t="n">
        <v>0</v>
      </c>
      <c r="I3478" s="3">
        <f>E3478+G3478+H3478</f>
        <v/>
      </c>
      <c r="J3478" s="3">
        <f>ROUND(MIN(IF(C3478="Técnico III",35,IF(C3478="Técnico II",28,IF(C3478="Técnico I",23,IF(C3478="JR",20,IF(C3478="Estágio",10,0))))),IF(C3478="Técnico III",SUMIFS($D:$D,$A:$A,$A3478,$B:$B,"&lt;&gt;Patrícia Karla de Sousa Araújo",$B:$B,"&lt;&gt;Lorena Dias de Araujo",$B:$B,"&lt;&gt;Lucas Luiz Romero")*(35/1083),IF(C3478="Técnico II",SUMIFS($D:$D,$A:$A,$A3478,$B:$B,"&lt;&gt;Patrícia Karla de Sousa Araújo",$B:$B,"&lt;&gt;Lorena Dias de Araujo",$B:$B,"&lt;&gt;Lucas Luiz Romero")*(28/1083),IF(C3478="Técnico I",SUMIFS($D:$D,$A:$A,$A3478,$B:$B,"&lt;&gt;Patrícia Karla de Sousa Araújo",$B:$B,"&lt;&gt;Lorena Dias de Araujo",$B:$B,"&lt;&gt;Lucas Luiz Romero")*(23/1083),IF(C3478="JR",SUMIFS($D:$D,$A:$A,$A3478,$B:$B,"&lt;&gt;Patrícia Karla de Sousa Araújo",$B:$B,"&lt;&gt;Lorena Dias de Araujo",$B:$B,"&lt;&gt;Lucas Luiz Romero")*(20/1083),IF(C3478="Estágio",SUMIFS($D:$D,$A:$A,$A3478,$B:$B,"&lt;&gt;Patrícia Karla de Sousa Araújo",$B:$B,"&lt;&gt;Lorena Dias de Araujo",$B:$B,"&lt;&gt;Lucas Luiz Romero")*(10/1083),0)))))),0)</f>
        <v/>
      </c>
      <c r="K3478" s="3">
        <f>I3478-J3478</f>
        <v/>
      </c>
      <c r="L3478" s="3">
        <f>IF(K3478&lt;-5,"CRÍTICO",IF(K3478&lt;0,"ATENÇÃO",IF(K3478&lt;=5,"OPORTUNO","MUITO BOM")))</f>
        <v/>
      </c>
      <c r="N3478" t="n">
        <v>97.83</v>
      </c>
      <c r="O3478" t="n">
        <v>26.31578947368421</v>
      </c>
    </row>
    <row r="3479" hidden="1">
      <c r="A3479" s="11" t="n">
        <v>46111</v>
      </c>
      <c r="B3479" t="inlineStr">
        <is>
          <t>Jaqueline Evangelista da Silva Martins</t>
        </is>
      </c>
      <c r="C3479" t="inlineStr">
        <is>
          <t>Técnico III</t>
        </is>
      </c>
      <c r="D3479" t="n">
        <v>8</v>
      </c>
      <c r="E3479" t="n">
        <v>8</v>
      </c>
      <c r="F3479" t="n">
        <v>23.44</v>
      </c>
      <c r="G3479" t="n">
        <v>0</v>
      </c>
      <c r="H3479" t="n">
        <v>0</v>
      </c>
      <c r="I3479" s="3">
        <f>E3479+G3479+H3479</f>
        <v/>
      </c>
      <c r="J3479" s="3">
        <f>ROUND(MIN(IF(C3479="Técnico III",35,IF(C3479="Técnico II",28,IF(C3479="Técnico I",23,IF(C3479="JR",20,IF(C3479="Estágio",10,0))))),IF(C3479="Técnico III",SUMIFS($D:$D,$A:$A,$A3479,$B:$B,"&lt;&gt;Patrícia Karla de Sousa Araújo",$B:$B,"&lt;&gt;Lorena Dias de Araujo",$B:$B,"&lt;&gt;Lucas Luiz Romero")*(35/1083),IF(C3479="Técnico II",SUMIFS($D:$D,$A:$A,$A3479,$B:$B,"&lt;&gt;Patrícia Karla de Sousa Araújo",$B:$B,"&lt;&gt;Lorena Dias de Araujo",$B:$B,"&lt;&gt;Lucas Luiz Romero")*(28/1083),IF(C3479="Técnico I",SUMIFS($D:$D,$A:$A,$A3479,$B:$B,"&lt;&gt;Patrícia Karla de Sousa Araújo",$B:$B,"&lt;&gt;Lorena Dias de Araujo",$B:$B,"&lt;&gt;Lucas Luiz Romero")*(23/1083),IF(C3479="JR",SUMIFS($D:$D,$A:$A,$A3479,$B:$B,"&lt;&gt;Patrícia Karla de Sousa Araújo",$B:$B,"&lt;&gt;Lorena Dias de Araujo",$B:$B,"&lt;&gt;Lucas Luiz Romero")*(20/1083),IF(C3479="Estágio",SUMIFS($D:$D,$A:$A,$A3479,$B:$B,"&lt;&gt;Patrícia Karla de Sousa Araújo",$B:$B,"&lt;&gt;Lorena Dias de Araujo",$B:$B,"&lt;&gt;Lucas Luiz Romero")*(10/1083),0)))))),0)</f>
        <v/>
      </c>
      <c r="K3479" s="3">
        <f>I3479-J3479</f>
        <v/>
      </c>
      <c r="L3479" s="3">
        <f>IF(K3479&lt;-5,"CRÍTICO",IF(K3479&lt;0,"ATENÇÃO",IF(K3479&lt;=5,"OPORTUNO","MUITO BOM")))</f>
        <v/>
      </c>
      <c r="N3479" t="n">
        <v>100</v>
      </c>
      <c r="O3479" t="n">
        <v>26.70157068062827</v>
      </c>
    </row>
    <row r="3480" hidden="1">
      <c r="A3480" s="11" t="n">
        <v>46111</v>
      </c>
      <c r="B3480" t="inlineStr">
        <is>
          <t>Jessica Faria da Silveira</t>
        </is>
      </c>
      <c r="C3480" t="inlineStr">
        <is>
          <t>Técnico II</t>
        </is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s="3" t="n">
        <v>0</v>
      </c>
      <c r="J3480" s="3" t="n">
        <v>0</v>
      </c>
      <c r="K3480" s="3" t="n">
        <v>0</v>
      </c>
      <c r="L3480" s="3">
        <f>IF(K3480&lt;-5,"CRÍTICO",IF(K3480&lt;0,"ATENÇÃO",IF(K3480&lt;=5,"OPORTUNO","MUITO BOM")))</f>
        <v/>
      </c>
      <c r="N3480" t="n">
        <v>97.47</v>
      </c>
      <c r="O3480" t="n">
        <v>22.88732394366197</v>
      </c>
    </row>
    <row r="3481" hidden="1">
      <c r="A3481" s="11" t="n">
        <v>46111</v>
      </c>
      <c r="B3481" t="inlineStr">
        <is>
          <t>Jéssica Fé Moura</t>
        </is>
      </c>
      <c r="C3481" t="inlineStr">
        <is>
          <t>Técnico III</t>
        </is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s="3" t="n">
        <v>0</v>
      </c>
      <c r="J3481" s="3" t="n">
        <v>0</v>
      </c>
      <c r="K3481" s="3" t="n">
        <v>0</v>
      </c>
      <c r="L3481" s="3">
        <f>IF(K3481&lt;-5,"CRÍTICO",IF(K3481&lt;0,"ATENÇÃO",IF(K3481&lt;=5,"OPORTUNO","MUITO BOM")))</f>
        <v/>
      </c>
      <c r="N3481" t="n">
        <v>0</v>
      </c>
      <c r="O3481" t="n">
        <v>0</v>
      </c>
    </row>
    <row r="3482" hidden="1">
      <c r="A3482" s="11" t="n">
        <v>46111</v>
      </c>
      <c r="B3482" t="inlineStr">
        <is>
          <t>Karina Gonçalves Martins</t>
        </is>
      </c>
      <c r="C3482" t="inlineStr">
        <is>
          <t>JR</t>
        </is>
      </c>
      <c r="D3482" t="n">
        <v>19</v>
      </c>
      <c r="E3482" t="n">
        <v>19</v>
      </c>
      <c r="F3482" t="n">
        <v>29.13</v>
      </c>
      <c r="G3482" t="n">
        <v>0</v>
      </c>
      <c r="H3482" t="n">
        <v>0</v>
      </c>
      <c r="I3482" s="3">
        <f>E3482+G3482+H3482</f>
        <v/>
      </c>
      <c r="J3482" s="3">
        <f>ROUND(MIN(IF(C3482="Técnico III",35,IF(C3482="Técnico II",28,IF(C3482="Técnico I",23,IF(C3482="JR",20,IF(C3482="Estágio",10,0))))),IF(C3482="Técnico III",SUMIFS($D:$D,$A:$A,$A3482,$B:$B,"&lt;&gt;Patrícia Karla de Sousa Araújo",$B:$B,"&lt;&gt;Lorena Dias de Araujo",$B:$B,"&lt;&gt;Lucas Luiz Romero")*(35/1083),IF(C3482="Técnico II",SUMIFS($D:$D,$A:$A,$A3482,$B:$B,"&lt;&gt;Patrícia Karla de Sousa Araújo",$B:$B,"&lt;&gt;Lorena Dias de Araujo",$B:$B,"&lt;&gt;Lucas Luiz Romero")*(28/1083),IF(C3482="Técnico I",SUMIFS($D:$D,$A:$A,$A3482,$B:$B,"&lt;&gt;Patrícia Karla de Sousa Araújo",$B:$B,"&lt;&gt;Lorena Dias de Araujo",$B:$B,"&lt;&gt;Lucas Luiz Romero")*(23/1083),IF(C3482="JR",SUMIFS($D:$D,$A:$A,$A3482,$B:$B,"&lt;&gt;Patrícia Karla de Sousa Araújo",$B:$B,"&lt;&gt;Lorena Dias de Araujo",$B:$B,"&lt;&gt;Lucas Luiz Romero")*(20/1083),IF(C3482="Estágio",SUMIFS($D:$D,$A:$A,$A3482,$B:$B,"&lt;&gt;Patrícia Karla de Sousa Araújo",$B:$B,"&lt;&gt;Lorena Dias de Araujo",$B:$B,"&lt;&gt;Lucas Luiz Romero")*(10/1083),0)))))),0)</f>
        <v/>
      </c>
      <c r="K3482" s="3">
        <f>I3482-J3482</f>
        <v/>
      </c>
      <c r="L3482" s="3">
        <f>IF(K3482&lt;-5,"CRÍTICO",IF(K3482&lt;0,"ATENÇÃO",IF(K3482&lt;=5,"OPORTUNO","MUITO BOM")))</f>
        <v/>
      </c>
      <c r="N3482" t="n">
        <v>98.31</v>
      </c>
      <c r="O3482" t="n">
        <v>24.92012779552715</v>
      </c>
    </row>
    <row r="3483" hidden="1">
      <c r="A3483" s="11" t="n">
        <v>46111</v>
      </c>
      <c r="B3483" t="inlineStr">
        <is>
          <t>Kerollen Cristielly de Jesus Siqueira</t>
        </is>
      </c>
      <c r="C3483" t="inlineStr">
        <is>
          <t>Técnico III</t>
        </is>
      </c>
      <c r="D3483" t="n">
        <v>4</v>
      </c>
      <c r="E3483" t="n">
        <v>4</v>
      </c>
      <c r="F3483" t="n">
        <v>35.58</v>
      </c>
      <c r="G3483" t="n">
        <v>0</v>
      </c>
      <c r="H3483" t="n">
        <v>0</v>
      </c>
      <c r="I3483" s="3">
        <f>E3483+G3483+H3483</f>
        <v/>
      </c>
      <c r="J3483" s="3">
        <f>ROUND(MIN(IF(C3483="Técnico III",35,IF(C3483="Técnico II",28,IF(C3483="Técnico I",23,IF(C3483="JR",20,IF(C3483="Estágio",10,0))))),IF(C3483="Técnico III",SUMIFS($D:$D,$A:$A,$A3483,$B:$B,"&lt;&gt;Patrícia Karla de Sousa Araújo",$B:$B,"&lt;&gt;Lorena Dias de Araujo",$B:$B,"&lt;&gt;Lucas Luiz Romero")*(35/1083),IF(C3483="Técnico II",SUMIFS($D:$D,$A:$A,$A3483,$B:$B,"&lt;&gt;Patrícia Karla de Sousa Araújo",$B:$B,"&lt;&gt;Lorena Dias de Araujo",$B:$B,"&lt;&gt;Lucas Luiz Romero")*(28/1083),IF(C3483="Técnico I",SUMIFS($D:$D,$A:$A,$A3483,$B:$B,"&lt;&gt;Patrícia Karla de Sousa Araújo",$B:$B,"&lt;&gt;Lorena Dias de Araujo",$B:$B,"&lt;&gt;Lucas Luiz Romero")*(23/1083),IF(C3483="JR",SUMIFS($D:$D,$A:$A,$A3483,$B:$B,"&lt;&gt;Patrícia Karla de Sousa Araújo",$B:$B,"&lt;&gt;Lorena Dias de Araujo",$B:$B,"&lt;&gt;Lucas Luiz Romero")*(20/1083),IF(C3483="Estágio",SUMIFS($D:$D,$A:$A,$A3483,$B:$B,"&lt;&gt;Patrícia Karla de Sousa Araújo",$B:$B,"&lt;&gt;Lorena Dias de Araujo",$B:$B,"&lt;&gt;Lucas Luiz Romero")*(10/1083),0)))))),0)</f>
        <v/>
      </c>
      <c r="K3483" s="3">
        <f>I3483-J3483</f>
        <v/>
      </c>
      <c r="L3483" s="3">
        <f>IF(K3483&lt;-5,"CRÍTICO",IF(K3483&lt;0,"ATENÇÃO",IF(K3483&lt;=5,"OPORTUNO","MUITO BOM")))</f>
        <v/>
      </c>
      <c r="N3483" t="n">
        <v>96.81</v>
      </c>
      <c r="O3483" t="n">
        <v>32.36514522821577</v>
      </c>
    </row>
    <row r="3484" hidden="1">
      <c r="A3484" s="11" t="n">
        <v>46111</v>
      </c>
      <c r="B3484" t="inlineStr">
        <is>
          <t>Leandro de Souza Silva</t>
        </is>
      </c>
      <c r="C3484" t="inlineStr">
        <is>
          <t>JR</t>
        </is>
      </c>
      <c r="D3484" t="n">
        <v>18</v>
      </c>
      <c r="E3484" t="n">
        <v>14</v>
      </c>
      <c r="F3484" t="n">
        <v>32.35</v>
      </c>
      <c r="G3484" t="n">
        <v>0</v>
      </c>
      <c r="H3484" t="n">
        <v>0</v>
      </c>
      <c r="I3484" s="3">
        <f>E3484+G3484+H3484</f>
        <v/>
      </c>
      <c r="J3484" s="3">
        <f>ROUND(MIN(IF(C3484="Técnico III",35,IF(C3484="Técnico II",28,IF(C3484="Técnico I",23,IF(C3484="JR",20,IF(C3484="Estágio",10,0))))),IF(C3484="Técnico III",SUMIFS($D:$D,$A:$A,$A3484,$B:$B,"&lt;&gt;Patrícia Karla de Sousa Araújo",$B:$B,"&lt;&gt;Lorena Dias de Araujo",$B:$B,"&lt;&gt;Lucas Luiz Romero")*(35/1083),IF(C3484="Técnico II",SUMIFS($D:$D,$A:$A,$A3484,$B:$B,"&lt;&gt;Patrícia Karla de Sousa Araújo",$B:$B,"&lt;&gt;Lorena Dias de Araujo",$B:$B,"&lt;&gt;Lucas Luiz Romero")*(28/1083),IF(C3484="Técnico I",SUMIFS($D:$D,$A:$A,$A3484,$B:$B,"&lt;&gt;Patrícia Karla de Sousa Araújo",$B:$B,"&lt;&gt;Lorena Dias de Araujo",$B:$B,"&lt;&gt;Lucas Luiz Romero")*(23/1083),IF(C3484="JR",SUMIFS($D:$D,$A:$A,$A3484,$B:$B,"&lt;&gt;Patrícia Karla de Sousa Araújo",$B:$B,"&lt;&gt;Lorena Dias de Araujo",$B:$B,"&lt;&gt;Lucas Luiz Romero")*(20/1083),IF(C3484="Estágio",SUMIFS($D:$D,$A:$A,$A3484,$B:$B,"&lt;&gt;Patrícia Karla de Sousa Araújo",$B:$B,"&lt;&gt;Lorena Dias de Araujo",$B:$B,"&lt;&gt;Lucas Luiz Romero")*(10/1083),0)))))),0)</f>
        <v/>
      </c>
      <c r="K3484" s="3">
        <f>I3484-J3484</f>
        <v/>
      </c>
      <c r="L3484" s="3">
        <f>IF(K3484&lt;-5,"CRÍTICO",IF(K3484&lt;0,"ATENÇÃO",IF(K3484&lt;=5,"OPORTUNO","MUITO BOM")))</f>
        <v/>
      </c>
      <c r="N3484" t="n">
        <v>100</v>
      </c>
      <c r="O3484" t="n">
        <v>26.47058823529412</v>
      </c>
    </row>
    <row r="3485" hidden="1">
      <c r="A3485" s="11" t="n">
        <v>46111</v>
      </c>
      <c r="B3485" t="inlineStr">
        <is>
          <t>Leandro Oliveira de Sousa</t>
        </is>
      </c>
      <c r="C3485" t="inlineStr">
        <is>
          <t>Técnico III</t>
        </is>
      </c>
      <c r="D3485" t="n">
        <v>28</v>
      </c>
      <c r="E3485" t="n">
        <v>28</v>
      </c>
      <c r="F3485" t="n">
        <v>21.53</v>
      </c>
      <c r="G3485" t="n">
        <v>0</v>
      </c>
      <c r="H3485" t="n">
        <v>0</v>
      </c>
      <c r="I3485" s="3">
        <f>E3485+G3485+H3485</f>
        <v/>
      </c>
      <c r="J3485" s="3">
        <f>ROUND(MIN(IF(C3485="Técnico III",35,IF(C3485="Técnico II",28,IF(C3485="Técnico I",23,IF(C3485="JR",20,IF(C3485="Estágio",10,0))))),IF(C3485="Técnico III",SUMIFS($D:$D,$A:$A,$A3485,$B:$B,"&lt;&gt;Patrícia Karla de Sousa Araújo",$B:$B,"&lt;&gt;Lorena Dias de Araujo",$B:$B,"&lt;&gt;Lucas Luiz Romero")*(35/1083),IF(C3485="Técnico II",SUMIFS($D:$D,$A:$A,$A3485,$B:$B,"&lt;&gt;Patrícia Karla de Sousa Araújo",$B:$B,"&lt;&gt;Lorena Dias de Araujo",$B:$B,"&lt;&gt;Lucas Luiz Romero")*(28/1083),IF(C3485="Técnico I",SUMIFS($D:$D,$A:$A,$A3485,$B:$B,"&lt;&gt;Patrícia Karla de Sousa Araújo",$B:$B,"&lt;&gt;Lorena Dias de Araujo",$B:$B,"&lt;&gt;Lucas Luiz Romero")*(23/1083),IF(C3485="JR",SUMIFS($D:$D,$A:$A,$A3485,$B:$B,"&lt;&gt;Patrícia Karla de Sousa Araújo",$B:$B,"&lt;&gt;Lorena Dias de Araujo",$B:$B,"&lt;&gt;Lucas Luiz Romero")*(20/1083),IF(C3485="Estágio",SUMIFS($D:$D,$A:$A,$A3485,$B:$B,"&lt;&gt;Patrícia Karla de Sousa Araújo",$B:$B,"&lt;&gt;Lorena Dias de Araujo",$B:$B,"&lt;&gt;Lucas Luiz Romero")*(10/1083),0)))))),0)</f>
        <v/>
      </c>
      <c r="K3485" s="3">
        <f>I3485-J3485</f>
        <v/>
      </c>
      <c r="L3485" s="3">
        <f>IF(K3485&lt;-5,"CRÍTICO",IF(K3485&lt;0,"ATENÇÃO",IF(K3485&lt;=5,"OPORTUNO","MUITO BOM")))</f>
        <v/>
      </c>
      <c r="N3485" t="n">
        <v>100</v>
      </c>
      <c r="O3485" t="n">
        <v>28.49002849002849</v>
      </c>
    </row>
    <row r="3486" hidden="1">
      <c r="A3486" s="11" t="n">
        <v>46111</v>
      </c>
      <c r="B3486" t="inlineStr">
        <is>
          <t>Lizandra Gomes Duarte</t>
        </is>
      </c>
      <c r="C3486" t="inlineStr">
        <is>
          <t>Técnico II</t>
        </is>
      </c>
      <c r="D3486" t="n">
        <v>21</v>
      </c>
      <c r="E3486" t="n">
        <v>20</v>
      </c>
      <c r="F3486" t="n">
        <v>22.04</v>
      </c>
      <c r="G3486" t="n">
        <v>0</v>
      </c>
      <c r="H3486" t="n">
        <v>0</v>
      </c>
      <c r="I3486" s="3">
        <f>E3486+G3486+H3486</f>
        <v/>
      </c>
      <c r="J3486" s="3">
        <f>ROUND(MIN(IF(C3486="Técnico III",35,IF(C3486="Técnico II",28,IF(C3486="Técnico I",23,IF(C3486="JR",20,IF(C3486="Estágio",10,0))))),IF(C3486="Técnico III",SUMIFS($D:$D,$A:$A,$A3486,$B:$B,"&lt;&gt;Patrícia Karla de Sousa Araújo",$B:$B,"&lt;&gt;Lorena Dias de Araujo",$B:$B,"&lt;&gt;Lucas Luiz Romero")*(35/1083),IF(C3486="Técnico II",SUMIFS($D:$D,$A:$A,$A3486,$B:$B,"&lt;&gt;Patrícia Karla de Sousa Araújo",$B:$B,"&lt;&gt;Lorena Dias de Araujo",$B:$B,"&lt;&gt;Lucas Luiz Romero")*(28/1083),IF(C3486="Técnico I",SUMIFS($D:$D,$A:$A,$A3486,$B:$B,"&lt;&gt;Patrícia Karla de Sousa Araújo",$B:$B,"&lt;&gt;Lorena Dias de Araujo",$B:$B,"&lt;&gt;Lucas Luiz Romero")*(23/1083),IF(C3486="JR",SUMIFS($D:$D,$A:$A,$A3486,$B:$B,"&lt;&gt;Patrícia Karla de Sousa Araújo",$B:$B,"&lt;&gt;Lorena Dias de Araujo",$B:$B,"&lt;&gt;Lucas Luiz Romero")*(20/1083),IF(C3486="Estágio",SUMIFS($D:$D,$A:$A,$A3486,$B:$B,"&lt;&gt;Patrícia Karla de Sousa Araújo",$B:$B,"&lt;&gt;Lorena Dias de Araujo",$B:$B,"&lt;&gt;Lucas Luiz Romero")*(10/1083),0)))))),0)</f>
        <v/>
      </c>
      <c r="K3486" s="3">
        <f>I3486-J3486</f>
        <v/>
      </c>
      <c r="L3486" s="3">
        <f>IF(K3486&lt;-5,"CRÍTICO",IF(K3486&lt;0,"ATENÇÃO",IF(K3486&lt;=5,"OPORTUNO","MUITO BOM")))</f>
        <v/>
      </c>
      <c r="N3486" t="n">
        <v>99.14</v>
      </c>
      <c r="O3486" t="n">
        <v>27.2289156626506</v>
      </c>
    </row>
    <row r="3487" hidden="1">
      <c r="A3487" s="11" t="n">
        <v>46111</v>
      </c>
      <c r="B3487" t="inlineStr">
        <is>
          <t>Lorena Dias de Araujo</t>
        </is>
      </c>
      <c r="C3487" t="inlineStr">
        <is>
          <t>Técnico II</t>
        </is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s="3" t="n">
        <v>0</v>
      </c>
      <c r="J3487" s="3" t="n">
        <v>0</v>
      </c>
      <c r="K3487" s="3" t="n">
        <v>0</v>
      </c>
      <c r="L3487" s="3">
        <f>IF(K3487&lt;-5,"CRÍTICO",IF(K3487&lt;0,"ATENÇÃO",IF(K3487&lt;=5,"OPORTUNO","MUITO BOM")))</f>
        <v/>
      </c>
      <c r="N3487" t="n">
        <v>97.52</v>
      </c>
      <c r="O3487" t="n">
        <v>28.2051282051282</v>
      </c>
    </row>
    <row r="3488" hidden="1">
      <c r="A3488" s="11" t="n">
        <v>46111</v>
      </c>
      <c r="B3488" t="inlineStr">
        <is>
          <t>Lucas Luiz Romero</t>
        </is>
      </c>
      <c r="C3488" t="inlineStr">
        <is>
          <t>Técnico III</t>
        </is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s="3" t="n">
        <v>0</v>
      </c>
      <c r="J3488" s="3" t="n">
        <v>0</v>
      </c>
      <c r="K3488" s="3" t="n">
        <v>0</v>
      </c>
      <c r="L3488" s="3">
        <f>IF(K3488&lt;-5,"CRÍTICO",IF(K3488&lt;0,"ATENÇÃO",IF(K3488&lt;=5,"OPORTUNO","MUITO BOM")))</f>
        <v/>
      </c>
      <c r="N3488" t="n">
        <v>90</v>
      </c>
      <c r="O3488" t="n">
        <v>24.18604651162791</v>
      </c>
    </row>
    <row r="3489" hidden="1">
      <c r="A3489" s="11" t="n">
        <v>46111</v>
      </c>
      <c r="B3489" t="inlineStr">
        <is>
          <t>Luiz Fernando de Carvalho Junior</t>
        </is>
      </c>
      <c r="C3489" t="inlineStr">
        <is>
          <t>Técnico I</t>
        </is>
      </c>
      <c r="D3489" t="n">
        <v>28</v>
      </c>
      <c r="E3489" t="n">
        <v>27</v>
      </c>
      <c r="F3489" t="n">
        <v>20.05</v>
      </c>
      <c r="G3489" t="n">
        <v>0</v>
      </c>
      <c r="H3489" t="n">
        <v>0</v>
      </c>
      <c r="I3489" s="3">
        <f>E3489+G3489+H3489</f>
        <v/>
      </c>
      <c r="J3489" s="3">
        <f>ROUND(MIN(IF(C3489="Técnico III",35,IF(C3489="Técnico II",28,IF(C3489="Técnico I",23,IF(C3489="JR",20,IF(C3489="Estágio",10,0))))),IF(C3489="Técnico III",SUMIFS($D:$D,$A:$A,$A3489,$B:$B,"&lt;&gt;Patrícia Karla de Sousa Araújo",$B:$B,"&lt;&gt;Lorena Dias de Araujo",$B:$B,"&lt;&gt;Lucas Luiz Romero")*(35/1083),IF(C3489="Técnico II",SUMIFS($D:$D,$A:$A,$A3489,$B:$B,"&lt;&gt;Patrícia Karla de Sousa Araújo",$B:$B,"&lt;&gt;Lorena Dias de Araujo",$B:$B,"&lt;&gt;Lucas Luiz Romero")*(28/1083),IF(C3489="Técnico I",SUMIFS($D:$D,$A:$A,$A3489,$B:$B,"&lt;&gt;Patrícia Karla de Sousa Araújo",$B:$B,"&lt;&gt;Lorena Dias de Araujo",$B:$B,"&lt;&gt;Lucas Luiz Romero")*(23/1083),IF(C3489="JR",SUMIFS($D:$D,$A:$A,$A3489,$B:$B,"&lt;&gt;Patrícia Karla de Sousa Araújo",$B:$B,"&lt;&gt;Lorena Dias de Araujo",$B:$B,"&lt;&gt;Lucas Luiz Romero")*(20/1083),IF(C3489="Estágio",SUMIFS($D:$D,$A:$A,$A3489,$B:$B,"&lt;&gt;Patrícia Karla de Sousa Araújo",$B:$B,"&lt;&gt;Lorena Dias de Araujo",$B:$B,"&lt;&gt;Lucas Luiz Romero")*(10/1083),0)))))),0)</f>
        <v/>
      </c>
      <c r="K3489" s="3">
        <f>I3489-J3489</f>
        <v/>
      </c>
      <c r="L3489" s="3">
        <f>IF(K3489&lt;-5,"CRÍTICO",IF(K3489&lt;0,"ATENÇÃO",IF(K3489&lt;=5,"OPORTUNO","MUITO BOM")))</f>
        <v/>
      </c>
      <c r="N3489" t="n">
        <v>98.90000000000001</v>
      </c>
      <c r="O3489" t="n">
        <v>26.7639902676399</v>
      </c>
    </row>
    <row r="3490" hidden="1">
      <c r="A3490" s="11" t="n">
        <v>46111</v>
      </c>
      <c r="B3490" t="inlineStr">
        <is>
          <t>Maria Eduarda Sousa Costa</t>
        </is>
      </c>
      <c r="C3490" t="inlineStr">
        <is>
          <t>Estágio</t>
        </is>
      </c>
      <c r="D3490" t="n">
        <v>10</v>
      </c>
      <c r="E3490" t="n">
        <v>10</v>
      </c>
      <c r="F3490" t="n">
        <v>33.49</v>
      </c>
      <c r="G3490" t="n">
        <v>0</v>
      </c>
      <c r="H3490" t="n">
        <v>0</v>
      </c>
      <c r="I3490" s="3">
        <f>E3490+G3490+H3490</f>
        <v/>
      </c>
      <c r="J3490" s="3">
        <f>ROUND(MIN(IF(C3490="Técnico III",35,IF(C3490="Técnico II",28,IF(C3490="Técnico I",23,IF(C3490="JR",20,IF(C3490="Estágio",10,0))))),IF(C3490="Técnico III",SUMIFS($D:$D,$A:$A,$A3490,$B:$B,"&lt;&gt;Patrícia Karla de Sousa Araújo",$B:$B,"&lt;&gt;Lorena Dias de Araujo",$B:$B,"&lt;&gt;Lucas Luiz Romero")*(35/1083),IF(C3490="Técnico II",SUMIFS($D:$D,$A:$A,$A3490,$B:$B,"&lt;&gt;Patrícia Karla de Sousa Araújo",$B:$B,"&lt;&gt;Lorena Dias de Araujo",$B:$B,"&lt;&gt;Lucas Luiz Romero")*(28/1083),IF(C3490="Técnico I",SUMIFS($D:$D,$A:$A,$A3490,$B:$B,"&lt;&gt;Patrícia Karla de Sousa Araújo",$B:$B,"&lt;&gt;Lorena Dias de Araujo",$B:$B,"&lt;&gt;Lucas Luiz Romero")*(23/1083),IF(C3490="JR",SUMIFS($D:$D,$A:$A,$A3490,$B:$B,"&lt;&gt;Patrícia Karla de Sousa Araújo",$B:$B,"&lt;&gt;Lorena Dias de Araujo",$B:$B,"&lt;&gt;Lucas Luiz Romero")*(20/1083),IF(C3490="Estágio",SUMIFS($D:$D,$A:$A,$A3490,$B:$B,"&lt;&gt;Patrícia Karla de Sousa Araújo",$B:$B,"&lt;&gt;Lorena Dias de Araujo",$B:$B,"&lt;&gt;Lucas Luiz Romero")*(10/1083),0)))))),0)</f>
        <v/>
      </c>
      <c r="K3490" s="3">
        <f>I3490-J3490</f>
        <v/>
      </c>
      <c r="L3490" s="3">
        <f>IF(K3490&lt;-5,"CRÍTICO",IF(K3490&lt;0,"ATENÇÃO",IF(K3490&lt;=5,"OPORTUNO","MUITO BOM")))</f>
        <v/>
      </c>
      <c r="N3490" t="n">
        <v>88.89</v>
      </c>
      <c r="O3490" t="n">
        <v>25.26315789473684</v>
      </c>
    </row>
    <row r="3491" hidden="1">
      <c r="A3491" s="11" t="n">
        <v>46111</v>
      </c>
      <c r="B3491" t="inlineStr">
        <is>
          <t>Matheus Farias De Souza</t>
        </is>
      </c>
      <c r="C3491" t="inlineStr">
        <is>
          <t>Técnico III</t>
        </is>
      </c>
      <c r="D3491" t="n">
        <v>35</v>
      </c>
      <c r="E3491" t="n">
        <v>31</v>
      </c>
      <c r="F3491" t="n">
        <v>15.5</v>
      </c>
      <c r="G3491" t="n">
        <v>0</v>
      </c>
      <c r="H3491" t="n">
        <v>0</v>
      </c>
      <c r="I3491" s="3">
        <f>E3491+G3491+H3491</f>
        <v/>
      </c>
      <c r="J3491" s="3">
        <f>ROUND(MIN(IF(C3491="Técnico III",35,IF(C3491="Técnico II",28,IF(C3491="Técnico I",23,IF(C3491="JR",20,IF(C3491="Estágio",10,0))))),IF(C3491="Técnico III",SUMIFS($D:$D,$A:$A,$A3491,$B:$B,"&lt;&gt;Patrícia Karla de Sousa Araújo",$B:$B,"&lt;&gt;Lorena Dias de Araujo",$B:$B,"&lt;&gt;Lucas Luiz Romero")*(35/1083),IF(C3491="Técnico II",SUMIFS($D:$D,$A:$A,$A3491,$B:$B,"&lt;&gt;Patrícia Karla de Sousa Araújo",$B:$B,"&lt;&gt;Lorena Dias de Araujo",$B:$B,"&lt;&gt;Lucas Luiz Romero")*(28/1083),IF(C3491="Técnico I",SUMIFS($D:$D,$A:$A,$A3491,$B:$B,"&lt;&gt;Patrícia Karla de Sousa Araújo",$B:$B,"&lt;&gt;Lorena Dias de Araujo",$B:$B,"&lt;&gt;Lucas Luiz Romero")*(23/1083),IF(C3491="JR",SUMIFS($D:$D,$A:$A,$A3491,$B:$B,"&lt;&gt;Patrícia Karla de Sousa Araújo",$B:$B,"&lt;&gt;Lorena Dias de Araujo",$B:$B,"&lt;&gt;Lucas Luiz Romero")*(20/1083),IF(C3491="Estágio",SUMIFS($D:$D,$A:$A,$A3491,$B:$B,"&lt;&gt;Patrícia Karla de Sousa Araújo",$B:$B,"&lt;&gt;Lorena Dias de Araujo",$B:$B,"&lt;&gt;Lucas Luiz Romero")*(10/1083),0)))))),0)</f>
        <v/>
      </c>
      <c r="K3491" s="3">
        <f>I3491-J3491</f>
        <v/>
      </c>
      <c r="L3491" s="3">
        <f>IF(K3491&lt;-5,"CRÍTICO",IF(K3491&lt;0,"ATENÇÃO",IF(K3491&lt;=5,"OPORTUNO","MUITO BOM")))</f>
        <v/>
      </c>
      <c r="N3491" t="n">
        <v>98.86</v>
      </c>
      <c r="O3491" t="n">
        <v>28.95927601809955</v>
      </c>
    </row>
    <row r="3492" hidden="1">
      <c r="A3492" s="11" t="n">
        <v>46111</v>
      </c>
      <c r="B3492" t="inlineStr">
        <is>
          <t>Maysa Victoria Dias Moura</t>
        </is>
      </c>
      <c r="C3492" t="inlineStr">
        <is>
          <t>Técnico III</t>
        </is>
      </c>
      <c r="D3492" t="n">
        <v>32</v>
      </c>
      <c r="E3492" t="n">
        <v>29</v>
      </c>
      <c r="F3492" t="n">
        <v>13.31</v>
      </c>
      <c r="G3492" t="n">
        <v>0</v>
      </c>
      <c r="H3492" t="n">
        <v>0</v>
      </c>
      <c r="I3492" s="3">
        <f>E3492+G3492+H3492</f>
        <v/>
      </c>
      <c r="J3492" s="3">
        <f>ROUND(MIN(IF(C3492="Técnico III",35,IF(C3492="Técnico II",28,IF(C3492="Técnico I",23,IF(C3492="JR",20,IF(C3492="Estágio",10,0))))),IF(C3492="Técnico III",SUMIFS($D:$D,$A:$A,$A3492,$B:$B,"&lt;&gt;Patrícia Karla de Sousa Araújo",$B:$B,"&lt;&gt;Lorena Dias de Araujo",$B:$B,"&lt;&gt;Lucas Luiz Romero")*(35/1083),IF(C3492="Técnico II",SUMIFS($D:$D,$A:$A,$A3492,$B:$B,"&lt;&gt;Patrícia Karla de Sousa Araújo",$B:$B,"&lt;&gt;Lorena Dias de Araujo",$B:$B,"&lt;&gt;Lucas Luiz Romero")*(28/1083),IF(C3492="Técnico I",SUMIFS($D:$D,$A:$A,$A3492,$B:$B,"&lt;&gt;Patrícia Karla de Sousa Araújo",$B:$B,"&lt;&gt;Lorena Dias de Araujo",$B:$B,"&lt;&gt;Lucas Luiz Romero")*(23/1083),IF(C3492="JR",SUMIFS($D:$D,$A:$A,$A3492,$B:$B,"&lt;&gt;Patrícia Karla de Sousa Araújo",$B:$B,"&lt;&gt;Lorena Dias de Araujo",$B:$B,"&lt;&gt;Lucas Luiz Romero")*(20/1083),IF(C3492="Estágio",SUMIFS($D:$D,$A:$A,$A3492,$B:$B,"&lt;&gt;Patrícia Karla de Sousa Araújo",$B:$B,"&lt;&gt;Lorena Dias de Araujo",$B:$B,"&lt;&gt;Lucas Luiz Romero")*(10/1083),0)))))),0)</f>
        <v/>
      </c>
      <c r="K3492" s="3">
        <f>I3492-J3492</f>
        <v/>
      </c>
      <c r="L3492" s="3">
        <f>IF(K3492&lt;-5,"CRÍTICO",IF(K3492&lt;0,"ATENÇÃO",IF(K3492&lt;=5,"OPORTUNO","MUITO BOM")))</f>
        <v/>
      </c>
      <c r="N3492" t="n">
        <v>98.06</v>
      </c>
      <c r="O3492" t="n">
        <v>22.40566037735849</v>
      </c>
    </row>
    <row r="3493" hidden="1">
      <c r="A3493" s="11" t="n">
        <v>46111</v>
      </c>
      <c r="B3493" t="inlineStr">
        <is>
          <t>Michelle G Santos</t>
        </is>
      </c>
      <c r="C3493" t="inlineStr">
        <is>
          <t>Estágio</t>
        </is>
      </c>
      <c r="D3493" t="n">
        <v>17</v>
      </c>
      <c r="E3493" t="n">
        <v>17</v>
      </c>
      <c r="F3493" t="n">
        <v>30.36</v>
      </c>
      <c r="G3493" t="n">
        <v>0</v>
      </c>
      <c r="H3493" t="n">
        <v>0</v>
      </c>
      <c r="I3493" s="3">
        <f>E3493+G3493+H3493</f>
        <v/>
      </c>
      <c r="J3493" s="3">
        <f>ROUND(MIN(IF(C3493="Técnico III",35,IF(C3493="Técnico II",28,IF(C3493="Técnico I",23,IF(C3493="JR",20,IF(C3493="Estágio",10,0))))),IF(C3493="Técnico III",SUMIFS($D:$D,$A:$A,$A3493,$B:$B,"&lt;&gt;Patrícia Karla de Sousa Araújo",$B:$B,"&lt;&gt;Lorena Dias de Araujo",$B:$B,"&lt;&gt;Lucas Luiz Romero")*(35/1083),IF(C3493="Técnico II",SUMIFS($D:$D,$A:$A,$A3493,$B:$B,"&lt;&gt;Patrícia Karla de Sousa Araújo",$B:$B,"&lt;&gt;Lorena Dias de Araujo",$B:$B,"&lt;&gt;Lucas Luiz Romero")*(28/1083),IF(C3493="Técnico I",SUMIFS($D:$D,$A:$A,$A3493,$B:$B,"&lt;&gt;Patrícia Karla de Sousa Araújo",$B:$B,"&lt;&gt;Lorena Dias de Araujo",$B:$B,"&lt;&gt;Lucas Luiz Romero")*(23/1083),IF(C3493="JR",SUMIFS($D:$D,$A:$A,$A3493,$B:$B,"&lt;&gt;Patrícia Karla de Sousa Araújo",$B:$B,"&lt;&gt;Lorena Dias de Araujo",$B:$B,"&lt;&gt;Lucas Luiz Romero")*(20/1083),IF(C3493="Estágio",SUMIFS($D:$D,$A:$A,$A3493,$B:$B,"&lt;&gt;Patrícia Karla de Sousa Araújo",$B:$B,"&lt;&gt;Lorena Dias de Araujo",$B:$B,"&lt;&gt;Lucas Luiz Romero")*(10/1083),0)))))),0)</f>
        <v/>
      </c>
      <c r="K3493" s="3">
        <f>I3493-J3493</f>
        <v/>
      </c>
      <c r="L3493" s="3">
        <f>IF(K3493&lt;-5,"CRÍTICO",IF(K3493&lt;0,"ATENÇÃO",IF(K3493&lt;=5,"OPORTUNO","MUITO BOM")))</f>
        <v/>
      </c>
      <c r="N3493" t="n">
        <v>95.83</v>
      </c>
      <c r="O3493" t="n">
        <v>25.77319587628866</v>
      </c>
    </row>
    <row r="3494" hidden="1">
      <c r="A3494" s="11" t="n">
        <v>46111</v>
      </c>
      <c r="B3494" t="inlineStr">
        <is>
          <t>Milena Sales</t>
        </is>
      </c>
      <c r="C3494" t="inlineStr">
        <is>
          <t>JR</t>
        </is>
      </c>
      <c r="D3494" t="n">
        <v>24</v>
      </c>
      <c r="E3494" t="n">
        <v>23</v>
      </c>
      <c r="F3494" t="n">
        <v>27.17</v>
      </c>
      <c r="G3494" t="n">
        <v>0</v>
      </c>
      <c r="H3494" t="n">
        <v>0</v>
      </c>
      <c r="I3494" s="3">
        <f>E3494+G3494+H3494</f>
        <v/>
      </c>
      <c r="J3494" s="3">
        <f>ROUND(MIN(IF(C3494="Técnico III",35,IF(C3494="Técnico II",28,IF(C3494="Técnico I",23,IF(C3494="JR",20,IF(C3494="Estágio",10,0))))),IF(C3494="Técnico III",SUMIFS($D:$D,$A:$A,$A3494,$B:$B,"&lt;&gt;Patrícia Karla de Sousa Araújo",$B:$B,"&lt;&gt;Lorena Dias de Araujo",$B:$B,"&lt;&gt;Lucas Luiz Romero")*(35/1083),IF(C3494="Técnico II",SUMIFS($D:$D,$A:$A,$A3494,$B:$B,"&lt;&gt;Patrícia Karla de Sousa Araújo",$B:$B,"&lt;&gt;Lorena Dias de Araujo",$B:$B,"&lt;&gt;Lucas Luiz Romero")*(28/1083),IF(C3494="Técnico I",SUMIFS($D:$D,$A:$A,$A3494,$B:$B,"&lt;&gt;Patrícia Karla de Sousa Araújo",$B:$B,"&lt;&gt;Lorena Dias de Araujo",$B:$B,"&lt;&gt;Lucas Luiz Romero")*(23/1083),IF(C3494="JR",SUMIFS($D:$D,$A:$A,$A3494,$B:$B,"&lt;&gt;Patrícia Karla de Sousa Araújo",$B:$B,"&lt;&gt;Lorena Dias de Araujo",$B:$B,"&lt;&gt;Lucas Luiz Romero")*(20/1083),IF(C3494="Estágio",SUMIFS($D:$D,$A:$A,$A3494,$B:$B,"&lt;&gt;Patrícia Karla de Sousa Araújo",$B:$B,"&lt;&gt;Lorena Dias de Araujo",$B:$B,"&lt;&gt;Lucas Luiz Romero")*(10/1083),0)))))),0)</f>
        <v/>
      </c>
      <c r="K3494" s="3">
        <f>I3494-J3494</f>
        <v/>
      </c>
      <c r="L3494" s="3">
        <f>IF(K3494&lt;-5,"CRÍTICO",IF(K3494&lt;0,"ATENÇÃO",IF(K3494&lt;=5,"OPORTUNO","MUITO BOM")))</f>
        <v/>
      </c>
      <c r="N3494" t="n">
        <v>100</v>
      </c>
      <c r="O3494" t="n">
        <v>15.38461538461539</v>
      </c>
    </row>
    <row r="3495" hidden="1">
      <c r="A3495" s="11" t="n">
        <v>46111</v>
      </c>
      <c r="B3495" t="inlineStr">
        <is>
          <t>Patrícia Karla de Sousa Araújo</t>
        </is>
      </c>
      <c r="C3495" t="inlineStr">
        <is>
          <t>Técnico II</t>
        </is>
      </c>
      <c r="D3495" t="n">
        <v>38</v>
      </c>
      <c r="E3495" t="n">
        <v>33</v>
      </c>
      <c r="F3495" t="n">
        <v>12.27</v>
      </c>
      <c r="G3495" t="n">
        <v>0</v>
      </c>
      <c r="H3495" t="n">
        <v>0</v>
      </c>
      <c r="I3495" s="3">
        <f>E3495+G3495+H3495</f>
        <v/>
      </c>
      <c r="J3495" s="3">
        <f>ROUND(MIN(IF(C3495="Técnico III",35,IF(C3495="Técnico II",28,IF(C3495="Técnico I",23,IF(C3495="JR",20,IF(C3495="Estágio",10,0))))),IF(C3495="Técnico III",SUMIFS($D:$D,$A:$A,$A3495,$B:$B,"&lt;&gt;Patrícia Karla de Sousa Araújo",$B:$B,"&lt;&gt;Lorena Dias de Araujo",$B:$B,"&lt;&gt;Lucas Luiz Romero")*(35/1083),IF(C3495="Técnico II",SUMIFS($D:$D,$A:$A,$A3495,$B:$B,"&lt;&gt;Patrícia Karla de Sousa Araújo",$B:$B,"&lt;&gt;Lorena Dias de Araujo",$B:$B,"&lt;&gt;Lucas Luiz Romero")*(28/1083),IF(C3495="Técnico I",SUMIFS($D:$D,$A:$A,$A3495,$B:$B,"&lt;&gt;Patrícia Karla de Sousa Araújo",$B:$B,"&lt;&gt;Lorena Dias de Araujo",$B:$B,"&lt;&gt;Lucas Luiz Romero")*(23/1083),IF(C3495="JR",SUMIFS($D:$D,$A:$A,$A3495,$B:$B,"&lt;&gt;Patrícia Karla de Sousa Araújo",$B:$B,"&lt;&gt;Lorena Dias de Araujo",$B:$B,"&lt;&gt;Lucas Luiz Romero")*(20/1083),IF(C3495="Estágio",SUMIFS($D:$D,$A:$A,$A3495,$B:$B,"&lt;&gt;Patrícia Karla de Sousa Araújo",$B:$B,"&lt;&gt;Lorena Dias de Araujo",$B:$B,"&lt;&gt;Lucas Luiz Romero")*(10/1083),0)))))),0)</f>
        <v/>
      </c>
      <c r="K3495" s="3">
        <f>I3495-J3495</f>
        <v/>
      </c>
      <c r="L3495" s="3">
        <f>IF(K3495&lt;-5,"CRÍTICO",IF(K3495&lt;0,"ATENÇÃO",IF(K3495&lt;=5,"OPORTUNO","MUITO BOM")))</f>
        <v/>
      </c>
      <c r="N3495" t="n">
        <v>100</v>
      </c>
      <c r="O3495" t="n">
        <v>27.51479289940828</v>
      </c>
    </row>
    <row r="3496" hidden="1">
      <c r="A3496" s="11" t="n">
        <v>46111</v>
      </c>
      <c r="B3496" t="inlineStr">
        <is>
          <t>Paulo Ricardo Santos</t>
        </is>
      </c>
      <c r="C3496" t="inlineStr">
        <is>
          <t>JR</t>
        </is>
      </c>
      <c r="D3496" t="n">
        <v>14</v>
      </c>
      <c r="E3496" t="n">
        <v>14</v>
      </c>
      <c r="F3496" t="n">
        <v>30.56</v>
      </c>
      <c r="G3496" t="n">
        <v>0</v>
      </c>
      <c r="H3496" t="n">
        <v>0</v>
      </c>
      <c r="I3496" s="3">
        <f>E3496+G3496+H3496</f>
        <v/>
      </c>
      <c r="J3496" s="3">
        <f>ROUND(MIN(IF(C3496="Técnico III",35,IF(C3496="Técnico II",28,IF(C3496="Técnico I",23,IF(C3496="JR",20,IF(C3496="Estágio",10,0))))),IF(C3496="Técnico III",SUMIFS($D:$D,$A:$A,$A3496,$B:$B,"&lt;&gt;Patrícia Karla de Sousa Araújo",$B:$B,"&lt;&gt;Lorena Dias de Araujo",$B:$B,"&lt;&gt;Lucas Luiz Romero")*(35/1083),IF(C3496="Técnico II",SUMIFS($D:$D,$A:$A,$A3496,$B:$B,"&lt;&gt;Patrícia Karla de Sousa Araújo",$B:$B,"&lt;&gt;Lorena Dias de Araujo",$B:$B,"&lt;&gt;Lucas Luiz Romero")*(28/1083),IF(C3496="Técnico I",SUMIFS($D:$D,$A:$A,$A3496,$B:$B,"&lt;&gt;Patrícia Karla de Sousa Araújo",$B:$B,"&lt;&gt;Lorena Dias de Araujo",$B:$B,"&lt;&gt;Lucas Luiz Romero")*(23/1083),IF(C3496="JR",SUMIFS($D:$D,$A:$A,$A3496,$B:$B,"&lt;&gt;Patrícia Karla de Sousa Araújo",$B:$B,"&lt;&gt;Lorena Dias de Araujo",$B:$B,"&lt;&gt;Lucas Luiz Romero")*(20/1083),IF(C3496="Estágio",SUMIFS($D:$D,$A:$A,$A3496,$B:$B,"&lt;&gt;Patrícia Karla de Sousa Araújo",$B:$B,"&lt;&gt;Lorena Dias de Araujo",$B:$B,"&lt;&gt;Lucas Luiz Romero")*(10/1083),0)))))),0)</f>
        <v/>
      </c>
      <c r="K3496" s="3">
        <f>I3496-J3496</f>
        <v/>
      </c>
      <c r="L3496" s="3">
        <f>IF(K3496&lt;-5,"CRÍTICO",IF(K3496&lt;0,"ATENÇÃO",IF(K3496&lt;=5,"OPORTUNO","MUITO BOM")))</f>
        <v/>
      </c>
      <c r="N3496" t="n">
        <v>100</v>
      </c>
      <c r="O3496" t="n">
        <v>24.87562189054727</v>
      </c>
    </row>
    <row r="3497" hidden="1">
      <c r="A3497" s="11" t="n">
        <v>46111</v>
      </c>
      <c r="B3497" t="inlineStr">
        <is>
          <t>Pedro Luiz Mota Sousa</t>
        </is>
      </c>
      <c r="C3497" t="inlineStr">
        <is>
          <t>JR</t>
        </is>
      </c>
      <c r="D3497" t="n">
        <v>25</v>
      </c>
      <c r="E3497" t="n">
        <v>22</v>
      </c>
      <c r="F3497" t="n">
        <v>23.45</v>
      </c>
      <c r="G3497" t="n">
        <v>0</v>
      </c>
      <c r="H3497" t="n">
        <v>0</v>
      </c>
      <c r="I3497" s="3">
        <f>E3497+G3497+H3497</f>
        <v/>
      </c>
      <c r="J3497" s="3">
        <f>ROUND(MIN(IF(C3497="Técnico III",35,IF(C3497="Técnico II",28,IF(C3497="Técnico I",23,IF(C3497="JR",20,IF(C3497="Estágio",10,0))))),IF(C3497="Técnico III",SUMIFS($D:$D,$A:$A,$A3497,$B:$B,"&lt;&gt;Patrícia Karla de Sousa Araújo",$B:$B,"&lt;&gt;Lorena Dias de Araujo",$B:$B,"&lt;&gt;Lucas Luiz Romero")*(35/1083),IF(C3497="Técnico II",SUMIFS($D:$D,$A:$A,$A3497,$B:$B,"&lt;&gt;Patrícia Karla de Sousa Araújo",$B:$B,"&lt;&gt;Lorena Dias de Araujo",$B:$B,"&lt;&gt;Lucas Luiz Romero")*(28/1083),IF(C3497="Técnico I",SUMIFS($D:$D,$A:$A,$A3497,$B:$B,"&lt;&gt;Patrícia Karla de Sousa Araújo",$B:$B,"&lt;&gt;Lorena Dias de Araujo",$B:$B,"&lt;&gt;Lucas Luiz Romero")*(23/1083),IF(C3497="JR",SUMIFS($D:$D,$A:$A,$A3497,$B:$B,"&lt;&gt;Patrícia Karla de Sousa Araújo",$B:$B,"&lt;&gt;Lorena Dias de Araujo",$B:$B,"&lt;&gt;Lucas Luiz Romero")*(20/1083),IF(C3497="Estágio",SUMIFS($D:$D,$A:$A,$A3497,$B:$B,"&lt;&gt;Patrícia Karla de Sousa Araújo",$B:$B,"&lt;&gt;Lorena Dias de Araujo",$B:$B,"&lt;&gt;Lucas Luiz Romero")*(10/1083),0)))))),0)</f>
        <v/>
      </c>
      <c r="K3497" s="3">
        <f>I3497-J3497</f>
        <v/>
      </c>
      <c r="L3497" s="3">
        <f>IF(K3497&lt;-5,"CRÍTICO",IF(K3497&lt;0,"ATENÇÃO",IF(K3497&lt;=5,"OPORTUNO","MUITO BOM")))</f>
        <v/>
      </c>
      <c r="N3497" t="n">
        <v>100</v>
      </c>
      <c r="O3497" t="n">
        <v>28.10810810810811</v>
      </c>
    </row>
    <row r="3498" hidden="1">
      <c r="A3498" s="11" t="n">
        <v>46111</v>
      </c>
      <c r="B3498" t="inlineStr">
        <is>
          <t>Quirino Diogo Leite Torres</t>
        </is>
      </c>
      <c r="C3498" t="inlineStr">
        <is>
          <t>Estágio</t>
        </is>
      </c>
      <c r="D3498" t="n">
        <v>4</v>
      </c>
      <c r="E3498" t="n">
        <v>4</v>
      </c>
      <c r="F3498" t="n">
        <v>24.03</v>
      </c>
      <c r="G3498" t="n">
        <v>0</v>
      </c>
      <c r="H3498" t="n">
        <v>0</v>
      </c>
      <c r="I3498" s="3">
        <f>E3498+G3498+H3498</f>
        <v/>
      </c>
      <c r="J3498" s="3">
        <f>ROUND(MIN(IF(C3498="Técnico III",35,IF(C3498="Técnico II",28,IF(C3498="Técnico I",23,IF(C3498="JR",20,IF(C3498="Estágio",10,0))))),IF(C3498="Técnico III",SUMIFS($D:$D,$A:$A,$A3498,$B:$B,"&lt;&gt;Patrícia Karla de Sousa Araújo",$B:$B,"&lt;&gt;Lorena Dias de Araujo",$B:$B,"&lt;&gt;Lucas Luiz Romero")*(35/1083),IF(C3498="Técnico II",SUMIFS($D:$D,$A:$A,$A3498,$B:$B,"&lt;&gt;Patrícia Karla de Sousa Araújo",$B:$B,"&lt;&gt;Lorena Dias de Araujo",$B:$B,"&lt;&gt;Lucas Luiz Romero")*(28/1083),IF(C3498="Técnico I",SUMIFS($D:$D,$A:$A,$A3498,$B:$B,"&lt;&gt;Patrícia Karla de Sousa Araújo",$B:$B,"&lt;&gt;Lorena Dias de Araujo",$B:$B,"&lt;&gt;Lucas Luiz Romero")*(23/1083),IF(C3498="JR",SUMIFS($D:$D,$A:$A,$A3498,$B:$B,"&lt;&gt;Patrícia Karla de Sousa Araújo",$B:$B,"&lt;&gt;Lorena Dias de Araujo",$B:$B,"&lt;&gt;Lucas Luiz Romero")*(20/1083),IF(C3498="Estágio",SUMIFS($D:$D,$A:$A,$A3498,$B:$B,"&lt;&gt;Patrícia Karla de Sousa Araújo",$B:$B,"&lt;&gt;Lorena Dias de Araujo",$B:$B,"&lt;&gt;Lucas Luiz Romero")*(10/1083),0)))))),0)</f>
        <v/>
      </c>
      <c r="K3498" s="3">
        <f>I3498-J3498</f>
        <v/>
      </c>
      <c r="L3498" s="3">
        <f>IF(K3498&lt;-5,"CRÍTICO",IF(K3498&lt;0,"ATENÇÃO",IF(K3498&lt;=5,"OPORTUNO","MUITO BOM")))</f>
        <v/>
      </c>
      <c r="N3498" t="n">
        <v>100</v>
      </c>
      <c r="O3498" t="n">
        <v>35</v>
      </c>
    </row>
    <row r="3499" hidden="1">
      <c r="A3499" s="11" t="n">
        <v>46111</v>
      </c>
      <c r="B3499" t="inlineStr">
        <is>
          <t>Raane Batista Matos</t>
        </is>
      </c>
      <c r="C3499" t="inlineStr">
        <is>
          <t>Técnico I</t>
        </is>
      </c>
      <c r="D3499" t="n">
        <v>24</v>
      </c>
      <c r="E3499" t="n">
        <v>23</v>
      </c>
      <c r="F3499" t="n">
        <v>26.57</v>
      </c>
      <c r="G3499" t="n">
        <v>0</v>
      </c>
      <c r="H3499" t="n">
        <v>0</v>
      </c>
      <c r="I3499" s="3">
        <f>E3499+G3499+H3499</f>
        <v/>
      </c>
      <c r="J3499" s="3">
        <f>ROUND(MIN(IF(C3499="Técnico III",35,IF(C3499="Técnico II",28,IF(C3499="Técnico I",23,IF(C3499="JR",20,IF(C3499="Estágio",10,0))))),IF(C3499="Técnico III",SUMIFS($D:$D,$A:$A,$A3499,$B:$B,"&lt;&gt;Patrícia Karla de Sousa Araújo",$B:$B,"&lt;&gt;Lorena Dias de Araujo",$B:$B,"&lt;&gt;Lucas Luiz Romero")*(35/1083),IF(C3499="Técnico II",SUMIFS($D:$D,$A:$A,$A3499,$B:$B,"&lt;&gt;Patrícia Karla de Sousa Araújo",$B:$B,"&lt;&gt;Lorena Dias de Araujo",$B:$B,"&lt;&gt;Lucas Luiz Romero")*(28/1083),IF(C3499="Técnico I",SUMIFS($D:$D,$A:$A,$A3499,$B:$B,"&lt;&gt;Patrícia Karla de Sousa Araújo",$B:$B,"&lt;&gt;Lorena Dias de Araujo",$B:$B,"&lt;&gt;Lucas Luiz Romero")*(23/1083),IF(C3499="JR",SUMIFS($D:$D,$A:$A,$A3499,$B:$B,"&lt;&gt;Patrícia Karla de Sousa Araújo",$B:$B,"&lt;&gt;Lorena Dias de Araujo",$B:$B,"&lt;&gt;Lucas Luiz Romero")*(20/1083),IF(C3499="Estágio",SUMIFS($D:$D,$A:$A,$A3499,$B:$B,"&lt;&gt;Patrícia Karla de Sousa Araújo",$B:$B,"&lt;&gt;Lorena Dias de Araujo",$B:$B,"&lt;&gt;Lucas Luiz Romero")*(10/1083),0)))))),0)</f>
        <v/>
      </c>
      <c r="K3499" s="3">
        <f>I3499-J3499</f>
        <v/>
      </c>
      <c r="L3499" s="3">
        <f>IF(K3499&lt;-5,"CRÍTICO",IF(K3499&lt;0,"ATENÇÃO",IF(K3499&lt;=5,"OPORTUNO","MUITO BOM")))</f>
        <v/>
      </c>
      <c r="N3499" t="n">
        <v>95.34999999999999</v>
      </c>
      <c r="O3499" t="n">
        <v>28.61538461538461</v>
      </c>
    </row>
    <row r="3500" hidden="1">
      <c r="A3500" s="11" t="n">
        <v>46111</v>
      </c>
      <c r="B3500" t="inlineStr">
        <is>
          <t>Rafael Gomes de Morais</t>
        </is>
      </c>
      <c r="C3500" t="inlineStr">
        <is>
          <t>Técnico III</t>
        </is>
      </c>
      <c r="D3500" t="n">
        <v>41</v>
      </c>
      <c r="E3500" t="n">
        <v>38</v>
      </c>
      <c r="F3500" t="n">
        <v>12.28</v>
      </c>
      <c r="G3500" t="n">
        <v>0</v>
      </c>
      <c r="H3500" t="n">
        <v>0</v>
      </c>
      <c r="I3500" s="3">
        <f>E3500+G3500+H3500</f>
        <v/>
      </c>
      <c r="J3500" s="3">
        <f>ROUND(MIN(IF(C3500="Técnico III",35,IF(C3500="Técnico II",28,IF(C3500="Técnico I",23,IF(C3500="JR",20,IF(C3500="Estágio",10,0))))),IF(C3500="Técnico III",SUMIFS($D:$D,$A:$A,$A3500,$B:$B,"&lt;&gt;Patrícia Karla de Sousa Araújo",$B:$B,"&lt;&gt;Lorena Dias de Araujo",$B:$B,"&lt;&gt;Lucas Luiz Romero")*(35/1083),IF(C3500="Técnico II",SUMIFS($D:$D,$A:$A,$A3500,$B:$B,"&lt;&gt;Patrícia Karla de Sousa Araújo",$B:$B,"&lt;&gt;Lorena Dias de Araujo",$B:$B,"&lt;&gt;Lucas Luiz Romero")*(28/1083),IF(C3500="Técnico I",SUMIFS($D:$D,$A:$A,$A3500,$B:$B,"&lt;&gt;Patrícia Karla de Sousa Araújo",$B:$B,"&lt;&gt;Lorena Dias de Araujo",$B:$B,"&lt;&gt;Lucas Luiz Romero")*(23/1083),IF(C3500="JR",SUMIFS($D:$D,$A:$A,$A3500,$B:$B,"&lt;&gt;Patrícia Karla de Sousa Araújo",$B:$B,"&lt;&gt;Lorena Dias de Araujo",$B:$B,"&lt;&gt;Lucas Luiz Romero")*(20/1083),IF(C3500="Estágio",SUMIFS($D:$D,$A:$A,$A3500,$B:$B,"&lt;&gt;Patrícia Karla de Sousa Araújo",$B:$B,"&lt;&gt;Lorena Dias de Araujo",$B:$B,"&lt;&gt;Lucas Luiz Romero")*(10/1083),0)))))),0)</f>
        <v/>
      </c>
      <c r="K3500" s="3">
        <f>I3500-J3500</f>
        <v/>
      </c>
      <c r="L3500" s="3">
        <f>IF(K3500&lt;-5,"CRÍTICO",IF(K3500&lt;0,"ATENÇÃO",IF(K3500&lt;=5,"OPORTUNO","MUITO BOM")))</f>
        <v/>
      </c>
      <c r="N3500" t="n">
        <v>98.26000000000001</v>
      </c>
      <c r="O3500" t="n">
        <v>27.54491017964072</v>
      </c>
    </row>
    <row r="3501" hidden="1">
      <c r="A3501" s="11" t="n">
        <v>46111</v>
      </c>
      <c r="B3501" t="inlineStr">
        <is>
          <t>Sara Maria Monteiro Lopes</t>
        </is>
      </c>
      <c r="C3501" t="inlineStr">
        <is>
          <t>Técnico I</t>
        </is>
      </c>
      <c r="D3501" t="n">
        <v>23</v>
      </c>
      <c r="E3501" t="n">
        <v>21</v>
      </c>
      <c r="F3501" t="n">
        <v>22.23</v>
      </c>
      <c r="G3501" t="n">
        <v>0</v>
      </c>
      <c r="H3501" t="n">
        <v>0</v>
      </c>
      <c r="I3501" s="3">
        <f>E3501+G3501+H3501</f>
        <v/>
      </c>
      <c r="J3501" s="3">
        <f>ROUND(MIN(IF(C3501="Técnico III",35,IF(C3501="Técnico II",28,IF(C3501="Técnico I",23,IF(C3501="JR",20,IF(C3501="Estágio",10,0))))),IF(C3501="Técnico III",SUMIFS($D:$D,$A:$A,$A3501,$B:$B,"&lt;&gt;Patrícia Karla de Sousa Araújo",$B:$B,"&lt;&gt;Lorena Dias de Araujo",$B:$B,"&lt;&gt;Lucas Luiz Romero")*(35/1083),IF(C3501="Técnico II",SUMIFS($D:$D,$A:$A,$A3501,$B:$B,"&lt;&gt;Patrícia Karla de Sousa Araújo",$B:$B,"&lt;&gt;Lorena Dias de Araujo",$B:$B,"&lt;&gt;Lucas Luiz Romero")*(28/1083),IF(C3501="Técnico I",SUMIFS($D:$D,$A:$A,$A3501,$B:$B,"&lt;&gt;Patrícia Karla de Sousa Araújo",$B:$B,"&lt;&gt;Lorena Dias de Araujo",$B:$B,"&lt;&gt;Lucas Luiz Romero")*(23/1083),IF(C3501="JR",SUMIFS($D:$D,$A:$A,$A3501,$B:$B,"&lt;&gt;Patrícia Karla de Sousa Araújo",$B:$B,"&lt;&gt;Lorena Dias de Araujo",$B:$B,"&lt;&gt;Lucas Luiz Romero")*(20/1083),IF(C3501="Estágio",SUMIFS($D:$D,$A:$A,$A3501,$B:$B,"&lt;&gt;Patrícia Karla de Sousa Araújo",$B:$B,"&lt;&gt;Lorena Dias de Araujo",$B:$B,"&lt;&gt;Lucas Luiz Romero")*(10/1083),0)))))),0)</f>
        <v/>
      </c>
      <c r="K3501" s="3">
        <f>I3501-J3501</f>
        <v/>
      </c>
      <c r="L3501" s="3">
        <f>IF(K3501&lt;-5,"CRÍTICO",IF(K3501&lt;0,"ATENÇÃO",IF(K3501&lt;=5,"OPORTUNO","MUITO BOM")))</f>
        <v/>
      </c>
      <c r="N3501" t="n">
        <v>98.55</v>
      </c>
      <c r="O3501" t="n">
        <v>25.33783783783784</v>
      </c>
    </row>
    <row r="3502" hidden="1">
      <c r="A3502" s="11" t="n">
        <v>46111</v>
      </c>
      <c r="B3502" t="inlineStr">
        <is>
          <t>Sarah Steffanie de Lima Borges</t>
        </is>
      </c>
      <c r="C3502" t="inlineStr">
        <is>
          <t>Técnico III</t>
        </is>
      </c>
      <c r="D3502" t="n">
        <v>36</v>
      </c>
      <c r="E3502" t="n">
        <v>36</v>
      </c>
      <c r="F3502" t="n">
        <v>13.37</v>
      </c>
      <c r="G3502" t="n">
        <v>0</v>
      </c>
      <c r="H3502" t="n">
        <v>0</v>
      </c>
      <c r="I3502" s="3">
        <f>E3502+G3502+H3502</f>
        <v/>
      </c>
      <c r="J3502" s="3">
        <f>ROUND(MIN(IF(C3502="Técnico III",35,IF(C3502="Técnico II",28,IF(C3502="Técnico I",23,IF(C3502="JR",20,IF(C3502="Estágio",10,0))))),IF(C3502="Técnico III",SUMIFS($D:$D,$A:$A,$A3502,$B:$B,"&lt;&gt;Patrícia Karla de Sousa Araújo",$B:$B,"&lt;&gt;Lorena Dias de Araujo",$B:$B,"&lt;&gt;Lucas Luiz Romero")*(35/1083),IF(C3502="Técnico II",SUMIFS($D:$D,$A:$A,$A3502,$B:$B,"&lt;&gt;Patrícia Karla de Sousa Araújo",$B:$B,"&lt;&gt;Lorena Dias de Araujo",$B:$B,"&lt;&gt;Lucas Luiz Romero")*(28/1083),IF(C3502="Técnico I",SUMIFS($D:$D,$A:$A,$A3502,$B:$B,"&lt;&gt;Patrícia Karla de Sousa Araújo",$B:$B,"&lt;&gt;Lorena Dias de Araujo",$B:$B,"&lt;&gt;Lucas Luiz Romero")*(23/1083),IF(C3502="JR",SUMIFS($D:$D,$A:$A,$A3502,$B:$B,"&lt;&gt;Patrícia Karla de Sousa Araújo",$B:$B,"&lt;&gt;Lorena Dias de Araujo",$B:$B,"&lt;&gt;Lucas Luiz Romero")*(20/1083),IF(C3502="Estágio",SUMIFS($D:$D,$A:$A,$A3502,$B:$B,"&lt;&gt;Patrícia Karla de Sousa Araújo",$B:$B,"&lt;&gt;Lorena Dias de Araujo",$B:$B,"&lt;&gt;Lucas Luiz Romero")*(10/1083),0)))))),0)</f>
        <v/>
      </c>
      <c r="K3502" s="3">
        <f>I3502-J3502</f>
        <v/>
      </c>
      <c r="L3502" s="3">
        <f>IF(K3502&lt;-5,"CRÍTICO",IF(K3502&lt;0,"ATENÇÃO",IF(K3502&lt;=5,"OPORTUNO","MUITO BOM")))</f>
        <v/>
      </c>
      <c r="N3502" t="n">
        <v>98.39</v>
      </c>
      <c r="O3502" t="n">
        <v>25.56390977443609</v>
      </c>
    </row>
    <row r="3503" hidden="1">
      <c r="A3503" s="11" t="n">
        <v>46112</v>
      </c>
      <c r="B3503" t="inlineStr">
        <is>
          <t>Alisson de Freitas Silva</t>
        </is>
      </c>
      <c r="C3503" t="inlineStr">
        <is>
          <t>Técnico II</t>
        </is>
      </c>
      <c r="D3503" t="n">
        <v>28</v>
      </c>
      <c r="E3503" t="n">
        <v>20</v>
      </c>
      <c r="F3503" t="n">
        <v>13.26</v>
      </c>
      <c r="G3503" t="n">
        <v>0</v>
      </c>
      <c r="H3503" t="n">
        <v>0</v>
      </c>
      <c r="I3503" s="3">
        <f>E3503+G3503+H3503</f>
        <v/>
      </c>
      <c r="J3503" s="3">
        <f>ROUND(MIN(IF(C3503="Técnico III",35,IF(C3503="Técnico II",28,IF(C3503="Técnico I",23,IF(C3503="JR",20,IF(C3503="Estágio",10,0))))),IF(C3503="Técnico III",SUMIFS($D:$D,$A:$A,$A3503,$B:$B,"&lt;&gt;Patrícia Karla de Sousa Araújo",$B:$B,"&lt;&gt;Lorena Dias de Araujo",$B:$B,"&lt;&gt;Lucas Luiz Romero")*(35/1083),IF(C3503="Técnico II",SUMIFS($D:$D,$A:$A,$A3503,$B:$B,"&lt;&gt;Patrícia Karla de Sousa Araújo",$B:$B,"&lt;&gt;Lorena Dias de Araujo",$B:$B,"&lt;&gt;Lucas Luiz Romero")*(28/1083),IF(C3503="Técnico I",SUMIFS($D:$D,$A:$A,$A3503,$B:$B,"&lt;&gt;Patrícia Karla de Sousa Araújo",$B:$B,"&lt;&gt;Lorena Dias de Araujo",$B:$B,"&lt;&gt;Lucas Luiz Romero")*(23/1083),IF(C3503="JR",SUMIFS($D:$D,$A:$A,$A3503,$B:$B,"&lt;&gt;Patrícia Karla de Sousa Araújo",$B:$B,"&lt;&gt;Lorena Dias de Araujo",$B:$B,"&lt;&gt;Lucas Luiz Romero")*(20/1083),IF(C3503="Estágio",SUMIFS($D:$D,$A:$A,$A3503,$B:$B,"&lt;&gt;Patrícia Karla de Sousa Araújo",$B:$B,"&lt;&gt;Lorena Dias de Araujo",$B:$B,"&lt;&gt;Lucas Luiz Romero")*(10/1083),0)))))),0)</f>
        <v/>
      </c>
      <c r="K3503" s="3">
        <f>I3503-J3503</f>
        <v/>
      </c>
      <c r="L3503" s="3">
        <f>IF(K3503&lt;-5,"CRÍTICO",IF(K3503&lt;0,"ATENÇÃO",IF(K3503&lt;=5,"OPORTUNO","MUITO BOM")))</f>
        <v/>
      </c>
      <c r="N3503" t="n">
        <v>94.29000000000001</v>
      </c>
      <c r="O3503" t="n">
        <v>25.64766839378239</v>
      </c>
    </row>
    <row r="3504" hidden="1">
      <c r="A3504" s="11" t="n">
        <v>46112</v>
      </c>
      <c r="B3504" t="inlineStr">
        <is>
          <t>Amanda Moura Ferreira</t>
        </is>
      </c>
      <c r="C3504" t="inlineStr">
        <is>
          <t>Técnico III</t>
        </is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s="3" t="n">
        <v>0</v>
      </c>
      <c r="J3504" s="3" t="n">
        <v>0</v>
      </c>
      <c r="K3504" s="3" t="n">
        <v>0</v>
      </c>
      <c r="L3504" s="3">
        <f>IF(K3504&lt;-5,"CRÍTICO",IF(K3504&lt;0,"ATENÇÃO",IF(K3504&lt;=5,"OPORTUNO","MUITO BOM")))</f>
        <v/>
      </c>
      <c r="N3504" t="n">
        <v>98.26000000000001</v>
      </c>
      <c r="O3504" t="n">
        <v>26.66666666666667</v>
      </c>
    </row>
    <row r="3505" hidden="1">
      <c r="A3505" s="11" t="n">
        <v>46112</v>
      </c>
      <c r="B3505" t="inlineStr">
        <is>
          <t>Ana Karollyne Souza Faria</t>
        </is>
      </c>
      <c r="C3505" t="inlineStr">
        <is>
          <t>Técnico I</t>
        </is>
      </c>
      <c r="D3505" t="n">
        <v>26</v>
      </c>
      <c r="E3505" t="n">
        <v>22</v>
      </c>
      <c r="F3505" t="n">
        <v>15.31</v>
      </c>
      <c r="G3505" t="n">
        <v>0</v>
      </c>
      <c r="H3505" t="n">
        <v>0</v>
      </c>
      <c r="I3505" s="3">
        <f>E3505+G3505+H3505</f>
        <v/>
      </c>
      <c r="J3505" s="3">
        <f>ROUND(MIN(IF(C3505="Técnico III",35,IF(C3505="Técnico II",28,IF(C3505="Técnico I",23,IF(C3505="JR",20,IF(C3505="Estágio",10,0))))),IF(C3505="Técnico III",SUMIFS($D:$D,$A:$A,$A3505,$B:$B,"&lt;&gt;Patrícia Karla de Sousa Araújo",$B:$B,"&lt;&gt;Lorena Dias de Araujo",$B:$B,"&lt;&gt;Lucas Luiz Romero")*(35/1083),IF(C3505="Técnico II",SUMIFS($D:$D,$A:$A,$A3505,$B:$B,"&lt;&gt;Patrícia Karla de Sousa Araújo",$B:$B,"&lt;&gt;Lorena Dias de Araujo",$B:$B,"&lt;&gt;Lucas Luiz Romero")*(28/1083),IF(C3505="Técnico I",SUMIFS($D:$D,$A:$A,$A3505,$B:$B,"&lt;&gt;Patrícia Karla de Sousa Araújo",$B:$B,"&lt;&gt;Lorena Dias de Araujo",$B:$B,"&lt;&gt;Lucas Luiz Romero")*(23/1083),IF(C3505="JR",SUMIFS($D:$D,$A:$A,$A3505,$B:$B,"&lt;&gt;Patrícia Karla de Sousa Araújo",$B:$B,"&lt;&gt;Lorena Dias de Araujo",$B:$B,"&lt;&gt;Lucas Luiz Romero")*(20/1083),IF(C3505="Estágio",SUMIFS($D:$D,$A:$A,$A3505,$B:$B,"&lt;&gt;Patrícia Karla de Sousa Araújo",$B:$B,"&lt;&gt;Lorena Dias de Araujo",$B:$B,"&lt;&gt;Lucas Luiz Romero")*(10/1083),0)))))),0)</f>
        <v/>
      </c>
      <c r="K3505" s="3">
        <f>I3505-J3505</f>
        <v/>
      </c>
      <c r="L3505" s="3">
        <f>IF(K3505&lt;-5,"CRÍTICO",IF(K3505&lt;0,"ATENÇÃO",IF(K3505&lt;=5,"OPORTUNO","MUITO BOM")))</f>
        <v/>
      </c>
      <c r="N3505" t="n">
        <v>98.2</v>
      </c>
      <c r="O3505" t="n">
        <v>23.37962962962963</v>
      </c>
    </row>
    <row r="3506" hidden="1">
      <c r="A3506" s="11" t="n">
        <v>46112</v>
      </c>
      <c r="B3506" t="inlineStr">
        <is>
          <t>Ana Paula Da Luz Silva Aleixo</t>
        </is>
      </c>
      <c r="C3506" t="inlineStr">
        <is>
          <t>Técnico III</t>
        </is>
      </c>
      <c r="D3506" t="n">
        <v>30</v>
      </c>
      <c r="E3506" t="n">
        <v>27</v>
      </c>
      <c r="F3506" t="n">
        <v>15.15</v>
      </c>
      <c r="G3506" t="n">
        <v>0</v>
      </c>
      <c r="H3506" t="n">
        <v>0</v>
      </c>
      <c r="I3506" s="3">
        <f>E3506+G3506+H3506</f>
        <v/>
      </c>
      <c r="J3506" s="3">
        <f>ROUND(MIN(IF(C3506="Técnico III",35,IF(C3506="Técnico II",28,IF(C3506="Técnico I",23,IF(C3506="JR",20,IF(C3506="Estágio",10,0))))),IF(C3506="Técnico III",SUMIFS($D:$D,$A:$A,$A3506,$B:$B,"&lt;&gt;Patrícia Karla de Sousa Araújo",$B:$B,"&lt;&gt;Lorena Dias de Araujo",$B:$B,"&lt;&gt;Lucas Luiz Romero")*(35/1083),IF(C3506="Técnico II",SUMIFS($D:$D,$A:$A,$A3506,$B:$B,"&lt;&gt;Patrícia Karla de Sousa Araújo",$B:$B,"&lt;&gt;Lorena Dias de Araujo",$B:$B,"&lt;&gt;Lucas Luiz Romero")*(28/1083),IF(C3506="Técnico I",SUMIFS($D:$D,$A:$A,$A3506,$B:$B,"&lt;&gt;Patrícia Karla de Sousa Araújo",$B:$B,"&lt;&gt;Lorena Dias de Araujo",$B:$B,"&lt;&gt;Lucas Luiz Romero")*(23/1083),IF(C3506="JR",SUMIFS($D:$D,$A:$A,$A3506,$B:$B,"&lt;&gt;Patrícia Karla de Sousa Araújo",$B:$B,"&lt;&gt;Lorena Dias de Araujo",$B:$B,"&lt;&gt;Lucas Luiz Romero")*(20/1083),IF(C3506="Estágio",SUMIFS($D:$D,$A:$A,$A3506,$B:$B,"&lt;&gt;Patrícia Karla de Sousa Araújo",$B:$B,"&lt;&gt;Lorena Dias de Araujo",$B:$B,"&lt;&gt;Lucas Luiz Romero")*(10/1083),0)))))),0)</f>
        <v/>
      </c>
      <c r="K3506" s="3">
        <f>I3506-J3506</f>
        <v/>
      </c>
      <c r="L3506" s="3">
        <f>IF(K3506&lt;-5,"CRÍTICO",IF(K3506&lt;0,"ATENÇÃO",IF(K3506&lt;=5,"OPORTUNO","MUITO BOM")))</f>
        <v/>
      </c>
      <c r="N3506" t="n">
        <v>97.3</v>
      </c>
      <c r="O3506" t="n">
        <v>23.84769539078156</v>
      </c>
    </row>
    <row r="3507" hidden="1">
      <c r="A3507" s="11" t="n">
        <v>46112</v>
      </c>
      <c r="B3507" t="inlineStr">
        <is>
          <t>Anna Luiza Rezende Tavares</t>
        </is>
      </c>
      <c r="C3507" t="inlineStr">
        <is>
          <t>Estágio</t>
        </is>
      </c>
      <c r="D3507" t="n">
        <v>21</v>
      </c>
      <c r="E3507" t="n">
        <v>21</v>
      </c>
      <c r="F3507" t="n">
        <v>15.48</v>
      </c>
      <c r="G3507" t="n">
        <v>0</v>
      </c>
      <c r="H3507" t="n">
        <v>0</v>
      </c>
      <c r="I3507" s="3">
        <f>E3507+G3507+H3507</f>
        <v/>
      </c>
      <c r="J3507" s="3">
        <f>ROUND(MIN(IF(C3507="Técnico III",35,IF(C3507="Técnico II",28,IF(C3507="Técnico I",23,IF(C3507="JR",20,IF(C3507="Estágio",10,0))))),IF(C3507="Técnico III",SUMIFS($D:$D,$A:$A,$A3507,$B:$B,"&lt;&gt;Patrícia Karla de Sousa Araújo",$B:$B,"&lt;&gt;Lorena Dias de Araujo",$B:$B,"&lt;&gt;Lucas Luiz Romero")*(35/1083),IF(C3507="Técnico II",SUMIFS($D:$D,$A:$A,$A3507,$B:$B,"&lt;&gt;Patrícia Karla de Sousa Araújo",$B:$B,"&lt;&gt;Lorena Dias de Araujo",$B:$B,"&lt;&gt;Lucas Luiz Romero")*(28/1083),IF(C3507="Técnico I",SUMIFS($D:$D,$A:$A,$A3507,$B:$B,"&lt;&gt;Patrícia Karla de Sousa Araújo",$B:$B,"&lt;&gt;Lorena Dias de Araujo",$B:$B,"&lt;&gt;Lucas Luiz Romero")*(23/1083),IF(C3507="JR",SUMIFS($D:$D,$A:$A,$A3507,$B:$B,"&lt;&gt;Patrícia Karla de Sousa Araújo",$B:$B,"&lt;&gt;Lorena Dias de Araujo",$B:$B,"&lt;&gt;Lucas Luiz Romero")*(20/1083),IF(C3507="Estágio",SUMIFS($D:$D,$A:$A,$A3507,$B:$B,"&lt;&gt;Patrícia Karla de Sousa Araújo",$B:$B,"&lt;&gt;Lorena Dias de Araujo",$B:$B,"&lt;&gt;Lucas Luiz Romero")*(10/1083),0)))))),0)</f>
        <v/>
      </c>
      <c r="K3507" s="3">
        <f>I3507-J3507</f>
        <v/>
      </c>
      <c r="L3507" s="3">
        <f>IF(K3507&lt;-5,"CRÍTICO",IF(K3507&lt;0,"ATENÇÃO",IF(K3507&lt;=5,"OPORTUNO","MUITO BOM")))</f>
        <v/>
      </c>
      <c r="N3507" t="n">
        <v>100</v>
      </c>
      <c r="O3507" t="n">
        <v>25.26881720430108</v>
      </c>
    </row>
    <row r="3508" hidden="1">
      <c r="A3508" s="11" t="n">
        <v>46112</v>
      </c>
      <c r="B3508" t="inlineStr">
        <is>
          <t>Brenda de Menezes Silva</t>
        </is>
      </c>
      <c r="C3508" t="inlineStr">
        <is>
          <t>Técnico II</t>
        </is>
      </c>
      <c r="D3508" t="n">
        <v>31</v>
      </c>
      <c r="E3508" t="n">
        <v>27</v>
      </c>
      <c r="F3508" t="n">
        <v>19.02</v>
      </c>
      <c r="G3508" t="n">
        <v>0</v>
      </c>
      <c r="H3508" t="n">
        <v>0</v>
      </c>
      <c r="I3508" s="3">
        <f>E3508+G3508+H3508</f>
        <v/>
      </c>
      <c r="J3508" s="3">
        <f>ROUND(MIN(IF(C3508="Técnico III",35,IF(C3508="Técnico II",28,IF(C3508="Técnico I",23,IF(C3508="JR",20,IF(C3508="Estágio",10,0))))),IF(C3508="Técnico III",SUMIFS($D:$D,$A:$A,$A3508,$B:$B,"&lt;&gt;Patrícia Karla de Sousa Araújo",$B:$B,"&lt;&gt;Lorena Dias de Araujo",$B:$B,"&lt;&gt;Lucas Luiz Romero")*(35/1083),IF(C3508="Técnico II",SUMIFS($D:$D,$A:$A,$A3508,$B:$B,"&lt;&gt;Patrícia Karla de Sousa Araújo",$B:$B,"&lt;&gt;Lorena Dias de Araujo",$B:$B,"&lt;&gt;Lucas Luiz Romero")*(28/1083),IF(C3508="Técnico I",SUMIFS($D:$D,$A:$A,$A3508,$B:$B,"&lt;&gt;Patrícia Karla de Sousa Araújo",$B:$B,"&lt;&gt;Lorena Dias de Araujo",$B:$B,"&lt;&gt;Lucas Luiz Romero")*(23/1083),IF(C3508="JR",SUMIFS($D:$D,$A:$A,$A3508,$B:$B,"&lt;&gt;Patrícia Karla de Sousa Araújo",$B:$B,"&lt;&gt;Lorena Dias de Araujo",$B:$B,"&lt;&gt;Lucas Luiz Romero")*(20/1083),IF(C3508="Estágio",SUMIFS($D:$D,$A:$A,$A3508,$B:$B,"&lt;&gt;Patrícia Karla de Sousa Araújo",$B:$B,"&lt;&gt;Lorena Dias de Araujo",$B:$B,"&lt;&gt;Lucas Luiz Romero")*(10/1083),0)))))),0)</f>
        <v/>
      </c>
      <c r="K3508" s="3">
        <f>I3508-J3508</f>
        <v/>
      </c>
      <c r="L3508" s="3">
        <f>IF(K3508&lt;-5,"CRÍTICO",IF(K3508&lt;0,"ATENÇÃO",IF(K3508&lt;=5,"OPORTUNO","MUITO BOM")))</f>
        <v/>
      </c>
      <c r="N3508" t="n">
        <v>99.31999999999999</v>
      </c>
      <c r="O3508" t="n">
        <v>22.82282282282282</v>
      </c>
    </row>
    <row r="3509" hidden="1">
      <c r="A3509" s="11" t="n">
        <v>46112</v>
      </c>
      <c r="B3509" t="inlineStr">
        <is>
          <t>Carlos Mateus Cassimiro Nunes</t>
        </is>
      </c>
      <c r="C3509" t="inlineStr">
        <is>
          <t>Técnico II</t>
        </is>
      </c>
      <c r="D3509" t="n">
        <v>28</v>
      </c>
      <c r="E3509" t="n">
        <v>27</v>
      </c>
      <c r="F3509" t="n">
        <v>21.4</v>
      </c>
      <c r="G3509" t="n">
        <v>0</v>
      </c>
      <c r="H3509" t="n">
        <v>0</v>
      </c>
      <c r="I3509" s="3">
        <f>E3509+G3509+H3509</f>
        <v/>
      </c>
      <c r="J3509" s="3">
        <f>ROUND(MIN(IF(C3509="Técnico III",35,IF(C3509="Técnico II",28,IF(C3509="Técnico I",23,IF(C3509="JR",20,IF(C3509="Estágio",10,0))))),IF(C3509="Técnico III",SUMIFS($D:$D,$A:$A,$A3509,$B:$B,"&lt;&gt;Patrícia Karla de Sousa Araújo",$B:$B,"&lt;&gt;Lorena Dias de Araujo",$B:$B,"&lt;&gt;Lucas Luiz Romero")*(35/1083),IF(C3509="Técnico II",SUMIFS($D:$D,$A:$A,$A3509,$B:$B,"&lt;&gt;Patrícia Karla de Sousa Araújo",$B:$B,"&lt;&gt;Lorena Dias de Araujo",$B:$B,"&lt;&gt;Lucas Luiz Romero")*(28/1083),IF(C3509="Técnico I",SUMIFS($D:$D,$A:$A,$A3509,$B:$B,"&lt;&gt;Patrícia Karla de Sousa Araújo",$B:$B,"&lt;&gt;Lorena Dias de Araujo",$B:$B,"&lt;&gt;Lucas Luiz Romero")*(23/1083),IF(C3509="JR",SUMIFS($D:$D,$A:$A,$A3509,$B:$B,"&lt;&gt;Patrícia Karla de Sousa Araújo",$B:$B,"&lt;&gt;Lorena Dias de Araujo",$B:$B,"&lt;&gt;Lucas Luiz Romero")*(20/1083),IF(C3509="Estágio",SUMIFS($D:$D,$A:$A,$A3509,$B:$B,"&lt;&gt;Patrícia Karla de Sousa Araújo",$B:$B,"&lt;&gt;Lorena Dias de Araujo",$B:$B,"&lt;&gt;Lucas Luiz Romero")*(10/1083),0)))))),0)</f>
        <v/>
      </c>
      <c r="K3509" s="3">
        <f>I3509-J3509</f>
        <v/>
      </c>
      <c r="L3509" s="3">
        <f>IF(K3509&lt;-5,"CRÍTICO",IF(K3509&lt;0,"ATENÇÃO",IF(K3509&lt;=5,"OPORTUNO","MUITO BOM")))</f>
        <v/>
      </c>
      <c r="N3509" t="n">
        <v>100</v>
      </c>
      <c r="O3509" t="n">
        <v>27.96610169491525</v>
      </c>
    </row>
    <row r="3510" hidden="1">
      <c r="A3510" s="11" t="n">
        <v>46112</v>
      </c>
      <c r="B3510" t="inlineStr">
        <is>
          <t>Claudio de Sousa Velasco Filho</t>
        </is>
      </c>
      <c r="C3510" t="inlineStr">
        <is>
          <t>Estágio</t>
        </is>
      </c>
      <c r="D3510" t="n">
        <v>10</v>
      </c>
      <c r="E3510" t="n">
        <v>10</v>
      </c>
      <c r="F3510" t="n">
        <v>25.03</v>
      </c>
      <c r="G3510" t="n">
        <v>0</v>
      </c>
      <c r="H3510" t="n">
        <v>0</v>
      </c>
      <c r="I3510" s="3">
        <f>E3510+G3510+H3510</f>
        <v/>
      </c>
      <c r="J3510" s="3">
        <f>ROUND(MIN(IF(C3510="Técnico III",35,IF(C3510="Técnico II",28,IF(C3510="Técnico I",23,IF(C3510="JR",20,IF(C3510="Estágio",10,0))))),IF(C3510="Técnico III",SUMIFS($D:$D,$A:$A,$A3510,$B:$B,"&lt;&gt;Patrícia Karla de Sousa Araújo",$B:$B,"&lt;&gt;Lorena Dias de Araujo",$B:$B,"&lt;&gt;Lucas Luiz Romero")*(35/1083),IF(C3510="Técnico II",SUMIFS($D:$D,$A:$A,$A3510,$B:$B,"&lt;&gt;Patrícia Karla de Sousa Araújo",$B:$B,"&lt;&gt;Lorena Dias de Araujo",$B:$B,"&lt;&gt;Lucas Luiz Romero")*(28/1083),IF(C3510="Técnico I",SUMIFS($D:$D,$A:$A,$A3510,$B:$B,"&lt;&gt;Patrícia Karla de Sousa Araújo",$B:$B,"&lt;&gt;Lorena Dias de Araujo",$B:$B,"&lt;&gt;Lucas Luiz Romero")*(23/1083),IF(C3510="JR",SUMIFS($D:$D,$A:$A,$A3510,$B:$B,"&lt;&gt;Patrícia Karla de Sousa Araújo",$B:$B,"&lt;&gt;Lorena Dias de Araujo",$B:$B,"&lt;&gt;Lucas Luiz Romero")*(20/1083),IF(C3510="Estágio",SUMIFS($D:$D,$A:$A,$A3510,$B:$B,"&lt;&gt;Patrícia Karla de Sousa Araújo",$B:$B,"&lt;&gt;Lorena Dias de Araujo",$B:$B,"&lt;&gt;Lucas Luiz Romero")*(10/1083),0)))))),0)</f>
        <v/>
      </c>
      <c r="K3510" s="3">
        <f>I3510-J3510</f>
        <v/>
      </c>
      <c r="L3510" s="3">
        <f>IF(K3510&lt;-5,"CRÍTICO",IF(K3510&lt;0,"ATENÇÃO",IF(K3510&lt;=5,"OPORTUNO","MUITO BOM")))</f>
        <v/>
      </c>
      <c r="N3510" t="n">
        <v>100</v>
      </c>
      <c r="O3510" t="n">
        <v>30.43478260869566</v>
      </c>
    </row>
    <row r="3511" hidden="1">
      <c r="A3511" s="11" t="n">
        <v>46112</v>
      </c>
      <c r="B3511" t="inlineStr">
        <is>
          <t>Clessiane Pereira dos Santos</t>
        </is>
      </c>
      <c r="C3511" t="inlineStr">
        <is>
          <t>Técnico I</t>
        </is>
      </c>
      <c r="D3511" t="n">
        <v>12</v>
      </c>
      <c r="E3511" t="n">
        <v>12</v>
      </c>
      <c r="F3511" t="n">
        <v>18.3</v>
      </c>
      <c r="G3511" t="n">
        <v>0</v>
      </c>
      <c r="H3511" t="n">
        <v>0</v>
      </c>
      <c r="I3511" s="3">
        <f>E3511+G3511+H3511</f>
        <v/>
      </c>
      <c r="J3511" s="3">
        <f>ROUND(MIN(IF(C3511="Técnico III",35,IF(C3511="Técnico II",28,IF(C3511="Técnico I",23,IF(C3511="JR",20,IF(C3511="Estágio",10,0))))),IF(C3511="Técnico III",SUMIFS($D:$D,$A:$A,$A3511,$B:$B,"&lt;&gt;Patrícia Karla de Sousa Araújo",$B:$B,"&lt;&gt;Lorena Dias de Araujo",$B:$B,"&lt;&gt;Lucas Luiz Romero")*(35/1083),IF(C3511="Técnico II",SUMIFS($D:$D,$A:$A,$A3511,$B:$B,"&lt;&gt;Patrícia Karla de Sousa Araújo",$B:$B,"&lt;&gt;Lorena Dias de Araujo",$B:$B,"&lt;&gt;Lucas Luiz Romero")*(28/1083),IF(C3511="Técnico I",SUMIFS($D:$D,$A:$A,$A3511,$B:$B,"&lt;&gt;Patrícia Karla de Sousa Araújo",$B:$B,"&lt;&gt;Lorena Dias de Araujo",$B:$B,"&lt;&gt;Lucas Luiz Romero")*(23/1083),IF(C3511="JR",SUMIFS($D:$D,$A:$A,$A3511,$B:$B,"&lt;&gt;Patrícia Karla de Sousa Araújo",$B:$B,"&lt;&gt;Lorena Dias de Araujo",$B:$B,"&lt;&gt;Lucas Luiz Romero")*(20/1083),IF(C3511="Estágio",SUMIFS($D:$D,$A:$A,$A3511,$B:$B,"&lt;&gt;Patrícia Karla de Sousa Araújo",$B:$B,"&lt;&gt;Lorena Dias de Araujo",$B:$B,"&lt;&gt;Lucas Luiz Romero")*(10/1083),0)))))),0)</f>
        <v/>
      </c>
      <c r="K3511" s="3">
        <f>I3511-J3511</f>
        <v/>
      </c>
      <c r="L3511" s="3">
        <f>IF(K3511&lt;-5,"CRÍTICO",IF(K3511&lt;0,"ATENÇÃO",IF(K3511&lt;=5,"OPORTUNO","MUITO BOM")))</f>
        <v/>
      </c>
      <c r="N3511" t="n">
        <v>96.51000000000001</v>
      </c>
      <c r="O3511" t="n">
        <v>22.80285035629454</v>
      </c>
    </row>
    <row r="3512" hidden="1">
      <c r="A3512" s="11" t="n">
        <v>46112</v>
      </c>
      <c r="B3512" t="inlineStr">
        <is>
          <t>Cristiane Ramos da Silva Rocha</t>
        </is>
      </c>
      <c r="C3512" t="inlineStr">
        <is>
          <t>Técnico III</t>
        </is>
      </c>
      <c r="D3512" t="n">
        <v>33</v>
      </c>
      <c r="E3512" t="n">
        <v>30</v>
      </c>
      <c r="F3512" t="n">
        <v>12.05</v>
      </c>
      <c r="G3512" t="n">
        <v>0</v>
      </c>
      <c r="H3512" t="n">
        <v>0</v>
      </c>
      <c r="I3512" s="3">
        <f>E3512+G3512+H3512</f>
        <v/>
      </c>
      <c r="J3512" s="3">
        <f>ROUND(MIN(IF(C3512="Técnico III",35,IF(C3512="Técnico II",28,IF(C3512="Técnico I",23,IF(C3512="JR",20,IF(C3512="Estágio",10,0))))),IF(C3512="Técnico III",SUMIFS($D:$D,$A:$A,$A3512,$B:$B,"&lt;&gt;Patrícia Karla de Sousa Araújo",$B:$B,"&lt;&gt;Lorena Dias de Araujo",$B:$B,"&lt;&gt;Lucas Luiz Romero")*(35/1083),IF(C3512="Técnico II",SUMIFS($D:$D,$A:$A,$A3512,$B:$B,"&lt;&gt;Patrícia Karla de Sousa Araújo",$B:$B,"&lt;&gt;Lorena Dias de Araujo",$B:$B,"&lt;&gt;Lucas Luiz Romero")*(28/1083),IF(C3512="Técnico I",SUMIFS($D:$D,$A:$A,$A3512,$B:$B,"&lt;&gt;Patrícia Karla de Sousa Araújo",$B:$B,"&lt;&gt;Lorena Dias de Araujo",$B:$B,"&lt;&gt;Lucas Luiz Romero")*(23/1083),IF(C3512="JR",SUMIFS($D:$D,$A:$A,$A3512,$B:$B,"&lt;&gt;Patrícia Karla de Sousa Araújo",$B:$B,"&lt;&gt;Lorena Dias de Araujo",$B:$B,"&lt;&gt;Lucas Luiz Romero")*(20/1083),IF(C3512="Estágio",SUMIFS($D:$D,$A:$A,$A3512,$B:$B,"&lt;&gt;Patrícia Karla de Sousa Araújo",$B:$B,"&lt;&gt;Lorena Dias de Araujo",$B:$B,"&lt;&gt;Lucas Luiz Romero")*(10/1083),0)))))),0)</f>
        <v/>
      </c>
      <c r="K3512" s="3">
        <f>I3512-J3512</f>
        <v/>
      </c>
      <c r="L3512" s="3">
        <f>IF(K3512&lt;-5,"CRÍTICO",IF(K3512&lt;0,"ATENÇÃO",IF(K3512&lt;=5,"OPORTUNO","MUITO BOM")))</f>
        <v/>
      </c>
      <c r="N3512" t="n">
        <v>92.68000000000001</v>
      </c>
      <c r="O3512" t="n">
        <v>27.77777777777778</v>
      </c>
    </row>
    <row r="3513" hidden="1">
      <c r="A3513" s="11" t="n">
        <v>46112</v>
      </c>
      <c r="B3513" t="inlineStr">
        <is>
          <t>Damyllis Lorraine de Oliveira Gonçalves</t>
        </is>
      </c>
      <c r="C3513" t="inlineStr">
        <is>
          <t>Técnico II</t>
        </is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s="3" t="n">
        <v>0</v>
      </c>
      <c r="J3513" s="3" t="n">
        <v>0</v>
      </c>
      <c r="K3513" s="3" t="n">
        <v>0</v>
      </c>
      <c r="L3513" s="3">
        <f>IF(K3513&lt;-5,"CRÍTICO",IF(K3513&lt;0,"ATENÇÃO",IF(K3513&lt;=5,"OPORTUNO","MUITO BOM")))</f>
        <v/>
      </c>
      <c r="N3513" t="n">
        <v>99.03</v>
      </c>
      <c r="O3513" t="n">
        <v>23.99150743099788</v>
      </c>
    </row>
    <row r="3514" hidden="1">
      <c r="A3514" s="11" t="n">
        <v>46112</v>
      </c>
      <c r="B3514" t="inlineStr">
        <is>
          <t>Daniel Gomes da Silva</t>
        </is>
      </c>
      <c r="C3514" t="inlineStr">
        <is>
          <t>Técnico I</t>
        </is>
      </c>
      <c r="D3514" t="n">
        <v>19</v>
      </c>
      <c r="E3514" t="n">
        <v>18</v>
      </c>
      <c r="F3514" t="n">
        <v>23.52</v>
      </c>
      <c r="G3514" t="n">
        <v>0</v>
      </c>
      <c r="H3514" t="n">
        <v>0</v>
      </c>
      <c r="I3514" s="3">
        <f>E3514+G3514+H3514</f>
        <v/>
      </c>
      <c r="J3514" s="3">
        <f>ROUND(MIN(IF(C3514="Técnico III",35,IF(C3514="Técnico II",28,IF(C3514="Técnico I",23,IF(C3514="JR",20,IF(C3514="Estágio",10,0))))),IF(C3514="Técnico III",SUMIFS($D:$D,$A:$A,$A3514,$B:$B,"&lt;&gt;Patrícia Karla de Sousa Araújo",$B:$B,"&lt;&gt;Lorena Dias de Araujo",$B:$B,"&lt;&gt;Lucas Luiz Romero")*(35/1083),IF(C3514="Técnico II",SUMIFS($D:$D,$A:$A,$A3514,$B:$B,"&lt;&gt;Patrícia Karla de Sousa Araújo",$B:$B,"&lt;&gt;Lorena Dias de Araujo",$B:$B,"&lt;&gt;Lucas Luiz Romero")*(28/1083),IF(C3514="Técnico I",SUMIFS($D:$D,$A:$A,$A3514,$B:$B,"&lt;&gt;Patrícia Karla de Sousa Araújo",$B:$B,"&lt;&gt;Lorena Dias de Araujo",$B:$B,"&lt;&gt;Lucas Luiz Romero")*(23/1083),IF(C3514="JR",SUMIFS($D:$D,$A:$A,$A3514,$B:$B,"&lt;&gt;Patrícia Karla de Sousa Araújo",$B:$B,"&lt;&gt;Lorena Dias de Araujo",$B:$B,"&lt;&gt;Lucas Luiz Romero")*(20/1083),IF(C3514="Estágio",SUMIFS($D:$D,$A:$A,$A3514,$B:$B,"&lt;&gt;Patrícia Karla de Sousa Araújo",$B:$B,"&lt;&gt;Lorena Dias de Araujo",$B:$B,"&lt;&gt;Lucas Luiz Romero")*(10/1083),0)))))),0)</f>
        <v/>
      </c>
      <c r="K3514" s="3">
        <f>I3514-J3514</f>
        <v/>
      </c>
      <c r="L3514" s="3">
        <f>IF(K3514&lt;-5,"CRÍTICO",IF(K3514&lt;0,"ATENÇÃO",IF(K3514&lt;=5,"OPORTUNO","MUITO BOM")))</f>
        <v/>
      </c>
      <c r="N3514" t="n">
        <v>98.41</v>
      </c>
      <c r="O3514" t="n">
        <v>28.13852813852814</v>
      </c>
    </row>
    <row r="3515" hidden="1">
      <c r="A3515" s="11" t="n">
        <v>46112</v>
      </c>
      <c r="B3515" t="inlineStr">
        <is>
          <t>Davylla Rodrigues Freitas Silva</t>
        </is>
      </c>
      <c r="C3515" t="inlineStr">
        <is>
          <t>Técnico III</t>
        </is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s="3" t="n">
        <v>0</v>
      </c>
      <c r="J3515" s="3" t="n">
        <v>0</v>
      </c>
      <c r="K3515" s="3" t="n">
        <v>0</v>
      </c>
      <c r="L3515" s="3">
        <f>IF(K3515&lt;-5,"CRÍTICO",IF(K3515&lt;0,"ATENÇÃO",IF(K3515&lt;=5,"OPORTUNO","MUITO BOM")))</f>
        <v/>
      </c>
      <c r="N3515" t="n">
        <v>98.73</v>
      </c>
      <c r="O3515" t="n">
        <v>29.14285714285714</v>
      </c>
    </row>
    <row r="3516" hidden="1">
      <c r="A3516" s="11" t="n">
        <v>46112</v>
      </c>
      <c r="B3516" t="inlineStr">
        <is>
          <t>Emilly Caylane Costa</t>
        </is>
      </c>
      <c r="C3516" t="inlineStr">
        <is>
          <t>Estágio</t>
        </is>
      </c>
      <c r="D3516" t="n">
        <v>8</v>
      </c>
      <c r="E3516" t="n">
        <v>5</v>
      </c>
      <c r="F3516" t="n">
        <v>35.32</v>
      </c>
      <c r="G3516" t="n">
        <v>0</v>
      </c>
      <c r="H3516" t="n">
        <v>0</v>
      </c>
      <c r="I3516" s="3">
        <f>E3516+G3516+H3516</f>
        <v/>
      </c>
      <c r="J3516" s="3">
        <f>ROUND(MIN(IF(C3516="Técnico III",35,IF(C3516="Técnico II",28,IF(C3516="Técnico I",23,IF(C3516="JR",20,IF(C3516="Estágio",10,0))))),IF(C3516="Técnico III",SUMIFS($D:$D,$A:$A,$A3516,$B:$B,"&lt;&gt;Patrícia Karla de Sousa Araújo",$B:$B,"&lt;&gt;Lorena Dias de Araujo",$B:$B,"&lt;&gt;Lucas Luiz Romero")*(35/1083),IF(C3516="Técnico II",SUMIFS($D:$D,$A:$A,$A3516,$B:$B,"&lt;&gt;Patrícia Karla de Sousa Araújo",$B:$B,"&lt;&gt;Lorena Dias de Araujo",$B:$B,"&lt;&gt;Lucas Luiz Romero")*(28/1083),IF(C3516="Técnico I",SUMIFS($D:$D,$A:$A,$A3516,$B:$B,"&lt;&gt;Patrícia Karla de Sousa Araújo",$B:$B,"&lt;&gt;Lorena Dias de Araujo",$B:$B,"&lt;&gt;Lucas Luiz Romero")*(23/1083),IF(C3516="JR",SUMIFS($D:$D,$A:$A,$A3516,$B:$B,"&lt;&gt;Patrícia Karla de Sousa Araújo",$B:$B,"&lt;&gt;Lorena Dias de Araujo",$B:$B,"&lt;&gt;Lucas Luiz Romero")*(20/1083),IF(C3516="Estágio",SUMIFS($D:$D,$A:$A,$A3516,$B:$B,"&lt;&gt;Patrícia Karla de Sousa Araújo",$B:$B,"&lt;&gt;Lorena Dias de Araujo",$B:$B,"&lt;&gt;Lucas Luiz Romero")*(10/1083),0)))))),0)</f>
        <v/>
      </c>
      <c r="K3516" s="3">
        <f>I3516-J3516</f>
        <v/>
      </c>
      <c r="L3516" s="3">
        <f>IF(K3516&lt;-5,"CRÍTICO",IF(K3516&lt;0,"ATENÇÃO",IF(K3516&lt;=5,"OPORTUNO","MUITO BOM")))</f>
        <v/>
      </c>
      <c r="N3516" t="n">
        <v>90.48</v>
      </c>
      <c r="O3516" t="n">
        <v>20.68965517241379</v>
      </c>
    </row>
    <row r="3517" hidden="1">
      <c r="A3517" s="11" t="n">
        <v>46112</v>
      </c>
      <c r="B3517" t="inlineStr">
        <is>
          <t>Emilly Kamilly Medeiros Miranda</t>
        </is>
      </c>
      <c r="C3517" t="inlineStr">
        <is>
          <t>Técnico II</t>
        </is>
      </c>
      <c r="D3517" t="n">
        <v>22</v>
      </c>
      <c r="E3517" t="n">
        <v>21</v>
      </c>
      <c r="F3517" t="n">
        <v>17.35</v>
      </c>
      <c r="G3517" t="n">
        <v>0</v>
      </c>
      <c r="H3517" t="n">
        <v>0</v>
      </c>
      <c r="I3517" s="3">
        <f>E3517+G3517+H3517</f>
        <v/>
      </c>
      <c r="J3517" s="3">
        <f>ROUND(MIN(IF(C3517="Técnico III",35,IF(C3517="Técnico II",28,IF(C3517="Técnico I",23,IF(C3517="JR",20,IF(C3517="Estágio",10,0))))),IF(C3517="Técnico III",SUMIFS($D:$D,$A:$A,$A3517,$B:$B,"&lt;&gt;Patrícia Karla de Sousa Araújo",$B:$B,"&lt;&gt;Lorena Dias de Araujo",$B:$B,"&lt;&gt;Lucas Luiz Romero")*(35/1083),IF(C3517="Técnico II",SUMIFS($D:$D,$A:$A,$A3517,$B:$B,"&lt;&gt;Patrícia Karla de Sousa Araújo",$B:$B,"&lt;&gt;Lorena Dias de Araujo",$B:$B,"&lt;&gt;Lucas Luiz Romero")*(28/1083),IF(C3517="Técnico I",SUMIFS($D:$D,$A:$A,$A3517,$B:$B,"&lt;&gt;Patrícia Karla de Sousa Araújo",$B:$B,"&lt;&gt;Lorena Dias de Araujo",$B:$B,"&lt;&gt;Lucas Luiz Romero")*(23/1083),IF(C3517="JR",SUMIFS($D:$D,$A:$A,$A3517,$B:$B,"&lt;&gt;Patrícia Karla de Sousa Araújo",$B:$B,"&lt;&gt;Lorena Dias de Araujo",$B:$B,"&lt;&gt;Lucas Luiz Romero")*(20/1083),IF(C3517="Estágio",SUMIFS($D:$D,$A:$A,$A3517,$B:$B,"&lt;&gt;Patrícia Karla de Sousa Araújo",$B:$B,"&lt;&gt;Lorena Dias de Araujo",$B:$B,"&lt;&gt;Lucas Luiz Romero")*(10/1083),0)))))),0)</f>
        <v/>
      </c>
      <c r="K3517" s="3">
        <f>I3517-J3517</f>
        <v/>
      </c>
      <c r="L3517" s="3">
        <f>IF(K3517&lt;-5,"CRÍTICO",IF(K3517&lt;0,"ATENÇÃO",IF(K3517&lt;=5,"OPORTUNO","MUITO BOM")))</f>
        <v/>
      </c>
      <c r="N3517" t="n">
        <v>98.06</v>
      </c>
      <c r="O3517" t="n">
        <v>24.78991596638656</v>
      </c>
    </row>
    <row r="3518" hidden="1">
      <c r="A3518" s="11" t="n">
        <v>46112</v>
      </c>
      <c r="B3518" t="inlineStr">
        <is>
          <t>Francielson de Oliveira</t>
        </is>
      </c>
      <c r="C3518" t="inlineStr">
        <is>
          <t>Técnico III</t>
        </is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s="3" t="n">
        <v>0</v>
      </c>
      <c r="J3518" s="3" t="n">
        <v>0</v>
      </c>
      <c r="K3518" s="3" t="n">
        <v>0</v>
      </c>
      <c r="L3518" s="3">
        <f>IF(K3518&lt;-5,"CRÍTICO",IF(K3518&lt;0,"ATENÇÃO",IF(K3518&lt;=5,"OPORTUNO","MUITO BOM")))</f>
        <v/>
      </c>
      <c r="N3518" t="n">
        <v>97.78</v>
      </c>
      <c r="O3518" t="n">
        <v>25.49407114624506</v>
      </c>
    </row>
    <row r="3519" hidden="1">
      <c r="A3519" s="11" t="n">
        <v>46112</v>
      </c>
      <c r="B3519" t="inlineStr">
        <is>
          <t>Francilene Ferreira de Jesus</t>
        </is>
      </c>
      <c r="C3519" t="inlineStr">
        <is>
          <t>Técnico II</t>
        </is>
      </c>
      <c r="D3519" t="n">
        <v>29</v>
      </c>
      <c r="E3519" t="n">
        <v>26</v>
      </c>
      <c r="F3519" t="n">
        <v>17.36</v>
      </c>
      <c r="G3519" t="n">
        <v>0</v>
      </c>
      <c r="H3519" t="n">
        <v>0</v>
      </c>
      <c r="I3519" s="3">
        <f>E3519+G3519+H3519</f>
        <v/>
      </c>
      <c r="J3519" s="3">
        <f>ROUND(MIN(IF(C3519="Técnico III",35,IF(C3519="Técnico II",28,IF(C3519="Técnico I",23,IF(C3519="JR",20,IF(C3519="Estágio",10,0))))),IF(C3519="Técnico III",SUMIFS($D:$D,$A:$A,$A3519,$B:$B,"&lt;&gt;Patrícia Karla de Sousa Araújo",$B:$B,"&lt;&gt;Lorena Dias de Araujo",$B:$B,"&lt;&gt;Lucas Luiz Romero")*(35/1083),IF(C3519="Técnico II",SUMIFS($D:$D,$A:$A,$A3519,$B:$B,"&lt;&gt;Patrícia Karla de Sousa Araújo",$B:$B,"&lt;&gt;Lorena Dias de Araujo",$B:$B,"&lt;&gt;Lucas Luiz Romero")*(28/1083),IF(C3519="Técnico I",SUMIFS($D:$D,$A:$A,$A3519,$B:$B,"&lt;&gt;Patrícia Karla de Sousa Araújo",$B:$B,"&lt;&gt;Lorena Dias de Araujo",$B:$B,"&lt;&gt;Lucas Luiz Romero")*(23/1083),IF(C3519="JR",SUMIFS($D:$D,$A:$A,$A3519,$B:$B,"&lt;&gt;Patrícia Karla de Sousa Araújo",$B:$B,"&lt;&gt;Lorena Dias de Araujo",$B:$B,"&lt;&gt;Lucas Luiz Romero")*(20/1083),IF(C3519="Estágio",SUMIFS($D:$D,$A:$A,$A3519,$B:$B,"&lt;&gt;Patrícia Karla de Sousa Araújo",$B:$B,"&lt;&gt;Lorena Dias de Araujo",$B:$B,"&lt;&gt;Lucas Luiz Romero")*(10/1083),0)))))),0)</f>
        <v/>
      </c>
      <c r="K3519" s="3">
        <f>I3519-J3519</f>
        <v/>
      </c>
      <c r="L3519" s="3">
        <f>IF(K3519&lt;-5,"CRÍTICO",IF(K3519&lt;0,"ATENÇÃO",IF(K3519&lt;=5,"OPORTUNO","MUITO BOM")))</f>
        <v/>
      </c>
      <c r="N3519" t="n">
        <v>98.02</v>
      </c>
      <c r="O3519" t="n">
        <v>23.48484848484848</v>
      </c>
    </row>
    <row r="3520" hidden="1">
      <c r="A3520" s="10" t="n">
        <v>46164</v>
      </c>
      <c r="B3520" s="6" t="inlineStr">
        <is>
          <t>Patrícia Karla de Sousa Araújo</t>
        </is>
      </c>
      <c r="C3520" s="3" t="inlineStr">
        <is>
          <t>Técnico II</t>
        </is>
      </c>
      <c r="D3520" s="3" t="n">
        <v>17</v>
      </c>
      <c r="E3520" s="3" t="n">
        <v>17</v>
      </c>
      <c r="F3520" s="3" t="n">
        <v>22.2</v>
      </c>
      <c r="G3520" s="3" t="n">
        <v>0</v>
      </c>
      <c r="H3520" s="3" t="n">
        <v>0</v>
      </c>
      <c r="I3520" s="3">
        <f>E3520+G3520+H3520</f>
        <v/>
      </c>
      <c r="J3520" s="3">
        <f>ROUND(MIN(IF(C3520="Técnico III",35,IF(C3520="Técnico II",28,IF(C3520="Técnico I",23,IF(C3520="JR",20,IF(C3520="Estágio",10,0))))),IF(C3520="Técnico III",SUMIFS($D:$D,$A:$A,$A3520,$B:$B,"&lt;&gt;Patrícia Karla de Sousa Araújo",$B:$B,"&lt;&gt;Lorena Dias de Araujo",$B:$B,"&lt;&gt;Lucas Luiz Romero")*(35/1083),IF(C3520="Técnico II",SUMIFS($D:$D,$A:$A,$A3520,$B:$B,"&lt;&gt;Patrícia Karla de Sousa Araújo",$B:$B,"&lt;&gt;Lorena Dias de Araujo",$B:$B,"&lt;&gt;Lucas Luiz Romero")*(28/1083),IF(C3520="Técnico I",SUMIFS($D:$D,$A:$A,$A3520,$B:$B,"&lt;&gt;Patrícia Karla de Sousa Araújo",$B:$B,"&lt;&gt;Lorena Dias de Araujo",$B:$B,"&lt;&gt;Lucas Luiz Romero")*(23/1083),IF(C3520="JR",SUMIFS($D:$D,$A:$A,$A3520,$B:$B,"&lt;&gt;Patrícia Karla de Sousa Araújo",$B:$B,"&lt;&gt;Lorena Dias de Araujo",$B:$B,"&lt;&gt;Lucas Luiz Romero")*(20/1083),IF(C3520="Estágio",SUMIFS($D:$D,$A:$A,$A3520,$B:$B,"&lt;&gt;Patrícia Karla de Sousa Araújo",$B:$B,"&lt;&gt;Lorena Dias de Araujo",$B:$B,"&lt;&gt;Lucas Luiz Romero")*(10/1083),0)))))),0)</f>
        <v/>
      </c>
      <c r="K3520" s="3">
        <f>I3520-J3520</f>
        <v/>
      </c>
      <c r="L3520" s="3">
        <f>IF(K3520&lt;-5,"CRÍTICO",IF(K3520&lt;0,"ATENÇÃO",IF(K3520&lt;=5,"OPORTUNO","MUITO BOM")))</f>
        <v/>
      </c>
      <c r="M3520" s="3" t="n">
        <v>12</v>
      </c>
      <c r="N3520" s="3" t="n">
        <v>100</v>
      </c>
      <c r="O3520" s="3" t="n">
        <v>16.89497716894977</v>
      </c>
    </row>
    <row r="3521" hidden="1">
      <c r="A3521" s="11" t="n">
        <v>46112</v>
      </c>
      <c r="B3521" t="inlineStr">
        <is>
          <t>Isabella Borges de Oliveira</t>
        </is>
      </c>
      <c r="C3521" t="inlineStr">
        <is>
          <t>Técnico II</t>
        </is>
      </c>
      <c r="D3521" t="n">
        <v>30</v>
      </c>
      <c r="E3521" t="n">
        <v>29</v>
      </c>
      <c r="F3521" t="n">
        <v>19.11</v>
      </c>
      <c r="G3521" t="n">
        <v>0</v>
      </c>
      <c r="H3521" t="n">
        <v>0</v>
      </c>
      <c r="I3521" s="3">
        <f>E3521+G3521+H3521</f>
        <v/>
      </c>
      <c r="J3521" s="3">
        <f>ROUND(MIN(IF(C3521="Técnico III",35,IF(C3521="Técnico II",28,IF(C3521="Técnico I",23,IF(C3521="JR",20,IF(C3521="Estágio",10,0))))),IF(C3521="Técnico III",SUMIFS($D:$D,$A:$A,$A3521,$B:$B,"&lt;&gt;Patrícia Karla de Sousa Araújo",$B:$B,"&lt;&gt;Lorena Dias de Araujo",$B:$B,"&lt;&gt;Lucas Luiz Romero")*(35/1083),IF(C3521="Técnico II",SUMIFS($D:$D,$A:$A,$A3521,$B:$B,"&lt;&gt;Patrícia Karla de Sousa Araújo",$B:$B,"&lt;&gt;Lorena Dias de Araujo",$B:$B,"&lt;&gt;Lucas Luiz Romero")*(28/1083),IF(C3521="Técnico I",SUMIFS($D:$D,$A:$A,$A3521,$B:$B,"&lt;&gt;Patrícia Karla de Sousa Araújo",$B:$B,"&lt;&gt;Lorena Dias de Araujo",$B:$B,"&lt;&gt;Lucas Luiz Romero")*(23/1083),IF(C3521="JR",SUMIFS($D:$D,$A:$A,$A3521,$B:$B,"&lt;&gt;Patrícia Karla de Sousa Araújo",$B:$B,"&lt;&gt;Lorena Dias de Araujo",$B:$B,"&lt;&gt;Lucas Luiz Romero")*(20/1083),IF(C3521="Estágio",SUMIFS($D:$D,$A:$A,$A3521,$B:$B,"&lt;&gt;Patrícia Karla de Sousa Araújo",$B:$B,"&lt;&gt;Lorena Dias de Araujo",$B:$B,"&lt;&gt;Lucas Luiz Romero")*(10/1083),0)))))),0)</f>
        <v/>
      </c>
      <c r="K3521" s="3">
        <f>I3521-J3521</f>
        <v/>
      </c>
      <c r="L3521" s="3">
        <f>IF(K3521&lt;-5,"CRÍTICO",IF(K3521&lt;0,"ATENÇÃO",IF(K3521&lt;=5,"OPORTUNO","MUITO BOM")))</f>
        <v/>
      </c>
      <c r="N3521" t="n">
        <v>100</v>
      </c>
      <c r="O3521" t="n">
        <v>27.04918032786885</v>
      </c>
    </row>
    <row r="3522" hidden="1">
      <c r="A3522" s="11" t="n">
        <v>46112</v>
      </c>
      <c r="B3522" t="inlineStr">
        <is>
          <t>Janaina Lima dos Reis Urany</t>
        </is>
      </c>
      <c r="C3522" t="inlineStr">
        <is>
          <t>Técnico III</t>
        </is>
      </c>
      <c r="D3522" t="n">
        <v>51</v>
      </c>
      <c r="E3522" t="n">
        <v>42</v>
      </c>
      <c r="F3522" t="n">
        <v>13.24</v>
      </c>
      <c r="G3522" t="n">
        <v>0</v>
      </c>
      <c r="H3522" t="n">
        <v>0</v>
      </c>
      <c r="I3522" s="3">
        <f>E3522+G3522+H3522</f>
        <v/>
      </c>
      <c r="J3522" s="3">
        <f>ROUND(MIN(IF(C3522="Técnico III",35,IF(C3522="Técnico II",28,IF(C3522="Técnico I",23,IF(C3522="JR",20,IF(C3522="Estágio",10,0))))),IF(C3522="Técnico III",SUMIFS($D:$D,$A:$A,$A3522,$B:$B,"&lt;&gt;Patrícia Karla de Sousa Araújo",$B:$B,"&lt;&gt;Lorena Dias de Araujo",$B:$B,"&lt;&gt;Lucas Luiz Romero")*(35/1083),IF(C3522="Técnico II",SUMIFS($D:$D,$A:$A,$A3522,$B:$B,"&lt;&gt;Patrícia Karla de Sousa Araújo",$B:$B,"&lt;&gt;Lorena Dias de Araujo",$B:$B,"&lt;&gt;Lucas Luiz Romero")*(28/1083),IF(C3522="Técnico I",SUMIFS($D:$D,$A:$A,$A3522,$B:$B,"&lt;&gt;Patrícia Karla de Sousa Araújo",$B:$B,"&lt;&gt;Lorena Dias de Araujo",$B:$B,"&lt;&gt;Lucas Luiz Romero")*(23/1083),IF(C3522="JR",SUMIFS($D:$D,$A:$A,$A3522,$B:$B,"&lt;&gt;Patrícia Karla de Sousa Araújo",$B:$B,"&lt;&gt;Lorena Dias de Araujo",$B:$B,"&lt;&gt;Lucas Luiz Romero")*(20/1083),IF(C3522="Estágio",SUMIFS($D:$D,$A:$A,$A3522,$B:$B,"&lt;&gt;Patrícia Karla de Sousa Araújo",$B:$B,"&lt;&gt;Lorena Dias de Araujo",$B:$B,"&lt;&gt;Lucas Luiz Romero")*(10/1083),0)))))),0)</f>
        <v/>
      </c>
      <c r="K3522" s="3">
        <f>I3522-J3522</f>
        <v/>
      </c>
      <c r="L3522" s="3">
        <f>IF(K3522&lt;-5,"CRÍTICO",IF(K3522&lt;0,"ATENÇÃO",IF(K3522&lt;=5,"OPORTUNO","MUITO BOM")))</f>
        <v/>
      </c>
      <c r="N3522" t="n">
        <v>97.83</v>
      </c>
      <c r="O3522" t="n">
        <v>26.31578947368421</v>
      </c>
    </row>
    <row r="3523" hidden="1">
      <c r="A3523" s="11" t="n">
        <v>46112</v>
      </c>
      <c r="B3523" t="inlineStr">
        <is>
          <t>Jaqueline Evangelista da Silva Martins</t>
        </is>
      </c>
      <c r="C3523" t="inlineStr">
        <is>
          <t>Técnico III</t>
        </is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s="3" t="n">
        <v>0</v>
      </c>
      <c r="J3523" s="3" t="n">
        <v>0</v>
      </c>
      <c r="K3523" s="3" t="n">
        <v>0</v>
      </c>
      <c r="L3523" s="3">
        <f>IF(K3523&lt;-5,"CRÍTICO",IF(K3523&lt;0,"ATENÇÃO",IF(K3523&lt;=5,"OPORTUNO","MUITO BOM")))</f>
        <v/>
      </c>
      <c r="N3523" t="n">
        <v>100</v>
      </c>
      <c r="O3523" t="n">
        <v>26.70157068062827</v>
      </c>
    </row>
    <row r="3524" hidden="1">
      <c r="A3524" s="11" t="n">
        <v>46112</v>
      </c>
      <c r="B3524" t="inlineStr">
        <is>
          <t>Jessica Faria da Silveira</t>
        </is>
      </c>
      <c r="C3524" t="inlineStr">
        <is>
          <t>Técnico II</t>
        </is>
      </c>
      <c r="D3524" t="n">
        <v>18</v>
      </c>
      <c r="E3524" t="n">
        <v>14</v>
      </c>
      <c r="F3524" t="n">
        <v>14.11</v>
      </c>
      <c r="G3524" t="n">
        <v>0</v>
      </c>
      <c r="H3524" t="n">
        <v>0</v>
      </c>
      <c r="I3524" s="3">
        <f>E3524+G3524+H3524</f>
        <v/>
      </c>
      <c r="J3524" s="3">
        <f>ROUND(MIN(IF(C3524="Técnico III",35,IF(C3524="Técnico II",28,IF(C3524="Técnico I",23,IF(C3524="JR",20,IF(C3524="Estágio",10,0))))),IF(C3524="Técnico III",SUMIFS($D:$D,$A:$A,$A3524,$B:$B,"&lt;&gt;Patrícia Karla de Sousa Araújo",$B:$B,"&lt;&gt;Lorena Dias de Araujo",$B:$B,"&lt;&gt;Lucas Luiz Romero")*(35/1083),IF(C3524="Técnico II",SUMIFS($D:$D,$A:$A,$A3524,$B:$B,"&lt;&gt;Patrícia Karla de Sousa Araújo",$B:$B,"&lt;&gt;Lorena Dias de Araujo",$B:$B,"&lt;&gt;Lucas Luiz Romero")*(28/1083),IF(C3524="Técnico I",SUMIFS($D:$D,$A:$A,$A3524,$B:$B,"&lt;&gt;Patrícia Karla de Sousa Araújo",$B:$B,"&lt;&gt;Lorena Dias de Araujo",$B:$B,"&lt;&gt;Lucas Luiz Romero")*(23/1083),IF(C3524="JR",SUMIFS($D:$D,$A:$A,$A3524,$B:$B,"&lt;&gt;Patrícia Karla de Sousa Araújo",$B:$B,"&lt;&gt;Lorena Dias de Araujo",$B:$B,"&lt;&gt;Lucas Luiz Romero")*(20/1083),IF(C3524="Estágio",SUMIFS($D:$D,$A:$A,$A3524,$B:$B,"&lt;&gt;Patrícia Karla de Sousa Araújo",$B:$B,"&lt;&gt;Lorena Dias de Araujo",$B:$B,"&lt;&gt;Lucas Luiz Romero")*(10/1083),0)))))),0)</f>
        <v/>
      </c>
      <c r="K3524" s="3">
        <f>I3524-J3524</f>
        <v/>
      </c>
      <c r="L3524" s="3">
        <f>IF(K3524&lt;-5,"CRÍTICO",IF(K3524&lt;0,"ATENÇÃO",IF(K3524&lt;=5,"OPORTUNO","MUITO BOM")))</f>
        <v/>
      </c>
      <c r="N3524" t="n">
        <v>97.47</v>
      </c>
      <c r="O3524" t="n">
        <v>22.88732394366197</v>
      </c>
    </row>
    <row r="3525" hidden="1">
      <c r="A3525" s="11" t="n">
        <v>46112</v>
      </c>
      <c r="B3525" t="inlineStr">
        <is>
          <t>Jéssica Fé Moura</t>
        </is>
      </c>
      <c r="C3525" t="inlineStr">
        <is>
          <t>Técnico III</t>
        </is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s="3" t="n">
        <v>0</v>
      </c>
      <c r="J3525" s="3" t="n">
        <v>0</v>
      </c>
      <c r="K3525" s="3" t="n">
        <v>0</v>
      </c>
      <c r="L3525" s="3">
        <f>IF(K3525&lt;-5,"CRÍTICO",IF(K3525&lt;0,"ATENÇÃO",IF(K3525&lt;=5,"OPORTUNO","MUITO BOM")))</f>
        <v/>
      </c>
      <c r="N3525" t="n">
        <v>0</v>
      </c>
      <c r="O3525" t="n">
        <v>0</v>
      </c>
    </row>
    <row r="3526" hidden="1">
      <c r="A3526" s="11" t="n">
        <v>46112</v>
      </c>
      <c r="B3526" t="inlineStr">
        <is>
          <t>Karina Gonçalves Martins</t>
        </is>
      </c>
      <c r="C3526" t="inlineStr">
        <is>
          <t>JR</t>
        </is>
      </c>
      <c r="D3526" t="n">
        <v>23</v>
      </c>
      <c r="E3526" t="n">
        <v>21</v>
      </c>
      <c r="F3526" t="n">
        <v>21.5</v>
      </c>
      <c r="G3526" t="n">
        <v>0</v>
      </c>
      <c r="H3526" t="n">
        <v>0</v>
      </c>
      <c r="I3526" s="3">
        <f>E3526+G3526+H3526</f>
        <v/>
      </c>
      <c r="J3526" s="3">
        <f>ROUND(MIN(IF(C3526="Técnico III",35,IF(C3526="Técnico II",28,IF(C3526="Técnico I",23,IF(C3526="JR",20,IF(C3526="Estágio",10,0))))),IF(C3526="Técnico III",SUMIFS($D:$D,$A:$A,$A3526,$B:$B,"&lt;&gt;Patrícia Karla de Sousa Araújo",$B:$B,"&lt;&gt;Lorena Dias de Araujo",$B:$B,"&lt;&gt;Lucas Luiz Romero")*(35/1083),IF(C3526="Técnico II",SUMIFS($D:$D,$A:$A,$A3526,$B:$B,"&lt;&gt;Patrícia Karla de Sousa Araújo",$B:$B,"&lt;&gt;Lorena Dias de Araujo",$B:$B,"&lt;&gt;Lucas Luiz Romero")*(28/1083),IF(C3526="Técnico I",SUMIFS($D:$D,$A:$A,$A3526,$B:$B,"&lt;&gt;Patrícia Karla de Sousa Araújo",$B:$B,"&lt;&gt;Lorena Dias de Araujo",$B:$B,"&lt;&gt;Lucas Luiz Romero")*(23/1083),IF(C3526="JR",SUMIFS($D:$D,$A:$A,$A3526,$B:$B,"&lt;&gt;Patrícia Karla de Sousa Araújo",$B:$B,"&lt;&gt;Lorena Dias de Araujo",$B:$B,"&lt;&gt;Lucas Luiz Romero")*(20/1083),IF(C3526="Estágio",SUMIFS($D:$D,$A:$A,$A3526,$B:$B,"&lt;&gt;Patrícia Karla de Sousa Araújo",$B:$B,"&lt;&gt;Lorena Dias de Araujo",$B:$B,"&lt;&gt;Lucas Luiz Romero")*(10/1083),0)))))),0)</f>
        <v/>
      </c>
      <c r="K3526" s="3">
        <f>I3526-J3526</f>
        <v/>
      </c>
      <c r="L3526" s="3">
        <f>IF(K3526&lt;-5,"CRÍTICO",IF(K3526&lt;0,"ATENÇÃO",IF(K3526&lt;=5,"OPORTUNO","MUITO BOM")))</f>
        <v/>
      </c>
      <c r="N3526" t="n">
        <v>98.31</v>
      </c>
      <c r="O3526" t="n">
        <v>24.92012779552715</v>
      </c>
    </row>
    <row r="3527" hidden="1">
      <c r="A3527" s="11" t="n">
        <v>46112</v>
      </c>
      <c r="B3527" t="inlineStr">
        <is>
          <t>Kerollen Cristielly de Jesus Siqueira</t>
        </is>
      </c>
      <c r="C3527" t="inlineStr">
        <is>
          <t>Técnico III</t>
        </is>
      </c>
      <c r="D3527" t="n">
        <v>6</v>
      </c>
      <c r="E3527" t="n">
        <v>6</v>
      </c>
      <c r="F3527" t="n">
        <v>53.36</v>
      </c>
      <c r="G3527" t="n">
        <v>0</v>
      </c>
      <c r="H3527" t="n">
        <v>0</v>
      </c>
      <c r="I3527" s="3">
        <f>E3527+G3527+H3527</f>
        <v/>
      </c>
      <c r="J3527" s="3">
        <f>ROUND(MIN(IF(C3527="Técnico III",35,IF(C3527="Técnico II",28,IF(C3527="Técnico I",23,IF(C3527="JR",20,IF(C3527="Estágio",10,0))))),IF(C3527="Técnico III",SUMIFS($D:$D,$A:$A,$A3527,$B:$B,"&lt;&gt;Patrícia Karla de Sousa Araújo",$B:$B,"&lt;&gt;Lorena Dias de Araujo",$B:$B,"&lt;&gt;Lucas Luiz Romero")*(35/1083),IF(C3527="Técnico II",SUMIFS($D:$D,$A:$A,$A3527,$B:$B,"&lt;&gt;Patrícia Karla de Sousa Araújo",$B:$B,"&lt;&gt;Lorena Dias de Araujo",$B:$B,"&lt;&gt;Lucas Luiz Romero")*(28/1083),IF(C3527="Técnico I",SUMIFS($D:$D,$A:$A,$A3527,$B:$B,"&lt;&gt;Patrícia Karla de Sousa Araújo",$B:$B,"&lt;&gt;Lorena Dias de Araujo",$B:$B,"&lt;&gt;Lucas Luiz Romero")*(23/1083),IF(C3527="JR",SUMIFS($D:$D,$A:$A,$A3527,$B:$B,"&lt;&gt;Patrícia Karla de Sousa Araújo",$B:$B,"&lt;&gt;Lorena Dias de Araujo",$B:$B,"&lt;&gt;Lucas Luiz Romero")*(20/1083),IF(C3527="Estágio",SUMIFS($D:$D,$A:$A,$A3527,$B:$B,"&lt;&gt;Patrícia Karla de Sousa Araújo",$B:$B,"&lt;&gt;Lorena Dias de Araujo",$B:$B,"&lt;&gt;Lucas Luiz Romero")*(10/1083),0)))))),0)</f>
        <v/>
      </c>
      <c r="K3527" s="3">
        <f>I3527-J3527</f>
        <v/>
      </c>
      <c r="L3527" s="3">
        <f>IF(K3527&lt;-5,"CRÍTICO",IF(K3527&lt;0,"ATENÇÃO",IF(K3527&lt;=5,"OPORTUNO","MUITO BOM")))</f>
        <v/>
      </c>
      <c r="N3527" t="n">
        <v>96.81</v>
      </c>
      <c r="O3527" t="n">
        <v>32.36514522821577</v>
      </c>
    </row>
    <row r="3528" hidden="1">
      <c r="A3528" s="11" t="n">
        <v>46112</v>
      </c>
      <c r="B3528" t="inlineStr">
        <is>
          <t>Leandro de Souza Silva</t>
        </is>
      </c>
      <c r="C3528" t="inlineStr">
        <is>
          <t>JR</t>
        </is>
      </c>
      <c r="D3528" t="n">
        <v>18</v>
      </c>
      <c r="E3528" t="n">
        <v>18</v>
      </c>
      <c r="F3528" t="n">
        <v>18.42</v>
      </c>
      <c r="G3528" t="n">
        <v>0</v>
      </c>
      <c r="H3528" t="n">
        <v>0</v>
      </c>
      <c r="I3528" s="3">
        <f>E3528+G3528+H3528</f>
        <v/>
      </c>
      <c r="J3528" s="3">
        <f>ROUND(MIN(IF(C3528="Técnico III",35,IF(C3528="Técnico II",28,IF(C3528="Técnico I",23,IF(C3528="JR",20,IF(C3528="Estágio",10,0))))),IF(C3528="Técnico III",SUMIFS($D:$D,$A:$A,$A3528,$B:$B,"&lt;&gt;Patrícia Karla de Sousa Araújo",$B:$B,"&lt;&gt;Lorena Dias de Araujo",$B:$B,"&lt;&gt;Lucas Luiz Romero")*(35/1083),IF(C3528="Técnico II",SUMIFS($D:$D,$A:$A,$A3528,$B:$B,"&lt;&gt;Patrícia Karla de Sousa Araújo",$B:$B,"&lt;&gt;Lorena Dias de Araujo",$B:$B,"&lt;&gt;Lucas Luiz Romero")*(28/1083),IF(C3528="Técnico I",SUMIFS($D:$D,$A:$A,$A3528,$B:$B,"&lt;&gt;Patrícia Karla de Sousa Araújo",$B:$B,"&lt;&gt;Lorena Dias de Araujo",$B:$B,"&lt;&gt;Lucas Luiz Romero")*(23/1083),IF(C3528="JR",SUMIFS($D:$D,$A:$A,$A3528,$B:$B,"&lt;&gt;Patrícia Karla de Sousa Araújo",$B:$B,"&lt;&gt;Lorena Dias de Araujo",$B:$B,"&lt;&gt;Lucas Luiz Romero")*(20/1083),IF(C3528="Estágio",SUMIFS($D:$D,$A:$A,$A3528,$B:$B,"&lt;&gt;Patrícia Karla de Sousa Araújo",$B:$B,"&lt;&gt;Lorena Dias de Araujo",$B:$B,"&lt;&gt;Lucas Luiz Romero")*(10/1083),0)))))),0)</f>
        <v/>
      </c>
      <c r="K3528" s="3">
        <f>I3528-J3528</f>
        <v/>
      </c>
      <c r="L3528" s="3">
        <f>IF(K3528&lt;-5,"CRÍTICO",IF(K3528&lt;0,"ATENÇÃO",IF(K3528&lt;=5,"OPORTUNO","MUITO BOM")))</f>
        <v/>
      </c>
      <c r="N3528" t="n">
        <v>100</v>
      </c>
      <c r="O3528" t="n">
        <v>26.47058823529412</v>
      </c>
    </row>
    <row r="3529" hidden="1">
      <c r="A3529" s="11" t="n">
        <v>46112</v>
      </c>
      <c r="B3529" t="inlineStr">
        <is>
          <t>Leandro Oliveira de Sousa</t>
        </is>
      </c>
      <c r="C3529" t="inlineStr">
        <is>
          <t>Técnico III</t>
        </is>
      </c>
      <c r="D3529" t="n">
        <v>33</v>
      </c>
      <c r="E3529" t="n">
        <v>29</v>
      </c>
      <c r="F3529" t="n">
        <v>15.08</v>
      </c>
      <c r="G3529" t="n">
        <v>0</v>
      </c>
      <c r="H3529" t="n">
        <v>0</v>
      </c>
      <c r="I3529" s="3">
        <f>E3529+G3529+H3529</f>
        <v/>
      </c>
      <c r="J3529" s="3">
        <f>ROUND(MIN(IF(C3529="Técnico III",35,IF(C3529="Técnico II",28,IF(C3529="Técnico I",23,IF(C3529="JR",20,IF(C3529="Estágio",10,0))))),IF(C3529="Técnico III",SUMIFS($D:$D,$A:$A,$A3529,$B:$B,"&lt;&gt;Patrícia Karla de Sousa Araújo",$B:$B,"&lt;&gt;Lorena Dias de Araujo",$B:$B,"&lt;&gt;Lucas Luiz Romero")*(35/1083),IF(C3529="Técnico II",SUMIFS($D:$D,$A:$A,$A3529,$B:$B,"&lt;&gt;Patrícia Karla de Sousa Araújo",$B:$B,"&lt;&gt;Lorena Dias de Araujo",$B:$B,"&lt;&gt;Lucas Luiz Romero")*(28/1083),IF(C3529="Técnico I",SUMIFS($D:$D,$A:$A,$A3529,$B:$B,"&lt;&gt;Patrícia Karla de Sousa Araújo",$B:$B,"&lt;&gt;Lorena Dias de Araujo",$B:$B,"&lt;&gt;Lucas Luiz Romero")*(23/1083),IF(C3529="JR",SUMIFS($D:$D,$A:$A,$A3529,$B:$B,"&lt;&gt;Patrícia Karla de Sousa Araújo",$B:$B,"&lt;&gt;Lorena Dias de Araujo",$B:$B,"&lt;&gt;Lucas Luiz Romero")*(20/1083),IF(C3529="Estágio",SUMIFS($D:$D,$A:$A,$A3529,$B:$B,"&lt;&gt;Patrícia Karla de Sousa Araújo",$B:$B,"&lt;&gt;Lorena Dias de Araujo",$B:$B,"&lt;&gt;Lucas Luiz Romero")*(10/1083),0)))))),0)</f>
        <v/>
      </c>
      <c r="K3529" s="3">
        <f>I3529-J3529</f>
        <v/>
      </c>
      <c r="L3529" s="3">
        <f>IF(K3529&lt;-5,"CRÍTICO",IF(K3529&lt;0,"ATENÇÃO",IF(K3529&lt;=5,"OPORTUNO","MUITO BOM")))</f>
        <v/>
      </c>
      <c r="N3529" t="n">
        <v>100</v>
      </c>
      <c r="O3529" t="n">
        <v>28.49002849002849</v>
      </c>
    </row>
    <row r="3530" hidden="1">
      <c r="A3530" s="11" t="n">
        <v>46112</v>
      </c>
      <c r="B3530" t="inlineStr">
        <is>
          <t>Lizandra Gomes Duarte</t>
        </is>
      </c>
      <c r="C3530" t="inlineStr">
        <is>
          <t>Técnico II</t>
        </is>
      </c>
      <c r="D3530" t="n">
        <v>26</v>
      </c>
      <c r="E3530" t="n">
        <v>23</v>
      </c>
      <c r="F3530" t="n">
        <v>20.36</v>
      </c>
      <c r="G3530" t="n">
        <v>0</v>
      </c>
      <c r="H3530" t="n">
        <v>0</v>
      </c>
      <c r="I3530" s="3">
        <f>E3530+G3530+H3530</f>
        <v/>
      </c>
      <c r="J3530" s="3">
        <f>ROUND(MIN(IF(C3530="Técnico III",35,IF(C3530="Técnico II",28,IF(C3530="Técnico I",23,IF(C3530="JR",20,IF(C3530="Estágio",10,0))))),IF(C3530="Técnico III",SUMIFS($D:$D,$A:$A,$A3530,$B:$B,"&lt;&gt;Patrícia Karla de Sousa Araújo",$B:$B,"&lt;&gt;Lorena Dias de Araujo",$B:$B,"&lt;&gt;Lucas Luiz Romero")*(35/1083),IF(C3530="Técnico II",SUMIFS($D:$D,$A:$A,$A3530,$B:$B,"&lt;&gt;Patrícia Karla de Sousa Araújo",$B:$B,"&lt;&gt;Lorena Dias de Araujo",$B:$B,"&lt;&gt;Lucas Luiz Romero")*(28/1083),IF(C3530="Técnico I",SUMIFS($D:$D,$A:$A,$A3530,$B:$B,"&lt;&gt;Patrícia Karla de Sousa Araújo",$B:$B,"&lt;&gt;Lorena Dias de Araujo",$B:$B,"&lt;&gt;Lucas Luiz Romero")*(23/1083),IF(C3530="JR",SUMIFS($D:$D,$A:$A,$A3530,$B:$B,"&lt;&gt;Patrícia Karla de Sousa Araújo",$B:$B,"&lt;&gt;Lorena Dias de Araujo",$B:$B,"&lt;&gt;Lucas Luiz Romero")*(20/1083),IF(C3530="Estágio",SUMIFS($D:$D,$A:$A,$A3530,$B:$B,"&lt;&gt;Patrícia Karla de Sousa Araújo",$B:$B,"&lt;&gt;Lorena Dias de Araujo",$B:$B,"&lt;&gt;Lucas Luiz Romero")*(10/1083),0)))))),0)</f>
        <v/>
      </c>
      <c r="K3530" s="3">
        <f>I3530-J3530</f>
        <v/>
      </c>
      <c r="L3530" s="3">
        <f>IF(K3530&lt;-5,"CRÍTICO",IF(K3530&lt;0,"ATENÇÃO",IF(K3530&lt;=5,"OPORTUNO","MUITO BOM")))</f>
        <v/>
      </c>
      <c r="N3530" t="n">
        <v>99.14</v>
      </c>
      <c r="O3530" t="n">
        <v>27.2289156626506</v>
      </c>
    </row>
    <row r="3531" hidden="1">
      <c r="A3531" s="11" t="n">
        <v>46112</v>
      </c>
      <c r="B3531" t="inlineStr">
        <is>
          <t>Lorena Dias de Araujo</t>
        </is>
      </c>
      <c r="C3531" t="inlineStr">
        <is>
          <t>Técnico II</t>
        </is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s="3" t="n">
        <v>0</v>
      </c>
      <c r="J3531" s="3" t="n">
        <v>0</v>
      </c>
      <c r="K3531" s="3" t="n">
        <v>0</v>
      </c>
      <c r="L3531" s="3">
        <f>IF(K3531&lt;-5,"CRÍTICO",IF(K3531&lt;0,"ATENÇÃO",IF(K3531&lt;=5,"OPORTUNO","MUITO BOM")))</f>
        <v/>
      </c>
      <c r="N3531" t="n">
        <v>97.52</v>
      </c>
      <c r="O3531" t="n">
        <v>28.2051282051282</v>
      </c>
    </row>
    <row r="3532" hidden="1">
      <c r="A3532" s="11" t="n">
        <v>46112</v>
      </c>
      <c r="B3532" t="inlineStr">
        <is>
          <t>Lucas Luiz Romero</t>
        </is>
      </c>
      <c r="C3532" t="inlineStr">
        <is>
          <t>Técnico III</t>
        </is>
      </c>
      <c r="D3532" t="n">
        <v>41</v>
      </c>
      <c r="E3532" t="n">
        <v>36</v>
      </c>
      <c r="F3532" t="n">
        <v>17.23</v>
      </c>
      <c r="G3532" t="n">
        <v>0</v>
      </c>
      <c r="H3532" t="n">
        <v>0</v>
      </c>
      <c r="I3532" s="3">
        <f>E3532+G3532+H3532</f>
        <v/>
      </c>
      <c r="J3532" s="3">
        <f>ROUND(MIN(IF(C3532="Técnico III",35,IF(C3532="Técnico II",28,IF(C3532="Técnico I",23,IF(C3532="JR",20,IF(C3532="Estágio",10,0))))),IF(C3532="Técnico III",SUMIFS($D:$D,$A:$A,$A3532,$B:$B,"&lt;&gt;Patrícia Karla de Sousa Araújo",$B:$B,"&lt;&gt;Lorena Dias de Araujo",$B:$B,"&lt;&gt;Lucas Luiz Romero")*(35/1083),IF(C3532="Técnico II",SUMIFS($D:$D,$A:$A,$A3532,$B:$B,"&lt;&gt;Patrícia Karla de Sousa Araújo",$B:$B,"&lt;&gt;Lorena Dias de Araujo",$B:$B,"&lt;&gt;Lucas Luiz Romero")*(28/1083),IF(C3532="Técnico I",SUMIFS($D:$D,$A:$A,$A3532,$B:$B,"&lt;&gt;Patrícia Karla de Sousa Araújo",$B:$B,"&lt;&gt;Lorena Dias de Araujo",$B:$B,"&lt;&gt;Lucas Luiz Romero")*(23/1083),IF(C3532="JR",SUMIFS($D:$D,$A:$A,$A3532,$B:$B,"&lt;&gt;Patrícia Karla de Sousa Araújo",$B:$B,"&lt;&gt;Lorena Dias de Araujo",$B:$B,"&lt;&gt;Lucas Luiz Romero")*(20/1083),IF(C3532="Estágio",SUMIFS($D:$D,$A:$A,$A3532,$B:$B,"&lt;&gt;Patrícia Karla de Sousa Araújo",$B:$B,"&lt;&gt;Lorena Dias de Araujo",$B:$B,"&lt;&gt;Lucas Luiz Romero")*(10/1083),0)))))),0)</f>
        <v/>
      </c>
      <c r="K3532" s="3">
        <f>I3532-J3532</f>
        <v/>
      </c>
      <c r="L3532" s="3">
        <f>IF(K3532&lt;-5,"CRÍTICO",IF(K3532&lt;0,"ATENÇÃO",IF(K3532&lt;=5,"OPORTUNO","MUITO BOM")))</f>
        <v/>
      </c>
      <c r="N3532" t="n">
        <v>90</v>
      </c>
      <c r="O3532" t="n">
        <v>24.18604651162791</v>
      </c>
    </row>
    <row r="3533" hidden="1">
      <c r="A3533" s="11" t="n">
        <v>46112</v>
      </c>
      <c r="B3533" t="inlineStr">
        <is>
          <t>Luiz Fernando de Carvalho Junior</t>
        </is>
      </c>
      <c r="C3533" t="inlineStr">
        <is>
          <t>Técnico I</t>
        </is>
      </c>
      <c r="D3533" t="n">
        <v>29</v>
      </c>
      <c r="E3533" t="n">
        <v>28</v>
      </c>
      <c r="F3533" t="n">
        <v>15.59</v>
      </c>
      <c r="G3533" t="n">
        <v>0</v>
      </c>
      <c r="H3533" t="n">
        <v>0</v>
      </c>
      <c r="I3533" s="3">
        <f>E3533+G3533+H3533</f>
        <v/>
      </c>
      <c r="J3533" s="3">
        <f>ROUND(MIN(IF(C3533="Técnico III",35,IF(C3533="Técnico II",28,IF(C3533="Técnico I",23,IF(C3533="JR",20,IF(C3533="Estágio",10,0))))),IF(C3533="Técnico III",SUMIFS($D:$D,$A:$A,$A3533,$B:$B,"&lt;&gt;Patrícia Karla de Sousa Araújo",$B:$B,"&lt;&gt;Lorena Dias de Araujo",$B:$B,"&lt;&gt;Lucas Luiz Romero")*(35/1083),IF(C3533="Técnico II",SUMIFS($D:$D,$A:$A,$A3533,$B:$B,"&lt;&gt;Patrícia Karla de Sousa Araújo",$B:$B,"&lt;&gt;Lorena Dias de Araujo",$B:$B,"&lt;&gt;Lucas Luiz Romero")*(28/1083),IF(C3533="Técnico I",SUMIFS($D:$D,$A:$A,$A3533,$B:$B,"&lt;&gt;Patrícia Karla de Sousa Araújo",$B:$B,"&lt;&gt;Lorena Dias de Araujo",$B:$B,"&lt;&gt;Lucas Luiz Romero")*(23/1083),IF(C3533="JR",SUMIFS($D:$D,$A:$A,$A3533,$B:$B,"&lt;&gt;Patrícia Karla de Sousa Araújo",$B:$B,"&lt;&gt;Lorena Dias de Araujo",$B:$B,"&lt;&gt;Lucas Luiz Romero")*(20/1083),IF(C3533="Estágio",SUMIFS($D:$D,$A:$A,$A3533,$B:$B,"&lt;&gt;Patrícia Karla de Sousa Araújo",$B:$B,"&lt;&gt;Lorena Dias de Araujo",$B:$B,"&lt;&gt;Lucas Luiz Romero")*(10/1083),0)))))),0)</f>
        <v/>
      </c>
      <c r="K3533" s="3">
        <f>I3533-J3533</f>
        <v/>
      </c>
      <c r="L3533" s="3">
        <f>IF(K3533&lt;-5,"CRÍTICO",IF(K3533&lt;0,"ATENÇÃO",IF(K3533&lt;=5,"OPORTUNO","MUITO BOM")))</f>
        <v/>
      </c>
      <c r="N3533" t="n">
        <v>98.90000000000001</v>
      </c>
      <c r="O3533" t="n">
        <v>26.7639902676399</v>
      </c>
    </row>
    <row r="3534" hidden="1">
      <c r="A3534" s="11" t="n">
        <v>46112</v>
      </c>
      <c r="B3534" t="inlineStr">
        <is>
          <t>Maria Eduarda Sousa Costa</t>
        </is>
      </c>
      <c r="C3534" t="inlineStr">
        <is>
          <t>Estágio</t>
        </is>
      </c>
      <c r="D3534" t="n">
        <v>8</v>
      </c>
      <c r="E3534" t="n">
        <v>8</v>
      </c>
      <c r="F3534" t="n">
        <v>40.1</v>
      </c>
      <c r="G3534" t="n">
        <v>0</v>
      </c>
      <c r="H3534" t="n">
        <v>0</v>
      </c>
      <c r="I3534" s="3">
        <f>E3534+G3534+H3534</f>
        <v/>
      </c>
      <c r="J3534" s="3">
        <f>ROUND(MIN(IF(C3534="Técnico III",35,IF(C3534="Técnico II",28,IF(C3534="Técnico I",23,IF(C3534="JR",20,IF(C3534="Estágio",10,0))))),IF(C3534="Técnico III",SUMIFS($D:$D,$A:$A,$A3534,$B:$B,"&lt;&gt;Patrícia Karla de Sousa Araújo",$B:$B,"&lt;&gt;Lorena Dias de Araujo",$B:$B,"&lt;&gt;Lucas Luiz Romero")*(35/1083),IF(C3534="Técnico II",SUMIFS($D:$D,$A:$A,$A3534,$B:$B,"&lt;&gt;Patrícia Karla de Sousa Araújo",$B:$B,"&lt;&gt;Lorena Dias de Araujo",$B:$B,"&lt;&gt;Lucas Luiz Romero")*(28/1083),IF(C3534="Técnico I",SUMIFS($D:$D,$A:$A,$A3534,$B:$B,"&lt;&gt;Patrícia Karla de Sousa Araújo",$B:$B,"&lt;&gt;Lorena Dias de Araujo",$B:$B,"&lt;&gt;Lucas Luiz Romero")*(23/1083),IF(C3534="JR",SUMIFS($D:$D,$A:$A,$A3534,$B:$B,"&lt;&gt;Patrícia Karla de Sousa Araújo",$B:$B,"&lt;&gt;Lorena Dias de Araujo",$B:$B,"&lt;&gt;Lucas Luiz Romero")*(20/1083),IF(C3534="Estágio",SUMIFS($D:$D,$A:$A,$A3534,$B:$B,"&lt;&gt;Patrícia Karla de Sousa Araújo",$B:$B,"&lt;&gt;Lorena Dias de Araujo",$B:$B,"&lt;&gt;Lucas Luiz Romero")*(10/1083),0)))))),0)</f>
        <v/>
      </c>
      <c r="K3534" s="3">
        <f>I3534-J3534</f>
        <v/>
      </c>
      <c r="L3534" s="3">
        <f>IF(K3534&lt;-5,"CRÍTICO",IF(K3534&lt;0,"ATENÇÃO",IF(K3534&lt;=5,"OPORTUNO","MUITO BOM")))</f>
        <v/>
      </c>
      <c r="N3534" t="n">
        <v>88.89</v>
      </c>
      <c r="O3534" t="n">
        <v>25.26315789473684</v>
      </c>
    </row>
    <row r="3535" hidden="1">
      <c r="A3535" s="11" t="n">
        <v>46112</v>
      </c>
      <c r="B3535" t="inlineStr">
        <is>
          <t>Matheus Farias De Souza</t>
        </is>
      </c>
      <c r="C3535" t="inlineStr">
        <is>
          <t>Técnico III</t>
        </is>
      </c>
      <c r="D3535" t="n">
        <v>34</v>
      </c>
      <c r="E3535" t="n">
        <v>30</v>
      </c>
      <c r="F3535" t="n">
        <v>15.39</v>
      </c>
      <c r="G3535" t="n">
        <v>0</v>
      </c>
      <c r="H3535" t="n">
        <v>0</v>
      </c>
      <c r="I3535" s="3">
        <f>E3535+G3535+H3535</f>
        <v/>
      </c>
      <c r="J3535" s="3">
        <f>ROUND(MIN(IF(C3535="Técnico III",35,IF(C3535="Técnico II",28,IF(C3535="Técnico I",23,IF(C3535="JR",20,IF(C3535="Estágio",10,0))))),IF(C3535="Técnico III",SUMIFS($D:$D,$A:$A,$A3535,$B:$B,"&lt;&gt;Patrícia Karla de Sousa Araújo",$B:$B,"&lt;&gt;Lorena Dias de Araujo",$B:$B,"&lt;&gt;Lucas Luiz Romero")*(35/1083),IF(C3535="Técnico II",SUMIFS($D:$D,$A:$A,$A3535,$B:$B,"&lt;&gt;Patrícia Karla de Sousa Araújo",$B:$B,"&lt;&gt;Lorena Dias de Araujo",$B:$B,"&lt;&gt;Lucas Luiz Romero")*(28/1083),IF(C3535="Técnico I",SUMIFS($D:$D,$A:$A,$A3535,$B:$B,"&lt;&gt;Patrícia Karla de Sousa Araújo",$B:$B,"&lt;&gt;Lorena Dias de Araujo",$B:$B,"&lt;&gt;Lucas Luiz Romero")*(23/1083),IF(C3535="JR",SUMIFS($D:$D,$A:$A,$A3535,$B:$B,"&lt;&gt;Patrícia Karla de Sousa Araújo",$B:$B,"&lt;&gt;Lorena Dias de Araujo",$B:$B,"&lt;&gt;Lucas Luiz Romero")*(20/1083),IF(C3535="Estágio",SUMIFS($D:$D,$A:$A,$A3535,$B:$B,"&lt;&gt;Patrícia Karla de Sousa Araújo",$B:$B,"&lt;&gt;Lorena Dias de Araujo",$B:$B,"&lt;&gt;Lucas Luiz Romero")*(10/1083),0)))))),0)</f>
        <v/>
      </c>
      <c r="K3535" s="3">
        <f>I3535-J3535</f>
        <v/>
      </c>
      <c r="L3535" s="3">
        <f>IF(K3535&lt;-5,"CRÍTICO",IF(K3535&lt;0,"ATENÇÃO",IF(K3535&lt;=5,"OPORTUNO","MUITO BOM")))</f>
        <v/>
      </c>
      <c r="N3535" t="n">
        <v>98.86</v>
      </c>
      <c r="O3535" t="n">
        <v>28.95927601809955</v>
      </c>
    </row>
    <row r="3536" hidden="1">
      <c r="A3536" s="11" t="n">
        <v>46112</v>
      </c>
      <c r="B3536" t="inlineStr">
        <is>
          <t>Maysa Victoria Dias Moura</t>
        </is>
      </c>
      <c r="C3536" t="inlineStr">
        <is>
          <t>Técnico III</t>
        </is>
      </c>
      <c r="D3536" t="n">
        <v>40</v>
      </c>
      <c r="E3536" t="n">
        <v>37</v>
      </c>
      <c r="F3536" t="n">
        <v>11.53</v>
      </c>
      <c r="G3536" t="n">
        <v>0</v>
      </c>
      <c r="H3536" t="n">
        <v>0</v>
      </c>
      <c r="I3536" s="3">
        <f>E3536+G3536+H3536</f>
        <v/>
      </c>
      <c r="J3536" s="3">
        <f>ROUND(MIN(IF(C3536="Técnico III",35,IF(C3536="Técnico II",28,IF(C3536="Técnico I",23,IF(C3536="JR",20,IF(C3536="Estágio",10,0))))),IF(C3536="Técnico III",SUMIFS($D:$D,$A:$A,$A3536,$B:$B,"&lt;&gt;Patrícia Karla de Sousa Araújo",$B:$B,"&lt;&gt;Lorena Dias de Araujo",$B:$B,"&lt;&gt;Lucas Luiz Romero")*(35/1083),IF(C3536="Técnico II",SUMIFS($D:$D,$A:$A,$A3536,$B:$B,"&lt;&gt;Patrícia Karla de Sousa Araújo",$B:$B,"&lt;&gt;Lorena Dias de Araujo",$B:$B,"&lt;&gt;Lucas Luiz Romero")*(28/1083),IF(C3536="Técnico I",SUMIFS($D:$D,$A:$A,$A3536,$B:$B,"&lt;&gt;Patrícia Karla de Sousa Araújo",$B:$B,"&lt;&gt;Lorena Dias de Araujo",$B:$B,"&lt;&gt;Lucas Luiz Romero")*(23/1083),IF(C3536="JR",SUMIFS($D:$D,$A:$A,$A3536,$B:$B,"&lt;&gt;Patrícia Karla de Sousa Araújo",$B:$B,"&lt;&gt;Lorena Dias de Araujo",$B:$B,"&lt;&gt;Lucas Luiz Romero")*(20/1083),IF(C3536="Estágio",SUMIFS($D:$D,$A:$A,$A3536,$B:$B,"&lt;&gt;Patrícia Karla de Sousa Araújo",$B:$B,"&lt;&gt;Lorena Dias de Araujo",$B:$B,"&lt;&gt;Lucas Luiz Romero")*(10/1083),0)))))),0)</f>
        <v/>
      </c>
      <c r="K3536" s="3">
        <f>I3536-J3536</f>
        <v/>
      </c>
      <c r="L3536" s="3">
        <f>IF(K3536&lt;-5,"CRÍTICO",IF(K3536&lt;0,"ATENÇÃO",IF(K3536&lt;=5,"OPORTUNO","MUITO BOM")))</f>
        <v/>
      </c>
      <c r="N3536" t="n">
        <v>98.06</v>
      </c>
      <c r="O3536" t="n">
        <v>22.40566037735849</v>
      </c>
    </row>
    <row r="3537" hidden="1">
      <c r="A3537" s="11" t="n">
        <v>46112</v>
      </c>
      <c r="B3537" t="inlineStr">
        <is>
          <t>Michelle G Santos</t>
        </is>
      </c>
      <c r="C3537" t="inlineStr">
        <is>
          <t>Estágio</t>
        </is>
      </c>
      <c r="D3537" t="n">
        <v>20</v>
      </c>
      <c r="E3537" t="n">
        <v>19</v>
      </c>
      <c r="F3537" t="n">
        <v>27.18</v>
      </c>
      <c r="G3537" t="n">
        <v>0</v>
      </c>
      <c r="H3537" t="n">
        <v>0</v>
      </c>
      <c r="I3537" s="3">
        <f>E3537+G3537+H3537</f>
        <v/>
      </c>
      <c r="J3537" s="3">
        <f>ROUND(MIN(IF(C3537="Técnico III",35,IF(C3537="Técnico II",28,IF(C3537="Técnico I",23,IF(C3537="JR",20,IF(C3537="Estágio",10,0))))),IF(C3537="Técnico III",SUMIFS($D:$D,$A:$A,$A3537,$B:$B,"&lt;&gt;Patrícia Karla de Sousa Araújo",$B:$B,"&lt;&gt;Lorena Dias de Araujo",$B:$B,"&lt;&gt;Lucas Luiz Romero")*(35/1083),IF(C3537="Técnico II",SUMIFS($D:$D,$A:$A,$A3537,$B:$B,"&lt;&gt;Patrícia Karla de Sousa Araújo",$B:$B,"&lt;&gt;Lorena Dias de Araujo",$B:$B,"&lt;&gt;Lucas Luiz Romero")*(28/1083),IF(C3537="Técnico I",SUMIFS($D:$D,$A:$A,$A3537,$B:$B,"&lt;&gt;Patrícia Karla de Sousa Araújo",$B:$B,"&lt;&gt;Lorena Dias de Araujo",$B:$B,"&lt;&gt;Lucas Luiz Romero")*(23/1083),IF(C3537="JR",SUMIFS($D:$D,$A:$A,$A3537,$B:$B,"&lt;&gt;Patrícia Karla de Sousa Araújo",$B:$B,"&lt;&gt;Lorena Dias de Araujo",$B:$B,"&lt;&gt;Lucas Luiz Romero")*(20/1083),IF(C3537="Estágio",SUMIFS($D:$D,$A:$A,$A3537,$B:$B,"&lt;&gt;Patrícia Karla de Sousa Araújo",$B:$B,"&lt;&gt;Lorena Dias de Araujo",$B:$B,"&lt;&gt;Lucas Luiz Romero")*(10/1083),0)))))),0)</f>
        <v/>
      </c>
      <c r="K3537" s="3">
        <f>I3537-J3537</f>
        <v/>
      </c>
      <c r="L3537" s="3">
        <f>IF(K3537&lt;-5,"CRÍTICO",IF(K3537&lt;0,"ATENÇÃO",IF(K3537&lt;=5,"OPORTUNO","MUITO BOM")))</f>
        <v/>
      </c>
      <c r="N3537" t="n">
        <v>95.83</v>
      </c>
      <c r="O3537" t="n">
        <v>25.77319587628866</v>
      </c>
    </row>
    <row r="3538" hidden="1">
      <c r="A3538" s="11" t="n">
        <v>46112</v>
      </c>
      <c r="B3538" t="inlineStr">
        <is>
          <t>Milena Sales</t>
        </is>
      </c>
      <c r="C3538" t="inlineStr">
        <is>
          <t>JR</t>
        </is>
      </c>
      <c r="D3538" t="n">
        <v>22</v>
      </c>
      <c r="E3538" t="n">
        <v>17</v>
      </c>
      <c r="F3538" t="n">
        <v>20.21</v>
      </c>
      <c r="G3538" t="n">
        <v>0</v>
      </c>
      <c r="H3538" t="n">
        <v>0</v>
      </c>
      <c r="I3538" s="3">
        <f>E3538+G3538+H3538</f>
        <v/>
      </c>
      <c r="J3538" s="3">
        <f>ROUND(MIN(IF(C3538="Técnico III",35,IF(C3538="Técnico II",28,IF(C3538="Técnico I",23,IF(C3538="JR",20,IF(C3538="Estágio",10,0))))),IF(C3538="Técnico III",SUMIFS($D:$D,$A:$A,$A3538,$B:$B,"&lt;&gt;Patrícia Karla de Sousa Araújo",$B:$B,"&lt;&gt;Lorena Dias de Araujo",$B:$B,"&lt;&gt;Lucas Luiz Romero")*(35/1083),IF(C3538="Técnico II",SUMIFS($D:$D,$A:$A,$A3538,$B:$B,"&lt;&gt;Patrícia Karla de Sousa Araújo",$B:$B,"&lt;&gt;Lorena Dias de Araujo",$B:$B,"&lt;&gt;Lucas Luiz Romero")*(28/1083),IF(C3538="Técnico I",SUMIFS($D:$D,$A:$A,$A3538,$B:$B,"&lt;&gt;Patrícia Karla de Sousa Araújo",$B:$B,"&lt;&gt;Lorena Dias de Araujo",$B:$B,"&lt;&gt;Lucas Luiz Romero")*(23/1083),IF(C3538="JR",SUMIFS($D:$D,$A:$A,$A3538,$B:$B,"&lt;&gt;Patrícia Karla de Sousa Araújo",$B:$B,"&lt;&gt;Lorena Dias de Araujo",$B:$B,"&lt;&gt;Lucas Luiz Romero")*(20/1083),IF(C3538="Estágio",SUMIFS($D:$D,$A:$A,$A3538,$B:$B,"&lt;&gt;Patrícia Karla de Sousa Araújo",$B:$B,"&lt;&gt;Lorena Dias de Araujo",$B:$B,"&lt;&gt;Lucas Luiz Romero")*(10/1083),0)))))),0)</f>
        <v/>
      </c>
      <c r="K3538" s="3">
        <f>I3538-J3538</f>
        <v/>
      </c>
      <c r="L3538" s="3">
        <f>IF(K3538&lt;-5,"CRÍTICO",IF(K3538&lt;0,"ATENÇÃO",IF(K3538&lt;=5,"OPORTUNO","MUITO BOM")))</f>
        <v/>
      </c>
      <c r="N3538" t="n">
        <v>100</v>
      </c>
      <c r="O3538" t="n">
        <v>15.38461538461539</v>
      </c>
    </row>
    <row r="3539" hidden="1">
      <c r="A3539" s="11" t="n">
        <v>46112</v>
      </c>
      <c r="B3539" t="inlineStr">
        <is>
          <t>Patrícia Karla de Sousa Araújo</t>
        </is>
      </c>
      <c r="C3539" t="inlineStr">
        <is>
          <t>Técnico II</t>
        </is>
      </c>
      <c r="D3539" t="n">
        <v>32</v>
      </c>
      <c r="E3539" t="n">
        <v>30</v>
      </c>
      <c r="F3539" t="n">
        <v>18.39</v>
      </c>
      <c r="G3539" t="n">
        <v>0</v>
      </c>
      <c r="H3539" t="n">
        <v>0</v>
      </c>
      <c r="I3539" s="3">
        <f>E3539+G3539+H3539</f>
        <v/>
      </c>
      <c r="J3539" s="3">
        <f>ROUND(MIN(IF(C3539="Técnico III",35,IF(C3539="Técnico II",28,IF(C3539="Técnico I",23,IF(C3539="JR",20,IF(C3539="Estágio",10,0))))),IF(C3539="Técnico III",SUMIFS($D:$D,$A:$A,$A3539,$B:$B,"&lt;&gt;Patrícia Karla de Sousa Araújo",$B:$B,"&lt;&gt;Lorena Dias de Araujo",$B:$B,"&lt;&gt;Lucas Luiz Romero")*(35/1083),IF(C3539="Técnico II",SUMIFS($D:$D,$A:$A,$A3539,$B:$B,"&lt;&gt;Patrícia Karla de Sousa Araújo",$B:$B,"&lt;&gt;Lorena Dias de Araujo",$B:$B,"&lt;&gt;Lucas Luiz Romero")*(28/1083),IF(C3539="Técnico I",SUMIFS($D:$D,$A:$A,$A3539,$B:$B,"&lt;&gt;Patrícia Karla de Sousa Araújo",$B:$B,"&lt;&gt;Lorena Dias de Araujo",$B:$B,"&lt;&gt;Lucas Luiz Romero")*(23/1083),IF(C3539="JR",SUMIFS($D:$D,$A:$A,$A3539,$B:$B,"&lt;&gt;Patrícia Karla de Sousa Araújo",$B:$B,"&lt;&gt;Lorena Dias de Araujo",$B:$B,"&lt;&gt;Lucas Luiz Romero")*(20/1083),IF(C3539="Estágio",SUMIFS($D:$D,$A:$A,$A3539,$B:$B,"&lt;&gt;Patrícia Karla de Sousa Araújo",$B:$B,"&lt;&gt;Lorena Dias de Araujo",$B:$B,"&lt;&gt;Lucas Luiz Romero")*(10/1083),0)))))),0)</f>
        <v/>
      </c>
      <c r="K3539" s="3">
        <f>I3539-J3539</f>
        <v/>
      </c>
      <c r="L3539" s="3">
        <f>IF(K3539&lt;-5,"CRÍTICO",IF(K3539&lt;0,"ATENÇÃO",IF(K3539&lt;=5,"OPORTUNO","MUITO BOM")))</f>
        <v/>
      </c>
      <c r="N3539" t="n">
        <v>100</v>
      </c>
      <c r="O3539" t="n">
        <v>27.51479289940828</v>
      </c>
    </row>
    <row r="3540" hidden="1">
      <c r="A3540" s="11" t="n">
        <v>46112</v>
      </c>
      <c r="B3540" t="inlineStr">
        <is>
          <t>Paulo Ricardo Santos</t>
        </is>
      </c>
      <c r="C3540" t="inlineStr">
        <is>
          <t>JR</t>
        </is>
      </c>
      <c r="D3540" t="n">
        <v>21</v>
      </c>
      <c r="E3540" t="n">
        <v>19</v>
      </c>
      <c r="F3540" t="n">
        <v>18.51</v>
      </c>
      <c r="G3540" t="n">
        <v>0</v>
      </c>
      <c r="H3540" t="n">
        <v>0</v>
      </c>
      <c r="I3540" s="3">
        <f>E3540+G3540+H3540</f>
        <v/>
      </c>
      <c r="J3540" s="3">
        <f>ROUND(MIN(IF(C3540="Técnico III",35,IF(C3540="Técnico II",28,IF(C3540="Técnico I",23,IF(C3540="JR",20,IF(C3540="Estágio",10,0))))),IF(C3540="Técnico III",SUMIFS($D:$D,$A:$A,$A3540,$B:$B,"&lt;&gt;Patrícia Karla de Sousa Araújo",$B:$B,"&lt;&gt;Lorena Dias de Araujo",$B:$B,"&lt;&gt;Lucas Luiz Romero")*(35/1083),IF(C3540="Técnico II",SUMIFS($D:$D,$A:$A,$A3540,$B:$B,"&lt;&gt;Patrícia Karla de Sousa Araújo",$B:$B,"&lt;&gt;Lorena Dias de Araujo",$B:$B,"&lt;&gt;Lucas Luiz Romero")*(28/1083),IF(C3540="Técnico I",SUMIFS($D:$D,$A:$A,$A3540,$B:$B,"&lt;&gt;Patrícia Karla de Sousa Araújo",$B:$B,"&lt;&gt;Lorena Dias de Araujo",$B:$B,"&lt;&gt;Lucas Luiz Romero")*(23/1083),IF(C3540="JR",SUMIFS($D:$D,$A:$A,$A3540,$B:$B,"&lt;&gt;Patrícia Karla de Sousa Araújo",$B:$B,"&lt;&gt;Lorena Dias de Araujo",$B:$B,"&lt;&gt;Lucas Luiz Romero")*(20/1083),IF(C3540="Estágio",SUMIFS($D:$D,$A:$A,$A3540,$B:$B,"&lt;&gt;Patrícia Karla de Sousa Araújo",$B:$B,"&lt;&gt;Lorena Dias de Araujo",$B:$B,"&lt;&gt;Lucas Luiz Romero")*(10/1083),0)))))),0)</f>
        <v/>
      </c>
      <c r="K3540" s="3">
        <f>I3540-J3540</f>
        <v/>
      </c>
      <c r="L3540" s="3">
        <f>IF(K3540&lt;-5,"CRÍTICO",IF(K3540&lt;0,"ATENÇÃO",IF(K3540&lt;=5,"OPORTUNO","MUITO BOM")))</f>
        <v/>
      </c>
      <c r="N3540" t="n">
        <v>100</v>
      </c>
      <c r="O3540" t="n">
        <v>24.87562189054727</v>
      </c>
    </row>
    <row r="3541" hidden="1">
      <c r="A3541" s="11" t="n">
        <v>46112</v>
      </c>
      <c r="B3541" t="inlineStr">
        <is>
          <t>Pedro Luiz Mota Sousa</t>
        </is>
      </c>
      <c r="C3541" t="inlineStr">
        <is>
          <t>JR</t>
        </is>
      </c>
      <c r="D3541" t="n">
        <v>27</v>
      </c>
      <c r="E3541" t="n">
        <v>25</v>
      </c>
      <c r="F3541" t="n">
        <v>22.34</v>
      </c>
      <c r="G3541" t="n">
        <v>0</v>
      </c>
      <c r="H3541" t="n">
        <v>0</v>
      </c>
      <c r="I3541" s="3">
        <f>E3541+G3541+H3541</f>
        <v/>
      </c>
      <c r="J3541" s="3">
        <f>ROUND(MIN(IF(C3541="Técnico III",35,IF(C3541="Técnico II",28,IF(C3541="Técnico I",23,IF(C3541="JR",20,IF(C3541="Estágio",10,0))))),IF(C3541="Técnico III",SUMIFS($D:$D,$A:$A,$A3541,$B:$B,"&lt;&gt;Patrícia Karla de Sousa Araújo",$B:$B,"&lt;&gt;Lorena Dias de Araujo",$B:$B,"&lt;&gt;Lucas Luiz Romero")*(35/1083),IF(C3541="Técnico II",SUMIFS($D:$D,$A:$A,$A3541,$B:$B,"&lt;&gt;Patrícia Karla de Sousa Araújo",$B:$B,"&lt;&gt;Lorena Dias de Araujo",$B:$B,"&lt;&gt;Lucas Luiz Romero")*(28/1083),IF(C3541="Técnico I",SUMIFS($D:$D,$A:$A,$A3541,$B:$B,"&lt;&gt;Patrícia Karla de Sousa Araújo",$B:$B,"&lt;&gt;Lorena Dias de Araujo",$B:$B,"&lt;&gt;Lucas Luiz Romero")*(23/1083),IF(C3541="JR",SUMIFS($D:$D,$A:$A,$A3541,$B:$B,"&lt;&gt;Patrícia Karla de Sousa Araújo",$B:$B,"&lt;&gt;Lorena Dias de Araujo",$B:$B,"&lt;&gt;Lucas Luiz Romero")*(20/1083),IF(C3541="Estágio",SUMIFS($D:$D,$A:$A,$A3541,$B:$B,"&lt;&gt;Patrícia Karla de Sousa Araújo",$B:$B,"&lt;&gt;Lorena Dias de Araujo",$B:$B,"&lt;&gt;Lucas Luiz Romero")*(10/1083),0)))))),0)</f>
        <v/>
      </c>
      <c r="K3541" s="3">
        <f>I3541-J3541</f>
        <v/>
      </c>
      <c r="L3541" s="3">
        <f>IF(K3541&lt;-5,"CRÍTICO",IF(K3541&lt;0,"ATENÇÃO",IF(K3541&lt;=5,"OPORTUNO","MUITO BOM")))</f>
        <v/>
      </c>
      <c r="N3541" t="n">
        <v>100</v>
      </c>
      <c r="O3541" t="n">
        <v>28.10810810810811</v>
      </c>
    </row>
    <row r="3542" hidden="1">
      <c r="A3542" s="11" t="n">
        <v>46112</v>
      </c>
      <c r="B3542" t="inlineStr">
        <is>
          <t>Quirino Diogo Leite Torres</t>
        </is>
      </c>
      <c r="C3542" t="inlineStr">
        <is>
          <t>Estágio</t>
        </is>
      </c>
      <c r="D3542" t="n">
        <v>8</v>
      </c>
      <c r="E3542" t="n">
        <v>6</v>
      </c>
      <c r="F3542" t="n">
        <v>34.04</v>
      </c>
      <c r="G3542" t="n">
        <v>0</v>
      </c>
      <c r="H3542" t="n">
        <v>0</v>
      </c>
      <c r="I3542" s="3">
        <f>E3542+G3542+H3542</f>
        <v/>
      </c>
      <c r="J3542" s="3">
        <f>ROUND(MIN(IF(C3542="Técnico III",35,IF(C3542="Técnico II",28,IF(C3542="Técnico I",23,IF(C3542="JR",20,IF(C3542="Estágio",10,0))))),IF(C3542="Técnico III",SUMIFS($D:$D,$A:$A,$A3542,$B:$B,"&lt;&gt;Patrícia Karla de Sousa Araújo",$B:$B,"&lt;&gt;Lorena Dias de Araujo",$B:$B,"&lt;&gt;Lucas Luiz Romero")*(35/1083),IF(C3542="Técnico II",SUMIFS($D:$D,$A:$A,$A3542,$B:$B,"&lt;&gt;Patrícia Karla de Sousa Araújo",$B:$B,"&lt;&gt;Lorena Dias de Araujo",$B:$B,"&lt;&gt;Lucas Luiz Romero")*(28/1083),IF(C3542="Técnico I",SUMIFS($D:$D,$A:$A,$A3542,$B:$B,"&lt;&gt;Patrícia Karla de Sousa Araújo",$B:$B,"&lt;&gt;Lorena Dias de Araujo",$B:$B,"&lt;&gt;Lucas Luiz Romero")*(23/1083),IF(C3542="JR",SUMIFS($D:$D,$A:$A,$A3542,$B:$B,"&lt;&gt;Patrícia Karla de Sousa Araújo",$B:$B,"&lt;&gt;Lorena Dias de Araujo",$B:$B,"&lt;&gt;Lucas Luiz Romero")*(20/1083),IF(C3542="Estágio",SUMIFS($D:$D,$A:$A,$A3542,$B:$B,"&lt;&gt;Patrícia Karla de Sousa Araújo",$B:$B,"&lt;&gt;Lorena Dias de Araujo",$B:$B,"&lt;&gt;Lucas Luiz Romero")*(10/1083),0)))))),0)</f>
        <v/>
      </c>
      <c r="K3542" s="3">
        <f>I3542-J3542</f>
        <v/>
      </c>
      <c r="L3542" s="3">
        <f>IF(K3542&lt;-5,"CRÍTICO",IF(K3542&lt;0,"ATENÇÃO",IF(K3542&lt;=5,"OPORTUNO","MUITO BOM")))</f>
        <v/>
      </c>
      <c r="N3542" t="n">
        <v>100</v>
      </c>
      <c r="O3542" t="n">
        <v>35</v>
      </c>
    </row>
    <row r="3543" hidden="1">
      <c r="A3543" s="11" t="n">
        <v>46112</v>
      </c>
      <c r="B3543" t="inlineStr">
        <is>
          <t>Raane Batista Matos</t>
        </is>
      </c>
      <c r="C3543" t="inlineStr">
        <is>
          <t>Técnico I</t>
        </is>
      </c>
      <c r="D3543" t="n">
        <v>29</v>
      </c>
      <c r="E3543" t="n">
        <v>28</v>
      </c>
      <c r="F3543" t="n">
        <v>18.54</v>
      </c>
      <c r="G3543" t="n">
        <v>0</v>
      </c>
      <c r="H3543" t="n">
        <v>0</v>
      </c>
      <c r="I3543" s="3">
        <f>E3543+G3543+H3543</f>
        <v/>
      </c>
      <c r="J3543" s="3">
        <f>ROUND(MIN(IF(C3543="Técnico III",35,IF(C3543="Técnico II",28,IF(C3543="Técnico I",23,IF(C3543="JR",20,IF(C3543="Estágio",10,0))))),IF(C3543="Técnico III",SUMIFS($D:$D,$A:$A,$A3543,$B:$B,"&lt;&gt;Patrícia Karla de Sousa Araújo",$B:$B,"&lt;&gt;Lorena Dias de Araujo",$B:$B,"&lt;&gt;Lucas Luiz Romero")*(35/1083),IF(C3543="Técnico II",SUMIFS($D:$D,$A:$A,$A3543,$B:$B,"&lt;&gt;Patrícia Karla de Sousa Araújo",$B:$B,"&lt;&gt;Lorena Dias de Araujo",$B:$B,"&lt;&gt;Lucas Luiz Romero")*(28/1083),IF(C3543="Técnico I",SUMIFS($D:$D,$A:$A,$A3543,$B:$B,"&lt;&gt;Patrícia Karla de Sousa Araújo",$B:$B,"&lt;&gt;Lorena Dias de Araujo",$B:$B,"&lt;&gt;Lucas Luiz Romero")*(23/1083),IF(C3543="JR",SUMIFS($D:$D,$A:$A,$A3543,$B:$B,"&lt;&gt;Patrícia Karla de Sousa Araújo",$B:$B,"&lt;&gt;Lorena Dias de Araujo",$B:$B,"&lt;&gt;Lucas Luiz Romero")*(20/1083),IF(C3543="Estágio",SUMIFS($D:$D,$A:$A,$A3543,$B:$B,"&lt;&gt;Patrícia Karla de Sousa Araújo",$B:$B,"&lt;&gt;Lorena Dias de Araujo",$B:$B,"&lt;&gt;Lucas Luiz Romero")*(10/1083),0)))))),0)</f>
        <v/>
      </c>
      <c r="K3543" s="3">
        <f>I3543-J3543</f>
        <v/>
      </c>
      <c r="L3543" s="3">
        <f>IF(K3543&lt;-5,"CRÍTICO",IF(K3543&lt;0,"ATENÇÃO",IF(K3543&lt;=5,"OPORTUNO","MUITO BOM")))</f>
        <v/>
      </c>
      <c r="N3543" t="n">
        <v>95.34999999999999</v>
      </c>
      <c r="O3543" t="n">
        <v>28.61538461538461</v>
      </c>
    </row>
    <row r="3544" hidden="1">
      <c r="A3544" s="11" t="n">
        <v>46112</v>
      </c>
      <c r="B3544" t="inlineStr">
        <is>
          <t>Rafael Gomes de Morais</t>
        </is>
      </c>
      <c r="C3544" t="inlineStr">
        <is>
          <t>Técnico III</t>
        </is>
      </c>
      <c r="D3544" t="n">
        <v>47</v>
      </c>
      <c r="E3544" t="n">
        <v>42</v>
      </c>
      <c r="F3544" t="n">
        <v>12.22</v>
      </c>
      <c r="G3544" t="n">
        <v>0</v>
      </c>
      <c r="H3544" t="n">
        <v>0</v>
      </c>
      <c r="I3544" s="3">
        <f>E3544+G3544+H3544</f>
        <v/>
      </c>
      <c r="J3544" s="3">
        <f>ROUND(MIN(IF(C3544="Técnico III",35,IF(C3544="Técnico II",28,IF(C3544="Técnico I",23,IF(C3544="JR",20,IF(C3544="Estágio",10,0))))),IF(C3544="Técnico III",SUMIFS($D:$D,$A:$A,$A3544,$B:$B,"&lt;&gt;Patrícia Karla de Sousa Araújo",$B:$B,"&lt;&gt;Lorena Dias de Araujo",$B:$B,"&lt;&gt;Lucas Luiz Romero")*(35/1083),IF(C3544="Técnico II",SUMIFS($D:$D,$A:$A,$A3544,$B:$B,"&lt;&gt;Patrícia Karla de Sousa Araújo",$B:$B,"&lt;&gt;Lorena Dias de Araujo",$B:$B,"&lt;&gt;Lucas Luiz Romero")*(28/1083),IF(C3544="Técnico I",SUMIFS($D:$D,$A:$A,$A3544,$B:$B,"&lt;&gt;Patrícia Karla de Sousa Araújo",$B:$B,"&lt;&gt;Lorena Dias de Araujo",$B:$B,"&lt;&gt;Lucas Luiz Romero")*(23/1083),IF(C3544="JR",SUMIFS($D:$D,$A:$A,$A3544,$B:$B,"&lt;&gt;Patrícia Karla de Sousa Araújo",$B:$B,"&lt;&gt;Lorena Dias de Araujo",$B:$B,"&lt;&gt;Lucas Luiz Romero")*(20/1083),IF(C3544="Estágio",SUMIFS($D:$D,$A:$A,$A3544,$B:$B,"&lt;&gt;Patrícia Karla de Sousa Araújo",$B:$B,"&lt;&gt;Lorena Dias de Araujo",$B:$B,"&lt;&gt;Lucas Luiz Romero")*(10/1083),0)))))),0)</f>
        <v/>
      </c>
      <c r="K3544" s="3">
        <f>I3544-J3544</f>
        <v/>
      </c>
      <c r="L3544" s="3">
        <f>IF(K3544&lt;-5,"CRÍTICO",IF(K3544&lt;0,"ATENÇÃO",IF(K3544&lt;=5,"OPORTUNO","MUITO BOM")))</f>
        <v/>
      </c>
      <c r="N3544" t="n">
        <v>98.26000000000001</v>
      </c>
      <c r="O3544" t="n">
        <v>27.54491017964072</v>
      </c>
    </row>
    <row r="3545" hidden="1">
      <c r="A3545" s="11" t="n">
        <v>46112</v>
      </c>
      <c r="B3545" t="inlineStr">
        <is>
          <t>Sara Maria Monteiro Lopes</t>
        </is>
      </c>
      <c r="C3545" t="inlineStr">
        <is>
          <t>Técnico I</t>
        </is>
      </c>
      <c r="D3545" t="n">
        <v>17</v>
      </c>
      <c r="E3545" t="n">
        <v>16</v>
      </c>
      <c r="F3545" t="n">
        <v>33.59</v>
      </c>
      <c r="G3545" t="n">
        <v>0</v>
      </c>
      <c r="H3545" t="n">
        <v>0</v>
      </c>
      <c r="I3545" s="3">
        <f>E3545+G3545+H3545</f>
        <v/>
      </c>
      <c r="J3545" s="3">
        <f>ROUND(MIN(IF(C3545="Técnico III",35,IF(C3545="Técnico II",28,IF(C3545="Técnico I",23,IF(C3545="JR",20,IF(C3545="Estágio",10,0))))),IF(C3545="Técnico III",SUMIFS($D:$D,$A:$A,$A3545,$B:$B,"&lt;&gt;Patrícia Karla de Sousa Araújo",$B:$B,"&lt;&gt;Lorena Dias de Araujo",$B:$B,"&lt;&gt;Lucas Luiz Romero")*(35/1083),IF(C3545="Técnico II",SUMIFS($D:$D,$A:$A,$A3545,$B:$B,"&lt;&gt;Patrícia Karla de Sousa Araújo",$B:$B,"&lt;&gt;Lorena Dias de Araujo",$B:$B,"&lt;&gt;Lucas Luiz Romero")*(28/1083),IF(C3545="Técnico I",SUMIFS($D:$D,$A:$A,$A3545,$B:$B,"&lt;&gt;Patrícia Karla de Sousa Araújo",$B:$B,"&lt;&gt;Lorena Dias de Araujo",$B:$B,"&lt;&gt;Lucas Luiz Romero")*(23/1083),IF(C3545="JR",SUMIFS($D:$D,$A:$A,$A3545,$B:$B,"&lt;&gt;Patrícia Karla de Sousa Araújo",$B:$B,"&lt;&gt;Lorena Dias de Araujo",$B:$B,"&lt;&gt;Lucas Luiz Romero")*(20/1083),IF(C3545="Estágio",SUMIFS($D:$D,$A:$A,$A3545,$B:$B,"&lt;&gt;Patrícia Karla de Sousa Araújo",$B:$B,"&lt;&gt;Lorena Dias de Araujo",$B:$B,"&lt;&gt;Lucas Luiz Romero")*(10/1083),0)))))),0)</f>
        <v/>
      </c>
      <c r="K3545" s="3">
        <f>I3545-J3545</f>
        <v/>
      </c>
      <c r="L3545" s="3">
        <f>IF(K3545&lt;-5,"CRÍTICO",IF(K3545&lt;0,"ATENÇÃO",IF(K3545&lt;=5,"OPORTUNO","MUITO BOM")))</f>
        <v/>
      </c>
      <c r="N3545" t="n">
        <v>98.55</v>
      </c>
      <c r="O3545" t="n">
        <v>25.33783783783784</v>
      </c>
    </row>
    <row r="3546" hidden="1">
      <c r="A3546" s="11" t="n">
        <v>46112</v>
      </c>
      <c r="B3546" t="inlineStr">
        <is>
          <t>Sarah Steffanie de Lima Borges</t>
        </is>
      </c>
      <c r="C3546" t="inlineStr">
        <is>
          <t>Técnico III</t>
        </is>
      </c>
      <c r="D3546" t="n">
        <v>35</v>
      </c>
      <c r="E3546" t="n">
        <v>33</v>
      </c>
      <c r="F3546" t="n">
        <v>15.24</v>
      </c>
      <c r="G3546" t="n">
        <v>0</v>
      </c>
      <c r="H3546" t="n">
        <v>0</v>
      </c>
      <c r="I3546" s="3">
        <f>E3546+G3546+H3546</f>
        <v/>
      </c>
      <c r="J3546" s="3">
        <f>ROUND(MIN(IF(C3546="Técnico III",35,IF(C3546="Técnico II",28,IF(C3546="Técnico I",23,IF(C3546="JR",20,IF(C3546="Estágio",10,0))))),IF(C3546="Técnico III",SUMIFS($D:$D,$A:$A,$A3546,$B:$B,"&lt;&gt;Patrícia Karla de Sousa Araújo",$B:$B,"&lt;&gt;Lorena Dias de Araujo",$B:$B,"&lt;&gt;Lucas Luiz Romero")*(35/1083),IF(C3546="Técnico II",SUMIFS($D:$D,$A:$A,$A3546,$B:$B,"&lt;&gt;Patrícia Karla de Sousa Araújo",$B:$B,"&lt;&gt;Lorena Dias de Araujo",$B:$B,"&lt;&gt;Lucas Luiz Romero")*(28/1083),IF(C3546="Técnico I",SUMIFS($D:$D,$A:$A,$A3546,$B:$B,"&lt;&gt;Patrícia Karla de Sousa Araújo",$B:$B,"&lt;&gt;Lorena Dias de Araujo",$B:$B,"&lt;&gt;Lucas Luiz Romero")*(23/1083),IF(C3546="JR",SUMIFS($D:$D,$A:$A,$A3546,$B:$B,"&lt;&gt;Patrícia Karla de Sousa Araújo",$B:$B,"&lt;&gt;Lorena Dias de Araujo",$B:$B,"&lt;&gt;Lucas Luiz Romero")*(20/1083),IF(C3546="Estágio",SUMIFS($D:$D,$A:$A,$A3546,$B:$B,"&lt;&gt;Patrícia Karla de Sousa Araújo",$B:$B,"&lt;&gt;Lorena Dias de Araujo",$B:$B,"&lt;&gt;Lucas Luiz Romero")*(10/1083),0)))))),0)</f>
        <v/>
      </c>
      <c r="K3546" s="3">
        <f>I3546-J3546</f>
        <v/>
      </c>
      <c r="L3546" s="3">
        <f>IF(K3546&lt;-5,"CRÍTICO",IF(K3546&lt;0,"ATENÇÃO",IF(K3546&lt;=5,"OPORTUNO","MUITO BOM")))</f>
        <v/>
      </c>
      <c r="N3546" t="n">
        <v>98.39</v>
      </c>
      <c r="O3546" t="n">
        <v>25.56390977443609</v>
      </c>
    </row>
    <row r="3547" hidden="1">
      <c r="A3547" s="11" t="n">
        <v>46113</v>
      </c>
      <c r="B3547" t="inlineStr">
        <is>
          <t>Alisson de Freitas Silva</t>
        </is>
      </c>
      <c r="C3547" t="inlineStr">
        <is>
          <t>Técnico II</t>
        </is>
      </c>
      <c r="D3547" t="n">
        <v>17</v>
      </c>
      <c r="E3547" t="n">
        <v>15</v>
      </c>
      <c r="F3547" t="n">
        <v>18.22</v>
      </c>
      <c r="G3547" t="n">
        <v>0</v>
      </c>
      <c r="H3547" t="n">
        <v>0</v>
      </c>
      <c r="I3547" s="3">
        <f>E3547+G3547+H3547</f>
        <v/>
      </c>
      <c r="J3547" s="3">
        <f>ROUND(MIN(IF(C3547="Técnico III",35,IF(C3547="Técnico II",28,IF(C3547="Técnico I",23,IF(C3547="JR",20,IF(C3547="Estágio",10,0))))),IF(C3547="Técnico III",SUMIFS($D:$D,$A:$A,$A3547,$B:$B,"&lt;&gt;Patrícia Karla de Sousa Araújo",$B:$B,"&lt;&gt;Lorena Dias de Araujo",$B:$B,"&lt;&gt;Lucas Luiz Romero")*(35/1083),IF(C3547="Técnico II",SUMIFS($D:$D,$A:$A,$A3547,$B:$B,"&lt;&gt;Patrícia Karla de Sousa Araújo",$B:$B,"&lt;&gt;Lorena Dias de Araujo",$B:$B,"&lt;&gt;Lucas Luiz Romero")*(28/1083),IF(C3547="Técnico I",SUMIFS($D:$D,$A:$A,$A3547,$B:$B,"&lt;&gt;Patrícia Karla de Sousa Araújo",$B:$B,"&lt;&gt;Lorena Dias de Araujo",$B:$B,"&lt;&gt;Lucas Luiz Romero")*(23/1083),IF(C3547="JR",SUMIFS($D:$D,$A:$A,$A3547,$B:$B,"&lt;&gt;Patrícia Karla de Sousa Araújo",$B:$B,"&lt;&gt;Lorena Dias de Araujo",$B:$B,"&lt;&gt;Lucas Luiz Romero")*(20/1083),IF(C3547="Estágio",SUMIFS($D:$D,$A:$A,$A3547,$B:$B,"&lt;&gt;Patrícia Karla de Sousa Araújo",$B:$B,"&lt;&gt;Lorena Dias de Araujo",$B:$B,"&lt;&gt;Lucas Luiz Romero")*(10/1083),0)))))),0)</f>
        <v/>
      </c>
      <c r="K3547" s="3">
        <f>I3547-J3547</f>
        <v/>
      </c>
      <c r="L3547" s="3">
        <f>IF(K3547&lt;-5,"CRÍTICO",IF(K3547&lt;0,"ATENÇÃO",IF(K3547&lt;=5,"OPORTUNO","MUITO BOM")))</f>
        <v/>
      </c>
      <c r="N3547" t="n">
        <v>100</v>
      </c>
      <c r="O3547" t="n">
        <v>32.76450511945392</v>
      </c>
    </row>
    <row r="3548" hidden="1">
      <c r="A3548" s="11" t="n">
        <v>46113</v>
      </c>
      <c r="B3548" t="inlineStr">
        <is>
          <t>Amanda Moura Ferreira</t>
        </is>
      </c>
      <c r="C3548" t="inlineStr">
        <is>
          <t>Técnico III</t>
        </is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s="3" t="n">
        <v>0</v>
      </c>
      <c r="J3548" s="3" t="n">
        <v>0</v>
      </c>
      <c r="K3548" s="3" t="n">
        <v>0</v>
      </c>
      <c r="L3548" s="3">
        <f>IF(K3548&lt;-5,"CRÍTICO",IF(K3548&lt;0,"ATENÇÃO",IF(K3548&lt;=5,"OPORTUNO","MUITO BOM")))</f>
        <v/>
      </c>
      <c r="N3548" t="n">
        <v>98.66</v>
      </c>
      <c r="O3548" t="n">
        <v>35.15625</v>
      </c>
    </row>
    <row r="3549" hidden="1">
      <c r="A3549" s="11" t="n">
        <v>46113</v>
      </c>
      <c r="B3549" t="inlineStr">
        <is>
          <t>Ana Karollyne Souza Faria</t>
        </is>
      </c>
      <c r="C3549" t="inlineStr">
        <is>
          <t>Técnico I</t>
        </is>
      </c>
      <c r="D3549" t="n">
        <v>26</v>
      </c>
      <c r="E3549" t="n">
        <v>26</v>
      </c>
      <c r="F3549" t="n">
        <v>21.52</v>
      </c>
      <c r="G3549" t="n">
        <v>0</v>
      </c>
      <c r="H3549" t="n">
        <v>0</v>
      </c>
      <c r="I3549" s="3">
        <f>E3549+G3549+H3549</f>
        <v/>
      </c>
      <c r="J3549" s="3">
        <f>ROUND(MIN(IF(C3549="Técnico III",35,IF(C3549="Técnico II",28,IF(C3549="Técnico I",23,IF(C3549="JR",20,IF(C3549="Estágio",10,0))))),IF(C3549="Técnico III",SUMIFS($D:$D,$A:$A,$A3549,$B:$B,"&lt;&gt;Patrícia Karla de Sousa Araújo",$B:$B,"&lt;&gt;Lorena Dias de Araujo",$B:$B,"&lt;&gt;Lucas Luiz Romero")*(35/1083),IF(C3549="Técnico II",SUMIFS($D:$D,$A:$A,$A3549,$B:$B,"&lt;&gt;Patrícia Karla de Sousa Araújo",$B:$B,"&lt;&gt;Lorena Dias de Araujo",$B:$B,"&lt;&gt;Lucas Luiz Romero")*(28/1083),IF(C3549="Técnico I",SUMIFS($D:$D,$A:$A,$A3549,$B:$B,"&lt;&gt;Patrícia Karla de Sousa Araújo",$B:$B,"&lt;&gt;Lorena Dias de Araujo",$B:$B,"&lt;&gt;Lucas Luiz Romero")*(23/1083),IF(C3549="JR",SUMIFS($D:$D,$A:$A,$A3549,$B:$B,"&lt;&gt;Patrícia Karla de Sousa Araújo",$B:$B,"&lt;&gt;Lorena Dias de Araujo",$B:$B,"&lt;&gt;Lucas Luiz Romero")*(20/1083),IF(C3549="Estágio",SUMIFS($D:$D,$A:$A,$A3549,$B:$B,"&lt;&gt;Patrícia Karla de Sousa Araújo",$B:$B,"&lt;&gt;Lorena Dias de Araujo",$B:$B,"&lt;&gt;Lucas Luiz Romero")*(10/1083),0)))))),0)</f>
        <v/>
      </c>
      <c r="K3549" s="3">
        <f>I3549-J3549</f>
        <v/>
      </c>
      <c r="L3549" s="3">
        <f>IF(K3549&lt;-5,"CRÍTICO",IF(K3549&lt;0,"ATENÇÃO",IF(K3549&lt;=5,"OPORTUNO","MUITO BOM")))</f>
        <v/>
      </c>
      <c r="N3549" t="n">
        <v>99.31999999999999</v>
      </c>
      <c r="O3549" t="n">
        <v>30.45186640471513</v>
      </c>
    </row>
    <row r="3550" hidden="1">
      <c r="A3550" s="11" t="n">
        <v>46113</v>
      </c>
      <c r="B3550" t="inlineStr">
        <is>
          <t>Ana Paula Da Luz Silva Aleixo</t>
        </is>
      </c>
      <c r="C3550" t="inlineStr">
        <is>
          <t>Técnico III</t>
        </is>
      </c>
      <c r="D3550" t="n">
        <v>22</v>
      </c>
      <c r="E3550" t="n">
        <v>21</v>
      </c>
      <c r="F3550" t="n">
        <v>26.55</v>
      </c>
      <c r="G3550" t="n">
        <v>0</v>
      </c>
      <c r="H3550" t="n">
        <v>0</v>
      </c>
      <c r="I3550" s="3">
        <f>E3550+G3550+H3550</f>
        <v/>
      </c>
      <c r="J3550" s="3">
        <f>ROUND(MIN(IF(C3550="Técnico III",35,IF(C3550="Técnico II",28,IF(C3550="Técnico I",23,IF(C3550="JR",20,IF(C3550="Estágio",10,0))))),IF(C3550="Técnico III",SUMIFS($D:$D,$A:$A,$A3550,$B:$B,"&lt;&gt;Patrícia Karla de Sousa Araújo",$B:$B,"&lt;&gt;Lorena Dias de Araujo",$B:$B,"&lt;&gt;Lucas Luiz Romero")*(35/1083),IF(C3550="Técnico II",SUMIFS($D:$D,$A:$A,$A3550,$B:$B,"&lt;&gt;Patrícia Karla de Sousa Araújo",$B:$B,"&lt;&gt;Lorena Dias de Araujo",$B:$B,"&lt;&gt;Lucas Luiz Romero")*(28/1083),IF(C3550="Técnico I",SUMIFS($D:$D,$A:$A,$A3550,$B:$B,"&lt;&gt;Patrícia Karla de Sousa Araújo",$B:$B,"&lt;&gt;Lorena Dias de Araujo",$B:$B,"&lt;&gt;Lucas Luiz Romero")*(23/1083),IF(C3550="JR",SUMIFS($D:$D,$A:$A,$A3550,$B:$B,"&lt;&gt;Patrícia Karla de Sousa Araújo",$B:$B,"&lt;&gt;Lorena Dias de Araujo",$B:$B,"&lt;&gt;Lucas Luiz Romero")*(20/1083),IF(C3550="Estágio",SUMIFS($D:$D,$A:$A,$A3550,$B:$B,"&lt;&gt;Patrícia Karla de Sousa Araújo",$B:$B,"&lt;&gt;Lorena Dias de Araujo",$B:$B,"&lt;&gt;Lucas Luiz Romero")*(10/1083),0)))))),0)</f>
        <v/>
      </c>
      <c r="K3550" s="3">
        <f>I3550-J3550</f>
        <v/>
      </c>
      <c r="L3550" s="3">
        <f>IF(K3550&lt;-5,"CRÍTICO",IF(K3550&lt;0,"ATENÇÃO",IF(K3550&lt;=5,"OPORTUNO","MUITO BOM")))</f>
        <v/>
      </c>
      <c r="N3550" t="n">
        <v>100</v>
      </c>
      <c r="O3550" t="n">
        <v>27.80373831775701</v>
      </c>
    </row>
    <row r="3551" hidden="1">
      <c r="A3551" s="11" t="n">
        <v>46113</v>
      </c>
      <c r="B3551" t="inlineStr">
        <is>
          <t>Anna Luiza Rezende Tavares</t>
        </is>
      </c>
      <c r="C3551" t="inlineStr">
        <is>
          <t>Estágio</t>
        </is>
      </c>
      <c r="D3551" t="n">
        <v>17</v>
      </c>
      <c r="E3551" t="n">
        <v>16</v>
      </c>
      <c r="F3551" t="n">
        <v>20.01</v>
      </c>
      <c r="G3551" t="n">
        <v>0</v>
      </c>
      <c r="H3551" t="n">
        <v>0</v>
      </c>
      <c r="I3551" s="3">
        <f>E3551+G3551+H3551</f>
        <v/>
      </c>
      <c r="J3551" s="3">
        <f>ROUND(MIN(IF(C3551="Técnico III",35,IF(C3551="Técnico II",28,IF(C3551="Técnico I",23,IF(C3551="JR",20,IF(C3551="Estágio",10,0))))),IF(C3551="Técnico III",SUMIFS($D:$D,$A:$A,$A3551,$B:$B,"&lt;&gt;Patrícia Karla de Sousa Araújo",$B:$B,"&lt;&gt;Lorena Dias de Araujo",$B:$B,"&lt;&gt;Lucas Luiz Romero")*(35/1083),IF(C3551="Técnico II",SUMIFS($D:$D,$A:$A,$A3551,$B:$B,"&lt;&gt;Patrícia Karla de Sousa Araújo",$B:$B,"&lt;&gt;Lorena Dias de Araujo",$B:$B,"&lt;&gt;Lucas Luiz Romero")*(28/1083),IF(C3551="Técnico I",SUMIFS($D:$D,$A:$A,$A3551,$B:$B,"&lt;&gt;Patrícia Karla de Sousa Araújo",$B:$B,"&lt;&gt;Lorena Dias de Araujo",$B:$B,"&lt;&gt;Lucas Luiz Romero")*(23/1083),IF(C3551="JR",SUMIFS($D:$D,$A:$A,$A3551,$B:$B,"&lt;&gt;Patrícia Karla de Sousa Araújo",$B:$B,"&lt;&gt;Lorena Dias de Araujo",$B:$B,"&lt;&gt;Lucas Luiz Romero")*(20/1083),IF(C3551="Estágio",SUMIFS($D:$D,$A:$A,$A3551,$B:$B,"&lt;&gt;Patrícia Karla de Sousa Araújo",$B:$B,"&lt;&gt;Lorena Dias de Araujo",$B:$B,"&lt;&gt;Lucas Luiz Romero")*(10/1083),0)))))),0)</f>
        <v/>
      </c>
      <c r="K3551" s="3">
        <f>I3551-J3551</f>
        <v/>
      </c>
      <c r="L3551" s="3">
        <f>IF(K3551&lt;-5,"CRÍTICO",IF(K3551&lt;0,"ATENÇÃO",IF(K3551&lt;=5,"OPORTUNO","MUITO BOM")))</f>
        <v/>
      </c>
      <c r="N3551" t="n">
        <v>96.73999999999999</v>
      </c>
      <c r="O3551" t="n">
        <v>28.43137254901961</v>
      </c>
    </row>
    <row r="3552" hidden="1">
      <c r="A3552" s="11" t="n">
        <v>46113</v>
      </c>
      <c r="B3552" t="inlineStr">
        <is>
          <t>Brenda de Menezes Silva</t>
        </is>
      </c>
      <c r="C3552" t="inlineStr">
        <is>
          <t>Técnico II</t>
        </is>
      </c>
      <c r="D3552" t="n">
        <v>44</v>
      </c>
      <c r="E3552" t="n">
        <v>36</v>
      </c>
      <c r="F3552" t="n">
        <v>13.25</v>
      </c>
      <c r="G3552" t="n">
        <v>0</v>
      </c>
      <c r="H3552" t="n">
        <v>0</v>
      </c>
      <c r="I3552" s="3">
        <f>E3552+G3552+H3552</f>
        <v/>
      </c>
      <c r="J3552" s="3">
        <f>ROUND(MIN(IF(C3552="Técnico III",35,IF(C3552="Técnico II",28,IF(C3552="Técnico I",23,IF(C3552="JR",20,IF(C3552="Estágio",10,0))))),IF(C3552="Técnico III",SUMIFS($D:$D,$A:$A,$A3552,$B:$B,"&lt;&gt;Patrícia Karla de Sousa Araújo",$B:$B,"&lt;&gt;Lorena Dias de Araujo",$B:$B,"&lt;&gt;Lucas Luiz Romero")*(35/1083),IF(C3552="Técnico II",SUMIFS($D:$D,$A:$A,$A3552,$B:$B,"&lt;&gt;Patrícia Karla de Sousa Araújo",$B:$B,"&lt;&gt;Lorena Dias de Araujo",$B:$B,"&lt;&gt;Lucas Luiz Romero")*(28/1083),IF(C3552="Técnico I",SUMIFS($D:$D,$A:$A,$A3552,$B:$B,"&lt;&gt;Patrícia Karla de Sousa Araújo",$B:$B,"&lt;&gt;Lorena Dias de Araujo",$B:$B,"&lt;&gt;Lucas Luiz Romero")*(23/1083),IF(C3552="JR",SUMIFS($D:$D,$A:$A,$A3552,$B:$B,"&lt;&gt;Patrícia Karla de Sousa Araújo",$B:$B,"&lt;&gt;Lorena Dias de Araujo",$B:$B,"&lt;&gt;Lucas Luiz Romero")*(20/1083),IF(C3552="Estágio",SUMIFS($D:$D,$A:$A,$A3552,$B:$B,"&lt;&gt;Patrícia Karla de Sousa Araújo",$B:$B,"&lt;&gt;Lorena Dias de Araujo",$B:$B,"&lt;&gt;Lucas Luiz Romero")*(10/1083),0)))))),0)</f>
        <v/>
      </c>
      <c r="K3552" s="3">
        <f>I3552-J3552</f>
        <v/>
      </c>
      <c r="L3552" s="3">
        <f>IF(K3552&lt;-5,"CRÍTICO",IF(K3552&lt;0,"ATENÇÃO",IF(K3552&lt;=5,"OPORTUNO","MUITO BOM")))</f>
        <v/>
      </c>
      <c r="N3552" t="n">
        <v>98.81999999999999</v>
      </c>
      <c r="O3552" t="n">
        <v>30.74141048824593</v>
      </c>
    </row>
    <row r="3553" hidden="1">
      <c r="A3553" s="11" t="n">
        <v>46113</v>
      </c>
      <c r="B3553" t="inlineStr">
        <is>
          <t>Carlos Mateus Cassimiro Nunes</t>
        </is>
      </c>
      <c r="C3553" t="inlineStr">
        <is>
          <t>Técnico II</t>
        </is>
      </c>
      <c r="D3553" t="n">
        <v>21</v>
      </c>
      <c r="E3553" t="n">
        <v>20</v>
      </c>
      <c r="F3553" t="n">
        <v>27.38</v>
      </c>
      <c r="G3553" t="n">
        <v>0</v>
      </c>
      <c r="H3553" t="n">
        <v>0</v>
      </c>
      <c r="I3553" s="3">
        <f>E3553+G3553+H3553</f>
        <v/>
      </c>
      <c r="J3553" s="3">
        <f>ROUND(MIN(IF(C3553="Técnico III",35,IF(C3553="Técnico II",28,IF(C3553="Técnico I",23,IF(C3553="JR",20,IF(C3553="Estágio",10,0))))),IF(C3553="Técnico III",SUMIFS($D:$D,$A:$A,$A3553,$B:$B,"&lt;&gt;Patrícia Karla de Sousa Araújo",$B:$B,"&lt;&gt;Lorena Dias de Araujo",$B:$B,"&lt;&gt;Lucas Luiz Romero")*(35/1083),IF(C3553="Técnico II",SUMIFS($D:$D,$A:$A,$A3553,$B:$B,"&lt;&gt;Patrícia Karla de Sousa Araújo",$B:$B,"&lt;&gt;Lorena Dias de Araujo",$B:$B,"&lt;&gt;Lucas Luiz Romero")*(28/1083),IF(C3553="Técnico I",SUMIFS($D:$D,$A:$A,$A3553,$B:$B,"&lt;&gt;Patrícia Karla de Sousa Araújo",$B:$B,"&lt;&gt;Lorena Dias de Araujo",$B:$B,"&lt;&gt;Lucas Luiz Romero")*(23/1083),IF(C3553="JR",SUMIFS($D:$D,$A:$A,$A3553,$B:$B,"&lt;&gt;Patrícia Karla de Sousa Araújo",$B:$B,"&lt;&gt;Lorena Dias de Araujo",$B:$B,"&lt;&gt;Lucas Luiz Romero")*(20/1083),IF(C3553="Estágio",SUMIFS($D:$D,$A:$A,$A3553,$B:$B,"&lt;&gt;Patrícia Karla de Sousa Araújo",$B:$B,"&lt;&gt;Lorena Dias de Araujo",$B:$B,"&lt;&gt;Lucas Luiz Romero")*(10/1083),0)))))),0)</f>
        <v/>
      </c>
      <c r="K3553" s="3">
        <f>I3553-J3553</f>
        <v/>
      </c>
      <c r="L3553" s="3">
        <f>IF(K3553&lt;-5,"CRÍTICO",IF(K3553&lt;0,"ATENÇÃO",IF(K3553&lt;=5,"OPORTUNO","MUITO BOM")))</f>
        <v/>
      </c>
      <c r="N3553" t="n">
        <v>98.2</v>
      </c>
      <c r="O3553" t="n">
        <v>26.89075630252101</v>
      </c>
    </row>
    <row r="3554" hidden="1">
      <c r="A3554" s="11" t="n">
        <v>46113</v>
      </c>
      <c r="B3554" t="inlineStr">
        <is>
          <t>Claudio de Sousa Velasco Filho</t>
        </is>
      </c>
      <c r="C3554" t="inlineStr">
        <is>
          <t>Estágio</t>
        </is>
      </c>
      <c r="D3554" t="n">
        <v>9</v>
      </c>
      <c r="E3554" t="n">
        <v>9</v>
      </c>
      <c r="F3554" t="n">
        <v>28.3</v>
      </c>
      <c r="G3554" t="n">
        <v>0</v>
      </c>
      <c r="H3554" t="n">
        <v>0</v>
      </c>
      <c r="I3554" s="3">
        <f>E3554+G3554+H3554</f>
        <v/>
      </c>
      <c r="J3554" s="3">
        <f>ROUND(MIN(IF(C3554="Técnico III",35,IF(C3554="Técnico II",28,IF(C3554="Técnico I",23,IF(C3554="JR",20,IF(C3554="Estágio",10,0))))),IF(C3554="Técnico III",SUMIFS($D:$D,$A:$A,$A3554,$B:$B,"&lt;&gt;Patrícia Karla de Sousa Araújo",$B:$B,"&lt;&gt;Lorena Dias de Araujo",$B:$B,"&lt;&gt;Lucas Luiz Romero")*(35/1083),IF(C3554="Técnico II",SUMIFS($D:$D,$A:$A,$A3554,$B:$B,"&lt;&gt;Patrícia Karla de Sousa Araújo",$B:$B,"&lt;&gt;Lorena Dias de Araujo",$B:$B,"&lt;&gt;Lucas Luiz Romero")*(28/1083),IF(C3554="Técnico I",SUMIFS($D:$D,$A:$A,$A3554,$B:$B,"&lt;&gt;Patrícia Karla de Sousa Araújo",$B:$B,"&lt;&gt;Lorena Dias de Araujo",$B:$B,"&lt;&gt;Lucas Luiz Romero")*(23/1083),IF(C3554="JR",SUMIFS($D:$D,$A:$A,$A3554,$B:$B,"&lt;&gt;Patrícia Karla de Sousa Araújo",$B:$B,"&lt;&gt;Lorena Dias de Araujo",$B:$B,"&lt;&gt;Lucas Luiz Romero")*(20/1083),IF(C3554="Estágio",SUMIFS($D:$D,$A:$A,$A3554,$B:$B,"&lt;&gt;Patrícia Karla de Sousa Araújo",$B:$B,"&lt;&gt;Lorena Dias de Araujo",$B:$B,"&lt;&gt;Lucas Luiz Romero")*(10/1083),0)))))),0)</f>
        <v/>
      </c>
      <c r="K3554" s="3">
        <f>I3554-J3554</f>
        <v/>
      </c>
      <c r="L3554" s="3">
        <f>IF(K3554&lt;-5,"CRÍTICO",IF(K3554&lt;0,"ATENÇÃO",IF(K3554&lt;=5,"OPORTUNO","MUITO BOM")))</f>
        <v/>
      </c>
      <c r="N3554" t="n">
        <v>100</v>
      </c>
      <c r="O3554" t="n">
        <v>23.13432835820895</v>
      </c>
    </row>
    <row r="3555" hidden="1">
      <c r="A3555" s="11" t="n">
        <v>46113</v>
      </c>
      <c r="B3555" t="inlineStr">
        <is>
          <t>Clessiane Pereira dos Santos</t>
        </is>
      </c>
      <c r="C3555" t="inlineStr">
        <is>
          <t>Técnico I</t>
        </is>
      </c>
      <c r="D3555" t="n">
        <v>28</v>
      </c>
      <c r="E3555" t="n">
        <v>26</v>
      </c>
      <c r="F3555" t="n">
        <v>18.22</v>
      </c>
      <c r="G3555" t="n">
        <v>0</v>
      </c>
      <c r="H3555" t="n">
        <v>0</v>
      </c>
      <c r="I3555" s="3">
        <f>E3555+G3555+H3555</f>
        <v/>
      </c>
      <c r="J3555" s="3">
        <f>ROUND(MIN(IF(C3555="Técnico III",35,IF(C3555="Técnico II",28,IF(C3555="Técnico I",23,IF(C3555="JR",20,IF(C3555="Estágio",10,0))))),IF(C3555="Técnico III",SUMIFS($D:$D,$A:$A,$A3555,$B:$B,"&lt;&gt;Patrícia Karla de Sousa Araújo",$B:$B,"&lt;&gt;Lorena Dias de Araujo",$B:$B,"&lt;&gt;Lucas Luiz Romero")*(35/1083),IF(C3555="Técnico II",SUMIFS($D:$D,$A:$A,$A3555,$B:$B,"&lt;&gt;Patrícia Karla de Sousa Araújo",$B:$B,"&lt;&gt;Lorena Dias de Araujo",$B:$B,"&lt;&gt;Lucas Luiz Romero")*(28/1083),IF(C3555="Técnico I",SUMIFS($D:$D,$A:$A,$A3555,$B:$B,"&lt;&gt;Patrícia Karla de Sousa Araújo",$B:$B,"&lt;&gt;Lorena Dias de Araujo",$B:$B,"&lt;&gt;Lucas Luiz Romero")*(23/1083),IF(C3555="JR",SUMIFS($D:$D,$A:$A,$A3555,$B:$B,"&lt;&gt;Patrícia Karla de Sousa Araújo",$B:$B,"&lt;&gt;Lorena Dias de Araujo",$B:$B,"&lt;&gt;Lucas Luiz Romero")*(20/1083),IF(C3555="Estágio",SUMIFS($D:$D,$A:$A,$A3555,$B:$B,"&lt;&gt;Patrícia Karla de Sousa Araújo",$B:$B,"&lt;&gt;Lorena Dias de Araujo",$B:$B,"&lt;&gt;Lucas Luiz Romero")*(10/1083),0)))))),0)</f>
        <v/>
      </c>
      <c r="K3555" s="3">
        <f>I3555-J3555</f>
        <v/>
      </c>
      <c r="L3555" s="3">
        <f>IF(K3555&lt;-5,"CRÍTICO",IF(K3555&lt;0,"ATENÇÃO",IF(K3555&lt;=5,"OPORTUNO","MUITO BOM")))</f>
        <v/>
      </c>
      <c r="N3555" t="n">
        <v>96.3</v>
      </c>
      <c r="O3555" t="n">
        <v>31.98090692124105</v>
      </c>
    </row>
    <row r="3556" hidden="1">
      <c r="A3556" s="11" t="n">
        <v>46113</v>
      </c>
      <c r="B3556" t="inlineStr">
        <is>
          <t>Cristiane Ramos da Silva Rocha</t>
        </is>
      </c>
      <c r="C3556" t="inlineStr">
        <is>
          <t>Técnico III</t>
        </is>
      </c>
      <c r="D3556" t="n">
        <v>30</v>
      </c>
      <c r="E3556" t="n">
        <v>28</v>
      </c>
      <c r="F3556" t="n">
        <v>13.22</v>
      </c>
      <c r="G3556" t="n">
        <v>0</v>
      </c>
      <c r="H3556" t="n">
        <v>0</v>
      </c>
      <c r="I3556" s="3">
        <f>E3556+G3556+H3556</f>
        <v/>
      </c>
      <c r="J3556" s="3">
        <f>ROUND(MIN(IF(C3556="Técnico III",35,IF(C3556="Técnico II",28,IF(C3556="Técnico I",23,IF(C3556="JR",20,IF(C3556="Estágio",10,0))))),IF(C3556="Técnico III",SUMIFS($D:$D,$A:$A,$A3556,$B:$B,"&lt;&gt;Patrícia Karla de Sousa Araújo",$B:$B,"&lt;&gt;Lorena Dias de Araujo",$B:$B,"&lt;&gt;Lucas Luiz Romero")*(35/1083),IF(C3556="Técnico II",SUMIFS($D:$D,$A:$A,$A3556,$B:$B,"&lt;&gt;Patrícia Karla de Sousa Araújo",$B:$B,"&lt;&gt;Lorena Dias de Araujo",$B:$B,"&lt;&gt;Lucas Luiz Romero")*(28/1083),IF(C3556="Técnico I",SUMIFS($D:$D,$A:$A,$A3556,$B:$B,"&lt;&gt;Patrícia Karla de Sousa Araújo",$B:$B,"&lt;&gt;Lorena Dias de Araujo",$B:$B,"&lt;&gt;Lucas Luiz Romero")*(23/1083),IF(C3556="JR",SUMIFS($D:$D,$A:$A,$A3556,$B:$B,"&lt;&gt;Patrícia Karla de Sousa Araújo",$B:$B,"&lt;&gt;Lorena Dias de Araujo",$B:$B,"&lt;&gt;Lucas Luiz Romero")*(20/1083),IF(C3556="Estágio",SUMIFS($D:$D,$A:$A,$A3556,$B:$B,"&lt;&gt;Patrícia Karla de Sousa Araújo",$B:$B,"&lt;&gt;Lorena Dias de Araujo",$B:$B,"&lt;&gt;Lucas Luiz Romero")*(10/1083),0)))))),0)</f>
        <v/>
      </c>
      <c r="K3556" s="3">
        <f>I3556-J3556</f>
        <v/>
      </c>
      <c r="L3556" s="3">
        <f>IF(K3556&lt;-5,"CRÍTICO",IF(K3556&lt;0,"ATENÇÃO",IF(K3556&lt;=5,"OPORTUNO","MUITO BOM")))</f>
        <v/>
      </c>
      <c r="N3556" t="n">
        <v>93.75</v>
      </c>
      <c r="O3556" t="n">
        <v>26.62835249042146</v>
      </c>
    </row>
    <row r="3557" hidden="1">
      <c r="A3557" s="11" t="n">
        <v>46113</v>
      </c>
      <c r="B3557" t="inlineStr">
        <is>
          <t>Damyllis Lorraine de Oliveira Gonçalves</t>
        </is>
      </c>
      <c r="C3557" t="inlineStr">
        <is>
          <t>Técnico II</t>
        </is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s="3" t="n">
        <v>0</v>
      </c>
      <c r="J3557" s="3" t="n">
        <v>0</v>
      </c>
      <c r="K3557" s="3" t="n">
        <v>0</v>
      </c>
      <c r="L3557" s="3">
        <f>IF(K3557&lt;-5,"CRÍTICO",IF(K3557&lt;0,"ATENÇÃO",IF(K3557&lt;=5,"OPORTUNO","MUITO BOM")))</f>
        <v/>
      </c>
      <c r="N3557" t="n">
        <v>97.86</v>
      </c>
      <c r="O3557" t="n">
        <v>31.01851851851852</v>
      </c>
    </row>
    <row r="3558" hidden="1">
      <c r="A3558" s="11" t="n">
        <v>46113</v>
      </c>
      <c r="B3558" t="inlineStr">
        <is>
          <t>Daniel Gomes da Silva</t>
        </is>
      </c>
      <c r="C3558" t="inlineStr">
        <is>
          <t>Técnico I</t>
        </is>
      </c>
      <c r="D3558" t="n">
        <v>25</v>
      </c>
      <c r="E3558" t="n">
        <v>25</v>
      </c>
      <c r="F3558" t="n">
        <v>16.56</v>
      </c>
      <c r="G3558" t="n">
        <v>0</v>
      </c>
      <c r="H3558" t="n">
        <v>0</v>
      </c>
      <c r="I3558" s="3">
        <f>E3558+G3558+H3558</f>
        <v/>
      </c>
      <c r="J3558" s="3">
        <f>ROUND(MIN(IF(C3558="Técnico III",35,IF(C3558="Técnico II",28,IF(C3558="Técnico I",23,IF(C3558="JR",20,IF(C3558="Estágio",10,0))))),IF(C3558="Técnico III",SUMIFS($D:$D,$A:$A,$A3558,$B:$B,"&lt;&gt;Patrícia Karla de Sousa Araújo",$B:$B,"&lt;&gt;Lorena Dias de Araujo",$B:$B,"&lt;&gt;Lucas Luiz Romero")*(35/1083),IF(C3558="Técnico II",SUMIFS($D:$D,$A:$A,$A3558,$B:$B,"&lt;&gt;Patrícia Karla de Sousa Araújo",$B:$B,"&lt;&gt;Lorena Dias de Araujo",$B:$B,"&lt;&gt;Lucas Luiz Romero")*(28/1083),IF(C3558="Técnico I",SUMIFS($D:$D,$A:$A,$A3558,$B:$B,"&lt;&gt;Patrícia Karla de Sousa Araújo",$B:$B,"&lt;&gt;Lorena Dias de Araujo",$B:$B,"&lt;&gt;Lucas Luiz Romero")*(23/1083),IF(C3558="JR",SUMIFS($D:$D,$A:$A,$A3558,$B:$B,"&lt;&gt;Patrícia Karla de Sousa Araújo",$B:$B,"&lt;&gt;Lorena Dias de Araujo",$B:$B,"&lt;&gt;Lucas Luiz Romero")*(20/1083),IF(C3558="Estágio",SUMIFS($D:$D,$A:$A,$A3558,$B:$B,"&lt;&gt;Patrícia Karla de Sousa Araújo",$B:$B,"&lt;&gt;Lorena Dias de Araujo",$B:$B,"&lt;&gt;Lucas Luiz Romero")*(10/1083),0)))))),0)</f>
        <v/>
      </c>
      <c r="K3558" s="3">
        <f>I3558-J3558</f>
        <v/>
      </c>
      <c r="L3558" s="3">
        <f>IF(K3558&lt;-5,"CRÍTICO",IF(K3558&lt;0,"ATENÇÃO",IF(K3558&lt;=5,"OPORTUNO","MUITO BOM")))</f>
        <v/>
      </c>
      <c r="N3558" t="n">
        <v>100</v>
      </c>
      <c r="O3558" t="n">
        <v>36.23188405797102</v>
      </c>
    </row>
    <row r="3559" hidden="1">
      <c r="A3559" s="11" t="n">
        <v>46113</v>
      </c>
      <c r="B3559" t="inlineStr">
        <is>
          <t>Davylla Rodrigues Freitas Silva</t>
        </is>
      </c>
      <c r="C3559" t="inlineStr">
        <is>
          <t>Técnico III</t>
        </is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s="3" t="n">
        <v>0</v>
      </c>
      <c r="J3559" s="3" t="n">
        <v>0</v>
      </c>
      <c r="K3559" s="3" t="n">
        <v>0</v>
      </c>
      <c r="L3559" s="3">
        <f>IF(K3559&lt;-5,"CRÍTICO",IF(K3559&lt;0,"ATENÇÃO",IF(K3559&lt;=5,"OPORTUNO","MUITO BOM")))</f>
        <v/>
      </c>
      <c r="N3559" t="n">
        <v>100</v>
      </c>
      <c r="O3559" t="n">
        <v>38.26923076923077</v>
      </c>
    </row>
    <row r="3560" hidden="1">
      <c r="A3560" s="11" t="n">
        <v>46113</v>
      </c>
      <c r="B3560" t="inlineStr">
        <is>
          <t>Emilly Caylane Costa</t>
        </is>
      </c>
      <c r="C3560" t="inlineStr">
        <is>
          <t>Estágio</t>
        </is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s="3" t="n">
        <v>0</v>
      </c>
      <c r="J3560" s="3" t="n">
        <v>0</v>
      </c>
      <c r="K3560" s="3" t="n">
        <v>0</v>
      </c>
      <c r="L3560" s="3">
        <f>IF(K3560&lt;-5,"CRÍTICO",IF(K3560&lt;0,"ATENÇÃO",IF(K3560&lt;=5,"OPORTUNO","MUITO BOM")))</f>
        <v/>
      </c>
      <c r="N3560" t="n">
        <v>100</v>
      </c>
      <c r="O3560" t="n">
        <v>27.36842105263158</v>
      </c>
    </row>
    <row r="3561" hidden="1">
      <c r="A3561" s="11" t="n">
        <v>46113</v>
      </c>
      <c r="B3561" t="inlineStr">
        <is>
          <t>Emilly Kamilly Medeiros Miranda</t>
        </is>
      </c>
      <c r="C3561" t="inlineStr">
        <is>
          <t>Técnico II</t>
        </is>
      </c>
      <c r="D3561" t="n">
        <v>23</v>
      </c>
      <c r="E3561" t="n">
        <v>21</v>
      </c>
      <c r="F3561" t="n">
        <v>18.43</v>
      </c>
      <c r="G3561" t="n">
        <v>0</v>
      </c>
      <c r="H3561" t="n">
        <v>0</v>
      </c>
      <c r="I3561" s="3">
        <f>E3561+G3561+H3561</f>
        <v/>
      </c>
      <c r="J3561" s="3">
        <f>ROUND(MIN(IF(C3561="Técnico III",35,IF(C3561="Técnico II",28,IF(C3561="Técnico I",23,IF(C3561="JR",20,IF(C3561="Estágio",10,0))))),IF(C3561="Técnico III",SUMIFS($D:$D,$A:$A,$A3561,$B:$B,"&lt;&gt;Patrícia Karla de Sousa Araújo",$B:$B,"&lt;&gt;Lorena Dias de Araujo",$B:$B,"&lt;&gt;Lucas Luiz Romero")*(35/1083),IF(C3561="Técnico II",SUMIFS($D:$D,$A:$A,$A3561,$B:$B,"&lt;&gt;Patrícia Karla de Sousa Araújo",$B:$B,"&lt;&gt;Lorena Dias de Araujo",$B:$B,"&lt;&gt;Lucas Luiz Romero")*(28/1083),IF(C3561="Técnico I",SUMIFS($D:$D,$A:$A,$A3561,$B:$B,"&lt;&gt;Patrícia Karla de Sousa Araújo",$B:$B,"&lt;&gt;Lorena Dias de Araujo",$B:$B,"&lt;&gt;Lucas Luiz Romero")*(23/1083),IF(C3561="JR",SUMIFS($D:$D,$A:$A,$A3561,$B:$B,"&lt;&gt;Patrícia Karla de Sousa Araújo",$B:$B,"&lt;&gt;Lorena Dias de Araujo",$B:$B,"&lt;&gt;Lucas Luiz Romero")*(20/1083),IF(C3561="Estágio",SUMIFS($D:$D,$A:$A,$A3561,$B:$B,"&lt;&gt;Patrícia Karla de Sousa Araújo",$B:$B,"&lt;&gt;Lorena Dias de Araujo",$B:$B,"&lt;&gt;Lucas Luiz Romero")*(10/1083),0)))))),0)</f>
        <v/>
      </c>
      <c r="K3561" s="3">
        <f>I3561-J3561</f>
        <v/>
      </c>
      <c r="L3561" s="3">
        <f>IF(K3561&lt;-5,"CRÍTICO",IF(K3561&lt;0,"ATENÇÃO",IF(K3561&lt;=5,"OPORTUNO","MUITO BOM")))</f>
        <v/>
      </c>
      <c r="N3561" t="n">
        <v>97.83</v>
      </c>
      <c r="O3561" t="n">
        <v>28.13186813186813</v>
      </c>
    </row>
    <row r="3562" hidden="1">
      <c r="A3562" s="11" t="n">
        <v>46113</v>
      </c>
      <c r="B3562" t="inlineStr">
        <is>
          <t>Francielson de Oliveira</t>
        </is>
      </c>
      <c r="C3562" t="inlineStr">
        <is>
          <t>Técnico III</t>
        </is>
      </c>
      <c r="D3562" t="n">
        <v>30</v>
      </c>
      <c r="E3562" t="n">
        <v>25</v>
      </c>
      <c r="F3562" t="n">
        <v>12.24</v>
      </c>
      <c r="G3562" t="n">
        <v>0</v>
      </c>
      <c r="H3562" t="n">
        <v>0</v>
      </c>
      <c r="I3562" s="3">
        <f>E3562+G3562+H3562</f>
        <v/>
      </c>
      <c r="J3562" s="3">
        <f>ROUND(MIN(IF(C3562="Técnico III",35,IF(C3562="Técnico II",28,IF(C3562="Técnico I",23,IF(C3562="JR",20,IF(C3562="Estágio",10,0))))),IF(C3562="Técnico III",SUMIFS($D:$D,$A:$A,$A3562,$B:$B,"&lt;&gt;Patrícia Karla de Sousa Araújo",$B:$B,"&lt;&gt;Lorena Dias de Araujo",$B:$B,"&lt;&gt;Lucas Luiz Romero")*(35/1083),IF(C3562="Técnico II",SUMIFS($D:$D,$A:$A,$A3562,$B:$B,"&lt;&gt;Patrícia Karla de Sousa Araújo",$B:$B,"&lt;&gt;Lorena Dias de Araujo",$B:$B,"&lt;&gt;Lucas Luiz Romero")*(28/1083),IF(C3562="Técnico I",SUMIFS($D:$D,$A:$A,$A3562,$B:$B,"&lt;&gt;Patrícia Karla de Sousa Araújo",$B:$B,"&lt;&gt;Lorena Dias de Araujo",$B:$B,"&lt;&gt;Lucas Luiz Romero")*(23/1083),IF(C3562="JR",SUMIFS($D:$D,$A:$A,$A3562,$B:$B,"&lt;&gt;Patrícia Karla de Sousa Araújo",$B:$B,"&lt;&gt;Lorena Dias de Araujo",$B:$B,"&lt;&gt;Lucas Luiz Romero")*(20/1083),IF(C3562="Estágio",SUMIFS($D:$D,$A:$A,$A3562,$B:$B,"&lt;&gt;Patrícia Karla de Sousa Araújo",$B:$B,"&lt;&gt;Lorena Dias de Araujo",$B:$B,"&lt;&gt;Lucas Luiz Romero")*(10/1083),0)))))),0)</f>
        <v/>
      </c>
      <c r="K3562" s="3">
        <f>I3562-J3562</f>
        <v/>
      </c>
      <c r="L3562" s="3">
        <f>IF(K3562&lt;-5,"CRÍTICO",IF(K3562&lt;0,"ATENÇÃO",IF(K3562&lt;=5,"OPORTUNO","MUITO BOM")))</f>
        <v/>
      </c>
      <c r="N3562" t="n">
        <v>99.26000000000001</v>
      </c>
      <c r="O3562" t="n">
        <v>29.57198443579767</v>
      </c>
    </row>
    <row r="3563" hidden="1">
      <c r="A3563" s="11" t="n">
        <v>46113</v>
      </c>
      <c r="B3563" t="inlineStr">
        <is>
          <t>Francilene Ferreira de Jesus</t>
        </is>
      </c>
      <c r="C3563" t="inlineStr">
        <is>
          <t>Técnico II</t>
        </is>
      </c>
      <c r="D3563" t="n">
        <v>37</v>
      </c>
      <c r="E3563" t="n">
        <v>35</v>
      </c>
      <c r="F3563" t="n">
        <v>15.19</v>
      </c>
      <c r="G3563" t="n">
        <v>0</v>
      </c>
      <c r="H3563" t="n">
        <v>0</v>
      </c>
      <c r="I3563" s="3">
        <f>E3563+G3563+H3563</f>
        <v/>
      </c>
      <c r="J3563" s="3">
        <f>ROUND(MIN(IF(C3563="Técnico III",35,IF(C3563="Técnico II",28,IF(C3563="Técnico I",23,IF(C3563="JR",20,IF(C3563="Estágio",10,0))))),IF(C3563="Técnico III",SUMIFS($D:$D,$A:$A,$A3563,$B:$B,"&lt;&gt;Patrícia Karla de Sousa Araújo",$B:$B,"&lt;&gt;Lorena Dias de Araujo",$B:$B,"&lt;&gt;Lucas Luiz Romero")*(35/1083),IF(C3563="Técnico II",SUMIFS($D:$D,$A:$A,$A3563,$B:$B,"&lt;&gt;Patrícia Karla de Sousa Araújo",$B:$B,"&lt;&gt;Lorena Dias de Araujo",$B:$B,"&lt;&gt;Lucas Luiz Romero")*(28/1083),IF(C3563="Técnico I",SUMIFS($D:$D,$A:$A,$A3563,$B:$B,"&lt;&gt;Patrícia Karla de Sousa Araújo",$B:$B,"&lt;&gt;Lorena Dias de Araujo",$B:$B,"&lt;&gt;Lucas Luiz Romero")*(23/1083),IF(C3563="JR",SUMIFS($D:$D,$A:$A,$A3563,$B:$B,"&lt;&gt;Patrícia Karla de Sousa Araújo",$B:$B,"&lt;&gt;Lorena Dias de Araujo",$B:$B,"&lt;&gt;Lucas Luiz Romero")*(20/1083),IF(C3563="Estágio",SUMIFS($D:$D,$A:$A,$A3563,$B:$B,"&lt;&gt;Patrícia Karla de Sousa Araújo",$B:$B,"&lt;&gt;Lorena Dias de Araujo",$B:$B,"&lt;&gt;Lucas Luiz Romero")*(10/1083),0)))))),0)</f>
        <v/>
      </c>
      <c r="K3563" s="3">
        <f>I3563-J3563</f>
        <v/>
      </c>
      <c r="L3563" s="3">
        <f>IF(K3563&lt;-5,"CRÍTICO",IF(K3563&lt;0,"ATENÇÃO",IF(K3563&lt;=5,"OPORTUNO","MUITO BOM")))</f>
        <v/>
      </c>
      <c r="N3563" t="n">
        <v>99.19</v>
      </c>
      <c r="O3563" t="n">
        <v>29.46236559139785</v>
      </c>
    </row>
    <row r="3564" hidden="1">
      <c r="A3564" s="11" t="n">
        <v>46167</v>
      </c>
      <c r="B3564" t="inlineStr">
        <is>
          <t>Alisson de Freitas Silva</t>
        </is>
      </c>
      <c r="C3564" t="inlineStr">
        <is>
          <t>Técnico II</t>
        </is>
      </c>
      <c r="D3564" t="n">
        <v>34</v>
      </c>
      <c r="E3564" t="n">
        <v>30</v>
      </c>
      <c r="F3564" t="n">
        <v>10.14</v>
      </c>
      <c r="G3564" t="n">
        <v>0</v>
      </c>
      <c r="H3564" t="n">
        <v>0</v>
      </c>
      <c r="I3564" s="3" t="n">
        <v>0</v>
      </c>
      <c r="J3564" s="3" t="n">
        <v>0</v>
      </c>
      <c r="K3564" s="3" t="n">
        <v>0</v>
      </c>
      <c r="L3564" s="3">
        <f>IF(K3564&lt;-5,"CRÍTICO",IF(K3564&lt;0,"ATENÇÃO",IF(K3564&lt;=5,"OPORTUNO","MUITO BOM")))</f>
        <v/>
      </c>
    </row>
    <row r="3565" hidden="1">
      <c r="A3565" s="11" t="n">
        <v>46113</v>
      </c>
      <c r="B3565" t="inlineStr">
        <is>
          <t>Isabella Borges de Oliveira</t>
        </is>
      </c>
      <c r="C3565" t="inlineStr">
        <is>
          <t>Técnico II</t>
        </is>
      </c>
      <c r="D3565" t="n">
        <v>36</v>
      </c>
      <c r="E3565" t="n">
        <v>35</v>
      </c>
      <c r="F3565" t="n">
        <v>17.12</v>
      </c>
      <c r="G3565" t="n">
        <v>0</v>
      </c>
      <c r="H3565" t="n">
        <v>0</v>
      </c>
      <c r="I3565" s="3">
        <f>E3565+G3565+H3565</f>
        <v/>
      </c>
      <c r="J3565" s="3">
        <f>ROUND(MIN(IF(C3565="Técnico III",35,IF(C3565="Técnico II",28,IF(C3565="Técnico I",23,IF(C3565="JR",20,IF(C3565="Estágio",10,0))))),IF(C3565="Técnico III",SUMIFS($D:$D,$A:$A,$A3565,$B:$B,"&lt;&gt;Patrícia Karla de Sousa Araújo",$B:$B,"&lt;&gt;Lorena Dias de Araujo",$B:$B,"&lt;&gt;Lucas Luiz Romero")*(35/1083),IF(C3565="Técnico II",SUMIFS($D:$D,$A:$A,$A3565,$B:$B,"&lt;&gt;Patrícia Karla de Sousa Araújo",$B:$B,"&lt;&gt;Lorena Dias de Araujo",$B:$B,"&lt;&gt;Lucas Luiz Romero")*(28/1083),IF(C3565="Técnico I",SUMIFS($D:$D,$A:$A,$A3565,$B:$B,"&lt;&gt;Patrícia Karla de Sousa Araújo",$B:$B,"&lt;&gt;Lorena Dias de Araujo",$B:$B,"&lt;&gt;Lucas Luiz Romero")*(23/1083),IF(C3565="JR",SUMIFS($D:$D,$A:$A,$A3565,$B:$B,"&lt;&gt;Patrícia Karla de Sousa Araújo",$B:$B,"&lt;&gt;Lorena Dias de Araujo",$B:$B,"&lt;&gt;Lucas Luiz Romero")*(20/1083),IF(C3565="Estágio",SUMIFS($D:$D,$A:$A,$A3565,$B:$B,"&lt;&gt;Patrícia Karla de Sousa Araújo",$B:$B,"&lt;&gt;Lorena Dias de Araujo",$B:$B,"&lt;&gt;Lucas Luiz Romero")*(10/1083),0)))))),0)</f>
        <v/>
      </c>
      <c r="K3565" s="3">
        <f>I3565-J3565</f>
        <v/>
      </c>
      <c r="L3565" s="3">
        <f>IF(K3565&lt;-5,"CRÍTICO",IF(K3565&lt;0,"ATENÇÃO",IF(K3565&lt;=5,"OPORTUNO","MUITO BOM")))</f>
        <v/>
      </c>
      <c r="N3565" t="n">
        <v>100</v>
      </c>
      <c r="O3565" t="n">
        <v>27.94117647058824</v>
      </c>
    </row>
    <row r="3566" hidden="1">
      <c r="A3566" s="11" t="n">
        <v>46113</v>
      </c>
      <c r="B3566" t="inlineStr">
        <is>
          <t>Janaina Lima dos Reis Urany</t>
        </is>
      </c>
      <c r="C3566" t="inlineStr">
        <is>
          <t>Técnico III</t>
        </is>
      </c>
      <c r="D3566" t="n">
        <v>45</v>
      </c>
      <c r="E3566" t="n">
        <v>41</v>
      </c>
      <c r="F3566" t="n">
        <v>12.26</v>
      </c>
      <c r="G3566" t="n">
        <v>0</v>
      </c>
      <c r="H3566" t="n">
        <v>0</v>
      </c>
      <c r="I3566" s="3">
        <f>E3566+G3566+H3566</f>
        <v/>
      </c>
      <c r="J3566" s="3">
        <f>ROUND(MIN(IF(C3566="Técnico III",35,IF(C3566="Técnico II",28,IF(C3566="Técnico I",23,IF(C3566="JR",20,IF(C3566="Estágio",10,0))))),IF(C3566="Técnico III",SUMIFS($D:$D,$A:$A,$A3566,$B:$B,"&lt;&gt;Patrícia Karla de Sousa Araújo",$B:$B,"&lt;&gt;Lorena Dias de Araujo",$B:$B,"&lt;&gt;Lucas Luiz Romero")*(35/1083),IF(C3566="Técnico II",SUMIFS($D:$D,$A:$A,$A3566,$B:$B,"&lt;&gt;Patrícia Karla de Sousa Araújo",$B:$B,"&lt;&gt;Lorena Dias de Araujo",$B:$B,"&lt;&gt;Lucas Luiz Romero")*(28/1083),IF(C3566="Técnico I",SUMIFS($D:$D,$A:$A,$A3566,$B:$B,"&lt;&gt;Patrícia Karla de Sousa Araújo",$B:$B,"&lt;&gt;Lorena Dias de Araujo",$B:$B,"&lt;&gt;Lucas Luiz Romero")*(23/1083),IF(C3566="JR",SUMIFS($D:$D,$A:$A,$A3566,$B:$B,"&lt;&gt;Patrícia Karla de Sousa Araújo",$B:$B,"&lt;&gt;Lorena Dias de Araujo",$B:$B,"&lt;&gt;Lucas Luiz Romero")*(20/1083),IF(C3566="Estágio",SUMIFS($D:$D,$A:$A,$A3566,$B:$B,"&lt;&gt;Patrícia Karla de Sousa Araújo",$B:$B,"&lt;&gt;Lorena Dias de Araujo",$B:$B,"&lt;&gt;Lucas Luiz Romero")*(10/1083),0)))))),0)</f>
        <v/>
      </c>
      <c r="K3566" s="3">
        <f>I3566-J3566</f>
        <v/>
      </c>
      <c r="L3566" s="3">
        <f>IF(K3566&lt;-5,"CRÍTICO",IF(K3566&lt;0,"ATENÇÃO",IF(K3566&lt;=5,"OPORTUNO","MUITO BOM")))</f>
        <v/>
      </c>
      <c r="N3566" t="n">
        <v>99.56999999999999</v>
      </c>
      <c r="O3566" t="n">
        <v>29.91329479768786</v>
      </c>
    </row>
    <row r="3567" hidden="1">
      <c r="A3567" s="11" t="n">
        <v>46113</v>
      </c>
      <c r="B3567" t="inlineStr">
        <is>
          <t>Jaqueline Evangelista da Silva Martins</t>
        </is>
      </c>
      <c r="C3567" t="inlineStr">
        <is>
          <t>Técnico III</t>
        </is>
      </c>
      <c r="D3567" t="n">
        <v>2</v>
      </c>
      <c r="E3567" t="n">
        <v>2</v>
      </c>
      <c r="F3567" t="n">
        <v>20.07</v>
      </c>
      <c r="G3567" t="n">
        <v>0</v>
      </c>
      <c r="H3567" t="n">
        <v>0</v>
      </c>
      <c r="I3567" s="3">
        <f>E3567+G3567+H3567</f>
        <v/>
      </c>
      <c r="J3567" s="3">
        <f>ROUND(MIN(IF(C3567="Técnico III",35,IF(C3567="Técnico II",28,IF(C3567="Técnico I",23,IF(C3567="JR",20,IF(C3567="Estágio",10,0))))),IF(C3567="Técnico III",SUMIFS($D:$D,$A:$A,$A3567,$B:$B,"&lt;&gt;Patrícia Karla de Sousa Araújo",$B:$B,"&lt;&gt;Lorena Dias de Araujo",$B:$B,"&lt;&gt;Lucas Luiz Romero")*(35/1083),IF(C3567="Técnico II",SUMIFS($D:$D,$A:$A,$A3567,$B:$B,"&lt;&gt;Patrícia Karla de Sousa Araújo",$B:$B,"&lt;&gt;Lorena Dias de Araujo",$B:$B,"&lt;&gt;Lucas Luiz Romero")*(28/1083),IF(C3567="Técnico I",SUMIFS($D:$D,$A:$A,$A3567,$B:$B,"&lt;&gt;Patrícia Karla de Sousa Araújo",$B:$B,"&lt;&gt;Lorena Dias de Araujo",$B:$B,"&lt;&gt;Lucas Luiz Romero")*(23/1083),IF(C3567="JR",SUMIFS($D:$D,$A:$A,$A3567,$B:$B,"&lt;&gt;Patrícia Karla de Sousa Araújo",$B:$B,"&lt;&gt;Lorena Dias de Araujo",$B:$B,"&lt;&gt;Lucas Luiz Romero")*(20/1083),IF(C3567="Estágio",SUMIFS($D:$D,$A:$A,$A3567,$B:$B,"&lt;&gt;Patrícia Karla de Sousa Araújo",$B:$B,"&lt;&gt;Lorena Dias de Araujo",$B:$B,"&lt;&gt;Lucas Luiz Romero")*(10/1083),0)))))),0)</f>
        <v/>
      </c>
      <c r="K3567" s="3">
        <f>I3567-J3567</f>
        <v/>
      </c>
      <c r="L3567" s="3">
        <f>IF(K3567&lt;-5,"CRÍTICO",IF(K3567&lt;0,"ATENÇÃO",IF(K3567&lt;=5,"OPORTUNO","MUITO BOM")))</f>
        <v/>
      </c>
      <c r="N3567" t="n">
        <v>95.65000000000001</v>
      </c>
      <c r="O3567" t="n">
        <v>31.08108108108108</v>
      </c>
    </row>
    <row r="3568" hidden="1">
      <c r="A3568" s="11" t="n">
        <v>46113</v>
      </c>
      <c r="B3568" t="inlineStr">
        <is>
          <t>Jessica Faria da Silveira</t>
        </is>
      </c>
      <c r="C3568" t="inlineStr">
        <is>
          <t>Técnico II</t>
        </is>
      </c>
      <c r="D3568" t="n">
        <v>28</v>
      </c>
      <c r="E3568" t="n">
        <v>25</v>
      </c>
      <c r="F3568" t="n">
        <v>21.55</v>
      </c>
      <c r="G3568" t="n">
        <v>0</v>
      </c>
      <c r="H3568" t="n">
        <v>0</v>
      </c>
      <c r="I3568" s="3">
        <f>E3568+G3568+H3568</f>
        <v/>
      </c>
      <c r="J3568" s="3">
        <f>ROUND(MIN(IF(C3568="Técnico III",35,IF(C3568="Técnico II",28,IF(C3568="Técnico I",23,IF(C3568="JR",20,IF(C3568="Estágio",10,0))))),IF(C3568="Técnico III",SUMIFS($D:$D,$A:$A,$A3568,$B:$B,"&lt;&gt;Patrícia Karla de Sousa Araújo",$B:$B,"&lt;&gt;Lorena Dias de Araujo",$B:$B,"&lt;&gt;Lucas Luiz Romero")*(35/1083),IF(C3568="Técnico II",SUMIFS($D:$D,$A:$A,$A3568,$B:$B,"&lt;&gt;Patrícia Karla de Sousa Araújo",$B:$B,"&lt;&gt;Lorena Dias de Araujo",$B:$B,"&lt;&gt;Lucas Luiz Romero")*(28/1083),IF(C3568="Técnico I",SUMIFS($D:$D,$A:$A,$A3568,$B:$B,"&lt;&gt;Patrícia Karla de Sousa Araújo",$B:$B,"&lt;&gt;Lorena Dias de Araujo",$B:$B,"&lt;&gt;Lucas Luiz Romero")*(23/1083),IF(C3568="JR",SUMIFS($D:$D,$A:$A,$A3568,$B:$B,"&lt;&gt;Patrícia Karla de Sousa Araújo",$B:$B,"&lt;&gt;Lorena Dias de Araujo",$B:$B,"&lt;&gt;Lucas Luiz Romero")*(20/1083),IF(C3568="Estágio",SUMIFS($D:$D,$A:$A,$A3568,$B:$B,"&lt;&gt;Patrícia Karla de Sousa Araújo",$B:$B,"&lt;&gt;Lorena Dias de Araujo",$B:$B,"&lt;&gt;Lucas Luiz Romero")*(10/1083),0)))))),0)</f>
        <v/>
      </c>
      <c r="K3568" s="3">
        <f>I3568-J3568</f>
        <v/>
      </c>
      <c r="L3568" s="3">
        <f>IF(K3568&lt;-5,"CRÍTICO",IF(K3568&lt;0,"ATENÇÃO",IF(K3568&lt;=5,"OPORTUNO","MUITO BOM")))</f>
        <v/>
      </c>
      <c r="N3568" t="n">
        <v>98.81</v>
      </c>
      <c r="O3568" t="n">
        <v>26.25698324022346</v>
      </c>
    </row>
    <row r="3569" hidden="1">
      <c r="A3569" s="11" t="n">
        <v>46113</v>
      </c>
      <c r="B3569" t="inlineStr">
        <is>
          <t>Jéssica Fé Moura</t>
        </is>
      </c>
      <c r="C3569" t="inlineStr">
        <is>
          <t>Técnico III</t>
        </is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s="3" t="n">
        <v>0</v>
      </c>
      <c r="J3569" s="3" t="n">
        <v>0</v>
      </c>
      <c r="K3569" s="3" t="n">
        <v>0</v>
      </c>
      <c r="L3569" s="3">
        <f>IF(K3569&lt;-5,"CRÍTICO",IF(K3569&lt;0,"ATENÇÃO",IF(K3569&lt;=5,"OPORTUNO","MUITO BOM")))</f>
        <v/>
      </c>
      <c r="N3569" t="n">
        <v>0</v>
      </c>
      <c r="O3569" t="n">
        <v>0</v>
      </c>
    </row>
    <row r="3570" hidden="1">
      <c r="A3570" s="11" t="n">
        <v>46113</v>
      </c>
      <c r="B3570" t="inlineStr">
        <is>
          <t>Karina Gonçalves Martins</t>
        </is>
      </c>
      <c r="C3570" t="inlineStr">
        <is>
          <t>JR</t>
        </is>
      </c>
      <c r="D3570" t="n">
        <v>22</v>
      </c>
      <c r="E3570" t="n">
        <v>18</v>
      </c>
      <c r="F3570" t="n">
        <v>19</v>
      </c>
      <c r="G3570" t="n">
        <v>0</v>
      </c>
      <c r="H3570" t="n">
        <v>0</v>
      </c>
      <c r="I3570" s="3">
        <f>E3570+G3570+H3570</f>
        <v/>
      </c>
      <c r="J3570" s="3">
        <f>ROUND(MIN(IF(C3570="Técnico III",35,IF(C3570="Técnico II",28,IF(C3570="Técnico I",23,IF(C3570="JR",20,IF(C3570="Estágio",10,0))))),IF(C3570="Técnico III",SUMIFS($D:$D,$A:$A,$A3570,$B:$B,"&lt;&gt;Patrícia Karla de Sousa Araújo",$B:$B,"&lt;&gt;Lorena Dias de Araujo",$B:$B,"&lt;&gt;Lucas Luiz Romero")*(35/1083),IF(C3570="Técnico II",SUMIFS($D:$D,$A:$A,$A3570,$B:$B,"&lt;&gt;Patrícia Karla de Sousa Araújo",$B:$B,"&lt;&gt;Lorena Dias de Araujo",$B:$B,"&lt;&gt;Lucas Luiz Romero")*(28/1083),IF(C3570="Técnico I",SUMIFS($D:$D,$A:$A,$A3570,$B:$B,"&lt;&gt;Patrícia Karla de Sousa Araújo",$B:$B,"&lt;&gt;Lorena Dias de Araujo",$B:$B,"&lt;&gt;Lucas Luiz Romero")*(23/1083),IF(C3570="JR",SUMIFS($D:$D,$A:$A,$A3570,$B:$B,"&lt;&gt;Patrícia Karla de Sousa Araújo",$B:$B,"&lt;&gt;Lorena Dias de Araujo",$B:$B,"&lt;&gt;Lucas Luiz Romero")*(20/1083),IF(C3570="Estágio",SUMIFS($D:$D,$A:$A,$A3570,$B:$B,"&lt;&gt;Patrícia Karla de Sousa Araújo",$B:$B,"&lt;&gt;Lorena Dias de Araujo",$B:$B,"&lt;&gt;Lucas Luiz Romero")*(10/1083),0)))))),0)</f>
        <v/>
      </c>
      <c r="K3570" s="3">
        <f>I3570-J3570</f>
        <v/>
      </c>
      <c r="L3570" s="3">
        <f>IF(K3570&lt;-5,"CRÍTICO",IF(K3570&lt;0,"ATENÇÃO",IF(K3570&lt;=5,"OPORTUNO","MUITO BOM")))</f>
        <v/>
      </c>
      <c r="N3570" t="n">
        <v>97.17</v>
      </c>
      <c r="O3570" t="n">
        <v>28.81844380403458</v>
      </c>
    </row>
    <row r="3571" hidden="1">
      <c r="A3571" s="11" t="n">
        <v>46113</v>
      </c>
      <c r="B3571" t="inlineStr">
        <is>
          <t>Kerollen Cristielly de Jesus Siqueira</t>
        </is>
      </c>
      <c r="C3571" t="inlineStr">
        <is>
          <t>Técnico III</t>
        </is>
      </c>
      <c r="D3571" t="n">
        <v>19</v>
      </c>
      <c r="E3571" t="n">
        <v>19</v>
      </c>
      <c r="F3571" t="n">
        <v>12.21</v>
      </c>
      <c r="G3571" t="n">
        <v>0</v>
      </c>
      <c r="H3571" t="n">
        <v>0</v>
      </c>
      <c r="I3571" s="3">
        <f>E3571+G3571+H3571</f>
        <v/>
      </c>
      <c r="J3571" s="3">
        <f>ROUND(MIN(IF(C3571="Técnico III",35,IF(C3571="Técnico II",28,IF(C3571="Técnico I",23,IF(C3571="JR",20,IF(C3571="Estágio",10,0))))),IF(C3571="Técnico III",SUMIFS($D:$D,$A:$A,$A3571,$B:$B,"&lt;&gt;Patrícia Karla de Sousa Araújo",$B:$B,"&lt;&gt;Lorena Dias de Araujo",$B:$B,"&lt;&gt;Lucas Luiz Romero")*(35/1083),IF(C3571="Técnico II",SUMIFS($D:$D,$A:$A,$A3571,$B:$B,"&lt;&gt;Patrícia Karla de Sousa Araújo",$B:$B,"&lt;&gt;Lorena Dias de Araujo",$B:$B,"&lt;&gt;Lucas Luiz Romero")*(28/1083),IF(C3571="Técnico I",SUMIFS($D:$D,$A:$A,$A3571,$B:$B,"&lt;&gt;Patrícia Karla de Sousa Araújo",$B:$B,"&lt;&gt;Lorena Dias de Araujo",$B:$B,"&lt;&gt;Lucas Luiz Romero")*(23/1083),IF(C3571="JR",SUMIFS($D:$D,$A:$A,$A3571,$B:$B,"&lt;&gt;Patrícia Karla de Sousa Araújo",$B:$B,"&lt;&gt;Lorena Dias de Araujo",$B:$B,"&lt;&gt;Lucas Luiz Romero")*(20/1083),IF(C3571="Estágio",SUMIFS($D:$D,$A:$A,$A3571,$B:$B,"&lt;&gt;Patrícia Karla de Sousa Araújo",$B:$B,"&lt;&gt;Lorena Dias de Araujo",$B:$B,"&lt;&gt;Lucas Luiz Romero")*(10/1083),0)))))),0)</f>
        <v/>
      </c>
      <c r="K3571" s="3">
        <f>I3571-J3571</f>
        <v/>
      </c>
      <c r="L3571" s="3">
        <f>IF(K3571&lt;-5,"CRÍTICO",IF(K3571&lt;0,"ATENÇÃO",IF(K3571&lt;=5,"OPORTUNO","MUITO BOM")))</f>
        <v/>
      </c>
      <c r="N3571" t="n">
        <v>96.81</v>
      </c>
      <c r="O3571" t="n">
        <v>48.01864801864802</v>
      </c>
    </row>
    <row r="3572" hidden="1">
      <c r="A3572" s="11" t="n">
        <v>46113</v>
      </c>
      <c r="B3572" t="inlineStr">
        <is>
          <t>Leandro de Souza Silva</t>
        </is>
      </c>
      <c r="C3572" t="inlineStr">
        <is>
          <t>JR</t>
        </is>
      </c>
      <c r="D3572" t="n">
        <v>14</v>
      </c>
      <c r="E3572" t="n">
        <v>14</v>
      </c>
      <c r="F3572" t="n">
        <v>33.52</v>
      </c>
      <c r="G3572" t="n">
        <v>0</v>
      </c>
      <c r="H3572" t="n">
        <v>0</v>
      </c>
      <c r="I3572" s="3">
        <f>E3572+G3572+H3572</f>
        <v/>
      </c>
      <c r="J3572" s="3">
        <f>ROUND(MIN(IF(C3572="Técnico III",35,IF(C3572="Técnico II",28,IF(C3572="Técnico I",23,IF(C3572="JR",20,IF(C3572="Estágio",10,0))))),IF(C3572="Técnico III",SUMIFS($D:$D,$A:$A,$A3572,$B:$B,"&lt;&gt;Patrícia Karla de Sousa Araújo",$B:$B,"&lt;&gt;Lorena Dias de Araujo",$B:$B,"&lt;&gt;Lucas Luiz Romero")*(35/1083),IF(C3572="Técnico II",SUMIFS($D:$D,$A:$A,$A3572,$B:$B,"&lt;&gt;Patrícia Karla de Sousa Araújo",$B:$B,"&lt;&gt;Lorena Dias de Araujo",$B:$B,"&lt;&gt;Lucas Luiz Romero")*(28/1083),IF(C3572="Técnico I",SUMIFS($D:$D,$A:$A,$A3572,$B:$B,"&lt;&gt;Patrícia Karla de Sousa Araújo",$B:$B,"&lt;&gt;Lorena Dias de Araujo",$B:$B,"&lt;&gt;Lucas Luiz Romero")*(23/1083),IF(C3572="JR",SUMIFS($D:$D,$A:$A,$A3572,$B:$B,"&lt;&gt;Patrícia Karla de Sousa Araújo",$B:$B,"&lt;&gt;Lorena Dias de Araujo",$B:$B,"&lt;&gt;Lucas Luiz Romero")*(20/1083),IF(C3572="Estágio",SUMIFS($D:$D,$A:$A,$A3572,$B:$B,"&lt;&gt;Patrícia Karla de Sousa Araújo",$B:$B,"&lt;&gt;Lorena Dias de Araujo",$B:$B,"&lt;&gt;Lucas Luiz Romero")*(10/1083),0)))))),0)</f>
        <v/>
      </c>
      <c r="K3572" s="3">
        <f>I3572-J3572</f>
        <v/>
      </c>
      <c r="L3572" s="3">
        <f>IF(K3572&lt;-5,"CRÍTICO",IF(K3572&lt;0,"ATENÇÃO",IF(K3572&lt;=5,"OPORTUNO","MUITO BOM")))</f>
        <v/>
      </c>
      <c r="N3572" t="n">
        <v>98.15000000000001</v>
      </c>
      <c r="O3572" t="n">
        <v>27.1551724137931</v>
      </c>
    </row>
    <row r="3573" hidden="1">
      <c r="A3573" s="11" t="n">
        <v>46113</v>
      </c>
      <c r="B3573" t="inlineStr">
        <is>
          <t>Leandro Oliveira de Sousa</t>
        </is>
      </c>
      <c r="C3573" t="inlineStr">
        <is>
          <t>Técnico III</t>
        </is>
      </c>
      <c r="D3573" t="n">
        <v>24</v>
      </c>
      <c r="E3573" t="n">
        <v>24</v>
      </c>
      <c r="F3573" t="n">
        <v>21.48</v>
      </c>
      <c r="G3573" t="n">
        <v>0</v>
      </c>
      <c r="H3573" t="n">
        <v>0</v>
      </c>
      <c r="I3573" s="3">
        <f>E3573+G3573+H3573</f>
        <v/>
      </c>
      <c r="J3573" s="3">
        <f>ROUND(MIN(IF(C3573="Técnico III",35,IF(C3573="Técnico II",28,IF(C3573="Técnico I",23,IF(C3573="JR",20,IF(C3573="Estágio",10,0))))),IF(C3573="Técnico III",SUMIFS($D:$D,$A:$A,$A3573,$B:$B,"&lt;&gt;Patrícia Karla de Sousa Araújo",$B:$B,"&lt;&gt;Lorena Dias de Araujo",$B:$B,"&lt;&gt;Lucas Luiz Romero")*(35/1083),IF(C3573="Técnico II",SUMIFS($D:$D,$A:$A,$A3573,$B:$B,"&lt;&gt;Patrícia Karla de Sousa Araújo",$B:$B,"&lt;&gt;Lorena Dias de Araujo",$B:$B,"&lt;&gt;Lucas Luiz Romero")*(28/1083),IF(C3573="Técnico I",SUMIFS($D:$D,$A:$A,$A3573,$B:$B,"&lt;&gt;Patrícia Karla de Sousa Araújo",$B:$B,"&lt;&gt;Lorena Dias de Araujo",$B:$B,"&lt;&gt;Lucas Luiz Romero")*(23/1083),IF(C3573="JR",SUMIFS($D:$D,$A:$A,$A3573,$B:$B,"&lt;&gt;Patrícia Karla de Sousa Araújo",$B:$B,"&lt;&gt;Lorena Dias de Araujo",$B:$B,"&lt;&gt;Lucas Luiz Romero")*(20/1083),IF(C3573="Estágio",SUMIFS($D:$D,$A:$A,$A3573,$B:$B,"&lt;&gt;Patrícia Karla de Sousa Araújo",$B:$B,"&lt;&gt;Lorena Dias de Araujo",$B:$B,"&lt;&gt;Lucas Luiz Romero")*(10/1083),0)))))),0)</f>
        <v/>
      </c>
      <c r="K3573" s="3">
        <f>I3573-J3573</f>
        <v/>
      </c>
      <c r="L3573" s="3">
        <f>IF(K3573&lt;-5,"CRÍTICO",IF(K3573&lt;0,"ATENÇÃO",IF(K3573&lt;=5,"OPORTUNO","MUITO BOM")))</f>
        <v/>
      </c>
      <c r="N3573" t="n">
        <v>99.15000000000001</v>
      </c>
      <c r="O3573" t="n">
        <v>27.37068965517241</v>
      </c>
    </row>
    <row r="3574" hidden="1">
      <c r="A3574" s="11" t="n">
        <v>46113</v>
      </c>
      <c r="B3574" t="inlineStr">
        <is>
          <t>Lizandra Gomes Duarte</t>
        </is>
      </c>
      <c r="C3574" t="inlineStr">
        <is>
          <t>Técnico II</t>
        </is>
      </c>
      <c r="D3574" t="n">
        <v>26</v>
      </c>
      <c r="E3574" t="n">
        <v>24</v>
      </c>
      <c r="F3574" t="n">
        <v>20.29</v>
      </c>
      <c r="G3574" t="n">
        <v>0</v>
      </c>
      <c r="H3574" t="n">
        <v>0</v>
      </c>
      <c r="I3574" s="3">
        <f>E3574+G3574+H3574</f>
        <v/>
      </c>
      <c r="J3574" s="3">
        <f>ROUND(MIN(IF(C3574="Técnico III",35,IF(C3574="Técnico II",28,IF(C3574="Técnico I",23,IF(C3574="JR",20,IF(C3574="Estágio",10,0))))),IF(C3574="Técnico III",SUMIFS($D:$D,$A:$A,$A3574,$B:$B,"&lt;&gt;Patrícia Karla de Sousa Araújo",$B:$B,"&lt;&gt;Lorena Dias de Araujo",$B:$B,"&lt;&gt;Lucas Luiz Romero")*(35/1083),IF(C3574="Técnico II",SUMIFS($D:$D,$A:$A,$A3574,$B:$B,"&lt;&gt;Patrícia Karla de Sousa Araújo",$B:$B,"&lt;&gt;Lorena Dias de Araujo",$B:$B,"&lt;&gt;Lucas Luiz Romero")*(28/1083),IF(C3574="Técnico I",SUMIFS($D:$D,$A:$A,$A3574,$B:$B,"&lt;&gt;Patrícia Karla de Sousa Araújo",$B:$B,"&lt;&gt;Lorena Dias de Araujo",$B:$B,"&lt;&gt;Lucas Luiz Romero")*(23/1083),IF(C3574="JR",SUMIFS($D:$D,$A:$A,$A3574,$B:$B,"&lt;&gt;Patrícia Karla de Sousa Araújo",$B:$B,"&lt;&gt;Lorena Dias de Araujo",$B:$B,"&lt;&gt;Lucas Luiz Romero")*(20/1083),IF(C3574="Estágio",SUMIFS($D:$D,$A:$A,$A3574,$B:$B,"&lt;&gt;Patrícia Karla de Sousa Araújo",$B:$B,"&lt;&gt;Lorena Dias de Araujo",$B:$B,"&lt;&gt;Lucas Luiz Romero")*(10/1083),0)))))),0)</f>
        <v/>
      </c>
      <c r="K3574" s="3">
        <f>I3574-J3574</f>
        <v/>
      </c>
      <c r="L3574" s="3">
        <f>IF(K3574&lt;-5,"CRÍTICO",IF(K3574&lt;0,"ATENÇÃO",IF(K3574&lt;=5,"OPORTUNO","MUITO BOM")))</f>
        <v/>
      </c>
      <c r="N3574" t="n">
        <v>99.17</v>
      </c>
      <c r="O3574" t="n">
        <v>29.75206611570248</v>
      </c>
    </row>
    <row r="3575" hidden="1">
      <c r="A3575" s="11" t="n">
        <v>46113</v>
      </c>
      <c r="B3575" t="inlineStr">
        <is>
          <t>Lorena Dias de Araujo</t>
        </is>
      </c>
      <c r="C3575" t="inlineStr">
        <is>
          <t>Técnico II</t>
        </is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s="3" t="n">
        <v>0</v>
      </c>
      <c r="J3575" s="3" t="n">
        <v>0</v>
      </c>
      <c r="K3575" s="3" t="n">
        <v>0</v>
      </c>
      <c r="L3575" s="3">
        <f>IF(K3575&lt;-5,"CRÍTICO",IF(K3575&lt;0,"ATENÇÃO",IF(K3575&lt;=5,"OPORTUNO","MUITO BOM")))</f>
        <v/>
      </c>
      <c r="N3575" t="n">
        <v>98.73</v>
      </c>
      <c r="O3575" t="n">
        <v>28.96174863387978</v>
      </c>
    </row>
    <row r="3576" hidden="1">
      <c r="A3576" s="11" t="n">
        <v>46113</v>
      </c>
      <c r="B3576" t="inlineStr">
        <is>
          <t>Lucas Luiz Romero</t>
        </is>
      </c>
      <c r="C3576" t="inlineStr">
        <is>
          <t>Técnico III</t>
        </is>
      </c>
      <c r="D3576" t="n">
        <v>61</v>
      </c>
      <c r="E3576" t="n">
        <v>48</v>
      </c>
      <c r="F3576" t="n">
        <v>11.44</v>
      </c>
      <c r="G3576" t="n">
        <v>0</v>
      </c>
      <c r="H3576" t="n">
        <v>0</v>
      </c>
      <c r="I3576" s="3">
        <f>E3576+G3576+H3576</f>
        <v/>
      </c>
      <c r="J3576" s="3">
        <f>ROUND(MIN(IF(C3576="Técnico III",35,IF(C3576="Técnico II",28,IF(C3576="Técnico I",23,IF(C3576="JR",20,IF(C3576="Estágio",10,0))))),IF(C3576="Técnico III",SUMIFS($D:$D,$A:$A,$A3576,$B:$B,"&lt;&gt;Patrícia Karla de Sousa Araújo",$B:$B,"&lt;&gt;Lorena Dias de Araujo",$B:$B,"&lt;&gt;Lucas Luiz Romero")*(35/1083),IF(C3576="Técnico II",SUMIFS($D:$D,$A:$A,$A3576,$B:$B,"&lt;&gt;Patrícia Karla de Sousa Araújo",$B:$B,"&lt;&gt;Lorena Dias de Araujo",$B:$B,"&lt;&gt;Lucas Luiz Romero")*(28/1083),IF(C3576="Técnico I",SUMIFS($D:$D,$A:$A,$A3576,$B:$B,"&lt;&gt;Patrícia Karla de Sousa Araújo",$B:$B,"&lt;&gt;Lorena Dias de Araujo",$B:$B,"&lt;&gt;Lucas Luiz Romero")*(23/1083),IF(C3576="JR",SUMIFS($D:$D,$A:$A,$A3576,$B:$B,"&lt;&gt;Patrícia Karla de Sousa Araújo",$B:$B,"&lt;&gt;Lorena Dias de Araujo",$B:$B,"&lt;&gt;Lucas Luiz Romero")*(20/1083),IF(C3576="Estágio",SUMIFS($D:$D,$A:$A,$A3576,$B:$B,"&lt;&gt;Patrícia Karla de Sousa Araújo",$B:$B,"&lt;&gt;Lorena Dias de Araujo",$B:$B,"&lt;&gt;Lucas Luiz Romero")*(10/1083),0)))))),0)</f>
        <v/>
      </c>
      <c r="K3576" s="3">
        <f>I3576-J3576</f>
        <v/>
      </c>
      <c r="L3576" s="3">
        <f>IF(K3576&lt;-5,"CRÍTICO",IF(K3576&lt;0,"ATENÇÃO",IF(K3576&lt;=5,"OPORTUNO","MUITO BOM")))</f>
        <v/>
      </c>
      <c r="N3576" t="n">
        <v>88.68000000000001</v>
      </c>
      <c r="O3576" t="n">
        <v>22.03389830508474</v>
      </c>
    </row>
    <row r="3577" hidden="1">
      <c r="A3577" s="11" t="n">
        <v>46113</v>
      </c>
      <c r="B3577" t="inlineStr">
        <is>
          <t>Luiz Fernando de Carvalho Junior</t>
        </is>
      </c>
      <c r="C3577" t="inlineStr">
        <is>
          <t>Técnico I</t>
        </is>
      </c>
      <c r="D3577" t="n">
        <v>28</v>
      </c>
      <c r="E3577" t="n">
        <v>24</v>
      </c>
      <c r="F3577" t="n">
        <v>20.47</v>
      </c>
      <c r="G3577" t="n">
        <v>0</v>
      </c>
      <c r="H3577" t="n">
        <v>0</v>
      </c>
      <c r="I3577" s="3">
        <f>E3577+G3577+H3577</f>
        <v/>
      </c>
      <c r="J3577" s="3">
        <f>ROUND(MIN(IF(C3577="Técnico III",35,IF(C3577="Técnico II",28,IF(C3577="Técnico I",23,IF(C3577="JR",20,IF(C3577="Estágio",10,0))))),IF(C3577="Técnico III",SUMIFS($D:$D,$A:$A,$A3577,$B:$B,"&lt;&gt;Patrícia Karla de Sousa Araújo",$B:$B,"&lt;&gt;Lorena Dias de Araujo",$B:$B,"&lt;&gt;Lucas Luiz Romero")*(35/1083),IF(C3577="Técnico II",SUMIFS($D:$D,$A:$A,$A3577,$B:$B,"&lt;&gt;Patrícia Karla de Sousa Araújo",$B:$B,"&lt;&gt;Lorena Dias de Araujo",$B:$B,"&lt;&gt;Lucas Luiz Romero")*(28/1083),IF(C3577="Técnico I",SUMIFS($D:$D,$A:$A,$A3577,$B:$B,"&lt;&gt;Patrícia Karla de Sousa Araújo",$B:$B,"&lt;&gt;Lorena Dias de Araujo",$B:$B,"&lt;&gt;Lucas Luiz Romero")*(23/1083),IF(C3577="JR",SUMIFS($D:$D,$A:$A,$A3577,$B:$B,"&lt;&gt;Patrícia Karla de Sousa Araújo",$B:$B,"&lt;&gt;Lorena Dias de Araujo",$B:$B,"&lt;&gt;Lucas Luiz Romero")*(20/1083),IF(C3577="Estágio",SUMIFS($D:$D,$A:$A,$A3577,$B:$B,"&lt;&gt;Patrícia Karla de Sousa Araújo",$B:$B,"&lt;&gt;Lorena Dias de Araujo",$B:$B,"&lt;&gt;Lucas Luiz Romero")*(10/1083),0)))))),0)</f>
        <v/>
      </c>
      <c r="K3577" s="3">
        <f>I3577-J3577</f>
        <v/>
      </c>
      <c r="L3577" s="3">
        <f>IF(K3577&lt;-5,"CRÍTICO",IF(K3577&lt;0,"ATENÇÃO",IF(K3577&lt;=5,"OPORTUNO","MUITO BOM")))</f>
        <v/>
      </c>
      <c r="N3577" t="n">
        <v>97.37</v>
      </c>
      <c r="O3577" t="n">
        <v>25.76530612244898</v>
      </c>
    </row>
    <row r="3578" hidden="1">
      <c r="A3578" s="11" t="n">
        <v>46113</v>
      </c>
      <c r="B3578" t="inlineStr">
        <is>
          <t>Maria Eduarda Sousa Costa</t>
        </is>
      </c>
      <c r="C3578" t="inlineStr">
        <is>
          <t>Estágio</t>
        </is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s="3" t="n">
        <v>0</v>
      </c>
      <c r="J3578" s="3" t="n">
        <v>0</v>
      </c>
      <c r="K3578" s="3" t="n">
        <v>0</v>
      </c>
      <c r="L3578" s="3">
        <f>IF(K3578&lt;-5,"CRÍTICO",IF(K3578&lt;0,"ATENÇÃO",IF(K3578&lt;=5,"OPORTUNO","MUITO BOM")))</f>
        <v/>
      </c>
      <c r="N3578" t="n">
        <v>100</v>
      </c>
      <c r="O3578" t="n">
        <v>25</v>
      </c>
    </row>
    <row r="3579" hidden="1">
      <c r="A3579" s="11" t="n">
        <v>46113</v>
      </c>
      <c r="B3579" t="inlineStr">
        <is>
          <t>Matheus Farias De Souza</t>
        </is>
      </c>
      <c r="C3579" t="inlineStr">
        <is>
          <t>Técnico III</t>
        </is>
      </c>
      <c r="D3579" t="n">
        <v>50</v>
      </c>
      <c r="E3579" t="n">
        <v>48</v>
      </c>
      <c r="F3579" t="n">
        <v>12.04</v>
      </c>
      <c r="G3579" t="n">
        <v>0</v>
      </c>
      <c r="H3579" t="n">
        <v>0</v>
      </c>
      <c r="I3579" s="3">
        <f>E3579+G3579+H3579</f>
        <v/>
      </c>
      <c r="J3579" s="3">
        <f>ROUND(MIN(IF(C3579="Técnico III",35,IF(C3579="Técnico II",28,IF(C3579="Técnico I",23,IF(C3579="JR",20,IF(C3579="Estágio",10,0))))),IF(C3579="Técnico III",SUMIFS($D:$D,$A:$A,$A3579,$B:$B,"&lt;&gt;Patrícia Karla de Sousa Araújo",$B:$B,"&lt;&gt;Lorena Dias de Araujo",$B:$B,"&lt;&gt;Lucas Luiz Romero")*(35/1083),IF(C3579="Técnico II",SUMIFS($D:$D,$A:$A,$A3579,$B:$B,"&lt;&gt;Patrícia Karla de Sousa Araújo",$B:$B,"&lt;&gt;Lorena Dias de Araujo",$B:$B,"&lt;&gt;Lucas Luiz Romero")*(28/1083),IF(C3579="Técnico I",SUMIFS($D:$D,$A:$A,$A3579,$B:$B,"&lt;&gt;Patrícia Karla de Sousa Araújo",$B:$B,"&lt;&gt;Lorena Dias de Araujo",$B:$B,"&lt;&gt;Lucas Luiz Romero")*(23/1083),IF(C3579="JR",SUMIFS($D:$D,$A:$A,$A3579,$B:$B,"&lt;&gt;Patrícia Karla de Sousa Araújo",$B:$B,"&lt;&gt;Lorena Dias de Araujo",$B:$B,"&lt;&gt;Lucas Luiz Romero")*(20/1083),IF(C3579="Estágio",SUMIFS($D:$D,$A:$A,$A3579,$B:$B,"&lt;&gt;Patrícia Karla de Sousa Araújo",$B:$B,"&lt;&gt;Lorena Dias de Araujo",$B:$B,"&lt;&gt;Lucas Luiz Romero")*(10/1083),0)))))),0)</f>
        <v/>
      </c>
      <c r="K3579" s="3">
        <f>I3579-J3579</f>
        <v/>
      </c>
      <c r="L3579" s="3">
        <f>IF(K3579&lt;-5,"CRÍTICO",IF(K3579&lt;0,"ATENÇÃO",IF(K3579&lt;=5,"OPORTUNO","MUITO BOM")))</f>
        <v/>
      </c>
      <c r="N3579" t="n">
        <v>100</v>
      </c>
      <c r="O3579" t="n">
        <v>23.9870340356564</v>
      </c>
    </row>
    <row r="3580" hidden="1">
      <c r="A3580" s="11" t="n">
        <v>46113</v>
      </c>
      <c r="B3580" t="inlineStr">
        <is>
          <t>Maysa Victoria Dias Moura</t>
        </is>
      </c>
      <c r="C3580" t="inlineStr">
        <is>
          <t>Técnico III</t>
        </is>
      </c>
      <c r="D3580" t="n">
        <v>35</v>
      </c>
      <c r="E3580" t="n">
        <v>31</v>
      </c>
      <c r="F3580" t="n">
        <v>12.33</v>
      </c>
      <c r="G3580" t="n">
        <v>0</v>
      </c>
      <c r="H3580" t="n">
        <v>0</v>
      </c>
      <c r="I3580" s="3">
        <f>E3580+G3580+H3580</f>
        <v/>
      </c>
      <c r="J3580" s="3">
        <f>ROUND(MIN(IF(C3580="Técnico III",35,IF(C3580="Técnico II",28,IF(C3580="Técnico I",23,IF(C3580="JR",20,IF(C3580="Estágio",10,0))))),IF(C3580="Técnico III",SUMIFS($D:$D,$A:$A,$A3580,$B:$B,"&lt;&gt;Patrícia Karla de Sousa Araújo",$B:$B,"&lt;&gt;Lorena Dias de Araujo",$B:$B,"&lt;&gt;Lucas Luiz Romero")*(35/1083),IF(C3580="Técnico II",SUMIFS($D:$D,$A:$A,$A3580,$B:$B,"&lt;&gt;Patrícia Karla de Sousa Araújo",$B:$B,"&lt;&gt;Lorena Dias de Araujo",$B:$B,"&lt;&gt;Lucas Luiz Romero")*(28/1083),IF(C3580="Técnico I",SUMIFS($D:$D,$A:$A,$A3580,$B:$B,"&lt;&gt;Patrícia Karla de Sousa Araújo",$B:$B,"&lt;&gt;Lorena Dias de Araujo",$B:$B,"&lt;&gt;Lucas Luiz Romero")*(23/1083),IF(C3580="JR",SUMIFS($D:$D,$A:$A,$A3580,$B:$B,"&lt;&gt;Patrícia Karla de Sousa Araújo",$B:$B,"&lt;&gt;Lorena Dias de Araujo",$B:$B,"&lt;&gt;Lucas Luiz Romero")*(20/1083),IF(C3580="Estágio",SUMIFS($D:$D,$A:$A,$A3580,$B:$B,"&lt;&gt;Patrícia Karla de Sousa Araújo",$B:$B,"&lt;&gt;Lorena Dias de Araujo",$B:$B,"&lt;&gt;Lucas Luiz Romero")*(10/1083),0)))))),0)</f>
        <v/>
      </c>
      <c r="K3580" s="3">
        <f>I3580-J3580</f>
        <v/>
      </c>
      <c r="L3580" s="3">
        <f>IF(K3580&lt;-5,"CRÍTICO",IF(K3580&lt;0,"ATENÇÃO",IF(K3580&lt;=5,"OPORTUNO","MUITO BOM")))</f>
        <v/>
      </c>
      <c r="N3580" t="n">
        <v>95.48999999999999</v>
      </c>
      <c r="O3580" t="n">
        <v>28.16901408450704</v>
      </c>
    </row>
    <row r="3581" hidden="1">
      <c r="A3581" s="11" t="n">
        <v>46113</v>
      </c>
      <c r="B3581" t="inlineStr">
        <is>
          <t>Michelle G Santos</t>
        </is>
      </c>
      <c r="C3581" t="inlineStr">
        <is>
          <t>Estágio</t>
        </is>
      </c>
      <c r="D3581" t="n">
        <v>18</v>
      </c>
      <c r="E3581" t="n">
        <v>16</v>
      </c>
      <c r="F3581" t="n">
        <v>22.36</v>
      </c>
      <c r="G3581" t="n">
        <v>0</v>
      </c>
      <c r="H3581" t="n">
        <v>0</v>
      </c>
      <c r="I3581" s="3">
        <f>E3581+G3581+H3581</f>
        <v/>
      </c>
      <c r="J3581" s="3">
        <f>ROUND(MIN(IF(C3581="Técnico III",35,IF(C3581="Técnico II",28,IF(C3581="Técnico I",23,IF(C3581="JR",20,IF(C3581="Estágio",10,0))))),IF(C3581="Técnico III",SUMIFS($D:$D,$A:$A,$A3581,$B:$B,"&lt;&gt;Patrícia Karla de Sousa Araújo",$B:$B,"&lt;&gt;Lorena Dias de Araujo",$B:$B,"&lt;&gt;Lucas Luiz Romero")*(35/1083),IF(C3581="Técnico II",SUMIFS($D:$D,$A:$A,$A3581,$B:$B,"&lt;&gt;Patrícia Karla de Sousa Araújo",$B:$B,"&lt;&gt;Lorena Dias de Araujo",$B:$B,"&lt;&gt;Lucas Luiz Romero")*(28/1083),IF(C3581="Técnico I",SUMIFS($D:$D,$A:$A,$A3581,$B:$B,"&lt;&gt;Patrícia Karla de Sousa Araújo",$B:$B,"&lt;&gt;Lorena Dias de Araujo",$B:$B,"&lt;&gt;Lucas Luiz Romero")*(23/1083),IF(C3581="JR",SUMIFS($D:$D,$A:$A,$A3581,$B:$B,"&lt;&gt;Patrícia Karla de Sousa Araújo",$B:$B,"&lt;&gt;Lorena Dias de Araujo",$B:$B,"&lt;&gt;Lucas Luiz Romero")*(20/1083),IF(C3581="Estágio",SUMIFS($D:$D,$A:$A,$A3581,$B:$B,"&lt;&gt;Patrícia Karla de Sousa Araújo",$B:$B,"&lt;&gt;Lorena Dias de Araujo",$B:$B,"&lt;&gt;Lucas Luiz Romero")*(10/1083),0)))))),0)</f>
        <v/>
      </c>
      <c r="K3581" s="3">
        <f>I3581-J3581</f>
        <v/>
      </c>
      <c r="L3581" s="3">
        <f>IF(K3581&lt;-5,"CRÍTICO",IF(K3581&lt;0,"ATENÇÃO",IF(K3581&lt;=5,"OPORTUNO","MUITO BOM")))</f>
        <v/>
      </c>
      <c r="N3581" t="n">
        <v>100</v>
      </c>
      <c r="O3581" t="n">
        <v>23.77622377622378</v>
      </c>
    </row>
    <row r="3582" hidden="1">
      <c r="A3582" s="11" t="n">
        <v>46113</v>
      </c>
      <c r="B3582" t="inlineStr">
        <is>
          <t>Milena Sales</t>
        </is>
      </c>
      <c r="C3582" t="inlineStr">
        <is>
          <t>JR</t>
        </is>
      </c>
      <c r="D3582" t="n">
        <v>27</v>
      </c>
      <c r="E3582" t="n">
        <v>23</v>
      </c>
      <c r="F3582" t="n">
        <v>18.55</v>
      </c>
      <c r="G3582" t="n">
        <v>0</v>
      </c>
      <c r="H3582" t="n">
        <v>0</v>
      </c>
      <c r="I3582" s="3">
        <f>E3582+G3582+H3582</f>
        <v/>
      </c>
      <c r="J3582" s="3">
        <f>ROUND(MIN(IF(C3582="Técnico III",35,IF(C3582="Técnico II",28,IF(C3582="Técnico I",23,IF(C3582="JR",20,IF(C3582="Estágio",10,0))))),IF(C3582="Técnico III",SUMIFS($D:$D,$A:$A,$A3582,$B:$B,"&lt;&gt;Patrícia Karla de Sousa Araújo",$B:$B,"&lt;&gt;Lorena Dias de Araujo",$B:$B,"&lt;&gt;Lucas Luiz Romero")*(35/1083),IF(C3582="Técnico II",SUMIFS($D:$D,$A:$A,$A3582,$B:$B,"&lt;&gt;Patrícia Karla de Sousa Araújo",$B:$B,"&lt;&gt;Lorena Dias de Araujo",$B:$B,"&lt;&gt;Lucas Luiz Romero")*(28/1083),IF(C3582="Técnico I",SUMIFS($D:$D,$A:$A,$A3582,$B:$B,"&lt;&gt;Patrícia Karla de Sousa Araújo",$B:$B,"&lt;&gt;Lorena Dias de Araujo",$B:$B,"&lt;&gt;Lucas Luiz Romero")*(23/1083),IF(C3582="JR",SUMIFS($D:$D,$A:$A,$A3582,$B:$B,"&lt;&gt;Patrícia Karla de Sousa Araújo",$B:$B,"&lt;&gt;Lorena Dias de Araujo",$B:$B,"&lt;&gt;Lucas Luiz Romero")*(20/1083),IF(C3582="Estágio",SUMIFS($D:$D,$A:$A,$A3582,$B:$B,"&lt;&gt;Patrícia Karla de Sousa Araújo",$B:$B,"&lt;&gt;Lorena Dias de Araujo",$B:$B,"&lt;&gt;Lucas Luiz Romero")*(10/1083),0)))))),0)</f>
        <v/>
      </c>
      <c r="K3582" s="3">
        <f>I3582-J3582</f>
        <v/>
      </c>
      <c r="L3582" s="3">
        <f>IF(K3582&lt;-5,"CRÍTICO",IF(K3582&lt;0,"ATENÇÃO",IF(K3582&lt;=5,"OPORTUNO","MUITO BOM")))</f>
        <v/>
      </c>
      <c r="N3582" t="n">
        <v>96.15000000000001</v>
      </c>
      <c r="O3582" t="n">
        <v>24.04580152671756</v>
      </c>
    </row>
    <row r="3583" hidden="1">
      <c r="A3583" s="11" t="n">
        <v>46113</v>
      </c>
      <c r="B3583" t="inlineStr">
        <is>
          <t>Patrícia Karla de Sousa Araújo</t>
        </is>
      </c>
      <c r="C3583" t="inlineStr">
        <is>
          <t>Técnico II</t>
        </is>
      </c>
      <c r="D3583" t="n">
        <v>24</v>
      </c>
      <c r="E3583" t="n">
        <v>21</v>
      </c>
      <c r="F3583" t="n">
        <v>23.41</v>
      </c>
      <c r="G3583" t="n">
        <v>0</v>
      </c>
      <c r="H3583" t="n">
        <v>0</v>
      </c>
      <c r="I3583" s="3">
        <f>E3583+G3583+H3583</f>
        <v/>
      </c>
      <c r="J3583" s="3">
        <f>ROUND(MIN(IF(C3583="Técnico III",35,IF(C3583="Técnico II",28,IF(C3583="Técnico I",23,IF(C3583="JR",20,IF(C3583="Estágio",10,0))))),IF(C3583="Técnico III",SUMIFS($D:$D,$A:$A,$A3583,$B:$B,"&lt;&gt;Patrícia Karla de Sousa Araújo",$B:$B,"&lt;&gt;Lorena Dias de Araujo",$B:$B,"&lt;&gt;Lucas Luiz Romero")*(35/1083),IF(C3583="Técnico II",SUMIFS($D:$D,$A:$A,$A3583,$B:$B,"&lt;&gt;Patrícia Karla de Sousa Araújo",$B:$B,"&lt;&gt;Lorena Dias de Araujo",$B:$B,"&lt;&gt;Lucas Luiz Romero")*(28/1083),IF(C3583="Técnico I",SUMIFS($D:$D,$A:$A,$A3583,$B:$B,"&lt;&gt;Patrícia Karla de Sousa Araújo",$B:$B,"&lt;&gt;Lorena Dias de Araujo",$B:$B,"&lt;&gt;Lucas Luiz Romero")*(23/1083),IF(C3583="JR",SUMIFS($D:$D,$A:$A,$A3583,$B:$B,"&lt;&gt;Patrícia Karla de Sousa Araújo",$B:$B,"&lt;&gt;Lorena Dias de Araujo",$B:$B,"&lt;&gt;Lucas Luiz Romero")*(20/1083),IF(C3583="Estágio",SUMIFS($D:$D,$A:$A,$A3583,$B:$B,"&lt;&gt;Patrícia Karla de Sousa Araújo",$B:$B,"&lt;&gt;Lorena Dias de Araujo",$B:$B,"&lt;&gt;Lucas Luiz Romero")*(10/1083),0)))))),0)</f>
        <v/>
      </c>
      <c r="K3583" s="3">
        <f>I3583-J3583</f>
        <v/>
      </c>
      <c r="L3583" s="3">
        <f>IF(K3583&lt;-5,"CRÍTICO",IF(K3583&lt;0,"ATENÇÃO",IF(K3583&lt;=5,"OPORTUNO","MUITO BOM")))</f>
        <v/>
      </c>
      <c r="N3583" t="n">
        <v>99.02</v>
      </c>
      <c r="O3583" t="n">
        <v>34.7972972972973</v>
      </c>
    </row>
    <row r="3584" hidden="1">
      <c r="A3584" s="11" t="n">
        <v>46113</v>
      </c>
      <c r="B3584" t="inlineStr">
        <is>
          <t>Paulo Ricardo Santos</t>
        </is>
      </c>
      <c r="C3584" t="inlineStr">
        <is>
          <t>JR</t>
        </is>
      </c>
      <c r="D3584" t="n">
        <v>21</v>
      </c>
      <c r="E3584" t="n">
        <v>21</v>
      </c>
      <c r="F3584" t="n">
        <v>16.51</v>
      </c>
      <c r="G3584" t="n">
        <v>0</v>
      </c>
      <c r="H3584" t="n">
        <v>0</v>
      </c>
      <c r="I3584" s="3">
        <f>E3584+G3584+H3584</f>
        <v/>
      </c>
      <c r="J3584" s="3">
        <f>ROUND(MIN(IF(C3584="Técnico III",35,IF(C3584="Técnico II",28,IF(C3584="Técnico I",23,IF(C3584="JR",20,IF(C3584="Estágio",10,0))))),IF(C3584="Técnico III",SUMIFS($D:$D,$A:$A,$A3584,$B:$B,"&lt;&gt;Patrícia Karla de Sousa Araújo",$B:$B,"&lt;&gt;Lorena Dias de Araujo",$B:$B,"&lt;&gt;Lucas Luiz Romero")*(35/1083),IF(C3584="Técnico II",SUMIFS($D:$D,$A:$A,$A3584,$B:$B,"&lt;&gt;Patrícia Karla de Sousa Araújo",$B:$B,"&lt;&gt;Lorena Dias de Araujo",$B:$B,"&lt;&gt;Lucas Luiz Romero")*(28/1083),IF(C3584="Técnico I",SUMIFS($D:$D,$A:$A,$A3584,$B:$B,"&lt;&gt;Patrícia Karla de Sousa Araújo",$B:$B,"&lt;&gt;Lorena Dias de Araujo",$B:$B,"&lt;&gt;Lucas Luiz Romero")*(23/1083),IF(C3584="JR",SUMIFS($D:$D,$A:$A,$A3584,$B:$B,"&lt;&gt;Patrícia Karla de Sousa Araújo",$B:$B,"&lt;&gt;Lorena Dias de Araujo",$B:$B,"&lt;&gt;Lucas Luiz Romero")*(20/1083),IF(C3584="Estágio",SUMIFS($D:$D,$A:$A,$A3584,$B:$B,"&lt;&gt;Patrícia Karla de Sousa Araújo",$B:$B,"&lt;&gt;Lorena Dias de Araujo",$B:$B,"&lt;&gt;Lucas Luiz Romero")*(10/1083),0)))))),0)</f>
        <v/>
      </c>
      <c r="K3584" s="3">
        <f>I3584-J3584</f>
        <v/>
      </c>
      <c r="L3584" s="3">
        <f>IF(K3584&lt;-5,"CRÍTICO",IF(K3584&lt;0,"ATENÇÃO",IF(K3584&lt;=5,"OPORTUNO","MUITO BOM")))</f>
        <v/>
      </c>
      <c r="N3584" t="n">
        <v>98.84</v>
      </c>
      <c r="O3584" t="n">
        <v>31.5018315018315</v>
      </c>
    </row>
    <row r="3585" hidden="1">
      <c r="A3585" s="11" t="n">
        <v>46113</v>
      </c>
      <c r="B3585" t="inlineStr">
        <is>
          <t>Pedro Luiz Mota Sousa</t>
        </is>
      </c>
      <c r="C3585" t="inlineStr">
        <is>
          <t>JR</t>
        </is>
      </c>
      <c r="D3585" t="n">
        <v>19</v>
      </c>
      <c r="E3585" t="n">
        <v>19</v>
      </c>
      <c r="F3585" t="n">
        <v>22.12</v>
      </c>
      <c r="G3585" t="n">
        <v>0</v>
      </c>
      <c r="H3585" t="n">
        <v>0</v>
      </c>
      <c r="I3585" s="3">
        <f>E3585+G3585+H3585</f>
        <v/>
      </c>
      <c r="J3585" s="3">
        <f>ROUND(MIN(IF(C3585="Técnico III",35,IF(C3585="Técnico II",28,IF(C3585="Técnico I",23,IF(C3585="JR",20,IF(C3585="Estágio",10,0))))),IF(C3585="Técnico III",SUMIFS($D:$D,$A:$A,$A3585,$B:$B,"&lt;&gt;Patrícia Karla de Sousa Araújo",$B:$B,"&lt;&gt;Lorena Dias de Araujo",$B:$B,"&lt;&gt;Lucas Luiz Romero")*(35/1083),IF(C3585="Técnico II",SUMIFS($D:$D,$A:$A,$A3585,$B:$B,"&lt;&gt;Patrícia Karla de Sousa Araújo",$B:$B,"&lt;&gt;Lorena Dias de Araujo",$B:$B,"&lt;&gt;Lucas Luiz Romero")*(28/1083),IF(C3585="Técnico I",SUMIFS($D:$D,$A:$A,$A3585,$B:$B,"&lt;&gt;Patrícia Karla de Sousa Araújo",$B:$B,"&lt;&gt;Lorena Dias de Araujo",$B:$B,"&lt;&gt;Lucas Luiz Romero")*(23/1083),IF(C3585="JR",SUMIFS($D:$D,$A:$A,$A3585,$B:$B,"&lt;&gt;Patrícia Karla de Sousa Araújo",$B:$B,"&lt;&gt;Lorena Dias de Araujo",$B:$B,"&lt;&gt;Lucas Luiz Romero")*(20/1083),IF(C3585="Estágio",SUMIFS($D:$D,$A:$A,$A3585,$B:$B,"&lt;&gt;Patrícia Karla de Sousa Araújo",$B:$B,"&lt;&gt;Lorena Dias de Araujo",$B:$B,"&lt;&gt;Lucas Luiz Romero")*(10/1083),0)))))),0)</f>
        <v/>
      </c>
      <c r="K3585" s="3">
        <f>I3585-J3585</f>
        <v/>
      </c>
      <c r="L3585" s="3">
        <f>IF(K3585&lt;-5,"CRÍTICO",IF(K3585&lt;0,"ATENÇÃO",IF(K3585&lt;=5,"OPORTUNO","MUITO BOM")))</f>
        <v/>
      </c>
      <c r="N3585" t="n">
        <v>100</v>
      </c>
      <c r="O3585" t="n">
        <v>34.66666666666667</v>
      </c>
    </row>
    <row r="3586" hidden="1">
      <c r="A3586" s="11" t="n">
        <v>46113</v>
      </c>
      <c r="B3586" t="inlineStr">
        <is>
          <t>Quirino Diogo Leite Torres</t>
        </is>
      </c>
      <c r="C3586" t="inlineStr">
        <is>
          <t>Estágio</t>
        </is>
      </c>
      <c r="D3586" t="n">
        <v>10</v>
      </c>
      <c r="E3586" t="n">
        <v>10</v>
      </c>
      <c r="F3586" t="n">
        <v>25.37</v>
      </c>
      <c r="G3586" t="n">
        <v>0</v>
      </c>
      <c r="H3586" t="n">
        <v>0</v>
      </c>
      <c r="I3586" s="3">
        <f>E3586+G3586+H3586</f>
        <v/>
      </c>
      <c r="J3586" s="3">
        <f>ROUND(MIN(IF(C3586="Técnico III",35,IF(C3586="Técnico II",28,IF(C3586="Técnico I",23,IF(C3586="JR",20,IF(C3586="Estágio",10,0))))),IF(C3586="Técnico III",SUMIFS($D:$D,$A:$A,$A3586,$B:$B,"&lt;&gt;Patrícia Karla de Sousa Araújo",$B:$B,"&lt;&gt;Lorena Dias de Araujo",$B:$B,"&lt;&gt;Lucas Luiz Romero")*(35/1083),IF(C3586="Técnico II",SUMIFS($D:$D,$A:$A,$A3586,$B:$B,"&lt;&gt;Patrícia Karla de Sousa Araújo",$B:$B,"&lt;&gt;Lorena Dias de Araujo",$B:$B,"&lt;&gt;Lucas Luiz Romero")*(28/1083),IF(C3586="Técnico I",SUMIFS($D:$D,$A:$A,$A3586,$B:$B,"&lt;&gt;Patrícia Karla de Sousa Araújo",$B:$B,"&lt;&gt;Lorena Dias de Araujo",$B:$B,"&lt;&gt;Lucas Luiz Romero")*(23/1083),IF(C3586="JR",SUMIFS($D:$D,$A:$A,$A3586,$B:$B,"&lt;&gt;Patrícia Karla de Sousa Araújo",$B:$B,"&lt;&gt;Lorena Dias de Araujo",$B:$B,"&lt;&gt;Lucas Luiz Romero")*(20/1083),IF(C3586="Estágio",SUMIFS($D:$D,$A:$A,$A3586,$B:$B,"&lt;&gt;Patrícia Karla de Sousa Araújo",$B:$B,"&lt;&gt;Lorena Dias de Araujo",$B:$B,"&lt;&gt;Lucas Luiz Romero")*(10/1083),0)))))),0)</f>
        <v/>
      </c>
      <c r="K3586" s="3">
        <f>I3586-J3586</f>
        <v/>
      </c>
      <c r="L3586" s="3">
        <f>IF(K3586&lt;-5,"CRÍTICO",IF(K3586&lt;0,"ATENÇÃO",IF(K3586&lt;=5,"OPORTUNO","MUITO BOM")))</f>
        <v/>
      </c>
      <c r="N3586" t="n">
        <v>94.12</v>
      </c>
      <c r="O3586" t="n">
        <v>32.8</v>
      </c>
    </row>
    <row r="3587" hidden="1">
      <c r="A3587" s="11" t="n">
        <v>46113</v>
      </c>
      <c r="B3587" t="inlineStr">
        <is>
          <t>Raane Batista Matos</t>
        </is>
      </c>
      <c r="C3587" t="inlineStr">
        <is>
          <t>Técnico I</t>
        </is>
      </c>
      <c r="D3587" t="n">
        <v>33</v>
      </c>
      <c r="E3587" t="n">
        <v>32</v>
      </c>
      <c r="F3587" t="n">
        <v>15.14</v>
      </c>
      <c r="G3587" t="n">
        <v>0</v>
      </c>
      <c r="H3587" t="n">
        <v>0</v>
      </c>
      <c r="I3587" s="3">
        <f>E3587+G3587+H3587</f>
        <v/>
      </c>
      <c r="J3587" s="3">
        <f>ROUND(MIN(IF(C3587="Técnico III",35,IF(C3587="Técnico II",28,IF(C3587="Técnico I",23,IF(C3587="JR",20,IF(C3587="Estágio",10,0))))),IF(C3587="Técnico III",SUMIFS($D:$D,$A:$A,$A3587,$B:$B,"&lt;&gt;Patrícia Karla de Sousa Araújo",$B:$B,"&lt;&gt;Lorena Dias de Araujo",$B:$B,"&lt;&gt;Lucas Luiz Romero")*(35/1083),IF(C3587="Técnico II",SUMIFS($D:$D,$A:$A,$A3587,$B:$B,"&lt;&gt;Patrícia Karla de Sousa Araújo",$B:$B,"&lt;&gt;Lorena Dias de Araujo",$B:$B,"&lt;&gt;Lucas Luiz Romero")*(28/1083),IF(C3587="Técnico I",SUMIFS($D:$D,$A:$A,$A3587,$B:$B,"&lt;&gt;Patrícia Karla de Sousa Araújo",$B:$B,"&lt;&gt;Lorena Dias de Araujo",$B:$B,"&lt;&gt;Lucas Luiz Romero")*(23/1083),IF(C3587="JR",SUMIFS($D:$D,$A:$A,$A3587,$B:$B,"&lt;&gt;Patrícia Karla de Sousa Araújo",$B:$B,"&lt;&gt;Lorena Dias de Araujo",$B:$B,"&lt;&gt;Lucas Luiz Romero")*(20/1083),IF(C3587="Estágio",SUMIFS($D:$D,$A:$A,$A3587,$B:$B,"&lt;&gt;Patrícia Karla de Sousa Araújo",$B:$B,"&lt;&gt;Lorena Dias de Araujo",$B:$B,"&lt;&gt;Lucas Luiz Romero")*(10/1083),0)))))),0)</f>
        <v/>
      </c>
      <c r="K3587" s="3">
        <f>I3587-J3587</f>
        <v/>
      </c>
      <c r="L3587" s="3">
        <f>IF(K3587&lt;-5,"CRÍTICO",IF(K3587&lt;0,"ATENÇÃO",IF(K3587&lt;=5,"OPORTUNO","MUITO BOM")))</f>
        <v/>
      </c>
      <c r="N3587" t="n">
        <v>98.31999999999999</v>
      </c>
      <c r="O3587" t="n">
        <v>26.61870503597122</v>
      </c>
    </row>
    <row r="3588" hidden="1">
      <c r="A3588" s="11" t="n">
        <v>46113</v>
      </c>
      <c r="B3588" t="inlineStr">
        <is>
          <t>Rafael Gomes de Morais</t>
        </is>
      </c>
      <c r="C3588" t="inlineStr">
        <is>
          <t>Técnico III</t>
        </is>
      </c>
      <c r="D3588" t="n">
        <v>47</v>
      </c>
      <c r="E3588" t="n">
        <v>42</v>
      </c>
      <c r="F3588" t="n">
        <v>13.55</v>
      </c>
      <c r="G3588" t="n">
        <v>0</v>
      </c>
      <c r="H3588" t="n">
        <v>0</v>
      </c>
      <c r="I3588" s="3">
        <f>E3588+G3588+H3588</f>
        <v/>
      </c>
      <c r="J3588" s="3">
        <f>ROUND(MIN(IF(C3588="Técnico III",35,IF(C3588="Técnico II",28,IF(C3588="Técnico I",23,IF(C3588="JR",20,IF(C3588="Estágio",10,0))))),IF(C3588="Técnico III",SUMIFS($D:$D,$A:$A,$A3588,$B:$B,"&lt;&gt;Patrícia Karla de Sousa Araújo",$B:$B,"&lt;&gt;Lorena Dias de Araujo",$B:$B,"&lt;&gt;Lucas Luiz Romero")*(35/1083),IF(C3588="Técnico II",SUMIFS($D:$D,$A:$A,$A3588,$B:$B,"&lt;&gt;Patrícia Karla de Sousa Araújo",$B:$B,"&lt;&gt;Lorena Dias de Araujo",$B:$B,"&lt;&gt;Lucas Luiz Romero")*(28/1083),IF(C3588="Técnico I",SUMIFS($D:$D,$A:$A,$A3588,$B:$B,"&lt;&gt;Patrícia Karla de Sousa Araújo",$B:$B,"&lt;&gt;Lorena Dias de Araujo",$B:$B,"&lt;&gt;Lucas Luiz Romero")*(23/1083),IF(C3588="JR",SUMIFS($D:$D,$A:$A,$A3588,$B:$B,"&lt;&gt;Patrícia Karla de Sousa Araújo",$B:$B,"&lt;&gt;Lorena Dias de Araujo",$B:$B,"&lt;&gt;Lucas Luiz Romero")*(20/1083),IF(C3588="Estágio",SUMIFS($D:$D,$A:$A,$A3588,$B:$B,"&lt;&gt;Patrícia Karla de Sousa Araújo",$B:$B,"&lt;&gt;Lorena Dias de Araujo",$B:$B,"&lt;&gt;Lucas Luiz Romero")*(10/1083),0)))))),0)</f>
        <v/>
      </c>
      <c r="K3588" s="3">
        <f>I3588-J3588</f>
        <v/>
      </c>
      <c r="L3588" s="3">
        <f>IF(K3588&lt;-5,"CRÍTICO",IF(K3588&lt;0,"ATENÇÃO",IF(K3588&lt;=5,"OPORTUNO","MUITO BOM")))</f>
        <v/>
      </c>
      <c r="N3588" t="n">
        <v>100</v>
      </c>
      <c r="O3588" t="n">
        <v>31.13553113553114</v>
      </c>
    </row>
    <row r="3589" hidden="1">
      <c r="A3589" s="11" t="n">
        <v>46113</v>
      </c>
      <c r="B3589" t="inlineStr">
        <is>
          <t>Sara Maria Monteiro Lopes</t>
        </is>
      </c>
      <c r="C3589" t="inlineStr">
        <is>
          <t>Técnico I</t>
        </is>
      </c>
      <c r="D3589" t="n">
        <v>24</v>
      </c>
      <c r="E3589" t="n">
        <v>24</v>
      </c>
      <c r="F3589" t="n">
        <v>20.54</v>
      </c>
      <c r="G3589" t="n">
        <v>0</v>
      </c>
      <c r="H3589" t="n">
        <v>0</v>
      </c>
      <c r="I3589" s="3">
        <f>E3589+G3589+H3589</f>
        <v/>
      </c>
      <c r="J3589" s="3">
        <f>ROUND(MIN(IF(C3589="Técnico III",35,IF(C3589="Técnico II",28,IF(C3589="Técnico I",23,IF(C3589="JR",20,IF(C3589="Estágio",10,0))))),IF(C3589="Técnico III",SUMIFS($D:$D,$A:$A,$A3589,$B:$B,"&lt;&gt;Patrícia Karla de Sousa Araújo",$B:$B,"&lt;&gt;Lorena Dias de Araujo",$B:$B,"&lt;&gt;Lucas Luiz Romero")*(35/1083),IF(C3589="Técnico II",SUMIFS($D:$D,$A:$A,$A3589,$B:$B,"&lt;&gt;Patrícia Karla de Sousa Araújo",$B:$B,"&lt;&gt;Lorena Dias de Araujo",$B:$B,"&lt;&gt;Lucas Luiz Romero")*(28/1083),IF(C3589="Técnico I",SUMIFS($D:$D,$A:$A,$A3589,$B:$B,"&lt;&gt;Patrícia Karla de Sousa Araújo",$B:$B,"&lt;&gt;Lorena Dias de Araujo",$B:$B,"&lt;&gt;Lucas Luiz Romero")*(23/1083),IF(C3589="JR",SUMIFS($D:$D,$A:$A,$A3589,$B:$B,"&lt;&gt;Patrícia Karla de Sousa Araújo",$B:$B,"&lt;&gt;Lorena Dias de Araujo",$B:$B,"&lt;&gt;Lucas Luiz Romero")*(20/1083),IF(C3589="Estágio",SUMIFS($D:$D,$A:$A,$A3589,$B:$B,"&lt;&gt;Patrícia Karla de Sousa Araújo",$B:$B,"&lt;&gt;Lorena Dias de Araujo",$B:$B,"&lt;&gt;Lucas Luiz Romero")*(10/1083),0)))))),0)</f>
        <v/>
      </c>
      <c r="K3589" s="3">
        <f>I3589-J3589</f>
        <v/>
      </c>
      <c r="L3589" s="3">
        <f>IF(K3589&lt;-5,"CRÍTICO",IF(K3589&lt;0,"ATENÇÃO",IF(K3589&lt;=5,"OPORTUNO","MUITO BOM")))</f>
        <v/>
      </c>
      <c r="N3589" t="n">
        <v>100</v>
      </c>
      <c r="O3589" t="n">
        <v>26.02739726027397</v>
      </c>
    </row>
    <row r="3590" hidden="1">
      <c r="A3590" s="11" t="n">
        <v>46113</v>
      </c>
      <c r="B3590" t="inlineStr">
        <is>
          <t>Sarah Steffanie de Lima Borges</t>
        </is>
      </c>
      <c r="C3590" t="inlineStr">
        <is>
          <t>Técnico III</t>
        </is>
      </c>
      <c r="D3590" t="n">
        <v>34</v>
      </c>
      <c r="E3590" t="n">
        <v>31</v>
      </c>
      <c r="F3590" t="n">
        <v>13.37</v>
      </c>
      <c r="G3590" t="n">
        <v>0</v>
      </c>
      <c r="H3590" t="n">
        <v>0</v>
      </c>
      <c r="I3590" s="3">
        <f>E3590+G3590+H3590</f>
        <v/>
      </c>
      <c r="J3590" s="3">
        <f>ROUND(MIN(IF(C3590="Técnico III",35,IF(C3590="Técnico II",28,IF(C3590="Técnico I",23,IF(C3590="JR",20,IF(C3590="Estágio",10,0))))),IF(C3590="Técnico III",SUMIFS($D:$D,$A:$A,$A3590,$B:$B,"&lt;&gt;Patrícia Karla de Sousa Araújo",$B:$B,"&lt;&gt;Lorena Dias de Araujo",$B:$B,"&lt;&gt;Lucas Luiz Romero")*(35/1083),IF(C3590="Técnico II",SUMIFS($D:$D,$A:$A,$A3590,$B:$B,"&lt;&gt;Patrícia Karla de Sousa Araújo",$B:$B,"&lt;&gt;Lorena Dias de Araujo",$B:$B,"&lt;&gt;Lucas Luiz Romero")*(28/1083),IF(C3590="Técnico I",SUMIFS($D:$D,$A:$A,$A3590,$B:$B,"&lt;&gt;Patrícia Karla de Sousa Araújo",$B:$B,"&lt;&gt;Lorena Dias de Araujo",$B:$B,"&lt;&gt;Lucas Luiz Romero")*(23/1083),IF(C3590="JR",SUMIFS($D:$D,$A:$A,$A3590,$B:$B,"&lt;&gt;Patrícia Karla de Sousa Araújo",$B:$B,"&lt;&gt;Lorena Dias de Araujo",$B:$B,"&lt;&gt;Lucas Luiz Romero")*(20/1083),IF(C3590="Estágio",SUMIFS($D:$D,$A:$A,$A3590,$B:$B,"&lt;&gt;Patrícia Karla de Sousa Araújo",$B:$B,"&lt;&gt;Lorena Dias de Araujo",$B:$B,"&lt;&gt;Lucas Luiz Romero")*(10/1083),0)))))),0)</f>
        <v/>
      </c>
      <c r="K3590" s="3">
        <f>I3590-J3590</f>
        <v/>
      </c>
      <c r="L3590" s="3">
        <f>IF(K3590&lt;-5,"CRÍTICO",IF(K3590&lt;0,"ATENÇÃO",IF(K3590&lt;=5,"OPORTUNO","MUITO BOM")))</f>
        <v/>
      </c>
      <c r="N3590" t="n">
        <v>99.20999999999999</v>
      </c>
      <c r="O3590" t="n">
        <v>24.93702770780856</v>
      </c>
    </row>
    <row r="3591" hidden="1">
      <c r="A3591" s="11" t="n">
        <v>46114</v>
      </c>
      <c r="B3591" t="inlineStr">
        <is>
          <t>Alisson de Freitas Silva</t>
        </is>
      </c>
      <c r="C3591" t="inlineStr">
        <is>
          <t>Técnico II</t>
        </is>
      </c>
      <c r="D3591" t="n">
        <v>10</v>
      </c>
      <c r="E3591" t="n">
        <v>8</v>
      </c>
      <c r="F3591" t="n">
        <v>16.58</v>
      </c>
      <c r="G3591" t="n">
        <v>0</v>
      </c>
      <c r="H3591" t="n">
        <v>0</v>
      </c>
      <c r="I3591" s="3">
        <f>E3591+G3591+H3591</f>
        <v/>
      </c>
      <c r="J3591" s="3">
        <f>ROUND(MIN(IF(C3591="Técnico III",35,IF(C3591="Técnico II",28,IF(C3591="Técnico I",23,IF(C3591="JR",20,IF(C3591="Estágio",10,0))))),IF(C3591="Técnico III",SUMIFS($D:$D,$A:$A,$A3591,$B:$B,"&lt;&gt;Patrícia Karla de Sousa Araújo",$B:$B,"&lt;&gt;Lorena Dias de Araujo",$B:$B,"&lt;&gt;Lucas Luiz Romero")*(35/1083),IF(C3591="Técnico II",SUMIFS($D:$D,$A:$A,$A3591,$B:$B,"&lt;&gt;Patrícia Karla de Sousa Araújo",$B:$B,"&lt;&gt;Lorena Dias de Araujo",$B:$B,"&lt;&gt;Lucas Luiz Romero")*(28/1083),IF(C3591="Técnico I",SUMIFS($D:$D,$A:$A,$A3591,$B:$B,"&lt;&gt;Patrícia Karla de Sousa Araújo",$B:$B,"&lt;&gt;Lorena Dias de Araujo",$B:$B,"&lt;&gt;Lucas Luiz Romero")*(23/1083),IF(C3591="JR",SUMIFS($D:$D,$A:$A,$A3591,$B:$B,"&lt;&gt;Patrícia Karla de Sousa Araújo",$B:$B,"&lt;&gt;Lorena Dias de Araujo",$B:$B,"&lt;&gt;Lucas Luiz Romero")*(20/1083),IF(C3591="Estágio",SUMIFS($D:$D,$A:$A,$A3591,$B:$B,"&lt;&gt;Patrícia Karla de Sousa Araújo",$B:$B,"&lt;&gt;Lorena Dias de Araujo",$B:$B,"&lt;&gt;Lucas Luiz Romero")*(10/1083),0)))))),0)</f>
        <v/>
      </c>
      <c r="K3591" s="3">
        <f>I3591-J3591</f>
        <v/>
      </c>
      <c r="L3591" s="3">
        <f>IF(K3591&lt;-5,"CRÍTICO",IF(K3591&lt;0,"ATENÇÃO",IF(K3591&lt;=5,"OPORTUNO","MUITO BOM")))</f>
        <v/>
      </c>
      <c r="N3591" t="n">
        <v>100</v>
      </c>
      <c r="O3591" t="n">
        <v>32.76450511945392</v>
      </c>
    </row>
    <row r="3592" hidden="1">
      <c r="A3592" s="11" t="n">
        <v>46114</v>
      </c>
      <c r="B3592" t="inlineStr">
        <is>
          <t>Amanda Moura Ferreira</t>
        </is>
      </c>
      <c r="C3592" t="inlineStr">
        <is>
          <t>Técnico III</t>
        </is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s="3" t="n">
        <v>0</v>
      </c>
      <c r="J3592" s="3" t="n">
        <v>0</v>
      </c>
      <c r="K3592" s="3" t="n">
        <v>0</v>
      </c>
      <c r="L3592" s="3">
        <f>IF(K3592&lt;-5,"CRÍTICO",IF(K3592&lt;0,"ATENÇÃO",IF(K3592&lt;=5,"OPORTUNO","MUITO BOM")))</f>
        <v/>
      </c>
      <c r="N3592" t="n">
        <v>98.66</v>
      </c>
      <c r="O3592" t="n">
        <v>35.15625</v>
      </c>
    </row>
    <row r="3593" hidden="1">
      <c r="A3593" s="11" t="n">
        <v>46114</v>
      </c>
      <c r="B3593" t="inlineStr">
        <is>
          <t>Ana Karollyne Souza Faria</t>
        </is>
      </c>
      <c r="C3593" t="inlineStr">
        <is>
          <t>Técnico I</t>
        </is>
      </c>
      <c r="D3593" t="n">
        <v>37</v>
      </c>
      <c r="E3593" t="n">
        <v>35</v>
      </c>
      <c r="F3593" t="n">
        <v>17</v>
      </c>
      <c r="G3593" t="n">
        <v>0</v>
      </c>
      <c r="H3593" t="n">
        <v>0</v>
      </c>
      <c r="I3593" s="3">
        <f>E3593+G3593+H3593</f>
        <v/>
      </c>
      <c r="J3593" s="3">
        <f>ROUND(MIN(IF(C3593="Técnico III",35,IF(C3593="Técnico II",28,IF(C3593="Técnico I",23,IF(C3593="JR",20,IF(C3593="Estágio",10,0))))),IF(C3593="Técnico III",SUMIFS($D:$D,$A:$A,$A3593,$B:$B,"&lt;&gt;Patrícia Karla de Sousa Araújo",$B:$B,"&lt;&gt;Lorena Dias de Araujo",$B:$B,"&lt;&gt;Lucas Luiz Romero")*(35/1083),IF(C3593="Técnico II",SUMIFS($D:$D,$A:$A,$A3593,$B:$B,"&lt;&gt;Patrícia Karla de Sousa Araújo",$B:$B,"&lt;&gt;Lorena Dias de Araujo",$B:$B,"&lt;&gt;Lucas Luiz Romero")*(28/1083),IF(C3593="Técnico I",SUMIFS($D:$D,$A:$A,$A3593,$B:$B,"&lt;&gt;Patrícia Karla de Sousa Araújo",$B:$B,"&lt;&gt;Lorena Dias de Araujo",$B:$B,"&lt;&gt;Lucas Luiz Romero")*(23/1083),IF(C3593="JR",SUMIFS($D:$D,$A:$A,$A3593,$B:$B,"&lt;&gt;Patrícia Karla de Sousa Araújo",$B:$B,"&lt;&gt;Lorena Dias de Araujo",$B:$B,"&lt;&gt;Lucas Luiz Romero")*(20/1083),IF(C3593="Estágio",SUMIFS($D:$D,$A:$A,$A3593,$B:$B,"&lt;&gt;Patrícia Karla de Sousa Araújo",$B:$B,"&lt;&gt;Lorena Dias de Araujo",$B:$B,"&lt;&gt;Lucas Luiz Romero")*(10/1083),0)))))),0)</f>
        <v/>
      </c>
      <c r="K3593" s="3">
        <f>I3593-J3593</f>
        <v/>
      </c>
      <c r="L3593" s="3">
        <f>IF(K3593&lt;-5,"CRÍTICO",IF(K3593&lt;0,"ATENÇÃO",IF(K3593&lt;=5,"OPORTUNO","MUITO BOM")))</f>
        <v/>
      </c>
      <c r="N3593" t="n">
        <v>99.31999999999999</v>
      </c>
      <c r="O3593" t="n">
        <v>30.45186640471513</v>
      </c>
    </row>
    <row r="3594" hidden="1">
      <c r="A3594" s="11" t="n">
        <v>46114</v>
      </c>
      <c r="B3594" t="inlineStr">
        <is>
          <t>Ana Paula Da Luz Silva Aleixo</t>
        </is>
      </c>
      <c r="C3594" t="inlineStr">
        <is>
          <t>Técnico III</t>
        </is>
      </c>
      <c r="D3594" t="n">
        <v>33</v>
      </c>
      <c r="E3594" t="n">
        <v>28</v>
      </c>
      <c r="F3594" t="n">
        <v>17.02</v>
      </c>
      <c r="G3594" t="n">
        <v>0</v>
      </c>
      <c r="H3594" t="n">
        <v>0</v>
      </c>
      <c r="I3594" s="3">
        <f>E3594+G3594+H3594</f>
        <v/>
      </c>
      <c r="J3594" s="3">
        <f>ROUND(MIN(IF(C3594="Técnico III",35,IF(C3594="Técnico II",28,IF(C3594="Técnico I",23,IF(C3594="JR",20,IF(C3594="Estágio",10,0))))),IF(C3594="Técnico III",SUMIFS($D:$D,$A:$A,$A3594,$B:$B,"&lt;&gt;Patrícia Karla de Sousa Araújo",$B:$B,"&lt;&gt;Lorena Dias de Araujo",$B:$B,"&lt;&gt;Lucas Luiz Romero")*(35/1083),IF(C3594="Técnico II",SUMIFS($D:$D,$A:$A,$A3594,$B:$B,"&lt;&gt;Patrícia Karla de Sousa Araújo",$B:$B,"&lt;&gt;Lorena Dias de Araujo",$B:$B,"&lt;&gt;Lucas Luiz Romero")*(28/1083),IF(C3594="Técnico I",SUMIFS($D:$D,$A:$A,$A3594,$B:$B,"&lt;&gt;Patrícia Karla de Sousa Araújo",$B:$B,"&lt;&gt;Lorena Dias de Araujo",$B:$B,"&lt;&gt;Lucas Luiz Romero")*(23/1083),IF(C3594="JR",SUMIFS($D:$D,$A:$A,$A3594,$B:$B,"&lt;&gt;Patrícia Karla de Sousa Araújo",$B:$B,"&lt;&gt;Lorena Dias de Araujo",$B:$B,"&lt;&gt;Lucas Luiz Romero")*(20/1083),IF(C3594="Estágio",SUMIFS($D:$D,$A:$A,$A3594,$B:$B,"&lt;&gt;Patrícia Karla de Sousa Araújo",$B:$B,"&lt;&gt;Lorena Dias de Araujo",$B:$B,"&lt;&gt;Lucas Luiz Romero")*(10/1083),0)))))),0)</f>
        <v/>
      </c>
      <c r="K3594" s="3">
        <f>I3594-J3594</f>
        <v/>
      </c>
      <c r="L3594" s="3">
        <f>IF(K3594&lt;-5,"CRÍTICO",IF(K3594&lt;0,"ATENÇÃO",IF(K3594&lt;=5,"OPORTUNO","MUITO BOM")))</f>
        <v/>
      </c>
      <c r="N3594" t="n">
        <v>100</v>
      </c>
      <c r="O3594" t="n">
        <v>27.80373831775701</v>
      </c>
    </row>
    <row r="3595" hidden="1">
      <c r="A3595" s="11" t="n">
        <v>46114</v>
      </c>
      <c r="B3595" t="inlineStr">
        <is>
          <t>Anna Luiza Rezende Tavares</t>
        </is>
      </c>
      <c r="C3595" t="inlineStr">
        <is>
          <t>Estágio</t>
        </is>
      </c>
      <c r="D3595" t="n">
        <v>13</v>
      </c>
      <c r="E3595" t="n">
        <v>13</v>
      </c>
      <c r="F3595" t="n">
        <v>20.26</v>
      </c>
      <c r="G3595" t="n">
        <v>0</v>
      </c>
      <c r="H3595" t="n">
        <v>0</v>
      </c>
      <c r="I3595" s="3">
        <f>E3595+G3595+H3595</f>
        <v/>
      </c>
      <c r="J3595" s="3">
        <f>ROUND(MIN(IF(C3595="Técnico III",35,IF(C3595="Técnico II",28,IF(C3595="Técnico I",23,IF(C3595="JR",20,IF(C3595="Estágio",10,0))))),IF(C3595="Técnico III",SUMIFS($D:$D,$A:$A,$A3595,$B:$B,"&lt;&gt;Patrícia Karla de Sousa Araújo",$B:$B,"&lt;&gt;Lorena Dias de Araujo",$B:$B,"&lt;&gt;Lucas Luiz Romero")*(35/1083),IF(C3595="Técnico II",SUMIFS($D:$D,$A:$A,$A3595,$B:$B,"&lt;&gt;Patrícia Karla de Sousa Araújo",$B:$B,"&lt;&gt;Lorena Dias de Araujo",$B:$B,"&lt;&gt;Lucas Luiz Romero")*(28/1083),IF(C3595="Técnico I",SUMIFS($D:$D,$A:$A,$A3595,$B:$B,"&lt;&gt;Patrícia Karla de Sousa Araújo",$B:$B,"&lt;&gt;Lorena Dias de Araujo",$B:$B,"&lt;&gt;Lucas Luiz Romero")*(23/1083),IF(C3595="JR",SUMIFS($D:$D,$A:$A,$A3595,$B:$B,"&lt;&gt;Patrícia Karla de Sousa Araújo",$B:$B,"&lt;&gt;Lorena Dias de Araujo",$B:$B,"&lt;&gt;Lucas Luiz Romero")*(20/1083),IF(C3595="Estágio",SUMIFS($D:$D,$A:$A,$A3595,$B:$B,"&lt;&gt;Patrícia Karla de Sousa Araújo",$B:$B,"&lt;&gt;Lorena Dias de Araujo",$B:$B,"&lt;&gt;Lucas Luiz Romero")*(10/1083),0)))))),0)</f>
        <v/>
      </c>
      <c r="K3595" s="3">
        <f>I3595-J3595</f>
        <v/>
      </c>
      <c r="L3595" s="3">
        <f>IF(K3595&lt;-5,"CRÍTICO",IF(K3595&lt;0,"ATENÇÃO",IF(K3595&lt;=5,"OPORTUNO","MUITO BOM")))</f>
        <v/>
      </c>
      <c r="N3595" t="n">
        <v>96.73999999999999</v>
      </c>
      <c r="O3595" t="n">
        <v>28.43137254901961</v>
      </c>
    </row>
    <row r="3596" hidden="1">
      <c r="A3596" s="11" t="n">
        <v>46114</v>
      </c>
      <c r="B3596" t="inlineStr">
        <is>
          <t>Brenda de Menezes Silva</t>
        </is>
      </c>
      <c r="C3596" t="inlineStr">
        <is>
          <t>Técnico II</t>
        </is>
      </c>
      <c r="D3596" t="n">
        <v>38</v>
      </c>
      <c r="E3596" t="n">
        <v>31</v>
      </c>
      <c r="F3596" t="n">
        <v>12.16</v>
      </c>
      <c r="G3596" t="n">
        <v>0</v>
      </c>
      <c r="H3596" t="n">
        <v>0</v>
      </c>
      <c r="I3596" s="3">
        <f>E3596+G3596+H3596</f>
        <v/>
      </c>
      <c r="J3596" s="3">
        <f>ROUND(MIN(IF(C3596="Técnico III",35,IF(C3596="Técnico II",28,IF(C3596="Técnico I",23,IF(C3596="JR",20,IF(C3596="Estágio",10,0))))),IF(C3596="Técnico III",SUMIFS($D:$D,$A:$A,$A3596,$B:$B,"&lt;&gt;Patrícia Karla de Sousa Araújo",$B:$B,"&lt;&gt;Lorena Dias de Araujo",$B:$B,"&lt;&gt;Lucas Luiz Romero")*(35/1083),IF(C3596="Técnico II",SUMIFS($D:$D,$A:$A,$A3596,$B:$B,"&lt;&gt;Patrícia Karla de Sousa Araújo",$B:$B,"&lt;&gt;Lorena Dias de Araujo",$B:$B,"&lt;&gt;Lucas Luiz Romero")*(28/1083),IF(C3596="Técnico I",SUMIFS($D:$D,$A:$A,$A3596,$B:$B,"&lt;&gt;Patrícia Karla de Sousa Araújo",$B:$B,"&lt;&gt;Lorena Dias de Araujo",$B:$B,"&lt;&gt;Lucas Luiz Romero")*(23/1083),IF(C3596="JR",SUMIFS($D:$D,$A:$A,$A3596,$B:$B,"&lt;&gt;Patrícia Karla de Sousa Araújo",$B:$B,"&lt;&gt;Lorena Dias de Araujo",$B:$B,"&lt;&gt;Lucas Luiz Romero")*(20/1083),IF(C3596="Estágio",SUMIFS($D:$D,$A:$A,$A3596,$B:$B,"&lt;&gt;Patrícia Karla de Sousa Araújo",$B:$B,"&lt;&gt;Lorena Dias de Araujo",$B:$B,"&lt;&gt;Lucas Luiz Romero")*(10/1083),0)))))),0)</f>
        <v/>
      </c>
      <c r="K3596" s="3">
        <f>I3596-J3596</f>
        <v/>
      </c>
      <c r="L3596" s="3">
        <f>IF(K3596&lt;-5,"CRÍTICO",IF(K3596&lt;0,"ATENÇÃO",IF(K3596&lt;=5,"OPORTUNO","MUITO BOM")))</f>
        <v/>
      </c>
      <c r="N3596" t="n">
        <v>98.81999999999999</v>
      </c>
      <c r="O3596" t="n">
        <v>30.74141048824593</v>
      </c>
    </row>
    <row r="3597" hidden="1">
      <c r="A3597" s="11" t="n">
        <v>46114</v>
      </c>
      <c r="B3597" t="inlineStr">
        <is>
          <t>Carlos Mateus Cassimiro Nunes</t>
        </is>
      </c>
      <c r="C3597" t="inlineStr">
        <is>
          <t>Técnico II</t>
        </is>
      </c>
      <c r="D3597" t="n">
        <v>31</v>
      </c>
      <c r="E3597" t="n">
        <v>28</v>
      </c>
      <c r="F3597" t="n">
        <v>15.36</v>
      </c>
      <c r="G3597" t="n">
        <v>0</v>
      </c>
      <c r="H3597" t="n">
        <v>0</v>
      </c>
      <c r="I3597" s="3">
        <f>E3597+G3597+H3597</f>
        <v/>
      </c>
      <c r="J3597" s="3">
        <f>ROUND(MIN(IF(C3597="Técnico III",35,IF(C3597="Técnico II",28,IF(C3597="Técnico I",23,IF(C3597="JR",20,IF(C3597="Estágio",10,0))))),IF(C3597="Técnico III",SUMIFS($D:$D,$A:$A,$A3597,$B:$B,"&lt;&gt;Patrícia Karla de Sousa Araújo",$B:$B,"&lt;&gt;Lorena Dias de Araujo",$B:$B,"&lt;&gt;Lucas Luiz Romero")*(35/1083),IF(C3597="Técnico II",SUMIFS($D:$D,$A:$A,$A3597,$B:$B,"&lt;&gt;Patrícia Karla de Sousa Araújo",$B:$B,"&lt;&gt;Lorena Dias de Araujo",$B:$B,"&lt;&gt;Lucas Luiz Romero")*(28/1083),IF(C3597="Técnico I",SUMIFS($D:$D,$A:$A,$A3597,$B:$B,"&lt;&gt;Patrícia Karla de Sousa Araújo",$B:$B,"&lt;&gt;Lorena Dias de Araujo",$B:$B,"&lt;&gt;Lucas Luiz Romero")*(23/1083),IF(C3597="JR",SUMIFS($D:$D,$A:$A,$A3597,$B:$B,"&lt;&gt;Patrícia Karla de Sousa Araújo",$B:$B,"&lt;&gt;Lorena Dias de Araujo",$B:$B,"&lt;&gt;Lucas Luiz Romero")*(20/1083),IF(C3597="Estágio",SUMIFS($D:$D,$A:$A,$A3597,$B:$B,"&lt;&gt;Patrícia Karla de Sousa Araújo",$B:$B,"&lt;&gt;Lorena Dias de Araujo",$B:$B,"&lt;&gt;Lucas Luiz Romero")*(10/1083),0)))))),0)</f>
        <v/>
      </c>
      <c r="K3597" s="3">
        <f>I3597-J3597</f>
        <v/>
      </c>
      <c r="L3597" s="3">
        <f>IF(K3597&lt;-5,"CRÍTICO",IF(K3597&lt;0,"ATENÇÃO",IF(K3597&lt;=5,"OPORTUNO","MUITO BOM")))</f>
        <v/>
      </c>
      <c r="N3597" t="n">
        <v>98.2</v>
      </c>
      <c r="O3597" t="n">
        <v>26.89075630252101</v>
      </c>
    </row>
    <row r="3598" hidden="1">
      <c r="A3598" s="11" t="n">
        <v>46114</v>
      </c>
      <c r="B3598" t="inlineStr">
        <is>
          <t>Claudio de Sousa Velasco Filho</t>
        </is>
      </c>
      <c r="C3598" t="inlineStr">
        <is>
          <t>Estágio</t>
        </is>
      </c>
      <c r="D3598" t="n">
        <v>11</v>
      </c>
      <c r="E3598" t="n">
        <v>10</v>
      </c>
      <c r="F3598" t="n">
        <v>26.42</v>
      </c>
      <c r="G3598" t="n">
        <v>0</v>
      </c>
      <c r="H3598" t="n">
        <v>0</v>
      </c>
      <c r="I3598" s="3">
        <f>E3598+G3598+H3598</f>
        <v/>
      </c>
      <c r="J3598" s="3">
        <f>ROUND(MIN(IF(C3598="Técnico III",35,IF(C3598="Técnico II",28,IF(C3598="Técnico I",23,IF(C3598="JR",20,IF(C3598="Estágio",10,0))))),IF(C3598="Técnico III",SUMIFS($D:$D,$A:$A,$A3598,$B:$B,"&lt;&gt;Patrícia Karla de Sousa Araújo",$B:$B,"&lt;&gt;Lorena Dias de Araujo",$B:$B,"&lt;&gt;Lucas Luiz Romero")*(35/1083),IF(C3598="Técnico II",SUMIFS($D:$D,$A:$A,$A3598,$B:$B,"&lt;&gt;Patrícia Karla de Sousa Araújo",$B:$B,"&lt;&gt;Lorena Dias de Araujo",$B:$B,"&lt;&gt;Lucas Luiz Romero")*(28/1083),IF(C3598="Técnico I",SUMIFS($D:$D,$A:$A,$A3598,$B:$B,"&lt;&gt;Patrícia Karla de Sousa Araújo",$B:$B,"&lt;&gt;Lorena Dias de Araujo",$B:$B,"&lt;&gt;Lucas Luiz Romero")*(23/1083),IF(C3598="JR",SUMIFS($D:$D,$A:$A,$A3598,$B:$B,"&lt;&gt;Patrícia Karla de Sousa Araújo",$B:$B,"&lt;&gt;Lorena Dias de Araujo",$B:$B,"&lt;&gt;Lucas Luiz Romero")*(20/1083),IF(C3598="Estágio",SUMIFS($D:$D,$A:$A,$A3598,$B:$B,"&lt;&gt;Patrícia Karla de Sousa Araújo",$B:$B,"&lt;&gt;Lorena Dias de Araujo",$B:$B,"&lt;&gt;Lucas Luiz Romero")*(10/1083),0)))))),0)</f>
        <v/>
      </c>
      <c r="K3598" s="3">
        <f>I3598-J3598</f>
        <v/>
      </c>
      <c r="L3598" s="3">
        <f>IF(K3598&lt;-5,"CRÍTICO",IF(K3598&lt;0,"ATENÇÃO",IF(K3598&lt;=5,"OPORTUNO","MUITO BOM")))</f>
        <v/>
      </c>
      <c r="N3598" t="n">
        <v>100</v>
      </c>
      <c r="O3598" t="n">
        <v>23.13432835820895</v>
      </c>
    </row>
    <row r="3599" hidden="1">
      <c r="A3599" s="11" t="n">
        <v>46114</v>
      </c>
      <c r="B3599" t="inlineStr">
        <is>
          <t>Clessiane Pereira dos Santos</t>
        </is>
      </c>
      <c r="C3599" t="inlineStr">
        <is>
          <t>Técnico I</t>
        </is>
      </c>
      <c r="D3599" t="n">
        <v>27</v>
      </c>
      <c r="E3599" t="n">
        <v>21</v>
      </c>
      <c r="F3599" t="n">
        <v>16.45</v>
      </c>
      <c r="G3599" t="n">
        <v>0</v>
      </c>
      <c r="H3599" t="n">
        <v>0</v>
      </c>
      <c r="I3599" s="3">
        <f>E3599+G3599+H3599</f>
        <v/>
      </c>
      <c r="J3599" s="3">
        <f>ROUND(MIN(IF(C3599="Técnico III",35,IF(C3599="Técnico II",28,IF(C3599="Técnico I",23,IF(C3599="JR",20,IF(C3599="Estágio",10,0))))),IF(C3599="Técnico III",SUMIFS($D:$D,$A:$A,$A3599,$B:$B,"&lt;&gt;Patrícia Karla de Sousa Araújo",$B:$B,"&lt;&gt;Lorena Dias de Araujo",$B:$B,"&lt;&gt;Lucas Luiz Romero")*(35/1083),IF(C3599="Técnico II",SUMIFS($D:$D,$A:$A,$A3599,$B:$B,"&lt;&gt;Patrícia Karla de Sousa Araújo",$B:$B,"&lt;&gt;Lorena Dias de Araujo",$B:$B,"&lt;&gt;Lucas Luiz Romero")*(28/1083),IF(C3599="Técnico I",SUMIFS($D:$D,$A:$A,$A3599,$B:$B,"&lt;&gt;Patrícia Karla de Sousa Araújo",$B:$B,"&lt;&gt;Lorena Dias de Araujo",$B:$B,"&lt;&gt;Lucas Luiz Romero")*(23/1083),IF(C3599="JR",SUMIFS($D:$D,$A:$A,$A3599,$B:$B,"&lt;&gt;Patrícia Karla de Sousa Araújo",$B:$B,"&lt;&gt;Lorena Dias de Araujo",$B:$B,"&lt;&gt;Lucas Luiz Romero")*(20/1083),IF(C3599="Estágio",SUMIFS($D:$D,$A:$A,$A3599,$B:$B,"&lt;&gt;Patrícia Karla de Sousa Araújo",$B:$B,"&lt;&gt;Lorena Dias de Araujo",$B:$B,"&lt;&gt;Lucas Luiz Romero")*(10/1083),0)))))),0)</f>
        <v/>
      </c>
      <c r="K3599" s="3">
        <f>I3599-J3599</f>
        <v/>
      </c>
      <c r="L3599" s="3">
        <f>IF(K3599&lt;-5,"CRÍTICO",IF(K3599&lt;0,"ATENÇÃO",IF(K3599&lt;=5,"OPORTUNO","MUITO BOM")))</f>
        <v/>
      </c>
      <c r="N3599" t="n">
        <v>96.3</v>
      </c>
      <c r="O3599" t="n">
        <v>31.98090692124105</v>
      </c>
    </row>
    <row r="3600" hidden="1">
      <c r="A3600" s="11" t="n">
        <v>46114</v>
      </c>
      <c r="B3600" t="inlineStr">
        <is>
          <t>Cristiane Ramos da Silva Rocha</t>
        </is>
      </c>
      <c r="C3600" t="inlineStr">
        <is>
          <t>Técnico III</t>
        </is>
      </c>
      <c r="D3600" t="n">
        <v>47</v>
      </c>
      <c r="E3600" t="n">
        <v>42</v>
      </c>
      <c r="F3600" t="n">
        <v>12.35</v>
      </c>
      <c r="G3600" t="n">
        <v>0</v>
      </c>
      <c r="H3600" t="n">
        <v>0</v>
      </c>
      <c r="I3600" s="3">
        <f>E3600+G3600+H3600</f>
        <v/>
      </c>
      <c r="J3600" s="3">
        <f>ROUND(MIN(IF(C3600="Técnico III",35,IF(C3600="Técnico II",28,IF(C3600="Técnico I",23,IF(C3600="JR",20,IF(C3600="Estágio",10,0))))),IF(C3600="Técnico III",SUMIFS($D:$D,$A:$A,$A3600,$B:$B,"&lt;&gt;Patrícia Karla de Sousa Araújo",$B:$B,"&lt;&gt;Lorena Dias de Araujo",$B:$B,"&lt;&gt;Lucas Luiz Romero")*(35/1083),IF(C3600="Técnico II",SUMIFS($D:$D,$A:$A,$A3600,$B:$B,"&lt;&gt;Patrícia Karla de Sousa Araújo",$B:$B,"&lt;&gt;Lorena Dias de Araujo",$B:$B,"&lt;&gt;Lucas Luiz Romero")*(28/1083),IF(C3600="Técnico I",SUMIFS($D:$D,$A:$A,$A3600,$B:$B,"&lt;&gt;Patrícia Karla de Sousa Araújo",$B:$B,"&lt;&gt;Lorena Dias de Araujo",$B:$B,"&lt;&gt;Lucas Luiz Romero")*(23/1083),IF(C3600="JR",SUMIFS($D:$D,$A:$A,$A3600,$B:$B,"&lt;&gt;Patrícia Karla de Sousa Araújo",$B:$B,"&lt;&gt;Lorena Dias de Araujo",$B:$B,"&lt;&gt;Lucas Luiz Romero")*(20/1083),IF(C3600="Estágio",SUMIFS($D:$D,$A:$A,$A3600,$B:$B,"&lt;&gt;Patrícia Karla de Sousa Araújo",$B:$B,"&lt;&gt;Lorena Dias de Araujo",$B:$B,"&lt;&gt;Lucas Luiz Romero")*(10/1083),0)))))),0)</f>
        <v/>
      </c>
      <c r="K3600" s="3">
        <f>I3600-J3600</f>
        <v/>
      </c>
      <c r="L3600" s="3">
        <f>IF(K3600&lt;-5,"CRÍTICO",IF(K3600&lt;0,"ATENÇÃO",IF(K3600&lt;=5,"OPORTUNO","MUITO BOM")))</f>
        <v/>
      </c>
      <c r="N3600" t="n">
        <v>93.75</v>
      </c>
      <c r="O3600" t="n">
        <v>26.62835249042146</v>
      </c>
    </row>
    <row r="3601" hidden="1">
      <c r="A3601" s="11" t="n">
        <v>46114</v>
      </c>
      <c r="B3601" t="inlineStr">
        <is>
          <t>Damyllis Lorraine de Oliveira Gonçalves</t>
        </is>
      </c>
      <c r="C3601" t="inlineStr">
        <is>
          <t>Técnico II</t>
        </is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s="3" t="n">
        <v>0</v>
      </c>
      <c r="J3601" s="3" t="n">
        <v>0</v>
      </c>
      <c r="K3601" s="3" t="n">
        <v>0</v>
      </c>
      <c r="L3601" s="3">
        <f>IF(K3601&lt;-5,"CRÍTICO",IF(K3601&lt;0,"ATENÇÃO",IF(K3601&lt;=5,"OPORTUNO","MUITO BOM")))</f>
        <v/>
      </c>
      <c r="N3601" t="n">
        <v>97.86</v>
      </c>
      <c r="O3601" t="n">
        <v>31.01851851851852</v>
      </c>
    </row>
    <row r="3602" hidden="1">
      <c r="A3602" s="11" t="n">
        <v>46114</v>
      </c>
      <c r="B3602" t="inlineStr">
        <is>
          <t>Daniel Gomes da Silva</t>
        </is>
      </c>
      <c r="C3602" t="inlineStr">
        <is>
          <t>Técnico I</t>
        </is>
      </c>
      <c r="D3602" t="n">
        <v>18</v>
      </c>
      <c r="E3602" t="n">
        <v>18</v>
      </c>
      <c r="F3602" t="n">
        <v>23.57</v>
      </c>
      <c r="G3602" t="n">
        <v>0</v>
      </c>
      <c r="H3602" t="n">
        <v>0</v>
      </c>
      <c r="I3602" s="3">
        <f>E3602+G3602+H3602</f>
        <v/>
      </c>
      <c r="J3602" s="3">
        <f>ROUND(MIN(IF(C3602="Técnico III",35,IF(C3602="Técnico II",28,IF(C3602="Técnico I",23,IF(C3602="JR",20,IF(C3602="Estágio",10,0))))),IF(C3602="Técnico III",SUMIFS($D:$D,$A:$A,$A3602,$B:$B,"&lt;&gt;Patrícia Karla de Sousa Araújo",$B:$B,"&lt;&gt;Lorena Dias de Araujo",$B:$B,"&lt;&gt;Lucas Luiz Romero")*(35/1083),IF(C3602="Técnico II",SUMIFS($D:$D,$A:$A,$A3602,$B:$B,"&lt;&gt;Patrícia Karla de Sousa Araújo",$B:$B,"&lt;&gt;Lorena Dias de Araujo",$B:$B,"&lt;&gt;Lucas Luiz Romero")*(28/1083),IF(C3602="Técnico I",SUMIFS($D:$D,$A:$A,$A3602,$B:$B,"&lt;&gt;Patrícia Karla de Sousa Araújo",$B:$B,"&lt;&gt;Lorena Dias de Araujo",$B:$B,"&lt;&gt;Lucas Luiz Romero")*(23/1083),IF(C3602="JR",SUMIFS($D:$D,$A:$A,$A3602,$B:$B,"&lt;&gt;Patrícia Karla de Sousa Araújo",$B:$B,"&lt;&gt;Lorena Dias de Araujo",$B:$B,"&lt;&gt;Lucas Luiz Romero")*(20/1083),IF(C3602="Estágio",SUMIFS($D:$D,$A:$A,$A3602,$B:$B,"&lt;&gt;Patrícia Karla de Sousa Araújo",$B:$B,"&lt;&gt;Lorena Dias de Araujo",$B:$B,"&lt;&gt;Lucas Luiz Romero")*(10/1083),0)))))),0)</f>
        <v/>
      </c>
      <c r="K3602" s="3">
        <f>I3602-J3602</f>
        <v/>
      </c>
      <c r="L3602" s="3">
        <f>IF(K3602&lt;-5,"CRÍTICO",IF(K3602&lt;0,"ATENÇÃO",IF(K3602&lt;=5,"OPORTUNO","MUITO BOM")))</f>
        <v/>
      </c>
      <c r="N3602" t="n">
        <v>100</v>
      </c>
      <c r="O3602" t="n">
        <v>36.23188405797102</v>
      </c>
    </row>
    <row r="3603" hidden="1">
      <c r="A3603" s="11" t="n">
        <v>46114</v>
      </c>
      <c r="B3603" t="inlineStr">
        <is>
          <t>Davylla Rodrigues Freitas Silva</t>
        </is>
      </c>
      <c r="C3603" t="inlineStr">
        <is>
          <t>Técnico III</t>
        </is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s="3" t="n">
        <v>0</v>
      </c>
      <c r="J3603" s="3" t="n">
        <v>0</v>
      </c>
      <c r="K3603" s="3" t="n">
        <v>0</v>
      </c>
      <c r="L3603" s="3">
        <f>IF(K3603&lt;-5,"CRÍTICO",IF(K3603&lt;0,"ATENÇÃO",IF(K3603&lt;=5,"OPORTUNO","MUITO BOM")))</f>
        <v/>
      </c>
      <c r="N3603" t="n">
        <v>100</v>
      </c>
      <c r="O3603" t="n">
        <v>38.26923076923077</v>
      </c>
    </row>
    <row r="3604" hidden="1">
      <c r="A3604" s="11" t="n">
        <v>46114</v>
      </c>
      <c r="B3604" t="inlineStr">
        <is>
          <t>Emilly Caylane Costa</t>
        </is>
      </c>
      <c r="C3604" t="inlineStr">
        <is>
          <t>Estágio</t>
        </is>
      </c>
      <c r="D3604" t="n">
        <v>6</v>
      </c>
      <c r="E3604" t="n">
        <v>6</v>
      </c>
      <c r="F3604" t="n">
        <v>54.12</v>
      </c>
      <c r="G3604" t="n">
        <v>0</v>
      </c>
      <c r="H3604" t="n">
        <v>0</v>
      </c>
      <c r="I3604" s="3">
        <f>E3604+G3604+H3604</f>
        <v/>
      </c>
      <c r="J3604" s="3">
        <f>ROUND(MIN(IF(C3604="Técnico III",35,IF(C3604="Técnico II",28,IF(C3604="Técnico I",23,IF(C3604="JR",20,IF(C3604="Estágio",10,0))))),IF(C3604="Técnico III",SUMIFS($D:$D,$A:$A,$A3604,$B:$B,"&lt;&gt;Patrícia Karla de Sousa Araújo",$B:$B,"&lt;&gt;Lorena Dias de Araujo",$B:$B,"&lt;&gt;Lucas Luiz Romero")*(35/1083),IF(C3604="Técnico II",SUMIFS($D:$D,$A:$A,$A3604,$B:$B,"&lt;&gt;Patrícia Karla de Sousa Araújo",$B:$B,"&lt;&gt;Lorena Dias de Araujo",$B:$B,"&lt;&gt;Lucas Luiz Romero")*(28/1083),IF(C3604="Técnico I",SUMIFS($D:$D,$A:$A,$A3604,$B:$B,"&lt;&gt;Patrícia Karla de Sousa Araújo",$B:$B,"&lt;&gt;Lorena Dias de Araujo",$B:$B,"&lt;&gt;Lucas Luiz Romero")*(23/1083),IF(C3604="JR",SUMIFS($D:$D,$A:$A,$A3604,$B:$B,"&lt;&gt;Patrícia Karla de Sousa Araújo",$B:$B,"&lt;&gt;Lorena Dias de Araujo",$B:$B,"&lt;&gt;Lucas Luiz Romero")*(20/1083),IF(C3604="Estágio",SUMIFS($D:$D,$A:$A,$A3604,$B:$B,"&lt;&gt;Patrícia Karla de Sousa Araújo",$B:$B,"&lt;&gt;Lorena Dias de Araujo",$B:$B,"&lt;&gt;Lucas Luiz Romero")*(10/1083),0)))))),0)</f>
        <v/>
      </c>
      <c r="K3604" s="3">
        <f>I3604-J3604</f>
        <v/>
      </c>
      <c r="L3604" s="3">
        <f>IF(K3604&lt;-5,"CRÍTICO",IF(K3604&lt;0,"ATENÇÃO",IF(K3604&lt;=5,"OPORTUNO","MUITO BOM")))</f>
        <v/>
      </c>
      <c r="N3604" t="n">
        <v>100</v>
      </c>
      <c r="O3604" t="n">
        <v>27.36842105263158</v>
      </c>
    </row>
    <row r="3605" hidden="1">
      <c r="A3605" s="11" t="n">
        <v>46114</v>
      </c>
      <c r="B3605" t="inlineStr">
        <is>
          <t>Emilly Kamilly Medeiros Miranda</t>
        </is>
      </c>
      <c r="C3605" t="inlineStr">
        <is>
          <t>Técnico II</t>
        </is>
      </c>
      <c r="D3605" t="n">
        <v>33</v>
      </c>
      <c r="E3605" t="n">
        <v>31</v>
      </c>
      <c r="F3605" t="n">
        <v>14.08</v>
      </c>
      <c r="G3605" t="n">
        <v>0</v>
      </c>
      <c r="H3605" t="n">
        <v>0</v>
      </c>
      <c r="I3605" s="3">
        <f>E3605+G3605+H3605</f>
        <v/>
      </c>
      <c r="J3605" s="3">
        <f>ROUND(MIN(IF(C3605="Técnico III",35,IF(C3605="Técnico II",28,IF(C3605="Técnico I",23,IF(C3605="JR",20,IF(C3605="Estágio",10,0))))),IF(C3605="Técnico III",SUMIFS($D:$D,$A:$A,$A3605,$B:$B,"&lt;&gt;Patrícia Karla de Sousa Araújo",$B:$B,"&lt;&gt;Lorena Dias de Araujo",$B:$B,"&lt;&gt;Lucas Luiz Romero")*(35/1083),IF(C3605="Técnico II",SUMIFS($D:$D,$A:$A,$A3605,$B:$B,"&lt;&gt;Patrícia Karla de Sousa Araújo",$B:$B,"&lt;&gt;Lorena Dias de Araujo",$B:$B,"&lt;&gt;Lucas Luiz Romero")*(28/1083),IF(C3605="Técnico I",SUMIFS($D:$D,$A:$A,$A3605,$B:$B,"&lt;&gt;Patrícia Karla de Sousa Araújo",$B:$B,"&lt;&gt;Lorena Dias de Araujo",$B:$B,"&lt;&gt;Lucas Luiz Romero")*(23/1083),IF(C3605="JR",SUMIFS($D:$D,$A:$A,$A3605,$B:$B,"&lt;&gt;Patrícia Karla de Sousa Araújo",$B:$B,"&lt;&gt;Lorena Dias de Araujo",$B:$B,"&lt;&gt;Lucas Luiz Romero")*(20/1083),IF(C3605="Estágio",SUMIFS($D:$D,$A:$A,$A3605,$B:$B,"&lt;&gt;Patrícia Karla de Sousa Araújo",$B:$B,"&lt;&gt;Lorena Dias de Araujo",$B:$B,"&lt;&gt;Lucas Luiz Romero")*(10/1083),0)))))),0)</f>
        <v/>
      </c>
      <c r="K3605" s="3">
        <f>I3605-J3605</f>
        <v/>
      </c>
      <c r="L3605" s="3">
        <f>IF(K3605&lt;-5,"CRÍTICO",IF(K3605&lt;0,"ATENÇÃO",IF(K3605&lt;=5,"OPORTUNO","MUITO BOM")))</f>
        <v/>
      </c>
      <c r="N3605" t="n">
        <v>97.83</v>
      </c>
      <c r="O3605" t="n">
        <v>28.13186813186813</v>
      </c>
    </row>
    <row r="3606" hidden="1">
      <c r="A3606" s="11" t="n">
        <v>46114</v>
      </c>
      <c r="B3606" t="inlineStr">
        <is>
          <t>Francielson de Oliveira</t>
        </is>
      </c>
      <c r="C3606" t="inlineStr">
        <is>
          <t>Técnico III</t>
        </is>
      </c>
      <c r="D3606" t="n">
        <v>26</v>
      </c>
      <c r="E3606" t="n">
        <v>26</v>
      </c>
      <c r="F3606" t="n">
        <v>16.58</v>
      </c>
      <c r="G3606" t="n">
        <v>0</v>
      </c>
      <c r="H3606" t="n">
        <v>0</v>
      </c>
      <c r="I3606" s="3">
        <f>E3606+G3606+H3606</f>
        <v/>
      </c>
      <c r="J3606" s="3">
        <f>ROUND(MIN(IF(C3606="Técnico III",35,IF(C3606="Técnico II",28,IF(C3606="Técnico I",23,IF(C3606="JR",20,IF(C3606="Estágio",10,0))))),IF(C3606="Técnico III",SUMIFS($D:$D,$A:$A,$A3606,$B:$B,"&lt;&gt;Patrícia Karla de Sousa Araújo",$B:$B,"&lt;&gt;Lorena Dias de Araujo",$B:$B,"&lt;&gt;Lucas Luiz Romero")*(35/1083),IF(C3606="Técnico II",SUMIFS($D:$D,$A:$A,$A3606,$B:$B,"&lt;&gt;Patrícia Karla de Sousa Araújo",$B:$B,"&lt;&gt;Lorena Dias de Araujo",$B:$B,"&lt;&gt;Lucas Luiz Romero")*(28/1083),IF(C3606="Técnico I",SUMIFS($D:$D,$A:$A,$A3606,$B:$B,"&lt;&gt;Patrícia Karla de Sousa Araújo",$B:$B,"&lt;&gt;Lorena Dias de Araujo",$B:$B,"&lt;&gt;Lucas Luiz Romero")*(23/1083),IF(C3606="JR",SUMIFS($D:$D,$A:$A,$A3606,$B:$B,"&lt;&gt;Patrícia Karla de Sousa Araújo",$B:$B,"&lt;&gt;Lorena Dias de Araujo",$B:$B,"&lt;&gt;Lucas Luiz Romero")*(20/1083),IF(C3606="Estágio",SUMIFS($D:$D,$A:$A,$A3606,$B:$B,"&lt;&gt;Patrícia Karla de Sousa Araújo",$B:$B,"&lt;&gt;Lorena Dias de Araujo",$B:$B,"&lt;&gt;Lucas Luiz Romero")*(10/1083),0)))))),0)</f>
        <v/>
      </c>
      <c r="K3606" s="3">
        <f>I3606-J3606</f>
        <v/>
      </c>
      <c r="L3606" s="3">
        <f>IF(K3606&lt;-5,"CRÍTICO",IF(K3606&lt;0,"ATENÇÃO",IF(K3606&lt;=5,"OPORTUNO","MUITO BOM")))</f>
        <v/>
      </c>
      <c r="N3606" t="n">
        <v>99.26000000000001</v>
      </c>
      <c r="O3606" t="n">
        <v>29.57198443579767</v>
      </c>
    </row>
    <row r="3607" hidden="1">
      <c r="A3607" s="11" t="n">
        <v>46114</v>
      </c>
      <c r="B3607" t="inlineStr">
        <is>
          <t>Francilene Ferreira de Jesus</t>
        </is>
      </c>
      <c r="C3607" t="inlineStr">
        <is>
          <t>Técnico II</t>
        </is>
      </c>
      <c r="D3607" t="n">
        <v>33</v>
      </c>
      <c r="E3607" t="n">
        <v>33</v>
      </c>
      <c r="F3607" t="n">
        <v>20.44</v>
      </c>
      <c r="G3607" t="n">
        <v>0</v>
      </c>
      <c r="H3607" t="n">
        <v>0</v>
      </c>
      <c r="I3607" s="3">
        <f>E3607+G3607+H3607</f>
        <v/>
      </c>
      <c r="J3607" s="3">
        <f>ROUND(MIN(IF(C3607="Técnico III",35,IF(C3607="Técnico II",28,IF(C3607="Técnico I",23,IF(C3607="JR",20,IF(C3607="Estágio",10,0))))),IF(C3607="Técnico III",SUMIFS($D:$D,$A:$A,$A3607,$B:$B,"&lt;&gt;Patrícia Karla de Sousa Araújo",$B:$B,"&lt;&gt;Lorena Dias de Araujo",$B:$B,"&lt;&gt;Lucas Luiz Romero")*(35/1083),IF(C3607="Técnico II",SUMIFS($D:$D,$A:$A,$A3607,$B:$B,"&lt;&gt;Patrícia Karla de Sousa Araújo",$B:$B,"&lt;&gt;Lorena Dias de Araujo",$B:$B,"&lt;&gt;Lucas Luiz Romero")*(28/1083),IF(C3607="Técnico I",SUMIFS($D:$D,$A:$A,$A3607,$B:$B,"&lt;&gt;Patrícia Karla de Sousa Araújo",$B:$B,"&lt;&gt;Lorena Dias de Araujo",$B:$B,"&lt;&gt;Lucas Luiz Romero")*(23/1083),IF(C3607="JR",SUMIFS($D:$D,$A:$A,$A3607,$B:$B,"&lt;&gt;Patrícia Karla de Sousa Araújo",$B:$B,"&lt;&gt;Lorena Dias de Araujo",$B:$B,"&lt;&gt;Lucas Luiz Romero")*(20/1083),IF(C3607="Estágio",SUMIFS($D:$D,$A:$A,$A3607,$B:$B,"&lt;&gt;Patrícia Karla de Sousa Araújo",$B:$B,"&lt;&gt;Lorena Dias de Araujo",$B:$B,"&lt;&gt;Lucas Luiz Romero")*(10/1083),0)))))),0)</f>
        <v/>
      </c>
      <c r="K3607" s="3">
        <f>I3607-J3607</f>
        <v/>
      </c>
      <c r="L3607" s="3">
        <f>IF(K3607&lt;-5,"CRÍTICO",IF(K3607&lt;0,"ATENÇÃO",IF(K3607&lt;=5,"OPORTUNO","MUITO BOM")))</f>
        <v/>
      </c>
      <c r="N3607" t="n">
        <v>99.19</v>
      </c>
      <c r="O3607" t="n">
        <v>29.46236559139785</v>
      </c>
    </row>
    <row r="3608" hidden="1">
      <c r="A3608" s="11" t="n">
        <v>46167</v>
      </c>
      <c r="B3608" t="inlineStr">
        <is>
          <t>Brenda de Menezes Silva</t>
        </is>
      </c>
      <c r="C3608" t="inlineStr">
        <is>
          <t>Técnico II</t>
        </is>
      </c>
      <c r="D3608" t="n">
        <v>35</v>
      </c>
      <c r="E3608" t="n">
        <v>31</v>
      </c>
      <c r="F3608" t="n">
        <v>10.11</v>
      </c>
      <c r="G3608" t="n">
        <v>0</v>
      </c>
      <c r="H3608" t="n">
        <v>0</v>
      </c>
      <c r="I3608" s="3" t="n">
        <v>0</v>
      </c>
      <c r="J3608" s="3" t="n">
        <v>0</v>
      </c>
      <c r="K3608" s="3" t="n">
        <v>0</v>
      </c>
      <c r="L3608" s="3">
        <f>IF(K3608&lt;-5,"CRÍTICO",IF(K3608&lt;0,"ATENÇÃO",IF(K3608&lt;=5,"OPORTUNO","MUITO BOM")))</f>
        <v/>
      </c>
    </row>
    <row r="3609" hidden="1">
      <c r="A3609" s="11" t="n">
        <v>46114</v>
      </c>
      <c r="B3609" t="inlineStr">
        <is>
          <t>Isabella Borges de Oliveira</t>
        </is>
      </c>
      <c r="C3609" t="inlineStr">
        <is>
          <t>Técnico II</t>
        </is>
      </c>
      <c r="D3609" t="n">
        <v>36</v>
      </c>
      <c r="E3609" t="n">
        <v>34</v>
      </c>
      <c r="F3609" t="n">
        <v>16.58</v>
      </c>
      <c r="G3609" t="n">
        <v>0</v>
      </c>
      <c r="H3609" t="n">
        <v>0</v>
      </c>
      <c r="I3609" s="3">
        <f>E3609+G3609+H3609</f>
        <v/>
      </c>
      <c r="J3609" s="3">
        <f>ROUND(MIN(IF(C3609="Técnico III",35,IF(C3609="Técnico II",28,IF(C3609="Técnico I",23,IF(C3609="JR",20,IF(C3609="Estágio",10,0))))),IF(C3609="Técnico III",SUMIFS($D:$D,$A:$A,$A3609,$B:$B,"&lt;&gt;Patrícia Karla de Sousa Araújo",$B:$B,"&lt;&gt;Lorena Dias de Araujo",$B:$B,"&lt;&gt;Lucas Luiz Romero")*(35/1083),IF(C3609="Técnico II",SUMIFS($D:$D,$A:$A,$A3609,$B:$B,"&lt;&gt;Patrícia Karla de Sousa Araújo",$B:$B,"&lt;&gt;Lorena Dias de Araujo",$B:$B,"&lt;&gt;Lucas Luiz Romero")*(28/1083),IF(C3609="Técnico I",SUMIFS($D:$D,$A:$A,$A3609,$B:$B,"&lt;&gt;Patrícia Karla de Sousa Araújo",$B:$B,"&lt;&gt;Lorena Dias de Araujo",$B:$B,"&lt;&gt;Lucas Luiz Romero")*(23/1083),IF(C3609="JR",SUMIFS($D:$D,$A:$A,$A3609,$B:$B,"&lt;&gt;Patrícia Karla de Sousa Araújo",$B:$B,"&lt;&gt;Lorena Dias de Araujo",$B:$B,"&lt;&gt;Lucas Luiz Romero")*(20/1083),IF(C3609="Estágio",SUMIFS($D:$D,$A:$A,$A3609,$B:$B,"&lt;&gt;Patrícia Karla de Sousa Araújo",$B:$B,"&lt;&gt;Lorena Dias de Araujo",$B:$B,"&lt;&gt;Lucas Luiz Romero")*(10/1083),0)))))),0)</f>
        <v/>
      </c>
      <c r="K3609" s="3">
        <f>I3609-J3609</f>
        <v/>
      </c>
      <c r="L3609" s="3">
        <f>IF(K3609&lt;-5,"CRÍTICO",IF(K3609&lt;0,"ATENÇÃO",IF(K3609&lt;=5,"OPORTUNO","MUITO BOM")))</f>
        <v/>
      </c>
      <c r="N3609" t="n">
        <v>100</v>
      </c>
      <c r="O3609" t="n">
        <v>27.94117647058824</v>
      </c>
    </row>
    <row r="3610" hidden="1">
      <c r="A3610" s="11" t="n">
        <v>46114</v>
      </c>
      <c r="B3610" t="inlineStr">
        <is>
          <t>Janaina Lima dos Reis Urany</t>
        </is>
      </c>
      <c r="C3610" t="inlineStr">
        <is>
          <t>Técnico III</t>
        </is>
      </c>
      <c r="D3610" t="n">
        <v>56</v>
      </c>
      <c r="E3610" t="n">
        <v>50</v>
      </c>
      <c r="F3610" t="n">
        <v>12.22</v>
      </c>
      <c r="G3610" t="n">
        <v>0</v>
      </c>
      <c r="H3610" t="n">
        <v>0</v>
      </c>
      <c r="I3610" s="3">
        <f>E3610+G3610+H3610</f>
        <v/>
      </c>
      <c r="J3610" s="3">
        <f>ROUND(MIN(IF(C3610="Técnico III",35,IF(C3610="Técnico II",28,IF(C3610="Técnico I",23,IF(C3610="JR",20,IF(C3610="Estágio",10,0))))),IF(C3610="Técnico III",SUMIFS($D:$D,$A:$A,$A3610,$B:$B,"&lt;&gt;Patrícia Karla de Sousa Araújo",$B:$B,"&lt;&gt;Lorena Dias de Araujo",$B:$B,"&lt;&gt;Lucas Luiz Romero")*(35/1083),IF(C3610="Técnico II",SUMIFS($D:$D,$A:$A,$A3610,$B:$B,"&lt;&gt;Patrícia Karla de Sousa Araújo",$B:$B,"&lt;&gt;Lorena Dias de Araujo",$B:$B,"&lt;&gt;Lucas Luiz Romero")*(28/1083),IF(C3610="Técnico I",SUMIFS($D:$D,$A:$A,$A3610,$B:$B,"&lt;&gt;Patrícia Karla de Sousa Araújo",$B:$B,"&lt;&gt;Lorena Dias de Araujo",$B:$B,"&lt;&gt;Lucas Luiz Romero")*(23/1083),IF(C3610="JR",SUMIFS($D:$D,$A:$A,$A3610,$B:$B,"&lt;&gt;Patrícia Karla de Sousa Araújo",$B:$B,"&lt;&gt;Lorena Dias de Araujo",$B:$B,"&lt;&gt;Lucas Luiz Romero")*(20/1083),IF(C3610="Estágio",SUMIFS($D:$D,$A:$A,$A3610,$B:$B,"&lt;&gt;Patrícia Karla de Sousa Araújo",$B:$B,"&lt;&gt;Lorena Dias de Araujo",$B:$B,"&lt;&gt;Lucas Luiz Romero")*(10/1083),0)))))),0)</f>
        <v/>
      </c>
      <c r="K3610" s="3">
        <f>I3610-J3610</f>
        <v/>
      </c>
      <c r="L3610" s="3">
        <f>IF(K3610&lt;-5,"CRÍTICO",IF(K3610&lt;0,"ATENÇÃO",IF(K3610&lt;=5,"OPORTUNO","MUITO BOM")))</f>
        <v/>
      </c>
      <c r="N3610" t="n">
        <v>99.56999999999999</v>
      </c>
      <c r="O3610" t="n">
        <v>29.91329479768786</v>
      </c>
    </row>
    <row r="3611" hidden="1">
      <c r="A3611" s="11" t="n">
        <v>46114</v>
      </c>
      <c r="B3611" t="inlineStr">
        <is>
          <t>Jaqueline Evangelista da Silva Martins</t>
        </is>
      </c>
      <c r="C3611" t="inlineStr">
        <is>
          <t>Técnico III</t>
        </is>
      </c>
      <c r="D3611" t="n">
        <v>12</v>
      </c>
      <c r="E3611" t="n">
        <v>12</v>
      </c>
      <c r="F3611" t="n">
        <v>18.31</v>
      </c>
      <c r="G3611" t="n">
        <v>0</v>
      </c>
      <c r="H3611" t="n">
        <v>0</v>
      </c>
      <c r="I3611" s="3">
        <f>E3611+G3611+H3611</f>
        <v/>
      </c>
      <c r="J3611" s="3">
        <f>ROUND(MIN(IF(C3611="Técnico III",35,IF(C3611="Técnico II",28,IF(C3611="Técnico I",23,IF(C3611="JR",20,IF(C3611="Estágio",10,0))))),IF(C3611="Técnico III",SUMIFS($D:$D,$A:$A,$A3611,$B:$B,"&lt;&gt;Patrícia Karla de Sousa Araújo",$B:$B,"&lt;&gt;Lorena Dias de Araujo",$B:$B,"&lt;&gt;Lucas Luiz Romero")*(35/1083),IF(C3611="Técnico II",SUMIFS($D:$D,$A:$A,$A3611,$B:$B,"&lt;&gt;Patrícia Karla de Sousa Araújo",$B:$B,"&lt;&gt;Lorena Dias de Araujo",$B:$B,"&lt;&gt;Lucas Luiz Romero")*(28/1083),IF(C3611="Técnico I",SUMIFS($D:$D,$A:$A,$A3611,$B:$B,"&lt;&gt;Patrícia Karla de Sousa Araújo",$B:$B,"&lt;&gt;Lorena Dias de Araujo",$B:$B,"&lt;&gt;Lucas Luiz Romero")*(23/1083),IF(C3611="JR",SUMIFS($D:$D,$A:$A,$A3611,$B:$B,"&lt;&gt;Patrícia Karla de Sousa Araújo",$B:$B,"&lt;&gt;Lorena Dias de Araujo",$B:$B,"&lt;&gt;Lucas Luiz Romero")*(20/1083),IF(C3611="Estágio",SUMIFS($D:$D,$A:$A,$A3611,$B:$B,"&lt;&gt;Patrícia Karla de Sousa Araújo",$B:$B,"&lt;&gt;Lorena Dias de Araujo",$B:$B,"&lt;&gt;Lucas Luiz Romero")*(10/1083),0)))))),0)</f>
        <v/>
      </c>
      <c r="K3611" s="3">
        <f>I3611-J3611</f>
        <v/>
      </c>
      <c r="L3611" s="3">
        <f>IF(K3611&lt;-5,"CRÍTICO",IF(K3611&lt;0,"ATENÇÃO",IF(K3611&lt;=5,"OPORTUNO","MUITO BOM")))</f>
        <v/>
      </c>
      <c r="N3611" t="n">
        <v>95.65000000000001</v>
      </c>
      <c r="O3611" t="n">
        <v>31.08108108108108</v>
      </c>
    </row>
    <row r="3612" hidden="1">
      <c r="A3612" s="11" t="n">
        <v>46114</v>
      </c>
      <c r="B3612" t="inlineStr">
        <is>
          <t>Jessica Faria da Silveira</t>
        </is>
      </c>
      <c r="C3612" t="inlineStr">
        <is>
          <t>Técnico II</t>
        </is>
      </c>
      <c r="D3612" t="n">
        <v>18</v>
      </c>
      <c r="E3612" t="n">
        <v>18</v>
      </c>
      <c r="F3612" t="n">
        <v>18.35</v>
      </c>
      <c r="G3612" t="n">
        <v>0</v>
      </c>
      <c r="H3612" t="n">
        <v>0</v>
      </c>
      <c r="I3612" s="3">
        <f>E3612+G3612+H3612</f>
        <v/>
      </c>
      <c r="J3612" s="3">
        <f>ROUND(MIN(IF(C3612="Técnico III",35,IF(C3612="Técnico II",28,IF(C3612="Técnico I",23,IF(C3612="JR",20,IF(C3612="Estágio",10,0))))),IF(C3612="Técnico III",SUMIFS($D:$D,$A:$A,$A3612,$B:$B,"&lt;&gt;Patrícia Karla de Sousa Araújo",$B:$B,"&lt;&gt;Lorena Dias de Araujo",$B:$B,"&lt;&gt;Lucas Luiz Romero")*(35/1083),IF(C3612="Técnico II",SUMIFS($D:$D,$A:$A,$A3612,$B:$B,"&lt;&gt;Patrícia Karla de Sousa Araújo",$B:$B,"&lt;&gt;Lorena Dias de Araujo",$B:$B,"&lt;&gt;Lucas Luiz Romero")*(28/1083),IF(C3612="Técnico I",SUMIFS($D:$D,$A:$A,$A3612,$B:$B,"&lt;&gt;Patrícia Karla de Sousa Araújo",$B:$B,"&lt;&gt;Lorena Dias de Araujo",$B:$B,"&lt;&gt;Lucas Luiz Romero")*(23/1083),IF(C3612="JR",SUMIFS($D:$D,$A:$A,$A3612,$B:$B,"&lt;&gt;Patrícia Karla de Sousa Araújo",$B:$B,"&lt;&gt;Lorena Dias de Araujo",$B:$B,"&lt;&gt;Lucas Luiz Romero")*(20/1083),IF(C3612="Estágio",SUMIFS($D:$D,$A:$A,$A3612,$B:$B,"&lt;&gt;Patrícia Karla de Sousa Araújo",$B:$B,"&lt;&gt;Lorena Dias de Araujo",$B:$B,"&lt;&gt;Lucas Luiz Romero")*(10/1083),0)))))),0)</f>
        <v/>
      </c>
      <c r="K3612" s="3">
        <f>I3612-J3612</f>
        <v/>
      </c>
      <c r="L3612" s="3">
        <f>IF(K3612&lt;-5,"CRÍTICO",IF(K3612&lt;0,"ATENÇÃO",IF(K3612&lt;=5,"OPORTUNO","MUITO BOM")))</f>
        <v/>
      </c>
      <c r="N3612" t="n">
        <v>98.81</v>
      </c>
      <c r="O3612" t="n">
        <v>26.25698324022346</v>
      </c>
    </row>
    <row r="3613" hidden="1">
      <c r="A3613" s="11" t="n">
        <v>46114</v>
      </c>
      <c r="B3613" t="inlineStr">
        <is>
          <t>Jéssica Fé Moura</t>
        </is>
      </c>
      <c r="C3613" t="inlineStr">
        <is>
          <t>Técnico III</t>
        </is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s="3" t="n">
        <v>0</v>
      </c>
      <c r="J3613" s="3" t="n">
        <v>0</v>
      </c>
      <c r="K3613" s="3" t="n">
        <v>0</v>
      </c>
      <c r="L3613" s="3">
        <f>IF(K3613&lt;-5,"CRÍTICO",IF(K3613&lt;0,"ATENÇÃO",IF(K3613&lt;=5,"OPORTUNO","MUITO BOM")))</f>
        <v/>
      </c>
      <c r="N3613" t="n">
        <v>0</v>
      </c>
      <c r="O3613" t="n">
        <v>0</v>
      </c>
    </row>
    <row r="3614" hidden="1">
      <c r="A3614" s="11" t="n">
        <v>46114</v>
      </c>
      <c r="B3614" t="inlineStr">
        <is>
          <t>Karina Gonçalves Martins</t>
        </is>
      </c>
      <c r="C3614" t="inlineStr">
        <is>
          <t>JR</t>
        </is>
      </c>
      <c r="D3614" t="n">
        <v>22</v>
      </c>
      <c r="E3614" t="n">
        <v>22</v>
      </c>
      <c r="F3614" t="n">
        <v>18.44</v>
      </c>
      <c r="G3614" t="n">
        <v>0</v>
      </c>
      <c r="H3614" t="n">
        <v>0</v>
      </c>
      <c r="I3614" s="3">
        <f>E3614+G3614+H3614</f>
        <v/>
      </c>
      <c r="J3614" s="3">
        <f>ROUND(MIN(IF(C3614="Técnico III",35,IF(C3614="Técnico II",28,IF(C3614="Técnico I",23,IF(C3614="JR",20,IF(C3614="Estágio",10,0))))),IF(C3614="Técnico III",SUMIFS($D:$D,$A:$A,$A3614,$B:$B,"&lt;&gt;Patrícia Karla de Sousa Araújo",$B:$B,"&lt;&gt;Lorena Dias de Araujo",$B:$B,"&lt;&gt;Lucas Luiz Romero")*(35/1083),IF(C3614="Técnico II",SUMIFS($D:$D,$A:$A,$A3614,$B:$B,"&lt;&gt;Patrícia Karla de Sousa Araújo",$B:$B,"&lt;&gt;Lorena Dias de Araujo",$B:$B,"&lt;&gt;Lucas Luiz Romero")*(28/1083),IF(C3614="Técnico I",SUMIFS($D:$D,$A:$A,$A3614,$B:$B,"&lt;&gt;Patrícia Karla de Sousa Araújo",$B:$B,"&lt;&gt;Lorena Dias de Araujo",$B:$B,"&lt;&gt;Lucas Luiz Romero")*(23/1083),IF(C3614="JR",SUMIFS($D:$D,$A:$A,$A3614,$B:$B,"&lt;&gt;Patrícia Karla de Sousa Araújo",$B:$B,"&lt;&gt;Lorena Dias de Araujo",$B:$B,"&lt;&gt;Lucas Luiz Romero")*(20/1083),IF(C3614="Estágio",SUMIFS($D:$D,$A:$A,$A3614,$B:$B,"&lt;&gt;Patrícia Karla de Sousa Araújo",$B:$B,"&lt;&gt;Lorena Dias de Araujo",$B:$B,"&lt;&gt;Lucas Luiz Romero")*(10/1083),0)))))),0)</f>
        <v/>
      </c>
      <c r="K3614" s="3">
        <f>I3614-J3614</f>
        <v/>
      </c>
      <c r="L3614" s="3">
        <f>IF(K3614&lt;-5,"CRÍTICO",IF(K3614&lt;0,"ATENÇÃO",IF(K3614&lt;=5,"OPORTUNO","MUITO BOM")))</f>
        <v/>
      </c>
      <c r="N3614" t="n">
        <v>97.17</v>
      </c>
      <c r="O3614" t="n">
        <v>28.81844380403458</v>
      </c>
    </row>
    <row r="3615" hidden="1">
      <c r="A3615" s="11" t="n">
        <v>46114</v>
      </c>
      <c r="B3615" t="inlineStr">
        <is>
          <t>Kerollen Cristielly de Jesus Siqueira</t>
        </is>
      </c>
      <c r="C3615" t="inlineStr">
        <is>
          <t>Técnico III</t>
        </is>
      </c>
      <c r="D3615" t="n">
        <v>6</v>
      </c>
      <c r="E3615" t="n">
        <v>6</v>
      </c>
      <c r="F3615" t="n">
        <v>24.18</v>
      </c>
      <c r="G3615" t="n">
        <v>0</v>
      </c>
      <c r="H3615" t="n">
        <v>0</v>
      </c>
      <c r="I3615" s="3">
        <f>E3615+G3615+H3615</f>
        <v/>
      </c>
      <c r="J3615" s="3">
        <f>ROUND(MIN(IF(C3615="Técnico III",35,IF(C3615="Técnico II",28,IF(C3615="Técnico I",23,IF(C3615="JR",20,IF(C3615="Estágio",10,0))))),IF(C3615="Técnico III",SUMIFS($D:$D,$A:$A,$A3615,$B:$B,"&lt;&gt;Patrícia Karla de Sousa Araújo",$B:$B,"&lt;&gt;Lorena Dias de Araujo",$B:$B,"&lt;&gt;Lucas Luiz Romero")*(35/1083),IF(C3615="Técnico II",SUMIFS($D:$D,$A:$A,$A3615,$B:$B,"&lt;&gt;Patrícia Karla de Sousa Araújo",$B:$B,"&lt;&gt;Lorena Dias de Araujo",$B:$B,"&lt;&gt;Lucas Luiz Romero")*(28/1083),IF(C3615="Técnico I",SUMIFS($D:$D,$A:$A,$A3615,$B:$B,"&lt;&gt;Patrícia Karla de Sousa Araújo",$B:$B,"&lt;&gt;Lorena Dias de Araujo",$B:$B,"&lt;&gt;Lucas Luiz Romero")*(23/1083),IF(C3615="JR",SUMIFS($D:$D,$A:$A,$A3615,$B:$B,"&lt;&gt;Patrícia Karla de Sousa Araújo",$B:$B,"&lt;&gt;Lorena Dias de Araujo",$B:$B,"&lt;&gt;Lucas Luiz Romero")*(20/1083),IF(C3615="Estágio",SUMIFS($D:$D,$A:$A,$A3615,$B:$B,"&lt;&gt;Patrícia Karla de Sousa Araújo",$B:$B,"&lt;&gt;Lorena Dias de Araujo",$B:$B,"&lt;&gt;Lucas Luiz Romero")*(10/1083),0)))))),0)</f>
        <v/>
      </c>
      <c r="K3615" s="3">
        <f>I3615-J3615</f>
        <v/>
      </c>
      <c r="L3615" s="3">
        <f>IF(K3615&lt;-5,"CRÍTICO",IF(K3615&lt;0,"ATENÇÃO",IF(K3615&lt;=5,"OPORTUNO","MUITO BOM")))</f>
        <v/>
      </c>
      <c r="N3615" t="n">
        <v>96.81</v>
      </c>
      <c r="O3615" t="n">
        <v>48.01864801864802</v>
      </c>
    </row>
    <row r="3616" hidden="1">
      <c r="A3616" s="11" t="n">
        <v>46114</v>
      </c>
      <c r="B3616" t="inlineStr">
        <is>
          <t>Leandro de Souza Silva</t>
        </is>
      </c>
      <c r="C3616" t="inlineStr">
        <is>
          <t>JR</t>
        </is>
      </c>
      <c r="D3616" t="n">
        <v>22</v>
      </c>
      <c r="E3616" t="n">
        <v>21</v>
      </c>
      <c r="F3616" t="n">
        <v>25.36</v>
      </c>
      <c r="G3616" t="n">
        <v>0</v>
      </c>
      <c r="H3616" t="n">
        <v>0</v>
      </c>
      <c r="I3616" s="3">
        <f>E3616+G3616+H3616</f>
        <v/>
      </c>
      <c r="J3616" s="3">
        <f>ROUND(MIN(IF(C3616="Técnico III",35,IF(C3616="Técnico II",28,IF(C3616="Técnico I",23,IF(C3616="JR",20,IF(C3616="Estágio",10,0))))),IF(C3616="Técnico III",SUMIFS($D:$D,$A:$A,$A3616,$B:$B,"&lt;&gt;Patrícia Karla de Sousa Araújo",$B:$B,"&lt;&gt;Lorena Dias de Araujo",$B:$B,"&lt;&gt;Lucas Luiz Romero")*(35/1083),IF(C3616="Técnico II",SUMIFS($D:$D,$A:$A,$A3616,$B:$B,"&lt;&gt;Patrícia Karla de Sousa Araújo",$B:$B,"&lt;&gt;Lorena Dias de Araujo",$B:$B,"&lt;&gt;Lucas Luiz Romero")*(28/1083),IF(C3616="Técnico I",SUMIFS($D:$D,$A:$A,$A3616,$B:$B,"&lt;&gt;Patrícia Karla de Sousa Araújo",$B:$B,"&lt;&gt;Lorena Dias de Araujo",$B:$B,"&lt;&gt;Lucas Luiz Romero")*(23/1083),IF(C3616="JR",SUMIFS($D:$D,$A:$A,$A3616,$B:$B,"&lt;&gt;Patrícia Karla de Sousa Araújo",$B:$B,"&lt;&gt;Lorena Dias de Araujo",$B:$B,"&lt;&gt;Lucas Luiz Romero")*(20/1083),IF(C3616="Estágio",SUMIFS($D:$D,$A:$A,$A3616,$B:$B,"&lt;&gt;Patrícia Karla de Sousa Araújo",$B:$B,"&lt;&gt;Lorena Dias de Araujo",$B:$B,"&lt;&gt;Lucas Luiz Romero")*(10/1083),0)))))),0)</f>
        <v/>
      </c>
      <c r="K3616" s="3">
        <f>I3616-J3616</f>
        <v/>
      </c>
      <c r="L3616" s="3">
        <f>IF(K3616&lt;-5,"CRÍTICO",IF(K3616&lt;0,"ATENÇÃO",IF(K3616&lt;=5,"OPORTUNO","MUITO BOM")))</f>
        <v/>
      </c>
      <c r="N3616" t="n">
        <v>98.15000000000001</v>
      </c>
      <c r="O3616" t="n">
        <v>27.1551724137931</v>
      </c>
    </row>
    <row r="3617" hidden="1">
      <c r="A3617" s="11" t="n">
        <v>46114</v>
      </c>
      <c r="B3617" t="inlineStr">
        <is>
          <t>Leandro Oliveira de Sousa</t>
        </is>
      </c>
      <c r="C3617" t="inlineStr">
        <is>
          <t>Técnico III</t>
        </is>
      </c>
      <c r="D3617" t="n">
        <v>40</v>
      </c>
      <c r="E3617" t="n">
        <v>38</v>
      </c>
      <c r="F3617" t="n">
        <v>13.41</v>
      </c>
      <c r="G3617" t="n">
        <v>0</v>
      </c>
      <c r="H3617" t="n">
        <v>0</v>
      </c>
      <c r="I3617" s="3">
        <f>E3617+G3617+H3617</f>
        <v/>
      </c>
      <c r="J3617" s="3">
        <f>ROUND(MIN(IF(C3617="Técnico III",35,IF(C3617="Técnico II",28,IF(C3617="Técnico I",23,IF(C3617="JR",20,IF(C3617="Estágio",10,0))))),IF(C3617="Técnico III",SUMIFS($D:$D,$A:$A,$A3617,$B:$B,"&lt;&gt;Patrícia Karla de Sousa Araújo",$B:$B,"&lt;&gt;Lorena Dias de Araujo",$B:$B,"&lt;&gt;Lucas Luiz Romero")*(35/1083),IF(C3617="Técnico II",SUMIFS($D:$D,$A:$A,$A3617,$B:$B,"&lt;&gt;Patrícia Karla de Sousa Araújo",$B:$B,"&lt;&gt;Lorena Dias de Araujo",$B:$B,"&lt;&gt;Lucas Luiz Romero")*(28/1083),IF(C3617="Técnico I",SUMIFS($D:$D,$A:$A,$A3617,$B:$B,"&lt;&gt;Patrícia Karla de Sousa Araújo",$B:$B,"&lt;&gt;Lorena Dias de Araujo",$B:$B,"&lt;&gt;Lucas Luiz Romero")*(23/1083),IF(C3617="JR",SUMIFS($D:$D,$A:$A,$A3617,$B:$B,"&lt;&gt;Patrícia Karla de Sousa Araújo",$B:$B,"&lt;&gt;Lorena Dias de Araujo",$B:$B,"&lt;&gt;Lucas Luiz Romero")*(20/1083),IF(C3617="Estágio",SUMIFS($D:$D,$A:$A,$A3617,$B:$B,"&lt;&gt;Patrícia Karla de Sousa Araújo",$B:$B,"&lt;&gt;Lorena Dias de Araujo",$B:$B,"&lt;&gt;Lucas Luiz Romero")*(10/1083),0)))))),0)</f>
        <v/>
      </c>
      <c r="K3617" s="3">
        <f>I3617-J3617</f>
        <v/>
      </c>
      <c r="L3617" s="3">
        <f>IF(K3617&lt;-5,"CRÍTICO",IF(K3617&lt;0,"ATENÇÃO",IF(K3617&lt;=5,"OPORTUNO","MUITO BOM")))</f>
        <v/>
      </c>
      <c r="N3617" t="n">
        <v>99.15000000000001</v>
      </c>
      <c r="O3617" t="n">
        <v>27.37068965517241</v>
      </c>
    </row>
    <row r="3618" hidden="1">
      <c r="A3618" s="11" t="n">
        <v>46114</v>
      </c>
      <c r="B3618" t="inlineStr">
        <is>
          <t>Lizandra Gomes Duarte</t>
        </is>
      </c>
      <c r="C3618" t="inlineStr">
        <is>
          <t>Técnico II</t>
        </is>
      </c>
      <c r="D3618" t="n">
        <v>37</v>
      </c>
      <c r="E3618" t="n">
        <v>35</v>
      </c>
      <c r="F3618" t="n">
        <v>20.24</v>
      </c>
      <c r="G3618" t="n">
        <v>0</v>
      </c>
      <c r="H3618" t="n">
        <v>0</v>
      </c>
      <c r="I3618" s="3">
        <f>E3618+G3618+H3618</f>
        <v/>
      </c>
      <c r="J3618" s="3">
        <f>ROUND(MIN(IF(C3618="Técnico III",35,IF(C3618="Técnico II",28,IF(C3618="Técnico I",23,IF(C3618="JR",20,IF(C3618="Estágio",10,0))))),IF(C3618="Técnico III",SUMIFS($D:$D,$A:$A,$A3618,$B:$B,"&lt;&gt;Patrícia Karla de Sousa Araújo",$B:$B,"&lt;&gt;Lorena Dias de Araujo",$B:$B,"&lt;&gt;Lucas Luiz Romero")*(35/1083),IF(C3618="Técnico II",SUMIFS($D:$D,$A:$A,$A3618,$B:$B,"&lt;&gt;Patrícia Karla de Sousa Araújo",$B:$B,"&lt;&gt;Lorena Dias de Araujo",$B:$B,"&lt;&gt;Lucas Luiz Romero")*(28/1083),IF(C3618="Técnico I",SUMIFS($D:$D,$A:$A,$A3618,$B:$B,"&lt;&gt;Patrícia Karla de Sousa Araújo",$B:$B,"&lt;&gt;Lorena Dias de Araujo",$B:$B,"&lt;&gt;Lucas Luiz Romero")*(23/1083),IF(C3618="JR",SUMIFS($D:$D,$A:$A,$A3618,$B:$B,"&lt;&gt;Patrícia Karla de Sousa Araújo",$B:$B,"&lt;&gt;Lorena Dias de Araujo",$B:$B,"&lt;&gt;Lucas Luiz Romero")*(20/1083),IF(C3618="Estágio",SUMIFS($D:$D,$A:$A,$A3618,$B:$B,"&lt;&gt;Patrícia Karla de Sousa Araújo",$B:$B,"&lt;&gt;Lorena Dias de Araujo",$B:$B,"&lt;&gt;Lucas Luiz Romero")*(10/1083),0)))))),0)</f>
        <v/>
      </c>
      <c r="K3618" s="3">
        <f>I3618-J3618</f>
        <v/>
      </c>
      <c r="L3618" s="3">
        <f>IF(K3618&lt;-5,"CRÍTICO",IF(K3618&lt;0,"ATENÇÃO",IF(K3618&lt;=5,"OPORTUNO","MUITO BOM")))</f>
        <v/>
      </c>
      <c r="N3618" t="n">
        <v>99.17</v>
      </c>
      <c r="O3618" t="n">
        <v>29.75206611570248</v>
      </c>
    </row>
    <row r="3619" hidden="1">
      <c r="A3619" s="11" t="n">
        <v>46114</v>
      </c>
      <c r="B3619" t="inlineStr">
        <is>
          <t>Lorena Dias de Araujo</t>
        </is>
      </c>
      <c r="C3619" t="inlineStr">
        <is>
          <t>Técnico II</t>
        </is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s="3" t="n">
        <v>0</v>
      </c>
      <c r="J3619" s="3" t="n">
        <v>0</v>
      </c>
      <c r="K3619" s="3" t="n">
        <v>0</v>
      </c>
      <c r="L3619" s="3">
        <f>IF(K3619&lt;-5,"CRÍTICO",IF(K3619&lt;0,"ATENÇÃO",IF(K3619&lt;=5,"OPORTUNO","MUITO BOM")))</f>
        <v/>
      </c>
      <c r="N3619" t="n">
        <v>98.73</v>
      </c>
      <c r="O3619" t="n">
        <v>28.96174863387978</v>
      </c>
    </row>
    <row r="3620" hidden="1">
      <c r="A3620" s="11" t="n">
        <v>46114</v>
      </c>
      <c r="B3620" t="inlineStr">
        <is>
          <t>Lucas Luiz Romero</t>
        </is>
      </c>
      <c r="C3620" t="inlineStr">
        <is>
          <t>Técnico III</t>
        </is>
      </c>
      <c r="D3620" t="n">
        <v>44</v>
      </c>
      <c r="E3620" t="n">
        <v>32</v>
      </c>
      <c r="F3620" t="n">
        <v>14.1</v>
      </c>
      <c r="G3620" t="n">
        <v>0</v>
      </c>
      <c r="H3620" t="n">
        <v>0</v>
      </c>
      <c r="I3620" s="3">
        <f>E3620+G3620+H3620</f>
        <v/>
      </c>
      <c r="J3620" s="3">
        <f>ROUND(MIN(IF(C3620="Técnico III",35,IF(C3620="Técnico II",28,IF(C3620="Técnico I",23,IF(C3620="JR",20,IF(C3620="Estágio",10,0))))),IF(C3620="Técnico III",SUMIFS($D:$D,$A:$A,$A3620,$B:$B,"&lt;&gt;Patrícia Karla de Sousa Araújo",$B:$B,"&lt;&gt;Lorena Dias de Araujo",$B:$B,"&lt;&gt;Lucas Luiz Romero")*(35/1083),IF(C3620="Técnico II",SUMIFS($D:$D,$A:$A,$A3620,$B:$B,"&lt;&gt;Patrícia Karla de Sousa Araújo",$B:$B,"&lt;&gt;Lorena Dias de Araujo",$B:$B,"&lt;&gt;Lucas Luiz Romero")*(28/1083),IF(C3620="Técnico I",SUMIFS($D:$D,$A:$A,$A3620,$B:$B,"&lt;&gt;Patrícia Karla de Sousa Araújo",$B:$B,"&lt;&gt;Lorena Dias de Araujo",$B:$B,"&lt;&gt;Lucas Luiz Romero")*(23/1083),IF(C3620="JR",SUMIFS($D:$D,$A:$A,$A3620,$B:$B,"&lt;&gt;Patrícia Karla de Sousa Araújo",$B:$B,"&lt;&gt;Lorena Dias de Araujo",$B:$B,"&lt;&gt;Lucas Luiz Romero")*(20/1083),IF(C3620="Estágio",SUMIFS($D:$D,$A:$A,$A3620,$B:$B,"&lt;&gt;Patrícia Karla de Sousa Araújo",$B:$B,"&lt;&gt;Lorena Dias de Araujo",$B:$B,"&lt;&gt;Lucas Luiz Romero")*(10/1083),0)))))),0)</f>
        <v/>
      </c>
      <c r="K3620" s="3">
        <f>I3620-J3620</f>
        <v/>
      </c>
      <c r="L3620" s="3">
        <f>IF(K3620&lt;-5,"CRÍTICO",IF(K3620&lt;0,"ATENÇÃO",IF(K3620&lt;=5,"OPORTUNO","MUITO BOM")))</f>
        <v/>
      </c>
      <c r="N3620" t="n">
        <v>88.68000000000001</v>
      </c>
      <c r="O3620" t="n">
        <v>22.03389830508474</v>
      </c>
    </row>
    <row r="3621" hidden="1">
      <c r="A3621" s="11" t="n">
        <v>46114</v>
      </c>
      <c r="B3621" t="inlineStr">
        <is>
          <t>Luiz Fernando de Carvalho Junior</t>
        </is>
      </c>
      <c r="C3621" t="inlineStr">
        <is>
          <t>Técnico I</t>
        </is>
      </c>
      <c r="D3621" t="n">
        <v>28</v>
      </c>
      <c r="E3621" t="n">
        <v>27</v>
      </c>
      <c r="F3621" t="n">
        <v>15.3</v>
      </c>
      <c r="G3621" t="n">
        <v>0</v>
      </c>
      <c r="H3621" t="n">
        <v>0</v>
      </c>
      <c r="I3621" s="3">
        <f>E3621+G3621+H3621</f>
        <v/>
      </c>
      <c r="J3621" s="3">
        <f>ROUND(MIN(IF(C3621="Técnico III",35,IF(C3621="Técnico II",28,IF(C3621="Técnico I",23,IF(C3621="JR",20,IF(C3621="Estágio",10,0))))),IF(C3621="Técnico III",SUMIFS($D:$D,$A:$A,$A3621,$B:$B,"&lt;&gt;Patrícia Karla de Sousa Araújo",$B:$B,"&lt;&gt;Lorena Dias de Araujo",$B:$B,"&lt;&gt;Lucas Luiz Romero")*(35/1083),IF(C3621="Técnico II",SUMIFS($D:$D,$A:$A,$A3621,$B:$B,"&lt;&gt;Patrícia Karla de Sousa Araújo",$B:$B,"&lt;&gt;Lorena Dias de Araujo",$B:$B,"&lt;&gt;Lucas Luiz Romero")*(28/1083),IF(C3621="Técnico I",SUMIFS($D:$D,$A:$A,$A3621,$B:$B,"&lt;&gt;Patrícia Karla de Sousa Araújo",$B:$B,"&lt;&gt;Lorena Dias de Araujo",$B:$B,"&lt;&gt;Lucas Luiz Romero")*(23/1083),IF(C3621="JR",SUMIFS($D:$D,$A:$A,$A3621,$B:$B,"&lt;&gt;Patrícia Karla de Sousa Araújo",$B:$B,"&lt;&gt;Lorena Dias de Araujo",$B:$B,"&lt;&gt;Lucas Luiz Romero")*(20/1083),IF(C3621="Estágio",SUMIFS($D:$D,$A:$A,$A3621,$B:$B,"&lt;&gt;Patrícia Karla de Sousa Araújo",$B:$B,"&lt;&gt;Lorena Dias de Araujo",$B:$B,"&lt;&gt;Lucas Luiz Romero")*(10/1083),0)))))),0)</f>
        <v/>
      </c>
      <c r="K3621" s="3">
        <f>I3621-J3621</f>
        <v/>
      </c>
      <c r="L3621" s="3">
        <f>IF(K3621&lt;-5,"CRÍTICO",IF(K3621&lt;0,"ATENÇÃO",IF(K3621&lt;=5,"OPORTUNO","MUITO BOM")))</f>
        <v/>
      </c>
      <c r="N3621" t="n">
        <v>97.37</v>
      </c>
      <c r="O3621" t="n">
        <v>25.76530612244898</v>
      </c>
    </row>
    <row r="3622" hidden="1">
      <c r="A3622" s="11" t="n">
        <v>46114</v>
      </c>
      <c r="B3622" t="inlineStr">
        <is>
          <t>Maria Eduarda Sousa Costa</t>
        </is>
      </c>
      <c r="C3622" t="inlineStr">
        <is>
          <t>Estágio</t>
        </is>
      </c>
      <c r="D3622" t="n">
        <v>10</v>
      </c>
      <c r="E3622" t="n">
        <v>10</v>
      </c>
      <c r="F3622" t="n">
        <v>23.32</v>
      </c>
      <c r="G3622" t="n">
        <v>0</v>
      </c>
      <c r="H3622" t="n">
        <v>0</v>
      </c>
      <c r="I3622" s="3">
        <f>E3622+G3622+H3622</f>
        <v/>
      </c>
      <c r="J3622" s="3">
        <f>ROUND(MIN(IF(C3622="Técnico III",35,IF(C3622="Técnico II",28,IF(C3622="Técnico I",23,IF(C3622="JR",20,IF(C3622="Estágio",10,0))))),IF(C3622="Técnico III",SUMIFS($D:$D,$A:$A,$A3622,$B:$B,"&lt;&gt;Patrícia Karla de Sousa Araújo",$B:$B,"&lt;&gt;Lorena Dias de Araujo",$B:$B,"&lt;&gt;Lucas Luiz Romero")*(35/1083),IF(C3622="Técnico II",SUMIFS($D:$D,$A:$A,$A3622,$B:$B,"&lt;&gt;Patrícia Karla de Sousa Araújo",$B:$B,"&lt;&gt;Lorena Dias de Araujo",$B:$B,"&lt;&gt;Lucas Luiz Romero")*(28/1083),IF(C3622="Técnico I",SUMIFS($D:$D,$A:$A,$A3622,$B:$B,"&lt;&gt;Patrícia Karla de Sousa Araújo",$B:$B,"&lt;&gt;Lorena Dias de Araujo",$B:$B,"&lt;&gt;Lucas Luiz Romero")*(23/1083),IF(C3622="JR",SUMIFS($D:$D,$A:$A,$A3622,$B:$B,"&lt;&gt;Patrícia Karla de Sousa Araújo",$B:$B,"&lt;&gt;Lorena Dias de Araujo",$B:$B,"&lt;&gt;Lucas Luiz Romero")*(20/1083),IF(C3622="Estágio",SUMIFS($D:$D,$A:$A,$A3622,$B:$B,"&lt;&gt;Patrícia Karla de Sousa Araújo",$B:$B,"&lt;&gt;Lorena Dias de Araujo",$B:$B,"&lt;&gt;Lucas Luiz Romero")*(10/1083),0)))))),0)</f>
        <v/>
      </c>
      <c r="K3622" s="3">
        <f>I3622-J3622</f>
        <v/>
      </c>
      <c r="L3622" s="3">
        <f>IF(K3622&lt;-5,"CRÍTICO",IF(K3622&lt;0,"ATENÇÃO",IF(K3622&lt;=5,"OPORTUNO","MUITO BOM")))</f>
        <v/>
      </c>
      <c r="N3622" t="n">
        <v>100</v>
      </c>
      <c r="O3622" t="n">
        <v>25</v>
      </c>
    </row>
    <row r="3623" hidden="1">
      <c r="A3623" s="11" t="n">
        <v>46114</v>
      </c>
      <c r="B3623" t="inlineStr">
        <is>
          <t>Matheus Farias De Souza</t>
        </is>
      </c>
      <c r="C3623" t="inlineStr">
        <is>
          <t>Técnico III</t>
        </is>
      </c>
      <c r="D3623" t="n">
        <v>44</v>
      </c>
      <c r="E3623" t="n">
        <v>41</v>
      </c>
      <c r="F3623" t="n">
        <v>13.21</v>
      </c>
      <c r="G3623" t="n">
        <v>0</v>
      </c>
      <c r="H3623" t="n">
        <v>0</v>
      </c>
      <c r="I3623" s="3">
        <f>E3623+G3623+H3623</f>
        <v/>
      </c>
      <c r="J3623" s="3">
        <f>ROUND(MIN(IF(C3623="Técnico III",35,IF(C3623="Técnico II",28,IF(C3623="Técnico I",23,IF(C3623="JR",20,IF(C3623="Estágio",10,0))))),IF(C3623="Técnico III",SUMIFS($D:$D,$A:$A,$A3623,$B:$B,"&lt;&gt;Patrícia Karla de Sousa Araújo",$B:$B,"&lt;&gt;Lorena Dias de Araujo",$B:$B,"&lt;&gt;Lucas Luiz Romero")*(35/1083),IF(C3623="Técnico II",SUMIFS($D:$D,$A:$A,$A3623,$B:$B,"&lt;&gt;Patrícia Karla de Sousa Araújo",$B:$B,"&lt;&gt;Lorena Dias de Araujo",$B:$B,"&lt;&gt;Lucas Luiz Romero")*(28/1083),IF(C3623="Técnico I",SUMIFS($D:$D,$A:$A,$A3623,$B:$B,"&lt;&gt;Patrícia Karla de Sousa Araújo",$B:$B,"&lt;&gt;Lorena Dias de Araujo",$B:$B,"&lt;&gt;Lucas Luiz Romero")*(23/1083),IF(C3623="JR",SUMIFS($D:$D,$A:$A,$A3623,$B:$B,"&lt;&gt;Patrícia Karla de Sousa Araújo",$B:$B,"&lt;&gt;Lorena Dias de Araujo",$B:$B,"&lt;&gt;Lucas Luiz Romero")*(20/1083),IF(C3623="Estágio",SUMIFS($D:$D,$A:$A,$A3623,$B:$B,"&lt;&gt;Patrícia Karla de Sousa Araújo",$B:$B,"&lt;&gt;Lorena Dias de Araujo",$B:$B,"&lt;&gt;Lucas Luiz Romero")*(10/1083),0)))))),0)</f>
        <v/>
      </c>
      <c r="K3623" s="3">
        <f>I3623-J3623</f>
        <v/>
      </c>
      <c r="L3623" s="3">
        <f>IF(K3623&lt;-5,"CRÍTICO",IF(K3623&lt;0,"ATENÇÃO",IF(K3623&lt;=5,"OPORTUNO","MUITO BOM")))</f>
        <v/>
      </c>
      <c r="N3623" t="n">
        <v>100</v>
      </c>
      <c r="O3623" t="n">
        <v>23.9870340356564</v>
      </c>
    </row>
    <row r="3624" hidden="1">
      <c r="A3624" s="11" t="n">
        <v>46114</v>
      </c>
      <c r="B3624" t="inlineStr">
        <is>
          <t>Maysa Victoria Dias Moura</t>
        </is>
      </c>
      <c r="C3624" t="inlineStr">
        <is>
          <t>Técnico III</t>
        </is>
      </c>
      <c r="D3624" t="n">
        <v>38</v>
      </c>
      <c r="E3624" t="n">
        <v>32</v>
      </c>
      <c r="F3624" t="n">
        <v>12.01</v>
      </c>
      <c r="G3624" t="n">
        <v>0</v>
      </c>
      <c r="H3624" t="n">
        <v>0</v>
      </c>
      <c r="I3624" s="3">
        <f>E3624+G3624+H3624</f>
        <v/>
      </c>
      <c r="J3624" s="3">
        <f>ROUND(MIN(IF(C3624="Técnico III",35,IF(C3624="Técnico II",28,IF(C3624="Técnico I",23,IF(C3624="JR",20,IF(C3624="Estágio",10,0))))),IF(C3624="Técnico III",SUMIFS($D:$D,$A:$A,$A3624,$B:$B,"&lt;&gt;Patrícia Karla de Sousa Araújo",$B:$B,"&lt;&gt;Lorena Dias de Araujo",$B:$B,"&lt;&gt;Lucas Luiz Romero")*(35/1083),IF(C3624="Técnico II",SUMIFS($D:$D,$A:$A,$A3624,$B:$B,"&lt;&gt;Patrícia Karla de Sousa Araújo",$B:$B,"&lt;&gt;Lorena Dias de Araujo",$B:$B,"&lt;&gt;Lucas Luiz Romero")*(28/1083),IF(C3624="Técnico I",SUMIFS($D:$D,$A:$A,$A3624,$B:$B,"&lt;&gt;Patrícia Karla de Sousa Araújo",$B:$B,"&lt;&gt;Lorena Dias de Araujo",$B:$B,"&lt;&gt;Lucas Luiz Romero")*(23/1083),IF(C3624="JR",SUMIFS($D:$D,$A:$A,$A3624,$B:$B,"&lt;&gt;Patrícia Karla de Sousa Araújo",$B:$B,"&lt;&gt;Lorena Dias de Araujo",$B:$B,"&lt;&gt;Lucas Luiz Romero")*(20/1083),IF(C3624="Estágio",SUMIFS($D:$D,$A:$A,$A3624,$B:$B,"&lt;&gt;Patrícia Karla de Sousa Araújo",$B:$B,"&lt;&gt;Lorena Dias de Araujo",$B:$B,"&lt;&gt;Lucas Luiz Romero")*(10/1083),0)))))),0)</f>
        <v/>
      </c>
      <c r="K3624" s="3">
        <f>I3624-J3624</f>
        <v/>
      </c>
      <c r="L3624" s="3">
        <f>IF(K3624&lt;-5,"CRÍTICO",IF(K3624&lt;0,"ATENÇÃO",IF(K3624&lt;=5,"OPORTUNO","MUITO BOM")))</f>
        <v/>
      </c>
      <c r="N3624" t="n">
        <v>95.48999999999999</v>
      </c>
      <c r="O3624" t="n">
        <v>28.16901408450704</v>
      </c>
    </row>
    <row r="3625" hidden="1">
      <c r="A3625" s="11" t="n">
        <v>46114</v>
      </c>
      <c r="B3625" t="inlineStr">
        <is>
          <t>Michelle G Santos</t>
        </is>
      </c>
      <c r="C3625" t="inlineStr">
        <is>
          <t>Estágio</t>
        </is>
      </c>
      <c r="D3625" t="n">
        <v>18</v>
      </c>
      <c r="E3625" t="n">
        <v>18</v>
      </c>
      <c r="F3625" t="n">
        <v>24.05</v>
      </c>
      <c r="G3625" t="n">
        <v>0</v>
      </c>
      <c r="H3625" t="n">
        <v>0</v>
      </c>
      <c r="I3625" s="3">
        <f>E3625+G3625+H3625</f>
        <v/>
      </c>
      <c r="J3625" s="3">
        <f>ROUND(MIN(IF(C3625="Técnico III",35,IF(C3625="Técnico II",28,IF(C3625="Técnico I",23,IF(C3625="JR",20,IF(C3625="Estágio",10,0))))),IF(C3625="Técnico III",SUMIFS($D:$D,$A:$A,$A3625,$B:$B,"&lt;&gt;Patrícia Karla de Sousa Araújo",$B:$B,"&lt;&gt;Lorena Dias de Araujo",$B:$B,"&lt;&gt;Lucas Luiz Romero")*(35/1083),IF(C3625="Técnico II",SUMIFS($D:$D,$A:$A,$A3625,$B:$B,"&lt;&gt;Patrícia Karla de Sousa Araújo",$B:$B,"&lt;&gt;Lorena Dias de Araujo",$B:$B,"&lt;&gt;Lucas Luiz Romero")*(28/1083),IF(C3625="Técnico I",SUMIFS($D:$D,$A:$A,$A3625,$B:$B,"&lt;&gt;Patrícia Karla de Sousa Araújo",$B:$B,"&lt;&gt;Lorena Dias de Araujo",$B:$B,"&lt;&gt;Lucas Luiz Romero")*(23/1083),IF(C3625="JR",SUMIFS($D:$D,$A:$A,$A3625,$B:$B,"&lt;&gt;Patrícia Karla de Sousa Araújo",$B:$B,"&lt;&gt;Lorena Dias de Araujo",$B:$B,"&lt;&gt;Lucas Luiz Romero")*(20/1083),IF(C3625="Estágio",SUMIFS($D:$D,$A:$A,$A3625,$B:$B,"&lt;&gt;Patrícia Karla de Sousa Araújo",$B:$B,"&lt;&gt;Lorena Dias de Araujo",$B:$B,"&lt;&gt;Lucas Luiz Romero")*(10/1083),0)))))),0)</f>
        <v/>
      </c>
      <c r="K3625" s="3">
        <f>I3625-J3625</f>
        <v/>
      </c>
      <c r="L3625" s="3">
        <f>IF(K3625&lt;-5,"CRÍTICO",IF(K3625&lt;0,"ATENÇÃO",IF(K3625&lt;=5,"OPORTUNO","MUITO BOM")))</f>
        <v/>
      </c>
      <c r="N3625" t="n">
        <v>100</v>
      </c>
      <c r="O3625" t="n">
        <v>23.77622377622378</v>
      </c>
    </row>
    <row r="3626" hidden="1">
      <c r="A3626" s="11" t="n">
        <v>46114</v>
      </c>
      <c r="B3626" t="inlineStr">
        <is>
          <t>Milena Sales</t>
        </is>
      </c>
      <c r="C3626" t="inlineStr">
        <is>
          <t>JR</t>
        </is>
      </c>
      <c r="D3626" t="n">
        <v>21</v>
      </c>
      <c r="E3626" t="n">
        <v>17</v>
      </c>
      <c r="F3626" t="n">
        <v>20.36</v>
      </c>
      <c r="G3626" t="n">
        <v>0</v>
      </c>
      <c r="H3626" t="n">
        <v>0</v>
      </c>
      <c r="I3626" s="3">
        <f>E3626+G3626+H3626</f>
        <v/>
      </c>
      <c r="J3626" s="3">
        <f>ROUND(MIN(IF(C3626="Técnico III",35,IF(C3626="Técnico II",28,IF(C3626="Técnico I",23,IF(C3626="JR",20,IF(C3626="Estágio",10,0))))),IF(C3626="Técnico III",SUMIFS($D:$D,$A:$A,$A3626,$B:$B,"&lt;&gt;Patrícia Karla de Sousa Araújo",$B:$B,"&lt;&gt;Lorena Dias de Araujo",$B:$B,"&lt;&gt;Lucas Luiz Romero")*(35/1083),IF(C3626="Técnico II",SUMIFS($D:$D,$A:$A,$A3626,$B:$B,"&lt;&gt;Patrícia Karla de Sousa Araújo",$B:$B,"&lt;&gt;Lorena Dias de Araujo",$B:$B,"&lt;&gt;Lucas Luiz Romero")*(28/1083),IF(C3626="Técnico I",SUMIFS($D:$D,$A:$A,$A3626,$B:$B,"&lt;&gt;Patrícia Karla de Sousa Araújo",$B:$B,"&lt;&gt;Lorena Dias de Araujo",$B:$B,"&lt;&gt;Lucas Luiz Romero")*(23/1083),IF(C3626="JR",SUMIFS($D:$D,$A:$A,$A3626,$B:$B,"&lt;&gt;Patrícia Karla de Sousa Araújo",$B:$B,"&lt;&gt;Lorena Dias de Araujo",$B:$B,"&lt;&gt;Lucas Luiz Romero")*(20/1083),IF(C3626="Estágio",SUMIFS($D:$D,$A:$A,$A3626,$B:$B,"&lt;&gt;Patrícia Karla de Sousa Araújo",$B:$B,"&lt;&gt;Lorena Dias de Araujo",$B:$B,"&lt;&gt;Lucas Luiz Romero")*(10/1083),0)))))),0)</f>
        <v/>
      </c>
      <c r="K3626" s="3">
        <f>I3626-J3626</f>
        <v/>
      </c>
      <c r="L3626" s="3">
        <f>IF(K3626&lt;-5,"CRÍTICO",IF(K3626&lt;0,"ATENÇÃO",IF(K3626&lt;=5,"OPORTUNO","MUITO BOM")))</f>
        <v/>
      </c>
      <c r="N3626" t="n">
        <v>96.15000000000001</v>
      </c>
      <c r="O3626" t="n">
        <v>24.04580152671756</v>
      </c>
    </row>
    <row r="3627" hidden="1">
      <c r="A3627" s="11" t="n">
        <v>46114</v>
      </c>
      <c r="B3627" t="inlineStr">
        <is>
          <t>Patrícia Karla de Sousa Araújo</t>
        </is>
      </c>
      <c r="C3627" t="inlineStr">
        <is>
          <t>Técnico II</t>
        </is>
      </c>
      <c r="D3627" t="n">
        <v>19</v>
      </c>
      <c r="E3627" t="n">
        <v>18</v>
      </c>
      <c r="F3627" t="n">
        <v>14.17</v>
      </c>
      <c r="G3627" t="n">
        <v>0</v>
      </c>
      <c r="H3627" t="n">
        <v>0</v>
      </c>
      <c r="I3627" s="3">
        <f>E3627+G3627+H3627</f>
        <v/>
      </c>
      <c r="J3627" s="3">
        <f>ROUND(MIN(IF(C3627="Técnico III",35,IF(C3627="Técnico II",28,IF(C3627="Técnico I",23,IF(C3627="JR",20,IF(C3627="Estágio",10,0))))),IF(C3627="Técnico III",SUMIFS($D:$D,$A:$A,$A3627,$B:$B,"&lt;&gt;Patrícia Karla de Sousa Araújo",$B:$B,"&lt;&gt;Lorena Dias de Araujo",$B:$B,"&lt;&gt;Lucas Luiz Romero")*(35/1083),IF(C3627="Técnico II",SUMIFS($D:$D,$A:$A,$A3627,$B:$B,"&lt;&gt;Patrícia Karla de Sousa Araújo",$B:$B,"&lt;&gt;Lorena Dias de Araujo",$B:$B,"&lt;&gt;Lucas Luiz Romero")*(28/1083),IF(C3627="Técnico I",SUMIFS($D:$D,$A:$A,$A3627,$B:$B,"&lt;&gt;Patrícia Karla de Sousa Araújo",$B:$B,"&lt;&gt;Lorena Dias de Araujo",$B:$B,"&lt;&gt;Lucas Luiz Romero")*(23/1083),IF(C3627="JR",SUMIFS($D:$D,$A:$A,$A3627,$B:$B,"&lt;&gt;Patrícia Karla de Sousa Araújo",$B:$B,"&lt;&gt;Lorena Dias de Araujo",$B:$B,"&lt;&gt;Lucas Luiz Romero")*(20/1083),IF(C3627="Estágio",SUMIFS($D:$D,$A:$A,$A3627,$B:$B,"&lt;&gt;Patrícia Karla de Sousa Araújo",$B:$B,"&lt;&gt;Lorena Dias de Araujo",$B:$B,"&lt;&gt;Lucas Luiz Romero")*(10/1083),0)))))),0)</f>
        <v/>
      </c>
      <c r="K3627" s="3">
        <f>I3627-J3627</f>
        <v/>
      </c>
      <c r="L3627" s="3">
        <f>IF(K3627&lt;-5,"CRÍTICO",IF(K3627&lt;0,"ATENÇÃO",IF(K3627&lt;=5,"OPORTUNO","MUITO BOM")))</f>
        <v/>
      </c>
      <c r="N3627" t="n">
        <v>99.02</v>
      </c>
      <c r="O3627" t="n">
        <v>34.7972972972973</v>
      </c>
    </row>
    <row r="3628" hidden="1">
      <c r="A3628" s="11" t="n">
        <v>46114</v>
      </c>
      <c r="B3628" t="inlineStr">
        <is>
          <t>Paulo Ricardo Santos</t>
        </is>
      </c>
      <c r="C3628" t="inlineStr">
        <is>
          <t>JR</t>
        </is>
      </c>
      <c r="D3628" t="n">
        <v>22</v>
      </c>
      <c r="E3628" t="n">
        <v>21</v>
      </c>
      <c r="F3628" t="n">
        <v>15.57</v>
      </c>
      <c r="G3628" t="n">
        <v>0</v>
      </c>
      <c r="H3628" t="n">
        <v>0</v>
      </c>
      <c r="I3628" s="3">
        <f>E3628+G3628+H3628</f>
        <v/>
      </c>
      <c r="J3628" s="3">
        <f>ROUND(MIN(IF(C3628="Técnico III",35,IF(C3628="Técnico II",28,IF(C3628="Técnico I",23,IF(C3628="JR",20,IF(C3628="Estágio",10,0))))),IF(C3628="Técnico III",SUMIFS($D:$D,$A:$A,$A3628,$B:$B,"&lt;&gt;Patrícia Karla de Sousa Araújo",$B:$B,"&lt;&gt;Lorena Dias de Araujo",$B:$B,"&lt;&gt;Lucas Luiz Romero")*(35/1083),IF(C3628="Técnico II",SUMIFS($D:$D,$A:$A,$A3628,$B:$B,"&lt;&gt;Patrícia Karla de Sousa Araújo",$B:$B,"&lt;&gt;Lorena Dias de Araujo",$B:$B,"&lt;&gt;Lucas Luiz Romero")*(28/1083),IF(C3628="Técnico I",SUMIFS($D:$D,$A:$A,$A3628,$B:$B,"&lt;&gt;Patrícia Karla de Sousa Araújo",$B:$B,"&lt;&gt;Lorena Dias de Araujo",$B:$B,"&lt;&gt;Lucas Luiz Romero")*(23/1083),IF(C3628="JR",SUMIFS($D:$D,$A:$A,$A3628,$B:$B,"&lt;&gt;Patrícia Karla de Sousa Araújo",$B:$B,"&lt;&gt;Lorena Dias de Araujo",$B:$B,"&lt;&gt;Lucas Luiz Romero")*(20/1083),IF(C3628="Estágio",SUMIFS($D:$D,$A:$A,$A3628,$B:$B,"&lt;&gt;Patrícia Karla de Sousa Araújo",$B:$B,"&lt;&gt;Lorena Dias de Araujo",$B:$B,"&lt;&gt;Lucas Luiz Romero")*(10/1083),0)))))),0)</f>
        <v/>
      </c>
      <c r="K3628" s="3">
        <f>I3628-J3628</f>
        <v/>
      </c>
      <c r="L3628" s="3">
        <f>IF(K3628&lt;-5,"CRÍTICO",IF(K3628&lt;0,"ATENÇÃO",IF(K3628&lt;=5,"OPORTUNO","MUITO BOM")))</f>
        <v/>
      </c>
      <c r="N3628" t="n">
        <v>98.84</v>
      </c>
      <c r="O3628" t="n">
        <v>31.5018315018315</v>
      </c>
    </row>
    <row r="3629" hidden="1">
      <c r="A3629" s="11" t="n">
        <v>46114</v>
      </c>
      <c r="B3629" t="inlineStr">
        <is>
          <t>Pedro Luiz Mota Sousa</t>
        </is>
      </c>
      <c r="C3629" t="inlineStr">
        <is>
          <t>JR</t>
        </is>
      </c>
      <c r="D3629" t="n">
        <v>17</v>
      </c>
      <c r="E3629" t="n">
        <v>17</v>
      </c>
      <c r="F3629" t="n">
        <v>24.14</v>
      </c>
      <c r="G3629" t="n">
        <v>0</v>
      </c>
      <c r="H3629" t="n">
        <v>0</v>
      </c>
      <c r="I3629" s="3">
        <f>E3629+G3629+H3629</f>
        <v/>
      </c>
      <c r="J3629" s="3">
        <f>ROUND(MIN(IF(C3629="Técnico III",35,IF(C3629="Técnico II",28,IF(C3629="Técnico I",23,IF(C3629="JR",20,IF(C3629="Estágio",10,0))))),IF(C3629="Técnico III",SUMIFS($D:$D,$A:$A,$A3629,$B:$B,"&lt;&gt;Patrícia Karla de Sousa Araújo",$B:$B,"&lt;&gt;Lorena Dias de Araujo",$B:$B,"&lt;&gt;Lucas Luiz Romero")*(35/1083),IF(C3629="Técnico II",SUMIFS($D:$D,$A:$A,$A3629,$B:$B,"&lt;&gt;Patrícia Karla de Sousa Araújo",$B:$B,"&lt;&gt;Lorena Dias de Araujo",$B:$B,"&lt;&gt;Lucas Luiz Romero")*(28/1083),IF(C3629="Técnico I",SUMIFS($D:$D,$A:$A,$A3629,$B:$B,"&lt;&gt;Patrícia Karla de Sousa Araújo",$B:$B,"&lt;&gt;Lorena Dias de Araujo",$B:$B,"&lt;&gt;Lucas Luiz Romero")*(23/1083),IF(C3629="JR",SUMIFS($D:$D,$A:$A,$A3629,$B:$B,"&lt;&gt;Patrícia Karla de Sousa Araújo",$B:$B,"&lt;&gt;Lorena Dias de Araujo",$B:$B,"&lt;&gt;Lucas Luiz Romero")*(20/1083),IF(C3629="Estágio",SUMIFS($D:$D,$A:$A,$A3629,$B:$B,"&lt;&gt;Patrícia Karla de Sousa Araújo",$B:$B,"&lt;&gt;Lorena Dias de Araujo",$B:$B,"&lt;&gt;Lucas Luiz Romero")*(10/1083),0)))))),0)</f>
        <v/>
      </c>
      <c r="K3629" s="3">
        <f>I3629-J3629</f>
        <v/>
      </c>
      <c r="L3629" s="3">
        <f>IF(K3629&lt;-5,"CRÍTICO",IF(K3629&lt;0,"ATENÇÃO",IF(K3629&lt;=5,"OPORTUNO","MUITO BOM")))</f>
        <v/>
      </c>
      <c r="N3629" t="n">
        <v>100</v>
      </c>
      <c r="O3629" t="n">
        <v>34.66666666666667</v>
      </c>
    </row>
    <row r="3630" hidden="1">
      <c r="A3630" s="11" t="n">
        <v>46114</v>
      </c>
      <c r="B3630" t="inlineStr">
        <is>
          <t>Quirino Diogo Leite Torres</t>
        </is>
      </c>
      <c r="C3630" t="inlineStr">
        <is>
          <t>Estágio</t>
        </is>
      </c>
      <c r="D3630" t="n">
        <v>8</v>
      </c>
      <c r="E3630" t="n">
        <v>7</v>
      </c>
      <c r="F3630" t="n">
        <v>27.17</v>
      </c>
      <c r="G3630" t="n">
        <v>0</v>
      </c>
      <c r="H3630" t="n">
        <v>0</v>
      </c>
      <c r="I3630" s="3">
        <f>E3630+G3630+H3630</f>
        <v/>
      </c>
      <c r="J3630" s="3">
        <f>ROUND(MIN(IF(C3630="Técnico III",35,IF(C3630="Técnico II",28,IF(C3630="Técnico I",23,IF(C3630="JR",20,IF(C3630="Estágio",10,0))))),IF(C3630="Técnico III",SUMIFS($D:$D,$A:$A,$A3630,$B:$B,"&lt;&gt;Patrícia Karla de Sousa Araújo",$B:$B,"&lt;&gt;Lorena Dias de Araujo",$B:$B,"&lt;&gt;Lucas Luiz Romero")*(35/1083),IF(C3630="Técnico II",SUMIFS($D:$D,$A:$A,$A3630,$B:$B,"&lt;&gt;Patrícia Karla de Sousa Araújo",$B:$B,"&lt;&gt;Lorena Dias de Araujo",$B:$B,"&lt;&gt;Lucas Luiz Romero")*(28/1083),IF(C3630="Técnico I",SUMIFS($D:$D,$A:$A,$A3630,$B:$B,"&lt;&gt;Patrícia Karla de Sousa Araújo",$B:$B,"&lt;&gt;Lorena Dias de Araujo",$B:$B,"&lt;&gt;Lucas Luiz Romero")*(23/1083),IF(C3630="JR",SUMIFS($D:$D,$A:$A,$A3630,$B:$B,"&lt;&gt;Patrícia Karla de Sousa Araújo",$B:$B,"&lt;&gt;Lorena Dias de Araujo",$B:$B,"&lt;&gt;Lucas Luiz Romero")*(20/1083),IF(C3630="Estágio",SUMIFS($D:$D,$A:$A,$A3630,$B:$B,"&lt;&gt;Patrícia Karla de Sousa Araújo",$B:$B,"&lt;&gt;Lorena Dias de Araujo",$B:$B,"&lt;&gt;Lucas Luiz Romero")*(10/1083),0)))))),0)</f>
        <v/>
      </c>
      <c r="K3630" s="3">
        <f>I3630-J3630</f>
        <v/>
      </c>
      <c r="L3630" s="3">
        <f>IF(K3630&lt;-5,"CRÍTICO",IF(K3630&lt;0,"ATENÇÃO",IF(K3630&lt;=5,"OPORTUNO","MUITO BOM")))</f>
        <v/>
      </c>
      <c r="N3630" t="n">
        <v>94.12</v>
      </c>
      <c r="O3630" t="n">
        <v>32.8</v>
      </c>
    </row>
    <row r="3631" hidden="1">
      <c r="A3631" s="11" t="n">
        <v>46114</v>
      </c>
      <c r="B3631" t="inlineStr">
        <is>
          <t>Raane Batista Matos</t>
        </is>
      </c>
      <c r="C3631" t="inlineStr">
        <is>
          <t>Técnico I</t>
        </is>
      </c>
      <c r="D3631" t="n">
        <v>33</v>
      </c>
      <c r="E3631" t="n">
        <v>29</v>
      </c>
      <c r="F3631" t="n">
        <v>13.5</v>
      </c>
      <c r="G3631" t="n">
        <v>0</v>
      </c>
      <c r="H3631" t="n">
        <v>0</v>
      </c>
      <c r="I3631" s="3">
        <f>E3631+G3631+H3631</f>
        <v/>
      </c>
      <c r="J3631" s="3">
        <f>ROUND(MIN(IF(C3631="Técnico III",35,IF(C3631="Técnico II",28,IF(C3631="Técnico I",23,IF(C3631="JR",20,IF(C3631="Estágio",10,0))))),IF(C3631="Técnico III",SUMIFS($D:$D,$A:$A,$A3631,$B:$B,"&lt;&gt;Patrícia Karla de Sousa Araújo",$B:$B,"&lt;&gt;Lorena Dias de Araujo",$B:$B,"&lt;&gt;Lucas Luiz Romero")*(35/1083),IF(C3631="Técnico II",SUMIFS($D:$D,$A:$A,$A3631,$B:$B,"&lt;&gt;Patrícia Karla de Sousa Araújo",$B:$B,"&lt;&gt;Lorena Dias de Araujo",$B:$B,"&lt;&gt;Lucas Luiz Romero")*(28/1083),IF(C3631="Técnico I",SUMIFS($D:$D,$A:$A,$A3631,$B:$B,"&lt;&gt;Patrícia Karla de Sousa Araújo",$B:$B,"&lt;&gt;Lorena Dias de Araujo",$B:$B,"&lt;&gt;Lucas Luiz Romero")*(23/1083),IF(C3631="JR",SUMIFS($D:$D,$A:$A,$A3631,$B:$B,"&lt;&gt;Patrícia Karla de Sousa Araújo",$B:$B,"&lt;&gt;Lorena Dias de Araujo",$B:$B,"&lt;&gt;Lucas Luiz Romero")*(20/1083),IF(C3631="Estágio",SUMIFS($D:$D,$A:$A,$A3631,$B:$B,"&lt;&gt;Patrícia Karla de Sousa Araújo",$B:$B,"&lt;&gt;Lorena Dias de Araujo",$B:$B,"&lt;&gt;Lucas Luiz Romero")*(10/1083),0)))))),0)</f>
        <v/>
      </c>
      <c r="K3631" s="3">
        <f>I3631-J3631</f>
        <v/>
      </c>
      <c r="L3631" s="3">
        <f>IF(K3631&lt;-5,"CRÍTICO",IF(K3631&lt;0,"ATENÇÃO",IF(K3631&lt;=5,"OPORTUNO","MUITO BOM")))</f>
        <v/>
      </c>
      <c r="N3631" t="n">
        <v>98.31999999999999</v>
      </c>
      <c r="O3631" t="n">
        <v>26.61870503597122</v>
      </c>
    </row>
    <row r="3632" hidden="1">
      <c r="A3632" s="11" t="n">
        <v>46114</v>
      </c>
      <c r="B3632" t="inlineStr">
        <is>
          <t>Rafael Gomes de Morais</t>
        </is>
      </c>
      <c r="C3632" t="inlineStr">
        <is>
          <t>Técnico III</t>
        </is>
      </c>
      <c r="D3632" t="n">
        <v>41</v>
      </c>
      <c r="E3632" t="n">
        <v>38</v>
      </c>
      <c r="F3632" t="n">
        <v>15.29</v>
      </c>
      <c r="G3632" t="n">
        <v>0</v>
      </c>
      <c r="H3632" t="n">
        <v>0</v>
      </c>
      <c r="I3632" s="3">
        <f>E3632+G3632+H3632</f>
        <v/>
      </c>
      <c r="J3632" s="3">
        <f>ROUND(MIN(IF(C3632="Técnico III",35,IF(C3632="Técnico II",28,IF(C3632="Técnico I",23,IF(C3632="JR",20,IF(C3632="Estágio",10,0))))),IF(C3632="Técnico III",SUMIFS($D:$D,$A:$A,$A3632,$B:$B,"&lt;&gt;Patrícia Karla de Sousa Araújo",$B:$B,"&lt;&gt;Lorena Dias de Araujo",$B:$B,"&lt;&gt;Lucas Luiz Romero")*(35/1083),IF(C3632="Técnico II",SUMIFS($D:$D,$A:$A,$A3632,$B:$B,"&lt;&gt;Patrícia Karla de Sousa Araújo",$B:$B,"&lt;&gt;Lorena Dias de Araujo",$B:$B,"&lt;&gt;Lucas Luiz Romero")*(28/1083),IF(C3632="Técnico I",SUMIFS($D:$D,$A:$A,$A3632,$B:$B,"&lt;&gt;Patrícia Karla de Sousa Araújo",$B:$B,"&lt;&gt;Lorena Dias de Araujo",$B:$B,"&lt;&gt;Lucas Luiz Romero")*(23/1083),IF(C3632="JR",SUMIFS($D:$D,$A:$A,$A3632,$B:$B,"&lt;&gt;Patrícia Karla de Sousa Araújo",$B:$B,"&lt;&gt;Lorena Dias de Araujo",$B:$B,"&lt;&gt;Lucas Luiz Romero")*(20/1083),IF(C3632="Estágio",SUMIFS($D:$D,$A:$A,$A3632,$B:$B,"&lt;&gt;Patrícia Karla de Sousa Araújo",$B:$B,"&lt;&gt;Lorena Dias de Araujo",$B:$B,"&lt;&gt;Lucas Luiz Romero")*(10/1083),0)))))),0)</f>
        <v/>
      </c>
      <c r="K3632" s="3">
        <f>I3632-J3632</f>
        <v/>
      </c>
      <c r="L3632" s="3">
        <f>IF(K3632&lt;-5,"CRÍTICO",IF(K3632&lt;0,"ATENÇÃO",IF(K3632&lt;=5,"OPORTUNO","MUITO BOM")))</f>
        <v/>
      </c>
      <c r="N3632" t="n">
        <v>100</v>
      </c>
      <c r="O3632" t="n">
        <v>31.13553113553114</v>
      </c>
    </row>
    <row r="3633" hidden="1">
      <c r="A3633" s="11" t="n">
        <v>46114</v>
      </c>
      <c r="B3633" t="inlineStr">
        <is>
          <t>Sara Maria Monteiro Lopes</t>
        </is>
      </c>
      <c r="C3633" t="inlineStr">
        <is>
          <t>Técnico I</t>
        </is>
      </c>
      <c r="D3633" t="n">
        <v>20</v>
      </c>
      <c r="E3633" t="n">
        <v>18</v>
      </c>
      <c r="F3633" t="n">
        <v>22.3</v>
      </c>
      <c r="G3633" t="n">
        <v>0</v>
      </c>
      <c r="H3633" t="n">
        <v>0</v>
      </c>
      <c r="I3633" s="3">
        <f>E3633+G3633+H3633</f>
        <v/>
      </c>
      <c r="J3633" s="3">
        <f>ROUND(MIN(IF(C3633="Técnico III",35,IF(C3633="Técnico II",28,IF(C3633="Técnico I",23,IF(C3633="JR",20,IF(C3633="Estágio",10,0))))),IF(C3633="Técnico III",SUMIFS($D:$D,$A:$A,$A3633,$B:$B,"&lt;&gt;Patrícia Karla de Sousa Araújo",$B:$B,"&lt;&gt;Lorena Dias de Araujo",$B:$B,"&lt;&gt;Lucas Luiz Romero")*(35/1083),IF(C3633="Técnico II",SUMIFS($D:$D,$A:$A,$A3633,$B:$B,"&lt;&gt;Patrícia Karla de Sousa Araújo",$B:$B,"&lt;&gt;Lorena Dias de Araujo",$B:$B,"&lt;&gt;Lucas Luiz Romero")*(28/1083),IF(C3633="Técnico I",SUMIFS($D:$D,$A:$A,$A3633,$B:$B,"&lt;&gt;Patrícia Karla de Sousa Araújo",$B:$B,"&lt;&gt;Lorena Dias de Araujo",$B:$B,"&lt;&gt;Lucas Luiz Romero")*(23/1083),IF(C3633="JR",SUMIFS($D:$D,$A:$A,$A3633,$B:$B,"&lt;&gt;Patrícia Karla de Sousa Araújo",$B:$B,"&lt;&gt;Lorena Dias de Araujo",$B:$B,"&lt;&gt;Lucas Luiz Romero")*(20/1083),IF(C3633="Estágio",SUMIFS($D:$D,$A:$A,$A3633,$B:$B,"&lt;&gt;Patrícia Karla de Sousa Araújo",$B:$B,"&lt;&gt;Lorena Dias de Araujo",$B:$B,"&lt;&gt;Lucas Luiz Romero")*(10/1083),0)))))),0)</f>
        <v/>
      </c>
      <c r="K3633" s="3">
        <f>I3633-J3633</f>
        <v/>
      </c>
      <c r="L3633" s="3">
        <f>IF(K3633&lt;-5,"CRÍTICO",IF(K3633&lt;0,"ATENÇÃO",IF(K3633&lt;=5,"OPORTUNO","MUITO BOM")))</f>
        <v/>
      </c>
      <c r="N3633" t="n">
        <v>100</v>
      </c>
      <c r="O3633" t="n">
        <v>26.02739726027397</v>
      </c>
    </row>
    <row r="3634" hidden="1">
      <c r="A3634" s="11" t="n">
        <v>46114</v>
      </c>
      <c r="B3634" t="inlineStr">
        <is>
          <t>Sarah Steffanie de Lima Borges</t>
        </is>
      </c>
      <c r="C3634" t="inlineStr">
        <is>
          <t>Técnico III</t>
        </is>
      </c>
      <c r="D3634" t="n">
        <v>36</v>
      </c>
      <c r="E3634" t="n">
        <v>32</v>
      </c>
      <c r="F3634" t="n">
        <v>15.15</v>
      </c>
      <c r="G3634" t="n">
        <v>0</v>
      </c>
      <c r="H3634" t="n">
        <v>0</v>
      </c>
      <c r="I3634" s="3">
        <f>E3634+G3634+H3634</f>
        <v/>
      </c>
      <c r="J3634" s="3">
        <f>ROUND(MIN(IF(C3634="Técnico III",35,IF(C3634="Técnico II",28,IF(C3634="Técnico I",23,IF(C3634="JR",20,IF(C3634="Estágio",10,0))))),IF(C3634="Técnico III",SUMIFS($D:$D,$A:$A,$A3634,$B:$B,"&lt;&gt;Patrícia Karla de Sousa Araújo",$B:$B,"&lt;&gt;Lorena Dias de Araujo",$B:$B,"&lt;&gt;Lucas Luiz Romero")*(35/1083),IF(C3634="Técnico II",SUMIFS($D:$D,$A:$A,$A3634,$B:$B,"&lt;&gt;Patrícia Karla de Sousa Araújo",$B:$B,"&lt;&gt;Lorena Dias de Araujo",$B:$B,"&lt;&gt;Lucas Luiz Romero")*(28/1083),IF(C3634="Técnico I",SUMIFS($D:$D,$A:$A,$A3634,$B:$B,"&lt;&gt;Patrícia Karla de Sousa Araújo",$B:$B,"&lt;&gt;Lorena Dias de Araujo",$B:$B,"&lt;&gt;Lucas Luiz Romero")*(23/1083),IF(C3634="JR",SUMIFS($D:$D,$A:$A,$A3634,$B:$B,"&lt;&gt;Patrícia Karla de Sousa Araújo",$B:$B,"&lt;&gt;Lorena Dias de Araujo",$B:$B,"&lt;&gt;Lucas Luiz Romero")*(20/1083),IF(C3634="Estágio",SUMIFS($D:$D,$A:$A,$A3634,$B:$B,"&lt;&gt;Patrícia Karla de Sousa Araújo",$B:$B,"&lt;&gt;Lorena Dias de Araujo",$B:$B,"&lt;&gt;Lucas Luiz Romero")*(10/1083),0)))))),0)</f>
        <v/>
      </c>
      <c r="K3634" s="3">
        <f>I3634-J3634</f>
        <v/>
      </c>
      <c r="L3634" s="3">
        <f>IF(K3634&lt;-5,"CRÍTICO",IF(K3634&lt;0,"ATENÇÃO",IF(K3634&lt;=5,"OPORTUNO","MUITO BOM")))</f>
        <v/>
      </c>
      <c r="N3634" t="n">
        <v>99.20999999999999</v>
      </c>
      <c r="O3634" t="n">
        <v>24.93702770780856</v>
      </c>
    </row>
    <row r="3635" hidden="1">
      <c r="A3635" s="11" t="n">
        <v>46115</v>
      </c>
      <c r="B3635" t="inlineStr">
        <is>
          <t>Alisson de Freitas Silva</t>
        </is>
      </c>
      <c r="C3635" t="inlineStr">
        <is>
          <t>Técnico II</t>
        </is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s="3" t="n">
        <v>0</v>
      </c>
      <c r="J3635" s="3" t="n">
        <v>0</v>
      </c>
      <c r="K3635" s="3" t="n">
        <v>0</v>
      </c>
      <c r="L3635" s="3">
        <f>IF(K3635&lt;-5,"CRÍTICO",IF(K3635&lt;0,"ATENÇÃO",IF(K3635&lt;=5,"OPORTUNO","MUITO BOM")))</f>
        <v/>
      </c>
      <c r="N3635" t="n">
        <v>100</v>
      </c>
      <c r="O3635" t="n">
        <v>32.76450511945392</v>
      </c>
    </row>
    <row r="3636" hidden="1">
      <c r="A3636" s="11" t="n">
        <v>46115</v>
      </c>
      <c r="B3636" t="inlineStr">
        <is>
          <t>Amanda Moura Ferreira</t>
        </is>
      </c>
      <c r="C3636" t="inlineStr">
        <is>
          <t>Técnico III</t>
        </is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s="3" t="n">
        <v>0</v>
      </c>
      <c r="J3636" s="3" t="n">
        <v>0</v>
      </c>
      <c r="K3636" s="3" t="n">
        <v>0</v>
      </c>
      <c r="L3636" s="3">
        <f>IF(K3636&lt;-5,"CRÍTICO",IF(K3636&lt;0,"ATENÇÃO",IF(K3636&lt;=5,"OPORTUNO","MUITO BOM")))</f>
        <v/>
      </c>
      <c r="N3636" t="n">
        <v>98.66</v>
      </c>
      <c r="O3636" t="n">
        <v>35.15625</v>
      </c>
    </row>
    <row r="3637" hidden="1">
      <c r="A3637" s="11" t="n">
        <v>46115</v>
      </c>
      <c r="B3637" t="inlineStr">
        <is>
          <t>Ana Karollyne Souza Faria</t>
        </is>
      </c>
      <c r="C3637" t="inlineStr">
        <is>
          <t>Técnico I</t>
        </is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s="3" t="n">
        <v>0</v>
      </c>
      <c r="J3637" s="3" t="n">
        <v>0</v>
      </c>
      <c r="K3637" s="3" t="n">
        <v>0</v>
      </c>
      <c r="L3637" s="3">
        <f>IF(K3637&lt;-5,"CRÍTICO",IF(K3637&lt;0,"ATENÇÃO",IF(K3637&lt;=5,"OPORTUNO","MUITO BOM")))</f>
        <v/>
      </c>
      <c r="N3637" t="n">
        <v>99.31999999999999</v>
      </c>
      <c r="O3637" t="n">
        <v>30.45186640471513</v>
      </c>
    </row>
    <row r="3638" hidden="1">
      <c r="A3638" s="11" t="n">
        <v>46115</v>
      </c>
      <c r="B3638" t="inlineStr">
        <is>
          <t>Ana Paula Da Luz Silva Aleixo</t>
        </is>
      </c>
      <c r="C3638" t="inlineStr">
        <is>
          <t>Técnico III</t>
        </is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s="3" t="n">
        <v>0</v>
      </c>
      <c r="J3638" s="3" t="n">
        <v>0</v>
      </c>
      <c r="K3638" s="3" t="n">
        <v>0</v>
      </c>
      <c r="L3638" s="3">
        <f>IF(K3638&lt;-5,"CRÍTICO",IF(K3638&lt;0,"ATENÇÃO",IF(K3638&lt;=5,"OPORTUNO","MUITO BOM")))</f>
        <v/>
      </c>
      <c r="N3638" t="n">
        <v>100</v>
      </c>
      <c r="O3638" t="n">
        <v>27.80373831775701</v>
      </c>
    </row>
    <row r="3639" hidden="1">
      <c r="A3639" s="11" t="n">
        <v>46115</v>
      </c>
      <c r="B3639" t="inlineStr">
        <is>
          <t>Anna Luiza Rezende Tavares</t>
        </is>
      </c>
      <c r="C3639" t="inlineStr">
        <is>
          <t>Estágio</t>
        </is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s="3" t="n">
        <v>0</v>
      </c>
      <c r="J3639" s="3" t="n">
        <v>0</v>
      </c>
      <c r="K3639" s="3" t="n">
        <v>0</v>
      </c>
      <c r="L3639" s="3">
        <f>IF(K3639&lt;-5,"CRÍTICO",IF(K3639&lt;0,"ATENÇÃO",IF(K3639&lt;=5,"OPORTUNO","MUITO BOM")))</f>
        <v/>
      </c>
      <c r="N3639" t="n">
        <v>96.73999999999999</v>
      </c>
      <c r="O3639" t="n">
        <v>28.43137254901961</v>
      </c>
    </row>
    <row r="3640" hidden="1">
      <c r="A3640" s="11" t="n">
        <v>46115</v>
      </c>
      <c r="B3640" t="inlineStr">
        <is>
          <t>Brenda de Menezes Silva</t>
        </is>
      </c>
      <c r="C3640" t="inlineStr">
        <is>
          <t>Técnico II</t>
        </is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s="3" t="n">
        <v>0</v>
      </c>
      <c r="J3640" s="3" t="n">
        <v>0</v>
      </c>
      <c r="K3640" s="3" t="n">
        <v>0</v>
      </c>
      <c r="L3640" s="3">
        <f>IF(K3640&lt;-5,"CRÍTICO",IF(K3640&lt;0,"ATENÇÃO",IF(K3640&lt;=5,"OPORTUNO","MUITO BOM")))</f>
        <v/>
      </c>
      <c r="N3640" t="n">
        <v>98.81999999999999</v>
      </c>
      <c r="O3640" t="n">
        <v>30.74141048824593</v>
      </c>
    </row>
    <row r="3641" hidden="1">
      <c r="A3641" s="11" t="n">
        <v>46115</v>
      </c>
      <c r="B3641" t="inlineStr">
        <is>
          <t>Carlos Mateus Cassimiro Nunes</t>
        </is>
      </c>
      <c r="C3641" t="inlineStr">
        <is>
          <t>Técnico II</t>
        </is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s="3" t="n">
        <v>0</v>
      </c>
      <c r="J3641" s="3" t="n">
        <v>0</v>
      </c>
      <c r="K3641" s="3" t="n">
        <v>0</v>
      </c>
      <c r="L3641" s="3">
        <f>IF(K3641&lt;-5,"CRÍTICO",IF(K3641&lt;0,"ATENÇÃO",IF(K3641&lt;=5,"OPORTUNO","MUITO BOM")))</f>
        <v/>
      </c>
      <c r="N3641" t="n">
        <v>98.2</v>
      </c>
      <c r="O3641" t="n">
        <v>26.89075630252101</v>
      </c>
    </row>
    <row r="3642" hidden="1">
      <c r="A3642" s="11" t="n">
        <v>46115</v>
      </c>
      <c r="B3642" t="inlineStr">
        <is>
          <t>Claudio de Sousa Velasco Filho</t>
        </is>
      </c>
      <c r="C3642" t="inlineStr">
        <is>
          <t>Estágio</t>
        </is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s="3" t="n">
        <v>0</v>
      </c>
      <c r="J3642" s="3" t="n">
        <v>0</v>
      </c>
      <c r="K3642" s="3" t="n">
        <v>0</v>
      </c>
      <c r="L3642" s="3">
        <f>IF(K3642&lt;-5,"CRÍTICO",IF(K3642&lt;0,"ATENÇÃO",IF(K3642&lt;=5,"OPORTUNO","MUITO BOM")))</f>
        <v/>
      </c>
      <c r="N3642" t="n">
        <v>100</v>
      </c>
      <c r="O3642" t="n">
        <v>23.13432835820895</v>
      </c>
    </row>
    <row r="3643" hidden="1">
      <c r="A3643" s="11" t="n">
        <v>46115</v>
      </c>
      <c r="B3643" t="inlineStr">
        <is>
          <t>Clessiane Pereira dos Santos</t>
        </is>
      </c>
      <c r="C3643" t="inlineStr">
        <is>
          <t>Técnico I</t>
        </is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s="3" t="n">
        <v>0</v>
      </c>
      <c r="J3643" s="3" t="n">
        <v>0</v>
      </c>
      <c r="K3643" s="3" t="n">
        <v>0</v>
      </c>
      <c r="L3643" s="3">
        <f>IF(K3643&lt;-5,"CRÍTICO",IF(K3643&lt;0,"ATENÇÃO",IF(K3643&lt;=5,"OPORTUNO","MUITO BOM")))</f>
        <v/>
      </c>
      <c r="N3643" t="n">
        <v>96.3</v>
      </c>
      <c r="O3643" t="n">
        <v>31.98090692124105</v>
      </c>
    </row>
    <row r="3644" hidden="1">
      <c r="A3644" s="11" t="n">
        <v>46115</v>
      </c>
      <c r="B3644" t="inlineStr">
        <is>
          <t>Cristiane Ramos da Silva Rocha</t>
        </is>
      </c>
      <c r="C3644" t="inlineStr">
        <is>
          <t>Técnico III</t>
        </is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s="3" t="n">
        <v>0</v>
      </c>
      <c r="J3644" s="3" t="n">
        <v>0</v>
      </c>
      <c r="K3644" s="3" t="n">
        <v>0</v>
      </c>
      <c r="L3644" s="3">
        <f>IF(K3644&lt;-5,"CRÍTICO",IF(K3644&lt;0,"ATENÇÃO",IF(K3644&lt;=5,"OPORTUNO","MUITO BOM")))</f>
        <v/>
      </c>
      <c r="N3644" t="n">
        <v>93.75</v>
      </c>
      <c r="O3644" t="n">
        <v>26.62835249042146</v>
      </c>
    </row>
    <row r="3645" hidden="1">
      <c r="A3645" s="11" t="n">
        <v>46115</v>
      </c>
      <c r="B3645" t="inlineStr">
        <is>
          <t>Damyllis Lorraine de Oliveira Gonçalves</t>
        </is>
      </c>
      <c r="C3645" t="inlineStr">
        <is>
          <t>Técnico II</t>
        </is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s="3" t="n">
        <v>0</v>
      </c>
      <c r="J3645" s="3" t="n">
        <v>0</v>
      </c>
      <c r="K3645" s="3" t="n">
        <v>0</v>
      </c>
      <c r="L3645" s="3">
        <f>IF(K3645&lt;-5,"CRÍTICO",IF(K3645&lt;0,"ATENÇÃO",IF(K3645&lt;=5,"OPORTUNO","MUITO BOM")))</f>
        <v/>
      </c>
      <c r="N3645" t="n">
        <v>97.86</v>
      </c>
      <c r="O3645" t="n">
        <v>31.01851851851852</v>
      </c>
    </row>
    <row r="3646" hidden="1">
      <c r="A3646" s="11" t="n">
        <v>46115</v>
      </c>
      <c r="B3646" t="inlineStr">
        <is>
          <t>Daniel Gomes da Silva</t>
        </is>
      </c>
      <c r="C3646" t="inlineStr">
        <is>
          <t>Técnico I</t>
        </is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s="3" t="n">
        <v>0</v>
      </c>
      <c r="J3646" s="3" t="n">
        <v>0</v>
      </c>
      <c r="K3646" s="3" t="n">
        <v>0</v>
      </c>
      <c r="L3646" s="3">
        <f>IF(K3646&lt;-5,"CRÍTICO",IF(K3646&lt;0,"ATENÇÃO",IF(K3646&lt;=5,"OPORTUNO","MUITO BOM")))</f>
        <v/>
      </c>
      <c r="N3646" t="n">
        <v>100</v>
      </c>
      <c r="O3646" t="n">
        <v>36.23188405797102</v>
      </c>
    </row>
    <row r="3647" hidden="1">
      <c r="A3647" s="11" t="n">
        <v>46115</v>
      </c>
      <c r="B3647" t="inlineStr">
        <is>
          <t>Davylla Rodrigues Freitas Silva</t>
        </is>
      </c>
      <c r="C3647" t="inlineStr">
        <is>
          <t>Técnico III</t>
        </is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s="3" t="n">
        <v>0</v>
      </c>
      <c r="J3647" s="3" t="n">
        <v>0</v>
      </c>
      <c r="K3647" s="3" t="n">
        <v>0</v>
      </c>
      <c r="L3647" s="3">
        <f>IF(K3647&lt;-5,"CRÍTICO",IF(K3647&lt;0,"ATENÇÃO",IF(K3647&lt;=5,"OPORTUNO","MUITO BOM")))</f>
        <v/>
      </c>
      <c r="N3647" t="n">
        <v>100</v>
      </c>
      <c r="O3647" t="n">
        <v>38.26923076923077</v>
      </c>
    </row>
    <row r="3648" hidden="1">
      <c r="A3648" s="11" t="n">
        <v>46115</v>
      </c>
      <c r="B3648" t="inlineStr">
        <is>
          <t>Emilly Caylane Costa</t>
        </is>
      </c>
      <c r="C3648" t="inlineStr">
        <is>
          <t>Estágio</t>
        </is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s="3" t="n">
        <v>0</v>
      </c>
      <c r="J3648" s="3" t="n">
        <v>0</v>
      </c>
      <c r="K3648" s="3" t="n">
        <v>0</v>
      </c>
      <c r="L3648" s="3">
        <f>IF(K3648&lt;-5,"CRÍTICO",IF(K3648&lt;0,"ATENÇÃO",IF(K3648&lt;=5,"OPORTUNO","MUITO BOM")))</f>
        <v/>
      </c>
      <c r="N3648" t="n">
        <v>100</v>
      </c>
      <c r="O3648" t="n">
        <v>27.36842105263158</v>
      </c>
    </row>
    <row r="3649" hidden="1">
      <c r="A3649" s="11" t="n">
        <v>46115</v>
      </c>
      <c r="B3649" t="inlineStr">
        <is>
          <t>Emilly Kamilly Medeiros Miranda</t>
        </is>
      </c>
      <c r="C3649" t="inlineStr">
        <is>
          <t>Técnico II</t>
        </is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s="3" t="n">
        <v>0</v>
      </c>
      <c r="J3649" s="3" t="n">
        <v>0</v>
      </c>
      <c r="K3649" s="3" t="n">
        <v>0</v>
      </c>
      <c r="L3649" s="3">
        <f>IF(K3649&lt;-5,"CRÍTICO",IF(K3649&lt;0,"ATENÇÃO",IF(K3649&lt;=5,"OPORTUNO","MUITO BOM")))</f>
        <v/>
      </c>
      <c r="N3649" t="n">
        <v>97.83</v>
      </c>
      <c r="O3649" t="n">
        <v>28.13186813186813</v>
      </c>
    </row>
    <row r="3650" hidden="1">
      <c r="A3650" s="11" t="n">
        <v>46115</v>
      </c>
      <c r="B3650" t="inlineStr">
        <is>
          <t>Francielson de Oliveira</t>
        </is>
      </c>
      <c r="C3650" t="inlineStr">
        <is>
          <t>Técnico III</t>
        </is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s="3" t="n">
        <v>0</v>
      </c>
      <c r="J3650" s="3" t="n">
        <v>0</v>
      </c>
      <c r="K3650" s="3" t="n">
        <v>0</v>
      </c>
      <c r="L3650" s="3">
        <f>IF(K3650&lt;-5,"CRÍTICO",IF(K3650&lt;0,"ATENÇÃO",IF(K3650&lt;=5,"OPORTUNO","MUITO BOM")))</f>
        <v/>
      </c>
      <c r="N3650" t="n">
        <v>99.26000000000001</v>
      </c>
      <c r="O3650" t="n">
        <v>29.57198443579767</v>
      </c>
    </row>
    <row r="3651" hidden="1">
      <c r="A3651" s="11" t="n">
        <v>46115</v>
      </c>
      <c r="B3651" t="inlineStr">
        <is>
          <t>Francilene Ferreira de Jesus</t>
        </is>
      </c>
      <c r="C3651" t="inlineStr">
        <is>
          <t>Técnico II</t>
        </is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s="3" t="n">
        <v>0</v>
      </c>
      <c r="J3651" s="3" t="n">
        <v>0</v>
      </c>
      <c r="K3651" s="3" t="n">
        <v>0</v>
      </c>
      <c r="L3651" s="3">
        <f>IF(K3651&lt;-5,"CRÍTICO",IF(K3651&lt;0,"ATENÇÃO",IF(K3651&lt;=5,"OPORTUNO","MUITO BOM")))</f>
        <v/>
      </c>
      <c r="N3651" t="n">
        <v>99.19</v>
      </c>
      <c r="O3651" t="n">
        <v>29.46236559139785</v>
      </c>
    </row>
    <row r="3652" hidden="1">
      <c r="A3652" s="11" t="n">
        <v>46167</v>
      </c>
      <c r="B3652" t="inlineStr">
        <is>
          <t>Carlos Mateus Cassimiro Nunes</t>
        </is>
      </c>
      <c r="C3652" t="inlineStr">
        <is>
          <t>Técnico II</t>
        </is>
      </c>
      <c r="D3652" t="n">
        <v>23</v>
      </c>
      <c r="E3652" t="n">
        <v>23</v>
      </c>
      <c r="F3652" t="n">
        <v>20.51</v>
      </c>
      <c r="G3652" t="n">
        <v>0</v>
      </c>
      <c r="H3652" t="n">
        <v>0</v>
      </c>
      <c r="I3652" s="3" t="n">
        <v>0</v>
      </c>
      <c r="J3652" s="3" t="n">
        <v>0</v>
      </c>
      <c r="K3652" s="3" t="n">
        <v>0</v>
      </c>
      <c r="L3652" s="3">
        <f>IF(K3652&lt;-5,"CRÍTICO",IF(K3652&lt;0,"ATENÇÃO",IF(K3652&lt;=5,"OPORTUNO","MUITO BOM")))</f>
        <v/>
      </c>
    </row>
    <row r="3653" hidden="1">
      <c r="A3653" s="11" t="n">
        <v>46115</v>
      </c>
      <c r="B3653" t="inlineStr">
        <is>
          <t>Isabella Borges de Oliveira</t>
        </is>
      </c>
      <c r="C3653" t="inlineStr">
        <is>
          <t>Técnico II</t>
        </is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s="3" t="n">
        <v>0</v>
      </c>
      <c r="J3653" s="3" t="n">
        <v>0</v>
      </c>
      <c r="K3653" s="3" t="n">
        <v>0</v>
      </c>
      <c r="L3653" s="3">
        <f>IF(K3653&lt;-5,"CRÍTICO",IF(K3653&lt;0,"ATENÇÃO",IF(K3653&lt;=5,"OPORTUNO","MUITO BOM")))</f>
        <v/>
      </c>
      <c r="N3653" t="n">
        <v>100</v>
      </c>
      <c r="O3653" t="n">
        <v>27.94117647058824</v>
      </c>
    </row>
    <row r="3654" hidden="1">
      <c r="A3654" s="11" t="n">
        <v>46115</v>
      </c>
      <c r="B3654" t="inlineStr">
        <is>
          <t>Janaina Lima dos Reis Urany</t>
        </is>
      </c>
      <c r="C3654" t="inlineStr">
        <is>
          <t>Técnico III</t>
        </is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s="3" t="n">
        <v>0</v>
      </c>
      <c r="J3654" s="3" t="n">
        <v>0</v>
      </c>
      <c r="K3654" s="3" t="n">
        <v>0</v>
      </c>
      <c r="L3654" s="3">
        <f>IF(K3654&lt;-5,"CRÍTICO",IF(K3654&lt;0,"ATENÇÃO",IF(K3654&lt;=5,"OPORTUNO","MUITO BOM")))</f>
        <v/>
      </c>
      <c r="N3654" t="n">
        <v>99.56999999999999</v>
      </c>
      <c r="O3654" t="n">
        <v>29.91329479768786</v>
      </c>
    </row>
    <row r="3655" hidden="1">
      <c r="A3655" s="11" t="n">
        <v>46115</v>
      </c>
      <c r="B3655" t="inlineStr">
        <is>
          <t>Jaqueline Evangelista da Silva Martins</t>
        </is>
      </c>
      <c r="C3655" t="inlineStr">
        <is>
          <t>Técnico III</t>
        </is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s="3" t="n">
        <v>0</v>
      </c>
      <c r="J3655" s="3" t="n">
        <v>0</v>
      </c>
      <c r="K3655" s="3" t="n">
        <v>0</v>
      </c>
      <c r="L3655" s="3">
        <f>IF(K3655&lt;-5,"CRÍTICO",IF(K3655&lt;0,"ATENÇÃO",IF(K3655&lt;=5,"OPORTUNO","MUITO BOM")))</f>
        <v/>
      </c>
      <c r="N3655" t="n">
        <v>95.65000000000001</v>
      </c>
      <c r="O3655" t="n">
        <v>31.08108108108108</v>
      </c>
    </row>
    <row r="3656" hidden="1">
      <c r="A3656" s="11" t="n">
        <v>46115</v>
      </c>
      <c r="B3656" t="inlineStr">
        <is>
          <t>Jessica Faria da Silveira</t>
        </is>
      </c>
      <c r="C3656" t="inlineStr">
        <is>
          <t>Técnico II</t>
        </is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s="3" t="n">
        <v>0</v>
      </c>
      <c r="J3656" s="3" t="n">
        <v>0</v>
      </c>
      <c r="K3656" s="3" t="n">
        <v>0</v>
      </c>
      <c r="L3656" s="3">
        <f>IF(K3656&lt;-5,"CRÍTICO",IF(K3656&lt;0,"ATENÇÃO",IF(K3656&lt;=5,"OPORTUNO","MUITO BOM")))</f>
        <v/>
      </c>
      <c r="N3656" t="n">
        <v>98.81</v>
      </c>
      <c r="O3656" t="n">
        <v>26.25698324022346</v>
      </c>
    </row>
    <row r="3657" hidden="1">
      <c r="A3657" s="11" t="n">
        <v>46115</v>
      </c>
      <c r="B3657" t="inlineStr">
        <is>
          <t>Jéssica Fé Moura</t>
        </is>
      </c>
      <c r="C3657" t="inlineStr">
        <is>
          <t>Técnico III</t>
        </is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s="3" t="n">
        <v>0</v>
      </c>
      <c r="J3657" s="3" t="n">
        <v>0</v>
      </c>
      <c r="K3657" s="3" t="n">
        <v>0</v>
      </c>
      <c r="L3657" s="3">
        <f>IF(K3657&lt;-5,"CRÍTICO",IF(K3657&lt;0,"ATENÇÃO",IF(K3657&lt;=5,"OPORTUNO","MUITO BOM")))</f>
        <v/>
      </c>
      <c r="N3657" t="n">
        <v>0</v>
      </c>
      <c r="O3657" t="n">
        <v>0</v>
      </c>
    </row>
    <row r="3658" hidden="1">
      <c r="A3658" s="11" t="n">
        <v>46115</v>
      </c>
      <c r="B3658" t="inlineStr">
        <is>
          <t>Karina Gonçalves Martins</t>
        </is>
      </c>
      <c r="C3658" t="inlineStr">
        <is>
          <t>JR</t>
        </is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s="3" t="n">
        <v>0</v>
      </c>
      <c r="J3658" s="3" t="n">
        <v>0</v>
      </c>
      <c r="K3658" s="3" t="n">
        <v>0</v>
      </c>
      <c r="L3658" s="3">
        <f>IF(K3658&lt;-5,"CRÍTICO",IF(K3658&lt;0,"ATENÇÃO",IF(K3658&lt;=5,"OPORTUNO","MUITO BOM")))</f>
        <v/>
      </c>
      <c r="N3658" t="n">
        <v>97.17</v>
      </c>
      <c r="O3658" t="n">
        <v>28.81844380403458</v>
      </c>
    </row>
    <row r="3659" hidden="1">
      <c r="A3659" s="11" t="n">
        <v>46115</v>
      </c>
      <c r="B3659" t="inlineStr">
        <is>
          <t>Kerollen Cristielly de Jesus Siqueira</t>
        </is>
      </c>
      <c r="C3659" t="inlineStr">
        <is>
          <t>Técnico III</t>
        </is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s="3" t="n">
        <v>0</v>
      </c>
      <c r="J3659" s="3" t="n">
        <v>0</v>
      </c>
      <c r="K3659" s="3" t="n">
        <v>0</v>
      </c>
      <c r="L3659" s="3">
        <f>IF(K3659&lt;-5,"CRÍTICO",IF(K3659&lt;0,"ATENÇÃO",IF(K3659&lt;=5,"OPORTUNO","MUITO BOM")))</f>
        <v/>
      </c>
      <c r="N3659" t="n">
        <v>96.81</v>
      </c>
      <c r="O3659" t="n">
        <v>48.01864801864802</v>
      </c>
    </row>
    <row r="3660" hidden="1">
      <c r="A3660" s="11" t="n">
        <v>46115</v>
      </c>
      <c r="B3660" t="inlineStr">
        <is>
          <t>Leandro de Souza Silva</t>
        </is>
      </c>
      <c r="C3660" t="inlineStr">
        <is>
          <t>JR</t>
        </is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s="3" t="n">
        <v>0</v>
      </c>
      <c r="J3660" s="3" t="n">
        <v>0</v>
      </c>
      <c r="K3660" s="3" t="n">
        <v>0</v>
      </c>
      <c r="L3660" s="3">
        <f>IF(K3660&lt;-5,"CRÍTICO",IF(K3660&lt;0,"ATENÇÃO",IF(K3660&lt;=5,"OPORTUNO","MUITO BOM")))</f>
        <v/>
      </c>
      <c r="N3660" t="n">
        <v>98.15000000000001</v>
      </c>
      <c r="O3660" t="n">
        <v>27.1551724137931</v>
      </c>
    </row>
    <row r="3661" hidden="1">
      <c r="A3661" s="11" t="n">
        <v>46115</v>
      </c>
      <c r="B3661" t="inlineStr">
        <is>
          <t>Leandro Oliveira de Sousa</t>
        </is>
      </c>
      <c r="C3661" t="inlineStr">
        <is>
          <t>Técnico III</t>
        </is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s="3" t="n">
        <v>0</v>
      </c>
      <c r="J3661" s="3" t="n">
        <v>0</v>
      </c>
      <c r="K3661" s="3" t="n">
        <v>0</v>
      </c>
      <c r="L3661" s="3">
        <f>IF(K3661&lt;-5,"CRÍTICO",IF(K3661&lt;0,"ATENÇÃO",IF(K3661&lt;=5,"OPORTUNO","MUITO BOM")))</f>
        <v/>
      </c>
      <c r="N3661" t="n">
        <v>99.15000000000001</v>
      </c>
      <c r="O3661" t="n">
        <v>27.37068965517241</v>
      </c>
    </row>
    <row r="3662" hidden="1">
      <c r="A3662" s="11" t="n">
        <v>46115</v>
      </c>
      <c r="B3662" t="inlineStr">
        <is>
          <t>Lizandra Gomes Duarte</t>
        </is>
      </c>
      <c r="C3662" t="inlineStr">
        <is>
          <t>Técnico II</t>
        </is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s="3" t="n">
        <v>0</v>
      </c>
      <c r="J3662" s="3" t="n">
        <v>0</v>
      </c>
      <c r="K3662" s="3" t="n">
        <v>0</v>
      </c>
      <c r="L3662" s="3">
        <f>IF(K3662&lt;-5,"CRÍTICO",IF(K3662&lt;0,"ATENÇÃO",IF(K3662&lt;=5,"OPORTUNO","MUITO BOM")))</f>
        <v/>
      </c>
      <c r="N3662" t="n">
        <v>99.17</v>
      </c>
      <c r="O3662" t="n">
        <v>29.75206611570248</v>
      </c>
    </row>
    <row r="3663" hidden="1">
      <c r="A3663" s="11" t="n">
        <v>46115</v>
      </c>
      <c r="B3663" t="inlineStr">
        <is>
          <t>Lorena Dias de Araujo</t>
        </is>
      </c>
      <c r="C3663" t="inlineStr">
        <is>
          <t>Técnico II</t>
        </is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s="3" t="n">
        <v>0</v>
      </c>
      <c r="J3663" s="3" t="n">
        <v>0</v>
      </c>
      <c r="K3663" s="3" t="n">
        <v>0</v>
      </c>
      <c r="L3663" s="3">
        <f>IF(K3663&lt;-5,"CRÍTICO",IF(K3663&lt;0,"ATENÇÃO",IF(K3663&lt;=5,"OPORTUNO","MUITO BOM")))</f>
        <v/>
      </c>
      <c r="N3663" t="n">
        <v>98.73</v>
      </c>
      <c r="O3663" t="n">
        <v>28.96174863387978</v>
      </c>
    </row>
    <row r="3664" hidden="1">
      <c r="A3664" s="11" t="n">
        <v>46115</v>
      </c>
      <c r="B3664" t="inlineStr">
        <is>
          <t>Lucas Luiz Romero</t>
        </is>
      </c>
      <c r="C3664" t="inlineStr">
        <is>
          <t>Técnico III</t>
        </is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s="3" t="n">
        <v>0</v>
      </c>
      <c r="J3664" s="3" t="n">
        <v>0</v>
      </c>
      <c r="K3664" s="3" t="n">
        <v>0</v>
      </c>
      <c r="L3664" s="3">
        <f>IF(K3664&lt;-5,"CRÍTICO",IF(K3664&lt;0,"ATENÇÃO",IF(K3664&lt;=5,"OPORTUNO","MUITO BOM")))</f>
        <v/>
      </c>
      <c r="N3664" t="n">
        <v>88.68000000000001</v>
      </c>
      <c r="O3664" t="n">
        <v>22.03389830508474</v>
      </c>
    </row>
    <row r="3665" hidden="1">
      <c r="A3665" s="11" t="n">
        <v>46115</v>
      </c>
      <c r="B3665" t="inlineStr">
        <is>
          <t>Luiz Fernando de Carvalho Junior</t>
        </is>
      </c>
      <c r="C3665" t="inlineStr">
        <is>
          <t>Técnico I</t>
        </is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s="3" t="n">
        <v>0</v>
      </c>
      <c r="J3665" s="3" t="n">
        <v>0</v>
      </c>
      <c r="K3665" s="3" t="n">
        <v>0</v>
      </c>
      <c r="L3665" s="3">
        <f>IF(K3665&lt;-5,"CRÍTICO",IF(K3665&lt;0,"ATENÇÃO",IF(K3665&lt;=5,"OPORTUNO","MUITO BOM")))</f>
        <v/>
      </c>
      <c r="N3665" t="n">
        <v>97.37</v>
      </c>
      <c r="O3665" t="n">
        <v>25.76530612244898</v>
      </c>
    </row>
    <row r="3666" hidden="1">
      <c r="A3666" s="11" t="n">
        <v>46115</v>
      </c>
      <c r="B3666" t="inlineStr">
        <is>
          <t>Maria Eduarda Sousa Costa</t>
        </is>
      </c>
      <c r="C3666" t="inlineStr">
        <is>
          <t>Estágio</t>
        </is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s="3" t="n">
        <v>0</v>
      </c>
      <c r="J3666" s="3" t="n">
        <v>0</v>
      </c>
      <c r="K3666" s="3" t="n">
        <v>0</v>
      </c>
      <c r="L3666" s="3">
        <f>IF(K3666&lt;-5,"CRÍTICO",IF(K3666&lt;0,"ATENÇÃO",IF(K3666&lt;=5,"OPORTUNO","MUITO BOM")))</f>
        <v/>
      </c>
      <c r="N3666" t="n">
        <v>100</v>
      </c>
      <c r="O3666" t="n">
        <v>25</v>
      </c>
    </row>
    <row r="3667" hidden="1">
      <c r="A3667" s="11" t="n">
        <v>46115</v>
      </c>
      <c r="B3667" t="inlineStr">
        <is>
          <t>Matheus Farias De Souza</t>
        </is>
      </c>
      <c r="C3667" t="inlineStr">
        <is>
          <t>Técnico III</t>
        </is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s="3" t="n">
        <v>0</v>
      </c>
      <c r="J3667" s="3" t="n">
        <v>0</v>
      </c>
      <c r="K3667" s="3" t="n">
        <v>0</v>
      </c>
      <c r="L3667" s="3">
        <f>IF(K3667&lt;-5,"CRÍTICO",IF(K3667&lt;0,"ATENÇÃO",IF(K3667&lt;=5,"OPORTUNO","MUITO BOM")))</f>
        <v/>
      </c>
      <c r="N3667" t="n">
        <v>100</v>
      </c>
      <c r="O3667" t="n">
        <v>23.9870340356564</v>
      </c>
    </row>
    <row r="3668" hidden="1">
      <c r="A3668" s="11" t="n">
        <v>46115</v>
      </c>
      <c r="B3668" t="inlineStr">
        <is>
          <t>Maysa Victoria Dias Moura</t>
        </is>
      </c>
      <c r="C3668" t="inlineStr">
        <is>
          <t>Técnico III</t>
        </is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s="3" t="n">
        <v>0</v>
      </c>
      <c r="J3668" s="3" t="n">
        <v>0</v>
      </c>
      <c r="K3668" s="3" t="n">
        <v>0</v>
      </c>
      <c r="L3668" s="3">
        <f>IF(K3668&lt;-5,"CRÍTICO",IF(K3668&lt;0,"ATENÇÃO",IF(K3668&lt;=5,"OPORTUNO","MUITO BOM")))</f>
        <v/>
      </c>
      <c r="N3668" t="n">
        <v>95.48999999999999</v>
      </c>
      <c r="O3668" t="n">
        <v>28.16901408450704</v>
      </c>
    </row>
    <row r="3669" hidden="1">
      <c r="A3669" s="11" t="n">
        <v>46115</v>
      </c>
      <c r="B3669" t="inlineStr">
        <is>
          <t>Michelle G Santos</t>
        </is>
      </c>
      <c r="C3669" t="inlineStr">
        <is>
          <t>Estágio</t>
        </is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s="3" t="n">
        <v>0</v>
      </c>
      <c r="J3669" s="3" t="n">
        <v>0</v>
      </c>
      <c r="K3669" s="3" t="n">
        <v>0</v>
      </c>
      <c r="L3669" s="3">
        <f>IF(K3669&lt;-5,"CRÍTICO",IF(K3669&lt;0,"ATENÇÃO",IF(K3669&lt;=5,"OPORTUNO","MUITO BOM")))</f>
        <v/>
      </c>
      <c r="N3669" t="n">
        <v>100</v>
      </c>
      <c r="O3669" t="n">
        <v>23.77622377622378</v>
      </c>
    </row>
    <row r="3670" hidden="1">
      <c r="A3670" s="11" t="n">
        <v>46115</v>
      </c>
      <c r="B3670" t="inlineStr">
        <is>
          <t>Milena Sales</t>
        </is>
      </c>
      <c r="C3670" t="inlineStr">
        <is>
          <t>JR</t>
        </is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s="3" t="n">
        <v>0</v>
      </c>
      <c r="J3670" s="3" t="n">
        <v>0</v>
      </c>
      <c r="K3670" s="3" t="n">
        <v>0</v>
      </c>
      <c r="L3670" s="3">
        <f>IF(K3670&lt;-5,"CRÍTICO",IF(K3670&lt;0,"ATENÇÃO",IF(K3670&lt;=5,"OPORTUNO","MUITO BOM")))</f>
        <v/>
      </c>
      <c r="N3670" t="n">
        <v>96.15000000000001</v>
      </c>
      <c r="O3670" t="n">
        <v>24.04580152671756</v>
      </c>
    </row>
    <row r="3671" hidden="1">
      <c r="A3671" s="11" t="n">
        <v>46115</v>
      </c>
      <c r="B3671" t="inlineStr">
        <is>
          <t>Patrícia Karla de Sousa Araújo</t>
        </is>
      </c>
      <c r="C3671" t="inlineStr">
        <is>
          <t>Técnico II</t>
        </is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s="3" t="n">
        <v>0</v>
      </c>
      <c r="J3671" s="3" t="n">
        <v>0</v>
      </c>
      <c r="K3671" s="3" t="n">
        <v>0</v>
      </c>
      <c r="L3671" s="3">
        <f>IF(K3671&lt;-5,"CRÍTICO",IF(K3671&lt;0,"ATENÇÃO",IF(K3671&lt;=5,"OPORTUNO","MUITO BOM")))</f>
        <v/>
      </c>
      <c r="N3671" t="n">
        <v>99.02</v>
      </c>
      <c r="O3671" t="n">
        <v>34.7972972972973</v>
      </c>
    </row>
    <row r="3672" hidden="1">
      <c r="A3672" s="11" t="n">
        <v>46115</v>
      </c>
      <c r="B3672" t="inlineStr">
        <is>
          <t>Paulo Ricardo Santos</t>
        </is>
      </c>
      <c r="C3672" t="inlineStr">
        <is>
          <t>JR</t>
        </is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s="3" t="n">
        <v>0</v>
      </c>
      <c r="J3672" s="3" t="n">
        <v>0</v>
      </c>
      <c r="K3672" s="3" t="n">
        <v>0</v>
      </c>
      <c r="L3672" s="3">
        <f>IF(K3672&lt;-5,"CRÍTICO",IF(K3672&lt;0,"ATENÇÃO",IF(K3672&lt;=5,"OPORTUNO","MUITO BOM")))</f>
        <v/>
      </c>
      <c r="N3672" t="n">
        <v>98.84</v>
      </c>
      <c r="O3672" t="n">
        <v>31.5018315018315</v>
      </c>
    </row>
    <row r="3673" hidden="1">
      <c r="A3673" s="11" t="n">
        <v>46115</v>
      </c>
      <c r="B3673" t="inlineStr">
        <is>
          <t>Pedro Luiz Mota Sousa</t>
        </is>
      </c>
      <c r="C3673" t="inlineStr">
        <is>
          <t>JR</t>
        </is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s="3" t="n">
        <v>0</v>
      </c>
      <c r="J3673" s="3" t="n">
        <v>0</v>
      </c>
      <c r="K3673" s="3" t="n">
        <v>0</v>
      </c>
      <c r="L3673" s="3">
        <f>IF(K3673&lt;-5,"CRÍTICO",IF(K3673&lt;0,"ATENÇÃO",IF(K3673&lt;=5,"OPORTUNO","MUITO BOM")))</f>
        <v/>
      </c>
      <c r="N3673" t="n">
        <v>100</v>
      </c>
      <c r="O3673" t="n">
        <v>34.66666666666667</v>
      </c>
    </row>
    <row r="3674" hidden="1">
      <c r="A3674" s="11" t="n">
        <v>46115</v>
      </c>
      <c r="B3674" t="inlineStr">
        <is>
          <t>Quirino Diogo Leite Torres</t>
        </is>
      </c>
      <c r="C3674" t="inlineStr">
        <is>
          <t>Estágio</t>
        </is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s="3" t="n">
        <v>0</v>
      </c>
      <c r="J3674" s="3" t="n">
        <v>0</v>
      </c>
      <c r="K3674" s="3" t="n">
        <v>0</v>
      </c>
      <c r="L3674" s="3">
        <f>IF(K3674&lt;-5,"CRÍTICO",IF(K3674&lt;0,"ATENÇÃO",IF(K3674&lt;=5,"OPORTUNO","MUITO BOM")))</f>
        <v/>
      </c>
      <c r="N3674" t="n">
        <v>94.12</v>
      </c>
      <c r="O3674" t="n">
        <v>32.8</v>
      </c>
    </row>
    <row r="3675" hidden="1">
      <c r="A3675" s="11" t="n">
        <v>46115</v>
      </c>
      <c r="B3675" t="inlineStr">
        <is>
          <t>Raane Batista Matos</t>
        </is>
      </c>
      <c r="C3675" t="inlineStr">
        <is>
          <t>Técnico I</t>
        </is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s="3" t="n">
        <v>0</v>
      </c>
      <c r="J3675" s="3" t="n">
        <v>0</v>
      </c>
      <c r="K3675" s="3" t="n">
        <v>0</v>
      </c>
      <c r="L3675" s="3">
        <f>IF(K3675&lt;-5,"CRÍTICO",IF(K3675&lt;0,"ATENÇÃO",IF(K3675&lt;=5,"OPORTUNO","MUITO BOM")))</f>
        <v/>
      </c>
      <c r="N3675" t="n">
        <v>98.31999999999999</v>
      </c>
      <c r="O3675" t="n">
        <v>26.61870503597122</v>
      </c>
    </row>
    <row r="3676" hidden="1">
      <c r="A3676" s="11" t="n">
        <v>46115</v>
      </c>
      <c r="B3676" t="inlineStr">
        <is>
          <t>Rafael Gomes de Morais</t>
        </is>
      </c>
      <c r="C3676" t="inlineStr">
        <is>
          <t>Técnico III</t>
        </is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s="3" t="n">
        <v>0</v>
      </c>
      <c r="J3676" s="3" t="n">
        <v>0</v>
      </c>
      <c r="K3676" s="3" t="n">
        <v>0</v>
      </c>
      <c r="L3676" s="3">
        <f>IF(K3676&lt;-5,"CRÍTICO",IF(K3676&lt;0,"ATENÇÃO",IF(K3676&lt;=5,"OPORTUNO","MUITO BOM")))</f>
        <v/>
      </c>
      <c r="N3676" t="n">
        <v>100</v>
      </c>
      <c r="O3676" t="n">
        <v>31.13553113553114</v>
      </c>
    </row>
    <row r="3677" hidden="1">
      <c r="A3677" s="11" t="n">
        <v>46115</v>
      </c>
      <c r="B3677" t="inlineStr">
        <is>
          <t>Sara Maria Monteiro Lopes</t>
        </is>
      </c>
      <c r="C3677" t="inlineStr">
        <is>
          <t>Técnico I</t>
        </is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s="3" t="n">
        <v>0</v>
      </c>
      <c r="J3677" s="3" t="n">
        <v>0</v>
      </c>
      <c r="K3677" s="3" t="n">
        <v>0</v>
      </c>
      <c r="L3677" s="3">
        <f>IF(K3677&lt;-5,"CRÍTICO",IF(K3677&lt;0,"ATENÇÃO",IF(K3677&lt;=5,"OPORTUNO","MUITO BOM")))</f>
        <v/>
      </c>
      <c r="N3677" t="n">
        <v>100</v>
      </c>
      <c r="O3677" t="n">
        <v>26.02739726027397</v>
      </c>
    </row>
    <row r="3678" hidden="1">
      <c r="A3678" s="11" t="n">
        <v>46115</v>
      </c>
      <c r="B3678" t="inlineStr">
        <is>
          <t>Sarah Steffanie de Lima Borges</t>
        </is>
      </c>
      <c r="C3678" t="inlineStr">
        <is>
          <t>Técnico III</t>
        </is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s="3" t="n">
        <v>0</v>
      </c>
      <c r="J3678" s="3" t="n">
        <v>0</v>
      </c>
      <c r="K3678" s="3" t="n">
        <v>0</v>
      </c>
      <c r="L3678" s="3">
        <f>IF(K3678&lt;-5,"CRÍTICO",IF(K3678&lt;0,"ATENÇÃO",IF(K3678&lt;=5,"OPORTUNO","MUITO BOM")))</f>
        <v/>
      </c>
      <c r="N3678" t="n">
        <v>99.20999999999999</v>
      </c>
      <c r="O3678" t="n">
        <v>24.93702770780856</v>
      </c>
    </row>
    <row r="3679" hidden="1">
      <c r="A3679" s="11" t="n">
        <v>46118</v>
      </c>
      <c r="B3679" t="inlineStr">
        <is>
          <t>Alisson de Freitas Silva</t>
        </is>
      </c>
      <c r="C3679" t="inlineStr">
        <is>
          <t>Técnico II</t>
        </is>
      </c>
      <c r="D3679" t="n">
        <v>18</v>
      </c>
      <c r="E3679" t="n">
        <v>14</v>
      </c>
      <c r="F3679" t="n">
        <v>20.28</v>
      </c>
      <c r="G3679" t="n">
        <v>0</v>
      </c>
      <c r="H3679" t="n">
        <v>0</v>
      </c>
      <c r="I3679" s="3">
        <f>E3679+G3679+H3679</f>
        <v/>
      </c>
      <c r="J3679" s="3">
        <f>ROUND(MIN(IF(C3679="Técnico III",35,IF(C3679="Técnico II",28,IF(C3679="Técnico I",23,IF(C3679="JR",20,IF(C3679="Estágio",10,0))))),IF(C3679="Técnico III",SUMIFS($D:$D,$A:$A,$A3679,$B:$B,"&lt;&gt;Patrícia Karla de Sousa Araújo",$B:$B,"&lt;&gt;Lorena Dias de Araujo",$B:$B,"&lt;&gt;Lucas Luiz Romero")*(35/1083),IF(C3679="Técnico II",SUMIFS($D:$D,$A:$A,$A3679,$B:$B,"&lt;&gt;Patrícia Karla de Sousa Araújo",$B:$B,"&lt;&gt;Lorena Dias de Araujo",$B:$B,"&lt;&gt;Lucas Luiz Romero")*(28/1083),IF(C3679="Técnico I",SUMIFS($D:$D,$A:$A,$A3679,$B:$B,"&lt;&gt;Patrícia Karla de Sousa Araújo",$B:$B,"&lt;&gt;Lorena Dias de Araujo",$B:$B,"&lt;&gt;Lucas Luiz Romero")*(23/1083),IF(C3679="JR",SUMIFS($D:$D,$A:$A,$A3679,$B:$B,"&lt;&gt;Patrícia Karla de Sousa Araújo",$B:$B,"&lt;&gt;Lorena Dias de Araujo",$B:$B,"&lt;&gt;Lucas Luiz Romero")*(20/1083),IF(C3679="Estágio",SUMIFS($D:$D,$A:$A,$A3679,$B:$B,"&lt;&gt;Patrícia Karla de Sousa Araújo",$B:$B,"&lt;&gt;Lorena Dias de Araujo",$B:$B,"&lt;&gt;Lucas Luiz Romero")*(10/1083),0)))))),0)</f>
        <v/>
      </c>
      <c r="K3679" s="3">
        <f>I3679-J3679</f>
        <v/>
      </c>
      <c r="L3679" s="3">
        <f>IF(K3679&lt;-5,"CRÍTICO",IF(K3679&lt;0,"ATENÇÃO",IF(K3679&lt;=5,"OPORTUNO","MUITO BOM")))</f>
        <v/>
      </c>
      <c r="N3679" t="n">
        <v>100</v>
      </c>
      <c r="O3679" t="n">
        <v>32.76450511945392</v>
      </c>
    </row>
    <row r="3680" hidden="1">
      <c r="A3680" s="11" t="n">
        <v>46118</v>
      </c>
      <c r="B3680" t="inlineStr">
        <is>
          <t>Amanda Moura Ferreira</t>
        </is>
      </c>
      <c r="C3680" t="inlineStr">
        <is>
          <t>Técnico III</t>
        </is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s="3" t="n">
        <v>0</v>
      </c>
      <c r="J3680" s="3" t="n">
        <v>0</v>
      </c>
      <c r="K3680" s="3" t="n">
        <v>0</v>
      </c>
      <c r="L3680" s="3">
        <f>IF(K3680&lt;-5,"CRÍTICO",IF(K3680&lt;0,"ATENÇÃO",IF(K3680&lt;=5,"OPORTUNO","MUITO BOM")))</f>
        <v/>
      </c>
      <c r="N3680" t="n">
        <v>98.66</v>
      </c>
      <c r="O3680" t="n">
        <v>35.15625</v>
      </c>
    </row>
    <row r="3681" hidden="1">
      <c r="A3681" s="11" t="n">
        <v>46118</v>
      </c>
      <c r="B3681" t="inlineStr">
        <is>
          <t>Ana Karollyne Souza Faria</t>
        </is>
      </c>
      <c r="C3681" t="inlineStr">
        <is>
          <t>Técnico I</t>
        </is>
      </c>
      <c r="D3681" t="n">
        <v>29</v>
      </c>
      <c r="E3681" t="n">
        <v>25</v>
      </c>
      <c r="F3681" t="n">
        <v>17.36</v>
      </c>
      <c r="G3681" t="n">
        <v>0</v>
      </c>
      <c r="H3681" t="n">
        <v>0</v>
      </c>
      <c r="I3681" s="3">
        <f>E3681+G3681+H3681</f>
        <v/>
      </c>
      <c r="J3681" s="3">
        <f>ROUND(MIN(IF(C3681="Técnico III",35,IF(C3681="Técnico II",28,IF(C3681="Técnico I",23,IF(C3681="JR",20,IF(C3681="Estágio",10,0))))),IF(C3681="Técnico III",SUMIFS($D:$D,$A:$A,$A3681,$B:$B,"&lt;&gt;Patrícia Karla de Sousa Araújo",$B:$B,"&lt;&gt;Lorena Dias de Araujo",$B:$B,"&lt;&gt;Lucas Luiz Romero")*(35/1083),IF(C3681="Técnico II",SUMIFS($D:$D,$A:$A,$A3681,$B:$B,"&lt;&gt;Patrícia Karla de Sousa Araújo",$B:$B,"&lt;&gt;Lorena Dias de Araujo",$B:$B,"&lt;&gt;Lucas Luiz Romero")*(28/1083),IF(C3681="Técnico I",SUMIFS($D:$D,$A:$A,$A3681,$B:$B,"&lt;&gt;Patrícia Karla de Sousa Araújo",$B:$B,"&lt;&gt;Lorena Dias de Araujo",$B:$B,"&lt;&gt;Lucas Luiz Romero")*(23/1083),IF(C3681="JR",SUMIFS($D:$D,$A:$A,$A3681,$B:$B,"&lt;&gt;Patrícia Karla de Sousa Araújo",$B:$B,"&lt;&gt;Lorena Dias de Araujo",$B:$B,"&lt;&gt;Lucas Luiz Romero")*(20/1083),IF(C3681="Estágio",SUMIFS($D:$D,$A:$A,$A3681,$B:$B,"&lt;&gt;Patrícia Karla de Sousa Araújo",$B:$B,"&lt;&gt;Lorena Dias de Araujo",$B:$B,"&lt;&gt;Lucas Luiz Romero")*(10/1083),0)))))),0)</f>
        <v/>
      </c>
      <c r="K3681" s="3">
        <f>I3681-J3681</f>
        <v/>
      </c>
      <c r="L3681" s="3">
        <f>IF(K3681&lt;-5,"CRÍTICO",IF(K3681&lt;0,"ATENÇÃO",IF(K3681&lt;=5,"OPORTUNO","MUITO BOM")))</f>
        <v/>
      </c>
      <c r="N3681" t="n">
        <v>99.31999999999999</v>
      </c>
      <c r="O3681" t="n">
        <v>30.45186640471513</v>
      </c>
    </row>
    <row r="3682" hidden="1">
      <c r="A3682" s="11" t="n">
        <v>46118</v>
      </c>
      <c r="B3682" t="inlineStr">
        <is>
          <t>Ana Paula Da Luz Silva Aleixo</t>
        </is>
      </c>
      <c r="C3682" t="inlineStr">
        <is>
          <t>Técnico III</t>
        </is>
      </c>
      <c r="D3682" t="n">
        <v>49</v>
      </c>
      <c r="E3682" t="n">
        <v>41</v>
      </c>
      <c r="F3682" t="n">
        <v>12.04</v>
      </c>
      <c r="G3682" t="n">
        <v>0</v>
      </c>
      <c r="H3682" t="n">
        <v>0</v>
      </c>
      <c r="I3682" s="3">
        <f>E3682+G3682+H3682</f>
        <v/>
      </c>
      <c r="J3682" s="3">
        <f>ROUND(MIN(IF(C3682="Técnico III",35,IF(C3682="Técnico II",28,IF(C3682="Técnico I",23,IF(C3682="JR",20,IF(C3682="Estágio",10,0))))),IF(C3682="Técnico III",SUMIFS($D:$D,$A:$A,$A3682,$B:$B,"&lt;&gt;Patrícia Karla de Sousa Araújo",$B:$B,"&lt;&gt;Lorena Dias de Araujo",$B:$B,"&lt;&gt;Lucas Luiz Romero")*(35/1083),IF(C3682="Técnico II",SUMIFS($D:$D,$A:$A,$A3682,$B:$B,"&lt;&gt;Patrícia Karla de Sousa Araújo",$B:$B,"&lt;&gt;Lorena Dias de Araujo",$B:$B,"&lt;&gt;Lucas Luiz Romero")*(28/1083),IF(C3682="Técnico I",SUMIFS($D:$D,$A:$A,$A3682,$B:$B,"&lt;&gt;Patrícia Karla de Sousa Araújo",$B:$B,"&lt;&gt;Lorena Dias de Araujo",$B:$B,"&lt;&gt;Lucas Luiz Romero")*(23/1083),IF(C3682="JR",SUMIFS($D:$D,$A:$A,$A3682,$B:$B,"&lt;&gt;Patrícia Karla de Sousa Araújo",$B:$B,"&lt;&gt;Lorena Dias de Araujo",$B:$B,"&lt;&gt;Lucas Luiz Romero")*(20/1083),IF(C3682="Estágio",SUMIFS($D:$D,$A:$A,$A3682,$B:$B,"&lt;&gt;Patrícia Karla de Sousa Araújo",$B:$B,"&lt;&gt;Lorena Dias de Araujo",$B:$B,"&lt;&gt;Lucas Luiz Romero")*(10/1083),0)))))),0)</f>
        <v/>
      </c>
      <c r="K3682" s="3">
        <f>I3682-J3682</f>
        <v/>
      </c>
      <c r="L3682" s="3">
        <f>IF(K3682&lt;-5,"CRÍTICO",IF(K3682&lt;0,"ATENÇÃO",IF(K3682&lt;=5,"OPORTUNO","MUITO BOM")))</f>
        <v/>
      </c>
      <c r="N3682" t="n">
        <v>100</v>
      </c>
      <c r="O3682" t="n">
        <v>27.80373831775701</v>
      </c>
    </row>
    <row r="3683" hidden="1">
      <c r="A3683" s="11" t="n">
        <v>46118</v>
      </c>
      <c r="B3683" t="inlineStr">
        <is>
          <t>Anna Luiza Rezende Tavares</t>
        </is>
      </c>
      <c r="C3683" t="inlineStr">
        <is>
          <t>Estágio</t>
        </is>
      </c>
      <c r="D3683" t="n">
        <v>25</v>
      </c>
      <c r="E3683" t="n">
        <v>21</v>
      </c>
      <c r="F3683" t="n">
        <v>12.25</v>
      </c>
      <c r="G3683" t="n">
        <v>0</v>
      </c>
      <c r="H3683" t="n">
        <v>0</v>
      </c>
      <c r="I3683" s="3">
        <f>E3683+G3683+H3683</f>
        <v/>
      </c>
      <c r="J3683" s="3">
        <f>ROUND(MIN(IF(C3683="Técnico III",35,IF(C3683="Técnico II",28,IF(C3683="Técnico I",23,IF(C3683="JR",20,IF(C3683="Estágio",10,0))))),IF(C3683="Técnico III",SUMIFS($D:$D,$A:$A,$A3683,$B:$B,"&lt;&gt;Patrícia Karla de Sousa Araújo",$B:$B,"&lt;&gt;Lorena Dias de Araujo",$B:$B,"&lt;&gt;Lucas Luiz Romero")*(35/1083),IF(C3683="Técnico II",SUMIFS($D:$D,$A:$A,$A3683,$B:$B,"&lt;&gt;Patrícia Karla de Sousa Araújo",$B:$B,"&lt;&gt;Lorena Dias de Araujo",$B:$B,"&lt;&gt;Lucas Luiz Romero")*(28/1083),IF(C3683="Técnico I",SUMIFS($D:$D,$A:$A,$A3683,$B:$B,"&lt;&gt;Patrícia Karla de Sousa Araújo",$B:$B,"&lt;&gt;Lorena Dias de Araujo",$B:$B,"&lt;&gt;Lucas Luiz Romero")*(23/1083),IF(C3683="JR",SUMIFS($D:$D,$A:$A,$A3683,$B:$B,"&lt;&gt;Patrícia Karla de Sousa Araújo",$B:$B,"&lt;&gt;Lorena Dias de Araujo",$B:$B,"&lt;&gt;Lucas Luiz Romero")*(20/1083),IF(C3683="Estágio",SUMIFS($D:$D,$A:$A,$A3683,$B:$B,"&lt;&gt;Patrícia Karla de Sousa Araújo",$B:$B,"&lt;&gt;Lorena Dias de Araujo",$B:$B,"&lt;&gt;Lucas Luiz Romero")*(10/1083),0)))))),0)</f>
        <v/>
      </c>
      <c r="K3683" s="3">
        <f>I3683-J3683</f>
        <v/>
      </c>
      <c r="L3683" s="3">
        <f>IF(K3683&lt;-5,"CRÍTICO",IF(K3683&lt;0,"ATENÇÃO",IF(K3683&lt;=5,"OPORTUNO","MUITO BOM")))</f>
        <v/>
      </c>
      <c r="N3683" t="n">
        <v>96.73999999999999</v>
      </c>
      <c r="O3683" t="n">
        <v>28.43137254901961</v>
      </c>
    </row>
    <row r="3684" hidden="1">
      <c r="A3684" s="11" t="n">
        <v>46118</v>
      </c>
      <c r="B3684" t="inlineStr">
        <is>
          <t>Brenda de Menezes Silva</t>
        </is>
      </c>
      <c r="C3684" t="inlineStr">
        <is>
          <t>Técnico II</t>
        </is>
      </c>
      <c r="D3684" t="n">
        <v>42</v>
      </c>
      <c r="E3684" t="n">
        <v>36</v>
      </c>
      <c r="F3684" t="n">
        <v>15.1</v>
      </c>
      <c r="G3684" t="n">
        <v>0</v>
      </c>
      <c r="H3684" t="n">
        <v>0</v>
      </c>
      <c r="I3684" s="3">
        <f>E3684+G3684+H3684</f>
        <v/>
      </c>
      <c r="J3684" s="3">
        <f>ROUND(MIN(IF(C3684="Técnico III",35,IF(C3684="Técnico II",28,IF(C3684="Técnico I",23,IF(C3684="JR",20,IF(C3684="Estágio",10,0))))),IF(C3684="Técnico III",SUMIFS($D:$D,$A:$A,$A3684,$B:$B,"&lt;&gt;Patrícia Karla de Sousa Araújo",$B:$B,"&lt;&gt;Lorena Dias de Araujo",$B:$B,"&lt;&gt;Lucas Luiz Romero")*(35/1083),IF(C3684="Técnico II",SUMIFS($D:$D,$A:$A,$A3684,$B:$B,"&lt;&gt;Patrícia Karla de Sousa Araújo",$B:$B,"&lt;&gt;Lorena Dias de Araujo",$B:$B,"&lt;&gt;Lucas Luiz Romero")*(28/1083),IF(C3684="Técnico I",SUMIFS($D:$D,$A:$A,$A3684,$B:$B,"&lt;&gt;Patrícia Karla de Sousa Araújo",$B:$B,"&lt;&gt;Lorena Dias de Araujo",$B:$B,"&lt;&gt;Lucas Luiz Romero")*(23/1083),IF(C3684="JR",SUMIFS($D:$D,$A:$A,$A3684,$B:$B,"&lt;&gt;Patrícia Karla de Sousa Araújo",$B:$B,"&lt;&gt;Lorena Dias de Araujo",$B:$B,"&lt;&gt;Lucas Luiz Romero")*(20/1083),IF(C3684="Estágio",SUMIFS($D:$D,$A:$A,$A3684,$B:$B,"&lt;&gt;Patrícia Karla de Sousa Araújo",$B:$B,"&lt;&gt;Lorena Dias de Araujo",$B:$B,"&lt;&gt;Lucas Luiz Romero")*(10/1083),0)))))),0)</f>
        <v/>
      </c>
      <c r="K3684" s="3">
        <f>I3684-J3684</f>
        <v/>
      </c>
      <c r="L3684" s="3">
        <f>IF(K3684&lt;-5,"CRÍTICO",IF(K3684&lt;0,"ATENÇÃO",IF(K3684&lt;=5,"OPORTUNO","MUITO BOM")))</f>
        <v/>
      </c>
      <c r="N3684" t="n">
        <v>98.81999999999999</v>
      </c>
      <c r="O3684" t="n">
        <v>30.74141048824593</v>
      </c>
    </row>
    <row r="3685" hidden="1">
      <c r="A3685" s="11" t="n">
        <v>46118</v>
      </c>
      <c r="B3685" t="inlineStr">
        <is>
          <t>Carlos Mateus Cassimiro Nunes</t>
        </is>
      </c>
      <c r="C3685" t="inlineStr">
        <is>
          <t>Técnico II</t>
        </is>
      </c>
      <c r="D3685" t="n">
        <v>33</v>
      </c>
      <c r="E3685" t="n">
        <v>31</v>
      </c>
      <c r="F3685" t="n">
        <v>19.06</v>
      </c>
      <c r="G3685" t="n">
        <v>0</v>
      </c>
      <c r="H3685" t="n">
        <v>0</v>
      </c>
      <c r="I3685" s="3">
        <f>E3685+G3685+H3685</f>
        <v/>
      </c>
      <c r="J3685" s="3">
        <f>ROUND(MIN(IF(C3685="Técnico III",35,IF(C3685="Técnico II",28,IF(C3685="Técnico I",23,IF(C3685="JR",20,IF(C3685="Estágio",10,0))))),IF(C3685="Técnico III",SUMIFS($D:$D,$A:$A,$A3685,$B:$B,"&lt;&gt;Patrícia Karla de Sousa Araújo",$B:$B,"&lt;&gt;Lorena Dias de Araujo",$B:$B,"&lt;&gt;Lucas Luiz Romero")*(35/1083),IF(C3685="Técnico II",SUMIFS($D:$D,$A:$A,$A3685,$B:$B,"&lt;&gt;Patrícia Karla de Sousa Araújo",$B:$B,"&lt;&gt;Lorena Dias de Araujo",$B:$B,"&lt;&gt;Lucas Luiz Romero")*(28/1083),IF(C3685="Técnico I",SUMIFS($D:$D,$A:$A,$A3685,$B:$B,"&lt;&gt;Patrícia Karla de Sousa Araújo",$B:$B,"&lt;&gt;Lorena Dias de Araujo",$B:$B,"&lt;&gt;Lucas Luiz Romero")*(23/1083),IF(C3685="JR",SUMIFS($D:$D,$A:$A,$A3685,$B:$B,"&lt;&gt;Patrícia Karla de Sousa Araújo",$B:$B,"&lt;&gt;Lorena Dias de Araujo",$B:$B,"&lt;&gt;Lucas Luiz Romero")*(20/1083),IF(C3685="Estágio",SUMIFS($D:$D,$A:$A,$A3685,$B:$B,"&lt;&gt;Patrícia Karla de Sousa Araújo",$B:$B,"&lt;&gt;Lorena Dias de Araujo",$B:$B,"&lt;&gt;Lucas Luiz Romero")*(10/1083),0)))))),0)</f>
        <v/>
      </c>
      <c r="K3685" s="3">
        <f>I3685-J3685</f>
        <v/>
      </c>
      <c r="L3685" s="3">
        <f>IF(K3685&lt;-5,"CRÍTICO",IF(K3685&lt;0,"ATENÇÃO",IF(K3685&lt;=5,"OPORTUNO","MUITO BOM")))</f>
        <v/>
      </c>
      <c r="N3685" t="n">
        <v>98.2</v>
      </c>
      <c r="O3685" t="n">
        <v>26.89075630252101</v>
      </c>
    </row>
    <row r="3686" hidden="1">
      <c r="A3686" s="11" t="n">
        <v>46118</v>
      </c>
      <c r="B3686" t="inlineStr">
        <is>
          <t>Claudio de Sousa Velasco Filho</t>
        </is>
      </c>
      <c r="C3686" t="inlineStr">
        <is>
          <t>Estágio</t>
        </is>
      </c>
      <c r="D3686" t="n">
        <v>12</v>
      </c>
      <c r="E3686" t="n">
        <v>11</v>
      </c>
      <c r="F3686" t="n">
        <v>22.04</v>
      </c>
      <c r="G3686" t="n">
        <v>0</v>
      </c>
      <c r="H3686" t="n">
        <v>0</v>
      </c>
      <c r="I3686" s="3">
        <f>E3686+G3686+H3686</f>
        <v/>
      </c>
      <c r="J3686" s="3">
        <f>ROUND(MIN(IF(C3686="Técnico III",35,IF(C3686="Técnico II",28,IF(C3686="Técnico I",23,IF(C3686="JR",20,IF(C3686="Estágio",10,0))))),IF(C3686="Técnico III",SUMIFS($D:$D,$A:$A,$A3686,$B:$B,"&lt;&gt;Patrícia Karla de Sousa Araújo",$B:$B,"&lt;&gt;Lorena Dias de Araujo",$B:$B,"&lt;&gt;Lucas Luiz Romero")*(35/1083),IF(C3686="Técnico II",SUMIFS($D:$D,$A:$A,$A3686,$B:$B,"&lt;&gt;Patrícia Karla de Sousa Araújo",$B:$B,"&lt;&gt;Lorena Dias de Araujo",$B:$B,"&lt;&gt;Lucas Luiz Romero")*(28/1083),IF(C3686="Técnico I",SUMIFS($D:$D,$A:$A,$A3686,$B:$B,"&lt;&gt;Patrícia Karla de Sousa Araújo",$B:$B,"&lt;&gt;Lorena Dias de Araujo",$B:$B,"&lt;&gt;Lucas Luiz Romero")*(23/1083),IF(C3686="JR",SUMIFS($D:$D,$A:$A,$A3686,$B:$B,"&lt;&gt;Patrícia Karla de Sousa Araújo",$B:$B,"&lt;&gt;Lorena Dias de Araujo",$B:$B,"&lt;&gt;Lucas Luiz Romero")*(20/1083),IF(C3686="Estágio",SUMIFS($D:$D,$A:$A,$A3686,$B:$B,"&lt;&gt;Patrícia Karla de Sousa Araújo",$B:$B,"&lt;&gt;Lorena Dias de Araujo",$B:$B,"&lt;&gt;Lucas Luiz Romero")*(10/1083),0)))))),0)</f>
        <v/>
      </c>
      <c r="K3686" s="3">
        <f>I3686-J3686</f>
        <v/>
      </c>
      <c r="L3686" s="3">
        <f>IF(K3686&lt;-5,"CRÍTICO",IF(K3686&lt;0,"ATENÇÃO",IF(K3686&lt;=5,"OPORTUNO","MUITO BOM")))</f>
        <v/>
      </c>
      <c r="N3686" t="n">
        <v>100</v>
      </c>
      <c r="O3686" t="n">
        <v>23.13432835820895</v>
      </c>
    </row>
    <row r="3687" hidden="1">
      <c r="A3687" s="11" t="n">
        <v>46118</v>
      </c>
      <c r="B3687" t="inlineStr">
        <is>
          <t>Clessiane Pereira dos Santos</t>
        </is>
      </c>
      <c r="C3687" t="inlineStr">
        <is>
          <t>Técnico I</t>
        </is>
      </c>
      <c r="D3687" t="n">
        <v>34</v>
      </c>
      <c r="E3687" t="n">
        <v>32</v>
      </c>
      <c r="F3687" t="n">
        <v>14.14</v>
      </c>
      <c r="G3687" t="n">
        <v>0</v>
      </c>
      <c r="H3687" t="n">
        <v>0</v>
      </c>
      <c r="I3687" s="3">
        <f>E3687+G3687+H3687</f>
        <v/>
      </c>
      <c r="J3687" s="3">
        <f>ROUND(MIN(IF(C3687="Técnico III",35,IF(C3687="Técnico II",28,IF(C3687="Técnico I",23,IF(C3687="JR",20,IF(C3687="Estágio",10,0))))),IF(C3687="Técnico III",SUMIFS($D:$D,$A:$A,$A3687,$B:$B,"&lt;&gt;Patrícia Karla de Sousa Araújo",$B:$B,"&lt;&gt;Lorena Dias de Araujo",$B:$B,"&lt;&gt;Lucas Luiz Romero")*(35/1083),IF(C3687="Técnico II",SUMIFS($D:$D,$A:$A,$A3687,$B:$B,"&lt;&gt;Patrícia Karla de Sousa Araújo",$B:$B,"&lt;&gt;Lorena Dias de Araujo",$B:$B,"&lt;&gt;Lucas Luiz Romero")*(28/1083),IF(C3687="Técnico I",SUMIFS($D:$D,$A:$A,$A3687,$B:$B,"&lt;&gt;Patrícia Karla de Sousa Araújo",$B:$B,"&lt;&gt;Lorena Dias de Araujo",$B:$B,"&lt;&gt;Lucas Luiz Romero")*(23/1083),IF(C3687="JR",SUMIFS($D:$D,$A:$A,$A3687,$B:$B,"&lt;&gt;Patrícia Karla de Sousa Araújo",$B:$B,"&lt;&gt;Lorena Dias de Araujo",$B:$B,"&lt;&gt;Lucas Luiz Romero")*(20/1083),IF(C3687="Estágio",SUMIFS($D:$D,$A:$A,$A3687,$B:$B,"&lt;&gt;Patrícia Karla de Sousa Araújo",$B:$B,"&lt;&gt;Lorena Dias de Araujo",$B:$B,"&lt;&gt;Lucas Luiz Romero")*(10/1083),0)))))),0)</f>
        <v/>
      </c>
      <c r="K3687" s="3">
        <f>I3687-J3687</f>
        <v/>
      </c>
      <c r="L3687" s="3">
        <f>IF(K3687&lt;-5,"CRÍTICO",IF(K3687&lt;0,"ATENÇÃO",IF(K3687&lt;=5,"OPORTUNO","MUITO BOM")))</f>
        <v/>
      </c>
      <c r="N3687" t="n">
        <v>96.3</v>
      </c>
      <c r="O3687" t="n">
        <v>31.98090692124105</v>
      </c>
    </row>
    <row r="3688" hidden="1">
      <c r="A3688" s="11" t="n">
        <v>46118</v>
      </c>
      <c r="B3688" t="inlineStr">
        <is>
          <t>Cristiane Ramos da Silva Rocha</t>
        </is>
      </c>
      <c r="C3688" t="inlineStr">
        <is>
          <t>Técnico III</t>
        </is>
      </c>
      <c r="D3688" t="n">
        <v>37</v>
      </c>
      <c r="E3688" t="n">
        <v>34</v>
      </c>
      <c r="F3688" t="n">
        <v>12.19</v>
      </c>
      <c r="G3688" t="n">
        <v>0</v>
      </c>
      <c r="H3688" t="n">
        <v>0</v>
      </c>
      <c r="I3688" s="3">
        <f>E3688+G3688+H3688</f>
        <v/>
      </c>
      <c r="J3688" s="3">
        <f>ROUND(MIN(IF(C3688="Técnico III",35,IF(C3688="Técnico II",28,IF(C3688="Técnico I",23,IF(C3688="JR",20,IF(C3688="Estágio",10,0))))),IF(C3688="Técnico III",SUMIFS($D:$D,$A:$A,$A3688,$B:$B,"&lt;&gt;Patrícia Karla de Sousa Araújo",$B:$B,"&lt;&gt;Lorena Dias de Araujo",$B:$B,"&lt;&gt;Lucas Luiz Romero")*(35/1083),IF(C3688="Técnico II",SUMIFS($D:$D,$A:$A,$A3688,$B:$B,"&lt;&gt;Patrícia Karla de Sousa Araújo",$B:$B,"&lt;&gt;Lorena Dias de Araujo",$B:$B,"&lt;&gt;Lucas Luiz Romero")*(28/1083),IF(C3688="Técnico I",SUMIFS($D:$D,$A:$A,$A3688,$B:$B,"&lt;&gt;Patrícia Karla de Sousa Araújo",$B:$B,"&lt;&gt;Lorena Dias de Araujo",$B:$B,"&lt;&gt;Lucas Luiz Romero")*(23/1083),IF(C3688="JR",SUMIFS($D:$D,$A:$A,$A3688,$B:$B,"&lt;&gt;Patrícia Karla de Sousa Araújo",$B:$B,"&lt;&gt;Lorena Dias de Araujo",$B:$B,"&lt;&gt;Lucas Luiz Romero")*(20/1083),IF(C3688="Estágio",SUMIFS($D:$D,$A:$A,$A3688,$B:$B,"&lt;&gt;Patrícia Karla de Sousa Araújo",$B:$B,"&lt;&gt;Lorena Dias de Araujo",$B:$B,"&lt;&gt;Lucas Luiz Romero")*(10/1083),0)))))),0)</f>
        <v/>
      </c>
      <c r="K3688" s="3">
        <f>I3688-J3688</f>
        <v/>
      </c>
      <c r="L3688" s="3">
        <f>IF(K3688&lt;-5,"CRÍTICO",IF(K3688&lt;0,"ATENÇÃO",IF(K3688&lt;=5,"OPORTUNO","MUITO BOM")))</f>
        <v/>
      </c>
      <c r="N3688" t="n">
        <v>93.75</v>
      </c>
      <c r="O3688" t="n">
        <v>26.62835249042146</v>
      </c>
    </row>
    <row r="3689" hidden="1">
      <c r="A3689" s="11" t="n">
        <v>46118</v>
      </c>
      <c r="B3689" t="inlineStr">
        <is>
          <t>Damyllis Lorraine de Oliveira Gonçalves</t>
        </is>
      </c>
      <c r="C3689" t="inlineStr">
        <is>
          <t>Técnico II</t>
        </is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s="3" t="n">
        <v>0</v>
      </c>
      <c r="J3689" s="3" t="n">
        <v>0</v>
      </c>
      <c r="K3689" s="3" t="n">
        <v>0</v>
      </c>
      <c r="L3689" s="3">
        <f>IF(K3689&lt;-5,"CRÍTICO",IF(K3689&lt;0,"ATENÇÃO",IF(K3689&lt;=5,"OPORTUNO","MUITO BOM")))</f>
        <v/>
      </c>
      <c r="N3689" t="n">
        <v>97.86</v>
      </c>
      <c r="O3689" t="n">
        <v>31.01851851851852</v>
      </c>
    </row>
    <row r="3690" hidden="1">
      <c r="A3690" s="11" t="n">
        <v>46118</v>
      </c>
      <c r="B3690" t="inlineStr">
        <is>
          <t>Daniel Gomes da Silva</t>
        </is>
      </c>
      <c r="C3690" t="inlineStr">
        <is>
          <t>Técnico I</t>
        </is>
      </c>
      <c r="D3690" t="n">
        <v>23</v>
      </c>
      <c r="E3690" t="n">
        <v>22</v>
      </c>
      <c r="F3690" t="n">
        <v>19.05</v>
      </c>
      <c r="G3690" t="n">
        <v>0</v>
      </c>
      <c r="H3690" t="n">
        <v>0</v>
      </c>
      <c r="I3690" s="3">
        <f>E3690+G3690+H3690</f>
        <v/>
      </c>
      <c r="J3690" s="3">
        <f>ROUND(MIN(IF(C3690="Técnico III",35,IF(C3690="Técnico II",28,IF(C3690="Técnico I",23,IF(C3690="JR",20,IF(C3690="Estágio",10,0))))),IF(C3690="Técnico III",SUMIFS($D:$D,$A:$A,$A3690,$B:$B,"&lt;&gt;Patrícia Karla de Sousa Araújo",$B:$B,"&lt;&gt;Lorena Dias de Araujo",$B:$B,"&lt;&gt;Lucas Luiz Romero")*(35/1083),IF(C3690="Técnico II",SUMIFS($D:$D,$A:$A,$A3690,$B:$B,"&lt;&gt;Patrícia Karla de Sousa Araújo",$B:$B,"&lt;&gt;Lorena Dias de Araujo",$B:$B,"&lt;&gt;Lucas Luiz Romero")*(28/1083),IF(C3690="Técnico I",SUMIFS($D:$D,$A:$A,$A3690,$B:$B,"&lt;&gt;Patrícia Karla de Sousa Araújo",$B:$B,"&lt;&gt;Lorena Dias de Araujo",$B:$B,"&lt;&gt;Lucas Luiz Romero")*(23/1083),IF(C3690="JR",SUMIFS($D:$D,$A:$A,$A3690,$B:$B,"&lt;&gt;Patrícia Karla de Sousa Araújo",$B:$B,"&lt;&gt;Lorena Dias de Araujo",$B:$B,"&lt;&gt;Lucas Luiz Romero")*(20/1083),IF(C3690="Estágio",SUMIFS($D:$D,$A:$A,$A3690,$B:$B,"&lt;&gt;Patrícia Karla de Sousa Araújo",$B:$B,"&lt;&gt;Lorena Dias de Araujo",$B:$B,"&lt;&gt;Lucas Luiz Romero")*(10/1083),0)))))),0)</f>
        <v/>
      </c>
      <c r="K3690" s="3">
        <f>I3690-J3690</f>
        <v/>
      </c>
      <c r="L3690" s="3">
        <f>IF(K3690&lt;-5,"CRÍTICO",IF(K3690&lt;0,"ATENÇÃO",IF(K3690&lt;=5,"OPORTUNO","MUITO BOM")))</f>
        <v/>
      </c>
      <c r="N3690" t="n">
        <v>100</v>
      </c>
      <c r="O3690" t="n">
        <v>36.23188405797102</v>
      </c>
    </row>
    <row r="3691" hidden="1">
      <c r="A3691" s="11" t="n">
        <v>46118</v>
      </c>
      <c r="B3691" t="inlineStr">
        <is>
          <t>Davylla Rodrigues Freitas Silva</t>
        </is>
      </c>
      <c r="C3691" t="inlineStr">
        <is>
          <t>Técnico III</t>
        </is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s="3" t="n">
        <v>0</v>
      </c>
      <c r="J3691" s="3" t="n">
        <v>0</v>
      </c>
      <c r="K3691" s="3" t="n">
        <v>0</v>
      </c>
      <c r="L3691" s="3">
        <f>IF(K3691&lt;-5,"CRÍTICO",IF(K3691&lt;0,"ATENÇÃO",IF(K3691&lt;=5,"OPORTUNO","MUITO BOM")))</f>
        <v/>
      </c>
      <c r="N3691" t="n">
        <v>100</v>
      </c>
      <c r="O3691" t="n">
        <v>38.26923076923077</v>
      </c>
    </row>
    <row r="3692" hidden="1">
      <c r="A3692" s="11" t="n">
        <v>46118</v>
      </c>
      <c r="B3692" t="inlineStr">
        <is>
          <t>Emilly Caylane Costa</t>
        </is>
      </c>
      <c r="C3692" t="inlineStr">
        <is>
          <t>Estágio</t>
        </is>
      </c>
      <c r="D3692" t="n">
        <v>8</v>
      </c>
      <c r="E3692" t="n">
        <v>8</v>
      </c>
      <c r="F3692" t="n">
        <v>37.14</v>
      </c>
      <c r="G3692" t="n">
        <v>0</v>
      </c>
      <c r="H3692" t="n">
        <v>0</v>
      </c>
      <c r="I3692" s="3">
        <f>E3692+G3692+H3692</f>
        <v/>
      </c>
      <c r="J3692" s="3">
        <f>ROUND(MIN(IF(C3692="Técnico III",35,IF(C3692="Técnico II",28,IF(C3692="Técnico I",23,IF(C3692="JR",20,IF(C3692="Estágio",10,0))))),IF(C3692="Técnico III",SUMIFS($D:$D,$A:$A,$A3692,$B:$B,"&lt;&gt;Patrícia Karla de Sousa Araújo",$B:$B,"&lt;&gt;Lorena Dias de Araujo",$B:$B,"&lt;&gt;Lucas Luiz Romero")*(35/1083),IF(C3692="Técnico II",SUMIFS($D:$D,$A:$A,$A3692,$B:$B,"&lt;&gt;Patrícia Karla de Sousa Araújo",$B:$B,"&lt;&gt;Lorena Dias de Araujo",$B:$B,"&lt;&gt;Lucas Luiz Romero")*(28/1083),IF(C3692="Técnico I",SUMIFS($D:$D,$A:$A,$A3692,$B:$B,"&lt;&gt;Patrícia Karla de Sousa Araújo",$B:$B,"&lt;&gt;Lorena Dias de Araujo",$B:$B,"&lt;&gt;Lucas Luiz Romero")*(23/1083),IF(C3692="JR",SUMIFS($D:$D,$A:$A,$A3692,$B:$B,"&lt;&gt;Patrícia Karla de Sousa Araújo",$B:$B,"&lt;&gt;Lorena Dias de Araujo",$B:$B,"&lt;&gt;Lucas Luiz Romero")*(20/1083),IF(C3692="Estágio",SUMIFS($D:$D,$A:$A,$A3692,$B:$B,"&lt;&gt;Patrícia Karla de Sousa Araújo",$B:$B,"&lt;&gt;Lorena Dias de Araujo",$B:$B,"&lt;&gt;Lucas Luiz Romero")*(10/1083),0)))))),0)</f>
        <v/>
      </c>
      <c r="K3692" s="3">
        <f>I3692-J3692</f>
        <v/>
      </c>
      <c r="L3692" s="3">
        <f>IF(K3692&lt;-5,"CRÍTICO",IF(K3692&lt;0,"ATENÇÃO",IF(K3692&lt;=5,"OPORTUNO","MUITO BOM")))</f>
        <v/>
      </c>
      <c r="N3692" t="n">
        <v>100</v>
      </c>
      <c r="O3692" t="n">
        <v>27.36842105263158</v>
      </c>
    </row>
    <row r="3693" hidden="1">
      <c r="A3693" s="11" t="n">
        <v>46118</v>
      </c>
      <c r="B3693" t="inlineStr">
        <is>
          <t>Emilly Kamilly Medeiros Miranda</t>
        </is>
      </c>
      <c r="C3693" t="inlineStr">
        <is>
          <t>Técnico II</t>
        </is>
      </c>
      <c r="D3693" t="n">
        <v>35</v>
      </c>
      <c r="E3693" t="n">
        <v>33</v>
      </c>
      <c r="F3693" t="n">
        <v>14.19</v>
      </c>
      <c r="G3693" t="n">
        <v>0</v>
      </c>
      <c r="H3693" t="n">
        <v>0</v>
      </c>
      <c r="I3693" s="3">
        <f>E3693+G3693+H3693</f>
        <v/>
      </c>
      <c r="J3693" s="3">
        <f>ROUND(MIN(IF(C3693="Técnico III",35,IF(C3693="Técnico II",28,IF(C3693="Técnico I",23,IF(C3693="JR",20,IF(C3693="Estágio",10,0))))),IF(C3693="Técnico III",SUMIFS($D:$D,$A:$A,$A3693,$B:$B,"&lt;&gt;Patrícia Karla de Sousa Araújo",$B:$B,"&lt;&gt;Lorena Dias de Araujo",$B:$B,"&lt;&gt;Lucas Luiz Romero")*(35/1083),IF(C3693="Técnico II",SUMIFS($D:$D,$A:$A,$A3693,$B:$B,"&lt;&gt;Patrícia Karla de Sousa Araújo",$B:$B,"&lt;&gt;Lorena Dias de Araujo",$B:$B,"&lt;&gt;Lucas Luiz Romero")*(28/1083),IF(C3693="Técnico I",SUMIFS($D:$D,$A:$A,$A3693,$B:$B,"&lt;&gt;Patrícia Karla de Sousa Araújo",$B:$B,"&lt;&gt;Lorena Dias de Araujo",$B:$B,"&lt;&gt;Lucas Luiz Romero")*(23/1083),IF(C3693="JR",SUMIFS($D:$D,$A:$A,$A3693,$B:$B,"&lt;&gt;Patrícia Karla de Sousa Araújo",$B:$B,"&lt;&gt;Lorena Dias de Araujo",$B:$B,"&lt;&gt;Lucas Luiz Romero")*(20/1083),IF(C3693="Estágio",SUMIFS($D:$D,$A:$A,$A3693,$B:$B,"&lt;&gt;Patrícia Karla de Sousa Araújo",$B:$B,"&lt;&gt;Lorena Dias de Araujo",$B:$B,"&lt;&gt;Lucas Luiz Romero")*(10/1083),0)))))),0)</f>
        <v/>
      </c>
      <c r="K3693" s="3">
        <f>I3693-J3693</f>
        <v/>
      </c>
      <c r="L3693" s="3">
        <f>IF(K3693&lt;-5,"CRÍTICO",IF(K3693&lt;0,"ATENÇÃO",IF(K3693&lt;=5,"OPORTUNO","MUITO BOM")))</f>
        <v/>
      </c>
      <c r="N3693" t="n">
        <v>97.83</v>
      </c>
      <c r="O3693" t="n">
        <v>28.13186813186813</v>
      </c>
    </row>
    <row r="3694" hidden="1">
      <c r="A3694" s="11" t="n">
        <v>46118</v>
      </c>
      <c r="B3694" t="inlineStr">
        <is>
          <t>Francielson de Oliveira</t>
        </is>
      </c>
      <c r="C3694" t="inlineStr">
        <is>
          <t>Técnico III</t>
        </is>
      </c>
      <c r="D3694" t="n">
        <v>29</v>
      </c>
      <c r="E3694" t="n">
        <v>28</v>
      </c>
      <c r="F3694" t="n">
        <v>17.03</v>
      </c>
      <c r="G3694" t="n">
        <v>0</v>
      </c>
      <c r="H3694" t="n">
        <v>0</v>
      </c>
      <c r="I3694" s="3">
        <f>E3694+G3694+H3694</f>
        <v/>
      </c>
      <c r="J3694" s="3">
        <f>ROUND(MIN(IF(C3694="Técnico III",35,IF(C3694="Técnico II",28,IF(C3694="Técnico I",23,IF(C3694="JR",20,IF(C3694="Estágio",10,0))))),IF(C3694="Técnico III",SUMIFS($D:$D,$A:$A,$A3694,$B:$B,"&lt;&gt;Patrícia Karla de Sousa Araújo",$B:$B,"&lt;&gt;Lorena Dias de Araujo",$B:$B,"&lt;&gt;Lucas Luiz Romero")*(35/1083),IF(C3694="Técnico II",SUMIFS($D:$D,$A:$A,$A3694,$B:$B,"&lt;&gt;Patrícia Karla de Sousa Araújo",$B:$B,"&lt;&gt;Lorena Dias de Araujo",$B:$B,"&lt;&gt;Lucas Luiz Romero")*(28/1083),IF(C3694="Técnico I",SUMIFS($D:$D,$A:$A,$A3694,$B:$B,"&lt;&gt;Patrícia Karla de Sousa Araújo",$B:$B,"&lt;&gt;Lorena Dias de Araujo",$B:$B,"&lt;&gt;Lucas Luiz Romero")*(23/1083),IF(C3694="JR",SUMIFS($D:$D,$A:$A,$A3694,$B:$B,"&lt;&gt;Patrícia Karla de Sousa Araújo",$B:$B,"&lt;&gt;Lorena Dias de Araujo",$B:$B,"&lt;&gt;Lucas Luiz Romero")*(20/1083),IF(C3694="Estágio",SUMIFS($D:$D,$A:$A,$A3694,$B:$B,"&lt;&gt;Patrícia Karla de Sousa Araújo",$B:$B,"&lt;&gt;Lorena Dias de Araujo",$B:$B,"&lt;&gt;Lucas Luiz Romero")*(10/1083),0)))))),0)</f>
        <v/>
      </c>
      <c r="K3694" s="3">
        <f>I3694-J3694</f>
        <v/>
      </c>
      <c r="L3694" s="3">
        <f>IF(K3694&lt;-5,"CRÍTICO",IF(K3694&lt;0,"ATENÇÃO",IF(K3694&lt;=5,"OPORTUNO","MUITO BOM")))</f>
        <v/>
      </c>
      <c r="N3694" t="n">
        <v>99.26000000000001</v>
      </c>
      <c r="O3694" t="n">
        <v>29.57198443579767</v>
      </c>
    </row>
    <row r="3695" hidden="1">
      <c r="A3695" s="11" t="n">
        <v>46118</v>
      </c>
      <c r="B3695" t="inlineStr">
        <is>
          <t>Francilene Ferreira de Jesus</t>
        </is>
      </c>
      <c r="C3695" t="inlineStr">
        <is>
          <t>Técnico II</t>
        </is>
      </c>
      <c r="D3695" t="n">
        <v>34</v>
      </c>
      <c r="E3695" t="n">
        <v>30</v>
      </c>
      <c r="F3695" t="n">
        <v>20.59</v>
      </c>
      <c r="G3695" t="n">
        <v>0</v>
      </c>
      <c r="H3695" t="n">
        <v>0</v>
      </c>
      <c r="I3695" s="3">
        <f>E3695+G3695+H3695</f>
        <v/>
      </c>
      <c r="J3695" s="3">
        <f>ROUND(MIN(IF(C3695="Técnico III",35,IF(C3695="Técnico II",28,IF(C3695="Técnico I",23,IF(C3695="JR",20,IF(C3695="Estágio",10,0))))),IF(C3695="Técnico III",SUMIFS($D:$D,$A:$A,$A3695,$B:$B,"&lt;&gt;Patrícia Karla de Sousa Araújo",$B:$B,"&lt;&gt;Lorena Dias de Araujo",$B:$B,"&lt;&gt;Lucas Luiz Romero")*(35/1083),IF(C3695="Técnico II",SUMIFS($D:$D,$A:$A,$A3695,$B:$B,"&lt;&gt;Patrícia Karla de Sousa Araújo",$B:$B,"&lt;&gt;Lorena Dias de Araujo",$B:$B,"&lt;&gt;Lucas Luiz Romero")*(28/1083),IF(C3695="Técnico I",SUMIFS($D:$D,$A:$A,$A3695,$B:$B,"&lt;&gt;Patrícia Karla de Sousa Araújo",$B:$B,"&lt;&gt;Lorena Dias de Araujo",$B:$B,"&lt;&gt;Lucas Luiz Romero")*(23/1083),IF(C3695="JR",SUMIFS($D:$D,$A:$A,$A3695,$B:$B,"&lt;&gt;Patrícia Karla de Sousa Araújo",$B:$B,"&lt;&gt;Lorena Dias de Araujo",$B:$B,"&lt;&gt;Lucas Luiz Romero")*(20/1083),IF(C3695="Estágio",SUMIFS($D:$D,$A:$A,$A3695,$B:$B,"&lt;&gt;Patrícia Karla de Sousa Araújo",$B:$B,"&lt;&gt;Lorena Dias de Araujo",$B:$B,"&lt;&gt;Lucas Luiz Romero")*(10/1083),0)))))),0)</f>
        <v/>
      </c>
      <c r="K3695" s="3">
        <f>I3695-J3695</f>
        <v/>
      </c>
      <c r="L3695" s="3">
        <f>IF(K3695&lt;-5,"CRÍTICO",IF(K3695&lt;0,"ATENÇÃO",IF(K3695&lt;=5,"OPORTUNO","MUITO BOM")))</f>
        <v/>
      </c>
      <c r="N3695" t="n">
        <v>99.19</v>
      </c>
      <c r="O3695" t="n">
        <v>29.46236559139785</v>
      </c>
    </row>
    <row r="3696" hidden="1">
      <c r="A3696" s="11" t="n">
        <v>46167</v>
      </c>
      <c r="B3696" t="inlineStr">
        <is>
          <t>Damyllis Lorraine de Oliveira Gonçalves</t>
        </is>
      </c>
      <c r="C3696" t="inlineStr">
        <is>
          <t>Técnico II</t>
        </is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s="3" t="n">
        <v>0</v>
      </c>
      <c r="J3696" s="3" t="n">
        <v>0</v>
      </c>
      <c r="K3696" s="3" t="n">
        <v>0</v>
      </c>
      <c r="L3696" s="3">
        <f>IF(K3696&lt;-5,"CRÍTICO",IF(K3696&lt;0,"ATENÇÃO",IF(K3696&lt;=5,"OPORTUNO","MUITO BOM")))</f>
        <v/>
      </c>
    </row>
    <row r="3697" hidden="1">
      <c r="A3697" s="11" t="n">
        <v>46118</v>
      </c>
      <c r="B3697" t="inlineStr">
        <is>
          <t>Isabella Borges de Oliveira</t>
        </is>
      </c>
      <c r="C3697" t="inlineStr">
        <is>
          <t>Técnico II</t>
        </is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s="3" t="n">
        <v>0</v>
      </c>
      <c r="J3697" s="3" t="n">
        <v>0</v>
      </c>
      <c r="K3697" s="3" t="n">
        <v>0</v>
      </c>
      <c r="L3697" s="3">
        <f>IF(K3697&lt;-5,"CRÍTICO",IF(K3697&lt;0,"ATENÇÃO",IF(K3697&lt;=5,"OPORTUNO","MUITO BOM")))</f>
        <v/>
      </c>
      <c r="N3697" t="n">
        <v>100</v>
      </c>
      <c r="O3697" t="n">
        <v>27.94117647058824</v>
      </c>
    </row>
    <row r="3698" hidden="1">
      <c r="A3698" s="11" t="n">
        <v>46118</v>
      </c>
      <c r="B3698" t="inlineStr">
        <is>
          <t>Janaina Lima dos Reis Urany</t>
        </is>
      </c>
      <c r="C3698" t="inlineStr">
        <is>
          <t>Técnico III</t>
        </is>
      </c>
      <c r="D3698" t="n">
        <v>46</v>
      </c>
      <c r="E3698" t="n">
        <v>46</v>
      </c>
      <c r="F3698" t="n">
        <v>13.59</v>
      </c>
      <c r="G3698" t="n">
        <v>0</v>
      </c>
      <c r="H3698" t="n">
        <v>0</v>
      </c>
      <c r="I3698" s="3">
        <f>E3698+G3698+H3698</f>
        <v/>
      </c>
      <c r="J3698" s="3">
        <f>ROUND(MIN(IF(C3698="Técnico III",35,IF(C3698="Técnico II",28,IF(C3698="Técnico I",23,IF(C3698="JR",20,IF(C3698="Estágio",10,0))))),IF(C3698="Técnico III",SUMIFS($D:$D,$A:$A,$A3698,$B:$B,"&lt;&gt;Patrícia Karla de Sousa Araújo",$B:$B,"&lt;&gt;Lorena Dias de Araujo",$B:$B,"&lt;&gt;Lucas Luiz Romero")*(35/1083),IF(C3698="Técnico II",SUMIFS($D:$D,$A:$A,$A3698,$B:$B,"&lt;&gt;Patrícia Karla de Sousa Araújo",$B:$B,"&lt;&gt;Lorena Dias de Araujo",$B:$B,"&lt;&gt;Lucas Luiz Romero")*(28/1083),IF(C3698="Técnico I",SUMIFS($D:$D,$A:$A,$A3698,$B:$B,"&lt;&gt;Patrícia Karla de Sousa Araújo",$B:$B,"&lt;&gt;Lorena Dias de Araujo",$B:$B,"&lt;&gt;Lucas Luiz Romero")*(23/1083),IF(C3698="JR",SUMIFS($D:$D,$A:$A,$A3698,$B:$B,"&lt;&gt;Patrícia Karla de Sousa Araújo",$B:$B,"&lt;&gt;Lorena Dias de Araujo",$B:$B,"&lt;&gt;Lucas Luiz Romero")*(20/1083),IF(C3698="Estágio",SUMIFS($D:$D,$A:$A,$A3698,$B:$B,"&lt;&gt;Patrícia Karla de Sousa Araújo",$B:$B,"&lt;&gt;Lorena Dias de Araujo",$B:$B,"&lt;&gt;Lucas Luiz Romero")*(10/1083),0)))))),0)</f>
        <v/>
      </c>
      <c r="K3698" s="3">
        <f>I3698-J3698</f>
        <v/>
      </c>
      <c r="L3698" s="3">
        <f>IF(K3698&lt;-5,"CRÍTICO",IF(K3698&lt;0,"ATENÇÃO",IF(K3698&lt;=5,"OPORTUNO","MUITO BOM")))</f>
        <v/>
      </c>
      <c r="N3698" t="n">
        <v>99.56999999999999</v>
      </c>
      <c r="O3698" t="n">
        <v>29.91329479768786</v>
      </c>
    </row>
    <row r="3699" hidden="1">
      <c r="A3699" s="11" t="n">
        <v>46118</v>
      </c>
      <c r="B3699" t="inlineStr">
        <is>
          <t>Jaqueline Evangelista da Silva Martins</t>
        </is>
      </c>
      <c r="C3699" t="inlineStr">
        <is>
          <t>Técnico III</t>
        </is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s="3" t="n">
        <v>0</v>
      </c>
      <c r="J3699" s="3" t="n">
        <v>0</v>
      </c>
      <c r="K3699" s="3" t="n">
        <v>0</v>
      </c>
      <c r="L3699" s="3">
        <f>IF(K3699&lt;-5,"CRÍTICO",IF(K3699&lt;0,"ATENÇÃO",IF(K3699&lt;=5,"OPORTUNO","MUITO BOM")))</f>
        <v/>
      </c>
      <c r="N3699" t="n">
        <v>95.65000000000001</v>
      </c>
      <c r="O3699" t="n">
        <v>31.08108108108108</v>
      </c>
    </row>
    <row r="3700" hidden="1">
      <c r="A3700" s="11" t="n">
        <v>46118</v>
      </c>
      <c r="B3700" t="inlineStr">
        <is>
          <t>Jessica Faria da Silveira</t>
        </is>
      </c>
      <c r="C3700" t="inlineStr">
        <is>
          <t>Técnico II</t>
        </is>
      </c>
      <c r="D3700" t="n">
        <v>12</v>
      </c>
      <c r="E3700" t="n">
        <v>12</v>
      </c>
      <c r="F3700" t="n">
        <v>16.45</v>
      </c>
      <c r="G3700" t="n">
        <v>0</v>
      </c>
      <c r="H3700" t="n">
        <v>0</v>
      </c>
      <c r="I3700" s="3">
        <f>E3700+G3700+H3700</f>
        <v/>
      </c>
      <c r="J3700" s="3">
        <f>ROUND(MIN(IF(C3700="Técnico III",35,IF(C3700="Técnico II",28,IF(C3700="Técnico I",23,IF(C3700="JR",20,IF(C3700="Estágio",10,0))))),IF(C3700="Técnico III",SUMIFS($D:$D,$A:$A,$A3700,$B:$B,"&lt;&gt;Patrícia Karla de Sousa Araújo",$B:$B,"&lt;&gt;Lorena Dias de Araujo",$B:$B,"&lt;&gt;Lucas Luiz Romero")*(35/1083),IF(C3700="Técnico II",SUMIFS($D:$D,$A:$A,$A3700,$B:$B,"&lt;&gt;Patrícia Karla de Sousa Araújo",$B:$B,"&lt;&gt;Lorena Dias de Araujo",$B:$B,"&lt;&gt;Lucas Luiz Romero")*(28/1083),IF(C3700="Técnico I",SUMIFS($D:$D,$A:$A,$A3700,$B:$B,"&lt;&gt;Patrícia Karla de Sousa Araújo",$B:$B,"&lt;&gt;Lorena Dias de Araujo",$B:$B,"&lt;&gt;Lucas Luiz Romero")*(23/1083),IF(C3700="JR",SUMIFS($D:$D,$A:$A,$A3700,$B:$B,"&lt;&gt;Patrícia Karla de Sousa Araújo",$B:$B,"&lt;&gt;Lorena Dias de Araujo",$B:$B,"&lt;&gt;Lucas Luiz Romero")*(20/1083),IF(C3700="Estágio",SUMIFS($D:$D,$A:$A,$A3700,$B:$B,"&lt;&gt;Patrícia Karla de Sousa Araújo",$B:$B,"&lt;&gt;Lorena Dias de Araujo",$B:$B,"&lt;&gt;Lucas Luiz Romero")*(10/1083),0)))))),0)</f>
        <v/>
      </c>
      <c r="K3700" s="3">
        <f>I3700-J3700</f>
        <v/>
      </c>
      <c r="L3700" s="3">
        <f>IF(K3700&lt;-5,"CRÍTICO",IF(K3700&lt;0,"ATENÇÃO",IF(K3700&lt;=5,"OPORTUNO","MUITO BOM")))</f>
        <v/>
      </c>
      <c r="N3700" t="n">
        <v>98.81</v>
      </c>
      <c r="O3700" t="n">
        <v>26.25698324022346</v>
      </c>
    </row>
    <row r="3701" hidden="1">
      <c r="A3701" s="11" t="n">
        <v>46118</v>
      </c>
      <c r="B3701" t="inlineStr">
        <is>
          <t>Jéssica Fé Moura</t>
        </is>
      </c>
      <c r="C3701" t="inlineStr">
        <is>
          <t>Técnico III</t>
        </is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s="3" t="n">
        <v>0</v>
      </c>
      <c r="J3701" s="3" t="n">
        <v>0</v>
      </c>
      <c r="K3701" s="3" t="n">
        <v>0</v>
      </c>
      <c r="L3701" s="3">
        <f>IF(K3701&lt;-5,"CRÍTICO",IF(K3701&lt;0,"ATENÇÃO",IF(K3701&lt;=5,"OPORTUNO","MUITO BOM")))</f>
        <v/>
      </c>
      <c r="N3701" t="n">
        <v>0</v>
      </c>
      <c r="O3701" t="n">
        <v>0</v>
      </c>
    </row>
    <row r="3702" hidden="1">
      <c r="A3702" s="11" t="n">
        <v>46118</v>
      </c>
      <c r="B3702" t="inlineStr">
        <is>
          <t>Karina Gonçalves Martins</t>
        </is>
      </c>
      <c r="C3702" t="inlineStr">
        <is>
          <t>JR</t>
        </is>
      </c>
      <c r="D3702" t="n">
        <v>19</v>
      </c>
      <c r="E3702" t="n">
        <v>17</v>
      </c>
      <c r="F3702" t="n">
        <v>23.21</v>
      </c>
      <c r="G3702" t="n">
        <v>0</v>
      </c>
      <c r="H3702" t="n">
        <v>0</v>
      </c>
      <c r="I3702" s="3">
        <f>E3702+G3702+H3702</f>
        <v/>
      </c>
      <c r="J3702" s="3">
        <f>ROUND(MIN(IF(C3702="Técnico III",35,IF(C3702="Técnico II",28,IF(C3702="Técnico I",23,IF(C3702="JR",20,IF(C3702="Estágio",10,0))))),IF(C3702="Técnico III",SUMIFS($D:$D,$A:$A,$A3702,$B:$B,"&lt;&gt;Patrícia Karla de Sousa Araújo",$B:$B,"&lt;&gt;Lorena Dias de Araujo",$B:$B,"&lt;&gt;Lucas Luiz Romero")*(35/1083),IF(C3702="Técnico II",SUMIFS($D:$D,$A:$A,$A3702,$B:$B,"&lt;&gt;Patrícia Karla de Sousa Araújo",$B:$B,"&lt;&gt;Lorena Dias de Araujo",$B:$B,"&lt;&gt;Lucas Luiz Romero")*(28/1083),IF(C3702="Técnico I",SUMIFS($D:$D,$A:$A,$A3702,$B:$B,"&lt;&gt;Patrícia Karla de Sousa Araújo",$B:$B,"&lt;&gt;Lorena Dias de Araujo",$B:$B,"&lt;&gt;Lucas Luiz Romero")*(23/1083),IF(C3702="JR",SUMIFS($D:$D,$A:$A,$A3702,$B:$B,"&lt;&gt;Patrícia Karla de Sousa Araújo",$B:$B,"&lt;&gt;Lorena Dias de Araujo",$B:$B,"&lt;&gt;Lucas Luiz Romero")*(20/1083),IF(C3702="Estágio",SUMIFS($D:$D,$A:$A,$A3702,$B:$B,"&lt;&gt;Patrícia Karla de Sousa Araújo",$B:$B,"&lt;&gt;Lorena Dias de Araujo",$B:$B,"&lt;&gt;Lucas Luiz Romero")*(10/1083),0)))))),0)</f>
        <v/>
      </c>
      <c r="K3702" s="3">
        <f>I3702-J3702</f>
        <v/>
      </c>
      <c r="L3702" s="3">
        <f>IF(K3702&lt;-5,"CRÍTICO",IF(K3702&lt;0,"ATENÇÃO",IF(K3702&lt;=5,"OPORTUNO","MUITO BOM")))</f>
        <v/>
      </c>
      <c r="N3702" t="n">
        <v>97.17</v>
      </c>
      <c r="O3702" t="n">
        <v>28.81844380403458</v>
      </c>
    </row>
    <row r="3703" hidden="1">
      <c r="A3703" s="11" t="n">
        <v>46118</v>
      </c>
      <c r="B3703" t="inlineStr">
        <is>
          <t>Kerollen Cristielly de Jesus Siqueira</t>
        </is>
      </c>
      <c r="C3703" t="inlineStr">
        <is>
          <t>Técnico III</t>
        </is>
      </c>
      <c r="D3703" t="n">
        <v>11</v>
      </c>
      <c r="E3703" t="n">
        <v>9</v>
      </c>
      <c r="F3703" t="n">
        <v>21.4</v>
      </c>
      <c r="G3703" t="n">
        <v>0</v>
      </c>
      <c r="H3703" t="n">
        <v>0</v>
      </c>
      <c r="I3703" s="3">
        <f>E3703+G3703+H3703</f>
        <v/>
      </c>
      <c r="J3703" s="3">
        <f>ROUND(MIN(IF(C3703="Técnico III",35,IF(C3703="Técnico II",28,IF(C3703="Técnico I",23,IF(C3703="JR",20,IF(C3703="Estágio",10,0))))),IF(C3703="Técnico III",SUMIFS($D:$D,$A:$A,$A3703,$B:$B,"&lt;&gt;Patrícia Karla de Sousa Araújo",$B:$B,"&lt;&gt;Lorena Dias de Araujo",$B:$B,"&lt;&gt;Lucas Luiz Romero")*(35/1083),IF(C3703="Técnico II",SUMIFS($D:$D,$A:$A,$A3703,$B:$B,"&lt;&gt;Patrícia Karla de Sousa Araújo",$B:$B,"&lt;&gt;Lorena Dias de Araujo",$B:$B,"&lt;&gt;Lucas Luiz Romero")*(28/1083),IF(C3703="Técnico I",SUMIFS($D:$D,$A:$A,$A3703,$B:$B,"&lt;&gt;Patrícia Karla de Sousa Araújo",$B:$B,"&lt;&gt;Lorena Dias de Araujo",$B:$B,"&lt;&gt;Lucas Luiz Romero")*(23/1083),IF(C3703="JR",SUMIFS($D:$D,$A:$A,$A3703,$B:$B,"&lt;&gt;Patrícia Karla de Sousa Araújo",$B:$B,"&lt;&gt;Lorena Dias de Araujo",$B:$B,"&lt;&gt;Lucas Luiz Romero")*(20/1083),IF(C3703="Estágio",SUMIFS($D:$D,$A:$A,$A3703,$B:$B,"&lt;&gt;Patrícia Karla de Sousa Araújo",$B:$B,"&lt;&gt;Lorena Dias de Araujo",$B:$B,"&lt;&gt;Lucas Luiz Romero")*(10/1083),0)))))),0)</f>
        <v/>
      </c>
      <c r="K3703" s="3">
        <f>I3703-J3703</f>
        <v/>
      </c>
      <c r="L3703" s="3">
        <f>IF(K3703&lt;-5,"CRÍTICO",IF(K3703&lt;0,"ATENÇÃO",IF(K3703&lt;=5,"OPORTUNO","MUITO BOM")))</f>
        <v/>
      </c>
      <c r="N3703" t="n">
        <v>96.81</v>
      </c>
      <c r="O3703" t="n">
        <v>48.01864801864802</v>
      </c>
    </row>
    <row r="3704" hidden="1">
      <c r="A3704" s="11" t="n">
        <v>46118</v>
      </c>
      <c r="B3704" t="inlineStr">
        <is>
          <t>Leandro de Souza Silva</t>
        </is>
      </c>
      <c r="C3704" t="inlineStr">
        <is>
          <t>JR</t>
        </is>
      </c>
      <c r="D3704" t="n">
        <v>15</v>
      </c>
      <c r="E3704" t="n">
        <v>12</v>
      </c>
      <c r="F3704" t="n">
        <v>29.11</v>
      </c>
      <c r="G3704" t="n">
        <v>0</v>
      </c>
      <c r="H3704" t="n">
        <v>0</v>
      </c>
      <c r="I3704" s="3">
        <f>E3704+G3704+H3704</f>
        <v/>
      </c>
      <c r="J3704" s="3">
        <f>ROUND(MIN(IF(C3704="Técnico III",35,IF(C3704="Técnico II",28,IF(C3704="Técnico I",23,IF(C3704="JR",20,IF(C3704="Estágio",10,0))))),IF(C3704="Técnico III",SUMIFS($D:$D,$A:$A,$A3704,$B:$B,"&lt;&gt;Patrícia Karla de Sousa Araújo",$B:$B,"&lt;&gt;Lorena Dias de Araujo",$B:$B,"&lt;&gt;Lucas Luiz Romero")*(35/1083),IF(C3704="Técnico II",SUMIFS($D:$D,$A:$A,$A3704,$B:$B,"&lt;&gt;Patrícia Karla de Sousa Araújo",$B:$B,"&lt;&gt;Lorena Dias de Araujo",$B:$B,"&lt;&gt;Lucas Luiz Romero")*(28/1083),IF(C3704="Técnico I",SUMIFS($D:$D,$A:$A,$A3704,$B:$B,"&lt;&gt;Patrícia Karla de Sousa Araújo",$B:$B,"&lt;&gt;Lorena Dias de Araujo",$B:$B,"&lt;&gt;Lucas Luiz Romero")*(23/1083),IF(C3704="JR",SUMIFS($D:$D,$A:$A,$A3704,$B:$B,"&lt;&gt;Patrícia Karla de Sousa Araújo",$B:$B,"&lt;&gt;Lorena Dias de Araujo",$B:$B,"&lt;&gt;Lucas Luiz Romero")*(20/1083),IF(C3704="Estágio",SUMIFS($D:$D,$A:$A,$A3704,$B:$B,"&lt;&gt;Patrícia Karla de Sousa Araújo",$B:$B,"&lt;&gt;Lorena Dias de Araujo",$B:$B,"&lt;&gt;Lucas Luiz Romero")*(10/1083),0)))))),0)</f>
        <v/>
      </c>
      <c r="K3704" s="3">
        <f>I3704-J3704</f>
        <v/>
      </c>
      <c r="L3704" s="3">
        <f>IF(K3704&lt;-5,"CRÍTICO",IF(K3704&lt;0,"ATENÇÃO",IF(K3704&lt;=5,"OPORTUNO","MUITO BOM")))</f>
        <v/>
      </c>
      <c r="N3704" t="n">
        <v>98.15000000000001</v>
      </c>
      <c r="O3704" t="n">
        <v>27.1551724137931</v>
      </c>
    </row>
    <row r="3705" hidden="1">
      <c r="A3705" s="11" t="n">
        <v>46118</v>
      </c>
      <c r="B3705" t="inlineStr">
        <is>
          <t>Leandro Oliveira de Sousa</t>
        </is>
      </c>
      <c r="C3705" t="inlineStr">
        <is>
          <t>Técnico III</t>
        </is>
      </c>
      <c r="D3705" t="n">
        <v>31</v>
      </c>
      <c r="E3705" t="n">
        <v>29</v>
      </c>
      <c r="F3705" t="n">
        <v>16.54</v>
      </c>
      <c r="G3705" t="n">
        <v>0</v>
      </c>
      <c r="H3705" t="n">
        <v>0</v>
      </c>
      <c r="I3705" s="3">
        <f>E3705+G3705+H3705</f>
        <v/>
      </c>
      <c r="J3705" s="3">
        <f>ROUND(MIN(IF(C3705="Técnico III",35,IF(C3705="Técnico II",28,IF(C3705="Técnico I",23,IF(C3705="JR",20,IF(C3705="Estágio",10,0))))),IF(C3705="Técnico III",SUMIFS($D:$D,$A:$A,$A3705,$B:$B,"&lt;&gt;Patrícia Karla de Sousa Araújo",$B:$B,"&lt;&gt;Lorena Dias de Araujo",$B:$B,"&lt;&gt;Lucas Luiz Romero")*(35/1083),IF(C3705="Técnico II",SUMIFS($D:$D,$A:$A,$A3705,$B:$B,"&lt;&gt;Patrícia Karla de Sousa Araújo",$B:$B,"&lt;&gt;Lorena Dias de Araujo",$B:$B,"&lt;&gt;Lucas Luiz Romero")*(28/1083),IF(C3705="Técnico I",SUMIFS($D:$D,$A:$A,$A3705,$B:$B,"&lt;&gt;Patrícia Karla de Sousa Araújo",$B:$B,"&lt;&gt;Lorena Dias de Araujo",$B:$B,"&lt;&gt;Lucas Luiz Romero")*(23/1083),IF(C3705="JR",SUMIFS($D:$D,$A:$A,$A3705,$B:$B,"&lt;&gt;Patrícia Karla de Sousa Araújo",$B:$B,"&lt;&gt;Lorena Dias de Araujo",$B:$B,"&lt;&gt;Lucas Luiz Romero")*(20/1083),IF(C3705="Estágio",SUMIFS($D:$D,$A:$A,$A3705,$B:$B,"&lt;&gt;Patrícia Karla de Sousa Araújo",$B:$B,"&lt;&gt;Lorena Dias de Araujo",$B:$B,"&lt;&gt;Lucas Luiz Romero")*(10/1083),0)))))),0)</f>
        <v/>
      </c>
      <c r="K3705" s="3">
        <f>I3705-J3705</f>
        <v/>
      </c>
      <c r="L3705" s="3">
        <f>IF(K3705&lt;-5,"CRÍTICO",IF(K3705&lt;0,"ATENÇÃO",IF(K3705&lt;=5,"OPORTUNO","MUITO BOM")))</f>
        <v/>
      </c>
      <c r="N3705" t="n">
        <v>99.15000000000001</v>
      </c>
      <c r="O3705" t="n">
        <v>27.37068965517241</v>
      </c>
    </row>
    <row r="3706" hidden="1">
      <c r="A3706" s="11" t="n">
        <v>46118</v>
      </c>
      <c r="B3706" t="inlineStr">
        <is>
          <t>Lizandra Gomes Duarte</t>
        </is>
      </c>
      <c r="C3706" t="inlineStr">
        <is>
          <t>Técnico II</t>
        </is>
      </c>
      <c r="D3706" t="n">
        <v>24</v>
      </c>
      <c r="E3706" t="n">
        <v>23</v>
      </c>
      <c r="F3706" t="n">
        <v>22.19</v>
      </c>
      <c r="G3706" t="n">
        <v>0</v>
      </c>
      <c r="H3706" t="n">
        <v>0</v>
      </c>
      <c r="I3706" s="3">
        <f>E3706+G3706+H3706</f>
        <v/>
      </c>
      <c r="J3706" s="3">
        <f>ROUND(MIN(IF(C3706="Técnico III",35,IF(C3706="Técnico II",28,IF(C3706="Técnico I",23,IF(C3706="JR",20,IF(C3706="Estágio",10,0))))),IF(C3706="Técnico III",SUMIFS($D:$D,$A:$A,$A3706,$B:$B,"&lt;&gt;Patrícia Karla de Sousa Araújo",$B:$B,"&lt;&gt;Lorena Dias de Araujo",$B:$B,"&lt;&gt;Lucas Luiz Romero")*(35/1083),IF(C3706="Técnico II",SUMIFS($D:$D,$A:$A,$A3706,$B:$B,"&lt;&gt;Patrícia Karla de Sousa Araújo",$B:$B,"&lt;&gt;Lorena Dias de Araujo",$B:$B,"&lt;&gt;Lucas Luiz Romero")*(28/1083),IF(C3706="Técnico I",SUMIFS($D:$D,$A:$A,$A3706,$B:$B,"&lt;&gt;Patrícia Karla de Sousa Araújo",$B:$B,"&lt;&gt;Lorena Dias de Araujo",$B:$B,"&lt;&gt;Lucas Luiz Romero")*(23/1083),IF(C3706="JR",SUMIFS($D:$D,$A:$A,$A3706,$B:$B,"&lt;&gt;Patrícia Karla de Sousa Araújo",$B:$B,"&lt;&gt;Lorena Dias de Araujo",$B:$B,"&lt;&gt;Lucas Luiz Romero")*(20/1083),IF(C3706="Estágio",SUMIFS($D:$D,$A:$A,$A3706,$B:$B,"&lt;&gt;Patrícia Karla de Sousa Araújo",$B:$B,"&lt;&gt;Lorena Dias de Araujo",$B:$B,"&lt;&gt;Lucas Luiz Romero")*(10/1083),0)))))),0)</f>
        <v/>
      </c>
      <c r="K3706" s="3">
        <f>I3706-J3706</f>
        <v/>
      </c>
      <c r="L3706" s="3">
        <f>IF(K3706&lt;-5,"CRÍTICO",IF(K3706&lt;0,"ATENÇÃO",IF(K3706&lt;=5,"OPORTUNO","MUITO BOM")))</f>
        <v/>
      </c>
      <c r="N3706" t="n">
        <v>99.17</v>
      </c>
      <c r="O3706" t="n">
        <v>29.75206611570248</v>
      </c>
    </row>
    <row r="3707" hidden="1">
      <c r="A3707" s="11" t="n">
        <v>46118</v>
      </c>
      <c r="B3707" t="inlineStr">
        <is>
          <t>Lorena Dias de Araujo</t>
        </is>
      </c>
      <c r="C3707" t="inlineStr">
        <is>
          <t>Técnico II</t>
        </is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s="3" t="n">
        <v>0</v>
      </c>
      <c r="J3707" s="3" t="n">
        <v>0</v>
      </c>
      <c r="K3707" s="3" t="n">
        <v>0</v>
      </c>
      <c r="L3707" s="3">
        <f>IF(K3707&lt;-5,"CRÍTICO",IF(K3707&lt;0,"ATENÇÃO",IF(K3707&lt;=5,"OPORTUNO","MUITO BOM")))</f>
        <v/>
      </c>
      <c r="N3707" t="n">
        <v>98.73</v>
      </c>
      <c r="O3707" t="n">
        <v>28.96174863387978</v>
      </c>
    </row>
    <row r="3708" hidden="1">
      <c r="A3708" s="11" t="n">
        <v>46118</v>
      </c>
      <c r="B3708" t="inlineStr">
        <is>
          <t>Lucas Luiz Romero</t>
        </is>
      </c>
      <c r="C3708" t="inlineStr">
        <is>
          <t>Técnico III</t>
        </is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s="3" t="n">
        <v>0</v>
      </c>
      <c r="J3708" s="3" t="n">
        <v>0</v>
      </c>
      <c r="K3708" s="3" t="n">
        <v>0</v>
      </c>
      <c r="L3708" s="3">
        <f>IF(K3708&lt;-5,"CRÍTICO",IF(K3708&lt;0,"ATENÇÃO",IF(K3708&lt;=5,"OPORTUNO","MUITO BOM")))</f>
        <v/>
      </c>
      <c r="N3708" t="n">
        <v>88.68000000000001</v>
      </c>
      <c r="O3708" t="n">
        <v>22.03389830508474</v>
      </c>
    </row>
    <row r="3709" hidden="1">
      <c r="A3709" s="11" t="n">
        <v>46118</v>
      </c>
      <c r="B3709" t="inlineStr">
        <is>
          <t>Luiz Fernando de Carvalho Junior</t>
        </is>
      </c>
      <c r="C3709" t="inlineStr">
        <is>
          <t>Técnico I</t>
        </is>
      </c>
      <c r="D3709" t="n">
        <v>24</v>
      </c>
      <c r="E3709" t="n">
        <v>23</v>
      </c>
      <c r="F3709" t="n">
        <v>20.4</v>
      </c>
      <c r="G3709" t="n">
        <v>0</v>
      </c>
      <c r="H3709" t="n">
        <v>0</v>
      </c>
      <c r="I3709" s="3">
        <f>E3709+G3709+H3709</f>
        <v/>
      </c>
      <c r="J3709" s="3">
        <f>ROUND(MIN(IF(C3709="Técnico III",35,IF(C3709="Técnico II",28,IF(C3709="Técnico I",23,IF(C3709="JR",20,IF(C3709="Estágio",10,0))))),IF(C3709="Técnico III",SUMIFS($D:$D,$A:$A,$A3709,$B:$B,"&lt;&gt;Patrícia Karla de Sousa Araújo",$B:$B,"&lt;&gt;Lorena Dias de Araujo",$B:$B,"&lt;&gt;Lucas Luiz Romero")*(35/1083),IF(C3709="Técnico II",SUMIFS($D:$D,$A:$A,$A3709,$B:$B,"&lt;&gt;Patrícia Karla de Sousa Araújo",$B:$B,"&lt;&gt;Lorena Dias de Araujo",$B:$B,"&lt;&gt;Lucas Luiz Romero")*(28/1083),IF(C3709="Técnico I",SUMIFS($D:$D,$A:$A,$A3709,$B:$B,"&lt;&gt;Patrícia Karla de Sousa Araújo",$B:$B,"&lt;&gt;Lorena Dias de Araujo",$B:$B,"&lt;&gt;Lucas Luiz Romero")*(23/1083),IF(C3709="JR",SUMIFS($D:$D,$A:$A,$A3709,$B:$B,"&lt;&gt;Patrícia Karla de Sousa Araújo",$B:$B,"&lt;&gt;Lorena Dias de Araujo",$B:$B,"&lt;&gt;Lucas Luiz Romero")*(20/1083),IF(C3709="Estágio",SUMIFS($D:$D,$A:$A,$A3709,$B:$B,"&lt;&gt;Patrícia Karla de Sousa Araújo",$B:$B,"&lt;&gt;Lorena Dias de Araujo",$B:$B,"&lt;&gt;Lucas Luiz Romero")*(10/1083),0)))))),0)</f>
        <v/>
      </c>
      <c r="K3709" s="3">
        <f>I3709-J3709</f>
        <v/>
      </c>
      <c r="L3709" s="3">
        <f>IF(K3709&lt;-5,"CRÍTICO",IF(K3709&lt;0,"ATENÇÃO",IF(K3709&lt;=5,"OPORTUNO","MUITO BOM")))</f>
        <v/>
      </c>
      <c r="N3709" t="n">
        <v>97.37</v>
      </c>
      <c r="O3709" t="n">
        <v>25.76530612244898</v>
      </c>
    </row>
    <row r="3710" hidden="1">
      <c r="A3710" s="11" t="n">
        <v>46118</v>
      </c>
      <c r="B3710" t="inlineStr">
        <is>
          <t>Maria Eduarda Sousa Costa</t>
        </is>
      </c>
      <c r="C3710" t="inlineStr">
        <is>
          <t>Estágio</t>
        </is>
      </c>
      <c r="D3710" t="n">
        <v>11</v>
      </c>
      <c r="E3710" t="n">
        <v>10</v>
      </c>
      <c r="F3710" t="n">
        <v>27.37</v>
      </c>
      <c r="G3710" t="n">
        <v>0</v>
      </c>
      <c r="H3710" t="n">
        <v>0</v>
      </c>
      <c r="I3710" s="3">
        <f>E3710+G3710+H3710</f>
        <v/>
      </c>
      <c r="J3710" s="3">
        <f>ROUND(MIN(IF(C3710="Técnico III",35,IF(C3710="Técnico II",28,IF(C3710="Técnico I",23,IF(C3710="JR",20,IF(C3710="Estágio",10,0))))),IF(C3710="Técnico III",SUMIFS($D:$D,$A:$A,$A3710,$B:$B,"&lt;&gt;Patrícia Karla de Sousa Araújo",$B:$B,"&lt;&gt;Lorena Dias de Araujo",$B:$B,"&lt;&gt;Lucas Luiz Romero")*(35/1083),IF(C3710="Técnico II",SUMIFS($D:$D,$A:$A,$A3710,$B:$B,"&lt;&gt;Patrícia Karla de Sousa Araújo",$B:$B,"&lt;&gt;Lorena Dias de Araujo",$B:$B,"&lt;&gt;Lucas Luiz Romero")*(28/1083),IF(C3710="Técnico I",SUMIFS($D:$D,$A:$A,$A3710,$B:$B,"&lt;&gt;Patrícia Karla de Sousa Araújo",$B:$B,"&lt;&gt;Lorena Dias de Araujo",$B:$B,"&lt;&gt;Lucas Luiz Romero")*(23/1083),IF(C3710="JR",SUMIFS($D:$D,$A:$A,$A3710,$B:$B,"&lt;&gt;Patrícia Karla de Sousa Araújo",$B:$B,"&lt;&gt;Lorena Dias de Araujo",$B:$B,"&lt;&gt;Lucas Luiz Romero")*(20/1083),IF(C3710="Estágio",SUMIFS($D:$D,$A:$A,$A3710,$B:$B,"&lt;&gt;Patrícia Karla de Sousa Araújo",$B:$B,"&lt;&gt;Lorena Dias de Araujo",$B:$B,"&lt;&gt;Lucas Luiz Romero")*(10/1083),0)))))),0)</f>
        <v/>
      </c>
      <c r="K3710" s="3">
        <f>I3710-J3710</f>
        <v/>
      </c>
      <c r="L3710" s="3">
        <f>IF(K3710&lt;-5,"CRÍTICO",IF(K3710&lt;0,"ATENÇÃO",IF(K3710&lt;=5,"OPORTUNO","MUITO BOM")))</f>
        <v/>
      </c>
      <c r="N3710" t="n">
        <v>100</v>
      </c>
      <c r="O3710" t="n">
        <v>25</v>
      </c>
    </row>
    <row r="3711" hidden="1">
      <c r="A3711" s="11" t="n">
        <v>46118</v>
      </c>
      <c r="B3711" t="inlineStr">
        <is>
          <t>Matheus Farias De Souza</t>
        </is>
      </c>
      <c r="C3711" t="inlineStr">
        <is>
          <t>Técnico III</t>
        </is>
      </c>
      <c r="D3711" t="n">
        <v>44</v>
      </c>
      <c r="E3711" t="n">
        <v>42</v>
      </c>
      <c r="F3711" t="n">
        <v>12.16</v>
      </c>
      <c r="G3711" t="n">
        <v>0</v>
      </c>
      <c r="H3711" t="n">
        <v>0</v>
      </c>
      <c r="I3711" s="3">
        <f>E3711+G3711+H3711</f>
        <v/>
      </c>
      <c r="J3711" s="3">
        <f>ROUND(MIN(IF(C3711="Técnico III",35,IF(C3711="Técnico II",28,IF(C3711="Técnico I",23,IF(C3711="JR",20,IF(C3711="Estágio",10,0))))),IF(C3711="Técnico III",SUMIFS($D:$D,$A:$A,$A3711,$B:$B,"&lt;&gt;Patrícia Karla de Sousa Araújo",$B:$B,"&lt;&gt;Lorena Dias de Araujo",$B:$B,"&lt;&gt;Lucas Luiz Romero")*(35/1083),IF(C3711="Técnico II",SUMIFS($D:$D,$A:$A,$A3711,$B:$B,"&lt;&gt;Patrícia Karla de Sousa Araújo",$B:$B,"&lt;&gt;Lorena Dias de Araujo",$B:$B,"&lt;&gt;Lucas Luiz Romero")*(28/1083),IF(C3711="Técnico I",SUMIFS($D:$D,$A:$A,$A3711,$B:$B,"&lt;&gt;Patrícia Karla de Sousa Araújo",$B:$B,"&lt;&gt;Lorena Dias de Araujo",$B:$B,"&lt;&gt;Lucas Luiz Romero")*(23/1083),IF(C3711="JR",SUMIFS($D:$D,$A:$A,$A3711,$B:$B,"&lt;&gt;Patrícia Karla de Sousa Araújo",$B:$B,"&lt;&gt;Lorena Dias de Araujo",$B:$B,"&lt;&gt;Lucas Luiz Romero")*(20/1083),IF(C3711="Estágio",SUMIFS($D:$D,$A:$A,$A3711,$B:$B,"&lt;&gt;Patrícia Karla de Sousa Araújo",$B:$B,"&lt;&gt;Lorena Dias de Araujo",$B:$B,"&lt;&gt;Lucas Luiz Romero")*(10/1083),0)))))),0)</f>
        <v/>
      </c>
      <c r="K3711" s="3">
        <f>I3711-J3711</f>
        <v/>
      </c>
      <c r="L3711" s="3">
        <f>IF(K3711&lt;-5,"CRÍTICO",IF(K3711&lt;0,"ATENÇÃO",IF(K3711&lt;=5,"OPORTUNO","MUITO BOM")))</f>
        <v/>
      </c>
      <c r="N3711" t="n">
        <v>100</v>
      </c>
      <c r="O3711" t="n">
        <v>23.9870340356564</v>
      </c>
    </row>
    <row r="3712" hidden="1">
      <c r="A3712" s="11" t="n">
        <v>46118</v>
      </c>
      <c r="B3712" t="inlineStr">
        <is>
          <t>Maysa Victoria Dias Moura</t>
        </is>
      </c>
      <c r="C3712" t="inlineStr">
        <is>
          <t>Técnico III</t>
        </is>
      </c>
      <c r="D3712" t="n">
        <v>27</v>
      </c>
      <c r="E3712" t="n">
        <v>25</v>
      </c>
      <c r="F3712" t="n">
        <v>18.48</v>
      </c>
      <c r="G3712" t="n">
        <v>0</v>
      </c>
      <c r="H3712" t="n">
        <v>0</v>
      </c>
      <c r="I3712" s="3">
        <f>E3712+G3712+H3712</f>
        <v/>
      </c>
      <c r="J3712" s="3">
        <f>ROUND(MIN(IF(C3712="Técnico III",35,IF(C3712="Técnico II",28,IF(C3712="Técnico I",23,IF(C3712="JR",20,IF(C3712="Estágio",10,0))))),IF(C3712="Técnico III",SUMIFS($D:$D,$A:$A,$A3712,$B:$B,"&lt;&gt;Patrícia Karla de Sousa Araújo",$B:$B,"&lt;&gt;Lorena Dias de Araujo",$B:$B,"&lt;&gt;Lucas Luiz Romero")*(35/1083),IF(C3712="Técnico II",SUMIFS($D:$D,$A:$A,$A3712,$B:$B,"&lt;&gt;Patrícia Karla de Sousa Araújo",$B:$B,"&lt;&gt;Lorena Dias de Araujo",$B:$B,"&lt;&gt;Lucas Luiz Romero")*(28/1083),IF(C3712="Técnico I",SUMIFS($D:$D,$A:$A,$A3712,$B:$B,"&lt;&gt;Patrícia Karla de Sousa Araújo",$B:$B,"&lt;&gt;Lorena Dias de Araujo",$B:$B,"&lt;&gt;Lucas Luiz Romero")*(23/1083),IF(C3712="JR",SUMIFS($D:$D,$A:$A,$A3712,$B:$B,"&lt;&gt;Patrícia Karla de Sousa Araújo",$B:$B,"&lt;&gt;Lorena Dias de Araujo",$B:$B,"&lt;&gt;Lucas Luiz Romero")*(20/1083),IF(C3712="Estágio",SUMIFS($D:$D,$A:$A,$A3712,$B:$B,"&lt;&gt;Patrícia Karla de Sousa Araújo",$B:$B,"&lt;&gt;Lorena Dias de Araujo",$B:$B,"&lt;&gt;Lucas Luiz Romero")*(10/1083),0)))))),0)</f>
        <v/>
      </c>
      <c r="K3712" s="3">
        <f>I3712-J3712</f>
        <v/>
      </c>
      <c r="L3712" s="3">
        <f>IF(K3712&lt;-5,"CRÍTICO",IF(K3712&lt;0,"ATENÇÃO",IF(K3712&lt;=5,"OPORTUNO","MUITO BOM")))</f>
        <v/>
      </c>
      <c r="N3712" t="n">
        <v>95.48999999999999</v>
      </c>
      <c r="O3712" t="n">
        <v>28.16901408450704</v>
      </c>
    </row>
    <row r="3713" hidden="1">
      <c r="A3713" s="11" t="n">
        <v>46118</v>
      </c>
      <c r="B3713" t="inlineStr">
        <is>
          <t>Michelle G Santos</t>
        </is>
      </c>
      <c r="C3713" t="inlineStr">
        <is>
          <t>Estágio</t>
        </is>
      </c>
      <c r="D3713" t="n">
        <v>7</v>
      </c>
      <c r="E3713" t="n">
        <v>5</v>
      </c>
      <c r="F3713" t="n">
        <v>20.12</v>
      </c>
      <c r="G3713" t="n">
        <v>0</v>
      </c>
      <c r="H3713" t="n">
        <v>0</v>
      </c>
      <c r="I3713" s="3">
        <f>E3713+G3713+H3713</f>
        <v/>
      </c>
      <c r="J3713" s="3">
        <f>ROUND(MIN(IF(C3713="Técnico III",35,IF(C3713="Técnico II",28,IF(C3713="Técnico I",23,IF(C3713="JR",20,IF(C3713="Estágio",10,0))))),IF(C3713="Técnico III",SUMIFS($D:$D,$A:$A,$A3713,$B:$B,"&lt;&gt;Patrícia Karla de Sousa Araújo",$B:$B,"&lt;&gt;Lorena Dias de Araujo",$B:$B,"&lt;&gt;Lucas Luiz Romero")*(35/1083),IF(C3713="Técnico II",SUMIFS($D:$D,$A:$A,$A3713,$B:$B,"&lt;&gt;Patrícia Karla de Sousa Araújo",$B:$B,"&lt;&gt;Lorena Dias de Araujo",$B:$B,"&lt;&gt;Lucas Luiz Romero")*(28/1083),IF(C3713="Técnico I",SUMIFS($D:$D,$A:$A,$A3713,$B:$B,"&lt;&gt;Patrícia Karla de Sousa Araújo",$B:$B,"&lt;&gt;Lorena Dias de Araujo",$B:$B,"&lt;&gt;Lucas Luiz Romero")*(23/1083),IF(C3713="JR",SUMIFS($D:$D,$A:$A,$A3713,$B:$B,"&lt;&gt;Patrícia Karla de Sousa Araújo",$B:$B,"&lt;&gt;Lorena Dias de Araujo",$B:$B,"&lt;&gt;Lucas Luiz Romero")*(20/1083),IF(C3713="Estágio",SUMIFS($D:$D,$A:$A,$A3713,$B:$B,"&lt;&gt;Patrícia Karla de Sousa Araújo",$B:$B,"&lt;&gt;Lorena Dias de Araujo",$B:$B,"&lt;&gt;Lucas Luiz Romero")*(10/1083),0)))))),0)</f>
        <v/>
      </c>
      <c r="K3713" s="3">
        <f>I3713-J3713</f>
        <v/>
      </c>
      <c r="L3713" s="3">
        <f>IF(K3713&lt;-5,"CRÍTICO",IF(K3713&lt;0,"ATENÇÃO",IF(K3713&lt;=5,"OPORTUNO","MUITO BOM")))</f>
        <v/>
      </c>
      <c r="N3713" t="n">
        <v>100</v>
      </c>
      <c r="O3713" t="n">
        <v>23.77622377622378</v>
      </c>
    </row>
    <row r="3714" hidden="1">
      <c r="A3714" s="11" t="n">
        <v>46118</v>
      </c>
      <c r="B3714" t="inlineStr">
        <is>
          <t>Milena Sales</t>
        </is>
      </c>
      <c r="C3714" t="inlineStr">
        <is>
          <t>JR</t>
        </is>
      </c>
      <c r="D3714" t="n">
        <v>27</v>
      </c>
      <c r="E3714" t="n">
        <v>23</v>
      </c>
      <c r="F3714" t="n">
        <v>23.53</v>
      </c>
      <c r="G3714" t="n">
        <v>0</v>
      </c>
      <c r="H3714" t="n">
        <v>0</v>
      </c>
      <c r="I3714" s="3">
        <f>E3714+G3714+H3714</f>
        <v/>
      </c>
      <c r="J3714" s="3">
        <f>ROUND(MIN(IF(C3714="Técnico III",35,IF(C3714="Técnico II",28,IF(C3714="Técnico I",23,IF(C3714="JR",20,IF(C3714="Estágio",10,0))))),IF(C3714="Técnico III",SUMIFS($D:$D,$A:$A,$A3714,$B:$B,"&lt;&gt;Patrícia Karla de Sousa Araújo",$B:$B,"&lt;&gt;Lorena Dias de Araujo",$B:$B,"&lt;&gt;Lucas Luiz Romero")*(35/1083),IF(C3714="Técnico II",SUMIFS($D:$D,$A:$A,$A3714,$B:$B,"&lt;&gt;Patrícia Karla de Sousa Araújo",$B:$B,"&lt;&gt;Lorena Dias de Araujo",$B:$B,"&lt;&gt;Lucas Luiz Romero")*(28/1083),IF(C3714="Técnico I",SUMIFS($D:$D,$A:$A,$A3714,$B:$B,"&lt;&gt;Patrícia Karla de Sousa Araújo",$B:$B,"&lt;&gt;Lorena Dias de Araujo",$B:$B,"&lt;&gt;Lucas Luiz Romero")*(23/1083),IF(C3714="JR",SUMIFS($D:$D,$A:$A,$A3714,$B:$B,"&lt;&gt;Patrícia Karla de Sousa Araújo",$B:$B,"&lt;&gt;Lorena Dias de Araujo",$B:$B,"&lt;&gt;Lucas Luiz Romero")*(20/1083),IF(C3714="Estágio",SUMIFS($D:$D,$A:$A,$A3714,$B:$B,"&lt;&gt;Patrícia Karla de Sousa Araújo",$B:$B,"&lt;&gt;Lorena Dias de Araujo",$B:$B,"&lt;&gt;Lucas Luiz Romero")*(10/1083),0)))))),0)</f>
        <v/>
      </c>
      <c r="K3714" s="3">
        <f>I3714-J3714</f>
        <v/>
      </c>
      <c r="L3714" s="3">
        <f>IF(K3714&lt;-5,"CRÍTICO",IF(K3714&lt;0,"ATENÇÃO",IF(K3714&lt;=5,"OPORTUNO","MUITO BOM")))</f>
        <v/>
      </c>
      <c r="N3714" t="n">
        <v>96.15000000000001</v>
      </c>
      <c r="O3714" t="n">
        <v>24.04580152671756</v>
      </c>
    </row>
    <row r="3715" hidden="1">
      <c r="A3715" s="11" t="n">
        <v>46118</v>
      </c>
      <c r="B3715" t="inlineStr">
        <is>
          <t>Patrícia Karla de Sousa Araújo</t>
        </is>
      </c>
      <c r="C3715" t="inlineStr">
        <is>
          <t>Técnico II</t>
        </is>
      </c>
      <c r="D3715" t="n">
        <v>31</v>
      </c>
      <c r="E3715" t="n">
        <v>27</v>
      </c>
      <c r="F3715" t="n">
        <v>20.23</v>
      </c>
      <c r="G3715" t="n">
        <v>0</v>
      </c>
      <c r="H3715" t="n">
        <v>0</v>
      </c>
      <c r="I3715" s="3">
        <f>E3715+G3715+H3715</f>
        <v/>
      </c>
      <c r="J3715" s="3">
        <f>ROUND(MIN(IF(C3715="Técnico III",35,IF(C3715="Técnico II",28,IF(C3715="Técnico I",23,IF(C3715="JR",20,IF(C3715="Estágio",10,0))))),IF(C3715="Técnico III",SUMIFS($D:$D,$A:$A,$A3715,$B:$B,"&lt;&gt;Patrícia Karla de Sousa Araújo",$B:$B,"&lt;&gt;Lorena Dias de Araujo",$B:$B,"&lt;&gt;Lucas Luiz Romero")*(35/1083),IF(C3715="Técnico II",SUMIFS($D:$D,$A:$A,$A3715,$B:$B,"&lt;&gt;Patrícia Karla de Sousa Araújo",$B:$B,"&lt;&gt;Lorena Dias de Araujo",$B:$B,"&lt;&gt;Lucas Luiz Romero")*(28/1083),IF(C3715="Técnico I",SUMIFS($D:$D,$A:$A,$A3715,$B:$B,"&lt;&gt;Patrícia Karla de Sousa Araújo",$B:$B,"&lt;&gt;Lorena Dias de Araujo",$B:$B,"&lt;&gt;Lucas Luiz Romero")*(23/1083),IF(C3715="JR",SUMIFS($D:$D,$A:$A,$A3715,$B:$B,"&lt;&gt;Patrícia Karla de Sousa Araújo",$B:$B,"&lt;&gt;Lorena Dias de Araujo",$B:$B,"&lt;&gt;Lucas Luiz Romero")*(20/1083),IF(C3715="Estágio",SUMIFS($D:$D,$A:$A,$A3715,$B:$B,"&lt;&gt;Patrícia Karla de Sousa Araújo",$B:$B,"&lt;&gt;Lorena Dias de Araujo",$B:$B,"&lt;&gt;Lucas Luiz Romero")*(10/1083),0)))))),0)</f>
        <v/>
      </c>
      <c r="K3715" s="3">
        <f>I3715-J3715</f>
        <v/>
      </c>
      <c r="L3715" s="3">
        <f>IF(K3715&lt;-5,"CRÍTICO",IF(K3715&lt;0,"ATENÇÃO",IF(K3715&lt;=5,"OPORTUNO","MUITO BOM")))</f>
        <v/>
      </c>
      <c r="N3715" t="n">
        <v>99.02</v>
      </c>
      <c r="O3715" t="n">
        <v>34.7972972972973</v>
      </c>
    </row>
    <row r="3716" hidden="1">
      <c r="A3716" s="11" t="n">
        <v>46118</v>
      </c>
      <c r="B3716" t="inlineStr">
        <is>
          <t>Paulo Ricardo Santos</t>
        </is>
      </c>
      <c r="C3716" t="inlineStr">
        <is>
          <t>JR</t>
        </is>
      </c>
      <c r="D3716" t="n">
        <v>21</v>
      </c>
      <c r="E3716" t="n">
        <v>17</v>
      </c>
      <c r="F3716" t="n">
        <v>12.21</v>
      </c>
      <c r="G3716" t="n">
        <v>0</v>
      </c>
      <c r="H3716" t="n">
        <v>0</v>
      </c>
      <c r="I3716" s="3">
        <f>E3716+G3716+H3716</f>
        <v/>
      </c>
      <c r="J3716" s="3">
        <f>ROUND(MIN(IF(C3716="Técnico III",35,IF(C3716="Técnico II",28,IF(C3716="Técnico I",23,IF(C3716="JR",20,IF(C3716="Estágio",10,0))))),IF(C3716="Técnico III",SUMIFS($D:$D,$A:$A,$A3716,$B:$B,"&lt;&gt;Patrícia Karla de Sousa Araújo",$B:$B,"&lt;&gt;Lorena Dias de Araujo",$B:$B,"&lt;&gt;Lucas Luiz Romero")*(35/1083),IF(C3716="Técnico II",SUMIFS($D:$D,$A:$A,$A3716,$B:$B,"&lt;&gt;Patrícia Karla de Sousa Araújo",$B:$B,"&lt;&gt;Lorena Dias de Araujo",$B:$B,"&lt;&gt;Lucas Luiz Romero")*(28/1083),IF(C3716="Técnico I",SUMIFS($D:$D,$A:$A,$A3716,$B:$B,"&lt;&gt;Patrícia Karla de Sousa Araújo",$B:$B,"&lt;&gt;Lorena Dias de Araujo",$B:$B,"&lt;&gt;Lucas Luiz Romero")*(23/1083),IF(C3716="JR",SUMIFS($D:$D,$A:$A,$A3716,$B:$B,"&lt;&gt;Patrícia Karla de Sousa Araújo",$B:$B,"&lt;&gt;Lorena Dias de Araujo",$B:$B,"&lt;&gt;Lucas Luiz Romero")*(20/1083),IF(C3716="Estágio",SUMIFS($D:$D,$A:$A,$A3716,$B:$B,"&lt;&gt;Patrícia Karla de Sousa Araújo",$B:$B,"&lt;&gt;Lorena Dias de Araujo",$B:$B,"&lt;&gt;Lucas Luiz Romero")*(10/1083),0)))))),0)</f>
        <v/>
      </c>
      <c r="K3716" s="3">
        <f>I3716-J3716</f>
        <v/>
      </c>
      <c r="L3716" s="3">
        <f>IF(K3716&lt;-5,"CRÍTICO",IF(K3716&lt;0,"ATENÇÃO",IF(K3716&lt;=5,"OPORTUNO","MUITO BOM")))</f>
        <v/>
      </c>
      <c r="N3716" t="n">
        <v>98.84</v>
      </c>
      <c r="O3716" t="n">
        <v>31.5018315018315</v>
      </c>
    </row>
    <row r="3717" hidden="1">
      <c r="A3717" s="11" t="n">
        <v>46118</v>
      </c>
      <c r="B3717" t="inlineStr">
        <is>
          <t>Pedro Luiz Mota Sousa</t>
        </is>
      </c>
      <c r="C3717" t="inlineStr">
        <is>
          <t>JR</t>
        </is>
      </c>
      <c r="D3717" t="n">
        <v>21</v>
      </c>
      <c r="E3717" t="n">
        <v>20</v>
      </c>
      <c r="F3717" t="n">
        <v>22.04</v>
      </c>
      <c r="G3717" t="n">
        <v>0</v>
      </c>
      <c r="H3717" t="n">
        <v>0</v>
      </c>
      <c r="I3717" s="3">
        <f>E3717+G3717+H3717</f>
        <v/>
      </c>
      <c r="J3717" s="3">
        <f>ROUND(MIN(IF(C3717="Técnico III",35,IF(C3717="Técnico II",28,IF(C3717="Técnico I",23,IF(C3717="JR",20,IF(C3717="Estágio",10,0))))),IF(C3717="Técnico III",SUMIFS($D:$D,$A:$A,$A3717,$B:$B,"&lt;&gt;Patrícia Karla de Sousa Araújo",$B:$B,"&lt;&gt;Lorena Dias de Araujo",$B:$B,"&lt;&gt;Lucas Luiz Romero")*(35/1083),IF(C3717="Técnico II",SUMIFS($D:$D,$A:$A,$A3717,$B:$B,"&lt;&gt;Patrícia Karla de Sousa Araújo",$B:$B,"&lt;&gt;Lorena Dias de Araujo",$B:$B,"&lt;&gt;Lucas Luiz Romero")*(28/1083),IF(C3717="Técnico I",SUMIFS($D:$D,$A:$A,$A3717,$B:$B,"&lt;&gt;Patrícia Karla de Sousa Araújo",$B:$B,"&lt;&gt;Lorena Dias de Araujo",$B:$B,"&lt;&gt;Lucas Luiz Romero")*(23/1083),IF(C3717="JR",SUMIFS($D:$D,$A:$A,$A3717,$B:$B,"&lt;&gt;Patrícia Karla de Sousa Araújo",$B:$B,"&lt;&gt;Lorena Dias de Araujo",$B:$B,"&lt;&gt;Lucas Luiz Romero")*(20/1083),IF(C3717="Estágio",SUMIFS($D:$D,$A:$A,$A3717,$B:$B,"&lt;&gt;Patrícia Karla de Sousa Araújo",$B:$B,"&lt;&gt;Lorena Dias de Araujo",$B:$B,"&lt;&gt;Lucas Luiz Romero")*(10/1083),0)))))),0)</f>
        <v/>
      </c>
      <c r="K3717" s="3">
        <f>I3717-J3717</f>
        <v/>
      </c>
      <c r="L3717" s="3">
        <f>IF(K3717&lt;-5,"CRÍTICO",IF(K3717&lt;0,"ATENÇÃO",IF(K3717&lt;=5,"OPORTUNO","MUITO BOM")))</f>
        <v/>
      </c>
      <c r="N3717" t="n">
        <v>100</v>
      </c>
      <c r="O3717" t="n">
        <v>34.66666666666667</v>
      </c>
    </row>
    <row r="3718" hidden="1">
      <c r="A3718" s="11" t="n">
        <v>46118</v>
      </c>
      <c r="B3718" t="inlineStr">
        <is>
          <t>Quirino Diogo Leite Torres</t>
        </is>
      </c>
      <c r="C3718" t="inlineStr">
        <is>
          <t>Estágio</t>
        </is>
      </c>
      <c r="D3718" t="n">
        <v>9</v>
      </c>
      <c r="E3718" t="n">
        <v>9</v>
      </c>
      <c r="F3718" t="n">
        <v>19.05</v>
      </c>
      <c r="G3718" t="n">
        <v>0</v>
      </c>
      <c r="H3718" t="n">
        <v>0</v>
      </c>
      <c r="I3718" s="3">
        <f>E3718+G3718+H3718</f>
        <v/>
      </c>
      <c r="J3718" s="3">
        <f>ROUND(MIN(IF(C3718="Técnico III",35,IF(C3718="Técnico II",28,IF(C3718="Técnico I",23,IF(C3718="JR",20,IF(C3718="Estágio",10,0))))),IF(C3718="Técnico III",SUMIFS($D:$D,$A:$A,$A3718,$B:$B,"&lt;&gt;Patrícia Karla de Sousa Araújo",$B:$B,"&lt;&gt;Lorena Dias de Araujo",$B:$B,"&lt;&gt;Lucas Luiz Romero")*(35/1083),IF(C3718="Técnico II",SUMIFS($D:$D,$A:$A,$A3718,$B:$B,"&lt;&gt;Patrícia Karla de Sousa Araújo",$B:$B,"&lt;&gt;Lorena Dias de Araujo",$B:$B,"&lt;&gt;Lucas Luiz Romero")*(28/1083),IF(C3718="Técnico I",SUMIFS($D:$D,$A:$A,$A3718,$B:$B,"&lt;&gt;Patrícia Karla de Sousa Araújo",$B:$B,"&lt;&gt;Lorena Dias de Araujo",$B:$B,"&lt;&gt;Lucas Luiz Romero")*(23/1083),IF(C3718="JR",SUMIFS($D:$D,$A:$A,$A3718,$B:$B,"&lt;&gt;Patrícia Karla de Sousa Araújo",$B:$B,"&lt;&gt;Lorena Dias de Araujo",$B:$B,"&lt;&gt;Lucas Luiz Romero")*(20/1083),IF(C3718="Estágio",SUMIFS($D:$D,$A:$A,$A3718,$B:$B,"&lt;&gt;Patrícia Karla de Sousa Araújo",$B:$B,"&lt;&gt;Lorena Dias de Araujo",$B:$B,"&lt;&gt;Lucas Luiz Romero")*(10/1083),0)))))),0)</f>
        <v/>
      </c>
      <c r="K3718" s="3">
        <f>I3718-J3718</f>
        <v/>
      </c>
      <c r="L3718" s="3">
        <f>IF(K3718&lt;-5,"CRÍTICO",IF(K3718&lt;0,"ATENÇÃO",IF(K3718&lt;=5,"OPORTUNO","MUITO BOM")))</f>
        <v/>
      </c>
      <c r="N3718" t="n">
        <v>94.12</v>
      </c>
      <c r="O3718" t="n">
        <v>32.8</v>
      </c>
    </row>
    <row r="3719" hidden="1">
      <c r="A3719" s="11" t="n">
        <v>46118</v>
      </c>
      <c r="B3719" t="inlineStr">
        <is>
          <t>Raane Batista Matos</t>
        </is>
      </c>
      <c r="C3719" t="inlineStr">
        <is>
          <t>Técnico I</t>
        </is>
      </c>
      <c r="D3719" t="n">
        <v>22</v>
      </c>
      <c r="E3719" t="n">
        <v>20</v>
      </c>
      <c r="F3719" t="n">
        <v>15.13</v>
      </c>
      <c r="G3719" t="n">
        <v>0</v>
      </c>
      <c r="H3719" t="n">
        <v>0</v>
      </c>
      <c r="I3719" s="3">
        <f>E3719+G3719+H3719</f>
        <v/>
      </c>
      <c r="J3719" s="3">
        <f>ROUND(MIN(IF(C3719="Técnico III",35,IF(C3719="Técnico II",28,IF(C3719="Técnico I",23,IF(C3719="JR",20,IF(C3719="Estágio",10,0))))),IF(C3719="Técnico III",SUMIFS($D:$D,$A:$A,$A3719,$B:$B,"&lt;&gt;Patrícia Karla de Sousa Araújo",$B:$B,"&lt;&gt;Lorena Dias de Araujo",$B:$B,"&lt;&gt;Lucas Luiz Romero")*(35/1083),IF(C3719="Técnico II",SUMIFS($D:$D,$A:$A,$A3719,$B:$B,"&lt;&gt;Patrícia Karla de Sousa Araújo",$B:$B,"&lt;&gt;Lorena Dias de Araujo",$B:$B,"&lt;&gt;Lucas Luiz Romero")*(28/1083),IF(C3719="Técnico I",SUMIFS($D:$D,$A:$A,$A3719,$B:$B,"&lt;&gt;Patrícia Karla de Sousa Araújo",$B:$B,"&lt;&gt;Lorena Dias de Araujo",$B:$B,"&lt;&gt;Lucas Luiz Romero")*(23/1083),IF(C3719="JR",SUMIFS($D:$D,$A:$A,$A3719,$B:$B,"&lt;&gt;Patrícia Karla de Sousa Araújo",$B:$B,"&lt;&gt;Lorena Dias de Araujo",$B:$B,"&lt;&gt;Lucas Luiz Romero")*(20/1083),IF(C3719="Estágio",SUMIFS($D:$D,$A:$A,$A3719,$B:$B,"&lt;&gt;Patrícia Karla de Sousa Araújo",$B:$B,"&lt;&gt;Lorena Dias de Araujo",$B:$B,"&lt;&gt;Lucas Luiz Romero")*(10/1083),0)))))),0)</f>
        <v/>
      </c>
      <c r="K3719" s="3">
        <f>I3719-J3719</f>
        <v/>
      </c>
      <c r="L3719" s="3">
        <f>IF(K3719&lt;-5,"CRÍTICO",IF(K3719&lt;0,"ATENÇÃO",IF(K3719&lt;=5,"OPORTUNO","MUITO BOM")))</f>
        <v/>
      </c>
      <c r="N3719" t="n">
        <v>98.31999999999999</v>
      </c>
      <c r="O3719" t="n">
        <v>26.61870503597122</v>
      </c>
    </row>
    <row r="3720" hidden="1">
      <c r="A3720" s="11" t="n">
        <v>46118</v>
      </c>
      <c r="B3720" t="inlineStr">
        <is>
          <t>Rafael Gomes de Morais</t>
        </is>
      </c>
      <c r="C3720" t="inlineStr">
        <is>
          <t>Técnico III</t>
        </is>
      </c>
      <c r="D3720" t="n">
        <v>44</v>
      </c>
      <c r="E3720" t="n">
        <v>37</v>
      </c>
      <c r="F3720" t="n">
        <v>12</v>
      </c>
      <c r="G3720" t="n">
        <v>0</v>
      </c>
      <c r="H3720" t="n">
        <v>0</v>
      </c>
      <c r="I3720" s="3">
        <f>E3720+G3720+H3720</f>
        <v/>
      </c>
      <c r="J3720" s="3">
        <f>ROUND(MIN(IF(C3720="Técnico III",35,IF(C3720="Técnico II",28,IF(C3720="Técnico I",23,IF(C3720="JR",20,IF(C3720="Estágio",10,0))))),IF(C3720="Técnico III",SUMIFS($D:$D,$A:$A,$A3720,$B:$B,"&lt;&gt;Patrícia Karla de Sousa Araújo",$B:$B,"&lt;&gt;Lorena Dias de Araujo",$B:$B,"&lt;&gt;Lucas Luiz Romero")*(35/1083),IF(C3720="Técnico II",SUMIFS($D:$D,$A:$A,$A3720,$B:$B,"&lt;&gt;Patrícia Karla de Sousa Araújo",$B:$B,"&lt;&gt;Lorena Dias de Araujo",$B:$B,"&lt;&gt;Lucas Luiz Romero")*(28/1083),IF(C3720="Técnico I",SUMIFS($D:$D,$A:$A,$A3720,$B:$B,"&lt;&gt;Patrícia Karla de Sousa Araújo",$B:$B,"&lt;&gt;Lorena Dias de Araujo",$B:$B,"&lt;&gt;Lucas Luiz Romero")*(23/1083),IF(C3720="JR",SUMIFS($D:$D,$A:$A,$A3720,$B:$B,"&lt;&gt;Patrícia Karla de Sousa Araújo",$B:$B,"&lt;&gt;Lorena Dias de Araujo",$B:$B,"&lt;&gt;Lucas Luiz Romero")*(20/1083),IF(C3720="Estágio",SUMIFS($D:$D,$A:$A,$A3720,$B:$B,"&lt;&gt;Patrícia Karla de Sousa Araújo",$B:$B,"&lt;&gt;Lorena Dias de Araujo",$B:$B,"&lt;&gt;Lucas Luiz Romero")*(10/1083),0)))))),0)</f>
        <v/>
      </c>
      <c r="K3720" s="3">
        <f>I3720-J3720</f>
        <v/>
      </c>
      <c r="L3720" s="3">
        <f>IF(K3720&lt;-5,"CRÍTICO",IF(K3720&lt;0,"ATENÇÃO",IF(K3720&lt;=5,"OPORTUNO","MUITO BOM")))</f>
        <v/>
      </c>
      <c r="N3720" t="n">
        <v>100</v>
      </c>
      <c r="O3720" t="n">
        <v>31.13553113553114</v>
      </c>
    </row>
    <row r="3721" hidden="1">
      <c r="A3721" s="11" t="n">
        <v>46118</v>
      </c>
      <c r="B3721" t="inlineStr">
        <is>
          <t>Sara Maria Monteiro Lopes</t>
        </is>
      </c>
      <c r="C3721" t="inlineStr">
        <is>
          <t>Técnico I</t>
        </is>
      </c>
      <c r="D3721" t="n">
        <v>18</v>
      </c>
      <c r="E3721" t="n">
        <v>17</v>
      </c>
      <c r="F3721" t="n">
        <v>27.27</v>
      </c>
      <c r="G3721" t="n">
        <v>0</v>
      </c>
      <c r="H3721" t="n">
        <v>0</v>
      </c>
      <c r="I3721" s="3">
        <f>E3721+G3721+H3721</f>
        <v/>
      </c>
      <c r="J3721" s="3">
        <f>ROUND(MIN(IF(C3721="Técnico III",35,IF(C3721="Técnico II",28,IF(C3721="Técnico I",23,IF(C3721="JR",20,IF(C3721="Estágio",10,0))))),IF(C3721="Técnico III",SUMIFS($D:$D,$A:$A,$A3721,$B:$B,"&lt;&gt;Patrícia Karla de Sousa Araújo",$B:$B,"&lt;&gt;Lorena Dias de Araujo",$B:$B,"&lt;&gt;Lucas Luiz Romero")*(35/1083),IF(C3721="Técnico II",SUMIFS($D:$D,$A:$A,$A3721,$B:$B,"&lt;&gt;Patrícia Karla de Sousa Araújo",$B:$B,"&lt;&gt;Lorena Dias de Araujo",$B:$B,"&lt;&gt;Lucas Luiz Romero")*(28/1083),IF(C3721="Técnico I",SUMIFS($D:$D,$A:$A,$A3721,$B:$B,"&lt;&gt;Patrícia Karla de Sousa Araújo",$B:$B,"&lt;&gt;Lorena Dias de Araujo",$B:$B,"&lt;&gt;Lucas Luiz Romero")*(23/1083),IF(C3721="JR",SUMIFS($D:$D,$A:$A,$A3721,$B:$B,"&lt;&gt;Patrícia Karla de Sousa Araújo",$B:$B,"&lt;&gt;Lorena Dias de Araujo",$B:$B,"&lt;&gt;Lucas Luiz Romero")*(20/1083),IF(C3721="Estágio",SUMIFS($D:$D,$A:$A,$A3721,$B:$B,"&lt;&gt;Patrícia Karla de Sousa Araújo",$B:$B,"&lt;&gt;Lorena Dias de Araujo",$B:$B,"&lt;&gt;Lucas Luiz Romero")*(10/1083),0)))))),0)</f>
        <v/>
      </c>
      <c r="K3721" s="3">
        <f>I3721-J3721</f>
        <v/>
      </c>
      <c r="L3721" s="3">
        <f>IF(K3721&lt;-5,"CRÍTICO",IF(K3721&lt;0,"ATENÇÃO",IF(K3721&lt;=5,"OPORTUNO","MUITO BOM")))</f>
        <v/>
      </c>
      <c r="N3721" t="n">
        <v>100</v>
      </c>
      <c r="O3721" t="n">
        <v>26.02739726027397</v>
      </c>
    </row>
    <row r="3722" hidden="1">
      <c r="A3722" s="11" t="n">
        <v>46118</v>
      </c>
      <c r="B3722" t="inlineStr">
        <is>
          <t>Sarah Steffanie de Lima Borges</t>
        </is>
      </c>
      <c r="C3722" t="inlineStr">
        <is>
          <t>Técnico III</t>
        </is>
      </c>
      <c r="D3722" t="n">
        <v>31</v>
      </c>
      <c r="E3722" t="n">
        <v>28</v>
      </c>
      <c r="F3722" t="n">
        <v>13.5</v>
      </c>
      <c r="G3722" t="n">
        <v>0</v>
      </c>
      <c r="H3722" t="n">
        <v>0</v>
      </c>
      <c r="I3722" s="3">
        <f>E3722+G3722+H3722</f>
        <v/>
      </c>
      <c r="J3722" s="3">
        <f>ROUND(MIN(IF(C3722="Técnico III",35,IF(C3722="Técnico II",28,IF(C3722="Técnico I",23,IF(C3722="JR",20,IF(C3722="Estágio",10,0))))),IF(C3722="Técnico III",SUMIFS($D:$D,$A:$A,$A3722,$B:$B,"&lt;&gt;Patrícia Karla de Sousa Araújo",$B:$B,"&lt;&gt;Lorena Dias de Araujo",$B:$B,"&lt;&gt;Lucas Luiz Romero")*(35/1083),IF(C3722="Técnico II",SUMIFS($D:$D,$A:$A,$A3722,$B:$B,"&lt;&gt;Patrícia Karla de Sousa Araújo",$B:$B,"&lt;&gt;Lorena Dias de Araujo",$B:$B,"&lt;&gt;Lucas Luiz Romero")*(28/1083),IF(C3722="Técnico I",SUMIFS($D:$D,$A:$A,$A3722,$B:$B,"&lt;&gt;Patrícia Karla de Sousa Araújo",$B:$B,"&lt;&gt;Lorena Dias de Araujo",$B:$B,"&lt;&gt;Lucas Luiz Romero")*(23/1083),IF(C3722="JR",SUMIFS($D:$D,$A:$A,$A3722,$B:$B,"&lt;&gt;Patrícia Karla de Sousa Araújo",$B:$B,"&lt;&gt;Lorena Dias de Araujo",$B:$B,"&lt;&gt;Lucas Luiz Romero")*(20/1083),IF(C3722="Estágio",SUMIFS($D:$D,$A:$A,$A3722,$B:$B,"&lt;&gt;Patrícia Karla de Sousa Araújo",$B:$B,"&lt;&gt;Lorena Dias de Araujo",$B:$B,"&lt;&gt;Lucas Luiz Romero")*(10/1083),0)))))),0)</f>
        <v/>
      </c>
      <c r="K3722" s="3">
        <f>I3722-J3722</f>
        <v/>
      </c>
      <c r="L3722" s="3">
        <f>IF(K3722&lt;-5,"CRÍTICO",IF(K3722&lt;0,"ATENÇÃO",IF(K3722&lt;=5,"OPORTUNO","MUITO BOM")))</f>
        <v/>
      </c>
      <c r="N3722" t="n">
        <v>99.20999999999999</v>
      </c>
      <c r="O3722" t="n">
        <v>24.93702770780856</v>
      </c>
    </row>
    <row r="3723" hidden="1">
      <c r="A3723" s="11" t="n">
        <v>46119</v>
      </c>
      <c r="B3723" t="inlineStr">
        <is>
          <t>Alisson de Freitas Silva</t>
        </is>
      </c>
      <c r="C3723" t="inlineStr">
        <is>
          <t>Técnico II</t>
        </is>
      </c>
      <c r="D3723" t="n">
        <v>12</v>
      </c>
      <c r="E3723" t="n">
        <v>6</v>
      </c>
      <c r="F3723" t="n">
        <v>10.34</v>
      </c>
      <c r="G3723" t="n">
        <v>0</v>
      </c>
      <c r="H3723" t="n">
        <v>0</v>
      </c>
      <c r="I3723" s="3">
        <f>E3723+G3723+H3723</f>
        <v/>
      </c>
      <c r="J3723" s="3">
        <f>ROUND(MIN(IF(C3723="Técnico III",35,IF(C3723="Técnico II",28,IF(C3723="Técnico I",23,IF(C3723="JR",20,IF(C3723="Estágio",10,0))))),IF(C3723="Técnico III",SUMIFS($D:$D,$A:$A,$A3723,$B:$B,"&lt;&gt;Patrícia Karla de Sousa Araújo",$B:$B,"&lt;&gt;Lorena Dias de Araujo",$B:$B,"&lt;&gt;Lucas Luiz Romero")*(35/1083),IF(C3723="Técnico II",SUMIFS($D:$D,$A:$A,$A3723,$B:$B,"&lt;&gt;Patrícia Karla de Sousa Araújo",$B:$B,"&lt;&gt;Lorena Dias de Araujo",$B:$B,"&lt;&gt;Lucas Luiz Romero")*(28/1083),IF(C3723="Técnico I",SUMIFS($D:$D,$A:$A,$A3723,$B:$B,"&lt;&gt;Patrícia Karla de Sousa Araújo",$B:$B,"&lt;&gt;Lorena Dias de Araujo",$B:$B,"&lt;&gt;Lucas Luiz Romero")*(23/1083),IF(C3723="JR",SUMIFS($D:$D,$A:$A,$A3723,$B:$B,"&lt;&gt;Patrícia Karla de Sousa Araújo",$B:$B,"&lt;&gt;Lorena Dias de Araujo",$B:$B,"&lt;&gt;Lucas Luiz Romero")*(20/1083),IF(C3723="Estágio",SUMIFS($D:$D,$A:$A,$A3723,$B:$B,"&lt;&gt;Patrícia Karla de Sousa Araújo",$B:$B,"&lt;&gt;Lorena Dias de Araujo",$B:$B,"&lt;&gt;Lucas Luiz Romero")*(10/1083),0)))))),0)</f>
        <v/>
      </c>
      <c r="K3723" s="3">
        <f>I3723-J3723</f>
        <v/>
      </c>
      <c r="L3723" s="3">
        <f>IF(K3723&lt;-5,"CRÍTICO",IF(K3723&lt;0,"ATENÇÃO",IF(K3723&lt;=5,"OPORTUNO","MUITO BOM")))</f>
        <v/>
      </c>
      <c r="N3723" t="n">
        <v>100</v>
      </c>
      <c r="O3723" t="n">
        <v>32.76450511945392</v>
      </c>
    </row>
    <row r="3724" hidden="1">
      <c r="A3724" s="11" t="n">
        <v>46119</v>
      </c>
      <c r="B3724" t="inlineStr">
        <is>
          <t>Amanda Moura Ferreira</t>
        </is>
      </c>
      <c r="C3724" t="inlineStr">
        <is>
          <t>Técnico III</t>
        </is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s="3" t="n">
        <v>0</v>
      </c>
      <c r="J3724" s="3" t="n">
        <v>0</v>
      </c>
      <c r="K3724" s="3" t="n">
        <v>0</v>
      </c>
      <c r="L3724" s="3">
        <f>IF(K3724&lt;-5,"CRÍTICO",IF(K3724&lt;0,"ATENÇÃO",IF(K3724&lt;=5,"OPORTUNO","MUITO BOM")))</f>
        <v/>
      </c>
      <c r="N3724" t="n">
        <v>98.66</v>
      </c>
      <c r="O3724" t="n">
        <v>35.15625</v>
      </c>
    </row>
    <row r="3725" hidden="1">
      <c r="A3725" s="11" t="n">
        <v>46119</v>
      </c>
      <c r="B3725" t="inlineStr">
        <is>
          <t>Ana Karollyne Souza Faria</t>
        </is>
      </c>
      <c r="C3725" t="inlineStr">
        <is>
          <t>Técnico I</t>
        </is>
      </c>
      <c r="D3725" t="n">
        <v>36</v>
      </c>
      <c r="E3725" t="n">
        <v>33</v>
      </c>
      <c r="F3725" t="n">
        <v>19.01</v>
      </c>
      <c r="G3725" t="n">
        <v>0</v>
      </c>
      <c r="H3725" t="n">
        <v>0</v>
      </c>
      <c r="I3725" s="3">
        <f>E3725+G3725+H3725</f>
        <v/>
      </c>
      <c r="J3725" s="3">
        <f>ROUND(MIN(IF(C3725="Técnico III",35,IF(C3725="Técnico II",28,IF(C3725="Técnico I",23,IF(C3725="JR",20,IF(C3725="Estágio",10,0))))),IF(C3725="Técnico III",SUMIFS($D:$D,$A:$A,$A3725,$B:$B,"&lt;&gt;Patrícia Karla de Sousa Araújo",$B:$B,"&lt;&gt;Lorena Dias de Araujo",$B:$B,"&lt;&gt;Lucas Luiz Romero")*(35/1083),IF(C3725="Técnico II",SUMIFS($D:$D,$A:$A,$A3725,$B:$B,"&lt;&gt;Patrícia Karla de Sousa Araújo",$B:$B,"&lt;&gt;Lorena Dias de Araujo",$B:$B,"&lt;&gt;Lucas Luiz Romero")*(28/1083),IF(C3725="Técnico I",SUMIFS($D:$D,$A:$A,$A3725,$B:$B,"&lt;&gt;Patrícia Karla de Sousa Araújo",$B:$B,"&lt;&gt;Lorena Dias de Araujo",$B:$B,"&lt;&gt;Lucas Luiz Romero")*(23/1083),IF(C3725="JR",SUMIFS($D:$D,$A:$A,$A3725,$B:$B,"&lt;&gt;Patrícia Karla de Sousa Araújo",$B:$B,"&lt;&gt;Lorena Dias de Araujo",$B:$B,"&lt;&gt;Lucas Luiz Romero")*(20/1083),IF(C3725="Estágio",SUMIFS($D:$D,$A:$A,$A3725,$B:$B,"&lt;&gt;Patrícia Karla de Sousa Araújo",$B:$B,"&lt;&gt;Lorena Dias de Araujo",$B:$B,"&lt;&gt;Lucas Luiz Romero")*(10/1083),0)))))),0)</f>
        <v/>
      </c>
      <c r="K3725" s="3">
        <f>I3725-J3725</f>
        <v/>
      </c>
      <c r="L3725" s="3">
        <f>IF(K3725&lt;-5,"CRÍTICO",IF(K3725&lt;0,"ATENÇÃO",IF(K3725&lt;=5,"OPORTUNO","MUITO BOM")))</f>
        <v/>
      </c>
      <c r="N3725" t="n">
        <v>99.31999999999999</v>
      </c>
      <c r="O3725" t="n">
        <v>30.45186640471513</v>
      </c>
    </row>
    <row r="3726" hidden="1">
      <c r="A3726" s="11" t="n">
        <v>46119</v>
      </c>
      <c r="B3726" t="inlineStr">
        <is>
          <t>Ana Paula Da Luz Silva Aleixo</t>
        </is>
      </c>
      <c r="C3726" t="inlineStr">
        <is>
          <t>Técnico III</t>
        </is>
      </c>
      <c r="D3726" t="n">
        <v>30</v>
      </c>
      <c r="E3726" t="n">
        <v>28</v>
      </c>
      <c r="F3726" t="n">
        <v>23.42</v>
      </c>
      <c r="G3726" t="n">
        <v>0</v>
      </c>
      <c r="H3726" t="n">
        <v>0</v>
      </c>
      <c r="I3726" s="3">
        <f>E3726+G3726+H3726</f>
        <v/>
      </c>
      <c r="J3726" s="3">
        <f>ROUND(MIN(IF(C3726="Técnico III",35,IF(C3726="Técnico II",28,IF(C3726="Técnico I",23,IF(C3726="JR",20,IF(C3726="Estágio",10,0))))),IF(C3726="Técnico III",SUMIFS($D:$D,$A:$A,$A3726,$B:$B,"&lt;&gt;Patrícia Karla de Sousa Araújo",$B:$B,"&lt;&gt;Lorena Dias de Araujo",$B:$B,"&lt;&gt;Lucas Luiz Romero")*(35/1083),IF(C3726="Técnico II",SUMIFS($D:$D,$A:$A,$A3726,$B:$B,"&lt;&gt;Patrícia Karla de Sousa Araújo",$B:$B,"&lt;&gt;Lorena Dias de Araujo",$B:$B,"&lt;&gt;Lucas Luiz Romero")*(28/1083),IF(C3726="Técnico I",SUMIFS($D:$D,$A:$A,$A3726,$B:$B,"&lt;&gt;Patrícia Karla de Sousa Araújo",$B:$B,"&lt;&gt;Lorena Dias de Araujo",$B:$B,"&lt;&gt;Lucas Luiz Romero")*(23/1083),IF(C3726="JR",SUMIFS($D:$D,$A:$A,$A3726,$B:$B,"&lt;&gt;Patrícia Karla de Sousa Araújo",$B:$B,"&lt;&gt;Lorena Dias de Araujo",$B:$B,"&lt;&gt;Lucas Luiz Romero")*(20/1083),IF(C3726="Estágio",SUMIFS($D:$D,$A:$A,$A3726,$B:$B,"&lt;&gt;Patrícia Karla de Sousa Araújo",$B:$B,"&lt;&gt;Lorena Dias de Araujo",$B:$B,"&lt;&gt;Lucas Luiz Romero")*(10/1083),0)))))),0)</f>
        <v/>
      </c>
      <c r="K3726" s="3">
        <f>I3726-J3726</f>
        <v/>
      </c>
      <c r="L3726" s="3">
        <f>IF(K3726&lt;-5,"CRÍTICO",IF(K3726&lt;0,"ATENÇÃO",IF(K3726&lt;=5,"OPORTUNO","MUITO BOM")))</f>
        <v/>
      </c>
      <c r="N3726" t="n">
        <v>100</v>
      </c>
      <c r="O3726" t="n">
        <v>27.80373831775701</v>
      </c>
    </row>
    <row r="3727" hidden="1">
      <c r="A3727" s="11" t="n">
        <v>46119</v>
      </c>
      <c r="B3727" t="inlineStr">
        <is>
          <t>Anna Luiza Rezende Tavares</t>
        </is>
      </c>
      <c r="C3727" t="inlineStr">
        <is>
          <t>Estágio</t>
        </is>
      </c>
      <c r="D3727" t="n">
        <v>25</v>
      </c>
      <c r="E3727" t="n">
        <v>23</v>
      </c>
      <c r="F3727" t="n">
        <v>12.33</v>
      </c>
      <c r="G3727" t="n">
        <v>0</v>
      </c>
      <c r="H3727" t="n">
        <v>0</v>
      </c>
      <c r="I3727" s="3">
        <f>E3727+G3727+H3727</f>
        <v/>
      </c>
      <c r="J3727" s="3">
        <f>ROUND(MIN(IF(C3727="Técnico III",35,IF(C3727="Técnico II",28,IF(C3727="Técnico I",23,IF(C3727="JR",20,IF(C3727="Estágio",10,0))))),IF(C3727="Técnico III",SUMIFS($D:$D,$A:$A,$A3727,$B:$B,"&lt;&gt;Patrícia Karla de Sousa Araújo",$B:$B,"&lt;&gt;Lorena Dias de Araujo",$B:$B,"&lt;&gt;Lucas Luiz Romero")*(35/1083),IF(C3727="Técnico II",SUMIFS($D:$D,$A:$A,$A3727,$B:$B,"&lt;&gt;Patrícia Karla de Sousa Araújo",$B:$B,"&lt;&gt;Lorena Dias de Araujo",$B:$B,"&lt;&gt;Lucas Luiz Romero")*(28/1083),IF(C3727="Técnico I",SUMIFS($D:$D,$A:$A,$A3727,$B:$B,"&lt;&gt;Patrícia Karla de Sousa Araújo",$B:$B,"&lt;&gt;Lorena Dias de Araujo",$B:$B,"&lt;&gt;Lucas Luiz Romero")*(23/1083),IF(C3727="JR",SUMIFS($D:$D,$A:$A,$A3727,$B:$B,"&lt;&gt;Patrícia Karla de Sousa Araújo",$B:$B,"&lt;&gt;Lorena Dias de Araujo",$B:$B,"&lt;&gt;Lucas Luiz Romero")*(20/1083),IF(C3727="Estágio",SUMIFS($D:$D,$A:$A,$A3727,$B:$B,"&lt;&gt;Patrícia Karla de Sousa Araújo",$B:$B,"&lt;&gt;Lorena Dias de Araujo",$B:$B,"&lt;&gt;Lucas Luiz Romero")*(10/1083),0)))))),0)</f>
        <v/>
      </c>
      <c r="K3727" s="3">
        <f>I3727-J3727</f>
        <v/>
      </c>
      <c r="L3727" s="3">
        <f>IF(K3727&lt;-5,"CRÍTICO",IF(K3727&lt;0,"ATENÇÃO",IF(K3727&lt;=5,"OPORTUNO","MUITO BOM")))</f>
        <v/>
      </c>
      <c r="N3727" t="n">
        <v>96.73999999999999</v>
      </c>
      <c r="O3727" t="n">
        <v>28.43137254901961</v>
      </c>
    </row>
    <row r="3728" hidden="1">
      <c r="A3728" s="11" t="n">
        <v>46119</v>
      </c>
      <c r="B3728" t="inlineStr">
        <is>
          <t>Brenda de Menezes Silva</t>
        </is>
      </c>
      <c r="C3728" t="inlineStr">
        <is>
          <t>Técnico II</t>
        </is>
      </c>
      <c r="D3728" t="n">
        <v>41</v>
      </c>
      <c r="E3728" t="n">
        <v>38</v>
      </c>
      <c r="F3728" t="n">
        <v>19.13</v>
      </c>
      <c r="G3728" t="n">
        <v>0</v>
      </c>
      <c r="H3728" t="n">
        <v>0</v>
      </c>
      <c r="I3728" s="3">
        <f>E3728+G3728+H3728</f>
        <v/>
      </c>
      <c r="J3728" s="3">
        <f>ROUND(MIN(IF(C3728="Técnico III",35,IF(C3728="Técnico II",28,IF(C3728="Técnico I",23,IF(C3728="JR",20,IF(C3728="Estágio",10,0))))),IF(C3728="Técnico III",SUMIFS($D:$D,$A:$A,$A3728,$B:$B,"&lt;&gt;Patrícia Karla de Sousa Araújo",$B:$B,"&lt;&gt;Lorena Dias de Araujo",$B:$B,"&lt;&gt;Lucas Luiz Romero")*(35/1083),IF(C3728="Técnico II",SUMIFS($D:$D,$A:$A,$A3728,$B:$B,"&lt;&gt;Patrícia Karla de Sousa Araújo",$B:$B,"&lt;&gt;Lorena Dias de Araujo",$B:$B,"&lt;&gt;Lucas Luiz Romero")*(28/1083),IF(C3728="Técnico I",SUMIFS($D:$D,$A:$A,$A3728,$B:$B,"&lt;&gt;Patrícia Karla de Sousa Araújo",$B:$B,"&lt;&gt;Lorena Dias de Araujo",$B:$B,"&lt;&gt;Lucas Luiz Romero")*(23/1083),IF(C3728="JR",SUMIFS($D:$D,$A:$A,$A3728,$B:$B,"&lt;&gt;Patrícia Karla de Sousa Araújo",$B:$B,"&lt;&gt;Lorena Dias de Araujo",$B:$B,"&lt;&gt;Lucas Luiz Romero")*(20/1083),IF(C3728="Estágio",SUMIFS($D:$D,$A:$A,$A3728,$B:$B,"&lt;&gt;Patrícia Karla de Sousa Araújo",$B:$B,"&lt;&gt;Lorena Dias de Araujo",$B:$B,"&lt;&gt;Lucas Luiz Romero")*(10/1083),0)))))),0)</f>
        <v/>
      </c>
      <c r="K3728" s="3">
        <f>I3728-J3728</f>
        <v/>
      </c>
      <c r="L3728" s="3">
        <f>IF(K3728&lt;-5,"CRÍTICO",IF(K3728&lt;0,"ATENÇÃO",IF(K3728&lt;=5,"OPORTUNO","MUITO BOM")))</f>
        <v/>
      </c>
      <c r="N3728" t="n">
        <v>98.81999999999999</v>
      </c>
      <c r="O3728" t="n">
        <v>30.74141048824593</v>
      </c>
    </row>
    <row r="3729" hidden="1">
      <c r="A3729" s="11" t="n">
        <v>46119</v>
      </c>
      <c r="B3729" t="inlineStr">
        <is>
          <t>Carlos Mateus Cassimiro Nunes</t>
        </is>
      </c>
      <c r="C3729" t="inlineStr">
        <is>
          <t>Técnico II</t>
        </is>
      </c>
      <c r="D3729" t="n">
        <v>28</v>
      </c>
      <c r="E3729" t="n">
        <v>28</v>
      </c>
      <c r="F3729" t="n">
        <v>23.32</v>
      </c>
      <c r="G3729" t="n">
        <v>0</v>
      </c>
      <c r="H3729" t="n">
        <v>0</v>
      </c>
      <c r="I3729" s="3">
        <f>E3729+G3729+H3729</f>
        <v/>
      </c>
      <c r="J3729" s="3">
        <f>ROUND(MIN(IF(C3729="Técnico III",35,IF(C3729="Técnico II",28,IF(C3729="Técnico I",23,IF(C3729="JR",20,IF(C3729="Estágio",10,0))))),IF(C3729="Técnico III",SUMIFS($D:$D,$A:$A,$A3729,$B:$B,"&lt;&gt;Patrícia Karla de Sousa Araújo",$B:$B,"&lt;&gt;Lorena Dias de Araujo",$B:$B,"&lt;&gt;Lucas Luiz Romero")*(35/1083),IF(C3729="Técnico II",SUMIFS($D:$D,$A:$A,$A3729,$B:$B,"&lt;&gt;Patrícia Karla de Sousa Araújo",$B:$B,"&lt;&gt;Lorena Dias de Araujo",$B:$B,"&lt;&gt;Lucas Luiz Romero")*(28/1083),IF(C3729="Técnico I",SUMIFS($D:$D,$A:$A,$A3729,$B:$B,"&lt;&gt;Patrícia Karla de Sousa Araújo",$B:$B,"&lt;&gt;Lorena Dias de Araujo",$B:$B,"&lt;&gt;Lucas Luiz Romero")*(23/1083),IF(C3729="JR",SUMIFS($D:$D,$A:$A,$A3729,$B:$B,"&lt;&gt;Patrícia Karla de Sousa Araújo",$B:$B,"&lt;&gt;Lorena Dias de Araujo",$B:$B,"&lt;&gt;Lucas Luiz Romero")*(20/1083),IF(C3729="Estágio",SUMIFS($D:$D,$A:$A,$A3729,$B:$B,"&lt;&gt;Patrícia Karla de Sousa Araújo",$B:$B,"&lt;&gt;Lorena Dias de Araujo",$B:$B,"&lt;&gt;Lucas Luiz Romero")*(10/1083),0)))))),0)</f>
        <v/>
      </c>
      <c r="K3729" s="3">
        <f>I3729-J3729</f>
        <v/>
      </c>
      <c r="L3729" s="3">
        <f>IF(K3729&lt;-5,"CRÍTICO",IF(K3729&lt;0,"ATENÇÃO",IF(K3729&lt;=5,"OPORTUNO","MUITO BOM")))</f>
        <v/>
      </c>
      <c r="N3729" t="n">
        <v>98.2</v>
      </c>
      <c r="O3729" t="n">
        <v>26.89075630252101</v>
      </c>
    </row>
    <row r="3730" hidden="1">
      <c r="A3730" s="11" t="n">
        <v>46119</v>
      </c>
      <c r="B3730" t="inlineStr">
        <is>
          <t>Claudio de Sousa Velasco Filho</t>
        </is>
      </c>
      <c r="C3730" t="inlineStr">
        <is>
          <t>Estágio</t>
        </is>
      </c>
      <c r="D3730" t="n">
        <v>13</v>
      </c>
      <c r="E3730" t="n">
        <v>10</v>
      </c>
      <c r="F3730" t="n">
        <v>17.32</v>
      </c>
      <c r="G3730" t="n">
        <v>0</v>
      </c>
      <c r="H3730" t="n">
        <v>0</v>
      </c>
      <c r="I3730" s="3">
        <f>E3730+G3730+H3730</f>
        <v/>
      </c>
      <c r="J3730" s="3">
        <f>ROUND(MIN(IF(C3730="Técnico III",35,IF(C3730="Técnico II",28,IF(C3730="Técnico I",23,IF(C3730="JR",20,IF(C3730="Estágio",10,0))))),IF(C3730="Técnico III",SUMIFS($D:$D,$A:$A,$A3730,$B:$B,"&lt;&gt;Patrícia Karla de Sousa Araújo",$B:$B,"&lt;&gt;Lorena Dias de Araujo",$B:$B,"&lt;&gt;Lucas Luiz Romero")*(35/1083),IF(C3730="Técnico II",SUMIFS($D:$D,$A:$A,$A3730,$B:$B,"&lt;&gt;Patrícia Karla de Sousa Araújo",$B:$B,"&lt;&gt;Lorena Dias de Araujo",$B:$B,"&lt;&gt;Lucas Luiz Romero")*(28/1083),IF(C3730="Técnico I",SUMIFS($D:$D,$A:$A,$A3730,$B:$B,"&lt;&gt;Patrícia Karla de Sousa Araújo",$B:$B,"&lt;&gt;Lorena Dias de Araujo",$B:$B,"&lt;&gt;Lucas Luiz Romero")*(23/1083),IF(C3730="JR",SUMIFS($D:$D,$A:$A,$A3730,$B:$B,"&lt;&gt;Patrícia Karla de Sousa Araújo",$B:$B,"&lt;&gt;Lorena Dias de Araujo",$B:$B,"&lt;&gt;Lucas Luiz Romero")*(20/1083),IF(C3730="Estágio",SUMIFS($D:$D,$A:$A,$A3730,$B:$B,"&lt;&gt;Patrícia Karla de Sousa Araújo",$B:$B,"&lt;&gt;Lorena Dias de Araujo",$B:$B,"&lt;&gt;Lucas Luiz Romero")*(10/1083),0)))))),0)</f>
        <v/>
      </c>
      <c r="K3730" s="3">
        <f>I3730-J3730</f>
        <v/>
      </c>
      <c r="L3730" s="3">
        <f>IF(K3730&lt;-5,"CRÍTICO",IF(K3730&lt;0,"ATENÇÃO",IF(K3730&lt;=5,"OPORTUNO","MUITO BOM")))</f>
        <v/>
      </c>
      <c r="N3730" t="n">
        <v>100</v>
      </c>
      <c r="O3730" t="n">
        <v>23.13432835820895</v>
      </c>
    </row>
    <row r="3731" hidden="1">
      <c r="A3731" s="11" t="n">
        <v>46119</v>
      </c>
      <c r="B3731" t="inlineStr">
        <is>
          <t>Clessiane Pereira dos Santos</t>
        </is>
      </c>
      <c r="C3731" t="inlineStr">
        <is>
          <t>Técnico I</t>
        </is>
      </c>
      <c r="D3731" t="n">
        <v>26</v>
      </c>
      <c r="E3731" t="n">
        <v>24</v>
      </c>
      <c r="F3731" t="n">
        <v>20.11</v>
      </c>
      <c r="G3731" t="n">
        <v>0</v>
      </c>
      <c r="H3731" t="n">
        <v>0</v>
      </c>
      <c r="I3731" s="3">
        <f>E3731+G3731+H3731</f>
        <v/>
      </c>
      <c r="J3731" s="3">
        <f>ROUND(MIN(IF(C3731="Técnico III",35,IF(C3731="Técnico II",28,IF(C3731="Técnico I",23,IF(C3731="JR",20,IF(C3731="Estágio",10,0))))),IF(C3731="Técnico III",SUMIFS($D:$D,$A:$A,$A3731,$B:$B,"&lt;&gt;Patrícia Karla de Sousa Araújo",$B:$B,"&lt;&gt;Lorena Dias de Araujo",$B:$B,"&lt;&gt;Lucas Luiz Romero")*(35/1083),IF(C3731="Técnico II",SUMIFS($D:$D,$A:$A,$A3731,$B:$B,"&lt;&gt;Patrícia Karla de Sousa Araújo",$B:$B,"&lt;&gt;Lorena Dias de Araujo",$B:$B,"&lt;&gt;Lucas Luiz Romero")*(28/1083),IF(C3731="Técnico I",SUMIFS($D:$D,$A:$A,$A3731,$B:$B,"&lt;&gt;Patrícia Karla de Sousa Araújo",$B:$B,"&lt;&gt;Lorena Dias de Araujo",$B:$B,"&lt;&gt;Lucas Luiz Romero")*(23/1083),IF(C3731="JR",SUMIFS($D:$D,$A:$A,$A3731,$B:$B,"&lt;&gt;Patrícia Karla de Sousa Araújo",$B:$B,"&lt;&gt;Lorena Dias de Araujo",$B:$B,"&lt;&gt;Lucas Luiz Romero")*(20/1083),IF(C3731="Estágio",SUMIFS($D:$D,$A:$A,$A3731,$B:$B,"&lt;&gt;Patrícia Karla de Sousa Araújo",$B:$B,"&lt;&gt;Lorena Dias de Araujo",$B:$B,"&lt;&gt;Lucas Luiz Romero")*(10/1083),0)))))),0)</f>
        <v/>
      </c>
      <c r="K3731" s="3">
        <f>I3731-J3731</f>
        <v/>
      </c>
      <c r="L3731" s="3">
        <f>IF(K3731&lt;-5,"CRÍTICO",IF(K3731&lt;0,"ATENÇÃO",IF(K3731&lt;=5,"OPORTUNO","MUITO BOM")))</f>
        <v/>
      </c>
      <c r="N3731" t="n">
        <v>96.3</v>
      </c>
      <c r="O3731" t="n">
        <v>31.98090692124105</v>
      </c>
    </row>
    <row r="3732" hidden="1">
      <c r="A3732" s="11" t="n">
        <v>46119</v>
      </c>
      <c r="B3732" t="inlineStr">
        <is>
          <t>Cristiane Ramos da Silva Rocha</t>
        </is>
      </c>
      <c r="C3732" t="inlineStr">
        <is>
          <t>Técnico III</t>
        </is>
      </c>
      <c r="D3732" t="n">
        <v>46</v>
      </c>
      <c r="E3732" t="n">
        <v>39</v>
      </c>
      <c r="F3732" t="n">
        <v>10.37</v>
      </c>
      <c r="G3732" t="n">
        <v>0</v>
      </c>
      <c r="H3732" t="n">
        <v>0</v>
      </c>
      <c r="I3732" s="3">
        <f>E3732+G3732+H3732</f>
        <v/>
      </c>
      <c r="J3732" s="3">
        <f>ROUND(MIN(IF(C3732="Técnico III",35,IF(C3732="Técnico II",28,IF(C3732="Técnico I",23,IF(C3732="JR",20,IF(C3732="Estágio",10,0))))),IF(C3732="Técnico III",SUMIFS($D:$D,$A:$A,$A3732,$B:$B,"&lt;&gt;Patrícia Karla de Sousa Araújo",$B:$B,"&lt;&gt;Lorena Dias de Araujo",$B:$B,"&lt;&gt;Lucas Luiz Romero")*(35/1083),IF(C3732="Técnico II",SUMIFS($D:$D,$A:$A,$A3732,$B:$B,"&lt;&gt;Patrícia Karla de Sousa Araújo",$B:$B,"&lt;&gt;Lorena Dias de Araujo",$B:$B,"&lt;&gt;Lucas Luiz Romero")*(28/1083),IF(C3732="Técnico I",SUMIFS($D:$D,$A:$A,$A3732,$B:$B,"&lt;&gt;Patrícia Karla de Sousa Araújo",$B:$B,"&lt;&gt;Lorena Dias de Araujo",$B:$B,"&lt;&gt;Lucas Luiz Romero")*(23/1083),IF(C3732="JR",SUMIFS($D:$D,$A:$A,$A3732,$B:$B,"&lt;&gt;Patrícia Karla de Sousa Araújo",$B:$B,"&lt;&gt;Lorena Dias de Araujo",$B:$B,"&lt;&gt;Lucas Luiz Romero")*(20/1083),IF(C3732="Estágio",SUMIFS($D:$D,$A:$A,$A3732,$B:$B,"&lt;&gt;Patrícia Karla de Sousa Araújo",$B:$B,"&lt;&gt;Lorena Dias de Araujo",$B:$B,"&lt;&gt;Lucas Luiz Romero")*(10/1083),0)))))),0)</f>
        <v/>
      </c>
      <c r="K3732" s="3">
        <f>I3732-J3732</f>
        <v/>
      </c>
      <c r="L3732" s="3">
        <f>IF(K3732&lt;-5,"CRÍTICO",IF(K3732&lt;0,"ATENÇÃO",IF(K3732&lt;=5,"OPORTUNO","MUITO BOM")))</f>
        <v/>
      </c>
      <c r="N3732" t="n">
        <v>93.75</v>
      </c>
      <c r="O3732" t="n">
        <v>26.62835249042146</v>
      </c>
    </row>
    <row r="3733" hidden="1">
      <c r="A3733" s="11" t="n">
        <v>46119</v>
      </c>
      <c r="B3733" t="inlineStr">
        <is>
          <t>Damyllis Lorraine de Oliveira Gonçalves</t>
        </is>
      </c>
      <c r="C3733" t="inlineStr">
        <is>
          <t>Técnico II</t>
        </is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s="3" t="n">
        <v>0</v>
      </c>
      <c r="J3733" s="3" t="n">
        <v>0</v>
      </c>
      <c r="K3733" s="3" t="n">
        <v>0</v>
      </c>
      <c r="L3733" s="3">
        <f>IF(K3733&lt;-5,"CRÍTICO",IF(K3733&lt;0,"ATENÇÃO",IF(K3733&lt;=5,"OPORTUNO","MUITO BOM")))</f>
        <v/>
      </c>
      <c r="N3733" t="n">
        <v>97.86</v>
      </c>
      <c r="O3733" t="n">
        <v>31.01851851851852</v>
      </c>
    </row>
    <row r="3734" hidden="1">
      <c r="A3734" s="11" t="n">
        <v>46119</v>
      </c>
      <c r="B3734" t="inlineStr">
        <is>
          <t>Daniel Gomes da Silva</t>
        </is>
      </c>
      <c r="C3734" t="inlineStr">
        <is>
          <t>Técnico I</t>
        </is>
      </c>
      <c r="D3734" t="n">
        <v>31</v>
      </c>
      <c r="E3734" t="n">
        <v>28</v>
      </c>
      <c r="F3734" t="n">
        <v>14.15</v>
      </c>
      <c r="G3734" t="n">
        <v>0</v>
      </c>
      <c r="H3734" t="n">
        <v>0</v>
      </c>
      <c r="I3734" s="3">
        <f>E3734+G3734+H3734</f>
        <v/>
      </c>
      <c r="J3734" s="3">
        <f>ROUND(MIN(IF(C3734="Técnico III",35,IF(C3734="Técnico II",28,IF(C3734="Técnico I",23,IF(C3734="JR",20,IF(C3734="Estágio",10,0))))),IF(C3734="Técnico III",SUMIFS($D:$D,$A:$A,$A3734,$B:$B,"&lt;&gt;Patrícia Karla de Sousa Araújo",$B:$B,"&lt;&gt;Lorena Dias de Araujo",$B:$B,"&lt;&gt;Lucas Luiz Romero")*(35/1083),IF(C3734="Técnico II",SUMIFS($D:$D,$A:$A,$A3734,$B:$B,"&lt;&gt;Patrícia Karla de Sousa Araújo",$B:$B,"&lt;&gt;Lorena Dias de Araujo",$B:$B,"&lt;&gt;Lucas Luiz Romero")*(28/1083),IF(C3734="Técnico I",SUMIFS($D:$D,$A:$A,$A3734,$B:$B,"&lt;&gt;Patrícia Karla de Sousa Araújo",$B:$B,"&lt;&gt;Lorena Dias de Araujo",$B:$B,"&lt;&gt;Lucas Luiz Romero")*(23/1083),IF(C3734="JR",SUMIFS($D:$D,$A:$A,$A3734,$B:$B,"&lt;&gt;Patrícia Karla de Sousa Araújo",$B:$B,"&lt;&gt;Lorena Dias de Araujo",$B:$B,"&lt;&gt;Lucas Luiz Romero")*(20/1083),IF(C3734="Estágio",SUMIFS($D:$D,$A:$A,$A3734,$B:$B,"&lt;&gt;Patrícia Karla de Sousa Araújo",$B:$B,"&lt;&gt;Lorena Dias de Araujo",$B:$B,"&lt;&gt;Lucas Luiz Romero")*(10/1083),0)))))),0)</f>
        <v/>
      </c>
      <c r="K3734" s="3">
        <f>I3734-J3734</f>
        <v/>
      </c>
      <c r="L3734" s="3">
        <f>IF(K3734&lt;-5,"CRÍTICO",IF(K3734&lt;0,"ATENÇÃO",IF(K3734&lt;=5,"OPORTUNO","MUITO BOM")))</f>
        <v/>
      </c>
      <c r="N3734" t="n">
        <v>100</v>
      </c>
      <c r="O3734" t="n">
        <v>36.23188405797102</v>
      </c>
    </row>
    <row r="3735" hidden="1">
      <c r="A3735" s="11" t="n">
        <v>46119</v>
      </c>
      <c r="B3735" t="inlineStr">
        <is>
          <t>Davylla Rodrigues Freitas Silva</t>
        </is>
      </c>
      <c r="C3735" t="inlineStr">
        <is>
          <t>Técnico III</t>
        </is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s="3" t="n">
        <v>0</v>
      </c>
      <c r="J3735" s="3" t="n">
        <v>0</v>
      </c>
      <c r="K3735" s="3" t="n">
        <v>0</v>
      </c>
      <c r="L3735" s="3">
        <f>IF(K3735&lt;-5,"CRÍTICO",IF(K3735&lt;0,"ATENÇÃO",IF(K3735&lt;=5,"OPORTUNO","MUITO BOM")))</f>
        <v/>
      </c>
      <c r="N3735" t="n">
        <v>100</v>
      </c>
      <c r="O3735" t="n">
        <v>38.26923076923077</v>
      </c>
    </row>
    <row r="3736" hidden="1">
      <c r="A3736" s="11" t="n">
        <v>46119</v>
      </c>
      <c r="B3736" t="inlineStr">
        <is>
          <t>Emilly Caylane Costa</t>
        </is>
      </c>
      <c r="C3736" t="inlineStr">
        <is>
          <t>Estágio</t>
        </is>
      </c>
      <c r="D3736" t="n">
        <v>5</v>
      </c>
      <c r="E3736" t="n">
        <v>5</v>
      </c>
      <c r="F3736" t="n">
        <v>43.39</v>
      </c>
      <c r="G3736" t="n">
        <v>0</v>
      </c>
      <c r="H3736" t="n">
        <v>0</v>
      </c>
      <c r="I3736" s="3">
        <f>E3736+G3736+H3736</f>
        <v/>
      </c>
      <c r="J3736" s="3">
        <f>ROUND(MIN(IF(C3736="Técnico III",35,IF(C3736="Técnico II",28,IF(C3736="Técnico I",23,IF(C3736="JR",20,IF(C3736="Estágio",10,0))))),IF(C3736="Técnico III",SUMIFS($D:$D,$A:$A,$A3736,$B:$B,"&lt;&gt;Patrícia Karla de Sousa Araújo",$B:$B,"&lt;&gt;Lorena Dias de Araujo",$B:$B,"&lt;&gt;Lucas Luiz Romero")*(35/1083),IF(C3736="Técnico II",SUMIFS($D:$D,$A:$A,$A3736,$B:$B,"&lt;&gt;Patrícia Karla de Sousa Araújo",$B:$B,"&lt;&gt;Lorena Dias de Araujo",$B:$B,"&lt;&gt;Lucas Luiz Romero")*(28/1083),IF(C3736="Técnico I",SUMIFS($D:$D,$A:$A,$A3736,$B:$B,"&lt;&gt;Patrícia Karla de Sousa Araújo",$B:$B,"&lt;&gt;Lorena Dias de Araujo",$B:$B,"&lt;&gt;Lucas Luiz Romero")*(23/1083),IF(C3736="JR",SUMIFS($D:$D,$A:$A,$A3736,$B:$B,"&lt;&gt;Patrícia Karla de Sousa Araújo",$B:$B,"&lt;&gt;Lorena Dias de Araujo",$B:$B,"&lt;&gt;Lucas Luiz Romero")*(20/1083),IF(C3736="Estágio",SUMIFS($D:$D,$A:$A,$A3736,$B:$B,"&lt;&gt;Patrícia Karla de Sousa Araújo",$B:$B,"&lt;&gt;Lorena Dias de Araujo",$B:$B,"&lt;&gt;Lucas Luiz Romero")*(10/1083),0)))))),0)</f>
        <v/>
      </c>
      <c r="K3736" s="3">
        <f>I3736-J3736</f>
        <v/>
      </c>
      <c r="L3736" s="3">
        <f>IF(K3736&lt;-5,"CRÍTICO",IF(K3736&lt;0,"ATENÇÃO",IF(K3736&lt;=5,"OPORTUNO","MUITO BOM")))</f>
        <v/>
      </c>
      <c r="N3736" t="n">
        <v>100</v>
      </c>
      <c r="O3736" t="n">
        <v>27.36842105263158</v>
      </c>
    </row>
    <row r="3737" hidden="1">
      <c r="A3737" s="11" t="n">
        <v>46119</v>
      </c>
      <c r="B3737" t="inlineStr">
        <is>
          <t>Emilly Kamilly Medeiros Miranda</t>
        </is>
      </c>
      <c r="C3737" t="inlineStr">
        <is>
          <t>Técnico II</t>
        </is>
      </c>
      <c r="D3737" t="n">
        <v>18</v>
      </c>
      <c r="E3737" t="n">
        <v>18</v>
      </c>
      <c r="F3737" t="n">
        <v>19.12</v>
      </c>
      <c r="G3737" t="n">
        <v>0</v>
      </c>
      <c r="H3737" t="n">
        <v>0</v>
      </c>
      <c r="I3737" s="3">
        <f>E3737+G3737+H3737</f>
        <v/>
      </c>
      <c r="J3737" s="3">
        <f>ROUND(MIN(IF(C3737="Técnico III",35,IF(C3737="Técnico II",28,IF(C3737="Técnico I",23,IF(C3737="JR",20,IF(C3737="Estágio",10,0))))),IF(C3737="Técnico III",SUMIFS($D:$D,$A:$A,$A3737,$B:$B,"&lt;&gt;Patrícia Karla de Sousa Araújo",$B:$B,"&lt;&gt;Lorena Dias de Araujo",$B:$B,"&lt;&gt;Lucas Luiz Romero")*(35/1083),IF(C3737="Técnico II",SUMIFS($D:$D,$A:$A,$A3737,$B:$B,"&lt;&gt;Patrícia Karla de Sousa Araújo",$B:$B,"&lt;&gt;Lorena Dias de Araujo",$B:$B,"&lt;&gt;Lucas Luiz Romero")*(28/1083),IF(C3737="Técnico I",SUMIFS($D:$D,$A:$A,$A3737,$B:$B,"&lt;&gt;Patrícia Karla de Sousa Araújo",$B:$B,"&lt;&gt;Lorena Dias de Araujo",$B:$B,"&lt;&gt;Lucas Luiz Romero")*(23/1083),IF(C3737="JR",SUMIFS($D:$D,$A:$A,$A3737,$B:$B,"&lt;&gt;Patrícia Karla de Sousa Araújo",$B:$B,"&lt;&gt;Lorena Dias de Araujo",$B:$B,"&lt;&gt;Lucas Luiz Romero")*(20/1083),IF(C3737="Estágio",SUMIFS($D:$D,$A:$A,$A3737,$B:$B,"&lt;&gt;Patrícia Karla de Sousa Araújo",$B:$B,"&lt;&gt;Lorena Dias de Araujo",$B:$B,"&lt;&gt;Lucas Luiz Romero")*(10/1083),0)))))),0)</f>
        <v/>
      </c>
      <c r="K3737" s="3">
        <f>I3737-J3737</f>
        <v/>
      </c>
      <c r="L3737" s="3">
        <f>IF(K3737&lt;-5,"CRÍTICO",IF(K3737&lt;0,"ATENÇÃO",IF(K3737&lt;=5,"OPORTUNO","MUITO BOM")))</f>
        <v/>
      </c>
      <c r="N3737" t="n">
        <v>97.83</v>
      </c>
      <c r="O3737" t="n">
        <v>28.13186813186813</v>
      </c>
    </row>
    <row r="3738" hidden="1">
      <c r="A3738" s="11" t="n">
        <v>46119</v>
      </c>
      <c r="B3738" t="inlineStr">
        <is>
          <t>Francielson de Oliveira</t>
        </is>
      </c>
      <c r="C3738" t="inlineStr">
        <is>
          <t>Técnico III</t>
        </is>
      </c>
      <c r="D3738" t="n">
        <v>29</v>
      </c>
      <c r="E3738" t="n">
        <v>29</v>
      </c>
      <c r="F3738" t="n">
        <v>16.48</v>
      </c>
      <c r="G3738" t="n">
        <v>0</v>
      </c>
      <c r="H3738" t="n">
        <v>0</v>
      </c>
      <c r="I3738" s="3">
        <f>E3738+G3738+H3738</f>
        <v/>
      </c>
      <c r="J3738" s="3">
        <f>ROUND(MIN(IF(C3738="Técnico III",35,IF(C3738="Técnico II",28,IF(C3738="Técnico I",23,IF(C3738="JR",20,IF(C3738="Estágio",10,0))))),IF(C3738="Técnico III",SUMIFS($D:$D,$A:$A,$A3738,$B:$B,"&lt;&gt;Patrícia Karla de Sousa Araújo",$B:$B,"&lt;&gt;Lorena Dias de Araujo",$B:$B,"&lt;&gt;Lucas Luiz Romero")*(35/1083),IF(C3738="Técnico II",SUMIFS($D:$D,$A:$A,$A3738,$B:$B,"&lt;&gt;Patrícia Karla de Sousa Araújo",$B:$B,"&lt;&gt;Lorena Dias de Araujo",$B:$B,"&lt;&gt;Lucas Luiz Romero")*(28/1083),IF(C3738="Técnico I",SUMIFS($D:$D,$A:$A,$A3738,$B:$B,"&lt;&gt;Patrícia Karla de Sousa Araújo",$B:$B,"&lt;&gt;Lorena Dias de Araujo",$B:$B,"&lt;&gt;Lucas Luiz Romero")*(23/1083),IF(C3738="JR",SUMIFS($D:$D,$A:$A,$A3738,$B:$B,"&lt;&gt;Patrícia Karla de Sousa Araújo",$B:$B,"&lt;&gt;Lorena Dias de Araujo",$B:$B,"&lt;&gt;Lucas Luiz Romero")*(20/1083),IF(C3738="Estágio",SUMIFS($D:$D,$A:$A,$A3738,$B:$B,"&lt;&gt;Patrícia Karla de Sousa Araújo",$B:$B,"&lt;&gt;Lorena Dias de Araujo",$B:$B,"&lt;&gt;Lucas Luiz Romero")*(10/1083),0)))))),0)</f>
        <v/>
      </c>
      <c r="K3738" s="3">
        <f>I3738-J3738</f>
        <v/>
      </c>
      <c r="L3738" s="3">
        <f>IF(K3738&lt;-5,"CRÍTICO",IF(K3738&lt;0,"ATENÇÃO",IF(K3738&lt;=5,"OPORTUNO","MUITO BOM")))</f>
        <v/>
      </c>
      <c r="N3738" t="n">
        <v>99.26000000000001</v>
      </c>
      <c r="O3738" t="n">
        <v>29.57198443579767</v>
      </c>
    </row>
    <row r="3739" hidden="1">
      <c r="A3739" s="11" t="n">
        <v>46119</v>
      </c>
      <c r="B3739" t="inlineStr">
        <is>
          <t>Francilene Ferreira de Jesus</t>
        </is>
      </c>
      <c r="C3739" t="inlineStr">
        <is>
          <t>Técnico II</t>
        </is>
      </c>
      <c r="D3739" t="n">
        <v>27</v>
      </c>
      <c r="E3739" t="n">
        <v>26</v>
      </c>
      <c r="F3739" t="n">
        <v>18.52</v>
      </c>
      <c r="G3739" t="n">
        <v>0</v>
      </c>
      <c r="H3739" t="n">
        <v>0</v>
      </c>
      <c r="I3739" s="3">
        <f>E3739+G3739+H3739</f>
        <v/>
      </c>
      <c r="J3739" s="3">
        <f>ROUND(MIN(IF(C3739="Técnico III",35,IF(C3739="Técnico II",28,IF(C3739="Técnico I",23,IF(C3739="JR",20,IF(C3739="Estágio",10,0))))),IF(C3739="Técnico III",SUMIFS($D:$D,$A:$A,$A3739,$B:$B,"&lt;&gt;Patrícia Karla de Sousa Araújo",$B:$B,"&lt;&gt;Lorena Dias de Araujo",$B:$B,"&lt;&gt;Lucas Luiz Romero")*(35/1083),IF(C3739="Técnico II",SUMIFS($D:$D,$A:$A,$A3739,$B:$B,"&lt;&gt;Patrícia Karla de Sousa Araújo",$B:$B,"&lt;&gt;Lorena Dias de Araujo",$B:$B,"&lt;&gt;Lucas Luiz Romero")*(28/1083),IF(C3739="Técnico I",SUMIFS($D:$D,$A:$A,$A3739,$B:$B,"&lt;&gt;Patrícia Karla de Sousa Araújo",$B:$B,"&lt;&gt;Lorena Dias de Araujo",$B:$B,"&lt;&gt;Lucas Luiz Romero")*(23/1083),IF(C3739="JR",SUMIFS($D:$D,$A:$A,$A3739,$B:$B,"&lt;&gt;Patrícia Karla de Sousa Araújo",$B:$B,"&lt;&gt;Lorena Dias de Araujo",$B:$B,"&lt;&gt;Lucas Luiz Romero")*(20/1083),IF(C3739="Estágio",SUMIFS($D:$D,$A:$A,$A3739,$B:$B,"&lt;&gt;Patrícia Karla de Sousa Araújo",$B:$B,"&lt;&gt;Lorena Dias de Araujo",$B:$B,"&lt;&gt;Lucas Luiz Romero")*(10/1083),0)))))),0)</f>
        <v/>
      </c>
      <c r="K3739" s="3">
        <f>I3739-J3739</f>
        <v/>
      </c>
      <c r="L3739" s="3">
        <f>IF(K3739&lt;-5,"CRÍTICO",IF(K3739&lt;0,"ATENÇÃO",IF(K3739&lt;=5,"OPORTUNO","MUITO BOM")))</f>
        <v/>
      </c>
      <c r="N3739" t="n">
        <v>99.19</v>
      </c>
      <c r="O3739" t="n">
        <v>29.46236559139785</v>
      </c>
    </row>
    <row r="3740" hidden="1">
      <c r="A3740" s="11" t="n">
        <v>46167</v>
      </c>
      <c r="B3740" t="inlineStr">
        <is>
          <t>Emilly Kamilly Medeiros Miranda</t>
        </is>
      </c>
      <c r="C3740" t="inlineStr">
        <is>
          <t>Técnico II</t>
        </is>
      </c>
      <c r="D3740" t="n">
        <v>23</v>
      </c>
      <c r="E3740" t="n">
        <v>21</v>
      </c>
      <c r="F3740" t="n">
        <v>13.4</v>
      </c>
      <c r="G3740" t="n">
        <v>0</v>
      </c>
      <c r="H3740" t="n">
        <v>0</v>
      </c>
      <c r="I3740" s="3" t="n">
        <v>0</v>
      </c>
      <c r="J3740" s="3" t="n">
        <v>0</v>
      </c>
      <c r="K3740" s="3" t="n">
        <v>0</v>
      </c>
      <c r="L3740" s="3">
        <f>IF(K3740&lt;-5,"CRÍTICO",IF(K3740&lt;0,"ATENÇÃO",IF(K3740&lt;=5,"OPORTUNO","MUITO BOM")))</f>
        <v/>
      </c>
    </row>
    <row r="3741" hidden="1">
      <c r="A3741" s="11" t="n">
        <v>46119</v>
      </c>
      <c r="B3741" t="inlineStr">
        <is>
          <t>Isabella Borges de Oliveira</t>
        </is>
      </c>
      <c r="C3741" t="inlineStr">
        <is>
          <t>Técnico II</t>
        </is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s="3" t="n">
        <v>0</v>
      </c>
      <c r="J3741" s="3" t="n">
        <v>0</v>
      </c>
      <c r="K3741" s="3" t="n">
        <v>0</v>
      </c>
      <c r="L3741" s="3">
        <f>IF(K3741&lt;-5,"CRÍTICO",IF(K3741&lt;0,"ATENÇÃO",IF(K3741&lt;=5,"OPORTUNO","MUITO BOM")))</f>
        <v/>
      </c>
      <c r="N3741" t="n">
        <v>100</v>
      </c>
      <c r="O3741" t="n">
        <v>27.94117647058824</v>
      </c>
    </row>
    <row r="3742" hidden="1">
      <c r="A3742" s="11" t="n">
        <v>46119</v>
      </c>
      <c r="B3742" t="inlineStr">
        <is>
          <t>Janaina Lima dos Reis Urany</t>
        </is>
      </c>
      <c r="C3742" t="inlineStr">
        <is>
          <t>Técnico III</t>
        </is>
      </c>
      <c r="D3742" t="n">
        <v>46</v>
      </c>
      <c r="E3742" t="n">
        <v>43</v>
      </c>
      <c r="F3742" t="n">
        <v>10.53</v>
      </c>
      <c r="G3742" t="n">
        <v>0</v>
      </c>
      <c r="H3742" t="n">
        <v>0</v>
      </c>
      <c r="I3742" s="3">
        <f>E3742+G3742+H3742</f>
        <v/>
      </c>
      <c r="J3742" s="3">
        <f>ROUND(MIN(IF(C3742="Técnico III",35,IF(C3742="Técnico II",28,IF(C3742="Técnico I",23,IF(C3742="JR",20,IF(C3742="Estágio",10,0))))),IF(C3742="Técnico III",SUMIFS($D:$D,$A:$A,$A3742,$B:$B,"&lt;&gt;Patrícia Karla de Sousa Araújo",$B:$B,"&lt;&gt;Lorena Dias de Araujo",$B:$B,"&lt;&gt;Lucas Luiz Romero")*(35/1083),IF(C3742="Técnico II",SUMIFS($D:$D,$A:$A,$A3742,$B:$B,"&lt;&gt;Patrícia Karla de Sousa Araújo",$B:$B,"&lt;&gt;Lorena Dias de Araujo",$B:$B,"&lt;&gt;Lucas Luiz Romero")*(28/1083),IF(C3742="Técnico I",SUMIFS($D:$D,$A:$A,$A3742,$B:$B,"&lt;&gt;Patrícia Karla de Sousa Araújo",$B:$B,"&lt;&gt;Lorena Dias de Araujo",$B:$B,"&lt;&gt;Lucas Luiz Romero")*(23/1083),IF(C3742="JR",SUMIFS($D:$D,$A:$A,$A3742,$B:$B,"&lt;&gt;Patrícia Karla de Sousa Araújo",$B:$B,"&lt;&gt;Lorena Dias de Araujo",$B:$B,"&lt;&gt;Lucas Luiz Romero")*(20/1083),IF(C3742="Estágio",SUMIFS($D:$D,$A:$A,$A3742,$B:$B,"&lt;&gt;Patrícia Karla de Sousa Araújo",$B:$B,"&lt;&gt;Lorena Dias de Araujo",$B:$B,"&lt;&gt;Lucas Luiz Romero")*(10/1083),0)))))),0)</f>
        <v/>
      </c>
      <c r="K3742" s="3">
        <f>I3742-J3742</f>
        <v/>
      </c>
      <c r="L3742" s="3">
        <f>IF(K3742&lt;-5,"CRÍTICO",IF(K3742&lt;0,"ATENÇÃO",IF(K3742&lt;=5,"OPORTUNO","MUITO BOM")))</f>
        <v/>
      </c>
      <c r="N3742" t="n">
        <v>99.56999999999999</v>
      </c>
      <c r="O3742" t="n">
        <v>29.91329479768786</v>
      </c>
    </row>
    <row r="3743" hidden="1">
      <c r="A3743" s="11" t="n">
        <v>46119</v>
      </c>
      <c r="B3743" t="inlineStr">
        <is>
          <t>Jaqueline Evangelista da Silva Martins</t>
        </is>
      </c>
      <c r="C3743" t="inlineStr">
        <is>
          <t>Técnico III</t>
        </is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s="3" t="n">
        <v>0</v>
      </c>
      <c r="J3743" s="3" t="n">
        <v>0</v>
      </c>
      <c r="K3743" s="3" t="n">
        <v>0</v>
      </c>
      <c r="L3743" s="3">
        <f>IF(K3743&lt;-5,"CRÍTICO",IF(K3743&lt;0,"ATENÇÃO",IF(K3743&lt;=5,"OPORTUNO","MUITO BOM")))</f>
        <v/>
      </c>
      <c r="N3743" t="n">
        <v>95.65000000000001</v>
      </c>
      <c r="O3743" t="n">
        <v>31.08108108108108</v>
      </c>
    </row>
    <row r="3744" hidden="1">
      <c r="A3744" s="11" t="n">
        <v>46119</v>
      </c>
      <c r="B3744" t="inlineStr">
        <is>
          <t>Jessica Faria da Silveira</t>
        </is>
      </c>
      <c r="C3744" t="inlineStr">
        <is>
          <t>Técnico II</t>
        </is>
      </c>
      <c r="D3744" t="n">
        <v>27</v>
      </c>
      <c r="E3744" t="n">
        <v>24</v>
      </c>
      <c r="F3744" t="n">
        <v>15.58</v>
      </c>
      <c r="G3744" t="n">
        <v>0</v>
      </c>
      <c r="H3744" t="n">
        <v>0</v>
      </c>
      <c r="I3744" s="3">
        <f>E3744+G3744+H3744</f>
        <v/>
      </c>
      <c r="J3744" s="3">
        <f>ROUND(MIN(IF(C3744="Técnico III",35,IF(C3744="Técnico II",28,IF(C3744="Técnico I",23,IF(C3744="JR",20,IF(C3744="Estágio",10,0))))),IF(C3744="Técnico III",SUMIFS($D:$D,$A:$A,$A3744,$B:$B,"&lt;&gt;Patrícia Karla de Sousa Araújo",$B:$B,"&lt;&gt;Lorena Dias de Araujo",$B:$B,"&lt;&gt;Lucas Luiz Romero")*(35/1083),IF(C3744="Técnico II",SUMIFS($D:$D,$A:$A,$A3744,$B:$B,"&lt;&gt;Patrícia Karla de Sousa Araújo",$B:$B,"&lt;&gt;Lorena Dias de Araujo",$B:$B,"&lt;&gt;Lucas Luiz Romero")*(28/1083),IF(C3744="Técnico I",SUMIFS($D:$D,$A:$A,$A3744,$B:$B,"&lt;&gt;Patrícia Karla de Sousa Araújo",$B:$B,"&lt;&gt;Lorena Dias de Araujo",$B:$B,"&lt;&gt;Lucas Luiz Romero")*(23/1083),IF(C3744="JR",SUMIFS($D:$D,$A:$A,$A3744,$B:$B,"&lt;&gt;Patrícia Karla de Sousa Araújo",$B:$B,"&lt;&gt;Lorena Dias de Araujo",$B:$B,"&lt;&gt;Lucas Luiz Romero")*(20/1083),IF(C3744="Estágio",SUMIFS($D:$D,$A:$A,$A3744,$B:$B,"&lt;&gt;Patrícia Karla de Sousa Araújo",$B:$B,"&lt;&gt;Lorena Dias de Araujo",$B:$B,"&lt;&gt;Lucas Luiz Romero")*(10/1083),0)))))),0)</f>
        <v/>
      </c>
      <c r="K3744" s="3">
        <f>I3744-J3744</f>
        <v/>
      </c>
      <c r="L3744" s="3">
        <f>IF(K3744&lt;-5,"CRÍTICO",IF(K3744&lt;0,"ATENÇÃO",IF(K3744&lt;=5,"OPORTUNO","MUITO BOM")))</f>
        <v/>
      </c>
      <c r="N3744" t="n">
        <v>98.81</v>
      </c>
      <c r="O3744" t="n">
        <v>26.25698324022346</v>
      </c>
    </row>
    <row r="3745" hidden="1">
      <c r="A3745" s="11" t="n">
        <v>46119</v>
      </c>
      <c r="B3745" t="inlineStr">
        <is>
          <t>Jéssica Fé Moura</t>
        </is>
      </c>
      <c r="C3745" t="inlineStr">
        <is>
          <t>Técnico III</t>
        </is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s="3" t="n">
        <v>0</v>
      </c>
      <c r="J3745" s="3" t="n">
        <v>0</v>
      </c>
      <c r="K3745" s="3" t="n">
        <v>0</v>
      </c>
      <c r="L3745" s="3">
        <f>IF(K3745&lt;-5,"CRÍTICO",IF(K3745&lt;0,"ATENÇÃO",IF(K3745&lt;=5,"OPORTUNO","MUITO BOM")))</f>
        <v/>
      </c>
      <c r="N3745" t="n">
        <v>0</v>
      </c>
      <c r="O3745" t="n">
        <v>0</v>
      </c>
    </row>
    <row r="3746" hidden="1">
      <c r="A3746" s="11" t="n">
        <v>46119</v>
      </c>
      <c r="B3746" t="inlineStr">
        <is>
          <t>Karina Gonçalves Martins</t>
        </is>
      </c>
      <c r="C3746" t="inlineStr">
        <is>
          <t>JR</t>
        </is>
      </c>
      <c r="D3746" t="n">
        <v>24</v>
      </c>
      <c r="E3746" t="n">
        <v>24</v>
      </c>
      <c r="F3746" t="n">
        <v>19.19</v>
      </c>
      <c r="G3746" t="n">
        <v>0</v>
      </c>
      <c r="H3746" t="n">
        <v>0</v>
      </c>
      <c r="I3746" s="3">
        <f>E3746+G3746+H3746</f>
        <v/>
      </c>
      <c r="J3746" s="3">
        <f>ROUND(MIN(IF(C3746="Técnico III",35,IF(C3746="Técnico II",28,IF(C3746="Técnico I",23,IF(C3746="JR",20,IF(C3746="Estágio",10,0))))),IF(C3746="Técnico III",SUMIFS($D:$D,$A:$A,$A3746,$B:$B,"&lt;&gt;Patrícia Karla de Sousa Araújo",$B:$B,"&lt;&gt;Lorena Dias de Araujo",$B:$B,"&lt;&gt;Lucas Luiz Romero")*(35/1083),IF(C3746="Técnico II",SUMIFS($D:$D,$A:$A,$A3746,$B:$B,"&lt;&gt;Patrícia Karla de Sousa Araújo",$B:$B,"&lt;&gt;Lorena Dias de Araujo",$B:$B,"&lt;&gt;Lucas Luiz Romero")*(28/1083),IF(C3746="Técnico I",SUMIFS($D:$D,$A:$A,$A3746,$B:$B,"&lt;&gt;Patrícia Karla de Sousa Araújo",$B:$B,"&lt;&gt;Lorena Dias de Araujo",$B:$B,"&lt;&gt;Lucas Luiz Romero")*(23/1083),IF(C3746="JR",SUMIFS($D:$D,$A:$A,$A3746,$B:$B,"&lt;&gt;Patrícia Karla de Sousa Araújo",$B:$B,"&lt;&gt;Lorena Dias de Araujo",$B:$B,"&lt;&gt;Lucas Luiz Romero")*(20/1083),IF(C3746="Estágio",SUMIFS($D:$D,$A:$A,$A3746,$B:$B,"&lt;&gt;Patrícia Karla de Sousa Araújo",$B:$B,"&lt;&gt;Lorena Dias de Araujo",$B:$B,"&lt;&gt;Lucas Luiz Romero")*(10/1083),0)))))),0)</f>
        <v/>
      </c>
      <c r="K3746" s="3">
        <f>I3746-J3746</f>
        <v/>
      </c>
      <c r="L3746" s="3">
        <f>IF(K3746&lt;-5,"CRÍTICO",IF(K3746&lt;0,"ATENÇÃO",IF(K3746&lt;=5,"OPORTUNO","MUITO BOM")))</f>
        <v/>
      </c>
      <c r="N3746" t="n">
        <v>97.17</v>
      </c>
      <c r="O3746" t="n">
        <v>28.81844380403458</v>
      </c>
    </row>
    <row r="3747" hidden="1">
      <c r="A3747" s="11" t="n">
        <v>46119</v>
      </c>
      <c r="B3747" t="inlineStr">
        <is>
          <t>Kerollen Cristielly de Jesus Siqueira</t>
        </is>
      </c>
      <c r="C3747" t="inlineStr">
        <is>
          <t>Técnico III</t>
        </is>
      </c>
      <c r="D3747" t="n">
        <v>24</v>
      </c>
      <c r="E3747" t="n">
        <v>24</v>
      </c>
      <c r="F3747" t="n">
        <v>19.14</v>
      </c>
      <c r="G3747" t="n">
        <v>0</v>
      </c>
      <c r="H3747" t="n">
        <v>0</v>
      </c>
      <c r="I3747" s="3">
        <f>E3747+G3747+H3747</f>
        <v/>
      </c>
      <c r="J3747" s="3">
        <f>ROUND(MIN(IF(C3747="Técnico III",35,IF(C3747="Técnico II",28,IF(C3747="Técnico I",23,IF(C3747="JR",20,IF(C3747="Estágio",10,0))))),IF(C3747="Técnico III",SUMIFS($D:$D,$A:$A,$A3747,$B:$B,"&lt;&gt;Patrícia Karla de Sousa Araújo",$B:$B,"&lt;&gt;Lorena Dias de Araujo",$B:$B,"&lt;&gt;Lucas Luiz Romero")*(35/1083),IF(C3747="Técnico II",SUMIFS($D:$D,$A:$A,$A3747,$B:$B,"&lt;&gt;Patrícia Karla de Sousa Araújo",$B:$B,"&lt;&gt;Lorena Dias de Araujo",$B:$B,"&lt;&gt;Lucas Luiz Romero")*(28/1083),IF(C3747="Técnico I",SUMIFS($D:$D,$A:$A,$A3747,$B:$B,"&lt;&gt;Patrícia Karla de Sousa Araújo",$B:$B,"&lt;&gt;Lorena Dias de Araujo",$B:$B,"&lt;&gt;Lucas Luiz Romero")*(23/1083),IF(C3747="JR",SUMIFS($D:$D,$A:$A,$A3747,$B:$B,"&lt;&gt;Patrícia Karla de Sousa Araújo",$B:$B,"&lt;&gt;Lorena Dias de Araujo",$B:$B,"&lt;&gt;Lucas Luiz Romero")*(20/1083),IF(C3747="Estágio",SUMIFS($D:$D,$A:$A,$A3747,$B:$B,"&lt;&gt;Patrícia Karla de Sousa Araújo",$B:$B,"&lt;&gt;Lorena Dias de Araujo",$B:$B,"&lt;&gt;Lucas Luiz Romero")*(10/1083),0)))))),0)</f>
        <v/>
      </c>
      <c r="K3747" s="3">
        <f>I3747-J3747</f>
        <v/>
      </c>
      <c r="L3747" s="3">
        <f>IF(K3747&lt;-5,"CRÍTICO",IF(K3747&lt;0,"ATENÇÃO",IF(K3747&lt;=5,"OPORTUNO","MUITO BOM")))</f>
        <v/>
      </c>
      <c r="N3747" t="n">
        <v>96.81</v>
      </c>
      <c r="O3747" t="n">
        <v>48.01864801864802</v>
      </c>
    </row>
    <row r="3748" hidden="1">
      <c r="A3748" s="11" t="n">
        <v>46119</v>
      </c>
      <c r="B3748" t="inlineStr">
        <is>
          <t>Leandro de Souza Silva</t>
        </is>
      </c>
      <c r="C3748" t="inlineStr">
        <is>
          <t>JR</t>
        </is>
      </c>
      <c r="D3748" t="n">
        <v>18</v>
      </c>
      <c r="E3748" t="n">
        <v>16</v>
      </c>
      <c r="F3748" t="n">
        <v>23.54</v>
      </c>
      <c r="G3748" t="n">
        <v>0</v>
      </c>
      <c r="H3748" t="n">
        <v>0</v>
      </c>
      <c r="I3748" s="3">
        <f>E3748+G3748+H3748</f>
        <v/>
      </c>
      <c r="J3748" s="3">
        <f>ROUND(MIN(IF(C3748="Técnico III",35,IF(C3748="Técnico II",28,IF(C3748="Técnico I",23,IF(C3748="JR",20,IF(C3748="Estágio",10,0))))),IF(C3748="Técnico III",SUMIFS($D:$D,$A:$A,$A3748,$B:$B,"&lt;&gt;Patrícia Karla de Sousa Araújo",$B:$B,"&lt;&gt;Lorena Dias de Araujo",$B:$B,"&lt;&gt;Lucas Luiz Romero")*(35/1083),IF(C3748="Técnico II",SUMIFS($D:$D,$A:$A,$A3748,$B:$B,"&lt;&gt;Patrícia Karla de Sousa Araújo",$B:$B,"&lt;&gt;Lorena Dias de Araujo",$B:$B,"&lt;&gt;Lucas Luiz Romero")*(28/1083),IF(C3748="Técnico I",SUMIFS($D:$D,$A:$A,$A3748,$B:$B,"&lt;&gt;Patrícia Karla de Sousa Araújo",$B:$B,"&lt;&gt;Lorena Dias de Araujo",$B:$B,"&lt;&gt;Lucas Luiz Romero")*(23/1083),IF(C3748="JR",SUMIFS($D:$D,$A:$A,$A3748,$B:$B,"&lt;&gt;Patrícia Karla de Sousa Araújo",$B:$B,"&lt;&gt;Lorena Dias de Araujo",$B:$B,"&lt;&gt;Lucas Luiz Romero")*(20/1083),IF(C3748="Estágio",SUMIFS($D:$D,$A:$A,$A3748,$B:$B,"&lt;&gt;Patrícia Karla de Sousa Araújo",$B:$B,"&lt;&gt;Lorena Dias de Araujo",$B:$B,"&lt;&gt;Lucas Luiz Romero")*(10/1083),0)))))),0)</f>
        <v/>
      </c>
      <c r="K3748" s="3">
        <f>I3748-J3748</f>
        <v/>
      </c>
      <c r="L3748" s="3">
        <f>IF(K3748&lt;-5,"CRÍTICO",IF(K3748&lt;0,"ATENÇÃO",IF(K3748&lt;=5,"OPORTUNO","MUITO BOM")))</f>
        <v/>
      </c>
      <c r="N3748" t="n">
        <v>98.15000000000001</v>
      </c>
      <c r="O3748" t="n">
        <v>27.1551724137931</v>
      </c>
    </row>
    <row r="3749" hidden="1">
      <c r="A3749" s="11" t="n">
        <v>46119</v>
      </c>
      <c r="B3749" t="inlineStr">
        <is>
          <t>Leandro Oliveira de Sousa</t>
        </is>
      </c>
      <c r="C3749" t="inlineStr">
        <is>
          <t>Técnico III</t>
        </is>
      </c>
      <c r="D3749" t="n">
        <v>28</v>
      </c>
      <c r="E3749" t="n">
        <v>25</v>
      </c>
      <c r="F3749" t="n">
        <v>15.2</v>
      </c>
      <c r="G3749" t="n">
        <v>0</v>
      </c>
      <c r="H3749" t="n">
        <v>0</v>
      </c>
      <c r="I3749" s="3">
        <f>E3749+G3749+H3749</f>
        <v/>
      </c>
      <c r="J3749" s="3">
        <f>ROUND(MIN(IF(C3749="Técnico III",35,IF(C3749="Técnico II",28,IF(C3749="Técnico I",23,IF(C3749="JR",20,IF(C3749="Estágio",10,0))))),IF(C3749="Técnico III",SUMIFS($D:$D,$A:$A,$A3749,$B:$B,"&lt;&gt;Patrícia Karla de Sousa Araújo",$B:$B,"&lt;&gt;Lorena Dias de Araujo",$B:$B,"&lt;&gt;Lucas Luiz Romero")*(35/1083),IF(C3749="Técnico II",SUMIFS($D:$D,$A:$A,$A3749,$B:$B,"&lt;&gt;Patrícia Karla de Sousa Araújo",$B:$B,"&lt;&gt;Lorena Dias de Araujo",$B:$B,"&lt;&gt;Lucas Luiz Romero")*(28/1083),IF(C3749="Técnico I",SUMIFS($D:$D,$A:$A,$A3749,$B:$B,"&lt;&gt;Patrícia Karla de Sousa Araújo",$B:$B,"&lt;&gt;Lorena Dias de Araujo",$B:$B,"&lt;&gt;Lucas Luiz Romero")*(23/1083),IF(C3749="JR",SUMIFS($D:$D,$A:$A,$A3749,$B:$B,"&lt;&gt;Patrícia Karla de Sousa Araújo",$B:$B,"&lt;&gt;Lorena Dias de Araujo",$B:$B,"&lt;&gt;Lucas Luiz Romero")*(20/1083),IF(C3749="Estágio",SUMIFS($D:$D,$A:$A,$A3749,$B:$B,"&lt;&gt;Patrícia Karla de Sousa Araújo",$B:$B,"&lt;&gt;Lorena Dias de Araujo",$B:$B,"&lt;&gt;Lucas Luiz Romero")*(10/1083),0)))))),0)</f>
        <v/>
      </c>
      <c r="K3749" s="3">
        <f>I3749-J3749</f>
        <v/>
      </c>
      <c r="L3749" s="3">
        <f>IF(K3749&lt;-5,"CRÍTICO",IF(K3749&lt;0,"ATENÇÃO",IF(K3749&lt;=5,"OPORTUNO","MUITO BOM")))</f>
        <v/>
      </c>
      <c r="N3749" t="n">
        <v>99.15000000000001</v>
      </c>
      <c r="O3749" t="n">
        <v>27.37068965517241</v>
      </c>
    </row>
    <row r="3750" hidden="1">
      <c r="A3750" s="11" t="n">
        <v>46119</v>
      </c>
      <c r="B3750" t="inlineStr">
        <is>
          <t>Lizandra Gomes Duarte</t>
        </is>
      </c>
      <c r="C3750" t="inlineStr">
        <is>
          <t>Técnico II</t>
        </is>
      </c>
      <c r="D3750" t="n">
        <v>30</v>
      </c>
      <c r="E3750" t="n">
        <v>29</v>
      </c>
      <c r="F3750" t="n">
        <v>20.48</v>
      </c>
      <c r="G3750" t="n">
        <v>0</v>
      </c>
      <c r="H3750" t="n">
        <v>0</v>
      </c>
      <c r="I3750" s="3">
        <f>E3750+G3750+H3750</f>
        <v/>
      </c>
      <c r="J3750" s="3">
        <f>ROUND(MIN(IF(C3750="Técnico III",35,IF(C3750="Técnico II",28,IF(C3750="Técnico I",23,IF(C3750="JR",20,IF(C3750="Estágio",10,0))))),IF(C3750="Técnico III",SUMIFS($D:$D,$A:$A,$A3750,$B:$B,"&lt;&gt;Patrícia Karla de Sousa Araújo",$B:$B,"&lt;&gt;Lorena Dias de Araujo",$B:$B,"&lt;&gt;Lucas Luiz Romero")*(35/1083),IF(C3750="Técnico II",SUMIFS($D:$D,$A:$A,$A3750,$B:$B,"&lt;&gt;Patrícia Karla de Sousa Araújo",$B:$B,"&lt;&gt;Lorena Dias de Araujo",$B:$B,"&lt;&gt;Lucas Luiz Romero")*(28/1083),IF(C3750="Técnico I",SUMIFS($D:$D,$A:$A,$A3750,$B:$B,"&lt;&gt;Patrícia Karla de Sousa Araújo",$B:$B,"&lt;&gt;Lorena Dias de Araujo",$B:$B,"&lt;&gt;Lucas Luiz Romero")*(23/1083),IF(C3750="JR",SUMIFS($D:$D,$A:$A,$A3750,$B:$B,"&lt;&gt;Patrícia Karla de Sousa Araújo",$B:$B,"&lt;&gt;Lorena Dias de Araujo",$B:$B,"&lt;&gt;Lucas Luiz Romero")*(20/1083),IF(C3750="Estágio",SUMIFS($D:$D,$A:$A,$A3750,$B:$B,"&lt;&gt;Patrícia Karla de Sousa Araújo",$B:$B,"&lt;&gt;Lorena Dias de Araujo",$B:$B,"&lt;&gt;Lucas Luiz Romero")*(10/1083),0)))))),0)</f>
        <v/>
      </c>
      <c r="K3750" s="3">
        <f>I3750-J3750</f>
        <v/>
      </c>
      <c r="L3750" s="3">
        <f>IF(K3750&lt;-5,"CRÍTICO",IF(K3750&lt;0,"ATENÇÃO",IF(K3750&lt;=5,"OPORTUNO","MUITO BOM")))</f>
        <v/>
      </c>
      <c r="N3750" t="n">
        <v>99.17</v>
      </c>
      <c r="O3750" t="n">
        <v>29.75206611570248</v>
      </c>
    </row>
    <row r="3751" hidden="1">
      <c r="A3751" s="11" t="n">
        <v>46119</v>
      </c>
      <c r="B3751" t="inlineStr">
        <is>
          <t>Lorena Dias de Araujo</t>
        </is>
      </c>
      <c r="C3751" t="inlineStr">
        <is>
          <t>Técnico II</t>
        </is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s="3" t="n">
        <v>0</v>
      </c>
      <c r="J3751" s="3" t="n">
        <v>0</v>
      </c>
      <c r="K3751" s="3" t="n">
        <v>0</v>
      </c>
      <c r="L3751" s="3">
        <f>IF(K3751&lt;-5,"CRÍTICO",IF(K3751&lt;0,"ATENÇÃO",IF(K3751&lt;=5,"OPORTUNO","MUITO BOM")))</f>
        <v/>
      </c>
      <c r="N3751" t="n">
        <v>98.73</v>
      </c>
      <c r="O3751" t="n">
        <v>28.96174863387978</v>
      </c>
    </row>
    <row r="3752" hidden="1">
      <c r="A3752" s="11" t="n">
        <v>46119</v>
      </c>
      <c r="B3752" t="inlineStr">
        <is>
          <t>Lucas Luiz Romero</t>
        </is>
      </c>
      <c r="C3752" t="inlineStr">
        <is>
          <t>Técnico III</t>
        </is>
      </c>
      <c r="D3752" t="n">
        <v>35</v>
      </c>
      <c r="E3752" t="n">
        <v>30</v>
      </c>
      <c r="F3752" t="n">
        <v>20.04</v>
      </c>
      <c r="G3752" t="n">
        <v>0</v>
      </c>
      <c r="H3752" t="n">
        <v>0</v>
      </c>
      <c r="I3752" s="3">
        <f>E3752+G3752+H3752</f>
        <v/>
      </c>
      <c r="J3752" s="3">
        <f>ROUND(MIN(IF(C3752="Técnico III",35,IF(C3752="Técnico II",28,IF(C3752="Técnico I",23,IF(C3752="JR",20,IF(C3752="Estágio",10,0))))),IF(C3752="Técnico III",SUMIFS($D:$D,$A:$A,$A3752,$B:$B,"&lt;&gt;Patrícia Karla de Sousa Araújo",$B:$B,"&lt;&gt;Lorena Dias de Araujo",$B:$B,"&lt;&gt;Lucas Luiz Romero")*(35/1083),IF(C3752="Técnico II",SUMIFS($D:$D,$A:$A,$A3752,$B:$B,"&lt;&gt;Patrícia Karla de Sousa Araújo",$B:$B,"&lt;&gt;Lorena Dias de Araujo",$B:$B,"&lt;&gt;Lucas Luiz Romero")*(28/1083),IF(C3752="Técnico I",SUMIFS($D:$D,$A:$A,$A3752,$B:$B,"&lt;&gt;Patrícia Karla de Sousa Araújo",$B:$B,"&lt;&gt;Lorena Dias de Araujo",$B:$B,"&lt;&gt;Lucas Luiz Romero")*(23/1083),IF(C3752="JR",SUMIFS($D:$D,$A:$A,$A3752,$B:$B,"&lt;&gt;Patrícia Karla de Sousa Araújo",$B:$B,"&lt;&gt;Lorena Dias de Araujo",$B:$B,"&lt;&gt;Lucas Luiz Romero")*(20/1083),IF(C3752="Estágio",SUMIFS($D:$D,$A:$A,$A3752,$B:$B,"&lt;&gt;Patrícia Karla de Sousa Araújo",$B:$B,"&lt;&gt;Lorena Dias de Araujo",$B:$B,"&lt;&gt;Lucas Luiz Romero")*(10/1083),0)))))),0)</f>
        <v/>
      </c>
      <c r="K3752" s="3">
        <f>I3752-J3752</f>
        <v/>
      </c>
      <c r="L3752" s="3">
        <f>IF(K3752&lt;-5,"CRÍTICO",IF(K3752&lt;0,"ATENÇÃO",IF(K3752&lt;=5,"OPORTUNO","MUITO BOM")))</f>
        <v/>
      </c>
      <c r="N3752" t="n">
        <v>88.68000000000001</v>
      </c>
      <c r="O3752" t="n">
        <v>22.03389830508474</v>
      </c>
    </row>
    <row r="3753" hidden="1">
      <c r="A3753" s="11" t="n">
        <v>46119</v>
      </c>
      <c r="B3753" t="inlineStr">
        <is>
          <t>Luiz Fernando de Carvalho Junior</t>
        </is>
      </c>
      <c r="C3753" t="inlineStr">
        <is>
          <t>Técnico I</t>
        </is>
      </c>
      <c r="D3753" t="n">
        <v>12</v>
      </c>
      <c r="E3753" t="n">
        <v>12</v>
      </c>
      <c r="F3753" t="n">
        <v>20.14</v>
      </c>
      <c r="G3753" t="n">
        <v>0</v>
      </c>
      <c r="H3753" t="n">
        <v>0</v>
      </c>
      <c r="I3753" s="3">
        <f>E3753+G3753+H3753</f>
        <v/>
      </c>
      <c r="J3753" s="3">
        <f>ROUND(MIN(IF(C3753="Técnico III",35,IF(C3753="Técnico II",28,IF(C3753="Técnico I",23,IF(C3753="JR",20,IF(C3753="Estágio",10,0))))),IF(C3753="Técnico III",SUMIFS($D:$D,$A:$A,$A3753,$B:$B,"&lt;&gt;Patrícia Karla de Sousa Araújo",$B:$B,"&lt;&gt;Lorena Dias de Araujo",$B:$B,"&lt;&gt;Lucas Luiz Romero")*(35/1083),IF(C3753="Técnico II",SUMIFS($D:$D,$A:$A,$A3753,$B:$B,"&lt;&gt;Patrícia Karla de Sousa Araújo",$B:$B,"&lt;&gt;Lorena Dias de Araujo",$B:$B,"&lt;&gt;Lucas Luiz Romero")*(28/1083),IF(C3753="Técnico I",SUMIFS($D:$D,$A:$A,$A3753,$B:$B,"&lt;&gt;Patrícia Karla de Sousa Araújo",$B:$B,"&lt;&gt;Lorena Dias de Araujo",$B:$B,"&lt;&gt;Lucas Luiz Romero")*(23/1083),IF(C3753="JR",SUMIFS($D:$D,$A:$A,$A3753,$B:$B,"&lt;&gt;Patrícia Karla de Sousa Araújo",$B:$B,"&lt;&gt;Lorena Dias de Araujo",$B:$B,"&lt;&gt;Lucas Luiz Romero")*(20/1083),IF(C3753="Estágio",SUMIFS($D:$D,$A:$A,$A3753,$B:$B,"&lt;&gt;Patrícia Karla de Sousa Araújo",$B:$B,"&lt;&gt;Lorena Dias de Araujo",$B:$B,"&lt;&gt;Lucas Luiz Romero")*(10/1083),0)))))),0)</f>
        <v/>
      </c>
      <c r="K3753" s="3">
        <f>I3753-J3753</f>
        <v/>
      </c>
      <c r="L3753" s="3">
        <f>IF(K3753&lt;-5,"CRÍTICO",IF(K3753&lt;0,"ATENÇÃO",IF(K3753&lt;=5,"OPORTUNO","MUITO BOM")))</f>
        <v/>
      </c>
      <c r="N3753" t="n">
        <v>97.37</v>
      </c>
      <c r="O3753" t="n">
        <v>25.76530612244898</v>
      </c>
    </row>
    <row r="3754" hidden="1">
      <c r="A3754" s="11" t="n">
        <v>46119</v>
      </c>
      <c r="B3754" t="inlineStr">
        <is>
          <t>Maria Eduarda Sousa Costa</t>
        </is>
      </c>
      <c r="C3754" t="inlineStr">
        <is>
          <t>Estágio</t>
        </is>
      </c>
      <c r="D3754" t="n">
        <v>11</v>
      </c>
      <c r="E3754" t="n">
        <v>10</v>
      </c>
      <c r="F3754" t="n">
        <v>33.31</v>
      </c>
      <c r="G3754" t="n">
        <v>0</v>
      </c>
      <c r="H3754" t="n">
        <v>0</v>
      </c>
      <c r="I3754" s="3">
        <f>E3754+G3754+H3754</f>
        <v/>
      </c>
      <c r="J3754" s="3">
        <f>ROUND(MIN(IF(C3754="Técnico III",35,IF(C3754="Técnico II",28,IF(C3754="Técnico I",23,IF(C3754="JR",20,IF(C3754="Estágio",10,0))))),IF(C3754="Técnico III",SUMIFS($D:$D,$A:$A,$A3754,$B:$B,"&lt;&gt;Patrícia Karla de Sousa Araújo",$B:$B,"&lt;&gt;Lorena Dias de Araujo",$B:$B,"&lt;&gt;Lucas Luiz Romero")*(35/1083),IF(C3754="Técnico II",SUMIFS($D:$D,$A:$A,$A3754,$B:$B,"&lt;&gt;Patrícia Karla de Sousa Araújo",$B:$B,"&lt;&gt;Lorena Dias de Araujo",$B:$B,"&lt;&gt;Lucas Luiz Romero")*(28/1083),IF(C3754="Técnico I",SUMIFS($D:$D,$A:$A,$A3754,$B:$B,"&lt;&gt;Patrícia Karla de Sousa Araújo",$B:$B,"&lt;&gt;Lorena Dias de Araujo",$B:$B,"&lt;&gt;Lucas Luiz Romero")*(23/1083),IF(C3754="JR",SUMIFS($D:$D,$A:$A,$A3754,$B:$B,"&lt;&gt;Patrícia Karla de Sousa Araújo",$B:$B,"&lt;&gt;Lorena Dias de Araujo",$B:$B,"&lt;&gt;Lucas Luiz Romero")*(20/1083),IF(C3754="Estágio",SUMIFS($D:$D,$A:$A,$A3754,$B:$B,"&lt;&gt;Patrícia Karla de Sousa Araújo",$B:$B,"&lt;&gt;Lorena Dias de Araujo",$B:$B,"&lt;&gt;Lucas Luiz Romero")*(10/1083),0)))))),0)</f>
        <v/>
      </c>
      <c r="K3754" s="3">
        <f>I3754-J3754</f>
        <v/>
      </c>
      <c r="L3754" s="3">
        <f>IF(K3754&lt;-5,"CRÍTICO",IF(K3754&lt;0,"ATENÇÃO",IF(K3754&lt;=5,"OPORTUNO","MUITO BOM")))</f>
        <v/>
      </c>
      <c r="N3754" t="n">
        <v>100</v>
      </c>
      <c r="O3754" t="n">
        <v>25</v>
      </c>
    </row>
    <row r="3755" hidden="1">
      <c r="A3755" s="11" t="n">
        <v>46119</v>
      </c>
      <c r="B3755" t="inlineStr">
        <is>
          <t>Matheus Farias De Souza</t>
        </is>
      </c>
      <c r="C3755" t="inlineStr">
        <is>
          <t>Técnico III</t>
        </is>
      </c>
      <c r="D3755" t="n">
        <v>44</v>
      </c>
      <c r="E3755" t="n">
        <v>43</v>
      </c>
      <c r="F3755" t="n">
        <v>15.07</v>
      </c>
      <c r="G3755" t="n">
        <v>0</v>
      </c>
      <c r="H3755" t="n">
        <v>0</v>
      </c>
      <c r="I3755" s="3">
        <f>E3755+G3755+H3755</f>
        <v/>
      </c>
      <c r="J3755" s="3">
        <f>ROUND(MIN(IF(C3755="Técnico III",35,IF(C3755="Técnico II",28,IF(C3755="Técnico I",23,IF(C3755="JR",20,IF(C3755="Estágio",10,0))))),IF(C3755="Técnico III",SUMIFS($D:$D,$A:$A,$A3755,$B:$B,"&lt;&gt;Patrícia Karla de Sousa Araújo",$B:$B,"&lt;&gt;Lorena Dias de Araujo",$B:$B,"&lt;&gt;Lucas Luiz Romero")*(35/1083),IF(C3755="Técnico II",SUMIFS($D:$D,$A:$A,$A3755,$B:$B,"&lt;&gt;Patrícia Karla de Sousa Araújo",$B:$B,"&lt;&gt;Lorena Dias de Araujo",$B:$B,"&lt;&gt;Lucas Luiz Romero")*(28/1083),IF(C3755="Técnico I",SUMIFS($D:$D,$A:$A,$A3755,$B:$B,"&lt;&gt;Patrícia Karla de Sousa Araújo",$B:$B,"&lt;&gt;Lorena Dias de Araujo",$B:$B,"&lt;&gt;Lucas Luiz Romero")*(23/1083),IF(C3755="JR",SUMIFS($D:$D,$A:$A,$A3755,$B:$B,"&lt;&gt;Patrícia Karla de Sousa Araújo",$B:$B,"&lt;&gt;Lorena Dias de Araujo",$B:$B,"&lt;&gt;Lucas Luiz Romero")*(20/1083),IF(C3755="Estágio",SUMIFS($D:$D,$A:$A,$A3755,$B:$B,"&lt;&gt;Patrícia Karla de Sousa Araújo",$B:$B,"&lt;&gt;Lorena Dias de Araujo",$B:$B,"&lt;&gt;Lucas Luiz Romero")*(10/1083),0)))))),0)</f>
        <v/>
      </c>
      <c r="K3755" s="3">
        <f>I3755-J3755</f>
        <v/>
      </c>
      <c r="L3755" s="3">
        <f>IF(K3755&lt;-5,"CRÍTICO",IF(K3755&lt;0,"ATENÇÃO",IF(K3755&lt;=5,"OPORTUNO","MUITO BOM")))</f>
        <v/>
      </c>
      <c r="N3755" t="n">
        <v>100</v>
      </c>
      <c r="O3755" t="n">
        <v>23.9870340356564</v>
      </c>
    </row>
    <row r="3756" hidden="1">
      <c r="A3756" s="11" t="n">
        <v>46119</v>
      </c>
      <c r="B3756" t="inlineStr">
        <is>
          <t>Maysa Victoria Dias Moura</t>
        </is>
      </c>
      <c r="C3756" t="inlineStr">
        <is>
          <t>Técnico III</t>
        </is>
      </c>
      <c r="D3756" t="n">
        <v>40</v>
      </c>
      <c r="E3756" t="n">
        <v>35</v>
      </c>
      <c r="F3756" t="n">
        <v>12.18</v>
      </c>
      <c r="G3756" t="n">
        <v>0</v>
      </c>
      <c r="H3756" t="n">
        <v>0</v>
      </c>
      <c r="I3756" s="3">
        <f>E3756+G3756+H3756</f>
        <v/>
      </c>
      <c r="J3756" s="3">
        <f>ROUND(MIN(IF(C3756="Técnico III",35,IF(C3756="Técnico II",28,IF(C3756="Técnico I",23,IF(C3756="JR",20,IF(C3756="Estágio",10,0))))),IF(C3756="Técnico III",SUMIFS($D:$D,$A:$A,$A3756,$B:$B,"&lt;&gt;Patrícia Karla de Sousa Araújo",$B:$B,"&lt;&gt;Lorena Dias de Araujo",$B:$B,"&lt;&gt;Lucas Luiz Romero")*(35/1083),IF(C3756="Técnico II",SUMIFS($D:$D,$A:$A,$A3756,$B:$B,"&lt;&gt;Patrícia Karla de Sousa Araújo",$B:$B,"&lt;&gt;Lorena Dias de Araujo",$B:$B,"&lt;&gt;Lucas Luiz Romero")*(28/1083),IF(C3756="Técnico I",SUMIFS($D:$D,$A:$A,$A3756,$B:$B,"&lt;&gt;Patrícia Karla de Sousa Araújo",$B:$B,"&lt;&gt;Lorena Dias de Araujo",$B:$B,"&lt;&gt;Lucas Luiz Romero")*(23/1083),IF(C3756="JR",SUMIFS($D:$D,$A:$A,$A3756,$B:$B,"&lt;&gt;Patrícia Karla de Sousa Araújo",$B:$B,"&lt;&gt;Lorena Dias de Araujo",$B:$B,"&lt;&gt;Lucas Luiz Romero")*(20/1083),IF(C3756="Estágio",SUMIFS($D:$D,$A:$A,$A3756,$B:$B,"&lt;&gt;Patrícia Karla de Sousa Araújo",$B:$B,"&lt;&gt;Lorena Dias de Araujo",$B:$B,"&lt;&gt;Lucas Luiz Romero")*(10/1083),0)))))),0)</f>
        <v/>
      </c>
      <c r="K3756" s="3">
        <f>I3756-J3756</f>
        <v/>
      </c>
      <c r="L3756" s="3">
        <f>IF(K3756&lt;-5,"CRÍTICO",IF(K3756&lt;0,"ATENÇÃO",IF(K3756&lt;=5,"OPORTUNO","MUITO BOM")))</f>
        <v/>
      </c>
      <c r="N3756" t="n">
        <v>95.48999999999999</v>
      </c>
      <c r="O3756" t="n">
        <v>28.16901408450704</v>
      </c>
    </row>
    <row r="3757" hidden="1">
      <c r="A3757" s="11" t="n">
        <v>46119</v>
      </c>
      <c r="B3757" t="inlineStr">
        <is>
          <t>Michelle G Santos</t>
        </is>
      </c>
      <c r="C3757" t="inlineStr">
        <is>
          <t>Estágio</t>
        </is>
      </c>
      <c r="D3757" t="n">
        <v>11</v>
      </c>
      <c r="E3757" t="n">
        <v>10</v>
      </c>
      <c r="F3757" t="n">
        <v>17.02</v>
      </c>
      <c r="G3757" t="n">
        <v>0</v>
      </c>
      <c r="H3757" t="n">
        <v>0</v>
      </c>
      <c r="I3757" s="3">
        <f>E3757+G3757+H3757</f>
        <v/>
      </c>
      <c r="J3757" s="3">
        <f>ROUND(MIN(IF(C3757="Técnico III",35,IF(C3757="Técnico II",28,IF(C3757="Técnico I",23,IF(C3757="JR",20,IF(C3757="Estágio",10,0))))),IF(C3757="Técnico III",SUMIFS($D:$D,$A:$A,$A3757,$B:$B,"&lt;&gt;Patrícia Karla de Sousa Araújo",$B:$B,"&lt;&gt;Lorena Dias de Araujo",$B:$B,"&lt;&gt;Lucas Luiz Romero")*(35/1083),IF(C3757="Técnico II",SUMIFS($D:$D,$A:$A,$A3757,$B:$B,"&lt;&gt;Patrícia Karla de Sousa Araújo",$B:$B,"&lt;&gt;Lorena Dias de Araujo",$B:$B,"&lt;&gt;Lucas Luiz Romero")*(28/1083),IF(C3757="Técnico I",SUMIFS($D:$D,$A:$A,$A3757,$B:$B,"&lt;&gt;Patrícia Karla de Sousa Araújo",$B:$B,"&lt;&gt;Lorena Dias de Araujo",$B:$B,"&lt;&gt;Lucas Luiz Romero")*(23/1083),IF(C3757="JR",SUMIFS($D:$D,$A:$A,$A3757,$B:$B,"&lt;&gt;Patrícia Karla de Sousa Araújo",$B:$B,"&lt;&gt;Lorena Dias de Araujo",$B:$B,"&lt;&gt;Lucas Luiz Romero")*(20/1083),IF(C3757="Estágio",SUMIFS($D:$D,$A:$A,$A3757,$B:$B,"&lt;&gt;Patrícia Karla de Sousa Araújo",$B:$B,"&lt;&gt;Lorena Dias de Araujo",$B:$B,"&lt;&gt;Lucas Luiz Romero")*(10/1083),0)))))),0)</f>
        <v/>
      </c>
      <c r="K3757" s="3">
        <f>I3757-J3757</f>
        <v/>
      </c>
      <c r="L3757" s="3">
        <f>IF(K3757&lt;-5,"CRÍTICO",IF(K3757&lt;0,"ATENÇÃO",IF(K3757&lt;=5,"OPORTUNO","MUITO BOM")))</f>
        <v/>
      </c>
      <c r="N3757" t="n">
        <v>100</v>
      </c>
      <c r="O3757" t="n">
        <v>23.77622377622378</v>
      </c>
    </row>
    <row r="3758" hidden="1">
      <c r="A3758" s="11" t="n">
        <v>46119</v>
      </c>
      <c r="B3758" t="inlineStr">
        <is>
          <t>Milena Sales</t>
        </is>
      </c>
      <c r="C3758" t="inlineStr">
        <is>
          <t>JR</t>
        </is>
      </c>
      <c r="D3758" t="n">
        <v>23</v>
      </c>
      <c r="E3758" t="n">
        <v>19</v>
      </c>
      <c r="F3758" t="n">
        <v>23.44</v>
      </c>
      <c r="G3758" t="n">
        <v>0</v>
      </c>
      <c r="H3758" t="n">
        <v>0</v>
      </c>
      <c r="I3758" s="3">
        <f>E3758+G3758+H3758</f>
        <v/>
      </c>
      <c r="J3758" s="3">
        <f>ROUND(MIN(IF(C3758="Técnico III",35,IF(C3758="Técnico II",28,IF(C3758="Técnico I",23,IF(C3758="JR",20,IF(C3758="Estágio",10,0))))),IF(C3758="Técnico III",SUMIFS($D:$D,$A:$A,$A3758,$B:$B,"&lt;&gt;Patrícia Karla de Sousa Araújo",$B:$B,"&lt;&gt;Lorena Dias de Araujo",$B:$B,"&lt;&gt;Lucas Luiz Romero")*(35/1083),IF(C3758="Técnico II",SUMIFS($D:$D,$A:$A,$A3758,$B:$B,"&lt;&gt;Patrícia Karla de Sousa Araújo",$B:$B,"&lt;&gt;Lorena Dias de Araujo",$B:$B,"&lt;&gt;Lucas Luiz Romero")*(28/1083),IF(C3758="Técnico I",SUMIFS($D:$D,$A:$A,$A3758,$B:$B,"&lt;&gt;Patrícia Karla de Sousa Araújo",$B:$B,"&lt;&gt;Lorena Dias de Araujo",$B:$B,"&lt;&gt;Lucas Luiz Romero")*(23/1083),IF(C3758="JR",SUMIFS($D:$D,$A:$A,$A3758,$B:$B,"&lt;&gt;Patrícia Karla de Sousa Araújo",$B:$B,"&lt;&gt;Lorena Dias de Araujo",$B:$B,"&lt;&gt;Lucas Luiz Romero")*(20/1083),IF(C3758="Estágio",SUMIFS($D:$D,$A:$A,$A3758,$B:$B,"&lt;&gt;Patrícia Karla de Sousa Araújo",$B:$B,"&lt;&gt;Lorena Dias de Araujo",$B:$B,"&lt;&gt;Lucas Luiz Romero")*(10/1083),0)))))),0)</f>
        <v/>
      </c>
      <c r="K3758" s="3">
        <f>I3758-J3758</f>
        <v/>
      </c>
      <c r="L3758" s="3">
        <f>IF(K3758&lt;-5,"CRÍTICO",IF(K3758&lt;0,"ATENÇÃO",IF(K3758&lt;=5,"OPORTUNO","MUITO BOM")))</f>
        <v/>
      </c>
      <c r="N3758" t="n">
        <v>96.15000000000001</v>
      </c>
      <c r="O3758" t="n">
        <v>24.04580152671756</v>
      </c>
    </row>
    <row r="3759" hidden="1">
      <c r="A3759" s="11" t="n">
        <v>46119</v>
      </c>
      <c r="B3759" t="inlineStr">
        <is>
          <t>Patrícia Karla de Sousa Araújo</t>
        </is>
      </c>
      <c r="C3759" t="inlineStr">
        <is>
          <t>Técnico II</t>
        </is>
      </c>
      <c r="D3759" t="n">
        <v>19</v>
      </c>
      <c r="E3759" t="n">
        <v>19</v>
      </c>
      <c r="F3759" t="n">
        <v>23.54</v>
      </c>
      <c r="G3759" t="n">
        <v>0</v>
      </c>
      <c r="H3759" t="n">
        <v>0</v>
      </c>
      <c r="I3759" s="3">
        <f>E3759+G3759+H3759</f>
        <v/>
      </c>
      <c r="J3759" s="3">
        <f>ROUND(MIN(IF(C3759="Técnico III",35,IF(C3759="Técnico II",28,IF(C3759="Técnico I",23,IF(C3759="JR",20,IF(C3759="Estágio",10,0))))),IF(C3759="Técnico III",SUMIFS($D:$D,$A:$A,$A3759,$B:$B,"&lt;&gt;Patrícia Karla de Sousa Araújo",$B:$B,"&lt;&gt;Lorena Dias de Araujo",$B:$B,"&lt;&gt;Lucas Luiz Romero")*(35/1083),IF(C3759="Técnico II",SUMIFS($D:$D,$A:$A,$A3759,$B:$B,"&lt;&gt;Patrícia Karla de Sousa Araújo",$B:$B,"&lt;&gt;Lorena Dias de Araujo",$B:$B,"&lt;&gt;Lucas Luiz Romero")*(28/1083),IF(C3759="Técnico I",SUMIFS($D:$D,$A:$A,$A3759,$B:$B,"&lt;&gt;Patrícia Karla de Sousa Araújo",$B:$B,"&lt;&gt;Lorena Dias de Araujo",$B:$B,"&lt;&gt;Lucas Luiz Romero")*(23/1083),IF(C3759="JR",SUMIFS($D:$D,$A:$A,$A3759,$B:$B,"&lt;&gt;Patrícia Karla de Sousa Araújo",$B:$B,"&lt;&gt;Lorena Dias de Araujo",$B:$B,"&lt;&gt;Lucas Luiz Romero")*(20/1083),IF(C3759="Estágio",SUMIFS($D:$D,$A:$A,$A3759,$B:$B,"&lt;&gt;Patrícia Karla de Sousa Araújo",$B:$B,"&lt;&gt;Lorena Dias de Araujo",$B:$B,"&lt;&gt;Lucas Luiz Romero")*(10/1083),0)))))),0)</f>
        <v/>
      </c>
      <c r="K3759" s="3">
        <f>I3759-J3759</f>
        <v/>
      </c>
      <c r="L3759" s="3">
        <f>IF(K3759&lt;-5,"CRÍTICO",IF(K3759&lt;0,"ATENÇÃO",IF(K3759&lt;=5,"OPORTUNO","MUITO BOM")))</f>
        <v/>
      </c>
      <c r="N3759" t="n">
        <v>99.02</v>
      </c>
      <c r="O3759" t="n">
        <v>34.7972972972973</v>
      </c>
    </row>
    <row r="3760" hidden="1">
      <c r="A3760" s="11" t="n">
        <v>46119</v>
      </c>
      <c r="B3760" t="inlineStr">
        <is>
          <t>Paulo Ricardo Santos</t>
        </is>
      </c>
      <c r="C3760" t="inlineStr">
        <is>
          <t>JR</t>
        </is>
      </c>
      <c r="D3760" t="n">
        <v>16</v>
      </c>
      <c r="E3760" t="n">
        <v>16</v>
      </c>
      <c r="F3760" t="n">
        <v>17.36</v>
      </c>
      <c r="G3760" t="n">
        <v>0</v>
      </c>
      <c r="H3760" t="n">
        <v>0</v>
      </c>
      <c r="I3760" s="3">
        <f>E3760+G3760+H3760</f>
        <v/>
      </c>
      <c r="J3760" s="3">
        <f>ROUND(MIN(IF(C3760="Técnico III",35,IF(C3760="Técnico II",28,IF(C3760="Técnico I",23,IF(C3760="JR",20,IF(C3760="Estágio",10,0))))),IF(C3760="Técnico III",SUMIFS($D:$D,$A:$A,$A3760,$B:$B,"&lt;&gt;Patrícia Karla de Sousa Araújo",$B:$B,"&lt;&gt;Lorena Dias de Araujo",$B:$B,"&lt;&gt;Lucas Luiz Romero")*(35/1083),IF(C3760="Técnico II",SUMIFS($D:$D,$A:$A,$A3760,$B:$B,"&lt;&gt;Patrícia Karla de Sousa Araújo",$B:$B,"&lt;&gt;Lorena Dias de Araujo",$B:$B,"&lt;&gt;Lucas Luiz Romero")*(28/1083),IF(C3760="Técnico I",SUMIFS($D:$D,$A:$A,$A3760,$B:$B,"&lt;&gt;Patrícia Karla de Sousa Araújo",$B:$B,"&lt;&gt;Lorena Dias de Araujo",$B:$B,"&lt;&gt;Lucas Luiz Romero")*(23/1083),IF(C3760="JR",SUMIFS($D:$D,$A:$A,$A3760,$B:$B,"&lt;&gt;Patrícia Karla de Sousa Araújo",$B:$B,"&lt;&gt;Lorena Dias de Araujo",$B:$B,"&lt;&gt;Lucas Luiz Romero")*(20/1083),IF(C3760="Estágio",SUMIFS($D:$D,$A:$A,$A3760,$B:$B,"&lt;&gt;Patrícia Karla de Sousa Araújo",$B:$B,"&lt;&gt;Lorena Dias de Araujo",$B:$B,"&lt;&gt;Lucas Luiz Romero")*(10/1083),0)))))),0)</f>
        <v/>
      </c>
      <c r="K3760" s="3">
        <f>I3760-J3760</f>
        <v/>
      </c>
      <c r="L3760" s="3">
        <f>IF(K3760&lt;-5,"CRÍTICO",IF(K3760&lt;0,"ATENÇÃO",IF(K3760&lt;=5,"OPORTUNO","MUITO BOM")))</f>
        <v/>
      </c>
      <c r="N3760" t="n">
        <v>98.84</v>
      </c>
      <c r="O3760" t="n">
        <v>31.5018315018315</v>
      </c>
    </row>
    <row r="3761" hidden="1">
      <c r="A3761" s="11" t="n">
        <v>46119</v>
      </c>
      <c r="B3761" t="inlineStr">
        <is>
          <t>Pedro Luiz Mota Sousa</t>
        </is>
      </c>
      <c r="C3761" t="inlineStr">
        <is>
          <t>JR</t>
        </is>
      </c>
      <c r="D3761" t="n">
        <v>18</v>
      </c>
      <c r="E3761" t="n">
        <v>16</v>
      </c>
      <c r="F3761" t="n">
        <v>20.14</v>
      </c>
      <c r="G3761" t="n">
        <v>0</v>
      </c>
      <c r="H3761" t="n">
        <v>0</v>
      </c>
      <c r="I3761" s="3">
        <f>E3761+G3761+H3761</f>
        <v/>
      </c>
      <c r="J3761" s="3">
        <f>ROUND(MIN(IF(C3761="Técnico III",35,IF(C3761="Técnico II",28,IF(C3761="Técnico I",23,IF(C3761="JR",20,IF(C3761="Estágio",10,0))))),IF(C3761="Técnico III",SUMIFS($D:$D,$A:$A,$A3761,$B:$B,"&lt;&gt;Patrícia Karla de Sousa Araújo",$B:$B,"&lt;&gt;Lorena Dias de Araujo",$B:$B,"&lt;&gt;Lucas Luiz Romero")*(35/1083),IF(C3761="Técnico II",SUMIFS($D:$D,$A:$A,$A3761,$B:$B,"&lt;&gt;Patrícia Karla de Sousa Araújo",$B:$B,"&lt;&gt;Lorena Dias de Araujo",$B:$B,"&lt;&gt;Lucas Luiz Romero")*(28/1083),IF(C3761="Técnico I",SUMIFS($D:$D,$A:$A,$A3761,$B:$B,"&lt;&gt;Patrícia Karla de Sousa Araújo",$B:$B,"&lt;&gt;Lorena Dias de Araujo",$B:$B,"&lt;&gt;Lucas Luiz Romero")*(23/1083),IF(C3761="JR",SUMIFS($D:$D,$A:$A,$A3761,$B:$B,"&lt;&gt;Patrícia Karla de Sousa Araújo",$B:$B,"&lt;&gt;Lorena Dias de Araujo",$B:$B,"&lt;&gt;Lucas Luiz Romero")*(20/1083),IF(C3761="Estágio",SUMIFS($D:$D,$A:$A,$A3761,$B:$B,"&lt;&gt;Patrícia Karla de Sousa Araújo",$B:$B,"&lt;&gt;Lorena Dias de Araujo",$B:$B,"&lt;&gt;Lucas Luiz Romero")*(10/1083),0)))))),0)</f>
        <v/>
      </c>
      <c r="K3761" s="3">
        <f>I3761-J3761</f>
        <v/>
      </c>
      <c r="L3761" s="3">
        <f>IF(K3761&lt;-5,"CRÍTICO",IF(K3761&lt;0,"ATENÇÃO",IF(K3761&lt;=5,"OPORTUNO","MUITO BOM")))</f>
        <v/>
      </c>
      <c r="N3761" t="n">
        <v>100</v>
      </c>
      <c r="O3761" t="n">
        <v>34.66666666666667</v>
      </c>
    </row>
    <row r="3762" hidden="1">
      <c r="A3762" s="11" t="n">
        <v>46119</v>
      </c>
      <c r="B3762" t="inlineStr">
        <is>
          <t>Quirino Diogo Leite Torres</t>
        </is>
      </c>
      <c r="C3762" t="inlineStr">
        <is>
          <t>Estágio</t>
        </is>
      </c>
      <c r="D3762" t="n">
        <v>10</v>
      </c>
      <c r="E3762" t="n">
        <v>9</v>
      </c>
      <c r="F3762" t="n">
        <v>18.21</v>
      </c>
      <c r="G3762" t="n">
        <v>0</v>
      </c>
      <c r="H3762" t="n">
        <v>0</v>
      </c>
      <c r="I3762" s="3">
        <f>E3762+G3762+H3762</f>
        <v/>
      </c>
      <c r="J3762" s="3">
        <f>ROUND(MIN(IF(C3762="Técnico III",35,IF(C3762="Técnico II",28,IF(C3762="Técnico I",23,IF(C3762="JR",20,IF(C3762="Estágio",10,0))))),IF(C3762="Técnico III",SUMIFS($D:$D,$A:$A,$A3762,$B:$B,"&lt;&gt;Patrícia Karla de Sousa Araújo",$B:$B,"&lt;&gt;Lorena Dias de Araujo",$B:$B,"&lt;&gt;Lucas Luiz Romero")*(35/1083),IF(C3762="Técnico II",SUMIFS($D:$D,$A:$A,$A3762,$B:$B,"&lt;&gt;Patrícia Karla de Sousa Araújo",$B:$B,"&lt;&gt;Lorena Dias de Araujo",$B:$B,"&lt;&gt;Lucas Luiz Romero")*(28/1083),IF(C3762="Técnico I",SUMIFS($D:$D,$A:$A,$A3762,$B:$B,"&lt;&gt;Patrícia Karla de Sousa Araújo",$B:$B,"&lt;&gt;Lorena Dias de Araujo",$B:$B,"&lt;&gt;Lucas Luiz Romero")*(23/1083),IF(C3762="JR",SUMIFS($D:$D,$A:$A,$A3762,$B:$B,"&lt;&gt;Patrícia Karla de Sousa Araújo",$B:$B,"&lt;&gt;Lorena Dias de Araujo",$B:$B,"&lt;&gt;Lucas Luiz Romero")*(20/1083),IF(C3762="Estágio",SUMIFS($D:$D,$A:$A,$A3762,$B:$B,"&lt;&gt;Patrícia Karla de Sousa Araújo",$B:$B,"&lt;&gt;Lorena Dias de Araujo",$B:$B,"&lt;&gt;Lucas Luiz Romero")*(10/1083),0)))))),0)</f>
        <v/>
      </c>
      <c r="K3762" s="3">
        <f>I3762-J3762</f>
        <v/>
      </c>
      <c r="L3762" s="3">
        <f>IF(K3762&lt;-5,"CRÍTICO",IF(K3762&lt;0,"ATENÇÃO",IF(K3762&lt;=5,"OPORTUNO","MUITO BOM")))</f>
        <v/>
      </c>
      <c r="N3762" t="n">
        <v>94.12</v>
      </c>
      <c r="O3762" t="n">
        <v>32.8</v>
      </c>
    </row>
    <row r="3763" hidden="1">
      <c r="A3763" s="11" t="n">
        <v>46119</v>
      </c>
      <c r="B3763" t="inlineStr">
        <is>
          <t>Raane Batista Matos</t>
        </is>
      </c>
      <c r="C3763" t="inlineStr">
        <is>
          <t>Técnico I</t>
        </is>
      </c>
      <c r="D3763" t="n">
        <v>36</v>
      </c>
      <c r="E3763" t="n">
        <v>31</v>
      </c>
      <c r="F3763" t="n">
        <v>13.3</v>
      </c>
      <c r="G3763" t="n">
        <v>0</v>
      </c>
      <c r="H3763" t="n">
        <v>0</v>
      </c>
      <c r="I3763" s="3">
        <f>E3763+G3763+H3763</f>
        <v/>
      </c>
      <c r="J3763" s="3">
        <f>ROUND(MIN(IF(C3763="Técnico III",35,IF(C3763="Técnico II",28,IF(C3763="Técnico I",23,IF(C3763="JR",20,IF(C3763="Estágio",10,0))))),IF(C3763="Técnico III",SUMIFS($D:$D,$A:$A,$A3763,$B:$B,"&lt;&gt;Patrícia Karla de Sousa Araújo",$B:$B,"&lt;&gt;Lorena Dias de Araujo",$B:$B,"&lt;&gt;Lucas Luiz Romero")*(35/1083),IF(C3763="Técnico II",SUMIFS($D:$D,$A:$A,$A3763,$B:$B,"&lt;&gt;Patrícia Karla de Sousa Araújo",$B:$B,"&lt;&gt;Lorena Dias de Araujo",$B:$B,"&lt;&gt;Lucas Luiz Romero")*(28/1083),IF(C3763="Técnico I",SUMIFS($D:$D,$A:$A,$A3763,$B:$B,"&lt;&gt;Patrícia Karla de Sousa Araújo",$B:$B,"&lt;&gt;Lorena Dias de Araujo",$B:$B,"&lt;&gt;Lucas Luiz Romero")*(23/1083),IF(C3763="JR",SUMIFS($D:$D,$A:$A,$A3763,$B:$B,"&lt;&gt;Patrícia Karla de Sousa Araújo",$B:$B,"&lt;&gt;Lorena Dias de Araujo",$B:$B,"&lt;&gt;Lucas Luiz Romero")*(20/1083),IF(C3763="Estágio",SUMIFS($D:$D,$A:$A,$A3763,$B:$B,"&lt;&gt;Patrícia Karla de Sousa Araújo",$B:$B,"&lt;&gt;Lorena Dias de Araujo",$B:$B,"&lt;&gt;Lucas Luiz Romero")*(10/1083),0)))))),0)</f>
        <v/>
      </c>
      <c r="K3763" s="3">
        <f>I3763-J3763</f>
        <v/>
      </c>
      <c r="L3763" s="3">
        <f>IF(K3763&lt;-5,"CRÍTICO",IF(K3763&lt;0,"ATENÇÃO",IF(K3763&lt;=5,"OPORTUNO","MUITO BOM")))</f>
        <v/>
      </c>
      <c r="N3763" t="n">
        <v>98.31999999999999</v>
      </c>
      <c r="O3763" t="n">
        <v>26.61870503597122</v>
      </c>
    </row>
    <row r="3764" hidden="1">
      <c r="A3764" s="11" t="n">
        <v>46119</v>
      </c>
      <c r="B3764" t="inlineStr">
        <is>
          <t>Rafael Gomes de Morais</t>
        </is>
      </c>
      <c r="C3764" t="inlineStr">
        <is>
          <t>Técnico III</t>
        </is>
      </c>
      <c r="D3764" t="n">
        <v>45</v>
      </c>
      <c r="E3764" t="n">
        <v>39</v>
      </c>
      <c r="F3764" t="n">
        <v>12.37</v>
      </c>
      <c r="G3764" t="n">
        <v>0</v>
      </c>
      <c r="H3764" t="n">
        <v>0</v>
      </c>
      <c r="I3764" s="3">
        <f>E3764+G3764+H3764</f>
        <v/>
      </c>
      <c r="J3764" s="3">
        <f>ROUND(MIN(IF(C3764="Técnico III",35,IF(C3764="Técnico II",28,IF(C3764="Técnico I",23,IF(C3764="JR",20,IF(C3764="Estágio",10,0))))),IF(C3764="Técnico III",SUMIFS($D:$D,$A:$A,$A3764,$B:$B,"&lt;&gt;Patrícia Karla de Sousa Araújo",$B:$B,"&lt;&gt;Lorena Dias de Araujo",$B:$B,"&lt;&gt;Lucas Luiz Romero")*(35/1083),IF(C3764="Técnico II",SUMIFS($D:$D,$A:$A,$A3764,$B:$B,"&lt;&gt;Patrícia Karla de Sousa Araújo",$B:$B,"&lt;&gt;Lorena Dias de Araujo",$B:$B,"&lt;&gt;Lucas Luiz Romero")*(28/1083),IF(C3764="Técnico I",SUMIFS($D:$D,$A:$A,$A3764,$B:$B,"&lt;&gt;Patrícia Karla de Sousa Araújo",$B:$B,"&lt;&gt;Lorena Dias de Araujo",$B:$B,"&lt;&gt;Lucas Luiz Romero")*(23/1083),IF(C3764="JR",SUMIFS($D:$D,$A:$A,$A3764,$B:$B,"&lt;&gt;Patrícia Karla de Sousa Araújo",$B:$B,"&lt;&gt;Lorena Dias de Araujo",$B:$B,"&lt;&gt;Lucas Luiz Romero")*(20/1083),IF(C3764="Estágio",SUMIFS($D:$D,$A:$A,$A3764,$B:$B,"&lt;&gt;Patrícia Karla de Sousa Araújo",$B:$B,"&lt;&gt;Lorena Dias de Araujo",$B:$B,"&lt;&gt;Lucas Luiz Romero")*(10/1083),0)))))),0)</f>
        <v/>
      </c>
      <c r="K3764" s="3">
        <f>I3764-J3764</f>
        <v/>
      </c>
      <c r="L3764" s="3">
        <f>IF(K3764&lt;-5,"CRÍTICO",IF(K3764&lt;0,"ATENÇÃO",IF(K3764&lt;=5,"OPORTUNO","MUITO BOM")))</f>
        <v/>
      </c>
      <c r="N3764" t="n">
        <v>100</v>
      </c>
      <c r="O3764" t="n">
        <v>31.13553113553114</v>
      </c>
    </row>
    <row r="3765" hidden="1">
      <c r="A3765" s="11" t="n">
        <v>46119</v>
      </c>
      <c r="B3765" t="inlineStr">
        <is>
          <t>Sara Maria Monteiro Lopes</t>
        </is>
      </c>
      <c r="C3765" t="inlineStr">
        <is>
          <t>Técnico I</t>
        </is>
      </c>
      <c r="D3765" t="n">
        <v>21</v>
      </c>
      <c r="E3765" t="n">
        <v>21</v>
      </c>
      <c r="F3765" t="n">
        <v>23.42</v>
      </c>
      <c r="G3765" t="n">
        <v>0</v>
      </c>
      <c r="H3765" t="n">
        <v>0</v>
      </c>
      <c r="I3765" s="3">
        <f>E3765+G3765+H3765</f>
        <v/>
      </c>
      <c r="J3765" s="3">
        <f>ROUND(MIN(IF(C3765="Técnico III",35,IF(C3765="Técnico II",28,IF(C3765="Técnico I",23,IF(C3765="JR",20,IF(C3765="Estágio",10,0))))),IF(C3765="Técnico III",SUMIFS($D:$D,$A:$A,$A3765,$B:$B,"&lt;&gt;Patrícia Karla de Sousa Araújo",$B:$B,"&lt;&gt;Lorena Dias de Araujo",$B:$B,"&lt;&gt;Lucas Luiz Romero")*(35/1083),IF(C3765="Técnico II",SUMIFS($D:$D,$A:$A,$A3765,$B:$B,"&lt;&gt;Patrícia Karla de Sousa Araújo",$B:$B,"&lt;&gt;Lorena Dias de Araujo",$B:$B,"&lt;&gt;Lucas Luiz Romero")*(28/1083),IF(C3765="Técnico I",SUMIFS($D:$D,$A:$A,$A3765,$B:$B,"&lt;&gt;Patrícia Karla de Sousa Araújo",$B:$B,"&lt;&gt;Lorena Dias de Araujo",$B:$B,"&lt;&gt;Lucas Luiz Romero")*(23/1083),IF(C3765="JR",SUMIFS($D:$D,$A:$A,$A3765,$B:$B,"&lt;&gt;Patrícia Karla de Sousa Araújo",$B:$B,"&lt;&gt;Lorena Dias de Araujo",$B:$B,"&lt;&gt;Lucas Luiz Romero")*(20/1083),IF(C3765="Estágio",SUMIFS($D:$D,$A:$A,$A3765,$B:$B,"&lt;&gt;Patrícia Karla de Sousa Araújo",$B:$B,"&lt;&gt;Lorena Dias de Araujo",$B:$B,"&lt;&gt;Lucas Luiz Romero")*(10/1083),0)))))),0)</f>
        <v/>
      </c>
      <c r="K3765" s="3">
        <f>I3765-J3765</f>
        <v/>
      </c>
      <c r="L3765" s="3">
        <f>IF(K3765&lt;-5,"CRÍTICO",IF(K3765&lt;0,"ATENÇÃO",IF(K3765&lt;=5,"OPORTUNO","MUITO BOM")))</f>
        <v/>
      </c>
      <c r="N3765" t="n">
        <v>100</v>
      </c>
      <c r="O3765" t="n">
        <v>26.02739726027397</v>
      </c>
    </row>
    <row r="3766" hidden="1">
      <c r="A3766" s="11" t="n">
        <v>46119</v>
      </c>
      <c r="B3766" t="inlineStr">
        <is>
          <t>Sarah Steffanie de Lima Borges</t>
        </is>
      </c>
      <c r="C3766" t="inlineStr">
        <is>
          <t>Técnico III</t>
        </is>
      </c>
      <c r="D3766" t="n">
        <v>31</v>
      </c>
      <c r="E3766" t="n">
        <v>31</v>
      </c>
      <c r="F3766" t="n">
        <v>20.04</v>
      </c>
      <c r="G3766" t="n">
        <v>0</v>
      </c>
      <c r="H3766" t="n">
        <v>0</v>
      </c>
      <c r="I3766" s="3">
        <f>E3766+G3766+H3766</f>
        <v/>
      </c>
      <c r="J3766" s="3">
        <f>ROUND(MIN(IF(C3766="Técnico III",35,IF(C3766="Técnico II",28,IF(C3766="Técnico I",23,IF(C3766="JR",20,IF(C3766="Estágio",10,0))))),IF(C3766="Técnico III",SUMIFS($D:$D,$A:$A,$A3766,$B:$B,"&lt;&gt;Patrícia Karla de Sousa Araújo",$B:$B,"&lt;&gt;Lorena Dias de Araujo",$B:$B,"&lt;&gt;Lucas Luiz Romero")*(35/1083),IF(C3766="Técnico II",SUMIFS($D:$D,$A:$A,$A3766,$B:$B,"&lt;&gt;Patrícia Karla de Sousa Araújo",$B:$B,"&lt;&gt;Lorena Dias de Araujo",$B:$B,"&lt;&gt;Lucas Luiz Romero")*(28/1083),IF(C3766="Técnico I",SUMIFS($D:$D,$A:$A,$A3766,$B:$B,"&lt;&gt;Patrícia Karla de Sousa Araújo",$B:$B,"&lt;&gt;Lorena Dias de Araujo",$B:$B,"&lt;&gt;Lucas Luiz Romero")*(23/1083),IF(C3766="JR",SUMIFS($D:$D,$A:$A,$A3766,$B:$B,"&lt;&gt;Patrícia Karla de Sousa Araújo",$B:$B,"&lt;&gt;Lorena Dias de Araujo",$B:$B,"&lt;&gt;Lucas Luiz Romero")*(20/1083),IF(C3766="Estágio",SUMIFS($D:$D,$A:$A,$A3766,$B:$B,"&lt;&gt;Patrícia Karla de Sousa Araújo",$B:$B,"&lt;&gt;Lorena Dias de Araujo",$B:$B,"&lt;&gt;Lucas Luiz Romero")*(10/1083),0)))))),0)</f>
        <v/>
      </c>
      <c r="K3766" s="3">
        <f>I3766-J3766</f>
        <v/>
      </c>
      <c r="L3766" s="3">
        <f>IF(K3766&lt;-5,"CRÍTICO",IF(K3766&lt;0,"ATENÇÃO",IF(K3766&lt;=5,"OPORTUNO","MUITO BOM")))</f>
        <v/>
      </c>
      <c r="N3766" t="n">
        <v>99.20999999999999</v>
      </c>
      <c r="O3766" t="n">
        <v>24.93702770780856</v>
      </c>
    </row>
    <row r="3767" hidden="1">
      <c r="A3767" s="11" t="n">
        <v>46120</v>
      </c>
      <c r="B3767" t="inlineStr">
        <is>
          <t>Alisson de Freitas Silva</t>
        </is>
      </c>
      <c r="C3767" t="inlineStr">
        <is>
          <t>Técnico II</t>
        </is>
      </c>
      <c r="D3767" t="n">
        <v>31</v>
      </c>
      <c r="E3767" t="n">
        <v>25</v>
      </c>
      <c r="F3767" t="n">
        <v>10.26</v>
      </c>
      <c r="G3767" t="n">
        <v>0</v>
      </c>
      <c r="H3767" t="n">
        <v>0</v>
      </c>
      <c r="I3767" s="3">
        <f>E3767+G3767+H3767</f>
        <v/>
      </c>
      <c r="J3767" s="3">
        <f>ROUND(MIN(IF(C3767="Técnico III",35,IF(C3767="Técnico II",28,IF(C3767="Técnico I",23,IF(C3767="JR",20,IF(C3767="Estágio",10,0))))),IF(C3767="Técnico III",SUMIFS($D:$D,$A:$A,$A3767,$B:$B,"&lt;&gt;Patrícia Karla de Sousa Araújo",$B:$B,"&lt;&gt;Lorena Dias de Araujo",$B:$B,"&lt;&gt;Lucas Luiz Romero")*(35/1083),IF(C3767="Técnico II",SUMIFS($D:$D,$A:$A,$A3767,$B:$B,"&lt;&gt;Patrícia Karla de Sousa Araújo",$B:$B,"&lt;&gt;Lorena Dias de Araujo",$B:$B,"&lt;&gt;Lucas Luiz Romero")*(28/1083),IF(C3767="Técnico I",SUMIFS($D:$D,$A:$A,$A3767,$B:$B,"&lt;&gt;Patrícia Karla de Sousa Araújo",$B:$B,"&lt;&gt;Lorena Dias de Araujo",$B:$B,"&lt;&gt;Lucas Luiz Romero")*(23/1083),IF(C3767="JR",SUMIFS($D:$D,$A:$A,$A3767,$B:$B,"&lt;&gt;Patrícia Karla de Sousa Araújo",$B:$B,"&lt;&gt;Lorena Dias de Araujo",$B:$B,"&lt;&gt;Lucas Luiz Romero")*(20/1083),IF(C3767="Estágio",SUMIFS($D:$D,$A:$A,$A3767,$B:$B,"&lt;&gt;Patrícia Karla de Sousa Araújo",$B:$B,"&lt;&gt;Lorena Dias de Araujo",$B:$B,"&lt;&gt;Lucas Luiz Romero")*(10/1083),0)))))),0)</f>
        <v/>
      </c>
      <c r="K3767" s="3">
        <f>I3767-J3767</f>
        <v/>
      </c>
      <c r="L3767" s="3">
        <f>IF(K3767&lt;-5,"CRÍTICO",IF(K3767&lt;0,"ATENÇÃO",IF(K3767&lt;=5,"OPORTUNO","MUITO BOM")))</f>
        <v/>
      </c>
      <c r="N3767" t="n">
        <v>100</v>
      </c>
      <c r="O3767" t="n">
        <v>32.76450511945392</v>
      </c>
    </row>
    <row r="3768" hidden="1">
      <c r="A3768" s="11" t="n">
        <v>46120</v>
      </c>
      <c r="B3768" t="inlineStr">
        <is>
          <t>Amanda Moura Ferreira</t>
        </is>
      </c>
      <c r="C3768" t="inlineStr">
        <is>
          <t>Técnico III</t>
        </is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s="3" t="n">
        <v>0</v>
      </c>
      <c r="J3768" s="3" t="n">
        <v>0</v>
      </c>
      <c r="K3768" s="3" t="n">
        <v>0</v>
      </c>
      <c r="L3768" s="3">
        <f>IF(K3768&lt;-5,"CRÍTICO",IF(K3768&lt;0,"ATENÇÃO",IF(K3768&lt;=5,"OPORTUNO","MUITO BOM")))</f>
        <v/>
      </c>
      <c r="N3768" t="n">
        <v>98.66</v>
      </c>
      <c r="O3768" t="n">
        <v>35.15625</v>
      </c>
    </row>
    <row r="3769" hidden="1">
      <c r="A3769" s="11" t="n">
        <v>46120</v>
      </c>
      <c r="B3769" t="inlineStr">
        <is>
          <t>Ana Karollyne Souza Faria</t>
        </is>
      </c>
      <c r="C3769" t="inlineStr">
        <is>
          <t>Técnico I</t>
        </is>
      </c>
      <c r="D3769" t="n">
        <v>35</v>
      </c>
      <c r="E3769" t="n">
        <v>33</v>
      </c>
      <c r="F3769" t="n">
        <v>17.16</v>
      </c>
      <c r="G3769" t="n">
        <v>0</v>
      </c>
      <c r="H3769" t="n">
        <v>0</v>
      </c>
      <c r="I3769" s="3">
        <f>E3769+G3769+H3769</f>
        <v/>
      </c>
      <c r="J3769" s="3">
        <f>ROUND(MIN(IF(C3769="Técnico III",35,IF(C3769="Técnico II",28,IF(C3769="Técnico I",23,IF(C3769="JR",20,IF(C3769="Estágio",10,0))))),IF(C3769="Técnico III",SUMIFS($D:$D,$A:$A,$A3769,$B:$B,"&lt;&gt;Patrícia Karla de Sousa Araújo",$B:$B,"&lt;&gt;Lorena Dias de Araujo",$B:$B,"&lt;&gt;Lucas Luiz Romero")*(35/1083),IF(C3769="Técnico II",SUMIFS($D:$D,$A:$A,$A3769,$B:$B,"&lt;&gt;Patrícia Karla de Sousa Araújo",$B:$B,"&lt;&gt;Lorena Dias de Araujo",$B:$B,"&lt;&gt;Lucas Luiz Romero")*(28/1083),IF(C3769="Técnico I",SUMIFS($D:$D,$A:$A,$A3769,$B:$B,"&lt;&gt;Patrícia Karla de Sousa Araújo",$B:$B,"&lt;&gt;Lorena Dias de Araujo",$B:$B,"&lt;&gt;Lucas Luiz Romero")*(23/1083),IF(C3769="JR",SUMIFS($D:$D,$A:$A,$A3769,$B:$B,"&lt;&gt;Patrícia Karla de Sousa Araújo",$B:$B,"&lt;&gt;Lorena Dias de Araujo",$B:$B,"&lt;&gt;Lucas Luiz Romero")*(20/1083),IF(C3769="Estágio",SUMIFS($D:$D,$A:$A,$A3769,$B:$B,"&lt;&gt;Patrícia Karla de Sousa Araújo",$B:$B,"&lt;&gt;Lorena Dias de Araujo",$B:$B,"&lt;&gt;Lucas Luiz Romero")*(10/1083),0)))))),0)</f>
        <v/>
      </c>
      <c r="K3769" s="3">
        <f>I3769-J3769</f>
        <v/>
      </c>
      <c r="L3769" s="3">
        <f>IF(K3769&lt;-5,"CRÍTICO",IF(K3769&lt;0,"ATENÇÃO",IF(K3769&lt;=5,"OPORTUNO","MUITO BOM")))</f>
        <v/>
      </c>
      <c r="N3769" t="n">
        <v>99.31999999999999</v>
      </c>
      <c r="O3769" t="n">
        <v>30.45186640471513</v>
      </c>
    </row>
    <row r="3770" hidden="1">
      <c r="A3770" s="11" t="n">
        <v>46120</v>
      </c>
      <c r="B3770" t="inlineStr">
        <is>
          <t>Ana Paula Da Luz Silva Aleixo</t>
        </is>
      </c>
      <c r="C3770" t="inlineStr">
        <is>
          <t>Técnico III</t>
        </is>
      </c>
      <c r="D3770" t="n">
        <v>37</v>
      </c>
      <c r="E3770" t="n">
        <v>35</v>
      </c>
      <c r="F3770" t="n">
        <v>14.11</v>
      </c>
      <c r="G3770" t="n">
        <v>0</v>
      </c>
      <c r="H3770" t="n">
        <v>0</v>
      </c>
      <c r="I3770" s="3">
        <f>E3770+G3770+H3770</f>
        <v/>
      </c>
      <c r="J3770" s="3">
        <f>ROUND(MIN(IF(C3770="Técnico III",35,IF(C3770="Técnico II",28,IF(C3770="Técnico I",23,IF(C3770="JR",20,IF(C3770="Estágio",10,0))))),IF(C3770="Técnico III",SUMIFS($D:$D,$A:$A,$A3770,$B:$B,"&lt;&gt;Patrícia Karla de Sousa Araújo",$B:$B,"&lt;&gt;Lorena Dias de Araujo",$B:$B,"&lt;&gt;Lucas Luiz Romero")*(35/1083),IF(C3770="Técnico II",SUMIFS($D:$D,$A:$A,$A3770,$B:$B,"&lt;&gt;Patrícia Karla de Sousa Araújo",$B:$B,"&lt;&gt;Lorena Dias de Araujo",$B:$B,"&lt;&gt;Lucas Luiz Romero")*(28/1083),IF(C3770="Técnico I",SUMIFS($D:$D,$A:$A,$A3770,$B:$B,"&lt;&gt;Patrícia Karla de Sousa Araújo",$B:$B,"&lt;&gt;Lorena Dias de Araujo",$B:$B,"&lt;&gt;Lucas Luiz Romero")*(23/1083),IF(C3770="JR",SUMIFS($D:$D,$A:$A,$A3770,$B:$B,"&lt;&gt;Patrícia Karla de Sousa Araújo",$B:$B,"&lt;&gt;Lorena Dias de Araujo",$B:$B,"&lt;&gt;Lucas Luiz Romero")*(20/1083),IF(C3770="Estágio",SUMIFS($D:$D,$A:$A,$A3770,$B:$B,"&lt;&gt;Patrícia Karla de Sousa Araújo",$B:$B,"&lt;&gt;Lorena Dias de Araujo",$B:$B,"&lt;&gt;Lucas Luiz Romero")*(10/1083),0)))))),0)</f>
        <v/>
      </c>
      <c r="K3770" s="3">
        <f>I3770-J3770</f>
        <v/>
      </c>
      <c r="L3770" s="3">
        <f>IF(K3770&lt;-5,"CRÍTICO",IF(K3770&lt;0,"ATENÇÃO",IF(K3770&lt;=5,"OPORTUNO","MUITO BOM")))</f>
        <v/>
      </c>
      <c r="N3770" t="n">
        <v>100</v>
      </c>
      <c r="O3770" t="n">
        <v>27.80373831775701</v>
      </c>
    </row>
    <row r="3771" hidden="1">
      <c r="A3771" s="11" t="n">
        <v>46120</v>
      </c>
      <c r="B3771" t="inlineStr">
        <is>
          <t>Anna Luiza Rezende Tavares</t>
        </is>
      </c>
      <c r="C3771" t="inlineStr">
        <is>
          <t>Estágio</t>
        </is>
      </c>
      <c r="D3771" t="n">
        <v>15</v>
      </c>
      <c r="E3771" t="n">
        <v>15</v>
      </c>
      <c r="F3771" t="n">
        <v>22.09</v>
      </c>
      <c r="G3771" t="n">
        <v>0</v>
      </c>
      <c r="H3771" t="n">
        <v>0</v>
      </c>
      <c r="I3771" s="3">
        <f>E3771+G3771+H3771</f>
        <v/>
      </c>
      <c r="J3771" s="3">
        <f>ROUND(MIN(IF(C3771="Técnico III",35,IF(C3771="Técnico II",28,IF(C3771="Técnico I",23,IF(C3771="JR",20,IF(C3771="Estágio",10,0))))),IF(C3771="Técnico III",SUMIFS($D:$D,$A:$A,$A3771,$B:$B,"&lt;&gt;Patrícia Karla de Sousa Araújo",$B:$B,"&lt;&gt;Lorena Dias de Araujo",$B:$B,"&lt;&gt;Lucas Luiz Romero")*(35/1083),IF(C3771="Técnico II",SUMIFS($D:$D,$A:$A,$A3771,$B:$B,"&lt;&gt;Patrícia Karla de Sousa Araújo",$B:$B,"&lt;&gt;Lorena Dias de Araujo",$B:$B,"&lt;&gt;Lucas Luiz Romero")*(28/1083),IF(C3771="Técnico I",SUMIFS($D:$D,$A:$A,$A3771,$B:$B,"&lt;&gt;Patrícia Karla de Sousa Araújo",$B:$B,"&lt;&gt;Lorena Dias de Araujo",$B:$B,"&lt;&gt;Lucas Luiz Romero")*(23/1083),IF(C3771="JR",SUMIFS($D:$D,$A:$A,$A3771,$B:$B,"&lt;&gt;Patrícia Karla de Sousa Araújo",$B:$B,"&lt;&gt;Lorena Dias de Araujo",$B:$B,"&lt;&gt;Lucas Luiz Romero")*(20/1083),IF(C3771="Estágio",SUMIFS($D:$D,$A:$A,$A3771,$B:$B,"&lt;&gt;Patrícia Karla de Sousa Araújo",$B:$B,"&lt;&gt;Lorena Dias de Araujo",$B:$B,"&lt;&gt;Lucas Luiz Romero")*(10/1083),0)))))),0)</f>
        <v/>
      </c>
      <c r="K3771" s="3">
        <f>I3771-J3771</f>
        <v/>
      </c>
      <c r="L3771" s="3">
        <f>IF(K3771&lt;-5,"CRÍTICO",IF(K3771&lt;0,"ATENÇÃO",IF(K3771&lt;=5,"OPORTUNO","MUITO BOM")))</f>
        <v/>
      </c>
      <c r="N3771" t="n">
        <v>96.73999999999999</v>
      </c>
      <c r="O3771" t="n">
        <v>28.43137254901961</v>
      </c>
    </row>
    <row r="3772" hidden="1">
      <c r="A3772" s="11" t="n">
        <v>46120</v>
      </c>
      <c r="B3772" t="inlineStr">
        <is>
          <t>Brenda de Menezes Silva</t>
        </is>
      </c>
      <c r="C3772" t="inlineStr">
        <is>
          <t>Técnico II</t>
        </is>
      </c>
      <c r="D3772" t="n">
        <v>31</v>
      </c>
      <c r="E3772" t="n">
        <v>27</v>
      </c>
      <c r="F3772" t="n">
        <v>16.5</v>
      </c>
      <c r="G3772" t="n">
        <v>0</v>
      </c>
      <c r="H3772" t="n">
        <v>0</v>
      </c>
      <c r="I3772" s="3">
        <f>E3772+G3772+H3772</f>
        <v/>
      </c>
      <c r="J3772" s="3">
        <f>ROUND(MIN(IF(C3772="Técnico III",35,IF(C3772="Técnico II",28,IF(C3772="Técnico I",23,IF(C3772="JR",20,IF(C3772="Estágio",10,0))))),IF(C3772="Técnico III",SUMIFS($D:$D,$A:$A,$A3772,$B:$B,"&lt;&gt;Patrícia Karla de Sousa Araújo",$B:$B,"&lt;&gt;Lorena Dias de Araujo",$B:$B,"&lt;&gt;Lucas Luiz Romero")*(35/1083),IF(C3772="Técnico II",SUMIFS($D:$D,$A:$A,$A3772,$B:$B,"&lt;&gt;Patrícia Karla de Sousa Araújo",$B:$B,"&lt;&gt;Lorena Dias de Araujo",$B:$B,"&lt;&gt;Lucas Luiz Romero")*(28/1083),IF(C3772="Técnico I",SUMIFS($D:$D,$A:$A,$A3772,$B:$B,"&lt;&gt;Patrícia Karla de Sousa Araújo",$B:$B,"&lt;&gt;Lorena Dias de Araujo",$B:$B,"&lt;&gt;Lucas Luiz Romero")*(23/1083),IF(C3772="JR",SUMIFS($D:$D,$A:$A,$A3772,$B:$B,"&lt;&gt;Patrícia Karla de Sousa Araújo",$B:$B,"&lt;&gt;Lorena Dias de Araujo",$B:$B,"&lt;&gt;Lucas Luiz Romero")*(20/1083),IF(C3772="Estágio",SUMIFS($D:$D,$A:$A,$A3772,$B:$B,"&lt;&gt;Patrícia Karla de Sousa Araújo",$B:$B,"&lt;&gt;Lorena Dias de Araujo",$B:$B,"&lt;&gt;Lucas Luiz Romero")*(10/1083),0)))))),0)</f>
        <v/>
      </c>
      <c r="K3772" s="3">
        <f>I3772-J3772</f>
        <v/>
      </c>
      <c r="L3772" s="3">
        <f>IF(K3772&lt;-5,"CRÍTICO",IF(K3772&lt;0,"ATENÇÃO",IF(K3772&lt;=5,"OPORTUNO","MUITO BOM")))</f>
        <v/>
      </c>
      <c r="N3772" t="n">
        <v>98.81999999999999</v>
      </c>
      <c r="O3772" t="n">
        <v>30.74141048824593</v>
      </c>
    </row>
    <row r="3773" hidden="1">
      <c r="A3773" s="11" t="n">
        <v>46120</v>
      </c>
      <c r="B3773" t="inlineStr">
        <is>
          <t>Carlos Mateus Cassimiro Nunes</t>
        </is>
      </c>
      <c r="C3773" t="inlineStr">
        <is>
          <t>Técnico II</t>
        </is>
      </c>
      <c r="D3773" t="n">
        <v>14</v>
      </c>
      <c r="E3773" t="n">
        <v>14</v>
      </c>
      <c r="F3773" t="n">
        <v>22.27</v>
      </c>
      <c r="G3773" t="n">
        <v>0</v>
      </c>
      <c r="H3773" t="n">
        <v>0</v>
      </c>
      <c r="I3773" s="3">
        <f>E3773+G3773+H3773</f>
        <v/>
      </c>
      <c r="J3773" s="3">
        <f>ROUND(MIN(IF(C3773="Técnico III",35,IF(C3773="Técnico II",28,IF(C3773="Técnico I",23,IF(C3773="JR",20,IF(C3773="Estágio",10,0))))),IF(C3773="Técnico III",SUMIFS($D:$D,$A:$A,$A3773,$B:$B,"&lt;&gt;Patrícia Karla de Sousa Araújo",$B:$B,"&lt;&gt;Lorena Dias de Araujo",$B:$B,"&lt;&gt;Lucas Luiz Romero")*(35/1083),IF(C3773="Técnico II",SUMIFS($D:$D,$A:$A,$A3773,$B:$B,"&lt;&gt;Patrícia Karla de Sousa Araújo",$B:$B,"&lt;&gt;Lorena Dias de Araujo",$B:$B,"&lt;&gt;Lucas Luiz Romero")*(28/1083),IF(C3773="Técnico I",SUMIFS($D:$D,$A:$A,$A3773,$B:$B,"&lt;&gt;Patrícia Karla de Sousa Araújo",$B:$B,"&lt;&gt;Lorena Dias de Araujo",$B:$B,"&lt;&gt;Lucas Luiz Romero")*(23/1083),IF(C3773="JR",SUMIFS($D:$D,$A:$A,$A3773,$B:$B,"&lt;&gt;Patrícia Karla de Sousa Araújo",$B:$B,"&lt;&gt;Lorena Dias de Araujo",$B:$B,"&lt;&gt;Lucas Luiz Romero")*(20/1083),IF(C3773="Estágio",SUMIFS($D:$D,$A:$A,$A3773,$B:$B,"&lt;&gt;Patrícia Karla de Sousa Araújo",$B:$B,"&lt;&gt;Lorena Dias de Araujo",$B:$B,"&lt;&gt;Lucas Luiz Romero")*(10/1083),0)))))),0)</f>
        <v/>
      </c>
      <c r="K3773" s="3">
        <f>I3773-J3773</f>
        <v/>
      </c>
      <c r="L3773" s="3">
        <f>IF(K3773&lt;-5,"CRÍTICO",IF(K3773&lt;0,"ATENÇÃO",IF(K3773&lt;=5,"OPORTUNO","MUITO BOM")))</f>
        <v/>
      </c>
      <c r="N3773" t="n">
        <v>98.2</v>
      </c>
      <c r="O3773" t="n">
        <v>26.89075630252101</v>
      </c>
    </row>
    <row r="3774" hidden="1">
      <c r="A3774" s="11" t="n">
        <v>46120</v>
      </c>
      <c r="B3774" t="inlineStr">
        <is>
          <t>Claudio de Sousa Velasco Filho</t>
        </is>
      </c>
      <c r="C3774" t="inlineStr">
        <is>
          <t>Estágio</t>
        </is>
      </c>
      <c r="D3774" t="n">
        <v>4</v>
      </c>
      <c r="E3774" t="n">
        <v>4</v>
      </c>
      <c r="F3774" t="n">
        <v>55.43</v>
      </c>
      <c r="G3774" t="n">
        <v>0</v>
      </c>
      <c r="H3774" t="n">
        <v>0</v>
      </c>
      <c r="I3774" s="3">
        <f>E3774+G3774+H3774</f>
        <v/>
      </c>
      <c r="J3774" s="3">
        <f>ROUND(MIN(IF(C3774="Técnico III",35,IF(C3774="Técnico II",28,IF(C3774="Técnico I",23,IF(C3774="JR",20,IF(C3774="Estágio",10,0))))),IF(C3774="Técnico III",SUMIFS($D:$D,$A:$A,$A3774,$B:$B,"&lt;&gt;Patrícia Karla de Sousa Araújo",$B:$B,"&lt;&gt;Lorena Dias de Araujo",$B:$B,"&lt;&gt;Lucas Luiz Romero")*(35/1083),IF(C3774="Técnico II",SUMIFS($D:$D,$A:$A,$A3774,$B:$B,"&lt;&gt;Patrícia Karla de Sousa Araújo",$B:$B,"&lt;&gt;Lorena Dias de Araujo",$B:$B,"&lt;&gt;Lucas Luiz Romero")*(28/1083),IF(C3774="Técnico I",SUMIFS($D:$D,$A:$A,$A3774,$B:$B,"&lt;&gt;Patrícia Karla de Sousa Araújo",$B:$B,"&lt;&gt;Lorena Dias de Araujo",$B:$B,"&lt;&gt;Lucas Luiz Romero")*(23/1083),IF(C3774="JR",SUMIFS($D:$D,$A:$A,$A3774,$B:$B,"&lt;&gt;Patrícia Karla de Sousa Araújo",$B:$B,"&lt;&gt;Lorena Dias de Araujo",$B:$B,"&lt;&gt;Lucas Luiz Romero")*(20/1083),IF(C3774="Estágio",SUMIFS($D:$D,$A:$A,$A3774,$B:$B,"&lt;&gt;Patrícia Karla de Sousa Araújo",$B:$B,"&lt;&gt;Lorena Dias de Araujo",$B:$B,"&lt;&gt;Lucas Luiz Romero")*(10/1083),0)))))),0)</f>
        <v/>
      </c>
      <c r="K3774" s="3">
        <f>I3774-J3774</f>
        <v/>
      </c>
      <c r="L3774" s="3">
        <f>IF(K3774&lt;-5,"CRÍTICO",IF(K3774&lt;0,"ATENÇÃO",IF(K3774&lt;=5,"OPORTUNO","MUITO BOM")))</f>
        <v/>
      </c>
      <c r="N3774" t="n">
        <v>100</v>
      </c>
      <c r="O3774" t="n">
        <v>23.13432835820895</v>
      </c>
    </row>
    <row r="3775" hidden="1">
      <c r="A3775" s="11" t="n">
        <v>46120</v>
      </c>
      <c r="B3775" t="inlineStr">
        <is>
          <t>Clessiane Pereira dos Santos</t>
        </is>
      </c>
      <c r="C3775" t="inlineStr">
        <is>
          <t>Técnico I</t>
        </is>
      </c>
      <c r="D3775" t="n">
        <v>23</v>
      </c>
      <c r="E3775" t="n">
        <v>22</v>
      </c>
      <c r="F3775" t="n">
        <v>15.5</v>
      </c>
      <c r="G3775" t="n">
        <v>0</v>
      </c>
      <c r="H3775" t="n">
        <v>0</v>
      </c>
      <c r="I3775" s="3">
        <f>E3775+G3775+H3775</f>
        <v/>
      </c>
      <c r="J3775" s="3">
        <f>ROUND(MIN(IF(C3775="Técnico III",35,IF(C3775="Técnico II",28,IF(C3775="Técnico I",23,IF(C3775="JR",20,IF(C3775="Estágio",10,0))))),IF(C3775="Técnico III",SUMIFS($D:$D,$A:$A,$A3775,$B:$B,"&lt;&gt;Patrícia Karla de Sousa Araújo",$B:$B,"&lt;&gt;Lorena Dias de Araujo",$B:$B,"&lt;&gt;Lucas Luiz Romero")*(35/1083),IF(C3775="Técnico II",SUMIFS($D:$D,$A:$A,$A3775,$B:$B,"&lt;&gt;Patrícia Karla de Sousa Araújo",$B:$B,"&lt;&gt;Lorena Dias de Araujo",$B:$B,"&lt;&gt;Lucas Luiz Romero")*(28/1083),IF(C3775="Técnico I",SUMIFS($D:$D,$A:$A,$A3775,$B:$B,"&lt;&gt;Patrícia Karla de Sousa Araújo",$B:$B,"&lt;&gt;Lorena Dias de Araujo",$B:$B,"&lt;&gt;Lucas Luiz Romero")*(23/1083),IF(C3775="JR",SUMIFS($D:$D,$A:$A,$A3775,$B:$B,"&lt;&gt;Patrícia Karla de Sousa Araújo",$B:$B,"&lt;&gt;Lorena Dias de Araujo",$B:$B,"&lt;&gt;Lucas Luiz Romero")*(20/1083),IF(C3775="Estágio",SUMIFS($D:$D,$A:$A,$A3775,$B:$B,"&lt;&gt;Patrícia Karla de Sousa Araújo",$B:$B,"&lt;&gt;Lorena Dias de Araujo",$B:$B,"&lt;&gt;Lucas Luiz Romero")*(10/1083),0)))))),0)</f>
        <v/>
      </c>
      <c r="K3775" s="3">
        <f>I3775-J3775</f>
        <v/>
      </c>
      <c r="L3775" s="3">
        <f>IF(K3775&lt;-5,"CRÍTICO",IF(K3775&lt;0,"ATENÇÃO",IF(K3775&lt;=5,"OPORTUNO","MUITO BOM")))</f>
        <v/>
      </c>
      <c r="N3775" t="n">
        <v>96.3</v>
      </c>
      <c r="O3775" t="n">
        <v>31.98090692124105</v>
      </c>
    </row>
    <row r="3776" hidden="1">
      <c r="A3776" s="11" t="n">
        <v>46120</v>
      </c>
      <c r="B3776" t="inlineStr">
        <is>
          <t>Cristiane Ramos da Silva Rocha</t>
        </is>
      </c>
      <c r="C3776" t="inlineStr">
        <is>
          <t>Técnico III</t>
        </is>
      </c>
      <c r="D3776" t="n">
        <v>24</v>
      </c>
      <c r="E3776" t="n">
        <v>21</v>
      </c>
      <c r="F3776" t="n">
        <v>11.54</v>
      </c>
      <c r="G3776" t="n">
        <v>0</v>
      </c>
      <c r="H3776" t="n">
        <v>0</v>
      </c>
      <c r="I3776" s="3">
        <f>E3776+G3776+H3776</f>
        <v/>
      </c>
      <c r="J3776" s="3">
        <f>ROUND(MIN(IF(C3776="Técnico III",35,IF(C3776="Técnico II",28,IF(C3776="Técnico I",23,IF(C3776="JR",20,IF(C3776="Estágio",10,0))))),IF(C3776="Técnico III",SUMIFS($D:$D,$A:$A,$A3776,$B:$B,"&lt;&gt;Patrícia Karla de Sousa Araújo",$B:$B,"&lt;&gt;Lorena Dias de Araujo",$B:$B,"&lt;&gt;Lucas Luiz Romero")*(35/1083),IF(C3776="Técnico II",SUMIFS($D:$D,$A:$A,$A3776,$B:$B,"&lt;&gt;Patrícia Karla de Sousa Araújo",$B:$B,"&lt;&gt;Lorena Dias de Araujo",$B:$B,"&lt;&gt;Lucas Luiz Romero")*(28/1083),IF(C3776="Técnico I",SUMIFS($D:$D,$A:$A,$A3776,$B:$B,"&lt;&gt;Patrícia Karla de Sousa Araújo",$B:$B,"&lt;&gt;Lorena Dias de Araujo",$B:$B,"&lt;&gt;Lucas Luiz Romero")*(23/1083),IF(C3776="JR",SUMIFS($D:$D,$A:$A,$A3776,$B:$B,"&lt;&gt;Patrícia Karla de Sousa Araújo",$B:$B,"&lt;&gt;Lorena Dias de Araujo",$B:$B,"&lt;&gt;Lucas Luiz Romero")*(20/1083),IF(C3776="Estágio",SUMIFS($D:$D,$A:$A,$A3776,$B:$B,"&lt;&gt;Patrícia Karla de Sousa Araújo",$B:$B,"&lt;&gt;Lorena Dias de Araujo",$B:$B,"&lt;&gt;Lucas Luiz Romero")*(10/1083),0)))))),0)</f>
        <v/>
      </c>
      <c r="K3776" s="3">
        <f>I3776-J3776</f>
        <v/>
      </c>
      <c r="L3776" s="3">
        <f>IF(K3776&lt;-5,"CRÍTICO",IF(K3776&lt;0,"ATENÇÃO",IF(K3776&lt;=5,"OPORTUNO","MUITO BOM")))</f>
        <v/>
      </c>
      <c r="N3776" t="n">
        <v>93.75</v>
      </c>
      <c r="O3776" t="n">
        <v>26.62835249042146</v>
      </c>
    </row>
    <row r="3777" hidden="1">
      <c r="A3777" s="11" t="n">
        <v>46120</v>
      </c>
      <c r="B3777" t="inlineStr">
        <is>
          <t>Damyllis Lorraine de Oliveira Gonçalves</t>
        </is>
      </c>
      <c r="C3777" t="inlineStr">
        <is>
          <t>Técnico II</t>
        </is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s="3" t="n">
        <v>0</v>
      </c>
      <c r="J3777" s="3" t="n">
        <v>0</v>
      </c>
      <c r="K3777" s="3" t="n">
        <v>0</v>
      </c>
      <c r="L3777" s="3">
        <f>IF(K3777&lt;-5,"CRÍTICO",IF(K3777&lt;0,"ATENÇÃO",IF(K3777&lt;=5,"OPORTUNO","MUITO BOM")))</f>
        <v/>
      </c>
      <c r="N3777" t="n">
        <v>97.86</v>
      </c>
      <c r="O3777" t="n">
        <v>31.01851851851852</v>
      </c>
    </row>
    <row r="3778" hidden="1">
      <c r="A3778" s="11" t="n">
        <v>46120</v>
      </c>
      <c r="B3778" t="inlineStr">
        <is>
          <t>Daniel Gomes da Silva</t>
        </is>
      </c>
      <c r="C3778" t="inlineStr">
        <is>
          <t>Técnico I</t>
        </is>
      </c>
      <c r="D3778" t="n">
        <v>30</v>
      </c>
      <c r="E3778" t="n">
        <v>28</v>
      </c>
      <c r="F3778" t="n">
        <v>15.05</v>
      </c>
      <c r="G3778" t="n">
        <v>0</v>
      </c>
      <c r="H3778" t="n">
        <v>0</v>
      </c>
      <c r="I3778" s="3">
        <f>E3778+G3778+H3778</f>
        <v/>
      </c>
      <c r="J3778" s="3">
        <f>ROUND(MIN(IF(C3778="Técnico III",35,IF(C3778="Técnico II",28,IF(C3778="Técnico I",23,IF(C3778="JR",20,IF(C3778="Estágio",10,0))))),IF(C3778="Técnico III",SUMIFS($D:$D,$A:$A,$A3778,$B:$B,"&lt;&gt;Patrícia Karla de Sousa Araújo",$B:$B,"&lt;&gt;Lorena Dias de Araujo",$B:$B,"&lt;&gt;Lucas Luiz Romero")*(35/1083),IF(C3778="Técnico II",SUMIFS($D:$D,$A:$A,$A3778,$B:$B,"&lt;&gt;Patrícia Karla de Sousa Araújo",$B:$B,"&lt;&gt;Lorena Dias de Araujo",$B:$B,"&lt;&gt;Lucas Luiz Romero")*(28/1083),IF(C3778="Técnico I",SUMIFS($D:$D,$A:$A,$A3778,$B:$B,"&lt;&gt;Patrícia Karla de Sousa Araújo",$B:$B,"&lt;&gt;Lorena Dias de Araujo",$B:$B,"&lt;&gt;Lucas Luiz Romero")*(23/1083),IF(C3778="JR",SUMIFS($D:$D,$A:$A,$A3778,$B:$B,"&lt;&gt;Patrícia Karla de Sousa Araújo",$B:$B,"&lt;&gt;Lorena Dias de Araujo",$B:$B,"&lt;&gt;Lucas Luiz Romero")*(20/1083),IF(C3778="Estágio",SUMIFS($D:$D,$A:$A,$A3778,$B:$B,"&lt;&gt;Patrícia Karla de Sousa Araújo",$B:$B,"&lt;&gt;Lorena Dias de Araujo",$B:$B,"&lt;&gt;Lucas Luiz Romero")*(10/1083),0)))))),0)</f>
        <v/>
      </c>
      <c r="K3778" s="3">
        <f>I3778-J3778</f>
        <v/>
      </c>
      <c r="L3778" s="3">
        <f>IF(K3778&lt;-5,"CRÍTICO",IF(K3778&lt;0,"ATENÇÃO",IF(K3778&lt;=5,"OPORTUNO","MUITO BOM")))</f>
        <v/>
      </c>
      <c r="N3778" t="n">
        <v>100</v>
      </c>
      <c r="O3778" t="n">
        <v>36.23188405797102</v>
      </c>
    </row>
    <row r="3779" hidden="1">
      <c r="A3779" s="11" t="n">
        <v>46120</v>
      </c>
      <c r="B3779" t="inlineStr">
        <is>
          <t>Davylla Rodrigues Freitas Silva</t>
        </is>
      </c>
      <c r="C3779" t="inlineStr">
        <is>
          <t>Técnico III</t>
        </is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s="3" t="n">
        <v>0</v>
      </c>
      <c r="J3779" s="3" t="n">
        <v>0</v>
      </c>
      <c r="K3779" s="3" t="n">
        <v>0</v>
      </c>
      <c r="L3779" s="3">
        <f>IF(K3779&lt;-5,"CRÍTICO",IF(K3779&lt;0,"ATENÇÃO",IF(K3779&lt;=5,"OPORTUNO","MUITO BOM")))</f>
        <v/>
      </c>
      <c r="N3779" t="n">
        <v>100</v>
      </c>
      <c r="O3779" t="n">
        <v>38.26923076923077</v>
      </c>
    </row>
    <row r="3780" hidden="1">
      <c r="A3780" s="11" t="n">
        <v>46120</v>
      </c>
      <c r="B3780" t="inlineStr">
        <is>
          <t>Emilly Caylane Costa</t>
        </is>
      </c>
      <c r="C3780" t="inlineStr">
        <is>
          <t>Estágio</t>
        </is>
      </c>
      <c r="D3780" t="n">
        <v>5</v>
      </c>
      <c r="E3780" t="n">
        <v>4</v>
      </c>
      <c r="F3780" t="n">
        <v>23.29</v>
      </c>
      <c r="G3780" t="n">
        <v>0</v>
      </c>
      <c r="H3780" t="n">
        <v>0</v>
      </c>
      <c r="I3780" s="3">
        <f>E3780+G3780+H3780</f>
        <v/>
      </c>
      <c r="J3780" s="3">
        <f>ROUND(MIN(IF(C3780="Técnico III",35,IF(C3780="Técnico II",28,IF(C3780="Técnico I",23,IF(C3780="JR",20,IF(C3780="Estágio",10,0))))),IF(C3780="Técnico III",SUMIFS($D:$D,$A:$A,$A3780,$B:$B,"&lt;&gt;Patrícia Karla de Sousa Araújo",$B:$B,"&lt;&gt;Lorena Dias de Araujo",$B:$B,"&lt;&gt;Lucas Luiz Romero")*(35/1083),IF(C3780="Técnico II",SUMIFS($D:$D,$A:$A,$A3780,$B:$B,"&lt;&gt;Patrícia Karla de Sousa Araújo",$B:$B,"&lt;&gt;Lorena Dias de Araujo",$B:$B,"&lt;&gt;Lucas Luiz Romero")*(28/1083),IF(C3780="Técnico I",SUMIFS($D:$D,$A:$A,$A3780,$B:$B,"&lt;&gt;Patrícia Karla de Sousa Araújo",$B:$B,"&lt;&gt;Lorena Dias de Araujo",$B:$B,"&lt;&gt;Lucas Luiz Romero")*(23/1083),IF(C3780="JR",SUMIFS($D:$D,$A:$A,$A3780,$B:$B,"&lt;&gt;Patrícia Karla de Sousa Araújo",$B:$B,"&lt;&gt;Lorena Dias de Araujo",$B:$B,"&lt;&gt;Lucas Luiz Romero")*(20/1083),IF(C3780="Estágio",SUMIFS($D:$D,$A:$A,$A3780,$B:$B,"&lt;&gt;Patrícia Karla de Sousa Araújo",$B:$B,"&lt;&gt;Lorena Dias de Araujo",$B:$B,"&lt;&gt;Lucas Luiz Romero")*(10/1083),0)))))),0)</f>
        <v/>
      </c>
      <c r="K3780" s="3">
        <f>I3780-J3780</f>
        <v/>
      </c>
      <c r="L3780" s="3">
        <f>IF(K3780&lt;-5,"CRÍTICO",IF(K3780&lt;0,"ATENÇÃO",IF(K3780&lt;=5,"OPORTUNO","MUITO BOM")))</f>
        <v/>
      </c>
      <c r="N3780" t="n">
        <v>100</v>
      </c>
      <c r="O3780" t="n">
        <v>27.36842105263158</v>
      </c>
    </row>
    <row r="3781" hidden="1">
      <c r="A3781" s="11" t="n">
        <v>46120</v>
      </c>
      <c r="B3781" t="inlineStr">
        <is>
          <t>Emilly Kamilly Medeiros Miranda</t>
        </is>
      </c>
      <c r="C3781" t="inlineStr">
        <is>
          <t>Técnico II</t>
        </is>
      </c>
      <c r="D3781" t="n">
        <v>29</v>
      </c>
      <c r="E3781" t="n">
        <v>27</v>
      </c>
      <c r="F3781" t="n">
        <v>17.09</v>
      </c>
      <c r="G3781" t="n">
        <v>0</v>
      </c>
      <c r="H3781" t="n">
        <v>0</v>
      </c>
      <c r="I3781" s="3">
        <f>E3781+G3781+H3781</f>
        <v/>
      </c>
      <c r="J3781" s="3">
        <f>ROUND(MIN(IF(C3781="Técnico III",35,IF(C3781="Técnico II",28,IF(C3781="Técnico I",23,IF(C3781="JR",20,IF(C3781="Estágio",10,0))))),IF(C3781="Técnico III",SUMIFS($D:$D,$A:$A,$A3781,$B:$B,"&lt;&gt;Patrícia Karla de Sousa Araújo",$B:$B,"&lt;&gt;Lorena Dias de Araujo",$B:$B,"&lt;&gt;Lucas Luiz Romero")*(35/1083),IF(C3781="Técnico II",SUMIFS($D:$D,$A:$A,$A3781,$B:$B,"&lt;&gt;Patrícia Karla de Sousa Araújo",$B:$B,"&lt;&gt;Lorena Dias de Araujo",$B:$B,"&lt;&gt;Lucas Luiz Romero")*(28/1083),IF(C3781="Técnico I",SUMIFS($D:$D,$A:$A,$A3781,$B:$B,"&lt;&gt;Patrícia Karla de Sousa Araújo",$B:$B,"&lt;&gt;Lorena Dias de Araujo",$B:$B,"&lt;&gt;Lucas Luiz Romero")*(23/1083),IF(C3781="JR",SUMIFS($D:$D,$A:$A,$A3781,$B:$B,"&lt;&gt;Patrícia Karla de Sousa Araújo",$B:$B,"&lt;&gt;Lorena Dias de Araujo",$B:$B,"&lt;&gt;Lucas Luiz Romero")*(20/1083),IF(C3781="Estágio",SUMIFS($D:$D,$A:$A,$A3781,$B:$B,"&lt;&gt;Patrícia Karla de Sousa Araújo",$B:$B,"&lt;&gt;Lorena Dias de Araujo",$B:$B,"&lt;&gt;Lucas Luiz Romero")*(10/1083),0)))))),0)</f>
        <v/>
      </c>
      <c r="K3781" s="3">
        <f>I3781-J3781</f>
        <v/>
      </c>
      <c r="L3781" s="3">
        <f>IF(K3781&lt;-5,"CRÍTICO",IF(K3781&lt;0,"ATENÇÃO",IF(K3781&lt;=5,"OPORTUNO","MUITO BOM")))</f>
        <v/>
      </c>
      <c r="N3781" t="n">
        <v>97.83</v>
      </c>
      <c r="O3781" t="n">
        <v>28.13186813186813</v>
      </c>
    </row>
    <row r="3782" hidden="1">
      <c r="A3782" s="11" t="n">
        <v>46120</v>
      </c>
      <c r="B3782" t="inlineStr">
        <is>
          <t>Francielson de Oliveira</t>
        </is>
      </c>
      <c r="C3782" t="inlineStr">
        <is>
          <t>Técnico III</t>
        </is>
      </c>
      <c r="D3782" t="n">
        <v>28</v>
      </c>
      <c r="E3782" t="n">
        <v>26</v>
      </c>
      <c r="F3782" t="n">
        <v>17.25</v>
      </c>
      <c r="G3782" t="n">
        <v>0</v>
      </c>
      <c r="H3782" t="n">
        <v>0</v>
      </c>
      <c r="I3782" s="3">
        <f>E3782+G3782+H3782</f>
        <v/>
      </c>
      <c r="J3782" s="3">
        <f>ROUND(MIN(IF(C3782="Técnico III",35,IF(C3782="Técnico II",28,IF(C3782="Técnico I",23,IF(C3782="JR",20,IF(C3782="Estágio",10,0))))),IF(C3782="Técnico III",SUMIFS($D:$D,$A:$A,$A3782,$B:$B,"&lt;&gt;Patrícia Karla de Sousa Araújo",$B:$B,"&lt;&gt;Lorena Dias de Araujo",$B:$B,"&lt;&gt;Lucas Luiz Romero")*(35/1083),IF(C3782="Técnico II",SUMIFS($D:$D,$A:$A,$A3782,$B:$B,"&lt;&gt;Patrícia Karla de Sousa Araújo",$B:$B,"&lt;&gt;Lorena Dias de Araujo",$B:$B,"&lt;&gt;Lucas Luiz Romero")*(28/1083),IF(C3782="Técnico I",SUMIFS($D:$D,$A:$A,$A3782,$B:$B,"&lt;&gt;Patrícia Karla de Sousa Araújo",$B:$B,"&lt;&gt;Lorena Dias de Araujo",$B:$B,"&lt;&gt;Lucas Luiz Romero")*(23/1083),IF(C3782="JR",SUMIFS($D:$D,$A:$A,$A3782,$B:$B,"&lt;&gt;Patrícia Karla de Sousa Araújo",$B:$B,"&lt;&gt;Lorena Dias de Araujo",$B:$B,"&lt;&gt;Lucas Luiz Romero")*(20/1083),IF(C3782="Estágio",SUMIFS($D:$D,$A:$A,$A3782,$B:$B,"&lt;&gt;Patrícia Karla de Sousa Araújo",$B:$B,"&lt;&gt;Lorena Dias de Araujo",$B:$B,"&lt;&gt;Lucas Luiz Romero")*(10/1083),0)))))),0)</f>
        <v/>
      </c>
      <c r="K3782" s="3">
        <f>I3782-J3782</f>
        <v/>
      </c>
      <c r="L3782" s="3">
        <f>IF(K3782&lt;-5,"CRÍTICO",IF(K3782&lt;0,"ATENÇÃO",IF(K3782&lt;=5,"OPORTUNO","MUITO BOM")))</f>
        <v/>
      </c>
      <c r="N3782" t="n">
        <v>99.26000000000001</v>
      </c>
      <c r="O3782" t="n">
        <v>29.57198443579767</v>
      </c>
    </row>
    <row r="3783" hidden="1">
      <c r="A3783" s="11" t="n">
        <v>46120</v>
      </c>
      <c r="B3783" t="inlineStr">
        <is>
          <t>Francilene Ferreira de Jesus</t>
        </is>
      </c>
      <c r="C3783" t="inlineStr">
        <is>
          <t>Técnico II</t>
        </is>
      </c>
      <c r="D3783" t="n">
        <v>34</v>
      </c>
      <c r="E3783" t="n">
        <v>33</v>
      </c>
      <c r="F3783" t="n">
        <v>18.46</v>
      </c>
      <c r="G3783" t="n">
        <v>0</v>
      </c>
      <c r="H3783" t="n">
        <v>0</v>
      </c>
      <c r="I3783" s="3">
        <f>E3783+G3783+H3783</f>
        <v/>
      </c>
      <c r="J3783" s="3">
        <f>ROUND(MIN(IF(C3783="Técnico III",35,IF(C3783="Técnico II",28,IF(C3783="Técnico I",23,IF(C3783="JR",20,IF(C3783="Estágio",10,0))))),IF(C3783="Técnico III",SUMIFS($D:$D,$A:$A,$A3783,$B:$B,"&lt;&gt;Patrícia Karla de Sousa Araújo",$B:$B,"&lt;&gt;Lorena Dias de Araujo",$B:$B,"&lt;&gt;Lucas Luiz Romero")*(35/1083),IF(C3783="Técnico II",SUMIFS($D:$D,$A:$A,$A3783,$B:$B,"&lt;&gt;Patrícia Karla de Sousa Araújo",$B:$B,"&lt;&gt;Lorena Dias de Araujo",$B:$B,"&lt;&gt;Lucas Luiz Romero")*(28/1083),IF(C3783="Técnico I",SUMIFS($D:$D,$A:$A,$A3783,$B:$B,"&lt;&gt;Patrícia Karla de Sousa Araújo",$B:$B,"&lt;&gt;Lorena Dias de Araujo",$B:$B,"&lt;&gt;Lucas Luiz Romero")*(23/1083),IF(C3783="JR",SUMIFS($D:$D,$A:$A,$A3783,$B:$B,"&lt;&gt;Patrícia Karla de Sousa Araújo",$B:$B,"&lt;&gt;Lorena Dias de Araujo",$B:$B,"&lt;&gt;Lucas Luiz Romero")*(20/1083),IF(C3783="Estágio",SUMIFS($D:$D,$A:$A,$A3783,$B:$B,"&lt;&gt;Patrícia Karla de Sousa Araújo",$B:$B,"&lt;&gt;Lorena Dias de Araujo",$B:$B,"&lt;&gt;Lucas Luiz Romero")*(10/1083),0)))))),0)</f>
        <v/>
      </c>
      <c r="K3783" s="3">
        <f>I3783-J3783</f>
        <v/>
      </c>
      <c r="L3783" s="3">
        <f>IF(K3783&lt;-5,"CRÍTICO",IF(K3783&lt;0,"ATENÇÃO",IF(K3783&lt;=5,"OPORTUNO","MUITO BOM")))</f>
        <v/>
      </c>
      <c r="N3783" t="n">
        <v>99.19</v>
      </c>
      <c r="O3783" t="n">
        <v>29.46236559139785</v>
      </c>
    </row>
    <row r="3784" hidden="1">
      <c r="A3784" s="11" t="n">
        <v>46167</v>
      </c>
      <c r="B3784" t="inlineStr">
        <is>
          <t>Francilene Ferreira de Jesus</t>
        </is>
      </c>
      <c r="C3784" t="inlineStr">
        <is>
          <t>Técnico II</t>
        </is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s="3" t="n">
        <v>0</v>
      </c>
      <c r="J3784" s="3" t="n">
        <v>0</v>
      </c>
      <c r="K3784" s="3" t="n">
        <v>0</v>
      </c>
      <c r="L3784" s="3">
        <f>IF(K3784&lt;-5,"CRÍTICO",IF(K3784&lt;0,"ATENÇÃO",IF(K3784&lt;=5,"OPORTUNO","MUITO BOM")))</f>
        <v/>
      </c>
    </row>
    <row r="3785" hidden="1">
      <c r="A3785" s="11" t="n">
        <v>46120</v>
      </c>
      <c r="B3785" t="inlineStr">
        <is>
          <t>Isabella Borges de Oliveira</t>
        </is>
      </c>
      <c r="C3785" t="inlineStr">
        <is>
          <t>Técnico II</t>
        </is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s="3" t="n">
        <v>0</v>
      </c>
      <c r="J3785" s="3" t="n">
        <v>0</v>
      </c>
      <c r="K3785" s="3" t="n">
        <v>0</v>
      </c>
      <c r="L3785" s="3">
        <f>IF(K3785&lt;-5,"CRÍTICO",IF(K3785&lt;0,"ATENÇÃO",IF(K3785&lt;=5,"OPORTUNO","MUITO BOM")))</f>
        <v/>
      </c>
      <c r="N3785" t="n">
        <v>100</v>
      </c>
      <c r="O3785" t="n">
        <v>27.94117647058824</v>
      </c>
    </row>
    <row r="3786" hidden="1">
      <c r="A3786" s="11" t="n">
        <v>46120</v>
      </c>
      <c r="B3786" t="inlineStr">
        <is>
          <t>Janaina Lima dos Reis Urany</t>
        </is>
      </c>
      <c r="C3786" t="inlineStr">
        <is>
          <t>Técnico III</t>
        </is>
      </c>
      <c r="D3786" t="n">
        <v>40</v>
      </c>
      <c r="E3786" t="n">
        <v>37</v>
      </c>
      <c r="F3786" t="n">
        <v>15.28</v>
      </c>
      <c r="G3786" t="n">
        <v>0</v>
      </c>
      <c r="H3786" t="n">
        <v>0</v>
      </c>
      <c r="I3786" s="3">
        <f>E3786+G3786+H3786</f>
        <v/>
      </c>
      <c r="J3786" s="3">
        <f>ROUND(MIN(IF(C3786="Técnico III",35,IF(C3786="Técnico II",28,IF(C3786="Técnico I",23,IF(C3786="JR",20,IF(C3786="Estágio",10,0))))),IF(C3786="Técnico III",SUMIFS($D:$D,$A:$A,$A3786,$B:$B,"&lt;&gt;Patrícia Karla de Sousa Araújo",$B:$B,"&lt;&gt;Lorena Dias de Araujo",$B:$B,"&lt;&gt;Lucas Luiz Romero")*(35/1083),IF(C3786="Técnico II",SUMIFS($D:$D,$A:$A,$A3786,$B:$B,"&lt;&gt;Patrícia Karla de Sousa Araújo",$B:$B,"&lt;&gt;Lorena Dias de Araujo",$B:$B,"&lt;&gt;Lucas Luiz Romero")*(28/1083),IF(C3786="Técnico I",SUMIFS($D:$D,$A:$A,$A3786,$B:$B,"&lt;&gt;Patrícia Karla de Sousa Araújo",$B:$B,"&lt;&gt;Lorena Dias de Araujo",$B:$B,"&lt;&gt;Lucas Luiz Romero")*(23/1083),IF(C3786="JR",SUMIFS($D:$D,$A:$A,$A3786,$B:$B,"&lt;&gt;Patrícia Karla de Sousa Araújo",$B:$B,"&lt;&gt;Lorena Dias de Araujo",$B:$B,"&lt;&gt;Lucas Luiz Romero")*(20/1083),IF(C3786="Estágio",SUMIFS($D:$D,$A:$A,$A3786,$B:$B,"&lt;&gt;Patrícia Karla de Sousa Araújo",$B:$B,"&lt;&gt;Lorena Dias de Araujo",$B:$B,"&lt;&gt;Lucas Luiz Romero")*(10/1083),0)))))),0)</f>
        <v/>
      </c>
      <c r="K3786" s="3">
        <f>I3786-J3786</f>
        <v/>
      </c>
      <c r="L3786" s="3">
        <f>IF(K3786&lt;-5,"CRÍTICO",IF(K3786&lt;0,"ATENÇÃO",IF(K3786&lt;=5,"OPORTUNO","MUITO BOM")))</f>
        <v/>
      </c>
      <c r="N3786" t="n">
        <v>99.56999999999999</v>
      </c>
      <c r="O3786" t="n">
        <v>29.91329479768786</v>
      </c>
    </row>
    <row r="3787" hidden="1">
      <c r="A3787" s="11" t="n">
        <v>46120</v>
      </c>
      <c r="B3787" t="inlineStr">
        <is>
          <t>Jaqueline Evangelista da Silva Martins</t>
        </is>
      </c>
      <c r="C3787" t="inlineStr">
        <is>
          <t>Técnico III</t>
        </is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s="3" t="n">
        <v>0</v>
      </c>
      <c r="J3787" s="3" t="n">
        <v>0</v>
      </c>
      <c r="K3787" s="3" t="n">
        <v>0</v>
      </c>
      <c r="L3787" s="3">
        <f>IF(K3787&lt;-5,"CRÍTICO",IF(K3787&lt;0,"ATENÇÃO",IF(K3787&lt;=5,"OPORTUNO","MUITO BOM")))</f>
        <v/>
      </c>
      <c r="N3787" t="n">
        <v>95.65000000000001</v>
      </c>
      <c r="O3787" t="n">
        <v>31.08108108108108</v>
      </c>
    </row>
    <row r="3788" hidden="1">
      <c r="A3788" s="11" t="n">
        <v>46120</v>
      </c>
      <c r="B3788" t="inlineStr">
        <is>
          <t>Jessica Faria da Silveira</t>
        </is>
      </c>
      <c r="C3788" t="inlineStr">
        <is>
          <t>Técnico II</t>
        </is>
      </c>
      <c r="D3788" t="n">
        <v>28</v>
      </c>
      <c r="E3788" t="n">
        <v>25</v>
      </c>
      <c r="F3788" t="n">
        <v>18.21</v>
      </c>
      <c r="G3788" t="n">
        <v>0</v>
      </c>
      <c r="H3788" t="n">
        <v>0</v>
      </c>
      <c r="I3788" s="3">
        <f>E3788+G3788+H3788</f>
        <v/>
      </c>
      <c r="J3788" s="3">
        <f>ROUND(MIN(IF(C3788="Técnico III",35,IF(C3788="Técnico II",28,IF(C3788="Técnico I",23,IF(C3788="JR",20,IF(C3788="Estágio",10,0))))),IF(C3788="Técnico III",SUMIFS($D:$D,$A:$A,$A3788,$B:$B,"&lt;&gt;Patrícia Karla de Sousa Araújo",$B:$B,"&lt;&gt;Lorena Dias de Araujo",$B:$B,"&lt;&gt;Lucas Luiz Romero")*(35/1083),IF(C3788="Técnico II",SUMIFS($D:$D,$A:$A,$A3788,$B:$B,"&lt;&gt;Patrícia Karla de Sousa Araújo",$B:$B,"&lt;&gt;Lorena Dias de Araujo",$B:$B,"&lt;&gt;Lucas Luiz Romero")*(28/1083),IF(C3788="Técnico I",SUMIFS($D:$D,$A:$A,$A3788,$B:$B,"&lt;&gt;Patrícia Karla de Sousa Araújo",$B:$B,"&lt;&gt;Lorena Dias de Araujo",$B:$B,"&lt;&gt;Lucas Luiz Romero")*(23/1083),IF(C3788="JR",SUMIFS($D:$D,$A:$A,$A3788,$B:$B,"&lt;&gt;Patrícia Karla de Sousa Araújo",$B:$B,"&lt;&gt;Lorena Dias de Araujo",$B:$B,"&lt;&gt;Lucas Luiz Romero")*(20/1083),IF(C3788="Estágio",SUMIFS($D:$D,$A:$A,$A3788,$B:$B,"&lt;&gt;Patrícia Karla de Sousa Araújo",$B:$B,"&lt;&gt;Lorena Dias de Araujo",$B:$B,"&lt;&gt;Lucas Luiz Romero")*(10/1083),0)))))),0)</f>
        <v/>
      </c>
      <c r="K3788" s="3">
        <f>I3788-J3788</f>
        <v/>
      </c>
      <c r="L3788" s="3">
        <f>IF(K3788&lt;-5,"CRÍTICO",IF(K3788&lt;0,"ATENÇÃO",IF(K3788&lt;=5,"OPORTUNO","MUITO BOM")))</f>
        <v/>
      </c>
      <c r="N3788" t="n">
        <v>98.81</v>
      </c>
      <c r="O3788" t="n">
        <v>26.25698324022346</v>
      </c>
    </row>
    <row r="3789" hidden="1">
      <c r="A3789" s="11" t="n">
        <v>46120</v>
      </c>
      <c r="B3789" t="inlineStr">
        <is>
          <t>Jéssica Fé Moura</t>
        </is>
      </c>
      <c r="C3789" t="inlineStr">
        <is>
          <t>Técnico III</t>
        </is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s="3" t="n">
        <v>0</v>
      </c>
      <c r="J3789" s="3" t="n">
        <v>0</v>
      </c>
      <c r="K3789" s="3" t="n">
        <v>0</v>
      </c>
      <c r="L3789" s="3">
        <f>IF(K3789&lt;-5,"CRÍTICO",IF(K3789&lt;0,"ATENÇÃO",IF(K3789&lt;=5,"OPORTUNO","MUITO BOM")))</f>
        <v/>
      </c>
      <c r="N3789" t="n">
        <v>0</v>
      </c>
      <c r="O3789" t="n">
        <v>0</v>
      </c>
    </row>
    <row r="3790" hidden="1">
      <c r="A3790" s="11" t="n">
        <v>46120</v>
      </c>
      <c r="B3790" t="inlineStr">
        <is>
          <t>Karina Gonçalves Martins</t>
        </is>
      </c>
      <c r="C3790" t="inlineStr">
        <is>
          <t>JR</t>
        </is>
      </c>
      <c r="D3790" t="n">
        <v>22</v>
      </c>
      <c r="E3790" t="n">
        <v>22</v>
      </c>
      <c r="F3790" t="n">
        <v>15.44</v>
      </c>
      <c r="G3790" t="n">
        <v>0</v>
      </c>
      <c r="H3790" t="n">
        <v>0</v>
      </c>
      <c r="I3790" s="3">
        <f>E3790+G3790+H3790</f>
        <v/>
      </c>
      <c r="J3790" s="3">
        <f>ROUND(MIN(IF(C3790="Técnico III",35,IF(C3790="Técnico II",28,IF(C3790="Técnico I",23,IF(C3790="JR",20,IF(C3790="Estágio",10,0))))),IF(C3790="Técnico III",SUMIFS($D:$D,$A:$A,$A3790,$B:$B,"&lt;&gt;Patrícia Karla de Sousa Araújo",$B:$B,"&lt;&gt;Lorena Dias de Araujo",$B:$B,"&lt;&gt;Lucas Luiz Romero")*(35/1083),IF(C3790="Técnico II",SUMIFS($D:$D,$A:$A,$A3790,$B:$B,"&lt;&gt;Patrícia Karla de Sousa Araújo",$B:$B,"&lt;&gt;Lorena Dias de Araujo",$B:$B,"&lt;&gt;Lucas Luiz Romero")*(28/1083),IF(C3790="Técnico I",SUMIFS($D:$D,$A:$A,$A3790,$B:$B,"&lt;&gt;Patrícia Karla de Sousa Araújo",$B:$B,"&lt;&gt;Lorena Dias de Araujo",$B:$B,"&lt;&gt;Lucas Luiz Romero")*(23/1083),IF(C3790="JR",SUMIFS($D:$D,$A:$A,$A3790,$B:$B,"&lt;&gt;Patrícia Karla de Sousa Araújo",$B:$B,"&lt;&gt;Lorena Dias de Araujo",$B:$B,"&lt;&gt;Lucas Luiz Romero")*(20/1083),IF(C3790="Estágio",SUMIFS($D:$D,$A:$A,$A3790,$B:$B,"&lt;&gt;Patrícia Karla de Sousa Araújo",$B:$B,"&lt;&gt;Lorena Dias de Araujo",$B:$B,"&lt;&gt;Lucas Luiz Romero")*(10/1083),0)))))),0)</f>
        <v/>
      </c>
      <c r="K3790" s="3">
        <f>I3790-J3790</f>
        <v/>
      </c>
      <c r="L3790" s="3">
        <f>IF(K3790&lt;-5,"CRÍTICO",IF(K3790&lt;0,"ATENÇÃO",IF(K3790&lt;=5,"OPORTUNO","MUITO BOM")))</f>
        <v/>
      </c>
      <c r="N3790" t="n">
        <v>97.17</v>
      </c>
      <c r="O3790" t="n">
        <v>28.81844380403458</v>
      </c>
    </row>
    <row r="3791" hidden="1">
      <c r="A3791" s="11" t="n">
        <v>46120</v>
      </c>
      <c r="B3791" t="inlineStr">
        <is>
          <t>Kerollen Cristielly de Jesus Siqueira</t>
        </is>
      </c>
      <c r="C3791" t="inlineStr">
        <is>
          <t>Técnico III</t>
        </is>
      </c>
      <c r="D3791" t="n">
        <v>18</v>
      </c>
      <c r="E3791" t="n">
        <v>17</v>
      </c>
      <c r="F3791" t="n">
        <v>20.5</v>
      </c>
      <c r="G3791" t="n">
        <v>0</v>
      </c>
      <c r="H3791" t="n">
        <v>0</v>
      </c>
      <c r="I3791" s="3">
        <f>E3791+G3791+H3791</f>
        <v/>
      </c>
      <c r="J3791" s="3">
        <f>ROUND(MIN(IF(C3791="Técnico III",35,IF(C3791="Técnico II",28,IF(C3791="Técnico I",23,IF(C3791="JR",20,IF(C3791="Estágio",10,0))))),IF(C3791="Técnico III",SUMIFS($D:$D,$A:$A,$A3791,$B:$B,"&lt;&gt;Patrícia Karla de Sousa Araújo",$B:$B,"&lt;&gt;Lorena Dias de Araujo",$B:$B,"&lt;&gt;Lucas Luiz Romero")*(35/1083),IF(C3791="Técnico II",SUMIFS($D:$D,$A:$A,$A3791,$B:$B,"&lt;&gt;Patrícia Karla de Sousa Araújo",$B:$B,"&lt;&gt;Lorena Dias de Araujo",$B:$B,"&lt;&gt;Lucas Luiz Romero")*(28/1083),IF(C3791="Técnico I",SUMIFS($D:$D,$A:$A,$A3791,$B:$B,"&lt;&gt;Patrícia Karla de Sousa Araújo",$B:$B,"&lt;&gt;Lorena Dias de Araujo",$B:$B,"&lt;&gt;Lucas Luiz Romero")*(23/1083),IF(C3791="JR",SUMIFS($D:$D,$A:$A,$A3791,$B:$B,"&lt;&gt;Patrícia Karla de Sousa Araújo",$B:$B,"&lt;&gt;Lorena Dias de Araujo",$B:$B,"&lt;&gt;Lucas Luiz Romero")*(20/1083),IF(C3791="Estágio",SUMIFS($D:$D,$A:$A,$A3791,$B:$B,"&lt;&gt;Patrícia Karla de Sousa Araújo",$B:$B,"&lt;&gt;Lorena Dias de Araujo",$B:$B,"&lt;&gt;Lucas Luiz Romero")*(10/1083),0)))))),0)</f>
        <v/>
      </c>
      <c r="K3791" s="3">
        <f>I3791-J3791</f>
        <v/>
      </c>
      <c r="L3791" s="3">
        <f>IF(K3791&lt;-5,"CRÍTICO",IF(K3791&lt;0,"ATENÇÃO",IF(K3791&lt;=5,"OPORTUNO","MUITO BOM")))</f>
        <v/>
      </c>
      <c r="N3791" t="n">
        <v>96.81</v>
      </c>
      <c r="O3791" t="n">
        <v>48.01864801864802</v>
      </c>
    </row>
    <row r="3792" hidden="1">
      <c r="A3792" s="11" t="n">
        <v>46120</v>
      </c>
      <c r="B3792" t="inlineStr">
        <is>
          <t>Leandro de Souza Silva</t>
        </is>
      </c>
      <c r="C3792" t="inlineStr">
        <is>
          <t>JR</t>
        </is>
      </c>
      <c r="D3792" t="n">
        <v>20</v>
      </c>
      <c r="E3792" t="n">
        <v>17</v>
      </c>
      <c r="F3792" t="n">
        <v>19.13</v>
      </c>
      <c r="G3792" t="n">
        <v>0</v>
      </c>
      <c r="H3792" t="n">
        <v>0</v>
      </c>
      <c r="I3792" s="3">
        <f>E3792+G3792+H3792</f>
        <v/>
      </c>
      <c r="J3792" s="3">
        <f>ROUND(MIN(IF(C3792="Técnico III",35,IF(C3792="Técnico II",28,IF(C3792="Técnico I",23,IF(C3792="JR",20,IF(C3792="Estágio",10,0))))),IF(C3792="Técnico III",SUMIFS($D:$D,$A:$A,$A3792,$B:$B,"&lt;&gt;Patrícia Karla de Sousa Araújo",$B:$B,"&lt;&gt;Lorena Dias de Araujo",$B:$B,"&lt;&gt;Lucas Luiz Romero")*(35/1083),IF(C3792="Técnico II",SUMIFS($D:$D,$A:$A,$A3792,$B:$B,"&lt;&gt;Patrícia Karla de Sousa Araújo",$B:$B,"&lt;&gt;Lorena Dias de Araujo",$B:$B,"&lt;&gt;Lucas Luiz Romero")*(28/1083),IF(C3792="Técnico I",SUMIFS($D:$D,$A:$A,$A3792,$B:$B,"&lt;&gt;Patrícia Karla de Sousa Araújo",$B:$B,"&lt;&gt;Lorena Dias de Araujo",$B:$B,"&lt;&gt;Lucas Luiz Romero")*(23/1083),IF(C3792="JR",SUMIFS($D:$D,$A:$A,$A3792,$B:$B,"&lt;&gt;Patrícia Karla de Sousa Araújo",$B:$B,"&lt;&gt;Lorena Dias de Araujo",$B:$B,"&lt;&gt;Lucas Luiz Romero")*(20/1083),IF(C3792="Estágio",SUMIFS($D:$D,$A:$A,$A3792,$B:$B,"&lt;&gt;Patrícia Karla de Sousa Araújo",$B:$B,"&lt;&gt;Lorena Dias de Araujo",$B:$B,"&lt;&gt;Lucas Luiz Romero")*(10/1083),0)))))),0)</f>
        <v/>
      </c>
      <c r="K3792" s="3">
        <f>I3792-J3792</f>
        <v/>
      </c>
      <c r="L3792" s="3">
        <f>IF(K3792&lt;-5,"CRÍTICO",IF(K3792&lt;0,"ATENÇÃO",IF(K3792&lt;=5,"OPORTUNO","MUITO BOM")))</f>
        <v/>
      </c>
      <c r="N3792" t="n">
        <v>98.15000000000001</v>
      </c>
      <c r="O3792" t="n">
        <v>27.1551724137931</v>
      </c>
    </row>
    <row r="3793" hidden="1">
      <c r="A3793" s="11" t="n">
        <v>46120</v>
      </c>
      <c r="B3793" t="inlineStr">
        <is>
          <t>Leandro Oliveira de Sousa</t>
        </is>
      </c>
      <c r="C3793" t="inlineStr">
        <is>
          <t>Técnico III</t>
        </is>
      </c>
      <c r="D3793" t="n">
        <v>30</v>
      </c>
      <c r="E3793" t="n">
        <v>29</v>
      </c>
      <c r="F3793" t="n">
        <v>11.46</v>
      </c>
      <c r="G3793" t="n">
        <v>0</v>
      </c>
      <c r="H3793" t="n">
        <v>0</v>
      </c>
      <c r="I3793" s="3">
        <f>E3793+G3793+H3793</f>
        <v/>
      </c>
      <c r="J3793" s="3">
        <f>ROUND(MIN(IF(C3793="Técnico III",35,IF(C3793="Técnico II",28,IF(C3793="Técnico I",23,IF(C3793="JR",20,IF(C3793="Estágio",10,0))))),IF(C3793="Técnico III",SUMIFS($D:$D,$A:$A,$A3793,$B:$B,"&lt;&gt;Patrícia Karla de Sousa Araújo",$B:$B,"&lt;&gt;Lorena Dias de Araujo",$B:$B,"&lt;&gt;Lucas Luiz Romero")*(35/1083),IF(C3793="Técnico II",SUMIFS($D:$D,$A:$A,$A3793,$B:$B,"&lt;&gt;Patrícia Karla de Sousa Araújo",$B:$B,"&lt;&gt;Lorena Dias de Araujo",$B:$B,"&lt;&gt;Lucas Luiz Romero")*(28/1083),IF(C3793="Técnico I",SUMIFS($D:$D,$A:$A,$A3793,$B:$B,"&lt;&gt;Patrícia Karla de Sousa Araújo",$B:$B,"&lt;&gt;Lorena Dias de Araujo",$B:$B,"&lt;&gt;Lucas Luiz Romero")*(23/1083),IF(C3793="JR",SUMIFS($D:$D,$A:$A,$A3793,$B:$B,"&lt;&gt;Patrícia Karla de Sousa Araújo",$B:$B,"&lt;&gt;Lorena Dias de Araujo",$B:$B,"&lt;&gt;Lucas Luiz Romero")*(20/1083),IF(C3793="Estágio",SUMIFS($D:$D,$A:$A,$A3793,$B:$B,"&lt;&gt;Patrícia Karla de Sousa Araújo",$B:$B,"&lt;&gt;Lorena Dias de Araujo",$B:$B,"&lt;&gt;Lucas Luiz Romero")*(10/1083),0)))))),0)</f>
        <v/>
      </c>
      <c r="K3793" s="3">
        <f>I3793-J3793</f>
        <v/>
      </c>
      <c r="L3793" s="3">
        <f>IF(K3793&lt;-5,"CRÍTICO",IF(K3793&lt;0,"ATENÇÃO",IF(K3793&lt;=5,"OPORTUNO","MUITO BOM")))</f>
        <v/>
      </c>
      <c r="N3793" t="n">
        <v>99.15000000000001</v>
      </c>
      <c r="O3793" t="n">
        <v>27.37068965517241</v>
      </c>
    </row>
    <row r="3794" hidden="1">
      <c r="A3794" s="11" t="n">
        <v>46120</v>
      </c>
      <c r="B3794" t="inlineStr">
        <is>
          <t>Lizandra Gomes Duarte</t>
        </is>
      </c>
      <c r="C3794" t="inlineStr">
        <is>
          <t>Técnico II</t>
        </is>
      </c>
      <c r="D3794" t="n">
        <v>26</v>
      </c>
      <c r="E3794" t="n">
        <v>24</v>
      </c>
      <c r="F3794" t="n">
        <v>18.36</v>
      </c>
      <c r="G3794" t="n">
        <v>0</v>
      </c>
      <c r="H3794" t="n">
        <v>0</v>
      </c>
      <c r="I3794" s="3">
        <f>E3794+G3794+H3794</f>
        <v/>
      </c>
      <c r="J3794" s="3">
        <f>ROUND(MIN(IF(C3794="Técnico III",35,IF(C3794="Técnico II",28,IF(C3794="Técnico I",23,IF(C3794="JR",20,IF(C3794="Estágio",10,0))))),IF(C3794="Técnico III",SUMIFS($D:$D,$A:$A,$A3794,$B:$B,"&lt;&gt;Patrícia Karla de Sousa Araújo",$B:$B,"&lt;&gt;Lorena Dias de Araujo",$B:$B,"&lt;&gt;Lucas Luiz Romero")*(35/1083),IF(C3794="Técnico II",SUMIFS($D:$D,$A:$A,$A3794,$B:$B,"&lt;&gt;Patrícia Karla de Sousa Araújo",$B:$B,"&lt;&gt;Lorena Dias de Araujo",$B:$B,"&lt;&gt;Lucas Luiz Romero")*(28/1083),IF(C3794="Técnico I",SUMIFS($D:$D,$A:$A,$A3794,$B:$B,"&lt;&gt;Patrícia Karla de Sousa Araújo",$B:$B,"&lt;&gt;Lorena Dias de Araujo",$B:$B,"&lt;&gt;Lucas Luiz Romero")*(23/1083),IF(C3794="JR",SUMIFS($D:$D,$A:$A,$A3794,$B:$B,"&lt;&gt;Patrícia Karla de Sousa Araújo",$B:$B,"&lt;&gt;Lorena Dias de Araujo",$B:$B,"&lt;&gt;Lucas Luiz Romero")*(20/1083),IF(C3794="Estágio",SUMIFS($D:$D,$A:$A,$A3794,$B:$B,"&lt;&gt;Patrícia Karla de Sousa Araújo",$B:$B,"&lt;&gt;Lorena Dias de Araujo",$B:$B,"&lt;&gt;Lucas Luiz Romero")*(10/1083),0)))))),0)</f>
        <v/>
      </c>
      <c r="K3794" s="3">
        <f>I3794-J3794</f>
        <v/>
      </c>
      <c r="L3794" s="3">
        <f>IF(K3794&lt;-5,"CRÍTICO",IF(K3794&lt;0,"ATENÇÃO",IF(K3794&lt;=5,"OPORTUNO","MUITO BOM")))</f>
        <v/>
      </c>
      <c r="N3794" t="n">
        <v>99.17</v>
      </c>
      <c r="O3794" t="n">
        <v>29.75206611570248</v>
      </c>
    </row>
    <row r="3795" hidden="1">
      <c r="A3795" s="11" t="n">
        <v>46120</v>
      </c>
      <c r="B3795" t="inlineStr">
        <is>
          <t>Lorena Dias de Araujo</t>
        </is>
      </c>
      <c r="C3795" t="inlineStr">
        <is>
          <t>Técnico II</t>
        </is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s="3" t="n">
        <v>0</v>
      </c>
      <c r="J3795" s="3" t="n">
        <v>0</v>
      </c>
      <c r="K3795" s="3" t="n">
        <v>0</v>
      </c>
      <c r="L3795" s="3">
        <f>IF(K3795&lt;-5,"CRÍTICO",IF(K3795&lt;0,"ATENÇÃO",IF(K3795&lt;=5,"OPORTUNO","MUITO BOM")))</f>
        <v/>
      </c>
      <c r="N3795" t="n">
        <v>98.73</v>
      </c>
      <c r="O3795" t="n">
        <v>28.96174863387978</v>
      </c>
    </row>
    <row r="3796" hidden="1">
      <c r="A3796" s="11" t="n">
        <v>46120</v>
      </c>
      <c r="B3796" t="inlineStr">
        <is>
          <t>Lucas Luiz Romero</t>
        </is>
      </c>
      <c r="C3796" t="inlineStr">
        <is>
          <t>Técnico III</t>
        </is>
      </c>
      <c r="D3796" t="n">
        <v>43</v>
      </c>
      <c r="E3796" t="n">
        <v>36</v>
      </c>
      <c r="F3796" t="n">
        <v>13.47</v>
      </c>
      <c r="G3796" t="n">
        <v>0</v>
      </c>
      <c r="H3796" t="n">
        <v>0</v>
      </c>
      <c r="I3796" s="3">
        <f>E3796+G3796+H3796</f>
        <v/>
      </c>
      <c r="J3796" s="3">
        <f>ROUND(MIN(IF(C3796="Técnico III",35,IF(C3796="Técnico II",28,IF(C3796="Técnico I",23,IF(C3796="JR",20,IF(C3796="Estágio",10,0))))),IF(C3796="Técnico III",SUMIFS($D:$D,$A:$A,$A3796,$B:$B,"&lt;&gt;Patrícia Karla de Sousa Araújo",$B:$B,"&lt;&gt;Lorena Dias de Araujo",$B:$B,"&lt;&gt;Lucas Luiz Romero")*(35/1083),IF(C3796="Técnico II",SUMIFS($D:$D,$A:$A,$A3796,$B:$B,"&lt;&gt;Patrícia Karla de Sousa Araújo",$B:$B,"&lt;&gt;Lorena Dias de Araujo",$B:$B,"&lt;&gt;Lucas Luiz Romero")*(28/1083),IF(C3796="Técnico I",SUMIFS($D:$D,$A:$A,$A3796,$B:$B,"&lt;&gt;Patrícia Karla de Sousa Araújo",$B:$B,"&lt;&gt;Lorena Dias de Araujo",$B:$B,"&lt;&gt;Lucas Luiz Romero")*(23/1083),IF(C3796="JR",SUMIFS($D:$D,$A:$A,$A3796,$B:$B,"&lt;&gt;Patrícia Karla de Sousa Araújo",$B:$B,"&lt;&gt;Lorena Dias de Araujo",$B:$B,"&lt;&gt;Lucas Luiz Romero")*(20/1083),IF(C3796="Estágio",SUMIFS($D:$D,$A:$A,$A3796,$B:$B,"&lt;&gt;Patrícia Karla de Sousa Araújo",$B:$B,"&lt;&gt;Lorena Dias de Araujo",$B:$B,"&lt;&gt;Lucas Luiz Romero")*(10/1083),0)))))),0)</f>
        <v/>
      </c>
      <c r="K3796" s="3">
        <f>I3796-J3796</f>
        <v/>
      </c>
      <c r="L3796" s="3">
        <f>IF(K3796&lt;-5,"CRÍTICO",IF(K3796&lt;0,"ATENÇÃO",IF(K3796&lt;=5,"OPORTUNO","MUITO BOM")))</f>
        <v/>
      </c>
      <c r="N3796" t="n">
        <v>88.68000000000001</v>
      </c>
      <c r="O3796" t="n">
        <v>22.03389830508474</v>
      </c>
    </row>
    <row r="3797" hidden="1">
      <c r="A3797" s="11" t="n">
        <v>46120</v>
      </c>
      <c r="B3797" t="inlineStr">
        <is>
          <t>Luiz Fernando de Carvalho Junior</t>
        </is>
      </c>
      <c r="C3797" t="inlineStr">
        <is>
          <t>Técnico I</t>
        </is>
      </c>
      <c r="D3797" t="n">
        <v>32</v>
      </c>
      <c r="E3797" t="n">
        <v>26</v>
      </c>
      <c r="F3797" t="n">
        <v>13.59</v>
      </c>
      <c r="G3797" t="n">
        <v>0</v>
      </c>
      <c r="H3797" t="n">
        <v>0</v>
      </c>
      <c r="I3797" s="3">
        <f>E3797+G3797+H3797</f>
        <v/>
      </c>
      <c r="J3797" s="3">
        <f>ROUND(MIN(IF(C3797="Técnico III",35,IF(C3797="Técnico II",28,IF(C3797="Técnico I",23,IF(C3797="JR",20,IF(C3797="Estágio",10,0))))),IF(C3797="Técnico III",SUMIFS($D:$D,$A:$A,$A3797,$B:$B,"&lt;&gt;Patrícia Karla de Sousa Araújo",$B:$B,"&lt;&gt;Lorena Dias de Araujo",$B:$B,"&lt;&gt;Lucas Luiz Romero")*(35/1083),IF(C3797="Técnico II",SUMIFS($D:$D,$A:$A,$A3797,$B:$B,"&lt;&gt;Patrícia Karla de Sousa Araújo",$B:$B,"&lt;&gt;Lorena Dias de Araujo",$B:$B,"&lt;&gt;Lucas Luiz Romero")*(28/1083),IF(C3797="Técnico I",SUMIFS($D:$D,$A:$A,$A3797,$B:$B,"&lt;&gt;Patrícia Karla de Sousa Araújo",$B:$B,"&lt;&gt;Lorena Dias de Araujo",$B:$B,"&lt;&gt;Lucas Luiz Romero")*(23/1083),IF(C3797="JR",SUMIFS($D:$D,$A:$A,$A3797,$B:$B,"&lt;&gt;Patrícia Karla de Sousa Araújo",$B:$B,"&lt;&gt;Lorena Dias de Araujo",$B:$B,"&lt;&gt;Lucas Luiz Romero")*(20/1083),IF(C3797="Estágio",SUMIFS($D:$D,$A:$A,$A3797,$B:$B,"&lt;&gt;Patrícia Karla de Sousa Araújo",$B:$B,"&lt;&gt;Lorena Dias de Araujo",$B:$B,"&lt;&gt;Lucas Luiz Romero")*(10/1083),0)))))),0)</f>
        <v/>
      </c>
      <c r="K3797" s="3">
        <f>I3797-J3797</f>
        <v/>
      </c>
      <c r="L3797" s="3">
        <f>IF(K3797&lt;-5,"CRÍTICO",IF(K3797&lt;0,"ATENÇÃO",IF(K3797&lt;=5,"OPORTUNO","MUITO BOM")))</f>
        <v/>
      </c>
      <c r="N3797" t="n">
        <v>97.37</v>
      </c>
      <c r="O3797" t="n">
        <v>25.76530612244898</v>
      </c>
    </row>
    <row r="3798" hidden="1">
      <c r="A3798" s="11" t="n">
        <v>46120</v>
      </c>
      <c r="B3798" t="inlineStr">
        <is>
          <t>Maria Eduarda Sousa Costa</t>
        </is>
      </c>
      <c r="C3798" t="inlineStr">
        <is>
          <t>Estágio</t>
        </is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s="3" t="n">
        <v>0</v>
      </c>
      <c r="J3798" s="3" t="n">
        <v>0</v>
      </c>
      <c r="K3798" s="3" t="n">
        <v>0</v>
      </c>
      <c r="L3798" s="3">
        <f>IF(K3798&lt;-5,"CRÍTICO",IF(K3798&lt;0,"ATENÇÃO",IF(K3798&lt;=5,"OPORTUNO","MUITO BOM")))</f>
        <v/>
      </c>
      <c r="N3798" t="n">
        <v>100</v>
      </c>
      <c r="O3798" t="n">
        <v>25</v>
      </c>
    </row>
    <row r="3799" hidden="1">
      <c r="A3799" s="11" t="n">
        <v>46120</v>
      </c>
      <c r="B3799" t="inlineStr">
        <is>
          <t>Matheus Farias De Souza</t>
        </is>
      </c>
      <c r="C3799" t="inlineStr">
        <is>
          <t>Técnico III</t>
        </is>
      </c>
      <c r="D3799" t="n">
        <v>18</v>
      </c>
      <c r="E3799" t="n">
        <v>18</v>
      </c>
      <c r="F3799" t="n">
        <v>15.45</v>
      </c>
      <c r="G3799" t="n">
        <v>0</v>
      </c>
      <c r="H3799" t="n">
        <v>0</v>
      </c>
      <c r="I3799" s="3">
        <f>E3799+G3799+H3799</f>
        <v/>
      </c>
      <c r="J3799" s="3">
        <f>ROUND(MIN(IF(C3799="Técnico III",35,IF(C3799="Técnico II",28,IF(C3799="Técnico I",23,IF(C3799="JR",20,IF(C3799="Estágio",10,0))))),IF(C3799="Técnico III",SUMIFS($D:$D,$A:$A,$A3799,$B:$B,"&lt;&gt;Patrícia Karla de Sousa Araújo",$B:$B,"&lt;&gt;Lorena Dias de Araujo",$B:$B,"&lt;&gt;Lucas Luiz Romero")*(35/1083),IF(C3799="Técnico II",SUMIFS($D:$D,$A:$A,$A3799,$B:$B,"&lt;&gt;Patrícia Karla de Sousa Araújo",$B:$B,"&lt;&gt;Lorena Dias de Araujo",$B:$B,"&lt;&gt;Lucas Luiz Romero")*(28/1083),IF(C3799="Técnico I",SUMIFS($D:$D,$A:$A,$A3799,$B:$B,"&lt;&gt;Patrícia Karla de Sousa Araújo",$B:$B,"&lt;&gt;Lorena Dias de Araujo",$B:$B,"&lt;&gt;Lucas Luiz Romero")*(23/1083),IF(C3799="JR",SUMIFS($D:$D,$A:$A,$A3799,$B:$B,"&lt;&gt;Patrícia Karla de Sousa Araújo",$B:$B,"&lt;&gt;Lorena Dias de Araujo",$B:$B,"&lt;&gt;Lucas Luiz Romero")*(20/1083),IF(C3799="Estágio",SUMIFS($D:$D,$A:$A,$A3799,$B:$B,"&lt;&gt;Patrícia Karla de Sousa Araújo",$B:$B,"&lt;&gt;Lorena Dias de Araujo",$B:$B,"&lt;&gt;Lucas Luiz Romero")*(10/1083),0)))))),0)</f>
        <v/>
      </c>
      <c r="K3799" s="3">
        <f>I3799-J3799</f>
        <v/>
      </c>
      <c r="L3799" s="3">
        <f>IF(K3799&lt;-5,"CRÍTICO",IF(K3799&lt;0,"ATENÇÃO",IF(K3799&lt;=5,"OPORTUNO","MUITO BOM")))</f>
        <v/>
      </c>
      <c r="N3799" t="n">
        <v>100</v>
      </c>
      <c r="O3799" t="n">
        <v>23.9870340356564</v>
      </c>
    </row>
    <row r="3800" hidden="1">
      <c r="A3800" s="11" t="n">
        <v>46120</v>
      </c>
      <c r="B3800" t="inlineStr">
        <is>
          <t>Maysa Victoria Dias Moura</t>
        </is>
      </c>
      <c r="C3800" t="inlineStr">
        <is>
          <t>Técnico III</t>
        </is>
      </c>
      <c r="D3800" t="n">
        <v>40</v>
      </c>
      <c r="E3800" t="n">
        <v>37</v>
      </c>
      <c r="F3800" t="n">
        <v>14.15</v>
      </c>
      <c r="G3800" t="n">
        <v>0</v>
      </c>
      <c r="H3800" t="n">
        <v>0</v>
      </c>
      <c r="I3800" s="3">
        <f>E3800+G3800+H3800</f>
        <v/>
      </c>
      <c r="J3800" s="3">
        <f>ROUND(MIN(IF(C3800="Técnico III",35,IF(C3800="Técnico II",28,IF(C3800="Técnico I",23,IF(C3800="JR",20,IF(C3800="Estágio",10,0))))),IF(C3800="Técnico III",SUMIFS($D:$D,$A:$A,$A3800,$B:$B,"&lt;&gt;Patrícia Karla de Sousa Araújo",$B:$B,"&lt;&gt;Lorena Dias de Araujo",$B:$B,"&lt;&gt;Lucas Luiz Romero")*(35/1083),IF(C3800="Técnico II",SUMIFS($D:$D,$A:$A,$A3800,$B:$B,"&lt;&gt;Patrícia Karla de Sousa Araújo",$B:$B,"&lt;&gt;Lorena Dias de Araujo",$B:$B,"&lt;&gt;Lucas Luiz Romero")*(28/1083),IF(C3800="Técnico I",SUMIFS($D:$D,$A:$A,$A3800,$B:$B,"&lt;&gt;Patrícia Karla de Sousa Araújo",$B:$B,"&lt;&gt;Lorena Dias de Araujo",$B:$B,"&lt;&gt;Lucas Luiz Romero")*(23/1083),IF(C3800="JR",SUMIFS($D:$D,$A:$A,$A3800,$B:$B,"&lt;&gt;Patrícia Karla de Sousa Araújo",$B:$B,"&lt;&gt;Lorena Dias de Araujo",$B:$B,"&lt;&gt;Lucas Luiz Romero")*(20/1083),IF(C3800="Estágio",SUMIFS($D:$D,$A:$A,$A3800,$B:$B,"&lt;&gt;Patrícia Karla de Sousa Araújo",$B:$B,"&lt;&gt;Lorena Dias de Araujo",$B:$B,"&lt;&gt;Lucas Luiz Romero")*(10/1083),0)))))),0)</f>
        <v/>
      </c>
      <c r="K3800" s="3">
        <f>I3800-J3800</f>
        <v/>
      </c>
      <c r="L3800" s="3">
        <f>IF(K3800&lt;-5,"CRÍTICO",IF(K3800&lt;0,"ATENÇÃO",IF(K3800&lt;=5,"OPORTUNO","MUITO BOM")))</f>
        <v/>
      </c>
      <c r="N3800" t="n">
        <v>95.48999999999999</v>
      </c>
      <c r="O3800" t="n">
        <v>28.16901408450704</v>
      </c>
    </row>
    <row r="3801" hidden="1">
      <c r="A3801" s="11" t="n">
        <v>46120</v>
      </c>
      <c r="B3801" t="inlineStr">
        <is>
          <t>Michelle G Santos</t>
        </is>
      </c>
      <c r="C3801" t="inlineStr">
        <is>
          <t>Estágio</t>
        </is>
      </c>
      <c r="D3801" t="n">
        <v>6</v>
      </c>
      <c r="E3801" t="n">
        <v>5</v>
      </c>
      <c r="F3801" t="n">
        <v>20.09</v>
      </c>
      <c r="G3801" t="n">
        <v>0</v>
      </c>
      <c r="H3801" t="n">
        <v>0</v>
      </c>
      <c r="I3801" s="3">
        <f>E3801+G3801+H3801</f>
        <v/>
      </c>
      <c r="J3801" s="3">
        <f>ROUND(MIN(IF(C3801="Técnico III",35,IF(C3801="Técnico II",28,IF(C3801="Técnico I",23,IF(C3801="JR",20,IF(C3801="Estágio",10,0))))),IF(C3801="Técnico III",SUMIFS($D:$D,$A:$A,$A3801,$B:$B,"&lt;&gt;Patrícia Karla de Sousa Araújo",$B:$B,"&lt;&gt;Lorena Dias de Araujo",$B:$B,"&lt;&gt;Lucas Luiz Romero")*(35/1083),IF(C3801="Técnico II",SUMIFS($D:$D,$A:$A,$A3801,$B:$B,"&lt;&gt;Patrícia Karla de Sousa Araújo",$B:$B,"&lt;&gt;Lorena Dias de Araujo",$B:$B,"&lt;&gt;Lucas Luiz Romero")*(28/1083),IF(C3801="Técnico I",SUMIFS($D:$D,$A:$A,$A3801,$B:$B,"&lt;&gt;Patrícia Karla de Sousa Araújo",$B:$B,"&lt;&gt;Lorena Dias de Araujo",$B:$B,"&lt;&gt;Lucas Luiz Romero")*(23/1083),IF(C3801="JR",SUMIFS($D:$D,$A:$A,$A3801,$B:$B,"&lt;&gt;Patrícia Karla de Sousa Araújo",$B:$B,"&lt;&gt;Lorena Dias de Araujo",$B:$B,"&lt;&gt;Lucas Luiz Romero")*(20/1083),IF(C3801="Estágio",SUMIFS($D:$D,$A:$A,$A3801,$B:$B,"&lt;&gt;Patrícia Karla de Sousa Araújo",$B:$B,"&lt;&gt;Lorena Dias de Araujo",$B:$B,"&lt;&gt;Lucas Luiz Romero")*(10/1083),0)))))),0)</f>
        <v/>
      </c>
      <c r="K3801" s="3">
        <f>I3801-J3801</f>
        <v/>
      </c>
      <c r="L3801" s="3">
        <f>IF(K3801&lt;-5,"CRÍTICO",IF(K3801&lt;0,"ATENÇÃO",IF(K3801&lt;=5,"OPORTUNO","MUITO BOM")))</f>
        <v/>
      </c>
      <c r="N3801" t="n">
        <v>100</v>
      </c>
      <c r="O3801" t="n">
        <v>23.77622377622378</v>
      </c>
    </row>
    <row r="3802" hidden="1">
      <c r="A3802" s="11" t="n">
        <v>46120</v>
      </c>
      <c r="B3802" t="inlineStr">
        <is>
          <t>Milena Sales</t>
        </is>
      </c>
      <c r="C3802" t="inlineStr">
        <is>
          <t>JR</t>
        </is>
      </c>
      <c r="D3802" t="n">
        <v>37</v>
      </c>
      <c r="E3802" t="n">
        <v>30</v>
      </c>
      <c r="F3802" t="n">
        <v>15.08</v>
      </c>
      <c r="G3802" t="n">
        <v>0</v>
      </c>
      <c r="H3802" t="n">
        <v>0</v>
      </c>
      <c r="I3802" s="3">
        <f>E3802+G3802+H3802</f>
        <v/>
      </c>
      <c r="J3802" s="3">
        <f>ROUND(MIN(IF(C3802="Técnico III",35,IF(C3802="Técnico II",28,IF(C3802="Técnico I",23,IF(C3802="JR",20,IF(C3802="Estágio",10,0))))),IF(C3802="Técnico III",SUMIFS($D:$D,$A:$A,$A3802,$B:$B,"&lt;&gt;Patrícia Karla de Sousa Araújo",$B:$B,"&lt;&gt;Lorena Dias de Araujo",$B:$B,"&lt;&gt;Lucas Luiz Romero")*(35/1083),IF(C3802="Técnico II",SUMIFS($D:$D,$A:$A,$A3802,$B:$B,"&lt;&gt;Patrícia Karla de Sousa Araújo",$B:$B,"&lt;&gt;Lorena Dias de Araujo",$B:$B,"&lt;&gt;Lucas Luiz Romero")*(28/1083),IF(C3802="Técnico I",SUMIFS($D:$D,$A:$A,$A3802,$B:$B,"&lt;&gt;Patrícia Karla de Sousa Araújo",$B:$B,"&lt;&gt;Lorena Dias de Araujo",$B:$B,"&lt;&gt;Lucas Luiz Romero")*(23/1083),IF(C3802="JR",SUMIFS($D:$D,$A:$A,$A3802,$B:$B,"&lt;&gt;Patrícia Karla de Sousa Araújo",$B:$B,"&lt;&gt;Lorena Dias de Araujo",$B:$B,"&lt;&gt;Lucas Luiz Romero")*(20/1083),IF(C3802="Estágio",SUMIFS($D:$D,$A:$A,$A3802,$B:$B,"&lt;&gt;Patrícia Karla de Sousa Araújo",$B:$B,"&lt;&gt;Lorena Dias de Araujo",$B:$B,"&lt;&gt;Lucas Luiz Romero")*(10/1083),0)))))),0)</f>
        <v/>
      </c>
      <c r="K3802" s="3">
        <f>I3802-J3802</f>
        <v/>
      </c>
      <c r="L3802" s="3">
        <f>IF(K3802&lt;-5,"CRÍTICO",IF(K3802&lt;0,"ATENÇÃO",IF(K3802&lt;=5,"OPORTUNO","MUITO BOM")))</f>
        <v/>
      </c>
      <c r="N3802" t="n">
        <v>96.15000000000001</v>
      </c>
      <c r="O3802" t="n">
        <v>24.04580152671756</v>
      </c>
    </row>
    <row r="3803" hidden="1">
      <c r="A3803" s="11" t="n">
        <v>46120</v>
      </c>
      <c r="B3803" t="inlineStr">
        <is>
          <t>Patrícia Karla de Sousa Araújo</t>
        </is>
      </c>
      <c r="C3803" t="inlineStr">
        <is>
          <t>Técnico II</t>
        </is>
      </c>
      <c r="D3803" t="n">
        <v>8</v>
      </c>
      <c r="E3803" t="n">
        <v>8</v>
      </c>
      <c r="F3803" t="n">
        <v>33.5</v>
      </c>
      <c r="G3803" t="n">
        <v>0</v>
      </c>
      <c r="H3803" t="n">
        <v>0</v>
      </c>
      <c r="I3803" s="3">
        <f>E3803+G3803+H3803</f>
        <v/>
      </c>
      <c r="J3803" s="3">
        <f>ROUND(MIN(IF(C3803="Técnico III",35,IF(C3803="Técnico II",28,IF(C3803="Técnico I",23,IF(C3803="JR",20,IF(C3803="Estágio",10,0))))),IF(C3803="Técnico III",SUMIFS($D:$D,$A:$A,$A3803,$B:$B,"&lt;&gt;Patrícia Karla de Sousa Araújo",$B:$B,"&lt;&gt;Lorena Dias de Araujo",$B:$B,"&lt;&gt;Lucas Luiz Romero")*(35/1083),IF(C3803="Técnico II",SUMIFS($D:$D,$A:$A,$A3803,$B:$B,"&lt;&gt;Patrícia Karla de Sousa Araújo",$B:$B,"&lt;&gt;Lorena Dias de Araujo",$B:$B,"&lt;&gt;Lucas Luiz Romero")*(28/1083),IF(C3803="Técnico I",SUMIFS($D:$D,$A:$A,$A3803,$B:$B,"&lt;&gt;Patrícia Karla de Sousa Araújo",$B:$B,"&lt;&gt;Lorena Dias de Araujo",$B:$B,"&lt;&gt;Lucas Luiz Romero")*(23/1083),IF(C3803="JR",SUMIFS($D:$D,$A:$A,$A3803,$B:$B,"&lt;&gt;Patrícia Karla de Sousa Araújo",$B:$B,"&lt;&gt;Lorena Dias de Araujo",$B:$B,"&lt;&gt;Lucas Luiz Romero")*(20/1083),IF(C3803="Estágio",SUMIFS($D:$D,$A:$A,$A3803,$B:$B,"&lt;&gt;Patrícia Karla de Sousa Araújo",$B:$B,"&lt;&gt;Lorena Dias de Araujo",$B:$B,"&lt;&gt;Lucas Luiz Romero")*(10/1083),0)))))),0)</f>
        <v/>
      </c>
      <c r="K3803" s="3">
        <f>I3803-J3803</f>
        <v/>
      </c>
      <c r="L3803" s="3">
        <f>IF(K3803&lt;-5,"CRÍTICO",IF(K3803&lt;0,"ATENÇÃO",IF(K3803&lt;=5,"OPORTUNO","MUITO BOM")))</f>
        <v/>
      </c>
      <c r="N3803" t="n">
        <v>99.02</v>
      </c>
      <c r="O3803" t="n">
        <v>34.7972972972973</v>
      </c>
    </row>
    <row r="3804" hidden="1">
      <c r="A3804" s="11" t="n">
        <v>46120</v>
      </c>
      <c r="B3804" t="inlineStr">
        <is>
          <t>Paulo Ricardo Santos</t>
        </is>
      </c>
      <c r="C3804" t="inlineStr">
        <is>
          <t>JR</t>
        </is>
      </c>
      <c r="D3804" t="n">
        <v>17</v>
      </c>
      <c r="E3804" t="n">
        <v>17</v>
      </c>
      <c r="F3804" t="n">
        <v>15.54</v>
      </c>
      <c r="G3804" t="n">
        <v>0</v>
      </c>
      <c r="H3804" t="n">
        <v>0</v>
      </c>
      <c r="I3804" s="3">
        <f>E3804+G3804+H3804</f>
        <v/>
      </c>
      <c r="J3804" s="3">
        <f>ROUND(MIN(IF(C3804="Técnico III",35,IF(C3804="Técnico II",28,IF(C3804="Técnico I",23,IF(C3804="JR",20,IF(C3804="Estágio",10,0))))),IF(C3804="Técnico III",SUMIFS($D:$D,$A:$A,$A3804,$B:$B,"&lt;&gt;Patrícia Karla de Sousa Araújo",$B:$B,"&lt;&gt;Lorena Dias de Araujo",$B:$B,"&lt;&gt;Lucas Luiz Romero")*(35/1083),IF(C3804="Técnico II",SUMIFS($D:$D,$A:$A,$A3804,$B:$B,"&lt;&gt;Patrícia Karla de Sousa Araújo",$B:$B,"&lt;&gt;Lorena Dias de Araujo",$B:$B,"&lt;&gt;Lucas Luiz Romero")*(28/1083),IF(C3804="Técnico I",SUMIFS($D:$D,$A:$A,$A3804,$B:$B,"&lt;&gt;Patrícia Karla de Sousa Araújo",$B:$B,"&lt;&gt;Lorena Dias de Araujo",$B:$B,"&lt;&gt;Lucas Luiz Romero")*(23/1083),IF(C3804="JR",SUMIFS($D:$D,$A:$A,$A3804,$B:$B,"&lt;&gt;Patrícia Karla de Sousa Araújo",$B:$B,"&lt;&gt;Lorena Dias de Araujo",$B:$B,"&lt;&gt;Lucas Luiz Romero")*(20/1083),IF(C3804="Estágio",SUMIFS($D:$D,$A:$A,$A3804,$B:$B,"&lt;&gt;Patrícia Karla de Sousa Araújo",$B:$B,"&lt;&gt;Lorena Dias de Araujo",$B:$B,"&lt;&gt;Lucas Luiz Romero")*(10/1083),0)))))),0)</f>
        <v/>
      </c>
      <c r="K3804" s="3">
        <f>I3804-J3804</f>
        <v/>
      </c>
      <c r="L3804" s="3">
        <f>IF(K3804&lt;-5,"CRÍTICO",IF(K3804&lt;0,"ATENÇÃO",IF(K3804&lt;=5,"OPORTUNO","MUITO BOM")))</f>
        <v/>
      </c>
      <c r="N3804" t="n">
        <v>98.84</v>
      </c>
      <c r="O3804" t="n">
        <v>31.5018315018315</v>
      </c>
    </row>
    <row r="3805" hidden="1">
      <c r="A3805" s="11" t="n">
        <v>46120</v>
      </c>
      <c r="B3805" t="inlineStr">
        <is>
          <t>Pedro Luiz Mota Sousa</t>
        </is>
      </c>
      <c r="C3805" t="inlineStr">
        <is>
          <t>JR</t>
        </is>
      </c>
      <c r="D3805" t="n">
        <v>19</v>
      </c>
      <c r="E3805" t="n">
        <v>18</v>
      </c>
      <c r="F3805" t="n">
        <v>19.02</v>
      </c>
      <c r="G3805" t="n">
        <v>0</v>
      </c>
      <c r="H3805" t="n">
        <v>0</v>
      </c>
      <c r="I3805" s="3">
        <f>E3805+G3805+H3805</f>
        <v/>
      </c>
      <c r="J3805" s="3">
        <f>ROUND(MIN(IF(C3805="Técnico III",35,IF(C3805="Técnico II",28,IF(C3805="Técnico I",23,IF(C3805="JR",20,IF(C3805="Estágio",10,0))))),IF(C3805="Técnico III",SUMIFS($D:$D,$A:$A,$A3805,$B:$B,"&lt;&gt;Patrícia Karla de Sousa Araújo",$B:$B,"&lt;&gt;Lorena Dias de Araujo",$B:$B,"&lt;&gt;Lucas Luiz Romero")*(35/1083),IF(C3805="Técnico II",SUMIFS($D:$D,$A:$A,$A3805,$B:$B,"&lt;&gt;Patrícia Karla de Sousa Araújo",$B:$B,"&lt;&gt;Lorena Dias de Araujo",$B:$B,"&lt;&gt;Lucas Luiz Romero")*(28/1083),IF(C3805="Técnico I",SUMIFS($D:$D,$A:$A,$A3805,$B:$B,"&lt;&gt;Patrícia Karla de Sousa Araújo",$B:$B,"&lt;&gt;Lorena Dias de Araujo",$B:$B,"&lt;&gt;Lucas Luiz Romero")*(23/1083),IF(C3805="JR",SUMIFS($D:$D,$A:$A,$A3805,$B:$B,"&lt;&gt;Patrícia Karla de Sousa Araújo",$B:$B,"&lt;&gt;Lorena Dias de Araujo",$B:$B,"&lt;&gt;Lucas Luiz Romero")*(20/1083),IF(C3805="Estágio",SUMIFS($D:$D,$A:$A,$A3805,$B:$B,"&lt;&gt;Patrícia Karla de Sousa Araújo",$B:$B,"&lt;&gt;Lorena Dias de Araujo",$B:$B,"&lt;&gt;Lucas Luiz Romero")*(10/1083),0)))))),0)</f>
        <v/>
      </c>
      <c r="K3805" s="3">
        <f>I3805-J3805</f>
        <v/>
      </c>
      <c r="L3805" s="3">
        <f>IF(K3805&lt;-5,"CRÍTICO",IF(K3805&lt;0,"ATENÇÃO",IF(K3805&lt;=5,"OPORTUNO","MUITO BOM")))</f>
        <v/>
      </c>
      <c r="N3805" t="n">
        <v>100</v>
      </c>
      <c r="O3805" t="n">
        <v>34.66666666666667</v>
      </c>
    </row>
    <row r="3806" hidden="1">
      <c r="A3806" s="11" t="n">
        <v>46120</v>
      </c>
      <c r="B3806" t="inlineStr">
        <is>
          <t>Quirino Diogo Leite Torres</t>
        </is>
      </c>
      <c r="C3806" t="inlineStr">
        <is>
          <t>Estágio</t>
        </is>
      </c>
      <c r="D3806" t="n">
        <v>6</v>
      </c>
      <c r="E3806" t="n">
        <v>6</v>
      </c>
      <c r="F3806" t="n">
        <v>30</v>
      </c>
      <c r="G3806" t="n">
        <v>0</v>
      </c>
      <c r="H3806" t="n">
        <v>0</v>
      </c>
      <c r="I3806" s="3">
        <f>E3806+G3806+H3806</f>
        <v/>
      </c>
      <c r="J3806" s="3">
        <f>ROUND(MIN(IF(C3806="Técnico III",35,IF(C3806="Técnico II",28,IF(C3806="Técnico I",23,IF(C3806="JR",20,IF(C3806="Estágio",10,0))))),IF(C3806="Técnico III",SUMIFS($D:$D,$A:$A,$A3806,$B:$B,"&lt;&gt;Patrícia Karla de Sousa Araújo",$B:$B,"&lt;&gt;Lorena Dias de Araujo",$B:$B,"&lt;&gt;Lucas Luiz Romero")*(35/1083),IF(C3806="Técnico II",SUMIFS($D:$D,$A:$A,$A3806,$B:$B,"&lt;&gt;Patrícia Karla de Sousa Araújo",$B:$B,"&lt;&gt;Lorena Dias de Araujo",$B:$B,"&lt;&gt;Lucas Luiz Romero")*(28/1083),IF(C3806="Técnico I",SUMIFS($D:$D,$A:$A,$A3806,$B:$B,"&lt;&gt;Patrícia Karla de Sousa Araújo",$B:$B,"&lt;&gt;Lorena Dias de Araujo",$B:$B,"&lt;&gt;Lucas Luiz Romero")*(23/1083),IF(C3806="JR",SUMIFS($D:$D,$A:$A,$A3806,$B:$B,"&lt;&gt;Patrícia Karla de Sousa Araújo",$B:$B,"&lt;&gt;Lorena Dias de Araujo",$B:$B,"&lt;&gt;Lucas Luiz Romero")*(20/1083),IF(C3806="Estágio",SUMIFS($D:$D,$A:$A,$A3806,$B:$B,"&lt;&gt;Patrícia Karla de Sousa Araújo",$B:$B,"&lt;&gt;Lorena Dias de Araujo",$B:$B,"&lt;&gt;Lucas Luiz Romero")*(10/1083),0)))))),0)</f>
        <v/>
      </c>
      <c r="K3806" s="3">
        <f>I3806-J3806</f>
        <v/>
      </c>
      <c r="L3806" s="3">
        <f>IF(K3806&lt;-5,"CRÍTICO",IF(K3806&lt;0,"ATENÇÃO",IF(K3806&lt;=5,"OPORTUNO","MUITO BOM")))</f>
        <v/>
      </c>
      <c r="N3806" t="n">
        <v>94.12</v>
      </c>
      <c r="O3806" t="n">
        <v>32.8</v>
      </c>
    </row>
    <row r="3807" hidden="1">
      <c r="A3807" s="11" t="n">
        <v>46120</v>
      </c>
      <c r="B3807" t="inlineStr">
        <is>
          <t>Raane Batista Matos</t>
        </is>
      </c>
      <c r="C3807" t="inlineStr">
        <is>
          <t>Técnico I</t>
        </is>
      </c>
      <c r="D3807" t="n">
        <v>30</v>
      </c>
      <c r="E3807" t="n">
        <v>29</v>
      </c>
      <c r="F3807" t="n">
        <v>10.56</v>
      </c>
      <c r="G3807" t="n">
        <v>0</v>
      </c>
      <c r="H3807" t="n">
        <v>0</v>
      </c>
      <c r="I3807" s="3">
        <f>E3807+G3807+H3807</f>
        <v/>
      </c>
      <c r="J3807" s="3">
        <f>ROUND(MIN(IF(C3807="Técnico III",35,IF(C3807="Técnico II",28,IF(C3807="Técnico I",23,IF(C3807="JR",20,IF(C3807="Estágio",10,0))))),IF(C3807="Técnico III",SUMIFS($D:$D,$A:$A,$A3807,$B:$B,"&lt;&gt;Patrícia Karla de Sousa Araújo",$B:$B,"&lt;&gt;Lorena Dias de Araujo",$B:$B,"&lt;&gt;Lucas Luiz Romero")*(35/1083),IF(C3807="Técnico II",SUMIFS($D:$D,$A:$A,$A3807,$B:$B,"&lt;&gt;Patrícia Karla de Sousa Araújo",$B:$B,"&lt;&gt;Lorena Dias de Araujo",$B:$B,"&lt;&gt;Lucas Luiz Romero")*(28/1083),IF(C3807="Técnico I",SUMIFS($D:$D,$A:$A,$A3807,$B:$B,"&lt;&gt;Patrícia Karla de Sousa Araújo",$B:$B,"&lt;&gt;Lorena Dias de Araujo",$B:$B,"&lt;&gt;Lucas Luiz Romero")*(23/1083),IF(C3807="JR",SUMIFS($D:$D,$A:$A,$A3807,$B:$B,"&lt;&gt;Patrícia Karla de Sousa Araújo",$B:$B,"&lt;&gt;Lorena Dias de Araujo",$B:$B,"&lt;&gt;Lucas Luiz Romero")*(20/1083),IF(C3807="Estágio",SUMIFS($D:$D,$A:$A,$A3807,$B:$B,"&lt;&gt;Patrícia Karla de Sousa Araújo",$B:$B,"&lt;&gt;Lorena Dias de Araujo",$B:$B,"&lt;&gt;Lucas Luiz Romero")*(10/1083),0)))))),0)</f>
        <v/>
      </c>
      <c r="K3807" s="3">
        <f>I3807-J3807</f>
        <v/>
      </c>
      <c r="L3807" s="3">
        <f>IF(K3807&lt;-5,"CRÍTICO",IF(K3807&lt;0,"ATENÇÃO",IF(K3807&lt;=5,"OPORTUNO","MUITO BOM")))</f>
        <v/>
      </c>
      <c r="N3807" t="n">
        <v>98.31999999999999</v>
      </c>
      <c r="O3807" t="n">
        <v>26.61870503597122</v>
      </c>
    </row>
    <row r="3808" hidden="1">
      <c r="A3808" s="11" t="n">
        <v>46120</v>
      </c>
      <c r="B3808" t="inlineStr">
        <is>
          <t>Rafael Gomes de Morais</t>
        </is>
      </c>
      <c r="C3808" t="inlineStr">
        <is>
          <t>Técnico III</t>
        </is>
      </c>
      <c r="D3808" t="n">
        <v>45</v>
      </c>
      <c r="E3808" t="n">
        <v>39</v>
      </c>
      <c r="F3808" t="n">
        <v>11.49</v>
      </c>
      <c r="G3808" t="n">
        <v>0</v>
      </c>
      <c r="H3808" t="n">
        <v>0</v>
      </c>
      <c r="I3808" s="3">
        <f>E3808+G3808+H3808</f>
        <v/>
      </c>
      <c r="J3808" s="3">
        <f>ROUND(MIN(IF(C3808="Técnico III",35,IF(C3808="Técnico II",28,IF(C3808="Técnico I",23,IF(C3808="JR",20,IF(C3808="Estágio",10,0))))),IF(C3808="Técnico III",SUMIFS($D:$D,$A:$A,$A3808,$B:$B,"&lt;&gt;Patrícia Karla de Sousa Araújo",$B:$B,"&lt;&gt;Lorena Dias de Araujo",$B:$B,"&lt;&gt;Lucas Luiz Romero")*(35/1083),IF(C3808="Técnico II",SUMIFS($D:$D,$A:$A,$A3808,$B:$B,"&lt;&gt;Patrícia Karla de Sousa Araújo",$B:$B,"&lt;&gt;Lorena Dias de Araujo",$B:$B,"&lt;&gt;Lucas Luiz Romero")*(28/1083),IF(C3808="Técnico I",SUMIFS($D:$D,$A:$A,$A3808,$B:$B,"&lt;&gt;Patrícia Karla de Sousa Araújo",$B:$B,"&lt;&gt;Lorena Dias de Araujo",$B:$B,"&lt;&gt;Lucas Luiz Romero")*(23/1083),IF(C3808="JR",SUMIFS($D:$D,$A:$A,$A3808,$B:$B,"&lt;&gt;Patrícia Karla de Sousa Araújo",$B:$B,"&lt;&gt;Lorena Dias de Araujo",$B:$B,"&lt;&gt;Lucas Luiz Romero")*(20/1083),IF(C3808="Estágio",SUMIFS($D:$D,$A:$A,$A3808,$B:$B,"&lt;&gt;Patrícia Karla de Sousa Araújo",$B:$B,"&lt;&gt;Lorena Dias de Araujo",$B:$B,"&lt;&gt;Lucas Luiz Romero")*(10/1083),0)))))),0)</f>
        <v/>
      </c>
      <c r="K3808" s="3">
        <f>I3808-J3808</f>
        <v/>
      </c>
      <c r="L3808" s="3">
        <f>IF(K3808&lt;-5,"CRÍTICO",IF(K3808&lt;0,"ATENÇÃO",IF(K3808&lt;=5,"OPORTUNO","MUITO BOM")))</f>
        <v/>
      </c>
      <c r="N3808" t="n">
        <v>100</v>
      </c>
      <c r="O3808" t="n">
        <v>31.13553113553114</v>
      </c>
    </row>
    <row r="3809" hidden="1">
      <c r="A3809" s="11" t="n">
        <v>46120</v>
      </c>
      <c r="B3809" t="inlineStr">
        <is>
          <t>Sara Maria Monteiro Lopes</t>
        </is>
      </c>
      <c r="C3809" t="inlineStr">
        <is>
          <t>Técnico I</t>
        </is>
      </c>
      <c r="D3809" t="n">
        <v>24</v>
      </c>
      <c r="E3809" t="n">
        <v>23</v>
      </c>
      <c r="F3809" t="n">
        <v>24.07</v>
      </c>
      <c r="G3809" t="n">
        <v>0</v>
      </c>
      <c r="H3809" t="n">
        <v>0</v>
      </c>
      <c r="I3809" s="3">
        <f>E3809+G3809+H3809</f>
        <v/>
      </c>
      <c r="J3809" s="3">
        <f>ROUND(MIN(IF(C3809="Técnico III",35,IF(C3809="Técnico II",28,IF(C3809="Técnico I",23,IF(C3809="JR",20,IF(C3809="Estágio",10,0))))),IF(C3809="Técnico III",SUMIFS($D:$D,$A:$A,$A3809,$B:$B,"&lt;&gt;Patrícia Karla de Sousa Araújo",$B:$B,"&lt;&gt;Lorena Dias de Araujo",$B:$B,"&lt;&gt;Lucas Luiz Romero")*(35/1083),IF(C3809="Técnico II",SUMIFS($D:$D,$A:$A,$A3809,$B:$B,"&lt;&gt;Patrícia Karla de Sousa Araújo",$B:$B,"&lt;&gt;Lorena Dias de Araujo",$B:$B,"&lt;&gt;Lucas Luiz Romero")*(28/1083),IF(C3809="Técnico I",SUMIFS($D:$D,$A:$A,$A3809,$B:$B,"&lt;&gt;Patrícia Karla de Sousa Araújo",$B:$B,"&lt;&gt;Lorena Dias de Araujo",$B:$B,"&lt;&gt;Lucas Luiz Romero")*(23/1083),IF(C3809="JR",SUMIFS($D:$D,$A:$A,$A3809,$B:$B,"&lt;&gt;Patrícia Karla de Sousa Araújo",$B:$B,"&lt;&gt;Lorena Dias de Araujo",$B:$B,"&lt;&gt;Lucas Luiz Romero")*(20/1083),IF(C3809="Estágio",SUMIFS($D:$D,$A:$A,$A3809,$B:$B,"&lt;&gt;Patrícia Karla de Sousa Araújo",$B:$B,"&lt;&gt;Lorena Dias de Araujo",$B:$B,"&lt;&gt;Lucas Luiz Romero")*(10/1083),0)))))),0)</f>
        <v/>
      </c>
      <c r="K3809" s="3">
        <f>I3809-J3809</f>
        <v/>
      </c>
      <c r="L3809" s="3">
        <f>IF(K3809&lt;-5,"CRÍTICO",IF(K3809&lt;0,"ATENÇÃO",IF(K3809&lt;=5,"OPORTUNO","MUITO BOM")))</f>
        <v/>
      </c>
      <c r="N3809" t="n">
        <v>100</v>
      </c>
      <c r="O3809" t="n">
        <v>26.02739726027397</v>
      </c>
    </row>
    <row r="3810" hidden="1">
      <c r="A3810" s="11" t="n">
        <v>46120</v>
      </c>
      <c r="B3810" t="inlineStr">
        <is>
          <t>Sarah Steffanie de Lima Borges</t>
        </is>
      </c>
      <c r="C3810" t="inlineStr">
        <is>
          <t>Técnico III</t>
        </is>
      </c>
      <c r="D3810" t="n">
        <v>26</v>
      </c>
      <c r="E3810" t="n">
        <v>25</v>
      </c>
      <c r="F3810" t="n">
        <v>18.42</v>
      </c>
      <c r="G3810" t="n">
        <v>0</v>
      </c>
      <c r="H3810" t="n">
        <v>0</v>
      </c>
      <c r="I3810" s="3">
        <f>E3810+G3810+H3810</f>
        <v/>
      </c>
      <c r="J3810" s="3">
        <f>ROUND(MIN(IF(C3810="Técnico III",35,IF(C3810="Técnico II",28,IF(C3810="Técnico I",23,IF(C3810="JR",20,IF(C3810="Estágio",10,0))))),IF(C3810="Técnico III",SUMIFS($D:$D,$A:$A,$A3810,$B:$B,"&lt;&gt;Patrícia Karla de Sousa Araújo",$B:$B,"&lt;&gt;Lorena Dias de Araujo",$B:$B,"&lt;&gt;Lucas Luiz Romero")*(35/1083),IF(C3810="Técnico II",SUMIFS($D:$D,$A:$A,$A3810,$B:$B,"&lt;&gt;Patrícia Karla de Sousa Araújo",$B:$B,"&lt;&gt;Lorena Dias de Araujo",$B:$B,"&lt;&gt;Lucas Luiz Romero")*(28/1083),IF(C3810="Técnico I",SUMIFS($D:$D,$A:$A,$A3810,$B:$B,"&lt;&gt;Patrícia Karla de Sousa Araújo",$B:$B,"&lt;&gt;Lorena Dias de Araujo",$B:$B,"&lt;&gt;Lucas Luiz Romero")*(23/1083),IF(C3810="JR",SUMIFS($D:$D,$A:$A,$A3810,$B:$B,"&lt;&gt;Patrícia Karla de Sousa Araújo",$B:$B,"&lt;&gt;Lorena Dias de Araujo",$B:$B,"&lt;&gt;Lucas Luiz Romero")*(20/1083),IF(C3810="Estágio",SUMIFS($D:$D,$A:$A,$A3810,$B:$B,"&lt;&gt;Patrícia Karla de Sousa Araújo",$B:$B,"&lt;&gt;Lorena Dias de Araujo",$B:$B,"&lt;&gt;Lucas Luiz Romero")*(10/1083),0)))))),0)</f>
        <v/>
      </c>
      <c r="K3810" s="3">
        <f>I3810-J3810</f>
        <v/>
      </c>
      <c r="L3810" s="3">
        <f>IF(K3810&lt;-5,"CRÍTICO",IF(K3810&lt;0,"ATENÇÃO",IF(K3810&lt;=5,"OPORTUNO","MUITO BOM")))</f>
        <v/>
      </c>
      <c r="N3810" t="n">
        <v>99.20999999999999</v>
      </c>
      <c r="O3810" t="n">
        <v>24.93702770780856</v>
      </c>
    </row>
    <row r="3811" hidden="1">
      <c r="A3811" s="11" t="n">
        <v>46121</v>
      </c>
      <c r="B3811" t="inlineStr">
        <is>
          <t>Alisson de Freitas Silva</t>
        </is>
      </c>
      <c r="C3811" t="inlineStr">
        <is>
          <t>Técnico II</t>
        </is>
      </c>
      <c r="D3811" t="n">
        <v>15</v>
      </c>
      <c r="E3811" t="n">
        <v>11</v>
      </c>
      <c r="F3811" t="n">
        <v>15.24</v>
      </c>
      <c r="G3811" t="n">
        <v>0</v>
      </c>
      <c r="H3811" t="n">
        <v>0</v>
      </c>
      <c r="I3811" s="3">
        <f>E3811+G3811+H3811</f>
        <v/>
      </c>
      <c r="J3811" s="3">
        <f>ROUND(MIN(IF(C3811="Técnico III",35,IF(C3811="Técnico II",28,IF(C3811="Técnico I",23,IF(C3811="JR",20,IF(C3811="Estágio",10,0))))),IF(C3811="Técnico III",SUMIFS($D:$D,$A:$A,$A3811,$B:$B,"&lt;&gt;Patrícia Karla de Sousa Araújo",$B:$B,"&lt;&gt;Lorena Dias de Araujo",$B:$B,"&lt;&gt;Lucas Luiz Romero")*(35/1083),IF(C3811="Técnico II",SUMIFS($D:$D,$A:$A,$A3811,$B:$B,"&lt;&gt;Patrícia Karla de Sousa Araújo",$B:$B,"&lt;&gt;Lorena Dias de Araujo",$B:$B,"&lt;&gt;Lucas Luiz Romero")*(28/1083),IF(C3811="Técnico I",SUMIFS($D:$D,$A:$A,$A3811,$B:$B,"&lt;&gt;Patrícia Karla de Sousa Araújo",$B:$B,"&lt;&gt;Lorena Dias de Araujo",$B:$B,"&lt;&gt;Lucas Luiz Romero")*(23/1083),IF(C3811="JR",SUMIFS($D:$D,$A:$A,$A3811,$B:$B,"&lt;&gt;Patrícia Karla de Sousa Araújo",$B:$B,"&lt;&gt;Lorena Dias de Araujo",$B:$B,"&lt;&gt;Lucas Luiz Romero")*(20/1083),IF(C3811="Estágio",SUMIFS($D:$D,$A:$A,$A3811,$B:$B,"&lt;&gt;Patrícia Karla de Sousa Araújo",$B:$B,"&lt;&gt;Lorena Dias de Araujo",$B:$B,"&lt;&gt;Lucas Luiz Romero")*(10/1083),0)))))),0)</f>
        <v/>
      </c>
      <c r="K3811" s="3">
        <f>I3811-J3811</f>
        <v/>
      </c>
      <c r="L3811" s="3">
        <f>IF(K3811&lt;-5,"CRÍTICO",IF(K3811&lt;0,"ATENÇÃO",IF(K3811&lt;=5,"OPORTUNO","MUITO BOM")))</f>
        <v/>
      </c>
      <c r="N3811" t="n">
        <v>100</v>
      </c>
      <c r="O3811" t="n">
        <v>32.76450511945392</v>
      </c>
    </row>
    <row r="3812" hidden="1">
      <c r="A3812" s="11" t="n">
        <v>46121</v>
      </c>
      <c r="B3812" t="inlineStr">
        <is>
          <t>Amanda Moura Ferreira</t>
        </is>
      </c>
      <c r="C3812" t="inlineStr">
        <is>
          <t>Técnico III</t>
        </is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s="3" t="n">
        <v>0</v>
      </c>
      <c r="J3812" s="3" t="n">
        <v>0</v>
      </c>
      <c r="K3812" s="3" t="n">
        <v>0</v>
      </c>
      <c r="L3812" s="3">
        <f>IF(K3812&lt;-5,"CRÍTICO",IF(K3812&lt;0,"ATENÇÃO",IF(K3812&lt;=5,"OPORTUNO","MUITO BOM")))</f>
        <v/>
      </c>
      <c r="N3812" t="n">
        <v>98.66</v>
      </c>
      <c r="O3812" t="n">
        <v>35.15625</v>
      </c>
    </row>
    <row r="3813" hidden="1">
      <c r="A3813" s="11" t="n">
        <v>46121</v>
      </c>
      <c r="B3813" t="inlineStr">
        <is>
          <t>Ana Karollyne Souza Faria</t>
        </is>
      </c>
      <c r="C3813" t="inlineStr">
        <is>
          <t>Técnico I</t>
        </is>
      </c>
      <c r="D3813" t="n">
        <v>24</v>
      </c>
      <c r="E3813" t="n">
        <v>20</v>
      </c>
      <c r="F3813" t="n">
        <v>17.11</v>
      </c>
      <c r="G3813" t="n">
        <v>0</v>
      </c>
      <c r="H3813" t="n">
        <v>0</v>
      </c>
      <c r="I3813" s="3">
        <f>E3813+G3813+H3813</f>
        <v/>
      </c>
      <c r="J3813" s="3">
        <f>ROUND(MIN(IF(C3813="Técnico III",35,IF(C3813="Técnico II",28,IF(C3813="Técnico I",23,IF(C3813="JR",20,IF(C3813="Estágio",10,0))))),IF(C3813="Técnico III",SUMIFS($D:$D,$A:$A,$A3813,$B:$B,"&lt;&gt;Patrícia Karla de Sousa Araújo",$B:$B,"&lt;&gt;Lorena Dias de Araujo",$B:$B,"&lt;&gt;Lucas Luiz Romero")*(35/1083),IF(C3813="Técnico II",SUMIFS($D:$D,$A:$A,$A3813,$B:$B,"&lt;&gt;Patrícia Karla de Sousa Araújo",$B:$B,"&lt;&gt;Lorena Dias de Araujo",$B:$B,"&lt;&gt;Lucas Luiz Romero")*(28/1083),IF(C3813="Técnico I",SUMIFS($D:$D,$A:$A,$A3813,$B:$B,"&lt;&gt;Patrícia Karla de Sousa Araújo",$B:$B,"&lt;&gt;Lorena Dias de Araujo",$B:$B,"&lt;&gt;Lucas Luiz Romero")*(23/1083),IF(C3813="JR",SUMIFS($D:$D,$A:$A,$A3813,$B:$B,"&lt;&gt;Patrícia Karla de Sousa Araújo",$B:$B,"&lt;&gt;Lorena Dias de Araujo",$B:$B,"&lt;&gt;Lucas Luiz Romero")*(20/1083),IF(C3813="Estágio",SUMIFS($D:$D,$A:$A,$A3813,$B:$B,"&lt;&gt;Patrícia Karla de Sousa Araújo",$B:$B,"&lt;&gt;Lorena Dias de Araujo",$B:$B,"&lt;&gt;Lucas Luiz Romero")*(10/1083),0)))))),0)</f>
        <v/>
      </c>
      <c r="K3813" s="3">
        <f>I3813-J3813</f>
        <v/>
      </c>
      <c r="L3813" s="3">
        <f>IF(K3813&lt;-5,"CRÍTICO",IF(K3813&lt;0,"ATENÇÃO",IF(K3813&lt;=5,"OPORTUNO","MUITO BOM")))</f>
        <v/>
      </c>
      <c r="N3813" t="n">
        <v>99.31999999999999</v>
      </c>
      <c r="O3813" t="n">
        <v>30.45186640471513</v>
      </c>
    </row>
    <row r="3814" hidden="1">
      <c r="A3814" s="11" t="n">
        <v>46121</v>
      </c>
      <c r="B3814" t="inlineStr">
        <is>
          <t>Ana Paula Da Luz Silva Aleixo</t>
        </is>
      </c>
      <c r="C3814" t="inlineStr">
        <is>
          <t>Técnico III</t>
        </is>
      </c>
      <c r="D3814" t="n">
        <v>23</v>
      </c>
      <c r="E3814" t="n">
        <v>21</v>
      </c>
      <c r="F3814" t="n">
        <v>11.42</v>
      </c>
      <c r="G3814" t="n">
        <v>0</v>
      </c>
      <c r="H3814" t="n">
        <v>0</v>
      </c>
      <c r="I3814" s="3">
        <f>E3814+G3814+H3814</f>
        <v/>
      </c>
      <c r="J3814" s="3">
        <f>ROUND(MIN(IF(C3814="Técnico III",35,IF(C3814="Técnico II",28,IF(C3814="Técnico I",23,IF(C3814="JR",20,IF(C3814="Estágio",10,0))))),IF(C3814="Técnico III",SUMIFS($D:$D,$A:$A,$A3814,$B:$B,"&lt;&gt;Patrícia Karla de Sousa Araújo",$B:$B,"&lt;&gt;Lorena Dias de Araujo",$B:$B,"&lt;&gt;Lucas Luiz Romero")*(35/1083),IF(C3814="Técnico II",SUMIFS($D:$D,$A:$A,$A3814,$B:$B,"&lt;&gt;Patrícia Karla de Sousa Araújo",$B:$B,"&lt;&gt;Lorena Dias de Araujo",$B:$B,"&lt;&gt;Lucas Luiz Romero")*(28/1083),IF(C3814="Técnico I",SUMIFS($D:$D,$A:$A,$A3814,$B:$B,"&lt;&gt;Patrícia Karla de Sousa Araújo",$B:$B,"&lt;&gt;Lorena Dias de Araujo",$B:$B,"&lt;&gt;Lucas Luiz Romero")*(23/1083),IF(C3814="JR",SUMIFS($D:$D,$A:$A,$A3814,$B:$B,"&lt;&gt;Patrícia Karla de Sousa Araújo",$B:$B,"&lt;&gt;Lorena Dias de Araujo",$B:$B,"&lt;&gt;Lucas Luiz Romero")*(20/1083),IF(C3814="Estágio",SUMIFS($D:$D,$A:$A,$A3814,$B:$B,"&lt;&gt;Patrícia Karla de Sousa Araújo",$B:$B,"&lt;&gt;Lorena Dias de Araujo",$B:$B,"&lt;&gt;Lucas Luiz Romero")*(10/1083),0)))))),0)</f>
        <v/>
      </c>
      <c r="K3814" s="3">
        <f>I3814-J3814</f>
        <v/>
      </c>
      <c r="L3814" s="3">
        <f>IF(K3814&lt;-5,"CRÍTICO",IF(K3814&lt;0,"ATENÇÃO",IF(K3814&lt;=5,"OPORTUNO","MUITO BOM")))</f>
        <v/>
      </c>
      <c r="N3814" t="n">
        <v>100</v>
      </c>
      <c r="O3814" t="n">
        <v>27.80373831775701</v>
      </c>
    </row>
    <row r="3815" hidden="1">
      <c r="A3815" s="11" t="n">
        <v>46121</v>
      </c>
      <c r="B3815" t="inlineStr">
        <is>
          <t>Anna Luiza Rezende Tavares</t>
        </is>
      </c>
      <c r="C3815" t="inlineStr">
        <is>
          <t>Estágio</t>
        </is>
      </c>
      <c r="D3815" t="n">
        <v>17</v>
      </c>
      <c r="E3815" t="n">
        <v>17</v>
      </c>
      <c r="F3815" t="n">
        <v>13.5</v>
      </c>
      <c r="G3815" t="n">
        <v>0</v>
      </c>
      <c r="H3815" t="n">
        <v>0</v>
      </c>
      <c r="I3815" s="3">
        <f>E3815+G3815+H3815</f>
        <v/>
      </c>
      <c r="J3815" s="3">
        <f>ROUND(MIN(IF(C3815="Técnico III",35,IF(C3815="Técnico II",28,IF(C3815="Técnico I",23,IF(C3815="JR",20,IF(C3815="Estágio",10,0))))),IF(C3815="Técnico III",SUMIFS($D:$D,$A:$A,$A3815,$B:$B,"&lt;&gt;Patrícia Karla de Sousa Araújo",$B:$B,"&lt;&gt;Lorena Dias de Araujo",$B:$B,"&lt;&gt;Lucas Luiz Romero")*(35/1083),IF(C3815="Técnico II",SUMIFS($D:$D,$A:$A,$A3815,$B:$B,"&lt;&gt;Patrícia Karla de Sousa Araújo",$B:$B,"&lt;&gt;Lorena Dias de Araujo",$B:$B,"&lt;&gt;Lucas Luiz Romero")*(28/1083),IF(C3815="Técnico I",SUMIFS($D:$D,$A:$A,$A3815,$B:$B,"&lt;&gt;Patrícia Karla de Sousa Araújo",$B:$B,"&lt;&gt;Lorena Dias de Araujo",$B:$B,"&lt;&gt;Lucas Luiz Romero")*(23/1083),IF(C3815="JR",SUMIFS($D:$D,$A:$A,$A3815,$B:$B,"&lt;&gt;Patrícia Karla de Sousa Araújo",$B:$B,"&lt;&gt;Lorena Dias de Araujo",$B:$B,"&lt;&gt;Lucas Luiz Romero")*(20/1083),IF(C3815="Estágio",SUMIFS($D:$D,$A:$A,$A3815,$B:$B,"&lt;&gt;Patrícia Karla de Sousa Araújo",$B:$B,"&lt;&gt;Lorena Dias de Araujo",$B:$B,"&lt;&gt;Lucas Luiz Romero")*(10/1083),0)))))),0)</f>
        <v/>
      </c>
      <c r="K3815" s="3">
        <f>I3815-J3815</f>
        <v/>
      </c>
      <c r="L3815" s="3">
        <f>IF(K3815&lt;-5,"CRÍTICO",IF(K3815&lt;0,"ATENÇÃO",IF(K3815&lt;=5,"OPORTUNO","MUITO BOM")))</f>
        <v/>
      </c>
      <c r="N3815" t="n">
        <v>96.73999999999999</v>
      </c>
      <c r="O3815" t="n">
        <v>28.43137254901961</v>
      </c>
    </row>
    <row r="3816" hidden="1">
      <c r="A3816" s="11" t="n">
        <v>46121</v>
      </c>
      <c r="B3816" t="inlineStr">
        <is>
          <t>Brenda de Menezes Silva</t>
        </is>
      </c>
      <c r="C3816" t="inlineStr">
        <is>
          <t>Técnico II</t>
        </is>
      </c>
      <c r="D3816" t="n">
        <v>40</v>
      </c>
      <c r="E3816" t="n">
        <v>34</v>
      </c>
      <c r="F3816" t="n">
        <v>15.01</v>
      </c>
      <c r="G3816" t="n">
        <v>0</v>
      </c>
      <c r="H3816" t="n">
        <v>0</v>
      </c>
      <c r="I3816" s="3">
        <f>E3816+G3816+H3816</f>
        <v/>
      </c>
      <c r="J3816" s="3">
        <f>ROUND(MIN(IF(C3816="Técnico III",35,IF(C3816="Técnico II",28,IF(C3816="Técnico I",23,IF(C3816="JR",20,IF(C3816="Estágio",10,0))))),IF(C3816="Técnico III",SUMIFS($D:$D,$A:$A,$A3816,$B:$B,"&lt;&gt;Patrícia Karla de Sousa Araújo",$B:$B,"&lt;&gt;Lorena Dias de Araujo",$B:$B,"&lt;&gt;Lucas Luiz Romero")*(35/1083),IF(C3816="Técnico II",SUMIFS($D:$D,$A:$A,$A3816,$B:$B,"&lt;&gt;Patrícia Karla de Sousa Araújo",$B:$B,"&lt;&gt;Lorena Dias de Araujo",$B:$B,"&lt;&gt;Lucas Luiz Romero")*(28/1083),IF(C3816="Técnico I",SUMIFS($D:$D,$A:$A,$A3816,$B:$B,"&lt;&gt;Patrícia Karla de Sousa Araújo",$B:$B,"&lt;&gt;Lorena Dias de Araujo",$B:$B,"&lt;&gt;Lucas Luiz Romero")*(23/1083),IF(C3816="JR",SUMIFS($D:$D,$A:$A,$A3816,$B:$B,"&lt;&gt;Patrícia Karla de Sousa Araújo",$B:$B,"&lt;&gt;Lorena Dias de Araujo",$B:$B,"&lt;&gt;Lucas Luiz Romero")*(20/1083),IF(C3816="Estágio",SUMIFS($D:$D,$A:$A,$A3816,$B:$B,"&lt;&gt;Patrícia Karla de Sousa Araújo",$B:$B,"&lt;&gt;Lorena Dias de Araujo",$B:$B,"&lt;&gt;Lucas Luiz Romero")*(10/1083),0)))))),0)</f>
        <v/>
      </c>
      <c r="K3816" s="3">
        <f>I3816-J3816</f>
        <v/>
      </c>
      <c r="L3816" s="3">
        <f>IF(K3816&lt;-5,"CRÍTICO",IF(K3816&lt;0,"ATENÇÃO",IF(K3816&lt;=5,"OPORTUNO","MUITO BOM")))</f>
        <v/>
      </c>
      <c r="N3816" t="n">
        <v>98.81999999999999</v>
      </c>
      <c r="O3816" t="n">
        <v>30.74141048824593</v>
      </c>
    </row>
    <row r="3817" hidden="1">
      <c r="A3817" s="11" t="n">
        <v>46121</v>
      </c>
      <c r="B3817" t="inlineStr">
        <is>
          <t>Carlos Mateus Cassimiro Nunes</t>
        </is>
      </c>
      <c r="C3817" t="inlineStr">
        <is>
          <t>Técnico II</t>
        </is>
      </c>
      <c r="D3817" t="n">
        <v>20</v>
      </c>
      <c r="E3817" t="n">
        <v>19</v>
      </c>
      <c r="F3817" t="n">
        <v>30.22</v>
      </c>
      <c r="G3817" t="n">
        <v>0</v>
      </c>
      <c r="H3817" t="n">
        <v>0</v>
      </c>
      <c r="I3817" s="3">
        <f>E3817+G3817+H3817</f>
        <v/>
      </c>
      <c r="J3817" s="3">
        <f>ROUND(MIN(IF(C3817="Técnico III",35,IF(C3817="Técnico II",28,IF(C3817="Técnico I",23,IF(C3817="JR",20,IF(C3817="Estágio",10,0))))),IF(C3817="Técnico III",SUMIFS($D:$D,$A:$A,$A3817,$B:$B,"&lt;&gt;Patrícia Karla de Sousa Araújo",$B:$B,"&lt;&gt;Lorena Dias de Araujo",$B:$B,"&lt;&gt;Lucas Luiz Romero")*(35/1083),IF(C3817="Técnico II",SUMIFS($D:$D,$A:$A,$A3817,$B:$B,"&lt;&gt;Patrícia Karla de Sousa Araújo",$B:$B,"&lt;&gt;Lorena Dias de Araujo",$B:$B,"&lt;&gt;Lucas Luiz Romero")*(28/1083),IF(C3817="Técnico I",SUMIFS($D:$D,$A:$A,$A3817,$B:$B,"&lt;&gt;Patrícia Karla de Sousa Araújo",$B:$B,"&lt;&gt;Lorena Dias de Araujo",$B:$B,"&lt;&gt;Lucas Luiz Romero")*(23/1083),IF(C3817="JR",SUMIFS($D:$D,$A:$A,$A3817,$B:$B,"&lt;&gt;Patrícia Karla de Sousa Araújo",$B:$B,"&lt;&gt;Lorena Dias de Araujo",$B:$B,"&lt;&gt;Lucas Luiz Romero")*(20/1083),IF(C3817="Estágio",SUMIFS($D:$D,$A:$A,$A3817,$B:$B,"&lt;&gt;Patrícia Karla de Sousa Araújo",$B:$B,"&lt;&gt;Lorena Dias de Araujo",$B:$B,"&lt;&gt;Lucas Luiz Romero")*(10/1083),0)))))),0)</f>
        <v/>
      </c>
      <c r="K3817" s="3">
        <f>I3817-J3817</f>
        <v/>
      </c>
      <c r="L3817" s="3">
        <f>IF(K3817&lt;-5,"CRÍTICO",IF(K3817&lt;0,"ATENÇÃO",IF(K3817&lt;=5,"OPORTUNO","MUITO BOM")))</f>
        <v/>
      </c>
      <c r="N3817" t="n">
        <v>98.2</v>
      </c>
      <c r="O3817" t="n">
        <v>26.89075630252101</v>
      </c>
    </row>
    <row r="3818" hidden="1">
      <c r="A3818" s="11" t="n">
        <v>46121</v>
      </c>
      <c r="B3818" t="inlineStr">
        <is>
          <t>Claudio de Sousa Velasco Filho</t>
        </is>
      </c>
      <c r="C3818" t="inlineStr">
        <is>
          <t>Estágio</t>
        </is>
      </c>
      <c r="D3818" t="n">
        <v>7</v>
      </c>
      <c r="E3818" t="n">
        <v>6</v>
      </c>
      <c r="F3818" t="n">
        <v>38.4</v>
      </c>
      <c r="G3818" t="n">
        <v>0</v>
      </c>
      <c r="H3818" t="n">
        <v>0</v>
      </c>
      <c r="I3818" s="3">
        <f>E3818+G3818+H3818</f>
        <v/>
      </c>
      <c r="J3818" s="3">
        <f>ROUND(MIN(IF(C3818="Técnico III",35,IF(C3818="Técnico II",28,IF(C3818="Técnico I",23,IF(C3818="JR",20,IF(C3818="Estágio",10,0))))),IF(C3818="Técnico III",SUMIFS($D:$D,$A:$A,$A3818,$B:$B,"&lt;&gt;Patrícia Karla de Sousa Araújo",$B:$B,"&lt;&gt;Lorena Dias de Araujo",$B:$B,"&lt;&gt;Lucas Luiz Romero")*(35/1083),IF(C3818="Técnico II",SUMIFS($D:$D,$A:$A,$A3818,$B:$B,"&lt;&gt;Patrícia Karla de Sousa Araújo",$B:$B,"&lt;&gt;Lorena Dias de Araujo",$B:$B,"&lt;&gt;Lucas Luiz Romero")*(28/1083),IF(C3818="Técnico I",SUMIFS($D:$D,$A:$A,$A3818,$B:$B,"&lt;&gt;Patrícia Karla de Sousa Araújo",$B:$B,"&lt;&gt;Lorena Dias de Araujo",$B:$B,"&lt;&gt;Lucas Luiz Romero")*(23/1083),IF(C3818="JR",SUMIFS($D:$D,$A:$A,$A3818,$B:$B,"&lt;&gt;Patrícia Karla de Sousa Araújo",$B:$B,"&lt;&gt;Lorena Dias de Araujo",$B:$B,"&lt;&gt;Lucas Luiz Romero")*(20/1083),IF(C3818="Estágio",SUMIFS($D:$D,$A:$A,$A3818,$B:$B,"&lt;&gt;Patrícia Karla de Sousa Araújo",$B:$B,"&lt;&gt;Lorena Dias de Araujo",$B:$B,"&lt;&gt;Lucas Luiz Romero")*(10/1083),0)))))),0)</f>
        <v/>
      </c>
      <c r="K3818" s="3">
        <f>I3818-J3818</f>
        <v/>
      </c>
      <c r="L3818" s="3">
        <f>IF(K3818&lt;-5,"CRÍTICO",IF(K3818&lt;0,"ATENÇÃO",IF(K3818&lt;=5,"OPORTUNO","MUITO BOM")))</f>
        <v/>
      </c>
      <c r="N3818" t="n">
        <v>100</v>
      </c>
      <c r="O3818" t="n">
        <v>23.13432835820895</v>
      </c>
    </row>
    <row r="3819" hidden="1">
      <c r="A3819" s="11" t="n">
        <v>46121</v>
      </c>
      <c r="B3819" t="inlineStr">
        <is>
          <t>Clessiane Pereira dos Santos</t>
        </is>
      </c>
      <c r="C3819" t="inlineStr">
        <is>
          <t>Técnico I</t>
        </is>
      </c>
      <c r="D3819" t="n">
        <v>22</v>
      </c>
      <c r="E3819" t="n">
        <v>22</v>
      </c>
      <c r="F3819" t="n">
        <v>21.57</v>
      </c>
      <c r="G3819" t="n">
        <v>0</v>
      </c>
      <c r="H3819" t="n">
        <v>0</v>
      </c>
      <c r="I3819" s="3">
        <f>E3819+G3819+H3819</f>
        <v/>
      </c>
      <c r="J3819" s="3">
        <f>ROUND(MIN(IF(C3819="Técnico III",35,IF(C3819="Técnico II",28,IF(C3819="Técnico I",23,IF(C3819="JR",20,IF(C3819="Estágio",10,0))))),IF(C3819="Técnico III",SUMIFS($D:$D,$A:$A,$A3819,$B:$B,"&lt;&gt;Patrícia Karla de Sousa Araújo",$B:$B,"&lt;&gt;Lorena Dias de Araujo",$B:$B,"&lt;&gt;Lucas Luiz Romero")*(35/1083),IF(C3819="Técnico II",SUMIFS($D:$D,$A:$A,$A3819,$B:$B,"&lt;&gt;Patrícia Karla de Sousa Araújo",$B:$B,"&lt;&gt;Lorena Dias de Araujo",$B:$B,"&lt;&gt;Lucas Luiz Romero")*(28/1083),IF(C3819="Técnico I",SUMIFS($D:$D,$A:$A,$A3819,$B:$B,"&lt;&gt;Patrícia Karla de Sousa Araújo",$B:$B,"&lt;&gt;Lorena Dias de Araujo",$B:$B,"&lt;&gt;Lucas Luiz Romero")*(23/1083),IF(C3819="JR",SUMIFS($D:$D,$A:$A,$A3819,$B:$B,"&lt;&gt;Patrícia Karla de Sousa Araújo",$B:$B,"&lt;&gt;Lorena Dias de Araujo",$B:$B,"&lt;&gt;Lucas Luiz Romero")*(20/1083),IF(C3819="Estágio",SUMIFS($D:$D,$A:$A,$A3819,$B:$B,"&lt;&gt;Patrícia Karla de Sousa Araújo",$B:$B,"&lt;&gt;Lorena Dias de Araujo",$B:$B,"&lt;&gt;Lucas Luiz Romero")*(10/1083),0)))))),0)</f>
        <v/>
      </c>
      <c r="K3819" s="3">
        <f>I3819-J3819</f>
        <v/>
      </c>
      <c r="L3819" s="3">
        <f>IF(K3819&lt;-5,"CRÍTICO",IF(K3819&lt;0,"ATENÇÃO",IF(K3819&lt;=5,"OPORTUNO","MUITO BOM")))</f>
        <v/>
      </c>
      <c r="N3819" t="n">
        <v>96.3</v>
      </c>
      <c r="O3819" t="n">
        <v>31.98090692124105</v>
      </c>
    </row>
    <row r="3820" hidden="1">
      <c r="A3820" s="11" t="n">
        <v>46121</v>
      </c>
      <c r="B3820" t="inlineStr">
        <is>
          <t>Cristiane Ramos da Silva Rocha</t>
        </is>
      </c>
      <c r="C3820" t="inlineStr">
        <is>
          <t>Técnico III</t>
        </is>
      </c>
      <c r="D3820" t="n">
        <v>20</v>
      </c>
      <c r="E3820" t="n">
        <v>17</v>
      </c>
      <c r="F3820" t="n">
        <v>12.38</v>
      </c>
      <c r="G3820" t="n">
        <v>0</v>
      </c>
      <c r="H3820" t="n">
        <v>0</v>
      </c>
      <c r="I3820" s="3">
        <f>E3820+G3820+H3820</f>
        <v/>
      </c>
      <c r="J3820" s="3">
        <f>ROUND(MIN(IF(C3820="Técnico III",35,IF(C3820="Técnico II",28,IF(C3820="Técnico I",23,IF(C3820="JR",20,IF(C3820="Estágio",10,0))))),IF(C3820="Técnico III",SUMIFS($D:$D,$A:$A,$A3820,$B:$B,"&lt;&gt;Patrícia Karla de Sousa Araújo",$B:$B,"&lt;&gt;Lorena Dias de Araujo",$B:$B,"&lt;&gt;Lucas Luiz Romero")*(35/1083),IF(C3820="Técnico II",SUMIFS($D:$D,$A:$A,$A3820,$B:$B,"&lt;&gt;Patrícia Karla de Sousa Araújo",$B:$B,"&lt;&gt;Lorena Dias de Araujo",$B:$B,"&lt;&gt;Lucas Luiz Romero")*(28/1083),IF(C3820="Técnico I",SUMIFS($D:$D,$A:$A,$A3820,$B:$B,"&lt;&gt;Patrícia Karla de Sousa Araújo",$B:$B,"&lt;&gt;Lorena Dias de Araujo",$B:$B,"&lt;&gt;Lucas Luiz Romero")*(23/1083),IF(C3820="JR",SUMIFS($D:$D,$A:$A,$A3820,$B:$B,"&lt;&gt;Patrícia Karla de Sousa Araújo",$B:$B,"&lt;&gt;Lorena Dias de Araujo",$B:$B,"&lt;&gt;Lucas Luiz Romero")*(20/1083),IF(C3820="Estágio",SUMIFS($D:$D,$A:$A,$A3820,$B:$B,"&lt;&gt;Patrícia Karla de Sousa Araújo",$B:$B,"&lt;&gt;Lorena Dias de Araujo",$B:$B,"&lt;&gt;Lucas Luiz Romero")*(10/1083),0)))))),0)</f>
        <v/>
      </c>
      <c r="K3820" s="3">
        <f>I3820-J3820</f>
        <v/>
      </c>
      <c r="L3820" s="3">
        <f>IF(K3820&lt;-5,"CRÍTICO",IF(K3820&lt;0,"ATENÇÃO",IF(K3820&lt;=5,"OPORTUNO","MUITO BOM")))</f>
        <v/>
      </c>
      <c r="N3820" t="n">
        <v>93.75</v>
      </c>
      <c r="O3820" t="n">
        <v>26.62835249042146</v>
      </c>
    </row>
    <row r="3821" hidden="1">
      <c r="A3821" s="11" t="n">
        <v>46121</v>
      </c>
      <c r="B3821" t="inlineStr">
        <is>
          <t>Damyllis Lorraine de Oliveira Gonçalves</t>
        </is>
      </c>
      <c r="C3821" t="inlineStr">
        <is>
          <t>Técnico II</t>
        </is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s="3" t="n">
        <v>0</v>
      </c>
      <c r="J3821" s="3" t="n">
        <v>0</v>
      </c>
      <c r="K3821" s="3" t="n">
        <v>0</v>
      </c>
      <c r="L3821" s="3">
        <f>IF(K3821&lt;-5,"CRÍTICO",IF(K3821&lt;0,"ATENÇÃO",IF(K3821&lt;=5,"OPORTUNO","MUITO BOM")))</f>
        <v/>
      </c>
      <c r="N3821" t="n">
        <v>97.86</v>
      </c>
      <c r="O3821" t="n">
        <v>31.01851851851852</v>
      </c>
    </row>
    <row r="3822" hidden="1">
      <c r="A3822" s="11" t="n">
        <v>46121</v>
      </c>
      <c r="B3822" t="inlineStr">
        <is>
          <t>Daniel Gomes da Silva</t>
        </is>
      </c>
      <c r="C3822" t="inlineStr">
        <is>
          <t>Técnico I</t>
        </is>
      </c>
      <c r="D3822" t="n">
        <v>23</v>
      </c>
      <c r="E3822" t="n">
        <v>22</v>
      </c>
      <c r="F3822" t="n">
        <v>17.2</v>
      </c>
      <c r="G3822" t="n">
        <v>0</v>
      </c>
      <c r="H3822" t="n">
        <v>0</v>
      </c>
      <c r="I3822" s="3">
        <f>E3822+G3822+H3822</f>
        <v/>
      </c>
      <c r="J3822" s="3">
        <f>ROUND(MIN(IF(C3822="Técnico III",35,IF(C3822="Técnico II",28,IF(C3822="Técnico I",23,IF(C3822="JR",20,IF(C3822="Estágio",10,0))))),IF(C3822="Técnico III",SUMIFS($D:$D,$A:$A,$A3822,$B:$B,"&lt;&gt;Patrícia Karla de Sousa Araújo",$B:$B,"&lt;&gt;Lorena Dias de Araujo",$B:$B,"&lt;&gt;Lucas Luiz Romero")*(35/1083),IF(C3822="Técnico II",SUMIFS($D:$D,$A:$A,$A3822,$B:$B,"&lt;&gt;Patrícia Karla de Sousa Araújo",$B:$B,"&lt;&gt;Lorena Dias de Araujo",$B:$B,"&lt;&gt;Lucas Luiz Romero")*(28/1083),IF(C3822="Técnico I",SUMIFS($D:$D,$A:$A,$A3822,$B:$B,"&lt;&gt;Patrícia Karla de Sousa Araújo",$B:$B,"&lt;&gt;Lorena Dias de Araujo",$B:$B,"&lt;&gt;Lucas Luiz Romero")*(23/1083),IF(C3822="JR",SUMIFS($D:$D,$A:$A,$A3822,$B:$B,"&lt;&gt;Patrícia Karla de Sousa Araújo",$B:$B,"&lt;&gt;Lorena Dias de Araujo",$B:$B,"&lt;&gt;Lucas Luiz Romero")*(20/1083),IF(C3822="Estágio",SUMIFS($D:$D,$A:$A,$A3822,$B:$B,"&lt;&gt;Patrícia Karla de Sousa Araújo",$B:$B,"&lt;&gt;Lorena Dias de Araujo",$B:$B,"&lt;&gt;Lucas Luiz Romero")*(10/1083),0)))))),0)</f>
        <v/>
      </c>
      <c r="K3822" s="3">
        <f>I3822-J3822</f>
        <v/>
      </c>
      <c r="L3822" s="3">
        <f>IF(K3822&lt;-5,"CRÍTICO",IF(K3822&lt;0,"ATENÇÃO",IF(K3822&lt;=5,"OPORTUNO","MUITO BOM")))</f>
        <v/>
      </c>
      <c r="N3822" t="n">
        <v>100</v>
      </c>
      <c r="O3822" t="n">
        <v>36.23188405797102</v>
      </c>
    </row>
    <row r="3823" hidden="1">
      <c r="A3823" s="11" t="n">
        <v>46121</v>
      </c>
      <c r="B3823" t="inlineStr">
        <is>
          <t>Davylla Rodrigues Freitas Silva</t>
        </is>
      </c>
      <c r="C3823" t="inlineStr">
        <is>
          <t>Técnico III</t>
        </is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s="3" t="n">
        <v>0</v>
      </c>
      <c r="J3823" s="3" t="n">
        <v>0</v>
      </c>
      <c r="K3823" s="3" t="n">
        <v>0</v>
      </c>
      <c r="L3823" s="3">
        <f>IF(K3823&lt;-5,"CRÍTICO",IF(K3823&lt;0,"ATENÇÃO",IF(K3823&lt;=5,"OPORTUNO","MUITO BOM")))</f>
        <v/>
      </c>
      <c r="N3823" t="n">
        <v>100</v>
      </c>
      <c r="O3823" t="n">
        <v>38.26923076923077</v>
      </c>
    </row>
    <row r="3824" hidden="1">
      <c r="A3824" s="11" t="n">
        <v>46121</v>
      </c>
      <c r="B3824" t="inlineStr">
        <is>
          <t>Emilly Caylane Costa</t>
        </is>
      </c>
      <c r="C3824" t="inlineStr">
        <is>
          <t>Estágio</t>
        </is>
      </c>
      <c r="D3824" t="n">
        <v>21</v>
      </c>
      <c r="E3824" t="n">
        <v>13</v>
      </c>
      <c r="F3824" t="n">
        <v>9.1</v>
      </c>
      <c r="G3824" t="n">
        <v>0</v>
      </c>
      <c r="H3824" t="n">
        <v>0</v>
      </c>
      <c r="I3824" s="3">
        <f>E3824+G3824+H3824</f>
        <v/>
      </c>
      <c r="J3824" s="3">
        <f>ROUND(MIN(IF(C3824="Técnico III",35,IF(C3824="Técnico II",28,IF(C3824="Técnico I",23,IF(C3824="JR",20,IF(C3824="Estágio",10,0))))),IF(C3824="Técnico III",SUMIFS($D:$D,$A:$A,$A3824,$B:$B,"&lt;&gt;Patrícia Karla de Sousa Araújo",$B:$B,"&lt;&gt;Lorena Dias de Araujo",$B:$B,"&lt;&gt;Lucas Luiz Romero")*(35/1083),IF(C3824="Técnico II",SUMIFS($D:$D,$A:$A,$A3824,$B:$B,"&lt;&gt;Patrícia Karla de Sousa Araújo",$B:$B,"&lt;&gt;Lorena Dias de Araujo",$B:$B,"&lt;&gt;Lucas Luiz Romero")*(28/1083),IF(C3824="Técnico I",SUMIFS($D:$D,$A:$A,$A3824,$B:$B,"&lt;&gt;Patrícia Karla de Sousa Araújo",$B:$B,"&lt;&gt;Lorena Dias de Araujo",$B:$B,"&lt;&gt;Lucas Luiz Romero")*(23/1083),IF(C3824="JR",SUMIFS($D:$D,$A:$A,$A3824,$B:$B,"&lt;&gt;Patrícia Karla de Sousa Araújo",$B:$B,"&lt;&gt;Lorena Dias de Araujo",$B:$B,"&lt;&gt;Lucas Luiz Romero")*(20/1083),IF(C3824="Estágio",SUMIFS($D:$D,$A:$A,$A3824,$B:$B,"&lt;&gt;Patrícia Karla de Sousa Araújo",$B:$B,"&lt;&gt;Lorena Dias de Araujo",$B:$B,"&lt;&gt;Lucas Luiz Romero")*(10/1083),0)))))),0)</f>
        <v/>
      </c>
      <c r="K3824" s="3">
        <f>I3824-J3824</f>
        <v/>
      </c>
      <c r="L3824" s="3">
        <f>IF(K3824&lt;-5,"CRÍTICO",IF(K3824&lt;0,"ATENÇÃO",IF(K3824&lt;=5,"OPORTUNO","MUITO BOM")))</f>
        <v/>
      </c>
      <c r="N3824" t="n">
        <v>100</v>
      </c>
      <c r="O3824" t="n">
        <v>27.36842105263158</v>
      </c>
    </row>
    <row r="3825" hidden="1">
      <c r="A3825" s="11" t="n">
        <v>46121</v>
      </c>
      <c r="B3825" t="inlineStr">
        <is>
          <t>Emilly Kamilly Medeiros Miranda</t>
        </is>
      </c>
      <c r="C3825" t="inlineStr">
        <is>
          <t>Técnico II</t>
        </is>
      </c>
      <c r="D3825" t="n">
        <v>23</v>
      </c>
      <c r="E3825" t="n">
        <v>22</v>
      </c>
      <c r="F3825" t="n">
        <v>18.38</v>
      </c>
      <c r="G3825" t="n">
        <v>0</v>
      </c>
      <c r="H3825" t="n">
        <v>0</v>
      </c>
      <c r="I3825" s="3">
        <f>E3825+G3825+H3825</f>
        <v/>
      </c>
      <c r="J3825" s="3">
        <f>ROUND(MIN(IF(C3825="Técnico III",35,IF(C3825="Técnico II",28,IF(C3825="Técnico I",23,IF(C3825="JR",20,IF(C3825="Estágio",10,0))))),IF(C3825="Técnico III",SUMIFS($D:$D,$A:$A,$A3825,$B:$B,"&lt;&gt;Patrícia Karla de Sousa Araújo",$B:$B,"&lt;&gt;Lorena Dias de Araujo",$B:$B,"&lt;&gt;Lucas Luiz Romero")*(35/1083),IF(C3825="Técnico II",SUMIFS($D:$D,$A:$A,$A3825,$B:$B,"&lt;&gt;Patrícia Karla de Sousa Araújo",$B:$B,"&lt;&gt;Lorena Dias de Araujo",$B:$B,"&lt;&gt;Lucas Luiz Romero")*(28/1083),IF(C3825="Técnico I",SUMIFS($D:$D,$A:$A,$A3825,$B:$B,"&lt;&gt;Patrícia Karla de Sousa Araújo",$B:$B,"&lt;&gt;Lorena Dias de Araujo",$B:$B,"&lt;&gt;Lucas Luiz Romero")*(23/1083),IF(C3825="JR",SUMIFS($D:$D,$A:$A,$A3825,$B:$B,"&lt;&gt;Patrícia Karla de Sousa Araújo",$B:$B,"&lt;&gt;Lorena Dias de Araujo",$B:$B,"&lt;&gt;Lucas Luiz Romero")*(20/1083),IF(C3825="Estágio",SUMIFS($D:$D,$A:$A,$A3825,$B:$B,"&lt;&gt;Patrícia Karla de Sousa Araújo",$B:$B,"&lt;&gt;Lorena Dias de Araujo",$B:$B,"&lt;&gt;Lucas Luiz Romero")*(10/1083),0)))))),0)</f>
        <v/>
      </c>
      <c r="K3825" s="3">
        <f>I3825-J3825</f>
        <v/>
      </c>
      <c r="L3825" s="3">
        <f>IF(K3825&lt;-5,"CRÍTICO",IF(K3825&lt;0,"ATENÇÃO",IF(K3825&lt;=5,"OPORTUNO","MUITO BOM")))</f>
        <v/>
      </c>
      <c r="N3825" t="n">
        <v>97.83</v>
      </c>
      <c r="O3825" t="n">
        <v>28.13186813186813</v>
      </c>
    </row>
    <row r="3826" hidden="1">
      <c r="A3826" s="11" t="n">
        <v>46121</v>
      </c>
      <c r="B3826" t="inlineStr">
        <is>
          <t>Francielson de Oliveira</t>
        </is>
      </c>
      <c r="C3826" t="inlineStr">
        <is>
          <t>Técnico III</t>
        </is>
      </c>
      <c r="D3826" t="n">
        <v>25</v>
      </c>
      <c r="E3826" t="n">
        <v>22</v>
      </c>
      <c r="F3826" t="n">
        <v>17.08</v>
      </c>
      <c r="G3826" t="n">
        <v>0</v>
      </c>
      <c r="H3826" t="n">
        <v>0</v>
      </c>
      <c r="I3826" s="3">
        <f>E3826+G3826+H3826</f>
        <v/>
      </c>
      <c r="J3826" s="3">
        <f>ROUND(MIN(IF(C3826="Técnico III",35,IF(C3826="Técnico II",28,IF(C3826="Técnico I",23,IF(C3826="JR",20,IF(C3826="Estágio",10,0))))),IF(C3826="Técnico III",SUMIFS($D:$D,$A:$A,$A3826,$B:$B,"&lt;&gt;Patrícia Karla de Sousa Araújo",$B:$B,"&lt;&gt;Lorena Dias de Araujo",$B:$B,"&lt;&gt;Lucas Luiz Romero")*(35/1083),IF(C3826="Técnico II",SUMIFS($D:$D,$A:$A,$A3826,$B:$B,"&lt;&gt;Patrícia Karla de Sousa Araújo",$B:$B,"&lt;&gt;Lorena Dias de Araujo",$B:$B,"&lt;&gt;Lucas Luiz Romero")*(28/1083),IF(C3826="Técnico I",SUMIFS($D:$D,$A:$A,$A3826,$B:$B,"&lt;&gt;Patrícia Karla de Sousa Araújo",$B:$B,"&lt;&gt;Lorena Dias de Araujo",$B:$B,"&lt;&gt;Lucas Luiz Romero")*(23/1083),IF(C3826="JR",SUMIFS($D:$D,$A:$A,$A3826,$B:$B,"&lt;&gt;Patrícia Karla de Sousa Araújo",$B:$B,"&lt;&gt;Lorena Dias de Araujo",$B:$B,"&lt;&gt;Lucas Luiz Romero")*(20/1083),IF(C3826="Estágio",SUMIFS($D:$D,$A:$A,$A3826,$B:$B,"&lt;&gt;Patrícia Karla de Sousa Araújo",$B:$B,"&lt;&gt;Lorena Dias de Araujo",$B:$B,"&lt;&gt;Lucas Luiz Romero")*(10/1083),0)))))),0)</f>
        <v/>
      </c>
      <c r="K3826" s="3">
        <f>I3826-J3826</f>
        <v/>
      </c>
      <c r="L3826" s="3">
        <f>IF(K3826&lt;-5,"CRÍTICO",IF(K3826&lt;0,"ATENÇÃO",IF(K3826&lt;=5,"OPORTUNO","MUITO BOM")))</f>
        <v/>
      </c>
      <c r="N3826" t="n">
        <v>99.26000000000001</v>
      </c>
      <c r="O3826" t="n">
        <v>29.57198443579767</v>
      </c>
    </row>
    <row r="3827" hidden="1">
      <c r="A3827" s="11" t="n">
        <v>46121</v>
      </c>
      <c r="B3827" t="inlineStr">
        <is>
          <t>Francilene Ferreira de Jesus</t>
        </is>
      </c>
      <c r="C3827" t="inlineStr">
        <is>
          <t>Técnico II</t>
        </is>
      </c>
      <c r="D3827" t="n">
        <v>12</v>
      </c>
      <c r="E3827" t="n">
        <v>12</v>
      </c>
      <c r="F3827" t="n">
        <v>20.25</v>
      </c>
      <c r="G3827" t="n">
        <v>0</v>
      </c>
      <c r="H3827" t="n">
        <v>0</v>
      </c>
      <c r="I3827" s="3">
        <f>E3827+G3827+H3827</f>
        <v/>
      </c>
      <c r="J3827" s="3">
        <f>ROUND(MIN(IF(C3827="Técnico III",35,IF(C3827="Técnico II",28,IF(C3827="Técnico I",23,IF(C3827="JR",20,IF(C3827="Estágio",10,0))))),IF(C3827="Técnico III",SUMIFS($D:$D,$A:$A,$A3827,$B:$B,"&lt;&gt;Patrícia Karla de Sousa Araújo",$B:$B,"&lt;&gt;Lorena Dias de Araujo",$B:$B,"&lt;&gt;Lucas Luiz Romero")*(35/1083),IF(C3827="Técnico II",SUMIFS($D:$D,$A:$A,$A3827,$B:$B,"&lt;&gt;Patrícia Karla de Sousa Araújo",$B:$B,"&lt;&gt;Lorena Dias de Araujo",$B:$B,"&lt;&gt;Lucas Luiz Romero")*(28/1083),IF(C3827="Técnico I",SUMIFS($D:$D,$A:$A,$A3827,$B:$B,"&lt;&gt;Patrícia Karla de Sousa Araújo",$B:$B,"&lt;&gt;Lorena Dias de Araujo",$B:$B,"&lt;&gt;Lucas Luiz Romero")*(23/1083),IF(C3827="JR",SUMIFS($D:$D,$A:$A,$A3827,$B:$B,"&lt;&gt;Patrícia Karla de Sousa Araújo",$B:$B,"&lt;&gt;Lorena Dias de Araujo",$B:$B,"&lt;&gt;Lucas Luiz Romero")*(20/1083),IF(C3827="Estágio",SUMIFS($D:$D,$A:$A,$A3827,$B:$B,"&lt;&gt;Patrícia Karla de Sousa Araújo",$B:$B,"&lt;&gt;Lorena Dias de Araujo",$B:$B,"&lt;&gt;Lucas Luiz Romero")*(10/1083),0)))))),0)</f>
        <v/>
      </c>
      <c r="K3827" s="3">
        <f>I3827-J3827</f>
        <v/>
      </c>
      <c r="L3827" s="3">
        <f>IF(K3827&lt;-5,"CRÍTICO",IF(K3827&lt;0,"ATENÇÃO",IF(K3827&lt;=5,"OPORTUNO","MUITO BOM")))</f>
        <v/>
      </c>
      <c r="N3827" t="n">
        <v>99.19</v>
      </c>
      <c r="O3827" t="n">
        <v>29.46236559139785</v>
      </c>
    </row>
    <row r="3828" hidden="1">
      <c r="A3828" s="11" t="n">
        <v>46167</v>
      </c>
      <c r="B3828" t="inlineStr">
        <is>
          <t>Isabella Borges de Oliveira</t>
        </is>
      </c>
      <c r="C3828" t="inlineStr">
        <is>
          <t>Técnico II</t>
        </is>
      </c>
      <c r="D3828" t="n">
        <v>27</v>
      </c>
      <c r="E3828" t="n">
        <v>23</v>
      </c>
      <c r="F3828" t="n">
        <v>15.42</v>
      </c>
      <c r="G3828" t="n">
        <v>0</v>
      </c>
      <c r="H3828" t="n">
        <v>0</v>
      </c>
      <c r="I3828" s="3" t="n">
        <v>0</v>
      </c>
      <c r="J3828" s="3" t="n">
        <v>0</v>
      </c>
      <c r="K3828" s="3" t="n">
        <v>0</v>
      </c>
      <c r="L3828" s="3">
        <f>IF(K3828&lt;-5,"CRÍTICO",IF(K3828&lt;0,"ATENÇÃO",IF(K3828&lt;=5,"OPORTUNO","MUITO BOM")))</f>
        <v/>
      </c>
    </row>
    <row r="3829" hidden="1">
      <c r="A3829" s="11" t="n">
        <v>46121</v>
      </c>
      <c r="B3829" t="inlineStr">
        <is>
          <t>Isabella Borges de Oliveira</t>
        </is>
      </c>
      <c r="C3829" t="inlineStr">
        <is>
          <t>Técnico II</t>
        </is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s="3" t="n">
        <v>0</v>
      </c>
      <c r="J3829" s="3" t="n">
        <v>0</v>
      </c>
      <c r="K3829" s="3" t="n">
        <v>0</v>
      </c>
      <c r="L3829" s="3">
        <f>IF(K3829&lt;-5,"CRÍTICO",IF(K3829&lt;0,"ATENÇÃO",IF(K3829&lt;=5,"OPORTUNO","MUITO BOM")))</f>
        <v/>
      </c>
      <c r="N3829" t="n">
        <v>100</v>
      </c>
      <c r="O3829" t="n">
        <v>27.94117647058824</v>
      </c>
    </row>
    <row r="3830" hidden="1">
      <c r="A3830" s="11" t="n">
        <v>46121</v>
      </c>
      <c r="B3830" t="inlineStr">
        <is>
          <t>Janaina Lima dos Reis Urany</t>
        </is>
      </c>
      <c r="C3830" t="inlineStr">
        <is>
          <t>Técnico III</t>
        </is>
      </c>
      <c r="D3830" t="n">
        <v>36</v>
      </c>
      <c r="E3830" t="n">
        <v>32</v>
      </c>
      <c r="F3830" t="n">
        <v>15.2</v>
      </c>
      <c r="G3830" t="n">
        <v>0</v>
      </c>
      <c r="H3830" t="n">
        <v>0</v>
      </c>
      <c r="I3830" s="3">
        <f>E3830+G3830+H3830</f>
        <v/>
      </c>
      <c r="J3830" s="3">
        <f>ROUND(MIN(IF(C3830="Técnico III",35,IF(C3830="Técnico II",28,IF(C3830="Técnico I",23,IF(C3830="JR",20,IF(C3830="Estágio",10,0))))),IF(C3830="Técnico III",SUMIFS($D:$D,$A:$A,$A3830,$B:$B,"&lt;&gt;Patrícia Karla de Sousa Araújo",$B:$B,"&lt;&gt;Lorena Dias de Araujo",$B:$B,"&lt;&gt;Lucas Luiz Romero")*(35/1083),IF(C3830="Técnico II",SUMIFS($D:$D,$A:$A,$A3830,$B:$B,"&lt;&gt;Patrícia Karla de Sousa Araújo",$B:$B,"&lt;&gt;Lorena Dias de Araujo",$B:$B,"&lt;&gt;Lucas Luiz Romero")*(28/1083),IF(C3830="Técnico I",SUMIFS($D:$D,$A:$A,$A3830,$B:$B,"&lt;&gt;Patrícia Karla de Sousa Araújo",$B:$B,"&lt;&gt;Lorena Dias de Araujo",$B:$B,"&lt;&gt;Lucas Luiz Romero")*(23/1083),IF(C3830="JR",SUMIFS($D:$D,$A:$A,$A3830,$B:$B,"&lt;&gt;Patrícia Karla de Sousa Araújo",$B:$B,"&lt;&gt;Lorena Dias de Araujo",$B:$B,"&lt;&gt;Lucas Luiz Romero")*(20/1083),IF(C3830="Estágio",SUMIFS($D:$D,$A:$A,$A3830,$B:$B,"&lt;&gt;Patrícia Karla de Sousa Araújo",$B:$B,"&lt;&gt;Lorena Dias de Araujo",$B:$B,"&lt;&gt;Lucas Luiz Romero")*(10/1083),0)))))),0)</f>
        <v/>
      </c>
      <c r="K3830" s="3">
        <f>I3830-J3830</f>
        <v/>
      </c>
      <c r="L3830" s="3">
        <f>IF(K3830&lt;-5,"CRÍTICO",IF(K3830&lt;0,"ATENÇÃO",IF(K3830&lt;=5,"OPORTUNO","MUITO BOM")))</f>
        <v/>
      </c>
      <c r="N3830" t="n">
        <v>99.56999999999999</v>
      </c>
      <c r="O3830" t="n">
        <v>29.91329479768786</v>
      </c>
    </row>
    <row r="3831" hidden="1">
      <c r="A3831" s="11" t="n">
        <v>46121</v>
      </c>
      <c r="B3831" t="inlineStr">
        <is>
          <t>Jaqueline Evangelista da Silva Martins</t>
        </is>
      </c>
      <c r="C3831" t="inlineStr">
        <is>
          <t>Técnico III</t>
        </is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s="3" t="n">
        <v>0</v>
      </c>
      <c r="J3831" s="3" t="n">
        <v>0</v>
      </c>
      <c r="K3831" s="3" t="n">
        <v>0</v>
      </c>
      <c r="L3831" s="3">
        <f>IF(K3831&lt;-5,"CRÍTICO",IF(K3831&lt;0,"ATENÇÃO",IF(K3831&lt;=5,"OPORTUNO","MUITO BOM")))</f>
        <v/>
      </c>
      <c r="N3831" t="n">
        <v>95.65000000000001</v>
      </c>
      <c r="O3831" t="n">
        <v>31.08108108108108</v>
      </c>
    </row>
    <row r="3832" hidden="1">
      <c r="A3832" s="11" t="n">
        <v>46121</v>
      </c>
      <c r="B3832" t="inlineStr">
        <is>
          <t>Jessica Faria da Silveira</t>
        </is>
      </c>
      <c r="C3832" t="inlineStr">
        <is>
          <t>Técnico II</t>
        </is>
      </c>
      <c r="D3832" t="n">
        <v>24</v>
      </c>
      <c r="E3832" t="n">
        <v>21</v>
      </c>
      <c r="F3832" t="n">
        <v>22.22</v>
      </c>
      <c r="G3832" t="n">
        <v>0</v>
      </c>
      <c r="H3832" t="n">
        <v>0</v>
      </c>
      <c r="I3832" s="3">
        <f>E3832+G3832+H3832</f>
        <v/>
      </c>
      <c r="J3832" s="3">
        <f>ROUND(MIN(IF(C3832="Técnico III",35,IF(C3832="Técnico II",28,IF(C3832="Técnico I",23,IF(C3832="JR",20,IF(C3832="Estágio",10,0))))),IF(C3832="Técnico III",SUMIFS($D:$D,$A:$A,$A3832,$B:$B,"&lt;&gt;Patrícia Karla de Sousa Araújo",$B:$B,"&lt;&gt;Lorena Dias de Araujo",$B:$B,"&lt;&gt;Lucas Luiz Romero")*(35/1083),IF(C3832="Técnico II",SUMIFS($D:$D,$A:$A,$A3832,$B:$B,"&lt;&gt;Patrícia Karla de Sousa Araújo",$B:$B,"&lt;&gt;Lorena Dias de Araujo",$B:$B,"&lt;&gt;Lucas Luiz Romero")*(28/1083),IF(C3832="Técnico I",SUMIFS($D:$D,$A:$A,$A3832,$B:$B,"&lt;&gt;Patrícia Karla de Sousa Araújo",$B:$B,"&lt;&gt;Lorena Dias de Araujo",$B:$B,"&lt;&gt;Lucas Luiz Romero")*(23/1083),IF(C3832="JR",SUMIFS($D:$D,$A:$A,$A3832,$B:$B,"&lt;&gt;Patrícia Karla de Sousa Araújo",$B:$B,"&lt;&gt;Lorena Dias de Araujo",$B:$B,"&lt;&gt;Lucas Luiz Romero")*(20/1083),IF(C3832="Estágio",SUMIFS($D:$D,$A:$A,$A3832,$B:$B,"&lt;&gt;Patrícia Karla de Sousa Araújo",$B:$B,"&lt;&gt;Lorena Dias de Araujo",$B:$B,"&lt;&gt;Lucas Luiz Romero")*(10/1083),0)))))),0)</f>
        <v/>
      </c>
      <c r="K3832" s="3">
        <f>I3832-J3832</f>
        <v/>
      </c>
      <c r="L3832" s="3">
        <f>IF(K3832&lt;-5,"CRÍTICO",IF(K3832&lt;0,"ATENÇÃO",IF(K3832&lt;=5,"OPORTUNO","MUITO BOM")))</f>
        <v/>
      </c>
      <c r="N3832" t="n">
        <v>98.81</v>
      </c>
      <c r="O3832" t="n">
        <v>26.25698324022346</v>
      </c>
    </row>
    <row r="3833" hidden="1">
      <c r="A3833" s="11" t="n">
        <v>46121</v>
      </c>
      <c r="B3833" t="inlineStr">
        <is>
          <t>Jéssica Fé Moura</t>
        </is>
      </c>
      <c r="C3833" t="inlineStr">
        <is>
          <t>Técnico III</t>
        </is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s="3" t="n">
        <v>0</v>
      </c>
      <c r="J3833" s="3" t="n">
        <v>0</v>
      </c>
      <c r="K3833" s="3" t="n">
        <v>0</v>
      </c>
      <c r="L3833" s="3">
        <f>IF(K3833&lt;-5,"CRÍTICO",IF(K3833&lt;0,"ATENÇÃO",IF(K3833&lt;=5,"OPORTUNO","MUITO BOM")))</f>
        <v/>
      </c>
      <c r="N3833" t="n">
        <v>0</v>
      </c>
      <c r="O3833" t="n">
        <v>0</v>
      </c>
    </row>
    <row r="3834" hidden="1">
      <c r="A3834" s="11" t="n">
        <v>46121</v>
      </c>
      <c r="B3834" t="inlineStr">
        <is>
          <t>Karina Gonçalves Martins</t>
        </is>
      </c>
      <c r="C3834" t="inlineStr">
        <is>
          <t>JR</t>
        </is>
      </c>
      <c r="D3834" t="n">
        <v>28</v>
      </c>
      <c r="E3834" t="n">
        <v>28</v>
      </c>
      <c r="F3834" t="n">
        <v>17.24</v>
      </c>
      <c r="G3834" t="n">
        <v>0</v>
      </c>
      <c r="H3834" t="n">
        <v>0</v>
      </c>
      <c r="I3834" s="3">
        <f>E3834+G3834+H3834</f>
        <v/>
      </c>
      <c r="J3834" s="3">
        <f>ROUND(MIN(IF(C3834="Técnico III",35,IF(C3834="Técnico II",28,IF(C3834="Técnico I",23,IF(C3834="JR",20,IF(C3834="Estágio",10,0))))),IF(C3834="Técnico III",SUMIFS($D:$D,$A:$A,$A3834,$B:$B,"&lt;&gt;Patrícia Karla de Sousa Araújo",$B:$B,"&lt;&gt;Lorena Dias de Araujo",$B:$B,"&lt;&gt;Lucas Luiz Romero")*(35/1083),IF(C3834="Técnico II",SUMIFS($D:$D,$A:$A,$A3834,$B:$B,"&lt;&gt;Patrícia Karla de Sousa Araújo",$B:$B,"&lt;&gt;Lorena Dias de Araujo",$B:$B,"&lt;&gt;Lucas Luiz Romero")*(28/1083),IF(C3834="Técnico I",SUMIFS($D:$D,$A:$A,$A3834,$B:$B,"&lt;&gt;Patrícia Karla de Sousa Araújo",$B:$B,"&lt;&gt;Lorena Dias de Araujo",$B:$B,"&lt;&gt;Lucas Luiz Romero")*(23/1083),IF(C3834="JR",SUMIFS($D:$D,$A:$A,$A3834,$B:$B,"&lt;&gt;Patrícia Karla de Sousa Araújo",$B:$B,"&lt;&gt;Lorena Dias de Araujo",$B:$B,"&lt;&gt;Lucas Luiz Romero")*(20/1083),IF(C3834="Estágio",SUMIFS($D:$D,$A:$A,$A3834,$B:$B,"&lt;&gt;Patrícia Karla de Sousa Araújo",$B:$B,"&lt;&gt;Lorena Dias de Araujo",$B:$B,"&lt;&gt;Lucas Luiz Romero")*(10/1083),0)))))),0)</f>
        <v/>
      </c>
      <c r="K3834" s="3">
        <f>I3834-J3834</f>
        <v/>
      </c>
      <c r="L3834" s="3">
        <f>IF(K3834&lt;-5,"CRÍTICO",IF(K3834&lt;0,"ATENÇÃO",IF(K3834&lt;=5,"OPORTUNO","MUITO BOM")))</f>
        <v/>
      </c>
      <c r="N3834" t="n">
        <v>97.17</v>
      </c>
      <c r="O3834" t="n">
        <v>28.81844380403458</v>
      </c>
    </row>
    <row r="3835" hidden="1">
      <c r="A3835" s="11" t="n">
        <v>46121</v>
      </c>
      <c r="B3835" t="inlineStr">
        <is>
          <t>Kerollen Cristielly de Jesus Siqueira</t>
        </is>
      </c>
      <c r="C3835" t="inlineStr">
        <is>
          <t>Técnico III</t>
        </is>
      </c>
      <c r="D3835" t="n">
        <v>16</v>
      </c>
      <c r="E3835" t="n">
        <v>15</v>
      </c>
      <c r="F3835" t="n">
        <v>23.53</v>
      </c>
      <c r="G3835" t="n">
        <v>0</v>
      </c>
      <c r="H3835" t="n">
        <v>0</v>
      </c>
      <c r="I3835" s="3">
        <f>E3835+G3835+H3835</f>
        <v/>
      </c>
      <c r="J3835" s="3">
        <f>ROUND(MIN(IF(C3835="Técnico III",35,IF(C3835="Técnico II",28,IF(C3835="Técnico I",23,IF(C3835="JR",20,IF(C3835="Estágio",10,0))))),IF(C3835="Técnico III",SUMIFS($D:$D,$A:$A,$A3835,$B:$B,"&lt;&gt;Patrícia Karla de Sousa Araújo",$B:$B,"&lt;&gt;Lorena Dias de Araujo",$B:$B,"&lt;&gt;Lucas Luiz Romero")*(35/1083),IF(C3835="Técnico II",SUMIFS($D:$D,$A:$A,$A3835,$B:$B,"&lt;&gt;Patrícia Karla de Sousa Araújo",$B:$B,"&lt;&gt;Lorena Dias de Araujo",$B:$B,"&lt;&gt;Lucas Luiz Romero")*(28/1083),IF(C3835="Técnico I",SUMIFS($D:$D,$A:$A,$A3835,$B:$B,"&lt;&gt;Patrícia Karla de Sousa Araújo",$B:$B,"&lt;&gt;Lorena Dias de Araujo",$B:$B,"&lt;&gt;Lucas Luiz Romero")*(23/1083),IF(C3835="JR",SUMIFS($D:$D,$A:$A,$A3835,$B:$B,"&lt;&gt;Patrícia Karla de Sousa Araújo",$B:$B,"&lt;&gt;Lorena Dias de Araujo",$B:$B,"&lt;&gt;Lucas Luiz Romero")*(20/1083),IF(C3835="Estágio",SUMIFS($D:$D,$A:$A,$A3835,$B:$B,"&lt;&gt;Patrícia Karla de Sousa Araújo",$B:$B,"&lt;&gt;Lorena Dias de Araujo",$B:$B,"&lt;&gt;Lucas Luiz Romero")*(10/1083),0)))))),0)</f>
        <v/>
      </c>
      <c r="K3835" s="3">
        <f>I3835-J3835</f>
        <v/>
      </c>
      <c r="L3835" s="3">
        <f>IF(K3835&lt;-5,"CRÍTICO",IF(K3835&lt;0,"ATENÇÃO",IF(K3835&lt;=5,"OPORTUNO","MUITO BOM")))</f>
        <v/>
      </c>
      <c r="N3835" t="n">
        <v>96.81</v>
      </c>
      <c r="O3835" t="n">
        <v>48.01864801864802</v>
      </c>
    </row>
    <row r="3836" hidden="1">
      <c r="A3836" s="11" t="n">
        <v>46121</v>
      </c>
      <c r="B3836" t="inlineStr">
        <is>
          <t>Leandro de Souza Silva</t>
        </is>
      </c>
      <c r="C3836" t="inlineStr">
        <is>
          <t>JR</t>
        </is>
      </c>
      <c r="D3836" t="n">
        <v>16</v>
      </c>
      <c r="E3836" t="n">
        <v>15</v>
      </c>
      <c r="F3836" t="n">
        <v>30.05</v>
      </c>
      <c r="G3836" t="n">
        <v>0</v>
      </c>
      <c r="H3836" t="n">
        <v>0</v>
      </c>
      <c r="I3836" s="3">
        <f>E3836+G3836+H3836</f>
        <v/>
      </c>
      <c r="J3836" s="3">
        <f>ROUND(MIN(IF(C3836="Técnico III",35,IF(C3836="Técnico II",28,IF(C3836="Técnico I",23,IF(C3836="JR",20,IF(C3836="Estágio",10,0))))),IF(C3836="Técnico III",SUMIFS($D:$D,$A:$A,$A3836,$B:$B,"&lt;&gt;Patrícia Karla de Sousa Araújo",$B:$B,"&lt;&gt;Lorena Dias de Araujo",$B:$B,"&lt;&gt;Lucas Luiz Romero")*(35/1083),IF(C3836="Técnico II",SUMIFS($D:$D,$A:$A,$A3836,$B:$B,"&lt;&gt;Patrícia Karla de Sousa Araújo",$B:$B,"&lt;&gt;Lorena Dias de Araujo",$B:$B,"&lt;&gt;Lucas Luiz Romero")*(28/1083),IF(C3836="Técnico I",SUMIFS($D:$D,$A:$A,$A3836,$B:$B,"&lt;&gt;Patrícia Karla de Sousa Araújo",$B:$B,"&lt;&gt;Lorena Dias de Araujo",$B:$B,"&lt;&gt;Lucas Luiz Romero")*(23/1083),IF(C3836="JR",SUMIFS($D:$D,$A:$A,$A3836,$B:$B,"&lt;&gt;Patrícia Karla de Sousa Araújo",$B:$B,"&lt;&gt;Lorena Dias de Araujo",$B:$B,"&lt;&gt;Lucas Luiz Romero")*(20/1083),IF(C3836="Estágio",SUMIFS($D:$D,$A:$A,$A3836,$B:$B,"&lt;&gt;Patrícia Karla de Sousa Araújo",$B:$B,"&lt;&gt;Lorena Dias de Araujo",$B:$B,"&lt;&gt;Lucas Luiz Romero")*(10/1083),0)))))),0)</f>
        <v/>
      </c>
      <c r="K3836" s="3">
        <f>I3836-J3836</f>
        <v/>
      </c>
      <c r="L3836" s="3">
        <f>IF(K3836&lt;-5,"CRÍTICO",IF(K3836&lt;0,"ATENÇÃO",IF(K3836&lt;=5,"OPORTUNO","MUITO BOM")))</f>
        <v/>
      </c>
      <c r="N3836" t="n">
        <v>98.15000000000001</v>
      </c>
      <c r="O3836" t="n">
        <v>27.1551724137931</v>
      </c>
    </row>
    <row r="3837" hidden="1">
      <c r="A3837" s="11" t="n">
        <v>46121</v>
      </c>
      <c r="B3837" t="inlineStr">
        <is>
          <t>Leandro Oliveira de Sousa</t>
        </is>
      </c>
      <c r="C3837" t="inlineStr">
        <is>
          <t>Técnico III</t>
        </is>
      </c>
      <c r="D3837" t="n">
        <v>12</v>
      </c>
      <c r="E3837" t="n">
        <v>12</v>
      </c>
      <c r="F3837" t="n">
        <v>17.27</v>
      </c>
      <c r="G3837" t="n">
        <v>0</v>
      </c>
      <c r="H3837" t="n">
        <v>0</v>
      </c>
      <c r="I3837" s="3">
        <f>E3837+G3837+H3837</f>
        <v/>
      </c>
      <c r="J3837" s="3">
        <f>ROUND(MIN(IF(C3837="Técnico III",35,IF(C3837="Técnico II",28,IF(C3837="Técnico I",23,IF(C3837="JR",20,IF(C3837="Estágio",10,0))))),IF(C3837="Técnico III",SUMIFS($D:$D,$A:$A,$A3837,$B:$B,"&lt;&gt;Patrícia Karla de Sousa Araújo",$B:$B,"&lt;&gt;Lorena Dias de Araujo",$B:$B,"&lt;&gt;Lucas Luiz Romero")*(35/1083),IF(C3837="Técnico II",SUMIFS($D:$D,$A:$A,$A3837,$B:$B,"&lt;&gt;Patrícia Karla de Sousa Araújo",$B:$B,"&lt;&gt;Lorena Dias de Araujo",$B:$B,"&lt;&gt;Lucas Luiz Romero")*(28/1083),IF(C3837="Técnico I",SUMIFS($D:$D,$A:$A,$A3837,$B:$B,"&lt;&gt;Patrícia Karla de Sousa Araújo",$B:$B,"&lt;&gt;Lorena Dias de Araujo",$B:$B,"&lt;&gt;Lucas Luiz Romero")*(23/1083),IF(C3837="JR",SUMIFS($D:$D,$A:$A,$A3837,$B:$B,"&lt;&gt;Patrícia Karla de Sousa Araújo",$B:$B,"&lt;&gt;Lorena Dias de Araujo",$B:$B,"&lt;&gt;Lucas Luiz Romero")*(20/1083),IF(C3837="Estágio",SUMIFS($D:$D,$A:$A,$A3837,$B:$B,"&lt;&gt;Patrícia Karla de Sousa Araújo",$B:$B,"&lt;&gt;Lorena Dias de Araujo",$B:$B,"&lt;&gt;Lucas Luiz Romero")*(10/1083),0)))))),0)</f>
        <v/>
      </c>
      <c r="K3837" s="3">
        <f>I3837-J3837</f>
        <v/>
      </c>
      <c r="L3837" s="3">
        <f>IF(K3837&lt;-5,"CRÍTICO",IF(K3837&lt;0,"ATENÇÃO",IF(K3837&lt;=5,"OPORTUNO","MUITO BOM")))</f>
        <v/>
      </c>
      <c r="N3837" t="n">
        <v>99.15000000000001</v>
      </c>
      <c r="O3837" t="n">
        <v>27.37068965517241</v>
      </c>
    </row>
    <row r="3838" hidden="1">
      <c r="A3838" s="11" t="n">
        <v>46121</v>
      </c>
      <c r="B3838" t="inlineStr">
        <is>
          <t>Lizandra Gomes Duarte</t>
        </is>
      </c>
      <c r="C3838" t="inlineStr">
        <is>
          <t>Técnico II</t>
        </is>
      </c>
      <c r="D3838" t="n">
        <v>21</v>
      </c>
      <c r="E3838" t="n">
        <v>18</v>
      </c>
      <c r="F3838" t="n">
        <v>22.11</v>
      </c>
      <c r="G3838" t="n">
        <v>0</v>
      </c>
      <c r="H3838" t="n">
        <v>0</v>
      </c>
      <c r="I3838" s="3">
        <f>E3838+G3838+H3838</f>
        <v/>
      </c>
      <c r="J3838" s="3">
        <f>ROUND(MIN(IF(C3838="Técnico III",35,IF(C3838="Técnico II",28,IF(C3838="Técnico I",23,IF(C3838="JR",20,IF(C3838="Estágio",10,0))))),IF(C3838="Técnico III",SUMIFS($D:$D,$A:$A,$A3838,$B:$B,"&lt;&gt;Patrícia Karla de Sousa Araújo",$B:$B,"&lt;&gt;Lorena Dias de Araujo",$B:$B,"&lt;&gt;Lucas Luiz Romero")*(35/1083),IF(C3838="Técnico II",SUMIFS($D:$D,$A:$A,$A3838,$B:$B,"&lt;&gt;Patrícia Karla de Sousa Araújo",$B:$B,"&lt;&gt;Lorena Dias de Araujo",$B:$B,"&lt;&gt;Lucas Luiz Romero")*(28/1083),IF(C3838="Técnico I",SUMIFS($D:$D,$A:$A,$A3838,$B:$B,"&lt;&gt;Patrícia Karla de Sousa Araújo",$B:$B,"&lt;&gt;Lorena Dias de Araujo",$B:$B,"&lt;&gt;Lucas Luiz Romero")*(23/1083),IF(C3838="JR",SUMIFS($D:$D,$A:$A,$A3838,$B:$B,"&lt;&gt;Patrícia Karla de Sousa Araújo",$B:$B,"&lt;&gt;Lorena Dias de Araujo",$B:$B,"&lt;&gt;Lucas Luiz Romero")*(20/1083),IF(C3838="Estágio",SUMIFS($D:$D,$A:$A,$A3838,$B:$B,"&lt;&gt;Patrícia Karla de Sousa Araújo",$B:$B,"&lt;&gt;Lorena Dias de Araujo",$B:$B,"&lt;&gt;Lucas Luiz Romero")*(10/1083),0)))))),0)</f>
        <v/>
      </c>
      <c r="K3838" s="3">
        <f>I3838-J3838</f>
        <v/>
      </c>
      <c r="L3838" s="3">
        <f>IF(K3838&lt;-5,"CRÍTICO",IF(K3838&lt;0,"ATENÇÃO",IF(K3838&lt;=5,"OPORTUNO","MUITO BOM")))</f>
        <v/>
      </c>
      <c r="N3838" t="n">
        <v>99.17</v>
      </c>
      <c r="O3838" t="n">
        <v>29.75206611570248</v>
      </c>
    </row>
    <row r="3839" hidden="1">
      <c r="A3839" s="11" t="n">
        <v>46121</v>
      </c>
      <c r="B3839" t="inlineStr">
        <is>
          <t>Lorena Dias de Araujo</t>
        </is>
      </c>
      <c r="C3839" t="inlineStr">
        <is>
          <t>Técnico II</t>
        </is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s="3" t="n">
        <v>0</v>
      </c>
      <c r="J3839" s="3" t="n">
        <v>0</v>
      </c>
      <c r="K3839" s="3" t="n">
        <v>0</v>
      </c>
      <c r="L3839" s="3">
        <f>IF(K3839&lt;-5,"CRÍTICO",IF(K3839&lt;0,"ATENÇÃO",IF(K3839&lt;=5,"OPORTUNO","MUITO BOM")))</f>
        <v/>
      </c>
      <c r="N3839" t="n">
        <v>98.73</v>
      </c>
      <c r="O3839" t="n">
        <v>28.96174863387978</v>
      </c>
    </row>
    <row r="3840" hidden="1">
      <c r="A3840" s="11" t="n">
        <v>46121</v>
      </c>
      <c r="B3840" t="inlineStr">
        <is>
          <t>Lucas Luiz Romero</t>
        </is>
      </c>
      <c r="C3840" t="inlineStr">
        <is>
          <t>Técnico III</t>
        </is>
      </c>
      <c r="D3840" t="n">
        <v>37</v>
      </c>
      <c r="E3840" t="n">
        <v>30</v>
      </c>
      <c r="F3840" t="n">
        <v>15.56</v>
      </c>
      <c r="G3840" t="n">
        <v>0</v>
      </c>
      <c r="H3840" t="n">
        <v>0</v>
      </c>
      <c r="I3840" s="3">
        <f>E3840+G3840+H3840</f>
        <v/>
      </c>
      <c r="J3840" s="3">
        <f>ROUND(MIN(IF(C3840="Técnico III",35,IF(C3840="Técnico II",28,IF(C3840="Técnico I",23,IF(C3840="JR",20,IF(C3840="Estágio",10,0))))),IF(C3840="Técnico III",SUMIFS($D:$D,$A:$A,$A3840,$B:$B,"&lt;&gt;Patrícia Karla de Sousa Araújo",$B:$B,"&lt;&gt;Lorena Dias de Araujo",$B:$B,"&lt;&gt;Lucas Luiz Romero")*(35/1083),IF(C3840="Técnico II",SUMIFS($D:$D,$A:$A,$A3840,$B:$B,"&lt;&gt;Patrícia Karla de Sousa Araújo",$B:$B,"&lt;&gt;Lorena Dias de Araujo",$B:$B,"&lt;&gt;Lucas Luiz Romero")*(28/1083),IF(C3840="Técnico I",SUMIFS($D:$D,$A:$A,$A3840,$B:$B,"&lt;&gt;Patrícia Karla de Sousa Araújo",$B:$B,"&lt;&gt;Lorena Dias de Araujo",$B:$B,"&lt;&gt;Lucas Luiz Romero")*(23/1083),IF(C3840="JR",SUMIFS($D:$D,$A:$A,$A3840,$B:$B,"&lt;&gt;Patrícia Karla de Sousa Araújo",$B:$B,"&lt;&gt;Lorena Dias de Araujo",$B:$B,"&lt;&gt;Lucas Luiz Romero")*(20/1083),IF(C3840="Estágio",SUMIFS($D:$D,$A:$A,$A3840,$B:$B,"&lt;&gt;Patrícia Karla de Sousa Araújo",$B:$B,"&lt;&gt;Lorena Dias de Araujo",$B:$B,"&lt;&gt;Lucas Luiz Romero")*(10/1083),0)))))),0)</f>
        <v/>
      </c>
      <c r="K3840" s="3">
        <f>I3840-J3840</f>
        <v/>
      </c>
      <c r="L3840" s="3">
        <f>IF(K3840&lt;-5,"CRÍTICO",IF(K3840&lt;0,"ATENÇÃO",IF(K3840&lt;=5,"OPORTUNO","MUITO BOM")))</f>
        <v/>
      </c>
      <c r="N3840" t="n">
        <v>88.68000000000001</v>
      </c>
      <c r="O3840" t="n">
        <v>22.03389830508474</v>
      </c>
    </row>
    <row r="3841" hidden="1">
      <c r="A3841" s="11" t="n">
        <v>46121</v>
      </c>
      <c r="B3841" t="inlineStr">
        <is>
          <t>Luiz Fernando de Carvalho Junior</t>
        </is>
      </c>
      <c r="C3841" t="inlineStr">
        <is>
          <t>Técnico I</t>
        </is>
      </c>
      <c r="D3841" t="n">
        <v>27</v>
      </c>
      <c r="E3841" t="n">
        <v>23</v>
      </c>
      <c r="F3841" t="n">
        <v>14.04</v>
      </c>
      <c r="G3841" t="n">
        <v>0</v>
      </c>
      <c r="H3841" t="n">
        <v>0</v>
      </c>
      <c r="I3841" s="3">
        <f>E3841+G3841+H3841</f>
        <v/>
      </c>
      <c r="J3841" s="3">
        <f>ROUND(MIN(IF(C3841="Técnico III",35,IF(C3841="Técnico II",28,IF(C3841="Técnico I",23,IF(C3841="JR",20,IF(C3841="Estágio",10,0))))),IF(C3841="Técnico III",SUMIFS($D:$D,$A:$A,$A3841,$B:$B,"&lt;&gt;Patrícia Karla de Sousa Araújo",$B:$B,"&lt;&gt;Lorena Dias de Araujo",$B:$B,"&lt;&gt;Lucas Luiz Romero")*(35/1083),IF(C3841="Técnico II",SUMIFS($D:$D,$A:$A,$A3841,$B:$B,"&lt;&gt;Patrícia Karla de Sousa Araújo",$B:$B,"&lt;&gt;Lorena Dias de Araujo",$B:$B,"&lt;&gt;Lucas Luiz Romero")*(28/1083),IF(C3841="Técnico I",SUMIFS($D:$D,$A:$A,$A3841,$B:$B,"&lt;&gt;Patrícia Karla de Sousa Araújo",$B:$B,"&lt;&gt;Lorena Dias de Araujo",$B:$B,"&lt;&gt;Lucas Luiz Romero")*(23/1083),IF(C3841="JR",SUMIFS($D:$D,$A:$A,$A3841,$B:$B,"&lt;&gt;Patrícia Karla de Sousa Araújo",$B:$B,"&lt;&gt;Lorena Dias de Araujo",$B:$B,"&lt;&gt;Lucas Luiz Romero")*(20/1083),IF(C3841="Estágio",SUMIFS($D:$D,$A:$A,$A3841,$B:$B,"&lt;&gt;Patrícia Karla de Sousa Araújo",$B:$B,"&lt;&gt;Lorena Dias de Araujo",$B:$B,"&lt;&gt;Lucas Luiz Romero")*(10/1083),0)))))),0)</f>
        <v/>
      </c>
      <c r="K3841" s="3">
        <f>I3841-J3841</f>
        <v/>
      </c>
      <c r="L3841" s="3">
        <f>IF(K3841&lt;-5,"CRÍTICO",IF(K3841&lt;0,"ATENÇÃO",IF(K3841&lt;=5,"OPORTUNO","MUITO BOM")))</f>
        <v/>
      </c>
      <c r="N3841" t="n">
        <v>97.37</v>
      </c>
      <c r="O3841" t="n">
        <v>25.76530612244898</v>
      </c>
    </row>
    <row r="3842" hidden="1">
      <c r="A3842" s="11" t="n">
        <v>46121</v>
      </c>
      <c r="B3842" t="inlineStr">
        <is>
          <t>Maria Eduarda Sousa Costa</t>
        </is>
      </c>
      <c r="C3842" t="inlineStr">
        <is>
          <t>Estágio</t>
        </is>
      </c>
      <c r="D3842" t="n">
        <v>9</v>
      </c>
      <c r="E3842" t="n">
        <v>9</v>
      </c>
      <c r="F3842" t="n">
        <v>43.54</v>
      </c>
      <c r="G3842" t="n">
        <v>0</v>
      </c>
      <c r="H3842" t="n">
        <v>0</v>
      </c>
      <c r="I3842" s="3">
        <f>E3842+G3842+H3842</f>
        <v/>
      </c>
      <c r="J3842" s="3">
        <f>ROUND(MIN(IF(C3842="Técnico III",35,IF(C3842="Técnico II",28,IF(C3842="Técnico I",23,IF(C3842="JR",20,IF(C3842="Estágio",10,0))))),IF(C3842="Técnico III",SUMIFS($D:$D,$A:$A,$A3842,$B:$B,"&lt;&gt;Patrícia Karla de Sousa Araújo",$B:$B,"&lt;&gt;Lorena Dias de Araujo",$B:$B,"&lt;&gt;Lucas Luiz Romero")*(35/1083),IF(C3842="Técnico II",SUMIFS($D:$D,$A:$A,$A3842,$B:$B,"&lt;&gt;Patrícia Karla de Sousa Araújo",$B:$B,"&lt;&gt;Lorena Dias de Araujo",$B:$B,"&lt;&gt;Lucas Luiz Romero")*(28/1083),IF(C3842="Técnico I",SUMIFS($D:$D,$A:$A,$A3842,$B:$B,"&lt;&gt;Patrícia Karla de Sousa Araújo",$B:$B,"&lt;&gt;Lorena Dias de Araujo",$B:$B,"&lt;&gt;Lucas Luiz Romero")*(23/1083),IF(C3842="JR",SUMIFS($D:$D,$A:$A,$A3842,$B:$B,"&lt;&gt;Patrícia Karla de Sousa Araújo",$B:$B,"&lt;&gt;Lorena Dias de Araujo",$B:$B,"&lt;&gt;Lucas Luiz Romero")*(20/1083),IF(C3842="Estágio",SUMIFS($D:$D,$A:$A,$A3842,$B:$B,"&lt;&gt;Patrícia Karla de Sousa Araújo",$B:$B,"&lt;&gt;Lorena Dias de Araujo",$B:$B,"&lt;&gt;Lucas Luiz Romero")*(10/1083),0)))))),0)</f>
        <v/>
      </c>
      <c r="K3842" s="3">
        <f>I3842-J3842</f>
        <v/>
      </c>
      <c r="L3842" s="3">
        <f>IF(K3842&lt;-5,"CRÍTICO",IF(K3842&lt;0,"ATENÇÃO",IF(K3842&lt;=5,"OPORTUNO","MUITO BOM")))</f>
        <v/>
      </c>
      <c r="N3842" t="n">
        <v>100</v>
      </c>
      <c r="O3842" t="n">
        <v>25</v>
      </c>
    </row>
    <row r="3843" hidden="1">
      <c r="A3843" s="11" t="n">
        <v>46121</v>
      </c>
      <c r="B3843" t="inlineStr">
        <is>
          <t>Matheus Farias De Souza</t>
        </is>
      </c>
      <c r="C3843" t="inlineStr">
        <is>
          <t>Técnico III</t>
        </is>
      </c>
      <c r="D3843" t="n">
        <v>27</v>
      </c>
      <c r="E3843" t="n">
        <v>27</v>
      </c>
      <c r="F3843" t="n">
        <v>17.13</v>
      </c>
      <c r="G3843" t="n">
        <v>0</v>
      </c>
      <c r="H3843" t="n">
        <v>0</v>
      </c>
      <c r="I3843" s="3">
        <f>E3843+G3843+H3843</f>
        <v/>
      </c>
      <c r="J3843" s="3">
        <f>ROUND(MIN(IF(C3843="Técnico III",35,IF(C3843="Técnico II",28,IF(C3843="Técnico I",23,IF(C3843="JR",20,IF(C3843="Estágio",10,0))))),IF(C3843="Técnico III",SUMIFS($D:$D,$A:$A,$A3843,$B:$B,"&lt;&gt;Patrícia Karla de Sousa Araújo",$B:$B,"&lt;&gt;Lorena Dias de Araujo",$B:$B,"&lt;&gt;Lucas Luiz Romero")*(35/1083),IF(C3843="Técnico II",SUMIFS($D:$D,$A:$A,$A3843,$B:$B,"&lt;&gt;Patrícia Karla de Sousa Araújo",$B:$B,"&lt;&gt;Lorena Dias de Araujo",$B:$B,"&lt;&gt;Lucas Luiz Romero")*(28/1083),IF(C3843="Técnico I",SUMIFS($D:$D,$A:$A,$A3843,$B:$B,"&lt;&gt;Patrícia Karla de Sousa Araújo",$B:$B,"&lt;&gt;Lorena Dias de Araujo",$B:$B,"&lt;&gt;Lucas Luiz Romero")*(23/1083),IF(C3843="JR",SUMIFS($D:$D,$A:$A,$A3843,$B:$B,"&lt;&gt;Patrícia Karla de Sousa Araújo",$B:$B,"&lt;&gt;Lorena Dias de Araujo",$B:$B,"&lt;&gt;Lucas Luiz Romero")*(20/1083),IF(C3843="Estágio",SUMIFS($D:$D,$A:$A,$A3843,$B:$B,"&lt;&gt;Patrícia Karla de Sousa Araújo",$B:$B,"&lt;&gt;Lorena Dias de Araujo",$B:$B,"&lt;&gt;Lucas Luiz Romero")*(10/1083),0)))))),0)</f>
        <v/>
      </c>
      <c r="K3843" s="3">
        <f>I3843-J3843</f>
        <v/>
      </c>
      <c r="L3843" s="3">
        <f>IF(K3843&lt;-5,"CRÍTICO",IF(K3843&lt;0,"ATENÇÃO",IF(K3843&lt;=5,"OPORTUNO","MUITO BOM")))</f>
        <v/>
      </c>
      <c r="N3843" t="n">
        <v>100</v>
      </c>
      <c r="O3843" t="n">
        <v>23.9870340356564</v>
      </c>
    </row>
    <row r="3844" hidden="1">
      <c r="A3844" s="11" t="n">
        <v>46121</v>
      </c>
      <c r="B3844" t="inlineStr">
        <is>
          <t>Maysa Victoria Dias Moura</t>
        </is>
      </c>
      <c r="C3844" t="inlineStr">
        <is>
          <t>Técnico III</t>
        </is>
      </c>
      <c r="D3844" t="n">
        <v>30</v>
      </c>
      <c r="E3844" t="n">
        <v>30</v>
      </c>
      <c r="F3844" t="n">
        <v>19.03</v>
      </c>
      <c r="G3844" t="n">
        <v>0</v>
      </c>
      <c r="H3844" t="n">
        <v>0</v>
      </c>
      <c r="I3844" s="3">
        <f>E3844+G3844+H3844</f>
        <v/>
      </c>
      <c r="J3844" s="3">
        <f>ROUND(MIN(IF(C3844="Técnico III",35,IF(C3844="Técnico II",28,IF(C3844="Técnico I",23,IF(C3844="JR",20,IF(C3844="Estágio",10,0))))),IF(C3844="Técnico III",SUMIFS($D:$D,$A:$A,$A3844,$B:$B,"&lt;&gt;Patrícia Karla de Sousa Araújo",$B:$B,"&lt;&gt;Lorena Dias de Araujo",$B:$B,"&lt;&gt;Lucas Luiz Romero")*(35/1083),IF(C3844="Técnico II",SUMIFS($D:$D,$A:$A,$A3844,$B:$B,"&lt;&gt;Patrícia Karla de Sousa Araújo",$B:$B,"&lt;&gt;Lorena Dias de Araujo",$B:$B,"&lt;&gt;Lucas Luiz Romero")*(28/1083),IF(C3844="Técnico I",SUMIFS($D:$D,$A:$A,$A3844,$B:$B,"&lt;&gt;Patrícia Karla de Sousa Araújo",$B:$B,"&lt;&gt;Lorena Dias de Araujo",$B:$B,"&lt;&gt;Lucas Luiz Romero")*(23/1083),IF(C3844="JR",SUMIFS($D:$D,$A:$A,$A3844,$B:$B,"&lt;&gt;Patrícia Karla de Sousa Araújo",$B:$B,"&lt;&gt;Lorena Dias de Araujo",$B:$B,"&lt;&gt;Lucas Luiz Romero")*(20/1083),IF(C3844="Estágio",SUMIFS($D:$D,$A:$A,$A3844,$B:$B,"&lt;&gt;Patrícia Karla de Sousa Araújo",$B:$B,"&lt;&gt;Lorena Dias de Araujo",$B:$B,"&lt;&gt;Lucas Luiz Romero")*(10/1083),0)))))),0)</f>
        <v/>
      </c>
      <c r="K3844" s="3">
        <f>I3844-J3844</f>
        <v/>
      </c>
      <c r="L3844" s="3">
        <f>IF(K3844&lt;-5,"CRÍTICO",IF(K3844&lt;0,"ATENÇÃO",IF(K3844&lt;=5,"OPORTUNO","MUITO BOM")))</f>
        <v/>
      </c>
      <c r="N3844" t="n">
        <v>95.48999999999999</v>
      </c>
      <c r="O3844" t="n">
        <v>28.16901408450704</v>
      </c>
    </row>
    <row r="3845" hidden="1">
      <c r="A3845" s="11" t="n">
        <v>46121</v>
      </c>
      <c r="B3845" t="inlineStr">
        <is>
          <t>Michelle G Santos</t>
        </is>
      </c>
      <c r="C3845" t="inlineStr">
        <is>
          <t>Estágio</t>
        </is>
      </c>
      <c r="D3845" t="n">
        <v>13</v>
      </c>
      <c r="E3845" t="n">
        <v>12</v>
      </c>
      <c r="F3845" t="n">
        <v>24.15</v>
      </c>
      <c r="G3845" t="n">
        <v>0</v>
      </c>
      <c r="H3845" t="n">
        <v>0</v>
      </c>
      <c r="I3845" s="3">
        <f>E3845+G3845+H3845</f>
        <v/>
      </c>
      <c r="J3845" s="3">
        <f>ROUND(MIN(IF(C3845="Técnico III",35,IF(C3845="Técnico II",28,IF(C3845="Técnico I",23,IF(C3845="JR",20,IF(C3845="Estágio",10,0))))),IF(C3845="Técnico III",SUMIFS($D:$D,$A:$A,$A3845,$B:$B,"&lt;&gt;Patrícia Karla de Sousa Araújo",$B:$B,"&lt;&gt;Lorena Dias de Araujo",$B:$B,"&lt;&gt;Lucas Luiz Romero")*(35/1083),IF(C3845="Técnico II",SUMIFS($D:$D,$A:$A,$A3845,$B:$B,"&lt;&gt;Patrícia Karla de Sousa Araújo",$B:$B,"&lt;&gt;Lorena Dias de Araujo",$B:$B,"&lt;&gt;Lucas Luiz Romero")*(28/1083),IF(C3845="Técnico I",SUMIFS($D:$D,$A:$A,$A3845,$B:$B,"&lt;&gt;Patrícia Karla de Sousa Araújo",$B:$B,"&lt;&gt;Lorena Dias de Araujo",$B:$B,"&lt;&gt;Lucas Luiz Romero")*(23/1083),IF(C3845="JR",SUMIFS($D:$D,$A:$A,$A3845,$B:$B,"&lt;&gt;Patrícia Karla de Sousa Araújo",$B:$B,"&lt;&gt;Lorena Dias de Araujo",$B:$B,"&lt;&gt;Lucas Luiz Romero")*(20/1083),IF(C3845="Estágio",SUMIFS($D:$D,$A:$A,$A3845,$B:$B,"&lt;&gt;Patrícia Karla de Sousa Araújo",$B:$B,"&lt;&gt;Lorena Dias de Araujo",$B:$B,"&lt;&gt;Lucas Luiz Romero")*(10/1083),0)))))),0)</f>
        <v/>
      </c>
      <c r="K3845" s="3">
        <f>I3845-J3845</f>
        <v/>
      </c>
      <c r="L3845" s="3">
        <f>IF(K3845&lt;-5,"CRÍTICO",IF(K3845&lt;0,"ATENÇÃO",IF(K3845&lt;=5,"OPORTUNO","MUITO BOM")))</f>
        <v/>
      </c>
      <c r="N3845" t="n">
        <v>100</v>
      </c>
      <c r="O3845" t="n">
        <v>23.77622377622378</v>
      </c>
    </row>
    <row r="3846" hidden="1">
      <c r="A3846" s="11" t="n">
        <v>46121</v>
      </c>
      <c r="B3846" t="inlineStr">
        <is>
          <t>Milena Sales</t>
        </is>
      </c>
      <c r="C3846" t="inlineStr">
        <is>
          <t>JR</t>
        </is>
      </c>
      <c r="D3846" t="n">
        <v>17</v>
      </c>
      <c r="E3846" t="n">
        <v>15</v>
      </c>
      <c r="F3846" t="n">
        <v>22.32</v>
      </c>
      <c r="G3846" t="n">
        <v>0</v>
      </c>
      <c r="H3846" t="n">
        <v>0</v>
      </c>
      <c r="I3846" s="3">
        <f>E3846+G3846+H3846</f>
        <v/>
      </c>
      <c r="J3846" s="3">
        <f>ROUND(MIN(IF(C3846="Técnico III",35,IF(C3846="Técnico II",28,IF(C3846="Técnico I",23,IF(C3846="JR",20,IF(C3846="Estágio",10,0))))),IF(C3846="Técnico III",SUMIFS($D:$D,$A:$A,$A3846,$B:$B,"&lt;&gt;Patrícia Karla de Sousa Araújo",$B:$B,"&lt;&gt;Lorena Dias de Araujo",$B:$B,"&lt;&gt;Lucas Luiz Romero")*(35/1083),IF(C3846="Técnico II",SUMIFS($D:$D,$A:$A,$A3846,$B:$B,"&lt;&gt;Patrícia Karla de Sousa Araújo",$B:$B,"&lt;&gt;Lorena Dias de Araujo",$B:$B,"&lt;&gt;Lucas Luiz Romero")*(28/1083),IF(C3846="Técnico I",SUMIFS($D:$D,$A:$A,$A3846,$B:$B,"&lt;&gt;Patrícia Karla de Sousa Araújo",$B:$B,"&lt;&gt;Lorena Dias de Araujo",$B:$B,"&lt;&gt;Lucas Luiz Romero")*(23/1083),IF(C3846="JR",SUMIFS($D:$D,$A:$A,$A3846,$B:$B,"&lt;&gt;Patrícia Karla de Sousa Araújo",$B:$B,"&lt;&gt;Lorena Dias de Araujo",$B:$B,"&lt;&gt;Lucas Luiz Romero")*(20/1083),IF(C3846="Estágio",SUMIFS($D:$D,$A:$A,$A3846,$B:$B,"&lt;&gt;Patrícia Karla de Sousa Araújo",$B:$B,"&lt;&gt;Lorena Dias de Araujo",$B:$B,"&lt;&gt;Lucas Luiz Romero")*(10/1083),0)))))),0)</f>
        <v/>
      </c>
      <c r="K3846" s="3">
        <f>I3846-J3846</f>
        <v/>
      </c>
      <c r="L3846" s="3">
        <f>IF(K3846&lt;-5,"CRÍTICO",IF(K3846&lt;0,"ATENÇÃO",IF(K3846&lt;=5,"OPORTUNO","MUITO BOM")))</f>
        <v/>
      </c>
      <c r="N3846" t="n">
        <v>96.15000000000001</v>
      </c>
      <c r="O3846" t="n">
        <v>24.04580152671756</v>
      </c>
    </row>
    <row r="3847" hidden="1">
      <c r="A3847" s="11" t="n">
        <v>46121</v>
      </c>
      <c r="B3847" t="inlineStr">
        <is>
          <t>Patrícia Karla de Sousa Araújo</t>
        </is>
      </c>
      <c r="C3847" t="inlineStr">
        <is>
          <t>Técnico II</t>
        </is>
      </c>
      <c r="D3847" t="n">
        <v>25</v>
      </c>
      <c r="E3847" t="n">
        <v>25</v>
      </c>
      <c r="F3847" t="n">
        <v>19.15</v>
      </c>
      <c r="G3847" t="n">
        <v>0</v>
      </c>
      <c r="H3847" t="n">
        <v>0</v>
      </c>
      <c r="I3847" s="3">
        <f>E3847+G3847+H3847</f>
        <v/>
      </c>
      <c r="J3847" s="3">
        <f>ROUND(MIN(IF(C3847="Técnico III",35,IF(C3847="Técnico II",28,IF(C3847="Técnico I",23,IF(C3847="JR",20,IF(C3847="Estágio",10,0))))),IF(C3847="Técnico III",SUMIFS($D:$D,$A:$A,$A3847,$B:$B,"&lt;&gt;Patrícia Karla de Sousa Araújo",$B:$B,"&lt;&gt;Lorena Dias de Araujo",$B:$B,"&lt;&gt;Lucas Luiz Romero")*(35/1083),IF(C3847="Técnico II",SUMIFS($D:$D,$A:$A,$A3847,$B:$B,"&lt;&gt;Patrícia Karla de Sousa Araújo",$B:$B,"&lt;&gt;Lorena Dias de Araujo",$B:$B,"&lt;&gt;Lucas Luiz Romero")*(28/1083),IF(C3847="Técnico I",SUMIFS($D:$D,$A:$A,$A3847,$B:$B,"&lt;&gt;Patrícia Karla de Sousa Araújo",$B:$B,"&lt;&gt;Lorena Dias de Araujo",$B:$B,"&lt;&gt;Lucas Luiz Romero")*(23/1083),IF(C3847="JR",SUMIFS($D:$D,$A:$A,$A3847,$B:$B,"&lt;&gt;Patrícia Karla de Sousa Araújo",$B:$B,"&lt;&gt;Lorena Dias de Araujo",$B:$B,"&lt;&gt;Lucas Luiz Romero")*(20/1083),IF(C3847="Estágio",SUMIFS($D:$D,$A:$A,$A3847,$B:$B,"&lt;&gt;Patrícia Karla de Sousa Araújo",$B:$B,"&lt;&gt;Lorena Dias de Araujo",$B:$B,"&lt;&gt;Lucas Luiz Romero")*(10/1083),0)))))),0)</f>
        <v/>
      </c>
      <c r="K3847" s="3">
        <f>I3847-J3847</f>
        <v/>
      </c>
      <c r="L3847" s="3">
        <f>IF(K3847&lt;-5,"CRÍTICO",IF(K3847&lt;0,"ATENÇÃO",IF(K3847&lt;=5,"OPORTUNO","MUITO BOM")))</f>
        <v/>
      </c>
      <c r="N3847" t="n">
        <v>99.02</v>
      </c>
      <c r="O3847" t="n">
        <v>34.7972972972973</v>
      </c>
    </row>
    <row r="3848" hidden="1">
      <c r="A3848" s="11" t="n">
        <v>46121</v>
      </c>
      <c r="B3848" t="inlineStr">
        <is>
          <t>Paulo Ricardo Santos</t>
        </is>
      </c>
      <c r="C3848" t="inlineStr">
        <is>
          <t>JR</t>
        </is>
      </c>
      <c r="D3848" t="n">
        <v>19</v>
      </c>
      <c r="E3848" t="n">
        <v>18</v>
      </c>
      <c r="F3848" t="n">
        <v>18.41</v>
      </c>
      <c r="G3848" t="n">
        <v>0</v>
      </c>
      <c r="H3848" t="n">
        <v>0</v>
      </c>
      <c r="I3848" s="3">
        <f>E3848+G3848+H3848</f>
        <v/>
      </c>
      <c r="J3848" s="3">
        <f>ROUND(MIN(IF(C3848="Técnico III",35,IF(C3848="Técnico II",28,IF(C3848="Técnico I",23,IF(C3848="JR",20,IF(C3848="Estágio",10,0))))),IF(C3848="Técnico III",SUMIFS($D:$D,$A:$A,$A3848,$B:$B,"&lt;&gt;Patrícia Karla de Sousa Araújo",$B:$B,"&lt;&gt;Lorena Dias de Araujo",$B:$B,"&lt;&gt;Lucas Luiz Romero")*(35/1083),IF(C3848="Técnico II",SUMIFS($D:$D,$A:$A,$A3848,$B:$B,"&lt;&gt;Patrícia Karla de Sousa Araújo",$B:$B,"&lt;&gt;Lorena Dias de Araujo",$B:$B,"&lt;&gt;Lucas Luiz Romero")*(28/1083),IF(C3848="Técnico I",SUMIFS($D:$D,$A:$A,$A3848,$B:$B,"&lt;&gt;Patrícia Karla de Sousa Araújo",$B:$B,"&lt;&gt;Lorena Dias de Araujo",$B:$B,"&lt;&gt;Lucas Luiz Romero")*(23/1083),IF(C3848="JR",SUMIFS($D:$D,$A:$A,$A3848,$B:$B,"&lt;&gt;Patrícia Karla de Sousa Araújo",$B:$B,"&lt;&gt;Lorena Dias de Araujo",$B:$B,"&lt;&gt;Lucas Luiz Romero")*(20/1083),IF(C3848="Estágio",SUMIFS($D:$D,$A:$A,$A3848,$B:$B,"&lt;&gt;Patrícia Karla de Sousa Araújo",$B:$B,"&lt;&gt;Lorena Dias de Araujo",$B:$B,"&lt;&gt;Lucas Luiz Romero")*(10/1083),0)))))),0)</f>
        <v/>
      </c>
      <c r="K3848" s="3">
        <f>I3848-J3848</f>
        <v/>
      </c>
      <c r="L3848" s="3">
        <f>IF(K3848&lt;-5,"CRÍTICO",IF(K3848&lt;0,"ATENÇÃO",IF(K3848&lt;=5,"OPORTUNO","MUITO BOM")))</f>
        <v/>
      </c>
      <c r="N3848" t="n">
        <v>98.84</v>
      </c>
      <c r="O3848" t="n">
        <v>31.5018315018315</v>
      </c>
    </row>
    <row r="3849" hidden="1">
      <c r="A3849" s="11" t="n">
        <v>46121</v>
      </c>
      <c r="B3849" t="inlineStr">
        <is>
          <t>Pedro Luiz Mota Sousa</t>
        </is>
      </c>
      <c r="C3849" t="inlineStr">
        <is>
          <t>JR</t>
        </is>
      </c>
      <c r="D3849" t="n">
        <v>21</v>
      </c>
      <c r="E3849" t="n">
        <v>21</v>
      </c>
      <c r="F3849" t="n">
        <v>18.48</v>
      </c>
      <c r="G3849" t="n">
        <v>0</v>
      </c>
      <c r="H3849" t="n">
        <v>0</v>
      </c>
      <c r="I3849" s="3">
        <f>E3849+G3849+H3849</f>
        <v/>
      </c>
      <c r="J3849" s="3">
        <f>ROUND(MIN(IF(C3849="Técnico III",35,IF(C3849="Técnico II",28,IF(C3849="Técnico I",23,IF(C3849="JR",20,IF(C3849="Estágio",10,0))))),IF(C3849="Técnico III",SUMIFS($D:$D,$A:$A,$A3849,$B:$B,"&lt;&gt;Patrícia Karla de Sousa Araújo",$B:$B,"&lt;&gt;Lorena Dias de Araujo",$B:$B,"&lt;&gt;Lucas Luiz Romero")*(35/1083),IF(C3849="Técnico II",SUMIFS($D:$D,$A:$A,$A3849,$B:$B,"&lt;&gt;Patrícia Karla de Sousa Araújo",$B:$B,"&lt;&gt;Lorena Dias de Araujo",$B:$B,"&lt;&gt;Lucas Luiz Romero")*(28/1083),IF(C3849="Técnico I",SUMIFS($D:$D,$A:$A,$A3849,$B:$B,"&lt;&gt;Patrícia Karla de Sousa Araújo",$B:$B,"&lt;&gt;Lorena Dias de Araujo",$B:$B,"&lt;&gt;Lucas Luiz Romero")*(23/1083),IF(C3849="JR",SUMIFS($D:$D,$A:$A,$A3849,$B:$B,"&lt;&gt;Patrícia Karla de Sousa Araújo",$B:$B,"&lt;&gt;Lorena Dias de Araujo",$B:$B,"&lt;&gt;Lucas Luiz Romero")*(20/1083),IF(C3849="Estágio",SUMIFS($D:$D,$A:$A,$A3849,$B:$B,"&lt;&gt;Patrícia Karla de Sousa Araújo",$B:$B,"&lt;&gt;Lorena Dias de Araujo",$B:$B,"&lt;&gt;Lucas Luiz Romero")*(10/1083),0)))))),0)</f>
        <v/>
      </c>
      <c r="K3849" s="3">
        <f>I3849-J3849</f>
        <v/>
      </c>
      <c r="L3849" s="3">
        <f>IF(K3849&lt;-5,"CRÍTICO",IF(K3849&lt;0,"ATENÇÃO",IF(K3849&lt;=5,"OPORTUNO","MUITO BOM")))</f>
        <v/>
      </c>
      <c r="N3849" t="n">
        <v>100</v>
      </c>
      <c r="O3849" t="n">
        <v>34.66666666666667</v>
      </c>
    </row>
    <row r="3850" hidden="1">
      <c r="A3850" s="11" t="n">
        <v>46121</v>
      </c>
      <c r="B3850" t="inlineStr">
        <is>
          <t>Quirino Diogo Leite Torres</t>
        </is>
      </c>
      <c r="C3850" t="inlineStr">
        <is>
          <t>Estágio</t>
        </is>
      </c>
      <c r="D3850" t="n">
        <v>6</v>
      </c>
      <c r="E3850" t="n">
        <v>6</v>
      </c>
      <c r="F3850" t="n">
        <v>27.12</v>
      </c>
      <c r="G3850" t="n">
        <v>0</v>
      </c>
      <c r="H3850" t="n">
        <v>0</v>
      </c>
      <c r="I3850" s="3">
        <f>E3850+G3850+H3850</f>
        <v/>
      </c>
      <c r="J3850" s="3">
        <f>ROUND(MIN(IF(C3850="Técnico III",35,IF(C3850="Técnico II",28,IF(C3850="Técnico I",23,IF(C3850="JR",20,IF(C3850="Estágio",10,0))))),IF(C3850="Técnico III",SUMIFS($D:$D,$A:$A,$A3850,$B:$B,"&lt;&gt;Patrícia Karla de Sousa Araújo",$B:$B,"&lt;&gt;Lorena Dias de Araujo",$B:$B,"&lt;&gt;Lucas Luiz Romero")*(35/1083),IF(C3850="Técnico II",SUMIFS($D:$D,$A:$A,$A3850,$B:$B,"&lt;&gt;Patrícia Karla de Sousa Araújo",$B:$B,"&lt;&gt;Lorena Dias de Araujo",$B:$B,"&lt;&gt;Lucas Luiz Romero")*(28/1083),IF(C3850="Técnico I",SUMIFS($D:$D,$A:$A,$A3850,$B:$B,"&lt;&gt;Patrícia Karla de Sousa Araújo",$B:$B,"&lt;&gt;Lorena Dias de Araujo",$B:$B,"&lt;&gt;Lucas Luiz Romero")*(23/1083),IF(C3850="JR",SUMIFS($D:$D,$A:$A,$A3850,$B:$B,"&lt;&gt;Patrícia Karla de Sousa Araújo",$B:$B,"&lt;&gt;Lorena Dias de Araujo",$B:$B,"&lt;&gt;Lucas Luiz Romero")*(20/1083),IF(C3850="Estágio",SUMIFS($D:$D,$A:$A,$A3850,$B:$B,"&lt;&gt;Patrícia Karla de Sousa Araújo",$B:$B,"&lt;&gt;Lorena Dias de Araujo",$B:$B,"&lt;&gt;Lucas Luiz Romero")*(10/1083),0)))))),0)</f>
        <v/>
      </c>
      <c r="K3850" s="3">
        <f>I3850-J3850</f>
        <v/>
      </c>
      <c r="L3850" s="3">
        <f>IF(K3850&lt;-5,"CRÍTICO",IF(K3850&lt;0,"ATENÇÃO",IF(K3850&lt;=5,"OPORTUNO","MUITO BOM")))</f>
        <v/>
      </c>
      <c r="N3850" t="n">
        <v>94.12</v>
      </c>
      <c r="O3850" t="n">
        <v>32.8</v>
      </c>
    </row>
    <row r="3851" hidden="1">
      <c r="A3851" s="11" t="n">
        <v>46121</v>
      </c>
      <c r="B3851" t="inlineStr">
        <is>
          <t>Raane Batista Matos</t>
        </is>
      </c>
      <c r="C3851" t="inlineStr">
        <is>
          <t>Técnico I</t>
        </is>
      </c>
      <c r="D3851" t="n">
        <v>33</v>
      </c>
      <c r="E3851" t="n">
        <v>31</v>
      </c>
      <c r="F3851" t="n">
        <v>12.37</v>
      </c>
      <c r="G3851" t="n">
        <v>0</v>
      </c>
      <c r="H3851" t="n">
        <v>0</v>
      </c>
      <c r="I3851" s="3">
        <f>E3851+G3851+H3851</f>
        <v/>
      </c>
      <c r="J3851" s="3">
        <f>ROUND(MIN(IF(C3851="Técnico III",35,IF(C3851="Técnico II",28,IF(C3851="Técnico I",23,IF(C3851="JR",20,IF(C3851="Estágio",10,0))))),IF(C3851="Técnico III",SUMIFS($D:$D,$A:$A,$A3851,$B:$B,"&lt;&gt;Patrícia Karla de Sousa Araújo",$B:$B,"&lt;&gt;Lorena Dias de Araujo",$B:$B,"&lt;&gt;Lucas Luiz Romero")*(35/1083),IF(C3851="Técnico II",SUMIFS($D:$D,$A:$A,$A3851,$B:$B,"&lt;&gt;Patrícia Karla de Sousa Araújo",$B:$B,"&lt;&gt;Lorena Dias de Araujo",$B:$B,"&lt;&gt;Lucas Luiz Romero")*(28/1083),IF(C3851="Técnico I",SUMIFS($D:$D,$A:$A,$A3851,$B:$B,"&lt;&gt;Patrícia Karla de Sousa Araújo",$B:$B,"&lt;&gt;Lorena Dias de Araujo",$B:$B,"&lt;&gt;Lucas Luiz Romero")*(23/1083),IF(C3851="JR",SUMIFS($D:$D,$A:$A,$A3851,$B:$B,"&lt;&gt;Patrícia Karla de Sousa Araújo",$B:$B,"&lt;&gt;Lorena Dias de Araujo",$B:$B,"&lt;&gt;Lucas Luiz Romero")*(20/1083),IF(C3851="Estágio",SUMIFS($D:$D,$A:$A,$A3851,$B:$B,"&lt;&gt;Patrícia Karla de Sousa Araújo",$B:$B,"&lt;&gt;Lorena Dias de Araujo",$B:$B,"&lt;&gt;Lucas Luiz Romero")*(10/1083),0)))))),0)</f>
        <v/>
      </c>
      <c r="K3851" s="3">
        <f>I3851-J3851</f>
        <v/>
      </c>
      <c r="L3851" s="3">
        <f>IF(K3851&lt;-5,"CRÍTICO",IF(K3851&lt;0,"ATENÇÃO",IF(K3851&lt;=5,"OPORTUNO","MUITO BOM")))</f>
        <v/>
      </c>
      <c r="N3851" t="n">
        <v>98.31999999999999</v>
      </c>
      <c r="O3851" t="n">
        <v>26.61870503597122</v>
      </c>
    </row>
    <row r="3852" hidden="1">
      <c r="A3852" s="11" t="n">
        <v>46121</v>
      </c>
      <c r="B3852" t="inlineStr">
        <is>
          <t>Rafael Gomes de Morais</t>
        </is>
      </c>
      <c r="C3852" t="inlineStr">
        <is>
          <t>Técnico III</t>
        </is>
      </c>
      <c r="D3852" t="n">
        <v>35</v>
      </c>
      <c r="E3852" t="n">
        <v>30</v>
      </c>
      <c r="F3852" t="n">
        <v>12.16</v>
      </c>
      <c r="G3852" t="n">
        <v>0</v>
      </c>
      <c r="H3852" t="n">
        <v>0</v>
      </c>
      <c r="I3852" s="3">
        <f>E3852+G3852+H3852</f>
        <v/>
      </c>
      <c r="J3852" s="3">
        <f>ROUND(MIN(IF(C3852="Técnico III",35,IF(C3852="Técnico II",28,IF(C3852="Técnico I",23,IF(C3852="JR",20,IF(C3852="Estágio",10,0))))),IF(C3852="Técnico III",SUMIFS($D:$D,$A:$A,$A3852,$B:$B,"&lt;&gt;Patrícia Karla de Sousa Araújo",$B:$B,"&lt;&gt;Lorena Dias de Araujo",$B:$B,"&lt;&gt;Lucas Luiz Romero")*(35/1083),IF(C3852="Técnico II",SUMIFS($D:$D,$A:$A,$A3852,$B:$B,"&lt;&gt;Patrícia Karla de Sousa Araújo",$B:$B,"&lt;&gt;Lorena Dias de Araujo",$B:$B,"&lt;&gt;Lucas Luiz Romero")*(28/1083),IF(C3852="Técnico I",SUMIFS($D:$D,$A:$A,$A3852,$B:$B,"&lt;&gt;Patrícia Karla de Sousa Araújo",$B:$B,"&lt;&gt;Lorena Dias de Araujo",$B:$B,"&lt;&gt;Lucas Luiz Romero")*(23/1083),IF(C3852="JR",SUMIFS($D:$D,$A:$A,$A3852,$B:$B,"&lt;&gt;Patrícia Karla de Sousa Araújo",$B:$B,"&lt;&gt;Lorena Dias de Araujo",$B:$B,"&lt;&gt;Lucas Luiz Romero")*(20/1083),IF(C3852="Estágio",SUMIFS($D:$D,$A:$A,$A3852,$B:$B,"&lt;&gt;Patrícia Karla de Sousa Araújo",$B:$B,"&lt;&gt;Lorena Dias de Araujo",$B:$B,"&lt;&gt;Lucas Luiz Romero")*(10/1083),0)))))),0)</f>
        <v/>
      </c>
      <c r="K3852" s="3">
        <f>I3852-J3852</f>
        <v/>
      </c>
      <c r="L3852" s="3">
        <f>IF(K3852&lt;-5,"CRÍTICO",IF(K3852&lt;0,"ATENÇÃO",IF(K3852&lt;=5,"OPORTUNO","MUITO BOM")))</f>
        <v/>
      </c>
      <c r="N3852" t="n">
        <v>100</v>
      </c>
      <c r="O3852" t="n">
        <v>31.13553113553114</v>
      </c>
    </row>
    <row r="3853" hidden="1">
      <c r="A3853" s="11" t="n">
        <v>46121</v>
      </c>
      <c r="B3853" t="inlineStr">
        <is>
          <t>Sara Maria Monteiro Lopes</t>
        </is>
      </c>
      <c r="C3853" t="inlineStr">
        <is>
          <t>Técnico I</t>
        </is>
      </c>
      <c r="D3853" t="n">
        <v>15</v>
      </c>
      <c r="E3853" t="n">
        <v>15</v>
      </c>
      <c r="F3853" t="n">
        <v>29.1</v>
      </c>
      <c r="G3853" t="n">
        <v>0</v>
      </c>
      <c r="H3853" t="n">
        <v>0</v>
      </c>
      <c r="I3853" s="3">
        <f>E3853+G3853+H3853</f>
        <v/>
      </c>
      <c r="J3853" s="3">
        <f>ROUND(MIN(IF(C3853="Técnico III",35,IF(C3853="Técnico II",28,IF(C3853="Técnico I",23,IF(C3853="JR",20,IF(C3853="Estágio",10,0))))),IF(C3853="Técnico III",SUMIFS($D:$D,$A:$A,$A3853,$B:$B,"&lt;&gt;Patrícia Karla de Sousa Araújo",$B:$B,"&lt;&gt;Lorena Dias de Araujo",$B:$B,"&lt;&gt;Lucas Luiz Romero")*(35/1083),IF(C3853="Técnico II",SUMIFS($D:$D,$A:$A,$A3853,$B:$B,"&lt;&gt;Patrícia Karla de Sousa Araújo",$B:$B,"&lt;&gt;Lorena Dias de Araujo",$B:$B,"&lt;&gt;Lucas Luiz Romero")*(28/1083),IF(C3853="Técnico I",SUMIFS($D:$D,$A:$A,$A3853,$B:$B,"&lt;&gt;Patrícia Karla de Sousa Araújo",$B:$B,"&lt;&gt;Lorena Dias de Araujo",$B:$B,"&lt;&gt;Lucas Luiz Romero")*(23/1083),IF(C3853="JR",SUMIFS($D:$D,$A:$A,$A3853,$B:$B,"&lt;&gt;Patrícia Karla de Sousa Araújo",$B:$B,"&lt;&gt;Lorena Dias de Araujo",$B:$B,"&lt;&gt;Lucas Luiz Romero")*(20/1083),IF(C3853="Estágio",SUMIFS($D:$D,$A:$A,$A3853,$B:$B,"&lt;&gt;Patrícia Karla de Sousa Araújo",$B:$B,"&lt;&gt;Lorena Dias de Araujo",$B:$B,"&lt;&gt;Lucas Luiz Romero")*(10/1083),0)))))),0)</f>
        <v/>
      </c>
      <c r="K3853" s="3">
        <f>I3853-J3853</f>
        <v/>
      </c>
      <c r="L3853" s="3">
        <f>IF(K3853&lt;-5,"CRÍTICO",IF(K3853&lt;0,"ATENÇÃO",IF(K3853&lt;=5,"OPORTUNO","MUITO BOM")))</f>
        <v/>
      </c>
      <c r="N3853" t="n">
        <v>100</v>
      </c>
      <c r="O3853" t="n">
        <v>26.02739726027397</v>
      </c>
    </row>
    <row r="3854" hidden="1">
      <c r="A3854" s="11" t="n">
        <v>46121</v>
      </c>
      <c r="B3854" t="inlineStr">
        <is>
          <t>Sarah Steffanie de Lima Borges</t>
        </is>
      </c>
      <c r="C3854" t="inlineStr">
        <is>
          <t>Técnico III</t>
        </is>
      </c>
      <c r="D3854" t="n">
        <v>31</v>
      </c>
      <c r="E3854" t="n">
        <v>30</v>
      </c>
      <c r="F3854" t="n">
        <v>18.28</v>
      </c>
      <c r="G3854" t="n">
        <v>0</v>
      </c>
      <c r="H3854" t="n">
        <v>0</v>
      </c>
      <c r="I3854" s="3">
        <f>E3854+G3854+H3854</f>
        <v/>
      </c>
      <c r="J3854" s="3">
        <f>ROUND(MIN(IF(C3854="Técnico III",35,IF(C3854="Técnico II",28,IF(C3854="Técnico I",23,IF(C3854="JR",20,IF(C3854="Estágio",10,0))))),IF(C3854="Técnico III",SUMIFS($D:$D,$A:$A,$A3854,$B:$B,"&lt;&gt;Patrícia Karla de Sousa Araújo",$B:$B,"&lt;&gt;Lorena Dias de Araujo",$B:$B,"&lt;&gt;Lucas Luiz Romero")*(35/1083),IF(C3854="Técnico II",SUMIFS($D:$D,$A:$A,$A3854,$B:$B,"&lt;&gt;Patrícia Karla de Sousa Araújo",$B:$B,"&lt;&gt;Lorena Dias de Araujo",$B:$B,"&lt;&gt;Lucas Luiz Romero")*(28/1083),IF(C3854="Técnico I",SUMIFS($D:$D,$A:$A,$A3854,$B:$B,"&lt;&gt;Patrícia Karla de Sousa Araújo",$B:$B,"&lt;&gt;Lorena Dias de Araujo",$B:$B,"&lt;&gt;Lucas Luiz Romero")*(23/1083),IF(C3854="JR",SUMIFS($D:$D,$A:$A,$A3854,$B:$B,"&lt;&gt;Patrícia Karla de Sousa Araújo",$B:$B,"&lt;&gt;Lorena Dias de Araujo",$B:$B,"&lt;&gt;Lucas Luiz Romero")*(20/1083),IF(C3854="Estágio",SUMIFS($D:$D,$A:$A,$A3854,$B:$B,"&lt;&gt;Patrícia Karla de Sousa Araújo",$B:$B,"&lt;&gt;Lorena Dias de Araujo",$B:$B,"&lt;&gt;Lucas Luiz Romero")*(10/1083),0)))))),0)</f>
        <v/>
      </c>
      <c r="K3854" s="3">
        <f>I3854-J3854</f>
        <v/>
      </c>
      <c r="L3854" s="3">
        <f>IF(K3854&lt;-5,"CRÍTICO",IF(K3854&lt;0,"ATENÇÃO",IF(K3854&lt;=5,"OPORTUNO","MUITO BOM")))</f>
        <v/>
      </c>
      <c r="N3854" t="n">
        <v>99.20999999999999</v>
      </c>
      <c r="O3854" t="n">
        <v>24.93702770780856</v>
      </c>
    </row>
    <row r="3855" hidden="1">
      <c r="A3855" s="11" t="n">
        <v>46122</v>
      </c>
      <c r="B3855" t="inlineStr">
        <is>
          <t>Alisson de Freitas Silva</t>
        </is>
      </c>
      <c r="C3855" t="inlineStr">
        <is>
          <t>Técnico II</t>
        </is>
      </c>
      <c r="D3855" t="n">
        <v>12</v>
      </c>
      <c r="E3855" t="n">
        <v>8</v>
      </c>
      <c r="F3855" t="n">
        <v>15.43</v>
      </c>
      <c r="G3855" t="n">
        <v>0</v>
      </c>
      <c r="H3855" t="n">
        <v>0</v>
      </c>
      <c r="I3855" s="3">
        <f>E3855+G3855+H3855</f>
        <v/>
      </c>
      <c r="J3855" s="3">
        <f>ROUND(MIN(IF(C3855="Técnico III",35,IF(C3855="Técnico II",28,IF(C3855="Técnico I",23,IF(C3855="JR",20,IF(C3855="Estágio",10,0))))),IF(C3855="Técnico III",SUMIFS($D:$D,$A:$A,$A3855,$B:$B,"&lt;&gt;Patrícia Karla de Sousa Araújo",$B:$B,"&lt;&gt;Lorena Dias de Araujo",$B:$B,"&lt;&gt;Lucas Luiz Romero")*(35/1083),IF(C3855="Técnico II",SUMIFS($D:$D,$A:$A,$A3855,$B:$B,"&lt;&gt;Patrícia Karla de Sousa Araújo",$B:$B,"&lt;&gt;Lorena Dias de Araujo",$B:$B,"&lt;&gt;Lucas Luiz Romero")*(28/1083),IF(C3855="Técnico I",SUMIFS($D:$D,$A:$A,$A3855,$B:$B,"&lt;&gt;Patrícia Karla de Sousa Araújo",$B:$B,"&lt;&gt;Lorena Dias de Araujo",$B:$B,"&lt;&gt;Lucas Luiz Romero")*(23/1083),IF(C3855="JR",SUMIFS($D:$D,$A:$A,$A3855,$B:$B,"&lt;&gt;Patrícia Karla de Sousa Araújo",$B:$B,"&lt;&gt;Lorena Dias de Araujo",$B:$B,"&lt;&gt;Lucas Luiz Romero")*(20/1083),IF(C3855="Estágio",SUMIFS($D:$D,$A:$A,$A3855,$B:$B,"&lt;&gt;Patrícia Karla de Sousa Araújo",$B:$B,"&lt;&gt;Lorena Dias de Araujo",$B:$B,"&lt;&gt;Lucas Luiz Romero")*(10/1083),0)))))),0)</f>
        <v/>
      </c>
      <c r="K3855" s="3">
        <f>I3855-J3855</f>
        <v/>
      </c>
      <c r="L3855" s="3">
        <f>IF(K3855&lt;-5,"CRÍTICO",IF(K3855&lt;0,"ATENÇÃO",IF(K3855&lt;=5,"OPORTUNO","MUITO BOM")))</f>
        <v/>
      </c>
      <c r="N3855" t="n">
        <v>100</v>
      </c>
      <c r="O3855" t="n">
        <v>32.76450511945392</v>
      </c>
    </row>
    <row r="3856" hidden="1">
      <c r="A3856" s="11" t="n">
        <v>46122</v>
      </c>
      <c r="B3856" t="inlineStr">
        <is>
          <t>Amanda Moura Ferreira</t>
        </is>
      </c>
      <c r="C3856" t="inlineStr">
        <is>
          <t>Técnico III</t>
        </is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s="3" t="n">
        <v>0</v>
      </c>
      <c r="J3856" s="3" t="n">
        <v>0</v>
      </c>
      <c r="K3856" s="3" t="n">
        <v>0</v>
      </c>
      <c r="L3856" s="3">
        <f>IF(K3856&lt;-5,"CRÍTICO",IF(K3856&lt;0,"ATENÇÃO",IF(K3856&lt;=5,"OPORTUNO","MUITO BOM")))</f>
        <v/>
      </c>
      <c r="N3856" t="n">
        <v>98.66</v>
      </c>
      <c r="O3856" t="n">
        <v>35.15625</v>
      </c>
    </row>
    <row r="3857" hidden="1">
      <c r="A3857" s="11" t="n">
        <v>46122</v>
      </c>
      <c r="B3857" t="inlineStr">
        <is>
          <t>Ana Karollyne Souza Faria</t>
        </is>
      </c>
      <c r="C3857" t="inlineStr">
        <is>
          <t>Técnico I</t>
        </is>
      </c>
      <c r="D3857" t="n">
        <v>34</v>
      </c>
      <c r="E3857" t="n">
        <v>34</v>
      </c>
      <c r="F3857" t="n">
        <v>18.24</v>
      </c>
      <c r="G3857" t="n">
        <v>0</v>
      </c>
      <c r="H3857" t="n">
        <v>0</v>
      </c>
      <c r="I3857" s="3">
        <f>E3857+G3857+H3857</f>
        <v/>
      </c>
      <c r="J3857" s="3">
        <f>ROUND(MIN(IF(C3857="Técnico III",35,IF(C3857="Técnico II",28,IF(C3857="Técnico I",23,IF(C3857="JR",20,IF(C3857="Estágio",10,0))))),IF(C3857="Técnico III",SUMIFS($D:$D,$A:$A,$A3857,$B:$B,"&lt;&gt;Patrícia Karla de Sousa Araújo",$B:$B,"&lt;&gt;Lorena Dias de Araujo",$B:$B,"&lt;&gt;Lucas Luiz Romero")*(35/1083),IF(C3857="Técnico II",SUMIFS($D:$D,$A:$A,$A3857,$B:$B,"&lt;&gt;Patrícia Karla de Sousa Araújo",$B:$B,"&lt;&gt;Lorena Dias de Araujo",$B:$B,"&lt;&gt;Lucas Luiz Romero")*(28/1083),IF(C3857="Técnico I",SUMIFS($D:$D,$A:$A,$A3857,$B:$B,"&lt;&gt;Patrícia Karla de Sousa Araújo",$B:$B,"&lt;&gt;Lorena Dias de Araujo",$B:$B,"&lt;&gt;Lucas Luiz Romero")*(23/1083),IF(C3857="JR",SUMIFS($D:$D,$A:$A,$A3857,$B:$B,"&lt;&gt;Patrícia Karla de Sousa Araújo",$B:$B,"&lt;&gt;Lorena Dias de Araujo",$B:$B,"&lt;&gt;Lucas Luiz Romero")*(20/1083),IF(C3857="Estágio",SUMIFS($D:$D,$A:$A,$A3857,$B:$B,"&lt;&gt;Patrícia Karla de Sousa Araújo",$B:$B,"&lt;&gt;Lorena Dias de Araujo",$B:$B,"&lt;&gt;Lucas Luiz Romero")*(10/1083),0)))))),0)</f>
        <v/>
      </c>
      <c r="K3857" s="3">
        <f>I3857-J3857</f>
        <v/>
      </c>
      <c r="L3857" s="3">
        <f>IF(K3857&lt;-5,"CRÍTICO",IF(K3857&lt;0,"ATENÇÃO",IF(K3857&lt;=5,"OPORTUNO","MUITO BOM")))</f>
        <v/>
      </c>
      <c r="N3857" t="n">
        <v>99.31999999999999</v>
      </c>
      <c r="O3857" t="n">
        <v>30.45186640471513</v>
      </c>
    </row>
    <row r="3858" hidden="1">
      <c r="A3858" s="11" t="n">
        <v>46122</v>
      </c>
      <c r="B3858" t="inlineStr">
        <is>
          <t>Ana Paula Da Luz Silva Aleixo</t>
        </is>
      </c>
      <c r="C3858" t="inlineStr">
        <is>
          <t>Técnico III</t>
        </is>
      </c>
      <c r="D3858" t="n">
        <v>35</v>
      </c>
      <c r="E3858" t="n">
        <v>31</v>
      </c>
      <c r="F3858" t="n">
        <v>14.08</v>
      </c>
      <c r="G3858" t="n">
        <v>0</v>
      </c>
      <c r="H3858" t="n">
        <v>0</v>
      </c>
      <c r="I3858" s="3">
        <f>E3858+G3858+H3858</f>
        <v/>
      </c>
      <c r="J3858" s="3">
        <f>ROUND(MIN(IF(C3858="Técnico III",35,IF(C3858="Técnico II",28,IF(C3858="Técnico I",23,IF(C3858="JR",20,IF(C3858="Estágio",10,0))))),IF(C3858="Técnico III",SUMIFS($D:$D,$A:$A,$A3858,$B:$B,"&lt;&gt;Patrícia Karla de Sousa Araújo",$B:$B,"&lt;&gt;Lorena Dias de Araujo",$B:$B,"&lt;&gt;Lucas Luiz Romero")*(35/1083),IF(C3858="Técnico II",SUMIFS($D:$D,$A:$A,$A3858,$B:$B,"&lt;&gt;Patrícia Karla de Sousa Araújo",$B:$B,"&lt;&gt;Lorena Dias de Araujo",$B:$B,"&lt;&gt;Lucas Luiz Romero")*(28/1083),IF(C3858="Técnico I",SUMIFS($D:$D,$A:$A,$A3858,$B:$B,"&lt;&gt;Patrícia Karla de Sousa Araújo",$B:$B,"&lt;&gt;Lorena Dias de Araujo",$B:$B,"&lt;&gt;Lucas Luiz Romero")*(23/1083),IF(C3858="JR",SUMIFS($D:$D,$A:$A,$A3858,$B:$B,"&lt;&gt;Patrícia Karla de Sousa Araújo",$B:$B,"&lt;&gt;Lorena Dias de Araujo",$B:$B,"&lt;&gt;Lucas Luiz Romero")*(20/1083),IF(C3858="Estágio",SUMIFS($D:$D,$A:$A,$A3858,$B:$B,"&lt;&gt;Patrícia Karla de Sousa Araújo",$B:$B,"&lt;&gt;Lorena Dias de Araujo",$B:$B,"&lt;&gt;Lucas Luiz Romero")*(10/1083),0)))))),0)</f>
        <v/>
      </c>
      <c r="K3858" s="3">
        <f>I3858-J3858</f>
        <v/>
      </c>
      <c r="L3858" s="3">
        <f>IF(K3858&lt;-5,"CRÍTICO",IF(K3858&lt;0,"ATENÇÃO",IF(K3858&lt;=5,"OPORTUNO","MUITO BOM")))</f>
        <v/>
      </c>
      <c r="N3858" t="n">
        <v>100</v>
      </c>
      <c r="O3858" t="n">
        <v>27.80373831775701</v>
      </c>
    </row>
    <row r="3859" hidden="1">
      <c r="A3859" s="11" t="n">
        <v>46122</v>
      </c>
      <c r="B3859" t="inlineStr">
        <is>
          <t>Anna Luiza Rezende Tavares</t>
        </is>
      </c>
      <c r="C3859" t="inlineStr">
        <is>
          <t>Estágio</t>
        </is>
      </c>
      <c r="D3859" t="n">
        <v>14</v>
      </c>
      <c r="E3859" t="n">
        <v>14</v>
      </c>
      <c r="F3859" t="n">
        <v>18.22</v>
      </c>
      <c r="G3859" t="n">
        <v>0</v>
      </c>
      <c r="H3859" t="n">
        <v>0</v>
      </c>
      <c r="I3859" s="3">
        <f>E3859+G3859+H3859</f>
        <v/>
      </c>
      <c r="J3859" s="3">
        <f>ROUND(MIN(IF(C3859="Técnico III",35,IF(C3859="Técnico II",28,IF(C3859="Técnico I",23,IF(C3859="JR",20,IF(C3859="Estágio",10,0))))),IF(C3859="Técnico III",SUMIFS($D:$D,$A:$A,$A3859,$B:$B,"&lt;&gt;Patrícia Karla de Sousa Araújo",$B:$B,"&lt;&gt;Lorena Dias de Araujo",$B:$B,"&lt;&gt;Lucas Luiz Romero")*(35/1083),IF(C3859="Técnico II",SUMIFS($D:$D,$A:$A,$A3859,$B:$B,"&lt;&gt;Patrícia Karla de Sousa Araújo",$B:$B,"&lt;&gt;Lorena Dias de Araujo",$B:$B,"&lt;&gt;Lucas Luiz Romero")*(28/1083),IF(C3859="Técnico I",SUMIFS($D:$D,$A:$A,$A3859,$B:$B,"&lt;&gt;Patrícia Karla de Sousa Araújo",$B:$B,"&lt;&gt;Lorena Dias de Araujo",$B:$B,"&lt;&gt;Lucas Luiz Romero")*(23/1083),IF(C3859="JR",SUMIFS($D:$D,$A:$A,$A3859,$B:$B,"&lt;&gt;Patrícia Karla de Sousa Araújo",$B:$B,"&lt;&gt;Lorena Dias de Araujo",$B:$B,"&lt;&gt;Lucas Luiz Romero")*(20/1083),IF(C3859="Estágio",SUMIFS($D:$D,$A:$A,$A3859,$B:$B,"&lt;&gt;Patrícia Karla de Sousa Araújo",$B:$B,"&lt;&gt;Lorena Dias de Araujo",$B:$B,"&lt;&gt;Lucas Luiz Romero")*(10/1083),0)))))),0)</f>
        <v/>
      </c>
      <c r="K3859" s="3">
        <f>I3859-J3859</f>
        <v/>
      </c>
      <c r="L3859" s="3">
        <f>IF(K3859&lt;-5,"CRÍTICO",IF(K3859&lt;0,"ATENÇÃO",IF(K3859&lt;=5,"OPORTUNO","MUITO BOM")))</f>
        <v/>
      </c>
      <c r="N3859" t="n">
        <v>96.73999999999999</v>
      </c>
      <c r="O3859" t="n">
        <v>28.43137254901961</v>
      </c>
    </row>
    <row r="3860" hidden="1">
      <c r="A3860" s="11" t="n">
        <v>46122</v>
      </c>
      <c r="B3860" t="inlineStr">
        <is>
          <t>Brenda de Menezes Silva</t>
        </is>
      </c>
      <c r="C3860" t="inlineStr">
        <is>
          <t>Técnico II</t>
        </is>
      </c>
      <c r="D3860" t="n">
        <v>33</v>
      </c>
      <c r="E3860" t="n">
        <v>32</v>
      </c>
      <c r="F3860" t="n">
        <v>15.01</v>
      </c>
      <c r="G3860" t="n">
        <v>0</v>
      </c>
      <c r="H3860" t="n">
        <v>0</v>
      </c>
      <c r="I3860" s="3">
        <f>E3860+G3860+H3860</f>
        <v/>
      </c>
      <c r="J3860" s="3">
        <f>ROUND(MIN(IF(C3860="Técnico III",35,IF(C3860="Técnico II",28,IF(C3860="Técnico I",23,IF(C3860="JR",20,IF(C3860="Estágio",10,0))))),IF(C3860="Técnico III",SUMIFS($D:$D,$A:$A,$A3860,$B:$B,"&lt;&gt;Patrícia Karla de Sousa Araújo",$B:$B,"&lt;&gt;Lorena Dias de Araujo",$B:$B,"&lt;&gt;Lucas Luiz Romero")*(35/1083),IF(C3860="Técnico II",SUMIFS($D:$D,$A:$A,$A3860,$B:$B,"&lt;&gt;Patrícia Karla de Sousa Araújo",$B:$B,"&lt;&gt;Lorena Dias de Araujo",$B:$B,"&lt;&gt;Lucas Luiz Romero")*(28/1083),IF(C3860="Técnico I",SUMIFS($D:$D,$A:$A,$A3860,$B:$B,"&lt;&gt;Patrícia Karla de Sousa Araújo",$B:$B,"&lt;&gt;Lorena Dias de Araujo",$B:$B,"&lt;&gt;Lucas Luiz Romero")*(23/1083),IF(C3860="JR",SUMIFS($D:$D,$A:$A,$A3860,$B:$B,"&lt;&gt;Patrícia Karla de Sousa Araújo",$B:$B,"&lt;&gt;Lorena Dias de Araujo",$B:$B,"&lt;&gt;Lucas Luiz Romero")*(20/1083),IF(C3860="Estágio",SUMIFS($D:$D,$A:$A,$A3860,$B:$B,"&lt;&gt;Patrícia Karla de Sousa Araújo",$B:$B,"&lt;&gt;Lorena Dias de Araujo",$B:$B,"&lt;&gt;Lucas Luiz Romero")*(10/1083),0)))))),0)</f>
        <v/>
      </c>
      <c r="K3860" s="3">
        <f>I3860-J3860</f>
        <v/>
      </c>
      <c r="L3860" s="3">
        <f>IF(K3860&lt;-5,"CRÍTICO",IF(K3860&lt;0,"ATENÇÃO",IF(K3860&lt;=5,"OPORTUNO","MUITO BOM")))</f>
        <v/>
      </c>
      <c r="N3860" t="n">
        <v>98.81999999999999</v>
      </c>
      <c r="O3860" t="n">
        <v>30.74141048824593</v>
      </c>
    </row>
    <row r="3861" hidden="1">
      <c r="A3861" s="11" t="n">
        <v>46122</v>
      </c>
      <c r="B3861" t="inlineStr">
        <is>
          <t>Carlos Mateus Cassimiro Nunes</t>
        </is>
      </c>
      <c r="C3861" t="inlineStr">
        <is>
          <t>Técnico II</t>
        </is>
      </c>
      <c r="D3861" t="n">
        <v>22</v>
      </c>
      <c r="E3861" t="n">
        <v>21</v>
      </c>
      <c r="F3861" t="n">
        <v>22.23</v>
      </c>
      <c r="G3861" t="n">
        <v>0</v>
      </c>
      <c r="H3861" t="n">
        <v>0</v>
      </c>
      <c r="I3861" s="3">
        <f>E3861+G3861+H3861</f>
        <v/>
      </c>
      <c r="J3861" s="3">
        <f>ROUND(MIN(IF(C3861="Técnico III",35,IF(C3861="Técnico II",28,IF(C3861="Técnico I",23,IF(C3861="JR",20,IF(C3861="Estágio",10,0))))),IF(C3861="Técnico III",SUMIFS($D:$D,$A:$A,$A3861,$B:$B,"&lt;&gt;Patrícia Karla de Sousa Araújo",$B:$B,"&lt;&gt;Lorena Dias de Araujo",$B:$B,"&lt;&gt;Lucas Luiz Romero")*(35/1083),IF(C3861="Técnico II",SUMIFS($D:$D,$A:$A,$A3861,$B:$B,"&lt;&gt;Patrícia Karla de Sousa Araújo",$B:$B,"&lt;&gt;Lorena Dias de Araujo",$B:$B,"&lt;&gt;Lucas Luiz Romero")*(28/1083),IF(C3861="Técnico I",SUMIFS($D:$D,$A:$A,$A3861,$B:$B,"&lt;&gt;Patrícia Karla de Sousa Araújo",$B:$B,"&lt;&gt;Lorena Dias de Araujo",$B:$B,"&lt;&gt;Lucas Luiz Romero")*(23/1083),IF(C3861="JR",SUMIFS($D:$D,$A:$A,$A3861,$B:$B,"&lt;&gt;Patrícia Karla de Sousa Araújo",$B:$B,"&lt;&gt;Lorena Dias de Araujo",$B:$B,"&lt;&gt;Lucas Luiz Romero")*(20/1083),IF(C3861="Estágio",SUMIFS($D:$D,$A:$A,$A3861,$B:$B,"&lt;&gt;Patrícia Karla de Sousa Araújo",$B:$B,"&lt;&gt;Lorena Dias de Araujo",$B:$B,"&lt;&gt;Lucas Luiz Romero")*(10/1083),0)))))),0)</f>
        <v/>
      </c>
      <c r="K3861" s="3">
        <f>I3861-J3861</f>
        <v/>
      </c>
      <c r="L3861" s="3">
        <f>IF(K3861&lt;-5,"CRÍTICO",IF(K3861&lt;0,"ATENÇÃO",IF(K3861&lt;=5,"OPORTUNO","MUITO BOM")))</f>
        <v/>
      </c>
      <c r="N3861" t="n">
        <v>98.2</v>
      </c>
      <c r="O3861" t="n">
        <v>26.89075630252101</v>
      </c>
    </row>
    <row r="3862" hidden="1">
      <c r="A3862" s="11" t="n">
        <v>46122</v>
      </c>
      <c r="B3862" t="inlineStr">
        <is>
          <t>Claudio de Sousa Velasco Filho</t>
        </is>
      </c>
      <c r="C3862" t="inlineStr">
        <is>
          <t>Estágio</t>
        </is>
      </c>
      <c r="D3862" t="n">
        <v>6</v>
      </c>
      <c r="E3862" t="n">
        <v>6</v>
      </c>
      <c r="F3862" t="n">
        <v>23.44</v>
      </c>
      <c r="G3862" t="n">
        <v>0</v>
      </c>
      <c r="H3862" t="n">
        <v>0</v>
      </c>
      <c r="I3862" s="3">
        <f>E3862+G3862+H3862</f>
        <v/>
      </c>
      <c r="J3862" s="3">
        <f>ROUND(MIN(IF(C3862="Técnico III",35,IF(C3862="Técnico II",28,IF(C3862="Técnico I",23,IF(C3862="JR",20,IF(C3862="Estágio",10,0))))),IF(C3862="Técnico III",SUMIFS($D:$D,$A:$A,$A3862,$B:$B,"&lt;&gt;Patrícia Karla de Sousa Araújo",$B:$B,"&lt;&gt;Lorena Dias de Araujo",$B:$B,"&lt;&gt;Lucas Luiz Romero")*(35/1083),IF(C3862="Técnico II",SUMIFS($D:$D,$A:$A,$A3862,$B:$B,"&lt;&gt;Patrícia Karla de Sousa Araújo",$B:$B,"&lt;&gt;Lorena Dias de Araujo",$B:$B,"&lt;&gt;Lucas Luiz Romero")*(28/1083),IF(C3862="Técnico I",SUMIFS($D:$D,$A:$A,$A3862,$B:$B,"&lt;&gt;Patrícia Karla de Sousa Araújo",$B:$B,"&lt;&gt;Lorena Dias de Araujo",$B:$B,"&lt;&gt;Lucas Luiz Romero")*(23/1083),IF(C3862="JR",SUMIFS($D:$D,$A:$A,$A3862,$B:$B,"&lt;&gt;Patrícia Karla de Sousa Araújo",$B:$B,"&lt;&gt;Lorena Dias de Araujo",$B:$B,"&lt;&gt;Lucas Luiz Romero")*(20/1083),IF(C3862="Estágio",SUMIFS($D:$D,$A:$A,$A3862,$B:$B,"&lt;&gt;Patrícia Karla de Sousa Araújo",$B:$B,"&lt;&gt;Lorena Dias de Araujo",$B:$B,"&lt;&gt;Lucas Luiz Romero")*(10/1083),0)))))),0)</f>
        <v/>
      </c>
      <c r="K3862" s="3">
        <f>I3862-J3862</f>
        <v/>
      </c>
      <c r="L3862" s="3">
        <f>IF(K3862&lt;-5,"CRÍTICO",IF(K3862&lt;0,"ATENÇÃO",IF(K3862&lt;=5,"OPORTUNO","MUITO BOM")))</f>
        <v/>
      </c>
      <c r="N3862" t="n">
        <v>100</v>
      </c>
      <c r="O3862" t="n">
        <v>23.13432835820895</v>
      </c>
    </row>
    <row r="3863" hidden="1">
      <c r="A3863" s="11" t="n">
        <v>46122</v>
      </c>
      <c r="B3863" t="inlineStr">
        <is>
          <t>Clessiane Pereira dos Santos</t>
        </is>
      </c>
      <c r="C3863" t="inlineStr">
        <is>
          <t>Técnico I</t>
        </is>
      </c>
      <c r="D3863" t="n">
        <v>30</v>
      </c>
      <c r="E3863" t="n">
        <v>30</v>
      </c>
      <c r="F3863" t="n">
        <v>22.19</v>
      </c>
      <c r="G3863" t="n">
        <v>0</v>
      </c>
      <c r="H3863" t="n">
        <v>0</v>
      </c>
      <c r="I3863" s="3">
        <f>E3863+G3863+H3863</f>
        <v/>
      </c>
      <c r="J3863" s="3">
        <f>ROUND(MIN(IF(C3863="Técnico III",35,IF(C3863="Técnico II",28,IF(C3863="Técnico I",23,IF(C3863="JR",20,IF(C3863="Estágio",10,0))))),IF(C3863="Técnico III",SUMIFS($D:$D,$A:$A,$A3863,$B:$B,"&lt;&gt;Patrícia Karla de Sousa Araújo",$B:$B,"&lt;&gt;Lorena Dias de Araujo",$B:$B,"&lt;&gt;Lucas Luiz Romero")*(35/1083),IF(C3863="Técnico II",SUMIFS($D:$D,$A:$A,$A3863,$B:$B,"&lt;&gt;Patrícia Karla de Sousa Araújo",$B:$B,"&lt;&gt;Lorena Dias de Araujo",$B:$B,"&lt;&gt;Lucas Luiz Romero")*(28/1083),IF(C3863="Técnico I",SUMIFS($D:$D,$A:$A,$A3863,$B:$B,"&lt;&gt;Patrícia Karla de Sousa Araújo",$B:$B,"&lt;&gt;Lorena Dias de Araujo",$B:$B,"&lt;&gt;Lucas Luiz Romero")*(23/1083),IF(C3863="JR",SUMIFS($D:$D,$A:$A,$A3863,$B:$B,"&lt;&gt;Patrícia Karla de Sousa Araújo",$B:$B,"&lt;&gt;Lorena Dias de Araujo",$B:$B,"&lt;&gt;Lucas Luiz Romero")*(20/1083),IF(C3863="Estágio",SUMIFS($D:$D,$A:$A,$A3863,$B:$B,"&lt;&gt;Patrícia Karla de Sousa Araújo",$B:$B,"&lt;&gt;Lorena Dias de Araujo",$B:$B,"&lt;&gt;Lucas Luiz Romero")*(10/1083),0)))))),0)</f>
        <v/>
      </c>
      <c r="K3863" s="3">
        <f>I3863-J3863</f>
        <v/>
      </c>
      <c r="L3863" s="3">
        <f>IF(K3863&lt;-5,"CRÍTICO",IF(K3863&lt;0,"ATENÇÃO",IF(K3863&lt;=5,"OPORTUNO","MUITO BOM")))</f>
        <v/>
      </c>
      <c r="N3863" t="n">
        <v>96.3</v>
      </c>
      <c r="O3863" t="n">
        <v>31.98090692124105</v>
      </c>
    </row>
    <row r="3864" hidden="1">
      <c r="A3864" s="11" t="n">
        <v>46122</v>
      </c>
      <c r="B3864" t="inlineStr">
        <is>
          <t>Cristiane Ramos da Silva Rocha</t>
        </is>
      </c>
      <c r="C3864" t="inlineStr">
        <is>
          <t>Técnico III</t>
        </is>
      </c>
      <c r="D3864" t="n">
        <v>23</v>
      </c>
      <c r="E3864" t="n">
        <v>21</v>
      </c>
      <c r="F3864" t="n">
        <v>13.32</v>
      </c>
      <c r="G3864" t="n">
        <v>0</v>
      </c>
      <c r="H3864" t="n">
        <v>0</v>
      </c>
      <c r="I3864" s="3">
        <f>E3864+G3864+H3864</f>
        <v/>
      </c>
      <c r="J3864" s="3">
        <f>ROUND(MIN(IF(C3864="Técnico III",35,IF(C3864="Técnico II",28,IF(C3864="Técnico I",23,IF(C3864="JR",20,IF(C3864="Estágio",10,0))))),IF(C3864="Técnico III",SUMIFS($D:$D,$A:$A,$A3864,$B:$B,"&lt;&gt;Patrícia Karla de Sousa Araújo",$B:$B,"&lt;&gt;Lorena Dias de Araujo",$B:$B,"&lt;&gt;Lucas Luiz Romero")*(35/1083),IF(C3864="Técnico II",SUMIFS($D:$D,$A:$A,$A3864,$B:$B,"&lt;&gt;Patrícia Karla de Sousa Araújo",$B:$B,"&lt;&gt;Lorena Dias de Araujo",$B:$B,"&lt;&gt;Lucas Luiz Romero")*(28/1083),IF(C3864="Técnico I",SUMIFS($D:$D,$A:$A,$A3864,$B:$B,"&lt;&gt;Patrícia Karla de Sousa Araújo",$B:$B,"&lt;&gt;Lorena Dias de Araujo",$B:$B,"&lt;&gt;Lucas Luiz Romero")*(23/1083),IF(C3864="JR",SUMIFS($D:$D,$A:$A,$A3864,$B:$B,"&lt;&gt;Patrícia Karla de Sousa Araújo",$B:$B,"&lt;&gt;Lorena Dias de Araujo",$B:$B,"&lt;&gt;Lucas Luiz Romero")*(20/1083),IF(C3864="Estágio",SUMIFS($D:$D,$A:$A,$A3864,$B:$B,"&lt;&gt;Patrícia Karla de Sousa Araújo",$B:$B,"&lt;&gt;Lorena Dias de Araujo",$B:$B,"&lt;&gt;Lucas Luiz Romero")*(10/1083),0)))))),0)</f>
        <v/>
      </c>
      <c r="K3864" s="3">
        <f>I3864-J3864</f>
        <v/>
      </c>
      <c r="L3864" s="3">
        <f>IF(K3864&lt;-5,"CRÍTICO",IF(K3864&lt;0,"ATENÇÃO",IF(K3864&lt;=5,"OPORTUNO","MUITO BOM")))</f>
        <v/>
      </c>
      <c r="N3864" t="n">
        <v>93.75</v>
      </c>
      <c r="O3864" t="n">
        <v>26.62835249042146</v>
      </c>
    </row>
    <row r="3865" hidden="1">
      <c r="A3865" s="11" t="n">
        <v>46122</v>
      </c>
      <c r="B3865" t="inlineStr">
        <is>
          <t>Damyllis Lorraine de Oliveira Gonçalves</t>
        </is>
      </c>
      <c r="C3865" t="inlineStr">
        <is>
          <t>Técnico II</t>
        </is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s="3" t="n">
        <v>0</v>
      </c>
      <c r="J3865" s="3" t="n">
        <v>0</v>
      </c>
      <c r="K3865" s="3" t="n">
        <v>0</v>
      </c>
      <c r="L3865" s="3">
        <f>IF(K3865&lt;-5,"CRÍTICO",IF(K3865&lt;0,"ATENÇÃO",IF(K3865&lt;=5,"OPORTUNO","MUITO BOM")))</f>
        <v/>
      </c>
      <c r="N3865" t="n">
        <v>97.86</v>
      </c>
      <c r="O3865" t="n">
        <v>31.01851851851852</v>
      </c>
    </row>
    <row r="3866" hidden="1">
      <c r="A3866" s="11" t="n">
        <v>46122</v>
      </c>
      <c r="B3866" t="inlineStr">
        <is>
          <t>Daniel Gomes da Silva</t>
        </is>
      </c>
      <c r="C3866" t="inlineStr">
        <is>
          <t>Técnico I</t>
        </is>
      </c>
      <c r="D3866" t="n">
        <v>18</v>
      </c>
      <c r="E3866" t="n">
        <v>18</v>
      </c>
      <c r="F3866" t="n">
        <v>17.09</v>
      </c>
      <c r="G3866" t="n">
        <v>0</v>
      </c>
      <c r="H3866" t="n">
        <v>0</v>
      </c>
      <c r="I3866" s="3">
        <f>E3866+G3866+H3866</f>
        <v/>
      </c>
      <c r="J3866" s="3">
        <f>ROUND(MIN(IF(C3866="Técnico III",35,IF(C3866="Técnico II",28,IF(C3866="Técnico I",23,IF(C3866="JR",20,IF(C3866="Estágio",10,0))))),IF(C3866="Técnico III",SUMIFS($D:$D,$A:$A,$A3866,$B:$B,"&lt;&gt;Patrícia Karla de Sousa Araújo",$B:$B,"&lt;&gt;Lorena Dias de Araujo",$B:$B,"&lt;&gt;Lucas Luiz Romero")*(35/1083),IF(C3866="Técnico II",SUMIFS($D:$D,$A:$A,$A3866,$B:$B,"&lt;&gt;Patrícia Karla de Sousa Araújo",$B:$B,"&lt;&gt;Lorena Dias de Araujo",$B:$B,"&lt;&gt;Lucas Luiz Romero")*(28/1083),IF(C3866="Técnico I",SUMIFS($D:$D,$A:$A,$A3866,$B:$B,"&lt;&gt;Patrícia Karla de Sousa Araújo",$B:$B,"&lt;&gt;Lorena Dias de Araujo",$B:$B,"&lt;&gt;Lucas Luiz Romero")*(23/1083),IF(C3866="JR",SUMIFS($D:$D,$A:$A,$A3866,$B:$B,"&lt;&gt;Patrícia Karla de Sousa Araújo",$B:$B,"&lt;&gt;Lorena Dias de Araujo",$B:$B,"&lt;&gt;Lucas Luiz Romero")*(20/1083),IF(C3866="Estágio",SUMIFS($D:$D,$A:$A,$A3866,$B:$B,"&lt;&gt;Patrícia Karla de Sousa Araújo",$B:$B,"&lt;&gt;Lorena Dias de Araujo",$B:$B,"&lt;&gt;Lucas Luiz Romero")*(10/1083),0)))))),0)</f>
        <v/>
      </c>
      <c r="K3866" s="3">
        <f>I3866-J3866</f>
        <v/>
      </c>
      <c r="L3866" s="3">
        <f>IF(K3866&lt;-5,"CRÍTICO",IF(K3866&lt;0,"ATENÇÃO",IF(K3866&lt;=5,"OPORTUNO","MUITO BOM")))</f>
        <v/>
      </c>
      <c r="N3866" t="n">
        <v>100</v>
      </c>
      <c r="O3866" t="n">
        <v>36.23188405797102</v>
      </c>
    </row>
    <row r="3867" hidden="1">
      <c r="A3867" s="11" t="n">
        <v>46122</v>
      </c>
      <c r="B3867" t="inlineStr">
        <is>
          <t>Davylla Rodrigues Freitas Silva</t>
        </is>
      </c>
      <c r="C3867" t="inlineStr">
        <is>
          <t>Técnico III</t>
        </is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s="3" t="n">
        <v>0</v>
      </c>
      <c r="J3867" s="3" t="n">
        <v>0</v>
      </c>
      <c r="K3867" s="3" t="n">
        <v>0</v>
      </c>
      <c r="L3867" s="3">
        <f>IF(K3867&lt;-5,"CRÍTICO",IF(K3867&lt;0,"ATENÇÃO",IF(K3867&lt;=5,"OPORTUNO","MUITO BOM")))</f>
        <v/>
      </c>
      <c r="N3867" t="n">
        <v>100</v>
      </c>
      <c r="O3867" t="n">
        <v>38.26923076923077</v>
      </c>
    </row>
    <row r="3868" hidden="1">
      <c r="A3868" s="11" t="n">
        <v>46122</v>
      </c>
      <c r="B3868" t="inlineStr">
        <is>
          <t>Emilly Caylane Costa</t>
        </is>
      </c>
      <c r="C3868" t="inlineStr">
        <is>
          <t>Estágio</t>
        </is>
      </c>
      <c r="D3868" t="n">
        <v>4</v>
      </c>
      <c r="E3868" t="n">
        <v>4</v>
      </c>
      <c r="F3868" t="n">
        <v>60.55</v>
      </c>
      <c r="G3868" t="n">
        <v>0</v>
      </c>
      <c r="H3868" t="n">
        <v>0</v>
      </c>
      <c r="I3868" s="3">
        <f>E3868+G3868+H3868</f>
        <v/>
      </c>
      <c r="J3868" s="3">
        <f>ROUND(MIN(IF(C3868="Técnico III",35,IF(C3868="Técnico II",28,IF(C3868="Técnico I",23,IF(C3868="JR",20,IF(C3868="Estágio",10,0))))),IF(C3868="Técnico III",SUMIFS($D:$D,$A:$A,$A3868,$B:$B,"&lt;&gt;Patrícia Karla de Sousa Araújo",$B:$B,"&lt;&gt;Lorena Dias de Araujo",$B:$B,"&lt;&gt;Lucas Luiz Romero")*(35/1083),IF(C3868="Técnico II",SUMIFS($D:$D,$A:$A,$A3868,$B:$B,"&lt;&gt;Patrícia Karla de Sousa Araújo",$B:$B,"&lt;&gt;Lorena Dias de Araujo",$B:$B,"&lt;&gt;Lucas Luiz Romero")*(28/1083),IF(C3868="Técnico I",SUMIFS($D:$D,$A:$A,$A3868,$B:$B,"&lt;&gt;Patrícia Karla de Sousa Araújo",$B:$B,"&lt;&gt;Lorena Dias de Araujo",$B:$B,"&lt;&gt;Lucas Luiz Romero")*(23/1083),IF(C3868="JR",SUMIFS($D:$D,$A:$A,$A3868,$B:$B,"&lt;&gt;Patrícia Karla de Sousa Araújo",$B:$B,"&lt;&gt;Lorena Dias de Araujo",$B:$B,"&lt;&gt;Lucas Luiz Romero")*(20/1083),IF(C3868="Estágio",SUMIFS($D:$D,$A:$A,$A3868,$B:$B,"&lt;&gt;Patrícia Karla de Sousa Araújo",$B:$B,"&lt;&gt;Lorena Dias de Araujo",$B:$B,"&lt;&gt;Lucas Luiz Romero")*(10/1083),0)))))),0)</f>
        <v/>
      </c>
      <c r="K3868" s="3">
        <f>I3868-J3868</f>
        <v/>
      </c>
      <c r="L3868" s="3">
        <f>IF(K3868&lt;-5,"CRÍTICO",IF(K3868&lt;0,"ATENÇÃO",IF(K3868&lt;=5,"OPORTUNO","MUITO BOM")))</f>
        <v/>
      </c>
      <c r="N3868" t="n">
        <v>100</v>
      </c>
      <c r="O3868" t="n">
        <v>27.36842105263158</v>
      </c>
    </row>
    <row r="3869" hidden="1">
      <c r="A3869" s="11" t="n">
        <v>46122</v>
      </c>
      <c r="B3869" t="inlineStr">
        <is>
          <t>Emilly Kamilly Medeiros Miranda</t>
        </is>
      </c>
      <c r="C3869" t="inlineStr">
        <is>
          <t>Técnico II</t>
        </is>
      </c>
      <c r="D3869" t="n">
        <v>24</v>
      </c>
      <c r="E3869" t="n">
        <v>23</v>
      </c>
      <c r="F3869" t="n">
        <v>20.32</v>
      </c>
      <c r="G3869" t="n">
        <v>0</v>
      </c>
      <c r="H3869" t="n">
        <v>0</v>
      </c>
      <c r="I3869" s="3">
        <f>E3869+G3869+H3869</f>
        <v/>
      </c>
      <c r="J3869" s="3">
        <f>ROUND(MIN(IF(C3869="Técnico III",35,IF(C3869="Técnico II",28,IF(C3869="Técnico I",23,IF(C3869="JR",20,IF(C3869="Estágio",10,0))))),IF(C3869="Técnico III",SUMIFS($D:$D,$A:$A,$A3869,$B:$B,"&lt;&gt;Patrícia Karla de Sousa Araújo",$B:$B,"&lt;&gt;Lorena Dias de Araujo",$B:$B,"&lt;&gt;Lucas Luiz Romero")*(35/1083),IF(C3869="Técnico II",SUMIFS($D:$D,$A:$A,$A3869,$B:$B,"&lt;&gt;Patrícia Karla de Sousa Araújo",$B:$B,"&lt;&gt;Lorena Dias de Araujo",$B:$B,"&lt;&gt;Lucas Luiz Romero")*(28/1083),IF(C3869="Técnico I",SUMIFS($D:$D,$A:$A,$A3869,$B:$B,"&lt;&gt;Patrícia Karla de Sousa Araújo",$B:$B,"&lt;&gt;Lorena Dias de Araujo",$B:$B,"&lt;&gt;Lucas Luiz Romero")*(23/1083),IF(C3869="JR",SUMIFS($D:$D,$A:$A,$A3869,$B:$B,"&lt;&gt;Patrícia Karla de Sousa Araújo",$B:$B,"&lt;&gt;Lorena Dias de Araujo",$B:$B,"&lt;&gt;Lucas Luiz Romero")*(20/1083),IF(C3869="Estágio",SUMIFS($D:$D,$A:$A,$A3869,$B:$B,"&lt;&gt;Patrícia Karla de Sousa Araújo",$B:$B,"&lt;&gt;Lorena Dias de Araujo",$B:$B,"&lt;&gt;Lucas Luiz Romero")*(10/1083),0)))))),0)</f>
        <v/>
      </c>
      <c r="K3869" s="3">
        <f>I3869-J3869</f>
        <v/>
      </c>
      <c r="L3869" s="3">
        <f>IF(K3869&lt;-5,"CRÍTICO",IF(K3869&lt;0,"ATENÇÃO",IF(K3869&lt;=5,"OPORTUNO","MUITO BOM")))</f>
        <v/>
      </c>
      <c r="N3869" t="n">
        <v>97.83</v>
      </c>
      <c r="O3869" t="n">
        <v>28.13186813186813</v>
      </c>
    </row>
    <row r="3870" hidden="1">
      <c r="A3870" s="11" t="n">
        <v>46122</v>
      </c>
      <c r="B3870" t="inlineStr">
        <is>
          <t>Francielson de Oliveira</t>
        </is>
      </c>
      <c r="C3870" t="inlineStr">
        <is>
          <t>Técnico III</t>
        </is>
      </c>
      <c r="D3870" t="n">
        <v>32</v>
      </c>
      <c r="E3870" t="n">
        <v>31</v>
      </c>
      <c r="F3870" t="n">
        <v>11.47</v>
      </c>
      <c r="G3870" t="n">
        <v>0</v>
      </c>
      <c r="H3870" t="n">
        <v>0</v>
      </c>
      <c r="I3870" s="3">
        <f>E3870+G3870+H3870</f>
        <v/>
      </c>
      <c r="J3870" s="3">
        <f>ROUND(MIN(IF(C3870="Técnico III",35,IF(C3870="Técnico II",28,IF(C3870="Técnico I",23,IF(C3870="JR",20,IF(C3870="Estágio",10,0))))),IF(C3870="Técnico III",SUMIFS($D:$D,$A:$A,$A3870,$B:$B,"&lt;&gt;Patrícia Karla de Sousa Araújo",$B:$B,"&lt;&gt;Lorena Dias de Araujo",$B:$B,"&lt;&gt;Lucas Luiz Romero")*(35/1083),IF(C3870="Técnico II",SUMIFS($D:$D,$A:$A,$A3870,$B:$B,"&lt;&gt;Patrícia Karla de Sousa Araújo",$B:$B,"&lt;&gt;Lorena Dias de Araujo",$B:$B,"&lt;&gt;Lucas Luiz Romero")*(28/1083),IF(C3870="Técnico I",SUMIFS($D:$D,$A:$A,$A3870,$B:$B,"&lt;&gt;Patrícia Karla de Sousa Araújo",$B:$B,"&lt;&gt;Lorena Dias de Araujo",$B:$B,"&lt;&gt;Lucas Luiz Romero")*(23/1083),IF(C3870="JR",SUMIFS($D:$D,$A:$A,$A3870,$B:$B,"&lt;&gt;Patrícia Karla de Sousa Araújo",$B:$B,"&lt;&gt;Lorena Dias de Araujo",$B:$B,"&lt;&gt;Lucas Luiz Romero")*(20/1083),IF(C3870="Estágio",SUMIFS($D:$D,$A:$A,$A3870,$B:$B,"&lt;&gt;Patrícia Karla de Sousa Araújo",$B:$B,"&lt;&gt;Lorena Dias de Araujo",$B:$B,"&lt;&gt;Lucas Luiz Romero")*(10/1083),0)))))),0)</f>
        <v/>
      </c>
      <c r="K3870" s="3">
        <f>I3870-J3870</f>
        <v/>
      </c>
      <c r="L3870" s="3">
        <f>IF(K3870&lt;-5,"CRÍTICO",IF(K3870&lt;0,"ATENÇÃO",IF(K3870&lt;=5,"OPORTUNO","MUITO BOM")))</f>
        <v/>
      </c>
      <c r="N3870" t="n">
        <v>99.26000000000001</v>
      </c>
      <c r="O3870" t="n">
        <v>29.57198443579767</v>
      </c>
    </row>
    <row r="3871" hidden="1">
      <c r="A3871" s="11" t="n">
        <v>46122</v>
      </c>
      <c r="B3871" t="inlineStr">
        <is>
          <t>Francilene Ferreira de Jesus</t>
        </is>
      </c>
      <c r="C3871" t="inlineStr">
        <is>
          <t>Técnico II</t>
        </is>
      </c>
      <c r="D3871" t="n">
        <v>21</v>
      </c>
      <c r="E3871" t="n">
        <v>21</v>
      </c>
      <c r="F3871" t="n">
        <v>28.27</v>
      </c>
      <c r="G3871" t="n">
        <v>0</v>
      </c>
      <c r="H3871" t="n">
        <v>0</v>
      </c>
      <c r="I3871" s="3">
        <f>E3871+G3871+H3871</f>
        <v/>
      </c>
      <c r="J3871" s="3">
        <f>ROUND(MIN(IF(C3871="Técnico III",35,IF(C3871="Técnico II",28,IF(C3871="Técnico I",23,IF(C3871="JR",20,IF(C3871="Estágio",10,0))))),IF(C3871="Técnico III",SUMIFS($D:$D,$A:$A,$A3871,$B:$B,"&lt;&gt;Patrícia Karla de Sousa Araújo",$B:$B,"&lt;&gt;Lorena Dias de Araujo",$B:$B,"&lt;&gt;Lucas Luiz Romero")*(35/1083),IF(C3871="Técnico II",SUMIFS($D:$D,$A:$A,$A3871,$B:$B,"&lt;&gt;Patrícia Karla de Sousa Araújo",$B:$B,"&lt;&gt;Lorena Dias de Araujo",$B:$B,"&lt;&gt;Lucas Luiz Romero")*(28/1083),IF(C3871="Técnico I",SUMIFS($D:$D,$A:$A,$A3871,$B:$B,"&lt;&gt;Patrícia Karla de Sousa Araújo",$B:$B,"&lt;&gt;Lorena Dias de Araujo",$B:$B,"&lt;&gt;Lucas Luiz Romero")*(23/1083),IF(C3871="JR",SUMIFS($D:$D,$A:$A,$A3871,$B:$B,"&lt;&gt;Patrícia Karla de Sousa Araújo",$B:$B,"&lt;&gt;Lorena Dias de Araujo",$B:$B,"&lt;&gt;Lucas Luiz Romero")*(20/1083),IF(C3871="Estágio",SUMIFS($D:$D,$A:$A,$A3871,$B:$B,"&lt;&gt;Patrícia Karla de Sousa Araújo",$B:$B,"&lt;&gt;Lorena Dias de Araujo",$B:$B,"&lt;&gt;Lucas Luiz Romero")*(10/1083),0)))))),0)</f>
        <v/>
      </c>
      <c r="K3871" s="3">
        <f>I3871-J3871</f>
        <v/>
      </c>
      <c r="L3871" s="3">
        <f>IF(K3871&lt;-5,"CRÍTICO",IF(K3871&lt;0,"ATENÇÃO",IF(K3871&lt;=5,"OPORTUNO","MUITO BOM")))</f>
        <v/>
      </c>
      <c r="N3871" t="n">
        <v>99.19</v>
      </c>
      <c r="O3871" t="n">
        <v>29.46236559139785</v>
      </c>
    </row>
    <row r="3872" hidden="1">
      <c r="A3872" s="11" t="n">
        <v>46167</v>
      </c>
      <c r="B3872" t="inlineStr">
        <is>
          <t>Jessica Faria da Silveira</t>
        </is>
      </c>
      <c r="C3872" t="inlineStr">
        <is>
          <t>Técnico II</t>
        </is>
      </c>
      <c r="D3872" t="n">
        <v>21</v>
      </c>
      <c r="E3872" t="n">
        <v>17</v>
      </c>
      <c r="F3872" t="n">
        <v>17.19</v>
      </c>
      <c r="G3872" t="n">
        <v>0</v>
      </c>
      <c r="H3872" t="n">
        <v>0</v>
      </c>
      <c r="I3872" s="3" t="n">
        <v>0</v>
      </c>
      <c r="J3872" s="3" t="n">
        <v>0</v>
      </c>
      <c r="K3872" s="3" t="n">
        <v>0</v>
      </c>
      <c r="L3872" s="3">
        <f>IF(K3872&lt;-5,"CRÍTICO",IF(K3872&lt;0,"ATENÇÃO",IF(K3872&lt;=5,"OPORTUNO","MUITO BOM")))</f>
        <v/>
      </c>
    </row>
    <row r="3873" hidden="1">
      <c r="A3873" s="11" t="n">
        <v>46122</v>
      </c>
      <c r="B3873" t="inlineStr">
        <is>
          <t>Isabella Borges de Oliveira</t>
        </is>
      </c>
      <c r="C3873" t="inlineStr">
        <is>
          <t>Técnico II</t>
        </is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s="3" t="n">
        <v>0</v>
      </c>
      <c r="J3873" s="3" t="n">
        <v>0</v>
      </c>
      <c r="K3873" s="3" t="n">
        <v>0</v>
      </c>
      <c r="L3873" s="3">
        <f>IF(K3873&lt;-5,"CRÍTICO",IF(K3873&lt;0,"ATENÇÃO",IF(K3873&lt;=5,"OPORTUNO","MUITO BOM")))</f>
        <v/>
      </c>
      <c r="N3873" t="n">
        <v>100</v>
      </c>
      <c r="O3873" t="n">
        <v>27.94117647058824</v>
      </c>
    </row>
    <row r="3874" hidden="1">
      <c r="A3874" s="11" t="n">
        <v>46122</v>
      </c>
      <c r="B3874" t="inlineStr">
        <is>
          <t>Janaina Lima dos Reis Urany</t>
        </is>
      </c>
      <c r="C3874" t="inlineStr">
        <is>
          <t>Técnico III</t>
        </is>
      </c>
      <c r="D3874" t="n">
        <v>33</v>
      </c>
      <c r="E3874" t="n">
        <v>32</v>
      </c>
      <c r="F3874" t="n">
        <v>15.4</v>
      </c>
      <c r="G3874" t="n">
        <v>0</v>
      </c>
      <c r="H3874" t="n">
        <v>0</v>
      </c>
      <c r="I3874" s="3">
        <f>E3874+G3874+H3874</f>
        <v/>
      </c>
      <c r="J3874" s="3">
        <f>ROUND(MIN(IF(C3874="Técnico III",35,IF(C3874="Técnico II",28,IF(C3874="Técnico I",23,IF(C3874="JR",20,IF(C3874="Estágio",10,0))))),IF(C3874="Técnico III",SUMIFS($D:$D,$A:$A,$A3874,$B:$B,"&lt;&gt;Patrícia Karla de Sousa Araújo",$B:$B,"&lt;&gt;Lorena Dias de Araujo",$B:$B,"&lt;&gt;Lucas Luiz Romero")*(35/1083),IF(C3874="Técnico II",SUMIFS($D:$D,$A:$A,$A3874,$B:$B,"&lt;&gt;Patrícia Karla de Sousa Araújo",$B:$B,"&lt;&gt;Lorena Dias de Araujo",$B:$B,"&lt;&gt;Lucas Luiz Romero")*(28/1083),IF(C3874="Técnico I",SUMIFS($D:$D,$A:$A,$A3874,$B:$B,"&lt;&gt;Patrícia Karla de Sousa Araújo",$B:$B,"&lt;&gt;Lorena Dias de Araujo",$B:$B,"&lt;&gt;Lucas Luiz Romero")*(23/1083),IF(C3874="JR",SUMIFS($D:$D,$A:$A,$A3874,$B:$B,"&lt;&gt;Patrícia Karla de Sousa Araújo",$B:$B,"&lt;&gt;Lorena Dias de Araujo",$B:$B,"&lt;&gt;Lucas Luiz Romero")*(20/1083),IF(C3874="Estágio",SUMIFS($D:$D,$A:$A,$A3874,$B:$B,"&lt;&gt;Patrícia Karla de Sousa Araújo",$B:$B,"&lt;&gt;Lorena Dias de Araujo",$B:$B,"&lt;&gt;Lucas Luiz Romero")*(10/1083),0)))))),0)</f>
        <v/>
      </c>
      <c r="K3874" s="3">
        <f>I3874-J3874</f>
        <v/>
      </c>
      <c r="L3874" s="3">
        <f>IF(K3874&lt;-5,"CRÍTICO",IF(K3874&lt;0,"ATENÇÃO",IF(K3874&lt;=5,"OPORTUNO","MUITO BOM")))</f>
        <v/>
      </c>
      <c r="N3874" t="n">
        <v>99.56999999999999</v>
      </c>
      <c r="O3874" t="n">
        <v>29.91329479768786</v>
      </c>
    </row>
    <row r="3875" hidden="1">
      <c r="A3875" s="11" t="n">
        <v>46122</v>
      </c>
      <c r="B3875" t="inlineStr">
        <is>
          <t>Jaqueline Evangelista da Silva Martins</t>
        </is>
      </c>
      <c r="C3875" t="inlineStr">
        <is>
          <t>Técnico III</t>
        </is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s="3" t="n">
        <v>0</v>
      </c>
      <c r="J3875" s="3" t="n">
        <v>0</v>
      </c>
      <c r="K3875" s="3" t="n">
        <v>0</v>
      </c>
      <c r="L3875" s="3">
        <f>IF(K3875&lt;-5,"CRÍTICO",IF(K3875&lt;0,"ATENÇÃO",IF(K3875&lt;=5,"OPORTUNO","MUITO BOM")))</f>
        <v/>
      </c>
      <c r="N3875" t="n">
        <v>95.65000000000001</v>
      </c>
      <c r="O3875" t="n">
        <v>31.08108108108108</v>
      </c>
    </row>
    <row r="3876" hidden="1">
      <c r="A3876" s="11" t="n">
        <v>46122</v>
      </c>
      <c r="B3876" t="inlineStr">
        <is>
          <t>Jessica Faria da Silveira</t>
        </is>
      </c>
      <c r="C3876" t="inlineStr">
        <is>
          <t>Técnico II</t>
        </is>
      </c>
      <c r="D3876" t="n">
        <v>20</v>
      </c>
      <c r="E3876" t="n">
        <v>17</v>
      </c>
      <c r="F3876" t="n">
        <v>20</v>
      </c>
      <c r="G3876" t="n">
        <v>0</v>
      </c>
      <c r="H3876" t="n">
        <v>0</v>
      </c>
      <c r="I3876" s="3">
        <f>E3876+G3876+H3876</f>
        <v/>
      </c>
      <c r="J3876" s="3">
        <f>ROUND(MIN(IF(C3876="Técnico III",35,IF(C3876="Técnico II",28,IF(C3876="Técnico I",23,IF(C3876="JR",20,IF(C3876="Estágio",10,0))))),IF(C3876="Técnico III",SUMIFS($D:$D,$A:$A,$A3876,$B:$B,"&lt;&gt;Patrícia Karla de Sousa Araújo",$B:$B,"&lt;&gt;Lorena Dias de Araujo",$B:$B,"&lt;&gt;Lucas Luiz Romero")*(35/1083),IF(C3876="Técnico II",SUMIFS($D:$D,$A:$A,$A3876,$B:$B,"&lt;&gt;Patrícia Karla de Sousa Araújo",$B:$B,"&lt;&gt;Lorena Dias de Araujo",$B:$B,"&lt;&gt;Lucas Luiz Romero")*(28/1083),IF(C3876="Técnico I",SUMIFS($D:$D,$A:$A,$A3876,$B:$B,"&lt;&gt;Patrícia Karla de Sousa Araújo",$B:$B,"&lt;&gt;Lorena Dias de Araujo",$B:$B,"&lt;&gt;Lucas Luiz Romero")*(23/1083),IF(C3876="JR",SUMIFS($D:$D,$A:$A,$A3876,$B:$B,"&lt;&gt;Patrícia Karla de Sousa Araújo",$B:$B,"&lt;&gt;Lorena Dias de Araujo",$B:$B,"&lt;&gt;Lucas Luiz Romero")*(20/1083),IF(C3876="Estágio",SUMIFS($D:$D,$A:$A,$A3876,$B:$B,"&lt;&gt;Patrícia Karla de Sousa Araújo",$B:$B,"&lt;&gt;Lorena Dias de Araujo",$B:$B,"&lt;&gt;Lucas Luiz Romero")*(10/1083),0)))))),0)</f>
        <v/>
      </c>
      <c r="K3876" s="3">
        <f>I3876-J3876</f>
        <v/>
      </c>
      <c r="L3876" s="3">
        <f>IF(K3876&lt;-5,"CRÍTICO",IF(K3876&lt;0,"ATENÇÃO",IF(K3876&lt;=5,"OPORTUNO","MUITO BOM")))</f>
        <v/>
      </c>
      <c r="N3876" t="n">
        <v>98.81</v>
      </c>
      <c r="O3876" t="n">
        <v>26.25698324022346</v>
      </c>
    </row>
    <row r="3877" hidden="1">
      <c r="A3877" s="11" t="n">
        <v>46122</v>
      </c>
      <c r="B3877" t="inlineStr">
        <is>
          <t>Jéssica Fé Moura</t>
        </is>
      </c>
      <c r="C3877" t="inlineStr">
        <is>
          <t>Técnico III</t>
        </is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s="3" t="n">
        <v>0</v>
      </c>
      <c r="J3877" s="3" t="n">
        <v>0</v>
      </c>
      <c r="K3877" s="3" t="n">
        <v>0</v>
      </c>
      <c r="L3877" s="3">
        <f>IF(K3877&lt;-5,"CRÍTICO",IF(K3877&lt;0,"ATENÇÃO",IF(K3877&lt;=5,"OPORTUNO","MUITO BOM")))</f>
        <v/>
      </c>
      <c r="N3877" t="n">
        <v>0</v>
      </c>
      <c r="O3877" t="n">
        <v>0</v>
      </c>
    </row>
    <row r="3878" hidden="1">
      <c r="A3878" s="11" t="n">
        <v>46122</v>
      </c>
      <c r="B3878" t="inlineStr">
        <is>
          <t>Karina Gonçalves Martins</t>
        </is>
      </c>
      <c r="C3878" t="inlineStr">
        <is>
          <t>JR</t>
        </is>
      </c>
      <c r="D3878" t="n">
        <v>17</v>
      </c>
      <c r="E3878" t="n">
        <v>16</v>
      </c>
      <c r="F3878" t="n">
        <v>22.3</v>
      </c>
      <c r="G3878" t="n">
        <v>0</v>
      </c>
      <c r="H3878" t="n">
        <v>0</v>
      </c>
      <c r="I3878" s="3">
        <f>E3878+G3878+H3878</f>
        <v/>
      </c>
      <c r="J3878" s="3">
        <f>ROUND(MIN(IF(C3878="Técnico III",35,IF(C3878="Técnico II",28,IF(C3878="Técnico I",23,IF(C3878="JR",20,IF(C3878="Estágio",10,0))))),IF(C3878="Técnico III",SUMIFS($D:$D,$A:$A,$A3878,$B:$B,"&lt;&gt;Patrícia Karla de Sousa Araújo",$B:$B,"&lt;&gt;Lorena Dias de Araujo",$B:$B,"&lt;&gt;Lucas Luiz Romero")*(35/1083),IF(C3878="Técnico II",SUMIFS($D:$D,$A:$A,$A3878,$B:$B,"&lt;&gt;Patrícia Karla de Sousa Araújo",$B:$B,"&lt;&gt;Lorena Dias de Araujo",$B:$B,"&lt;&gt;Lucas Luiz Romero")*(28/1083),IF(C3878="Técnico I",SUMIFS($D:$D,$A:$A,$A3878,$B:$B,"&lt;&gt;Patrícia Karla de Sousa Araújo",$B:$B,"&lt;&gt;Lorena Dias de Araujo",$B:$B,"&lt;&gt;Lucas Luiz Romero")*(23/1083),IF(C3878="JR",SUMIFS($D:$D,$A:$A,$A3878,$B:$B,"&lt;&gt;Patrícia Karla de Sousa Araújo",$B:$B,"&lt;&gt;Lorena Dias de Araujo",$B:$B,"&lt;&gt;Lucas Luiz Romero")*(20/1083),IF(C3878="Estágio",SUMIFS($D:$D,$A:$A,$A3878,$B:$B,"&lt;&gt;Patrícia Karla de Sousa Araújo",$B:$B,"&lt;&gt;Lorena Dias de Araujo",$B:$B,"&lt;&gt;Lucas Luiz Romero")*(10/1083),0)))))),0)</f>
        <v/>
      </c>
      <c r="K3878" s="3">
        <f>I3878-J3878</f>
        <v/>
      </c>
      <c r="L3878" s="3">
        <f>IF(K3878&lt;-5,"CRÍTICO",IF(K3878&lt;0,"ATENÇÃO",IF(K3878&lt;=5,"OPORTUNO","MUITO BOM")))</f>
        <v/>
      </c>
      <c r="N3878" t="n">
        <v>97.17</v>
      </c>
      <c r="O3878" t="n">
        <v>28.81844380403458</v>
      </c>
    </row>
    <row r="3879" hidden="1">
      <c r="A3879" s="11" t="n">
        <v>46122</v>
      </c>
      <c r="B3879" t="inlineStr">
        <is>
          <t>Kerollen Cristielly de Jesus Siqueira</t>
        </is>
      </c>
      <c r="C3879" t="inlineStr">
        <is>
          <t>Técnico III</t>
        </is>
      </c>
      <c r="D3879" t="n">
        <v>16</v>
      </c>
      <c r="E3879" t="n">
        <v>15</v>
      </c>
      <c r="F3879" t="n">
        <v>21.46</v>
      </c>
      <c r="G3879" t="n">
        <v>0</v>
      </c>
      <c r="H3879" t="n">
        <v>0</v>
      </c>
      <c r="I3879" s="3">
        <f>E3879+G3879+H3879</f>
        <v/>
      </c>
      <c r="J3879" s="3">
        <f>ROUND(MIN(IF(C3879="Técnico III",35,IF(C3879="Técnico II",28,IF(C3879="Técnico I",23,IF(C3879="JR",20,IF(C3879="Estágio",10,0))))),IF(C3879="Técnico III",SUMIFS($D:$D,$A:$A,$A3879,$B:$B,"&lt;&gt;Patrícia Karla de Sousa Araújo",$B:$B,"&lt;&gt;Lorena Dias de Araujo",$B:$B,"&lt;&gt;Lucas Luiz Romero")*(35/1083),IF(C3879="Técnico II",SUMIFS($D:$D,$A:$A,$A3879,$B:$B,"&lt;&gt;Patrícia Karla de Sousa Araújo",$B:$B,"&lt;&gt;Lorena Dias de Araujo",$B:$B,"&lt;&gt;Lucas Luiz Romero")*(28/1083),IF(C3879="Técnico I",SUMIFS($D:$D,$A:$A,$A3879,$B:$B,"&lt;&gt;Patrícia Karla de Sousa Araújo",$B:$B,"&lt;&gt;Lorena Dias de Araujo",$B:$B,"&lt;&gt;Lucas Luiz Romero")*(23/1083),IF(C3879="JR",SUMIFS($D:$D,$A:$A,$A3879,$B:$B,"&lt;&gt;Patrícia Karla de Sousa Araújo",$B:$B,"&lt;&gt;Lorena Dias de Araujo",$B:$B,"&lt;&gt;Lucas Luiz Romero")*(20/1083),IF(C3879="Estágio",SUMIFS($D:$D,$A:$A,$A3879,$B:$B,"&lt;&gt;Patrícia Karla de Sousa Araújo",$B:$B,"&lt;&gt;Lorena Dias de Araujo",$B:$B,"&lt;&gt;Lucas Luiz Romero")*(10/1083),0)))))),0)</f>
        <v/>
      </c>
      <c r="K3879" s="3">
        <f>I3879-J3879</f>
        <v/>
      </c>
      <c r="L3879" s="3">
        <f>IF(K3879&lt;-5,"CRÍTICO",IF(K3879&lt;0,"ATENÇÃO",IF(K3879&lt;=5,"OPORTUNO","MUITO BOM")))</f>
        <v/>
      </c>
      <c r="N3879" t="n">
        <v>96.81</v>
      </c>
      <c r="O3879" t="n">
        <v>48.01864801864802</v>
      </c>
    </row>
    <row r="3880" hidden="1">
      <c r="A3880" s="11" t="n">
        <v>46122</v>
      </c>
      <c r="B3880" t="inlineStr">
        <is>
          <t>Leandro de Souza Silva</t>
        </is>
      </c>
      <c r="C3880" t="inlineStr">
        <is>
          <t>JR</t>
        </is>
      </c>
      <c r="D3880" t="n">
        <v>12</v>
      </c>
      <c r="E3880" t="n">
        <v>11</v>
      </c>
      <c r="F3880" t="n">
        <v>26.5</v>
      </c>
      <c r="G3880" t="n">
        <v>0</v>
      </c>
      <c r="H3880" t="n">
        <v>0</v>
      </c>
      <c r="I3880" s="3">
        <f>E3880+G3880+H3880</f>
        <v/>
      </c>
      <c r="J3880" s="3">
        <f>ROUND(MIN(IF(C3880="Técnico III",35,IF(C3880="Técnico II",28,IF(C3880="Técnico I",23,IF(C3880="JR",20,IF(C3880="Estágio",10,0))))),IF(C3880="Técnico III",SUMIFS($D:$D,$A:$A,$A3880,$B:$B,"&lt;&gt;Patrícia Karla de Sousa Araújo",$B:$B,"&lt;&gt;Lorena Dias de Araujo",$B:$B,"&lt;&gt;Lucas Luiz Romero")*(35/1083),IF(C3880="Técnico II",SUMIFS($D:$D,$A:$A,$A3880,$B:$B,"&lt;&gt;Patrícia Karla de Sousa Araújo",$B:$B,"&lt;&gt;Lorena Dias de Araujo",$B:$B,"&lt;&gt;Lucas Luiz Romero")*(28/1083),IF(C3880="Técnico I",SUMIFS($D:$D,$A:$A,$A3880,$B:$B,"&lt;&gt;Patrícia Karla de Sousa Araújo",$B:$B,"&lt;&gt;Lorena Dias de Araujo",$B:$B,"&lt;&gt;Lucas Luiz Romero")*(23/1083),IF(C3880="JR",SUMIFS($D:$D,$A:$A,$A3880,$B:$B,"&lt;&gt;Patrícia Karla de Sousa Araújo",$B:$B,"&lt;&gt;Lorena Dias de Araujo",$B:$B,"&lt;&gt;Lucas Luiz Romero")*(20/1083),IF(C3880="Estágio",SUMIFS($D:$D,$A:$A,$A3880,$B:$B,"&lt;&gt;Patrícia Karla de Sousa Araújo",$B:$B,"&lt;&gt;Lorena Dias de Araujo",$B:$B,"&lt;&gt;Lucas Luiz Romero")*(10/1083),0)))))),0)</f>
        <v/>
      </c>
      <c r="K3880" s="3">
        <f>I3880-J3880</f>
        <v/>
      </c>
      <c r="L3880" s="3">
        <f>IF(K3880&lt;-5,"CRÍTICO",IF(K3880&lt;0,"ATENÇÃO",IF(K3880&lt;=5,"OPORTUNO","MUITO BOM")))</f>
        <v/>
      </c>
      <c r="N3880" t="n">
        <v>98.15000000000001</v>
      </c>
      <c r="O3880" t="n">
        <v>27.1551724137931</v>
      </c>
    </row>
    <row r="3881" hidden="1">
      <c r="A3881" s="11" t="n">
        <v>46122</v>
      </c>
      <c r="B3881" t="inlineStr">
        <is>
          <t>Leandro Oliveira de Sousa</t>
        </is>
      </c>
      <c r="C3881" t="inlineStr">
        <is>
          <t>Técnico III</t>
        </is>
      </c>
      <c r="D3881" t="n">
        <v>27</v>
      </c>
      <c r="E3881" t="n">
        <v>26</v>
      </c>
      <c r="F3881" t="n">
        <v>14.11</v>
      </c>
      <c r="G3881" t="n">
        <v>0</v>
      </c>
      <c r="H3881" t="n">
        <v>0</v>
      </c>
      <c r="I3881" s="3">
        <f>E3881+G3881+H3881</f>
        <v/>
      </c>
      <c r="J3881" s="3">
        <f>ROUND(MIN(IF(C3881="Técnico III",35,IF(C3881="Técnico II",28,IF(C3881="Técnico I",23,IF(C3881="JR",20,IF(C3881="Estágio",10,0))))),IF(C3881="Técnico III",SUMIFS($D:$D,$A:$A,$A3881,$B:$B,"&lt;&gt;Patrícia Karla de Sousa Araújo",$B:$B,"&lt;&gt;Lorena Dias de Araujo",$B:$B,"&lt;&gt;Lucas Luiz Romero")*(35/1083),IF(C3881="Técnico II",SUMIFS($D:$D,$A:$A,$A3881,$B:$B,"&lt;&gt;Patrícia Karla de Sousa Araújo",$B:$B,"&lt;&gt;Lorena Dias de Araujo",$B:$B,"&lt;&gt;Lucas Luiz Romero")*(28/1083),IF(C3881="Técnico I",SUMIFS($D:$D,$A:$A,$A3881,$B:$B,"&lt;&gt;Patrícia Karla de Sousa Araújo",$B:$B,"&lt;&gt;Lorena Dias de Araujo",$B:$B,"&lt;&gt;Lucas Luiz Romero")*(23/1083),IF(C3881="JR",SUMIFS($D:$D,$A:$A,$A3881,$B:$B,"&lt;&gt;Patrícia Karla de Sousa Araújo",$B:$B,"&lt;&gt;Lorena Dias de Araujo",$B:$B,"&lt;&gt;Lucas Luiz Romero")*(20/1083),IF(C3881="Estágio",SUMIFS($D:$D,$A:$A,$A3881,$B:$B,"&lt;&gt;Patrícia Karla de Sousa Araújo",$B:$B,"&lt;&gt;Lorena Dias de Araujo",$B:$B,"&lt;&gt;Lucas Luiz Romero")*(10/1083),0)))))),0)</f>
        <v/>
      </c>
      <c r="K3881" s="3">
        <f>I3881-J3881</f>
        <v/>
      </c>
      <c r="L3881" s="3">
        <f>IF(K3881&lt;-5,"CRÍTICO",IF(K3881&lt;0,"ATENÇÃO",IF(K3881&lt;=5,"OPORTUNO","MUITO BOM")))</f>
        <v/>
      </c>
      <c r="N3881" t="n">
        <v>99.15000000000001</v>
      </c>
      <c r="O3881" t="n">
        <v>27.37068965517241</v>
      </c>
    </row>
    <row r="3882" hidden="1">
      <c r="A3882" s="11" t="n">
        <v>46122</v>
      </c>
      <c r="B3882" t="inlineStr">
        <is>
          <t>Lizandra Gomes Duarte</t>
        </is>
      </c>
      <c r="C3882" t="inlineStr">
        <is>
          <t>Técnico II</t>
        </is>
      </c>
      <c r="D3882" t="n">
        <v>24</v>
      </c>
      <c r="E3882" t="n">
        <v>19</v>
      </c>
      <c r="F3882" t="n">
        <v>17.28</v>
      </c>
      <c r="G3882" t="n">
        <v>0</v>
      </c>
      <c r="H3882" t="n">
        <v>0</v>
      </c>
      <c r="I3882" s="3">
        <f>E3882+G3882+H3882</f>
        <v/>
      </c>
      <c r="J3882" s="3">
        <f>ROUND(MIN(IF(C3882="Técnico III",35,IF(C3882="Técnico II",28,IF(C3882="Técnico I",23,IF(C3882="JR",20,IF(C3882="Estágio",10,0))))),IF(C3882="Técnico III",SUMIFS($D:$D,$A:$A,$A3882,$B:$B,"&lt;&gt;Patrícia Karla de Sousa Araújo",$B:$B,"&lt;&gt;Lorena Dias de Araujo",$B:$B,"&lt;&gt;Lucas Luiz Romero")*(35/1083),IF(C3882="Técnico II",SUMIFS($D:$D,$A:$A,$A3882,$B:$B,"&lt;&gt;Patrícia Karla de Sousa Araújo",$B:$B,"&lt;&gt;Lorena Dias de Araujo",$B:$B,"&lt;&gt;Lucas Luiz Romero")*(28/1083),IF(C3882="Técnico I",SUMIFS($D:$D,$A:$A,$A3882,$B:$B,"&lt;&gt;Patrícia Karla de Sousa Araújo",$B:$B,"&lt;&gt;Lorena Dias de Araujo",$B:$B,"&lt;&gt;Lucas Luiz Romero")*(23/1083),IF(C3882="JR",SUMIFS($D:$D,$A:$A,$A3882,$B:$B,"&lt;&gt;Patrícia Karla de Sousa Araújo",$B:$B,"&lt;&gt;Lorena Dias de Araujo",$B:$B,"&lt;&gt;Lucas Luiz Romero")*(20/1083),IF(C3882="Estágio",SUMIFS($D:$D,$A:$A,$A3882,$B:$B,"&lt;&gt;Patrícia Karla de Sousa Araújo",$B:$B,"&lt;&gt;Lorena Dias de Araujo",$B:$B,"&lt;&gt;Lucas Luiz Romero")*(10/1083),0)))))),0)</f>
        <v/>
      </c>
      <c r="K3882" s="3">
        <f>I3882-J3882</f>
        <v/>
      </c>
      <c r="L3882" s="3">
        <f>IF(K3882&lt;-5,"CRÍTICO",IF(K3882&lt;0,"ATENÇÃO",IF(K3882&lt;=5,"OPORTUNO","MUITO BOM")))</f>
        <v/>
      </c>
      <c r="N3882" t="n">
        <v>99.17</v>
      </c>
      <c r="O3882" t="n">
        <v>29.75206611570248</v>
      </c>
    </row>
    <row r="3883" hidden="1">
      <c r="A3883" s="11" t="n">
        <v>46122</v>
      </c>
      <c r="B3883" t="inlineStr">
        <is>
          <t>Lorena Dias de Araujo</t>
        </is>
      </c>
      <c r="C3883" t="inlineStr">
        <is>
          <t>Técnico II</t>
        </is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s="3" t="n">
        <v>0</v>
      </c>
      <c r="J3883" s="3" t="n">
        <v>0</v>
      </c>
      <c r="K3883" s="3" t="n">
        <v>0</v>
      </c>
      <c r="L3883" s="3">
        <f>IF(K3883&lt;-5,"CRÍTICO",IF(K3883&lt;0,"ATENÇÃO",IF(K3883&lt;=5,"OPORTUNO","MUITO BOM")))</f>
        <v/>
      </c>
      <c r="N3883" t="n">
        <v>98.73</v>
      </c>
      <c r="O3883" t="n">
        <v>28.96174863387978</v>
      </c>
    </row>
    <row r="3884" hidden="1">
      <c r="A3884" s="11" t="n">
        <v>46122</v>
      </c>
      <c r="B3884" t="inlineStr">
        <is>
          <t>Lucas Luiz Romero</t>
        </is>
      </c>
      <c r="C3884" t="inlineStr">
        <is>
          <t>Técnico III</t>
        </is>
      </c>
      <c r="D3884" t="n">
        <v>40</v>
      </c>
      <c r="E3884" t="n">
        <v>37</v>
      </c>
      <c r="F3884" t="n">
        <v>12.14</v>
      </c>
      <c r="G3884" t="n">
        <v>0</v>
      </c>
      <c r="H3884" t="n">
        <v>0</v>
      </c>
      <c r="I3884" s="3">
        <f>E3884+G3884+H3884</f>
        <v/>
      </c>
      <c r="J3884" s="3">
        <f>ROUND(MIN(IF(C3884="Técnico III",35,IF(C3884="Técnico II",28,IF(C3884="Técnico I",23,IF(C3884="JR",20,IF(C3884="Estágio",10,0))))),IF(C3884="Técnico III",SUMIFS($D:$D,$A:$A,$A3884,$B:$B,"&lt;&gt;Patrícia Karla de Sousa Araújo",$B:$B,"&lt;&gt;Lorena Dias de Araujo",$B:$B,"&lt;&gt;Lucas Luiz Romero")*(35/1083),IF(C3884="Técnico II",SUMIFS($D:$D,$A:$A,$A3884,$B:$B,"&lt;&gt;Patrícia Karla de Sousa Araújo",$B:$B,"&lt;&gt;Lorena Dias de Araujo",$B:$B,"&lt;&gt;Lucas Luiz Romero")*(28/1083),IF(C3884="Técnico I",SUMIFS($D:$D,$A:$A,$A3884,$B:$B,"&lt;&gt;Patrícia Karla de Sousa Araújo",$B:$B,"&lt;&gt;Lorena Dias de Araujo",$B:$B,"&lt;&gt;Lucas Luiz Romero")*(23/1083),IF(C3884="JR",SUMIFS($D:$D,$A:$A,$A3884,$B:$B,"&lt;&gt;Patrícia Karla de Sousa Araújo",$B:$B,"&lt;&gt;Lorena Dias de Araujo",$B:$B,"&lt;&gt;Lucas Luiz Romero")*(20/1083),IF(C3884="Estágio",SUMIFS($D:$D,$A:$A,$A3884,$B:$B,"&lt;&gt;Patrícia Karla de Sousa Araújo",$B:$B,"&lt;&gt;Lorena Dias de Araujo",$B:$B,"&lt;&gt;Lucas Luiz Romero")*(10/1083),0)))))),0)</f>
        <v/>
      </c>
      <c r="K3884" s="3">
        <f>I3884-J3884</f>
        <v/>
      </c>
      <c r="L3884" s="3">
        <f>IF(K3884&lt;-5,"CRÍTICO",IF(K3884&lt;0,"ATENÇÃO",IF(K3884&lt;=5,"OPORTUNO","MUITO BOM")))</f>
        <v/>
      </c>
      <c r="N3884" t="n">
        <v>88.68000000000001</v>
      </c>
      <c r="O3884" t="n">
        <v>22.03389830508474</v>
      </c>
    </row>
    <row r="3885" hidden="1">
      <c r="A3885" s="11" t="n">
        <v>46122</v>
      </c>
      <c r="B3885" t="inlineStr">
        <is>
          <t>Luiz Fernando de Carvalho Junior</t>
        </is>
      </c>
      <c r="C3885" t="inlineStr">
        <is>
          <t>Técnico I</t>
        </is>
      </c>
      <c r="D3885" t="n">
        <v>19</v>
      </c>
      <c r="E3885" t="n">
        <v>18</v>
      </c>
      <c r="F3885" t="n">
        <v>20.5</v>
      </c>
      <c r="G3885" t="n">
        <v>0</v>
      </c>
      <c r="H3885" t="n">
        <v>0</v>
      </c>
      <c r="I3885" s="3">
        <f>E3885+G3885+H3885</f>
        <v/>
      </c>
      <c r="J3885" s="3">
        <f>ROUND(MIN(IF(C3885="Técnico III",35,IF(C3885="Técnico II",28,IF(C3885="Técnico I",23,IF(C3885="JR",20,IF(C3885="Estágio",10,0))))),IF(C3885="Técnico III",SUMIFS($D:$D,$A:$A,$A3885,$B:$B,"&lt;&gt;Patrícia Karla de Sousa Araújo",$B:$B,"&lt;&gt;Lorena Dias de Araujo",$B:$B,"&lt;&gt;Lucas Luiz Romero")*(35/1083),IF(C3885="Técnico II",SUMIFS($D:$D,$A:$A,$A3885,$B:$B,"&lt;&gt;Patrícia Karla de Sousa Araújo",$B:$B,"&lt;&gt;Lorena Dias de Araujo",$B:$B,"&lt;&gt;Lucas Luiz Romero")*(28/1083),IF(C3885="Técnico I",SUMIFS($D:$D,$A:$A,$A3885,$B:$B,"&lt;&gt;Patrícia Karla de Sousa Araújo",$B:$B,"&lt;&gt;Lorena Dias de Araujo",$B:$B,"&lt;&gt;Lucas Luiz Romero")*(23/1083),IF(C3885="JR",SUMIFS($D:$D,$A:$A,$A3885,$B:$B,"&lt;&gt;Patrícia Karla de Sousa Araújo",$B:$B,"&lt;&gt;Lorena Dias de Araujo",$B:$B,"&lt;&gt;Lucas Luiz Romero")*(20/1083),IF(C3885="Estágio",SUMIFS($D:$D,$A:$A,$A3885,$B:$B,"&lt;&gt;Patrícia Karla de Sousa Araújo",$B:$B,"&lt;&gt;Lorena Dias de Araujo",$B:$B,"&lt;&gt;Lucas Luiz Romero")*(10/1083),0)))))),0)</f>
        <v/>
      </c>
      <c r="K3885" s="3">
        <f>I3885-J3885</f>
        <v/>
      </c>
      <c r="L3885" s="3">
        <f>IF(K3885&lt;-5,"CRÍTICO",IF(K3885&lt;0,"ATENÇÃO",IF(K3885&lt;=5,"OPORTUNO","MUITO BOM")))</f>
        <v/>
      </c>
      <c r="N3885" t="n">
        <v>97.37</v>
      </c>
      <c r="O3885" t="n">
        <v>25.76530612244898</v>
      </c>
    </row>
    <row r="3886" hidden="1">
      <c r="A3886" s="11" t="n">
        <v>46122</v>
      </c>
      <c r="B3886" t="inlineStr">
        <is>
          <t>Maria Eduarda Sousa Costa</t>
        </is>
      </c>
      <c r="C3886" t="inlineStr">
        <is>
          <t>Estágio</t>
        </is>
      </c>
      <c r="D3886" t="n">
        <v>18</v>
      </c>
      <c r="E3886" t="n">
        <v>18</v>
      </c>
      <c r="F3886" t="n">
        <v>25.36</v>
      </c>
      <c r="G3886" t="n">
        <v>0</v>
      </c>
      <c r="H3886" t="n">
        <v>0</v>
      </c>
      <c r="I3886" s="3">
        <f>E3886+G3886+H3886</f>
        <v/>
      </c>
      <c r="J3886" s="3">
        <f>ROUND(MIN(IF(C3886="Técnico III",35,IF(C3886="Técnico II",28,IF(C3886="Técnico I",23,IF(C3886="JR",20,IF(C3886="Estágio",10,0))))),IF(C3886="Técnico III",SUMIFS($D:$D,$A:$A,$A3886,$B:$B,"&lt;&gt;Patrícia Karla de Sousa Araújo",$B:$B,"&lt;&gt;Lorena Dias de Araujo",$B:$B,"&lt;&gt;Lucas Luiz Romero")*(35/1083),IF(C3886="Técnico II",SUMIFS($D:$D,$A:$A,$A3886,$B:$B,"&lt;&gt;Patrícia Karla de Sousa Araújo",$B:$B,"&lt;&gt;Lorena Dias de Araujo",$B:$B,"&lt;&gt;Lucas Luiz Romero")*(28/1083),IF(C3886="Técnico I",SUMIFS($D:$D,$A:$A,$A3886,$B:$B,"&lt;&gt;Patrícia Karla de Sousa Araújo",$B:$B,"&lt;&gt;Lorena Dias de Araujo",$B:$B,"&lt;&gt;Lucas Luiz Romero")*(23/1083),IF(C3886="JR",SUMIFS($D:$D,$A:$A,$A3886,$B:$B,"&lt;&gt;Patrícia Karla de Sousa Araújo",$B:$B,"&lt;&gt;Lorena Dias de Araujo",$B:$B,"&lt;&gt;Lucas Luiz Romero")*(20/1083),IF(C3886="Estágio",SUMIFS($D:$D,$A:$A,$A3886,$B:$B,"&lt;&gt;Patrícia Karla de Sousa Araújo",$B:$B,"&lt;&gt;Lorena Dias de Araujo",$B:$B,"&lt;&gt;Lucas Luiz Romero")*(10/1083),0)))))),0)</f>
        <v/>
      </c>
      <c r="K3886" s="3">
        <f>I3886-J3886</f>
        <v/>
      </c>
      <c r="L3886" s="3">
        <f>IF(K3886&lt;-5,"CRÍTICO",IF(K3886&lt;0,"ATENÇÃO",IF(K3886&lt;=5,"OPORTUNO","MUITO BOM")))</f>
        <v/>
      </c>
      <c r="N3886" t="n">
        <v>100</v>
      </c>
      <c r="O3886" t="n">
        <v>25</v>
      </c>
    </row>
    <row r="3887" hidden="1">
      <c r="A3887" s="11" t="n">
        <v>46122</v>
      </c>
      <c r="B3887" t="inlineStr">
        <is>
          <t>Matheus Farias De Souza</t>
        </is>
      </c>
      <c r="C3887" t="inlineStr">
        <is>
          <t>Técnico III</t>
        </is>
      </c>
      <c r="D3887" t="n">
        <v>13</v>
      </c>
      <c r="E3887" t="n">
        <v>11</v>
      </c>
      <c r="F3887" t="n">
        <v>18.43</v>
      </c>
      <c r="G3887" t="n">
        <v>0</v>
      </c>
      <c r="H3887" t="n">
        <v>0</v>
      </c>
      <c r="I3887" s="3">
        <f>E3887+G3887+H3887</f>
        <v/>
      </c>
      <c r="J3887" s="3">
        <f>ROUND(MIN(IF(C3887="Técnico III",35,IF(C3887="Técnico II",28,IF(C3887="Técnico I",23,IF(C3887="JR",20,IF(C3887="Estágio",10,0))))),IF(C3887="Técnico III",SUMIFS($D:$D,$A:$A,$A3887,$B:$B,"&lt;&gt;Patrícia Karla de Sousa Araújo",$B:$B,"&lt;&gt;Lorena Dias de Araujo",$B:$B,"&lt;&gt;Lucas Luiz Romero")*(35/1083),IF(C3887="Técnico II",SUMIFS($D:$D,$A:$A,$A3887,$B:$B,"&lt;&gt;Patrícia Karla de Sousa Araújo",$B:$B,"&lt;&gt;Lorena Dias de Araujo",$B:$B,"&lt;&gt;Lucas Luiz Romero")*(28/1083),IF(C3887="Técnico I",SUMIFS($D:$D,$A:$A,$A3887,$B:$B,"&lt;&gt;Patrícia Karla de Sousa Araújo",$B:$B,"&lt;&gt;Lorena Dias de Araujo",$B:$B,"&lt;&gt;Lucas Luiz Romero")*(23/1083),IF(C3887="JR",SUMIFS($D:$D,$A:$A,$A3887,$B:$B,"&lt;&gt;Patrícia Karla de Sousa Araújo",$B:$B,"&lt;&gt;Lorena Dias de Araujo",$B:$B,"&lt;&gt;Lucas Luiz Romero")*(20/1083),IF(C3887="Estágio",SUMIFS($D:$D,$A:$A,$A3887,$B:$B,"&lt;&gt;Patrícia Karla de Sousa Araújo",$B:$B,"&lt;&gt;Lorena Dias de Araujo",$B:$B,"&lt;&gt;Lucas Luiz Romero")*(10/1083),0)))))),0)</f>
        <v/>
      </c>
      <c r="K3887" s="3">
        <f>I3887-J3887</f>
        <v/>
      </c>
      <c r="L3887" s="3">
        <f>IF(K3887&lt;-5,"CRÍTICO",IF(K3887&lt;0,"ATENÇÃO",IF(K3887&lt;=5,"OPORTUNO","MUITO BOM")))</f>
        <v/>
      </c>
      <c r="N3887" t="n">
        <v>100</v>
      </c>
      <c r="O3887" t="n">
        <v>23.9870340356564</v>
      </c>
    </row>
    <row r="3888" hidden="1">
      <c r="A3888" s="11" t="n">
        <v>46122</v>
      </c>
      <c r="B3888" t="inlineStr">
        <is>
          <t>Maysa Victoria Dias Moura</t>
        </is>
      </c>
      <c r="C3888" t="inlineStr">
        <is>
          <t>Técnico III</t>
        </is>
      </c>
      <c r="D3888" t="n">
        <v>26</v>
      </c>
      <c r="E3888" t="n">
        <v>23</v>
      </c>
      <c r="F3888" t="n">
        <v>16.52</v>
      </c>
      <c r="G3888" t="n">
        <v>0</v>
      </c>
      <c r="H3888" t="n">
        <v>0</v>
      </c>
      <c r="I3888" s="3">
        <f>E3888+G3888+H3888</f>
        <v/>
      </c>
      <c r="J3888" s="3">
        <f>ROUND(MIN(IF(C3888="Técnico III",35,IF(C3888="Técnico II",28,IF(C3888="Técnico I",23,IF(C3888="JR",20,IF(C3888="Estágio",10,0))))),IF(C3888="Técnico III",SUMIFS($D:$D,$A:$A,$A3888,$B:$B,"&lt;&gt;Patrícia Karla de Sousa Araújo",$B:$B,"&lt;&gt;Lorena Dias de Araujo",$B:$B,"&lt;&gt;Lucas Luiz Romero")*(35/1083),IF(C3888="Técnico II",SUMIFS($D:$D,$A:$A,$A3888,$B:$B,"&lt;&gt;Patrícia Karla de Sousa Araújo",$B:$B,"&lt;&gt;Lorena Dias de Araujo",$B:$B,"&lt;&gt;Lucas Luiz Romero")*(28/1083),IF(C3888="Técnico I",SUMIFS($D:$D,$A:$A,$A3888,$B:$B,"&lt;&gt;Patrícia Karla de Sousa Araújo",$B:$B,"&lt;&gt;Lorena Dias de Araujo",$B:$B,"&lt;&gt;Lucas Luiz Romero")*(23/1083),IF(C3888="JR",SUMIFS($D:$D,$A:$A,$A3888,$B:$B,"&lt;&gt;Patrícia Karla de Sousa Araújo",$B:$B,"&lt;&gt;Lorena Dias de Araujo",$B:$B,"&lt;&gt;Lucas Luiz Romero")*(20/1083),IF(C3888="Estágio",SUMIFS($D:$D,$A:$A,$A3888,$B:$B,"&lt;&gt;Patrícia Karla de Sousa Araújo",$B:$B,"&lt;&gt;Lorena Dias de Araujo",$B:$B,"&lt;&gt;Lucas Luiz Romero")*(10/1083),0)))))),0)</f>
        <v/>
      </c>
      <c r="K3888" s="3">
        <f>I3888-J3888</f>
        <v/>
      </c>
      <c r="L3888" s="3">
        <f>IF(K3888&lt;-5,"CRÍTICO",IF(K3888&lt;0,"ATENÇÃO",IF(K3888&lt;=5,"OPORTUNO","MUITO BOM")))</f>
        <v/>
      </c>
      <c r="N3888" t="n">
        <v>95.48999999999999</v>
      </c>
      <c r="O3888" t="n">
        <v>28.16901408450704</v>
      </c>
    </row>
    <row r="3889" hidden="1">
      <c r="A3889" s="11" t="n">
        <v>46122</v>
      </c>
      <c r="B3889" t="inlineStr">
        <is>
          <t>Michelle G Santos</t>
        </is>
      </c>
      <c r="C3889" t="inlineStr">
        <is>
          <t>Estágio</t>
        </is>
      </c>
      <c r="D3889" t="n">
        <v>16</v>
      </c>
      <c r="E3889" t="n">
        <v>16</v>
      </c>
      <c r="F3889" t="n">
        <v>23.2</v>
      </c>
      <c r="G3889" t="n">
        <v>0</v>
      </c>
      <c r="H3889" t="n">
        <v>0</v>
      </c>
      <c r="I3889" s="3">
        <f>E3889+G3889+H3889</f>
        <v/>
      </c>
      <c r="J3889" s="3">
        <f>ROUND(MIN(IF(C3889="Técnico III",35,IF(C3889="Técnico II",28,IF(C3889="Técnico I",23,IF(C3889="JR",20,IF(C3889="Estágio",10,0))))),IF(C3889="Técnico III",SUMIFS($D:$D,$A:$A,$A3889,$B:$B,"&lt;&gt;Patrícia Karla de Sousa Araújo",$B:$B,"&lt;&gt;Lorena Dias de Araujo",$B:$B,"&lt;&gt;Lucas Luiz Romero")*(35/1083),IF(C3889="Técnico II",SUMIFS($D:$D,$A:$A,$A3889,$B:$B,"&lt;&gt;Patrícia Karla de Sousa Araújo",$B:$B,"&lt;&gt;Lorena Dias de Araujo",$B:$B,"&lt;&gt;Lucas Luiz Romero")*(28/1083),IF(C3889="Técnico I",SUMIFS($D:$D,$A:$A,$A3889,$B:$B,"&lt;&gt;Patrícia Karla de Sousa Araújo",$B:$B,"&lt;&gt;Lorena Dias de Araujo",$B:$B,"&lt;&gt;Lucas Luiz Romero")*(23/1083),IF(C3889="JR",SUMIFS($D:$D,$A:$A,$A3889,$B:$B,"&lt;&gt;Patrícia Karla de Sousa Araújo",$B:$B,"&lt;&gt;Lorena Dias de Araujo",$B:$B,"&lt;&gt;Lucas Luiz Romero")*(20/1083),IF(C3889="Estágio",SUMIFS($D:$D,$A:$A,$A3889,$B:$B,"&lt;&gt;Patrícia Karla de Sousa Araújo",$B:$B,"&lt;&gt;Lorena Dias de Araujo",$B:$B,"&lt;&gt;Lucas Luiz Romero")*(10/1083),0)))))),0)</f>
        <v/>
      </c>
      <c r="K3889" s="3">
        <f>I3889-J3889</f>
        <v/>
      </c>
      <c r="L3889" s="3">
        <f>IF(K3889&lt;-5,"CRÍTICO",IF(K3889&lt;0,"ATENÇÃO",IF(K3889&lt;=5,"OPORTUNO","MUITO BOM")))</f>
        <v/>
      </c>
      <c r="N3889" t="n">
        <v>100</v>
      </c>
      <c r="O3889" t="n">
        <v>23.77622377622378</v>
      </c>
    </row>
    <row r="3890" hidden="1">
      <c r="A3890" s="11" t="n">
        <v>46122</v>
      </c>
      <c r="B3890" t="inlineStr">
        <is>
          <t>Milena Sales</t>
        </is>
      </c>
      <c r="C3890" t="inlineStr">
        <is>
          <t>JR</t>
        </is>
      </c>
      <c r="D3890" t="n">
        <v>36</v>
      </c>
      <c r="E3890" t="n">
        <v>31</v>
      </c>
      <c r="F3890" t="n">
        <v>15.02</v>
      </c>
      <c r="G3890" t="n">
        <v>0</v>
      </c>
      <c r="H3890" t="n">
        <v>0</v>
      </c>
      <c r="I3890" s="3">
        <f>E3890+G3890+H3890</f>
        <v/>
      </c>
      <c r="J3890" s="3">
        <f>ROUND(MIN(IF(C3890="Técnico III",35,IF(C3890="Técnico II",28,IF(C3890="Técnico I",23,IF(C3890="JR",20,IF(C3890="Estágio",10,0))))),IF(C3890="Técnico III",SUMIFS($D:$D,$A:$A,$A3890,$B:$B,"&lt;&gt;Patrícia Karla de Sousa Araújo",$B:$B,"&lt;&gt;Lorena Dias de Araujo",$B:$B,"&lt;&gt;Lucas Luiz Romero")*(35/1083),IF(C3890="Técnico II",SUMIFS($D:$D,$A:$A,$A3890,$B:$B,"&lt;&gt;Patrícia Karla de Sousa Araújo",$B:$B,"&lt;&gt;Lorena Dias de Araujo",$B:$B,"&lt;&gt;Lucas Luiz Romero")*(28/1083),IF(C3890="Técnico I",SUMIFS($D:$D,$A:$A,$A3890,$B:$B,"&lt;&gt;Patrícia Karla de Sousa Araújo",$B:$B,"&lt;&gt;Lorena Dias de Araujo",$B:$B,"&lt;&gt;Lucas Luiz Romero")*(23/1083),IF(C3890="JR",SUMIFS($D:$D,$A:$A,$A3890,$B:$B,"&lt;&gt;Patrícia Karla de Sousa Araújo",$B:$B,"&lt;&gt;Lorena Dias de Araujo",$B:$B,"&lt;&gt;Lucas Luiz Romero")*(20/1083),IF(C3890="Estágio",SUMIFS($D:$D,$A:$A,$A3890,$B:$B,"&lt;&gt;Patrícia Karla de Sousa Araújo",$B:$B,"&lt;&gt;Lorena Dias de Araujo",$B:$B,"&lt;&gt;Lucas Luiz Romero")*(10/1083),0)))))),0)</f>
        <v/>
      </c>
      <c r="K3890" s="3">
        <f>I3890-J3890</f>
        <v/>
      </c>
      <c r="L3890" s="3">
        <f>IF(K3890&lt;-5,"CRÍTICO",IF(K3890&lt;0,"ATENÇÃO",IF(K3890&lt;=5,"OPORTUNO","MUITO BOM")))</f>
        <v/>
      </c>
      <c r="N3890" t="n">
        <v>96.15000000000001</v>
      </c>
      <c r="O3890" t="n">
        <v>24.04580152671756</v>
      </c>
    </row>
    <row r="3891" hidden="1">
      <c r="A3891" s="11" t="n">
        <v>46122</v>
      </c>
      <c r="B3891" t="inlineStr">
        <is>
          <t>Patrícia Karla de Sousa Araújo</t>
        </is>
      </c>
      <c r="C3891" t="inlineStr">
        <is>
          <t>Técnico II</t>
        </is>
      </c>
      <c r="D3891" t="n">
        <v>19</v>
      </c>
      <c r="E3891" t="n">
        <v>18</v>
      </c>
      <c r="F3891" t="n">
        <v>28.28</v>
      </c>
      <c r="G3891" t="n">
        <v>0</v>
      </c>
      <c r="H3891" t="n">
        <v>0</v>
      </c>
      <c r="I3891" s="3">
        <f>E3891+G3891+H3891</f>
        <v/>
      </c>
      <c r="J3891" s="3">
        <f>ROUND(MIN(IF(C3891="Técnico III",35,IF(C3891="Técnico II",28,IF(C3891="Técnico I",23,IF(C3891="JR",20,IF(C3891="Estágio",10,0))))),IF(C3891="Técnico III",SUMIFS($D:$D,$A:$A,$A3891,$B:$B,"&lt;&gt;Patrícia Karla de Sousa Araújo",$B:$B,"&lt;&gt;Lorena Dias de Araujo",$B:$B,"&lt;&gt;Lucas Luiz Romero")*(35/1083),IF(C3891="Técnico II",SUMIFS($D:$D,$A:$A,$A3891,$B:$B,"&lt;&gt;Patrícia Karla de Sousa Araújo",$B:$B,"&lt;&gt;Lorena Dias de Araujo",$B:$B,"&lt;&gt;Lucas Luiz Romero")*(28/1083),IF(C3891="Técnico I",SUMIFS($D:$D,$A:$A,$A3891,$B:$B,"&lt;&gt;Patrícia Karla de Sousa Araújo",$B:$B,"&lt;&gt;Lorena Dias de Araujo",$B:$B,"&lt;&gt;Lucas Luiz Romero")*(23/1083),IF(C3891="JR",SUMIFS($D:$D,$A:$A,$A3891,$B:$B,"&lt;&gt;Patrícia Karla de Sousa Araújo",$B:$B,"&lt;&gt;Lorena Dias de Araujo",$B:$B,"&lt;&gt;Lucas Luiz Romero")*(20/1083),IF(C3891="Estágio",SUMIFS($D:$D,$A:$A,$A3891,$B:$B,"&lt;&gt;Patrícia Karla de Sousa Araújo",$B:$B,"&lt;&gt;Lorena Dias de Araujo",$B:$B,"&lt;&gt;Lucas Luiz Romero")*(10/1083),0)))))),0)</f>
        <v/>
      </c>
      <c r="K3891" s="3">
        <f>I3891-J3891</f>
        <v/>
      </c>
      <c r="L3891" s="3">
        <f>IF(K3891&lt;-5,"CRÍTICO",IF(K3891&lt;0,"ATENÇÃO",IF(K3891&lt;=5,"OPORTUNO","MUITO BOM")))</f>
        <v/>
      </c>
      <c r="N3891" t="n">
        <v>99.02</v>
      </c>
      <c r="O3891" t="n">
        <v>34.7972972972973</v>
      </c>
    </row>
    <row r="3892" hidden="1">
      <c r="A3892" s="11" t="n">
        <v>46122</v>
      </c>
      <c r="B3892" t="inlineStr">
        <is>
          <t>Paulo Ricardo Santos</t>
        </is>
      </c>
      <c r="C3892" t="inlineStr">
        <is>
          <t>JR</t>
        </is>
      </c>
      <c r="D3892" t="n">
        <v>15</v>
      </c>
      <c r="E3892" t="n">
        <v>12</v>
      </c>
      <c r="F3892" t="n">
        <v>20.53</v>
      </c>
      <c r="G3892" t="n">
        <v>0</v>
      </c>
      <c r="H3892" t="n">
        <v>0</v>
      </c>
      <c r="I3892" s="3">
        <f>E3892+G3892+H3892</f>
        <v/>
      </c>
      <c r="J3892" s="3">
        <f>ROUND(MIN(IF(C3892="Técnico III",35,IF(C3892="Técnico II",28,IF(C3892="Técnico I",23,IF(C3892="JR",20,IF(C3892="Estágio",10,0))))),IF(C3892="Técnico III",SUMIFS($D:$D,$A:$A,$A3892,$B:$B,"&lt;&gt;Patrícia Karla de Sousa Araújo",$B:$B,"&lt;&gt;Lorena Dias de Araujo",$B:$B,"&lt;&gt;Lucas Luiz Romero")*(35/1083),IF(C3892="Técnico II",SUMIFS($D:$D,$A:$A,$A3892,$B:$B,"&lt;&gt;Patrícia Karla de Sousa Araújo",$B:$B,"&lt;&gt;Lorena Dias de Araujo",$B:$B,"&lt;&gt;Lucas Luiz Romero")*(28/1083),IF(C3892="Técnico I",SUMIFS($D:$D,$A:$A,$A3892,$B:$B,"&lt;&gt;Patrícia Karla de Sousa Araújo",$B:$B,"&lt;&gt;Lorena Dias de Araujo",$B:$B,"&lt;&gt;Lucas Luiz Romero")*(23/1083),IF(C3892="JR",SUMIFS($D:$D,$A:$A,$A3892,$B:$B,"&lt;&gt;Patrícia Karla de Sousa Araújo",$B:$B,"&lt;&gt;Lorena Dias de Araujo",$B:$B,"&lt;&gt;Lucas Luiz Romero")*(20/1083),IF(C3892="Estágio",SUMIFS($D:$D,$A:$A,$A3892,$B:$B,"&lt;&gt;Patrícia Karla de Sousa Araújo",$B:$B,"&lt;&gt;Lorena Dias de Araujo",$B:$B,"&lt;&gt;Lucas Luiz Romero")*(10/1083),0)))))),0)</f>
        <v/>
      </c>
      <c r="K3892" s="3">
        <f>I3892-J3892</f>
        <v/>
      </c>
      <c r="L3892" s="3">
        <f>IF(K3892&lt;-5,"CRÍTICO",IF(K3892&lt;0,"ATENÇÃO",IF(K3892&lt;=5,"OPORTUNO","MUITO BOM")))</f>
        <v/>
      </c>
      <c r="N3892" t="n">
        <v>98.84</v>
      </c>
      <c r="O3892" t="n">
        <v>31.5018315018315</v>
      </c>
    </row>
    <row r="3893" hidden="1">
      <c r="A3893" s="11" t="n">
        <v>46122</v>
      </c>
      <c r="B3893" t="inlineStr">
        <is>
          <t>Pedro Luiz Mota Sousa</t>
        </is>
      </c>
      <c r="C3893" t="inlineStr">
        <is>
          <t>JR</t>
        </is>
      </c>
      <c r="D3893" t="n">
        <v>21</v>
      </c>
      <c r="E3893" t="n">
        <v>20</v>
      </c>
      <c r="F3893" t="n">
        <v>14.01</v>
      </c>
      <c r="G3893" t="n">
        <v>0</v>
      </c>
      <c r="H3893" t="n">
        <v>0</v>
      </c>
      <c r="I3893" s="3">
        <f>E3893+G3893+H3893</f>
        <v/>
      </c>
      <c r="J3893" s="3">
        <f>ROUND(MIN(IF(C3893="Técnico III",35,IF(C3893="Técnico II",28,IF(C3893="Técnico I",23,IF(C3893="JR",20,IF(C3893="Estágio",10,0))))),IF(C3893="Técnico III",SUMIFS($D:$D,$A:$A,$A3893,$B:$B,"&lt;&gt;Patrícia Karla de Sousa Araújo",$B:$B,"&lt;&gt;Lorena Dias de Araujo",$B:$B,"&lt;&gt;Lucas Luiz Romero")*(35/1083),IF(C3893="Técnico II",SUMIFS($D:$D,$A:$A,$A3893,$B:$B,"&lt;&gt;Patrícia Karla de Sousa Araújo",$B:$B,"&lt;&gt;Lorena Dias de Araujo",$B:$B,"&lt;&gt;Lucas Luiz Romero")*(28/1083),IF(C3893="Técnico I",SUMIFS($D:$D,$A:$A,$A3893,$B:$B,"&lt;&gt;Patrícia Karla de Sousa Araújo",$B:$B,"&lt;&gt;Lorena Dias de Araujo",$B:$B,"&lt;&gt;Lucas Luiz Romero")*(23/1083),IF(C3893="JR",SUMIFS($D:$D,$A:$A,$A3893,$B:$B,"&lt;&gt;Patrícia Karla de Sousa Araújo",$B:$B,"&lt;&gt;Lorena Dias de Araujo",$B:$B,"&lt;&gt;Lucas Luiz Romero")*(20/1083),IF(C3893="Estágio",SUMIFS($D:$D,$A:$A,$A3893,$B:$B,"&lt;&gt;Patrícia Karla de Sousa Araújo",$B:$B,"&lt;&gt;Lorena Dias de Araujo",$B:$B,"&lt;&gt;Lucas Luiz Romero")*(10/1083),0)))))),0)</f>
        <v/>
      </c>
      <c r="K3893" s="3">
        <f>I3893-J3893</f>
        <v/>
      </c>
      <c r="L3893" s="3">
        <f>IF(K3893&lt;-5,"CRÍTICO",IF(K3893&lt;0,"ATENÇÃO",IF(K3893&lt;=5,"OPORTUNO","MUITO BOM")))</f>
        <v/>
      </c>
      <c r="N3893" t="n">
        <v>100</v>
      </c>
      <c r="O3893" t="n">
        <v>34.66666666666667</v>
      </c>
    </row>
    <row r="3894" hidden="1">
      <c r="A3894" s="11" t="n">
        <v>46122</v>
      </c>
      <c r="B3894" t="inlineStr">
        <is>
          <t>Quirino Diogo Leite Torres</t>
        </is>
      </c>
      <c r="C3894" t="inlineStr">
        <is>
          <t>Estágio</t>
        </is>
      </c>
      <c r="D3894" t="n">
        <v>9</v>
      </c>
      <c r="E3894" t="n">
        <v>7</v>
      </c>
      <c r="F3894" t="n">
        <v>24.15</v>
      </c>
      <c r="G3894" t="n">
        <v>0</v>
      </c>
      <c r="H3894" t="n">
        <v>0</v>
      </c>
      <c r="I3894" s="3">
        <f>E3894+G3894+H3894</f>
        <v/>
      </c>
      <c r="J3894" s="3">
        <f>ROUND(MIN(IF(C3894="Técnico III",35,IF(C3894="Técnico II",28,IF(C3894="Técnico I",23,IF(C3894="JR",20,IF(C3894="Estágio",10,0))))),IF(C3894="Técnico III",SUMIFS($D:$D,$A:$A,$A3894,$B:$B,"&lt;&gt;Patrícia Karla de Sousa Araújo",$B:$B,"&lt;&gt;Lorena Dias de Araujo",$B:$B,"&lt;&gt;Lucas Luiz Romero")*(35/1083),IF(C3894="Técnico II",SUMIFS($D:$D,$A:$A,$A3894,$B:$B,"&lt;&gt;Patrícia Karla de Sousa Araújo",$B:$B,"&lt;&gt;Lorena Dias de Araujo",$B:$B,"&lt;&gt;Lucas Luiz Romero")*(28/1083),IF(C3894="Técnico I",SUMIFS($D:$D,$A:$A,$A3894,$B:$B,"&lt;&gt;Patrícia Karla de Sousa Araújo",$B:$B,"&lt;&gt;Lorena Dias de Araujo",$B:$B,"&lt;&gt;Lucas Luiz Romero")*(23/1083),IF(C3894="JR",SUMIFS($D:$D,$A:$A,$A3894,$B:$B,"&lt;&gt;Patrícia Karla de Sousa Araújo",$B:$B,"&lt;&gt;Lorena Dias de Araujo",$B:$B,"&lt;&gt;Lucas Luiz Romero")*(20/1083),IF(C3894="Estágio",SUMIFS($D:$D,$A:$A,$A3894,$B:$B,"&lt;&gt;Patrícia Karla de Sousa Araújo",$B:$B,"&lt;&gt;Lorena Dias de Araujo",$B:$B,"&lt;&gt;Lucas Luiz Romero")*(10/1083),0)))))),0)</f>
        <v/>
      </c>
      <c r="K3894" s="3">
        <f>I3894-J3894</f>
        <v/>
      </c>
      <c r="L3894" s="3">
        <f>IF(K3894&lt;-5,"CRÍTICO",IF(K3894&lt;0,"ATENÇÃO",IF(K3894&lt;=5,"OPORTUNO","MUITO BOM")))</f>
        <v/>
      </c>
      <c r="N3894" t="n">
        <v>94.12</v>
      </c>
      <c r="O3894" t="n">
        <v>32.8</v>
      </c>
    </row>
    <row r="3895" hidden="1">
      <c r="A3895" s="11" t="n">
        <v>46122</v>
      </c>
      <c r="B3895" t="inlineStr">
        <is>
          <t>Raane Batista Matos</t>
        </is>
      </c>
      <c r="C3895" t="inlineStr">
        <is>
          <t>Técnico I</t>
        </is>
      </c>
      <c r="D3895" t="n">
        <v>27</v>
      </c>
      <c r="E3895" t="n">
        <v>25</v>
      </c>
      <c r="F3895" t="n">
        <v>10.57</v>
      </c>
      <c r="G3895" t="n">
        <v>0</v>
      </c>
      <c r="H3895" t="n">
        <v>0</v>
      </c>
      <c r="I3895" s="3">
        <f>E3895+G3895+H3895</f>
        <v/>
      </c>
      <c r="J3895" s="3">
        <f>ROUND(MIN(IF(C3895="Técnico III",35,IF(C3895="Técnico II",28,IF(C3895="Técnico I",23,IF(C3895="JR",20,IF(C3895="Estágio",10,0))))),IF(C3895="Técnico III",SUMIFS($D:$D,$A:$A,$A3895,$B:$B,"&lt;&gt;Patrícia Karla de Sousa Araújo",$B:$B,"&lt;&gt;Lorena Dias de Araujo",$B:$B,"&lt;&gt;Lucas Luiz Romero")*(35/1083),IF(C3895="Técnico II",SUMIFS($D:$D,$A:$A,$A3895,$B:$B,"&lt;&gt;Patrícia Karla de Sousa Araújo",$B:$B,"&lt;&gt;Lorena Dias de Araujo",$B:$B,"&lt;&gt;Lucas Luiz Romero")*(28/1083),IF(C3895="Técnico I",SUMIFS($D:$D,$A:$A,$A3895,$B:$B,"&lt;&gt;Patrícia Karla de Sousa Araújo",$B:$B,"&lt;&gt;Lorena Dias de Araujo",$B:$B,"&lt;&gt;Lucas Luiz Romero")*(23/1083),IF(C3895="JR",SUMIFS($D:$D,$A:$A,$A3895,$B:$B,"&lt;&gt;Patrícia Karla de Sousa Araújo",$B:$B,"&lt;&gt;Lorena Dias de Araujo",$B:$B,"&lt;&gt;Lucas Luiz Romero")*(20/1083),IF(C3895="Estágio",SUMIFS($D:$D,$A:$A,$A3895,$B:$B,"&lt;&gt;Patrícia Karla de Sousa Araújo",$B:$B,"&lt;&gt;Lorena Dias de Araujo",$B:$B,"&lt;&gt;Lucas Luiz Romero")*(10/1083),0)))))),0)</f>
        <v/>
      </c>
      <c r="K3895" s="3">
        <f>I3895-J3895</f>
        <v/>
      </c>
      <c r="L3895" s="3">
        <f>IF(K3895&lt;-5,"CRÍTICO",IF(K3895&lt;0,"ATENÇÃO",IF(K3895&lt;=5,"OPORTUNO","MUITO BOM")))</f>
        <v/>
      </c>
      <c r="N3895" t="n">
        <v>98.31999999999999</v>
      </c>
      <c r="O3895" t="n">
        <v>26.61870503597122</v>
      </c>
    </row>
    <row r="3896" hidden="1">
      <c r="A3896" s="11" t="n">
        <v>46122</v>
      </c>
      <c r="B3896" t="inlineStr">
        <is>
          <t>Rafael Gomes de Morais</t>
        </is>
      </c>
      <c r="C3896" t="inlineStr">
        <is>
          <t>Técnico III</t>
        </is>
      </c>
      <c r="D3896" t="n">
        <v>37</v>
      </c>
      <c r="E3896" t="n">
        <v>34</v>
      </c>
      <c r="F3896" t="n">
        <v>13.45</v>
      </c>
      <c r="G3896" t="n">
        <v>0</v>
      </c>
      <c r="H3896" t="n">
        <v>0</v>
      </c>
      <c r="I3896" s="3">
        <f>E3896+G3896+H3896</f>
        <v/>
      </c>
      <c r="J3896" s="3">
        <f>ROUND(MIN(IF(C3896="Técnico III",35,IF(C3896="Técnico II",28,IF(C3896="Técnico I",23,IF(C3896="JR",20,IF(C3896="Estágio",10,0))))),IF(C3896="Técnico III",SUMIFS($D:$D,$A:$A,$A3896,$B:$B,"&lt;&gt;Patrícia Karla de Sousa Araújo",$B:$B,"&lt;&gt;Lorena Dias de Araujo",$B:$B,"&lt;&gt;Lucas Luiz Romero")*(35/1083),IF(C3896="Técnico II",SUMIFS($D:$D,$A:$A,$A3896,$B:$B,"&lt;&gt;Patrícia Karla de Sousa Araújo",$B:$B,"&lt;&gt;Lorena Dias de Araujo",$B:$B,"&lt;&gt;Lucas Luiz Romero")*(28/1083),IF(C3896="Técnico I",SUMIFS($D:$D,$A:$A,$A3896,$B:$B,"&lt;&gt;Patrícia Karla de Sousa Araújo",$B:$B,"&lt;&gt;Lorena Dias de Araujo",$B:$B,"&lt;&gt;Lucas Luiz Romero")*(23/1083),IF(C3896="JR",SUMIFS($D:$D,$A:$A,$A3896,$B:$B,"&lt;&gt;Patrícia Karla de Sousa Araújo",$B:$B,"&lt;&gt;Lorena Dias de Araujo",$B:$B,"&lt;&gt;Lucas Luiz Romero")*(20/1083),IF(C3896="Estágio",SUMIFS($D:$D,$A:$A,$A3896,$B:$B,"&lt;&gt;Patrícia Karla de Sousa Araújo",$B:$B,"&lt;&gt;Lorena Dias de Araujo",$B:$B,"&lt;&gt;Lucas Luiz Romero")*(10/1083),0)))))),0)</f>
        <v/>
      </c>
      <c r="K3896" s="3">
        <f>I3896-J3896</f>
        <v/>
      </c>
      <c r="L3896" s="3">
        <f>IF(K3896&lt;-5,"CRÍTICO",IF(K3896&lt;0,"ATENÇÃO",IF(K3896&lt;=5,"OPORTUNO","MUITO BOM")))</f>
        <v/>
      </c>
      <c r="N3896" t="n">
        <v>100</v>
      </c>
      <c r="O3896" t="n">
        <v>31.13553113553114</v>
      </c>
    </row>
    <row r="3897" hidden="1">
      <c r="A3897" s="11" t="n">
        <v>46122</v>
      </c>
      <c r="B3897" t="inlineStr">
        <is>
          <t>Sara Maria Monteiro Lopes</t>
        </is>
      </c>
      <c r="C3897" t="inlineStr">
        <is>
          <t>Técnico I</t>
        </is>
      </c>
      <c r="D3897" t="n">
        <v>14</v>
      </c>
      <c r="E3897" t="n">
        <v>13</v>
      </c>
      <c r="F3897" t="n">
        <v>38.41</v>
      </c>
      <c r="G3897" t="n">
        <v>0</v>
      </c>
      <c r="H3897" t="n">
        <v>0</v>
      </c>
      <c r="I3897" s="3">
        <f>E3897+G3897+H3897</f>
        <v/>
      </c>
      <c r="J3897" s="3">
        <f>ROUND(MIN(IF(C3897="Técnico III",35,IF(C3897="Técnico II",28,IF(C3897="Técnico I",23,IF(C3897="JR",20,IF(C3897="Estágio",10,0))))),IF(C3897="Técnico III",SUMIFS($D:$D,$A:$A,$A3897,$B:$B,"&lt;&gt;Patrícia Karla de Sousa Araújo",$B:$B,"&lt;&gt;Lorena Dias de Araujo",$B:$B,"&lt;&gt;Lucas Luiz Romero")*(35/1083),IF(C3897="Técnico II",SUMIFS($D:$D,$A:$A,$A3897,$B:$B,"&lt;&gt;Patrícia Karla de Sousa Araújo",$B:$B,"&lt;&gt;Lorena Dias de Araujo",$B:$B,"&lt;&gt;Lucas Luiz Romero")*(28/1083),IF(C3897="Técnico I",SUMIFS($D:$D,$A:$A,$A3897,$B:$B,"&lt;&gt;Patrícia Karla de Sousa Araújo",$B:$B,"&lt;&gt;Lorena Dias de Araujo",$B:$B,"&lt;&gt;Lucas Luiz Romero")*(23/1083),IF(C3897="JR",SUMIFS($D:$D,$A:$A,$A3897,$B:$B,"&lt;&gt;Patrícia Karla de Sousa Araújo",$B:$B,"&lt;&gt;Lorena Dias de Araujo",$B:$B,"&lt;&gt;Lucas Luiz Romero")*(20/1083),IF(C3897="Estágio",SUMIFS($D:$D,$A:$A,$A3897,$B:$B,"&lt;&gt;Patrícia Karla de Sousa Araújo",$B:$B,"&lt;&gt;Lorena Dias de Araujo",$B:$B,"&lt;&gt;Lucas Luiz Romero")*(10/1083),0)))))),0)</f>
        <v/>
      </c>
      <c r="K3897" s="3">
        <f>I3897-J3897</f>
        <v/>
      </c>
      <c r="L3897" s="3">
        <f>IF(K3897&lt;-5,"CRÍTICO",IF(K3897&lt;0,"ATENÇÃO",IF(K3897&lt;=5,"OPORTUNO","MUITO BOM")))</f>
        <v/>
      </c>
      <c r="N3897" t="n">
        <v>100</v>
      </c>
      <c r="O3897" t="n">
        <v>26.02739726027397</v>
      </c>
    </row>
    <row r="3898" hidden="1">
      <c r="A3898" s="11" t="n">
        <v>46122</v>
      </c>
      <c r="B3898" t="inlineStr">
        <is>
          <t>Sarah Steffanie de Lima Borges</t>
        </is>
      </c>
      <c r="C3898" t="inlineStr">
        <is>
          <t>Técnico III</t>
        </is>
      </c>
      <c r="D3898" t="n">
        <v>13</v>
      </c>
      <c r="E3898" t="n">
        <v>11</v>
      </c>
      <c r="F3898" t="n">
        <v>12.26</v>
      </c>
      <c r="G3898" t="n">
        <v>0</v>
      </c>
      <c r="H3898" t="n">
        <v>0</v>
      </c>
      <c r="I3898" s="3">
        <f>E3898+G3898+H3898</f>
        <v/>
      </c>
      <c r="J3898" s="3">
        <f>ROUND(MIN(IF(C3898="Técnico III",35,IF(C3898="Técnico II",28,IF(C3898="Técnico I",23,IF(C3898="JR",20,IF(C3898="Estágio",10,0))))),IF(C3898="Técnico III",SUMIFS($D:$D,$A:$A,$A3898,$B:$B,"&lt;&gt;Patrícia Karla de Sousa Araújo",$B:$B,"&lt;&gt;Lorena Dias de Araujo",$B:$B,"&lt;&gt;Lucas Luiz Romero")*(35/1083),IF(C3898="Técnico II",SUMIFS($D:$D,$A:$A,$A3898,$B:$B,"&lt;&gt;Patrícia Karla de Sousa Araújo",$B:$B,"&lt;&gt;Lorena Dias de Araujo",$B:$B,"&lt;&gt;Lucas Luiz Romero")*(28/1083),IF(C3898="Técnico I",SUMIFS($D:$D,$A:$A,$A3898,$B:$B,"&lt;&gt;Patrícia Karla de Sousa Araújo",$B:$B,"&lt;&gt;Lorena Dias de Araujo",$B:$B,"&lt;&gt;Lucas Luiz Romero")*(23/1083),IF(C3898="JR",SUMIFS($D:$D,$A:$A,$A3898,$B:$B,"&lt;&gt;Patrícia Karla de Sousa Araújo",$B:$B,"&lt;&gt;Lorena Dias de Araujo",$B:$B,"&lt;&gt;Lucas Luiz Romero")*(20/1083),IF(C3898="Estágio",SUMIFS($D:$D,$A:$A,$A3898,$B:$B,"&lt;&gt;Patrícia Karla de Sousa Araújo",$B:$B,"&lt;&gt;Lorena Dias de Araujo",$B:$B,"&lt;&gt;Lucas Luiz Romero")*(10/1083),0)))))),0)</f>
        <v/>
      </c>
      <c r="K3898" s="3">
        <f>I3898-J3898</f>
        <v/>
      </c>
      <c r="L3898" s="3">
        <f>IF(K3898&lt;-5,"CRÍTICO",IF(K3898&lt;0,"ATENÇÃO",IF(K3898&lt;=5,"OPORTUNO","MUITO BOM")))</f>
        <v/>
      </c>
      <c r="N3898" t="n">
        <v>99.20999999999999</v>
      </c>
      <c r="O3898" t="n">
        <v>24.93702770780856</v>
      </c>
    </row>
    <row r="3899" hidden="1">
      <c r="A3899" s="11" t="n">
        <v>46125</v>
      </c>
      <c r="B3899" t="inlineStr">
        <is>
          <t>Alisson de Freitas Silva</t>
        </is>
      </c>
      <c r="C3899" t="inlineStr">
        <is>
          <t>Técnico II</t>
        </is>
      </c>
      <c r="D3899" t="n">
        <v>26</v>
      </c>
      <c r="E3899" t="n">
        <v>15</v>
      </c>
      <c r="F3899" t="n">
        <v>13.33</v>
      </c>
      <c r="G3899" t="n">
        <v>0</v>
      </c>
      <c r="H3899" t="n">
        <v>0</v>
      </c>
      <c r="I3899" s="3">
        <f>E3899+G3899+H3899</f>
        <v/>
      </c>
      <c r="J3899" s="3">
        <f>ROUND(MIN(IF(C3899="Técnico III",35,IF(C3899="Técnico II",28,IF(C3899="Técnico I",23,IF(C3899="JR",20,IF(C3899="Estágio",10,0))))),IF(C3899="Técnico III",SUMIFS($D:$D,$A:$A,$A3899,$B:$B,"&lt;&gt;Patrícia Karla de Sousa Araújo",$B:$B,"&lt;&gt;Lorena Dias de Araujo",$B:$B,"&lt;&gt;Lucas Luiz Romero")*(35/1083),IF(C3899="Técnico II",SUMIFS($D:$D,$A:$A,$A3899,$B:$B,"&lt;&gt;Patrícia Karla de Sousa Araújo",$B:$B,"&lt;&gt;Lorena Dias de Araujo",$B:$B,"&lt;&gt;Lucas Luiz Romero")*(28/1083),IF(C3899="Técnico I",SUMIFS($D:$D,$A:$A,$A3899,$B:$B,"&lt;&gt;Patrícia Karla de Sousa Araújo",$B:$B,"&lt;&gt;Lorena Dias de Araujo",$B:$B,"&lt;&gt;Lucas Luiz Romero")*(23/1083),IF(C3899="JR",SUMIFS($D:$D,$A:$A,$A3899,$B:$B,"&lt;&gt;Patrícia Karla de Sousa Araújo",$B:$B,"&lt;&gt;Lorena Dias de Araujo",$B:$B,"&lt;&gt;Lucas Luiz Romero")*(20/1083),IF(C3899="Estágio",SUMIFS($D:$D,$A:$A,$A3899,$B:$B,"&lt;&gt;Patrícia Karla de Sousa Araújo",$B:$B,"&lt;&gt;Lorena Dias de Araujo",$B:$B,"&lt;&gt;Lucas Luiz Romero")*(10/1083),0)))))),0)</f>
        <v/>
      </c>
      <c r="K3899" s="3">
        <f>I3899-J3899</f>
        <v/>
      </c>
      <c r="L3899" s="3">
        <f>IF(K3899&lt;-5,"CRÍTICO",IF(K3899&lt;0,"ATENÇÃO",IF(K3899&lt;=5,"OPORTUNO","MUITO BOM")))</f>
        <v/>
      </c>
      <c r="N3899" t="n">
        <v>100</v>
      </c>
      <c r="O3899" t="n">
        <v>32.76450511945392</v>
      </c>
    </row>
    <row r="3900" hidden="1">
      <c r="A3900" s="11" t="n">
        <v>46125</v>
      </c>
      <c r="B3900" t="inlineStr">
        <is>
          <t>Amanda Moura Ferreira</t>
        </is>
      </c>
      <c r="C3900" t="inlineStr">
        <is>
          <t>Técnico III</t>
        </is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s="3" t="n">
        <v>0</v>
      </c>
      <c r="J3900" s="3" t="n">
        <v>0</v>
      </c>
      <c r="K3900" s="3" t="n">
        <v>0</v>
      </c>
      <c r="L3900" s="3">
        <f>IF(K3900&lt;-5,"CRÍTICO",IF(K3900&lt;0,"ATENÇÃO",IF(K3900&lt;=5,"OPORTUNO","MUITO BOM")))</f>
        <v/>
      </c>
      <c r="N3900" t="n">
        <v>98.66</v>
      </c>
      <c r="O3900" t="n">
        <v>35.15625</v>
      </c>
    </row>
    <row r="3901" hidden="1">
      <c r="A3901" s="11" t="n">
        <v>46125</v>
      </c>
      <c r="B3901" t="inlineStr">
        <is>
          <t>Ana Karollyne Souza Faria</t>
        </is>
      </c>
      <c r="C3901" t="inlineStr">
        <is>
          <t>Técnico I</t>
        </is>
      </c>
      <c r="D3901" t="n">
        <v>30</v>
      </c>
      <c r="E3901" t="n">
        <v>29</v>
      </c>
      <c r="F3901" t="n">
        <v>23.23</v>
      </c>
      <c r="G3901" t="n">
        <v>0</v>
      </c>
      <c r="H3901" t="n">
        <v>0</v>
      </c>
      <c r="I3901" s="3">
        <f>E3901+G3901+H3901</f>
        <v/>
      </c>
      <c r="J3901" s="3">
        <f>ROUND(MIN(IF(C3901="Técnico III",35,IF(C3901="Técnico II",28,IF(C3901="Técnico I",23,IF(C3901="JR",20,IF(C3901="Estágio",10,0))))),IF(C3901="Técnico III",SUMIFS($D:$D,$A:$A,$A3901,$B:$B,"&lt;&gt;Patrícia Karla de Sousa Araújo",$B:$B,"&lt;&gt;Lorena Dias de Araujo",$B:$B,"&lt;&gt;Lucas Luiz Romero")*(35/1083),IF(C3901="Técnico II",SUMIFS($D:$D,$A:$A,$A3901,$B:$B,"&lt;&gt;Patrícia Karla de Sousa Araújo",$B:$B,"&lt;&gt;Lorena Dias de Araujo",$B:$B,"&lt;&gt;Lucas Luiz Romero")*(28/1083),IF(C3901="Técnico I",SUMIFS($D:$D,$A:$A,$A3901,$B:$B,"&lt;&gt;Patrícia Karla de Sousa Araújo",$B:$B,"&lt;&gt;Lorena Dias de Araujo",$B:$B,"&lt;&gt;Lucas Luiz Romero")*(23/1083),IF(C3901="JR",SUMIFS($D:$D,$A:$A,$A3901,$B:$B,"&lt;&gt;Patrícia Karla de Sousa Araújo",$B:$B,"&lt;&gt;Lorena Dias de Araujo",$B:$B,"&lt;&gt;Lucas Luiz Romero")*(20/1083),IF(C3901="Estágio",SUMIFS($D:$D,$A:$A,$A3901,$B:$B,"&lt;&gt;Patrícia Karla de Sousa Araújo",$B:$B,"&lt;&gt;Lorena Dias de Araujo",$B:$B,"&lt;&gt;Lucas Luiz Romero")*(10/1083),0)))))),0)</f>
        <v/>
      </c>
      <c r="K3901" s="3">
        <f>I3901-J3901</f>
        <v/>
      </c>
      <c r="L3901" s="3">
        <f>IF(K3901&lt;-5,"CRÍTICO",IF(K3901&lt;0,"ATENÇÃO",IF(K3901&lt;=5,"OPORTUNO","MUITO BOM")))</f>
        <v/>
      </c>
      <c r="N3901" t="n">
        <v>99.31999999999999</v>
      </c>
      <c r="O3901" t="n">
        <v>30.45186640471513</v>
      </c>
    </row>
    <row r="3902" hidden="1">
      <c r="A3902" s="11" t="n">
        <v>46125</v>
      </c>
      <c r="B3902" t="inlineStr">
        <is>
          <t>Ana Paula Da Luz Silva Aleixo</t>
        </is>
      </c>
      <c r="C3902" t="inlineStr">
        <is>
          <t>Técnico III</t>
        </is>
      </c>
      <c r="D3902" t="n">
        <v>13</v>
      </c>
      <c r="E3902" t="n">
        <v>13</v>
      </c>
      <c r="F3902" t="n">
        <v>12.23</v>
      </c>
      <c r="G3902" t="n">
        <v>0</v>
      </c>
      <c r="H3902" t="n">
        <v>0</v>
      </c>
      <c r="I3902" s="3">
        <f>E3902+G3902+H3902</f>
        <v/>
      </c>
      <c r="J3902" s="3">
        <f>ROUND(MIN(IF(C3902="Técnico III",35,IF(C3902="Técnico II",28,IF(C3902="Técnico I",23,IF(C3902="JR",20,IF(C3902="Estágio",10,0))))),IF(C3902="Técnico III",SUMIFS($D:$D,$A:$A,$A3902,$B:$B,"&lt;&gt;Patrícia Karla de Sousa Araújo",$B:$B,"&lt;&gt;Lorena Dias de Araujo",$B:$B,"&lt;&gt;Lucas Luiz Romero")*(35/1083),IF(C3902="Técnico II",SUMIFS($D:$D,$A:$A,$A3902,$B:$B,"&lt;&gt;Patrícia Karla de Sousa Araújo",$B:$B,"&lt;&gt;Lorena Dias de Araujo",$B:$B,"&lt;&gt;Lucas Luiz Romero")*(28/1083),IF(C3902="Técnico I",SUMIFS($D:$D,$A:$A,$A3902,$B:$B,"&lt;&gt;Patrícia Karla de Sousa Araújo",$B:$B,"&lt;&gt;Lorena Dias de Araujo",$B:$B,"&lt;&gt;Lucas Luiz Romero")*(23/1083),IF(C3902="JR",SUMIFS($D:$D,$A:$A,$A3902,$B:$B,"&lt;&gt;Patrícia Karla de Sousa Araújo",$B:$B,"&lt;&gt;Lorena Dias de Araujo",$B:$B,"&lt;&gt;Lucas Luiz Romero")*(20/1083),IF(C3902="Estágio",SUMIFS($D:$D,$A:$A,$A3902,$B:$B,"&lt;&gt;Patrícia Karla de Sousa Araújo",$B:$B,"&lt;&gt;Lorena Dias de Araujo",$B:$B,"&lt;&gt;Lucas Luiz Romero")*(10/1083),0)))))),0)</f>
        <v/>
      </c>
      <c r="K3902" s="3">
        <f>I3902-J3902</f>
        <v/>
      </c>
      <c r="L3902" s="3">
        <f>IF(K3902&lt;-5,"CRÍTICO",IF(K3902&lt;0,"ATENÇÃO",IF(K3902&lt;=5,"OPORTUNO","MUITO BOM")))</f>
        <v/>
      </c>
      <c r="N3902" t="n">
        <v>100</v>
      </c>
      <c r="O3902" t="n">
        <v>27.80373831775701</v>
      </c>
    </row>
    <row r="3903" hidden="1">
      <c r="A3903" s="11" t="n">
        <v>46125</v>
      </c>
      <c r="B3903" t="inlineStr">
        <is>
          <t>Anna Luiza Rezende Tavares</t>
        </is>
      </c>
      <c r="C3903" t="inlineStr">
        <is>
          <t>Estágio</t>
        </is>
      </c>
      <c r="D3903" t="n">
        <v>27</v>
      </c>
      <c r="E3903" t="n">
        <v>25</v>
      </c>
      <c r="F3903" t="n">
        <v>17.12</v>
      </c>
      <c r="G3903" t="n">
        <v>0</v>
      </c>
      <c r="H3903" t="n">
        <v>0</v>
      </c>
      <c r="I3903" s="3">
        <f>E3903+G3903+H3903</f>
        <v/>
      </c>
      <c r="J3903" s="3">
        <f>ROUND(MIN(IF(C3903="Técnico III",35,IF(C3903="Técnico II",28,IF(C3903="Técnico I",23,IF(C3903="JR",20,IF(C3903="Estágio",10,0))))),IF(C3903="Técnico III",SUMIFS($D:$D,$A:$A,$A3903,$B:$B,"&lt;&gt;Patrícia Karla de Sousa Araújo",$B:$B,"&lt;&gt;Lorena Dias de Araujo",$B:$B,"&lt;&gt;Lucas Luiz Romero")*(35/1083),IF(C3903="Técnico II",SUMIFS($D:$D,$A:$A,$A3903,$B:$B,"&lt;&gt;Patrícia Karla de Sousa Araújo",$B:$B,"&lt;&gt;Lorena Dias de Araujo",$B:$B,"&lt;&gt;Lucas Luiz Romero")*(28/1083),IF(C3903="Técnico I",SUMIFS($D:$D,$A:$A,$A3903,$B:$B,"&lt;&gt;Patrícia Karla de Sousa Araújo",$B:$B,"&lt;&gt;Lorena Dias de Araujo",$B:$B,"&lt;&gt;Lucas Luiz Romero")*(23/1083),IF(C3903="JR",SUMIFS($D:$D,$A:$A,$A3903,$B:$B,"&lt;&gt;Patrícia Karla de Sousa Araújo",$B:$B,"&lt;&gt;Lorena Dias de Araujo",$B:$B,"&lt;&gt;Lucas Luiz Romero")*(20/1083),IF(C3903="Estágio",SUMIFS($D:$D,$A:$A,$A3903,$B:$B,"&lt;&gt;Patrícia Karla de Sousa Araújo",$B:$B,"&lt;&gt;Lorena Dias de Araujo",$B:$B,"&lt;&gt;Lucas Luiz Romero")*(10/1083),0)))))),0)</f>
        <v/>
      </c>
      <c r="K3903" s="3">
        <f>I3903-J3903</f>
        <v/>
      </c>
      <c r="L3903" s="3">
        <f>IF(K3903&lt;-5,"CRÍTICO",IF(K3903&lt;0,"ATENÇÃO",IF(K3903&lt;=5,"OPORTUNO","MUITO BOM")))</f>
        <v/>
      </c>
      <c r="N3903" t="n">
        <v>96.73999999999999</v>
      </c>
      <c r="O3903" t="n">
        <v>28.43137254901961</v>
      </c>
    </row>
    <row r="3904" hidden="1">
      <c r="A3904" s="11" t="n">
        <v>46125</v>
      </c>
      <c r="B3904" t="inlineStr">
        <is>
          <t>Brenda de Menezes Silva</t>
        </is>
      </c>
      <c r="C3904" t="inlineStr">
        <is>
          <t>Técnico II</t>
        </is>
      </c>
      <c r="D3904" t="n">
        <v>28</v>
      </c>
      <c r="E3904" t="n">
        <v>27</v>
      </c>
      <c r="F3904" t="n">
        <v>20.17</v>
      </c>
      <c r="G3904" t="n">
        <v>0</v>
      </c>
      <c r="H3904" t="n">
        <v>0</v>
      </c>
      <c r="I3904" s="3">
        <f>E3904+G3904+H3904</f>
        <v/>
      </c>
      <c r="J3904" s="3">
        <f>ROUND(MIN(IF(C3904="Técnico III",35,IF(C3904="Técnico II",28,IF(C3904="Técnico I",23,IF(C3904="JR",20,IF(C3904="Estágio",10,0))))),IF(C3904="Técnico III",SUMIFS($D:$D,$A:$A,$A3904,$B:$B,"&lt;&gt;Patrícia Karla de Sousa Araújo",$B:$B,"&lt;&gt;Lorena Dias de Araujo",$B:$B,"&lt;&gt;Lucas Luiz Romero")*(35/1083),IF(C3904="Técnico II",SUMIFS($D:$D,$A:$A,$A3904,$B:$B,"&lt;&gt;Patrícia Karla de Sousa Araújo",$B:$B,"&lt;&gt;Lorena Dias de Araujo",$B:$B,"&lt;&gt;Lucas Luiz Romero")*(28/1083),IF(C3904="Técnico I",SUMIFS($D:$D,$A:$A,$A3904,$B:$B,"&lt;&gt;Patrícia Karla de Sousa Araújo",$B:$B,"&lt;&gt;Lorena Dias de Araujo",$B:$B,"&lt;&gt;Lucas Luiz Romero")*(23/1083),IF(C3904="JR",SUMIFS($D:$D,$A:$A,$A3904,$B:$B,"&lt;&gt;Patrícia Karla de Sousa Araújo",$B:$B,"&lt;&gt;Lorena Dias de Araujo",$B:$B,"&lt;&gt;Lucas Luiz Romero")*(20/1083),IF(C3904="Estágio",SUMIFS($D:$D,$A:$A,$A3904,$B:$B,"&lt;&gt;Patrícia Karla de Sousa Araújo",$B:$B,"&lt;&gt;Lorena Dias de Araujo",$B:$B,"&lt;&gt;Lucas Luiz Romero")*(10/1083),0)))))),0)</f>
        <v/>
      </c>
      <c r="K3904" s="3">
        <f>I3904-J3904</f>
        <v/>
      </c>
      <c r="L3904" s="3">
        <f>IF(K3904&lt;-5,"CRÍTICO",IF(K3904&lt;0,"ATENÇÃO",IF(K3904&lt;=5,"OPORTUNO","MUITO BOM")))</f>
        <v/>
      </c>
      <c r="N3904" t="n">
        <v>98.81999999999999</v>
      </c>
      <c r="O3904" t="n">
        <v>30.74141048824593</v>
      </c>
    </row>
    <row r="3905" hidden="1">
      <c r="A3905" s="11" t="n">
        <v>46125</v>
      </c>
      <c r="B3905" t="inlineStr">
        <is>
          <t>Carlos Mateus Cassimiro Nunes</t>
        </is>
      </c>
      <c r="C3905" t="inlineStr">
        <is>
          <t>Técnico II</t>
        </is>
      </c>
      <c r="D3905" t="n">
        <v>14</v>
      </c>
      <c r="E3905" t="n">
        <v>14</v>
      </c>
      <c r="F3905" t="n">
        <v>24.19</v>
      </c>
      <c r="G3905" t="n">
        <v>0</v>
      </c>
      <c r="H3905" t="n">
        <v>0</v>
      </c>
      <c r="I3905" s="3">
        <f>E3905+G3905+H3905</f>
        <v/>
      </c>
      <c r="J3905" s="3">
        <f>ROUND(MIN(IF(C3905="Técnico III",35,IF(C3905="Técnico II",28,IF(C3905="Técnico I",23,IF(C3905="JR",20,IF(C3905="Estágio",10,0))))),IF(C3905="Técnico III",SUMIFS($D:$D,$A:$A,$A3905,$B:$B,"&lt;&gt;Patrícia Karla de Sousa Araújo",$B:$B,"&lt;&gt;Lorena Dias de Araujo",$B:$B,"&lt;&gt;Lucas Luiz Romero")*(35/1083),IF(C3905="Técnico II",SUMIFS($D:$D,$A:$A,$A3905,$B:$B,"&lt;&gt;Patrícia Karla de Sousa Araújo",$B:$B,"&lt;&gt;Lorena Dias de Araujo",$B:$B,"&lt;&gt;Lucas Luiz Romero")*(28/1083),IF(C3905="Técnico I",SUMIFS($D:$D,$A:$A,$A3905,$B:$B,"&lt;&gt;Patrícia Karla de Sousa Araújo",$B:$B,"&lt;&gt;Lorena Dias de Araujo",$B:$B,"&lt;&gt;Lucas Luiz Romero")*(23/1083),IF(C3905="JR",SUMIFS($D:$D,$A:$A,$A3905,$B:$B,"&lt;&gt;Patrícia Karla de Sousa Araújo",$B:$B,"&lt;&gt;Lorena Dias de Araujo",$B:$B,"&lt;&gt;Lucas Luiz Romero")*(20/1083),IF(C3905="Estágio",SUMIFS($D:$D,$A:$A,$A3905,$B:$B,"&lt;&gt;Patrícia Karla de Sousa Araújo",$B:$B,"&lt;&gt;Lorena Dias de Araujo",$B:$B,"&lt;&gt;Lucas Luiz Romero")*(10/1083),0)))))),0)</f>
        <v/>
      </c>
      <c r="K3905" s="3">
        <f>I3905-J3905</f>
        <v/>
      </c>
      <c r="L3905" s="3">
        <f>IF(K3905&lt;-5,"CRÍTICO",IF(K3905&lt;0,"ATENÇÃO",IF(K3905&lt;=5,"OPORTUNO","MUITO BOM")))</f>
        <v/>
      </c>
      <c r="N3905" t="n">
        <v>98.2</v>
      </c>
      <c r="O3905" t="n">
        <v>26.89075630252101</v>
      </c>
    </row>
    <row r="3906" hidden="1">
      <c r="A3906" s="11" t="n">
        <v>46125</v>
      </c>
      <c r="B3906" t="inlineStr">
        <is>
          <t>Claudio de Sousa Velasco Filho</t>
        </is>
      </c>
      <c r="C3906" t="inlineStr">
        <is>
          <t>Estágio</t>
        </is>
      </c>
      <c r="D3906" t="n">
        <v>12</v>
      </c>
      <c r="E3906" t="n">
        <v>10</v>
      </c>
      <c r="F3906" t="n">
        <v>18.34</v>
      </c>
      <c r="G3906" t="n">
        <v>0</v>
      </c>
      <c r="H3906" t="n">
        <v>0</v>
      </c>
      <c r="I3906" s="3">
        <f>E3906+G3906+H3906</f>
        <v/>
      </c>
      <c r="J3906" s="3">
        <f>ROUND(MIN(IF(C3906="Técnico III",35,IF(C3906="Técnico II",28,IF(C3906="Técnico I",23,IF(C3906="JR",20,IF(C3906="Estágio",10,0))))),IF(C3906="Técnico III",SUMIFS($D:$D,$A:$A,$A3906,$B:$B,"&lt;&gt;Patrícia Karla de Sousa Araújo",$B:$B,"&lt;&gt;Lorena Dias de Araujo",$B:$B,"&lt;&gt;Lucas Luiz Romero")*(35/1083),IF(C3906="Técnico II",SUMIFS($D:$D,$A:$A,$A3906,$B:$B,"&lt;&gt;Patrícia Karla de Sousa Araújo",$B:$B,"&lt;&gt;Lorena Dias de Araujo",$B:$B,"&lt;&gt;Lucas Luiz Romero")*(28/1083),IF(C3906="Técnico I",SUMIFS($D:$D,$A:$A,$A3906,$B:$B,"&lt;&gt;Patrícia Karla de Sousa Araújo",$B:$B,"&lt;&gt;Lorena Dias de Araujo",$B:$B,"&lt;&gt;Lucas Luiz Romero")*(23/1083),IF(C3906="JR",SUMIFS($D:$D,$A:$A,$A3906,$B:$B,"&lt;&gt;Patrícia Karla de Sousa Araújo",$B:$B,"&lt;&gt;Lorena Dias de Araujo",$B:$B,"&lt;&gt;Lucas Luiz Romero")*(20/1083),IF(C3906="Estágio",SUMIFS($D:$D,$A:$A,$A3906,$B:$B,"&lt;&gt;Patrícia Karla de Sousa Araújo",$B:$B,"&lt;&gt;Lorena Dias de Araujo",$B:$B,"&lt;&gt;Lucas Luiz Romero")*(10/1083),0)))))),0)</f>
        <v/>
      </c>
      <c r="K3906" s="3">
        <f>I3906-J3906</f>
        <v/>
      </c>
      <c r="L3906" s="3">
        <f>IF(K3906&lt;-5,"CRÍTICO",IF(K3906&lt;0,"ATENÇÃO",IF(K3906&lt;=5,"OPORTUNO","MUITO BOM")))</f>
        <v/>
      </c>
      <c r="N3906" t="n">
        <v>100</v>
      </c>
      <c r="O3906" t="n">
        <v>23.13432835820895</v>
      </c>
    </row>
    <row r="3907" hidden="1">
      <c r="A3907" s="11" t="n">
        <v>46125</v>
      </c>
      <c r="B3907" t="inlineStr">
        <is>
          <t>Clessiane Pereira dos Santos</t>
        </is>
      </c>
      <c r="C3907" t="inlineStr">
        <is>
          <t>Técnico I</t>
        </is>
      </c>
      <c r="D3907" t="n">
        <v>28</v>
      </c>
      <c r="E3907" t="n">
        <v>28</v>
      </c>
      <c r="F3907" t="n">
        <v>18.3</v>
      </c>
      <c r="G3907" t="n">
        <v>0</v>
      </c>
      <c r="H3907" t="n">
        <v>0</v>
      </c>
      <c r="I3907" s="3">
        <f>E3907+G3907+H3907</f>
        <v/>
      </c>
      <c r="J3907" s="3">
        <f>ROUND(MIN(IF(C3907="Técnico III",35,IF(C3907="Técnico II",28,IF(C3907="Técnico I",23,IF(C3907="JR",20,IF(C3907="Estágio",10,0))))),IF(C3907="Técnico III",SUMIFS($D:$D,$A:$A,$A3907,$B:$B,"&lt;&gt;Patrícia Karla de Sousa Araújo",$B:$B,"&lt;&gt;Lorena Dias de Araujo",$B:$B,"&lt;&gt;Lucas Luiz Romero")*(35/1083),IF(C3907="Técnico II",SUMIFS($D:$D,$A:$A,$A3907,$B:$B,"&lt;&gt;Patrícia Karla de Sousa Araújo",$B:$B,"&lt;&gt;Lorena Dias de Araujo",$B:$B,"&lt;&gt;Lucas Luiz Romero")*(28/1083),IF(C3907="Técnico I",SUMIFS($D:$D,$A:$A,$A3907,$B:$B,"&lt;&gt;Patrícia Karla de Sousa Araújo",$B:$B,"&lt;&gt;Lorena Dias de Araujo",$B:$B,"&lt;&gt;Lucas Luiz Romero")*(23/1083),IF(C3907="JR",SUMIFS($D:$D,$A:$A,$A3907,$B:$B,"&lt;&gt;Patrícia Karla de Sousa Araújo",$B:$B,"&lt;&gt;Lorena Dias de Araujo",$B:$B,"&lt;&gt;Lucas Luiz Romero")*(20/1083),IF(C3907="Estágio",SUMIFS($D:$D,$A:$A,$A3907,$B:$B,"&lt;&gt;Patrícia Karla de Sousa Araújo",$B:$B,"&lt;&gt;Lorena Dias de Araujo",$B:$B,"&lt;&gt;Lucas Luiz Romero")*(10/1083),0)))))),0)</f>
        <v/>
      </c>
      <c r="K3907" s="3">
        <f>I3907-J3907</f>
        <v/>
      </c>
      <c r="L3907" s="3">
        <f>IF(K3907&lt;-5,"CRÍTICO",IF(K3907&lt;0,"ATENÇÃO",IF(K3907&lt;=5,"OPORTUNO","MUITO BOM")))</f>
        <v/>
      </c>
      <c r="N3907" t="n">
        <v>96.3</v>
      </c>
      <c r="O3907" t="n">
        <v>31.98090692124105</v>
      </c>
    </row>
    <row r="3908" hidden="1">
      <c r="A3908" s="11" t="n">
        <v>46125</v>
      </c>
      <c r="B3908" t="inlineStr">
        <is>
          <t>Cristiane Ramos da Silva Rocha</t>
        </is>
      </c>
      <c r="C3908" t="inlineStr">
        <is>
          <t>Técnico III</t>
        </is>
      </c>
      <c r="D3908" t="n">
        <v>30</v>
      </c>
      <c r="E3908" t="n">
        <v>28</v>
      </c>
      <c r="F3908" t="n">
        <v>13.2</v>
      </c>
      <c r="G3908" t="n">
        <v>0</v>
      </c>
      <c r="H3908" t="n">
        <v>0</v>
      </c>
      <c r="I3908" s="3">
        <f>E3908+G3908+H3908</f>
        <v/>
      </c>
      <c r="J3908" s="3">
        <f>ROUND(MIN(IF(C3908="Técnico III",35,IF(C3908="Técnico II",28,IF(C3908="Técnico I",23,IF(C3908="JR",20,IF(C3908="Estágio",10,0))))),IF(C3908="Técnico III",SUMIFS($D:$D,$A:$A,$A3908,$B:$B,"&lt;&gt;Patrícia Karla de Sousa Araújo",$B:$B,"&lt;&gt;Lorena Dias de Araujo",$B:$B,"&lt;&gt;Lucas Luiz Romero")*(35/1083),IF(C3908="Técnico II",SUMIFS($D:$D,$A:$A,$A3908,$B:$B,"&lt;&gt;Patrícia Karla de Sousa Araújo",$B:$B,"&lt;&gt;Lorena Dias de Araujo",$B:$B,"&lt;&gt;Lucas Luiz Romero")*(28/1083),IF(C3908="Técnico I",SUMIFS($D:$D,$A:$A,$A3908,$B:$B,"&lt;&gt;Patrícia Karla de Sousa Araújo",$B:$B,"&lt;&gt;Lorena Dias de Araujo",$B:$B,"&lt;&gt;Lucas Luiz Romero")*(23/1083),IF(C3908="JR",SUMIFS($D:$D,$A:$A,$A3908,$B:$B,"&lt;&gt;Patrícia Karla de Sousa Araújo",$B:$B,"&lt;&gt;Lorena Dias de Araujo",$B:$B,"&lt;&gt;Lucas Luiz Romero")*(20/1083),IF(C3908="Estágio",SUMIFS($D:$D,$A:$A,$A3908,$B:$B,"&lt;&gt;Patrícia Karla de Sousa Araújo",$B:$B,"&lt;&gt;Lorena Dias de Araujo",$B:$B,"&lt;&gt;Lucas Luiz Romero")*(10/1083),0)))))),0)</f>
        <v/>
      </c>
      <c r="K3908" s="3">
        <f>I3908-J3908</f>
        <v/>
      </c>
      <c r="L3908" s="3">
        <f>IF(K3908&lt;-5,"CRÍTICO",IF(K3908&lt;0,"ATENÇÃO",IF(K3908&lt;=5,"OPORTUNO","MUITO BOM")))</f>
        <v/>
      </c>
      <c r="N3908" t="n">
        <v>93.75</v>
      </c>
      <c r="O3908" t="n">
        <v>26.62835249042146</v>
      </c>
    </row>
    <row r="3909" hidden="1">
      <c r="A3909" s="11" t="n">
        <v>46125</v>
      </c>
      <c r="B3909" t="inlineStr">
        <is>
          <t>Damyllis Lorraine de Oliveira Gonçalves</t>
        </is>
      </c>
      <c r="C3909" t="inlineStr">
        <is>
          <t>Técnico II</t>
        </is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s="3" t="n">
        <v>0</v>
      </c>
      <c r="J3909" s="3" t="n">
        <v>0</v>
      </c>
      <c r="K3909" s="3" t="n">
        <v>0</v>
      </c>
      <c r="L3909" s="3">
        <f>IF(K3909&lt;-5,"CRÍTICO",IF(K3909&lt;0,"ATENÇÃO",IF(K3909&lt;=5,"OPORTUNO","MUITO BOM")))</f>
        <v/>
      </c>
      <c r="N3909" t="n">
        <v>97.86</v>
      </c>
      <c r="O3909" t="n">
        <v>31.01851851851852</v>
      </c>
    </row>
    <row r="3910" hidden="1">
      <c r="A3910" s="11" t="n">
        <v>46125</v>
      </c>
      <c r="B3910" t="inlineStr">
        <is>
          <t>Daniel Gomes da Silva</t>
        </is>
      </c>
      <c r="C3910" t="inlineStr">
        <is>
          <t>Técnico I</t>
        </is>
      </c>
      <c r="D3910" t="n">
        <v>7</v>
      </c>
      <c r="E3910" t="n">
        <v>7</v>
      </c>
      <c r="F3910" t="n">
        <v>15.2</v>
      </c>
      <c r="G3910" t="n">
        <v>0</v>
      </c>
      <c r="H3910" t="n">
        <v>0</v>
      </c>
      <c r="I3910" s="3">
        <f>E3910+G3910+H3910</f>
        <v/>
      </c>
      <c r="J3910" s="3">
        <f>ROUND(MIN(IF(C3910="Técnico III",35,IF(C3910="Técnico II",28,IF(C3910="Técnico I",23,IF(C3910="JR",20,IF(C3910="Estágio",10,0))))),IF(C3910="Técnico III",SUMIFS($D:$D,$A:$A,$A3910,$B:$B,"&lt;&gt;Patrícia Karla de Sousa Araújo",$B:$B,"&lt;&gt;Lorena Dias de Araujo",$B:$B,"&lt;&gt;Lucas Luiz Romero")*(35/1083),IF(C3910="Técnico II",SUMIFS($D:$D,$A:$A,$A3910,$B:$B,"&lt;&gt;Patrícia Karla de Sousa Araújo",$B:$B,"&lt;&gt;Lorena Dias de Araujo",$B:$B,"&lt;&gt;Lucas Luiz Romero")*(28/1083),IF(C3910="Técnico I",SUMIFS($D:$D,$A:$A,$A3910,$B:$B,"&lt;&gt;Patrícia Karla de Sousa Araújo",$B:$B,"&lt;&gt;Lorena Dias de Araujo",$B:$B,"&lt;&gt;Lucas Luiz Romero")*(23/1083),IF(C3910="JR",SUMIFS($D:$D,$A:$A,$A3910,$B:$B,"&lt;&gt;Patrícia Karla de Sousa Araújo",$B:$B,"&lt;&gt;Lorena Dias de Araujo",$B:$B,"&lt;&gt;Lucas Luiz Romero")*(20/1083),IF(C3910="Estágio",SUMIFS($D:$D,$A:$A,$A3910,$B:$B,"&lt;&gt;Patrícia Karla de Sousa Araújo",$B:$B,"&lt;&gt;Lorena Dias de Araujo",$B:$B,"&lt;&gt;Lucas Luiz Romero")*(10/1083),0)))))),0)</f>
        <v/>
      </c>
      <c r="K3910" s="3">
        <f>I3910-J3910</f>
        <v/>
      </c>
      <c r="L3910" s="3">
        <f>IF(K3910&lt;-5,"CRÍTICO",IF(K3910&lt;0,"ATENÇÃO",IF(K3910&lt;=5,"OPORTUNO","MUITO BOM")))</f>
        <v/>
      </c>
      <c r="N3910" t="n">
        <v>100</v>
      </c>
      <c r="O3910" t="n">
        <v>36.23188405797102</v>
      </c>
    </row>
    <row r="3911" hidden="1">
      <c r="A3911" s="11" t="n">
        <v>46125</v>
      </c>
      <c r="B3911" t="inlineStr">
        <is>
          <t>Davylla Rodrigues Freitas Silva</t>
        </is>
      </c>
      <c r="C3911" t="inlineStr">
        <is>
          <t>Técnico III</t>
        </is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s="3" t="n">
        <v>0</v>
      </c>
      <c r="J3911" s="3" t="n">
        <v>0</v>
      </c>
      <c r="K3911" s="3" t="n">
        <v>0</v>
      </c>
      <c r="L3911" s="3">
        <f>IF(K3911&lt;-5,"CRÍTICO",IF(K3911&lt;0,"ATENÇÃO",IF(K3911&lt;=5,"OPORTUNO","MUITO BOM")))</f>
        <v/>
      </c>
      <c r="N3911" t="n">
        <v>100</v>
      </c>
      <c r="O3911" t="n">
        <v>38.26923076923077</v>
      </c>
    </row>
    <row r="3912" hidden="1">
      <c r="A3912" s="11" t="n">
        <v>46125</v>
      </c>
      <c r="B3912" t="inlineStr">
        <is>
          <t>Emilly Caylane Costa</t>
        </is>
      </c>
      <c r="C3912" t="inlineStr">
        <is>
          <t>Estágio</t>
        </is>
      </c>
      <c r="D3912" t="n">
        <v>5</v>
      </c>
      <c r="E3912" t="n">
        <v>4</v>
      </c>
      <c r="F3912" t="n">
        <v>35.18</v>
      </c>
      <c r="G3912" t="n">
        <v>0</v>
      </c>
      <c r="H3912" t="n">
        <v>0</v>
      </c>
      <c r="I3912" s="3">
        <f>E3912+G3912+H3912</f>
        <v/>
      </c>
      <c r="J3912" s="3">
        <f>ROUND(MIN(IF(C3912="Técnico III",35,IF(C3912="Técnico II",28,IF(C3912="Técnico I",23,IF(C3912="JR",20,IF(C3912="Estágio",10,0))))),IF(C3912="Técnico III",SUMIFS($D:$D,$A:$A,$A3912,$B:$B,"&lt;&gt;Patrícia Karla de Sousa Araújo",$B:$B,"&lt;&gt;Lorena Dias de Araujo",$B:$B,"&lt;&gt;Lucas Luiz Romero")*(35/1083),IF(C3912="Técnico II",SUMIFS($D:$D,$A:$A,$A3912,$B:$B,"&lt;&gt;Patrícia Karla de Sousa Araújo",$B:$B,"&lt;&gt;Lorena Dias de Araujo",$B:$B,"&lt;&gt;Lucas Luiz Romero")*(28/1083),IF(C3912="Técnico I",SUMIFS($D:$D,$A:$A,$A3912,$B:$B,"&lt;&gt;Patrícia Karla de Sousa Araújo",$B:$B,"&lt;&gt;Lorena Dias de Araujo",$B:$B,"&lt;&gt;Lucas Luiz Romero")*(23/1083),IF(C3912="JR",SUMIFS($D:$D,$A:$A,$A3912,$B:$B,"&lt;&gt;Patrícia Karla de Sousa Araújo",$B:$B,"&lt;&gt;Lorena Dias de Araujo",$B:$B,"&lt;&gt;Lucas Luiz Romero")*(20/1083),IF(C3912="Estágio",SUMIFS($D:$D,$A:$A,$A3912,$B:$B,"&lt;&gt;Patrícia Karla de Sousa Araújo",$B:$B,"&lt;&gt;Lorena Dias de Araujo",$B:$B,"&lt;&gt;Lucas Luiz Romero")*(10/1083),0)))))),0)</f>
        <v/>
      </c>
      <c r="K3912" s="3">
        <f>I3912-J3912</f>
        <v/>
      </c>
      <c r="L3912" s="3">
        <f>IF(K3912&lt;-5,"CRÍTICO",IF(K3912&lt;0,"ATENÇÃO",IF(K3912&lt;=5,"OPORTUNO","MUITO BOM")))</f>
        <v/>
      </c>
      <c r="N3912" t="n">
        <v>100</v>
      </c>
      <c r="O3912" t="n">
        <v>27.36842105263158</v>
      </c>
    </row>
    <row r="3913" hidden="1">
      <c r="A3913" s="11" t="n">
        <v>46125</v>
      </c>
      <c r="B3913" t="inlineStr">
        <is>
          <t>Emilly Kamilly Medeiros Miranda</t>
        </is>
      </c>
      <c r="C3913" t="inlineStr">
        <is>
          <t>Técnico II</t>
        </is>
      </c>
      <c r="D3913" t="n">
        <v>27</v>
      </c>
      <c r="E3913" t="n">
        <v>26</v>
      </c>
      <c r="F3913" t="n">
        <v>15.35</v>
      </c>
      <c r="G3913" t="n">
        <v>0</v>
      </c>
      <c r="H3913" t="n">
        <v>0</v>
      </c>
      <c r="I3913" s="3">
        <f>E3913+G3913+H3913</f>
        <v/>
      </c>
      <c r="J3913" s="3">
        <f>ROUND(MIN(IF(C3913="Técnico III",35,IF(C3913="Técnico II",28,IF(C3913="Técnico I",23,IF(C3913="JR",20,IF(C3913="Estágio",10,0))))),IF(C3913="Técnico III",SUMIFS($D:$D,$A:$A,$A3913,$B:$B,"&lt;&gt;Patrícia Karla de Sousa Araújo",$B:$B,"&lt;&gt;Lorena Dias de Araujo",$B:$B,"&lt;&gt;Lucas Luiz Romero")*(35/1083),IF(C3913="Técnico II",SUMIFS($D:$D,$A:$A,$A3913,$B:$B,"&lt;&gt;Patrícia Karla de Sousa Araújo",$B:$B,"&lt;&gt;Lorena Dias de Araujo",$B:$B,"&lt;&gt;Lucas Luiz Romero")*(28/1083),IF(C3913="Técnico I",SUMIFS($D:$D,$A:$A,$A3913,$B:$B,"&lt;&gt;Patrícia Karla de Sousa Araújo",$B:$B,"&lt;&gt;Lorena Dias de Araujo",$B:$B,"&lt;&gt;Lucas Luiz Romero")*(23/1083),IF(C3913="JR",SUMIFS($D:$D,$A:$A,$A3913,$B:$B,"&lt;&gt;Patrícia Karla de Sousa Araújo",$B:$B,"&lt;&gt;Lorena Dias de Araujo",$B:$B,"&lt;&gt;Lucas Luiz Romero")*(20/1083),IF(C3913="Estágio",SUMIFS($D:$D,$A:$A,$A3913,$B:$B,"&lt;&gt;Patrícia Karla de Sousa Araújo",$B:$B,"&lt;&gt;Lorena Dias de Araujo",$B:$B,"&lt;&gt;Lucas Luiz Romero")*(10/1083),0)))))),0)</f>
        <v/>
      </c>
      <c r="K3913" s="3">
        <f>I3913-J3913</f>
        <v/>
      </c>
      <c r="L3913" s="3">
        <f>IF(K3913&lt;-5,"CRÍTICO",IF(K3913&lt;0,"ATENÇÃO",IF(K3913&lt;=5,"OPORTUNO","MUITO BOM")))</f>
        <v/>
      </c>
      <c r="N3913" t="n">
        <v>97.83</v>
      </c>
      <c r="O3913" t="n">
        <v>28.13186813186813</v>
      </c>
    </row>
    <row r="3914" hidden="1">
      <c r="A3914" s="11" t="n">
        <v>46125</v>
      </c>
      <c r="B3914" t="inlineStr">
        <is>
          <t>Francielson de Oliveira</t>
        </is>
      </c>
      <c r="C3914" t="inlineStr">
        <is>
          <t>Técnico III</t>
        </is>
      </c>
      <c r="D3914" t="n">
        <v>28</v>
      </c>
      <c r="E3914" t="n">
        <v>28</v>
      </c>
      <c r="F3914" t="n">
        <v>14</v>
      </c>
      <c r="G3914" t="n">
        <v>0</v>
      </c>
      <c r="H3914" t="n">
        <v>0</v>
      </c>
      <c r="I3914" s="3">
        <f>E3914+G3914+H3914</f>
        <v/>
      </c>
      <c r="J3914" s="3">
        <f>ROUND(MIN(IF(C3914="Técnico III",35,IF(C3914="Técnico II",28,IF(C3914="Técnico I",23,IF(C3914="JR",20,IF(C3914="Estágio",10,0))))),IF(C3914="Técnico III",SUMIFS($D:$D,$A:$A,$A3914,$B:$B,"&lt;&gt;Patrícia Karla de Sousa Araújo",$B:$B,"&lt;&gt;Lorena Dias de Araujo",$B:$B,"&lt;&gt;Lucas Luiz Romero")*(35/1083),IF(C3914="Técnico II",SUMIFS($D:$D,$A:$A,$A3914,$B:$B,"&lt;&gt;Patrícia Karla de Sousa Araújo",$B:$B,"&lt;&gt;Lorena Dias de Araujo",$B:$B,"&lt;&gt;Lucas Luiz Romero")*(28/1083),IF(C3914="Técnico I",SUMIFS($D:$D,$A:$A,$A3914,$B:$B,"&lt;&gt;Patrícia Karla de Sousa Araújo",$B:$B,"&lt;&gt;Lorena Dias de Araujo",$B:$B,"&lt;&gt;Lucas Luiz Romero")*(23/1083),IF(C3914="JR",SUMIFS($D:$D,$A:$A,$A3914,$B:$B,"&lt;&gt;Patrícia Karla de Sousa Araújo",$B:$B,"&lt;&gt;Lorena Dias de Araujo",$B:$B,"&lt;&gt;Lucas Luiz Romero")*(20/1083),IF(C3914="Estágio",SUMIFS($D:$D,$A:$A,$A3914,$B:$B,"&lt;&gt;Patrícia Karla de Sousa Araújo",$B:$B,"&lt;&gt;Lorena Dias de Araujo",$B:$B,"&lt;&gt;Lucas Luiz Romero")*(10/1083),0)))))),0)</f>
        <v/>
      </c>
      <c r="K3914" s="3">
        <f>I3914-J3914</f>
        <v/>
      </c>
      <c r="L3914" s="3">
        <f>IF(K3914&lt;-5,"CRÍTICO",IF(K3914&lt;0,"ATENÇÃO",IF(K3914&lt;=5,"OPORTUNO","MUITO BOM")))</f>
        <v/>
      </c>
      <c r="N3914" t="n">
        <v>99.26000000000001</v>
      </c>
      <c r="O3914" t="n">
        <v>29.57198443579767</v>
      </c>
    </row>
    <row r="3915" hidden="1">
      <c r="A3915" s="11" t="n">
        <v>46125</v>
      </c>
      <c r="B3915" t="inlineStr">
        <is>
          <t>Francilene Ferreira de Jesus</t>
        </is>
      </c>
      <c r="C3915" t="inlineStr">
        <is>
          <t>Técnico II</t>
        </is>
      </c>
      <c r="D3915" t="n">
        <v>21</v>
      </c>
      <c r="E3915" t="n">
        <v>18</v>
      </c>
      <c r="F3915" t="n">
        <v>15.43</v>
      </c>
      <c r="G3915" t="n">
        <v>0</v>
      </c>
      <c r="H3915" t="n">
        <v>0</v>
      </c>
      <c r="I3915" s="3">
        <f>E3915+G3915+H3915</f>
        <v/>
      </c>
      <c r="J3915" s="3">
        <f>ROUND(MIN(IF(C3915="Técnico III",35,IF(C3915="Técnico II",28,IF(C3915="Técnico I",23,IF(C3915="JR",20,IF(C3915="Estágio",10,0))))),IF(C3915="Técnico III",SUMIFS($D:$D,$A:$A,$A3915,$B:$B,"&lt;&gt;Patrícia Karla de Sousa Araújo",$B:$B,"&lt;&gt;Lorena Dias de Araujo",$B:$B,"&lt;&gt;Lucas Luiz Romero")*(35/1083),IF(C3915="Técnico II",SUMIFS($D:$D,$A:$A,$A3915,$B:$B,"&lt;&gt;Patrícia Karla de Sousa Araújo",$B:$B,"&lt;&gt;Lorena Dias de Araujo",$B:$B,"&lt;&gt;Lucas Luiz Romero")*(28/1083),IF(C3915="Técnico I",SUMIFS($D:$D,$A:$A,$A3915,$B:$B,"&lt;&gt;Patrícia Karla de Sousa Araújo",$B:$B,"&lt;&gt;Lorena Dias de Araujo",$B:$B,"&lt;&gt;Lucas Luiz Romero")*(23/1083),IF(C3915="JR",SUMIFS($D:$D,$A:$A,$A3915,$B:$B,"&lt;&gt;Patrícia Karla de Sousa Araújo",$B:$B,"&lt;&gt;Lorena Dias de Araujo",$B:$B,"&lt;&gt;Lucas Luiz Romero")*(20/1083),IF(C3915="Estágio",SUMIFS($D:$D,$A:$A,$A3915,$B:$B,"&lt;&gt;Patrícia Karla de Sousa Araújo",$B:$B,"&lt;&gt;Lorena Dias de Araujo",$B:$B,"&lt;&gt;Lucas Luiz Romero")*(10/1083),0)))))),0)</f>
        <v/>
      </c>
      <c r="K3915" s="3">
        <f>I3915-J3915</f>
        <v/>
      </c>
      <c r="L3915" s="3">
        <f>IF(K3915&lt;-5,"CRÍTICO",IF(K3915&lt;0,"ATENÇÃO",IF(K3915&lt;=5,"OPORTUNO","MUITO BOM")))</f>
        <v/>
      </c>
      <c r="N3915" t="n">
        <v>99.19</v>
      </c>
      <c r="O3915" t="n">
        <v>29.46236559139785</v>
      </c>
    </row>
    <row r="3916" hidden="1">
      <c r="A3916" s="11" t="n">
        <v>46167</v>
      </c>
      <c r="B3916" t="inlineStr">
        <is>
          <t>Lizandra Gomes Duarte</t>
        </is>
      </c>
      <c r="C3916" t="inlineStr">
        <is>
          <t>Técnico II</t>
        </is>
      </c>
      <c r="D3916" t="n">
        <v>24</v>
      </c>
      <c r="E3916" t="n">
        <v>24</v>
      </c>
      <c r="F3916" t="n">
        <v>20.36</v>
      </c>
      <c r="G3916" t="n">
        <v>0</v>
      </c>
      <c r="H3916" t="n">
        <v>0</v>
      </c>
      <c r="I3916" s="3" t="n">
        <v>0</v>
      </c>
      <c r="J3916" s="3" t="n">
        <v>0</v>
      </c>
      <c r="K3916" s="3" t="n">
        <v>0</v>
      </c>
      <c r="L3916" s="3">
        <f>IF(K3916&lt;-5,"CRÍTICO",IF(K3916&lt;0,"ATENÇÃO",IF(K3916&lt;=5,"OPORTUNO","MUITO BOM")))</f>
        <v/>
      </c>
    </row>
    <row r="3917" hidden="1">
      <c r="A3917" s="11" t="n">
        <v>46125</v>
      </c>
      <c r="B3917" t="inlineStr">
        <is>
          <t>Isabella Borges de Oliveira</t>
        </is>
      </c>
      <c r="C3917" t="inlineStr">
        <is>
          <t>Técnico II</t>
        </is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s="3" t="n">
        <v>0</v>
      </c>
      <c r="J3917" s="3" t="n">
        <v>0</v>
      </c>
      <c r="K3917" s="3" t="n">
        <v>0</v>
      </c>
      <c r="L3917" s="3">
        <f>IF(K3917&lt;-5,"CRÍTICO",IF(K3917&lt;0,"ATENÇÃO",IF(K3917&lt;=5,"OPORTUNO","MUITO BOM")))</f>
        <v/>
      </c>
      <c r="N3917" t="n">
        <v>100</v>
      </c>
      <c r="O3917" t="n">
        <v>27.94117647058824</v>
      </c>
    </row>
    <row r="3918" hidden="1">
      <c r="A3918" s="11" t="n">
        <v>46125</v>
      </c>
      <c r="B3918" t="inlineStr">
        <is>
          <t>Janaina Lima dos Reis Urany</t>
        </is>
      </c>
      <c r="C3918" t="inlineStr">
        <is>
          <t>Técnico III</t>
        </is>
      </c>
      <c r="D3918" t="n">
        <v>39</v>
      </c>
      <c r="E3918" t="n">
        <v>35</v>
      </c>
      <c r="F3918" t="n">
        <v>12.12</v>
      </c>
      <c r="G3918" t="n">
        <v>0</v>
      </c>
      <c r="H3918" t="n">
        <v>0</v>
      </c>
      <c r="I3918" s="3">
        <f>E3918+G3918+H3918</f>
        <v/>
      </c>
      <c r="J3918" s="3">
        <f>ROUND(MIN(IF(C3918="Técnico III",35,IF(C3918="Técnico II",28,IF(C3918="Técnico I",23,IF(C3918="JR",20,IF(C3918="Estágio",10,0))))),IF(C3918="Técnico III",SUMIFS($D:$D,$A:$A,$A3918,$B:$B,"&lt;&gt;Patrícia Karla de Sousa Araújo",$B:$B,"&lt;&gt;Lorena Dias de Araujo",$B:$B,"&lt;&gt;Lucas Luiz Romero")*(35/1083),IF(C3918="Técnico II",SUMIFS($D:$D,$A:$A,$A3918,$B:$B,"&lt;&gt;Patrícia Karla de Sousa Araújo",$B:$B,"&lt;&gt;Lorena Dias de Araujo",$B:$B,"&lt;&gt;Lucas Luiz Romero")*(28/1083),IF(C3918="Técnico I",SUMIFS($D:$D,$A:$A,$A3918,$B:$B,"&lt;&gt;Patrícia Karla de Sousa Araújo",$B:$B,"&lt;&gt;Lorena Dias de Araujo",$B:$B,"&lt;&gt;Lucas Luiz Romero")*(23/1083),IF(C3918="JR",SUMIFS($D:$D,$A:$A,$A3918,$B:$B,"&lt;&gt;Patrícia Karla de Sousa Araújo",$B:$B,"&lt;&gt;Lorena Dias de Araujo",$B:$B,"&lt;&gt;Lucas Luiz Romero")*(20/1083),IF(C3918="Estágio",SUMIFS($D:$D,$A:$A,$A3918,$B:$B,"&lt;&gt;Patrícia Karla de Sousa Araújo",$B:$B,"&lt;&gt;Lorena Dias de Araujo",$B:$B,"&lt;&gt;Lucas Luiz Romero")*(10/1083),0)))))),0)</f>
        <v/>
      </c>
      <c r="K3918" s="3">
        <f>I3918-J3918</f>
        <v/>
      </c>
      <c r="L3918" s="3">
        <f>IF(K3918&lt;-5,"CRÍTICO",IF(K3918&lt;0,"ATENÇÃO",IF(K3918&lt;=5,"OPORTUNO","MUITO BOM")))</f>
        <v/>
      </c>
      <c r="N3918" t="n">
        <v>99.56999999999999</v>
      </c>
      <c r="O3918" t="n">
        <v>29.91329479768786</v>
      </c>
    </row>
    <row r="3919" hidden="1">
      <c r="A3919" s="11" t="n">
        <v>46125</v>
      </c>
      <c r="B3919" t="inlineStr">
        <is>
          <t>Jaqueline Evangelista da Silva Martins</t>
        </is>
      </c>
      <c r="C3919" t="inlineStr">
        <is>
          <t>Técnico III</t>
        </is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s="3" t="n">
        <v>0</v>
      </c>
      <c r="J3919" s="3" t="n">
        <v>0</v>
      </c>
      <c r="K3919" s="3" t="n">
        <v>0</v>
      </c>
      <c r="L3919" s="3">
        <f>IF(K3919&lt;-5,"CRÍTICO",IF(K3919&lt;0,"ATENÇÃO",IF(K3919&lt;=5,"OPORTUNO","MUITO BOM")))</f>
        <v/>
      </c>
      <c r="N3919" t="n">
        <v>95.65000000000001</v>
      </c>
      <c r="O3919" t="n">
        <v>31.08108108108108</v>
      </c>
    </row>
    <row r="3920" hidden="1">
      <c r="A3920" s="11" t="n">
        <v>46125</v>
      </c>
      <c r="B3920" t="inlineStr">
        <is>
          <t>Jessica Faria da Silveira</t>
        </is>
      </c>
      <c r="C3920" t="inlineStr">
        <is>
          <t>Técnico II</t>
        </is>
      </c>
      <c r="D3920" t="n">
        <v>24</v>
      </c>
      <c r="E3920" t="n">
        <v>22</v>
      </c>
      <c r="F3920" t="n">
        <v>19.13</v>
      </c>
      <c r="G3920" t="n">
        <v>0</v>
      </c>
      <c r="H3920" t="n">
        <v>0</v>
      </c>
      <c r="I3920" s="3">
        <f>E3920+G3920+H3920</f>
        <v/>
      </c>
      <c r="J3920" s="3">
        <f>ROUND(MIN(IF(C3920="Técnico III",35,IF(C3920="Técnico II",28,IF(C3920="Técnico I",23,IF(C3920="JR",20,IF(C3920="Estágio",10,0))))),IF(C3920="Técnico III",SUMIFS($D:$D,$A:$A,$A3920,$B:$B,"&lt;&gt;Patrícia Karla de Sousa Araújo",$B:$B,"&lt;&gt;Lorena Dias de Araujo",$B:$B,"&lt;&gt;Lucas Luiz Romero")*(35/1083),IF(C3920="Técnico II",SUMIFS($D:$D,$A:$A,$A3920,$B:$B,"&lt;&gt;Patrícia Karla de Sousa Araújo",$B:$B,"&lt;&gt;Lorena Dias de Araujo",$B:$B,"&lt;&gt;Lucas Luiz Romero")*(28/1083),IF(C3920="Técnico I",SUMIFS($D:$D,$A:$A,$A3920,$B:$B,"&lt;&gt;Patrícia Karla de Sousa Araújo",$B:$B,"&lt;&gt;Lorena Dias de Araujo",$B:$B,"&lt;&gt;Lucas Luiz Romero")*(23/1083),IF(C3920="JR",SUMIFS($D:$D,$A:$A,$A3920,$B:$B,"&lt;&gt;Patrícia Karla de Sousa Araújo",$B:$B,"&lt;&gt;Lorena Dias de Araujo",$B:$B,"&lt;&gt;Lucas Luiz Romero")*(20/1083),IF(C3920="Estágio",SUMIFS($D:$D,$A:$A,$A3920,$B:$B,"&lt;&gt;Patrícia Karla de Sousa Araújo",$B:$B,"&lt;&gt;Lorena Dias de Araujo",$B:$B,"&lt;&gt;Lucas Luiz Romero")*(10/1083),0)))))),0)</f>
        <v/>
      </c>
      <c r="K3920" s="3">
        <f>I3920-J3920</f>
        <v/>
      </c>
      <c r="L3920" s="3">
        <f>IF(K3920&lt;-5,"CRÍTICO",IF(K3920&lt;0,"ATENÇÃO",IF(K3920&lt;=5,"OPORTUNO","MUITO BOM")))</f>
        <v/>
      </c>
      <c r="N3920" t="n">
        <v>98.81</v>
      </c>
      <c r="O3920" t="n">
        <v>26.25698324022346</v>
      </c>
    </row>
    <row r="3921" hidden="1">
      <c r="A3921" s="11" t="n">
        <v>46125</v>
      </c>
      <c r="B3921" t="inlineStr">
        <is>
          <t>Jéssica Fé Moura</t>
        </is>
      </c>
      <c r="C3921" t="inlineStr">
        <is>
          <t>Técnico III</t>
        </is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s="3" t="n">
        <v>0</v>
      </c>
      <c r="J3921" s="3" t="n">
        <v>0</v>
      </c>
      <c r="K3921" s="3" t="n">
        <v>0</v>
      </c>
      <c r="L3921" s="3">
        <f>IF(K3921&lt;-5,"CRÍTICO",IF(K3921&lt;0,"ATENÇÃO",IF(K3921&lt;=5,"OPORTUNO","MUITO BOM")))</f>
        <v/>
      </c>
      <c r="N3921" t="n">
        <v>0</v>
      </c>
      <c r="O3921" t="n">
        <v>0</v>
      </c>
    </row>
    <row r="3922" hidden="1">
      <c r="A3922" s="11" t="n">
        <v>46125</v>
      </c>
      <c r="B3922" t="inlineStr">
        <is>
          <t>Karina Gonçalves Martins</t>
        </is>
      </c>
      <c r="C3922" t="inlineStr">
        <is>
          <t>JR</t>
        </is>
      </c>
      <c r="D3922" t="n">
        <v>22</v>
      </c>
      <c r="E3922" t="n">
        <v>21</v>
      </c>
      <c r="F3922" t="n">
        <v>19.02</v>
      </c>
      <c r="G3922" t="n">
        <v>0</v>
      </c>
      <c r="H3922" t="n">
        <v>0</v>
      </c>
      <c r="I3922" s="3">
        <f>E3922+G3922+H3922</f>
        <v/>
      </c>
      <c r="J3922" s="3">
        <f>ROUND(MIN(IF(C3922="Técnico III",35,IF(C3922="Técnico II",28,IF(C3922="Técnico I",23,IF(C3922="JR",20,IF(C3922="Estágio",10,0))))),IF(C3922="Técnico III",SUMIFS($D:$D,$A:$A,$A3922,$B:$B,"&lt;&gt;Patrícia Karla de Sousa Araújo",$B:$B,"&lt;&gt;Lorena Dias de Araujo",$B:$B,"&lt;&gt;Lucas Luiz Romero")*(35/1083),IF(C3922="Técnico II",SUMIFS($D:$D,$A:$A,$A3922,$B:$B,"&lt;&gt;Patrícia Karla de Sousa Araújo",$B:$B,"&lt;&gt;Lorena Dias de Araujo",$B:$B,"&lt;&gt;Lucas Luiz Romero")*(28/1083),IF(C3922="Técnico I",SUMIFS($D:$D,$A:$A,$A3922,$B:$B,"&lt;&gt;Patrícia Karla de Sousa Araújo",$B:$B,"&lt;&gt;Lorena Dias de Araujo",$B:$B,"&lt;&gt;Lucas Luiz Romero")*(23/1083),IF(C3922="JR",SUMIFS($D:$D,$A:$A,$A3922,$B:$B,"&lt;&gt;Patrícia Karla de Sousa Araújo",$B:$B,"&lt;&gt;Lorena Dias de Araujo",$B:$B,"&lt;&gt;Lucas Luiz Romero")*(20/1083),IF(C3922="Estágio",SUMIFS($D:$D,$A:$A,$A3922,$B:$B,"&lt;&gt;Patrícia Karla de Sousa Araújo",$B:$B,"&lt;&gt;Lorena Dias de Araujo",$B:$B,"&lt;&gt;Lucas Luiz Romero")*(10/1083),0)))))),0)</f>
        <v/>
      </c>
      <c r="K3922" s="3">
        <f>I3922-J3922</f>
        <v/>
      </c>
      <c r="L3922" s="3">
        <f>IF(K3922&lt;-5,"CRÍTICO",IF(K3922&lt;0,"ATENÇÃO",IF(K3922&lt;=5,"OPORTUNO","MUITO BOM")))</f>
        <v/>
      </c>
      <c r="N3922" t="n">
        <v>97.17</v>
      </c>
      <c r="O3922" t="n">
        <v>28.81844380403458</v>
      </c>
    </row>
    <row r="3923" hidden="1">
      <c r="A3923" s="11" t="n">
        <v>46125</v>
      </c>
      <c r="B3923" t="inlineStr">
        <is>
          <t>Kerollen Cristielly de Jesus Siqueira</t>
        </is>
      </c>
      <c r="C3923" t="inlineStr">
        <is>
          <t>Técnico III</t>
        </is>
      </c>
      <c r="D3923" t="n">
        <v>15</v>
      </c>
      <c r="E3923" t="n">
        <v>15</v>
      </c>
      <c r="F3923" t="n">
        <v>25.06</v>
      </c>
      <c r="G3923" t="n">
        <v>0</v>
      </c>
      <c r="H3923" t="n">
        <v>0</v>
      </c>
      <c r="I3923" s="3">
        <f>E3923+G3923+H3923</f>
        <v/>
      </c>
      <c r="J3923" s="3">
        <f>ROUND(MIN(IF(C3923="Técnico III",35,IF(C3923="Técnico II",28,IF(C3923="Técnico I",23,IF(C3923="JR",20,IF(C3923="Estágio",10,0))))),IF(C3923="Técnico III",SUMIFS($D:$D,$A:$A,$A3923,$B:$B,"&lt;&gt;Patrícia Karla de Sousa Araújo",$B:$B,"&lt;&gt;Lorena Dias de Araujo",$B:$B,"&lt;&gt;Lucas Luiz Romero")*(35/1083),IF(C3923="Técnico II",SUMIFS($D:$D,$A:$A,$A3923,$B:$B,"&lt;&gt;Patrícia Karla de Sousa Araújo",$B:$B,"&lt;&gt;Lorena Dias de Araujo",$B:$B,"&lt;&gt;Lucas Luiz Romero")*(28/1083),IF(C3923="Técnico I",SUMIFS($D:$D,$A:$A,$A3923,$B:$B,"&lt;&gt;Patrícia Karla de Sousa Araújo",$B:$B,"&lt;&gt;Lorena Dias de Araujo",$B:$B,"&lt;&gt;Lucas Luiz Romero")*(23/1083),IF(C3923="JR",SUMIFS($D:$D,$A:$A,$A3923,$B:$B,"&lt;&gt;Patrícia Karla de Sousa Araújo",$B:$B,"&lt;&gt;Lorena Dias de Araujo",$B:$B,"&lt;&gt;Lucas Luiz Romero")*(20/1083),IF(C3923="Estágio",SUMIFS($D:$D,$A:$A,$A3923,$B:$B,"&lt;&gt;Patrícia Karla de Sousa Araújo",$B:$B,"&lt;&gt;Lorena Dias de Araujo",$B:$B,"&lt;&gt;Lucas Luiz Romero")*(10/1083),0)))))),0)</f>
        <v/>
      </c>
      <c r="K3923" s="3">
        <f>I3923-J3923</f>
        <v/>
      </c>
      <c r="L3923" s="3">
        <f>IF(K3923&lt;-5,"CRÍTICO",IF(K3923&lt;0,"ATENÇÃO",IF(K3923&lt;=5,"OPORTUNO","MUITO BOM")))</f>
        <v/>
      </c>
      <c r="N3923" t="n">
        <v>96.81</v>
      </c>
      <c r="O3923" t="n">
        <v>48.01864801864802</v>
      </c>
    </row>
    <row r="3924" hidden="1">
      <c r="A3924" s="11" t="n">
        <v>46125</v>
      </c>
      <c r="B3924" t="inlineStr">
        <is>
          <t>Leandro de Souza Silva</t>
        </is>
      </c>
      <c r="C3924" t="inlineStr">
        <is>
          <t>JR</t>
        </is>
      </c>
      <c r="D3924" t="n">
        <v>19</v>
      </c>
      <c r="E3924" t="n">
        <v>17</v>
      </c>
      <c r="F3924" t="n">
        <v>20.57</v>
      </c>
      <c r="G3924" t="n">
        <v>0</v>
      </c>
      <c r="H3924" t="n">
        <v>0</v>
      </c>
      <c r="I3924" s="3">
        <f>E3924+G3924+H3924</f>
        <v/>
      </c>
      <c r="J3924" s="3">
        <f>ROUND(MIN(IF(C3924="Técnico III",35,IF(C3924="Técnico II",28,IF(C3924="Técnico I",23,IF(C3924="JR",20,IF(C3924="Estágio",10,0))))),IF(C3924="Técnico III",SUMIFS($D:$D,$A:$A,$A3924,$B:$B,"&lt;&gt;Patrícia Karla de Sousa Araújo",$B:$B,"&lt;&gt;Lorena Dias de Araujo",$B:$B,"&lt;&gt;Lucas Luiz Romero")*(35/1083),IF(C3924="Técnico II",SUMIFS($D:$D,$A:$A,$A3924,$B:$B,"&lt;&gt;Patrícia Karla de Sousa Araújo",$B:$B,"&lt;&gt;Lorena Dias de Araujo",$B:$B,"&lt;&gt;Lucas Luiz Romero")*(28/1083),IF(C3924="Técnico I",SUMIFS($D:$D,$A:$A,$A3924,$B:$B,"&lt;&gt;Patrícia Karla de Sousa Araújo",$B:$B,"&lt;&gt;Lorena Dias de Araujo",$B:$B,"&lt;&gt;Lucas Luiz Romero")*(23/1083),IF(C3924="JR",SUMIFS($D:$D,$A:$A,$A3924,$B:$B,"&lt;&gt;Patrícia Karla de Sousa Araújo",$B:$B,"&lt;&gt;Lorena Dias de Araujo",$B:$B,"&lt;&gt;Lucas Luiz Romero")*(20/1083),IF(C3924="Estágio",SUMIFS($D:$D,$A:$A,$A3924,$B:$B,"&lt;&gt;Patrícia Karla de Sousa Araújo",$B:$B,"&lt;&gt;Lorena Dias de Araujo",$B:$B,"&lt;&gt;Lucas Luiz Romero")*(10/1083),0)))))),0)</f>
        <v/>
      </c>
      <c r="K3924" s="3">
        <f>I3924-J3924</f>
        <v/>
      </c>
      <c r="L3924" s="3">
        <f>IF(K3924&lt;-5,"CRÍTICO",IF(K3924&lt;0,"ATENÇÃO",IF(K3924&lt;=5,"OPORTUNO","MUITO BOM")))</f>
        <v/>
      </c>
      <c r="N3924" t="n">
        <v>98.15000000000001</v>
      </c>
      <c r="O3924" t="n">
        <v>27.1551724137931</v>
      </c>
    </row>
    <row r="3925" hidden="1">
      <c r="A3925" s="11" t="n">
        <v>46125</v>
      </c>
      <c r="B3925" t="inlineStr">
        <is>
          <t>Leandro Oliveira de Sousa</t>
        </is>
      </c>
      <c r="C3925" t="inlineStr">
        <is>
          <t>Técnico III</t>
        </is>
      </c>
      <c r="D3925" t="n">
        <v>22</v>
      </c>
      <c r="E3925" t="n">
        <v>21</v>
      </c>
      <c r="F3925" t="n">
        <v>25.24</v>
      </c>
      <c r="G3925" t="n">
        <v>0</v>
      </c>
      <c r="H3925" t="n">
        <v>0</v>
      </c>
      <c r="I3925" s="3">
        <f>E3925+G3925+H3925</f>
        <v/>
      </c>
      <c r="J3925" s="3">
        <f>ROUND(MIN(IF(C3925="Técnico III",35,IF(C3925="Técnico II",28,IF(C3925="Técnico I",23,IF(C3925="JR",20,IF(C3925="Estágio",10,0))))),IF(C3925="Técnico III",SUMIFS($D:$D,$A:$A,$A3925,$B:$B,"&lt;&gt;Patrícia Karla de Sousa Araújo",$B:$B,"&lt;&gt;Lorena Dias de Araujo",$B:$B,"&lt;&gt;Lucas Luiz Romero")*(35/1083),IF(C3925="Técnico II",SUMIFS($D:$D,$A:$A,$A3925,$B:$B,"&lt;&gt;Patrícia Karla de Sousa Araújo",$B:$B,"&lt;&gt;Lorena Dias de Araujo",$B:$B,"&lt;&gt;Lucas Luiz Romero")*(28/1083),IF(C3925="Técnico I",SUMIFS($D:$D,$A:$A,$A3925,$B:$B,"&lt;&gt;Patrícia Karla de Sousa Araújo",$B:$B,"&lt;&gt;Lorena Dias de Araujo",$B:$B,"&lt;&gt;Lucas Luiz Romero")*(23/1083),IF(C3925="JR",SUMIFS($D:$D,$A:$A,$A3925,$B:$B,"&lt;&gt;Patrícia Karla de Sousa Araújo",$B:$B,"&lt;&gt;Lorena Dias de Araujo",$B:$B,"&lt;&gt;Lucas Luiz Romero")*(20/1083),IF(C3925="Estágio",SUMIFS($D:$D,$A:$A,$A3925,$B:$B,"&lt;&gt;Patrícia Karla de Sousa Araújo",$B:$B,"&lt;&gt;Lorena Dias de Araujo",$B:$B,"&lt;&gt;Lucas Luiz Romero")*(10/1083),0)))))),0)</f>
        <v/>
      </c>
      <c r="K3925" s="3">
        <f>I3925-J3925</f>
        <v/>
      </c>
      <c r="L3925" s="3">
        <f>IF(K3925&lt;-5,"CRÍTICO",IF(K3925&lt;0,"ATENÇÃO",IF(K3925&lt;=5,"OPORTUNO","MUITO BOM")))</f>
        <v/>
      </c>
      <c r="N3925" t="n">
        <v>99.15000000000001</v>
      </c>
      <c r="O3925" t="n">
        <v>27.37068965517241</v>
      </c>
    </row>
    <row r="3926" hidden="1">
      <c r="A3926" s="11" t="n">
        <v>46125</v>
      </c>
      <c r="B3926" t="inlineStr">
        <is>
          <t>Lizandra Gomes Duarte</t>
        </is>
      </c>
      <c r="C3926" t="inlineStr">
        <is>
          <t>Técnico II</t>
        </is>
      </c>
      <c r="D3926" t="n">
        <v>28</v>
      </c>
      <c r="E3926" t="n">
        <v>22</v>
      </c>
      <c r="F3926" t="n">
        <v>20.38</v>
      </c>
      <c r="G3926" t="n">
        <v>0</v>
      </c>
      <c r="H3926" t="n">
        <v>0</v>
      </c>
      <c r="I3926" s="3">
        <f>E3926+G3926+H3926</f>
        <v/>
      </c>
      <c r="J3926" s="3">
        <f>ROUND(MIN(IF(C3926="Técnico III",35,IF(C3926="Técnico II",28,IF(C3926="Técnico I",23,IF(C3926="JR",20,IF(C3926="Estágio",10,0))))),IF(C3926="Técnico III",SUMIFS($D:$D,$A:$A,$A3926,$B:$B,"&lt;&gt;Patrícia Karla de Sousa Araújo",$B:$B,"&lt;&gt;Lorena Dias de Araujo",$B:$B,"&lt;&gt;Lucas Luiz Romero")*(35/1083),IF(C3926="Técnico II",SUMIFS($D:$D,$A:$A,$A3926,$B:$B,"&lt;&gt;Patrícia Karla de Sousa Araújo",$B:$B,"&lt;&gt;Lorena Dias de Araujo",$B:$B,"&lt;&gt;Lucas Luiz Romero")*(28/1083),IF(C3926="Técnico I",SUMIFS($D:$D,$A:$A,$A3926,$B:$B,"&lt;&gt;Patrícia Karla de Sousa Araújo",$B:$B,"&lt;&gt;Lorena Dias de Araujo",$B:$B,"&lt;&gt;Lucas Luiz Romero")*(23/1083),IF(C3926="JR",SUMIFS($D:$D,$A:$A,$A3926,$B:$B,"&lt;&gt;Patrícia Karla de Sousa Araújo",$B:$B,"&lt;&gt;Lorena Dias de Araujo",$B:$B,"&lt;&gt;Lucas Luiz Romero")*(20/1083),IF(C3926="Estágio",SUMIFS($D:$D,$A:$A,$A3926,$B:$B,"&lt;&gt;Patrícia Karla de Sousa Araújo",$B:$B,"&lt;&gt;Lorena Dias de Araujo",$B:$B,"&lt;&gt;Lucas Luiz Romero")*(10/1083),0)))))),0)</f>
        <v/>
      </c>
      <c r="K3926" s="3">
        <f>I3926-J3926</f>
        <v/>
      </c>
      <c r="L3926" s="3">
        <f>IF(K3926&lt;-5,"CRÍTICO",IF(K3926&lt;0,"ATENÇÃO",IF(K3926&lt;=5,"OPORTUNO","MUITO BOM")))</f>
        <v/>
      </c>
      <c r="N3926" t="n">
        <v>99.17</v>
      </c>
      <c r="O3926" t="n">
        <v>29.75206611570248</v>
      </c>
    </row>
    <row r="3927" hidden="1">
      <c r="A3927" s="11" t="n">
        <v>46125</v>
      </c>
      <c r="B3927" t="inlineStr">
        <is>
          <t>Lorena Dias de Araujo</t>
        </is>
      </c>
      <c r="C3927" t="inlineStr">
        <is>
          <t>Técnico II</t>
        </is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s="3" t="n">
        <v>0</v>
      </c>
      <c r="J3927" s="3" t="n">
        <v>0</v>
      </c>
      <c r="K3927" s="3" t="n">
        <v>0</v>
      </c>
      <c r="L3927" s="3">
        <f>IF(K3927&lt;-5,"CRÍTICO",IF(K3927&lt;0,"ATENÇÃO",IF(K3927&lt;=5,"OPORTUNO","MUITO BOM")))</f>
        <v/>
      </c>
      <c r="N3927" t="n">
        <v>98.73</v>
      </c>
      <c r="O3927" t="n">
        <v>28.96174863387978</v>
      </c>
    </row>
    <row r="3928" hidden="1">
      <c r="A3928" s="11" t="n">
        <v>46125</v>
      </c>
      <c r="B3928" t="inlineStr">
        <is>
          <t>Lucas Luiz Romero</t>
        </is>
      </c>
      <c r="C3928" t="inlineStr">
        <is>
          <t>Técnico III</t>
        </is>
      </c>
      <c r="D3928" t="n">
        <v>44</v>
      </c>
      <c r="E3928" t="n">
        <v>31</v>
      </c>
      <c r="F3928" t="n">
        <v>10.22</v>
      </c>
      <c r="G3928" t="n">
        <v>0</v>
      </c>
      <c r="H3928" t="n">
        <v>0</v>
      </c>
      <c r="I3928" s="3">
        <f>E3928+G3928+H3928</f>
        <v/>
      </c>
      <c r="J3928" s="3">
        <f>ROUND(MIN(IF(C3928="Técnico III",35,IF(C3928="Técnico II",28,IF(C3928="Técnico I",23,IF(C3928="JR",20,IF(C3928="Estágio",10,0))))),IF(C3928="Técnico III",SUMIFS($D:$D,$A:$A,$A3928,$B:$B,"&lt;&gt;Patrícia Karla de Sousa Araújo",$B:$B,"&lt;&gt;Lorena Dias de Araujo",$B:$B,"&lt;&gt;Lucas Luiz Romero")*(35/1083),IF(C3928="Técnico II",SUMIFS($D:$D,$A:$A,$A3928,$B:$B,"&lt;&gt;Patrícia Karla de Sousa Araújo",$B:$B,"&lt;&gt;Lorena Dias de Araujo",$B:$B,"&lt;&gt;Lucas Luiz Romero")*(28/1083),IF(C3928="Técnico I",SUMIFS($D:$D,$A:$A,$A3928,$B:$B,"&lt;&gt;Patrícia Karla de Sousa Araújo",$B:$B,"&lt;&gt;Lorena Dias de Araujo",$B:$B,"&lt;&gt;Lucas Luiz Romero")*(23/1083),IF(C3928="JR",SUMIFS($D:$D,$A:$A,$A3928,$B:$B,"&lt;&gt;Patrícia Karla de Sousa Araújo",$B:$B,"&lt;&gt;Lorena Dias de Araujo",$B:$B,"&lt;&gt;Lucas Luiz Romero")*(20/1083),IF(C3928="Estágio",SUMIFS($D:$D,$A:$A,$A3928,$B:$B,"&lt;&gt;Patrícia Karla de Sousa Araújo",$B:$B,"&lt;&gt;Lorena Dias de Araujo",$B:$B,"&lt;&gt;Lucas Luiz Romero")*(10/1083),0)))))),0)</f>
        <v/>
      </c>
      <c r="K3928" s="3">
        <f>I3928-J3928</f>
        <v/>
      </c>
      <c r="L3928" s="3">
        <f>IF(K3928&lt;-5,"CRÍTICO",IF(K3928&lt;0,"ATENÇÃO",IF(K3928&lt;=5,"OPORTUNO","MUITO BOM")))</f>
        <v/>
      </c>
      <c r="N3928" t="n">
        <v>88.68000000000001</v>
      </c>
      <c r="O3928" t="n">
        <v>22.03389830508474</v>
      </c>
    </row>
    <row r="3929" hidden="1">
      <c r="A3929" s="11" t="n">
        <v>46125</v>
      </c>
      <c r="B3929" t="inlineStr">
        <is>
          <t>Luiz Fernando de Carvalho Junior</t>
        </is>
      </c>
      <c r="C3929" t="inlineStr">
        <is>
          <t>Técnico I</t>
        </is>
      </c>
      <c r="D3929" t="n">
        <v>26</v>
      </c>
      <c r="E3929" t="n">
        <v>25</v>
      </c>
      <c r="F3929" t="n">
        <v>15.12</v>
      </c>
      <c r="G3929" t="n">
        <v>0</v>
      </c>
      <c r="H3929" t="n">
        <v>0</v>
      </c>
      <c r="I3929" s="3">
        <f>E3929+G3929+H3929</f>
        <v/>
      </c>
      <c r="J3929" s="3">
        <f>ROUND(MIN(IF(C3929="Técnico III",35,IF(C3929="Técnico II",28,IF(C3929="Técnico I",23,IF(C3929="JR",20,IF(C3929="Estágio",10,0))))),IF(C3929="Técnico III",SUMIFS($D:$D,$A:$A,$A3929,$B:$B,"&lt;&gt;Patrícia Karla de Sousa Araújo",$B:$B,"&lt;&gt;Lorena Dias de Araujo",$B:$B,"&lt;&gt;Lucas Luiz Romero")*(35/1083),IF(C3929="Técnico II",SUMIFS($D:$D,$A:$A,$A3929,$B:$B,"&lt;&gt;Patrícia Karla de Sousa Araújo",$B:$B,"&lt;&gt;Lorena Dias de Araujo",$B:$B,"&lt;&gt;Lucas Luiz Romero")*(28/1083),IF(C3929="Técnico I",SUMIFS($D:$D,$A:$A,$A3929,$B:$B,"&lt;&gt;Patrícia Karla de Sousa Araújo",$B:$B,"&lt;&gt;Lorena Dias de Araujo",$B:$B,"&lt;&gt;Lucas Luiz Romero")*(23/1083),IF(C3929="JR",SUMIFS($D:$D,$A:$A,$A3929,$B:$B,"&lt;&gt;Patrícia Karla de Sousa Araújo",$B:$B,"&lt;&gt;Lorena Dias de Araujo",$B:$B,"&lt;&gt;Lucas Luiz Romero")*(20/1083),IF(C3929="Estágio",SUMIFS($D:$D,$A:$A,$A3929,$B:$B,"&lt;&gt;Patrícia Karla de Sousa Araújo",$B:$B,"&lt;&gt;Lorena Dias de Araujo",$B:$B,"&lt;&gt;Lucas Luiz Romero")*(10/1083),0)))))),0)</f>
        <v/>
      </c>
      <c r="K3929" s="3">
        <f>I3929-J3929</f>
        <v/>
      </c>
      <c r="L3929" s="3">
        <f>IF(K3929&lt;-5,"CRÍTICO",IF(K3929&lt;0,"ATENÇÃO",IF(K3929&lt;=5,"OPORTUNO","MUITO BOM")))</f>
        <v/>
      </c>
      <c r="N3929" t="n">
        <v>97.37</v>
      </c>
      <c r="O3929" t="n">
        <v>25.76530612244898</v>
      </c>
    </row>
    <row r="3930" hidden="1">
      <c r="A3930" s="11" t="n">
        <v>46125</v>
      </c>
      <c r="B3930" t="inlineStr">
        <is>
          <t>Maria Eduarda Sousa Costa</t>
        </is>
      </c>
      <c r="C3930" t="inlineStr">
        <is>
          <t>Estágio</t>
        </is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s="3" t="n">
        <v>0</v>
      </c>
      <c r="J3930" s="3" t="n">
        <v>0</v>
      </c>
      <c r="K3930" s="3" t="n">
        <v>0</v>
      </c>
      <c r="L3930" s="3">
        <f>IF(K3930&lt;-5,"CRÍTICO",IF(K3930&lt;0,"ATENÇÃO",IF(K3930&lt;=5,"OPORTUNO","MUITO BOM")))</f>
        <v/>
      </c>
      <c r="N3930" t="n">
        <v>100</v>
      </c>
      <c r="O3930" t="n">
        <v>25</v>
      </c>
    </row>
    <row r="3931" hidden="1">
      <c r="A3931" s="11" t="n">
        <v>46125</v>
      </c>
      <c r="B3931" t="inlineStr">
        <is>
          <t>Matheus Farias De Souza</t>
        </is>
      </c>
      <c r="C3931" t="inlineStr">
        <is>
          <t>Técnico III</t>
        </is>
      </c>
      <c r="D3931" t="n">
        <v>23</v>
      </c>
      <c r="E3931" t="n">
        <v>21</v>
      </c>
      <c r="F3931" t="n">
        <v>18.44</v>
      </c>
      <c r="G3931" t="n">
        <v>0</v>
      </c>
      <c r="H3931" t="n">
        <v>0</v>
      </c>
      <c r="I3931" s="3">
        <f>E3931+G3931+H3931</f>
        <v/>
      </c>
      <c r="J3931" s="3">
        <f>ROUND(MIN(IF(C3931="Técnico III",35,IF(C3931="Técnico II",28,IF(C3931="Técnico I",23,IF(C3931="JR",20,IF(C3931="Estágio",10,0))))),IF(C3931="Técnico III",SUMIFS($D:$D,$A:$A,$A3931,$B:$B,"&lt;&gt;Patrícia Karla de Sousa Araújo",$B:$B,"&lt;&gt;Lorena Dias de Araujo",$B:$B,"&lt;&gt;Lucas Luiz Romero")*(35/1083),IF(C3931="Técnico II",SUMIFS($D:$D,$A:$A,$A3931,$B:$B,"&lt;&gt;Patrícia Karla de Sousa Araújo",$B:$B,"&lt;&gt;Lorena Dias de Araujo",$B:$B,"&lt;&gt;Lucas Luiz Romero")*(28/1083),IF(C3931="Técnico I",SUMIFS($D:$D,$A:$A,$A3931,$B:$B,"&lt;&gt;Patrícia Karla de Sousa Araújo",$B:$B,"&lt;&gt;Lorena Dias de Araujo",$B:$B,"&lt;&gt;Lucas Luiz Romero")*(23/1083),IF(C3931="JR",SUMIFS($D:$D,$A:$A,$A3931,$B:$B,"&lt;&gt;Patrícia Karla de Sousa Araújo",$B:$B,"&lt;&gt;Lorena Dias de Araujo",$B:$B,"&lt;&gt;Lucas Luiz Romero")*(20/1083),IF(C3931="Estágio",SUMIFS($D:$D,$A:$A,$A3931,$B:$B,"&lt;&gt;Patrícia Karla de Sousa Araújo",$B:$B,"&lt;&gt;Lorena Dias de Araujo",$B:$B,"&lt;&gt;Lucas Luiz Romero")*(10/1083),0)))))),0)</f>
        <v/>
      </c>
      <c r="K3931" s="3">
        <f>I3931-J3931</f>
        <v/>
      </c>
      <c r="L3931" s="3">
        <f>IF(K3931&lt;-5,"CRÍTICO",IF(K3931&lt;0,"ATENÇÃO",IF(K3931&lt;=5,"OPORTUNO","MUITO BOM")))</f>
        <v/>
      </c>
      <c r="N3931" t="n">
        <v>100</v>
      </c>
      <c r="O3931" t="n">
        <v>23.9870340356564</v>
      </c>
    </row>
    <row r="3932" hidden="1">
      <c r="A3932" s="11" t="n">
        <v>46125</v>
      </c>
      <c r="B3932" t="inlineStr">
        <is>
          <t>Maysa Victoria Dias Moura</t>
        </is>
      </c>
      <c r="C3932" t="inlineStr">
        <is>
          <t>Técnico III</t>
        </is>
      </c>
      <c r="D3932" t="n">
        <v>34</v>
      </c>
      <c r="E3932" t="n">
        <v>29</v>
      </c>
      <c r="F3932" t="n">
        <v>11.43</v>
      </c>
      <c r="G3932" t="n">
        <v>0</v>
      </c>
      <c r="H3932" t="n">
        <v>0</v>
      </c>
      <c r="I3932" s="3">
        <f>E3932+G3932+H3932</f>
        <v/>
      </c>
      <c r="J3932" s="3">
        <f>ROUND(MIN(IF(C3932="Técnico III",35,IF(C3932="Técnico II",28,IF(C3932="Técnico I",23,IF(C3932="JR",20,IF(C3932="Estágio",10,0))))),IF(C3932="Técnico III",SUMIFS($D:$D,$A:$A,$A3932,$B:$B,"&lt;&gt;Patrícia Karla de Sousa Araújo",$B:$B,"&lt;&gt;Lorena Dias de Araujo",$B:$B,"&lt;&gt;Lucas Luiz Romero")*(35/1083),IF(C3932="Técnico II",SUMIFS($D:$D,$A:$A,$A3932,$B:$B,"&lt;&gt;Patrícia Karla de Sousa Araújo",$B:$B,"&lt;&gt;Lorena Dias de Araujo",$B:$B,"&lt;&gt;Lucas Luiz Romero")*(28/1083),IF(C3932="Técnico I",SUMIFS($D:$D,$A:$A,$A3932,$B:$B,"&lt;&gt;Patrícia Karla de Sousa Araújo",$B:$B,"&lt;&gt;Lorena Dias de Araujo",$B:$B,"&lt;&gt;Lucas Luiz Romero")*(23/1083),IF(C3932="JR",SUMIFS($D:$D,$A:$A,$A3932,$B:$B,"&lt;&gt;Patrícia Karla de Sousa Araújo",$B:$B,"&lt;&gt;Lorena Dias de Araujo",$B:$B,"&lt;&gt;Lucas Luiz Romero")*(20/1083),IF(C3932="Estágio",SUMIFS($D:$D,$A:$A,$A3932,$B:$B,"&lt;&gt;Patrícia Karla de Sousa Araújo",$B:$B,"&lt;&gt;Lorena Dias de Araujo",$B:$B,"&lt;&gt;Lucas Luiz Romero")*(10/1083),0)))))),0)</f>
        <v/>
      </c>
      <c r="K3932" s="3">
        <f>I3932-J3932</f>
        <v/>
      </c>
      <c r="L3932" s="3">
        <f>IF(K3932&lt;-5,"CRÍTICO",IF(K3932&lt;0,"ATENÇÃO",IF(K3932&lt;=5,"OPORTUNO","MUITO BOM")))</f>
        <v/>
      </c>
      <c r="N3932" t="n">
        <v>95.48999999999999</v>
      </c>
      <c r="O3932" t="n">
        <v>28.16901408450704</v>
      </c>
    </row>
    <row r="3933" hidden="1">
      <c r="A3933" s="11" t="n">
        <v>46125</v>
      </c>
      <c r="B3933" t="inlineStr">
        <is>
          <t>Michelle G Santos</t>
        </is>
      </c>
      <c r="C3933" t="inlineStr">
        <is>
          <t>Estágio</t>
        </is>
      </c>
      <c r="D3933" t="n">
        <v>13</v>
      </c>
      <c r="E3933" t="n">
        <v>13</v>
      </c>
      <c r="F3933" t="n">
        <v>28.58</v>
      </c>
      <c r="G3933" t="n">
        <v>0</v>
      </c>
      <c r="H3933" t="n">
        <v>0</v>
      </c>
      <c r="I3933" s="3">
        <f>E3933+G3933+H3933</f>
        <v/>
      </c>
      <c r="J3933" s="3">
        <f>ROUND(MIN(IF(C3933="Técnico III",35,IF(C3933="Técnico II",28,IF(C3933="Técnico I",23,IF(C3933="JR",20,IF(C3933="Estágio",10,0))))),IF(C3933="Técnico III",SUMIFS($D:$D,$A:$A,$A3933,$B:$B,"&lt;&gt;Patrícia Karla de Sousa Araújo",$B:$B,"&lt;&gt;Lorena Dias de Araujo",$B:$B,"&lt;&gt;Lucas Luiz Romero")*(35/1083),IF(C3933="Técnico II",SUMIFS($D:$D,$A:$A,$A3933,$B:$B,"&lt;&gt;Patrícia Karla de Sousa Araújo",$B:$B,"&lt;&gt;Lorena Dias de Araujo",$B:$B,"&lt;&gt;Lucas Luiz Romero")*(28/1083),IF(C3933="Técnico I",SUMIFS($D:$D,$A:$A,$A3933,$B:$B,"&lt;&gt;Patrícia Karla de Sousa Araújo",$B:$B,"&lt;&gt;Lorena Dias de Araujo",$B:$B,"&lt;&gt;Lucas Luiz Romero")*(23/1083),IF(C3933="JR",SUMIFS($D:$D,$A:$A,$A3933,$B:$B,"&lt;&gt;Patrícia Karla de Sousa Araújo",$B:$B,"&lt;&gt;Lorena Dias de Araujo",$B:$B,"&lt;&gt;Lucas Luiz Romero")*(20/1083),IF(C3933="Estágio",SUMIFS($D:$D,$A:$A,$A3933,$B:$B,"&lt;&gt;Patrícia Karla de Sousa Araújo",$B:$B,"&lt;&gt;Lorena Dias de Araujo",$B:$B,"&lt;&gt;Lucas Luiz Romero")*(10/1083),0)))))),0)</f>
        <v/>
      </c>
      <c r="K3933" s="3">
        <f>I3933-J3933</f>
        <v/>
      </c>
      <c r="L3933" s="3">
        <f>IF(K3933&lt;-5,"CRÍTICO",IF(K3933&lt;0,"ATENÇÃO",IF(K3933&lt;=5,"OPORTUNO","MUITO BOM")))</f>
        <v/>
      </c>
      <c r="N3933" t="n">
        <v>100</v>
      </c>
      <c r="O3933" t="n">
        <v>23.77622377622378</v>
      </c>
    </row>
    <row r="3934" hidden="1">
      <c r="A3934" s="11" t="n">
        <v>46125</v>
      </c>
      <c r="B3934" t="inlineStr">
        <is>
          <t>Milena Sales</t>
        </is>
      </c>
      <c r="C3934" t="inlineStr">
        <is>
          <t>JR</t>
        </is>
      </c>
      <c r="D3934" t="n">
        <v>25</v>
      </c>
      <c r="E3934" t="n">
        <v>22</v>
      </c>
      <c r="F3934" t="n">
        <v>22.22</v>
      </c>
      <c r="G3934" t="n">
        <v>0</v>
      </c>
      <c r="H3934" t="n">
        <v>0</v>
      </c>
      <c r="I3934" s="3">
        <f>E3934+G3934+H3934</f>
        <v/>
      </c>
      <c r="J3934" s="3">
        <f>ROUND(MIN(IF(C3934="Técnico III",35,IF(C3934="Técnico II",28,IF(C3934="Técnico I",23,IF(C3934="JR",20,IF(C3934="Estágio",10,0))))),IF(C3934="Técnico III",SUMIFS($D:$D,$A:$A,$A3934,$B:$B,"&lt;&gt;Patrícia Karla de Sousa Araújo",$B:$B,"&lt;&gt;Lorena Dias de Araujo",$B:$B,"&lt;&gt;Lucas Luiz Romero")*(35/1083),IF(C3934="Técnico II",SUMIFS($D:$D,$A:$A,$A3934,$B:$B,"&lt;&gt;Patrícia Karla de Sousa Araújo",$B:$B,"&lt;&gt;Lorena Dias de Araujo",$B:$B,"&lt;&gt;Lucas Luiz Romero")*(28/1083),IF(C3934="Técnico I",SUMIFS($D:$D,$A:$A,$A3934,$B:$B,"&lt;&gt;Patrícia Karla de Sousa Araújo",$B:$B,"&lt;&gt;Lorena Dias de Araujo",$B:$B,"&lt;&gt;Lucas Luiz Romero")*(23/1083),IF(C3934="JR",SUMIFS($D:$D,$A:$A,$A3934,$B:$B,"&lt;&gt;Patrícia Karla de Sousa Araújo",$B:$B,"&lt;&gt;Lorena Dias de Araujo",$B:$B,"&lt;&gt;Lucas Luiz Romero")*(20/1083),IF(C3934="Estágio",SUMIFS($D:$D,$A:$A,$A3934,$B:$B,"&lt;&gt;Patrícia Karla de Sousa Araújo",$B:$B,"&lt;&gt;Lorena Dias de Araujo",$B:$B,"&lt;&gt;Lucas Luiz Romero")*(10/1083),0)))))),0)</f>
        <v/>
      </c>
      <c r="K3934" s="3">
        <f>I3934-J3934</f>
        <v/>
      </c>
      <c r="L3934" s="3">
        <f>IF(K3934&lt;-5,"CRÍTICO",IF(K3934&lt;0,"ATENÇÃO",IF(K3934&lt;=5,"OPORTUNO","MUITO BOM")))</f>
        <v/>
      </c>
      <c r="N3934" t="n">
        <v>96.15000000000001</v>
      </c>
      <c r="O3934" t="n">
        <v>24.04580152671756</v>
      </c>
    </row>
    <row r="3935" hidden="1">
      <c r="A3935" s="11" t="n">
        <v>46125</v>
      </c>
      <c r="B3935" t="inlineStr">
        <is>
          <t>Patrícia Karla de Sousa Araújo</t>
        </is>
      </c>
      <c r="C3935" t="inlineStr">
        <is>
          <t>Técnico II</t>
        </is>
      </c>
      <c r="D3935" t="n">
        <v>20</v>
      </c>
      <c r="E3935" t="n">
        <v>19</v>
      </c>
      <c r="F3935" t="n">
        <v>15.27</v>
      </c>
      <c r="G3935" t="n">
        <v>0</v>
      </c>
      <c r="H3935" t="n">
        <v>0</v>
      </c>
      <c r="I3935" s="3">
        <f>E3935+G3935+H3935</f>
        <v/>
      </c>
      <c r="J3935" s="3">
        <f>ROUND(MIN(IF(C3935="Técnico III",35,IF(C3935="Técnico II",28,IF(C3935="Técnico I",23,IF(C3935="JR",20,IF(C3935="Estágio",10,0))))),IF(C3935="Técnico III",SUMIFS($D:$D,$A:$A,$A3935,$B:$B,"&lt;&gt;Patrícia Karla de Sousa Araújo",$B:$B,"&lt;&gt;Lorena Dias de Araujo",$B:$B,"&lt;&gt;Lucas Luiz Romero")*(35/1083),IF(C3935="Técnico II",SUMIFS($D:$D,$A:$A,$A3935,$B:$B,"&lt;&gt;Patrícia Karla de Sousa Araújo",$B:$B,"&lt;&gt;Lorena Dias de Araujo",$B:$B,"&lt;&gt;Lucas Luiz Romero")*(28/1083),IF(C3935="Técnico I",SUMIFS($D:$D,$A:$A,$A3935,$B:$B,"&lt;&gt;Patrícia Karla de Sousa Araújo",$B:$B,"&lt;&gt;Lorena Dias de Araujo",$B:$B,"&lt;&gt;Lucas Luiz Romero")*(23/1083),IF(C3935="JR",SUMIFS($D:$D,$A:$A,$A3935,$B:$B,"&lt;&gt;Patrícia Karla de Sousa Araújo",$B:$B,"&lt;&gt;Lorena Dias de Araujo",$B:$B,"&lt;&gt;Lucas Luiz Romero")*(20/1083),IF(C3935="Estágio",SUMIFS($D:$D,$A:$A,$A3935,$B:$B,"&lt;&gt;Patrícia Karla de Sousa Araújo",$B:$B,"&lt;&gt;Lorena Dias de Araujo",$B:$B,"&lt;&gt;Lucas Luiz Romero")*(10/1083),0)))))),0)</f>
        <v/>
      </c>
      <c r="K3935" s="3">
        <f>I3935-J3935</f>
        <v/>
      </c>
      <c r="L3935" s="3">
        <f>IF(K3935&lt;-5,"CRÍTICO",IF(K3935&lt;0,"ATENÇÃO",IF(K3935&lt;=5,"OPORTUNO","MUITO BOM")))</f>
        <v/>
      </c>
      <c r="N3935" t="n">
        <v>99.02</v>
      </c>
      <c r="O3935" t="n">
        <v>34.7972972972973</v>
      </c>
    </row>
    <row r="3936" hidden="1">
      <c r="A3936" s="11" t="n">
        <v>46125</v>
      </c>
      <c r="B3936" t="inlineStr">
        <is>
          <t>Paulo Ricardo Santos</t>
        </is>
      </c>
      <c r="C3936" t="inlineStr">
        <is>
          <t>JR</t>
        </is>
      </c>
      <c r="D3936" t="n">
        <v>18</v>
      </c>
      <c r="E3936" t="n">
        <v>17</v>
      </c>
      <c r="F3936" t="n">
        <v>17.03</v>
      </c>
      <c r="G3936" t="n">
        <v>0</v>
      </c>
      <c r="H3936" t="n">
        <v>0</v>
      </c>
      <c r="I3936" s="3">
        <f>E3936+G3936+H3936</f>
        <v/>
      </c>
      <c r="J3936" s="3">
        <f>ROUND(MIN(IF(C3936="Técnico III",35,IF(C3936="Técnico II",28,IF(C3936="Técnico I",23,IF(C3936="JR",20,IF(C3936="Estágio",10,0))))),IF(C3936="Técnico III",SUMIFS($D:$D,$A:$A,$A3936,$B:$B,"&lt;&gt;Patrícia Karla de Sousa Araújo",$B:$B,"&lt;&gt;Lorena Dias de Araujo",$B:$B,"&lt;&gt;Lucas Luiz Romero")*(35/1083),IF(C3936="Técnico II",SUMIFS($D:$D,$A:$A,$A3936,$B:$B,"&lt;&gt;Patrícia Karla de Sousa Araújo",$B:$B,"&lt;&gt;Lorena Dias de Araujo",$B:$B,"&lt;&gt;Lucas Luiz Romero")*(28/1083),IF(C3936="Técnico I",SUMIFS($D:$D,$A:$A,$A3936,$B:$B,"&lt;&gt;Patrícia Karla de Sousa Araújo",$B:$B,"&lt;&gt;Lorena Dias de Araujo",$B:$B,"&lt;&gt;Lucas Luiz Romero")*(23/1083),IF(C3936="JR",SUMIFS($D:$D,$A:$A,$A3936,$B:$B,"&lt;&gt;Patrícia Karla de Sousa Araújo",$B:$B,"&lt;&gt;Lorena Dias de Araujo",$B:$B,"&lt;&gt;Lucas Luiz Romero")*(20/1083),IF(C3936="Estágio",SUMIFS($D:$D,$A:$A,$A3936,$B:$B,"&lt;&gt;Patrícia Karla de Sousa Araújo",$B:$B,"&lt;&gt;Lorena Dias de Araujo",$B:$B,"&lt;&gt;Lucas Luiz Romero")*(10/1083),0)))))),0)</f>
        <v/>
      </c>
      <c r="K3936" s="3">
        <f>I3936-J3936</f>
        <v/>
      </c>
      <c r="L3936" s="3">
        <f>IF(K3936&lt;-5,"CRÍTICO",IF(K3936&lt;0,"ATENÇÃO",IF(K3936&lt;=5,"OPORTUNO","MUITO BOM")))</f>
        <v/>
      </c>
      <c r="N3936" t="n">
        <v>98.84</v>
      </c>
      <c r="O3936" t="n">
        <v>31.5018315018315</v>
      </c>
    </row>
    <row r="3937" hidden="1">
      <c r="A3937" s="11" t="n">
        <v>46125</v>
      </c>
      <c r="B3937" t="inlineStr">
        <is>
          <t>Pedro Luiz Mota Sousa</t>
        </is>
      </c>
      <c r="C3937" t="inlineStr">
        <is>
          <t>JR</t>
        </is>
      </c>
      <c r="D3937" t="n">
        <v>23</v>
      </c>
      <c r="E3937" t="n">
        <v>22</v>
      </c>
      <c r="F3937" t="n">
        <v>15.45</v>
      </c>
      <c r="G3937" t="n">
        <v>0</v>
      </c>
      <c r="H3937" t="n">
        <v>0</v>
      </c>
      <c r="I3937" s="3">
        <f>E3937+G3937+H3937</f>
        <v/>
      </c>
      <c r="J3937" s="3">
        <f>ROUND(MIN(IF(C3937="Técnico III",35,IF(C3937="Técnico II",28,IF(C3937="Técnico I",23,IF(C3937="JR",20,IF(C3937="Estágio",10,0))))),IF(C3937="Técnico III",SUMIFS($D:$D,$A:$A,$A3937,$B:$B,"&lt;&gt;Patrícia Karla de Sousa Araújo",$B:$B,"&lt;&gt;Lorena Dias de Araujo",$B:$B,"&lt;&gt;Lucas Luiz Romero")*(35/1083),IF(C3937="Técnico II",SUMIFS($D:$D,$A:$A,$A3937,$B:$B,"&lt;&gt;Patrícia Karla de Sousa Araújo",$B:$B,"&lt;&gt;Lorena Dias de Araujo",$B:$B,"&lt;&gt;Lucas Luiz Romero")*(28/1083),IF(C3937="Técnico I",SUMIFS($D:$D,$A:$A,$A3937,$B:$B,"&lt;&gt;Patrícia Karla de Sousa Araújo",$B:$B,"&lt;&gt;Lorena Dias de Araujo",$B:$B,"&lt;&gt;Lucas Luiz Romero")*(23/1083),IF(C3937="JR",SUMIFS($D:$D,$A:$A,$A3937,$B:$B,"&lt;&gt;Patrícia Karla de Sousa Araújo",$B:$B,"&lt;&gt;Lorena Dias de Araujo",$B:$B,"&lt;&gt;Lucas Luiz Romero")*(20/1083),IF(C3937="Estágio",SUMIFS($D:$D,$A:$A,$A3937,$B:$B,"&lt;&gt;Patrícia Karla de Sousa Araújo",$B:$B,"&lt;&gt;Lorena Dias de Araujo",$B:$B,"&lt;&gt;Lucas Luiz Romero")*(10/1083),0)))))),0)</f>
        <v/>
      </c>
      <c r="K3937" s="3">
        <f>I3937-J3937</f>
        <v/>
      </c>
      <c r="L3937" s="3">
        <f>IF(K3937&lt;-5,"CRÍTICO",IF(K3937&lt;0,"ATENÇÃO",IF(K3937&lt;=5,"OPORTUNO","MUITO BOM")))</f>
        <v/>
      </c>
      <c r="N3937" t="n">
        <v>100</v>
      </c>
      <c r="O3937" t="n">
        <v>34.66666666666667</v>
      </c>
    </row>
    <row r="3938" hidden="1">
      <c r="A3938" s="11" t="n">
        <v>46125</v>
      </c>
      <c r="B3938" t="inlineStr">
        <is>
          <t>Quirino Diogo Leite Torres</t>
        </is>
      </c>
      <c r="C3938" t="inlineStr">
        <is>
          <t>Estágio</t>
        </is>
      </c>
      <c r="D3938" t="n">
        <v>3</v>
      </c>
      <c r="E3938" t="n">
        <v>3</v>
      </c>
      <c r="F3938" t="n">
        <v>50.24</v>
      </c>
      <c r="G3938" t="n">
        <v>0</v>
      </c>
      <c r="H3938" t="n">
        <v>0</v>
      </c>
      <c r="I3938" s="3">
        <f>E3938+G3938+H3938</f>
        <v/>
      </c>
      <c r="J3938" s="3">
        <f>ROUND(MIN(IF(C3938="Técnico III",35,IF(C3938="Técnico II",28,IF(C3938="Técnico I",23,IF(C3938="JR",20,IF(C3938="Estágio",10,0))))),IF(C3938="Técnico III",SUMIFS($D:$D,$A:$A,$A3938,$B:$B,"&lt;&gt;Patrícia Karla de Sousa Araújo",$B:$B,"&lt;&gt;Lorena Dias de Araujo",$B:$B,"&lt;&gt;Lucas Luiz Romero")*(35/1083),IF(C3938="Técnico II",SUMIFS($D:$D,$A:$A,$A3938,$B:$B,"&lt;&gt;Patrícia Karla de Sousa Araújo",$B:$B,"&lt;&gt;Lorena Dias de Araujo",$B:$B,"&lt;&gt;Lucas Luiz Romero")*(28/1083),IF(C3938="Técnico I",SUMIFS($D:$D,$A:$A,$A3938,$B:$B,"&lt;&gt;Patrícia Karla de Sousa Araújo",$B:$B,"&lt;&gt;Lorena Dias de Araujo",$B:$B,"&lt;&gt;Lucas Luiz Romero")*(23/1083),IF(C3938="JR",SUMIFS($D:$D,$A:$A,$A3938,$B:$B,"&lt;&gt;Patrícia Karla de Sousa Araújo",$B:$B,"&lt;&gt;Lorena Dias de Araujo",$B:$B,"&lt;&gt;Lucas Luiz Romero")*(20/1083),IF(C3938="Estágio",SUMIFS($D:$D,$A:$A,$A3938,$B:$B,"&lt;&gt;Patrícia Karla de Sousa Araújo",$B:$B,"&lt;&gt;Lorena Dias de Araujo",$B:$B,"&lt;&gt;Lucas Luiz Romero")*(10/1083),0)))))),0)</f>
        <v/>
      </c>
      <c r="K3938" s="3">
        <f>I3938-J3938</f>
        <v/>
      </c>
      <c r="L3938" s="3">
        <f>IF(K3938&lt;-5,"CRÍTICO",IF(K3938&lt;0,"ATENÇÃO",IF(K3938&lt;=5,"OPORTUNO","MUITO BOM")))</f>
        <v/>
      </c>
      <c r="N3938" t="n">
        <v>94.12</v>
      </c>
      <c r="O3938" t="n">
        <v>32.8</v>
      </c>
    </row>
    <row r="3939" hidden="1">
      <c r="A3939" s="11" t="n">
        <v>46125</v>
      </c>
      <c r="B3939" t="inlineStr">
        <is>
          <t>Raane Batista Matos</t>
        </is>
      </c>
      <c r="C3939" t="inlineStr">
        <is>
          <t>Técnico I</t>
        </is>
      </c>
      <c r="D3939" t="n">
        <v>22</v>
      </c>
      <c r="E3939" t="n">
        <v>20</v>
      </c>
      <c r="F3939" t="n">
        <v>12.14</v>
      </c>
      <c r="G3939" t="n">
        <v>0</v>
      </c>
      <c r="H3939" t="n">
        <v>0</v>
      </c>
      <c r="I3939" s="3">
        <f>E3939+G3939+H3939</f>
        <v/>
      </c>
      <c r="J3939" s="3">
        <f>ROUND(MIN(IF(C3939="Técnico III",35,IF(C3939="Técnico II",28,IF(C3939="Técnico I",23,IF(C3939="JR",20,IF(C3939="Estágio",10,0))))),IF(C3939="Técnico III",SUMIFS($D:$D,$A:$A,$A3939,$B:$B,"&lt;&gt;Patrícia Karla de Sousa Araújo",$B:$B,"&lt;&gt;Lorena Dias de Araujo",$B:$B,"&lt;&gt;Lucas Luiz Romero")*(35/1083),IF(C3939="Técnico II",SUMIFS($D:$D,$A:$A,$A3939,$B:$B,"&lt;&gt;Patrícia Karla de Sousa Araújo",$B:$B,"&lt;&gt;Lorena Dias de Araujo",$B:$B,"&lt;&gt;Lucas Luiz Romero")*(28/1083),IF(C3939="Técnico I",SUMIFS($D:$D,$A:$A,$A3939,$B:$B,"&lt;&gt;Patrícia Karla de Sousa Araújo",$B:$B,"&lt;&gt;Lorena Dias de Araujo",$B:$B,"&lt;&gt;Lucas Luiz Romero")*(23/1083),IF(C3939="JR",SUMIFS($D:$D,$A:$A,$A3939,$B:$B,"&lt;&gt;Patrícia Karla de Sousa Araújo",$B:$B,"&lt;&gt;Lorena Dias de Araujo",$B:$B,"&lt;&gt;Lucas Luiz Romero")*(20/1083),IF(C3939="Estágio",SUMIFS($D:$D,$A:$A,$A3939,$B:$B,"&lt;&gt;Patrícia Karla de Sousa Araújo",$B:$B,"&lt;&gt;Lorena Dias de Araujo",$B:$B,"&lt;&gt;Lucas Luiz Romero")*(10/1083),0)))))),0)</f>
        <v/>
      </c>
      <c r="K3939" s="3">
        <f>I3939-J3939</f>
        <v/>
      </c>
      <c r="L3939" s="3">
        <f>IF(K3939&lt;-5,"CRÍTICO",IF(K3939&lt;0,"ATENÇÃO",IF(K3939&lt;=5,"OPORTUNO","MUITO BOM")))</f>
        <v/>
      </c>
      <c r="N3939" t="n">
        <v>98.31999999999999</v>
      </c>
      <c r="O3939" t="n">
        <v>26.61870503597122</v>
      </c>
    </row>
    <row r="3940" hidden="1">
      <c r="A3940" s="11" t="n">
        <v>46125</v>
      </c>
      <c r="B3940" t="inlineStr">
        <is>
          <t>Rafael Gomes de Morais</t>
        </is>
      </c>
      <c r="C3940" t="inlineStr">
        <is>
          <t>Técnico III</t>
        </is>
      </c>
      <c r="D3940" t="n">
        <v>28</v>
      </c>
      <c r="E3940" t="n">
        <v>25</v>
      </c>
      <c r="F3940" t="n">
        <v>17.16</v>
      </c>
      <c r="G3940" t="n">
        <v>0</v>
      </c>
      <c r="H3940" t="n">
        <v>0</v>
      </c>
      <c r="I3940" s="3">
        <f>E3940+G3940+H3940</f>
        <v/>
      </c>
      <c r="J3940" s="3">
        <f>ROUND(MIN(IF(C3940="Técnico III",35,IF(C3940="Técnico II",28,IF(C3940="Técnico I",23,IF(C3940="JR",20,IF(C3940="Estágio",10,0))))),IF(C3940="Técnico III",SUMIFS($D:$D,$A:$A,$A3940,$B:$B,"&lt;&gt;Patrícia Karla de Sousa Araújo",$B:$B,"&lt;&gt;Lorena Dias de Araujo",$B:$B,"&lt;&gt;Lucas Luiz Romero")*(35/1083),IF(C3940="Técnico II",SUMIFS($D:$D,$A:$A,$A3940,$B:$B,"&lt;&gt;Patrícia Karla de Sousa Araújo",$B:$B,"&lt;&gt;Lorena Dias de Araujo",$B:$B,"&lt;&gt;Lucas Luiz Romero")*(28/1083),IF(C3940="Técnico I",SUMIFS($D:$D,$A:$A,$A3940,$B:$B,"&lt;&gt;Patrícia Karla de Sousa Araújo",$B:$B,"&lt;&gt;Lorena Dias de Araujo",$B:$B,"&lt;&gt;Lucas Luiz Romero")*(23/1083),IF(C3940="JR",SUMIFS($D:$D,$A:$A,$A3940,$B:$B,"&lt;&gt;Patrícia Karla de Sousa Araújo",$B:$B,"&lt;&gt;Lorena Dias de Araujo",$B:$B,"&lt;&gt;Lucas Luiz Romero")*(20/1083),IF(C3940="Estágio",SUMIFS($D:$D,$A:$A,$A3940,$B:$B,"&lt;&gt;Patrícia Karla de Sousa Araújo",$B:$B,"&lt;&gt;Lorena Dias de Araujo",$B:$B,"&lt;&gt;Lucas Luiz Romero")*(10/1083),0)))))),0)</f>
        <v/>
      </c>
      <c r="K3940" s="3">
        <f>I3940-J3940</f>
        <v/>
      </c>
      <c r="L3940" s="3">
        <f>IF(K3940&lt;-5,"CRÍTICO",IF(K3940&lt;0,"ATENÇÃO",IF(K3940&lt;=5,"OPORTUNO","MUITO BOM")))</f>
        <v/>
      </c>
      <c r="N3940" t="n">
        <v>100</v>
      </c>
      <c r="O3940" t="n">
        <v>31.13553113553114</v>
      </c>
    </row>
    <row r="3941" hidden="1">
      <c r="A3941" s="11" t="n">
        <v>46125</v>
      </c>
      <c r="B3941" t="inlineStr">
        <is>
          <t>Sara Maria Monteiro Lopes</t>
        </is>
      </c>
      <c r="C3941" t="inlineStr">
        <is>
          <t>Técnico I</t>
        </is>
      </c>
      <c r="D3941" t="n">
        <v>13</v>
      </c>
      <c r="E3941" t="n">
        <v>13</v>
      </c>
      <c r="F3941" t="n">
        <v>38.44</v>
      </c>
      <c r="G3941" t="n">
        <v>0</v>
      </c>
      <c r="H3941" t="n">
        <v>0</v>
      </c>
      <c r="I3941" s="3">
        <f>E3941+G3941+H3941</f>
        <v/>
      </c>
      <c r="J3941" s="3">
        <f>ROUND(MIN(IF(C3941="Técnico III",35,IF(C3941="Técnico II",28,IF(C3941="Técnico I",23,IF(C3941="JR",20,IF(C3941="Estágio",10,0))))),IF(C3941="Técnico III",SUMIFS($D:$D,$A:$A,$A3941,$B:$B,"&lt;&gt;Patrícia Karla de Sousa Araújo",$B:$B,"&lt;&gt;Lorena Dias de Araujo",$B:$B,"&lt;&gt;Lucas Luiz Romero")*(35/1083),IF(C3941="Técnico II",SUMIFS($D:$D,$A:$A,$A3941,$B:$B,"&lt;&gt;Patrícia Karla de Sousa Araújo",$B:$B,"&lt;&gt;Lorena Dias de Araujo",$B:$B,"&lt;&gt;Lucas Luiz Romero")*(28/1083),IF(C3941="Técnico I",SUMIFS($D:$D,$A:$A,$A3941,$B:$B,"&lt;&gt;Patrícia Karla de Sousa Araújo",$B:$B,"&lt;&gt;Lorena Dias de Araujo",$B:$B,"&lt;&gt;Lucas Luiz Romero")*(23/1083),IF(C3941="JR",SUMIFS($D:$D,$A:$A,$A3941,$B:$B,"&lt;&gt;Patrícia Karla de Sousa Araújo",$B:$B,"&lt;&gt;Lorena Dias de Araujo",$B:$B,"&lt;&gt;Lucas Luiz Romero")*(20/1083),IF(C3941="Estágio",SUMIFS($D:$D,$A:$A,$A3941,$B:$B,"&lt;&gt;Patrícia Karla de Sousa Araújo",$B:$B,"&lt;&gt;Lorena Dias de Araujo",$B:$B,"&lt;&gt;Lucas Luiz Romero")*(10/1083),0)))))),0)</f>
        <v/>
      </c>
      <c r="K3941" s="3">
        <f>I3941-J3941</f>
        <v/>
      </c>
      <c r="L3941" s="3">
        <f>IF(K3941&lt;-5,"CRÍTICO",IF(K3941&lt;0,"ATENÇÃO",IF(K3941&lt;=5,"OPORTUNO","MUITO BOM")))</f>
        <v/>
      </c>
      <c r="N3941" t="n">
        <v>100</v>
      </c>
      <c r="O3941" t="n">
        <v>26.02739726027397</v>
      </c>
    </row>
    <row r="3942" hidden="1">
      <c r="A3942" s="11" t="n">
        <v>46125</v>
      </c>
      <c r="B3942" t="inlineStr">
        <is>
          <t>Sarah Steffanie de Lima Borges</t>
        </is>
      </c>
      <c r="C3942" t="inlineStr">
        <is>
          <t>Técnico III</t>
        </is>
      </c>
      <c r="D3942" t="n">
        <v>20</v>
      </c>
      <c r="E3942" t="n">
        <v>20</v>
      </c>
      <c r="F3942" t="n">
        <v>23.5</v>
      </c>
      <c r="G3942" t="n">
        <v>0</v>
      </c>
      <c r="H3942" t="n">
        <v>0</v>
      </c>
      <c r="I3942" s="3">
        <f>E3942+G3942+H3942</f>
        <v/>
      </c>
      <c r="J3942" s="3">
        <f>ROUND(MIN(IF(C3942="Técnico III",35,IF(C3942="Técnico II",28,IF(C3942="Técnico I",23,IF(C3942="JR",20,IF(C3942="Estágio",10,0))))),IF(C3942="Técnico III",SUMIFS($D:$D,$A:$A,$A3942,$B:$B,"&lt;&gt;Patrícia Karla de Sousa Araújo",$B:$B,"&lt;&gt;Lorena Dias de Araujo",$B:$B,"&lt;&gt;Lucas Luiz Romero")*(35/1083),IF(C3942="Técnico II",SUMIFS($D:$D,$A:$A,$A3942,$B:$B,"&lt;&gt;Patrícia Karla de Sousa Araújo",$B:$B,"&lt;&gt;Lorena Dias de Araujo",$B:$B,"&lt;&gt;Lucas Luiz Romero")*(28/1083),IF(C3942="Técnico I",SUMIFS($D:$D,$A:$A,$A3942,$B:$B,"&lt;&gt;Patrícia Karla de Sousa Araújo",$B:$B,"&lt;&gt;Lorena Dias de Araujo",$B:$B,"&lt;&gt;Lucas Luiz Romero")*(23/1083),IF(C3942="JR",SUMIFS($D:$D,$A:$A,$A3942,$B:$B,"&lt;&gt;Patrícia Karla de Sousa Araújo",$B:$B,"&lt;&gt;Lorena Dias de Araujo",$B:$B,"&lt;&gt;Lucas Luiz Romero")*(20/1083),IF(C3942="Estágio",SUMIFS($D:$D,$A:$A,$A3942,$B:$B,"&lt;&gt;Patrícia Karla de Sousa Araújo",$B:$B,"&lt;&gt;Lorena Dias de Araujo",$B:$B,"&lt;&gt;Lucas Luiz Romero")*(10/1083),0)))))),0)</f>
        <v/>
      </c>
      <c r="K3942" s="3">
        <f>I3942-J3942</f>
        <v/>
      </c>
      <c r="L3942" s="3">
        <f>IF(K3942&lt;-5,"CRÍTICO",IF(K3942&lt;0,"ATENÇÃO",IF(K3942&lt;=5,"OPORTUNO","MUITO BOM")))</f>
        <v/>
      </c>
      <c r="N3942" t="n">
        <v>99.20999999999999</v>
      </c>
      <c r="O3942" t="n">
        <v>24.93702770780856</v>
      </c>
    </row>
    <row r="3943" hidden="1">
      <c r="A3943" s="11" t="n">
        <v>46126</v>
      </c>
      <c r="B3943" t="inlineStr">
        <is>
          <t>Alisson de Freitas Silva</t>
        </is>
      </c>
      <c r="C3943" t="inlineStr">
        <is>
          <t>Técnico II</t>
        </is>
      </c>
      <c r="D3943" t="n">
        <v>17</v>
      </c>
      <c r="E3943" t="n">
        <v>12</v>
      </c>
      <c r="F3943" t="n">
        <v>14.1</v>
      </c>
      <c r="G3943" t="n">
        <v>0</v>
      </c>
      <c r="H3943" t="n">
        <v>0</v>
      </c>
      <c r="I3943" s="3">
        <f>E3943+G3943+H3943</f>
        <v/>
      </c>
      <c r="J3943" s="3">
        <f>ROUND(MIN(IF(C3943="Técnico III",35,IF(C3943="Técnico II",28,IF(C3943="Técnico I",23,IF(C3943="JR",20,IF(C3943="Estágio",10,0))))),IF(C3943="Técnico III",SUMIFS($D:$D,$A:$A,$A3943,$B:$B,"&lt;&gt;Patrícia Karla de Sousa Araújo",$B:$B,"&lt;&gt;Lorena Dias de Araujo",$B:$B,"&lt;&gt;Lucas Luiz Romero")*(35/1083),IF(C3943="Técnico II",SUMIFS($D:$D,$A:$A,$A3943,$B:$B,"&lt;&gt;Patrícia Karla de Sousa Araújo",$B:$B,"&lt;&gt;Lorena Dias de Araujo",$B:$B,"&lt;&gt;Lucas Luiz Romero")*(28/1083),IF(C3943="Técnico I",SUMIFS($D:$D,$A:$A,$A3943,$B:$B,"&lt;&gt;Patrícia Karla de Sousa Araújo",$B:$B,"&lt;&gt;Lorena Dias de Araujo",$B:$B,"&lt;&gt;Lucas Luiz Romero")*(23/1083),IF(C3943="JR",SUMIFS($D:$D,$A:$A,$A3943,$B:$B,"&lt;&gt;Patrícia Karla de Sousa Araújo",$B:$B,"&lt;&gt;Lorena Dias de Araujo",$B:$B,"&lt;&gt;Lucas Luiz Romero")*(20/1083),IF(C3943="Estágio",SUMIFS($D:$D,$A:$A,$A3943,$B:$B,"&lt;&gt;Patrícia Karla de Sousa Araújo",$B:$B,"&lt;&gt;Lorena Dias de Araujo",$B:$B,"&lt;&gt;Lucas Luiz Romero")*(10/1083),0)))))),0)</f>
        <v/>
      </c>
      <c r="K3943" s="3">
        <f>I3943-J3943</f>
        <v/>
      </c>
      <c r="L3943" s="3">
        <f>IF(K3943&lt;-5,"CRÍTICO",IF(K3943&lt;0,"ATENÇÃO",IF(K3943&lt;=5,"OPORTUNO","MUITO BOM")))</f>
        <v/>
      </c>
      <c r="N3943" t="n">
        <v>100</v>
      </c>
      <c r="O3943" t="n">
        <v>32.76450511945392</v>
      </c>
    </row>
    <row r="3944" hidden="1">
      <c r="A3944" s="11" t="n">
        <v>46126</v>
      </c>
      <c r="B3944" t="inlineStr">
        <is>
          <t>Amanda Moura Ferreira</t>
        </is>
      </c>
      <c r="C3944" t="inlineStr">
        <is>
          <t>Técnico III</t>
        </is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s="3" t="n">
        <v>0</v>
      </c>
      <c r="J3944" s="3" t="n">
        <v>0</v>
      </c>
      <c r="K3944" s="3" t="n">
        <v>0</v>
      </c>
      <c r="L3944" s="3">
        <f>IF(K3944&lt;-5,"CRÍTICO",IF(K3944&lt;0,"ATENÇÃO",IF(K3944&lt;=5,"OPORTUNO","MUITO BOM")))</f>
        <v/>
      </c>
      <c r="N3944" t="n">
        <v>98.66</v>
      </c>
      <c r="O3944" t="n">
        <v>35.15625</v>
      </c>
    </row>
    <row r="3945" hidden="1">
      <c r="A3945" s="11" t="n">
        <v>46126</v>
      </c>
      <c r="B3945" t="inlineStr">
        <is>
          <t>Ana Karollyne Souza Faria</t>
        </is>
      </c>
      <c r="C3945" t="inlineStr">
        <is>
          <t>Técnico I</t>
        </is>
      </c>
      <c r="D3945" t="n">
        <v>18</v>
      </c>
      <c r="E3945" t="n">
        <v>15</v>
      </c>
      <c r="F3945" t="n">
        <v>20.59</v>
      </c>
      <c r="G3945" t="n">
        <v>0</v>
      </c>
      <c r="H3945" t="n">
        <v>0</v>
      </c>
      <c r="I3945" s="3">
        <f>E3945+G3945+H3945</f>
        <v/>
      </c>
      <c r="J3945" s="3">
        <f>ROUND(MIN(IF(C3945="Técnico III",35,IF(C3945="Técnico II",28,IF(C3945="Técnico I",23,IF(C3945="JR",20,IF(C3945="Estágio",10,0))))),IF(C3945="Técnico III",SUMIFS($D:$D,$A:$A,$A3945,$B:$B,"&lt;&gt;Patrícia Karla de Sousa Araújo",$B:$B,"&lt;&gt;Lorena Dias de Araujo",$B:$B,"&lt;&gt;Lucas Luiz Romero")*(35/1083),IF(C3945="Técnico II",SUMIFS($D:$D,$A:$A,$A3945,$B:$B,"&lt;&gt;Patrícia Karla de Sousa Araújo",$B:$B,"&lt;&gt;Lorena Dias de Araujo",$B:$B,"&lt;&gt;Lucas Luiz Romero")*(28/1083),IF(C3945="Técnico I",SUMIFS($D:$D,$A:$A,$A3945,$B:$B,"&lt;&gt;Patrícia Karla de Sousa Araújo",$B:$B,"&lt;&gt;Lorena Dias de Araujo",$B:$B,"&lt;&gt;Lucas Luiz Romero")*(23/1083),IF(C3945="JR",SUMIFS($D:$D,$A:$A,$A3945,$B:$B,"&lt;&gt;Patrícia Karla de Sousa Araújo",$B:$B,"&lt;&gt;Lorena Dias de Araujo",$B:$B,"&lt;&gt;Lucas Luiz Romero")*(20/1083),IF(C3945="Estágio",SUMIFS($D:$D,$A:$A,$A3945,$B:$B,"&lt;&gt;Patrícia Karla de Sousa Araújo",$B:$B,"&lt;&gt;Lorena Dias de Araujo",$B:$B,"&lt;&gt;Lucas Luiz Romero")*(10/1083),0)))))),0)</f>
        <v/>
      </c>
      <c r="K3945" s="3">
        <f>I3945-J3945</f>
        <v/>
      </c>
      <c r="L3945" s="3">
        <f>IF(K3945&lt;-5,"CRÍTICO",IF(K3945&lt;0,"ATENÇÃO",IF(K3945&lt;=5,"OPORTUNO","MUITO BOM")))</f>
        <v/>
      </c>
      <c r="N3945" t="n">
        <v>99.31999999999999</v>
      </c>
      <c r="O3945" t="n">
        <v>30.45186640471513</v>
      </c>
    </row>
    <row r="3946" hidden="1">
      <c r="A3946" s="11" t="n">
        <v>46126</v>
      </c>
      <c r="B3946" t="inlineStr">
        <is>
          <t>Ana Paula Da Luz Silva Aleixo</t>
        </is>
      </c>
      <c r="C3946" t="inlineStr">
        <is>
          <t>Técnico III</t>
        </is>
      </c>
      <c r="D3946" t="n">
        <v>36</v>
      </c>
      <c r="E3946" t="n">
        <v>34</v>
      </c>
      <c r="F3946" t="n">
        <v>17.19</v>
      </c>
      <c r="G3946" t="n">
        <v>0</v>
      </c>
      <c r="H3946" t="n">
        <v>0</v>
      </c>
      <c r="I3946" s="3">
        <f>E3946+G3946+H3946</f>
        <v/>
      </c>
      <c r="J3946" s="3">
        <f>ROUND(MIN(IF(C3946="Técnico III",35,IF(C3946="Técnico II",28,IF(C3946="Técnico I",23,IF(C3946="JR",20,IF(C3946="Estágio",10,0))))),IF(C3946="Técnico III",SUMIFS($D:$D,$A:$A,$A3946,$B:$B,"&lt;&gt;Patrícia Karla de Sousa Araújo",$B:$B,"&lt;&gt;Lorena Dias de Araujo",$B:$B,"&lt;&gt;Lucas Luiz Romero")*(35/1083),IF(C3946="Técnico II",SUMIFS($D:$D,$A:$A,$A3946,$B:$B,"&lt;&gt;Patrícia Karla de Sousa Araújo",$B:$B,"&lt;&gt;Lorena Dias de Araujo",$B:$B,"&lt;&gt;Lucas Luiz Romero")*(28/1083),IF(C3946="Técnico I",SUMIFS($D:$D,$A:$A,$A3946,$B:$B,"&lt;&gt;Patrícia Karla de Sousa Araújo",$B:$B,"&lt;&gt;Lorena Dias de Araujo",$B:$B,"&lt;&gt;Lucas Luiz Romero")*(23/1083),IF(C3946="JR",SUMIFS($D:$D,$A:$A,$A3946,$B:$B,"&lt;&gt;Patrícia Karla de Sousa Araújo",$B:$B,"&lt;&gt;Lorena Dias de Araujo",$B:$B,"&lt;&gt;Lucas Luiz Romero")*(20/1083),IF(C3946="Estágio",SUMIFS($D:$D,$A:$A,$A3946,$B:$B,"&lt;&gt;Patrícia Karla de Sousa Araújo",$B:$B,"&lt;&gt;Lorena Dias de Araujo",$B:$B,"&lt;&gt;Lucas Luiz Romero")*(10/1083),0)))))),0)</f>
        <v/>
      </c>
      <c r="K3946" s="3">
        <f>I3946-J3946</f>
        <v/>
      </c>
      <c r="L3946" s="3">
        <f>IF(K3946&lt;-5,"CRÍTICO",IF(K3946&lt;0,"ATENÇÃO",IF(K3946&lt;=5,"OPORTUNO","MUITO BOM")))</f>
        <v/>
      </c>
      <c r="N3946" t="n">
        <v>100</v>
      </c>
      <c r="O3946" t="n">
        <v>27.80373831775701</v>
      </c>
    </row>
    <row r="3947" hidden="1">
      <c r="A3947" s="11" t="n">
        <v>46126</v>
      </c>
      <c r="B3947" t="inlineStr">
        <is>
          <t>Anna Luiza Rezende Tavares</t>
        </is>
      </c>
      <c r="C3947" t="inlineStr">
        <is>
          <t>Estágio</t>
        </is>
      </c>
      <c r="D3947" t="n">
        <v>34</v>
      </c>
      <c r="E3947" t="n">
        <v>32</v>
      </c>
      <c r="F3947" t="n">
        <v>17.26</v>
      </c>
      <c r="G3947" t="n">
        <v>0</v>
      </c>
      <c r="H3947" t="n">
        <v>0</v>
      </c>
      <c r="I3947" s="3">
        <f>E3947+G3947+H3947</f>
        <v/>
      </c>
      <c r="J3947" s="3">
        <f>ROUND(MIN(IF(C3947="Técnico III",35,IF(C3947="Técnico II",28,IF(C3947="Técnico I",23,IF(C3947="JR",20,IF(C3947="Estágio",10,0))))),IF(C3947="Técnico III",SUMIFS($D:$D,$A:$A,$A3947,$B:$B,"&lt;&gt;Patrícia Karla de Sousa Araújo",$B:$B,"&lt;&gt;Lorena Dias de Araujo",$B:$B,"&lt;&gt;Lucas Luiz Romero")*(35/1083),IF(C3947="Técnico II",SUMIFS($D:$D,$A:$A,$A3947,$B:$B,"&lt;&gt;Patrícia Karla de Sousa Araújo",$B:$B,"&lt;&gt;Lorena Dias de Araujo",$B:$B,"&lt;&gt;Lucas Luiz Romero")*(28/1083),IF(C3947="Técnico I",SUMIFS($D:$D,$A:$A,$A3947,$B:$B,"&lt;&gt;Patrícia Karla de Sousa Araújo",$B:$B,"&lt;&gt;Lorena Dias de Araujo",$B:$B,"&lt;&gt;Lucas Luiz Romero")*(23/1083),IF(C3947="JR",SUMIFS($D:$D,$A:$A,$A3947,$B:$B,"&lt;&gt;Patrícia Karla de Sousa Araújo",$B:$B,"&lt;&gt;Lorena Dias de Araujo",$B:$B,"&lt;&gt;Lucas Luiz Romero")*(20/1083),IF(C3947="Estágio",SUMIFS($D:$D,$A:$A,$A3947,$B:$B,"&lt;&gt;Patrícia Karla de Sousa Araújo",$B:$B,"&lt;&gt;Lorena Dias de Araujo",$B:$B,"&lt;&gt;Lucas Luiz Romero")*(10/1083),0)))))),0)</f>
        <v/>
      </c>
      <c r="K3947" s="3">
        <f>I3947-J3947</f>
        <v/>
      </c>
      <c r="L3947" s="3">
        <f>IF(K3947&lt;-5,"CRÍTICO",IF(K3947&lt;0,"ATENÇÃO",IF(K3947&lt;=5,"OPORTUNO","MUITO BOM")))</f>
        <v/>
      </c>
      <c r="N3947" t="n">
        <v>96.73999999999999</v>
      </c>
      <c r="O3947" t="n">
        <v>28.43137254901961</v>
      </c>
    </row>
    <row r="3948" hidden="1">
      <c r="A3948" s="11" t="n">
        <v>46126</v>
      </c>
      <c r="B3948" t="inlineStr">
        <is>
          <t>Brenda de Menezes Silva</t>
        </is>
      </c>
      <c r="C3948" t="inlineStr">
        <is>
          <t>Técnico II</t>
        </is>
      </c>
      <c r="D3948" t="n">
        <v>31</v>
      </c>
      <c r="E3948" t="n">
        <v>31</v>
      </c>
      <c r="F3948" t="n">
        <v>13.59</v>
      </c>
      <c r="G3948" t="n">
        <v>0</v>
      </c>
      <c r="H3948" t="n">
        <v>0</v>
      </c>
      <c r="I3948" s="3">
        <f>E3948+G3948+H3948</f>
        <v/>
      </c>
      <c r="J3948" s="3">
        <f>ROUND(MIN(IF(C3948="Técnico III",35,IF(C3948="Técnico II",28,IF(C3948="Técnico I",23,IF(C3948="JR",20,IF(C3948="Estágio",10,0))))),IF(C3948="Técnico III",SUMIFS($D:$D,$A:$A,$A3948,$B:$B,"&lt;&gt;Patrícia Karla de Sousa Araújo",$B:$B,"&lt;&gt;Lorena Dias de Araujo",$B:$B,"&lt;&gt;Lucas Luiz Romero")*(35/1083),IF(C3948="Técnico II",SUMIFS($D:$D,$A:$A,$A3948,$B:$B,"&lt;&gt;Patrícia Karla de Sousa Araújo",$B:$B,"&lt;&gt;Lorena Dias de Araujo",$B:$B,"&lt;&gt;Lucas Luiz Romero")*(28/1083),IF(C3948="Técnico I",SUMIFS($D:$D,$A:$A,$A3948,$B:$B,"&lt;&gt;Patrícia Karla de Sousa Araújo",$B:$B,"&lt;&gt;Lorena Dias de Araujo",$B:$B,"&lt;&gt;Lucas Luiz Romero")*(23/1083),IF(C3948="JR",SUMIFS($D:$D,$A:$A,$A3948,$B:$B,"&lt;&gt;Patrícia Karla de Sousa Araújo",$B:$B,"&lt;&gt;Lorena Dias de Araujo",$B:$B,"&lt;&gt;Lucas Luiz Romero")*(20/1083),IF(C3948="Estágio",SUMIFS($D:$D,$A:$A,$A3948,$B:$B,"&lt;&gt;Patrícia Karla de Sousa Araújo",$B:$B,"&lt;&gt;Lorena Dias de Araujo",$B:$B,"&lt;&gt;Lucas Luiz Romero")*(10/1083),0)))))),0)</f>
        <v/>
      </c>
      <c r="K3948" s="3">
        <f>I3948-J3948</f>
        <v/>
      </c>
      <c r="L3948" s="3">
        <f>IF(K3948&lt;-5,"CRÍTICO",IF(K3948&lt;0,"ATENÇÃO",IF(K3948&lt;=5,"OPORTUNO","MUITO BOM")))</f>
        <v/>
      </c>
      <c r="N3948" t="n">
        <v>98.81999999999999</v>
      </c>
      <c r="O3948" t="n">
        <v>30.74141048824593</v>
      </c>
    </row>
    <row r="3949" hidden="1">
      <c r="A3949" s="11" t="n">
        <v>46126</v>
      </c>
      <c r="B3949" t="inlineStr">
        <is>
          <t>Carlos Mateus Cassimiro Nunes</t>
        </is>
      </c>
      <c r="C3949" t="inlineStr">
        <is>
          <t>Técnico II</t>
        </is>
      </c>
      <c r="D3949" t="n">
        <v>17</v>
      </c>
      <c r="E3949" t="n">
        <v>16</v>
      </c>
      <c r="F3949" t="n">
        <v>30.14</v>
      </c>
      <c r="G3949" t="n">
        <v>0</v>
      </c>
      <c r="H3949" t="n">
        <v>0</v>
      </c>
      <c r="I3949" s="3">
        <f>E3949+G3949+H3949</f>
        <v/>
      </c>
      <c r="J3949" s="3">
        <f>ROUND(MIN(IF(C3949="Técnico III",35,IF(C3949="Técnico II",28,IF(C3949="Técnico I",23,IF(C3949="JR",20,IF(C3949="Estágio",10,0))))),IF(C3949="Técnico III",SUMIFS($D:$D,$A:$A,$A3949,$B:$B,"&lt;&gt;Patrícia Karla de Sousa Araújo",$B:$B,"&lt;&gt;Lorena Dias de Araujo",$B:$B,"&lt;&gt;Lucas Luiz Romero")*(35/1083),IF(C3949="Técnico II",SUMIFS($D:$D,$A:$A,$A3949,$B:$B,"&lt;&gt;Patrícia Karla de Sousa Araújo",$B:$B,"&lt;&gt;Lorena Dias de Araujo",$B:$B,"&lt;&gt;Lucas Luiz Romero")*(28/1083),IF(C3949="Técnico I",SUMIFS($D:$D,$A:$A,$A3949,$B:$B,"&lt;&gt;Patrícia Karla de Sousa Araújo",$B:$B,"&lt;&gt;Lorena Dias de Araujo",$B:$B,"&lt;&gt;Lucas Luiz Romero")*(23/1083),IF(C3949="JR",SUMIFS($D:$D,$A:$A,$A3949,$B:$B,"&lt;&gt;Patrícia Karla de Sousa Araújo",$B:$B,"&lt;&gt;Lorena Dias de Araujo",$B:$B,"&lt;&gt;Lucas Luiz Romero")*(20/1083),IF(C3949="Estágio",SUMIFS($D:$D,$A:$A,$A3949,$B:$B,"&lt;&gt;Patrícia Karla de Sousa Araújo",$B:$B,"&lt;&gt;Lorena Dias de Araujo",$B:$B,"&lt;&gt;Lucas Luiz Romero")*(10/1083),0)))))),0)</f>
        <v/>
      </c>
      <c r="K3949" s="3">
        <f>I3949-J3949</f>
        <v/>
      </c>
      <c r="L3949" s="3">
        <f>IF(K3949&lt;-5,"CRÍTICO",IF(K3949&lt;0,"ATENÇÃO",IF(K3949&lt;=5,"OPORTUNO","MUITO BOM")))</f>
        <v/>
      </c>
      <c r="N3949" t="n">
        <v>98.2</v>
      </c>
      <c r="O3949" t="n">
        <v>26.89075630252101</v>
      </c>
    </row>
    <row r="3950" hidden="1">
      <c r="A3950" s="11" t="n">
        <v>46126</v>
      </c>
      <c r="B3950" t="inlineStr">
        <is>
          <t>Claudio de Sousa Velasco Filho</t>
        </is>
      </c>
      <c r="C3950" t="inlineStr">
        <is>
          <t>Estágio</t>
        </is>
      </c>
      <c r="D3950" t="n">
        <v>9</v>
      </c>
      <c r="E3950" t="n">
        <v>6</v>
      </c>
      <c r="F3950" t="n">
        <v>30.39</v>
      </c>
      <c r="G3950" t="n">
        <v>0</v>
      </c>
      <c r="H3950" t="n">
        <v>0</v>
      </c>
      <c r="I3950" s="3">
        <f>E3950+G3950+H3950</f>
        <v/>
      </c>
      <c r="J3950" s="3">
        <f>ROUND(MIN(IF(C3950="Técnico III",35,IF(C3950="Técnico II",28,IF(C3950="Técnico I",23,IF(C3950="JR",20,IF(C3950="Estágio",10,0))))),IF(C3950="Técnico III",SUMIFS($D:$D,$A:$A,$A3950,$B:$B,"&lt;&gt;Patrícia Karla de Sousa Araújo",$B:$B,"&lt;&gt;Lorena Dias de Araujo",$B:$B,"&lt;&gt;Lucas Luiz Romero")*(35/1083),IF(C3950="Técnico II",SUMIFS($D:$D,$A:$A,$A3950,$B:$B,"&lt;&gt;Patrícia Karla de Sousa Araújo",$B:$B,"&lt;&gt;Lorena Dias de Araujo",$B:$B,"&lt;&gt;Lucas Luiz Romero")*(28/1083),IF(C3950="Técnico I",SUMIFS($D:$D,$A:$A,$A3950,$B:$B,"&lt;&gt;Patrícia Karla de Sousa Araújo",$B:$B,"&lt;&gt;Lorena Dias de Araujo",$B:$B,"&lt;&gt;Lucas Luiz Romero")*(23/1083),IF(C3950="JR",SUMIFS($D:$D,$A:$A,$A3950,$B:$B,"&lt;&gt;Patrícia Karla de Sousa Araújo",$B:$B,"&lt;&gt;Lorena Dias de Araujo",$B:$B,"&lt;&gt;Lucas Luiz Romero")*(20/1083),IF(C3950="Estágio",SUMIFS($D:$D,$A:$A,$A3950,$B:$B,"&lt;&gt;Patrícia Karla de Sousa Araújo",$B:$B,"&lt;&gt;Lorena Dias de Araujo",$B:$B,"&lt;&gt;Lucas Luiz Romero")*(10/1083),0)))))),0)</f>
        <v/>
      </c>
      <c r="K3950" s="3">
        <f>I3950-J3950</f>
        <v/>
      </c>
      <c r="L3950" s="3">
        <f>IF(K3950&lt;-5,"CRÍTICO",IF(K3950&lt;0,"ATENÇÃO",IF(K3950&lt;=5,"OPORTUNO","MUITO BOM")))</f>
        <v/>
      </c>
      <c r="N3950" t="n">
        <v>100</v>
      </c>
      <c r="O3950" t="n">
        <v>23.13432835820895</v>
      </c>
    </row>
    <row r="3951" hidden="1">
      <c r="A3951" s="11" t="n">
        <v>46126</v>
      </c>
      <c r="B3951" t="inlineStr">
        <is>
          <t>Clessiane Pereira dos Santos</t>
        </is>
      </c>
      <c r="C3951" t="inlineStr">
        <is>
          <t>Técnico I</t>
        </is>
      </c>
      <c r="D3951" t="n">
        <v>26</v>
      </c>
      <c r="E3951" t="n">
        <v>25</v>
      </c>
      <c r="F3951" t="n">
        <v>18.5</v>
      </c>
      <c r="G3951" t="n">
        <v>0</v>
      </c>
      <c r="H3951" t="n">
        <v>0</v>
      </c>
      <c r="I3951" s="3">
        <f>E3951+G3951+H3951</f>
        <v/>
      </c>
      <c r="J3951" s="3">
        <f>ROUND(MIN(IF(C3951="Técnico III",35,IF(C3951="Técnico II",28,IF(C3951="Técnico I",23,IF(C3951="JR",20,IF(C3951="Estágio",10,0))))),IF(C3951="Técnico III",SUMIFS($D:$D,$A:$A,$A3951,$B:$B,"&lt;&gt;Patrícia Karla de Sousa Araújo",$B:$B,"&lt;&gt;Lorena Dias de Araujo",$B:$B,"&lt;&gt;Lucas Luiz Romero")*(35/1083),IF(C3951="Técnico II",SUMIFS($D:$D,$A:$A,$A3951,$B:$B,"&lt;&gt;Patrícia Karla de Sousa Araújo",$B:$B,"&lt;&gt;Lorena Dias de Araujo",$B:$B,"&lt;&gt;Lucas Luiz Romero")*(28/1083),IF(C3951="Técnico I",SUMIFS($D:$D,$A:$A,$A3951,$B:$B,"&lt;&gt;Patrícia Karla de Sousa Araújo",$B:$B,"&lt;&gt;Lorena Dias de Araujo",$B:$B,"&lt;&gt;Lucas Luiz Romero")*(23/1083),IF(C3951="JR",SUMIFS($D:$D,$A:$A,$A3951,$B:$B,"&lt;&gt;Patrícia Karla de Sousa Araújo",$B:$B,"&lt;&gt;Lorena Dias de Araujo",$B:$B,"&lt;&gt;Lucas Luiz Romero")*(20/1083),IF(C3951="Estágio",SUMIFS($D:$D,$A:$A,$A3951,$B:$B,"&lt;&gt;Patrícia Karla de Sousa Araújo",$B:$B,"&lt;&gt;Lorena Dias de Araujo",$B:$B,"&lt;&gt;Lucas Luiz Romero")*(10/1083),0)))))),0)</f>
        <v/>
      </c>
      <c r="K3951" s="3">
        <f>I3951-J3951</f>
        <v/>
      </c>
      <c r="L3951" s="3">
        <f>IF(K3951&lt;-5,"CRÍTICO",IF(K3951&lt;0,"ATENÇÃO",IF(K3951&lt;=5,"OPORTUNO","MUITO BOM")))</f>
        <v/>
      </c>
      <c r="N3951" t="n">
        <v>96.3</v>
      </c>
      <c r="O3951" t="n">
        <v>31.98090692124105</v>
      </c>
    </row>
    <row r="3952" hidden="1">
      <c r="A3952" s="11" t="n">
        <v>46126</v>
      </c>
      <c r="B3952" t="inlineStr">
        <is>
          <t>Cristiane Ramos da Silva Rocha</t>
        </is>
      </c>
      <c r="C3952" t="inlineStr">
        <is>
          <t>Técnico III</t>
        </is>
      </c>
      <c r="D3952" t="n">
        <v>42</v>
      </c>
      <c r="E3952" t="n">
        <v>38</v>
      </c>
      <c r="F3952" t="n">
        <v>9.140000000000001</v>
      </c>
      <c r="G3952" t="n">
        <v>0</v>
      </c>
      <c r="H3952" t="n">
        <v>0</v>
      </c>
      <c r="I3952" s="3">
        <f>E3952+G3952+H3952</f>
        <v/>
      </c>
      <c r="J3952" s="3">
        <f>ROUND(MIN(IF(C3952="Técnico III",35,IF(C3952="Técnico II",28,IF(C3952="Técnico I",23,IF(C3952="JR",20,IF(C3952="Estágio",10,0))))),IF(C3952="Técnico III",SUMIFS($D:$D,$A:$A,$A3952,$B:$B,"&lt;&gt;Patrícia Karla de Sousa Araújo",$B:$B,"&lt;&gt;Lorena Dias de Araujo",$B:$B,"&lt;&gt;Lucas Luiz Romero")*(35/1083),IF(C3952="Técnico II",SUMIFS($D:$D,$A:$A,$A3952,$B:$B,"&lt;&gt;Patrícia Karla de Sousa Araújo",$B:$B,"&lt;&gt;Lorena Dias de Araujo",$B:$B,"&lt;&gt;Lucas Luiz Romero")*(28/1083),IF(C3952="Técnico I",SUMIFS($D:$D,$A:$A,$A3952,$B:$B,"&lt;&gt;Patrícia Karla de Sousa Araújo",$B:$B,"&lt;&gt;Lorena Dias de Araujo",$B:$B,"&lt;&gt;Lucas Luiz Romero")*(23/1083),IF(C3952="JR",SUMIFS($D:$D,$A:$A,$A3952,$B:$B,"&lt;&gt;Patrícia Karla de Sousa Araújo",$B:$B,"&lt;&gt;Lorena Dias de Araujo",$B:$B,"&lt;&gt;Lucas Luiz Romero")*(20/1083),IF(C3952="Estágio",SUMIFS($D:$D,$A:$A,$A3952,$B:$B,"&lt;&gt;Patrícia Karla de Sousa Araújo",$B:$B,"&lt;&gt;Lorena Dias de Araujo",$B:$B,"&lt;&gt;Lucas Luiz Romero")*(10/1083),0)))))),0)</f>
        <v/>
      </c>
      <c r="K3952" s="3">
        <f>I3952-J3952</f>
        <v/>
      </c>
      <c r="L3952" s="3">
        <f>IF(K3952&lt;-5,"CRÍTICO",IF(K3952&lt;0,"ATENÇÃO",IF(K3952&lt;=5,"OPORTUNO","MUITO BOM")))</f>
        <v/>
      </c>
      <c r="N3952" t="n">
        <v>93.75</v>
      </c>
      <c r="O3952" t="n">
        <v>26.62835249042146</v>
      </c>
    </row>
    <row r="3953" hidden="1">
      <c r="A3953" s="11" t="n">
        <v>46126</v>
      </c>
      <c r="B3953" t="inlineStr">
        <is>
          <t>Damyllis Lorraine de Oliveira Gonçalves</t>
        </is>
      </c>
      <c r="C3953" t="inlineStr">
        <is>
          <t>Técnico II</t>
        </is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s="3" t="n">
        <v>0</v>
      </c>
      <c r="J3953" s="3" t="n">
        <v>0</v>
      </c>
      <c r="K3953" s="3" t="n">
        <v>0</v>
      </c>
      <c r="L3953" s="3">
        <f>IF(K3953&lt;-5,"CRÍTICO",IF(K3953&lt;0,"ATENÇÃO",IF(K3953&lt;=5,"OPORTUNO","MUITO BOM")))</f>
        <v/>
      </c>
      <c r="N3953" t="n">
        <v>97.86</v>
      </c>
      <c r="O3953" t="n">
        <v>31.01851851851852</v>
      </c>
    </row>
    <row r="3954" hidden="1">
      <c r="A3954" s="11" t="n">
        <v>46126</v>
      </c>
      <c r="B3954" t="inlineStr">
        <is>
          <t>Daniel Gomes da Silva</t>
        </is>
      </c>
      <c r="C3954" t="inlineStr">
        <is>
          <t>Técnico I</t>
        </is>
      </c>
      <c r="D3954" t="n">
        <v>19</v>
      </c>
      <c r="E3954" t="n">
        <v>17</v>
      </c>
      <c r="F3954" t="n">
        <v>18.44</v>
      </c>
      <c r="G3954" t="n">
        <v>0</v>
      </c>
      <c r="H3954" t="n">
        <v>0</v>
      </c>
      <c r="I3954" s="3">
        <f>E3954+G3954+H3954</f>
        <v/>
      </c>
      <c r="J3954" s="3">
        <f>ROUND(MIN(IF(C3954="Técnico III",35,IF(C3954="Técnico II",28,IF(C3954="Técnico I",23,IF(C3954="JR",20,IF(C3954="Estágio",10,0))))),IF(C3954="Técnico III",SUMIFS($D:$D,$A:$A,$A3954,$B:$B,"&lt;&gt;Patrícia Karla de Sousa Araújo",$B:$B,"&lt;&gt;Lorena Dias de Araujo",$B:$B,"&lt;&gt;Lucas Luiz Romero")*(35/1083),IF(C3954="Técnico II",SUMIFS($D:$D,$A:$A,$A3954,$B:$B,"&lt;&gt;Patrícia Karla de Sousa Araújo",$B:$B,"&lt;&gt;Lorena Dias de Araujo",$B:$B,"&lt;&gt;Lucas Luiz Romero")*(28/1083),IF(C3954="Técnico I",SUMIFS($D:$D,$A:$A,$A3954,$B:$B,"&lt;&gt;Patrícia Karla de Sousa Araújo",$B:$B,"&lt;&gt;Lorena Dias de Araujo",$B:$B,"&lt;&gt;Lucas Luiz Romero")*(23/1083),IF(C3954="JR",SUMIFS($D:$D,$A:$A,$A3954,$B:$B,"&lt;&gt;Patrícia Karla de Sousa Araújo",$B:$B,"&lt;&gt;Lorena Dias de Araujo",$B:$B,"&lt;&gt;Lucas Luiz Romero")*(20/1083),IF(C3954="Estágio",SUMIFS($D:$D,$A:$A,$A3954,$B:$B,"&lt;&gt;Patrícia Karla de Sousa Araújo",$B:$B,"&lt;&gt;Lorena Dias de Araujo",$B:$B,"&lt;&gt;Lucas Luiz Romero")*(10/1083),0)))))),0)</f>
        <v/>
      </c>
      <c r="K3954" s="3">
        <f>I3954-J3954</f>
        <v/>
      </c>
      <c r="L3954" s="3">
        <f>IF(K3954&lt;-5,"CRÍTICO",IF(K3954&lt;0,"ATENÇÃO",IF(K3954&lt;=5,"OPORTUNO","MUITO BOM")))</f>
        <v/>
      </c>
      <c r="N3954" t="n">
        <v>100</v>
      </c>
      <c r="O3954" t="n">
        <v>36.23188405797102</v>
      </c>
    </row>
    <row r="3955" hidden="1">
      <c r="A3955" s="11" t="n">
        <v>46126</v>
      </c>
      <c r="B3955" t="inlineStr">
        <is>
          <t>Davylla Rodrigues Freitas Silva</t>
        </is>
      </c>
      <c r="C3955" t="inlineStr">
        <is>
          <t>Técnico III</t>
        </is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s="3" t="n">
        <v>0</v>
      </c>
      <c r="J3955" s="3" t="n">
        <v>0</v>
      </c>
      <c r="K3955" s="3" t="n">
        <v>0</v>
      </c>
      <c r="L3955" s="3">
        <f>IF(K3955&lt;-5,"CRÍTICO",IF(K3955&lt;0,"ATENÇÃO",IF(K3955&lt;=5,"OPORTUNO","MUITO BOM")))</f>
        <v/>
      </c>
      <c r="N3955" t="n">
        <v>100</v>
      </c>
      <c r="O3955" t="n">
        <v>38.26923076923077</v>
      </c>
    </row>
    <row r="3956" hidden="1">
      <c r="A3956" s="11" t="n">
        <v>46126</v>
      </c>
      <c r="B3956" t="inlineStr">
        <is>
          <t>Emilly Caylane Costa</t>
        </is>
      </c>
      <c r="C3956" t="inlineStr">
        <is>
          <t>Estágio</t>
        </is>
      </c>
      <c r="D3956" t="n">
        <v>14</v>
      </c>
      <c r="E3956" t="n">
        <v>10</v>
      </c>
      <c r="F3956" t="n">
        <v>20.44</v>
      </c>
      <c r="G3956" t="n">
        <v>0</v>
      </c>
      <c r="H3956" t="n">
        <v>0</v>
      </c>
      <c r="I3956" s="3">
        <f>E3956+G3956+H3956</f>
        <v/>
      </c>
      <c r="J3956" s="3">
        <f>ROUND(MIN(IF(C3956="Técnico III",35,IF(C3956="Técnico II",28,IF(C3956="Técnico I",23,IF(C3956="JR",20,IF(C3956="Estágio",10,0))))),IF(C3956="Técnico III",SUMIFS($D:$D,$A:$A,$A3956,$B:$B,"&lt;&gt;Patrícia Karla de Sousa Araújo",$B:$B,"&lt;&gt;Lorena Dias de Araujo",$B:$B,"&lt;&gt;Lucas Luiz Romero")*(35/1083),IF(C3956="Técnico II",SUMIFS($D:$D,$A:$A,$A3956,$B:$B,"&lt;&gt;Patrícia Karla de Sousa Araújo",$B:$B,"&lt;&gt;Lorena Dias de Araujo",$B:$B,"&lt;&gt;Lucas Luiz Romero")*(28/1083),IF(C3956="Técnico I",SUMIFS($D:$D,$A:$A,$A3956,$B:$B,"&lt;&gt;Patrícia Karla de Sousa Araújo",$B:$B,"&lt;&gt;Lorena Dias de Araujo",$B:$B,"&lt;&gt;Lucas Luiz Romero")*(23/1083),IF(C3956="JR",SUMIFS($D:$D,$A:$A,$A3956,$B:$B,"&lt;&gt;Patrícia Karla de Sousa Araújo",$B:$B,"&lt;&gt;Lorena Dias de Araujo",$B:$B,"&lt;&gt;Lucas Luiz Romero")*(20/1083),IF(C3956="Estágio",SUMIFS($D:$D,$A:$A,$A3956,$B:$B,"&lt;&gt;Patrícia Karla de Sousa Araújo",$B:$B,"&lt;&gt;Lorena Dias de Araujo",$B:$B,"&lt;&gt;Lucas Luiz Romero")*(10/1083),0)))))),0)</f>
        <v/>
      </c>
      <c r="K3956" s="3">
        <f>I3956-J3956</f>
        <v/>
      </c>
      <c r="L3956" s="3">
        <f>IF(K3956&lt;-5,"CRÍTICO",IF(K3956&lt;0,"ATENÇÃO",IF(K3956&lt;=5,"OPORTUNO","MUITO BOM")))</f>
        <v/>
      </c>
      <c r="N3956" t="n">
        <v>100</v>
      </c>
      <c r="O3956" t="n">
        <v>27.36842105263158</v>
      </c>
    </row>
    <row r="3957" hidden="1">
      <c r="A3957" s="11" t="n">
        <v>46126</v>
      </c>
      <c r="B3957" t="inlineStr">
        <is>
          <t>Emilly Kamilly Medeiros Miranda</t>
        </is>
      </c>
      <c r="C3957" t="inlineStr">
        <is>
          <t>Técnico II</t>
        </is>
      </c>
      <c r="D3957" t="n">
        <v>19</v>
      </c>
      <c r="E3957" t="n">
        <v>18</v>
      </c>
      <c r="F3957" t="n">
        <v>23.37</v>
      </c>
      <c r="G3957" t="n">
        <v>0</v>
      </c>
      <c r="H3957" t="n">
        <v>0</v>
      </c>
      <c r="I3957" s="3">
        <f>E3957+G3957+H3957</f>
        <v/>
      </c>
      <c r="J3957" s="3">
        <f>ROUND(MIN(IF(C3957="Técnico III",35,IF(C3957="Técnico II",28,IF(C3957="Técnico I",23,IF(C3957="JR",20,IF(C3957="Estágio",10,0))))),IF(C3957="Técnico III",SUMIFS($D:$D,$A:$A,$A3957,$B:$B,"&lt;&gt;Patrícia Karla de Sousa Araújo",$B:$B,"&lt;&gt;Lorena Dias de Araujo",$B:$B,"&lt;&gt;Lucas Luiz Romero")*(35/1083),IF(C3957="Técnico II",SUMIFS($D:$D,$A:$A,$A3957,$B:$B,"&lt;&gt;Patrícia Karla de Sousa Araújo",$B:$B,"&lt;&gt;Lorena Dias de Araujo",$B:$B,"&lt;&gt;Lucas Luiz Romero")*(28/1083),IF(C3957="Técnico I",SUMIFS($D:$D,$A:$A,$A3957,$B:$B,"&lt;&gt;Patrícia Karla de Sousa Araújo",$B:$B,"&lt;&gt;Lorena Dias de Araujo",$B:$B,"&lt;&gt;Lucas Luiz Romero")*(23/1083),IF(C3957="JR",SUMIFS($D:$D,$A:$A,$A3957,$B:$B,"&lt;&gt;Patrícia Karla de Sousa Araújo",$B:$B,"&lt;&gt;Lorena Dias de Araujo",$B:$B,"&lt;&gt;Lucas Luiz Romero")*(20/1083),IF(C3957="Estágio",SUMIFS($D:$D,$A:$A,$A3957,$B:$B,"&lt;&gt;Patrícia Karla de Sousa Araújo",$B:$B,"&lt;&gt;Lorena Dias de Araujo",$B:$B,"&lt;&gt;Lucas Luiz Romero")*(10/1083),0)))))),0)</f>
        <v/>
      </c>
      <c r="K3957" s="3">
        <f>I3957-J3957</f>
        <v/>
      </c>
      <c r="L3957" s="3">
        <f>IF(K3957&lt;-5,"CRÍTICO",IF(K3957&lt;0,"ATENÇÃO",IF(K3957&lt;=5,"OPORTUNO","MUITO BOM")))</f>
        <v/>
      </c>
      <c r="N3957" t="n">
        <v>97.83</v>
      </c>
      <c r="O3957" t="n">
        <v>28.13186813186813</v>
      </c>
    </row>
    <row r="3958" hidden="1">
      <c r="A3958" s="11" t="n">
        <v>46126</v>
      </c>
      <c r="B3958" t="inlineStr">
        <is>
          <t>Francielson de Oliveira</t>
        </is>
      </c>
      <c r="C3958" t="inlineStr">
        <is>
          <t>Técnico III</t>
        </is>
      </c>
      <c r="D3958" t="n">
        <v>32</v>
      </c>
      <c r="E3958" t="n">
        <v>31</v>
      </c>
      <c r="F3958" t="n">
        <v>15.08</v>
      </c>
      <c r="G3958" t="n">
        <v>0</v>
      </c>
      <c r="H3958" t="n">
        <v>0</v>
      </c>
      <c r="I3958" s="3">
        <f>E3958+G3958+H3958</f>
        <v/>
      </c>
      <c r="J3958" s="3">
        <f>ROUND(MIN(IF(C3958="Técnico III",35,IF(C3958="Técnico II",28,IF(C3958="Técnico I",23,IF(C3958="JR",20,IF(C3958="Estágio",10,0))))),IF(C3958="Técnico III",SUMIFS($D:$D,$A:$A,$A3958,$B:$B,"&lt;&gt;Patrícia Karla de Sousa Araújo",$B:$B,"&lt;&gt;Lorena Dias de Araujo",$B:$B,"&lt;&gt;Lucas Luiz Romero")*(35/1083),IF(C3958="Técnico II",SUMIFS($D:$D,$A:$A,$A3958,$B:$B,"&lt;&gt;Patrícia Karla de Sousa Araújo",$B:$B,"&lt;&gt;Lorena Dias de Araujo",$B:$B,"&lt;&gt;Lucas Luiz Romero")*(28/1083),IF(C3958="Técnico I",SUMIFS($D:$D,$A:$A,$A3958,$B:$B,"&lt;&gt;Patrícia Karla de Sousa Araújo",$B:$B,"&lt;&gt;Lorena Dias de Araujo",$B:$B,"&lt;&gt;Lucas Luiz Romero")*(23/1083),IF(C3958="JR",SUMIFS($D:$D,$A:$A,$A3958,$B:$B,"&lt;&gt;Patrícia Karla de Sousa Araújo",$B:$B,"&lt;&gt;Lorena Dias de Araujo",$B:$B,"&lt;&gt;Lucas Luiz Romero")*(20/1083),IF(C3958="Estágio",SUMIFS($D:$D,$A:$A,$A3958,$B:$B,"&lt;&gt;Patrícia Karla de Sousa Araújo",$B:$B,"&lt;&gt;Lorena Dias de Araujo",$B:$B,"&lt;&gt;Lucas Luiz Romero")*(10/1083),0)))))),0)</f>
        <v/>
      </c>
      <c r="K3958" s="3">
        <f>I3958-J3958</f>
        <v/>
      </c>
      <c r="L3958" s="3">
        <f>IF(K3958&lt;-5,"CRÍTICO",IF(K3958&lt;0,"ATENÇÃO",IF(K3958&lt;=5,"OPORTUNO","MUITO BOM")))</f>
        <v/>
      </c>
      <c r="N3958" t="n">
        <v>99.26000000000001</v>
      </c>
      <c r="O3958" t="n">
        <v>29.57198443579767</v>
      </c>
    </row>
    <row r="3959" hidden="1">
      <c r="A3959" s="11" t="n">
        <v>46126</v>
      </c>
      <c r="B3959" t="inlineStr">
        <is>
          <t>Francilene Ferreira de Jesus</t>
        </is>
      </c>
      <c r="C3959" t="inlineStr">
        <is>
          <t>Técnico II</t>
        </is>
      </c>
      <c r="D3959" t="n">
        <v>34</v>
      </c>
      <c r="E3959" t="n">
        <v>31</v>
      </c>
      <c r="F3959" t="n">
        <v>19.12</v>
      </c>
      <c r="G3959" t="n">
        <v>0</v>
      </c>
      <c r="H3959" t="n">
        <v>0</v>
      </c>
      <c r="I3959" s="3">
        <f>E3959+G3959+H3959</f>
        <v/>
      </c>
      <c r="J3959" s="3">
        <f>ROUND(MIN(IF(C3959="Técnico III",35,IF(C3959="Técnico II",28,IF(C3959="Técnico I",23,IF(C3959="JR",20,IF(C3959="Estágio",10,0))))),IF(C3959="Técnico III",SUMIFS($D:$D,$A:$A,$A3959,$B:$B,"&lt;&gt;Patrícia Karla de Sousa Araújo",$B:$B,"&lt;&gt;Lorena Dias de Araujo",$B:$B,"&lt;&gt;Lucas Luiz Romero")*(35/1083),IF(C3959="Técnico II",SUMIFS($D:$D,$A:$A,$A3959,$B:$B,"&lt;&gt;Patrícia Karla de Sousa Araújo",$B:$B,"&lt;&gt;Lorena Dias de Araujo",$B:$B,"&lt;&gt;Lucas Luiz Romero")*(28/1083),IF(C3959="Técnico I",SUMIFS($D:$D,$A:$A,$A3959,$B:$B,"&lt;&gt;Patrícia Karla de Sousa Araújo",$B:$B,"&lt;&gt;Lorena Dias de Araujo",$B:$B,"&lt;&gt;Lucas Luiz Romero")*(23/1083),IF(C3959="JR",SUMIFS($D:$D,$A:$A,$A3959,$B:$B,"&lt;&gt;Patrícia Karla de Sousa Araújo",$B:$B,"&lt;&gt;Lorena Dias de Araujo",$B:$B,"&lt;&gt;Lucas Luiz Romero")*(20/1083),IF(C3959="Estágio",SUMIFS($D:$D,$A:$A,$A3959,$B:$B,"&lt;&gt;Patrícia Karla de Sousa Araújo",$B:$B,"&lt;&gt;Lorena Dias de Araujo",$B:$B,"&lt;&gt;Lucas Luiz Romero")*(10/1083),0)))))),0)</f>
        <v/>
      </c>
      <c r="K3959" s="3">
        <f>I3959-J3959</f>
        <v/>
      </c>
      <c r="L3959" s="3">
        <f>IF(K3959&lt;-5,"CRÍTICO",IF(K3959&lt;0,"ATENÇÃO",IF(K3959&lt;=5,"OPORTUNO","MUITO BOM")))</f>
        <v/>
      </c>
      <c r="N3959" t="n">
        <v>99.19</v>
      </c>
      <c r="O3959" t="n">
        <v>29.46236559139785</v>
      </c>
    </row>
    <row r="3960" hidden="1">
      <c r="A3960" s="11" t="n">
        <v>46167</v>
      </c>
      <c r="B3960" t="inlineStr">
        <is>
          <t>Lorena Dias de Araujo</t>
        </is>
      </c>
      <c r="C3960" t="inlineStr">
        <is>
          <t>Técnico II</t>
        </is>
      </c>
      <c r="D3960" t="n">
        <v>19</v>
      </c>
      <c r="E3960" t="n">
        <v>15</v>
      </c>
      <c r="F3960" t="n">
        <v>24.06</v>
      </c>
      <c r="G3960" t="n">
        <v>0</v>
      </c>
      <c r="H3960" t="n">
        <v>0</v>
      </c>
      <c r="I3960" s="3" t="n">
        <v>0</v>
      </c>
      <c r="J3960" s="3" t="n">
        <v>0</v>
      </c>
      <c r="K3960" s="3" t="n">
        <v>0</v>
      </c>
      <c r="L3960" s="3">
        <f>IF(K3960&lt;-5,"CRÍTICO",IF(K3960&lt;0,"ATENÇÃO",IF(K3960&lt;=5,"OPORTUNO","MUITO BOM")))</f>
        <v/>
      </c>
    </row>
    <row r="3961" hidden="1">
      <c r="A3961" s="11" t="n">
        <v>46126</v>
      </c>
      <c r="B3961" t="inlineStr">
        <is>
          <t>Isabella Borges de Oliveira</t>
        </is>
      </c>
      <c r="C3961" t="inlineStr">
        <is>
          <t>Técnico II</t>
        </is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s="3" t="n">
        <v>0</v>
      </c>
      <c r="J3961" s="3" t="n">
        <v>0</v>
      </c>
      <c r="K3961" s="3" t="n">
        <v>0</v>
      </c>
      <c r="L3961" s="3">
        <f>IF(K3961&lt;-5,"CRÍTICO",IF(K3961&lt;0,"ATENÇÃO",IF(K3961&lt;=5,"OPORTUNO","MUITO BOM")))</f>
        <v/>
      </c>
      <c r="N3961" t="n">
        <v>100</v>
      </c>
      <c r="O3961" t="n">
        <v>27.94117647058824</v>
      </c>
    </row>
    <row r="3962" hidden="1">
      <c r="A3962" s="11" t="n">
        <v>46126</v>
      </c>
      <c r="B3962" t="inlineStr">
        <is>
          <t>Janaina Lima dos Reis Urany</t>
        </is>
      </c>
      <c r="C3962" t="inlineStr">
        <is>
          <t>Técnico III</t>
        </is>
      </c>
      <c r="D3962" t="n">
        <v>34</v>
      </c>
      <c r="E3962" t="n">
        <v>30</v>
      </c>
      <c r="F3962" t="n">
        <v>17.31</v>
      </c>
      <c r="G3962" t="n">
        <v>0</v>
      </c>
      <c r="H3962" t="n">
        <v>0</v>
      </c>
      <c r="I3962" s="3">
        <f>E3962+G3962+H3962</f>
        <v/>
      </c>
      <c r="J3962" s="3">
        <f>ROUND(MIN(IF(C3962="Técnico III",35,IF(C3962="Técnico II",28,IF(C3962="Técnico I",23,IF(C3962="JR",20,IF(C3962="Estágio",10,0))))),IF(C3962="Técnico III",SUMIFS($D:$D,$A:$A,$A3962,$B:$B,"&lt;&gt;Patrícia Karla de Sousa Araújo",$B:$B,"&lt;&gt;Lorena Dias de Araujo",$B:$B,"&lt;&gt;Lucas Luiz Romero")*(35/1083),IF(C3962="Técnico II",SUMIFS($D:$D,$A:$A,$A3962,$B:$B,"&lt;&gt;Patrícia Karla de Sousa Araújo",$B:$B,"&lt;&gt;Lorena Dias de Araujo",$B:$B,"&lt;&gt;Lucas Luiz Romero")*(28/1083),IF(C3962="Técnico I",SUMIFS($D:$D,$A:$A,$A3962,$B:$B,"&lt;&gt;Patrícia Karla de Sousa Araújo",$B:$B,"&lt;&gt;Lorena Dias de Araujo",$B:$B,"&lt;&gt;Lucas Luiz Romero")*(23/1083),IF(C3962="JR",SUMIFS($D:$D,$A:$A,$A3962,$B:$B,"&lt;&gt;Patrícia Karla de Sousa Araújo",$B:$B,"&lt;&gt;Lorena Dias de Araujo",$B:$B,"&lt;&gt;Lucas Luiz Romero")*(20/1083),IF(C3962="Estágio",SUMIFS($D:$D,$A:$A,$A3962,$B:$B,"&lt;&gt;Patrícia Karla de Sousa Araújo",$B:$B,"&lt;&gt;Lorena Dias de Araujo",$B:$B,"&lt;&gt;Lucas Luiz Romero")*(10/1083),0)))))),0)</f>
        <v/>
      </c>
      <c r="K3962" s="3">
        <f>I3962-J3962</f>
        <v/>
      </c>
      <c r="L3962" s="3">
        <f>IF(K3962&lt;-5,"CRÍTICO",IF(K3962&lt;0,"ATENÇÃO",IF(K3962&lt;=5,"OPORTUNO","MUITO BOM")))</f>
        <v/>
      </c>
      <c r="N3962" t="n">
        <v>99.56999999999999</v>
      </c>
      <c r="O3962" t="n">
        <v>29.91329479768786</v>
      </c>
    </row>
    <row r="3963" hidden="1">
      <c r="A3963" s="11" t="n">
        <v>46126</v>
      </c>
      <c r="B3963" t="inlineStr">
        <is>
          <t>Jaqueline Evangelista da Silva Martins</t>
        </is>
      </c>
      <c r="C3963" t="inlineStr">
        <is>
          <t>Técnico III</t>
        </is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s="3" t="n">
        <v>0</v>
      </c>
      <c r="J3963" s="3" t="n">
        <v>0</v>
      </c>
      <c r="K3963" s="3" t="n">
        <v>0</v>
      </c>
      <c r="L3963" s="3">
        <f>IF(K3963&lt;-5,"CRÍTICO",IF(K3963&lt;0,"ATENÇÃO",IF(K3963&lt;=5,"OPORTUNO","MUITO BOM")))</f>
        <v/>
      </c>
      <c r="N3963" t="n">
        <v>95.65000000000001</v>
      </c>
      <c r="O3963" t="n">
        <v>31.08108108108108</v>
      </c>
    </row>
    <row r="3964" hidden="1">
      <c r="A3964" s="11" t="n">
        <v>46126</v>
      </c>
      <c r="B3964" t="inlineStr">
        <is>
          <t>Jessica Faria da Silveira</t>
        </is>
      </c>
      <c r="C3964" t="inlineStr">
        <is>
          <t>Técnico II</t>
        </is>
      </c>
      <c r="D3964" t="n">
        <v>19</v>
      </c>
      <c r="E3964" t="n">
        <v>12</v>
      </c>
      <c r="F3964" t="n">
        <v>15.44</v>
      </c>
      <c r="G3964" t="n">
        <v>0</v>
      </c>
      <c r="H3964" t="n">
        <v>0</v>
      </c>
      <c r="I3964" s="3">
        <f>E3964+G3964+H3964</f>
        <v/>
      </c>
      <c r="J3964" s="3">
        <f>ROUND(MIN(IF(C3964="Técnico III",35,IF(C3964="Técnico II",28,IF(C3964="Técnico I",23,IF(C3964="JR",20,IF(C3964="Estágio",10,0))))),IF(C3964="Técnico III",SUMIFS($D:$D,$A:$A,$A3964,$B:$B,"&lt;&gt;Patrícia Karla de Sousa Araújo",$B:$B,"&lt;&gt;Lorena Dias de Araujo",$B:$B,"&lt;&gt;Lucas Luiz Romero")*(35/1083),IF(C3964="Técnico II",SUMIFS($D:$D,$A:$A,$A3964,$B:$B,"&lt;&gt;Patrícia Karla de Sousa Araújo",$B:$B,"&lt;&gt;Lorena Dias de Araujo",$B:$B,"&lt;&gt;Lucas Luiz Romero")*(28/1083),IF(C3964="Técnico I",SUMIFS($D:$D,$A:$A,$A3964,$B:$B,"&lt;&gt;Patrícia Karla de Sousa Araújo",$B:$B,"&lt;&gt;Lorena Dias de Araujo",$B:$B,"&lt;&gt;Lucas Luiz Romero")*(23/1083),IF(C3964="JR",SUMIFS($D:$D,$A:$A,$A3964,$B:$B,"&lt;&gt;Patrícia Karla de Sousa Araújo",$B:$B,"&lt;&gt;Lorena Dias de Araujo",$B:$B,"&lt;&gt;Lucas Luiz Romero")*(20/1083),IF(C3964="Estágio",SUMIFS($D:$D,$A:$A,$A3964,$B:$B,"&lt;&gt;Patrícia Karla de Sousa Araújo",$B:$B,"&lt;&gt;Lorena Dias de Araujo",$B:$B,"&lt;&gt;Lucas Luiz Romero")*(10/1083),0)))))),0)</f>
        <v/>
      </c>
      <c r="K3964" s="3">
        <f>I3964-J3964</f>
        <v/>
      </c>
      <c r="L3964" s="3">
        <f>IF(K3964&lt;-5,"CRÍTICO",IF(K3964&lt;0,"ATENÇÃO",IF(K3964&lt;=5,"OPORTUNO","MUITO BOM")))</f>
        <v/>
      </c>
      <c r="N3964" t="n">
        <v>98.81</v>
      </c>
      <c r="O3964" t="n">
        <v>26.25698324022346</v>
      </c>
    </row>
    <row r="3965" hidden="1">
      <c r="A3965" s="11" t="n">
        <v>46126</v>
      </c>
      <c r="B3965" t="inlineStr">
        <is>
          <t>Jéssica Fé Moura</t>
        </is>
      </c>
      <c r="C3965" t="inlineStr">
        <is>
          <t>Técnico III</t>
        </is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s="3" t="n">
        <v>0</v>
      </c>
      <c r="J3965" s="3" t="n">
        <v>0</v>
      </c>
      <c r="K3965" s="3" t="n">
        <v>0</v>
      </c>
      <c r="L3965" s="3">
        <f>IF(K3965&lt;-5,"CRÍTICO",IF(K3965&lt;0,"ATENÇÃO",IF(K3965&lt;=5,"OPORTUNO","MUITO BOM")))</f>
        <v/>
      </c>
      <c r="N3965" t="n">
        <v>0</v>
      </c>
      <c r="O3965" t="n">
        <v>0</v>
      </c>
    </row>
    <row r="3966" hidden="1">
      <c r="A3966" s="11" t="n">
        <v>46126</v>
      </c>
      <c r="B3966" t="inlineStr">
        <is>
          <t>Karina Gonçalves Martins</t>
        </is>
      </c>
      <c r="C3966" t="inlineStr">
        <is>
          <t>JR</t>
        </is>
      </c>
      <c r="D3966" t="n">
        <v>27</v>
      </c>
      <c r="E3966" t="n">
        <v>25</v>
      </c>
      <c r="F3966" t="n">
        <v>20.45</v>
      </c>
      <c r="G3966" t="n">
        <v>0</v>
      </c>
      <c r="H3966" t="n">
        <v>0</v>
      </c>
      <c r="I3966" s="3">
        <f>E3966+G3966+H3966</f>
        <v/>
      </c>
      <c r="J3966" s="3">
        <f>ROUND(MIN(IF(C3966="Técnico III",35,IF(C3966="Técnico II",28,IF(C3966="Técnico I",23,IF(C3966="JR",20,IF(C3966="Estágio",10,0))))),IF(C3966="Técnico III",SUMIFS($D:$D,$A:$A,$A3966,$B:$B,"&lt;&gt;Patrícia Karla de Sousa Araújo",$B:$B,"&lt;&gt;Lorena Dias de Araujo",$B:$B,"&lt;&gt;Lucas Luiz Romero")*(35/1083),IF(C3966="Técnico II",SUMIFS($D:$D,$A:$A,$A3966,$B:$B,"&lt;&gt;Patrícia Karla de Sousa Araújo",$B:$B,"&lt;&gt;Lorena Dias de Araujo",$B:$B,"&lt;&gt;Lucas Luiz Romero")*(28/1083),IF(C3966="Técnico I",SUMIFS($D:$D,$A:$A,$A3966,$B:$B,"&lt;&gt;Patrícia Karla de Sousa Araújo",$B:$B,"&lt;&gt;Lorena Dias de Araujo",$B:$B,"&lt;&gt;Lucas Luiz Romero")*(23/1083),IF(C3966="JR",SUMIFS($D:$D,$A:$A,$A3966,$B:$B,"&lt;&gt;Patrícia Karla de Sousa Araújo",$B:$B,"&lt;&gt;Lorena Dias de Araujo",$B:$B,"&lt;&gt;Lucas Luiz Romero")*(20/1083),IF(C3966="Estágio",SUMIFS($D:$D,$A:$A,$A3966,$B:$B,"&lt;&gt;Patrícia Karla de Sousa Araújo",$B:$B,"&lt;&gt;Lorena Dias de Araujo",$B:$B,"&lt;&gt;Lucas Luiz Romero")*(10/1083),0)))))),0)</f>
        <v/>
      </c>
      <c r="K3966" s="3">
        <f>I3966-J3966</f>
        <v/>
      </c>
      <c r="L3966" s="3">
        <f>IF(K3966&lt;-5,"CRÍTICO",IF(K3966&lt;0,"ATENÇÃO",IF(K3966&lt;=5,"OPORTUNO","MUITO BOM")))</f>
        <v/>
      </c>
      <c r="N3966" t="n">
        <v>97.17</v>
      </c>
      <c r="O3966" t="n">
        <v>28.81844380403458</v>
      </c>
    </row>
    <row r="3967" hidden="1">
      <c r="A3967" s="11" t="n">
        <v>46126</v>
      </c>
      <c r="B3967" t="inlineStr">
        <is>
          <t>Kerollen Cristielly de Jesus Siqueira</t>
        </is>
      </c>
      <c r="C3967" t="inlineStr">
        <is>
          <t>Técnico III</t>
        </is>
      </c>
      <c r="D3967" t="n">
        <v>23</v>
      </c>
      <c r="E3967" t="n">
        <v>22</v>
      </c>
      <c r="F3967" t="n">
        <v>18.55</v>
      </c>
      <c r="G3967" t="n">
        <v>0</v>
      </c>
      <c r="H3967" t="n">
        <v>0</v>
      </c>
      <c r="I3967" s="3">
        <f>E3967+G3967+H3967</f>
        <v/>
      </c>
      <c r="J3967" s="3">
        <f>ROUND(MIN(IF(C3967="Técnico III",35,IF(C3967="Técnico II",28,IF(C3967="Técnico I",23,IF(C3967="JR",20,IF(C3967="Estágio",10,0))))),IF(C3967="Técnico III",SUMIFS($D:$D,$A:$A,$A3967,$B:$B,"&lt;&gt;Patrícia Karla de Sousa Araújo",$B:$B,"&lt;&gt;Lorena Dias de Araujo",$B:$B,"&lt;&gt;Lucas Luiz Romero")*(35/1083),IF(C3967="Técnico II",SUMIFS($D:$D,$A:$A,$A3967,$B:$B,"&lt;&gt;Patrícia Karla de Sousa Araújo",$B:$B,"&lt;&gt;Lorena Dias de Araujo",$B:$B,"&lt;&gt;Lucas Luiz Romero")*(28/1083),IF(C3967="Técnico I",SUMIFS($D:$D,$A:$A,$A3967,$B:$B,"&lt;&gt;Patrícia Karla de Sousa Araújo",$B:$B,"&lt;&gt;Lorena Dias de Araujo",$B:$B,"&lt;&gt;Lucas Luiz Romero")*(23/1083),IF(C3967="JR",SUMIFS($D:$D,$A:$A,$A3967,$B:$B,"&lt;&gt;Patrícia Karla de Sousa Araújo",$B:$B,"&lt;&gt;Lorena Dias de Araujo",$B:$B,"&lt;&gt;Lucas Luiz Romero")*(20/1083),IF(C3967="Estágio",SUMIFS($D:$D,$A:$A,$A3967,$B:$B,"&lt;&gt;Patrícia Karla de Sousa Araújo",$B:$B,"&lt;&gt;Lorena Dias de Araujo",$B:$B,"&lt;&gt;Lucas Luiz Romero")*(10/1083),0)))))),0)</f>
        <v/>
      </c>
      <c r="K3967" s="3">
        <f>I3967-J3967</f>
        <v/>
      </c>
      <c r="L3967" s="3">
        <f>IF(K3967&lt;-5,"CRÍTICO",IF(K3967&lt;0,"ATENÇÃO",IF(K3967&lt;=5,"OPORTUNO","MUITO BOM")))</f>
        <v/>
      </c>
      <c r="N3967" t="n">
        <v>96.81</v>
      </c>
      <c r="O3967" t="n">
        <v>48.01864801864802</v>
      </c>
    </row>
    <row r="3968" hidden="1">
      <c r="A3968" s="11" t="n">
        <v>46126</v>
      </c>
      <c r="B3968" t="inlineStr">
        <is>
          <t>Leandro de Souza Silva</t>
        </is>
      </c>
      <c r="C3968" t="inlineStr">
        <is>
          <t>JR</t>
        </is>
      </c>
      <c r="D3968" t="n">
        <v>18</v>
      </c>
      <c r="E3968" t="n">
        <v>15</v>
      </c>
      <c r="F3968" t="n">
        <v>17.37</v>
      </c>
      <c r="G3968" t="n">
        <v>0</v>
      </c>
      <c r="H3968" t="n">
        <v>0</v>
      </c>
      <c r="I3968" s="3">
        <f>E3968+G3968+H3968</f>
        <v/>
      </c>
      <c r="J3968" s="3">
        <f>ROUND(MIN(IF(C3968="Técnico III",35,IF(C3968="Técnico II",28,IF(C3968="Técnico I",23,IF(C3968="JR",20,IF(C3968="Estágio",10,0))))),IF(C3968="Técnico III",SUMIFS($D:$D,$A:$A,$A3968,$B:$B,"&lt;&gt;Patrícia Karla de Sousa Araújo",$B:$B,"&lt;&gt;Lorena Dias de Araujo",$B:$B,"&lt;&gt;Lucas Luiz Romero")*(35/1083),IF(C3968="Técnico II",SUMIFS($D:$D,$A:$A,$A3968,$B:$B,"&lt;&gt;Patrícia Karla de Sousa Araújo",$B:$B,"&lt;&gt;Lorena Dias de Araujo",$B:$B,"&lt;&gt;Lucas Luiz Romero")*(28/1083),IF(C3968="Técnico I",SUMIFS($D:$D,$A:$A,$A3968,$B:$B,"&lt;&gt;Patrícia Karla de Sousa Araújo",$B:$B,"&lt;&gt;Lorena Dias de Araujo",$B:$B,"&lt;&gt;Lucas Luiz Romero")*(23/1083),IF(C3968="JR",SUMIFS($D:$D,$A:$A,$A3968,$B:$B,"&lt;&gt;Patrícia Karla de Sousa Araújo",$B:$B,"&lt;&gt;Lorena Dias de Araujo",$B:$B,"&lt;&gt;Lucas Luiz Romero")*(20/1083),IF(C3968="Estágio",SUMIFS($D:$D,$A:$A,$A3968,$B:$B,"&lt;&gt;Patrícia Karla de Sousa Araújo",$B:$B,"&lt;&gt;Lorena Dias de Araujo",$B:$B,"&lt;&gt;Lucas Luiz Romero")*(10/1083),0)))))),0)</f>
        <v/>
      </c>
      <c r="K3968" s="3">
        <f>I3968-J3968</f>
        <v/>
      </c>
      <c r="L3968" s="3">
        <f>IF(K3968&lt;-5,"CRÍTICO",IF(K3968&lt;0,"ATENÇÃO",IF(K3968&lt;=5,"OPORTUNO","MUITO BOM")))</f>
        <v/>
      </c>
      <c r="N3968" t="n">
        <v>98.15000000000001</v>
      </c>
      <c r="O3968" t="n">
        <v>27.1551724137931</v>
      </c>
    </row>
    <row r="3969" hidden="1">
      <c r="A3969" s="11" t="n">
        <v>46126</v>
      </c>
      <c r="B3969" t="inlineStr">
        <is>
          <t>Leandro Oliveira de Sousa</t>
        </is>
      </c>
      <c r="C3969" t="inlineStr">
        <is>
          <t>Técnico III</t>
        </is>
      </c>
      <c r="D3969" t="n">
        <v>29</v>
      </c>
      <c r="E3969" t="n">
        <v>28</v>
      </c>
      <c r="F3969" t="n">
        <v>17</v>
      </c>
      <c r="G3969" t="n">
        <v>0</v>
      </c>
      <c r="H3969" t="n">
        <v>0</v>
      </c>
      <c r="I3969" s="3">
        <f>E3969+G3969+H3969</f>
        <v/>
      </c>
      <c r="J3969" s="3">
        <f>ROUND(MIN(IF(C3969="Técnico III",35,IF(C3969="Técnico II",28,IF(C3969="Técnico I",23,IF(C3969="JR",20,IF(C3969="Estágio",10,0))))),IF(C3969="Técnico III",SUMIFS($D:$D,$A:$A,$A3969,$B:$B,"&lt;&gt;Patrícia Karla de Sousa Araújo",$B:$B,"&lt;&gt;Lorena Dias de Araujo",$B:$B,"&lt;&gt;Lucas Luiz Romero")*(35/1083),IF(C3969="Técnico II",SUMIFS($D:$D,$A:$A,$A3969,$B:$B,"&lt;&gt;Patrícia Karla de Sousa Araújo",$B:$B,"&lt;&gt;Lorena Dias de Araujo",$B:$B,"&lt;&gt;Lucas Luiz Romero")*(28/1083),IF(C3969="Técnico I",SUMIFS($D:$D,$A:$A,$A3969,$B:$B,"&lt;&gt;Patrícia Karla de Sousa Araújo",$B:$B,"&lt;&gt;Lorena Dias de Araujo",$B:$B,"&lt;&gt;Lucas Luiz Romero")*(23/1083),IF(C3969="JR",SUMIFS($D:$D,$A:$A,$A3969,$B:$B,"&lt;&gt;Patrícia Karla de Sousa Araújo",$B:$B,"&lt;&gt;Lorena Dias de Araujo",$B:$B,"&lt;&gt;Lucas Luiz Romero")*(20/1083),IF(C3969="Estágio",SUMIFS($D:$D,$A:$A,$A3969,$B:$B,"&lt;&gt;Patrícia Karla de Sousa Araújo",$B:$B,"&lt;&gt;Lorena Dias de Araujo",$B:$B,"&lt;&gt;Lucas Luiz Romero")*(10/1083),0)))))),0)</f>
        <v/>
      </c>
      <c r="K3969" s="3">
        <f>I3969-J3969</f>
        <v/>
      </c>
      <c r="L3969" s="3">
        <f>IF(K3969&lt;-5,"CRÍTICO",IF(K3969&lt;0,"ATENÇÃO",IF(K3969&lt;=5,"OPORTUNO","MUITO BOM")))</f>
        <v/>
      </c>
      <c r="N3969" t="n">
        <v>99.15000000000001</v>
      </c>
      <c r="O3969" t="n">
        <v>27.37068965517241</v>
      </c>
    </row>
    <row r="3970" hidden="1">
      <c r="A3970" s="11" t="n">
        <v>46126</v>
      </c>
      <c r="B3970" t="inlineStr">
        <is>
          <t>Lizandra Gomes Duarte</t>
        </is>
      </c>
      <c r="C3970" t="inlineStr">
        <is>
          <t>Técnico II</t>
        </is>
      </c>
      <c r="D3970" t="n">
        <v>40</v>
      </c>
      <c r="E3970" t="n">
        <v>30</v>
      </c>
      <c r="F3970" t="n">
        <v>13.23</v>
      </c>
      <c r="G3970" t="n">
        <v>0</v>
      </c>
      <c r="H3970" t="n">
        <v>0</v>
      </c>
      <c r="I3970" s="3">
        <f>E3970+G3970+H3970</f>
        <v/>
      </c>
      <c r="J3970" s="3">
        <f>ROUND(MIN(IF(C3970="Técnico III",35,IF(C3970="Técnico II",28,IF(C3970="Técnico I",23,IF(C3970="JR",20,IF(C3970="Estágio",10,0))))),IF(C3970="Técnico III",SUMIFS($D:$D,$A:$A,$A3970,$B:$B,"&lt;&gt;Patrícia Karla de Sousa Araújo",$B:$B,"&lt;&gt;Lorena Dias de Araujo",$B:$B,"&lt;&gt;Lucas Luiz Romero")*(35/1083),IF(C3970="Técnico II",SUMIFS($D:$D,$A:$A,$A3970,$B:$B,"&lt;&gt;Patrícia Karla de Sousa Araújo",$B:$B,"&lt;&gt;Lorena Dias de Araujo",$B:$B,"&lt;&gt;Lucas Luiz Romero")*(28/1083),IF(C3970="Técnico I",SUMIFS($D:$D,$A:$A,$A3970,$B:$B,"&lt;&gt;Patrícia Karla de Sousa Araújo",$B:$B,"&lt;&gt;Lorena Dias de Araujo",$B:$B,"&lt;&gt;Lucas Luiz Romero")*(23/1083),IF(C3970="JR",SUMIFS($D:$D,$A:$A,$A3970,$B:$B,"&lt;&gt;Patrícia Karla de Sousa Araújo",$B:$B,"&lt;&gt;Lorena Dias de Araujo",$B:$B,"&lt;&gt;Lucas Luiz Romero")*(20/1083),IF(C3970="Estágio",SUMIFS($D:$D,$A:$A,$A3970,$B:$B,"&lt;&gt;Patrícia Karla de Sousa Araújo",$B:$B,"&lt;&gt;Lorena Dias de Araujo",$B:$B,"&lt;&gt;Lucas Luiz Romero")*(10/1083),0)))))),0)</f>
        <v/>
      </c>
      <c r="K3970" s="3">
        <f>I3970-J3970</f>
        <v/>
      </c>
      <c r="L3970" s="3">
        <f>IF(K3970&lt;-5,"CRÍTICO",IF(K3970&lt;0,"ATENÇÃO",IF(K3970&lt;=5,"OPORTUNO","MUITO BOM")))</f>
        <v/>
      </c>
      <c r="N3970" t="n">
        <v>99.17</v>
      </c>
      <c r="O3970" t="n">
        <v>29.75206611570248</v>
      </c>
    </row>
    <row r="3971" hidden="1">
      <c r="A3971" s="11" t="n">
        <v>46126</v>
      </c>
      <c r="B3971" t="inlineStr">
        <is>
          <t>Lorena Dias de Araujo</t>
        </is>
      </c>
      <c r="C3971" t="inlineStr">
        <is>
          <t>Técnico II</t>
        </is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s="3" t="n">
        <v>0</v>
      </c>
      <c r="J3971" s="3" t="n">
        <v>0</v>
      </c>
      <c r="K3971" s="3" t="n">
        <v>0</v>
      </c>
      <c r="L3971" s="3">
        <f>IF(K3971&lt;-5,"CRÍTICO",IF(K3971&lt;0,"ATENÇÃO",IF(K3971&lt;=5,"OPORTUNO","MUITO BOM")))</f>
        <v/>
      </c>
      <c r="N3971" t="n">
        <v>98.73</v>
      </c>
      <c r="O3971" t="n">
        <v>28.96174863387978</v>
      </c>
    </row>
    <row r="3972" hidden="1">
      <c r="A3972" s="11" t="n">
        <v>46126</v>
      </c>
      <c r="B3972" t="inlineStr">
        <is>
          <t>Lucas Luiz Romero</t>
        </is>
      </c>
      <c r="C3972" t="inlineStr">
        <is>
          <t>Técnico III</t>
        </is>
      </c>
      <c r="D3972" t="n">
        <v>36</v>
      </c>
      <c r="E3972" t="n">
        <v>25</v>
      </c>
      <c r="F3972" t="n">
        <v>15.12</v>
      </c>
      <c r="G3972" t="n">
        <v>0</v>
      </c>
      <c r="H3972" t="n">
        <v>0</v>
      </c>
      <c r="I3972" s="3">
        <f>E3972+G3972+H3972</f>
        <v/>
      </c>
      <c r="J3972" s="3">
        <f>ROUND(MIN(IF(C3972="Técnico III",35,IF(C3972="Técnico II",28,IF(C3972="Técnico I",23,IF(C3972="JR",20,IF(C3972="Estágio",10,0))))),IF(C3972="Técnico III",SUMIFS($D:$D,$A:$A,$A3972,$B:$B,"&lt;&gt;Patrícia Karla de Sousa Araújo",$B:$B,"&lt;&gt;Lorena Dias de Araujo",$B:$B,"&lt;&gt;Lucas Luiz Romero")*(35/1083),IF(C3972="Técnico II",SUMIFS($D:$D,$A:$A,$A3972,$B:$B,"&lt;&gt;Patrícia Karla de Sousa Araújo",$B:$B,"&lt;&gt;Lorena Dias de Araujo",$B:$B,"&lt;&gt;Lucas Luiz Romero")*(28/1083),IF(C3972="Técnico I",SUMIFS($D:$D,$A:$A,$A3972,$B:$B,"&lt;&gt;Patrícia Karla de Sousa Araújo",$B:$B,"&lt;&gt;Lorena Dias de Araujo",$B:$B,"&lt;&gt;Lucas Luiz Romero")*(23/1083),IF(C3972="JR",SUMIFS($D:$D,$A:$A,$A3972,$B:$B,"&lt;&gt;Patrícia Karla de Sousa Araújo",$B:$B,"&lt;&gt;Lorena Dias de Araujo",$B:$B,"&lt;&gt;Lucas Luiz Romero")*(20/1083),IF(C3972="Estágio",SUMIFS($D:$D,$A:$A,$A3972,$B:$B,"&lt;&gt;Patrícia Karla de Sousa Araújo",$B:$B,"&lt;&gt;Lorena Dias de Araujo",$B:$B,"&lt;&gt;Lucas Luiz Romero")*(10/1083),0)))))),0)</f>
        <v/>
      </c>
      <c r="K3972" s="3">
        <f>I3972-J3972</f>
        <v/>
      </c>
      <c r="L3972" s="3">
        <f>IF(K3972&lt;-5,"CRÍTICO",IF(K3972&lt;0,"ATENÇÃO",IF(K3972&lt;=5,"OPORTUNO","MUITO BOM")))</f>
        <v/>
      </c>
      <c r="N3972" t="n">
        <v>88.68000000000001</v>
      </c>
      <c r="O3972" t="n">
        <v>22.03389830508474</v>
      </c>
    </row>
    <row r="3973" hidden="1">
      <c r="A3973" s="11" t="n">
        <v>46126</v>
      </c>
      <c r="B3973" t="inlineStr">
        <is>
          <t>Luiz Fernando de Carvalho Junior</t>
        </is>
      </c>
      <c r="C3973" t="inlineStr">
        <is>
          <t>Técnico I</t>
        </is>
      </c>
      <c r="D3973" t="n">
        <v>24</v>
      </c>
      <c r="E3973" t="n">
        <v>20</v>
      </c>
      <c r="F3973" t="n">
        <v>20.34</v>
      </c>
      <c r="G3973" t="n">
        <v>0</v>
      </c>
      <c r="H3973" t="n">
        <v>0</v>
      </c>
      <c r="I3973" s="3">
        <f>E3973+G3973+H3973</f>
        <v/>
      </c>
      <c r="J3973" s="3">
        <f>ROUND(MIN(IF(C3973="Técnico III",35,IF(C3973="Técnico II",28,IF(C3973="Técnico I",23,IF(C3973="JR",20,IF(C3973="Estágio",10,0))))),IF(C3973="Técnico III",SUMIFS($D:$D,$A:$A,$A3973,$B:$B,"&lt;&gt;Patrícia Karla de Sousa Araújo",$B:$B,"&lt;&gt;Lorena Dias de Araujo",$B:$B,"&lt;&gt;Lucas Luiz Romero")*(35/1083),IF(C3973="Técnico II",SUMIFS($D:$D,$A:$A,$A3973,$B:$B,"&lt;&gt;Patrícia Karla de Sousa Araújo",$B:$B,"&lt;&gt;Lorena Dias de Araujo",$B:$B,"&lt;&gt;Lucas Luiz Romero")*(28/1083),IF(C3973="Técnico I",SUMIFS($D:$D,$A:$A,$A3973,$B:$B,"&lt;&gt;Patrícia Karla de Sousa Araújo",$B:$B,"&lt;&gt;Lorena Dias de Araujo",$B:$B,"&lt;&gt;Lucas Luiz Romero")*(23/1083),IF(C3973="JR",SUMIFS($D:$D,$A:$A,$A3973,$B:$B,"&lt;&gt;Patrícia Karla de Sousa Araújo",$B:$B,"&lt;&gt;Lorena Dias de Araujo",$B:$B,"&lt;&gt;Lucas Luiz Romero")*(20/1083),IF(C3973="Estágio",SUMIFS($D:$D,$A:$A,$A3973,$B:$B,"&lt;&gt;Patrícia Karla de Sousa Araújo",$B:$B,"&lt;&gt;Lorena Dias de Araujo",$B:$B,"&lt;&gt;Lucas Luiz Romero")*(10/1083),0)))))),0)</f>
        <v/>
      </c>
      <c r="K3973" s="3">
        <f>I3973-J3973</f>
        <v/>
      </c>
      <c r="L3973" s="3">
        <f>IF(K3973&lt;-5,"CRÍTICO",IF(K3973&lt;0,"ATENÇÃO",IF(K3973&lt;=5,"OPORTUNO","MUITO BOM")))</f>
        <v/>
      </c>
      <c r="N3973" t="n">
        <v>97.37</v>
      </c>
      <c r="O3973" t="n">
        <v>25.76530612244898</v>
      </c>
    </row>
    <row r="3974" hidden="1">
      <c r="A3974" s="11" t="n">
        <v>46126</v>
      </c>
      <c r="B3974" t="inlineStr">
        <is>
          <t>Maria Eduarda Sousa Costa</t>
        </is>
      </c>
      <c r="C3974" t="inlineStr">
        <is>
          <t>Estágio</t>
        </is>
      </c>
      <c r="D3974" t="n">
        <v>11</v>
      </c>
      <c r="E3974" t="n">
        <v>10</v>
      </c>
      <c r="F3974" t="n">
        <v>32.28</v>
      </c>
      <c r="G3974" t="n">
        <v>0</v>
      </c>
      <c r="H3974" t="n">
        <v>0</v>
      </c>
      <c r="I3974" s="3">
        <f>E3974+G3974+H3974</f>
        <v/>
      </c>
      <c r="J3974" s="3">
        <f>ROUND(MIN(IF(C3974="Técnico III",35,IF(C3974="Técnico II",28,IF(C3974="Técnico I",23,IF(C3974="JR",20,IF(C3974="Estágio",10,0))))),IF(C3974="Técnico III",SUMIFS($D:$D,$A:$A,$A3974,$B:$B,"&lt;&gt;Patrícia Karla de Sousa Araújo",$B:$B,"&lt;&gt;Lorena Dias de Araujo",$B:$B,"&lt;&gt;Lucas Luiz Romero")*(35/1083),IF(C3974="Técnico II",SUMIFS($D:$D,$A:$A,$A3974,$B:$B,"&lt;&gt;Patrícia Karla de Sousa Araújo",$B:$B,"&lt;&gt;Lorena Dias de Araujo",$B:$B,"&lt;&gt;Lucas Luiz Romero")*(28/1083),IF(C3974="Técnico I",SUMIFS($D:$D,$A:$A,$A3974,$B:$B,"&lt;&gt;Patrícia Karla de Sousa Araújo",$B:$B,"&lt;&gt;Lorena Dias de Araujo",$B:$B,"&lt;&gt;Lucas Luiz Romero")*(23/1083),IF(C3974="JR",SUMIFS($D:$D,$A:$A,$A3974,$B:$B,"&lt;&gt;Patrícia Karla de Sousa Araújo",$B:$B,"&lt;&gt;Lorena Dias de Araujo",$B:$B,"&lt;&gt;Lucas Luiz Romero")*(20/1083),IF(C3974="Estágio",SUMIFS($D:$D,$A:$A,$A3974,$B:$B,"&lt;&gt;Patrícia Karla de Sousa Araújo",$B:$B,"&lt;&gt;Lorena Dias de Araujo",$B:$B,"&lt;&gt;Lucas Luiz Romero")*(10/1083),0)))))),0)</f>
        <v/>
      </c>
      <c r="K3974" s="3">
        <f>I3974-J3974</f>
        <v/>
      </c>
      <c r="L3974" s="3">
        <f>IF(K3974&lt;-5,"CRÍTICO",IF(K3974&lt;0,"ATENÇÃO",IF(K3974&lt;=5,"OPORTUNO","MUITO BOM")))</f>
        <v/>
      </c>
      <c r="N3974" t="n">
        <v>100</v>
      </c>
      <c r="O3974" t="n">
        <v>25</v>
      </c>
    </row>
    <row r="3975" hidden="1">
      <c r="A3975" s="11" t="n">
        <v>46126</v>
      </c>
      <c r="B3975" t="inlineStr">
        <is>
          <t>Matheus Farias De Souza</t>
        </is>
      </c>
      <c r="C3975" t="inlineStr">
        <is>
          <t>Técnico III</t>
        </is>
      </c>
      <c r="D3975" t="n">
        <v>31</v>
      </c>
      <c r="E3975" t="n">
        <v>25</v>
      </c>
      <c r="F3975" t="n">
        <v>13.21</v>
      </c>
      <c r="G3975" t="n">
        <v>0</v>
      </c>
      <c r="H3975" t="n">
        <v>0</v>
      </c>
      <c r="I3975" s="3">
        <f>E3975+G3975+H3975</f>
        <v/>
      </c>
      <c r="J3975" s="3">
        <f>ROUND(MIN(IF(C3975="Técnico III",35,IF(C3975="Técnico II",28,IF(C3975="Técnico I",23,IF(C3975="JR",20,IF(C3975="Estágio",10,0))))),IF(C3975="Técnico III",SUMIFS($D:$D,$A:$A,$A3975,$B:$B,"&lt;&gt;Patrícia Karla de Sousa Araújo",$B:$B,"&lt;&gt;Lorena Dias de Araujo",$B:$B,"&lt;&gt;Lucas Luiz Romero")*(35/1083),IF(C3975="Técnico II",SUMIFS($D:$D,$A:$A,$A3975,$B:$B,"&lt;&gt;Patrícia Karla de Sousa Araújo",$B:$B,"&lt;&gt;Lorena Dias de Araujo",$B:$B,"&lt;&gt;Lucas Luiz Romero")*(28/1083),IF(C3975="Técnico I",SUMIFS($D:$D,$A:$A,$A3975,$B:$B,"&lt;&gt;Patrícia Karla de Sousa Araújo",$B:$B,"&lt;&gt;Lorena Dias de Araujo",$B:$B,"&lt;&gt;Lucas Luiz Romero")*(23/1083),IF(C3975="JR",SUMIFS($D:$D,$A:$A,$A3975,$B:$B,"&lt;&gt;Patrícia Karla de Sousa Araújo",$B:$B,"&lt;&gt;Lorena Dias de Araujo",$B:$B,"&lt;&gt;Lucas Luiz Romero")*(20/1083),IF(C3975="Estágio",SUMIFS($D:$D,$A:$A,$A3975,$B:$B,"&lt;&gt;Patrícia Karla de Sousa Araújo",$B:$B,"&lt;&gt;Lorena Dias de Araujo",$B:$B,"&lt;&gt;Lucas Luiz Romero")*(10/1083),0)))))),0)</f>
        <v/>
      </c>
      <c r="K3975" s="3">
        <f>I3975-J3975</f>
        <v/>
      </c>
      <c r="L3975" s="3">
        <f>IF(K3975&lt;-5,"CRÍTICO",IF(K3975&lt;0,"ATENÇÃO",IF(K3975&lt;=5,"OPORTUNO","MUITO BOM")))</f>
        <v/>
      </c>
      <c r="N3975" t="n">
        <v>100</v>
      </c>
      <c r="O3975" t="n">
        <v>23.9870340356564</v>
      </c>
    </row>
    <row r="3976" hidden="1">
      <c r="A3976" s="11" t="n">
        <v>46126</v>
      </c>
      <c r="B3976" t="inlineStr">
        <is>
          <t>Maysa Victoria Dias Moura</t>
        </is>
      </c>
      <c r="C3976" t="inlineStr">
        <is>
          <t>Técnico III</t>
        </is>
      </c>
      <c r="D3976" t="n">
        <v>39</v>
      </c>
      <c r="E3976" t="n">
        <v>37</v>
      </c>
      <c r="F3976" t="n">
        <v>12.02</v>
      </c>
      <c r="G3976" t="n">
        <v>0</v>
      </c>
      <c r="H3976" t="n">
        <v>0</v>
      </c>
      <c r="I3976" s="3">
        <f>E3976+G3976+H3976</f>
        <v/>
      </c>
      <c r="J3976" s="3">
        <f>ROUND(MIN(IF(C3976="Técnico III",35,IF(C3976="Técnico II",28,IF(C3976="Técnico I",23,IF(C3976="JR",20,IF(C3976="Estágio",10,0))))),IF(C3976="Técnico III",SUMIFS($D:$D,$A:$A,$A3976,$B:$B,"&lt;&gt;Patrícia Karla de Sousa Araújo",$B:$B,"&lt;&gt;Lorena Dias de Araujo",$B:$B,"&lt;&gt;Lucas Luiz Romero")*(35/1083),IF(C3976="Técnico II",SUMIFS($D:$D,$A:$A,$A3976,$B:$B,"&lt;&gt;Patrícia Karla de Sousa Araújo",$B:$B,"&lt;&gt;Lorena Dias de Araujo",$B:$B,"&lt;&gt;Lucas Luiz Romero")*(28/1083),IF(C3976="Técnico I",SUMIFS($D:$D,$A:$A,$A3976,$B:$B,"&lt;&gt;Patrícia Karla de Sousa Araújo",$B:$B,"&lt;&gt;Lorena Dias de Araujo",$B:$B,"&lt;&gt;Lucas Luiz Romero")*(23/1083),IF(C3976="JR",SUMIFS($D:$D,$A:$A,$A3976,$B:$B,"&lt;&gt;Patrícia Karla de Sousa Araújo",$B:$B,"&lt;&gt;Lorena Dias de Araujo",$B:$B,"&lt;&gt;Lucas Luiz Romero")*(20/1083),IF(C3976="Estágio",SUMIFS($D:$D,$A:$A,$A3976,$B:$B,"&lt;&gt;Patrícia Karla de Sousa Araújo",$B:$B,"&lt;&gt;Lorena Dias de Araujo",$B:$B,"&lt;&gt;Lucas Luiz Romero")*(10/1083),0)))))),0)</f>
        <v/>
      </c>
      <c r="K3976" s="3">
        <f>I3976-J3976</f>
        <v/>
      </c>
      <c r="L3976" s="3">
        <f>IF(K3976&lt;-5,"CRÍTICO",IF(K3976&lt;0,"ATENÇÃO",IF(K3976&lt;=5,"OPORTUNO","MUITO BOM")))</f>
        <v/>
      </c>
      <c r="N3976" t="n">
        <v>95.48999999999999</v>
      </c>
      <c r="O3976" t="n">
        <v>28.16901408450704</v>
      </c>
    </row>
    <row r="3977" hidden="1">
      <c r="A3977" s="11" t="n">
        <v>46126</v>
      </c>
      <c r="B3977" t="inlineStr">
        <is>
          <t>Michelle G Santos</t>
        </is>
      </c>
      <c r="C3977" t="inlineStr">
        <is>
          <t>Estágio</t>
        </is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s="3" t="n">
        <v>0</v>
      </c>
      <c r="J3977" s="3" t="n">
        <v>0</v>
      </c>
      <c r="K3977" s="3" t="n">
        <v>0</v>
      </c>
      <c r="L3977" s="3">
        <f>IF(K3977&lt;-5,"CRÍTICO",IF(K3977&lt;0,"ATENÇÃO",IF(K3977&lt;=5,"OPORTUNO","MUITO BOM")))</f>
        <v/>
      </c>
      <c r="N3977" t="n">
        <v>100</v>
      </c>
      <c r="O3977" t="n">
        <v>23.77622377622378</v>
      </c>
    </row>
    <row r="3978" hidden="1">
      <c r="A3978" s="11" t="n">
        <v>46126</v>
      </c>
      <c r="B3978" t="inlineStr">
        <is>
          <t>Milena Sales</t>
        </is>
      </c>
      <c r="C3978" t="inlineStr">
        <is>
          <t>JR</t>
        </is>
      </c>
      <c r="D3978" t="n">
        <v>39</v>
      </c>
      <c r="E3978" t="n">
        <v>35</v>
      </c>
      <c r="F3978" t="n">
        <v>13.33</v>
      </c>
      <c r="G3978" t="n">
        <v>0</v>
      </c>
      <c r="H3978" t="n">
        <v>0</v>
      </c>
      <c r="I3978" s="3">
        <f>E3978+G3978+H3978</f>
        <v/>
      </c>
      <c r="J3978" s="3">
        <f>ROUND(MIN(IF(C3978="Técnico III",35,IF(C3978="Técnico II",28,IF(C3978="Técnico I",23,IF(C3978="JR",20,IF(C3978="Estágio",10,0))))),IF(C3978="Técnico III",SUMIFS($D:$D,$A:$A,$A3978,$B:$B,"&lt;&gt;Patrícia Karla de Sousa Araújo",$B:$B,"&lt;&gt;Lorena Dias de Araujo",$B:$B,"&lt;&gt;Lucas Luiz Romero")*(35/1083),IF(C3978="Técnico II",SUMIFS($D:$D,$A:$A,$A3978,$B:$B,"&lt;&gt;Patrícia Karla de Sousa Araújo",$B:$B,"&lt;&gt;Lorena Dias de Araujo",$B:$B,"&lt;&gt;Lucas Luiz Romero")*(28/1083),IF(C3978="Técnico I",SUMIFS($D:$D,$A:$A,$A3978,$B:$B,"&lt;&gt;Patrícia Karla de Sousa Araújo",$B:$B,"&lt;&gt;Lorena Dias de Araujo",$B:$B,"&lt;&gt;Lucas Luiz Romero")*(23/1083),IF(C3978="JR",SUMIFS($D:$D,$A:$A,$A3978,$B:$B,"&lt;&gt;Patrícia Karla de Sousa Araújo",$B:$B,"&lt;&gt;Lorena Dias de Araujo",$B:$B,"&lt;&gt;Lucas Luiz Romero")*(20/1083),IF(C3978="Estágio",SUMIFS($D:$D,$A:$A,$A3978,$B:$B,"&lt;&gt;Patrícia Karla de Sousa Araújo",$B:$B,"&lt;&gt;Lorena Dias de Araujo",$B:$B,"&lt;&gt;Lucas Luiz Romero")*(10/1083),0)))))),0)</f>
        <v/>
      </c>
      <c r="K3978" s="3">
        <f>I3978-J3978</f>
        <v/>
      </c>
      <c r="L3978" s="3">
        <f>IF(K3978&lt;-5,"CRÍTICO",IF(K3978&lt;0,"ATENÇÃO",IF(K3978&lt;=5,"OPORTUNO","MUITO BOM")))</f>
        <v/>
      </c>
      <c r="N3978" t="n">
        <v>96.15000000000001</v>
      </c>
      <c r="O3978" t="n">
        <v>24.04580152671756</v>
      </c>
    </row>
    <row r="3979" hidden="1">
      <c r="A3979" s="11" t="n">
        <v>46126</v>
      </c>
      <c r="B3979" t="inlineStr">
        <is>
          <t>Patrícia Karla de Sousa Araújo</t>
        </is>
      </c>
      <c r="C3979" t="inlineStr">
        <is>
          <t>Técnico II</t>
        </is>
      </c>
      <c r="D3979" t="n">
        <v>32</v>
      </c>
      <c r="E3979" t="n">
        <v>30</v>
      </c>
      <c r="F3979" t="n">
        <v>16.52</v>
      </c>
      <c r="G3979" t="n">
        <v>0</v>
      </c>
      <c r="H3979" t="n">
        <v>0</v>
      </c>
      <c r="I3979" s="3">
        <f>E3979+G3979+H3979</f>
        <v/>
      </c>
      <c r="J3979" s="3">
        <f>ROUND(MIN(IF(C3979="Técnico III",35,IF(C3979="Técnico II",28,IF(C3979="Técnico I",23,IF(C3979="JR",20,IF(C3979="Estágio",10,0))))),IF(C3979="Técnico III",SUMIFS($D:$D,$A:$A,$A3979,$B:$B,"&lt;&gt;Patrícia Karla de Sousa Araújo",$B:$B,"&lt;&gt;Lorena Dias de Araujo",$B:$B,"&lt;&gt;Lucas Luiz Romero")*(35/1083),IF(C3979="Técnico II",SUMIFS($D:$D,$A:$A,$A3979,$B:$B,"&lt;&gt;Patrícia Karla de Sousa Araújo",$B:$B,"&lt;&gt;Lorena Dias de Araujo",$B:$B,"&lt;&gt;Lucas Luiz Romero")*(28/1083),IF(C3979="Técnico I",SUMIFS($D:$D,$A:$A,$A3979,$B:$B,"&lt;&gt;Patrícia Karla de Sousa Araújo",$B:$B,"&lt;&gt;Lorena Dias de Araujo",$B:$B,"&lt;&gt;Lucas Luiz Romero")*(23/1083),IF(C3979="JR",SUMIFS($D:$D,$A:$A,$A3979,$B:$B,"&lt;&gt;Patrícia Karla de Sousa Araújo",$B:$B,"&lt;&gt;Lorena Dias de Araujo",$B:$B,"&lt;&gt;Lucas Luiz Romero")*(20/1083),IF(C3979="Estágio",SUMIFS($D:$D,$A:$A,$A3979,$B:$B,"&lt;&gt;Patrícia Karla de Sousa Araújo",$B:$B,"&lt;&gt;Lorena Dias de Araujo",$B:$B,"&lt;&gt;Lucas Luiz Romero")*(10/1083),0)))))),0)</f>
        <v/>
      </c>
      <c r="K3979" s="3">
        <f>I3979-J3979</f>
        <v/>
      </c>
      <c r="L3979" s="3">
        <f>IF(K3979&lt;-5,"CRÍTICO",IF(K3979&lt;0,"ATENÇÃO",IF(K3979&lt;=5,"OPORTUNO","MUITO BOM")))</f>
        <v/>
      </c>
      <c r="N3979" t="n">
        <v>99.02</v>
      </c>
      <c r="O3979" t="n">
        <v>34.7972972972973</v>
      </c>
    </row>
    <row r="3980" hidden="1">
      <c r="A3980" s="11" t="n">
        <v>46126</v>
      </c>
      <c r="B3980" t="inlineStr">
        <is>
          <t>Paulo Ricardo Santos</t>
        </is>
      </c>
      <c r="C3980" t="inlineStr">
        <is>
          <t>JR</t>
        </is>
      </c>
      <c r="D3980" t="n">
        <v>24</v>
      </c>
      <c r="E3980" t="n">
        <v>24</v>
      </c>
      <c r="F3980" t="n">
        <v>15.58</v>
      </c>
      <c r="G3980" t="n">
        <v>0</v>
      </c>
      <c r="H3980" t="n">
        <v>0</v>
      </c>
      <c r="I3980" s="3">
        <f>E3980+G3980+H3980</f>
        <v/>
      </c>
      <c r="J3980" s="3">
        <f>ROUND(MIN(IF(C3980="Técnico III",35,IF(C3980="Técnico II",28,IF(C3980="Técnico I",23,IF(C3980="JR",20,IF(C3980="Estágio",10,0))))),IF(C3980="Técnico III",SUMIFS($D:$D,$A:$A,$A3980,$B:$B,"&lt;&gt;Patrícia Karla de Sousa Araújo",$B:$B,"&lt;&gt;Lorena Dias de Araujo",$B:$B,"&lt;&gt;Lucas Luiz Romero")*(35/1083),IF(C3980="Técnico II",SUMIFS($D:$D,$A:$A,$A3980,$B:$B,"&lt;&gt;Patrícia Karla de Sousa Araújo",$B:$B,"&lt;&gt;Lorena Dias de Araujo",$B:$B,"&lt;&gt;Lucas Luiz Romero")*(28/1083),IF(C3980="Técnico I",SUMIFS($D:$D,$A:$A,$A3980,$B:$B,"&lt;&gt;Patrícia Karla de Sousa Araújo",$B:$B,"&lt;&gt;Lorena Dias de Araujo",$B:$B,"&lt;&gt;Lucas Luiz Romero")*(23/1083),IF(C3980="JR",SUMIFS($D:$D,$A:$A,$A3980,$B:$B,"&lt;&gt;Patrícia Karla de Sousa Araújo",$B:$B,"&lt;&gt;Lorena Dias de Araujo",$B:$B,"&lt;&gt;Lucas Luiz Romero")*(20/1083),IF(C3980="Estágio",SUMIFS($D:$D,$A:$A,$A3980,$B:$B,"&lt;&gt;Patrícia Karla de Sousa Araújo",$B:$B,"&lt;&gt;Lorena Dias de Araujo",$B:$B,"&lt;&gt;Lucas Luiz Romero")*(10/1083),0)))))),0)</f>
        <v/>
      </c>
      <c r="K3980" s="3">
        <f>I3980-J3980</f>
        <v/>
      </c>
      <c r="L3980" s="3">
        <f>IF(K3980&lt;-5,"CRÍTICO",IF(K3980&lt;0,"ATENÇÃO",IF(K3980&lt;=5,"OPORTUNO","MUITO BOM")))</f>
        <v/>
      </c>
      <c r="N3980" t="n">
        <v>98.84</v>
      </c>
      <c r="O3980" t="n">
        <v>31.5018315018315</v>
      </c>
    </row>
    <row r="3981" hidden="1">
      <c r="A3981" s="11" t="n">
        <v>46126</v>
      </c>
      <c r="B3981" t="inlineStr">
        <is>
          <t>Pedro Luiz Mota Sousa</t>
        </is>
      </c>
      <c r="C3981" t="inlineStr">
        <is>
          <t>JR</t>
        </is>
      </c>
      <c r="D3981" t="n">
        <v>19</v>
      </c>
      <c r="E3981" t="n">
        <v>19</v>
      </c>
      <c r="F3981" t="n">
        <v>18.56</v>
      </c>
      <c r="G3981" t="n">
        <v>0</v>
      </c>
      <c r="H3981" t="n">
        <v>0</v>
      </c>
      <c r="I3981" s="3">
        <f>E3981+G3981+H3981</f>
        <v/>
      </c>
      <c r="J3981" s="3">
        <f>ROUND(MIN(IF(C3981="Técnico III",35,IF(C3981="Técnico II",28,IF(C3981="Técnico I",23,IF(C3981="JR",20,IF(C3981="Estágio",10,0))))),IF(C3981="Técnico III",SUMIFS($D:$D,$A:$A,$A3981,$B:$B,"&lt;&gt;Patrícia Karla de Sousa Araújo",$B:$B,"&lt;&gt;Lorena Dias de Araujo",$B:$B,"&lt;&gt;Lucas Luiz Romero")*(35/1083),IF(C3981="Técnico II",SUMIFS($D:$D,$A:$A,$A3981,$B:$B,"&lt;&gt;Patrícia Karla de Sousa Araújo",$B:$B,"&lt;&gt;Lorena Dias de Araujo",$B:$B,"&lt;&gt;Lucas Luiz Romero")*(28/1083),IF(C3981="Técnico I",SUMIFS($D:$D,$A:$A,$A3981,$B:$B,"&lt;&gt;Patrícia Karla de Sousa Araújo",$B:$B,"&lt;&gt;Lorena Dias de Araujo",$B:$B,"&lt;&gt;Lucas Luiz Romero")*(23/1083),IF(C3981="JR",SUMIFS($D:$D,$A:$A,$A3981,$B:$B,"&lt;&gt;Patrícia Karla de Sousa Araújo",$B:$B,"&lt;&gt;Lorena Dias de Araujo",$B:$B,"&lt;&gt;Lucas Luiz Romero")*(20/1083),IF(C3981="Estágio",SUMIFS($D:$D,$A:$A,$A3981,$B:$B,"&lt;&gt;Patrícia Karla de Sousa Araújo",$B:$B,"&lt;&gt;Lorena Dias de Araujo",$B:$B,"&lt;&gt;Lucas Luiz Romero")*(10/1083),0)))))),0)</f>
        <v/>
      </c>
      <c r="K3981" s="3">
        <f>I3981-J3981</f>
        <v/>
      </c>
      <c r="L3981" s="3">
        <f>IF(K3981&lt;-5,"CRÍTICO",IF(K3981&lt;0,"ATENÇÃO",IF(K3981&lt;=5,"OPORTUNO","MUITO BOM")))</f>
        <v/>
      </c>
      <c r="N3981" t="n">
        <v>100</v>
      </c>
      <c r="O3981" t="n">
        <v>34.66666666666667</v>
      </c>
    </row>
    <row r="3982" hidden="1">
      <c r="A3982" s="11" t="n">
        <v>46126</v>
      </c>
      <c r="B3982" t="inlineStr">
        <is>
          <t>Quirino Diogo Leite Torres</t>
        </is>
      </c>
      <c r="C3982" t="inlineStr">
        <is>
          <t>Estágio</t>
        </is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s="3" t="n">
        <v>0</v>
      </c>
      <c r="J3982" s="3" t="n">
        <v>0</v>
      </c>
      <c r="K3982" s="3" t="n">
        <v>0</v>
      </c>
      <c r="L3982" s="3">
        <f>IF(K3982&lt;-5,"CRÍTICO",IF(K3982&lt;0,"ATENÇÃO",IF(K3982&lt;=5,"OPORTUNO","MUITO BOM")))</f>
        <v/>
      </c>
      <c r="N3982" t="n">
        <v>94.12</v>
      </c>
      <c r="O3982" t="n">
        <v>32.8</v>
      </c>
    </row>
    <row r="3983" hidden="1">
      <c r="A3983" s="11" t="n">
        <v>46126</v>
      </c>
      <c r="B3983" t="inlineStr">
        <is>
          <t>Raane Batista Matos</t>
        </is>
      </c>
      <c r="C3983" t="inlineStr">
        <is>
          <t>Técnico I</t>
        </is>
      </c>
      <c r="D3983" t="n">
        <v>30</v>
      </c>
      <c r="E3983" t="n">
        <v>29</v>
      </c>
      <c r="F3983" t="n">
        <v>15.13</v>
      </c>
      <c r="G3983" t="n">
        <v>0</v>
      </c>
      <c r="H3983" t="n">
        <v>0</v>
      </c>
      <c r="I3983" s="3">
        <f>E3983+G3983+H3983</f>
        <v/>
      </c>
      <c r="J3983" s="3">
        <f>ROUND(MIN(IF(C3983="Técnico III",35,IF(C3983="Técnico II",28,IF(C3983="Técnico I",23,IF(C3983="JR",20,IF(C3983="Estágio",10,0))))),IF(C3983="Técnico III",SUMIFS($D:$D,$A:$A,$A3983,$B:$B,"&lt;&gt;Patrícia Karla de Sousa Araújo",$B:$B,"&lt;&gt;Lorena Dias de Araujo",$B:$B,"&lt;&gt;Lucas Luiz Romero")*(35/1083),IF(C3983="Técnico II",SUMIFS($D:$D,$A:$A,$A3983,$B:$B,"&lt;&gt;Patrícia Karla de Sousa Araújo",$B:$B,"&lt;&gt;Lorena Dias de Araujo",$B:$B,"&lt;&gt;Lucas Luiz Romero")*(28/1083),IF(C3983="Técnico I",SUMIFS($D:$D,$A:$A,$A3983,$B:$B,"&lt;&gt;Patrícia Karla de Sousa Araújo",$B:$B,"&lt;&gt;Lorena Dias de Araujo",$B:$B,"&lt;&gt;Lucas Luiz Romero")*(23/1083),IF(C3983="JR",SUMIFS($D:$D,$A:$A,$A3983,$B:$B,"&lt;&gt;Patrícia Karla de Sousa Araújo",$B:$B,"&lt;&gt;Lorena Dias de Araujo",$B:$B,"&lt;&gt;Lucas Luiz Romero")*(20/1083),IF(C3983="Estágio",SUMIFS($D:$D,$A:$A,$A3983,$B:$B,"&lt;&gt;Patrícia Karla de Sousa Araújo",$B:$B,"&lt;&gt;Lorena Dias de Araujo",$B:$B,"&lt;&gt;Lucas Luiz Romero")*(10/1083),0)))))),0)</f>
        <v/>
      </c>
      <c r="K3983" s="3">
        <f>I3983-J3983</f>
        <v/>
      </c>
      <c r="L3983" s="3">
        <f>IF(K3983&lt;-5,"CRÍTICO",IF(K3983&lt;0,"ATENÇÃO",IF(K3983&lt;=5,"OPORTUNO","MUITO BOM")))</f>
        <v/>
      </c>
      <c r="N3983" t="n">
        <v>98.31999999999999</v>
      </c>
      <c r="O3983" t="n">
        <v>26.61870503597122</v>
      </c>
    </row>
    <row r="3984" hidden="1">
      <c r="A3984" s="11" t="n">
        <v>46126</v>
      </c>
      <c r="B3984" t="inlineStr">
        <is>
          <t>Rafael Gomes de Morais</t>
        </is>
      </c>
      <c r="C3984" t="inlineStr">
        <is>
          <t>Técnico III</t>
        </is>
      </c>
      <c r="D3984" t="n">
        <v>43</v>
      </c>
      <c r="E3984" t="n">
        <v>36</v>
      </c>
      <c r="F3984" t="n">
        <v>12.13</v>
      </c>
      <c r="G3984" t="n">
        <v>0</v>
      </c>
      <c r="H3984" t="n">
        <v>0</v>
      </c>
      <c r="I3984" s="3">
        <f>E3984+G3984+H3984</f>
        <v/>
      </c>
      <c r="J3984" s="3">
        <f>ROUND(MIN(IF(C3984="Técnico III",35,IF(C3984="Técnico II",28,IF(C3984="Técnico I",23,IF(C3984="JR",20,IF(C3984="Estágio",10,0))))),IF(C3984="Técnico III",SUMIFS($D:$D,$A:$A,$A3984,$B:$B,"&lt;&gt;Patrícia Karla de Sousa Araújo",$B:$B,"&lt;&gt;Lorena Dias de Araujo",$B:$B,"&lt;&gt;Lucas Luiz Romero")*(35/1083),IF(C3984="Técnico II",SUMIFS($D:$D,$A:$A,$A3984,$B:$B,"&lt;&gt;Patrícia Karla de Sousa Araújo",$B:$B,"&lt;&gt;Lorena Dias de Araujo",$B:$B,"&lt;&gt;Lucas Luiz Romero")*(28/1083),IF(C3984="Técnico I",SUMIFS($D:$D,$A:$A,$A3984,$B:$B,"&lt;&gt;Patrícia Karla de Sousa Araújo",$B:$B,"&lt;&gt;Lorena Dias de Araujo",$B:$B,"&lt;&gt;Lucas Luiz Romero")*(23/1083),IF(C3984="JR",SUMIFS($D:$D,$A:$A,$A3984,$B:$B,"&lt;&gt;Patrícia Karla de Sousa Araújo",$B:$B,"&lt;&gt;Lorena Dias de Araujo",$B:$B,"&lt;&gt;Lucas Luiz Romero")*(20/1083),IF(C3984="Estágio",SUMIFS($D:$D,$A:$A,$A3984,$B:$B,"&lt;&gt;Patrícia Karla de Sousa Araújo",$B:$B,"&lt;&gt;Lorena Dias de Araujo",$B:$B,"&lt;&gt;Lucas Luiz Romero")*(10/1083),0)))))),0)</f>
        <v/>
      </c>
      <c r="K3984" s="3">
        <f>I3984-J3984</f>
        <v/>
      </c>
      <c r="L3984" s="3">
        <f>IF(K3984&lt;-5,"CRÍTICO",IF(K3984&lt;0,"ATENÇÃO",IF(K3984&lt;=5,"OPORTUNO","MUITO BOM")))</f>
        <v/>
      </c>
      <c r="N3984" t="n">
        <v>100</v>
      </c>
      <c r="O3984" t="n">
        <v>31.13553113553114</v>
      </c>
    </row>
    <row r="3985" hidden="1">
      <c r="A3985" s="11" t="n">
        <v>46126</v>
      </c>
      <c r="B3985" t="inlineStr">
        <is>
          <t>Sara Maria Monteiro Lopes</t>
        </is>
      </c>
      <c r="C3985" t="inlineStr">
        <is>
          <t>Técnico I</t>
        </is>
      </c>
      <c r="D3985" t="n">
        <v>20</v>
      </c>
      <c r="E3985" t="n">
        <v>19</v>
      </c>
      <c r="F3985" t="n">
        <v>30.37</v>
      </c>
      <c r="G3985" t="n">
        <v>0</v>
      </c>
      <c r="H3985" t="n">
        <v>0</v>
      </c>
      <c r="I3985" s="3">
        <f>E3985+G3985+H3985</f>
        <v/>
      </c>
      <c r="J3985" s="3">
        <f>ROUND(MIN(IF(C3985="Técnico III",35,IF(C3985="Técnico II",28,IF(C3985="Técnico I",23,IF(C3985="JR",20,IF(C3985="Estágio",10,0))))),IF(C3985="Técnico III",SUMIFS($D:$D,$A:$A,$A3985,$B:$B,"&lt;&gt;Patrícia Karla de Sousa Araújo",$B:$B,"&lt;&gt;Lorena Dias de Araujo",$B:$B,"&lt;&gt;Lucas Luiz Romero")*(35/1083),IF(C3985="Técnico II",SUMIFS($D:$D,$A:$A,$A3985,$B:$B,"&lt;&gt;Patrícia Karla de Sousa Araújo",$B:$B,"&lt;&gt;Lorena Dias de Araujo",$B:$B,"&lt;&gt;Lucas Luiz Romero")*(28/1083),IF(C3985="Técnico I",SUMIFS($D:$D,$A:$A,$A3985,$B:$B,"&lt;&gt;Patrícia Karla de Sousa Araújo",$B:$B,"&lt;&gt;Lorena Dias de Araujo",$B:$B,"&lt;&gt;Lucas Luiz Romero")*(23/1083),IF(C3985="JR",SUMIFS($D:$D,$A:$A,$A3985,$B:$B,"&lt;&gt;Patrícia Karla de Sousa Araújo",$B:$B,"&lt;&gt;Lorena Dias de Araujo",$B:$B,"&lt;&gt;Lucas Luiz Romero")*(20/1083),IF(C3985="Estágio",SUMIFS($D:$D,$A:$A,$A3985,$B:$B,"&lt;&gt;Patrícia Karla de Sousa Araújo",$B:$B,"&lt;&gt;Lorena Dias de Araujo",$B:$B,"&lt;&gt;Lucas Luiz Romero")*(10/1083),0)))))),0)</f>
        <v/>
      </c>
      <c r="K3985" s="3">
        <f>I3985-J3985</f>
        <v/>
      </c>
      <c r="L3985" s="3">
        <f>IF(K3985&lt;-5,"CRÍTICO",IF(K3985&lt;0,"ATENÇÃO",IF(K3985&lt;=5,"OPORTUNO","MUITO BOM")))</f>
        <v/>
      </c>
      <c r="N3985" t="n">
        <v>100</v>
      </c>
      <c r="O3985" t="n">
        <v>26.02739726027397</v>
      </c>
    </row>
    <row r="3986" hidden="1">
      <c r="A3986" s="11" t="n">
        <v>46126</v>
      </c>
      <c r="B3986" t="inlineStr">
        <is>
          <t>Sarah Steffanie de Lima Borges</t>
        </is>
      </c>
      <c r="C3986" t="inlineStr">
        <is>
          <t>Técnico III</t>
        </is>
      </c>
      <c r="D3986" t="n">
        <v>24</v>
      </c>
      <c r="E3986" t="n">
        <v>22</v>
      </c>
      <c r="F3986" t="n">
        <v>15.09</v>
      </c>
      <c r="G3986" t="n">
        <v>0</v>
      </c>
      <c r="H3986" t="n">
        <v>0</v>
      </c>
      <c r="I3986" s="3">
        <f>E3986+G3986+H3986</f>
        <v/>
      </c>
      <c r="J3986" s="3">
        <f>ROUND(MIN(IF(C3986="Técnico III",35,IF(C3986="Técnico II",28,IF(C3986="Técnico I",23,IF(C3986="JR",20,IF(C3986="Estágio",10,0))))),IF(C3986="Técnico III",SUMIFS($D:$D,$A:$A,$A3986,$B:$B,"&lt;&gt;Patrícia Karla de Sousa Araújo",$B:$B,"&lt;&gt;Lorena Dias de Araujo",$B:$B,"&lt;&gt;Lucas Luiz Romero")*(35/1083),IF(C3986="Técnico II",SUMIFS($D:$D,$A:$A,$A3986,$B:$B,"&lt;&gt;Patrícia Karla de Sousa Araújo",$B:$B,"&lt;&gt;Lorena Dias de Araujo",$B:$B,"&lt;&gt;Lucas Luiz Romero")*(28/1083),IF(C3986="Técnico I",SUMIFS($D:$D,$A:$A,$A3986,$B:$B,"&lt;&gt;Patrícia Karla de Sousa Araújo",$B:$B,"&lt;&gt;Lorena Dias de Araujo",$B:$B,"&lt;&gt;Lucas Luiz Romero")*(23/1083),IF(C3986="JR",SUMIFS($D:$D,$A:$A,$A3986,$B:$B,"&lt;&gt;Patrícia Karla de Sousa Araújo",$B:$B,"&lt;&gt;Lorena Dias de Araujo",$B:$B,"&lt;&gt;Lucas Luiz Romero")*(20/1083),IF(C3986="Estágio",SUMIFS($D:$D,$A:$A,$A3986,$B:$B,"&lt;&gt;Patrícia Karla de Sousa Araújo",$B:$B,"&lt;&gt;Lorena Dias de Araujo",$B:$B,"&lt;&gt;Lucas Luiz Romero")*(10/1083),0)))))),0)</f>
        <v/>
      </c>
      <c r="K3986" s="3">
        <f>I3986-J3986</f>
        <v/>
      </c>
      <c r="L3986" s="3">
        <f>IF(K3986&lt;-5,"CRÍTICO",IF(K3986&lt;0,"ATENÇÃO",IF(K3986&lt;=5,"OPORTUNO","MUITO BOM")))</f>
        <v/>
      </c>
      <c r="N3986" t="n">
        <v>99.20999999999999</v>
      </c>
      <c r="O3986" t="n">
        <v>24.93702770780856</v>
      </c>
    </row>
    <row r="3987" hidden="1">
      <c r="A3987" s="11" t="n">
        <v>46127</v>
      </c>
      <c r="B3987" t="inlineStr">
        <is>
          <t>Alisson de Freitas Silva</t>
        </is>
      </c>
      <c r="C3987" t="inlineStr">
        <is>
          <t>Técnico II</t>
        </is>
      </c>
      <c r="D3987" t="n">
        <v>31</v>
      </c>
      <c r="E3987" t="n">
        <v>26</v>
      </c>
      <c r="F3987" t="n">
        <v>15.24</v>
      </c>
      <c r="G3987" t="n">
        <v>0</v>
      </c>
      <c r="H3987" t="n">
        <v>0</v>
      </c>
      <c r="I3987" s="3">
        <f>E3987+G3987+H3987</f>
        <v/>
      </c>
      <c r="J3987" s="3">
        <f>ROUND(MIN(IF(C3987="Técnico III",35,IF(C3987="Técnico II",28,IF(C3987="Técnico I",23,IF(C3987="JR",20,IF(C3987="Estágio",10,0))))),IF(C3987="Técnico III",SUMIFS($D:$D,$A:$A,$A3987,$B:$B,"&lt;&gt;Patrícia Karla de Sousa Araújo",$B:$B,"&lt;&gt;Lorena Dias de Araujo",$B:$B,"&lt;&gt;Lucas Luiz Romero")*(35/1083),IF(C3987="Técnico II",SUMIFS($D:$D,$A:$A,$A3987,$B:$B,"&lt;&gt;Patrícia Karla de Sousa Araújo",$B:$B,"&lt;&gt;Lorena Dias de Araujo",$B:$B,"&lt;&gt;Lucas Luiz Romero")*(28/1083),IF(C3987="Técnico I",SUMIFS($D:$D,$A:$A,$A3987,$B:$B,"&lt;&gt;Patrícia Karla de Sousa Araújo",$B:$B,"&lt;&gt;Lorena Dias de Araujo",$B:$B,"&lt;&gt;Lucas Luiz Romero")*(23/1083),IF(C3987="JR",SUMIFS($D:$D,$A:$A,$A3987,$B:$B,"&lt;&gt;Patrícia Karla de Sousa Araújo",$B:$B,"&lt;&gt;Lorena Dias de Araujo",$B:$B,"&lt;&gt;Lucas Luiz Romero")*(20/1083),IF(C3987="Estágio",SUMIFS($D:$D,$A:$A,$A3987,$B:$B,"&lt;&gt;Patrícia Karla de Sousa Araújo",$B:$B,"&lt;&gt;Lorena Dias de Araujo",$B:$B,"&lt;&gt;Lucas Luiz Romero")*(10/1083),0)))))),0)</f>
        <v/>
      </c>
      <c r="K3987" s="3">
        <f>I3987-J3987</f>
        <v/>
      </c>
      <c r="L3987" s="3">
        <f>IF(K3987&lt;-5,"CRÍTICO",IF(K3987&lt;0,"ATENÇÃO",IF(K3987&lt;=5,"OPORTUNO","MUITO BOM")))</f>
        <v/>
      </c>
      <c r="N3987" t="n">
        <v>100</v>
      </c>
      <c r="O3987" t="n">
        <v>32.76450511945392</v>
      </c>
    </row>
    <row r="3988" hidden="1">
      <c r="A3988" s="11" t="n">
        <v>46127</v>
      </c>
      <c r="B3988" t="inlineStr">
        <is>
          <t>Amanda Moura Ferreira</t>
        </is>
      </c>
      <c r="C3988" t="inlineStr">
        <is>
          <t>Técnico III</t>
        </is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s="3" t="n">
        <v>0</v>
      </c>
      <c r="J3988" s="3" t="n">
        <v>0</v>
      </c>
      <c r="K3988" s="3" t="n">
        <v>0</v>
      </c>
      <c r="L3988" s="3">
        <f>IF(K3988&lt;-5,"CRÍTICO",IF(K3988&lt;0,"ATENÇÃO",IF(K3988&lt;=5,"OPORTUNO","MUITO BOM")))</f>
        <v/>
      </c>
      <c r="N3988" t="n">
        <v>98.66</v>
      </c>
      <c r="O3988" t="n">
        <v>35.15625</v>
      </c>
    </row>
    <row r="3989" hidden="1">
      <c r="A3989" s="11" t="n">
        <v>46127</v>
      </c>
      <c r="B3989" t="inlineStr">
        <is>
          <t>Ana Karollyne Souza Faria</t>
        </is>
      </c>
      <c r="C3989" t="inlineStr">
        <is>
          <t>Técnico I</t>
        </is>
      </c>
      <c r="D3989" t="n">
        <v>34</v>
      </c>
      <c r="E3989" t="n">
        <v>31</v>
      </c>
      <c r="F3989" t="n">
        <v>17.05</v>
      </c>
      <c r="G3989" t="n">
        <v>0</v>
      </c>
      <c r="H3989" t="n">
        <v>0</v>
      </c>
      <c r="I3989" s="3">
        <f>E3989+G3989+H3989</f>
        <v/>
      </c>
      <c r="J3989" s="3">
        <f>ROUND(MIN(IF(C3989="Técnico III",35,IF(C3989="Técnico II",28,IF(C3989="Técnico I",23,IF(C3989="JR",20,IF(C3989="Estágio",10,0))))),IF(C3989="Técnico III",SUMIFS($D:$D,$A:$A,$A3989,$B:$B,"&lt;&gt;Patrícia Karla de Sousa Araújo",$B:$B,"&lt;&gt;Lorena Dias de Araujo",$B:$B,"&lt;&gt;Lucas Luiz Romero")*(35/1083),IF(C3989="Técnico II",SUMIFS($D:$D,$A:$A,$A3989,$B:$B,"&lt;&gt;Patrícia Karla de Sousa Araújo",$B:$B,"&lt;&gt;Lorena Dias de Araujo",$B:$B,"&lt;&gt;Lucas Luiz Romero")*(28/1083),IF(C3989="Técnico I",SUMIFS($D:$D,$A:$A,$A3989,$B:$B,"&lt;&gt;Patrícia Karla de Sousa Araújo",$B:$B,"&lt;&gt;Lorena Dias de Araujo",$B:$B,"&lt;&gt;Lucas Luiz Romero")*(23/1083),IF(C3989="JR",SUMIFS($D:$D,$A:$A,$A3989,$B:$B,"&lt;&gt;Patrícia Karla de Sousa Araújo",$B:$B,"&lt;&gt;Lorena Dias de Araujo",$B:$B,"&lt;&gt;Lucas Luiz Romero")*(20/1083),IF(C3989="Estágio",SUMIFS($D:$D,$A:$A,$A3989,$B:$B,"&lt;&gt;Patrícia Karla de Sousa Araújo",$B:$B,"&lt;&gt;Lorena Dias de Araujo",$B:$B,"&lt;&gt;Lucas Luiz Romero")*(10/1083),0)))))),0)</f>
        <v/>
      </c>
      <c r="K3989" s="3">
        <f>I3989-J3989</f>
        <v/>
      </c>
      <c r="L3989" s="3">
        <f>IF(K3989&lt;-5,"CRÍTICO",IF(K3989&lt;0,"ATENÇÃO",IF(K3989&lt;=5,"OPORTUNO","MUITO BOM")))</f>
        <v/>
      </c>
      <c r="N3989" t="n">
        <v>99.31999999999999</v>
      </c>
      <c r="O3989" t="n">
        <v>30.45186640471513</v>
      </c>
    </row>
    <row r="3990" hidden="1">
      <c r="A3990" s="11" t="n">
        <v>46127</v>
      </c>
      <c r="B3990" t="inlineStr">
        <is>
          <t>Ana Paula Da Luz Silva Aleixo</t>
        </is>
      </c>
      <c r="C3990" t="inlineStr">
        <is>
          <t>Técnico III</t>
        </is>
      </c>
      <c r="D3990" t="n">
        <v>34</v>
      </c>
      <c r="E3990" t="n">
        <v>32</v>
      </c>
      <c r="F3990" t="n">
        <v>15.01</v>
      </c>
      <c r="G3990" t="n">
        <v>0</v>
      </c>
      <c r="H3990" t="n">
        <v>0</v>
      </c>
      <c r="I3990" s="3">
        <f>E3990+G3990+H3990</f>
        <v/>
      </c>
      <c r="J3990" s="3">
        <f>ROUND(MIN(IF(C3990="Técnico III",35,IF(C3990="Técnico II",28,IF(C3990="Técnico I",23,IF(C3990="JR",20,IF(C3990="Estágio",10,0))))),IF(C3990="Técnico III",SUMIFS($D:$D,$A:$A,$A3990,$B:$B,"&lt;&gt;Patrícia Karla de Sousa Araújo",$B:$B,"&lt;&gt;Lorena Dias de Araujo",$B:$B,"&lt;&gt;Lucas Luiz Romero")*(35/1083),IF(C3990="Técnico II",SUMIFS($D:$D,$A:$A,$A3990,$B:$B,"&lt;&gt;Patrícia Karla de Sousa Araújo",$B:$B,"&lt;&gt;Lorena Dias de Araujo",$B:$B,"&lt;&gt;Lucas Luiz Romero")*(28/1083),IF(C3990="Técnico I",SUMIFS($D:$D,$A:$A,$A3990,$B:$B,"&lt;&gt;Patrícia Karla de Sousa Araújo",$B:$B,"&lt;&gt;Lorena Dias de Araujo",$B:$B,"&lt;&gt;Lucas Luiz Romero")*(23/1083),IF(C3990="JR",SUMIFS($D:$D,$A:$A,$A3990,$B:$B,"&lt;&gt;Patrícia Karla de Sousa Araújo",$B:$B,"&lt;&gt;Lorena Dias de Araujo",$B:$B,"&lt;&gt;Lucas Luiz Romero")*(20/1083),IF(C3990="Estágio",SUMIFS($D:$D,$A:$A,$A3990,$B:$B,"&lt;&gt;Patrícia Karla de Sousa Araújo",$B:$B,"&lt;&gt;Lorena Dias de Araujo",$B:$B,"&lt;&gt;Lucas Luiz Romero")*(10/1083),0)))))),0)</f>
        <v/>
      </c>
      <c r="K3990" s="3">
        <f>I3990-J3990</f>
        <v/>
      </c>
      <c r="L3990" s="3">
        <f>IF(K3990&lt;-5,"CRÍTICO",IF(K3990&lt;0,"ATENÇÃO",IF(K3990&lt;=5,"OPORTUNO","MUITO BOM")))</f>
        <v/>
      </c>
      <c r="N3990" t="n">
        <v>100</v>
      </c>
      <c r="O3990" t="n">
        <v>27.80373831775701</v>
      </c>
    </row>
    <row r="3991" hidden="1">
      <c r="A3991" s="11" t="n">
        <v>46127</v>
      </c>
      <c r="B3991" t="inlineStr">
        <is>
          <t>Anna Luiza Rezende Tavares</t>
        </is>
      </c>
      <c r="C3991" t="inlineStr">
        <is>
          <t>Estágio</t>
        </is>
      </c>
      <c r="D3991" t="n">
        <v>34</v>
      </c>
      <c r="E3991" t="n">
        <v>32</v>
      </c>
      <c r="F3991" t="n">
        <v>15.51</v>
      </c>
      <c r="G3991" t="n">
        <v>0</v>
      </c>
      <c r="H3991" t="n">
        <v>0</v>
      </c>
      <c r="I3991" s="3">
        <f>E3991+G3991+H3991</f>
        <v/>
      </c>
      <c r="J3991" s="3">
        <f>ROUND(MIN(IF(C3991="Técnico III",35,IF(C3991="Técnico II",28,IF(C3991="Técnico I",23,IF(C3991="JR",20,IF(C3991="Estágio",10,0))))),IF(C3991="Técnico III",SUMIFS($D:$D,$A:$A,$A3991,$B:$B,"&lt;&gt;Patrícia Karla de Sousa Araújo",$B:$B,"&lt;&gt;Lorena Dias de Araujo",$B:$B,"&lt;&gt;Lucas Luiz Romero")*(35/1083),IF(C3991="Técnico II",SUMIFS($D:$D,$A:$A,$A3991,$B:$B,"&lt;&gt;Patrícia Karla de Sousa Araújo",$B:$B,"&lt;&gt;Lorena Dias de Araujo",$B:$B,"&lt;&gt;Lucas Luiz Romero")*(28/1083),IF(C3991="Técnico I",SUMIFS($D:$D,$A:$A,$A3991,$B:$B,"&lt;&gt;Patrícia Karla de Sousa Araújo",$B:$B,"&lt;&gt;Lorena Dias de Araujo",$B:$B,"&lt;&gt;Lucas Luiz Romero")*(23/1083),IF(C3991="JR",SUMIFS($D:$D,$A:$A,$A3991,$B:$B,"&lt;&gt;Patrícia Karla de Sousa Araújo",$B:$B,"&lt;&gt;Lorena Dias de Araujo",$B:$B,"&lt;&gt;Lucas Luiz Romero")*(20/1083),IF(C3991="Estágio",SUMIFS($D:$D,$A:$A,$A3991,$B:$B,"&lt;&gt;Patrícia Karla de Sousa Araújo",$B:$B,"&lt;&gt;Lorena Dias de Araujo",$B:$B,"&lt;&gt;Lucas Luiz Romero")*(10/1083),0)))))),0)</f>
        <v/>
      </c>
      <c r="K3991" s="3">
        <f>I3991-J3991</f>
        <v/>
      </c>
      <c r="L3991" s="3">
        <f>IF(K3991&lt;-5,"CRÍTICO",IF(K3991&lt;0,"ATENÇÃO",IF(K3991&lt;=5,"OPORTUNO","MUITO BOM")))</f>
        <v/>
      </c>
      <c r="N3991" t="n">
        <v>96.73999999999999</v>
      </c>
      <c r="O3991" t="n">
        <v>28.43137254901961</v>
      </c>
    </row>
    <row r="3992" hidden="1">
      <c r="A3992" s="11" t="n">
        <v>46127</v>
      </c>
      <c r="B3992" t="inlineStr">
        <is>
          <t>Brenda de Menezes Silva</t>
        </is>
      </c>
      <c r="C3992" t="inlineStr">
        <is>
          <t>Técnico II</t>
        </is>
      </c>
      <c r="D3992" t="n">
        <v>39</v>
      </c>
      <c r="E3992" t="n">
        <v>36</v>
      </c>
      <c r="F3992" t="n">
        <v>15.53</v>
      </c>
      <c r="G3992" t="n">
        <v>0</v>
      </c>
      <c r="H3992" t="n">
        <v>0</v>
      </c>
      <c r="I3992" s="3">
        <f>E3992+G3992+H3992</f>
        <v/>
      </c>
      <c r="J3992" s="3">
        <f>ROUND(MIN(IF(C3992="Técnico III",35,IF(C3992="Técnico II",28,IF(C3992="Técnico I",23,IF(C3992="JR",20,IF(C3992="Estágio",10,0))))),IF(C3992="Técnico III",SUMIFS($D:$D,$A:$A,$A3992,$B:$B,"&lt;&gt;Patrícia Karla de Sousa Araújo",$B:$B,"&lt;&gt;Lorena Dias de Araujo",$B:$B,"&lt;&gt;Lucas Luiz Romero")*(35/1083),IF(C3992="Técnico II",SUMIFS($D:$D,$A:$A,$A3992,$B:$B,"&lt;&gt;Patrícia Karla de Sousa Araújo",$B:$B,"&lt;&gt;Lorena Dias de Araujo",$B:$B,"&lt;&gt;Lucas Luiz Romero")*(28/1083),IF(C3992="Técnico I",SUMIFS($D:$D,$A:$A,$A3992,$B:$B,"&lt;&gt;Patrícia Karla de Sousa Araújo",$B:$B,"&lt;&gt;Lorena Dias de Araujo",$B:$B,"&lt;&gt;Lucas Luiz Romero")*(23/1083),IF(C3992="JR",SUMIFS($D:$D,$A:$A,$A3992,$B:$B,"&lt;&gt;Patrícia Karla de Sousa Araújo",$B:$B,"&lt;&gt;Lorena Dias de Araujo",$B:$B,"&lt;&gt;Lucas Luiz Romero")*(20/1083),IF(C3992="Estágio",SUMIFS($D:$D,$A:$A,$A3992,$B:$B,"&lt;&gt;Patrícia Karla de Sousa Araújo",$B:$B,"&lt;&gt;Lorena Dias de Araujo",$B:$B,"&lt;&gt;Lucas Luiz Romero")*(10/1083),0)))))),0)</f>
        <v/>
      </c>
      <c r="K3992" s="3">
        <f>I3992-J3992</f>
        <v/>
      </c>
      <c r="L3992" s="3">
        <f>IF(K3992&lt;-5,"CRÍTICO",IF(K3992&lt;0,"ATENÇÃO",IF(K3992&lt;=5,"OPORTUNO","MUITO BOM")))</f>
        <v/>
      </c>
      <c r="N3992" t="n">
        <v>98.81999999999999</v>
      </c>
      <c r="O3992" t="n">
        <v>30.74141048824593</v>
      </c>
    </row>
    <row r="3993" hidden="1">
      <c r="A3993" s="11" t="n">
        <v>46127</v>
      </c>
      <c r="B3993" t="inlineStr">
        <is>
          <t>Carlos Mateus Cassimiro Nunes</t>
        </is>
      </c>
      <c r="C3993" t="inlineStr">
        <is>
          <t>Técnico II</t>
        </is>
      </c>
      <c r="D3993" t="n">
        <v>20</v>
      </c>
      <c r="E3993" t="n">
        <v>20</v>
      </c>
      <c r="F3993" t="n">
        <v>34.04</v>
      </c>
      <c r="G3993" t="n">
        <v>0</v>
      </c>
      <c r="H3993" t="n">
        <v>0</v>
      </c>
      <c r="I3993" s="3">
        <f>E3993+G3993+H3993</f>
        <v/>
      </c>
      <c r="J3993" s="3">
        <f>ROUND(MIN(IF(C3993="Técnico III",35,IF(C3993="Técnico II",28,IF(C3993="Técnico I",23,IF(C3993="JR",20,IF(C3993="Estágio",10,0))))),IF(C3993="Técnico III",SUMIFS($D:$D,$A:$A,$A3993,$B:$B,"&lt;&gt;Patrícia Karla de Sousa Araújo",$B:$B,"&lt;&gt;Lorena Dias de Araujo",$B:$B,"&lt;&gt;Lucas Luiz Romero")*(35/1083),IF(C3993="Técnico II",SUMIFS($D:$D,$A:$A,$A3993,$B:$B,"&lt;&gt;Patrícia Karla de Sousa Araújo",$B:$B,"&lt;&gt;Lorena Dias de Araujo",$B:$B,"&lt;&gt;Lucas Luiz Romero")*(28/1083),IF(C3993="Técnico I",SUMIFS($D:$D,$A:$A,$A3993,$B:$B,"&lt;&gt;Patrícia Karla de Sousa Araújo",$B:$B,"&lt;&gt;Lorena Dias de Araujo",$B:$B,"&lt;&gt;Lucas Luiz Romero")*(23/1083),IF(C3993="JR",SUMIFS($D:$D,$A:$A,$A3993,$B:$B,"&lt;&gt;Patrícia Karla de Sousa Araújo",$B:$B,"&lt;&gt;Lorena Dias de Araujo",$B:$B,"&lt;&gt;Lucas Luiz Romero")*(20/1083),IF(C3993="Estágio",SUMIFS($D:$D,$A:$A,$A3993,$B:$B,"&lt;&gt;Patrícia Karla de Sousa Araújo",$B:$B,"&lt;&gt;Lorena Dias de Araujo",$B:$B,"&lt;&gt;Lucas Luiz Romero")*(10/1083),0)))))),0)</f>
        <v/>
      </c>
      <c r="K3993" s="3">
        <f>I3993-J3993</f>
        <v/>
      </c>
      <c r="L3993" s="3">
        <f>IF(K3993&lt;-5,"CRÍTICO",IF(K3993&lt;0,"ATENÇÃO",IF(K3993&lt;=5,"OPORTUNO","MUITO BOM")))</f>
        <v/>
      </c>
      <c r="N3993" t="n">
        <v>98.2</v>
      </c>
      <c r="O3993" t="n">
        <v>26.89075630252101</v>
      </c>
    </row>
    <row r="3994" hidden="1">
      <c r="A3994" s="11" t="n">
        <v>46127</v>
      </c>
      <c r="B3994" t="inlineStr">
        <is>
          <t>Claudio de Sousa Velasco Filho</t>
        </is>
      </c>
      <c r="C3994" t="inlineStr">
        <is>
          <t>Estágio</t>
        </is>
      </c>
      <c r="D3994" t="n">
        <v>10</v>
      </c>
      <c r="E3994" t="n">
        <v>8</v>
      </c>
      <c r="F3994" t="n">
        <v>17.12</v>
      </c>
      <c r="G3994" t="n">
        <v>0</v>
      </c>
      <c r="H3994" t="n">
        <v>0</v>
      </c>
      <c r="I3994" s="3">
        <f>E3994+G3994+H3994</f>
        <v/>
      </c>
      <c r="J3994" s="3">
        <f>ROUND(MIN(IF(C3994="Técnico III",35,IF(C3994="Técnico II",28,IF(C3994="Técnico I",23,IF(C3994="JR",20,IF(C3994="Estágio",10,0))))),IF(C3994="Técnico III",SUMIFS($D:$D,$A:$A,$A3994,$B:$B,"&lt;&gt;Patrícia Karla de Sousa Araújo",$B:$B,"&lt;&gt;Lorena Dias de Araujo",$B:$B,"&lt;&gt;Lucas Luiz Romero")*(35/1083),IF(C3994="Técnico II",SUMIFS($D:$D,$A:$A,$A3994,$B:$B,"&lt;&gt;Patrícia Karla de Sousa Araújo",$B:$B,"&lt;&gt;Lorena Dias de Araujo",$B:$B,"&lt;&gt;Lucas Luiz Romero")*(28/1083),IF(C3994="Técnico I",SUMIFS($D:$D,$A:$A,$A3994,$B:$B,"&lt;&gt;Patrícia Karla de Sousa Araújo",$B:$B,"&lt;&gt;Lorena Dias de Araujo",$B:$B,"&lt;&gt;Lucas Luiz Romero")*(23/1083),IF(C3994="JR",SUMIFS($D:$D,$A:$A,$A3994,$B:$B,"&lt;&gt;Patrícia Karla de Sousa Araújo",$B:$B,"&lt;&gt;Lorena Dias de Araujo",$B:$B,"&lt;&gt;Lucas Luiz Romero")*(20/1083),IF(C3994="Estágio",SUMIFS($D:$D,$A:$A,$A3994,$B:$B,"&lt;&gt;Patrícia Karla de Sousa Araújo",$B:$B,"&lt;&gt;Lorena Dias de Araujo",$B:$B,"&lt;&gt;Lucas Luiz Romero")*(10/1083),0)))))),0)</f>
        <v/>
      </c>
      <c r="K3994" s="3">
        <f>I3994-J3994</f>
        <v/>
      </c>
      <c r="L3994" s="3">
        <f>IF(K3994&lt;-5,"CRÍTICO",IF(K3994&lt;0,"ATENÇÃO",IF(K3994&lt;=5,"OPORTUNO","MUITO BOM")))</f>
        <v/>
      </c>
      <c r="N3994" t="n">
        <v>100</v>
      </c>
      <c r="O3994" t="n">
        <v>23.13432835820895</v>
      </c>
    </row>
    <row r="3995" hidden="1">
      <c r="A3995" s="11" t="n">
        <v>46127</v>
      </c>
      <c r="B3995" t="inlineStr">
        <is>
          <t>Clessiane Pereira dos Santos</t>
        </is>
      </c>
      <c r="C3995" t="inlineStr">
        <is>
          <t>Técnico I</t>
        </is>
      </c>
      <c r="D3995" t="n">
        <v>27</v>
      </c>
      <c r="E3995" t="n">
        <v>22</v>
      </c>
      <c r="F3995" t="n">
        <v>14.14</v>
      </c>
      <c r="G3995" t="n">
        <v>0</v>
      </c>
      <c r="H3995" t="n">
        <v>0</v>
      </c>
      <c r="I3995" s="3">
        <f>E3995+G3995+H3995</f>
        <v/>
      </c>
      <c r="J3995" s="3">
        <f>ROUND(MIN(IF(C3995="Técnico III",35,IF(C3995="Técnico II",28,IF(C3995="Técnico I",23,IF(C3995="JR",20,IF(C3995="Estágio",10,0))))),IF(C3995="Técnico III",SUMIFS($D:$D,$A:$A,$A3995,$B:$B,"&lt;&gt;Patrícia Karla de Sousa Araújo",$B:$B,"&lt;&gt;Lorena Dias de Araujo",$B:$B,"&lt;&gt;Lucas Luiz Romero")*(35/1083),IF(C3995="Técnico II",SUMIFS($D:$D,$A:$A,$A3995,$B:$B,"&lt;&gt;Patrícia Karla de Sousa Araújo",$B:$B,"&lt;&gt;Lorena Dias de Araujo",$B:$B,"&lt;&gt;Lucas Luiz Romero")*(28/1083),IF(C3995="Técnico I",SUMIFS($D:$D,$A:$A,$A3995,$B:$B,"&lt;&gt;Patrícia Karla de Sousa Araújo",$B:$B,"&lt;&gt;Lorena Dias de Araujo",$B:$B,"&lt;&gt;Lucas Luiz Romero")*(23/1083),IF(C3995="JR",SUMIFS($D:$D,$A:$A,$A3995,$B:$B,"&lt;&gt;Patrícia Karla de Sousa Araújo",$B:$B,"&lt;&gt;Lorena Dias de Araujo",$B:$B,"&lt;&gt;Lucas Luiz Romero")*(20/1083),IF(C3995="Estágio",SUMIFS($D:$D,$A:$A,$A3995,$B:$B,"&lt;&gt;Patrícia Karla de Sousa Araújo",$B:$B,"&lt;&gt;Lorena Dias de Araujo",$B:$B,"&lt;&gt;Lucas Luiz Romero")*(10/1083),0)))))),0)</f>
        <v/>
      </c>
      <c r="K3995" s="3">
        <f>I3995-J3995</f>
        <v/>
      </c>
      <c r="L3995" s="3">
        <f>IF(K3995&lt;-5,"CRÍTICO",IF(K3995&lt;0,"ATENÇÃO",IF(K3995&lt;=5,"OPORTUNO","MUITO BOM")))</f>
        <v/>
      </c>
      <c r="N3995" t="n">
        <v>96.3</v>
      </c>
      <c r="O3995" t="n">
        <v>31.98090692124105</v>
      </c>
    </row>
    <row r="3996" hidden="1">
      <c r="A3996" s="11" t="n">
        <v>46127</v>
      </c>
      <c r="B3996" t="inlineStr">
        <is>
          <t>Cristiane Ramos da Silva Rocha</t>
        </is>
      </c>
      <c r="C3996" t="inlineStr">
        <is>
          <t>Técnico III</t>
        </is>
      </c>
      <c r="D3996" t="n">
        <v>46</v>
      </c>
      <c r="E3996" t="n">
        <v>41</v>
      </c>
      <c r="F3996" t="n">
        <v>10.2</v>
      </c>
      <c r="G3996" t="n">
        <v>0</v>
      </c>
      <c r="H3996" t="n">
        <v>0</v>
      </c>
      <c r="I3996" s="3">
        <f>E3996+G3996+H3996</f>
        <v/>
      </c>
      <c r="J3996" s="3">
        <f>ROUND(MIN(IF(C3996="Técnico III",35,IF(C3996="Técnico II",28,IF(C3996="Técnico I",23,IF(C3996="JR",20,IF(C3996="Estágio",10,0))))),IF(C3996="Técnico III",SUMIFS($D:$D,$A:$A,$A3996,$B:$B,"&lt;&gt;Patrícia Karla de Sousa Araújo",$B:$B,"&lt;&gt;Lorena Dias de Araujo",$B:$B,"&lt;&gt;Lucas Luiz Romero")*(35/1083),IF(C3996="Técnico II",SUMIFS($D:$D,$A:$A,$A3996,$B:$B,"&lt;&gt;Patrícia Karla de Sousa Araújo",$B:$B,"&lt;&gt;Lorena Dias de Araujo",$B:$B,"&lt;&gt;Lucas Luiz Romero")*(28/1083),IF(C3996="Técnico I",SUMIFS($D:$D,$A:$A,$A3996,$B:$B,"&lt;&gt;Patrícia Karla de Sousa Araújo",$B:$B,"&lt;&gt;Lorena Dias de Araujo",$B:$B,"&lt;&gt;Lucas Luiz Romero")*(23/1083),IF(C3996="JR",SUMIFS($D:$D,$A:$A,$A3996,$B:$B,"&lt;&gt;Patrícia Karla de Sousa Araújo",$B:$B,"&lt;&gt;Lorena Dias de Araujo",$B:$B,"&lt;&gt;Lucas Luiz Romero")*(20/1083),IF(C3996="Estágio",SUMIFS($D:$D,$A:$A,$A3996,$B:$B,"&lt;&gt;Patrícia Karla de Sousa Araújo",$B:$B,"&lt;&gt;Lorena Dias de Araujo",$B:$B,"&lt;&gt;Lucas Luiz Romero")*(10/1083),0)))))),0)</f>
        <v/>
      </c>
      <c r="K3996" s="3">
        <f>I3996-J3996</f>
        <v/>
      </c>
      <c r="L3996" s="3">
        <f>IF(K3996&lt;-5,"CRÍTICO",IF(K3996&lt;0,"ATENÇÃO",IF(K3996&lt;=5,"OPORTUNO","MUITO BOM")))</f>
        <v/>
      </c>
      <c r="N3996" t="n">
        <v>93.75</v>
      </c>
      <c r="O3996" t="n">
        <v>26.62835249042146</v>
      </c>
    </row>
    <row r="3997" hidden="1">
      <c r="A3997" s="11" t="n">
        <v>46127</v>
      </c>
      <c r="B3997" t="inlineStr">
        <is>
          <t>Damyllis Lorraine de Oliveira Gonçalves</t>
        </is>
      </c>
      <c r="C3997" t="inlineStr">
        <is>
          <t>Técnico II</t>
        </is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s="3" t="n">
        <v>0</v>
      </c>
      <c r="J3997" s="3" t="n">
        <v>0</v>
      </c>
      <c r="K3997" s="3" t="n">
        <v>0</v>
      </c>
      <c r="L3997" s="3">
        <f>IF(K3997&lt;-5,"CRÍTICO",IF(K3997&lt;0,"ATENÇÃO",IF(K3997&lt;=5,"OPORTUNO","MUITO BOM")))</f>
        <v/>
      </c>
      <c r="N3997" t="n">
        <v>97.86</v>
      </c>
      <c r="O3997" t="n">
        <v>31.01851851851852</v>
      </c>
    </row>
    <row r="3998" hidden="1">
      <c r="A3998" s="11" t="n">
        <v>46127</v>
      </c>
      <c r="B3998" t="inlineStr">
        <is>
          <t>Daniel Gomes da Silva</t>
        </is>
      </c>
      <c r="C3998" t="inlineStr">
        <is>
          <t>Técnico I</t>
        </is>
      </c>
      <c r="D3998" t="n">
        <v>28</v>
      </c>
      <c r="E3998" t="n">
        <v>28</v>
      </c>
      <c r="F3998" t="n">
        <v>15.24</v>
      </c>
      <c r="G3998" t="n">
        <v>0</v>
      </c>
      <c r="H3998" t="n">
        <v>0</v>
      </c>
      <c r="I3998" s="3">
        <f>E3998+G3998+H3998</f>
        <v/>
      </c>
      <c r="J3998" s="3">
        <f>ROUND(MIN(IF(C3998="Técnico III",35,IF(C3998="Técnico II",28,IF(C3998="Técnico I",23,IF(C3998="JR",20,IF(C3998="Estágio",10,0))))),IF(C3998="Técnico III",SUMIFS($D:$D,$A:$A,$A3998,$B:$B,"&lt;&gt;Patrícia Karla de Sousa Araújo",$B:$B,"&lt;&gt;Lorena Dias de Araujo",$B:$B,"&lt;&gt;Lucas Luiz Romero")*(35/1083),IF(C3998="Técnico II",SUMIFS($D:$D,$A:$A,$A3998,$B:$B,"&lt;&gt;Patrícia Karla de Sousa Araújo",$B:$B,"&lt;&gt;Lorena Dias de Araujo",$B:$B,"&lt;&gt;Lucas Luiz Romero")*(28/1083),IF(C3998="Técnico I",SUMIFS($D:$D,$A:$A,$A3998,$B:$B,"&lt;&gt;Patrícia Karla de Sousa Araújo",$B:$B,"&lt;&gt;Lorena Dias de Araujo",$B:$B,"&lt;&gt;Lucas Luiz Romero")*(23/1083),IF(C3998="JR",SUMIFS($D:$D,$A:$A,$A3998,$B:$B,"&lt;&gt;Patrícia Karla de Sousa Araújo",$B:$B,"&lt;&gt;Lorena Dias de Araujo",$B:$B,"&lt;&gt;Lucas Luiz Romero")*(20/1083),IF(C3998="Estágio",SUMIFS($D:$D,$A:$A,$A3998,$B:$B,"&lt;&gt;Patrícia Karla de Sousa Araújo",$B:$B,"&lt;&gt;Lorena Dias de Araujo",$B:$B,"&lt;&gt;Lucas Luiz Romero")*(10/1083),0)))))),0)</f>
        <v/>
      </c>
      <c r="K3998" s="3">
        <f>I3998-J3998</f>
        <v/>
      </c>
      <c r="L3998" s="3">
        <f>IF(K3998&lt;-5,"CRÍTICO",IF(K3998&lt;0,"ATENÇÃO",IF(K3998&lt;=5,"OPORTUNO","MUITO BOM")))</f>
        <v/>
      </c>
      <c r="N3998" t="n">
        <v>100</v>
      </c>
      <c r="O3998" t="n">
        <v>36.23188405797102</v>
      </c>
    </row>
    <row r="3999" hidden="1">
      <c r="A3999" s="11" t="n">
        <v>46127</v>
      </c>
      <c r="B3999" t="inlineStr">
        <is>
          <t>Davylla Rodrigues Freitas Silva</t>
        </is>
      </c>
      <c r="C3999" t="inlineStr">
        <is>
          <t>Técnico III</t>
        </is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s="3" t="n">
        <v>0</v>
      </c>
      <c r="J3999" s="3" t="n">
        <v>0</v>
      </c>
      <c r="K3999" s="3" t="n">
        <v>0</v>
      </c>
      <c r="L3999" s="3">
        <f>IF(K3999&lt;-5,"CRÍTICO",IF(K3999&lt;0,"ATENÇÃO",IF(K3999&lt;=5,"OPORTUNO","MUITO BOM")))</f>
        <v/>
      </c>
      <c r="N3999" t="n">
        <v>100</v>
      </c>
      <c r="O3999" t="n">
        <v>38.26923076923077</v>
      </c>
    </row>
    <row r="4000" hidden="1">
      <c r="A4000" s="11" t="n">
        <v>46127</v>
      </c>
      <c r="B4000" t="inlineStr">
        <is>
          <t>Emilly Caylane Costa</t>
        </is>
      </c>
      <c r="C4000" t="inlineStr">
        <is>
          <t>Estágio</t>
        </is>
      </c>
      <c r="D4000" t="n">
        <v>8</v>
      </c>
      <c r="E4000" t="n">
        <v>8</v>
      </c>
      <c r="F4000" t="n">
        <v>48.21</v>
      </c>
      <c r="G4000" t="n">
        <v>0</v>
      </c>
      <c r="H4000" t="n">
        <v>0</v>
      </c>
      <c r="I4000" s="3">
        <f>E4000+G4000+H4000</f>
        <v/>
      </c>
      <c r="J4000" s="3">
        <f>ROUND(MIN(IF(C4000="Técnico III",35,IF(C4000="Técnico II",28,IF(C4000="Técnico I",23,IF(C4000="JR",20,IF(C4000="Estágio",10,0))))),IF(C4000="Técnico III",SUMIFS($D:$D,$A:$A,$A4000,$B:$B,"&lt;&gt;Patrícia Karla de Sousa Araújo",$B:$B,"&lt;&gt;Lorena Dias de Araujo",$B:$B,"&lt;&gt;Lucas Luiz Romero")*(35/1083),IF(C4000="Técnico II",SUMIFS($D:$D,$A:$A,$A4000,$B:$B,"&lt;&gt;Patrícia Karla de Sousa Araújo",$B:$B,"&lt;&gt;Lorena Dias de Araujo",$B:$B,"&lt;&gt;Lucas Luiz Romero")*(28/1083),IF(C4000="Técnico I",SUMIFS($D:$D,$A:$A,$A4000,$B:$B,"&lt;&gt;Patrícia Karla de Sousa Araújo",$B:$B,"&lt;&gt;Lorena Dias de Araujo",$B:$B,"&lt;&gt;Lucas Luiz Romero")*(23/1083),IF(C4000="JR",SUMIFS($D:$D,$A:$A,$A4000,$B:$B,"&lt;&gt;Patrícia Karla de Sousa Araújo",$B:$B,"&lt;&gt;Lorena Dias de Araujo",$B:$B,"&lt;&gt;Lucas Luiz Romero")*(20/1083),IF(C4000="Estágio",SUMIFS($D:$D,$A:$A,$A4000,$B:$B,"&lt;&gt;Patrícia Karla de Sousa Araújo",$B:$B,"&lt;&gt;Lorena Dias de Araujo",$B:$B,"&lt;&gt;Lucas Luiz Romero")*(10/1083),0)))))),0)</f>
        <v/>
      </c>
      <c r="K4000" s="3">
        <f>I4000-J4000</f>
        <v/>
      </c>
      <c r="L4000" s="3">
        <f>IF(K4000&lt;-5,"CRÍTICO",IF(K4000&lt;0,"ATENÇÃO",IF(K4000&lt;=5,"OPORTUNO","MUITO BOM")))</f>
        <v/>
      </c>
      <c r="N4000" t="n">
        <v>100</v>
      </c>
      <c r="O4000" t="n">
        <v>27.36842105263158</v>
      </c>
    </row>
    <row r="4001" hidden="1">
      <c r="A4001" s="11" t="n">
        <v>46127</v>
      </c>
      <c r="B4001" t="inlineStr">
        <is>
          <t>Emilly Kamilly Medeiros Miranda</t>
        </is>
      </c>
      <c r="C4001" t="inlineStr">
        <is>
          <t>Técnico II</t>
        </is>
      </c>
      <c r="D4001" t="n">
        <v>24</v>
      </c>
      <c r="E4001" t="n">
        <v>24</v>
      </c>
      <c r="F4001" t="n">
        <v>20.2</v>
      </c>
      <c r="G4001" t="n">
        <v>0</v>
      </c>
      <c r="H4001" t="n">
        <v>0</v>
      </c>
      <c r="I4001" s="3">
        <f>E4001+G4001+H4001</f>
        <v/>
      </c>
      <c r="J4001" s="3">
        <f>ROUND(MIN(IF(C4001="Técnico III",35,IF(C4001="Técnico II",28,IF(C4001="Técnico I",23,IF(C4001="JR",20,IF(C4001="Estágio",10,0))))),IF(C4001="Técnico III",SUMIFS($D:$D,$A:$A,$A4001,$B:$B,"&lt;&gt;Patrícia Karla de Sousa Araújo",$B:$B,"&lt;&gt;Lorena Dias de Araujo",$B:$B,"&lt;&gt;Lucas Luiz Romero")*(35/1083),IF(C4001="Técnico II",SUMIFS($D:$D,$A:$A,$A4001,$B:$B,"&lt;&gt;Patrícia Karla de Sousa Araújo",$B:$B,"&lt;&gt;Lorena Dias de Araujo",$B:$B,"&lt;&gt;Lucas Luiz Romero")*(28/1083),IF(C4001="Técnico I",SUMIFS($D:$D,$A:$A,$A4001,$B:$B,"&lt;&gt;Patrícia Karla de Sousa Araújo",$B:$B,"&lt;&gt;Lorena Dias de Araujo",$B:$B,"&lt;&gt;Lucas Luiz Romero")*(23/1083),IF(C4001="JR",SUMIFS($D:$D,$A:$A,$A4001,$B:$B,"&lt;&gt;Patrícia Karla de Sousa Araújo",$B:$B,"&lt;&gt;Lorena Dias de Araujo",$B:$B,"&lt;&gt;Lucas Luiz Romero")*(20/1083),IF(C4001="Estágio",SUMIFS($D:$D,$A:$A,$A4001,$B:$B,"&lt;&gt;Patrícia Karla de Sousa Araújo",$B:$B,"&lt;&gt;Lorena Dias de Araujo",$B:$B,"&lt;&gt;Lucas Luiz Romero")*(10/1083),0)))))),0)</f>
        <v/>
      </c>
      <c r="K4001" s="3">
        <f>I4001-J4001</f>
        <v/>
      </c>
      <c r="L4001" s="3">
        <f>IF(K4001&lt;-5,"CRÍTICO",IF(K4001&lt;0,"ATENÇÃO",IF(K4001&lt;=5,"OPORTUNO","MUITO BOM")))</f>
        <v/>
      </c>
      <c r="N4001" t="n">
        <v>97.83</v>
      </c>
      <c r="O4001" t="n">
        <v>28.13186813186813</v>
      </c>
    </row>
    <row r="4002" hidden="1">
      <c r="A4002" s="11" t="n">
        <v>46127</v>
      </c>
      <c r="B4002" t="inlineStr">
        <is>
          <t>Francielson de Oliveira</t>
        </is>
      </c>
      <c r="C4002" t="inlineStr">
        <is>
          <t>Técnico III</t>
        </is>
      </c>
      <c r="D4002" t="n">
        <v>28</v>
      </c>
      <c r="E4002" t="n">
        <v>27</v>
      </c>
      <c r="F4002" t="n">
        <v>15.54</v>
      </c>
      <c r="G4002" t="n">
        <v>0</v>
      </c>
      <c r="H4002" t="n">
        <v>0</v>
      </c>
      <c r="I4002" s="3">
        <f>E4002+G4002+H4002</f>
        <v/>
      </c>
      <c r="J4002" s="3">
        <f>ROUND(MIN(IF(C4002="Técnico III",35,IF(C4002="Técnico II",28,IF(C4002="Técnico I",23,IF(C4002="JR",20,IF(C4002="Estágio",10,0))))),IF(C4002="Técnico III",SUMIFS($D:$D,$A:$A,$A4002,$B:$B,"&lt;&gt;Patrícia Karla de Sousa Araújo",$B:$B,"&lt;&gt;Lorena Dias de Araujo",$B:$B,"&lt;&gt;Lucas Luiz Romero")*(35/1083),IF(C4002="Técnico II",SUMIFS($D:$D,$A:$A,$A4002,$B:$B,"&lt;&gt;Patrícia Karla de Sousa Araújo",$B:$B,"&lt;&gt;Lorena Dias de Araujo",$B:$B,"&lt;&gt;Lucas Luiz Romero")*(28/1083),IF(C4002="Técnico I",SUMIFS($D:$D,$A:$A,$A4002,$B:$B,"&lt;&gt;Patrícia Karla de Sousa Araújo",$B:$B,"&lt;&gt;Lorena Dias de Araujo",$B:$B,"&lt;&gt;Lucas Luiz Romero")*(23/1083),IF(C4002="JR",SUMIFS($D:$D,$A:$A,$A4002,$B:$B,"&lt;&gt;Patrícia Karla de Sousa Araújo",$B:$B,"&lt;&gt;Lorena Dias de Araujo",$B:$B,"&lt;&gt;Lucas Luiz Romero")*(20/1083),IF(C4002="Estágio",SUMIFS($D:$D,$A:$A,$A4002,$B:$B,"&lt;&gt;Patrícia Karla de Sousa Araújo",$B:$B,"&lt;&gt;Lorena Dias de Araujo",$B:$B,"&lt;&gt;Lucas Luiz Romero")*(10/1083),0)))))),0)</f>
        <v/>
      </c>
      <c r="K4002" s="3">
        <f>I4002-J4002</f>
        <v/>
      </c>
      <c r="L4002" s="3">
        <f>IF(K4002&lt;-5,"CRÍTICO",IF(K4002&lt;0,"ATENÇÃO",IF(K4002&lt;=5,"OPORTUNO","MUITO BOM")))</f>
        <v/>
      </c>
      <c r="N4002" t="n">
        <v>99.26000000000001</v>
      </c>
      <c r="O4002" t="n">
        <v>29.57198443579767</v>
      </c>
    </row>
    <row r="4003" hidden="1">
      <c r="A4003" s="11" t="n">
        <v>46127</v>
      </c>
      <c r="B4003" t="inlineStr">
        <is>
          <t>Francilene Ferreira de Jesus</t>
        </is>
      </c>
      <c r="C4003" t="inlineStr">
        <is>
          <t>Técnico II</t>
        </is>
      </c>
      <c r="D4003" t="n">
        <v>28</v>
      </c>
      <c r="E4003" t="n">
        <v>26</v>
      </c>
      <c r="F4003" t="n">
        <v>22.11</v>
      </c>
      <c r="G4003" t="n">
        <v>0</v>
      </c>
      <c r="H4003" t="n">
        <v>0</v>
      </c>
      <c r="I4003" s="3">
        <f>E4003+G4003+H4003</f>
        <v/>
      </c>
      <c r="J4003" s="3">
        <f>ROUND(MIN(IF(C4003="Técnico III",35,IF(C4003="Técnico II",28,IF(C4003="Técnico I",23,IF(C4003="JR",20,IF(C4003="Estágio",10,0))))),IF(C4003="Técnico III",SUMIFS($D:$D,$A:$A,$A4003,$B:$B,"&lt;&gt;Patrícia Karla de Sousa Araújo",$B:$B,"&lt;&gt;Lorena Dias de Araujo",$B:$B,"&lt;&gt;Lucas Luiz Romero")*(35/1083),IF(C4003="Técnico II",SUMIFS($D:$D,$A:$A,$A4003,$B:$B,"&lt;&gt;Patrícia Karla de Sousa Araújo",$B:$B,"&lt;&gt;Lorena Dias de Araujo",$B:$B,"&lt;&gt;Lucas Luiz Romero")*(28/1083),IF(C4003="Técnico I",SUMIFS($D:$D,$A:$A,$A4003,$B:$B,"&lt;&gt;Patrícia Karla de Sousa Araújo",$B:$B,"&lt;&gt;Lorena Dias de Araujo",$B:$B,"&lt;&gt;Lucas Luiz Romero")*(23/1083),IF(C4003="JR",SUMIFS($D:$D,$A:$A,$A4003,$B:$B,"&lt;&gt;Patrícia Karla de Sousa Araújo",$B:$B,"&lt;&gt;Lorena Dias de Araujo",$B:$B,"&lt;&gt;Lucas Luiz Romero")*(20/1083),IF(C4003="Estágio",SUMIFS($D:$D,$A:$A,$A4003,$B:$B,"&lt;&gt;Patrícia Karla de Sousa Araújo",$B:$B,"&lt;&gt;Lorena Dias de Araujo",$B:$B,"&lt;&gt;Lucas Luiz Romero")*(10/1083),0)))))),0)</f>
        <v/>
      </c>
      <c r="K4003" s="3">
        <f>I4003-J4003</f>
        <v/>
      </c>
      <c r="L4003" s="3">
        <f>IF(K4003&lt;-5,"CRÍTICO",IF(K4003&lt;0,"ATENÇÃO",IF(K4003&lt;=5,"OPORTUNO","MUITO BOM")))</f>
        <v/>
      </c>
      <c r="N4003" t="n">
        <v>99.19</v>
      </c>
      <c r="O4003" t="n">
        <v>29.46236559139785</v>
      </c>
    </row>
    <row r="4004" hidden="1">
      <c r="A4004" s="11" t="n">
        <v>46167</v>
      </c>
      <c r="B4004" t="inlineStr">
        <is>
          <t>Patrícia Karla de Sousa Araújo</t>
        </is>
      </c>
      <c r="C4004" t="inlineStr">
        <is>
          <t>Técnico II</t>
        </is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s="3" t="n">
        <v>0</v>
      </c>
      <c r="J4004" s="3" t="n">
        <v>0</v>
      </c>
      <c r="K4004" s="3" t="n">
        <v>0</v>
      </c>
      <c r="L4004" s="3">
        <f>IF(K4004&lt;-5,"CRÍTICO",IF(K4004&lt;0,"ATENÇÃO",IF(K4004&lt;=5,"OPORTUNO","MUITO BOM")))</f>
        <v/>
      </c>
    </row>
    <row r="4005" hidden="1">
      <c r="A4005" s="11" t="n">
        <v>46127</v>
      </c>
      <c r="B4005" t="inlineStr">
        <is>
          <t>Isabella Borges de Oliveira</t>
        </is>
      </c>
      <c r="C4005" t="inlineStr">
        <is>
          <t>Técnico II</t>
        </is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s="3" t="n">
        <v>0</v>
      </c>
      <c r="J4005" s="3" t="n">
        <v>0</v>
      </c>
      <c r="K4005" s="3" t="n">
        <v>0</v>
      </c>
      <c r="L4005" s="3">
        <f>IF(K4005&lt;-5,"CRÍTICO",IF(K4005&lt;0,"ATENÇÃO",IF(K4005&lt;=5,"OPORTUNO","MUITO BOM")))</f>
        <v/>
      </c>
      <c r="N4005" t="n">
        <v>100</v>
      </c>
      <c r="O4005" t="n">
        <v>27.94117647058824</v>
      </c>
    </row>
    <row r="4006" hidden="1">
      <c r="A4006" s="11" t="n">
        <v>46127</v>
      </c>
      <c r="B4006" t="inlineStr">
        <is>
          <t>Janaina Lima dos Reis Urany</t>
        </is>
      </c>
      <c r="C4006" t="inlineStr">
        <is>
          <t>Técnico III</t>
        </is>
      </c>
      <c r="D4006" t="n">
        <v>42</v>
      </c>
      <c r="E4006" t="n">
        <v>42</v>
      </c>
      <c r="F4006" t="n">
        <v>13.59</v>
      </c>
      <c r="G4006" t="n">
        <v>0</v>
      </c>
      <c r="H4006" t="n">
        <v>0</v>
      </c>
      <c r="I4006" s="3">
        <f>E4006+G4006+H4006</f>
        <v/>
      </c>
      <c r="J4006" s="3">
        <f>ROUND(MIN(IF(C4006="Técnico III",35,IF(C4006="Técnico II",28,IF(C4006="Técnico I",23,IF(C4006="JR",20,IF(C4006="Estágio",10,0))))),IF(C4006="Técnico III",SUMIFS($D:$D,$A:$A,$A4006,$B:$B,"&lt;&gt;Patrícia Karla de Sousa Araújo",$B:$B,"&lt;&gt;Lorena Dias de Araujo",$B:$B,"&lt;&gt;Lucas Luiz Romero")*(35/1083),IF(C4006="Técnico II",SUMIFS($D:$D,$A:$A,$A4006,$B:$B,"&lt;&gt;Patrícia Karla de Sousa Araújo",$B:$B,"&lt;&gt;Lorena Dias de Araujo",$B:$B,"&lt;&gt;Lucas Luiz Romero")*(28/1083),IF(C4006="Técnico I",SUMIFS($D:$D,$A:$A,$A4006,$B:$B,"&lt;&gt;Patrícia Karla de Sousa Araújo",$B:$B,"&lt;&gt;Lorena Dias de Araujo",$B:$B,"&lt;&gt;Lucas Luiz Romero")*(23/1083),IF(C4006="JR",SUMIFS($D:$D,$A:$A,$A4006,$B:$B,"&lt;&gt;Patrícia Karla de Sousa Araújo",$B:$B,"&lt;&gt;Lorena Dias de Araujo",$B:$B,"&lt;&gt;Lucas Luiz Romero")*(20/1083),IF(C4006="Estágio",SUMIFS($D:$D,$A:$A,$A4006,$B:$B,"&lt;&gt;Patrícia Karla de Sousa Araújo",$B:$B,"&lt;&gt;Lorena Dias de Araujo",$B:$B,"&lt;&gt;Lucas Luiz Romero")*(10/1083),0)))))),0)</f>
        <v/>
      </c>
      <c r="K4006" s="3">
        <f>I4006-J4006</f>
        <v/>
      </c>
      <c r="L4006" s="3">
        <f>IF(K4006&lt;-5,"CRÍTICO",IF(K4006&lt;0,"ATENÇÃO",IF(K4006&lt;=5,"OPORTUNO","MUITO BOM")))</f>
        <v/>
      </c>
      <c r="N4006" t="n">
        <v>99.56999999999999</v>
      </c>
      <c r="O4006" t="n">
        <v>29.91329479768786</v>
      </c>
    </row>
    <row r="4007" hidden="1">
      <c r="A4007" s="11" t="n">
        <v>46127</v>
      </c>
      <c r="B4007" t="inlineStr">
        <is>
          <t>Jaqueline Evangelista da Silva Martins</t>
        </is>
      </c>
      <c r="C4007" t="inlineStr">
        <is>
          <t>Técnico III</t>
        </is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s="3" t="n">
        <v>0</v>
      </c>
      <c r="J4007" s="3" t="n">
        <v>0</v>
      </c>
      <c r="K4007" s="3" t="n">
        <v>0</v>
      </c>
      <c r="L4007" s="3">
        <f>IF(K4007&lt;-5,"CRÍTICO",IF(K4007&lt;0,"ATENÇÃO",IF(K4007&lt;=5,"OPORTUNO","MUITO BOM")))</f>
        <v/>
      </c>
      <c r="N4007" t="n">
        <v>95.65000000000001</v>
      </c>
      <c r="O4007" t="n">
        <v>31.08108108108108</v>
      </c>
    </row>
    <row r="4008" hidden="1">
      <c r="A4008" s="11" t="n">
        <v>46127</v>
      </c>
      <c r="B4008" t="inlineStr">
        <is>
          <t>Jessica Faria da Silveira</t>
        </is>
      </c>
      <c r="C4008" t="inlineStr">
        <is>
          <t>Técnico II</t>
        </is>
      </c>
      <c r="D4008" t="n">
        <v>27</v>
      </c>
      <c r="E4008" t="n">
        <v>24</v>
      </c>
      <c r="F4008" t="n">
        <v>19.04</v>
      </c>
      <c r="G4008" t="n">
        <v>0</v>
      </c>
      <c r="H4008" t="n">
        <v>0</v>
      </c>
      <c r="I4008" s="3">
        <f>E4008+G4008+H4008</f>
        <v/>
      </c>
      <c r="J4008" s="3">
        <f>ROUND(MIN(IF(C4008="Técnico III",35,IF(C4008="Técnico II",28,IF(C4008="Técnico I",23,IF(C4008="JR",20,IF(C4008="Estágio",10,0))))),IF(C4008="Técnico III",SUMIFS($D:$D,$A:$A,$A4008,$B:$B,"&lt;&gt;Patrícia Karla de Sousa Araújo",$B:$B,"&lt;&gt;Lorena Dias de Araujo",$B:$B,"&lt;&gt;Lucas Luiz Romero")*(35/1083),IF(C4008="Técnico II",SUMIFS($D:$D,$A:$A,$A4008,$B:$B,"&lt;&gt;Patrícia Karla de Sousa Araújo",$B:$B,"&lt;&gt;Lorena Dias de Araujo",$B:$B,"&lt;&gt;Lucas Luiz Romero")*(28/1083),IF(C4008="Técnico I",SUMIFS($D:$D,$A:$A,$A4008,$B:$B,"&lt;&gt;Patrícia Karla de Sousa Araújo",$B:$B,"&lt;&gt;Lorena Dias de Araujo",$B:$B,"&lt;&gt;Lucas Luiz Romero")*(23/1083),IF(C4008="JR",SUMIFS($D:$D,$A:$A,$A4008,$B:$B,"&lt;&gt;Patrícia Karla de Sousa Araújo",$B:$B,"&lt;&gt;Lorena Dias de Araujo",$B:$B,"&lt;&gt;Lucas Luiz Romero")*(20/1083),IF(C4008="Estágio",SUMIFS($D:$D,$A:$A,$A4008,$B:$B,"&lt;&gt;Patrícia Karla de Sousa Araújo",$B:$B,"&lt;&gt;Lorena Dias de Araujo",$B:$B,"&lt;&gt;Lucas Luiz Romero")*(10/1083),0)))))),0)</f>
        <v/>
      </c>
      <c r="K4008" s="3">
        <f>I4008-J4008</f>
        <v/>
      </c>
      <c r="L4008" s="3">
        <f>IF(K4008&lt;-5,"CRÍTICO",IF(K4008&lt;0,"ATENÇÃO",IF(K4008&lt;=5,"OPORTUNO","MUITO BOM")))</f>
        <v/>
      </c>
      <c r="N4008" t="n">
        <v>98.81</v>
      </c>
      <c r="O4008" t="n">
        <v>26.25698324022346</v>
      </c>
    </row>
    <row r="4009" hidden="1">
      <c r="A4009" s="11" t="n">
        <v>46127</v>
      </c>
      <c r="B4009" t="inlineStr">
        <is>
          <t>Jéssica Fé Moura</t>
        </is>
      </c>
      <c r="C4009" t="inlineStr">
        <is>
          <t>Técnico III</t>
        </is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s="3" t="n">
        <v>0</v>
      </c>
      <c r="J4009" s="3" t="n">
        <v>0</v>
      </c>
      <c r="K4009" s="3" t="n">
        <v>0</v>
      </c>
      <c r="L4009" s="3">
        <f>IF(K4009&lt;-5,"CRÍTICO",IF(K4009&lt;0,"ATENÇÃO",IF(K4009&lt;=5,"OPORTUNO","MUITO BOM")))</f>
        <v/>
      </c>
      <c r="N4009" t="n">
        <v>0</v>
      </c>
      <c r="O4009" t="n">
        <v>0</v>
      </c>
    </row>
    <row r="4010" hidden="1">
      <c r="A4010" s="11" t="n">
        <v>46127</v>
      </c>
      <c r="B4010" t="inlineStr">
        <is>
          <t>Karina Gonçalves Martins</t>
        </is>
      </c>
      <c r="C4010" t="inlineStr">
        <is>
          <t>JR</t>
        </is>
      </c>
      <c r="D4010" t="n">
        <v>26</v>
      </c>
      <c r="E4010" t="n">
        <v>21</v>
      </c>
      <c r="F4010" t="n">
        <v>21.48</v>
      </c>
      <c r="G4010" t="n">
        <v>0</v>
      </c>
      <c r="H4010" t="n">
        <v>0</v>
      </c>
      <c r="I4010" s="3">
        <f>E4010+G4010+H4010</f>
        <v/>
      </c>
      <c r="J4010" s="3">
        <f>ROUND(MIN(IF(C4010="Técnico III",35,IF(C4010="Técnico II",28,IF(C4010="Técnico I",23,IF(C4010="JR",20,IF(C4010="Estágio",10,0))))),IF(C4010="Técnico III",SUMIFS($D:$D,$A:$A,$A4010,$B:$B,"&lt;&gt;Patrícia Karla de Sousa Araújo",$B:$B,"&lt;&gt;Lorena Dias de Araujo",$B:$B,"&lt;&gt;Lucas Luiz Romero")*(35/1083),IF(C4010="Técnico II",SUMIFS($D:$D,$A:$A,$A4010,$B:$B,"&lt;&gt;Patrícia Karla de Sousa Araújo",$B:$B,"&lt;&gt;Lorena Dias de Araujo",$B:$B,"&lt;&gt;Lucas Luiz Romero")*(28/1083),IF(C4010="Técnico I",SUMIFS($D:$D,$A:$A,$A4010,$B:$B,"&lt;&gt;Patrícia Karla de Sousa Araújo",$B:$B,"&lt;&gt;Lorena Dias de Araujo",$B:$B,"&lt;&gt;Lucas Luiz Romero")*(23/1083),IF(C4010="JR",SUMIFS($D:$D,$A:$A,$A4010,$B:$B,"&lt;&gt;Patrícia Karla de Sousa Araújo",$B:$B,"&lt;&gt;Lorena Dias de Araujo",$B:$B,"&lt;&gt;Lucas Luiz Romero")*(20/1083),IF(C4010="Estágio",SUMIFS($D:$D,$A:$A,$A4010,$B:$B,"&lt;&gt;Patrícia Karla de Sousa Araújo",$B:$B,"&lt;&gt;Lorena Dias de Araujo",$B:$B,"&lt;&gt;Lucas Luiz Romero")*(10/1083),0)))))),0)</f>
        <v/>
      </c>
      <c r="K4010" s="3">
        <f>I4010-J4010</f>
        <v/>
      </c>
      <c r="L4010" s="3">
        <f>IF(K4010&lt;-5,"CRÍTICO",IF(K4010&lt;0,"ATENÇÃO",IF(K4010&lt;=5,"OPORTUNO","MUITO BOM")))</f>
        <v/>
      </c>
      <c r="N4010" t="n">
        <v>97.17</v>
      </c>
      <c r="O4010" t="n">
        <v>28.81844380403458</v>
      </c>
    </row>
    <row r="4011" hidden="1">
      <c r="A4011" s="11" t="n">
        <v>46127</v>
      </c>
      <c r="B4011" t="inlineStr">
        <is>
          <t>Kerollen Cristielly de Jesus Siqueira</t>
        </is>
      </c>
      <c r="C4011" t="inlineStr">
        <is>
          <t>Técnico III</t>
        </is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s="3" t="n">
        <v>0</v>
      </c>
      <c r="J4011" s="3" t="n">
        <v>0</v>
      </c>
      <c r="K4011" s="3" t="n">
        <v>0</v>
      </c>
      <c r="L4011" s="3">
        <f>IF(K4011&lt;-5,"CRÍTICO",IF(K4011&lt;0,"ATENÇÃO",IF(K4011&lt;=5,"OPORTUNO","MUITO BOM")))</f>
        <v/>
      </c>
      <c r="N4011" t="n">
        <v>96.81</v>
      </c>
      <c r="O4011" t="n">
        <v>48.01864801864802</v>
      </c>
    </row>
    <row r="4012" hidden="1">
      <c r="A4012" s="11" t="n">
        <v>46127</v>
      </c>
      <c r="B4012" t="inlineStr">
        <is>
          <t>Leandro de Souza Silva</t>
        </is>
      </c>
      <c r="C4012" t="inlineStr">
        <is>
          <t>JR</t>
        </is>
      </c>
      <c r="D4012" t="n">
        <v>14</v>
      </c>
      <c r="E4012" t="n">
        <v>13</v>
      </c>
      <c r="F4012" t="n">
        <v>33.31</v>
      </c>
      <c r="G4012" t="n">
        <v>0</v>
      </c>
      <c r="H4012" t="n">
        <v>0</v>
      </c>
      <c r="I4012" s="3">
        <f>E4012+G4012+H4012</f>
        <v/>
      </c>
      <c r="J4012" s="3">
        <f>ROUND(MIN(IF(C4012="Técnico III",35,IF(C4012="Técnico II",28,IF(C4012="Técnico I",23,IF(C4012="JR",20,IF(C4012="Estágio",10,0))))),IF(C4012="Técnico III",SUMIFS($D:$D,$A:$A,$A4012,$B:$B,"&lt;&gt;Patrícia Karla de Sousa Araújo",$B:$B,"&lt;&gt;Lorena Dias de Araujo",$B:$B,"&lt;&gt;Lucas Luiz Romero")*(35/1083),IF(C4012="Técnico II",SUMIFS($D:$D,$A:$A,$A4012,$B:$B,"&lt;&gt;Patrícia Karla de Sousa Araújo",$B:$B,"&lt;&gt;Lorena Dias de Araujo",$B:$B,"&lt;&gt;Lucas Luiz Romero")*(28/1083),IF(C4012="Técnico I",SUMIFS($D:$D,$A:$A,$A4012,$B:$B,"&lt;&gt;Patrícia Karla de Sousa Araújo",$B:$B,"&lt;&gt;Lorena Dias de Araujo",$B:$B,"&lt;&gt;Lucas Luiz Romero")*(23/1083),IF(C4012="JR",SUMIFS($D:$D,$A:$A,$A4012,$B:$B,"&lt;&gt;Patrícia Karla de Sousa Araújo",$B:$B,"&lt;&gt;Lorena Dias de Araujo",$B:$B,"&lt;&gt;Lucas Luiz Romero")*(20/1083),IF(C4012="Estágio",SUMIFS($D:$D,$A:$A,$A4012,$B:$B,"&lt;&gt;Patrícia Karla de Sousa Araújo",$B:$B,"&lt;&gt;Lorena Dias de Araujo",$B:$B,"&lt;&gt;Lucas Luiz Romero")*(10/1083),0)))))),0)</f>
        <v/>
      </c>
      <c r="K4012" s="3">
        <f>I4012-J4012</f>
        <v/>
      </c>
      <c r="L4012" s="3">
        <f>IF(K4012&lt;-5,"CRÍTICO",IF(K4012&lt;0,"ATENÇÃO",IF(K4012&lt;=5,"OPORTUNO","MUITO BOM")))</f>
        <v/>
      </c>
      <c r="N4012" t="n">
        <v>98.15000000000001</v>
      </c>
      <c r="O4012" t="n">
        <v>27.1551724137931</v>
      </c>
    </row>
    <row r="4013" hidden="1">
      <c r="A4013" s="11" t="n">
        <v>46127</v>
      </c>
      <c r="B4013" t="inlineStr">
        <is>
          <t>Leandro Oliveira de Sousa</t>
        </is>
      </c>
      <c r="C4013" t="inlineStr">
        <is>
          <t>Técnico III</t>
        </is>
      </c>
      <c r="D4013" t="n">
        <v>28</v>
      </c>
      <c r="E4013" t="n">
        <v>28</v>
      </c>
      <c r="F4013" t="n">
        <v>18.45</v>
      </c>
      <c r="G4013" t="n">
        <v>0</v>
      </c>
      <c r="H4013" t="n">
        <v>0</v>
      </c>
      <c r="I4013" s="3">
        <f>E4013+G4013+H4013</f>
        <v/>
      </c>
      <c r="J4013" s="3">
        <f>ROUND(MIN(IF(C4013="Técnico III",35,IF(C4013="Técnico II",28,IF(C4013="Técnico I",23,IF(C4013="JR",20,IF(C4013="Estágio",10,0))))),IF(C4013="Técnico III",SUMIFS($D:$D,$A:$A,$A4013,$B:$B,"&lt;&gt;Patrícia Karla de Sousa Araújo",$B:$B,"&lt;&gt;Lorena Dias de Araujo",$B:$B,"&lt;&gt;Lucas Luiz Romero")*(35/1083),IF(C4013="Técnico II",SUMIFS($D:$D,$A:$A,$A4013,$B:$B,"&lt;&gt;Patrícia Karla de Sousa Araújo",$B:$B,"&lt;&gt;Lorena Dias de Araujo",$B:$B,"&lt;&gt;Lucas Luiz Romero")*(28/1083),IF(C4013="Técnico I",SUMIFS($D:$D,$A:$A,$A4013,$B:$B,"&lt;&gt;Patrícia Karla de Sousa Araújo",$B:$B,"&lt;&gt;Lorena Dias de Araujo",$B:$B,"&lt;&gt;Lucas Luiz Romero")*(23/1083),IF(C4013="JR",SUMIFS($D:$D,$A:$A,$A4013,$B:$B,"&lt;&gt;Patrícia Karla de Sousa Araújo",$B:$B,"&lt;&gt;Lorena Dias de Araujo",$B:$B,"&lt;&gt;Lucas Luiz Romero")*(20/1083),IF(C4013="Estágio",SUMIFS($D:$D,$A:$A,$A4013,$B:$B,"&lt;&gt;Patrícia Karla de Sousa Araújo",$B:$B,"&lt;&gt;Lorena Dias de Araujo",$B:$B,"&lt;&gt;Lucas Luiz Romero")*(10/1083),0)))))),0)</f>
        <v/>
      </c>
      <c r="K4013" s="3">
        <f>I4013-J4013</f>
        <v/>
      </c>
      <c r="L4013" s="3">
        <f>IF(K4013&lt;-5,"CRÍTICO",IF(K4013&lt;0,"ATENÇÃO",IF(K4013&lt;=5,"OPORTUNO","MUITO BOM")))</f>
        <v/>
      </c>
      <c r="N4013" t="n">
        <v>99.15000000000001</v>
      </c>
      <c r="O4013" t="n">
        <v>27.37068965517241</v>
      </c>
    </row>
    <row r="4014" hidden="1">
      <c r="A4014" s="11" t="n">
        <v>46127</v>
      </c>
      <c r="B4014" t="inlineStr">
        <is>
          <t>Lizandra Gomes Duarte</t>
        </is>
      </c>
      <c r="C4014" t="inlineStr">
        <is>
          <t>Técnico II</t>
        </is>
      </c>
      <c r="D4014" t="n">
        <v>30</v>
      </c>
      <c r="E4014" t="n">
        <v>27</v>
      </c>
      <c r="F4014" t="n">
        <v>13.33</v>
      </c>
      <c r="G4014" t="n">
        <v>0</v>
      </c>
      <c r="H4014" t="n">
        <v>0</v>
      </c>
      <c r="I4014" s="3">
        <f>E4014+G4014+H4014</f>
        <v/>
      </c>
      <c r="J4014" s="3">
        <f>ROUND(MIN(IF(C4014="Técnico III",35,IF(C4014="Técnico II",28,IF(C4014="Técnico I",23,IF(C4014="JR",20,IF(C4014="Estágio",10,0))))),IF(C4014="Técnico III",SUMIFS($D:$D,$A:$A,$A4014,$B:$B,"&lt;&gt;Patrícia Karla de Sousa Araújo",$B:$B,"&lt;&gt;Lorena Dias de Araujo",$B:$B,"&lt;&gt;Lucas Luiz Romero")*(35/1083),IF(C4014="Técnico II",SUMIFS($D:$D,$A:$A,$A4014,$B:$B,"&lt;&gt;Patrícia Karla de Sousa Araújo",$B:$B,"&lt;&gt;Lorena Dias de Araujo",$B:$B,"&lt;&gt;Lucas Luiz Romero")*(28/1083),IF(C4014="Técnico I",SUMIFS($D:$D,$A:$A,$A4014,$B:$B,"&lt;&gt;Patrícia Karla de Sousa Araújo",$B:$B,"&lt;&gt;Lorena Dias de Araujo",$B:$B,"&lt;&gt;Lucas Luiz Romero")*(23/1083),IF(C4014="JR",SUMIFS($D:$D,$A:$A,$A4014,$B:$B,"&lt;&gt;Patrícia Karla de Sousa Araújo",$B:$B,"&lt;&gt;Lorena Dias de Araujo",$B:$B,"&lt;&gt;Lucas Luiz Romero")*(20/1083),IF(C4014="Estágio",SUMIFS($D:$D,$A:$A,$A4014,$B:$B,"&lt;&gt;Patrícia Karla de Sousa Araújo",$B:$B,"&lt;&gt;Lorena Dias de Araujo",$B:$B,"&lt;&gt;Lucas Luiz Romero")*(10/1083),0)))))),0)</f>
        <v/>
      </c>
      <c r="K4014" s="3">
        <f>I4014-J4014</f>
        <v/>
      </c>
      <c r="L4014" s="3">
        <f>IF(K4014&lt;-5,"CRÍTICO",IF(K4014&lt;0,"ATENÇÃO",IF(K4014&lt;=5,"OPORTUNO","MUITO BOM")))</f>
        <v/>
      </c>
      <c r="N4014" t="n">
        <v>99.17</v>
      </c>
      <c r="O4014" t="n">
        <v>29.75206611570248</v>
      </c>
    </row>
    <row r="4015" hidden="1">
      <c r="A4015" s="11" t="n">
        <v>46127</v>
      </c>
      <c r="B4015" t="inlineStr">
        <is>
          <t>Lorena Dias de Araujo</t>
        </is>
      </c>
      <c r="C4015" t="inlineStr">
        <is>
          <t>Técnico II</t>
        </is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s="3" t="n">
        <v>0</v>
      </c>
      <c r="J4015" s="3" t="n">
        <v>0</v>
      </c>
      <c r="K4015" s="3" t="n">
        <v>0</v>
      </c>
      <c r="L4015" s="3">
        <f>IF(K4015&lt;-5,"CRÍTICO",IF(K4015&lt;0,"ATENÇÃO",IF(K4015&lt;=5,"OPORTUNO","MUITO BOM")))</f>
        <v/>
      </c>
      <c r="N4015" t="n">
        <v>98.73</v>
      </c>
      <c r="O4015" t="n">
        <v>28.96174863387978</v>
      </c>
    </row>
    <row r="4016" hidden="1">
      <c r="A4016" s="11" t="n">
        <v>46127</v>
      </c>
      <c r="B4016" t="inlineStr">
        <is>
          <t>Lucas Luiz Romero</t>
        </is>
      </c>
      <c r="C4016" t="inlineStr">
        <is>
          <t>Técnico III</t>
        </is>
      </c>
      <c r="D4016" t="n">
        <v>39</v>
      </c>
      <c r="E4016" t="n">
        <v>33</v>
      </c>
      <c r="F4016" t="n">
        <v>16.56</v>
      </c>
      <c r="G4016" t="n">
        <v>0</v>
      </c>
      <c r="H4016" t="n">
        <v>0</v>
      </c>
      <c r="I4016" s="3">
        <f>E4016+G4016+H4016</f>
        <v/>
      </c>
      <c r="J4016" s="3">
        <f>ROUND(MIN(IF(C4016="Técnico III",35,IF(C4016="Técnico II",28,IF(C4016="Técnico I",23,IF(C4016="JR",20,IF(C4016="Estágio",10,0))))),IF(C4016="Técnico III",SUMIFS($D:$D,$A:$A,$A4016,$B:$B,"&lt;&gt;Patrícia Karla de Sousa Araújo",$B:$B,"&lt;&gt;Lorena Dias de Araujo",$B:$B,"&lt;&gt;Lucas Luiz Romero")*(35/1083),IF(C4016="Técnico II",SUMIFS($D:$D,$A:$A,$A4016,$B:$B,"&lt;&gt;Patrícia Karla de Sousa Araújo",$B:$B,"&lt;&gt;Lorena Dias de Araujo",$B:$B,"&lt;&gt;Lucas Luiz Romero")*(28/1083),IF(C4016="Técnico I",SUMIFS($D:$D,$A:$A,$A4016,$B:$B,"&lt;&gt;Patrícia Karla de Sousa Araújo",$B:$B,"&lt;&gt;Lorena Dias de Araujo",$B:$B,"&lt;&gt;Lucas Luiz Romero")*(23/1083),IF(C4016="JR",SUMIFS($D:$D,$A:$A,$A4016,$B:$B,"&lt;&gt;Patrícia Karla de Sousa Araújo",$B:$B,"&lt;&gt;Lorena Dias de Araujo",$B:$B,"&lt;&gt;Lucas Luiz Romero")*(20/1083),IF(C4016="Estágio",SUMIFS($D:$D,$A:$A,$A4016,$B:$B,"&lt;&gt;Patrícia Karla de Sousa Araújo",$B:$B,"&lt;&gt;Lorena Dias de Araujo",$B:$B,"&lt;&gt;Lucas Luiz Romero")*(10/1083),0)))))),0)</f>
        <v/>
      </c>
      <c r="K4016" s="3">
        <f>I4016-J4016</f>
        <v/>
      </c>
      <c r="L4016" s="3">
        <f>IF(K4016&lt;-5,"CRÍTICO",IF(K4016&lt;0,"ATENÇÃO",IF(K4016&lt;=5,"OPORTUNO","MUITO BOM")))</f>
        <v/>
      </c>
      <c r="N4016" t="n">
        <v>88.68000000000001</v>
      </c>
      <c r="O4016" t="n">
        <v>22.03389830508474</v>
      </c>
    </row>
    <row r="4017" hidden="1">
      <c r="A4017" s="11" t="n">
        <v>46127</v>
      </c>
      <c r="B4017" t="inlineStr">
        <is>
          <t>Luiz Fernando de Carvalho Junior</t>
        </is>
      </c>
      <c r="C4017" t="inlineStr">
        <is>
          <t>Técnico I</t>
        </is>
      </c>
      <c r="D4017" t="n">
        <v>21</v>
      </c>
      <c r="E4017" t="n">
        <v>20</v>
      </c>
      <c r="F4017" t="n">
        <v>33.46</v>
      </c>
      <c r="G4017" t="n">
        <v>0</v>
      </c>
      <c r="H4017" t="n">
        <v>0</v>
      </c>
      <c r="I4017" s="3">
        <f>E4017+G4017+H4017</f>
        <v/>
      </c>
      <c r="J4017" s="3">
        <f>ROUND(MIN(IF(C4017="Técnico III",35,IF(C4017="Técnico II",28,IF(C4017="Técnico I",23,IF(C4017="JR",20,IF(C4017="Estágio",10,0))))),IF(C4017="Técnico III",SUMIFS($D:$D,$A:$A,$A4017,$B:$B,"&lt;&gt;Patrícia Karla de Sousa Araújo",$B:$B,"&lt;&gt;Lorena Dias de Araujo",$B:$B,"&lt;&gt;Lucas Luiz Romero")*(35/1083),IF(C4017="Técnico II",SUMIFS($D:$D,$A:$A,$A4017,$B:$B,"&lt;&gt;Patrícia Karla de Sousa Araújo",$B:$B,"&lt;&gt;Lorena Dias de Araujo",$B:$B,"&lt;&gt;Lucas Luiz Romero")*(28/1083),IF(C4017="Técnico I",SUMIFS($D:$D,$A:$A,$A4017,$B:$B,"&lt;&gt;Patrícia Karla de Sousa Araújo",$B:$B,"&lt;&gt;Lorena Dias de Araujo",$B:$B,"&lt;&gt;Lucas Luiz Romero")*(23/1083),IF(C4017="JR",SUMIFS($D:$D,$A:$A,$A4017,$B:$B,"&lt;&gt;Patrícia Karla de Sousa Araújo",$B:$B,"&lt;&gt;Lorena Dias de Araujo",$B:$B,"&lt;&gt;Lucas Luiz Romero")*(20/1083),IF(C4017="Estágio",SUMIFS($D:$D,$A:$A,$A4017,$B:$B,"&lt;&gt;Patrícia Karla de Sousa Araújo",$B:$B,"&lt;&gt;Lorena Dias de Araujo",$B:$B,"&lt;&gt;Lucas Luiz Romero")*(10/1083),0)))))),0)</f>
        <v/>
      </c>
      <c r="K4017" s="3">
        <f>I4017-J4017</f>
        <v/>
      </c>
      <c r="L4017" s="3">
        <f>IF(K4017&lt;-5,"CRÍTICO",IF(K4017&lt;0,"ATENÇÃO",IF(K4017&lt;=5,"OPORTUNO","MUITO BOM")))</f>
        <v/>
      </c>
      <c r="N4017" t="n">
        <v>97.37</v>
      </c>
      <c r="O4017" t="n">
        <v>25.76530612244898</v>
      </c>
    </row>
    <row r="4018" hidden="1">
      <c r="A4018" s="11" t="n">
        <v>46127</v>
      </c>
      <c r="B4018" t="inlineStr">
        <is>
          <t>Maria Eduarda Sousa Costa</t>
        </is>
      </c>
      <c r="C4018" t="inlineStr">
        <is>
          <t>Estágio</t>
        </is>
      </c>
      <c r="D4018" t="n">
        <v>36</v>
      </c>
      <c r="E4018" t="n">
        <v>18</v>
      </c>
      <c r="F4018" t="n">
        <v>7.05</v>
      </c>
      <c r="G4018" t="n">
        <v>0</v>
      </c>
      <c r="H4018" t="n">
        <v>0</v>
      </c>
      <c r="I4018" s="3">
        <f>E4018+G4018+H4018</f>
        <v/>
      </c>
      <c r="J4018" s="3">
        <f>ROUND(MIN(IF(C4018="Técnico III",35,IF(C4018="Técnico II",28,IF(C4018="Técnico I",23,IF(C4018="JR",20,IF(C4018="Estágio",10,0))))),IF(C4018="Técnico III",SUMIFS($D:$D,$A:$A,$A4018,$B:$B,"&lt;&gt;Patrícia Karla de Sousa Araújo",$B:$B,"&lt;&gt;Lorena Dias de Araujo",$B:$B,"&lt;&gt;Lucas Luiz Romero")*(35/1083),IF(C4018="Técnico II",SUMIFS($D:$D,$A:$A,$A4018,$B:$B,"&lt;&gt;Patrícia Karla de Sousa Araújo",$B:$B,"&lt;&gt;Lorena Dias de Araujo",$B:$B,"&lt;&gt;Lucas Luiz Romero")*(28/1083),IF(C4018="Técnico I",SUMIFS($D:$D,$A:$A,$A4018,$B:$B,"&lt;&gt;Patrícia Karla de Sousa Araújo",$B:$B,"&lt;&gt;Lorena Dias de Araujo",$B:$B,"&lt;&gt;Lucas Luiz Romero")*(23/1083),IF(C4018="JR",SUMIFS($D:$D,$A:$A,$A4018,$B:$B,"&lt;&gt;Patrícia Karla de Sousa Araújo",$B:$B,"&lt;&gt;Lorena Dias de Araujo",$B:$B,"&lt;&gt;Lucas Luiz Romero")*(20/1083),IF(C4018="Estágio",SUMIFS($D:$D,$A:$A,$A4018,$B:$B,"&lt;&gt;Patrícia Karla de Sousa Araújo",$B:$B,"&lt;&gt;Lorena Dias de Araujo",$B:$B,"&lt;&gt;Lucas Luiz Romero")*(10/1083),0)))))),0)</f>
        <v/>
      </c>
      <c r="K4018" s="3">
        <f>I4018-J4018</f>
        <v/>
      </c>
      <c r="L4018" s="3">
        <f>IF(K4018&lt;-5,"CRÍTICO",IF(K4018&lt;0,"ATENÇÃO",IF(K4018&lt;=5,"OPORTUNO","MUITO BOM")))</f>
        <v/>
      </c>
      <c r="N4018" t="n">
        <v>100</v>
      </c>
      <c r="O4018" t="n">
        <v>25</v>
      </c>
    </row>
    <row r="4019" hidden="1">
      <c r="A4019" s="11" t="n">
        <v>46127</v>
      </c>
      <c r="B4019" t="inlineStr">
        <is>
          <t>Matheus Farias De Souza</t>
        </is>
      </c>
      <c r="C4019" t="inlineStr">
        <is>
          <t>Técnico III</t>
        </is>
      </c>
      <c r="D4019" t="n">
        <v>30</v>
      </c>
      <c r="E4019" t="n">
        <v>28</v>
      </c>
      <c r="F4019" t="n">
        <v>13.55</v>
      </c>
      <c r="G4019" t="n">
        <v>0</v>
      </c>
      <c r="H4019" t="n">
        <v>0</v>
      </c>
      <c r="I4019" s="3">
        <f>E4019+G4019+H4019</f>
        <v/>
      </c>
      <c r="J4019" s="3">
        <f>ROUND(MIN(IF(C4019="Técnico III",35,IF(C4019="Técnico II",28,IF(C4019="Técnico I",23,IF(C4019="JR",20,IF(C4019="Estágio",10,0))))),IF(C4019="Técnico III",SUMIFS($D:$D,$A:$A,$A4019,$B:$B,"&lt;&gt;Patrícia Karla de Sousa Araújo",$B:$B,"&lt;&gt;Lorena Dias de Araujo",$B:$B,"&lt;&gt;Lucas Luiz Romero")*(35/1083),IF(C4019="Técnico II",SUMIFS($D:$D,$A:$A,$A4019,$B:$B,"&lt;&gt;Patrícia Karla de Sousa Araújo",$B:$B,"&lt;&gt;Lorena Dias de Araujo",$B:$B,"&lt;&gt;Lucas Luiz Romero")*(28/1083),IF(C4019="Técnico I",SUMIFS($D:$D,$A:$A,$A4019,$B:$B,"&lt;&gt;Patrícia Karla de Sousa Araújo",$B:$B,"&lt;&gt;Lorena Dias de Araujo",$B:$B,"&lt;&gt;Lucas Luiz Romero")*(23/1083),IF(C4019="JR",SUMIFS($D:$D,$A:$A,$A4019,$B:$B,"&lt;&gt;Patrícia Karla de Sousa Araújo",$B:$B,"&lt;&gt;Lorena Dias de Araujo",$B:$B,"&lt;&gt;Lucas Luiz Romero")*(20/1083),IF(C4019="Estágio",SUMIFS($D:$D,$A:$A,$A4019,$B:$B,"&lt;&gt;Patrícia Karla de Sousa Araújo",$B:$B,"&lt;&gt;Lorena Dias de Araujo",$B:$B,"&lt;&gt;Lucas Luiz Romero")*(10/1083),0)))))),0)</f>
        <v/>
      </c>
      <c r="K4019" s="3">
        <f>I4019-J4019</f>
        <v/>
      </c>
      <c r="L4019" s="3">
        <f>IF(K4019&lt;-5,"CRÍTICO",IF(K4019&lt;0,"ATENÇÃO",IF(K4019&lt;=5,"OPORTUNO","MUITO BOM")))</f>
        <v/>
      </c>
      <c r="N4019" t="n">
        <v>100</v>
      </c>
      <c r="O4019" t="n">
        <v>23.9870340356564</v>
      </c>
    </row>
    <row r="4020" hidden="1">
      <c r="A4020" s="11" t="n">
        <v>46127</v>
      </c>
      <c r="B4020" t="inlineStr">
        <is>
          <t>Maysa Victoria Dias Moura</t>
        </is>
      </c>
      <c r="C4020" t="inlineStr">
        <is>
          <t>Técnico III</t>
        </is>
      </c>
      <c r="D4020" t="n">
        <v>36</v>
      </c>
      <c r="E4020" t="n">
        <v>34</v>
      </c>
      <c r="F4020" t="n">
        <v>15.23</v>
      </c>
      <c r="G4020" t="n">
        <v>0</v>
      </c>
      <c r="H4020" t="n">
        <v>0</v>
      </c>
      <c r="I4020" s="3">
        <f>E4020+G4020+H4020</f>
        <v/>
      </c>
      <c r="J4020" s="3">
        <f>ROUND(MIN(IF(C4020="Técnico III",35,IF(C4020="Técnico II",28,IF(C4020="Técnico I",23,IF(C4020="JR",20,IF(C4020="Estágio",10,0))))),IF(C4020="Técnico III",SUMIFS($D:$D,$A:$A,$A4020,$B:$B,"&lt;&gt;Patrícia Karla de Sousa Araújo",$B:$B,"&lt;&gt;Lorena Dias de Araujo",$B:$B,"&lt;&gt;Lucas Luiz Romero")*(35/1083),IF(C4020="Técnico II",SUMIFS($D:$D,$A:$A,$A4020,$B:$B,"&lt;&gt;Patrícia Karla de Sousa Araújo",$B:$B,"&lt;&gt;Lorena Dias de Araujo",$B:$B,"&lt;&gt;Lucas Luiz Romero")*(28/1083),IF(C4020="Técnico I",SUMIFS($D:$D,$A:$A,$A4020,$B:$B,"&lt;&gt;Patrícia Karla de Sousa Araújo",$B:$B,"&lt;&gt;Lorena Dias de Araujo",$B:$B,"&lt;&gt;Lucas Luiz Romero")*(23/1083),IF(C4020="JR",SUMIFS($D:$D,$A:$A,$A4020,$B:$B,"&lt;&gt;Patrícia Karla de Sousa Araújo",$B:$B,"&lt;&gt;Lorena Dias de Araujo",$B:$B,"&lt;&gt;Lucas Luiz Romero")*(20/1083),IF(C4020="Estágio",SUMIFS($D:$D,$A:$A,$A4020,$B:$B,"&lt;&gt;Patrícia Karla de Sousa Araújo",$B:$B,"&lt;&gt;Lorena Dias de Araujo",$B:$B,"&lt;&gt;Lucas Luiz Romero")*(10/1083),0)))))),0)</f>
        <v/>
      </c>
      <c r="K4020" s="3">
        <f>I4020-J4020</f>
        <v/>
      </c>
      <c r="L4020" s="3">
        <f>IF(K4020&lt;-5,"CRÍTICO",IF(K4020&lt;0,"ATENÇÃO",IF(K4020&lt;=5,"OPORTUNO","MUITO BOM")))</f>
        <v/>
      </c>
      <c r="N4020" t="n">
        <v>95.48999999999999</v>
      </c>
      <c r="O4020" t="n">
        <v>28.16901408450704</v>
      </c>
    </row>
    <row r="4021" hidden="1">
      <c r="A4021" s="11" t="n">
        <v>46127</v>
      </c>
      <c r="B4021" t="inlineStr">
        <is>
          <t>Michelle G Santos</t>
        </is>
      </c>
      <c r="C4021" t="inlineStr">
        <is>
          <t>Estágio</t>
        </is>
      </c>
      <c r="D4021" t="n">
        <v>19</v>
      </c>
      <c r="E4021" t="n">
        <v>19</v>
      </c>
      <c r="F4021" t="n">
        <v>30.04</v>
      </c>
      <c r="G4021" t="n">
        <v>0</v>
      </c>
      <c r="H4021" t="n">
        <v>0</v>
      </c>
      <c r="I4021" s="3">
        <f>E4021+G4021+H4021</f>
        <v/>
      </c>
      <c r="J4021" s="3">
        <f>ROUND(MIN(IF(C4021="Técnico III",35,IF(C4021="Técnico II",28,IF(C4021="Técnico I",23,IF(C4021="JR",20,IF(C4021="Estágio",10,0))))),IF(C4021="Técnico III",SUMIFS($D:$D,$A:$A,$A4021,$B:$B,"&lt;&gt;Patrícia Karla de Sousa Araújo",$B:$B,"&lt;&gt;Lorena Dias de Araujo",$B:$B,"&lt;&gt;Lucas Luiz Romero")*(35/1083),IF(C4021="Técnico II",SUMIFS($D:$D,$A:$A,$A4021,$B:$B,"&lt;&gt;Patrícia Karla de Sousa Araújo",$B:$B,"&lt;&gt;Lorena Dias de Araujo",$B:$B,"&lt;&gt;Lucas Luiz Romero")*(28/1083),IF(C4021="Técnico I",SUMIFS($D:$D,$A:$A,$A4021,$B:$B,"&lt;&gt;Patrícia Karla de Sousa Araújo",$B:$B,"&lt;&gt;Lorena Dias de Araujo",$B:$B,"&lt;&gt;Lucas Luiz Romero")*(23/1083),IF(C4021="JR",SUMIFS($D:$D,$A:$A,$A4021,$B:$B,"&lt;&gt;Patrícia Karla de Sousa Araújo",$B:$B,"&lt;&gt;Lorena Dias de Araujo",$B:$B,"&lt;&gt;Lucas Luiz Romero")*(20/1083),IF(C4021="Estágio",SUMIFS($D:$D,$A:$A,$A4021,$B:$B,"&lt;&gt;Patrícia Karla de Sousa Araújo",$B:$B,"&lt;&gt;Lorena Dias de Araujo",$B:$B,"&lt;&gt;Lucas Luiz Romero")*(10/1083),0)))))),0)</f>
        <v/>
      </c>
      <c r="K4021" s="3">
        <f>I4021-J4021</f>
        <v/>
      </c>
      <c r="L4021" s="3">
        <f>IF(K4021&lt;-5,"CRÍTICO",IF(K4021&lt;0,"ATENÇÃO",IF(K4021&lt;=5,"OPORTUNO","MUITO BOM")))</f>
        <v/>
      </c>
      <c r="N4021" t="n">
        <v>100</v>
      </c>
      <c r="O4021" t="n">
        <v>23.77622377622378</v>
      </c>
    </row>
    <row r="4022" hidden="1">
      <c r="A4022" s="11" t="n">
        <v>46127</v>
      </c>
      <c r="B4022" t="inlineStr">
        <is>
          <t>Milena Sales</t>
        </is>
      </c>
      <c r="C4022" t="inlineStr">
        <is>
          <t>JR</t>
        </is>
      </c>
      <c r="D4022" t="n">
        <v>28</v>
      </c>
      <c r="E4022" t="n">
        <v>22</v>
      </c>
      <c r="F4022" t="n">
        <v>18.5</v>
      </c>
      <c r="G4022" t="n">
        <v>0</v>
      </c>
      <c r="H4022" t="n">
        <v>0</v>
      </c>
      <c r="I4022" s="3">
        <f>E4022+G4022+H4022</f>
        <v/>
      </c>
      <c r="J4022" s="3">
        <f>ROUND(MIN(IF(C4022="Técnico III",35,IF(C4022="Técnico II",28,IF(C4022="Técnico I",23,IF(C4022="JR",20,IF(C4022="Estágio",10,0))))),IF(C4022="Técnico III",SUMIFS($D:$D,$A:$A,$A4022,$B:$B,"&lt;&gt;Patrícia Karla de Sousa Araújo",$B:$B,"&lt;&gt;Lorena Dias de Araujo",$B:$B,"&lt;&gt;Lucas Luiz Romero")*(35/1083),IF(C4022="Técnico II",SUMIFS($D:$D,$A:$A,$A4022,$B:$B,"&lt;&gt;Patrícia Karla de Sousa Araújo",$B:$B,"&lt;&gt;Lorena Dias de Araujo",$B:$B,"&lt;&gt;Lucas Luiz Romero")*(28/1083),IF(C4022="Técnico I",SUMIFS($D:$D,$A:$A,$A4022,$B:$B,"&lt;&gt;Patrícia Karla de Sousa Araújo",$B:$B,"&lt;&gt;Lorena Dias de Araujo",$B:$B,"&lt;&gt;Lucas Luiz Romero")*(23/1083),IF(C4022="JR",SUMIFS($D:$D,$A:$A,$A4022,$B:$B,"&lt;&gt;Patrícia Karla de Sousa Araújo",$B:$B,"&lt;&gt;Lorena Dias de Araujo",$B:$B,"&lt;&gt;Lucas Luiz Romero")*(20/1083),IF(C4022="Estágio",SUMIFS($D:$D,$A:$A,$A4022,$B:$B,"&lt;&gt;Patrícia Karla de Sousa Araújo",$B:$B,"&lt;&gt;Lorena Dias de Araujo",$B:$B,"&lt;&gt;Lucas Luiz Romero")*(10/1083),0)))))),0)</f>
        <v/>
      </c>
      <c r="K4022" s="3">
        <f>I4022-J4022</f>
        <v/>
      </c>
      <c r="L4022" s="3">
        <f>IF(K4022&lt;-5,"CRÍTICO",IF(K4022&lt;0,"ATENÇÃO",IF(K4022&lt;=5,"OPORTUNO","MUITO BOM")))</f>
        <v/>
      </c>
      <c r="N4022" t="n">
        <v>96.15000000000001</v>
      </c>
      <c r="O4022" t="n">
        <v>24.04580152671756</v>
      </c>
    </row>
    <row r="4023" hidden="1">
      <c r="A4023" s="11" t="n">
        <v>46127</v>
      </c>
      <c r="B4023" t="inlineStr">
        <is>
          <t>Patrícia Karla de Sousa Araújo</t>
        </is>
      </c>
      <c r="C4023" t="inlineStr">
        <is>
          <t>Técnico II</t>
        </is>
      </c>
      <c r="D4023" t="n">
        <v>27</v>
      </c>
      <c r="E4023" t="n">
        <v>25</v>
      </c>
      <c r="F4023" t="n">
        <v>20.41</v>
      </c>
      <c r="G4023" t="n">
        <v>0</v>
      </c>
      <c r="H4023" t="n">
        <v>0</v>
      </c>
      <c r="I4023" s="3">
        <f>E4023+G4023+H4023</f>
        <v/>
      </c>
      <c r="J4023" s="3">
        <f>ROUND(MIN(IF(C4023="Técnico III",35,IF(C4023="Técnico II",28,IF(C4023="Técnico I",23,IF(C4023="JR",20,IF(C4023="Estágio",10,0))))),IF(C4023="Técnico III",SUMIFS($D:$D,$A:$A,$A4023,$B:$B,"&lt;&gt;Patrícia Karla de Sousa Araújo",$B:$B,"&lt;&gt;Lorena Dias de Araujo",$B:$B,"&lt;&gt;Lucas Luiz Romero")*(35/1083),IF(C4023="Técnico II",SUMIFS($D:$D,$A:$A,$A4023,$B:$B,"&lt;&gt;Patrícia Karla de Sousa Araújo",$B:$B,"&lt;&gt;Lorena Dias de Araujo",$B:$B,"&lt;&gt;Lucas Luiz Romero")*(28/1083),IF(C4023="Técnico I",SUMIFS($D:$D,$A:$A,$A4023,$B:$B,"&lt;&gt;Patrícia Karla de Sousa Araújo",$B:$B,"&lt;&gt;Lorena Dias de Araujo",$B:$B,"&lt;&gt;Lucas Luiz Romero")*(23/1083),IF(C4023="JR",SUMIFS($D:$D,$A:$A,$A4023,$B:$B,"&lt;&gt;Patrícia Karla de Sousa Araújo",$B:$B,"&lt;&gt;Lorena Dias de Araujo",$B:$B,"&lt;&gt;Lucas Luiz Romero")*(20/1083),IF(C4023="Estágio",SUMIFS($D:$D,$A:$A,$A4023,$B:$B,"&lt;&gt;Patrícia Karla de Sousa Araújo",$B:$B,"&lt;&gt;Lorena Dias de Araujo",$B:$B,"&lt;&gt;Lucas Luiz Romero")*(10/1083),0)))))),0)</f>
        <v/>
      </c>
      <c r="K4023" s="3">
        <f>I4023-J4023</f>
        <v/>
      </c>
      <c r="L4023" s="3">
        <f>IF(K4023&lt;-5,"CRÍTICO",IF(K4023&lt;0,"ATENÇÃO",IF(K4023&lt;=5,"OPORTUNO","MUITO BOM")))</f>
        <v/>
      </c>
      <c r="N4023" t="n">
        <v>99.02</v>
      </c>
      <c r="O4023" t="n">
        <v>34.7972972972973</v>
      </c>
    </row>
    <row r="4024" hidden="1">
      <c r="A4024" s="11" t="n">
        <v>46127</v>
      </c>
      <c r="B4024" t="inlineStr">
        <is>
          <t>Paulo Ricardo Santos</t>
        </is>
      </c>
      <c r="C4024" t="inlineStr">
        <is>
          <t>JR</t>
        </is>
      </c>
      <c r="D4024" t="n">
        <v>27</v>
      </c>
      <c r="E4024" t="n">
        <v>26</v>
      </c>
      <c r="F4024" t="n">
        <v>15.04</v>
      </c>
      <c r="G4024" t="n">
        <v>0</v>
      </c>
      <c r="H4024" t="n">
        <v>0</v>
      </c>
      <c r="I4024" s="3">
        <f>E4024+G4024+H4024</f>
        <v/>
      </c>
      <c r="J4024" s="3">
        <f>ROUND(MIN(IF(C4024="Técnico III",35,IF(C4024="Técnico II",28,IF(C4024="Técnico I",23,IF(C4024="JR",20,IF(C4024="Estágio",10,0))))),IF(C4024="Técnico III",SUMIFS($D:$D,$A:$A,$A4024,$B:$B,"&lt;&gt;Patrícia Karla de Sousa Araújo",$B:$B,"&lt;&gt;Lorena Dias de Araujo",$B:$B,"&lt;&gt;Lucas Luiz Romero")*(35/1083),IF(C4024="Técnico II",SUMIFS($D:$D,$A:$A,$A4024,$B:$B,"&lt;&gt;Patrícia Karla de Sousa Araújo",$B:$B,"&lt;&gt;Lorena Dias de Araujo",$B:$B,"&lt;&gt;Lucas Luiz Romero")*(28/1083),IF(C4024="Técnico I",SUMIFS($D:$D,$A:$A,$A4024,$B:$B,"&lt;&gt;Patrícia Karla de Sousa Araújo",$B:$B,"&lt;&gt;Lorena Dias de Araujo",$B:$B,"&lt;&gt;Lucas Luiz Romero")*(23/1083),IF(C4024="JR",SUMIFS($D:$D,$A:$A,$A4024,$B:$B,"&lt;&gt;Patrícia Karla de Sousa Araújo",$B:$B,"&lt;&gt;Lorena Dias de Araujo",$B:$B,"&lt;&gt;Lucas Luiz Romero")*(20/1083),IF(C4024="Estágio",SUMIFS($D:$D,$A:$A,$A4024,$B:$B,"&lt;&gt;Patrícia Karla de Sousa Araújo",$B:$B,"&lt;&gt;Lorena Dias de Araujo",$B:$B,"&lt;&gt;Lucas Luiz Romero")*(10/1083),0)))))),0)</f>
        <v/>
      </c>
      <c r="K4024" s="3">
        <f>I4024-J4024</f>
        <v/>
      </c>
      <c r="L4024" s="3">
        <f>IF(K4024&lt;-5,"CRÍTICO",IF(K4024&lt;0,"ATENÇÃO",IF(K4024&lt;=5,"OPORTUNO","MUITO BOM")))</f>
        <v/>
      </c>
      <c r="N4024" t="n">
        <v>98.84</v>
      </c>
      <c r="O4024" t="n">
        <v>31.5018315018315</v>
      </c>
    </row>
    <row r="4025" hidden="1">
      <c r="A4025" s="11" t="n">
        <v>46127</v>
      </c>
      <c r="B4025" t="inlineStr">
        <is>
          <t>Pedro Luiz Mota Sousa</t>
        </is>
      </c>
      <c r="C4025" t="inlineStr">
        <is>
          <t>JR</t>
        </is>
      </c>
      <c r="D4025" t="n">
        <v>25</v>
      </c>
      <c r="E4025" t="n">
        <v>22</v>
      </c>
      <c r="F4025" t="n">
        <v>17.13</v>
      </c>
      <c r="G4025" t="n">
        <v>0</v>
      </c>
      <c r="H4025" t="n">
        <v>0</v>
      </c>
      <c r="I4025" s="3">
        <f>E4025+G4025+H4025</f>
        <v/>
      </c>
      <c r="J4025" s="3">
        <f>ROUND(MIN(IF(C4025="Técnico III",35,IF(C4025="Técnico II",28,IF(C4025="Técnico I",23,IF(C4025="JR",20,IF(C4025="Estágio",10,0))))),IF(C4025="Técnico III",SUMIFS($D:$D,$A:$A,$A4025,$B:$B,"&lt;&gt;Patrícia Karla de Sousa Araújo",$B:$B,"&lt;&gt;Lorena Dias de Araujo",$B:$B,"&lt;&gt;Lucas Luiz Romero")*(35/1083),IF(C4025="Técnico II",SUMIFS($D:$D,$A:$A,$A4025,$B:$B,"&lt;&gt;Patrícia Karla de Sousa Araújo",$B:$B,"&lt;&gt;Lorena Dias de Araujo",$B:$B,"&lt;&gt;Lucas Luiz Romero")*(28/1083),IF(C4025="Técnico I",SUMIFS($D:$D,$A:$A,$A4025,$B:$B,"&lt;&gt;Patrícia Karla de Sousa Araújo",$B:$B,"&lt;&gt;Lorena Dias de Araujo",$B:$B,"&lt;&gt;Lucas Luiz Romero")*(23/1083),IF(C4025="JR",SUMIFS($D:$D,$A:$A,$A4025,$B:$B,"&lt;&gt;Patrícia Karla de Sousa Araújo",$B:$B,"&lt;&gt;Lorena Dias de Araujo",$B:$B,"&lt;&gt;Lucas Luiz Romero")*(20/1083),IF(C4025="Estágio",SUMIFS($D:$D,$A:$A,$A4025,$B:$B,"&lt;&gt;Patrícia Karla de Sousa Araújo",$B:$B,"&lt;&gt;Lorena Dias de Araujo",$B:$B,"&lt;&gt;Lucas Luiz Romero")*(10/1083),0)))))),0)</f>
        <v/>
      </c>
      <c r="K4025" s="3">
        <f>I4025-J4025</f>
        <v/>
      </c>
      <c r="L4025" s="3">
        <f>IF(K4025&lt;-5,"CRÍTICO",IF(K4025&lt;0,"ATENÇÃO",IF(K4025&lt;=5,"OPORTUNO","MUITO BOM")))</f>
        <v/>
      </c>
      <c r="N4025" t="n">
        <v>100</v>
      </c>
      <c r="O4025" t="n">
        <v>34.66666666666667</v>
      </c>
    </row>
    <row r="4026" hidden="1">
      <c r="A4026" s="11" t="n">
        <v>46127</v>
      </c>
      <c r="B4026" t="inlineStr">
        <is>
          <t>Quirino Diogo Leite Torres</t>
        </is>
      </c>
      <c r="C4026" t="inlineStr">
        <is>
          <t>Estágio</t>
        </is>
      </c>
      <c r="D4026" t="n">
        <v>11</v>
      </c>
      <c r="E4026" t="n">
        <v>11</v>
      </c>
      <c r="F4026" t="n">
        <v>27.16</v>
      </c>
      <c r="G4026" t="n">
        <v>0</v>
      </c>
      <c r="H4026" t="n">
        <v>0</v>
      </c>
      <c r="I4026" s="3">
        <f>E4026+G4026+H4026</f>
        <v/>
      </c>
      <c r="J4026" s="3">
        <f>ROUND(MIN(IF(C4026="Técnico III",35,IF(C4026="Técnico II",28,IF(C4026="Técnico I",23,IF(C4026="JR",20,IF(C4026="Estágio",10,0))))),IF(C4026="Técnico III",SUMIFS($D:$D,$A:$A,$A4026,$B:$B,"&lt;&gt;Patrícia Karla de Sousa Araújo",$B:$B,"&lt;&gt;Lorena Dias de Araujo",$B:$B,"&lt;&gt;Lucas Luiz Romero")*(35/1083),IF(C4026="Técnico II",SUMIFS($D:$D,$A:$A,$A4026,$B:$B,"&lt;&gt;Patrícia Karla de Sousa Araújo",$B:$B,"&lt;&gt;Lorena Dias de Araujo",$B:$B,"&lt;&gt;Lucas Luiz Romero")*(28/1083),IF(C4026="Técnico I",SUMIFS($D:$D,$A:$A,$A4026,$B:$B,"&lt;&gt;Patrícia Karla de Sousa Araújo",$B:$B,"&lt;&gt;Lorena Dias de Araujo",$B:$B,"&lt;&gt;Lucas Luiz Romero")*(23/1083),IF(C4026="JR",SUMIFS($D:$D,$A:$A,$A4026,$B:$B,"&lt;&gt;Patrícia Karla de Sousa Araújo",$B:$B,"&lt;&gt;Lorena Dias de Araujo",$B:$B,"&lt;&gt;Lucas Luiz Romero")*(20/1083),IF(C4026="Estágio",SUMIFS($D:$D,$A:$A,$A4026,$B:$B,"&lt;&gt;Patrícia Karla de Sousa Araújo",$B:$B,"&lt;&gt;Lorena Dias de Araujo",$B:$B,"&lt;&gt;Lucas Luiz Romero")*(10/1083),0)))))),0)</f>
        <v/>
      </c>
      <c r="K4026" s="3">
        <f>I4026-J4026</f>
        <v/>
      </c>
      <c r="L4026" s="3">
        <f>IF(K4026&lt;-5,"CRÍTICO",IF(K4026&lt;0,"ATENÇÃO",IF(K4026&lt;=5,"OPORTUNO","MUITO BOM")))</f>
        <v/>
      </c>
      <c r="N4026" t="n">
        <v>94.12</v>
      </c>
      <c r="O4026" t="n">
        <v>32.8</v>
      </c>
    </row>
    <row r="4027" hidden="1">
      <c r="A4027" s="11" t="n">
        <v>46127</v>
      </c>
      <c r="B4027" t="inlineStr">
        <is>
          <t>Raane Batista Matos</t>
        </is>
      </c>
      <c r="C4027" t="inlineStr">
        <is>
          <t>Técnico I</t>
        </is>
      </c>
      <c r="D4027" t="n">
        <v>23</v>
      </c>
      <c r="E4027" t="n">
        <v>23</v>
      </c>
      <c r="F4027" t="n">
        <v>16.52</v>
      </c>
      <c r="G4027" t="n">
        <v>0</v>
      </c>
      <c r="H4027" t="n">
        <v>0</v>
      </c>
      <c r="I4027" s="3">
        <f>E4027+G4027+H4027</f>
        <v/>
      </c>
      <c r="J4027" s="3">
        <f>ROUND(MIN(IF(C4027="Técnico III",35,IF(C4027="Técnico II",28,IF(C4027="Técnico I",23,IF(C4027="JR",20,IF(C4027="Estágio",10,0))))),IF(C4027="Técnico III",SUMIFS($D:$D,$A:$A,$A4027,$B:$B,"&lt;&gt;Patrícia Karla de Sousa Araújo",$B:$B,"&lt;&gt;Lorena Dias de Araujo",$B:$B,"&lt;&gt;Lucas Luiz Romero")*(35/1083),IF(C4027="Técnico II",SUMIFS($D:$D,$A:$A,$A4027,$B:$B,"&lt;&gt;Patrícia Karla de Sousa Araújo",$B:$B,"&lt;&gt;Lorena Dias de Araujo",$B:$B,"&lt;&gt;Lucas Luiz Romero")*(28/1083),IF(C4027="Técnico I",SUMIFS($D:$D,$A:$A,$A4027,$B:$B,"&lt;&gt;Patrícia Karla de Sousa Araújo",$B:$B,"&lt;&gt;Lorena Dias de Araujo",$B:$B,"&lt;&gt;Lucas Luiz Romero")*(23/1083),IF(C4027="JR",SUMIFS($D:$D,$A:$A,$A4027,$B:$B,"&lt;&gt;Patrícia Karla de Sousa Araújo",$B:$B,"&lt;&gt;Lorena Dias de Araujo",$B:$B,"&lt;&gt;Lucas Luiz Romero")*(20/1083),IF(C4027="Estágio",SUMIFS($D:$D,$A:$A,$A4027,$B:$B,"&lt;&gt;Patrícia Karla de Sousa Araújo",$B:$B,"&lt;&gt;Lorena Dias de Araujo",$B:$B,"&lt;&gt;Lucas Luiz Romero")*(10/1083),0)))))),0)</f>
        <v/>
      </c>
      <c r="K4027" s="3">
        <f>I4027-J4027</f>
        <v/>
      </c>
      <c r="L4027" s="3">
        <f>IF(K4027&lt;-5,"CRÍTICO",IF(K4027&lt;0,"ATENÇÃO",IF(K4027&lt;=5,"OPORTUNO","MUITO BOM")))</f>
        <v/>
      </c>
      <c r="N4027" t="n">
        <v>98.31999999999999</v>
      </c>
      <c r="O4027" t="n">
        <v>26.61870503597122</v>
      </c>
    </row>
    <row r="4028" hidden="1">
      <c r="A4028" s="11" t="n">
        <v>46127</v>
      </c>
      <c r="B4028" t="inlineStr">
        <is>
          <t>Rafael Gomes de Morais</t>
        </is>
      </c>
      <c r="C4028" t="inlineStr">
        <is>
          <t>Técnico III</t>
        </is>
      </c>
      <c r="D4028" t="n">
        <v>29</v>
      </c>
      <c r="E4028" t="n">
        <v>24</v>
      </c>
      <c r="F4028" t="n">
        <v>15.04</v>
      </c>
      <c r="G4028" t="n">
        <v>0</v>
      </c>
      <c r="H4028" t="n">
        <v>0</v>
      </c>
      <c r="I4028" s="3">
        <f>E4028+G4028+H4028</f>
        <v/>
      </c>
      <c r="J4028" s="3">
        <f>ROUND(MIN(IF(C4028="Técnico III",35,IF(C4028="Técnico II",28,IF(C4028="Técnico I",23,IF(C4028="JR",20,IF(C4028="Estágio",10,0))))),IF(C4028="Técnico III",SUMIFS($D:$D,$A:$A,$A4028,$B:$B,"&lt;&gt;Patrícia Karla de Sousa Araújo",$B:$B,"&lt;&gt;Lorena Dias de Araujo",$B:$B,"&lt;&gt;Lucas Luiz Romero")*(35/1083),IF(C4028="Técnico II",SUMIFS($D:$D,$A:$A,$A4028,$B:$B,"&lt;&gt;Patrícia Karla de Sousa Araújo",$B:$B,"&lt;&gt;Lorena Dias de Araujo",$B:$B,"&lt;&gt;Lucas Luiz Romero")*(28/1083),IF(C4028="Técnico I",SUMIFS($D:$D,$A:$A,$A4028,$B:$B,"&lt;&gt;Patrícia Karla de Sousa Araújo",$B:$B,"&lt;&gt;Lorena Dias de Araujo",$B:$B,"&lt;&gt;Lucas Luiz Romero")*(23/1083),IF(C4028="JR",SUMIFS($D:$D,$A:$A,$A4028,$B:$B,"&lt;&gt;Patrícia Karla de Sousa Araújo",$B:$B,"&lt;&gt;Lorena Dias de Araujo",$B:$B,"&lt;&gt;Lucas Luiz Romero")*(20/1083),IF(C4028="Estágio",SUMIFS($D:$D,$A:$A,$A4028,$B:$B,"&lt;&gt;Patrícia Karla de Sousa Araújo",$B:$B,"&lt;&gt;Lorena Dias de Araujo",$B:$B,"&lt;&gt;Lucas Luiz Romero")*(10/1083),0)))))),0)</f>
        <v/>
      </c>
      <c r="K4028" s="3">
        <f>I4028-J4028</f>
        <v/>
      </c>
      <c r="L4028" s="3">
        <f>IF(K4028&lt;-5,"CRÍTICO",IF(K4028&lt;0,"ATENÇÃO",IF(K4028&lt;=5,"OPORTUNO","MUITO BOM")))</f>
        <v/>
      </c>
      <c r="N4028" t="n">
        <v>100</v>
      </c>
      <c r="O4028" t="n">
        <v>31.13553113553114</v>
      </c>
    </row>
    <row r="4029" hidden="1">
      <c r="A4029" s="11" t="n">
        <v>46127</v>
      </c>
      <c r="B4029" t="inlineStr">
        <is>
          <t>Sara Maria Monteiro Lopes</t>
        </is>
      </c>
      <c r="C4029" t="inlineStr">
        <is>
          <t>Técnico I</t>
        </is>
      </c>
      <c r="D4029" t="n">
        <v>12</v>
      </c>
      <c r="E4029" t="n">
        <v>12</v>
      </c>
      <c r="F4029" t="n">
        <v>45.09</v>
      </c>
      <c r="G4029" t="n">
        <v>0</v>
      </c>
      <c r="H4029" t="n">
        <v>0</v>
      </c>
      <c r="I4029" s="3">
        <f>E4029+G4029+H4029</f>
        <v/>
      </c>
      <c r="J4029" s="3">
        <f>ROUND(MIN(IF(C4029="Técnico III",35,IF(C4029="Técnico II",28,IF(C4029="Técnico I",23,IF(C4029="JR",20,IF(C4029="Estágio",10,0))))),IF(C4029="Técnico III",SUMIFS($D:$D,$A:$A,$A4029,$B:$B,"&lt;&gt;Patrícia Karla de Sousa Araújo",$B:$B,"&lt;&gt;Lorena Dias de Araujo",$B:$B,"&lt;&gt;Lucas Luiz Romero")*(35/1083),IF(C4029="Técnico II",SUMIFS($D:$D,$A:$A,$A4029,$B:$B,"&lt;&gt;Patrícia Karla de Sousa Araújo",$B:$B,"&lt;&gt;Lorena Dias de Araujo",$B:$B,"&lt;&gt;Lucas Luiz Romero")*(28/1083),IF(C4029="Técnico I",SUMIFS($D:$D,$A:$A,$A4029,$B:$B,"&lt;&gt;Patrícia Karla de Sousa Araújo",$B:$B,"&lt;&gt;Lorena Dias de Araujo",$B:$B,"&lt;&gt;Lucas Luiz Romero")*(23/1083),IF(C4029="JR",SUMIFS($D:$D,$A:$A,$A4029,$B:$B,"&lt;&gt;Patrícia Karla de Sousa Araújo",$B:$B,"&lt;&gt;Lorena Dias de Araujo",$B:$B,"&lt;&gt;Lucas Luiz Romero")*(20/1083),IF(C4029="Estágio",SUMIFS($D:$D,$A:$A,$A4029,$B:$B,"&lt;&gt;Patrícia Karla de Sousa Araújo",$B:$B,"&lt;&gt;Lorena Dias de Araujo",$B:$B,"&lt;&gt;Lucas Luiz Romero")*(10/1083),0)))))),0)</f>
        <v/>
      </c>
      <c r="K4029" s="3">
        <f>I4029-J4029</f>
        <v/>
      </c>
      <c r="L4029" s="3">
        <f>IF(K4029&lt;-5,"CRÍTICO",IF(K4029&lt;0,"ATENÇÃO",IF(K4029&lt;=5,"OPORTUNO","MUITO BOM")))</f>
        <v/>
      </c>
      <c r="N4029" t="n">
        <v>100</v>
      </c>
      <c r="O4029" t="n">
        <v>26.02739726027397</v>
      </c>
    </row>
    <row r="4030" hidden="1">
      <c r="A4030" s="11" t="n">
        <v>46127</v>
      </c>
      <c r="B4030" t="inlineStr">
        <is>
          <t>Sarah Steffanie de Lima Borges</t>
        </is>
      </c>
      <c r="C4030" t="inlineStr">
        <is>
          <t>Técnico III</t>
        </is>
      </c>
      <c r="D4030" t="n">
        <v>34</v>
      </c>
      <c r="E4030" t="n">
        <v>33</v>
      </c>
      <c r="F4030" t="n">
        <v>15.06</v>
      </c>
      <c r="G4030" t="n">
        <v>0</v>
      </c>
      <c r="H4030" t="n">
        <v>0</v>
      </c>
      <c r="I4030" s="3">
        <f>E4030+G4030+H4030</f>
        <v/>
      </c>
      <c r="J4030" s="3">
        <f>ROUND(MIN(IF(C4030="Técnico III",35,IF(C4030="Técnico II",28,IF(C4030="Técnico I",23,IF(C4030="JR",20,IF(C4030="Estágio",10,0))))),IF(C4030="Técnico III",SUMIFS($D:$D,$A:$A,$A4030,$B:$B,"&lt;&gt;Patrícia Karla de Sousa Araújo",$B:$B,"&lt;&gt;Lorena Dias de Araujo",$B:$B,"&lt;&gt;Lucas Luiz Romero")*(35/1083),IF(C4030="Técnico II",SUMIFS($D:$D,$A:$A,$A4030,$B:$B,"&lt;&gt;Patrícia Karla de Sousa Araújo",$B:$B,"&lt;&gt;Lorena Dias de Araujo",$B:$B,"&lt;&gt;Lucas Luiz Romero")*(28/1083),IF(C4030="Técnico I",SUMIFS($D:$D,$A:$A,$A4030,$B:$B,"&lt;&gt;Patrícia Karla de Sousa Araújo",$B:$B,"&lt;&gt;Lorena Dias de Araujo",$B:$B,"&lt;&gt;Lucas Luiz Romero")*(23/1083),IF(C4030="JR",SUMIFS($D:$D,$A:$A,$A4030,$B:$B,"&lt;&gt;Patrícia Karla de Sousa Araújo",$B:$B,"&lt;&gt;Lorena Dias de Araujo",$B:$B,"&lt;&gt;Lucas Luiz Romero")*(20/1083),IF(C4030="Estágio",SUMIFS($D:$D,$A:$A,$A4030,$B:$B,"&lt;&gt;Patrícia Karla de Sousa Araújo",$B:$B,"&lt;&gt;Lorena Dias de Araujo",$B:$B,"&lt;&gt;Lucas Luiz Romero")*(10/1083),0)))))),0)</f>
        <v/>
      </c>
      <c r="K4030" s="3">
        <f>I4030-J4030</f>
        <v/>
      </c>
      <c r="L4030" s="3">
        <f>IF(K4030&lt;-5,"CRÍTICO",IF(K4030&lt;0,"ATENÇÃO",IF(K4030&lt;=5,"OPORTUNO","MUITO BOM")))</f>
        <v/>
      </c>
      <c r="N4030" t="n">
        <v>99.20999999999999</v>
      </c>
      <c r="O4030" t="n">
        <v>24.93702770780856</v>
      </c>
    </row>
    <row r="4031" hidden="1">
      <c r="A4031" s="11" t="n">
        <v>46128</v>
      </c>
      <c r="B4031" t="inlineStr">
        <is>
          <t>Alisson de Freitas Silva</t>
        </is>
      </c>
      <c r="C4031" t="inlineStr">
        <is>
          <t>Técnico II</t>
        </is>
      </c>
      <c r="D4031" t="n">
        <v>15</v>
      </c>
      <c r="E4031" t="n">
        <v>13</v>
      </c>
      <c r="F4031" t="n">
        <v>22.21</v>
      </c>
      <c r="G4031" t="n">
        <v>0</v>
      </c>
      <c r="H4031" t="n">
        <v>0</v>
      </c>
      <c r="I4031" s="3">
        <f>E4031+G4031+H4031</f>
        <v/>
      </c>
      <c r="J4031" s="3">
        <f>ROUND(MIN(IF(C4031="Técnico III",35,IF(C4031="Técnico II",28,IF(C4031="Técnico I",23,IF(C4031="JR",20,IF(C4031="Estágio",10,0))))),IF(C4031="Técnico III",SUMIFS($D:$D,$A:$A,$A4031,$B:$B,"&lt;&gt;Patrícia Karla de Sousa Araújo",$B:$B,"&lt;&gt;Lorena Dias de Araujo",$B:$B,"&lt;&gt;Lucas Luiz Romero")*(35/1083),IF(C4031="Técnico II",SUMIFS($D:$D,$A:$A,$A4031,$B:$B,"&lt;&gt;Patrícia Karla de Sousa Araújo",$B:$B,"&lt;&gt;Lorena Dias de Araujo",$B:$B,"&lt;&gt;Lucas Luiz Romero")*(28/1083),IF(C4031="Técnico I",SUMIFS($D:$D,$A:$A,$A4031,$B:$B,"&lt;&gt;Patrícia Karla de Sousa Araújo",$B:$B,"&lt;&gt;Lorena Dias de Araujo",$B:$B,"&lt;&gt;Lucas Luiz Romero")*(23/1083),IF(C4031="JR",SUMIFS($D:$D,$A:$A,$A4031,$B:$B,"&lt;&gt;Patrícia Karla de Sousa Araújo",$B:$B,"&lt;&gt;Lorena Dias de Araujo",$B:$B,"&lt;&gt;Lucas Luiz Romero")*(20/1083),IF(C4031="Estágio",SUMIFS($D:$D,$A:$A,$A4031,$B:$B,"&lt;&gt;Patrícia Karla de Sousa Araújo",$B:$B,"&lt;&gt;Lorena Dias de Araujo",$B:$B,"&lt;&gt;Lucas Luiz Romero")*(10/1083),0)))))),0)</f>
        <v/>
      </c>
      <c r="K4031" s="3">
        <f>I4031-J4031</f>
        <v/>
      </c>
      <c r="L4031" s="3">
        <f>IF(K4031&lt;-5,"CRÍTICO",IF(K4031&lt;0,"ATENÇÃO",IF(K4031&lt;=5,"OPORTUNO","MUITO BOM")))</f>
        <v/>
      </c>
      <c r="N4031" t="n">
        <v>100</v>
      </c>
      <c r="O4031" t="n">
        <v>32.76450511945392</v>
      </c>
    </row>
    <row r="4032" hidden="1">
      <c r="A4032" s="11" t="n">
        <v>46128</v>
      </c>
      <c r="B4032" t="inlineStr">
        <is>
          <t>Amanda Moura Ferreira</t>
        </is>
      </c>
      <c r="C4032" t="inlineStr">
        <is>
          <t>Técnico III</t>
        </is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s="3" t="n">
        <v>0</v>
      </c>
      <c r="J4032" s="3" t="n">
        <v>0</v>
      </c>
      <c r="K4032" s="3" t="n">
        <v>0</v>
      </c>
      <c r="L4032" s="3">
        <f>IF(K4032&lt;-5,"CRÍTICO",IF(K4032&lt;0,"ATENÇÃO",IF(K4032&lt;=5,"OPORTUNO","MUITO BOM")))</f>
        <v/>
      </c>
      <c r="N4032" t="n">
        <v>98.66</v>
      </c>
      <c r="O4032" t="n">
        <v>35.15625</v>
      </c>
    </row>
    <row r="4033" hidden="1">
      <c r="A4033" s="11" t="n">
        <v>46128</v>
      </c>
      <c r="B4033" t="inlineStr">
        <is>
          <t>Ana Karollyne Souza Faria</t>
        </is>
      </c>
      <c r="C4033" t="inlineStr">
        <is>
          <t>Técnico I</t>
        </is>
      </c>
      <c r="D4033" t="n">
        <v>23</v>
      </c>
      <c r="E4033" t="n">
        <v>22</v>
      </c>
      <c r="F4033" t="n">
        <v>24.16</v>
      </c>
      <c r="G4033" t="n">
        <v>0</v>
      </c>
      <c r="H4033" t="n">
        <v>0</v>
      </c>
      <c r="I4033" s="3">
        <f>E4033+G4033+H4033</f>
        <v/>
      </c>
      <c r="J4033" s="3">
        <f>ROUND(MIN(IF(C4033="Técnico III",35,IF(C4033="Técnico II",28,IF(C4033="Técnico I",23,IF(C4033="JR",20,IF(C4033="Estágio",10,0))))),IF(C4033="Técnico III",SUMIFS($D:$D,$A:$A,$A4033,$B:$B,"&lt;&gt;Patrícia Karla de Sousa Araújo",$B:$B,"&lt;&gt;Lorena Dias de Araujo",$B:$B,"&lt;&gt;Lucas Luiz Romero")*(35/1083),IF(C4033="Técnico II",SUMIFS($D:$D,$A:$A,$A4033,$B:$B,"&lt;&gt;Patrícia Karla de Sousa Araújo",$B:$B,"&lt;&gt;Lorena Dias de Araujo",$B:$B,"&lt;&gt;Lucas Luiz Romero")*(28/1083),IF(C4033="Técnico I",SUMIFS($D:$D,$A:$A,$A4033,$B:$B,"&lt;&gt;Patrícia Karla de Sousa Araújo",$B:$B,"&lt;&gt;Lorena Dias de Araujo",$B:$B,"&lt;&gt;Lucas Luiz Romero")*(23/1083),IF(C4033="JR",SUMIFS($D:$D,$A:$A,$A4033,$B:$B,"&lt;&gt;Patrícia Karla de Sousa Araújo",$B:$B,"&lt;&gt;Lorena Dias de Araujo",$B:$B,"&lt;&gt;Lucas Luiz Romero")*(20/1083),IF(C4033="Estágio",SUMIFS($D:$D,$A:$A,$A4033,$B:$B,"&lt;&gt;Patrícia Karla de Sousa Araújo",$B:$B,"&lt;&gt;Lorena Dias de Araujo",$B:$B,"&lt;&gt;Lucas Luiz Romero")*(10/1083),0)))))),0)</f>
        <v/>
      </c>
      <c r="K4033" s="3">
        <f>I4033-J4033</f>
        <v/>
      </c>
      <c r="L4033" s="3">
        <f>IF(K4033&lt;-5,"CRÍTICO",IF(K4033&lt;0,"ATENÇÃO",IF(K4033&lt;=5,"OPORTUNO","MUITO BOM")))</f>
        <v/>
      </c>
      <c r="N4033" t="n">
        <v>99.31999999999999</v>
      </c>
      <c r="O4033" t="n">
        <v>30.45186640471513</v>
      </c>
    </row>
    <row r="4034" hidden="1">
      <c r="A4034" s="11" t="n">
        <v>46128</v>
      </c>
      <c r="B4034" t="inlineStr">
        <is>
          <t>Ana Paula Da Luz Silva Aleixo</t>
        </is>
      </c>
      <c r="C4034" t="inlineStr">
        <is>
          <t>Técnico III</t>
        </is>
      </c>
      <c r="D4034" t="n">
        <v>19</v>
      </c>
      <c r="E4034" t="n">
        <v>16</v>
      </c>
      <c r="F4034" t="n">
        <v>20.58</v>
      </c>
      <c r="G4034" t="n">
        <v>0</v>
      </c>
      <c r="H4034" t="n">
        <v>0</v>
      </c>
      <c r="I4034" s="3">
        <f>E4034+G4034+H4034</f>
        <v/>
      </c>
      <c r="J4034" s="3">
        <f>ROUND(MIN(IF(C4034="Técnico III",35,IF(C4034="Técnico II",28,IF(C4034="Técnico I",23,IF(C4034="JR",20,IF(C4034="Estágio",10,0))))),IF(C4034="Técnico III",SUMIFS($D:$D,$A:$A,$A4034,$B:$B,"&lt;&gt;Patrícia Karla de Sousa Araújo",$B:$B,"&lt;&gt;Lorena Dias de Araujo",$B:$B,"&lt;&gt;Lucas Luiz Romero")*(35/1083),IF(C4034="Técnico II",SUMIFS($D:$D,$A:$A,$A4034,$B:$B,"&lt;&gt;Patrícia Karla de Sousa Araújo",$B:$B,"&lt;&gt;Lorena Dias de Araujo",$B:$B,"&lt;&gt;Lucas Luiz Romero")*(28/1083),IF(C4034="Técnico I",SUMIFS($D:$D,$A:$A,$A4034,$B:$B,"&lt;&gt;Patrícia Karla de Sousa Araújo",$B:$B,"&lt;&gt;Lorena Dias de Araujo",$B:$B,"&lt;&gt;Lucas Luiz Romero")*(23/1083),IF(C4034="JR",SUMIFS($D:$D,$A:$A,$A4034,$B:$B,"&lt;&gt;Patrícia Karla de Sousa Araújo",$B:$B,"&lt;&gt;Lorena Dias de Araujo",$B:$B,"&lt;&gt;Lucas Luiz Romero")*(20/1083),IF(C4034="Estágio",SUMIFS($D:$D,$A:$A,$A4034,$B:$B,"&lt;&gt;Patrícia Karla de Sousa Araújo",$B:$B,"&lt;&gt;Lorena Dias de Araujo",$B:$B,"&lt;&gt;Lucas Luiz Romero")*(10/1083),0)))))),0)</f>
        <v/>
      </c>
      <c r="K4034" s="3">
        <f>I4034-J4034</f>
        <v/>
      </c>
      <c r="L4034" s="3">
        <f>IF(K4034&lt;-5,"CRÍTICO",IF(K4034&lt;0,"ATENÇÃO",IF(K4034&lt;=5,"OPORTUNO","MUITO BOM")))</f>
        <v/>
      </c>
      <c r="N4034" t="n">
        <v>100</v>
      </c>
      <c r="O4034" t="n">
        <v>27.80373831775701</v>
      </c>
    </row>
    <row r="4035" hidden="1">
      <c r="A4035" s="11" t="n">
        <v>46128</v>
      </c>
      <c r="B4035" t="inlineStr">
        <is>
          <t>Anna Luiza Rezende Tavares</t>
        </is>
      </c>
      <c r="C4035" t="inlineStr">
        <is>
          <t>Estágio</t>
        </is>
      </c>
      <c r="D4035" t="n">
        <v>29</v>
      </c>
      <c r="E4035" t="n">
        <v>27</v>
      </c>
      <c r="F4035" t="n">
        <v>20.49</v>
      </c>
      <c r="G4035" t="n">
        <v>0</v>
      </c>
      <c r="H4035" t="n">
        <v>0</v>
      </c>
      <c r="I4035" s="3">
        <f>E4035+G4035+H4035</f>
        <v/>
      </c>
      <c r="J4035" s="3">
        <f>ROUND(MIN(IF(C4035="Técnico III",35,IF(C4035="Técnico II",28,IF(C4035="Técnico I",23,IF(C4035="JR",20,IF(C4035="Estágio",10,0))))),IF(C4035="Técnico III",SUMIFS($D:$D,$A:$A,$A4035,$B:$B,"&lt;&gt;Patrícia Karla de Sousa Araújo",$B:$B,"&lt;&gt;Lorena Dias de Araujo",$B:$B,"&lt;&gt;Lucas Luiz Romero")*(35/1083),IF(C4035="Técnico II",SUMIFS($D:$D,$A:$A,$A4035,$B:$B,"&lt;&gt;Patrícia Karla de Sousa Araújo",$B:$B,"&lt;&gt;Lorena Dias de Araujo",$B:$B,"&lt;&gt;Lucas Luiz Romero")*(28/1083),IF(C4035="Técnico I",SUMIFS($D:$D,$A:$A,$A4035,$B:$B,"&lt;&gt;Patrícia Karla de Sousa Araújo",$B:$B,"&lt;&gt;Lorena Dias de Araujo",$B:$B,"&lt;&gt;Lucas Luiz Romero")*(23/1083),IF(C4035="JR",SUMIFS($D:$D,$A:$A,$A4035,$B:$B,"&lt;&gt;Patrícia Karla de Sousa Araújo",$B:$B,"&lt;&gt;Lorena Dias de Araujo",$B:$B,"&lt;&gt;Lucas Luiz Romero")*(20/1083),IF(C4035="Estágio",SUMIFS($D:$D,$A:$A,$A4035,$B:$B,"&lt;&gt;Patrícia Karla de Sousa Araújo",$B:$B,"&lt;&gt;Lorena Dias de Araujo",$B:$B,"&lt;&gt;Lucas Luiz Romero")*(10/1083),0)))))),0)</f>
        <v/>
      </c>
      <c r="K4035" s="3">
        <f>I4035-J4035</f>
        <v/>
      </c>
      <c r="L4035" s="3">
        <f>IF(K4035&lt;-5,"CRÍTICO",IF(K4035&lt;0,"ATENÇÃO",IF(K4035&lt;=5,"OPORTUNO","MUITO BOM")))</f>
        <v/>
      </c>
      <c r="N4035" t="n">
        <v>96.73999999999999</v>
      </c>
      <c r="O4035" t="n">
        <v>28.43137254901961</v>
      </c>
    </row>
    <row r="4036" hidden="1">
      <c r="A4036" s="11" t="n">
        <v>46128</v>
      </c>
      <c r="B4036" t="inlineStr">
        <is>
          <t>Brenda de Menezes Silva</t>
        </is>
      </c>
      <c r="C4036" t="inlineStr">
        <is>
          <t>Técnico II</t>
        </is>
      </c>
      <c r="D4036" t="n">
        <v>44</v>
      </c>
      <c r="E4036" t="n">
        <v>42</v>
      </c>
      <c r="F4036" t="n">
        <v>12.21</v>
      </c>
      <c r="G4036" t="n">
        <v>0</v>
      </c>
      <c r="H4036" t="n">
        <v>0</v>
      </c>
      <c r="I4036" s="3">
        <f>E4036+G4036+H4036</f>
        <v/>
      </c>
      <c r="J4036" s="3">
        <f>ROUND(MIN(IF(C4036="Técnico III",35,IF(C4036="Técnico II",28,IF(C4036="Técnico I",23,IF(C4036="JR",20,IF(C4036="Estágio",10,0))))),IF(C4036="Técnico III",SUMIFS($D:$D,$A:$A,$A4036,$B:$B,"&lt;&gt;Patrícia Karla de Sousa Araújo",$B:$B,"&lt;&gt;Lorena Dias de Araujo",$B:$B,"&lt;&gt;Lucas Luiz Romero")*(35/1083),IF(C4036="Técnico II",SUMIFS($D:$D,$A:$A,$A4036,$B:$B,"&lt;&gt;Patrícia Karla de Sousa Araújo",$B:$B,"&lt;&gt;Lorena Dias de Araujo",$B:$B,"&lt;&gt;Lucas Luiz Romero")*(28/1083),IF(C4036="Técnico I",SUMIFS($D:$D,$A:$A,$A4036,$B:$B,"&lt;&gt;Patrícia Karla de Sousa Araújo",$B:$B,"&lt;&gt;Lorena Dias de Araujo",$B:$B,"&lt;&gt;Lucas Luiz Romero")*(23/1083),IF(C4036="JR",SUMIFS($D:$D,$A:$A,$A4036,$B:$B,"&lt;&gt;Patrícia Karla de Sousa Araújo",$B:$B,"&lt;&gt;Lorena Dias de Araujo",$B:$B,"&lt;&gt;Lucas Luiz Romero")*(20/1083),IF(C4036="Estágio",SUMIFS($D:$D,$A:$A,$A4036,$B:$B,"&lt;&gt;Patrícia Karla de Sousa Araújo",$B:$B,"&lt;&gt;Lorena Dias de Araujo",$B:$B,"&lt;&gt;Lucas Luiz Romero")*(10/1083),0)))))),0)</f>
        <v/>
      </c>
      <c r="K4036" s="3">
        <f>I4036-J4036</f>
        <v/>
      </c>
      <c r="L4036" s="3">
        <f>IF(K4036&lt;-5,"CRÍTICO",IF(K4036&lt;0,"ATENÇÃO",IF(K4036&lt;=5,"OPORTUNO","MUITO BOM")))</f>
        <v/>
      </c>
      <c r="N4036" t="n">
        <v>98.81999999999999</v>
      </c>
      <c r="O4036" t="n">
        <v>30.74141048824593</v>
      </c>
    </row>
    <row r="4037" hidden="1">
      <c r="A4037" s="11" t="n">
        <v>46128</v>
      </c>
      <c r="B4037" t="inlineStr">
        <is>
          <t>Carlos Mateus Cassimiro Nunes</t>
        </is>
      </c>
      <c r="C4037" t="inlineStr">
        <is>
          <t>Técnico II</t>
        </is>
      </c>
      <c r="D4037" t="n">
        <v>25</v>
      </c>
      <c r="E4037" t="n">
        <v>24</v>
      </c>
      <c r="F4037" t="n">
        <v>21.56</v>
      </c>
      <c r="G4037" t="n">
        <v>0</v>
      </c>
      <c r="H4037" t="n">
        <v>0</v>
      </c>
      <c r="I4037" s="3">
        <f>E4037+G4037+H4037</f>
        <v/>
      </c>
      <c r="J4037" s="3">
        <f>ROUND(MIN(IF(C4037="Técnico III",35,IF(C4037="Técnico II",28,IF(C4037="Técnico I",23,IF(C4037="JR",20,IF(C4037="Estágio",10,0))))),IF(C4037="Técnico III",SUMIFS($D:$D,$A:$A,$A4037,$B:$B,"&lt;&gt;Patrícia Karla de Sousa Araújo",$B:$B,"&lt;&gt;Lorena Dias de Araujo",$B:$B,"&lt;&gt;Lucas Luiz Romero")*(35/1083),IF(C4037="Técnico II",SUMIFS($D:$D,$A:$A,$A4037,$B:$B,"&lt;&gt;Patrícia Karla de Sousa Araújo",$B:$B,"&lt;&gt;Lorena Dias de Araujo",$B:$B,"&lt;&gt;Lucas Luiz Romero")*(28/1083),IF(C4037="Técnico I",SUMIFS($D:$D,$A:$A,$A4037,$B:$B,"&lt;&gt;Patrícia Karla de Sousa Araújo",$B:$B,"&lt;&gt;Lorena Dias de Araujo",$B:$B,"&lt;&gt;Lucas Luiz Romero")*(23/1083),IF(C4037="JR",SUMIFS($D:$D,$A:$A,$A4037,$B:$B,"&lt;&gt;Patrícia Karla de Sousa Araújo",$B:$B,"&lt;&gt;Lorena Dias de Araujo",$B:$B,"&lt;&gt;Lucas Luiz Romero")*(20/1083),IF(C4037="Estágio",SUMIFS($D:$D,$A:$A,$A4037,$B:$B,"&lt;&gt;Patrícia Karla de Sousa Araújo",$B:$B,"&lt;&gt;Lorena Dias de Araujo",$B:$B,"&lt;&gt;Lucas Luiz Romero")*(10/1083),0)))))),0)</f>
        <v/>
      </c>
      <c r="K4037" s="3">
        <f>I4037-J4037</f>
        <v/>
      </c>
      <c r="L4037" s="3">
        <f>IF(K4037&lt;-5,"CRÍTICO",IF(K4037&lt;0,"ATENÇÃO",IF(K4037&lt;=5,"OPORTUNO","MUITO BOM")))</f>
        <v/>
      </c>
      <c r="N4037" t="n">
        <v>98.2</v>
      </c>
      <c r="O4037" t="n">
        <v>26.89075630252101</v>
      </c>
    </row>
    <row r="4038" hidden="1">
      <c r="A4038" s="11" t="n">
        <v>46128</v>
      </c>
      <c r="B4038" t="inlineStr">
        <is>
          <t>Claudio de Sousa Velasco Filho</t>
        </is>
      </c>
      <c r="C4038" t="inlineStr">
        <is>
          <t>Estágio</t>
        </is>
      </c>
      <c r="D4038" t="n">
        <v>11</v>
      </c>
      <c r="E4038" t="n">
        <v>9</v>
      </c>
      <c r="F4038" t="n">
        <v>32.01</v>
      </c>
      <c r="G4038" t="n">
        <v>0</v>
      </c>
      <c r="H4038" t="n">
        <v>0</v>
      </c>
      <c r="I4038" s="3">
        <f>E4038+G4038+H4038</f>
        <v/>
      </c>
      <c r="J4038" s="3">
        <f>ROUND(MIN(IF(C4038="Técnico III",35,IF(C4038="Técnico II",28,IF(C4038="Técnico I",23,IF(C4038="JR",20,IF(C4038="Estágio",10,0))))),IF(C4038="Técnico III",SUMIFS($D:$D,$A:$A,$A4038,$B:$B,"&lt;&gt;Patrícia Karla de Sousa Araújo",$B:$B,"&lt;&gt;Lorena Dias de Araujo",$B:$B,"&lt;&gt;Lucas Luiz Romero")*(35/1083),IF(C4038="Técnico II",SUMIFS($D:$D,$A:$A,$A4038,$B:$B,"&lt;&gt;Patrícia Karla de Sousa Araújo",$B:$B,"&lt;&gt;Lorena Dias de Araujo",$B:$B,"&lt;&gt;Lucas Luiz Romero")*(28/1083),IF(C4038="Técnico I",SUMIFS($D:$D,$A:$A,$A4038,$B:$B,"&lt;&gt;Patrícia Karla de Sousa Araújo",$B:$B,"&lt;&gt;Lorena Dias de Araujo",$B:$B,"&lt;&gt;Lucas Luiz Romero")*(23/1083),IF(C4038="JR",SUMIFS($D:$D,$A:$A,$A4038,$B:$B,"&lt;&gt;Patrícia Karla de Sousa Araújo",$B:$B,"&lt;&gt;Lorena Dias de Araujo",$B:$B,"&lt;&gt;Lucas Luiz Romero")*(20/1083),IF(C4038="Estágio",SUMIFS($D:$D,$A:$A,$A4038,$B:$B,"&lt;&gt;Patrícia Karla de Sousa Araújo",$B:$B,"&lt;&gt;Lorena Dias de Araujo",$B:$B,"&lt;&gt;Lucas Luiz Romero")*(10/1083),0)))))),0)</f>
        <v/>
      </c>
      <c r="K4038" s="3">
        <f>I4038-J4038</f>
        <v/>
      </c>
      <c r="L4038" s="3">
        <f>IF(K4038&lt;-5,"CRÍTICO",IF(K4038&lt;0,"ATENÇÃO",IF(K4038&lt;=5,"OPORTUNO","MUITO BOM")))</f>
        <v/>
      </c>
      <c r="N4038" t="n">
        <v>100</v>
      </c>
      <c r="O4038" t="n">
        <v>23.13432835820895</v>
      </c>
    </row>
    <row r="4039" hidden="1">
      <c r="A4039" s="11" t="n">
        <v>46128</v>
      </c>
      <c r="B4039" t="inlineStr">
        <is>
          <t>Clessiane Pereira dos Santos</t>
        </is>
      </c>
      <c r="C4039" t="inlineStr">
        <is>
          <t>Técnico I</t>
        </is>
      </c>
      <c r="D4039" t="n">
        <v>12</v>
      </c>
      <c r="E4039" t="n">
        <v>11</v>
      </c>
      <c r="F4039" t="n">
        <v>18.31</v>
      </c>
      <c r="G4039" t="n">
        <v>0</v>
      </c>
      <c r="H4039" t="n">
        <v>0</v>
      </c>
      <c r="I4039" s="3">
        <f>E4039+G4039+H4039</f>
        <v/>
      </c>
      <c r="J4039" s="3">
        <f>ROUND(MIN(IF(C4039="Técnico III",35,IF(C4039="Técnico II",28,IF(C4039="Técnico I",23,IF(C4039="JR",20,IF(C4039="Estágio",10,0))))),IF(C4039="Técnico III",SUMIFS($D:$D,$A:$A,$A4039,$B:$B,"&lt;&gt;Patrícia Karla de Sousa Araújo",$B:$B,"&lt;&gt;Lorena Dias de Araujo",$B:$B,"&lt;&gt;Lucas Luiz Romero")*(35/1083),IF(C4039="Técnico II",SUMIFS($D:$D,$A:$A,$A4039,$B:$B,"&lt;&gt;Patrícia Karla de Sousa Araújo",$B:$B,"&lt;&gt;Lorena Dias de Araujo",$B:$B,"&lt;&gt;Lucas Luiz Romero")*(28/1083),IF(C4039="Técnico I",SUMIFS($D:$D,$A:$A,$A4039,$B:$B,"&lt;&gt;Patrícia Karla de Sousa Araújo",$B:$B,"&lt;&gt;Lorena Dias de Araujo",$B:$B,"&lt;&gt;Lucas Luiz Romero")*(23/1083),IF(C4039="JR",SUMIFS($D:$D,$A:$A,$A4039,$B:$B,"&lt;&gt;Patrícia Karla de Sousa Araújo",$B:$B,"&lt;&gt;Lorena Dias de Araujo",$B:$B,"&lt;&gt;Lucas Luiz Romero")*(20/1083),IF(C4039="Estágio",SUMIFS($D:$D,$A:$A,$A4039,$B:$B,"&lt;&gt;Patrícia Karla de Sousa Araújo",$B:$B,"&lt;&gt;Lorena Dias de Araujo",$B:$B,"&lt;&gt;Lucas Luiz Romero")*(10/1083),0)))))),0)</f>
        <v/>
      </c>
      <c r="K4039" s="3">
        <f>I4039-J4039</f>
        <v/>
      </c>
      <c r="L4039" s="3">
        <f>IF(K4039&lt;-5,"CRÍTICO",IF(K4039&lt;0,"ATENÇÃO",IF(K4039&lt;=5,"OPORTUNO","MUITO BOM")))</f>
        <v/>
      </c>
      <c r="N4039" t="n">
        <v>96.3</v>
      </c>
      <c r="O4039" t="n">
        <v>31.98090692124105</v>
      </c>
    </row>
    <row r="4040" hidden="1">
      <c r="A4040" s="11" t="n">
        <v>46128</v>
      </c>
      <c r="B4040" t="inlineStr">
        <is>
          <t>Cristiane Ramos da Silva Rocha</t>
        </is>
      </c>
      <c r="C4040" t="inlineStr">
        <is>
          <t>Técnico III</t>
        </is>
      </c>
      <c r="D4040" t="n">
        <v>30</v>
      </c>
      <c r="E4040" t="n">
        <v>26</v>
      </c>
      <c r="F4040" t="n">
        <v>13.3</v>
      </c>
      <c r="G4040" t="n">
        <v>0</v>
      </c>
      <c r="H4040" t="n">
        <v>0</v>
      </c>
      <c r="I4040" s="3">
        <f>E4040+G4040+H4040</f>
        <v/>
      </c>
      <c r="J4040" s="3">
        <f>ROUND(MIN(IF(C4040="Técnico III",35,IF(C4040="Técnico II",28,IF(C4040="Técnico I",23,IF(C4040="JR",20,IF(C4040="Estágio",10,0))))),IF(C4040="Técnico III",SUMIFS($D:$D,$A:$A,$A4040,$B:$B,"&lt;&gt;Patrícia Karla de Sousa Araújo",$B:$B,"&lt;&gt;Lorena Dias de Araujo",$B:$B,"&lt;&gt;Lucas Luiz Romero")*(35/1083),IF(C4040="Técnico II",SUMIFS($D:$D,$A:$A,$A4040,$B:$B,"&lt;&gt;Patrícia Karla de Sousa Araújo",$B:$B,"&lt;&gt;Lorena Dias de Araujo",$B:$B,"&lt;&gt;Lucas Luiz Romero")*(28/1083),IF(C4040="Técnico I",SUMIFS($D:$D,$A:$A,$A4040,$B:$B,"&lt;&gt;Patrícia Karla de Sousa Araújo",$B:$B,"&lt;&gt;Lorena Dias de Araujo",$B:$B,"&lt;&gt;Lucas Luiz Romero")*(23/1083),IF(C4040="JR",SUMIFS($D:$D,$A:$A,$A4040,$B:$B,"&lt;&gt;Patrícia Karla de Sousa Araújo",$B:$B,"&lt;&gt;Lorena Dias de Araujo",$B:$B,"&lt;&gt;Lucas Luiz Romero")*(20/1083),IF(C4040="Estágio",SUMIFS($D:$D,$A:$A,$A4040,$B:$B,"&lt;&gt;Patrícia Karla de Sousa Araújo",$B:$B,"&lt;&gt;Lorena Dias de Araujo",$B:$B,"&lt;&gt;Lucas Luiz Romero")*(10/1083),0)))))),0)</f>
        <v/>
      </c>
      <c r="K4040" s="3">
        <f>I4040-J4040</f>
        <v/>
      </c>
      <c r="L4040" s="3">
        <f>IF(K4040&lt;-5,"CRÍTICO",IF(K4040&lt;0,"ATENÇÃO",IF(K4040&lt;=5,"OPORTUNO","MUITO BOM")))</f>
        <v/>
      </c>
      <c r="N4040" t="n">
        <v>93.75</v>
      </c>
      <c r="O4040" t="n">
        <v>26.62835249042146</v>
      </c>
    </row>
    <row r="4041" hidden="1">
      <c r="A4041" s="11" t="n">
        <v>46128</v>
      </c>
      <c r="B4041" t="inlineStr">
        <is>
          <t>Damyllis Lorraine de Oliveira Gonçalves</t>
        </is>
      </c>
      <c r="C4041" t="inlineStr">
        <is>
          <t>Técnico II</t>
        </is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s="3" t="n">
        <v>0</v>
      </c>
      <c r="J4041" s="3" t="n">
        <v>0</v>
      </c>
      <c r="K4041" s="3" t="n">
        <v>0</v>
      </c>
      <c r="L4041" s="3">
        <f>IF(K4041&lt;-5,"CRÍTICO",IF(K4041&lt;0,"ATENÇÃO",IF(K4041&lt;=5,"OPORTUNO","MUITO BOM")))</f>
        <v/>
      </c>
      <c r="N4041" t="n">
        <v>97.86</v>
      </c>
      <c r="O4041" t="n">
        <v>31.01851851851852</v>
      </c>
    </row>
    <row r="4042" hidden="1">
      <c r="A4042" s="11" t="n">
        <v>46128</v>
      </c>
      <c r="B4042" t="inlineStr">
        <is>
          <t>Daniel Gomes da Silva</t>
        </is>
      </c>
      <c r="C4042" t="inlineStr">
        <is>
          <t>Técnico I</t>
        </is>
      </c>
      <c r="D4042" t="n">
        <v>22</v>
      </c>
      <c r="E4042" t="n">
        <v>22</v>
      </c>
      <c r="F4042" t="n">
        <v>17.27</v>
      </c>
      <c r="G4042" t="n">
        <v>0</v>
      </c>
      <c r="H4042" t="n">
        <v>0</v>
      </c>
      <c r="I4042" s="3">
        <f>E4042+G4042+H4042</f>
        <v/>
      </c>
      <c r="J4042" s="3">
        <f>ROUND(MIN(IF(C4042="Técnico III",35,IF(C4042="Técnico II",28,IF(C4042="Técnico I",23,IF(C4042="JR",20,IF(C4042="Estágio",10,0))))),IF(C4042="Técnico III",SUMIFS($D:$D,$A:$A,$A4042,$B:$B,"&lt;&gt;Patrícia Karla de Sousa Araújo",$B:$B,"&lt;&gt;Lorena Dias de Araujo",$B:$B,"&lt;&gt;Lucas Luiz Romero")*(35/1083),IF(C4042="Técnico II",SUMIFS($D:$D,$A:$A,$A4042,$B:$B,"&lt;&gt;Patrícia Karla de Sousa Araújo",$B:$B,"&lt;&gt;Lorena Dias de Araujo",$B:$B,"&lt;&gt;Lucas Luiz Romero")*(28/1083),IF(C4042="Técnico I",SUMIFS($D:$D,$A:$A,$A4042,$B:$B,"&lt;&gt;Patrícia Karla de Sousa Araújo",$B:$B,"&lt;&gt;Lorena Dias de Araujo",$B:$B,"&lt;&gt;Lucas Luiz Romero")*(23/1083),IF(C4042="JR",SUMIFS($D:$D,$A:$A,$A4042,$B:$B,"&lt;&gt;Patrícia Karla de Sousa Araújo",$B:$B,"&lt;&gt;Lorena Dias de Araujo",$B:$B,"&lt;&gt;Lucas Luiz Romero")*(20/1083),IF(C4042="Estágio",SUMIFS($D:$D,$A:$A,$A4042,$B:$B,"&lt;&gt;Patrícia Karla de Sousa Araújo",$B:$B,"&lt;&gt;Lorena Dias de Araujo",$B:$B,"&lt;&gt;Lucas Luiz Romero")*(10/1083),0)))))),0)</f>
        <v/>
      </c>
      <c r="K4042" s="3">
        <f>I4042-J4042</f>
        <v/>
      </c>
      <c r="L4042" s="3">
        <f>IF(K4042&lt;-5,"CRÍTICO",IF(K4042&lt;0,"ATENÇÃO",IF(K4042&lt;=5,"OPORTUNO","MUITO BOM")))</f>
        <v/>
      </c>
      <c r="N4042" t="n">
        <v>100</v>
      </c>
      <c r="O4042" t="n">
        <v>36.23188405797102</v>
      </c>
    </row>
    <row r="4043" hidden="1">
      <c r="A4043" s="11" t="n">
        <v>46128</v>
      </c>
      <c r="B4043" t="inlineStr">
        <is>
          <t>Davylla Rodrigues Freitas Silva</t>
        </is>
      </c>
      <c r="C4043" t="inlineStr">
        <is>
          <t>Técnico III</t>
        </is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s="3" t="n">
        <v>0</v>
      </c>
      <c r="J4043" s="3" t="n">
        <v>0</v>
      </c>
      <c r="K4043" s="3" t="n">
        <v>0</v>
      </c>
      <c r="L4043" s="3">
        <f>IF(K4043&lt;-5,"CRÍTICO",IF(K4043&lt;0,"ATENÇÃO",IF(K4043&lt;=5,"OPORTUNO","MUITO BOM")))</f>
        <v/>
      </c>
      <c r="N4043" t="n">
        <v>100</v>
      </c>
      <c r="O4043" t="n">
        <v>38.26923076923077</v>
      </c>
    </row>
    <row r="4044" hidden="1">
      <c r="A4044" s="11" t="n">
        <v>46128</v>
      </c>
      <c r="B4044" t="inlineStr">
        <is>
          <t>Emilly Caylane Costa</t>
        </is>
      </c>
      <c r="C4044" t="inlineStr">
        <is>
          <t>Estágio</t>
        </is>
      </c>
      <c r="D4044" t="n">
        <v>6</v>
      </c>
      <c r="E4044" t="n">
        <v>5</v>
      </c>
      <c r="F4044" t="n">
        <v>27.29</v>
      </c>
      <c r="G4044" t="n">
        <v>0</v>
      </c>
      <c r="H4044" t="n">
        <v>0</v>
      </c>
      <c r="I4044" s="3">
        <f>E4044+G4044+H4044</f>
        <v/>
      </c>
      <c r="J4044" s="3">
        <f>ROUND(MIN(IF(C4044="Técnico III",35,IF(C4044="Técnico II",28,IF(C4044="Técnico I",23,IF(C4044="JR",20,IF(C4044="Estágio",10,0))))),IF(C4044="Técnico III",SUMIFS($D:$D,$A:$A,$A4044,$B:$B,"&lt;&gt;Patrícia Karla de Sousa Araújo",$B:$B,"&lt;&gt;Lorena Dias de Araujo",$B:$B,"&lt;&gt;Lucas Luiz Romero")*(35/1083),IF(C4044="Técnico II",SUMIFS($D:$D,$A:$A,$A4044,$B:$B,"&lt;&gt;Patrícia Karla de Sousa Araújo",$B:$B,"&lt;&gt;Lorena Dias de Araujo",$B:$B,"&lt;&gt;Lucas Luiz Romero")*(28/1083),IF(C4044="Técnico I",SUMIFS($D:$D,$A:$A,$A4044,$B:$B,"&lt;&gt;Patrícia Karla de Sousa Araújo",$B:$B,"&lt;&gt;Lorena Dias de Araujo",$B:$B,"&lt;&gt;Lucas Luiz Romero")*(23/1083),IF(C4044="JR",SUMIFS($D:$D,$A:$A,$A4044,$B:$B,"&lt;&gt;Patrícia Karla de Sousa Araújo",$B:$B,"&lt;&gt;Lorena Dias de Araujo",$B:$B,"&lt;&gt;Lucas Luiz Romero")*(20/1083),IF(C4044="Estágio",SUMIFS($D:$D,$A:$A,$A4044,$B:$B,"&lt;&gt;Patrícia Karla de Sousa Araújo",$B:$B,"&lt;&gt;Lorena Dias de Araujo",$B:$B,"&lt;&gt;Lucas Luiz Romero")*(10/1083),0)))))),0)</f>
        <v/>
      </c>
      <c r="K4044" s="3">
        <f>I4044-J4044</f>
        <v/>
      </c>
      <c r="L4044" s="3">
        <f>IF(K4044&lt;-5,"CRÍTICO",IF(K4044&lt;0,"ATENÇÃO",IF(K4044&lt;=5,"OPORTUNO","MUITO BOM")))</f>
        <v/>
      </c>
      <c r="N4044" t="n">
        <v>100</v>
      </c>
      <c r="O4044" t="n">
        <v>27.36842105263158</v>
      </c>
    </row>
    <row r="4045" hidden="1">
      <c r="A4045" s="11" t="n">
        <v>46128</v>
      </c>
      <c r="B4045" t="inlineStr">
        <is>
          <t>Emilly Kamilly Medeiros Miranda</t>
        </is>
      </c>
      <c r="C4045" t="inlineStr">
        <is>
          <t>Técnico II</t>
        </is>
      </c>
      <c r="D4045" t="n">
        <v>27</v>
      </c>
      <c r="E4045" t="n">
        <v>25</v>
      </c>
      <c r="F4045" t="n">
        <v>17.27</v>
      </c>
      <c r="G4045" t="n">
        <v>0</v>
      </c>
      <c r="H4045" t="n">
        <v>0</v>
      </c>
      <c r="I4045" s="3">
        <f>E4045+G4045+H4045</f>
        <v/>
      </c>
      <c r="J4045" s="3">
        <f>ROUND(MIN(IF(C4045="Técnico III",35,IF(C4045="Técnico II",28,IF(C4045="Técnico I",23,IF(C4045="JR",20,IF(C4045="Estágio",10,0))))),IF(C4045="Técnico III",SUMIFS($D:$D,$A:$A,$A4045,$B:$B,"&lt;&gt;Patrícia Karla de Sousa Araújo",$B:$B,"&lt;&gt;Lorena Dias de Araujo",$B:$B,"&lt;&gt;Lucas Luiz Romero")*(35/1083),IF(C4045="Técnico II",SUMIFS($D:$D,$A:$A,$A4045,$B:$B,"&lt;&gt;Patrícia Karla de Sousa Araújo",$B:$B,"&lt;&gt;Lorena Dias de Araujo",$B:$B,"&lt;&gt;Lucas Luiz Romero")*(28/1083),IF(C4045="Técnico I",SUMIFS($D:$D,$A:$A,$A4045,$B:$B,"&lt;&gt;Patrícia Karla de Sousa Araújo",$B:$B,"&lt;&gt;Lorena Dias de Araujo",$B:$B,"&lt;&gt;Lucas Luiz Romero")*(23/1083),IF(C4045="JR",SUMIFS($D:$D,$A:$A,$A4045,$B:$B,"&lt;&gt;Patrícia Karla de Sousa Araújo",$B:$B,"&lt;&gt;Lorena Dias de Araujo",$B:$B,"&lt;&gt;Lucas Luiz Romero")*(20/1083),IF(C4045="Estágio",SUMIFS($D:$D,$A:$A,$A4045,$B:$B,"&lt;&gt;Patrícia Karla de Sousa Araújo",$B:$B,"&lt;&gt;Lorena Dias de Araujo",$B:$B,"&lt;&gt;Lucas Luiz Romero")*(10/1083),0)))))),0)</f>
        <v/>
      </c>
      <c r="K4045" s="3">
        <f>I4045-J4045</f>
        <v/>
      </c>
      <c r="L4045" s="3">
        <f>IF(K4045&lt;-5,"CRÍTICO",IF(K4045&lt;0,"ATENÇÃO",IF(K4045&lt;=5,"OPORTUNO","MUITO BOM")))</f>
        <v/>
      </c>
      <c r="N4045" t="n">
        <v>97.83</v>
      </c>
      <c r="O4045" t="n">
        <v>28.13186813186813</v>
      </c>
    </row>
    <row r="4046" hidden="1">
      <c r="A4046" s="11" t="n">
        <v>46128</v>
      </c>
      <c r="B4046" t="inlineStr">
        <is>
          <t>Francielson de Oliveira</t>
        </is>
      </c>
      <c r="C4046" t="inlineStr">
        <is>
          <t>Técnico III</t>
        </is>
      </c>
      <c r="D4046" t="n">
        <v>21</v>
      </c>
      <c r="E4046" t="n">
        <v>19</v>
      </c>
      <c r="F4046" t="n">
        <v>20.1</v>
      </c>
      <c r="G4046" t="n">
        <v>0</v>
      </c>
      <c r="H4046" t="n">
        <v>0</v>
      </c>
      <c r="I4046" s="3">
        <f>E4046+G4046+H4046</f>
        <v/>
      </c>
      <c r="J4046" s="3">
        <f>ROUND(MIN(IF(C4046="Técnico III",35,IF(C4046="Técnico II",28,IF(C4046="Técnico I",23,IF(C4046="JR",20,IF(C4046="Estágio",10,0))))),IF(C4046="Técnico III",SUMIFS($D:$D,$A:$A,$A4046,$B:$B,"&lt;&gt;Patrícia Karla de Sousa Araújo",$B:$B,"&lt;&gt;Lorena Dias de Araujo",$B:$B,"&lt;&gt;Lucas Luiz Romero")*(35/1083),IF(C4046="Técnico II",SUMIFS($D:$D,$A:$A,$A4046,$B:$B,"&lt;&gt;Patrícia Karla de Sousa Araújo",$B:$B,"&lt;&gt;Lorena Dias de Araujo",$B:$B,"&lt;&gt;Lucas Luiz Romero")*(28/1083),IF(C4046="Técnico I",SUMIFS($D:$D,$A:$A,$A4046,$B:$B,"&lt;&gt;Patrícia Karla de Sousa Araújo",$B:$B,"&lt;&gt;Lorena Dias de Araujo",$B:$B,"&lt;&gt;Lucas Luiz Romero")*(23/1083),IF(C4046="JR",SUMIFS($D:$D,$A:$A,$A4046,$B:$B,"&lt;&gt;Patrícia Karla de Sousa Araújo",$B:$B,"&lt;&gt;Lorena Dias de Araujo",$B:$B,"&lt;&gt;Lucas Luiz Romero")*(20/1083),IF(C4046="Estágio",SUMIFS($D:$D,$A:$A,$A4046,$B:$B,"&lt;&gt;Patrícia Karla de Sousa Araújo",$B:$B,"&lt;&gt;Lorena Dias de Araujo",$B:$B,"&lt;&gt;Lucas Luiz Romero")*(10/1083),0)))))),0)</f>
        <v/>
      </c>
      <c r="K4046" s="3">
        <f>I4046-J4046</f>
        <v/>
      </c>
      <c r="L4046" s="3">
        <f>IF(K4046&lt;-5,"CRÍTICO",IF(K4046&lt;0,"ATENÇÃO",IF(K4046&lt;=5,"OPORTUNO","MUITO BOM")))</f>
        <v/>
      </c>
      <c r="N4046" t="n">
        <v>99.26000000000001</v>
      </c>
      <c r="O4046" t="n">
        <v>29.57198443579767</v>
      </c>
    </row>
    <row r="4047" hidden="1">
      <c r="A4047" s="11" t="n">
        <v>46128</v>
      </c>
      <c r="B4047" t="inlineStr">
        <is>
          <t>Francilene Ferreira de Jesus</t>
        </is>
      </c>
      <c r="C4047" t="inlineStr">
        <is>
          <t>Técnico II</t>
        </is>
      </c>
      <c r="D4047" t="n">
        <v>27</v>
      </c>
      <c r="E4047" t="n">
        <v>26</v>
      </c>
      <c r="F4047" t="n">
        <v>28.54</v>
      </c>
      <c r="G4047" t="n">
        <v>0</v>
      </c>
      <c r="H4047" t="n">
        <v>0</v>
      </c>
      <c r="I4047" s="3">
        <f>E4047+G4047+H4047</f>
        <v/>
      </c>
      <c r="J4047" s="3">
        <f>ROUND(MIN(IF(C4047="Técnico III",35,IF(C4047="Técnico II",28,IF(C4047="Técnico I",23,IF(C4047="JR",20,IF(C4047="Estágio",10,0))))),IF(C4047="Técnico III",SUMIFS($D:$D,$A:$A,$A4047,$B:$B,"&lt;&gt;Patrícia Karla de Sousa Araújo",$B:$B,"&lt;&gt;Lorena Dias de Araujo",$B:$B,"&lt;&gt;Lucas Luiz Romero")*(35/1083),IF(C4047="Técnico II",SUMIFS($D:$D,$A:$A,$A4047,$B:$B,"&lt;&gt;Patrícia Karla de Sousa Araújo",$B:$B,"&lt;&gt;Lorena Dias de Araujo",$B:$B,"&lt;&gt;Lucas Luiz Romero")*(28/1083),IF(C4047="Técnico I",SUMIFS($D:$D,$A:$A,$A4047,$B:$B,"&lt;&gt;Patrícia Karla de Sousa Araújo",$B:$B,"&lt;&gt;Lorena Dias de Araujo",$B:$B,"&lt;&gt;Lucas Luiz Romero")*(23/1083),IF(C4047="JR",SUMIFS($D:$D,$A:$A,$A4047,$B:$B,"&lt;&gt;Patrícia Karla de Sousa Araújo",$B:$B,"&lt;&gt;Lorena Dias de Araujo",$B:$B,"&lt;&gt;Lucas Luiz Romero")*(20/1083),IF(C4047="Estágio",SUMIFS($D:$D,$A:$A,$A4047,$B:$B,"&lt;&gt;Patrícia Karla de Sousa Araújo",$B:$B,"&lt;&gt;Lorena Dias de Araujo",$B:$B,"&lt;&gt;Lucas Luiz Romero")*(10/1083),0)))))),0)</f>
        <v/>
      </c>
      <c r="K4047" s="3">
        <f>I4047-J4047</f>
        <v/>
      </c>
      <c r="L4047" s="3">
        <f>IF(K4047&lt;-5,"CRÍTICO",IF(K4047&lt;0,"ATENÇÃO",IF(K4047&lt;=5,"OPORTUNO","MUITO BOM")))</f>
        <v/>
      </c>
      <c r="N4047" t="n">
        <v>99.19</v>
      </c>
      <c r="O4047" t="n">
        <v>29.46236559139785</v>
      </c>
    </row>
    <row r="4048" hidden="1">
      <c r="A4048" s="11" t="n">
        <v>46140</v>
      </c>
      <c r="B4048" t="inlineStr">
        <is>
          <t>Alisson de Freitas Silva</t>
        </is>
      </c>
      <c r="C4048" t="inlineStr">
        <is>
          <t>Técnico II</t>
        </is>
      </c>
      <c r="D4048" t="n">
        <v>53</v>
      </c>
      <c r="E4048" t="n">
        <v>46</v>
      </c>
      <c r="F4048" t="n">
        <v>10.58</v>
      </c>
      <c r="G4048" t="n">
        <v>0</v>
      </c>
      <c r="H4048" t="n">
        <v>0</v>
      </c>
      <c r="I4048" s="3">
        <f>E4048+G4048+H4048</f>
        <v/>
      </c>
      <c r="J4048" s="3">
        <f>ROUND(MIN(IF(C4048="Técnico III",35,IF(C4048="Técnico II",28,IF(C4048="Técnico I",23,IF(C4048="JR",20,IF(C4048="Estágio",10,0))))),IF(C4048="Técnico III",SUMIFS($D:$D,$A:$A,$A4048,$B:$B,"&lt;&gt;Patrícia Karla de Sousa Araújo",$B:$B,"&lt;&gt;Lorena Dias de Araujo",$B:$B,"&lt;&gt;Lucas Luiz Romero")*(35/1083),IF(C4048="Técnico II",SUMIFS($D:$D,$A:$A,$A4048,$B:$B,"&lt;&gt;Patrícia Karla de Sousa Araújo",$B:$B,"&lt;&gt;Lorena Dias de Araujo",$B:$B,"&lt;&gt;Lucas Luiz Romero")*(28/1083),IF(C4048="Técnico I",SUMIFS($D:$D,$A:$A,$A4048,$B:$B,"&lt;&gt;Patrícia Karla de Sousa Araújo",$B:$B,"&lt;&gt;Lorena Dias de Araujo",$B:$B,"&lt;&gt;Lucas Luiz Romero")*(23/1083),IF(C4048="JR",SUMIFS($D:$D,$A:$A,$A4048,$B:$B,"&lt;&gt;Patrícia Karla de Sousa Araújo",$B:$B,"&lt;&gt;Lorena Dias de Araujo",$B:$B,"&lt;&gt;Lucas Luiz Romero")*(20/1083),IF(C4048="Estágio",SUMIFS($D:$D,$A:$A,$A4048,$B:$B,"&lt;&gt;Patrícia Karla de Sousa Araújo",$B:$B,"&lt;&gt;Lorena Dias de Araujo",$B:$B,"&lt;&gt;Lucas Luiz Romero")*(10/1083),0)))))),0)</f>
        <v/>
      </c>
      <c r="K4048" s="3">
        <f>I4048-J4048</f>
        <v/>
      </c>
      <c r="L4048" s="3">
        <f>IF(K4048&lt;-5,"CRÍTICO",IF(K4048&lt;0,"ATENÇÃO",IF(K4048&lt;=5,"OPORTUNO","MUITO BOM")))</f>
        <v/>
      </c>
      <c r="N4048" t="n">
        <v>100</v>
      </c>
      <c r="O4048" t="n">
        <v>32.76450511945392</v>
      </c>
    </row>
    <row r="4049" hidden="1">
      <c r="A4049" s="11" t="n">
        <v>46128</v>
      </c>
      <c r="B4049" t="inlineStr">
        <is>
          <t>Isabella Borges de Oliveira</t>
        </is>
      </c>
      <c r="C4049" t="inlineStr">
        <is>
          <t>Técnico II</t>
        </is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s="3" t="n">
        <v>0</v>
      </c>
      <c r="J4049" s="3" t="n">
        <v>0</v>
      </c>
      <c r="K4049" s="3" t="n">
        <v>0</v>
      </c>
      <c r="L4049" s="3">
        <f>IF(K4049&lt;-5,"CRÍTICO",IF(K4049&lt;0,"ATENÇÃO",IF(K4049&lt;=5,"OPORTUNO","MUITO BOM")))</f>
        <v/>
      </c>
      <c r="N4049" t="n">
        <v>100</v>
      </c>
      <c r="O4049" t="n">
        <v>27.94117647058824</v>
      </c>
    </row>
    <row r="4050" hidden="1">
      <c r="A4050" s="11" t="n">
        <v>46128</v>
      </c>
      <c r="B4050" t="inlineStr">
        <is>
          <t>Janaina Lima dos Reis Urany</t>
        </is>
      </c>
      <c r="C4050" t="inlineStr">
        <is>
          <t>Técnico III</t>
        </is>
      </c>
      <c r="D4050" t="n">
        <v>38</v>
      </c>
      <c r="E4050" t="n">
        <v>34</v>
      </c>
      <c r="F4050" t="n">
        <v>14.17</v>
      </c>
      <c r="G4050" t="n">
        <v>0</v>
      </c>
      <c r="H4050" t="n">
        <v>0</v>
      </c>
      <c r="I4050" s="3">
        <f>E4050+G4050+H4050</f>
        <v/>
      </c>
      <c r="J4050" s="3">
        <f>ROUND(MIN(IF(C4050="Técnico III",35,IF(C4050="Técnico II",28,IF(C4050="Técnico I",23,IF(C4050="JR",20,IF(C4050="Estágio",10,0))))),IF(C4050="Técnico III",SUMIFS($D:$D,$A:$A,$A4050,$B:$B,"&lt;&gt;Patrícia Karla de Sousa Araújo",$B:$B,"&lt;&gt;Lorena Dias de Araujo",$B:$B,"&lt;&gt;Lucas Luiz Romero")*(35/1083),IF(C4050="Técnico II",SUMIFS($D:$D,$A:$A,$A4050,$B:$B,"&lt;&gt;Patrícia Karla de Sousa Araújo",$B:$B,"&lt;&gt;Lorena Dias de Araujo",$B:$B,"&lt;&gt;Lucas Luiz Romero")*(28/1083),IF(C4050="Técnico I",SUMIFS($D:$D,$A:$A,$A4050,$B:$B,"&lt;&gt;Patrícia Karla de Sousa Araújo",$B:$B,"&lt;&gt;Lorena Dias de Araujo",$B:$B,"&lt;&gt;Lucas Luiz Romero")*(23/1083),IF(C4050="JR",SUMIFS($D:$D,$A:$A,$A4050,$B:$B,"&lt;&gt;Patrícia Karla de Sousa Araújo",$B:$B,"&lt;&gt;Lorena Dias de Araujo",$B:$B,"&lt;&gt;Lucas Luiz Romero")*(20/1083),IF(C4050="Estágio",SUMIFS($D:$D,$A:$A,$A4050,$B:$B,"&lt;&gt;Patrícia Karla de Sousa Araújo",$B:$B,"&lt;&gt;Lorena Dias de Araujo",$B:$B,"&lt;&gt;Lucas Luiz Romero")*(10/1083),0)))))),0)</f>
        <v/>
      </c>
      <c r="K4050" s="3">
        <f>I4050-J4050</f>
        <v/>
      </c>
      <c r="L4050" s="3">
        <f>IF(K4050&lt;-5,"CRÍTICO",IF(K4050&lt;0,"ATENÇÃO",IF(K4050&lt;=5,"OPORTUNO","MUITO BOM")))</f>
        <v/>
      </c>
      <c r="N4050" t="n">
        <v>99.56999999999999</v>
      </c>
      <c r="O4050" t="n">
        <v>29.91329479768786</v>
      </c>
    </row>
    <row r="4051" hidden="1">
      <c r="A4051" s="11" t="n">
        <v>46128</v>
      </c>
      <c r="B4051" t="inlineStr">
        <is>
          <t>Jaqueline Evangelista da Silva Martins</t>
        </is>
      </c>
      <c r="C4051" t="inlineStr">
        <is>
          <t>Técnico III</t>
        </is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s="3" t="n">
        <v>0</v>
      </c>
      <c r="J4051" s="3" t="n">
        <v>0</v>
      </c>
      <c r="K4051" s="3" t="n">
        <v>0</v>
      </c>
      <c r="L4051" s="3">
        <f>IF(K4051&lt;-5,"CRÍTICO",IF(K4051&lt;0,"ATENÇÃO",IF(K4051&lt;=5,"OPORTUNO","MUITO BOM")))</f>
        <v/>
      </c>
      <c r="N4051" t="n">
        <v>95.65000000000001</v>
      </c>
      <c r="O4051" t="n">
        <v>31.08108108108108</v>
      </c>
    </row>
    <row r="4052" hidden="1">
      <c r="A4052" s="11" t="n">
        <v>46128</v>
      </c>
      <c r="B4052" t="inlineStr">
        <is>
          <t>Jessica Faria da Silveira</t>
        </is>
      </c>
      <c r="C4052" t="inlineStr">
        <is>
          <t>Técnico II</t>
        </is>
      </c>
      <c r="D4052" t="n">
        <v>11</v>
      </c>
      <c r="E4052" t="n">
        <v>10</v>
      </c>
      <c r="F4052" t="n">
        <v>17.24</v>
      </c>
      <c r="G4052" t="n">
        <v>0</v>
      </c>
      <c r="H4052" t="n">
        <v>0</v>
      </c>
      <c r="I4052" s="3">
        <f>E4052+G4052+H4052</f>
        <v/>
      </c>
      <c r="J4052" s="3">
        <f>ROUND(MIN(IF(C4052="Técnico III",35,IF(C4052="Técnico II",28,IF(C4052="Técnico I",23,IF(C4052="JR",20,IF(C4052="Estágio",10,0))))),IF(C4052="Técnico III",SUMIFS($D:$D,$A:$A,$A4052,$B:$B,"&lt;&gt;Patrícia Karla de Sousa Araújo",$B:$B,"&lt;&gt;Lorena Dias de Araujo",$B:$B,"&lt;&gt;Lucas Luiz Romero")*(35/1083),IF(C4052="Técnico II",SUMIFS($D:$D,$A:$A,$A4052,$B:$B,"&lt;&gt;Patrícia Karla de Sousa Araújo",$B:$B,"&lt;&gt;Lorena Dias de Araujo",$B:$B,"&lt;&gt;Lucas Luiz Romero")*(28/1083),IF(C4052="Técnico I",SUMIFS($D:$D,$A:$A,$A4052,$B:$B,"&lt;&gt;Patrícia Karla de Sousa Araújo",$B:$B,"&lt;&gt;Lorena Dias de Araujo",$B:$B,"&lt;&gt;Lucas Luiz Romero")*(23/1083),IF(C4052="JR",SUMIFS($D:$D,$A:$A,$A4052,$B:$B,"&lt;&gt;Patrícia Karla de Sousa Araújo",$B:$B,"&lt;&gt;Lorena Dias de Araujo",$B:$B,"&lt;&gt;Lucas Luiz Romero")*(20/1083),IF(C4052="Estágio",SUMIFS($D:$D,$A:$A,$A4052,$B:$B,"&lt;&gt;Patrícia Karla de Sousa Araújo",$B:$B,"&lt;&gt;Lorena Dias de Araujo",$B:$B,"&lt;&gt;Lucas Luiz Romero")*(10/1083),0)))))),0)</f>
        <v/>
      </c>
      <c r="K4052" s="3">
        <f>I4052-J4052</f>
        <v/>
      </c>
      <c r="L4052" s="3">
        <f>IF(K4052&lt;-5,"CRÍTICO",IF(K4052&lt;0,"ATENÇÃO",IF(K4052&lt;=5,"OPORTUNO","MUITO BOM")))</f>
        <v/>
      </c>
      <c r="N4052" t="n">
        <v>98.81</v>
      </c>
      <c r="O4052" t="n">
        <v>26.25698324022346</v>
      </c>
    </row>
    <row r="4053" hidden="1">
      <c r="A4053" s="11" t="n">
        <v>46128</v>
      </c>
      <c r="B4053" t="inlineStr">
        <is>
          <t>Jéssica Fé Moura</t>
        </is>
      </c>
      <c r="C4053" t="inlineStr">
        <is>
          <t>Técnico III</t>
        </is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s="3" t="n">
        <v>0</v>
      </c>
      <c r="J4053" s="3" t="n">
        <v>0</v>
      </c>
      <c r="K4053" s="3" t="n">
        <v>0</v>
      </c>
      <c r="L4053" s="3">
        <f>IF(K4053&lt;-5,"CRÍTICO",IF(K4053&lt;0,"ATENÇÃO",IF(K4053&lt;=5,"OPORTUNO","MUITO BOM")))</f>
        <v/>
      </c>
      <c r="N4053" t="n">
        <v>0</v>
      </c>
      <c r="O4053" t="n">
        <v>0</v>
      </c>
    </row>
    <row r="4054" hidden="1">
      <c r="A4054" s="11" t="n">
        <v>46128</v>
      </c>
      <c r="B4054" t="inlineStr">
        <is>
          <t>Karina Gonçalves Martins</t>
        </is>
      </c>
      <c r="C4054" t="inlineStr">
        <is>
          <t>JR</t>
        </is>
      </c>
      <c r="D4054" t="n">
        <v>21</v>
      </c>
      <c r="E4054" t="n">
        <v>19</v>
      </c>
      <c r="F4054" t="n">
        <v>18.54</v>
      </c>
      <c r="G4054" t="n">
        <v>0</v>
      </c>
      <c r="H4054" t="n">
        <v>0</v>
      </c>
      <c r="I4054" s="3">
        <f>E4054+G4054+H4054</f>
        <v/>
      </c>
      <c r="J4054" s="3">
        <f>ROUND(MIN(IF(C4054="Técnico III",35,IF(C4054="Técnico II",28,IF(C4054="Técnico I",23,IF(C4054="JR",20,IF(C4054="Estágio",10,0))))),IF(C4054="Técnico III",SUMIFS($D:$D,$A:$A,$A4054,$B:$B,"&lt;&gt;Patrícia Karla de Sousa Araújo",$B:$B,"&lt;&gt;Lorena Dias de Araujo",$B:$B,"&lt;&gt;Lucas Luiz Romero")*(35/1083),IF(C4054="Técnico II",SUMIFS($D:$D,$A:$A,$A4054,$B:$B,"&lt;&gt;Patrícia Karla de Sousa Araújo",$B:$B,"&lt;&gt;Lorena Dias de Araujo",$B:$B,"&lt;&gt;Lucas Luiz Romero")*(28/1083),IF(C4054="Técnico I",SUMIFS($D:$D,$A:$A,$A4054,$B:$B,"&lt;&gt;Patrícia Karla de Sousa Araújo",$B:$B,"&lt;&gt;Lorena Dias de Araujo",$B:$B,"&lt;&gt;Lucas Luiz Romero")*(23/1083),IF(C4054="JR",SUMIFS($D:$D,$A:$A,$A4054,$B:$B,"&lt;&gt;Patrícia Karla de Sousa Araújo",$B:$B,"&lt;&gt;Lorena Dias de Araujo",$B:$B,"&lt;&gt;Lucas Luiz Romero")*(20/1083),IF(C4054="Estágio",SUMIFS($D:$D,$A:$A,$A4054,$B:$B,"&lt;&gt;Patrícia Karla de Sousa Araújo",$B:$B,"&lt;&gt;Lorena Dias de Araujo",$B:$B,"&lt;&gt;Lucas Luiz Romero")*(10/1083),0)))))),0)</f>
        <v/>
      </c>
      <c r="K4054" s="3">
        <f>I4054-J4054</f>
        <v/>
      </c>
      <c r="L4054" s="3">
        <f>IF(K4054&lt;-5,"CRÍTICO",IF(K4054&lt;0,"ATENÇÃO",IF(K4054&lt;=5,"OPORTUNO","MUITO BOM")))</f>
        <v/>
      </c>
      <c r="N4054" t="n">
        <v>97.17</v>
      </c>
      <c r="O4054" t="n">
        <v>28.81844380403458</v>
      </c>
    </row>
    <row r="4055" hidden="1">
      <c r="A4055" s="11" t="n">
        <v>46128</v>
      </c>
      <c r="B4055" t="inlineStr">
        <is>
          <t>Kerollen Cristielly de Jesus Siqueira</t>
        </is>
      </c>
      <c r="C4055" t="inlineStr">
        <is>
          <t>Técnico III</t>
        </is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s="3" t="n">
        <v>0</v>
      </c>
      <c r="J4055" s="3" t="n">
        <v>0</v>
      </c>
      <c r="K4055" s="3" t="n">
        <v>0</v>
      </c>
      <c r="L4055" s="3">
        <f>IF(K4055&lt;-5,"CRÍTICO",IF(K4055&lt;0,"ATENÇÃO",IF(K4055&lt;=5,"OPORTUNO","MUITO BOM")))</f>
        <v/>
      </c>
      <c r="N4055" t="n">
        <v>96.81</v>
      </c>
      <c r="O4055" t="n">
        <v>48.01864801864802</v>
      </c>
    </row>
    <row r="4056" hidden="1">
      <c r="A4056" s="11" t="n">
        <v>46128</v>
      </c>
      <c r="B4056" t="inlineStr">
        <is>
          <t>Leandro de Souza Silva</t>
        </is>
      </c>
      <c r="C4056" t="inlineStr">
        <is>
          <t>JR</t>
        </is>
      </c>
      <c r="D4056" t="n">
        <v>17</v>
      </c>
      <c r="E4056" t="n">
        <v>13</v>
      </c>
      <c r="F4056" t="n">
        <v>24.14</v>
      </c>
      <c r="G4056" t="n">
        <v>0</v>
      </c>
      <c r="H4056" t="n">
        <v>0</v>
      </c>
      <c r="I4056" s="3">
        <f>E4056+G4056+H4056</f>
        <v/>
      </c>
      <c r="J4056" s="3">
        <f>ROUND(MIN(IF(C4056="Técnico III",35,IF(C4056="Técnico II",28,IF(C4056="Técnico I",23,IF(C4056="JR",20,IF(C4056="Estágio",10,0))))),IF(C4056="Técnico III",SUMIFS($D:$D,$A:$A,$A4056,$B:$B,"&lt;&gt;Patrícia Karla de Sousa Araújo",$B:$B,"&lt;&gt;Lorena Dias de Araujo",$B:$B,"&lt;&gt;Lucas Luiz Romero")*(35/1083),IF(C4056="Técnico II",SUMIFS($D:$D,$A:$A,$A4056,$B:$B,"&lt;&gt;Patrícia Karla de Sousa Araújo",$B:$B,"&lt;&gt;Lorena Dias de Araujo",$B:$B,"&lt;&gt;Lucas Luiz Romero")*(28/1083),IF(C4056="Técnico I",SUMIFS($D:$D,$A:$A,$A4056,$B:$B,"&lt;&gt;Patrícia Karla de Sousa Araújo",$B:$B,"&lt;&gt;Lorena Dias de Araujo",$B:$B,"&lt;&gt;Lucas Luiz Romero")*(23/1083),IF(C4056="JR",SUMIFS($D:$D,$A:$A,$A4056,$B:$B,"&lt;&gt;Patrícia Karla de Sousa Araújo",$B:$B,"&lt;&gt;Lorena Dias de Araujo",$B:$B,"&lt;&gt;Lucas Luiz Romero")*(20/1083),IF(C4056="Estágio",SUMIFS($D:$D,$A:$A,$A4056,$B:$B,"&lt;&gt;Patrícia Karla de Sousa Araújo",$B:$B,"&lt;&gt;Lorena Dias de Araujo",$B:$B,"&lt;&gt;Lucas Luiz Romero")*(10/1083),0)))))),0)</f>
        <v/>
      </c>
      <c r="K4056" s="3">
        <f>I4056-J4056</f>
        <v/>
      </c>
      <c r="L4056" s="3">
        <f>IF(K4056&lt;-5,"CRÍTICO",IF(K4056&lt;0,"ATENÇÃO",IF(K4056&lt;=5,"OPORTUNO","MUITO BOM")))</f>
        <v/>
      </c>
      <c r="N4056" t="n">
        <v>98.15000000000001</v>
      </c>
      <c r="O4056" t="n">
        <v>27.1551724137931</v>
      </c>
    </row>
    <row r="4057" hidden="1">
      <c r="A4057" s="11" t="n">
        <v>46128</v>
      </c>
      <c r="B4057" t="inlineStr">
        <is>
          <t>Leandro Oliveira de Sousa</t>
        </is>
      </c>
      <c r="C4057" t="inlineStr">
        <is>
          <t>Técnico III</t>
        </is>
      </c>
      <c r="D4057" t="n">
        <v>23</v>
      </c>
      <c r="E4057" t="n">
        <v>19</v>
      </c>
      <c r="F4057" t="n">
        <v>17.29</v>
      </c>
      <c r="G4057" t="n">
        <v>0</v>
      </c>
      <c r="H4057" t="n">
        <v>0</v>
      </c>
      <c r="I4057" s="3">
        <f>E4057+G4057+H4057</f>
        <v/>
      </c>
      <c r="J4057" s="3">
        <f>ROUND(MIN(IF(C4057="Técnico III",35,IF(C4057="Técnico II",28,IF(C4057="Técnico I",23,IF(C4057="JR",20,IF(C4057="Estágio",10,0))))),IF(C4057="Técnico III",SUMIFS($D:$D,$A:$A,$A4057,$B:$B,"&lt;&gt;Patrícia Karla de Sousa Araújo",$B:$B,"&lt;&gt;Lorena Dias de Araujo",$B:$B,"&lt;&gt;Lucas Luiz Romero")*(35/1083),IF(C4057="Técnico II",SUMIFS($D:$D,$A:$A,$A4057,$B:$B,"&lt;&gt;Patrícia Karla de Sousa Araújo",$B:$B,"&lt;&gt;Lorena Dias de Araujo",$B:$B,"&lt;&gt;Lucas Luiz Romero")*(28/1083),IF(C4057="Técnico I",SUMIFS($D:$D,$A:$A,$A4057,$B:$B,"&lt;&gt;Patrícia Karla de Sousa Araújo",$B:$B,"&lt;&gt;Lorena Dias de Araujo",$B:$B,"&lt;&gt;Lucas Luiz Romero")*(23/1083),IF(C4057="JR",SUMIFS($D:$D,$A:$A,$A4057,$B:$B,"&lt;&gt;Patrícia Karla de Sousa Araújo",$B:$B,"&lt;&gt;Lorena Dias de Araujo",$B:$B,"&lt;&gt;Lucas Luiz Romero")*(20/1083),IF(C4057="Estágio",SUMIFS($D:$D,$A:$A,$A4057,$B:$B,"&lt;&gt;Patrícia Karla de Sousa Araújo",$B:$B,"&lt;&gt;Lorena Dias de Araujo",$B:$B,"&lt;&gt;Lucas Luiz Romero")*(10/1083),0)))))),0)</f>
        <v/>
      </c>
      <c r="K4057" s="3">
        <f>I4057-J4057</f>
        <v/>
      </c>
      <c r="L4057" s="3">
        <f>IF(K4057&lt;-5,"CRÍTICO",IF(K4057&lt;0,"ATENÇÃO",IF(K4057&lt;=5,"OPORTUNO","MUITO BOM")))</f>
        <v/>
      </c>
      <c r="N4057" t="n">
        <v>99.15000000000001</v>
      </c>
      <c r="O4057" t="n">
        <v>27.37068965517241</v>
      </c>
    </row>
    <row r="4058" hidden="1">
      <c r="A4058" s="11" t="n">
        <v>46128</v>
      </c>
      <c r="B4058" t="inlineStr">
        <is>
          <t>Lizandra Gomes Duarte</t>
        </is>
      </c>
      <c r="C4058" t="inlineStr">
        <is>
          <t>Técnico II</t>
        </is>
      </c>
      <c r="D4058" t="n">
        <v>30</v>
      </c>
      <c r="E4058" t="n">
        <v>29</v>
      </c>
      <c r="F4058" t="n">
        <v>20.16</v>
      </c>
      <c r="G4058" t="n">
        <v>0</v>
      </c>
      <c r="H4058" t="n">
        <v>0</v>
      </c>
      <c r="I4058" s="3">
        <f>E4058+G4058+H4058</f>
        <v/>
      </c>
      <c r="J4058" s="3">
        <f>ROUND(MIN(IF(C4058="Técnico III",35,IF(C4058="Técnico II",28,IF(C4058="Técnico I",23,IF(C4058="JR",20,IF(C4058="Estágio",10,0))))),IF(C4058="Técnico III",SUMIFS($D:$D,$A:$A,$A4058,$B:$B,"&lt;&gt;Patrícia Karla de Sousa Araújo",$B:$B,"&lt;&gt;Lorena Dias de Araujo",$B:$B,"&lt;&gt;Lucas Luiz Romero")*(35/1083),IF(C4058="Técnico II",SUMIFS($D:$D,$A:$A,$A4058,$B:$B,"&lt;&gt;Patrícia Karla de Sousa Araújo",$B:$B,"&lt;&gt;Lorena Dias de Araujo",$B:$B,"&lt;&gt;Lucas Luiz Romero")*(28/1083),IF(C4058="Técnico I",SUMIFS($D:$D,$A:$A,$A4058,$B:$B,"&lt;&gt;Patrícia Karla de Sousa Araújo",$B:$B,"&lt;&gt;Lorena Dias de Araujo",$B:$B,"&lt;&gt;Lucas Luiz Romero")*(23/1083),IF(C4058="JR",SUMIFS($D:$D,$A:$A,$A4058,$B:$B,"&lt;&gt;Patrícia Karla de Sousa Araújo",$B:$B,"&lt;&gt;Lorena Dias de Araujo",$B:$B,"&lt;&gt;Lucas Luiz Romero")*(20/1083),IF(C4058="Estágio",SUMIFS($D:$D,$A:$A,$A4058,$B:$B,"&lt;&gt;Patrícia Karla de Sousa Araújo",$B:$B,"&lt;&gt;Lorena Dias de Araujo",$B:$B,"&lt;&gt;Lucas Luiz Romero")*(10/1083),0)))))),0)</f>
        <v/>
      </c>
      <c r="K4058" s="3">
        <f>I4058-J4058</f>
        <v/>
      </c>
      <c r="L4058" s="3">
        <f>IF(K4058&lt;-5,"CRÍTICO",IF(K4058&lt;0,"ATENÇÃO",IF(K4058&lt;=5,"OPORTUNO","MUITO BOM")))</f>
        <v/>
      </c>
      <c r="N4058" t="n">
        <v>99.17</v>
      </c>
      <c r="O4058" t="n">
        <v>29.75206611570248</v>
      </c>
    </row>
    <row r="4059" hidden="1">
      <c r="A4059" s="11" t="n">
        <v>46128</v>
      </c>
      <c r="B4059" t="inlineStr">
        <is>
          <t>Lorena Dias de Araujo</t>
        </is>
      </c>
      <c r="C4059" t="inlineStr">
        <is>
          <t>Técnico II</t>
        </is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s="3" t="n">
        <v>0</v>
      </c>
      <c r="J4059" s="3" t="n">
        <v>0</v>
      </c>
      <c r="K4059" s="3" t="n">
        <v>0</v>
      </c>
      <c r="L4059" s="3">
        <f>IF(K4059&lt;-5,"CRÍTICO",IF(K4059&lt;0,"ATENÇÃO",IF(K4059&lt;=5,"OPORTUNO","MUITO BOM")))</f>
        <v/>
      </c>
      <c r="N4059" t="n">
        <v>98.73</v>
      </c>
      <c r="O4059" t="n">
        <v>28.96174863387978</v>
      </c>
    </row>
    <row r="4060" hidden="1">
      <c r="A4060" s="11" t="n">
        <v>46128</v>
      </c>
      <c r="B4060" t="inlineStr">
        <is>
          <t>Lucas Luiz Romero</t>
        </is>
      </c>
      <c r="C4060" t="inlineStr">
        <is>
          <t>Técnico III</t>
        </is>
      </c>
      <c r="D4060" t="n">
        <v>16</v>
      </c>
      <c r="E4060" t="n">
        <v>14</v>
      </c>
      <c r="F4060" t="n">
        <v>15.23</v>
      </c>
      <c r="G4060" t="n">
        <v>0</v>
      </c>
      <c r="H4060" t="n">
        <v>0</v>
      </c>
      <c r="I4060" s="3">
        <f>E4060+G4060+H4060</f>
        <v/>
      </c>
      <c r="J4060" s="3">
        <f>ROUND(MIN(IF(C4060="Técnico III",35,IF(C4060="Técnico II",28,IF(C4060="Técnico I",23,IF(C4060="JR",20,IF(C4060="Estágio",10,0))))),IF(C4060="Técnico III",SUMIFS($D:$D,$A:$A,$A4060,$B:$B,"&lt;&gt;Patrícia Karla de Sousa Araújo",$B:$B,"&lt;&gt;Lorena Dias de Araujo",$B:$B,"&lt;&gt;Lucas Luiz Romero")*(35/1083),IF(C4060="Técnico II",SUMIFS($D:$D,$A:$A,$A4060,$B:$B,"&lt;&gt;Patrícia Karla de Sousa Araújo",$B:$B,"&lt;&gt;Lorena Dias de Araujo",$B:$B,"&lt;&gt;Lucas Luiz Romero")*(28/1083),IF(C4060="Técnico I",SUMIFS($D:$D,$A:$A,$A4060,$B:$B,"&lt;&gt;Patrícia Karla de Sousa Araújo",$B:$B,"&lt;&gt;Lorena Dias de Araujo",$B:$B,"&lt;&gt;Lucas Luiz Romero")*(23/1083),IF(C4060="JR",SUMIFS($D:$D,$A:$A,$A4060,$B:$B,"&lt;&gt;Patrícia Karla de Sousa Araújo",$B:$B,"&lt;&gt;Lorena Dias de Araujo",$B:$B,"&lt;&gt;Lucas Luiz Romero")*(20/1083),IF(C4060="Estágio",SUMIFS($D:$D,$A:$A,$A4060,$B:$B,"&lt;&gt;Patrícia Karla de Sousa Araújo",$B:$B,"&lt;&gt;Lorena Dias de Araujo",$B:$B,"&lt;&gt;Lucas Luiz Romero")*(10/1083),0)))))),0)</f>
        <v/>
      </c>
      <c r="K4060" s="3">
        <f>I4060-J4060</f>
        <v/>
      </c>
      <c r="L4060" s="3">
        <f>IF(K4060&lt;-5,"CRÍTICO",IF(K4060&lt;0,"ATENÇÃO",IF(K4060&lt;=5,"OPORTUNO","MUITO BOM")))</f>
        <v/>
      </c>
      <c r="N4060" t="n">
        <v>88.68000000000001</v>
      </c>
      <c r="O4060" t="n">
        <v>22.03389830508474</v>
      </c>
    </row>
    <row r="4061" hidden="1">
      <c r="A4061" s="11" t="n">
        <v>46128</v>
      </c>
      <c r="B4061" t="inlineStr">
        <is>
          <t>Luiz Fernando de Carvalho Junior</t>
        </is>
      </c>
      <c r="C4061" t="inlineStr">
        <is>
          <t>Técnico I</t>
        </is>
      </c>
      <c r="D4061" t="n">
        <v>19</v>
      </c>
      <c r="E4061" t="n">
        <v>18</v>
      </c>
      <c r="F4061" t="n">
        <v>25.17</v>
      </c>
      <c r="G4061" t="n">
        <v>0</v>
      </c>
      <c r="H4061" t="n">
        <v>0</v>
      </c>
      <c r="I4061" s="3">
        <f>E4061+G4061+H4061</f>
        <v/>
      </c>
      <c r="J4061" s="3">
        <f>ROUND(MIN(IF(C4061="Técnico III",35,IF(C4061="Técnico II",28,IF(C4061="Técnico I",23,IF(C4061="JR",20,IF(C4061="Estágio",10,0))))),IF(C4061="Técnico III",SUMIFS($D:$D,$A:$A,$A4061,$B:$B,"&lt;&gt;Patrícia Karla de Sousa Araújo",$B:$B,"&lt;&gt;Lorena Dias de Araujo",$B:$B,"&lt;&gt;Lucas Luiz Romero")*(35/1083),IF(C4061="Técnico II",SUMIFS($D:$D,$A:$A,$A4061,$B:$B,"&lt;&gt;Patrícia Karla de Sousa Araújo",$B:$B,"&lt;&gt;Lorena Dias de Araujo",$B:$B,"&lt;&gt;Lucas Luiz Romero")*(28/1083),IF(C4061="Técnico I",SUMIFS($D:$D,$A:$A,$A4061,$B:$B,"&lt;&gt;Patrícia Karla de Sousa Araújo",$B:$B,"&lt;&gt;Lorena Dias de Araujo",$B:$B,"&lt;&gt;Lucas Luiz Romero")*(23/1083),IF(C4061="JR",SUMIFS($D:$D,$A:$A,$A4061,$B:$B,"&lt;&gt;Patrícia Karla de Sousa Araújo",$B:$B,"&lt;&gt;Lorena Dias de Araujo",$B:$B,"&lt;&gt;Lucas Luiz Romero")*(20/1083),IF(C4061="Estágio",SUMIFS($D:$D,$A:$A,$A4061,$B:$B,"&lt;&gt;Patrícia Karla de Sousa Araújo",$B:$B,"&lt;&gt;Lorena Dias de Araujo",$B:$B,"&lt;&gt;Lucas Luiz Romero")*(10/1083),0)))))),0)</f>
        <v/>
      </c>
      <c r="K4061" s="3">
        <f>I4061-J4061</f>
        <v/>
      </c>
      <c r="L4061" s="3">
        <f>IF(K4061&lt;-5,"CRÍTICO",IF(K4061&lt;0,"ATENÇÃO",IF(K4061&lt;=5,"OPORTUNO","MUITO BOM")))</f>
        <v/>
      </c>
      <c r="N4061" t="n">
        <v>97.37</v>
      </c>
      <c r="O4061" t="n">
        <v>25.76530612244898</v>
      </c>
    </row>
    <row r="4062" hidden="1">
      <c r="A4062" s="11" t="n">
        <v>46128</v>
      </c>
      <c r="B4062" t="inlineStr">
        <is>
          <t>Maria Eduarda Sousa Costa</t>
        </is>
      </c>
      <c r="C4062" t="inlineStr">
        <is>
          <t>Estágio</t>
        </is>
      </c>
      <c r="D4062" t="n">
        <v>75</v>
      </c>
      <c r="E4062" t="n">
        <v>29</v>
      </c>
      <c r="F4062" t="n">
        <v>7.09</v>
      </c>
      <c r="G4062" t="n">
        <v>0</v>
      </c>
      <c r="H4062" t="n">
        <v>0</v>
      </c>
      <c r="I4062" s="3">
        <f>E4062+G4062+H4062</f>
        <v/>
      </c>
      <c r="J4062" s="3">
        <f>ROUND(MIN(IF(C4062="Técnico III",35,IF(C4062="Técnico II",28,IF(C4062="Técnico I",23,IF(C4062="JR",20,IF(C4062="Estágio",10,0))))),IF(C4062="Técnico III",SUMIFS($D:$D,$A:$A,$A4062,$B:$B,"&lt;&gt;Patrícia Karla de Sousa Araújo",$B:$B,"&lt;&gt;Lorena Dias de Araujo",$B:$B,"&lt;&gt;Lucas Luiz Romero")*(35/1083),IF(C4062="Técnico II",SUMIFS($D:$D,$A:$A,$A4062,$B:$B,"&lt;&gt;Patrícia Karla de Sousa Araújo",$B:$B,"&lt;&gt;Lorena Dias de Araujo",$B:$B,"&lt;&gt;Lucas Luiz Romero")*(28/1083),IF(C4062="Técnico I",SUMIFS($D:$D,$A:$A,$A4062,$B:$B,"&lt;&gt;Patrícia Karla de Sousa Araújo",$B:$B,"&lt;&gt;Lorena Dias de Araujo",$B:$B,"&lt;&gt;Lucas Luiz Romero")*(23/1083),IF(C4062="JR",SUMIFS($D:$D,$A:$A,$A4062,$B:$B,"&lt;&gt;Patrícia Karla de Sousa Araújo",$B:$B,"&lt;&gt;Lorena Dias de Araujo",$B:$B,"&lt;&gt;Lucas Luiz Romero")*(20/1083),IF(C4062="Estágio",SUMIFS($D:$D,$A:$A,$A4062,$B:$B,"&lt;&gt;Patrícia Karla de Sousa Araújo",$B:$B,"&lt;&gt;Lorena Dias de Araujo",$B:$B,"&lt;&gt;Lucas Luiz Romero")*(10/1083),0)))))),0)</f>
        <v/>
      </c>
      <c r="K4062" s="3">
        <f>I4062-J4062</f>
        <v/>
      </c>
      <c r="L4062" s="3">
        <f>IF(K4062&lt;-5,"CRÍTICO",IF(K4062&lt;0,"ATENÇÃO",IF(K4062&lt;=5,"OPORTUNO","MUITO BOM")))</f>
        <v/>
      </c>
      <c r="N4062" t="n">
        <v>100</v>
      </c>
      <c r="O4062" t="n">
        <v>25</v>
      </c>
    </row>
    <row r="4063" hidden="1">
      <c r="A4063" s="11" t="n">
        <v>46128</v>
      </c>
      <c r="B4063" t="inlineStr">
        <is>
          <t>Matheus Farias De Souza</t>
        </is>
      </c>
      <c r="C4063" t="inlineStr">
        <is>
          <t>Técnico III</t>
        </is>
      </c>
      <c r="D4063" t="n">
        <v>27</v>
      </c>
      <c r="E4063" t="n">
        <v>24</v>
      </c>
      <c r="F4063" t="n">
        <v>17.28</v>
      </c>
      <c r="G4063" t="n">
        <v>0</v>
      </c>
      <c r="H4063" t="n">
        <v>0</v>
      </c>
      <c r="I4063" s="3">
        <f>E4063+G4063+H4063</f>
        <v/>
      </c>
      <c r="J4063" s="3">
        <f>ROUND(MIN(IF(C4063="Técnico III",35,IF(C4063="Técnico II",28,IF(C4063="Técnico I",23,IF(C4063="JR",20,IF(C4063="Estágio",10,0))))),IF(C4063="Técnico III",SUMIFS($D:$D,$A:$A,$A4063,$B:$B,"&lt;&gt;Patrícia Karla de Sousa Araújo",$B:$B,"&lt;&gt;Lorena Dias de Araujo",$B:$B,"&lt;&gt;Lucas Luiz Romero")*(35/1083),IF(C4063="Técnico II",SUMIFS($D:$D,$A:$A,$A4063,$B:$B,"&lt;&gt;Patrícia Karla de Sousa Araújo",$B:$B,"&lt;&gt;Lorena Dias de Araujo",$B:$B,"&lt;&gt;Lucas Luiz Romero")*(28/1083),IF(C4063="Técnico I",SUMIFS($D:$D,$A:$A,$A4063,$B:$B,"&lt;&gt;Patrícia Karla de Sousa Araújo",$B:$B,"&lt;&gt;Lorena Dias de Araujo",$B:$B,"&lt;&gt;Lucas Luiz Romero")*(23/1083),IF(C4063="JR",SUMIFS($D:$D,$A:$A,$A4063,$B:$B,"&lt;&gt;Patrícia Karla de Sousa Araújo",$B:$B,"&lt;&gt;Lorena Dias de Araujo",$B:$B,"&lt;&gt;Lucas Luiz Romero")*(20/1083),IF(C4063="Estágio",SUMIFS($D:$D,$A:$A,$A4063,$B:$B,"&lt;&gt;Patrícia Karla de Sousa Araújo",$B:$B,"&lt;&gt;Lorena Dias de Araujo",$B:$B,"&lt;&gt;Lucas Luiz Romero")*(10/1083),0)))))),0)</f>
        <v/>
      </c>
      <c r="K4063" s="3">
        <f>I4063-J4063</f>
        <v/>
      </c>
      <c r="L4063" s="3">
        <f>IF(K4063&lt;-5,"CRÍTICO",IF(K4063&lt;0,"ATENÇÃO",IF(K4063&lt;=5,"OPORTUNO","MUITO BOM")))</f>
        <v/>
      </c>
      <c r="N4063" t="n">
        <v>100</v>
      </c>
      <c r="O4063" t="n">
        <v>23.9870340356564</v>
      </c>
    </row>
    <row r="4064" hidden="1">
      <c r="A4064" s="11" t="n">
        <v>46128</v>
      </c>
      <c r="B4064" t="inlineStr">
        <is>
          <t>Maysa Victoria Dias Moura</t>
        </is>
      </c>
      <c r="C4064" t="inlineStr">
        <is>
          <t>Técnico III</t>
        </is>
      </c>
      <c r="D4064" t="n">
        <v>36</v>
      </c>
      <c r="E4064" t="n">
        <v>34</v>
      </c>
      <c r="F4064" t="n">
        <v>15.11</v>
      </c>
      <c r="G4064" t="n">
        <v>0</v>
      </c>
      <c r="H4064" t="n">
        <v>0</v>
      </c>
      <c r="I4064" s="3">
        <f>E4064+G4064+H4064</f>
        <v/>
      </c>
      <c r="J4064" s="3">
        <f>ROUND(MIN(IF(C4064="Técnico III",35,IF(C4064="Técnico II",28,IF(C4064="Técnico I",23,IF(C4064="JR",20,IF(C4064="Estágio",10,0))))),IF(C4064="Técnico III",SUMIFS($D:$D,$A:$A,$A4064,$B:$B,"&lt;&gt;Patrícia Karla de Sousa Araújo",$B:$B,"&lt;&gt;Lorena Dias de Araujo",$B:$B,"&lt;&gt;Lucas Luiz Romero")*(35/1083),IF(C4064="Técnico II",SUMIFS($D:$D,$A:$A,$A4064,$B:$B,"&lt;&gt;Patrícia Karla de Sousa Araújo",$B:$B,"&lt;&gt;Lorena Dias de Araujo",$B:$B,"&lt;&gt;Lucas Luiz Romero")*(28/1083),IF(C4064="Técnico I",SUMIFS($D:$D,$A:$A,$A4064,$B:$B,"&lt;&gt;Patrícia Karla de Sousa Araújo",$B:$B,"&lt;&gt;Lorena Dias de Araujo",$B:$B,"&lt;&gt;Lucas Luiz Romero")*(23/1083),IF(C4064="JR",SUMIFS($D:$D,$A:$A,$A4064,$B:$B,"&lt;&gt;Patrícia Karla de Sousa Araújo",$B:$B,"&lt;&gt;Lorena Dias de Araujo",$B:$B,"&lt;&gt;Lucas Luiz Romero")*(20/1083),IF(C4064="Estágio",SUMIFS($D:$D,$A:$A,$A4064,$B:$B,"&lt;&gt;Patrícia Karla de Sousa Araújo",$B:$B,"&lt;&gt;Lorena Dias de Araujo",$B:$B,"&lt;&gt;Lucas Luiz Romero")*(10/1083),0)))))),0)</f>
        <v/>
      </c>
      <c r="K4064" s="3">
        <f>I4064-J4064</f>
        <v/>
      </c>
      <c r="L4064" s="3">
        <f>IF(K4064&lt;-5,"CRÍTICO",IF(K4064&lt;0,"ATENÇÃO",IF(K4064&lt;=5,"OPORTUNO","MUITO BOM")))</f>
        <v/>
      </c>
      <c r="N4064" t="n">
        <v>95.48999999999999</v>
      </c>
      <c r="O4064" t="n">
        <v>28.16901408450704</v>
      </c>
    </row>
    <row r="4065" hidden="1">
      <c r="A4065" s="11" t="n">
        <v>46128</v>
      </c>
      <c r="B4065" t="inlineStr">
        <is>
          <t>Michelle G Santos</t>
        </is>
      </c>
      <c r="C4065" t="inlineStr">
        <is>
          <t>Estágio</t>
        </is>
      </c>
      <c r="D4065" t="n">
        <v>18</v>
      </c>
      <c r="E4065" t="n">
        <v>16</v>
      </c>
      <c r="F4065" t="n">
        <v>25.32</v>
      </c>
      <c r="G4065" t="n">
        <v>0</v>
      </c>
      <c r="H4065" t="n">
        <v>0</v>
      </c>
      <c r="I4065" s="3">
        <f>E4065+G4065+H4065</f>
        <v/>
      </c>
      <c r="J4065" s="3">
        <f>ROUND(MIN(IF(C4065="Técnico III",35,IF(C4065="Técnico II",28,IF(C4065="Técnico I",23,IF(C4065="JR",20,IF(C4065="Estágio",10,0))))),IF(C4065="Técnico III",SUMIFS($D:$D,$A:$A,$A4065,$B:$B,"&lt;&gt;Patrícia Karla de Sousa Araújo",$B:$B,"&lt;&gt;Lorena Dias de Araujo",$B:$B,"&lt;&gt;Lucas Luiz Romero")*(35/1083),IF(C4065="Técnico II",SUMIFS($D:$D,$A:$A,$A4065,$B:$B,"&lt;&gt;Patrícia Karla de Sousa Araújo",$B:$B,"&lt;&gt;Lorena Dias de Araujo",$B:$B,"&lt;&gt;Lucas Luiz Romero")*(28/1083),IF(C4065="Técnico I",SUMIFS($D:$D,$A:$A,$A4065,$B:$B,"&lt;&gt;Patrícia Karla de Sousa Araújo",$B:$B,"&lt;&gt;Lorena Dias de Araujo",$B:$B,"&lt;&gt;Lucas Luiz Romero")*(23/1083),IF(C4065="JR",SUMIFS($D:$D,$A:$A,$A4065,$B:$B,"&lt;&gt;Patrícia Karla de Sousa Araújo",$B:$B,"&lt;&gt;Lorena Dias de Araujo",$B:$B,"&lt;&gt;Lucas Luiz Romero")*(20/1083),IF(C4065="Estágio",SUMIFS($D:$D,$A:$A,$A4065,$B:$B,"&lt;&gt;Patrícia Karla de Sousa Araújo",$B:$B,"&lt;&gt;Lorena Dias de Araujo",$B:$B,"&lt;&gt;Lucas Luiz Romero")*(10/1083),0)))))),0)</f>
        <v/>
      </c>
      <c r="K4065" s="3">
        <f>I4065-J4065</f>
        <v/>
      </c>
      <c r="L4065" s="3">
        <f>IF(K4065&lt;-5,"CRÍTICO",IF(K4065&lt;0,"ATENÇÃO",IF(K4065&lt;=5,"OPORTUNO","MUITO BOM")))</f>
        <v/>
      </c>
      <c r="N4065" t="n">
        <v>100</v>
      </c>
      <c r="O4065" t="n">
        <v>23.77622377622378</v>
      </c>
    </row>
    <row r="4066" hidden="1">
      <c r="A4066" s="11" t="n">
        <v>46128</v>
      </c>
      <c r="B4066" t="inlineStr">
        <is>
          <t>Milena Sales</t>
        </is>
      </c>
      <c r="C4066" t="inlineStr">
        <is>
          <t>JR</t>
        </is>
      </c>
      <c r="D4066" t="n">
        <v>30</v>
      </c>
      <c r="E4066" t="n">
        <v>25</v>
      </c>
      <c r="F4066" t="n">
        <v>17</v>
      </c>
      <c r="G4066" t="n">
        <v>0</v>
      </c>
      <c r="H4066" t="n">
        <v>0</v>
      </c>
      <c r="I4066" s="3">
        <f>E4066+G4066+H4066</f>
        <v/>
      </c>
      <c r="J4066" s="3">
        <f>ROUND(MIN(IF(C4066="Técnico III",35,IF(C4066="Técnico II",28,IF(C4066="Técnico I",23,IF(C4066="JR",20,IF(C4066="Estágio",10,0))))),IF(C4066="Técnico III",SUMIFS($D:$D,$A:$A,$A4066,$B:$B,"&lt;&gt;Patrícia Karla de Sousa Araújo",$B:$B,"&lt;&gt;Lorena Dias de Araujo",$B:$B,"&lt;&gt;Lucas Luiz Romero")*(35/1083),IF(C4066="Técnico II",SUMIFS($D:$D,$A:$A,$A4066,$B:$B,"&lt;&gt;Patrícia Karla de Sousa Araújo",$B:$B,"&lt;&gt;Lorena Dias de Araujo",$B:$B,"&lt;&gt;Lucas Luiz Romero")*(28/1083),IF(C4066="Técnico I",SUMIFS($D:$D,$A:$A,$A4066,$B:$B,"&lt;&gt;Patrícia Karla de Sousa Araújo",$B:$B,"&lt;&gt;Lorena Dias de Araujo",$B:$B,"&lt;&gt;Lucas Luiz Romero")*(23/1083),IF(C4066="JR",SUMIFS($D:$D,$A:$A,$A4066,$B:$B,"&lt;&gt;Patrícia Karla de Sousa Araújo",$B:$B,"&lt;&gt;Lorena Dias de Araujo",$B:$B,"&lt;&gt;Lucas Luiz Romero")*(20/1083),IF(C4066="Estágio",SUMIFS($D:$D,$A:$A,$A4066,$B:$B,"&lt;&gt;Patrícia Karla de Sousa Araújo",$B:$B,"&lt;&gt;Lorena Dias de Araujo",$B:$B,"&lt;&gt;Lucas Luiz Romero")*(10/1083),0)))))),0)</f>
        <v/>
      </c>
      <c r="K4066" s="3">
        <f>I4066-J4066</f>
        <v/>
      </c>
      <c r="L4066" s="3">
        <f>IF(K4066&lt;-5,"CRÍTICO",IF(K4066&lt;0,"ATENÇÃO",IF(K4066&lt;=5,"OPORTUNO","MUITO BOM")))</f>
        <v/>
      </c>
      <c r="N4066" t="n">
        <v>96.15000000000001</v>
      </c>
      <c r="O4066" t="n">
        <v>24.04580152671756</v>
      </c>
    </row>
    <row r="4067" hidden="1">
      <c r="A4067" s="11" t="n">
        <v>46128</v>
      </c>
      <c r="B4067" t="inlineStr">
        <is>
          <t>Patrícia Karla de Sousa Araújo</t>
        </is>
      </c>
      <c r="C4067" t="inlineStr">
        <is>
          <t>Técnico II</t>
        </is>
      </c>
      <c r="D4067" t="n">
        <v>21</v>
      </c>
      <c r="E4067" t="n">
        <v>19</v>
      </c>
      <c r="F4067" t="n">
        <v>25.38</v>
      </c>
      <c r="G4067" t="n">
        <v>0</v>
      </c>
      <c r="H4067" t="n">
        <v>0</v>
      </c>
      <c r="I4067" s="3">
        <f>E4067+G4067+H4067</f>
        <v/>
      </c>
      <c r="J4067" s="3">
        <f>ROUND(MIN(IF(C4067="Técnico III",35,IF(C4067="Técnico II",28,IF(C4067="Técnico I",23,IF(C4067="JR",20,IF(C4067="Estágio",10,0))))),IF(C4067="Técnico III",SUMIFS($D:$D,$A:$A,$A4067,$B:$B,"&lt;&gt;Patrícia Karla de Sousa Araújo",$B:$B,"&lt;&gt;Lorena Dias de Araujo",$B:$B,"&lt;&gt;Lucas Luiz Romero")*(35/1083),IF(C4067="Técnico II",SUMIFS($D:$D,$A:$A,$A4067,$B:$B,"&lt;&gt;Patrícia Karla de Sousa Araújo",$B:$B,"&lt;&gt;Lorena Dias de Araujo",$B:$B,"&lt;&gt;Lucas Luiz Romero")*(28/1083),IF(C4067="Técnico I",SUMIFS($D:$D,$A:$A,$A4067,$B:$B,"&lt;&gt;Patrícia Karla de Sousa Araújo",$B:$B,"&lt;&gt;Lorena Dias de Araujo",$B:$B,"&lt;&gt;Lucas Luiz Romero")*(23/1083),IF(C4067="JR",SUMIFS($D:$D,$A:$A,$A4067,$B:$B,"&lt;&gt;Patrícia Karla de Sousa Araújo",$B:$B,"&lt;&gt;Lorena Dias de Araujo",$B:$B,"&lt;&gt;Lucas Luiz Romero")*(20/1083),IF(C4067="Estágio",SUMIFS($D:$D,$A:$A,$A4067,$B:$B,"&lt;&gt;Patrícia Karla de Sousa Araújo",$B:$B,"&lt;&gt;Lorena Dias de Araujo",$B:$B,"&lt;&gt;Lucas Luiz Romero")*(10/1083),0)))))),0)</f>
        <v/>
      </c>
      <c r="K4067" s="3">
        <f>I4067-J4067</f>
        <v/>
      </c>
      <c r="L4067" s="3">
        <f>IF(K4067&lt;-5,"CRÍTICO",IF(K4067&lt;0,"ATENÇÃO",IF(K4067&lt;=5,"OPORTUNO","MUITO BOM")))</f>
        <v/>
      </c>
      <c r="N4067" t="n">
        <v>99.02</v>
      </c>
      <c r="O4067" t="n">
        <v>34.7972972972973</v>
      </c>
    </row>
    <row r="4068" hidden="1">
      <c r="A4068" s="11" t="n">
        <v>46128</v>
      </c>
      <c r="B4068" t="inlineStr">
        <is>
          <t>Paulo Ricardo Santos</t>
        </is>
      </c>
      <c r="C4068" t="inlineStr">
        <is>
          <t>JR</t>
        </is>
      </c>
      <c r="D4068" t="n">
        <v>11</v>
      </c>
      <c r="E4068" t="n">
        <v>11</v>
      </c>
      <c r="F4068" t="n">
        <v>18.41</v>
      </c>
      <c r="G4068" t="n">
        <v>0</v>
      </c>
      <c r="H4068" t="n">
        <v>0</v>
      </c>
      <c r="I4068" s="3">
        <f>E4068+G4068+H4068</f>
        <v/>
      </c>
      <c r="J4068" s="3">
        <f>ROUND(MIN(IF(C4068="Técnico III",35,IF(C4068="Técnico II",28,IF(C4068="Técnico I",23,IF(C4068="JR",20,IF(C4068="Estágio",10,0))))),IF(C4068="Técnico III",SUMIFS($D:$D,$A:$A,$A4068,$B:$B,"&lt;&gt;Patrícia Karla de Sousa Araújo",$B:$B,"&lt;&gt;Lorena Dias de Araujo",$B:$B,"&lt;&gt;Lucas Luiz Romero")*(35/1083),IF(C4068="Técnico II",SUMIFS($D:$D,$A:$A,$A4068,$B:$B,"&lt;&gt;Patrícia Karla de Sousa Araújo",$B:$B,"&lt;&gt;Lorena Dias de Araujo",$B:$B,"&lt;&gt;Lucas Luiz Romero")*(28/1083),IF(C4068="Técnico I",SUMIFS($D:$D,$A:$A,$A4068,$B:$B,"&lt;&gt;Patrícia Karla de Sousa Araújo",$B:$B,"&lt;&gt;Lorena Dias de Araujo",$B:$B,"&lt;&gt;Lucas Luiz Romero")*(23/1083),IF(C4068="JR",SUMIFS($D:$D,$A:$A,$A4068,$B:$B,"&lt;&gt;Patrícia Karla de Sousa Araújo",$B:$B,"&lt;&gt;Lorena Dias de Araujo",$B:$B,"&lt;&gt;Lucas Luiz Romero")*(20/1083),IF(C4068="Estágio",SUMIFS($D:$D,$A:$A,$A4068,$B:$B,"&lt;&gt;Patrícia Karla de Sousa Araújo",$B:$B,"&lt;&gt;Lorena Dias de Araujo",$B:$B,"&lt;&gt;Lucas Luiz Romero")*(10/1083),0)))))),0)</f>
        <v/>
      </c>
      <c r="K4068" s="3">
        <f>I4068-J4068</f>
        <v/>
      </c>
      <c r="L4068" s="3">
        <f>IF(K4068&lt;-5,"CRÍTICO",IF(K4068&lt;0,"ATENÇÃO",IF(K4068&lt;=5,"OPORTUNO","MUITO BOM")))</f>
        <v/>
      </c>
      <c r="N4068" t="n">
        <v>98.84</v>
      </c>
      <c r="O4068" t="n">
        <v>31.5018315018315</v>
      </c>
    </row>
    <row r="4069" hidden="1">
      <c r="A4069" s="11" t="n">
        <v>46128</v>
      </c>
      <c r="B4069" t="inlineStr">
        <is>
          <t>Pedro Luiz Mota Sousa</t>
        </is>
      </c>
      <c r="C4069" t="inlineStr">
        <is>
          <t>JR</t>
        </is>
      </c>
      <c r="D4069" t="n">
        <v>16</v>
      </c>
      <c r="E4069" t="n">
        <v>14</v>
      </c>
      <c r="F4069" t="n">
        <v>15.51</v>
      </c>
      <c r="G4069" t="n">
        <v>0</v>
      </c>
      <c r="H4069" t="n">
        <v>0</v>
      </c>
      <c r="I4069" s="3">
        <f>E4069+G4069+H4069</f>
        <v/>
      </c>
      <c r="J4069" s="3">
        <f>ROUND(MIN(IF(C4069="Técnico III",35,IF(C4069="Técnico II",28,IF(C4069="Técnico I",23,IF(C4069="JR",20,IF(C4069="Estágio",10,0))))),IF(C4069="Técnico III",SUMIFS($D:$D,$A:$A,$A4069,$B:$B,"&lt;&gt;Patrícia Karla de Sousa Araújo",$B:$B,"&lt;&gt;Lorena Dias de Araujo",$B:$B,"&lt;&gt;Lucas Luiz Romero")*(35/1083),IF(C4069="Técnico II",SUMIFS($D:$D,$A:$A,$A4069,$B:$B,"&lt;&gt;Patrícia Karla de Sousa Araújo",$B:$B,"&lt;&gt;Lorena Dias de Araujo",$B:$B,"&lt;&gt;Lucas Luiz Romero")*(28/1083),IF(C4069="Técnico I",SUMIFS($D:$D,$A:$A,$A4069,$B:$B,"&lt;&gt;Patrícia Karla de Sousa Araújo",$B:$B,"&lt;&gt;Lorena Dias de Araujo",$B:$B,"&lt;&gt;Lucas Luiz Romero")*(23/1083),IF(C4069="JR",SUMIFS($D:$D,$A:$A,$A4069,$B:$B,"&lt;&gt;Patrícia Karla de Sousa Araújo",$B:$B,"&lt;&gt;Lorena Dias de Araujo",$B:$B,"&lt;&gt;Lucas Luiz Romero")*(20/1083),IF(C4069="Estágio",SUMIFS($D:$D,$A:$A,$A4069,$B:$B,"&lt;&gt;Patrícia Karla de Sousa Araújo",$B:$B,"&lt;&gt;Lorena Dias de Araujo",$B:$B,"&lt;&gt;Lucas Luiz Romero")*(10/1083),0)))))),0)</f>
        <v/>
      </c>
      <c r="K4069" s="3">
        <f>I4069-J4069</f>
        <v/>
      </c>
      <c r="L4069" s="3">
        <f>IF(K4069&lt;-5,"CRÍTICO",IF(K4069&lt;0,"ATENÇÃO",IF(K4069&lt;=5,"OPORTUNO","MUITO BOM")))</f>
        <v/>
      </c>
      <c r="N4069" t="n">
        <v>100</v>
      </c>
      <c r="O4069" t="n">
        <v>34.66666666666667</v>
      </c>
    </row>
    <row r="4070" hidden="1">
      <c r="A4070" s="11" t="n">
        <v>46128</v>
      </c>
      <c r="B4070" t="inlineStr">
        <is>
          <t>Quirino Diogo Leite Torres</t>
        </is>
      </c>
      <c r="C4070" t="inlineStr">
        <is>
          <t>Estágio</t>
        </is>
      </c>
      <c r="D4070" t="n">
        <v>15</v>
      </c>
      <c r="E4070" t="n">
        <v>13</v>
      </c>
      <c r="F4070" t="n">
        <v>33.28</v>
      </c>
      <c r="G4070" t="n">
        <v>0</v>
      </c>
      <c r="H4070" t="n">
        <v>0</v>
      </c>
      <c r="I4070" s="3">
        <f>E4070+G4070+H4070</f>
        <v/>
      </c>
      <c r="J4070" s="3">
        <f>ROUND(MIN(IF(C4070="Técnico III",35,IF(C4070="Técnico II",28,IF(C4070="Técnico I",23,IF(C4070="JR",20,IF(C4070="Estágio",10,0))))),IF(C4070="Técnico III",SUMIFS($D:$D,$A:$A,$A4070,$B:$B,"&lt;&gt;Patrícia Karla de Sousa Araújo",$B:$B,"&lt;&gt;Lorena Dias de Araujo",$B:$B,"&lt;&gt;Lucas Luiz Romero")*(35/1083),IF(C4070="Técnico II",SUMIFS($D:$D,$A:$A,$A4070,$B:$B,"&lt;&gt;Patrícia Karla de Sousa Araújo",$B:$B,"&lt;&gt;Lorena Dias de Araujo",$B:$B,"&lt;&gt;Lucas Luiz Romero")*(28/1083),IF(C4070="Técnico I",SUMIFS($D:$D,$A:$A,$A4070,$B:$B,"&lt;&gt;Patrícia Karla de Sousa Araújo",$B:$B,"&lt;&gt;Lorena Dias de Araujo",$B:$B,"&lt;&gt;Lucas Luiz Romero")*(23/1083),IF(C4070="JR",SUMIFS($D:$D,$A:$A,$A4070,$B:$B,"&lt;&gt;Patrícia Karla de Sousa Araújo",$B:$B,"&lt;&gt;Lorena Dias de Araujo",$B:$B,"&lt;&gt;Lucas Luiz Romero")*(20/1083),IF(C4070="Estágio",SUMIFS($D:$D,$A:$A,$A4070,$B:$B,"&lt;&gt;Patrícia Karla de Sousa Araújo",$B:$B,"&lt;&gt;Lorena Dias de Araujo",$B:$B,"&lt;&gt;Lucas Luiz Romero")*(10/1083),0)))))),0)</f>
        <v/>
      </c>
      <c r="K4070" s="3">
        <f>I4070-J4070</f>
        <v/>
      </c>
      <c r="L4070" s="3">
        <f>IF(K4070&lt;-5,"CRÍTICO",IF(K4070&lt;0,"ATENÇÃO",IF(K4070&lt;=5,"OPORTUNO","MUITO BOM")))</f>
        <v/>
      </c>
      <c r="N4070" t="n">
        <v>94.12</v>
      </c>
      <c r="O4070" t="n">
        <v>32.8</v>
      </c>
    </row>
    <row r="4071" hidden="1">
      <c r="A4071" s="11" t="n">
        <v>46128</v>
      </c>
      <c r="B4071" t="inlineStr">
        <is>
          <t>Raane Batista Matos</t>
        </is>
      </c>
      <c r="C4071" t="inlineStr">
        <is>
          <t>Técnico I</t>
        </is>
      </c>
      <c r="D4071" t="n">
        <v>38</v>
      </c>
      <c r="E4071" t="n">
        <v>36</v>
      </c>
      <c r="F4071" t="n">
        <v>11.53</v>
      </c>
      <c r="G4071" t="n">
        <v>0</v>
      </c>
      <c r="H4071" t="n">
        <v>0</v>
      </c>
      <c r="I4071" s="3">
        <f>E4071+G4071+H4071</f>
        <v/>
      </c>
      <c r="J4071" s="3">
        <f>ROUND(MIN(IF(C4071="Técnico III",35,IF(C4071="Técnico II",28,IF(C4071="Técnico I",23,IF(C4071="JR",20,IF(C4071="Estágio",10,0))))),IF(C4071="Técnico III",SUMIFS($D:$D,$A:$A,$A4071,$B:$B,"&lt;&gt;Patrícia Karla de Sousa Araújo",$B:$B,"&lt;&gt;Lorena Dias de Araujo",$B:$B,"&lt;&gt;Lucas Luiz Romero")*(35/1083),IF(C4071="Técnico II",SUMIFS($D:$D,$A:$A,$A4071,$B:$B,"&lt;&gt;Patrícia Karla de Sousa Araújo",$B:$B,"&lt;&gt;Lorena Dias de Araujo",$B:$B,"&lt;&gt;Lucas Luiz Romero")*(28/1083),IF(C4071="Técnico I",SUMIFS($D:$D,$A:$A,$A4071,$B:$B,"&lt;&gt;Patrícia Karla de Sousa Araújo",$B:$B,"&lt;&gt;Lorena Dias de Araujo",$B:$B,"&lt;&gt;Lucas Luiz Romero")*(23/1083),IF(C4071="JR",SUMIFS($D:$D,$A:$A,$A4071,$B:$B,"&lt;&gt;Patrícia Karla de Sousa Araújo",$B:$B,"&lt;&gt;Lorena Dias de Araujo",$B:$B,"&lt;&gt;Lucas Luiz Romero")*(20/1083),IF(C4071="Estágio",SUMIFS($D:$D,$A:$A,$A4071,$B:$B,"&lt;&gt;Patrícia Karla de Sousa Araújo",$B:$B,"&lt;&gt;Lorena Dias de Araujo",$B:$B,"&lt;&gt;Lucas Luiz Romero")*(10/1083),0)))))),0)</f>
        <v/>
      </c>
      <c r="K4071" s="3">
        <f>I4071-J4071</f>
        <v/>
      </c>
      <c r="L4071" s="3">
        <f>IF(K4071&lt;-5,"CRÍTICO",IF(K4071&lt;0,"ATENÇÃO",IF(K4071&lt;=5,"OPORTUNO","MUITO BOM")))</f>
        <v/>
      </c>
      <c r="N4071" t="n">
        <v>98.31999999999999</v>
      </c>
      <c r="O4071" t="n">
        <v>26.61870503597122</v>
      </c>
    </row>
    <row r="4072" hidden="1">
      <c r="A4072" s="11" t="n">
        <v>46128</v>
      </c>
      <c r="B4072" t="inlineStr">
        <is>
          <t>Rafael Gomes de Morais</t>
        </is>
      </c>
      <c r="C4072" t="inlineStr">
        <is>
          <t>Técnico III</t>
        </is>
      </c>
      <c r="D4072" t="n">
        <v>38</v>
      </c>
      <c r="E4072" t="n">
        <v>34</v>
      </c>
      <c r="F4072" t="n">
        <v>13.27</v>
      </c>
      <c r="G4072" t="n">
        <v>0</v>
      </c>
      <c r="H4072" t="n">
        <v>0</v>
      </c>
      <c r="I4072" s="3">
        <f>E4072+G4072+H4072</f>
        <v/>
      </c>
      <c r="J4072" s="3">
        <f>ROUND(MIN(IF(C4072="Técnico III",35,IF(C4072="Técnico II",28,IF(C4072="Técnico I",23,IF(C4072="JR",20,IF(C4072="Estágio",10,0))))),IF(C4072="Técnico III",SUMIFS($D:$D,$A:$A,$A4072,$B:$B,"&lt;&gt;Patrícia Karla de Sousa Araújo",$B:$B,"&lt;&gt;Lorena Dias de Araujo",$B:$B,"&lt;&gt;Lucas Luiz Romero")*(35/1083),IF(C4072="Técnico II",SUMIFS($D:$D,$A:$A,$A4072,$B:$B,"&lt;&gt;Patrícia Karla de Sousa Araújo",$B:$B,"&lt;&gt;Lorena Dias de Araujo",$B:$B,"&lt;&gt;Lucas Luiz Romero")*(28/1083),IF(C4072="Técnico I",SUMIFS($D:$D,$A:$A,$A4072,$B:$B,"&lt;&gt;Patrícia Karla de Sousa Araújo",$B:$B,"&lt;&gt;Lorena Dias de Araujo",$B:$B,"&lt;&gt;Lucas Luiz Romero")*(23/1083),IF(C4072="JR",SUMIFS($D:$D,$A:$A,$A4072,$B:$B,"&lt;&gt;Patrícia Karla de Sousa Araújo",$B:$B,"&lt;&gt;Lorena Dias de Araujo",$B:$B,"&lt;&gt;Lucas Luiz Romero")*(20/1083),IF(C4072="Estágio",SUMIFS($D:$D,$A:$A,$A4072,$B:$B,"&lt;&gt;Patrícia Karla de Sousa Araújo",$B:$B,"&lt;&gt;Lorena Dias de Araujo",$B:$B,"&lt;&gt;Lucas Luiz Romero")*(10/1083),0)))))),0)</f>
        <v/>
      </c>
      <c r="K4072" s="3">
        <f>I4072-J4072</f>
        <v/>
      </c>
      <c r="L4072" s="3">
        <f>IF(K4072&lt;-5,"CRÍTICO",IF(K4072&lt;0,"ATENÇÃO",IF(K4072&lt;=5,"OPORTUNO","MUITO BOM")))</f>
        <v/>
      </c>
      <c r="N4072" t="n">
        <v>100</v>
      </c>
      <c r="O4072" t="n">
        <v>31.13553113553114</v>
      </c>
    </row>
    <row r="4073" hidden="1">
      <c r="A4073" s="11" t="n">
        <v>46128</v>
      </c>
      <c r="B4073" t="inlineStr">
        <is>
          <t>Sara Maria Monteiro Lopes</t>
        </is>
      </c>
      <c r="C4073" t="inlineStr">
        <is>
          <t>Técnico I</t>
        </is>
      </c>
      <c r="D4073" t="n">
        <v>19</v>
      </c>
      <c r="E4073" t="n">
        <v>18</v>
      </c>
      <c r="F4073" t="n">
        <v>24.08</v>
      </c>
      <c r="G4073" t="n">
        <v>0</v>
      </c>
      <c r="H4073" t="n">
        <v>0</v>
      </c>
      <c r="I4073" s="3">
        <f>E4073+G4073+H4073</f>
        <v/>
      </c>
      <c r="J4073" s="3">
        <f>ROUND(MIN(IF(C4073="Técnico III",35,IF(C4073="Técnico II",28,IF(C4073="Técnico I",23,IF(C4073="JR",20,IF(C4073="Estágio",10,0))))),IF(C4073="Técnico III",SUMIFS($D:$D,$A:$A,$A4073,$B:$B,"&lt;&gt;Patrícia Karla de Sousa Araújo",$B:$B,"&lt;&gt;Lorena Dias de Araujo",$B:$B,"&lt;&gt;Lucas Luiz Romero")*(35/1083),IF(C4073="Técnico II",SUMIFS($D:$D,$A:$A,$A4073,$B:$B,"&lt;&gt;Patrícia Karla de Sousa Araújo",$B:$B,"&lt;&gt;Lorena Dias de Araujo",$B:$B,"&lt;&gt;Lucas Luiz Romero")*(28/1083),IF(C4073="Técnico I",SUMIFS($D:$D,$A:$A,$A4073,$B:$B,"&lt;&gt;Patrícia Karla de Sousa Araújo",$B:$B,"&lt;&gt;Lorena Dias de Araujo",$B:$B,"&lt;&gt;Lucas Luiz Romero")*(23/1083),IF(C4073="JR",SUMIFS($D:$D,$A:$A,$A4073,$B:$B,"&lt;&gt;Patrícia Karla de Sousa Araújo",$B:$B,"&lt;&gt;Lorena Dias de Araujo",$B:$B,"&lt;&gt;Lucas Luiz Romero")*(20/1083),IF(C4073="Estágio",SUMIFS($D:$D,$A:$A,$A4073,$B:$B,"&lt;&gt;Patrícia Karla de Sousa Araújo",$B:$B,"&lt;&gt;Lorena Dias de Araujo",$B:$B,"&lt;&gt;Lucas Luiz Romero")*(10/1083),0)))))),0)</f>
        <v/>
      </c>
      <c r="K4073" s="3">
        <f>I4073-J4073</f>
        <v/>
      </c>
      <c r="L4073" s="3">
        <f>IF(K4073&lt;-5,"CRÍTICO",IF(K4073&lt;0,"ATENÇÃO",IF(K4073&lt;=5,"OPORTUNO","MUITO BOM")))</f>
        <v/>
      </c>
      <c r="N4073" t="n">
        <v>100</v>
      </c>
      <c r="O4073" t="n">
        <v>26.02739726027397</v>
      </c>
    </row>
    <row r="4074" hidden="1">
      <c r="A4074" s="11" t="n">
        <v>46128</v>
      </c>
      <c r="B4074" t="inlineStr">
        <is>
          <t>Sarah Steffanie de Lima Borges</t>
        </is>
      </c>
      <c r="C4074" t="inlineStr">
        <is>
          <t>Técnico III</t>
        </is>
      </c>
      <c r="D4074" t="n">
        <v>29</v>
      </c>
      <c r="E4074" t="n">
        <v>28</v>
      </c>
      <c r="F4074" t="n">
        <v>17.08</v>
      </c>
      <c r="G4074" t="n">
        <v>0</v>
      </c>
      <c r="H4074" t="n">
        <v>0</v>
      </c>
      <c r="I4074" s="3">
        <f>E4074+G4074+H4074</f>
        <v/>
      </c>
      <c r="J4074" s="3">
        <f>ROUND(MIN(IF(C4074="Técnico III",35,IF(C4074="Técnico II",28,IF(C4074="Técnico I",23,IF(C4074="JR",20,IF(C4074="Estágio",10,0))))),IF(C4074="Técnico III",SUMIFS($D:$D,$A:$A,$A4074,$B:$B,"&lt;&gt;Patrícia Karla de Sousa Araújo",$B:$B,"&lt;&gt;Lorena Dias de Araujo",$B:$B,"&lt;&gt;Lucas Luiz Romero")*(35/1083),IF(C4074="Técnico II",SUMIFS($D:$D,$A:$A,$A4074,$B:$B,"&lt;&gt;Patrícia Karla de Sousa Araújo",$B:$B,"&lt;&gt;Lorena Dias de Araujo",$B:$B,"&lt;&gt;Lucas Luiz Romero")*(28/1083),IF(C4074="Técnico I",SUMIFS($D:$D,$A:$A,$A4074,$B:$B,"&lt;&gt;Patrícia Karla de Sousa Araújo",$B:$B,"&lt;&gt;Lorena Dias de Araujo",$B:$B,"&lt;&gt;Lucas Luiz Romero")*(23/1083),IF(C4074="JR",SUMIFS($D:$D,$A:$A,$A4074,$B:$B,"&lt;&gt;Patrícia Karla de Sousa Araújo",$B:$B,"&lt;&gt;Lorena Dias de Araujo",$B:$B,"&lt;&gt;Lucas Luiz Romero")*(20/1083),IF(C4074="Estágio",SUMIFS($D:$D,$A:$A,$A4074,$B:$B,"&lt;&gt;Patrícia Karla de Sousa Araújo",$B:$B,"&lt;&gt;Lorena Dias de Araujo",$B:$B,"&lt;&gt;Lucas Luiz Romero")*(10/1083),0)))))),0)</f>
        <v/>
      </c>
      <c r="K4074" s="3">
        <f>I4074-J4074</f>
        <v/>
      </c>
      <c r="L4074" s="3">
        <f>IF(K4074&lt;-5,"CRÍTICO",IF(K4074&lt;0,"ATENÇÃO",IF(K4074&lt;=5,"OPORTUNO","MUITO BOM")))</f>
        <v/>
      </c>
      <c r="N4074" t="n">
        <v>99.20999999999999</v>
      </c>
      <c r="O4074" t="n">
        <v>24.93702770780856</v>
      </c>
    </row>
    <row r="4075" hidden="1">
      <c r="A4075" s="11" t="n">
        <v>46129</v>
      </c>
      <c r="B4075" t="inlineStr">
        <is>
          <t>Alisson de Freitas Silva</t>
        </is>
      </c>
      <c r="C4075" t="inlineStr">
        <is>
          <t>Técnico II</t>
        </is>
      </c>
      <c r="D4075" t="n">
        <v>25</v>
      </c>
      <c r="E4075" t="n">
        <v>21</v>
      </c>
      <c r="F4075" t="n">
        <v>12.19</v>
      </c>
      <c r="G4075" t="n">
        <v>0</v>
      </c>
      <c r="H4075" t="n">
        <v>0</v>
      </c>
      <c r="I4075" s="3">
        <f>E4075+G4075+H4075</f>
        <v/>
      </c>
      <c r="J4075" s="3">
        <f>ROUND(MIN(IF(C4075="Técnico III",35,IF(C4075="Técnico II",28,IF(C4075="Técnico I",23,IF(C4075="JR",20,IF(C4075="Estágio",10,0))))),IF(C4075="Técnico III",SUMIFS($D:$D,$A:$A,$A4075,$B:$B,"&lt;&gt;Patrícia Karla de Sousa Araújo",$B:$B,"&lt;&gt;Lorena Dias de Araujo",$B:$B,"&lt;&gt;Lucas Luiz Romero")*(35/1083),IF(C4075="Técnico II",SUMIFS($D:$D,$A:$A,$A4075,$B:$B,"&lt;&gt;Patrícia Karla de Sousa Araújo",$B:$B,"&lt;&gt;Lorena Dias de Araujo",$B:$B,"&lt;&gt;Lucas Luiz Romero")*(28/1083),IF(C4075="Técnico I",SUMIFS($D:$D,$A:$A,$A4075,$B:$B,"&lt;&gt;Patrícia Karla de Sousa Araújo",$B:$B,"&lt;&gt;Lorena Dias de Araujo",$B:$B,"&lt;&gt;Lucas Luiz Romero")*(23/1083),IF(C4075="JR",SUMIFS($D:$D,$A:$A,$A4075,$B:$B,"&lt;&gt;Patrícia Karla de Sousa Araújo",$B:$B,"&lt;&gt;Lorena Dias de Araujo",$B:$B,"&lt;&gt;Lucas Luiz Romero")*(20/1083),IF(C4075="Estágio",SUMIFS($D:$D,$A:$A,$A4075,$B:$B,"&lt;&gt;Patrícia Karla de Sousa Araújo",$B:$B,"&lt;&gt;Lorena Dias de Araujo",$B:$B,"&lt;&gt;Lucas Luiz Romero")*(10/1083),0)))))),0)</f>
        <v/>
      </c>
      <c r="K4075" s="3">
        <f>I4075-J4075</f>
        <v/>
      </c>
      <c r="L4075" s="3">
        <f>IF(K4075&lt;-5,"CRÍTICO",IF(K4075&lt;0,"ATENÇÃO",IF(K4075&lt;=5,"OPORTUNO","MUITO BOM")))</f>
        <v/>
      </c>
      <c r="N4075" t="n">
        <v>100</v>
      </c>
      <c r="O4075" t="n">
        <v>32.76450511945392</v>
      </c>
    </row>
    <row r="4076" hidden="1">
      <c r="A4076" s="11" t="n">
        <v>46129</v>
      </c>
      <c r="B4076" t="inlineStr">
        <is>
          <t>Amanda Moura Ferreira</t>
        </is>
      </c>
      <c r="C4076" t="inlineStr">
        <is>
          <t>Técnico III</t>
        </is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s="3" t="n">
        <v>0</v>
      </c>
      <c r="J4076" s="3" t="n">
        <v>0</v>
      </c>
      <c r="K4076" s="3" t="n">
        <v>0</v>
      </c>
      <c r="L4076" s="3">
        <f>IF(K4076&lt;-5,"CRÍTICO",IF(K4076&lt;0,"ATENÇÃO",IF(K4076&lt;=5,"OPORTUNO","MUITO BOM")))</f>
        <v/>
      </c>
      <c r="N4076" t="n">
        <v>98.66</v>
      </c>
      <c r="O4076" t="n">
        <v>35.15625</v>
      </c>
    </row>
    <row r="4077" hidden="1">
      <c r="A4077" s="11" t="n">
        <v>46129</v>
      </c>
      <c r="B4077" t="inlineStr">
        <is>
          <t>Ana Karollyne Souza Faria</t>
        </is>
      </c>
      <c r="C4077" t="inlineStr">
        <is>
          <t>Técnico I</t>
        </is>
      </c>
      <c r="D4077" t="n">
        <v>22</v>
      </c>
      <c r="E4077" t="n">
        <v>22</v>
      </c>
      <c r="F4077" t="n">
        <v>27.15</v>
      </c>
      <c r="G4077" t="n">
        <v>0</v>
      </c>
      <c r="H4077" t="n">
        <v>0</v>
      </c>
      <c r="I4077" s="3">
        <f>E4077+G4077+H4077</f>
        <v/>
      </c>
      <c r="J4077" s="3">
        <f>ROUND(MIN(IF(C4077="Técnico III",35,IF(C4077="Técnico II",28,IF(C4077="Técnico I",23,IF(C4077="JR",20,IF(C4077="Estágio",10,0))))),IF(C4077="Técnico III",SUMIFS($D:$D,$A:$A,$A4077,$B:$B,"&lt;&gt;Patrícia Karla de Sousa Araújo",$B:$B,"&lt;&gt;Lorena Dias de Araujo",$B:$B,"&lt;&gt;Lucas Luiz Romero")*(35/1083),IF(C4077="Técnico II",SUMIFS($D:$D,$A:$A,$A4077,$B:$B,"&lt;&gt;Patrícia Karla de Sousa Araújo",$B:$B,"&lt;&gt;Lorena Dias de Araujo",$B:$B,"&lt;&gt;Lucas Luiz Romero")*(28/1083),IF(C4077="Técnico I",SUMIFS($D:$D,$A:$A,$A4077,$B:$B,"&lt;&gt;Patrícia Karla de Sousa Araújo",$B:$B,"&lt;&gt;Lorena Dias de Araujo",$B:$B,"&lt;&gt;Lucas Luiz Romero")*(23/1083),IF(C4077="JR",SUMIFS($D:$D,$A:$A,$A4077,$B:$B,"&lt;&gt;Patrícia Karla de Sousa Araújo",$B:$B,"&lt;&gt;Lorena Dias de Araujo",$B:$B,"&lt;&gt;Lucas Luiz Romero")*(20/1083),IF(C4077="Estágio",SUMIFS($D:$D,$A:$A,$A4077,$B:$B,"&lt;&gt;Patrícia Karla de Sousa Araújo",$B:$B,"&lt;&gt;Lorena Dias de Araujo",$B:$B,"&lt;&gt;Lucas Luiz Romero")*(10/1083),0)))))),0)</f>
        <v/>
      </c>
      <c r="K4077" s="3">
        <f>I4077-J4077</f>
        <v/>
      </c>
      <c r="L4077" s="3">
        <f>IF(K4077&lt;-5,"CRÍTICO",IF(K4077&lt;0,"ATENÇÃO",IF(K4077&lt;=5,"OPORTUNO","MUITO BOM")))</f>
        <v/>
      </c>
      <c r="N4077" t="n">
        <v>99.31999999999999</v>
      </c>
      <c r="O4077" t="n">
        <v>30.45186640471513</v>
      </c>
    </row>
    <row r="4078" hidden="1">
      <c r="A4078" s="11" t="n">
        <v>46129</v>
      </c>
      <c r="B4078" t="inlineStr">
        <is>
          <t>Ana Paula Da Luz Silva Aleixo</t>
        </is>
      </c>
      <c r="C4078" t="inlineStr">
        <is>
          <t>Técnico III</t>
        </is>
      </c>
      <c r="D4078" t="n">
        <v>28</v>
      </c>
      <c r="E4078" t="n">
        <v>23</v>
      </c>
      <c r="F4078" t="n">
        <v>18.2</v>
      </c>
      <c r="G4078" t="n">
        <v>0</v>
      </c>
      <c r="H4078" t="n">
        <v>0</v>
      </c>
      <c r="I4078" s="3">
        <f>E4078+G4078+H4078</f>
        <v/>
      </c>
      <c r="J4078" s="3">
        <f>ROUND(MIN(IF(C4078="Técnico III",35,IF(C4078="Técnico II",28,IF(C4078="Técnico I",23,IF(C4078="JR",20,IF(C4078="Estágio",10,0))))),IF(C4078="Técnico III",SUMIFS($D:$D,$A:$A,$A4078,$B:$B,"&lt;&gt;Patrícia Karla de Sousa Araújo",$B:$B,"&lt;&gt;Lorena Dias de Araujo",$B:$B,"&lt;&gt;Lucas Luiz Romero")*(35/1083),IF(C4078="Técnico II",SUMIFS($D:$D,$A:$A,$A4078,$B:$B,"&lt;&gt;Patrícia Karla de Sousa Araújo",$B:$B,"&lt;&gt;Lorena Dias de Araujo",$B:$B,"&lt;&gt;Lucas Luiz Romero")*(28/1083),IF(C4078="Técnico I",SUMIFS($D:$D,$A:$A,$A4078,$B:$B,"&lt;&gt;Patrícia Karla de Sousa Araújo",$B:$B,"&lt;&gt;Lorena Dias de Araujo",$B:$B,"&lt;&gt;Lucas Luiz Romero")*(23/1083),IF(C4078="JR",SUMIFS($D:$D,$A:$A,$A4078,$B:$B,"&lt;&gt;Patrícia Karla de Sousa Araújo",$B:$B,"&lt;&gt;Lorena Dias de Araujo",$B:$B,"&lt;&gt;Lucas Luiz Romero")*(20/1083),IF(C4078="Estágio",SUMIFS($D:$D,$A:$A,$A4078,$B:$B,"&lt;&gt;Patrícia Karla de Sousa Araújo",$B:$B,"&lt;&gt;Lorena Dias de Araujo",$B:$B,"&lt;&gt;Lucas Luiz Romero")*(10/1083),0)))))),0)</f>
        <v/>
      </c>
      <c r="K4078" s="3">
        <f>I4078-J4078</f>
        <v/>
      </c>
      <c r="L4078" s="3">
        <f>IF(K4078&lt;-5,"CRÍTICO",IF(K4078&lt;0,"ATENÇÃO",IF(K4078&lt;=5,"OPORTUNO","MUITO BOM")))</f>
        <v/>
      </c>
      <c r="N4078" t="n">
        <v>100</v>
      </c>
      <c r="O4078" t="n">
        <v>27.80373831775701</v>
      </c>
    </row>
    <row r="4079" hidden="1">
      <c r="A4079" s="11" t="n">
        <v>46129</v>
      </c>
      <c r="B4079" t="inlineStr">
        <is>
          <t>Anna Luiza Rezende Tavares</t>
        </is>
      </c>
      <c r="C4079" t="inlineStr">
        <is>
          <t>Estágio</t>
        </is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s="3" t="n">
        <v>0</v>
      </c>
      <c r="J4079" s="3" t="n">
        <v>0</v>
      </c>
      <c r="K4079" s="3" t="n">
        <v>0</v>
      </c>
      <c r="L4079" s="3">
        <f>IF(K4079&lt;-5,"CRÍTICO",IF(K4079&lt;0,"ATENÇÃO",IF(K4079&lt;=5,"OPORTUNO","MUITO BOM")))</f>
        <v/>
      </c>
      <c r="N4079" t="n">
        <v>96.73999999999999</v>
      </c>
      <c r="O4079" t="n">
        <v>28.43137254901961</v>
      </c>
    </row>
    <row r="4080" hidden="1">
      <c r="A4080" s="11" t="n">
        <v>46129</v>
      </c>
      <c r="B4080" t="inlineStr">
        <is>
          <t>Brenda de Menezes Silva</t>
        </is>
      </c>
      <c r="C4080" t="inlineStr">
        <is>
          <t>Técnico II</t>
        </is>
      </c>
      <c r="D4080" t="n">
        <v>36</v>
      </c>
      <c r="E4080" t="n">
        <v>32</v>
      </c>
      <c r="F4080" t="n">
        <v>15.03</v>
      </c>
      <c r="G4080" t="n">
        <v>0</v>
      </c>
      <c r="H4080" t="n">
        <v>0</v>
      </c>
      <c r="I4080" s="3">
        <f>E4080+G4080+H4080</f>
        <v/>
      </c>
      <c r="J4080" s="3">
        <f>ROUND(MIN(IF(C4080="Técnico III",35,IF(C4080="Técnico II",28,IF(C4080="Técnico I",23,IF(C4080="JR",20,IF(C4080="Estágio",10,0))))),IF(C4080="Técnico III",SUMIFS($D:$D,$A:$A,$A4080,$B:$B,"&lt;&gt;Patrícia Karla de Sousa Araújo",$B:$B,"&lt;&gt;Lorena Dias de Araujo",$B:$B,"&lt;&gt;Lucas Luiz Romero")*(35/1083),IF(C4080="Técnico II",SUMIFS($D:$D,$A:$A,$A4080,$B:$B,"&lt;&gt;Patrícia Karla de Sousa Araújo",$B:$B,"&lt;&gt;Lorena Dias de Araujo",$B:$B,"&lt;&gt;Lucas Luiz Romero")*(28/1083),IF(C4080="Técnico I",SUMIFS($D:$D,$A:$A,$A4080,$B:$B,"&lt;&gt;Patrícia Karla de Sousa Araújo",$B:$B,"&lt;&gt;Lorena Dias de Araujo",$B:$B,"&lt;&gt;Lucas Luiz Romero")*(23/1083),IF(C4080="JR",SUMIFS($D:$D,$A:$A,$A4080,$B:$B,"&lt;&gt;Patrícia Karla de Sousa Araújo",$B:$B,"&lt;&gt;Lorena Dias de Araujo",$B:$B,"&lt;&gt;Lucas Luiz Romero")*(20/1083),IF(C4080="Estágio",SUMIFS($D:$D,$A:$A,$A4080,$B:$B,"&lt;&gt;Patrícia Karla de Sousa Araújo",$B:$B,"&lt;&gt;Lorena Dias de Araujo",$B:$B,"&lt;&gt;Lucas Luiz Romero")*(10/1083),0)))))),0)</f>
        <v/>
      </c>
      <c r="K4080" s="3">
        <f>I4080-J4080</f>
        <v/>
      </c>
      <c r="L4080" s="3">
        <f>IF(K4080&lt;-5,"CRÍTICO",IF(K4080&lt;0,"ATENÇÃO",IF(K4080&lt;=5,"OPORTUNO","MUITO BOM")))</f>
        <v/>
      </c>
      <c r="N4080" t="n">
        <v>98.81999999999999</v>
      </c>
      <c r="O4080" t="n">
        <v>30.74141048824593</v>
      </c>
    </row>
    <row r="4081" hidden="1">
      <c r="A4081" s="11" t="n">
        <v>46129</v>
      </c>
      <c r="B4081" t="inlineStr">
        <is>
          <t>Carlos Mateus Cassimiro Nunes</t>
        </is>
      </c>
      <c r="C4081" t="inlineStr">
        <is>
          <t>Técnico II</t>
        </is>
      </c>
      <c r="D4081" t="n">
        <v>16</v>
      </c>
      <c r="E4081" t="n">
        <v>16</v>
      </c>
      <c r="F4081" t="n">
        <v>38.22</v>
      </c>
      <c r="G4081" t="n">
        <v>0</v>
      </c>
      <c r="H4081" t="n">
        <v>0</v>
      </c>
      <c r="I4081" s="3">
        <f>E4081+G4081+H4081</f>
        <v/>
      </c>
      <c r="J4081" s="3">
        <f>ROUND(MIN(IF(C4081="Técnico III",35,IF(C4081="Técnico II",28,IF(C4081="Técnico I",23,IF(C4081="JR",20,IF(C4081="Estágio",10,0))))),IF(C4081="Técnico III",SUMIFS($D:$D,$A:$A,$A4081,$B:$B,"&lt;&gt;Patrícia Karla de Sousa Araújo",$B:$B,"&lt;&gt;Lorena Dias de Araujo",$B:$B,"&lt;&gt;Lucas Luiz Romero")*(35/1083),IF(C4081="Técnico II",SUMIFS($D:$D,$A:$A,$A4081,$B:$B,"&lt;&gt;Patrícia Karla de Sousa Araújo",$B:$B,"&lt;&gt;Lorena Dias de Araujo",$B:$B,"&lt;&gt;Lucas Luiz Romero")*(28/1083),IF(C4081="Técnico I",SUMIFS($D:$D,$A:$A,$A4081,$B:$B,"&lt;&gt;Patrícia Karla de Sousa Araújo",$B:$B,"&lt;&gt;Lorena Dias de Araujo",$B:$B,"&lt;&gt;Lucas Luiz Romero")*(23/1083),IF(C4081="JR",SUMIFS($D:$D,$A:$A,$A4081,$B:$B,"&lt;&gt;Patrícia Karla de Sousa Araújo",$B:$B,"&lt;&gt;Lorena Dias de Araujo",$B:$B,"&lt;&gt;Lucas Luiz Romero")*(20/1083),IF(C4081="Estágio",SUMIFS($D:$D,$A:$A,$A4081,$B:$B,"&lt;&gt;Patrícia Karla de Sousa Araújo",$B:$B,"&lt;&gt;Lorena Dias de Araujo",$B:$B,"&lt;&gt;Lucas Luiz Romero")*(10/1083),0)))))),0)</f>
        <v/>
      </c>
      <c r="K4081" s="3">
        <f>I4081-J4081</f>
        <v/>
      </c>
      <c r="L4081" s="3">
        <f>IF(K4081&lt;-5,"CRÍTICO",IF(K4081&lt;0,"ATENÇÃO",IF(K4081&lt;=5,"OPORTUNO","MUITO BOM")))</f>
        <v/>
      </c>
      <c r="N4081" t="n">
        <v>98.2</v>
      </c>
      <c r="O4081" t="n">
        <v>26.89075630252101</v>
      </c>
    </row>
    <row r="4082" hidden="1">
      <c r="A4082" s="11" t="n">
        <v>46129</v>
      </c>
      <c r="B4082" t="inlineStr">
        <is>
          <t>Claudio de Sousa Velasco Filho</t>
        </is>
      </c>
      <c r="C4082" t="inlineStr">
        <is>
          <t>Estágio</t>
        </is>
      </c>
      <c r="D4082" t="n">
        <v>7</v>
      </c>
      <c r="E4082" t="n">
        <v>6</v>
      </c>
      <c r="F4082" t="n">
        <v>39.08</v>
      </c>
      <c r="G4082" t="n">
        <v>0</v>
      </c>
      <c r="H4082" t="n">
        <v>0</v>
      </c>
      <c r="I4082" s="3">
        <f>E4082+G4082+H4082</f>
        <v/>
      </c>
      <c r="J4082" s="3">
        <f>ROUND(MIN(IF(C4082="Técnico III",35,IF(C4082="Técnico II",28,IF(C4082="Técnico I",23,IF(C4082="JR",20,IF(C4082="Estágio",10,0))))),IF(C4082="Técnico III",SUMIFS($D:$D,$A:$A,$A4082,$B:$B,"&lt;&gt;Patrícia Karla de Sousa Araújo",$B:$B,"&lt;&gt;Lorena Dias de Araujo",$B:$B,"&lt;&gt;Lucas Luiz Romero")*(35/1083),IF(C4082="Técnico II",SUMIFS($D:$D,$A:$A,$A4082,$B:$B,"&lt;&gt;Patrícia Karla de Sousa Araújo",$B:$B,"&lt;&gt;Lorena Dias de Araujo",$B:$B,"&lt;&gt;Lucas Luiz Romero")*(28/1083),IF(C4082="Técnico I",SUMIFS($D:$D,$A:$A,$A4082,$B:$B,"&lt;&gt;Patrícia Karla de Sousa Araújo",$B:$B,"&lt;&gt;Lorena Dias de Araujo",$B:$B,"&lt;&gt;Lucas Luiz Romero")*(23/1083),IF(C4082="JR",SUMIFS($D:$D,$A:$A,$A4082,$B:$B,"&lt;&gt;Patrícia Karla de Sousa Araújo",$B:$B,"&lt;&gt;Lorena Dias de Araujo",$B:$B,"&lt;&gt;Lucas Luiz Romero")*(20/1083),IF(C4082="Estágio",SUMIFS($D:$D,$A:$A,$A4082,$B:$B,"&lt;&gt;Patrícia Karla de Sousa Araújo",$B:$B,"&lt;&gt;Lorena Dias de Araujo",$B:$B,"&lt;&gt;Lucas Luiz Romero")*(10/1083),0)))))),0)</f>
        <v/>
      </c>
      <c r="K4082" s="3">
        <f>I4082-J4082</f>
        <v/>
      </c>
      <c r="L4082" s="3">
        <f>IF(K4082&lt;-5,"CRÍTICO",IF(K4082&lt;0,"ATENÇÃO",IF(K4082&lt;=5,"OPORTUNO","MUITO BOM")))</f>
        <v/>
      </c>
      <c r="N4082" t="n">
        <v>100</v>
      </c>
      <c r="O4082" t="n">
        <v>23.13432835820895</v>
      </c>
    </row>
    <row r="4083" hidden="1">
      <c r="A4083" s="11" t="n">
        <v>46129</v>
      </c>
      <c r="B4083" t="inlineStr">
        <is>
          <t>Clessiane Pereira dos Santos</t>
        </is>
      </c>
      <c r="C4083" t="inlineStr">
        <is>
          <t>Técnico I</t>
        </is>
      </c>
      <c r="D4083" t="n">
        <v>29</v>
      </c>
      <c r="E4083" t="n">
        <v>26</v>
      </c>
      <c r="F4083" t="n">
        <v>15.35</v>
      </c>
      <c r="G4083" t="n">
        <v>0</v>
      </c>
      <c r="H4083" t="n">
        <v>0</v>
      </c>
      <c r="I4083" s="3">
        <f>E4083+G4083+H4083</f>
        <v/>
      </c>
      <c r="J4083" s="3">
        <f>ROUND(MIN(IF(C4083="Técnico III",35,IF(C4083="Técnico II",28,IF(C4083="Técnico I",23,IF(C4083="JR",20,IF(C4083="Estágio",10,0))))),IF(C4083="Técnico III",SUMIFS($D:$D,$A:$A,$A4083,$B:$B,"&lt;&gt;Patrícia Karla de Sousa Araújo",$B:$B,"&lt;&gt;Lorena Dias de Araujo",$B:$B,"&lt;&gt;Lucas Luiz Romero")*(35/1083),IF(C4083="Técnico II",SUMIFS($D:$D,$A:$A,$A4083,$B:$B,"&lt;&gt;Patrícia Karla de Sousa Araújo",$B:$B,"&lt;&gt;Lorena Dias de Araujo",$B:$B,"&lt;&gt;Lucas Luiz Romero")*(28/1083),IF(C4083="Técnico I",SUMIFS($D:$D,$A:$A,$A4083,$B:$B,"&lt;&gt;Patrícia Karla de Sousa Araújo",$B:$B,"&lt;&gt;Lorena Dias de Araujo",$B:$B,"&lt;&gt;Lucas Luiz Romero")*(23/1083),IF(C4083="JR",SUMIFS($D:$D,$A:$A,$A4083,$B:$B,"&lt;&gt;Patrícia Karla de Sousa Araújo",$B:$B,"&lt;&gt;Lorena Dias de Araujo",$B:$B,"&lt;&gt;Lucas Luiz Romero")*(20/1083),IF(C4083="Estágio",SUMIFS($D:$D,$A:$A,$A4083,$B:$B,"&lt;&gt;Patrícia Karla de Sousa Araújo",$B:$B,"&lt;&gt;Lorena Dias de Araujo",$B:$B,"&lt;&gt;Lucas Luiz Romero")*(10/1083),0)))))),0)</f>
        <v/>
      </c>
      <c r="K4083" s="3">
        <f>I4083-J4083</f>
        <v/>
      </c>
      <c r="L4083" s="3">
        <f>IF(K4083&lt;-5,"CRÍTICO",IF(K4083&lt;0,"ATENÇÃO",IF(K4083&lt;=5,"OPORTUNO","MUITO BOM")))</f>
        <v/>
      </c>
      <c r="N4083" t="n">
        <v>96.3</v>
      </c>
      <c r="O4083" t="n">
        <v>31.98090692124105</v>
      </c>
    </row>
    <row r="4084" hidden="1">
      <c r="A4084" s="11" t="n">
        <v>46129</v>
      </c>
      <c r="B4084" t="inlineStr">
        <is>
          <t>Cristiane Ramos da Silva Rocha</t>
        </is>
      </c>
      <c r="C4084" t="inlineStr">
        <is>
          <t>Técnico III</t>
        </is>
      </c>
      <c r="D4084" t="n">
        <v>30</v>
      </c>
      <c r="E4084" t="n">
        <v>27</v>
      </c>
      <c r="F4084" t="n">
        <v>12.3</v>
      </c>
      <c r="G4084" t="n">
        <v>0</v>
      </c>
      <c r="H4084" t="n">
        <v>0</v>
      </c>
      <c r="I4084" s="3">
        <f>E4084+G4084+H4084</f>
        <v/>
      </c>
      <c r="J4084" s="3">
        <f>ROUND(MIN(IF(C4084="Técnico III",35,IF(C4084="Técnico II",28,IF(C4084="Técnico I",23,IF(C4084="JR",20,IF(C4084="Estágio",10,0))))),IF(C4084="Técnico III",SUMIFS($D:$D,$A:$A,$A4084,$B:$B,"&lt;&gt;Patrícia Karla de Sousa Araújo",$B:$B,"&lt;&gt;Lorena Dias de Araujo",$B:$B,"&lt;&gt;Lucas Luiz Romero")*(35/1083),IF(C4084="Técnico II",SUMIFS($D:$D,$A:$A,$A4084,$B:$B,"&lt;&gt;Patrícia Karla de Sousa Araújo",$B:$B,"&lt;&gt;Lorena Dias de Araujo",$B:$B,"&lt;&gt;Lucas Luiz Romero")*(28/1083),IF(C4084="Técnico I",SUMIFS($D:$D,$A:$A,$A4084,$B:$B,"&lt;&gt;Patrícia Karla de Sousa Araújo",$B:$B,"&lt;&gt;Lorena Dias de Araujo",$B:$B,"&lt;&gt;Lucas Luiz Romero")*(23/1083),IF(C4084="JR",SUMIFS($D:$D,$A:$A,$A4084,$B:$B,"&lt;&gt;Patrícia Karla de Sousa Araújo",$B:$B,"&lt;&gt;Lorena Dias de Araujo",$B:$B,"&lt;&gt;Lucas Luiz Romero")*(20/1083),IF(C4084="Estágio",SUMIFS($D:$D,$A:$A,$A4084,$B:$B,"&lt;&gt;Patrícia Karla de Sousa Araújo",$B:$B,"&lt;&gt;Lorena Dias de Araujo",$B:$B,"&lt;&gt;Lucas Luiz Romero")*(10/1083),0)))))),0)</f>
        <v/>
      </c>
      <c r="K4084" s="3">
        <f>I4084-J4084</f>
        <v/>
      </c>
      <c r="L4084" s="3">
        <f>IF(K4084&lt;-5,"CRÍTICO",IF(K4084&lt;0,"ATENÇÃO",IF(K4084&lt;=5,"OPORTUNO","MUITO BOM")))</f>
        <v/>
      </c>
      <c r="N4084" t="n">
        <v>93.75</v>
      </c>
      <c r="O4084" t="n">
        <v>26.62835249042146</v>
      </c>
    </row>
    <row r="4085" hidden="1">
      <c r="A4085" s="11" t="n">
        <v>46129</v>
      </c>
      <c r="B4085" t="inlineStr">
        <is>
          <t>Damyllis Lorraine de Oliveira Gonçalves</t>
        </is>
      </c>
      <c r="C4085" t="inlineStr">
        <is>
          <t>Técnico II</t>
        </is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s="3" t="n">
        <v>0</v>
      </c>
      <c r="J4085" s="3" t="n">
        <v>0</v>
      </c>
      <c r="K4085" s="3" t="n">
        <v>0</v>
      </c>
      <c r="L4085" s="3">
        <f>IF(K4085&lt;-5,"CRÍTICO",IF(K4085&lt;0,"ATENÇÃO",IF(K4085&lt;=5,"OPORTUNO","MUITO BOM")))</f>
        <v/>
      </c>
      <c r="N4085" t="n">
        <v>97.86</v>
      </c>
      <c r="O4085" t="n">
        <v>31.01851851851852</v>
      </c>
    </row>
    <row r="4086" hidden="1">
      <c r="A4086" s="11" t="n">
        <v>46129</v>
      </c>
      <c r="B4086" t="inlineStr">
        <is>
          <t>Daniel Gomes da Silva</t>
        </is>
      </c>
      <c r="C4086" t="inlineStr">
        <is>
          <t>Técnico I</t>
        </is>
      </c>
      <c r="D4086" t="n">
        <v>23</v>
      </c>
      <c r="E4086" t="n">
        <v>23</v>
      </c>
      <c r="F4086" t="n">
        <v>19.18</v>
      </c>
      <c r="G4086" t="n">
        <v>0</v>
      </c>
      <c r="H4086" t="n">
        <v>0</v>
      </c>
      <c r="I4086" s="3">
        <f>E4086+G4086+H4086</f>
        <v/>
      </c>
      <c r="J4086" s="3">
        <f>ROUND(MIN(IF(C4086="Técnico III",35,IF(C4086="Técnico II",28,IF(C4086="Técnico I",23,IF(C4086="JR",20,IF(C4086="Estágio",10,0))))),IF(C4086="Técnico III",SUMIFS($D:$D,$A:$A,$A4086,$B:$B,"&lt;&gt;Patrícia Karla de Sousa Araújo",$B:$B,"&lt;&gt;Lorena Dias de Araujo",$B:$B,"&lt;&gt;Lucas Luiz Romero")*(35/1083),IF(C4086="Técnico II",SUMIFS($D:$D,$A:$A,$A4086,$B:$B,"&lt;&gt;Patrícia Karla de Sousa Araújo",$B:$B,"&lt;&gt;Lorena Dias de Araujo",$B:$B,"&lt;&gt;Lucas Luiz Romero")*(28/1083),IF(C4086="Técnico I",SUMIFS($D:$D,$A:$A,$A4086,$B:$B,"&lt;&gt;Patrícia Karla de Sousa Araújo",$B:$B,"&lt;&gt;Lorena Dias de Araujo",$B:$B,"&lt;&gt;Lucas Luiz Romero")*(23/1083),IF(C4086="JR",SUMIFS($D:$D,$A:$A,$A4086,$B:$B,"&lt;&gt;Patrícia Karla de Sousa Araújo",$B:$B,"&lt;&gt;Lorena Dias de Araujo",$B:$B,"&lt;&gt;Lucas Luiz Romero")*(20/1083),IF(C4086="Estágio",SUMIFS($D:$D,$A:$A,$A4086,$B:$B,"&lt;&gt;Patrícia Karla de Sousa Araújo",$B:$B,"&lt;&gt;Lorena Dias de Araujo",$B:$B,"&lt;&gt;Lucas Luiz Romero")*(10/1083),0)))))),0)</f>
        <v/>
      </c>
      <c r="K4086" s="3">
        <f>I4086-J4086</f>
        <v/>
      </c>
      <c r="L4086" s="3">
        <f>IF(K4086&lt;-5,"CRÍTICO",IF(K4086&lt;0,"ATENÇÃO",IF(K4086&lt;=5,"OPORTUNO","MUITO BOM")))</f>
        <v/>
      </c>
      <c r="N4086" t="n">
        <v>100</v>
      </c>
      <c r="O4086" t="n">
        <v>36.23188405797102</v>
      </c>
    </row>
    <row r="4087" hidden="1">
      <c r="A4087" s="11" t="n">
        <v>46129</v>
      </c>
      <c r="B4087" t="inlineStr">
        <is>
          <t>Davylla Rodrigues Freitas Silva</t>
        </is>
      </c>
      <c r="C4087" t="inlineStr">
        <is>
          <t>Técnico III</t>
        </is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s="3" t="n">
        <v>0</v>
      </c>
      <c r="J4087" s="3" t="n">
        <v>0</v>
      </c>
      <c r="K4087" s="3" t="n">
        <v>0</v>
      </c>
      <c r="L4087" s="3">
        <f>IF(K4087&lt;-5,"CRÍTICO",IF(K4087&lt;0,"ATENÇÃO",IF(K4087&lt;=5,"OPORTUNO","MUITO BOM")))</f>
        <v/>
      </c>
      <c r="N4087" t="n">
        <v>100</v>
      </c>
      <c r="O4087" t="n">
        <v>38.26923076923077</v>
      </c>
    </row>
    <row r="4088" hidden="1">
      <c r="A4088" s="11" t="n">
        <v>46129</v>
      </c>
      <c r="B4088" t="inlineStr">
        <is>
          <t>Emilly Caylane Costa</t>
        </is>
      </c>
      <c r="C4088" t="inlineStr">
        <is>
          <t>Estágio</t>
        </is>
      </c>
      <c r="D4088" t="n">
        <v>13</v>
      </c>
      <c r="E4088" t="n">
        <v>11</v>
      </c>
      <c r="F4088" t="n">
        <v>13.5</v>
      </c>
      <c r="G4088" t="n">
        <v>0</v>
      </c>
      <c r="H4088" t="n">
        <v>0</v>
      </c>
      <c r="I4088" s="3">
        <f>E4088+G4088+H4088</f>
        <v/>
      </c>
      <c r="J4088" s="3">
        <f>ROUND(MIN(IF(C4088="Técnico III",35,IF(C4088="Técnico II",28,IF(C4088="Técnico I",23,IF(C4088="JR",20,IF(C4088="Estágio",10,0))))),IF(C4088="Técnico III",SUMIFS($D:$D,$A:$A,$A4088,$B:$B,"&lt;&gt;Patrícia Karla de Sousa Araújo",$B:$B,"&lt;&gt;Lorena Dias de Araujo",$B:$B,"&lt;&gt;Lucas Luiz Romero")*(35/1083),IF(C4088="Técnico II",SUMIFS($D:$D,$A:$A,$A4088,$B:$B,"&lt;&gt;Patrícia Karla de Sousa Araújo",$B:$B,"&lt;&gt;Lorena Dias de Araujo",$B:$B,"&lt;&gt;Lucas Luiz Romero")*(28/1083),IF(C4088="Técnico I",SUMIFS($D:$D,$A:$A,$A4088,$B:$B,"&lt;&gt;Patrícia Karla de Sousa Araújo",$B:$B,"&lt;&gt;Lorena Dias de Araujo",$B:$B,"&lt;&gt;Lucas Luiz Romero")*(23/1083),IF(C4088="JR",SUMIFS($D:$D,$A:$A,$A4088,$B:$B,"&lt;&gt;Patrícia Karla de Sousa Araújo",$B:$B,"&lt;&gt;Lorena Dias de Araujo",$B:$B,"&lt;&gt;Lucas Luiz Romero")*(20/1083),IF(C4088="Estágio",SUMIFS($D:$D,$A:$A,$A4088,$B:$B,"&lt;&gt;Patrícia Karla de Sousa Araújo",$B:$B,"&lt;&gt;Lorena Dias de Araujo",$B:$B,"&lt;&gt;Lucas Luiz Romero")*(10/1083),0)))))),0)</f>
        <v/>
      </c>
      <c r="K4088" s="3">
        <f>I4088-J4088</f>
        <v/>
      </c>
      <c r="L4088" s="3">
        <f>IF(K4088&lt;-5,"CRÍTICO",IF(K4088&lt;0,"ATENÇÃO",IF(K4088&lt;=5,"OPORTUNO","MUITO BOM")))</f>
        <v/>
      </c>
      <c r="N4088" t="n">
        <v>100</v>
      </c>
      <c r="O4088" t="n">
        <v>27.36842105263158</v>
      </c>
    </row>
    <row r="4089" hidden="1">
      <c r="A4089" s="11" t="n">
        <v>46129</v>
      </c>
      <c r="B4089" t="inlineStr">
        <is>
          <t>Emilly Kamilly Medeiros Miranda</t>
        </is>
      </c>
      <c r="C4089" t="inlineStr">
        <is>
          <t>Técnico II</t>
        </is>
      </c>
      <c r="D4089" t="n">
        <v>27</v>
      </c>
      <c r="E4089" t="n">
        <v>25</v>
      </c>
      <c r="F4089" t="n">
        <v>17.03</v>
      </c>
      <c r="G4089" t="n">
        <v>0</v>
      </c>
      <c r="H4089" t="n">
        <v>0</v>
      </c>
      <c r="I4089" s="3">
        <f>E4089+G4089+H4089</f>
        <v/>
      </c>
      <c r="J4089" s="3">
        <f>ROUND(MIN(IF(C4089="Técnico III",35,IF(C4089="Técnico II",28,IF(C4089="Técnico I",23,IF(C4089="JR",20,IF(C4089="Estágio",10,0))))),IF(C4089="Técnico III",SUMIFS($D:$D,$A:$A,$A4089,$B:$B,"&lt;&gt;Patrícia Karla de Sousa Araújo",$B:$B,"&lt;&gt;Lorena Dias de Araujo",$B:$B,"&lt;&gt;Lucas Luiz Romero")*(35/1083),IF(C4089="Técnico II",SUMIFS($D:$D,$A:$A,$A4089,$B:$B,"&lt;&gt;Patrícia Karla de Sousa Araújo",$B:$B,"&lt;&gt;Lorena Dias de Araujo",$B:$B,"&lt;&gt;Lucas Luiz Romero")*(28/1083),IF(C4089="Técnico I",SUMIFS($D:$D,$A:$A,$A4089,$B:$B,"&lt;&gt;Patrícia Karla de Sousa Araújo",$B:$B,"&lt;&gt;Lorena Dias de Araujo",$B:$B,"&lt;&gt;Lucas Luiz Romero")*(23/1083),IF(C4089="JR",SUMIFS($D:$D,$A:$A,$A4089,$B:$B,"&lt;&gt;Patrícia Karla de Sousa Araújo",$B:$B,"&lt;&gt;Lorena Dias de Araujo",$B:$B,"&lt;&gt;Lucas Luiz Romero")*(20/1083),IF(C4089="Estágio",SUMIFS($D:$D,$A:$A,$A4089,$B:$B,"&lt;&gt;Patrícia Karla de Sousa Araújo",$B:$B,"&lt;&gt;Lorena Dias de Araujo",$B:$B,"&lt;&gt;Lucas Luiz Romero")*(10/1083),0)))))),0)</f>
        <v/>
      </c>
      <c r="K4089" s="3">
        <f>I4089-J4089</f>
        <v/>
      </c>
      <c r="L4089" s="3">
        <f>IF(K4089&lt;-5,"CRÍTICO",IF(K4089&lt;0,"ATENÇÃO",IF(K4089&lt;=5,"OPORTUNO","MUITO BOM")))</f>
        <v/>
      </c>
      <c r="N4089" t="n">
        <v>97.83</v>
      </c>
      <c r="O4089" t="n">
        <v>28.13186813186813</v>
      </c>
    </row>
    <row r="4090" hidden="1">
      <c r="A4090" s="11" t="n">
        <v>46129</v>
      </c>
      <c r="B4090" t="inlineStr">
        <is>
          <t>Francielson de Oliveira</t>
        </is>
      </c>
      <c r="C4090" t="inlineStr">
        <is>
          <t>Técnico III</t>
        </is>
      </c>
      <c r="D4090" t="n">
        <v>30</v>
      </c>
      <c r="E4090" t="n">
        <v>27</v>
      </c>
      <c r="F4090" t="n">
        <v>14.08</v>
      </c>
      <c r="G4090" t="n">
        <v>0</v>
      </c>
      <c r="H4090" t="n">
        <v>0</v>
      </c>
      <c r="I4090" s="3">
        <f>E4090+G4090+H4090</f>
        <v/>
      </c>
      <c r="J4090" s="3">
        <f>ROUND(MIN(IF(C4090="Técnico III",35,IF(C4090="Técnico II",28,IF(C4090="Técnico I",23,IF(C4090="JR",20,IF(C4090="Estágio",10,0))))),IF(C4090="Técnico III",SUMIFS($D:$D,$A:$A,$A4090,$B:$B,"&lt;&gt;Patrícia Karla de Sousa Araújo",$B:$B,"&lt;&gt;Lorena Dias de Araujo",$B:$B,"&lt;&gt;Lucas Luiz Romero")*(35/1083),IF(C4090="Técnico II",SUMIFS($D:$D,$A:$A,$A4090,$B:$B,"&lt;&gt;Patrícia Karla de Sousa Araújo",$B:$B,"&lt;&gt;Lorena Dias de Araujo",$B:$B,"&lt;&gt;Lucas Luiz Romero")*(28/1083),IF(C4090="Técnico I",SUMIFS($D:$D,$A:$A,$A4090,$B:$B,"&lt;&gt;Patrícia Karla de Sousa Araújo",$B:$B,"&lt;&gt;Lorena Dias de Araujo",$B:$B,"&lt;&gt;Lucas Luiz Romero")*(23/1083),IF(C4090="JR",SUMIFS($D:$D,$A:$A,$A4090,$B:$B,"&lt;&gt;Patrícia Karla de Sousa Araújo",$B:$B,"&lt;&gt;Lorena Dias de Araujo",$B:$B,"&lt;&gt;Lucas Luiz Romero")*(20/1083),IF(C4090="Estágio",SUMIFS($D:$D,$A:$A,$A4090,$B:$B,"&lt;&gt;Patrícia Karla de Sousa Araújo",$B:$B,"&lt;&gt;Lorena Dias de Araujo",$B:$B,"&lt;&gt;Lucas Luiz Romero")*(10/1083),0)))))),0)</f>
        <v/>
      </c>
      <c r="K4090" s="3">
        <f>I4090-J4090</f>
        <v/>
      </c>
      <c r="L4090" s="3">
        <f>IF(K4090&lt;-5,"CRÍTICO",IF(K4090&lt;0,"ATENÇÃO",IF(K4090&lt;=5,"OPORTUNO","MUITO BOM")))</f>
        <v/>
      </c>
      <c r="N4090" t="n">
        <v>99.26000000000001</v>
      </c>
      <c r="O4090" t="n">
        <v>29.57198443579767</v>
      </c>
    </row>
    <row r="4091" hidden="1">
      <c r="A4091" s="11" t="n">
        <v>46129</v>
      </c>
      <c r="B4091" t="inlineStr">
        <is>
          <t>Francilene Ferreira de Jesus</t>
        </is>
      </c>
      <c r="C4091" t="inlineStr">
        <is>
          <t>Técnico II</t>
        </is>
      </c>
      <c r="D4091" t="n">
        <v>31</v>
      </c>
      <c r="E4091" t="n">
        <v>28</v>
      </c>
      <c r="F4091" t="n">
        <v>15.49</v>
      </c>
      <c r="G4091" t="n">
        <v>0</v>
      </c>
      <c r="H4091" t="n">
        <v>0</v>
      </c>
      <c r="I4091" s="3">
        <f>E4091+G4091+H4091</f>
        <v/>
      </c>
      <c r="J4091" s="3">
        <f>ROUND(MIN(IF(C4091="Técnico III",35,IF(C4091="Técnico II",28,IF(C4091="Técnico I",23,IF(C4091="JR",20,IF(C4091="Estágio",10,0))))),IF(C4091="Técnico III",SUMIFS($D:$D,$A:$A,$A4091,$B:$B,"&lt;&gt;Patrícia Karla de Sousa Araújo",$B:$B,"&lt;&gt;Lorena Dias de Araujo",$B:$B,"&lt;&gt;Lucas Luiz Romero")*(35/1083),IF(C4091="Técnico II",SUMIFS($D:$D,$A:$A,$A4091,$B:$B,"&lt;&gt;Patrícia Karla de Sousa Araújo",$B:$B,"&lt;&gt;Lorena Dias de Araujo",$B:$B,"&lt;&gt;Lucas Luiz Romero")*(28/1083),IF(C4091="Técnico I",SUMIFS($D:$D,$A:$A,$A4091,$B:$B,"&lt;&gt;Patrícia Karla de Sousa Araújo",$B:$B,"&lt;&gt;Lorena Dias de Araujo",$B:$B,"&lt;&gt;Lucas Luiz Romero")*(23/1083),IF(C4091="JR",SUMIFS($D:$D,$A:$A,$A4091,$B:$B,"&lt;&gt;Patrícia Karla de Sousa Araújo",$B:$B,"&lt;&gt;Lorena Dias de Araujo",$B:$B,"&lt;&gt;Lucas Luiz Romero")*(20/1083),IF(C4091="Estágio",SUMIFS($D:$D,$A:$A,$A4091,$B:$B,"&lt;&gt;Patrícia Karla de Sousa Araújo",$B:$B,"&lt;&gt;Lorena Dias de Araujo",$B:$B,"&lt;&gt;Lucas Luiz Romero")*(10/1083),0)))))),0)</f>
        <v/>
      </c>
      <c r="K4091" s="3">
        <f>I4091-J4091</f>
        <v/>
      </c>
      <c r="L4091" s="3">
        <f>IF(K4091&lt;-5,"CRÍTICO",IF(K4091&lt;0,"ATENÇÃO",IF(K4091&lt;=5,"OPORTUNO","MUITO BOM")))</f>
        <v/>
      </c>
      <c r="N4091" t="n">
        <v>99.19</v>
      </c>
      <c r="O4091" t="n">
        <v>29.46236559139785</v>
      </c>
    </row>
    <row r="4092" hidden="1">
      <c r="A4092" s="11" t="n">
        <v>46140</v>
      </c>
      <c r="B4092" t="inlineStr">
        <is>
          <t>Brenda de Menezes Silva</t>
        </is>
      </c>
      <c r="C4092" t="inlineStr">
        <is>
          <t>Técnico II</t>
        </is>
      </c>
      <c r="D4092" t="n">
        <v>34</v>
      </c>
      <c r="E4092" t="n">
        <v>34</v>
      </c>
      <c r="F4092" t="n">
        <v>13.45</v>
      </c>
      <c r="G4092" t="n">
        <v>0</v>
      </c>
      <c r="H4092" t="n">
        <v>0</v>
      </c>
      <c r="I4092" s="3">
        <f>E4092+G4092+H4092</f>
        <v/>
      </c>
      <c r="J4092" s="3">
        <f>ROUND(MIN(IF(C4092="Técnico III",35,IF(C4092="Técnico II",28,IF(C4092="Técnico I",23,IF(C4092="JR",20,IF(C4092="Estágio",10,0))))),IF(C4092="Técnico III",SUMIFS($D:$D,$A:$A,$A4092,$B:$B,"&lt;&gt;Patrícia Karla de Sousa Araújo",$B:$B,"&lt;&gt;Lorena Dias de Araujo",$B:$B,"&lt;&gt;Lucas Luiz Romero")*(35/1083),IF(C4092="Técnico II",SUMIFS($D:$D,$A:$A,$A4092,$B:$B,"&lt;&gt;Patrícia Karla de Sousa Araújo",$B:$B,"&lt;&gt;Lorena Dias de Araujo",$B:$B,"&lt;&gt;Lucas Luiz Romero")*(28/1083),IF(C4092="Técnico I",SUMIFS($D:$D,$A:$A,$A4092,$B:$B,"&lt;&gt;Patrícia Karla de Sousa Araújo",$B:$B,"&lt;&gt;Lorena Dias de Araujo",$B:$B,"&lt;&gt;Lucas Luiz Romero")*(23/1083),IF(C4092="JR",SUMIFS($D:$D,$A:$A,$A4092,$B:$B,"&lt;&gt;Patrícia Karla de Sousa Araújo",$B:$B,"&lt;&gt;Lorena Dias de Araujo",$B:$B,"&lt;&gt;Lucas Luiz Romero")*(20/1083),IF(C4092="Estágio",SUMIFS($D:$D,$A:$A,$A4092,$B:$B,"&lt;&gt;Patrícia Karla de Sousa Araújo",$B:$B,"&lt;&gt;Lorena Dias de Araujo",$B:$B,"&lt;&gt;Lucas Luiz Romero")*(10/1083),0)))))),0)</f>
        <v/>
      </c>
      <c r="K4092" s="3">
        <f>I4092-J4092</f>
        <v/>
      </c>
      <c r="L4092" s="3">
        <f>IF(K4092&lt;-5,"CRÍTICO",IF(K4092&lt;0,"ATENÇÃO",IF(K4092&lt;=5,"OPORTUNO","MUITO BOM")))</f>
        <v/>
      </c>
      <c r="N4092" t="n">
        <v>98.81999999999999</v>
      </c>
      <c r="O4092" t="n">
        <v>30.74141048824593</v>
      </c>
    </row>
    <row r="4093" hidden="1">
      <c r="A4093" s="11" t="n">
        <v>46129</v>
      </c>
      <c r="B4093" t="inlineStr">
        <is>
          <t>Isabella Borges de Oliveira</t>
        </is>
      </c>
      <c r="C4093" t="inlineStr">
        <is>
          <t>Técnico II</t>
        </is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s="3" t="n">
        <v>0</v>
      </c>
      <c r="J4093" s="3" t="n">
        <v>0</v>
      </c>
      <c r="K4093" s="3" t="n">
        <v>0</v>
      </c>
      <c r="L4093" s="3">
        <f>IF(K4093&lt;-5,"CRÍTICO",IF(K4093&lt;0,"ATENÇÃO",IF(K4093&lt;=5,"OPORTUNO","MUITO BOM")))</f>
        <v/>
      </c>
      <c r="N4093" t="n">
        <v>100</v>
      </c>
      <c r="O4093" t="n">
        <v>27.94117647058824</v>
      </c>
    </row>
    <row r="4094" hidden="1">
      <c r="A4094" s="11" t="n">
        <v>46129</v>
      </c>
      <c r="B4094" t="inlineStr">
        <is>
          <t>Janaina Lima dos Reis Urany</t>
        </is>
      </c>
      <c r="C4094" t="inlineStr">
        <is>
          <t>Técnico III</t>
        </is>
      </c>
      <c r="D4094" t="n">
        <v>32</v>
      </c>
      <c r="E4094" t="n">
        <v>28</v>
      </c>
      <c r="F4094" t="n">
        <v>11.51</v>
      </c>
      <c r="G4094" t="n">
        <v>0</v>
      </c>
      <c r="H4094" t="n">
        <v>0</v>
      </c>
      <c r="I4094" s="3">
        <f>E4094+G4094+H4094</f>
        <v/>
      </c>
      <c r="J4094" s="3">
        <f>ROUND(MIN(IF(C4094="Técnico III",35,IF(C4094="Técnico II",28,IF(C4094="Técnico I",23,IF(C4094="JR",20,IF(C4094="Estágio",10,0))))),IF(C4094="Técnico III",SUMIFS($D:$D,$A:$A,$A4094,$B:$B,"&lt;&gt;Patrícia Karla de Sousa Araújo",$B:$B,"&lt;&gt;Lorena Dias de Araujo",$B:$B,"&lt;&gt;Lucas Luiz Romero")*(35/1083),IF(C4094="Técnico II",SUMIFS($D:$D,$A:$A,$A4094,$B:$B,"&lt;&gt;Patrícia Karla de Sousa Araújo",$B:$B,"&lt;&gt;Lorena Dias de Araujo",$B:$B,"&lt;&gt;Lucas Luiz Romero")*(28/1083),IF(C4094="Técnico I",SUMIFS($D:$D,$A:$A,$A4094,$B:$B,"&lt;&gt;Patrícia Karla de Sousa Araújo",$B:$B,"&lt;&gt;Lorena Dias de Araujo",$B:$B,"&lt;&gt;Lucas Luiz Romero")*(23/1083),IF(C4094="JR",SUMIFS($D:$D,$A:$A,$A4094,$B:$B,"&lt;&gt;Patrícia Karla de Sousa Araújo",$B:$B,"&lt;&gt;Lorena Dias de Araujo",$B:$B,"&lt;&gt;Lucas Luiz Romero")*(20/1083),IF(C4094="Estágio",SUMIFS($D:$D,$A:$A,$A4094,$B:$B,"&lt;&gt;Patrícia Karla de Sousa Araújo",$B:$B,"&lt;&gt;Lorena Dias de Araujo",$B:$B,"&lt;&gt;Lucas Luiz Romero")*(10/1083),0)))))),0)</f>
        <v/>
      </c>
      <c r="K4094" s="3">
        <f>I4094-J4094</f>
        <v/>
      </c>
      <c r="L4094" s="3">
        <f>IF(K4094&lt;-5,"CRÍTICO",IF(K4094&lt;0,"ATENÇÃO",IF(K4094&lt;=5,"OPORTUNO","MUITO BOM")))</f>
        <v/>
      </c>
      <c r="N4094" t="n">
        <v>99.56999999999999</v>
      </c>
      <c r="O4094" t="n">
        <v>29.91329479768786</v>
      </c>
    </row>
    <row r="4095" hidden="1">
      <c r="A4095" s="11" t="n">
        <v>46129</v>
      </c>
      <c r="B4095" t="inlineStr">
        <is>
          <t>Jaqueline Evangelista da Silva Martins</t>
        </is>
      </c>
      <c r="C4095" t="inlineStr">
        <is>
          <t>Técnico III</t>
        </is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s="3" t="n">
        <v>0</v>
      </c>
      <c r="J4095" s="3" t="n">
        <v>0</v>
      </c>
      <c r="K4095" s="3" t="n">
        <v>0</v>
      </c>
      <c r="L4095" s="3">
        <f>IF(K4095&lt;-5,"CRÍTICO",IF(K4095&lt;0,"ATENÇÃO",IF(K4095&lt;=5,"OPORTUNO","MUITO BOM")))</f>
        <v/>
      </c>
      <c r="N4095" t="n">
        <v>95.65000000000001</v>
      </c>
      <c r="O4095" t="n">
        <v>31.08108108108108</v>
      </c>
    </row>
    <row r="4096" hidden="1">
      <c r="A4096" s="11" t="n">
        <v>46129</v>
      </c>
      <c r="B4096" t="inlineStr">
        <is>
          <t>Jessica Faria da Silveira</t>
        </is>
      </c>
      <c r="C4096" t="inlineStr">
        <is>
          <t>Técnico II</t>
        </is>
      </c>
      <c r="D4096" t="n">
        <v>26</v>
      </c>
      <c r="E4096" t="n">
        <v>21</v>
      </c>
      <c r="F4096" t="n">
        <v>22.33</v>
      </c>
      <c r="G4096" t="n">
        <v>0</v>
      </c>
      <c r="H4096" t="n">
        <v>0</v>
      </c>
      <c r="I4096" s="3">
        <f>E4096+G4096+H4096</f>
        <v/>
      </c>
      <c r="J4096" s="3">
        <f>ROUND(MIN(IF(C4096="Técnico III",35,IF(C4096="Técnico II",28,IF(C4096="Técnico I",23,IF(C4096="JR",20,IF(C4096="Estágio",10,0))))),IF(C4096="Técnico III",SUMIFS($D:$D,$A:$A,$A4096,$B:$B,"&lt;&gt;Patrícia Karla de Sousa Araújo",$B:$B,"&lt;&gt;Lorena Dias de Araujo",$B:$B,"&lt;&gt;Lucas Luiz Romero")*(35/1083),IF(C4096="Técnico II",SUMIFS($D:$D,$A:$A,$A4096,$B:$B,"&lt;&gt;Patrícia Karla de Sousa Araújo",$B:$B,"&lt;&gt;Lorena Dias de Araujo",$B:$B,"&lt;&gt;Lucas Luiz Romero")*(28/1083),IF(C4096="Técnico I",SUMIFS($D:$D,$A:$A,$A4096,$B:$B,"&lt;&gt;Patrícia Karla de Sousa Araújo",$B:$B,"&lt;&gt;Lorena Dias de Araujo",$B:$B,"&lt;&gt;Lucas Luiz Romero")*(23/1083),IF(C4096="JR",SUMIFS($D:$D,$A:$A,$A4096,$B:$B,"&lt;&gt;Patrícia Karla de Sousa Araújo",$B:$B,"&lt;&gt;Lorena Dias de Araujo",$B:$B,"&lt;&gt;Lucas Luiz Romero")*(20/1083),IF(C4096="Estágio",SUMIFS($D:$D,$A:$A,$A4096,$B:$B,"&lt;&gt;Patrícia Karla de Sousa Araújo",$B:$B,"&lt;&gt;Lorena Dias de Araujo",$B:$B,"&lt;&gt;Lucas Luiz Romero")*(10/1083),0)))))),0)</f>
        <v/>
      </c>
      <c r="K4096" s="3">
        <f>I4096-J4096</f>
        <v/>
      </c>
      <c r="L4096" s="3">
        <f>IF(K4096&lt;-5,"CRÍTICO",IF(K4096&lt;0,"ATENÇÃO",IF(K4096&lt;=5,"OPORTUNO","MUITO BOM")))</f>
        <v/>
      </c>
      <c r="N4096" t="n">
        <v>98.81</v>
      </c>
      <c r="O4096" t="n">
        <v>26.25698324022346</v>
      </c>
    </row>
    <row r="4097" hidden="1">
      <c r="A4097" s="11" t="n">
        <v>46129</v>
      </c>
      <c r="B4097" t="inlineStr">
        <is>
          <t>Jéssica Fé Moura</t>
        </is>
      </c>
      <c r="C4097" t="inlineStr">
        <is>
          <t>Técnico III</t>
        </is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s="3" t="n">
        <v>0</v>
      </c>
      <c r="J4097" s="3" t="n">
        <v>0</v>
      </c>
      <c r="K4097" s="3" t="n">
        <v>0</v>
      </c>
      <c r="L4097" s="3">
        <f>IF(K4097&lt;-5,"CRÍTICO",IF(K4097&lt;0,"ATENÇÃO",IF(K4097&lt;=5,"OPORTUNO","MUITO BOM")))</f>
        <v/>
      </c>
      <c r="N4097" t="n">
        <v>0</v>
      </c>
      <c r="O4097" t="n">
        <v>0</v>
      </c>
    </row>
    <row r="4098" hidden="1">
      <c r="A4098" s="11" t="n">
        <v>46129</v>
      </c>
      <c r="B4098" t="inlineStr">
        <is>
          <t>Karina Gonçalves Martins</t>
        </is>
      </c>
      <c r="C4098" t="inlineStr">
        <is>
          <t>JR</t>
        </is>
      </c>
      <c r="D4098" t="n">
        <v>21</v>
      </c>
      <c r="E4098" t="n">
        <v>21</v>
      </c>
      <c r="F4098" t="n">
        <v>20.14</v>
      </c>
      <c r="G4098" t="n">
        <v>0</v>
      </c>
      <c r="H4098" t="n">
        <v>0</v>
      </c>
      <c r="I4098" s="3">
        <f>E4098+G4098+H4098</f>
        <v/>
      </c>
      <c r="J4098" s="3">
        <f>ROUND(MIN(IF(C4098="Técnico III",35,IF(C4098="Técnico II",28,IF(C4098="Técnico I",23,IF(C4098="JR",20,IF(C4098="Estágio",10,0))))),IF(C4098="Técnico III",SUMIFS($D:$D,$A:$A,$A4098,$B:$B,"&lt;&gt;Patrícia Karla de Sousa Araújo",$B:$B,"&lt;&gt;Lorena Dias de Araujo",$B:$B,"&lt;&gt;Lucas Luiz Romero")*(35/1083),IF(C4098="Técnico II",SUMIFS($D:$D,$A:$A,$A4098,$B:$B,"&lt;&gt;Patrícia Karla de Sousa Araújo",$B:$B,"&lt;&gt;Lorena Dias de Araujo",$B:$B,"&lt;&gt;Lucas Luiz Romero")*(28/1083),IF(C4098="Técnico I",SUMIFS($D:$D,$A:$A,$A4098,$B:$B,"&lt;&gt;Patrícia Karla de Sousa Araújo",$B:$B,"&lt;&gt;Lorena Dias de Araujo",$B:$B,"&lt;&gt;Lucas Luiz Romero")*(23/1083),IF(C4098="JR",SUMIFS($D:$D,$A:$A,$A4098,$B:$B,"&lt;&gt;Patrícia Karla de Sousa Araújo",$B:$B,"&lt;&gt;Lorena Dias de Araujo",$B:$B,"&lt;&gt;Lucas Luiz Romero")*(20/1083),IF(C4098="Estágio",SUMIFS($D:$D,$A:$A,$A4098,$B:$B,"&lt;&gt;Patrícia Karla de Sousa Araújo",$B:$B,"&lt;&gt;Lorena Dias de Araujo",$B:$B,"&lt;&gt;Lucas Luiz Romero")*(10/1083),0)))))),0)</f>
        <v/>
      </c>
      <c r="K4098" s="3">
        <f>I4098-J4098</f>
        <v/>
      </c>
      <c r="L4098" s="3">
        <f>IF(K4098&lt;-5,"CRÍTICO",IF(K4098&lt;0,"ATENÇÃO",IF(K4098&lt;=5,"OPORTUNO","MUITO BOM")))</f>
        <v/>
      </c>
      <c r="N4098" t="n">
        <v>97.17</v>
      </c>
      <c r="O4098" t="n">
        <v>28.81844380403458</v>
      </c>
    </row>
    <row r="4099" hidden="1">
      <c r="A4099" s="11" t="n">
        <v>46129</v>
      </c>
      <c r="B4099" t="inlineStr">
        <is>
          <t>Kerollen Cristielly de Jesus Siqueira</t>
        </is>
      </c>
      <c r="C4099" t="inlineStr">
        <is>
          <t>Técnico III</t>
        </is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s="3" t="n">
        <v>0</v>
      </c>
      <c r="J4099" s="3" t="n">
        <v>0</v>
      </c>
      <c r="K4099" s="3" t="n">
        <v>0</v>
      </c>
      <c r="L4099" s="3">
        <f>IF(K4099&lt;-5,"CRÍTICO",IF(K4099&lt;0,"ATENÇÃO",IF(K4099&lt;=5,"OPORTUNO","MUITO BOM")))</f>
        <v/>
      </c>
      <c r="N4099" t="n">
        <v>96.81</v>
      </c>
      <c r="O4099" t="n">
        <v>48.01864801864802</v>
      </c>
    </row>
    <row r="4100" hidden="1">
      <c r="A4100" s="11" t="n">
        <v>46129</v>
      </c>
      <c r="B4100" t="inlineStr">
        <is>
          <t>Leandro de Souza Silva</t>
        </is>
      </c>
      <c r="C4100" t="inlineStr">
        <is>
          <t>JR</t>
        </is>
      </c>
      <c r="D4100" t="n">
        <v>12</v>
      </c>
      <c r="E4100" t="n">
        <v>8</v>
      </c>
      <c r="F4100" t="n">
        <v>19.05</v>
      </c>
      <c r="G4100" t="n">
        <v>0</v>
      </c>
      <c r="H4100" t="n">
        <v>0</v>
      </c>
      <c r="I4100" s="3">
        <f>E4100+G4100+H4100</f>
        <v/>
      </c>
      <c r="J4100" s="3">
        <f>ROUND(MIN(IF(C4100="Técnico III",35,IF(C4100="Técnico II",28,IF(C4100="Técnico I",23,IF(C4100="JR",20,IF(C4100="Estágio",10,0))))),IF(C4100="Técnico III",SUMIFS($D:$D,$A:$A,$A4100,$B:$B,"&lt;&gt;Patrícia Karla de Sousa Araújo",$B:$B,"&lt;&gt;Lorena Dias de Araujo",$B:$B,"&lt;&gt;Lucas Luiz Romero")*(35/1083),IF(C4100="Técnico II",SUMIFS($D:$D,$A:$A,$A4100,$B:$B,"&lt;&gt;Patrícia Karla de Sousa Araújo",$B:$B,"&lt;&gt;Lorena Dias de Araujo",$B:$B,"&lt;&gt;Lucas Luiz Romero")*(28/1083),IF(C4100="Técnico I",SUMIFS($D:$D,$A:$A,$A4100,$B:$B,"&lt;&gt;Patrícia Karla de Sousa Araújo",$B:$B,"&lt;&gt;Lorena Dias de Araujo",$B:$B,"&lt;&gt;Lucas Luiz Romero")*(23/1083),IF(C4100="JR",SUMIFS($D:$D,$A:$A,$A4100,$B:$B,"&lt;&gt;Patrícia Karla de Sousa Araújo",$B:$B,"&lt;&gt;Lorena Dias de Araujo",$B:$B,"&lt;&gt;Lucas Luiz Romero")*(20/1083),IF(C4100="Estágio",SUMIFS($D:$D,$A:$A,$A4100,$B:$B,"&lt;&gt;Patrícia Karla de Sousa Araújo",$B:$B,"&lt;&gt;Lorena Dias de Araujo",$B:$B,"&lt;&gt;Lucas Luiz Romero")*(10/1083),0)))))),0)</f>
        <v/>
      </c>
      <c r="K4100" s="3">
        <f>I4100-J4100</f>
        <v/>
      </c>
      <c r="L4100" s="3">
        <f>IF(K4100&lt;-5,"CRÍTICO",IF(K4100&lt;0,"ATENÇÃO",IF(K4100&lt;=5,"OPORTUNO","MUITO BOM")))</f>
        <v/>
      </c>
      <c r="N4100" t="n">
        <v>98.15000000000001</v>
      </c>
      <c r="O4100" t="n">
        <v>27.1551724137931</v>
      </c>
    </row>
    <row r="4101" hidden="1">
      <c r="A4101" s="11" t="n">
        <v>46129</v>
      </c>
      <c r="B4101" t="inlineStr">
        <is>
          <t>Leandro Oliveira de Sousa</t>
        </is>
      </c>
      <c r="C4101" t="inlineStr">
        <is>
          <t>Técnico III</t>
        </is>
      </c>
      <c r="D4101" t="n">
        <v>24</v>
      </c>
      <c r="E4101" t="n">
        <v>22</v>
      </c>
      <c r="F4101" t="n">
        <v>15.56</v>
      </c>
      <c r="G4101" t="n">
        <v>0</v>
      </c>
      <c r="H4101" t="n">
        <v>0</v>
      </c>
      <c r="I4101" s="3">
        <f>E4101+G4101+H4101</f>
        <v/>
      </c>
      <c r="J4101" s="3">
        <f>ROUND(MIN(IF(C4101="Técnico III",35,IF(C4101="Técnico II",28,IF(C4101="Técnico I",23,IF(C4101="JR",20,IF(C4101="Estágio",10,0))))),IF(C4101="Técnico III",SUMIFS($D:$D,$A:$A,$A4101,$B:$B,"&lt;&gt;Patrícia Karla de Sousa Araújo",$B:$B,"&lt;&gt;Lorena Dias de Araujo",$B:$B,"&lt;&gt;Lucas Luiz Romero")*(35/1083),IF(C4101="Técnico II",SUMIFS($D:$D,$A:$A,$A4101,$B:$B,"&lt;&gt;Patrícia Karla de Sousa Araújo",$B:$B,"&lt;&gt;Lorena Dias de Araujo",$B:$B,"&lt;&gt;Lucas Luiz Romero")*(28/1083),IF(C4101="Técnico I",SUMIFS($D:$D,$A:$A,$A4101,$B:$B,"&lt;&gt;Patrícia Karla de Sousa Araújo",$B:$B,"&lt;&gt;Lorena Dias de Araujo",$B:$B,"&lt;&gt;Lucas Luiz Romero")*(23/1083),IF(C4101="JR",SUMIFS($D:$D,$A:$A,$A4101,$B:$B,"&lt;&gt;Patrícia Karla de Sousa Araújo",$B:$B,"&lt;&gt;Lorena Dias de Araujo",$B:$B,"&lt;&gt;Lucas Luiz Romero")*(20/1083),IF(C4101="Estágio",SUMIFS($D:$D,$A:$A,$A4101,$B:$B,"&lt;&gt;Patrícia Karla de Sousa Araújo",$B:$B,"&lt;&gt;Lorena Dias de Araujo",$B:$B,"&lt;&gt;Lucas Luiz Romero")*(10/1083),0)))))),0)</f>
        <v/>
      </c>
      <c r="K4101" s="3">
        <f>I4101-J4101</f>
        <v/>
      </c>
      <c r="L4101" s="3">
        <f>IF(K4101&lt;-5,"CRÍTICO",IF(K4101&lt;0,"ATENÇÃO",IF(K4101&lt;=5,"OPORTUNO","MUITO BOM")))</f>
        <v/>
      </c>
      <c r="N4101" t="n">
        <v>99.15000000000001</v>
      </c>
      <c r="O4101" t="n">
        <v>27.37068965517241</v>
      </c>
    </row>
    <row r="4102" hidden="1">
      <c r="A4102" s="11" t="n">
        <v>46129</v>
      </c>
      <c r="B4102" t="inlineStr">
        <is>
          <t>Lizandra Gomes Duarte</t>
        </is>
      </c>
      <c r="C4102" t="inlineStr">
        <is>
          <t>Técnico II</t>
        </is>
      </c>
      <c r="D4102" t="n">
        <v>27</v>
      </c>
      <c r="E4102" t="n">
        <v>27</v>
      </c>
      <c r="F4102" t="n">
        <v>20.28</v>
      </c>
      <c r="G4102" t="n">
        <v>0</v>
      </c>
      <c r="H4102" t="n">
        <v>0</v>
      </c>
      <c r="I4102" s="3">
        <f>E4102+G4102+H4102</f>
        <v/>
      </c>
      <c r="J4102" s="3">
        <f>ROUND(MIN(IF(C4102="Técnico III",35,IF(C4102="Técnico II",28,IF(C4102="Técnico I",23,IF(C4102="JR",20,IF(C4102="Estágio",10,0))))),IF(C4102="Técnico III",SUMIFS($D:$D,$A:$A,$A4102,$B:$B,"&lt;&gt;Patrícia Karla de Sousa Araújo",$B:$B,"&lt;&gt;Lorena Dias de Araujo",$B:$B,"&lt;&gt;Lucas Luiz Romero")*(35/1083),IF(C4102="Técnico II",SUMIFS($D:$D,$A:$A,$A4102,$B:$B,"&lt;&gt;Patrícia Karla de Sousa Araújo",$B:$B,"&lt;&gt;Lorena Dias de Araujo",$B:$B,"&lt;&gt;Lucas Luiz Romero")*(28/1083),IF(C4102="Técnico I",SUMIFS($D:$D,$A:$A,$A4102,$B:$B,"&lt;&gt;Patrícia Karla de Sousa Araújo",$B:$B,"&lt;&gt;Lorena Dias de Araujo",$B:$B,"&lt;&gt;Lucas Luiz Romero")*(23/1083),IF(C4102="JR",SUMIFS($D:$D,$A:$A,$A4102,$B:$B,"&lt;&gt;Patrícia Karla de Sousa Araújo",$B:$B,"&lt;&gt;Lorena Dias de Araujo",$B:$B,"&lt;&gt;Lucas Luiz Romero")*(20/1083),IF(C4102="Estágio",SUMIFS($D:$D,$A:$A,$A4102,$B:$B,"&lt;&gt;Patrícia Karla de Sousa Araújo",$B:$B,"&lt;&gt;Lorena Dias de Araujo",$B:$B,"&lt;&gt;Lucas Luiz Romero")*(10/1083),0)))))),0)</f>
        <v/>
      </c>
      <c r="K4102" s="3">
        <f>I4102-J4102</f>
        <v/>
      </c>
      <c r="L4102" s="3">
        <f>IF(K4102&lt;-5,"CRÍTICO",IF(K4102&lt;0,"ATENÇÃO",IF(K4102&lt;=5,"OPORTUNO","MUITO BOM")))</f>
        <v/>
      </c>
      <c r="N4102" t="n">
        <v>99.17</v>
      </c>
      <c r="O4102" t="n">
        <v>29.75206611570248</v>
      </c>
    </row>
    <row r="4103" hidden="1">
      <c r="A4103" s="11" t="n">
        <v>46129</v>
      </c>
      <c r="B4103" t="inlineStr">
        <is>
          <t>Lorena Dias de Araujo</t>
        </is>
      </c>
      <c r="C4103" t="inlineStr">
        <is>
          <t>Técnico II</t>
        </is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s="3" t="n">
        <v>0</v>
      </c>
      <c r="J4103" s="3" t="n">
        <v>0</v>
      </c>
      <c r="K4103" s="3" t="n">
        <v>0</v>
      </c>
      <c r="L4103" s="3">
        <f>IF(K4103&lt;-5,"CRÍTICO",IF(K4103&lt;0,"ATENÇÃO",IF(K4103&lt;=5,"OPORTUNO","MUITO BOM")))</f>
        <v/>
      </c>
      <c r="N4103" t="n">
        <v>98.73</v>
      </c>
      <c r="O4103" t="n">
        <v>28.96174863387978</v>
      </c>
    </row>
    <row r="4104" hidden="1">
      <c r="A4104" s="11" t="n">
        <v>46129</v>
      </c>
      <c r="B4104" t="inlineStr">
        <is>
          <t>Lucas Luiz Romero</t>
        </is>
      </c>
      <c r="C4104" t="inlineStr">
        <is>
          <t>Técnico III</t>
        </is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s="3" t="n">
        <v>0</v>
      </c>
      <c r="J4104" s="3" t="n">
        <v>0</v>
      </c>
      <c r="K4104" s="3" t="n">
        <v>0</v>
      </c>
      <c r="L4104" s="3">
        <f>IF(K4104&lt;-5,"CRÍTICO",IF(K4104&lt;0,"ATENÇÃO",IF(K4104&lt;=5,"OPORTUNO","MUITO BOM")))</f>
        <v/>
      </c>
      <c r="N4104" t="n">
        <v>88.68000000000001</v>
      </c>
      <c r="O4104" t="n">
        <v>22.03389830508474</v>
      </c>
    </row>
    <row r="4105" hidden="1">
      <c r="A4105" s="11" t="n">
        <v>46129</v>
      </c>
      <c r="B4105" t="inlineStr">
        <is>
          <t>Luiz Fernando de Carvalho Junior</t>
        </is>
      </c>
      <c r="C4105" t="inlineStr">
        <is>
          <t>Técnico I</t>
        </is>
      </c>
      <c r="D4105" t="n">
        <v>20</v>
      </c>
      <c r="E4105" t="n">
        <v>20</v>
      </c>
      <c r="F4105" t="n">
        <v>25.26</v>
      </c>
      <c r="G4105" t="n">
        <v>0</v>
      </c>
      <c r="H4105" t="n">
        <v>0</v>
      </c>
      <c r="I4105" s="3">
        <f>E4105+G4105+H4105</f>
        <v/>
      </c>
      <c r="J4105" s="3">
        <f>ROUND(MIN(IF(C4105="Técnico III",35,IF(C4105="Técnico II",28,IF(C4105="Técnico I",23,IF(C4105="JR",20,IF(C4105="Estágio",10,0))))),IF(C4105="Técnico III",SUMIFS($D:$D,$A:$A,$A4105,$B:$B,"&lt;&gt;Patrícia Karla de Sousa Araújo",$B:$B,"&lt;&gt;Lorena Dias de Araujo",$B:$B,"&lt;&gt;Lucas Luiz Romero")*(35/1083),IF(C4105="Técnico II",SUMIFS($D:$D,$A:$A,$A4105,$B:$B,"&lt;&gt;Patrícia Karla de Sousa Araújo",$B:$B,"&lt;&gt;Lorena Dias de Araujo",$B:$B,"&lt;&gt;Lucas Luiz Romero")*(28/1083),IF(C4105="Técnico I",SUMIFS($D:$D,$A:$A,$A4105,$B:$B,"&lt;&gt;Patrícia Karla de Sousa Araújo",$B:$B,"&lt;&gt;Lorena Dias de Araujo",$B:$B,"&lt;&gt;Lucas Luiz Romero")*(23/1083),IF(C4105="JR",SUMIFS($D:$D,$A:$A,$A4105,$B:$B,"&lt;&gt;Patrícia Karla de Sousa Araújo",$B:$B,"&lt;&gt;Lorena Dias de Araujo",$B:$B,"&lt;&gt;Lucas Luiz Romero")*(20/1083),IF(C4105="Estágio",SUMIFS($D:$D,$A:$A,$A4105,$B:$B,"&lt;&gt;Patrícia Karla de Sousa Araújo",$B:$B,"&lt;&gt;Lorena Dias de Araujo",$B:$B,"&lt;&gt;Lucas Luiz Romero")*(10/1083),0)))))),0)</f>
        <v/>
      </c>
      <c r="K4105" s="3">
        <f>I4105-J4105</f>
        <v/>
      </c>
      <c r="L4105" s="3">
        <f>IF(K4105&lt;-5,"CRÍTICO",IF(K4105&lt;0,"ATENÇÃO",IF(K4105&lt;=5,"OPORTUNO","MUITO BOM")))</f>
        <v/>
      </c>
      <c r="N4105" t="n">
        <v>97.37</v>
      </c>
      <c r="O4105" t="n">
        <v>25.76530612244898</v>
      </c>
    </row>
    <row r="4106" hidden="1">
      <c r="A4106" s="11" t="n">
        <v>46129</v>
      </c>
      <c r="B4106" t="inlineStr">
        <is>
          <t>Maria Eduarda Sousa Costa</t>
        </is>
      </c>
      <c r="C4106" t="inlineStr">
        <is>
          <t>Estágio</t>
        </is>
      </c>
      <c r="D4106" t="n">
        <v>39</v>
      </c>
      <c r="E4106" t="n">
        <v>28</v>
      </c>
      <c r="F4106" t="n">
        <v>12.3</v>
      </c>
      <c r="G4106" t="n">
        <v>0</v>
      </c>
      <c r="H4106" t="n">
        <v>0</v>
      </c>
      <c r="I4106" s="3">
        <f>E4106+G4106+H4106</f>
        <v/>
      </c>
      <c r="J4106" s="3">
        <f>ROUND(MIN(IF(C4106="Técnico III",35,IF(C4106="Técnico II",28,IF(C4106="Técnico I",23,IF(C4106="JR",20,IF(C4106="Estágio",10,0))))),IF(C4106="Técnico III",SUMIFS($D:$D,$A:$A,$A4106,$B:$B,"&lt;&gt;Patrícia Karla de Sousa Araújo",$B:$B,"&lt;&gt;Lorena Dias de Araujo",$B:$B,"&lt;&gt;Lucas Luiz Romero")*(35/1083),IF(C4106="Técnico II",SUMIFS($D:$D,$A:$A,$A4106,$B:$B,"&lt;&gt;Patrícia Karla de Sousa Araújo",$B:$B,"&lt;&gt;Lorena Dias de Araujo",$B:$B,"&lt;&gt;Lucas Luiz Romero")*(28/1083),IF(C4106="Técnico I",SUMIFS($D:$D,$A:$A,$A4106,$B:$B,"&lt;&gt;Patrícia Karla de Sousa Araújo",$B:$B,"&lt;&gt;Lorena Dias de Araujo",$B:$B,"&lt;&gt;Lucas Luiz Romero")*(23/1083),IF(C4106="JR",SUMIFS($D:$D,$A:$A,$A4106,$B:$B,"&lt;&gt;Patrícia Karla de Sousa Araújo",$B:$B,"&lt;&gt;Lorena Dias de Araujo",$B:$B,"&lt;&gt;Lucas Luiz Romero")*(20/1083),IF(C4106="Estágio",SUMIFS($D:$D,$A:$A,$A4106,$B:$B,"&lt;&gt;Patrícia Karla de Sousa Araújo",$B:$B,"&lt;&gt;Lorena Dias de Araujo",$B:$B,"&lt;&gt;Lucas Luiz Romero")*(10/1083),0)))))),0)</f>
        <v/>
      </c>
      <c r="K4106" s="3">
        <f>I4106-J4106</f>
        <v/>
      </c>
      <c r="L4106" s="3">
        <f>IF(K4106&lt;-5,"CRÍTICO",IF(K4106&lt;0,"ATENÇÃO",IF(K4106&lt;=5,"OPORTUNO","MUITO BOM")))</f>
        <v/>
      </c>
      <c r="N4106" t="n">
        <v>100</v>
      </c>
      <c r="O4106" t="n">
        <v>25</v>
      </c>
    </row>
    <row r="4107" hidden="1">
      <c r="A4107" s="11" t="n">
        <v>46129</v>
      </c>
      <c r="B4107" t="inlineStr">
        <is>
          <t>Matheus Farias De Souza</t>
        </is>
      </c>
      <c r="C4107" t="inlineStr">
        <is>
          <t>Técnico III</t>
        </is>
      </c>
      <c r="D4107" t="n">
        <v>29</v>
      </c>
      <c r="E4107" t="n">
        <v>29</v>
      </c>
      <c r="F4107" t="n">
        <v>12.35</v>
      </c>
      <c r="G4107" t="n">
        <v>0</v>
      </c>
      <c r="H4107" t="n">
        <v>0</v>
      </c>
      <c r="I4107" s="3">
        <f>E4107+G4107+H4107</f>
        <v/>
      </c>
      <c r="J4107" s="3">
        <f>ROUND(MIN(IF(C4107="Técnico III",35,IF(C4107="Técnico II",28,IF(C4107="Técnico I",23,IF(C4107="JR",20,IF(C4107="Estágio",10,0))))),IF(C4107="Técnico III",SUMIFS($D:$D,$A:$A,$A4107,$B:$B,"&lt;&gt;Patrícia Karla de Sousa Araújo",$B:$B,"&lt;&gt;Lorena Dias de Araujo",$B:$B,"&lt;&gt;Lucas Luiz Romero")*(35/1083),IF(C4107="Técnico II",SUMIFS($D:$D,$A:$A,$A4107,$B:$B,"&lt;&gt;Patrícia Karla de Sousa Araújo",$B:$B,"&lt;&gt;Lorena Dias de Araujo",$B:$B,"&lt;&gt;Lucas Luiz Romero")*(28/1083),IF(C4107="Técnico I",SUMIFS($D:$D,$A:$A,$A4107,$B:$B,"&lt;&gt;Patrícia Karla de Sousa Araújo",$B:$B,"&lt;&gt;Lorena Dias de Araujo",$B:$B,"&lt;&gt;Lucas Luiz Romero")*(23/1083),IF(C4107="JR",SUMIFS($D:$D,$A:$A,$A4107,$B:$B,"&lt;&gt;Patrícia Karla de Sousa Araújo",$B:$B,"&lt;&gt;Lorena Dias de Araujo",$B:$B,"&lt;&gt;Lucas Luiz Romero")*(20/1083),IF(C4107="Estágio",SUMIFS($D:$D,$A:$A,$A4107,$B:$B,"&lt;&gt;Patrícia Karla de Sousa Araújo",$B:$B,"&lt;&gt;Lorena Dias de Araujo",$B:$B,"&lt;&gt;Lucas Luiz Romero")*(10/1083),0)))))),0)</f>
        <v/>
      </c>
      <c r="K4107" s="3">
        <f>I4107-J4107</f>
        <v/>
      </c>
      <c r="L4107" s="3">
        <f>IF(K4107&lt;-5,"CRÍTICO",IF(K4107&lt;0,"ATENÇÃO",IF(K4107&lt;=5,"OPORTUNO","MUITO BOM")))</f>
        <v/>
      </c>
      <c r="N4107" t="n">
        <v>100</v>
      </c>
      <c r="O4107" t="n">
        <v>23.9870340356564</v>
      </c>
    </row>
    <row r="4108" hidden="1">
      <c r="A4108" s="11" t="n">
        <v>46129</v>
      </c>
      <c r="B4108" t="inlineStr">
        <is>
          <t>Maysa Victoria Dias Moura</t>
        </is>
      </c>
      <c r="C4108" t="inlineStr">
        <is>
          <t>Técnico III</t>
        </is>
      </c>
      <c r="D4108" t="n">
        <v>32</v>
      </c>
      <c r="E4108" t="n">
        <v>28</v>
      </c>
      <c r="F4108" t="n">
        <v>13.48</v>
      </c>
      <c r="G4108" t="n">
        <v>0</v>
      </c>
      <c r="H4108" t="n">
        <v>0</v>
      </c>
      <c r="I4108" s="3">
        <f>E4108+G4108+H4108</f>
        <v/>
      </c>
      <c r="J4108" s="3">
        <f>ROUND(MIN(IF(C4108="Técnico III",35,IF(C4108="Técnico II",28,IF(C4108="Técnico I",23,IF(C4108="JR",20,IF(C4108="Estágio",10,0))))),IF(C4108="Técnico III",SUMIFS($D:$D,$A:$A,$A4108,$B:$B,"&lt;&gt;Patrícia Karla de Sousa Araújo",$B:$B,"&lt;&gt;Lorena Dias de Araujo",$B:$B,"&lt;&gt;Lucas Luiz Romero")*(35/1083),IF(C4108="Técnico II",SUMIFS($D:$D,$A:$A,$A4108,$B:$B,"&lt;&gt;Patrícia Karla de Sousa Araújo",$B:$B,"&lt;&gt;Lorena Dias de Araujo",$B:$B,"&lt;&gt;Lucas Luiz Romero")*(28/1083),IF(C4108="Técnico I",SUMIFS($D:$D,$A:$A,$A4108,$B:$B,"&lt;&gt;Patrícia Karla de Sousa Araújo",$B:$B,"&lt;&gt;Lorena Dias de Araujo",$B:$B,"&lt;&gt;Lucas Luiz Romero")*(23/1083),IF(C4108="JR",SUMIFS($D:$D,$A:$A,$A4108,$B:$B,"&lt;&gt;Patrícia Karla de Sousa Araújo",$B:$B,"&lt;&gt;Lorena Dias de Araujo",$B:$B,"&lt;&gt;Lucas Luiz Romero")*(20/1083),IF(C4108="Estágio",SUMIFS($D:$D,$A:$A,$A4108,$B:$B,"&lt;&gt;Patrícia Karla de Sousa Araújo",$B:$B,"&lt;&gt;Lorena Dias de Araujo",$B:$B,"&lt;&gt;Lucas Luiz Romero")*(10/1083),0)))))),0)</f>
        <v/>
      </c>
      <c r="K4108" s="3">
        <f>I4108-J4108</f>
        <v/>
      </c>
      <c r="L4108" s="3">
        <f>IF(K4108&lt;-5,"CRÍTICO",IF(K4108&lt;0,"ATENÇÃO",IF(K4108&lt;=5,"OPORTUNO","MUITO BOM")))</f>
        <v/>
      </c>
      <c r="N4108" t="n">
        <v>95.48999999999999</v>
      </c>
      <c r="O4108" t="n">
        <v>28.16901408450704</v>
      </c>
    </row>
    <row r="4109" hidden="1">
      <c r="A4109" s="11" t="n">
        <v>46129</v>
      </c>
      <c r="B4109" t="inlineStr">
        <is>
          <t>Michelle G Santos</t>
        </is>
      </c>
      <c r="C4109" t="inlineStr">
        <is>
          <t>Estágio</t>
        </is>
      </c>
      <c r="D4109" t="n">
        <v>13</v>
      </c>
      <c r="E4109" t="n">
        <v>12</v>
      </c>
      <c r="F4109" t="n">
        <v>25.3</v>
      </c>
      <c r="G4109" t="n">
        <v>0</v>
      </c>
      <c r="H4109" t="n">
        <v>0</v>
      </c>
      <c r="I4109" s="3">
        <f>E4109+G4109+H4109</f>
        <v/>
      </c>
      <c r="J4109" s="3">
        <f>ROUND(MIN(IF(C4109="Técnico III",35,IF(C4109="Técnico II",28,IF(C4109="Técnico I",23,IF(C4109="JR",20,IF(C4109="Estágio",10,0))))),IF(C4109="Técnico III",SUMIFS($D:$D,$A:$A,$A4109,$B:$B,"&lt;&gt;Patrícia Karla de Sousa Araújo",$B:$B,"&lt;&gt;Lorena Dias de Araujo",$B:$B,"&lt;&gt;Lucas Luiz Romero")*(35/1083),IF(C4109="Técnico II",SUMIFS($D:$D,$A:$A,$A4109,$B:$B,"&lt;&gt;Patrícia Karla de Sousa Araújo",$B:$B,"&lt;&gt;Lorena Dias de Araujo",$B:$B,"&lt;&gt;Lucas Luiz Romero")*(28/1083),IF(C4109="Técnico I",SUMIFS($D:$D,$A:$A,$A4109,$B:$B,"&lt;&gt;Patrícia Karla de Sousa Araújo",$B:$B,"&lt;&gt;Lorena Dias de Araujo",$B:$B,"&lt;&gt;Lucas Luiz Romero")*(23/1083),IF(C4109="JR",SUMIFS($D:$D,$A:$A,$A4109,$B:$B,"&lt;&gt;Patrícia Karla de Sousa Araújo",$B:$B,"&lt;&gt;Lorena Dias de Araujo",$B:$B,"&lt;&gt;Lucas Luiz Romero")*(20/1083),IF(C4109="Estágio",SUMIFS($D:$D,$A:$A,$A4109,$B:$B,"&lt;&gt;Patrícia Karla de Sousa Araújo",$B:$B,"&lt;&gt;Lorena Dias de Araujo",$B:$B,"&lt;&gt;Lucas Luiz Romero")*(10/1083),0)))))),0)</f>
        <v/>
      </c>
      <c r="K4109" s="3">
        <f>I4109-J4109</f>
        <v/>
      </c>
      <c r="L4109" s="3">
        <f>IF(K4109&lt;-5,"CRÍTICO",IF(K4109&lt;0,"ATENÇÃO",IF(K4109&lt;=5,"OPORTUNO","MUITO BOM")))</f>
        <v/>
      </c>
      <c r="N4109" t="n">
        <v>100</v>
      </c>
      <c r="O4109" t="n">
        <v>23.77622377622378</v>
      </c>
    </row>
    <row r="4110" hidden="1">
      <c r="A4110" s="11" t="n">
        <v>46129</v>
      </c>
      <c r="B4110" t="inlineStr">
        <is>
          <t>Milena Sales</t>
        </is>
      </c>
      <c r="C4110" t="inlineStr">
        <is>
          <t>JR</t>
        </is>
      </c>
      <c r="D4110" t="n">
        <v>35</v>
      </c>
      <c r="E4110" t="n">
        <v>31</v>
      </c>
      <c r="F4110" t="n">
        <v>17.33</v>
      </c>
      <c r="G4110" t="n">
        <v>0</v>
      </c>
      <c r="H4110" t="n">
        <v>0</v>
      </c>
      <c r="I4110" s="3">
        <f>E4110+G4110+H4110</f>
        <v/>
      </c>
      <c r="J4110" s="3">
        <f>ROUND(MIN(IF(C4110="Técnico III",35,IF(C4110="Técnico II",28,IF(C4110="Técnico I",23,IF(C4110="JR",20,IF(C4110="Estágio",10,0))))),IF(C4110="Técnico III",SUMIFS($D:$D,$A:$A,$A4110,$B:$B,"&lt;&gt;Patrícia Karla de Sousa Araújo",$B:$B,"&lt;&gt;Lorena Dias de Araujo",$B:$B,"&lt;&gt;Lucas Luiz Romero")*(35/1083),IF(C4110="Técnico II",SUMIFS($D:$D,$A:$A,$A4110,$B:$B,"&lt;&gt;Patrícia Karla de Sousa Araújo",$B:$B,"&lt;&gt;Lorena Dias de Araujo",$B:$B,"&lt;&gt;Lucas Luiz Romero")*(28/1083),IF(C4110="Técnico I",SUMIFS($D:$D,$A:$A,$A4110,$B:$B,"&lt;&gt;Patrícia Karla de Sousa Araújo",$B:$B,"&lt;&gt;Lorena Dias de Araujo",$B:$B,"&lt;&gt;Lucas Luiz Romero")*(23/1083),IF(C4110="JR",SUMIFS($D:$D,$A:$A,$A4110,$B:$B,"&lt;&gt;Patrícia Karla de Sousa Araújo",$B:$B,"&lt;&gt;Lorena Dias de Araujo",$B:$B,"&lt;&gt;Lucas Luiz Romero")*(20/1083),IF(C4110="Estágio",SUMIFS($D:$D,$A:$A,$A4110,$B:$B,"&lt;&gt;Patrícia Karla de Sousa Araújo",$B:$B,"&lt;&gt;Lorena Dias de Araujo",$B:$B,"&lt;&gt;Lucas Luiz Romero")*(10/1083),0)))))),0)</f>
        <v/>
      </c>
      <c r="K4110" s="3">
        <f>I4110-J4110</f>
        <v/>
      </c>
      <c r="L4110" s="3">
        <f>IF(K4110&lt;-5,"CRÍTICO",IF(K4110&lt;0,"ATENÇÃO",IF(K4110&lt;=5,"OPORTUNO","MUITO BOM")))</f>
        <v/>
      </c>
      <c r="N4110" t="n">
        <v>96.15000000000001</v>
      </c>
      <c r="O4110" t="n">
        <v>24.04580152671756</v>
      </c>
    </row>
    <row r="4111" hidden="1">
      <c r="A4111" s="11" t="n">
        <v>46129</v>
      </c>
      <c r="B4111" t="inlineStr">
        <is>
          <t>Patrícia Karla de Sousa Araújo</t>
        </is>
      </c>
      <c r="C4111" t="inlineStr">
        <is>
          <t>Técnico II</t>
        </is>
      </c>
      <c r="D4111" t="n">
        <v>27</v>
      </c>
      <c r="E4111" t="n">
        <v>25</v>
      </c>
      <c r="F4111" t="n">
        <v>20.19</v>
      </c>
      <c r="G4111" t="n">
        <v>0</v>
      </c>
      <c r="H4111" t="n">
        <v>0</v>
      </c>
      <c r="I4111" s="3">
        <f>E4111+G4111+H4111</f>
        <v/>
      </c>
      <c r="J4111" s="3">
        <f>ROUND(MIN(IF(C4111="Técnico III",35,IF(C4111="Técnico II",28,IF(C4111="Técnico I",23,IF(C4111="JR",20,IF(C4111="Estágio",10,0))))),IF(C4111="Técnico III",SUMIFS($D:$D,$A:$A,$A4111,$B:$B,"&lt;&gt;Patrícia Karla de Sousa Araújo",$B:$B,"&lt;&gt;Lorena Dias de Araujo",$B:$B,"&lt;&gt;Lucas Luiz Romero")*(35/1083),IF(C4111="Técnico II",SUMIFS($D:$D,$A:$A,$A4111,$B:$B,"&lt;&gt;Patrícia Karla de Sousa Araújo",$B:$B,"&lt;&gt;Lorena Dias de Araujo",$B:$B,"&lt;&gt;Lucas Luiz Romero")*(28/1083),IF(C4111="Técnico I",SUMIFS($D:$D,$A:$A,$A4111,$B:$B,"&lt;&gt;Patrícia Karla de Sousa Araújo",$B:$B,"&lt;&gt;Lorena Dias de Araujo",$B:$B,"&lt;&gt;Lucas Luiz Romero")*(23/1083),IF(C4111="JR",SUMIFS($D:$D,$A:$A,$A4111,$B:$B,"&lt;&gt;Patrícia Karla de Sousa Araújo",$B:$B,"&lt;&gt;Lorena Dias de Araujo",$B:$B,"&lt;&gt;Lucas Luiz Romero")*(20/1083),IF(C4111="Estágio",SUMIFS($D:$D,$A:$A,$A4111,$B:$B,"&lt;&gt;Patrícia Karla de Sousa Araújo",$B:$B,"&lt;&gt;Lorena Dias de Araujo",$B:$B,"&lt;&gt;Lucas Luiz Romero")*(10/1083),0)))))),0)</f>
        <v/>
      </c>
      <c r="K4111" s="3">
        <f>I4111-J4111</f>
        <v/>
      </c>
      <c r="L4111" s="3">
        <f>IF(K4111&lt;-5,"CRÍTICO",IF(K4111&lt;0,"ATENÇÃO",IF(K4111&lt;=5,"OPORTUNO","MUITO BOM")))</f>
        <v/>
      </c>
      <c r="N4111" t="n">
        <v>99.02</v>
      </c>
      <c r="O4111" t="n">
        <v>34.7972972972973</v>
      </c>
    </row>
    <row r="4112" hidden="1">
      <c r="A4112" s="11" t="n">
        <v>46129</v>
      </c>
      <c r="B4112" t="inlineStr">
        <is>
          <t>Paulo Ricardo Santos</t>
        </is>
      </c>
      <c r="C4112" t="inlineStr">
        <is>
          <t>JR</t>
        </is>
      </c>
      <c r="D4112" t="n">
        <v>19</v>
      </c>
      <c r="E4112" t="n">
        <v>17</v>
      </c>
      <c r="F4112" t="n">
        <v>17.06</v>
      </c>
      <c r="G4112" t="n">
        <v>0</v>
      </c>
      <c r="H4112" t="n">
        <v>0</v>
      </c>
      <c r="I4112" s="3">
        <f>E4112+G4112+H4112</f>
        <v/>
      </c>
      <c r="J4112" s="3">
        <f>ROUND(MIN(IF(C4112="Técnico III",35,IF(C4112="Técnico II",28,IF(C4112="Técnico I",23,IF(C4112="JR",20,IF(C4112="Estágio",10,0))))),IF(C4112="Técnico III",SUMIFS($D:$D,$A:$A,$A4112,$B:$B,"&lt;&gt;Patrícia Karla de Sousa Araújo",$B:$B,"&lt;&gt;Lorena Dias de Araujo",$B:$B,"&lt;&gt;Lucas Luiz Romero")*(35/1083),IF(C4112="Técnico II",SUMIFS($D:$D,$A:$A,$A4112,$B:$B,"&lt;&gt;Patrícia Karla de Sousa Araújo",$B:$B,"&lt;&gt;Lorena Dias de Araujo",$B:$B,"&lt;&gt;Lucas Luiz Romero")*(28/1083),IF(C4112="Técnico I",SUMIFS($D:$D,$A:$A,$A4112,$B:$B,"&lt;&gt;Patrícia Karla de Sousa Araújo",$B:$B,"&lt;&gt;Lorena Dias de Araujo",$B:$B,"&lt;&gt;Lucas Luiz Romero")*(23/1083),IF(C4112="JR",SUMIFS($D:$D,$A:$A,$A4112,$B:$B,"&lt;&gt;Patrícia Karla de Sousa Araújo",$B:$B,"&lt;&gt;Lorena Dias de Araujo",$B:$B,"&lt;&gt;Lucas Luiz Romero")*(20/1083),IF(C4112="Estágio",SUMIFS($D:$D,$A:$A,$A4112,$B:$B,"&lt;&gt;Patrícia Karla de Sousa Araújo",$B:$B,"&lt;&gt;Lorena Dias de Araujo",$B:$B,"&lt;&gt;Lucas Luiz Romero")*(10/1083),0)))))),0)</f>
        <v/>
      </c>
      <c r="K4112" s="3">
        <f>I4112-J4112</f>
        <v/>
      </c>
      <c r="L4112" s="3">
        <f>IF(K4112&lt;-5,"CRÍTICO",IF(K4112&lt;0,"ATENÇÃO",IF(K4112&lt;=5,"OPORTUNO","MUITO BOM")))</f>
        <v/>
      </c>
      <c r="N4112" t="n">
        <v>98.84</v>
      </c>
      <c r="O4112" t="n">
        <v>31.5018315018315</v>
      </c>
    </row>
    <row r="4113" hidden="1">
      <c r="A4113" s="11" t="n">
        <v>46129</v>
      </c>
      <c r="B4113" t="inlineStr">
        <is>
          <t>Pedro Luiz Mota Sousa</t>
        </is>
      </c>
      <c r="C4113" t="inlineStr">
        <is>
          <t>JR</t>
        </is>
      </c>
      <c r="D4113" t="n">
        <v>15</v>
      </c>
      <c r="E4113" t="n">
        <v>14</v>
      </c>
      <c r="F4113" t="n">
        <v>18.49</v>
      </c>
      <c r="G4113" t="n">
        <v>0</v>
      </c>
      <c r="H4113" t="n">
        <v>0</v>
      </c>
      <c r="I4113" s="3">
        <f>E4113+G4113+H4113</f>
        <v/>
      </c>
      <c r="J4113" s="3">
        <f>ROUND(MIN(IF(C4113="Técnico III",35,IF(C4113="Técnico II",28,IF(C4113="Técnico I",23,IF(C4113="JR",20,IF(C4113="Estágio",10,0))))),IF(C4113="Técnico III",SUMIFS($D:$D,$A:$A,$A4113,$B:$B,"&lt;&gt;Patrícia Karla de Sousa Araújo",$B:$B,"&lt;&gt;Lorena Dias de Araujo",$B:$B,"&lt;&gt;Lucas Luiz Romero")*(35/1083),IF(C4113="Técnico II",SUMIFS($D:$D,$A:$A,$A4113,$B:$B,"&lt;&gt;Patrícia Karla de Sousa Araújo",$B:$B,"&lt;&gt;Lorena Dias de Araujo",$B:$B,"&lt;&gt;Lucas Luiz Romero")*(28/1083),IF(C4113="Técnico I",SUMIFS($D:$D,$A:$A,$A4113,$B:$B,"&lt;&gt;Patrícia Karla de Sousa Araújo",$B:$B,"&lt;&gt;Lorena Dias de Araujo",$B:$B,"&lt;&gt;Lucas Luiz Romero")*(23/1083),IF(C4113="JR",SUMIFS($D:$D,$A:$A,$A4113,$B:$B,"&lt;&gt;Patrícia Karla de Sousa Araújo",$B:$B,"&lt;&gt;Lorena Dias de Araujo",$B:$B,"&lt;&gt;Lucas Luiz Romero")*(20/1083),IF(C4113="Estágio",SUMIFS($D:$D,$A:$A,$A4113,$B:$B,"&lt;&gt;Patrícia Karla de Sousa Araújo",$B:$B,"&lt;&gt;Lorena Dias de Araujo",$B:$B,"&lt;&gt;Lucas Luiz Romero")*(10/1083),0)))))),0)</f>
        <v/>
      </c>
      <c r="K4113" s="3">
        <f>I4113-J4113</f>
        <v/>
      </c>
      <c r="L4113" s="3">
        <f>IF(K4113&lt;-5,"CRÍTICO",IF(K4113&lt;0,"ATENÇÃO",IF(K4113&lt;=5,"OPORTUNO","MUITO BOM")))</f>
        <v/>
      </c>
      <c r="N4113" t="n">
        <v>100</v>
      </c>
      <c r="O4113" t="n">
        <v>34.66666666666667</v>
      </c>
    </row>
    <row r="4114" hidden="1">
      <c r="A4114" s="11" t="n">
        <v>46129</v>
      </c>
      <c r="B4114" t="inlineStr">
        <is>
          <t>Quirino Diogo Leite Torres</t>
        </is>
      </c>
      <c r="C4114" t="inlineStr">
        <is>
          <t>Estágio</t>
        </is>
      </c>
      <c r="D4114" t="n">
        <v>16</v>
      </c>
      <c r="E4114" t="n">
        <v>14</v>
      </c>
      <c r="F4114" t="n">
        <v>30.56</v>
      </c>
      <c r="G4114" t="n">
        <v>0</v>
      </c>
      <c r="H4114" t="n">
        <v>0</v>
      </c>
      <c r="I4114" s="3">
        <f>E4114+G4114+H4114</f>
        <v/>
      </c>
      <c r="J4114" s="3">
        <f>ROUND(MIN(IF(C4114="Técnico III",35,IF(C4114="Técnico II",28,IF(C4114="Técnico I",23,IF(C4114="JR",20,IF(C4114="Estágio",10,0))))),IF(C4114="Técnico III",SUMIFS($D:$D,$A:$A,$A4114,$B:$B,"&lt;&gt;Patrícia Karla de Sousa Araújo",$B:$B,"&lt;&gt;Lorena Dias de Araujo",$B:$B,"&lt;&gt;Lucas Luiz Romero")*(35/1083),IF(C4114="Técnico II",SUMIFS($D:$D,$A:$A,$A4114,$B:$B,"&lt;&gt;Patrícia Karla de Sousa Araújo",$B:$B,"&lt;&gt;Lorena Dias de Araujo",$B:$B,"&lt;&gt;Lucas Luiz Romero")*(28/1083),IF(C4114="Técnico I",SUMIFS($D:$D,$A:$A,$A4114,$B:$B,"&lt;&gt;Patrícia Karla de Sousa Araújo",$B:$B,"&lt;&gt;Lorena Dias de Araujo",$B:$B,"&lt;&gt;Lucas Luiz Romero")*(23/1083),IF(C4114="JR",SUMIFS($D:$D,$A:$A,$A4114,$B:$B,"&lt;&gt;Patrícia Karla de Sousa Araújo",$B:$B,"&lt;&gt;Lorena Dias de Araujo",$B:$B,"&lt;&gt;Lucas Luiz Romero")*(20/1083),IF(C4114="Estágio",SUMIFS($D:$D,$A:$A,$A4114,$B:$B,"&lt;&gt;Patrícia Karla de Sousa Araújo",$B:$B,"&lt;&gt;Lorena Dias de Araujo",$B:$B,"&lt;&gt;Lucas Luiz Romero")*(10/1083),0)))))),0)</f>
        <v/>
      </c>
      <c r="K4114" s="3">
        <f>I4114-J4114</f>
        <v/>
      </c>
      <c r="L4114" s="3">
        <f>IF(K4114&lt;-5,"CRÍTICO",IF(K4114&lt;0,"ATENÇÃO",IF(K4114&lt;=5,"OPORTUNO","MUITO BOM")))</f>
        <v/>
      </c>
      <c r="N4114" t="n">
        <v>94.12</v>
      </c>
      <c r="O4114" t="n">
        <v>32.8</v>
      </c>
    </row>
    <row r="4115" hidden="1">
      <c r="A4115" s="11" t="n">
        <v>46129</v>
      </c>
      <c r="B4115" t="inlineStr">
        <is>
          <t>Raane Batista Matos</t>
        </is>
      </c>
      <c r="C4115" t="inlineStr">
        <is>
          <t>Técnico I</t>
        </is>
      </c>
      <c r="D4115" t="n">
        <v>28</v>
      </c>
      <c r="E4115" t="n">
        <v>26</v>
      </c>
      <c r="F4115" t="n">
        <v>15.33</v>
      </c>
      <c r="G4115" t="n">
        <v>0</v>
      </c>
      <c r="H4115" t="n">
        <v>0</v>
      </c>
      <c r="I4115" s="3">
        <f>E4115+G4115+H4115</f>
        <v/>
      </c>
      <c r="J4115" s="3">
        <f>ROUND(MIN(IF(C4115="Técnico III",35,IF(C4115="Técnico II",28,IF(C4115="Técnico I",23,IF(C4115="JR",20,IF(C4115="Estágio",10,0))))),IF(C4115="Técnico III",SUMIFS($D:$D,$A:$A,$A4115,$B:$B,"&lt;&gt;Patrícia Karla de Sousa Araújo",$B:$B,"&lt;&gt;Lorena Dias de Araujo",$B:$B,"&lt;&gt;Lucas Luiz Romero")*(35/1083),IF(C4115="Técnico II",SUMIFS($D:$D,$A:$A,$A4115,$B:$B,"&lt;&gt;Patrícia Karla de Sousa Araújo",$B:$B,"&lt;&gt;Lorena Dias de Araujo",$B:$B,"&lt;&gt;Lucas Luiz Romero")*(28/1083),IF(C4115="Técnico I",SUMIFS($D:$D,$A:$A,$A4115,$B:$B,"&lt;&gt;Patrícia Karla de Sousa Araújo",$B:$B,"&lt;&gt;Lorena Dias de Araujo",$B:$B,"&lt;&gt;Lucas Luiz Romero")*(23/1083),IF(C4115="JR",SUMIFS($D:$D,$A:$A,$A4115,$B:$B,"&lt;&gt;Patrícia Karla de Sousa Araújo",$B:$B,"&lt;&gt;Lorena Dias de Araujo",$B:$B,"&lt;&gt;Lucas Luiz Romero")*(20/1083),IF(C4115="Estágio",SUMIFS($D:$D,$A:$A,$A4115,$B:$B,"&lt;&gt;Patrícia Karla de Sousa Araújo",$B:$B,"&lt;&gt;Lorena Dias de Araujo",$B:$B,"&lt;&gt;Lucas Luiz Romero")*(10/1083),0)))))),0)</f>
        <v/>
      </c>
      <c r="K4115" s="3">
        <f>I4115-J4115</f>
        <v/>
      </c>
      <c r="L4115" s="3">
        <f>IF(K4115&lt;-5,"CRÍTICO",IF(K4115&lt;0,"ATENÇÃO",IF(K4115&lt;=5,"OPORTUNO","MUITO BOM")))</f>
        <v/>
      </c>
      <c r="N4115" t="n">
        <v>98.31999999999999</v>
      </c>
      <c r="O4115" t="n">
        <v>26.61870503597122</v>
      </c>
    </row>
    <row r="4116" hidden="1">
      <c r="A4116" s="11" t="n">
        <v>46129</v>
      </c>
      <c r="B4116" t="inlineStr">
        <is>
          <t>Rafael Gomes de Morais</t>
        </is>
      </c>
      <c r="C4116" t="inlineStr">
        <is>
          <t>Técnico III</t>
        </is>
      </c>
      <c r="D4116" t="n">
        <v>35</v>
      </c>
      <c r="E4116" t="n">
        <v>31</v>
      </c>
      <c r="F4116" t="n">
        <v>12.08</v>
      </c>
      <c r="G4116" t="n">
        <v>0</v>
      </c>
      <c r="H4116" t="n">
        <v>0</v>
      </c>
      <c r="I4116" s="3">
        <f>E4116+G4116+H4116</f>
        <v/>
      </c>
      <c r="J4116" s="3">
        <f>ROUND(MIN(IF(C4116="Técnico III",35,IF(C4116="Técnico II",28,IF(C4116="Técnico I",23,IF(C4116="JR",20,IF(C4116="Estágio",10,0))))),IF(C4116="Técnico III",SUMIFS($D:$D,$A:$A,$A4116,$B:$B,"&lt;&gt;Patrícia Karla de Sousa Araújo",$B:$B,"&lt;&gt;Lorena Dias de Araujo",$B:$B,"&lt;&gt;Lucas Luiz Romero")*(35/1083),IF(C4116="Técnico II",SUMIFS($D:$D,$A:$A,$A4116,$B:$B,"&lt;&gt;Patrícia Karla de Sousa Araújo",$B:$B,"&lt;&gt;Lorena Dias de Araujo",$B:$B,"&lt;&gt;Lucas Luiz Romero")*(28/1083),IF(C4116="Técnico I",SUMIFS($D:$D,$A:$A,$A4116,$B:$B,"&lt;&gt;Patrícia Karla de Sousa Araújo",$B:$B,"&lt;&gt;Lorena Dias de Araujo",$B:$B,"&lt;&gt;Lucas Luiz Romero")*(23/1083),IF(C4116="JR",SUMIFS($D:$D,$A:$A,$A4116,$B:$B,"&lt;&gt;Patrícia Karla de Sousa Araújo",$B:$B,"&lt;&gt;Lorena Dias de Araujo",$B:$B,"&lt;&gt;Lucas Luiz Romero")*(20/1083),IF(C4116="Estágio",SUMIFS($D:$D,$A:$A,$A4116,$B:$B,"&lt;&gt;Patrícia Karla de Sousa Araújo",$B:$B,"&lt;&gt;Lorena Dias de Araujo",$B:$B,"&lt;&gt;Lucas Luiz Romero")*(10/1083),0)))))),0)</f>
        <v/>
      </c>
      <c r="K4116" s="3">
        <f>I4116-J4116</f>
        <v/>
      </c>
      <c r="L4116" s="3">
        <f>IF(K4116&lt;-5,"CRÍTICO",IF(K4116&lt;0,"ATENÇÃO",IF(K4116&lt;=5,"OPORTUNO","MUITO BOM")))</f>
        <v/>
      </c>
      <c r="N4116" t="n">
        <v>100</v>
      </c>
      <c r="O4116" t="n">
        <v>31.13553113553114</v>
      </c>
    </row>
    <row r="4117" hidden="1">
      <c r="A4117" s="11" t="n">
        <v>46129</v>
      </c>
      <c r="B4117" t="inlineStr">
        <is>
          <t>Sara Maria Monteiro Lopes</t>
        </is>
      </c>
      <c r="C4117" t="inlineStr">
        <is>
          <t>Técnico I</t>
        </is>
      </c>
      <c r="D4117" t="n">
        <v>18</v>
      </c>
      <c r="E4117" t="n">
        <v>17</v>
      </c>
      <c r="F4117" t="n">
        <v>23.58</v>
      </c>
      <c r="G4117" t="n">
        <v>0</v>
      </c>
      <c r="H4117" t="n">
        <v>0</v>
      </c>
      <c r="I4117" s="3">
        <f>E4117+G4117+H4117</f>
        <v/>
      </c>
      <c r="J4117" s="3">
        <f>ROUND(MIN(IF(C4117="Técnico III",35,IF(C4117="Técnico II",28,IF(C4117="Técnico I",23,IF(C4117="JR",20,IF(C4117="Estágio",10,0))))),IF(C4117="Técnico III",SUMIFS($D:$D,$A:$A,$A4117,$B:$B,"&lt;&gt;Patrícia Karla de Sousa Araújo",$B:$B,"&lt;&gt;Lorena Dias de Araujo",$B:$B,"&lt;&gt;Lucas Luiz Romero")*(35/1083),IF(C4117="Técnico II",SUMIFS($D:$D,$A:$A,$A4117,$B:$B,"&lt;&gt;Patrícia Karla de Sousa Araújo",$B:$B,"&lt;&gt;Lorena Dias de Araujo",$B:$B,"&lt;&gt;Lucas Luiz Romero")*(28/1083),IF(C4117="Técnico I",SUMIFS($D:$D,$A:$A,$A4117,$B:$B,"&lt;&gt;Patrícia Karla de Sousa Araújo",$B:$B,"&lt;&gt;Lorena Dias de Araujo",$B:$B,"&lt;&gt;Lucas Luiz Romero")*(23/1083),IF(C4117="JR",SUMIFS($D:$D,$A:$A,$A4117,$B:$B,"&lt;&gt;Patrícia Karla de Sousa Araújo",$B:$B,"&lt;&gt;Lorena Dias de Araujo",$B:$B,"&lt;&gt;Lucas Luiz Romero")*(20/1083),IF(C4117="Estágio",SUMIFS($D:$D,$A:$A,$A4117,$B:$B,"&lt;&gt;Patrícia Karla de Sousa Araújo",$B:$B,"&lt;&gt;Lorena Dias de Araujo",$B:$B,"&lt;&gt;Lucas Luiz Romero")*(10/1083),0)))))),0)</f>
        <v/>
      </c>
      <c r="K4117" s="3">
        <f>I4117-J4117</f>
        <v/>
      </c>
      <c r="L4117" s="3">
        <f>IF(K4117&lt;-5,"CRÍTICO",IF(K4117&lt;0,"ATENÇÃO",IF(K4117&lt;=5,"OPORTUNO","MUITO BOM")))</f>
        <v/>
      </c>
      <c r="N4117" t="n">
        <v>100</v>
      </c>
      <c r="O4117" t="n">
        <v>26.02739726027397</v>
      </c>
    </row>
    <row r="4118" hidden="1">
      <c r="A4118" s="11" t="n">
        <v>46129</v>
      </c>
      <c r="B4118" t="inlineStr">
        <is>
          <t>Sarah Steffanie de Lima Borges</t>
        </is>
      </c>
      <c r="C4118" t="inlineStr">
        <is>
          <t>Técnico III</t>
        </is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s="3" t="n">
        <v>0</v>
      </c>
      <c r="J4118" s="3" t="n">
        <v>0</v>
      </c>
      <c r="K4118" s="3" t="n">
        <v>0</v>
      </c>
      <c r="L4118" s="3">
        <f>IF(K4118&lt;-5,"CRÍTICO",IF(K4118&lt;0,"ATENÇÃO",IF(K4118&lt;=5,"OPORTUNO","MUITO BOM")))</f>
        <v/>
      </c>
      <c r="N4118" t="n">
        <v>99.20999999999999</v>
      </c>
      <c r="O4118" t="n">
        <v>24.93702770780856</v>
      </c>
    </row>
    <row r="4119" hidden="1">
      <c r="A4119" s="11" t="n">
        <v>46132</v>
      </c>
      <c r="B4119" t="inlineStr">
        <is>
          <t>Alisson de Freitas Silva</t>
        </is>
      </c>
      <c r="C4119" t="inlineStr">
        <is>
          <t>Técnico II</t>
        </is>
      </c>
      <c r="D4119" t="n">
        <v>35</v>
      </c>
      <c r="E4119" t="n">
        <v>27</v>
      </c>
      <c r="F4119" t="n">
        <v>10.2</v>
      </c>
      <c r="G4119" t="n">
        <v>0</v>
      </c>
      <c r="H4119" t="n">
        <v>0</v>
      </c>
      <c r="I4119" s="3">
        <f>E4119+G4119+H4119</f>
        <v/>
      </c>
      <c r="J4119" s="3">
        <f>ROUND(MIN(IF(C4119="Técnico III",35,IF(C4119="Técnico II",28,IF(C4119="Técnico I",23,IF(C4119="JR",20,IF(C4119="Estágio",10,0))))),IF(C4119="Técnico III",SUMIFS($D:$D,$A:$A,$A4119,$B:$B,"&lt;&gt;Patrícia Karla de Sousa Araújo",$B:$B,"&lt;&gt;Lorena Dias de Araujo",$B:$B,"&lt;&gt;Lucas Luiz Romero")*(35/1083),IF(C4119="Técnico II",SUMIFS($D:$D,$A:$A,$A4119,$B:$B,"&lt;&gt;Patrícia Karla de Sousa Araújo",$B:$B,"&lt;&gt;Lorena Dias de Araujo",$B:$B,"&lt;&gt;Lucas Luiz Romero")*(28/1083),IF(C4119="Técnico I",SUMIFS($D:$D,$A:$A,$A4119,$B:$B,"&lt;&gt;Patrícia Karla de Sousa Araújo",$B:$B,"&lt;&gt;Lorena Dias de Araujo",$B:$B,"&lt;&gt;Lucas Luiz Romero")*(23/1083),IF(C4119="JR",SUMIFS($D:$D,$A:$A,$A4119,$B:$B,"&lt;&gt;Patrícia Karla de Sousa Araújo",$B:$B,"&lt;&gt;Lorena Dias de Araujo",$B:$B,"&lt;&gt;Lucas Luiz Romero")*(20/1083),IF(C4119="Estágio",SUMIFS($D:$D,$A:$A,$A4119,$B:$B,"&lt;&gt;Patrícia Karla de Sousa Araújo",$B:$B,"&lt;&gt;Lorena Dias de Araujo",$B:$B,"&lt;&gt;Lucas Luiz Romero")*(10/1083),0)))))),0)</f>
        <v/>
      </c>
      <c r="K4119" s="3">
        <f>I4119-J4119</f>
        <v/>
      </c>
      <c r="L4119" s="3">
        <f>IF(K4119&lt;-5,"CRÍTICO",IF(K4119&lt;0,"ATENÇÃO",IF(K4119&lt;=5,"OPORTUNO","MUITO BOM")))</f>
        <v/>
      </c>
      <c r="N4119" t="n">
        <v>100</v>
      </c>
      <c r="O4119" t="n">
        <v>32.76450511945392</v>
      </c>
    </row>
    <row r="4120" hidden="1">
      <c r="A4120" s="11" t="n">
        <v>46132</v>
      </c>
      <c r="B4120" t="inlineStr">
        <is>
          <t>Amanda Moura Ferreira</t>
        </is>
      </c>
      <c r="C4120" t="inlineStr">
        <is>
          <t>Técnico III</t>
        </is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s="3" t="n">
        <v>0</v>
      </c>
      <c r="J4120" s="3" t="n">
        <v>0</v>
      </c>
      <c r="K4120" s="3" t="n">
        <v>0</v>
      </c>
      <c r="L4120" s="3">
        <f>IF(K4120&lt;-5,"CRÍTICO",IF(K4120&lt;0,"ATENÇÃO",IF(K4120&lt;=5,"OPORTUNO","MUITO BOM")))</f>
        <v/>
      </c>
      <c r="N4120" t="n">
        <v>98.66</v>
      </c>
      <c r="O4120" t="n">
        <v>35.15625</v>
      </c>
    </row>
    <row r="4121" hidden="1">
      <c r="A4121" s="11" t="n">
        <v>46132</v>
      </c>
      <c r="B4121" t="inlineStr">
        <is>
          <t>Ana Karollyne Souza Faria</t>
        </is>
      </c>
      <c r="C4121" t="inlineStr">
        <is>
          <t>Técnico I</t>
        </is>
      </c>
      <c r="D4121" t="n">
        <v>24</v>
      </c>
      <c r="E4121" t="n">
        <v>24</v>
      </c>
      <c r="F4121" t="n">
        <v>17.28</v>
      </c>
      <c r="G4121" t="n">
        <v>0</v>
      </c>
      <c r="H4121" t="n">
        <v>0</v>
      </c>
      <c r="I4121" s="3">
        <f>E4121+G4121+H4121</f>
        <v/>
      </c>
      <c r="J4121" s="3">
        <f>ROUND(MIN(IF(C4121="Técnico III",35,IF(C4121="Técnico II",28,IF(C4121="Técnico I",23,IF(C4121="JR",20,IF(C4121="Estágio",10,0))))),IF(C4121="Técnico III",SUMIFS($D:$D,$A:$A,$A4121,$B:$B,"&lt;&gt;Patrícia Karla de Sousa Araújo",$B:$B,"&lt;&gt;Lorena Dias de Araujo",$B:$B,"&lt;&gt;Lucas Luiz Romero")*(35/1083),IF(C4121="Técnico II",SUMIFS($D:$D,$A:$A,$A4121,$B:$B,"&lt;&gt;Patrícia Karla de Sousa Araújo",$B:$B,"&lt;&gt;Lorena Dias de Araujo",$B:$B,"&lt;&gt;Lucas Luiz Romero")*(28/1083),IF(C4121="Técnico I",SUMIFS($D:$D,$A:$A,$A4121,$B:$B,"&lt;&gt;Patrícia Karla de Sousa Araújo",$B:$B,"&lt;&gt;Lorena Dias de Araujo",$B:$B,"&lt;&gt;Lucas Luiz Romero")*(23/1083),IF(C4121="JR",SUMIFS($D:$D,$A:$A,$A4121,$B:$B,"&lt;&gt;Patrícia Karla de Sousa Araújo",$B:$B,"&lt;&gt;Lorena Dias de Araujo",$B:$B,"&lt;&gt;Lucas Luiz Romero")*(20/1083),IF(C4121="Estágio",SUMIFS($D:$D,$A:$A,$A4121,$B:$B,"&lt;&gt;Patrícia Karla de Sousa Araújo",$B:$B,"&lt;&gt;Lorena Dias de Araujo",$B:$B,"&lt;&gt;Lucas Luiz Romero")*(10/1083),0)))))),0)</f>
        <v/>
      </c>
      <c r="K4121" s="3">
        <f>I4121-J4121</f>
        <v/>
      </c>
      <c r="L4121" s="3">
        <f>IF(K4121&lt;-5,"CRÍTICO",IF(K4121&lt;0,"ATENÇÃO",IF(K4121&lt;=5,"OPORTUNO","MUITO BOM")))</f>
        <v/>
      </c>
      <c r="N4121" t="n">
        <v>99.31999999999999</v>
      </c>
      <c r="O4121" t="n">
        <v>30.45186640471513</v>
      </c>
    </row>
    <row r="4122" hidden="1">
      <c r="A4122" s="11" t="n">
        <v>46132</v>
      </c>
      <c r="B4122" t="inlineStr">
        <is>
          <t>Ana Paula Da Luz Silva Aleixo</t>
        </is>
      </c>
      <c r="C4122" t="inlineStr">
        <is>
          <t>Técnico III</t>
        </is>
      </c>
      <c r="D4122" t="n">
        <v>16</v>
      </c>
      <c r="E4122" t="n">
        <v>15</v>
      </c>
      <c r="F4122" t="n">
        <v>22.26</v>
      </c>
      <c r="G4122" t="n">
        <v>0</v>
      </c>
      <c r="H4122" t="n">
        <v>0</v>
      </c>
      <c r="I4122" s="3">
        <f>E4122+G4122+H4122</f>
        <v/>
      </c>
      <c r="J4122" s="3">
        <f>ROUND(MIN(IF(C4122="Técnico III",35,IF(C4122="Técnico II",28,IF(C4122="Técnico I",23,IF(C4122="JR",20,IF(C4122="Estágio",10,0))))),IF(C4122="Técnico III",SUMIFS($D:$D,$A:$A,$A4122,$B:$B,"&lt;&gt;Patrícia Karla de Sousa Araújo",$B:$B,"&lt;&gt;Lorena Dias de Araujo",$B:$B,"&lt;&gt;Lucas Luiz Romero")*(35/1083),IF(C4122="Técnico II",SUMIFS($D:$D,$A:$A,$A4122,$B:$B,"&lt;&gt;Patrícia Karla de Sousa Araújo",$B:$B,"&lt;&gt;Lorena Dias de Araujo",$B:$B,"&lt;&gt;Lucas Luiz Romero")*(28/1083),IF(C4122="Técnico I",SUMIFS($D:$D,$A:$A,$A4122,$B:$B,"&lt;&gt;Patrícia Karla de Sousa Araújo",$B:$B,"&lt;&gt;Lorena Dias de Araujo",$B:$B,"&lt;&gt;Lucas Luiz Romero")*(23/1083),IF(C4122="JR",SUMIFS($D:$D,$A:$A,$A4122,$B:$B,"&lt;&gt;Patrícia Karla de Sousa Araújo",$B:$B,"&lt;&gt;Lorena Dias de Araujo",$B:$B,"&lt;&gt;Lucas Luiz Romero")*(20/1083),IF(C4122="Estágio",SUMIFS($D:$D,$A:$A,$A4122,$B:$B,"&lt;&gt;Patrícia Karla de Sousa Araújo",$B:$B,"&lt;&gt;Lorena Dias de Araujo",$B:$B,"&lt;&gt;Lucas Luiz Romero")*(10/1083),0)))))),0)</f>
        <v/>
      </c>
      <c r="K4122" s="3">
        <f>I4122-J4122</f>
        <v/>
      </c>
      <c r="L4122" s="3">
        <f>IF(K4122&lt;-5,"CRÍTICO",IF(K4122&lt;0,"ATENÇÃO",IF(K4122&lt;=5,"OPORTUNO","MUITO BOM")))</f>
        <v/>
      </c>
      <c r="N4122" t="n">
        <v>100</v>
      </c>
      <c r="O4122" t="n">
        <v>27.80373831775701</v>
      </c>
    </row>
    <row r="4123" hidden="1">
      <c r="A4123" s="11" t="n">
        <v>46132</v>
      </c>
      <c r="B4123" t="inlineStr">
        <is>
          <t>Anna Luiza Rezende Tavares</t>
        </is>
      </c>
      <c r="C4123" t="inlineStr">
        <is>
          <t>Estágio</t>
        </is>
      </c>
      <c r="D4123" t="n">
        <v>12</v>
      </c>
      <c r="E4123" t="n">
        <v>11</v>
      </c>
      <c r="F4123" t="n">
        <v>17.01</v>
      </c>
      <c r="G4123" t="n">
        <v>0</v>
      </c>
      <c r="H4123" t="n">
        <v>0</v>
      </c>
      <c r="I4123" s="3">
        <f>E4123+G4123+H4123</f>
        <v/>
      </c>
      <c r="J4123" s="3">
        <f>ROUND(MIN(IF(C4123="Técnico III",35,IF(C4123="Técnico II",28,IF(C4123="Técnico I",23,IF(C4123="JR",20,IF(C4123="Estágio",10,0))))),IF(C4123="Técnico III",SUMIFS($D:$D,$A:$A,$A4123,$B:$B,"&lt;&gt;Patrícia Karla de Sousa Araújo",$B:$B,"&lt;&gt;Lorena Dias de Araujo",$B:$B,"&lt;&gt;Lucas Luiz Romero")*(35/1083),IF(C4123="Técnico II",SUMIFS($D:$D,$A:$A,$A4123,$B:$B,"&lt;&gt;Patrícia Karla de Sousa Araújo",$B:$B,"&lt;&gt;Lorena Dias de Araujo",$B:$B,"&lt;&gt;Lucas Luiz Romero")*(28/1083),IF(C4123="Técnico I",SUMIFS($D:$D,$A:$A,$A4123,$B:$B,"&lt;&gt;Patrícia Karla de Sousa Araújo",$B:$B,"&lt;&gt;Lorena Dias de Araujo",$B:$B,"&lt;&gt;Lucas Luiz Romero")*(23/1083),IF(C4123="JR",SUMIFS($D:$D,$A:$A,$A4123,$B:$B,"&lt;&gt;Patrícia Karla de Sousa Araújo",$B:$B,"&lt;&gt;Lorena Dias de Araujo",$B:$B,"&lt;&gt;Lucas Luiz Romero")*(20/1083),IF(C4123="Estágio",SUMIFS($D:$D,$A:$A,$A4123,$B:$B,"&lt;&gt;Patrícia Karla de Sousa Araújo",$B:$B,"&lt;&gt;Lorena Dias de Araujo",$B:$B,"&lt;&gt;Lucas Luiz Romero")*(10/1083),0)))))),0)</f>
        <v/>
      </c>
      <c r="K4123" s="3">
        <f>I4123-J4123</f>
        <v/>
      </c>
      <c r="L4123" s="3">
        <f>IF(K4123&lt;-5,"CRÍTICO",IF(K4123&lt;0,"ATENÇÃO",IF(K4123&lt;=5,"OPORTUNO","MUITO BOM")))</f>
        <v/>
      </c>
      <c r="N4123" t="n">
        <v>96.73999999999999</v>
      </c>
      <c r="O4123" t="n">
        <v>28.43137254901961</v>
      </c>
    </row>
    <row r="4124" hidden="1">
      <c r="A4124" s="11" t="n">
        <v>46132</v>
      </c>
      <c r="B4124" t="inlineStr">
        <is>
          <t>Brenda de Menezes Silva</t>
        </is>
      </c>
      <c r="C4124" t="inlineStr">
        <is>
          <t>Técnico II</t>
        </is>
      </c>
      <c r="D4124" t="n">
        <v>35</v>
      </c>
      <c r="E4124" t="n">
        <v>30</v>
      </c>
      <c r="F4124" t="n">
        <v>8.51</v>
      </c>
      <c r="G4124" t="n">
        <v>0</v>
      </c>
      <c r="H4124" t="n">
        <v>0</v>
      </c>
      <c r="I4124" s="3">
        <f>E4124+G4124+H4124</f>
        <v/>
      </c>
      <c r="J4124" s="3">
        <f>ROUND(MIN(IF(C4124="Técnico III",35,IF(C4124="Técnico II",28,IF(C4124="Técnico I",23,IF(C4124="JR",20,IF(C4124="Estágio",10,0))))),IF(C4124="Técnico III",SUMIFS($D:$D,$A:$A,$A4124,$B:$B,"&lt;&gt;Patrícia Karla de Sousa Araújo",$B:$B,"&lt;&gt;Lorena Dias de Araujo",$B:$B,"&lt;&gt;Lucas Luiz Romero")*(35/1083),IF(C4124="Técnico II",SUMIFS($D:$D,$A:$A,$A4124,$B:$B,"&lt;&gt;Patrícia Karla de Sousa Araújo",$B:$B,"&lt;&gt;Lorena Dias de Araujo",$B:$B,"&lt;&gt;Lucas Luiz Romero")*(28/1083),IF(C4124="Técnico I",SUMIFS($D:$D,$A:$A,$A4124,$B:$B,"&lt;&gt;Patrícia Karla de Sousa Araújo",$B:$B,"&lt;&gt;Lorena Dias de Araujo",$B:$B,"&lt;&gt;Lucas Luiz Romero")*(23/1083),IF(C4124="JR",SUMIFS($D:$D,$A:$A,$A4124,$B:$B,"&lt;&gt;Patrícia Karla de Sousa Araújo",$B:$B,"&lt;&gt;Lorena Dias de Araujo",$B:$B,"&lt;&gt;Lucas Luiz Romero")*(20/1083),IF(C4124="Estágio",SUMIFS($D:$D,$A:$A,$A4124,$B:$B,"&lt;&gt;Patrícia Karla de Sousa Araújo",$B:$B,"&lt;&gt;Lorena Dias de Araujo",$B:$B,"&lt;&gt;Lucas Luiz Romero")*(10/1083),0)))))),0)</f>
        <v/>
      </c>
      <c r="K4124" s="3">
        <f>I4124-J4124</f>
        <v/>
      </c>
      <c r="L4124" s="3">
        <f>IF(K4124&lt;-5,"CRÍTICO",IF(K4124&lt;0,"ATENÇÃO",IF(K4124&lt;=5,"OPORTUNO","MUITO BOM")))</f>
        <v/>
      </c>
      <c r="N4124" t="n">
        <v>98.81999999999999</v>
      </c>
      <c r="O4124" t="n">
        <v>30.74141048824593</v>
      </c>
    </row>
    <row r="4125" hidden="1">
      <c r="A4125" s="11" t="n">
        <v>46132</v>
      </c>
      <c r="B4125" t="inlineStr">
        <is>
          <t>Carlos Mateus Cassimiro Nunes</t>
        </is>
      </c>
      <c r="C4125" t="inlineStr">
        <is>
          <t>Técnico II</t>
        </is>
      </c>
      <c r="D4125" t="n">
        <v>25</v>
      </c>
      <c r="E4125" t="n">
        <v>25</v>
      </c>
      <c r="F4125" t="n">
        <v>20.4</v>
      </c>
      <c r="G4125" t="n">
        <v>0</v>
      </c>
      <c r="H4125" t="n">
        <v>0</v>
      </c>
      <c r="I4125" s="3">
        <f>E4125+G4125+H4125</f>
        <v/>
      </c>
      <c r="J4125" s="3">
        <f>ROUND(MIN(IF(C4125="Técnico III",35,IF(C4125="Técnico II",28,IF(C4125="Técnico I",23,IF(C4125="JR",20,IF(C4125="Estágio",10,0))))),IF(C4125="Técnico III",SUMIFS($D:$D,$A:$A,$A4125,$B:$B,"&lt;&gt;Patrícia Karla de Sousa Araújo",$B:$B,"&lt;&gt;Lorena Dias de Araujo",$B:$B,"&lt;&gt;Lucas Luiz Romero")*(35/1083),IF(C4125="Técnico II",SUMIFS($D:$D,$A:$A,$A4125,$B:$B,"&lt;&gt;Patrícia Karla de Sousa Araújo",$B:$B,"&lt;&gt;Lorena Dias de Araujo",$B:$B,"&lt;&gt;Lucas Luiz Romero")*(28/1083),IF(C4125="Técnico I",SUMIFS($D:$D,$A:$A,$A4125,$B:$B,"&lt;&gt;Patrícia Karla de Sousa Araújo",$B:$B,"&lt;&gt;Lorena Dias de Araujo",$B:$B,"&lt;&gt;Lucas Luiz Romero")*(23/1083),IF(C4125="JR",SUMIFS($D:$D,$A:$A,$A4125,$B:$B,"&lt;&gt;Patrícia Karla de Sousa Araújo",$B:$B,"&lt;&gt;Lorena Dias de Araujo",$B:$B,"&lt;&gt;Lucas Luiz Romero")*(20/1083),IF(C4125="Estágio",SUMIFS($D:$D,$A:$A,$A4125,$B:$B,"&lt;&gt;Patrícia Karla de Sousa Araújo",$B:$B,"&lt;&gt;Lorena Dias de Araujo",$B:$B,"&lt;&gt;Lucas Luiz Romero")*(10/1083),0)))))),0)</f>
        <v/>
      </c>
      <c r="K4125" s="3">
        <f>I4125-J4125</f>
        <v/>
      </c>
      <c r="L4125" s="3">
        <f>IF(K4125&lt;-5,"CRÍTICO",IF(K4125&lt;0,"ATENÇÃO",IF(K4125&lt;=5,"OPORTUNO","MUITO BOM")))</f>
        <v/>
      </c>
      <c r="N4125" t="n">
        <v>98.2</v>
      </c>
      <c r="O4125" t="n">
        <v>26.89075630252101</v>
      </c>
    </row>
    <row r="4126" hidden="1">
      <c r="A4126" s="11" t="n">
        <v>46132</v>
      </c>
      <c r="B4126" t="inlineStr">
        <is>
          <t>Claudio de Sousa Velasco Filho</t>
        </is>
      </c>
      <c r="C4126" t="inlineStr">
        <is>
          <t>Estágio</t>
        </is>
      </c>
      <c r="D4126" t="n">
        <v>1</v>
      </c>
      <c r="E4126" t="n">
        <v>1</v>
      </c>
      <c r="F4126" t="n">
        <v>199.04</v>
      </c>
      <c r="G4126" t="n">
        <v>0</v>
      </c>
      <c r="H4126" t="n">
        <v>0</v>
      </c>
      <c r="I4126" s="3">
        <f>E4126+G4126+H4126</f>
        <v/>
      </c>
      <c r="J4126" s="3">
        <f>ROUND(MIN(IF(C4126="Técnico III",35,IF(C4126="Técnico II",28,IF(C4126="Técnico I",23,IF(C4126="JR",20,IF(C4126="Estágio",10,0))))),IF(C4126="Técnico III",SUMIFS($D:$D,$A:$A,$A4126,$B:$B,"&lt;&gt;Patrícia Karla de Sousa Araújo",$B:$B,"&lt;&gt;Lorena Dias de Araujo",$B:$B,"&lt;&gt;Lucas Luiz Romero")*(35/1083),IF(C4126="Técnico II",SUMIFS($D:$D,$A:$A,$A4126,$B:$B,"&lt;&gt;Patrícia Karla de Sousa Araújo",$B:$B,"&lt;&gt;Lorena Dias de Araujo",$B:$B,"&lt;&gt;Lucas Luiz Romero")*(28/1083),IF(C4126="Técnico I",SUMIFS($D:$D,$A:$A,$A4126,$B:$B,"&lt;&gt;Patrícia Karla de Sousa Araújo",$B:$B,"&lt;&gt;Lorena Dias de Araujo",$B:$B,"&lt;&gt;Lucas Luiz Romero")*(23/1083),IF(C4126="JR",SUMIFS($D:$D,$A:$A,$A4126,$B:$B,"&lt;&gt;Patrícia Karla de Sousa Araújo",$B:$B,"&lt;&gt;Lorena Dias de Araujo",$B:$B,"&lt;&gt;Lucas Luiz Romero")*(20/1083),IF(C4126="Estágio",SUMIFS($D:$D,$A:$A,$A4126,$B:$B,"&lt;&gt;Patrícia Karla de Sousa Araújo",$B:$B,"&lt;&gt;Lorena Dias de Araujo",$B:$B,"&lt;&gt;Lucas Luiz Romero")*(10/1083),0)))))),0)</f>
        <v/>
      </c>
      <c r="K4126" s="3">
        <f>I4126-J4126</f>
        <v/>
      </c>
      <c r="L4126" s="3">
        <f>IF(K4126&lt;-5,"CRÍTICO",IF(K4126&lt;0,"ATENÇÃO",IF(K4126&lt;=5,"OPORTUNO","MUITO BOM")))</f>
        <v/>
      </c>
      <c r="N4126" t="n">
        <v>100</v>
      </c>
      <c r="O4126" t="n">
        <v>23.13432835820895</v>
      </c>
    </row>
    <row r="4127" hidden="1">
      <c r="A4127" s="11" t="n">
        <v>46132</v>
      </c>
      <c r="B4127" t="inlineStr">
        <is>
          <t>Clessiane Pereira dos Santos</t>
        </is>
      </c>
      <c r="C4127" t="inlineStr">
        <is>
          <t>Técnico I</t>
        </is>
      </c>
      <c r="D4127" t="n">
        <v>22</v>
      </c>
      <c r="E4127" t="n">
        <v>19</v>
      </c>
      <c r="F4127" t="n">
        <v>15.12</v>
      </c>
      <c r="G4127" t="n">
        <v>0</v>
      </c>
      <c r="H4127" t="n">
        <v>0</v>
      </c>
      <c r="I4127" s="3">
        <f>E4127+G4127+H4127</f>
        <v/>
      </c>
      <c r="J4127" s="3">
        <f>ROUND(MIN(IF(C4127="Técnico III",35,IF(C4127="Técnico II",28,IF(C4127="Técnico I",23,IF(C4127="JR",20,IF(C4127="Estágio",10,0))))),IF(C4127="Técnico III",SUMIFS($D:$D,$A:$A,$A4127,$B:$B,"&lt;&gt;Patrícia Karla de Sousa Araújo",$B:$B,"&lt;&gt;Lorena Dias de Araujo",$B:$B,"&lt;&gt;Lucas Luiz Romero")*(35/1083),IF(C4127="Técnico II",SUMIFS($D:$D,$A:$A,$A4127,$B:$B,"&lt;&gt;Patrícia Karla de Sousa Araújo",$B:$B,"&lt;&gt;Lorena Dias de Araujo",$B:$B,"&lt;&gt;Lucas Luiz Romero")*(28/1083),IF(C4127="Técnico I",SUMIFS($D:$D,$A:$A,$A4127,$B:$B,"&lt;&gt;Patrícia Karla de Sousa Araújo",$B:$B,"&lt;&gt;Lorena Dias de Araujo",$B:$B,"&lt;&gt;Lucas Luiz Romero")*(23/1083),IF(C4127="JR",SUMIFS($D:$D,$A:$A,$A4127,$B:$B,"&lt;&gt;Patrícia Karla de Sousa Araújo",$B:$B,"&lt;&gt;Lorena Dias de Araujo",$B:$B,"&lt;&gt;Lucas Luiz Romero")*(20/1083),IF(C4127="Estágio",SUMIFS($D:$D,$A:$A,$A4127,$B:$B,"&lt;&gt;Patrícia Karla de Sousa Araújo",$B:$B,"&lt;&gt;Lorena Dias de Araujo",$B:$B,"&lt;&gt;Lucas Luiz Romero")*(10/1083),0)))))),0)</f>
        <v/>
      </c>
      <c r="K4127" s="3">
        <f>I4127-J4127</f>
        <v/>
      </c>
      <c r="L4127" s="3">
        <f>IF(K4127&lt;-5,"CRÍTICO",IF(K4127&lt;0,"ATENÇÃO",IF(K4127&lt;=5,"OPORTUNO","MUITO BOM")))</f>
        <v/>
      </c>
      <c r="N4127" t="n">
        <v>96.3</v>
      </c>
      <c r="O4127" t="n">
        <v>31.98090692124105</v>
      </c>
    </row>
    <row r="4128" hidden="1">
      <c r="A4128" s="11" t="n">
        <v>46132</v>
      </c>
      <c r="B4128" t="inlineStr">
        <is>
          <t>Cristiane Ramos da Silva Rocha</t>
        </is>
      </c>
      <c r="C4128" t="inlineStr">
        <is>
          <t>Técnico III</t>
        </is>
      </c>
      <c r="D4128" t="n">
        <v>22</v>
      </c>
      <c r="E4128" t="n">
        <v>21</v>
      </c>
      <c r="F4128" t="n">
        <v>12.09</v>
      </c>
      <c r="G4128" t="n">
        <v>0</v>
      </c>
      <c r="H4128" t="n">
        <v>0</v>
      </c>
      <c r="I4128" s="3">
        <f>E4128+G4128+H4128</f>
        <v/>
      </c>
      <c r="J4128" s="3">
        <f>ROUND(MIN(IF(C4128="Técnico III",35,IF(C4128="Técnico II",28,IF(C4128="Técnico I",23,IF(C4128="JR",20,IF(C4128="Estágio",10,0))))),IF(C4128="Técnico III",SUMIFS($D:$D,$A:$A,$A4128,$B:$B,"&lt;&gt;Patrícia Karla de Sousa Araújo",$B:$B,"&lt;&gt;Lorena Dias de Araujo",$B:$B,"&lt;&gt;Lucas Luiz Romero")*(35/1083),IF(C4128="Técnico II",SUMIFS($D:$D,$A:$A,$A4128,$B:$B,"&lt;&gt;Patrícia Karla de Sousa Araújo",$B:$B,"&lt;&gt;Lorena Dias de Araujo",$B:$B,"&lt;&gt;Lucas Luiz Romero")*(28/1083),IF(C4128="Técnico I",SUMIFS($D:$D,$A:$A,$A4128,$B:$B,"&lt;&gt;Patrícia Karla de Sousa Araújo",$B:$B,"&lt;&gt;Lorena Dias de Araujo",$B:$B,"&lt;&gt;Lucas Luiz Romero")*(23/1083),IF(C4128="JR",SUMIFS($D:$D,$A:$A,$A4128,$B:$B,"&lt;&gt;Patrícia Karla de Sousa Araújo",$B:$B,"&lt;&gt;Lorena Dias de Araujo",$B:$B,"&lt;&gt;Lucas Luiz Romero")*(20/1083),IF(C4128="Estágio",SUMIFS($D:$D,$A:$A,$A4128,$B:$B,"&lt;&gt;Patrícia Karla de Sousa Araújo",$B:$B,"&lt;&gt;Lorena Dias de Araujo",$B:$B,"&lt;&gt;Lucas Luiz Romero")*(10/1083),0)))))),0)</f>
        <v/>
      </c>
      <c r="K4128" s="3">
        <f>I4128-J4128</f>
        <v/>
      </c>
      <c r="L4128" s="3">
        <f>IF(K4128&lt;-5,"CRÍTICO",IF(K4128&lt;0,"ATENÇÃO",IF(K4128&lt;=5,"OPORTUNO","MUITO BOM")))</f>
        <v/>
      </c>
      <c r="N4128" t="n">
        <v>93.75</v>
      </c>
      <c r="O4128" t="n">
        <v>26.62835249042146</v>
      </c>
    </row>
    <row r="4129" hidden="1">
      <c r="A4129" s="11" t="n">
        <v>46132</v>
      </c>
      <c r="B4129" t="inlineStr">
        <is>
          <t>Damyllis Lorraine de Oliveira Gonçalves</t>
        </is>
      </c>
      <c r="C4129" t="inlineStr">
        <is>
          <t>Técnico II</t>
        </is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s="3" t="n">
        <v>0</v>
      </c>
      <c r="J4129" s="3" t="n">
        <v>0</v>
      </c>
      <c r="K4129" s="3" t="n">
        <v>0</v>
      </c>
      <c r="L4129" s="3">
        <f>IF(K4129&lt;-5,"CRÍTICO",IF(K4129&lt;0,"ATENÇÃO",IF(K4129&lt;=5,"OPORTUNO","MUITO BOM")))</f>
        <v/>
      </c>
      <c r="N4129" t="n">
        <v>97.86</v>
      </c>
      <c r="O4129" t="n">
        <v>31.01851851851852</v>
      </c>
    </row>
    <row r="4130" hidden="1">
      <c r="A4130" s="11" t="n">
        <v>46132</v>
      </c>
      <c r="B4130" t="inlineStr">
        <is>
          <t>Daniel Gomes da Silva</t>
        </is>
      </c>
      <c r="C4130" t="inlineStr">
        <is>
          <t>Técnico I</t>
        </is>
      </c>
      <c r="D4130" t="n">
        <v>17</v>
      </c>
      <c r="E4130" t="n">
        <v>17</v>
      </c>
      <c r="F4130" t="n">
        <v>20.17</v>
      </c>
      <c r="G4130" t="n">
        <v>0</v>
      </c>
      <c r="H4130" t="n">
        <v>0</v>
      </c>
      <c r="I4130" s="3">
        <f>E4130+G4130+H4130</f>
        <v/>
      </c>
      <c r="J4130" s="3">
        <f>ROUND(MIN(IF(C4130="Técnico III",35,IF(C4130="Técnico II",28,IF(C4130="Técnico I",23,IF(C4130="JR",20,IF(C4130="Estágio",10,0))))),IF(C4130="Técnico III",SUMIFS($D:$D,$A:$A,$A4130,$B:$B,"&lt;&gt;Patrícia Karla de Sousa Araújo",$B:$B,"&lt;&gt;Lorena Dias de Araujo",$B:$B,"&lt;&gt;Lucas Luiz Romero")*(35/1083),IF(C4130="Técnico II",SUMIFS($D:$D,$A:$A,$A4130,$B:$B,"&lt;&gt;Patrícia Karla de Sousa Araújo",$B:$B,"&lt;&gt;Lorena Dias de Araujo",$B:$B,"&lt;&gt;Lucas Luiz Romero")*(28/1083),IF(C4130="Técnico I",SUMIFS($D:$D,$A:$A,$A4130,$B:$B,"&lt;&gt;Patrícia Karla de Sousa Araújo",$B:$B,"&lt;&gt;Lorena Dias de Araujo",$B:$B,"&lt;&gt;Lucas Luiz Romero")*(23/1083),IF(C4130="JR",SUMIFS($D:$D,$A:$A,$A4130,$B:$B,"&lt;&gt;Patrícia Karla de Sousa Araújo",$B:$B,"&lt;&gt;Lorena Dias de Araujo",$B:$B,"&lt;&gt;Lucas Luiz Romero")*(20/1083),IF(C4130="Estágio",SUMIFS($D:$D,$A:$A,$A4130,$B:$B,"&lt;&gt;Patrícia Karla de Sousa Araújo",$B:$B,"&lt;&gt;Lorena Dias de Araujo",$B:$B,"&lt;&gt;Lucas Luiz Romero")*(10/1083),0)))))),0)</f>
        <v/>
      </c>
      <c r="K4130" s="3">
        <f>I4130-J4130</f>
        <v/>
      </c>
      <c r="L4130" s="3">
        <f>IF(K4130&lt;-5,"CRÍTICO",IF(K4130&lt;0,"ATENÇÃO",IF(K4130&lt;=5,"OPORTUNO","MUITO BOM")))</f>
        <v/>
      </c>
      <c r="N4130" t="n">
        <v>100</v>
      </c>
      <c r="O4130" t="n">
        <v>36.23188405797102</v>
      </c>
    </row>
    <row r="4131" hidden="1">
      <c r="A4131" s="11" t="n">
        <v>46132</v>
      </c>
      <c r="B4131" t="inlineStr">
        <is>
          <t>Davylla Rodrigues Freitas Silva</t>
        </is>
      </c>
      <c r="C4131" t="inlineStr">
        <is>
          <t>Técnico III</t>
        </is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s="3" t="n">
        <v>0</v>
      </c>
      <c r="J4131" s="3" t="n">
        <v>0</v>
      </c>
      <c r="K4131" s="3" t="n">
        <v>0</v>
      </c>
      <c r="L4131" s="3">
        <f>IF(K4131&lt;-5,"CRÍTICO",IF(K4131&lt;0,"ATENÇÃO",IF(K4131&lt;=5,"OPORTUNO","MUITO BOM")))</f>
        <v/>
      </c>
      <c r="N4131" t="n">
        <v>100</v>
      </c>
      <c r="O4131" t="n">
        <v>38.26923076923077</v>
      </c>
    </row>
    <row r="4132" hidden="1">
      <c r="A4132" s="11" t="n">
        <v>46132</v>
      </c>
      <c r="B4132" t="inlineStr">
        <is>
          <t>Emilly Caylane Costa</t>
        </is>
      </c>
      <c r="C4132" t="inlineStr">
        <is>
          <t>Estágio</t>
        </is>
      </c>
      <c r="D4132" t="n">
        <v>7</v>
      </c>
      <c r="E4132" t="n">
        <v>6</v>
      </c>
      <c r="F4132" t="n">
        <v>27.23</v>
      </c>
      <c r="G4132" t="n">
        <v>0</v>
      </c>
      <c r="H4132" t="n">
        <v>0</v>
      </c>
      <c r="I4132" s="3">
        <f>E4132+G4132+H4132</f>
        <v/>
      </c>
      <c r="J4132" s="3">
        <f>ROUND(MIN(IF(C4132="Técnico III",35,IF(C4132="Técnico II",28,IF(C4132="Técnico I",23,IF(C4132="JR",20,IF(C4132="Estágio",10,0))))),IF(C4132="Técnico III",SUMIFS($D:$D,$A:$A,$A4132,$B:$B,"&lt;&gt;Patrícia Karla de Sousa Araújo",$B:$B,"&lt;&gt;Lorena Dias de Araujo",$B:$B,"&lt;&gt;Lucas Luiz Romero")*(35/1083),IF(C4132="Técnico II",SUMIFS($D:$D,$A:$A,$A4132,$B:$B,"&lt;&gt;Patrícia Karla de Sousa Araújo",$B:$B,"&lt;&gt;Lorena Dias de Araujo",$B:$B,"&lt;&gt;Lucas Luiz Romero")*(28/1083),IF(C4132="Técnico I",SUMIFS($D:$D,$A:$A,$A4132,$B:$B,"&lt;&gt;Patrícia Karla de Sousa Araújo",$B:$B,"&lt;&gt;Lorena Dias de Araujo",$B:$B,"&lt;&gt;Lucas Luiz Romero")*(23/1083),IF(C4132="JR",SUMIFS($D:$D,$A:$A,$A4132,$B:$B,"&lt;&gt;Patrícia Karla de Sousa Araújo",$B:$B,"&lt;&gt;Lorena Dias de Araujo",$B:$B,"&lt;&gt;Lucas Luiz Romero")*(20/1083),IF(C4132="Estágio",SUMIFS($D:$D,$A:$A,$A4132,$B:$B,"&lt;&gt;Patrícia Karla de Sousa Araújo",$B:$B,"&lt;&gt;Lorena Dias de Araujo",$B:$B,"&lt;&gt;Lucas Luiz Romero")*(10/1083),0)))))),0)</f>
        <v/>
      </c>
      <c r="K4132" s="3">
        <f>I4132-J4132</f>
        <v/>
      </c>
      <c r="L4132" s="3">
        <f>IF(K4132&lt;-5,"CRÍTICO",IF(K4132&lt;0,"ATENÇÃO",IF(K4132&lt;=5,"OPORTUNO","MUITO BOM")))</f>
        <v/>
      </c>
      <c r="N4132" t="n">
        <v>100</v>
      </c>
      <c r="O4132" t="n">
        <v>27.36842105263158</v>
      </c>
    </row>
    <row r="4133" hidden="1">
      <c r="A4133" s="11" t="n">
        <v>46132</v>
      </c>
      <c r="B4133" t="inlineStr">
        <is>
          <t>Emilly Kamilly Medeiros Miranda</t>
        </is>
      </c>
      <c r="C4133" t="inlineStr">
        <is>
          <t>Técnico II</t>
        </is>
      </c>
      <c r="D4133" t="n">
        <v>26</v>
      </c>
      <c r="E4133" t="n">
        <v>25</v>
      </c>
      <c r="F4133" t="n">
        <v>18.51</v>
      </c>
      <c r="G4133" t="n">
        <v>0</v>
      </c>
      <c r="H4133" t="n">
        <v>0</v>
      </c>
      <c r="I4133" s="3">
        <f>E4133+G4133+H4133</f>
        <v/>
      </c>
      <c r="J4133" s="3">
        <f>ROUND(MIN(IF(C4133="Técnico III",35,IF(C4133="Técnico II",28,IF(C4133="Técnico I",23,IF(C4133="JR",20,IF(C4133="Estágio",10,0))))),IF(C4133="Técnico III",SUMIFS($D:$D,$A:$A,$A4133,$B:$B,"&lt;&gt;Patrícia Karla de Sousa Araújo",$B:$B,"&lt;&gt;Lorena Dias de Araujo",$B:$B,"&lt;&gt;Lucas Luiz Romero")*(35/1083),IF(C4133="Técnico II",SUMIFS($D:$D,$A:$A,$A4133,$B:$B,"&lt;&gt;Patrícia Karla de Sousa Araújo",$B:$B,"&lt;&gt;Lorena Dias de Araujo",$B:$B,"&lt;&gt;Lucas Luiz Romero")*(28/1083),IF(C4133="Técnico I",SUMIFS($D:$D,$A:$A,$A4133,$B:$B,"&lt;&gt;Patrícia Karla de Sousa Araújo",$B:$B,"&lt;&gt;Lorena Dias de Araujo",$B:$B,"&lt;&gt;Lucas Luiz Romero")*(23/1083),IF(C4133="JR",SUMIFS($D:$D,$A:$A,$A4133,$B:$B,"&lt;&gt;Patrícia Karla de Sousa Araújo",$B:$B,"&lt;&gt;Lorena Dias de Araujo",$B:$B,"&lt;&gt;Lucas Luiz Romero")*(20/1083),IF(C4133="Estágio",SUMIFS($D:$D,$A:$A,$A4133,$B:$B,"&lt;&gt;Patrícia Karla de Sousa Araújo",$B:$B,"&lt;&gt;Lorena Dias de Araujo",$B:$B,"&lt;&gt;Lucas Luiz Romero")*(10/1083),0)))))),0)</f>
        <v/>
      </c>
      <c r="K4133" s="3">
        <f>I4133-J4133</f>
        <v/>
      </c>
      <c r="L4133" s="3">
        <f>IF(K4133&lt;-5,"CRÍTICO",IF(K4133&lt;0,"ATENÇÃO",IF(K4133&lt;=5,"OPORTUNO","MUITO BOM")))</f>
        <v/>
      </c>
      <c r="N4133" t="n">
        <v>97.83</v>
      </c>
      <c r="O4133" t="n">
        <v>28.13186813186813</v>
      </c>
    </row>
    <row r="4134" hidden="1">
      <c r="A4134" s="11" t="n">
        <v>46132</v>
      </c>
      <c r="B4134" t="inlineStr">
        <is>
          <t>Francielson de Oliveira</t>
        </is>
      </c>
      <c r="C4134" t="inlineStr">
        <is>
          <t>Técnico III</t>
        </is>
      </c>
      <c r="D4134" t="n">
        <v>25</v>
      </c>
      <c r="E4134" t="n">
        <v>23</v>
      </c>
      <c r="F4134" t="n">
        <v>15.58</v>
      </c>
      <c r="G4134" t="n">
        <v>0</v>
      </c>
      <c r="H4134" t="n">
        <v>0</v>
      </c>
      <c r="I4134" s="3">
        <f>E4134+G4134+H4134</f>
        <v/>
      </c>
      <c r="J4134" s="3">
        <f>ROUND(MIN(IF(C4134="Técnico III",35,IF(C4134="Técnico II",28,IF(C4134="Técnico I",23,IF(C4134="JR",20,IF(C4134="Estágio",10,0))))),IF(C4134="Técnico III",SUMIFS($D:$D,$A:$A,$A4134,$B:$B,"&lt;&gt;Patrícia Karla de Sousa Araújo",$B:$B,"&lt;&gt;Lorena Dias de Araujo",$B:$B,"&lt;&gt;Lucas Luiz Romero")*(35/1083),IF(C4134="Técnico II",SUMIFS($D:$D,$A:$A,$A4134,$B:$B,"&lt;&gt;Patrícia Karla de Sousa Araújo",$B:$B,"&lt;&gt;Lorena Dias de Araujo",$B:$B,"&lt;&gt;Lucas Luiz Romero")*(28/1083),IF(C4134="Técnico I",SUMIFS($D:$D,$A:$A,$A4134,$B:$B,"&lt;&gt;Patrícia Karla de Sousa Araújo",$B:$B,"&lt;&gt;Lorena Dias de Araujo",$B:$B,"&lt;&gt;Lucas Luiz Romero")*(23/1083),IF(C4134="JR",SUMIFS($D:$D,$A:$A,$A4134,$B:$B,"&lt;&gt;Patrícia Karla de Sousa Araújo",$B:$B,"&lt;&gt;Lorena Dias de Araujo",$B:$B,"&lt;&gt;Lucas Luiz Romero")*(20/1083),IF(C4134="Estágio",SUMIFS($D:$D,$A:$A,$A4134,$B:$B,"&lt;&gt;Patrícia Karla de Sousa Araújo",$B:$B,"&lt;&gt;Lorena Dias de Araujo",$B:$B,"&lt;&gt;Lucas Luiz Romero")*(10/1083),0)))))),0)</f>
        <v/>
      </c>
      <c r="K4134" s="3">
        <f>I4134-J4134</f>
        <v/>
      </c>
      <c r="L4134" s="3">
        <f>IF(K4134&lt;-5,"CRÍTICO",IF(K4134&lt;0,"ATENÇÃO",IF(K4134&lt;=5,"OPORTUNO","MUITO BOM")))</f>
        <v/>
      </c>
      <c r="N4134" t="n">
        <v>99.26000000000001</v>
      </c>
      <c r="O4134" t="n">
        <v>29.57198443579767</v>
      </c>
    </row>
    <row r="4135" hidden="1">
      <c r="A4135" s="11" t="n">
        <v>46132</v>
      </c>
      <c r="B4135" t="inlineStr">
        <is>
          <t>Francilene Ferreira de Jesus</t>
        </is>
      </c>
      <c r="C4135" t="inlineStr">
        <is>
          <t>Técnico II</t>
        </is>
      </c>
      <c r="D4135" t="n">
        <v>9</v>
      </c>
      <c r="E4135" t="n">
        <v>9</v>
      </c>
      <c r="F4135" t="n">
        <v>23.51</v>
      </c>
      <c r="G4135" t="n">
        <v>0</v>
      </c>
      <c r="H4135" t="n">
        <v>0</v>
      </c>
      <c r="I4135" s="3">
        <f>E4135+G4135+H4135</f>
        <v/>
      </c>
      <c r="J4135" s="3">
        <f>ROUND(MIN(IF(C4135="Técnico III",35,IF(C4135="Técnico II",28,IF(C4135="Técnico I",23,IF(C4135="JR",20,IF(C4135="Estágio",10,0))))),IF(C4135="Técnico III",SUMIFS($D:$D,$A:$A,$A4135,$B:$B,"&lt;&gt;Patrícia Karla de Sousa Araújo",$B:$B,"&lt;&gt;Lorena Dias de Araujo",$B:$B,"&lt;&gt;Lucas Luiz Romero")*(35/1083),IF(C4135="Técnico II",SUMIFS($D:$D,$A:$A,$A4135,$B:$B,"&lt;&gt;Patrícia Karla de Sousa Araújo",$B:$B,"&lt;&gt;Lorena Dias de Araujo",$B:$B,"&lt;&gt;Lucas Luiz Romero")*(28/1083),IF(C4135="Técnico I",SUMIFS($D:$D,$A:$A,$A4135,$B:$B,"&lt;&gt;Patrícia Karla de Sousa Araújo",$B:$B,"&lt;&gt;Lorena Dias de Araujo",$B:$B,"&lt;&gt;Lucas Luiz Romero")*(23/1083),IF(C4135="JR",SUMIFS($D:$D,$A:$A,$A4135,$B:$B,"&lt;&gt;Patrícia Karla de Sousa Araújo",$B:$B,"&lt;&gt;Lorena Dias de Araujo",$B:$B,"&lt;&gt;Lucas Luiz Romero")*(20/1083),IF(C4135="Estágio",SUMIFS($D:$D,$A:$A,$A4135,$B:$B,"&lt;&gt;Patrícia Karla de Sousa Araújo",$B:$B,"&lt;&gt;Lorena Dias de Araujo",$B:$B,"&lt;&gt;Lucas Luiz Romero")*(10/1083),0)))))),0)</f>
        <v/>
      </c>
      <c r="K4135" s="3">
        <f>I4135-J4135</f>
        <v/>
      </c>
      <c r="L4135" s="3">
        <f>IF(K4135&lt;-5,"CRÍTICO",IF(K4135&lt;0,"ATENÇÃO",IF(K4135&lt;=5,"OPORTUNO","MUITO BOM")))</f>
        <v/>
      </c>
      <c r="N4135" t="n">
        <v>99.19</v>
      </c>
      <c r="O4135" t="n">
        <v>29.46236559139785</v>
      </c>
    </row>
    <row r="4136" hidden="1">
      <c r="A4136" s="11" t="n">
        <v>46140</v>
      </c>
      <c r="B4136" t="inlineStr">
        <is>
          <t>Carlos Mateus Cassimiro Nunes</t>
        </is>
      </c>
      <c r="C4136" t="inlineStr">
        <is>
          <t>Técnico II</t>
        </is>
      </c>
      <c r="D4136" t="n">
        <v>24</v>
      </c>
      <c r="E4136" t="n">
        <v>23</v>
      </c>
      <c r="F4136" t="n">
        <v>25.57</v>
      </c>
      <c r="G4136" t="n">
        <v>0</v>
      </c>
      <c r="H4136" t="n">
        <v>0</v>
      </c>
      <c r="I4136" s="3">
        <f>E4136+G4136+H4136</f>
        <v/>
      </c>
      <c r="J4136" s="3">
        <f>ROUND(MIN(IF(C4136="Técnico III",35,IF(C4136="Técnico II",28,IF(C4136="Técnico I",23,IF(C4136="JR",20,IF(C4136="Estágio",10,0))))),IF(C4136="Técnico III",SUMIFS($D:$D,$A:$A,$A4136,$B:$B,"&lt;&gt;Patrícia Karla de Sousa Araújo",$B:$B,"&lt;&gt;Lorena Dias de Araujo",$B:$B,"&lt;&gt;Lucas Luiz Romero")*(35/1083),IF(C4136="Técnico II",SUMIFS($D:$D,$A:$A,$A4136,$B:$B,"&lt;&gt;Patrícia Karla de Sousa Araújo",$B:$B,"&lt;&gt;Lorena Dias de Araujo",$B:$B,"&lt;&gt;Lucas Luiz Romero")*(28/1083),IF(C4136="Técnico I",SUMIFS($D:$D,$A:$A,$A4136,$B:$B,"&lt;&gt;Patrícia Karla de Sousa Araújo",$B:$B,"&lt;&gt;Lorena Dias de Araujo",$B:$B,"&lt;&gt;Lucas Luiz Romero")*(23/1083),IF(C4136="JR",SUMIFS($D:$D,$A:$A,$A4136,$B:$B,"&lt;&gt;Patrícia Karla de Sousa Araújo",$B:$B,"&lt;&gt;Lorena Dias de Araujo",$B:$B,"&lt;&gt;Lucas Luiz Romero")*(20/1083),IF(C4136="Estágio",SUMIFS($D:$D,$A:$A,$A4136,$B:$B,"&lt;&gt;Patrícia Karla de Sousa Araújo",$B:$B,"&lt;&gt;Lorena Dias de Araujo",$B:$B,"&lt;&gt;Lucas Luiz Romero")*(10/1083),0)))))),0)</f>
        <v/>
      </c>
      <c r="K4136" s="3">
        <f>I4136-J4136</f>
        <v/>
      </c>
      <c r="L4136" s="3">
        <f>IF(K4136&lt;-5,"CRÍTICO",IF(K4136&lt;0,"ATENÇÃO",IF(K4136&lt;=5,"OPORTUNO","MUITO BOM")))</f>
        <v/>
      </c>
      <c r="N4136" t="n">
        <v>98.2</v>
      </c>
      <c r="O4136" t="n">
        <v>26.89075630252101</v>
      </c>
    </row>
    <row r="4137" hidden="1">
      <c r="A4137" s="11" t="n">
        <v>46132</v>
      </c>
      <c r="B4137" t="inlineStr">
        <is>
          <t>Isabella Borges de Oliveira</t>
        </is>
      </c>
      <c r="C4137" t="inlineStr">
        <is>
          <t>Técnico II</t>
        </is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s="3" t="n">
        <v>0</v>
      </c>
      <c r="J4137" s="3" t="n">
        <v>0</v>
      </c>
      <c r="K4137" s="3" t="n">
        <v>0</v>
      </c>
      <c r="L4137" s="3">
        <f>IF(K4137&lt;-5,"CRÍTICO",IF(K4137&lt;0,"ATENÇÃO",IF(K4137&lt;=5,"OPORTUNO","MUITO BOM")))</f>
        <v/>
      </c>
      <c r="N4137" t="n">
        <v>100</v>
      </c>
      <c r="O4137" t="n">
        <v>27.94117647058824</v>
      </c>
    </row>
    <row r="4138" hidden="1">
      <c r="A4138" s="11" t="n">
        <v>46132</v>
      </c>
      <c r="B4138" t="inlineStr">
        <is>
          <t>Janaina Lima dos Reis Urany</t>
        </is>
      </c>
      <c r="C4138" t="inlineStr">
        <is>
          <t>Técnico III</t>
        </is>
      </c>
      <c r="D4138" t="n">
        <v>30</v>
      </c>
      <c r="E4138" t="n">
        <v>30</v>
      </c>
      <c r="F4138" t="n">
        <v>13.56</v>
      </c>
      <c r="G4138" t="n">
        <v>0</v>
      </c>
      <c r="H4138" t="n">
        <v>0</v>
      </c>
      <c r="I4138" s="3">
        <f>E4138+G4138+H4138</f>
        <v/>
      </c>
      <c r="J4138" s="3">
        <f>ROUND(MIN(IF(C4138="Técnico III",35,IF(C4138="Técnico II",28,IF(C4138="Técnico I",23,IF(C4138="JR",20,IF(C4138="Estágio",10,0))))),IF(C4138="Técnico III",SUMIFS($D:$D,$A:$A,$A4138,$B:$B,"&lt;&gt;Patrícia Karla de Sousa Araújo",$B:$B,"&lt;&gt;Lorena Dias de Araujo",$B:$B,"&lt;&gt;Lucas Luiz Romero")*(35/1083),IF(C4138="Técnico II",SUMIFS($D:$D,$A:$A,$A4138,$B:$B,"&lt;&gt;Patrícia Karla de Sousa Araújo",$B:$B,"&lt;&gt;Lorena Dias de Araujo",$B:$B,"&lt;&gt;Lucas Luiz Romero")*(28/1083),IF(C4138="Técnico I",SUMIFS($D:$D,$A:$A,$A4138,$B:$B,"&lt;&gt;Patrícia Karla de Sousa Araújo",$B:$B,"&lt;&gt;Lorena Dias de Araujo",$B:$B,"&lt;&gt;Lucas Luiz Romero")*(23/1083),IF(C4138="JR",SUMIFS($D:$D,$A:$A,$A4138,$B:$B,"&lt;&gt;Patrícia Karla de Sousa Araújo",$B:$B,"&lt;&gt;Lorena Dias de Araujo",$B:$B,"&lt;&gt;Lucas Luiz Romero")*(20/1083),IF(C4138="Estágio",SUMIFS($D:$D,$A:$A,$A4138,$B:$B,"&lt;&gt;Patrícia Karla de Sousa Araújo",$B:$B,"&lt;&gt;Lorena Dias de Araujo",$B:$B,"&lt;&gt;Lucas Luiz Romero")*(10/1083),0)))))),0)</f>
        <v/>
      </c>
      <c r="K4138" s="3">
        <f>I4138-J4138</f>
        <v/>
      </c>
      <c r="L4138" s="3">
        <f>IF(K4138&lt;-5,"CRÍTICO",IF(K4138&lt;0,"ATENÇÃO",IF(K4138&lt;=5,"OPORTUNO","MUITO BOM")))</f>
        <v/>
      </c>
      <c r="N4138" t="n">
        <v>99.56999999999999</v>
      </c>
      <c r="O4138" t="n">
        <v>29.91329479768786</v>
      </c>
    </row>
    <row r="4139" hidden="1">
      <c r="A4139" s="11" t="n">
        <v>46132</v>
      </c>
      <c r="B4139" t="inlineStr">
        <is>
          <t>Jaqueline Evangelista da Silva Martins</t>
        </is>
      </c>
      <c r="C4139" t="inlineStr">
        <is>
          <t>Técnico III</t>
        </is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s="3" t="n">
        <v>0</v>
      </c>
      <c r="J4139" s="3" t="n">
        <v>0</v>
      </c>
      <c r="K4139" s="3" t="n">
        <v>0</v>
      </c>
      <c r="L4139" s="3">
        <f>IF(K4139&lt;-5,"CRÍTICO",IF(K4139&lt;0,"ATENÇÃO",IF(K4139&lt;=5,"OPORTUNO","MUITO BOM")))</f>
        <v/>
      </c>
      <c r="N4139" t="n">
        <v>95.65000000000001</v>
      </c>
      <c r="O4139" t="n">
        <v>31.08108108108108</v>
      </c>
    </row>
    <row r="4140" hidden="1">
      <c r="A4140" s="11" t="n">
        <v>46132</v>
      </c>
      <c r="B4140" t="inlineStr">
        <is>
          <t>Jessica Faria da Silveira</t>
        </is>
      </c>
      <c r="C4140" t="inlineStr">
        <is>
          <t>Técnico II</t>
        </is>
      </c>
      <c r="D4140" t="n">
        <v>28</v>
      </c>
      <c r="E4140" t="n">
        <v>23</v>
      </c>
      <c r="F4140" t="n">
        <v>16.49</v>
      </c>
      <c r="G4140" t="n">
        <v>0</v>
      </c>
      <c r="H4140" t="n">
        <v>0</v>
      </c>
      <c r="I4140" s="3">
        <f>E4140+G4140+H4140</f>
        <v/>
      </c>
      <c r="J4140" s="3">
        <f>ROUND(MIN(IF(C4140="Técnico III",35,IF(C4140="Técnico II",28,IF(C4140="Técnico I",23,IF(C4140="JR",20,IF(C4140="Estágio",10,0))))),IF(C4140="Técnico III",SUMIFS($D:$D,$A:$A,$A4140,$B:$B,"&lt;&gt;Patrícia Karla de Sousa Araújo",$B:$B,"&lt;&gt;Lorena Dias de Araujo",$B:$B,"&lt;&gt;Lucas Luiz Romero")*(35/1083),IF(C4140="Técnico II",SUMIFS($D:$D,$A:$A,$A4140,$B:$B,"&lt;&gt;Patrícia Karla de Sousa Araújo",$B:$B,"&lt;&gt;Lorena Dias de Araujo",$B:$B,"&lt;&gt;Lucas Luiz Romero")*(28/1083),IF(C4140="Técnico I",SUMIFS($D:$D,$A:$A,$A4140,$B:$B,"&lt;&gt;Patrícia Karla de Sousa Araújo",$B:$B,"&lt;&gt;Lorena Dias de Araujo",$B:$B,"&lt;&gt;Lucas Luiz Romero")*(23/1083),IF(C4140="JR",SUMIFS($D:$D,$A:$A,$A4140,$B:$B,"&lt;&gt;Patrícia Karla de Sousa Araújo",$B:$B,"&lt;&gt;Lorena Dias de Araujo",$B:$B,"&lt;&gt;Lucas Luiz Romero")*(20/1083),IF(C4140="Estágio",SUMIFS($D:$D,$A:$A,$A4140,$B:$B,"&lt;&gt;Patrícia Karla de Sousa Araújo",$B:$B,"&lt;&gt;Lorena Dias de Araujo",$B:$B,"&lt;&gt;Lucas Luiz Romero")*(10/1083),0)))))),0)</f>
        <v/>
      </c>
      <c r="K4140" s="3">
        <f>I4140-J4140</f>
        <v/>
      </c>
      <c r="L4140" s="3">
        <f>IF(K4140&lt;-5,"CRÍTICO",IF(K4140&lt;0,"ATENÇÃO",IF(K4140&lt;=5,"OPORTUNO","MUITO BOM")))</f>
        <v/>
      </c>
      <c r="N4140" t="n">
        <v>98.81</v>
      </c>
      <c r="O4140" t="n">
        <v>26.25698324022346</v>
      </c>
    </row>
    <row r="4141" hidden="1">
      <c r="A4141" s="11" t="n">
        <v>46132</v>
      </c>
      <c r="B4141" t="inlineStr">
        <is>
          <t>Jéssica Fé Moura</t>
        </is>
      </c>
      <c r="C4141" t="inlineStr">
        <is>
          <t>Técnico III</t>
        </is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s="3" t="n">
        <v>0</v>
      </c>
      <c r="J4141" s="3" t="n">
        <v>0</v>
      </c>
      <c r="K4141" s="3" t="n">
        <v>0</v>
      </c>
      <c r="L4141" s="3">
        <f>IF(K4141&lt;-5,"CRÍTICO",IF(K4141&lt;0,"ATENÇÃO",IF(K4141&lt;=5,"OPORTUNO","MUITO BOM")))</f>
        <v/>
      </c>
      <c r="N4141" t="n">
        <v>0</v>
      </c>
      <c r="O4141" t="n">
        <v>0</v>
      </c>
    </row>
    <row r="4142" hidden="1">
      <c r="A4142" s="11" t="n">
        <v>46132</v>
      </c>
      <c r="B4142" t="inlineStr">
        <is>
          <t>Karina Gonçalves Martins</t>
        </is>
      </c>
      <c r="C4142" t="inlineStr">
        <is>
          <t>JR</t>
        </is>
      </c>
      <c r="D4142" t="n">
        <v>6</v>
      </c>
      <c r="E4142" t="n">
        <v>6</v>
      </c>
      <c r="F4142" t="n">
        <v>24.11</v>
      </c>
      <c r="G4142" t="n">
        <v>0</v>
      </c>
      <c r="H4142" t="n">
        <v>0</v>
      </c>
      <c r="I4142" s="3">
        <f>E4142+G4142+H4142</f>
        <v/>
      </c>
      <c r="J4142" s="3">
        <f>ROUND(MIN(IF(C4142="Técnico III",35,IF(C4142="Técnico II",28,IF(C4142="Técnico I",23,IF(C4142="JR",20,IF(C4142="Estágio",10,0))))),IF(C4142="Técnico III",SUMIFS($D:$D,$A:$A,$A4142,$B:$B,"&lt;&gt;Patrícia Karla de Sousa Araújo",$B:$B,"&lt;&gt;Lorena Dias de Araujo",$B:$B,"&lt;&gt;Lucas Luiz Romero")*(35/1083),IF(C4142="Técnico II",SUMIFS($D:$D,$A:$A,$A4142,$B:$B,"&lt;&gt;Patrícia Karla de Sousa Araújo",$B:$B,"&lt;&gt;Lorena Dias de Araujo",$B:$B,"&lt;&gt;Lucas Luiz Romero")*(28/1083),IF(C4142="Técnico I",SUMIFS($D:$D,$A:$A,$A4142,$B:$B,"&lt;&gt;Patrícia Karla de Sousa Araújo",$B:$B,"&lt;&gt;Lorena Dias de Araujo",$B:$B,"&lt;&gt;Lucas Luiz Romero")*(23/1083),IF(C4142="JR",SUMIFS($D:$D,$A:$A,$A4142,$B:$B,"&lt;&gt;Patrícia Karla de Sousa Araújo",$B:$B,"&lt;&gt;Lorena Dias de Araujo",$B:$B,"&lt;&gt;Lucas Luiz Romero")*(20/1083),IF(C4142="Estágio",SUMIFS($D:$D,$A:$A,$A4142,$B:$B,"&lt;&gt;Patrícia Karla de Sousa Araújo",$B:$B,"&lt;&gt;Lorena Dias de Araujo",$B:$B,"&lt;&gt;Lucas Luiz Romero")*(10/1083),0)))))),0)</f>
        <v/>
      </c>
      <c r="K4142" s="3">
        <f>I4142-J4142</f>
        <v/>
      </c>
      <c r="L4142" s="3">
        <f>IF(K4142&lt;-5,"CRÍTICO",IF(K4142&lt;0,"ATENÇÃO",IF(K4142&lt;=5,"OPORTUNO","MUITO BOM")))</f>
        <v/>
      </c>
      <c r="N4142" t="n">
        <v>97.17</v>
      </c>
      <c r="O4142" t="n">
        <v>28.81844380403458</v>
      </c>
    </row>
    <row r="4143" hidden="1">
      <c r="A4143" s="11" t="n">
        <v>46132</v>
      </c>
      <c r="B4143" t="inlineStr">
        <is>
          <t>Kerollen Cristielly de Jesus Siqueira</t>
        </is>
      </c>
      <c r="C4143" t="inlineStr">
        <is>
          <t>Técnico III</t>
        </is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s="3" t="n">
        <v>0</v>
      </c>
      <c r="J4143" s="3" t="n">
        <v>0</v>
      </c>
      <c r="K4143" s="3" t="n">
        <v>0</v>
      </c>
      <c r="L4143" s="3">
        <f>IF(K4143&lt;-5,"CRÍTICO",IF(K4143&lt;0,"ATENÇÃO",IF(K4143&lt;=5,"OPORTUNO","MUITO BOM")))</f>
        <v/>
      </c>
      <c r="N4143" t="n">
        <v>96.81</v>
      </c>
      <c r="O4143" t="n">
        <v>48.01864801864802</v>
      </c>
    </row>
    <row r="4144" hidden="1">
      <c r="A4144" s="11" t="n">
        <v>46132</v>
      </c>
      <c r="B4144" t="inlineStr">
        <is>
          <t>Leandro de Souza Silva</t>
        </is>
      </c>
      <c r="C4144" t="inlineStr">
        <is>
          <t>JR</t>
        </is>
      </c>
      <c r="D4144" t="n">
        <v>8</v>
      </c>
      <c r="E4144" t="n">
        <v>8</v>
      </c>
      <c r="F4144" t="n">
        <v>22.12</v>
      </c>
      <c r="G4144" t="n">
        <v>0</v>
      </c>
      <c r="H4144" t="n">
        <v>0</v>
      </c>
      <c r="I4144" s="3">
        <f>E4144+G4144+H4144</f>
        <v/>
      </c>
      <c r="J4144" s="3">
        <f>ROUND(MIN(IF(C4144="Técnico III",35,IF(C4144="Técnico II",28,IF(C4144="Técnico I",23,IF(C4144="JR",20,IF(C4144="Estágio",10,0))))),IF(C4144="Técnico III",SUMIFS($D:$D,$A:$A,$A4144,$B:$B,"&lt;&gt;Patrícia Karla de Sousa Araújo",$B:$B,"&lt;&gt;Lorena Dias de Araujo",$B:$B,"&lt;&gt;Lucas Luiz Romero")*(35/1083),IF(C4144="Técnico II",SUMIFS($D:$D,$A:$A,$A4144,$B:$B,"&lt;&gt;Patrícia Karla de Sousa Araújo",$B:$B,"&lt;&gt;Lorena Dias de Araujo",$B:$B,"&lt;&gt;Lucas Luiz Romero")*(28/1083),IF(C4144="Técnico I",SUMIFS($D:$D,$A:$A,$A4144,$B:$B,"&lt;&gt;Patrícia Karla de Sousa Araújo",$B:$B,"&lt;&gt;Lorena Dias de Araujo",$B:$B,"&lt;&gt;Lucas Luiz Romero")*(23/1083),IF(C4144="JR",SUMIFS($D:$D,$A:$A,$A4144,$B:$B,"&lt;&gt;Patrícia Karla de Sousa Araújo",$B:$B,"&lt;&gt;Lorena Dias de Araujo",$B:$B,"&lt;&gt;Lucas Luiz Romero")*(20/1083),IF(C4144="Estágio",SUMIFS($D:$D,$A:$A,$A4144,$B:$B,"&lt;&gt;Patrícia Karla de Sousa Araújo",$B:$B,"&lt;&gt;Lorena Dias de Araujo",$B:$B,"&lt;&gt;Lucas Luiz Romero")*(10/1083),0)))))),0)</f>
        <v/>
      </c>
      <c r="K4144" s="3">
        <f>I4144-J4144</f>
        <v/>
      </c>
      <c r="L4144" s="3">
        <f>IF(K4144&lt;-5,"CRÍTICO",IF(K4144&lt;0,"ATENÇÃO",IF(K4144&lt;=5,"OPORTUNO","MUITO BOM")))</f>
        <v/>
      </c>
      <c r="N4144" t="n">
        <v>98.15000000000001</v>
      </c>
      <c r="O4144" t="n">
        <v>27.1551724137931</v>
      </c>
    </row>
    <row r="4145" hidden="1">
      <c r="A4145" s="11" t="n">
        <v>46132</v>
      </c>
      <c r="B4145" t="inlineStr">
        <is>
          <t>Leandro Oliveira de Sousa</t>
        </is>
      </c>
      <c r="C4145" t="inlineStr">
        <is>
          <t>Técnico III</t>
        </is>
      </c>
      <c r="D4145" t="n">
        <v>27</v>
      </c>
      <c r="E4145" t="n">
        <v>23</v>
      </c>
      <c r="F4145" t="n">
        <v>16.42</v>
      </c>
      <c r="G4145" t="n">
        <v>0</v>
      </c>
      <c r="H4145" t="n">
        <v>0</v>
      </c>
      <c r="I4145" s="3">
        <f>E4145+G4145+H4145</f>
        <v/>
      </c>
      <c r="J4145" s="3">
        <f>ROUND(MIN(IF(C4145="Técnico III",35,IF(C4145="Técnico II",28,IF(C4145="Técnico I",23,IF(C4145="JR",20,IF(C4145="Estágio",10,0))))),IF(C4145="Técnico III",SUMIFS($D:$D,$A:$A,$A4145,$B:$B,"&lt;&gt;Patrícia Karla de Sousa Araújo",$B:$B,"&lt;&gt;Lorena Dias de Araujo",$B:$B,"&lt;&gt;Lucas Luiz Romero")*(35/1083),IF(C4145="Técnico II",SUMIFS($D:$D,$A:$A,$A4145,$B:$B,"&lt;&gt;Patrícia Karla de Sousa Araújo",$B:$B,"&lt;&gt;Lorena Dias de Araujo",$B:$B,"&lt;&gt;Lucas Luiz Romero")*(28/1083),IF(C4145="Técnico I",SUMIFS($D:$D,$A:$A,$A4145,$B:$B,"&lt;&gt;Patrícia Karla de Sousa Araújo",$B:$B,"&lt;&gt;Lorena Dias de Araujo",$B:$B,"&lt;&gt;Lucas Luiz Romero")*(23/1083),IF(C4145="JR",SUMIFS($D:$D,$A:$A,$A4145,$B:$B,"&lt;&gt;Patrícia Karla de Sousa Araújo",$B:$B,"&lt;&gt;Lorena Dias de Araujo",$B:$B,"&lt;&gt;Lucas Luiz Romero")*(20/1083),IF(C4145="Estágio",SUMIFS($D:$D,$A:$A,$A4145,$B:$B,"&lt;&gt;Patrícia Karla de Sousa Araújo",$B:$B,"&lt;&gt;Lorena Dias de Araujo",$B:$B,"&lt;&gt;Lucas Luiz Romero")*(10/1083),0)))))),0)</f>
        <v/>
      </c>
      <c r="K4145" s="3">
        <f>I4145-J4145</f>
        <v/>
      </c>
      <c r="L4145" s="3">
        <f>IF(K4145&lt;-5,"CRÍTICO",IF(K4145&lt;0,"ATENÇÃO",IF(K4145&lt;=5,"OPORTUNO","MUITO BOM")))</f>
        <v/>
      </c>
      <c r="N4145" t="n">
        <v>99.15000000000001</v>
      </c>
      <c r="O4145" t="n">
        <v>27.37068965517241</v>
      </c>
    </row>
    <row r="4146" hidden="1">
      <c r="A4146" s="11" t="n">
        <v>46132</v>
      </c>
      <c r="B4146" t="inlineStr">
        <is>
          <t>Lizandra Gomes Duarte</t>
        </is>
      </c>
      <c r="C4146" t="inlineStr">
        <is>
          <t>Técnico II</t>
        </is>
      </c>
      <c r="D4146" t="n">
        <v>19</v>
      </c>
      <c r="E4146" t="n">
        <v>19</v>
      </c>
      <c r="F4146" t="n">
        <v>20.49</v>
      </c>
      <c r="G4146" t="n">
        <v>0</v>
      </c>
      <c r="H4146" t="n">
        <v>0</v>
      </c>
      <c r="I4146" s="3">
        <f>E4146+G4146+H4146</f>
        <v/>
      </c>
      <c r="J4146" s="3">
        <f>ROUND(MIN(IF(C4146="Técnico III",35,IF(C4146="Técnico II",28,IF(C4146="Técnico I",23,IF(C4146="JR",20,IF(C4146="Estágio",10,0))))),IF(C4146="Técnico III",SUMIFS($D:$D,$A:$A,$A4146,$B:$B,"&lt;&gt;Patrícia Karla de Sousa Araújo",$B:$B,"&lt;&gt;Lorena Dias de Araujo",$B:$B,"&lt;&gt;Lucas Luiz Romero")*(35/1083),IF(C4146="Técnico II",SUMIFS($D:$D,$A:$A,$A4146,$B:$B,"&lt;&gt;Patrícia Karla de Sousa Araújo",$B:$B,"&lt;&gt;Lorena Dias de Araujo",$B:$B,"&lt;&gt;Lucas Luiz Romero")*(28/1083),IF(C4146="Técnico I",SUMIFS($D:$D,$A:$A,$A4146,$B:$B,"&lt;&gt;Patrícia Karla de Sousa Araújo",$B:$B,"&lt;&gt;Lorena Dias de Araujo",$B:$B,"&lt;&gt;Lucas Luiz Romero")*(23/1083),IF(C4146="JR",SUMIFS($D:$D,$A:$A,$A4146,$B:$B,"&lt;&gt;Patrícia Karla de Sousa Araújo",$B:$B,"&lt;&gt;Lorena Dias de Araujo",$B:$B,"&lt;&gt;Lucas Luiz Romero")*(20/1083),IF(C4146="Estágio",SUMIFS($D:$D,$A:$A,$A4146,$B:$B,"&lt;&gt;Patrícia Karla de Sousa Araújo",$B:$B,"&lt;&gt;Lorena Dias de Araujo",$B:$B,"&lt;&gt;Lucas Luiz Romero")*(10/1083),0)))))),0)</f>
        <v/>
      </c>
      <c r="K4146" s="3">
        <f>I4146-J4146</f>
        <v/>
      </c>
      <c r="L4146" s="3">
        <f>IF(K4146&lt;-5,"CRÍTICO",IF(K4146&lt;0,"ATENÇÃO",IF(K4146&lt;=5,"OPORTUNO","MUITO BOM")))</f>
        <v/>
      </c>
      <c r="N4146" t="n">
        <v>99.17</v>
      </c>
      <c r="O4146" t="n">
        <v>29.75206611570248</v>
      </c>
    </row>
    <row r="4147" hidden="1">
      <c r="A4147" s="11" t="n">
        <v>46132</v>
      </c>
      <c r="B4147" t="inlineStr">
        <is>
          <t>Lorena Dias de Araujo</t>
        </is>
      </c>
      <c r="C4147" t="inlineStr">
        <is>
          <t>Técnico II</t>
        </is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s="3" t="n">
        <v>0</v>
      </c>
      <c r="J4147" s="3" t="n">
        <v>0</v>
      </c>
      <c r="K4147" s="3" t="n">
        <v>0</v>
      </c>
      <c r="L4147" s="3">
        <f>IF(K4147&lt;-5,"CRÍTICO",IF(K4147&lt;0,"ATENÇÃO",IF(K4147&lt;=5,"OPORTUNO","MUITO BOM")))</f>
        <v/>
      </c>
      <c r="N4147" t="n">
        <v>98.73</v>
      </c>
      <c r="O4147" t="n">
        <v>28.96174863387978</v>
      </c>
    </row>
    <row r="4148" hidden="1">
      <c r="A4148" s="11" t="n">
        <v>46132</v>
      </c>
      <c r="B4148" t="inlineStr">
        <is>
          <t>Lucas Luiz Romero</t>
        </is>
      </c>
      <c r="C4148" t="inlineStr">
        <is>
          <t>Técnico III</t>
        </is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s="3" t="n">
        <v>0</v>
      </c>
      <c r="J4148" s="3" t="n">
        <v>0</v>
      </c>
      <c r="K4148" s="3" t="n">
        <v>0</v>
      </c>
      <c r="L4148" s="3">
        <f>IF(K4148&lt;-5,"CRÍTICO",IF(K4148&lt;0,"ATENÇÃO",IF(K4148&lt;=5,"OPORTUNO","MUITO BOM")))</f>
        <v/>
      </c>
      <c r="N4148" t="n">
        <v>88.68000000000001</v>
      </c>
      <c r="O4148" t="n">
        <v>22.03389830508474</v>
      </c>
    </row>
    <row r="4149" hidden="1">
      <c r="A4149" s="11" t="n">
        <v>46132</v>
      </c>
      <c r="B4149" t="inlineStr">
        <is>
          <t>Luiz Fernando de Carvalho Junior</t>
        </is>
      </c>
      <c r="C4149" t="inlineStr">
        <is>
          <t>Técnico I</t>
        </is>
      </c>
      <c r="D4149" t="n">
        <v>13</v>
      </c>
      <c r="E4149" t="n">
        <v>11</v>
      </c>
      <c r="F4149" t="n">
        <v>18.36</v>
      </c>
      <c r="G4149" t="n">
        <v>0</v>
      </c>
      <c r="H4149" t="n">
        <v>0</v>
      </c>
      <c r="I4149" s="3">
        <f>E4149+G4149+H4149</f>
        <v/>
      </c>
      <c r="J4149" s="3">
        <f>ROUND(MIN(IF(C4149="Técnico III",35,IF(C4149="Técnico II",28,IF(C4149="Técnico I",23,IF(C4149="JR",20,IF(C4149="Estágio",10,0))))),IF(C4149="Técnico III",SUMIFS($D:$D,$A:$A,$A4149,$B:$B,"&lt;&gt;Patrícia Karla de Sousa Araújo",$B:$B,"&lt;&gt;Lorena Dias de Araujo",$B:$B,"&lt;&gt;Lucas Luiz Romero")*(35/1083),IF(C4149="Técnico II",SUMIFS($D:$D,$A:$A,$A4149,$B:$B,"&lt;&gt;Patrícia Karla de Sousa Araújo",$B:$B,"&lt;&gt;Lorena Dias de Araujo",$B:$B,"&lt;&gt;Lucas Luiz Romero")*(28/1083),IF(C4149="Técnico I",SUMIFS($D:$D,$A:$A,$A4149,$B:$B,"&lt;&gt;Patrícia Karla de Sousa Araújo",$B:$B,"&lt;&gt;Lorena Dias de Araujo",$B:$B,"&lt;&gt;Lucas Luiz Romero")*(23/1083),IF(C4149="JR",SUMIFS($D:$D,$A:$A,$A4149,$B:$B,"&lt;&gt;Patrícia Karla de Sousa Araújo",$B:$B,"&lt;&gt;Lorena Dias de Araujo",$B:$B,"&lt;&gt;Lucas Luiz Romero")*(20/1083),IF(C4149="Estágio",SUMIFS($D:$D,$A:$A,$A4149,$B:$B,"&lt;&gt;Patrícia Karla de Sousa Araújo",$B:$B,"&lt;&gt;Lorena Dias de Araujo",$B:$B,"&lt;&gt;Lucas Luiz Romero")*(10/1083),0)))))),0)</f>
        <v/>
      </c>
      <c r="K4149" s="3">
        <f>I4149-J4149</f>
        <v/>
      </c>
      <c r="L4149" s="3">
        <f>IF(K4149&lt;-5,"CRÍTICO",IF(K4149&lt;0,"ATENÇÃO",IF(K4149&lt;=5,"OPORTUNO","MUITO BOM")))</f>
        <v/>
      </c>
      <c r="N4149" t="n">
        <v>97.37</v>
      </c>
      <c r="O4149" t="n">
        <v>25.76530612244898</v>
      </c>
    </row>
    <row r="4150" hidden="1">
      <c r="A4150" s="11" t="n">
        <v>46132</v>
      </c>
      <c r="B4150" t="inlineStr">
        <is>
          <t>Maria Eduarda Sousa Costa</t>
        </is>
      </c>
      <c r="C4150" t="inlineStr">
        <is>
          <t>Estágio</t>
        </is>
      </c>
      <c r="D4150" t="n">
        <v>10</v>
      </c>
      <c r="E4150" t="n">
        <v>10</v>
      </c>
      <c r="F4150" t="n">
        <v>25.55</v>
      </c>
      <c r="G4150" t="n">
        <v>0</v>
      </c>
      <c r="H4150" t="n">
        <v>0</v>
      </c>
      <c r="I4150" s="3">
        <f>E4150+G4150+H4150</f>
        <v/>
      </c>
      <c r="J4150" s="3">
        <f>ROUND(MIN(IF(C4150="Técnico III",35,IF(C4150="Técnico II",28,IF(C4150="Técnico I",23,IF(C4150="JR",20,IF(C4150="Estágio",10,0))))),IF(C4150="Técnico III",SUMIFS($D:$D,$A:$A,$A4150,$B:$B,"&lt;&gt;Patrícia Karla de Sousa Araújo",$B:$B,"&lt;&gt;Lorena Dias de Araujo",$B:$B,"&lt;&gt;Lucas Luiz Romero")*(35/1083),IF(C4150="Técnico II",SUMIFS($D:$D,$A:$A,$A4150,$B:$B,"&lt;&gt;Patrícia Karla de Sousa Araújo",$B:$B,"&lt;&gt;Lorena Dias de Araujo",$B:$B,"&lt;&gt;Lucas Luiz Romero")*(28/1083),IF(C4150="Técnico I",SUMIFS($D:$D,$A:$A,$A4150,$B:$B,"&lt;&gt;Patrícia Karla de Sousa Araújo",$B:$B,"&lt;&gt;Lorena Dias de Araujo",$B:$B,"&lt;&gt;Lucas Luiz Romero")*(23/1083),IF(C4150="JR",SUMIFS($D:$D,$A:$A,$A4150,$B:$B,"&lt;&gt;Patrícia Karla de Sousa Araújo",$B:$B,"&lt;&gt;Lorena Dias de Araujo",$B:$B,"&lt;&gt;Lucas Luiz Romero")*(20/1083),IF(C4150="Estágio",SUMIFS($D:$D,$A:$A,$A4150,$B:$B,"&lt;&gt;Patrícia Karla de Sousa Araújo",$B:$B,"&lt;&gt;Lorena Dias de Araujo",$B:$B,"&lt;&gt;Lucas Luiz Romero")*(10/1083),0)))))),0)</f>
        <v/>
      </c>
      <c r="K4150" s="3">
        <f>I4150-J4150</f>
        <v/>
      </c>
      <c r="L4150" s="3">
        <f>IF(K4150&lt;-5,"CRÍTICO",IF(K4150&lt;0,"ATENÇÃO",IF(K4150&lt;=5,"OPORTUNO","MUITO BOM")))</f>
        <v/>
      </c>
      <c r="N4150" t="n">
        <v>100</v>
      </c>
      <c r="O4150" t="n">
        <v>25</v>
      </c>
    </row>
    <row r="4151" hidden="1">
      <c r="A4151" s="11" t="n">
        <v>46132</v>
      </c>
      <c r="B4151" t="inlineStr">
        <is>
          <t>Matheus Farias De Souza</t>
        </is>
      </c>
      <c r="C4151" t="inlineStr">
        <is>
          <t>Técnico III</t>
        </is>
      </c>
      <c r="D4151" t="n">
        <v>23</v>
      </c>
      <c r="E4151" t="n">
        <v>21</v>
      </c>
      <c r="F4151" t="n">
        <v>14.14</v>
      </c>
      <c r="G4151" t="n">
        <v>0</v>
      </c>
      <c r="H4151" t="n">
        <v>0</v>
      </c>
      <c r="I4151" s="3">
        <f>E4151+G4151+H4151</f>
        <v/>
      </c>
      <c r="J4151" s="3">
        <f>ROUND(MIN(IF(C4151="Técnico III",35,IF(C4151="Técnico II",28,IF(C4151="Técnico I",23,IF(C4151="JR",20,IF(C4151="Estágio",10,0))))),IF(C4151="Técnico III",SUMIFS($D:$D,$A:$A,$A4151,$B:$B,"&lt;&gt;Patrícia Karla de Sousa Araújo",$B:$B,"&lt;&gt;Lorena Dias de Araujo",$B:$B,"&lt;&gt;Lucas Luiz Romero")*(35/1083),IF(C4151="Técnico II",SUMIFS($D:$D,$A:$A,$A4151,$B:$B,"&lt;&gt;Patrícia Karla de Sousa Araújo",$B:$B,"&lt;&gt;Lorena Dias de Araujo",$B:$B,"&lt;&gt;Lucas Luiz Romero")*(28/1083),IF(C4151="Técnico I",SUMIFS($D:$D,$A:$A,$A4151,$B:$B,"&lt;&gt;Patrícia Karla de Sousa Araújo",$B:$B,"&lt;&gt;Lorena Dias de Araujo",$B:$B,"&lt;&gt;Lucas Luiz Romero")*(23/1083),IF(C4151="JR",SUMIFS($D:$D,$A:$A,$A4151,$B:$B,"&lt;&gt;Patrícia Karla de Sousa Araújo",$B:$B,"&lt;&gt;Lorena Dias de Araujo",$B:$B,"&lt;&gt;Lucas Luiz Romero")*(20/1083),IF(C4151="Estágio",SUMIFS($D:$D,$A:$A,$A4151,$B:$B,"&lt;&gt;Patrícia Karla de Sousa Araújo",$B:$B,"&lt;&gt;Lorena Dias de Araujo",$B:$B,"&lt;&gt;Lucas Luiz Romero")*(10/1083),0)))))),0)</f>
        <v/>
      </c>
      <c r="K4151" s="3">
        <f>I4151-J4151</f>
        <v/>
      </c>
      <c r="L4151" s="3">
        <f>IF(K4151&lt;-5,"CRÍTICO",IF(K4151&lt;0,"ATENÇÃO",IF(K4151&lt;=5,"OPORTUNO","MUITO BOM")))</f>
        <v/>
      </c>
      <c r="N4151" t="n">
        <v>100</v>
      </c>
      <c r="O4151" t="n">
        <v>23.9870340356564</v>
      </c>
    </row>
    <row r="4152" hidden="1">
      <c r="A4152" s="11" t="n">
        <v>46132</v>
      </c>
      <c r="B4152" t="inlineStr">
        <is>
          <t>Maysa Victoria Dias Moura</t>
        </is>
      </c>
      <c r="C4152" t="inlineStr">
        <is>
          <t>Técnico III</t>
        </is>
      </c>
      <c r="D4152" t="n">
        <v>27</v>
      </c>
      <c r="E4152" t="n">
        <v>26</v>
      </c>
      <c r="F4152" t="n">
        <v>15.38</v>
      </c>
      <c r="G4152" t="n">
        <v>0</v>
      </c>
      <c r="H4152" t="n">
        <v>0</v>
      </c>
      <c r="I4152" s="3">
        <f>E4152+G4152+H4152</f>
        <v/>
      </c>
      <c r="J4152" s="3">
        <f>ROUND(MIN(IF(C4152="Técnico III",35,IF(C4152="Técnico II",28,IF(C4152="Técnico I",23,IF(C4152="JR",20,IF(C4152="Estágio",10,0))))),IF(C4152="Técnico III",SUMIFS($D:$D,$A:$A,$A4152,$B:$B,"&lt;&gt;Patrícia Karla de Sousa Araújo",$B:$B,"&lt;&gt;Lorena Dias de Araujo",$B:$B,"&lt;&gt;Lucas Luiz Romero")*(35/1083),IF(C4152="Técnico II",SUMIFS($D:$D,$A:$A,$A4152,$B:$B,"&lt;&gt;Patrícia Karla de Sousa Araújo",$B:$B,"&lt;&gt;Lorena Dias de Araujo",$B:$B,"&lt;&gt;Lucas Luiz Romero")*(28/1083),IF(C4152="Técnico I",SUMIFS($D:$D,$A:$A,$A4152,$B:$B,"&lt;&gt;Patrícia Karla de Sousa Araújo",$B:$B,"&lt;&gt;Lorena Dias de Araujo",$B:$B,"&lt;&gt;Lucas Luiz Romero")*(23/1083),IF(C4152="JR",SUMIFS($D:$D,$A:$A,$A4152,$B:$B,"&lt;&gt;Patrícia Karla de Sousa Araújo",$B:$B,"&lt;&gt;Lorena Dias de Araujo",$B:$B,"&lt;&gt;Lucas Luiz Romero")*(20/1083),IF(C4152="Estágio",SUMIFS($D:$D,$A:$A,$A4152,$B:$B,"&lt;&gt;Patrícia Karla de Sousa Araújo",$B:$B,"&lt;&gt;Lorena Dias de Araujo",$B:$B,"&lt;&gt;Lucas Luiz Romero")*(10/1083),0)))))),0)</f>
        <v/>
      </c>
      <c r="K4152" s="3">
        <f>I4152-J4152</f>
        <v/>
      </c>
      <c r="L4152" s="3">
        <f>IF(K4152&lt;-5,"CRÍTICO",IF(K4152&lt;0,"ATENÇÃO",IF(K4152&lt;=5,"OPORTUNO","MUITO BOM")))</f>
        <v/>
      </c>
      <c r="N4152" t="n">
        <v>95.48999999999999</v>
      </c>
      <c r="O4152" t="n">
        <v>28.16901408450704</v>
      </c>
    </row>
    <row r="4153" hidden="1">
      <c r="A4153" s="11" t="n">
        <v>46132</v>
      </c>
      <c r="B4153" t="inlineStr">
        <is>
          <t>Michelle G Santos</t>
        </is>
      </c>
      <c r="C4153" t="inlineStr">
        <is>
          <t>Estágio</t>
        </is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s="3" t="n">
        <v>0</v>
      </c>
      <c r="J4153" s="3" t="n">
        <v>0</v>
      </c>
      <c r="K4153" s="3" t="n">
        <v>0</v>
      </c>
      <c r="L4153" s="3">
        <f>IF(K4153&lt;-5,"CRÍTICO",IF(K4153&lt;0,"ATENÇÃO",IF(K4153&lt;=5,"OPORTUNO","MUITO BOM")))</f>
        <v/>
      </c>
      <c r="N4153" t="n">
        <v>100</v>
      </c>
      <c r="O4153" t="n">
        <v>23.77622377622378</v>
      </c>
    </row>
    <row r="4154" hidden="1">
      <c r="A4154" s="11" t="n">
        <v>46132</v>
      </c>
      <c r="B4154" t="inlineStr">
        <is>
          <t>Milena Sales</t>
        </is>
      </c>
      <c r="C4154" t="inlineStr">
        <is>
          <t>JR</t>
        </is>
      </c>
      <c r="D4154" t="n">
        <v>10</v>
      </c>
      <c r="E4154" t="n">
        <v>8</v>
      </c>
      <c r="F4154" t="n">
        <v>15.55</v>
      </c>
      <c r="G4154" t="n">
        <v>0</v>
      </c>
      <c r="H4154" t="n">
        <v>0</v>
      </c>
      <c r="I4154" s="3">
        <f>E4154+G4154+H4154</f>
        <v/>
      </c>
      <c r="J4154" s="3">
        <f>ROUND(MIN(IF(C4154="Técnico III",35,IF(C4154="Técnico II",28,IF(C4154="Técnico I",23,IF(C4154="JR",20,IF(C4154="Estágio",10,0))))),IF(C4154="Técnico III",SUMIFS($D:$D,$A:$A,$A4154,$B:$B,"&lt;&gt;Patrícia Karla de Sousa Araújo",$B:$B,"&lt;&gt;Lorena Dias de Araujo",$B:$B,"&lt;&gt;Lucas Luiz Romero")*(35/1083),IF(C4154="Técnico II",SUMIFS($D:$D,$A:$A,$A4154,$B:$B,"&lt;&gt;Patrícia Karla de Sousa Araújo",$B:$B,"&lt;&gt;Lorena Dias de Araujo",$B:$B,"&lt;&gt;Lucas Luiz Romero")*(28/1083),IF(C4154="Técnico I",SUMIFS($D:$D,$A:$A,$A4154,$B:$B,"&lt;&gt;Patrícia Karla de Sousa Araújo",$B:$B,"&lt;&gt;Lorena Dias de Araujo",$B:$B,"&lt;&gt;Lucas Luiz Romero")*(23/1083),IF(C4154="JR",SUMIFS($D:$D,$A:$A,$A4154,$B:$B,"&lt;&gt;Patrícia Karla de Sousa Araújo",$B:$B,"&lt;&gt;Lorena Dias de Araujo",$B:$B,"&lt;&gt;Lucas Luiz Romero")*(20/1083),IF(C4154="Estágio",SUMIFS($D:$D,$A:$A,$A4154,$B:$B,"&lt;&gt;Patrícia Karla de Sousa Araújo",$B:$B,"&lt;&gt;Lorena Dias de Araujo",$B:$B,"&lt;&gt;Lucas Luiz Romero")*(10/1083),0)))))),0)</f>
        <v/>
      </c>
      <c r="K4154" s="3">
        <f>I4154-J4154</f>
        <v/>
      </c>
      <c r="L4154" s="3">
        <f>IF(K4154&lt;-5,"CRÍTICO",IF(K4154&lt;0,"ATENÇÃO",IF(K4154&lt;=5,"OPORTUNO","MUITO BOM")))</f>
        <v/>
      </c>
      <c r="N4154" t="n">
        <v>96.15000000000001</v>
      </c>
      <c r="O4154" t="n">
        <v>24.04580152671756</v>
      </c>
    </row>
    <row r="4155" hidden="1">
      <c r="A4155" s="11" t="n">
        <v>46132</v>
      </c>
      <c r="B4155" t="inlineStr">
        <is>
          <t>Patrícia Karla de Sousa Araújo</t>
        </is>
      </c>
      <c r="C4155" t="inlineStr">
        <is>
          <t>Técnico II</t>
        </is>
      </c>
      <c r="D4155" t="n">
        <v>16</v>
      </c>
      <c r="E4155" t="n">
        <v>12</v>
      </c>
      <c r="F4155" t="n">
        <v>20.08</v>
      </c>
      <c r="G4155" t="n">
        <v>0</v>
      </c>
      <c r="H4155" t="n">
        <v>0</v>
      </c>
      <c r="I4155" s="3">
        <f>E4155+G4155+H4155</f>
        <v/>
      </c>
      <c r="J4155" s="3">
        <f>ROUND(MIN(IF(C4155="Técnico III",35,IF(C4155="Técnico II",28,IF(C4155="Técnico I",23,IF(C4155="JR",20,IF(C4155="Estágio",10,0))))),IF(C4155="Técnico III",SUMIFS($D:$D,$A:$A,$A4155,$B:$B,"&lt;&gt;Patrícia Karla de Sousa Araújo",$B:$B,"&lt;&gt;Lorena Dias de Araujo",$B:$B,"&lt;&gt;Lucas Luiz Romero")*(35/1083),IF(C4155="Técnico II",SUMIFS($D:$D,$A:$A,$A4155,$B:$B,"&lt;&gt;Patrícia Karla de Sousa Araújo",$B:$B,"&lt;&gt;Lorena Dias de Araujo",$B:$B,"&lt;&gt;Lucas Luiz Romero")*(28/1083),IF(C4155="Técnico I",SUMIFS($D:$D,$A:$A,$A4155,$B:$B,"&lt;&gt;Patrícia Karla de Sousa Araújo",$B:$B,"&lt;&gt;Lorena Dias de Araujo",$B:$B,"&lt;&gt;Lucas Luiz Romero")*(23/1083),IF(C4155="JR",SUMIFS($D:$D,$A:$A,$A4155,$B:$B,"&lt;&gt;Patrícia Karla de Sousa Araújo",$B:$B,"&lt;&gt;Lorena Dias de Araujo",$B:$B,"&lt;&gt;Lucas Luiz Romero")*(20/1083),IF(C4155="Estágio",SUMIFS($D:$D,$A:$A,$A4155,$B:$B,"&lt;&gt;Patrícia Karla de Sousa Araújo",$B:$B,"&lt;&gt;Lorena Dias de Araujo",$B:$B,"&lt;&gt;Lucas Luiz Romero")*(10/1083),0)))))),0)</f>
        <v/>
      </c>
      <c r="K4155" s="3">
        <f>I4155-J4155</f>
        <v/>
      </c>
      <c r="L4155" s="3">
        <f>IF(K4155&lt;-5,"CRÍTICO",IF(K4155&lt;0,"ATENÇÃO",IF(K4155&lt;=5,"OPORTUNO","MUITO BOM")))</f>
        <v/>
      </c>
      <c r="N4155" t="n">
        <v>99.02</v>
      </c>
      <c r="O4155" t="n">
        <v>34.7972972972973</v>
      </c>
    </row>
    <row r="4156" hidden="1">
      <c r="A4156" s="11" t="n">
        <v>46132</v>
      </c>
      <c r="B4156" t="inlineStr">
        <is>
          <t>Paulo Ricardo Santos</t>
        </is>
      </c>
      <c r="C4156" t="inlineStr">
        <is>
          <t>JR</t>
        </is>
      </c>
      <c r="D4156" t="n">
        <v>10</v>
      </c>
      <c r="E4156" t="n">
        <v>10</v>
      </c>
      <c r="F4156" t="n">
        <v>13.27</v>
      </c>
      <c r="G4156" t="n">
        <v>0</v>
      </c>
      <c r="H4156" t="n">
        <v>0</v>
      </c>
      <c r="I4156" s="3">
        <f>E4156+G4156+H4156</f>
        <v/>
      </c>
      <c r="J4156" s="3">
        <f>ROUND(MIN(IF(C4156="Técnico III",35,IF(C4156="Técnico II",28,IF(C4156="Técnico I",23,IF(C4156="JR",20,IF(C4156="Estágio",10,0))))),IF(C4156="Técnico III",SUMIFS($D:$D,$A:$A,$A4156,$B:$B,"&lt;&gt;Patrícia Karla de Sousa Araújo",$B:$B,"&lt;&gt;Lorena Dias de Araujo",$B:$B,"&lt;&gt;Lucas Luiz Romero")*(35/1083),IF(C4156="Técnico II",SUMIFS($D:$D,$A:$A,$A4156,$B:$B,"&lt;&gt;Patrícia Karla de Sousa Araújo",$B:$B,"&lt;&gt;Lorena Dias de Araujo",$B:$B,"&lt;&gt;Lucas Luiz Romero")*(28/1083),IF(C4156="Técnico I",SUMIFS($D:$D,$A:$A,$A4156,$B:$B,"&lt;&gt;Patrícia Karla de Sousa Araújo",$B:$B,"&lt;&gt;Lorena Dias de Araujo",$B:$B,"&lt;&gt;Lucas Luiz Romero")*(23/1083),IF(C4156="JR",SUMIFS($D:$D,$A:$A,$A4156,$B:$B,"&lt;&gt;Patrícia Karla de Sousa Araújo",$B:$B,"&lt;&gt;Lorena Dias de Araujo",$B:$B,"&lt;&gt;Lucas Luiz Romero")*(20/1083),IF(C4156="Estágio",SUMIFS($D:$D,$A:$A,$A4156,$B:$B,"&lt;&gt;Patrícia Karla de Sousa Araújo",$B:$B,"&lt;&gt;Lorena Dias de Araujo",$B:$B,"&lt;&gt;Lucas Luiz Romero")*(10/1083),0)))))),0)</f>
        <v/>
      </c>
      <c r="K4156" s="3">
        <f>I4156-J4156</f>
        <v/>
      </c>
      <c r="L4156" s="3">
        <f>IF(K4156&lt;-5,"CRÍTICO",IF(K4156&lt;0,"ATENÇÃO",IF(K4156&lt;=5,"OPORTUNO","MUITO BOM")))</f>
        <v/>
      </c>
      <c r="N4156" t="n">
        <v>98.84</v>
      </c>
      <c r="O4156" t="n">
        <v>31.5018315018315</v>
      </c>
    </row>
    <row r="4157" hidden="1">
      <c r="A4157" s="11" t="n">
        <v>46132</v>
      </c>
      <c r="B4157" t="inlineStr">
        <is>
          <t>Pedro Luiz Mota Sousa</t>
        </is>
      </c>
      <c r="C4157" t="inlineStr">
        <is>
          <t>JR</t>
        </is>
      </c>
      <c r="D4157" t="n">
        <v>9</v>
      </c>
      <c r="E4157" t="n">
        <v>9</v>
      </c>
      <c r="F4157" t="n">
        <v>18.37</v>
      </c>
      <c r="G4157" t="n">
        <v>0</v>
      </c>
      <c r="H4157" t="n">
        <v>0</v>
      </c>
      <c r="I4157" s="3">
        <f>E4157+G4157+H4157</f>
        <v/>
      </c>
      <c r="J4157" s="3">
        <f>ROUND(MIN(IF(C4157="Técnico III",35,IF(C4157="Técnico II",28,IF(C4157="Técnico I",23,IF(C4157="JR",20,IF(C4157="Estágio",10,0))))),IF(C4157="Técnico III",SUMIFS($D:$D,$A:$A,$A4157,$B:$B,"&lt;&gt;Patrícia Karla de Sousa Araújo",$B:$B,"&lt;&gt;Lorena Dias de Araujo",$B:$B,"&lt;&gt;Lucas Luiz Romero")*(35/1083),IF(C4157="Técnico II",SUMIFS($D:$D,$A:$A,$A4157,$B:$B,"&lt;&gt;Patrícia Karla de Sousa Araújo",$B:$B,"&lt;&gt;Lorena Dias de Araujo",$B:$B,"&lt;&gt;Lucas Luiz Romero")*(28/1083),IF(C4157="Técnico I",SUMIFS($D:$D,$A:$A,$A4157,$B:$B,"&lt;&gt;Patrícia Karla de Sousa Araújo",$B:$B,"&lt;&gt;Lorena Dias de Araujo",$B:$B,"&lt;&gt;Lucas Luiz Romero")*(23/1083),IF(C4157="JR",SUMIFS($D:$D,$A:$A,$A4157,$B:$B,"&lt;&gt;Patrícia Karla de Sousa Araújo",$B:$B,"&lt;&gt;Lorena Dias de Araujo",$B:$B,"&lt;&gt;Lucas Luiz Romero")*(20/1083),IF(C4157="Estágio",SUMIFS($D:$D,$A:$A,$A4157,$B:$B,"&lt;&gt;Patrícia Karla de Sousa Araújo",$B:$B,"&lt;&gt;Lorena Dias de Araujo",$B:$B,"&lt;&gt;Lucas Luiz Romero")*(10/1083),0)))))),0)</f>
        <v/>
      </c>
      <c r="K4157" s="3">
        <f>I4157-J4157</f>
        <v/>
      </c>
      <c r="L4157" s="3">
        <f>IF(K4157&lt;-5,"CRÍTICO",IF(K4157&lt;0,"ATENÇÃO",IF(K4157&lt;=5,"OPORTUNO","MUITO BOM")))</f>
        <v/>
      </c>
      <c r="N4157" t="n">
        <v>100</v>
      </c>
      <c r="O4157" t="n">
        <v>34.66666666666667</v>
      </c>
    </row>
    <row r="4158" hidden="1">
      <c r="A4158" s="11" t="n">
        <v>46132</v>
      </c>
      <c r="B4158" t="inlineStr">
        <is>
          <t>Quirino Diogo Leite Torres</t>
        </is>
      </c>
      <c r="C4158" t="inlineStr">
        <is>
          <t>Estágio</t>
        </is>
      </c>
      <c r="D4158" t="n">
        <v>6</v>
      </c>
      <c r="E4158" t="n">
        <v>6</v>
      </c>
      <c r="F4158" t="n">
        <v>36.4</v>
      </c>
      <c r="G4158" t="n">
        <v>0</v>
      </c>
      <c r="H4158" t="n">
        <v>0</v>
      </c>
      <c r="I4158" s="3">
        <f>E4158+G4158+H4158</f>
        <v/>
      </c>
      <c r="J4158" s="3">
        <f>ROUND(MIN(IF(C4158="Técnico III",35,IF(C4158="Técnico II",28,IF(C4158="Técnico I",23,IF(C4158="JR",20,IF(C4158="Estágio",10,0))))),IF(C4158="Técnico III",SUMIFS($D:$D,$A:$A,$A4158,$B:$B,"&lt;&gt;Patrícia Karla de Sousa Araújo",$B:$B,"&lt;&gt;Lorena Dias de Araujo",$B:$B,"&lt;&gt;Lucas Luiz Romero")*(35/1083),IF(C4158="Técnico II",SUMIFS($D:$D,$A:$A,$A4158,$B:$B,"&lt;&gt;Patrícia Karla de Sousa Araújo",$B:$B,"&lt;&gt;Lorena Dias de Araujo",$B:$B,"&lt;&gt;Lucas Luiz Romero")*(28/1083),IF(C4158="Técnico I",SUMIFS($D:$D,$A:$A,$A4158,$B:$B,"&lt;&gt;Patrícia Karla de Sousa Araújo",$B:$B,"&lt;&gt;Lorena Dias de Araujo",$B:$B,"&lt;&gt;Lucas Luiz Romero")*(23/1083),IF(C4158="JR",SUMIFS($D:$D,$A:$A,$A4158,$B:$B,"&lt;&gt;Patrícia Karla de Sousa Araújo",$B:$B,"&lt;&gt;Lorena Dias de Araujo",$B:$B,"&lt;&gt;Lucas Luiz Romero")*(20/1083),IF(C4158="Estágio",SUMIFS($D:$D,$A:$A,$A4158,$B:$B,"&lt;&gt;Patrícia Karla de Sousa Araújo",$B:$B,"&lt;&gt;Lorena Dias de Araujo",$B:$B,"&lt;&gt;Lucas Luiz Romero")*(10/1083),0)))))),0)</f>
        <v/>
      </c>
      <c r="K4158" s="3">
        <f>I4158-J4158</f>
        <v/>
      </c>
      <c r="L4158" s="3">
        <f>IF(K4158&lt;-5,"CRÍTICO",IF(K4158&lt;0,"ATENÇÃO",IF(K4158&lt;=5,"OPORTUNO","MUITO BOM")))</f>
        <v/>
      </c>
      <c r="N4158" t="n">
        <v>94.12</v>
      </c>
      <c r="O4158" t="n">
        <v>32.8</v>
      </c>
    </row>
    <row r="4159" hidden="1">
      <c r="A4159" s="11" t="n">
        <v>46132</v>
      </c>
      <c r="B4159" t="inlineStr">
        <is>
          <t>Raane Batista Matos</t>
        </is>
      </c>
      <c r="C4159" t="inlineStr">
        <is>
          <t>Técnico I</t>
        </is>
      </c>
      <c r="D4159" t="n">
        <v>11</v>
      </c>
      <c r="E4159" t="n">
        <v>11</v>
      </c>
      <c r="F4159" t="n">
        <v>13.35</v>
      </c>
      <c r="G4159" t="n">
        <v>0</v>
      </c>
      <c r="H4159" t="n">
        <v>0</v>
      </c>
      <c r="I4159" s="3">
        <f>E4159+G4159+H4159</f>
        <v/>
      </c>
      <c r="J4159" s="3">
        <f>ROUND(MIN(IF(C4159="Técnico III",35,IF(C4159="Técnico II",28,IF(C4159="Técnico I",23,IF(C4159="JR",20,IF(C4159="Estágio",10,0))))),IF(C4159="Técnico III",SUMIFS($D:$D,$A:$A,$A4159,$B:$B,"&lt;&gt;Patrícia Karla de Sousa Araújo",$B:$B,"&lt;&gt;Lorena Dias de Araujo",$B:$B,"&lt;&gt;Lucas Luiz Romero")*(35/1083),IF(C4159="Técnico II",SUMIFS($D:$D,$A:$A,$A4159,$B:$B,"&lt;&gt;Patrícia Karla de Sousa Araújo",$B:$B,"&lt;&gt;Lorena Dias de Araujo",$B:$B,"&lt;&gt;Lucas Luiz Romero")*(28/1083),IF(C4159="Técnico I",SUMIFS($D:$D,$A:$A,$A4159,$B:$B,"&lt;&gt;Patrícia Karla de Sousa Araújo",$B:$B,"&lt;&gt;Lorena Dias de Araujo",$B:$B,"&lt;&gt;Lucas Luiz Romero")*(23/1083),IF(C4159="JR",SUMIFS($D:$D,$A:$A,$A4159,$B:$B,"&lt;&gt;Patrícia Karla de Sousa Araújo",$B:$B,"&lt;&gt;Lorena Dias de Araujo",$B:$B,"&lt;&gt;Lucas Luiz Romero")*(20/1083),IF(C4159="Estágio",SUMIFS($D:$D,$A:$A,$A4159,$B:$B,"&lt;&gt;Patrícia Karla de Sousa Araújo",$B:$B,"&lt;&gt;Lorena Dias de Araujo",$B:$B,"&lt;&gt;Lucas Luiz Romero")*(10/1083),0)))))),0)</f>
        <v/>
      </c>
      <c r="K4159" s="3">
        <f>I4159-J4159</f>
        <v/>
      </c>
      <c r="L4159" s="3">
        <f>IF(K4159&lt;-5,"CRÍTICO",IF(K4159&lt;0,"ATENÇÃO",IF(K4159&lt;=5,"OPORTUNO","MUITO BOM")))</f>
        <v/>
      </c>
      <c r="N4159" t="n">
        <v>98.31999999999999</v>
      </c>
      <c r="O4159" t="n">
        <v>26.61870503597122</v>
      </c>
    </row>
    <row r="4160" hidden="1">
      <c r="A4160" s="11" t="n">
        <v>46132</v>
      </c>
      <c r="B4160" t="inlineStr">
        <is>
          <t>Rafael Gomes de Morais</t>
        </is>
      </c>
      <c r="C4160" t="inlineStr">
        <is>
          <t>Técnico III</t>
        </is>
      </c>
      <c r="D4160" t="n">
        <v>32</v>
      </c>
      <c r="E4160" t="n">
        <v>30</v>
      </c>
      <c r="F4160" t="n">
        <v>11.55</v>
      </c>
      <c r="G4160" t="n">
        <v>0</v>
      </c>
      <c r="H4160" t="n">
        <v>0</v>
      </c>
      <c r="I4160" s="3">
        <f>E4160+G4160+H4160</f>
        <v/>
      </c>
      <c r="J4160" s="3">
        <f>ROUND(MIN(IF(C4160="Técnico III",35,IF(C4160="Técnico II",28,IF(C4160="Técnico I",23,IF(C4160="JR",20,IF(C4160="Estágio",10,0))))),IF(C4160="Técnico III",SUMIFS($D:$D,$A:$A,$A4160,$B:$B,"&lt;&gt;Patrícia Karla de Sousa Araújo",$B:$B,"&lt;&gt;Lorena Dias de Araujo",$B:$B,"&lt;&gt;Lucas Luiz Romero")*(35/1083),IF(C4160="Técnico II",SUMIFS($D:$D,$A:$A,$A4160,$B:$B,"&lt;&gt;Patrícia Karla de Sousa Araújo",$B:$B,"&lt;&gt;Lorena Dias de Araujo",$B:$B,"&lt;&gt;Lucas Luiz Romero")*(28/1083),IF(C4160="Técnico I",SUMIFS($D:$D,$A:$A,$A4160,$B:$B,"&lt;&gt;Patrícia Karla de Sousa Araújo",$B:$B,"&lt;&gt;Lorena Dias de Araujo",$B:$B,"&lt;&gt;Lucas Luiz Romero")*(23/1083),IF(C4160="JR",SUMIFS($D:$D,$A:$A,$A4160,$B:$B,"&lt;&gt;Patrícia Karla de Sousa Araújo",$B:$B,"&lt;&gt;Lorena Dias de Araujo",$B:$B,"&lt;&gt;Lucas Luiz Romero")*(20/1083),IF(C4160="Estágio",SUMIFS($D:$D,$A:$A,$A4160,$B:$B,"&lt;&gt;Patrícia Karla de Sousa Araújo",$B:$B,"&lt;&gt;Lorena Dias de Araujo",$B:$B,"&lt;&gt;Lucas Luiz Romero")*(10/1083),0)))))),0)</f>
        <v/>
      </c>
      <c r="K4160" s="3">
        <f>I4160-J4160</f>
        <v/>
      </c>
      <c r="L4160" s="3">
        <f>IF(K4160&lt;-5,"CRÍTICO",IF(K4160&lt;0,"ATENÇÃO",IF(K4160&lt;=5,"OPORTUNO","MUITO BOM")))</f>
        <v/>
      </c>
      <c r="N4160" t="n">
        <v>100</v>
      </c>
      <c r="O4160" t="n">
        <v>31.13553113553114</v>
      </c>
    </row>
    <row r="4161" hidden="1">
      <c r="A4161" s="11" t="n">
        <v>46132</v>
      </c>
      <c r="B4161" t="inlineStr">
        <is>
          <t>Sara Maria Monteiro Lopes</t>
        </is>
      </c>
      <c r="C4161" t="inlineStr">
        <is>
          <t>Técnico I</t>
        </is>
      </c>
      <c r="D4161" t="n">
        <v>7</v>
      </c>
      <c r="E4161" t="n">
        <v>7</v>
      </c>
      <c r="F4161" t="n">
        <v>24.17</v>
      </c>
      <c r="G4161" t="n">
        <v>0</v>
      </c>
      <c r="H4161" t="n">
        <v>0</v>
      </c>
      <c r="I4161" s="3">
        <f>E4161+G4161+H4161</f>
        <v/>
      </c>
      <c r="J4161" s="3">
        <f>ROUND(MIN(IF(C4161="Técnico III",35,IF(C4161="Técnico II",28,IF(C4161="Técnico I",23,IF(C4161="JR",20,IF(C4161="Estágio",10,0))))),IF(C4161="Técnico III",SUMIFS($D:$D,$A:$A,$A4161,$B:$B,"&lt;&gt;Patrícia Karla de Sousa Araújo",$B:$B,"&lt;&gt;Lorena Dias de Araujo",$B:$B,"&lt;&gt;Lucas Luiz Romero")*(35/1083),IF(C4161="Técnico II",SUMIFS($D:$D,$A:$A,$A4161,$B:$B,"&lt;&gt;Patrícia Karla de Sousa Araújo",$B:$B,"&lt;&gt;Lorena Dias de Araujo",$B:$B,"&lt;&gt;Lucas Luiz Romero")*(28/1083),IF(C4161="Técnico I",SUMIFS($D:$D,$A:$A,$A4161,$B:$B,"&lt;&gt;Patrícia Karla de Sousa Araújo",$B:$B,"&lt;&gt;Lorena Dias de Araujo",$B:$B,"&lt;&gt;Lucas Luiz Romero")*(23/1083),IF(C4161="JR",SUMIFS($D:$D,$A:$A,$A4161,$B:$B,"&lt;&gt;Patrícia Karla de Sousa Araújo",$B:$B,"&lt;&gt;Lorena Dias de Araujo",$B:$B,"&lt;&gt;Lucas Luiz Romero")*(20/1083),IF(C4161="Estágio",SUMIFS($D:$D,$A:$A,$A4161,$B:$B,"&lt;&gt;Patrícia Karla de Sousa Araújo",$B:$B,"&lt;&gt;Lorena Dias de Araujo",$B:$B,"&lt;&gt;Lucas Luiz Romero")*(10/1083),0)))))),0)</f>
        <v/>
      </c>
      <c r="K4161" s="3">
        <f>I4161-J4161</f>
        <v/>
      </c>
      <c r="L4161" s="3">
        <f>IF(K4161&lt;-5,"CRÍTICO",IF(K4161&lt;0,"ATENÇÃO",IF(K4161&lt;=5,"OPORTUNO","MUITO BOM")))</f>
        <v/>
      </c>
      <c r="N4161" t="n">
        <v>100</v>
      </c>
      <c r="O4161" t="n">
        <v>26.02739726027397</v>
      </c>
    </row>
    <row r="4162" hidden="1">
      <c r="A4162" s="11" t="n">
        <v>46132</v>
      </c>
      <c r="B4162" t="inlineStr">
        <is>
          <t>Sarah Steffanie de Lima Borges</t>
        </is>
      </c>
      <c r="C4162" t="inlineStr">
        <is>
          <t>Técnico III</t>
        </is>
      </c>
      <c r="D4162" t="n">
        <v>26</v>
      </c>
      <c r="E4162" t="n">
        <v>23</v>
      </c>
      <c r="F4162" t="n">
        <v>15.04</v>
      </c>
      <c r="G4162" t="n">
        <v>0</v>
      </c>
      <c r="H4162" t="n">
        <v>0</v>
      </c>
      <c r="I4162" s="3">
        <f>E4162+G4162+H4162</f>
        <v/>
      </c>
      <c r="J4162" s="3">
        <f>ROUND(MIN(IF(C4162="Técnico III",35,IF(C4162="Técnico II",28,IF(C4162="Técnico I",23,IF(C4162="JR",20,IF(C4162="Estágio",10,0))))),IF(C4162="Técnico III",SUMIFS($D:$D,$A:$A,$A4162,$B:$B,"&lt;&gt;Patrícia Karla de Sousa Araújo",$B:$B,"&lt;&gt;Lorena Dias de Araujo",$B:$B,"&lt;&gt;Lucas Luiz Romero")*(35/1083),IF(C4162="Técnico II",SUMIFS($D:$D,$A:$A,$A4162,$B:$B,"&lt;&gt;Patrícia Karla de Sousa Araújo",$B:$B,"&lt;&gt;Lorena Dias de Araujo",$B:$B,"&lt;&gt;Lucas Luiz Romero")*(28/1083),IF(C4162="Técnico I",SUMIFS($D:$D,$A:$A,$A4162,$B:$B,"&lt;&gt;Patrícia Karla de Sousa Araújo",$B:$B,"&lt;&gt;Lorena Dias de Araujo",$B:$B,"&lt;&gt;Lucas Luiz Romero")*(23/1083),IF(C4162="JR",SUMIFS($D:$D,$A:$A,$A4162,$B:$B,"&lt;&gt;Patrícia Karla de Sousa Araújo",$B:$B,"&lt;&gt;Lorena Dias de Araujo",$B:$B,"&lt;&gt;Lucas Luiz Romero")*(20/1083),IF(C4162="Estágio",SUMIFS($D:$D,$A:$A,$A4162,$B:$B,"&lt;&gt;Patrícia Karla de Sousa Araújo",$B:$B,"&lt;&gt;Lorena Dias de Araujo",$B:$B,"&lt;&gt;Lucas Luiz Romero")*(10/1083),0)))))),0)</f>
        <v/>
      </c>
      <c r="K4162" s="3">
        <f>I4162-J4162</f>
        <v/>
      </c>
      <c r="L4162" s="3">
        <f>IF(K4162&lt;-5,"CRÍTICO",IF(K4162&lt;0,"ATENÇÃO",IF(K4162&lt;=5,"OPORTUNO","MUITO BOM")))</f>
        <v/>
      </c>
      <c r="N4162" t="n">
        <v>99.20999999999999</v>
      </c>
      <c r="O4162" t="n">
        <v>24.93702770780856</v>
      </c>
    </row>
    <row r="4163" hidden="1">
      <c r="A4163" s="11" t="n">
        <v>46134</v>
      </c>
      <c r="B4163" t="inlineStr">
        <is>
          <t>Alisson de Freitas Silva</t>
        </is>
      </c>
      <c r="C4163" t="inlineStr">
        <is>
          <t>Técnico II</t>
        </is>
      </c>
      <c r="D4163" t="n">
        <v>42</v>
      </c>
      <c r="E4163" t="n">
        <v>38</v>
      </c>
      <c r="F4163" t="n">
        <v>10.58</v>
      </c>
      <c r="G4163" t="n">
        <v>0</v>
      </c>
      <c r="H4163" t="n">
        <v>0</v>
      </c>
      <c r="I4163" s="3">
        <f>E4163+G4163+H4163</f>
        <v/>
      </c>
      <c r="J4163" s="3">
        <f>ROUND(MIN(IF(C4163="Técnico III",35,IF(C4163="Técnico II",28,IF(C4163="Técnico I",23,IF(C4163="JR",20,IF(C4163="Estágio",10,0))))),IF(C4163="Técnico III",SUMIFS($D:$D,$A:$A,$A4163,$B:$B,"&lt;&gt;Patrícia Karla de Sousa Araújo",$B:$B,"&lt;&gt;Lorena Dias de Araujo",$B:$B,"&lt;&gt;Lucas Luiz Romero")*(35/1083),IF(C4163="Técnico II",SUMIFS($D:$D,$A:$A,$A4163,$B:$B,"&lt;&gt;Patrícia Karla de Sousa Araújo",$B:$B,"&lt;&gt;Lorena Dias de Araujo",$B:$B,"&lt;&gt;Lucas Luiz Romero")*(28/1083),IF(C4163="Técnico I",SUMIFS($D:$D,$A:$A,$A4163,$B:$B,"&lt;&gt;Patrícia Karla de Sousa Araújo",$B:$B,"&lt;&gt;Lorena Dias de Araujo",$B:$B,"&lt;&gt;Lucas Luiz Romero")*(23/1083),IF(C4163="JR",SUMIFS($D:$D,$A:$A,$A4163,$B:$B,"&lt;&gt;Patrícia Karla de Sousa Araújo",$B:$B,"&lt;&gt;Lorena Dias de Araujo",$B:$B,"&lt;&gt;Lucas Luiz Romero")*(20/1083),IF(C4163="Estágio",SUMIFS($D:$D,$A:$A,$A4163,$B:$B,"&lt;&gt;Patrícia Karla de Sousa Araújo",$B:$B,"&lt;&gt;Lorena Dias de Araujo",$B:$B,"&lt;&gt;Lucas Luiz Romero")*(10/1083),0)))))),0)</f>
        <v/>
      </c>
      <c r="K4163" s="3">
        <f>I4163-J4163</f>
        <v/>
      </c>
      <c r="L4163" s="3">
        <f>IF(K4163&lt;-5,"CRÍTICO",IF(K4163&lt;0,"ATENÇÃO",IF(K4163&lt;=5,"OPORTUNO","MUITO BOM")))</f>
        <v/>
      </c>
      <c r="N4163" t="n">
        <v>100</v>
      </c>
      <c r="O4163" t="n">
        <v>32.76450511945392</v>
      </c>
    </row>
    <row r="4164" hidden="1">
      <c r="A4164" s="11" t="n">
        <v>46134</v>
      </c>
      <c r="B4164" t="inlineStr">
        <is>
          <t>Amanda Moura Ferreira</t>
        </is>
      </c>
      <c r="C4164" t="inlineStr">
        <is>
          <t>Técnico III</t>
        </is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s="3" t="n">
        <v>0</v>
      </c>
      <c r="J4164" s="3" t="n">
        <v>0</v>
      </c>
      <c r="K4164" s="3" t="n">
        <v>0</v>
      </c>
      <c r="L4164" s="3">
        <f>IF(K4164&lt;-5,"CRÍTICO",IF(K4164&lt;0,"ATENÇÃO",IF(K4164&lt;=5,"OPORTUNO","MUITO BOM")))</f>
        <v/>
      </c>
      <c r="N4164" t="n">
        <v>98.66</v>
      </c>
      <c r="O4164" t="n">
        <v>35.15625</v>
      </c>
    </row>
    <row r="4165" hidden="1">
      <c r="A4165" s="11" t="n">
        <v>46134</v>
      </c>
      <c r="B4165" t="inlineStr">
        <is>
          <t>Ana Karollyne Souza Faria</t>
        </is>
      </c>
      <c r="C4165" t="inlineStr">
        <is>
          <t>Técnico I</t>
        </is>
      </c>
      <c r="D4165" t="n">
        <v>33</v>
      </c>
      <c r="E4165" t="n">
        <v>30</v>
      </c>
      <c r="F4165" t="n">
        <v>12.16</v>
      </c>
      <c r="G4165" t="n">
        <v>0</v>
      </c>
      <c r="H4165" t="n">
        <v>0</v>
      </c>
      <c r="I4165" s="3">
        <f>E4165+G4165+H4165</f>
        <v/>
      </c>
      <c r="J4165" s="3">
        <f>ROUND(MIN(IF(C4165="Técnico III",35,IF(C4165="Técnico II",28,IF(C4165="Técnico I",23,IF(C4165="JR",20,IF(C4165="Estágio",10,0))))),IF(C4165="Técnico III",SUMIFS($D:$D,$A:$A,$A4165,$B:$B,"&lt;&gt;Patrícia Karla de Sousa Araújo",$B:$B,"&lt;&gt;Lorena Dias de Araujo",$B:$B,"&lt;&gt;Lucas Luiz Romero")*(35/1083),IF(C4165="Técnico II",SUMIFS($D:$D,$A:$A,$A4165,$B:$B,"&lt;&gt;Patrícia Karla de Sousa Araújo",$B:$B,"&lt;&gt;Lorena Dias de Araujo",$B:$B,"&lt;&gt;Lucas Luiz Romero")*(28/1083),IF(C4165="Técnico I",SUMIFS($D:$D,$A:$A,$A4165,$B:$B,"&lt;&gt;Patrícia Karla de Sousa Araújo",$B:$B,"&lt;&gt;Lorena Dias de Araujo",$B:$B,"&lt;&gt;Lucas Luiz Romero")*(23/1083),IF(C4165="JR",SUMIFS($D:$D,$A:$A,$A4165,$B:$B,"&lt;&gt;Patrícia Karla de Sousa Araújo",$B:$B,"&lt;&gt;Lorena Dias de Araujo",$B:$B,"&lt;&gt;Lucas Luiz Romero")*(20/1083),IF(C4165="Estágio",SUMIFS($D:$D,$A:$A,$A4165,$B:$B,"&lt;&gt;Patrícia Karla de Sousa Araújo",$B:$B,"&lt;&gt;Lorena Dias de Araujo",$B:$B,"&lt;&gt;Lucas Luiz Romero")*(10/1083),0)))))),0)</f>
        <v/>
      </c>
      <c r="K4165" s="3">
        <f>I4165-J4165</f>
        <v/>
      </c>
      <c r="L4165" s="3">
        <f>IF(K4165&lt;-5,"CRÍTICO",IF(K4165&lt;0,"ATENÇÃO",IF(K4165&lt;=5,"OPORTUNO","MUITO BOM")))</f>
        <v/>
      </c>
      <c r="N4165" t="n">
        <v>99.31999999999999</v>
      </c>
      <c r="O4165" t="n">
        <v>30.45186640471513</v>
      </c>
    </row>
    <row r="4166" hidden="1">
      <c r="A4166" s="11" t="n">
        <v>46134</v>
      </c>
      <c r="B4166" t="inlineStr">
        <is>
          <t>Ana Paula Da Luz Silva Aleixo</t>
        </is>
      </c>
      <c r="C4166" t="inlineStr">
        <is>
          <t>Técnico III</t>
        </is>
      </c>
      <c r="D4166" t="n">
        <v>16</v>
      </c>
      <c r="E4166" t="n">
        <v>15</v>
      </c>
      <c r="F4166" t="n">
        <v>26.58</v>
      </c>
      <c r="G4166" t="n">
        <v>0</v>
      </c>
      <c r="H4166" t="n">
        <v>0</v>
      </c>
      <c r="I4166" s="3">
        <f>E4166+G4166+H4166</f>
        <v/>
      </c>
      <c r="J4166" s="3">
        <f>ROUND(MIN(IF(C4166="Técnico III",35,IF(C4166="Técnico II",28,IF(C4166="Técnico I",23,IF(C4166="JR",20,IF(C4166="Estágio",10,0))))),IF(C4166="Técnico III",SUMIFS($D:$D,$A:$A,$A4166,$B:$B,"&lt;&gt;Patrícia Karla de Sousa Araújo",$B:$B,"&lt;&gt;Lorena Dias de Araujo",$B:$B,"&lt;&gt;Lucas Luiz Romero")*(35/1083),IF(C4166="Técnico II",SUMIFS($D:$D,$A:$A,$A4166,$B:$B,"&lt;&gt;Patrícia Karla de Sousa Araújo",$B:$B,"&lt;&gt;Lorena Dias de Araujo",$B:$B,"&lt;&gt;Lucas Luiz Romero")*(28/1083),IF(C4166="Técnico I",SUMIFS($D:$D,$A:$A,$A4166,$B:$B,"&lt;&gt;Patrícia Karla de Sousa Araújo",$B:$B,"&lt;&gt;Lorena Dias de Araujo",$B:$B,"&lt;&gt;Lucas Luiz Romero")*(23/1083),IF(C4166="JR",SUMIFS($D:$D,$A:$A,$A4166,$B:$B,"&lt;&gt;Patrícia Karla de Sousa Araújo",$B:$B,"&lt;&gt;Lorena Dias de Araujo",$B:$B,"&lt;&gt;Lucas Luiz Romero")*(20/1083),IF(C4166="Estágio",SUMIFS($D:$D,$A:$A,$A4166,$B:$B,"&lt;&gt;Patrícia Karla de Sousa Araújo",$B:$B,"&lt;&gt;Lorena Dias de Araujo",$B:$B,"&lt;&gt;Lucas Luiz Romero")*(10/1083),0)))))),0)</f>
        <v/>
      </c>
      <c r="K4166" s="3">
        <f>I4166-J4166</f>
        <v/>
      </c>
      <c r="L4166" s="3">
        <f>IF(K4166&lt;-5,"CRÍTICO",IF(K4166&lt;0,"ATENÇÃO",IF(K4166&lt;=5,"OPORTUNO","MUITO BOM")))</f>
        <v/>
      </c>
      <c r="N4166" t="n">
        <v>100</v>
      </c>
      <c r="O4166" t="n">
        <v>27.80373831775701</v>
      </c>
    </row>
    <row r="4167" hidden="1">
      <c r="A4167" s="11" t="n">
        <v>46134</v>
      </c>
      <c r="B4167" t="inlineStr">
        <is>
          <t>Anna Luiza Rezende Tavares</t>
        </is>
      </c>
      <c r="C4167" t="inlineStr">
        <is>
          <t>Estágio</t>
        </is>
      </c>
      <c r="D4167" t="n">
        <v>28</v>
      </c>
      <c r="E4167" t="n">
        <v>25</v>
      </c>
      <c r="F4167" t="n">
        <v>14.12</v>
      </c>
      <c r="G4167" t="n">
        <v>0</v>
      </c>
      <c r="H4167" t="n">
        <v>0</v>
      </c>
      <c r="I4167" s="3">
        <f>E4167+G4167+H4167</f>
        <v/>
      </c>
      <c r="J4167" s="3">
        <f>ROUND(MIN(IF(C4167="Técnico III",35,IF(C4167="Técnico II",28,IF(C4167="Técnico I",23,IF(C4167="JR",20,IF(C4167="Estágio",10,0))))),IF(C4167="Técnico III",SUMIFS($D:$D,$A:$A,$A4167,$B:$B,"&lt;&gt;Patrícia Karla de Sousa Araújo",$B:$B,"&lt;&gt;Lorena Dias de Araujo",$B:$B,"&lt;&gt;Lucas Luiz Romero")*(35/1083),IF(C4167="Técnico II",SUMIFS($D:$D,$A:$A,$A4167,$B:$B,"&lt;&gt;Patrícia Karla de Sousa Araújo",$B:$B,"&lt;&gt;Lorena Dias de Araujo",$B:$B,"&lt;&gt;Lucas Luiz Romero")*(28/1083),IF(C4167="Técnico I",SUMIFS($D:$D,$A:$A,$A4167,$B:$B,"&lt;&gt;Patrícia Karla de Sousa Araújo",$B:$B,"&lt;&gt;Lorena Dias de Araujo",$B:$B,"&lt;&gt;Lucas Luiz Romero")*(23/1083),IF(C4167="JR",SUMIFS($D:$D,$A:$A,$A4167,$B:$B,"&lt;&gt;Patrícia Karla de Sousa Araújo",$B:$B,"&lt;&gt;Lorena Dias de Araujo",$B:$B,"&lt;&gt;Lucas Luiz Romero")*(20/1083),IF(C4167="Estágio",SUMIFS($D:$D,$A:$A,$A4167,$B:$B,"&lt;&gt;Patrícia Karla de Sousa Araújo",$B:$B,"&lt;&gt;Lorena Dias de Araujo",$B:$B,"&lt;&gt;Lucas Luiz Romero")*(10/1083),0)))))),0)</f>
        <v/>
      </c>
      <c r="K4167" s="3">
        <f>I4167-J4167</f>
        <v/>
      </c>
      <c r="L4167" s="3">
        <f>IF(K4167&lt;-5,"CRÍTICO",IF(K4167&lt;0,"ATENÇÃO",IF(K4167&lt;=5,"OPORTUNO","MUITO BOM")))</f>
        <v/>
      </c>
      <c r="N4167" t="n">
        <v>96.73999999999999</v>
      </c>
      <c r="O4167" t="n">
        <v>28.43137254901961</v>
      </c>
    </row>
    <row r="4168" hidden="1">
      <c r="A4168" s="11" t="n">
        <v>46134</v>
      </c>
      <c r="B4168" t="inlineStr">
        <is>
          <t>Brenda de Menezes Silva</t>
        </is>
      </c>
      <c r="C4168" t="inlineStr">
        <is>
          <t>Técnico II</t>
        </is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s="3" t="n">
        <v>0</v>
      </c>
      <c r="J4168" s="3" t="n">
        <v>0</v>
      </c>
      <c r="K4168" s="3" t="n">
        <v>0</v>
      </c>
      <c r="L4168" s="3">
        <f>IF(K4168&lt;-5,"CRÍTICO",IF(K4168&lt;0,"ATENÇÃO",IF(K4168&lt;=5,"OPORTUNO","MUITO BOM")))</f>
        <v/>
      </c>
      <c r="N4168" t="n">
        <v>98.81999999999999</v>
      </c>
      <c r="O4168" t="n">
        <v>30.74141048824593</v>
      </c>
    </row>
    <row r="4169" hidden="1">
      <c r="A4169" s="11" t="n">
        <v>46134</v>
      </c>
      <c r="B4169" t="inlineStr">
        <is>
          <t>Carlos Mateus Cassimiro Nunes</t>
        </is>
      </c>
      <c r="C4169" t="inlineStr">
        <is>
          <t>Técnico II</t>
        </is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s="3" t="n">
        <v>0</v>
      </c>
      <c r="J4169" s="3" t="n">
        <v>0</v>
      </c>
      <c r="K4169" s="3" t="n">
        <v>0</v>
      </c>
      <c r="L4169" s="3">
        <f>IF(K4169&lt;-5,"CRÍTICO",IF(K4169&lt;0,"ATENÇÃO",IF(K4169&lt;=5,"OPORTUNO","MUITO BOM")))</f>
        <v/>
      </c>
      <c r="N4169" t="n">
        <v>98.2</v>
      </c>
      <c r="O4169" t="n">
        <v>26.89075630252101</v>
      </c>
    </row>
    <row r="4170" hidden="1">
      <c r="A4170" s="11" t="n">
        <v>46134</v>
      </c>
      <c r="B4170" t="inlineStr">
        <is>
          <t>Claudio de Sousa Velasco Filho</t>
        </is>
      </c>
      <c r="C4170" t="inlineStr">
        <is>
          <t>Estágio</t>
        </is>
      </c>
      <c r="D4170" t="n">
        <v>5</v>
      </c>
      <c r="E4170" t="n">
        <v>5</v>
      </c>
      <c r="F4170" t="n">
        <v>33.49</v>
      </c>
      <c r="G4170" t="n">
        <v>0</v>
      </c>
      <c r="H4170" t="n">
        <v>0</v>
      </c>
      <c r="I4170" s="3">
        <f>E4170+G4170+H4170</f>
        <v/>
      </c>
      <c r="J4170" s="3">
        <f>ROUND(MIN(IF(C4170="Técnico III",35,IF(C4170="Técnico II",28,IF(C4170="Técnico I",23,IF(C4170="JR",20,IF(C4170="Estágio",10,0))))),IF(C4170="Técnico III",SUMIFS($D:$D,$A:$A,$A4170,$B:$B,"&lt;&gt;Patrícia Karla de Sousa Araújo",$B:$B,"&lt;&gt;Lorena Dias de Araujo",$B:$B,"&lt;&gt;Lucas Luiz Romero")*(35/1083),IF(C4170="Técnico II",SUMIFS($D:$D,$A:$A,$A4170,$B:$B,"&lt;&gt;Patrícia Karla de Sousa Araújo",$B:$B,"&lt;&gt;Lorena Dias de Araujo",$B:$B,"&lt;&gt;Lucas Luiz Romero")*(28/1083),IF(C4170="Técnico I",SUMIFS($D:$D,$A:$A,$A4170,$B:$B,"&lt;&gt;Patrícia Karla de Sousa Araújo",$B:$B,"&lt;&gt;Lorena Dias de Araujo",$B:$B,"&lt;&gt;Lucas Luiz Romero")*(23/1083),IF(C4170="JR",SUMIFS($D:$D,$A:$A,$A4170,$B:$B,"&lt;&gt;Patrícia Karla de Sousa Araújo",$B:$B,"&lt;&gt;Lorena Dias de Araujo",$B:$B,"&lt;&gt;Lucas Luiz Romero")*(20/1083),IF(C4170="Estágio",SUMIFS($D:$D,$A:$A,$A4170,$B:$B,"&lt;&gt;Patrícia Karla de Sousa Araújo",$B:$B,"&lt;&gt;Lorena Dias de Araujo",$B:$B,"&lt;&gt;Lucas Luiz Romero")*(10/1083),0)))))),0)</f>
        <v/>
      </c>
      <c r="K4170" s="3">
        <f>I4170-J4170</f>
        <v/>
      </c>
      <c r="L4170" s="3">
        <f>IF(K4170&lt;-5,"CRÍTICO",IF(K4170&lt;0,"ATENÇÃO",IF(K4170&lt;=5,"OPORTUNO","MUITO BOM")))</f>
        <v/>
      </c>
      <c r="N4170" t="n">
        <v>100</v>
      </c>
      <c r="O4170" t="n">
        <v>23.13432835820895</v>
      </c>
    </row>
    <row r="4171" hidden="1">
      <c r="A4171" s="11" t="n">
        <v>46134</v>
      </c>
      <c r="B4171" t="inlineStr">
        <is>
          <t>Clessiane Pereira dos Santos</t>
        </is>
      </c>
      <c r="C4171" t="inlineStr">
        <is>
          <t>Técnico I</t>
        </is>
      </c>
      <c r="D4171" t="n">
        <v>16</v>
      </c>
      <c r="E4171" t="n">
        <v>13</v>
      </c>
      <c r="F4171" t="n">
        <v>15.45</v>
      </c>
      <c r="G4171" t="n">
        <v>0</v>
      </c>
      <c r="H4171" t="n">
        <v>0</v>
      </c>
      <c r="I4171" s="3">
        <f>E4171+G4171+H4171</f>
        <v/>
      </c>
      <c r="J4171" s="3">
        <f>ROUND(MIN(IF(C4171="Técnico III",35,IF(C4171="Técnico II",28,IF(C4171="Técnico I",23,IF(C4171="JR",20,IF(C4171="Estágio",10,0))))),IF(C4171="Técnico III",SUMIFS($D:$D,$A:$A,$A4171,$B:$B,"&lt;&gt;Patrícia Karla de Sousa Araújo",$B:$B,"&lt;&gt;Lorena Dias de Araujo",$B:$B,"&lt;&gt;Lucas Luiz Romero")*(35/1083),IF(C4171="Técnico II",SUMIFS($D:$D,$A:$A,$A4171,$B:$B,"&lt;&gt;Patrícia Karla de Sousa Araújo",$B:$B,"&lt;&gt;Lorena Dias de Araujo",$B:$B,"&lt;&gt;Lucas Luiz Romero")*(28/1083),IF(C4171="Técnico I",SUMIFS($D:$D,$A:$A,$A4171,$B:$B,"&lt;&gt;Patrícia Karla de Sousa Araújo",$B:$B,"&lt;&gt;Lorena Dias de Araujo",$B:$B,"&lt;&gt;Lucas Luiz Romero")*(23/1083),IF(C4171="JR",SUMIFS($D:$D,$A:$A,$A4171,$B:$B,"&lt;&gt;Patrícia Karla de Sousa Araújo",$B:$B,"&lt;&gt;Lorena Dias de Araujo",$B:$B,"&lt;&gt;Lucas Luiz Romero")*(20/1083),IF(C4171="Estágio",SUMIFS($D:$D,$A:$A,$A4171,$B:$B,"&lt;&gt;Patrícia Karla de Sousa Araújo",$B:$B,"&lt;&gt;Lorena Dias de Araujo",$B:$B,"&lt;&gt;Lucas Luiz Romero")*(10/1083),0)))))),0)</f>
        <v/>
      </c>
      <c r="K4171" s="3">
        <f>I4171-J4171</f>
        <v/>
      </c>
      <c r="L4171" s="3">
        <f>IF(K4171&lt;-5,"CRÍTICO",IF(K4171&lt;0,"ATENÇÃO",IF(K4171&lt;=5,"OPORTUNO","MUITO BOM")))</f>
        <v/>
      </c>
      <c r="N4171" t="n">
        <v>96.3</v>
      </c>
      <c r="O4171" t="n">
        <v>31.98090692124105</v>
      </c>
    </row>
    <row r="4172" hidden="1">
      <c r="A4172" s="11" t="n">
        <v>46134</v>
      </c>
      <c r="B4172" t="inlineStr">
        <is>
          <t>Cristiane Ramos da Silva Rocha</t>
        </is>
      </c>
      <c r="C4172" t="inlineStr">
        <is>
          <t>Técnico III</t>
        </is>
      </c>
      <c r="D4172" t="n">
        <v>24</v>
      </c>
      <c r="E4172" t="n">
        <v>23</v>
      </c>
      <c r="F4172" t="n">
        <v>16.43</v>
      </c>
      <c r="G4172" t="n">
        <v>0</v>
      </c>
      <c r="H4172" t="n">
        <v>0</v>
      </c>
      <c r="I4172" s="3">
        <f>E4172+G4172+H4172</f>
        <v/>
      </c>
      <c r="J4172" s="3">
        <f>ROUND(MIN(IF(C4172="Técnico III",35,IF(C4172="Técnico II",28,IF(C4172="Técnico I",23,IF(C4172="JR",20,IF(C4172="Estágio",10,0))))),IF(C4172="Técnico III",SUMIFS($D:$D,$A:$A,$A4172,$B:$B,"&lt;&gt;Patrícia Karla de Sousa Araújo",$B:$B,"&lt;&gt;Lorena Dias de Araujo",$B:$B,"&lt;&gt;Lucas Luiz Romero")*(35/1083),IF(C4172="Técnico II",SUMIFS($D:$D,$A:$A,$A4172,$B:$B,"&lt;&gt;Patrícia Karla de Sousa Araújo",$B:$B,"&lt;&gt;Lorena Dias de Araujo",$B:$B,"&lt;&gt;Lucas Luiz Romero")*(28/1083),IF(C4172="Técnico I",SUMIFS($D:$D,$A:$A,$A4172,$B:$B,"&lt;&gt;Patrícia Karla de Sousa Araújo",$B:$B,"&lt;&gt;Lorena Dias de Araujo",$B:$B,"&lt;&gt;Lucas Luiz Romero")*(23/1083),IF(C4172="JR",SUMIFS($D:$D,$A:$A,$A4172,$B:$B,"&lt;&gt;Patrícia Karla de Sousa Araújo",$B:$B,"&lt;&gt;Lorena Dias de Araujo",$B:$B,"&lt;&gt;Lucas Luiz Romero")*(20/1083),IF(C4172="Estágio",SUMIFS($D:$D,$A:$A,$A4172,$B:$B,"&lt;&gt;Patrícia Karla de Sousa Araújo",$B:$B,"&lt;&gt;Lorena Dias de Araujo",$B:$B,"&lt;&gt;Lucas Luiz Romero")*(10/1083),0)))))),0)</f>
        <v/>
      </c>
      <c r="K4172" s="3">
        <f>I4172-J4172</f>
        <v/>
      </c>
      <c r="L4172" s="3">
        <f>IF(K4172&lt;-5,"CRÍTICO",IF(K4172&lt;0,"ATENÇÃO",IF(K4172&lt;=5,"OPORTUNO","MUITO BOM")))</f>
        <v/>
      </c>
      <c r="N4172" t="n">
        <v>93.75</v>
      </c>
      <c r="O4172" t="n">
        <v>26.62835249042146</v>
      </c>
    </row>
    <row r="4173" hidden="1">
      <c r="A4173" s="11" t="n">
        <v>46134</v>
      </c>
      <c r="B4173" t="inlineStr">
        <is>
          <t>Damyllis Lorraine de Oliveira Gonçalves</t>
        </is>
      </c>
      <c r="C4173" t="inlineStr">
        <is>
          <t>Técnico II</t>
        </is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s="3" t="n">
        <v>0</v>
      </c>
      <c r="J4173" s="3" t="n">
        <v>0</v>
      </c>
      <c r="K4173" s="3" t="n">
        <v>0</v>
      </c>
      <c r="L4173" s="3">
        <f>IF(K4173&lt;-5,"CRÍTICO",IF(K4173&lt;0,"ATENÇÃO",IF(K4173&lt;=5,"OPORTUNO","MUITO BOM")))</f>
        <v/>
      </c>
      <c r="N4173" t="n">
        <v>97.86</v>
      </c>
      <c r="O4173" t="n">
        <v>31.01851851851852</v>
      </c>
    </row>
    <row r="4174" hidden="1">
      <c r="A4174" s="11" t="n">
        <v>46134</v>
      </c>
      <c r="B4174" t="inlineStr">
        <is>
          <t>Daniel Gomes da Silva</t>
        </is>
      </c>
      <c r="C4174" t="inlineStr">
        <is>
          <t>Técnico I</t>
        </is>
      </c>
      <c r="D4174" t="n">
        <v>18</v>
      </c>
      <c r="E4174" t="n">
        <v>16</v>
      </c>
      <c r="F4174" t="n">
        <v>22.13</v>
      </c>
      <c r="G4174" t="n">
        <v>0</v>
      </c>
      <c r="H4174" t="n">
        <v>0</v>
      </c>
      <c r="I4174" s="3">
        <f>E4174+G4174+H4174</f>
        <v/>
      </c>
      <c r="J4174" s="3">
        <f>ROUND(MIN(IF(C4174="Técnico III",35,IF(C4174="Técnico II",28,IF(C4174="Técnico I",23,IF(C4174="JR",20,IF(C4174="Estágio",10,0))))),IF(C4174="Técnico III",SUMIFS($D:$D,$A:$A,$A4174,$B:$B,"&lt;&gt;Patrícia Karla de Sousa Araújo",$B:$B,"&lt;&gt;Lorena Dias de Araujo",$B:$B,"&lt;&gt;Lucas Luiz Romero")*(35/1083),IF(C4174="Técnico II",SUMIFS($D:$D,$A:$A,$A4174,$B:$B,"&lt;&gt;Patrícia Karla de Sousa Araújo",$B:$B,"&lt;&gt;Lorena Dias de Araujo",$B:$B,"&lt;&gt;Lucas Luiz Romero")*(28/1083),IF(C4174="Técnico I",SUMIFS($D:$D,$A:$A,$A4174,$B:$B,"&lt;&gt;Patrícia Karla de Sousa Araújo",$B:$B,"&lt;&gt;Lorena Dias de Araujo",$B:$B,"&lt;&gt;Lucas Luiz Romero")*(23/1083),IF(C4174="JR",SUMIFS($D:$D,$A:$A,$A4174,$B:$B,"&lt;&gt;Patrícia Karla de Sousa Araújo",$B:$B,"&lt;&gt;Lorena Dias de Araujo",$B:$B,"&lt;&gt;Lucas Luiz Romero")*(20/1083),IF(C4174="Estágio",SUMIFS($D:$D,$A:$A,$A4174,$B:$B,"&lt;&gt;Patrícia Karla de Sousa Araújo",$B:$B,"&lt;&gt;Lorena Dias de Araujo",$B:$B,"&lt;&gt;Lucas Luiz Romero")*(10/1083),0)))))),0)</f>
        <v/>
      </c>
      <c r="K4174" s="3">
        <f>I4174-J4174</f>
        <v/>
      </c>
      <c r="L4174" s="3">
        <f>IF(K4174&lt;-5,"CRÍTICO",IF(K4174&lt;0,"ATENÇÃO",IF(K4174&lt;=5,"OPORTUNO","MUITO BOM")))</f>
        <v/>
      </c>
      <c r="N4174" t="n">
        <v>100</v>
      </c>
      <c r="O4174" t="n">
        <v>36.23188405797102</v>
      </c>
    </row>
    <row r="4175" hidden="1">
      <c r="A4175" s="11" t="n">
        <v>46134</v>
      </c>
      <c r="B4175" t="inlineStr">
        <is>
          <t>Davylla Rodrigues Freitas Silva</t>
        </is>
      </c>
      <c r="C4175" t="inlineStr">
        <is>
          <t>Técnico III</t>
        </is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s="3" t="n">
        <v>0</v>
      </c>
      <c r="J4175" s="3" t="n">
        <v>0</v>
      </c>
      <c r="K4175" s="3" t="n">
        <v>0</v>
      </c>
      <c r="L4175" s="3">
        <f>IF(K4175&lt;-5,"CRÍTICO",IF(K4175&lt;0,"ATENÇÃO",IF(K4175&lt;=5,"OPORTUNO","MUITO BOM")))</f>
        <v/>
      </c>
      <c r="N4175" t="n">
        <v>100</v>
      </c>
      <c r="O4175" t="n">
        <v>38.26923076923077</v>
      </c>
    </row>
    <row r="4176" hidden="1">
      <c r="A4176" s="11" t="n">
        <v>46134</v>
      </c>
      <c r="B4176" t="inlineStr">
        <is>
          <t>Emilly Caylane Costa</t>
        </is>
      </c>
      <c r="C4176" t="inlineStr">
        <is>
          <t>Estágio</t>
        </is>
      </c>
      <c r="D4176" t="n">
        <v>7</v>
      </c>
      <c r="E4176" t="n">
        <v>7</v>
      </c>
      <c r="F4176" t="n">
        <v>30.04</v>
      </c>
      <c r="G4176" t="n">
        <v>0</v>
      </c>
      <c r="H4176" t="n">
        <v>0</v>
      </c>
      <c r="I4176" s="3">
        <f>E4176+G4176+H4176</f>
        <v/>
      </c>
      <c r="J4176" s="3">
        <f>ROUND(MIN(IF(C4176="Técnico III",35,IF(C4176="Técnico II",28,IF(C4176="Técnico I",23,IF(C4176="JR",20,IF(C4176="Estágio",10,0))))),IF(C4176="Técnico III",SUMIFS($D:$D,$A:$A,$A4176,$B:$B,"&lt;&gt;Patrícia Karla de Sousa Araújo",$B:$B,"&lt;&gt;Lorena Dias de Araujo",$B:$B,"&lt;&gt;Lucas Luiz Romero")*(35/1083),IF(C4176="Técnico II",SUMIFS($D:$D,$A:$A,$A4176,$B:$B,"&lt;&gt;Patrícia Karla de Sousa Araújo",$B:$B,"&lt;&gt;Lorena Dias de Araujo",$B:$B,"&lt;&gt;Lucas Luiz Romero")*(28/1083),IF(C4176="Técnico I",SUMIFS($D:$D,$A:$A,$A4176,$B:$B,"&lt;&gt;Patrícia Karla de Sousa Araújo",$B:$B,"&lt;&gt;Lorena Dias de Araujo",$B:$B,"&lt;&gt;Lucas Luiz Romero")*(23/1083),IF(C4176="JR",SUMIFS($D:$D,$A:$A,$A4176,$B:$B,"&lt;&gt;Patrícia Karla de Sousa Araújo",$B:$B,"&lt;&gt;Lorena Dias de Araujo",$B:$B,"&lt;&gt;Lucas Luiz Romero")*(20/1083),IF(C4176="Estágio",SUMIFS($D:$D,$A:$A,$A4176,$B:$B,"&lt;&gt;Patrícia Karla de Sousa Araújo",$B:$B,"&lt;&gt;Lorena Dias de Araujo",$B:$B,"&lt;&gt;Lucas Luiz Romero")*(10/1083),0)))))),0)</f>
        <v/>
      </c>
      <c r="K4176" s="3">
        <f>I4176-J4176</f>
        <v/>
      </c>
      <c r="L4176" s="3">
        <f>IF(K4176&lt;-5,"CRÍTICO",IF(K4176&lt;0,"ATENÇÃO",IF(K4176&lt;=5,"OPORTUNO","MUITO BOM")))</f>
        <v/>
      </c>
      <c r="N4176" t="n">
        <v>100</v>
      </c>
      <c r="O4176" t="n">
        <v>27.36842105263158</v>
      </c>
    </row>
    <row r="4177" hidden="1">
      <c r="A4177" s="11" t="n">
        <v>46134</v>
      </c>
      <c r="B4177" t="inlineStr">
        <is>
          <t>Emilly Kamilly Medeiros Miranda</t>
        </is>
      </c>
      <c r="C4177" t="inlineStr">
        <is>
          <t>Técnico II</t>
        </is>
      </c>
      <c r="D4177" t="n">
        <v>30</v>
      </c>
      <c r="E4177" t="n">
        <v>29</v>
      </c>
      <c r="F4177" t="n">
        <v>14.13</v>
      </c>
      <c r="G4177" t="n">
        <v>0</v>
      </c>
      <c r="H4177" t="n">
        <v>0</v>
      </c>
      <c r="I4177" s="3">
        <f>E4177+G4177+H4177</f>
        <v/>
      </c>
      <c r="J4177" s="3">
        <f>ROUND(MIN(IF(C4177="Técnico III",35,IF(C4177="Técnico II",28,IF(C4177="Técnico I",23,IF(C4177="JR",20,IF(C4177="Estágio",10,0))))),IF(C4177="Técnico III",SUMIFS($D:$D,$A:$A,$A4177,$B:$B,"&lt;&gt;Patrícia Karla de Sousa Araújo",$B:$B,"&lt;&gt;Lorena Dias de Araujo",$B:$B,"&lt;&gt;Lucas Luiz Romero")*(35/1083),IF(C4177="Técnico II",SUMIFS($D:$D,$A:$A,$A4177,$B:$B,"&lt;&gt;Patrícia Karla de Sousa Araújo",$B:$B,"&lt;&gt;Lorena Dias de Araujo",$B:$B,"&lt;&gt;Lucas Luiz Romero")*(28/1083),IF(C4177="Técnico I",SUMIFS($D:$D,$A:$A,$A4177,$B:$B,"&lt;&gt;Patrícia Karla de Sousa Araújo",$B:$B,"&lt;&gt;Lorena Dias de Araujo",$B:$B,"&lt;&gt;Lucas Luiz Romero")*(23/1083),IF(C4177="JR",SUMIFS($D:$D,$A:$A,$A4177,$B:$B,"&lt;&gt;Patrícia Karla de Sousa Araújo",$B:$B,"&lt;&gt;Lorena Dias de Araujo",$B:$B,"&lt;&gt;Lucas Luiz Romero")*(20/1083),IF(C4177="Estágio",SUMIFS($D:$D,$A:$A,$A4177,$B:$B,"&lt;&gt;Patrícia Karla de Sousa Araújo",$B:$B,"&lt;&gt;Lorena Dias de Araujo",$B:$B,"&lt;&gt;Lucas Luiz Romero")*(10/1083),0)))))),0)</f>
        <v/>
      </c>
      <c r="K4177" s="3">
        <f>I4177-J4177</f>
        <v/>
      </c>
      <c r="L4177" s="3">
        <f>IF(K4177&lt;-5,"CRÍTICO",IF(K4177&lt;0,"ATENÇÃO",IF(K4177&lt;=5,"OPORTUNO","MUITO BOM")))</f>
        <v/>
      </c>
      <c r="N4177" t="n">
        <v>97.83</v>
      </c>
      <c r="O4177" t="n">
        <v>28.13186813186813</v>
      </c>
    </row>
    <row r="4178" hidden="1">
      <c r="A4178" s="11" t="n">
        <v>46134</v>
      </c>
      <c r="B4178" t="inlineStr">
        <is>
          <t>Francielson de Oliveira</t>
        </is>
      </c>
      <c r="C4178" t="inlineStr">
        <is>
          <t>Técnico III</t>
        </is>
      </c>
      <c r="D4178" t="n">
        <v>19</v>
      </c>
      <c r="E4178" t="n">
        <v>19</v>
      </c>
      <c r="F4178" t="n">
        <v>18.3</v>
      </c>
      <c r="G4178" t="n">
        <v>0</v>
      </c>
      <c r="H4178" t="n">
        <v>0</v>
      </c>
      <c r="I4178" s="3">
        <f>E4178+G4178+H4178</f>
        <v/>
      </c>
      <c r="J4178" s="3">
        <f>ROUND(MIN(IF(C4178="Técnico III",35,IF(C4178="Técnico II",28,IF(C4178="Técnico I",23,IF(C4178="JR",20,IF(C4178="Estágio",10,0))))),IF(C4178="Técnico III",SUMIFS($D:$D,$A:$A,$A4178,$B:$B,"&lt;&gt;Patrícia Karla de Sousa Araújo",$B:$B,"&lt;&gt;Lorena Dias de Araujo",$B:$B,"&lt;&gt;Lucas Luiz Romero")*(35/1083),IF(C4178="Técnico II",SUMIFS($D:$D,$A:$A,$A4178,$B:$B,"&lt;&gt;Patrícia Karla de Sousa Araújo",$B:$B,"&lt;&gt;Lorena Dias de Araujo",$B:$B,"&lt;&gt;Lucas Luiz Romero")*(28/1083),IF(C4178="Técnico I",SUMIFS($D:$D,$A:$A,$A4178,$B:$B,"&lt;&gt;Patrícia Karla de Sousa Araújo",$B:$B,"&lt;&gt;Lorena Dias de Araujo",$B:$B,"&lt;&gt;Lucas Luiz Romero")*(23/1083),IF(C4178="JR",SUMIFS($D:$D,$A:$A,$A4178,$B:$B,"&lt;&gt;Patrícia Karla de Sousa Araújo",$B:$B,"&lt;&gt;Lorena Dias de Araujo",$B:$B,"&lt;&gt;Lucas Luiz Romero")*(20/1083),IF(C4178="Estágio",SUMIFS($D:$D,$A:$A,$A4178,$B:$B,"&lt;&gt;Patrícia Karla de Sousa Araújo",$B:$B,"&lt;&gt;Lorena Dias de Araujo",$B:$B,"&lt;&gt;Lucas Luiz Romero")*(10/1083),0)))))),0)</f>
        <v/>
      </c>
      <c r="K4178" s="3">
        <f>I4178-J4178</f>
        <v/>
      </c>
      <c r="L4178" s="3">
        <f>IF(K4178&lt;-5,"CRÍTICO",IF(K4178&lt;0,"ATENÇÃO",IF(K4178&lt;=5,"OPORTUNO","MUITO BOM")))</f>
        <v/>
      </c>
      <c r="N4178" t="n">
        <v>99.26000000000001</v>
      </c>
      <c r="O4178" t="n">
        <v>29.57198443579767</v>
      </c>
    </row>
    <row r="4179" hidden="1">
      <c r="A4179" s="11" t="n">
        <v>46134</v>
      </c>
      <c r="B4179" t="inlineStr">
        <is>
          <t>Francilene Ferreira de Jesus</t>
        </is>
      </c>
      <c r="C4179" t="inlineStr">
        <is>
          <t>Técnico II</t>
        </is>
      </c>
      <c r="D4179" t="n">
        <v>21</v>
      </c>
      <c r="E4179" t="n">
        <v>19</v>
      </c>
      <c r="F4179" t="n">
        <v>20.57</v>
      </c>
      <c r="G4179" t="n">
        <v>0</v>
      </c>
      <c r="H4179" t="n">
        <v>0</v>
      </c>
      <c r="I4179" s="3">
        <f>E4179+G4179+H4179</f>
        <v/>
      </c>
      <c r="J4179" s="3">
        <f>ROUND(MIN(IF(C4179="Técnico III",35,IF(C4179="Técnico II",28,IF(C4179="Técnico I",23,IF(C4179="JR",20,IF(C4179="Estágio",10,0))))),IF(C4179="Técnico III",SUMIFS($D:$D,$A:$A,$A4179,$B:$B,"&lt;&gt;Patrícia Karla de Sousa Araújo",$B:$B,"&lt;&gt;Lorena Dias de Araujo",$B:$B,"&lt;&gt;Lucas Luiz Romero")*(35/1083),IF(C4179="Técnico II",SUMIFS($D:$D,$A:$A,$A4179,$B:$B,"&lt;&gt;Patrícia Karla de Sousa Araújo",$B:$B,"&lt;&gt;Lorena Dias de Araujo",$B:$B,"&lt;&gt;Lucas Luiz Romero")*(28/1083),IF(C4179="Técnico I",SUMIFS($D:$D,$A:$A,$A4179,$B:$B,"&lt;&gt;Patrícia Karla de Sousa Araújo",$B:$B,"&lt;&gt;Lorena Dias de Araujo",$B:$B,"&lt;&gt;Lucas Luiz Romero")*(23/1083),IF(C4179="JR",SUMIFS($D:$D,$A:$A,$A4179,$B:$B,"&lt;&gt;Patrícia Karla de Sousa Araújo",$B:$B,"&lt;&gt;Lorena Dias de Araujo",$B:$B,"&lt;&gt;Lucas Luiz Romero")*(20/1083),IF(C4179="Estágio",SUMIFS($D:$D,$A:$A,$A4179,$B:$B,"&lt;&gt;Patrícia Karla de Sousa Araújo",$B:$B,"&lt;&gt;Lorena Dias de Araujo",$B:$B,"&lt;&gt;Lucas Luiz Romero")*(10/1083),0)))))),0)</f>
        <v/>
      </c>
      <c r="K4179" s="3">
        <f>I4179-J4179</f>
        <v/>
      </c>
      <c r="L4179" s="3">
        <f>IF(K4179&lt;-5,"CRÍTICO",IF(K4179&lt;0,"ATENÇÃO",IF(K4179&lt;=5,"OPORTUNO","MUITO BOM")))</f>
        <v/>
      </c>
      <c r="N4179" t="n">
        <v>99.19</v>
      </c>
      <c r="O4179" t="n">
        <v>29.46236559139785</v>
      </c>
    </row>
    <row r="4180" hidden="1">
      <c r="A4180" s="11" t="n">
        <v>46140</v>
      </c>
      <c r="B4180" t="inlineStr">
        <is>
          <t>Damyllis Lorraine de Oliveira Gonçalves</t>
        </is>
      </c>
      <c r="C4180" t="inlineStr">
        <is>
          <t>Técnico II</t>
        </is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s="3" t="n">
        <v>0</v>
      </c>
      <c r="J4180" s="3" t="n">
        <v>0</v>
      </c>
      <c r="K4180" s="3" t="n">
        <v>0</v>
      </c>
      <c r="L4180" s="3">
        <f>IF(K4180&lt;-5,"CRÍTICO",IF(K4180&lt;0,"ATENÇÃO",IF(K4180&lt;=5,"OPORTUNO","MUITO BOM")))</f>
        <v/>
      </c>
      <c r="N4180" t="n">
        <v>97.86</v>
      </c>
      <c r="O4180" t="n">
        <v>31.01851851851852</v>
      </c>
    </row>
    <row r="4181" hidden="1">
      <c r="A4181" s="11" t="n">
        <v>46134</v>
      </c>
      <c r="B4181" t="inlineStr">
        <is>
          <t>Isabella Borges de Oliveira</t>
        </is>
      </c>
      <c r="C4181" t="inlineStr">
        <is>
          <t>Técnico II</t>
        </is>
      </c>
      <c r="D4181" t="n">
        <v>19</v>
      </c>
      <c r="E4181" t="n">
        <v>18</v>
      </c>
      <c r="F4181" t="n">
        <v>26.53</v>
      </c>
      <c r="G4181" t="n">
        <v>0</v>
      </c>
      <c r="H4181" t="n">
        <v>0</v>
      </c>
      <c r="I4181" s="3">
        <f>E4181+G4181+H4181</f>
        <v/>
      </c>
      <c r="J4181" s="3">
        <f>ROUND(MIN(IF(C4181="Técnico III",35,IF(C4181="Técnico II",28,IF(C4181="Técnico I",23,IF(C4181="JR",20,IF(C4181="Estágio",10,0))))),IF(C4181="Técnico III",SUMIFS($D:$D,$A:$A,$A4181,$B:$B,"&lt;&gt;Patrícia Karla de Sousa Araújo",$B:$B,"&lt;&gt;Lorena Dias de Araujo",$B:$B,"&lt;&gt;Lucas Luiz Romero")*(35/1083),IF(C4181="Técnico II",SUMIFS($D:$D,$A:$A,$A4181,$B:$B,"&lt;&gt;Patrícia Karla de Sousa Araújo",$B:$B,"&lt;&gt;Lorena Dias de Araujo",$B:$B,"&lt;&gt;Lucas Luiz Romero")*(28/1083),IF(C4181="Técnico I",SUMIFS($D:$D,$A:$A,$A4181,$B:$B,"&lt;&gt;Patrícia Karla de Sousa Araújo",$B:$B,"&lt;&gt;Lorena Dias de Araujo",$B:$B,"&lt;&gt;Lucas Luiz Romero")*(23/1083),IF(C4181="JR",SUMIFS($D:$D,$A:$A,$A4181,$B:$B,"&lt;&gt;Patrícia Karla de Sousa Araújo",$B:$B,"&lt;&gt;Lorena Dias de Araujo",$B:$B,"&lt;&gt;Lucas Luiz Romero")*(20/1083),IF(C4181="Estágio",SUMIFS($D:$D,$A:$A,$A4181,$B:$B,"&lt;&gt;Patrícia Karla de Sousa Araújo",$B:$B,"&lt;&gt;Lorena Dias de Araujo",$B:$B,"&lt;&gt;Lucas Luiz Romero")*(10/1083),0)))))),0)</f>
        <v/>
      </c>
      <c r="K4181" s="3">
        <f>I4181-J4181</f>
        <v/>
      </c>
      <c r="L4181" s="3">
        <f>IF(K4181&lt;-5,"CRÍTICO",IF(K4181&lt;0,"ATENÇÃO",IF(K4181&lt;=5,"OPORTUNO","MUITO BOM")))</f>
        <v/>
      </c>
      <c r="N4181" t="n">
        <v>100</v>
      </c>
      <c r="O4181" t="n">
        <v>27.94117647058824</v>
      </c>
    </row>
    <row r="4182" hidden="1">
      <c r="A4182" s="11" t="n">
        <v>46134</v>
      </c>
      <c r="B4182" t="inlineStr">
        <is>
          <t>Janaina Lima dos Reis Urany</t>
        </is>
      </c>
      <c r="C4182" t="inlineStr">
        <is>
          <t>Técnico III</t>
        </is>
      </c>
      <c r="D4182" t="n">
        <v>33</v>
      </c>
      <c r="E4182" t="n">
        <v>30</v>
      </c>
      <c r="F4182" t="n">
        <v>15.55</v>
      </c>
      <c r="G4182" t="n">
        <v>0</v>
      </c>
      <c r="H4182" t="n">
        <v>0</v>
      </c>
      <c r="I4182" s="3">
        <f>E4182+G4182+H4182</f>
        <v/>
      </c>
      <c r="J4182" s="3">
        <f>ROUND(MIN(IF(C4182="Técnico III",35,IF(C4182="Técnico II",28,IF(C4182="Técnico I",23,IF(C4182="JR",20,IF(C4182="Estágio",10,0))))),IF(C4182="Técnico III",SUMIFS($D:$D,$A:$A,$A4182,$B:$B,"&lt;&gt;Patrícia Karla de Sousa Araújo",$B:$B,"&lt;&gt;Lorena Dias de Araujo",$B:$B,"&lt;&gt;Lucas Luiz Romero")*(35/1083),IF(C4182="Técnico II",SUMIFS($D:$D,$A:$A,$A4182,$B:$B,"&lt;&gt;Patrícia Karla de Sousa Araújo",$B:$B,"&lt;&gt;Lorena Dias de Araujo",$B:$B,"&lt;&gt;Lucas Luiz Romero")*(28/1083),IF(C4182="Técnico I",SUMIFS($D:$D,$A:$A,$A4182,$B:$B,"&lt;&gt;Patrícia Karla de Sousa Araújo",$B:$B,"&lt;&gt;Lorena Dias de Araujo",$B:$B,"&lt;&gt;Lucas Luiz Romero")*(23/1083),IF(C4182="JR",SUMIFS($D:$D,$A:$A,$A4182,$B:$B,"&lt;&gt;Patrícia Karla de Sousa Araújo",$B:$B,"&lt;&gt;Lorena Dias de Araujo",$B:$B,"&lt;&gt;Lucas Luiz Romero")*(20/1083),IF(C4182="Estágio",SUMIFS($D:$D,$A:$A,$A4182,$B:$B,"&lt;&gt;Patrícia Karla de Sousa Araújo",$B:$B,"&lt;&gt;Lorena Dias de Araujo",$B:$B,"&lt;&gt;Lucas Luiz Romero")*(10/1083),0)))))),0)</f>
        <v/>
      </c>
      <c r="K4182" s="3">
        <f>I4182-J4182</f>
        <v/>
      </c>
      <c r="L4182" s="3">
        <f>IF(K4182&lt;-5,"CRÍTICO",IF(K4182&lt;0,"ATENÇÃO",IF(K4182&lt;=5,"OPORTUNO","MUITO BOM")))</f>
        <v/>
      </c>
      <c r="N4182" t="n">
        <v>99.56999999999999</v>
      </c>
      <c r="O4182" t="n">
        <v>29.91329479768786</v>
      </c>
    </row>
    <row r="4183" hidden="1">
      <c r="A4183" s="11" t="n">
        <v>46134</v>
      </c>
      <c r="B4183" t="inlineStr">
        <is>
          <t>Jaqueline Evangelista da Silva Martins</t>
        </is>
      </c>
      <c r="C4183" t="inlineStr">
        <is>
          <t>Técnico III</t>
        </is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s="3" t="n">
        <v>0</v>
      </c>
      <c r="J4183" s="3" t="n">
        <v>0</v>
      </c>
      <c r="K4183" s="3" t="n">
        <v>0</v>
      </c>
      <c r="L4183" s="3">
        <f>IF(K4183&lt;-5,"CRÍTICO",IF(K4183&lt;0,"ATENÇÃO",IF(K4183&lt;=5,"OPORTUNO","MUITO BOM")))</f>
        <v/>
      </c>
      <c r="N4183" t="n">
        <v>95.65000000000001</v>
      </c>
      <c r="O4183" t="n">
        <v>31.08108108108108</v>
      </c>
    </row>
    <row r="4184" hidden="1">
      <c r="A4184" s="11" t="n">
        <v>46134</v>
      </c>
      <c r="B4184" t="inlineStr">
        <is>
          <t>Jessica Faria da Silveira</t>
        </is>
      </c>
      <c r="C4184" t="inlineStr">
        <is>
          <t>Técnico II</t>
        </is>
      </c>
      <c r="D4184" t="n">
        <v>27</v>
      </c>
      <c r="E4184" t="n">
        <v>21</v>
      </c>
      <c r="F4184" t="n">
        <v>13.34</v>
      </c>
      <c r="G4184" t="n">
        <v>0</v>
      </c>
      <c r="H4184" t="n">
        <v>0</v>
      </c>
      <c r="I4184" s="3">
        <f>E4184+G4184+H4184</f>
        <v/>
      </c>
      <c r="J4184" s="3">
        <f>ROUND(MIN(IF(C4184="Técnico III",35,IF(C4184="Técnico II",28,IF(C4184="Técnico I",23,IF(C4184="JR",20,IF(C4184="Estágio",10,0))))),IF(C4184="Técnico III",SUMIFS($D:$D,$A:$A,$A4184,$B:$B,"&lt;&gt;Patrícia Karla de Sousa Araújo",$B:$B,"&lt;&gt;Lorena Dias de Araujo",$B:$B,"&lt;&gt;Lucas Luiz Romero")*(35/1083),IF(C4184="Técnico II",SUMIFS($D:$D,$A:$A,$A4184,$B:$B,"&lt;&gt;Patrícia Karla de Sousa Araújo",$B:$B,"&lt;&gt;Lorena Dias de Araujo",$B:$B,"&lt;&gt;Lucas Luiz Romero")*(28/1083),IF(C4184="Técnico I",SUMIFS($D:$D,$A:$A,$A4184,$B:$B,"&lt;&gt;Patrícia Karla de Sousa Araújo",$B:$B,"&lt;&gt;Lorena Dias de Araujo",$B:$B,"&lt;&gt;Lucas Luiz Romero")*(23/1083),IF(C4184="JR",SUMIFS($D:$D,$A:$A,$A4184,$B:$B,"&lt;&gt;Patrícia Karla de Sousa Araújo",$B:$B,"&lt;&gt;Lorena Dias de Araujo",$B:$B,"&lt;&gt;Lucas Luiz Romero")*(20/1083),IF(C4184="Estágio",SUMIFS($D:$D,$A:$A,$A4184,$B:$B,"&lt;&gt;Patrícia Karla de Sousa Araújo",$B:$B,"&lt;&gt;Lorena Dias de Araujo",$B:$B,"&lt;&gt;Lucas Luiz Romero")*(10/1083),0)))))),0)</f>
        <v/>
      </c>
      <c r="K4184" s="3">
        <f>I4184-J4184</f>
        <v/>
      </c>
      <c r="L4184" s="3">
        <f>IF(K4184&lt;-5,"CRÍTICO",IF(K4184&lt;0,"ATENÇÃO",IF(K4184&lt;=5,"OPORTUNO","MUITO BOM")))</f>
        <v/>
      </c>
      <c r="N4184" t="n">
        <v>98.81</v>
      </c>
      <c r="O4184" t="n">
        <v>26.25698324022346</v>
      </c>
    </row>
    <row r="4185" hidden="1">
      <c r="A4185" s="11" t="n">
        <v>46134</v>
      </c>
      <c r="B4185" t="inlineStr">
        <is>
          <t>Jéssica Fé Moura</t>
        </is>
      </c>
      <c r="C4185" t="inlineStr">
        <is>
          <t>Técnico III</t>
        </is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s="3" t="n">
        <v>0</v>
      </c>
      <c r="J4185" s="3" t="n">
        <v>0</v>
      </c>
      <c r="K4185" s="3" t="n">
        <v>0</v>
      </c>
      <c r="L4185" s="3">
        <f>IF(K4185&lt;-5,"CRÍTICO",IF(K4185&lt;0,"ATENÇÃO",IF(K4185&lt;=5,"OPORTUNO","MUITO BOM")))</f>
        <v/>
      </c>
      <c r="N4185" t="n">
        <v>0</v>
      </c>
      <c r="O4185" t="n">
        <v>0</v>
      </c>
    </row>
    <row r="4186" hidden="1">
      <c r="A4186" s="11" t="n">
        <v>46134</v>
      </c>
      <c r="B4186" t="inlineStr">
        <is>
          <t>Karina Gonçalves Martins</t>
        </is>
      </c>
      <c r="C4186" t="inlineStr">
        <is>
          <t>JR</t>
        </is>
      </c>
      <c r="D4186" t="n">
        <v>10</v>
      </c>
      <c r="E4186" t="n">
        <v>9</v>
      </c>
      <c r="F4186" t="n">
        <v>34.12</v>
      </c>
      <c r="G4186" t="n">
        <v>0</v>
      </c>
      <c r="H4186" t="n">
        <v>0</v>
      </c>
      <c r="I4186" s="3">
        <f>E4186+G4186+H4186</f>
        <v/>
      </c>
      <c r="J4186" s="3">
        <f>ROUND(MIN(IF(C4186="Técnico III",35,IF(C4186="Técnico II",28,IF(C4186="Técnico I",23,IF(C4186="JR",20,IF(C4186="Estágio",10,0))))),IF(C4186="Técnico III",SUMIFS($D:$D,$A:$A,$A4186,$B:$B,"&lt;&gt;Patrícia Karla de Sousa Araújo",$B:$B,"&lt;&gt;Lorena Dias de Araujo",$B:$B,"&lt;&gt;Lucas Luiz Romero")*(35/1083),IF(C4186="Técnico II",SUMIFS($D:$D,$A:$A,$A4186,$B:$B,"&lt;&gt;Patrícia Karla de Sousa Araújo",$B:$B,"&lt;&gt;Lorena Dias de Araujo",$B:$B,"&lt;&gt;Lucas Luiz Romero")*(28/1083),IF(C4186="Técnico I",SUMIFS($D:$D,$A:$A,$A4186,$B:$B,"&lt;&gt;Patrícia Karla de Sousa Araújo",$B:$B,"&lt;&gt;Lorena Dias de Araujo",$B:$B,"&lt;&gt;Lucas Luiz Romero")*(23/1083),IF(C4186="JR",SUMIFS($D:$D,$A:$A,$A4186,$B:$B,"&lt;&gt;Patrícia Karla de Sousa Araújo",$B:$B,"&lt;&gt;Lorena Dias de Araujo",$B:$B,"&lt;&gt;Lucas Luiz Romero")*(20/1083),IF(C4186="Estágio",SUMIFS($D:$D,$A:$A,$A4186,$B:$B,"&lt;&gt;Patrícia Karla de Sousa Araújo",$B:$B,"&lt;&gt;Lorena Dias de Araujo",$B:$B,"&lt;&gt;Lucas Luiz Romero")*(10/1083),0)))))),0)</f>
        <v/>
      </c>
      <c r="K4186" s="3">
        <f>I4186-J4186</f>
        <v/>
      </c>
      <c r="L4186" s="3">
        <f>IF(K4186&lt;-5,"CRÍTICO",IF(K4186&lt;0,"ATENÇÃO",IF(K4186&lt;=5,"OPORTUNO","MUITO BOM")))</f>
        <v/>
      </c>
      <c r="N4186" t="n">
        <v>97.17</v>
      </c>
      <c r="O4186" t="n">
        <v>28.81844380403458</v>
      </c>
    </row>
    <row r="4187" hidden="1">
      <c r="A4187" s="11" t="n">
        <v>46134</v>
      </c>
      <c r="B4187" t="inlineStr">
        <is>
          <t>Kerollen Cristielly de Jesus Siqueira</t>
        </is>
      </c>
      <c r="C4187" t="inlineStr">
        <is>
          <t>Técnico III</t>
        </is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s="3" t="n">
        <v>0</v>
      </c>
      <c r="J4187" s="3" t="n">
        <v>0</v>
      </c>
      <c r="K4187" s="3" t="n">
        <v>0</v>
      </c>
      <c r="L4187" s="3">
        <f>IF(K4187&lt;-5,"CRÍTICO",IF(K4187&lt;0,"ATENÇÃO",IF(K4187&lt;=5,"OPORTUNO","MUITO BOM")))</f>
        <v/>
      </c>
      <c r="N4187" t="n">
        <v>96.81</v>
      </c>
      <c r="O4187" t="n">
        <v>48.01864801864802</v>
      </c>
    </row>
    <row r="4188" hidden="1">
      <c r="A4188" s="11" t="n">
        <v>46134</v>
      </c>
      <c r="B4188" t="inlineStr">
        <is>
          <t>Leandro de Souza Silva</t>
        </is>
      </c>
      <c r="C4188" t="inlineStr">
        <is>
          <t>JR</t>
        </is>
      </c>
      <c r="D4188" t="n">
        <v>6</v>
      </c>
      <c r="E4188" t="n">
        <v>5</v>
      </c>
      <c r="F4188" t="n">
        <v>52.11</v>
      </c>
      <c r="G4188" t="n">
        <v>0</v>
      </c>
      <c r="H4188" t="n">
        <v>0</v>
      </c>
      <c r="I4188" s="3">
        <f>E4188+G4188+H4188</f>
        <v/>
      </c>
      <c r="J4188" s="3">
        <f>ROUND(MIN(IF(C4188="Técnico III",35,IF(C4188="Técnico II",28,IF(C4188="Técnico I",23,IF(C4188="JR",20,IF(C4188="Estágio",10,0))))),IF(C4188="Técnico III",SUMIFS($D:$D,$A:$A,$A4188,$B:$B,"&lt;&gt;Patrícia Karla de Sousa Araújo",$B:$B,"&lt;&gt;Lorena Dias de Araujo",$B:$B,"&lt;&gt;Lucas Luiz Romero")*(35/1083),IF(C4188="Técnico II",SUMIFS($D:$D,$A:$A,$A4188,$B:$B,"&lt;&gt;Patrícia Karla de Sousa Araújo",$B:$B,"&lt;&gt;Lorena Dias de Araujo",$B:$B,"&lt;&gt;Lucas Luiz Romero")*(28/1083),IF(C4188="Técnico I",SUMIFS($D:$D,$A:$A,$A4188,$B:$B,"&lt;&gt;Patrícia Karla de Sousa Araújo",$B:$B,"&lt;&gt;Lorena Dias de Araujo",$B:$B,"&lt;&gt;Lucas Luiz Romero")*(23/1083),IF(C4188="JR",SUMIFS($D:$D,$A:$A,$A4188,$B:$B,"&lt;&gt;Patrícia Karla de Sousa Araújo",$B:$B,"&lt;&gt;Lorena Dias de Araujo",$B:$B,"&lt;&gt;Lucas Luiz Romero")*(20/1083),IF(C4188="Estágio",SUMIFS($D:$D,$A:$A,$A4188,$B:$B,"&lt;&gt;Patrícia Karla de Sousa Araújo",$B:$B,"&lt;&gt;Lorena Dias de Araujo",$B:$B,"&lt;&gt;Lucas Luiz Romero")*(10/1083),0)))))),0)</f>
        <v/>
      </c>
      <c r="K4188" s="3">
        <f>I4188-J4188</f>
        <v/>
      </c>
      <c r="L4188" s="3">
        <f>IF(K4188&lt;-5,"CRÍTICO",IF(K4188&lt;0,"ATENÇÃO",IF(K4188&lt;=5,"OPORTUNO","MUITO BOM")))</f>
        <v/>
      </c>
      <c r="N4188" t="n">
        <v>98.15000000000001</v>
      </c>
      <c r="O4188" t="n">
        <v>27.1551724137931</v>
      </c>
    </row>
    <row r="4189" hidden="1">
      <c r="A4189" s="11" t="n">
        <v>46134</v>
      </c>
      <c r="B4189" t="inlineStr">
        <is>
          <t>Leandro Oliveira de Sousa</t>
        </is>
      </c>
      <c r="C4189" t="inlineStr">
        <is>
          <t>Técnico III</t>
        </is>
      </c>
      <c r="D4189" t="n">
        <v>26</v>
      </c>
      <c r="E4189" t="n">
        <v>23</v>
      </c>
      <c r="F4189" t="n">
        <v>12.33</v>
      </c>
      <c r="G4189" t="n">
        <v>0</v>
      </c>
      <c r="H4189" t="n">
        <v>0</v>
      </c>
      <c r="I4189" s="3">
        <f>E4189+G4189+H4189</f>
        <v/>
      </c>
      <c r="J4189" s="3">
        <f>ROUND(MIN(IF(C4189="Técnico III",35,IF(C4189="Técnico II",28,IF(C4189="Técnico I",23,IF(C4189="JR",20,IF(C4189="Estágio",10,0))))),IF(C4189="Técnico III",SUMIFS($D:$D,$A:$A,$A4189,$B:$B,"&lt;&gt;Patrícia Karla de Sousa Araújo",$B:$B,"&lt;&gt;Lorena Dias de Araujo",$B:$B,"&lt;&gt;Lucas Luiz Romero")*(35/1083),IF(C4189="Técnico II",SUMIFS($D:$D,$A:$A,$A4189,$B:$B,"&lt;&gt;Patrícia Karla de Sousa Araújo",$B:$B,"&lt;&gt;Lorena Dias de Araujo",$B:$B,"&lt;&gt;Lucas Luiz Romero")*(28/1083),IF(C4189="Técnico I",SUMIFS($D:$D,$A:$A,$A4189,$B:$B,"&lt;&gt;Patrícia Karla de Sousa Araújo",$B:$B,"&lt;&gt;Lorena Dias de Araujo",$B:$B,"&lt;&gt;Lucas Luiz Romero")*(23/1083),IF(C4189="JR",SUMIFS($D:$D,$A:$A,$A4189,$B:$B,"&lt;&gt;Patrícia Karla de Sousa Araújo",$B:$B,"&lt;&gt;Lorena Dias de Araujo",$B:$B,"&lt;&gt;Lucas Luiz Romero")*(20/1083),IF(C4189="Estágio",SUMIFS($D:$D,$A:$A,$A4189,$B:$B,"&lt;&gt;Patrícia Karla de Sousa Araújo",$B:$B,"&lt;&gt;Lorena Dias de Araujo",$B:$B,"&lt;&gt;Lucas Luiz Romero")*(10/1083),0)))))),0)</f>
        <v/>
      </c>
      <c r="K4189" s="3">
        <f>I4189-J4189</f>
        <v/>
      </c>
      <c r="L4189" s="3">
        <f>IF(K4189&lt;-5,"CRÍTICO",IF(K4189&lt;0,"ATENÇÃO",IF(K4189&lt;=5,"OPORTUNO","MUITO BOM")))</f>
        <v/>
      </c>
      <c r="N4189" t="n">
        <v>99.15000000000001</v>
      </c>
      <c r="O4189" t="n">
        <v>27.37068965517241</v>
      </c>
    </row>
    <row r="4190" hidden="1">
      <c r="A4190" s="11" t="n">
        <v>46134</v>
      </c>
      <c r="B4190" t="inlineStr">
        <is>
          <t>Lizandra Gomes Duarte</t>
        </is>
      </c>
      <c r="C4190" t="inlineStr">
        <is>
          <t>Técnico II</t>
        </is>
      </c>
      <c r="D4190" t="n">
        <v>25</v>
      </c>
      <c r="E4190" t="n">
        <v>21</v>
      </c>
      <c r="F4190" t="n">
        <v>15.41</v>
      </c>
      <c r="G4190" t="n">
        <v>0</v>
      </c>
      <c r="H4190" t="n">
        <v>0</v>
      </c>
      <c r="I4190" s="3">
        <f>E4190+G4190+H4190</f>
        <v/>
      </c>
      <c r="J4190" s="3">
        <f>ROUND(MIN(IF(C4190="Técnico III",35,IF(C4190="Técnico II",28,IF(C4190="Técnico I",23,IF(C4190="JR",20,IF(C4190="Estágio",10,0))))),IF(C4190="Técnico III",SUMIFS($D:$D,$A:$A,$A4190,$B:$B,"&lt;&gt;Patrícia Karla de Sousa Araújo",$B:$B,"&lt;&gt;Lorena Dias de Araujo",$B:$B,"&lt;&gt;Lucas Luiz Romero")*(35/1083),IF(C4190="Técnico II",SUMIFS($D:$D,$A:$A,$A4190,$B:$B,"&lt;&gt;Patrícia Karla de Sousa Araújo",$B:$B,"&lt;&gt;Lorena Dias de Araujo",$B:$B,"&lt;&gt;Lucas Luiz Romero")*(28/1083),IF(C4190="Técnico I",SUMIFS($D:$D,$A:$A,$A4190,$B:$B,"&lt;&gt;Patrícia Karla de Sousa Araújo",$B:$B,"&lt;&gt;Lorena Dias de Araujo",$B:$B,"&lt;&gt;Lucas Luiz Romero")*(23/1083),IF(C4190="JR",SUMIFS($D:$D,$A:$A,$A4190,$B:$B,"&lt;&gt;Patrícia Karla de Sousa Araújo",$B:$B,"&lt;&gt;Lorena Dias de Araujo",$B:$B,"&lt;&gt;Lucas Luiz Romero")*(20/1083),IF(C4190="Estágio",SUMIFS($D:$D,$A:$A,$A4190,$B:$B,"&lt;&gt;Patrícia Karla de Sousa Araújo",$B:$B,"&lt;&gt;Lorena Dias de Araujo",$B:$B,"&lt;&gt;Lucas Luiz Romero")*(10/1083),0)))))),0)</f>
        <v/>
      </c>
      <c r="K4190" s="3">
        <f>I4190-J4190</f>
        <v/>
      </c>
      <c r="L4190" s="3">
        <f>IF(K4190&lt;-5,"CRÍTICO",IF(K4190&lt;0,"ATENÇÃO",IF(K4190&lt;=5,"OPORTUNO","MUITO BOM")))</f>
        <v/>
      </c>
      <c r="N4190" t="n">
        <v>99.17</v>
      </c>
      <c r="O4190" t="n">
        <v>29.75206611570248</v>
      </c>
    </row>
    <row r="4191" hidden="1">
      <c r="A4191" s="11" t="n">
        <v>46134</v>
      </c>
      <c r="B4191" t="inlineStr">
        <is>
          <t>Lorena Dias de Araujo</t>
        </is>
      </c>
      <c r="C4191" t="inlineStr">
        <is>
          <t>Técnico II</t>
        </is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s="3" t="n">
        <v>0</v>
      </c>
      <c r="J4191" s="3" t="n">
        <v>0</v>
      </c>
      <c r="K4191" s="3" t="n">
        <v>0</v>
      </c>
      <c r="L4191" s="3">
        <f>IF(K4191&lt;-5,"CRÍTICO",IF(K4191&lt;0,"ATENÇÃO",IF(K4191&lt;=5,"OPORTUNO","MUITO BOM")))</f>
        <v/>
      </c>
      <c r="N4191" t="n">
        <v>98.73</v>
      </c>
      <c r="O4191" t="n">
        <v>28.96174863387978</v>
      </c>
    </row>
    <row r="4192" hidden="1">
      <c r="A4192" s="11" t="n">
        <v>46134</v>
      </c>
      <c r="B4192" t="inlineStr">
        <is>
          <t>Lucas Luiz Romero</t>
        </is>
      </c>
      <c r="C4192" t="inlineStr">
        <is>
          <t>Técnico III</t>
        </is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s="3" t="n">
        <v>0</v>
      </c>
      <c r="J4192" s="3" t="n">
        <v>0</v>
      </c>
      <c r="K4192" s="3" t="n">
        <v>0</v>
      </c>
      <c r="L4192" s="3">
        <f>IF(K4192&lt;-5,"CRÍTICO",IF(K4192&lt;0,"ATENÇÃO",IF(K4192&lt;=5,"OPORTUNO","MUITO BOM")))</f>
        <v/>
      </c>
      <c r="N4192" t="n">
        <v>88.68000000000001</v>
      </c>
      <c r="O4192" t="n">
        <v>22.03389830508474</v>
      </c>
    </row>
    <row r="4193" hidden="1">
      <c r="A4193" s="11" t="n">
        <v>46134</v>
      </c>
      <c r="B4193" t="inlineStr">
        <is>
          <t>Luiz Fernando de Carvalho Junior</t>
        </is>
      </c>
      <c r="C4193" t="inlineStr">
        <is>
          <t>Técnico I</t>
        </is>
      </c>
      <c r="D4193" t="n">
        <v>19</v>
      </c>
      <c r="E4193" t="n">
        <v>19</v>
      </c>
      <c r="F4193" t="n">
        <v>20.37</v>
      </c>
      <c r="G4193" t="n">
        <v>0</v>
      </c>
      <c r="H4193" t="n">
        <v>0</v>
      </c>
      <c r="I4193" s="3">
        <f>E4193+G4193+H4193</f>
        <v/>
      </c>
      <c r="J4193" s="3">
        <f>ROUND(MIN(IF(C4193="Técnico III",35,IF(C4193="Técnico II",28,IF(C4193="Técnico I",23,IF(C4193="JR",20,IF(C4193="Estágio",10,0))))),IF(C4193="Técnico III",SUMIFS($D:$D,$A:$A,$A4193,$B:$B,"&lt;&gt;Patrícia Karla de Sousa Araújo",$B:$B,"&lt;&gt;Lorena Dias de Araujo",$B:$B,"&lt;&gt;Lucas Luiz Romero")*(35/1083),IF(C4193="Técnico II",SUMIFS($D:$D,$A:$A,$A4193,$B:$B,"&lt;&gt;Patrícia Karla de Sousa Araújo",$B:$B,"&lt;&gt;Lorena Dias de Araujo",$B:$B,"&lt;&gt;Lucas Luiz Romero")*(28/1083),IF(C4193="Técnico I",SUMIFS($D:$D,$A:$A,$A4193,$B:$B,"&lt;&gt;Patrícia Karla de Sousa Araújo",$B:$B,"&lt;&gt;Lorena Dias de Araujo",$B:$B,"&lt;&gt;Lucas Luiz Romero")*(23/1083),IF(C4193="JR",SUMIFS($D:$D,$A:$A,$A4193,$B:$B,"&lt;&gt;Patrícia Karla de Sousa Araújo",$B:$B,"&lt;&gt;Lorena Dias de Araujo",$B:$B,"&lt;&gt;Lucas Luiz Romero")*(20/1083),IF(C4193="Estágio",SUMIFS($D:$D,$A:$A,$A4193,$B:$B,"&lt;&gt;Patrícia Karla de Sousa Araújo",$B:$B,"&lt;&gt;Lorena Dias de Araujo",$B:$B,"&lt;&gt;Lucas Luiz Romero")*(10/1083),0)))))),0)</f>
        <v/>
      </c>
      <c r="K4193" s="3">
        <f>I4193-J4193</f>
        <v/>
      </c>
      <c r="L4193" s="3">
        <f>IF(K4193&lt;-5,"CRÍTICO",IF(K4193&lt;0,"ATENÇÃO",IF(K4193&lt;=5,"OPORTUNO","MUITO BOM")))</f>
        <v/>
      </c>
      <c r="N4193" t="n">
        <v>97.37</v>
      </c>
      <c r="O4193" t="n">
        <v>25.76530612244898</v>
      </c>
    </row>
    <row r="4194" hidden="1">
      <c r="A4194" s="11" t="n">
        <v>46134</v>
      </c>
      <c r="B4194" t="inlineStr">
        <is>
          <t>Maria Eduarda Sousa Costa</t>
        </is>
      </c>
      <c r="C4194" t="inlineStr">
        <is>
          <t>Estágio</t>
        </is>
      </c>
      <c r="D4194" t="n">
        <v>6</v>
      </c>
      <c r="E4194" t="n">
        <v>2</v>
      </c>
      <c r="F4194" t="n">
        <v>2.34</v>
      </c>
      <c r="G4194" t="n">
        <v>0</v>
      </c>
      <c r="H4194" t="n">
        <v>0</v>
      </c>
      <c r="I4194" s="3">
        <f>E4194+G4194+H4194</f>
        <v/>
      </c>
      <c r="J4194" s="3">
        <f>ROUND(MIN(IF(C4194="Técnico III",35,IF(C4194="Técnico II",28,IF(C4194="Técnico I",23,IF(C4194="JR",20,IF(C4194="Estágio",10,0))))),IF(C4194="Técnico III",SUMIFS($D:$D,$A:$A,$A4194,$B:$B,"&lt;&gt;Patrícia Karla de Sousa Araújo",$B:$B,"&lt;&gt;Lorena Dias de Araujo",$B:$B,"&lt;&gt;Lucas Luiz Romero")*(35/1083),IF(C4194="Técnico II",SUMIFS($D:$D,$A:$A,$A4194,$B:$B,"&lt;&gt;Patrícia Karla de Sousa Araújo",$B:$B,"&lt;&gt;Lorena Dias de Araujo",$B:$B,"&lt;&gt;Lucas Luiz Romero")*(28/1083),IF(C4194="Técnico I",SUMIFS($D:$D,$A:$A,$A4194,$B:$B,"&lt;&gt;Patrícia Karla de Sousa Araújo",$B:$B,"&lt;&gt;Lorena Dias de Araujo",$B:$B,"&lt;&gt;Lucas Luiz Romero")*(23/1083),IF(C4194="JR",SUMIFS($D:$D,$A:$A,$A4194,$B:$B,"&lt;&gt;Patrícia Karla de Sousa Araújo",$B:$B,"&lt;&gt;Lorena Dias de Araujo",$B:$B,"&lt;&gt;Lucas Luiz Romero")*(20/1083),IF(C4194="Estágio",SUMIFS($D:$D,$A:$A,$A4194,$B:$B,"&lt;&gt;Patrícia Karla de Sousa Araújo",$B:$B,"&lt;&gt;Lorena Dias de Araujo",$B:$B,"&lt;&gt;Lucas Luiz Romero")*(10/1083),0)))))),0)</f>
        <v/>
      </c>
      <c r="K4194" s="3">
        <f>I4194-J4194</f>
        <v/>
      </c>
      <c r="L4194" s="3">
        <f>IF(K4194&lt;-5,"CRÍTICO",IF(K4194&lt;0,"ATENÇÃO",IF(K4194&lt;=5,"OPORTUNO","MUITO BOM")))</f>
        <v/>
      </c>
      <c r="N4194" t="n">
        <v>100</v>
      </c>
      <c r="O4194" t="n">
        <v>25</v>
      </c>
    </row>
    <row r="4195" hidden="1">
      <c r="A4195" s="11" t="n">
        <v>46134</v>
      </c>
      <c r="B4195" t="inlineStr">
        <is>
          <t>Matheus Farias De Souza</t>
        </is>
      </c>
      <c r="C4195" t="inlineStr">
        <is>
          <t>Técnico III</t>
        </is>
      </c>
      <c r="D4195" t="n">
        <v>22</v>
      </c>
      <c r="E4195" t="n">
        <v>21</v>
      </c>
      <c r="F4195" t="n">
        <v>14.13</v>
      </c>
      <c r="G4195" t="n">
        <v>0</v>
      </c>
      <c r="H4195" t="n">
        <v>0</v>
      </c>
      <c r="I4195" s="3">
        <f>E4195+G4195+H4195</f>
        <v/>
      </c>
      <c r="J4195" s="3">
        <f>ROUND(MIN(IF(C4195="Técnico III",35,IF(C4195="Técnico II",28,IF(C4195="Técnico I",23,IF(C4195="JR",20,IF(C4195="Estágio",10,0))))),IF(C4195="Técnico III",SUMIFS($D:$D,$A:$A,$A4195,$B:$B,"&lt;&gt;Patrícia Karla de Sousa Araújo",$B:$B,"&lt;&gt;Lorena Dias de Araujo",$B:$B,"&lt;&gt;Lucas Luiz Romero")*(35/1083),IF(C4195="Técnico II",SUMIFS($D:$D,$A:$A,$A4195,$B:$B,"&lt;&gt;Patrícia Karla de Sousa Araújo",$B:$B,"&lt;&gt;Lorena Dias de Araujo",$B:$B,"&lt;&gt;Lucas Luiz Romero")*(28/1083),IF(C4195="Técnico I",SUMIFS($D:$D,$A:$A,$A4195,$B:$B,"&lt;&gt;Patrícia Karla de Sousa Araújo",$B:$B,"&lt;&gt;Lorena Dias de Araujo",$B:$B,"&lt;&gt;Lucas Luiz Romero")*(23/1083),IF(C4195="JR",SUMIFS($D:$D,$A:$A,$A4195,$B:$B,"&lt;&gt;Patrícia Karla de Sousa Araújo",$B:$B,"&lt;&gt;Lorena Dias de Araujo",$B:$B,"&lt;&gt;Lucas Luiz Romero")*(20/1083),IF(C4195="Estágio",SUMIFS($D:$D,$A:$A,$A4195,$B:$B,"&lt;&gt;Patrícia Karla de Sousa Araújo",$B:$B,"&lt;&gt;Lorena Dias de Araujo",$B:$B,"&lt;&gt;Lucas Luiz Romero")*(10/1083),0)))))),0)</f>
        <v/>
      </c>
      <c r="K4195" s="3">
        <f>I4195-J4195</f>
        <v/>
      </c>
      <c r="L4195" s="3">
        <f>IF(K4195&lt;-5,"CRÍTICO",IF(K4195&lt;0,"ATENÇÃO",IF(K4195&lt;=5,"OPORTUNO","MUITO BOM")))</f>
        <v/>
      </c>
      <c r="N4195" t="n">
        <v>100</v>
      </c>
      <c r="O4195" t="n">
        <v>23.9870340356564</v>
      </c>
    </row>
    <row r="4196" hidden="1">
      <c r="A4196" s="11" t="n">
        <v>46134</v>
      </c>
      <c r="B4196" t="inlineStr">
        <is>
          <t>Maysa Victoria Dias Moura</t>
        </is>
      </c>
      <c r="C4196" t="inlineStr">
        <is>
          <t>Técnico III</t>
        </is>
      </c>
      <c r="D4196" t="n">
        <v>28</v>
      </c>
      <c r="E4196" t="n">
        <v>23</v>
      </c>
      <c r="F4196" t="n">
        <v>11.51</v>
      </c>
      <c r="G4196" t="n">
        <v>0</v>
      </c>
      <c r="H4196" t="n">
        <v>0</v>
      </c>
      <c r="I4196" s="3">
        <f>E4196+G4196+H4196</f>
        <v/>
      </c>
      <c r="J4196" s="3">
        <f>ROUND(MIN(IF(C4196="Técnico III",35,IF(C4196="Técnico II",28,IF(C4196="Técnico I",23,IF(C4196="JR",20,IF(C4196="Estágio",10,0))))),IF(C4196="Técnico III",SUMIFS($D:$D,$A:$A,$A4196,$B:$B,"&lt;&gt;Patrícia Karla de Sousa Araújo",$B:$B,"&lt;&gt;Lorena Dias de Araujo",$B:$B,"&lt;&gt;Lucas Luiz Romero")*(35/1083),IF(C4196="Técnico II",SUMIFS($D:$D,$A:$A,$A4196,$B:$B,"&lt;&gt;Patrícia Karla de Sousa Araújo",$B:$B,"&lt;&gt;Lorena Dias de Araujo",$B:$B,"&lt;&gt;Lucas Luiz Romero")*(28/1083),IF(C4196="Técnico I",SUMIFS($D:$D,$A:$A,$A4196,$B:$B,"&lt;&gt;Patrícia Karla de Sousa Araújo",$B:$B,"&lt;&gt;Lorena Dias de Araujo",$B:$B,"&lt;&gt;Lucas Luiz Romero")*(23/1083),IF(C4196="JR",SUMIFS($D:$D,$A:$A,$A4196,$B:$B,"&lt;&gt;Patrícia Karla de Sousa Araújo",$B:$B,"&lt;&gt;Lorena Dias de Araujo",$B:$B,"&lt;&gt;Lucas Luiz Romero")*(20/1083),IF(C4196="Estágio",SUMIFS($D:$D,$A:$A,$A4196,$B:$B,"&lt;&gt;Patrícia Karla de Sousa Araújo",$B:$B,"&lt;&gt;Lorena Dias de Araujo",$B:$B,"&lt;&gt;Lucas Luiz Romero")*(10/1083),0)))))),0)</f>
        <v/>
      </c>
      <c r="K4196" s="3">
        <f>I4196-J4196</f>
        <v/>
      </c>
      <c r="L4196" s="3">
        <f>IF(K4196&lt;-5,"CRÍTICO",IF(K4196&lt;0,"ATENÇÃO",IF(K4196&lt;=5,"OPORTUNO","MUITO BOM")))</f>
        <v/>
      </c>
      <c r="N4196" t="n">
        <v>95.48999999999999</v>
      </c>
      <c r="O4196" t="n">
        <v>28.16901408450704</v>
      </c>
    </row>
    <row r="4197" hidden="1">
      <c r="A4197" s="11" t="n">
        <v>46134</v>
      </c>
      <c r="B4197" t="inlineStr">
        <is>
          <t>Michelle G Santos</t>
        </is>
      </c>
      <c r="C4197" t="inlineStr">
        <is>
          <t>Estágio</t>
        </is>
      </c>
      <c r="D4197" t="n">
        <v>21</v>
      </c>
      <c r="E4197" t="n">
        <v>18</v>
      </c>
      <c r="F4197" t="n">
        <v>16.5</v>
      </c>
      <c r="G4197" t="n">
        <v>0</v>
      </c>
      <c r="H4197" t="n">
        <v>0</v>
      </c>
      <c r="I4197" s="3">
        <f>E4197+G4197+H4197</f>
        <v/>
      </c>
      <c r="J4197" s="3">
        <f>ROUND(MIN(IF(C4197="Técnico III",35,IF(C4197="Técnico II",28,IF(C4197="Técnico I",23,IF(C4197="JR",20,IF(C4197="Estágio",10,0))))),IF(C4197="Técnico III",SUMIFS($D:$D,$A:$A,$A4197,$B:$B,"&lt;&gt;Patrícia Karla de Sousa Araújo",$B:$B,"&lt;&gt;Lorena Dias de Araujo",$B:$B,"&lt;&gt;Lucas Luiz Romero")*(35/1083),IF(C4197="Técnico II",SUMIFS($D:$D,$A:$A,$A4197,$B:$B,"&lt;&gt;Patrícia Karla de Sousa Araújo",$B:$B,"&lt;&gt;Lorena Dias de Araujo",$B:$B,"&lt;&gt;Lucas Luiz Romero")*(28/1083),IF(C4197="Técnico I",SUMIFS($D:$D,$A:$A,$A4197,$B:$B,"&lt;&gt;Patrícia Karla de Sousa Araújo",$B:$B,"&lt;&gt;Lorena Dias de Araujo",$B:$B,"&lt;&gt;Lucas Luiz Romero")*(23/1083),IF(C4197="JR",SUMIFS($D:$D,$A:$A,$A4197,$B:$B,"&lt;&gt;Patrícia Karla de Sousa Araújo",$B:$B,"&lt;&gt;Lorena Dias de Araujo",$B:$B,"&lt;&gt;Lucas Luiz Romero")*(20/1083),IF(C4197="Estágio",SUMIFS($D:$D,$A:$A,$A4197,$B:$B,"&lt;&gt;Patrícia Karla de Sousa Araújo",$B:$B,"&lt;&gt;Lorena Dias de Araujo",$B:$B,"&lt;&gt;Lucas Luiz Romero")*(10/1083),0)))))),0)</f>
        <v/>
      </c>
      <c r="K4197" s="3">
        <f>I4197-J4197</f>
        <v/>
      </c>
      <c r="L4197" s="3">
        <f>IF(K4197&lt;-5,"CRÍTICO",IF(K4197&lt;0,"ATENÇÃO",IF(K4197&lt;=5,"OPORTUNO","MUITO BOM")))</f>
        <v/>
      </c>
      <c r="N4197" t="n">
        <v>100</v>
      </c>
      <c r="O4197" t="n">
        <v>23.77622377622378</v>
      </c>
    </row>
    <row r="4198" hidden="1">
      <c r="A4198" s="11" t="n">
        <v>46134</v>
      </c>
      <c r="B4198" t="inlineStr">
        <is>
          <t>Milena Sales</t>
        </is>
      </c>
      <c r="C4198" t="inlineStr">
        <is>
          <t>JR</t>
        </is>
      </c>
      <c r="D4198" t="n">
        <v>31</v>
      </c>
      <c r="E4198" t="n">
        <v>18</v>
      </c>
      <c r="F4198" t="n">
        <v>8.539999999999999</v>
      </c>
      <c r="G4198" t="n">
        <v>0</v>
      </c>
      <c r="H4198" t="n">
        <v>0</v>
      </c>
      <c r="I4198" s="3">
        <f>E4198+G4198+H4198</f>
        <v/>
      </c>
      <c r="J4198" s="3">
        <f>ROUND(MIN(IF(C4198="Técnico III",35,IF(C4198="Técnico II",28,IF(C4198="Técnico I",23,IF(C4198="JR",20,IF(C4198="Estágio",10,0))))),IF(C4198="Técnico III",SUMIFS($D:$D,$A:$A,$A4198,$B:$B,"&lt;&gt;Patrícia Karla de Sousa Araújo",$B:$B,"&lt;&gt;Lorena Dias de Araujo",$B:$B,"&lt;&gt;Lucas Luiz Romero")*(35/1083),IF(C4198="Técnico II",SUMIFS($D:$D,$A:$A,$A4198,$B:$B,"&lt;&gt;Patrícia Karla de Sousa Araújo",$B:$B,"&lt;&gt;Lorena Dias de Araujo",$B:$B,"&lt;&gt;Lucas Luiz Romero")*(28/1083),IF(C4198="Técnico I",SUMIFS($D:$D,$A:$A,$A4198,$B:$B,"&lt;&gt;Patrícia Karla de Sousa Araújo",$B:$B,"&lt;&gt;Lorena Dias de Araujo",$B:$B,"&lt;&gt;Lucas Luiz Romero")*(23/1083),IF(C4198="JR",SUMIFS($D:$D,$A:$A,$A4198,$B:$B,"&lt;&gt;Patrícia Karla de Sousa Araújo",$B:$B,"&lt;&gt;Lorena Dias de Araujo",$B:$B,"&lt;&gt;Lucas Luiz Romero")*(20/1083),IF(C4198="Estágio",SUMIFS($D:$D,$A:$A,$A4198,$B:$B,"&lt;&gt;Patrícia Karla de Sousa Araújo",$B:$B,"&lt;&gt;Lorena Dias de Araujo",$B:$B,"&lt;&gt;Lucas Luiz Romero")*(10/1083),0)))))),0)</f>
        <v/>
      </c>
      <c r="K4198" s="3">
        <f>I4198-J4198</f>
        <v/>
      </c>
      <c r="L4198" s="3">
        <f>IF(K4198&lt;-5,"CRÍTICO",IF(K4198&lt;0,"ATENÇÃO",IF(K4198&lt;=5,"OPORTUNO","MUITO BOM")))</f>
        <v/>
      </c>
      <c r="N4198" t="n">
        <v>96.15000000000001</v>
      </c>
      <c r="O4198" t="n">
        <v>24.04580152671756</v>
      </c>
    </row>
    <row r="4199" hidden="1">
      <c r="A4199" s="11" t="n">
        <v>46134</v>
      </c>
      <c r="B4199" t="inlineStr">
        <is>
          <t>Patrícia Karla de Sousa Araújo</t>
        </is>
      </c>
      <c r="C4199" t="inlineStr">
        <is>
          <t>Técnico II</t>
        </is>
      </c>
      <c r="D4199" t="n">
        <v>9</v>
      </c>
      <c r="E4199" t="n">
        <v>8</v>
      </c>
      <c r="F4199" t="n">
        <v>20.21</v>
      </c>
      <c r="G4199" t="n">
        <v>0</v>
      </c>
      <c r="H4199" t="n">
        <v>0</v>
      </c>
      <c r="I4199" s="3">
        <f>E4199+G4199+H4199</f>
        <v/>
      </c>
      <c r="J4199" s="3">
        <f>ROUND(MIN(IF(C4199="Técnico III",35,IF(C4199="Técnico II",28,IF(C4199="Técnico I",23,IF(C4199="JR",20,IF(C4199="Estágio",10,0))))),IF(C4199="Técnico III",SUMIFS($D:$D,$A:$A,$A4199,$B:$B,"&lt;&gt;Patrícia Karla de Sousa Araújo",$B:$B,"&lt;&gt;Lorena Dias de Araujo",$B:$B,"&lt;&gt;Lucas Luiz Romero")*(35/1083),IF(C4199="Técnico II",SUMIFS($D:$D,$A:$A,$A4199,$B:$B,"&lt;&gt;Patrícia Karla de Sousa Araújo",$B:$B,"&lt;&gt;Lorena Dias de Araujo",$B:$B,"&lt;&gt;Lucas Luiz Romero")*(28/1083),IF(C4199="Técnico I",SUMIFS($D:$D,$A:$A,$A4199,$B:$B,"&lt;&gt;Patrícia Karla de Sousa Araújo",$B:$B,"&lt;&gt;Lorena Dias de Araujo",$B:$B,"&lt;&gt;Lucas Luiz Romero")*(23/1083),IF(C4199="JR",SUMIFS($D:$D,$A:$A,$A4199,$B:$B,"&lt;&gt;Patrícia Karla de Sousa Araújo",$B:$B,"&lt;&gt;Lorena Dias de Araujo",$B:$B,"&lt;&gt;Lucas Luiz Romero")*(20/1083),IF(C4199="Estágio",SUMIFS($D:$D,$A:$A,$A4199,$B:$B,"&lt;&gt;Patrícia Karla de Sousa Araújo",$B:$B,"&lt;&gt;Lorena Dias de Araujo",$B:$B,"&lt;&gt;Lucas Luiz Romero")*(10/1083),0)))))),0)</f>
        <v/>
      </c>
      <c r="K4199" s="3">
        <f>I4199-J4199</f>
        <v/>
      </c>
      <c r="L4199" s="3">
        <f>IF(K4199&lt;-5,"CRÍTICO",IF(K4199&lt;0,"ATENÇÃO",IF(K4199&lt;=5,"OPORTUNO","MUITO BOM")))</f>
        <v/>
      </c>
      <c r="N4199" t="n">
        <v>99.02</v>
      </c>
      <c r="O4199" t="n">
        <v>34.7972972972973</v>
      </c>
    </row>
    <row r="4200" hidden="1">
      <c r="A4200" s="11" t="n">
        <v>46134</v>
      </c>
      <c r="B4200" t="inlineStr">
        <is>
          <t>Paulo Ricardo Santos</t>
        </is>
      </c>
      <c r="C4200" t="inlineStr">
        <is>
          <t>JR</t>
        </is>
      </c>
      <c r="D4200" t="n">
        <v>4</v>
      </c>
      <c r="E4200" t="n">
        <v>4</v>
      </c>
      <c r="F4200" t="n">
        <v>32.34</v>
      </c>
      <c r="G4200" t="n">
        <v>0</v>
      </c>
      <c r="H4200" t="n">
        <v>0</v>
      </c>
      <c r="I4200" s="3">
        <f>E4200+G4200+H4200</f>
        <v/>
      </c>
      <c r="J4200" s="3">
        <f>ROUND(MIN(IF(C4200="Técnico III",35,IF(C4200="Técnico II",28,IF(C4200="Técnico I",23,IF(C4200="JR",20,IF(C4200="Estágio",10,0))))),IF(C4200="Técnico III",SUMIFS($D:$D,$A:$A,$A4200,$B:$B,"&lt;&gt;Patrícia Karla de Sousa Araújo",$B:$B,"&lt;&gt;Lorena Dias de Araujo",$B:$B,"&lt;&gt;Lucas Luiz Romero")*(35/1083),IF(C4200="Técnico II",SUMIFS($D:$D,$A:$A,$A4200,$B:$B,"&lt;&gt;Patrícia Karla de Sousa Araújo",$B:$B,"&lt;&gt;Lorena Dias de Araujo",$B:$B,"&lt;&gt;Lucas Luiz Romero")*(28/1083),IF(C4200="Técnico I",SUMIFS($D:$D,$A:$A,$A4200,$B:$B,"&lt;&gt;Patrícia Karla de Sousa Araújo",$B:$B,"&lt;&gt;Lorena Dias de Araujo",$B:$B,"&lt;&gt;Lucas Luiz Romero")*(23/1083),IF(C4200="JR",SUMIFS($D:$D,$A:$A,$A4200,$B:$B,"&lt;&gt;Patrícia Karla de Sousa Araújo",$B:$B,"&lt;&gt;Lorena Dias de Araujo",$B:$B,"&lt;&gt;Lucas Luiz Romero")*(20/1083),IF(C4200="Estágio",SUMIFS($D:$D,$A:$A,$A4200,$B:$B,"&lt;&gt;Patrícia Karla de Sousa Araújo",$B:$B,"&lt;&gt;Lorena Dias de Araujo",$B:$B,"&lt;&gt;Lucas Luiz Romero")*(10/1083),0)))))),0)</f>
        <v/>
      </c>
      <c r="K4200" s="3">
        <f>I4200-J4200</f>
        <v/>
      </c>
      <c r="L4200" s="3">
        <f>IF(K4200&lt;-5,"CRÍTICO",IF(K4200&lt;0,"ATENÇÃO",IF(K4200&lt;=5,"OPORTUNO","MUITO BOM")))</f>
        <v/>
      </c>
      <c r="N4200" t="n">
        <v>98.84</v>
      </c>
      <c r="O4200" t="n">
        <v>31.5018315018315</v>
      </c>
    </row>
    <row r="4201" hidden="1">
      <c r="A4201" s="11" t="n">
        <v>46134</v>
      </c>
      <c r="B4201" t="inlineStr">
        <is>
          <t>Pedro Luiz Mota Sousa</t>
        </is>
      </c>
      <c r="C4201" t="inlineStr">
        <is>
          <t>JR</t>
        </is>
      </c>
      <c r="D4201" t="n">
        <v>7</v>
      </c>
      <c r="E4201" t="n">
        <v>7</v>
      </c>
      <c r="F4201" t="n">
        <v>18.42</v>
      </c>
      <c r="G4201" t="n">
        <v>0</v>
      </c>
      <c r="H4201" t="n">
        <v>0</v>
      </c>
      <c r="I4201" s="3">
        <f>E4201+G4201+H4201</f>
        <v/>
      </c>
      <c r="J4201" s="3">
        <f>ROUND(MIN(IF(C4201="Técnico III",35,IF(C4201="Técnico II",28,IF(C4201="Técnico I",23,IF(C4201="JR",20,IF(C4201="Estágio",10,0))))),IF(C4201="Técnico III",SUMIFS($D:$D,$A:$A,$A4201,$B:$B,"&lt;&gt;Patrícia Karla de Sousa Araújo",$B:$B,"&lt;&gt;Lorena Dias de Araujo",$B:$B,"&lt;&gt;Lucas Luiz Romero")*(35/1083),IF(C4201="Técnico II",SUMIFS($D:$D,$A:$A,$A4201,$B:$B,"&lt;&gt;Patrícia Karla de Sousa Araújo",$B:$B,"&lt;&gt;Lorena Dias de Araujo",$B:$B,"&lt;&gt;Lucas Luiz Romero")*(28/1083),IF(C4201="Técnico I",SUMIFS($D:$D,$A:$A,$A4201,$B:$B,"&lt;&gt;Patrícia Karla de Sousa Araújo",$B:$B,"&lt;&gt;Lorena Dias de Araujo",$B:$B,"&lt;&gt;Lucas Luiz Romero")*(23/1083),IF(C4201="JR",SUMIFS($D:$D,$A:$A,$A4201,$B:$B,"&lt;&gt;Patrícia Karla de Sousa Araújo",$B:$B,"&lt;&gt;Lorena Dias de Araujo",$B:$B,"&lt;&gt;Lucas Luiz Romero")*(20/1083),IF(C4201="Estágio",SUMIFS($D:$D,$A:$A,$A4201,$B:$B,"&lt;&gt;Patrícia Karla de Sousa Araújo",$B:$B,"&lt;&gt;Lorena Dias de Araujo",$B:$B,"&lt;&gt;Lucas Luiz Romero")*(10/1083),0)))))),0)</f>
        <v/>
      </c>
      <c r="K4201" s="3">
        <f>I4201-J4201</f>
        <v/>
      </c>
      <c r="L4201" s="3">
        <f>IF(K4201&lt;-5,"CRÍTICO",IF(K4201&lt;0,"ATENÇÃO",IF(K4201&lt;=5,"OPORTUNO","MUITO BOM")))</f>
        <v/>
      </c>
      <c r="N4201" t="n">
        <v>100</v>
      </c>
      <c r="O4201" t="n">
        <v>34.66666666666667</v>
      </c>
    </row>
    <row r="4202" hidden="1">
      <c r="A4202" s="11" t="n">
        <v>46134</v>
      </c>
      <c r="B4202" t="inlineStr">
        <is>
          <t>Quirino Diogo Leite Torres</t>
        </is>
      </c>
      <c r="C4202" t="inlineStr">
        <is>
          <t>Estágio</t>
        </is>
      </c>
      <c r="D4202" t="n">
        <v>7</v>
      </c>
      <c r="E4202" t="n">
        <v>7</v>
      </c>
      <c r="F4202" t="n">
        <v>30.53</v>
      </c>
      <c r="G4202" t="n">
        <v>0</v>
      </c>
      <c r="H4202" t="n">
        <v>0</v>
      </c>
      <c r="I4202" s="3">
        <f>E4202+G4202+H4202</f>
        <v/>
      </c>
      <c r="J4202" s="3">
        <f>ROUND(MIN(IF(C4202="Técnico III",35,IF(C4202="Técnico II",28,IF(C4202="Técnico I",23,IF(C4202="JR",20,IF(C4202="Estágio",10,0))))),IF(C4202="Técnico III",SUMIFS($D:$D,$A:$A,$A4202,$B:$B,"&lt;&gt;Patrícia Karla de Sousa Araújo",$B:$B,"&lt;&gt;Lorena Dias de Araujo",$B:$B,"&lt;&gt;Lucas Luiz Romero")*(35/1083),IF(C4202="Técnico II",SUMIFS($D:$D,$A:$A,$A4202,$B:$B,"&lt;&gt;Patrícia Karla de Sousa Araújo",$B:$B,"&lt;&gt;Lorena Dias de Araujo",$B:$B,"&lt;&gt;Lucas Luiz Romero")*(28/1083),IF(C4202="Técnico I",SUMIFS($D:$D,$A:$A,$A4202,$B:$B,"&lt;&gt;Patrícia Karla de Sousa Araújo",$B:$B,"&lt;&gt;Lorena Dias de Araujo",$B:$B,"&lt;&gt;Lucas Luiz Romero")*(23/1083),IF(C4202="JR",SUMIFS($D:$D,$A:$A,$A4202,$B:$B,"&lt;&gt;Patrícia Karla de Sousa Araújo",$B:$B,"&lt;&gt;Lorena Dias de Araujo",$B:$B,"&lt;&gt;Lucas Luiz Romero")*(20/1083),IF(C4202="Estágio",SUMIFS($D:$D,$A:$A,$A4202,$B:$B,"&lt;&gt;Patrícia Karla de Sousa Araújo",$B:$B,"&lt;&gt;Lorena Dias de Araujo",$B:$B,"&lt;&gt;Lucas Luiz Romero")*(10/1083),0)))))),0)</f>
        <v/>
      </c>
      <c r="K4202" s="3">
        <f>I4202-J4202</f>
        <v/>
      </c>
      <c r="L4202" s="3">
        <f>IF(K4202&lt;-5,"CRÍTICO",IF(K4202&lt;0,"ATENÇÃO",IF(K4202&lt;=5,"OPORTUNO","MUITO BOM")))</f>
        <v/>
      </c>
      <c r="N4202" t="n">
        <v>94.12</v>
      </c>
      <c r="O4202" t="n">
        <v>32.8</v>
      </c>
    </row>
    <row r="4203" hidden="1">
      <c r="A4203" s="11" t="n">
        <v>46134</v>
      </c>
      <c r="B4203" t="inlineStr">
        <is>
          <t>Raane Batista Matos</t>
        </is>
      </c>
      <c r="C4203" t="inlineStr">
        <is>
          <t>Técnico I</t>
        </is>
      </c>
      <c r="D4203" t="n">
        <v>21</v>
      </c>
      <c r="E4203" t="n">
        <v>18</v>
      </c>
      <c r="F4203" t="n">
        <v>12.11</v>
      </c>
      <c r="G4203" t="n">
        <v>0</v>
      </c>
      <c r="H4203" t="n">
        <v>0</v>
      </c>
      <c r="I4203" s="3">
        <f>E4203+G4203+H4203</f>
        <v/>
      </c>
      <c r="J4203" s="3">
        <f>ROUND(MIN(IF(C4203="Técnico III",35,IF(C4203="Técnico II",28,IF(C4203="Técnico I",23,IF(C4203="JR",20,IF(C4203="Estágio",10,0))))),IF(C4203="Técnico III",SUMIFS($D:$D,$A:$A,$A4203,$B:$B,"&lt;&gt;Patrícia Karla de Sousa Araújo",$B:$B,"&lt;&gt;Lorena Dias de Araujo",$B:$B,"&lt;&gt;Lucas Luiz Romero")*(35/1083),IF(C4203="Técnico II",SUMIFS($D:$D,$A:$A,$A4203,$B:$B,"&lt;&gt;Patrícia Karla de Sousa Araújo",$B:$B,"&lt;&gt;Lorena Dias de Araujo",$B:$B,"&lt;&gt;Lucas Luiz Romero")*(28/1083),IF(C4203="Técnico I",SUMIFS($D:$D,$A:$A,$A4203,$B:$B,"&lt;&gt;Patrícia Karla de Sousa Araújo",$B:$B,"&lt;&gt;Lorena Dias de Araujo",$B:$B,"&lt;&gt;Lucas Luiz Romero")*(23/1083),IF(C4203="JR",SUMIFS($D:$D,$A:$A,$A4203,$B:$B,"&lt;&gt;Patrícia Karla de Sousa Araújo",$B:$B,"&lt;&gt;Lorena Dias de Araujo",$B:$B,"&lt;&gt;Lucas Luiz Romero")*(20/1083),IF(C4203="Estágio",SUMIFS($D:$D,$A:$A,$A4203,$B:$B,"&lt;&gt;Patrícia Karla de Sousa Araújo",$B:$B,"&lt;&gt;Lorena Dias de Araujo",$B:$B,"&lt;&gt;Lucas Luiz Romero")*(10/1083),0)))))),0)</f>
        <v/>
      </c>
      <c r="K4203" s="3">
        <f>I4203-J4203</f>
        <v/>
      </c>
      <c r="L4203" s="3">
        <f>IF(K4203&lt;-5,"CRÍTICO",IF(K4203&lt;0,"ATENÇÃO",IF(K4203&lt;=5,"OPORTUNO","MUITO BOM")))</f>
        <v/>
      </c>
      <c r="N4203" t="n">
        <v>98.31999999999999</v>
      </c>
      <c r="O4203" t="n">
        <v>26.61870503597122</v>
      </c>
    </row>
    <row r="4204" hidden="1">
      <c r="A4204" s="11" t="n">
        <v>46134</v>
      </c>
      <c r="B4204" t="inlineStr">
        <is>
          <t>Rafael Gomes de Morais</t>
        </is>
      </c>
      <c r="C4204" t="inlineStr">
        <is>
          <t>Técnico III</t>
        </is>
      </c>
      <c r="D4204" t="n">
        <v>33</v>
      </c>
      <c r="E4204" t="n">
        <v>28</v>
      </c>
      <c r="F4204" t="n">
        <v>11.53</v>
      </c>
      <c r="G4204" t="n">
        <v>0</v>
      </c>
      <c r="H4204" t="n">
        <v>0</v>
      </c>
      <c r="I4204" s="3">
        <f>E4204+G4204+H4204</f>
        <v/>
      </c>
      <c r="J4204" s="3">
        <f>ROUND(MIN(IF(C4204="Técnico III",35,IF(C4204="Técnico II",28,IF(C4204="Técnico I",23,IF(C4204="JR",20,IF(C4204="Estágio",10,0))))),IF(C4204="Técnico III",SUMIFS($D:$D,$A:$A,$A4204,$B:$B,"&lt;&gt;Patrícia Karla de Sousa Araújo",$B:$B,"&lt;&gt;Lorena Dias de Araujo",$B:$B,"&lt;&gt;Lucas Luiz Romero")*(35/1083),IF(C4204="Técnico II",SUMIFS($D:$D,$A:$A,$A4204,$B:$B,"&lt;&gt;Patrícia Karla de Sousa Araújo",$B:$B,"&lt;&gt;Lorena Dias de Araujo",$B:$B,"&lt;&gt;Lucas Luiz Romero")*(28/1083),IF(C4204="Técnico I",SUMIFS($D:$D,$A:$A,$A4204,$B:$B,"&lt;&gt;Patrícia Karla de Sousa Araújo",$B:$B,"&lt;&gt;Lorena Dias de Araujo",$B:$B,"&lt;&gt;Lucas Luiz Romero")*(23/1083),IF(C4204="JR",SUMIFS($D:$D,$A:$A,$A4204,$B:$B,"&lt;&gt;Patrícia Karla de Sousa Araújo",$B:$B,"&lt;&gt;Lorena Dias de Araujo",$B:$B,"&lt;&gt;Lucas Luiz Romero")*(20/1083),IF(C4204="Estágio",SUMIFS($D:$D,$A:$A,$A4204,$B:$B,"&lt;&gt;Patrícia Karla de Sousa Araújo",$B:$B,"&lt;&gt;Lorena Dias de Araujo",$B:$B,"&lt;&gt;Lucas Luiz Romero")*(10/1083),0)))))),0)</f>
        <v/>
      </c>
      <c r="K4204" s="3">
        <f>I4204-J4204</f>
        <v/>
      </c>
      <c r="L4204" s="3">
        <f>IF(K4204&lt;-5,"CRÍTICO",IF(K4204&lt;0,"ATENÇÃO",IF(K4204&lt;=5,"OPORTUNO","MUITO BOM")))</f>
        <v/>
      </c>
      <c r="N4204" t="n">
        <v>100</v>
      </c>
      <c r="O4204" t="n">
        <v>31.13553113553114</v>
      </c>
    </row>
    <row r="4205" hidden="1">
      <c r="A4205" s="11" t="n">
        <v>46134</v>
      </c>
      <c r="B4205" t="inlineStr">
        <is>
          <t>Sara Maria Monteiro Lopes</t>
        </is>
      </c>
      <c r="C4205" t="inlineStr">
        <is>
          <t>Técnico I</t>
        </is>
      </c>
      <c r="D4205" t="n">
        <v>17</v>
      </c>
      <c r="E4205" t="n">
        <v>17</v>
      </c>
      <c r="F4205" t="n">
        <v>19.03</v>
      </c>
      <c r="G4205" t="n">
        <v>0</v>
      </c>
      <c r="H4205" t="n">
        <v>0</v>
      </c>
      <c r="I4205" s="3">
        <f>E4205+G4205+H4205</f>
        <v/>
      </c>
      <c r="J4205" s="3">
        <f>ROUND(MIN(IF(C4205="Técnico III",35,IF(C4205="Técnico II",28,IF(C4205="Técnico I",23,IF(C4205="JR",20,IF(C4205="Estágio",10,0))))),IF(C4205="Técnico III",SUMIFS($D:$D,$A:$A,$A4205,$B:$B,"&lt;&gt;Patrícia Karla de Sousa Araújo",$B:$B,"&lt;&gt;Lorena Dias de Araujo",$B:$B,"&lt;&gt;Lucas Luiz Romero")*(35/1083),IF(C4205="Técnico II",SUMIFS($D:$D,$A:$A,$A4205,$B:$B,"&lt;&gt;Patrícia Karla de Sousa Araújo",$B:$B,"&lt;&gt;Lorena Dias de Araujo",$B:$B,"&lt;&gt;Lucas Luiz Romero")*(28/1083),IF(C4205="Técnico I",SUMIFS($D:$D,$A:$A,$A4205,$B:$B,"&lt;&gt;Patrícia Karla de Sousa Araújo",$B:$B,"&lt;&gt;Lorena Dias de Araujo",$B:$B,"&lt;&gt;Lucas Luiz Romero")*(23/1083),IF(C4205="JR",SUMIFS($D:$D,$A:$A,$A4205,$B:$B,"&lt;&gt;Patrícia Karla de Sousa Araújo",$B:$B,"&lt;&gt;Lorena Dias de Araujo",$B:$B,"&lt;&gt;Lucas Luiz Romero")*(20/1083),IF(C4205="Estágio",SUMIFS($D:$D,$A:$A,$A4205,$B:$B,"&lt;&gt;Patrícia Karla de Sousa Araújo",$B:$B,"&lt;&gt;Lorena Dias de Araujo",$B:$B,"&lt;&gt;Lucas Luiz Romero")*(10/1083),0)))))),0)</f>
        <v/>
      </c>
      <c r="K4205" s="3">
        <f>I4205-J4205</f>
        <v/>
      </c>
      <c r="L4205" s="3">
        <f>IF(K4205&lt;-5,"CRÍTICO",IF(K4205&lt;0,"ATENÇÃO",IF(K4205&lt;=5,"OPORTUNO","MUITO BOM")))</f>
        <v/>
      </c>
      <c r="N4205" t="n">
        <v>100</v>
      </c>
      <c r="O4205" t="n">
        <v>26.02739726027397</v>
      </c>
    </row>
    <row r="4206" hidden="1">
      <c r="A4206" s="11" t="n">
        <v>46134</v>
      </c>
      <c r="B4206" t="inlineStr">
        <is>
          <t>Sarah Steffanie de Lima Borges</t>
        </is>
      </c>
      <c r="C4206" t="inlineStr">
        <is>
          <t>Técnico III</t>
        </is>
      </c>
      <c r="D4206" t="n">
        <v>24</v>
      </c>
      <c r="E4206" t="n">
        <v>23</v>
      </c>
      <c r="F4206" t="n">
        <v>19.16</v>
      </c>
      <c r="G4206" t="n">
        <v>0</v>
      </c>
      <c r="H4206" t="n">
        <v>0</v>
      </c>
      <c r="I4206" s="3">
        <f>E4206+G4206+H4206</f>
        <v/>
      </c>
      <c r="J4206" s="3">
        <f>ROUND(MIN(IF(C4206="Técnico III",35,IF(C4206="Técnico II",28,IF(C4206="Técnico I",23,IF(C4206="JR",20,IF(C4206="Estágio",10,0))))),IF(C4206="Técnico III",SUMIFS($D:$D,$A:$A,$A4206,$B:$B,"&lt;&gt;Patrícia Karla de Sousa Araújo",$B:$B,"&lt;&gt;Lorena Dias de Araujo",$B:$B,"&lt;&gt;Lucas Luiz Romero")*(35/1083),IF(C4206="Técnico II",SUMIFS($D:$D,$A:$A,$A4206,$B:$B,"&lt;&gt;Patrícia Karla de Sousa Araújo",$B:$B,"&lt;&gt;Lorena Dias de Araujo",$B:$B,"&lt;&gt;Lucas Luiz Romero")*(28/1083),IF(C4206="Técnico I",SUMIFS($D:$D,$A:$A,$A4206,$B:$B,"&lt;&gt;Patrícia Karla de Sousa Araújo",$B:$B,"&lt;&gt;Lorena Dias de Araujo",$B:$B,"&lt;&gt;Lucas Luiz Romero")*(23/1083),IF(C4206="JR",SUMIFS($D:$D,$A:$A,$A4206,$B:$B,"&lt;&gt;Patrícia Karla de Sousa Araújo",$B:$B,"&lt;&gt;Lorena Dias de Araujo",$B:$B,"&lt;&gt;Lucas Luiz Romero")*(20/1083),IF(C4206="Estágio",SUMIFS($D:$D,$A:$A,$A4206,$B:$B,"&lt;&gt;Patrícia Karla de Sousa Araújo",$B:$B,"&lt;&gt;Lorena Dias de Araujo",$B:$B,"&lt;&gt;Lucas Luiz Romero")*(10/1083),0)))))),0)</f>
        <v/>
      </c>
      <c r="K4206" s="3">
        <f>I4206-J4206</f>
        <v/>
      </c>
      <c r="L4206" s="3">
        <f>IF(K4206&lt;-5,"CRÍTICO",IF(K4206&lt;0,"ATENÇÃO",IF(K4206&lt;=5,"OPORTUNO","MUITO BOM")))</f>
        <v/>
      </c>
      <c r="N4206" t="n">
        <v>99.20999999999999</v>
      </c>
      <c r="O4206" t="n">
        <v>24.93702770780856</v>
      </c>
    </row>
    <row r="4207" hidden="1">
      <c r="A4207" s="11" t="n">
        <v>46135</v>
      </c>
      <c r="B4207" t="inlineStr">
        <is>
          <t>Alisson de Freitas Silva</t>
        </is>
      </c>
      <c r="C4207" t="inlineStr">
        <is>
          <t>Técnico II</t>
        </is>
      </c>
      <c r="D4207" t="n">
        <v>27</v>
      </c>
      <c r="E4207" t="n">
        <v>24</v>
      </c>
      <c r="F4207" t="n">
        <v>13.44</v>
      </c>
      <c r="G4207" t="n">
        <v>0</v>
      </c>
      <c r="H4207" t="n">
        <v>0</v>
      </c>
      <c r="I4207" s="3">
        <f>E4207+G4207+H4207</f>
        <v/>
      </c>
      <c r="J4207" s="3">
        <f>ROUND(MIN(IF(C4207="Técnico III",35,IF(C4207="Técnico II",28,IF(C4207="Técnico I",23,IF(C4207="JR",20,IF(C4207="Estágio",10,0))))),IF(C4207="Técnico III",SUMIFS($D:$D,$A:$A,$A4207,$B:$B,"&lt;&gt;Patrícia Karla de Sousa Araújo",$B:$B,"&lt;&gt;Lorena Dias de Araujo",$B:$B,"&lt;&gt;Lucas Luiz Romero")*(35/1083),IF(C4207="Técnico II",SUMIFS($D:$D,$A:$A,$A4207,$B:$B,"&lt;&gt;Patrícia Karla de Sousa Araújo",$B:$B,"&lt;&gt;Lorena Dias de Araujo",$B:$B,"&lt;&gt;Lucas Luiz Romero")*(28/1083),IF(C4207="Técnico I",SUMIFS($D:$D,$A:$A,$A4207,$B:$B,"&lt;&gt;Patrícia Karla de Sousa Araújo",$B:$B,"&lt;&gt;Lorena Dias de Araujo",$B:$B,"&lt;&gt;Lucas Luiz Romero")*(23/1083),IF(C4207="JR",SUMIFS($D:$D,$A:$A,$A4207,$B:$B,"&lt;&gt;Patrícia Karla de Sousa Araújo",$B:$B,"&lt;&gt;Lorena Dias de Araujo",$B:$B,"&lt;&gt;Lucas Luiz Romero")*(20/1083),IF(C4207="Estágio",SUMIFS($D:$D,$A:$A,$A4207,$B:$B,"&lt;&gt;Patrícia Karla de Sousa Araújo",$B:$B,"&lt;&gt;Lorena Dias de Araujo",$B:$B,"&lt;&gt;Lucas Luiz Romero")*(10/1083),0)))))),0)</f>
        <v/>
      </c>
      <c r="K4207" s="3">
        <f>I4207-J4207</f>
        <v/>
      </c>
      <c r="L4207" s="3">
        <f>IF(K4207&lt;-5,"CRÍTICO",IF(K4207&lt;0,"ATENÇÃO",IF(K4207&lt;=5,"OPORTUNO","MUITO BOM")))</f>
        <v/>
      </c>
      <c r="N4207" t="n">
        <v>100</v>
      </c>
      <c r="O4207" t="n">
        <v>32.76450511945392</v>
      </c>
    </row>
    <row r="4208" hidden="1">
      <c r="A4208" s="11" t="n">
        <v>46135</v>
      </c>
      <c r="B4208" t="inlineStr">
        <is>
          <t>Amanda Moura Ferreira</t>
        </is>
      </c>
      <c r="C4208" t="inlineStr">
        <is>
          <t>Técnico III</t>
        </is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s="3" t="n">
        <v>0</v>
      </c>
      <c r="J4208" s="3" t="n">
        <v>0</v>
      </c>
      <c r="K4208" s="3" t="n">
        <v>0</v>
      </c>
      <c r="L4208" s="3">
        <f>IF(K4208&lt;-5,"CRÍTICO",IF(K4208&lt;0,"ATENÇÃO",IF(K4208&lt;=5,"OPORTUNO","MUITO BOM")))</f>
        <v/>
      </c>
      <c r="N4208" t="n">
        <v>98.66</v>
      </c>
      <c r="O4208" t="n">
        <v>35.15625</v>
      </c>
    </row>
    <row r="4209" hidden="1">
      <c r="A4209" s="11" t="n">
        <v>46135</v>
      </c>
      <c r="B4209" t="inlineStr">
        <is>
          <t>Ana Karollyne Souza Faria</t>
        </is>
      </c>
      <c r="C4209" t="inlineStr">
        <is>
          <t>Técnico I</t>
        </is>
      </c>
      <c r="D4209" t="n">
        <v>31</v>
      </c>
      <c r="E4209" t="n">
        <v>27</v>
      </c>
      <c r="F4209" t="n">
        <v>14.15</v>
      </c>
      <c r="G4209" t="n">
        <v>0</v>
      </c>
      <c r="H4209" t="n">
        <v>0</v>
      </c>
      <c r="I4209" s="3">
        <f>E4209+G4209+H4209</f>
        <v/>
      </c>
      <c r="J4209" s="3">
        <f>ROUND(MIN(IF(C4209="Técnico III",35,IF(C4209="Técnico II",28,IF(C4209="Técnico I",23,IF(C4209="JR",20,IF(C4209="Estágio",10,0))))),IF(C4209="Técnico III",SUMIFS($D:$D,$A:$A,$A4209,$B:$B,"&lt;&gt;Patrícia Karla de Sousa Araújo",$B:$B,"&lt;&gt;Lorena Dias de Araujo",$B:$B,"&lt;&gt;Lucas Luiz Romero")*(35/1083),IF(C4209="Técnico II",SUMIFS($D:$D,$A:$A,$A4209,$B:$B,"&lt;&gt;Patrícia Karla de Sousa Araújo",$B:$B,"&lt;&gt;Lorena Dias de Araujo",$B:$B,"&lt;&gt;Lucas Luiz Romero")*(28/1083),IF(C4209="Técnico I",SUMIFS($D:$D,$A:$A,$A4209,$B:$B,"&lt;&gt;Patrícia Karla de Sousa Araújo",$B:$B,"&lt;&gt;Lorena Dias de Araujo",$B:$B,"&lt;&gt;Lucas Luiz Romero")*(23/1083),IF(C4209="JR",SUMIFS($D:$D,$A:$A,$A4209,$B:$B,"&lt;&gt;Patrícia Karla de Sousa Araújo",$B:$B,"&lt;&gt;Lorena Dias de Araujo",$B:$B,"&lt;&gt;Lucas Luiz Romero")*(20/1083),IF(C4209="Estágio",SUMIFS($D:$D,$A:$A,$A4209,$B:$B,"&lt;&gt;Patrícia Karla de Sousa Araújo",$B:$B,"&lt;&gt;Lorena Dias de Araujo",$B:$B,"&lt;&gt;Lucas Luiz Romero")*(10/1083),0)))))),0)</f>
        <v/>
      </c>
      <c r="K4209" s="3">
        <f>I4209-J4209</f>
        <v/>
      </c>
      <c r="L4209" s="3">
        <f>IF(K4209&lt;-5,"CRÍTICO",IF(K4209&lt;0,"ATENÇÃO",IF(K4209&lt;=5,"OPORTUNO","MUITO BOM")))</f>
        <v/>
      </c>
      <c r="N4209" t="n">
        <v>99.31999999999999</v>
      </c>
      <c r="O4209" t="n">
        <v>30.45186640471513</v>
      </c>
    </row>
    <row r="4210" hidden="1">
      <c r="A4210" s="11" t="n">
        <v>46135</v>
      </c>
      <c r="B4210" t="inlineStr">
        <is>
          <t>Ana Paula Da Luz Silva Aleixo</t>
        </is>
      </c>
      <c r="C4210" t="inlineStr">
        <is>
          <t>Técnico III</t>
        </is>
      </c>
      <c r="D4210" t="n">
        <v>21</v>
      </c>
      <c r="E4210" t="n">
        <v>19</v>
      </c>
      <c r="F4210" t="n">
        <v>21.51</v>
      </c>
      <c r="G4210" t="n">
        <v>0</v>
      </c>
      <c r="H4210" t="n">
        <v>0</v>
      </c>
      <c r="I4210" s="3">
        <f>E4210+G4210+H4210</f>
        <v/>
      </c>
      <c r="J4210" s="3">
        <f>ROUND(MIN(IF(C4210="Técnico III",35,IF(C4210="Técnico II",28,IF(C4210="Técnico I",23,IF(C4210="JR",20,IF(C4210="Estágio",10,0))))),IF(C4210="Técnico III",SUMIFS($D:$D,$A:$A,$A4210,$B:$B,"&lt;&gt;Patrícia Karla de Sousa Araújo",$B:$B,"&lt;&gt;Lorena Dias de Araujo",$B:$B,"&lt;&gt;Lucas Luiz Romero")*(35/1083),IF(C4210="Técnico II",SUMIFS($D:$D,$A:$A,$A4210,$B:$B,"&lt;&gt;Patrícia Karla de Sousa Araújo",$B:$B,"&lt;&gt;Lorena Dias de Araujo",$B:$B,"&lt;&gt;Lucas Luiz Romero")*(28/1083),IF(C4210="Técnico I",SUMIFS($D:$D,$A:$A,$A4210,$B:$B,"&lt;&gt;Patrícia Karla de Sousa Araújo",$B:$B,"&lt;&gt;Lorena Dias de Araujo",$B:$B,"&lt;&gt;Lucas Luiz Romero")*(23/1083),IF(C4210="JR",SUMIFS($D:$D,$A:$A,$A4210,$B:$B,"&lt;&gt;Patrícia Karla de Sousa Araújo",$B:$B,"&lt;&gt;Lorena Dias de Araujo",$B:$B,"&lt;&gt;Lucas Luiz Romero")*(20/1083),IF(C4210="Estágio",SUMIFS($D:$D,$A:$A,$A4210,$B:$B,"&lt;&gt;Patrícia Karla de Sousa Araújo",$B:$B,"&lt;&gt;Lorena Dias de Araujo",$B:$B,"&lt;&gt;Lucas Luiz Romero")*(10/1083),0)))))),0)</f>
        <v/>
      </c>
      <c r="K4210" s="3">
        <f>I4210-J4210</f>
        <v/>
      </c>
      <c r="L4210" s="3">
        <f>IF(K4210&lt;-5,"CRÍTICO",IF(K4210&lt;0,"ATENÇÃO",IF(K4210&lt;=5,"OPORTUNO","MUITO BOM")))</f>
        <v/>
      </c>
      <c r="N4210" t="n">
        <v>100</v>
      </c>
      <c r="O4210" t="n">
        <v>27.80373831775701</v>
      </c>
    </row>
    <row r="4211" hidden="1">
      <c r="A4211" s="11" t="n">
        <v>46135</v>
      </c>
      <c r="B4211" t="inlineStr">
        <is>
          <t>Anna Luiza Rezende Tavares</t>
        </is>
      </c>
      <c r="C4211" t="inlineStr">
        <is>
          <t>Estágio</t>
        </is>
      </c>
      <c r="D4211" t="n">
        <v>34</v>
      </c>
      <c r="E4211" t="n">
        <v>29</v>
      </c>
      <c r="F4211" t="n">
        <v>15.51</v>
      </c>
      <c r="G4211" t="n">
        <v>0</v>
      </c>
      <c r="H4211" t="n">
        <v>0</v>
      </c>
      <c r="I4211" s="3">
        <f>E4211+G4211+H4211</f>
        <v/>
      </c>
      <c r="J4211" s="3">
        <f>ROUND(MIN(IF(C4211="Técnico III",35,IF(C4211="Técnico II",28,IF(C4211="Técnico I",23,IF(C4211="JR",20,IF(C4211="Estágio",10,0))))),IF(C4211="Técnico III",SUMIFS($D:$D,$A:$A,$A4211,$B:$B,"&lt;&gt;Patrícia Karla de Sousa Araújo",$B:$B,"&lt;&gt;Lorena Dias de Araujo",$B:$B,"&lt;&gt;Lucas Luiz Romero")*(35/1083),IF(C4211="Técnico II",SUMIFS($D:$D,$A:$A,$A4211,$B:$B,"&lt;&gt;Patrícia Karla de Sousa Araújo",$B:$B,"&lt;&gt;Lorena Dias de Araujo",$B:$B,"&lt;&gt;Lucas Luiz Romero")*(28/1083),IF(C4211="Técnico I",SUMIFS($D:$D,$A:$A,$A4211,$B:$B,"&lt;&gt;Patrícia Karla de Sousa Araújo",$B:$B,"&lt;&gt;Lorena Dias de Araujo",$B:$B,"&lt;&gt;Lucas Luiz Romero")*(23/1083),IF(C4211="JR",SUMIFS($D:$D,$A:$A,$A4211,$B:$B,"&lt;&gt;Patrícia Karla de Sousa Araújo",$B:$B,"&lt;&gt;Lorena Dias de Araujo",$B:$B,"&lt;&gt;Lucas Luiz Romero")*(20/1083),IF(C4211="Estágio",SUMIFS($D:$D,$A:$A,$A4211,$B:$B,"&lt;&gt;Patrícia Karla de Sousa Araújo",$B:$B,"&lt;&gt;Lorena Dias de Araujo",$B:$B,"&lt;&gt;Lucas Luiz Romero")*(10/1083),0)))))),0)</f>
        <v/>
      </c>
      <c r="K4211" s="3">
        <f>I4211-J4211</f>
        <v/>
      </c>
      <c r="L4211" s="3">
        <f>IF(K4211&lt;-5,"CRÍTICO",IF(K4211&lt;0,"ATENÇÃO",IF(K4211&lt;=5,"OPORTUNO","MUITO BOM")))</f>
        <v/>
      </c>
      <c r="N4211" t="n">
        <v>96.73999999999999</v>
      </c>
      <c r="O4211" t="n">
        <v>28.43137254901961</v>
      </c>
    </row>
    <row r="4212" hidden="1">
      <c r="A4212" s="11" t="n">
        <v>46135</v>
      </c>
      <c r="B4212" t="inlineStr">
        <is>
          <t>Brenda de Menezes Silva</t>
        </is>
      </c>
      <c r="C4212" t="inlineStr">
        <is>
          <t>Técnico II</t>
        </is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s="3" t="n">
        <v>0</v>
      </c>
      <c r="J4212" s="3" t="n">
        <v>0</v>
      </c>
      <c r="K4212" s="3" t="n">
        <v>0</v>
      </c>
      <c r="L4212" s="3">
        <f>IF(K4212&lt;-5,"CRÍTICO",IF(K4212&lt;0,"ATENÇÃO",IF(K4212&lt;=5,"OPORTUNO","MUITO BOM")))</f>
        <v/>
      </c>
      <c r="N4212" t="n">
        <v>98.81999999999999</v>
      </c>
      <c r="O4212" t="n">
        <v>30.74141048824593</v>
      </c>
    </row>
    <row r="4213" hidden="1">
      <c r="A4213" s="11" t="n">
        <v>46135</v>
      </c>
      <c r="B4213" t="inlineStr">
        <is>
          <t>Carlos Mateus Cassimiro Nunes</t>
        </is>
      </c>
      <c r="C4213" t="inlineStr">
        <is>
          <t>Técnico II</t>
        </is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s="3" t="n">
        <v>0</v>
      </c>
      <c r="J4213" s="3" t="n">
        <v>0</v>
      </c>
      <c r="K4213" s="3" t="n">
        <v>0</v>
      </c>
      <c r="L4213" s="3">
        <f>IF(K4213&lt;-5,"CRÍTICO",IF(K4213&lt;0,"ATENÇÃO",IF(K4213&lt;=5,"OPORTUNO","MUITO BOM")))</f>
        <v/>
      </c>
      <c r="N4213" t="n">
        <v>98.2</v>
      </c>
      <c r="O4213" t="n">
        <v>26.89075630252101</v>
      </c>
    </row>
    <row r="4214" hidden="1">
      <c r="A4214" s="11" t="n">
        <v>46135</v>
      </c>
      <c r="B4214" t="inlineStr">
        <is>
          <t>Claudio de Sousa Velasco Filho</t>
        </is>
      </c>
      <c r="C4214" t="inlineStr">
        <is>
          <t>Estágio</t>
        </is>
      </c>
      <c r="D4214" t="n">
        <v>9</v>
      </c>
      <c r="E4214" t="n">
        <v>7</v>
      </c>
      <c r="F4214" t="n">
        <v>17.05</v>
      </c>
      <c r="G4214" t="n">
        <v>0</v>
      </c>
      <c r="H4214" t="n">
        <v>0</v>
      </c>
      <c r="I4214" s="3">
        <f>E4214+G4214+H4214</f>
        <v/>
      </c>
      <c r="J4214" s="3">
        <f>ROUND(MIN(IF(C4214="Técnico III",35,IF(C4214="Técnico II",28,IF(C4214="Técnico I",23,IF(C4214="JR",20,IF(C4214="Estágio",10,0))))),IF(C4214="Técnico III",SUMIFS($D:$D,$A:$A,$A4214,$B:$B,"&lt;&gt;Patrícia Karla de Sousa Araújo",$B:$B,"&lt;&gt;Lorena Dias de Araujo",$B:$B,"&lt;&gt;Lucas Luiz Romero")*(35/1083),IF(C4214="Técnico II",SUMIFS($D:$D,$A:$A,$A4214,$B:$B,"&lt;&gt;Patrícia Karla de Sousa Araújo",$B:$B,"&lt;&gt;Lorena Dias de Araujo",$B:$B,"&lt;&gt;Lucas Luiz Romero")*(28/1083),IF(C4214="Técnico I",SUMIFS($D:$D,$A:$A,$A4214,$B:$B,"&lt;&gt;Patrícia Karla de Sousa Araújo",$B:$B,"&lt;&gt;Lorena Dias de Araujo",$B:$B,"&lt;&gt;Lucas Luiz Romero")*(23/1083),IF(C4214="JR",SUMIFS($D:$D,$A:$A,$A4214,$B:$B,"&lt;&gt;Patrícia Karla de Sousa Araújo",$B:$B,"&lt;&gt;Lorena Dias de Araujo",$B:$B,"&lt;&gt;Lucas Luiz Romero")*(20/1083),IF(C4214="Estágio",SUMIFS($D:$D,$A:$A,$A4214,$B:$B,"&lt;&gt;Patrícia Karla de Sousa Araújo",$B:$B,"&lt;&gt;Lorena Dias de Araujo",$B:$B,"&lt;&gt;Lucas Luiz Romero")*(10/1083),0)))))),0)</f>
        <v/>
      </c>
      <c r="K4214" s="3">
        <f>I4214-J4214</f>
        <v/>
      </c>
      <c r="L4214" s="3">
        <f>IF(K4214&lt;-5,"CRÍTICO",IF(K4214&lt;0,"ATENÇÃO",IF(K4214&lt;=5,"OPORTUNO","MUITO BOM")))</f>
        <v/>
      </c>
      <c r="N4214" t="n">
        <v>100</v>
      </c>
      <c r="O4214" t="n">
        <v>23.13432835820895</v>
      </c>
    </row>
    <row r="4215" hidden="1">
      <c r="A4215" s="11" t="n">
        <v>46135</v>
      </c>
      <c r="B4215" t="inlineStr">
        <is>
          <t>Clessiane Pereira dos Santos</t>
        </is>
      </c>
      <c r="C4215" t="inlineStr">
        <is>
          <t>Técnico I</t>
        </is>
      </c>
      <c r="D4215" t="n">
        <v>13</v>
      </c>
      <c r="E4215" t="n">
        <v>13</v>
      </c>
      <c r="F4215" t="n">
        <v>20.26</v>
      </c>
      <c r="G4215" t="n">
        <v>0</v>
      </c>
      <c r="H4215" t="n">
        <v>0</v>
      </c>
      <c r="I4215" s="3">
        <f>E4215+G4215+H4215</f>
        <v/>
      </c>
      <c r="J4215" s="3">
        <f>ROUND(MIN(IF(C4215="Técnico III",35,IF(C4215="Técnico II",28,IF(C4215="Técnico I",23,IF(C4215="JR",20,IF(C4215="Estágio",10,0))))),IF(C4215="Técnico III",SUMIFS($D:$D,$A:$A,$A4215,$B:$B,"&lt;&gt;Patrícia Karla de Sousa Araújo",$B:$B,"&lt;&gt;Lorena Dias de Araujo",$B:$B,"&lt;&gt;Lucas Luiz Romero")*(35/1083),IF(C4215="Técnico II",SUMIFS($D:$D,$A:$A,$A4215,$B:$B,"&lt;&gt;Patrícia Karla de Sousa Araújo",$B:$B,"&lt;&gt;Lorena Dias de Araujo",$B:$B,"&lt;&gt;Lucas Luiz Romero")*(28/1083),IF(C4215="Técnico I",SUMIFS($D:$D,$A:$A,$A4215,$B:$B,"&lt;&gt;Patrícia Karla de Sousa Araújo",$B:$B,"&lt;&gt;Lorena Dias de Araujo",$B:$B,"&lt;&gt;Lucas Luiz Romero")*(23/1083),IF(C4215="JR",SUMIFS($D:$D,$A:$A,$A4215,$B:$B,"&lt;&gt;Patrícia Karla de Sousa Araújo",$B:$B,"&lt;&gt;Lorena Dias de Araujo",$B:$B,"&lt;&gt;Lucas Luiz Romero")*(20/1083),IF(C4215="Estágio",SUMIFS($D:$D,$A:$A,$A4215,$B:$B,"&lt;&gt;Patrícia Karla de Sousa Araújo",$B:$B,"&lt;&gt;Lorena Dias de Araujo",$B:$B,"&lt;&gt;Lucas Luiz Romero")*(10/1083),0)))))),0)</f>
        <v/>
      </c>
      <c r="K4215" s="3">
        <f>I4215-J4215</f>
        <v/>
      </c>
      <c r="L4215" s="3">
        <f>IF(K4215&lt;-5,"CRÍTICO",IF(K4215&lt;0,"ATENÇÃO",IF(K4215&lt;=5,"OPORTUNO","MUITO BOM")))</f>
        <v/>
      </c>
      <c r="N4215" t="n">
        <v>96.3</v>
      </c>
      <c r="O4215" t="n">
        <v>31.98090692124105</v>
      </c>
    </row>
    <row r="4216" hidden="1">
      <c r="A4216" s="11" t="n">
        <v>46135</v>
      </c>
      <c r="B4216" t="inlineStr">
        <is>
          <t>Cristiane Ramos da Silva Rocha</t>
        </is>
      </c>
      <c r="C4216" t="inlineStr">
        <is>
          <t>Técnico III</t>
        </is>
      </c>
      <c r="D4216" t="n">
        <v>25</v>
      </c>
      <c r="E4216" t="n">
        <v>21</v>
      </c>
      <c r="F4216" t="n">
        <v>12.06</v>
      </c>
      <c r="G4216" t="n">
        <v>0</v>
      </c>
      <c r="H4216" t="n">
        <v>0</v>
      </c>
      <c r="I4216" s="3">
        <f>E4216+G4216+H4216</f>
        <v/>
      </c>
      <c r="J4216" s="3">
        <f>ROUND(MIN(IF(C4216="Técnico III",35,IF(C4216="Técnico II",28,IF(C4216="Técnico I",23,IF(C4216="JR",20,IF(C4216="Estágio",10,0))))),IF(C4216="Técnico III",SUMIFS($D:$D,$A:$A,$A4216,$B:$B,"&lt;&gt;Patrícia Karla de Sousa Araújo",$B:$B,"&lt;&gt;Lorena Dias de Araujo",$B:$B,"&lt;&gt;Lucas Luiz Romero")*(35/1083),IF(C4216="Técnico II",SUMIFS($D:$D,$A:$A,$A4216,$B:$B,"&lt;&gt;Patrícia Karla de Sousa Araújo",$B:$B,"&lt;&gt;Lorena Dias de Araujo",$B:$B,"&lt;&gt;Lucas Luiz Romero")*(28/1083),IF(C4216="Técnico I",SUMIFS($D:$D,$A:$A,$A4216,$B:$B,"&lt;&gt;Patrícia Karla de Sousa Araújo",$B:$B,"&lt;&gt;Lorena Dias de Araujo",$B:$B,"&lt;&gt;Lucas Luiz Romero")*(23/1083),IF(C4216="JR",SUMIFS($D:$D,$A:$A,$A4216,$B:$B,"&lt;&gt;Patrícia Karla de Sousa Araújo",$B:$B,"&lt;&gt;Lorena Dias de Araujo",$B:$B,"&lt;&gt;Lucas Luiz Romero")*(20/1083),IF(C4216="Estágio",SUMIFS($D:$D,$A:$A,$A4216,$B:$B,"&lt;&gt;Patrícia Karla de Sousa Araújo",$B:$B,"&lt;&gt;Lorena Dias de Araujo",$B:$B,"&lt;&gt;Lucas Luiz Romero")*(10/1083),0)))))),0)</f>
        <v/>
      </c>
      <c r="K4216" s="3">
        <f>I4216-J4216</f>
        <v/>
      </c>
      <c r="L4216" s="3">
        <f>IF(K4216&lt;-5,"CRÍTICO",IF(K4216&lt;0,"ATENÇÃO",IF(K4216&lt;=5,"OPORTUNO","MUITO BOM")))</f>
        <v/>
      </c>
      <c r="N4216" t="n">
        <v>93.75</v>
      </c>
      <c r="O4216" t="n">
        <v>26.62835249042146</v>
      </c>
    </row>
    <row r="4217" hidden="1">
      <c r="A4217" s="11" t="n">
        <v>46135</v>
      </c>
      <c r="B4217" t="inlineStr">
        <is>
          <t>Damyllis Lorraine de Oliveira Gonçalves</t>
        </is>
      </c>
      <c r="C4217" t="inlineStr">
        <is>
          <t>Técnico II</t>
        </is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s="3" t="n">
        <v>0</v>
      </c>
      <c r="J4217" s="3" t="n">
        <v>0</v>
      </c>
      <c r="K4217" s="3" t="n">
        <v>0</v>
      </c>
      <c r="L4217" s="3">
        <f>IF(K4217&lt;-5,"CRÍTICO",IF(K4217&lt;0,"ATENÇÃO",IF(K4217&lt;=5,"OPORTUNO","MUITO BOM")))</f>
        <v/>
      </c>
      <c r="N4217" t="n">
        <v>97.86</v>
      </c>
      <c r="O4217" t="n">
        <v>31.01851851851852</v>
      </c>
    </row>
    <row r="4218" hidden="1">
      <c r="A4218" s="11" t="n">
        <v>46135</v>
      </c>
      <c r="B4218" t="inlineStr">
        <is>
          <t>Daniel Gomes da Silva</t>
        </is>
      </c>
      <c r="C4218" t="inlineStr">
        <is>
          <t>Técnico I</t>
        </is>
      </c>
      <c r="D4218" t="n">
        <v>18</v>
      </c>
      <c r="E4218" t="n">
        <v>18</v>
      </c>
      <c r="F4218" t="n">
        <v>16.58</v>
      </c>
      <c r="G4218" t="n">
        <v>0</v>
      </c>
      <c r="H4218" t="n">
        <v>0</v>
      </c>
      <c r="I4218" s="3">
        <f>E4218+G4218+H4218</f>
        <v/>
      </c>
      <c r="J4218" s="3">
        <f>ROUND(MIN(IF(C4218="Técnico III",35,IF(C4218="Técnico II",28,IF(C4218="Técnico I",23,IF(C4218="JR",20,IF(C4218="Estágio",10,0))))),IF(C4218="Técnico III",SUMIFS($D:$D,$A:$A,$A4218,$B:$B,"&lt;&gt;Patrícia Karla de Sousa Araújo",$B:$B,"&lt;&gt;Lorena Dias de Araujo",$B:$B,"&lt;&gt;Lucas Luiz Romero")*(35/1083),IF(C4218="Técnico II",SUMIFS($D:$D,$A:$A,$A4218,$B:$B,"&lt;&gt;Patrícia Karla de Sousa Araújo",$B:$B,"&lt;&gt;Lorena Dias de Araujo",$B:$B,"&lt;&gt;Lucas Luiz Romero")*(28/1083),IF(C4218="Técnico I",SUMIFS($D:$D,$A:$A,$A4218,$B:$B,"&lt;&gt;Patrícia Karla de Sousa Araújo",$B:$B,"&lt;&gt;Lorena Dias de Araujo",$B:$B,"&lt;&gt;Lucas Luiz Romero")*(23/1083),IF(C4218="JR",SUMIFS($D:$D,$A:$A,$A4218,$B:$B,"&lt;&gt;Patrícia Karla de Sousa Araújo",$B:$B,"&lt;&gt;Lorena Dias de Araujo",$B:$B,"&lt;&gt;Lucas Luiz Romero")*(20/1083),IF(C4218="Estágio",SUMIFS($D:$D,$A:$A,$A4218,$B:$B,"&lt;&gt;Patrícia Karla de Sousa Araújo",$B:$B,"&lt;&gt;Lorena Dias de Araujo",$B:$B,"&lt;&gt;Lucas Luiz Romero")*(10/1083),0)))))),0)</f>
        <v/>
      </c>
      <c r="K4218" s="3">
        <f>I4218-J4218</f>
        <v/>
      </c>
      <c r="L4218" s="3">
        <f>IF(K4218&lt;-5,"CRÍTICO",IF(K4218&lt;0,"ATENÇÃO",IF(K4218&lt;=5,"OPORTUNO","MUITO BOM")))</f>
        <v/>
      </c>
      <c r="N4218" t="n">
        <v>100</v>
      </c>
      <c r="O4218" t="n">
        <v>36.23188405797102</v>
      </c>
    </row>
    <row r="4219" hidden="1">
      <c r="A4219" s="11" t="n">
        <v>46135</v>
      </c>
      <c r="B4219" t="inlineStr">
        <is>
          <t>Davylla Rodrigues Freitas Silva</t>
        </is>
      </c>
      <c r="C4219" t="inlineStr">
        <is>
          <t>Técnico III</t>
        </is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s="3" t="n">
        <v>0</v>
      </c>
      <c r="J4219" s="3" t="n">
        <v>0</v>
      </c>
      <c r="K4219" s="3" t="n">
        <v>0</v>
      </c>
      <c r="L4219" s="3">
        <f>IF(K4219&lt;-5,"CRÍTICO",IF(K4219&lt;0,"ATENÇÃO",IF(K4219&lt;=5,"OPORTUNO","MUITO BOM")))</f>
        <v/>
      </c>
      <c r="N4219" t="n">
        <v>100</v>
      </c>
      <c r="O4219" t="n">
        <v>38.26923076923077</v>
      </c>
    </row>
    <row r="4220" hidden="1">
      <c r="A4220" s="11" t="n">
        <v>46135</v>
      </c>
      <c r="B4220" t="inlineStr">
        <is>
          <t>Emilly Caylane Costa</t>
        </is>
      </c>
      <c r="C4220" t="inlineStr">
        <is>
          <t>Estágio</t>
        </is>
      </c>
      <c r="D4220" t="n">
        <v>9</v>
      </c>
      <c r="E4220" t="n">
        <v>9</v>
      </c>
      <c r="F4220" t="n">
        <v>34.17</v>
      </c>
      <c r="G4220" t="n">
        <v>0</v>
      </c>
      <c r="H4220" t="n">
        <v>0</v>
      </c>
      <c r="I4220" s="3">
        <f>E4220+G4220+H4220</f>
        <v/>
      </c>
      <c r="J4220" s="3">
        <f>ROUND(MIN(IF(C4220="Técnico III",35,IF(C4220="Técnico II",28,IF(C4220="Técnico I",23,IF(C4220="JR",20,IF(C4220="Estágio",10,0))))),IF(C4220="Técnico III",SUMIFS($D:$D,$A:$A,$A4220,$B:$B,"&lt;&gt;Patrícia Karla de Sousa Araújo",$B:$B,"&lt;&gt;Lorena Dias de Araujo",$B:$B,"&lt;&gt;Lucas Luiz Romero")*(35/1083),IF(C4220="Técnico II",SUMIFS($D:$D,$A:$A,$A4220,$B:$B,"&lt;&gt;Patrícia Karla de Sousa Araújo",$B:$B,"&lt;&gt;Lorena Dias de Araujo",$B:$B,"&lt;&gt;Lucas Luiz Romero")*(28/1083),IF(C4220="Técnico I",SUMIFS($D:$D,$A:$A,$A4220,$B:$B,"&lt;&gt;Patrícia Karla de Sousa Araújo",$B:$B,"&lt;&gt;Lorena Dias de Araujo",$B:$B,"&lt;&gt;Lucas Luiz Romero")*(23/1083),IF(C4220="JR",SUMIFS($D:$D,$A:$A,$A4220,$B:$B,"&lt;&gt;Patrícia Karla de Sousa Araújo",$B:$B,"&lt;&gt;Lorena Dias de Araujo",$B:$B,"&lt;&gt;Lucas Luiz Romero")*(20/1083),IF(C4220="Estágio",SUMIFS($D:$D,$A:$A,$A4220,$B:$B,"&lt;&gt;Patrícia Karla de Sousa Araújo",$B:$B,"&lt;&gt;Lorena Dias de Araujo",$B:$B,"&lt;&gt;Lucas Luiz Romero")*(10/1083),0)))))),0)</f>
        <v/>
      </c>
      <c r="K4220" s="3">
        <f>I4220-J4220</f>
        <v/>
      </c>
      <c r="L4220" s="3">
        <f>IF(K4220&lt;-5,"CRÍTICO",IF(K4220&lt;0,"ATENÇÃO",IF(K4220&lt;=5,"OPORTUNO","MUITO BOM")))</f>
        <v/>
      </c>
      <c r="N4220" t="n">
        <v>100</v>
      </c>
      <c r="O4220" t="n">
        <v>27.36842105263158</v>
      </c>
    </row>
    <row r="4221" hidden="1">
      <c r="A4221" s="11" t="n">
        <v>46135</v>
      </c>
      <c r="B4221" t="inlineStr">
        <is>
          <t>Emilly Kamilly Medeiros Miranda</t>
        </is>
      </c>
      <c r="C4221" t="inlineStr">
        <is>
          <t>Técnico II</t>
        </is>
      </c>
      <c r="D4221" t="n">
        <v>24</v>
      </c>
      <c r="E4221" t="n">
        <v>22</v>
      </c>
      <c r="F4221" t="n">
        <v>17.34</v>
      </c>
      <c r="G4221" t="n">
        <v>0</v>
      </c>
      <c r="H4221" t="n">
        <v>0</v>
      </c>
      <c r="I4221" s="3">
        <f>E4221+G4221+H4221</f>
        <v/>
      </c>
      <c r="J4221" s="3">
        <f>ROUND(MIN(IF(C4221="Técnico III",35,IF(C4221="Técnico II",28,IF(C4221="Técnico I",23,IF(C4221="JR",20,IF(C4221="Estágio",10,0))))),IF(C4221="Técnico III",SUMIFS($D:$D,$A:$A,$A4221,$B:$B,"&lt;&gt;Patrícia Karla de Sousa Araújo",$B:$B,"&lt;&gt;Lorena Dias de Araujo",$B:$B,"&lt;&gt;Lucas Luiz Romero")*(35/1083),IF(C4221="Técnico II",SUMIFS($D:$D,$A:$A,$A4221,$B:$B,"&lt;&gt;Patrícia Karla de Sousa Araújo",$B:$B,"&lt;&gt;Lorena Dias de Araujo",$B:$B,"&lt;&gt;Lucas Luiz Romero")*(28/1083),IF(C4221="Técnico I",SUMIFS($D:$D,$A:$A,$A4221,$B:$B,"&lt;&gt;Patrícia Karla de Sousa Araújo",$B:$B,"&lt;&gt;Lorena Dias de Araujo",$B:$B,"&lt;&gt;Lucas Luiz Romero")*(23/1083),IF(C4221="JR",SUMIFS($D:$D,$A:$A,$A4221,$B:$B,"&lt;&gt;Patrícia Karla de Sousa Araújo",$B:$B,"&lt;&gt;Lorena Dias de Araujo",$B:$B,"&lt;&gt;Lucas Luiz Romero")*(20/1083),IF(C4221="Estágio",SUMIFS($D:$D,$A:$A,$A4221,$B:$B,"&lt;&gt;Patrícia Karla de Sousa Araújo",$B:$B,"&lt;&gt;Lorena Dias de Araujo",$B:$B,"&lt;&gt;Lucas Luiz Romero")*(10/1083),0)))))),0)</f>
        <v/>
      </c>
      <c r="K4221" s="3">
        <f>I4221-J4221</f>
        <v/>
      </c>
      <c r="L4221" s="3">
        <f>IF(K4221&lt;-5,"CRÍTICO",IF(K4221&lt;0,"ATENÇÃO",IF(K4221&lt;=5,"OPORTUNO","MUITO BOM")))</f>
        <v/>
      </c>
      <c r="N4221" t="n">
        <v>97.83</v>
      </c>
      <c r="O4221" t="n">
        <v>28.13186813186813</v>
      </c>
    </row>
    <row r="4222" hidden="1">
      <c r="A4222" s="11" t="n">
        <v>46135</v>
      </c>
      <c r="B4222" t="inlineStr">
        <is>
          <t>Francielson de Oliveira</t>
        </is>
      </c>
      <c r="C4222" t="inlineStr">
        <is>
          <t>Técnico III</t>
        </is>
      </c>
      <c r="D4222" t="n">
        <v>27</v>
      </c>
      <c r="E4222" t="n">
        <v>25</v>
      </c>
      <c r="F4222" t="n">
        <v>15.16</v>
      </c>
      <c r="G4222" t="n">
        <v>0</v>
      </c>
      <c r="H4222" t="n">
        <v>0</v>
      </c>
      <c r="I4222" s="3">
        <f>E4222+G4222+H4222</f>
        <v/>
      </c>
      <c r="J4222" s="3">
        <f>ROUND(MIN(IF(C4222="Técnico III",35,IF(C4222="Técnico II",28,IF(C4222="Técnico I",23,IF(C4222="JR",20,IF(C4222="Estágio",10,0))))),IF(C4222="Técnico III",SUMIFS($D:$D,$A:$A,$A4222,$B:$B,"&lt;&gt;Patrícia Karla de Sousa Araújo",$B:$B,"&lt;&gt;Lorena Dias de Araujo",$B:$B,"&lt;&gt;Lucas Luiz Romero")*(35/1083),IF(C4222="Técnico II",SUMIFS($D:$D,$A:$A,$A4222,$B:$B,"&lt;&gt;Patrícia Karla de Sousa Araújo",$B:$B,"&lt;&gt;Lorena Dias de Araujo",$B:$B,"&lt;&gt;Lucas Luiz Romero")*(28/1083),IF(C4222="Técnico I",SUMIFS($D:$D,$A:$A,$A4222,$B:$B,"&lt;&gt;Patrícia Karla de Sousa Araújo",$B:$B,"&lt;&gt;Lorena Dias de Araujo",$B:$B,"&lt;&gt;Lucas Luiz Romero")*(23/1083),IF(C4222="JR",SUMIFS($D:$D,$A:$A,$A4222,$B:$B,"&lt;&gt;Patrícia Karla de Sousa Araújo",$B:$B,"&lt;&gt;Lorena Dias de Araujo",$B:$B,"&lt;&gt;Lucas Luiz Romero")*(20/1083),IF(C4222="Estágio",SUMIFS($D:$D,$A:$A,$A4222,$B:$B,"&lt;&gt;Patrícia Karla de Sousa Araújo",$B:$B,"&lt;&gt;Lorena Dias de Araujo",$B:$B,"&lt;&gt;Lucas Luiz Romero")*(10/1083),0)))))),0)</f>
        <v/>
      </c>
      <c r="K4222" s="3">
        <f>I4222-J4222</f>
        <v/>
      </c>
      <c r="L4222" s="3">
        <f>IF(K4222&lt;-5,"CRÍTICO",IF(K4222&lt;0,"ATENÇÃO",IF(K4222&lt;=5,"OPORTUNO","MUITO BOM")))</f>
        <v/>
      </c>
      <c r="N4222" t="n">
        <v>99.26000000000001</v>
      </c>
      <c r="O4222" t="n">
        <v>29.57198443579767</v>
      </c>
    </row>
    <row r="4223" hidden="1">
      <c r="A4223" s="11" t="n">
        <v>46135</v>
      </c>
      <c r="B4223" t="inlineStr">
        <is>
          <t>Francilene Ferreira de Jesus</t>
        </is>
      </c>
      <c r="C4223" t="inlineStr">
        <is>
          <t>Técnico II</t>
        </is>
      </c>
      <c r="D4223" t="n">
        <v>37</v>
      </c>
      <c r="E4223" t="n">
        <v>32</v>
      </c>
      <c r="F4223" t="n">
        <v>15.21</v>
      </c>
      <c r="G4223" t="n">
        <v>0</v>
      </c>
      <c r="H4223" t="n">
        <v>0</v>
      </c>
      <c r="I4223" s="3">
        <f>E4223+G4223+H4223</f>
        <v/>
      </c>
      <c r="J4223" s="3">
        <f>ROUND(MIN(IF(C4223="Técnico III",35,IF(C4223="Técnico II",28,IF(C4223="Técnico I",23,IF(C4223="JR",20,IF(C4223="Estágio",10,0))))),IF(C4223="Técnico III",SUMIFS($D:$D,$A:$A,$A4223,$B:$B,"&lt;&gt;Patrícia Karla de Sousa Araújo",$B:$B,"&lt;&gt;Lorena Dias de Araujo",$B:$B,"&lt;&gt;Lucas Luiz Romero")*(35/1083),IF(C4223="Técnico II",SUMIFS($D:$D,$A:$A,$A4223,$B:$B,"&lt;&gt;Patrícia Karla de Sousa Araújo",$B:$B,"&lt;&gt;Lorena Dias de Araujo",$B:$B,"&lt;&gt;Lucas Luiz Romero")*(28/1083),IF(C4223="Técnico I",SUMIFS($D:$D,$A:$A,$A4223,$B:$B,"&lt;&gt;Patrícia Karla de Sousa Araújo",$B:$B,"&lt;&gt;Lorena Dias de Araujo",$B:$B,"&lt;&gt;Lucas Luiz Romero")*(23/1083),IF(C4223="JR",SUMIFS($D:$D,$A:$A,$A4223,$B:$B,"&lt;&gt;Patrícia Karla de Sousa Araújo",$B:$B,"&lt;&gt;Lorena Dias de Araujo",$B:$B,"&lt;&gt;Lucas Luiz Romero")*(20/1083),IF(C4223="Estágio",SUMIFS($D:$D,$A:$A,$A4223,$B:$B,"&lt;&gt;Patrícia Karla de Sousa Araújo",$B:$B,"&lt;&gt;Lorena Dias de Araujo",$B:$B,"&lt;&gt;Lucas Luiz Romero")*(10/1083),0)))))),0)</f>
        <v/>
      </c>
      <c r="K4223" s="3">
        <f>I4223-J4223</f>
        <v/>
      </c>
      <c r="L4223" s="3">
        <f>IF(K4223&lt;-5,"CRÍTICO",IF(K4223&lt;0,"ATENÇÃO",IF(K4223&lt;=5,"OPORTUNO","MUITO BOM")))</f>
        <v/>
      </c>
      <c r="N4223" t="n">
        <v>99.19</v>
      </c>
      <c r="O4223" t="n">
        <v>29.46236559139785</v>
      </c>
    </row>
    <row r="4224" hidden="1">
      <c r="A4224" s="11" t="n">
        <v>46140</v>
      </c>
      <c r="B4224" t="inlineStr">
        <is>
          <t>Emilly Kamilly Medeiros Miranda</t>
        </is>
      </c>
      <c r="C4224" t="inlineStr">
        <is>
          <t>Técnico II</t>
        </is>
      </c>
      <c r="D4224" t="n">
        <v>27</v>
      </c>
      <c r="E4224" t="n">
        <v>27</v>
      </c>
      <c r="F4224" t="n">
        <v>18.35</v>
      </c>
      <c r="G4224" t="n">
        <v>0</v>
      </c>
      <c r="H4224" t="n">
        <v>0</v>
      </c>
      <c r="I4224" s="3">
        <f>E4224+G4224+H4224</f>
        <v/>
      </c>
      <c r="J4224" s="3">
        <f>ROUND(MIN(IF(C4224="Técnico III",35,IF(C4224="Técnico II",28,IF(C4224="Técnico I",23,IF(C4224="JR",20,IF(C4224="Estágio",10,0))))),IF(C4224="Técnico III",SUMIFS($D:$D,$A:$A,$A4224,$B:$B,"&lt;&gt;Patrícia Karla de Sousa Araújo",$B:$B,"&lt;&gt;Lorena Dias de Araujo",$B:$B,"&lt;&gt;Lucas Luiz Romero")*(35/1083),IF(C4224="Técnico II",SUMIFS($D:$D,$A:$A,$A4224,$B:$B,"&lt;&gt;Patrícia Karla de Sousa Araújo",$B:$B,"&lt;&gt;Lorena Dias de Araujo",$B:$B,"&lt;&gt;Lucas Luiz Romero")*(28/1083),IF(C4224="Técnico I",SUMIFS($D:$D,$A:$A,$A4224,$B:$B,"&lt;&gt;Patrícia Karla de Sousa Araújo",$B:$B,"&lt;&gt;Lorena Dias de Araujo",$B:$B,"&lt;&gt;Lucas Luiz Romero")*(23/1083),IF(C4224="JR",SUMIFS($D:$D,$A:$A,$A4224,$B:$B,"&lt;&gt;Patrícia Karla de Sousa Araújo",$B:$B,"&lt;&gt;Lorena Dias de Araujo",$B:$B,"&lt;&gt;Lucas Luiz Romero")*(20/1083),IF(C4224="Estágio",SUMIFS($D:$D,$A:$A,$A4224,$B:$B,"&lt;&gt;Patrícia Karla de Sousa Araújo",$B:$B,"&lt;&gt;Lorena Dias de Araujo",$B:$B,"&lt;&gt;Lucas Luiz Romero")*(10/1083),0)))))),0)</f>
        <v/>
      </c>
      <c r="K4224" s="3">
        <f>I4224-J4224</f>
        <v/>
      </c>
      <c r="L4224" s="3">
        <f>IF(K4224&lt;-5,"CRÍTICO",IF(K4224&lt;0,"ATENÇÃO",IF(K4224&lt;=5,"OPORTUNO","MUITO BOM")))</f>
        <v/>
      </c>
      <c r="N4224" t="n">
        <v>97.83</v>
      </c>
      <c r="O4224" t="n">
        <v>28.13186813186813</v>
      </c>
    </row>
    <row r="4225" hidden="1">
      <c r="A4225" s="11" t="n">
        <v>46135</v>
      </c>
      <c r="B4225" t="inlineStr">
        <is>
          <t>Isabella Borges de Oliveira</t>
        </is>
      </c>
      <c r="C4225" t="inlineStr">
        <is>
          <t>Técnico II</t>
        </is>
      </c>
      <c r="D4225" t="n">
        <v>20</v>
      </c>
      <c r="E4225" t="n">
        <v>18</v>
      </c>
      <c r="F4225" t="n">
        <v>18.23</v>
      </c>
      <c r="G4225" t="n">
        <v>0</v>
      </c>
      <c r="H4225" t="n">
        <v>0</v>
      </c>
      <c r="I4225" s="3">
        <f>E4225+G4225+H4225</f>
        <v/>
      </c>
      <c r="J4225" s="3">
        <f>ROUND(MIN(IF(C4225="Técnico III",35,IF(C4225="Técnico II",28,IF(C4225="Técnico I",23,IF(C4225="JR",20,IF(C4225="Estágio",10,0))))),IF(C4225="Técnico III",SUMIFS($D:$D,$A:$A,$A4225,$B:$B,"&lt;&gt;Patrícia Karla de Sousa Araújo",$B:$B,"&lt;&gt;Lorena Dias de Araujo",$B:$B,"&lt;&gt;Lucas Luiz Romero")*(35/1083),IF(C4225="Técnico II",SUMIFS($D:$D,$A:$A,$A4225,$B:$B,"&lt;&gt;Patrícia Karla de Sousa Araújo",$B:$B,"&lt;&gt;Lorena Dias de Araujo",$B:$B,"&lt;&gt;Lucas Luiz Romero")*(28/1083),IF(C4225="Técnico I",SUMIFS($D:$D,$A:$A,$A4225,$B:$B,"&lt;&gt;Patrícia Karla de Sousa Araújo",$B:$B,"&lt;&gt;Lorena Dias de Araujo",$B:$B,"&lt;&gt;Lucas Luiz Romero")*(23/1083),IF(C4225="JR",SUMIFS($D:$D,$A:$A,$A4225,$B:$B,"&lt;&gt;Patrícia Karla de Sousa Araújo",$B:$B,"&lt;&gt;Lorena Dias de Araujo",$B:$B,"&lt;&gt;Lucas Luiz Romero")*(20/1083),IF(C4225="Estágio",SUMIFS($D:$D,$A:$A,$A4225,$B:$B,"&lt;&gt;Patrícia Karla de Sousa Araújo",$B:$B,"&lt;&gt;Lorena Dias de Araujo",$B:$B,"&lt;&gt;Lucas Luiz Romero")*(10/1083),0)))))),0)</f>
        <v/>
      </c>
      <c r="K4225" s="3">
        <f>I4225-J4225</f>
        <v/>
      </c>
      <c r="L4225" s="3">
        <f>IF(K4225&lt;-5,"CRÍTICO",IF(K4225&lt;0,"ATENÇÃO",IF(K4225&lt;=5,"OPORTUNO","MUITO BOM")))</f>
        <v/>
      </c>
      <c r="N4225" t="n">
        <v>100</v>
      </c>
      <c r="O4225" t="n">
        <v>27.94117647058824</v>
      </c>
    </row>
    <row r="4226" hidden="1">
      <c r="A4226" s="11" t="n">
        <v>46135</v>
      </c>
      <c r="B4226" t="inlineStr">
        <is>
          <t>Janaina Lima dos Reis Urany</t>
        </is>
      </c>
      <c r="C4226" t="inlineStr">
        <is>
          <t>Técnico III</t>
        </is>
      </c>
      <c r="D4226" t="n">
        <v>29</v>
      </c>
      <c r="E4226" t="n">
        <v>28</v>
      </c>
      <c r="F4226" t="n">
        <v>14.14</v>
      </c>
      <c r="G4226" t="n">
        <v>0</v>
      </c>
      <c r="H4226" t="n">
        <v>0</v>
      </c>
      <c r="I4226" s="3">
        <f>E4226+G4226+H4226</f>
        <v/>
      </c>
      <c r="J4226" s="3">
        <f>ROUND(MIN(IF(C4226="Técnico III",35,IF(C4226="Técnico II",28,IF(C4226="Técnico I",23,IF(C4226="JR",20,IF(C4226="Estágio",10,0))))),IF(C4226="Técnico III",SUMIFS($D:$D,$A:$A,$A4226,$B:$B,"&lt;&gt;Patrícia Karla de Sousa Araújo",$B:$B,"&lt;&gt;Lorena Dias de Araujo",$B:$B,"&lt;&gt;Lucas Luiz Romero")*(35/1083),IF(C4226="Técnico II",SUMIFS($D:$D,$A:$A,$A4226,$B:$B,"&lt;&gt;Patrícia Karla de Sousa Araújo",$B:$B,"&lt;&gt;Lorena Dias de Araujo",$B:$B,"&lt;&gt;Lucas Luiz Romero")*(28/1083),IF(C4226="Técnico I",SUMIFS($D:$D,$A:$A,$A4226,$B:$B,"&lt;&gt;Patrícia Karla de Sousa Araújo",$B:$B,"&lt;&gt;Lorena Dias de Araujo",$B:$B,"&lt;&gt;Lucas Luiz Romero")*(23/1083),IF(C4226="JR",SUMIFS($D:$D,$A:$A,$A4226,$B:$B,"&lt;&gt;Patrícia Karla de Sousa Araújo",$B:$B,"&lt;&gt;Lorena Dias de Araujo",$B:$B,"&lt;&gt;Lucas Luiz Romero")*(20/1083),IF(C4226="Estágio",SUMIFS($D:$D,$A:$A,$A4226,$B:$B,"&lt;&gt;Patrícia Karla de Sousa Araújo",$B:$B,"&lt;&gt;Lorena Dias de Araujo",$B:$B,"&lt;&gt;Lucas Luiz Romero")*(10/1083),0)))))),0)</f>
        <v/>
      </c>
      <c r="K4226" s="3">
        <f>I4226-J4226</f>
        <v/>
      </c>
      <c r="L4226" s="3">
        <f>IF(K4226&lt;-5,"CRÍTICO",IF(K4226&lt;0,"ATENÇÃO",IF(K4226&lt;=5,"OPORTUNO","MUITO BOM")))</f>
        <v/>
      </c>
      <c r="N4226" t="n">
        <v>99.56999999999999</v>
      </c>
      <c r="O4226" t="n">
        <v>29.91329479768786</v>
      </c>
    </row>
    <row r="4227" hidden="1">
      <c r="A4227" s="11" t="n">
        <v>46135</v>
      </c>
      <c r="B4227" t="inlineStr">
        <is>
          <t>Jaqueline Evangelista da Silva Martins</t>
        </is>
      </c>
      <c r="C4227" t="inlineStr">
        <is>
          <t>Técnico III</t>
        </is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s="3" t="n">
        <v>0</v>
      </c>
      <c r="J4227" s="3" t="n">
        <v>0</v>
      </c>
      <c r="K4227" s="3" t="n">
        <v>0</v>
      </c>
      <c r="L4227" s="3">
        <f>IF(K4227&lt;-5,"CRÍTICO",IF(K4227&lt;0,"ATENÇÃO",IF(K4227&lt;=5,"OPORTUNO","MUITO BOM")))</f>
        <v/>
      </c>
      <c r="N4227" t="n">
        <v>95.65000000000001</v>
      </c>
      <c r="O4227" t="n">
        <v>31.08108108108108</v>
      </c>
    </row>
    <row r="4228" hidden="1">
      <c r="A4228" s="11" t="n">
        <v>46135</v>
      </c>
      <c r="B4228" t="inlineStr">
        <is>
          <t>Jessica Faria da Silveira</t>
        </is>
      </c>
      <c r="C4228" t="inlineStr">
        <is>
          <t>Técnico II</t>
        </is>
      </c>
      <c r="D4228" t="n">
        <v>26</v>
      </c>
      <c r="E4228" t="n">
        <v>23</v>
      </c>
      <c r="F4228" t="n">
        <v>12.11</v>
      </c>
      <c r="G4228" t="n">
        <v>0</v>
      </c>
      <c r="H4228" t="n">
        <v>0</v>
      </c>
      <c r="I4228" s="3">
        <f>E4228+G4228+H4228</f>
        <v/>
      </c>
      <c r="J4228" s="3">
        <f>ROUND(MIN(IF(C4228="Técnico III",35,IF(C4228="Técnico II",28,IF(C4228="Técnico I",23,IF(C4228="JR",20,IF(C4228="Estágio",10,0))))),IF(C4228="Técnico III",SUMIFS($D:$D,$A:$A,$A4228,$B:$B,"&lt;&gt;Patrícia Karla de Sousa Araújo",$B:$B,"&lt;&gt;Lorena Dias de Araujo",$B:$B,"&lt;&gt;Lucas Luiz Romero")*(35/1083),IF(C4228="Técnico II",SUMIFS($D:$D,$A:$A,$A4228,$B:$B,"&lt;&gt;Patrícia Karla de Sousa Araújo",$B:$B,"&lt;&gt;Lorena Dias de Araujo",$B:$B,"&lt;&gt;Lucas Luiz Romero")*(28/1083),IF(C4228="Técnico I",SUMIFS($D:$D,$A:$A,$A4228,$B:$B,"&lt;&gt;Patrícia Karla de Sousa Araújo",$B:$B,"&lt;&gt;Lorena Dias de Araujo",$B:$B,"&lt;&gt;Lucas Luiz Romero")*(23/1083),IF(C4228="JR",SUMIFS($D:$D,$A:$A,$A4228,$B:$B,"&lt;&gt;Patrícia Karla de Sousa Araújo",$B:$B,"&lt;&gt;Lorena Dias de Araujo",$B:$B,"&lt;&gt;Lucas Luiz Romero")*(20/1083),IF(C4228="Estágio",SUMIFS($D:$D,$A:$A,$A4228,$B:$B,"&lt;&gt;Patrícia Karla de Sousa Araújo",$B:$B,"&lt;&gt;Lorena Dias de Araujo",$B:$B,"&lt;&gt;Lucas Luiz Romero")*(10/1083),0)))))),0)</f>
        <v/>
      </c>
      <c r="K4228" s="3">
        <f>I4228-J4228</f>
        <v/>
      </c>
      <c r="L4228" s="3">
        <f>IF(K4228&lt;-5,"CRÍTICO",IF(K4228&lt;0,"ATENÇÃO",IF(K4228&lt;=5,"OPORTUNO","MUITO BOM")))</f>
        <v/>
      </c>
      <c r="N4228" t="n">
        <v>98.81</v>
      </c>
      <c r="O4228" t="n">
        <v>26.25698324022346</v>
      </c>
    </row>
    <row r="4229" hidden="1">
      <c r="A4229" s="11" t="n">
        <v>46135</v>
      </c>
      <c r="B4229" t="inlineStr">
        <is>
          <t>Jéssica Fé Moura</t>
        </is>
      </c>
      <c r="C4229" t="inlineStr">
        <is>
          <t>Técnico III</t>
        </is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s="3" t="n">
        <v>0</v>
      </c>
      <c r="J4229" s="3" t="n">
        <v>0</v>
      </c>
      <c r="K4229" s="3" t="n">
        <v>0</v>
      </c>
      <c r="L4229" s="3">
        <f>IF(K4229&lt;-5,"CRÍTICO",IF(K4229&lt;0,"ATENÇÃO",IF(K4229&lt;=5,"OPORTUNO","MUITO BOM")))</f>
        <v/>
      </c>
      <c r="N4229" t="n">
        <v>0</v>
      </c>
      <c r="O4229" t="n">
        <v>0</v>
      </c>
    </row>
    <row r="4230" hidden="1">
      <c r="A4230" s="11" t="n">
        <v>46135</v>
      </c>
      <c r="B4230" t="inlineStr">
        <is>
          <t>Karina Gonçalves Martins</t>
        </is>
      </c>
      <c r="C4230" t="inlineStr">
        <is>
          <t>JR</t>
        </is>
      </c>
      <c r="D4230" t="n">
        <v>7</v>
      </c>
      <c r="E4230" t="n">
        <v>7</v>
      </c>
      <c r="F4230" t="n">
        <v>32.38</v>
      </c>
      <c r="G4230" t="n">
        <v>0</v>
      </c>
      <c r="H4230" t="n">
        <v>0</v>
      </c>
      <c r="I4230" s="3">
        <f>E4230+G4230+H4230</f>
        <v/>
      </c>
      <c r="J4230" s="3">
        <f>ROUND(MIN(IF(C4230="Técnico III",35,IF(C4230="Técnico II",28,IF(C4230="Técnico I",23,IF(C4230="JR",20,IF(C4230="Estágio",10,0))))),IF(C4230="Técnico III",SUMIFS($D:$D,$A:$A,$A4230,$B:$B,"&lt;&gt;Patrícia Karla de Sousa Araújo",$B:$B,"&lt;&gt;Lorena Dias de Araujo",$B:$B,"&lt;&gt;Lucas Luiz Romero")*(35/1083),IF(C4230="Técnico II",SUMIFS($D:$D,$A:$A,$A4230,$B:$B,"&lt;&gt;Patrícia Karla de Sousa Araújo",$B:$B,"&lt;&gt;Lorena Dias de Araujo",$B:$B,"&lt;&gt;Lucas Luiz Romero")*(28/1083),IF(C4230="Técnico I",SUMIFS($D:$D,$A:$A,$A4230,$B:$B,"&lt;&gt;Patrícia Karla de Sousa Araújo",$B:$B,"&lt;&gt;Lorena Dias de Araujo",$B:$B,"&lt;&gt;Lucas Luiz Romero")*(23/1083),IF(C4230="JR",SUMIFS($D:$D,$A:$A,$A4230,$B:$B,"&lt;&gt;Patrícia Karla de Sousa Araújo",$B:$B,"&lt;&gt;Lorena Dias de Araujo",$B:$B,"&lt;&gt;Lucas Luiz Romero")*(20/1083),IF(C4230="Estágio",SUMIFS($D:$D,$A:$A,$A4230,$B:$B,"&lt;&gt;Patrícia Karla de Sousa Araújo",$B:$B,"&lt;&gt;Lorena Dias de Araujo",$B:$B,"&lt;&gt;Lucas Luiz Romero")*(10/1083),0)))))),0)</f>
        <v/>
      </c>
      <c r="K4230" s="3">
        <f>I4230-J4230</f>
        <v/>
      </c>
      <c r="L4230" s="3">
        <f>IF(K4230&lt;-5,"CRÍTICO",IF(K4230&lt;0,"ATENÇÃO",IF(K4230&lt;=5,"OPORTUNO","MUITO BOM")))</f>
        <v/>
      </c>
      <c r="N4230" t="n">
        <v>97.17</v>
      </c>
      <c r="O4230" t="n">
        <v>28.81844380403458</v>
      </c>
    </row>
    <row r="4231" hidden="1">
      <c r="A4231" s="11" t="n">
        <v>46135</v>
      </c>
      <c r="B4231" t="inlineStr">
        <is>
          <t>Kerollen Cristielly de Jesus Siqueira</t>
        </is>
      </c>
      <c r="C4231" t="inlineStr">
        <is>
          <t>Técnico III</t>
        </is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s="3" t="n">
        <v>0</v>
      </c>
      <c r="J4231" s="3" t="n">
        <v>0</v>
      </c>
      <c r="K4231" s="3" t="n">
        <v>0</v>
      </c>
      <c r="L4231" s="3">
        <f>IF(K4231&lt;-5,"CRÍTICO",IF(K4231&lt;0,"ATENÇÃO",IF(K4231&lt;=5,"OPORTUNO","MUITO BOM")))</f>
        <v/>
      </c>
      <c r="N4231" t="n">
        <v>96.81</v>
      </c>
      <c r="O4231" t="n">
        <v>48.01864801864802</v>
      </c>
    </row>
    <row r="4232" hidden="1">
      <c r="A4232" s="11" t="n">
        <v>46135</v>
      </c>
      <c r="B4232" t="inlineStr">
        <is>
          <t>Leandro de Souza Silva</t>
        </is>
      </c>
      <c r="C4232" t="inlineStr">
        <is>
          <t>JR</t>
        </is>
      </c>
      <c r="D4232" t="n">
        <v>20</v>
      </c>
      <c r="E4232" t="n">
        <v>18</v>
      </c>
      <c r="F4232" t="n">
        <v>17.09</v>
      </c>
      <c r="G4232" t="n">
        <v>0</v>
      </c>
      <c r="H4232" t="n">
        <v>0</v>
      </c>
      <c r="I4232" s="3">
        <f>E4232+G4232+H4232</f>
        <v/>
      </c>
      <c r="J4232" s="3">
        <f>ROUND(MIN(IF(C4232="Técnico III",35,IF(C4232="Técnico II",28,IF(C4232="Técnico I",23,IF(C4232="JR",20,IF(C4232="Estágio",10,0))))),IF(C4232="Técnico III",SUMIFS($D:$D,$A:$A,$A4232,$B:$B,"&lt;&gt;Patrícia Karla de Sousa Araújo",$B:$B,"&lt;&gt;Lorena Dias de Araujo",$B:$B,"&lt;&gt;Lucas Luiz Romero")*(35/1083),IF(C4232="Técnico II",SUMIFS($D:$D,$A:$A,$A4232,$B:$B,"&lt;&gt;Patrícia Karla de Sousa Araújo",$B:$B,"&lt;&gt;Lorena Dias de Araujo",$B:$B,"&lt;&gt;Lucas Luiz Romero")*(28/1083),IF(C4232="Técnico I",SUMIFS($D:$D,$A:$A,$A4232,$B:$B,"&lt;&gt;Patrícia Karla de Sousa Araújo",$B:$B,"&lt;&gt;Lorena Dias de Araujo",$B:$B,"&lt;&gt;Lucas Luiz Romero")*(23/1083),IF(C4232="JR",SUMIFS($D:$D,$A:$A,$A4232,$B:$B,"&lt;&gt;Patrícia Karla de Sousa Araújo",$B:$B,"&lt;&gt;Lorena Dias de Araujo",$B:$B,"&lt;&gt;Lucas Luiz Romero")*(20/1083),IF(C4232="Estágio",SUMIFS($D:$D,$A:$A,$A4232,$B:$B,"&lt;&gt;Patrícia Karla de Sousa Araújo",$B:$B,"&lt;&gt;Lorena Dias de Araujo",$B:$B,"&lt;&gt;Lucas Luiz Romero")*(10/1083),0)))))),0)</f>
        <v/>
      </c>
      <c r="K4232" s="3">
        <f>I4232-J4232</f>
        <v/>
      </c>
      <c r="L4232" s="3">
        <f>IF(K4232&lt;-5,"CRÍTICO",IF(K4232&lt;0,"ATENÇÃO",IF(K4232&lt;=5,"OPORTUNO","MUITO BOM")))</f>
        <v/>
      </c>
      <c r="N4232" t="n">
        <v>98.15000000000001</v>
      </c>
      <c r="O4232" t="n">
        <v>27.1551724137931</v>
      </c>
    </row>
    <row r="4233" hidden="1">
      <c r="A4233" s="11" t="n">
        <v>46135</v>
      </c>
      <c r="B4233" t="inlineStr">
        <is>
          <t>Leandro Oliveira de Sousa</t>
        </is>
      </c>
      <c r="C4233" t="inlineStr">
        <is>
          <t>Técnico III</t>
        </is>
      </c>
      <c r="D4233" t="n">
        <v>24</v>
      </c>
      <c r="E4233" t="n">
        <v>22</v>
      </c>
      <c r="F4233" t="n">
        <v>17.04</v>
      </c>
      <c r="G4233" t="n">
        <v>0</v>
      </c>
      <c r="H4233" t="n">
        <v>0</v>
      </c>
      <c r="I4233" s="3">
        <f>E4233+G4233+H4233</f>
        <v/>
      </c>
      <c r="J4233" s="3">
        <f>ROUND(MIN(IF(C4233="Técnico III",35,IF(C4233="Técnico II",28,IF(C4233="Técnico I",23,IF(C4233="JR",20,IF(C4233="Estágio",10,0))))),IF(C4233="Técnico III",SUMIFS($D:$D,$A:$A,$A4233,$B:$B,"&lt;&gt;Patrícia Karla de Sousa Araújo",$B:$B,"&lt;&gt;Lorena Dias de Araujo",$B:$B,"&lt;&gt;Lucas Luiz Romero")*(35/1083),IF(C4233="Técnico II",SUMIFS($D:$D,$A:$A,$A4233,$B:$B,"&lt;&gt;Patrícia Karla de Sousa Araújo",$B:$B,"&lt;&gt;Lorena Dias de Araujo",$B:$B,"&lt;&gt;Lucas Luiz Romero")*(28/1083),IF(C4233="Técnico I",SUMIFS($D:$D,$A:$A,$A4233,$B:$B,"&lt;&gt;Patrícia Karla de Sousa Araújo",$B:$B,"&lt;&gt;Lorena Dias de Araujo",$B:$B,"&lt;&gt;Lucas Luiz Romero")*(23/1083),IF(C4233="JR",SUMIFS($D:$D,$A:$A,$A4233,$B:$B,"&lt;&gt;Patrícia Karla de Sousa Araújo",$B:$B,"&lt;&gt;Lorena Dias de Araujo",$B:$B,"&lt;&gt;Lucas Luiz Romero")*(20/1083),IF(C4233="Estágio",SUMIFS($D:$D,$A:$A,$A4233,$B:$B,"&lt;&gt;Patrícia Karla de Sousa Araújo",$B:$B,"&lt;&gt;Lorena Dias de Araujo",$B:$B,"&lt;&gt;Lucas Luiz Romero")*(10/1083),0)))))),0)</f>
        <v/>
      </c>
      <c r="K4233" s="3">
        <f>I4233-J4233</f>
        <v/>
      </c>
      <c r="L4233" s="3">
        <f>IF(K4233&lt;-5,"CRÍTICO",IF(K4233&lt;0,"ATENÇÃO",IF(K4233&lt;=5,"OPORTUNO","MUITO BOM")))</f>
        <v/>
      </c>
      <c r="N4233" t="n">
        <v>99.15000000000001</v>
      </c>
      <c r="O4233" t="n">
        <v>27.37068965517241</v>
      </c>
    </row>
    <row r="4234" hidden="1">
      <c r="A4234" s="11" t="n">
        <v>46135</v>
      </c>
      <c r="B4234" t="inlineStr">
        <is>
          <t>Lizandra Gomes Duarte</t>
        </is>
      </c>
      <c r="C4234" t="inlineStr">
        <is>
          <t>Técnico II</t>
        </is>
      </c>
      <c r="D4234" t="n">
        <v>23</v>
      </c>
      <c r="E4234" t="n">
        <v>21</v>
      </c>
      <c r="F4234" t="n">
        <v>20.36</v>
      </c>
      <c r="G4234" t="n">
        <v>0</v>
      </c>
      <c r="H4234" t="n">
        <v>0</v>
      </c>
      <c r="I4234" s="3">
        <f>E4234+G4234+H4234</f>
        <v/>
      </c>
      <c r="J4234" s="3">
        <f>ROUND(MIN(IF(C4234="Técnico III",35,IF(C4234="Técnico II",28,IF(C4234="Técnico I",23,IF(C4234="JR",20,IF(C4234="Estágio",10,0))))),IF(C4234="Técnico III",SUMIFS($D:$D,$A:$A,$A4234,$B:$B,"&lt;&gt;Patrícia Karla de Sousa Araújo",$B:$B,"&lt;&gt;Lorena Dias de Araujo",$B:$B,"&lt;&gt;Lucas Luiz Romero")*(35/1083),IF(C4234="Técnico II",SUMIFS($D:$D,$A:$A,$A4234,$B:$B,"&lt;&gt;Patrícia Karla de Sousa Araújo",$B:$B,"&lt;&gt;Lorena Dias de Araujo",$B:$B,"&lt;&gt;Lucas Luiz Romero")*(28/1083),IF(C4234="Técnico I",SUMIFS($D:$D,$A:$A,$A4234,$B:$B,"&lt;&gt;Patrícia Karla de Sousa Araújo",$B:$B,"&lt;&gt;Lorena Dias de Araujo",$B:$B,"&lt;&gt;Lucas Luiz Romero")*(23/1083),IF(C4234="JR",SUMIFS($D:$D,$A:$A,$A4234,$B:$B,"&lt;&gt;Patrícia Karla de Sousa Araújo",$B:$B,"&lt;&gt;Lorena Dias de Araujo",$B:$B,"&lt;&gt;Lucas Luiz Romero")*(20/1083),IF(C4234="Estágio",SUMIFS($D:$D,$A:$A,$A4234,$B:$B,"&lt;&gt;Patrícia Karla de Sousa Araújo",$B:$B,"&lt;&gt;Lorena Dias de Araujo",$B:$B,"&lt;&gt;Lucas Luiz Romero")*(10/1083),0)))))),0)</f>
        <v/>
      </c>
      <c r="K4234" s="3">
        <f>I4234-J4234</f>
        <v/>
      </c>
      <c r="L4234" s="3">
        <f>IF(K4234&lt;-5,"CRÍTICO",IF(K4234&lt;0,"ATENÇÃO",IF(K4234&lt;=5,"OPORTUNO","MUITO BOM")))</f>
        <v/>
      </c>
      <c r="N4234" t="n">
        <v>99.17</v>
      </c>
      <c r="O4234" t="n">
        <v>29.75206611570248</v>
      </c>
    </row>
    <row r="4235" hidden="1">
      <c r="A4235" s="11" t="n">
        <v>46135</v>
      </c>
      <c r="B4235" t="inlineStr">
        <is>
          <t>Lorena Dias de Araujo</t>
        </is>
      </c>
      <c r="C4235" t="inlineStr">
        <is>
          <t>Técnico II</t>
        </is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s="3" t="n">
        <v>0</v>
      </c>
      <c r="J4235" s="3" t="n">
        <v>0</v>
      </c>
      <c r="K4235" s="3" t="n">
        <v>0</v>
      </c>
      <c r="L4235" s="3">
        <f>IF(K4235&lt;-5,"CRÍTICO",IF(K4235&lt;0,"ATENÇÃO",IF(K4235&lt;=5,"OPORTUNO","MUITO BOM")))</f>
        <v/>
      </c>
      <c r="N4235" t="n">
        <v>98.73</v>
      </c>
      <c r="O4235" t="n">
        <v>28.96174863387978</v>
      </c>
    </row>
    <row r="4236" hidden="1">
      <c r="A4236" s="11" t="n">
        <v>46135</v>
      </c>
      <c r="B4236" t="inlineStr">
        <is>
          <t>Lucas Luiz Romero</t>
        </is>
      </c>
      <c r="C4236" t="inlineStr">
        <is>
          <t>Técnico III</t>
        </is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s="3" t="n">
        <v>0</v>
      </c>
      <c r="J4236" s="3" t="n">
        <v>0</v>
      </c>
      <c r="K4236" s="3" t="n">
        <v>0</v>
      </c>
      <c r="L4236" s="3">
        <f>IF(K4236&lt;-5,"CRÍTICO",IF(K4236&lt;0,"ATENÇÃO",IF(K4236&lt;=5,"OPORTUNO","MUITO BOM")))</f>
        <v/>
      </c>
      <c r="N4236" t="n">
        <v>88.68000000000001</v>
      </c>
      <c r="O4236" t="n">
        <v>22.03389830508474</v>
      </c>
    </row>
    <row r="4237" hidden="1">
      <c r="A4237" s="11" t="n">
        <v>46135</v>
      </c>
      <c r="B4237" t="inlineStr">
        <is>
          <t>Luiz Fernando de Carvalho Junior</t>
        </is>
      </c>
      <c r="C4237" t="inlineStr">
        <is>
          <t>Técnico I</t>
        </is>
      </c>
      <c r="D4237" t="n">
        <v>21</v>
      </c>
      <c r="E4237" t="n">
        <v>20</v>
      </c>
      <c r="F4237" t="n">
        <v>20.13</v>
      </c>
      <c r="G4237" t="n">
        <v>0</v>
      </c>
      <c r="H4237" t="n">
        <v>0</v>
      </c>
      <c r="I4237" s="3">
        <f>E4237+G4237+H4237</f>
        <v/>
      </c>
      <c r="J4237" s="3">
        <f>ROUND(MIN(IF(C4237="Técnico III",35,IF(C4237="Técnico II",28,IF(C4237="Técnico I",23,IF(C4237="JR",20,IF(C4237="Estágio",10,0))))),IF(C4237="Técnico III",SUMIFS($D:$D,$A:$A,$A4237,$B:$B,"&lt;&gt;Patrícia Karla de Sousa Araújo",$B:$B,"&lt;&gt;Lorena Dias de Araujo",$B:$B,"&lt;&gt;Lucas Luiz Romero")*(35/1083),IF(C4237="Técnico II",SUMIFS($D:$D,$A:$A,$A4237,$B:$B,"&lt;&gt;Patrícia Karla de Sousa Araújo",$B:$B,"&lt;&gt;Lorena Dias de Araujo",$B:$B,"&lt;&gt;Lucas Luiz Romero")*(28/1083),IF(C4237="Técnico I",SUMIFS($D:$D,$A:$A,$A4237,$B:$B,"&lt;&gt;Patrícia Karla de Sousa Araújo",$B:$B,"&lt;&gt;Lorena Dias de Araujo",$B:$B,"&lt;&gt;Lucas Luiz Romero")*(23/1083),IF(C4237="JR",SUMIFS($D:$D,$A:$A,$A4237,$B:$B,"&lt;&gt;Patrícia Karla de Sousa Araújo",$B:$B,"&lt;&gt;Lorena Dias de Araujo",$B:$B,"&lt;&gt;Lucas Luiz Romero")*(20/1083),IF(C4237="Estágio",SUMIFS($D:$D,$A:$A,$A4237,$B:$B,"&lt;&gt;Patrícia Karla de Sousa Araújo",$B:$B,"&lt;&gt;Lorena Dias de Araujo",$B:$B,"&lt;&gt;Lucas Luiz Romero")*(10/1083),0)))))),0)</f>
        <v/>
      </c>
      <c r="K4237" s="3">
        <f>I4237-J4237</f>
        <v/>
      </c>
      <c r="L4237" s="3">
        <f>IF(K4237&lt;-5,"CRÍTICO",IF(K4237&lt;0,"ATENÇÃO",IF(K4237&lt;=5,"OPORTUNO","MUITO BOM")))</f>
        <v/>
      </c>
      <c r="N4237" t="n">
        <v>97.37</v>
      </c>
      <c r="O4237" t="n">
        <v>25.76530612244898</v>
      </c>
    </row>
    <row r="4238" hidden="1">
      <c r="A4238" s="11" t="n">
        <v>46135</v>
      </c>
      <c r="B4238" t="inlineStr">
        <is>
          <t>Maria Eduarda Sousa Costa</t>
        </is>
      </c>
      <c r="C4238" t="inlineStr">
        <is>
          <t>Estágio</t>
        </is>
      </c>
      <c r="D4238" t="n">
        <v>35</v>
      </c>
      <c r="E4238" t="n">
        <v>16</v>
      </c>
      <c r="F4238" t="n">
        <v>3.4</v>
      </c>
      <c r="G4238" t="n">
        <v>0</v>
      </c>
      <c r="H4238" t="n">
        <v>0</v>
      </c>
      <c r="I4238" s="3">
        <f>E4238+G4238+H4238</f>
        <v/>
      </c>
      <c r="J4238" s="3">
        <f>ROUND(MIN(IF(C4238="Técnico III",35,IF(C4238="Técnico II",28,IF(C4238="Técnico I",23,IF(C4238="JR",20,IF(C4238="Estágio",10,0))))),IF(C4238="Técnico III",SUMIFS($D:$D,$A:$A,$A4238,$B:$B,"&lt;&gt;Patrícia Karla de Sousa Araújo",$B:$B,"&lt;&gt;Lorena Dias de Araujo",$B:$B,"&lt;&gt;Lucas Luiz Romero")*(35/1083),IF(C4238="Técnico II",SUMIFS($D:$D,$A:$A,$A4238,$B:$B,"&lt;&gt;Patrícia Karla de Sousa Araújo",$B:$B,"&lt;&gt;Lorena Dias de Araujo",$B:$B,"&lt;&gt;Lucas Luiz Romero")*(28/1083),IF(C4238="Técnico I",SUMIFS($D:$D,$A:$A,$A4238,$B:$B,"&lt;&gt;Patrícia Karla de Sousa Araújo",$B:$B,"&lt;&gt;Lorena Dias de Araujo",$B:$B,"&lt;&gt;Lucas Luiz Romero")*(23/1083),IF(C4238="JR",SUMIFS($D:$D,$A:$A,$A4238,$B:$B,"&lt;&gt;Patrícia Karla de Sousa Araújo",$B:$B,"&lt;&gt;Lorena Dias de Araujo",$B:$B,"&lt;&gt;Lucas Luiz Romero")*(20/1083),IF(C4238="Estágio",SUMIFS($D:$D,$A:$A,$A4238,$B:$B,"&lt;&gt;Patrícia Karla de Sousa Araújo",$B:$B,"&lt;&gt;Lorena Dias de Araujo",$B:$B,"&lt;&gt;Lucas Luiz Romero")*(10/1083),0)))))),0)</f>
        <v/>
      </c>
      <c r="K4238" s="3">
        <f>I4238-J4238</f>
        <v/>
      </c>
      <c r="L4238" s="3">
        <f>IF(K4238&lt;-5,"CRÍTICO",IF(K4238&lt;0,"ATENÇÃO",IF(K4238&lt;=5,"OPORTUNO","MUITO BOM")))</f>
        <v/>
      </c>
      <c r="N4238" t="n">
        <v>100</v>
      </c>
      <c r="O4238" t="n">
        <v>25</v>
      </c>
    </row>
    <row r="4239" hidden="1">
      <c r="A4239" s="11" t="n">
        <v>46135</v>
      </c>
      <c r="B4239" t="inlineStr">
        <is>
          <t>Matheus Farias De Souza</t>
        </is>
      </c>
      <c r="C4239" t="inlineStr">
        <is>
          <t>Técnico III</t>
        </is>
      </c>
      <c r="D4239" t="n">
        <v>19</v>
      </c>
      <c r="E4239" t="n">
        <v>17</v>
      </c>
      <c r="F4239" t="n">
        <v>12.26</v>
      </c>
      <c r="G4239" t="n">
        <v>0</v>
      </c>
      <c r="H4239" t="n">
        <v>0</v>
      </c>
      <c r="I4239" s="3">
        <f>E4239+G4239+H4239</f>
        <v/>
      </c>
      <c r="J4239" s="3">
        <f>ROUND(MIN(IF(C4239="Técnico III",35,IF(C4239="Técnico II",28,IF(C4239="Técnico I",23,IF(C4239="JR",20,IF(C4239="Estágio",10,0))))),IF(C4239="Técnico III",SUMIFS($D:$D,$A:$A,$A4239,$B:$B,"&lt;&gt;Patrícia Karla de Sousa Araújo",$B:$B,"&lt;&gt;Lorena Dias de Araujo",$B:$B,"&lt;&gt;Lucas Luiz Romero")*(35/1083),IF(C4239="Técnico II",SUMIFS($D:$D,$A:$A,$A4239,$B:$B,"&lt;&gt;Patrícia Karla de Sousa Araújo",$B:$B,"&lt;&gt;Lorena Dias de Araujo",$B:$B,"&lt;&gt;Lucas Luiz Romero")*(28/1083),IF(C4239="Técnico I",SUMIFS($D:$D,$A:$A,$A4239,$B:$B,"&lt;&gt;Patrícia Karla de Sousa Araújo",$B:$B,"&lt;&gt;Lorena Dias de Araujo",$B:$B,"&lt;&gt;Lucas Luiz Romero")*(23/1083),IF(C4239="JR",SUMIFS($D:$D,$A:$A,$A4239,$B:$B,"&lt;&gt;Patrícia Karla de Sousa Araújo",$B:$B,"&lt;&gt;Lorena Dias de Araujo",$B:$B,"&lt;&gt;Lucas Luiz Romero")*(20/1083),IF(C4239="Estágio",SUMIFS($D:$D,$A:$A,$A4239,$B:$B,"&lt;&gt;Patrícia Karla de Sousa Araújo",$B:$B,"&lt;&gt;Lorena Dias de Araujo",$B:$B,"&lt;&gt;Lucas Luiz Romero")*(10/1083),0)))))),0)</f>
        <v/>
      </c>
      <c r="K4239" s="3">
        <f>I4239-J4239</f>
        <v/>
      </c>
      <c r="L4239" s="3">
        <f>IF(K4239&lt;-5,"CRÍTICO",IF(K4239&lt;0,"ATENÇÃO",IF(K4239&lt;=5,"OPORTUNO","MUITO BOM")))</f>
        <v/>
      </c>
      <c r="N4239" t="n">
        <v>100</v>
      </c>
      <c r="O4239" t="n">
        <v>23.9870340356564</v>
      </c>
    </row>
    <row r="4240" hidden="1">
      <c r="A4240" s="11" t="n">
        <v>46135</v>
      </c>
      <c r="B4240" t="inlineStr">
        <is>
          <t>Maysa Victoria Dias Moura</t>
        </is>
      </c>
      <c r="C4240" t="inlineStr">
        <is>
          <t>Técnico III</t>
        </is>
      </c>
      <c r="D4240" t="n">
        <v>23</v>
      </c>
      <c r="E4240" t="n">
        <v>23</v>
      </c>
      <c r="F4240" t="n">
        <v>15.14</v>
      </c>
      <c r="G4240" t="n">
        <v>0</v>
      </c>
      <c r="H4240" t="n">
        <v>0</v>
      </c>
      <c r="I4240" s="3">
        <f>E4240+G4240+H4240</f>
        <v/>
      </c>
      <c r="J4240" s="3">
        <f>ROUND(MIN(IF(C4240="Técnico III",35,IF(C4240="Técnico II",28,IF(C4240="Técnico I",23,IF(C4240="JR",20,IF(C4240="Estágio",10,0))))),IF(C4240="Técnico III",SUMIFS($D:$D,$A:$A,$A4240,$B:$B,"&lt;&gt;Patrícia Karla de Sousa Araújo",$B:$B,"&lt;&gt;Lorena Dias de Araujo",$B:$B,"&lt;&gt;Lucas Luiz Romero")*(35/1083),IF(C4240="Técnico II",SUMIFS($D:$D,$A:$A,$A4240,$B:$B,"&lt;&gt;Patrícia Karla de Sousa Araújo",$B:$B,"&lt;&gt;Lorena Dias de Araujo",$B:$B,"&lt;&gt;Lucas Luiz Romero")*(28/1083),IF(C4240="Técnico I",SUMIFS($D:$D,$A:$A,$A4240,$B:$B,"&lt;&gt;Patrícia Karla de Sousa Araújo",$B:$B,"&lt;&gt;Lorena Dias de Araujo",$B:$B,"&lt;&gt;Lucas Luiz Romero")*(23/1083),IF(C4240="JR",SUMIFS($D:$D,$A:$A,$A4240,$B:$B,"&lt;&gt;Patrícia Karla de Sousa Araújo",$B:$B,"&lt;&gt;Lorena Dias de Araujo",$B:$B,"&lt;&gt;Lucas Luiz Romero")*(20/1083),IF(C4240="Estágio",SUMIFS($D:$D,$A:$A,$A4240,$B:$B,"&lt;&gt;Patrícia Karla de Sousa Araújo",$B:$B,"&lt;&gt;Lorena Dias de Araujo",$B:$B,"&lt;&gt;Lucas Luiz Romero")*(10/1083),0)))))),0)</f>
        <v/>
      </c>
      <c r="K4240" s="3">
        <f>I4240-J4240</f>
        <v/>
      </c>
      <c r="L4240" s="3">
        <f>IF(K4240&lt;-5,"CRÍTICO",IF(K4240&lt;0,"ATENÇÃO",IF(K4240&lt;=5,"OPORTUNO","MUITO BOM")))</f>
        <v/>
      </c>
      <c r="N4240" t="n">
        <v>95.48999999999999</v>
      </c>
      <c r="O4240" t="n">
        <v>28.16901408450704</v>
      </c>
    </row>
    <row r="4241" hidden="1">
      <c r="A4241" s="11" t="n">
        <v>46135</v>
      </c>
      <c r="B4241" t="inlineStr">
        <is>
          <t>Michelle G Santos</t>
        </is>
      </c>
      <c r="C4241" t="inlineStr">
        <is>
          <t>Estágio</t>
        </is>
      </c>
      <c r="D4241" t="n">
        <v>12</v>
      </c>
      <c r="E4241" t="n">
        <v>12</v>
      </c>
      <c r="F4241" t="n">
        <v>23.38</v>
      </c>
      <c r="G4241" t="n">
        <v>0</v>
      </c>
      <c r="H4241" t="n">
        <v>0</v>
      </c>
      <c r="I4241" s="3">
        <f>E4241+G4241+H4241</f>
        <v/>
      </c>
      <c r="J4241" s="3">
        <f>ROUND(MIN(IF(C4241="Técnico III",35,IF(C4241="Técnico II",28,IF(C4241="Técnico I",23,IF(C4241="JR",20,IF(C4241="Estágio",10,0))))),IF(C4241="Técnico III",SUMIFS($D:$D,$A:$A,$A4241,$B:$B,"&lt;&gt;Patrícia Karla de Sousa Araújo",$B:$B,"&lt;&gt;Lorena Dias de Araujo",$B:$B,"&lt;&gt;Lucas Luiz Romero")*(35/1083),IF(C4241="Técnico II",SUMIFS($D:$D,$A:$A,$A4241,$B:$B,"&lt;&gt;Patrícia Karla de Sousa Araújo",$B:$B,"&lt;&gt;Lorena Dias de Araujo",$B:$B,"&lt;&gt;Lucas Luiz Romero")*(28/1083),IF(C4241="Técnico I",SUMIFS($D:$D,$A:$A,$A4241,$B:$B,"&lt;&gt;Patrícia Karla de Sousa Araújo",$B:$B,"&lt;&gt;Lorena Dias de Araujo",$B:$B,"&lt;&gt;Lucas Luiz Romero")*(23/1083),IF(C4241="JR",SUMIFS($D:$D,$A:$A,$A4241,$B:$B,"&lt;&gt;Patrícia Karla de Sousa Araújo",$B:$B,"&lt;&gt;Lorena Dias de Araujo",$B:$B,"&lt;&gt;Lucas Luiz Romero")*(20/1083),IF(C4241="Estágio",SUMIFS($D:$D,$A:$A,$A4241,$B:$B,"&lt;&gt;Patrícia Karla de Sousa Araújo",$B:$B,"&lt;&gt;Lorena Dias de Araujo",$B:$B,"&lt;&gt;Lucas Luiz Romero")*(10/1083),0)))))),0)</f>
        <v/>
      </c>
      <c r="K4241" s="3">
        <f>I4241-J4241</f>
        <v/>
      </c>
      <c r="L4241" s="3">
        <f>IF(K4241&lt;-5,"CRÍTICO",IF(K4241&lt;0,"ATENÇÃO",IF(K4241&lt;=5,"OPORTUNO","MUITO BOM")))</f>
        <v/>
      </c>
      <c r="N4241" t="n">
        <v>100</v>
      </c>
      <c r="O4241" t="n">
        <v>23.77622377622378</v>
      </c>
    </row>
    <row r="4242" hidden="1">
      <c r="A4242" s="11" t="n">
        <v>46135</v>
      </c>
      <c r="B4242" t="inlineStr">
        <is>
          <t>Milena Sales</t>
        </is>
      </c>
      <c r="C4242" t="inlineStr">
        <is>
          <t>JR</t>
        </is>
      </c>
      <c r="D4242" t="n">
        <v>34</v>
      </c>
      <c r="E4242" t="n">
        <v>19</v>
      </c>
      <c r="F4242" t="n">
        <v>9.1</v>
      </c>
      <c r="G4242" t="n">
        <v>0</v>
      </c>
      <c r="H4242" t="n">
        <v>0</v>
      </c>
      <c r="I4242" s="3">
        <f>E4242+G4242+H4242</f>
        <v/>
      </c>
      <c r="J4242" s="3">
        <f>ROUND(MIN(IF(C4242="Técnico III",35,IF(C4242="Técnico II",28,IF(C4242="Técnico I",23,IF(C4242="JR",20,IF(C4242="Estágio",10,0))))),IF(C4242="Técnico III",SUMIFS($D:$D,$A:$A,$A4242,$B:$B,"&lt;&gt;Patrícia Karla de Sousa Araújo",$B:$B,"&lt;&gt;Lorena Dias de Araujo",$B:$B,"&lt;&gt;Lucas Luiz Romero")*(35/1083),IF(C4242="Técnico II",SUMIFS($D:$D,$A:$A,$A4242,$B:$B,"&lt;&gt;Patrícia Karla de Sousa Araújo",$B:$B,"&lt;&gt;Lorena Dias de Araujo",$B:$B,"&lt;&gt;Lucas Luiz Romero")*(28/1083),IF(C4242="Técnico I",SUMIFS($D:$D,$A:$A,$A4242,$B:$B,"&lt;&gt;Patrícia Karla de Sousa Araújo",$B:$B,"&lt;&gt;Lorena Dias de Araujo",$B:$B,"&lt;&gt;Lucas Luiz Romero")*(23/1083),IF(C4242="JR",SUMIFS($D:$D,$A:$A,$A4242,$B:$B,"&lt;&gt;Patrícia Karla de Sousa Araújo",$B:$B,"&lt;&gt;Lorena Dias de Araujo",$B:$B,"&lt;&gt;Lucas Luiz Romero")*(20/1083),IF(C4242="Estágio",SUMIFS($D:$D,$A:$A,$A4242,$B:$B,"&lt;&gt;Patrícia Karla de Sousa Araújo",$B:$B,"&lt;&gt;Lorena Dias de Araujo",$B:$B,"&lt;&gt;Lucas Luiz Romero")*(10/1083),0)))))),0)</f>
        <v/>
      </c>
      <c r="K4242" s="3">
        <f>I4242-J4242</f>
        <v/>
      </c>
      <c r="L4242" s="3">
        <f>IF(K4242&lt;-5,"CRÍTICO",IF(K4242&lt;0,"ATENÇÃO",IF(K4242&lt;=5,"OPORTUNO","MUITO BOM")))</f>
        <v/>
      </c>
      <c r="N4242" t="n">
        <v>96.15000000000001</v>
      </c>
      <c r="O4242" t="n">
        <v>24.04580152671756</v>
      </c>
    </row>
    <row r="4243" hidden="1">
      <c r="A4243" s="11" t="n">
        <v>46135</v>
      </c>
      <c r="B4243" t="inlineStr">
        <is>
          <t>Patrícia Karla de Sousa Araújo</t>
        </is>
      </c>
      <c r="C4243" t="inlineStr">
        <is>
          <t>Técnico II</t>
        </is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s="3" t="n">
        <v>0</v>
      </c>
      <c r="J4243" s="3" t="n">
        <v>0</v>
      </c>
      <c r="K4243" s="3" t="n">
        <v>0</v>
      </c>
      <c r="L4243" s="3">
        <f>IF(K4243&lt;-5,"CRÍTICO",IF(K4243&lt;0,"ATENÇÃO",IF(K4243&lt;=5,"OPORTUNO","MUITO BOM")))</f>
        <v/>
      </c>
      <c r="N4243" t="n">
        <v>99.02</v>
      </c>
      <c r="O4243" t="n">
        <v>34.7972972972973</v>
      </c>
    </row>
    <row r="4244" hidden="1">
      <c r="A4244" s="11" t="n">
        <v>46135</v>
      </c>
      <c r="B4244" t="inlineStr">
        <is>
          <t>Paulo Ricardo Santos</t>
        </is>
      </c>
      <c r="C4244" t="inlineStr">
        <is>
          <t>JR</t>
        </is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s="3" t="n">
        <v>0</v>
      </c>
      <c r="J4244" s="3" t="n">
        <v>0</v>
      </c>
      <c r="K4244" s="3" t="n">
        <v>0</v>
      </c>
      <c r="L4244" s="3">
        <f>IF(K4244&lt;-5,"CRÍTICO",IF(K4244&lt;0,"ATENÇÃO",IF(K4244&lt;=5,"OPORTUNO","MUITO BOM")))</f>
        <v/>
      </c>
      <c r="N4244" t="n">
        <v>98.84</v>
      </c>
      <c r="O4244" t="n">
        <v>31.5018315018315</v>
      </c>
    </row>
    <row r="4245" hidden="1">
      <c r="A4245" s="11" t="n">
        <v>46135</v>
      </c>
      <c r="B4245" t="inlineStr">
        <is>
          <t>Pedro Luiz Mota Sousa</t>
        </is>
      </c>
      <c r="C4245" t="inlineStr">
        <is>
          <t>JR</t>
        </is>
      </c>
      <c r="D4245" t="n">
        <v>12</v>
      </c>
      <c r="E4245" t="n">
        <v>11</v>
      </c>
      <c r="F4245" t="n">
        <v>21.54</v>
      </c>
      <c r="G4245" t="n">
        <v>0</v>
      </c>
      <c r="H4245" t="n">
        <v>0</v>
      </c>
      <c r="I4245" s="3">
        <f>E4245+G4245+H4245</f>
        <v/>
      </c>
      <c r="J4245" s="3">
        <f>ROUND(MIN(IF(C4245="Técnico III",35,IF(C4245="Técnico II",28,IF(C4245="Técnico I",23,IF(C4245="JR",20,IF(C4245="Estágio",10,0))))),IF(C4245="Técnico III",SUMIFS($D:$D,$A:$A,$A4245,$B:$B,"&lt;&gt;Patrícia Karla de Sousa Araújo",$B:$B,"&lt;&gt;Lorena Dias de Araujo",$B:$B,"&lt;&gt;Lucas Luiz Romero")*(35/1083),IF(C4245="Técnico II",SUMIFS($D:$D,$A:$A,$A4245,$B:$B,"&lt;&gt;Patrícia Karla de Sousa Araújo",$B:$B,"&lt;&gt;Lorena Dias de Araujo",$B:$B,"&lt;&gt;Lucas Luiz Romero")*(28/1083),IF(C4245="Técnico I",SUMIFS($D:$D,$A:$A,$A4245,$B:$B,"&lt;&gt;Patrícia Karla de Sousa Araújo",$B:$B,"&lt;&gt;Lorena Dias de Araujo",$B:$B,"&lt;&gt;Lucas Luiz Romero")*(23/1083),IF(C4245="JR",SUMIFS($D:$D,$A:$A,$A4245,$B:$B,"&lt;&gt;Patrícia Karla de Sousa Araújo",$B:$B,"&lt;&gt;Lorena Dias de Araujo",$B:$B,"&lt;&gt;Lucas Luiz Romero")*(20/1083),IF(C4245="Estágio",SUMIFS($D:$D,$A:$A,$A4245,$B:$B,"&lt;&gt;Patrícia Karla de Sousa Araújo",$B:$B,"&lt;&gt;Lorena Dias de Araujo",$B:$B,"&lt;&gt;Lucas Luiz Romero")*(10/1083),0)))))),0)</f>
        <v/>
      </c>
      <c r="K4245" s="3">
        <f>I4245-J4245</f>
        <v/>
      </c>
      <c r="L4245" s="3">
        <f>IF(K4245&lt;-5,"CRÍTICO",IF(K4245&lt;0,"ATENÇÃO",IF(K4245&lt;=5,"OPORTUNO","MUITO BOM")))</f>
        <v/>
      </c>
      <c r="N4245" t="n">
        <v>100</v>
      </c>
      <c r="O4245" t="n">
        <v>34.66666666666667</v>
      </c>
    </row>
    <row r="4246" hidden="1">
      <c r="A4246" s="11" t="n">
        <v>46135</v>
      </c>
      <c r="B4246" t="inlineStr">
        <is>
          <t>Quirino Diogo Leite Torres</t>
        </is>
      </c>
      <c r="C4246" t="inlineStr">
        <is>
          <t>Estágio</t>
        </is>
      </c>
      <c r="D4246" t="n">
        <v>5</v>
      </c>
      <c r="E4246" t="n">
        <v>5</v>
      </c>
      <c r="F4246" t="n">
        <v>23.21</v>
      </c>
      <c r="G4246" t="n">
        <v>0</v>
      </c>
      <c r="H4246" t="n">
        <v>0</v>
      </c>
      <c r="I4246" s="3">
        <f>E4246+G4246+H4246</f>
        <v/>
      </c>
      <c r="J4246" s="3">
        <f>ROUND(MIN(IF(C4246="Técnico III",35,IF(C4246="Técnico II",28,IF(C4246="Técnico I",23,IF(C4246="JR",20,IF(C4246="Estágio",10,0))))),IF(C4246="Técnico III",SUMIFS($D:$D,$A:$A,$A4246,$B:$B,"&lt;&gt;Patrícia Karla de Sousa Araújo",$B:$B,"&lt;&gt;Lorena Dias de Araujo",$B:$B,"&lt;&gt;Lucas Luiz Romero")*(35/1083),IF(C4246="Técnico II",SUMIFS($D:$D,$A:$A,$A4246,$B:$B,"&lt;&gt;Patrícia Karla de Sousa Araújo",$B:$B,"&lt;&gt;Lorena Dias de Araujo",$B:$B,"&lt;&gt;Lucas Luiz Romero")*(28/1083),IF(C4246="Técnico I",SUMIFS($D:$D,$A:$A,$A4246,$B:$B,"&lt;&gt;Patrícia Karla de Sousa Araújo",$B:$B,"&lt;&gt;Lorena Dias de Araujo",$B:$B,"&lt;&gt;Lucas Luiz Romero")*(23/1083),IF(C4246="JR",SUMIFS($D:$D,$A:$A,$A4246,$B:$B,"&lt;&gt;Patrícia Karla de Sousa Araújo",$B:$B,"&lt;&gt;Lorena Dias de Araujo",$B:$B,"&lt;&gt;Lucas Luiz Romero")*(20/1083),IF(C4246="Estágio",SUMIFS($D:$D,$A:$A,$A4246,$B:$B,"&lt;&gt;Patrícia Karla de Sousa Araújo",$B:$B,"&lt;&gt;Lorena Dias de Araujo",$B:$B,"&lt;&gt;Lucas Luiz Romero")*(10/1083),0)))))),0)</f>
        <v/>
      </c>
      <c r="K4246" s="3">
        <f>I4246-J4246</f>
        <v/>
      </c>
      <c r="L4246" s="3">
        <f>IF(K4246&lt;-5,"CRÍTICO",IF(K4246&lt;0,"ATENÇÃO",IF(K4246&lt;=5,"OPORTUNO","MUITO BOM")))</f>
        <v/>
      </c>
      <c r="N4246" t="n">
        <v>94.12</v>
      </c>
      <c r="O4246" t="n">
        <v>32.8</v>
      </c>
    </row>
    <row r="4247" hidden="1">
      <c r="A4247" s="11" t="n">
        <v>46135</v>
      </c>
      <c r="B4247" t="inlineStr">
        <is>
          <t>Raane Batista Matos</t>
        </is>
      </c>
      <c r="C4247" t="inlineStr">
        <is>
          <t>Técnico I</t>
        </is>
      </c>
      <c r="D4247" t="n">
        <v>30</v>
      </c>
      <c r="E4247" t="n">
        <v>27</v>
      </c>
      <c r="F4247" t="n">
        <v>11.43</v>
      </c>
      <c r="G4247" t="n">
        <v>0</v>
      </c>
      <c r="H4247" t="n">
        <v>0</v>
      </c>
      <c r="I4247" s="3">
        <f>E4247+G4247+H4247</f>
        <v/>
      </c>
      <c r="J4247" s="3">
        <f>ROUND(MIN(IF(C4247="Técnico III",35,IF(C4247="Técnico II",28,IF(C4247="Técnico I",23,IF(C4247="JR",20,IF(C4247="Estágio",10,0))))),IF(C4247="Técnico III",SUMIFS($D:$D,$A:$A,$A4247,$B:$B,"&lt;&gt;Patrícia Karla de Sousa Araújo",$B:$B,"&lt;&gt;Lorena Dias de Araujo",$B:$B,"&lt;&gt;Lucas Luiz Romero")*(35/1083),IF(C4247="Técnico II",SUMIFS($D:$D,$A:$A,$A4247,$B:$B,"&lt;&gt;Patrícia Karla de Sousa Araújo",$B:$B,"&lt;&gt;Lorena Dias de Araujo",$B:$B,"&lt;&gt;Lucas Luiz Romero")*(28/1083),IF(C4247="Técnico I",SUMIFS($D:$D,$A:$A,$A4247,$B:$B,"&lt;&gt;Patrícia Karla de Sousa Araújo",$B:$B,"&lt;&gt;Lorena Dias de Araujo",$B:$B,"&lt;&gt;Lucas Luiz Romero")*(23/1083),IF(C4247="JR",SUMIFS($D:$D,$A:$A,$A4247,$B:$B,"&lt;&gt;Patrícia Karla de Sousa Araújo",$B:$B,"&lt;&gt;Lorena Dias de Araujo",$B:$B,"&lt;&gt;Lucas Luiz Romero")*(20/1083),IF(C4247="Estágio",SUMIFS($D:$D,$A:$A,$A4247,$B:$B,"&lt;&gt;Patrícia Karla de Sousa Araújo",$B:$B,"&lt;&gt;Lorena Dias de Araujo",$B:$B,"&lt;&gt;Lucas Luiz Romero")*(10/1083),0)))))),0)</f>
        <v/>
      </c>
      <c r="K4247" s="3">
        <f>I4247-J4247</f>
        <v/>
      </c>
      <c r="L4247" s="3">
        <f>IF(K4247&lt;-5,"CRÍTICO",IF(K4247&lt;0,"ATENÇÃO",IF(K4247&lt;=5,"OPORTUNO","MUITO BOM")))</f>
        <v/>
      </c>
      <c r="N4247" t="n">
        <v>98.31999999999999</v>
      </c>
      <c r="O4247" t="n">
        <v>26.61870503597122</v>
      </c>
    </row>
    <row r="4248" hidden="1">
      <c r="A4248" s="11" t="n">
        <v>46135</v>
      </c>
      <c r="B4248" t="inlineStr">
        <is>
          <t>Rafael Gomes de Morais</t>
        </is>
      </c>
      <c r="C4248" t="inlineStr">
        <is>
          <t>Técnico III</t>
        </is>
      </c>
      <c r="D4248" t="n">
        <v>32</v>
      </c>
      <c r="E4248" t="n">
        <v>30</v>
      </c>
      <c r="F4248" t="n">
        <v>15.17</v>
      </c>
      <c r="G4248" t="n">
        <v>0</v>
      </c>
      <c r="H4248" t="n">
        <v>0</v>
      </c>
      <c r="I4248" s="3">
        <f>E4248+G4248+H4248</f>
        <v/>
      </c>
      <c r="J4248" s="3">
        <f>ROUND(MIN(IF(C4248="Técnico III",35,IF(C4248="Técnico II",28,IF(C4248="Técnico I",23,IF(C4248="JR",20,IF(C4248="Estágio",10,0))))),IF(C4248="Técnico III",SUMIFS($D:$D,$A:$A,$A4248,$B:$B,"&lt;&gt;Patrícia Karla de Sousa Araújo",$B:$B,"&lt;&gt;Lorena Dias de Araujo",$B:$B,"&lt;&gt;Lucas Luiz Romero")*(35/1083),IF(C4248="Técnico II",SUMIFS($D:$D,$A:$A,$A4248,$B:$B,"&lt;&gt;Patrícia Karla de Sousa Araújo",$B:$B,"&lt;&gt;Lorena Dias de Araujo",$B:$B,"&lt;&gt;Lucas Luiz Romero")*(28/1083),IF(C4248="Técnico I",SUMIFS($D:$D,$A:$A,$A4248,$B:$B,"&lt;&gt;Patrícia Karla de Sousa Araújo",$B:$B,"&lt;&gt;Lorena Dias de Araujo",$B:$B,"&lt;&gt;Lucas Luiz Romero")*(23/1083),IF(C4248="JR",SUMIFS($D:$D,$A:$A,$A4248,$B:$B,"&lt;&gt;Patrícia Karla de Sousa Araújo",$B:$B,"&lt;&gt;Lorena Dias de Araujo",$B:$B,"&lt;&gt;Lucas Luiz Romero")*(20/1083),IF(C4248="Estágio",SUMIFS($D:$D,$A:$A,$A4248,$B:$B,"&lt;&gt;Patrícia Karla de Sousa Araújo",$B:$B,"&lt;&gt;Lorena Dias de Araujo",$B:$B,"&lt;&gt;Lucas Luiz Romero")*(10/1083),0)))))),0)</f>
        <v/>
      </c>
      <c r="K4248" s="3">
        <f>I4248-J4248</f>
        <v/>
      </c>
      <c r="L4248" s="3">
        <f>IF(K4248&lt;-5,"CRÍTICO",IF(K4248&lt;0,"ATENÇÃO",IF(K4248&lt;=5,"OPORTUNO","MUITO BOM")))</f>
        <v/>
      </c>
      <c r="N4248" t="n">
        <v>100</v>
      </c>
      <c r="O4248" t="n">
        <v>31.13553113553114</v>
      </c>
    </row>
    <row r="4249" hidden="1">
      <c r="A4249" s="11" t="n">
        <v>46135</v>
      </c>
      <c r="B4249" t="inlineStr">
        <is>
          <t>Sara Maria Monteiro Lopes</t>
        </is>
      </c>
      <c r="C4249" t="inlineStr">
        <is>
          <t>Técnico I</t>
        </is>
      </c>
      <c r="D4249" t="n">
        <v>21</v>
      </c>
      <c r="E4249" t="n">
        <v>17</v>
      </c>
      <c r="F4249" t="n">
        <v>13.43</v>
      </c>
      <c r="G4249" t="n">
        <v>0</v>
      </c>
      <c r="H4249" t="n">
        <v>0</v>
      </c>
      <c r="I4249" s="3">
        <f>E4249+G4249+H4249</f>
        <v/>
      </c>
      <c r="J4249" s="3">
        <f>ROUND(MIN(IF(C4249="Técnico III",35,IF(C4249="Técnico II",28,IF(C4249="Técnico I",23,IF(C4249="JR",20,IF(C4249="Estágio",10,0))))),IF(C4249="Técnico III",SUMIFS($D:$D,$A:$A,$A4249,$B:$B,"&lt;&gt;Patrícia Karla de Sousa Araújo",$B:$B,"&lt;&gt;Lorena Dias de Araujo",$B:$B,"&lt;&gt;Lucas Luiz Romero")*(35/1083),IF(C4249="Técnico II",SUMIFS($D:$D,$A:$A,$A4249,$B:$B,"&lt;&gt;Patrícia Karla de Sousa Araújo",$B:$B,"&lt;&gt;Lorena Dias de Araujo",$B:$B,"&lt;&gt;Lucas Luiz Romero")*(28/1083),IF(C4249="Técnico I",SUMIFS($D:$D,$A:$A,$A4249,$B:$B,"&lt;&gt;Patrícia Karla de Sousa Araújo",$B:$B,"&lt;&gt;Lorena Dias de Araujo",$B:$B,"&lt;&gt;Lucas Luiz Romero")*(23/1083),IF(C4249="JR",SUMIFS($D:$D,$A:$A,$A4249,$B:$B,"&lt;&gt;Patrícia Karla de Sousa Araújo",$B:$B,"&lt;&gt;Lorena Dias de Araujo",$B:$B,"&lt;&gt;Lucas Luiz Romero")*(20/1083),IF(C4249="Estágio",SUMIFS($D:$D,$A:$A,$A4249,$B:$B,"&lt;&gt;Patrícia Karla de Sousa Araújo",$B:$B,"&lt;&gt;Lorena Dias de Araujo",$B:$B,"&lt;&gt;Lucas Luiz Romero")*(10/1083),0)))))),0)</f>
        <v/>
      </c>
      <c r="K4249" s="3">
        <f>I4249-J4249</f>
        <v/>
      </c>
      <c r="L4249" s="3">
        <f>IF(K4249&lt;-5,"CRÍTICO",IF(K4249&lt;0,"ATENÇÃO",IF(K4249&lt;=5,"OPORTUNO","MUITO BOM")))</f>
        <v/>
      </c>
      <c r="N4249" t="n">
        <v>100</v>
      </c>
      <c r="O4249" t="n">
        <v>26.02739726027397</v>
      </c>
    </row>
    <row r="4250" hidden="1">
      <c r="A4250" s="11" t="n">
        <v>46135</v>
      </c>
      <c r="B4250" t="inlineStr">
        <is>
          <t>Sarah Steffanie de Lima Borges</t>
        </is>
      </c>
      <c r="C4250" t="inlineStr">
        <is>
          <t>Técnico III</t>
        </is>
      </c>
      <c r="D4250" t="n">
        <v>25</v>
      </c>
      <c r="E4250" t="n">
        <v>23</v>
      </c>
      <c r="F4250" t="n">
        <v>23.59</v>
      </c>
      <c r="G4250" t="n">
        <v>0</v>
      </c>
      <c r="H4250" t="n">
        <v>0</v>
      </c>
      <c r="I4250" s="3">
        <f>E4250+G4250+H4250</f>
        <v/>
      </c>
      <c r="J4250" s="3">
        <f>ROUND(MIN(IF(C4250="Técnico III",35,IF(C4250="Técnico II",28,IF(C4250="Técnico I",23,IF(C4250="JR",20,IF(C4250="Estágio",10,0))))),IF(C4250="Técnico III",SUMIFS($D:$D,$A:$A,$A4250,$B:$B,"&lt;&gt;Patrícia Karla de Sousa Araújo",$B:$B,"&lt;&gt;Lorena Dias de Araujo",$B:$B,"&lt;&gt;Lucas Luiz Romero")*(35/1083),IF(C4250="Técnico II",SUMIFS($D:$D,$A:$A,$A4250,$B:$B,"&lt;&gt;Patrícia Karla de Sousa Araújo",$B:$B,"&lt;&gt;Lorena Dias de Araujo",$B:$B,"&lt;&gt;Lucas Luiz Romero")*(28/1083),IF(C4250="Técnico I",SUMIFS($D:$D,$A:$A,$A4250,$B:$B,"&lt;&gt;Patrícia Karla de Sousa Araújo",$B:$B,"&lt;&gt;Lorena Dias de Araujo",$B:$B,"&lt;&gt;Lucas Luiz Romero")*(23/1083),IF(C4250="JR",SUMIFS($D:$D,$A:$A,$A4250,$B:$B,"&lt;&gt;Patrícia Karla de Sousa Araújo",$B:$B,"&lt;&gt;Lorena Dias de Araujo",$B:$B,"&lt;&gt;Lucas Luiz Romero")*(20/1083),IF(C4250="Estágio",SUMIFS($D:$D,$A:$A,$A4250,$B:$B,"&lt;&gt;Patrícia Karla de Sousa Araújo",$B:$B,"&lt;&gt;Lorena Dias de Araujo",$B:$B,"&lt;&gt;Lucas Luiz Romero")*(10/1083),0)))))),0)</f>
        <v/>
      </c>
      <c r="K4250" s="3">
        <f>I4250-J4250</f>
        <v/>
      </c>
      <c r="L4250" s="3">
        <f>IF(K4250&lt;-5,"CRÍTICO",IF(K4250&lt;0,"ATENÇÃO",IF(K4250&lt;=5,"OPORTUNO","MUITO BOM")))</f>
        <v/>
      </c>
      <c r="N4250" t="n">
        <v>99.20999999999999</v>
      </c>
      <c r="O4250" t="n">
        <v>24.93702770780856</v>
      </c>
    </row>
    <row r="4251" hidden="1">
      <c r="A4251" s="11" t="n">
        <v>46136</v>
      </c>
      <c r="B4251" t="inlineStr">
        <is>
          <t>Alisson de Freitas Silva</t>
        </is>
      </c>
      <c r="C4251" t="inlineStr">
        <is>
          <t>Técnico II</t>
        </is>
      </c>
      <c r="D4251" t="n">
        <v>39</v>
      </c>
      <c r="E4251" t="n">
        <v>28</v>
      </c>
      <c r="F4251" t="n">
        <v>10.5</v>
      </c>
      <c r="G4251" t="n">
        <v>0</v>
      </c>
      <c r="H4251" t="n">
        <v>0</v>
      </c>
      <c r="I4251" s="3">
        <f>E4251+G4251+H4251</f>
        <v/>
      </c>
      <c r="J4251" s="3">
        <f>ROUND(MIN(IF(C4251="Técnico III",35,IF(C4251="Técnico II",28,IF(C4251="Técnico I",23,IF(C4251="JR",20,IF(C4251="Estágio",10,0))))),IF(C4251="Técnico III",SUMIFS($D:$D,$A:$A,$A4251,$B:$B,"&lt;&gt;Patrícia Karla de Sousa Araújo",$B:$B,"&lt;&gt;Lorena Dias de Araujo",$B:$B,"&lt;&gt;Lucas Luiz Romero")*(35/1083),IF(C4251="Técnico II",SUMIFS($D:$D,$A:$A,$A4251,$B:$B,"&lt;&gt;Patrícia Karla de Sousa Araújo",$B:$B,"&lt;&gt;Lorena Dias de Araujo",$B:$B,"&lt;&gt;Lucas Luiz Romero")*(28/1083),IF(C4251="Técnico I",SUMIFS($D:$D,$A:$A,$A4251,$B:$B,"&lt;&gt;Patrícia Karla de Sousa Araújo",$B:$B,"&lt;&gt;Lorena Dias de Araujo",$B:$B,"&lt;&gt;Lucas Luiz Romero")*(23/1083),IF(C4251="JR",SUMIFS($D:$D,$A:$A,$A4251,$B:$B,"&lt;&gt;Patrícia Karla de Sousa Araújo",$B:$B,"&lt;&gt;Lorena Dias de Araujo",$B:$B,"&lt;&gt;Lucas Luiz Romero")*(20/1083),IF(C4251="Estágio",SUMIFS($D:$D,$A:$A,$A4251,$B:$B,"&lt;&gt;Patrícia Karla de Sousa Araújo",$B:$B,"&lt;&gt;Lorena Dias de Araujo",$B:$B,"&lt;&gt;Lucas Luiz Romero")*(10/1083),0)))))),0)</f>
        <v/>
      </c>
      <c r="K4251" s="3">
        <f>I4251-J4251</f>
        <v/>
      </c>
      <c r="L4251" s="3">
        <f>IF(K4251&lt;-5,"CRÍTICO",IF(K4251&lt;0,"ATENÇÃO",IF(K4251&lt;=5,"OPORTUNO","MUITO BOM")))</f>
        <v/>
      </c>
      <c r="N4251" t="n">
        <v>100</v>
      </c>
      <c r="O4251" t="n">
        <v>32.76450511945392</v>
      </c>
    </row>
    <row r="4252" hidden="1">
      <c r="A4252" s="11" t="n">
        <v>46136</v>
      </c>
      <c r="B4252" t="inlineStr">
        <is>
          <t>Amanda Moura Ferreira</t>
        </is>
      </c>
      <c r="C4252" t="inlineStr">
        <is>
          <t>Técnico III</t>
        </is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s="3" t="n">
        <v>0</v>
      </c>
      <c r="J4252" s="3" t="n">
        <v>0</v>
      </c>
      <c r="K4252" s="3" t="n">
        <v>0</v>
      </c>
      <c r="L4252" s="3">
        <f>IF(K4252&lt;-5,"CRÍTICO",IF(K4252&lt;0,"ATENÇÃO",IF(K4252&lt;=5,"OPORTUNO","MUITO BOM")))</f>
        <v/>
      </c>
      <c r="N4252" t="n">
        <v>98.66</v>
      </c>
      <c r="O4252" t="n">
        <v>35.15625</v>
      </c>
    </row>
    <row r="4253" hidden="1">
      <c r="A4253" s="11" t="n">
        <v>46136</v>
      </c>
      <c r="B4253" t="inlineStr">
        <is>
          <t>Ana Karollyne Souza Faria</t>
        </is>
      </c>
      <c r="C4253" t="inlineStr">
        <is>
          <t>Técnico I</t>
        </is>
      </c>
      <c r="D4253" t="n">
        <v>23</v>
      </c>
      <c r="E4253" t="n">
        <v>23</v>
      </c>
      <c r="F4253" t="n">
        <v>21.42</v>
      </c>
      <c r="G4253" t="n">
        <v>0</v>
      </c>
      <c r="H4253" t="n">
        <v>0</v>
      </c>
      <c r="I4253" s="3">
        <f>E4253+G4253+H4253</f>
        <v/>
      </c>
      <c r="J4253" s="3">
        <f>ROUND(MIN(IF(C4253="Técnico III",35,IF(C4253="Técnico II",28,IF(C4253="Técnico I",23,IF(C4253="JR",20,IF(C4253="Estágio",10,0))))),IF(C4253="Técnico III",SUMIFS($D:$D,$A:$A,$A4253,$B:$B,"&lt;&gt;Patrícia Karla de Sousa Araújo",$B:$B,"&lt;&gt;Lorena Dias de Araujo",$B:$B,"&lt;&gt;Lucas Luiz Romero")*(35/1083),IF(C4253="Técnico II",SUMIFS($D:$D,$A:$A,$A4253,$B:$B,"&lt;&gt;Patrícia Karla de Sousa Araújo",$B:$B,"&lt;&gt;Lorena Dias de Araujo",$B:$B,"&lt;&gt;Lucas Luiz Romero")*(28/1083),IF(C4253="Técnico I",SUMIFS($D:$D,$A:$A,$A4253,$B:$B,"&lt;&gt;Patrícia Karla de Sousa Araújo",$B:$B,"&lt;&gt;Lorena Dias de Araujo",$B:$B,"&lt;&gt;Lucas Luiz Romero")*(23/1083),IF(C4253="JR",SUMIFS($D:$D,$A:$A,$A4253,$B:$B,"&lt;&gt;Patrícia Karla de Sousa Araújo",$B:$B,"&lt;&gt;Lorena Dias de Araujo",$B:$B,"&lt;&gt;Lucas Luiz Romero")*(20/1083),IF(C4253="Estágio",SUMIFS($D:$D,$A:$A,$A4253,$B:$B,"&lt;&gt;Patrícia Karla de Sousa Araújo",$B:$B,"&lt;&gt;Lorena Dias de Araujo",$B:$B,"&lt;&gt;Lucas Luiz Romero")*(10/1083),0)))))),0)</f>
        <v/>
      </c>
      <c r="K4253" s="3">
        <f>I4253-J4253</f>
        <v/>
      </c>
      <c r="L4253" s="3">
        <f>IF(K4253&lt;-5,"CRÍTICO",IF(K4253&lt;0,"ATENÇÃO",IF(K4253&lt;=5,"OPORTUNO","MUITO BOM")))</f>
        <v/>
      </c>
      <c r="N4253" t="n">
        <v>99.31999999999999</v>
      </c>
      <c r="O4253" t="n">
        <v>30.45186640471513</v>
      </c>
    </row>
    <row r="4254" hidden="1">
      <c r="A4254" s="11" t="n">
        <v>46136</v>
      </c>
      <c r="B4254" t="inlineStr">
        <is>
          <t>Ana Paula Da Luz Silva Aleixo</t>
        </is>
      </c>
      <c r="C4254" t="inlineStr">
        <is>
          <t>Técnico III</t>
        </is>
      </c>
      <c r="D4254" t="n">
        <v>25</v>
      </c>
      <c r="E4254" t="n">
        <v>22</v>
      </c>
      <c r="F4254" t="n">
        <v>15.15</v>
      </c>
      <c r="G4254" t="n">
        <v>0</v>
      </c>
      <c r="H4254" t="n">
        <v>0</v>
      </c>
      <c r="I4254" s="3">
        <f>E4254+G4254+H4254</f>
        <v/>
      </c>
      <c r="J4254" s="3">
        <f>ROUND(MIN(IF(C4254="Técnico III",35,IF(C4254="Técnico II",28,IF(C4254="Técnico I",23,IF(C4254="JR",20,IF(C4254="Estágio",10,0))))),IF(C4254="Técnico III",SUMIFS($D:$D,$A:$A,$A4254,$B:$B,"&lt;&gt;Patrícia Karla de Sousa Araújo",$B:$B,"&lt;&gt;Lorena Dias de Araujo",$B:$B,"&lt;&gt;Lucas Luiz Romero")*(35/1083),IF(C4254="Técnico II",SUMIFS($D:$D,$A:$A,$A4254,$B:$B,"&lt;&gt;Patrícia Karla de Sousa Araújo",$B:$B,"&lt;&gt;Lorena Dias de Araujo",$B:$B,"&lt;&gt;Lucas Luiz Romero")*(28/1083),IF(C4254="Técnico I",SUMIFS($D:$D,$A:$A,$A4254,$B:$B,"&lt;&gt;Patrícia Karla de Sousa Araújo",$B:$B,"&lt;&gt;Lorena Dias de Araujo",$B:$B,"&lt;&gt;Lucas Luiz Romero")*(23/1083),IF(C4254="JR",SUMIFS($D:$D,$A:$A,$A4254,$B:$B,"&lt;&gt;Patrícia Karla de Sousa Araújo",$B:$B,"&lt;&gt;Lorena Dias de Araujo",$B:$B,"&lt;&gt;Lucas Luiz Romero")*(20/1083),IF(C4254="Estágio",SUMIFS($D:$D,$A:$A,$A4254,$B:$B,"&lt;&gt;Patrícia Karla de Sousa Araújo",$B:$B,"&lt;&gt;Lorena Dias de Araujo",$B:$B,"&lt;&gt;Lucas Luiz Romero")*(10/1083),0)))))),0)</f>
        <v/>
      </c>
      <c r="K4254" s="3">
        <f>I4254-J4254</f>
        <v/>
      </c>
      <c r="L4254" s="3">
        <f>IF(K4254&lt;-5,"CRÍTICO",IF(K4254&lt;0,"ATENÇÃO",IF(K4254&lt;=5,"OPORTUNO","MUITO BOM")))</f>
        <v/>
      </c>
      <c r="N4254" t="n">
        <v>100</v>
      </c>
      <c r="O4254" t="n">
        <v>27.80373831775701</v>
      </c>
    </row>
    <row r="4255" hidden="1">
      <c r="A4255" s="11" t="n">
        <v>46136</v>
      </c>
      <c r="B4255" t="inlineStr">
        <is>
          <t>Anna Luiza Rezende Tavares</t>
        </is>
      </c>
      <c r="C4255" t="inlineStr">
        <is>
          <t>Estágio</t>
        </is>
      </c>
      <c r="D4255" t="n">
        <v>32</v>
      </c>
      <c r="E4255" t="n">
        <v>31</v>
      </c>
      <c r="F4255" t="n">
        <v>13.52</v>
      </c>
      <c r="G4255" t="n">
        <v>0</v>
      </c>
      <c r="H4255" t="n">
        <v>0</v>
      </c>
      <c r="I4255" s="3">
        <f>E4255+G4255+H4255</f>
        <v/>
      </c>
      <c r="J4255" s="3">
        <f>ROUND(MIN(IF(C4255="Técnico III",35,IF(C4255="Técnico II",28,IF(C4255="Técnico I",23,IF(C4255="JR",20,IF(C4255="Estágio",10,0))))),IF(C4255="Técnico III",SUMIFS($D:$D,$A:$A,$A4255,$B:$B,"&lt;&gt;Patrícia Karla de Sousa Araújo",$B:$B,"&lt;&gt;Lorena Dias de Araujo",$B:$B,"&lt;&gt;Lucas Luiz Romero")*(35/1083),IF(C4255="Técnico II",SUMIFS($D:$D,$A:$A,$A4255,$B:$B,"&lt;&gt;Patrícia Karla de Sousa Araújo",$B:$B,"&lt;&gt;Lorena Dias de Araujo",$B:$B,"&lt;&gt;Lucas Luiz Romero")*(28/1083),IF(C4255="Técnico I",SUMIFS($D:$D,$A:$A,$A4255,$B:$B,"&lt;&gt;Patrícia Karla de Sousa Araújo",$B:$B,"&lt;&gt;Lorena Dias de Araujo",$B:$B,"&lt;&gt;Lucas Luiz Romero")*(23/1083),IF(C4255="JR",SUMIFS($D:$D,$A:$A,$A4255,$B:$B,"&lt;&gt;Patrícia Karla de Sousa Araújo",$B:$B,"&lt;&gt;Lorena Dias de Araujo",$B:$B,"&lt;&gt;Lucas Luiz Romero")*(20/1083),IF(C4255="Estágio",SUMIFS($D:$D,$A:$A,$A4255,$B:$B,"&lt;&gt;Patrícia Karla de Sousa Araújo",$B:$B,"&lt;&gt;Lorena Dias de Araujo",$B:$B,"&lt;&gt;Lucas Luiz Romero")*(10/1083),0)))))),0)</f>
        <v/>
      </c>
      <c r="K4255" s="3">
        <f>I4255-J4255</f>
        <v/>
      </c>
      <c r="L4255" s="3">
        <f>IF(K4255&lt;-5,"CRÍTICO",IF(K4255&lt;0,"ATENÇÃO",IF(K4255&lt;=5,"OPORTUNO","MUITO BOM")))</f>
        <v/>
      </c>
      <c r="N4255" t="n">
        <v>96.73999999999999</v>
      </c>
      <c r="O4255" t="n">
        <v>28.43137254901961</v>
      </c>
    </row>
    <row r="4256" hidden="1">
      <c r="A4256" s="11" t="n">
        <v>46136</v>
      </c>
      <c r="B4256" t="inlineStr">
        <is>
          <t>Brenda de Menezes Silva</t>
        </is>
      </c>
      <c r="C4256" t="inlineStr">
        <is>
          <t>Técnico II</t>
        </is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s="3" t="n">
        <v>0</v>
      </c>
      <c r="J4256" s="3" t="n">
        <v>0</v>
      </c>
      <c r="K4256" s="3" t="n">
        <v>0</v>
      </c>
      <c r="L4256" s="3">
        <f>IF(K4256&lt;-5,"CRÍTICO",IF(K4256&lt;0,"ATENÇÃO",IF(K4256&lt;=5,"OPORTUNO","MUITO BOM")))</f>
        <v/>
      </c>
      <c r="N4256" t="n">
        <v>98.81999999999999</v>
      </c>
      <c r="O4256" t="n">
        <v>30.74141048824593</v>
      </c>
    </row>
    <row r="4257" hidden="1">
      <c r="A4257" s="11" t="n">
        <v>46136</v>
      </c>
      <c r="B4257" t="inlineStr">
        <is>
          <t>Carlos Mateus Cassimiro Nunes</t>
        </is>
      </c>
      <c r="C4257" t="inlineStr">
        <is>
          <t>Técnico II</t>
        </is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s="3" t="n">
        <v>0</v>
      </c>
      <c r="J4257" s="3" t="n">
        <v>0</v>
      </c>
      <c r="K4257" s="3" t="n">
        <v>0</v>
      </c>
      <c r="L4257" s="3">
        <f>IF(K4257&lt;-5,"CRÍTICO",IF(K4257&lt;0,"ATENÇÃO",IF(K4257&lt;=5,"OPORTUNO","MUITO BOM")))</f>
        <v/>
      </c>
      <c r="N4257" t="n">
        <v>98.2</v>
      </c>
      <c r="O4257" t="n">
        <v>26.89075630252101</v>
      </c>
    </row>
    <row r="4258" hidden="1">
      <c r="A4258" s="11" t="n">
        <v>46136</v>
      </c>
      <c r="B4258" t="inlineStr">
        <is>
          <t>Claudio de Sousa Velasco Filho</t>
        </is>
      </c>
      <c r="C4258" t="inlineStr">
        <is>
          <t>Estágio</t>
        </is>
      </c>
      <c r="D4258" t="n">
        <v>10</v>
      </c>
      <c r="E4258" t="n">
        <v>10</v>
      </c>
      <c r="F4258" t="n">
        <v>15.43</v>
      </c>
      <c r="G4258" t="n">
        <v>0</v>
      </c>
      <c r="H4258" t="n">
        <v>0</v>
      </c>
      <c r="I4258" s="3">
        <f>E4258+G4258+H4258</f>
        <v/>
      </c>
      <c r="J4258" s="3">
        <f>ROUND(MIN(IF(C4258="Técnico III",35,IF(C4258="Técnico II",28,IF(C4258="Técnico I",23,IF(C4258="JR",20,IF(C4258="Estágio",10,0))))),IF(C4258="Técnico III",SUMIFS($D:$D,$A:$A,$A4258,$B:$B,"&lt;&gt;Patrícia Karla de Sousa Araújo",$B:$B,"&lt;&gt;Lorena Dias de Araujo",$B:$B,"&lt;&gt;Lucas Luiz Romero")*(35/1083),IF(C4258="Técnico II",SUMIFS($D:$D,$A:$A,$A4258,$B:$B,"&lt;&gt;Patrícia Karla de Sousa Araújo",$B:$B,"&lt;&gt;Lorena Dias de Araujo",$B:$B,"&lt;&gt;Lucas Luiz Romero")*(28/1083),IF(C4258="Técnico I",SUMIFS($D:$D,$A:$A,$A4258,$B:$B,"&lt;&gt;Patrícia Karla de Sousa Araújo",$B:$B,"&lt;&gt;Lorena Dias de Araujo",$B:$B,"&lt;&gt;Lucas Luiz Romero")*(23/1083),IF(C4258="JR",SUMIFS($D:$D,$A:$A,$A4258,$B:$B,"&lt;&gt;Patrícia Karla de Sousa Araújo",$B:$B,"&lt;&gt;Lorena Dias de Araujo",$B:$B,"&lt;&gt;Lucas Luiz Romero")*(20/1083),IF(C4258="Estágio",SUMIFS($D:$D,$A:$A,$A4258,$B:$B,"&lt;&gt;Patrícia Karla de Sousa Araújo",$B:$B,"&lt;&gt;Lorena Dias de Araujo",$B:$B,"&lt;&gt;Lucas Luiz Romero")*(10/1083),0)))))),0)</f>
        <v/>
      </c>
      <c r="K4258" s="3">
        <f>I4258-J4258</f>
        <v/>
      </c>
      <c r="L4258" s="3">
        <f>IF(K4258&lt;-5,"CRÍTICO",IF(K4258&lt;0,"ATENÇÃO",IF(K4258&lt;=5,"OPORTUNO","MUITO BOM")))</f>
        <v/>
      </c>
      <c r="N4258" t="n">
        <v>100</v>
      </c>
      <c r="O4258" t="n">
        <v>23.13432835820895</v>
      </c>
    </row>
    <row r="4259" hidden="1">
      <c r="A4259" s="11" t="n">
        <v>46136</v>
      </c>
      <c r="B4259" t="inlineStr">
        <is>
          <t>Clessiane Pereira dos Santos</t>
        </is>
      </c>
      <c r="C4259" t="inlineStr">
        <is>
          <t>Técnico I</t>
        </is>
      </c>
      <c r="D4259" t="n">
        <v>15</v>
      </c>
      <c r="E4259" t="n">
        <v>12</v>
      </c>
      <c r="F4259" t="n">
        <v>16.5</v>
      </c>
      <c r="G4259" t="n">
        <v>0</v>
      </c>
      <c r="H4259" t="n">
        <v>0</v>
      </c>
      <c r="I4259" s="3">
        <f>E4259+G4259+H4259</f>
        <v/>
      </c>
      <c r="J4259" s="3">
        <f>ROUND(MIN(IF(C4259="Técnico III",35,IF(C4259="Técnico II",28,IF(C4259="Técnico I",23,IF(C4259="JR",20,IF(C4259="Estágio",10,0))))),IF(C4259="Técnico III",SUMIFS($D:$D,$A:$A,$A4259,$B:$B,"&lt;&gt;Patrícia Karla de Sousa Araújo",$B:$B,"&lt;&gt;Lorena Dias de Araujo",$B:$B,"&lt;&gt;Lucas Luiz Romero")*(35/1083),IF(C4259="Técnico II",SUMIFS($D:$D,$A:$A,$A4259,$B:$B,"&lt;&gt;Patrícia Karla de Sousa Araújo",$B:$B,"&lt;&gt;Lorena Dias de Araujo",$B:$B,"&lt;&gt;Lucas Luiz Romero")*(28/1083),IF(C4259="Técnico I",SUMIFS($D:$D,$A:$A,$A4259,$B:$B,"&lt;&gt;Patrícia Karla de Sousa Araújo",$B:$B,"&lt;&gt;Lorena Dias de Araujo",$B:$B,"&lt;&gt;Lucas Luiz Romero")*(23/1083),IF(C4259="JR",SUMIFS($D:$D,$A:$A,$A4259,$B:$B,"&lt;&gt;Patrícia Karla de Sousa Araújo",$B:$B,"&lt;&gt;Lorena Dias de Araujo",$B:$B,"&lt;&gt;Lucas Luiz Romero")*(20/1083),IF(C4259="Estágio",SUMIFS($D:$D,$A:$A,$A4259,$B:$B,"&lt;&gt;Patrícia Karla de Sousa Araújo",$B:$B,"&lt;&gt;Lorena Dias de Araujo",$B:$B,"&lt;&gt;Lucas Luiz Romero")*(10/1083),0)))))),0)</f>
        <v/>
      </c>
      <c r="K4259" s="3">
        <f>I4259-J4259</f>
        <v/>
      </c>
      <c r="L4259" s="3">
        <f>IF(K4259&lt;-5,"CRÍTICO",IF(K4259&lt;0,"ATENÇÃO",IF(K4259&lt;=5,"OPORTUNO","MUITO BOM")))</f>
        <v/>
      </c>
      <c r="N4259" t="n">
        <v>96.3</v>
      </c>
      <c r="O4259" t="n">
        <v>31.98090692124105</v>
      </c>
    </row>
    <row r="4260" hidden="1">
      <c r="A4260" s="11" t="n">
        <v>46136</v>
      </c>
      <c r="B4260" t="inlineStr">
        <is>
          <t>Cristiane Ramos da Silva Rocha</t>
        </is>
      </c>
      <c r="C4260" t="inlineStr">
        <is>
          <t>Técnico III</t>
        </is>
      </c>
      <c r="D4260" t="n">
        <v>23</v>
      </c>
      <c r="E4260" t="n">
        <v>23</v>
      </c>
      <c r="F4260" t="n">
        <v>13.21</v>
      </c>
      <c r="G4260" t="n">
        <v>0</v>
      </c>
      <c r="H4260" t="n">
        <v>0</v>
      </c>
      <c r="I4260" s="3">
        <f>E4260+G4260+H4260</f>
        <v/>
      </c>
      <c r="J4260" s="3">
        <f>ROUND(MIN(IF(C4260="Técnico III",35,IF(C4260="Técnico II",28,IF(C4260="Técnico I",23,IF(C4260="JR",20,IF(C4260="Estágio",10,0))))),IF(C4260="Técnico III",SUMIFS($D:$D,$A:$A,$A4260,$B:$B,"&lt;&gt;Patrícia Karla de Sousa Araújo",$B:$B,"&lt;&gt;Lorena Dias de Araujo",$B:$B,"&lt;&gt;Lucas Luiz Romero")*(35/1083),IF(C4260="Técnico II",SUMIFS($D:$D,$A:$A,$A4260,$B:$B,"&lt;&gt;Patrícia Karla de Sousa Araújo",$B:$B,"&lt;&gt;Lorena Dias de Araujo",$B:$B,"&lt;&gt;Lucas Luiz Romero")*(28/1083),IF(C4260="Técnico I",SUMIFS($D:$D,$A:$A,$A4260,$B:$B,"&lt;&gt;Patrícia Karla de Sousa Araújo",$B:$B,"&lt;&gt;Lorena Dias de Araujo",$B:$B,"&lt;&gt;Lucas Luiz Romero")*(23/1083),IF(C4260="JR",SUMIFS($D:$D,$A:$A,$A4260,$B:$B,"&lt;&gt;Patrícia Karla de Sousa Araújo",$B:$B,"&lt;&gt;Lorena Dias de Araujo",$B:$B,"&lt;&gt;Lucas Luiz Romero")*(20/1083),IF(C4260="Estágio",SUMIFS($D:$D,$A:$A,$A4260,$B:$B,"&lt;&gt;Patrícia Karla de Sousa Araújo",$B:$B,"&lt;&gt;Lorena Dias de Araujo",$B:$B,"&lt;&gt;Lucas Luiz Romero")*(10/1083),0)))))),0)</f>
        <v/>
      </c>
      <c r="K4260" s="3">
        <f>I4260-J4260</f>
        <v/>
      </c>
      <c r="L4260" s="3">
        <f>IF(K4260&lt;-5,"CRÍTICO",IF(K4260&lt;0,"ATENÇÃO",IF(K4260&lt;=5,"OPORTUNO","MUITO BOM")))</f>
        <v/>
      </c>
      <c r="N4260" t="n">
        <v>93.75</v>
      </c>
      <c r="O4260" t="n">
        <v>26.62835249042146</v>
      </c>
    </row>
    <row r="4261" hidden="1">
      <c r="A4261" s="11" t="n">
        <v>46136</v>
      </c>
      <c r="B4261" t="inlineStr">
        <is>
          <t>Damyllis Lorraine de Oliveira Gonçalves</t>
        </is>
      </c>
      <c r="C4261" t="inlineStr">
        <is>
          <t>Técnico II</t>
        </is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s="3" t="n">
        <v>0</v>
      </c>
      <c r="J4261" s="3" t="n">
        <v>0</v>
      </c>
      <c r="K4261" s="3" t="n">
        <v>0</v>
      </c>
      <c r="L4261" s="3">
        <f>IF(K4261&lt;-5,"CRÍTICO",IF(K4261&lt;0,"ATENÇÃO",IF(K4261&lt;=5,"OPORTUNO","MUITO BOM")))</f>
        <v/>
      </c>
      <c r="N4261" t="n">
        <v>97.86</v>
      </c>
      <c r="O4261" t="n">
        <v>31.01851851851852</v>
      </c>
    </row>
    <row r="4262" hidden="1">
      <c r="A4262" s="11" t="n">
        <v>46136</v>
      </c>
      <c r="B4262" t="inlineStr">
        <is>
          <t>Daniel Gomes da Silva</t>
        </is>
      </c>
      <c r="C4262" t="inlineStr">
        <is>
          <t>Técnico I</t>
        </is>
      </c>
      <c r="D4262" t="n">
        <v>25</v>
      </c>
      <c r="E4262" t="n">
        <v>23</v>
      </c>
      <c r="F4262" t="n">
        <v>13.59</v>
      </c>
      <c r="G4262" t="n">
        <v>0</v>
      </c>
      <c r="H4262" t="n">
        <v>0</v>
      </c>
      <c r="I4262" s="3">
        <f>E4262+G4262+H4262</f>
        <v/>
      </c>
      <c r="J4262" s="3">
        <f>ROUND(MIN(IF(C4262="Técnico III",35,IF(C4262="Técnico II",28,IF(C4262="Técnico I",23,IF(C4262="JR",20,IF(C4262="Estágio",10,0))))),IF(C4262="Técnico III",SUMIFS($D:$D,$A:$A,$A4262,$B:$B,"&lt;&gt;Patrícia Karla de Sousa Araújo",$B:$B,"&lt;&gt;Lorena Dias de Araujo",$B:$B,"&lt;&gt;Lucas Luiz Romero")*(35/1083),IF(C4262="Técnico II",SUMIFS($D:$D,$A:$A,$A4262,$B:$B,"&lt;&gt;Patrícia Karla de Sousa Araújo",$B:$B,"&lt;&gt;Lorena Dias de Araujo",$B:$B,"&lt;&gt;Lucas Luiz Romero")*(28/1083),IF(C4262="Técnico I",SUMIFS($D:$D,$A:$A,$A4262,$B:$B,"&lt;&gt;Patrícia Karla de Sousa Araújo",$B:$B,"&lt;&gt;Lorena Dias de Araujo",$B:$B,"&lt;&gt;Lucas Luiz Romero")*(23/1083),IF(C4262="JR",SUMIFS($D:$D,$A:$A,$A4262,$B:$B,"&lt;&gt;Patrícia Karla de Sousa Araújo",$B:$B,"&lt;&gt;Lorena Dias de Araujo",$B:$B,"&lt;&gt;Lucas Luiz Romero")*(20/1083),IF(C4262="Estágio",SUMIFS($D:$D,$A:$A,$A4262,$B:$B,"&lt;&gt;Patrícia Karla de Sousa Araújo",$B:$B,"&lt;&gt;Lorena Dias de Araujo",$B:$B,"&lt;&gt;Lucas Luiz Romero")*(10/1083),0)))))),0)</f>
        <v/>
      </c>
      <c r="K4262" s="3">
        <f>I4262-J4262</f>
        <v/>
      </c>
      <c r="L4262" s="3">
        <f>IF(K4262&lt;-5,"CRÍTICO",IF(K4262&lt;0,"ATENÇÃO",IF(K4262&lt;=5,"OPORTUNO","MUITO BOM")))</f>
        <v/>
      </c>
      <c r="N4262" t="n">
        <v>100</v>
      </c>
      <c r="O4262" t="n">
        <v>36.23188405797102</v>
      </c>
    </row>
    <row r="4263" hidden="1">
      <c r="A4263" s="11" t="n">
        <v>46136</v>
      </c>
      <c r="B4263" t="inlineStr">
        <is>
          <t>Davylla Rodrigues Freitas Silva</t>
        </is>
      </c>
      <c r="C4263" t="inlineStr">
        <is>
          <t>Técnico III</t>
        </is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s="3" t="n">
        <v>0</v>
      </c>
      <c r="J4263" s="3" t="n">
        <v>0</v>
      </c>
      <c r="K4263" s="3" t="n">
        <v>0</v>
      </c>
      <c r="L4263" s="3">
        <f>IF(K4263&lt;-5,"CRÍTICO",IF(K4263&lt;0,"ATENÇÃO",IF(K4263&lt;=5,"OPORTUNO","MUITO BOM")))</f>
        <v/>
      </c>
      <c r="N4263" t="n">
        <v>100</v>
      </c>
      <c r="O4263" t="n">
        <v>38.26923076923077</v>
      </c>
    </row>
    <row r="4264" hidden="1">
      <c r="A4264" s="11" t="n">
        <v>46136</v>
      </c>
      <c r="B4264" t="inlineStr">
        <is>
          <t>Emilly Caylane Costa</t>
        </is>
      </c>
      <c r="C4264" t="inlineStr">
        <is>
          <t>Estágio</t>
        </is>
      </c>
      <c r="D4264" t="n">
        <v>9</v>
      </c>
      <c r="E4264" t="n">
        <v>8</v>
      </c>
      <c r="F4264" t="n">
        <v>23.56</v>
      </c>
      <c r="G4264" t="n">
        <v>0</v>
      </c>
      <c r="H4264" t="n">
        <v>0</v>
      </c>
      <c r="I4264" s="3">
        <f>E4264+G4264+H4264</f>
        <v/>
      </c>
      <c r="J4264" s="3">
        <f>ROUND(MIN(IF(C4264="Técnico III",35,IF(C4264="Técnico II",28,IF(C4264="Técnico I",23,IF(C4264="JR",20,IF(C4264="Estágio",10,0))))),IF(C4264="Técnico III",SUMIFS($D:$D,$A:$A,$A4264,$B:$B,"&lt;&gt;Patrícia Karla de Sousa Araújo",$B:$B,"&lt;&gt;Lorena Dias de Araujo",$B:$B,"&lt;&gt;Lucas Luiz Romero")*(35/1083),IF(C4264="Técnico II",SUMIFS($D:$D,$A:$A,$A4264,$B:$B,"&lt;&gt;Patrícia Karla de Sousa Araújo",$B:$B,"&lt;&gt;Lorena Dias de Araujo",$B:$B,"&lt;&gt;Lucas Luiz Romero")*(28/1083),IF(C4264="Técnico I",SUMIFS($D:$D,$A:$A,$A4264,$B:$B,"&lt;&gt;Patrícia Karla de Sousa Araújo",$B:$B,"&lt;&gt;Lorena Dias de Araujo",$B:$B,"&lt;&gt;Lucas Luiz Romero")*(23/1083),IF(C4264="JR",SUMIFS($D:$D,$A:$A,$A4264,$B:$B,"&lt;&gt;Patrícia Karla de Sousa Araújo",$B:$B,"&lt;&gt;Lorena Dias de Araujo",$B:$B,"&lt;&gt;Lucas Luiz Romero")*(20/1083),IF(C4264="Estágio",SUMIFS($D:$D,$A:$A,$A4264,$B:$B,"&lt;&gt;Patrícia Karla de Sousa Araújo",$B:$B,"&lt;&gt;Lorena Dias de Araujo",$B:$B,"&lt;&gt;Lucas Luiz Romero")*(10/1083),0)))))),0)</f>
        <v/>
      </c>
      <c r="K4264" s="3">
        <f>I4264-J4264</f>
        <v/>
      </c>
      <c r="L4264" s="3">
        <f>IF(K4264&lt;-5,"CRÍTICO",IF(K4264&lt;0,"ATENÇÃO",IF(K4264&lt;=5,"OPORTUNO","MUITO BOM")))</f>
        <v/>
      </c>
      <c r="N4264" t="n">
        <v>100</v>
      </c>
      <c r="O4264" t="n">
        <v>27.36842105263158</v>
      </c>
    </row>
    <row r="4265" hidden="1">
      <c r="A4265" s="11" t="n">
        <v>46136</v>
      </c>
      <c r="B4265" t="inlineStr">
        <is>
          <t>Emilly Kamilly Medeiros Miranda</t>
        </is>
      </c>
      <c r="C4265" t="inlineStr">
        <is>
          <t>Técnico II</t>
        </is>
      </c>
      <c r="D4265" t="n">
        <v>24</v>
      </c>
      <c r="E4265" t="n">
        <v>23</v>
      </c>
      <c r="F4265" t="n">
        <v>17.21</v>
      </c>
      <c r="G4265" t="n">
        <v>0</v>
      </c>
      <c r="H4265" t="n">
        <v>0</v>
      </c>
      <c r="I4265" s="3">
        <f>E4265+G4265+H4265</f>
        <v/>
      </c>
      <c r="J4265" s="3">
        <f>ROUND(MIN(IF(C4265="Técnico III",35,IF(C4265="Técnico II",28,IF(C4265="Técnico I",23,IF(C4265="JR",20,IF(C4265="Estágio",10,0))))),IF(C4265="Técnico III",SUMIFS($D:$D,$A:$A,$A4265,$B:$B,"&lt;&gt;Patrícia Karla de Sousa Araújo",$B:$B,"&lt;&gt;Lorena Dias de Araujo",$B:$B,"&lt;&gt;Lucas Luiz Romero")*(35/1083),IF(C4265="Técnico II",SUMIFS($D:$D,$A:$A,$A4265,$B:$B,"&lt;&gt;Patrícia Karla de Sousa Araújo",$B:$B,"&lt;&gt;Lorena Dias de Araujo",$B:$B,"&lt;&gt;Lucas Luiz Romero")*(28/1083),IF(C4265="Técnico I",SUMIFS($D:$D,$A:$A,$A4265,$B:$B,"&lt;&gt;Patrícia Karla de Sousa Araújo",$B:$B,"&lt;&gt;Lorena Dias de Araujo",$B:$B,"&lt;&gt;Lucas Luiz Romero")*(23/1083),IF(C4265="JR",SUMIFS($D:$D,$A:$A,$A4265,$B:$B,"&lt;&gt;Patrícia Karla de Sousa Araújo",$B:$B,"&lt;&gt;Lorena Dias de Araujo",$B:$B,"&lt;&gt;Lucas Luiz Romero")*(20/1083),IF(C4265="Estágio",SUMIFS($D:$D,$A:$A,$A4265,$B:$B,"&lt;&gt;Patrícia Karla de Sousa Araújo",$B:$B,"&lt;&gt;Lorena Dias de Araujo",$B:$B,"&lt;&gt;Lucas Luiz Romero")*(10/1083),0)))))),0)</f>
        <v/>
      </c>
      <c r="K4265" s="3">
        <f>I4265-J4265</f>
        <v/>
      </c>
      <c r="L4265" s="3">
        <f>IF(K4265&lt;-5,"CRÍTICO",IF(K4265&lt;0,"ATENÇÃO",IF(K4265&lt;=5,"OPORTUNO","MUITO BOM")))</f>
        <v/>
      </c>
      <c r="N4265" t="n">
        <v>97.83</v>
      </c>
      <c r="O4265" t="n">
        <v>28.13186813186813</v>
      </c>
    </row>
    <row r="4266" hidden="1">
      <c r="A4266" s="11" t="n">
        <v>46136</v>
      </c>
      <c r="B4266" t="inlineStr">
        <is>
          <t>Francielson de Oliveira</t>
        </is>
      </c>
      <c r="C4266" t="inlineStr">
        <is>
          <t>Técnico III</t>
        </is>
      </c>
      <c r="D4266" t="n">
        <v>24</v>
      </c>
      <c r="E4266" t="n">
        <v>23</v>
      </c>
      <c r="F4266" t="n">
        <v>15.15</v>
      </c>
      <c r="G4266" t="n">
        <v>0</v>
      </c>
      <c r="H4266" t="n">
        <v>0</v>
      </c>
      <c r="I4266" s="3">
        <f>E4266+G4266+H4266</f>
        <v/>
      </c>
      <c r="J4266" s="3">
        <f>ROUND(MIN(IF(C4266="Técnico III",35,IF(C4266="Técnico II",28,IF(C4266="Técnico I",23,IF(C4266="JR",20,IF(C4266="Estágio",10,0))))),IF(C4266="Técnico III",SUMIFS($D:$D,$A:$A,$A4266,$B:$B,"&lt;&gt;Patrícia Karla de Sousa Araújo",$B:$B,"&lt;&gt;Lorena Dias de Araujo",$B:$B,"&lt;&gt;Lucas Luiz Romero")*(35/1083),IF(C4266="Técnico II",SUMIFS($D:$D,$A:$A,$A4266,$B:$B,"&lt;&gt;Patrícia Karla de Sousa Araújo",$B:$B,"&lt;&gt;Lorena Dias de Araujo",$B:$B,"&lt;&gt;Lucas Luiz Romero")*(28/1083),IF(C4266="Técnico I",SUMIFS($D:$D,$A:$A,$A4266,$B:$B,"&lt;&gt;Patrícia Karla de Sousa Araújo",$B:$B,"&lt;&gt;Lorena Dias de Araujo",$B:$B,"&lt;&gt;Lucas Luiz Romero")*(23/1083),IF(C4266="JR",SUMIFS($D:$D,$A:$A,$A4266,$B:$B,"&lt;&gt;Patrícia Karla de Sousa Araújo",$B:$B,"&lt;&gt;Lorena Dias de Araujo",$B:$B,"&lt;&gt;Lucas Luiz Romero")*(20/1083),IF(C4266="Estágio",SUMIFS($D:$D,$A:$A,$A4266,$B:$B,"&lt;&gt;Patrícia Karla de Sousa Araújo",$B:$B,"&lt;&gt;Lorena Dias de Araujo",$B:$B,"&lt;&gt;Lucas Luiz Romero")*(10/1083),0)))))),0)</f>
        <v/>
      </c>
      <c r="K4266" s="3">
        <f>I4266-J4266</f>
        <v/>
      </c>
      <c r="L4266" s="3">
        <f>IF(K4266&lt;-5,"CRÍTICO",IF(K4266&lt;0,"ATENÇÃO",IF(K4266&lt;=5,"OPORTUNO","MUITO BOM")))</f>
        <v/>
      </c>
      <c r="N4266" t="n">
        <v>99.26000000000001</v>
      </c>
      <c r="O4266" t="n">
        <v>29.57198443579767</v>
      </c>
    </row>
    <row r="4267" hidden="1">
      <c r="A4267" s="11" t="n">
        <v>46136</v>
      </c>
      <c r="B4267" t="inlineStr">
        <is>
          <t>Francilene Ferreira de Jesus</t>
        </is>
      </c>
      <c r="C4267" t="inlineStr">
        <is>
          <t>Técnico II</t>
        </is>
      </c>
      <c r="D4267" t="n">
        <v>26</v>
      </c>
      <c r="E4267" t="n">
        <v>25</v>
      </c>
      <c r="F4267" t="n">
        <v>18.38</v>
      </c>
      <c r="G4267" t="n">
        <v>0</v>
      </c>
      <c r="H4267" t="n">
        <v>0</v>
      </c>
      <c r="I4267" s="3">
        <f>E4267+G4267+H4267</f>
        <v/>
      </c>
      <c r="J4267" s="3">
        <f>ROUND(MIN(IF(C4267="Técnico III",35,IF(C4267="Técnico II",28,IF(C4267="Técnico I",23,IF(C4267="JR",20,IF(C4267="Estágio",10,0))))),IF(C4267="Técnico III",SUMIFS($D:$D,$A:$A,$A4267,$B:$B,"&lt;&gt;Patrícia Karla de Sousa Araújo",$B:$B,"&lt;&gt;Lorena Dias de Araujo",$B:$B,"&lt;&gt;Lucas Luiz Romero")*(35/1083),IF(C4267="Técnico II",SUMIFS($D:$D,$A:$A,$A4267,$B:$B,"&lt;&gt;Patrícia Karla de Sousa Araújo",$B:$B,"&lt;&gt;Lorena Dias de Araujo",$B:$B,"&lt;&gt;Lucas Luiz Romero")*(28/1083),IF(C4267="Técnico I",SUMIFS($D:$D,$A:$A,$A4267,$B:$B,"&lt;&gt;Patrícia Karla de Sousa Araújo",$B:$B,"&lt;&gt;Lorena Dias de Araujo",$B:$B,"&lt;&gt;Lucas Luiz Romero")*(23/1083),IF(C4267="JR",SUMIFS($D:$D,$A:$A,$A4267,$B:$B,"&lt;&gt;Patrícia Karla de Sousa Araújo",$B:$B,"&lt;&gt;Lorena Dias de Araujo",$B:$B,"&lt;&gt;Lucas Luiz Romero")*(20/1083),IF(C4267="Estágio",SUMIFS($D:$D,$A:$A,$A4267,$B:$B,"&lt;&gt;Patrícia Karla de Sousa Araújo",$B:$B,"&lt;&gt;Lorena Dias de Araujo",$B:$B,"&lt;&gt;Lucas Luiz Romero")*(10/1083),0)))))),0)</f>
        <v/>
      </c>
      <c r="K4267" s="3">
        <f>I4267-J4267</f>
        <v/>
      </c>
      <c r="L4267" s="3">
        <f>IF(K4267&lt;-5,"CRÍTICO",IF(K4267&lt;0,"ATENÇÃO",IF(K4267&lt;=5,"OPORTUNO","MUITO BOM")))</f>
        <v/>
      </c>
      <c r="N4267" t="n">
        <v>99.19</v>
      </c>
      <c r="O4267" t="n">
        <v>29.46236559139785</v>
      </c>
    </row>
    <row r="4268" hidden="1">
      <c r="A4268" s="11" t="n">
        <v>46140</v>
      </c>
      <c r="B4268" t="inlineStr">
        <is>
          <t>Francilene Ferreira de Jesus</t>
        </is>
      </c>
      <c r="C4268" t="inlineStr">
        <is>
          <t>Técnico II</t>
        </is>
      </c>
      <c r="D4268" t="n">
        <v>29</v>
      </c>
      <c r="E4268" t="n">
        <v>25</v>
      </c>
      <c r="F4268" t="n">
        <v>20.23</v>
      </c>
      <c r="G4268" t="n">
        <v>0</v>
      </c>
      <c r="H4268" t="n">
        <v>0</v>
      </c>
      <c r="I4268" s="3">
        <f>E4268+G4268+H4268</f>
        <v/>
      </c>
      <c r="J4268" s="3">
        <f>ROUND(MIN(IF(C4268="Técnico III",35,IF(C4268="Técnico II",28,IF(C4268="Técnico I",23,IF(C4268="JR",20,IF(C4268="Estágio",10,0))))),IF(C4268="Técnico III",SUMIFS($D:$D,$A:$A,$A4268,$B:$B,"&lt;&gt;Patrícia Karla de Sousa Araújo",$B:$B,"&lt;&gt;Lorena Dias de Araujo",$B:$B,"&lt;&gt;Lucas Luiz Romero")*(35/1083),IF(C4268="Técnico II",SUMIFS($D:$D,$A:$A,$A4268,$B:$B,"&lt;&gt;Patrícia Karla de Sousa Araújo",$B:$B,"&lt;&gt;Lorena Dias de Araujo",$B:$B,"&lt;&gt;Lucas Luiz Romero")*(28/1083),IF(C4268="Técnico I",SUMIFS($D:$D,$A:$A,$A4268,$B:$B,"&lt;&gt;Patrícia Karla de Sousa Araújo",$B:$B,"&lt;&gt;Lorena Dias de Araujo",$B:$B,"&lt;&gt;Lucas Luiz Romero")*(23/1083),IF(C4268="JR",SUMIFS($D:$D,$A:$A,$A4268,$B:$B,"&lt;&gt;Patrícia Karla de Sousa Araújo",$B:$B,"&lt;&gt;Lorena Dias de Araujo",$B:$B,"&lt;&gt;Lucas Luiz Romero")*(20/1083),IF(C4268="Estágio",SUMIFS($D:$D,$A:$A,$A4268,$B:$B,"&lt;&gt;Patrícia Karla de Sousa Araújo",$B:$B,"&lt;&gt;Lorena Dias de Araujo",$B:$B,"&lt;&gt;Lucas Luiz Romero")*(10/1083),0)))))),0)</f>
        <v/>
      </c>
      <c r="K4268" s="3">
        <f>I4268-J4268</f>
        <v/>
      </c>
      <c r="L4268" s="3">
        <f>IF(K4268&lt;-5,"CRÍTICO",IF(K4268&lt;0,"ATENÇÃO",IF(K4268&lt;=5,"OPORTUNO","MUITO BOM")))</f>
        <v/>
      </c>
      <c r="N4268" t="n">
        <v>99.19</v>
      </c>
      <c r="O4268" t="n">
        <v>29.46236559139785</v>
      </c>
    </row>
    <row r="4269" hidden="1">
      <c r="A4269" s="11" t="n">
        <v>46136</v>
      </c>
      <c r="B4269" t="inlineStr">
        <is>
          <t>Isabella Borges de Oliveira</t>
        </is>
      </c>
      <c r="C4269" t="inlineStr">
        <is>
          <t>Técnico II</t>
        </is>
      </c>
      <c r="D4269" t="n">
        <v>22</v>
      </c>
      <c r="E4269" t="n">
        <v>19</v>
      </c>
      <c r="F4269" t="n">
        <v>21.45</v>
      </c>
      <c r="G4269" t="n">
        <v>0</v>
      </c>
      <c r="H4269" t="n">
        <v>0</v>
      </c>
      <c r="I4269" s="3">
        <f>E4269+G4269+H4269</f>
        <v/>
      </c>
      <c r="J4269" s="3">
        <f>ROUND(MIN(IF(C4269="Técnico III",35,IF(C4269="Técnico II",28,IF(C4269="Técnico I",23,IF(C4269="JR",20,IF(C4269="Estágio",10,0))))),IF(C4269="Técnico III",SUMIFS($D:$D,$A:$A,$A4269,$B:$B,"&lt;&gt;Patrícia Karla de Sousa Araújo",$B:$B,"&lt;&gt;Lorena Dias de Araujo",$B:$B,"&lt;&gt;Lucas Luiz Romero")*(35/1083),IF(C4269="Técnico II",SUMIFS($D:$D,$A:$A,$A4269,$B:$B,"&lt;&gt;Patrícia Karla de Sousa Araújo",$B:$B,"&lt;&gt;Lorena Dias de Araujo",$B:$B,"&lt;&gt;Lucas Luiz Romero")*(28/1083),IF(C4269="Técnico I",SUMIFS($D:$D,$A:$A,$A4269,$B:$B,"&lt;&gt;Patrícia Karla de Sousa Araújo",$B:$B,"&lt;&gt;Lorena Dias de Araujo",$B:$B,"&lt;&gt;Lucas Luiz Romero")*(23/1083),IF(C4269="JR",SUMIFS($D:$D,$A:$A,$A4269,$B:$B,"&lt;&gt;Patrícia Karla de Sousa Araújo",$B:$B,"&lt;&gt;Lorena Dias de Araujo",$B:$B,"&lt;&gt;Lucas Luiz Romero")*(20/1083),IF(C4269="Estágio",SUMIFS($D:$D,$A:$A,$A4269,$B:$B,"&lt;&gt;Patrícia Karla de Sousa Araújo",$B:$B,"&lt;&gt;Lorena Dias de Araujo",$B:$B,"&lt;&gt;Lucas Luiz Romero")*(10/1083),0)))))),0)</f>
        <v/>
      </c>
      <c r="K4269" s="3">
        <f>I4269-J4269</f>
        <v/>
      </c>
      <c r="L4269" s="3">
        <f>IF(K4269&lt;-5,"CRÍTICO",IF(K4269&lt;0,"ATENÇÃO",IF(K4269&lt;=5,"OPORTUNO","MUITO BOM")))</f>
        <v/>
      </c>
      <c r="N4269" t="n">
        <v>100</v>
      </c>
      <c r="O4269" t="n">
        <v>27.94117647058824</v>
      </c>
    </row>
    <row r="4270" hidden="1">
      <c r="A4270" s="11" t="n">
        <v>46136</v>
      </c>
      <c r="B4270" t="inlineStr">
        <is>
          <t>Janaina Lima dos Reis Urany</t>
        </is>
      </c>
      <c r="C4270" t="inlineStr">
        <is>
          <t>Técnico III</t>
        </is>
      </c>
      <c r="D4270" t="n">
        <v>39</v>
      </c>
      <c r="E4270" t="n">
        <v>35</v>
      </c>
      <c r="F4270" t="n">
        <v>11.57</v>
      </c>
      <c r="G4270" t="n">
        <v>0</v>
      </c>
      <c r="H4270" t="n">
        <v>0</v>
      </c>
      <c r="I4270" s="3">
        <f>E4270+G4270+H4270</f>
        <v/>
      </c>
      <c r="J4270" s="3">
        <f>ROUND(MIN(IF(C4270="Técnico III",35,IF(C4270="Técnico II",28,IF(C4270="Técnico I",23,IF(C4270="JR",20,IF(C4270="Estágio",10,0))))),IF(C4270="Técnico III",SUMIFS($D:$D,$A:$A,$A4270,$B:$B,"&lt;&gt;Patrícia Karla de Sousa Araújo",$B:$B,"&lt;&gt;Lorena Dias de Araujo",$B:$B,"&lt;&gt;Lucas Luiz Romero")*(35/1083),IF(C4270="Técnico II",SUMIFS($D:$D,$A:$A,$A4270,$B:$B,"&lt;&gt;Patrícia Karla de Sousa Araújo",$B:$B,"&lt;&gt;Lorena Dias de Araujo",$B:$B,"&lt;&gt;Lucas Luiz Romero")*(28/1083),IF(C4270="Técnico I",SUMIFS($D:$D,$A:$A,$A4270,$B:$B,"&lt;&gt;Patrícia Karla de Sousa Araújo",$B:$B,"&lt;&gt;Lorena Dias de Araujo",$B:$B,"&lt;&gt;Lucas Luiz Romero")*(23/1083),IF(C4270="JR",SUMIFS($D:$D,$A:$A,$A4270,$B:$B,"&lt;&gt;Patrícia Karla de Sousa Araújo",$B:$B,"&lt;&gt;Lorena Dias de Araujo",$B:$B,"&lt;&gt;Lucas Luiz Romero")*(20/1083),IF(C4270="Estágio",SUMIFS($D:$D,$A:$A,$A4270,$B:$B,"&lt;&gt;Patrícia Karla de Sousa Araújo",$B:$B,"&lt;&gt;Lorena Dias de Araujo",$B:$B,"&lt;&gt;Lucas Luiz Romero")*(10/1083),0)))))),0)</f>
        <v/>
      </c>
      <c r="K4270" s="3">
        <f>I4270-J4270</f>
        <v/>
      </c>
      <c r="L4270" s="3">
        <f>IF(K4270&lt;-5,"CRÍTICO",IF(K4270&lt;0,"ATENÇÃO",IF(K4270&lt;=5,"OPORTUNO","MUITO BOM")))</f>
        <v/>
      </c>
      <c r="N4270" t="n">
        <v>99.56999999999999</v>
      </c>
      <c r="O4270" t="n">
        <v>29.91329479768786</v>
      </c>
    </row>
    <row r="4271" hidden="1">
      <c r="A4271" s="11" t="n">
        <v>46136</v>
      </c>
      <c r="B4271" t="inlineStr">
        <is>
          <t>Jaqueline Evangelista da Silva Martins</t>
        </is>
      </c>
      <c r="C4271" t="inlineStr">
        <is>
          <t>Técnico III</t>
        </is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s="3" t="n">
        <v>0</v>
      </c>
      <c r="J4271" s="3" t="n">
        <v>0</v>
      </c>
      <c r="K4271" s="3" t="n">
        <v>0</v>
      </c>
      <c r="L4271" s="3">
        <f>IF(K4271&lt;-5,"CRÍTICO",IF(K4271&lt;0,"ATENÇÃO",IF(K4271&lt;=5,"OPORTUNO","MUITO BOM")))</f>
        <v/>
      </c>
      <c r="N4271" t="n">
        <v>95.65000000000001</v>
      </c>
      <c r="O4271" t="n">
        <v>31.08108108108108</v>
      </c>
    </row>
    <row r="4272" hidden="1">
      <c r="A4272" s="11" t="n">
        <v>46136</v>
      </c>
      <c r="B4272" t="inlineStr">
        <is>
          <t>Jessica Faria da Silveira</t>
        </is>
      </c>
      <c r="C4272" t="inlineStr">
        <is>
          <t>Técnico II</t>
        </is>
      </c>
      <c r="D4272" t="n">
        <v>24</v>
      </c>
      <c r="E4272" t="n">
        <v>17</v>
      </c>
      <c r="F4272" t="n">
        <v>17.29</v>
      </c>
      <c r="G4272" t="n">
        <v>0</v>
      </c>
      <c r="H4272" t="n">
        <v>0</v>
      </c>
      <c r="I4272" s="3">
        <f>E4272+G4272+H4272</f>
        <v/>
      </c>
      <c r="J4272" s="3">
        <f>ROUND(MIN(IF(C4272="Técnico III",35,IF(C4272="Técnico II",28,IF(C4272="Técnico I",23,IF(C4272="JR",20,IF(C4272="Estágio",10,0))))),IF(C4272="Técnico III",SUMIFS($D:$D,$A:$A,$A4272,$B:$B,"&lt;&gt;Patrícia Karla de Sousa Araújo",$B:$B,"&lt;&gt;Lorena Dias de Araujo",$B:$B,"&lt;&gt;Lucas Luiz Romero")*(35/1083),IF(C4272="Técnico II",SUMIFS($D:$D,$A:$A,$A4272,$B:$B,"&lt;&gt;Patrícia Karla de Sousa Araújo",$B:$B,"&lt;&gt;Lorena Dias de Araujo",$B:$B,"&lt;&gt;Lucas Luiz Romero")*(28/1083),IF(C4272="Técnico I",SUMIFS($D:$D,$A:$A,$A4272,$B:$B,"&lt;&gt;Patrícia Karla de Sousa Araújo",$B:$B,"&lt;&gt;Lorena Dias de Araujo",$B:$B,"&lt;&gt;Lucas Luiz Romero")*(23/1083),IF(C4272="JR",SUMIFS($D:$D,$A:$A,$A4272,$B:$B,"&lt;&gt;Patrícia Karla de Sousa Araújo",$B:$B,"&lt;&gt;Lorena Dias de Araujo",$B:$B,"&lt;&gt;Lucas Luiz Romero")*(20/1083),IF(C4272="Estágio",SUMIFS($D:$D,$A:$A,$A4272,$B:$B,"&lt;&gt;Patrícia Karla de Sousa Araújo",$B:$B,"&lt;&gt;Lorena Dias de Araujo",$B:$B,"&lt;&gt;Lucas Luiz Romero")*(10/1083),0)))))),0)</f>
        <v/>
      </c>
      <c r="K4272" s="3">
        <f>I4272-J4272</f>
        <v/>
      </c>
      <c r="L4272" s="3">
        <f>IF(K4272&lt;-5,"CRÍTICO",IF(K4272&lt;0,"ATENÇÃO",IF(K4272&lt;=5,"OPORTUNO","MUITO BOM")))</f>
        <v/>
      </c>
      <c r="N4272" t="n">
        <v>98.81</v>
      </c>
      <c r="O4272" t="n">
        <v>26.25698324022346</v>
      </c>
    </row>
    <row r="4273" hidden="1">
      <c r="A4273" s="11" t="n">
        <v>46136</v>
      </c>
      <c r="B4273" t="inlineStr">
        <is>
          <t>Jéssica Fé Moura</t>
        </is>
      </c>
      <c r="C4273" t="inlineStr">
        <is>
          <t>Técnico III</t>
        </is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s="3" t="n">
        <v>0</v>
      </c>
      <c r="J4273" s="3" t="n">
        <v>0</v>
      </c>
      <c r="K4273" s="3" t="n">
        <v>0</v>
      </c>
      <c r="L4273" s="3">
        <f>IF(K4273&lt;-5,"CRÍTICO",IF(K4273&lt;0,"ATENÇÃO",IF(K4273&lt;=5,"OPORTUNO","MUITO BOM")))</f>
        <v/>
      </c>
      <c r="N4273" t="n">
        <v>0</v>
      </c>
      <c r="O4273" t="n">
        <v>0</v>
      </c>
    </row>
    <row r="4274" hidden="1">
      <c r="A4274" s="11" t="n">
        <v>46136</v>
      </c>
      <c r="B4274" t="inlineStr">
        <is>
          <t>Karina Gonçalves Martins</t>
        </is>
      </c>
      <c r="C4274" t="inlineStr">
        <is>
          <t>JR</t>
        </is>
      </c>
      <c r="D4274" t="n">
        <v>15</v>
      </c>
      <c r="E4274" t="n">
        <v>15</v>
      </c>
      <c r="F4274" t="n">
        <v>17.25</v>
      </c>
      <c r="G4274" t="n">
        <v>0</v>
      </c>
      <c r="H4274" t="n">
        <v>0</v>
      </c>
      <c r="I4274" s="3">
        <f>E4274+G4274+H4274</f>
        <v/>
      </c>
      <c r="J4274" s="3">
        <f>ROUND(MIN(IF(C4274="Técnico III",35,IF(C4274="Técnico II",28,IF(C4274="Técnico I",23,IF(C4274="JR",20,IF(C4274="Estágio",10,0))))),IF(C4274="Técnico III",SUMIFS($D:$D,$A:$A,$A4274,$B:$B,"&lt;&gt;Patrícia Karla de Sousa Araújo",$B:$B,"&lt;&gt;Lorena Dias de Araujo",$B:$B,"&lt;&gt;Lucas Luiz Romero")*(35/1083),IF(C4274="Técnico II",SUMIFS($D:$D,$A:$A,$A4274,$B:$B,"&lt;&gt;Patrícia Karla de Sousa Araújo",$B:$B,"&lt;&gt;Lorena Dias de Araujo",$B:$B,"&lt;&gt;Lucas Luiz Romero")*(28/1083),IF(C4274="Técnico I",SUMIFS($D:$D,$A:$A,$A4274,$B:$B,"&lt;&gt;Patrícia Karla de Sousa Araújo",$B:$B,"&lt;&gt;Lorena Dias de Araujo",$B:$B,"&lt;&gt;Lucas Luiz Romero")*(23/1083),IF(C4274="JR",SUMIFS($D:$D,$A:$A,$A4274,$B:$B,"&lt;&gt;Patrícia Karla de Sousa Araújo",$B:$B,"&lt;&gt;Lorena Dias de Araujo",$B:$B,"&lt;&gt;Lucas Luiz Romero")*(20/1083),IF(C4274="Estágio",SUMIFS($D:$D,$A:$A,$A4274,$B:$B,"&lt;&gt;Patrícia Karla de Sousa Araújo",$B:$B,"&lt;&gt;Lorena Dias de Araujo",$B:$B,"&lt;&gt;Lucas Luiz Romero")*(10/1083),0)))))),0)</f>
        <v/>
      </c>
      <c r="K4274" s="3">
        <f>I4274-J4274</f>
        <v/>
      </c>
      <c r="L4274" s="3">
        <f>IF(K4274&lt;-5,"CRÍTICO",IF(K4274&lt;0,"ATENÇÃO",IF(K4274&lt;=5,"OPORTUNO","MUITO BOM")))</f>
        <v/>
      </c>
      <c r="N4274" t="n">
        <v>97.17</v>
      </c>
      <c r="O4274" t="n">
        <v>28.81844380403458</v>
      </c>
    </row>
    <row r="4275" hidden="1">
      <c r="A4275" s="11" t="n">
        <v>46136</v>
      </c>
      <c r="B4275" t="inlineStr">
        <is>
          <t>Kerollen Cristielly de Jesus Siqueira</t>
        </is>
      </c>
      <c r="C4275" t="inlineStr">
        <is>
          <t>Técnico III</t>
        </is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s="3" t="n">
        <v>0</v>
      </c>
      <c r="J4275" s="3" t="n">
        <v>0</v>
      </c>
      <c r="K4275" s="3" t="n">
        <v>0</v>
      </c>
      <c r="L4275" s="3">
        <f>IF(K4275&lt;-5,"CRÍTICO",IF(K4275&lt;0,"ATENÇÃO",IF(K4275&lt;=5,"OPORTUNO","MUITO BOM")))</f>
        <v/>
      </c>
      <c r="N4275" t="n">
        <v>96.81</v>
      </c>
      <c r="O4275" t="n">
        <v>48.01864801864802</v>
      </c>
    </row>
    <row r="4276" hidden="1">
      <c r="A4276" s="11" t="n">
        <v>46136</v>
      </c>
      <c r="B4276" t="inlineStr">
        <is>
          <t>Leandro de Souza Silva</t>
        </is>
      </c>
      <c r="C4276" t="inlineStr">
        <is>
          <t>JR</t>
        </is>
      </c>
      <c r="D4276" t="n">
        <v>11</v>
      </c>
      <c r="E4276" t="n">
        <v>11</v>
      </c>
      <c r="F4276" t="n">
        <v>42.04</v>
      </c>
      <c r="G4276" t="n">
        <v>0</v>
      </c>
      <c r="H4276" t="n">
        <v>0</v>
      </c>
      <c r="I4276" s="3">
        <f>E4276+G4276+H4276</f>
        <v/>
      </c>
      <c r="J4276" s="3">
        <f>ROUND(MIN(IF(C4276="Técnico III",35,IF(C4276="Técnico II",28,IF(C4276="Técnico I",23,IF(C4276="JR",20,IF(C4276="Estágio",10,0))))),IF(C4276="Técnico III",SUMIFS($D:$D,$A:$A,$A4276,$B:$B,"&lt;&gt;Patrícia Karla de Sousa Araújo",$B:$B,"&lt;&gt;Lorena Dias de Araujo",$B:$B,"&lt;&gt;Lucas Luiz Romero")*(35/1083),IF(C4276="Técnico II",SUMIFS($D:$D,$A:$A,$A4276,$B:$B,"&lt;&gt;Patrícia Karla de Sousa Araújo",$B:$B,"&lt;&gt;Lorena Dias de Araujo",$B:$B,"&lt;&gt;Lucas Luiz Romero")*(28/1083),IF(C4276="Técnico I",SUMIFS($D:$D,$A:$A,$A4276,$B:$B,"&lt;&gt;Patrícia Karla de Sousa Araújo",$B:$B,"&lt;&gt;Lorena Dias de Araujo",$B:$B,"&lt;&gt;Lucas Luiz Romero")*(23/1083),IF(C4276="JR",SUMIFS($D:$D,$A:$A,$A4276,$B:$B,"&lt;&gt;Patrícia Karla de Sousa Araújo",$B:$B,"&lt;&gt;Lorena Dias de Araujo",$B:$B,"&lt;&gt;Lucas Luiz Romero")*(20/1083),IF(C4276="Estágio",SUMIFS($D:$D,$A:$A,$A4276,$B:$B,"&lt;&gt;Patrícia Karla de Sousa Araújo",$B:$B,"&lt;&gt;Lorena Dias de Araujo",$B:$B,"&lt;&gt;Lucas Luiz Romero")*(10/1083),0)))))),0)</f>
        <v/>
      </c>
      <c r="K4276" s="3">
        <f>I4276-J4276</f>
        <v/>
      </c>
      <c r="L4276" s="3">
        <f>IF(K4276&lt;-5,"CRÍTICO",IF(K4276&lt;0,"ATENÇÃO",IF(K4276&lt;=5,"OPORTUNO","MUITO BOM")))</f>
        <v/>
      </c>
      <c r="N4276" t="n">
        <v>98.15000000000001</v>
      </c>
      <c r="O4276" t="n">
        <v>27.1551724137931</v>
      </c>
    </row>
    <row r="4277" hidden="1">
      <c r="A4277" s="11" t="n">
        <v>46136</v>
      </c>
      <c r="B4277" t="inlineStr">
        <is>
          <t>Leandro Oliveira de Sousa</t>
        </is>
      </c>
      <c r="C4277" t="inlineStr">
        <is>
          <t>Técnico III</t>
        </is>
      </c>
      <c r="D4277" t="n">
        <v>21</v>
      </c>
      <c r="E4277" t="n">
        <v>19</v>
      </c>
      <c r="F4277" t="n">
        <v>25.15</v>
      </c>
      <c r="G4277" t="n">
        <v>0</v>
      </c>
      <c r="H4277" t="n">
        <v>0</v>
      </c>
      <c r="I4277" s="3">
        <f>E4277+G4277+H4277</f>
        <v/>
      </c>
      <c r="J4277" s="3">
        <f>ROUND(MIN(IF(C4277="Técnico III",35,IF(C4277="Técnico II",28,IF(C4277="Técnico I",23,IF(C4277="JR",20,IF(C4277="Estágio",10,0))))),IF(C4277="Técnico III",SUMIFS($D:$D,$A:$A,$A4277,$B:$B,"&lt;&gt;Patrícia Karla de Sousa Araújo",$B:$B,"&lt;&gt;Lorena Dias de Araujo",$B:$B,"&lt;&gt;Lucas Luiz Romero")*(35/1083),IF(C4277="Técnico II",SUMIFS($D:$D,$A:$A,$A4277,$B:$B,"&lt;&gt;Patrícia Karla de Sousa Araújo",$B:$B,"&lt;&gt;Lorena Dias de Araujo",$B:$B,"&lt;&gt;Lucas Luiz Romero")*(28/1083),IF(C4277="Técnico I",SUMIFS($D:$D,$A:$A,$A4277,$B:$B,"&lt;&gt;Patrícia Karla de Sousa Araújo",$B:$B,"&lt;&gt;Lorena Dias de Araujo",$B:$B,"&lt;&gt;Lucas Luiz Romero")*(23/1083),IF(C4277="JR",SUMIFS($D:$D,$A:$A,$A4277,$B:$B,"&lt;&gt;Patrícia Karla de Sousa Araújo",$B:$B,"&lt;&gt;Lorena Dias de Araujo",$B:$B,"&lt;&gt;Lucas Luiz Romero")*(20/1083),IF(C4277="Estágio",SUMIFS($D:$D,$A:$A,$A4277,$B:$B,"&lt;&gt;Patrícia Karla de Sousa Araújo",$B:$B,"&lt;&gt;Lorena Dias de Araujo",$B:$B,"&lt;&gt;Lucas Luiz Romero")*(10/1083),0)))))),0)</f>
        <v/>
      </c>
      <c r="K4277" s="3">
        <f>I4277-J4277</f>
        <v/>
      </c>
      <c r="L4277" s="3">
        <f>IF(K4277&lt;-5,"CRÍTICO",IF(K4277&lt;0,"ATENÇÃO",IF(K4277&lt;=5,"OPORTUNO","MUITO BOM")))</f>
        <v/>
      </c>
      <c r="N4277" t="n">
        <v>99.15000000000001</v>
      </c>
      <c r="O4277" t="n">
        <v>27.37068965517241</v>
      </c>
    </row>
    <row r="4278" hidden="1">
      <c r="A4278" s="11" t="n">
        <v>46136</v>
      </c>
      <c r="B4278" t="inlineStr">
        <is>
          <t>Lizandra Gomes Duarte</t>
        </is>
      </c>
      <c r="C4278" t="inlineStr">
        <is>
          <t>Técnico II</t>
        </is>
      </c>
      <c r="D4278" t="n">
        <v>22</v>
      </c>
      <c r="E4278" t="n">
        <v>19</v>
      </c>
      <c r="F4278" t="n">
        <v>15.3</v>
      </c>
      <c r="G4278" t="n">
        <v>0</v>
      </c>
      <c r="H4278" t="n">
        <v>0</v>
      </c>
      <c r="I4278" s="3">
        <f>E4278+G4278+H4278</f>
        <v/>
      </c>
      <c r="J4278" s="3">
        <f>ROUND(MIN(IF(C4278="Técnico III",35,IF(C4278="Técnico II",28,IF(C4278="Técnico I",23,IF(C4278="JR",20,IF(C4278="Estágio",10,0))))),IF(C4278="Técnico III",SUMIFS($D:$D,$A:$A,$A4278,$B:$B,"&lt;&gt;Patrícia Karla de Sousa Araújo",$B:$B,"&lt;&gt;Lorena Dias de Araujo",$B:$B,"&lt;&gt;Lucas Luiz Romero")*(35/1083),IF(C4278="Técnico II",SUMIFS($D:$D,$A:$A,$A4278,$B:$B,"&lt;&gt;Patrícia Karla de Sousa Araújo",$B:$B,"&lt;&gt;Lorena Dias de Araujo",$B:$B,"&lt;&gt;Lucas Luiz Romero")*(28/1083),IF(C4278="Técnico I",SUMIFS($D:$D,$A:$A,$A4278,$B:$B,"&lt;&gt;Patrícia Karla de Sousa Araújo",$B:$B,"&lt;&gt;Lorena Dias de Araujo",$B:$B,"&lt;&gt;Lucas Luiz Romero")*(23/1083),IF(C4278="JR",SUMIFS($D:$D,$A:$A,$A4278,$B:$B,"&lt;&gt;Patrícia Karla de Sousa Araújo",$B:$B,"&lt;&gt;Lorena Dias de Araujo",$B:$B,"&lt;&gt;Lucas Luiz Romero")*(20/1083),IF(C4278="Estágio",SUMIFS($D:$D,$A:$A,$A4278,$B:$B,"&lt;&gt;Patrícia Karla de Sousa Araújo",$B:$B,"&lt;&gt;Lorena Dias de Araujo",$B:$B,"&lt;&gt;Lucas Luiz Romero")*(10/1083),0)))))),0)</f>
        <v/>
      </c>
      <c r="K4278" s="3">
        <f>I4278-J4278</f>
        <v/>
      </c>
      <c r="L4278" s="3">
        <f>IF(K4278&lt;-5,"CRÍTICO",IF(K4278&lt;0,"ATENÇÃO",IF(K4278&lt;=5,"OPORTUNO","MUITO BOM")))</f>
        <v/>
      </c>
      <c r="N4278" t="n">
        <v>99.17</v>
      </c>
      <c r="O4278" t="n">
        <v>29.75206611570248</v>
      </c>
    </row>
    <row r="4279" hidden="1">
      <c r="A4279" s="11" t="n">
        <v>46136</v>
      </c>
      <c r="B4279" t="inlineStr">
        <is>
          <t>Lorena Dias de Araujo</t>
        </is>
      </c>
      <c r="C4279" t="inlineStr">
        <is>
          <t>Técnico II</t>
        </is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s="3" t="n">
        <v>0</v>
      </c>
      <c r="J4279" s="3" t="n">
        <v>0</v>
      </c>
      <c r="K4279" s="3" t="n">
        <v>0</v>
      </c>
      <c r="L4279" s="3">
        <f>IF(K4279&lt;-5,"CRÍTICO",IF(K4279&lt;0,"ATENÇÃO",IF(K4279&lt;=5,"OPORTUNO","MUITO BOM")))</f>
        <v/>
      </c>
      <c r="N4279" t="n">
        <v>98.73</v>
      </c>
      <c r="O4279" t="n">
        <v>28.96174863387978</v>
      </c>
    </row>
    <row r="4280" hidden="1">
      <c r="A4280" s="11" t="n">
        <v>46136</v>
      </c>
      <c r="B4280" t="inlineStr">
        <is>
          <t>Lucas Luiz Romero</t>
        </is>
      </c>
      <c r="C4280" t="inlineStr">
        <is>
          <t>Técnico III</t>
        </is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s="3" t="n">
        <v>0</v>
      </c>
      <c r="J4280" s="3" t="n">
        <v>0</v>
      </c>
      <c r="K4280" s="3" t="n">
        <v>0</v>
      </c>
      <c r="L4280" s="3">
        <f>IF(K4280&lt;-5,"CRÍTICO",IF(K4280&lt;0,"ATENÇÃO",IF(K4280&lt;=5,"OPORTUNO","MUITO BOM")))</f>
        <v/>
      </c>
      <c r="N4280" t="n">
        <v>88.68000000000001</v>
      </c>
      <c r="O4280" t="n">
        <v>22.03389830508474</v>
      </c>
    </row>
    <row r="4281" hidden="1">
      <c r="A4281" s="11" t="n">
        <v>46136</v>
      </c>
      <c r="B4281" t="inlineStr">
        <is>
          <t>Luiz Fernando de Carvalho Junior</t>
        </is>
      </c>
      <c r="C4281" t="inlineStr">
        <is>
          <t>Técnico I</t>
        </is>
      </c>
      <c r="D4281" t="n">
        <v>12</v>
      </c>
      <c r="E4281" t="n">
        <v>12</v>
      </c>
      <c r="F4281" t="n">
        <v>27.07</v>
      </c>
      <c r="G4281" t="n">
        <v>0</v>
      </c>
      <c r="H4281" t="n">
        <v>0</v>
      </c>
      <c r="I4281" s="3">
        <f>E4281+G4281+H4281</f>
        <v/>
      </c>
      <c r="J4281" s="3">
        <f>ROUND(MIN(IF(C4281="Técnico III",35,IF(C4281="Técnico II",28,IF(C4281="Técnico I",23,IF(C4281="JR",20,IF(C4281="Estágio",10,0))))),IF(C4281="Técnico III",SUMIFS($D:$D,$A:$A,$A4281,$B:$B,"&lt;&gt;Patrícia Karla de Sousa Araújo",$B:$B,"&lt;&gt;Lorena Dias de Araujo",$B:$B,"&lt;&gt;Lucas Luiz Romero")*(35/1083),IF(C4281="Técnico II",SUMIFS($D:$D,$A:$A,$A4281,$B:$B,"&lt;&gt;Patrícia Karla de Sousa Araújo",$B:$B,"&lt;&gt;Lorena Dias de Araujo",$B:$B,"&lt;&gt;Lucas Luiz Romero")*(28/1083),IF(C4281="Técnico I",SUMIFS($D:$D,$A:$A,$A4281,$B:$B,"&lt;&gt;Patrícia Karla de Sousa Araújo",$B:$B,"&lt;&gt;Lorena Dias de Araujo",$B:$B,"&lt;&gt;Lucas Luiz Romero")*(23/1083),IF(C4281="JR",SUMIFS($D:$D,$A:$A,$A4281,$B:$B,"&lt;&gt;Patrícia Karla de Sousa Araújo",$B:$B,"&lt;&gt;Lorena Dias de Araujo",$B:$B,"&lt;&gt;Lucas Luiz Romero")*(20/1083),IF(C4281="Estágio",SUMIFS($D:$D,$A:$A,$A4281,$B:$B,"&lt;&gt;Patrícia Karla de Sousa Araújo",$B:$B,"&lt;&gt;Lorena Dias de Araujo",$B:$B,"&lt;&gt;Lucas Luiz Romero")*(10/1083),0)))))),0)</f>
        <v/>
      </c>
      <c r="K4281" s="3">
        <f>I4281-J4281</f>
        <v/>
      </c>
      <c r="L4281" s="3">
        <f>IF(K4281&lt;-5,"CRÍTICO",IF(K4281&lt;0,"ATENÇÃO",IF(K4281&lt;=5,"OPORTUNO","MUITO BOM")))</f>
        <v/>
      </c>
      <c r="N4281" t="n">
        <v>97.37</v>
      </c>
      <c r="O4281" t="n">
        <v>25.76530612244898</v>
      </c>
    </row>
    <row r="4282" hidden="1">
      <c r="A4282" s="11" t="n">
        <v>46136</v>
      </c>
      <c r="B4282" t="inlineStr">
        <is>
          <t>Maria Eduarda Sousa Costa</t>
        </is>
      </c>
      <c r="C4282" t="inlineStr">
        <is>
          <t>Estágio</t>
        </is>
      </c>
      <c r="D4282" t="n">
        <v>25</v>
      </c>
      <c r="E4282" t="n">
        <v>16</v>
      </c>
      <c r="F4282" t="n">
        <v>10.19</v>
      </c>
      <c r="G4282" t="n">
        <v>0</v>
      </c>
      <c r="H4282" t="n">
        <v>0</v>
      </c>
      <c r="I4282" s="3">
        <f>E4282+G4282+H4282</f>
        <v/>
      </c>
      <c r="J4282" s="3">
        <f>ROUND(MIN(IF(C4282="Técnico III",35,IF(C4282="Técnico II",28,IF(C4282="Técnico I",23,IF(C4282="JR",20,IF(C4282="Estágio",10,0))))),IF(C4282="Técnico III",SUMIFS($D:$D,$A:$A,$A4282,$B:$B,"&lt;&gt;Patrícia Karla de Sousa Araújo",$B:$B,"&lt;&gt;Lorena Dias de Araujo",$B:$B,"&lt;&gt;Lucas Luiz Romero")*(35/1083),IF(C4282="Técnico II",SUMIFS($D:$D,$A:$A,$A4282,$B:$B,"&lt;&gt;Patrícia Karla de Sousa Araújo",$B:$B,"&lt;&gt;Lorena Dias de Araujo",$B:$B,"&lt;&gt;Lucas Luiz Romero")*(28/1083),IF(C4282="Técnico I",SUMIFS($D:$D,$A:$A,$A4282,$B:$B,"&lt;&gt;Patrícia Karla de Sousa Araújo",$B:$B,"&lt;&gt;Lorena Dias de Araujo",$B:$B,"&lt;&gt;Lucas Luiz Romero")*(23/1083),IF(C4282="JR",SUMIFS($D:$D,$A:$A,$A4282,$B:$B,"&lt;&gt;Patrícia Karla de Sousa Araújo",$B:$B,"&lt;&gt;Lorena Dias de Araujo",$B:$B,"&lt;&gt;Lucas Luiz Romero")*(20/1083),IF(C4282="Estágio",SUMIFS($D:$D,$A:$A,$A4282,$B:$B,"&lt;&gt;Patrícia Karla de Sousa Araújo",$B:$B,"&lt;&gt;Lorena Dias de Araujo",$B:$B,"&lt;&gt;Lucas Luiz Romero")*(10/1083),0)))))),0)</f>
        <v/>
      </c>
      <c r="K4282" s="3">
        <f>I4282-J4282</f>
        <v/>
      </c>
      <c r="L4282" s="3">
        <f>IF(K4282&lt;-5,"CRÍTICO",IF(K4282&lt;0,"ATENÇÃO",IF(K4282&lt;=5,"OPORTUNO","MUITO BOM")))</f>
        <v/>
      </c>
      <c r="N4282" t="n">
        <v>100</v>
      </c>
      <c r="O4282" t="n">
        <v>25</v>
      </c>
    </row>
    <row r="4283" hidden="1">
      <c r="A4283" s="11" t="n">
        <v>46136</v>
      </c>
      <c r="B4283" t="inlineStr">
        <is>
          <t>Matheus Farias De Souza</t>
        </is>
      </c>
      <c r="C4283" t="inlineStr">
        <is>
          <t>Técnico III</t>
        </is>
      </c>
      <c r="D4283" t="n">
        <v>13</v>
      </c>
      <c r="E4283" t="n">
        <v>12</v>
      </c>
      <c r="F4283" t="n">
        <v>17.18</v>
      </c>
      <c r="G4283" t="n">
        <v>0</v>
      </c>
      <c r="H4283" t="n">
        <v>0</v>
      </c>
      <c r="I4283" s="3">
        <f>E4283+G4283+H4283</f>
        <v/>
      </c>
      <c r="J4283" s="3">
        <f>ROUND(MIN(IF(C4283="Técnico III",35,IF(C4283="Técnico II",28,IF(C4283="Técnico I",23,IF(C4283="JR",20,IF(C4283="Estágio",10,0))))),IF(C4283="Técnico III",SUMIFS($D:$D,$A:$A,$A4283,$B:$B,"&lt;&gt;Patrícia Karla de Sousa Araújo",$B:$B,"&lt;&gt;Lorena Dias de Araujo",$B:$B,"&lt;&gt;Lucas Luiz Romero")*(35/1083),IF(C4283="Técnico II",SUMIFS($D:$D,$A:$A,$A4283,$B:$B,"&lt;&gt;Patrícia Karla de Sousa Araújo",$B:$B,"&lt;&gt;Lorena Dias de Araujo",$B:$B,"&lt;&gt;Lucas Luiz Romero")*(28/1083),IF(C4283="Técnico I",SUMIFS($D:$D,$A:$A,$A4283,$B:$B,"&lt;&gt;Patrícia Karla de Sousa Araújo",$B:$B,"&lt;&gt;Lorena Dias de Araujo",$B:$B,"&lt;&gt;Lucas Luiz Romero")*(23/1083),IF(C4283="JR",SUMIFS($D:$D,$A:$A,$A4283,$B:$B,"&lt;&gt;Patrícia Karla de Sousa Araújo",$B:$B,"&lt;&gt;Lorena Dias de Araujo",$B:$B,"&lt;&gt;Lucas Luiz Romero")*(20/1083),IF(C4283="Estágio",SUMIFS($D:$D,$A:$A,$A4283,$B:$B,"&lt;&gt;Patrícia Karla de Sousa Araújo",$B:$B,"&lt;&gt;Lorena Dias de Araujo",$B:$B,"&lt;&gt;Lucas Luiz Romero")*(10/1083),0)))))),0)</f>
        <v/>
      </c>
      <c r="K4283" s="3">
        <f>I4283-J4283</f>
        <v/>
      </c>
      <c r="L4283" s="3">
        <f>IF(K4283&lt;-5,"CRÍTICO",IF(K4283&lt;0,"ATENÇÃO",IF(K4283&lt;=5,"OPORTUNO","MUITO BOM")))</f>
        <v/>
      </c>
      <c r="N4283" t="n">
        <v>100</v>
      </c>
      <c r="O4283" t="n">
        <v>23.9870340356564</v>
      </c>
    </row>
    <row r="4284" hidden="1">
      <c r="A4284" s="11" t="n">
        <v>46136</v>
      </c>
      <c r="B4284" t="inlineStr">
        <is>
          <t>Maysa Victoria Dias Moura</t>
        </is>
      </c>
      <c r="C4284" t="inlineStr">
        <is>
          <t>Técnico III</t>
        </is>
      </c>
      <c r="D4284" t="n">
        <v>30</v>
      </c>
      <c r="E4284" t="n">
        <v>28</v>
      </c>
      <c r="F4284" t="n">
        <v>10.33</v>
      </c>
      <c r="G4284" t="n">
        <v>0</v>
      </c>
      <c r="H4284" t="n">
        <v>0</v>
      </c>
      <c r="I4284" s="3">
        <f>E4284+G4284+H4284</f>
        <v/>
      </c>
      <c r="J4284" s="3">
        <f>ROUND(MIN(IF(C4284="Técnico III",35,IF(C4284="Técnico II",28,IF(C4284="Técnico I",23,IF(C4284="JR",20,IF(C4284="Estágio",10,0))))),IF(C4284="Técnico III",SUMIFS($D:$D,$A:$A,$A4284,$B:$B,"&lt;&gt;Patrícia Karla de Sousa Araújo",$B:$B,"&lt;&gt;Lorena Dias de Araujo",$B:$B,"&lt;&gt;Lucas Luiz Romero")*(35/1083),IF(C4284="Técnico II",SUMIFS($D:$D,$A:$A,$A4284,$B:$B,"&lt;&gt;Patrícia Karla de Sousa Araújo",$B:$B,"&lt;&gt;Lorena Dias de Araujo",$B:$B,"&lt;&gt;Lucas Luiz Romero")*(28/1083),IF(C4284="Técnico I",SUMIFS($D:$D,$A:$A,$A4284,$B:$B,"&lt;&gt;Patrícia Karla de Sousa Araújo",$B:$B,"&lt;&gt;Lorena Dias de Araujo",$B:$B,"&lt;&gt;Lucas Luiz Romero")*(23/1083),IF(C4284="JR",SUMIFS($D:$D,$A:$A,$A4284,$B:$B,"&lt;&gt;Patrícia Karla de Sousa Araújo",$B:$B,"&lt;&gt;Lorena Dias de Araujo",$B:$B,"&lt;&gt;Lucas Luiz Romero")*(20/1083),IF(C4284="Estágio",SUMIFS($D:$D,$A:$A,$A4284,$B:$B,"&lt;&gt;Patrícia Karla de Sousa Araújo",$B:$B,"&lt;&gt;Lorena Dias de Araujo",$B:$B,"&lt;&gt;Lucas Luiz Romero")*(10/1083),0)))))),0)</f>
        <v/>
      </c>
      <c r="K4284" s="3">
        <f>I4284-J4284</f>
        <v/>
      </c>
      <c r="L4284" s="3">
        <f>IF(K4284&lt;-5,"CRÍTICO",IF(K4284&lt;0,"ATENÇÃO",IF(K4284&lt;=5,"OPORTUNO","MUITO BOM")))</f>
        <v/>
      </c>
      <c r="N4284" t="n">
        <v>95.48999999999999</v>
      </c>
      <c r="O4284" t="n">
        <v>28.16901408450704</v>
      </c>
    </row>
    <row r="4285" hidden="1">
      <c r="A4285" s="11" t="n">
        <v>46136</v>
      </c>
      <c r="B4285" t="inlineStr">
        <is>
          <t>Michelle G Santos</t>
        </is>
      </c>
      <c r="C4285" t="inlineStr">
        <is>
          <t>Estágio</t>
        </is>
      </c>
      <c r="D4285" t="n">
        <v>3</v>
      </c>
      <c r="E4285" t="n">
        <v>3</v>
      </c>
      <c r="F4285" t="n">
        <v>30.4</v>
      </c>
      <c r="G4285" t="n">
        <v>0</v>
      </c>
      <c r="H4285" t="n">
        <v>0</v>
      </c>
      <c r="I4285" s="3">
        <f>E4285+G4285+H4285</f>
        <v/>
      </c>
      <c r="J4285" s="3">
        <f>ROUND(MIN(IF(C4285="Técnico III",35,IF(C4285="Técnico II",28,IF(C4285="Técnico I",23,IF(C4285="JR",20,IF(C4285="Estágio",10,0))))),IF(C4285="Técnico III",SUMIFS($D:$D,$A:$A,$A4285,$B:$B,"&lt;&gt;Patrícia Karla de Sousa Araújo",$B:$B,"&lt;&gt;Lorena Dias de Araujo",$B:$B,"&lt;&gt;Lucas Luiz Romero")*(35/1083),IF(C4285="Técnico II",SUMIFS($D:$D,$A:$A,$A4285,$B:$B,"&lt;&gt;Patrícia Karla de Sousa Araújo",$B:$B,"&lt;&gt;Lorena Dias de Araujo",$B:$B,"&lt;&gt;Lucas Luiz Romero")*(28/1083),IF(C4285="Técnico I",SUMIFS($D:$D,$A:$A,$A4285,$B:$B,"&lt;&gt;Patrícia Karla de Sousa Araújo",$B:$B,"&lt;&gt;Lorena Dias de Araujo",$B:$B,"&lt;&gt;Lucas Luiz Romero")*(23/1083),IF(C4285="JR",SUMIFS($D:$D,$A:$A,$A4285,$B:$B,"&lt;&gt;Patrícia Karla de Sousa Araújo",$B:$B,"&lt;&gt;Lorena Dias de Araujo",$B:$B,"&lt;&gt;Lucas Luiz Romero")*(20/1083),IF(C4285="Estágio",SUMIFS($D:$D,$A:$A,$A4285,$B:$B,"&lt;&gt;Patrícia Karla de Sousa Araújo",$B:$B,"&lt;&gt;Lorena Dias de Araujo",$B:$B,"&lt;&gt;Lucas Luiz Romero")*(10/1083),0)))))),0)</f>
        <v/>
      </c>
      <c r="K4285" s="3">
        <f>I4285-J4285</f>
        <v/>
      </c>
      <c r="L4285" s="3">
        <f>IF(K4285&lt;-5,"CRÍTICO",IF(K4285&lt;0,"ATENÇÃO",IF(K4285&lt;=5,"OPORTUNO","MUITO BOM")))</f>
        <v/>
      </c>
      <c r="N4285" t="n">
        <v>100</v>
      </c>
      <c r="O4285" t="n">
        <v>23.77622377622378</v>
      </c>
    </row>
    <row r="4286" hidden="1">
      <c r="A4286" s="11" t="n">
        <v>46136</v>
      </c>
      <c r="B4286" t="inlineStr">
        <is>
          <t>Milena Sales</t>
        </is>
      </c>
      <c r="C4286" t="inlineStr">
        <is>
          <t>JR</t>
        </is>
      </c>
      <c r="D4286" t="n">
        <v>20</v>
      </c>
      <c r="E4286" t="n">
        <v>13</v>
      </c>
      <c r="F4286" t="n">
        <v>12.31</v>
      </c>
      <c r="G4286" t="n">
        <v>0</v>
      </c>
      <c r="H4286" t="n">
        <v>0</v>
      </c>
      <c r="I4286" s="3">
        <f>E4286+G4286+H4286</f>
        <v/>
      </c>
      <c r="J4286" s="3">
        <f>ROUND(MIN(IF(C4286="Técnico III",35,IF(C4286="Técnico II",28,IF(C4286="Técnico I",23,IF(C4286="JR",20,IF(C4286="Estágio",10,0))))),IF(C4286="Técnico III",SUMIFS($D:$D,$A:$A,$A4286,$B:$B,"&lt;&gt;Patrícia Karla de Sousa Araújo",$B:$B,"&lt;&gt;Lorena Dias de Araujo",$B:$B,"&lt;&gt;Lucas Luiz Romero")*(35/1083),IF(C4286="Técnico II",SUMIFS($D:$D,$A:$A,$A4286,$B:$B,"&lt;&gt;Patrícia Karla de Sousa Araújo",$B:$B,"&lt;&gt;Lorena Dias de Araujo",$B:$B,"&lt;&gt;Lucas Luiz Romero")*(28/1083),IF(C4286="Técnico I",SUMIFS($D:$D,$A:$A,$A4286,$B:$B,"&lt;&gt;Patrícia Karla de Sousa Araújo",$B:$B,"&lt;&gt;Lorena Dias de Araujo",$B:$B,"&lt;&gt;Lucas Luiz Romero")*(23/1083),IF(C4286="JR",SUMIFS($D:$D,$A:$A,$A4286,$B:$B,"&lt;&gt;Patrícia Karla de Sousa Araújo",$B:$B,"&lt;&gt;Lorena Dias de Araujo",$B:$B,"&lt;&gt;Lucas Luiz Romero")*(20/1083),IF(C4286="Estágio",SUMIFS($D:$D,$A:$A,$A4286,$B:$B,"&lt;&gt;Patrícia Karla de Sousa Araújo",$B:$B,"&lt;&gt;Lorena Dias de Araujo",$B:$B,"&lt;&gt;Lucas Luiz Romero")*(10/1083),0)))))),0)</f>
        <v/>
      </c>
      <c r="K4286" s="3">
        <f>I4286-J4286</f>
        <v/>
      </c>
      <c r="L4286" s="3">
        <f>IF(K4286&lt;-5,"CRÍTICO",IF(K4286&lt;0,"ATENÇÃO",IF(K4286&lt;=5,"OPORTUNO","MUITO BOM")))</f>
        <v/>
      </c>
      <c r="N4286" t="n">
        <v>96.15000000000001</v>
      </c>
      <c r="O4286" t="n">
        <v>24.04580152671756</v>
      </c>
    </row>
    <row r="4287" hidden="1">
      <c r="A4287" s="11" t="n">
        <v>46136</v>
      </c>
      <c r="B4287" t="inlineStr">
        <is>
          <t>Patrícia Karla de Sousa Araújo</t>
        </is>
      </c>
      <c r="C4287" t="inlineStr">
        <is>
          <t>Técnico II</t>
        </is>
      </c>
      <c r="D4287" t="n">
        <v>21</v>
      </c>
      <c r="E4287" t="n">
        <v>20</v>
      </c>
      <c r="F4287" t="n">
        <v>17.18</v>
      </c>
      <c r="G4287" t="n">
        <v>0</v>
      </c>
      <c r="H4287" t="n">
        <v>0</v>
      </c>
      <c r="I4287" s="3">
        <f>E4287+G4287+H4287</f>
        <v/>
      </c>
      <c r="J4287" s="3">
        <f>ROUND(MIN(IF(C4287="Técnico III",35,IF(C4287="Técnico II",28,IF(C4287="Técnico I",23,IF(C4287="JR",20,IF(C4287="Estágio",10,0))))),IF(C4287="Técnico III",SUMIFS($D:$D,$A:$A,$A4287,$B:$B,"&lt;&gt;Patrícia Karla de Sousa Araújo",$B:$B,"&lt;&gt;Lorena Dias de Araujo",$B:$B,"&lt;&gt;Lucas Luiz Romero")*(35/1083),IF(C4287="Técnico II",SUMIFS($D:$D,$A:$A,$A4287,$B:$B,"&lt;&gt;Patrícia Karla de Sousa Araújo",$B:$B,"&lt;&gt;Lorena Dias de Araujo",$B:$B,"&lt;&gt;Lucas Luiz Romero")*(28/1083),IF(C4287="Técnico I",SUMIFS($D:$D,$A:$A,$A4287,$B:$B,"&lt;&gt;Patrícia Karla de Sousa Araújo",$B:$B,"&lt;&gt;Lorena Dias de Araujo",$B:$B,"&lt;&gt;Lucas Luiz Romero")*(23/1083),IF(C4287="JR",SUMIFS($D:$D,$A:$A,$A4287,$B:$B,"&lt;&gt;Patrícia Karla de Sousa Araújo",$B:$B,"&lt;&gt;Lorena Dias de Araujo",$B:$B,"&lt;&gt;Lucas Luiz Romero")*(20/1083),IF(C4287="Estágio",SUMIFS($D:$D,$A:$A,$A4287,$B:$B,"&lt;&gt;Patrícia Karla de Sousa Araújo",$B:$B,"&lt;&gt;Lorena Dias de Araujo",$B:$B,"&lt;&gt;Lucas Luiz Romero")*(10/1083),0)))))),0)</f>
        <v/>
      </c>
      <c r="K4287" s="3">
        <f>I4287-J4287</f>
        <v/>
      </c>
      <c r="L4287" s="3">
        <f>IF(K4287&lt;-5,"CRÍTICO",IF(K4287&lt;0,"ATENÇÃO",IF(K4287&lt;=5,"OPORTUNO","MUITO BOM")))</f>
        <v/>
      </c>
      <c r="N4287" t="n">
        <v>99.02</v>
      </c>
      <c r="O4287" t="n">
        <v>34.7972972972973</v>
      </c>
    </row>
    <row r="4288" hidden="1">
      <c r="A4288" s="11" t="n">
        <v>46136</v>
      </c>
      <c r="B4288" t="inlineStr">
        <is>
          <t>Paulo Ricardo Santos</t>
        </is>
      </c>
      <c r="C4288" t="inlineStr">
        <is>
          <t>JR</t>
        </is>
      </c>
      <c r="D4288" t="n">
        <v>18</v>
      </c>
      <c r="E4288" t="n">
        <v>17</v>
      </c>
      <c r="F4288" t="n">
        <v>17.13</v>
      </c>
      <c r="G4288" t="n">
        <v>0</v>
      </c>
      <c r="H4288" t="n">
        <v>0</v>
      </c>
      <c r="I4288" s="3">
        <f>E4288+G4288+H4288</f>
        <v/>
      </c>
      <c r="J4288" s="3">
        <f>ROUND(MIN(IF(C4288="Técnico III",35,IF(C4288="Técnico II",28,IF(C4288="Técnico I",23,IF(C4288="JR",20,IF(C4288="Estágio",10,0))))),IF(C4288="Técnico III",SUMIFS($D:$D,$A:$A,$A4288,$B:$B,"&lt;&gt;Patrícia Karla de Sousa Araújo",$B:$B,"&lt;&gt;Lorena Dias de Araujo",$B:$B,"&lt;&gt;Lucas Luiz Romero")*(35/1083),IF(C4288="Técnico II",SUMIFS($D:$D,$A:$A,$A4288,$B:$B,"&lt;&gt;Patrícia Karla de Sousa Araújo",$B:$B,"&lt;&gt;Lorena Dias de Araujo",$B:$B,"&lt;&gt;Lucas Luiz Romero")*(28/1083),IF(C4288="Técnico I",SUMIFS($D:$D,$A:$A,$A4288,$B:$B,"&lt;&gt;Patrícia Karla de Sousa Araújo",$B:$B,"&lt;&gt;Lorena Dias de Araujo",$B:$B,"&lt;&gt;Lucas Luiz Romero")*(23/1083),IF(C4288="JR",SUMIFS($D:$D,$A:$A,$A4288,$B:$B,"&lt;&gt;Patrícia Karla de Sousa Araújo",$B:$B,"&lt;&gt;Lorena Dias de Araujo",$B:$B,"&lt;&gt;Lucas Luiz Romero")*(20/1083),IF(C4288="Estágio",SUMIFS($D:$D,$A:$A,$A4288,$B:$B,"&lt;&gt;Patrícia Karla de Sousa Araújo",$B:$B,"&lt;&gt;Lorena Dias de Araujo",$B:$B,"&lt;&gt;Lucas Luiz Romero")*(10/1083),0)))))),0)</f>
        <v/>
      </c>
      <c r="K4288" s="3">
        <f>I4288-J4288</f>
        <v/>
      </c>
      <c r="L4288" s="3">
        <f>IF(K4288&lt;-5,"CRÍTICO",IF(K4288&lt;0,"ATENÇÃO",IF(K4288&lt;=5,"OPORTUNO","MUITO BOM")))</f>
        <v/>
      </c>
      <c r="N4288" t="n">
        <v>98.84</v>
      </c>
      <c r="O4288" t="n">
        <v>31.5018315018315</v>
      </c>
    </row>
    <row r="4289" hidden="1">
      <c r="A4289" s="11" t="n">
        <v>46136</v>
      </c>
      <c r="B4289" t="inlineStr">
        <is>
          <t>Pedro Luiz Mota Sousa</t>
        </is>
      </c>
      <c r="C4289" t="inlineStr">
        <is>
          <t>JR</t>
        </is>
      </c>
      <c r="D4289" t="n">
        <v>24</v>
      </c>
      <c r="E4289" t="n">
        <v>23</v>
      </c>
      <c r="F4289" t="n">
        <v>15.09</v>
      </c>
      <c r="G4289" t="n">
        <v>0</v>
      </c>
      <c r="H4289" t="n">
        <v>0</v>
      </c>
      <c r="I4289" s="3">
        <f>E4289+G4289+H4289</f>
        <v/>
      </c>
      <c r="J4289" s="3">
        <f>ROUND(MIN(IF(C4289="Técnico III",35,IF(C4289="Técnico II",28,IF(C4289="Técnico I",23,IF(C4289="JR",20,IF(C4289="Estágio",10,0))))),IF(C4289="Técnico III",SUMIFS($D:$D,$A:$A,$A4289,$B:$B,"&lt;&gt;Patrícia Karla de Sousa Araújo",$B:$B,"&lt;&gt;Lorena Dias de Araujo",$B:$B,"&lt;&gt;Lucas Luiz Romero")*(35/1083),IF(C4289="Técnico II",SUMIFS($D:$D,$A:$A,$A4289,$B:$B,"&lt;&gt;Patrícia Karla de Sousa Araújo",$B:$B,"&lt;&gt;Lorena Dias de Araujo",$B:$B,"&lt;&gt;Lucas Luiz Romero")*(28/1083),IF(C4289="Técnico I",SUMIFS($D:$D,$A:$A,$A4289,$B:$B,"&lt;&gt;Patrícia Karla de Sousa Araújo",$B:$B,"&lt;&gt;Lorena Dias de Araujo",$B:$B,"&lt;&gt;Lucas Luiz Romero")*(23/1083),IF(C4289="JR",SUMIFS($D:$D,$A:$A,$A4289,$B:$B,"&lt;&gt;Patrícia Karla de Sousa Araújo",$B:$B,"&lt;&gt;Lorena Dias de Araujo",$B:$B,"&lt;&gt;Lucas Luiz Romero")*(20/1083),IF(C4289="Estágio",SUMIFS($D:$D,$A:$A,$A4289,$B:$B,"&lt;&gt;Patrícia Karla de Sousa Araújo",$B:$B,"&lt;&gt;Lorena Dias de Araujo",$B:$B,"&lt;&gt;Lucas Luiz Romero")*(10/1083),0)))))),0)</f>
        <v/>
      </c>
      <c r="K4289" s="3">
        <f>I4289-J4289</f>
        <v/>
      </c>
      <c r="L4289" s="3">
        <f>IF(K4289&lt;-5,"CRÍTICO",IF(K4289&lt;0,"ATENÇÃO",IF(K4289&lt;=5,"OPORTUNO","MUITO BOM")))</f>
        <v/>
      </c>
      <c r="N4289" t="n">
        <v>100</v>
      </c>
      <c r="O4289" t="n">
        <v>34.66666666666667</v>
      </c>
    </row>
    <row r="4290" hidden="1">
      <c r="A4290" s="11" t="n">
        <v>46136</v>
      </c>
      <c r="B4290" t="inlineStr">
        <is>
          <t>Quirino Diogo Leite Torres</t>
        </is>
      </c>
      <c r="C4290" t="inlineStr">
        <is>
          <t>Estágio</t>
        </is>
      </c>
      <c r="D4290" t="n">
        <v>9</v>
      </c>
      <c r="E4290" t="n">
        <v>9</v>
      </c>
      <c r="F4290" t="n">
        <v>20.05</v>
      </c>
      <c r="G4290" t="n">
        <v>0</v>
      </c>
      <c r="H4290" t="n">
        <v>0</v>
      </c>
      <c r="I4290" s="3">
        <f>E4290+G4290+H4290</f>
        <v/>
      </c>
      <c r="J4290" s="3">
        <f>ROUND(MIN(IF(C4290="Técnico III",35,IF(C4290="Técnico II",28,IF(C4290="Técnico I",23,IF(C4290="JR",20,IF(C4290="Estágio",10,0))))),IF(C4290="Técnico III",SUMIFS($D:$D,$A:$A,$A4290,$B:$B,"&lt;&gt;Patrícia Karla de Sousa Araújo",$B:$B,"&lt;&gt;Lorena Dias de Araujo",$B:$B,"&lt;&gt;Lucas Luiz Romero")*(35/1083),IF(C4290="Técnico II",SUMIFS($D:$D,$A:$A,$A4290,$B:$B,"&lt;&gt;Patrícia Karla de Sousa Araújo",$B:$B,"&lt;&gt;Lorena Dias de Araujo",$B:$B,"&lt;&gt;Lucas Luiz Romero")*(28/1083),IF(C4290="Técnico I",SUMIFS($D:$D,$A:$A,$A4290,$B:$B,"&lt;&gt;Patrícia Karla de Sousa Araújo",$B:$B,"&lt;&gt;Lorena Dias de Araujo",$B:$B,"&lt;&gt;Lucas Luiz Romero")*(23/1083),IF(C4290="JR",SUMIFS($D:$D,$A:$A,$A4290,$B:$B,"&lt;&gt;Patrícia Karla de Sousa Araújo",$B:$B,"&lt;&gt;Lorena Dias de Araujo",$B:$B,"&lt;&gt;Lucas Luiz Romero")*(20/1083),IF(C4290="Estágio",SUMIFS($D:$D,$A:$A,$A4290,$B:$B,"&lt;&gt;Patrícia Karla de Sousa Araújo",$B:$B,"&lt;&gt;Lorena Dias de Araujo",$B:$B,"&lt;&gt;Lucas Luiz Romero")*(10/1083),0)))))),0)</f>
        <v/>
      </c>
      <c r="K4290" s="3">
        <f>I4290-J4290</f>
        <v/>
      </c>
      <c r="L4290" s="3">
        <f>IF(K4290&lt;-5,"CRÍTICO",IF(K4290&lt;0,"ATENÇÃO",IF(K4290&lt;=5,"OPORTUNO","MUITO BOM")))</f>
        <v/>
      </c>
      <c r="N4290" t="n">
        <v>94.12</v>
      </c>
      <c r="O4290" t="n">
        <v>32.8</v>
      </c>
    </row>
    <row r="4291" hidden="1">
      <c r="A4291" s="11" t="n">
        <v>46136</v>
      </c>
      <c r="B4291" t="inlineStr">
        <is>
          <t>Raane Batista Matos</t>
        </is>
      </c>
      <c r="C4291" t="inlineStr">
        <is>
          <t>Técnico I</t>
        </is>
      </c>
      <c r="D4291" t="n">
        <v>17</v>
      </c>
      <c r="E4291" t="n">
        <v>17</v>
      </c>
      <c r="F4291" t="n">
        <v>13.4</v>
      </c>
      <c r="G4291" t="n">
        <v>0</v>
      </c>
      <c r="H4291" t="n">
        <v>0</v>
      </c>
      <c r="I4291" s="3">
        <f>E4291+G4291+H4291</f>
        <v/>
      </c>
      <c r="J4291" s="3">
        <f>ROUND(MIN(IF(C4291="Técnico III",35,IF(C4291="Técnico II",28,IF(C4291="Técnico I",23,IF(C4291="JR",20,IF(C4291="Estágio",10,0))))),IF(C4291="Técnico III",SUMIFS($D:$D,$A:$A,$A4291,$B:$B,"&lt;&gt;Patrícia Karla de Sousa Araújo",$B:$B,"&lt;&gt;Lorena Dias de Araujo",$B:$B,"&lt;&gt;Lucas Luiz Romero")*(35/1083),IF(C4291="Técnico II",SUMIFS($D:$D,$A:$A,$A4291,$B:$B,"&lt;&gt;Patrícia Karla de Sousa Araújo",$B:$B,"&lt;&gt;Lorena Dias de Araujo",$B:$B,"&lt;&gt;Lucas Luiz Romero")*(28/1083),IF(C4291="Técnico I",SUMIFS($D:$D,$A:$A,$A4291,$B:$B,"&lt;&gt;Patrícia Karla de Sousa Araújo",$B:$B,"&lt;&gt;Lorena Dias de Araujo",$B:$B,"&lt;&gt;Lucas Luiz Romero")*(23/1083),IF(C4291="JR",SUMIFS($D:$D,$A:$A,$A4291,$B:$B,"&lt;&gt;Patrícia Karla de Sousa Araújo",$B:$B,"&lt;&gt;Lorena Dias de Araujo",$B:$B,"&lt;&gt;Lucas Luiz Romero")*(20/1083),IF(C4291="Estágio",SUMIFS($D:$D,$A:$A,$A4291,$B:$B,"&lt;&gt;Patrícia Karla de Sousa Araújo",$B:$B,"&lt;&gt;Lorena Dias de Araujo",$B:$B,"&lt;&gt;Lucas Luiz Romero")*(10/1083),0)))))),0)</f>
        <v/>
      </c>
      <c r="K4291" s="3">
        <f>I4291-J4291</f>
        <v/>
      </c>
      <c r="L4291" s="3">
        <f>IF(K4291&lt;-5,"CRÍTICO",IF(K4291&lt;0,"ATENÇÃO",IF(K4291&lt;=5,"OPORTUNO","MUITO BOM")))</f>
        <v/>
      </c>
      <c r="N4291" t="n">
        <v>98.31999999999999</v>
      </c>
      <c r="O4291" t="n">
        <v>26.61870503597122</v>
      </c>
    </row>
    <row r="4292" hidden="1">
      <c r="A4292" s="11" t="n">
        <v>46136</v>
      </c>
      <c r="B4292" t="inlineStr">
        <is>
          <t>Rafael Gomes de Morais</t>
        </is>
      </c>
      <c r="C4292" t="inlineStr">
        <is>
          <t>Técnico III</t>
        </is>
      </c>
      <c r="D4292" t="n">
        <v>28</v>
      </c>
      <c r="E4292" t="n">
        <v>25</v>
      </c>
      <c r="F4292" t="n">
        <v>12.25</v>
      </c>
      <c r="G4292" t="n">
        <v>0</v>
      </c>
      <c r="H4292" t="n">
        <v>0</v>
      </c>
      <c r="I4292" s="3">
        <f>E4292+G4292+H4292</f>
        <v/>
      </c>
      <c r="J4292" s="3">
        <f>ROUND(MIN(IF(C4292="Técnico III",35,IF(C4292="Técnico II",28,IF(C4292="Técnico I",23,IF(C4292="JR",20,IF(C4292="Estágio",10,0))))),IF(C4292="Técnico III",SUMIFS($D:$D,$A:$A,$A4292,$B:$B,"&lt;&gt;Patrícia Karla de Sousa Araújo",$B:$B,"&lt;&gt;Lorena Dias de Araujo",$B:$B,"&lt;&gt;Lucas Luiz Romero")*(35/1083),IF(C4292="Técnico II",SUMIFS($D:$D,$A:$A,$A4292,$B:$B,"&lt;&gt;Patrícia Karla de Sousa Araújo",$B:$B,"&lt;&gt;Lorena Dias de Araujo",$B:$B,"&lt;&gt;Lucas Luiz Romero")*(28/1083),IF(C4292="Técnico I",SUMIFS($D:$D,$A:$A,$A4292,$B:$B,"&lt;&gt;Patrícia Karla de Sousa Araújo",$B:$B,"&lt;&gt;Lorena Dias de Araujo",$B:$B,"&lt;&gt;Lucas Luiz Romero")*(23/1083),IF(C4292="JR",SUMIFS($D:$D,$A:$A,$A4292,$B:$B,"&lt;&gt;Patrícia Karla de Sousa Araújo",$B:$B,"&lt;&gt;Lorena Dias de Araujo",$B:$B,"&lt;&gt;Lucas Luiz Romero")*(20/1083),IF(C4292="Estágio",SUMIFS($D:$D,$A:$A,$A4292,$B:$B,"&lt;&gt;Patrícia Karla de Sousa Araújo",$B:$B,"&lt;&gt;Lorena Dias de Araujo",$B:$B,"&lt;&gt;Lucas Luiz Romero")*(10/1083),0)))))),0)</f>
        <v/>
      </c>
      <c r="K4292" s="3">
        <f>I4292-J4292</f>
        <v/>
      </c>
      <c r="L4292" s="3">
        <f>IF(K4292&lt;-5,"CRÍTICO",IF(K4292&lt;0,"ATENÇÃO",IF(K4292&lt;=5,"OPORTUNO","MUITO BOM")))</f>
        <v/>
      </c>
      <c r="N4292" t="n">
        <v>100</v>
      </c>
      <c r="O4292" t="n">
        <v>31.13553113553114</v>
      </c>
    </row>
    <row r="4293" hidden="1">
      <c r="A4293" s="11" t="n">
        <v>46136</v>
      </c>
      <c r="B4293" t="inlineStr">
        <is>
          <t>Sara Maria Monteiro Lopes</t>
        </is>
      </c>
      <c r="C4293" t="inlineStr">
        <is>
          <t>Técnico I</t>
        </is>
      </c>
      <c r="D4293" t="n">
        <v>16</v>
      </c>
      <c r="E4293" t="n">
        <v>16</v>
      </c>
      <c r="F4293" t="n">
        <v>22.29</v>
      </c>
      <c r="G4293" t="n">
        <v>0</v>
      </c>
      <c r="H4293" t="n">
        <v>0</v>
      </c>
      <c r="I4293" s="3">
        <f>E4293+G4293+H4293</f>
        <v/>
      </c>
      <c r="J4293" s="3">
        <f>ROUND(MIN(IF(C4293="Técnico III",35,IF(C4293="Técnico II",28,IF(C4293="Técnico I",23,IF(C4293="JR",20,IF(C4293="Estágio",10,0))))),IF(C4293="Técnico III",SUMIFS($D:$D,$A:$A,$A4293,$B:$B,"&lt;&gt;Patrícia Karla de Sousa Araújo",$B:$B,"&lt;&gt;Lorena Dias de Araujo",$B:$B,"&lt;&gt;Lucas Luiz Romero")*(35/1083),IF(C4293="Técnico II",SUMIFS($D:$D,$A:$A,$A4293,$B:$B,"&lt;&gt;Patrícia Karla de Sousa Araújo",$B:$B,"&lt;&gt;Lorena Dias de Araujo",$B:$B,"&lt;&gt;Lucas Luiz Romero")*(28/1083),IF(C4293="Técnico I",SUMIFS($D:$D,$A:$A,$A4293,$B:$B,"&lt;&gt;Patrícia Karla de Sousa Araújo",$B:$B,"&lt;&gt;Lorena Dias de Araujo",$B:$B,"&lt;&gt;Lucas Luiz Romero")*(23/1083),IF(C4293="JR",SUMIFS($D:$D,$A:$A,$A4293,$B:$B,"&lt;&gt;Patrícia Karla de Sousa Araújo",$B:$B,"&lt;&gt;Lorena Dias de Araujo",$B:$B,"&lt;&gt;Lucas Luiz Romero")*(20/1083),IF(C4293="Estágio",SUMIFS($D:$D,$A:$A,$A4293,$B:$B,"&lt;&gt;Patrícia Karla de Sousa Araújo",$B:$B,"&lt;&gt;Lorena Dias de Araujo",$B:$B,"&lt;&gt;Lucas Luiz Romero")*(10/1083),0)))))),0)</f>
        <v/>
      </c>
      <c r="K4293" s="3">
        <f>I4293-J4293</f>
        <v/>
      </c>
      <c r="L4293" s="3">
        <f>IF(K4293&lt;-5,"CRÍTICO",IF(K4293&lt;0,"ATENÇÃO",IF(K4293&lt;=5,"OPORTUNO","MUITO BOM")))</f>
        <v/>
      </c>
      <c r="N4293" t="n">
        <v>100</v>
      </c>
      <c r="O4293" t="n">
        <v>26.02739726027397</v>
      </c>
    </row>
    <row r="4294" hidden="1">
      <c r="A4294" s="11" t="n">
        <v>46136</v>
      </c>
      <c r="B4294" t="inlineStr">
        <is>
          <t>Sarah Steffanie de Lima Borges</t>
        </is>
      </c>
      <c r="C4294" t="inlineStr">
        <is>
          <t>Técnico III</t>
        </is>
      </c>
      <c r="D4294" t="n">
        <v>20</v>
      </c>
      <c r="E4294" t="n">
        <v>18</v>
      </c>
      <c r="F4294" t="n">
        <v>18.34</v>
      </c>
      <c r="G4294" t="n">
        <v>0</v>
      </c>
      <c r="H4294" t="n">
        <v>0</v>
      </c>
      <c r="I4294" s="3">
        <f>E4294+G4294+H4294</f>
        <v/>
      </c>
      <c r="J4294" s="3">
        <f>ROUND(MIN(IF(C4294="Técnico III",35,IF(C4294="Técnico II",28,IF(C4294="Técnico I",23,IF(C4294="JR",20,IF(C4294="Estágio",10,0))))),IF(C4294="Técnico III",SUMIFS($D:$D,$A:$A,$A4294,$B:$B,"&lt;&gt;Patrícia Karla de Sousa Araújo",$B:$B,"&lt;&gt;Lorena Dias de Araujo",$B:$B,"&lt;&gt;Lucas Luiz Romero")*(35/1083),IF(C4294="Técnico II",SUMIFS($D:$D,$A:$A,$A4294,$B:$B,"&lt;&gt;Patrícia Karla de Sousa Araújo",$B:$B,"&lt;&gt;Lorena Dias de Araujo",$B:$B,"&lt;&gt;Lucas Luiz Romero")*(28/1083),IF(C4294="Técnico I",SUMIFS($D:$D,$A:$A,$A4294,$B:$B,"&lt;&gt;Patrícia Karla de Sousa Araújo",$B:$B,"&lt;&gt;Lorena Dias de Araujo",$B:$B,"&lt;&gt;Lucas Luiz Romero")*(23/1083),IF(C4294="JR",SUMIFS($D:$D,$A:$A,$A4294,$B:$B,"&lt;&gt;Patrícia Karla de Sousa Araújo",$B:$B,"&lt;&gt;Lorena Dias de Araujo",$B:$B,"&lt;&gt;Lucas Luiz Romero")*(20/1083),IF(C4294="Estágio",SUMIFS($D:$D,$A:$A,$A4294,$B:$B,"&lt;&gt;Patrícia Karla de Sousa Araújo",$B:$B,"&lt;&gt;Lorena Dias de Araujo",$B:$B,"&lt;&gt;Lucas Luiz Romero")*(10/1083),0)))))),0)</f>
        <v/>
      </c>
      <c r="K4294" s="3">
        <f>I4294-J4294</f>
        <v/>
      </c>
      <c r="L4294" s="3">
        <f>IF(K4294&lt;-5,"CRÍTICO",IF(K4294&lt;0,"ATENÇÃO",IF(K4294&lt;=5,"OPORTUNO","MUITO BOM")))</f>
        <v/>
      </c>
      <c r="N4294" t="n">
        <v>99.20999999999999</v>
      </c>
      <c r="O4294" t="n">
        <v>24.93702770780856</v>
      </c>
    </row>
    <row r="4295" hidden="1">
      <c r="A4295" s="11" t="n">
        <v>46139</v>
      </c>
      <c r="B4295" t="inlineStr">
        <is>
          <t>Alisson de Freitas Silva</t>
        </is>
      </c>
      <c r="C4295" t="inlineStr">
        <is>
          <t>Técnico II</t>
        </is>
      </c>
      <c r="D4295" t="n">
        <v>13</v>
      </c>
      <c r="E4295" t="n">
        <v>11</v>
      </c>
      <c r="F4295" t="n">
        <v>18.33</v>
      </c>
      <c r="G4295" t="n">
        <v>0</v>
      </c>
      <c r="H4295" t="n">
        <v>0</v>
      </c>
      <c r="I4295" s="3">
        <f>E4295+G4295+H4295</f>
        <v/>
      </c>
      <c r="J4295" s="3">
        <f>ROUND(MIN(IF(C4295="Técnico III",35,IF(C4295="Técnico II",28,IF(C4295="Técnico I",23,IF(C4295="JR",20,IF(C4295="Estágio",10,0))))),IF(C4295="Técnico III",SUMIFS($D:$D,$A:$A,$A4295,$B:$B,"&lt;&gt;Patrícia Karla de Sousa Araújo",$B:$B,"&lt;&gt;Lorena Dias de Araujo",$B:$B,"&lt;&gt;Lucas Luiz Romero")*(35/1083),IF(C4295="Técnico II",SUMIFS($D:$D,$A:$A,$A4295,$B:$B,"&lt;&gt;Patrícia Karla de Sousa Araújo",$B:$B,"&lt;&gt;Lorena Dias de Araujo",$B:$B,"&lt;&gt;Lucas Luiz Romero")*(28/1083),IF(C4295="Técnico I",SUMIFS($D:$D,$A:$A,$A4295,$B:$B,"&lt;&gt;Patrícia Karla de Sousa Araújo",$B:$B,"&lt;&gt;Lorena Dias de Araujo",$B:$B,"&lt;&gt;Lucas Luiz Romero")*(23/1083),IF(C4295="JR",SUMIFS($D:$D,$A:$A,$A4295,$B:$B,"&lt;&gt;Patrícia Karla de Sousa Araújo",$B:$B,"&lt;&gt;Lorena Dias de Araujo",$B:$B,"&lt;&gt;Lucas Luiz Romero")*(20/1083),IF(C4295="Estágio",SUMIFS($D:$D,$A:$A,$A4295,$B:$B,"&lt;&gt;Patrícia Karla de Sousa Araújo",$B:$B,"&lt;&gt;Lorena Dias de Araujo",$B:$B,"&lt;&gt;Lucas Luiz Romero")*(10/1083),0)))))),0)</f>
        <v/>
      </c>
      <c r="K4295" s="3">
        <f>I4295-J4295</f>
        <v/>
      </c>
      <c r="L4295" s="3">
        <f>IF(K4295&lt;-5,"CRÍTICO",IF(K4295&lt;0,"ATENÇÃO",IF(K4295&lt;=5,"OPORTUNO","MUITO BOM")))</f>
        <v/>
      </c>
      <c r="N4295" t="n">
        <v>100</v>
      </c>
      <c r="O4295" t="n">
        <v>32.76450511945392</v>
      </c>
    </row>
    <row r="4296" hidden="1">
      <c r="A4296" s="11" t="n">
        <v>46139</v>
      </c>
      <c r="B4296" t="inlineStr">
        <is>
          <t>Amanda Moura Ferreira</t>
        </is>
      </c>
      <c r="C4296" t="inlineStr">
        <is>
          <t>Técnico III</t>
        </is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s="3" t="n">
        <v>0</v>
      </c>
      <c r="J4296" s="3" t="n">
        <v>0</v>
      </c>
      <c r="K4296" s="3" t="n">
        <v>0</v>
      </c>
      <c r="L4296" s="3">
        <f>IF(K4296&lt;-5,"CRÍTICO",IF(K4296&lt;0,"ATENÇÃO",IF(K4296&lt;=5,"OPORTUNO","MUITO BOM")))</f>
        <v/>
      </c>
      <c r="N4296" t="n">
        <v>98.66</v>
      </c>
      <c r="O4296" t="n">
        <v>35.15625</v>
      </c>
    </row>
    <row r="4297" hidden="1">
      <c r="A4297" s="11" t="n">
        <v>46139</v>
      </c>
      <c r="B4297" t="inlineStr">
        <is>
          <t>Ana Karollyne Souza Faria</t>
        </is>
      </c>
      <c r="C4297" t="inlineStr">
        <is>
          <t>Técnico I</t>
        </is>
      </c>
      <c r="D4297" t="n">
        <v>11</v>
      </c>
      <c r="E4297" t="n">
        <v>9</v>
      </c>
      <c r="F4297" t="n">
        <v>17.3</v>
      </c>
      <c r="G4297" t="n">
        <v>0</v>
      </c>
      <c r="H4297" t="n">
        <v>0</v>
      </c>
      <c r="I4297" s="3">
        <f>E4297+G4297+H4297</f>
        <v/>
      </c>
      <c r="J4297" s="3">
        <f>ROUND(MIN(IF(C4297="Técnico III",35,IF(C4297="Técnico II",28,IF(C4297="Técnico I",23,IF(C4297="JR",20,IF(C4297="Estágio",10,0))))),IF(C4297="Técnico III",SUMIFS($D:$D,$A:$A,$A4297,$B:$B,"&lt;&gt;Patrícia Karla de Sousa Araújo",$B:$B,"&lt;&gt;Lorena Dias de Araujo",$B:$B,"&lt;&gt;Lucas Luiz Romero")*(35/1083),IF(C4297="Técnico II",SUMIFS($D:$D,$A:$A,$A4297,$B:$B,"&lt;&gt;Patrícia Karla de Sousa Araújo",$B:$B,"&lt;&gt;Lorena Dias de Araujo",$B:$B,"&lt;&gt;Lucas Luiz Romero")*(28/1083),IF(C4297="Técnico I",SUMIFS($D:$D,$A:$A,$A4297,$B:$B,"&lt;&gt;Patrícia Karla de Sousa Araújo",$B:$B,"&lt;&gt;Lorena Dias de Araujo",$B:$B,"&lt;&gt;Lucas Luiz Romero")*(23/1083),IF(C4297="JR",SUMIFS($D:$D,$A:$A,$A4297,$B:$B,"&lt;&gt;Patrícia Karla de Sousa Araújo",$B:$B,"&lt;&gt;Lorena Dias de Araujo",$B:$B,"&lt;&gt;Lucas Luiz Romero")*(20/1083),IF(C4297="Estágio",SUMIFS($D:$D,$A:$A,$A4297,$B:$B,"&lt;&gt;Patrícia Karla de Sousa Araújo",$B:$B,"&lt;&gt;Lorena Dias de Araujo",$B:$B,"&lt;&gt;Lucas Luiz Romero")*(10/1083),0)))))),0)</f>
        <v/>
      </c>
      <c r="K4297" s="3">
        <f>I4297-J4297</f>
        <v/>
      </c>
      <c r="L4297" s="3">
        <f>IF(K4297&lt;-5,"CRÍTICO",IF(K4297&lt;0,"ATENÇÃO",IF(K4297&lt;=5,"OPORTUNO","MUITO BOM")))</f>
        <v/>
      </c>
      <c r="N4297" t="n">
        <v>99.31999999999999</v>
      </c>
      <c r="O4297" t="n">
        <v>30.45186640471513</v>
      </c>
    </row>
    <row r="4298" hidden="1">
      <c r="A4298" s="11" t="n">
        <v>46139</v>
      </c>
      <c r="B4298" t="inlineStr">
        <is>
          <t>Ana Paula Da Luz Silva Aleixo</t>
        </is>
      </c>
      <c r="C4298" t="inlineStr">
        <is>
          <t>Técnico III</t>
        </is>
      </c>
      <c r="D4298" t="n">
        <v>12</v>
      </c>
      <c r="E4298" t="n">
        <v>10</v>
      </c>
      <c r="F4298" t="n">
        <v>13.31</v>
      </c>
      <c r="G4298" t="n">
        <v>0</v>
      </c>
      <c r="H4298" t="n">
        <v>0</v>
      </c>
      <c r="I4298" s="3">
        <f>E4298+G4298+H4298</f>
        <v/>
      </c>
      <c r="J4298" s="3">
        <f>ROUND(MIN(IF(C4298="Técnico III",35,IF(C4298="Técnico II",28,IF(C4298="Técnico I",23,IF(C4298="JR",20,IF(C4298="Estágio",10,0))))),IF(C4298="Técnico III",SUMIFS($D:$D,$A:$A,$A4298,$B:$B,"&lt;&gt;Patrícia Karla de Sousa Araújo",$B:$B,"&lt;&gt;Lorena Dias de Araujo",$B:$B,"&lt;&gt;Lucas Luiz Romero")*(35/1083),IF(C4298="Técnico II",SUMIFS($D:$D,$A:$A,$A4298,$B:$B,"&lt;&gt;Patrícia Karla de Sousa Araújo",$B:$B,"&lt;&gt;Lorena Dias de Araujo",$B:$B,"&lt;&gt;Lucas Luiz Romero")*(28/1083),IF(C4298="Técnico I",SUMIFS($D:$D,$A:$A,$A4298,$B:$B,"&lt;&gt;Patrícia Karla de Sousa Araújo",$B:$B,"&lt;&gt;Lorena Dias de Araujo",$B:$B,"&lt;&gt;Lucas Luiz Romero")*(23/1083),IF(C4298="JR",SUMIFS($D:$D,$A:$A,$A4298,$B:$B,"&lt;&gt;Patrícia Karla de Sousa Araújo",$B:$B,"&lt;&gt;Lorena Dias de Araujo",$B:$B,"&lt;&gt;Lucas Luiz Romero")*(20/1083),IF(C4298="Estágio",SUMIFS($D:$D,$A:$A,$A4298,$B:$B,"&lt;&gt;Patrícia Karla de Sousa Araújo",$B:$B,"&lt;&gt;Lorena Dias de Araujo",$B:$B,"&lt;&gt;Lucas Luiz Romero")*(10/1083),0)))))),0)</f>
        <v/>
      </c>
      <c r="K4298" s="3">
        <f>I4298-J4298</f>
        <v/>
      </c>
      <c r="L4298" s="3">
        <f>IF(K4298&lt;-5,"CRÍTICO",IF(K4298&lt;0,"ATENÇÃO",IF(K4298&lt;=5,"OPORTUNO","MUITO BOM")))</f>
        <v/>
      </c>
      <c r="N4298" t="n">
        <v>100</v>
      </c>
      <c r="O4298" t="n">
        <v>27.80373831775701</v>
      </c>
    </row>
    <row r="4299" hidden="1">
      <c r="A4299" s="11" t="n">
        <v>46139</v>
      </c>
      <c r="B4299" t="inlineStr">
        <is>
          <t>Anna Luiza Rezende Tavares</t>
        </is>
      </c>
      <c r="C4299" t="inlineStr">
        <is>
          <t>Estágio</t>
        </is>
      </c>
      <c r="D4299" t="n">
        <v>14</v>
      </c>
      <c r="E4299" t="n">
        <v>14</v>
      </c>
      <c r="F4299" t="n">
        <v>14.02</v>
      </c>
      <c r="G4299" t="n">
        <v>0</v>
      </c>
      <c r="H4299" t="n">
        <v>0</v>
      </c>
      <c r="I4299" s="3">
        <f>E4299+G4299+H4299</f>
        <v/>
      </c>
      <c r="J4299" s="3">
        <f>ROUND(MIN(IF(C4299="Técnico III",35,IF(C4299="Técnico II",28,IF(C4299="Técnico I",23,IF(C4299="JR",20,IF(C4299="Estágio",10,0))))),IF(C4299="Técnico III",SUMIFS($D:$D,$A:$A,$A4299,$B:$B,"&lt;&gt;Patrícia Karla de Sousa Araújo",$B:$B,"&lt;&gt;Lorena Dias de Araujo",$B:$B,"&lt;&gt;Lucas Luiz Romero")*(35/1083),IF(C4299="Técnico II",SUMIFS($D:$D,$A:$A,$A4299,$B:$B,"&lt;&gt;Patrícia Karla de Sousa Araújo",$B:$B,"&lt;&gt;Lorena Dias de Araujo",$B:$B,"&lt;&gt;Lucas Luiz Romero")*(28/1083),IF(C4299="Técnico I",SUMIFS($D:$D,$A:$A,$A4299,$B:$B,"&lt;&gt;Patrícia Karla de Sousa Araújo",$B:$B,"&lt;&gt;Lorena Dias de Araujo",$B:$B,"&lt;&gt;Lucas Luiz Romero")*(23/1083),IF(C4299="JR",SUMIFS($D:$D,$A:$A,$A4299,$B:$B,"&lt;&gt;Patrícia Karla de Sousa Araújo",$B:$B,"&lt;&gt;Lorena Dias de Araujo",$B:$B,"&lt;&gt;Lucas Luiz Romero")*(20/1083),IF(C4299="Estágio",SUMIFS($D:$D,$A:$A,$A4299,$B:$B,"&lt;&gt;Patrícia Karla de Sousa Araújo",$B:$B,"&lt;&gt;Lorena Dias de Araujo",$B:$B,"&lt;&gt;Lucas Luiz Romero")*(10/1083),0)))))),0)</f>
        <v/>
      </c>
      <c r="K4299" s="3">
        <f>I4299-J4299</f>
        <v/>
      </c>
      <c r="L4299" s="3">
        <f>IF(K4299&lt;-5,"CRÍTICO",IF(K4299&lt;0,"ATENÇÃO",IF(K4299&lt;=5,"OPORTUNO","MUITO BOM")))</f>
        <v/>
      </c>
      <c r="N4299" t="n">
        <v>96.73999999999999</v>
      </c>
      <c r="O4299" t="n">
        <v>28.43137254901961</v>
      </c>
    </row>
    <row r="4300" hidden="1">
      <c r="A4300" s="11" t="n">
        <v>46139</v>
      </c>
      <c r="B4300" t="inlineStr">
        <is>
          <t>Brenda de Menezes Silva</t>
        </is>
      </c>
      <c r="C4300" t="inlineStr">
        <is>
          <t>Técnico II</t>
        </is>
      </c>
      <c r="D4300" t="n">
        <v>14</v>
      </c>
      <c r="E4300" t="n">
        <v>13</v>
      </c>
      <c r="F4300" t="n">
        <v>15.11</v>
      </c>
      <c r="G4300" t="n">
        <v>0</v>
      </c>
      <c r="H4300" t="n">
        <v>0</v>
      </c>
      <c r="I4300" s="3">
        <f>E4300+G4300+H4300</f>
        <v/>
      </c>
      <c r="J4300" s="3">
        <f>ROUND(MIN(IF(C4300="Técnico III",35,IF(C4300="Técnico II",28,IF(C4300="Técnico I",23,IF(C4300="JR",20,IF(C4300="Estágio",10,0))))),IF(C4300="Técnico III",SUMIFS($D:$D,$A:$A,$A4300,$B:$B,"&lt;&gt;Patrícia Karla de Sousa Araújo",$B:$B,"&lt;&gt;Lorena Dias de Araujo",$B:$B,"&lt;&gt;Lucas Luiz Romero")*(35/1083),IF(C4300="Técnico II",SUMIFS($D:$D,$A:$A,$A4300,$B:$B,"&lt;&gt;Patrícia Karla de Sousa Araújo",$B:$B,"&lt;&gt;Lorena Dias de Araujo",$B:$B,"&lt;&gt;Lucas Luiz Romero")*(28/1083),IF(C4300="Técnico I",SUMIFS($D:$D,$A:$A,$A4300,$B:$B,"&lt;&gt;Patrícia Karla de Sousa Araújo",$B:$B,"&lt;&gt;Lorena Dias de Araujo",$B:$B,"&lt;&gt;Lucas Luiz Romero")*(23/1083),IF(C4300="JR",SUMIFS($D:$D,$A:$A,$A4300,$B:$B,"&lt;&gt;Patrícia Karla de Sousa Araújo",$B:$B,"&lt;&gt;Lorena Dias de Araujo",$B:$B,"&lt;&gt;Lucas Luiz Romero")*(20/1083),IF(C4300="Estágio",SUMIFS($D:$D,$A:$A,$A4300,$B:$B,"&lt;&gt;Patrícia Karla de Sousa Araújo",$B:$B,"&lt;&gt;Lorena Dias de Araujo",$B:$B,"&lt;&gt;Lucas Luiz Romero")*(10/1083),0)))))),0)</f>
        <v/>
      </c>
      <c r="K4300" s="3">
        <f>I4300-J4300</f>
        <v/>
      </c>
      <c r="L4300" s="3">
        <f>IF(K4300&lt;-5,"CRÍTICO",IF(K4300&lt;0,"ATENÇÃO",IF(K4300&lt;=5,"OPORTUNO","MUITO BOM")))</f>
        <v/>
      </c>
      <c r="N4300" t="n">
        <v>98.81999999999999</v>
      </c>
      <c r="O4300" t="n">
        <v>30.74141048824593</v>
      </c>
    </row>
    <row r="4301" hidden="1">
      <c r="A4301" s="11" t="n">
        <v>46139</v>
      </c>
      <c r="B4301" t="inlineStr">
        <is>
          <t>Carlos Mateus Cassimiro Nunes</t>
        </is>
      </c>
      <c r="C4301" t="inlineStr">
        <is>
          <t>Técnico II</t>
        </is>
      </c>
      <c r="D4301" t="n">
        <v>12</v>
      </c>
      <c r="E4301" t="n">
        <v>12</v>
      </c>
      <c r="F4301" t="n">
        <v>24.05</v>
      </c>
      <c r="G4301" t="n">
        <v>0</v>
      </c>
      <c r="H4301" t="n">
        <v>0</v>
      </c>
      <c r="I4301" s="3">
        <f>E4301+G4301+H4301</f>
        <v/>
      </c>
      <c r="J4301" s="3">
        <f>ROUND(MIN(IF(C4301="Técnico III",35,IF(C4301="Técnico II",28,IF(C4301="Técnico I",23,IF(C4301="JR",20,IF(C4301="Estágio",10,0))))),IF(C4301="Técnico III",SUMIFS($D:$D,$A:$A,$A4301,$B:$B,"&lt;&gt;Patrícia Karla de Sousa Araújo",$B:$B,"&lt;&gt;Lorena Dias de Araujo",$B:$B,"&lt;&gt;Lucas Luiz Romero")*(35/1083),IF(C4301="Técnico II",SUMIFS($D:$D,$A:$A,$A4301,$B:$B,"&lt;&gt;Patrícia Karla de Sousa Araújo",$B:$B,"&lt;&gt;Lorena Dias de Araujo",$B:$B,"&lt;&gt;Lucas Luiz Romero")*(28/1083),IF(C4301="Técnico I",SUMIFS($D:$D,$A:$A,$A4301,$B:$B,"&lt;&gt;Patrícia Karla de Sousa Araújo",$B:$B,"&lt;&gt;Lorena Dias de Araujo",$B:$B,"&lt;&gt;Lucas Luiz Romero")*(23/1083),IF(C4301="JR",SUMIFS($D:$D,$A:$A,$A4301,$B:$B,"&lt;&gt;Patrícia Karla de Sousa Araújo",$B:$B,"&lt;&gt;Lorena Dias de Araujo",$B:$B,"&lt;&gt;Lucas Luiz Romero")*(20/1083),IF(C4301="Estágio",SUMIFS($D:$D,$A:$A,$A4301,$B:$B,"&lt;&gt;Patrícia Karla de Sousa Araújo",$B:$B,"&lt;&gt;Lorena Dias de Araujo",$B:$B,"&lt;&gt;Lucas Luiz Romero")*(10/1083),0)))))),0)</f>
        <v/>
      </c>
      <c r="K4301" s="3">
        <f>I4301-J4301</f>
        <v/>
      </c>
      <c r="L4301" s="3">
        <f>IF(K4301&lt;-5,"CRÍTICO",IF(K4301&lt;0,"ATENÇÃO",IF(K4301&lt;=5,"OPORTUNO","MUITO BOM")))</f>
        <v/>
      </c>
      <c r="N4301" t="n">
        <v>98.2</v>
      </c>
      <c r="O4301" t="n">
        <v>26.89075630252101</v>
      </c>
    </row>
    <row r="4302" hidden="1">
      <c r="A4302" s="11" t="n">
        <v>46139</v>
      </c>
      <c r="B4302" t="inlineStr">
        <is>
          <t>Claudio de Sousa Velasco Filho</t>
        </is>
      </c>
      <c r="C4302" t="inlineStr">
        <is>
          <t>Estágio</t>
        </is>
      </c>
      <c r="D4302" t="n">
        <v>8</v>
      </c>
      <c r="E4302" t="n">
        <v>8</v>
      </c>
      <c r="F4302" t="n">
        <v>22.16</v>
      </c>
      <c r="G4302" t="n">
        <v>0</v>
      </c>
      <c r="H4302" t="n">
        <v>0</v>
      </c>
      <c r="I4302" s="3">
        <f>E4302+G4302+H4302</f>
        <v/>
      </c>
      <c r="J4302" s="3">
        <f>ROUND(MIN(IF(C4302="Técnico III",35,IF(C4302="Técnico II",28,IF(C4302="Técnico I",23,IF(C4302="JR",20,IF(C4302="Estágio",10,0))))),IF(C4302="Técnico III",SUMIFS($D:$D,$A:$A,$A4302,$B:$B,"&lt;&gt;Patrícia Karla de Sousa Araújo",$B:$B,"&lt;&gt;Lorena Dias de Araujo",$B:$B,"&lt;&gt;Lucas Luiz Romero")*(35/1083),IF(C4302="Técnico II",SUMIFS($D:$D,$A:$A,$A4302,$B:$B,"&lt;&gt;Patrícia Karla de Sousa Araújo",$B:$B,"&lt;&gt;Lorena Dias de Araujo",$B:$B,"&lt;&gt;Lucas Luiz Romero")*(28/1083),IF(C4302="Técnico I",SUMIFS($D:$D,$A:$A,$A4302,$B:$B,"&lt;&gt;Patrícia Karla de Sousa Araújo",$B:$B,"&lt;&gt;Lorena Dias de Araujo",$B:$B,"&lt;&gt;Lucas Luiz Romero")*(23/1083),IF(C4302="JR",SUMIFS($D:$D,$A:$A,$A4302,$B:$B,"&lt;&gt;Patrícia Karla de Sousa Araújo",$B:$B,"&lt;&gt;Lorena Dias de Araujo",$B:$B,"&lt;&gt;Lucas Luiz Romero")*(20/1083),IF(C4302="Estágio",SUMIFS($D:$D,$A:$A,$A4302,$B:$B,"&lt;&gt;Patrícia Karla de Sousa Araújo",$B:$B,"&lt;&gt;Lorena Dias de Araujo",$B:$B,"&lt;&gt;Lucas Luiz Romero")*(10/1083),0)))))),0)</f>
        <v/>
      </c>
      <c r="K4302" s="3">
        <f>I4302-J4302</f>
        <v/>
      </c>
      <c r="L4302" s="3">
        <f>IF(K4302&lt;-5,"CRÍTICO",IF(K4302&lt;0,"ATENÇÃO",IF(K4302&lt;=5,"OPORTUNO","MUITO BOM")))</f>
        <v/>
      </c>
      <c r="N4302" t="n">
        <v>100</v>
      </c>
      <c r="O4302" t="n">
        <v>23.13432835820895</v>
      </c>
    </row>
    <row r="4303" hidden="1">
      <c r="A4303" s="11" t="n">
        <v>46139</v>
      </c>
      <c r="B4303" t="inlineStr">
        <is>
          <t>Clessiane Pereira dos Santos</t>
        </is>
      </c>
      <c r="C4303" t="inlineStr">
        <is>
          <t>Técnico I</t>
        </is>
      </c>
      <c r="D4303" t="n">
        <v>3</v>
      </c>
      <c r="E4303" t="n">
        <v>3</v>
      </c>
      <c r="F4303" t="n">
        <v>10.12</v>
      </c>
      <c r="G4303" t="n">
        <v>0</v>
      </c>
      <c r="H4303" t="n">
        <v>0</v>
      </c>
      <c r="I4303" s="3">
        <f>E4303+G4303+H4303</f>
        <v/>
      </c>
      <c r="J4303" s="3">
        <f>ROUND(MIN(IF(C4303="Técnico III",35,IF(C4303="Técnico II",28,IF(C4303="Técnico I",23,IF(C4303="JR",20,IF(C4303="Estágio",10,0))))),IF(C4303="Técnico III",SUMIFS($D:$D,$A:$A,$A4303,$B:$B,"&lt;&gt;Patrícia Karla de Sousa Araújo",$B:$B,"&lt;&gt;Lorena Dias de Araujo",$B:$B,"&lt;&gt;Lucas Luiz Romero")*(35/1083),IF(C4303="Técnico II",SUMIFS($D:$D,$A:$A,$A4303,$B:$B,"&lt;&gt;Patrícia Karla de Sousa Araújo",$B:$B,"&lt;&gt;Lorena Dias de Araujo",$B:$B,"&lt;&gt;Lucas Luiz Romero")*(28/1083),IF(C4303="Técnico I",SUMIFS($D:$D,$A:$A,$A4303,$B:$B,"&lt;&gt;Patrícia Karla de Sousa Araújo",$B:$B,"&lt;&gt;Lorena Dias de Araujo",$B:$B,"&lt;&gt;Lucas Luiz Romero")*(23/1083),IF(C4303="JR",SUMIFS($D:$D,$A:$A,$A4303,$B:$B,"&lt;&gt;Patrícia Karla de Sousa Araújo",$B:$B,"&lt;&gt;Lorena Dias de Araujo",$B:$B,"&lt;&gt;Lucas Luiz Romero")*(20/1083),IF(C4303="Estágio",SUMIFS($D:$D,$A:$A,$A4303,$B:$B,"&lt;&gt;Patrícia Karla de Sousa Araújo",$B:$B,"&lt;&gt;Lorena Dias de Araujo",$B:$B,"&lt;&gt;Lucas Luiz Romero")*(10/1083),0)))))),0)</f>
        <v/>
      </c>
      <c r="K4303" s="3">
        <f>I4303-J4303</f>
        <v/>
      </c>
      <c r="L4303" s="3">
        <f>IF(K4303&lt;-5,"CRÍTICO",IF(K4303&lt;0,"ATENÇÃO",IF(K4303&lt;=5,"OPORTUNO","MUITO BOM")))</f>
        <v/>
      </c>
      <c r="N4303" t="n">
        <v>96.3</v>
      </c>
      <c r="O4303" t="n">
        <v>31.98090692124105</v>
      </c>
    </row>
    <row r="4304" hidden="1">
      <c r="A4304" s="11" t="n">
        <v>46139</v>
      </c>
      <c r="B4304" t="inlineStr">
        <is>
          <t>Cristiane Ramos da Silva Rocha</t>
        </is>
      </c>
      <c r="C4304" t="inlineStr">
        <is>
          <t>Técnico III</t>
        </is>
      </c>
      <c r="D4304" t="n">
        <v>15</v>
      </c>
      <c r="E4304" t="n">
        <v>14</v>
      </c>
      <c r="F4304" t="n">
        <v>10.5</v>
      </c>
      <c r="G4304" t="n">
        <v>0</v>
      </c>
      <c r="H4304" t="n">
        <v>0</v>
      </c>
      <c r="I4304" s="3">
        <f>E4304+G4304+H4304</f>
        <v/>
      </c>
      <c r="J4304" s="3">
        <f>ROUND(MIN(IF(C4304="Técnico III",35,IF(C4304="Técnico II",28,IF(C4304="Técnico I",23,IF(C4304="JR",20,IF(C4304="Estágio",10,0))))),IF(C4304="Técnico III",SUMIFS($D:$D,$A:$A,$A4304,$B:$B,"&lt;&gt;Patrícia Karla de Sousa Araújo",$B:$B,"&lt;&gt;Lorena Dias de Araujo",$B:$B,"&lt;&gt;Lucas Luiz Romero")*(35/1083),IF(C4304="Técnico II",SUMIFS($D:$D,$A:$A,$A4304,$B:$B,"&lt;&gt;Patrícia Karla de Sousa Araújo",$B:$B,"&lt;&gt;Lorena Dias de Araujo",$B:$B,"&lt;&gt;Lucas Luiz Romero")*(28/1083),IF(C4304="Técnico I",SUMIFS($D:$D,$A:$A,$A4304,$B:$B,"&lt;&gt;Patrícia Karla de Sousa Araújo",$B:$B,"&lt;&gt;Lorena Dias de Araujo",$B:$B,"&lt;&gt;Lucas Luiz Romero")*(23/1083),IF(C4304="JR",SUMIFS($D:$D,$A:$A,$A4304,$B:$B,"&lt;&gt;Patrícia Karla de Sousa Araújo",$B:$B,"&lt;&gt;Lorena Dias de Araujo",$B:$B,"&lt;&gt;Lucas Luiz Romero")*(20/1083),IF(C4304="Estágio",SUMIFS($D:$D,$A:$A,$A4304,$B:$B,"&lt;&gt;Patrícia Karla de Sousa Araújo",$B:$B,"&lt;&gt;Lorena Dias de Araujo",$B:$B,"&lt;&gt;Lucas Luiz Romero")*(10/1083),0)))))),0)</f>
        <v/>
      </c>
      <c r="K4304" s="3">
        <f>I4304-J4304</f>
        <v/>
      </c>
      <c r="L4304" s="3">
        <f>IF(K4304&lt;-5,"CRÍTICO",IF(K4304&lt;0,"ATENÇÃO",IF(K4304&lt;=5,"OPORTUNO","MUITO BOM")))</f>
        <v/>
      </c>
      <c r="N4304" t="n">
        <v>93.75</v>
      </c>
      <c r="O4304" t="n">
        <v>26.62835249042146</v>
      </c>
    </row>
    <row r="4305" hidden="1">
      <c r="A4305" s="11" t="n">
        <v>46139</v>
      </c>
      <c r="B4305" t="inlineStr">
        <is>
          <t>Damyllis Lorraine de Oliveira Gonçalves</t>
        </is>
      </c>
      <c r="C4305" t="inlineStr">
        <is>
          <t>Técnico II</t>
        </is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s="3" t="n">
        <v>0</v>
      </c>
      <c r="J4305" s="3" t="n">
        <v>0</v>
      </c>
      <c r="K4305" s="3" t="n">
        <v>0</v>
      </c>
      <c r="L4305" s="3">
        <f>IF(K4305&lt;-5,"CRÍTICO",IF(K4305&lt;0,"ATENÇÃO",IF(K4305&lt;=5,"OPORTUNO","MUITO BOM")))</f>
        <v/>
      </c>
      <c r="N4305" t="n">
        <v>97.86</v>
      </c>
      <c r="O4305" t="n">
        <v>31.01851851851852</v>
      </c>
    </row>
    <row r="4306" hidden="1">
      <c r="A4306" s="11" t="n">
        <v>46139</v>
      </c>
      <c r="B4306" t="inlineStr">
        <is>
          <t>Daniel Gomes da Silva</t>
        </is>
      </c>
      <c r="C4306" t="inlineStr">
        <is>
          <t>Técnico I</t>
        </is>
      </c>
      <c r="D4306" t="n">
        <v>12</v>
      </c>
      <c r="E4306" t="n">
        <v>12</v>
      </c>
      <c r="F4306" t="n">
        <v>18.5</v>
      </c>
      <c r="G4306" t="n">
        <v>0</v>
      </c>
      <c r="H4306" t="n">
        <v>0</v>
      </c>
      <c r="I4306" s="3">
        <f>E4306+G4306+H4306</f>
        <v/>
      </c>
      <c r="J4306" s="3">
        <f>ROUND(MIN(IF(C4306="Técnico III",35,IF(C4306="Técnico II",28,IF(C4306="Técnico I",23,IF(C4306="JR",20,IF(C4306="Estágio",10,0))))),IF(C4306="Técnico III",SUMIFS($D:$D,$A:$A,$A4306,$B:$B,"&lt;&gt;Patrícia Karla de Sousa Araújo",$B:$B,"&lt;&gt;Lorena Dias de Araujo",$B:$B,"&lt;&gt;Lucas Luiz Romero")*(35/1083),IF(C4306="Técnico II",SUMIFS($D:$D,$A:$A,$A4306,$B:$B,"&lt;&gt;Patrícia Karla de Sousa Araújo",$B:$B,"&lt;&gt;Lorena Dias de Araujo",$B:$B,"&lt;&gt;Lucas Luiz Romero")*(28/1083),IF(C4306="Técnico I",SUMIFS($D:$D,$A:$A,$A4306,$B:$B,"&lt;&gt;Patrícia Karla de Sousa Araújo",$B:$B,"&lt;&gt;Lorena Dias de Araujo",$B:$B,"&lt;&gt;Lucas Luiz Romero")*(23/1083),IF(C4306="JR",SUMIFS($D:$D,$A:$A,$A4306,$B:$B,"&lt;&gt;Patrícia Karla de Sousa Araújo",$B:$B,"&lt;&gt;Lorena Dias de Araujo",$B:$B,"&lt;&gt;Lucas Luiz Romero")*(20/1083),IF(C4306="Estágio",SUMIFS($D:$D,$A:$A,$A4306,$B:$B,"&lt;&gt;Patrícia Karla de Sousa Araújo",$B:$B,"&lt;&gt;Lorena Dias de Araujo",$B:$B,"&lt;&gt;Lucas Luiz Romero")*(10/1083),0)))))),0)</f>
        <v/>
      </c>
      <c r="K4306" s="3">
        <f>I4306-J4306</f>
        <v/>
      </c>
      <c r="L4306" s="3">
        <f>IF(K4306&lt;-5,"CRÍTICO",IF(K4306&lt;0,"ATENÇÃO",IF(K4306&lt;=5,"OPORTUNO","MUITO BOM")))</f>
        <v/>
      </c>
      <c r="N4306" t="n">
        <v>100</v>
      </c>
      <c r="O4306" t="n">
        <v>36.23188405797102</v>
      </c>
    </row>
    <row r="4307" hidden="1">
      <c r="A4307" s="11" t="n">
        <v>46139</v>
      </c>
      <c r="B4307" t="inlineStr">
        <is>
          <t>Davylla Rodrigues Freitas Silva</t>
        </is>
      </c>
      <c r="C4307" t="inlineStr">
        <is>
          <t>Técnico III</t>
        </is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s="3" t="n">
        <v>0</v>
      </c>
      <c r="J4307" s="3" t="n">
        <v>0</v>
      </c>
      <c r="K4307" s="3" t="n">
        <v>0</v>
      </c>
      <c r="L4307" s="3">
        <f>IF(K4307&lt;-5,"CRÍTICO",IF(K4307&lt;0,"ATENÇÃO",IF(K4307&lt;=5,"OPORTUNO","MUITO BOM")))</f>
        <v/>
      </c>
      <c r="N4307" t="n">
        <v>100</v>
      </c>
      <c r="O4307" t="n">
        <v>38.26923076923077</v>
      </c>
    </row>
    <row r="4308" hidden="1">
      <c r="A4308" s="11" t="n">
        <v>46139</v>
      </c>
      <c r="B4308" t="inlineStr">
        <is>
          <t>Emilly Caylane Costa</t>
        </is>
      </c>
      <c r="C4308" t="inlineStr">
        <is>
          <t>Estágio</t>
        </is>
      </c>
      <c r="D4308" t="n">
        <v>9</v>
      </c>
      <c r="E4308" t="n">
        <v>9</v>
      </c>
      <c r="F4308" t="n">
        <v>25.01</v>
      </c>
      <c r="G4308" t="n">
        <v>0</v>
      </c>
      <c r="H4308" t="n">
        <v>0</v>
      </c>
      <c r="I4308" s="3">
        <f>E4308+G4308+H4308</f>
        <v/>
      </c>
      <c r="J4308" s="3">
        <f>ROUND(MIN(IF(C4308="Técnico III",35,IF(C4308="Técnico II",28,IF(C4308="Técnico I",23,IF(C4308="JR",20,IF(C4308="Estágio",10,0))))),IF(C4308="Técnico III",SUMIFS($D:$D,$A:$A,$A4308,$B:$B,"&lt;&gt;Patrícia Karla de Sousa Araújo",$B:$B,"&lt;&gt;Lorena Dias de Araujo",$B:$B,"&lt;&gt;Lucas Luiz Romero")*(35/1083),IF(C4308="Técnico II",SUMIFS($D:$D,$A:$A,$A4308,$B:$B,"&lt;&gt;Patrícia Karla de Sousa Araújo",$B:$B,"&lt;&gt;Lorena Dias de Araujo",$B:$B,"&lt;&gt;Lucas Luiz Romero")*(28/1083),IF(C4308="Técnico I",SUMIFS($D:$D,$A:$A,$A4308,$B:$B,"&lt;&gt;Patrícia Karla de Sousa Araújo",$B:$B,"&lt;&gt;Lorena Dias de Araujo",$B:$B,"&lt;&gt;Lucas Luiz Romero")*(23/1083),IF(C4308="JR",SUMIFS($D:$D,$A:$A,$A4308,$B:$B,"&lt;&gt;Patrícia Karla de Sousa Araújo",$B:$B,"&lt;&gt;Lorena Dias de Araujo",$B:$B,"&lt;&gt;Lucas Luiz Romero")*(20/1083),IF(C4308="Estágio",SUMIFS($D:$D,$A:$A,$A4308,$B:$B,"&lt;&gt;Patrícia Karla de Sousa Araújo",$B:$B,"&lt;&gt;Lorena Dias de Araujo",$B:$B,"&lt;&gt;Lucas Luiz Romero")*(10/1083),0)))))),0)</f>
        <v/>
      </c>
      <c r="K4308" s="3">
        <f>I4308-J4308</f>
        <v/>
      </c>
      <c r="L4308" s="3">
        <f>IF(K4308&lt;-5,"CRÍTICO",IF(K4308&lt;0,"ATENÇÃO",IF(K4308&lt;=5,"OPORTUNO","MUITO BOM")))</f>
        <v/>
      </c>
      <c r="N4308" t="n">
        <v>100</v>
      </c>
      <c r="O4308" t="n">
        <v>27.36842105263158</v>
      </c>
    </row>
    <row r="4309" hidden="1">
      <c r="A4309" s="11" t="n">
        <v>46139</v>
      </c>
      <c r="B4309" t="inlineStr">
        <is>
          <t>Emilly Kamilly Medeiros Miranda</t>
        </is>
      </c>
      <c r="C4309" t="inlineStr">
        <is>
          <t>Técnico II</t>
        </is>
      </c>
      <c r="D4309" t="n">
        <v>18</v>
      </c>
      <c r="E4309" t="n">
        <v>16</v>
      </c>
      <c r="F4309" t="n">
        <v>15.02</v>
      </c>
      <c r="G4309" t="n">
        <v>0</v>
      </c>
      <c r="H4309" t="n">
        <v>0</v>
      </c>
      <c r="I4309" s="3">
        <f>E4309+G4309+H4309</f>
        <v/>
      </c>
      <c r="J4309" s="3">
        <f>ROUND(MIN(IF(C4309="Técnico III",35,IF(C4309="Técnico II",28,IF(C4309="Técnico I",23,IF(C4309="JR",20,IF(C4309="Estágio",10,0))))),IF(C4309="Técnico III",SUMIFS($D:$D,$A:$A,$A4309,$B:$B,"&lt;&gt;Patrícia Karla de Sousa Araújo",$B:$B,"&lt;&gt;Lorena Dias de Araujo",$B:$B,"&lt;&gt;Lucas Luiz Romero")*(35/1083),IF(C4309="Técnico II",SUMIFS($D:$D,$A:$A,$A4309,$B:$B,"&lt;&gt;Patrícia Karla de Sousa Araújo",$B:$B,"&lt;&gt;Lorena Dias de Araujo",$B:$B,"&lt;&gt;Lucas Luiz Romero")*(28/1083),IF(C4309="Técnico I",SUMIFS($D:$D,$A:$A,$A4309,$B:$B,"&lt;&gt;Patrícia Karla de Sousa Araújo",$B:$B,"&lt;&gt;Lorena Dias de Araujo",$B:$B,"&lt;&gt;Lucas Luiz Romero")*(23/1083),IF(C4309="JR",SUMIFS($D:$D,$A:$A,$A4309,$B:$B,"&lt;&gt;Patrícia Karla de Sousa Araújo",$B:$B,"&lt;&gt;Lorena Dias de Araujo",$B:$B,"&lt;&gt;Lucas Luiz Romero")*(20/1083),IF(C4309="Estágio",SUMIFS($D:$D,$A:$A,$A4309,$B:$B,"&lt;&gt;Patrícia Karla de Sousa Araújo",$B:$B,"&lt;&gt;Lorena Dias de Araujo",$B:$B,"&lt;&gt;Lucas Luiz Romero")*(10/1083),0)))))),0)</f>
        <v/>
      </c>
      <c r="K4309" s="3">
        <f>I4309-J4309</f>
        <v/>
      </c>
      <c r="L4309" s="3">
        <f>IF(K4309&lt;-5,"CRÍTICO",IF(K4309&lt;0,"ATENÇÃO",IF(K4309&lt;=5,"OPORTUNO","MUITO BOM")))</f>
        <v/>
      </c>
      <c r="N4309" t="n">
        <v>97.83</v>
      </c>
      <c r="O4309" t="n">
        <v>28.13186813186813</v>
      </c>
    </row>
    <row r="4310" hidden="1">
      <c r="A4310" s="11" t="n">
        <v>46139</v>
      </c>
      <c r="B4310" t="inlineStr">
        <is>
          <t>Francielson de Oliveira</t>
        </is>
      </c>
      <c r="C4310" t="inlineStr">
        <is>
          <t>Técnico III</t>
        </is>
      </c>
      <c r="D4310" t="n">
        <v>15</v>
      </c>
      <c r="E4310" t="n">
        <v>15</v>
      </c>
      <c r="F4310" t="n">
        <v>13.5</v>
      </c>
      <c r="G4310" t="n">
        <v>0</v>
      </c>
      <c r="H4310" t="n">
        <v>0</v>
      </c>
      <c r="I4310" s="3">
        <f>E4310+G4310+H4310</f>
        <v/>
      </c>
      <c r="J4310" s="3">
        <f>ROUND(MIN(IF(C4310="Técnico III",35,IF(C4310="Técnico II",28,IF(C4310="Técnico I",23,IF(C4310="JR",20,IF(C4310="Estágio",10,0))))),IF(C4310="Técnico III",SUMIFS($D:$D,$A:$A,$A4310,$B:$B,"&lt;&gt;Patrícia Karla de Sousa Araújo",$B:$B,"&lt;&gt;Lorena Dias de Araujo",$B:$B,"&lt;&gt;Lucas Luiz Romero")*(35/1083),IF(C4310="Técnico II",SUMIFS($D:$D,$A:$A,$A4310,$B:$B,"&lt;&gt;Patrícia Karla de Sousa Araújo",$B:$B,"&lt;&gt;Lorena Dias de Araujo",$B:$B,"&lt;&gt;Lucas Luiz Romero")*(28/1083),IF(C4310="Técnico I",SUMIFS($D:$D,$A:$A,$A4310,$B:$B,"&lt;&gt;Patrícia Karla de Sousa Araújo",$B:$B,"&lt;&gt;Lorena Dias de Araujo",$B:$B,"&lt;&gt;Lucas Luiz Romero")*(23/1083),IF(C4310="JR",SUMIFS($D:$D,$A:$A,$A4310,$B:$B,"&lt;&gt;Patrícia Karla de Sousa Araújo",$B:$B,"&lt;&gt;Lorena Dias de Araujo",$B:$B,"&lt;&gt;Lucas Luiz Romero")*(20/1083),IF(C4310="Estágio",SUMIFS($D:$D,$A:$A,$A4310,$B:$B,"&lt;&gt;Patrícia Karla de Sousa Araújo",$B:$B,"&lt;&gt;Lorena Dias de Araujo",$B:$B,"&lt;&gt;Lucas Luiz Romero")*(10/1083),0)))))),0)</f>
        <v/>
      </c>
      <c r="K4310" s="3">
        <f>I4310-J4310</f>
        <v/>
      </c>
      <c r="L4310" s="3">
        <f>IF(K4310&lt;-5,"CRÍTICO",IF(K4310&lt;0,"ATENÇÃO",IF(K4310&lt;=5,"OPORTUNO","MUITO BOM")))</f>
        <v/>
      </c>
      <c r="N4310" t="n">
        <v>99.26000000000001</v>
      </c>
      <c r="O4310" t="n">
        <v>29.57198443579767</v>
      </c>
    </row>
    <row r="4311" hidden="1">
      <c r="A4311" s="11" t="n">
        <v>46139</v>
      </c>
      <c r="B4311" t="inlineStr">
        <is>
          <t>Francilene Ferreira de Jesus</t>
        </is>
      </c>
      <c r="C4311" t="inlineStr">
        <is>
          <t>Técnico II</t>
        </is>
      </c>
      <c r="D4311" t="n">
        <v>14</v>
      </c>
      <c r="E4311" t="n">
        <v>14</v>
      </c>
      <c r="F4311" t="n">
        <v>15.32</v>
      </c>
      <c r="G4311" t="n">
        <v>0</v>
      </c>
      <c r="H4311" t="n">
        <v>0</v>
      </c>
      <c r="I4311" s="3">
        <f>E4311+G4311+H4311</f>
        <v/>
      </c>
      <c r="J4311" s="3">
        <f>ROUND(MIN(IF(C4311="Técnico III",35,IF(C4311="Técnico II",28,IF(C4311="Técnico I",23,IF(C4311="JR",20,IF(C4311="Estágio",10,0))))),IF(C4311="Técnico III",SUMIFS($D:$D,$A:$A,$A4311,$B:$B,"&lt;&gt;Patrícia Karla de Sousa Araújo",$B:$B,"&lt;&gt;Lorena Dias de Araujo",$B:$B,"&lt;&gt;Lucas Luiz Romero")*(35/1083),IF(C4311="Técnico II",SUMIFS($D:$D,$A:$A,$A4311,$B:$B,"&lt;&gt;Patrícia Karla de Sousa Araújo",$B:$B,"&lt;&gt;Lorena Dias de Araujo",$B:$B,"&lt;&gt;Lucas Luiz Romero")*(28/1083),IF(C4311="Técnico I",SUMIFS($D:$D,$A:$A,$A4311,$B:$B,"&lt;&gt;Patrícia Karla de Sousa Araújo",$B:$B,"&lt;&gt;Lorena Dias de Araujo",$B:$B,"&lt;&gt;Lucas Luiz Romero")*(23/1083),IF(C4311="JR",SUMIFS($D:$D,$A:$A,$A4311,$B:$B,"&lt;&gt;Patrícia Karla de Sousa Araújo",$B:$B,"&lt;&gt;Lorena Dias de Araujo",$B:$B,"&lt;&gt;Lucas Luiz Romero")*(20/1083),IF(C4311="Estágio",SUMIFS($D:$D,$A:$A,$A4311,$B:$B,"&lt;&gt;Patrícia Karla de Sousa Araújo",$B:$B,"&lt;&gt;Lorena Dias de Araujo",$B:$B,"&lt;&gt;Lucas Luiz Romero")*(10/1083),0)))))),0)</f>
        <v/>
      </c>
      <c r="K4311" s="3">
        <f>I4311-J4311</f>
        <v/>
      </c>
      <c r="L4311" s="3">
        <f>IF(K4311&lt;-5,"CRÍTICO",IF(K4311&lt;0,"ATENÇÃO",IF(K4311&lt;=5,"OPORTUNO","MUITO BOM")))</f>
        <v/>
      </c>
      <c r="N4311" t="n">
        <v>99.19</v>
      </c>
      <c r="O4311" t="n">
        <v>29.46236559139785</v>
      </c>
    </row>
    <row r="4312" hidden="1">
      <c r="A4312" s="11" t="n">
        <v>46140</v>
      </c>
      <c r="B4312" t="inlineStr">
        <is>
          <t>Isabella Borges de Oliveira</t>
        </is>
      </c>
      <c r="C4312" t="inlineStr">
        <is>
          <t>Técnico II</t>
        </is>
      </c>
      <c r="D4312" t="n">
        <v>37</v>
      </c>
      <c r="E4312" t="n">
        <v>36</v>
      </c>
      <c r="F4312" t="n">
        <v>15.51</v>
      </c>
      <c r="G4312" t="n">
        <v>0</v>
      </c>
      <c r="H4312" t="n">
        <v>0</v>
      </c>
      <c r="I4312" s="3">
        <f>E4312+G4312+H4312</f>
        <v/>
      </c>
      <c r="J4312" s="3">
        <f>ROUND(MIN(IF(C4312="Técnico III",35,IF(C4312="Técnico II",28,IF(C4312="Técnico I",23,IF(C4312="JR",20,IF(C4312="Estágio",10,0))))),IF(C4312="Técnico III",SUMIFS($D:$D,$A:$A,$A4312,$B:$B,"&lt;&gt;Patrícia Karla de Sousa Araújo",$B:$B,"&lt;&gt;Lorena Dias de Araujo",$B:$B,"&lt;&gt;Lucas Luiz Romero")*(35/1083),IF(C4312="Técnico II",SUMIFS($D:$D,$A:$A,$A4312,$B:$B,"&lt;&gt;Patrícia Karla de Sousa Araújo",$B:$B,"&lt;&gt;Lorena Dias de Araujo",$B:$B,"&lt;&gt;Lucas Luiz Romero")*(28/1083),IF(C4312="Técnico I",SUMIFS($D:$D,$A:$A,$A4312,$B:$B,"&lt;&gt;Patrícia Karla de Sousa Araújo",$B:$B,"&lt;&gt;Lorena Dias de Araujo",$B:$B,"&lt;&gt;Lucas Luiz Romero")*(23/1083),IF(C4312="JR",SUMIFS($D:$D,$A:$A,$A4312,$B:$B,"&lt;&gt;Patrícia Karla de Sousa Araújo",$B:$B,"&lt;&gt;Lorena Dias de Araujo",$B:$B,"&lt;&gt;Lucas Luiz Romero")*(20/1083),IF(C4312="Estágio",SUMIFS($D:$D,$A:$A,$A4312,$B:$B,"&lt;&gt;Patrícia Karla de Sousa Araújo",$B:$B,"&lt;&gt;Lorena Dias de Araujo",$B:$B,"&lt;&gt;Lucas Luiz Romero")*(10/1083),0)))))),0)</f>
        <v/>
      </c>
      <c r="K4312" s="3">
        <f>I4312-J4312</f>
        <v/>
      </c>
      <c r="L4312" s="3">
        <f>IF(K4312&lt;-5,"CRÍTICO",IF(K4312&lt;0,"ATENÇÃO",IF(K4312&lt;=5,"OPORTUNO","MUITO BOM")))</f>
        <v/>
      </c>
      <c r="N4312" t="n">
        <v>100</v>
      </c>
      <c r="O4312" t="n">
        <v>27.94117647058824</v>
      </c>
    </row>
    <row r="4313" hidden="1">
      <c r="A4313" s="11" t="n">
        <v>46139</v>
      </c>
      <c r="B4313" t="inlineStr">
        <is>
          <t>Isabella Borges de Oliveira</t>
        </is>
      </c>
      <c r="C4313" t="inlineStr">
        <is>
          <t>Técnico II</t>
        </is>
      </c>
      <c r="D4313" t="n">
        <v>11</v>
      </c>
      <c r="E4313" t="n">
        <v>11</v>
      </c>
      <c r="F4313" t="n">
        <v>14.16</v>
      </c>
      <c r="G4313" t="n">
        <v>0</v>
      </c>
      <c r="H4313" t="n">
        <v>0</v>
      </c>
      <c r="I4313" s="3">
        <f>E4313+G4313+H4313</f>
        <v/>
      </c>
      <c r="J4313" s="3">
        <f>ROUND(MIN(IF(C4313="Técnico III",35,IF(C4313="Técnico II",28,IF(C4313="Técnico I",23,IF(C4313="JR",20,IF(C4313="Estágio",10,0))))),IF(C4313="Técnico III",SUMIFS($D:$D,$A:$A,$A4313,$B:$B,"&lt;&gt;Patrícia Karla de Sousa Araújo",$B:$B,"&lt;&gt;Lorena Dias de Araujo",$B:$B,"&lt;&gt;Lucas Luiz Romero")*(35/1083),IF(C4313="Técnico II",SUMIFS($D:$D,$A:$A,$A4313,$B:$B,"&lt;&gt;Patrícia Karla de Sousa Araújo",$B:$B,"&lt;&gt;Lorena Dias de Araujo",$B:$B,"&lt;&gt;Lucas Luiz Romero")*(28/1083),IF(C4313="Técnico I",SUMIFS($D:$D,$A:$A,$A4313,$B:$B,"&lt;&gt;Patrícia Karla de Sousa Araújo",$B:$B,"&lt;&gt;Lorena Dias de Araujo",$B:$B,"&lt;&gt;Lucas Luiz Romero")*(23/1083),IF(C4313="JR",SUMIFS($D:$D,$A:$A,$A4313,$B:$B,"&lt;&gt;Patrícia Karla de Sousa Araújo",$B:$B,"&lt;&gt;Lorena Dias de Araujo",$B:$B,"&lt;&gt;Lucas Luiz Romero")*(20/1083),IF(C4313="Estágio",SUMIFS($D:$D,$A:$A,$A4313,$B:$B,"&lt;&gt;Patrícia Karla de Sousa Araújo",$B:$B,"&lt;&gt;Lorena Dias de Araujo",$B:$B,"&lt;&gt;Lucas Luiz Romero")*(10/1083),0)))))),0)</f>
        <v/>
      </c>
      <c r="K4313" s="3">
        <f>I4313-J4313</f>
        <v/>
      </c>
      <c r="L4313" s="3">
        <f>IF(K4313&lt;-5,"CRÍTICO",IF(K4313&lt;0,"ATENÇÃO",IF(K4313&lt;=5,"OPORTUNO","MUITO BOM")))</f>
        <v/>
      </c>
      <c r="N4313" t="n">
        <v>100</v>
      </c>
      <c r="O4313" t="n">
        <v>27.94117647058824</v>
      </c>
    </row>
    <row r="4314" hidden="1">
      <c r="A4314" s="11" t="n">
        <v>46139</v>
      </c>
      <c r="B4314" t="inlineStr">
        <is>
          <t>Janaina Lima dos Reis Urany</t>
        </is>
      </c>
      <c r="C4314" t="inlineStr">
        <is>
          <t>Técnico III</t>
        </is>
      </c>
      <c r="D4314" t="n">
        <v>23</v>
      </c>
      <c r="E4314" t="n">
        <v>19</v>
      </c>
      <c r="F4314" t="n">
        <v>15.24</v>
      </c>
      <c r="G4314" t="n">
        <v>0</v>
      </c>
      <c r="H4314" t="n">
        <v>0</v>
      </c>
      <c r="I4314" s="3">
        <f>E4314+G4314+H4314</f>
        <v/>
      </c>
      <c r="J4314" s="3">
        <f>ROUND(MIN(IF(C4314="Técnico III",35,IF(C4314="Técnico II",28,IF(C4314="Técnico I",23,IF(C4314="JR",20,IF(C4314="Estágio",10,0))))),IF(C4314="Técnico III",SUMIFS($D:$D,$A:$A,$A4314,$B:$B,"&lt;&gt;Patrícia Karla de Sousa Araújo",$B:$B,"&lt;&gt;Lorena Dias de Araujo",$B:$B,"&lt;&gt;Lucas Luiz Romero")*(35/1083),IF(C4314="Técnico II",SUMIFS($D:$D,$A:$A,$A4314,$B:$B,"&lt;&gt;Patrícia Karla de Sousa Araújo",$B:$B,"&lt;&gt;Lorena Dias de Araujo",$B:$B,"&lt;&gt;Lucas Luiz Romero")*(28/1083),IF(C4314="Técnico I",SUMIFS($D:$D,$A:$A,$A4314,$B:$B,"&lt;&gt;Patrícia Karla de Sousa Araújo",$B:$B,"&lt;&gt;Lorena Dias de Araujo",$B:$B,"&lt;&gt;Lucas Luiz Romero")*(23/1083),IF(C4314="JR",SUMIFS($D:$D,$A:$A,$A4314,$B:$B,"&lt;&gt;Patrícia Karla de Sousa Araújo",$B:$B,"&lt;&gt;Lorena Dias de Araujo",$B:$B,"&lt;&gt;Lucas Luiz Romero")*(20/1083),IF(C4314="Estágio",SUMIFS($D:$D,$A:$A,$A4314,$B:$B,"&lt;&gt;Patrícia Karla de Sousa Araújo",$B:$B,"&lt;&gt;Lorena Dias de Araujo",$B:$B,"&lt;&gt;Lucas Luiz Romero")*(10/1083),0)))))),0)</f>
        <v/>
      </c>
      <c r="K4314" s="3">
        <f>I4314-J4314</f>
        <v/>
      </c>
      <c r="L4314" s="3">
        <f>IF(K4314&lt;-5,"CRÍTICO",IF(K4314&lt;0,"ATENÇÃO",IF(K4314&lt;=5,"OPORTUNO","MUITO BOM")))</f>
        <v/>
      </c>
      <c r="N4314" t="n">
        <v>99.56999999999999</v>
      </c>
      <c r="O4314" t="n">
        <v>29.91329479768786</v>
      </c>
    </row>
    <row r="4315" hidden="1">
      <c r="A4315" s="11" t="n">
        <v>46139</v>
      </c>
      <c r="B4315" t="inlineStr">
        <is>
          <t>Jaqueline Evangelista da Silva Martins</t>
        </is>
      </c>
      <c r="C4315" t="inlineStr">
        <is>
          <t>Técnico III</t>
        </is>
      </c>
      <c r="D4315" t="n">
        <v>15</v>
      </c>
      <c r="E4315" t="n">
        <v>13</v>
      </c>
      <c r="F4315" t="n">
        <v>12.31</v>
      </c>
      <c r="G4315" t="n">
        <v>0</v>
      </c>
      <c r="H4315" t="n">
        <v>0</v>
      </c>
      <c r="I4315" s="3">
        <f>E4315+G4315+H4315</f>
        <v/>
      </c>
      <c r="J4315" s="3">
        <f>ROUND(MIN(IF(C4315="Técnico III",35,IF(C4315="Técnico II",28,IF(C4315="Técnico I",23,IF(C4315="JR",20,IF(C4315="Estágio",10,0))))),IF(C4315="Técnico III",SUMIFS($D:$D,$A:$A,$A4315,$B:$B,"&lt;&gt;Patrícia Karla de Sousa Araújo",$B:$B,"&lt;&gt;Lorena Dias de Araujo",$B:$B,"&lt;&gt;Lucas Luiz Romero")*(35/1083),IF(C4315="Técnico II",SUMIFS($D:$D,$A:$A,$A4315,$B:$B,"&lt;&gt;Patrícia Karla de Sousa Araújo",$B:$B,"&lt;&gt;Lorena Dias de Araujo",$B:$B,"&lt;&gt;Lucas Luiz Romero")*(28/1083),IF(C4315="Técnico I",SUMIFS($D:$D,$A:$A,$A4315,$B:$B,"&lt;&gt;Patrícia Karla de Sousa Araújo",$B:$B,"&lt;&gt;Lorena Dias de Araujo",$B:$B,"&lt;&gt;Lucas Luiz Romero")*(23/1083),IF(C4315="JR",SUMIFS($D:$D,$A:$A,$A4315,$B:$B,"&lt;&gt;Patrícia Karla de Sousa Araújo",$B:$B,"&lt;&gt;Lorena Dias de Araujo",$B:$B,"&lt;&gt;Lucas Luiz Romero")*(20/1083),IF(C4315="Estágio",SUMIFS($D:$D,$A:$A,$A4315,$B:$B,"&lt;&gt;Patrícia Karla de Sousa Araújo",$B:$B,"&lt;&gt;Lorena Dias de Araujo",$B:$B,"&lt;&gt;Lucas Luiz Romero")*(10/1083),0)))))),0)</f>
        <v/>
      </c>
      <c r="K4315" s="3">
        <f>I4315-J4315</f>
        <v/>
      </c>
      <c r="L4315" s="3">
        <f>IF(K4315&lt;-5,"CRÍTICO",IF(K4315&lt;0,"ATENÇÃO",IF(K4315&lt;=5,"OPORTUNO","MUITO BOM")))</f>
        <v/>
      </c>
      <c r="N4315" t="n">
        <v>95.65000000000001</v>
      </c>
      <c r="O4315" t="n">
        <v>31.08108108108108</v>
      </c>
    </row>
    <row r="4316" hidden="1">
      <c r="A4316" s="11" t="n">
        <v>46139</v>
      </c>
      <c r="B4316" t="inlineStr">
        <is>
          <t>Jessica Faria da Silveira</t>
        </is>
      </c>
      <c r="C4316" t="inlineStr">
        <is>
          <t>Técnico II</t>
        </is>
      </c>
      <c r="D4316" t="n">
        <v>14</v>
      </c>
      <c r="E4316" t="n">
        <v>13</v>
      </c>
      <c r="F4316" t="n">
        <v>13.47</v>
      </c>
      <c r="G4316" t="n">
        <v>0</v>
      </c>
      <c r="H4316" t="n">
        <v>0</v>
      </c>
      <c r="I4316" s="3">
        <f>E4316+G4316+H4316</f>
        <v/>
      </c>
      <c r="J4316" s="3">
        <f>ROUND(MIN(IF(C4316="Técnico III",35,IF(C4316="Técnico II",28,IF(C4316="Técnico I",23,IF(C4316="JR",20,IF(C4316="Estágio",10,0))))),IF(C4316="Técnico III",SUMIFS($D:$D,$A:$A,$A4316,$B:$B,"&lt;&gt;Patrícia Karla de Sousa Araújo",$B:$B,"&lt;&gt;Lorena Dias de Araujo",$B:$B,"&lt;&gt;Lucas Luiz Romero")*(35/1083),IF(C4316="Técnico II",SUMIFS($D:$D,$A:$A,$A4316,$B:$B,"&lt;&gt;Patrícia Karla de Sousa Araújo",$B:$B,"&lt;&gt;Lorena Dias de Araujo",$B:$B,"&lt;&gt;Lucas Luiz Romero")*(28/1083),IF(C4316="Técnico I",SUMIFS($D:$D,$A:$A,$A4316,$B:$B,"&lt;&gt;Patrícia Karla de Sousa Araújo",$B:$B,"&lt;&gt;Lorena Dias de Araujo",$B:$B,"&lt;&gt;Lucas Luiz Romero")*(23/1083),IF(C4316="JR",SUMIFS($D:$D,$A:$A,$A4316,$B:$B,"&lt;&gt;Patrícia Karla de Sousa Araújo",$B:$B,"&lt;&gt;Lorena Dias de Araujo",$B:$B,"&lt;&gt;Lucas Luiz Romero")*(20/1083),IF(C4316="Estágio",SUMIFS($D:$D,$A:$A,$A4316,$B:$B,"&lt;&gt;Patrícia Karla de Sousa Araújo",$B:$B,"&lt;&gt;Lorena Dias de Araujo",$B:$B,"&lt;&gt;Lucas Luiz Romero")*(10/1083),0)))))),0)</f>
        <v/>
      </c>
      <c r="K4316" s="3">
        <f>I4316-J4316</f>
        <v/>
      </c>
      <c r="L4316" s="3">
        <f>IF(K4316&lt;-5,"CRÍTICO",IF(K4316&lt;0,"ATENÇÃO",IF(K4316&lt;=5,"OPORTUNO","MUITO BOM")))</f>
        <v/>
      </c>
      <c r="N4316" t="n">
        <v>98.81</v>
      </c>
      <c r="O4316" t="n">
        <v>26.25698324022346</v>
      </c>
    </row>
    <row r="4317" hidden="1">
      <c r="A4317" s="11" t="n">
        <v>46139</v>
      </c>
      <c r="B4317" t="inlineStr">
        <is>
          <t>Jéssica Fé Moura</t>
        </is>
      </c>
      <c r="C4317" t="inlineStr">
        <is>
          <t>Técnico III</t>
        </is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s="3" t="n">
        <v>0</v>
      </c>
      <c r="J4317" s="3" t="n">
        <v>0</v>
      </c>
      <c r="K4317" s="3" t="n">
        <v>0</v>
      </c>
      <c r="L4317" s="3">
        <f>IF(K4317&lt;-5,"CRÍTICO",IF(K4317&lt;0,"ATENÇÃO",IF(K4317&lt;=5,"OPORTUNO","MUITO BOM")))</f>
        <v/>
      </c>
      <c r="N4317" t="n">
        <v>0</v>
      </c>
      <c r="O4317" t="n">
        <v>0</v>
      </c>
    </row>
    <row r="4318" hidden="1">
      <c r="A4318" s="11" t="n">
        <v>46139</v>
      </c>
      <c r="B4318" t="inlineStr">
        <is>
          <t>Karina Gonçalves Martins</t>
        </is>
      </c>
      <c r="C4318" t="inlineStr">
        <is>
          <t>JR</t>
        </is>
      </c>
      <c r="D4318" t="n">
        <v>8</v>
      </c>
      <c r="E4318" t="n">
        <v>5</v>
      </c>
      <c r="F4318" t="n">
        <v>13.44</v>
      </c>
      <c r="G4318" t="n">
        <v>0</v>
      </c>
      <c r="H4318" t="n">
        <v>0</v>
      </c>
      <c r="I4318" s="3">
        <f>E4318+G4318+H4318</f>
        <v/>
      </c>
      <c r="J4318" s="3">
        <f>ROUND(MIN(IF(C4318="Técnico III",35,IF(C4318="Técnico II",28,IF(C4318="Técnico I",23,IF(C4318="JR",20,IF(C4318="Estágio",10,0))))),IF(C4318="Técnico III",SUMIFS($D:$D,$A:$A,$A4318,$B:$B,"&lt;&gt;Patrícia Karla de Sousa Araújo",$B:$B,"&lt;&gt;Lorena Dias de Araujo",$B:$B,"&lt;&gt;Lucas Luiz Romero")*(35/1083),IF(C4318="Técnico II",SUMIFS($D:$D,$A:$A,$A4318,$B:$B,"&lt;&gt;Patrícia Karla de Sousa Araújo",$B:$B,"&lt;&gt;Lorena Dias de Araujo",$B:$B,"&lt;&gt;Lucas Luiz Romero")*(28/1083),IF(C4318="Técnico I",SUMIFS($D:$D,$A:$A,$A4318,$B:$B,"&lt;&gt;Patrícia Karla de Sousa Araújo",$B:$B,"&lt;&gt;Lorena Dias de Araujo",$B:$B,"&lt;&gt;Lucas Luiz Romero")*(23/1083),IF(C4318="JR",SUMIFS($D:$D,$A:$A,$A4318,$B:$B,"&lt;&gt;Patrícia Karla de Sousa Araújo",$B:$B,"&lt;&gt;Lorena Dias de Araujo",$B:$B,"&lt;&gt;Lucas Luiz Romero")*(20/1083),IF(C4318="Estágio",SUMIFS($D:$D,$A:$A,$A4318,$B:$B,"&lt;&gt;Patrícia Karla de Sousa Araújo",$B:$B,"&lt;&gt;Lorena Dias de Araujo",$B:$B,"&lt;&gt;Lucas Luiz Romero")*(10/1083),0)))))),0)</f>
        <v/>
      </c>
      <c r="K4318" s="3">
        <f>I4318-J4318</f>
        <v/>
      </c>
      <c r="L4318" s="3">
        <f>IF(K4318&lt;-5,"CRÍTICO",IF(K4318&lt;0,"ATENÇÃO",IF(K4318&lt;=5,"OPORTUNO","MUITO BOM")))</f>
        <v/>
      </c>
      <c r="N4318" t="n">
        <v>97.17</v>
      </c>
      <c r="O4318" t="n">
        <v>28.81844380403458</v>
      </c>
    </row>
    <row r="4319" hidden="1">
      <c r="A4319" s="11" t="n">
        <v>46139</v>
      </c>
      <c r="B4319" t="inlineStr">
        <is>
          <t>Kerollen Cristielly de Jesus Siqueira</t>
        </is>
      </c>
      <c r="C4319" t="inlineStr">
        <is>
          <t>Técnico III</t>
        </is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s="3" t="n">
        <v>0</v>
      </c>
      <c r="J4319" s="3" t="n">
        <v>0</v>
      </c>
      <c r="K4319" s="3" t="n">
        <v>0</v>
      </c>
      <c r="L4319" s="3">
        <f>IF(K4319&lt;-5,"CRÍTICO",IF(K4319&lt;0,"ATENÇÃO",IF(K4319&lt;=5,"OPORTUNO","MUITO BOM")))</f>
        <v/>
      </c>
      <c r="N4319" t="n">
        <v>96.81</v>
      </c>
      <c r="O4319" t="n">
        <v>48.01864801864802</v>
      </c>
    </row>
    <row r="4320" hidden="1">
      <c r="A4320" s="11" t="n">
        <v>46139</v>
      </c>
      <c r="B4320" t="inlineStr">
        <is>
          <t>Leandro de Souza Silva</t>
        </is>
      </c>
      <c r="C4320" t="inlineStr">
        <is>
          <t>JR</t>
        </is>
      </c>
      <c r="D4320" t="n">
        <v>14</v>
      </c>
      <c r="E4320" t="n">
        <v>13</v>
      </c>
      <c r="F4320" t="n">
        <v>10.5</v>
      </c>
      <c r="G4320" t="n">
        <v>0</v>
      </c>
      <c r="H4320" t="n">
        <v>0</v>
      </c>
      <c r="I4320" s="3">
        <f>E4320+G4320+H4320</f>
        <v/>
      </c>
      <c r="J4320" s="3">
        <f>ROUND(MIN(IF(C4320="Técnico III",35,IF(C4320="Técnico II",28,IF(C4320="Técnico I",23,IF(C4320="JR",20,IF(C4320="Estágio",10,0))))),IF(C4320="Técnico III",SUMIFS($D:$D,$A:$A,$A4320,$B:$B,"&lt;&gt;Patrícia Karla de Sousa Araújo",$B:$B,"&lt;&gt;Lorena Dias de Araujo",$B:$B,"&lt;&gt;Lucas Luiz Romero")*(35/1083),IF(C4320="Técnico II",SUMIFS($D:$D,$A:$A,$A4320,$B:$B,"&lt;&gt;Patrícia Karla de Sousa Araújo",$B:$B,"&lt;&gt;Lorena Dias de Araujo",$B:$B,"&lt;&gt;Lucas Luiz Romero")*(28/1083),IF(C4320="Técnico I",SUMIFS($D:$D,$A:$A,$A4320,$B:$B,"&lt;&gt;Patrícia Karla de Sousa Araújo",$B:$B,"&lt;&gt;Lorena Dias de Araujo",$B:$B,"&lt;&gt;Lucas Luiz Romero")*(23/1083),IF(C4320="JR",SUMIFS($D:$D,$A:$A,$A4320,$B:$B,"&lt;&gt;Patrícia Karla de Sousa Araújo",$B:$B,"&lt;&gt;Lorena Dias de Araujo",$B:$B,"&lt;&gt;Lucas Luiz Romero")*(20/1083),IF(C4320="Estágio",SUMIFS($D:$D,$A:$A,$A4320,$B:$B,"&lt;&gt;Patrícia Karla de Sousa Araújo",$B:$B,"&lt;&gt;Lorena Dias de Araujo",$B:$B,"&lt;&gt;Lucas Luiz Romero")*(10/1083),0)))))),0)</f>
        <v/>
      </c>
      <c r="K4320" s="3">
        <f>I4320-J4320</f>
        <v/>
      </c>
      <c r="L4320" s="3">
        <f>IF(K4320&lt;-5,"CRÍTICO",IF(K4320&lt;0,"ATENÇÃO",IF(K4320&lt;=5,"OPORTUNO","MUITO BOM")))</f>
        <v/>
      </c>
      <c r="N4320" t="n">
        <v>98.15000000000001</v>
      </c>
      <c r="O4320" t="n">
        <v>27.1551724137931</v>
      </c>
    </row>
    <row r="4321" hidden="1">
      <c r="A4321" s="11" t="n">
        <v>46139</v>
      </c>
      <c r="B4321" t="inlineStr">
        <is>
          <t>Leandro Oliveira de Sousa</t>
        </is>
      </c>
      <c r="C4321" t="inlineStr">
        <is>
          <t>Técnico III</t>
        </is>
      </c>
      <c r="D4321" t="n">
        <v>16</v>
      </c>
      <c r="E4321" t="n">
        <v>13</v>
      </c>
      <c r="F4321" t="n">
        <v>16.45</v>
      </c>
      <c r="G4321" t="n">
        <v>0</v>
      </c>
      <c r="H4321" t="n">
        <v>0</v>
      </c>
      <c r="I4321" s="3">
        <f>E4321+G4321+H4321</f>
        <v/>
      </c>
      <c r="J4321" s="3">
        <f>ROUND(MIN(IF(C4321="Técnico III",35,IF(C4321="Técnico II",28,IF(C4321="Técnico I",23,IF(C4321="JR",20,IF(C4321="Estágio",10,0))))),IF(C4321="Técnico III",SUMIFS($D:$D,$A:$A,$A4321,$B:$B,"&lt;&gt;Patrícia Karla de Sousa Araújo",$B:$B,"&lt;&gt;Lorena Dias de Araujo",$B:$B,"&lt;&gt;Lucas Luiz Romero")*(35/1083),IF(C4321="Técnico II",SUMIFS($D:$D,$A:$A,$A4321,$B:$B,"&lt;&gt;Patrícia Karla de Sousa Araújo",$B:$B,"&lt;&gt;Lorena Dias de Araujo",$B:$B,"&lt;&gt;Lucas Luiz Romero")*(28/1083),IF(C4321="Técnico I",SUMIFS($D:$D,$A:$A,$A4321,$B:$B,"&lt;&gt;Patrícia Karla de Sousa Araújo",$B:$B,"&lt;&gt;Lorena Dias de Araujo",$B:$B,"&lt;&gt;Lucas Luiz Romero")*(23/1083),IF(C4321="JR",SUMIFS($D:$D,$A:$A,$A4321,$B:$B,"&lt;&gt;Patrícia Karla de Sousa Araújo",$B:$B,"&lt;&gt;Lorena Dias de Araujo",$B:$B,"&lt;&gt;Lucas Luiz Romero")*(20/1083),IF(C4321="Estágio",SUMIFS($D:$D,$A:$A,$A4321,$B:$B,"&lt;&gt;Patrícia Karla de Sousa Araújo",$B:$B,"&lt;&gt;Lorena Dias de Araujo",$B:$B,"&lt;&gt;Lucas Luiz Romero")*(10/1083),0)))))),0)</f>
        <v/>
      </c>
      <c r="K4321" s="3">
        <f>I4321-J4321</f>
        <v/>
      </c>
      <c r="L4321" s="3">
        <f>IF(K4321&lt;-5,"CRÍTICO",IF(K4321&lt;0,"ATENÇÃO",IF(K4321&lt;=5,"OPORTUNO","MUITO BOM")))</f>
        <v/>
      </c>
      <c r="N4321" t="n">
        <v>99.15000000000001</v>
      </c>
      <c r="O4321" t="n">
        <v>27.37068965517241</v>
      </c>
    </row>
    <row r="4322" hidden="1">
      <c r="A4322" s="11" t="n">
        <v>46139</v>
      </c>
      <c r="B4322" t="inlineStr">
        <is>
          <t>Lizandra Gomes Duarte</t>
        </is>
      </c>
      <c r="C4322" t="inlineStr">
        <is>
          <t>Técnico II</t>
        </is>
      </c>
      <c r="D4322" t="n">
        <v>2</v>
      </c>
      <c r="E4322" t="n">
        <v>2</v>
      </c>
      <c r="F4322" t="n">
        <v>22.04</v>
      </c>
      <c r="G4322" t="n">
        <v>0</v>
      </c>
      <c r="H4322" t="n">
        <v>0</v>
      </c>
      <c r="I4322" s="3">
        <f>E4322+G4322+H4322</f>
        <v/>
      </c>
      <c r="J4322" s="3">
        <f>ROUND(MIN(IF(C4322="Técnico III",35,IF(C4322="Técnico II",28,IF(C4322="Técnico I",23,IF(C4322="JR",20,IF(C4322="Estágio",10,0))))),IF(C4322="Técnico III",SUMIFS($D:$D,$A:$A,$A4322,$B:$B,"&lt;&gt;Patrícia Karla de Sousa Araújo",$B:$B,"&lt;&gt;Lorena Dias de Araujo",$B:$B,"&lt;&gt;Lucas Luiz Romero")*(35/1083),IF(C4322="Técnico II",SUMIFS($D:$D,$A:$A,$A4322,$B:$B,"&lt;&gt;Patrícia Karla de Sousa Araújo",$B:$B,"&lt;&gt;Lorena Dias de Araujo",$B:$B,"&lt;&gt;Lucas Luiz Romero")*(28/1083),IF(C4322="Técnico I",SUMIFS($D:$D,$A:$A,$A4322,$B:$B,"&lt;&gt;Patrícia Karla de Sousa Araújo",$B:$B,"&lt;&gt;Lorena Dias de Araujo",$B:$B,"&lt;&gt;Lucas Luiz Romero")*(23/1083),IF(C4322="JR",SUMIFS($D:$D,$A:$A,$A4322,$B:$B,"&lt;&gt;Patrícia Karla de Sousa Araújo",$B:$B,"&lt;&gt;Lorena Dias de Araujo",$B:$B,"&lt;&gt;Lucas Luiz Romero")*(20/1083),IF(C4322="Estágio",SUMIFS($D:$D,$A:$A,$A4322,$B:$B,"&lt;&gt;Patrícia Karla de Sousa Araújo",$B:$B,"&lt;&gt;Lorena Dias de Araujo",$B:$B,"&lt;&gt;Lucas Luiz Romero")*(10/1083),0)))))),0)</f>
        <v/>
      </c>
      <c r="K4322" s="3">
        <f>I4322-J4322</f>
        <v/>
      </c>
      <c r="L4322" s="3">
        <f>IF(K4322&lt;-5,"CRÍTICO",IF(K4322&lt;0,"ATENÇÃO",IF(K4322&lt;=5,"OPORTUNO","MUITO BOM")))</f>
        <v/>
      </c>
      <c r="N4322" t="n">
        <v>99.17</v>
      </c>
      <c r="O4322" t="n">
        <v>29.75206611570248</v>
      </c>
    </row>
    <row r="4323" hidden="1">
      <c r="A4323" s="11" t="n">
        <v>46139</v>
      </c>
      <c r="B4323" t="inlineStr">
        <is>
          <t>Lorena Dias de Araujo</t>
        </is>
      </c>
      <c r="C4323" t="inlineStr">
        <is>
          <t>Técnico II</t>
        </is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s="3" t="n">
        <v>0</v>
      </c>
      <c r="J4323" s="3" t="n">
        <v>0</v>
      </c>
      <c r="K4323" s="3" t="n">
        <v>0</v>
      </c>
      <c r="L4323" s="3">
        <f>IF(K4323&lt;-5,"CRÍTICO",IF(K4323&lt;0,"ATENÇÃO",IF(K4323&lt;=5,"OPORTUNO","MUITO BOM")))</f>
        <v/>
      </c>
      <c r="N4323" t="n">
        <v>98.73</v>
      </c>
      <c r="O4323" t="n">
        <v>28.96174863387978</v>
      </c>
    </row>
    <row r="4324" hidden="1">
      <c r="A4324" s="11" t="n">
        <v>46139</v>
      </c>
      <c r="B4324" t="inlineStr">
        <is>
          <t>Lucas Luiz Romero</t>
        </is>
      </c>
      <c r="C4324" t="inlineStr">
        <is>
          <t>Técnico III</t>
        </is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s="3" t="n">
        <v>0</v>
      </c>
      <c r="J4324" s="3" t="n">
        <v>0</v>
      </c>
      <c r="K4324" s="3" t="n">
        <v>0</v>
      </c>
      <c r="L4324" s="3">
        <f>IF(K4324&lt;-5,"CRÍTICO",IF(K4324&lt;0,"ATENÇÃO",IF(K4324&lt;=5,"OPORTUNO","MUITO BOM")))</f>
        <v/>
      </c>
      <c r="N4324" t="n">
        <v>88.68000000000001</v>
      </c>
      <c r="O4324" t="n">
        <v>22.03389830508474</v>
      </c>
    </row>
    <row r="4325" hidden="1">
      <c r="A4325" s="11" t="n">
        <v>46139</v>
      </c>
      <c r="B4325" t="inlineStr">
        <is>
          <t>Luiz Fernando de Carvalho Junior</t>
        </is>
      </c>
      <c r="C4325" t="inlineStr">
        <is>
          <t>Técnico I</t>
        </is>
      </c>
      <c r="D4325" t="n">
        <v>9</v>
      </c>
      <c r="E4325" t="n">
        <v>9</v>
      </c>
      <c r="F4325" t="n">
        <v>22.33</v>
      </c>
      <c r="G4325" t="n">
        <v>0</v>
      </c>
      <c r="H4325" t="n">
        <v>0</v>
      </c>
      <c r="I4325" s="3">
        <f>E4325+G4325+H4325</f>
        <v/>
      </c>
      <c r="J4325" s="3">
        <f>ROUND(MIN(IF(C4325="Técnico III",35,IF(C4325="Técnico II",28,IF(C4325="Técnico I",23,IF(C4325="JR",20,IF(C4325="Estágio",10,0))))),IF(C4325="Técnico III",SUMIFS($D:$D,$A:$A,$A4325,$B:$B,"&lt;&gt;Patrícia Karla de Sousa Araújo",$B:$B,"&lt;&gt;Lorena Dias de Araujo",$B:$B,"&lt;&gt;Lucas Luiz Romero")*(35/1083),IF(C4325="Técnico II",SUMIFS($D:$D,$A:$A,$A4325,$B:$B,"&lt;&gt;Patrícia Karla de Sousa Araújo",$B:$B,"&lt;&gt;Lorena Dias de Araujo",$B:$B,"&lt;&gt;Lucas Luiz Romero")*(28/1083),IF(C4325="Técnico I",SUMIFS($D:$D,$A:$A,$A4325,$B:$B,"&lt;&gt;Patrícia Karla de Sousa Araújo",$B:$B,"&lt;&gt;Lorena Dias de Araujo",$B:$B,"&lt;&gt;Lucas Luiz Romero")*(23/1083),IF(C4325="JR",SUMIFS($D:$D,$A:$A,$A4325,$B:$B,"&lt;&gt;Patrícia Karla de Sousa Araújo",$B:$B,"&lt;&gt;Lorena Dias de Araujo",$B:$B,"&lt;&gt;Lucas Luiz Romero")*(20/1083),IF(C4325="Estágio",SUMIFS($D:$D,$A:$A,$A4325,$B:$B,"&lt;&gt;Patrícia Karla de Sousa Araújo",$B:$B,"&lt;&gt;Lorena Dias de Araujo",$B:$B,"&lt;&gt;Lucas Luiz Romero")*(10/1083),0)))))),0)</f>
        <v/>
      </c>
      <c r="K4325" s="3">
        <f>I4325-J4325</f>
        <v/>
      </c>
      <c r="L4325" s="3">
        <f>IF(K4325&lt;-5,"CRÍTICO",IF(K4325&lt;0,"ATENÇÃO",IF(K4325&lt;=5,"OPORTUNO","MUITO BOM")))</f>
        <v/>
      </c>
      <c r="N4325" t="n">
        <v>97.37</v>
      </c>
      <c r="O4325" t="n">
        <v>25.76530612244898</v>
      </c>
    </row>
    <row r="4326" hidden="1">
      <c r="A4326" s="11" t="n">
        <v>46139</v>
      </c>
      <c r="B4326" t="inlineStr">
        <is>
          <t>Maria Eduarda Sousa Costa</t>
        </is>
      </c>
      <c r="C4326" t="inlineStr">
        <is>
          <t>Estágio</t>
        </is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s="3" t="n">
        <v>0</v>
      </c>
      <c r="J4326" s="3" t="n">
        <v>0</v>
      </c>
      <c r="K4326" s="3" t="n">
        <v>0</v>
      </c>
      <c r="L4326" s="3">
        <f>IF(K4326&lt;-5,"CRÍTICO",IF(K4326&lt;0,"ATENÇÃO",IF(K4326&lt;=5,"OPORTUNO","MUITO BOM")))</f>
        <v/>
      </c>
      <c r="N4326" t="n">
        <v>100</v>
      </c>
      <c r="O4326" t="n">
        <v>25</v>
      </c>
    </row>
    <row r="4327" hidden="1">
      <c r="A4327" s="11" t="n">
        <v>46139</v>
      </c>
      <c r="B4327" t="inlineStr">
        <is>
          <t>Matheus Farias De Souza</t>
        </is>
      </c>
      <c r="C4327" t="inlineStr">
        <is>
          <t>Técnico III</t>
        </is>
      </c>
      <c r="D4327" t="n">
        <v>14</v>
      </c>
      <c r="E4327" t="n">
        <v>14</v>
      </c>
      <c r="F4327" t="n">
        <v>10.57</v>
      </c>
      <c r="G4327" t="n">
        <v>0</v>
      </c>
      <c r="H4327" t="n">
        <v>0</v>
      </c>
      <c r="I4327" s="3">
        <f>E4327+G4327+H4327</f>
        <v/>
      </c>
      <c r="J4327" s="3">
        <f>ROUND(MIN(IF(C4327="Técnico III",35,IF(C4327="Técnico II",28,IF(C4327="Técnico I",23,IF(C4327="JR",20,IF(C4327="Estágio",10,0))))),IF(C4327="Técnico III",SUMIFS($D:$D,$A:$A,$A4327,$B:$B,"&lt;&gt;Patrícia Karla de Sousa Araújo",$B:$B,"&lt;&gt;Lorena Dias de Araujo",$B:$B,"&lt;&gt;Lucas Luiz Romero")*(35/1083),IF(C4327="Técnico II",SUMIFS($D:$D,$A:$A,$A4327,$B:$B,"&lt;&gt;Patrícia Karla de Sousa Araújo",$B:$B,"&lt;&gt;Lorena Dias de Araujo",$B:$B,"&lt;&gt;Lucas Luiz Romero")*(28/1083),IF(C4327="Técnico I",SUMIFS($D:$D,$A:$A,$A4327,$B:$B,"&lt;&gt;Patrícia Karla de Sousa Araújo",$B:$B,"&lt;&gt;Lorena Dias de Araujo",$B:$B,"&lt;&gt;Lucas Luiz Romero")*(23/1083),IF(C4327="JR",SUMIFS($D:$D,$A:$A,$A4327,$B:$B,"&lt;&gt;Patrícia Karla de Sousa Araújo",$B:$B,"&lt;&gt;Lorena Dias de Araujo",$B:$B,"&lt;&gt;Lucas Luiz Romero")*(20/1083),IF(C4327="Estágio",SUMIFS($D:$D,$A:$A,$A4327,$B:$B,"&lt;&gt;Patrícia Karla de Sousa Araújo",$B:$B,"&lt;&gt;Lorena Dias de Araujo",$B:$B,"&lt;&gt;Lucas Luiz Romero")*(10/1083),0)))))),0)</f>
        <v/>
      </c>
      <c r="K4327" s="3">
        <f>I4327-J4327</f>
        <v/>
      </c>
      <c r="L4327" s="3">
        <f>IF(K4327&lt;-5,"CRÍTICO",IF(K4327&lt;0,"ATENÇÃO",IF(K4327&lt;=5,"OPORTUNO","MUITO BOM")))</f>
        <v/>
      </c>
      <c r="N4327" t="n">
        <v>100</v>
      </c>
      <c r="O4327" t="n">
        <v>23.9870340356564</v>
      </c>
    </row>
    <row r="4328" hidden="1">
      <c r="A4328" s="11" t="n">
        <v>46139</v>
      </c>
      <c r="B4328" t="inlineStr">
        <is>
          <t>Maysa Victoria Dias Moura</t>
        </is>
      </c>
      <c r="C4328" t="inlineStr">
        <is>
          <t>Técnico III</t>
        </is>
      </c>
      <c r="D4328" t="n">
        <v>20</v>
      </c>
      <c r="E4328" t="n">
        <v>14</v>
      </c>
      <c r="F4328" t="n">
        <v>5.39</v>
      </c>
      <c r="G4328" t="n">
        <v>0</v>
      </c>
      <c r="H4328" t="n">
        <v>0</v>
      </c>
      <c r="I4328" s="3">
        <f>E4328+G4328+H4328</f>
        <v/>
      </c>
      <c r="J4328" s="3">
        <f>ROUND(MIN(IF(C4328="Técnico III",35,IF(C4328="Técnico II",28,IF(C4328="Técnico I",23,IF(C4328="JR",20,IF(C4328="Estágio",10,0))))),IF(C4328="Técnico III",SUMIFS($D:$D,$A:$A,$A4328,$B:$B,"&lt;&gt;Patrícia Karla de Sousa Araújo",$B:$B,"&lt;&gt;Lorena Dias de Araujo",$B:$B,"&lt;&gt;Lucas Luiz Romero")*(35/1083),IF(C4328="Técnico II",SUMIFS($D:$D,$A:$A,$A4328,$B:$B,"&lt;&gt;Patrícia Karla de Sousa Araújo",$B:$B,"&lt;&gt;Lorena Dias de Araujo",$B:$B,"&lt;&gt;Lucas Luiz Romero")*(28/1083),IF(C4328="Técnico I",SUMIFS($D:$D,$A:$A,$A4328,$B:$B,"&lt;&gt;Patrícia Karla de Sousa Araújo",$B:$B,"&lt;&gt;Lorena Dias de Araujo",$B:$B,"&lt;&gt;Lucas Luiz Romero")*(23/1083),IF(C4328="JR",SUMIFS($D:$D,$A:$A,$A4328,$B:$B,"&lt;&gt;Patrícia Karla de Sousa Araújo",$B:$B,"&lt;&gt;Lorena Dias de Araujo",$B:$B,"&lt;&gt;Lucas Luiz Romero")*(20/1083),IF(C4328="Estágio",SUMIFS($D:$D,$A:$A,$A4328,$B:$B,"&lt;&gt;Patrícia Karla de Sousa Araújo",$B:$B,"&lt;&gt;Lorena Dias de Araujo",$B:$B,"&lt;&gt;Lucas Luiz Romero")*(10/1083),0)))))),0)</f>
        <v/>
      </c>
      <c r="K4328" s="3">
        <f>I4328-J4328</f>
        <v/>
      </c>
      <c r="L4328" s="3">
        <f>IF(K4328&lt;-5,"CRÍTICO",IF(K4328&lt;0,"ATENÇÃO",IF(K4328&lt;=5,"OPORTUNO","MUITO BOM")))</f>
        <v/>
      </c>
      <c r="N4328" t="n">
        <v>95.48999999999999</v>
      </c>
      <c r="O4328" t="n">
        <v>28.16901408450704</v>
      </c>
    </row>
    <row r="4329" hidden="1">
      <c r="A4329" s="11" t="n">
        <v>46139</v>
      </c>
      <c r="B4329" t="inlineStr">
        <is>
          <t>Michelle G Santos</t>
        </is>
      </c>
      <c r="C4329" t="inlineStr">
        <is>
          <t>Estágio</t>
        </is>
      </c>
      <c r="D4329" t="n">
        <v>6</v>
      </c>
      <c r="E4329" t="n">
        <v>6</v>
      </c>
      <c r="F4329" t="n">
        <v>26.47</v>
      </c>
      <c r="G4329" t="n">
        <v>0</v>
      </c>
      <c r="H4329" t="n">
        <v>0</v>
      </c>
      <c r="I4329" s="3">
        <f>E4329+G4329+H4329</f>
        <v/>
      </c>
      <c r="J4329" s="3">
        <f>ROUND(MIN(IF(C4329="Técnico III",35,IF(C4329="Técnico II",28,IF(C4329="Técnico I",23,IF(C4329="JR",20,IF(C4329="Estágio",10,0))))),IF(C4329="Técnico III",SUMIFS($D:$D,$A:$A,$A4329,$B:$B,"&lt;&gt;Patrícia Karla de Sousa Araújo",$B:$B,"&lt;&gt;Lorena Dias de Araujo",$B:$B,"&lt;&gt;Lucas Luiz Romero")*(35/1083),IF(C4329="Técnico II",SUMIFS($D:$D,$A:$A,$A4329,$B:$B,"&lt;&gt;Patrícia Karla de Sousa Araújo",$B:$B,"&lt;&gt;Lorena Dias de Araujo",$B:$B,"&lt;&gt;Lucas Luiz Romero")*(28/1083),IF(C4329="Técnico I",SUMIFS($D:$D,$A:$A,$A4329,$B:$B,"&lt;&gt;Patrícia Karla de Sousa Araújo",$B:$B,"&lt;&gt;Lorena Dias de Araujo",$B:$B,"&lt;&gt;Lucas Luiz Romero")*(23/1083),IF(C4329="JR",SUMIFS($D:$D,$A:$A,$A4329,$B:$B,"&lt;&gt;Patrícia Karla de Sousa Araújo",$B:$B,"&lt;&gt;Lorena Dias de Araujo",$B:$B,"&lt;&gt;Lucas Luiz Romero")*(20/1083),IF(C4329="Estágio",SUMIFS($D:$D,$A:$A,$A4329,$B:$B,"&lt;&gt;Patrícia Karla de Sousa Araújo",$B:$B,"&lt;&gt;Lorena Dias de Araujo",$B:$B,"&lt;&gt;Lucas Luiz Romero")*(10/1083),0)))))),0)</f>
        <v/>
      </c>
      <c r="K4329" s="3">
        <f>I4329-J4329</f>
        <v/>
      </c>
      <c r="L4329" s="3">
        <f>IF(K4329&lt;-5,"CRÍTICO",IF(K4329&lt;0,"ATENÇÃO",IF(K4329&lt;=5,"OPORTUNO","MUITO BOM")))</f>
        <v/>
      </c>
      <c r="N4329" t="n">
        <v>100</v>
      </c>
      <c r="O4329" t="n">
        <v>23.77622377622378</v>
      </c>
    </row>
    <row r="4330" hidden="1">
      <c r="A4330" s="11" t="n">
        <v>46139</v>
      </c>
      <c r="B4330" t="inlineStr">
        <is>
          <t>Milena Sales</t>
        </is>
      </c>
      <c r="C4330" t="inlineStr">
        <is>
          <t>JR</t>
        </is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s="3" t="n">
        <v>0</v>
      </c>
      <c r="J4330" s="3" t="n">
        <v>0</v>
      </c>
      <c r="K4330" s="3" t="n">
        <v>0</v>
      </c>
      <c r="L4330" s="3">
        <f>IF(K4330&lt;-5,"CRÍTICO",IF(K4330&lt;0,"ATENÇÃO",IF(K4330&lt;=5,"OPORTUNO","MUITO BOM")))</f>
        <v/>
      </c>
      <c r="N4330" t="n">
        <v>96.15000000000001</v>
      </c>
      <c r="O4330" t="n">
        <v>24.04580152671756</v>
      </c>
    </row>
    <row r="4331" hidden="1">
      <c r="A4331" s="11" t="n">
        <v>46139</v>
      </c>
      <c r="B4331" t="inlineStr">
        <is>
          <t>Patrícia Karla de Sousa Araújo</t>
        </is>
      </c>
      <c r="C4331" t="inlineStr">
        <is>
          <t>Técnico II</t>
        </is>
      </c>
      <c r="D4331" t="n">
        <v>10</v>
      </c>
      <c r="E4331" t="n">
        <v>8</v>
      </c>
      <c r="F4331" t="n">
        <v>13.37</v>
      </c>
      <c r="G4331" t="n">
        <v>0</v>
      </c>
      <c r="H4331" t="n">
        <v>0</v>
      </c>
      <c r="I4331" s="3">
        <f>E4331+G4331+H4331</f>
        <v/>
      </c>
      <c r="J4331" s="3">
        <f>ROUND(MIN(IF(C4331="Técnico III",35,IF(C4331="Técnico II",28,IF(C4331="Técnico I",23,IF(C4331="JR",20,IF(C4331="Estágio",10,0))))),IF(C4331="Técnico III",SUMIFS($D:$D,$A:$A,$A4331,$B:$B,"&lt;&gt;Patrícia Karla de Sousa Araújo",$B:$B,"&lt;&gt;Lorena Dias de Araujo",$B:$B,"&lt;&gt;Lucas Luiz Romero")*(35/1083),IF(C4331="Técnico II",SUMIFS($D:$D,$A:$A,$A4331,$B:$B,"&lt;&gt;Patrícia Karla de Sousa Araújo",$B:$B,"&lt;&gt;Lorena Dias de Araujo",$B:$B,"&lt;&gt;Lucas Luiz Romero")*(28/1083),IF(C4331="Técnico I",SUMIFS($D:$D,$A:$A,$A4331,$B:$B,"&lt;&gt;Patrícia Karla de Sousa Araújo",$B:$B,"&lt;&gt;Lorena Dias de Araujo",$B:$B,"&lt;&gt;Lucas Luiz Romero")*(23/1083),IF(C4331="JR",SUMIFS($D:$D,$A:$A,$A4331,$B:$B,"&lt;&gt;Patrícia Karla de Sousa Araújo",$B:$B,"&lt;&gt;Lorena Dias de Araujo",$B:$B,"&lt;&gt;Lucas Luiz Romero")*(20/1083),IF(C4331="Estágio",SUMIFS($D:$D,$A:$A,$A4331,$B:$B,"&lt;&gt;Patrícia Karla de Sousa Araújo",$B:$B,"&lt;&gt;Lorena Dias de Araujo",$B:$B,"&lt;&gt;Lucas Luiz Romero")*(10/1083),0)))))),0)</f>
        <v/>
      </c>
      <c r="K4331" s="3">
        <f>I4331-J4331</f>
        <v/>
      </c>
      <c r="L4331" s="3">
        <f>IF(K4331&lt;-5,"CRÍTICO",IF(K4331&lt;0,"ATENÇÃO",IF(K4331&lt;=5,"OPORTUNO","MUITO BOM")))</f>
        <v/>
      </c>
      <c r="N4331" t="n">
        <v>99.02</v>
      </c>
      <c r="O4331" t="n">
        <v>34.7972972972973</v>
      </c>
    </row>
    <row r="4332" hidden="1">
      <c r="A4332" s="11" t="n">
        <v>46139</v>
      </c>
      <c r="B4332" t="inlineStr">
        <is>
          <t>Paulo Ricardo Santos</t>
        </is>
      </c>
      <c r="C4332" t="inlineStr">
        <is>
          <t>JR</t>
        </is>
      </c>
      <c r="D4332" t="n">
        <v>8</v>
      </c>
      <c r="E4332" t="n">
        <v>8</v>
      </c>
      <c r="F4332" t="n">
        <v>17.11</v>
      </c>
      <c r="G4332" t="n">
        <v>0</v>
      </c>
      <c r="H4332" t="n">
        <v>0</v>
      </c>
      <c r="I4332" s="3">
        <f>E4332+G4332+H4332</f>
        <v/>
      </c>
      <c r="J4332" s="3">
        <f>ROUND(MIN(IF(C4332="Técnico III",35,IF(C4332="Técnico II",28,IF(C4332="Técnico I",23,IF(C4332="JR",20,IF(C4332="Estágio",10,0))))),IF(C4332="Técnico III",SUMIFS($D:$D,$A:$A,$A4332,$B:$B,"&lt;&gt;Patrícia Karla de Sousa Araújo",$B:$B,"&lt;&gt;Lorena Dias de Araujo",$B:$B,"&lt;&gt;Lucas Luiz Romero")*(35/1083),IF(C4332="Técnico II",SUMIFS($D:$D,$A:$A,$A4332,$B:$B,"&lt;&gt;Patrícia Karla de Sousa Araújo",$B:$B,"&lt;&gt;Lorena Dias de Araujo",$B:$B,"&lt;&gt;Lucas Luiz Romero")*(28/1083),IF(C4332="Técnico I",SUMIFS($D:$D,$A:$A,$A4332,$B:$B,"&lt;&gt;Patrícia Karla de Sousa Araújo",$B:$B,"&lt;&gt;Lorena Dias de Araujo",$B:$B,"&lt;&gt;Lucas Luiz Romero")*(23/1083),IF(C4332="JR",SUMIFS($D:$D,$A:$A,$A4332,$B:$B,"&lt;&gt;Patrícia Karla de Sousa Araújo",$B:$B,"&lt;&gt;Lorena Dias de Araujo",$B:$B,"&lt;&gt;Lucas Luiz Romero")*(20/1083),IF(C4332="Estágio",SUMIFS($D:$D,$A:$A,$A4332,$B:$B,"&lt;&gt;Patrícia Karla de Sousa Araújo",$B:$B,"&lt;&gt;Lorena Dias de Araujo",$B:$B,"&lt;&gt;Lucas Luiz Romero")*(10/1083),0)))))),0)</f>
        <v/>
      </c>
      <c r="K4332" s="3">
        <f>I4332-J4332</f>
        <v/>
      </c>
      <c r="L4332" s="3">
        <f>IF(K4332&lt;-5,"CRÍTICO",IF(K4332&lt;0,"ATENÇÃO",IF(K4332&lt;=5,"OPORTUNO","MUITO BOM")))</f>
        <v/>
      </c>
      <c r="N4332" t="n">
        <v>98.84</v>
      </c>
      <c r="O4332" t="n">
        <v>31.5018315018315</v>
      </c>
    </row>
    <row r="4333" hidden="1">
      <c r="A4333" s="11" t="n">
        <v>46139</v>
      </c>
      <c r="B4333" t="inlineStr">
        <is>
          <t>Pedro Luiz Mota Sousa</t>
        </is>
      </c>
      <c r="C4333" t="inlineStr">
        <is>
          <t>JR</t>
        </is>
      </c>
      <c r="D4333" t="n">
        <v>11</v>
      </c>
      <c r="E4333" t="n">
        <v>10</v>
      </c>
      <c r="F4333" t="n">
        <v>17.35</v>
      </c>
      <c r="G4333" t="n">
        <v>0</v>
      </c>
      <c r="H4333" t="n">
        <v>0</v>
      </c>
      <c r="I4333" s="3">
        <f>E4333+G4333+H4333</f>
        <v/>
      </c>
      <c r="J4333" s="3">
        <f>ROUND(MIN(IF(C4333="Técnico III",35,IF(C4333="Técnico II",28,IF(C4333="Técnico I",23,IF(C4333="JR",20,IF(C4333="Estágio",10,0))))),IF(C4333="Técnico III",SUMIFS($D:$D,$A:$A,$A4333,$B:$B,"&lt;&gt;Patrícia Karla de Sousa Araújo",$B:$B,"&lt;&gt;Lorena Dias de Araujo",$B:$B,"&lt;&gt;Lucas Luiz Romero")*(35/1083),IF(C4333="Técnico II",SUMIFS($D:$D,$A:$A,$A4333,$B:$B,"&lt;&gt;Patrícia Karla de Sousa Araújo",$B:$B,"&lt;&gt;Lorena Dias de Araujo",$B:$B,"&lt;&gt;Lucas Luiz Romero")*(28/1083),IF(C4333="Técnico I",SUMIFS($D:$D,$A:$A,$A4333,$B:$B,"&lt;&gt;Patrícia Karla de Sousa Araújo",$B:$B,"&lt;&gt;Lorena Dias de Araujo",$B:$B,"&lt;&gt;Lucas Luiz Romero")*(23/1083),IF(C4333="JR",SUMIFS($D:$D,$A:$A,$A4333,$B:$B,"&lt;&gt;Patrícia Karla de Sousa Araújo",$B:$B,"&lt;&gt;Lorena Dias de Araujo",$B:$B,"&lt;&gt;Lucas Luiz Romero")*(20/1083),IF(C4333="Estágio",SUMIFS($D:$D,$A:$A,$A4333,$B:$B,"&lt;&gt;Patrícia Karla de Sousa Araújo",$B:$B,"&lt;&gt;Lorena Dias de Araujo",$B:$B,"&lt;&gt;Lucas Luiz Romero")*(10/1083),0)))))),0)</f>
        <v/>
      </c>
      <c r="K4333" s="3">
        <f>I4333-J4333</f>
        <v/>
      </c>
      <c r="L4333" s="3">
        <f>IF(K4333&lt;-5,"CRÍTICO",IF(K4333&lt;0,"ATENÇÃO",IF(K4333&lt;=5,"OPORTUNO","MUITO BOM")))</f>
        <v/>
      </c>
      <c r="N4333" t="n">
        <v>100</v>
      </c>
      <c r="O4333" t="n">
        <v>34.66666666666667</v>
      </c>
    </row>
    <row r="4334" hidden="1">
      <c r="A4334" s="11" t="n">
        <v>46139</v>
      </c>
      <c r="B4334" t="inlineStr">
        <is>
          <t>Quirino Diogo Leite Torres</t>
        </is>
      </c>
      <c r="C4334" t="inlineStr">
        <is>
          <t>Estágio</t>
        </is>
      </c>
      <c r="D4334" t="n">
        <v>5</v>
      </c>
      <c r="E4334" t="n">
        <v>4</v>
      </c>
      <c r="F4334" t="n">
        <v>21.5</v>
      </c>
      <c r="G4334" t="n">
        <v>0</v>
      </c>
      <c r="H4334" t="n">
        <v>0</v>
      </c>
      <c r="I4334" s="3">
        <f>E4334+G4334+H4334</f>
        <v/>
      </c>
      <c r="J4334" s="3">
        <f>ROUND(MIN(IF(C4334="Técnico III",35,IF(C4334="Técnico II",28,IF(C4334="Técnico I",23,IF(C4334="JR",20,IF(C4334="Estágio",10,0))))),IF(C4334="Técnico III",SUMIFS($D:$D,$A:$A,$A4334,$B:$B,"&lt;&gt;Patrícia Karla de Sousa Araújo",$B:$B,"&lt;&gt;Lorena Dias de Araujo",$B:$B,"&lt;&gt;Lucas Luiz Romero")*(35/1083),IF(C4334="Técnico II",SUMIFS($D:$D,$A:$A,$A4334,$B:$B,"&lt;&gt;Patrícia Karla de Sousa Araújo",$B:$B,"&lt;&gt;Lorena Dias de Araujo",$B:$B,"&lt;&gt;Lucas Luiz Romero")*(28/1083),IF(C4334="Técnico I",SUMIFS($D:$D,$A:$A,$A4334,$B:$B,"&lt;&gt;Patrícia Karla de Sousa Araújo",$B:$B,"&lt;&gt;Lorena Dias de Araujo",$B:$B,"&lt;&gt;Lucas Luiz Romero")*(23/1083),IF(C4334="JR",SUMIFS($D:$D,$A:$A,$A4334,$B:$B,"&lt;&gt;Patrícia Karla de Sousa Araújo",$B:$B,"&lt;&gt;Lorena Dias de Araujo",$B:$B,"&lt;&gt;Lucas Luiz Romero")*(20/1083),IF(C4334="Estágio",SUMIFS($D:$D,$A:$A,$A4334,$B:$B,"&lt;&gt;Patrícia Karla de Sousa Araújo",$B:$B,"&lt;&gt;Lorena Dias de Araujo",$B:$B,"&lt;&gt;Lucas Luiz Romero")*(10/1083),0)))))),0)</f>
        <v/>
      </c>
      <c r="K4334" s="3">
        <f>I4334-J4334</f>
        <v/>
      </c>
      <c r="L4334" s="3">
        <f>IF(K4334&lt;-5,"CRÍTICO",IF(K4334&lt;0,"ATENÇÃO",IF(K4334&lt;=5,"OPORTUNO","MUITO BOM")))</f>
        <v/>
      </c>
      <c r="N4334" t="n">
        <v>94.12</v>
      </c>
      <c r="O4334" t="n">
        <v>32.8</v>
      </c>
    </row>
    <row r="4335" hidden="1">
      <c r="A4335" s="11" t="n">
        <v>46139</v>
      </c>
      <c r="B4335" t="inlineStr">
        <is>
          <t>Raane Batista Matos</t>
        </is>
      </c>
      <c r="C4335" t="inlineStr">
        <is>
          <t>Técnico I</t>
        </is>
      </c>
      <c r="D4335" t="n">
        <v>16</v>
      </c>
      <c r="E4335" t="n">
        <v>14</v>
      </c>
      <c r="F4335" t="n">
        <v>16.46</v>
      </c>
      <c r="G4335" t="n">
        <v>0</v>
      </c>
      <c r="H4335" t="n">
        <v>0</v>
      </c>
      <c r="I4335" s="3">
        <f>E4335+G4335+H4335</f>
        <v/>
      </c>
      <c r="J4335" s="3">
        <f>ROUND(MIN(IF(C4335="Técnico III",35,IF(C4335="Técnico II",28,IF(C4335="Técnico I",23,IF(C4335="JR",20,IF(C4335="Estágio",10,0))))),IF(C4335="Técnico III",SUMIFS($D:$D,$A:$A,$A4335,$B:$B,"&lt;&gt;Patrícia Karla de Sousa Araújo",$B:$B,"&lt;&gt;Lorena Dias de Araujo",$B:$B,"&lt;&gt;Lucas Luiz Romero")*(35/1083),IF(C4335="Técnico II",SUMIFS($D:$D,$A:$A,$A4335,$B:$B,"&lt;&gt;Patrícia Karla de Sousa Araújo",$B:$B,"&lt;&gt;Lorena Dias de Araujo",$B:$B,"&lt;&gt;Lucas Luiz Romero")*(28/1083),IF(C4335="Técnico I",SUMIFS($D:$D,$A:$A,$A4335,$B:$B,"&lt;&gt;Patrícia Karla de Sousa Araújo",$B:$B,"&lt;&gt;Lorena Dias de Araujo",$B:$B,"&lt;&gt;Lucas Luiz Romero")*(23/1083),IF(C4335="JR",SUMIFS($D:$D,$A:$A,$A4335,$B:$B,"&lt;&gt;Patrícia Karla de Sousa Araújo",$B:$B,"&lt;&gt;Lorena Dias de Araujo",$B:$B,"&lt;&gt;Lucas Luiz Romero")*(20/1083),IF(C4335="Estágio",SUMIFS($D:$D,$A:$A,$A4335,$B:$B,"&lt;&gt;Patrícia Karla de Sousa Araújo",$B:$B,"&lt;&gt;Lorena Dias de Araujo",$B:$B,"&lt;&gt;Lucas Luiz Romero")*(10/1083),0)))))),0)</f>
        <v/>
      </c>
      <c r="K4335" s="3">
        <f>I4335-J4335</f>
        <v/>
      </c>
      <c r="L4335" s="3">
        <f>IF(K4335&lt;-5,"CRÍTICO",IF(K4335&lt;0,"ATENÇÃO",IF(K4335&lt;=5,"OPORTUNO","MUITO BOM")))</f>
        <v/>
      </c>
      <c r="N4335" t="n">
        <v>98.31999999999999</v>
      </c>
      <c r="O4335" t="n">
        <v>26.61870503597122</v>
      </c>
    </row>
    <row r="4336" hidden="1">
      <c r="A4336" s="11" t="n">
        <v>46139</v>
      </c>
      <c r="B4336" t="inlineStr">
        <is>
          <t>Rafael Gomes de Morais</t>
        </is>
      </c>
      <c r="C4336" t="inlineStr">
        <is>
          <t>Técnico III</t>
        </is>
      </c>
      <c r="D4336" t="n">
        <v>18</v>
      </c>
      <c r="E4336" t="n">
        <v>16</v>
      </c>
      <c r="F4336" t="n">
        <v>12.28</v>
      </c>
      <c r="G4336" t="n">
        <v>0</v>
      </c>
      <c r="H4336" t="n">
        <v>0</v>
      </c>
      <c r="I4336" s="3">
        <f>E4336+G4336+H4336</f>
        <v/>
      </c>
      <c r="J4336" s="3">
        <f>ROUND(MIN(IF(C4336="Técnico III",35,IF(C4336="Técnico II",28,IF(C4336="Técnico I",23,IF(C4336="JR",20,IF(C4336="Estágio",10,0))))),IF(C4336="Técnico III",SUMIFS($D:$D,$A:$A,$A4336,$B:$B,"&lt;&gt;Patrícia Karla de Sousa Araújo",$B:$B,"&lt;&gt;Lorena Dias de Araujo",$B:$B,"&lt;&gt;Lucas Luiz Romero")*(35/1083),IF(C4336="Técnico II",SUMIFS($D:$D,$A:$A,$A4336,$B:$B,"&lt;&gt;Patrícia Karla de Sousa Araújo",$B:$B,"&lt;&gt;Lorena Dias de Araujo",$B:$B,"&lt;&gt;Lucas Luiz Romero")*(28/1083),IF(C4336="Técnico I",SUMIFS($D:$D,$A:$A,$A4336,$B:$B,"&lt;&gt;Patrícia Karla de Sousa Araújo",$B:$B,"&lt;&gt;Lorena Dias de Araujo",$B:$B,"&lt;&gt;Lucas Luiz Romero")*(23/1083),IF(C4336="JR",SUMIFS($D:$D,$A:$A,$A4336,$B:$B,"&lt;&gt;Patrícia Karla de Sousa Araújo",$B:$B,"&lt;&gt;Lorena Dias de Araujo",$B:$B,"&lt;&gt;Lucas Luiz Romero")*(20/1083),IF(C4336="Estágio",SUMIFS($D:$D,$A:$A,$A4336,$B:$B,"&lt;&gt;Patrícia Karla de Sousa Araújo",$B:$B,"&lt;&gt;Lorena Dias de Araujo",$B:$B,"&lt;&gt;Lucas Luiz Romero")*(10/1083),0)))))),0)</f>
        <v/>
      </c>
      <c r="K4336" s="3">
        <f>I4336-J4336</f>
        <v/>
      </c>
      <c r="L4336" s="3">
        <f>IF(K4336&lt;-5,"CRÍTICO",IF(K4336&lt;0,"ATENÇÃO",IF(K4336&lt;=5,"OPORTUNO","MUITO BOM")))</f>
        <v/>
      </c>
      <c r="N4336" t="n">
        <v>100</v>
      </c>
      <c r="O4336" t="n">
        <v>31.13553113553114</v>
      </c>
    </row>
    <row r="4337" hidden="1">
      <c r="A4337" s="11" t="n">
        <v>46139</v>
      </c>
      <c r="B4337" t="inlineStr">
        <is>
          <t>Sara Maria Monteiro Lopes</t>
        </is>
      </c>
      <c r="C4337" t="inlineStr">
        <is>
          <t>Técnico I</t>
        </is>
      </c>
      <c r="D4337" t="n">
        <v>10</v>
      </c>
      <c r="E4337" t="n">
        <v>10</v>
      </c>
      <c r="F4337" t="n">
        <v>25.09</v>
      </c>
      <c r="G4337" t="n">
        <v>0</v>
      </c>
      <c r="H4337" t="n">
        <v>0</v>
      </c>
      <c r="I4337" s="3">
        <f>E4337+G4337+H4337</f>
        <v/>
      </c>
      <c r="J4337" s="3">
        <f>ROUND(MIN(IF(C4337="Técnico III",35,IF(C4337="Técnico II",28,IF(C4337="Técnico I",23,IF(C4337="JR",20,IF(C4337="Estágio",10,0))))),IF(C4337="Técnico III",SUMIFS($D:$D,$A:$A,$A4337,$B:$B,"&lt;&gt;Patrícia Karla de Sousa Araújo",$B:$B,"&lt;&gt;Lorena Dias de Araujo",$B:$B,"&lt;&gt;Lucas Luiz Romero")*(35/1083),IF(C4337="Técnico II",SUMIFS($D:$D,$A:$A,$A4337,$B:$B,"&lt;&gt;Patrícia Karla de Sousa Araújo",$B:$B,"&lt;&gt;Lorena Dias de Araujo",$B:$B,"&lt;&gt;Lucas Luiz Romero")*(28/1083),IF(C4337="Técnico I",SUMIFS($D:$D,$A:$A,$A4337,$B:$B,"&lt;&gt;Patrícia Karla de Sousa Araújo",$B:$B,"&lt;&gt;Lorena Dias de Araujo",$B:$B,"&lt;&gt;Lucas Luiz Romero")*(23/1083),IF(C4337="JR",SUMIFS($D:$D,$A:$A,$A4337,$B:$B,"&lt;&gt;Patrícia Karla de Sousa Araújo",$B:$B,"&lt;&gt;Lorena Dias de Araujo",$B:$B,"&lt;&gt;Lucas Luiz Romero")*(20/1083),IF(C4337="Estágio",SUMIFS($D:$D,$A:$A,$A4337,$B:$B,"&lt;&gt;Patrícia Karla de Sousa Araújo",$B:$B,"&lt;&gt;Lorena Dias de Araujo",$B:$B,"&lt;&gt;Lucas Luiz Romero")*(10/1083),0)))))),0)</f>
        <v/>
      </c>
      <c r="K4337" s="3">
        <f>I4337-J4337</f>
        <v/>
      </c>
      <c r="L4337" s="3">
        <f>IF(K4337&lt;-5,"CRÍTICO",IF(K4337&lt;0,"ATENÇÃO",IF(K4337&lt;=5,"OPORTUNO","MUITO BOM")))</f>
        <v/>
      </c>
      <c r="N4337" t="n">
        <v>100</v>
      </c>
      <c r="O4337" t="n">
        <v>26.02739726027397</v>
      </c>
    </row>
    <row r="4338" hidden="1">
      <c r="A4338" s="11" t="n">
        <v>46139</v>
      </c>
      <c r="B4338" t="inlineStr">
        <is>
          <t>Sarah Steffanie de Lima Borges</t>
        </is>
      </c>
      <c r="C4338" t="inlineStr">
        <is>
          <t>Técnico III</t>
        </is>
      </c>
      <c r="D4338" t="n">
        <v>16</v>
      </c>
      <c r="E4338" t="n">
        <v>15</v>
      </c>
      <c r="F4338" t="n">
        <v>16.55</v>
      </c>
      <c r="G4338" t="n">
        <v>0</v>
      </c>
      <c r="H4338" t="n">
        <v>0</v>
      </c>
      <c r="I4338" s="3">
        <f>E4338+G4338+H4338</f>
        <v/>
      </c>
      <c r="J4338" s="3">
        <f>ROUND(MIN(IF(C4338="Técnico III",35,IF(C4338="Técnico II",28,IF(C4338="Técnico I",23,IF(C4338="JR",20,IF(C4338="Estágio",10,0))))),IF(C4338="Técnico III",SUMIFS($D:$D,$A:$A,$A4338,$B:$B,"&lt;&gt;Patrícia Karla de Sousa Araújo",$B:$B,"&lt;&gt;Lorena Dias de Araujo",$B:$B,"&lt;&gt;Lucas Luiz Romero")*(35/1083),IF(C4338="Técnico II",SUMIFS($D:$D,$A:$A,$A4338,$B:$B,"&lt;&gt;Patrícia Karla de Sousa Araújo",$B:$B,"&lt;&gt;Lorena Dias de Araujo",$B:$B,"&lt;&gt;Lucas Luiz Romero")*(28/1083),IF(C4338="Técnico I",SUMIFS($D:$D,$A:$A,$A4338,$B:$B,"&lt;&gt;Patrícia Karla de Sousa Araújo",$B:$B,"&lt;&gt;Lorena Dias de Araujo",$B:$B,"&lt;&gt;Lucas Luiz Romero")*(23/1083),IF(C4338="JR",SUMIFS($D:$D,$A:$A,$A4338,$B:$B,"&lt;&gt;Patrícia Karla de Sousa Araújo",$B:$B,"&lt;&gt;Lorena Dias de Araujo",$B:$B,"&lt;&gt;Lucas Luiz Romero")*(20/1083),IF(C4338="Estágio",SUMIFS($D:$D,$A:$A,$A4338,$B:$B,"&lt;&gt;Patrícia Karla de Sousa Araújo",$B:$B,"&lt;&gt;Lorena Dias de Araujo",$B:$B,"&lt;&gt;Lucas Luiz Romero")*(10/1083),0)))))),0)</f>
        <v/>
      </c>
      <c r="K4338" s="3">
        <f>I4338-J4338</f>
        <v/>
      </c>
      <c r="L4338" s="3">
        <f>IF(K4338&lt;-5,"CRÍTICO",IF(K4338&lt;0,"ATENÇÃO",IF(K4338&lt;=5,"OPORTUNO","MUITO BOM")))</f>
        <v/>
      </c>
      <c r="N4338" t="n">
        <v>99.20999999999999</v>
      </c>
      <c r="O4338" t="n">
        <v>24.93702770780856</v>
      </c>
    </row>
    <row r="4339" hidden="1">
      <c r="A4339" s="11" t="n">
        <v>46140</v>
      </c>
      <c r="B4339" t="inlineStr">
        <is>
          <t>Jessica Faria da Silveira</t>
        </is>
      </c>
      <c r="C4339" t="inlineStr">
        <is>
          <t>Técnico II</t>
        </is>
      </c>
      <c r="D4339" t="n">
        <v>29</v>
      </c>
      <c r="E4339" t="n">
        <v>25</v>
      </c>
      <c r="F4339" t="n">
        <v>17.3</v>
      </c>
      <c r="G4339" t="n">
        <v>0</v>
      </c>
      <c r="H4339" t="n">
        <v>0</v>
      </c>
      <c r="I4339" s="3">
        <f>E4339+G4339+H4339</f>
        <v/>
      </c>
      <c r="J4339" s="3">
        <f>ROUND(MIN(IF(C4339="Técnico III",35,IF(C4339="Técnico II",28,IF(C4339="Técnico I",23,IF(C4339="JR",20,IF(C4339="Estágio",10,0))))),IF(C4339="Técnico III",SUMIFS($D:$D,$A:$A,$A4339,$B:$B,"&lt;&gt;Patrícia Karla de Sousa Araújo",$B:$B,"&lt;&gt;Lorena Dias de Araujo",$B:$B,"&lt;&gt;Lucas Luiz Romero")*(35/1083),IF(C4339="Técnico II",SUMIFS($D:$D,$A:$A,$A4339,$B:$B,"&lt;&gt;Patrícia Karla de Sousa Araújo",$B:$B,"&lt;&gt;Lorena Dias de Araujo",$B:$B,"&lt;&gt;Lucas Luiz Romero")*(28/1083),IF(C4339="Técnico I",SUMIFS($D:$D,$A:$A,$A4339,$B:$B,"&lt;&gt;Patrícia Karla de Sousa Araújo",$B:$B,"&lt;&gt;Lorena Dias de Araujo",$B:$B,"&lt;&gt;Lucas Luiz Romero")*(23/1083),IF(C4339="JR",SUMIFS($D:$D,$A:$A,$A4339,$B:$B,"&lt;&gt;Patrícia Karla de Sousa Araújo",$B:$B,"&lt;&gt;Lorena Dias de Araujo",$B:$B,"&lt;&gt;Lucas Luiz Romero")*(20/1083),IF(C4339="Estágio",SUMIFS($D:$D,$A:$A,$A4339,$B:$B,"&lt;&gt;Patrícia Karla de Sousa Araújo",$B:$B,"&lt;&gt;Lorena Dias de Araujo",$B:$B,"&lt;&gt;Lucas Luiz Romero")*(10/1083),0)))))),0)</f>
        <v/>
      </c>
      <c r="K4339" s="3">
        <f>I4339-J4339</f>
        <v/>
      </c>
      <c r="L4339" s="3">
        <f>IF(K4339&lt;-5,"CRÍTICO",IF(K4339&lt;0,"ATENÇÃO",IF(K4339&lt;=5,"OPORTUNO","MUITO BOM")))</f>
        <v/>
      </c>
      <c r="N4339" t="n">
        <v>98.81</v>
      </c>
      <c r="O4339" t="n">
        <v>26.25698324022346</v>
      </c>
    </row>
    <row r="4340" hidden="1">
      <c r="A4340" s="11" t="n">
        <v>46140</v>
      </c>
      <c r="B4340" t="inlineStr">
        <is>
          <t>Lizandra Gomes Duarte</t>
        </is>
      </c>
      <c r="C4340" t="inlineStr">
        <is>
          <t>Técnico II</t>
        </is>
      </c>
      <c r="D4340" t="n">
        <v>20</v>
      </c>
      <c r="E4340" t="n">
        <v>19</v>
      </c>
      <c r="F4340" t="n">
        <v>21.45</v>
      </c>
      <c r="G4340" t="n">
        <v>0</v>
      </c>
      <c r="H4340" t="n">
        <v>0</v>
      </c>
      <c r="I4340" s="3">
        <f>E4340+G4340+H4340</f>
        <v/>
      </c>
      <c r="J4340" s="3">
        <f>ROUND(MIN(IF(C4340="Técnico III",35,IF(C4340="Técnico II",28,IF(C4340="Técnico I",23,IF(C4340="JR",20,IF(C4340="Estágio",10,0))))),IF(C4340="Técnico III",SUMIFS($D:$D,$A:$A,$A4340,$B:$B,"&lt;&gt;Patrícia Karla de Sousa Araújo",$B:$B,"&lt;&gt;Lorena Dias de Araujo",$B:$B,"&lt;&gt;Lucas Luiz Romero")*(35/1083),IF(C4340="Técnico II",SUMIFS($D:$D,$A:$A,$A4340,$B:$B,"&lt;&gt;Patrícia Karla de Sousa Araújo",$B:$B,"&lt;&gt;Lorena Dias de Araujo",$B:$B,"&lt;&gt;Lucas Luiz Romero")*(28/1083),IF(C4340="Técnico I",SUMIFS($D:$D,$A:$A,$A4340,$B:$B,"&lt;&gt;Patrícia Karla de Sousa Araújo",$B:$B,"&lt;&gt;Lorena Dias de Araujo",$B:$B,"&lt;&gt;Lucas Luiz Romero")*(23/1083),IF(C4340="JR",SUMIFS($D:$D,$A:$A,$A4340,$B:$B,"&lt;&gt;Patrícia Karla de Sousa Araújo",$B:$B,"&lt;&gt;Lorena Dias de Araujo",$B:$B,"&lt;&gt;Lucas Luiz Romero")*(20/1083),IF(C4340="Estágio",SUMIFS($D:$D,$A:$A,$A4340,$B:$B,"&lt;&gt;Patrícia Karla de Sousa Araújo",$B:$B,"&lt;&gt;Lorena Dias de Araujo",$B:$B,"&lt;&gt;Lucas Luiz Romero")*(10/1083),0)))))),0)</f>
        <v/>
      </c>
      <c r="K4340" s="3">
        <f>I4340-J4340</f>
        <v/>
      </c>
      <c r="L4340" s="3">
        <f>IF(K4340&lt;-5,"CRÍTICO",IF(K4340&lt;0,"ATENÇÃO",IF(K4340&lt;=5,"OPORTUNO","MUITO BOM")))</f>
        <v/>
      </c>
      <c r="N4340" t="n">
        <v>99.17</v>
      </c>
      <c r="O4340" t="n">
        <v>29.75206611570248</v>
      </c>
    </row>
    <row r="4341" hidden="1">
      <c r="A4341" s="11" t="n">
        <v>46140</v>
      </c>
      <c r="B4341" t="inlineStr">
        <is>
          <t>Lorena Dias de Araujo</t>
        </is>
      </c>
      <c r="C4341" t="inlineStr">
        <is>
          <t>Técnico II</t>
        </is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s="3" t="n">
        <v>0</v>
      </c>
      <c r="J4341" s="3" t="n">
        <v>0</v>
      </c>
      <c r="K4341" s="3" t="n">
        <v>0</v>
      </c>
      <c r="L4341" s="3">
        <f>IF(K4341&lt;-5,"CRÍTICO",IF(K4341&lt;0,"ATENÇÃO",IF(K4341&lt;=5,"OPORTUNO","MUITO BOM")))</f>
        <v/>
      </c>
      <c r="N4341" t="n">
        <v>98.73</v>
      </c>
      <c r="O4341" t="n">
        <v>28.96174863387978</v>
      </c>
    </row>
    <row r="4342" hidden="1">
      <c r="A4342" s="11" t="n">
        <v>46140</v>
      </c>
      <c r="B4342" t="inlineStr">
        <is>
          <t>Patrícia Karla de Sousa Araújo</t>
        </is>
      </c>
      <c r="C4342" t="inlineStr">
        <is>
          <t>Técnico II</t>
        </is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s="3" t="n">
        <v>0</v>
      </c>
      <c r="J4342" s="3" t="n">
        <v>0</v>
      </c>
      <c r="K4342" s="3" t="n">
        <v>0</v>
      </c>
      <c r="L4342" s="3">
        <f>IF(K4342&lt;-5,"CRÍTICO",IF(K4342&lt;0,"ATENÇÃO",IF(K4342&lt;=5,"OPORTUNO","MUITO BOM")))</f>
        <v/>
      </c>
      <c r="N4342" t="n">
        <v>99.02</v>
      </c>
      <c r="O4342" t="n">
        <v>34.7972972972973</v>
      </c>
    </row>
    <row r="4343" hidden="1">
      <c r="A4343" s="11" t="n">
        <v>46141</v>
      </c>
      <c r="B4343" t="inlineStr">
        <is>
          <t>Alisson de Freitas Silva</t>
        </is>
      </c>
      <c r="C4343" t="inlineStr">
        <is>
          <t>Técnico II</t>
        </is>
      </c>
      <c r="D4343" t="n">
        <v>43</v>
      </c>
      <c r="E4343" t="n">
        <v>35</v>
      </c>
      <c r="F4343" t="n">
        <v>10.15</v>
      </c>
      <c r="G4343" t="n">
        <v>0</v>
      </c>
      <c r="H4343" t="n">
        <v>0</v>
      </c>
      <c r="I4343" s="3">
        <f>E4343+G4343+H4343</f>
        <v/>
      </c>
      <c r="J4343" s="3">
        <f>ROUND(MIN(IF(C4343="Técnico III",35,IF(C4343="Técnico II",28,IF(C4343="Técnico I",23,IF(C4343="JR",20,IF(C4343="Estágio",10,0))))),IF(C4343="Técnico III",SUMIFS($D:$D,$A:$A,$A4343,$B:$B,"&lt;&gt;Patrícia Karla de Sousa Araújo",$B:$B,"&lt;&gt;Lorena Dias de Araujo",$B:$B,"&lt;&gt;Lucas Luiz Romero")*(35/1083),IF(C4343="Técnico II",SUMIFS($D:$D,$A:$A,$A4343,$B:$B,"&lt;&gt;Patrícia Karla de Sousa Araújo",$B:$B,"&lt;&gt;Lorena Dias de Araujo",$B:$B,"&lt;&gt;Lucas Luiz Romero")*(28/1083),IF(C4343="Técnico I",SUMIFS($D:$D,$A:$A,$A4343,$B:$B,"&lt;&gt;Patrícia Karla de Sousa Araújo",$B:$B,"&lt;&gt;Lorena Dias de Araujo",$B:$B,"&lt;&gt;Lucas Luiz Romero")*(23/1083),IF(C4343="JR",SUMIFS($D:$D,$A:$A,$A4343,$B:$B,"&lt;&gt;Patrícia Karla de Sousa Araújo",$B:$B,"&lt;&gt;Lorena Dias de Araujo",$B:$B,"&lt;&gt;Lucas Luiz Romero")*(20/1083),IF(C4343="Estágio",SUMIFS($D:$D,$A:$A,$A4343,$B:$B,"&lt;&gt;Patrícia Karla de Sousa Araújo",$B:$B,"&lt;&gt;Lorena Dias de Araujo",$B:$B,"&lt;&gt;Lucas Luiz Romero")*(10/1083),0)))))),0)</f>
        <v/>
      </c>
      <c r="K4343" s="3">
        <f>I4343-J4343</f>
        <v/>
      </c>
      <c r="L4343" s="3">
        <f>IF(K4343&lt;-5,"CRÍTICO",IF(K4343&lt;0,"ATENÇÃO",IF(K4343&lt;=5,"OPORTUNO","MUITO BOM")))</f>
        <v/>
      </c>
      <c r="N4343" t="n">
        <v>100</v>
      </c>
      <c r="O4343" t="n">
        <v>32.76450511945392</v>
      </c>
    </row>
    <row r="4344" hidden="1">
      <c r="A4344" s="11" t="n">
        <v>46141</v>
      </c>
      <c r="B4344" t="inlineStr">
        <is>
          <t>Brenda de Menezes Silva</t>
        </is>
      </c>
      <c r="C4344" t="inlineStr">
        <is>
          <t>Técnico II</t>
        </is>
      </c>
      <c r="D4344" t="n">
        <v>38</v>
      </c>
      <c r="E4344" t="n">
        <v>31</v>
      </c>
      <c r="F4344" t="n">
        <v>11.5</v>
      </c>
      <c r="G4344" t="n">
        <v>0</v>
      </c>
      <c r="H4344" t="n">
        <v>0</v>
      </c>
      <c r="I4344" s="3">
        <f>E4344+G4344+H4344</f>
        <v/>
      </c>
      <c r="J4344" s="3">
        <f>ROUND(MIN(IF(C4344="Técnico III",35,IF(C4344="Técnico II",28,IF(C4344="Técnico I",23,IF(C4344="JR",20,IF(C4344="Estágio",10,0))))),IF(C4344="Técnico III",SUMIFS($D:$D,$A:$A,$A4344,$B:$B,"&lt;&gt;Patrícia Karla de Sousa Araújo",$B:$B,"&lt;&gt;Lorena Dias de Araujo",$B:$B,"&lt;&gt;Lucas Luiz Romero")*(35/1083),IF(C4344="Técnico II",SUMIFS($D:$D,$A:$A,$A4344,$B:$B,"&lt;&gt;Patrícia Karla de Sousa Araújo",$B:$B,"&lt;&gt;Lorena Dias de Araujo",$B:$B,"&lt;&gt;Lucas Luiz Romero")*(28/1083),IF(C4344="Técnico I",SUMIFS($D:$D,$A:$A,$A4344,$B:$B,"&lt;&gt;Patrícia Karla de Sousa Araújo",$B:$B,"&lt;&gt;Lorena Dias de Araujo",$B:$B,"&lt;&gt;Lucas Luiz Romero")*(23/1083),IF(C4344="JR",SUMIFS($D:$D,$A:$A,$A4344,$B:$B,"&lt;&gt;Patrícia Karla de Sousa Araújo",$B:$B,"&lt;&gt;Lorena Dias de Araujo",$B:$B,"&lt;&gt;Lucas Luiz Romero")*(20/1083),IF(C4344="Estágio",SUMIFS($D:$D,$A:$A,$A4344,$B:$B,"&lt;&gt;Patrícia Karla de Sousa Araújo",$B:$B,"&lt;&gt;Lorena Dias de Araujo",$B:$B,"&lt;&gt;Lucas Luiz Romero")*(10/1083),0)))))),0)</f>
        <v/>
      </c>
      <c r="K4344" s="3">
        <f>I4344-J4344</f>
        <v/>
      </c>
      <c r="L4344" s="3">
        <f>IF(K4344&lt;-5,"CRÍTICO",IF(K4344&lt;0,"ATENÇÃO",IF(K4344&lt;=5,"OPORTUNO","MUITO BOM")))</f>
        <v/>
      </c>
      <c r="N4344" t="n">
        <v>98.81999999999999</v>
      </c>
      <c r="O4344" t="n">
        <v>30.74141048824593</v>
      </c>
    </row>
    <row r="4345" hidden="1">
      <c r="A4345" s="11" t="n">
        <v>46141</v>
      </c>
      <c r="B4345" t="inlineStr">
        <is>
          <t>Carlos Mateus Cassimiro Nunes</t>
        </is>
      </c>
      <c r="C4345" t="inlineStr">
        <is>
          <t>Técnico II</t>
        </is>
      </c>
      <c r="D4345" t="n">
        <v>24</v>
      </c>
      <c r="E4345" t="n">
        <v>23</v>
      </c>
      <c r="F4345" t="n">
        <v>25.46</v>
      </c>
      <c r="G4345" t="n">
        <v>0</v>
      </c>
      <c r="H4345" t="n">
        <v>0</v>
      </c>
      <c r="I4345" s="3">
        <f>E4345+G4345+H4345</f>
        <v/>
      </c>
      <c r="J4345" s="3">
        <f>ROUND(MIN(IF(C4345="Técnico III",35,IF(C4345="Técnico II",28,IF(C4345="Técnico I",23,IF(C4345="JR",20,IF(C4345="Estágio",10,0))))),IF(C4345="Técnico III",SUMIFS($D:$D,$A:$A,$A4345,$B:$B,"&lt;&gt;Patrícia Karla de Sousa Araújo",$B:$B,"&lt;&gt;Lorena Dias de Araujo",$B:$B,"&lt;&gt;Lucas Luiz Romero")*(35/1083),IF(C4345="Técnico II",SUMIFS($D:$D,$A:$A,$A4345,$B:$B,"&lt;&gt;Patrícia Karla de Sousa Araújo",$B:$B,"&lt;&gt;Lorena Dias de Araujo",$B:$B,"&lt;&gt;Lucas Luiz Romero")*(28/1083),IF(C4345="Técnico I",SUMIFS($D:$D,$A:$A,$A4345,$B:$B,"&lt;&gt;Patrícia Karla de Sousa Araújo",$B:$B,"&lt;&gt;Lorena Dias de Araujo",$B:$B,"&lt;&gt;Lucas Luiz Romero")*(23/1083),IF(C4345="JR",SUMIFS($D:$D,$A:$A,$A4345,$B:$B,"&lt;&gt;Patrícia Karla de Sousa Araújo",$B:$B,"&lt;&gt;Lorena Dias de Araujo",$B:$B,"&lt;&gt;Lucas Luiz Romero")*(20/1083),IF(C4345="Estágio",SUMIFS($D:$D,$A:$A,$A4345,$B:$B,"&lt;&gt;Patrícia Karla de Sousa Araújo",$B:$B,"&lt;&gt;Lorena Dias de Araujo",$B:$B,"&lt;&gt;Lucas Luiz Romero")*(10/1083),0)))))),0)</f>
        <v/>
      </c>
      <c r="K4345" s="3">
        <f>I4345-J4345</f>
        <v/>
      </c>
      <c r="L4345" s="3">
        <f>IF(K4345&lt;-5,"CRÍTICO",IF(K4345&lt;0,"ATENÇÃO",IF(K4345&lt;=5,"OPORTUNO","MUITO BOM")))</f>
        <v/>
      </c>
      <c r="N4345" t="n">
        <v>98.2</v>
      </c>
      <c r="O4345" t="n">
        <v>26.89075630252101</v>
      </c>
    </row>
    <row r="4346" hidden="1">
      <c r="A4346" s="11" t="n">
        <v>46141</v>
      </c>
      <c r="B4346" t="inlineStr">
        <is>
          <t>Damyllis Lorraine de Oliveira Gonçalves</t>
        </is>
      </c>
      <c r="C4346" t="inlineStr">
        <is>
          <t>Técnico II</t>
        </is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s="3" t="n">
        <v>0</v>
      </c>
      <c r="J4346" s="3" t="n">
        <v>0</v>
      </c>
      <c r="K4346" s="3" t="n">
        <v>0</v>
      </c>
      <c r="L4346" s="3">
        <f>IF(K4346&lt;-5,"CRÍTICO",IF(K4346&lt;0,"ATENÇÃO",IF(K4346&lt;=5,"OPORTUNO","MUITO BOM")))</f>
        <v/>
      </c>
      <c r="N4346" t="n">
        <v>97.86</v>
      </c>
      <c r="O4346" t="n">
        <v>31.01851851851852</v>
      </c>
    </row>
    <row r="4347" hidden="1">
      <c r="A4347" s="11" t="n">
        <v>46141</v>
      </c>
      <c r="B4347" t="inlineStr">
        <is>
          <t>Emilly Kamilly Medeiros Miranda</t>
        </is>
      </c>
      <c r="C4347" t="inlineStr">
        <is>
          <t>Técnico II</t>
        </is>
      </c>
      <c r="D4347" t="n">
        <v>31</v>
      </c>
      <c r="E4347" t="n">
        <v>28</v>
      </c>
      <c r="F4347" t="n">
        <v>18.26</v>
      </c>
      <c r="G4347" t="n">
        <v>0</v>
      </c>
      <c r="H4347" t="n">
        <v>0</v>
      </c>
      <c r="I4347" s="3">
        <f>E4347+G4347+H4347</f>
        <v/>
      </c>
      <c r="J4347" s="3">
        <f>ROUND(MIN(IF(C4347="Técnico III",35,IF(C4347="Técnico II",28,IF(C4347="Técnico I",23,IF(C4347="JR",20,IF(C4347="Estágio",10,0))))),IF(C4347="Técnico III",SUMIFS($D:$D,$A:$A,$A4347,$B:$B,"&lt;&gt;Patrícia Karla de Sousa Araújo",$B:$B,"&lt;&gt;Lorena Dias de Araujo",$B:$B,"&lt;&gt;Lucas Luiz Romero")*(35/1083),IF(C4347="Técnico II",SUMIFS($D:$D,$A:$A,$A4347,$B:$B,"&lt;&gt;Patrícia Karla de Sousa Araújo",$B:$B,"&lt;&gt;Lorena Dias de Araujo",$B:$B,"&lt;&gt;Lucas Luiz Romero")*(28/1083),IF(C4347="Técnico I",SUMIFS($D:$D,$A:$A,$A4347,$B:$B,"&lt;&gt;Patrícia Karla de Sousa Araújo",$B:$B,"&lt;&gt;Lorena Dias de Araujo",$B:$B,"&lt;&gt;Lucas Luiz Romero")*(23/1083),IF(C4347="JR",SUMIFS($D:$D,$A:$A,$A4347,$B:$B,"&lt;&gt;Patrícia Karla de Sousa Araújo",$B:$B,"&lt;&gt;Lorena Dias de Araujo",$B:$B,"&lt;&gt;Lucas Luiz Romero")*(20/1083),IF(C4347="Estágio",SUMIFS($D:$D,$A:$A,$A4347,$B:$B,"&lt;&gt;Patrícia Karla de Sousa Araújo",$B:$B,"&lt;&gt;Lorena Dias de Araujo",$B:$B,"&lt;&gt;Lucas Luiz Romero")*(10/1083),0)))))),0)</f>
        <v/>
      </c>
      <c r="K4347" s="3">
        <f>I4347-J4347</f>
        <v/>
      </c>
      <c r="L4347" s="3">
        <f>IF(K4347&lt;-5,"CRÍTICO",IF(K4347&lt;0,"ATENÇÃO",IF(K4347&lt;=5,"OPORTUNO","MUITO BOM")))</f>
        <v/>
      </c>
      <c r="N4347" t="n">
        <v>97.83</v>
      </c>
      <c r="O4347" t="n">
        <v>28.13186813186813</v>
      </c>
    </row>
    <row r="4348" hidden="1">
      <c r="A4348" s="11" t="n">
        <v>46141</v>
      </c>
      <c r="B4348" t="inlineStr">
        <is>
          <t>Francilene Ferreira de Jesus</t>
        </is>
      </c>
      <c r="C4348" t="inlineStr">
        <is>
          <t>Técnico II</t>
        </is>
      </c>
      <c r="D4348" t="n">
        <v>36</v>
      </c>
      <c r="E4348" t="n">
        <v>34</v>
      </c>
      <c r="F4348" t="n">
        <v>15.24</v>
      </c>
      <c r="G4348" t="n">
        <v>0</v>
      </c>
      <c r="H4348" t="n">
        <v>0</v>
      </c>
      <c r="I4348" s="3">
        <f>E4348+G4348+H4348</f>
        <v/>
      </c>
      <c r="J4348" s="3">
        <f>ROUND(MIN(IF(C4348="Técnico III",35,IF(C4348="Técnico II",28,IF(C4348="Técnico I",23,IF(C4348="JR",20,IF(C4348="Estágio",10,0))))),IF(C4348="Técnico III",SUMIFS($D:$D,$A:$A,$A4348,$B:$B,"&lt;&gt;Patrícia Karla de Sousa Araújo",$B:$B,"&lt;&gt;Lorena Dias de Araujo",$B:$B,"&lt;&gt;Lucas Luiz Romero")*(35/1083),IF(C4348="Técnico II",SUMIFS($D:$D,$A:$A,$A4348,$B:$B,"&lt;&gt;Patrícia Karla de Sousa Araújo",$B:$B,"&lt;&gt;Lorena Dias de Araujo",$B:$B,"&lt;&gt;Lucas Luiz Romero")*(28/1083),IF(C4348="Técnico I",SUMIFS($D:$D,$A:$A,$A4348,$B:$B,"&lt;&gt;Patrícia Karla de Sousa Araújo",$B:$B,"&lt;&gt;Lorena Dias de Araujo",$B:$B,"&lt;&gt;Lucas Luiz Romero")*(23/1083),IF(C4348="JR",SUMIFS($D:$D,$A:$A,$A4348,$B:$B,"&lt;&gt;Patrícia Karla de Sousa Araújo",$B:$B,"&lt;&gt;Lorena Dias de Araujo",$B:$B,"&lt;&gt;Lucas Luiz Romero")*(20/1083),IF(C4348="Estágio",SUMIFS($D:$D,$A:$A,$A4348,$B:$B,"&lt;&gt;Patrícia Karla de Sousa Araújo",$B:$B,"&lt;&gt;Lorena Dias de Araujo",$B:$B,"&lt;&gt;Lucas Luiz Romero")*(10/1083),0)))))),0)</f>
        <v/>
      </c>
      <c r="K4348" s="3">
        <f>I4348-J4348</f>
        <v/>
      </c>
      <c r="L4348" s="3">
        <f>IF(K4348&lt;-5,"CRÍTICO",IF(K4348&lt;0,"ATENÇÃO",IF(K4348&lt;=5,"OPORTUNO","MUITO BOM")))</f>
        <v/>
      </c>
      <c r="N4348" t="n">
        <v>99.19</v>
      </c>
      <c r="O4348" t="n">
        <v>29.46236559139785</v>
      </c>
    </row>
    <row r="4349" hidden="1">
      <c r="A4349" s="11" t="n">
        <v>46141</v>
      </c>
      <c r="B4349" t="inlineStr">
        <is>
          <t>Isabella Borges de Oliveira</t>
        </is>
      </c>
      <c r="C4349" t="inlineStr">
        <is>
          <t>Técnico II</t>
        </is>
      </c>
      <c r="D4349" t="n">
        <v>29</v>
      </c>
      <c r="E4349" t="n">
        <v>26</v>
      </c>
      <c r="F4349" t="n">
        <v>18.33</v>
      </c>
      <c r="G4349" t="n">
        <v>0</v>
      </c>
      <c r="H4349" t="n">
        <v>0</v>
      </c>
      <c r="I4349" s="3">
        <f>E4349+G4349+H4349</f>
        <v/>
      </c>
      <c r="J4349" s="3">
        <f>ROUND(MIN(IF(C4349="Técnico III",35,IF(C4349="Técnico II",28,IF(C4349="Técnico I",23,IF(C4349="JR",20,IF(C4349="Estágio",10,0))))),IF(C4349="Técnico III",SUMIFS($D:$D,$A:$A,$A4349,$B:$B,"&lt;&gt;Patrícia Karla de Sousa Araújo",$B:$B,"&lt;&gt;Lorena Dias de Araujo",$B:$B,"&lt;&gt;Lucas Luiz Romero")*(35/1083),IF(C4349="Técnico II",SUMIFS($D:$D,$A:$A,$A4349,$B:$B,"&lt;&gt;Patrícia Karla de Sousa Araújo",$B:$B,"&lt;&gt;Lorena Dias de Araujo",$B:$B,"&lt;&gt;Lucas Luiz Romero")*(28/1083),IF(C4349="Técnico I",SUMIFS($D:$D,$A:$A,$A4349,$B:$B,"&lt;&gt;Patrícia Karla de Sousa Araújo",$B:$B,"&lt;&gt;Lorena Dias de Araujo",$B:$B,"&lt;&gt;Lucas Luiz Romero")*(23/1083),IF(C4349="JR",SUMIFS($D:$D,$A:$A,$A4349,$B:$B,"&lt;&gt;Patrícia Karla de Sousa Araújo",$B:$B,"&lt;&gt;Lorena Dias de Araujo",$B:$B,"&lt;&gt;Lucas Luiz Romero")*(20/1083),IF(C4349="Estágio",SUMIFS($D:$D,$A:$A,$A4349,$B:$B,"&lt;&gt;Patrícia Karla de Sousa Araújo",$B:$B,"&lt;&gt;Lorena Dias de Araujo",$B:$B,"&lt;&gt;Lucas Luiz Romero")*(10/1083),0)))))),0)</f>
        <v/>
      </c>
      <c r="K4349" s="3">
        <f>I4349-J4349</f>
        <v/>
      </c>
      <c r="L4349" s="3">
        <f>IF(K4349&lt;-5,"CRÍTICO",IF(K4349&lt;0,"ATENÇÃO",IF(K4349&lt;=5,"OPORTUNO","MUITO BOM")))</f>
        <v/>
      </c>
      <c r="N4349" t="n">
        <v>100</v>
      </c>
      <c r="O4349" t="n">
        <v>27.94117647058824</v>
      </c>
    </row>
    <row r="4350" hidden="1">
      <c r="A4350" s="11" t="n">
        <v>46141</v>
      </c>
      <c r="B4350" t="inlineStr">
        <is>
          <t>Jessica Faria da Silveira</t>
        </is>
      </c>
      <c r="C4350" t="inlineStr">
        <is>
          <t>Técnico II</t>
        </is>
      </c>
      <c r="D4350" t="n">
        <v>39</v>
      </c>
      <c r="E4350" t="n">
        <v>28</v>
      </c>
      <c r="F4350" t="n">
        <v>10.24</v>
      </c>
      <c r="G4350" t="n">
        <v>0</v>
      </c>
      <c r="H4350" t="n">
        <v>0</v>
      </c>
      <c r="I4350" s="3">
        <f>E4350+G4350+H4350</f>
        <v/>
      </c>
      <c r="J4350" s="3">
        <f>ROUND(MIN(IF(C4350="Técnico III",35,IF(C4350="Técnico II",28,IF(C4350="Técnico I",23,IF(C4350="JR",20,IF(C4350="Estágio",10,0))))),IF(C4350="Técnico III",SUMIFS($D:$D,$A:$A,$A4350,$B:$B,"&lt;&gt;Patrícia Karla de Sousa Araújo",$B:$B,"&lt;&gt;Lorena Dias de Araujo",$B:$B,"&lt;&gt;Lucas Luiz Romero")*(35/1083),IF(C4350="Técnico II",SUMIFS($D:$D,$A:$A,$A4350,$B:$B,"&lt;&gt;Patrícia Karla de Sousa Araújo",$B:$B,"&lt;&gt;Lorena Dias de Araujo",$B:$B,"&lt;&gt;Lucas Luiz Romero")*(28/1083),IF(C4350="Técnico I",SUMIFS($D:$D,$A:$A,$A4350,$B:$B,"&lt;&gt;Patrícia Karla de Sousa Araújo",$B:$B,"&lt;&gt;Lorena Dias de Araujo",$B:$B,"&lt;&gt;Lucas Luiz Romero")*(23/1083),IF(C4350="JR",SUMIFS($D:$D,$A:$A,$A4350,$B:$B,"&lt;&gt;Patrícia Karla de Sousa Araújo",$B:$B,"&lt;&gt;Lorena Dias de Araujo",$B:$B,"&lt;&gt;Lucas Luiz Romero")*(20/1083),IF(C4350="Estágio",SUMIFS($D:$D,$A:$A,$A4350,$B:$B,"&lt;&gt;Patrícia Karla de Sousa Araújo",$B:$B,"&lt;&gt;Lorena Dias de Araujo",$B:$B,"&lt;&gt;Lucas Luiz Romero")*(10/1083),0)))))),0)</f>
        <v/>
      </c>
      <c r="K4350" s="3">
        <f>I4350-J4350</f>
        <v/>
      </c>
      <c r="L4350" s="3">
        <f>IF(K4350&lt;-5,"CRÍTICO",IF(K4350&lt;0,"ATENÇÃO",IF(K4350&lt;=5,"OPORTUNO","MUITO BOM")))</f>
        <v/>
      </c>
      <c r="N4350" t="n">
        <v>98.81</v>
      </c>
      <c r="O4350" t="n">
        <v>26.25698324022346</v>
      </c>
    </row>
    <row r="4351" hidden="1">
      <c r="A4351" s="11" t="n">
        <v>46141</v>
      </c>
      <c r="B4351" t="inlineStr">
        <is>
          <t>Lizandra Gomes Duarte</t>
        </is>
      </c>
      <c r="C4351" t="inlineStr">
        <is>
          <t>Técnico II</t>
        </is>
      </c>
      <c r="D4351" t="n">
        <v>37</v>
      </c>
      <c r="E4351" t="n">
        <v>35</v>
      </c>
      <c r="F4351" t="n">
        <v>15.55</v>
      </c>
      <c r="G4351" t="n">
        <v>0</v>
      </c>
      <c r="H4351" t="n">
        <v>0</v>
      </c>
      <c r="I4351" s="3">
        <f>E4351+G4351+H4351</f>
        <v/>
      </c>
      <c r="J4351" s="3">
        <f>ROUND(MIN(IF(C4351="Técnico III",35,IF(C4351="Técnico II",28,IF(C4351="Técnico I",23,IF(C4351="JR",20,IF(C4351="Estágio",10,0))))),IF(C4351="Técnico III",SUMIFS($D:$D,$A:$A,$A4351,$B:$B,"&lt;&gt;Patrícia Karla de Sousa Araújo",$B:$B,"&lt;&gt;Lorena Dias de Araujo",$B:$B,"&lt;&gt;Lucas Luiz Romero")*(35/1083),IF(C4351="Técnico II",SUMIFS($D:$D,$A:$A,$A4351,$B:$B,"&lt;&gt;Patrícia Karla de Sousa Araújo",$B:$B,"&lt;&gt;Lorena Dias de Araujo",$B:$B,"&lt;&gt;Lucas Luiz Romero")*(28/1083),IF(C4351="Técnico I",SUMIFS($D:$D,$A:$A,$A4351,$B:$B,"&lt;&gt;Patrícia Karla de Sousa Araújo",$B:$B,"&lt;&gt;Lorena Dias de Araujo",$B:$B,"&lt;&gt;Lucas Luiz Romero")*(23/1083),IF(C4351="JR",SUMIFS($D:$D,$A:$A,$A4351,$B:$B,"&lt;&gt;Patrícia Karla de Sousa Araújo",$B:$B,"&lt;&gt;Lorena Dias de Araujo",$B:$B,"&lt;&gt;Lucas Luiz Romero")*(20/1083),IF(C4351="Estágio",SUMIFS($D:$D,$A:$A,$A4351,$B:$B,"&lt;&gt;Patrícia Karla de Sousa Araújo",$B:$B,"&lt;&gt;Lorena Dias de Araujo",$B:$B,"&lt;&gt;Lucas Luiz Romero")*(10/1083),0)))))),0)</f>
        <v/>
      </c>
      <c r="K4351" s="3">
        <f>I4351-J4351</f>
        <v/>
      </c>
      <c r="L4351" s="3">
        <f>IF(K4351&lt;-5,"CRÍTICO",IF(K4351&lt;0,"ATENÇÃO",IF(K4351&lt;=5,"OPORTUNO","MUITO BOM")))</f>
        <v/>
      </c>
      <c r="N4351" t="n">
        <v>99.17</v>
      </c>
      <c r="O4351" t="n">
        <v>29.75206611570248</v>
      </c>
    </row>
    <row r="4352" hidden="1">
      <c r="A4352" s="11" t="n">
        <v>46141</v>
      </c>
      <c r="B4352" t="inlineStr">
        <is>
          <t>Lorena Dias de Araujo</t>
        </is>
      </c>
      <c r="C4352" t="inlineStr">
        <is>
          <t>Técnico II</t>
        </is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s="3" t="n">
        <v>0</v>
      </c>
      <c r="J4352" s="3" t="n">
        <v>0</v>
      </c>
      <c r="K4352" s="3" t="n">
        <v>0</v>
      </c>
      <c r="L4352" s="3">
        <f>IF(K4352&lt;-5,"CRÍTICO",IF(K4352&lt;0,"ATENÇÃO",IF(K4352&lt;=5,"OPORTUNO","MUITO BOM")))</f>
        <v/>
      </c>
      <c r="N4352" t="n">
        <v>98.73</v>
      </c>
      <c r="O4352" t="n">
        <v>28.96174863387978</v>
      </c>
    </row>
    <row r="4353" hidden="1">
      <c r="A4353" s="11" t="n">
        <v>46141</v>
      </c>
      <c r="B4353" t="inlineStr">
        <is>
          <t>Patrícia Karla de Sousa Araújo</t>
        </is>
      </c>
      <c r="C4353" t="inlineStr">
        <is>
          <t>Técnico II</t>
        </is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s="3" t="n">
        <v>0</v>
      </c>
      <c r="J4353" s="3" t="n">
        <v>0</v>
      </c>
      <c r="K4353" s="3" t="n">
        <v>0</v>
      </c>
      <c r="L4353" s="3">
        <f>IF(K4353&lt;-5,"CRÍTICO",IF(K4353&lt;0,"ATENÇÃO",IF(K4353&lt;=5,"OPORTUNO","MUITO BOM")))</f>
        <v/>
      </c>
      <c r="N4353" t="n">
        <v>99.02</v>
      </c>
      <c r="O4353" t="n">
        <v>34.7972972972973</v>
      </c>
    </row>
    <row r="4354" hidden="1">
      <c r="A4354" s="11" t="n">
        <v>46142</v>
      </c>
      <c r="B4354" t="inlineStr">
        <is>
          <t>Alisson de Freitas Silva</t>
        </is>
      </c>
      <c r="C4354" t="inlineStr">
        <is>
          <t>Técnico II</t>
        </is>
      </c>
      <c r="D4354" t="n">
        <v>12</v>
      </c>
      <c r="E4354" t="n">
        <v>10</v>
      </c>
      <c r="F4354" t="n">
        <v>9.119999999999999</v>
      </c>
      <c r="G4354" t="n">
        <v>0</v>
      </c>
      <c r="H4354" t="n">
        <v>0</v>
      </c>
      <c r="I4354" s="3">
        <f>E4354+G4354+H4354</f>
        <v/>
      </c>
      <c r="J4354" s="3">
        <f>ROUND(MIN(IF(C4354="Técnico III",35,IF(C4354="Técnico II",28,IF(C4354="Técnico I",23,IF(C4354="JR",20,IF(C4354="Estágio",10,0))))),IF(C4354="Técnico III",SUMIFS($D:$D,$A:$A,$A4354,$B:$B,"&lt;&gt;Patrícia Karla de Sousa Araújo",$B:$B,"&lt;&gt;Lorena Dias de Araujo",$B:$B,"&lt;&gt;Lucas Luiz Romero")*(35/1083),IF(C4354="Técnico II",SUMIFS($D:$D,$A:$A,$A4354,$B:$B,"&lt;&gt;Patrícia Karla de Sousa Araújo",$B:$B,"&lt;&gt;Lorena Dias de Araujo",$B:$B,"&lt;&gt;Lucas Luiz Romero")*(28/1083),IF(C4354="Técnico I",SUMIFS($D:$D,$A:$A,$A4354,$B:$B,"&lt;&gt;Patrícia Karla de Sousa Araújo",$B:$B,"&lt;&gt;Lorena Dias de Araujo",$B:$B,"&lt;&gt;Lucas Luiz Romero")*(23/1083),IF(C4354="JR",SUMIFS($D:$D,$A:$A,$A4354,$B:$B,"&lt;&gt;Patrícia Karla de Sousa Araújo",$B:$B,"&lt;&gt;Lorena Dias de Araujo",$B:$B,"&lt;&gt;Lucas Luiz Romero")*(20/1083),IF(C4354="Estágio",SUMIFS($D:$D,$A:$A,$A4354,$B:$B,"&lt;&gt;Patrícia Karla de Sousa Araújo",$B:$B,"&lt;&gt;Lorena Dias de Araujo",$B:$B,"&lt;&gt;Lucas Luiz Romero")*(10/1083),0)))))),0)</f>
        <v/>
      </c>
      <c r="K4354" s="3">
        <f>I4354-J4354</f>
        <v/>
      </c>
      <c r="L4354" s="3">
        <f>IF(K4354&lt;-5,"CRÍTICO",IF(K4354&lt;0,"ATENÇÃO",IF(K4354&lt;=5,"OPORTUNO","MUITO BOM")))</f>
        <v/>
      </c>
      <c r="N4354" t="n">
        <v>100</v>
      </c>
      <c r="O4354" t="n">
        <v>32.76450511945392</v>
      </c>
    </row>
    <row r="4355" hidden="1">
      <c r="A4355" s="11" t="n">
        <v>46142</v>
      </c>
      <c r="B4355" t="inlineStr">
        <is>
          <t>Brenda de Menezes Silva</t>
        </is>
      </c>
      <c r="C4355" t="inlineStr">
        <is>
          <t>Técnico II</t>
        </is>
      </c>
      <c r="D4355" t="n">
        <v>32</v>
      </c>
      <c r="E4355" t="n">
        <v>31</v>
      </c>
      <c r="F4355" t="n">
        <v>13.5</v>
      </c>
      <c r="G4355" t="n">
        <v>0</v>
      </c>
      <c r="H4355" t="n">
        <v>0</v>
      </c>
      <c r="I4355" s="3">
        <f>E4355+G4355+H4355</f>
        <v/>
      </c>
      <c r="J4355" s="3">
        <f>ROUND(MIN(IF(C4355="Técnico III",35,IF(C4355="Técnico II",28,IF(C4355="Técnico I",23,IF(C4355="JR",20,IF(C4355="Estágio",10,0))))),IF(C4355="Técnico III",SUMIFS($D:$D,$A:$A,$A4355,$B:$B,"&lt;&gt;Patrícia Karla de Sousa Araújo",$B:$B,"&lt;&gt;Lorena Dias de Araujo",$B:$B,"&lt;&gt;Lucas Luiz Romero")*(35/1083),IF(C4355="Técnico II",SUMIFS($D:$D,$A:$A,$A4355,$B:$B,"&lt;&gt;Patrícia Karla de Sousa Araújo",$B:$B,"&lt;&gt;Lorena Dias de Araujo",$B:$B,"&lt;&gt;Lucas Luiz Romero")*(28/1083),IF(C4355="Técnico I",SUMIFS($D:$D,$A:$A,$A4355,$B:$B,"&lt;&gt;Patrícia Karla de Sousa Araújo",$B:$B,"&lt;&gt;Lorena Dias de Araujo",$B:$B,"&lt;&gt;Lucas Luiz Romero")*(23/1083),IF(C4355="JR",SUMIFS($D:$D,$A:$A,$A4355,$B:$B,"&lt;&gt;Patrícia Karla de Sousa Araújo",$B:$B,"&lt;&gt;Lorena Dias de Araujo",$B:$B,"&lt;&gt;Lucas Luiz Romero")*(20/1083),IF(C4355="Estágio",SUMIFS($D:$D,$A:$A,$A4355,$B:$B,"&lt;&gt;Patrícia Karla de Sousa Araújo",$B:$B,"&lt;&gt;Lorena Dias de Araujo",$B:$B,"&lt;&gt;Lucas Luiz Romero")*(10/1083),0)))))),0)</f>
        <v/>
      </c>
      <c r="K4355" s="3">
        <f>I4355-J4355</f>
        <v/>
      </c>
      <c r="L4355" s="3">
        <f>IF(K4355&lt;-5,"CRÍTICO",IF(K4355&lt;0,"ATENÇÃO",IF(K4355&lt;=5,"OPORTUNO","MUITO BOM")))</f>
        <v/>
      </c>
      <c r="N4355" t="n">
        <v>98.81999999999999</v>
      </c>
      <c r="O4355" t="n">
        <v>30.74141048824593</v>
      </c>
    </row>
    <row r="4356" hidden="1">
      <c r="A4356" s="11" t="n">
        <v>46142</v>
      </c>
      <c r="B4356" t="inlineStr">
        <is>
          <t>Carlos Mateus Cassimiro Nunes</t>
        </is>
      </c>
      <c r="C4356" t="inlineStr">
        <is>
          <t>Técnico II</t>
        </is>
      </c>
      <c r="D4356" t="n">
        <v>32</v>
      </c>
      <c r="E4356" t="n">
        <v>30</v>
      </c>
      <c r="F4356" t="n">
        <v>15.09</v>
      </c>
      <c r="G4356" t="n">
        <v>0</v>
      </c>
      <c r="H4356" t="n">
        <v>0</v>
      </c>
      <c r="I4356" s="3">
        <f>E4356+G4356+H4356</f>
        <v/>
      </c>
      <c r="J4356" s="3">
        <f>ROUND(MIN(IF(C4356="Técnico III",35,IF(C4356="Técnico II",28,IF(C4356="Técnico I",23,IF(C4356="JR",20,IF(C4356="Estágio",10,0))))),IF(C4356="Técnico III",SUMIFS($D:$D,$A:$A,$A4356,$B:$B,"&lt;&gt;Patrícia Karla de Sousa Araújo",$B:$B,"&lt;&gt;Lorena Dias de Araujo",$B:$B,"&lt;&gt;Lucas Luiz Romero")*(35/1083),IF(C4356="Técnico II",SUMIFS($D:$D,$A:$A,$A4356,$B:$B,"&lt;&gt;Patrícia Karla de Sousa Araújo",$B:$B,"&lt;&gt;Lorena Dias de Araujo",$B:$B,"&lt;&gt;Lucas Luiz Romero")*(28/1083),IF(C4356="Técnico I",SUMIFS($D:$D,$A:$A,$A4356,$B:$B,"&lt;&gt;Patrícia Karla de Sousa Araújo",$B:$B,"&lt;&gt;Lorena Dias de Araujo",$B:$B,"&lt;&gt;Lucas Luiz Romero")*(23/1083),IF(C4356="JR",SUMIFS($D:$D,$A:$A,$A4356,$B:$B,"&lt;&gt;Patrícia Karla de Sousa Araújo",$B:$B,"&lt;&gt;Lorena Dias de Araujo",$B:$B,"&lt;&gt;Lucas Luiz Romero")*(20/1083),IF(C4356="Estágio",SUMIFS($D:$D,$A:$A,$A4356,$B:$B,"&lt;&gt;Patrícia Karla de Sousa Araújo",$B:$B,"&lt;&gt;Lorena Dias de Araujo",$B:$B,"&lt;&gt;Lucas Luiz Romero")*(10/1083),0)))))),0)</f>
        <v/>
      </c>
      <c r="K4356" s="3">
        <f>I4356-J4356</f>
        <v/>
      </c>
      <c r="L4356" s="3">
        <f>IF(K4356&lt;-5,"CRÍTICO",IF(K4356&lt;0,"ATENÇÃO",IF(K4356&lt;=5,"OPORTUNO","MUITO BOM")))</f>
        <v/>
      </c>
      <c r="N4356" t="n">
        <v>98.2</v>
      </c>
      <c r="O4356" t="n">
        <v>26.89075630252101</v>
      </c>
    </row>
    <row r="4357" hidden="1">
      <c r="A4357" s="11" t="n">
        <v>46142</v>
      </c>
      <c r="B4357" t="inlineStr">
        <is>
          <t>Damyllis Lorraine de Oliveira Gonçalves</t>
        </is>
      </c>
      <c r="C4357" t="inlineStr">
        <is>
          <t>Técnico II</t>
        </is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s="3" t="n">
        <v>0</v>
      </c>
      <c r="J4357" s="3" t="n">
        <v>0</v>
      </c>
      <c r="K4357" s="3" t="n">
        <v>0</v>
      </c>
      <c r="L4357" s="3">
        <f>IF(K4357&lt;-5,"CRÍTICO",IF(K4357&lt;0,"ATENÇÃO",IF(K4357&lt;=5,"OPORTUNO","MUITO BOM")))</f>
        <v/>
      </c>
      <c r="N4357" t="n">
        <v>97.86</v>
      </c>
      <c r="O4357" t="n">
        <v>31.01851851851852</v>
      </c>
    </row>
    <row r="4358" hidden="1">
      <c r="A4358" s="11" t="n">
        <v>46142</v>
      </c>
      <c r="B4358" t="inlineStr">
        <is>
          <t>Emilly Kamilly Medeiros Miranda</t>
        </is>
      </c>
      <c r="C4358" t="inlineStr">
        <is>
          <t>Técnico II</t>
        </is>
      </c>
      <c r="D4358" t="n">
        <v>38</v>
      </c>
      <c r="E4358" t="n">
        <v>38</v>
      </c>
      <c r="F4358" t="n">
        <v>15.02</v>
      </c>
      <c r="G4358" t="n">
        <v>0</v>
      </c>
      <c r="H4358" t="n">
        <v>0</v>
      </c>
      <c r="I4358" s="3">
        <f>E4358+G4358+H4358</f>
        <v/>
      </c>
      <c r="J4358" s="3">
        <f>ROUND(MIN(IF(C4358="Técnico III",35,IF(C4358="Técnico II",28,IF(C4358="Técnico I",23,IF(C4358="JR",20,IF(C4358="Estágio",10,0))))),IF(C4358="Técnico III",SUMIFS($D:$D,$A:$A,$A4358,$B:$B,"&lt;&gt;Patrícia Karla de Sousa Araújo",$B:$B,"&lt;&gt;Lorena Dias de Araujo",$B:$B,"&lt;&gt;Lucas Luiz Romero")*(35/1083),IF(C4358="Técnico II",SUMIFS($D:$D,$A:$A,$A4358,$B:$B,"&lt;&gt;Patrícia Karla de Sousa Araújo",$B:$B,"&lt;&gt;Lorena Dias de Araujo",$B:$B,"&lt;&gt;Lucas Luiz Romero")*(28/1083),IF(C4358="Técnico I",SUMIFS($D:$D,$A:$A,$A4358,$B:$B,"&lt;&gt;Patrícia Karla de Sousa Araújo",$B:$B,"&lt;&gt;Lorena Dias de Araujo",$B:$B,"&lt;&gt;Lucas Luiz Romero")*(23/1083),IF(C4358="JR",SUMIFS($D:$D,$A:$A,$A4358,$B:$B,"&lt;&gt;Patrícia Karla de Sousa Araújo",$B:$B,"&lt;&gt;Lorena Dias de Araujo",$B:$B,"&lt;&gt;Lucas Luiz Romero")*(20/1083),IF(C4358="Estágio",SUMIFS($D:$D,$A:$A,$A4358,$B:$B,"&lt;&gt;Patrícia Karla de Sousa Araújo",$B:$B,"&lt;&gt;Lorena Dias de Araujo",$B:$B,"&lt;&gt;Lucas Luiz Romero")*(10/1083),0)))))),0)</f>
        <v/>
      </c>
      <c r="K4358" s="3">
        <f>I4358-J4358</f>
        <v/>
      </c>
      <c r="L4358" s="3">
        <f>IF(K4358&lt;-5,"CRÍTICO",IF(K4358&lt;0,"ATENÇÃO",IF(K4358&lt;=5,"OPORTUNO","MUITO BOM")))</f>
        <v/>
      </c>
      <c r="N4358" t="n">
        <v>97.83</v>
      </c>
      <c r="O4358" t="n">
        <v>28.13186813186813</v>
      </c>
    </row>
    <row r="4359" hidden="1">
      <c r="A4359" s="11" t="n">
        <v>46142</v>
      </c>
      <c r="B4359" t="inlineStr">
        <is>
          <t>Francilene Ferreira de Jesus</t>
        </is>
      </c>
      <c r="C4359" t="inlineStr">
        <is>
          <t>Técnico II</t>
        </is>
      </c>
      <c r="D4359" t="n">
        <v>42</v>
      </c>
      <c r="E4359" t="n">
        <v>42</v>
      </c>
      <c r="F4359" t="n">
        <v>16.41</v>
      </c>
      <c r="G4359" t="n">
        <v>0</v>
      </c>
      <c r="H4359" t="n">
        <v>0</v>
      </c>
      <c r="I4359" s="3">
        <f>E4359+G4359+H4359</f>
        <v/>
      </c>
      <c r="J4359" s="3">
        <f>ROUND(MIN(IF(C4359="Técnico III",35,IF(C4359="Técnico II",28,IF(C4359="Técnico I",23,IF(C4359="JR",20,IF(C4359="Estágio",10,0))))),IF(C4359="Técnico III",SUMIFS($D:$D,$A:$A,$A4359,$B:$B,"&lt;&gt;Patrícia Karla de Sousa Araújo",$B:$B,"&lt;&gt;Lorena Dias de Araujo",$B:$B,"&lt;&gt;Lucas Luiz Romero")*(35/1083),IF(C4359="Técnico II",SUMIFS($D:$D,$A:$A,$A4359,$B:$B,"&lt;&gt;Patrícia Karla de Sousa Araújo",$B:$B,"&lt;&gt;Lorena Dias de Araujo",$B:$B,"&lt;&gt;Lucas Luiz Romero")*(28/1083),IF(C4359="Técnico I",SUMIFS($D:$D,$A:$A,$A4359,$B:$B,"&lt;&gt;Patrícia Karla de Sousa Araújo",$B:$B,"&lt;&gt;Lorena Dias de Araujo",$B:$B,"&lt;&gt;Lucas Luiz Romero")*(23/1083),IF(C4359="JR",SUMIFS($D:$D,$A:$A,$A4359,$B:$B,"&lt;&gt;Patrícia Karla de Sousa Araújo",$B:$B,"&lt;&gt;Lorena Dias de Araujo",$B:$B,"&lt;&gt;Lucas Luiz Romero")*(20/1083),IF(C4359="Estágio",SUMIFS($D:$D,$A:$A,$A4359,$B:$B,"&lt;&gt;Patrícia Karla de Sousa Araújo",$B:$B,"&lt;&gt;Lorena Dias de Araujo",$B:$B,"&lt;&gt;Lucas Luiz Romero")*(10/1083),0)))))),0)</f>
        <v/>
      </c>
      <c r="K4359" s="3">
        <f>I4359-J4359</f>
        <v/>
      </c>
      <c r="L4359" s="3">
        <f>IF(K4359&lt;-5,"CRÍTICO",IF(K4359&lt;0,"ATENÇÃO",IF(K4359&lt;=5,"OPORTUNO","MUITO BOM")))</f>
        <v/>
      </c>
      <c r="N4359" t="n">
        <v>99.19</v>
      </c>
      <c r="O4359" t="n">
        <v>29.46236559139785</v>
      </c>
    </row>
    <row r="4360" hidden="1">
      <c r="A4360" s="11" t="n">
        <v>46142</v>
      </c>
      <c r="B4360" t="inlineStr">
        <is>
          <t>Isabella Borges de Oliveira</t>
        </is>
      </c>
      <c r="C4360" t="inlineStr">
        <is>
          <t>Técnico II</t>
        </is>
      </c>
      <c r="D4360" t="n">
        <v>25</v>
      </c>
      <c r="E4360" t="n">
        <v>25</v>
      </c>
      <c r="F4360" t="n">
        <v>18.5</v>
      </c>
      <c r="G4360" t="n">
        <v>0</v>
      </c>
      <c r="H4360" t="n">
        <v>0</v>
      </c>
      <c r="I4360" s="3">
        <f>E4360+G4360+H4360</f>
        <v/>
      </c>
      <c r="J4360" s="3">
        <f>ROUND(MIN(IF(C4360="Técnico III",35,IF(C4360="Técnico II",28,IF(C4360="Técnico I",23,IF(C4360="JR",20,IF(C4360="Estágio",10,0))))),IF(C4360="Técnico III",SUMIFS($D:$D,$A:$A,$A4360,$B:$B,"&lt;&gt;Patrícia Karla de Sousa Araújo",$B:$B,"&lt;&gt;Lorena Dias de Araujo",$B:$B,"&lt;&gt;Lucas Luiz Romero")*(35/1083),IF(C4360="Técnico II",SUMIFS($D:$D,$A:$A,$A4360,$B:$B,"&lt;&gt;Patrícia Karla de Sousa Araújo",$B:$B,"&lt;&gt;Lorena Dias de Araujo",$B:$B,"&lt;&gt;Lucas Luiz Romero")*(28/1083),IF(C4360="Técnico I",SUMIFS($D:$D,$A:$A,$A4360,$B:$B,"&lt;&gt;Patrícia Karla de Sousa Araújo",$B:$B,"&lt;&gt;Lorena Dias de Araujo",$B:$B,"&lt;&gt;Lucas Luiz Romero")*(23/1083),IF(C4360="JR",SUMIFS($D:$D,$A:$A,$A4360,$B:$B,"&lt;&gt;Patrícia Karla de Sousa Araújo",$B:$B,"&lt;&gt;Lorena Dias de Araujo",$B:$B,"&lt;&gt;Lucas Luiz Romero")*(20/1083),IF(C4360="Estágio",SUMIFS($D:$D,$A:$A,$A4360,$B:$B,"&lt;&gt;Patrícia Karla de Sousa Araújo",$B:$B,"&lt;&gt;Lorena Dias de Araujo",$B:$B,"&lt;&gt;Lucas Luiz Romero")*(10/1083),0)))))),0)</f>
        <v/>
      </c>
      <c r="K4360" s="3">
        <f>I4360-J4360</f>
        <v/>
      </c>
      <c r="L4360" s="3">
        <f>IF(K4360&lt;-5,"CRÍTICO",IF(K4360&lt;0,"ATENÇÃO",IF(K4360&lt;=5,"OPORTUNO","MUITO BOM")))</f>
        <v/>
      </c>
      <c r="N4360" t="n">
        <v>100</v>
      </c>
      <c r="O4360" t="n">
        <v>27.94117647058824</v>
      </c>
    </row>
    <row r="4361" hidden="1">
      <c r="A4361" s="11" t="n">
        <v>46142</v>
      </c>
      <c r="B4361" t="inlineStr">
        <is>
          <t>Jessica Faria da Silveira</t>
        </is>
      </c>
      <c r="C4361" t="inlineStr">
        <is>
          <t>Técnico II</t>
        </is>
      </c>
      <c r="D4361" t="n">
        <v>21</v>
      </c>
      <c r="E4361" t="n">
        <v>16</v>
      </c>
      <c r="F4361" t="n">
        <v>11.48</v>
      </c>
      <c r="G4361" t="n">
        <v>0</v>
      </c>
      <c r="H4361" t="n">
        <v>0</v>
      </c>
      <c r="I4361" s="3">
        <f>E4361+G4361+H4361</f>
        <v/>
      </c>
      <c r="J4361" s="3">
        <f>ROUND(MIN(IF(C4361="Técnico III",35,IF(C4361="Técnico II",28,IF(C4361="Técnico I",23,IF(C4361="JR",20,IF(C4361="Estágio",10,0))))),IF(C4361="Técnico III",SUMIFS($D:$D,$A:$A,$A4361,$B:$B,"&lt;&gt;Patrícia Karla de Sousa Araújo",$B:$B,"&lt;&gt;Lorena Dias de Araujo",$B:$B,"&lt;&gt;Lucas Luiz Romero")*(35/1083),IF(C4361="Técnico II",SUMIFS($D:$D,$A:$A,$A4361,$B:$B,"&lt;&gt;Patrícia Karla de Sousa Araújo",$B:$B,"&lt;&gt;Lorena Dias de Araujo",$B:$B,"&lt;&gt;Lucas Luiz Romero")*(28/1083),IF(C4361="Técnico I",SUMIFS($D:$D,$A:$A,$A4361,$B:$B,"&lt;&gt;Patrícia Karla de Sousa Araújo",$B:$B,"&lt;&gt;Lorena Dias de Araujo",$B:$B,"&lt;&gt;Lucas Luiz Romero")*(23/1083),IF(C4361="JR",SUMIFS($D:$D,$A:$A,$A4361,$B:$B,"&lt;&gt;Patrícia Karla de Sousa Araújo",$B:$B,"&lt;&gt;Lorena Dias de Araujo",$B:$B,"&lt;&gt;Lucas Luiz Romero")*(20/1083),IF(C4361="Estágio",SUMIFS($D:$D,$A:$A,$A4361,$B:$B,"&lt;&gt;Patrícia Karla de Sousa Araújo",$B:$B,"&lt;&gt;Lorena Dias de Araujo",$B:$B,"&lt;&gt;Lucas Luiz Romero")*(10/1083),0)))))),0)</f>
        <v/>
      </c>
      <c r="K4361" s="3">
        <f>I4361-J4361</f>
        <v/>
      </c>
      <c r="L4361" s="3">
        <f>IF(K4361&lt;-5,"CRÍTICO",IF(K4361&lt;0,"ATENÇÃO",IF(K4361&lt;=5,"OPORTUNO","MUITO BOM")))</f>
        <v/>
      </c>
      <c r="N4361" t="n">
        <v>98.81</v>
      </c>
      <c r="O4361" t="n">
        <v>26.25698324022346</v>
      </c>
    </row>
    <row r="4362" hidden="1">
      <c r="A4362" s="11" t="n">
        <v>46142</v>
      </c>
      <c r="B4362" t="inlineStr">
        <is>
          <t>Lizandra Gomes Duarte</t>
        </is>
      </c>
      <c r="C4362" t="inlineStr">
        <is>
          <t>Técnico II</t>
        </is>
      </c>
      <c r="D4362" t="n">
        <v>18</v>
      </c>
      <c r="E4362" t="n">
        <v>17</v>
      </c>
      <c r="F4362" t="n">
        <v>21.44</v>
      </c>
      <c r="G4362" t="n">
        <v>0</v>
      </c>
      <c r="H4362" t="n">
        <v>0</v>
      </c>
      <c r="I4362" s="3">
        <f>E4362+G4362+H4362</f>
        <v/>
      </c>
      <c r="J4362" s="3">
        <f>ROUND(MIN(IF(C4362="Técnico III",35,IF(C4362="Técnico II",28,IF(C4362="Técnico I",23,IF(C4362="JR",20,IF(C4362="Estágio",10,0))))),IF(C4362="Técnico III",SUMIFS($D:$D,$A:$A,$A4362,$B:$B,"&lt;&gt;Patrícia Karla de Sousa Araújo",$B:$B,"&lt;&gt;Lorena Dias de Araujo",$B:$B,"&lt;&gt;Lucas Luiz Romero")*(35/1083),IF(C4362="Técnico II",SUMIFS($D:$D,$A:$A,$A4362,$B:$B,"&lt;&gt;Patrícia Karla de Sousa Araújo",$B:$B,"&lt;&gt;Lorena Dias de Araujo",$B:$B,"&lt;&gt;Lucas Luiz Romero")*(28/1083),IF(C4362="Técnico I",SUMIFS($D:$D,$A:$A,$A4362,$B:$B,"&lt;&gt;Patrícia Karla de Sousa Araújo",$B:$B,"&lt;&gt;Lorena Dias de Araujo",$B:$B,"&lt;&gt;Lucas Luiz Romero")*(23/1083),IF(C4362="JR",SUMIFS($D:$D,$A:$A,$A4362,$B:$B,"&lt;&gt;Patrícia Karla de Sousa Araújo",$B:$B,"&lt;&gt;Lorena Dias de Araujo",$B:$B,"&lt;&gt;Lucas Luiz Romero")*(20/1083),IF(C4362="Estágio",SUMIFS($D:$D,$A:$A,$A4362,$B:$B,"&lt;&gt;Patrícia Karla de Sousa Araújo",$B:$B,"&lt;&gt;Lorena Dias de Araujo",$B:$B,"&lt;&gt;Lucas Luiz Romero")*(10/1083),0)))))),0)</f>
        <v/>
      </c>
      <c r="K4362" s="3">
        <f>I4362-J4362</f>
        <v/>
      </c>
      <c r="L4362" s="3">
        <f>IF(K4362&lt;-5,"CRÍTICO",IF(K4362&lt;0,"ATENÇÃO",IF(K4362&lt;=5,"OPORTUNO","MUITO BOM")))</f>
        <v/>
      </c>
      <c r="N4362" t="n">
        <v>99.17</v>
      </c>
      <c r="O4362" t="n">
        <v>29.75206611570248</v>
      </c>
    </row>
    <row r="4363" hidden="1">
      <c r="A4363" s="11" t="n">
        <v>46142</v>
      </c>
      <c r="B4363" t="inlineStr">
        <is>
          <t>Lorena Dias de Araujo</t>
        </is>
      </c>
      <c r="C4363" t="inlineStr">
        <is>
          <t>Técnico II</t>
        </is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s="3" t="n">
        <v>0</v>
      </c>
      <c r="J4363" s="3" t="n">
        <v>0</v>
      </c>
      <c r="K4363" s="3" t="n">
        <v>0</v>
      </c>
      <c r="L4363" s="3">
        <f>IF(K4363&lt;-5,"CRÍTICO",IF(K4363&lt;0,"ATENÇÃO",IF(K4363&lt;=5,"OPORTUNO","MUITO BOM")))</f>
        <v/>
      </c>
      <c r="N4363" t="n">
        <v>98.73</v>
      </c>
      <c r="O4363" t="n">
        <v>28.96174863387978</v>
      </c>
    </row>
    <row r="4364" hidden="1">
      <c r="A4364" s="11" t="n">
        <v>46142</v>
      </c>
      <c r="B4364" t="inlineStr">
        <is>
          <t>Patrícia Karla de Sousa Araújo</t>
        </is>
      </c>
      <c r="C4364" t="inlineStr">
        <is>
          <t>Técnico II</t>
        </is>
      </c>
      <c r="D4364" t="n">
        <v>31</v>
      </c>
      <c r="E4364" t="n">
        <v>27</v>
      </c>
      <c r="F4364" t="n">
        <v>15.42</v>
      </c>
      <c r="G4364" t="n">
        <v>0</v>
      </c>
      <c r="H4364" t="n">
        <v>0</v>
      </c>
      <c r="I4364" s="3">
        <f>E4364+G4364+H4364</f>
        <v/>
      </c>
      <c r="J4364" s="3">
        <f>ROUND(MIN(IF(C4364="Técnico III",35,IF(C4364="Técnico II",28,IF(C4364="Técnico I",23,IF(C4364="JR",20,IF(C4364="Estágio",10,0))))),IF(C4364="Técnico III",SUMIFS($D:$D,$A:$A,$A4364,$B:$B,"&lt;&gt;Patrícia Karla de Sousa Araújo",$B:$B,"&lt;&gt;Lorena Dias de Araujo",$B:$B,"&lt;&gt;Lucas Luiz Romero")*(35/1083),IF(C4364="Técnico II",SUMIFS($D:$D,$A:$A,$A4364,$B:$B,"&lt;&gt;Patrícia Karla de Sousa Araújo",$B:$B,"&lt;&gt;Lorena Dias de Araujo",$B:$B,"&lt;&gt;Lucas Luiz Romero")*(28/1083),IF(C4364="Técnico I",SUMIFS($D:$D,$A:$A,$A4364,$B:$B,"&lt;&gt;Patrícia Karla de Sousa Araújo",$B:$B,"&lt;&gt;Lorena Dias de Araujo",$B:$B,"&lt;&gt;Lucas Luiz Romero")*(23/1083),IF(C4364="JR",SUMIFS($D:$D,$A:$A,$A4364,$B:$B,"&lt;&gt;Patrícia Karla de Sousa Araújo",$B:$B,"&lt;&gt;Lorena Dias de Araujo",$B:$B,"&lt;&gt;Lucas Luiz Romero")*(20/1083),IF(C4364="Estágio",SUMIFS($D:$D,$A:$A,$A4364,$B:$B,"&lt;&gt;Patrícia Karla de Sousa Araújo",$B:$B,"&lt;&gt;Lorena Dias de Araujo",$B:$B,"&lt;&gt;Lucas Luiz Romero")*(10/1083),0)))))),0)</f>
        <v/>
      </c>
      <c r="K4364" s="3">
        <f>I4364-J4364</f>
        <v/>
      </c>
      <c r="L4364" s="3">
        <f>IF(K4364&lt;-5,"CRÍTICO",IF(K4364&lt;0,"ATENÇÃO",IF(K4364&lt;=5,"OPORTUNO","MUITO BOM")))</f>
        <v/>
      </c>
      <c r="N4364" t="n">
        <v>99.02</v>
      </c>
      <c r="O4364" t="n">
        <v>34.7972972972973</v>
      </c>
    </row>
    <row r="4365" hidden="1">
      <c r="A4365" s="11" t="n">
        <v>46168</v>
      </c>
      <c r="B4365" t="inlineStr">
        <is>
          <t>Alisson de Freitas Silva</t>
        </is>
      </c>
      <c r="C4365" t="inlineStr">
        <is>
          <t>Técnico II</t>
        </is>
      </c>
      <c r="D4365" t="n">
        <v>28</v>
      </c>
      <c r="E4365" t="n">
        <v>21</v>
      </c>
      <c r="F4365" t="n">
        <v>15.57</v>
      </c>
      <c r="G4365" t="n">
        <v>2</v>
      </c>
    </row>
    <row r="4366" hidden="1">
      <c r="A4366" s="11" t="n">
        <v>46168</v>
      </c>
      <c r="B4366" t="inlineStr">
        <is>
          <t>Brenda de Menezes Silva</t>
        </is>
      </c>
      <c r="C4366" t="inlineStr">
        <is>
          <t>Técnico II</t>
        </is>
      </c>
      <c r="D4366" t="n">
        <v>27</v>
      </c>
      <c r="E4366" t="n">
        <v>22</v>
      </c>
      <c r="F4366" t="n">
        <v>14.06</v>
      </c>
      <c r="G4366" t="n">
        <v>4</v>
      </c>
    </row>
    <row r="4367" hidden="1">
      <c r="A4367" s="11" t="n">
        <v>46168</v>
      </c>
      <c r="B4367" t="inlineStr">
        <is>
          <t>Carlos Mateus Cassimiro Nunes</t>
        </is>
      </c>
      <c r="C4367" t="inlineStr">
        <is>
          <t>Técnico II</t>
        </is>
      </c>
      <c r="D4367" t="n">
        <v>28</v>
      </c>
      <c r="E4367" t="n">
        <v>26</v>
      </c>
      <c r="F4367" t="n">
        <v>20.21</v>
      </c>
      <c r="G4367" t="n">
        <v>2</v>
      </c>
    </row>
    <row r="4368" hidden="1">
      <c r="A4368" s="11" t="n">
        <v>46168</v>
      </c>
      <c r="B4368" t="inlineStr">
        <is>
          <t>Damyllis Lorraine de Oliveira Gonçalves</t>
        </is>
      </c>
      <c r="C4368" t="inlineStr">
        <is>
          <t>Técnico II</t>
        </is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</row>
    <row r="4369" hidden="1">
      <c r="A4369" s="11" t="n">
        <v>46168</v>
      </c>
      <c r="B4369" t="inlineStr">
        <is>
          <t>Emilly Kamilly Medeiros Miranda</t>
        </is>
      </c>
      <c r="C4369" t="inlineStr">
        <is>
          <t>Técnico II</t>
        </is>
      </c>
      <c r="D4369" t="n">
        <v>21</v>
      </c>
      <c r="E4369" t="n">
        <v>21</v>
      </c>
      <c r="F4369" t="n">
        <v>13.22</v>
      </c>
      <c r="G4369" t="n">
        <v>1</v>
      </c>
    </row>
    <row r="4370" hidden="1">
      <c r="A4370" s="11" t="n">
        <v>46168</v>
      </c>
      <c r="B4370" t="inlineStr">
        <is>
          <t>Francilene Ferreira de Jesus</t>
        </is>
      </c>
      <c r="C4370" t="inlineStr">
        <is>
          <t>Técnico II</t>
        </is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</row>
    <row r="4371" hidden="1">
      <c r="A4371" s="11" t="n">
        <v>46168</v>
      </c>
      <c r="B4371" t="inlineStr">
        <is>
          <t>Isabella Borges de Oliveira</t>
        </is>
      </c>
      <c r="C4371" t="inlineStr">
        <is>
          <t>Técnico II</t>
        </is>
      </c>
      <c r="D4371" t="n">
        <v>24</v>
      </c>
      <c r="E4371" t="n">
        <v>23</v>
      </c>
      <c r="F4371" t="n">
        <v>15.03</v>
      </c>
      <c r="G4371" t="n">
        <v>1</v>
      </c>
    </row>
    <row r="4372" hidden="1">
      <c r="A4372" s="11" t="n">
        <v>46168</v>
      </c>
      <c r="B4372" t="inlineStr">
        <is>
          <t>Jessica Faria da Silveira</t>
        </is>
      </c>
      <c r="C4372" t="inlineStr">
        <is>
          <t>Técnico II</t>
        </is>
      </c>
      <c r="D4372" t="n">
        <v>34</v>
      </c>
      <c r="E4372" t="n">
        <v>20</v>
      </c>
      <c r="F4372" t="n">
        <v>7.25</v>
      </c>
      <c r="G4372" t="n">
        <v>0</v>
      </c>
    </row>
    <row r="4373" hidden="1">
      <c r="A4373" s="11" t="n">
        <v>46168</v>
      </c>
      <c r="B4373" t="inlineStr">
        <is>
          <t>Lizandra Gomes Duarte</t>
        </is>
      </c>
      <c r="C4373" t="inlineStr">
        <is>
          <t>Técnico II</t>
        </is>
      </c>
      <c r="D4373" t="n">
        <v>21</v>
      </c>
      <c r="E4373" t="n">
        <v>20</v>
      </c>
      <c r="F4373" t="n">
        <v>20.39</v>
      </c>
      <c r="G4373" t="n">
        <v>0</v>
      </c>
    </row>
    <row r="4374" hidden="1">
      <c r="A4374" s="11" t="n">
        <v>46168</v>
      </c>
      <c r="B4374" t="inlineStr">
        <is>
          <t>Lorena Dias de Araujo</t>
        </is>
      </c>
      <c r="C4374" t="inlineStr">
        <is>
          <t>Técnico II</t>
        </is>
      </c>
      <c r="D4374" t="n">
        <v>18</v>
      </c>
      <c r="E4374" t="n">
        <v>17</v>
      </c>
      <c r="F4374" t="n">
        <v>22.25</v>
      </c>
      <c r="G4374" t="n">
        <v>0</v>
      </c>
    </row>
    <row r="4375" hidden="1">
      <c r="A4375" s="11" t="n">
        <v>46168</v>
      </c>
      <c r="B4375" t="inlineStr">
        <is>
          <t>Patrícia Karla de Sousa Araújo</t>
        </is>
      </c>
      <c r="C4375" t="inlineStr">
        <is>
          <t>Técnico II</t>
        </is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</row>
    <row r="4376" hidden="1">
      <c r="A4376" s="5" t="n">
        <v>46146</v>
      </c>
      <c r="B4376" s="6" t="inlineStr">
        <is>
          <t>Ana Karollyne Souza Faria</t>
        </is>
      </c>
      <c r="C4376" s="3" t="inlineStr">
        <is>
          <t>Técnico I</t>
        </is>
      </c>
      <c r="D4376" s="3" t="n">
        <v>41</v>
      </c>
      <c r="E4376" s="3" t="n">
        <v>39</v>
      </c>
      <c r="F4376" s="3" t="n">
        <v>17.31</v>
      </c>
      <c r="G4376" s="3" t="n">
        <v>1</v>
      </c>
      <c r="H4376" s="3" t="n">
        <v>0</v>
      </c>
      <c r="I4376" s="3">
        <f>E4376+G4376+H4376</f>
        <v/>
      </c>
      <c r="J4376" s="3">
        <f>ROUND(MIN(IF(C4376="Técnico III",35,IF(C4376="Técnico II",28,IF(C4376="Técnico I",23,IF(C4376="JR",20,IF(C4376="Estágio",10,0))))),IF(C4376="Técnico III",SUMIFS($D:$D,$A:$A,$A4376,$B:$B,"&lt;&gt;Patrícia Karla de Sousa Araújo",$B:$B,"&lt;&gt;Lorena Dias de Araujo",$B:$B,"&lt;&gt;Lucas Luiz Romero")*(35/1083),IF(C4376="Técnico II",SUMIFS($D:$D,$A:$A,$A4376,$B:$B,"&lt;&gt;Patrícia Karla de Sousa Araújo",$B:$B,"&lt;&gt;Lorena Dias de Araujo",$B:$B,"&lt;&gt;Lucas Luiz Romero")*(28/1083),IF(C4376="Técnico I",SUMIFS($D:$D,$A:$A,$A4376,$B:$B,"&lt;&gt;Patrícia Karla de Sousa Araújo",$B:$B,"&lt;&gt;Lorena Dias de Araujo",$B:$B,"&lt;&gt;Lucas Luiz Romero")*(23/1083),IF(C4376="JR",SUMIFS($D:$D,$A:$A,$A4376,$B:$B,"&lt;&gt;Patrícia Karla de Sousa Araújo",$B:$B,"&lt;&gt;Lorena Dias de Araujo",$B:$B,"&lt;&gt;Lucas Luiz Romero")*(20/1083),IF(C4376="Estágio",SUMIFS($D:$D,$A:$A,$A4376,$B:$B,"&lt;&gt;Patrícia Karla de Sousa Araújo",$B:$B,"&lt;&gt;Lorena Dias de Araujo",$B:$B,"&lt;&gt;Lucas Luiz Romero")*(10/1083),0)))))),0)</f>
        <v/>
      </c>
      <c r="K4376" s="3">
        <f>I4376-J4376</f>
        <v/>
      </c>
      <c r="L4376" s="3">
        <f>IF(K4376&lt;-5,"CRÍTICO",IF(K4376&lt;0,"ATENÇÃO",IF(K4376&lt;=5,"BOM","EXCELENTE")))</f>
        <v/>
      </c>
      <c r="M4376" s="9" t="n">
        <v>35</v>
      </c>
      <c r="N4376" s="9" t="n">
        <v>95.38</v>
      </c>
      <c r="O4376" s="9" t="n">
        <v>21.5962441314554</v>
      </c>
    </row>
    <row r="4377" hidden="1">
      <c r="A4377" s="5" t="n">
        <v>46146</v>
      </c>
      <c r="B4377" s="6" t="inlineStr">
        <is>
          <t>Clessiane Pereira dos Santos</t>
        </is>
      </c>
      <c r="C4377" s="3" t="inlineStr">
        <is>
          <t>Técnico I</t>
        </is>
      </c>
      <c r="D4377" s="3" t="n">
        <v>32</v>
      </c>
      <c r="E4377" s="3" t="n">
        <v>26</v>
      </c>
      <c r="F4377" s="3" t="n">
        <v>15.13</v>
      </c>
      <c r="G4377" s="3" t="n">
        <v>6</v>
      </c>
      <c r="H4377" s="3" t="n">
        <v>0</v>
      </c>
      <c r="I4377" s="3">
        <f>E4377+G4377+H4377</f>
        <v/>
      </c>
      <c r="J4377" s="3">
        <f>ROUND(MIN(IF(C4377="Técnico III",35,IF(C4377="Técnico II",28,IF(C4377="Técnico I",23,IF(C4377="JR",20,IF(C4377="Estágio",10,0))))),IF(C4377="Técnico III",SUMIFS($D:$D,$A:$A,$A4377,$B:$B,"&lt;&gt;Patrícia Karla de Sousa Araújo",$B:$B,"&lt;&gt;Lorena Dias de Araujo",$B:$B,"&lt;&gt;Lucas Luiz Romero")*(35/1083),IF(C4377="Técnico II",SUMIFS($D:$D,$A:$A,$A4377,$B:$B,"&lt;&gt;Patrícia Karla de Sousa Araújo",$B:$B,"&lt;&gt;Lorena Dias de Araujo",$B:$B,"&lt;&gt;Lucas Luiz Romero")*(28/1083),IF(C4377="Técnico I",SUMIFS($D:$D,$A:$A,$A4377,$B:$B,"&lt;&gt;Patrícia Karla de Sousa Araújo",$B:$B,"&lt;&gt;Lorena Dias de Araujo",$B:$B,"&lt;&gt;Lucas Luiz Romero")*(23/1083),IF(C4377="JR",SUMIFS($D:$D,$A:$A,$A4377,$B:$B,"&lt;&gt;Patrícia Karla de Sousa Araújo",$B:$B,"&lt;&gt;Lorena Dias de Araujo",$B:$B,"&lt;&gt;Lucas Luiz Romero")*(20/1083),IF(C4377="Estágio",SUMIFS($D:$D,$A:$A,$A4377,$B:$B,"&lt;&gt;Patrícia Karla de Sousa Araújo",$B:$B,"&lt;&gt;Lorena Dias de Araujo",$B:$B,"&lt;&gt;Lucas Luiz Romero")*(10/1083),0)))))),0)</f>
        <v/>
      </c>
      <c r="K4377" s="3">
        <f>I4377-J4377</f>
        <v/>
      </c>
      <c r="L4377" s="3">
        <f>IF(K4377&lt;-5,"CRÍTICO",IF(K4377&lt;0,"ATENÇÃO",IF(K4377&lt;=5,"BOM","EXCELENTE")))</f>
        <v/>
      </c>
      <c r="M4377" s="9" t="n">
        <v>29</v>
      </c>
      <c r="N4377" s="9" t="n">
        <v>96.88</v>
      </c>
      <c r="O4377" s="9" t="n">
        <v>19.52662721893491</v>
      </c>
    </row>
    <row r="4378" hidden="1">
      <c r="A4378" s="5" t="n">
        <v>46146</v>
      </c>
      <c r="B4378" s="6" t="inlineStr">
        <is>
          <t>Daniel Gomes da Silva</t>
        </is>
      </c>
      <c r="C4378" s="3" t="inlineStr">
        <is>
          <t>Técnico I</t>
        </is>
      </c>
      <c r="D4378" s="3" t="n">
        <v>28</v>
      </c>
      <c r="E4378" s="3" t="n">
        <v>27</v>
      </c>
      <c r="F4378" s="3" t="n">
        <v>17.14</v>
      </c>
      <c r="G4378" s="3" t="n">
        <v>0</v>
      </c>
      <c r="H4378" s="3" t="n">
        <v>0</v>
      </c>
      <c r="I4378" s="3">
        <f>E4378+G4378+H4378</f>
        <v/>
      </c>
      <c r="J4378" s="3">
        <f>ROUND(MIN(IF(C4378="Técnico III",35,IF(C4378="Técnico II",28,IF(C4378="Técnico I",23,IF(C4378="JR",20,IF(C4378="Estágio",10,0))))),IF(C4378="Técnico III",SUMIFS($D:$D,$A:$A,$A4378,$B:$B,"&lt;&gt;Patrícia Karla de Sousa Araújo",$B:$B,"&lt;&gt;Lorena Dias de Araujo",$B:$B,"&lt;&gt;Lucas Luiz Romero")*(35/1083),IF(C4378="Técnico II",SUMIFS($D:$D,$A:$A,$A4378,$B:$B,"&lt;&gt;Patrícia Karla de Sousa Araújo",$B:$B,"&lt;&gt;Lorena Dias de Araujo",$B:$B,"&lt;&gt;Lucas Luiz Romero")*(28/1083),IF(C4378="Técnico I",SUMIFS($D:$D,$A:$A,$A4378,$B:$B,"&lt;&gt;Patrícia Karla de Sousa Araújo",$B:$B,"&lt;&gt;Lorena Dias de Araujo",$B:$B,"&lt;&gt;Lucas Luiz Romero")*(23/1083),IF(C4378="JR",SUMIFS($D:$D,$A:$A,$A4378,$B:$B,"&lt;&gt;Patrícia Karla de Sousa Araújo",$B:$B,"&lt;&gt;Lorena Dias de Araujo",$B:$B,"&lt;&gt;Lucas Luiz Romero")*(20/1083),IF(C4378="Estágio",SUMIFS($D:$D,$A:$A,$A4378,$B:$B,"&lt;&gt;Patrícia Karla de Sousa Araújo",$B:$B,"&lt;&gt;Lorena Dias de Araujo",$B:$B,"&lt;&gt;Lucas Luiz Romero")*(10/1083),0)))))),0)</f>
        <v/>
      </c>
      <c r="K4378" s="3">
        <f>I4378-J4378</f>
        <v/>
      </c>
      <c r="L4378" s="3">
        <f>IF(K4378&lt;-5,"CRÍTICO",IF(K4378&lt;0,"ATENÇÃO",IF(K4378&lt;=5,"BOM","EXCELENTE")))</f>
        <v/>
      </c>
      <c r="M4378" s="9" t="n">
        <v>16</v>
      </c>
      <c r="N4378" s="9" t="n">
        <v>100</v>
      </c>
      <c r="O4378" s="9" t="n">
        <v>18.14516129032258</v>
      </c>
    </row>
    <row r="4379" hidden="1">
      <c r="A4379" s="5" t="n">
        <v>46146</v>
      </c>
      <c r="B4379" s="6" t="inlineStr">
        <is>
          <t>Luiz Fernando de Carvalho Junior</t>
        </is>
      </c>
      <c r="C4379" s="3" t="inlineStr">
        <is>
          <t>Técnico I</t>
        </is>
      </c>
      <c r="D4379" s="3" t="n">
        <v>25</v>
      </c>
      <c r="E4379" s="3" t="n">
        <v>21</v>
      </c>
      <c r="F4379" s="3" t="n">
        <v>17.18</v>
      </c>
      <c r="G4379" s="3" t="n">
        <v>4</v>
      </c>
      <c r="H4379" s="3" t="n">
        <v>0</v>
      </c>
      <c r="I4379" s="3">
        <f>E4379+G4379+H4379</f>
        <v/>
      </c>
      <c r="J4379" s="3">
        <f>ROUND(MIN(IF(C4379="Técnico III",35,IF(C4379="Técnico II",28,IF(C4379="Técnico I",23,IF(C4379="JR",20,IF(C4379="Estágio",10,0))))),IF(C4379="Técnico III",SUMIFS($D:$D,$A:$A,$A4379,$B:$B,"&lt;&gt;Patrícia Karla de Sousa Araújo",$B:$B,"&lt;&gt;Lorena Dias de Araujo",$B:$B,"&lt;&gt;Lucas Luiz Romero")*(35/1083),IF(C4379="Técnico II",SUMIFS($D:$D,$A:$A,$A4379,$B:$B,"&lt;&gt;Patrícia Karla de Sousa Araújo",$B:$B,"&lt;&gt;Lorena Dias de Araujo",$B:$B,"&lt;&gt;Lucas Luiz Romero")*(28/1083),IF(C4379="Técnico I",SUMIFS($D:$D,$A:$A,$A4379,$B:$B,"&lt;&gt;Patrícia Karla de Sousa Araújo",$B:$B,"&lt;&gt;Lorena Dias de Araujo",$B:$B,"&lt;&gt;Lucas Luiz Romero")*(23/1083),IF(C4379="JR",SUMIFS($D:$D,$A:$A,$A4379,$B:$B,"&lt;&gt;Patrícia Karla de Sousa Araújo",$B:$B,"&lt;&gt;Lorena Dias de Araujo",$B:$B,"&lt;&gt;Lucas Luiz Romero")*(20/1083),IF(C4379="Estágio",SUMIFS($D:$D,$A:$A,$A4379,$B:$B,"&lt;&gt;Patrícia Karla de Sousa Araújo",$B:$B,"&lt;&gt;Lorena Dias de Araujo",$B:$B,"&lt;&gt;Lucas Luiz Romero")*(10/1083),0)))))),0)</f>
        <v/>
      </c>
      <c r="K4379" s="3">
        <f>I4379-J4379</f>
        <v/>
      </c>
      <c r="L4379" s="3">
        <f>IF(K4379&lt;-5,"CRÍTICO",IF(K4379&lt;0,"ATENÇÃO",IF(K4379&lt;=5,"BOM","EXCELENTE")))</f>
        <v/>
      </c>
      <c r="M4379" s="9" t="n">
        <v>26</v>
      </c>
      <c r="N4379" s="9" t="n">
        <v>93.26000000000001</v>
      </c>
      <c r="O4379" s="9" t="n">
        <v>19.93957703927493</v>
      </c>
    </row>
    <row r="4380" hidden="1">
      <c r="A4380" s="5" t="n">
        <v>46146</v>
      </c>
      <c r="B4380" s="6" t="inlineStr">
        <is>
          <t>Raane Batista Matos</t>
        </is>
      </c>
      <c r="C4380" s="3" t="inlineStr">
        <is>
          <t>Técnico I</t>
        </is>
      </c>
      <c r="D4380" s="3" t="n">
        <v>27</v>
      </c>
      <c r="E4380" s="3" t="n">
        <v>23</v>
      </c>
      <c r="F4380" s="3" t="n">
        <v>14.07</v>
      </c>
      <c r="G4380" s="3" t="n">
        <v>4</v>
      </c>
      <c r="H4380" s="3" t="n">
        <v>0</v>
      </c>
      <c r="I4380" s="3">
        <f>E4380+G4380+H4380</f>
        <v/>
      </c>
      <c r="J4380" s="3">
        <f>ROUND(MIN(IF(C4380="Técnico III",35,IF(C4380="Técnico II",28,IF(C4380="Técnico I",23,IF(C4380="JR",20,IF(C4380="Estágio",10,0))))),IF(C4380="Técnico III",SUMIFS($D:$D,$A:$A,$A4380,$B:$B,"&lt;&gt;Patrícia Karla de Sousa Araújo",$B:$B,"&lt;&gt;Lorena Dias de Araujo",$B:$B,"&lt;&gt;Lucas Luiz Romero")*(35/1083),IF(C4380="Técnico II",SUMIFS($D:$D,$A:$A,$A4380,$B:$B,"&lt;&gt;Patrícia Karla de Sousa Araújo",$B:$B,"&lt;&gt;Lorena Dias de Araujo",$B:$B,"&lt;&gt;Lucas Luiz Romero")*(28/1083),IF(C4380="Técnico I",SUMIFS($D:$D,$A:$A,$A4380,$B:$B,"&lt;&gt;Patrícia Karla de Sousa Araújo",$B:$B,"&lt;&gt;Lorena Dias de Araujo",$B:$B,"&lt;&gt;Lucas Luiz Romero")*(23/1083),IF(C4380="JR",SUMIFS($D:$D,$A:$A,$A4380,$B:$B,"&lt;&gt;Patrícia Karla de Sousa Araújo",$B:$B,"&lt;&gt;Lorena Dias de Araujo",$B:$B,"&lt;&gt;Lucas Luiz Romero")*(20/1083),IF(C4380="Estágio",SUMIFS($D:$D,$A:$A,$A4380,$B:$B,"&lt;&gt;Patrícia Karla de Sousa Araújo",$B:$B,"&lt;&gt;Lorena Dias de Araujo",$B:$B,"&lt;&gt;Lucas Luiz Romero")*(10/1083),0)))))),0)</f>
        <v/>
      </c>
      <c r="K4380" s="3">
        <f>I4380-J4380</f>
        <v/>
      </c>
      <c r="L4380" s="3">
        <f>IF(K4380&lt;-5,"CRÍTICO",IF(K4380&lt;0,"ATENÇÃO",IF(K4380&lt;=5,"BOM","EXCELENTE")))</f>
        <v/>
      </c>
      <c r="M4380" s="9" t="n">
        <v>20</v>
      </c>
      <c r="N4380" s="9" t="n">
        <v>97.56</v>
      </c>
      <c r="O4380" s="9" t="n">
        <v>19.28783382789317</v>
      </c>
    </row>
    <row r="4381" hidden="1">
      <c r="A4381" s="5" t="n">
        <v>46146</v>
      </c>
      <c r="B4381" s="6" t="inlineStr">
        <is>
          <t>Sara Maria Monteiro Lopes</t>
        </is>
      </c>
      <c r="C4381" s="3" t="inlineStr">
        <is>
          <t>Técnico I</t>
        </is>
      </c>
      <c r="D4381" s="3" t="n">
        <v>20</v>
      </c>
      <c r="E4381" s="3" t="n">
        <v>20</v>
      </c>
      <c r="F4381" s="3" t="n">
        <v>25.29</v>
      </c>
      <c r="G4381" s="3" t="n">
        <v>0</v>
      </c>
      <c r="H4381" s="3" t="n">
        <v>0</v>
      </c>
      <c r="I4381" s="3">
        <f>E4381+G4381+H4381</f>
        <v/>
      </c>
      <c r="J4381" s="3">
        <f>ROUND(MIN(IF(C4381="Técnico III",35,IF(C4381="Técnico II",28,IF(C4381="Técnico I",23,IF(C4381="JR",20,IF(C4381="Estágio",10,0))))),IF(C4381="Técnico III",SUMIFS($D:$D,$A:$A,$A4381,$B:$B,"&lt;&gt;Patrícia Karla de Sousa Araújo",$B:$B,"&lt;&gt;Lorena Dias de Araujo",$B:$B,"&lt;&gt;Lucas Luiz Romero")*(35/1083),IF(C4381="Técnico II",SUMIFS($D:$D,$A:$A,$A4381,$B:$B,"&lt;&gt;Patrícia Karla de Sousa Araújo",$B:$B,"&lt;&gt;Lorena Dias de Araujo",$B:$B,"&lt;&gt;Lucas Luiz Romero")*(28/1083),IF(C4381="Técnico I",SUMIFS($D:$D,$A:$A,$A4381,$B:$B,"&lt;&gt;Patrícia Karla de Sousa Araújo",$B:$B,"&lt;&gt;Lorena Dias de Araujo",$B:$B,"&lt;&gt;Lucas Luiz Romero")*(23/1083),IF(C4381="JR",SUMIFS($D:$D,$A:$A,$A4381,$B:$B,"&lt;&gt;Patrícia Karla de Sousa Araújo",$B:$B,"&lt;&gt;Lorena Dias de Araujo",$B:$B,"&lt;&gt;Lucas Luiz Romero")*(20/1083),IF(C4381="Estágio",SUMIFS($D:$D,$A:$A,$A4381,$B:$B,"&lt;&gt;Patrícia Karla de Sousa Araújo",$B:$B,"&lt;&gt;Lorena Dias de Araujo",$B:$B,"&lt;&gt;Lucas Luiz Romero")*(10/1083),0)))))),0)</f>
        <v/>
      </c>
      <c r="K4381" s="3">
        <f>I4381-J4381</f>
        <v/>
      </c>
      <c r="L4381" s="3">
        <f>IF(K4381&lt;-5,"CRÍTICO",IF(K4381&lt;0,"ATENÇÃO",IF(K4381&lt;=5,"BOM","EXCELENTE")))</f>
        <v/>
      </c>
      <c r="M4381" s="9" t="n">
        <v>20</v>
      </c>
      <c r="N4381" s="9" t="n">
        <v>100</v>
      </c>
      <c r="O4381" s="9" t="n">
        <v>16.97247706422019</v>
      </c>
    </row>
    <row r="4382" hidden="1">
      <c r="A4382" s="5" t="n">
        <v>46147</v>
      </c>
      <c r="B4382" t="inlineStr">
        <is>
          <t>Ana Karollyne Souza Faria</t>
        </is>
      </c>
      <c r="C4382" s="3" t="inlineStr">
        <is>
          <t>Técnico I</t>
        </is>
      </c>
      <c r="D4382" s="3" t="n">
        <v>30</v>
      </c>
      <c r="E4382" s="3" t="n">
        <v>30</v>
      </c>
      <c r="F4382" s="3" t="n">
        <v>17.01</v>
      </c>
      <c r="G4382" s="3" t="n">
        <v>7</v>
      </c>
      <c r="H4382" s="3" t="n">
        <v>0</v>
      </c>
      <c r="I4382" s="3">
        <f>E4382+G4382+H4382</f>
        <v/>
      </c>
      <c r="J4382" s="3">
        <f>ROUND(MIN(IF(C4382="Técnico III",35,IF(C4382="Técnico II",28,IF(C4382="Técnico I",23,IF(C4382="JR",20,IF(C4382="Estágio",10,0))))),IF(C4382="Técnico III",SUMIFS($D:$D,$A:$A,$A4382,$B:$B,"&lt;&gt;Patrícia Karla de Sousa Araújo",$B:$B,"&lt;&gt;Lorena Dias de Araujo",$B:$B,"&lt;&gt;Lucas Luiz Romero")*(35/1083),IF(C4382="Técnico II",SUMIFS($D:$D,$A:$A,$A4382,$B:$B,"&lt;&gt;Patrícia Karla de Sousa Araújo",$B:$B,"&lt;&gt;Lorena Dias de Araujo",$B:$B,"&lt;&gt;Lucas Luiz Romero")*(28/1083),IF(C4382="Técnico I",SUMIFS($D:$D,$A:$A,$A4382,$B:$B,"&lt;&gt;Patrícia Karla de Sousa Araújo",$B:$B,"&lt;&gt;Lorena Dias de Araujo",$B:$B,"&lt;&gt;Lucas Luiz Romero")*(23/1083),IF(C4382="JR",SUMIFS($D:$D,$A:$A,$A4382,$B:$B,"&lt;&gt;Patrícia Karla de Sousa Araújo",$B:$B,"&lt;&gt;Lorena Dias de Araujo",$B:$B,"&lt;&gt;Lucas Luiz Romero")*(20/1083),IF(C4382="Estágio",SUMIFS($D:$D,$A:$A,$A4382,$B:$B,"&lt;&gt;Patrícia Karla de Sousa Araújo",$B:$B,"&lt;&gt;Lorena Dias de Araujo",$B:$B,"&lt;&gt;Lucas Luiz Romero")*(10/1083),0)))))),0)</f>
        <v/>
      </c>
      <c r="K4382" s="3">
        <f>I4382-J4382</f>
        <v/>
      </c>
      <c r="L4382" s="3">
        <f>IF(K4382&lt;-5,"CRÍTICO",IF(K4382&lt;0,"ATENÇÃO",IF(K4382&lt;=5,"BOM","EXCELENTE")))</f>
        <v/>
      </c>
      <c r="M4382" s="3" t="n">
        <v>36</v>
      </c>
      <c r="N4382" s="3" t="n">
        <v>95.38</v>
      </c>
      <c r="O4382" s="3" t="n">
        <v>21.5962441314554</v>
      </c>
    </row>
    <row r="4383" hidden="1">
      <c r="A4383" s="5" t="n">
        <v>46147</v>
      </c>
      <c r="B4383" s="6" t="inlineStr">
        <is>
          <t>Clessiane Pereira dos Santos</t>
        </is>
      </c>
      <c r="C4383" s="3" t="inlineStr">
        <is>
          <t>Técnico I</t>
        </is>
      </c>
      <c r="D4383" s="3" t="n">
        <v>122</v>
      </c>
      <c r="E4383" s="3" t="n">
        <v>28</v>
      </c>
      <c r="F4383" s="3" t="n">
        <v>3.47</v>
      </c>
      <c r="G4383" s="3" t="n">
        <v>1</v>
      </c>
      <c r="H4383" s="3" t="n">
        <v>0</v>
      </c>
      <c r="I4383" s="3">
        <f>E4383+G4383+H4383</f>
        <v/>
      </c>
      <c r="J4383" s="3">
        <f>ROUND(MIN(IF(C4383="Técnico III",35,IF(C4383="Técnico II",28,IF(C4383="Técnico I",23,IF(C4383="JR",20,IF(C4383="Estágio",10,0))))),IF(C4383="Técnico III",SUMIFS($D:$D,$A:$A,$A4383,$B:$B,"&lt;&gt;Patrícia Karla de Sousa Araújo",$B:$B,"&lt;&gt;Lorena Dias de Araujo",$B:$B,"&lt;&gt;Lucas Luiz Romero")*(35/1083),IF(C4383="Técnico II",SUMIFS($D:$D,$A:$A,$A4383,$B:$B,"&lt;&gt;Patrícia Karla de Sousa Araújo",$B:$B,"&lt;&gt;Lorena Dias de Araujo",$B:$B,"&lt;&gt;Lucas Luiz Romero")*(28/1083),IF(C4383="Técnico I",SUMIFS($D:$D,$A:$A,$A4383,$B:$B,"&lt;&gt;Patrícia Karla de Sousa Araújo",$B:$B,"&lt;&gt;Lorena Dias de Araujo",$B:$B,"&lt;&gt;Lucas Luiz Romero")*(23/1083),IF(C4383="JR",SUMIFS($D:$D,$A:$A,$A4383,$B:$B,"&lt;&gt;Patrícia Karla de Sousa Araújo",$B:$B,"&lt;&gt;Lorena Dias de Araujo",$B:$B,"&lt;&gt;Lucas Luiz Romero")*(20/1083),IF(C4383="Estágio",SUMIFS($D:$D,$A:$A,$A4383,$B:$B,"&lt;&gt;Patrícia Karla de Sousa Araújo",$B:$B,"&lt;&gt;Lorena Dias de Araujo",$B:$B,"&lt;&gt;Lucas Luiz Romero")*(10/1083),0)))))),0)</f>
        <v/>
      </c>
      <c r="K4383" s="3">
        <f>I4383-J4383</f>
        <v/>
      </c>
      <c r="L4383" s="3">
        <f>IF(K4383&lt;-5,"CRÍTICO",IF(K4383&lt;0,"ATENÇÃO",IF(K4383&lt;=5,"BOM","EXCELENTE")))</f>
        <v/>
      </c>
      <c r="M4383" s="3" t="n">
        <v>16</v>
      </c>
      <c r="N4383" s="3" t="n">
        <v>96.88</v>
      </c>
      <c r="O4383" s="3" t="n">
        <v>19.52662721893491</v>
      </c>
    </row>
    <row r="4384" hidden="1">
      <c r="A4384" s="5" t="n">
        <v>46147</v>
      </c>
      <c r="B4384" s="6" t="inlineStr">
        <is>
          <t>Daniel Gomes da Silva</t>
        </is>
      </c>
      <c r="C4384" s="3" t="inlineStr">
        <is>
          <t>Técnico I</t>
        </is>
      </c>
      <c r="D4384" s="3" t="n">
        <v>12</v>
      </c>
      <c r="E4384" s="3" t="n">
        <v>12</v>
      </c>
      <c r="F4384" s="3" t="n">
        <v>28.25</v>
      </c>
      <c r="G4384" s="3" t="n">
        <v>10</v>
      </c>
      <c r="H4384" s="3" t="n">
        <v>0</v>
      </c>
      <c r="I4384" s="3">
        <f>E4384+G4384+H4384</f>
        <v/>
      </c>
      <c r="J4384" s="3">
        <f>ROUND(MIN(IF(C4384="Técnico III",35,IF(C4384="Técnico II",28,IF(C4384="Técnico I",23,IF(C4384="JR",20,IF(C4384="Estágio",10,0))))),IF(C4384="Técnico III",SUMIFS($D:$D,$A:$A,$A4384,$B:$B,"&lt;&gt;Patrícia Karla de Sousa Araújo",$B:$B,"&lt;&gt;Lorena Dias de Araujo",$B:$B,"&lt;&gt;Lucas Luiz Romero")*(35/1083),IF(C4384="Técnico II",SUMIFS($D:$D,$A:$A,$A4384,$B:$B,"&lt;&gt;Patrícia Karla de Sousa Araújo",$B:$B,"&lt;&gt;Lorena Dias de Araujo",$B:$B,"&lt;&gt;Lucas Luiz Romero")*(28/1083),IF(C4384="Técnico I",SUMIFS($D:$D,$A:$A,$A4384,$B:$B,"&lt;&gt;Patrícia Karla de Sousa Araújo",$B:$B,"&lt;&gt;Lorena Dias de Araujo",$B:$B,"&lt;&gt;Lucas Luiz Romero")*(23/1083),IF(C4384="JR",SUMIFS($D:$D,$A:$A,$A4384,$B:$B,"&lt;&gt;Patrícia Karla de Sousa Araújo",$B:$B,"&lt;&gt;Lorena Dias de Araujo",$B:$B,"&lt;&gt;Lucas Luiz Romero")*(20/1083),IF(C4384="Estágio",SUMIFS($D:$D,$A:$A,$A4384,$B:$B,"&lt;&gt;Patrícia Karla de Sousa Araújo",$B:$B,"&lt;&gt;Lorena Dias de Araujo",$B:$B,"&lt;&gt;Lucas Luiz Romero")*(10/1083),0)))))),0)</f>
        <v/>
      </c>
      <c r="K4384" s="3">
        <f>I4384-J4384</f>
        <v/>
      </c>
      <c r="L4384" s="3">
        <f>IF(K4384&lt;-5,"CRÍTICO",IF(K4384&lt;0,"ATENÇÃO",IF(K4384&lt;=5,"BOM","EXCELENTE")))</f>
        <v/>
      </c>
      <c r="M4384" s="3" t="n">
        <v>18</v>
      </c>
      <c r="N4384" s="3" t="n">
        <v>100</v>
      </c>
      <c r="O4384" s="3" t="n">
        <v>18.14516129032258</v>
      </c>
    </row>
    <row r="4385" hidden="1">
      <c r="A4385" s="5" t="n">
        <v>46147</v>
      </c>
      <c r="B4385" s="6" t="inlineStr">
        <is>
          <t>Luiz Fernando de Carvalho Junior</t>
        </is>
      </c>
      <c r="C4385" s="3" t="inlineStr">
        <is>
          <t>Técnico I</t>
        </is>
      </c>
      <c r="D4385" s="3" t="n">
        <v>31</v>
      </c>
      <c r="E4385" s="3" t="n">
        <v>28</v>
      </c>
      <c r="F4385" s="3" t="n">
        <v>17.33</v>
      </c>
      <c r="G4385" s="3" t="n">
        <v>1</v>
      </c>
      <c r="H4385" s="3" t="n">
        <v>0</v>
      </c>
      <c r="I4385" s="3">
        <f>E4385+G4385+H4385</f>
        <v/>
      </c>
      <c r="J4385" s="3">
        <f>ROUND(MIN(IF(C4385="Técnico III",35,IF(C4385="Técnico II",28,IF(C4385="Técnico I",23,IF(C4385="JR",20,IF(C4385="Estágio",10,0))))),IF(C4385="Técnico III",SUMIFS($D:$D,$A:$A,$A4385,$B:$B,"&lt;&gt;Patrícia Karla de Sousa Araújo",$B:$B,"&lt;&gt;Lorena Dias de Araujo",$B:$B,"&lt;&gt;Lucas Luiz Romero")*(35/1083),IF(C4385="Técnico II",SUMIFS($D:$D,$A:$A,$A4385,$B:$B,"&lt;&gt;Patrícia Karla de Sousa Araújo",$B:$B,"&lt;&gt;Lorena Dias de Araujo",$B:$B,"&lt;&gt;Lucas Luiz Romero")*(28/1083),IF(C4385="Técnico I",SUMIFS($D:$D,$A:$A,$A4385,$B:$B,"&lt;&gt;Patrícia Karla de Sousa Araújo",$B:$B,"&lt;&gt;Lorena Dias de Araujo",$B:$B,"&lt;&gt;Lucas Luiz Romero")*(23/1083),IF(C4385="JR",SUMIFS($D:$D,$A:$A,$A4385,$B:$B,"&lt;&gt;Patrícia Karla de Sousa Araújo",$B:$B,"&lt;&gt;Lorena Dias de Araujo",$B:$B,"&lt;&gt;Lucas Luiz Romero")*(20/1083),IF(C4385="Estágio",SUMIFS($D:$D,$A:$A,$A4385,$B:$B,"&lt;&gt;Patrícia Karla de Sousa Araújo",$B:$B,"&lt;&gt;Lorena Dias de Araujo",$B:$B,"&lt;&gt;Lucas Luiz Romero")*(10/1083),0)))))),0)</f>
        <v/>
      </c>
      <c r="K4385" s="3">
        <f>I4385-J4385</f>
        <v/>
      </c>
      <c r="L4385" s="3">
        <f>IF(K4385&lt;-5,"CRÍTICO",IF(K4385&lt;0,"ATENÇÃO",IF(K4385&lt;=5,"BOM","EXCELENTE")))</f>
        <v/>
      </c>
      <c r="M4385" s="3" t="n">
        <v>30</v>
      </c>
      <c r="N4385" s="3" t="n">
        <v>93.26000000000001</v>
      </c>
      <c r="O4385" s="3" t="n">
        <v>19.93957703927493</v>
      </c>
    </row>
    <row r="4386" hidden="1">
      <c r="A4386" s="5" t="n">
        <v>46147</v>
      </c>
      <c r="B4386" s="6" t="inlineStr">
        <is>
          <t>Raane Batista Matos</t>
        </is>
      </c>
      <c r="C4386" s="3" t="inlineStr">
        <is>
          <t>Técnico I</t>
        </is>
      </c>
      <c r="D4386" s="3" t="n">
        <v>31</v>
      </c>
      <c r="E4386" s="3" t="n">
        <v>26</v>
      </c>
      <c r="F4386" s="3" t="n">
        <v>13.5</v>
      </c>
      <c r="G4386" s="3" t="n">
        <v>10</v>
      </c>
      <c r="H4386" s="3" t="n">
        <v>0</v>
      </c>
      <c r="I4386" s="3">
        <f>E4386+G4386+H4386</f>
        <v/>
      </c>
      <c r="J4386" s="3">
        <f>ROUND(MIN(IF(C4386="Técnico III",35,IF(C4386="Técnico II",28,IF(C4386="Técnico I",23,IF(C4386="JR",20,IF(C4386="Estágio",10,0))))),IF(C4386="Técnico III",SUMIFS($D:$D,$A:$A,$A4386,$B:$B,"&lt;&gt;Patrícia Karla de Sousa Araújo",$B:$B,"&lt;&gt;Lorena Dias de Araujo",$B:$B,"&lt;&gt;Lucas Luiz Romero")*(35/1083),IF(C4386="Técnico II",SUMIFS($D:$D,$A:$A,$A4386,$B:$B,"&lt;&gt;Patrícia Karla de Sousa Araújo",$B:$B,"&lt;&gt;Lorena Dias de Araujo",$B:$B,"&lt;&gt;Lucas Luiz Romero")*(28/1083),IF(C4386="Técnico I",SUMIFS($D:$D,$A:$A,$A4386,$B:$B,"&lt;&gt;Patrícia Karla de Sousa Araújo",$B:$B,"&lt;&gt;Lorena Dias de Araujo",$B:$B,"&lt;&gt;Lucas Luiz Romero")*(23/1083),IF(C4386="JR",SUMIFS($D:$D,$A:$A,$A4386,$B:$B,"&lt;&gt;Patrícia Karla de Sousa Araújo",$B:$B,"&lt;&gt;Lorena Dias de Araujo",$B:$B,"&lt;&gt;Lucas Luiz Romero")*(20/1083),IF(C4386="Estágio",SUMIFS($D:$D,$A:$A,$A4386,$B:$B,"&lt;&gt;Patrícia Karla de Sousa Araújo",$B:$B,"&lt;&gt;Lorena Dias de Araujo",$B:$B,"&lt;&gt;Lucas Luiz Romero")*(10/1083),0)))))),0)</f>
        <v/>
      </c>
      <c r="K4386" s="3">
        <f>I4386-J4386</f>
        <v/>
      </c>
      <c r="L4386" s="3">
        <f>IF(K4386&lt;-5,"CRÍTICO",IF(K4386&lt;0,"ATENÇÃO",IF(K4386&lt;=5,"BOM","EXCELENTE")))</f>
        <v/>
      </c>
      <c r="M4386" s="3" t="n">
        <v>21</v>
      </c>
      <c r="N4386" s="3" t="n">
        <v>97.56</v>
      </c>
      <c r="O4386" s="3" t="n">
        <v>19.28783382789317</v>
      </c>
    </row>
    <row r="4387" hidden="1">
      <c r="A4387" s="5" t="n">
        <v>46147</v>
      </c>
      <c r="B4387" s="6" t="inlineStr">
        <is>
          <t>Sara Maria Monteiro Lopes</t>
        </is>
      </c>
      <c r="C4387" s="3" t="inlineStr">
        <is>
          <t>Técnico I</t>
        </is>
      </c>
      <c r="D4387" s="3" t="n">
        <v>14</v>
      </c>
      <c r="E4387" s="3" t="n">
        <v>14</v>
      </c>
      <c r="F4387" s="3" t="n">
        <v>35.53</v>
      </c>
      <c r="G4387" s="3" t="n">
        <v>3</v>
      </c>
      <c r="H4387" s="3" t="n">
        <v>0</v>
      </c>
      <c r="I4387" s="3">
        <f>E4387+G4387+H4387</f>
        <v/>
      </c>
      <c r="J4387" s="3">
        <f>ROUND(MIN(IF(C4387="Técnico III",35,IF(C4387="Técnico II",28,IF(C4387="Técnico I",23,IF(C4387="JR",20,IF(C4387="Estágio",10,0))))),IF(C4387="Técnico III",SUMIFS($D:$D,$A:$A,$A4387,$B:$B,"&lt;&gt;Patrícia Karla de Sousa Araújo",$B:$B,"&lt;&gt;Lorena Dias de Araujo",$B:$B,"&lt;&gt;Lucas Luiz Romero")*(35/1083),IF(C4387="Técnico II",SUMIFS($D:$D,$A:$A,$A4387,$B:$B,"&lt;&gt;Patrícia Karla de Sousa Araújo",$B:$B,"&lt;&gt;Lorena Dias de Araujo",$B:$B,"&lt;&gt;Lucas Luiz Romero")*(28/1083),IF(C4387="Técnico I",SUMIFS($D:$D,$A:$A,$A4387,$B:$B,"&lt;&gt;Patrícia Karla de Sousa Araújo",$B:$B,"&lt;&gt;Lorena Dias de Araujo",$B:$B,"&lt;&gt;Lucas Luiz Romero")*(23/1083),IF(C4387="JR",SUMIFS($D:$D,$A:$A,$A4387,$B:$B,"&lt;&gt;Patrícia Karla de Sousa Araújo",$B:$B,"&lt;&gt;Lorena Dias de Araujo",$B:$B,"&lt;&gt;Lucas Luiz Romero")*(20/1083),IF(C4387="Estágio",SUMIFS($D:$D,$A:$A,$A4387,$B:$B,"&lt;&gt;Patrícia Karla de Sousa Araújo",$B:$B,"&lt;&gt;Lorena Dias de Araujo",$B:$B,"&lt;&gt;Lucas Luiz Romero")*(10/1083),0)))))),0)</f>
        <v/>
      </c>
      <c r="K4387" s="3">
        <f>I4387-J4387</f>
        <v/>
      </c>
      <c r="L4387" s="3">
        <f>IF(K4387&lt;-5,"CRÍTICO",IF(K4387&lt;0,"ATENÇÃO",IF(K4387&lt;=5,"BOM","EXCELENTE")))</f>
        <v/>
      </c>
      <c r="M4387" s="3" t="n">
        <v>10</v>
      </c>
      <c r="N4387" s="3" t="n">
        <v>100</v>
      </c>
      <c r="O4387" s="3" t="n">
        <v>16.97247706422019</v>
      </c>
    </row>
    <row r="4388" hidden="1">
      <c r="A4388" s="5" t="n">
        <v>46148</v>
      </c>
      <c r="B4388" s="6" t="inlineStr">
        <is>
          <t>Ana Karollyne Souza Faria</t>
        </is>
      </c>
      <c r="C4388" s="3" t="inlineStr">
        <is>
          <t>Técnico I</t>
        </is>
      </c>
      <c r="D4388" s="3" t="n">
        <v>50</v>
      </c>
      <c r="E4388" s="3" t="n">
        <v>43</v>
      </c>
      <c r="F4388" t="n">
        <v>14.05</v>
      </c>
      <c r="G4388" s="3" t="n">
        <v>6</v>
      </c>
      <c r="H4388" s="3" t="n">
        <v>0</v>
      </c>
      <c r="I4388" s="3">
        <f>E4388+G4388+H4388</f>
        <v/>
      </c>
      <c r="J4388" s="3">
        <f>ROUND(MIN(IF(C4388="Técnico III",35,IF(C4388="Técnico II",28,IF(C4388="Técnico I",23,IF(C4388="JR",20,IF(C4388="Estágio",10,0))))),IF(C4388="Técnico III",SUMIFS($D:$D,$A:$A,$A4388,$B:$B,"&lt;&gt;Patrícia Karla de Sousa Araújo",$B:$B,"&lt;&gt;Lorena Dias de Araujo",$B:$B,"&lt;&gt;Lucas Luiz Romero")*(35/1083),IF(C4388="Técnico II",SUMIFS($D:$D,$A:$A,$A4388,$B:$B,"&lt;&gt;Patrícia Karla de Sousa Araújo",$B:$B,"&lt;&gt;Lorena Dias de Araujo",$B:$B,"&lt;&gt;Lucas Luiz Romero")*(28/1083),IF(C4388="Técnico I",SUMIFS($D:$D,$A:$A,$A4388,$B:$B,"&lt;&gt;Patrícia Karla de Sousa Araújo",$B:$B,"&lt;&gt;Lorena Dias de Araujo",$B:$B,"&lt;&gt;Lucas Luiz Romero")*(23/1083),IF(C4388="JR",SUMIFS($D:$D,$A:$A,$A4388,$B:$B,"&lt;&gt;Patrícia Karla de Sousa Araújo",$B:$B,"&lt;&gt;Lorena Dias de Araujo",$B:$B,"&lt;&gt;Lucas Luiz Romero")*(20/1083),IF(C4388="Estágio",SUMIFS($D:$D,$A:$A,$A4388,$B:$B,"&lt;&gt;Patrícia Karla de Sousa Araújo",$B:$B,"&lt;&gt;Lorena Dias de Araujo",$B:$B,"&lt;&gt;Lucas Luiz Romero")*(10/1083),0)))))),0)</f>
        <v/>
      </c>
      <c r="K4388" s="3">
        <f>I4388-J4388</f>
        <v/>
      </c>
      <c r="L4388" s="3">
        <f>IF(K4388&lt;-5,"CRÍTICO",IF(K4388&lt;0,"ATENÇÃO",IF(K4388&lt;=5,"BOM","EXCELENTE")))</f>
        <v/>
      </c>
      <c r="M4388" s="3" t="n">
        <v>43</v>
      </c>
      <c r="N4388" s="3" t="n">
        <v>95.38</v>
      </c>
      <c r="O4388" s="3" t="n">
        <v>21.5962441314554</v>
      </c>
    </row>
    <row r="4389" hidden="1">
      <c r="A4389" s="5" t="n">
        <v>46148</v>
      </c>
      <c r="B4389" s="6" t="inlineStr">
        <is>
          <t>Clessiane Pereira dos Santos</t>
        </is>
      </c>
      <c r="C4389" s="3" t="inlineStr">
        <is>
          <t>Técnico I</t>
        </is>
      </c>
      <c r="D4389" s="3" t="n">
        <v>24</v>
      </c>
      <c r="E4389" s="3" t="n">
        <v>23</v>
      </c>
      <c r="F4389" t="n">
        <v>17.07</v>
      </c>
      <c r="G4389" s="3" t="n">
        <v>9</v>
      </c>
      <c r="H4389" s="3" t="n">
        <v>0</v>
      </c>
      <c r="I4389" s="3">
        <f>E4389+G4389+H4389</f>
        <v/>
      </c>
      <c r="J4389" s="3">
        <f>ROUND(MIN(IF(C4389="Técnico III",35,IF(C4389="Técnico II",28,IF(C4389="Técnico I",23,IF(C4389="JR",20,IF(C4389="Estágio",10,0))))),IF(C4389="Técnico III",SUMIFS($D:$D,$A:$A,$A4389,$B:$B,"&lt;&gt;Patrícia Karla de Sousa Araújo",$B:$B,"&lt;&gt;Lorena Dias de Araujo",$B:$B,"&lt;&gt;Lucas Luiz Romero")*(35/1083),IF(C4389="Técnico II",SUMIFS($D:$D,$A:$A,$A4389,$B:$B,"&lt;&gt;Patrícia Karla de Sousa Araújo",$B:$B,"&lt;&gt;Lorena Dias de Araujo",$B:$B,"&lt;&gt;Lucas Luiz Romero")*(28/1083),IF(C4389="Técnico I",SUMIFS($D:$D,$A:$A,$A4389,$B:$B,"&lt;&gt;Patrícia Karla de Sousa Araújo",$B:$B,"&lt;&gt;Lorena Dias de Araujo",$B:$B,"&lt;&gt;Lucas Luiz Romero")*(23/1083),IF(C4389="JR",SUMIFS($D:$D,$A:$A,$A4389,$B:$B,"&lt;&gt;Patrícia Karla de Sousa Araújo",$B:$B,"&lt;&gt;Lorena Dias de Araujo",$B:$B,"&lt;&gt;Lucas Luiz Romero")*(20/1083),IF(C4389="Estágio",SUMIFS($D:$D,$A:$A,$A4389,$B:$B,"&lt;&gt;Patrícia Karla de Sousa Araújo",$B:$B,"&lt;&gt;Lorena Dias de Araujo",$B:$B,"&lt;&gt;Lucas Luiz Romero")*(10/1083),0)))))),0)</f>
        <v/>
      </c>
      <c r="K4389" s="3">
        <f>I4389-J4389</f>
        <v/>
      </c>
      <c r="L4389" s="3">
        <f>IF(K4389&lt;-5,"CRÍTICO",IF(K4389&lt;0,"ATENÇÃO",IF(K4389&lt;=5,"BOM","EXCELENTE")))</f>
        <v/>
      </c>
      <c r="M4389" s="3" t="n">
        <v>30</v>
      </c>
      <c r="N4389" s="3" t="n">
        <v>96.88</v>
      </c>
      <c r="O4389" s="3" t="n">
        <v>19.52662721893491</v>
      </c>
    </row>
    <row r="4390" hidden="1">
      <c r="A4390" s="5" t="n">
        <v>46148</v>
      </c>
      <c r="B4390" s="6" t="inlineStr">
        <is>
          <t>Daniel Gomes da Silva</t>
        </is>
      </c>
      <c r="C4390" s="3" t="inlineStr">
        <is>
          <t>Técnico I</t>
        </is>
      </c>
      <c r="D4390" s="3" t="n">
        <v>19</v>
      </c>
      <c r="E4390" s="3" t="n">
        <v>16</v>
      </c>
      <c r="F4390" t="n">
        <v>16.51</v>
      </c>
      <c r="G4390" s="3" t="n">
        <v>0</v>
      </c>
      <c r="H4390" s="3" t="n">
        <v>0</v>
      </c>
      <c r="I4390" s="3">
        <f>E4390+G4390+H4390</f>
        <v/>
      </c>
      <c r="J4390" s="3">
        <f>ROUND(MIN(IF(C4390="Técnico III",35,IF(C4390="Técnico II",28,IF(C4390="Técnico I",23,IF(C4390="JR",20,IF(C4390="Estágio",10,0))))),IF(C4390="Técnico III",SUMIFS($D:$D,$A:$A,$A4390,$B:$B,"&lt;&gt;Patrícia Karla de Sousa Araújo",$B:$B,"&lt;&gt;Lorena Dias de Araujo",$B:$B,"&lt;&gt;Lucas Luiz Romero")*(35/1083),IF(C4390="Técnico II",SUMIFS($D:$D,$A:$A,$A4390,$B:$B,"&lt;&gt;Patrícia Karla de Sousa Araújo",$B:$B,"&lt;&gt;Lorena Dias de Araujo",$B:$B,"&lt;&gt;Lucas Luiz Romero")*(28/1083),IF(C4390="Técnico I",SUMIFS($D:$D,$A:$A,$A4390,$B:$B,"&lt;&gt;Patrícia Karla de Sousa Araújo",$B:$B,"&lt;&gt;Lorena Dias de Araujo",$B:$B,"&lt;&gt;Lucas Luiz Romero")*(23/1083),IF(C4390="JR",SUMIFS($D:$D,$A:$A,$A4390,$B:$B,"&lt;&gt;Patrícia Karla de Sousa Araújo",$B:$B,"&lt;&gt;Lorena Dias de Araujo",$B:$B,"&lt;&gt;Lucas Luiz Romero")*(20/1083),IF(C4390="Estágio",SUMIFS($D:$D,$A:$A,$A4390,$B:$B,"&lt;&gt;Patrícia Karla de Sousa Araújo",$B:$B,"&lt;&gt;Lorena Dias de Araujo",$B:$B,"&lt;&gt;Lucas Luiz Romero")*(10/1083),0)))))),0)</f>
        <v/>
      </c>
      <c r="K4390" s="3">
        <f>I4390-J4390</f>
        <v/>
      </c>
      <c r="L4390" s="3">
        <f>IF(K4390&lt;-5,"CRÍTICO",IF(K4390&lt;0,"ATENÇÃO",IF(K4390&lt;=5,"BOM","EXCELENTE")))</f>
        <v/>
      </c>
      <c r="M4390" s="3" t="n">
        <v>13</v>
      </c>
      <c r="N4390" s="3" t="n">
        <v>100</v>
      </c>
      <c r="O4390" s="3" t="n">
        <v>18.14516129032258</v>
      </c>
    </row>
    <row r="4391" hidden="1">
      <c r="A4391" s="5" t="n">
        <v>46148</v>
      </c>
      <c r="B4391" s="6" t="inlineStr">
        <is>
          <t>Luiz Fernando de Carvalho Junior</t>
        </is>
      </c>
      <c r="C4391" s="3" t="inlineStr">
        <is>
          <t>Técnico I</t>
        </is>
      </c>
      <c r="D4391" s="3" t="n">
        <v>31</v>
      </c>
      <c r="E4391" s="3" t="n">
        <v>30</v>
      </c>
      <c r="F4391" t="n">
        <v>17.33</v>
      </c>
      <c r="G4391" s="3" t="n">
        <v>8</v>
      </c>
      <c r="H4391" s="3" t="n">
        <v>0</v>
      </c>
      <c r="I4391" s="3">
        <f>E4391+G4391+H4391</f>
        <v/>
      </c>
      <c r="J4391" s="3">
        <f>ROUND(MIN(IF(C4391="Técnico III",35,IF(C4391="Técnico II",28,IF(C4391="Técnico I",23,IF(C4391="JR",20,IF(C4391="Estágio",10,0))))),IF(C4391="Técnico III",SUMIFS($D:$D,$A:$A,$A4391,$B:$B,"&lt;&gt;Patrícia Karla de Sousa Araújo",$B:$B,"&lt;&gt;Lorena Dias de Araujo",$B:$B,"&lt;&gt;Lucas Luiz Romero")*(35/1083),IF(C4391="Técnico II",SUMIFS($D:$D,$A:$A,$A4391,$B:$B,"&lt;&gt;Patrícia Karla de Sousa Araújo",$B:$B,"&lt;&gt;Lorena Dias de Araujo",$B:$B,"&lt;&gt;Lucas Luiz Romero")*(28/1083),IF(C4391="Técnico I",SUMIFS($D:$D,$A:$A,$A4391,$B:$B,"&lt;&gt;Patrícia Karla de Sousa Araújo",$B:$B,"&lt;&gt;Lorena Dias de Araujo",$B:$B,"&lt;&gt;Lucas Luiz Romero")*(23/1083),IF(C4391="JR",SUMIFS($D:$D,$A:$A,$A4391,$B:$B,"&lt;&gt;Patrícia Karla de Sousa Araújo",$B:$B,"&lt;&gt;Lorena Dias de Araujo",$B:$B,"&lt;&gt;Lucas Luiz Romero")*(20/1083),IF(C4391="Estágio",SUMIFS($D:$D,$A:$A,$A4391,$B:$B,"&lt;&gt;Patrícia Karla de Sousa Araújo",$B:$B,"&lt;&gt;Lorena Dias de Araujo",$B:$B,"&lt;&gt;Lucas Luiz Romero")*(10/1083),0)))))),0)</f>
        <v/>
      </c>
      <c r="K4391" s="3">
        <f>I4391-J4391</f>
        <v/>
      </c>
      <c r="L4391" s="3">
        <f>IF(K4391&lt;-5,"CRÍTICO",IF(K4391&lt;0,"ATENÇÃO",IF(K4391&lt;=5,"BOM","EXCELENTE")))</f>
        <v/>
      </c>
      <c r="M4391" s="3" t="n">
        <v>36</v>
      </c>
      <c r="N4391" s="3" t="n">
        <v>93.26000000000001</v>
      </c>
      <c r="O4391" s="3" t="n">
        <v>19.93957703927493</v>
      </c>
    </row>
    <row r="4392" hidden="1">
      <c r="A4392" s="5" t="n">
        <v>46148</v>
      </c>
      <c r="B4392" s="6" t="inlineStr">
        <is>
          <t>Raane Batista Matos</t>
        </is>
      </c>
      <c r="C4392" s="3" t="inlineStr">
        <is>
          <t>Técnico I</t>
        </is>
      </c>
      <c r="D4392" s="3" t="n">
        <v>34</v>
      </c>
      <c r="E4392" s="3" t="n">
        <v>30</v>
      </c>
      <c r="F4392" t="n">
        <v>13.25</v>
      </c>
      <c r="G4392" s="3" t="n">
        <v>5</v>
      </c>
      <c r="H4392" s="3" t="n">
        <v>0</v>
      </c>
      <c r="I4392" s="3">
        <f>E4392+G4392+H4392</f>
        <v/>
      </c>
      <c r="J4392" s="3">
        <f>ROUND(MIN(IF(C4392="Técnico III",35,IF(C4392="Técnico II",28,IF(C4392="Técnico I",23,IF(C4392="JR",20,IF(C4392="Estágio",10,0))))),IF(C4392="Técnico III",SUMIFS($D:$D,$A:$A,$A4392,$B:$B,"&lt;&gt;Patrícia Karla de Sousa Araújo",$B:$B,"&lt;&gt;Lorena Dias de Araujo",$B:$B,"&lt;&gt;Lucas Luiz Romero")*(35/1083),IF(C4392="Técnico II",SUMIFS($D:$D,$A:$A,$A4392,$B:$B,"&lt;&gt;Patrícia Karla de Sousa Araújo",$B:$B,"&lt;&gt;Lorena Dias de Araujo",$B:$B,"&lt;&gt;Lucas Luiz Romero")*(28/1083),IF(C4392="Técnico I",SUMIFS($D:$D,$A:$A,$A4392,$B:$B,"&lt;&gt;Patrícia Karla de Sousa Araújo",$B:$B,"&lt;&gt;Lorena Dias de Araujo",$B:$B,"&lt;&gt;Lucas Luiz Romero")*(23/1083),IF(C4392="JR",SUMIFS($D:$D,$A:$A,$A4392,$B:$B,"&lt;&gt;Patrícia Karla de Sousa Araújo",$B:$B,"&lt;&gt;Lorena Dias de Araujo",$B:$B,"&lt;&gt;Lucas Luiz Romero")*(20/1083),IF(C4392="Estágio",SUMIFS($D:$D,$A:$A,$A4392,$B:$B,"&lt;&gt;Patrícia Karla de Sousa Araújo",$B:$B,"&lt;&gt;Lorena Dias de Araujo",$B:$B,"&lt;&gt;Lucas Luiz Romero")*(10/1083),0)))))),0)</f>
        <v/>
      </c>
      <c r="K4392" s="3">
        <f>I4392-J4392</f>
        <v/>
      </c>
      <c r="L4392" s="3">
        <f>IF(K4392&lt;-5,"CRÍTICO",IF(K4392&lt;0,"ATENÇÃO",IF(K4392&lt;=5,"BOM","EXCELENTE")))</f>
        <v/>
      </c>
      <c r="M4392" s="3" t="n">
        <v>23</v>
      </c>
      <c r="N4392" s="3" t="n">
        <v>97.56</v>
      </c>
      <c r="O4392" s="3" t="n">
        <v>19.28783382789317</v>
      </c>
    </row>
    <row r="4393" hidden="1">
      <c r="A4393" s="5" t="n">
        <v>46148</v>
      </c>
      <c r="B4393" s="6" t="inlineStr">
        <is>
          <t>Sara Maria Monteiro Lopes</t>
        </is>
      </c>
      <c r="C4393" s="3" t="inlineStr">
        <is>
          <t>Técnico I</t>
        </is>
      </c>
      <c r="D4393" s="3" t="n">
        <v>19</v>
      </c>
      <c r="E4393" s="3" t="n">
        <v>18</v>
      </c>
      <c r="F4393" t="n">
        <v>26.43</v>
      </c>
      <c r="G4393" s="3" t="n">
        <v>1</v>
      </c>
      <c r="H4393" s="3" t="n">
        <v>0</v>
      </c>
      <c r="I4393" s="3">
        <f>E4393+G4393+H4393</f>
        <v/>
      </c>
      <c r="J4393" s="3">
        <f>ROUND(MIN(IF(C4393="Técnico III",35,IF(C4393="Técnico II",28,IF(C4393="Técnico I",23,IF(C4393="JR",20,IF(C4393="Estágio",10,0))))),IF(C4393="Técnico III",SUMIFS($D:$D,$A:$A,$A4393,$B:$B,"&lt;&gt;Patrícia Karla de Sousa Araújo",$B:$B,"&lt;&gt;Lorena Dias de Araujo",$B:$B,"&lt;&gt;Lucas Luiz Romero")*(35/1083),IF(C4393="Técnico II",SUMIFS($D:$D,$A:$A,$A4393,$B:$B,"&lt;&gt;Patrícia Karla de Sousa Araújo",$B:$B,"&lt;&gt;Lorena Dias de Araujo",$B:$B,"&lt;&gt;Lucas Luiz Romero")*(28/1083),IF(C4393="Técnico I",SUMIFS($D:$D,$A:$A,$A4393,$B:$B,"&lt;&gt;Patrícia Karla de Sousa Araújo",$B:$B,"&lt;&gt;Lorena Dias de Araujo",$B:$B,"&lt;&gt;Lucas Luiz Romero")*(23/1083),IF(C4393="JR",SUMIFS($D:$D,$A:$A,$A4393,$B:$B,"&lt;&gt;Patrícia Karla de Sousa Araújo",$B:$B,"&lt;&gt;Lorena Dias de Araujo",$B:$B,"&lt;&gt;Lucas Luiz Romero")*(20/1083),IF(C4393="Estágio",SUMIFS($D:$D,$A:$A,$A4393,$B:$B,"&lt;&gt;Patrícia Karla de Sousa Araújo",$B:$B,"&lt;&gt;Lorena Dias de Araujo",$B:$B,"&lt;&gt;Lucas Luiz Romero")*(10/1083),0)))))),0)</f>
        <v/>
      </c>
      <c r="K4393" s="3">
        <f>I4393-J4393</f>
        <v/>
      </c>
      <c r="L4393" s="3">
        <f>IF(K4393&lt;-5,"CRÍTICO",IF(K4393&lt;0,"ATENÇÃO",IF(K4393&lt;=5,"BOM","EXCELENTE")))</f>
        <v/>
      </c>
      <c r="M4393" s="3" t="n">
        <v>18</v>
      </c>
      <c r="N4393" s="3" t="n">
        <v>100</v>
      </c>
      <c r="O4393" s="3" t="n">
        <v>16.97247706422019</v>
      </c>
    </row>
    <row r="4394" hidden="1">
      <c r="A4394" s="5" t="n">
        <v>46149</v>
      </c>
      <c r="B4394" s="6" t="inlineStr">
        <is>
          <t>Ana Karollyne Souza Faria</t>
        </is>
      </c>
      <c r="C4394" s="3" t="inlineStr">
        <is>
          <t>Técnico I</t>
        </is>
      </c>
      <c r="D4394" s="3" t="n">
        <v>31</v>
      </c>
      <c r="E4394" s="3" t="n">
        <v>28</v>
      </c>
      <c r="F4394" t="n">
        <v>15.11</v>
      </c>
      <c r="G4394" s="3" t="n">
        <v>10</v>
      </c>
      <c r="H4394" s="3" t="n">
        <v>0</v>
      </c>
      <c r="I4394" s="3">
        <f>E4394+G4394+H4394</f>
        <v/>
      </c>
      <c r="J4394" s="3">
        <f>ROUND(MIN(IF(C4394="Técnico III",35,IF(C4394="Técnico II",28,IF(C4394="Técnico I",23,IF(C4394="JR",20,IF(C4394="Estágio",10,0))))),IF(C4394="Técnico III",SUMIFS($D:$D,$A:$A,$A4394,$B:$B,"&lt;&gt;Patrícia Karla de Sousa Araújo",$B:$B,"&lt;&gt;Lorena Dias de Araujo",$B:$B,"&lt;&gt;Lucas Luiz Romero")*(35/1083),IF(C4394="Técnico II",SUMIFS($D:$D,$A:$A,$A4394,$B:$B,"&lt;&gt;Patrícia Karla de Sousa Araújo",$B:$B,"&lt;&gt;Lorena Dias de Araujo",$B:$B,"&lt;&gt;Lucas Luiz Romero")*(28/1083),IF(C4394="Técnico I",SUMIFS($D:$D,$A:$A,$A4394,$B:$B,"&lt;&gt;Patrícia Karla de Sousa Araújo",$B:$B,"&lt;&gt;Lorena Dias de Araujo",$B:$B,"&lt;&gt;Lucas Luiz Romero")*(23/1083),IF(C4394="JR",SUMIFS($D:$D,$A:$A,$A4394,$B:$B,"&lt;&gt;Patrícia Karla de Sousa Araújo",$B:$B,"&lt;&gt;Lorena Dias de Araujo",$B:$B,"&lt;&gt;Lucas Luiz Romero")*(20/1083),IF(C4394="Estágio",SUMIFS($D:$D,$A:$A,$A4394,$B:$B,"&lt;&gt;Patrícia Karla de Sousa Araújo",$B:$B,"&lt;&gt;Lorena Dias de Araujo",$B:$B,"&lt;&gt;Lucas Luiz Romero")*(10/1083),0)))))),0)</f>
        <v/>
      </c>
      <c r="K4394" s="3">
        <f>I4394-J4394</f>
        <v/>
      </c>
      <c r="L4394" s="3">
        <f>IF(K4394&lt;-5,"CRÍTICO",IF(K4394&lt;0,"ATENÇÃO",IF(K4394&lt;=5,"BOM","EXCELENTE")))</f>
        <v/>
      </c>
      <c r="M4394" s="3" t="n">
        <v>36</v>
      </c>
      <c r="N4394" s="3" t="n">
        <v>95.38</v>
      </c>
      <c r="O4394" s="3" t="n">
        <v>21.5962441314554</v>
      </c>
    </row>
    <row r="4395" hidden="1">
      <c r="A4395" s="5" t="n">
        <v>46149</v>
      </c>
      <c r="B4395" s="6" t="inlineStr">
        <is>
          <t>Clessiane Pereira dos Santos</t>
        </is>
      </c>
      <c r="C4395" s="3" t="inlineStr">
        <is>
          <t>Técnico I</t>
        </is>
      </c>
      <c r="D4395" s="3" t="n">
        <v>25</v>
      </c>
      <c r="E4395" s="3" t="n">
        <v>23</v>
      </c>
      <c r="F4395" t="n">
        <v>16.56</v>
      </c>
      <c r="G4395" s="3" t="n">
        <v>1</v>
      </c>
      <c r="H4395" s="3" t="n">
        <v>0</v>
      </c>
      <c r="I4395" s="3">
        <f>E4395+G4395+H4395</f>
        <v/>
      </c>
      <c r="J4395" s="3">
        <f>ROUND(MIN(IF(C4395="Técnico III",35,IF(C4395="Técnico II",28,IF(C4395="Técnico I",23,IF(C4395="JR",20,IF(C4395="Estágio",10,0))))),IF(C4395="Técnico III",SUMIFS($D:$D,$A:$A,$A4395,$B:$B,"&lt;&gt;Patrícia Karla de Sousa Araújo",$B:$B,"&lt;&gt;Lorena Dias de Araujo",$B:$B,"&lt;&gt;Lucas Luiz Romero")*(35/1083),IF(C4395="Técnico II",SUMIFS($D:$D,$A:$A,$A4395,$B:$B,"&lt;&gt;Patrícia Karla de Sousa Araújo",$B:$B,"&lt;&gt;Lorena Dias de Araujo",$B:$B,"&lt;&gt;Lucas Luiz Romero")*(28/1083),IF(C4395="Técnico I",SUMIFS($D:$D,$A:$A,$A4395,$B:$B,"&lt;&gt;Patrícia Karla de Sousa Araújo",$B:$B,"&lt;&gt;Lorena Dias de Araujo",$B:$B,"&lt;&gt;Lucas Luiz Romero")*(23/1083),IF(C4395="JR",SUMIFS($D:$D,$A:$A,$A4395,$B:$B,"&lt;&gt;Patrícia Karla de Sousa Araújo",$B:$B,"&lt;&gt;Lorena Dias de Araujo",$B:$B,"&lt;&gt;Lucas Luiz Romero")*(20/1083),IF(C4395="Estágio",SUMIFS($D:$D,$A:$A,$A4395,$B:$B,"&lt;&gt;Patrícia Karla de Sousa Araújo",$B:$B,"&lt;&gt;Lorena Dias de Araujo",$B:$B,"&lt;&gt;Lucas Luiz Romero")*(10/1083),0)))))),0)</f>
        <v/>
      </c>
      <c r="K4395" s="3">
        <f>I4395-J4395</f>
        <v/>
      </c>
      <c r="L4395" s="3">
        <f>IF(K4395&lt;-5,"CRÍTICO",IF(K4395&lt;0,"ATENÇÃO",IF(K4395&lt;=5,"BOM","EXCELENTE")))</f>
        <v/>
      </c>
      <c r="M4395" s="3" t="n">
        <v>22</v>
      </c>
      <c r="N4395" s="3" t="n">
        <v>96.88</v>
      </c>
      <c r="O4395" s="3" t="n">
        <v>19.52662721893491</v>
      </c>
    </row>
    <row r="4396" hidden="1">
      <c r="A4396" s="5" t="n">
        <v>46149</v>
      </c>
      <c r="B4396" s="6" t="inlineStr">
        <is>
          <t>Daniel Gomes da Silva</t>
        </is>
      </c>
      <c r="C4396" s="3" t="inlineStr">
        <is>
          <t>Técnico I</t>
        </is>
      </c>
      <c r="D4396" s="3" t="n">
        <v>17</v>
      </c>
      <c r="E4396" s="3" t="n">
        <v>17</v>
      </c>
      <c r="F4396" t="n">
        <v>16.5</v>
      </c>
      <c r="G4396" s="3" t="n">
        <v>7</v>
      </c>
      <c r="H4396" s="3" t="n">
        <v>0</v>
      </c>
      <c r="I4396" s="3">
        <f>E4396+G4396+H4396</f>
        <v/>
      </c>
      <c r="J4396" s="3">
        <f>ROUND(MIN(IF(C4396="Técnico III",35,IF(C4396="Técnico II",28,IF(C4396="Técnico I",23,IF(C4396="JR",20,IF(C4396="Estágio",10,0))))),IF(C4396="Técnico III",SUMIFS($D:$D,$A:$A,$A4396,$B:$B,"&lt;&gt;Patrícia Karla de Sousa Araújo",$B:$B,"&lt;&gt;Lorena Dias de Araujo",$B:$B,"&lt;&gt;Lucas Luiz Romero")*(35/1083),IF(C4396="Técnico II",SUMIFS($D:$D,$A:$A,$A4396,$B:$B,"&lt;&gt;Patrícia Karla de Sousa Araújo",$B:$B,"&lt;&gt;Lorena Dias de Araujo",$B:$B,"&lt;&gt;Lucas Luiz Romero")*(28/1083),IF(C4396="Técnico I",SUMIFS($D:$D,$A:$A,$A4396,$B:$B,"&lt;&gt;Patrícia Karla de Sousa Araújo",$B:$B,"&lt;&gt;Lorena Dias de Araujo",$B:$B,"&lt;&gt;Lucas Luiz Romero")*(23/1083),IF(C4396="JR",SUMIFS($D:$D,$A:$A,$A4396,$B:$B,"&lt;&gt;Patrícia Karla de Sousa Araújo",$B:$B,"&lt;&gt;Lorena Dias de Araujo",$B:$B,"&lt;&gt;Lucas Luiz Romero")*(20/1083),IF(C4396="Estágio",SUMIFS($D:$D,$A:$A,$A4396,$B:$B,"&lt;&gt;Patrícia Karla de Sousa Araújo",$B:$B,"&lt;&gt;Lorena Dias de Araujo",$B:$B,"&lt;&gt;Lucas Luiz Romero")*(10/1083),0)))))),0)</f>
        <v/>
      </c>
      <c r="K4396" s="3">
        <f>I4396-J4396</f>
        <v/>
      </c>
      <c r="L4396" s="3">
        <f>IF(K4396&lt;-5,"CRÍTICO",IF(K4396&lt;0,"ATENÇÃO",IF(K4396&lt;=5,"BOM","EXCELENTE")))</f>
        <v/>
      </c>
      <c r="M4396" s="3" t="n">
        <v>19</v>
      </c>
      <c r="N4396" s="3" t="n">
        <v>100</v>
      </c>
      <c r="O4396" s="3" t="n">
        <v>18.14516129032258</v>
      </c>
    </row>
    <row r="4397" hidden="1">
      <c r="A4397" s="5" t="n">
        <v>46149</v>
      </c>
      <c r="B4397" s="6" t="inlineStr">
        <is>
          <t>Luiz Fernando de Carvalho Junior</t>
        </is>
      </c>
      <c r="C4397" s="3" t="inlineStr">
        <is>
          <t>Técnico I</t>
        </is>
      </c>
      <c r="D4397" s="3" t="n">
        <v>25</v>
      </c>
      <c r="E4397" s="3" t="n">
        <v>25</v>
      </c>
      <c r="F4397" t="n">
        <v>25.28</v>
      </c>
      <c r="G4397" s="3" t="n">
        <v>1</v>
      </c>
      <c r="H4397" s="3" t="n">
        <v>0</v>
      </c>
      <c r="I4397" s="3">
        <f>E4397+G4397+H4397</f>
        <v/>
      </c>
      <c r="J4397" s="3">
        <f>ROUND(MIN(IF(C4397="Técnico III",35,IF(C4397="Técnico II",28,IF(C4397="Técnico I",23,IF(C4397="JR",20,IF(C4397="Estágio",10,0))))),IF(C4397="Técnico III",SUMIFS($D:$D,$A:$A,$A4397,$B:$B,"&lt;&gt;Patrícia Karla de Sousa Araújo",$B:$B,"&lt;&gt;Lorena Dias de Araujo",$B:$B,"&lt;&gt;Lucas Luiz Romero")*(35/1083),IF(C4397="Técnico II",SUMIFS($D:$D,$A:$A,$A4397,$B:$B,"&lt;&gt;Patrícia Karla de Sousa Araújo",$B:$B,"&lt;&gt;Lorena Dias de Araujo",$B:$B,"&lt;&gt;Lucas Luiz Romero")*(28/1083),IF(C4397="Técnico I",SUMIFS($D:$D,$A:$A,$A4397,$B:$B,"&lt;&gt;Patrícia Karla de Sousa Araújo",$B:$B,"&lt;&gt;Lorena Dias de Araujo",$B:$B,"&lt;&gt;Lucas Luiz Romero")*(23/1083),IF(C4397="JR",SUMIFS($D:$D,$A:$A,$A4397,$B:$B,"&lt;&gt;Patrícia Karla de Sousa Araújo",$B:$B,"&lt;&gt;Lorena Dias de Araujo",$B:$B,"&lt;&gt;Lucas Luiz Romero")*(20/1083),IF(C4397="Estágio",SUMIFS($D:$D,$A:$A,$A4397,$B:$B,"&lt;&gt;Patrícia Karla de Sousa Araújo",$B:$B,"&lt;&gt;Lorena Dias de Araujo",$B:$B,"&lt;&gt;Lucas Luiz Romero")*(10/1083),0)))))),0)</f>
        <v/>
      </c>
      <c r="K4397" s="3">
        <f>I4397-J4397</f>
        <v/>
      </c>
      <c r="L4397" s="3">
        <f>IF(K4397&lt;-5,"CRÍTICO",IF(K4397&lt;0,"ATENÇÃO",IF(K4397&lt;=5,"BOM","EXCELENTE")))</f>
        <v/>
      </c>
      <c r="M4397" s="3" t="n">
        <v>25</v>
      </c>
      <c r="N4397" s="3" t="n">
        <v>93.26000000000001</v>
      </c>
      <c r="O4397" s="3" t="n">
        <v>19.93957703927493</v>
      </c>
    </row>
    <row r="4398" hidden="1">
      <c r="A4398" s="5" t="n">
        <v>46149</v>
      </c>
      <c r="B4398" s="6" t="inlineStr">
        <is>
          <t>Raane Batista Matos</t>
        </is>
      </c>
      <c r="C4398" s="3" t="inlineStr">
        <is>
          <t>Técnico I</t>
        </is>
      </c>
      <c r="D4398" s="3" t="n">
        <v>31</v>
      </c>
      <c r="E4398" s="3" t="n">
        <v>26</v>
      </c>
      <c r="F4398" t="n">
        <v>11.59</v>
      </c>
      <c r="G4398" s="3" t="n">
        <v>14</v>
      </c>
      <c r="H4398" s="3" t="n">
        <v>0</v>
      </c>
      <c r="I4398" s="3">
        <f>E4398+G4398+H4398</f>
        <v/>
      </c>
      <c r="J4398" s="3">
        <f>ROUND(MIN(IF(C4398="Técnico III",35,IF(C4398="Técnico II",28,IF(C4398="Técnico I",23,IF(C4398="JR",20,IF(C4398="Estágio",10,0))))),IF(C4398="Técnico III",SUMIFS($D:$D,$A:$A,$A4398,$B:$B,"&lt;&gt;Patrícia Karla de Sousa Araújo",$B:$B,"&lt;&gt;Lorena Dias de Araujo",$B:$B,"&lt;&gt;Lucas Luiz Romero")*(35/1083),IF(C4398="Técnico II",SUMIFS($D:$D,$A:$A,$A4398,$B:$B,"&lt;&gt;Patrícia Karla de Sousa Araújo",$B:$B,"&lt;&gt;Lorena Dias de Araujo",$B:$B,"&lt;&gt;Lucas Luiz Romero")*(28/1083),IF(C4398="Técnico I",SUMIFS($D:$D,$A:$A,$A4398,$B:$B,"&lt;&gt;Patrícia Karla de Sousa Araújo",$B:$B,"&lt;&gt;Lorena Dias de Araujo",$B:$B,"&lt;&gt;Lucas Luiz Romero")*(23/1083),IF(C4398="JR",SUMIFS($D:$D,$A:$A,$A4398,$B:$B,"&lt;&gt;Patrícia Karla de Sousa Araújo",$B:$B,"&lt;&gt;Lorena Dias de Araujo",$B:$B,"&lt;&gt;Lucas Luiz Romero")*(20/1083),IF(C4398="Estágio",SUMIFS($D:$D,$A:$A,$A4398,$B:$B,"&lt;&gt;Patrícia Karla de Sousa Araújo",$B:$B,"&lt;&gt;Lorena Dias de Araujo",$B:$B,"&lt;&gt;Lucas Luiz Romero")*(10/1083),0)))))),0)</f>
        <v/>
      </c>
      <c r="K4398" s="3">
        <f>I4398-J4398</f>
        <v/>
      </c>
      <c r="L4398" s="3">
        <f>IF(K4398&lt;-5,"CRÍTICO",IF(K4398&lt;0,"ATENÇÃO",IF(K4398&lt;=5,"BOM","EXCELENTE")))</f>
        <v/>
      </c>
      <c r="M4398" s="3" t="n">
        <v>23</v>
      </c>
      <c r="N4398" s="3" t="n">
        <v>97.56</v>
      </c>
      <c r="O4398" s="3" t="n">
        <v>19.28783382789317</v>
      </c>
    </row>
    <row r="4399" hidden="1">
      <c r="A4399" s="5" t="n">
        <v>46149</v>
      </c>
      <c r="B4399" s="6" t="inlineStr">
        <is>
          <t>Sara Maria Monteiro Lopes</t>
        </is>
      </c>
      <c r="C4399" s="3" t="inlineStr">
        <is>
          <t>Técnico I</t>
        </is>
      </c>
      <c r="D4399" s="3" t="n">
        <v>14</v>
      </c>
      <c r="E4399" s="3" t="n">
        <v>14</v>
      </c>
      <c r="F4399" t="n">
        <v>33.45</v>
      </c>
      <c r="G4399" s="3" t="n">
        <v>6</v>
      </c>
      <c r="H4399" s="3" t="n">
        <v>0</v>
      </c>
      <c r="I4399" s="3">
        <f>E4399+G4399+H4399</f>
        <v/>
      </c>
      <c r="J4399" s="3">
        <f>ROUND(MIN(IF(C4399="Técnico III",35,IF(C4399="Técnico II",28,IF(C4399="Técnico I",23,IF(C4399="JR",20,IF(C4399="Estágio",10,0))))),IF(C4399="Técnico III",SUMIFS($D:$D,$A:$A,$A4399,$B:$B,"&lt;&gt;Patrícia Karla de Sousa Araújo",$B:$B,"&lt;&gt;Lorena Dias de Araujo",$B:$B,"&lt;&gt;Lucas Luiz Romero")*(35/1083),IF(C4399="Técnico II",SUMIFS($D:$D,$A:$A,$A4399,$B:$B,"&lt;&gt;Patrícia Karla de Sousa Araújo",$B:$B,"&lt;&gt;Lorena Dias de Araujo",$B:$B,"&lt;&gt;Lucas Luiz Romero")*(28/1083),IF(C4399="Técnico I",SUMIFS($D:$D,$A:$A,$A4399,$B:$B,"&lt;&gt;Patrícia Karla de Sousa Araújo",$B:$B,"&lt;&gt;Lorena Dias de Araujo",$B:$B,"&lt;&gt;Lucas Luiz Romero")*(23/1083),IF(C4399="JR",SUMIFS($D:$D,$A:$A,$A4399,$B:$B,"&lt;&gt;Patrícia Karla de Sousa Araújo",$B:$B,"&lt;&gt;Lorena Dias de Araujo",$B:$B,"&lt;&gt;Lucas Luiz Romero")*(20/1083),IF(C4399="Estágio",SUMIFS($D:$D,$A:$A,$A4399,$B:$B,"&lt;&gt;Patrícia Karla de Sousa Araújo",$B:$B,"&lt;&gt;Lorena Dias de Araujo",$B:$B,"&lt;&gt;Lucas Luiz Romero")*(10/1083),0)))))),0)</f>
        <v/>
      </c>
      <c r="K4399" s="3">
        <f>I4399-J4399</f>
        <v/>
      </c>
      <c r="L4399" s="3">
        <f>IF(K4399&lt;-5,"CRÍTICO",IF(K4399&lt;0,"ATENÇÃO",IF(K4399&lt;=5,"BOM","EXCELENTE")))</f>
        <v/>
      </c>
      <c r="M4399" s="3" t="n">
        <v>20</v>
      </c>
      <c r="N4399" s="3" t="n">
        <v>100</v>
      </c>
      <c r="O4399" s="3" t="n">
        <v>16.97247706422019</v>
      </c>
    </row>
    <row r="4400" hidden="1">
      <c r="A4400" s="5" t="n">
        <v>46150</v>
      </c>
      <c r="B4400" s="6" t="inlineStr">
        <is>
          <t>Ana Karollyne Souza Faria</t>
        </is>
      </c>
      <c r="C4400" s="3" t="inlineStr">
        <is>
          <t>Técnico I</t>
        </is>
      </c>
      <c r="D4400" s="3" t="n">
        <v>26</v>
      </c>
      <c r="E4400" s="3" t="n">
        <v>25</v>
      </c>
      <c r="F4400" t="n">
        <v>22.39</v>
      </c>
      <c r="G4400" s="3" t="n">
        <v>0</v>
      </c>
      <c r="H4400" s="3" t="n">
        <v>0</v>
      </c>
      <c r="I4400" s="3">
        <f>E4400+G4400+H4400</f>
        <v/>
      </c>
      <c r="J4400" s="3">
        <f>ROUND(MIN(IF(C4400="Técnico III",35,IF(C4400="Técnico II",28,IF(C4400="Técnico I",23,IF(C4400="JR",20,IF(C4400="Estágio",10,0))))),IF(C4400="Técnico III",SUMIFS($D:$D,$A:$A,$A4400,$B:$B,"&lt;&gt;Patrícia Karla de Sousa Araújo",$B:$B,"&lt;&gt;Lorena Dias de Araujo",$B:$B,"&lt;&gt;Lucas Luiz Romero")*(35/1083),IF(C4400="Técnico II",SUMIFS($D:$D,$A:$A,$A4400,$B:$B,"&lt;&gt;Patrícia Karla de Sousa Araújo",$B:$B,"&lt;&gt;Lorena Dias de Araujo",$B:$B,"&lt;&gt;Lucas Luiz Romero")*(28/1083),IF(C4400="Técnico I",SUMIFS($D:$D,$A:$A,$A4400,$B:$B,"&lt;&gt;Patrícia Karla de Sousa Araújo",$B:$B,"&lt;&gt;Lorena Dias de Araujo",$B:$B,"&lt;&gt;Lucas Luiz Romero")*(23/1083),IF(C4400="JR",SUMIFS($D:$D,$A:$A,$A4400,$B:$B,"&lt;&gt;Patrícia Karla de Sousa Araújo",$B:$B,"&lt;&gt;Lorena Dias de Araujo",$B:$B,"&lt;&gt;Lucas Luiz Romero")*(20/1083),IF(C4400="Estágio",SUMIFS($D:$D,$A:$A,$A4400,$B:$B,"&lt;&gt;Patrícia Karla de Sousa Araújo",$B:$B,"&lt;&gt;Lorena Dias de Araujo",$B:$B,"&lt;&gt;Lucas Luiz Romero")*(10/1083),0)))))),0)</f>
        <v/>
      </c>
      <c r="K4400" s="3">
        <f>I4400-J4400</f>
        <v/>
      </c>
      <c r="L4400" s="3">
        <f>IF(K4400&lt;-5,"CRÍTICO",IF(K4400&lt;0,"ATENÇÃO",IF(K4400&lt;=5,"BOM","EXCELENTE")))</f>
        <v/>
      </c>
      <c r="M4400" s="3" t="n">
        <v>24</v>
      </c>
      <c r="N4400" s="3" t="n">
        <v>95.38</v>
      </c>
      <c r="O4400" s="3" t="n">
        <v>21.5962441314554</v>
      </c>
    </row>
    <row r="4401" hidden="1">
      <c r="A4401" s="5" t="n">
        <v>46150</v>
      </c>
      <c r="B4401" s="6" t="inlineStr">
        <is>
          <t>Clessiane Pereira dos Santos</t>
        </is>
      </c>
      <c r="C4401" s="3" t="inlineStr">
        <is>
          <t>Técnico I</t>
        </is>
      </c>
      <c r="D4401" s="3" t="n">
        <v>25</v>
      </c>
      <c r="E4401" s="3" t="n">
        <v>24</v>
      </c>
      <c r="F4401" t="n">
        <v>17.35</v>
      </c>
      <c r="G4401" s="3" t="n">
        <v>6</v>
      </c>
      <c r="H4401" s="3" t="n">
        <v>0</v>
      </c>
      <c r="I4401" s="3">
        <f>E4401+G4401+H4401</f>
        <v/>
      </c>
      <c r="J4401" s="3">
        <f>ROUND(MIN(IF(C4401="Técnico III",35,IF(C4401="Técnico II",28,IF(C4401="Técnico I",23,IF(C4401="JR",20,IF(C4401="Estágio",10,0))))),IF(C4401="Técnico III",SUMIFS($D:$D,$A:$A,$A4401,$B:$B,"&lt;&gt;Patrícia Karla de Sousa Araújo",$B:$B,"&lt;&gt;Lorena Dias de Araujo",$B:$B,"&lt;&gt;Lucas Luiz Romero")*(35/1083),IF(C4401="Técnico II",SUMIFS($D:$D,$A:$A,$A4401,$B:$B,"&lt;&gt;Patrícia Karla de Sousa Araújo",$B:$B,"&lt;&gt;Lorena Dias de Araujo",$B:$B,"&lt;&gt;Lucas Luiz Romero")*(28/1083),IF(C4401="Técnico I",SUMIFS($D:$D,$A:$A,$A4401,$B:$B,"&lt;&gt;Patrícia Karla de Sousa Araújo",$B:$B,"&lt;&gt;Lorena Dias de Araujo",$B:$B,"&lt;&gt;Lucas Luiz Romero")*(23/1083),IF(C4401="JR",SUMIFS($D:$D,$A:$A,$A4401,$B:$B,"&lt;&gt;Patrícia Karla de Sousa Araújo",$B:$B,"&lt;&gt;Lorena Dias de Araujo",$B:$B,"&lt;&gt;Lucas Luiz Romero")*(20/1083),IF(C4401="Estágio",SUMIFS($D:$D,$A:$A,$A4401,$B:$B,"&lt;&gt;Patrícia Karla de Sousa Araújo",$B:$B,"&lt;&gt;Lorena Dias de Araujo",$B:$B,"&lt;&gt;Lucas Luiz Romero")*(10/1083),0)))))),0)</f>
        <v/>
      </c>
      <c r="K4401" s="3">
        <f>I4401-J4401</f>
        <v/>
      </c>
      <c r="L4401" s="3">
        <f>IF(K4401&lt;-5,"CRÍTICO",IF(K4401&lt;0,"ATENÇÃO",IF(K4401&lt;=5,"BOM","EXCELENTE")))</f>
        <v/>
      </c>
      <c r="M4401" t="n">
        <v>27</v>
      </c>
      <c r="N4401" t="n">
        <v>96.88</v>
      </c>
      <c r="O4401" t="n">
        <v>19.52662721893491</v>
      </c>
    </row>
    <row r="4402" hidden="1">
      <c r="A4402" s="5" t="n">
        <v>46150</v>
      </c>
      <c r="B4402" s="6" t="inlineStr">
        <is>
          <t>Daniel Gomes da Silva</t>
        </is>
      </c>
      <c r="C4402" s="3" t="inlineStr">
        <is>
          <t>Técnico I</t>
        </is>
      </c>
      <c r="D4402" s="3" t="n">
        <v>16</v>
      </c>
      <c r="E4402" s="3" t="n">
        <v>16</v>
      </c>
      <c r="F4402" t="n">
        <v>23.51</v>
      </c>
      <c r="G4402" s="3" t="n">
        <v>0</v>
      </c>
      <c r="H4402" s="3" t="n">
        <v>0</v>
      </c>
      <c r="I4402" s="3">
        <f>E4402+G4402+H4402</f>
        <v/>
      </c>
      <c r="J4402" s="3">
        <f>ROUND(MIN(IF(C4402="Técnico III",35,IF(C4402="Técnico II",28,IF(C4402="Técnico I",23,IF(C4402="JR",20,IF(C4402="Estágio",10,0))))),IF(C4402="Técnico III",SUMIFS($D:$D,$A:$A,$A4402,$B:$B,"&lt;&gt;Patrícia Karla de Sousa Araújo",$B:$B,"&lt;&gt;Lorena Dias de Araujo",$B:$B,"&lt;&gt;Lucas Luiz Romero")*(35/1083),IF(C4402="Técnico II",SUMIFS($D:$D,$A:$A,$A4402,$B:$B,"&lt;&gt;Patrícia Karla de Sousa Araújo",$B:$B,"&lt;&gt;Lorena Dias de Araujo",$B:$B,"&lt;&gt;Lucas Luiz Romero")*(28/1083),IF(C4402="Técnico I",SUMIFS($D:$D,$A:$A,$A4402,$B:$B,"&lt;&gt;Patrícia Karla de Sousa Araújo",$B:$B,"&lt;&gt;Lorena Dias de Araujo",$B:$B,"&lt;&gt;Lucas Luiz Romero")*(23/1083),IF(C4402="JR",SUMIFS($D:$D,$A:$A,$A4402,$B:$B,"&lt;&gt;Patrícia Karla de Sousa Araújo",$B:$B,"&lt;&gt;Lorena Dias de Araujo",$B:$B,"&lt;&gt;Lucas Luiz Romero")*(20/1083),IF(C4402="Estágio",SUMIFS($D:$D,$A:$A,$A4402,$B:$B,"&lt;&gt;Patrícia Karla de Sousa Araújo",$B:$B,"&lt;&gt;Lorena Dias de Araujo",$B:$B,"&lt;&gt;Lucas Luiz Romero")*(10/1083),0)))))),0)</f>
        <v/>
      </c>
      <c r="K4402" s="3">
        <f>I4402-J4402</f>
        <v/>
      </c>
      <c r="L4402" s="3">
        <f>IF(K4402&lt;-5,"CRÍTICO",IF(K4402&lt;0,"ATENÇÃO",IF(K4402&lt;=5,"BOM","EXCELENTE")))</f>
        <v/>
      </c>
      <c r="M4402" t="n">
        <v>11</v>
      </c>
      <c r="N4402" t="n">
        <v>100</v>
      </c>
      <c r="O4402" t="n">
        <v>18.14516129032258</v>
      </c>
    </row>
    <row r="4403" hidden="1">
      <c r="A4403" s="5" t="n">
        <v>46150</v>
      </c>
      <c r="B4403" s="6" t="inlineStr">
        <is>
          <t>Luiz Fernando de Carvalho Junior</t>
        </is>
      </c>
      <c r="C4403" s="3" t="inlineStr">
        <is>
          <t>Técnico I</t>
        </is>
      </c>
      <c r="D4403" s="3" t="n">
        <v>18</v>
      </c>
      <c r="E4403" s="3" t="n">
        <v>17</v>
      </c>
      <c r="F4403" t="n">
        <v>25.06</v>
      </c>
      <c r="G4403" s="3" t="n">
        <v>6</v>
      </c>
      <c r="H4403" s="3" t="n">
        <v>0</v>
      </c>
      <c r="I4403" s="3">
        <f>E4403+G4403+H4403</f>
        <v/>
      </c>
      <c r="J4403" s="3">
        <f>ROUND(MIN(IF(C4403="Técnico III",35,IF(C4403="Técnico II",28,IF(C4403="Técnico I",23,IF(C4403="JR",20,IF(C4403="Estágio",10,0))))),IF(C4403="Técnico III",SUMIFS($D:$D,$A:$A,$A4403,$B:$B,"&lt;&gt;Patrícia Karla de Sousa Araújo",$B:$B,"&lt;&gt;Lorena Dias de Araujo",$B:$B,"&lt;&gt;Lucas Luiz Romero")*(35/1083),IF(C4403="Técnico II",SUMIFS($D:$D,$A:$A,$A4403,$B:$B,"&lt;&gt;Patrícia Karla de Sousa Araújo",$B:$B,"&lt;&gt;Lorena Dias de Araujo",$B:$B,"&lt;&gt;Lucas Luiz Romero")*(28/1083),IF(C4403="Técnico I",SUMIFS($D:$D,$A:$A,$A4403,$B:$B,"&lt;&gt;Patrícia Karla de Sousa Araújo",$B:$B,"&lt;&gt;Lorena Dias de Araujo",$B:$B,"&lt;&gt;Lucas Luiz Romero")*(23/1083),IF(C4403="JR",SUMIFS($D:$D,$A:$A,$A4403,$B:$B,"&lt;&gt;Patrícia Karla de Sousa Araújo",$B:$B,"&lt;&gt;Lorena Dias de Araujo",$B:$B,"&lt;&gt;Lucas Luiz Romero")*(20/1083),IF(C4403="Estágio",SUMIFS($D:$D,$A:$A,$A4403,$B:$B,"&lt;&gt;Patrícia Karla de Sousa Araújo",$B:$B,"&lt;&gt;Lorena Dias de Araujo",$B:$B,"&lt;&gt;Lucas Luiz Romero")*(10/1083),0)))))),0)</f>
        <v/>
      </c>
      <c r="K4403" s="3">
        <f>I4403-J4403</f>
        <v/>
      </c>
      <c r="L4403" s="3">
        <f>IF(K4403&lt;-5,"CRÍTICO",IF(K4403&lt;0,"ATENÇÃO",IF(K4403&lt;=5,"BOM","EXCELENTE")))</f>
        <v/>
      </c>
      <c r="M4403" t="n">
        <v>23</v>
      </c>
      <c r="N4403" t="n">
        <v>93.26000000000001</v>
      </c>
      <c r="O4403" t="n">
        <v>19.93957703927493</v>
      </c>
    </row>
    <row r="4404" hidden="1">
      <c r="A4404" s="5" t="n">
        <v>46150</v>
      </c>
      <c r="B4404" s="6" t="inlineStr">
        <is>
          <t>Raane Batista Matos</t>
        </is>
      </c>
      <c r="C4404" s="3" t="inlineStr">
        <is>
          <t>Técnico I</t>
        </is>
      </c>
      <c r="D4404" s="3" t="n">
        <v>39</v>
      </c>
      <c r="E4404" s="3" t="n">
        <v>34</v>
      </c>
      <c r="F4404" t="n">
        <v>12.08</v>
      </c>
      <c r="G4404" s="3" t="n">
        <v>2</v>
      </c>
      <c r="H4404" s="3" t="n">
        <v>0</v>
      </c>
      <c r="I4404" s="3">
        <f>E4404+G4404+H4404</f>
        <v/>
      </c>
      <c r="J4404" s="3">
        <f>ROUND(MIN(IF(C4404="Técnico III",35,IF(C4404="Técnico II",28,IF(C4404="Técnico I",23,IF(C4404="JR",20,IF(C4404="Estágio",10,0))))),IF(C4404="Técnico III",SUMIFS($D:$D,$A:$A,$A4404,$B:$B,"&lt;&gt;Patrícia Karla de Sousa Araújo",$B:$B,"&lt;&gt;Lorena Dias de Araujo",$B:$B,"&lt;&gt;Lucas Luiz Romero")*(35/1083),IF(C4404="Técnico II",SUMIFS($D:$D,$A:$A,$A4404,$B:$B,"&lt;&gt;Patrícia Karla de Sousa Araújo",$B:$B,"&lt;&gt;Lorena Dias de Araujo",$B:$B,"&lt;&gt;Lucas Luiz Romero")*(28/1083),IF(C4404="Técnico I",SUMIFS($D:$D,$A:$A,$A4404,$B:$B,"&lt;&gt;Patrícia Karla de Sousa Araújo",$B:$B,"&lt;&gt;Lorena Dias de Araujo",$B:$B,"&lt;&gt;Lucas Luiz Romero")*(23/1083),IF(C4404="JR",SUMIFS($D:$D,$A:$A,$A4404,$B:$B,"&lt;&gt;Patrícia Karla de Sousa Araújo",$B:$B,"&lt;&gt;Lorena Dias de Araujo",$B:$B,"&lt;&gt;Lucas Luiz Romero")*(20/1083),IF(C4404="Estágio",SUMIFS($D:$D,$A:$A,$A4404,$B:$B,"&lt;&gt;Patrícia Karla de Sousa Araújo",$B:$B,"&lt;&gt;Lorena Dias de Araujo",$B:$B,"&lt;&gt;Lucas Luiz Romero")*(10/1083),0)))))),0)</f>
        <v/>
      </c>
      <c r="K4404" s="3">
        <f>I4404-J4404</f>
        <v/>
      </c>
      <c r="L4404" s="3">
        <f>IF(K4404&lt;-5,"CRÍTICO",IF(K4404&lt;0,"ATENÇÃO",IF(K4404&lt;=5,"BOM","EXCELENTE")))</f>
        <v/>
      </c>
      <c r="M4404" t="n">
        <v>32</v>
      </c>
      <c r="N4404" t="n">
        <v>97.56</v>
      </c>
      <c r="O4404" t="n">
        <v>19.28783382789317</v>
      </c>
    </row>
    <row r="4405" hidden="1">
      <c r="A4405" s="5" t="n">
        <v>46150</v>
      </c>
      <c r="B4405" s="6" t="inlineStr">
        <is>
          <t>Sara Maria Monteiro Lopes</t>
        </is>
      </c>
      <c r="C4405" s="3" t="inlineStr">
        <is>
          <t>Técnico I</t>
        </is>
      </c>
      <c r="D4405" s="3" t="n">
        <v>0</v>
      </c>
      <c r="E4405" s="3" t="n">
        <v>0</v>
      </c>
      <c r="F4405" s="3" t="n">
        <v>0</v>
      </c>
      <c r="G4405" s="3" t="n">
        <v>0</v>
      </c>
      <c r="H4405" s="3" t="n">
        <v>0</v>
      </c>
      <c r="I4405" s="3" t="n">
        <v>0</v>
      </c>
      <c r="J4405" s="3" t="n">
        <v>0</v>
      </c>
      <c r="K4405" s="3" t="n">
        <v>0</v>
      </c>
      <c r="L4405" s="3">
        <f>IF(K4405&lt;-5,"CRÍTICO",IF(K4405&lt;0,"ATENÇÃO",IF(K4405&lt;=5,"BOM","EXCELENTE")))</f>
        <v/>
      </c>
      <c r="M4405" s="9" t="n">
        <v>0</v>
      </c>
      <c r="N4405" s="9" t="n">
        <v>100</v>
      </c>
      <c r="O4405" s="9" t="n">
        <v>16.97247706422019</v>
      </c>
    </row>
    <row r="4406" hidden="1">
      <c r="A4406" s="5" t="n">
        <v>46153</v>
      </c>
      <c r="B4406" s="6" t="inlineStr">
        <is>
          <t>Ana Karollyne Souza Faria</t>
        </is>
      </c>
      <c r="C4406" s="3" t="inlineStr">
        <is>
          <t>Técnico I</t>
        </is>
      </c>
      <c r="D4406" s="3" t="n">
        <v>40</v>
      </c>
      <c r="E4406" s="3" t="n">
        <v>38</v>
      </c>
      <c r="F4406" t="n">
        <v>13.44</v>
      </c>
      <c r="G4406" s="3" t="n">
        <v>8</v>
      </c>
      <c r="H4406" s="3" t="n">
        <v>0</v>
      </c>
      <c r="I4406" s="3">
        <f>E4406+G4406+H4406</f>
        <v/>
      </c>
      <c r="J4406" s="3">
        <f>ROUND(MIN(IF(C4406="Técnico III",35,IF(C4406="Técnico II",28,IF(C4406="Técnico I",23,IF(C4406="JR",20,IF(C4406="Estágio",10,0))))),IF(C4406="Técnico III",SUMIFS($D:$D,$A:$A,$A4406,$B:$B,"&lt;&gt;Patrícia Karla de Sousa Araújo",$B:$B,"&lt;&gt;Lorena Dias de Araujo",$B:$B,"&lt;&gt;Lucas Luiz Romero")*(35/1083),IF(C4406="Técnico II",SUMIFS($D:$D,$A:$A,$A4406,$B:$B,"&lt;&gt;Patrícia Karla de Sousa Araújo",$B:$B,"&lt;&gt;Lorena Dias de Araujo",$B:$B,"&lt;&gt;Lucas Luiz Romero")*(28/1083),IF(C4406="Técnico I",SUMIFS($D:$D,$A:$A,$A4406,$B:$B,"&lt;&gt;Patrícia Karla de Sousa Araújo",$B:$B,"&lt;&gt;Lorena Dias de Araujo",$B:$B,"&lt;&gt;Lucas Luiz Romero")*(23/1083),IF(C4406="JR",SUMIFS($D:$D,$A:$A,$A4406,$B:$B,"&lt;&gt;Patrícia Karla de Sousa Araújo",$B:$B,"&lt;&gt;Lorena Dias de Araujo",$B:$B,"&lt;&gt;Lucas Luiz Romero")*(20/1083),IF(C4406="Estágio",SUMIFS($D:$D,$A:$A,$A4406,$B:$B,"&lt;&gt;Patrícia Karla de Sousa Araújo",$B:$B,"&lt;&gt;Lorena Dias de Araujo",$B:$B,"&lt;&gt;Lucas Luiz Romero")*(10/1083),0)))))),0)</f>
        <v/>
      </c>
      <c r="K4406" s="3">
        <f>I4406-J4406</f>
        <v/>
      </c>
      <c r="L4406" s="3">
        <f>IF(K4406&lt;-5,"CRÍTICO",IF(K4406&lt;0,"ATENÇÃO",IF(K4406&lt;=5,"BOM","EXCELENTE")))</f>
        <v/>
      </c>
      <c r="M4406" s="3" t="n">
        <v>38</v>
      </c>
      <c r="N4406" s="3" t="n">
        <v>95.38</v>
      </c>
      <c r="O4406" s="3" t="n">
        <v>21.5962441314554</v>
      </c>
    </row>
    <row r="4407" hidden="1">
      <c r="A4407" s="5" t="n">
        <v>46153</v>
      </c>
      <c r="B4407" s="6" t="inlineStr">
        <is>
          <t>Clessiane Pereira dos Santos</t>
        </is>
      </c>
      <c r="C4407" s="3" t="inlineStr">
        <is>
          <t>Técnico I</t>
        </is>
      </c>
      <c r="D4407" s="3" t="n">
        <v>24</v>
      </c>
      <c r="E4407" s="3" t="n">
        <v>23</v>
      </c>
      <c r="F4407" t="n">
        <v>18.57</v>
      </c>
      <c r="G4407" s="3" t="n">
        <v>2</v>
      </c>
      <c r="H4407" s="3" t="n">
        <v>0</v>
      </c>
      <c r="I4407" s="3">
        <f>E4407+G4407+H4407</f>
        <v/>
      </c>
      <c r="J4407" s="3">
        <f>ROUND(MIN(IF(C4407="Técnico III",35,IF(C4407="Técnico II",28,IF(C4407="Técnico I",23,IF(C4407="JR",20,IF(C4407="Estágio",10,0))))),IF(C4407="Técnico III",SUMIFS($D:$D,$A:$A,$A4407,$B:$B,"&lt;&gt;Patrícia Karla de Sousa Araújo",$B:$B,"&lt;&gt;Lorena Dias de Araujo",$B:$B,"&lt;&gt;Lucas Luiz Romero")*(35/1083),IF(C4407="Técnico II",SUMIFS($D:$D,$A:$A,$A4407,$B:$B,"&lt;&gt;Patrícia Karla de Sousa Araújo",$B:$B,"&lt;&gt;Lorena Dias de Araujo",$B:$B,"&lt;&gt;Lucas Luiz Romero")*(28/1083),IF(C4407="Técnico I",SUMIFS($D:$D,$A:$A,$A4407,$B:$B,"&lt;&gt;Patrícia Karla de Sousa Araújo",$B:$B,"&lt;&gt;Lorena Dias de Araujo",$B:$B,"&lt;&gt;Lucas Luiz Romero")*(23/1083),IF(C4407="JR",SUMIFS($D:$D,$A:$A,$A4407,$B:$B,"&lt;&gt;Patrícia Karla de Sousa Araújo",$B:$B,"&lt;&gt;Lorena Dias de Araujo",$B:$B,"&lt;&gt;Lucas Luiz Romero")*(20/1083),IF(C4407="Estágio",SUMIFS($D:$D,$A:$A,$A4407,$B:$B,"&lt;&gt;Patrícia Karla de Sousa Araújo",$B:$B,"&lt;&gt;Lorena Dias de Araujo",$B:$B,"&lt;&gt;Lucas Luiz Romero")*(10/1083),0)))))),0)</f>
        <v/>
      </c>
      <c r="K4407" s="3">
        <f>I4407-J4407</f>
        <v/>
      </c>
      <c r="L4407" s="3">
        <f>IF(K4407&lt;-5,"CRÍTICO",IF(K4407&lt;0,"ATENÇÃO",IF(K4407&lt;=5,"BOM","EXCELENTE")))</f>
        <v/>
      </c>
      <c r="M4407" t="n">
        <v>21</v>
      </c>
      <c r="N4407" t="n">
        <v>96.88</v>
      </c>
      <c r="O4407" t="n">
        <v>19.52662721893491</v>
      </c>
    </row>
    <row r="4408" hidden="1">
      <c r="A4408" s="5" t="n">
        <v>46153</v>
      </c>
      <c r="B4408" s="6" t="inlineStr">
        <is>
          <t>Daniel Gomes da Silva</t>
        </is>
      </c>
      <c r="C4408" s="3" t="inlineStr">
        <is>
          <t>Técnico I</t>
        </is>
      </c>
      <c r="D4408" s="3" t="n">
        <v>24</v>
      </c>
      <c r="E4408" s="3" t="n">
        <v>20</v>
      </c>
      <c r="F4408" t="n">
        <v>13.37</v>
      </c>
      <c r="G4408" s="3" t="n">
        <v>2</v>
      </c>
      <c r="H4408" s="3" t="n">
        <v>0</v>
      </c>
      <c r="I4408" s="3">
        <f>E4408+G4408+H4408</f>
        <v/>
      </c>
      <c r="J4408" s="3">
        <f>ROUND(MIN(IF(C4408="Técnico III",35,IF(C4408="Técnico II",28,IF(C4408="Técnico I",23,IF(C4408="JR",20,IF(C4408="Estágio",10,0))))),IF(C4408="Técnico III",SUMIFS($D:$D,$A:$A,$A4408,$B:$B,"&lt;&gt;Patrícia Karla de Sousa Araújo",$B:$B,"&lt;&gt;Lorena Dias de Araujo",$B:$B,"&lt;&gt;Lucas Luiz Romero")*(35/1083),IF(C4408="Técnico II",SUMIFS($D:$D,$A:$A,$A4408,$B:$B,"&lt;&gt;Patrícia Karla de Sousa Araújo",$B:$B,"&lt;&gt;Lorena Dias de Araujo",$B:$B,"&lt;&gt;Lucas Luiz Romero")*(28/1083),IF(C4408="Técnico I",SUMIFS($D:$D,$A:$A,$A4408,$B:$B,"&lt;&gt;Patrícia Karla de Sousa Araújo",$B:$B,"&lt;&gt;Lorena Dias de Araujo",$B:$B,"&lt;&gt;Lucas Luiz Romero")*(23/1083),IF(C4408="JR",SUMIFS($D:$D,$A:$A,$A4408,$B:$B,"&lt;&gt;Patrícia Karla de Sousa Araújo",$B:$B,"&lt;&gt;Lorena Dias de Araujo",$B:$B,"&lt;&gt;Lucas Luiz Romero")*(20/1083),IF(C4408="Estágio",SUMIFS($D:$D,$A:$A,$A4408,$B:$B,"&lt;&gt;Patrícia Karla de Sousa Araújo",$B:$B,"&lt;&gt;Lorena Dias de Araujo",$B:$B,"&lt;&gt;Lucas Luiz Romero")*(10/1083),0)))))),0)</f>
        <v/>
      </c>
      <c r="K4408" s="3">
        <f>I4408-J4408</f>
        <v/>
      </c>
      <c r="L4408" s="3">
        <f>IF(K4408&lt;-5,"CRÍTICO",IF(K4408&lt;0,"ATENÇÃO",IF(K4408&lt;=5,"BOM","EXCELENTE")))</f>
        <v/>
      </c>
      <c r="M4408" t="n">
        <v>19</v>
      </c>
      <c r="N4408" t="n">
        <v>100</v>
      </c>
      <c r="O4408" t="n">
        <v>18.14516129032258</v>
      </c>
    </row>
    <row r="4409" hidden="1">
      <c r="A4409" s="5" t="n">
        <v>46153</v>
      </c>
      <c r="B4409" s="6" t="inlineStr">
        <is>
          <t>Luiz Fernando de Carvalho Junior</t>
        </is>
      </c>
      <c r="C4409" s="3" t="inlineStr">
        <is>
          <t>Técnico I</t>
        </is>
      </c>
      <c r="D4409" s="3" t="n">
        <v>24</v>
      </c>
      <c r="E4409" s="3" t="n">
        <v>23</v>
      </c>
      <c r="F4409" t="n">
        <v>17.22</v>
      </c>
      <c r="G4409" s="3" t="n">
        <v>1</v>
      </c>
      <c r="H4409" s="3" t="n">
        <v>0</v>
      </c>
      <c r="I4409" s="3">
        <f>E4409+G4409+H4409</f>
        <v/>
      </c>
      <c r="J4409" s="3">
        <f>ROUND(MIN(IF(C4409="Técnico III",35,IF(C4409="Técnico II",28,IF(C4409="Técnico I",23,IF(C4409="JR",20,IF(C4409="Estágio",10,0))))),IF(C4409="Técnico III",SUMIFS($D:$D,$A:$A,$A4409,$B:$B,"&lt;&gt;Patrícia Karla de Sousa Araújo",$B:$B,"&lt;&gt;Lorena Dias de Araujo",$B:$B,"&lt;&gt;Lucas Luiz Romero")*(35/1083),IF(C4409="Técnico II",SUMIFS($D:$D,$A:$A,$A4409,$B:$B,"&lt;&gt;Patrícia Karla de Sousa Araújo",$B:$B,"&lt;&gt;Lorena Dias de Araujo",$B:$B,"&lt;&gt;Lucas Luiz Romero")*(28/1083),IF(C4409="Técnico I",SUMIFS($D:$D,$A:$A,$A4409,$B:$B,"&lt;&gt;Patrícia Karla de Sousa Araújo",$B:$B,"&lt;&gt;Lorena Dias de Araujo",$B:$B,"&lt;&gt;Lucas Luiz Romero")*(23/1083),IF(C4409="JR",SUMIFS($D:$D,$A:$A,$A4409,$B:$B,"&lt;&gt;Patrícia Karla de Sousa Araújo",$B:$B,"&lt;&gt;Lorena Dias de Araujo",$B:$B,"&lt;&gt;Lucas Luiz Romero")*(20/1083),IF(C4409="Estágio",SUMIFS($D:$D,$A:$A,$A4409,$B:$B,"&lt;&gt;Patrícia Karla de Sousa Araújo",$B:$B,"&lt;&gt;Lorena Dias de Araujo",$B:$B,"&lt;&gt;Lucas Luiz Romero")*(10/1083),0)))))),0)</f>
        <v/>
      </c>
      <c r="K4409" s="3">
        <f>I4409-J4409</f>
        <v/>
      </c>
      <c r="L4409" s="3">
        <f>IF(K4409&lt;-5,"CRÍTICO",IF(K4409&lt;0,"ATENÇÃO",IF(K4409&lt;=5,"BOM","EXCELENTE")))</f>
        <v/>
      </c>
      <c r="M4409" t="n">
        <v>25</v>
      </c>
      <c r="N4409" t="n">
        <v>93.26000000000001</v>
      </c>
      <c r="O4409" t="n">
        <v>19.93957703927493</v>
      </c>
    </row>
    <row r="4410" hidden="1">
      <c r="A4410" s="5" t="n">
        <v>46153</v>
      </c>
      <c r="B4410" s="6" t="inlineStr">
        <is>
          <t>Raane Batista Matos</t>
        </is>
      </c>
      <c r="C4410" s="3" t="inlineStr">
        <is>
          <t>Técnico I</t>
        </is>
      </c>
      <c r="D4410" s="3" t="n">
        <v>29</v>
      </c>
      <c r="E4410" s="3" t="n">
        <v>25</v>
      </c>
      <c r="F4410" t="n">
        <v>22.14</v>
      </c>
      <c r="G4410" s="3" t="n">
        <v>6</v>
      </c>
      <c r="H4410" s="3" t="n">
        <v>0</v>
      </c>
      <c r="I4410" s="3">
        <f>E4410+G4410+H4410</f>
        <v/>
      </c>
      <c r="J4410" s="3">
        <f>ROUND(MIN(IF(C4410="Técnico III",35,IF(C4410="Técnico II",28,IF(C4410="Técnico I",23,IF(C4410="JR",20,IF(C4410="Estágio",10,0))))),IF(C4410="Técnico III",SUMIFS($D:$D,$A:$A,$A4410,$B:$B,"&lt;&gt;Patrícia Karla de Sousa Araújo",$B:$B,"&lt;&gt;Lorena Dias de Araujo",$B:$B,"&lt;&gt;Lucas Luiz Romero")*(35/1083),IF(C4410="Técnico II",SUMIFS($D:$D,$A:$A,$A4410,$B:$B,"&lt;&gt;Patrícia Karla de Sousa Araújo",$B:$B,"&lt;&gt;Lorena Dias de Araujo",$B:$B,"&lt;&gt;Lucas Luiz Romero")*(28/1083),IF(C4410="Técnico I",SUMIFS($D:$D,$A:$A,$A4410,$B:$B,"&lt;&gt;Patrícia Karla de Sousa Araújo",$B:$B,"&lt;&gt;Lorena Dias de Araujo",$B:$B,"&lt;&gt;Lucas Luiz Romero")*(23/1083),IF(C4410="JR",SUMIFS($D:$D,$A:$A,$A4410,$B:$B,"&lt;&gt;Patrícia Karla de Sousa Araújo",$B:$B,"&lt;&gt;Lorena Dias de Araujo",$B:$B,"&lt;&gt;Lucas Luiz Romero")*(20/1083),IF(C4410="Estágio",SUMIFS($D:$D,$A:$A,$A4410,$B:$B,"&lt;&gt;Patrícia Karla de Sousa Araújo",$B:$B,"&lt;&gt;Lorena Dias de Araujo",$B:$B,"&lt;&gt;Lucas Luiz Romero")*(10/1083),0)))))),0)</f>
        <v/>
      </c>
      <c r="K4410" s="3">
        <f>I4410-J4410</f>
        <v/>
      </c>
      <c r="L4410" s="3">
        <f>IF(K4410&lt;-5,"CRÍTICO",IF(K4410&lt;0,"ATENÇÃO",IF(K4410&lt;=5,"BOM","EXCELENTE")))</f>
        <v/>
      </c>
      <c r="M4410" t="n">
        <v>24</v>
      </c>
      <c r="N4410" t="n">
        <v>97.56</v>
      </c>
      <c r="O4410" t="n">
        <v>19.28783382789317</v>
      </c>
    </row>
    <row r="4411" hidden="1">
      <c r="A4411" s="5" t="n">
        <v>46153</v>
      </c>
      <c r="B4411" s="6" t="inlineStr">
        <is>
          <t>Sara Maria Monteiro Lopes</t>
        </is>
      </c>
      <c r="C4411" s="3" t="inlineStr">
        <is>
          <t>Técnico I</t>
        </is>
      </c>
      <c r="D4411" s="3" t="n">
        <v>16</v>
      </c>
      <c r="E4411" s="3" t="n">
        <v>16</v>
      </c>
      <c r="F4411" t="n">
        <v>33.21</v>
      </c>
      <c r="G4411" s="3" t="n">
        <v>1</v>
      </c>
      <c r="H4411" s="3" t="n">
        <v>0</v>
      </c>
      <c r="I4411" s="3">
        <f>E4411+G4411+H4411</f>
        <v/>
      </c>
      <c r="J4411" s="3">
        <f>ROUND(MIN(IF(C4411="Técnico III",35,IF(C4411="Técnico II",28,IF(C4411="Técnico I",23,IF(C4411="JR",20,IF(C4411="Estágio",10,0))))),IF(C4411="Técnico III",SUMIFS($D:$D,$A:$A,$A4411,$B:$B,"&lt;&gt;Patrícia Karla de Sousa Araújo",$B:$B,"&lt;&gt;Lorena Dias de Araujo",$B:$B,"&lt;&gt;Lucas Luiz Romero")*(35/1083),IF(C4411="Técnico II",SUMIFS($D:$D,$A:$A,$A4411,$B:$B,"&lt;&gt;Patrícia Karla de Sousa Araújo",$B:$B,"&lt;&gt;Lorena Dias de Araujo",$B:$B,"&lt;&gt;Lucas Luiz Romero")*(28/1083),IF(C4411="Técnico I",SUMIFS($D:$D,$A:$A,$A4411,$B:$B,"&lt;&gt;Patrícia Karla de Sousa Araújo",$B:$B,"&lt;&gt;Lorena Dias de Araujo",$B:$B,"&lt;&gt;Lucas Luiz Romero")*(23/1083),IF(C4411="JR",SUMIFS($D:$D,$A:$A,$A4411,$B:$B,"&lt;&gt;Patrícia Karla de Sousa Araújo",$B:$B,"&lt;&gt;Lorena Dias de Araujo",$B:$B,"&lt;&gt;Lucas Luiz Romero")*(20/1083),IF(C4411="Estágio",SUMIFS($D:$D,$A:$A,$A4411,$B:$B,"&lt;&gt;Patrícia Karla de Sousa Araújo",$B:$B,"&lt;&gt;Lorena Dias de Araujo",$B:$B,"&lt;&gt;Lucas Luiz Romero")*(10/1083),0)))))),0)</f>
        <v/>
      </c>
      <c r="K4411" s="3">
        <f>I4411-J4411</f>
        <v/>
      </c>
      <c r="L4411" s="3">
        <f>IF(K4411&lt;-5,"CRÍTICO",IF(K4411&lt;0,"ATENÇÃO",IF(K4411&lt;=5,"BOM","EXCELENTE")))</f>
        <v/>
      </c>
      <c r="M4411" t="n">
        <v>15</v>
      </c>
      <c r="N4411" t="n">
        <v>100</v>
      </c>
      <c r="O4411" t="n">
        <v>16.97247706422019</v>
      </c>
    </row>
    <row r="4412" hidden="1">
      <c r="A4412" s="5" t="n">
        <v>46154</v>
      </c>
      <c r="B4412" s="6" t="inlineStr">
        <is>
          <t>Ana Karollyne Souza Faria</t>
        </is>
      </c>
      <c r="C4412" s="3" t="inlineStr">
        <is>
          <t>Técnico I</t>
        </is>
      </c>
      <c r="D4412" s="3" t="n">
        <v>31</v>
      </c>
      <c r="E4412" s="3" t="n">
        <v>29</v>
      </c>
      <c r="F4412" t="n">
        <v>17.38</v>
      </c>
      <c r="G4412" s="3" t="n">
        <v>2</v>
      </c>
      <c r="H4412" s="3" t="n">
        <v>0</v>
      </c>
      <c r="I4412" s="3">
        <f>E4412+G4412+H4412</f>
        <v/>
      </c>
      <c r="J4412" s="3">
        <f>ROUND(MIN(IF(C4412="Técnico III",35,IF(C4412="Técnico II",28,IF(C4412="Técnico I",23,IF(C4412="JR",20,IF(C4412="Estágio",10,0))))),IF(C4412="Técnico III",SUMIFS($D:$D,$A:$A,$A4412,$B:$B,"&lt;&gt;Patrícia Karla de Sousa Araújo",$B:$B,"&lt;&gt;Lorena Dias de Araujo",$B:$B,"&lt;&gt;Lucas Luiz Romero")*(35/1083),IF(C4412="Técnico II",SUMIFS($D:$D,$A:$A,$A4412,$B:$B,"&lt;&gt;Patrícia Karla de Sousa Araújo",$B:$B,"&lt;&gt;Lorena Dias de Araujo",$B:$B,"&lt;&gt;Lucas Luiz Romero")*(28/1083),IF(C4412="Técnico I",SUMIFS($D:$D,$A:$A,$A4412,$B:$B,"&lt;&gt;Patrícia Karla de Sousa Araújo",$B:$B,"&lt;&gt;Lorena Dias de Araujo",$B:$B,"&lt;&gt;Lucas Luiz Romero")*(23/1083),IF(C4412="JR",SUMIFS($D:$D,$A:$A,$A4412,$B:$B,"&lt;&gt;Patrícia Karla de Sousa Araújo",$B:$B,"&lt;&gt;Lorena Dias de Araujo",$B:$B,"&lt;&gt;Lucas Luiz Romero")*(20/1083),IF(C4412="Estágio",SUMIFS($D:$D,$A:$A,$A4412,$B:$B,"&lt;&gt;Patrícia Karla de Sousa Araújo",$B:$B,"&lt;&gt;Lorena Dias de Araujo",$B:$B,"&lt;&gt;Lucas Luiz Romero")*(10/1083),0)))))),0)</f>
        <v/>
      </c>
      <c r="K4412" s="3">
        <f>I4412-J4412</f>
        <v/>
      </c>
      <c r="L4412" s="3">
        <f>IF(K4412&lt;-5,"CRÍTICO",IF(K4412&lt;0,"ATENÇÃO",IF(K4412&lt;=5,"BOM","EXCELENTE")))</f>
        <v/>
      </c>
      <c r="M4412" s="3" t="n">
        <v>27</v>
      </c>
      <c r="N4412" s="3" t="n">
        <v>95.38</v>
      </c>
      <c r="O4412" s="3" t="n">
        <v>21.5962441314554</v>
      </c>
    </row>
    <row r="4413" hidden="1">
      <c r="A4413" s="5" t="n">
        <v>46154</v>
      </c>
      <c r="B4413" s="6" t="inlineStr">
        <is>
          <t>Clessiane Pereira dos Santos</t>
        </is>
      </c>
      <c r="C4413" s="3" t="inlineStr">
        <is>
          <t>Técnico I</t>
        </is>
      </c>
      <c r="D4413" s="3" t="n">
        <v>24</v>
      </c>
      <c r="E4413" s="3" t="n">
        <v>23</v>
      </c>
      <c r="F4413" t="n">
        <v>13.58</v>
      </c>
      <c r="G4413" s="3" t="n">
        <v>5</v>
      </c>
      <c r="H4413" s="3" t="n">
        <v>0</v>
      </c>
      <c r="I4413" s="3">
        <f>E4413+G4413+H4413</f>
        <v/>
      </c>
      <c r="J4413" s="3">
        <f>ROUND(MIN(IF(C4413="Técnico III",35,IF(C4413="Técnico II",28,IF(C4413="Técnico I",23,IF(C4413="JR",20,IF(C4413="Estágio",10,0))))),IF(C4413="Técnico III",SUMIFS($D:$D,$A:$A,$A4413,$B:$B,"&lt;&gt;Patrícia Karla de Sousa Araújo",$B:$B,"&lt;&gt;Lorena Dias de Araujo",$B:$B,"&lt;&gt;Lucas Luiz Romero")*(35/1083),IF(C4413="Técnico II",SUMIFS($D:$D,$A:$A,$A4413,$B:$B,"&lt;&gt;Patrícia Karla de Sousa Araújo",$B:$B,"&lt;&gt;Lorena Dias de Araujo",$B:$B,"&lt;&gt;Lucas Luiz Romero")*(28/1083),IF(C4413="Técnico I",SUMIFS($D:$D,$A:$A,$A4413,$B:$B,"&lt;&gt;Patrícia Karla de Sousa Araújo",$B:$B,"&lt;&gt;Lorena Dias de Araujo",$B:$B,"&lt;&gt;Lucas Luiz Romero")*(23/1083),IF(C4413="JR",SUMIFS($D:$D,$A:$A,$A4413,$B:$B,"&lt;&gt;Patrícia Karla de Sousa Araújo",$B:$B,"&lt;&gt;Lorena Dias de Araujo",$B:$B,"&lt;&gt;Lucas Luiz Romero")*(20/1083),IF(C4413="Estágio",SUMIFS($D:$D,$A:$A,$A4413,$B:$B,"&lt;&gt;Patrícia Karla de Sousa Araújo",$B:$B,"&lt;&gt;Lorena Dias de Araujo",$B:$B,"&lt;&gt;Lucas Luiz Romero")*(10/1083),0)))))),0)</f>
        <v/>
      </c>
      <c r="K4413" s="3">
        <f>I4413-J4413</f>
        <v/>
      </c>
      <c r="L4413" s="3">
        <f>IF(K4413&lt;-5,"CRÍTICO",IF(K4413&lt;0,"ATENÇÃO",IF(K4413&lt;=5,"BOM","EXCELENTE")))</f>
        <v/>
      </c>
      <c r="M4413" t="n">
        <v>25</v>
      </c>
      <c r="N4413" t="n">
        <v>96.88</v>
      </c>
      <c r="O4413" t="n">
        <v>19.52662721893491</v>
      </c>
    </row>
    <row r="4414" hidden="1">
      <c r="A4414" s="5" t="n">
        <v>46154</v>
      </c>
      <c r="B4414" s="6" t="inlineStr">
        <is>
          <t>Daniel Gomes da Silva</t>
        </is>
      </c>
      <c r="C4414" s="3" t="inlineStr">
        <is>
          <t>Técnico I</t>
        </is>
      </c>
      <c r="D4414" s="3" t="n">
        <v>28</v>
      </c>
      <c r="E4414" s="3" t="n">
        <v>26</v>
      </c>
      <c r="F4414" t="n">
        <v>11.47</v>
      </c>
      <c r="G4414" s="3" t="n">
        <v>0</v>
      </c>
      <c r="H4414" s="3" t="n">
        <v>0</v>
      </c>
      <c r="I4414" s="3">
        <f>E4414+G4414+H4414</f>
        <v/>
      </c>
      <c r="J4414" s="3">
        <f>ROUND(MIN(IF(C4414="Técnico III",35,IF(C4414="Técnico II",28,IF(C4414="Técnico I",23,IF(C4414="JR",20,IF(C4414="Estágio",10,0))))),IF(C4414="Técnico III",SUMIFS($D:$D,$A:$A,$A4414,$B:$B,"&lt;&gt;Patrícia Karla de Sousa Araújo",$B:$B,"&lt;&gt;Lorena Dias de Araujo",$B:$B,"&lt;&gt;Lucas Luiz Romero")*(35/1083),IF(C4414="Técnico II",SUMIFS($D:$D,$A:$A,$A4414,$B:$B,"&lt;&gt;Patrícia Karla de Sousa Araújo",$B:$B,"&lt;&gt;Lorena Dias de Araujo",$B:$B,"&lt;&gt;Lucas Luiz Romero")*(28/1083),IF(C4414="Técnico I",SUMIFS($D:$D,$A:$A,$A4414,$B:$B,"&lt;&gt;Patrícia Karla de Sousa Araújo",$B:$B,"&lt;&gt;Lorena Dias de Araujo",$B:$B,"&lt;&gt;Lucas Luiz Romero")*(23/1083),IF(C4414="JR",SUMIFS($D:$D,$A:$A,$A4414,$B:$B,"&lt;&gt;Patrícia Karla de Sousa Araújo",$B:$B,"&lt;&gt;Lorena Dias de Araujo",$B:$B,"&lt;&gt;Lucas Luiz Romero")*(20/1083),IF(C4414="Estágio",SUMIFS($D:$D,$A:$A,$A4414,$B:$B,"&lt;&gt;Patrícia Karla de Sousa Araújo",$B:$B,"&lt;&gt;Lorena Dias de Araujo",$B:$B,"&lt;&gt;Lucas Luiz Romero")*(10/1083),0)))))),0)</f>
        <v/>
      </c>
      <c r="K4414" s="3">
        <f>I4414-J4414</f>
        <v/>
      </c>
      <c r="L4414" s="3">
        <f>IF(K4414&lt;-5,"CRÍTICO",IF(K4414&lt;0,"ATENÇÃO",IF(K4414&lt;=5,"BOM","EXCELENTE")))</f>
        <v/>
      </c>
      <c r="M4414" t="n">
        <v>17</v>
      </c>
      <c r="N4414" t="n">
        <v>100</v>
      </c>
      <c r="O4414" t="n">
        <v>18.14516129032258</v>
      </c>
    </row>
    <row r="4415" hidden="1">
      <c r="A4415" s="5" t="n">
        <v>46154</v>
      </c>
      <c r="B4415" s="6" t="inlineStr">
        <is>
          <t>Luiz Fernando de Carvalho Junior</t>
        </is>
      </c>
      <c r="C4415" s="3" t="inlineStr">
        <is>
          <t>Técnico I</t>
        </is>
      </c>
      <c r="D4415" s="3" t="n">
        <v>24</v>
      </c>
      <c r="E4415" s="3" t="n">
        <v>20</v>
      </c>
      <c r="F4415" t="n">
        <v>19.15</v>
      </c>
      <c r="G4415" s="3" t="n">
        <v>4</v>
      </c>
      <c r="H4415" s="3" t="n">
        <v>0</v>
      </c>
      <c r="I4415" s="3">
        <f>E4415+G4415+H4415</f>
        <v/>
      </c>
      <c r="J4415" s="3">
        <f>ROUND(MIN(IF(C4415="Técnico III",35,IF(C4415="Técnico II",28,IF(C4415="Técnico I",23,IF(C4415="JR",20,IF(C4415="Estágio",10,0))))),IF(C4415="Técnico III",SUMIFS($D:$D,$A:$A,$A4415,$B:$B,"&lt;&gt;Patrícia Karla de Sousa Araújo",$B:$B,"&lt;&gt;Lorena Dias de Araujo",$B:$B,"&lt;&gt;Lucas Luiz Romero")*(35/1083),IF(C4415="Técnico II",SUMIFS($D:$D,$A:$A,$A4415,$B:$B,"&lt;&gt;Patrícia Karla de Sousa Araújo",$B:$B,"&lt;&gt;Lorena Dias de Araujo",$B:$B,"&lt;&gt;Lucas Luiz Romero")*(28/1083),IF(C4415="Técnico I",SUMIFS($D:$D,$A:$A,$A4415,$B:$B,"&lt;&gt;Patrícia Karla de Sousa Araújo",$B:$B,"&lt;&gt;Lorena Dias de Araujo",$B:$B,"&lt;&gt;Lucas Luiz Romero")*(23/1083),IF(C4415="JR",SUMIFS($D:$D,$A:$A,$A4415,$B:$B,"&lt;&gt;Patrícia Karla de Sousa Araújo",$B:$B,"&lt;&gt;Lorena Dias de Araujo",$B:$B,"&lt;&gt;Lucas Luiz Romero")*(20/1083),IF(C4415="Estágio",SUMIFS($D:$D,$A:$A,$A4415,$B:$B,"&lt;&gt;Patrícia Karla de Sousa Araújo",$B:$B,"&lt;&gt;Lorena Dias de Araujo",$B:$B,"&lt;&gt;Lucas Luiz Romero")*(10/1083),0)))))),0)</f>
        <v/>
      </c>
      <c r="K4415" s="3">
        <f>I4415-J4415</f>
        <v/>
      </c>
      <c r="L4415" s="3">
        <f>IF(K4415&lt;-5,"CRÍTICO",IF(K4415&lt;0,"ATENÇÃO",IF(K4415&lt;=5,"BOM","EXCELENTE")))</f>
        <v/>
      </c>
      <c r="M4415" t="n">
        <v>22</v>
      </c>
      <c r="N4415" t="n">
        <v>93.26000000000001</v>
      </c>
      <c r="O4415" t="n">
        <v>19.93957703927493</v>
      </c>
    </row>
    <row r="4416" hidden="1">
      <c r="A4416" s="5" t="n">
        <v>46154</v>
      </c>
      <c r="B4416" s="6" t="inlineStr">
        <is>
          <t>Raane Batista Matos</t>
        </is>
      </c>
      <c r="C4416" s="3" t="inlineStr">
        <is>
          <t>Técnico I</t>
        </is>
      </c>
      <c r="D4416" s="3" t="n">
        <v>27</v>
      </c>
      <c r="E4416" s="3" t="n">
        <v>26</v>
      </c>
      <c r="F4416" t="n">
        <v>17.2</v>
      </c>
      <c r="G4416" s="3" t="n">
        <v>1</v>
      </c>
      <c r="H4416" s="3" t="n">
        <v>0</v>
      </c>
      <c r="I4416" s="3">
        <f>E4416+G4416+H4416</f>
        <v/>
      </c>
      <c r="J4416" s="3">
        <f>ROUND(MIN(IF(C4416="Técnico III",35,IF(C4416="Técnico II",28,IF(C4416="Técnico I",23,IF(C4416="JR",20,IF(C4416="Estágio",10,0))))),IF(C4416="Técnico III",SUMIFS($D:$D,$A:$A,$A4416,$B:$B,"&lt;&gt;Patrícia Karla de Sousa Araújo",$B:$B,"&lt;&gt;Lorena Dias de Araujo",$B:$B,"&lt;&gt;Lucas Luiz Romero")*(35/1083),IF(C4416="Técnico II",SUMIFS($D:$D,$A:$A,$A4416,$B:$B,"&lt;&gt;Patrícia Karla de Sousa Araújo",$B:$B,"&lt;&gt;Lorena Dias de Araujo",$B:$B,"&lt;&gt;Lucas Luiz Romero")*(28/1083),IF(C4416="Técnico I",SUMIFS($D:$D,$A:$A,$A4416,$B:$B,"&lt;&gt;Patrícia Karla de Sousa Araújo",$B:$B,"&lt;&gt;Lorena Dias de Araujo",$B:$B,"&lt;&gt;Lucas Luiz Romero")*(23/1083),IF(C4416="JR",SUMIFS($D:$D,$A:$A,$A4416,$B:$B,"&lt;&gt;Patrícia Karla de Sousa Araújo",$B:$B,"&lt;&gt;Lorena Dias de Araujo",$B:$B,"&lt;&gt;Lucas Luiz Romero")*(20/1083),IF(C4416="Estágio",SUMIFS($D:$D,$A:$A,$A4416,$B:$B,"&lt;&gt;Patrícia Karla de Sousa Araújo",$B:$B,"&lt;&gt;Lorena Dias de Araujo",$B:$B,"&lt;&gt;Lucas Luiz Romero")*(10/1083),0)))))),0)</f>
        <v/>
      </c>
      <c r="K4416" s="3">
        <f>I4416-J4416</f>
        <v/>
      </c>
      <c r="L4416" s="3">
        <f>IF(K4416&lt;-5,"CRÍTICO",IF(K4416&lt;0,"ATENÇÃO",IF(K4416&lt;=5,"BOM","EXCELENTE")))</f>
        <v/>
      </c>
      <c r="M4416" t="n">
        <v>20</v>
      </c>
      <c r="N4416" t="n">
        <v>97.56</v>
      </c>
      <c r="O4416" t="n">
        <v>19.28783382789317</v>
      </c>
    </row>
    <row r="4417" hidden="1">
      <c r="A4417" s="5" t="n">
        <v>46154</v>
      </c>
      <c r="B4417" s="6" t="inlineStr">
        <is>
          <t>Sara Maria Monteiro Lopes</t>
        </is>
      </c>
      <c r="C4417" s="3" t="inlineStr">
        <is>
          <t>Técnico I</t>
        </is>
      </c>
      <c r="D4417" s="3" t="n">
        <v>19</v>
      </c>
      <c r="E4417" s="3" t="n">
        <v>19</v>
      </c>
      <c r="F4417" t="n">
        <v>30.07</v>
      </c>
      <c r="G4417" s="3" t="n">
        <v>0</v>
      </c>
      <c r="H4417" s="3" t="n">
        <v>0</v>
      </c>
      <c r="I4417" s="3">
        <f>E4417+G4417+H4417</f>
        <v/>
      </c>
      <c r="J4417" s="3">
        <f>ROUND(MIN(IF(C4417="Técnico III",35,IF(C4417="Técnico II",28,IF(C4417="Técnico I",23,IF(C4417="JR",20,IF(C4417="Estágio",10,0))))),IF(C4417="Técnico III",SUMIFS($D:$D,$A:$A,$A4417,$B:$B,"&lt;&gt;Patrícia Karla de Sousa Araújo",$B:$B,"&lt;&gt;Lorena Dias de Araujo",$B:$B,"&lt;&gt;Lucas Luiz Romero")*(35/1083),IF(C4417="Técnico II",SUMIFS($D:$D,$A:$A,$A4417,$B:$B,"&lt;&gt;Patrícia Karla de Sousa Araújo",$B:$B,"&lt;&gt;Lorena Dias de Araujo",$B:$B,"&lt;&gt;Lucas Luiz Romero")*(28/1083),IF(C4417="Técnico I",SUMIFS($D:$D,$A:$A,$A4417,$B:$B,"&lt;&gt;Patrícia Karla de Sousa Araújo",$B:$B,"&lt;&gt;Lorena Dias de Araujo",$B:$B,"&lt;&gt;Lucas Luiz Romero")*(23/1083),IF(C4417="JR",SUMIFS($D:$D,$A:$A,$A4417,$B:$B,"&lt;&gt;Patrícia Karla de Sousa Araújo",$B:$B,"&lt;&gt;Lorena Dias de Araujo",$B:$B,"&lt;&gt;Lucas Luiz Romero")*(20/1083),IF(C4417="Estágio",SUMIFS($D:$D,$A:$A,$A4417,$B:$B,"&lt;&gt;Patrícia Karla de Sousa Araújo",$B:$B,"&lt;&gt;Lorena Dias de Araujo",$B:$B,"&lt;&gt;Lucas Luiz Romero")*(10/1083),0)))))),0)</f>
        <v/>
      </c>
      <c r="K4417" s="3">
        <f>I4417-J4417</f>
        <v/>
      </c>
      <c r="L4417" s="3">
        <f>IF(K4417&lt;-5,"CRÍTICO",IF(K4417&lt;0,"ATENÇÃO",IF(K4417&lt;=5,"BOM","EXCELENTE")))</f>
        <v/>
      </c>
      <c r="M4417" t="n">
        <v>19</v>
      </c>
      <c r="N4417" t="n">
        <v>100</v>
      </c>
      <c r="O4417" t="n">
        <v>16.97247706422019</v>
      </c>
    </row>
    <row r="4418" hidden="1">
      <c r="A4418" s="5" t="n">
        <v>46155</v>
      </c>
      <c r="B4418" s="6" t="inlineStr">
        <is>
          <t>Ana Karollyne Souza Faria</t>
        </is>
      </c>
      <c r="C4418" s="3" t="inlineStr">
        <is>
          <t>Técnico I</t>
        </is>
      </c>
      <c r="D4418" s="3" t="n">
        <v>25</v>
      </c>
      <c r="E4418" s="3" t="n">
        <v>21</v>
      </c>
      <c r="F4418" t="n">
        <v>22.22</v>
      </c>
      <c r="G4418" s="3" t="n">
        <v>7</v>
      </c>
      <c r="H4418" s="3" t="n">
        <v>0</v>
      </c>
      <c r="I4418" s="3">
        <f>E4418+G4418+H4418</f>
        <v/>
      </c>
      <c r="J4418" s="3">
        <f>ROUND(MIN(IF(C4418="Técnico III",35,IF(C4418="Técnico II",28,IF(C4418="Técnico I",23,IF(C4418="JR",20,IF(C4418="Estágio",10,0))))),IF(C4418="Técnico III",SUMIFS($D:$D,$A:$A,$A4418,$B:$B,"&lt;&gt;Patrícia Karla de Sousa Araújo",$B:$B,"&lt;&gt;Lorena Dias de Araujo",$B:$B,"&lt;&gt;Lucas Luiz Romero")*(35/1083),IF(C4418="Técnico II",SUMIFS($D:$D,$A:$A,$A4418,$B:$B,"&lt;&gt;Patrícia Karla de Sousa Araújo",$B:$B,"&lt;&gt;Lorena Dias de Araujo",$B:$B,"&lt;&gt;Lucas Luiz Romero")*(28/1083),IF(C4418="Técnico I",SUMIFS($D:$D,$A:$A,$A4418,$B:$B,"&lt;&gt;Patrícia Karla de Sousa Araújo",$B:$B,"&lt;&gt;Lorena Dias de Araujo",$B:$B,"&lt;&gt;Lucas Luiz Romero")*(23/1083),IF(C4418="JR",SUMIFS($D:$D,$A:$A,$A4418,$B:$B,"&lt;&gt;Patrícia Karla de Sousa Araújo",$B:$B,"&lt;&gt;Lorena Dias de Araujo",$B:$B,"&lt;&gt;Lucas Luiz Romero")*(20/1083),IF(C4418="Estágio",SUMIFS($D:$D,$A:$A,$A4418,$B:$B,"&lt;&gt;Patrícia Karla de Sousa Araújo",$B:$B,"&lt;&gt;Lorena Dias de Araujo",$B:$B,"&lt;&gt;Lucas Luiz Romero")*(10/1083),0)))))),0)</f>
        <v/>
      </c>
      <c r="K4418" s="3">
        <f>I4418-J4418</f>
        <v/>
      </c>
      <c r="L4418" s="3">
        <f>IF(K4418&lt;-5,"CRÍTICO",IF(K4418&lt;0,"ATENÇÃO",IF(K4418&lt;=5,"BOM","EXCELENTE")))</f>
        <v/>
      </c>
      <c r="M4418" s="3" t="n">
        <v>26</v>
      </c>
      <c r="N4418" s="3" t="n">
        <v>95.38</v>
      </c>
      <c r="O4418" s="3" t="n">
        <v>21.5962441314554</v>
      </c>
    </row>
    <row r="4419" hidden="1">
      <c r="A4419" s="5" t="n">
        <v>46155</v>
      </c>
      <c r="B4419" s="6" t="inlineStr">
        <is>
          <t>Clessiane Pereira dos Santos</t>
        </is>
      </c>
      <c r="C4419" s="3" t="inlineStr">
        <is>
          <t>Técnico I</t>
        </is>
      </c>
      <c r="D4419" s="3" t="n">
        <v>37</v>
      </c>
      <c r="E4419" s="3" t="n">
        <v>32</v>
      </c>
      <c r="F4419" t="n">
        <v>15.32</v>
      </c>
      <c r="G4419" s="3" t="n">
        <v>3</v>
      </c>
      <c r="H4419" s="3" t="n">
        <v>0</v>
      </c>
      <c r="I4419" s="3">
        <f>E4419+G4419+H4419</f>
        <v/>
      </c>
      <c r="J4419" s="3">
        <f>ROUND(MIN(IF(C4419="Técnico III",35,IF(C4419="Técnico II",28,IF(C4419="Técnico I",23,IF(C4419="JR",20,IF(C4419="Estágio",10,0))))),IF(C4419="Técnico III",SUMIFS($D:$D,$A:$A,$A4419,$B:$B,"&lt;&gt;Patrícia Karla de Sousa Araújo",$B:$B,"&lt;&gt;Lorena Dias de Araujo",$B:$B,"&lt;&gt;Lucas Luiz Romero")*(35/1083),IF(C4419="Técnico II",SUMIFS($D:$D,$A:$A,$A4419,$B:$B,"&lt;&gt;Patrícia Karla de Sousa Araújo",$B:$B,"&lt;&gt;Lorena Dias de Araujo",$B:$B,"&lt;&gt;Lucas Luiz Romero")*(28/1083),IF(C4419="Técnico I",SUMIFS($D:$D,$A:$A,$A4419,$B:$B,"&lt;&gt;Patrícia Karla de Sousa Araújo",$B:$B,"&lt;&gt;Lorena Dias de Araujo",$B:$B,"&lt;&gt;Lucas Luiz Romero")*(23/1083),IF(C4419="JR",SUMIFS($D:$D,$A:$A,$A4419,$B:$B,"&lt;&gt;Patrícia Karla de Sousa Araújo",$B:$B,"&lt;&gt;Lorena Dias de Araujo",$B:$B,"&lt;&gt;Lucas Luiz Romero")*(20/1083),IF(C4419="Estágio",SUMIFS($D:$D,$A:$A,$A4419,$B:$B,"&lt;&gt;Patrícia Karla de Sousa Araújo",$B:$B,"&lt;&gt;Lorena Dias de Araujo",$B:$B,"&lt;&gt;Lucas Luiz Romero")*(10/1083),0)))))),0)</f>
        <v/>
      </c>
      <c r="K4419" s="3">
        <f>I4419-J4419</f>
        <v/>
      </c>
      <c r="L4419" s="3">
        <f>IF(K4419&lt;-5,"CRÍTICO",IF(K4419&lt;0,"ATENÇÃO",IF(K4419&lt;=5,"BOM","EXCELENTE")))</f>
        <v/>
      </c>
      <c r="M4419" t="n">
        <v>26</v>
      </c>
      <c r="N4419" t="n">
        <v>96.88</v>
      </c>
      <c r="O4419" t="n">
        <v>19.52662721893491</v>
      </c>
    </row>
    <row r="4420" hidden="1">
      <c r="A4420" s="5" t="n">
        <v>46155</v>
      </c>
      <c r="B4420" s="6" t="inlineStr">
        <is>
          <t>Daniel Gomes da Silva</t>
        </is>
      </c>
      <c r="C4420" s="3" t="inlineStr">
        <is>
          <t>Técnico I</t>
        </is>
      </c>
      <c r="D4420" s="3" t="n">
        <v>17</v>
      </c>
      <c r="E4420" s="3" t="n">
        <v>16</v>
      </c>
      <c r="F4420" t="n">
        <v>21.54</v>
      </c>
      <c r="G4420" s="3" t="n">
        <v>5</v>
      </c>
      <c r="H4420" s="3" t="n">
        <v>0</v>
      </c>
      <c r="I4420" s="3">
        <f>E4420+G4420+H4420</f>
        <v/>
      </c>
      <c r="J4420" s="3">
        <f>ROUND(MIN(IF(C4420="Técnico III",35,IF(C4420="Técnico II",28,IF(C4420="Técnico I",23,IF(C4420="JR",20,IF(C4420="Estágio",10,0))))),IF(C4420="Técnico III",SUMIFS($D:$D,$A:$A,$A4420,$B:$B,"&lt;&gt;Patrícia Karla de Sousa Araújo",$B:$B,"&lt;&gt;Lorena Dias de Araujo",$B:$B,"&lt;&gt;Lucas Luiz Romero")*(35/1083),IF(C4420="Técnico II",SUMIFS($D:$D,$A:$A,$A4420,$B:$B,"&lt;&gt;Patrícia Karla de Sousa Araújo",$B:$B,"&lt;&gt;Lorena Dias de Araujo",$B:$B,"&lt;&gt;Lucas Luiz Romero")*(28/1083),IF(C4420="Técnico I",SUMIFS($D:$D,$A:$A,$A4420,$B:$B,"&lt;&gt;Patrícia Karla de Sousa Araújo",$B:$B,"&lt;&gt;Lorena Dias de Araujo",$B:$B,"&lt;&gt;Lucas Luiz Romero")*(23/1083),IF(C4420="JR",SUMIFS($D:$D,$A:$A,$A4420,$B:$B,"&lt;&gt;Patrícia Karla de Sousa Araújo",$B:$B,"&lt;&gt;Lorena Dias de Araujo",$B:$B,"&lt;&gt;Lucas Luiz Romero")*(20/1083),IF(C4420="Estágio",SUMIFS($D:$D,$A:$A,$A4420,$B:$B,"&lt;&gt;Patrícia Karla de Sousa Araújo",$B:$B,"&lt;&gt;Lorena Dias de Araujo",$B:$B,"&lt;&gt;Lucas Luiz Romero")*(10/1083),0)))))),0)</f>
        <v/>
      </c>
      <c r="K4420" s="3">
        <f>I4420-J4420</f>
        <v/>
      </c>
      <c r="L4420" s="3">
        <f>IF(K4420&lt;-5,"CRÍTICO",IF(K4420&lt;0,"ATENÇÃO",IF(K4420&lt;=5,"BOM","EXCELENTE")))</f>
        <v/>
      </c>
      <c r="M4420" t="n">
        <v>19</v>
      </c>
      <c r="N4420" t="n">
        <v>100</v>
      </c>
      <c r="O4420" t="n">
        <v>18.14516129032258</v>
      </c>
    </row>
    <row r="4421" hidden="1">
      <c r="A4421" s="5" t="n">
        <v>46155</v>
      </c>
      <c r="B4421" s="6" t="inlineStr">
        <is>
          <t>Luiz Fernando de Carvalho Junior</t>
        </is>
      </c>
      <c r="C4421" s="3" t="inlineStr">
        <is>
          <t>Técnico I</t>
        </is>
      </c>
      <c r="D4421" s="3" t="n">
        <v>24</v>
      </c>
      <c r="E4421" s="3" t="n">
        <v>22</v>
      </c>
      <c r="F4421" t="n">
        <v>20.17</v>
      </c>
      <c r="G4421" s="3" t="n">
        <v>1</v>
      </c>
      <c r="H4421" s="3" t="n">
        <v>0</v>
      </c>
      <c r="I4421" s="3">
        <f>E4421+G4421+H4421</f>
        <v/>
      </c>
      <c r="J4421" s="3">
        <f>ROUND(MIN(IF(C4421="Técnico III",35,IF(C4421="Técnico II",28,IF(C4421="Técnico I",23,IF(C4421="JR",20,IF(C4421="Estágio",10,0))))),IF(C4421="Técnico III",SUMIFS($D:$D,$A:$A,$A4421,$B:$B,"&lt;&gt;Patrícia Karla de Sousa Araújo",$B:$B,"&lt;&gt;Lorena Dias de Araujo",$B:$B,"&lt;&gt;Lucas Luiz Romero")*(35/1083),IF(C4421="Técnico II",SUMIFS($D:$D,$A:$A,$A4421,$B:$B,"&lt;&gt;Patrícia Karla de Sousa Araújo",$B:$B,"&lt;&gt;Lorena Dias de Araujo",$B:$B,"&lt;&gt;Lucas Luiz Romero")*(28/1083),IF(C4421="Técnico I",SUMIFS($D:$D,$A:$A,$A4421,$B:$B,"&lt;&gt;Patrícia Karla de Sousa Araújo",$B:$B,"&lt;&gt;Lorena Dias de Araujo",$B:$B,"&lt;&gt;Lucas Luiz Romero")*(23/1083),IF(C4421="JR",SUMIFS($D:$D,$A:$A,$A4421,$B:$B,"&lt;&gt;Patrícia Karla de Sousa Araújo",$B:$B,"&lt;&gt;Lorena Dias de Araujo",$B:$B,"&lt;&gt;Lucas Luiz Romero")*(20/1083),IF(C4421="Estágio",SUMIFS($D:$D,$A:$A,$A4421,$B:$B,"&lt;&gt;Patrícia Karla de Sousa Araújo",$B:$B,"&lt;&gt;Lorena Dias de Araujo",$B:$B,"&lt;&gt;Lucas Luiz Romero")*(10/1083),0)))))),0)</f>
        <v/>
      </c>
      <c r="K4421" s="3">
        <f>I4421-J4421</f>
        <v/>
      </c>
      <c r="L4421" s="3">
        <f>IF(K4421&lt;-5,"CRÍTICO",IF(K4421&lt;0,"ATENÇÃO",IF(K4421&lt;=5,"BOM","EXCELENTE")))</f>
        <v/>
      </c>
      <c r="M4421" t="n">
        <v>22</v>
      </c>
      <c r="N4421" t="n">
        <v>93.26000000000001</v>
      </c>
      <c r="O4421" t="n">
        <v>19.93957703927493</v>
      </c>
    </row>
    <row r="4422" hidden="1">
      <c r="A4422" s="5" t="n">
        <v>46155</v>
      </c>
      <c r="B4422" s="6" t="inlineStr">
        <is>
          <t>Raane Batista Matos</t>
        </is>
      </c>
      <c r="C4422" s="3" t="inlineStr">
        <is>
          <t>Técnico I</t>
        </is>
      </c>
      <c r="D4422" s="3" t="n">
        <v>33</v>
      </c>
      <c r="E4422" s="3" t="n">
        <v>31</v>
      </c>
      <c r="F4422" t="n">
        <v>13.48</v>
      </c>
      <c r="G4422" s="3" t="n">
        <v>7</v>
      </c>
      <c r="H4422" s="3" t="n">
        <v>0</v>
      </c>
      <c r="I4422" s="3">
        <f>E4422+G4422+H4422</f>
        <v/>
      </c>
      <c r="J4422" s="3">
        <f>ROUND(MIN(IF(C4422="Técnico III",35,IF(C4422="Técnico II",28,IF(C4422="Técnico I",23,IF(C4422="JR",20,IF(C4422="Estágio",10,0))))),IF(C4422="Técnico III",SUMIFS($D:$D,$A:$A,$A4422,$B:$B,"&lt;&gt;Patrícia Karla de Sousa Araújo",$B:$B,"&lt;&gt;Lorena Dias de Araujo",$B:$B,"&lt;&gt;Lucas Luiz Romero")*(35/1083),IF(C4422="Técnico II",SUMIFS($D:$D,$A:$A,$A4422,$B:$B,"&lt;&gt;Patrícia Karla de Sousa Araújo",$B:$B,"&lt;&gt;Lorena Dias de Araujo",$B:$B,"&lt;&gt;Lucas Luiz Romero")*(28/1083),IF(C4422="Técnico I",SUMIFS($D:$D,$A:$A,$A4422,$B:$B,"&lt;&gt;Patrícia Karla de Sousa Araújo",$B:$B,"&lt;&gt;Lorena Dias de Araujo",$B:$B,"&lt;&gt;Lucas Luiz Romero")*(23/1083),IF(C4422="JR",SUMIFS($D:$D,$A:$A,$A4422,$B:$B,"&lt;&gt;Patrícia Karla de Sousa Araújo",$B:$B,"&lt;&gt;Lorena Dias de Araujo",$B:$B,"&lt;&gt;Lucas Luiz Romero")*(20/1083),IF(C4422="Estágio",SUMIFS($D:$D,$A:$A,$A4422,$B:$B,"&lt;&gt;Patrícia Karla de Sousa Araújo",$B:$B,"&lt;&gt;Lorena Dias de Araujo",$B:$B,"&lt;&gt;Lucas Luiz Romero")*(10/1083),0)))))),0)</f>
        <v/>
      </c>
      <c r="K4422" s="3">
        <f>I4422-J4422</f>
        <v/>
      </c>
      <c r="L4422" s="3">
        <f>IF(K4422&lt;-5,"CRÍTICO",IF(K4422&lt;0,"ATENÇÃO",IF(K4422&lt;=5,"BOM","EXCELENTE")))</f>
        <v/>
      </c>
      <c r="M4422" t="n">
        <v>31</v>
      </c>
      <c r="N4422" t="n">
        <v>97.56</v>
      </c>
      <c r="O4422" t="n">
        <v>19.28783382789317</v>
      </c>
    </row>
    <row r="4423" hidden="1">
      <c r="A4423" s="5" t="n">
        <v>46155</v>
      </c>
      <c r="B4423" s="6" t="inlineStr">
        <is>
          <t>Sara Maria Monteiro Lopes</t>
        </is>
      </c>
      <c r="C4423" s="3" t="inlineStr">
        <is>
          <t>Técnico I</t>
        </is>
      </c>
      <c r="D4423" s="3" t="n">
        <v>11</v>
      </c>
      <c r="E4423" s="3" t="n">
        <v>10</v>
      </c>
      <c r="F4423" t="n">
        <v>33.26</v>
      </c>
      <c r="G4423" s="3" t="n">
        <v>5</v>
      </c>
      <c r="H4423" s="3" t="n">
        <v>0</v>
      </c>
      <c r="I4423" s="3">
        <f>E4423+G4423+H4423</f>
        <v/>
      </c>
      <c r="J4423" s="3">
        <f>ROUND(MIN(IF(C4423="Técnico III",35,IF(C4423="Técnico II",28,IF(C4423="Técnico I",23,IF(C4423="JR",20,IF(C4423="Estágio",10,0))))),IF(C4423="Técnico III",SUMIFS($D:$D,$A:$A,$A4423,$B:$B,"&lt;&gt;Patrícia Karla de Sousa Araújo",$B:$B,"&lt;&gt;Lorena Dias de Araujo",$B:$B,"&lt;&gt;Lucas Luiz Romero")*(35/1083),IF(C4423="Técnico II",SUMIFS($D:$D,$A:$A,$A4423,$B:$B,"&lt;&gt;Patrícia Karla de Sousa Araújo",$B:$B,"&lt;&gt;Lorena Dias de Araujo",$B:$B,"&lt;&gt;Lucas Luiz Romero")*(28/1083),IF(C4423="Técnico I",SUMIFS($D:$D,$A:$A,$A4423,$B:$B,"&lt;&gt;Patrícia Karla de Sousa Araújo",$B:$B,"&lt;&gt;Lorena Dias de Araujo",$B:$B,"&lt;&gt;Lucas Luiz Romero")*(23/1083),IF(C4423="JR",SUMIFS($D:$D,$A:$A,$A4423,$B:$B,"&lt;&gt;Patrícia Karla de Sousa Araújo",$B:$B,"&lt;&gt;Lorena Dias de Araujo",$B:$B,"&lt;&gt;Lucas Luiz Romero")*(20/1083),IF(C4423="Estágio",SUMIFS($D:$D,$A:$A,$A4423,$B:$B,"&lt;&gt;Patrícia Karla de Sousa Araújo",$B:$B,"&lt;&gt;Lorena Dias de Araujo",$B:$B,"&lt;&gt;Lucas Luiz Romero")*(10/1083),0)))))),0)</f>
        <v/>
      </c>
      <c r="K4423" s="3">
        <f>I4423-J4423</f>
        <v/>
      </c>
      <c r="L4423" s="3">
        <f>IF(K4423&lt;-5,"CRÍTICO",IF(K4423&lt;0,"ATENÇÃO",IF(K4423&lt;=5,"BOM","EXCELENTE")))</f>
        <v/>
      </c>
      <c r="M4423" t="n">
        <v>16</v>
      </c>
      <c r="N4423" t="n">
        <v>100</v>
      </c>
      <c r="O4423" t="n">
        <v>16.97247706422019</v>
      </c>
    </row>
    <row r="4424" hidden="1">
      <c r="A4424" s="5" t="n">
        <v>46156</v>
      </c>
      <c r="B4424" s="6" t="inlineStr">
        <is>
          <t>Ana Karollyne Souza Faria</t>
        </is>
      </c>
      <c r="C4424" s="3" t="inlineStr">
        <is>
          <t>Técnico I</t>
        </is>
      </c>
      <c r="D4424" s="3" t="n">
        <v>27</v>
      </c>
      <c r="E4424" s="3" t="n">
        <v>25</v>
      </c>
      <c r="F4424" t="n">
        <v>18.51</v>
      </c>
      <c r="G4424" s="3" t="n">
        <v>1</v>
      </c>
      <c r="H4424" s="3" t="n">
        <v>0</v>
      </c>
      <c r="I4424" s="3">
        <f>E4424+G4424+H4424</f>
        <v/>
      </c>
      <c r="J4424" s="3">
        <f>ROUND(MIN(IF(C4424="Técnico III",35,IF(C4424="Técnico II",28,IF(C4424="Técnico I",23,IF(C4424="JR",20,IF(C4424="Estágio",10,0))))),IF(C4424="Técnico III",SUMIFS($D:$D,$A:$A,$A4424,$B:$B,"&lt;&gt;Patrícia Karla de Sousa Araújo",$B:$B,"&lt;&gt;Lorena Dias de Araujo",$B:$B,"&lt;&gt;Lucas Luiz Romero")*(35/1083),IF(C4424="Técnico II",SUMIFS($D:$D,$A:$A,$A4424,$B:$B,"&lt;&gt;Patrícia Karla de Sousa Araújo",$B:$B,"&lt;&gt;Lorena Dias de Araujo",$B:$B,"&lt;&gt;Lucas Luiz Romero")*(28/1083),IF(C4424="Técnico I",SUMIFS($D:$D,$A:$A,$A4424,$B:$B,"&lt;&gt;Patrícia Karla de Sousa Araújo",$B:$B,"&lt;&gt;Lorena Dias de Araujo",$B:$B,"&lt;&gt;Lucas Luiz Romero")*(23/1083),IF(C4424="JR",SUMIFS($D:$D,$A:$A,$A4424,$B:$B,"&lt;&gt;Patrícia Karla de Sousa Araújo",$B:$B,"&lt;&gt;Lorena Dias de Araujo",$B:$B,"&lt;&gt;Lucas Luiz Romero")*(20/1083),IF(C4424="Estágio",SUMIFS($D:$D,$A:$A,$A4424,$B:$B,"&lt;&gt;Patrícia Karla de Sousa Araújo",$B:$B,"&lt;&gt;Lorena Dias de Araujo",$B:$B,"&lt;&gt;Lucas Luiz Romero")*(10/1083),0)))))),0)</f>
        <v/>
      </c>
      <c r="K4424" s="3">
        <f>I4424-J4424</f>
        <v/>
      </c>
      <c r="L4424" s="3">
        <f>IF(K4424&lt;-5,"CRÍTICO",IF(K4424&lt;0,"ATENÇÃO",IF(K4424&lt;=5,"BOM","EXCELENTE")))</f>
        <v/>
      </c>
      <c r="M4424" s="3" t="n">
        <v>23</v>
      </c>
      <c r="N4424" s="3" t="n">
        <v>95.38</v>
      </c>
      <c r="O4424" s="3" t="n">
        <v>21.5962441314554</v>
      </c>
    </row>
    <row r="4425" hidden="1">
      <c r="A4425" s="5" t="n">
        <v>46156</v>
      </c>
      <c r="B4425" s="6" t="inlineStr">
        <is>
          <t>Clessiane Pereira dos Santos</t>
        </is>
      </c>
      <c r="C4425" s="3" t="inlineStr">
        <is>
          <t>Técnico I</t>
        </is>
      </c>
      <c r="D4425" s="3" t="n">
        <v>33</v>
      </c>
      <c r="E4425" s="3" t="n">
        <v>29</v>
      </c>
      <c r="F4425" t="n">
        <v>11.54</v>
      </c>
      <c r="G4425" s="3" t="n">
        <v>7</v>
      </c>
      <c r="H4425" s="3" t="n">
        <v>0</v>
      </c>
      <c r="I4425" s="3">
        <f>E4425+G4425+H4425</f>
        <v/>
      </c>
      <c r="J4425" s="3">
        <f>ROUND(MIN(IF(C4425="Técnico III",35,IF(C4425="Técnico II",28,IF(C4425="Técnico I",23,IF(C4425="JR",20,IF(C4425="Estágio",10,0))))),IF(C4425="Técnico III",SUMIFS($D:$D,$A:$A,$A4425,$B:$B,"&lt;&gt;Patrícia Karla de Sousa Araújo",$B:$B,"&lt;&gt;Lorena Dias de Araujo",$B:$B,"&lt;&gt;Lucas Luiz Romero")*(35/1083),IF(C4425="Técnico II",SUMIFS($D:$D,$A:$A,$A4425,$B:$B,"&lt;&gt;Patrícia Karla de Sousa Araújo",$B:$B,"&lt;&gt;Lorena Dias de Araujo",$B:$B,"&lt;&gt;Lucas Luiz Romero")*(28/1083),IF(C4425="Técnico I",SUMIFS($D:$D,$A:$A,$A4425,$B:$B,"&lt;&gt;Patrícia Karla de Sousa Araújo",$B:$B,"&lt;&gt;Lorena Dias de Araujo",$B:$B,"&lt;&gt;Lucas Luiz Romero")*(23/1083),IF(C4425="JR",SUMIFS($D:$D,$A:$A,$A4425,$B:$B,"&lt;&gt;Patrícia Karla de Sousa Araújo",$B:$B,"&lt;&gt;Lorena Dias de Araujo",$B:$B,"&lt;&gt;Lucas Luiz Romero")*(20/1083),IF(C4425="Estágio",SUMIFS($D:$D,$A:$A,$A4425,$B:$B,"&lt;&gt;Patrícia Karla de Sousa Araújo",$B:$B,"&lt;&gt;Lorena Dias de Araujo",$B:$B,"&lt;&gt;Lucas Luiz Romero")*(10/1083),0)))))),0)</f>
        <v/>
      </c>
      <c r="K4425" s="3">
        <f>I4425-J4425</f>
        <v/>
      </c>
      <c r="L4425" s="3">
        <f>IF(K4425&lt;-5,"CRÍTICO",IF(K4425&lt;0,"ATENÇÃO",IF(K4425&lt;=5,"BOM","EXCELENTE")))</f>
        <v/>
      </c>
      <c r="M4425" t="n">
        <v>30</v>
      </c>
      <c r="N4425" t="n">
        <v>96.88</v>
      </c>
      <c r="O4425" t="n">
        <v>19.52662721893491</v>
      </c>
    </row>
    <row r="4426" hidden="1">
      <c r="A4426" s="5" t="n">
        <v>46156</v>
      </c>
      <c r="B4426" s="6" t="inlineStr">
        <is>
          <t>Daniel Gomes da Silva</t>
        </is>
      </c>
      <c r="C4426" s="3" t="inlineStr">
        <is>
          <t>Técnico I</t>
        </is>
      </c>
      <c r="D4426" s="3" t="n">
        <v>30</v>
      </c>
      <c r="E4426" s="3" t="n">
        <v>28</v>
      </c>
      <c r="F4426" t="n">
        <v>18.25</v>
      </c>
      <c r="G4426" s="3" t="n">
        <v>1</v>
      </c>
      <c r="H4426" s="3" t="n">
        <v>0</v>
      </c>
      <c r="I4426" s="3">
        <f>E4426+G4426+H4426</f>
        <v/>
      </c>
      <c r="J4426" s="3">
        <f>ROUND(MIN(IF(C4426="Técnico III",35,IF(C4426="Técnico II",28,IF(C4426="Técnico I",23,IF(C4426="JR",20,IF(C4426="Estágio",10,0))))),IF(C4426="Técnico III",SUMIFS($D:$D,$A:$A,$A4426,$B:$B,"&lt;&gt;Patrícia Karla de Sousa Araújo",$B:$B,"&lt;&gt;Lorena Dias de Araujo",$B:$B,"&lt;&gt;Lucas Luiz Romero")*(35/1083),IF(C4426="Técnico II",SUMIFS($D:$D,$A:$A,$A4426,$B:$B,"&lt;&gt;Patrícia Karla de Sousa Araújo",$B:$B,"&lt;&gt;Lorena Dias de Araujo",$B:$B,"&lt;&gt;Lucas Luiz Romero")*(28/1083),IF(C4426="Técnico I",SUMIFS($D:$D,$A:$A,$A4426,$B:$B,"&lt;&gt;Patrícia Karla de Sousa Araújo",$B:$B,"&lt;&gt;Lorena Dias de Araujo",$B:$B,"&lt;&gt;Lucas Luiz Romero")*(23/1083),IF(C4426="JR",SUMIFS($D:$D,$A:$A,$A4426,$B:$B,"&lt;&gt;Patrícia Karla de Sousa Araújo",$B:$B,"&lt;&gt;Lorena Dias de Araujo",$B:$B,"&lt;&gt;Lucas Luiz Romero")*(20/1083),IF(C4426="Estágio",SUMIFS($D:$D,$A:$A,$A4426,$B:$B,"&lt;&gt;Patrícia Karla de Sousa Araújo",$B:$B,"&lt;&gt;Lorena Dias de Araujo",$B:$B,"&lt;&gt;Lucas Luiz Romero")*(10/1083),0)))))),0)</f>
        <v/>
      </c>
      <c r="K4426" s="3">
        <f>I4426-J4426</f>
        <v/>
      </c>
      <c r="L4426" s="3">
        <f>IF(K4426&lt;-5,"CRÍTICO",IF(K4426&lt;0,"ATENÇÃO",IF(K4426&lt;=5,"BOM","EXCELENTE")))</f>
        <v/>
      </c>
      <c r="M4426" t="n">
        <v>20</v>
      </c>
      <c r="N4426" t="n">
        <v>100</v>
      </c>
      <c r="O4426" t="n">
        <v>18.14516129032258</v>
      </c>
    </row>
    <row r="4427" hidden="1">
      <c r="A4427" s="5" t="n">
        <v>46156</v>
      </c>
      <c r="B4427" s="6" t="inlineStr">
        <is>
          <t>Luiz Fernando de Carvalho Junior</t>
        </is>
      </c>
      <c r="C4427" s="3" t="inlineStr">
        <is>
          <t>Técnico I</t>
        </is>
      </c>
      <c r="D4427" s="3" t="n">
        <v>11</v>
      </c>
      <c r="E4427" s="3" t="n">
        <v>11</v>
      </c>
      <c r="F4427" t="n">
        <v>33.21</v>
      </c>
      <c r="G4427" s="3" t="n">
        <v>4</v>
      </c>
      <c r="H4427" s="3" t="n">
        <v>0</v>
      </c>
      <c r="I4427" s="3">
        <f>E4427+G4427+H4427</f>
        <v/>
      </c>
      <c r="J4427" s="3">
        <f>ROUND(MIN(IF(C4427="Técnico III",35,IF(C4427="Técnico II",28,IF(C4427="Técnico I",23,IF(C4427="JR",20,IF(C4427="Estágio",10,0))))),IF(C4427="Técnico III",SUMIFS($D:$D,$A:$A,$A4427,$B:$B,"&lt;&gt;Patrícia Karla de Sousa Araújo",$B:$B,"&lt;&gt;Lorena Dias de Araujo",$B:$B,"&lt;&gt;Lucas Luiz Romero")*(35/1083),IF(C4427="Técnico II",SUMIFS($D:$D,$A:$A,$A4427,$B:$B,"&lt;&gt;Patrícia Karla de Sousa Araújo",$B:$B,"&lt;&gt;Lorena Dias de Araujo",$B:$B,"&lt;&gt;Lucas Luiz Romero")*(28/1083),IF(C4427="Técnico I",SUMIFS($D:$D,$A:$A,$A4427,$B:$B,"&lt;&gt;Patrícia Karla de Sousa Araújo",$B:$B,"&lt;&gt;Lorena Dias de Araujo",$B:$B,"&lt;&gt;Lucas Luiz Romero")*(23/1083),IF(C4427="JR",SUMIFS($D:$D,$A:$A,$A4427,$B:$B,"&lt;&gt;Patrícia Karla de Sousa Araújo",$B:$B,"&lt;&gt;Lorena Dias de Araujo",$B:$B,"&lt;&gt;Lucas Luiz Romero")*(20/1083),IF(C4427="Estágio",SUMIFS($D:$D,$A:$A,$A4427,$B:$B,"&lt;&gt;Patrícia Karla de Sousa Araújo",$B:$B,"&lt;&gt;Lorena Dias de Araujo",$B:$B,"&lt;&gt;Lucas Luiz Romero")*(10/1083),0)))))),0)</f>
        <v/>
      </c>
      <c r="K4427" s="3">
        <f>I4427-J4427</f>
        <v/>
      </c>
      <c r="L4427" s="3">
        <f>IF(K4427&lt;-5,"CRÍTICO",IF(K4427&lt;0,"ATENÇÃO",IF(K4427&lt;=5,"BOM","EXCELENTE")))</f>
        <v/>
      </c>
      <c r="M4427" t="n">
        <v>16</v>
      </c>
      <c r="N4427" t="n">
        <v>93.26000000000001</v>
      </c>
      <c r="O4427" t="n">
        <v>19.93957703927493</v>
      </c>
    </row>
    <row r="4428" hidden="1">
      <c r="A4428" s="5" t="n">
        <v>46156</v>
      </c>
      <c r="B4428" s="6" t="inlineStr">
        <is>
          <t>Raane Batista Matos</t>
        </is>
      </c>
      <c r="C4428" s="3" t="inlineStr">
        <is>
          <t>Técnico I</t>
        </is>
      </c>
      <c r="D4428" s="3" t="n">
        <v>26</v>
      </c>
      <c r="E4428" s="3" t="n">
        <v>25</v>
      </c>
      <c r="F4428" t="n">
        <v>15.24</v>
      </c>
      <c r="G4428" s="3" t="n">
        <v>1</v>
      </c>
      <c r="H4428" s="3" t="n">
        <v>0</v>
      </c>
      <c r="I4428" s="3">
        <f>E4428+G4428+H4428</f>
        <v/>
      </c>
      <c r="J4428" s="3">
        <f>ROUND(MIN(IF(C4428="Técnico III",35,IF(C4428="Técnico II",28,IF(C4428="Técnico I",23,IF(C4428="JR",20,IF(C4428="Estágio",10,0))))),IF(C4428="Técnico III",SUMIFS($D:$D,$A:$A,$A4428,$B:$B,"&lt;&gt;Patrícia Karla de Sousa Araújo",$B:$B,"&lt;&gt;Lorena Dias de Araujo",$B:$B,"&lt;&gt;Lucas Luiz Romero")*(35/1083),IF(C4428="Técnico II",SUMIFS($D:$D,$A:$A,$A4428,$B:$B,"&lt;&gt;Patrícia Karla de Sousa Araújo",$B:$B,"&lt;&gt;Lorena Dias de Araujo",$B:$B,"&lt;&gt;Lucas Luiz Romero")*(28/1083),IF(C4428="Técnico I",SUMIFS($D:$D,$A:$A,$A4428,$B:$B,"&lt;&gt;Patrícia Karla de Sousa Araújo",$B:$B,"&lt;&gt;Lorena Dias de Araujo",$B:$B,"&lt;&gt;Lucas Luiz Romero")*(23/1083),IF(C4428="JR",SUMIFS($D:$D,$A:$A,$A4428,$B:$B,"&lt;&gt;Patrícia Karla de Sousa Araújo",$B:$B,"&lt;&gt;Lorena Dias de Araujo",$B:$B,"&lt;&gt;Lucas Luiz Romero")*(20/1083),IF(C4428="Estágio",SUMIFS($D:$D,$A:$A,$A4428,$B:$B,"&lt;&gt;Patrícia Karla de Sousa Araújo",$B:$B,"&lt;&gt;Lorena Dias de Araujo",$B:$B,"&lt;&gt;Lucas Luiz Romero")*(10/1083),0)))))),0)</f>
        <v/>
      </c>
      <c r="K4428" s="3">
        <f>I4428-J4428</f>
        <v/>
      </c>
      <c r="L4428" s="3">
        <f>IF(K4428&lt;-5,"CRÍTICO",IF(K4428&lt;0,"ATENÇÃO",IF(K4428&lt;=5,"BOM","EXCELENTE")))</f>
        <v/>
      </c>
      <c r="M4428" t="n">
        <v>24</v>
      </c>
      <c r="N4428" t="n">
        <v>97.56</v>
      </c>
      <c r="O4428" t="n">
        <v>19.28783382789317</v>
      </c>
    </row>
    <row r="4429" hidden="1">
      <c r="A4429" s="5" t="n">
        <v>46156</v>
      </c>
      <c r="B4429" s="6" t="inlineStr">
        <is>
          <t>Sara Maria Monteiro Lopes</t>
        </is>
      </c>
      <c r="C4429" s="3" t="inlineStr">
        <is>
          <t>Técnico I</t>
        </is>
      </c>
      <c r="D4429" s="3" t="n">
        <v>20</v>
      </c>
      <c r="E4429" s="3" t="n">
        <v>19</v>
      </c>
      <c r="F4429" t="n">
        <v>20.29</v>
      </c>
      <c r="G4429" s="3" t="n">
        <v>0</v>
      </c>
      <c r="H4429" s="3" t="n">
        <v>0</v>
      </c>
      <c r="I4429" s="3">
        <f>E4429+G4429+H4429</f>
        <v/>
      </c>
      <c r="J4429" s="3">
        <f>ROUND(MIN(IF(C4429="Técnico III",35,IF(C4429="Técnico II",28,IF(C4429="Técnico I",23,IF(C4429="JR",20,IF(C4429="Estágio",10,0))))),IF(C4429="Técnico III",SUMIFS($D:$D,$A:$A,$A4429,$B:$B,"&lt;&gt;Patrícia Karla de Sousa Araújo",$B:$B,"&lt;&gt;Lorena Dias de Araujo",$B:$B,"&lt;&gt;Lucas Luiz Romero")*(35/1083),IF(C4429="Técnico II",SUMIFS($D:$D,$A:$A,$A4429,$B:$B,"&lt;&gt;Patrícia Karla de Sousa Araújo",$B:$B,"&lt;&gt;Lorena Dias de Araujo",$B:$B,"&lt;&gt;Lucas Luiz Romero")*(28/1083),IF(C4429="Técnico I",SUMIFS($D:$D,$A:$A,$A4429,$B:$B,"&lt;&gt;Patrícia Karla de Sousa Araújo",$B:$B,"&lt;&gt;Lorena Dias de Araujo",$B:$B,"&lt;&gt;Lucas Luiz Romero")*(23/1083),IF(C4429="JR",SUMIFS($D:$D,$A:$A,$A4429,$B:$B,"&lt;&gt;Patrícia Karla de Sousa Araújo",$B:$B,"&lt;&gt;Lorena Dias de Araujo",$B:$B,"&lt;&gt;Lucas Luiz Romero")*(20/1083),IF(C4429="Estágio",SUMIFS($D:$D,$A:$A,$A4429,$B:$B,"&lt;&gt;Patrícia Karla de Sousa Araújo",$B:$B,"&lt;&gt;Lorena Dias de Araujo",$B:$B,"&lt;&gt;Lucas Luiz Romero")*(10/1083),0)))))),0)</f>
        <v/>
      </c>
      <c r="K4429" s="3">
        <f>I4429-J4429</f>
        <v/>
      </c>
      <c r="L4429" s="3">
        <f>IF(K4429&lt;-5,"CRÍTICO",IF(K4429&lt;0,"ATENÇÃO",IF(K4429&lt;=5,"BOM","EXCELENTE")))</f>
        <v/>
      </c>
      <c r="M4429" t="n">
        <v>17</v>
      </c>
      <c r="N4429" t="n">
        <v>100</v>
      </c>
      <c r="O4429" t="n">
        <v>16.97247706422019</v>
      </c>
    </row>
    <row r="4430" hidden="1">
      <c r="A4430" s="5" t="n">
        <v>46157</v>
      </c>
      <c r="B4430" s="6" t="inlineStr">
        <is>
          <t>Ana Karollyne Souza Faria</t>
        </is>
      </c>
      <c r="C4430" s="3" t="inlineStr">
        <is>
          <t>Técnico I</t>
        </is>
      </c>
      <c r="D4430" s="3" t="n">
        <v>40</v>
      </c>
      <c r="E4430" s="3" t="n">
        <v>38</v>
      </c>
      <c r="F4430" t="n">
        <v>15.24</v>
      </c>
      <c r="G4430" s="3" t="n">
        <v>5</v>
      </c>
      <c r="H4430" s="3" t="n">
        <v>0</v>
      </c>
      <c r="I4430" s="3">
        <f>E4430+G4430+H4430</f>
        <v/>
      </c>
      <c r="J4430" s="3">
        <f>ROUND(MIN(IF(C4430="Técnico III",35,IF(C4430="Técnico II",28,IF(C4430="Técnico I",23,IF(C4430="JR",20,IF(C4430="Estágio",10,0))))),IF(C4430="Técnico III",SUMIFS($D:$D,$A:$A,$A4430,$B:$B,"&lt;&gt;Patrícia Karla de Sousa Araújo",$B:$B,"&lt;&gt;Lorena Dias de Araujo",$B:$B,"&lt;&gt;Lucas Luiz Romero")*(35/1083),IF(C4430="Técnico II",SUMIFS($D:$D,$A:$A,$A4430,$B:$B,"&lt;&gt;Patrícia Karla de Sousa Araújo",$B:$B,"&lt;&gt;Lorena Dias de Araujo",$B:$B,"&lt;&gt;Lucas Luiz Romero")*(28/1083),IF(C4430="Técnico I",SUMIFS($D:$D,$A:$A,$A4430,$B:$B,"&lt;&gt;Patrícia Karla de Sousa Araújo",$B:$B,"&lt;&gt;Lorena Dias de Araujo",$B:$B,"&lt;&gt;Lucas Luiz Romero")*(23/1083),IF(C4430="JR",SUMIFS($D:$D,$A:$A,$A4430,$B:$B,"&lt;&gt;Patrícia Karla de Sousa Araújo",$B:$B,"&lt;&gt;Lorena Dias de Araujo",$B:$B,"&lt;&gt;Lucas Luiz Romero")*(20/1083),IF(C4430="Estágio",SUMIFS($D:$D,$A:$A,$A4430,$B:$B,"&lt;&gt;Patrícia Karla de Sousa Araújo",$B:$B,"&lt;&gt;Lorena Dias de Araujo",$B:$B,"&lt;&gt;Lucas Luiz Romero")*(10/1083),0)))))),0)</f>
        <v/>
      </c>
      <c r="K4430" s="3">
        <f>I4430-J4430</f>
        <v/>
      </c>
      <c r="L4430" s="3">
        <f>IF(K4430&lt;-5,"CRÍTICO",IF(K4430&lt;0,"ATENÇÃO",IF(K4430&lt;=5,"BOM","EXCELENTE")))</f>
        <v/>
      </c>
      <c r="M4430" s="3" t="n">
        <v>36</v>
      </c>
      <c r="N4430" s="3" t="n">
        <v>95.38</v>
      </c>
      <c r="O4430" s="3" t="n">
        <v>21.5962441314554</v>
      </c>
    </row>
    <row r="4431" hidden="1">
      <c r="A4431" s="5" t="n">
        <v>46157</v>
      </c>
      <c r="B4431" s="6" t="inlineStr">
        <is>
          <t>Clessiane Pereira dos Santos</t>
        </is>
      </c>
      <c r="C4431" s="3" t="inlineStr">
        <is>
          <t>Técnico I</t>
        </is>
      </c>
      <c r="D4431" s="3" t="n">
        <v>24</v>
      </c>
      <c r="E4431" s="3" t="n">
        <v>20</v>
      </c>
      <c r="F4431" t="n">
        <v>19.19</v>
      </c>
      <c r="G4431" s="3" t="n">
        <v>3</v>
      </c>
      <c r="H4431" s="3" t="n">
        <v>0</v>
      </c>
      <c r="I4431" s="3">
        <f>E4431+G4431+H4431</f>
        <v/>
      </c>
      <c r="J4431" s="3">
        <f>ROUND(MIN(IF(C4431="Técnico III",35,IF(C4431="Técnico II",28,IF(C4431="Técnico I",23,IF(C4431="JR",20,IF(C4431="Estágio",10,0))))),IF(C4431="Técnico III",SUMIFS($D:$D,$A:$A,$A4431,$B:$B,"&lt;&gt;Patrícia Karla de Sousa Araújo",$B:$B,"&lt;&gt;Lorena Dias de Araujo",$B:$B,"&lt;&gt;Lucas Luiz Romero")*(35/1083),IF(C4431="Técnico II",SUMIFS($D:$D,$A:$A,$A4431,$B:$B,"&lt;&gt;Patrícia Karla de Sousa Araújo",$B:$B,"&lt;&gt;Lorena Dias de Araujo",$B:$B,"&lt;&gt;Lucas Luiz Romero")*(28/1083),IF(C4431="Técnico I",SUMIFS($D:$D,$A:$A,$A4431,$B:$B,"&lt;&gt;Patrícia Karla de Sousa Araújo",$B:$B,"&lt;&gt;Lorena Dias de Araujo",$B:$B,"&lt;&gt;Lucas Luiz Romero")*(23/1083),IF(C4431="JR",SUMIFS($D:$D,$A:$A,$A4431,$B:$B,"&lt;&gt;Patrícia Karla de Sousa Araújo",$B:$B,"&lt;&gt;Lorena Dias de Araujo",$B:$B,"&lt;&gt;Lucas Luiz Romero")*(20/1083),IF(C4431="Estágio",SUMIFS($D:$D,$A:$A,$A4431,$B:$B,"&lt;&gt;Patrícia Karla de Sousa Araújo",$B:$B,"&lt;&gt;Lorena Dias de Araujo",$B:$B,"&lt;&gt;Lucas Luiz Romero")*(10/1083),0)))))),0)</f>
        <v/>
      </c>
      <c r="K4431" s="3">
        <f>I4431-J4431</f>
        <v/>
      </c>
      <c r="L4431" s="3">
        <f>IF(K4431&lt;-5,"CRÍTICO",IF(K4431&lt;0,"ATENÇÃO",IF(K4431&lt;=5,"BOM","EXCELENTE")))</f>
        <v/>
      </c>
      <c r="M4431" t="n">
        <v>20</v>
      </c>
      <c r="N4431" t="n">
        <v>96.88</v>
      </c>
      <c r="O4431" t="n">
        <v>19.52662721893491</v>
      </c>
    </row>
    <row r="4432" hidden="1">
      <c r="A4432" s="5" t="n">
        <v>46157</v>
      </c>
      <c r="B4432" s="6" t="inlineStr">
        <is>
          <t>Daniel Gomes da Silva</t>
        </is>
      </c>
      <c r="C4432" s="3" t="inlineStr">
        <is>
          <t>Técnico I</t>
        </is>
      </c>
      <c r="D4432" s="3" t="n">
        <v>18</v>
      </c>
      <c r="E4432" s="3" t="n">
        <v>18</v>
      </c>
      <c r="F4432" t="n">
        <v>25.25</v>
      </c>
      <c r="G4432" s="3" t="n">
        <v>3</v>
      </c>
      <c r="H4432" s="3" t="n">
        <v>0</v>
      </c>
      <c r="I4432" s="3">
        <f>E4432+G4432+H4432</f>
        <v/>
      </c>
      <c r="J4432" s="3">
        <f>ROUND(MIN(IF(C4432="Técnico III",35,IF(C4432="Técnico II",28,IF(C4432="Técnico I",23,IF(C4432="JR",20,IF(C4432="Estágio",10,0))))),IF(C4432="Técnico III",SUMIFS($D:$D,$A:$A,$A4432,$B:$B,"&lt;&gt;Patrícia Karla de Sousa Araújo",$B:$B,"&lt;&gt;Lorena Dias de Araujo",$B:$B,"&lt;&gt;Lucas Luiz Romero")*(35/1083),IF(C4432="Técnico II",SUMIFS($D:$D,$A:$A,$A4432,$B:$B,"&lt;&gt;Patrícia Karla de Sousa Araújo",$B:$B,"&lt;&gt;Lorena Dias de Araujo",$B:$B,"&lt;&gt;Lucas Luiz Romero")*(28/1083),IF(C4432="Técnico I",SUMIFS($D:$D,$A:$A,$A4432,$B:$B,"&lt;&gt;Patrícia Karla de Sousa Araújo",$B:$B,"&lt;&gt;Lorena Dias de Araujo",$B:$B,"&lt;&gt;Lucas Luiz Romero")*(23/1083),IF(C4432="JR",SUMIFS($D:$D,$A:$A,$A4432,$B:$B,"&lt;&gt;Patrícia Karla de Sousa Araújo",$B:$B,"&lt;&gt;Lorena Dias de Araujo",$B:$B,"&lt;&gt;Lucas Luiz Romero")*(20/1083),IF(C4432="Estágio",SUMIFS($D:$D,$A:$A,$A4432,$B:$B,"&lt;&gt;Patrícia Karla de Sousa Araújo",$B:$B,"&lt;&gt;Lorena Dias de Araujo",$B:$B,"&lt;&gt;Lucas Luiz Romero")*(10/1083),0)))))),0)</f>
        <v/>
      </c>
      <c r="K4432" s="3">
        <f>I4432-J4432</f>
        <v/>
      </c>
      <c r="L4432" s="3">
        <f>IF(K4432&lt;-5,"CRÍTICO",IF(K4432&lt;0,"ATENÇÃO",IF(K4432&lt;=5,"BOM","EXCELENTE")))</f>
        <v/>
      </c>
      <c r="M4432" t="n">
        <v>19</v>
      </c>
      <c r="N4432" t="n">
        <v>100</v>
      </c>
      <c r="O4432" t="n">
        <v>18.14516129032258</v>
      </c>
    </row>
    <row r="4433" hidden="1">
      <c r="A4433" s="5" t="n">
        <v>46157</v>
      </c>
      <c r="B4433" s="6" t="inlineStr">
        <is>
          <t>Luiz Fernando de Carvalho Junior</t>
        </is>
      </c>
      <c r="C4433" s="3" t="inlineStr">
        <is>
          <t>Técnico I</t>
        </is>
      </c>
      <c r="D4433" s="3" t="n">
        <v>24</v>
      </c>
      <c r="E4433" s="3" t="n">
        <v>21</v>
      </c>
      <c r="F4433" t="n">
        <v>20.35</v>
      </c>
      <c r="G4433" s="3" t="n">
        <v>2</v>
      </c>
      <c r="H4433" s="3" t="n">
        <v>0</v>
      </c>
      <c r="I4433" s="3">
        <f>E4433+G4433+H4433</f>
        <v/>
      </c>
      <c r="J4433" s="3">
        <f>ROUND(MIN(IF(C4433="Técnico III",35,IF(C4433="Técnico II",28,IF(C4433="Técnico I",23,IF(C4433="JR",20,IF(C4433="Estágio",10,0))))),IF(C4433="Técnico III",SUMIFS($D:$D,$A:$A,$A4433,$B:$B,"&lt;&gt;Patrícia Karla de Sousa Araújo",$B:$B,"&lt;&gt;Lorena Dias de Araujo",$B:$B,"&lt;&gt;Lucas Luiz Romero")*(35/1083),IF(C4433="Técnico II",SUMIFS($D:$D,$A:$A,$A4433,$B:$B,"&lt;&gt;Patrícia Karla de Sousa Araújo",$B:$B,"&lt;&gt;Lorena Dias de Araujo",$B:$B,"&lt;&gt;Lucas Luiz Romero")*(28/1083),IF(C4433="Técnico I",SUMIFS($D:$D,$A:$A,$A4433,$B:$B,"&lt;&gt;Patrícia Karla de Sousa Araújo",$B:$B,"&lt;&gt;Lorena Dias de Araujo",$B:$B,"&lt;&gt;Lucas Luiz Romero")*(23/1083),IF(C4433="JR",SUMIFS($D:$D,$A:$A,$A4433,$B:$B,"&lt;&gt;Patrícia Karla de Sousa Araújo",$B:$B,"&lt;&gt;Lorena Dias de Araujo",$B:$B,"&lt;&gt;Lucas Luiz Romero")*(20/1083),IF(C4433="Estágio",SUMIFS($D:$D,$A:$A,$A4433,$B:$B,"&lt;&gt;Patrícia Karla de Sousa Araújo",$B:$B,"&lt;&gt;Lorena Dias de Araujo",$B:$B,"&lt;&gt;Lucas Luiz Romero")*(10/1083),0)))))),0)</f>
        <v/>
      </c>
      <c r="K4433" s="3">
        <f>I4433-J4433</f>
        <v/>
      </c>
      <c r="L4433" s="3">
        <f>IF(K4433&lt;-5,"CRÍTICO",IF(K4433&lt;0,"ATENÇÃO",IF(K4433&lt;=5,"BOM","EXCELENTE")))</f>
        <v/>
      </c>
      <c r="M4433" t="n">
        <v>24</v>
      </c>
      <c r="N4433" t="n">
        <v>93.26000000000001</v>
      </c>
      <c r="O4433" t="n">
        <v>19.93957703927493</v>
      </c>
    </row>
    <row r="4434" hidden="1">
      <c r="A4434" s="5" t="n">
        <v>46157</v>
      </c>
      <c r="B4434" s="6" t="inlineStr">
        <is>
          <t>Raane Batista Matos</t>
        </is>
      </c>
      <c r="C4434" s="3" t="inlineStr">
        <is>
          <t>Técnico I</t>
        </is>
      </c>
      <c r="D4434" s="3" t="n">
        <v>28</v>
      </c>
      <c r="E4434" s="3" t="n">
        <v>25</v>
      </c>
      <c r="F4434" t="n">
        <v>13.57</v>
      </c>
      <c r="G4434" s="3" t="n">
        <v>5</v>
      </c>
      <c r="H4434" s="3" t="n">
        <v>0</v>
      </c>
      <c r="I4434" s="3">
        <f>E4434+G4434+H4434</f>
        <v/>
      </c>
      <c r="J4434" s="3">
        <f>ROUND(MIN(IF(C4434="Técnico III",35,IF(C4434="Técnico II",28,IF(C4434="Técnico I",23,IF(C4434="JR",20,IF(C4434="Estágio",10,0))))),IF(C4434="Técnico III",SUMIFS($D:$D,$A:$A,$A4434,$B:$B,"&lt;&gt;Patrícia Karla de Sousa Araújo",$B:$B,"&lt;&gt;Lorena Dias de Araujo",$B:$B,"&lt;&gt;Lucas Luiz Romero")*(35/1083),IF(C4434="Técnico II",SUMIFS($D:$D,$A:$A,$A4434,$B:$B,"&lt;&gt;Patrícia Karla de Sousa Araújo",$B:$B,"&lt;&gt;Lorena Dias de Araujo",$B:$B,"&lt;&gt;Lucas Luiz Romero")*(28/1083),IF(C4434="Técnico I",SUMIFS($D:$D,$A:$A,$A4434,$B:$B,"&lt;&gt;Patrícia Karla de Sousa Araújo",$B:$B,"&lt;&gt;Lorena Dias de Araujo",$B:$B,"&lt;&gt;Lucas Luiz Romero")*(23/1083),IF(C4434="JR",SUMIFS($D:$D,$A:$A,$A4434,$B:$B,"&lt;&gt;Patrícia Karla de Sousa Araújo",$B:$B,"&lt;&gt;Lorena Dias de Araujo",$B:$B,"&lt;&gt;Lucas Luiz Romero")*(20/1083),IF(C4434="Estágio",SUMIFS($D:$D,$A:$A,$A4434,$B:$B,"&lt;&gt;Patrícia Karla de Sousa Araújo",$B:$B,"&lt;&gt;Lorena Dias de Araujo",$B:$B,"&lt;&gt;Lucas Luiz Romero")*(10/1083),0)))))),0)</f>
        <v/>
      </c>
      <c r="K4434" s="3">
        <f>I4434-J4434</f>
        <v/>
      </c>
      <c r="L4434" s="3">
        <f>IF(K4434&lt;-5,"CRÍTICO",IF(K4434&lt;0,"ATENÇÃO",IF(K4434&lt;=5,"BOM","EXCELENTE")))</f>
        <v/>
      </c>
      <c r="M4434" t="n">
        <v>23</v>
      </c>
      <c r="N4434" t="n">
        <v>97.56</v>
      </c>
      <c r="O4434" t="n">
        <v>19.28783382789317</v>
      </c>
    </row>
    <row r="4435" hidden="1">
      <c r="A4435" s="5" t="n">
        <v>46157</v>
      </c>
      <c r="B4435" s="6" t="inlineStr">
        <is>
          <t>Sara Maria Monteiro Lopes</t>
        </is>
      </c>
      <c r="C4435" s="3" t="inlineStr">
        <is>
          <t>Técnico I</t>
        </is>
      </c>
      <c r="D4435" s="3" t="n">
        <v>18</v>
      </c>
      <c r="E4435" s="3" t="n">
        <v>17</v>
      </c>
      <c r="F4435" t="n">
        <v>35.31</v>
      </c>
      <c r="G4435" s="3" t="n">
        <v>3</v>
      </c>
      <c r="H4435" s="3" t="n">
        <v>0</v>
      </c>
      <c r="I4435" s="3">
        <f>E4435+G4435+H4435</f>
        <v/>
      </c>
      <c r="J4435" s="3">
        <f>ROUND(MIN(IF(C4435="Técnico III",35,IF(C4435="Técnico II",28,IF(C4435="Técnico I",23,IF(C4435="JR",20,IF(C4435="Estágio",10,0))))),IF(C4435="Técnico III",SUMIFS($D:$D,$A:$A,$A4435,$B:$B,"&lt;&gt;Patrícia Karla de Sousa Araújo",$B:$B,"&lt;&gt;Lorena Dias de Araujo",$B:$B,"&lt;&gt;Lucas Luiz Romero")*(35/1083),IF(C4435="Técnico II",SUMIFS($D:$D,$A:$A,$A4435,$B:$B,"&lt;&gt;Patrícia Karla de Sousa Araújo",$B:$B,"&lt;&gt;Lorena Dias de Araujo",$B:$B,"&lt;&gt;Lucas Luiz Romero")*(28/1083),IF(C4435="Técnico I",SUMIFS($D:$D,$A:$A,$A4435,$B:$B,"&lt;&gt;Patrícia Karla de Sousa Araújo",$B:$B,"&lt;&gt;Lorena Dias de Araujo",$B:$B,"&lt;&gt;Lucas Luiz Romero")*(23/1083),IF(C4435="JR",SUMIFS($D:$D,$A:$A,$A4435,$B:$B,"&lt;&gt;Patrícia Karla de Sousa Araújo",$B:$B,"&lt;&gt;Lorena Dias de Araujo",$B:$B,"&lt;&gt;Lucas Luiz Romero")*(20/1083),IF(C4435="Estágio",SUMIFS($D:$D,$A:$A,$A4435,$B:$B,"&lt;&gt;Patrícia Karla de Sousa Araújo",$B:$B,"&lt;&gt;Lorena Dias de Araujo",$B:$B,"&lt;&gt;Lucas Luiz Romero")*(10/1083),0)))))),0)</f>
        <v/>
      </c>
      <c r="K4435" s="3">
        <f>I4435-J4435</f>
        <v/>
      </c>
      <c r="L4435" s="3">
        <f>IF(K4435&lt;-5,"CRÍTICO",IF(K4435&lt;0,"ATENÇÃO",IF(K4435&lt;=5,"BOM","EXCELENTE")))</f>
        <v/>
      </c>
      <c r="M4435" t="n">
        <v>14</v>
      </c>
      <c r="N4435" t="n">
        <v>100</v>
      </c>
      <c r="O4435" t="n">
        <v>16.97247706422019</v>
      </c>
    </row>
    <row r="4436" hidden="1">
      <c r="A4436" s="5" t="n">
        <v>46160</v>
      </c>
      <c r="B4436" s="6" t="inlineStr">
        <is>
          <t>Ana Karollyne Souza Faria</t>
        </is>
      </c>
      <c r="C4436" s="3" t="inlineStr">
        <is>
          <t>Técnico I</t>
        </is>
      </c>
      <c r="D4436" s="3" t="n">
        <v>18</v>
      </c>
      <c r="E4436" s="3" t="n">
        <v>17</v>
      </c>
      <c r="F4436" t="n">
        <v>20.19</v>
      </c>
      <c r="G4436" s="3" t="n">
        <v>2</v>
      </c>
      <c r="H4436" s="3" t="n">
        <v>0</v>
      </c>
      <c r="I4436" s="3">
        <f>E4436+G4436+H4436</f>
        <v/>
      </c>
      <c r="J4436" s="3">
        <f>ROUND(MIN(IF(C4436="Técnico III",35,IF(C4436="Técnico II",28,IF(C4436="Técnico I",23,IF(C4436="JR",20,IF(C4436="Estágio",10,0))))),IF(C4436="Técnico III",SUMIFS($D:$D,$A:$A,$A4436,$B:$B,"&lt;&gt;Patrícia Karla de Sousa Araújo",$B:$B,"&lt;&gt;Lorena Dias de Araujo",$B:$B,"&lt;&gt;Lucas Luiz Romero")*(35/1083),IF(C4436="Técnico II",SUMIFS($D:$D,$A:$A,$A4436,$B:$B,"&lt;&gt;Patrícia Karla de Sousa Araújo",$B:$B,"&lt;&gt;Lorena Dias de Araujo",$B:$B,"&lt;&gt;Lucas Luiz Romero")*(28/1083),IF(C4436="Técnico I",SUMIFS($D:$D,$A:$A,$A4436,$B:$B,"&lt;&gt;Patrícia Karla de Sousa Araújo",$B:$B,"&lt;&gt;Lorena Dias de Araujo",$B:$B,"&lt;&gt;Lucas Luiz Romero")*(23/1083),IF(C4436="JR",SUMIFS($D:$D,$A:$A,$A4436,$B:$B,"&lt;&gt;Patrícia Karla de Sousa Araújo",$B:$B,"&lt;&gt;Lorena Dias de Araujo",$B:$B,"&lt;&gt;Lucas Luiz Romero")*(20/1083),IF(C4436="Estágio",SUMIFS($D:$D,$A:$A,$A4436,$B:$B,"&lt;&gt;Patrícia Karla de Sousa Araújo",$B:$B,"&lt;&gt;Lorena Dias de Araujo",$B:$B,"&lt;&gt;Lucas Luiz Romero")*(10/1083),0)))))),0)</f>
        <v/>
      </c>
      <c r="K4436" s="3">
        <f>I4436-J4436</f>
        <v/>
      </c>
      <c r="L4436" s="3">
        <f>IF(K4436&lt;-5,"CRÍTICO",IF(K4436&lt;0,"ATENÇÃO",IF(K4436&lt;=5,"BOM","EXCELENTE")))</f>
        <v/>
      </c>
      <c r="M4436" s="3" t="n">
        <v>18</v>
      </c>
      <c r="N4436" s="3" t="n">
        <v>95.38</v>
      </c>
      <c r="O4436" s="3" t="n">
        <v>21.5962441314554</v>
      </c>
    </row>
    <row r="4437" hidden="1">
      <c r="A4437" s="5" t="n">
        <v>46160</v>
      </c>
      <c r="B4437" s="6" t="inlineStr">
        <is>
          <t>Clessiane Pereira dos Santos</t>
        </is>
      </c>
      <c r="C4437" s="3" t="inlineStr">
        <is>
          <t>Técnico I</t>
        </is>
      </c>
      <c r="D4437" s="3" t="n">
        <v>22</v>
      </c>
      <c r="E4437" s="3" t="n">
        <v>21</v>
      </c>
      <c r="F4437" t="n">
        <v>20.04</v>
      </c>
      <c r="G4437" s="3" t="n">
        <v>3</v>
      </c>
      <c r="H4437" s="3" t="n">
        <v>0</v>
      </c>
      <c r="I4437" s="3">
        <f>E4437+G4437+H4437</f>
        <v/>
      </c>
      <c r="J4437" s="3">
        <f>ROUND(MIN(IF(C4437="Técnico III",35,IF(C4437="Técnico II",28,IF(C4437="Técnico I",23,IF(C4437="JR",20,IF(C4437="Estágio",10,0))))),IF(C4437="Técnico III",SUMIFS($D:$D,$A:$A,$A4437,$B:$B,"&lt;&gt;Patrícia Karla de Sousa Araújo",$B:$B,"&lt;&gt;Lorena Dias de Araujo",$B:$B,"&lt;&gt;Lucas Luiz Romero")*(35/1083),IF(C4437="Técnico II",SUMIFS($D:$D,$A:$A,$A4437,$B:$B,"&lt;&gt;Patrícia Karla de Sousa Araújo",$B:$B,"&lt;&gt;Lorena Dias de Araujo",$B:$B,"&lt;&gt;Lucas Luiz Romero")*(28/1083),IF(C4437="Técnico I",SUMIFS($D:$D,$A:$A,$A4437,$B:$B,"&lt;&gt;Patrícia Karla de Sousa Araújo",$B:$B,"&lt;&gt;Lorena Dias de Araujo",$B:$B,"&lt;&gt;Lucas Luiz Romero")*(23/1083),IF(C4437="JR",SUMIFS($D:$D,$A:$A,$A4437,$B:$B,"&lt;&gt;Patrícia Karla de Sousa Araújo",$B:$B,"&lt;&gt;Lorena Dias de Araujo",$B:$B,"&lt;&gt;Lucas Luiz Romero")*(20/1083),IF(C4437="Estágio",SUMIFS($D:$D,$A:$A,$A4437,$B:$B,"&lt;&gt;Patrícia Karla de Sousa Araújo",$B:$B,"&lt;&gt;Lorena Dias de Araujo",$B:$B,"&lt;&gt;Lucas Luiz Romero")*(10/1083),0)))))),0)</f>
        <v/>
      </c>
      <c r="K4437" s="3">
        <f>I4437-J4437</f>
        <v/>
      </c>
      <c r="L4437" s="3">
        <f>IF(K4437&lt;-5,"CRÍTICO",IF(K4437&lt;0,"ATENÇÃO",IF(K4437&lt;=5,"BOM","EXCELENTE")))</f>
        <v/>
      </c>
      <c r="M4437" t="n">
        <v>22</v>
      </c>
      <c r="N4437" t="n">
        <v>96.88</v>
      </c>
      <c r="O4437" t="n">
        <v>19.52662721893491</v>
      </c>
    </row>
    <row r="4438" hidden="1">
      <c r="A4438" s="5" t="n">
        <v>46160</v>
      </c>
      <c r="B4438" s="6" t="inlineStr">
        <is>
          <t>Daniel Gomes da Silva</t>
        </is>
      </c>
      <c r="C4438" s="3" t="inlineStr">
        <is>
          <t>Técnico I</t>
        </is>
      </c>
      <c r="D4438" s="3" t="n">
        <v>20</v>
      </c>
      <c r="E4438" s="3" t="n">
        <v>19</v>
      </c>
      <c r="F4438" t="n">
        <v>18.52</v>
      </c>
      <c r="G4438" s="3" t="n">
        <v>3</v>
      </c>
      <c r="H4438" s="3" t="n">
        <v>0</v>
      </c>
      <c r="I4438" s="3">
        <f>E4438+G4438+H4438</f>
        <v/>
      </c>
      <c r="J4438" s="3">
        <f>ROUND(MIN(IF(C4438="Técnico III",35,IF(C4438="Técnico II",28,IF(C4438="Técnico I",23,IF(C4438="JR",20,IF(C4438="Estágio",10,0))))),IF(C4438="Técnico III",SUMIFS($D:$D,$A:$A,$A4438,$B:$B,"&lt;&gt;Patrícia Karla de Sousa Araújo",$B:$B,"&lt;&gt;Lorena Dias de Araujo",$B:$B,"&lt;&gt;Lucas Luiz Romero")*(35/1083),IF(C4438="Técnico II",SUMIFS($D:$D,$A:$A,$A4438,$B:$B,"&lt;&gt;Patrícia Karla de Sousa Araújo",$B:$B,"&lt;&gt;Lorena Dias de Araujo",$B:$B,"&lt;&gt;Lucas Luiz Romero")*(28/1083),IF(C4438="Técnico I",SUMIFS($D:$D,$A:$A,$A4438,$B:$B,"&lt;&gt;Patrícia Karla de Sousa Araújo",$B:$B,"&lt;&gt;Lorena Dias de Araujo",$B:$B,"&lt;&gt;Lucas Luiz Romero")*(23/1083),IF(C4438="JR",SUMIFS($D:$D,$A:$A,$A4438,$B:$B,"&lt;&gt;Patrícia Karla de Sousa Araújo",$B:$B,"&lt;&gt;Lorena Dias de Araujo",$B:$B,"&lt;&gt;Lucas Luiz Romero")*(20/1083),IF(C4438="Estágio",SUMIFS($D:$D,$A:$A,$A4438,$B:$B,"&lt;&gt;Patrícia Karla de Sousa Araújo",$B:$B,"&lt;&gt;Lorena Dias de Araujo",$B:$B,"&lt;&gt;Lucas Luiz Romero")*(10/1083),0)))))),0)</f>
        <v/>
      </c>
      <c r="K4438" s="3">
        <f>I4438-J4438</f>
        <v/>
      </c>
      <c r="L4438" s="3">
        <f>IF(K4438&lt;-5,"CRÍTICO",IF(K4438&lt;0,"ATENÇÃO",IF(K4438&lt;=5,"BOM","EXCELENTE")))</f>
        <v/>
      </c>
      <c r="M4438" t="n">
        <v>18</v>
      </c>
      <c r="N4438" t="n">
        <v>100</v>
      </c>
      <c r="O4438" t="n">
        <v>18.14516129032258</v>
      </c>
    </row>
    <row r="4439" hidden="1">
      <c r="A4439" s="5" t="n">
        <v>46160</v>
      </c>
      <c r="B4439" s="6" t="inlineStr">
        <is>
          <t>Luiz Fernando de Carvalho Junior</t>
        </is>
      </c>
      <c r="C4439" s="3" t="inlineStr">
        <is>
          <t>Técnico I</t>
        </is>
      </c>
      <c r="D4439" s="3" t="n">
        <v>21</v>
      </c>
      <c r="E4439" s="3" t="n">
        <v>20</v>
      </c>
      <c r="F4439" t="n">
        <v>17.02</v>
      </c>
      <c r="G4439" s="3" t="n">
        <v>2</v>
      </c>
      <c r="H4439" s="3" t="n">
        <v>0</v>
      </c>
      <c r="I4439" s="3">
        <f>E4439+G4439+H4439</f>
        <v/>
      </c>
      <c r="J4439" s="3">
        <f>ROUND(MIN(IF(C4439="Técnico III",35,IF(C4439="Técnico II",28,IF(C4439="Técnico I",23,IF(C4439="JR",20,IF(C4439="Estágio",10,0))))),IF(C4439="Técnico III",SUMIFS($D:$D,$A:$A,$A4439,$B:$B,"&lt;&gt;Patrícia Karla de Sousa Araújo",$B:$B,"&lt;&gt;Lorena Dias de Araujo",$B:$B,"&lt;&gt;Lucas Luiz Romero")*(35/1083),IF(C4439="Técnico II",SUMIFS($D:$D,$A:$A,$A4439,$B:$B,"&lt;&gt;Patrícia Karla de Sousa Araújo",$B:$B,"&lt;&gt;Lorena Dias de Araujo",$B:$B,"&lt;&gt;Lucas Luiz Romero")*(28/1083),IF(C4439="Técnico I",SUMIFS($D:$D,$A:$A,$A4439,$B:$B,"&lt;&gt;Patrícia Karla de Sousa Araújo",$B:$B,"&lt;&gt;Lorena Dias de Araujo",$B:$B,"&lt;&gt;Lucas Luiz Romero")*(23/1083),IF(C4439="JR",SUMIFS($D:$D,$A:$A,$A4439,$B:$B,"&lt;&gt;Patrícia Karla de Sousa Araújo",$B:$B,"&lt;&gt;Lorena Dias de Araujo",$B:$B,"&lt;&gt;Lucas Luiz Romero")*(20/1083),IF(C4439="Estágio",SUMIFS($D:$D,$A:$A,$A4439,$B:$B,"&lt;&gt;Patrícia Karla de Sousa Araújo",$B:$B,"&lt;&gt;Lorena Dias de Araujo",$B:$B,"&lt;&gt;Lucas Luiz Romero")*(10/1083),0)))))),0)</f>
        <v/>
      </c>
      <c r="K4439" s="3">
        <f>I4439-J4439</f>
        <v/>
      </c>
      <c r="L4439" s="3">
        <f>IF(K4439&lt;-5,"CRÍTICO",IF(K4439&lt;0,"ATENÇÃO",IF(K4439&lt;=5,"BOM","EXCELENTE")))</f>
        <v/>
      </c>
      <c r="M4439" t="n">
        <v>20</v>
      </c>
      <c r="N4439" t="n">
        <v>93.26000000000001</v>
      </c>
      <c r="O4439" t="n">
        <v>19.93957703927493</v>
      </c>
    </row>
    <row r="4440" hidden="1">
      <c r="A4440" s="5" t="n">
        <v>46160</v>
      </c>
      <c r="B4440" s="6" t="inlineStr">
        <is>
          <t>Raane Batista Matos</t>
        </is>
      </c>
      <c r="C4440" s="3" t="inlineStr">
        <is>
          <t>Técnico I</t>
        </is>
      </c>
      <c r="D4440" s="3" t="n">
        <v>28</v>
      </c>
      <c r="E4440" s="3" t="n">
        <v>25</v>
      </c>
      <c r="F4440" t="n">
        <v>14.02</v>
      </c>
      <c r="G4440" s="3" t="n">
        <v>1</v>
      </c>
      <c r="H4440" s="3" t="n">
        <v>0</v>
      </c>
      <c r="I4440" s="3">
        <f>E4440+G4440+H4440</f>
        <v/>
      </c>
      <c r="J4440" s="3">
        <f>ROUND(MIN(IF(C4440="Técnico III",35,IF(C4440="Técnico II",28,IF(C4440="Técnico I",23,IF(C4440="JR",20,IF(C4440="Estágio",10,0))))),IF(C4440="Técnico III",SUMIFS($D:$D,$A:$A,$A4440,$B:$B,"&lt;&gt;Patrícia Karla de Sousa Araújo",$B:$B,"&lt;&gt;Lorena Dias de Araujo",$B:$B,"&lt;&gt;Lucas Luiz Romero")*(35/1083),IF(C4440="Técnico II",SUMIFS($D:$D,$A:$A,$A4440,$B:$B,"&lt;&gt;Patrícia Karla de Sousa Araújo",$B:$B,"&lt;&gt;Lorena Dias de Araujo",$B:$B,"&lt;&gt;Lucas Luiz Romero")*(28/1083),IF(C4440="Técnico I",SUMIFS($D:$D,$A:$A,$A4440,$B:$B,"&lt;&gt;Patrícia Karla de Sousa Araújo",$B:$B,"&lt;&gt;Lorena Dias de Araujo",$B:$B,"&lt;&gt;Lucas Luiz Romero")*(23/1083),IF(C4440="JR",SUMIFS($D:$D,$A:$A,$A4440,$B:$B,"&lt;&gt;Patrícia Karla de Sousa Araújo",$B:$B,"&lt;&gt;Lorena Dias de Araujo",$B:$B,"&lt;&gt;Lucas Luiz Romero")*(20/1083),IF(C4440="Estágio",SUMIFS($D:$D,$A:$A,$A4440,$B:$B,"&lt;&gt;Patrícia Karla de Sousa Araújo",$B:$B,"&lt;&gt;Lorena Dias de Araujo",$B:$B,"&lt;&gt;Lucas Luiz Romero")*(10/1083),0)))))),0)</f>
        <v/>
      </c>
      <c r="K4440" s="3">
        <f>I4440-J4440</f>
        <v/>
      </c>
      <c r="L4440" s="3">
        <f>IF(K4440&lt;-5,"CRÍTICO",IF(K4440&lt;0,"ATENÇÃO",IF(K4440&lt;=5,"BOM","EXCELENTE")))</f>
        <v/>
      </c>
      <c r="M4440" t="n">
        <v>20</v>
      </c>
      <c r="N4440" t="n">
        <v>97.56</v>
      </c>
      <c r="O4440" t="n">
        <v>19.28783382789317</v>
      </c>
    </row>
    <row r="4441" hidden="1">
      <c r="A4441" s="5" t="n">
        <v>46160</v>
      </c>
      <c r="B4441" s="6" t="inlineStr">
        <is>
          <t>Sara Maria Monteiro Lopes</t>
        </is>
      </c>
      <c r="C4441" s="3" t="inlineStr">
        <is>
          <t>Técnico I</t>
        </is>
      </c>
      <c r="D4441" s="3" t="n">
        <v>23</v>
      </c>
      <c r="E4441" s="3" t="n">
        <v>19</v>
      </c>
      <c r="F4441" t="n">
        <v>23.58</v>
      </c>
      <c r="G4441" s="3" t="n">
        <v>3</v>
      </c>
      <c r="H4441" s="3" t="n">
        <v>0</v>
      </c>
      <c r="I4441" s="3">
        <f>E4441+G4441+H4441</f>
        <v/>
      </c>
      <c r="J4441" s="3">
        <f>ROUND(MIN(IF(C4441="Técnico III",35,IF(C4441="Técnico II",28,IF(C4441="Técnico I",23,IF(C4441="JR",20,IF(C4441="Estágio",10,0))))),IF(C4441="Técnico III",SUMIFS($D:$D,$A:$A,$A4441,$B:$B,"&lt;&gt;Patrícia Karla de Sousa Araújo",$B:$B,"&lt;&gt;Lorena Dias de Araujo",$B:$B,"&lt;&gt;Lucas Luiz Romero")*(35/1083),IF(C4441="Técnico II",SUMIFS($D:$D,$A:$A,$A4441,$B:$B,"&lt;&gt;Patrícia Karla de Sousa Araújo",$B:$B,"&lt;&gt;Lorena Dias de Araujo",$B:$B,"&lt;&gt;Lucas Luiz Romero")*(28/1083),IF(C4441="Técnico I",SUMIFS($D:$D,$A:$A,$A4441,$B:$B,"&lt;&gt;Patrícia Karla de Sousa Araújo",$B:$B,"&lt;&gt;Lorena Dias de Araujo",$B:$B,"&lt;&gt;Lucas Luiz Romero")*(23/1083),IF(C4441="JR",SUMIFS($D:$D,$A:$A,$A4441,$B:$B,"&lt;&gt;Patrícia Karla de Sousa Araújo",$B:$B,"&lt;&gt;Lorena Dias de Araujo",$B:$B,"&lt;&gt;Lucas Luiz Romero")*(20/1083),IF(C4441="Estágio",SUMIFS($D:$D,$A:$A,$A4441,$B:$B,"&lt;&gt;Patrícia Karla de Sousa Araújo",$B:$B,"&lt;&gt;Lorena Dias de Araujo",$B:$B,"&lt;&gt;Lucas Luiz Romero")*(10/1083),0)))))),0)</f>
        <v/>
      </c>
      <c r="K4441" s="3">
        <f>I4441-J4441</f>
        <v/>
      </c>
      <c r="L4441" s="3">
        <f>IF(K4441&lt;-5,"CRÍTICO",IF(K4441&lt;0,"ATENÇÃO",IF(K4441&lt;=5,"BOM","EXCELENTE")))</f>
        <v/>
      </c>
      <c r="M4441" t="n">
        <v>18</v>
      </c>
      <c r="N4441" t="n">
        <v>100</v>
      </c>
      <c r="O4441" t="n">
        <v>16.97247706422019</v>
      </c>
    </row>
    <row r="4442" hidden="1">
      <c r="A4442" s="7" t="n">
        <v>46161</v>
      </c>
      <c r="B4442" s="8" t="inlineStr">
        <is>
          <t>Ana Karollyne Souza Faria</t>
        </is>
      </c>
      <c r="C4442" s="9" t="inlineStr">
        <is>
          <t>Técnico I</t>
        </is>
      </c>
      <c r="D4442" s="3" t="n">
        <v>30</v>
      </c>
      <c r="E4442" s="3" t="n">
        <v>29</v>
      </c>
      <c r="F4442" t="n">
        <v>15.36</v>
      </c>
      <c r="G4442" s="3" t="n">
        <v>1</v>
      </c>
      <c r="H4442" s="3" t="n">
        <v>0</v>
      </c>
      <c r="I4442" s="3">
        <f>E4442+G4442+H4442</f>
        <v/>
      </c>
      <c r="J4442" s="3">
        <f>ROUND(MIN(IF(C4442="Técnico III",35,IF(C4442="Técnico II",28,IF(C4442="Técnico I",23,IF(C4442="JR",20,IF(C4442="Estágio",10,0))))),IF(C4442="Técnico III",SUMIFS($D:$D,$A:$A,$A4442,$B:$B,"&lt;&gt;Patrícia Karla de Sousa Araújo",$B:$B,"&lt;&gt;Lorena Dias de Araujo",$B:$B,"&lt;&gt;Lucas Luiz Romero")*(35/1083),IF(C4442="Técnico II",SUMIFS($D:$D,$A:$A,$A4442,$B:$B,"&lt;&gt;Patrícia Karla de Sousa Araújo",$B:$B,"&lt;&gt;Lorena Dias de Araujo",$B:$B,"&lt;&gt;Lucas Luiz Romero")*(28/1083),IF(C4442="Técnico I",SUMIFS($D:$D,$A:$A,$A4442,$B:$B,"&lt;&gt;Patrícia Karla de Sousa Araújo",$B:$B,"&lt;&gt;Lorena Dias de Araujo",$B:$B,"&lt;&gt;Lucas Luiz Romero")*(23/1083),IF(C4442="JR",SUMIFS($D:$D,$A:$A,$A4442,$B:$B,"&lt;&gt;Patrícia Karla de Sousa Araújo",$B:$B,"&lt;&gt;Lorena Dias de Araujo",$B:$B,"&lt;&gt;Lucas Luiz Romero")*(20/1083),IF(C4442="Estágio",SUMIFS($D:$D,$A:$A,$A4442,$B:$B,"&lt;&gt;Patrícia Karla de Sousa Araújo",$B:$B,"&lt;&gt;Lorena Dias de Araujo",$B:$B,"&lt;&gt;Lucas Luiz Romero")*(10/1083),0)))))),0)</f>
        <v/>
      </c>
      <c r="K4442" s="3">
        <f>I4442-J4442</f>
        <v/>
      </c>
      <c r="L4442" s="3">
        <f>IF(K4442&lt;-5,"CRÍTICO",IF(K4442&lt;0,"ATENÇÃO",IF(K4442&lt;=5,"BOM","EXCELENTE")))</f>
        <v/>
      </c>
      <c r="M4442" s="3" t="n">
        <v>29</v>
      </c>
      <c r="N4442" s="3" t="n">
        <v>95.38</v>
      </c>
      <c r="O4442" s="3" t="n">
        <v>21.5962441314554</v>
      </c>
    </row>
    <row r="4443" hidden="1">
      <c r="A4443" s="7" t="n">
        <v>46161</v>
      </c>
      <c r="B4443" s="8" t="inlineStr">
        <is>
          <t>Clessiane Pereira dos Santos</t>
        </is>
      </c>
      <c r="C4443" s="9" t="inlineStr">
        <is>
          <t>Técnico I</t>
        </is>
      </c>
      <c r="D4443" s="3" t="n">
        <v>26</v>
      </c>
      <c r="E4443" s="3" t="n">
        <v>25</v>
      </c>
      <c r="F4443" t="n">
        <v>15.02</v>
      </c>
      <c r="G4443" s="3" t="n">
        <v>1</v>
      </c>
      <c r="H4443" s="3" t="n">
        <v>0</v>
      </c>
      <c r="I4443" s="3">
        <f>E4443+G4443+H4443</f>
        <v/>
      </c>
      <c r="J4443" s="3">
        <f>ROUND(MIN(IF(C4443="Técnico III",35,IF(C4443="Técnico II",28,IF(C4443="Técnico I",23,IF(C4443="JR",20,IF(C4443="Estágio",10,0))))),IF(C4443="Técnico III",SUMIFS($D:$D,$A:$A,$A4443,$B:$B,"&lt;&gt;Patrícia Karla de Sousa Araújo",$B:$B,"&lt;&gt;Lorena Dias de Araujo",$B:$B,"&lt;&gt;Lucas Luiz Romero")*(35/1083),IF(C4443="Técnico II",SUMIFS($D:$D,$A:$A,$A4443,$B:$B,"&lt;&gt;Patrícia Karla de Sousa Araújo",$B:$B,"&lt;&gt;Lorena Dias de Araujo",$B:$B,"&lt;&gt;Lucas Luiz Romero")*(28/1083),IF(C4443="Técnico I",SUMIFS($D:$D,$A:$A,$A4443,$B:$B,"&lt;&gt;Patrícia Karla de Sousa Araújo",$B:$B,"&lt;&gt;Lorena Dias de Araujo",$B:$B,"&lt;&gt;Lucas Luiz Romero")*(23/1083),IF(C4443="JR",SUMIFS($D:$D,$A:$A,$A4443,$B:$B,"&lt;&gt;Patrícia Karla de Sousa Araújo",$B:$B,"&lt;&gt;Lorena Dias de Araujo",$B:$B,"&lt;&gt;Lucas Luiz Romero")*(20/1083),IF(C4443="Estágio",SUMIFS($D:$D,$A:$A,$A4443,$B:$B,"&lt;&gt;Patrícia Karla de Sousa Araújo",$B:$B,"&lt;&gt;Lorena Dias de Araujo",$B:$B,"&lt;&gt;Lucas Luiz Romero")*(10/1083),0)))))),0)</f>
        <v/>
      </c>
      <c r="K4443" s="3">
        <f>I4443-J4443</f>
        <v/>
      </c>
      <c r="L4443" s="3">
        <f>IF(K4443&lt;-5,"CRÍTICO",IF(K4443&lt;0,"ATENÇÃO",IF(K4443&lt;=5,"BOM","EXCELENTE")))</f>
        <v/>
      </c>
      <c r="M4443" t="n">
        <v>19</v>
      </c>
      <c r="N4443" t="n">
        <v>96.88</v>
      </c>
      <c r="O4443" t="n">
        <v>19.52662721893491</v>
      </c>
    </row>
    <row r="4444" hidden="1">
      <c r="A4444" s="7" t="n">
        <v>46161</v>
      </c>
      <c r="B4444" s="8" t="inlineStr">
        <is>
          <t>Daniel Gomes da Silva</t>
        </is>
      </c>
      <c r="C4444" s="9" t="inlineStr">
        <is>
          <t>Técnico I</t>
        </is>
      </c>
      <c r="D4444" s="3" t="n">
        <v>21</v>
      </c>
      <c r="E4444" s="3" t="n">
        <v>20</v>
      </c>
      <c r="F4444" t="n">
        <v>12.3</v>
      </c>
      <c r="G4444" s="3" t="n">
        <v>1</v>
      </c>
      <c r="H4444" s="3" t="n">
        <v>0</v>
      </c>
      <c r="I4444" s="3">
        <f>E4444+G4444+H4444</f>
        <v/>
      </c>
      <c r="J4444" s="3">
        <f>ROUND(MIN(IF(C4444="Técnico III",35,IF(C4444="Técnico II",28,IF(C4444="Técnico I",23,IF(C4444="JR",20,IF(C4444="Estágio",10,0))))),IF(C4444="Técnico III",SUMIFS($D:$D,$A:$A,$A4444,$B:$B,"&lt;&gt;Patrícia Karla de Sousa Araújo",$B:$B,"&lt;&gt;Lorena Dias de Araujo",$B:$B,"&lt;&gt;Lucas Luiz Romero")*(35/1083),IF(C4444="Técnico II",SUMIFS($D:$D,$A:$A,$A4444,$B:$B,"&lt;&gt;Patrícia Karla de Sousa Araújo",$B:$B,"&lt;&gt;Lorena Dias de Araujo",$B:$B,"&lt;&gt;Lucas Luiz Romero")*(28/1083),IF(C4444="Técnico I",SUMIFS($D:$D,$A:$A,$A4444,$B:$B,"&lt;&gt;Patrícia Karla de Sousa Araújo",$B:$B,"&lt;&gt;Lorena Dias de Araujo",$B:$B,"&lt;&gt;Lucas Luiz Romero")*(23/1083),IF(C4444="JR",SUMIFS($D:$D,$A:$A,$A4444,$B:$B,"&lt;&gt;Patrícia Karla de Sousa Araújo",$B:$B,"&lt;&gt;Lorena Dias de Araujo",$B:$B,"&lt;&gt;Lucas Luiz Romero")*(20/1083),IF(C4444="Estágio",SUMIFS($D:$D,$A:$A,$A4444,$B:$B,"&lt;&gt;Patrícia Karla de Sousa Araújo",$B:$B,"&lt;&gt;Lorena Dias de Araujo",$B:$B,"&lt;&gt;Lucas Luiz Romero")*(10/1083),0)))))),0)</f>
        <v/>
      </c>
      <c r="K4444" s="3">
        <f>I4444-J4444</f>
        <v/>
      </c>
      <c r="L4444" s="3">
        <f>IF(K4444&lt;-5,"CRÍTICO",IF(K4444&lt;0,"ATENÇÃO",IF(K4444&lt;=5,"BOM","EXCELENTE")))</f>
        <v/>
      </c>
      <c r="M4444" t="n">
        <v>15</v>
      </c>
      <c r="N4444" t="n">
        <v>100</v>
      </c>
      <c r="O4444" t="n">
        <v>18.14516129032258</v>
      </c>
    </row>
    <row r="4445" hidden="1">
      <c r="A4445" s="7" t="n">
        <v>46161</v>
      </c>
      <c r="B4445" s="8" t="inlineStr">
        <is>
          <t>Luiz Fernando de Carvalho Junior</t>
        </is>
      </c>
      <c r="C4445" s="9" t="inlineStr">
        <is>
          <t>Técnico I</t>
        </is>
      </c>
      <c r="D4445" s="3" t="n">
        <v>18</v>
      </c>
      <c r="E4445" s="3" t="n">
        <v>17</v>
      </c>
      <c r="F4445" t="n">
        <v>25.09</v>
      </c>
      <c r="G4445" s="3" t="n">
        <v>2</v>
      </c>
      <c r="H4445" s="3" t="n">
        <v>0</v>
      </c>
      <c r="I4445" s="3">
        <f>E4445+G4445+H4445</f>
        <v/>
      </c>
      <c r="J4445" s="3">
        <f>ROUND(MIN(IF(C4445="Técnico III",35,IF(C4445="Técnico II",28,IF(C4445="Técnico I",23,IF(C4445="JR",20,IF(C4445="Estágio",10,0))))),IF(C4445="Técnico III",SUMIFS($D:$D,$A:$A,$A4445,$B:$B,"&lt;&gt;Patrícia Karla de Sousa Araújo",$B:$B,"&lt;&gt;Lorena Dias de Araujo",$B:$B,"&lt;&gt;Lucas Luiz Romero")*(35/1083),IF(C4445="Técnico II",SUMIFS($D:$D,$A:$A,$A4445,$B:$B,"&lt;&gt;Patrícia Karla de Sousa Araújo",$B:$B,"&lt;&gt;Lorena Dias de Araujo",$B:$B,"&lt;&gt;Lucas Luiz Romero")*(28/1083),IF(C4445="Técnico I",SUMIFS($D:$D,$A:$A,$A4445,$B:$B,"&lt;&gt;Patrícia Karla de Sousa Araújo",$B:$B,"&lt;&gt;Lorena Dias de Araujo",$B:$B,"&lt;&gt;Lucas Luiz Romero")*(23/1083),IF(C4445="JR",SUMIFS($D:$D,$A:$A,$A4445,$B:$B,"&lt;&gt;Patrícia Karla de Sousa Araújo",$B:$B,"&lt;&gt;Lorena Dias de Araujo",$B:$B,"&lt;&gt;Lucas Luiz Romero")*(20/1083),IF(C4445="Estágio",SUMIFS($D:$D,$A:$A,$A4445,$B:$B,"&lt;&gt;Patrícia Karla de Sousa Araújo",$B:$B,"&lt;&gt;Lorena Dias de Araujo",$B:$B,"&lt;&gt;Lucas Luiz Romero")*(10/1083),0)))))),0)</f>
        <v/>
      </c>
      <c r="K4445" s="3">
        <f>I4445-J4445</f>
        <v/>
      </c>
      <c r="L4445" s="3">
        <f>IF(K4445&lt;-5,"CRÍTICO",IF(K4445&lt;0,"ATENÇÃO",IF(K4445&lt;=5,"BOM","EXCELENTE")))</f>
        <v/>
      </c>
      <c r="M4445" t="n">
        <v>18</v>
      </c>
      <c r="N4445" t="n">
        <v>93.26000000000001</v>
      </c>
      <c r="O4445" t="n">
        <v>19.93957703927493</v>
      </c>
    </row>
    <row r="4446" hidden="1">
      <c r="A4446" s="7" t="n">
        <v>46161</v>
      </c>
      <c r="B4446" s="8" t="inlineStr">
        <is>
          <t>Raane Batista Matos</t>
        </is>
      </c>
      <c r="C4446" s="9" t="inlineStr">
        <is>
          <t>Técnico I</t>
        </is>
      </c>
      <c r="D4446" s="3" t="n">
        <v>35</v>
      </c>
      <c r="E4446" s="3" t="n">
        <v>31</v>
      </c>
      <c r="F4446" t="n">
        <v>13.24</v>
      </c>
      <c r="G4446" s="3" t="n">
        <v>2</v>
      </c>
      <c r="H4446" s="3" t="n">
        <v>0</v>
      </c>
      <c r="I4446" s="3">
        <f>E4446+G4446+H4446</f>
        <v/>
      </c>
      <c r="J4446" s="3">
        <f>ROUND(MIN(IF(C4446="Técnico III",35,IF(C4446="Técnico II",28,IF(C4446="Técnico I",23,IF(C4446="JR",20,IF(C4446="Estágio",10,0))))),IF(C4446="Técnico III",SUMIFS($D:$D,$A:$A,$A4446,$B:$B,"&lt;&gt;Patrícia Karla de Sousa Araújo",$B:$B,"&lt;&gt;Lorena Dias de Araujo",$B:$B,"&lt;&gt;Lucas Luiz Romero")*(35/1083),IF(C4446="Técnico II",SUMIFS($D:$D,$A:$A,$A4446,$B:$B,"&lt;&gt;Patrícia Karla de Sousa Araújo",$B:$B,"&lt;&gt;Lorena Dias de Araujo",$B:$B,"&lt;&gt;Lucas Luiz Romero")*(28/1083),IF(C4446="Técnico I",SUMIFS($D:$D,$A:$A,$A4446,$B:$B,"&lt;&gt;Patrícia Karla de Sousa Araújo",$B:$B,"&lt;&gt;Lorena Dias de Araujo",$B:$B,"&lt;&gt;Lucas Luiz Romero")*(23/1083),IF(C4446="JR",SUMIFS($D:$D,$A:$A,$A4446,$B:$B,"&lt;&gt;Patrícia Karla de Sousa Araújo",$B:$B,"&lt;&gt;Lorena Dias de Araujo",$B:$B,"&lt;&gt;Lucas Luiz Romero")*(20/1083),IF(C4446="Estágio",SUMIFS($D:$D,$A:$A,$A4446,$B:$B,"&lt;&gt;Patrícia Karla de Sousa Araújo",$B:$B,"&lt;&gt;Lorena Dias de Araujo",$B:$B,"&lt;&gt;Lucas Luiz Romero")*(10/1083),0)))))),0)</f>
        <v/>
      </c>
      <c r="K4446" s="3">
        <f>I4446-J4446</f>
        <v/>
      </c>
      <c r="L4446" s="3">
        <f>IF(K4446&lt;-5,"CRÍTICO",IF(K4446&lt;0,"ATENÇÃO",IF(K4446&lt;=5,"BOM","EXCELENTE")))</f>
        <v/>
      </c>
      <c r="M4446" t="n">
        <v>26</v>
      </c>
      <c r="N4446" t="n">
        <v>97.56</v>
      </c>
      <c r="O4446" t="n">
        <v>19.28783382789317</v>
      </c>
    </row>
    <row r="4447" hidden="1">
      <c r="A4447" s="7" t="n">
        <v>46161</v>
      </c>
      <c r="B4447" s="8" t="inlineStr">
        <is>
          <t>Sara Maria Monteiro Lopes</t>
        </is>
      </c>
      <c r="C4447" s="9" t="inlineStr">
        <is>
          <t>Técnico I</t>
        </is>
      </c>
      <c r="D4447" s="3" t="n">
        <v>18</v>
      </c>
      <c r="E4447" s="3" t="n">
        <v>18</v>
      </c>
      <c r="F4447" t="n">
        <v>25.39</v>
      </c>
      <c r="G4447" s="3" t="n">
        <v>0</v>
      </c>
      <c r="H4447" s="3" t="n">
        <v>0</v>
      </c>
      <c r="I4447" s="3">
        <f>E4447+G4447+H4447</f>
        <v/>
      </c>
      <c r="J4447" s="3">
        <f>ROUND(MIN(IF(C4447="Técnico III",35,IF(C4447="Técnico II",28,IF(C4447="Técnico I",23,IF(C4447="JR",20,IF(C4447="Estágio",10,0))))),IF(C4447="Técnico III",SUMIFS($D:$D,$A:$A,$A4447,$B:$B,"&lt;&gt;Patrícia Karla de Sousa Araújo",$B:$B,"&lt;&gt;Lorena Dias de Araujo",$B:$B,"&lt;&gt;Lucas Luiz Romero")*(35/1083),IF(C4447="Técnico II",SUMIFS($D:$D,$A:$A,$A4447,$B:$B,"&lt;&gt;Patrícia Karla de Sousa Araújo",$B:$B,"&lt;&gt;Lorena Dias de Araujo",$B:$B,"&lt;&gt;Lucas Luiz Romero")*(28/1083),IF(C4447="Técnico I",SUMIFS($D:$D,$A:$A,$A4447,$B:$B,"&lt;&gt;Patrícia Karla de Sousa Araújo",$B:$B,"&lt;&gt;Lorena Dias de Araujo",$B:$B,"&lt;&gt;Lucas Luiz Romero")*(23/1083),IF(C4447="JR",SUMIFS($D:$D,$A:$A,$A4447,$B:$B,"&lt;&gt;Patrícia Karla de Sousa Araújo",$B:$B,"&lt;&gt;Lorena Dias de Araujo",$B:$B,"&lt;&gt;Lucas Luiz Romero")*(20/1083),IF(C4447="Estágio",SUMIFS($D:$D,$A:$A,$A4447,$B:$B,"&lt;&gt;Patrícia Karla de Sousa Araújo",$B:$B,"&lt;&gt;Lorena Dias de Araujo",$B:$B,"&lt;&gt;Lucas Luiz Romero")*(10/1083),0)))))),0)</f>
        <v/>
      </c>
      <c r="K4447" s="3">
        <f>I4447-J4447</f>
        <v/>
      </c>
      <c r="L4447" s="3">
        <f>IF(K4447&lt;-5,"CRÍTICO",IF(K4447&lt;0,"ATENÇÃO",IF(K4447&lt;=5,"BOM","EXCELENTE")))</f>
        <v/>
      </c>
      <c r="M4447" t="n">
        <v>17</v>
      </c>
      <c r="N4447" t="n">
        <v>100</v>
      </c>
      <c r="O4447" t="n">
        <v>16.97247706422019</v>
      </c>
    </row>
    <row r="4448" hidden="1">
      <c r="A4448" s="7" t="n">
        <v>46162</v>
      </c>
      <c r="B4448" s="8" t="inlineStr">
        <is>
          <t>Ana Karollyne Souza Faria</t>
        </is>
      </c>
      <c r="C4448" s="9" t="inlineStr">
        <is>
          <t>Técnico I</t>
        </is>
      </c>
      <c r="D4448" s="3" t="n">
        <v>26</v>
      </c>
      <c r="E4448" s="3" t="n">
        <v>25</v>
      </c>
      <c r="F4448" s="3" t="n">
        <v>15.37</v>
      </c>
      <c r="G4448" s="3" t="n">
        <v>1</v>
      </c>
      <c r="H4448" s="3" t="n">
        <v>0</v>
      </c>
      <c r="I4448" s="3">
        <f>E4448+G4448+H4448</f>
        <v/>
      </c>
      <c r="J4448" s="3">
        <f>ROUND(MIN(IF(C4448="Técnico III",35,IF(C4448="Técnico II",28,IF(C4448="Técnico I",23,IF(C4448="JR",20,IF(C4448="Estágio",10,0))))),IF(C4448="Técnico III",SUMIFS($D:$D,$A:$A,$A4448,$B:$B,"&lt;&gt;Patrícia Karla de Sousa Araújo",$B:$B,"&lt;&gt;Lorena Dias de Araujo",$B:$B,"&lt;&gt;Lucas Luiz Romero")*(35/1083),IF(C4448="Técnico II",SUMIFS($D:$D,$A:$A,$A4448,$B:$B,"&lt;&gt;Patrícia Karla de Sousa Araújo",$B:$B,"&lt;&gt;Lorena Dias de Araujo",$B:$B,"&lt;&gt;Lucas Luiz Romero")*(28/1083),IF(C4448="Técnico I",SUMIFS($D:$D,$A:$A,$A4448,$B:$B,"&lt;&gt;Patrícia Karla de Sousa Araújo",$B:$B,"&lt;&gt;Lorena Dias de Araujo",$B:$B,"&lt;&gt;Lucas Luiz Romero")*(23/1083),IF(C4448="JR",SUMIFS($D:$D,$A:$A,$A4448,$B:$B,"&lt;&gt;Patrícia Karla de Sousa Araújo",$B:$B,"&lt;&gt;Lorena Dias de Araujo",$B:$B,"&lt;&gt;Lucas Luiz Romero")*(20/1083),IF(C4448="Estágio",SUMIFS($D:$D,$A:$A,$A4448,$B:$B,"&lt;&gt;Patrícia Karla de Sousa Araújo",$B:$B,"&lt;&gt;Lorena Dias de Araujo",$B:$B,"&lt;&gt;Lucas Luiz Romero")*(10/1083),0)))))),0)</f>
        <v/>
      </c>
      <c r="K4448" s="3">
        <f>I4448-J4448</f>
        <v/>
      </c>
      <c r="L4448" s="3">
        <f>IF(K4448&lt;-5,"CRÍTICO",IF(K4448&lt;0,"ATENÇÃO",IF(K4448&lt;=5,"OPORTUNO","MUITO BOM")))</f>
        <v/>
      </c>
      <c r="M4448" s="9" t="n">
        <v>26</v>
      </c>
      <c r="N4448" s="9" t="n">
        <v>95.38</v>
      </c>
      <c r="O4448" s="9" t="n">
        <v>21.5962441314554</v>
      </c>
    </row>
    <row r="4449" hidden="1">
      <c r="A4449" s="7" t="n">
        <v>46162</v>
      </c>
      <c r="B4449" s="8" t="inlineStr">
        <is>
          <t>Clessiane Pereira dos Santos</t>
        </is>
      </c>
      <c r="C4449" s="9" t="inlineStr">
        <is>
          <t>Técnico I</t>
        </is>
      </c>
      <c r="D4449" s="3" t="n">
        <v>23</v>
      </c>
      <c r="E4449" s="3" t="n">
        <v>23</v>
      </c>
      <c r="F4449" s="3" t="n">
        <v>15.5</v>
      </c>
      <c r="G4449" s="3" t="n">
        <v>1</v>
      </c>
      <c r="H4449" s="3" t="n">
        <v>0</v>
      </c>
      <c r="I4449" s="3">
        <f>E4449+G4449+H4449</f>
        <v/>
      </c>
      <c r="J4449" s="3">
        <f>ROUND(MIN(IF(C4449="Técnico III",35,IF(C4449="Técnico II",28,IF(C4449="Técnico I",23,IF(C4449="JR",20,IF(C4449="Estágio",10,0))))),IF(C4449="Técnico III",SUMIFS($D:$D,$A:$A,$A4449,$B:$B,"&lt;&gt;Patrícia Karla de Sousa Araújo",$B:$B,"&lt;&gt;Lorena Dias de Araujo",$B:$B,"&lt;&gt;Lucas Luiz Romero")*(35/1083),IF(C4449="Técnico II",SUMIFS($D:$D,$A:$A,$A4449,$B:$B,"&lt;&gt;Patrícia Karla de Sousa Araújo",$B:$B,"&lt;&gt;Lorena Dias de Araujo",$B:$B,"&lt;&gt;Lucas Luiz Romero")*(28/1083),IF(C4449="Técnico I",SUMIFS($D:$D,$A:$A,$A4449,$B:$B,"&lt;&gt;Patrícia Karla de Sousa Araújo",$B:$B,"&lt;&gt;Lorena Dias de Araujo",$B:$B,"&lt;&gt;Lucas Luiz Romero")*(23/1083),IF(C4449="JR",SUMIFS($D:$D,$A:$A,$A4449,$B:$B,"&lt;&gt;Patrícia Karla de Sousa Araújo",$B:$B,"&lt;&gt;Lorena Dias de Araujo",$B:$B,"&lt;&gt;Lucas Luiz Romero")*(20/1083),IF(C4449="Estágio",SUMIFS($D:$D,$A:$A,$A4449,$B:$B,"&lt;&gt;Patrícia Karla de Sousa Araújo",$B:$B,"&lt;&gt;Lorena Dias de Araujo",$B:$B,"&lt;&gt;Lucas Luiz Romero")*(10/1083),0)))))),0)</f>
        <v/>
      </c>
      <c r="K4449" s="3">
        <f>I4449-J4449</f>
        <v/>
      </c>
      <c r="L4449" s="3">
        <f>IF(K4449&lt;-5,"CRÍTICO",IF(K4449&lt;0,"ATENÇÃO",IF(K4449&lt;=5,"OPORTUNO","MUITO BOM")))</f>
        <v/>
      </c>
      <c r="M4449" s="9" t="n">
        <v>22</v>
      </c>
      <c r="N4449" s="9" t="n">
        <v>96.88</v>
      </c>
      <c r="O4449" s="9" t="n">
        <v>19.52662721893491</v>
      </c>
    </row>
    <row r="4450" hidden="1">
      <c r="A4450" s="7" t="n">
        <v>46162</v>
      </c>
      <c r="B4450" s="8" t="inlineStr">
        <is>
          <t>Daniel Gomes da Silva</t>
        </is>
      </c>
      <c r="C4450" s="9" t="inlineStr">
        <is>
          <t>Técnico I</t>
        </is>
      </c>
      <c r="D4450" s="3" t="n">
        <v>17</v>
      </c>
      <c r="E4450" s="3" t="n">
        <v>14</v>
      </c>
      <c r="F4450" s="3" t="n">
        <v>15.58</v>
      </c>
      <c r="G4450" s="3" t="n">
        <v>2</v>
      </c>
      <c r="H4450" s="3" t="n">
        <v>0</v>
      </c>
      <c r="I4450" s="3">
        <f>E4450+G4450+H4450</f>
        <v/>
      </c>
      <c r="J4450" s="3">
        <f>ROUND(MIN(IF(C4450="Técnico III",35,IF(C4450="Técnico II",28,IF(C4450="Técnico I",23,IF(C4450="JR",20,IF(C4450="Estágio",10,0))))),IF(C4450="Técnico III",SUMIFS($D:$D,$A:$A,$A4450,$B:$B,"&lt;&gt;Patrícia Karla de Sousa Araújo",$B:$B,"&lt;&gt;Lorena Dias de Araujo",$B:$B,"&lt;&gt;Lucas Luiz Romero")*(35/1083),IF(C4450="Técnico II",SUMIFS($D:$D,$A:$A,$A4450,$B:$B,"&lt;&gt;Patrícia Karla de Sousa Araújo",$B:$B,"&lt;&gt;Lorena Dias de Araujo",$B:$B,"&lt;&gt;Lucas Luiz Romero")*(28/1083),IF(C4450="Técnico I",SUMIFS($D:$D,$A:$A,$A4450,$B:$B,"&lt;&gt;Patrícia Karla de Sousa Araújo",$B:$B,"&lt;&gt;Lorena Dias de Araujo",$B:$B,"&lt;&gt;Lucas Luiz Romero")*(23/1083),IF(C4450="JR",SUMIFS($D:$D,$A:$A,$A4450,$B:$B,"&lt;&gt;Patrícia Karla de Sousa Araújo",$B:$B,"&lt;&gt;Lorena Dias de Araujo",$B:$B,"&lt;&gt;Lucas Luiz Romero")*(20/1083),IF(C4450="Estágio",SUMIFS($D:$D,$A:$A,$A4450,$B:$B,"&lt;&gt;Patrícia Karla de Sousa Araújo",$B:$B,"&lt;&gt;Lorena Dias de Araujo",$B:$B,"&lt;&gt;Lucas Luiz Romero")*(10/1083),0)))))),0)</f>
        <v/>
      </c>
      <c r="K4450" s="3">
        <f>I4450-J4450</f>
        <v/>
      </c>
      <c r="L4450" s="3">
        <f>IF(K4450&lt;-5,"CRÍTICO",IF(K4450&lt;0,"ATENÇÃO",IF(K4450&lt;=5,"OPORTUNO","MUITO BOM")))</f>
        <v/>
      </c>
      <c r="M4450" s="9" t="n">
        <v>13</v>
      </c>
      <c r="N4450" s="9" t="n">
        <v>100</v>
      </c>
      <c r="O4450" s="9" t="n">
        <v>18.14516129032258</v>
      </c>
    </row>
    <row r="4451" hidden="1">
      <c r="A4451" s="7" t="n">
        <v>46162</v>
      </c>
      <c r="B4451" s="8" t="inlineStr">
        <is>
          <t>Luiz Fernando de Carvalho Junior</t>
        </is>
      </c>
      <c r="C4451" s="9" t="inlineStr">
        <is>
          <t>Técnico I</t>
        </is>
      </c>
      <c r="D4451" s="3" t="n">
        <v>18</v>
      </c>
      <c r="E4451" s="3" t="n">
        <v>17</v>
      </c>
      <c r="F4451" s="3" t="n">
        <v>15.33</v>
      </c>
      <c r="G4451" s="3" t="n">
        <v>1</v>
      </c>
      <c r="H4451" s="3" t="n">
        <v>0</v>
      </c>
      <c r="I4451" s="3">
        <f>E4451+G4451+H4451</f>
        <v/>
      </c>
      <c r="J4451" s="3">
        <f>ROUND(MIN(IF(C4451="Técnico III",35,IF(C4451="Técnico II",28,IF(C4451="Técnico I",23,IF(C4451="JR",20,IF(C4451="Estágio",10,0))))),IF(C4451="Técnico III",SUMIFS($D:$D,$A:$A,$A4451,$B:$B,"&lt;&gt;Patrícia Karla de Sousa Araújo",$B:$B,"&lt;&gt;Lorena Dias de Araujo",$B:$B,"&lt;&gt;Lucas Luiz Romero")*(35/1083),IF(C4451="Técnico II",SUMIFS($D:$D,$A:$A,$A4451,$B:$B,"&lt;&gt;Patrícia Karla de Sousa Araújo",$B:$B,"&lt;&gt;Lorena Dias de Araujo",$B:$B,"&lt;&gt;Lucas Luiz Romero")*(28/1083),IF(C4451="Técnico I",SUMIFS($D:$D,$A:$A,$A4451,$B:$B,"&lt;&gt;Patrícia Karla de Sousa Araújo",$B:$B,"&lt;&gt;Lorena Dias de Araujo",$B:$B,"&lt;&gt;Lucas Luiz Romero")*(23/1083),IF(C4451="JR",SUMIFS($D:$D,$A:$A,$A4451,$B:$B,"&lt;&gt;Patrícia Karla de Sousa Araújo",$B:$B,"&lt;&gt;Lorena Dias de Araujo",$B:$B,"&lt;&gt;Lucas Luiz Romero")*(20/1083),IF(C4451="Estágio",SUMIFS($D:$D,$A:$A,$A4451,$B:$B,"&lt;&gt;Patrícia Karla de Sousa Araújo",$B:$B,"&lt;&gt;Lorena Dias de Araujo",$B:$B,"&lt;&gt;Lucas Luiz Romero")*(10/1083),0)))))),0)</f>
        <v/>
      </c>
      <c r="K4451" s="3">
        <f>I4451-J4451</f>
        <v/>
      </c>
      <c r="L4451" s="3">
        <f>IF(K4451&lt;-5,"CRÍTICO",IF(K4451&lt;0,"ATENÇÃO",IF(K4451&lt;=5,"OPORTUNO","MUITO BOM")))</f>
        <v/>
      </c>
      <c r="M4451" s="9" t="n">
        <v>16</v>
      </c>
      <c r="N4451" s="9" t="n">
        <v>93.26000000000001</v>
      </c>
      <c r="O4451" s="9" t="n">
        <v>19.93957703927493</v>
      </c>
    </row>
    <row r="4452" hidden="1">
      <c r="A4452" s="7" t="n">
        <v>46162</v>
      </c>
      <c r="B4452" s="8" t="inlineStr">
        <is>
          <t>Raane Batista Matos</t>
        </is>
      </c>
      <c r="C4452" s="9" t="inlineStr">
        <is>
          <t>Técnico I</t>
        </is>
      </c>
      <c r="D4452" s="3" t="n">
        <v>25</v>
      </c>
      <c r="E4452" s="3" t="n">
        <v>24</v>
      </c>
      <c r="F4452" s="3" t="n">
        <v>17.06</v>
      </c>
      <c r="G4452" s="3" t="n">
        <v>1</v>
      </c>
      <c r="H4452" s="3" t="n">
        <v>0</v>
      </c>
      <c r="I4452" s="3">
        <f>E4452+G4452+H4452</f>
        <v/>
      </c>
      <c r="J4452" s="3">
        <f>ROUND(MIN(IF(C4452="Técnico III",35,IF(C4452="Técnico II",28,IF(C4452="Técnico I",23,IF(C4452="JR",20,IF(C4452="Estágio",10,0))))),IF(C4452="Técnico III",SUMIFS($D:$D,$A:$A,$A4452,$B:$B,"&lt;&gt;Patrícia Karla de Sousa Araújo",$B:$B,"&lt;&gt;Lorena Dias de Araujo",$B:$B,"&lt;&gt;Lucas Luiz Romero")*(35/1083),IF(C4452="Técnico II",SUMIFS($D:$D,$A:$A,$A4452,$B:$B,"&lt;&gt;Patrícia Karla de Sousa Araújo",$B:$B,"&lt;&gt;Lorena Dias de Araujo",$B:$B,"&lt;&gt;Lucas Luiz Romero")*(28/1083),IF(C4452="Técnico I",SUMIFS($D:$D,$A:$A,$A4452,$B:$B,"&lt;&gt;Patrícia Karla de Sousa Araújo",$B:$B,"&lt;&gt;Lorena Dias de Araujo",$B:$B,"&lt;&gt;Lucas Luiz Romero")*(23/1083),IF(C4452="JR",SUMIFS($D:$D,$A:$A,$A4452,$B:$B,"&lt;&gt;Patrícia Karla de Sousa Araújo",$B:$B,"&lt;&gt;Lorena Dias de Araujo",$B:$B,"&lt;&gt;Lucas Luiz Romero")*(20/1083),IF(C4452="Estágio",SUMIFS($D:$D,$A:$A,$A4452,$B:$B,"&lt;&gt;Patrícia Karla de Sousa Araújo",$B:$B,"&lt;&gt;Lorena Dias de Araujo",$B:$B,"&lt;&gt;Lucas Luiz Romero")*(10/1083),0)))))),0)</f>
        <v/>
      </c>
      <c r="K4452" s="3">
        <f>I4452-J4452</f>
        <v/>
      </c>
      <c r="L4452" s="3">
        <f>IF(K4452&lt;-5,"CRÍTICO",IF(K4452&lt;0,"ATENÇÃO",IF(K4452&lt;=5,"OPORTUNO","MUITO BOM")))</f>
        <v/>
      </c>
      <c r="M4452" s="9" t="n">
        <v>18</v>
      </c>
      <c r="N4452" s="9" t="n">
        <v>97.56</v>
      </c>
      <c r="O4452" s="9" t="n">
        <v>19.28783382789317</v>
      </c>
    </row>
    <row r="4453" hidden="1">
      <c r="A4453" s="7" t="n">
        <v>46162</v>
      </c>
      <c r="B4453" s="8" t="inlineStr">
        <is>
          <t>Sara Maria Monteiro Lopes</t>
        </is>
      </c>
      <c r="C4453" s="9" t="inlineStr">
        <is>
          <t>Técnico I</t>
        </is>
      </c>
      <c r="D4453" s="3" t="n">
        <v>17</v>
      </c>
      <c r="E4453" s="3" t="n">
        <v>17</v>
      </c>
      <c r="F4453" s="3" t="n">
        <v>34.04</v>
      </c>
      <c r="G4453" s="3" t="n">
        <v>1</v>
      </c>
      <c r="H4453" s="3" t="n">
        <v>0</v>
      </c>
      <c r="I4453" s="3">
        <f>E4453+G4453+H4453</f>
        <v/>
      </c>
      <c r="J4453" s="3">
        <f>ROUND(MIN(IF(C4453="Técnico III",35,IF(C4453="Técnico II",28,IF(C4453="Técnico I",23,IF(C4453="JR",20,IF(C4453="Estágio",10,0))))),IF(C4453="Técnico III",SUMIFS($D:$D,$A:$A,$A4453,$B:$B,"&lt;&gt;Patrícia Karla de Sousa Araújo",$B:$B,"&lt;&gt;Lorena Dias de Araujo",$B:$B,"&lt;&gt;Lucas Luiz Romero")*(35/1083),IF(C4453="Técnico II",SUMIFS($D:$D,$A:$A,$A4453,$B:$B,"&lt;&gt;Patrícia Karla de Sousa Araújo",$B:$B,"&lt;&gt;Lorena Dias de Araujo",$B:$B,"&lt;&gt;Lucas Luiz Romero")*(28/1083),IF(C4453="Técnico I",SUMIFS($D:$D,$A:$A,$A4453,$B:$B,"&lt;&gt;Patrícia Karla de Sousa Araújo",$B:$B,"&lt;&gt;Lorena Dias de Araujo",$B:$B,"&lt;&gt;Lucas Luiz Romero")*(23/1083),IF(C4453="JR",SUMIFS($D:$D,$A:$A,$A4453,$B:$B,"&lt;&gt;Patrícia Karla de Sousa Araújo",$B:$B,"&lt;&gt;Lorena Dias de Araujo",$B:$B,"&lt;&gt;Lucas Luiz Romero")*(20/1083),IF(C4453="Estágio",SUMIFS($D:$D,$A:$A,$A4453,$B:$B,"&lt;&gt;Patrícia Karla de Sousa Araújo",$B:$B,"&lt;&gt;Lorena Dias de Araujo",$B:$B,"&lt;&gt;Lucas Luiz Romero")*(10/1083),0)))))),0)</f>
        <v/>
      </c>
      <c r="K4453" s="3">
        <f>I4453-J4453</f>
        <v/>
      </c>
      <c r="L4453" s="3">
        <f>IF(K4453&lt;-5,"CRÍTICO",IF(K4453&lt;0,"ATENÇÃO",IF(K4453&lt;=5,"OPORTUNO","MUITO BOM")))</f>
        <v/>
      </c>
      <c r="M4453" s="9" t="n">
        <v>14</v>
      </c>
      <c r="N4453" s="9" t="n">
        <v>100</v>
      </c>
      <c r="O4453" s="9" t="n">
        <v>16.97247706422019</v>
      </c>
    </row>
    <row r="4454" hidden="1">
      <c r="A4454" s="5" t="n">
        <v>46163</v>
      </c>
      <c r="B4454" s="6" t="inlineStr">
        <is>
          <t>Ana Karollyne Souza Faria</t>
        </is>
      </c>
      <c r="C4454" s="3" t="inlineStr">
        <is>
          <t>Técnico I</t>
        </is>
      </c>
      <c r="D4454" s="3" t="n">
        <v>24</v>
      </c>
      <c r="E4454" s="3" t="n">
        <v>23</v>
      </c>
      <c r="F4454" s="3" t="n">
        <v>17.07</v>
      </c>
      <c r="G4454" s="3" t="n">
        <v>0</v>
      </c>
      <c r="H4454" s="3" t="n">
        <v>0</v>
      </c>
      <c r="I4454" s="3">
        <f>E4454+G4454+H4454</f>
        <v/>
      </c>
      <c r="J4454" s="3">
        <f>ROUND(MIN(IF(C4454="Técnico III",35,IF(C4454="Técnico II",28,IF(C4454="Técnico I",23,IF(C4454="JR",20,IF(C4454="Estágio",10,0))))),IF(C4454="Técnico III",SUMIFS($D:$D,$A:$A,$A4454,$B:$B,"&lt;&gt;Patrícia Karla de Sousa Araújo",$B:$B,"&lt;&gt;Lorena Dias de Araujo",$B:$B,"&lt;&gt;Lucas Luiz Romero")*(35/1083),IF(C4454="Técnico II",SUMIFS($D:$D,$A:$A,$A4454,$B:$B,"&lt;&gt;Patrícia Karla de Sousa Araújo",$B:$B,"&lt;&gt;Lorena Dias de Araujo",$B:$B,"&lt;&gt;Lucas Luiz Romero")*(28/1083),IF(C4454="Técnico I",SUMIFS($D:$D,$A:$A,$A4454,$B:$B,"&lt;&gt;Patrícia Karla de Sousa Araújo",$B:$B,"&lt;&gt;Lorena Dias de Araujo",$B:$B,"&lt;&gt;Lucas Luiz Romero")*(23/1083),IF(C4454="JR",SUMIFS($D:$D,$A:$A,$A4454,$B:$B,"&lt;&gt;Patrícia Karla de Sousa Araújo",$B:$B,"&lt;&gt;Lorena Dias de Araujo",$B:$B,"&lt;&gt;Lucas Luiz Romero")*(20/1083),IF(C4454="Estágio",SUMIFS($D:$D,$A:$A,$A4454,$B:$B,"&lt;&gt;Patrícia Karla de Sousa Araújo",$B:$B,"&lt;&gt;Lorena Dias de Araujo",$B:$B,"&lt;&gt;Lucas Luiz Romero")*(10/1083),0)))))),0)</f>
        <v/>
      </c>
      <c r="K4454" s="3">
        <f>I4454-J4454</f>
        <v/>
      </c>
      <c r="L4454" s="3">
        <f>IF(K4454&lt;-5,"CRÍTICO",IF(K4454&lt;0,"ATENÇÃO",IF(K4454&lt;=5,"OPORTUNO","MUITO BOM")))</f>
        <v/>
      </c>
      <c r="M4454" s="3" t="n">
        <v>21</v>
      </c>
      <c r="N4454" s="3" t="n">
        <v>95.38</v>
      </c>
      <c r="O4454" s="3" t="n">
        <v>21.5962441314554</v>
      </c>
    </row>
    <row r="4455" hidden="1">
      <c r="A4455" s="5" t="n">
        <v>46163</v>
      </c>
      <c r="B4455" s="6" t="inlineStr">
        <is>
          <t>Clessiane Pereira dos Santos</t>
        </is>
      </c>
      <c r="C4455" s="3" t="inlineStr">
        <is>
          <t>Técnico I</t>
        </is>
      </c>
      <c r="D4455" s="3" t="n">
        <v>23</v>
      </c>
      <c r="E4455" s="3" t="n">
        <v>22</v>
      </c>
      <c r="F4455" s="3" t="n">
        <v>17.08</v>
      </c>
      <c r="G4455" s="3" t="n">
        <v>0</v>
      </c>
      <c r="H4455" s="3" t="n">
        <v>0</v>
      </c>
      <c r="I4455" s="3">
        <f>E4455+G4455+H4455</f>
        <v/>
      </c>
      <c r="J4455" s="3">
        <f>ROUND(MIN(IF(C4455="Técnico III",35,IF(C4455="Técnico II",28,IF(C4455="Técnico I",23,IF(C4455="JR",20,IF(C4455="Estágio",10,0))))),IF(C4455="Técnico III",SUMIFS($D:$D,$A:$A,$A4455,$B:$B,"&lt;&gt;Patrícia Karla de Sousa Araújo",$B:$B,"&lt;&gt;Lorena Dias de Araujo",$B:$B,"&lt;&gt;Lucas Luiz Romero")*(35/1083),IF(C4455="Técnico II",SUMIFS($D:$D,$A:$A,$A4455,$B:$B,"&lt;&gt;Patrícia Karla de Sousa Araújo",$B:$B,"&lt;&gt;Lorena Dias de Araujo",$B:$B,"&lt;&gt;Lucas Luiz Romero")*(28/1083),IF(C4455="Técnico I",SUMIFS($D:$D,$A:$A,$A4455,$B:$B,"&lt;&gt;Patrícia Karla de Sousa Araújo",$B:$B,"&lt;&gt;Lorena Dias de Araujo",$B:$B,"&lt;&gt;Lucas Luiz Romero")*(23/1083),IF(C4455="JR",SUMIFS($D:$D,$A:$A,$A4455,$B:$B,"&lt;&gt;Patrícia Karla de Sousa Araújo",$B:$B,"&lt;&gt;Lorena Dias de Araujo",$B:$B,"&lt;&gt;Lucas Luiz Romero")*(20/1083),IF(C4455="Estágio",SUMIFS($D:$D,$A:$A,$A4455,$B:$B,"&lt;&gt;Patrícia Karla de Sousa Araújo",$B:$B,"&lt;&gt;Lorena Dias de Araujo",$B:$B,"&lt;&gt;Lucas Luiz Romero")*(10/1083),0)))))),0)</f>
        <v/>
      </c>
      <c r="K4455" s="3">
        <f>I4455-J4455</f>
        <v/>
      </c>
      <c r="L4455" s="3">
        <f>IF(K4455&lt;-5,"CRÍTICO",IF(K4455&lt;0,"ATENÇÃO",IF(K4455&lt;=5,"OPORTUNO","MUITO BOM")))</f>
        <v/>
      </c>
      <c r="M4455" s="3" t="n">
        <v>17</v>
      </c>
      <c r="N4455" s="3" t="n">
        <v>96.88</v>
      </c>
      <c r="O4455" s="3" t="n">
        <v>19.52662721893491</v>
      </c>
    </row>
    <row r="4456" hidden="1">
      <c r="A4456" s="5" t="n">
        <v>46163</v>
      </c>
      <c r="B4456" s="6" t="inlineStr">
        <is>
          <t>Daniel Gomes da Silva</t>
        </is>
      </c>
      <c r="C4456" s="3" t="inlineStr">
        <is>
          <t>Técnico I</t>
        </is>
      </c>
      <c r="D4456" s="3" t="n">
        <v>16</v>
      </c>
      <c r="E4456" s="3" t="n">
        <v>16</v>
      </c>
      <c r="F4456" s="3" t="n">
        <v>26.5</v>
      </c>
      <c r="G4456" s="3" t="n">
        <v>0</v>
      </c>
      <c r="H4456" s="3" t="n">
        <v>0</v>
      </c>
      <c r="I4456" s="3">
        <f>E4456+G4456+H4456</f>
        <v/>
      </c>
      <c r="J4456" s="3">
        <f>ROUND(MIN(IF(C4456="Técnico III",35,IF(C4456="Técnico II",28,IF(C4456="Técnico I",23,IF(C4456="JR",20,IF(C4456="Estágio",10,0))))),IF(C4456="Técnico III",SUMIFS($D:$D,$A:$A,$A4456,$B:$B,"&lt;&gt;Patrícia Karla de Sousa Araújo",$B:$B,"&lt;&gt;Lorena Dias de Araujo",$B:$B,"&lt;&gt;Lucas Luiz Romero")*(35/1083),IF(C4456="Técnico II",SUMIFS($D:$D,$A:$A,$A4456,$B:$B,"&lt;&gt;Patrícia Karla de Sousa Araújo",$B:$B,"&lt;&gt;Lorena Dias de Araujo",$B:$B,"&lt;&gt;Lucas Luiz Romero")*(28/1083),IF(C4456="Técnico I",SUMIFS($D:$D,$A:$A,$A4456,$B:$B,"&lt;&gt;Patrícia Karla de Sousa Araújo",$B:$B,"&lt;&gt;Lorena Dias de Araujo",$B:$B,"&lt;&gt;Lucas Luiz Romero")*(23/1083),IF(C4456="JR",SUMIFS($D:$D,$A:$A,$A4456,$B:$B,"&lt;&gt;Patrícia Karla de Sousa Araújo",$B:$B,"&lt;&gt;Lorena Dias de Araujo",$B:$B,"&lt;&gt;Lucas Luiz Romero")*(20/1083),IF(C4456="Estágio",SUMIFS($D:$D,$A:$A,$A4456,$B:$B,"&lt;&gt;Patrícia Karla de Sousa Araújo",$B:$B,"&lt;&gt;Lorena Dias de Araujo",$B:$B,"&lt;&gt;Lucas Luiz Romero")*(10/1083),0)))))),0)</f>
        <v/>
      </c>
      <c r="K4456" s="3">
        <f>I4456-J4456</f>
        <v/>
      </c>
      <c r="L4456" s="3">
        <f>IF(K4456&lt;-5,"CRÍTICO",IF(K4456&lt;0,"ATENÇÃO",IF(K4456&lt;=5,"OPORTUNO","MUITO BOM")))</f>
        <v/>
      </c>
      <c r="M4456" s="3" t="n">
        <v>14</v>
      </c>
      <c r="N4456" s="3" t="n">
        <v>100</v>
      </c>
      <c r="O4456" s="3" t="n">
        <v>18.14516129032258</v>
      </c>
    </row>
    <row r="4457" hidden="1">
      <c r="A4457" s="5" t="n">
        <v>46163</v>
      </c>
      <c r="B4457" s="6" t="inlineStr">
        <is>
          <t>Luiz Fernando de Carvalho Junior</t>
        </is>
      </c>
      <c r="C4457" s="3" t="inlineStr">
        <is>
          <t>Técnico I</t>
        </is>
      </c>
      <c r="D4457" s="3" t="n">
        <v>22</v>
      </c>
      <c r="E4457" s="3" t="n">
        <v>20</v>
      </c>
      <c r="F4457" s="3" t="n">
        <v>19.06</v>
      </c>
      <c r="G4457" s="3" t="n">
        <v>0</v>
      </c>
      <c r="H4457" s="3" t="n">
        <v>0</v>
      </c>
      <c r="I4457" s="3">
        <f>E4457+G4457+H4457</f>
        <v/>
      </c>
      <c r="J4457" s="3">
        <f>ROUND(MIN(IF(C4457="Técnico III",35,IF(C4457="Técnico II",28,IF(C4457="Técnico I",23,IF(C4457="JR",20,IF(C4457="Estágio",10,0))))),IF(C4457="Técnico III",SUMIFS($D:$D,$A:$A,$A4457,$B:$B,"&lt;&gt;Patrícia Karla de Sousa Araújo",$B:$B,"&lt;&gt;Lorena Dias de Araujo",$B:$B,"&lt;&gt;Lucas Luiz Romero")*(35/1083),IF(C4457="Técnico II",SUMIFS($D:$D,$A:$A,$A4457,$B:$B,"&lt;&gt;Patrícia Karla de Sousa Araújo",$B:$B,"&lt;&gt;Lorena Dias de Araujo",$B:$B,"&lt;&gt;Lucas Luiz Romero")*(28/1083),IF(C4457="Técnico I",SUMIFS($D:$D,$A:$A,$A4457,$B:$B,"&lt;&gt;Patrícia Karla de Sousa Araújo",$B:$B,"&lt;&gt;Lorena Dias de Araujo",$B:$B,"&lt;&gt;Lucas Luiz Romero")*(23/1083),IF(C4457="JR",SUMIFS($D:$D,$A:$A,$A4457,$B:$B,"&lt;&gt;Patrícia Karla de Sousa Araújo",$B:$B,"&lt;&gt;Lorena Dias de Araujo",$B:$B,"&lt;&gt;Lucas Luiz Romero")*(20/1083),IF(C4457="Estágio",SUMIFS($D:$D,$A:$A,$A4457,$B:$B,"&lt;&gt;Patrícia Karla de Sousa Araújo",$B:$B,"&lt;&gt;Lorena Dias de Araujo",$B:$B,"&lt;&gt;Lucas Luiz Romero")*(10/1083),0)))))),0)</f>
        <v/>
      </c>
      <c r="K4457" s="3">
        <f>I4457-J4457</f>
        <v/>
      </c>
      <c r="L4457" s="3">
        <f>IF(K4457&lt;-5,"CRÍTICO",IF(K4457&lt;0,"ATENÇÃO",IF(K4457&lt;=5,"OPORTUNO","MUITO BOM")))</f>
        <v/>
      </c>
      <c r="M4457" s="3" t="n">
        <v>21</v>
      </c>
      <c r="N4457" s="3" t="n">
        <v>93.26000000000001</v>
      </c>
      <c r="O4457" s="3" t="n">
        <v>19.93957703927493</v>
      </c>
    </row>
    <row r="4458" hidden="1">
      <c r="A4458" s="5" t="n">
        <v>46163</v>
      </c>
      <c r="B4458" s="6" t="inlineStr">
        <is>
          <t>Raane Batista Matos</t>
        </is>
      </c>
      <c r="C4458" s="3" t="inlineStr">
        <is>
          <t>Técnico I</t>
        </is>
      </c>
      <c r="D4458" s="3" t="n">
        <v>27</v>
      </c>
      <c r="E4458" s="3" t="n">
        <v>27</v>
      </c>
      <c r="F4458" s="3" t="n">
        <v>15.1</v>
      </c>
      <c r="G4458" s="3" t="n">
        <v>0</v>
      </c>
      <c r="H4458" s="3" t="n">
        <v>0</v>
      </c>
      <c r="I4458" s="3">
        <f>E4458+G4458+H4458</f>
        <v/>
      </c>
      <c r="J4458" s="3">
        <f>ROUND(MIN(IF(C4458="Técnico III",35,IF(C4458="Técnico II",28,IF(C4458="Técnico I",23,IF(C4458="JR",20,IF(C4458="Estágio",10,0))))),IF(C4458="Técnico III",SUMIFS($D:$D,$A:$A,$A4458,$B:$B,"&lt;&gt;Patrícia Karla de Sousa Araújo",$B:$B,"&lt;&gt;Lorena Dias de Araujo",$B:$B,"&lt;&gt;Lucas Luiz Romero")*(35/1083),IF(C4458="Técnico II",SUMIFS($D:$D,$A:$A,$A4458,$B:$B,"&lt;&gt;Patrícia Karla de Sousa Araújo",$B:$B,"&lt;&gt;Lorena Dias de Araujo",$B:$B,"&lt;&gt;Lucas Luiz Romero")*(28/1083),IF(C4458="Técnico I",SUMIFS($D:$D,$A:$A,$A4458,$B:$B,"&lt;&gt;Patrícia Karla de Sousa Araújo",$B:$B,"&lt;&gt;Lorena Dias de Araujo",$B:$B,"&lt;&gt;Lucas Luiz Romero")*(23/1083),IF(C4458="JR",SUMIFS($D:$D,$A:$A,$A4458,$B:$B,"&lt;&gt;Patrícia Karla de Sousa Araújo",$B:$B,"&lt;&gt;Lorena Dias de Araujo",$B:$B,"&lt;&gt;Lucas Luiz Romero")*(20/1083),IF(C4458="Estágio",SUMIFS($D:$D,$A:$A,$A4458,$B:$B,"&lt;&gt;Patrícia Karla de Sousa Araújo",$B:$B,"&lt;&gt;Lorena Dias de Araujo",$B:$B,"&lt;&gt;Lucas Luiz Romero")*(10/1083),0)))))),0)</f>
        <v/>
      </c>
      <c r="K4458" s="3">
        <f>I4458-J4458</f>
        <v/>
      </c>
      <c r="L4458" s="3">
        <f>IF(K4458&lt;-5,"CRÍTICO",IF(K4458&lt;0,"ATENÇÃO",IF(K4458&lt;=5,"OPORTUNO","MUITO BOM")))</f>
        <v/>
      </c>
      <c r="M4458" s="3" t="n">
        <v>20</v>
      </c>
      <c r="N4458" s="3" t="n">
        <v>97.56</v>
      </c>
      <c r="O4458" s="3" t="n">
        <v>19.28783382789317</v>
      </c>
    </row>
    <row r="4459" hidden="1">
      <c r="A4459" s="5" t="n">
        <v>46163</v>
      </c>
      <c r="B4459" s="6" t="inlineStr">
        <is>
          <t>Sara Maria Monteiro Lopes</t>
        </is>
      </c>
      <c r="C4459" s="3" t="inlineStr">
        <is>
          <t>Técnico I</t>
        </is>
      </c>
      <c r="D4459" s="3" t="n">
        <v>12</v>
      </c>
      <c r="E4459" s="3" t="n">
        <v>12</v>
      </c>
      <c r="F4459" s="3" t="n">
        <v>44.02</v>
      </c>
      <c r="G4459" s="3" t="n">
        <v>0</v>
      </c>
      <c r="H4459" s="3" t="n">
        <v>0</v>
      </c>
      <c r="I4459" s="3">
        <f>E4459+G4459+H4459</f>
        <v/>
      </c>
      <c r="J4459" s="3">
        <f>ROUND(MIN(IF(C4459="Técnico III",35,IF(C4459="Técnico II",28,IF(C4459="Técnico I",23,IF(C4459="JR",20,IF(C4459="Estágio",10,0))))),IF(C4459="Técnico III",SUMIFS($D:$D,$A:$A,$A4459,$B:$B,"&lt;&gt;Patrícia Karla de Sousa Araújo",$B:$B,"&lt;&gt;Lorena Dias de Araujo",$B:$B,"&lt;&gt;Lucas Luiz Romero")*(35/1083),IF(C4459="Técnico II",SUMIFS($D:$D,$A:$A,$A4459,$B:$B,"&lt;&gt;Patrícia Karla de Sousa Araújo",$B:$B,"&lt;&gt;Lorena Dias de Araujo",$B:$B,"&lt;&gt;Lucas Luiz Romero")*(28/1083),IF(C4459="Técnico I",SUMIFS($D:$D,$A:$A,$A4459,$B:$B,"&lt;&gt;Patrícia Karla de Sousa Araújo",$B:$B,"&lt;&gt;Lorena Dias de Araujo",$B:$B,"&lt;&gt;Lucas Luiz Romero")*(23/1083),IF(C4459="JR",SUMIFS($D:$D,$A:$A,$A4459,$B:$B,"&lt;&gt;Patrícia Karla de Sousa Araújo",$B:$B,"&lt;&gt;Lorena Dias de Araujo",$B:$B,"&lt;&gt;Lucas Luiz Romero")*(20/1083),IF(C4459="Estágio",SUMIFS($D:$D,$A:$A,$A4459,$B:$B,"&lt;&gt;Patrícia Karla de Sousa Araújo",$B:$B,"&lt;&gt;Lorena Dias de Araujo",$B:$B,"&lt;&gt;Lucas Luiz Romero")*(10/1083),0)))))),0)</f>
        <v/>
      </c>
      <c r="K4459" s="3">
        <f>I4459-J4459</f>
        <v/>
      </c>
      <c r="L4459" s="3">
        <f>IF(K4459&lt;-5,"CRÍTICO",IF(K4459&lt;0,"ATENÇÃO",IF(K4459&lt;=5,"OPORTUNO","MUITO BOM")))</f>
        <v/>
      </c>
      <c r="M4459" s="3" t="n">
        <v>10</v>
      </c>
      <c r="N4459" s="3" t="n">
        <v>100</v>
      </c>
      <c r="O4459" s="3" t="n">
        <v>16.97247706422019</v>
      </c>
    </row>
    <row r="4460" hidden="1">
      <c r="A4460" s="10" t="n">
        <v>46164</v>
      </c>
      <c r="B4460" s="6" t="inlineStr">
        <is>
          <t>Ana Karollyne Souza Faria</t>
        </is>
      </c>
      <c r="C4460" s="3" t="inlineStr">
        <is>
          <t>Técnico I</t>
        </is>
      </c>
      <c r="D4460" s="3" t="n">
        <v>11</v>
      </c>
      <c r="E4460" s="3" t="n">
        <v>9</v>
      </c>
      <c r="F4460" s="3" t="n">
        <v>15.17</v>
      </c>
      <c r="G4460" s="3" t="n">
        <v>3</v>
      </c>
      <c r="H4460" s="3" t="n">
        <v>0</v>
      </c>
      <c r="I4460" s="3">
        <f>E4460+G4460+H4460</f>
        <v/>
      </c>
      <c r="J4460" s="3">
        <f>ROUND(MIN(IF(C4460="Técnico III",35,IF(C4460="Técnico II",28,IF(C4460="Técnico I",23,IF(C4460="JR",20,IF(C4460="Estágio",10,0))))),IF(C4460="Técnico III",SUMIFS($D:$D,$A:$A,$A4460,$B:$B,"&lt;&gt;Patrícia Karla de Sousa Araújo",$B:$B,"&lt;&gt;Lorena Dias de Araujo",$B:$B,"&lt;&gt;Lucas Luiz Romero")*(35/1083),IF(C4460="Técnico II",SUMIFS($D:$D,$A:$A,$A4460,$B:$B,"&lt;&gt;Patrícia Karla de Sousa Araújo",$B:$B,"&lt;&gt;Lorena Dias de Araujo",$B:$B,"&lt;&gt;Lucas Luiz Romero")*(28/1083),IF(C4460="Técnico I",SUMIFS($D:$D,$A:$A,$A4460,$B:$B,"&lt;&gt;Patrícia Karla de Sousa Araújo",$B:$B,"&lt;&gt;Lorena Dias de Araujo",$B:$B,"&lt;&gt;Lucas Luiz Romero")*(23/1083),IF(C4460="JR",SUMIFS($D:$D,$A:$A,$A4460,$B:$B,"&lt;&gt;Patrícia Karla de Sousa Araújo",$B:$B,"&lt;&gt;Lorena Dias de Araujo",$B:$B,"&lt;&gt;Lucas Luiz Romero")*(20/1083),IF(C4460="Estágio",SUMIFS($D:$D,$A:$A,$A4460,$B:$B,"&lt;&gt;Patrícia Karla de Sousa Araújo",$B:$B,"&lt;&gt;Lorena Dias de Araujo",$B:$B,"&lt;&gt;Lucas Luiz Romero")*(10/1083),0)))))),0)</f>
        <v/>
      </c>
      <c r="K4460" s="3">
        <f>I4460-J4460</f>
        <v/>
      </c>
      <c r="L4460" s="3">
        <f>IF(K4460&lt;-5,"CRÍTICO",IF(K4460&lt;0,"ATENÇÃO",IF(K4460&lt;=5,"OPORTUNO","MUITO BOM")))</f>
        <v/>
      </c>
      <c r="M4460" s="3" t="n">
        <v>10</v>
      </c>
      <c r="N4460" s="3" t="n">
        <v>95.38</v>
      </c>
      <c r="O4460" s="3" t="n">
        <v>21.5962441314554</v>
      </c>
    </row>
    <row r="4461" hidden="1">
      <c r="A4461" s="10" t="n">
        <v>46164</v>
      </c>
      <c r="B4461" s="6" t="inlineStr">
        <is>
          <t>Clessiane Pereira dos Santos</t>
        </is>
      </c>
      <c r="C4461" s="3" t="inlineStr">
        <is>
          <t>Técnico I</t>
        </is>
      </c>
      <c r="D4461" s="3" t="n">
        <v>15</v>
      </c>
      <c r="E4461" s="3" t="n">
        <v>14</v>
      </c>
      <c r="F4461" s="3" t="n">
        <v>12.06</v>
      </c>
      <c r="G4461" s="3" t="n">
        <v>0</v>
      </c>
      <c r="H4461" s="3" t="n">
        <v>0</v>
      </c>
      <c r="I4461" s="3">
        <f>E4461+G4461+H4461</f>
        <v/>
      </c>
      <c r="J4461" s="3">
        <f>ROUND(MIN(IF(C4461="Técnico III",35,IF(C4461="Técnico II",28,IF(C4461="Técnico I",23,IF(C4461="JR",20,IF(C4461="Estágio",10,0))))),IF(C4461="Técnico III",SUMIFS($D:$D,$A:$A,$A4461,$B:$B,"&lt;&gt;Patrícia Karla de Sousa Araújo",$B:$B,"&lt;&gt;Lorena Dias de Araujo",$B:$B,"&lt;&gt;Lucas Luiz Romero")*(35/1083),IF(C4461="Técnico II",SUMIFS($D:$D,$A:$A,$A4461,$B:$B,"&lt;&gt;Patrícia Karla de Sousa Araújo",$B:$B,"&lt;&gt;Lorena Dias de Araujo",$B:$B,"&lt;&gt;Lucas Luiz Romero")*(28/1083),IF(C4461="Técnico I",SUMIFS($D:$D,$A:$A,$A4461,$B:$B,"&lt;&gt;Patrícia Karla de Sousa Araújo",$B:$B,"&lt;&gt;Lorena Dias de Araujo",$B:$B,"&lt;&gt;Lucas Luiz Romero")*(23/1083),IF(C4461="JR",SUMIFS($D:$D,$A:$A,$A4461,$B:$B,"&lt;&gt;Patrícia Karla de Sousa Araújo",$B:$B,"&lt;&gt;Lorena Dias de Araujo",$B:$B,"&lt;&gt;Lucas Luiz Romero")*(20/1083),IF(C4461="Estágio",SUMIFS($D:$D,$A:$A,$A4461,$B:$B,"&lt;&gt;Patrícia Karla de Sousa Araújo",$B:$B,"&lt;&gt;Lorena Dias de Araujo",$B:$B,"&lt;&gt;Lucas Luiz Romero")*(10/1083),0)))))),0)</f>
        <v/>
      </c>
      <c r="K4461" s="3">
        <f>I4461-J4461</f>
        <v/>
      </c>
      <c r="L4461" s="3">
        <f>IF(K4461&lt;-5,"CRÍTICO",IF(K4461&lt;0,"ATENÇÃO",IF(K4461&lt;=5,"OPORTUNO","MUITO BOM")))</f>
        <v/>
      </c>
      <c r="M4461" s="3" t="n">
        <v>12</v>
      </c>
      <c r="N4461" s="3" t="n">
        <v>96.88</v>
      </c>
      <c r="O4461" s="3" t="n">
        <v>19.52662721893491</v>
      </c>
    </row>
    <row r="4462" hidden="1">
      <c r="A4462" s="10" t="n">
        <v>46164</v>
      </c>
      <c r="B4462" s="6" t="inlineStr">
        <is>
          <t>Daniel Gomes da Silva</t>
        </is>
      </c>
      <c r="C4462" s="3" t="inlineStr">
        <is>
          <t>Técnico I</t>
        </is>
      </c>
      <c r="D4462" s="3" t="n">
        <v>24</v>
      </c>
      <c r="E4462" s="3" t="n">
        <v>23</v>
      </c>
      <c r="F4462" s="3" t="n">
        <v>10.35</v>
      </c>
      <c r="G4462" s="3" t="n">
        <v>0</v>
      </c>
      <c r="H4462" s="3" t="n">
        <v>0</v>
      </c>
      <c r="I4462" s="3">
        <f>E4462+G4462+H4462</f>
        <v/>
      </c>
      <c r="J4462" s="3">
        <f>ROUND(MIN(IF(C4462="Técnico III",35,IF(C4462="Técnico II",28,IF(C4462="Técnico I",23,IF(C4462="JR",20,IF(C4462="Estágio",10,0))))),IF(C4462="Técnico III",SUMIFS($D:$D,$A:$A,$A4462,$B:$B,"&lt;&gt;Patrícia Karla de Sousa Araújo",$B:$B,"&lt;&gt;Lorena Dias de Araujo",$B:$B,"&lt;&gt;Lucas Luiz Romero")*(35/1083),IF(C4462="Técnico II",SUMIFS($D:$D,$A:$A,$A4462,$B:$B,"&lt;&gt;Patrícia Karla de Sousa Araújo",$B:$B,"&lt;&gt;Lorena Dias de Araujo",$B:$B,"&lt;&gt;Lucas Luiz Romero")*(28/1083),IF(C4462="Técnico I",SUMIFS($D:$D,$A:$A,$A4462,$B:$B,"&lt;&gt;Patrícia Karla de Sousa Araújo",$B:$B,"&lt;&gt;Lorena Dias de Araujo",$B:$B,"&lt;&gt;Lucas Luiz Romero")*(23/1083),IF(C4462="JR",SUMIFS($D:$D,$A:$A,$A4462,$B:$B,"&lt;&gt;Patrícia Karla de Sousa Araújo",$B:$B,"&lt;&gt;Lorena Dias de Araujo",$B:$B,"&lt;&gt;Lucas Luiz Romero")*(20/1083),IF(C4462="Estágio",SUMIFS($D:$D,$A:$A,$A4462,$B:$B,"&lt;&gt;Patrícia Karla de Sousa Araújo",$B:$B,"&lt;&gt;Lorena Dias de Araujo",$B:$B,"&lt;&gt;Lucas Luiz Romero")*(10/1083),0)))))),0)</f>
        <v/>
      </c>
      <c r="K4462" s="3">
        <f>I4462-J4462</f>
        <v/>
      </c>
      <c r="L4462" s="3">
        <f>IF(K4462&lt;-5,"CRÍTICO",IF(K4462&lt;0,"ATENÇÃO",IF(K4462&lt;=5,"OPORTUNO","MUITO BOM")))</f>
        <v/>
      </c>
      <c r="M4462" s="3" t="n">
        <v>18</v>
      </c>
      <c r="N4462" s="3" t="n">
        <v>100</v>
      </c>
      <c r="O4462" s="3" t="n">
        <v>18.14516129032258</v>
      </c>
    </row>
    <row r="4463" hidden="1">
      <c r="A4463" s="10" t="n">
        <v>46164</v>
      </c>
      <c r="B4463" s="6" t="inlineStr">
        <is>
          <t>Luiz Fernando de Carvalho Junior</t>
        </is>
      </c>
      <c r="C4463" s="3" t="inlineStr">
        <is>
          <t>Técnico I</t>
        </is>
      </c>
      <c r="D4463" s="3" t="n">
        <v>8</v>
      </c>
      <c r="E4463" s="3" t="n">
        <v>8</v>
      </c>
      <c r="F4463" s="3" t="n">
        <v>32.37</v>
      </c>
      <c r="G4463" s="3" t="n">
        <v>0</v>
      </c>
      <c r="H4463" s="3" t="n">
        <v>0</v>
      </c>
      <c r="I4463" s="3">
        <f>E4463+G4463+H4463</f>
        <v/>
      </c>
      <c r="J4463" s="3">
        <f>ROUND(MIN(IF(C4463="Técnico III",35,IF(C4463="Técnico II",28,IF(C4463="Técnico I",23,IF(C4463="JR",20,IF(C4463="Estágio",10,0))))),IF(C4463="Técnico III",SUMIFS($D:$D,$A:$A,$A4463,$B:$B,"&lt;&gt;Patrícia Karla de Sousa Araújo",$B:$B,"&lt;&gt;Lorena Dias de Araujo",$B:$B,"&lt;&gt;Lucas Luiz Romero")*(35/1083),IF(C4463="Técnico II",SUMIFS($D:$D,$A:$A,$A4463,$B:$B,"&lt;&gt;Patrícia Karla de Sousa Araújo",$B:$B,"&lt;&gt;Lorena Dias de Araujo",$B:$B,"&lt;&gt;Lucas Luiz Romero")*(28/1083),IF(C4463="Técnico I",SUMIFS($D:$D,$A:$A,$A4463,$B:$B,"&lt;&gt;Patrícia Karla de Sousa Araújo",$B:$B,"&lt;&gt;Lorena Dias de Araujo",$B:$B,"&lt;&gt;Lucas Luiz Romero")*(23/1083),IF(C4463="JR",SUMIFS($D:$D,$A:$A,$A4463,$B:$B,"&lt;&gt;Patrícia Karla de Sousa Araújo",$B:$B,"&lt;&gt;Lorena Dias de Araujo",$B:$B,"&lt;&gt;Lucas Luiz Romero")*(20/1083),IF(C4463="Estágio",SUMIFS($D:$D,$A:$A,$A4463,$B:$B,"&lt;&gt;Patrícia Karla de Sousa Araújo",$B:$B,"&lt;&gt;Lorena Dias de Araujo",$B:$B,"&lt;&gt;Lucas Luiz Romero")*(10/1083),0)))))),0)</f>
        <v/>
      </c>
      <c r="K4463" s="3">
        <f>I4463-J4463</f>
        <v/>
      </c>
      <c r="L4463" s="3">
        <f>IF(K4463&lt;-5,"CRÍTICO",IF(K4463&lt;0,"ATENÇÃO",IF(K4463&lt;=5,"OPORTUNO","MUITO BOM")))</f>
        <v/>
      </c>
      <c r="M4463" s="3" t="n">
        <v>8</v>
      </c>
      <c r="N4463" s="3" t="n">
        <v>93.26000000000001</v>
      </c>
      <c r="O4463" s="3" t="n">
        <v>19.93957703927493</v>
      </c>
    </row>
    <row r="4464" hidden="1">
      <c r="A4464" s="10" t="n">
        <v>46164</v>
      </c>
      <c r="B4464" s="6" t="inlineStr">
        <is>
          <t>Raane Batista Matos</t>
        </is>
      </c>
      <c r="C4464" s="3" t="inlineStr">
        <is>
          <t>Técnico I</t>
        </is>
      </c>
      <c r="D4464" s="3" t="n">
        <v>18</v>
      </c>
      <c r="E4464" s="3" t="n">
        <v>18</v>
      </c>
      <c r="F4464" s="3" t="n">
        <v>20.45</v>
      </c>
      <c r="G4464" s="3" t="n">
        <v>2</v>
      </c>
      <c r="H4464" s="3" t="n">
        <v>0</v>
      </c>
      <c r="I4464" s="3">
        <f>E4464+G4464+H4464</f>
        <v/>
      </c>
      <c r="J4464" s="3">
        <f>ROUND(MIN(IF(C4464="Técnico III",35,IF(C4464="Técnico II",28,IF(C4464="Técnico I",23,IF(C4464="JR",20,IF(C4464="Estágio",10,0))))),IF(C4464="Técnico III",SUMIFS($D:$D,$A:$A,$A4464,$B:$B,"&lt;&gt;Patrícia Karla de Sousa Araújo",$B:$B,"&lt;&gt;Lorena Dias de Araujo",$B:$B,"&lt;&gt;Lucas Luiz Romero")*(35/1083),IF(C4464="Técnico II",SUMIFS($D:$D,$A:$A,$A4464,$B:$B,"&lt;&gt;Patrícia Karla de Sousa Araújo",$B:$B,"&lt;&gt;Lorena Dias de Araujo",$B:$B,"&lt;&gt;Lucas Luiz Romero")*(28/1083),IF(C4464="Técnico I",SUMIFS($D:$D,$A:$A,$A4464,$B:$B,"&lt;&gt;Patrícia Karla de Sousa Araújo",$B:$B,"&lt;&gt;Lorena Dias de Araujo",$B:$B,"&lt;&gt;Lucas Luiz Romero")*(23/1083),IF(C4464="JR",SUMIFS($D:$D,$A:$A,$A4464,$B:$B,"&lt;&gt;Patrícia Karla de Sousa Araújo",$B:$B,"&lt;&gt;Lorena Dias de Araujo",$B:$B,"&lt;&gt;Lucas Luiz Romero")*(20/1083),IF(C4464="Estágio",SUMIFS($D:$D,$A:$A,$A4464,$B:$B,"&lt;&gt;Patrícia Karla de Sousa Araújo",$B:$B,"&lt;&gt;Lorena Dias de Araujo",$B:$B,"&lt;&gt;Lucas Luiz Romero")*(10/1083),0)))))),0)</f>
        <v/>
      </c>
      <c r="K4464" s="3">
        <f>I4464-J4464</f>
        <v/>
      </c>
      <c r="L4464" s="3">
        <f>IF(K4464&lt;-5,"CRÍTICO",IF(K4464&lt;0,"ATENÇÃO",IF(K4464&lt;=5,"OPORTUNO","MUITO BOM")))</f>
        <v/>
      </c>
      <c r="M4464" s="3" t="n">
        <v>12</v>
      </c>
      <c r="N4464" s="3" t="n">
        <v>97.56</v>
      </c>
      <c r="O4464" s="3" t="n">
        <v>19.28783382789317</v>
      </c>
    </row>
    <row r="4465" hidden="1">
      <c r="A4465" s="10" t="n">
        <v>46164</v>
      </c>
      <c r="B4465" s="6" t="inlineStr">
        <is>
          <t>Sara Maria Monteiro Lopes</t>
        </is>
      </c>
      <c r="C4465" s="3" t="inlineStr">
        <is>
          <t>Técnico I</t>
        </is>
      </c>
      <c r="D4465" s="3" t="n">
        <v>17</v>
      </c>
      <c r="E4465" s="3" t="n">
        <v>16</v>
      </c>
      <c r="F4465" s="3" t="n">
        <v>20.55</v>
      </c>
      <c r="G4465" s="3" t="n">
        <v>1</v>
      </c>
      <c r="H4465" s="3" t="n">
        <v>0</v>
      </c>
      <c r="I4465" s="3">
        <f>E4465+G4465+H4465</f>
        <v/>
      </c>
      <c r="J4465" s="3">
        <f>ROUND(MIN(IF(C4465="Técnico III",35,IF(C4465="Técnico II",28,IF(C4465="Técnico I",23,IF(C4465="JR",20,IF(C4465="Estágio",10,0))))),IF(C4465="Técnico III",SUMIFS($D:$D,$A:$A,$A4465,$B:$B,"&lt;&gt;Patrícia Karla de Sousa Araújo",$B:$B,"&lt;&gt;Lorena Dias de Araujo",$B:$B,"&lt;&gt;Lucas Luiz Romero")*(35/1083),IF(C4465="Técnico II",SUMIFS($D:$D,$A:$A,$A4465,$B:$B,"&lt;&gt;Patrícia Karla de Sousa Araújo",$B:$B,"&lt;&gt;Lorena Dias de Araujo",$B:$B,"&lt;&gt;Lucas Luiz Romero")*(28/1083),IF(C4465="Técnico I",SUMIFS($D:$D,$A:$A,$A4465,$B:$B,"&lt;&gt;Patrícia Karla de Sousa Araújo",$B:$B,"&lt;&gt;Lorena Dias de Araujo",$B:$B,"&lt;&gt;Lucas Luiz Romero")*(23/1083),IF(C4465="JR",SUMIFS($D:$D,$A:$A,$A4465,$B:$B,"&lt;&gt;Patrícia Karla de Sousa Araújo",$B:$B,"&lt;&gt;Lorena Dias de Araujo",$B:$B,"&lt;&gt;Lucas Luiz Romero")*(20/1083),IF(C4465="Estágio",SUMIFS($D:$D,$A:$A,$A4465,$B:$B,"&lt;&gt;Patrícia Karla de Sousa Araújo",$B:$B,"&lt;&gt;Lorena Dias de Araujo",$B:$B,"&lt;&gt;Lucas Luiz Romero")*(10/1083),0)))))),0)</f>
        <v/>
      </c>
      <c r="K4465" s="3">
        <f>I4465-J4465</f>
        <v/>
      </c>
      <c r="L4465" s="3">
        <f>IF(K4465&lt;-5,"CRÍTICO",IF(K4465&lt;0,"ATENÇÃO",IF(K4465&lt;=5,"OPORTUNO","MUITO BOM")))</f>
        <v/>
      </c>
      <c r="M4465" s="3" t="n">
        <v>17</v>
      </c>
      <c r="N4465" s="3" t="n">
        <v>100</v>
      </c>
      <c r="O4465" s="3" t="n">
        <v>16.97247706422019</v>
      </c>
    </row>
    <row r="4466" hidden="1">
      <c r="A4466" s="11" t="n">
        <v>46167</v>
      </c>
      <c r="B4466" t="inlineStr">
        <is>
          <t>Ana Karollyne Souza Faria</t>
        </is>
      </c>
      <c r="C4466" t="inlineStr">
        <is>
          <t>Técnico I</t>
        </is>
      </c>
      <c r="D4466" t="n">
        <v>25</v>
      </c>
      <c r="E4466" t="n">
        <v>24</v>
      </c>
      <c r="F4466" t="n">
        <v>15.25</v>
      </c>
      <c r="G4466" t="n">
        <v>0</v>
      </c>
      <c r="H4466" t="n">
        <v>0</v>
      </c>
      <c r="I4466" s="3" t="n">
        <v>0</v>
      </c>
      <c r="J4466" s="3" t="n">
        <v>0</v>
      </c>
      <c r="K4466" s="3" t="n">
        <v>0</v>
      </c>
      <c r="L4466" s="3">
        <f>IF(K4466&lt;-5,"CRÍTICO",IF(K4466&lt;0,"ATENÇÃO",IF(K4466&lt;=5,"OPORTUNO","MUITO BOM")))</f>
        <v/>
      </c>
    </row>
    <row r="4467" hidden="1">
      <c r="A4467" s="11" t="n">
        <v>46167</v>
      </c>
      <c r="B4467" t="inlineStr">
        <is>
          <t>Clessiane Pereira dos Santos</t>
        </is>
      </c>
      <c r="C4467" t="inlineStr">
        <is>
          <t>Técnico I</t>
        </is>
      </c>
      <c r="D4467" t="n">
        <v>11</v>
      </c>
      <c r="E4467" t="n">
        <v>11</v>
      </c>
      <c r="F4467" t="n">
        <v>15.57</v>
      </c>
      <c r="G4467" t="n">
        <v>0</v>
      </c>
      <c r="H4467" t="n">
        <v>0</v>
      </c>
      <c r="I4467" s="3" t="n">
        <v>0</v>
      </c>
      <c r="J4467" s="3" t="n">
        <v>0</v>
      </c>
      <c r="K4467" s="3" t="n">
        <v>0</v>
      </c>
      <c r="L4467" s="3">
        <f>IF(K4467&lt;-5,"CRÍTICO",IF(K4467&lt;0,"ATENÇÃO",IF(K4467&lt;=5,"OPORTUNO","MUITO BOM")))</f>
        <v/>
      </c>
    </row>
    <row r="4468" hidden="1">
      <c r="A4468" s="11" t="n">
        <v>46167</v>
      </c>
      <c r="B4468" t="inlineStr">
        <is>
          <t>Daniel Gomes da Silva</t>
        </is>
      </c>
      <c r="C4468" t="inlineStr">
        <is>
          <t>Técnico I</t>
        </is>
      </c>
      <c r="D4468" t="n">
        <v>28</v>
      </c>
      <c r="E4468" t="n">
        <v>25</v>
      </c>
      <c r="F4468" t="n">
        <v>13.29</v>
      </c>
      <c r="G4468" t="n">
        <v>0</v>
      </c>
      <c r="H4468" t="n">
        <v>0</v>
      </c>
      <c r="I4468" s="3" t="n">
        <v>0</v>
      </c>
      <c r="J4468" s="3" t="n">
        <v>0</v>
      </c>
      <c r="K4468" s="3" t="n">
        <v>0</v>
      </c>
      <c r="L4468" s="3">
        <f>IF(K4468&lt;-5,"CRÍTICO",IF(K4468&lt;0,"ATENÇÃO",IF(K4468&lt;=5,"OPORTUNO","MUITO BOM")))</f>
        <v/>
      </c>
    </row>
    <row r="4469" hidden="1">
      <c r="A4469" s="11" t="n">
        <v>46167</v>
      </c>
      <c r="B4469" t="inlineStr">
        <is>
          <t>Luiz Fernando de Carvalho Junior</t>
        </is>
      </c>
      <c r="C4469" t="inlineStr">
        <is>
          <t>Técnico I</t>
        </is>
      </c>
      <c r="D4469" t="n">
        <v>14</v>
      </c>
      <c r="E4469" t="n">
        <v>14</v>
      </c>
      <c r="F4469" t="n">
        <v>28.35</v>
      </c>
      <c r="G4469" t="n">
        <v>0</v>
      </c>
      <c r="H4469" t="n">
        <v>0</v>
      </c>
      <c r="I4469" s="3" t="n">
        <v>0</v>
      </c>
      <c r="J4469" s="3" t="n">
        <v>0</v>
      </c>
      <c r="K4469" s="3" t="n">
        <v>0</v>
      </c>
      <c r="L4469" s="3">
        <f>IF(K4469&lt;-5,"CRÍTICO",IF(K4469&lt;0,"ATENÇÃO",IF(K4469&lt;=5,"OPORTUNO","MUITO BOM")))</f>
        <v/>
      </c>
    </row>
    <row r="4470" hidden="1">
      <c r="A4470" s="11" t="n">
        <v>46167</v>
      </c>
      <c r="B4470" t="inlineStr">
        <is>
          <t>Raane Batista Matos</t>
        </is>
      </c>
      <c r="C4470" t="inlineStr">
        <is>
          <t>Técnico I</t>
        </is>
      </c>
      <c r="D4470" t="n">
        <v>28</v>
      </c>
      <c r="E4470" t="n">
        <v>26</v>
      </c>
      <c r="F4470" t="n">
        <v>15.04</v>
      </c>
      <c r="G4470" t="n">
        <v>0</v>
      </c>
      <c r="H4470" t="n">
        <v>0</v>
      </c>
      <c r="I4470" s="3" t="n">
        <v>0</v>
      </c>
      <c r="J4470" s="3" t="n">
        <v>0</v>
      </c>
      <c r="K4470" s="3" t="n">
        <v>0</v>
      </c>
      <c r="L4470" s="3">
        <f>IF(K4470&lt;-5,"CRÍTICO",IF(K4470&lt;0,"ATENÇÃO",IF(K4470&lt;=5,"OPORTUNO","MUITO BOM")))</f>
        <v/>
      </c>
    </row>
    <row r="4471" hidden="1">
      <c r="A4471" s="11" t="n">
        <v>46167</v>
      </c>
      <c r="B4471" t="inlineStr">
        <is>
          <t>Sara Maria Monteiro Lopes</t>
        </is>
      </c>
      <c r="C4471" t="inlineStr">
        <is>
          <t>Técnico I</t>
        </is>
      </c>
      <c r="D4471" t="n">
        <v>17</v>
      </c>
      <c r="E4471" t="n">
        <v>17</v>
      </c>
      <c r="F4471" t="n">
        <v>25.3</v>
      </c>
      <c r="G4471" t="n">
        <v>0</v>
      </c>
      <c r="H4471" t="n">
        <v>0</v>
      </c>
      <c r="I4471" s="3" t="n">
        <v>0</v>
      </c>
      <c r="J4471" s="3" t="n">
        <v>0</v>
      </c>
      <c r="K4471" s="3" t="n">
        <v>0</v>
      </c>
      <c r="L4471" s="3">
        <f>IF(K4471&lt;-5,"CRÍTICO",IF(K4471&lt;0,"ATENÇÃO",IF(K4471&lt;=5,"OPORTUNO","MUITO BOM")))</f>
        <v/>
      </c>
    </row>
    <row r="4472" hidden="1">
      <c r="A4472" s="11" t="n">
        <v>46140</v>
      </c>
      <c r="B4472" t="inlineStr">
        <is>
          <t>Gabriel Gomes de Andrade</t>
        </is>
      </c>
      <c r="C4472" t="inlineStr">
        <is>
          <t>Técnico I</t>
        </is>
      </c>
      <c r="D4472" t="n">
        <v>9</v>
      </c>
      <c r="E4472" t="n">
        <v>5</v>
      </c>
      <c r="F4472" t="n">
        <v>10.29</v>
      </c>
      <c r="G4472" t="n">
        <v>0</v>
      </c>
      <c r="H4472" t="n">
        <v>0</v>
      </c>
      <c r="I4472" s="3">
        <f>E4472+G4472+H4472</f>
        <v/>
      </c>
      <c r="J4472" s="3">
        <f>ROUND(MIN(IF(C4472="Técnico III",35,IF(C4472="Técnico II",28,IF(C4472="Técnico I",23,IF(C4472="JR",20,IF(C4472="Estágio",10,0))))),IF(C4472="Técnico III",SUMIFS($D:$D,$A:$A,$A4472,$B:$B,"&lt;&gt;Patrícia Karla de Sousa Araújo",$B:$B,"&lt;&gt;Lorena Dias de Araujo",$B:$B,"&lt;&gt;Lucas Luiz Romero")*(35/1083),IF(C4472="Técnico II",SUMIFS($D:$D,$A:$A,$A4472,$B:$B,"&lt;&gt;Patrícia Karla de Sousa Araújo",$B:$B,"&lt;&gt;Lorena Dias de Araujo",$B:$B,"&lt;&gt;Lucas Luiz Romero")*(28/1083),IF(C4472="Técnico I",SUMIFS($D:$D,$A:$A,$A4472,$B:$B,"&lt;&gt;Patrícia Karla de Sousa Araújo",$B:$B,"&lt;&gt;Lorena Dias de Araujo",$B:$B,"&lt;&gt;Lucas Luiz Romero")*(23/1083),IF(C4472="JR",SUMIFS($D:$D,$A:$A,$A4472,$B:$B,"&lt;&gt;Patrícia Karla de Sousa Araújo",$B:$B,"&lt;&gt;Lorena Dias de Araujo",$B:$B,"&lt;&gt;Lucas Luiz Romero")*(20/1083),IF(C4472="Estágio",SUMIFS($D:$D,$A:$A,$A4472,$B:$B,"&lt;&gt;Patrícia Karla de Sousa Araújo",$B:$B,"&lt;&gt;Lorena Dias de Araujo",$B:$B,"&lt;&gt;Lucas Luiz Romero")*(10/1083),0)))))),0)</f>
        <v/>
      </c>
      <c r="K4472" s="3">
        <f>I4472-J4472</f>
        <v/>
      </c>
      <c r="L4472" s="3">
        <f>IF(K4472&lt;-5,"CRÍTICO",IF(K4472&lt;0,"ATENÇÃO",IF(K4472&lt;=5,"OPORTUNO","MUITO BOM")))</f>
        <v/>
      </c>
      <c r="N4472" t="n">
        <v>99.28</v>
      </c>
      <c r="O4472" t="n">
        <v>27.68924302788844</v>
      </c>
    </row>
    <row r="4473" hidden="1">
      <c r="A4473" s="11" t="n">
        <v>46141</v>
      </c>
      <c r="B4473" t="inlineStr">
        <is>
          <t>Gabriel Gomes de Andrade</t>
        </is>
      </c>
      <c r="C4473" t="inlineStr">
        <is>
          <t>Técnico I</t>
        </is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s="3" t="n">
        <v>0</v>
      </c>
      <c r="J4473" s="3" t="n">
        <v>0</v>
      </c>
      <c r="K4473" s="3" t="n">
        <v>0</v>
      </c>
      <c r="L4473" s="3">
        <f>IF(K4473&lt;-5,"CRÍTICO",IF(K4473&lt;0,"ATENÇÃO",IF(K4473&lt;=5,"OPORTUNO","MUITO BOM")))</f>
        <v/>
      </c>
      <c r="N4473" t="n">
        <v>99.28</v>
      </c>
      <c r="O4473" t="n">
        <v>27.68924302788844</v>
      </c>
    </row>
    <row r="4474" hidden="1">
      <c r="A4474" s="11" t="n">
        <v>46142</v>
      </c>
      <c r="B4474" t="inlineStr">
        <is>
          <t>Gabriel Gomes de Andrade</t>
        </is>
      </c>
      <c r="C4474" t="inlineStr">
        <is>
          <t>Técnico I</t>
        </is>
      </c>
      <c r="D4474" t="n">
        <v>3</v>
      </c>
      <c r="E4474" t="n">
        <v>3</v>
      </c>
      <c r="F4474" t="n">
        <v>15.05</v>
      </c>
      <c r="G4474" t="n">
        <v>0</v>
      </c>
      <c r="H4474" t="n">
        <v>0</v>
      </c>
      <c r="I4474" s="3">
        <f>E4474+G4474+H4474</f>
        <v/>
      </c>
      <c r="J4474" s="3">
        <f>ROUND(MIN(IF(C4474="Técnico III",35,IF(C4474="Técnico II",28,IF(C4474="Técnico I",23,IF(C4474="JR",20,IF(C4474="Estágio",10,0))))),IF(C4474="Técnico III",SUMIFS($D:$D,$A:$A,$A4474,$B:$B,"&lt;&gt;Patrícia Karla de Sousa Araújo",$B:$B,"&lt;&gt;Lorena Dias de Araujo",$B:$B,"&lt;&gt;Lucas Luiz Romero")*(35/1083),IF(C4474="Técnico II",SUMIFS($D:$D,$A:$A,$A4474,$B:$B,"&lt;&gt;Patrícia Karla de Sousa Araújo",$B:$B,"&lt;&gt;Lorena Dias de Araujo",$B:$B,"&lt;&gt;Lucas Luiz Romero")*(28/1083),IF(C4474="Técnico I",SUMIFS($D:$D,$A:$A,$A4474,$B:$B,"&lt;&gt;Patrícia Karla de Sousa Araújo",$B:$B,"&lt;&gt;Lorena Dias de Araujo",$B:$B,"&lt;&gt;Lucas Luiz Romero")*(23/1083),IF(C4474="JR",SUMIFS($D:$D,$A:$A,$A4474,$B:$B,"&lt;&gt;Patrícia Karla de Sousa Araújo",$B:$B,"&lt;&gt;Lorena Dias de Araujo",$B:$B,"&lt;&gt;Lucas Luiz Romero")*(20/1083),IF(C4474="Estágio",SUMIFS($D:$D,$A:$A,$A4474,$B:$B,"&lt;&gt;Patrícia Karla de Sousa Araújo",$B:$B,"&lt;&gt;Lorena Dias de Araujo",$B:$B,"&lt;&gt;Lucas Luiz Romero")*(10/1083),0)))))),0)</f>
        <v/>
      </c>
      <c r="K4474" s="3">
        <f>I4474-J4474</f>
        <v/>
      </c>
      <c r="L4474" s="3">
        <f>IF(K4474&lt;-5,"CRÍTICO",IF(K4474&lt;0,"ATENÇÃO",IF(K4474&lt;=5,"OPORTUNO","MUITO BOM")))</f>
        <v/>
      </c>
      <c r="N4474" t="n">
        <v>99.28</v>
      </c>
      <c r="O4474" t="n">
        <v>27.68924302788844</v>
      </c>
    </row>
    <row r="4475" hidden="1">
      <c r="A4475" s="5" t="n">
        <v>46146</v>
      </c>
      <c r="B4475" s="6" t="inlineStr">
        <is>
          <t>Gabriel Gomes de Andrade</t>
        </is>
      </c>
      <c r="C4475" s="3" t="inlineStr">
        <is>
          <t>Técnico I</t>
        </is>
      </c>
      <c r="D4475" s="3" t="n">
        <v>24</v>
      </c>
      <c r="E4475" s="3" t="n">
        <v>20</v>
      </c>
      <c r="F4475" s="3" t="n">
        <v>21.45</v>
      </c>
      <c r="G4475" s="3" t="n">
        <v>7</v>
      </c>
      <c r="H4475" s="3" t="n">
        <v>0</v>
      </c>
      <c r="I4475" s="3">
        <f>E4475+G4475+H4475</f>
        <v/>
      </c>
      <c r="J4475" s="3">
        <f>ROUND(MIN(IF(C4475="Técnico III",35,IF(C4475="Técnico II",28,IF(C4475="Técnico I",23,IF(C4475="JR",20,IF(C4475="Estágio",10,0))))),IF(C4475="Técnico III",SUMIFS($D:$D,$A:$A,$A4475,$B:$B,"&lt;&gt;Patrícia Karla de Sousa Araújo",$B:$B,"&lt;&gt;Lorena Dias de Araujo",$B:$B,"&lt;&gt;Lucas Luiz Romero")*(35/1083),IF(C4475="Técnico II",SUMIFS($D:$D,$A:$A,$A4475,$B:$B,"&lt;&gt;Patrícia Karla de Sousa Araújo",$B:$B,"&lt;&gt;Lorena Dias de Araujo",$B:$B,"&lt;&gt;Lucas Luiz Romero")*(28/1083),IF(C4475="Técnico I",SUMIFS($D:$D,$A:$A,$A4475,$B:$B,"&lt;&gt;Patrícia Karla de Sousa Araújo",$B:$B,"&lt;&gt;Lorena Dias de Araujo",$B:$B,"&lt;&gt;Lucas Luiz Romero")*(23/1083),IF(C4475="JR",SUMIFS($D:$D,$A:$A,$A4475,$B:$B,"&lt;&gt;Patrícia Karla de Sousa Araújo",$B:$B,"&lt;&gt;Lorena Dias de Araujo",$B:$B,"&lt;&gt;Lucas Luiz Romero")*(20/1083),IF(C4475="Estágio",SUMIFS($D:$D,$A:$A,$A4475,$B:$B,"&lt;&gt;Patrícia Karla de Sousa Araújo",$B:$B,"&lt;&gt;Lorena Dias de Araujo",$B:$B,"&lt;&gt;Lucas Luiz Romero")*(10/1083),0)))))),0)</f>
        <v/>
      </c>
      <c r="K4475" s="3">
        <f>I4475-J4475</f>
        <v/>
      </c>
      <c r="L4475" s="3">
        <f>IF(K4475&lt;-5,"CRÍTICO",IF(K4475&lt;0,"ATENÇÃO",IF(K4475&lt;=5,"OPORTUNO","MUITO BOM")))</f>
        <v/>
      </c>
      <c r="M4475" s="9" t="n">
        <v>22</v>
      </c>
      <c r="N4475" s="9" t="n">
        <v>98.8</v>
      </c>
      <c r="O4475" s="9" t="n">
        <v>15.41353383458646</v>
      </c>
    </row>
    <row r="4476" hidden="1">
      <c r="A4476" s="5" t="n">
        <v>46147</v>
      </c>
      <c r="B4476" s="6" t="inlineStr">
        <is>
          <t>Gabriel Gomes de Andrade</t>
        </is>
      </c>
      <c r="C4476" s="3" t="inlineStr">
        <is>
          <t>Técnico I</t>
        </is>
      </c>
      <c r="D4476" s="3" t="n">
        <v>13</v>
      </c>
      <c r="E4476" s="3" t="n">
        <v>12</v>
      </c>
      <c r="F4476" s="3" t="n">
        <v>17.15</v>
      </c>
      <c r="G4476" s="3" t="n">
        <v>9</v>
      </c>
      <c r="H4476" s="3" t="n">
        <v>0</v>
      </c>
      <c r="I4476" s="3">
        <f>E4476+G4476+H4476</f>
        <v/>
      </c>
      <c r="J4476" s="3">
        <f>ROUND(MIN(IF(C4476="Técnico III",35,IF(C4476="Técnico II",28,IF(C4476="Técnico I",23,IF(C4476="JR",20,IF(C4476="Estágio",10,0))))),IF(C4476="Técnico III",SUMIFS($D:$D,$A:$A,$A4476,$B:$B,"&lt;&gt;Patrícia Karla de Sousa Araújo",$B:$B,"&lt;&gt;Lorena Dias de Araujo",$B:$B,"&lt;&gt;Lucas Luiz Romero")*(35/1083),IF(C4476="Técnico II",SUMIFS($D:$D,$A:$A,$A4476,$B:$B,"&lt;&gt;Patrícia Karla de Sousa Araújo",$B:$B,"&lt;&gt;Lorena Dias de Araujo",$B:$B,"&lt;&gt;Lucas Luiz Romero")*(28/1083),IF(C4476="Técnico I",SUMIFS($D:$D,$A:$A,$A4476,$B:$B,"&lt;&gt;Patrícia Karla de Sousa Araújo",$B:$B,"&lt;&gt;Lorena Dias de Araujo",$B:$B,"&lt;&gt;Lucas Luiz Romero")*(23/1083),IF(C4476="JR",SUMIFS($D:$D,$A:$A,$A4476,$B:$B,"&lt;&gt;Patrícia Karla de Sousa Araújo",$B:$B,"&lt;&gt;Lorena Dias de Araujo",$B:$B,"&lt;&gt;Lucas Luiz Romero")*(20/1083),IF(C4476="Estágio",SUMIFS($D:$D,$A:$A,$A4476,$B:$B,"&lt;&gt;Patrícia Karla de Sousa Araújo",$B:$B,"&lt;&gt;Lorena Dias de Araujo",$B:$B,"&lt;&gt;Lucas Luiz Romero")*(10/1083),0)))))),0)</f>
        <v/>
      </c>
      <c r="K4476" s="3">
        <f>I4476-J4476</f>
        <v/>
      </c>
      <c r="L4476" s="3">
        <f>IF(K4476&lt;-5,"CRÍTICO",IF(K4476&lt;0,"ATENÇÃO",IF(K4476&lt;=5,"OPORTUNO","MUITO BOM")))</f>
        <v/>
      </c>
      <c r="M4476" s="3" t="n">
        <v>12</v>
      </c>
      <c r="N4476" s="3" t="n">
        <v>98.8</v>
      </c>
      <c r="O4476" s="3" t="n">
        <v>15.41353383458646</v>
      </c>
    </row>
    <row r="4477" hidden="1">
      <c r="A4477" s="5" t="n">
        <v>46148</v>
      </c>
      <c r="B4477" s="6" t="inlineStr">
        <is>
          <t>Gabriel Gomes de Andrade</t>
        </is>
      </c>
      <c r="C4477" s="3" t="inlineStr">
        <is>
          <t>Técnico I</t>
        </is>
      </c>
      <c r="D4477" s="3" t="n">
        <v>23</v>
      </c>
      <c r="E4477" s="3" t="n">
        <v>22</v>
      </c>
      <c r="F4477" t="n">
        <v>20.21</v>
      </c>
      <c r="G4477" s="3" t="n">
        <v>9</v>
      </c>
      <c r="H4477" s="3" t="n">
        <v>0</v>
      </c>
      <c r="I4477" s="3">
        <f>E4477+G4477+H4477</f>
        <v/>
      </c>
      <c r="J4477" s="3">
        <f>ROUND(MIN(IF(C4477="Técnico III",35,IF(C4477="Técnico II",28,IF(C4477="Técnico I",23,IF(C4477="JR",20,IF(C4477="Estágio",10,0))))),IF(C4477="Técnico III",SUMIFS($D:$D,$A:$A,$A4477,$B:$B,"&lt;&gt;Patrícia Karla de Sousa Araújo",$B:$B,"&lt;&gt;Lorena Dias de Araujo",$B:$B,"&lt;&gt;Lucas Luiz Romero")*(35/1083),IF(C4477="Técnico II",SUMIFS($D:$D,$A:$A,$A4477,$B:$B,"&lt;&gt;Patrícia Karla de Sousa Araújo",$B:$B,"&lt;&gt;Lorena Dias de Araujo",$B:$B,"&lt;&gt;Lucas Luiz Romero")*(28/1083),IF(C4477="Técnico I",SUMIFS($D:$D,$A:$A,$A4477,$B:$B,"&lt;&gt;Patrícia Karla de Sousa Araújo",$B:$B,"&lt;&gt;Lorena Dias de Araujo",$B:$B,"&lt;&gt;Lucas Luiz Romero")*(23/1083),IF(C4477="JR",SUMIFS($D:$D,$A:$A,$A4477,$B:$B,"&lt;&gt;Patrícia Karla de Sousa Araújo",$B:$B,"&lt;&gt;Lorena Dias de Araujo",$B:$B,"&lt;&gt;Lucas Luiz Romero")*(20/1083),IF(C4477="Estágio",SUMIFS($D:$D,$A:$A,$A4477,$B:$B,"&lt;&gt;Patrícia Karla de Sousa Araújo",$B:$B,"&lt;&gt;Lorena Dias de Araujo",$B:$B,"&lt;&gt;Lucas Luiz Romero")*(10/1083),0)))))),0)</f>
        <v/>
      </c>
      <c r="K4477" s="3">
        <f>I4477-J4477</f>
        <v/>
      </c>
      <c r="L4477" s="3">
        <f>IF(K4477&lt;-5,"CRÍTICO",IF(K4477&lt;0,"ATENÇÃO",IF(K4477&lt;=5,"OPORTUNO","MUITO BOM")))</f>
        <v/>
      </c>
      <c r="M4477" s="3" t="n">
        <v>24</v>
      </c>
      <c r="N4477" s="3" t="n">
        <v>98.8</v>
      </c>
      <c r="O4477" s="3" t="n">
        <v>15.41353383458646</v>
      </c>
    </row>
    <row r="4478" hidden="1">
      <c r="A4478" s="5" t="n">
        <v>46149</v>
      </c>
      <c r="B4478" s="6" t="inlineStr">
        <is>
          <t>Gabriel Gomes de Andrade</t>
        </is>
      </c>
      <c r="C4478" s="3" t="inlineStr">
        <is>
          <t>Técnico I</t>
        </is>
      </c>
      <c r="D4478" s="3" t="n">
        <v>26</v>
      </c>
      <c r="E4478" s="3" t="n">
        <v>26</v>
      </c>
      <c r="F4478" t="n">
        <v>18.46</v>
      </c>
      <c r="G4478" s="3" t="n">
        <v>2</v>
      </c>
      <c r="H4478" s="3" t="n">
        <v>0</v>
      </c>
      <c r="I4478" s="3">
        <f>E4478+G4478+H4478</f>
        <v/>
      </c>
      <c r="J4478" s="3">
        <f>ROUND(MIN(IF(C4478="Técnico III",35,IF(C4478="Técnico II",28,IF(C4478="Técnico I",23,IF(C4478="JR",20,IF(C4478="Estágio",10,0))))),IF(C4478="Técnico III",SUMIFS($D:$D,$A:$A,$A4478,$B:$B,"&lt;&gt;Patrícia Karla de Sousa Araújo",$B:$B,"&lt;&gt;Lorena Dias de Araujo",$B:$B,"&lt;&gt;Lucas Luiz Romero")*(35/1083),IF(C4478="Técnico II",SUMIFS($D:$D,$A:$A,$A4478,$B:$B,"&lt;&gt;Patrícia Karla de Sousa Araújo",$B:$B,"&lt;&gt;Lorena Dias de Araujo",$B:$B,"&lt;&gt;Lucas Luiz Romero")*(28/1083),IF(C4478="Técnico I",SUMIFS($D:$D,$A:$A,$A4478,$B:$B,"&lt;&gt;Patrícia Karla de Sousa Araújo",$B:$B,"&lt;&gt;Lorena Dias de Araujo",$B:$B,"&lt;&gt;Lucas Luiz Romero")*(23/1083),IF(C4478="JR",SUMIFS($D:$D,$A:$A,$A4478,$B:$B,"&lt;&gt;Patrícia Karla de Sousa Araújo",$B:$B,"&lt;&gt;Lorena Dias de Araujo",$B:$B,"&lt;&gt;Lucas Luiz Romero")*(20/1083),IF(C4478="Estágio",SUMIFS($D:$D,$A:$A,$A4478,$B:$B,"&lt;&gt;Patrícia Karla de Sousa Araújo",$B:$B,"&lt;&gt;Lorena Dias de Araujo",$B:$B,"&lt;&gt;Lucas Luiz Romero")*(10/1083),0)))))),0)</f>
        <v/>
      </c>
      <c r="K4478" s="3">
        <f>I4478-J4478</f>
        <v/>
      </c>
      <c r="L4478" s="3">
        <f>IF(K4478&lt;-5,"CRÍTICO",IF(K4478&lt;0,"ATENÇÃO",IF(K4478&lt;=5,"OPORTUNO","MUITO BOM")))</f>
        <v/>
      </c>
      <c r="M4478" s="3" t="n">
        <v>24</v>
      </c>
      <c r="N4478" s="3" t="n">
        <v>98.8</v>
      </c>
      <c r="O4478" s="3" t="n">
        <v>15.41353383458646</v>
      </c>
    </row>
    <row r="4479" hidden="1">
      <c r="A4479" s="5" t="n">
        <v>46150</v>
      </c>
      <c r="B4479" s="6" t="inlineStr">
        <is>
          <t>Gabriel Gomes de Andrade</t>
        </is>
      </c>
      <c r="C4479" s="3" t="inlineStr">
        <is>
          <t>Técnico I</t>
        </is>
      </c>
      <c r="D4479" s="3" t="n">
        <v>0</v>
      </c>
      <c r="E4479" s="3" t="n">
        <v>0</v>
      </c>
      <c r="F4479" s="3" t="n">
        <v>0</v>
      </c>
      <c r="G4479" s="3" t="n">
        <v>0</v>
      </c>
      <c r="H4479" s="3" t="n">
        <v>0</v>
      </c>
      <c r="I4479" s="3" t="n">
        <v>0</v>
      </c>
      <c r="J4479" s="3" t="n">
        <v>0</v>
      </c>
      <c r="K4479" s="3" t="n">
        <v>0</v>
      </c>
      <c r="L4479" s="3">
        <f>IF(K4479&lt;-5,"CRÍTICO",IF(K4479&lt;0,"ATENÇÃO",IF(K4479&lt;=5,"OPORTUNO","MUITO BOM")))</f>
        <v/>
      </c>
      <c r="M4479" s="9" t="n">
        <v>0</v>
      </c>
      <c r="N4479" s="9" t="n">
        <v>98.8</v>
      </c>
      <c r="O4479" s="9" t="n">
        <v>15.41353383458646</v>
      </c>
    </row>
    <row r="4480" hidden="1">
      <c r="A4480" s="5" t="n">
        <v>46153</v>
      </c>
      <c r="B4480" s="6" t="inlineStr">
        <is>
          <t>Gabriel Gomes de Andrade</t>
        </is>
      </c>
      <c r="C4480" s="3" t="inlineStr">
        <is>
          <t>Técnico I</t>
        </is>
      </c>
      <c r="D4480" s="3" t="n">
        <v>25</v>
      </c>
      <c r="E4480" s="3" t="n">
        <v>22</v>
      </c>
      <c r="F4480" t="n">
        <v>17.3</v>
      </c>
      <c r="G4480" s="3" t="n">
        <v>5</v>
      </c>
      <c r="H4480" s="3" t="n">
        <v>0</v>
      </c>
      <c r="I4480" s="3">
        <f>E4480+G4480+H4480</f>
        <v/>
      </c>
      <c r="J4480" s="3">
        <f>ROUND(MIN(IF(C4480="Técnico III",35,IF(C4480="Técnico II",28,IF(C4480="Técnico I",23,IF(C4480="JR",20,IF(C4480="Estágio",10,0))))),IF(C4480="Técnico III",SUMIFS($D:$D,$A:$A,$A4480,$B:$B,"&lt;&gt;Patrícia Karla de Sousa Araújo",$B:$B,"&lt;&gt;Lorena Dias de Araujo",$B:$B,"&lt;&gt;Lucas Luiz Romero")*(35/1083),IF(C4480="Técnico II",SUMIFS($D:$D,$A:$A,$A4480,$B:$B,"&lt;&gt;Patrícia Karla de Sousa Araújo",$B:$B,"&lt;&gt;Lorena Dias de Araujo",$B:$B,"&lt;&gt;Lucas Luiz Romero")*(28/1083),IF(C4480="Técnico I",SUMIFS($D:$D,$A:$A,$A4480,$B:$B,"&lt;&gt;Patrícia Karla de Sousa Araújo",$B:$B,"&lt;&gt;Lorena Dias de Araujo",$B:$B,"&lt;&gt;Lucas Luiz Romero")*(23/1083),IF(C4480="JR",SUMIFS($D:$D,$A:$A,$A4480,$B:$B,"&lt;&gt;Patrícia Karla de Sousa Araújo",$B:$B,"&lt;&gt;Lorena Dias de Araujo",$B:$B,"&lt;&gt;Lucas Luiz Romero")*(20/1083),IF(C4480="Estágio",SUMIFS($D:$D,$A:$A,$A4480,$B:$B,"&lt;&gt;Patrícia Karla de Sousa Araújo",$B:$B,"&lt;&gt;Lorena Dias de Araujo",$B:$B,"&lt;&gt;Lucas Luiz Romero")*(10/1083),0)))))),0)</f>
        <v/>
      </c>
      <c r="K4480" s="3">
        <f>I4480-J4480</f>
        <v/>
      </c>
      <c r="L4480" s="3">
        <f>IF(K4480&lt;-5,"CRÍTICO",IF(K4480&lt;0,"ATENÇÃO",IF(K4480&lt;=5,"OPORTUNO","MUITO BOM")))</f>
        <v/>
      </c>
      <c r="M4480" t="n">
        <v>23</v>
      </c>
      <c r="N4480" t="n">
        <v>98.8</v>
      </c>
      <c r="O4480" t="n">
        <v>15.41353383458646</v>
      </c>
    </row>
    <row r="4481" hidden="1">
      <c r="A4481" s="5" t="n">
        <v>46154</v>
      </c>
      <c r="B4481" s="6" t="inlineStr">
        <is>
          <t>Gabriel Gomes de Andrade</t>
        </is>
      </c>
      <c r="C4481" s="3" t="inlineStr">
        <is>
          <t>Técnico I</t>
        </is>
      </c>
      <c r="D4481" s="3" t="n">
        <v>17</v>
      </c>
      <c r="E4481" s="3" t="n">
        <v>17</v>
      </c>
      <c r="F4481" t="n">
        <v>17.17</v>
      </c>
      <c r="H4481" s="3" t="n">
        <v>7</v>
      </c>
      <c r="I4481" s="3">
        <f>E4481+G4481+H4481</f>
        <v/>
      </c>
      <c r="J4481" s="3">
        <f>ROUND(MIN(IF(C4481="Técnico III",35,IF(C4481="Técnico II",28,IF(C4481="Técnico I",23,IF(C4481="JR",20,IF(C4481="Estágio",10,0))))),IF(C4481="Técnico III",SUMIFS($D:$D,$A:$A,$A4481,$B:$B,"&lt;&gt;Patrícia Karla de Sousa Araújo",$B:$B,"&lt;&gt;Lorena Dias de Araujo",$B:$B,"&lt;&gt;Lucas Luiz Romero")*(35/1083),IF(C4481="Técnico II",SUMIFS($D:$D,$A:$A,$A4481,$B:$B,"&lt;&gt;Patrícia Karla de Sousa Araújo",$B:$B,"&lt;&gt;Lorena Dias de Araujo",$B:$B,"&lt;&gt;Lucas Luiz Romero")*(28/1083),IF(C4481="Técnico I",SUMIFS($D:$D,$A:$A,$A4481,$B:$B,"&lt;&gt;Patrícia Karla de Sousa Araújo",$B:$B,"&lt;&gt;Lorena Dias de Araujo",$B:$B,"&lt;&gt;Lucas Luiz Romero")*(23/1083),IF(C4481="JR",SUMIFS($D:$D,$A:$A,$A4481,$B:$B,"&lt;&gt;Patrícia Karla de Sousa Araújo",$B:$B,"&lt;&gt;Lorena Dias de Araujo",$B:$B,"&lt;&gt;Lucas Luiz Romero")*(20/1083),IF(C4481="Estágio",SUMIFS($D:$D,$A:$A,$A4481,$B:$B,"&lt;&gt;Patrícia Karla de Sousa Araújo",$B:$B,"&lt;&gt;Lorena Dias de Araujo",$B:$B,"&lt;&gt;Lucas Luiz Romero")*(10/1083),0)))))),0)</f>
        <v/>
      </c>
      <c r="K4481" s="3">
        <f>I4481-J4481</f>
        <v/>
      </c>
      <c r="L4481" s="3">
        <f>IF(K4481&lt;-5,"CRÍTICO",IF(K4481&lt;0,"ATENÇÃO",IF(K4481&lt;=5,"OPORTUNO","MUITO BOM")))</f>
        <v/>
      </c>
      <c r="M4481" t="n">
        <v>24</v>
      </c>
      <c r="N4481" t="n">
        <v>98.8</v>
      </c>
      <c r="O4481" t="n">
        <v>15.41353383458646</v>
      </c>
    </row>
    <row r="4482" hidden="1">
      <c r="A4482" s="5" t="n">
        <v>46155</v>
      </c>
      <c r="B4482" s="6" t="inlineStr">
        <is>
          <t>Gabriel Gomes de Andrade</t>
        </is>
      </c>
      <c r="C4482" s="3" t="inlineStr">
        <is>
          <t>Técnico I</t>
        </is>
      </c>
      <c r="D4482" s="3" t="n">
        <v>20</v>
      </c>
      <c r="E4482" s="3" t="n">
        <v>16</v>
      </c>
      <c r="F4482" t="n">
        <v>23.26</v>
      </c>
      <c r="G4482" s="3" t="n">
        <v>11</v>
      </c>
      <c r="H4482" s="3" t="n">
        <v>7</v>
      </c>
      <c r="I4482" s="3">
        <f>E4482+G4482+H4482</f>
        <v/>
      </c>
      <c r="J4482" s="3">
        <f>ROUND(MIN(IF(C4482="Técnico III",35,IF(C4482="Técnico II",28,IF(C4482="Técnico I",23,IF(C4482="JR",20,IF(C4482="Estágio",10,0))))),IF(C4482="Técnico III",SUMIFS($D:$D,$A:$A,$A4482,$B:$B,"&lt;&gt;Patrícia Karla de Sousa Araújo",$B:$B,"&lt;&gt;Lorena Dias de Araujo",$B:$B,"&lt;&gt;Lucas Luiz Romero")*(35/1083),IF(C4482="Técnico II",SUMIFS($D:$D,$A:$A,$A4482,$B:$B,"&lt;&gt;Patrícia Karla de Sousa Araújo",$B:$B,"&lt;&gt;Lorena Dias de Araujo",$B:$B,"&lt;&gt;Lucas Luiz Romero")*(28/1083),IF(C4482="Técnico I",SUMIFS($D:$D,$A:$A,$A4482,$B:$B,"&lt;&gt;Patrícia Karla de Sousa Araújo",$B:$B,"&lt;&gt;Lorena Dias de Araujo",$B:$B,"&lt;&gt;Lucas Luiz Romero")*(23/1083),IF(C4482="JR",SUMIFS($D:$D,$A:$A,$A4482,$B:$B,"&lt;&gt;Patrícia Karla de Sousa Araújo",$B:$B,"&lt;&gt;Lorena Dias de Araujo",$B:$B,"&lt;&gt;Lucas Luiz Romero")*(20/1083),IF(C4482="Estágio",SUMIFS($D:$D,$A:$A,$A4482,$B:$B,"&lt;&gt;Patrícia Karla de Sousa Araújo",$B:$B,"&lt;&gt;Lorena Dias de Araujo",$B:$B,"&lt;&gt;Lucas Luiz Romero")*(10/1083),0)))))),0)</f>
        <v/>
      </c>
      <c r="K4482" s="3">
        <f>I4482-J4482</f>
        <v/>
      </c>
      <c r="L4482" s="3">
        <f>IF(K4482&lt;-5,"CRÍTICO",IF(K4482&lt;0,"ATENÇÃO",IF(K4482&lt;=5,"OPORTUNO","MUITO BOM")))</f>
        <v/>
      </c>
      <c r="M4482" t="n">
        <v>18</v>
      </c>
      <c r="N4482" t="n">
        <v>98.8</v>
      </c>
      <c r="O4482" t="n">
        <v>15.41353383458646</v>
      </c>
    </row>
    <row r="4483" hidden="1">
      <c r="A4483" s="5" t="n">
        <v>46156</v>
      </c>
      <c r="B4483" s="6" t="inlineStr">
        <is>
          <t>Gabriel Gomes de Andrade</t>
        </is>
      </c>
      <c r="C4483" s="3" t="inlineStr">
        <is>
          <t>Técnico I</t>
        </is>
      </c>
      <c r="D4483" s="3" t="n">
        <v>19</v>
      </c>
      <c r="E4483" s="3" t="n">
        <v>18</v>
      </c>
      <c r="F4483" t="n">
        <v>22.29</v>
      </c>
      <c r="G4483" s="3" t="n">
        <v>0</v>
      </c>
      <c r="H4483" s="3" t="n">
        <v>5</v>
      </c>
      <c r="I4483" s="3">
        <f>E4483+G4483+H4483</f>
        <v/>
      </c>
      <c r="J4483" s="3">
        <f>ROUND(MIN(IF(C4483="Técnico III",35,IF(C4483="Técnico II",28,IF(C4483="Técnico I",23,IF(C4483="JR",20,IF(C4483="Estágio",10,0))))),IF(C4483="Técnico III",SUMIFS($D:$D,$A:$A,$A4483,$B:$B,"&lt;&gt;Patrícia Karla de Sousa Araújo",$B:$B,"&lt;&gt;Lorena Dias de Araujo",$B:$B,"&lt;&gt;Lucas Luiz Romero")*(35/1083),IF(C4483="Técnico II",SUMIFS($D:$D,$A:$A,$A4483,$B:$B,"&lt;&gt;Patrícia Karla de Sousa Araújo",$B:$B,"&lt;&gt;Lorena Dias de Araujo",$B:$B,"&lt;&gt;Lucas Luiz Romero")*(28/1083),IF(C4483="Técnico I",SUMIFS($D:$D,$A:$A,$A4483,$B:$B,"&lt;&gt;Patrícia Karla de Sousa Araújo",$B:$B,"&lt;&gt;Lorena Dias de Araujo",$B:$B,"&lt;&gt;Lucas Luiz Romero")*(23/1083),IF(C4483="JR",SUMIFS($D:$D,$A:$A,$A4483,$B:$B,"&lt;&gt;Patrícia Karla de Sousa Araújo",$B:$B,"&lt;&gt;Lorena Dias de Araujo",$B:$B,"&lt;&gt;Lucas Luiz Romero")*(20/1083),IF(C4483="Estágio",SUMIFS($D:$D,$A:$A,$A4483,$B:$B,"&lt;&gt;Patrícia Karla de Sousa Araújo",$B:$B,"&lt;&gt;Lorena Dias de Araujo",$B:$B,"&lt;&gt;Lucas Luiz Romero")*(10/1083),0)))))),0)</f>
        <v/>
      </c>
      <c r="K4483" s="3">
        <f>I4483-J4483</f>
        <v/>
      </c>
      <c r="L4483" s="3">
        <f>IF(K4483&lt;-5,"CRÍTICO",IF(K4483&lt;0,"ATENÇÃO",IF(K4483&lt;=5,"OPORTUNO","MUITO BOM")))</f>
        <v/>
      </c>
      <c r="M4483" t="n">
        <v>23</v>
      </c>
      <c r="N4483" t="n">
        <v>98.8</v>
      </c>
      <c r="O4483" t="n">
        <v>15.41353383458646</v>
      </c>
    </row>
    <row r="4484" hidden="1">
      <c r="A4484" s="5" t="n">
        <v>46157</v>
      </c>
      <c r="B4484" s="6" t="inlineStr">
        <is>
          <t>Gabriel Gomes de Andrade</t>
        </is>
      </c>
      <c r="C4484" s="3" t="inlineStr">
        <is>
          <t>Técnico I</t>
        </is>
      </c>
      <c r="D4484" s="3" t="n">
        <v>19</v>
      </c>
      <c r="E4484" s="3" t="n">
        <v>16</v>
      </c>
      <c r="F4484" t="n">
        <v>16.56</v>
      </c>
      <c r="G4484" s="3" t="n">
        <v>6</v>
      </c>
      <c r="H4484" s="3" t="n">
        <v>1</v>
      </c>
      <c r="I4484" s="3">
        <f>E4484+G4484+H4484</f>
        <v/>
      </c>
      <c r="J4484" s="3">
        <f>ROUND(MIN(IF(C4484="Técnico III",35,IF(C4484="Técnico II",28,IF(C4484="Técnico I",23,IF(C4484="JR",20,IF(C4484="Estágio",10,0))))),IF(C4484="Técnico III",SUMIFS($D:$D,$A:$A,$A4484,$B:$B,"&lt;&gt;Patrícia Karla de Sousa Araújo",$B:$B,"&lt;&gt;Lorena Dias de Araujo",$B:$B,"&lt;&gt;Lucas Luiz Romero")*(35/1083),IF(C4484="Técnico II",SUMIFS($D:$D,$A:$A,$A4484,$B:$B,"&lt;&gt;Patrícia Karla de Sousa Araújo",$B:$B,"&lt;&gt;Lorena Dias de Araujo",$B:$B,"&lt;&gt;Lucas Luiz Romero")*(28/1083),IF(C4484="Técnico I",SUMIFS($D:$D,$A:$A,$A4484,$B:$B,"&lt;&gt;Patrícia Karla de Sousa Araújo",$B:$B,"&lt;&gt;Lorena Dias de Araujo",$B:$B,"&lt;&gt;Lucas Luiz Romero")*(23/1083),IF(C4484="JR",SUMIFS($D:$D,$A:$A,$A4484,$B:$B,"&lt;&gt;Patrícia Karla de Sousa Araújo",$B:$B,"&lt;&gt;Lorena Dias de Araujo",$B:$B,"&lt;&gt;Lucas Luiz Romero")*(20/1083),IF(C4484="Estágio",SUMIFS($D:$D,$A:$A,$A4484,$B:$B,"&lt;&gt;Patrícia Karla de Sousa Araújo",$B:$B,"&lt;&gt;Lorena Dias de Araujo",$B:$B,"&lt;&gt;Lucas Luiz Romero")*(10/1083),0)))))),0)</f>
        <v/>
      </c>
      <c r="K4484" s="3">
        <f>I4484-J4484</f>
        <v/>
      </c>
      <c r="L4484" s="3">
        <f>IF(K4484&lt;-5,"CRÍTICO",IF(K4484&lt;0,"ATENÇÃO",IF(K4484&lt;=5,"OPORTUNO","MUITO BOM")))</f>
        <v/>
      </c>
      <c r="M4484" t="n">
        <v>15</v>
      </c>
      <c r="N4484" t="n">
        <v>98.8</v>
      </c>
      <c r="O4484" t="n">
        <v>15.41353383458646</v>
      </c>
    </row>
    <row r="4485" hidden="1">
      <c r="A4485" s="5" t="n">
        <v>46160</v>
      </c>
      <c r="B4485" s="6" t="inlineStr">
        <is>
          <t>Gabriel Gomes de Andrade</t>
        </is>
      </c>
      <c r="C4485" s="3" t="inlineStr">
        <is>
          <t>Técnico I</t>
        </is>
      </c>
      <c r="D4485" s="3" t="n">
        <v>21</v>
      </c>
      <c r="E4485" s="3" t="n">
        <v>18</v>
      </c>
      <c r="F4485" t="n">
        <v>20.22</v>
      </c>
      <c r="G4485" s="3" t="n">
        <v>6</v>
      </c>
      <c r="H4485" s="3" t="n">
        <v>1</v>
      </c>
      <c r="I4485" s="3">
        <f>E4485+G4485+H4485</f>
        <v/>
      </c>
      <c r="J4485" s="3">
        <f>ROUND(MIN(IF(C4485="Técnico III",35,IF(C4485="Técnico II",28,IF(C4485="Técnico I",23,IF(C4485="JR",20,IF(C4485="Estágio",10,0))))),IF(C4485="Técnico III",SUMIFS($D:$D,$A:$A,$A4485,$B:$B,"&lt;&gt;Patrícia Karla de Sousa Araújo",$B:$B,"&lt;&gt;Lorena Dias de Araujo",$B:$B,"&lt;&gt;Lucas Luiz Romero")*(35/1083),IF(C4485="Técnico II",SUMIFS($D:$D,$A:$A,$A4485,$B:$B,"&lt;&gt;Patrícia Karla de Sousa Araújo",$B:$B,"&lt;&gt;Lorena Dias de Araujo",$B:$B,"&lt;&gt;Lucas Luiz Romero")*(28/1083),IF(C4485="Técnico I",SUMIFS($D:$D,$A:$A,$A4485,$B:$B,"&lt;&gt;Patrícia Karla de Sousa Araújo",$B:$B,"&lt;&gt;Lorena Dias de Araujo",$B:$B,"&lt;&gt;Lucas Luiz Romero")*(23/1083),IF(C4485="JR",SUMIFS($D:$D,$A:$A,$A4485,$B:$B,"&lt;&gt;Patrícia Karla de Sousa Araújo",$B:$B,"&lt;&gt;Lorena Dias de Araujo",$B:$B,"&lt;&gt;Lucas Luiz Romero")*(20/1083),IF(C4485="Estágio",SUMIFS($D:$D,$A:$A,$A4485,$B:$B,"&lt;&gt;Patrícia Karla de Sousa Araújo",$B:$B,"&lt;&gt;Lorena Dias de Araujo",$B:$B,"&lt;&gt;Lucas Luiz Romero")*(10/1083),0)))))),0)</f>
        <v/>
      </c>
      <c r="K4485" s="3">
        <f>I4485-J4485</f>
        <v/>
      </c>
      <c r="L4485" s="3">
        <f>IF(K4485&lt;-5,"CRÍTICO",IF(K4485&lt;0,"ATENÇÃO",IF(K4485&lt;=5,"OPORTUNO","MUITO BOM")))</f>
        <v/>
      </c>
      <c r="M4485" t="n">
        <v>18</v>
      </c>
      <c r="N4485" t="n">
        <v>98.8</v>
      </c>
      <c r="O4485" t="n">
        <v>15.41353383458646</v>
      </c>
    </row>
    <row r="4486" hidden="1">
      <c r="A4486" s="7" t="n">
        <v>46161</v>
      </c>
      <c r="B4486" s="8" t="inlineStr">
        <is>
          <t>Gabriel Gomes de Andrade</t>
        </is>
      </c>
      <c r="C4486" s="9" t="inlineStr">
        <is>
          <t>Técnico I</t>
        </is>
      </c>
      <c r="D4486" s="3" t="n">
        <v>19</v>
      </c>
      <c r="E4486" s="3" t="n">
        <v>18</v>
      </c>
      <c r="F4486" t="n">
        <v>21.58</v>
      </c>
      <c r="G4486" s="3" t="n">
        <v>3</v>
      </c>
      <c r="H4486" s="3" t="n">
        <v>3</v>
      </c>
      <c r="I4486" s="3">
        <f>E4486+G4486+H4486</f>
        <v/>
      </c>
      <c r="J4486" s="3">
        <f>ROUND(MIN(IF(C4486="Técnico III",35,IF(C4486="Técnico II",28,IF(C4486="Técnico I",23,IF(C4486="JR",20,IF(C4486="Estágio",10,0))))),IF(C4486="Técnico III",SUMIFS($D:$D,$A:$A,$A4486,$B:$B,"&lt;&gt;Patrícia Karla de Sousa Araújo",$B:$B,"&lt;&gt;Lorena Dias de Araujo",$B:$B,"&lt;&gt;Lucas Luiz Romero")*(35/1083),IF(C4486="Técnico II",SUMIFS($D:$D,$A:$A,$A4486,$B:$B,"&lt;&gt;Patrícia Karla de Sousa Araújo",$B:$B,"&lt;&gt;Lorena Dias de Araujo",$B:$B,"&lt;&gt;Lucas Luiz Romero")*(28/1083),IF(C4486="Técnico I",SUMIFS($D:$D,$A:$A,$A4486,$B:$B,"&lt;&gt;Patrícia Karla de Sousa Araújo",$B:$B,"&lt;&gt;Lorena Dias de Araujo",$B:$B,"&lt;&gt;Lucas Luiz Romero")*(23/1083),IF(C4486="JR",SUMIFS($D:$D,$A:$A,$A4486,$B:$B,"&lt;&gt;Patrícia Karla de Sousa Araújo",$B:$B,"&lt;&gt;Lorena Dias de Araujo",$B:$B,"&lt;&gt;Lucas Luiz Romero")*(20/1083),IF(C4486="Estágio",SUMIFS($D:$D,$A:$A,$A4486,$B:$B,"&lt;&gt;Patrícia Karla de Sousa Araújo",$B:$B,"&lt;&gt;Lorena Dias de Araujo",$B:$B,"&lt;&gt;Lucas Luiz Romero")*(10/1083),0)))))),0)</f>
        <v/>
      </c>
      <c r="K4486" s="3">
        <f>I4486-J4486</f>
        <v/>
      </c>
      <c r="L4486" s="3">
        <f>IF(K4486&lt;-5,"CRÍTICO",IF(K4486&lt;0,"ATENÇÃO",IF(K4486&lt;=5,"OPORTUNO","MUITO BOM")))</f>
        <v/>
      </c>
      <c r="M4486" t="n">
        <v>20</v>
      </c>
      <c r="N4486" t="n">
        <v>98.8</v>
      </c>
      <c r="O4486" t="n">
        <v>15.41353383458646</v>
      </c>
    </row>
    <row r="4487" hidden="1">
      <c r="A4487" s="7" t="n">
        <v>46162</v>
      </c>
      <c r="B4487" s="8" t="inlineStr">
        <is>
          <t>Gabriel Gomes de Andrade</t>
        </is>
      </c>
      <c r="C4487" s="9" t="inlineStr">
        <is>
          <t>Técnico I</t>
        </is>
      </c>
      <c r="D4487" s="3" t="n">
        <v>26</v>
      </c>
      <c r="E4487" s="3" t="n">
        <v>20</v>
      </c>
      <c r="F4487" s="3" t="n">
        <v>15.09</v>
      </c>
      <c r="G4487" s="3" t="n">
        <v>5</v>
      </c>
      <c r="H4487" s="3" t="n">
        <v>2</v>
      </c>
      <c r="I4487" s="3">
        <f>E4487+G4487+H4487</f>
        <v/>
      </c>
      <c r="J4487" s="3">
        <f>ROUND(MIN(IF(C4487="Técnico III",35,IF(C4487="Técnico II",28,IF(C4487="Técnico I",23,IF(C4487="JR",20,IF(C4487="Estágio",10,0))))),IF(C4487="Técnico III",SUMIFS($D:$D,$A:$A,$A4487,$B:$B,"&lt;&gt;Patrícia Karla de Sousa Araújo",$B:$B,"&lt;&gt;Lorena Dias de Araujo",$B:$B,"&lt;&gt;Lucas Luiz Romero")*(35/1083),IF(C4487="Técnico II",SUMIFS($D:$D,$A:$A,$A4487,$B:$B,"&lt;&gt;Patrícia Karla de Sousa Araújo",$B:$B,"&lt;&gt;Lorena Dias de Araujo",$B:$B,"&lt;&gt;Lucas Luiz Romero")*(28/1083),IF(C4487="Técnico I",SUMIFS($D:$D,$A:$A,$A4487,$B:$B,"&lt;&gt;Patrícia Karla de Sousa Araújo",$B:$B,"&lt;&gt;Lorena Dias de Araujo",$B:$B,"&lt;&gt;Lucas Luiz Romero")*(23/1083),IF(C4487="JR",SUMIFS($D:$D,$A:$A,$A4487,$B:$B,"&lt;&gt;Patrícia Karla de Sousa Araújo",$B:$B,"&lt;&gt;Lorena Dias de Araujo",$B:$B,"&lt;&gt;Lucas Luiz Romero")*(20/1083),IF(C4487="Estágio",SUMIFS($D:$D,$A:$A,$A4487,$B:$B,"&lt;&gt;Patrícia Karla de Sousa Araújo",$B:$B,"&lt;&gt;Lorena Dias de Araujo",$B:$B,"&lt;&gt;Lucas Luiz Romero")*(10/1083),0)))))),0)</f>
        <v/>
      </c>
      <c r="K4487" s="3">
        <f>I4487-J4487</f>
        <v/>
      </c>
      <c r="L4487" s="3">
        <f>IF(K4487&lt;-5,"CRÍTICO",IF(K4487&lt;0,"ATENÇÃO",IF(K4487&lt;=5,"OPORTUNO","MUITO BOM")))</f>
        <v/>
      </c>
      <c r="M4487" s="9" t="n">
        <v>21</v>
      </c>
      <c r="N4487" s="9" t="n">
        <v>98.8</v>
      </c>
      <c r="O4487" s="9" t="n">
        <v>15.41353383458646</v>
      </c>
    </row>
    <row r="4488" hidden="1">
      <c r="A4488" s="5" t="n">
        <v>46163</v>
      </c>
      <c r="B4488" s="6" t="inlineStr">
        <is>
          <t>Gabriel Gomes de Andrade</t>
        </is>
      </c>
      <c r="C4488" s="3" t="inlineStr">
        <is>
          <t>Técnico I</t>
        </is>
      </c>
      <c r="D4488" s="3" t="n">
        <v>16</v>
      </c>
      <c r="E4488" s="3" t="n">
        <v>15</v>
      </c>
      <c r="F4488" s="3" t="n">
        <v>25.07</v>
      </c>
      <c r="G4488" s="3" t="n">
        <v>3</v>
      </c>
      <c r="H4488" s="3" t="n">
        <v>0</v>
      </c>
      <c r="I4488" s="3">
        <f>E4488+G4488+H4488</f>
        <v/>
      </c>
      <c r="J4488" s="3">
        <f>ROUND(MIN(IF(C4488="Técnico III",35,IF(C4488="Técnico II",28,IF(C4488="Técnico I",23,IF(C4488="JR",20,IF(C4488="Estágio",10,0))))),IF(C4488="Técnico III",SUMIFS($D:$D,$A:$A,$A4488,$B:$B,"&lt;&gt;Patrícia Karla de Sousa Araújo",$B:$B,"&lt;&gt;Lorena Dias de Araujo",$B:$B,"&lt;&gt;Lucas Luiz Romero")*(35/1083),IF(C4488="Técnico II",SUMIFS($D:$D,$A:$A,$A4488,$B:$B,"&lt;&gt;Patrícia Karla de Sousa Araújo",$B:$B,"&lt;&gt;Lorena Dias de Araujo",$B:$B,"&lt;&gt;Lucas Luiz Romero")*(28/1083),IF(C4488="Técnico I",SUMIFS($D:$D,$A:$A,$A4488,$B:$B,"&lt;&gt;Patrícia Karla de Sousa Araújo",$B:$B,"&lt;&gt;Lorena Dias de Araujo",$B:$B,"&lt;&gt;Lucas Luiz Romero")*(23/1083),IF(C4488="JR",SUMIFS($D:$D,$A:$A,$A4488,$B:$B,"&lt;&gt;Patrícia Karla de Sousa Araújo",$B:$B,"&lt;&gt;Lorena Dias de Araujo",$B:$B,"&lt;&gt;Lucas Luiz Romero")*(20/1083),IF(C4488="Estágio",SUMIFS($D:$D,$A:$A,$A4488,$B:$B,"&lt;&gt;Patrícia Karla de Sousa Araújo",$B:$B,"&lt;&gt;Lorena Dias de Araujo",$B:$B,"&lt;&gt;Lucas Luiz Romero")*(10/1083),0)))))),0)</f>
        <v/>
      </c>
      <c r="K4488" s="3">
        <f>I4488-J4488</f>
        <v/>
      </c>
      <c r="L4488" s="3">
        <f>IF(K4488&lt;-5,"CRÍTICO",IF(K4488&lt;0,"ATENÇÃO",IF(K4488&lt;=5,"OPORTUNO","MUITO BOM")))</f>
        <v/>
      </c>
      <c r="M4488" s="3" t="n">
        <v>15</v>
      </c>
      <c r="N4488" s="3" t="n">
        <v>98.8</v>
      </c>
      <c r="O4488" s="3" t="n">
        <v>15.41353383458646</v>
      </c>
    </row>
    <row r="4489" hidden="1">
      <c r="A4489" s="11" t="n">
        <v>46140</v>
      </c>
      <c r="B4489" t="inlineStr">
        <is>
          <t>Ana Karollyne Souza Faria</t>
        </is>
      </c>
      <c r="C4489" t="inlineStr">
        <is>
          <t>Técnico I</t>
        </is>
      </c>
      <c r="D4489" t="n">
        <v>26</v>
      </c>
      <c r="E4489" t="n">
        <v>24</v>
      </c>
      <c r="F4489" t="n">
        <v>19.19</v>
      </c>
      <c r="G4489" t="n">
        <v>0</v>
      </c>
      <c r="H4489" t="n">
        <v>0</v>
      </c>
      <c r="I4489" s="3">
        <f>E4489+G4489+H4489</f>
        <v/>
      </c>
      <c r="J4489" s="3">
        <f>ROUND(MIN(IF(C4489="Técnico III",35,IF(C4489="Técnico II",28,IF(C4489="Técnico I",23,IF(C4489="JR",20,IF(C4489="Estágio",10,0))))),IF(C4489="Técnico III",SUMIFS($D:$D,$A:$A,$A4489,$B:$B,"&lt;&gt;Patrícia Karla de Sousa Araújo",$B:$B,"&lt;&gt;Lorena Dias de Araujo",$B:$B,"&lt;&gt;Lucas Luiz Romero")*(35/1083),IF(C4489="Técnico II",SUMIFS($D:$D,$A:$A,$A4489,$B:$B,"&lt;&gt;Patrícia Karla de Sousa Araújo",$B:$B,"&lt;&gt;Lorena Dias de Araujo",$B:$B,"&lt;&gt;Lucas Luiz Romero")*(28/1083),IF(C4489="Técnico I",SUMIFS($D:$D,$A:$A,$A4489,$B:$B,"&lt;&gt;Patrícia Karla de Sousa Araújo",$B:$B,"&lt;&gt;Lorena Dias de Araujo",$B:$B,"&lt;&gt;Lucas Luiz Romero")*(23/1083),IF(C4489="JR",SUMIFS($D:$D,$A:$A,$A4489,$B:$B,"&lt;&gt;Patrícia Karla de Sousa Araújo",$B:$B,"&lt;&gt;Lorena Dias de Araujo",$B:$B,"&lt;&gt;Lucas Luiz Romero")*(20/1083),IF(C4489="Estágio",SUMIFS($D:$D,$A:$A,$A4489,$B:$B,"&lt;&gt;Patrícia Karla de Sousa Araújo",$B:$B,"&lt;&gt;Lorena Dias de Araujo",$B:$B,"&lt;&gt;Lucas Luiz Romero")*(10/1083),0)))))),0)</f>
        <v/>
      </c>
      <c r="K4489" s="3">
        <f>I4489-J4489</f>
        <v/>
      </c>
      <c r="L4489" s="3">
        <f>IF(K4489&lt;-5,"CRÍTICO",IF(K4489&lt;0,"ATENÇÃO",IF(K4489&lt;=5,"OPORTUNO","MUITO BOM")))</f>
        <v/>
      </c>
      <c r="N4489" t="n">
        <v>99.31999999999999</v>
      </c>
      <c r="O4489" t="n">
        <v>30.45186640471513</v>
      </c>
    </row>
    <row r="4490" hidden="1">
      <c r="A4490" s="11" t="n">
        <v>46140</v>
      </c>
      <c r="B4490" t="inlineStr">
        <is>
          <t>Clessiane Pereira dos Santos</t>
        </is>
      </c>
      <c r="C4490" t="inlineStr">
        <is>
          <t>Técnico I</t>
        </is>
      </c>
      <c r="D4490" t="n">
        <v>27</v>
      </c>
      <c r="E4490" t="n">
        <v>26</v>
      </c>
      <c r="F4490" t="n">
        <v>15.4</v>
      </c>
      <c r="G4490" t="n">
        <v>0</v>
      </c>
      <c r="H4490" t="n">
        <v>0</v>
      </c>
      <c r="I4490" s="3">
        <f>E4490+G4490+H4490</f>
        <v/>
      </c>
      <c r="J4490" s="3">
        <f>ROUND(MIN(IF(C4490="Técnico III",35,IF(C4490="Técnico II",28,IF(C4490="Técnico I",23,IF(C4490="JR",20,IF(C4490="Estágio",10,0))))),IF(C4490="Técnico III",SUMIFS($D:$D,$A:$A,$A4490,$B:$B,"&lt;&gt;Patrícia Karla de Sousa Araújo",$B:$B,"&lt;&gt;Lorena Dias de Araujo",$B:$B,"&lt;&gt;Lucas Luiz Romero")*(35/1083),IF(C4490="Técnico II",SUMIFS($D:$D,$A:$A,$A4490,$B:$B,"&lt;&gt;Patrícia Karla de Sousa Araújo",$B:$B,"&lt;&gt;Lorena Dias de Araujo",$B:$B,"&lt;&gt;Lucas Luiz Romero")*(28/1083),IF(C4490="Técnico I",SUMIFS($D:$D,$A:$A,$A4490,$B:$B,"&lt;&gt;Patrícia Karla de Sousa Araújo",$B:$B,"&lt;&gt;Lorena Dias de Araujo",$B:$B,"&lt;&gt;Lucas Luiz Romero")*(23/1083),IF(C4490="JR",SUMIFS($D:$D,$A:$A,$A4490,$B:$B,"&lt;&gt;Patrícia Karla de Sousa Araújo",$B:$B,"&lt;&gt;Lorena Dias de Araujo",$B:$B,"&lt;&gt;Lucas Luiz Romero")*(20/1083),IF(C4490="Estágio",SUMIFS($D:$D,$A:$A,$A4490,$B:$B,"&lt;&gt;Patrícia Karla de Sousa Araújo",$B:$B,"&lt;&gt;Lorena Dias de Araujo",$B:$B,"&lt;&gt;Lucas Luiz Romero")*(10/1083),0)))))),0)</f>
        <v/>
      </c>
      <c r="K4490" s="3">
        <f>I4490-J4490</f>
        <v/>
      </c>
      <c r="L4490" s="3">
        <f>IF(K4490&lt;-5,"CRÍTICO",IF(K4490&lt;0,"ATENÇÃO",IF(K4490&lt;=5,"OPORTUNO","MUITO BOM")))</f>
        <v/>
      </c>
      <c r="N4490" t="n">
        <v>96.3</v>
      </c>
      <c r="O4490" t="n">
        <v>31.98090692124105</v>
      </c>
    </row>
    <row r="4491" hidden="1">
      <c r="A4491" s="11" t="n">
        <v>46140</v>
      </c>
      <c r="B4491" t="inlineStr">
        <is>
          <t>Daniel Gomes da Silva</t>
        </is>
      </c>
      <c r="C4491" t="inlineStr">
        <is>
          <t>Técnico I</t>
        </is>
      </c>
      <c r="D4491" t="n">
        <v>17</v>
      </c>
      <c r="E4491" t="n">
        <v>17</v>
      </c>
      <c r="F4491" t="n">
        <v>17.23</v>
      </c>
      <c r="G4491" t="n">
        <v>0</v>
      </c>
      <c r="H4491" t="n">
        <v>0</v>
      </c>
      <c r="I4491" s="3">
        <f>E4491+G4491+H4491</f>
        <v/>
      </c>
      <c r="J4491" s="3">
        <f>ROUND(MIN(IF(C4491="Técnico III",35,IF(C4491="Técnico II",28,IF(C4491="Técnico I",23,IF(C4491="JR",20,IF(C4491="Estágio",10,0))))),IF(C4491="Técnico III",SUMIFS($D:$D,$A:$A,$A4491,$B:$B,"&lt;&gt;Patrícia Karla de Sousa Araújo",$B:$B,"&lt;&gt;Lorena Dias de Araujo",$B:$B,"&lt;&gt;Lucas Luiz Romero")*(35/1083),IF(C4491="Técnico II",SUMIFS($D:$D,$A:$A,$A4491,$B:$B,"&lt;&gt;Patrícia Karla de Sousa Araújo",$B:$B,"&lt;&gt;Lorena Dias de Araujo",$B:$B,"&lt;&gt;Lucas Luiz Romero")*(28/1083),IF(C4491="Técnico I",SUMIFS($D:$D,$A:$A,$A4491,$B:$B,"&lt;&gt;Patrícia Karla de Sousa Araújo",$B:$B,"&lt;&gt;Lorena Dias de Araujo",$B:$B,"&lt;&gt;Lucas Luiz Romero")*(23/1083),IF(C4491="JR",SUMIFS($D:$D,$A:$A,$A4491,$B:$B,"&lt;&gt;Patrícia Karla de Sousa Araújo",$B:$B,"&lt;&gt;Lorena Dias de Araujo",$B:$B,"&lt;&gt;Lucas Luiz Romero")*(20/1083),IF(C4491="Estágio",SUMIFS($D:$D,$A:$A,$A4491,$B:$B,"&lt;&gt;Patrícia Karla de Sousa Araújo",$B:$B,"&lt;&gt;Lorena Dias de Araujo",$B:$B,"&lt;&gt;Lucas Luiz Romero")*(10/1083),0)))))),0)</f>
        <v/>
      </c>
      <c r="K4491" s="3">
        <f>I4491-J4491</f>
        <v/>
      </c>
      <c r="L4491" s="3">
        <f>IF(K4491&lt;-5,"CRÍTICO",IF(K4491&lt;0,"ATENÇÃO",IF(K4491&lt;=5,"OPORTUNO","MUITO BOM")))</f>
        <v/>
      </c>
      <c r="N4491" t="n">
        <v>100</v>
      </c>
      <c r="O4491" t="n">
        <v>36.23188405797102</v>
      </c>
    </row>
    <row r="4492" hidden="1">
      <c r="A4492" s="10" t="n">
        <v>46164</v>
      </c>
      <c r="B4492" s="6" t="inlineStr">
        <is>
          <t>Gabriel Gomes de Andrade</t>
        </is>
      </c>
      <c r="C4492" s="3" t="inlineStr">
        <is>
          <t>Técnico I</t>
        </is>
      </c>
      <c r="D4492" s="3" t="n">
        <v>8</v>
      </c>
      <c r="E4492" s="3" t="n">
        <v>7</v>
      </c>
      <c r="F4492" s="3" t="n">
        <v>18.34</v>
      </c>
      <c r="G4492" s="3" t="n">
        <v>0</v>
      </c>
      <c r="H4492" s="3" t="n">
        <v>0</v>
      </c>
      <c r="I4492" s="3">
        <f>E4492+G4492+H4492</f>
        <v/>
      </c>
      <c r="J4492" s="3">
        <f>ROUND(MIN(IF(C4492="Técnico III",35,IF(C4492="Técnico II",28,IF(C4492="Técnico I",23,IF(C4492="JR",20,IF(C4492="Estágio",10,0))))),IF(C4492="Técnico III",SUMIFS($D:$D,$A:$A,$A4492,$B:$B,"&lt;&gt;Patrícia Karla de Sousa Araújo",$B:$B,"&lt;&gt;Lorena Dias de Araujo",$B:$B,"&lt;&gt;Lucas Luiz Romero")*(35/1083),IF(C4492="Técnico II",SUMIFS($D:$D,$A:$A,$A4492,$B:$B,"&lt;&gt;Patrícia Karla de Sousa Araújo",$B:$B,"&lt;&gt;Lorena Dias de Araujo",$B:$B,"&lt;&gt;Lucas Luiz Romero")*(28/1083),IF(C4492="Técnico I",SUMIFS($D:$D,$A:$A,$A4492,$B:$B,"&lt;&gt;Patrícia Karla de Sousa Araújo",$B:$B,"&lt;&gt;Lorena Dias de Araujo",$B:$B,"&lt;&gt;Lucas Luiz Romero")*(23/1083),IF(C4492="JR",SUMIFS($D:$D,$A:$A,$A4492,$B:$B,"&lt;&gt;Patrícia Karla de Sousa Araújo",$B:$B,"&lt;&gt;Lorena Dias de Araujo",$B:$B,"&lt;&gt;Lucas Luiz Romero")*(20/1083),IF(C4492="Estágio",SUMIFS($D:$D,$A:$A,$A4492,$B:$B,"&lt;&gt;Patrícia Karla de Sousa Araújo",$B:$B,"&lt;&gt;Lorena Dias de Araujo",$B:$B,"&lt;&gt;Lucas Luiz Romero")*(10/1083),0)))))),0)</f>
        <v/>
      </c>
      <c r="K4492" s="3">
        <f>I4492-J4492</f>
        <v/>
      </c>
      <c r="L4492" s="3">
        <f>IF(K4492&lt;-5,"CRÍTICO",IF(K4492&lt;0,"ATENÇÃO",IF(K4492&lt;=5,"OPORTUNO","MUITO BOM")))</f>
        <v/>
      </c>
      <c r="M4492" s="3" t="n">
        <v>7</v>
      </c>
      <c r="N4492" s="3" t="n">
        <v>98.8</v>
      </c>
      <c r="O4492" s="3" t="n">
        <v>15.41353383458646</v>
      </c>
    </row>
    <row r="4493" hidden="1">
      <c r="A4493" s="11" t="n">
        <v>46140</v>
      </c>
      <c r="B4493" t="inlineStr">
        <is>
          <t>Luiz Fernando de Carvalho Junior</t>
        </is>
      </c>
      <c r="C4493" t="inlineStr">
        <is>
          <t>Técnico I</t>
        </is>
      </c>
      <c r="D4493" t="n">
        <v>20</v>
      </c>
      <c r="E4493" t="n">
        <v>19</v>
      </c>
      <c r="F4493" t="n">
        <v>20.09</v>
      </c>
      <c r="G4493" t="n">
        <v>0</v>
      </c>
      <c r="H4493" t="n">
        <v>0</v>
      </c>
      <c r="I4493" s="3">
        <f>E4493+G4493+H4493</f>
        <v/>
      </c>
      <c r="J4493" s="3">
        <f>ROUND(MIN(IF(C4493="Técnico III",35,IF(C4493="Técnico II",28,IF(C4493="Técnico I",23,IF(C4493="JR",20,IF(C4493="Estágio",10,0))))),IF(C4493="Técnico III",SUMIFS($D:$D,$A:$A,$A4493,$B:$B,"&lt;&gt;Patrícia Karla de Sousa Araújo",$B:$B,"&lt;&gt;Lorena Dias de Araujo",$B:$B,"&lt;&gt;Lucas Luiz Romero")*(35/1083),IF(C4493="Técnico II",SUMIFS($D:$D,$A:$A,$A4493,$B:$B,"&lt;&gt;Patrícia Karla de Sousa Araújo",$B:$B,"&lt;&gt;Lorena Dias de Araujo",$B:$B,"&lt;&gt;Lucas Luiz Romero")*(28/1083),IF(C4493="Técnico I",SUMIFS($D:$D,$A:$A,$A4493,$B:$B,"&lt;&gt;Patrícia Karla de Sousa Araújo",$B:$B,"&lt;&gt;Lorena Dias de Araujo",$B:$B,"&lt;&gt;Lucas Luiz Romero")*(23/1083),IF(C4493="JR",SUMIFS($D:$D,$A:$A,$A4493,$B:$B,"&lt;&gt;Patrícia Karla de Sousa Araújo",$B:$B,"&lt;&gt;Lorena Dias de Araujo",$B:$B,"&lt;&gt;Lucas Luiz Romero")*(20/1083),IF(C4493="Estágio",SUMIFS($D:$D,$A:$A,$A4493,$B:$B,"&lt;&gt;Patrícia Karla de Sousa Araújo",$B:$B,"&lt;&gt;Lorena Dias de Araujo",$B:$B,"&lt;&gt;Lucas Luiz Romero")*(10/1083),0)))))),0)</f>
        <v/>
      </c>
      <c r="K4493" s="3">
        <f>I4493-J4493</f>
        <v/>
      </c>
      <c r="L4493" s="3">
        <f>IF(K4493&lt;-5,"CRÍTICO",IF(K4493&lt;0,"ATENÇÃO",IF(K4493&lt;=5,"OPORTUNO","MUITO BOM")))</f>
        <v/>
      </c>
      <c r="N4493" t="n">
        <v>97.37</v>
      </c>
      <c r="O4493" t="n">
        <v>25.76530612244898</v>
      </c>
    </row>
    <row r="4494" hidden="1">
      <c r="A4494" s="11" t="n">
        <v>46140</v>
      </c>
      <c r="B4494" t="inlineStr">
        <is>
          <t>Raane Batista Matos</t>
        </is>
      </c>
      <c r="C4494" t="inlineStr">
        <is>
          <t>Técnico I</t>
        </is>
      </c>
      <c r="D4494" t="n">
        <v>36</v>
      </c>
      <c r="E4494" t="n">
        <v>30</v>
      </c>
      <c r="F4494" t="n">
        <v>13.43</v>
      </c>
      <c r="G4494" t="n">
        <v>0</v>
      </c>
      <c r="H4494" t="n">
        <v>0</v>
      </c>
      <c r="I4494" s="3">
        <f>E4494+G4494+H4494</f>
        <v/>
      </c>
      <c r="J4494" s="3">
        <f>ROUND(MIN(IF(C4494="Técnico III",35,IF(C4494="Técnico II",28,IF(C4494="Técnico I",23,IF(C4494="JR",20,IF(C4494="Estágio",10,0))))),IF(C4494="Técnico III",SUMIFS($D:$D,$A:$A,$A4494,$B:$B,"&lt;&gt;Patrícia Karla de Sousa Araújo",$B:$B,"&lt;&gt;Lorena Dias de Araujo",$B:$B,"&lt;&gt;Lucas Luiz Romero")*(35/1083),IF(C4494="Técnico II",SUMIFS($D:$D,$A:$A,$A4494,$B:$B,"&lt;&gt;Patrícia Karla de Sousa Araújo",$B:$B,"&lt;&gt;Lorena Dias de Araujo",$B:$B,"&lt;&gt;Lucas Luiz Romero")*(28/1083),IF(C4494="Técnico I",SUMIFS($D:$D,$A:$A,$A4494,$B:$B,"&lt;&gt;Patrícia Karla de Sousa Araújo",$B:$B,"&lt;&gt;Lorena Dias de Araujo",$B:$B,"&lt;&gt;Lucas Luiz Romero")*(23/1083),IF(C4494="JR",SUMIFS($D:$D,$A:$A,$A4494,$B:$B,"&lt;&gt;Patrícia Karla de Sousa Araújo",$B:$B,"&lt;&gt;Lorena Dias de Araujo",$B:$B,"&lt;&gt;Lucas Luiz Romero")*(20/1083),IF(C4494="Estágio",SUMIFS($D:$D,$A:$A,$A4494,$B:$B,"&lt;&gt;Patrícia Karla de Sousa Araújo",$B:$B,"&lt;&gt;Lorena Dias de Araujo",$B:$B,"&lt;&gt;Lucas Luiz Romero")*(10/1083),0)))))),0)</f>
        <v/>
      </c>
      <c r="K4494" s="3">
        <f>I4494-J4494</f>
        <v/>
      </c>
      <c r="L4494" s="3">
        <f>IF(K4494&lt;-5,"CRÍTICO",IF(K4494&lt;0,"ATENÇÃO",IF(K4494&lt;=5,"OPORTUNO","MUITO BOM")))</f>
        <v/>
      </c>
      <c r="N4494" t="n">
        <v>98.31999999999999</v>
      </c>
      <c r="O4494" t="n">
        <v>26.61870503597122</v>
      </c>
    </row>
    <row r="4495" hidden="1">
      <c r="A4495" s="11" t="n">
        <v>46140</v>
      </c>
      <c r="B4495" t="inlineStr">
        <is>
          <t>Sara Maria Monteiro Lopes</t>
        </is>
      </c>
      <c r="C4495" t="inlineStr">
        <is>
          <t>Técnico I</t>
        </is>
      </c>
      <c r="D4495" t="n">
        <v>25</v>
      </c>
      <c r="E4495" t="n">
        <v>25</v>
      </c>
      <c r="F4495" t="n">
        <v>20.47</v>
      </c>
      <c r="G4495" t="n">
        <v>0</v>
      </c>
      <c r="H4495" t="n">
        <v>0</v>
      </c>
      <c r="I4495" s="3">
        <f>E4495+G4495+H4495</f>
        <v/>
      </c>
      <c r="J4495" s="3">
        <f>ROUND(MIN(IF(C4495="Técnico III",35,IF(C4495="Técnico II",28,IF(C4495="Técnico I",23,IF(C4495="JR",20,IF(C4495="Estágio",10,0))))),IF(C4495="Técnico III",SUMIFS($D:$D,$A:$A,$A4495,$B:$B,"&lt;&gt;Patrícia Karla de Sousa Araújo",$B:$B,"&lt;&gt;Lorena Dias de Araujo",$B:$B,"&lt;&gt;Lucas Luiz Romero")*(35/1083),IF(C4495="Técnico II",SUMIFS($D:$D,$A:$A,$A4495,$B:$B,"&lt;&gt;Patrícia Karla de Sousa Araújo",$B:$B,"&lt;&gt;Lorena Dias de Araujo",$B:$B,"&lt;&gt;Lucas Luiz Romero")*(28/1083),IF(C4495="Técnico I",SUMIFS($D:$D,$A:$A,$A4495,$B:$B,"&lt;&gt;Patrícia Karla de Sousa Araújo",$B:$B,"&lt;&gt;Lorena Dias de Araujo",$B:$B,"&lt;&gt;Lucas Luiz Romero")*(23/1083),IF(C4495="JR",SUMIFS($D:$D,$A:$A,$A4495,$B:$B,"&lt;&gt;Patrícia Karla de Sousa Araújo",$B:$B,"&lt;&gt;Lorena Dias de Araujo",$B:$B,"&lt;&gt;Lucas Luiz Romero")*(20/1083),IF(C4495="Estágio",SUMIFS($D:$D,$A:$A,$A4495,$B:$B,"&lt;&gt;Patrícia Karla de Sousa Araújo",$B:$B,"&lt;&gt;Lorena Dias de Araujo",$B:$B,"&lt;&gt;Lucas Luiz Romero")*(10/1083),0)))))),0)</f>
        <v/>
      </c>
      <c r="K4495" s="3">
        <f>I4495-J4495</f>
        <v/>
      </c>
      <c r="L4495" s="3">
        <f>IF(K4495&lt;-5,"CRÍTICO",IF(K4495&lt;0,"ATENÇÃO",IF(K4495&lt;=5,"OPORTUNO","MUITO BOM")))</f>
        <v/>
      </c>
      <c r="N4495" t="n">
        <v>100</v>
      </c>
      <c r="O4495" t="n">
        <v>26.02739726027397</v>
      </c>
    </row>
    <row r="4496" hidden="1">
      <c r="A4496" s="11" t="n">
        <v>46141</v>
      </c>
      <c r="B4496" t="inlineStr">
        <is>
          <t>Ana Karollyne Souza Faria</t>
        </is>
      </c>
      <c r="C4496" t="inlineStr">
        <is>
          <t>Técnico I</t>
        </is>
      </c>
      <c r="D4496" t="n">
        <v>33</v>
      </c>
      <c r="E4496" t="n">
        <v>29</v>
      </c>
      <c r="F4496" t="n">
        <v>20.25</v>
      </c>
      <c r="G4496" t="n">
        <v>0</v>
      </c>
      <c r="H4496" t="n">
        <v>0</v>
      </c>
      <c r="I4496" s="3">
        <f>E4496+G4496+H4496</f>
        <v/>
      </c>
      <c r="J4496" s="3">
        <f>ROUND(MIN(IF(C4496="Técnico III",35,IF(C4496="Técnico II",28,IF(C4496="Técnico I",23,IF(C4496="JR",20,IF(C4496="Estágio",10,0))))),IF(C4496="Técnico III",SUMIFS($D:$D,$A:$A,$A4496,$B:$B,"&lt;&gt;Patrícia Karla de Sousa Araújo",$B:$B,"&lt;&gt;Lorena Dias de Araujo",$B:$B,"&lt;&gt;Lucas Luiz Romero")*(35/1083),IF(C4496="Técnico II",SUMIFS($D:$D,$A:$A,$A4496,$B:$B,"&lt;&gt;Patrícia Karla de Sousa Araújo",$B:$B,"&lt;&gt;Lorena Dias de Araujo",$B:$B,"&lt;&gt;Lucas Luiz Romero")*(28/1083),IF(C4496="Técnico I",SUMIFS($D:$D,$A:$A,$A4496,$B:$B,"&lt;&gt;Patrícia Karla de Sousa Araújo",$B:$B,"&lt;&gt;Lorena Dias de Araujo",$B:$B,"&lt;&gt;Lucas Luiz Romero")*(23/1083),IF(C4496="JR",SUMIFS($D:$D,$A:$A,$A4496,$B:$B,"&lt;&gt;Patrícia Karla de Sousa Araújo",$B:$B,"&lt;&gt;Lorena Dias de Araujo",$B:$B,"&lt;&gt;Lucas Luiz Romero")*(20/1083),IF(C4496="Estágio",SUMIFS($D:$D,$A:$A,$A4496,$B:$B,"&lt;&gt;Patrícia Karla de Sousa Araújo",$B:$B,"&lt;&gt;Lorena Dias de Araujo",$B:$B,"&lt;&gt;Lucas Luiz Romero")*(10/1083),0)))))),0)</f>
        <v/>
      </c>
      <c r="K4496" s="3">
        <f>I4496-J4496</f>
        <v/>
      </c>
      <c r="L4496" s="3">
        <f>IF(K4496&lt;-5,"CRÍTICO",IF(K4496&lt;0,"ATENÇÃO",IF(K4496&lt;=5,"OPORTUNO","MUITO BOM")))</f>
        <v/>
      </c>
      <c r="N4496" t="n">
        <v>99.31999999999999</v>
      </c>
      <c r="O4496" t="n">
        <v>30.45186640471513</v>
      </c>
    </row>
    <row r="4497" hidden="1">
      <c r="A4497" s="11" t="n">
        <v>46141</v>
      </c>
      <c r="B4497" t="inlineStr">
        <is>
          <t>Clessiane Pereira dos Santos</t>
        </is>
      </c>
      <c r="C4497" t="inlineStr">
        <is>
          <t>Técnico I</t>
        </is>
      </c>
      <c r="D4497" t="n">
        <v>51</v>
      </c>
      <c r="E4497" t="n">
        <v>13</v>
      </c>
      <c r="F4497" t="n">
        <v>3.26</v>
      </c>
      <c r="G4497" t="n">
        <v>0</v>
      </c>
      <c r="H4497" t="n">
        <v>0</v>
      </c>
      <c r="I4497" s="3">
        <f>E4497+G4497+H4497</f>
        <v/>
      </c>
      <c r="J4497" s="3">
        <f>ROUND(MIN(IF(C4497="Técnico III",35,IF(C4497="Técnico II",28,IF(C4497="Técnico I",23,IF(C4497="JR",20,IF(C4497="Estágio",10,0))))),IF(C4497="Técnico III",SUMIFS($D:$D,$A:$A,$A4497,$B:$B,"&lt;&gt;Patrícia Karla de Sousa Araújo",$B:$B,"&lt;&gt;Lorena Dias de Araujo",$B:$B,"&lt;&gt;Lucas Luiz Romero")*(35/1083),IF(C4497="Técnico II",SUMIFS($D:$D,$A:$A,$A4497,$B:$B,"&lt;&gt;Patrícia Karla de Sousa Araújo",$B:$B,"&lt;&gt;Lorena Dias de Araujo",$B:$B,"&lt;&gt;Lucas Luiz Romero")*(28/1083),IF(C4497="Técnico I",SUMIFS($D:$D,$A:$A,$A4497,$B:$B,"&lt;&gt;Patrícia Karla de Sousa Araújo",$B:$B,"&lt;&gt;Lorena Dias de Araujo",$B:$B,"&lt;&gt;Lucas Luiz Romero")*(23/1083),IF(C4497="JR",SUMIFS($D:$D,$A:$A,$A4497,$B:$B,"&lt;&gt;Patrícia Karla de Sousa Araújo",$B:$B,"&lt;&gt;Lorena Dias de Araujo",$B:$B,"&lt;&gt;Lucas Luiz Romero")*(20/1083),IF(C4497="Estágio",SUMIFS($D:$D,$A:$A,$A4497,$B:$B,"&lt;&gt;Patrícia Karla de Sousa Araújo",$B:$B,"&lt;&gt;Lorena Dias de Araujo",$B:$B,"&lt;&gt;Lucas Luiz Romero")*(10/1083),0)))))),0)</f>
        <v/>
      </c>
      <c r="K4497" s="3">
        <f>I4497-J4497</f>
        <v/>
      </c>
      <c r="L4497" s="3">
        <f>IF(K4497&lt;-5,"CRÍTICO",IF(K4497&lt;0,"ATENÇÃO",IF(K4497&lt;=5,"OPORTUNO","MUITO BOM")))</f>
        <v/>
      </c>
      <c r="N4497" t="n">
        <v>96.3</v>
      </c>
      <c r="O4497" t="n">
        <v>31.98090692124105</v>
      </c>
    </row>
    <row r="4498" hidden="1">
      <c r="A4498" s="11" t="n">
        <v>46141</v>
      </c>
      <c r="B4498" t="inlineStr">
        <is>
          <t>Daniel Gomes da Silva</t>
        </is>
      </c>
      <c r="C4498" t="inlineStr">
        <is>
          <t>Técnico I</t>
        </is>
      </c>
      <c r="D4498" t="n">
        <v>29</v>
      </c>
      <c r="E4498" t="n">
        <v>28</v>
      </c>
      <c r="F4498" t="n">
        <v>18.51</v>
      </c>
      <c r="G4498" t="n">
        <v>0</v>
      </c>
      <c r="H4498" t="n">
        <v>0</v>
      </c>
      <c r="I4498" s="3">
        <f>E4498+G4498+H4498</f>
        <v/>
      </c>
      <c r="J4498" s="3">
        <f>ROUND(MIN(IF(C4498="Técnico III",35,IF(C4498="Técnico II",28,IF(C4498="Técnico I",23,IF(C4498="JR",20,IF(C4498="Estágio",10,0))))),IF(C4498="Técnico III",SUMIFS($D:$D,$A:$A,$A4498,$B:$B,"&lt;&gt;Patrícia Karla de Sousa Araújo",$B:$B,"&lt;&gt;Lorena Dias de Araujo",$B:$B,"&lt;&gt;Lucas Luiz Romero")*(35/1083),IF(C4498="Técnico II",SUMIFS($D:$D,$A:$A,$A4498,$B:$B,"&lt;&gt;Patrícia Karla de Sousa Araújo",$B:$B,"&lt;&gt;Lorena Dias de Araujo",$B:$B,"&lt;&gt;Lucas Luiz Romero")*(28/1083),IF(C4498="Técnico I",SUMIFS($D:$D,$A:$A,$A4498,$B:$B,"&lt;&gt;Patrícia Karla de Sousa Araújo",$B:$B,"&lt;&gt;Lorena Dias de Araujo",$B:$B,"&lt;&gt;Lucas Luiz Romero")*(23/1083),IF(C4498="JR",SUMIFS($D:$D,$A:$A,$A4498,$B:$B,"&lt;&gt;Patrícia Karla de Sousa Araújo",$B:$B,"&lt;&gt;Lorena Dias de Araujo",$B:$B,"&lt;&gt;Lucas Luiz Romero")*(20/1083),IF(C4498="Estágio",SUMIFS($D:$D,$A:$A,$A4498,$B:$B,"&lt;&gt;Patrícia Karla de Sousa Araújo",$B:$B,"&lt;&gt;Lorena Dias de Araujo",$B:$B,"&lt;&gt;Lucas Luiz Romero")*(10/1083),0)))))),0)</f>
        <v/>
      </c>
      <c r="K4498" s="3">
        <f>I4498-J4498</f>
        <v/>
      </c>
      <c r="L4498" s="3">
        <f>IF(K4498&lt;-5,"CRÍTICO",IF(K4498&lt;0,"ATENÇÃO",IF(K4498&lt;=5,"OPORTUNO","MUITO BOM")))</f>
        <v/>
      </c>
      <c r="N4498" t="n">
        <v>100</v>
      </c>
      <c r="O4498" t="n">
        <v>36.23188405797102</v>
      </c>
    </row>
    <row r="4499" hidden="1">
      <c r="A4499" s="11" t="n">
        <v>46141</v>
      </c>
      <c r="B4499" t="inlineStr">
        <is>
          <t>Luiz Fernando de Carvalho Junior</t>
        </is>
      </c>
      <c r="C4499" t="inlineStr">
        <is>
          <t>Técnico I</t>
        </is>
      </c>
      <c r="D4499" t="n">
        <v>20</v>
      </c>
      <c r="E4499" t="n">
        <v>18</v>
      </c>
      <c r="F4499" t="n">
        <v>20.37</v>
      </c>
      <c r="G4499" t="n">
        <v>0</v>
      </c>
      <c r="H4499" t="n">
        <v>0</v>
      </c>
      <c r="I4499" s="3">
        <f>E4499+G4499+H4499</f>
        <v/>
      </c>
      <c r="J4499" s="3">
        <f>ROUND(MIN(IF(C4499="Técnico III",35,IF(C4499="Técnico II",28,IF(C4499="Técnico I",23,IF(C4499="JR",20,IF(C4499="Estágio",10,0))))),IF(C4499="Técnico III",SUMIFS($D:$D,$A:$A,$A4499,$B:$B,"&lt;&gt;Patrícia Karla de Sousa Araújo",$B:$B,"&lt;&gt;Lorena Dias de Araujo",$B:$B,"&lt;&gt;Lucas Luiz Romero")*(35/1083),IF(C4499="Técnico II",SUMIFS($D:$D,$A:$A,$A4499,$B:$B,"&lt;&gt;Patrícia Karla de Sousa Araújo",$B:$B,"&lt;&gt;Lorena Dias de Araujo",$B:$B,"&lt;&gt;Lucas Luiz Romero")*(28/1083),IF(C4499="Técnico I",SUMIFS($D:$D,$A:$A,$A4499,$B:$B,"&lt;&gt;Patrícia Karla de Sousa Araújo",$B:$B,"&lt;&gt;Lorena Dias de Araujo",$B:$B,"&lt;&gt;Lucas Luiz Romero")*(23/1083),IF(C4499="JR",SUMIFS($D:$D,$A:$A,$A4499,$B:$B,"&lt;&gt;Patrícia Karla de Sousa Araújo",$B:$B,"&lt;&gt;Lorena Dias de Araujo",$B:$B,"&lt;&gt;Lucas Luiz Romero")*(20/1083),IF(C4499="Estágio",SUMIFS($D:$D,$A:$A,$A4499,$B:$B,"&lt;&gt;Patrícia Karla de Sousa Araújo",$B:$B,"&lt;&gt;Lorena Dias de Araujo",$B:$B,"&lt;&gt;Lucas Luiz Romero")*(10/1083),0)))))),0)</f>
        <v/>
      </c>
      <c r="K4499" s="3">
        <f>I4499-J4499</f>
        <v/>
      </c>
      <c r="L4499" s="3">
        <f>IF(K4499&lt;-5,"CRÍTICO",IF(K4499&lt;0,"ATENÇÃO",IF(K4499&lt;=5,"OPORTUNO","MUITO BOM")))</f>
        <v/>
      </c>
      <c r="N4499" t="n">
        <v>97.37</v>
      </c>
      <c r="O4499" t="n">
        <v>25.76530612244898</v>
      </c>
    </row>
    <row r="4500" hidden="1">
      <c r="A4500" s="11" t="n">
        <v>46141</v>
      </c>
      <c r="B4500" t="inlineStr">
        <is>
          <t>Raane Batista Matos</t>
        </is>
      </c>
      <c r="C4500" t="inlineStr">
        <is>
          <t>Técnico I</t>
        </is>
      </c>
      <c r="D4500" t="n">
        <v>32</v>
      </c>
      <c r="E4500" t="n">
        <v>28</v>
      </c>
      <c r="F4500" t="n">
        <v>13.21</v>
      </c>
      <c r="G4500" t="n">
        <v>0</v>
      </c>
      <c r="H4500" t="n">
        <v>0</v>
      </c>
      <c r="I4500" s="3">
        <f>E4500+G4500+H4500</f>
        <v/>
      </c>
      <c r="J4500" s="3">
        <f>ROUND(MIN(IF(C4500="Técnico III",35,IF(C4500="Técnico II",28,IF(C4500="Técnico I",23,IF(C4500="JR",20,IF(C4500="Estágio",10,0))))),IF(C4500="Técnico III",SUMIFS($D:$D,$A:$A,$A4500,$B:$B,"&lt;&gt;Patrícia Karla de Sousa Araújo",$B:$B,"&lt;&gt;Lorena Dias de Araujo",$B:$B,"&lt;&gt;Lucas Luiz Romero")*(35/1083),IF(C4500="Técnico II",SUMIFS($D:$D,$A:$A,$A4500,$B:$B,"&lt;&gt;Patrícia Karla de Sousa Araújo",$B:$B,"&lt;&gt;Lorena Dias de Araujo",$B:$B,"&lt;&gt;Lucas Luiz Romero")*(28/1083),IF(C4500="Técnico I",SUMIFS($D:$D,$A:$A,$A4500,$B:$B,"&lt;&gt;Patrícia Karla de Sousa Araújo",$B:$B,"&lt;&gt;Lorena Dias de Araujo",$B:$B,"&lt;&gt;Lucas Luiz Romero")*(23/1083),IF(C4500="JR",SUMIFS($D:$D,$A:$A,$A4500,$B:$B,"&lt;&gt;Patrícia Karla de Sousa Araújo",$B:$B,"&lt;&gt;Lorena Dias de Araujo",$B:$B,"&lt;&gt;Lucas Luiz Romero")*(20/1083),IF(C4500="Estágio",SUMIFS($D:$D,$A:$A,$A4500,$B:$B,"&lt;&gt;Patrícia Karla de Sousa Araújo",$B:$B,"&lt;&gt;Lorena Dias de Araujo",$B:$B,"&lt;&gt;Lucas Luiz Romero")*(10/1083),0)))))),0)</f>
        <v/>
      </c>
      <c r="K4500" s="3">
        <f>I4500-J4500</f>
        <v/>
      </c>
      <c r="L4500" s="3">
        <f>IF(K4500&lt;-5,"CRÍTICO",IF(K4500&lt;0,"ATENÇÃO",IF(K4500&lt;=5,"OPORTUNO","MUITO BOM")))</f>
        <v/>
      </c>
      <c r="N4500" t="n">
        <v>98.31999999999999</v>
      </c>
      <c r="O4500" t="n">
        <v>26.61870503597122</v>
      </c>
    </row>
    <row r="4501" hidden="1">
      <c r="A4501" s="11" t="n">
        <v>46141</v>
      </c>
      <c r="B4501" t="inlineStr">
        <is>
          <t>Sara Maria Monteiro Lopes</t>
        </is>
      </c>
      <c r="C4501" t="inlineStr">
        <is>
          <t>Técnico I</t>
        </is>
      </c>
      <c r="D4501" t="n">
        <v>15</v>
      </c>
      <c r="E4501" t="n">
        <v>14</v>
      </c>
      <c r="F4501" t="n">
        <v>23.58</v>
      </c>
      <c r="G4501" t="n">
        <v>0</v>
      </c>
      <c r="H4501" t="n">
        <v>0</v>
      </c>
      <c r="I4501" s="3">
        <f>E4501+G4501+H4501</f>
        <v/>
      </c>
      <c r="J4501" s="3">
        <f>ROUND(MIN(IF(C4501="Técnico III",35,IF(C4501="Técnico II",28,IF(C4501="Técnico I",23,IF(C4501="JR",20,IF(C4501="Estágio",10,0))))),IF(C4501="Técnico III",SUMIFS($D:$D,$A:$A,$A4501,$B:$B,"&lt;&gt;Patrícia Karla de Sousa Araújo",$B:$B,"&lt;&gt;Lorena Dias de Araujo",$B:$B,"&lt;&gt;Lucas Luiz Romero")*(35/1083),IF(C4501="Técnico II",SUMIFS($D:$D,$A:$A,$A4501,$B:$B,"&lt;&gt;Patrícia Karla de Sousa Araújo",$B:$B,"&lt;&gt;Lorena Dias de Araujo",$B:$B,"&lt;&gt;Lucas Luiz Romero")*(28/1083),IF(C4501="Técnico I",SUMIFS($D:$D,$A:$A,$A4501,$B:$B,"&lt;&gt;Patrícia Karla de Sousa Araújo",$B:$B,"&lt;&gt;Lorena Dias de Araujo",$B:$B,"&lt;&gt;Lucas Luiz Romero")*(23/1083),IF(C4501="JR",SUMIFS($D:$D,$A:$A,$A4501,$B:$B,"&lt;&gt;Patrícia Karla de Sousa Araújo",$B:$B,"&lt;&gt;Lorena Dias de Araujo",$B:$B,"&lt;&gt;Lucas Luiz Romero")*(20/1083),IF(C4501="Estágio",SUMIFS($D:$D,$A:$A,$A4501,$B:$B,"&lt;&gt;Patrícia Karla de Sousa Araújo",$B:$B,"&lt;&gt;Lorena Dias de Araujo",$B:$B,"&lt;&gt;Lucas Luiz Romero")*(10/1083),0)))))),0)</f>
        <v/>
      </c>
      <c r="K4501" s="3">
        <f>I4501-J4501</f>
        <v/>
      </c>
      <c r="L4501" s="3">
        <f>IF(K4501&lt;-5,"CRÍTICO",IF(K4501&lt;0,"ATENÇÃO",IF(K4501&lt;=5,"OPORTUNO","MUITO BOM")))</f>
        <v/>
      </c>
      <c r="N4501" t="n">
        <v>100</v>
      </c>
      <c r="O4501" t="n">
        <v>26.02739726027397</v>
      </c>
    </row>
    <row r="4502" hidden="1">
      <c r="A4502" s="11" t="n">
        <v>46142</v>
      </c>
      <c r="B4502" t="inlineStr">
        <is>
          <t>Ana Karollyne Souza Faria</t>
        </is>
      </c>
      <c r="C4502" t="inlineStr">
        <is>
          <t>Técnico I</t>
        </is>
      </c>
      <c r="D4502" t="n">
        <v>26</v>
      </c>
      <c r="E4502" t="n">
        <v>24</v>
      </c>
      <c r="F4502" t="n">
        <v>18.24</v>
      </c>
      <c r="G4502" t="n">
        <v>0</v>
      </c>
      <c r="H4502" t="n">
        <v>0</v>
      </c>
      <c r="I4502" s="3">
        <f>E4502+G4502+H4502</f>
        <v/>
      </c>
      <c r="J4502" s="3">
        <f>ROUND(MIN(IF(C4502="Técnico III",35,IF(C4502="Técnico II",28,IF(C4502="Técnico I",23,IF(C4502="JR",20,IF(C4502="Estágio",10,0))))),IF(C4502="Técnico III",SUMIFS($D:$D,$A:$A,$A4502,$B:$B,"&lt;&gt;Patrícia Karla de Sousa Araújo",$B:$B,"&lt;&gt;Lorena Dias de Araujo",$B:$B,"&lt;&gt;Lucas Luiz Romero")*(35/1083),IF(C4502="Técnico II",SUMIFS($D:$D,$A:$A,$A4502,$B:$B,"&lt;&gt;Patrícia Karla de Sousa Araújo",$B:$B,"&lt;&gt;Lorena Dias de Araujo",$B:$B,"&lt;&gt;Lucas Luiz Romero")*(28/1083),IF(C4502="Técnico I",SUMIFS($D:$D,$A:$A,$A4502,$B:$B,"&lt;&gt;Patrícia Karla de Sousa Araújo",$B:$B,"&lt;&gt;Lorena Dias de Araujo",$B:$B,"&lt;&gt;Lucas Luiz Romero")*(23/1083),IF(C4502="JR",SUMIFS($D:$D,$A:$A,$A4502,$B:$B,"&lt;&gt;Patrícia Karla de Sousa Araújo",$B:$B,"&lt;&gt;Lorena Dias de Araujo",$B:$B,"&lt;&gt;Lucas Luiz Romero")*(20/1083),IF(C4502="Estágio",SUMIFS($D:$D,$A:$A,$A4502,$B:$B,"&lt;&gt;Patrícia Karla de Sousa Araújo",$B:$B,"&lt;&gt;Lorena Dias de Araujo",$B:$B,"&lt;&gt;Lucas Luiz Romero")*(10/1083),0)))))),0)</f>
        <v/>
      </c>
      <c r="K4502" s="3">
        <f>I4502-J4502</f>
        <v/>
      </c>
      <c r="L4502" s="3">
        <f>IF(K4502&lt;-5,"CRÍTICO",IF(K4502&lt;0,"ATENÇÃO",IF(K4502&lt;=5,"OPORTUNO","MUITO BOM")))</f>
        <v/>
      </c>
      <c r="N4502" t="n">
        <v>99.31999999999999</v>
      </c>
      <c r="O4502" t="n">
        <v>30.45186640471513</v>
      </c>
    </row>
    <row r="4503" hidden="1">
      <c r="A4503" s="11" t="n">
        <v>46142</v>
      </c>
      <c r="B4503" t="inlineStr">
        <is>
          <t>Clessiane Pereira dos Santos</t>
        </is>
      </c>
      <c r="C4503" t="inlineStr">
        <is>
          <t>Técnico I</t>
        </is>
      </c>
      <c r="D4503" t="n">
        <v>23</v>
      </c>
      <c r="E4503" t="n">
        <v>23</v>
      </c>
      <c r="F4503" t="n">
        <v>25.3</v>
      </c>
      <c r="G4503" t="n">
        <v>0</v>
      </c>
      <c r="H4503" t="n">
        <v>0</v>
      </c>
      <c r="I4503" s="3">
        <f>E4503+G4503+H4503</f>
        <v/>
      </c>
      <c r="J4503" s="3">
        <f>ROUND(MIN(IF(C4503="Técnico III",35,IF(C4503="Técnico II",28,IF(C4503="Técnico I",23,IF(C4503="JR",20,IF(C4503="Estágio",10,0))))),IF(C4503="Técnico III",SUMIFS($D:$D,$A:$A,$A4503,$B:$B,"&lt;&gt;Patrícia Karla de Sousa Araújo",$B:$B,"&lt;&gt;Lorena Dias de Araujo",$B:$B,"&lt;&gt;Lucas Luiz Romero")*(35/1083),IF(C4503="Técnico II",SUMIFS($D:$D,$A:$A,$A4503,$B:$B,"&lt;&gt;Patrícia Karla de Sousa Araújo",$B:$B,"&lt;&gt;Lorena Dias de Araujo",$B:$B,"&lt;&gt;Lucas Luiz Romero")*(28/1083),IF(C4503="Técnico I",SUMIFS($D:$D,$A:$A,$A4503,$B:$B,"&lt;&gt;Patrícia Karla de Sousa Araújo",$B:$B,"&lt;&gt;Lorena Dias de Araujo",$B:$B,"&lt;&gt;Lucas Luiz Romero")*(23/1083),IF(C4503="JR",SUMIFS($D:$D,$A:$A,$A4503,$B:$B,"&lt;&gt;Patrícia Karla de Sousa Araújo",$B:$B,"&lt;&gt;Lorena Dias de Araujo",$B:$B,"&lt;&gt;Lucas Luiz Romero")*(20/1083),IF(C4503="Estágio",SUMIFS($D:$D,$A:$A,$A4503,$B:$B,"&lt;&gt;Patrícia Karla de Sousa Araújo",$B:$B,"&lt;&gt;Lorena Dias de Araujo",$B:$B,"&lt;&gt;Lucas Luiz Romero")*(10/1083),0)))))),0)</f>
        <v/>
      </c>
      <c r="K4503" s="3">
        <f>I4503-J4503</f>
        <v/>
      </c>
      <c r="L4503" s="3">
        <f>IF(K4503&lt;-5,"CRÍTICO",IF(K4503&lt;0,"ATENÇÃO",IF(K4503&lt;=5,"OPORTUNO","MUITO BOM")))</f>
        <v/>
      </c>
      <c r="N4503" t="n">
        <v>96.3</v>
      </c>
      <c r="O4503" t="n">
        <v>31.98090692124105</v>
      </c>
    </row>
    <row r="4504" hidden="1">
      <c r="A4504" s="11" t="n">
        <v>46142</v>
      </c>
      <c r="B4504" t="inlineStr">
        <is>
          <t>Daniel Gomes da Silva</t>
        </is>
      </c>
      <c r="C4504" t="inlineStr">
        <is>
          <t>Técnico I</t>
        </is>
      </c>
      <c r="D4504" t="n">
        <v>23</v>
      </c>
      <c r="E4504" t="n">
        <v>23</v>
      </c>
      <c r="F4504" t="n">
        <v>20.21</v>
      </c>
      <c r="G4504" t="n">
        <v>0</v>
      </c>
      <c r="H4504" t="n">
        <v>0</v>
      </c>
      <c r="I4504" s="3">
        <f>E4504+G4504+H4504</f>
        <v/>
      </c>
      <c r="J4504" s="3">
        <f>ROUND(MIN(IF(C4504="Técnico III",35,IF(C4504="Técnico II",28,IF(C4504="Técnico I",23,IF(C4504="JR",20,IF(C4504="Estágio",10,0))))),IF(C4504="Técnico III",SUMIFS($D:$D,$A:$A,$A4504,$B:$B,"&lt;&gt;Patrícia Karla de Sousa Araújo",$B:$B,"&lt;&gt;Lorena Dias de Araujo",$B:$B,"&lt;&gt;Lucas Luiz Romero")*(35/1083),IF(C4504="Técnico II",SUMIFS($D:$D,$A:$A,$A4504,$B:$B,"&lt;&gt;Patrícia Karla de Sousa Araújo",$B:$B,"&lt;&gt;Lorena Dias de Araujo",$B:$B,"&lt;&gt;Lucas Luiz Romero")*(28/1083),IF(C4504="Técnico I",SUMIFS($D:$D,$A:$A,$A4504,$B:$B,"&lt;&gt;Patrícia Karla de Sousa Araújo",$B:$B,"&lt;&gt;Lorena Dias de Araujo",$B:$B,"&lt;&gt;Lucas Luiz Romero")*(23/1083),IF(C4504="JR",SUMIFS($D:$D,$A:$A,$A4504,$B:$B,"&lt;&gt;Patrícia Karla de Sousa Araújo",$B:$B,"&lt;&gt;Lorena Dias de Araujo",$B:$B,"&lt;&gt;Lucas Luiz Romero")*(20/1083),IF(C4504="Estágio",SUMIFS($D:$D,$A:$A,$A4504,$B:$B,"&lt;&gt;Patrícia Karla de Sousa Araújo",$B:$B,"&lt;&gt;Lorena Dias de Araujo",$B:$B,"&lt;&gt;Lucas Luiz Romero")*(10/1083),0)))))),0)</f>
        <v/>
      </c>
      <c r="K4504" s="3">
        <f>I4504-J4504</f>
        <v/>
      </c>
      <c r="L4504" s="3">
        <f>IF(K4504&lt;-5,"CRÍTICO",IF(K4504&lt;0,"ATENÇÃO",IF(K4504&lt;=5,"OPORTUNO","MUITO BOM")))</f>
        <v/>
      </c>
      <c r="N4504" t="n">
        <v>100</v>
      </c>
      <c r="O4504" t="n">
        <v>36.23188405797102</v>
      </c>
    </row>
    <row r="4505" hidden="1">
      <c r="A4505" s="11" t="n">
        <v>46167</v>
      </c>
      <c r="B4505" t="inlineStr">
        <is>
          <t>Gabriel Gomes de Andrade</t>
        </is>
      </c>
      <c r="C4505" t="inlineStr">
        <is>
          <t>Técnico I</t>
        </is>
      </c>
      <c r="D4505" t="n">
        <v>25</v>
      </c>
      <c r="E4505" t="n">
        <v>25</v>
      </c>
      <c r="F4505" t="n">
        <v>12.33</v>
      </c>
      <c r="G4505" t="n">
        <v>0</v>
      </c>
      <c r="H4505" t="n">
        <v>0</v>
      </c>
      <c r="I4505" s="3" t="n">
        <v>0</v>
      </c>
      <c r="J4505" s="3" t="n">
        <v>0</v>
      </c>
      <c r="K4505" s="3" t="n">
        <v>0</v>
      </c>
      <c r="L4505" s="3">
        <f>IF(K4505&lt;-5,"CRÍTICO",IF(K4505&lt;0,"ATENÇÃO",IF(K4505&lt;=5,"OPORTUNO","MUITO BOM")))</f>
        <v/>
      </c>
    </row>
    <row r="4506" hidden="1">
      <c r="A4506" s="11" t="n">
        <v>46142</v>
      </c>
      <c r="B4506" t="inlineStr">
        <is>
          <t>Luiz Fernando de Carvalho Junior</t>
        </is>
      </c>
      <c r="C4506" t="inlineStr">
        <is>
          <t>Técnico I</t>
        </is>
      </c>
      <c r="D4506" t="n">
        <v>30</v>
      </c>
      <c r="E4506" t="n">
        <v>28</v>
      </c>
      <c r="F4506" t="n">
        <v>16.54</v>
      </c>
      <c r="G4506" t="n">
        <v>0</v>
      </c>
      <c r="H4506" t="n">
        <v>0</v>
      </c>
      <c r="I4506" s="3">
        <f>E4506+G4506+H4506</f>
        <v/>
      </c>
      <c r="J4506" s="3">
        <f>ROUND(MIN(IF(C4506="Técnico III",35,IF(C4506="Técnico II",28,IF(C4506="Técnico I",23,IF(C4506="JR",20,IF(C4506="Estágio",10,0))))),IF(C4506="Técnico III",SUMIFS($D:$D,$A:$A,$A4506,$B:$B,"&lt;&gt;Patrícia Karla de Sousa Araújo",$B:$B,"&lt;&gt;Lorena Dias de Araujo",$B:$B,"&lt;&gt;Lucas Luiz Romero")*(35/1083),IF(C4506="Técnico II",SUMIFS($D:$D,$A:$A,$A4506,$B:$B,"&lt;&gt;Patrícia Karla de Sousa Araújo",$B:$B,"&lt;&gt;Lorena Dias de Araujo",$B:$B,"&lt;&gt;Lucas Luiz Romero")*(28/1083),IF(C4506="Técnico I",SUMIFS($D:$D,$A:$A,$A4506,$B:$B,"&lt;&gt;Patrícia Karla de Sousa Araújo",$B:$B,"&lt;&gt;Lorena Dias de Araujo",$B:$B,"&lt;&gt;Lucas Luiz Romero")*(23/1083),IF(C4506="JR",SUMIFS($D:$D,$A:$A,$A4506,$B:$B,"&lt;&gt;Patrícia Karla de Sousa Araújo",$B:$B,"&lt;&gt;Lorena Dias de Araujo",$B:$B,"&lt;&gt;Lucas Luiz Romero")*(20/1083),IF(C4506="Estágio",SUMIFS($D:$D,$A:$A,$A4506,$B:$B,"&lt;&gt;Patrícia Karla de Sousa Araújo",$B:$B,"&lt;&gt;Lorena Dias de Araujo",$B:$B,"&lt;&gt;Lucas Luiz Romero")*(10/1083),0)))))),0)</f>
        <v/>
      </c>
      <c r="K4506" s="3">
        <f>I4506-J4506</f>
        <v/>
      </c>
      <c r="L4506" s="3">
        <f>IF(K4506&lt;-5,"CRÍTICO",IF(K4506&lt;0,"ATENÇÃO",IF(K4506&lt;=5,"OPORTUNO","MUITO BOM")))</f>
        <v/>
      </c>
      <c r="N4506" t="n">
        <v>97.37</v>
      </c>
      <c r="O4506" t="n">
        <v>25.76530612244898</v>
      </c>
    </row>
    <row r="4507" hidden="1">
      <c r="A4507" s="11" t="n">
        <v>46142</v>
      </c>
      <c r="B4507" t="inlineStr">
        <is>
          <t>Raane Batista Matos</t>
        </is>
      </c>
      <c r="C4507" t="inlineStr">
        <is>
          <t>Técnico I</t>
        </is>
      </c>
      <c r="D4507" t="n">
        <v>27</v>
      </c>
      <c r="E4507" t="n">
        <v>24</v>
      </c>
      <c r="F4507" t="n">
        <v>15.08</v>
      </c>
      <c r="G4507" t="n">
        <v>0</v>
      </c>
      <c r="H4507" t="n">
        <v>0</v>
      </c>
      <c r="I4507" s="3">
        <f>E4507+G4507+H4507</f>
        <v/>
      </c>
      <c r="J4507" s="3">
        <f>ROUND(MIN(IF(C4507="Técnico III",35,IF(C4507="Técnico II",28,IF(C4507="Técnico I",23,IF(C4507="JR",20,IF(C4507="Estágio",10,0))))),IF(C4507="Técnico III",SUMIFS($D:$D,$A:$A,$A4507,$B:$B,"&lt;&gt;Patrícia Karla de Sousa Araújo",$B:$B,"&lt;&gt;Lorena Dias de Araujo",$B:$B,"&lt;&gt;Lucas Luiz Romero")*(35/1083),IF(C4507="Técnico II",SUMIFS($D:$D,$A:$A,$A4507,$B:$B,"&lt;&gt;Patrícia Karla de Sousa Araújo",$B:$B,"&lt;&gt;Lorena Dias de Araujo",$B:$B,"&lt;&gt;Lucas Luiz Romero")*(28/1083),IF(C4507="Técnico I",SUMIFS($D:$D,$A:$A,$A4507,$B:$B,"&lt;&gt;Patrícia Karla de Sousa Araújo",$B:$B,"&lt;&gt;Lorena Dias de Araujo",$B:$B,"&lt;&gt;Lucas Luiz Romero")*(23/1083),IF(C4507="JR",SUMIFS($D:$D,$A:$A,$A4507,$B:$B,"&lt;&gt;Patrícia Karla de Sousa Araújo",$B:$B,"&lt;&gt;Lorena Dias de Araujo",$B:$B,"&lt;&gt;Lucas Luiz Romero")*(20/1083),IF(C4507="Estágio",SUMIFS($D:$D,$A:$A,$A4507,$B:$B,"&lt;&gt;Patrícia Karla de Sousa Araújo",$B:$B,"&lt;&gt;Lorena Dias de Araujo",$B:$B,"&lt;&gt;Lucas Luiz Romero")*(10/1083),0)))))),0)</f>
        <v/>
      </c>
      <c r="K4507" s="3">
        <f>I4507-J4507</f>
        <v/>
      </c>
      <c r="L4507" s="3">
        <f>IF(K4507&lt;-5,"CRÍTICO",IF(K4507&lt;0,"ATENÇÃO",IF(K4507&lt;=5,"OPORTUNO","MUITO BOM")))</f>
        <v/>
      </c>
      <c r="N4507" t="n">
        <v>98.31999999999999</v>
      </c>
      <c r="O4507" t="n">
        <v>26.61870503597122</v>
      </c>
    </row>
    <row r="4508" hidden="1">
      <c r="A4508" s="11" t="n">
        <v>46142</v>
      </c>
      <c r="B4508" t="inlineStr">
        <is>
          <t>Sara Maria Monteiro Lopes</t>
        </is>
      </c>
      <c r="C4508" t="inlineStr">
        <is>
          <t>Técnico I</t>
        </is>
      </c>
      <c r="D4508" t="n">
        <v>10</v>
      </c>
      <c r="E4508" t="n">
        <v>10</v>
      </c>
      <c r="F4508" t="n">
        <v>23.27</v>
      </c>
      <c r="G4508" t="n">
        <v>0</v>
      </c>
      <c r="H4508" t="n">
        <v>0</v>
      </c>
      <c r="I4508" s="3">
        <f>E4508+G4508+H4508</f>
        <v/>
      </c>
      <c r="J4508" s="3">
        <f>ROUND(MIN(IF(C4508="Técnico III",35,IF(C4508="Técnico II",28,IF(C4508="Técnico I",23,IF(C4508="JR",20,IF(C4508="Estágio",10,0))))),IF(C4508="Técnico III",SUMIFS($D:$D,$A:$A,$A4508,$B:$B,"&lt;&gt;Patrícia Karla de Sousa Araújo",$B:$B,"&lt;&gt;Lorena Dias de Araujo",$B:$B,"&lt;&gt;Lucas Luiz Romero")*(35/1083),IF(C4508="Técnico II",SUMIFS($D:$D,$A:$A,$A4508,$B:$B,"&lt;&gt;Patrícia Karla de Sousa Araújo",$B:$B,"&lt;&gt;Lorena Dias de Araujo",$B:$B,"&lt;&gt;Lucas Luiz Romero")*(28/1083),IF(C4508="Técnico I",SUMIFS($D:$D,$A:$A,$A4508,$B:$B,"&lt;&gt;Patrícia Karla de Sousa Araújo",$B:$B,"&lt;&gt;Lorena Dias de Araujo",$B:$B,"&lt;&gt;Lucas Luiz Romero")*(23/1083),IF(C4508="JR",SUMIFS($D:$D,$A:$A,$A4508,$B:$B,"&lt;&gt;Patrícia Karla de Sousa Araújo",$B:$B,"&lt;&gt;Lorena Dias de Araujo",$B:$B,"&lt;&gt;Lucas Luiz Romero")*(20/1083),IF(C4508="Estágio",SUMIFS($D:$D,$A:$A,$A4508,$B:$B,"&lt;&gt;Patrícia Karla de Sousa Araújo",$B:$B,"&lt;&gt;Lorena Dias de Araujo",$B:$B,"&lt;&gt;Lucas Luiz Romero")*(10/1083),0)))))),0)</f>
        <v/>
      </c>
      <c r="K4508" s="3">
        <f>I4508-J4508</f>
        <v/>
      </c>
      <c r="L4508" s="3">
        <f>IF(K4508&lt;-5,"CRÍTICO",IF(K4508&lt;0,"ATENÇÃO",IF(K4508&lt;=5,"OPORTUNO","MUITO BOM")))</f>
        <v/>
      </c>
      <c r="N4508" t="n">
        <v>100</v>
      </c>
      <c r="O4508" t="n">
        <v>26.02739726027397</v>
      </c>
    </row>
    <row r="4509" hidden="1">
      <c r="A4509" s="11" t="n">
        <v>46168</v>
      </c>
      <c r="B4509" t="inlineStr">
        <is>
          <t>Ana Karollyne Souza Faria</t>
        </is>
      </c>
      <c r="C4509" t="inlineStr">
        <is>
          <t>Técnico I</t>
        </is>
      </c>
      <c r="D4509" t="n">
        <v>24</v>
      </c>
      <c r="E4509" t="n">
        <v>22</v>
      </c>
      <c r="F4509" t="n">
        <v>18.55</v>
      </c>
      <c r="G4509" t="n">
        <v>1</v>
      </c>
    </row>
    <row r="4510" hidden="1">
      <c r="A4510" s="11" t="n">
        <v>46168</v>
      </c>
      <c r="B4510" t="inlineStr">
        <is>
          <t>Clessiane Pereira dos Santos</t>
        </is>
      </c>
      <c r="C4510" t="inlineStr">
        <is>
          <t>Técnico I</t>
        </is>
      </c>
      <c r="D4510" t="n">
        <v>28</v>
      </c>
      <c r="E4510" t="n">
        <v>26</v>
      </c>
      <c r="F4510" t="n">
        <v>15.35</v>
      </c>
      <c r="G4510" t="n">
        <v>2</v>
      </c>
    </row>
    <row r="4511" hidden="1">
      <c r="A4511" s="11" t="n">
        <v>46168</v>
      </c>
      <c r="B4511" t="inlineStr">
        <is>
          <t>Daniel Gomes da Silva</t>
        </is>
      </c>
      <c r="C4511" t="inlineStr">
        <is>
          <t>Técnico I</t>
        </is>
      </c>
      <c r="D4511" t="n">
        <v>20</v>
      </c>
      <c r="E4511" t="n">
        <v>17</v>
      </c>
      <c r="F4511" t="n">
        <v>16.54</v>
      </c>
      <c r="G4511" t="n">
        <v>0</v>
      </c>
    </row>
    <row r="4512" hidden="1">
      <c r="A4512" s="11" t="n">
        <v>46168</v>
      </c>
      <c r="B4512" t="inlineStr">
        <is>
          <t>Luiz Fernando de Carvalho Junior</t>
        </is>
      </c>
      <c r="C4512" t="inlineStr">
        <is>
          <t>Técnico I</t>
        </is>
      </c>
      <c r="D4512" t="n">
        <v>28</v>
      </c>
      <c r="E4512" t="n">
        <v>27</v>
      </c>
      <c r="F4512" t="n">
        <v>16.45</v>
      </c>
      <c r="G4512" t="n">
        <v>1</v>
      </c>
    </row>
    <row r="4513" hidden="1">
      <c r="A4513" s="11" t="n">
        <v>46168</v>
      </c>
      <c r="B4513" t="inlineStr">
        <is>
          <t>Raane Batista Matos</t>
        </is>
      </c>
      <c r="C4513" t="inlineStr">
        <is>
          <t>Técnico I</t>
        </is>
      </c>
      <c r="D4513" t="n">
        <v>29</v>
      </c>
      <c r="E4513" t="n">
        <v>26</v>
      </c>
      <c r="F4513" t="n">
        <v>15.57</v>
      </c>
      <c r="G4513" t="n">
        <v>4</v>
      </c>
    </row>
    <row r="4514" hidden="1">
      <c r="A4514" s="11" t="n">
        <v>46168</v>
      </c>
      <c r="B4514" t="inlineStr">
        <is>
          <t>Sara Maria Monteiro Lopes</t>
        </is>
      </c>
      <c r="C4514" t="inlineStr">
        <is>
          <t>Técnico I</t>
        </is>
      </c>
      <c r="D4514" t="n">
        <v>15</v>
      </c>
      <c r="E4514" t="n">
        <v>15</v>
      </c>
      <c r="F4514" t="n">
        <v>37</v>
      </c>
      <c r="G4514" t="n">
        <v>0</v>
      </c>
    </row>
    <row r="4515" hidden="1">
      <c r="A4515" s="11" t="n">
        <v>46168</v>
      </c>
      <c r="B4515" t="inlineStr">
        <is>
          <t>Gabriel Gomes de Andrade</t>
        </is>
      </c>
      <c r="C4515" t="inlineStr">
        <is>
          <t>Técnico I</t>
        </is>
      </c>
      <c r="D4515" t="n">
        <v>20</v>
      </c>
      <c r="E4515" t="n">
        <v>20</v>
      </c>
      <c r="F4515" t="n">
        <v>21.49</v>
      </c>
      <c r="G4515" t="n">
        <v>2</v>
      </c>
    </row>
  </sheetData>
  <autoFilter ref="A1:O4515">
    <filterColumn colId="0" hiddenButton="0" showButton="1">
      <filters>
        <dateGroupItem year="2026" month="4" day="28" dateTimeGrouping="day"/>
        <dateGroupItem year="2026" month="4" day="29" dateTimeGrouping="day"/>
        <dateGroupItem year="2026" month="4" day="30" dateTimeGrouping="day"/>
        <dateGroupItem year="2026" month="5" day="4" dateTimeGrouping="day"/>
        <dateGroupItem year="2026" month="5" day="5" dateTimeGrouping="day"/>
        <dateGroupItem year="2026" month="5" day="6" dateTimeGrouping="day"/>
        <dateGroupItem year="2026" month="5" day="26" dateTimeGrouping="day"/>
      </filters>
    </filterColumn>
    <filterColumn colId="2" hiddenButton="0" showButton="1">
      <filters>
        <filter val="Técnico III"/>
      </filters>
    </filterColumn>
    <sortState ref="A237:O543">
      <sortCondition ref="B1:B4515"/>
    </sortState>
  </autoFilter>
  <pageMargins left="0.511811024" right="0.511811024" top="0.787401575" bottom="0.787401575" header="0.31496062" footer="0.31496062"/>
  <pageSetup orientation="portrait" paperSize="9" horizontalDpi="10" verticalDpi="15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Técnico Planilha</t>
        </is>
      </c>
      <c r="B1" t="inlineStr">
        <is>
          <t>Agente BI</t>
        </is>
      </c>
      <c r="C1" t="inlineStr">
        <is>
          <t>Agente SGD</t>
        </is>
      </c>
      <c r="D1" t="inlineStr">
        <is>
          <t>Agente Ponto</t>
        </is>
      </c>
    </row>
    <row r="2">
      <c r="A2" t="inlineStr">
        <is>
          <t>Alisson de Freitas Silva</t>
        </is>
      </c>
      <c r="B2" t="inlineStr">
        <is>
          <t>Alisson Freitas</t>
        </is>
      </c>
      <c r="C2" t="inlineStr">
        <is>
          <t>Alisson de Freitas Silva</t>
        </is>
      </c>
    </row>
    <row r="3">
      <c r="A3" t="inlineStr">
        <is>
          <t>Amanda Moura Ferreira</t>
        </is>
      </c>
      <c r="B3" t="inlineStr">
        <is>
          <t>Amanda Moreira</t>
        </is>
      </c>
      <c r="C3" t="inlineStr">
        <is>
          <t>Amanda Moura Ferreira</t>
        </is>
      </c>
    </row>
    <row r="4">
      <c r="A4" t="inlineStr">
        <is>
          <t>Ana Karollyne Souza Faria</t>
        </is>
      </c>
      <c r="B4" t="inlineStr">
        <is>
          <t>Ana Karollyne</t>
        </is>
      </c>
      <c r="C4" t="inlineStr">
        <is>
          <t>Ana Karollyne Souza Faria</t>
        </is>
      </c>
    </row>
    <row r="5">
      <c r="A5" t="inlineStr">
        <is>
          <t>Ana Paula Da Luz Silva Aleixo</t>
        </is>
      </c>
      <c r="B5" t="inlineStr">
        <is>
          <t>Ana Paula Aleixo</t>
        </is>
      </c>
      <c r="C5" t="inlineStr">
        <is>
          <t>Ana Paula Da Luz Silva Aleixo</t>
        </is>
      </c>
    </row>
    <row r="6">
      <c r="A6" t="inlineStr">
        <is>
          <t>Anna Luiza Rezende Tavares</t>
        </is>
      </c>
      <c r="B6" t="inlineStr">
        <is>
          <t>Anna Luiza</t>
        </is>
      </c>
      <c r="C6" t="inlineStr">
        <is>
          <t>Anna Luiza Rezende Tavares</t>
        </is>
      </c>
    </row>
    <row r="7">
      <c r="A7" t="inlineStr">
        <is>
          <t>Brenda de Menezes Silva</t>
        </is>
      </c>
      <c r="B7" t="inlineStr">
        <is>
          <t>Brenda Gulinely</t>
        </is>
      </c>
      <c r="C7" t="inlineStr">
        <is>
          <t>Brenda de Menezes Gulinely da Silva</t>
        </is>
      </c>
    </row>
    <row r="8">
      <c r="A8" t="inlineStr">
        <is>
          <t>Carlos Mateus Cassimiro Nunes</t>
        </is>
      </c>
      <c r="B8" t="inlineStr">
        <is>
          <t>Carlos Nunes</t>
        </is>
      </c>
      <c r="C8" t="inlineStr">
        <is>
          <t>Carlos Mateus Cassimiro Nunes</t>
        </is>
      </c>
    </row>
    <row r="9">
      <c r="A9" t="inlineStr">
        <is>
          <t>Claudio de Sousa Velasco Filho</t>
        </is>
      </c>
      <c r="B9" t="inlineStr">
        <is>
          <t>Claudio Filho (Estagio)</t>
        </is>
      </c>
      <c r="C9" t="inlineStr">
        <is>
          <t>Claudio de Sousa Velasco Filho</t>
        </is>
      </c>
    </row>
    <row r="10">
      <c r="A10" t="inlineStr">
        <is>
          <t>Clessiane Pereira dos Santos</t>
        </is>
      </c>
      <c r="B10" t="inlineStr">
        <is>
          <t>Clessiane Pereira</t>
        </is>
      </c>
      <c r="C10" t="inlineStr">
        <is>
          <t>Clessiane Pereira dos Santos</t>
        </is>
      </c>
    </row>
    <row r="11">
      <c r="A11" t="inlineStr">
        <is>
          <t>Cristiane Ramos da Silva Rocha</t>
        </is>
      </c>
      <c r="B11" t="inlineStr">
        <is>
          <t>Cristiane Rocha</t>
        </is>
      </c>
      <c r="C11" t="inlineStr">
        <is>
          <t>Cristiane Ramos da Silva Rocha</t>
        </is>
      </c>
    </row>
    <row r="12">
      <c r="A12" t="inlineStr">
        <is>
          <t>Damyllis Lorraine de Oliveira Gonçalves</t>
        </is>
      </c>
      <c r="B12" t="inlineStr">
        <is>
          <t>Damyllis</t>
        </is>
      </c>
      <c r="C12" t="inlineStr">
        <is>
          <t>Damyllis Lorraine de Oliveira Gonçalves</t>
        </is>
      </c>
    </row>
    <row r="13">
      <c r="A13" t="inlineStr">
        <is>
          <t>Daniel Gomes da Silva</t>
        </is>
      </c>
      <c r="B13" t="inlineStr">
        <is>
          <t>Daniel Silva</t>
        </is>
      </c>
      <c r="C13" t="inlineStr">
        <is>
          <t>Daniel Gomes da Silva</t>
        </is>
      </c>
    </row>
    <row r="14">
      <c r="A14" t="inlineStr">
        <is>
          <t>Davylla Rodrigues Freitas Silva</t>
        </is>
      </c>
      <c r="B14" t="inlineStr">
        <is>
          <t>Davylla</t>
        </is>
      </c>
      <c r="C14" t="inlineStr">
        <is>
          <t>Davylla Rodrigues Freitas Silva</t>
        </is>
      </c>
    </row>
    <row r="15">
      <c r="A15" t="inlineStr">
        <is>
          <t>Emilly Caylane Costa</t>
        </is>
      </c>
      <c r="B15" t="inlineStr">
        <is>
          <t>Emilly Caylane (Estagio)</t>
        </is>
      </c>
      <c r="C15" t="inlineStr">
        <is>
          <t>Emilly Caylane Costa</t>
        </is>
      </c>
    </row>
    <row r="16">
      <c r="A16" t="inlineStr">
        <is>
          <t>Emilly Kamilly Medeiros Miranda</t>
        </is>
      </c>
      <c r="B16" t="inlineStr">
        <is>
          <t>Emilly Miranda</t>
        </is>
      </c>
      <c r="C16" t="inlineStr">
        <is>
          <t>Emilly Kamilly Simão de Medeiros Miranda</t>
        </is>
      </c>
    </row>
    <row r="17">
      <c r="A17" t="inlineStr">
        <is>
          <t>Francielson de Oliveira</t>
        </is>
      </c>
      <c r="B17" t="inlineStr">
        <is>
          <t>Francielson</t>
        </is>
      </c>
      <c r="C17" t="inlineStr">
        <is>
          <t>Francielson de Oliveira</t>
        </is>
      </c>
    </row>
    <row r="18">
      <c r="A18" t="inlineStr">
        <is>
          <t>Francilene Ferreira de Jesus</t>
        </is>
      </c>
      <c r="B18" t="inlineStr">
        <is>
          <t>Francilene Jesus</t>
        </is>
      </c>
      <c r="C18" t="inlineStr">
        <is>
          <t>Francilene Ferreira de Jesus</t>
        </is>
      </c>
    </row>
    <row r="19">
      <c r="A19" t="inlineStr">
        <is>
          <t>Gabriel Alves</t>
        </is>
      </c>
      <c r="B19" t="inlineStr">
        <is>
          <t>Gabriel Alves (Estagio)</t>
        </is>
      </c>
      <c r="C19" t="inlineStr">
        <is>
          <t>Gabriel Alves de Andrade</t>
        </is>
      </c>
    </row>
    <row r="20">
      <c r="A20" t="inlineStr">
        <is>
          <t>Gabriel Gomes de Andrade</t>
        </is>
      </c>
      <c r="B20" t="inlineStr">
        <is>
          <t>Gabriel Andrade</t>
        </is>
      </c>
      <c r="C20" t="inlineStr">
        <is>
          <t>Gabriel Gomes de Andrade</t>
        </is>
      </c>
    </row>
    <row r="21">
      <c r="A21" t="inlineStr">
        <is>
          <t>Isabella Borges de Oliveira</t>
        </is>
      </c>
      <c r="B21" t="inlineStr">
        <is>
          <t>Isabella Borges</t>
        </is>
      </c>
      <c r="C21" t="inlineStr">
        <is>
          <t>Isabella Borges de Oliveira</t>
        </is>
      </c>
    </row>
    <row r="22">
      <c r="A22" t="inlineStr">
        <is>
          <t>Janaina Lima dos Reis Urany</t>
        </is>
      </c>
      <c r="B22" t="inlineStr">
        <is>
          <t>Janaina Urany</t>
        </is>
      </c>
      <c r="C22" t="inlineStr">
        <is>
          <t>Janaina Lima dos Reis Urany</t>
        </is>
      </c>
    </row>
    <row r="23">
      <c r="A23" t="inlineStr">
        <is>
          <t>Jaqueline Evangelista da Silva Martins</t>
        </is>
      </c>
      <c r="B23" t="inlineStr">
        <is>
          <t>Jaqueline Evangelista</t>
        </is>
      </c>
      <c r="C23" t="inlineStr">
        <is>
          <t>Jaqueline Evangelista da Silva Martins</t>
        </is>
      </c>
    </row>
    <row r="24">
      <c r="A24" t="inlineStr">
        <is>
          <t>Jessica Faria da Silveira</t>
        </is>
      </c>
      <c r="B24" t="inlineStr">
        <is>
          <t>Jessica Silveira</t>
        </is>
      </c>
      <c r="C24" t="inlineStr">
        <is>
          <t>Jessica Faria da Silveira</t>
        </is>
      </c>
    </row>
    <row r="25">
      <c r="A25" t="inlineStr">
        <is>
          <t>Jéssica Fé Moura</t>
        </is>
      </c>
      <c r="B25" t="inlineStr">
        <is>
          <t>Jessica</t>
        </is>
      </c>
      <c r="C25" t="inlineStr">
        <is>
          <t>Jessica Fe Moura</t>
        </is>
      </c>
    </row>
    <row r="26">
      <c r="A26" t="inlineStr">
        <is>
          <t>Karina Gonçalves Martins</t>
        </is>
      </c>
      <c r="B26" t="inlineStr">
        <is>
          <t>Karina Martins</t>
        </is>
      </c>
      <c r="C26" t="inlineStr">
        <is>
          <t>Karina Gonçalves Martins</t>
        </is>
      </c>
    </row>
    <row r="27">
      <c r="A27" t="inlineStr">
        <is>
          <t>Kerollen Cristielly de Jesus Siqueira</t>
        </is>
      </c>
      <c r="B27" t="inlineStr">
        <is>
          <t>Kerollen</t>
        </is>
      </c>
      <c r="C27" t="inlineStr">
        <is>
          <t>Kerollen Cristielly de Jesus Siqueira</t>
        </is>
      </c>
    </row>
    <row r="28">
      <c r="A28" t="inlineStr">
        <is>
          <t>Leandro Oliveira de Sousa</t>
        </is>
      </c>
      <c r="B28" t="inlineStr">
        <is>
          <t>Leandro Sousa</t>
        </is>
      </c>
      <c r="C28" t="inlineStr">
        <is>
          <t>Leandro Oliveira de Sousa</t>
        </is>
      </c>
    </row>
    <row r="29">
      <c r="A29" t="inlineStr">
        <is>
          <t>Leandro de Souza Silva</t>
        </is>
      </c>
      <c r="B29" t="inlineStr">
        <is>
          <t>Leandro Silva</t>
        </is>
      </c>
      <c r="C29" t="inlineStr">
        <is>
          <t>Leandro de Souza Silva</t>
        </is>
      </c>
    </row>
    <row r="30">
      <c r="A30" t="inlineStr">
        <is>
          <t>Lizandra Gomes Duarte</t>
        </is>
      </c>
      <c r="B30" t="inlineStr">
        <is>
          <t>Lizandra Duarte</t>
        </is>
      </c>
      <c r="C30" t="inlineStr">
        <is>
          <t>Lizandra Gomes Duarte</t>
        </is>
      </c>
    </row>
    <row r="31">
      <c r="A31" t="inlineStr">
        <is>
          <t>Lorena Dias de Araujo</t>
        </is>
      </c>
      <c r="B31" t="inlineStr">
        <is>
          <t>Lorena</t>
        </is>
      </c>
      <c r="C31" t="inlineStr">
        <is>
          <t>Lorena Dias de Araujo</t>
        </is>
      </c>
    </row>
    <row r="32">
      <c r="A32" t="inlineStr">
        <is>
          <t>Lucas Luiz Romero</t>
        </is>
      </c>
      <c r="B32" t="inlineStr">
        <is>
          <t>Lucas Romero</t>
        </is>
      </c>
      <c r="C32" t="inlineStr">
        <is>
          <t>Lucas Luiz Romero</t>
        </is>
      </c>
    </row>
    <row r="33">
      <c r="A33" t="inlineStr">
        <is>
          <t>Luiz Fernando de Carvalho Junior</t>
        </is>
      </c>
      <c r="B33" t="inlineStr">
        <is>
          <t>Luiz Fernando</t>
        </is>
      </c>
      <c r="C33" t="inlineStr">
        <is>
          <t>Luiz Fernando de Carvalho Júnior</t>
        </is>
      </c>
    </row>
    <row r="34">
      <c r="A34" t="inlineStr">
        <is>
          <t>Maria Eduarda Sousa Costa</t>
        </is>
      </c>
      <c r="B34" t="inlineStr">
        <is>
          <t>Maria Eduarda (Estagio)</t>
        </is>
      </c>
      <c r="C34" t="inlineStr">
        <is>
          <t>Maria Eduarda Sousa Costa</t>
        </is>
      </c>
    </row>
    <row r="35">
      <c r="A35" t="inlineStr">
        <is>
          <t>Matheus Farias De Souza</t>
        </is>
      </c>
      <c r="B35" t="inlineStr">
        <is>
          <t>Matheus Farias</t>
        </is>
      </c>
      <c r="C35" t="inlineStr">
        <is>
          <t>Matheus Farias De Souza</t>
        </is>
      </c>
    </row>
    <row r="36">
      <c r="A36" t="inlineStr">
        <is>
          <t>Maysa Victoria Dias Moura</t>
        </is>
      </c>
      <c r="B36" t="inlineStr">
        <is>
          <t>Maysa Victoria</t>
        </is>
      </c>
      <c r="C36" t="inlineStr">
        <is>
          <t>Maysa Victoria dias moura</t>
        </is>
      </c>
    </row>
    <row r="37">
      <c r="A37" t="inlineStr">
        <is>
          <t>Michelle G Santos</t>
        </is>
      </c>
      <c r="B37" t="inlineStr">
        <is>
          <t>Michelle Gomes (Estagio)</t>
        </is>
      </c>
      <c r="C37" t="inlineStr">
        <is>
          <t>Michelle Gomes dos Santos</t>
        </is>
      </c>
    </row>
    <row r="38">
      <c r="A38" t="inlineStr">
        <is>
          <t>Milena Sales</t>
        </is>
      </c>
      <c r="B38" t="inlineStr">
        <is>
          <t>Milena Sales</t>
        </is>
      </c>
      <c r="C38" t="inlineStr">
        <is>
          <t>Milena da Silva Sales</t>
        </is>
      </c>
    </row>
    <row r="39">
      <c r="A39" t="inlineStr">
        <is>
          <t>Patrícia Karla de Sousa Araújo</t>
        </is>
      </c>
      <c r="B39" t="inlineStr">
        <is>
          <t>Patricia</t>
        </is>
      </c>
      <c r="C39" t="inlineStr">
        <is>
          <t>Patrícia Karla de Sousa Araújo</t>
        </is>
      </c>
    </row>
    <row r="40">
      <c r="A40" t="inlineStr">
        <is>
          <t>Paulo Ricardo Santos</t>
        </is>
      </c>
      <c r="B40" t="inlineStr">
        <is>
          <t>Paulo Santos</t>
        </is>
      </c>
      <c r="C40" t="inlineStr">
        <is>
          <t>Paulo Ricardo da Rita Santos</t>
        </is>
      </c>
    </row>
    <row r="41">
      <c r="A41" t="inlineStr">
        <is>
          <t>Pedro Luiz Mota Sousa</t>
        </is>
      </c>
      <c r="B41" t="inlineStr">
        <is>
          <t>Pedro Luiz Mota</t>
        </is>
      </c>
      <c r="C41" t="inlineStr">
        <is>
          <t>Pedro Luiz Mota Sousa</t>
        </is>
      </c>
    </row>
    <row r="42">
      <c r="A42" t="inlineStr">
        <is>
          <t>Quirino Diogo Leite Torres</t>
        </is>
      </c>
      <c r="B42" t="inlineStr">
        <is>
          <t>Quirino Diogo (Estagio)</t>
        </is>
      </c>
      <c r="C42" t="inlineStr">
        <is>
          <t>Quirino Diogo Leite Torres</t>
        </is>
      </c>
    </row>
    <row r="43">
      <c r="A43" t="inlineStr">
        <is>
          <t>Raane Batista Matos</t>
        </is>
      </c>
      <c r="B43" t="inlineStr">
        <is>
          <t>Raane Matos</t>
        </is>
      </c>
      <c r="C43" t="inlineStr">
        <is>
          <t>Raane Batista Martins Matos</t>
        </is>
      </c>
    </row>
    <row r="44">
      <c r="A44" t="inlineStr">
        <is>
          <t>Rafael Gomes de Morais</t>
        </is>
      </c>
      <c r="B44" t="inlineStr">
        <is>
          <t>Rafael Gomes</t>
        </is>
      </c>
      <c r="C44" t="inlineStr">
        <is>
          <t>Rafael Gomes de Morais</t>
        </is>
      </c>
    </row>
    <row r="45">
      <c r="A45" t="inlineStr">
        <is>
          <t>Sara Maria Monteiro Lopes</t>
        </is>
      </c>
      <c r="B45" t="inlineStr">
        <is>
          <t>Sara Lopes</t>
        </is>
      </c>
      <c r="C45" t="inlineStr">
        <is>
          <t>Sara Maria Monteiro Lopes</t>
        </is>
      </c>
    </row>
    <row r="46">
      <c r="A46" t="inlineStr">
        <is>
          <t>Sarah Steffanie de Lima Borges</t>
        </is>
      </c>
      <c r="B46" t="inlineStr">
        <is>
          <t>Sarah Borges</t>
        </is>
      </c>
      <c r="C46" t="inlineStr">
        <is>
          <t>Sarah Steffanie de Lima Borges</t>
        </is>
      </c>
    </row>
    <row r="47">
      <c r="A47" t="inlineStr">
        <is>
          <t>J?ssica F? Moura</t>
        </is>
      </c>
      <c r="B47" t="inlineStr">
        <is>
          <t>Jessica</t>
        </is>
      </c>
    </row>
    <row r="48">
      <c r="A48" t="inlineStr">
        <is>
          <t>Patr?cia Karla de Sousa Ara?jo</t>
        </is>
      </c>
      <c r="B48" t="inlineStr">
        <is>
          <t>Patricia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Esther Queiroz Supervisora Folha</dc:creator>
  <dcterms:created xsi:type="dcterms:W3CDTF">2026-05-19T17:56:40Z</dcterms:created>
  <dcterms:modified xsi:type="dcterms:W3CDTF">2026-05-27T17:47:39Z</dcterms:modified>
  <cp:lastModifiedBy>Esther Queiroz Supervisora Folha</cp:lastModifiedBy>
</cp:coreProperties>
</file>
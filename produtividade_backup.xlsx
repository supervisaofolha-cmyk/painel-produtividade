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'Produtividade'!$A$1:$O$4515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515"/>
  <sheetViews>
    <sheetView tabSelected="1" zoomScale="85" zoomScaleNormal="85" workbookViewId="0">
      <selection activeCell="B244" sqref="B244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Anna Luiza Rezende Tavares</t>
        </is>
      </c>
      <c r="C2" s="3" t="inlineStr">
        <is>
          <t>Estágio</t>
        </is>
      </c>
      <c r="D2" s="3" t="n">
        <v>48</v>
      </c>
      <c r="E2" s="3" t="n">
        <v>36</v>
      </c>
      <c r="F2" s="3" t="n">
        <v>10.4</v>
      </c>
      <c r="G2" s="3" t="n">
        <v>0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29</v>
      </c>
      <c r="N2" s="9" t="n">
        <v>99.11</v>
      </c>
      <c r="O2" s="9" t="n">
        <v>17.72151898734177</v>
      </c>
    </row>
    <row r="3" hidden="1">
      <c r="A3" s="5" t="n">
        <v>46146</v>
      </c>
      <c r="B3" s="6" t="inlineStr">
        <is>
          <t>Claudio de Sousa Velasco Filho</t>
        </is>
      </c>
      <c r="C3" s="3" t="inlineStr">
        <is>
          <t>Estágio</t>
        </is>
      </c>
      <c r="D3" s="3" t="n">
        <v>8</v>
      </c>
      <c r="E3" s="3" t="n">
        <v>8</v>
      </c>
      <c r="F3" s="3" t="n">
        <v>25.13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9" t="n">
        <v>7</v>
      </c>
      <c r="N3" s="9" t="n">
        <v>96.43000000000001</v>
      </c>
      <c r="O3" s="9" t="n">
        <v>20</v>
      </c>
    </row>
    <row r="4" hidden="1">
      <c r="A4" s="5" t="n">
        <v>46146</v>
      </c>
      <c r="B4" s="6" t="inlineStr">
        <is>
          <t>Emilly Caylane Costa</t>
        </is>
      </c>
      <c r="C4" s="3" t="inlineStr">
        <is>
          <t>Estágio</t>
        </is>
      </c>
      <c r="D4" s="3" t="n">
        <v>8</v>
      </c>
      <c r="E4" s="3" t="n">
        <v>8</v>
      </c>
      <c r="F4" s="3" t="n">
        <v>38.45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8</v>
      </c>
      <c r="N4" s="9" t="n">
        <v>100</v>
      </c>
      <c r="O4" s="9" t="n">
        <v>29.03225806451613</v>
      </c>
    </row>
    <row r="5" hidden="1">
      <c r="A5" s="5" t="n">
        <v>46146</v>
      </c>
      <c r="B5" s="6" t="inlineStr">
        <is>
          <t>Maria Eduarda Sousa Costa</t>
        </is>
      </c>
      <c r="C5" s="3" t="inlineStr">
        <is>
          <t>Estágio</t>
        </is>
      </c>
      <c r="D5" s="3" t="n">
        <v>47</v>
      </c>
      <c r="E5" s="3" t="n">
        <v>25</v>
      </c>
      <c r="F5" s="3" t="n">
        <v>3.57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0</v>
      </c>
      <c r="N5" s="9" t="n">
        <v>100</v>
      </c>
      <c r="O5" s="9" t="n">
        <v>11.86440677966102</v>
      </c>
    </row>
    <row r="6" hidden="1">
      <c r="A6" s="5" t="n">
        <v>46146</v>
      </c>
      <c r="B6" s="6" t="inlineStr">
        <is>
          <t>Michelle G Santos</t>
        </is>
      </c>
      <c r="C6" s="3" t="inlineStr">
        <is>
          <t>Estágio</t>
        </is>
      </c>
      <c r="D6" s="3" t="n">
        <v>8</v>
      </c>
      <c r="E6" s="3" t="n">
        <v>7</v>
      </c>
      <c r="F6" s="3" t="n">
        <v>23.3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4</v>
      </c>
      <c r="N6" s="9" t="n">
        <v>100</v>
      </c>
      <c r="O6" s="9" t="n">
        <v>16.8141592920354</v>
      </c>
    </row>
    <row r="7" hidden="1">
      <c r="A7" s="5" t="n">
        <v>46146</v>
      </c>
      <c r="B7" s="6" t="inlineStr">
        <is>
          <t>Quirino Diogo Leite Torres</t>
        </is>
      </c>
      <c r="C7" s="3" t="inlineStr">
        <is>
          <t>Estágio</t>
        </is>
      </c>
      <c r="D7" s="3" t="n">
        <v>14</v>
      </c>
      <c r="E7" s="3" t="n">
        <v>14</v>
      </c>
      <c r="F7" s="3" t="n">
        <v>34.04</v>
      </c>
      <c r="G7" s="3" t="n">
        <v>1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12</v>
      </c>
      <c r="N7" s="9" t="n">
        <v>98.11</v>
      </c>
      <c r="O7" s="9" t="n">
        <v>20.40816326530612</v>
      </c>
    </row>
    <row r="8" hidden="1">
      <c r="A8" s="5" t="n">
        <v>46147</v>
      </c>
      <c r="B8" s="6" t="inlineStr">
        <is>
          <t>Anna Luiza Rezende Tavares</t>
        </is>
      </c>
      <c r="C8" s="3" t="inlineStr">
        <is>
          <t>Estágio</t>
        </is>
      </c>
      <c r="D8" s="3" t="n">
        <v>36</v>
      </c>
      <c r="E8" s="3" t="n">
        <v>35</v>
      </c>
      <c r="F8" s="3" t="n">
        <v>17.29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33</v>
      </c>
      <c r="N8" s="3" t="n">
        <v>99.11</v>
      </c>
      <c r="O8" s="3" t="n">
        <v>17.72151898734177</v>
      </c>
    </row>
    <row r="9" hidden="1">
      <c r="A9" s="5" t="n">
        <v>46147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10</v>
      </c>
      <c r="E9" s="3" t="n">
        <v>10</v>
      </c>
      <c r="F9" s="3" t="n">
        <v>12.39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9</v>
      </c>
      <c r="N9" s="3" t="n">
        <v>96.43000000000001</v>
      </c>
      <c r="O9" s="3" t="n">
        <v>20</v>
      </c>
    </row>
    <row r="10" hidden="1">
      <c r="A10" s="5" t="n">
        <v>46147</v>
      </c>
      <c r="B10" s="6" t="inlineStr">
        <is>
          <t>Emilly Caylane Costa</t>
        </is>
      </c>
      <c r="C10" s="3" t="inlineStr">
        <is>
          <t>Estágio</t>
        </is>
      </c>
      <c r="D10" s="3" t="n">
        <v>48</v>
      </c>
      <c r="E10" s="3" t="n">
        <v>32</v>
      </c>
      <c r="F10" s="3" t="n">
        <v>4.04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0</v>
      </c>
      <c r="N10" s="3" t="n">
        <v>100</v>
      </c>
      <c r="O10" s="3" t="n">
        <v>29.03225806451613</v>
      </c>
    </row>
    <row r="11" hidden="1">
      <c r="A11" s="5" t="n">
        <v>46147</v>
      </c>
      <c r="B11" s="6" t="inlineStr">
        <is>
          <t>Maria Eduarda Sousa Costa</t>
        </is>
      </c>
      <c r="C11" s="3" t="inlineStr">
        <is>
          <t>Estágio</t>
        </is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>
        <f>IF(K11&lt;-5,"CRÍTICO",IF(K11&lt;0,"ATENÇÃO",IF(K11&lt;=5,"BOM","EXCELENTE")))</f>
        <v/>
      </c>
      <c r="M11" s="3" t="n">
        <v>0</v>
      </c>
      <c r="N11" s="3" t="n">
        <v>100</v>
      </c>
      <c r="O11" s="3" t="n">
        <v>11.86440677966102</v>
      </c>
    </row>
    <row r="12" hidden="1">
      <c r="A12" s="5" t="n">
        <v>46147</v>
      </c>
      <c r="B12" s="6" t="inlineStr">
        <is>
          <t>Michelle G Santos</t>
        </is>
      </c>
      <c r="C12" s="3" t="inlineStr">
        <is>
          <t>Estágio</t>
        </is>
      </c>
      <c r="D12" s="3" t="n">
        <v>11</v>
      </c>
      <c r="E12" s="3" t="n">
        <v>11</v>
      </c>
      <c r="F12" s="3" t="n">
        <v>42.06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10</v>
      </c>
      <c r="N12" s="3" t="n">
        <v>100</v>
      </c>
      <c r="O12" s="3" t="n">
        <v>16.8141592920354</v>
      </c>
    </row>
    <row r="13" hidden="1">
      <c r="A13" s="5" t="n">
        <v>46147</v>
      </c>
      <c r="B13" s="6" t="inlineStr">
        <is>
          <t>Quirino Diogo Leite Torres</t>
        </is>
      </c>
      <c r="C13" s="3" t="inlineStr">
        <is>
          <t>Estágio</t>
        </is>
      </c>
      <c r="D13" s="3" t="n">
        <v>22</v>
      </c>
      <c r="E13" s="3" t="n">
        <v>18</v>
      </c>
      <c r="F13" s="3" t="n">
        <v>18.46</v>
      </c>
      <c r="G13" s="3" t="n">
        <v>1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3" t="n">
        <v>18</v>
      </c>
      <c r="N13" s="3" t="n">
        <v>98.11</v>
      </c>
      <c r="O13" s="3" t="n">
        <v>20.40816326530612</v>
      </c>
    </row>
    <row r="14" hidden="1">
      <c r="A14" s="5" t="n">
        <v>46148</v>
      </c>
      <c r="B14" s="6" t="inlineStr">
        <is>
          <t>Anna Luiza Rezende Tavares</t>
        </is>
      </c>
      <c r="C14" s="3" t="inlineStr">
        <is>
          <t>Estágio</t>
        </is>
      </c>
      <c r="D14" s="3" t="n">
        <v>27</v>
      </c>
      <c r="E14" s="3" t="n">
        <v>26</v>
      </c>
      <c r="F14" t="n">
        <v>23.4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25</v>
      </c>
      <c r="N14" s="3" t="n">
        <v>99.11</v>
      </c>
      <c r="O14" s="3" t="n">
        <v>17.72151898734177</v>
      </c>
    </row>
    <row r="15" hidden="1">
      <c r="A15" s="5" t="n">
        <v>46148</v>
      </c>
      <c r="B15" s="6" t="inlineStr">
        <is>
          <t>Claudio de Sousa Velasco Filho</t>
        </is>
      </c>
      <c r="C15" s="3" t="inlineStr">
        <is>
          <t>Estágio</t>
        </is>
      </c>
      <c r="D15" s="3" t="n">
        <v>13</v>
      </c>
      <c r="E15" s="3" t="n">
        <v>12</v>
      </c>
      <c r="F15" t="n">
        <v>20.07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9</v>
      </c>
      <c r="N15" s="3" t="n">
        <v>96.43000000000001</v>
      </c>
      <c r="O15" s="3" t="n">
        <v>20</v>
      </c>
    </row>
    <row r="16" hidden="1">
      <c r="A16" s="5" t="n">
        <v>46148</v>
      </c>
      <c r="B16" s="6" t="inlineStr">
        <is>
          <t>Emilly Caylane Costa</t>
        </is>
      </c>
      <c r="C16" s="3" t="inlineStr">
        <is>
          <t>Estágio</t>
        </is>
      </c>
      <c r="D16" s="3" t="n">
        <v>56</v>
      </c>
      <c r="E16" s="3" t="n">
        <v>43</v>
      </c>
      <c r="F16" t="n">
        <v>5.13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2</v>
      </c>
      <c r="N16" s="3" t="n">
        <v>100</v>
      </c>
      <c r="O16" s="3" t="n">
        <v>29.03225806451613</v>
      </c>
    </row>
    <row r="17" hidden="1">
      <c r="A17" s="5" t="n">
        <v>46148</v>
      </c>
      <c r="B17" s="6" t="inlineStr">
        <is>
          <t>Maria Eduarda Sousa Costa</t>
        </is>
      </c>
      <c r="C17" s="3" t="inlineStr">
        <is>
          <t>Estágio</t>
        </is>
      </c>
      <c r="D17" s="3" t="n">
        <v>66</v>
      </c>
      <c r="E17" s="3" t="n">
        <v>38</v>
      </c>
      <c r="F17" t="n">
        <v>7.02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IF(K17&lt;-5,"CRÍTICO",IF(K17&lt;0,"ATENÇÃO",IF(K17&lt;=5,"BOM","EXCELENTE")))</f>
        <v/>
      </c>
      <c r="M17" s="3" t="n">
        <v>3</v>
      </c>
      <c r="N17" s="3" t="n">
        <v>100</v>
      </c>
      <c r="O17" s="3" t="n">
        <v>11.86440677966102</v>
      </c>
    </row>
    <row r="18" hidden="1">
      <c r="A18" s="5" t="n">
        <v>46148</v>
      </c>
      <c r="B18" s="6" t="inlineStr">
        <is>
          <t>Michelle G Santos</t>
        </is>
      </c>
      <c r="C18" s="3" t="inlineStr">
        <is>
          <t>Estágio</t>
        </is>
      </c>
      <c r="D18" s="3" t="n">
        <v>9</v>
      </c>
      <c r="E18" s="3" t="n">
        <v>8</v>
      </c>
      <c r="F18" t="n">
        <v>30.08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7</v>
      </c>
      <c r="N18" s="3" t="n">
        <v>100</v>
      </c>
      <c r="O18" s="3" t="n">
        <v>16.8141592920354</v>
      </c>
    </row>
    <row r="19" hidden="1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N19" t="n">
        <v>98.91</v>
      </c>
      <c r="O19" t="n">
        <v>31.36729222520107</v>
      </c>
    </row>
    <row r="20" hidden="1">
      <c r="A20" s="5" t="n">
        <v>46148</v>
      </c>
      <c r="B20" s="6" t="inlineStr">
        <is>
          <t>Quirino Diogo Leite Torres</t>
        </is>
      </c>
      <c r="C20" s="3" t="inlineStr">
        <is>
          <t>Estágio</t>
        </is>
      </c>
      <c r="D20" s="3" t="n">
        <v>17</v>
      </c>
      <c r="E20" s="3" t="n">
        <v>15</v>
      </c>
      <c r="F20" t="n">
        <v>22.06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3" t="n">
        <v>14</v>
      </c>
      <c r="N20" s="3" t="n">
        <v>98.11</v>
      </c>
      <c r="O20" s="3" t="n">
        <v>20.40816326530612</v>
      </c>
    </row>
    <row r="21" hidden="1">
      <c r="A21" s="5" t="n">
        <v>46149</v>
      </c>
      <c r="B21" s="6" t="inlineStr">
        <is>
          <t>Anna Luiza Rezende Tavares</t>
        </is>
      </c>
      <c r="C21" s="3" t="inlineStr">
        <is>
          <t>Estágio</t>
        </is>
      </c>
      <c r="D21" s="3" t="n">
        <v>33</v>
      </c>
      <c r="E21" s="3" t="n">
        <v>32</v>
      </c>
      <c r="F21" t="n">
        <v>19.09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3" t="n">
        <v>30</v>
      </c>
      <c r="N21" s="3" t="n">
        <v>99.11</v>
      </c>
      <c r="O21" s="3" t="n">
        <v>17.72151898734177</v>
      </c>
    </row>
    <row r="22" hidden="1">
      <c r="A22" s="5" t="n">
        <v>46149</v>
      </c>
      <c r="B22" s="6" t="inlineStr">
        <is>
          <t>Claudio de Sousa Velasco Filho</t>
        </is>
      </c>
      <c r="C22" s="3" t="inlineStr">
        <is>
          <t>Estágio</t>
        </is>
      </c>
      <c r="D22" s="3" t="n">
        <v>12</v>
      </c>
      <c r="E22" s="3" t="n">
        <v>12</v>
      </c>
      <c r="F22" t="n">
        <v>19.17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3" t="n">
        <v>9</v>
      </c>
      <c r="N22" s="3" t="n">
        <v>96.43000000000001</v>
      </c>
      <c r="O22" s="3" t="n">
        <v>20</v>
      </c>
    </row>
    <row r="23" hidden="1">
      <c r="A23" s="5" t="n">
        <v>46149</v>
      </c>
      <c r="B23" s="6" t="inlineStr">
        <is>
          <t>Emilly Caylane Costa</t>
        </is>
      </c>
      <c r="C23" s="3" t="inlineStr">
        <is>
          <t>Estágio</t>
        </is>
      </c>
      <c r="D23" s="3" t="n">
        <v>51</v>
      </c>
      <c r="E23" s="3" t="n">
        <v>32</v>
      </c>
      <c r="F23" t="n">
        <v>3.44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3" t="n">
        <v>1</v>
      </c>
      <c r="N23" s="3" t="n">
        <v>100</v>
      </c>
      <c r="O23" s="3" t="n">
        <v>29.03225806451613</v>
      </c>
    </row>
    <row r="24" hidden="1">
      <c r="A24" s="5" t="n">
        <v>46149</v>
      </c>
      <c r="B24" s="6" t="inlineStr">
        <is>
          <t>Maria Eduarda Sousa Costa</t>
        </is>
      </c>
      <c r="C24" s="3" t="inlineStr">
        <is>
          <t>Estágio</t>
        </is>
      </c>
      <c r="D24" s="3" t="n">
        <v>52</v>
      </c>
      <c r="E24" s="3" t="n">
        <v>37</v>
      </c>
      <c r="F24" t="n">
        <v>5.49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IF(K24&lt;-5,"CRÍTICO",IF(K24&lt;0,"ATENÇÃO",IF(K24&lt;=5,"BOM","EXCELENTE")))</f>
        <v/>
      </c>
      <c r="M24" s="3" t="n">
        <v>4</v>
      </c>
      <c r="N24" s="3" t="n">
        <v>100</v>
      </c>
      <c r="O24" s="3" t="n">
        <v>11.86440677966102</v>
      </c>
    </row>
    <row r="25" hidden="1">
      <c r="A25" s="5" t="n">
        <v>46149</v>
      </c>
      <c r="B25" s="6" t="inlineStr">
        <is>
          <t>Michelle G Santos</t>
        </is>
      </c>
      <c r="C25" s="3" t="inlineStr">
        <is>
          <t>Estágio</t>
        </is>
      </c>
      <c r="D25" s="3" t="n">
        <v>16</v>
      </c>
      <c r="E25" s="3" t="n">
        <v>15</v>
      </c>
      <c r="F25" t="n">
        <v>27.04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13</v>
      </c>
      <c r="N25" s="3" t="n">
        <v>100</v>
      </c>
      <c r="O25" s="3" t="n">
        <v>16.8141592920354</v>
      </c>
    </row>
    <row r="26" hidden="1">
      <c r="A26" s="5" t="n">
        <v>46149</v>
      </c>
      <c r="B26" s="6" t="inlineStr">
        <is>
          <t>Quirino Diogo Leite Torres</t>
        </is>
      </c>
      <c r="C26" s="3" t="inlineStr">
        <is>
          <t>Estágio</t>
        </is>
      </c>
      <c r="D26" s="3" t="n">
        <v>15</v>
      </c>
      <c r="E26" s="3" t="n">
        <v>15</v>
      </c>
      <c r="F26" t="n">
        <v>32.02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3" t="n">
        <v>13</v>
      </c>
      <c r="N26" s="3" t="n">
        <v>98.11</v>
      </c>
      <c r="O26" s="3" t="n">
        <v>20.40816326530612</v>
      </c>
    </row>
    <row r="27" hidden="1">
      <c r="A27" s="5" t="n">
        <v>46150</v>
      </c>
      <c r="B27" s="6" t="inlineStr">
        <is>
          <t>Anna Luiza Rezende Tavares</t>
        </is>
      </c>
      <c r="C27" s="3" t="inlineStr">
        <is>
          <t>Estágio</t>
        </is>
      </c>
      <c r="D27" s="3" t="n">
        <v>38</v>
      </c>
      <c r="E27" s="3" t="n">
        <v>35</v>
      </c>
      <c r="F27" t="n">
        <v>15.27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t="n">
        <v>29</v>
      </c>
      <c r="N27" t="n">
        <v>99.11</v>
      </c>
      <c r="O27" t="n">
        <v>17.72151898734177</v>
      </c>
    </row>
    <row r="28" hidden="1">
      <c r="A28" s="5" t="n">
        <v>46150</v>
      </c>
      <c r="B28" s="6" t="inlineStr">
        <is>
          <t>Claudio de Sousa Velasco Filho</t>
        </is>
      </c>
      <c r="C28" s="3" t="inlineStr">
        <is>
          <t>Estágio</t>
        </is>
      </c>
      <c r="D28" s="3" t="n">
        <v>10</v>
      </c>
      <c r="E28" s="3" t="n">
        <v>9</v>
      </c>
      <c r="F28" t="n">
        <v>17.38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t="n">
        <v>7</v>
      </c>
      <c r="N28" t="n">
        <v>96.43000000000001</v>
      </c>
      <c r="O28" t="n">
        <v>20</v>
      </c>
    </row>
    <row r="29" hidden="1">
      <c r="A29" s="5" t="n">
        <v>46150</v>
      </c>
      <c r="B29" s="6" t="inlineStr">
        <is>
          <t>Emilly Caylane Costa</t>
        </is>
      </c>
      <c r="C29" s="3" t="inlineStr">
        <is>
          <t>Estágio</t>
        </is>
      </c>
      <c r="D29" s="3" t="n">
        <v>9</v>
      </c>
      <c r="E29" s="3" t="n">
        <v>8</v>
      </c>
      <c r="F29" t="n">
        <v>27.06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t="n">
        <v>6</v>
      </c>
      <c r="N29" t="n">
        <v>100</v>
      </c>
      <c r="O29" t="n">
        <v>29.03225806451613</v>
      </c>
    </row>
    <row r="30" hidden="1">
      <c r="A30" s="5" t="n">
        <v>46150</v>
      </c>
      <c r="B30" s="6" t="inlineStr">
        <is>
          <t>Maria Eduarda Sousa Costa</t>
        </is>
      </c>
      <c r="C30" s="3" t="inlineStr">
        <is>
          <t>Estágio</t>
        </is>
      </c>
      <c r="D30" s="3" t="n">
        <v>55</v>
      </c>
      <c r="E30" s="3" t="n">
        <v>34</v>
      </c>
      <c r="F30" t="n">
        <v>5.58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t="n">
        <v>1</v>
      </c>
      <c r="N30" t="n">
        <v>100</v>
      </c>
      <c r="O30" t="n">
        <v>11.86440677966102</v>
      </c>
    </row>
    <row r="31" hidden="1">
      <c r="A31" s="5" t="n">
        <v>46150</v>
      </c>
      <c r="B31" s="6" t="inlineStr">
        <is>
          <t>Michelle G Santos</t>
        </is>
      </c>
      <c r="C31" s="3" t="inlineStr">
        <is>
          <t>Estágio</t>
        </is>
      </c>
      <c r="D31" s="3" t="n">
        <v>14</v>
      </c>
      <c r="E31" s="3" t="n">
        <v>13</v>
      </c>
      <c r="F31" t="n">
        <v>41.45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IF(K31&lt;-5,"CRÍTICO",IF(K31&lt;0,"ATENÇÃO",IF(K31&lt;=5,"BOM","EXCELENTE")))</f>
        <v/>
      </c>
      <c r="M31" t="n">
        <v>9</v>
      </c>
      <c r="N31" t="n">
        <v>100</v>
      </c>
      <c r="O31" t="n">
        <v>16.8141592920354</v>
      </c>
    </row>
    <row r="32" hidden="1">
      <c r="A32" s="5" t="n">
        <v>46150</v>
      </c>
      <c r="B32" s="6" t="inlineStr">
        <is>
          <t>Quirino Diogo Leite Torres</t>
        </is>
      </c>
      <c r="C32" s="3" t="inlineStr">
        <is>
          <t>Estágio</t>
        </is>
      </c>
      <c r="D32" s="3" t="n">
        <v>17</v>
      </c>
      <c r="E32" s="3" t="n">
        <v>17</v>
      </c>
      <c r="F32" t="n">
        <v>28.35</v>
      </c>
      <c r="G32" s="3" t="n">
        <v>0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t="n">
        <v>11</v>
      </c>
      <c r="N32" t="n">
        <v>98.11</v>
      </c>
      <c r="O32" t="n">
        <v>20.40816326530612</v>
      </c>
    </row>
    <row r="33" hidden="1">
      <c r="A33" s="5" t="n">
        <v>46153</v>
      </c>
      <c r="B33" s="6" t="inlineStr">
        <is>
          <t>Anna Luiza Rezende Tavares</t>
        </is>
      </c>
      <c r="C33" s="3" t="inlineStr">
        <is>
          <t>Estágio</t>
        </is>
      </c>
      <c r="D33" s="3" t="n">
        <v>32</v>
      </c>
      <c r="E33" s="3" t="n">
        <v>32</v>
      </c>
      <c r="F33" t="n">
        <v>15.35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t="n">
        <v>29</v>
      </c>
      <c r="N33" t="n">
        <v>99.11</v>
      </c>
      <c r="O33" t="n">
        <v>17.72151898734177</v>
      </c>
    </row>
    <row r="34" hidden="1">
      <c r="A34" s="5" t="n">
        <v>46153</v>
      </c>
      <c r="B34" s="6" t="inlineStr">
        <is>
          <t>Claudio de Sousa Velasco Filho</t>
        </is>
      </c>
      <c r="C34" s="3" t="inlineStr">
        <is>
          <t>Estágio</t>
        </is>
      </c>
      <c r="D34" s="3" t="n">
        <v>1</v>
      </c>
      <c r="E34" s="3" t="n">
        <v>1</v>
      </c>
      <c r="F34" t="n">
        <v>45.11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t="n">
        <v>1</v>
      </c>
      <c r="N34" t="n">
        <v>96.43000000000001</v>
      </c>
      <c r="O34" t="n">
        <v>20</v>
      </c>
    </row>
    <row r="35" hidden="1">
      <c r="A35" s="5" t="n">
        <v>46153</v>
      </c>
      <c r="B35" s="6" t="inlineStr">
        <is>
          <t>Emilly Caylane Costa</t>
        </is>
      </c>
      <c r="C35" s="3" t="inlineStr">
        <is>
          <t>Estágio</t>
        </is>
      </c>
      <c r="D35" s="3" t="n">
        <v>8</v>
      </c>
      <c r="E35" s="3" t="n">
        <v>5</v>
      </c>
      <c r="F35" t="n">
        <v>21.51</v>
      </c>
      <c r="G35" s="3" t="n">
        <v>0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t="n">
        <v>2</v>
      </c>
      <c r="N35" t="n">
        <v>100</v>
      </c>
      <c r="O35" t="n">
        <v>29.03225806451613</v>
      </c>
    </row>
    <row r="36" hidden="1">
      <c r="A36" s="5" t="n">
        <v>46153</v>
      </c>
      <c r="B36" s="6" t="inlineStr">
        <is>
          <t>Maria Eduarda Sousa Costa</t>
        </is>
      </c>
      <c r="C36" s="3" t="inlineStr">
        <is>
          <t>Estágio</t>
        </is>
      </c>
      <c r="D36" s="3" t="n">
        <v>52</v>
      </c>
      <c r="E36" s="3" t="n">
        <v>32</v>
      </c>
      <c r="F36" t="n">
        <v>5.18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t="n">
        <v>4</v>
      </c>
      <c r="N36" t="n">
        <v>100</v>
      </c>
      <c r="O36" t="n">
        <v>11.86440677966102</v>
      </c>
    </row>
    <row r="37" hidden="1">
      <c r="A37" s="5" t="n">
        <v>46153</v>
      </c>
      <c r="B37" s="6" t="inlineStr">
        <is>
          <t>Michelle G Santos</t>
        </is>
      </c>
      <c r="C37" s="3" t="inlineStr">
        <is>
          <t>Estágio</t>
        </is>
      </c>
      <c r="D37" s="3" t="n">
        <v>7</v>
      </c>
      <c r="E37" s="3" t="n">
        <v>7</v>
      </c>
      <c r="F37" t="n">
        <v>29.17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t="n">
        <v>4</v>
      </c>
      <c r="N37" t="n">
        <v>100</v>
      </c>
      <c r="O37" t="n">
        <v>16.8141592920354</v>
      </c>
    </row>
    <row r="38" hidden="1">
      <c r="A38" s="5" t="n">
        <v>46153</v>
      </c>
      <c r="B38" s="6" t="inlineStr">
        <is>
          <t>Quirino Diogo Leite Torres</t>
        </is>
      </c>
      <c r="C38" s="3" t="inlineStr">
        <is>
          <t>Estágio</t>
        </is>
      </c>
      <c r="D38" s="3" t="n">
        <v>16</v>
      </c>
      <c r="E38" s="3" t="n">
        <v>16</v>
      </c>
      <c r="F38" t="n">
        <v>30.41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t="n">
        <v>15</v>
      </c>
      <c r="N38" t="n">
        <v>98.11</v>
      </c>
      <c r="O38" t="n">
        <v>20.40816326530612</v>
      </c>
    </row>
    <row r="39" hidden="1">
      <c r="A39" s="5" t="n">
        <v>46154</v>
      </c>
      <c r="B39" s="6" t="inlineStr">
        <is>
          <t>Anna Luiza Rezende Tavares</t>
        </is>
      </c>
      <c r="C39" s="3" t="inlineStr">
        <is>
          <t>Estágio</t>
        </is>
      </c>
      <c r="D39" s="3" t="n">
        <v>25</v>
      </c>
      <c r="E39" s="3" t="n">
        <v>25</v>
      </c>
      <c r="F39" t="n">
        <v>20.14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t="n">
        <v>18</v>
      </c>
      <c r="N39" t="n">
        <v>99.11</v>
      </c>
      <c r="O39" t="n">
        <v>17.72151898734177</v>
      </c>
    </row>
    <row r="40" hidden="1">
      <c r="A40" s="5" t="n">
        <v>46154</v>
      </c>
      <c r="B40" s="6" t="inlineStr">
        <is>
          <t>Claudio de Sousa Velasco Filho</t>
        </is>
      </c>
      <c r="C40" s="3" t="inlineStr">
        <is>
          <t>Estágio</t>
        </is>
      </c>
      <c r="D40" s="3" t="n">
        <v>8</v>
      </c>
      <c r="E40" s="3" t="n">
        <v>7</v>
      </c>
      <c r="F40" t="n">
        <v>33.4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t="n">
        <v>6</v>
      </c>
      <c r="N40" t="n">
        <v>96.43000000000001</v>
      </c>
      <c r="O40" t="n">
        <v>20</v>
      </c>
    </row>
    <row r="41" hidden="1">
      <c r="A41" s="5" t="n">
        <v>46154</v>
      </c>
      <c r="B41" s="6" t="inlineStr">
        <is>
          <t>Emilly Caylane Costa</t>
        </is>
      </c>
      <c r="C41" s="3" t="inlineStr">
        <is>
          <t>Estágio</t>
        </is>
      </c>
      <c r="D41" s="3" t="n">
        <v>28</v>
      </c>
      <c r="E41" s="3" t="n">
        <v>16</v>
      </c>
      <c r="F41" t="n">
        <v>3.55</v>
      </c>
      <c r="G41" s="3" t="n">
        <v>0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t="n">
        <v>0</v>
      </c>
      <c r="N41" t="n">
        <v>100</v>
      </c>
      <c r="O41" t="n">
        <v>29.03225806451613</v>
      </c>
    </row>
    <row r="42" hidden="1">
      <c r="A42" s="5" t="n">
        <v>46154</v>
      </c>
      <c r="B42" s="6" t="inlineStr">
        <is>
          <t>Maria Eduarda Sousa Costa</t>
        </is>
      </c>
      <c r="C42" s="3" t="inlineStr">
        <is>
          <t>Estágio</t>
        </is>
      </c>
      <c r="D42" s="3" t="n">
        <v>45</v>
      </c>
      <c r="E42" s="3" t="n">
        <v>27</v>
      </c>
      <c r="F42" t="n">
        <v>7.15</v>
      </c>
      <c r="G42" s="3" t="n">
        <v>0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t="n">
        <v>1</v>
      </c>
      <c r="N42" t="n">
        <v>100</v>
      </c>
      <c r="O42" t="n">
        <v>11.86440677966102</v>
      </c>
    </row>
    <row r="43" hidden="1">
      <c r="A43" s="5" t="n">
        <v>46154</v>
      </c>
      <c r="B43" s="6" t="inlineStr">
        <is>
          <t>Michelle G Santos</t>
        </is>
      </c>
      <c r="C43" s="3" t="inlineStr">
        <is>
          <t>Estágio</t>
        </is>
      </c>
      <c r="D43" s="3" t="n">
        <v>9</v>
      </c>
      <c r="E43" s="3" t="n">
        <v>7</v>
      </c>
      <c r="F43" t="n">
        <v>29.01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t="n">
        <v>4</v>
      </c>
      <c r="N43" t="n">
        <v>100</v>
      </c>
      <c r="O43" t="n">
        <v>16.8141592920354</v>
      </c>
    </row>
    <row r="44" hidden="1">
      <c r="A44" s="5" t="n">
        <v>46154</v>
      </c>
      <c r="B44" s="6" t="inlineStr">
        <is>
          <t>Quirino Diogo Leite Torres</t>
        </is>
      </c>
      <c r="C44" s="3" t="inlineStr">
        <is>
          <t>Estágio</t>
        </is>
      </c>
      <c r="D44" s="3" t="n">
        <v>20</v>
      </c>
      <c r="E44" s="3" t="n">
        <v>17</v>
      </c>
      <c r="F44" t="n">
        <v>24.05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t="n">
        <v>13</v>
      </c>
      <c r="N44" t="n">
        <v>98.11</v>
      </c>
      <c r="O44" t="n">
        <v>20.40816326530612</v>
      </c>
    </row>
    <row r="45" hidden="1">
      <c r="A45" s="5" t="n">
        <v>46155</v>
      </c>
      <c r="B45" s="6" t="inlineStr">
        <is>
          <t>Anna Luiza Rezende Tavares</t>
        </is>
      </c>
      <c r="C45" s="3" t="inlineStr">
        <is>
          <t>Estágio</t>
        </is>
      </c>
      <c r="D45" s="3" t="n">
        <v>23</v>
      </c>
      <c r="E45" s="3" t="n">
        <v>23</v>
      </c>
      <c r="F45" t="n">
        <v>15.57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t="n">
        <v>18</v>
      </c>
      <c r="N45" t="n">
        <v>99.11</v>
      </c>
      <c r="O45" t="n">
        <v>17.72151898734177</v>
      </c>
    </row>
    <row r="46" hidden="1">
      <c r="A46" s="5" t="n">
        <v>46155</v>
      </c>
      <c r="B46" s="6" t="inlineStr">
        <is>
          <t>Claudio de Sousa Velasco Filho</t>
        </is>
      </c>
      <c r="C46" s="3" t="inlineStr">
        <is>
          <t>Estágio</t>
        </is>
      </c>
      <c r="D46" s="3" t="n">
        <v>5</v>
      </c>
      <c r="E46" s="3" t="n">
        <v>5</v>
      </c>
      <c r="F46" t="n">
        <v>42.33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t="n">
        <v>5</v>
      </c>
      <c r="N46" t="n">
        <v>96.43000000000001</v>
      </c>
      <c r="O46" t="n">
        <v>20</v>
      </c>
    </row>
    <row r="47" hidden="1">
      <c r="A47" s="5" t="n">
        <v>46155</v>
      </c>
      <c r="B47" s="6" t="inlineStr">
        <is>
          <t>Emilly Caylane Costa</t>
        </is>
      </c>
      <c r="C47" s="3" t="inlineStr">
        <is>
          <t>Estágio</t>
        </is>
      </c>
      <c r="D47" s="3" t="n">
        <v>60</v>
      </c>
      <c r="E47" s="3" t="n">
        <v>19</v>
      </c>
      <c r="F47" t="n">
        <v>2.24</v>
      </c>
      <c r="G47" s="3" t="n">
        <v>0</v>
      </c>
      <c r="H47" s="3" t="n">
        <v>0</v>
      </c>
      <c r="I47" s="3">
        <f>E47+G47+H47</f>
        <v/>
      </c>
      <c r="J47" s="3">
        <f>ROUND(MIN(IF(C47="Técnico III",35,IF(C47="Técnico II",28,IF(C47="Técnico I",23,IF(C47="JR",20,IF(C47="Estágio",10,0))))),IF(C47="Técnico III",SUMIFS($D:$D,$A:$A,$A47,$B:$B,"&lt;&gt;Patrícia Karla de Sousa Araújo",$B:$B,"&lt;&gt;Lorena Dias de Araujo",$B:$B,"&lt;&gt;Lucas Luiz Romero")*(35/1083),IF(C47="Técnico II",SUMIFS($D:$D,$A:$A,$A47,$B:$B,"&lt;&gt;Patrícia Karla de Sousa Araújo",$B:$B,"&lt;&gt;Lorena Dias de Araujo",$B:$B,"&lt;&gt;Lucas Luiz Romero")*(28/1083),IF(C47="Técnico I",SUMIFS($D:$D,$A:$A,$A47,$B:$B,"&lt;&gt;Patrícia Karla de Sousa Araújo",$B:$B,"&lt;&gt;Lorena Dias de Araujo",$B:$B,"&lt;&gt;Lucas Luiz Romero")*(23/1083),IF(C47="JR",SUMIFS($D:$D,$A:$A,$A47,$B:$B,"&lt;&gt;Patrícia Karla de Sousa Araújo",$B:$B,"&lt;&gt;Lorena Dias de Araujo",$B:$B,"&lt;&gt;Lucas Luiz Romero")*(20/1083),IF(C47="Estágio",SUMIFS($D:$D,$A:$A,$A47,$B:$B,"&lt;&gt;Patrícia Karla de Sousa Araújo",$B:$B,"&lt;&gt;Lorena Dias de Araujo",$B:$B,"&lt;&gt;Lucas Luiz Romero")*(10/1083),0)))))),0)</f>
        <v/>
      </c>
      <c r="K47" s="3">
        <f>I47-J47</f>
        <v/>
      </c>
      <c r="L47" s="3">
        <f>IF(K47&lt;-5,"CRÍTICO",IF(K47&lt;0,"ATENÇÃO",IF(K47&lt;=5,"BOM","EXCELENTE")))</f>
        <v/>
      </c>
      <c r="M47" t="n">
        <v>0</v>
      </c>
      <c r="N47" t="n">
        <v>100</v>
      </c>
      <c r="O47" t="n">
        <v>29.03225806451613</v>
      </c>
    </row>
    <row r="48" hidden="1">
      <c r="A48" s="5" t="n">
        <v>46155</v>
      </c>
      <c r="B48" s="6" t="inlineStr">
        <is>
          <t>Maria Eduarda Sousa Costa</t>
        </is>
      </c>
      <c r="C48" s="3" t="inlineStr">
        <is>
          <t>Estágio</t>
        </is>
      </c>
      <c r="D48" s="3" t="n">
        <v>37</v>
      </c>
      <c r="E48" s="3" t="n">
        <v>23</v>
      </c>
      <c r="F48" t="n">
        <v>6.59</v>
      </c>
      <c r="G48" s="3" t="n">
        <v>0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t="n">
        <v>1</v>
      </c>
      <c r="N48" t="n">
        <v>100</v>
      </c>
      <c r="O48" t="n">
        <v>11.86440677966102</v>
      </c>
    </row>
    <row r="49" hidden="1">
      <c r="A49" s="5" t="n">
        <v>46155</v>
      </c>
      <c r="B49" s="6" t="inlineStr">
        <is>
          <t>Michelle G Santos</t>
        </is>
      </c>
      <c r="C49" s="3" t="inlineStr">
        <is>
          <t>Estágio</t>
        </is>
      </c>
      <c r="D49" s="3" t="n">
        <v>6</v>
      </c>
      <c r="E49" s="3" t="n">
        <v>6</v>
      </c>
      <c r="F49" t="n">
        <v>29.1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t="n">
        <v>5</v>
      </c>
      <c r="N49" t="n">
        <v>100</v>
      </c>
      <c r="O49" t="n">
        <v>16.8141592920354</v>
      </c>
    </row>
    <row r="50" hidden="1">
      <c r="A50" s="5" t="n">
        <v>46155</v>
      </c>
      <c r="B50" s="6" t="inlineStr">
        <is>
          <t>Quirino Diogo Leite Torres</t>
        </is>
      </c>
      <c r="C50" s="3" t="inlineStr">
        <is>
          <t>Estágio</t>
        </is>
      </c>
      <c r="D50" s="3" t="n">
        <v>19</v>
      </c>
      <c r="E50" s="3" t="n">
        <v>18</v>
      </c>
      <c r="F50" t="n">
        <v>23.42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t="n">
        <v>13</v>
      </c>
      <c r="N50" t="n">
        <v>98.11</v>
      </c>
      <c r="O50" t="n">
        <v>20.40816326530612</v>
      </c>
    </row>
    <row r="51" hidden="1">
      <c r="A51" s="5" t="n">
        <v>46156</v>
      </c>
      <c r="B51" s="6" t="inlineStr">
        <is>
          <t>Anna Luiza Rezende Tavares</t>
        </is>
      </c>
      <c r="C51" s="3" t="inlineStr">
        <is>
          <t>Estágio</t>
        </is>
      </c>
      <c r="D51" s="3" t="n">
        <v>31</v>
      </c>
      <c r="E51" s="3" t="n">
        <v>29</v>
      </c>
      <c r="F51" t="n">
        <v>18.5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t="n">
        <v>26</v>
      </c>
      <c r="N51" t="n">
        <v>99.11</v>
      </c>
      <c r="O51" t="n">
        <v>17.72151898734177</v>
      </c>
    </row>
    <row r="52" hidden="1">
      <c r="A52" s="5" t="n">
        <v>46156</v>
      </c>
      <c r="B52" s="6" t="inlineStr">
        <is>
          <t>Claudio de Sousa Velasco Filho</t>
        </is>
      </c>
      <c r="C52" s="3" t="inlineStr">
        <is>
          <t>Estágio</t>
        </is>
      </c>
      <c r="D52" s="3" t="n">
        <v>9</v>
      </c>
      <c r="E52" s="3" t="n">
        <v>9</v>
      </c>
      <c r="F52" t="n">
        <v>24.16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t="n">
        <v>6</v>
      </c>
      <c r="N52" t="n">
        <v>96.43000000000001</v>
      </c>
      <c r="O52" t="n">
        <v>20</v>
      </c>
    </row>
    <row r="53" hidden="1">
      <c r="A53" s="5" t="n">
        <v>46156</v>
      </c>
      <c r="B53" s="6" t="inlineStr">
        <is>
          <t>Emilly Caylane Costa</t>
        </is>
      </c>
      <c r="C53" s="3" t="inlineStr">
        <is>
          <t>Estágio</t>
        </is>
      </c>
      <c r="D53" s="3" t="n">
        <v>21</v>
      </c>
      <c r="E53" s="3" t="n">
        <v>10</v>
      </c>
      <c r="F53" t="n">
        <v>3.22</v>
      </c>
      <c r="G53" s="3" t="n">
        <v>5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IF(K53&lt;-5,"CRÍTICO",IF(K53&lt;0,"ATENÇÃO",IF(K53&lt;=5,"BOM","EXCELENTE")))</f>
        <v/>
      </c>
      <c r="M53" t="n">
        <v>0</v>
      </c>
      <c r="N53" t="n">
        <v>100</v>
      </c>
      <c r="O53" t="n">
        <v>29.03225806451613</v>
      </c>
    </row>
    <row r="54" hidden="1">
      <c r="A54" s="5" t="n">
        <v>46156</v>
      </c>
      <c r="B54" s="6" t="inlineStr">
        <is>
          <t>Maria Eduarda Sousa Costa</t>
        </is>
      </c>
      <c r="C54" s="3" t="inlineStr">
        <is>
          <t>Estágio</t>
        </is>
      </c>
      <c r="D54" s="3" t="n">
        <v>63</v>
      </c>
      <c r="E54" s="3" t="n">
        <v>43</v>
      </c>
      <c r="F54" t="n">
        <v>6.57</v>
      </c>
      <c r="G54" s="3" t="n">
        <v>0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t="n">
        <v>2</v>
      </c>
      <c r="N54" t="n">
        <v>100</v>
      </c>
      <c r="O54" t="n">
        <v>11.86440677966102</v>
      </c>
    </row>
    <row r="55" hidden="1">
      <c r="A55" s="5" t="n">
        <v>46156</v>
      </c>
      <c r="B55" s="6" t="inlineStr">
        <is>
          <t>Michelle G Santos</t>
        </is>
      </c>
      <c r="C55" s="3" t="inlineStr">
        <is>
          <t>Estágio</t>
        </is>
      </c>
      <c r="D55" s="3" t="n">
        <v>4</v>
      </c>
      <c r="E55" s="3" t="n">
        <v>4</v>
      </c>
      <c r="F55" t="n">
        <v>54.06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t="n">
        <v>3</v>
      </c>
      <c r="N55" t="n">
        <v>100</v>
      </c>
      <c r="O55" t="n">
        <v>16.8141592920354</v>
      </c>
    </row>
    <row r="56" hidden="1">
      <c r="A56" s="5" t="n">
        <v>46156</v>
      </c>
      <c r="B56" s="6" t="inlineStr">
        <is>
          <t>Quirino Diogo Leite Torres</t>
        </is>
      </c>
      <c r="C56" s="3" t="inlineStr">
        <is>
          <t>Estágio</t>
        </is>
      </c>
      <c r="D56" s="3" t="n">
        <v>19</v>
      </c>
      <c r="E56" s="3" t="n">
        <v>18</v>
      </c>
      <c r="F56" t="n">
        <v>24.18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t="n">
        <v>15</v>
      </c>
      <c r="N56" t="n">
        <v>98.11</v>
      </c>
      <c r="O56" t="n">
        <v>20.40816326530612</v>
      </c>
    </row>
    <row r="57" hidden="1">
      <c r="A57" s="5" t="n">
        <v>46157</v>
      </c>
      <c r="B57" s="6" t="inlineStr">
        <is>
          <t>Anna Luiza Rezende Tavares</t>
        </is>
      </c>
      <c r="C57" s="3" t="inlineStr">
        <is>
          <t>Estágio</t>
        </is>
      </c>
      <c r="D57" s="3" t="n">
        <v>42</v>
      </c>
      <c r="E57" s="3" t="n">
        <v>40</v>
      </c>
      <c r="F57" t="n">
        <v>15.42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t="n">
        <v>34</v>
      </c>
      <c r="N57" t="n">
        <v>99.11</v>
      </c>
      <c r="O57" t="n">
        <v>17.72151898734177</v>
      </c>
    </row>
    <row r="58" hidden="1">
      <c r="A58" s="5" t="n">
        <v>46157</v>
      </c>
      <c r="B58" s="6" t="inlineStr">
        <is>
          <t>Claudio de Sousa Velasco Filho</t>
        </is>
      </c>
      <c r="C58" s="3" t="inlineStr">
        <is>
          <t>Estágio</t>
        </is>
      </c>
      <c r="D58" s="3" t="n">
        <v>11</v>
      </c>
      <c r="E58" s="3" t="n">
        <v>10</v>
      </c>
      <c r="F58" t="n">
        <v>20.19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t="n">
        <v>8</v>
      </c>
      <c r="N58" t="n">
        <v>96.43000000000001</v>
      </c>
      <c r="O58" t="n">
        <v>20</v>
      </c>
    </row>
    <row r="59" hidden="1">
      <c r="A59" s="5" t="n">
        <v>46157</v>
      </c>
      <c r="B59" s="6" t="inlineStr">
        <is>
          <t>Emilly Caylane Costa</t>
        </is>
      </c>
      <c r="C59" s="3" t="inlineStr">
        <is>
          <t>Estágio</t>
        </is>
      </c>
      <c r="D59" s="3" t="n">
        <v>39</v>
      </c>
      <c r="E59" s="3" t="n">
        <v>24</v>
      </c>
      <c r="F59" t="n">
        <v>3.43</v>
      </c>
      <c r="G59" s="3" t="n">
        <v>0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t="n">
        <v>0</v>
      </c>
      <c r="N59" t="n">
        <v>100</v>
      </c>
      <c r="O59" t="n">
        <v>29.03225806451613</v>
      </c>
    </row>
    <row r="60" hidden="1">
      <c r="A60" s="5" t="n">
        <v>46157</v>
      </c>
      <c r="B60" s="6" t="inlineStr">
        <is>
          <t>Maria Eduarda Sousa Costa</t>
        </is>
      </c>
      <c r="C60" s="3" t="inlineStr">
        <is>
          <t>Estágio</t>
        </is>
      </c>
      <c r="D60" s="3" t="n">
        <v>54</v>
      </c>
      <c r="E60" s="3" t="n">
        <v>32</v>
      </c>
      <c r="F60" t="n">
        <v>6.47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t="n">
        <v>1</v>
      </c>
      <c r="N60" t="n">
        <v>100</v>
      </c>
      <c r="O60" t="n">
        <v>11.86440677966102</v>
      </c>
    </row>
    <row r="61" hidden="1">
      <c r="A61" s="5" t="n">
        <v>46157</v>
      </c>
      <c r="B61" s="6" t="inlineStr">
        <is>
          <t>Michelle G Santos</t>
        </is>
      </c>
      <c r="C61" s="3" t="inlineStr">
        <is>
          <t>Estágio</t>
        </is>
      </c>
      <c r="D61" s="3" t="n">
        <v>9</v>
      </c>
      <c r="E61" s="3" t="n">
        <v>8</v>
      </c>
      <c r="F61" t="n">
        <v>39.06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t="n">
        <v>7</v>
      </c>
      <c r="N61" t="n">
        <v>100</v>
      </c>
      <c r="O61" t="n">
        <v>16.8141592920354</v>
      </c>
    </row>
    <row r="62" hidden="1">
      <c r="A62" s="5" t="n">
        <v>46157</v>
      </c>
      <c r="B62" s="6" t="inlineStr">
        <is>
          <t>Quirino Diogo Leite Torres</t>
        </is>
      </c>
      <c r="C62" s="3" t="inlineStr">
        <is>
          <t>Estágio</t>
        </is>
      </c>
      <c r="D62" s="3" t="n">
        <v>17</v>
      </c>
      <c r="E62" s="3" t="n">
        <v>15</v>
      </c>
      <c r="F62" t="n">
        <v>23.57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t="n">
        <v>14</v>
      </c>
      <c r="N62" t="n">
        <v>98.11</v>
      </c>
      <c r="O62" t="n">
        <v>20.40816326530612</v>
      </c>
    </row>
    <row r="63" hidden="1">
      <c r="A63" s="5" t="n">
        <v>46160</v>
      </c>
      <c r="B63" s="6" t="inlineStr">
        <is>
          <t>Claudio de Sousa Velasco Filho</t>
        </is>
      </c>
      <c r="C63" s="3" t="inlineStr">
        <is>
          <t>Estágio</t>
        </is>
      </c>
      <c r="D63" s="3" t="n">
        <v>6</v>
      </c>
      <c r="E63" s="3" t="n">
        <v>6</v>
      </c>
      <c r="F63" t="n">
        <v>15.59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t="n">
        <v>6</v>
      </c>
      <c r="N63" t="n">
        <v>96.43000000000001</v>
      </c>
      <c r="O63" t="n">
        <v>20</v>
      </c>
    </row>
    <row r="64" hidden="1">
      <c r="A64" s="5" t="n">
        <v>46160</v>
      </c>
      <c r="B64" s="6" t="inlineStr">
        <is>
          <t>Emilly Caylane Costa</t>
        </is>
      </c>
      <c r="C64" s="3" t="inlineStr">
        <is>
          <t>Estágio</t>
        </is>
      </c>
      <c r="D64" s="3" t="n">
        <v>32</v>
      </c>
      <c r="E64" s="3" t="n">
        <v>13</v>
      </c>
      <c r="F64" t="n">
        <v>4.16</v>
      </c>
      <c r="G64" s="3" t="n">
        <v>0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IF(K64&lt;-5,"CRÍTICO",IF(K64&lt;0,"ATENÇÃO",IF(K64&lt;=5,"BOM","EXCELENTE")))</f>
        <v/>
      </c>
      <c r="M64" t="n">
        <v>0</v>
      </c>
      <c r="N64" t="n">
        <v>100</v>
      </c>
      <c r="O64" t="n">
        <v>29.03225806451613</v>
      </c>
    </row>
    <row r="65" hidden="1">
      <c r="A65" s="5" t="n">
        <v>46160</v>
      </c>
      <c r="B65" s="6" t="inlineStr">
        <is>
          <t>Maria Eduarda Sousa Costa</t>
        </is>
      </c>
      <c r="C65" s="3" t="inlineStr">
        <is>
          <t>Estágio</t>
        </is>
      </c>
      <c r="D65" s="3" t="n">
        <v>72</v>
      </c>
      <c r="E65" s="3" t="n">
        <v>45</v>
      </c>
      <c r="F65" t="n">
        <v>8.210000000000001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IF(K65&lt;-5,"CRÍTICO",IF(K65&lt;0,"ATENÇÃO",IF(K65&lt;=5,"BOM","EXCELENTE")))</f>
        <v/>
      </c>
      <c r="M65" t="n">
        <v>11</v>
      </c>
      <c r="N65" t="n">
        <v>100</v>
      </c>
      <c r="O65" t="n">
        <v>11.86440677966102</v>
      </c>
    </row>
    <row r="66" hidden="1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N66" t="n">
        <v>98.91</v>
      </c>
      <c r="O66" t="n">
        <v>31.36729222520107</v>
      </c>
    </row>
    <row r="67" hidden="1">
      <c r="A67" s="5" t="n">
        <v>46160</v>
      </c>
      <c r="B67" s="6" t="inlineStr">
        <is>
          <t>Michelle G Santos</t>
        </is>
      </c>
      <c r="C67" s="3" t="inlineStr">
        <is>
          <t>Estágio</t>
        </is>
      </c>
      <c r="D67" s="3" t="n">
        <v>7</v>
      </c>
      <c r="E67" s="3" t="n">
        <v>7</v>
      </c>
      <c r="F67" t="n">
        <v>30.49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t="n">
        <v>6</v>
      </c>
      <c r="N67" t="n">
        <v>100</v>
      </c>
      <c r="O67" t="n">
        <v>16.8141592920354</v>
      </c>
    </row>
    <row r="68" hidden="1">
      <c r="A68" s="5" t="n">
        <v>46160</v>
      </c>
      <c r="B68" s="6" t="inlineStr">
        <is>
          <t>Quirino Diogo Leite Torres</t>
        </is>
      </c>
      <c r="C68" s="3" t="inlineStr">
        <is>
          <t>Estágio</t>
        </is>
      </c>
      <c r="D68" s="3" t="n">
        <v>14</v>
      </c>
      <c r="E68" s="3" t="n">
        <v>13</v>
      </c>
      <c r="F68" t="n">
        <v>29.09</v>
      </c>
      <c r="G68" s="3" t="n">
        <v>0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t="n">
        <v>9</v>
      </c>
      <c r="N68" t="n">
        <v>98.11</v>
      </c>
      <c r="O68" t="n">
        <v>20.40816326530612</v>
      </c>
    </row>
    <row r="69" hidden="1">
      <c r="A69" s="7" t="n">
        <v>46161</v>
      </c>
      <c r="B69" s="8" t="inlineStr">
        <is>
          <t>Claudio de Sousa Velasco Filho</t>
        </is>
      </c>
      <c r="C69" s="9" t="inlineStr">
        <is>
          <t>Estágio</t>
        </is>
      </c>
      <c r="D69" s="3" t="n">
        <v>9</v>
      </c>
      <c r="E69" s="3" t="n">
        <v>9</v>
      </c>
      <c r="F69" t="n">
        <v>25.28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t="n">
        <v>7</v>
      </c>
      <c r="N69" t="n">
        <v>96.43000000000001</v>
      </c>
      <c r="O69" t="n">
        <v>20</v>
      </c>
    </row>
    <row r="70" hidden="1">
      <c r="A70" s="7" t="n">
        <v>46161</v>
      </c>
      <c r="B70" s="8" t="inlineStr">
        <is>
          <t>Emilly Caylane Costa</t>
        </is>
      </c>
      <c r="C70" s="9" t="inlineStr">
        <is>
          <t>Estágio</t>
        </is>
      </c>
      <c r="D70" s="3" t="n">
        <v>17</v>
      </c>
      <c r="E70" s="3" t="n">
        <v>5</v>
      </c>
      <c r="F70" t="n">
        <v>2.2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t="n">
        <v>0</v>
      </c>
      <c r="N70" t="n">
        <v>100</v>
      </c>
      <c r="O70" t="n">
        <v>29.03225806451613</v>
      </c>
    </row>
    <row r="71" hidden="1">
      <c r="A71" s="7" t="n">
        <v>46161</v>
      </c>
      <c r="B71" s="8" t="inlineStr">
        <is>
          <t>Maria Eduarda Sousa Costa</t>
        </is>
      </c>
      <c r="C71" s="9" t="inlineStr">
        <is>
          <t>Estágio</t>
        </is>
      </c>
      <c r="D71" s="3" t="n">
        <v>36</v>
      </c>
      <c r="E71" s="3" t="n">
        <v>24</v>
      </c>
      <c r="F71" t="n">
        <v>13.26</v>
      </c>
      <c r="G71" s="3" t="n">
        <v>0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IF(K71&lt;-5,"CRÍTICO",IF(K71&lt;0,"ATENÇÃO",IF(K71&lt;=5,"BOM","EXCELENTE")))</f>
        <v/>
      </c>
      <c r="M71" t="n">
        <v>12</v>
      </c>
      <c r="N71" t="n">
        <v>100</v>
      </c>
      <c r="O71" t="n">
        <v>11.86440677966102</v>
      </c>
    </row>
    <row r="72" hidden="1">
      <c r="A72" s="7" t="n">
        <v>46161</v>
      </c>
      <c r="B72" s="8" t="inlineStr">
        <is>
          <t>Michelle G Santos</t>
        </is>
      </c>
      <c r="C72" s="9" t="inlineStr">
        <is>
          <t>Estágio</t>
        </is>
      </c>
      <c r="D72" s="3" t="n">
        <v>15</v>
      </c>
      <c r="E72" s="3" t="n">
        <v>13</v>
      </c>
      <c r="F72" t="n">
        <v>21.51</v>
      </c>
      <c r="G72" s="3" t="n">
        <v>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t="n">
        <v>9</v>
      </c>
      <c r="N72" t="n">
        <v>100</v>
      </c>
      <c r="O72" t="n">
        <v>16.8141592920354</v>
      </c>
    </row>
    <row r="73" hidden="1">
      <c r="A73" s="7" t="n">
        <v>46161</v>
      </c>
      <c r="B73" s="8" t="inlineStr">
        <is>
          <t>Quirino Diogo Leite Torres</t>
        </is>
      </c>
      <c r="C73" s="9" t="inlineStr">
        <is>
          <t>Estágio</t>
        </is>
      </c>
      <c r="D73" s="3" t="n">
        <v>20</v>
      </c>
      <c r="E73" s="3" t="n">
        <v>19</v>
      </c>
      <c r="F73" t="n">
        <v>25.31</v>
      </c>
      <c r="G73" s="3" t="n">
        <v>0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t="n">
        <v>16</v>
      </c>
      <c r="N73" t="n">
        <v>98.11</v>
      </c>
      <c r="O73" t="n">
        <v>20.40816326530612</v>
      </c>
    </row>
    <row r="74" hidden="1">
      <c r="A74" s="7" t="n">
        <v>46162</v>
      </c>
      <c r="B74" s="8" t="inlineStr">
        <is>
          <t>Claudio de Sousa Velasco Filho</t>
        </is>
      </c>
      <c r="C74" s="9" t="inlineStr">
        <is>
          <t>Estágio</t>
        </is>
      </c>
      <c r="D74" s="3" t="n">
        <v>11</v>
      </c>
      <c r="E74" s="3" t="n">
        <v>10</v>
      </c>
      <c r="F74" s="3" t="n">
        <v>20.44</v>
      </c>
      <c r="G74" s="3" t="n">
        <v>0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9" t="n">
        <v>8</v>
      </c>
      <c r="N74" s="9" t="n">
        <v>96.43000000000001</v>
      </c>
      <c r="O74" s="9" t="n">
        <v>20</v>
      </c>
    </row>
    <row r="75" hidden="1">
      <c r="A75" s="7" t="n">
        <v>46162</v>
      </c>
      <c r="B75" s="8" t="inlineStr">
        <is>
          <t>Emilly Caylane Costa</t>
        </is>
      </c>
      <c r="C75" s="9" t="inlineStr">
        <is>
          <t>Estágio</t>
        </is>
      </c>
      <c r="D75" s="3" t="n">
        <v>10</v>
      </c>
      <c r="E75" s="3" t="n">
        <v>4</v>
      </c>
      <c r="F75" s="3" t="n">
        <v>3.22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9" t="n">
        <v>0</v>
      </c>
      <c r="N75" s="9" t="n">
        <v>100</v>
      </c>
      <c r="O75" s="9" t="n">
        <v>29.03225806451613</v>
      </c>
    </row>
    <row r="76" hidden="1">
      <c r="A76" s="7" t="n">
        <v>46162</v>
      </c>
      <c r="B76" s="8" t="inlineStr">
        <is>
          <t>Maria Eduarda Sousa Costa</t>
        </is>
      </c>
      <c r="C76" s="9" t="inlineStr">
        <is>
          <t>Estágio</t>
        </is>
      </c>
      <c r="D76" s="3" t="n">
        <v>15</v>
      </c>
      <c r="E76" s="3" t="n">
        <v>10</v>
      </c>
      <c r="F76" s="3" t="n">
        <v>10.49</v>
      </c>
      <c r="G76" s="3" t="n">
        <v>0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9" t="n">
        <v>5</v>
      </c>
      <c r="N76" s="9" t="n">
        <v>100</v>
      </c>
      <c r="O76" s="9" t="n">
        <v>11.86440677966102</v>
      </c>
    </row>
    <row r="77" hidden="1">
      <c r="A77" s="7" t="n">
        <v>46162</v>
      </c>
      <c r="B77" s="8" t="inlineStr">
        <is>
          <t>Michelle G Santos</t>
        </is>
      </c>
      <c r="C77" s="9" t="inlineStr">
        <is>
          <t>Estágio</t>
        </is>
      </c>
      <c r="D77" s="3" t="n">
        <v>19</v>
      </c>
      <c r="E77" s="3" t="n">
        <v>17</v>
      </c>
      <c r="F77" s="3" t="n">
        <v>22.03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9" t="n">
        <v>14</v>
      </c>
      <c r="N77" s="9" t="n">
        <v>100</v>
      </c>
      <c r="O77" s="9" t="n">
        <v>16.8141592920354</v>
      </c>
    </row>
    <row r="78" hidden="1">
      <c r="A78" s="7" t="n">
        <v>46162</v>
      </c>
      <c r="B78" s="8" t="inlineStr">
        <is>
          <t>Quirino Diogo Leite Torres</t>
        </is>
      </c>
      <c r="C78" s="9" t="inlineStr">
        <is>
          <t>Estágio</t>
        </is>
      </c>
      <c r="D78" s="3" t="n">
        <v>18</v>
      </c>
      <c r="E78" s="3" t="n">
        <v>15</v>
      </c>
      <c r="F78" s="3" t="n">
        <v>25.22</v>
      </c>
      <c r="G78" s="3" t="n">
        <v>0</v>
      </c>
      <c r="H78" s="3" t="n">
        <v>0</v>
      </c>
      <c r="I78" s="3">
        <f>E78+G78+H78</f>
        <v/>
      </c>
      <c r="J78" s="3">
        <f>ROUND(MIN(IF(C78="Técnico III",35,IF(C78="Técnico II",28,IF(C78="Técnico I",23,IF(C78="JR",20,IF(C78="Estágio",10,0))))),IF(C78="Técnico III",SUMIFS($D:$D,$A:$A,$A78,$B:$B,"&lt;&gt;Patrícia Karla de Sousa Araújo",$B:$B,"&lt;&gt;Lorena Dias de Araujo",$B:$B,"&lt;&gt;Lucas Luiz Romero")*(35/1083),IF(C78="Técnico II",SUMIFS($D:$D,$A:$A,$A78,$B:$B,"&lt;&gt;Patrícia Karla de Sousa Araújo",$B:$B,"&lt;&gt;Lorena Dias de Araujo",$B:$B,"&lt;&gt;Lucas Luiz Romero")*(28/1083),IF(C78="Técnico I",SUMIFS($D:$D,$A:$A,$A78,$B:$B,"&lt;&gt;Patrícia Karla de Sousa Araújo",$B:$B,"&lt;&gt;Lorena Dias de Araujo",$B:$B,"&lt;&gt;Lucas Luiz Romero")*(23/1083),IF(C78="JR",SUMIFS($D:$D,$A:$A,$A78,$B:$B,"&lt;&gt;Patrícia Karla de Sousa Araújo",$B:$B,"&lt;&gt;Lorena Dias de Araujo",$B:$B,"&lt;&gt;Lucas Luiz Romero")*(20/1083),IF(C78="Estágio",SUMIFS($D:$D,$A:$A,$A78,$B:$B,"&lt;&gt;Patrícia Karla de Sousa Araújo",$B:$B,"&lt;&gt;Lorena Dias de Araujo",$B:$B,"&lt;&gt;Lucas Luiz Romero")*(10/1083),0)))))),0)</f>
        <v/>
      </c>
      <c r="K78" s="3">
        <f>I78-J78</f>
        <v/>
      </c>
      <c r="L78" s="3">
        <f>IF(K78&lt;-5,"CRÍTICO",IF(K78&lt;0,"ATENÇÃO",IF(K78&lt;=5,"OPORTUNO","MUITO BOM")))</f>
        <v/>
      </c>
      <c r="M78" s="9" t="n">
        <v>13</v>
      </c>
      <c r="N78" s="9" t="n">
        <v>98.11</v>
      </c>
      <c r="O78" s="9" t="n">
        <v>20.40816326530612</v>
      </c>
    </row>
    <row r="79" hidden="1">
      <c r="A79" s="5" t="n">
        <v>46163</v>
      </c>
      <c r="B79" s="6" t="inlineStr">
        <is>
          <t>Claudio de Sousa Velasco Filho</t>
        </is>
      </c>
      <c r="C79" s="3" t="inlineStr">
        <is>
          <t>Estágio</t>
        </is>
      </c>
      <c r="D79" s="3" t="n">
        <v>7</v>
      </c>
      <c r="E79" s="3" t="n">
        <v>6</v>
      </c>
      <c r="F79" s="3" t="n">
        <v>27.14</v>
      </c>
      <c r="G79" s="3" t="n">
        <v>0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4</v>
      </c>
      <c r="N79" s="3" t="n">
        <v>96.43000000000001</v>
      </c>
      <c r="O79" s="3" t="n">
        <v>20</v>
      </c>
    </row>
    <row r="80" hidden="1">
      <c r="A80" s="5" t="n">
        <v>46163</v>
      </c>
      <c r="B80" s="6" t="inlineStr">
        <is>
          <t>Emilly Caylane Costa</t>
        </is>
      </c>
      <c r="C80" s="3" t="inlineStr">
        <is>
          <t>Estágio</t>
        </is>
      </c>
      <c r="D80" s="3" t="n">
        <v>9</v>
      </c>
      <c r="E80" s="3" t="n">
        <v>8</v>
      </c>
      <c r="F80" s="3" t="n">
        <v>23.57</v>
      </c>
      <c r="G80" s="3" t="n">
        <v>0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6</v>
      </c>
      <c r="N80" s="3" t="n">
        <v>100</v>
      </c>
      <c r="O80" s="3" t="n">
        <v>29.03225806451613</v>
      </c>
    </row>
    <row r="81" hidden="1">
      <c r="A81" s="5" t="n">
        <v>46163</v>
      </c>
      <c r="B81" s="6" t="inlineStr">
        <is>
          <t>Maria Eduarda Sousa Costa</t>
        </is>
      </c>
      <c r="C81" s="3" t="inlineStr">
        <is>
          <t>Estágio</t>
        </is>
      </c>
      <c r="D81" s="3" t="n">
        <v>12</v>
      </c>
      <c r="E81" s="3" t="n">
        <v>12</v>
      </c>
      <c r="F81" s="3" t="n">
        <v>21.43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8</v>
      </c>
      <c r="N81" s="3" t="n">
        <v>100</v>
      </c>
      <c r="O81" s="3" t="n">
        <v>11.86440677966102</v>
      </c>
    </row>
    <row r="82" hidden="1">
      <c r="A82" s="5" t="n">
        <v>46163</v>
      </c>
      <c r="B82" s="6" t="inlineStr">
        <is>
          <t>Michelle G Santos</t>
        </is>
      </c>
      <c r="C82" s="3" t="inlineStr">
        <is>
          <t>Estágio</t>
        </is>
      </c>
      <c r="D82" s="3" t="n">
        <v>14</v>
      </c>
      <c r="E82" s="3" t="n">
        <v>13</v>
      </c>
      <c r="F82" s="3" t="n">
        <v>33.54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8</v>
      </c>
      <c r="N82" s="3" t="n">
        <v>100</v>
      </c>
      <c r="O82" s="3" t="n">
        <v>16.8141592920354</v>
      </c>
    </row>
    <row r="83" hidden="1">
      <c r="A83" s="5" t="n">
        <v>46163</v>
      </c>
      <c r="B83" s="6" t="inlineStr">
        <is>
          <t>Quirino Diogo Leite Torres</t>
        </is>
      </c>
      <c r="C83" s="3" t="inlineStr">
        <is>
          <t>Estágio</t>
        </is>
      </c>
      <c r="D83" s="3" t="n">
        <v>20</v>
      </c>
      <c r="E83" s="3" t="n">
        <v>18</v>
      </c>
      <c r="F83" s="3" t="n">
        <v>16.49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IF(K83&lt;-5,"CRÍTICO",IF(K83&lt;0,"ATENÇÃO",IF(K83&lt;=5,"OPORTUNO","MUITO BOM")))</f>
        <v/>
      </c>
      <c r="M83" s="3" t="n">
        <v>13</v>
      </c>
      <c r="N83" s="3" t="n">
        <v>98.11</v>
      </c>
      <c r="O83" s="3" t="n">
        <v>20.40816326530612</v>
      </c>
    </row>
    <row r="84" hidden="1">
      <c r="A84" s="10" t="n">
        <v>46164</v>
      </c>
      <c r="B84" s="6" t="inlineStr">
        <is>
          <t>Claudio de Sousa Velasco Filho</t>
        </is>
      </c>
      <c r="C84" s="3" t="inlineStr">
        <is>
          <t>Estágio</t>
        </is>
      </c>
      <c r="D84" s="3" t="n">
        <v>7</v>
      </c>
      <c r="E84" s="3" t="n">
        <v>7</v>
      </c>
      <c r="F84" s="3" t="n">
        <v>22.38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3</v>
      </c>
      <c r="N84" s="3" t="n">
        <v>96.43000000000001</v>
      </c>
      <c r="O84" s="3" t="n">
        <v>20</v>
      </c>
    </row>
    <row r="85" hidden="1">
      <c r="A85" s="10" t="n">
        <v>46164</v>
      </c>
      <c r="B85" s="6" t="inlineStr">
        <is>
          <t>Emilly Caylane Costa</t>
        </is>
      </c>
      <c r="C85" s="3" t="inlineStr">
        <is>
          <t>Estágio</t>
        </is>
      </c>
      <c r="D85" s="3" t="n">
        <v>6</v>
      </c>
      <c r="E85" s="3" t="n">
        <v>6</v>
      </c>
      <c r="F85" s="3" t="n">
        <v>36.58</v>
      </c>
      <c r="G85" s="3" t="n">
        <v>0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IF(K85&lt;-5,"CRÍTICO",IF(K85&lt;0,"ATENÇÃO",IF(K85&lt;=5,"OPORTUNO","MUITO BOM")))</f>
        <v/>
      </c>
      <c r="M85" s="3" t="n">
        <v>6</v>
      </c>
      <c r="N85" s="3" t="n">
        <v>100</v>
      </c>
      <c r="O85" s="3" t="n">
        <v>29.03225806451613</v>
      </c>
    </row>
    <row r="86" hidden="1">
      <c r="A86" s="10" t="n">
        <v>46164</v>
      </c>
      <c r="B86" s="6" t="inlineStr">
        <is>
          <t>Maria Eduarda Sousa Costa</t>
        </is>
      </c>
      <c r="C86" s="3" t="inlineStr">
        <is>
          <t>Estágio</t>
        </is>
      </c>
      <c r="D86" s="3" t="n">
        <v>8</v>
      </c>
      <c r="E86" s="3" t="n">
        <v>8</v>
      </c>
      <c r="F86" s="3" t="n">
        <v>20.01</v>
      </c>
      <c r="G86" s="3" t="n">
        <v>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6</v>
      </c>
      <c r="N86" s="3" t="n">
        <v>100</v>
      </c>
      <c r="O86" s="3" t="n">
        <v>11.86440677966102</v>
      </c>
    </row>
    <row r="87" hidden="1">
      <c r="A87" s="10" t="n">
        <v>46164</v>
      </c>
      <c r="B87" s="6" t="inlineStr">
        <is>
          <t>Michelle G Santos</t>
        </is>
      </c>
      <c r="C87" s="3" t="inlineStr">
        <is>
          <t>Estágio</t>
        </is>
      </c>
      <c r="D87" s="3" t="n">
        <v>15</v>
      </c>
      <c r="E87" s="3" t="n">
        <v>14</v>
      </c>
      <c r="F87" s="3" t="n">
        <v>31.4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11</v>
      </c>
      <c r="N87" s="3" t="n">
        <v>100</v>
      </c>
      <c r="O87" s="3" t="n">
        <v>16.8141592920354</v>
      </c>
    </row>
    <row r="88" hidden="1">
      <c r="A88" s="10" t="n">
        <v>46164</v>
      </c>
      <c r="B88" s="6" t="inlineStr">
        <is>
          <t>Quirino Diogo Leite Torres</t>
        </is>
      </c>
      <c r="C88" s="3" t="inlineStr">
        <is>
          <t>Estágio</t>
        </is>
      </c>
      <c r="D88" s="3" t="n">
        <v>17</v>
      </c>
      <c r="E88" s="3" t="n">
        <v>15</v>
      </c>
      <c r="F88" s="3" t="n">
        <v>25.36</v>
      </c>
      <c r="G88" s="3" t="n">
        <v>0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IF(K88&lt;-5,"CRÍTICO",IF(K88&lt;0,"ATENÇÃO",IF(K88&lt;=5,"OPORTUNO","MUITO BOM")))</f>
        <v/>
      </c>
      <c r="M88" s="3" t="n">
        <v>9</v>
      </c>
      <c r="N88" s="3" t="n">
        <v>98.11</v>
      </c>
      <c r="O88" s="3" t="n">
        <v>20.40816326530612</v>
      </c>
    </row>
    <row r="89" hidden="1">
      <c r="A89" s="11" t="n">
        <v>46167</v>
      </c>
      <c r="B89" t="inlineStr">
        <is>
          <t>Claudio de Sousa Velasco Filho</t>
        </is>
      </c>
      <c r="C89" t="inlineStr">
        <is>
          <t>Estágio</t>
        </is>
      </c>
      <c r="D89" t="n">
        <v>6</v>
      </c>
      <c r="E89" t="n">
        <v>4</v>
      </c>
      <c r="F89" t="n">
        <v>26.55</v>
      </c>
      <c r="G89" t="n">
        <v>0</v>
      </c>
      <c r="H89" t="n">
        <v>0</v>
      </c>
      <c r="I89" s="3" t="n">
        <v>0</v>
      </c>
      <c r="J89" s="3" t="n">
        <v>0</v>
      </c>
      <c r="K89" s="3" t="n">
        <v>0</v>
      </c>
      <c r="L89" s="3">
        <f>IF(K89&lt;-5,"CRÍTICO",IF(K89&lt;0,"ATENÇÃO",IF(K89&lt;=5,"OPORTUNO","MUITO BOM")))</f>
        <v/>
      </c>
    </row>
    <row r="90" hidden="1">
      <c r="A90" s="11" t="n">
        <v>46167</v>
      </c>
      <c r="B90" t="inlineStr">
        <is>
          <t>Emilly Caylane Costa</t>
        </is>
      </c>
      <c r="C90" t="inlineStr">
        <is>
          <t>Estágio</t>
        </is>
      </c>
      <c r="D90" t="n">
        <v>1</v>
      </c>
      <c r="E90" t="n">
        <v>1</v>
      </c>
      <c r="F90" t="n">
        <v>72.06999999999999</v>
      </c>
      <c r="G90" t="n">
        <v>0</v>
      </c>
      <c r="H90" t="n">
        <v>0</v>
      </c>
      <c r="I90" s="3" t="n">
        <v>0</v>
      </c>
      <c r="J90" s="3" t="n">
        <v>0</v>
      </c>
      <c r="K90" s="3" t="n">
        <v>0</v>
      </c>
      <c r="L90" s="3">
        <f>IF(K90&lt;-5,"CRÍTICO",IF(K90&lt;0,"ATENÇÃO",IF(K90&lt;=5,"OPORTUNO","MUITO BOM")))</f>
        <v/>
      </c>
    </row>
    <row r="91" hidden="1">
      <c r="A91" s="11" t="n">
        <v>46167</v>
      </c>
      <c r="B91" t="inlineStr">
        <is>
          <t>Maria Eduarda Sousa Costa</t>
        </is>
      </c>
      <c r="C91" t="inlineStr">
        <is>
          <t>Estágio</t>
        </is>
      </c>
      <c r="D91" t="n">
        <v>9</v>
      </c>
      <c r="E91" t="n">
        <v>9</v>
      </c>
      <c r="F91" t="n">
        <v>20.48</v>
      </c>
      <c r="G91" t="n">
        <v>0</v>
      </c>
      <c r="H91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IF(K91&lt;-5,"CRÍTICO",IF(K91&lt;0,"ATENÇÃO",IF(K91&lt;=5,"OPORTUNO","MUITO BOM")))</f>
        <v/>
      </c>
    </row>
    <row r="92" hidden="1">
      <c r="A92" s="11" t="n">
        <v>46167</v>
      </c>
      <c r="B92" t="inlineStr">
        <is>
          <t>Michelle G Santos</t>
        </is>
      </c>
      <c r="C92" t="inlineStr">
        <is>
          <t>Estágio</t>
        </is>
      </c>
      <c r="D92" t="n">
        <v>5</v>
      </c>
      <c r="E92" t="n">
        <v>5</v>
      </c>
      <c r="F92" t="n">
        <v>54.07</v>
      </c>
      <c r="G92" t="n">
        <v>0</v>
      </c>
      <c r="H92" t="n">
        <v>0</v>
      </c>
      <c r="I92" s="3" t="n">
        <v>0</v>
      </c>
      <c r="J92" s="3" t="n">
        <v>0</v>
      </c>
      <c r="K92" s="3" t="n">
        <v>0</v>
      </c>
      <c r="L92" s="3">
        <f>IF(K92&lt;-5,"CRÍTICO",IF(K92&lt;0,"ATENÇÃO",IF(K92&lt;=5,"OPORTUNO","MUITO BOM")))</f>
        <v/>
      </c>
    </row>
    <row r="93" hidden="1">
      <c r="A93" s="11" t="n">
        <v>46167</v>
      </c>
      <c r="B93" t="inlineStr">
        <is>
          <t>Quirino Diogo Leite Torres</t>
        </is>
      </c>
      <c r="C93" t="inlineStr">
        <is>
          <t>Estágio</t>
        </is>
      </c>
      <c r="D93" t="n">
        <v>17</v>
      </c>
      <c r="E93" t="n">
        <v>17</v>
      </c>
      <c r="F93" t="n">
        <v>32.24</v>
      </c>
      <c r="G93" t="n">
        <v>0</v>
      </c>
      <c r="H9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</row>
    <row r="94" hidden="1">
      <c r="A94" s="5" t="n">
        <v>46150</v>
      </c>
      <c r="B94" s="6" t="inlineStr">
        <is>
          <t>Gabriel Alves</t>
        </is>
      </c>
      <c r="C94" s="3" t="inlineStr">
        <is>
          <t>Estágio</t>
        </is>
      </c>
      <c r="D94" s="3" t="n">
        <v>46</v>
      </c>
      <c r="E94" s="3" t="n">
        <v>42</v>
      </c>
      <c r="F94" t="n">
        <v>5.38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IF(K94&lt;-5,"CRÍTICO",IF(K94&lt;0,"ATENÇÃO",IF(K94&lt;=5,"OPORTUNO","MUITO BOM")))</f>
        <v/>
      </c>
      <c r="M94" t="n">
        <v>0</v>
      </c>
      <c r="N94" t="n">
        <v>100</v>
      </c>
      <c r="O94" t="n">
        <v>14.28571428571428</v>
      </c>
    </row>
    <row r="95" hidden="1">
      <c r="A95" s="5" t="n">
        <v>46157</v>
      </c>
      <c r="B95" s="6" t="inlineStr">
        <is>
          <t>Gabriel Alves</t>
        </is>
      </c>
      <c r="C95" s="3" t="inlineStr">
        <is>
          <t>Estágio</t>
        </is>
      </c>
      <c r="D95" s="3" t="n">
        <v>4</v>
      </c>
      <c r="E95" s="3" t="n">
        <v>4</v>
      </c>
      <c r="F95" t="n">
        <v>55.52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IF(K95&lt;-5,"CRÍTICO",IF(K95&lt;0,"ATENÇÃO",IF(K95&lt;=5,"OPORTUNO","MUITO BOM")))</f>
        <v/>
      </c>
      <c r="M95" t="n">
        <v>3</v>
      </c>
      <c r="N95" t="n">
        <v>100</v>
      </c>
      <c r="O95" t="n">
        <v>14.28571428571428</v>
      </c>
    </row>
    <row r="96" hidden="1">
      <c r="A96" s="5" t="n">
        <v>46160</v>
      </c>
      <c r="B96" s="6" t="inlineStr">
        <is>
          <t>Gabriel Alves</t>
        </is>
      </c>
      <c r="C96" s="3" t="inlineStr">
        <is>
          <t>Estágio</t>
        </is>
      </c>
      <c r="D96" s="3" t="n">
        <v>2</v>
      </c>
      <c r="E96" s="3" t="n">
        <v>2</v>
      </c>
      <c r="F96" t="n">
        <v>170.55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IF(K96&lt;-5,"CRÍTICO",IF(K96&lt;0,"ATENÇÃO",IF(K96&lt;=5,"OPORTUNO","MUITO BOM")))</f>
        <v/>
      </c>
      <c r="M96" t="n">
        <v>2</v>
      </c>
      <c r="N96" t="n">
        <v>100</v>
      </c>
      <c r="O96" t="n">
        <v>14.28571428571428</v>
      </c>
    </row>
    <row r="97" hidden="1">
      <c r="A97" s="7" t="n">
        <v>46161</v>
      </c>
      <c r="B97" s="8" t="inlineStr">
        <is>
          <t>Gabriel Alves</t>
        </is>
      </c>
      <c r="C97" s="9" t="inlineStr">
        <is>
          <t>Estágio</t>
        </is>
      </c>
      <c r="D97" s="3" t="n">
        <v>4</v>
      </c>
      <c r="E97" s="3" t="n">
        <v>4</v>
      </c>
      <c r="F97" t="n">
        <v>56.44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IF(K97&lt;-5,"CRÍTICO",IF(K97&lt;0,"ATENÇÃO",IF(K97&lt;=5,"OPORTUNO","MUITO BOM")))</f>
        <v/>
      </c>
      <c r="M97" t="n">
        <v>3</v>
      </c>
      <c r="N97" t="n">
        <v>100</v>
      </c>
      <c r="O97" t="n">
        <v>14.28571428571428</v>
      </c>
    </row>
    <row r="98" hidden="1">
      <c r="A98" s="7" t="n">
        <v>46162</v>
      </c>
      <c r="B98" s="8" t="inlineStr">
        <is>
          <t>Gabriel Alves</t>
        </is>
      </c>
      <c r="C98" s="9" t="inlineStr">
        <is>
          <t>Estágio</t>
        </is>
      </c>
      <c r="D98" s="3" t="n">
        <v>7</v>
      </c>
      <c r="E98" s="3" t="n">
        <v>7</v>
      </c>
      <c r="F98" s="3" t="n">
        <v>37.06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IF(K98&lt;-5,"CRÍTICO",IF(K98&lt;0,"ATENÇÃO",IF(K98&lt;=5,"OPORTUNO","MUITO BOM")))</f>
        <v/>
      </c>
      <c r="M98" s="9" t="n">
        <v>6</v>
      </c>
      <c r="N98" s="9" t="n">
        <v>100</v>
      </c>
      <c r="O98" s="9" t="n">
        <v>14.28571428571428</v>
      </c>
    </row>
    <row r="99" hidden="1">
      <c r="A99" s="5" t="n">
        <v>46163</v>
      </c>
      <c r="B99" s="6" t="inlineStr">
        <is>
          <t>Gabriel Alves</t>
        </is>
      </c>
      <c r="C99" s="3" t="inlineStr">
        <is>
          <t>Estágio</t>
        </is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>
        <f>IF(K99&lt;-5,"CRÍTICO",IF(K99&lt;0,"ATENÇÃO",IF(K99&lt;=5,"OPORTUNO","MUITO BOM")))</f>
        <v/>
      </c>
      <c r="M99" s="3" t="n">
        <v>0</v>
      </c>
      <c r="N99" s="3" t="n">
        <v>100</v>
      </c>
      <c r="O99" s="3" t="n">
        <v>14.28571428571428</v>
      </c>
    </row>
    <row r="100" hidden="1">
      <c r="A100" s="10" t="n">
        <v>46164</v>
      </c>
      <c r="B100" s="6" t="inlineStr">
        <is>
          <t>Gabriel Alves</t>
        </is>
      </c>
      <c r="C100" s="3" t="inlineStr">
        <is>
          <t>Estágio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3" t="n">
        <v>14.28571428571428</v>
      </c>
    </row>
    <row r="101" hidden="1">
      <c r="A101" s="11" t="n">
        <v>46140</v>
      </c>
      <c r="B101" t="inlineStr">
        <is>
          <t>Anna Luiza Rezende Tavares</t>
        </is>
      </c>
      <c r="C101" t="inlineStr">
        <is>
          <t>Estágio</t>
        </is>
      </c>
      <c r="D101" t="n">
        <v>27</v>
      </c>
      <c r="E101" t="n">
        <v>27</v>
      </c>
      <c r="F101" t="n">
        <v>20.5</v>
      </c>
      <c r="G101" t="n">
        <v>0</v>
      </c>
      <c r="H101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N101" t="n">
        <v>96.73999999999999</v>
      </c>
      <c r="O101" t="n">
        <v>28.43137254901961</v>
      </c>
    </row>
    <row r="102" hidden="1">
      <c r="A102" s="11" t="n">
        <v>46140</v>
      </c>
      <c r="B102" t="inlineStr">
        <is>
          <t>Claudio de Sousa Velasco Filho</t>
        </is>
      </c>
      <c r="C102" t="inlineStr">
        <is>
          <t>Estágio</t>
        </is>
      </c>
      <c r="D102" t="n">
        <v>10</v>
      </c>
      <c r="E102" t="n">
        <v>9</v>
      </c>
      <c r="F102" t="n">
        <v>13.36</v>
      </c>
      <c r="G102" t="n">
        <v>0</v>
      </c>
      <c r="H102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N102" t="n">
        <v>100</v>
      </c>
      <c r="O102" t="n">
        <v>23.13432835820895</v>
      </c>
    </row>
    <row r="103" hidden="1">
      <c r="A103" s="11" t="n">
        <v>46140</v>
      </c>
      <c r="B103" t="inlineStr">
        <is>
          <t>Emilly Caylane Costa</t>
        </is>
      </c>
      <c r="C103" t="inlineStr">
        <is>
          <t>Estágio</t>
        </is>
      </c>
      <c r="D103" t="n">
        <v>8</v>
      </c>
      <c r="E103" t="n">
        <v>6</v>
      </c>
      <c r="F103" t="n">
        <v>39.18</v>
      </c>
      <c r="G103" t="n">
        <v>0</v>
      </c>
      <c r="H10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N103" t="n">
        <v>100</v>
      </c>
      <c r="O103" t="n">
        <v>27.36842105263158</v>
      </c>
    </row>
    <row r="104" hidden="1">
      <c r="A104" s="11" t="n">
        <v>46140</v>
      </c>
      <c r="B104" t="inlineStr">
        <is>
          <t>Maria Eduarda Sousa Costa</t>
        </is>
      </c>
      <c r="C104" t="inlineStr">
        <is>
          <t>Estágio</t>
        </is>
      </c>
      <c r="D104" t="n">
        <v>78</v>
      </c>
      <c r="E104" t="n">
        <v>47</v>
      </c>
      <c r="F104" t="n">
        <v>5.47</v>
      </c>
      <c r="G104" t="n">
        <v>0</v>
      </c>
      <c r="H104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N104" t="n">
        <v>100</v>
      </c>
      <c r="O104" t="n">
        <v>25</v>
      </c>
    </row>
    <row r="105" hidden="1">
      <c r="A105" s="11" t="n">
        <v>46140</v>
      </c>
      <c r="B105" t="inlineStr">
        <is>
          <t>Michelle G Santos</t>
        </is>
      </c>
      <c r="C105" t="inlineStr">
        <is>
          <t>Estágio</t>
        </is>
      </c>
      <c r="D105" t="n">
        <v>13</v>
      </c>
      <c r="E105" t="n">
        <v>13</v>
      </c>
      <c r="F105" t="n">
        <v>25.28</v>
      </c>
      <c r="G105" t="n">
        <v>0</v>
      </c>
      <c r="H105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N105" t="n">
        <v>100</v>
      </c>
      <c r="O105" t="n">
        <v>23.77622377622378</v>
      </c>
    </row>
    <row r="106" hidden="1">
      <c r="A106" s="11" t="n">
        <v>46140</v>
      </c>
      <c r="B106" t="inlineStr">
        <is>
          <t>Quirino Diogo Leite Torres</t>
        </is>
      </c>
      <c r="C106" t="inlineStr">
        <is>
          <t>Estágio</t>
        </is>
      </c>
      <c r="D106" t="n">
        <v>13</v>
      </c>
      <c r="E106" t="n">
        <v>13</v>
      </c>
      <c r="F106" t="n">
        <v>33.2</v>
      </c>
      <c r="G106" t="n">
        <v>0</v>
      </c>
      <c r="H106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N106" t="n">
        <v>94.12</v>
      </c>
      <c r="O106" t="n">
        <v>32.8</v>
      </c>
    </row>
    <row r="107" hidden="1">
      <c r="A107" s="11" t="n">
        <v>46141</v>
      </c>
      <c r="B107" t="inlineStr">
        <is>
          <t>Anna Luiza Rezende Tavares</t>
        </is>
      </c>
      <c r="C107" t="inlineStr">
        <is>
          <t>Estágio</t>
        </is>
      </c>
      <c r="D107" t="n">
        <v>34</v>
      </c>
      <c r="E107" t="n">
        <v>31</v>
      </c>
      <c r="F107" t="n">
        <v>15.45</v>
      </c>
      <c r="G107" t="n">
        <v>0</v>
      </c>
      <c r="H107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N107" t="n">
        <v>96.73999999999999</v>
      </c>
      <c r="O107" t="n">
        <v>28.43137254901961</v>
      </c>
    </row>
    <row r="108" hidden="1">
      <c r="A108" s="11" t="n">
        <v>46141</v>
      </c>
      <c r="B108" t="inlineStr">
        <is>
          <t>Claudio de Sousa Velasco Filho</t>
        </is>
      </c>
      <c r="C108" t="inlineStr">
        <is>
          <t>Estágio</t>
        </is>
      </c>
      <c r="D108" t="n">
        <v>22</v>
      </c>
      <c r="E108" t="n">
        <v>17</v>
      </c>
      <c r="F108" t="n">
        <v>10.53</v>
      </c>
      <c r="G108" t="n">
        <v>0</v>
      </c>
      <c r="H108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N108" t="n">
        <v>100</v>
      </c>
      <c r="O108" t="n">
        <v>23.13432835820895</v>
      </c>
    </row>
    <row r="109" hidden="1">
      <c r="A109" s="11" t="n">
        <v>46141</v>
      </c>
      <c r="B109" t="inlineStr">
        <is>
          <t>Emilly Caylane Costa</t>
        </is>
      </c>
      <c r="C109" t="inlineStr">
        <is>
          <t>Estágio</t>
        </is>
      </c>
      <c r="D109" t="n">
        <v>8</v>
      </c>
      <c r="E109" t="n">
        <v>8</v>
      </c>
      <c r="F109" t="n">
        <v>43.36</v>
      </c>
      <c r="G109" t="n">
        <v>0</v>
      </c>
      <c r="H109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N109" t="n">
        <v>100</v>
      </c>
      <c r="O109" t="n">
        <v>27.36842105263158</v>
      </c>
    </row>
    <row r="110" hidden="1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t="n">
        <v>30</v>
      </c>
      <c r="N110" t="n">
        <v>100</v>
      </c>
      <c r="O110" t="n">
        <v>22.58064516129032</v>
      </c>
    </row>
    <row r="111" hidden="1">
      <c r="A111" s="11" t="n">
        <v>46167</v>
      </c>
      <c r="B111" t="inlineStr">
        <is>
          <t>Gabriel Alves</t>
        </is>
      </c>
      <c r="C111" t="inlineStr">
        <is>
          <t>Estágio</t>
        </is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s="3" t="n">
        <v>0</v>
      </c>
      <c r="J111" s="3" t="n">
        <v>0</v>
      </c>
      <c r="K111" s="3" t="n">
        <v>0</v>
      </c>
      <c r="L111" s="3">
        <f>IF(K111&lt;-5,"CRÍTICO",IF(K111&lt;0,"ATENÇÃO",IF(K111&lt;=5,"OPORTUNO","MUITO BOM")))</f>
        <v/>
      </c>
    </row>
    <row r="112" hidden="1">
      <c r="A112" s="11" t="n">
        <v>46141</v>
      </c>
      <c r="B112" t="inlineStr">
        <is>
          <t>Maria Eduarda Sousa Costa</t>
        </is>
      </c>
      <c r="C112" t="inlineStr">
        <is>
          <t>Estágio</t>
        </is>
      </c>
      <c r="D112" t="n">
        <v>69</v>
      </c>
      <c r="E112" t="n">
        <v>34</v>
      </c>
      <c r="F112" t="n">
        <v>3.49</v>
      </c>
      <c r="G112" t="n">
        <v>0</v>
      </c>
      <c r="H112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N112" t="n">
        <v>100</v>
      </c>
      <c r="O112" t="n">
        <v>25</v>
      </c>
    </row>
    <row r="113" hidden="1">
      <c r="A113" s="11" t="n">
        <v>46141</v>
      </c>
      <c r="B113" t="inlineStr">
        <is>
          <t>Michelle G Santos</t>
        </is>
      </c>
      <c r="C113" t="inlineStr">
        <is>
          <t>Estágio</t>
        </is>
      </c>
      <c r="D113" t="n">
        <v>19</v>
      </c>
      <c r="E113" t="n">
        <v>15</v>
      </c>
      <c r="F113" t="n">
        <v>21.55</v>
      </c>
      <c r="G113" t="n">
        <v>0</v>
      </c>
      <c r="H11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N113" t="n">
        <v>100</v>
      </c>
      <c r="O113" t="n">
        <v>23.77622377622378</v>
      </c>
    </row>
    <row r="114" hidden="1">
      <c r="A114" s="11" t="n">
        <v>46141</v>
      </c>
      <c r="B114" t="inlineStr">
        <is>
          <t>Quirino Diogo Leite Torres</t>
        </is>
      </c>
      <c r="C114" t="inlineStr">
        <is>
          <t>Estágio</t>
        </is>
      </c>
      <c r="D114" t="n">
        <v>19</v>
      </c>
      <c r="E114" t="n">
        <v>17</v>
      </c>
      <c r="F114" t="n">
        <v>18.46</v>
      </c>
      <c r="G114" t="n">
        <v>0</v>
      </c>
      <c r="H114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N114" t="n">
        <v>94.12</v>
      </c>
      <c r="O114" t="n">
        <v>32.8</v>
      </c>
    </row>
    <row r="115" hidden="1">
      <c r="A115" s="11" t="n">
        <v>46142</v>
      </c>
      <c r="B115" t="inlineStr">
        <is>
          <t>Anna Luiza Rezende Tavares</t>
        </is>
      </c>
      <c r="C115" t="inlineStr">
        <is>
          <t>Estágio</t>
        </is>
      </c>
      <c r="D115" t="n">
        <v>34</v>
      </c>
      <c r="E115" t="n">
        <v>33</v>
      </c>
      <c r="F115" t="n">
        <v>14.16</v>
      </c>
      <c r="G115" t="n">
        <v>0</v>
      </c>
      <c r="H115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N115" t="n">
        <v>96.73999999999999</v>
      </c>
      <c r="O115" t="n">
        <v>28.43137254901961</v>
      </c>
    </row>
    <row r="116" hidden="1">
      <c r="A116" s="11" t="n">
        <v>46142</v>
      </c>
      <c r="B116" t="inlineStr">
        <is>
          <t>Claudio de Sousa Velasco Filho</t>
        </is>
      </c>
      <c r="C116" t="inlineStr">
        <is>
          <t>Estágio</t>
        </is>
      </c>
      <c r="D116" t="n">
        <v>6</v>
      </c>
      <c r="E116" t="n">
        <v>6</v>
      </c>
      <c r="F116" t="n">
        <v>28.42</v>
      </c>
      <c r="G116" t="n">
        <v>0</v>
      </c>
      <c r="H116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N116" t="n">
        <v>100</v>
      </c>
      <c r="O116" t="n">
        <v>23.13432835820895</v>
      </c>
    </row>
    <row r="117" hidden="1">
      <c r="A117" s="11" t="n">
        <v>46142</v>
      </c>
      <c r="B117" t="inlineStr">
        <is>
          <t>Emilly Caylane Costa</t>
        </is>
      </c>
      <c r="C117" t="inlineStr">
        <is>
          <t>Estágio</t>
        </is>
      </c>
      <c r="D117" t="n">
        <v>32</v>
      </c>
      <c r="E117" t="n">
        <v>23</v>
      </c>
      <c r="F117" t="n">
        <v>4.14</v>
      </c>
      <c r="G117" t="n">
        <v>0</v>
      </c>
      <c r="H117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N117" t="n">
        <v>100</v>
      </c>
      <c r="O117" t="n">
        <v>27.36842105263158</v>
      </c>
    </row>
    <row r="118" hidden="1">
      <c r="A118" s="11" t="n">
        <v>46142</v>
      </c>
      <c r="B118" t="inlineStr">
        <is>
          <t>Maria Eduarda Sousa Costa</t>
        </is>
      </c>
      <c r="C118" t="inlineStr">
        <is>
          <t>Estágio</t>
        </is>
      </c>
      <c r="D118" t="n">
        <v>80</v>
      </c>
      <c r="E118" t="n">
        <v>46</v>
      </c>
      <c r="F118" t="n">
        <v>5.06</v>
      </c>
      <c r="G118" t="n">
        <v>0</v>
      </c>
      <c r="H118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N118" t="n">
        <v>100</v>
      </c>
      <c r="O118" t="n">
        <v>25</v>
      </c>
    </row>
    <row r="119" hidden="1">
      <c r="A119" s="11" t="n">
        <v>46142</v>
      </c>
      <c r="B119" t="inlineStr">
        <is>
          <t>Michelle G Santos</t>
        </is>
      </c>
      <c r="C119" t="inlineStr">
        <is>
          <t>Estágio</t>
        </is>
      </c>
      <c r="D119" t="n">
        <v>19</v>
      </c>
      <c r="E119" t="n">
        <v>17</v>
      </c>
      <c r="F119" t="n">
        <v>24.14</v>
      </c>
      <c r="G119" t="n">
        <v>0</v>
      </c>
      <c r="H119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N119" t="n">
        <v>100</v>
      </c>
      <c r="O119" t="n">
        <v>23.77622377622378</v>
      </c>
    </row>
    <row r="120" hidden="1">
      <c r="A120" s="11" t="n">
        <v>46142</v>
      </c>
      <c r="B120" t="inlineStr">
        <is>
          <t>Quirino Diogo Leite Torres</t>
        </is>
      </c>
      <c r="C120" t="inlineStr">
        <is>
          <t>Estágio</t>
        </is>
      </c>
      <c r="D120" t="n">
        <v>18</v>
      </c>
      <c r="E120" t="n">
        <v>17</v>
      </c>
      <c r="F120" t="n">
        <v>28.41</v>
      </c>
      <c r="G120" t="n">
        <v>0</v>
      </c>
      <c r="H120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N120" t="n">
        <v>94.12</v>
      </c>
      <c r="O120" t="n">
        <v>32.8</v>
      </c>
    </row>
    <row r="121" hidden="1">
      <c r="A121" s="11" t="n">
        <v>46168</v>
      </c>
      <c r="B121" t="inlineStr">
        <is>
          <t>Claudio de Sousa Velasco Filho</t>
        </is>
      </c>
      <c r="C121" t="inlineStr">
        <is>
          <t>Estágio</t>
        </is>
      </c>
      <c r="D121" t="n">
        <v>9</v>
      </c>
      <c r="E121" t="n">
        <v>8</v>
      </c>
      <c r="F121" t="n">
        <v>22.08</v>
      </c>
      <c r="G121" t="n">
        <v>0</v>
      </c>
    </row>
    <row r="122" hidden="1">
      <c r="A122" s="11" t="n">
        <v>46168</v>
      </c>
      <c r="B122" t="inlineStr">
        <is>
          <t>Emilly Caylane Costa</t>
        </is>
      </c>
      <c r="C122" t="inlineStr">
        <is>
          <t>Estágio</t>
        </is>
      </c>
      <c r="D122" t="n">
        <v>7</v>
      </c>
      <c r="E122" t="n">
        <v>7</v>
      </c>
      <c r="F122" t="n">
        <v>41.42</v>
      </c>
      <c r="G122" t="n">
        <v>0</v>
      </c>
    </row>
    <row r="123" hidden="1">
      <c r="A123" s="11" t="n">
        <v>46168</v>
      </c>
      <c r="B123" t="inlineStr">
        <is>
          <t>Maria Eduarda Sousa Costa</t>
        </is>
      </c>
      <c r="C123" t="inlineStr">
        <is>
          <t>Estágio</t>
        </is>
      </c>
      <c r="D123" t="n">
        <v>24</v>
      </c>
      <c r="E123" t="n">
        <v>22</v>
      </c>
      <c r="F123" t="n">
        <v>20.59</v>
      </c>
      <c r="G123" t="n">
        <v>0</v>
      </c>
    </row>
    <row r="124" hidden="1">
      <c r="A124" s="11" t="n">
        <v>46168</v>
      </c>
      <c r="B124" t="inlineStr">
        <is>
          <t>Michelle G Santos</t>
        </is>
      </c>
      <c r="C124" t="inlineStr">
        <is>
          <t>Estágio</t>
        </is>
      </c>
      <c r="D124" t="n">
        <v>15</v>
      </c>
      <c r="E124" t="n">
        <v>15</v>
      </c>
      <c r="F124" t="n">
        <v>32.39</v>
      </c>
      <c r="G124" t="n">
        <v>0</v>
      </c>
    </row>
    <row r="125" hidden="1">
      <c r="A125" s="11" t="n">
        <v>46168</v>
      </c>
      <c r="B125" t="inlineStr">
        <is>
          <t>Quirino Diogo Leite Torres</t>
        </is>
      </c>
      <c r="C125" t="inlineStr">
        <is>
          <t>Estágio</t>
        </is>
      </c>
      <c r="D125" t="n">
        <v>14</v>
      </c>
      <c r="E125" t="n">
        <v>13</v>
      </c>
      <c r="F125" t="n">
        <v>29.12</v>
      </c>
      <c r="G125" t="n">
        <v>0</v>
      </c>
    </row>
    <row r="126" hidden="1">
      <c r="A126" s="11" t="n">
        <v>46168</v>
      </c>
      <c r="B126" t="inlineStr">
        <is>
          <t>Gabriel Alves</t>
        </is>
      </c>
      <c r="C126" t="inlineStr">
        <is>
          <t>Estágio</t>
        </is>
      </c>
      <c r="D126" t="n">
        <v>1</v>
      </c>
      <c r="E126" t="n">
        <v>1</v>
      </c>
      <c r="F126" t="n">
        <v>55.47</v>
      </c>
      <c r="G126" t="n">
        <v>0</v>
      </c>
    </row>
    <row r="127" hidden="1">
      <c r="A127" s="5" t="n">
        <v>46146</v>
      </c>
      <c r="B127" s="6" t="inlineStr">
        <is>
          <t>Karina Gonçalves Martins</t>
        </is>
      </c>
      <c r="C127" s="3" t="inlineStr">
        <is>
          <t>JR</t>
        </is>
      </c>
      <c r="D127" s="3" t="n">
        <v>24</v>
      </c>
      <c r="E127" s="3" t="n">
        <v>24</v>
      </c>
      <c r="F127" s="3" t="n">
        <v>18.51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9" t="n">
        <v>22</v>
      </c>
      <c r="N127" s="9" t="n">
        <v>97.01000000000001</v>
      </c>
      <c r="O127" s="9" t="n">
        <v>13.96103896103896</v>
      </c>
    </row>
    <row r="128" hidden="1">
      <c r="A128" s="5" t="n">
        <v>46146</v>
      </c>
      <c r="B128" s="6" t="inlineStr">
        <is>
          <t>Leandro de Souza Silva</t>
        </is>
      </c>
      <c r="C128" s="3" t="inlineStr">
        <is>
          <t>JR</t>
        </is>
      </c>
      <c r="D128" s="3" t="n">
        <v>12</v>
      </c>
      <c r="E128" s="3" t="n">
        <v>11</v>
      </c>
      <c r="F128" s="3" t="n">
        <v>25.03</v>
      </c>
      <c r="G128" s="3" t="n">
        <v>4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9" t="n">
        <v>15</v>
      </c>
      <c r="N128" s="9" t="n">
        <v>100</v>
      </c>
      <c r="O128" s="9" t="n">
        <v>16.95906432748538</v>
      </c>
    </row>
    <row r="129" hidden="1">
      <c r="A129" s="5" t="n">
        <v>46146</v>
      </c>
      <c r="B129" s="6" t="inlineStr">
        <is>
          <t>Milena Sales</t>
        </is>
      </c>
      <c r="C129" s="3" t="inlineStr">
        <is>
          <t>JR</t>
        </is>
      </c>
      <c r="D129" s="3" t="n">
        <v>42</v>
      </c>
      <c r="E129" s="3" t="n">
        <v>23</v>
      </c>
      <c r="F129" s="3" t="n">
        <v>8.34</v>
      </c>
      <c r="G129" s="3" t="n">
        <v>0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9" t="n">
        <v>19</v>
      </c>
      <c r="N129" s="9" t="n">
        <v>98</v>
      </c>
      <c r="O129" s="9" t="n">
        <v>16.43835616438356</v>
      </c>
    </row>
    <row r="130" hidden="1">
      <c r="A130" s="5" t="n">
        <v>46146</v>
      </c>
      <c r="B130" s="6" t="inlineStr">
        <is>
          <t>Paulo Ricardo Santos</t>
        </is>
      </c>
      <c r="C130" s="3" t="inlineStr">
        <is>
          <t>JR</t>
        </is>
      </c>
      <c r="D130" s="3" t="n">
        <v>23</v>
      </c>
      <c r="E130" s="3" t="n">
        <v>23</v>
      </c>
      <c r="F130" s="3" t="n">
        <v>17.35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9" t="n">
        <v>18</v>
      </c>
      <c r="N130" s="9" t="n">
        <v>100</v>
      </c>
      <c r="O130" s="9" t="n">
        <v>19.13875598086124</v>
      </c>
    </row>
    <row r="131" hidden="1">
      <c r="A131" s="5" t="n">
        <v>46146</v>
      </c>
      <c r="B131" s="6" t="inlineStr">
        <is>
          <t>Pedro Luiz Mota Sousa</t>
        </is>
      </c>
      <c r="C131" s="3" t="inlineStr">
        <is>
          <t>JR</t>
        </is>
      </c>
      <c r="D131" s="3" t="n">
        <v>23</v>
      </c>
      <c r="E131" s="3" t="n">
        <v>21</v>
      </c>
      <c r="F131" s="3" t="n">
        <v>17.11</v>
      </c>
      <c r="G131" s="3" t="n">
        <v>0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9" t="n">
        <v>21</v>
      </c>
      <c r="N131" s="9" t="n">
        <v>100</v>
      </c>
      <c r="O131" s="9" t="n">
        <v>15.02145922746781</v>
      </c>
    </row>
    <row r="132" hidden="1">
      <c r="A132" s="5" t="n">
        <v>46147</v>
      </c>
      <c r="B132" s="6" t="inlineStr">
        <is>
          <t>Karina Gonçalves Martins</t>
        </is>
      </c>
      <c r="C132" s="3" t="inlineStr">
        <is>
          <t>JR</t>
        </is>
      </c>
      <c r="D132" s="3" t="n">
        <v>10</v>
      </c>
      <c r="E132" s="3" t="n">
        <v>10</v>
      </c>
      <c r="F132" s="3" t="n">
        <v>21.42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27</v>
      </c>
      <c r="N132" s="3" t="n">
        <v>97.01000000000001</v>
      </c>
      <c r="O132" s="3" t="n">
        <v>13.96103896103896</v>
      </c>
    </row>
    <row r="133" hidden="1">
      <c r="A133" s="5" t="n">
        <v>46147</v>
      </c>
      <c r="B133" s="6" t="inlineStr">
        <is>
          <t>Leandro de Souza Silva</t>
        </is>
      </c>
      <c r="C133" s="3" t="inlineStr">
        <is>
          <t>JR</t>
        </is>
      </c>
      <c r="D133" s="3" t="n">
        <v>17</v>
      </c>
      <c r="E133" s="3" t="n">
        <v>17</v>
      </c>
      <c r="F133" s="3" t="n">
        <v>22.35</v>
      </c>
      <c r="G133" s="3" t="n">
        <v>5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16</v>
      </c>
      <c r="N133" s="3" t="n">
        <v>100</v>
      </c>
      <c r="O133" s="3" t="n">
        <v>16.95906432748538</v>
      </c>
    </row>
    <row r="134" hidden="1">
      <c r="A134" s="5" t="n">
        <v>46147</v>
      </c>
      <c r="B134" s="6" t="inlineStr">
        <is>
          <t>Milena Sales</t>
        </is>
      </c>
      <c r="C134" s="3" t="inlineStr">
        <is>
          <t>JR</t>
        </is>
      </c>
      <c r="D134" s="3" t="n">
        <v>56</v>
      </c>
      <c r="E134" s="3" t="n">
        <v>34</v>
      </c>
      <c r="F134" s="3" t="n">
        <v>11.53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22</v>
      </c>
      <c r="N134" s="3" t="n">
        <v>98</v>
      </c>
      <c r="O134" s="3" t="n">
        <v>16.43835616438356</v>
      </c>
    </row>
    <row r="135" hidden="1">
      <c r="A135" s="5" t="n">
        <v>46147</v>
      </c>
      <c r="B135" s="6" t="inlineStr">
        <is>
          <t>Paulo Ricardo Santos</t>
        </is>
      </c>
      <c r="C135" s="3" t="inlineStr">
        <is>
          <t>JR</t>
        </is>
      </c>
      <c r="D135" s="3" t="n">
        <v>18</v>
      </c>
      <c r="E135" s="3" t="n">
        <v>17</v>
      </c>
      <c r="F135" s="3" t="n">
        <v>20.04</v>
      </c>
      <c r="G135" s="3" t="n">
        <v>0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IF(K135&lt;-5,"CRÍTICO",IF(K135&lt;0,"ATENÇÃO",IF(K135&lt;=5,"BOM","EXCELENTE")))</f>
        <v/>
      </c>
      <c r="M135" s="3" t="n">
        <v>17</v>
      </c>
      <c r="N135" s="3" t="n">
        <v>100</v>
      </c>
      <c r="O135" s="3" t="n">
        <v>19.13875598086124</v>
      </c>
    </row>
    <row r="136" hidden="1">
      <c r="A136" s="5" t="n">
        <v>46147</v>
      </c>
      <c r="B136" s="6" t="inlineStr">
        <is>
          <t>Pedro Luiz Mota Sousa</t>
        </is>
      </c>
      <c r="C136" s="3" t="inlineStr">
        <is>
          <t>JR</t>
        </is>
      </c>
      <c r="D136" s="3" t="n">
        <v>11</v>
      </c>
      <c r="E136" s="3" t="n">
        <v>11</v>
      </c>
      <c r="F136" s="3" t="n">
        <v>18.23</v>
      </c>
      <c r="G136" s="3" t="n">
        <v>9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19</v>
      </c>
      <c r="N136" s="3" t="n">
        <v>100</v>
      </c>
      <c r="O136" s="3" t="n">
        <v>15.02145922746781</v>
      </c>
    </row>
    <row r="137" hidden="1">
      <c r="A137" s="5" t="n">
        <v>46148</v>
      </c>
      <c r="B137" s="6" t="inlineStr">
        <is>
          <t>Karina Gonçalves Martins</t>
        </is>
      </c>
      <c r="C137" s="3" t="inlineStr">
        <is>
          <t>JR</t>
        </is>
      </c>
      <c r="D137" s="3" t="n">
        <v>22</v>
      </c>
      <c r="E137" s="3" t="n">
        <v>22</v>
      </c>
      <c r="F137" t="n">
        <v>30.08</v>
      </c>
      <c r="G137" s="3" t="n">
        <v>1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22</v>
      </c>
      <c r="N137" s="3" t="n">
        <v>97.01000000000001</v>
      </c>
      <c r="O137" s="3" t="n">
        <v>13.96103896103896</v>
      </c>
    </row>
    <row r="138" hidden="1">
      <c r="A138" s="5" t="n">
        <v>46148</v>
      </c>
      <c r="B138" s="6" t="inlineStr">
        <is>
          <t>Leandro de Souza Silva</t>
        </is>
      </c>
      <c r="C138" s="3" t="inlineStr">
        <is>
          <t>JR</t>
        </is>
      </c>
      <c r="D138" s="3" t="n">
        <v>13</v>
      </c>
      <c r="E138" s="3" t="n">
        <v>12</v>
      </c>
      <c r="F138" t="n">
        <v>30.43</v>
      </c>
      <c r="G138" s="3" t="n">
        <v>12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17</v>
      </c>
      <c r="N138" s="3" t="n">
        <v>100</v>
      </c>
      <c r="O138" s="3" t="n">
        <v>16.95906432748538</v>
      </c>
    </row>
    <row r="139" hidden="1">
      <c r="A139" s="5" t="n">
        <v>46148</v>
      </c>
      <c r="B139" s="6" t="inlineStr">
        <is>
          <t>Milena Sales</t>
        </is>
      </c>
      <c r="C139" s="3" t="inlineStr">
        <is>
          <t>JR</t>
        </is>
      </c>
      <c r="D139" s="3" t="n">
        <v>0</v>
      </c>
      <c r="E139" s="3" t="n">
        <v>0</v>
      </c>
      <c r="F139" s="3" t="n">
        <v>0</v>
      </c>
      <c r="G139" s="3" t="n">
        <v>0</v>
      </c>
      <c r="H139" s="3" t="n">
        <v>0</v>
      </c>
      <c r="I139" s="3" t="n">
        <v>0</v>
      </c>
      <c r="J139" s="3" t="n">
        <v>0</v>
      </c>
      <c r="K139" s="3" t="n">
        <v>0</v>
      </c>
      <c r="L139" s="3">
        <f>IF(K139&lt;-5,"CRÍTICO",IF(K139&lt;0,"ATENÇÃO",IF(K139&lt;=5,"BOM","EXCELENTE")))</f>
        <v/>
      </c>
      <c r="M139" s="3" t="n">
        <v>0</v>
      </c>
      <c r="N139" s="3" t="n">
        <v>98</v>
      </c>
      <c r="O139" s="3" t="n">
        <v>16.43835616438356</v>
      </c>
    </row>
    <row r="140" hidden="1">
      <c r="A140" s="5" t="n">
        <v>46148</v>
      </c>
      <c r="B140" s="6" t="inlineStr">
        <is>
          <t>Paulo Ricardo Santos</t>
        </is>
      </c>
      <c r="C140" s="3" t="inlineStr">
        <is>
          <t>JR</t>
        </is>
      </c>
      <c r="D140" s="3" t="n">
        <v>17</v>
      </c>
      <c r="E140" s="3" t="n">
        <v>17</v>
      </c>
      <c r="F140" t="n">
        <v>20.34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15</v>
      </c>
      <c r="N140" s="3" t="n">
        <v>100</v>
      </c>
      <c r="O140" s="3" t="n">
        <v>19.13875598086124</v>
      </c>
    </row>
    <row r="141" hidden="1">
      <c r="A141" s="5" t="n">
        <v>46148</v>
      </c>
      <c r="B141" s="6" t="inlineStr">
        <is>
          <t>Pedro Luiz Mota Sousa</t>
        </is>
      </c>
      <c r="C141" s="3" t="inlineStr">
        <is>
          <t>JR</t>
        </is>
      </c>
      <c r="D141" s="3" t="n">
        <v>22</v>
      </c>
      <c r="E141" s="3" t="n">
        <v>21</v>
      </c>
      <c r="F141" t="n">
        <v>17.24</v>
      </c>
      <c r="G141" s="3" t="n">
        <v>3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18</v>
      </c>
      <c r="N141" s="3" t="n">
        <v>100</v>
      </c>
      <c r="O141" s="3" t="n">
        <v>15.02145922746781</v>
      </c>
    </row>
    <row r="142" hidden="1">
      <c r="A142" s="5" t="n">
        <v>46149</v>
      </c>
      <c r="B142" s="6" t="inlineStr">
        <is>
          <t>Karina Gonçalves Martins</t>
        </is>
      </c>
      <c r="C142" s="3" t="inlineStr">
        <is>
          <t>JR</t>
        </is>
      </c>
      <c r="D142" s="3" t="n">
        <v>18</v>
      </c>
      <c r="E142" s="3" t="n">
        <v>17</v>
      </c>
      <c r="F142" t="n">
        <v>23.23</v>
      </c>
      <c r="G142" s="3" t="n">
        <v>9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22</v>
      </c>
      <c r="N142" s="3" t="n">
        <v>97.01000000000001</v>
      </c>
      <c r="O142" s="3" t="n">
        <v>13.96103896103896</v>
      </c>
    </row>
    <row r="143" hidden="1">
      <c r="A143" s="5" t="n">
        <v>46149</v>
      </c>
      <c r="B143" s="6" t="inlineStr">
        <is>
          <t>Leandro de Souza Silva</t>
        </is>
      </c>
      <c r="C143" s="3" t="inlineStr">
        <is>
          <t>JR</t>
        </is>
      </c>
      <c r="D143" s="3" t="n">
        <v>12</v>
      </c>
      <c r="E143" s="3" t="n">
        <v>11</v>
      </c>
      <c r="F143" t="n">
        <v>36.43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8</v>
      </c>
      <c r="N143" s="3" t="n">
        <v>100</v>
      </c>
      <c r="O143" s="3" t="n">
        <v>16.95906432748538</v>
      </c>
    </row>
    <row r="144" hidden="1">
      <c r="A144" s="5" t="n">
        <v>46149</v>
      </c>
      <c r="B144" s="6" t="inlineStr">
        <is>
          <t>Milena Sales</t>
        </is>
      </c>
      <c r="C144" s="3" t="inlineStr">
        <is>
          <t>JR</t>
        </is>
      </c>
      <c r="D144" s="3" t="n">
        <v>0</v>
      </c>
      <c r="E144" s="3" t="n">
        <v>0</v>
      </c>
      <c r="F144" s="3" t="n">
        <v>0</v>
      </c>
      <c r="G144" s="3" t="n">
        <v>0</v>
      </c>
      <c r="H144" s="3" t="n">
        <v>0</v>
      </c>
      <c r="I144" s="3" t="n">
        <v>0</v>
      </c>
      <c r="J144" s="3" t="n">
        <v>0</v>
      </c>
      <c r="K144" s="3" t="n">
        <v>0</v>
      </c>
      <c r="L144" s="3">
        <f>IF(K144&lt;-5,"CRÍTICO",IF(K144&lt;0,"ATENÇÃO",IF(K144&lt;=5,"BOM","EXCELENTE")))</f>
        <v/>
      </c>
      <c r="M144" s="3" t="n">
        <v>0</v>
      </c>
      <c r="N144" s="3" t="n">
        <v>98</v>
      </c>
      <c r="O144" s="3" t="n">
        <v>16.43835616438356</v>
      </c>
    </row>
    <row r="145" hidden="1">
      <c r="A145" s="5" t="n">
        <v>46149</v>
      </c>
      <c r="B145" s="6" t="inlineStr">
        <is>
          <t>Paulo Ricardo Santos</t>
        </is>
      </c>
      <c r="C145" s="3" t="inlineStr">
        <is>
          <t>JR</t>
        </is>
      </c>
      <c r="D145" s="3" t="n">
        <v>16</v>
      </c>
      <c r="E145" s="3" t="n">
        <v>16</v>
      </c>
      <c r="F145" t="n">
        <v>21.57</v>
      </c>
      <c r="G145" s="3" t="n">
        <v>8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18</v>
      </c>
      <c r="N145" s="3" t="n">
        <v>100</v>
      </c>
      <c r="O145" s="3" t="n">
        <v>19.13875598086124</v>
      </c>
    </row>
    <row r="146" hidden="1">
      <c r="A146" s="5" t="n">
        <v>46149</v>
      </c>
      <c r="B146" s="6" t="inlineStr">
        <is>
          <t>Pedro Luiz Mota Sousa</t>
        </is>
      </c>
      <c r="C146" s="3" t="inlineStr">
        <is>
          <t>JR</t>
        </is>
      </c>
      <c r="D146" s="3" t="n">
        <v>19</v>
      </c>
      <c r="E146" s="3" t="n">
        <v>19</v>
      </c>
      <c r="F146" t="n">
        <v>17.09</v>
      </c>
      <c r="G146" s="3" t="n">
        <v>5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25</v>
      </c>
      <c r="N146" s="3" t="n">
        <v>100</v>
      </c>
      <c r="O146" s="3" t="n">
        <v>15.02145922746781</v>
      </c>
    </row>
    <row r="147" hidden="1">
      <c r="A147" s="5" t="n">
        <v>46150</v>
      </c>
      <c r="B147" s="6" t="inlineStr">
        <is>
          <t>Karina Gonçalves Martins</t>
        </is>
      </c>
      <c r="C147" s="3" t="inlineStr">
        <is>
          <t>JR</t>
        </is>
      </c>
      <c r="D147" s="3" t="n">
        <v>21</v>
      </c>
      <c r="E147" s="3" t="n">
        <v>20</v>
      </c>
      <c r="F147" t="n">
        <v>22.21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t="n">
        <v>16</v>
      </c>
      <c r="N147" t="n">
        <v>97.01000000000001</v>
      </c>
      <c r="O147" t="n">
        <v>13.96103896103896</v>
      </c>
    </row>
    <row r="148" hidden="1">
      <c r="A148" s="5" t="n">
        <v>46150</v>
      </c>
      <c r="B148" s="6" t="inlineStr">
        <is>
          <t>Leandro de Souza Silva</t>
        </is>
      </c>
      <c r="C148" s="3" t="inlineStr">
        <is>
          <t>JR</t>
        </is>
      </c>
      <c r="D148" s="3" t="n">
        <v>11</v>
      </c>
      <c r="E148" s="3" t="n">
        <v>11</v>
      </c>
      <c r="F148" t="n">
        <v>33.55</v>
      </c>
      <c r="G148" s="3" t="n">
        <v>4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t="n">
        <v>14</v>
      </c>
      <c r="N148" t="n">
        <v>100</v>
      </c>
      <c r="O148" t="n">
        <v>16.95906432748538</v>
      </c>
    </row>
    <row r="149" hidden="1">
      <c r="A149" s="5" t="n">
        <v>46150</v>
      </c>
      <c r="B149" s="6" t="inlineStr">
        <is>
          <t>Milena Sales</t>
        </is>
      </c>
      <c r="C149" s="3" t="inlineStr">
        <is>
          <t>JR</t>
        </is>
      </c>
      <c r="D149" s="3" t="n">
        <v>53</v>
      </c>
      <c r="E149" s="3" t="n">
        <v>26</v>
      </c>
      <c r="F149" t="n">
        <v>5.5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t="n">
        <v>20</v>
      </c>
      <c r="N149" t="n">
        <v>98</v>
      </c>
      <c r="O149" t="n">
        <v>16.43835616438356</v>
      </c>
    </row>
    <row r="150" hidden="1">
      <c r="A150" s="5" t="n">
        <v>46150</v>
      </c>
      <c r="B150" s="6" t="inlineStr">
        <is>
          <t>Paulo Ricardo Santos</t>
        </is>
      </c>
      <c r="C150" s="3" t="inlineStr">
        <is>
          <t>JR</t>
        </is>
      </c>
      <c r="D150" s="3" t="n">
        <v>14</v>
      </c>
      <c r="E150" s="3" t="n">
        <v>14</v>
      </c>
      <c r="F150" t="n">
        <v>23.46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t="n">
        <v>14</v>
      </c>
      <c r="N150" t="n">
        <v>100</v>
      </c>
      <c r="O150" t="n">
        <v>19.13875598086124</v>
      </c>
    </row>
    <row r="151" hidden="1">
      <c r="A151" s="5" t="n">
        <v>46150</v>
      </c>
      <c r="B151" s="6" t="inlineStr">
        <is>
          <t>Pedro Luiz Mota Sousa</t>
        </is>
      </c>
      <c r="C151" s="3" t="inlineStr">
        <is>
          <t>JR</t>
        </is>
      </c>
      <c r="D151" s="3" t="n">
        <v>18</v>
      </c>
      <c r="E151" s="3" t="n">
        <v>17</v>
      </c>
      <c r="F151" t="n">
        <v>18.3</v>
      </c>
      <c r="G151" s="3" t="n">
        <v>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t="n">
        <v>16</v>
      </c>
      <c r="N151" t="n">
        <v>100</v>
      </c>
      <c r="O151" t="n">
        <v>15.02145922746781</v>
      </c>
    </row>
    <row r="152" hidden="1">
      <c r="A152" s="5" t="n">
        <v>46153</v>
      </c>
      <c r="B152" s="6" t="inlineStr">
        <is>
          <t>Karina Gonçalves Martins</t>
        </is>
      </c>
      <c r="C152" s="3" t="inlineStr">
        <is>
          <t>JR</t>
        </is>
      </c>
      <c r="D152" s="3" t="n">
        <v>17</v>
      </c>
      <c r="E152" s="3" t="n">
        <v>17</v>
      </c>
      <c r="F152" t="n">
        <v>30.53</v>
      </c>
      <c r="G152" s="3" t="n">
        <v>2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IF(K152&lt;-5,"CRÍTICO",IF(K152&lt;0,"ATENÇÃO",IF(K152&lt;=5,"BOM","EXCELENTE")))</f>
        <v/>
      </c>
      <c r="M152" t="n">
        <v>18</v>
      </c>
      <c r="N152" t="n">
        <v>97.01000000000001</v>
      </c>
      <c r="O152" t="n">
        <v>13.96103896103896</v>
      </c>
    </row>
    <row r="153" hidden="1">
      <c r="A153" s="5" t="n">
        <v>46153</v>
      </c>
      <c r="B153" s="6" t="inlineStr">
        <is>
          <t>Leandro de Souza Silva</t>
        </is>
      </c>
      <c r="C153" s="3" t="inlineStr">
        <is>
          <t>JR</t>
        </is>
      </c>
      <c r="D153" s="3" t="n">
        <v>12</v>
      </c>
      <c r="E153" s="3" t="n">
        <v>11</v>
      </c>
      <c r="F153" t="n">
        <v>22.06</v>
      </c>
      <c r="G153" s="3" t="n">
        <v>1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t="n">
        <v>11</v>
      </c>
      <c r="N153" t="n">
        <v>100</v>
      </c>
      <c r="O153" t="n">
        <v>16.95906432748538</v>
      </c>
    </row>
    <row r="154" hidden="1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t="n">
        <v>23</v>
      </c>
      <c r="N154" t="n">
        <v>100</v>
      </c>
      <c r="O154" t="n">
        <v>27.05882352941176</v>
      </c>
    </row>
    <row r="155" hidden="1">
      <c r="A155" s="5" t="n">
        <v>46153</v>
      </c>
      <c r="B155" s="6" t="inlineStr">
        <is>
          <t>Milena Sales</t>
        </is>
      </c>
      <c r="C155" s="3" t="inlineStr">
        <is>
          <t>JR</t>
        </is>
      </c>
      <c r="D155" s="3" t="n">
        <v>44</v>
      </c>
      <c r="E155" s="3" t="n">
        <v>23</v>
      </c>
      <c r="F155" t="n">
        <v>10.02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t="n">
        <v>13</v>
      </c>
      <c r="N155" t="n">
        <v>98</v>
      </c>
      <c r="O155" t="n">
        <v>16.43835616438356</v>
      </c>
    </row>
    <row r="156" hidden="1">
      <c r="A156" s="5" t="n">
        <v>46153</v>
      </c>
      <c r="B156" s="6" t="inlineStr">
        <is>
          <t>Paulo Ricardo Santos</t>
        </is>
      </c>
      <c r="C156" s="3" t="inlineStr">
        <is>
          <t>JR</t>
        </is>
      </c>
      <c r="D156" s="3" t="n">
        <v>11</v>
      </c>
      <c r="E156" s="3" t="n">
        <v>11</v>
      </c>
      <c r="F156" t="n">
        <v>15.43</v>
      </c>
      <c r="G156" s="3" t="n">
        <v>0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t="n">
        <v>12</v>
      </c>
      <c r="N156" t="n">
        <v>100</v>
      </c>
      <c r="O156" t="n">
        <v>19.13875598086124</v>
      </c>
    </row>
    <row r="157" hidden="1">
      <c r="A157" s="5" t="n">
        <v>46153</v>
      </c>
      <c r="B157" s="6" t="inlineStr">
        <is>
          <t>Pedro Luiz Mota Sousa</t>
        </is>
      </c>
      <c r="C157" s="3" t="inlineStr">
        <is>
          <t>JR</t>
        </is>
      </c>
      <c r="D157" s="3" t="n">
        <v>17</v>
      </c>
      <c r="E157" s="3" t="n">
        <v>17</v>
      </c>
      <c r="F157" t="n">
        <v>20.21</v>
      </c>
      <c r="G157" s="3" t="n">
        <v>3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t="n">
        <v>17</v>
      </c>
      <c r="N157" t="n">
        <v>100</v>
      </c>
      <c r="O157" t="n">
        <v>15.02145922746781</v>
      </c>
    </row>
    <row r="158" hidden="1">
      <c r="A158" s="5" t="n">
        <v>46154</v>
      </c>
      <c r="B158" s="6" t="inlineStr">
        <is>
          <t>Karina Gonçalves Martins</t>
        </is>
      </c>
      <c r="C158" s="3" t="inlineStr">
        <is>
          <t>JR</t>
        </is>
      </c>
      <c r="D158" s="3" t="n">
        <v>26</v>
      </c>
      <c r="E158" s="3" t="n">
        <v>22</v>
      </c>
      <c r="F158" t="n">
        <v>21.43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t="n">
        <v>22</v>
      </c>
      <c r="N158" t="n">
        <v>97.01000000000001</v>
      </c>
      <c r="O158" t="n">
        <v>13.96103896103896</v>
      </c>
    </row>
    <row r="159" hidden="1">
      <c r="A159" s="5" t="n">
        <v>46154</v>
      </c>
      <c r="B159" s="6" t="inlineStr">
        <is>
          <t>Leandro de Souza Silva</t>
        </is>
      </c>
      <c r="C159" s="3" t="inlineStr">
        <is>
          <t>JR</t>
        </is>
      </c>
      <c r="D159" s="3" t="n">
        <v>10</v>
      </c>
      <c r="E159" s="3" t="n">
        <v>6</v>
      </c>
      <c r="F159" t="n">
        <v>33.28</v>
      </c>
      <c r="G159" s="3" t="n">
        <v>7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IF(K159&lt;-5,"CRÍTICO",IF(K159&lt;0,"ATENÇÃO",IF(K159&lt;=5,"BOM","EXCELENTE")))</f>
        <v/>
      </c>
      <c r="M159" t="n">
        <v>12</v>
      </c>
      <c r="N159" t="n">
        <v>100</v>
      </c>
      <c r="O159" t="n">
        <v>16.95906432748538</v>
      </c>
    </row>
    <row r="160" hidden="1">
      <c r="A160" s="5" t="n">
        <v>46154</v>
      </c>
      <c r="B160" s="6" t="inlineStr">
        <is>
          <t>Milena Sales</t>
        </is>
      </c>
      <c r="C160" s="3" t="inlineStr">
        <is>
          <t>JR</t>
        </is>
      </c>
      <c r="D160" s="3" t="n">
        <v>47</v>
      </c>
      <c r="E160" s="3" t="n">
        <v>23</v>
      </c>
      <c r="F160" t="n">
        <v>8.380000000000001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t="n">
        <v>15</v>
      </c>
      <c r="N160" t="n">
        <v>98</v>
      </c>
      <c r="O160" t="n">
        <v>16.43835616438356</v>
      </c>
    </row>
    <row r="161" hidden="1">
      <c r="A161" s="5" t="n">
        <v>46154</v>
      </c>
      <c r="B161" s="6" t="inlineStr">
        <is>
          <t>Paulo Ricardo Santos</t>
        </is>
      </c>
      <c r="C161" s="3" t="inlineStr">
        <is>
          <t>JR</t>
        </is>
      </c>
      <c r="D161" s="3" t="n">
        <v>21</v>
      </c>
      <c r="E161" s="3" t="n">
        <v>21</v>
      </c>
      <c r="F161" t="n">
        <v>21.44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t="n">
        <v>19</v>
      </c>
      <c r="N161" t="n">
        <v>100</v>
      </c>
      <c r="O161" t="n">
        <v>19.13875598086124</v>
      </c>
    </row>
    <row r="162" hidden="1">
      <c r="A162" s="5" t="n">
        <v>46154</v>
      </c>
      <c r="B162" s="6" t="inlineStr">
        <is>
          <t>Pedro Luiz Mota Sousa</t>
        </is>
      </c>
      <c r="C162" s="3" t="inlineStr">
        <is>
          <t>JR</t>
        </is>
      </c>
      <c r="D162" s="3" t="n">
        <v>12</v>
      </c>
      <c r="E162" s="3" t="n">
        <v>12</v>
      </c>
      <c r="F162" t="n">
        <v>21.47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t="n">
        <v>9</v>
      </c>
      <c r="N162" t="n">
        <v>100</v>
      </c>
      <c r="O162" t="n">
        <v>15.02145922746781</v>
      </c>
    </row>
    <row r="163" hidden="1">
      <c r="A163" s="5" t="n">
        <v>46155</v>
      </c>
      <c r="B163" s="6" t="inlineStr">
        <is>
          <t>Karina Gonçalves Martins</t>
        </is>
      </c>
      <c r="C163" s="3" t="inlineStr">
        <is>
          <t>JR</t>
        </is>
      </c>
      <c r="D163" s="3" t="n">
        <v>17</v>
      </c>
      <c r="E163" s="3" t="n">
        <v>14</v>
      </c>
      <c r="F163" t="n">
        <v>24.07</v>
      </c>
      <c r="G163" s="3" t="n">
        <v>6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t="n">
        <v>18</v>
      </c>
      <c r="N163" t="n">
        <v>97.01000000000001</v>
      </c>
      <c r="O163" t="n">
        <v>13.96103896103896</v>
      </c>
    </row>
    <row r="164" hidden="1">
      <c r="A164" s="5" t="n">
        <v>46155</v>
      </c>
      <c r="B164" s="6" t="inlineStr">
        <is>
          <t>Leandro de Souza Silva</t>
        </is>
      </c>
      <c r="C164" s="3" t="inlineStr">
        <is>
          <t>JR</t>
        </is>
      </c>
      <c r="D164" s="3" t="n">
        <v>0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0</v>
      </c>
      <c r="L164" s="3">
        <f>IF(K164&lt;-5,"CRÍTICO",IF(K164&lt;0,"ATENÇÃO",IF(K164&lt;=5,"BOM","EXCELENTE")))</f>
        <v/>
      </c>
      <c r="M164" s="9" t="n">
        <v>0</v>
      </c>
      <c r="N164" s="9" t="n">
        <v>100</v>
      </c>
      <c r="O164" s="9" t="n">
        <v>16.95906432748538</v>
      </c>
    </row>
    <row r="165" hidden="1">
      <c r="A165" s="5" t="n">
        <v>46155</v>
      </c>
      <c r="B165" s="6" t="inlineStr">
        <is>
          <t>Milena Sales</t>
        </is>
      </c>
      <c r="C165" s="3" t="inlineStr">
        <is>
          <t>JR</t>
        </is>
      </c>
      <c r="D165" s="3" t="n">
        <v>27</v>
      </c>
      <c r="E165" s="3" t="n">
        <v>24</v>
      </c>
      <c r="F165" t="n">
        <v>17.14</v>
      </c>
      <c r="G165" s="3" t="n">
        <v>1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t="n">
        <v>18</v>
      </c>
      <c r="N165" t="n">
        <v>98</v>
      </c>
      <c r="O165" t="n">
        <v>16.43835616438356</v>
      </c>
    </row>
    <row r="166" hidden="1">
      <c r="A166" s="5" t="n">
        <v>46155</v>
      </c>
      <c r="B166" s="6" t="inlineStr">
        <is>
          <t>Paulo Ricardo Santos</t>
        </is>
      </c>
      <c r="C166" s="3" t="inlineStr">
        <is>
          <t>JR</t>
        </is>
      </c>
      <c r="D166" s="3" t="n">
        <v>12</v>
      </c>
      <c r="E166" s="3" t="n">
        <v>11</v>
      </c>
      <c r="F166" t="n">
        <v>25.27</v>
      </c>
      <c r="G166" s="3" t="n">
        <v>0</v>
      </c>
      <c r="H166" s="3" t="n">
        <v>0</v>
      </c>
      <c r="I166" s="3">
        <f>E166+G166+H166</f>
        <v/>
      </c>
      <c r="J166" s="3">
        <f>ROUND(MIN(IF(C166="Técnico III",35,IF(C166="Técnico II",28,IF(C166="Técnico I",23,IF(C166="JR",20,IF(C166="Estágio",10,0))))),IF(C166="Técnico III",SUMIFS($D:$D,$A:$A,$A166,$B:$B,"&lt;&gt;Patrícia Karla de Sousa Araújo",$B:$B,"&lt;&gt;Lorena Dias de Araujo",$B:$B,"&lt;&gt;Lucas Luiz Romero")*(35/1083),IF(C166="Técnico II",SUMIFS($D:$D,$A:$A,$A166,$B:$B,"&lt;&gt;Patrícia Karla de Sousa Araújo",$B:$B,"&lt;&gt;Lorena Dias de Araujo",$B:$B,"&lt;&gt;Lucas Luiz Romero")*(28/1083),IF(C166="Técnico I",SUMIFS($D:$D,$A:$A,$A166,$B:$B,"&lt;&gt;Patrícia Karla de Sousa Araújo",$B:$B,"&lt;&gt;Lorena Dias de Araujo",$B:$B,"&lt;&gt;Lucas Luiz Romero")*(23/1083),IF(C166="JR",SUMIFS($D:$D,$A:$A,$A166,$B:$B,"&lt;&gt;Patrícia Karla de Sousa Araújo",$B:$B,"&lt;&gt;Lorena Dias de Araujo",$B:$B,"&lt;&gt;Lucas Luiz Romero")*(20/1083),IF(C166="Estágio",SUMIFS($D:$D,$A:$A,$A166,$B:$B,"&lt;&gt;Patrícia Karla de Sousa Araújo",$B:$B,"&lt;&gt;Lorena Dias de Araujo",$B:$B,"&lt;&gt;Lucas Luiz Romero")*(10/1083),0)))))),0)</f>
        <v/>
      </c>
      <c r="K166" s="3">
        <f>I166-J166</f>
        <v/>
      </c>
      <c r="L166" s="3">
        <f>IF(K166&lt;-5,"CRÍTICO",IF(K166&lt;0,"ATENÇÃO",IF(K166&lt;=5,"BOM","EXCELENTE")))</f>
        <v/>
      </c>
      <c r="M166" t="n">
        <v>14</v>
      </c>
      <c r="N166" t="n">
        <v>100</v>
      </c>
      <c r="O166" t="n">
        <v>19.13875598086124</v>
      </c>
    </row>
    <row r="167" hidden="1">
      <c r="A167" s="5" t="n">
        <v>46155</v>
      </c>
      <c r="B167" s="6" t="inlineStr">
        <is>
          <t>Pedro Luiz Mota Sousa</t>
        </is>
      </c>
      <c r="C167" s="3" t="inlineStr">
        <is>
          <t>JR</t>
        </is>
      </c>
      <c r="D167" s="3" t="n">
        <v>15</v>
      </c>
      <c r="E167" s="3" t="n">
        <v>14</v>
      </c>
      <c r="F167" t="n">
        <v>13.2</v>
      </c>
      <c r="G167" s="3" t="n">
        <v>4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t="n">
        <v>18</v>
      </c>
      <c r="N167" t="n">
        <v>100</v>
      </c>
      <c r="O167" t="n">
        <v>15.02145922746781</v>
      </c>
    </row>
    <row r="168" hidden="1">
      <c r="A168" s="5" t="n">
        <v>46156</v>
      </c>
      <c r="B168" s="6" t="inlineStr">
        <is>
          <t>Karina Gonçalves Martins</t>
        </is>
      </c>
      <c r="C168" s="3" t="inlineStr">
        <is>
          <t>JR</t>
        </is>
      </c>
      <c r="D168" s="3" t="n">
        <v>23</v>
      </c>
      <c r="E168" s="3" t="n">
        <v>23</v>
      </c>
      <c r="F168" t="n">
        <v>25.1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t="n">
        <v>22</v>
      </c>
      <c r="N168" t="n">
        <v>97.01000000000001</v>
      </c>
      <c r="O168" t="n">
        <v>13.96103896103896</v>
      </c>
    </row>
    <row r="169" hidden="1">
      <c r="A169" s="5" t="n">
        <v>46156</v>
      </c>
      <c r="B169" s="6" t="inlineStr">
        <is>
          <t>Leandro de Souza Silva</t>
        </is>
      </c>
      <c r="C169" s="3" t="inlineStr">
        <is>
          <t>JR</t>
        </is>
      </c>
      <c r="D169" s="3" t="n">
        <v>9</v>
      </c>
      <c r="E169" s="3" t="n">
        <v>7</v>
      </c>
      <c r="F169" t="n">
        <v>27.03</v>
      </c>
      <c r="G169" s="3" t="n">
        <v>8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t="n">
        <v>9</v>
      </c>
      <c r="N169" t="n">
        <v>100</v>
      </c>
      <c r="O169" t="n">
        <v>16.95906432748538</v>
      </c>
    </row>
    <row r="170" hidden="1">
      <c r="A170" s="5" t="n">
        <v>46156</v>
      </c>
      <c r="B170" s="6" t="inlineStr">
        <is>
          <t>Milena Sales</t>
        </is>
      </c>
      <c r="C170" s="3" t="inlineStr">
        <is>
          <t>JR</t>
        </is>
      </c>
      <c r="D170" s="3" t="n">
        <v>26</v>
      </c>
      <c r="E170" s="3" t="n">
        <v>19</v>
      </c>
      <c r="F170" t="n">
        <v>12.17</v>
      </c>
      <c r="G170" s="3" t="n">
        <v>4</v>
      </c>
      <c r="H170" s="3" t="n">
        <v>0</v>
      </c>
      <c r="I170" s="3">
        <f>E170+G170+H170</f>
        <v/>
      </c>
      <c r="J170" s="3">
        <f>ROUND(MIN(IF(C170="Técnico III",35,IF(C170="Técnico II",28,IF(C170="Técnico I",23,IF(C170="JR",20,IF(C170="Estágio",10,0))))),IF(C170="Técnico III",SUMIFS($D:$D,$A:$A,$A170,$B:$B,"&lt;&gt;Patrícia Karla de Sousa Araújo",$B:$B,"&lt;&gt;Lorena Dias de Araujo",$B:$B,"&lt;&gt;Lucas Luiz Romero")*(35/1083),IF(C170="Técnico II",SUMIFS($D:$D,$A:$A,$A170,$B:$B,"&lt;&gt;Patrícia Karla de Sousa Araújo",$B:$B,"&lt;&gt;Lorena Dias de Araujo",$B:$B,"&lt;&gt;Lucas Luiz Romero")*(28/1083),IF(C170="Técnico I",SUMIFS($D:$D,$A:$A,$A170,$B:$B,"&lt;&gt;Patrícia Karla de Sousa Araújo",$B:$B,"&lt;&gt;Lorena Dias de Araujo",$B:$B,"&lt;&gt;Lucas Luiz Romero")*(23/1083),IF(C170="JR",SUMIFS($D:$D,$A:$A,$A170,$B:$B,"&lt;&gt;Patrícia Karla de Sousa Araújo",$B:$B,"&lt;&gt;Lorena Dias de Araujo",$B:$B,"&lt;&gt;Lucas Luiz Romero")*(20/1083),IF(C170="Estágio",SUMIFS($D:$D,$A:$A,$A170,$B:$B,"&lt;&gt;Patrícia Karla de Sousa Araújo",$B:$B,"&lt;&gt;Lorena Dias de Araujo",$B:$B,"&lt;&gt;Lucas Luiz Romero")*(10/1083),0)))))),0)</f>
        <v/>
      </c>
      <c r="K170" s="3">
        <f>I170-J170</f>
        <v/>
      </c>
      <c r="L170" s="3">
        <f>IF(K170&lt;-5,"CRÍTICO",IF(K170&lt;0,"ATENÇÃO",IF(K170&lt;=5,"BOM","EXCELENTE")))</f>
        <v/>
      </c>
      <c r="M170" t="n">
        <v>15</v>
      </c>
      <c r="N170" t="n">
        <v>98</v>
      </c>
      <c r="O170" t="n">
        <v>16.43835616438356</v>
      </c>
    </row>
    <row r="171" hidden="1">
      <c r="A171" s="5" t="n">
        <v>46156</v>
      </c>
      <c r="B171" s="6" t="inlineStr">
        <is>
          <t>Paulo Ricardo Santos</t>
        </is>
      </c>
      <c r="C171" s="3" t="inlineStr">
        <is>
          <t>JR</t>
        </is>
      </c>
      <c r="D171" s="3" t="n">
        <v>15</v>
      </c>
      <c r="E171" s="3" t="n">
        <v>15</v>
      </c>
      <c r="F171" t="n">
        <v>19.08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t="n">
        <v>13</v>
      </c>
      <c r="N171" t="n">
        <v>100</v>
      </c>
      <c r="O171" t="n">
        <v>19.13875598086124</v>
      </c>
    </row>
    <row r="172" hidden="1">
      <c r="A172" s="5" t="n">
        <v>46156</v>
      </c>
      <c r="B172" s="6" t="inlineStr">
        <is>
          <t>Pedro Luiz Mota Sousa</t>
        </is>
      </c>
      <c r="C172" s="3" t="inlineStr">
        <is>
          <t>JR</t>
        </is>
      </c>
      <c r="D172" s="3" t="n">
        <v>6</v>
      </c>
      <c r="E172" s="3" t="n">
        <v>6</v>
      </c>
      <c r="F172" t="n">
        <v>23.26</v>
      </c>
      <c r="G172" s="3" t="n">
        <v>0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t="n">
        <v>5</v>
      </c>
      <c r="N172" t="n">
        <v>100</v>
      </c>
      <c r="O172" t="n">
        <v>15.02145922746781</v>
      </c>
    </row>
    <row r="173" hidden="1">
      <c r="A173" s="5" t="n">
        <v>46157</v>
      </c>
      <c r="B173" s="6" t="inlineStr">
        <is>
          <t>Karina Gonçalves Martins</t>
        </is>
      </c>
      <c r="C173" s="3" t="inlineStr">
        <is>
          <t>JR</t>
        </is>
      </c>
      <c r="D173" s="3" t="n">
        <v>23</v>
      </c>
      <c r="E173" s="3" t="n">
        <v>20</v>
      </c>
      <c r="F173" t="n">
        <v>25.17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t="n">
        <v>23</v>
      </c>
      <c r="N173" t="n">
        <v>97.01000000000001</v>
      </c>
      <c r="O173" t="n">
        <v>13.96103896103896</v>
      </c>
    </row>
    <row r="174" hidden="1">
      <c r="A174" s="5" t="n">
        <v>46157</v>
      </c>
      <c r="B174" s="6" t="inlineStr">
        <is>
          <t>Leandro de Souza Silva</t>
        </is>
      </c>
      <c r="C174" s="3" t="inlineStr">
        <is>
          <t>JR</t>
        </is>
      </c>
      <c r="D174" s="3" t="n">
        <v>15</v>
      </c>
      <c r="E174" s="3" t="n">
        <v>14</v>
      </c>
      <c r="F174" t="n">
        <v>16.53</v>
      </c>
      <c r="G174" s="3" t="n">
        <v>2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t="n">
        <v>11</v>
      </c>
      <c r="N174" t="n">
        <v>100</v>
      </c>
      <c r="O174" t="n">
        <v>16.95906432748538</v>
      </c>
    </row>
    <row r="175" hidden="1">
      <c r="A175" s="5" t="n">
        <v>46157</v>
      </c>
      <c r="B175" s="6" t="inlineStr">
        <is>
          <t>Milena Sales</t>
        </is>
      </c>
      <c r="C175" s="3" t="inlineStr">
        <is>
          <t>JR</t>
        </is>
      </c>
      <c r="D175" s="3" t="n">
        <v>29</v>
      </c>
      <c r="E175" s="3" t="n">
        <v>21</v>
      </c>
      <c r="F175" t="n">
        <v>13.55</v>
      </c>
      <c r="G175" s="3" t="n">
        <v>2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t="n">
        <v>19</v>
      </c>
      <c r="N175" t="n">
        <v>98</v>
      </c>
      <c r="O175" t="n">
        <v>16.43835616438356</v>
      </c>
    </row>
    <row r="176" hidden="1">
      <c r="A176" s="5" t="n">
        <v>46157</v>
      </c>
      <c r="B176" s="6" t="inlineStr">
        <is>
          <t>Paulo Ricardo Santos</t>
        </is>
      </c>
      <c r="C176" s="3" t="inlineStr">
        <is>
          <t>JR</t>
        </is>
      </c>
      <c r="D176" s="3" t="n">
        <v>13</v>
      </c>
      <c r="E176" s="3" t="n">
        <v>13</v>
      </c>
      <c r="F176" t="n">
        <v>28.33</v>
      </c>
      <c r="G176" s="3" t="n">
        <v>0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t="n">
        <v>14</v>
      </c>
      <c r="N176" t="n">
        <v>100</v>
      </c>
      <c r="O176" t="n">
        <v>19.13875598086124</v>
      </c>
    </row>
    <row r="177" hidden="1">
      <c r="A177" s="5" t="n">
        <v>46157</v>
      </c>
      <c r="B177" s="6" t="inlineStr">
        <is>
          <t>Pedro Luiz Mota Sousa</t>
        </is>
      </c>
      <c r="C177" s="3" t="inlineStr">
        <is>
          <t>JR</t>
        </is>
      </c>
      <c r="D177" s="3" t="n">
        <v>14</v>
      </c>
      <c r="E177" s="3" t="n">
        <v>12</v>
      </c>
      <c r="F177" t="n">
        <v>15.53</v>
      </c>
      <c r="G177" s="3" t="n">
        <v>2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t="n">
        <v>15</v>
      </c>
      <c r="N177" t="n">
        <v>100</v>
      </c>
      <c r="O177" t="n">
        <v>15.02145922746781</v>
      </c>
    </row>
    <row r="178" hidden="1">
      <c r="A178" s="5" t="n">
        <v>46160</v>
      </c>
      <c r="B178" s="6" t="inlineStr">
        <is>
          <t>Anna Luiza Rezende Tavares</t>
        </is>
      </c>
      <c r="C178" s="3" t="inlineStr">
        <is>
          <t>JR</t>
        </is>
      </c>
      <c r="D178" s="3" t="n">
        <v>1</v>
      </c>
      <c r="E178" s="3" t="n">
        <v>1</v>
      </c>
      <c r="F178" t="n">
        <v>5.09</v>
      </c>
      <c r="G178" s="3" t="n">
        <v>0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t="n">
        <v>28</v>
      </c>
      <c r="N178" t="n">
        <v>99.11</v>
      </c>
      <c r="O178" t="n">
        <v>17.72151898734177</v>
      </c>
    </row>
    <row r="179" hidden="1">
      <c r="A179" s="5" t="n">
        <v>46160</v>
      </c>
      <c r="B179" s="6" t="inlineStr">
        <is>
          <t>Karina Gonçalves Martins</t>
        </is>
      </c>
      <c r="C179" s="3" t="inlineStr">
        <is>
          <t>JR</t>
        </is>
      </c>
      <c r="D179" s="3" t="n">
        <v>18</v>
      </c>
      <c r="E179" s="3" t="n">
        <v>17</v>
      </c>
      <c r="F179" t="n">
        <v>30.41</v>
      </c>
      <c r="G179" s="3" t="n">
        <v>2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IF(K179&lt;-5,"CRÍTICO",IF(K179&lt;0,"ATENÇÃO",IF(K179&lt;=5,"BOM","EXCELENTE")))</f>
        <v/>
      </c>
      <c r="M179" t="n">
        <v>21</v>
      </c>
      <c r="N179" t="n">
        <v>97.01000000000001</v>
      </c>
      <c r="O179" t="n">
        <v>13.96103896103896</v>
      </c>
    </row>
    <row r="180" hidden="1">
      <c r="A180" s="5" t="n">
        <v>46160</v>
      </c>
      <c r="B180" s="6" t="inlineStr">
        <is>
          <t>Leandro de Souza Silva</t>
        </is>
      </c>
      <c r="C180" s="3" t="inlineStr">
        <is>
          <t>JR</t>
        </is>
      </c>
      <c r="D180" s="3" t="n">
        <v>16</v>
      </c>
      <c r="E180" s="3" t="n">
        <v>13</v>
      </c>
      <c r="F180" t="n">
        <v>21.58</v>
      </c>
      <c r="G180" s="3" t="n">
        <v>4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t="n">
        <v>14</v>
      </c>
      <c r="N180" t="n">
        <v>100</v>
      </c>
      <c r="O180" t="n">
        <v>16.95906432748538</v>
      </c>
    </row>
    <row r="181" hidden="1">
      <c r="A181" s="5" t="n">
        <v>46160</v>
      </c>
      <c r="B181" s="6" t="inlineStr">
        <is>
          <t>Milena Sales</t>
        </is>
      </c>
      <c r="C181" s="3" t="inlineStr">
        <is>
          <t>JR</t>
        </is>
      </c>
      <c r="D181" s="3" t="n">
        <v>11</v>
      </c>
      <c r="E181" s="3" t="n">
        <v>9</v>
      </c>
      <c r="F181" t="n">
        <v>13.56</v>
      </c>
      <c r="G181" s="3" t="n">
        <v>1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6</v>
      </c>
      <c r="N181" t="n">
        <v>98</v>
      </c>
      <c r="O181" t="n">
        <v>16.43835616438356</v>
      </c>
    </row>
    <row r="182" hidden="1">
      <c r="A182" s="5" t="n">
        <v>46160</v>
      </c>
      <c r="B182" s="6" t="inlineStr">
        <is>
          <t>Paulo Ricardo Santos</t>
        </is>
      </c>
      <c r="C182" s="3" t="inlineStr">
        <is>
          <t>JR</t>
        </is>
      </c>
      <c r="D182" s="3" t="n">
        <v>11</v>
      </c>
      <c r="E182" s="3" t="n">
        <v>10</v>
      </c>
      <c r="F182" t="n">
        <v>22.14</v>
      </c>
      <c r="G182" s="3" t="n">
        <v>0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11</v>
      </c>
      <c r="N182" t="n">
        <v>100</v>
      </c>
      <c r="O182" t="n">
        <v>19.13875598086124</v>
      </c>
    </row>
    <row r="183" hidden="1">
      <c r="A183" s="5" t="n">
        <v>46160</v>
      </c>
      <c r="B183" s="6" t="inlineStr">
        <is>
          <t>Pedro Luiz Mota Sousa</t>
        </is>
      </c>
      <c r="C183" s="3" t="inlineStr">
        <is>
          <t>JR</t>
        </is>
      </c>
      <c r="D183" s="3" t="n">
        <v>14</v>
      </c>
      <c r="E183" s="3" t="n">
        <v>13</v>
      </c>
      <c r="F183" t="n">
        <v>20.47</v>
      </c>
      <c r="G183" s="3" t="n">
        <v>2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14</v>
      </c>
      <c r="N183" t="n">
        <v>100</v>
      </c>
      <c r="O183" t="n">
        <v>15.02145922746781</v>
      </c>
    </row>
    <row r="184" hidden="1">
      <c r="A184" s="7" t="n">
        <v>46161</v>
      </c>
      <c r="B184" s="8" t="inlineStr">
        <is>
          <t>Anna Luiza Rezende Tavares</t>
        </is>
      </c>
      <c r="C184" s="9" t="inlineStr">
        <is>
          <t>JR</t>
        </is>
      </c>
      <c r="D184" s="3" t="n">
        <v>30</v>
      </c>
      <c r="E184" s="3" t="n">
        <v>29</v>
      </c>
      <c r="F184" t="n">
        <v>18.21</v>
      </c>
      <c r="G184" s="3" t="n">
        <v>0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28</v>
      </c>
      <c r="N184" t="n">
        <v>99.11</v>
      </c>
      <c r="O184" t="n">
        <v>17.72151898734177</v>
      </c>
    </row>
    <row r="185" hidden="1">
      <c r="A185" s="7" t="n">
        <v>46161</v>
      </c>
      <c r="B185" s="8" t="inlineStr">
        <is>
          <t>Karina Gonçalves Martins</t>
        </is>
      </c>
      <c r="C185" s="9" t="inlineStr">
        <is>
          <t>JR</t>
        </is>
      </c>
      <c r="D185" s="3" t="n">
        <v>20</v>
      </c>
      <c r="E185" s="3" t="n">
        <v>19</v>
      </c>
      <c r="F185" t="n">
        <v>28.41</v>
      </c>
      <c r="G185" s="3" t="n">
        <v>2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20</v>
      </c>
      <c r="N185" t="n">
        <v>97.01000000000001</v>
      </c>
      <c r="O185" t="n">
        <v>13.96103896103896</v>
      </c>
    </row>
    <row r="186" hidden="1">
      <c r="A186" s="7" t="n">
        <v>46161</v>
      </c>
      <c r="B186" s="8" t="inlineStr">
        <is>
          <t>Leandro de Souza Silva</t>
        </is>
      </c>
      <c r="C186" s="9" t="inlineStr">
        <is>
          <t>JR</t>
        </is>
      </c>
      <c r="D186" s="3" t="n">
        <v>19</v>
      </c>
      <c r="E186" s="3" t="n">
        <v>17</v>
      </c>
      <c r="F186" t="n">
        <v>18.56</v>
      </c>
      <c r="G186" s="3" t="n">
        <v>1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15</v>
      </c>
      <c r="N186" t="n">
        <v>100</v>
      </c>
      <c r="O186" t="n">
        <v>16.95906432748538</v>
      </c>
    </row>
    <row r="187" hidden="1">
      <c r="A187" s="7" t="n">
        <v>46161</v>
      </c>
      <c r="B187" s="8" t="inlineStr">
        <is>
          <t>Milena Sales</t>
        </is>
      </c>
      <c r="C187" s="9" t="inlineStr">
        <is>
          <t>JR</t>
        </is>
      </c>
      <c r="D187" s="3" t="n">
        <v>42</v>
      </c>
      <c r="E187" s="3" t="n">
        <v>23</v>
      </c>
      <c r="F187" t="n">
        <v>11.43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22</v>
      </c>
      <c r="N187" t="n">
        <v>98</v>
      </c>
      <c r="O187" t="n">
        <v>16.43835616438356</v>
      </c>
    </row>
    <row r="188" hidden="1">
      <c r="A188" s="7" t="n">
        <v>46161</v>
      </c>
      <c r="B188" s="8" t="inlineStr">
        <is>
          <t>Paulo Ricardo Santos</t>
        </is>
      </c>
      <c r="C188" s="9" t="inlineStr">
        <is>
          <t>JR</t>
        </is>
      </c>
      <c r="D188" s="3" t="n">
        <v>13</v>
      </c>
      <c r="E188" s="3" t="n">
        <v>13</v>
      </c>
      <c r="F188" t="n">
        <v>19.19</v>
      </c>
      <c r="G188" s="3" t="n">
        <v>0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12</v>
      </c>
      <c r="N188" t="n">
        <v>100</v>
      </c>
      <c r="O188" t="n">
        <v>19.13875598086124</v>
      </c>
    </row>
    <row r="189" hidden="1">
      <c r="A189" s="7" t="n">
        <v>46161</v>
      </c>
      <c r="B189" s="8" t="inlineStr">
        <is>
          <t>Pedro Luiz Mota Sousa</t>
        </is>
      </c>
      <c r="C189" s="9" t="inlineStr">
        <is>
          <t>JR</t>
        </is>
      </c>
      <c r="D189" s="3" t="n">
        <v>17</v>
      </c>
      <c r="E189" s="3" t="n">
        <v>17</v>
      </c>
      <c r="F189" t="n">
        <v>23.57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15</v>
      </c>
      <c r="N189" t="n">
        <v>100</v>
      </c>
      <c r="O189" t="n">
        <v>15.02145922746781</v>
      </c>
    </row>
    <row r="190" hidden="1">
      <c r="A190" s="7" t="n">
        <v>46162</v>
      </c>
      <c r="B190" s="8" t="inlineStr">
        <is>
          <t>Anna Luiza Rezende Tavares</t>
        </is>
      </c>
      <c r="C190" s="9" t="inlineStr">
        <is>
          <t>JR</t>
        </is>
      </c>
      <c r="D190" s="3" t="n">
        <v>33</v>
      </c>
      <c r="E190" s="3" t="n">
        <v>33</v>
      </c>
      <c r="F190" s="3" t="n">
        <v>14.07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9" t="n">
        <v>32</v>
      </c>
      <c r="N190" s="9" t="n">
        <v>99.11</v>
      </c>
      <c r="O190" s="9" t="n">
        <v>17.72151898734177</v>
      </c>
    </row>
    <row r="191" hidden="1">
      <c r="A191" s="7" t="n">
        <v>46162</v>
      </c>
      <c r="B191" s="8" t="inlineStr">
        <is>
          <t>Karina Gonçalves Martins</t>
        </is>
      </c>
      <c r="C191" s="9" t="inlineStr">
        <is>
          <t>JR</t>
        </is>
      </c>
      <c r="D191" s="3" t="n">
        <v>21</v>
      </c>
      <c r="E191" s="3" t="n">
        <v>20</v>
      </c>
      <c r="F191" s="3" t="n">
        <v>23.27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9" t="n">
        <v>20</v>
      </c>
      <c r="N191" s="9" t="n">
        <v>97.01000000000001</v>
      </c>
      <c r="O191" s="9" t="n">
        <v>13.96103896103896</v>
      </c>
    </row>
    <row r="192" hidden="1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16</v>
      </c>
      <c r="N192" t="n">
        <v>92.86</v>
      </c>
      <c r="O192" t="n">
        <v>29.7029702970297</v>
      </c>
    </row>
    <row r="193" hidden="1">
      <c r="A193" s="7" t="n">
        <v>46162</v>
      </c>
      <c r="B193" s="8" t="inlineStr">
        <is>
          <t>Leandro de Souza Silva</t>
        </is>
      </c>
      <c r="C193" s="9" t="inlineStr">
        <is>
          <t>JR</t>
        </is>
      </c>
      <c r="D193" s="3" t="n">
        <v>11</v>
      </c>
      <c r="E193" s="3" t="n">
        <v>10</v>
      </c>
      <c r="F193" s="3" t="n">
        <v>28.22</v>
      </c>
      <c r="G193" s="3" t="n">
        <v>2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9" t="n">
        <v>12</v>
      </c>
      <c r="N193" s="9" t="n">
        <v>100</v>
      </c>
      <c r="O193" s="9" t="n">
        <v>16.95906432748538</v>
      </c>
    </row>
    <row r="194" hidden="1">
      <c r="A194" s="7" t="n">
        <v>46162</v>
      </c>
      <c r="B194" s="8" t="inlineStr">
        <is>
          <t>Milena Sales</t>
        </is>
      </c>
      <c r="C194" s="9" t="inlineStr">
        <is>
          <t>JR</t>
        </is>
      </c>
      <c r="D194" s="3" t="n">
        <v>25</v>
      </c>
      <c r="E194" s="3" t="n">
        <v>20</v>
      </c>
      <c r="F194" s="3" t="n">
        <v>15.38</v>
      </c>
      <c r="G194" s="3" t="n">
        <v>1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9" t="n">
        <v>19</v>
      </c>
      <c r="N194" s="9" t="n">
        <v>98</v>
      </c>
      <c r="O194" s="9" t="n">
        <v>16.43835616438356</v>
      </c>
    </row>
    <row r="195" hidden="1">
      <c r="A195" s="7" t="n">
        <v>46162</v>
      </c>
      <c r="B195" s="8" t="inlineStr">
        <is>
          <t>Paulo Ricardo Santos</t>
        </is>
      </c>
      <c r="C195" s="9" t="inlineStr">
        <is>
          <t>JR</t>
        </is>
      </c>
      <c r="D195" s="3" t="n">
        <v>14</v>
      </c>
      <c r="E195" s="3" t="n">
        <v>14</v>
      </c>
      <c r="F195" s="3" t="n">
        <v>22.09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9" t="n">
        <v>11</v>
      </c>
      <c r="N195" s="9" t="n">
        <v>100</v>
      </c>
      <c r="O195" s="9" t="n">
        <v>19.13875598086124</v>
      </c>
    </row>
    <row r="196" hidden="1">
      <c r="A196" s="7" t="n">
        <v>46162</v>
      </c>
      <c r="B196" s="8" t="inlineStr">
        <is>
          <t>Pedro Luiz Mota Sousa</t>
        </is>
      </c>
      <c r="C196" s="9" t="inlineStr">
        <is>
          <t>JR</t>
        </is>
      </c>
      <c r="D196" s="3" t="n">
        <v>15</v>
      </c>
      <c r="E196" s="3" t="n">
        <v>13</v>
      </c>
      <c r="F196" s="3" t="n">
        <v>18.21</v>
      </c>
      <c r="G196" s="3" t="n">
        <v>2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9" t="n">
        <v>15</v>
      </c>
      <c r="N196" s="9" t="n">
        <v>100</v>
      </c>
      <c r="O196" s="9" t="n">
        <v>15.02145922746781</v>
      </c>
    </row>
    <row r="197" hidden="1">
      <c r="A197" s="5" t="n">
        <v>46163</v>
      </c>
      <c r="B197" s="6" t="inlineStr">
        <is>
          <t>Anna Luiza Rezende Tavares</t>
        </is>
      </c>
      <c r="C197" s="3" t="inlineStr">
        <is>
          <t>JR</t>
        </is>
      </c>
      <c r="D197" s="3" t="n">
        <v>24</v>
      </c>
      <c r="E197" s="3" t="n">
        <v>22</v>
      </c>
      <c r="F197" s="3" t="n">
        <v>15.57</v>
      </c>
      <c r="G197" s="3" t="n">
        <v>0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20</v>
      </c>
      <c r="N197" s="3" t="n">
        <v>99.11</v>
      </c>
      <c r="O197" s="3" t="n">
        <v>17.72151898734177</v>
      </c>
    </row>
    <row r="198" hidden="1">
      <c r="A198" s="5" t="n">
        <v>46163</v>
      </c>
      <c r="B198" s="6" t="inlineStr">
        <is>
          <t>Karina Gonçalves Martins</t>
        </is>
      </c>
      <c r="C198" s="3" t="inlineStr">
        <is>
          <t>JR</t>
        </is>
      </c>
      <c r="D198" s="3" t="n">
        <v>15</v>
      </c>
      <c r="E198" s="3" t="n">
        <v>13</v>
      </c>
      <c r="F198" s="3" t="n">
        <v>20.57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15</v>
      </c>
      <c r="N198" s="3" t="n">
        <v>97.01000000000001</v>
      </c>
      <c r="O198" s="3" t="n">
        <v>13.96103896103896</v>
      </c>
    </row>
    <row r="199" hidden="1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M199" t="n">
        <v>15</v>
      </c>
      <c r="N199" t="n">
        <v>95</v>
      </c>
      <c r="O199" t="n">
        <v>31.89655172413793</v>
      </c>
    </row>
    <row r="200" hidden="1">
      <c r="A200" s="5" t="n">
        <v>46163</v>
      </c>
      <c r="B200" s="6" t="inlineStr">
        <is>
          <t>Leandro de Souza Silva</t>
        </is>
      </c>
      <c r="C200" s="3" t="inlineStr">
        <is>
          <t>JR</t>
        </is>
      </c>
      <c r="D200" s="3" t="n">
        <v>13</v>
      </c>
      <c r="E200" s="3" t="n">
        <v>11</v>
      </c>
      <c r="F200" s="3" t="n">
        <v>20.49</v>
      </c>
      <c r="G200" s="3" t="n">
        <v>1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IF(K200&lt;-5,"CRÍTICO",IF(K200&lt;0,"ATENÇÃO",IF(K200&lt;=5,"OPORTUNO","MUITO BOM")))</f>
        <v/>
      </c>
      <c r="M200" s="3" t="n">
        <v>10</v>
      </c>
      <c r="N200" s="3" t="n">
        <v>100</v>
      </c>
      <c r="O200" s="3" t="n">
        <v>16.95906432748538</v>
      </c>
    </row>
    <row r="201" hidden="1">
      <c r="A201" s="5" t="n">
        <v>46163</v>
      </c>
      <c r="B201" s="6" t="inlineStr">
        <is>
          <t>Milena Sales</t>
        </is>
      </c>
      <c r="C201" s="3" t="inlineStr">
        <is>
          <t>JR</t>
        </is>
      </c>
      <c r="D201" s="3" t="n">
        <v>26</v>
      </c>
      <c r="E201" s="3" t="n">
        <v>18</v>
      </c>
      <c r="F201" s="3" t="n">
        <v>12.17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IF(K201&lt;-5,"CRÍTICO",IF(K201&lt;0,"ATENÇÃO",IF(K201&lt;=5,"OPORTUNO","MUITO BOM")))</f>
        <v/>
      </c>
      <c r="M201" s="3" t="n">
        <v>16</v>
      </c>
      <c r="N201" s="3" t="n">
        <v>98</v>
      </c>
      <c r="O201" s="3" t="n">
        <v>16.43835616438356</v>
      </c>
    </row>
    <row r="202" hidden="1">
      <c r="A202" s="5" t="n">
        <v>46163</v>
      </c>
      <c r="B202" s="6" t="inlineStr">
        <is>
          <t>Paulo Ricardo Santos</t>
        </is>
      </c>
      <c r="C202" s="3" t="inlineStr">
        <is>
          <t>JR</t>
        </is>
      </c>
      <c r="D202" s="3" t="n">
        <v>10</v>
      </c>
      <c r="E202" s="3" t="n">
        <v>10</v>
      </c>
      <c r="F202" s="3" t="n">
        <v>20.18</v>
      </c>
      <c r="G202" s="3" t="n">
        <v>0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12</v>
      </c>
      <c r="N202" s="3" t="n">
        <v>100</v>
      </c>
      <c r="O202" s="3" t="n">
        <v>19.13875598086124</v>
      </c>
    </row>
    <row r="203" hidden="1">
      <c r="A203" s="5" t="n">
        <v>46163</v>
      </c>
      <c r="B203" s="6" t="inlineStr">
        <is>
          <t>Pedro Luiz Mota Sousa</t>
        </is>
      </c>
      <c r="C203" s="3" t="inlineStr">
        <is>
          <t>JR</t>
        </is>
      </c>
      <c r="D203" s="3" t="n">
        <v>16</v>
      </c>
      <c r="E203" s="3" t="n">
        <v>14</v>
      </c>
      <c r="F203" s="3" t="n">
        <v>23.22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IF(K203&lt;-5,"CRÍTICO",IF(K203&lt;0,"ATENÇÃO",IF(K203&lt;=5,"OPORTUNO","MUITO BOM")))</f>
        <v/>
      </c>
      <c r="M203" s="3" t="n">
        <v>12</v>
      </c>
      <c r="N203" s="3" t="n">
        <v>100</v>
      </c>
      <c r="O203" s="3" t="n">
        <v>15.02145922746781</v>
      </c>
    </row>
    <row r="204" hidden="1">
      <c r="A204" s="10" t="n">
        <v>46164</v>
      </c>
      <c r="B204" s="6" t="inlineStr">
        <is>
          <t>Anna Luiza Rezende Tavares</t>
        </is>
      </c>
      <c r="C204" s="3" t="inlineStr">
        <is>
          <t>JR</t>
        </is>
      </c>
      <c r="D204" s="3" t="n">
        <v>20</v>
      </c>
      <c r="E204" s="3" t="n">
        <v>19</v>
      </c>
      <c r="F204" s="3" t="n">
        <v>22.07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IF(K204&lt;-5,"CRÍTICO",IF(K204&lt;0,"ATENÇÃO",IF(K204&lt;=5,"OPORTUNO","MUITO BOM")))</f>
        <v/>
      </c>
      <c r="M204" s="3" t="n">
        <v>18</v>
      </c>
      <c r="N204" s="3" t="n">
        <v>99.11</v>
      </c>
      <c r="O204" s="3" t="n">
        <v>17.72151898734177</v>
      </c>
    </row>
    <row r="205" hidden="1">
      <c r="A205" s="10" t="n">
        <v>46164</v>
      </c>
      <c r="B205" s="6" t="inlineStr">
        <is>
          <t>Karina Gonçalves Martins</t>
        </is>
      </c>
      <c r="C205" s="3" t="inlineStr">
        <is>
          <t>JR</t>
        </is>
      </c>
      <c r="D205" s="3" t="n">
        <v>19</v>
      </c>
      <c r="E205" s="3" t="n">
        <v>19</v>
      </c>
      <c r="F205" s="3" t="n">
        <v>21.43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IF(K205&lt;-5,"CRÍTICO",IF(K205&lt;0,"ATENÇÃO",IF(K205&lt;=5,"OPORTUNO","MUITO BOM")))</f>
        <v/>
      </c>
      <c r="M205" s="3" t="n">
        <v>20</v>
      </c>
      <c r="N205" s="3" t="n">
        <v>97.01000000000001</v>
      </c>
      <c r="O205" s="3" t="n">
        <v>13.96103896103896</v>
      </c>
    </row>
    <row r="206" hidden="1">
      <c r="A206" s="10" t="n">
        <v>46164</v>
      </c>
      <c r="B206" s="6" t="inlineStr">
        <is>
          <t>Leandro de Souza Silva</t>
        </is>
      </c>
      <c r="C206" s="3" t="inlineStr">
        <is>
          <t>JR</t>
        </is>
      </c>
      <c r="D206" s="3" t="n">
        <v>10</v>
      </c>
      <c r="E206" s="3" t="n">
        <v>10</v>
      </c>
      <c r="F206" s="3" t="n">
        <v>27.18</v>
      </c>
      <c r="G206" s="3" t="n">
        <v>2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IF(K206&lt;-5,"CRÍTICO",IF(K206&lt;0,"ATENÇÃO",IF(K206&lt;=5,"OPORTUNO","MUITO BOM")))</f>
        <v/>
      </c>
      <c r="M206" s="3" t="n">
        <v>8</v>
      </c>
      <c r="N206" s="3" t="n">
        <v>100</v>
      </c>
      <c r="O206" s="3" t="n">
        <v>16.95906432748538</v>
      </c>
    </row>
    <row r="207" hidden="1">
      <c r="A207" s="10" t="n">
        <v>46164</v>
      </c>
      <c r="B207" s="6" t="inlineStr">
        <is>
          <t>Milena Sales</t>
        </is>
      </c>
      <c r="C207" s="3" t="inlineStr">
        <is>
          <t>JR</t>
        </is>
      </c>
      <c r="D207" s="3" t="n">
        <v>21</v>
      </c>
      <c r="E207" s="3" t="n">
        <v>18</v>
      </c>
      <c r="F207" s="3" t="n">
        <v>13.49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IF(K207&lt;-5,"CRÍTICO",IF(K207&lt;0,"ATENÇÃO",IF(K207&lt;=5,"OPORTUNO","MUITO BOM")))</f>
        <v/>
      </c>
      <c r="M207" s="3" t="n">
        <v>16</v>
      </c>
      <c r="N207" s="3" t="n">
        <v>98</v>
      </c>
      <c r="O207" s="3" t="n">
        <v>16.43835616438356</v>
      </c>
    </row>
    <row r="208" hidden="1">
      <c r="A208" s="10" t="n">
        <v>46164</v>
      </c>
      <c r="B208" s="6" t="inlineStr">
        <is>
          <t>Paulo Ricardo Santos</t>
        </is>
      </c>
      <c r="C208" s="3" t="inlineStr">
        <is>
          <t>JR</t>
        </is>
      </c>
      <c r="D208" s="3" t="n">
        <v>13</v>
      </c>
      <c r="E208" s="3" t="n">
        <v>13</v>
      </c>
      <c r="F208" s="3" t="n">
        <v>27</v>
      </c>
      <c r="G208" s="3" t="n">
        <v>4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IF(K208&lt;-5,"CRÍTICO",IF(K208&lt;0,"ATENÇÃO",IF(K208&lt;=5,"OPORTUNO","MUITO BOM")))</f>
        <v/>
      </c>
      <c r="M208" s="3" t="n">
        <v>9</v>
      </c>
      <c r="N208" s="3" t="n">
        <v>100</v>
      </c>
      <c r="O208" s="3" t="n">
        <v>19.13875598086124</v>
      </c>
    </row>
    <row r="209" hidden="1">
      <c r="A209" s="10" t="n">
        <v>46164</v>
      </c>
      <c r="B209" s="6" t="inlineStr">
        <is>
          <t>Pedro Luiz Mota Sousa</t>
        </is>
      </c>
      <c r="C209" s="3" t="inlineStr">
        <is>
          <t>JR</t>
        </is>
      </c>
      <c r="D209" s="3" t="n">
        <v>17</v>
      </c>
      <c r="E209" s="3" t="n">
        <v>17</v>
      </c>
      <c r="F209" s="3" t="n">
        <v>17.24</v>
      </c>
      <c r="G209" s="3" t="n">
        <v>2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IF(K209&lt;-5,"CRÍTICO",IF(K209&lt;0,"ATENÇÃO",IF(K209&lt;=5,"OPORTUNO","MUITO BOM")))</f>
        <v/>
      </c>
      <c r="M209" s="3" t="n">
        <v>15</v>
      </c>
      <c r="N209" s="3" t="n">
        <v>100</v>
      </c>
      <c r="O209" s="3" t="n">
        <v>15.02145922746781</v>
      </c>
    </row>
    <row r="210" hidden="1">
      <c r="A210" s="11" t="n">
        <v>46167</v>
      </c>
      <c r="B210" t="inlineStr">
        <is>
          <t>Anna Luiza Rezende Tavares</t>
        </is>
      </c>
      <c r="C210" t="inlineStr">
        <is>
          <t>JR</t>
        </is>
      </c>
      <c r="D210" t="n">
        <v>25</v>
      </c>
      <c r="E210" t="n">
        <v>25</v>
      </c>
      <c r="F210" t="n">
        <v>15.22</v>
      </c>
      <c r="G210" t="n">
        <v>0</v>
      </c>
      <c r="H210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IF(K210&lt;-5,"CRÍTICO",IF(K210&lt;0,"ATENÇÃO",IF(K210&lt;=5,"OPORTUNO","MUITO BOM")))</f>
        <v/>
      </c>
    </row>
    <row r="211" hidden="1">
      <c r="A211" s="11" t="n">
        <v>46167</v>
      </c>
      <c r="B211" t="inlineStr">
        <is>
          <t>Karina Gonçalves Martins</t>
        </is>
      </c>
      <c r="C211" t="inlineStr">
        <is>
          <t>JR</t>
        </is>
      </c>
      <c r="D211" t="n">
        <v>14</v>
      </c>
      <c r="E211" t="n">
        <v>13</v>
      </c>
      <c r="F211" t="n">
        <v>14.05</v>
      </c>
      <c r="G211" t="n">
        <v>0</v>
      </c>
      <c r="H211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IF(K211&lt;-5,"CRÍTICO",IF(K211&lt;0,"ATENÇÃO",IF(K211&lt;=5,"OPORTUNO","MUITO BOM")))</f>
        <v/>
      </c>
    </row>
    <row r="212" hidden="1">
      <c r="A212" s="11" t="n">
        <v>46167</v>
      </c>
      <c r="B212" t="inlineStr">
        <is>
          <t>Leandro de Souza Silva</t>
        </is>
      </c>
      <c r="C212" t="inlineStr">
        <is>
          <t>JR</t>
        </is>
      </c>
      <c r="D212" t="n">
        <v>16</v>
      </c>
      <c r="E212" t="n">
        <v>16</v>
      </c>
      <c r="F212" t="n">
        <v>25.06</v>
      </c>
      <c r="G212" t="n">
        <v>0</v>
      </c>
      <c r="H212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</row>
    <row r="213" hidden="1">
      <c r="A213" s="11" t="n">
        <v>46167</v>
      </c>
      <c r="B213" t="inlineStr">
        <is>
          <t>Milena Sales</t>
        </is>
      </c>
      <c r="C213" t="inlineStr">
        <is>
          <t>JR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s="3" t="n">
        <v>0</v>
      </c>
      <c r="J213" s="3" t="n">
        <v>0</v>
      </c>
      <c r="K213" s="3" t="n">
        <v>0</v>
      </c>
      <c r="L213" s="3">
        <f>IF(K213&lt;-5,"CRÍTICO",IF(K213&lt;0,"ATENÇÃO",IF(K213&lt;=5,"OPORTUNO","MUITO BOM")))</f>
        <v/>
      </c>
    </row>
    <row r="214" hidden="1">
      <c r="A214" s="11" t="n">
        <v>46167</v>
      </c>
      <c r="B214" t="inlineStr">
        <is>
          <t>Paulo Ricardo Santos</t>
        </is>
      </c>
      <c r="C214" t="inlineStr">
        <is>
          <t>JR</t>
        </is>
      </c>
      <c r="D214" t="n">
        <v>16</v>
      </c>
      <c r="E214" t="n">
        <v>16</v>
      </c>
      <c r="F214" t="n">
        <v>21.46</v>
      </c>
      <c r="G214" t="n">
        <v>0</v>
      </c>
      <c r="H214" t="n">
        <v>0</v>
      </c>
      <c r="I214" s="3" t="n">
        <v>0</v>
      </c>
      <c r="J214" s="3" t="n">
        <v>0</v>
      </c>
      <c r="K214" s="3" t="n">
        <v>0</v>
      </c>
      <c r="L214" s="3">
        <f>IF(K214&lt;-5,"CRÍTICO",IF(K214&lt;0,"ATENÇÃO",IF(K214&lt;=5,"OPORTUNO","MUITO BOM")))</f>
        <v/>
      </c>
    </row>
    <row r="215" hidden="1">
      <c r="A215" s="11" t="n">
        <v>46167</v>
      </c>
      <c r="B215" t="inlineStr">
        <is>
          <t>Pedro Luiz Mota Sousa</t>
        </is>
      </c>
      <c r="C215" t="inlineStr">
        <is>
          <t>JR</t>
        </is>
      </c>
      <c r="D215" t="n">
        <v>13</v>
      </c>
      <c r="E215" t="n">
        <v>12</v>
      </c>
      <c r="F215" t="n">
        <v>15.01</v>
      </c>
      <c r="G215" t="n">
        <v>0</v>
      </c>
      <c r="H215" t="n">
        <v>0</v>
      </c>
      <c r="I215" s="3" t="n">
        <v>0</v>
      </c>
      <c r="J215" s="3" t="n">
        <v>0</v>
      </c>
      <c r="K215" s="3" t="n">
        <v>0</v>
      </c>
      <c r="L215" s="3">
        <f>IF(K215&lt;-5,"CRÍTICO",IF(K215&lt;0,"ATENÇÃO",IF(K215&lt;=5,"OPORTUNO","MUITO BOM")))</f>
        <v/>
      </c>
    </row>
    <row r="216" hidden="1">
      <c r="A216" s="11" t="n">
        <v>46140</v>
      </c>
      <c r="B216" t="inlineStr">
        <is>
          <t>Karina Gonçalves Martins</t>
        </is>
      </c>
      <c r="C216" t="inlineStr">
        <is>
          <t>JR</t>
        </is>
      </c>
      <c r="D216" t="n">
        <v>27</v>
      </c>
      <c r="E216" t="n">
        <v>25</v>
      </c>
      <c r="F216" t="n">
        <v>16.48</v>
      </c>
      <c r="G216" t="n">
        <v>0</v>
      </c>
      <c r="H216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N216" t="n">
        <v>97.17</v>
      </c>
      <c r="O216" t="n">
        <v>28.81844380403458</v>
      </c>
    </row>
    <row r="217" hidden="1">
      <c r="A217" s="11" t="n">
        <v>46140</v>
      </c>
      <c r="B217" t="inlineStr">
        <is>
          <t>Leandro de Souza Silva</t>
        </is>
      </c>
      <c r="C217" t="inlineStr">
        <is>
          <t>JR</t>
        </is>
      </c>
      <c r="D217" t="n">
        <v>17</v>
      </c>
      <c r="E217" t="n">
        <v>14</v>
      </c>
      <c r="F217" t="n">
        <v>22.19</v>
      </c>
      <c r="G217" t="n">
        <v>0</v>
      </c>
      <c r="H217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N217" t="n">
        <v>98.15000000000001</v>
      </c>
      <c r="O217" t="n">
        <v>27.1551724137931</v>
      </c>
    </row>
    <row r="218" hidden="1">
      <c r="A218" s="11" t="n">
        <v>46140</v>
      </c>
      <c r="B218" t="inlineStr">
        <is>
          <t>Milena Sales</t>
        </is>
      </c>
      <c r="C218" t="inlineStr">
        <is>
          <t>JR</t>
        </is>
      </c>
      <c r="D218" t="n">
        <v>28</v>
      </c>
      <c r="E218" t="n">
        <v>18</v>
      </c>
      <c r="F218" t="n">
        <v>15.03</v>
      </c>
      <c r="G218" t="n">
        <v>0</v>
      </c>
      <c r="H218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N218" t="n">
        <v>96.15000000000001</v>
      </c>
      <c r="O218" t="n">
        <v>24.04580152671756</v>
      </c>
    </row>
    <row r="219" hidden="1">
      <c r="A219" s="11" t="n">
        <v>46140</v>
      </c>
      <c r="B219" t="inlineStr">
        <is>
          <t>Paulo Ricardo Santos</t>
        </is>
      </c>
      <c r="C219" t="inlineStr">
        <is>
          <t>JR</t>
        </is>
      </c>
      <c r="D219" t="n">
        <v>23</v>
      </c>
      <c r="E219" t="n">
        <v>22</v>
      </c>
      <c r="F219" t="n">
        <v>17.08</v>
      </c>
      <c r="G219" t="n">
        <v>0</v>
      </c>
      <c r="H219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N219" t="n">
        <v>98.84</v>
      </c>
      <c r="O219" t="n">
        <v>31.5018315018315</v>
      </c>
    </row>
    <row r="220" hidden="1">
      <c r="A220" s="11" t="n">
        <v>46140</v>
      </c>
      <c r="B220" t="inlineStr">
        <is>
          <t>Pedro Luiz Mota Sousa</t>
        </is>
      </c>
      <c r="C220" t="inlineStr">
        <is>
          <t>JR</t>
        </is>
      </c>
      <c r="D220" t="n">
        <v>19</v>
      </c>
      <c r="E220" t="n">
        <v>19</v>
      </c>
      <c r="F220" t="n">
        <v>17.21</v>
      </c>
      <c r="G220" t="n">
        <v>0</v>
      </c>
      <c r="H220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N220" t="n">
        <v>100</v>
      </c>
      <c r="O220" t="n">
        <v>34.66666666666667</v>
      </c>
    </row>
    <row r="221" hidden="1">
      <c r="A221" s="11" t="n">
        <v>46141</v>
      </c>
      <c r="B221" t="inlineStr">
        <is>
          <t>Karina Gonçalves Martins</t>
        </is>
      </c>
      <c r="C221" t="inlineStr">
        <is>
          <t>JR</t>
        </is>
      </c>
      <c r="D221" t="n">
        <v>24</v>
      </c>
      <c r="E221" t="n">
        <v>22</v>
      </c>
      <c r="F221" t="n">
        <v>19.14</v>
      </c>
      <c r="G221" t="n">
        <v>0</v>
      </c>
      <c r="H221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N221" t="n">
        <v>97.17</v>
      </c>
      <c r="O221" t="n">
        <v>28.81844380403458</v>
      </c>
    </row>
    <row r="222" hidden="1">
      <c r="A222" s="11" t="n">
        <v>46141</v>
      </c>
      <c r="B222" t="inlineStr">
        <is>
          <t>Leandro de Souza Silva</t>
        </is>
      </c>
      <c r="C222" t="inlineStr">
        <is>
          <t>JR</t>
        </is>
      </c>
      <c r="D222" t="n">
        <v>16</v>
      </c>
      <c r="E222" t="n">
        <v>14</v>
      </c>
      <c r="F222" t="n">
        <v>20.46</v>
      </c>
      <c r="G222" t="n">
        <v>0</v>
      </c>
      <c r="H222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N222" t="n">
        <v>98.15000000000001</v>
      </c>
      <c r="O222" t="n">
        <v>27.1551724137931</v>
      </c>
    </row>
    <row r="223" hidden="1">
      <c r="A223" s="11" t="n">
        <v>46141</v>
      </c>
      <c r="B223" t="inlineStr">
        <is>
          <t>Milena Sales</t>
        </is>
      </c>
      <c r="C223" t="inlineStr">
        <is>
          <t>JR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N223" t="n">
        <v>96.15000000000001</v>
      </c>
      <c r="O223" t="n">
        <v>24.04580152671756</v>
      </c>
    </row>
    <row r="224" hidden="1">
      <c r="A224" s="11" t="n">
        <v>46141</v>
      </c>
      <c r="B224" t="inlineStr">
        <is>
          <t>Paulo Ricardo Santos</t>
        </is>
      </c>
      <c r="C224" t="inlineStr">
        <is>
          <t>JR</t>
        </is>
      </c>
      <c r="D224" t="n">
        <v>23</v>
      </c>
      <c r="E224" t="n">
        <v>22</v>
      </c>
      <c r="F224" t="n">
        <v>17.07</v>
      </c>
      <c r="G224" t="n">
        <v>0</v>
      </c>
      <c r="H224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N224" t="n">
        <v>98.84</v>
      </c>
      <c r="O224" t="n">
        <v>31.5018315018315</v>
      </c>
    </row>
    <row r="225" hidden="1">
      <c r="A225" s="11" t="n">
        <v>46141</v>
      </c>
      <c r="B225" t="inlineStr">
        <is>
          <t>Pedro Luiz Mota Sousa</t>
        </is>
      </c>
      <c r="C225" t="inlineStr">
        <is>
          <t>JR</t>
        </is>
      </c>
      <c r="D225" t="n">
        <v>24</v>
      </c>
      <c r="E225" t="n">
        <v>23</v>
      </c>
      <c r="F225" t="n">
        <v>17.3</v>
      </c>
      <c r="G225" t="n">
        <v>0</v>
      </c>
      <c r="H225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N225" t="n">
        <v>100</v>
      </c>
      <c r="O225" t="n">
        <v>34.66666666666667</v>
      </c>
    </row>
    <row r="226" hidden="1">
      <c r="A226" s="11" t="n">
        <v>46142</v>
      </c>
      <c r="B226" t="inlineStr">
        <is>
          <t>Karina Gonçalves Martins</t>
        </is>
      </c>
      <c r="C226" t="inlineStr">
        <is>
          <t>JR</t>
        </is>
      </c>
      <c r="D226" t="n">
        <v>19</v>
      </c>
      <c r="E226" t="n">
        <v>17</v>
      </c>
      <c r="F226" t="n">
        <v>19.12</v>
      </c>
      <c r="G226" t="n">
        <v>0</v>
      </c>
      <c r="H226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N226" t="n">
        <v>97.17</v>
      </c>
      <c r="O226" t="n">
        <v>28.81844380403458</v>
      </c>
    </row>
    <row r="227" hidden="1">
      <c r="A227" s="11" t="n">
        <v>46142</v>
      </c>
      <c r="B227" t="inlineStr">
        <is>
          <t>Leandro de Souza Silva</t>
        </is>
      </c>
      <c r="C227" t="inlineStr">
        <is>
          <t>JR</t>
        </is>
      </c>
      <c r="D227" t="n">
        <v>22</v>
      </c>
      <c r="E227" t="n">
        <v>21</v>
      </c>
      <c r="F227" t="n">
        <v>17.26</v>
      </c>
      <c r="G227" t="n">
        <v>0</v>
      </c>
      <c r="H227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N227" t="n">
        <v>98.15000000000001</v>
      </c>
      <c r="O227" t="n">
        <v>27.1551724137931</v>
      </c>
    </row>
    <row r="228" hidden="1">
      <c r="A228" s="11" t="n">
        <v>46142</v>
      </c>
      <c r="B228" t="inlineStr">
        <is>
          <t>Milena Sales</t>
        </is>
      </c>
      <c r="C228" t="inlineStr">
        <is>
          <t>JR</t>
        </is>
      </c>
      <c r="D228" t="n">
        <v>36</v>
      </c>
      <c r="E228" t="n">
        <v>20</v>
      </c>
      <c r="F228" t="n">
        <v>9.19</v>
      </c>
      <c r="G228" t="n">
        <v>0</v>
      </c>
      <c r="H228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N228" t="n">
        <v>96.15000000000001</v>
      </c>
      <c r="O228" t="n">
        <v>24.04580152671756</v>
      </c>
    </row>
    <row r="229" hidden="1">
      <c r="A229" s="11" t="n">
        <v>46142</v>
      </c>
      <c r="B229" t="inlineStr">
        <is>
          <t>Paulo Ricardo Santos</t>
        </is>
      </c>
      <c r="C229" t="inlineStr">
        <is>
          <t>JR</t>
        </is>
      </c>
      <c r="D229" t="n">
        <v>19</v>
      </c>
      <c r="E229" t="n">
        <v>19</v>
      </c>
      <c r="F229" t="n">
        <v>20.08</v>
      </c>
      <c r="G229" t="n">
        <v>0</v>
      </c>
      <c r="H229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N229" t="n">
        <v>98.84</v>
      </c>
      <c r="O229" t="n">
        <v>31.5018315018315</v>
      </c>
    </row>
    <row r="230" hidden="1">
      <c r="A230" s="11" t="n">
        <v>46142</v>
      </c>
      <c r="B230" t="inlineStr">
        <is>
          <t>Pedro Luiz Mota Sousa</t>
        </is>
      </c>
      <c r="C230" t="inlineStr">
        <is>
          <t>JR</t>
        </is>
      </c>
      <c r="D230" t="n">
        <v>15</v>
      </c>
      <c r="E230" t="n">
        <v>13</v>
      </c>
      <c r="F230" t="n">
        <v>13.59</v>
      </c>
      <c r="G230" t="n">
        <v>0</v>
      </c>
      <c r="H230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N230" t="n">
        <v>100</v>
      </c>
      <c r="O230" t="n">
        <v>34.66666666666667</v>
      </c>
    </row>
    <row r="231" hidden="1">
      <c r="A231" s="11" t="n">
        <v>46168</v>
      </c>
      <c r="B231" t="inlineStr">
        <is>
          <t>Anna Luiza Rezende Tavares</t>
        </is>
      </c>
      <c r="C231" t="inlineStr">
        <is>
          <t>JR</t>
        </is>
      </c>
      <c r="D231" t="n">
        <v>27</v>
      </c>
      <c r="E231" t="n">
        <v>27</v>
      </c>
      <c r="F231" t="n">
        <v>19.04</v>
      </c>
      <c r="G231" t="n">
        <v>0</v>
      </c>
    </row>
    <row r="232" hidden="1">
      <c r="A232" s="11" t="n">
        <v>46168</v>
      </c>
      <c r="B232" t="inlineStr">
        <is>
          <t>Karina Gonçalves Martins</t>
        </is>
      </c>
      <c r="C232" t="inlineStr">
        <is>
          <t>JR</t>
        </is>
      </c>
      <c r="D232" t="n">
        <v>13</v>
      </c>
      <c r="E232" t="n">
        <v>12</v>
      </c>
      <c r="F232" t="n">
        <v>14.16</v>
      </c>
      <c r="G232" t="n">
        <v>2</v>
      </c>
    </row>
    <row r="233" hidden="1">
      <c r="A233" s="11" t="n">
        <v>46168</v>
      </c>
      <c r="B233" t="inlineStr">
        <is>
          <t>Leandro de Souza Silva</t>
        </is>
      </c>
      <c r="C233" t="inlineStr">
        <is>
          <t>JR</t>
        </is>
      </c>
      <c r="D233" t="n">
        <v>14</v>
      </c>
      <c r="E233" t="n">
        <v>13</v>
      </c>
      <c r="F233" t="n">
        <v>26.51</v>
      </c>
      <c r="G233" t="n">
        <v>3</v>
      </c>
    </row>
    <row r="234" hidden="1">
      <c r="A234" s="11" t="n">
        <v>46168</v>
      </c>
      <c r="B234" t="inlineStr">
        <is>
          <t>Milena Sales</t>
        </is>
      </c>
      <c r="C234" t="inlineStr">
        <is>
          <t>JR</t>
        </is>
      </c>
      <c r="D234" t="n">
        <v>33</v>
      </c>
      <c r="E234" t="n">
        <v>23</v>
      </c>
      <c r="F234" t="n">
        <v>11.5</v>
      </c>
      <c r="G234" t="n">
        <v>5</v>
      </c>
    </row>
    <row r="235" hidden="1">
      <c r="A235" s="11" t="n">
        <v>46168</v>
      </c>
      <c r="B235" t="inlineStr">
        <is>
          <t>Paulo Ricardo Santos</t>
        </is>
      </c>
      <c r="C235" t="inlineStr">
        <is>
          <t>JR</t>
        </is>
      </c>
      <c r="D235" t="n">
        <v>17</v>
      </c>
      <c r="E235" t="n">
        <v>16</v>
      </c>
      <c r="F235" t="n">
        <v>20.35</v>
      </c>
      <c r="G235" t="n">
        <v>3</v>
      </c>
    </row>
    <row r="236" hidden="1">
      <c r="A236" s="11" t="n">
        <v>46168</v>
      </c>
      <c r="B236" t="inlineStr">
        <is>
          <t>Pedro Luiz Mota Sousa</t>
        </is>
      </c>
      <c r="C236" t="inlineStr">
        <is>
          <t>JR</t>
        </is>
      </c>
      <c r="D236" t="n">
        <v>17</v>
      </c>
      <c r="E236" t="n">
        <v>16</v>
      </c>
      <c r="F236" t="n">
        <v>15.28</v>
      </c>
      <c r="G236" t="n">
        <v>2</v>
      </c>
    </row>
    <row r="237">
      <c r="A237" s="11" t="n">
        <v>46140</v>
      </c>
      <c r="B237" t="inlineStr">
        <is>
          <t>Amanda Moura Ferreira</t>
        </is>
      </c>
      <c r="C237" t="inlineStr">
        <is>
          <t>Técnico III</t>
        </is>
      </c>
      <c r="D237" s="9" t="n">
        <v>0</v>
      </c>
      <c r="E237" s="9" t="n">
        <v>0</v>
      </c>
      <c r="F237" s="9" t="n">
        <v>0</v>
      </c>
      <c r="G237" s="9" t="n">
        <v>0</v>
      </c>
      <c r="H237" s="9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N237" s="9" t="n">
        <v>98.66</v>
      </c>
      <c r="O237" s="9" t="n">
        <v>35.15625</v>
      </c>
    </row>
    <row r="238">
      <c r="A238" s="11" t="n">
        <v>46141</v>
      </c>
      <c r="B238" t="inlineStr">
        <is>
          <t>Amanda Moura Ferreira</t>
        </is>
      </c>
      <c r="C238" t="inlineStr">
        <is>
          <t>Técnico III</t>
        </is>
      </c>
      <c r="D238" s="9" t="n">
        <v>0</v>
      </c>
      <c r="E238" s="9" t="n">
        <v>0</v>
      </c>
      <c r="F238" s="9" t="n">
        <v>0</v>
      </c>
      <c r="G238" s="9" t="n">
        <v>0</v>
      </c>
      <c r="H238" s="9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N238" s="9" t="n">
        <v>98.66</v>
      </c>
      <c r="O238" s="9" t="n">
        <v>35.15625</v>
      </c>
    </row>
    <row r="239">
      <c r="A239" s="11" t="n">
        <v>46142</v>
      </c>
      <c r="B239" t="inlineStr">
        <is>
          <t>Amanda Moura Ferreira</t>
        </is>
      </c>
      <c r="C239" t="inlineStr">
        <is>
          <t>Técnico III</t>
        </is>
      </c>
      <c r="D239" s="9" t="n">
        <v>0</v>
      </c>
      <c r="E239" s="9" t="n">
        <v>0</v>
      </c>
      <c r="F239" s="9" t="n">
        <v>0</v>
      </c>
      <c r="G239" s="9" t="n">
        <v>0</v>
      </c>
      <c r="H239" s="9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IF(K239&lt;-5,"CRÍTICO",IF(K239&lt;0,"ATENÇÃO",IF(K239&lt;=5,"OPORTUNO","MUITO BOM")))</f>
        <v/>
      </c>
      <c r="N239" s="9" t="n">
        <v>98.66</v>
      </c>
      <c r="O239" s="9" t="n">
        <v>35.15625</v>
      </c>
    </row>
    <row r="240">
      <c r="A240" s="5" t="n">
        <v>46146</v>
      </c>
      <c r="B240" s="6" t="inlineStr">
        <is>
          <t>Amanda Moura Ferreira</t>
        </is>
      </c>
      <c r="C240" s="3" t="inlineStr">
        <is>
          <t>Técnico III</t>
        </is>
      </c>
      <c r="D240" s="3" t="n">
        <v>0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0</v>
      </c>
      <c r="L240" s="3">
        <f>IF(K240&lt;-5,"CRÍTICO",IF(K240&lt;0,"ATENÇÃO",IF(K240&lt;=5,"BOM","EXCELENTE")))</f>
        <v/>
      </c>
      <c r="M240" s="9" t="n">
        <v>0</v>
      </c>
      <c r="N240" s="9" t="n">
        <v>100</v>
      </c>
      <c r="O240" s="9" t="n">
        <v>0</v>
      </c>
    </row>
    <row r="241">
      <c r="A241" s="5" t="n">
        <v>46147</v>
      </c>
      <c r="B241" s="6" t="inlineStr">
        <is>
          <t>Amanda Moura Ferreira</t>
        </is>
      </c>
      <c r="C241" s="3" t="inlineStr">
        <is>
          <t>Técnico III</t>
        </is>
      </c>
      <c r="D241" s="3" t="n">
        <v>0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0</v>
      </c>
      <c r="L241" s="3">
        <f>IF(K241&lt;-5,"CRÍTICO",IF(K241&lt;0,"ATENÇÃO",IF(K241&lt;=5,"BOM","EXCELENTE")))</f>
        <v/>
      </c>
      <c r="M241" s="9" t="n">
        <v>0</v>
      </c>
      <c r="N241" s="9" t="n">
        <v>100</v>
      </c>
      <c r="O241" s="9" t="n">
        <v>0</v>
      </c>
    </row>
    <row r="242">
      <c r="A242" s="5" t="n">
        <v>46148</v>
      </c>
      <c r="B242" s="6" t="inlineStr">
        <is>
          <t>Amanda Moura Ferreira</t>
        </is>
      </c>
      <c r="C242" s="3" t="inlineStr">
        <is>
          <t>Técnico III</t>
        </is>
      </c>
      <c r="D242" s="3" t="n">
        <v>0</v>
      </c>
      <c r="E242" s="3" t="n">
        <v>0</v>
      </c>
      <c r="F242" s="3" t="n">
        <v>0</v>
      </c>
      <c r="G242" s="3" t="n">
        <v>0</v>
      </c>
      <c r="H242" s="3" t="n">
        <v>0</v>
      </c>
      <c r="I242" s="3" t="n">
        <v>0</v>
      </c>
      <c r="J242" s="3" t="n">
        <v>0</v>
      </c>
      <c r="K242" s="3" t="n">
        <v>0</v>
      </c>
      <c r="L242" s="3">
        <f>IF(K242&lt;-5,"CRÍTICO",IF(K242&lt;0,"ATENÇÃO",IF(K242&lt;=5,"BOM","EXCELENTE")))</f>
        <v/>
      </c>
      <c r="M242" s="9" t="n">
        <v>0</v>
      </c>
      <c r="N242" s="9" t="n">
        <v>100</v>
      </c>
      <c r="O242" s="9" t="n">
        <v>0</v>
      </c>
    </row>
    <row r="243" hidden="1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20</v>
      </c>
      <c r="N243" t="n">
        <v>95.23999999999999</v>
      </c>
      <c r="O243" t="n">
        <v>31.61764705882353</v>
      </c>
    </row>
    <row r="244">
      <c r="A244" s="11" t="n">
        <v>46168</v>
      </c>
      <c r="B244" t="inlineStr">
        <is>
          <t>Amanda Moura Ferreira</t>
        </is>
      </c>
      <c r="C244" t="inlineStr">
        <is>
          <t>Técnico III</t>
        </is>
      </c>
      <c r="D244" s="9" t="n">
        <v>0</v>
      </c>
      <c r="E244" s="9" t="n">
        <v>0</v>
      </c>
      <c r="F244" s="9" t="n">
        <v>0</v>
      </c>
      <c r="G244" s="9" t="n">
        <v>0</v>
      </c>
      <c r="H244" s="9" t="n">
        <v>0</v>
      </c>
      <c r="I244" s="9" t="n">
        <v>0</v>
      </c>
      <c r="J244" s="9" t="n">
        <v>0</v>
      </c>
      <c r="K244" s="9" t="n">
        <v>0</v>
      </c>
    </row>
    <row r="245">
      <c r="A245" s="11" t="n">
        <v>46140</v>
      </c>
      <c r="B245" t="inlineStr">
        <is>
          <t>Ana Paula Da Luz Silva Aleixo</t>
        </is>
      </c>
      <c r="C245" t="inlineStr">
        <is>
          <t>Técnico III</t>
        </is>
      </c>
      <c r="D245" s="9" t="n">
        <v>0</v>
      </c>
      <c r="E245" s="9" t="n">
        <v>0</v>
      </c>
      <c r="F245" s="9" t="n">
        <v>0</v>
      </c>
      <c r="G245" s="9" t="n">
        <v>0</v>
      </c>
      <c r="H245" s="9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N245" s="9" t="n">
        <v>100</v>
      </c>
      <c r="O245" s="9" t="n">
        <v>27.80373831775701</v>
      </c>
    </row>
    <row r="246">
      <c r="A246" s="11" t="n">
        <v>46141</v>
      </c>
      <c r="B246" t="inlineStr">
        <is>
          <t>Ana Paula Da Luz Silva Aleixo</t>
        </is>
      </c>
      <c r="C246" t="inlineStr">
        <is>
          <t>Técnico III</t>
        </is>
      </c>
      <c r="D246" s="9" t="n">
        <v>0</v>
      </c>
      <c r="E246" s="9" t="n">
        <v>0</v>
      </c>
      <c r="F246" s="9" t="n">
        <v>0</v>
      </c>
      <c r="G246" s="9" t="n">
        <v>0</v>
      </c>
      <c r="H246" s="9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N246" s="9" t="n">
        <v>100</v>
      </c>
      <c r="O246" s="9" t="n">
        <v>27.80373831775701</v>
      </c>
    </row>
    <row r="247">
      <c r="A247" s="11" t="n">
        <v>46142</v>
      </c>
      <c r="B247" t="inlineStr">
        <is>
          <t>Ana Paula Da Luz Silva Aleixo</t>
        </is>
      </c>
      <c r="C247" t="inlineStr">
        <is>
          <t>Técnico III</t>
        </is>
      </c>
      <c r="D247" s="9" t="n">
        <v>33</v>
      </c>
      <c r="E247" s="9" t="n">
        <v>32</v>
      </c>
      <c r="F247" s="9" t="n">
        <v>13.4</v>
      </c>
      <c r="G247" s="9" t="n">
        <v>0</v>
      </c>
      <c r="H247" s="9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N247" s="9" t="n">
        <v>100</v>
      </c>
      <c r="O247" s="9" t="n">
        <v>27.80373831775701</v>
      </c>
    </row>
    <row r="248">
      <c r="A248" s="5" t="n">
        <v>46146</v>
      </c>
      <c r="B248" s="6" t="inlineStr">
        <is>
          <t>Ana Paula Da Luz Silva Aleixo</t>
        </is>
      </c>
      <c r="C248" s="9" t="inlineStr">
        <is>
          <t>Técnico III</t>
        </is>
      </c>
      <c r="D248" s="3" t="n">
        <v>30</v>
      </c>
      <c r="E248" s="3" t="n">
        <v>27</v>
      </c>
      <c r="F248" s="3" t="n">
        <v>17.2</v>
      </c>
      <c r="G248" s="3" t="n">
        <v>0</v>
      </c>
      <c r="H248" s="3" t="n">
        <v>0</v>
      </c>
      <c r="I248" s="3">
        <f>E248+G248+H248</f>
        <v/>
      </c>
      <c r="J248" s="3">
        <f>ROUND(MIN(IF(C248="Técnico III",35,IF(C248="Técnico II",28,IF(C248="Técnico I",23,IF(C248="JR",20,IF(C248="Estágio",10,0))))),IF(C248="Técnico III",SUMIFS($D:$D,$A:$A,$A248,$B:$B,"&lt;&gt;Patrícia Karla de Sousa Araújo",$B:$B,"&lt;&gt;Lorena Dias de Araujo",$B:$B,"&lt;&gt;Lucas Luiz Romero")*(35/1083),IF(C248="Técnico II",SUMIFS($D:$D,$A:$A,$A248,$B:$B,"&lt;&gt;Patrícia Karla de Sousa Araújo",$B:$B,"&lt;&gt;Lorena Dias de Araujo",$B:$B,"&lt;&gt;Lucas Luiz Romero")*(28/1083),IF(C248="Técnico I",SUMIFS($D:$D,$A:$A,$A248,$B:$B,"&lt;&gt;Patrícia Karla de Sousa Araújo",$B:$B,"&lt;&gt;Lorena Dias de Araujo",$B:$B,"&lt;&gt;Lucas Luiz Romero")*(23/1083),IF(C248="JR",SUMIFS($D:$D,$A:$A,$A248,$B:$B,"&lt;&gt;Patrícia Karla de Sousa Araújo",$B:$B,"&lt;&gt;Lorena Dias de Araujo",$B:$B,"&lt;&gt;Lucas Luiz Romero")*(20/1083),IF(C248="Estágio",SUMIFS($D:$D,$A:$A,$A248,$B:$B,"&lt;&gt;Patrícia Karla de Sousa Araújo",$B:$B,"&lt;&gt;Lorena Dias de Araujo",$B:$B,"&lt;&gt;Lucas Luiz Romero")*(10/1083),0)))))),0)</f>
        <v/>
      </c>
      <c r="K248" s="3">
        <f>I248-J248</f>
        <v/>
      </c>
      <c r="L248" s="3">
        <f>IF(K248&lt;-5,"CRÍTICO",IF(K248&lt;0,"ATENÇÃO",IF(K248&lt;=5,"BOM","EXCELENTE")))</f>
        <v/>
      </c>
      <c r="M248" s="9" t="n">
        <v>31</v>
      </c>
      <c r="N248" s="9" t="n">
        <v>96.34</v>
      </c>
      <c r="O248" s="9" t="n">
        <v>17.57188498402556</v>
      </c>
    </row>
    <row r="249">
      <c r="A249" s="5" t="n">
        <v>46147</v>
      </c>
      <c r="B249" s="6" t="inlineStr">
        <is>
          <t>Ana Paula Da Luz Silva Aleixo</t>
        </is>
      </c>
      <c r="C249" s="9" t="inlineStr">
        <is>
          <t>Técnico III</t>
        </is>
      </c>
      <c r="D249" s="3" t="n">
        <v>30</v>
      </c>
      <c r="E249" s="3" t="n">
        <v>28</v>
      </c>
      <c r="F249" s="3" t="n">
        <v>18.41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s="3" t="n">
        <v>26</v>
      </c>
      <c r="N249" s="3" t="n">
        <v>96.34</v>
      </c>
      <c r="O249" s="3" t="n">
        <v>17.57188498402556</v>
      </c>
    </row>
    <row r="250">
      <c r="A250" s="5" t="n">
        <v>46148</v>
      </c>
      <c r="B250" s="6" t="inlineStr">
        <is>
          <t>Ana Paula Da Luz Silva Aleixo</t>
        </is>
      </c>
      <c r="C250" s="9" t="inlineStr">
        <is>
          <t>Técnico III</t>
        </is>
      </c>
      <c r="D250" s="3" t="n">
        <v>22</v>
      </c>
      <c r="E250" s="3" t="n">
        <v>20</v>
      </c>
      <c r="F250" s="9" t="n">
        <v>18.47</v>
      </c>
      <c r="G250" s="3" t="n">
        <v>12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s="3" t="n">
        <v>30</v>
      </c>
      <c r="N250" s="3" t="n">
        <v>96.34</v>
      </c>
      <c r="O250" s="3" t="n">
        <v>17.57188498402556</v>
      </c>
    </row>
    <row r="251">
      <c r="A251" s="11" t="n">
        <v>46168</v>
      </c>
      <c r="B251" t="inlineStr">
        <is>
          <t>Ana Paula Da Luz Silva Aleixo</t>
        </is>
      </c>
      <c r="C251" t="inlineStr">
        <is>
          <t>Técnico III</t>
        </is>
      </c>
      <c r="D251" s="9" t="n">
        <v>33</v>
      </c>
      <c r="E251" s="9" t="n">
        <v>27</v>
      </c>
      <c r="F251" s="9" t="n">
        <v>12.19</v>
      </c>
      <c r="G251" s="9" t="n">
        <v>3</v>
      </c>
    </row>
    <row r="252">
      <c r="A252" s="11" t="n">
        <v>46140</v>
      </c>
      <c r="B252" t="inlineStr">
        <is>
          <t>Cristiane Ramos da Silva Rocha</t>
        </is>
      </c>
      <c r="C252" t="inlineStr">
        <is>
          <t>Técnico III</t>
        </is>
      </c>
      <c r="D252" s="9" t="n">
        <v>28</v>
      </c>
      <c r="E252" s="9" t="n">
        <v>24</v>
      </c>
      <c r="F252" s="9" t="n">
        <v>15.03</v>
      </c>
      <c r="G252" s="9" t="n">
        <v>0</v>
      </c>
      <c r="H252" s="9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N252" s="9" t="n">
        <v>93.75</v>
      </c>
      <c r="O252" s="9" t="n">
        <v>26.62835249042146</v>
      </c>
    </row>
    <row r="253">
      <c r="A253" s="11" t="n">
        <v>46141</v>
      </c>
      <c r="B253" t="inlineStr">
        <is>
          <t>Cristiane Ramos da Silva Rocha</t>
        </is>
      </c>
      <c r="C253" t="inlineStr">
        <is>
          <t>Técnico III</t>
        </is>
      </c>
      <c r="D253" s="9" t="n">
        <v>42</v>
      </c>
      <c r="E253" s="9" t="n">
        <v>35</v>
      </c>
      <c r="F253" s="9" t="n">
        <v>10.13</v>
      </c>
      <c r="G253" s="9" t="n">
        <v>0</v>
      </c>
      <c r="H253" s="9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N253" s="9" t="n">
        <v>93.75</v>
      </c>
      <c r="O253" s="9" t="n">
        <v>26.62835249042146</v>
      </c>
    </row>
    <row r="254">
      <c r="A254" s="11" t="n">
        <v>46142</v>
      </c>
      <c r="B254" t="inlineStr">
        <is>
          <t>Cristiane Ramos da Silva Rocha</t>
        </is>
      </c>
      <c r="C254" t="inlineStr">
        <is>
          <t>Técnico III</t>
        </is>
      </c>
      <c r="D254" s="9" t="n">
        <v>39</v>
      </c>
      <c r="E254" s="9" t="n">
        <v>37</v>
      </c>
      <c r="F254" s="9" t="n">
        <v>11.54</v>
      </c>
      <c r="G254" s="9" t="n">
        <v>0</v>
      </c>
      <c r="H254" s="9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N254" s="9" t="n">
        <v>93.75</v>
      </c>
      <c r="O254" s="9" t="n">
        <v>26.62835249042146</v>
      </c>
    </row>
    <row r="255">
      <c r="A255" s="5" t="n">
        <v>46146</v>
      </c>
      <c r="B255" s="6" t="inlineStr">
        <is>
          <t>Cristiane Ramos da Silva Rocha</t>
        </is>
      </c>
      <c r="C255" s="3" t="inlineStr">
        <is>
          <t>Técnico III</t>
        </is>
      </c>
      <c r="D255" s="3" t="n">
        <v>38</v>
      </c>
      <c r="E255" s="3" t="n">
        <v>37</v>
      </c>
      <c r="F255" s="3" t="n">
        <v>13.54</v>
      </c>
      <c r="G255" s="3" t="n">
        <v>1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IF(K255&lt;-5,"CRÍTICO",IF(K255&lt;0,"ATENÇÃO",IF(K255&lt;=5,"BOM","EXCELENTE")))</f>
        <v/>
      </c>
      <c r="M255" s="9" t="n">
        <v>32</v>
      </c>
      <c r="N255" s="9" t="n">
        <v>91.84999999999999</v>
      </c>
      <c r="O255" s="9" t="n">
        <v>20.87155963302752</v>
      </c>
    </row>
    <row r="256">
      <c r="A256" s="5" t="n">
        <v>46147</v>
      </c>
      <c r="B256" s="6" t="inlineStr">
        <is>
          <t>Cristiane Ramos da Silva Rocha</t>
        </is>
      </c>
      <c r="C256" s="3" t="inlineStr">
        <is>
          <t>Técnico III</t>
        </is>
      </c>
      <c r="D256" s="3" t="n">
        <v>46</v>
      </c>
      <c r="E256" s="3" t="n">
        <v>39</v>
      </c>
      <c r="F256" s="3" t="n">
        <v>10.45</v>
      </c>
      <c r="G256" s="3" t="n">
        <v>8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s="3" t="n">
        <v>46</v>
      </c>
      <c r="N256" s="3" t="n">
        <v>91.84999999999999</v>
      </c>
      <c r="O256" s="3" t="n">
        <v>20.87155963302752</v>
      </c>
    </row>
    <row r="257">
      <c r="A257" s="5" t="n">
        <v>46148</v>
      </c>
      <c r="B257" s="6" t="inlineStr">
        <is>
          <t>Cristiane Ramos da Silva Rocha</t>
        </is>
      </c>
      <c r="C257" s="3" t="inlineStr">
        <is>
          <t>Técnico III</t>
        </is>
      </c>
      <c r="D257" s="3" t="n">
        <v>48</v>
      </c>
      <c r="E257" s="3" t="n">
        <v>44</v>
      </c>
      <c r="F257" s="9" t="n">
        <v>12.07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s="3" t="n">
        <v>41</v>
      </c>
      <c r="N257" s="3" t="n">
        <v>91.84999999999999</v>
      </c>
      <c r="O257" s="3" t="n">
        <v>20.87155963302752</v>
      </c>
    </row>
    <row r="258">
      <c r="A258" s="11" t="n">
        <v>46168</v>
      </c>
      <c r="B258" t="inlineStr">
        <is>
          <t>Cristiane Ramos da Silva Rocha</t>
        </is>
      </c>
      <c r="C258" t="inlineStr">
        <is>
          <t>Técnico III</t>
        </is>
      </c>
      <c r="D258" s="9" t="n">
        <v>24</v>
      </c>
      <c r="E258" s="9" t="n">
        <v>22</v>
      </c>
      <c r="F258" s="9" t="n">
        <v>10.43</v>
      </c>
      <c r="G258" s="9" t="n">
        <v>0</v>
      </c>
    </row>
    <row r="259">
      <c r="A259" s="11" t="n">
        <v>46140</v>
      </c>
      <c r="B259" t="inlineStr">
        <is>
          <t>Davylla Rodrigues Freitas Silva</t>
        </is>
      </c>
      <c r="C259" t="inlineStr">
        <is>
          <t>Técnico III</t>
        </is>
      </c>
      <c r="D259" s="9" t="n">
        <v>0</v>
      </c>
      <c r="E259" s="9" t="n">
        <v>0</v>
      </c>
      <c r="F259" s="9" t="n">
        <v>0</v>
      </c>
      <c r="G259" s="9" t="n">
        <v>0</v>
      </c>
      <c r="H259" s="9" t="n">
        <v>0</v>
      </c>
      <c r="I259" s="3" t="n">
        <v>0</v>
      </c>
      <c r="J259" s="3" t="n">
        <v>0</v>
      </c>
      <c r="K259" s="3" t="n">
        <v>0</v>
      </c>
      <c r="L259" s="3">
        <f>IF(K259&lt;-5,"CRÍTICO",IF(K259&lt;0,"ATENÇÃO",IF(K259&lt;=5,"OPORTUNO","MUITO BOM")))</f>
        <v/>
      </c>
      <c r="N259" s="9" t="n">
        <v>100</v>
      </c>
      <c r="O259" s="9" t="n">
        <v>38.26923076923077</v>
      </c>
    </row>
    <row r="260">
      <c r="A260" s="11" t="n">
        <v>46141</v>
      </c>
      <c r="B260" t="inlineStr">
        <is>
          <t>Davylla Rodrigues Freitas Silva</t>
        </is>
      </c>
      <c r="C260" t="inlineStr">
        <is>
          <t>Técnico III</t>
        </is>
      </c>
      <c r="D260" s="9" t="n">
        <v>0</v>
      </c>
      <c r="E260" s="9" t="n">
        <v>0</v>
      </c>
      <c r="F260" s="9" t="n">
        <v>0</v>
      </c>
      <c r="G260" s="9" t="n">
        <v>0</v>
      </c>
      <c r="H260" s="9" t="n">
        <v>0</v>
      </c>
      <c r="I260" s="3" t="n">
        <v>0</v>
      </c>
      <c r="J260" s="3" t="n">
        <v>0</v>
      </c>
      <c r="K260" s="3" t="n">
        <v>0</v>
      </c>
      <c r="L260" s="3">
        <f>IF(K260&lt;-5,"CRÍTICO",IF(K260&lt;0,"ATENÇÃO",IF(K260&lt;=5,"OPORTUNO","MUITO BOM")))</f>
        <v/>
      </c>
      <c r="N260" s="9" t="n">
        <v>100</v>
      </c>
      <c r="O260" s="9" t="n">
        <v>38.26923076923077</v>
      </c>
    </row>
    <row r="261">
      <c r="A261" s="11" t="n">
        <v>46142</v>
      </c>
      <c r="B261" t="inlineStr">
        <is>
          <t>Davylla Rodrigues Freitas Silva</t>
        </is>
      </c>
      <c r="C261" t="inlineStr">
        <is>
          <t>Técnico III</t>
        </is>
      </c>
      <c r="D261" s="9" t="n">
        <v>0</v>
      </c>
      <c r="E261" s="9" t="n">
        <v>0</v>
      </c>
      <c r="F261" s="9" t="n">
        <v>0</v>
      </c>
      <c r="G261" s="9" t="n">
        <v>0</v>
      </c>
      <c r="H261" s="9" t="n">
        <v>0</v>
      </c>
      <c r="I261" s="3" t="n">
        <v>0</v>
      </c>
      <c r="J261" s="3" t="n">
        <v>0</v>
      </c>
      <c r="K261" s="3" t="n">
        <v>0</v>
      </c>
      <c r="L261" s="3">
        <f>IF(K261&lt;-5,"CRÍTICO",IF(K261&lt;0,"ATENÇÃO",IF(K261&lt;=5,"OPORTUNO","MUITO BOM")))</f>
        <v/>
      </c>
      <c r="N261" s="9" t="n">
        <v>100</v>
      </c>
      <c r="O261" s="9" t="n">
        <v>38.26923076923077</v>
      </c>
    </row>
    <row r="262">
      <c r="A262" s="5" t="n">
        <v>46146</v>
      </c>
      <c r="B262" s="6" t="inlineStr">
        <is>
          <t>Davylla Rodrigues Freitas Silva</t>
        </is>
      </c>
      <c r="C262" s="9" t="inlineStr">
        <is>
          <t>Técnico III</t>
        </is>
      </c>
      <c r="D262" s="3" t="n">
        <v>21</v>
      </c>
      <c r="E262" s="3" t="n">
        <v>20</v>
      </c>
      <c r="F262" s="3" t="n">
        <v>21.4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IF(K262&lt;-5,"CRÍTICO",IF(K262&lt;0,"ATENÇÃO",IF(K262&lt;=5,"BOM","EXCELENTE")))</f>
        <v/>
      </c>
      <c r="M262" s="9" t="n">
        <v>25</v>
      </c>
      <c r="N262" s="9" t="n">
        <v>99.06</v>
      </c>
      <c r="O262" s="9" t="n">
        <v>22.95719844357977</v>
      </c>
    </row>
    <row r="263">
      <c r="A263" s="5" t="n">
        <v>46147</v>
      </c>
      <c r="B263" s="6" t="inlineStr">
        <is>
          <t>Davylla Rodrigues Freitas Silva</t>
        </is>
      </c>
      <c r="C263" s="9" t="inlineStr">
        <is>
          <t>Técnico III</t>
        </is>
      </c>
      <c r="D263" s="3" t="n">
        <v>27</v>
      </c>
      <c r="E263" s="3" t="n">
        <v>27</v>
      </c>
      <c r="F263" s="3" t="n">
        <v>24.15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IF(K263&lt;-5,"CRÍTICO",IF(K263&lt;0,"ATENÇÃO",IF(K263&lt;=5,"BOM","EXCELENTE")))</f>
        <v/>
      </c>
      <c r="M263" s="3" t="n">
        <v>28</v>
      </c>
      <c r="N263" s="3" t="n">
        <v>99.06</v>
      </c>
      <c r="O263" s="3" t="n">
        <v>22.95719844357977</v>
      </c>
    </row>
    <row r="264">
      <c r="A264" s="5" t="n">
        <v>46148</v>
      </c>
      <c r="B264" s="6" t="inlineStr">
        <is>
          <t>Davylla Rodrigues Freitas Silva</t>
        </is>
      </c>
      <c r="C264" s="9" t="inlineStr">
        <is>
          <t>Técnico III</t>
        </is>
      </c>
      <c r="D264" s="3" t="n">
        <v>24</v>
      </c>
      <c r="E264" s="3" t="n">
        <v>22</v>
      </c>
      <c r="F264" s="9" t="n">
        <v>17.18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>
        <f>IF(K264&lt;-5,"CRÍTICO",IF(K264&lt;0,"ATENÇÃO",IF(K264&lt;=5,"BOM","EXCELENTE")))</f>
        <v/>
      </c>
      <c r="M264" s="3" t="n">
        <v>32</v>
      </c>
      <c r="N264" s="3" t="n">
        <v>99.06</v>
      </c>
      <c r="O264" s="3" t="n">
        <v>22.95719844357977</v>
      </c>
    </row>
    <row r="265">
      <c r="A265" s="11" t="n">
        <v>46168</v>
      </c>
      <c r="B265" t="inlineStr">
        <is>
          <t>Davylla Rodrigues Freitas Silva</t>
        </is>
      </c>
      <c r="C265" t="inlineStr">
        <is>
          <t>Técnico III</t>
        </is>
      </c>
      <c r="D265" s="9" t="n">
        <v>0</v>
      </c>
      <c r="E265" s="9" t="n">
        <v>0</v>
      </c>
      <c r="F265" s="9" t="n">
        <v>0</v>
      </c>
      <c r="G265" s="9" t="n">
        <v>0</v>
      </c>
      <c r="H265" s="9" t="n">
        <v>0</v>
      </c>
      <c r="I265" s="9" t="n">
        <v>0</v>
      </c>
      <c r="J265" s="9" t="n">
        <v>0</v>
      </c>
      <c r="K265" s="9" t="n">
        <v>0</v>
      </c>
    </row>
    <row r="266">
      <c r="A266" s="11" t="n">
        <v>46140</v>
      </c>
      <c r="B266" t="inlineStr">
        <is>
          <t>Francielson de Oliveira</t>
        </is>
      </c>
      <c r="C266" t="inlineStr">
        <is>
          <t>Técnico III</t>
        </is>
      </c>
      <c r="D266" s="9" t="n">
        <v>32</v>
      </c>
      <c r="E266" s="9" t="n">
        <v>31</v>
      </c>
      <c r="F266" s="9" t="n">
        <v>18.49</v>
      </c>
      <c r="G266" s="9" t="n">
        <v>0</v>
      </c>
      <c r="H266" s="9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N266" s="9" t="n">
        <v>99.26000000000001</v>
      </c>
      <c r="O266" s="9" t="n">
        <v>29.57198443579767</v>
      </c>
    </row>
    <row r="267">
      <c r="A267" s="11" t="n">
        <v>46141</v>
      </c>
      <c r="B267" t="inlineStr">
        <is>
          <t>Francielson de Oliveira</t>
        </is>
      </c>
      <c r="C267" t="inlineStr">
        <is>
          <t>Técnico III</t>
        </is>
      </c>
      <c r="D267" s="9" t="n">
        <v>31</v>
      </c>
      <c r="E267" s="9" t="n">
        <v>29</v>
      </c>
      <c r="F267" s="9" t="n">
        <v>16.58</v>
      </c>
      <c r="G267" s="9" t="n">
        <v>0</v>
      </c>
      <c r="H267" s="9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N267" s="9" t="n">
        <v>99.26000000000001</v>
      </c>
      <c r="O267" s="9" t="n">
        <v>29.57198443579767</v>
      </c>
    </row>
    <row r="268">
      <c r="A268" s="11" t="n">
        <v>46142</v>
      </c>
      <c r="B268" t="inlineStr">
        <is>
          <t>Francielson de Oliveira</t>
        </is>
      </c>
      <c r="C268" t="inlineStr">
        <is>
          <t>Técnico III</t>
        </is>
      </c>
      <c r="D268" s="9" t="n">
        <v>29</v>
      </c>
      <c r="E268" s="9" t="n">
        <v>26</v>
      </c>
      <c r="F268" s="9" t="n">
        <v>15.07</v>
      </c>
      <c r="G268" s="9" t="n">
        <v>0</v>
      </c>
      <c r="H268" s="9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N268" s="9" t="n">
        <v>99.26000000000001</v>
      </c>
      <c r="O268" s="9" t="n">
        <v>29.57198443579767</v>
      </c>
    </row>
    <row r="269">
      <c r="A269" s="5" t="n">
        <v>46146</v>
      </c>
      <c r="B269" s="6" t="inlineStr">
        <is>
          <t>Francielson de Oliveira</t>
        </is>
      </c>
      <c r="C269" s="9" t="inlineStr">
        <is>
          <t>Técnico III</t>
        </is>
      </c>
      <c r="D269" s="3" t="n">
        <v>0</v>
      </c>
      <c r="E269" s="3" t="n">
        <v>0</v>
      </c>
      <c r="F269" s="3" t="n">
        <v>0</v>
      </c>
      <c r="G269" s="3" t="n">
        <v>0</v>
      </c>
      <c r="H269" s="3" t="n">
        <v>0</v>
      </c>
      <c r="I269" s="3" t="n">
        <v>0</v>
      </c>
      <c r="J269" s="3" t="n">
        <v>0</v>
      </c>
      <c r="K269" s="3" t="n">
        <v>0</v>
      </c>
      <c r="L269" s="3">
        <f>IF(K269&lt;-5,"CRÍTICO",IF(K269&lt;0,"ATENÇÃO",IF(K269&lt;=5,"BOM","EXCELENTE")))</f>
        <v/>
      </c>
      <c r="M269" s="9" t="n">
        <v>0</v>
      </c>
      <c r="N269" s="9" t="n">
        <v>100</v>
      </c>
      <c r="O269" s="9" t="n">
        <v>9.523809523809524</v>
      </c>
    </row>
    <row r="270">
      <c r="A270" s="5" t="n">
        <v>46147</v>
      </c>
      <c r="B270" s="6" t="inlineStr">
        <is>
          <t>Francielson de Oliveira</t>
        </is>
      </c>
      <c r="C270" s="9" t="inlineStr">
        <is>
          <t>Técnico III</t>
        </is>
      </c>
      <c r="D270" s="3" t="n">
        <v>0</v>
      </c>
      <c r="E270" s="3" t="n">
        <v>0</v>
      </c>
      <c r="F270" s="3" t="n">
        <v>0</v>
      </c>
      <c r="G270" s="3" t="n">
        <v>0</v>
      </c>
      <c r="H270" s="3" t="n">
        <v>0</v>
      </c>
      <c r="I270" s="3" t="n">
        <v>0</v>
      </c>
      <c r="J270" s="3" t="n">
        <v>0</v>
      </c>
      <c r="K270" s="3" t="n">
        <v>0</v>
      </c>
      <c r="L270" s="3">
        <f>IF(K270&lt;-5,"CRÍTICO",IF(K270&lt;0,"ATENÇÃO",IF(K270&lt;=5,"BOM","EXCELENTE")))</f>
        <v/>
      </c>
      <c r="M270" s="3" t="n">
        <v>0</v>
      </c>
      <c r="N270" s="3" t="n">
        <v>100</v>
      </c>
      <c r="O270" s="3" t="n">
        <v>9.523809523809524</v>
      </c>
    </row>
    <row r="271">
      <c r="A271" s="5" t="n">
        <v>46148</v>
      </c>
      <c r="B271" s="6" t="inlineStr">
        <is>
          <t>Francielson de Oliveira</t>
        </is>
      </c>
      <c r="C271" s="9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IF(K271&lt;-5,"CRÍTICO",IF(K271&lt;0,"ATENÇÃO",IF(K271&lt;=5,"BOM","EXCELENTE")))</f>
        <v/>
      </c>
      <c r="M271" s="3" t="n">
        <v>0</v>
      </c>
      <c r="N271" s="3" t="n">
        <v>100</v>
      </c>
      <c r="O271" s="3" t="n">
        <v>9.523809523809524</v>
      </c>
    </row>
    <row r="272">
      <c r="A272" s="11" t="n">
        <v>46168</v>
      </c>
      <c r="B272" t="inlineStr">
        <is>
          <t>Francielson de Oliveira</t>
        </is>
      </c>
      <c r="C272" t="inlineStr">
        <is>
          <t>Técnico III</t>
        </is>
      </c>
      <c r="D272" s="9" t="n">
        <v>38</v>
      </c>
      <c r="E272" s="9" t="n">
        <v>35</v>
      </c>
      <c r="F272" s="9" t="n">
        <v>12</v>
      </c>
      <c r="G272" s="9" t="n">
        <v>3</v>
      </c>
    </row>
    <row r="273">
      <c r="A273" s="11" t="n">
        <v>46140</v>
      </c>
      <c r="B273" t="inlineStr">
        <is>
          <t>Janaina Lima dos Reis Urany</t>
        </is>
      </c>
      <c r="C273" t="inlineStr">
        <is>
          <t>Técnico III</t>
        </is>
      </c>
      <c r="D273" s="9" t="n">
        <v>38</v>
      </c>
      <c r="E273" s="9" t="n">
        <v>35</v>
      </c>
      <c r="F273" s="9" t="n">
        <v>16.57</v>
      </c>
      <c r="G273" s="9" t="n">
        <v>0</v>
      </c>
      <c r="H273" s="9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N273" s="9" t="n">
        <v>99.56999999999999</v>
      </c>
      <c r="O273" s="9" t="n">
        <v>29.91329479768786</v>
      </c>
    </row>
    <row r="274">
      <c r="A274" s="11" t="n">
        <v>46141</v>
      </c>
      <c r="B274" t="inlineStr">
        <is>
          <t>Janaina Lima dos Reis Urany</t>
        </is>
      </c>
      <c r="C274" t="inlineStr">
        <is>
          <t>Técnico III</t>
        </is>
      </c>
      <c r="D274" s="9" t="n">
        <v>44</v>
      </c>
      <c r="E274" s="9" t="n">
        <v>40</v>
      </c>
      <c r="F274" s="9" t="n">
        <v>12.14</v>
      </c>
      <c r="G274" s="9" t="n">
        <v>0</v>
      </c>
      <c r="H274" s="9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N274" s="9" t="n">
        <v>99.56999999999999</v>
      </c>
      <c r="O274" s="9" t="n">
        <v>29.91329479768786</v>
      </c>
    </row>
    <row r="275">
      <c r="A275" s="11" t="n">
        <v>46142</v>
      </c>
      <c r="B275" t="inlineStr">
        <is>
          <t>Janaina Lima dos Reis Urany</t>
        </is>
      </c>
      <c r="C275" t="inlineStr">
        <is>
          <t>Técnico III</t>
        </is>
      </c>
      <c r="D275" s="9" t="n">
        <v>47</v>
      </c>
      <c r="E275" s="9" t="n">
        <v>42</v>
      </c>
      <c r="F275" s="9" t="n">
        <v>12.14</v>
      </c>
      <c r="G275" s="9" t="n">
        <v>0</v>
      </c>
      <c r="H275" s="9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N275" s="9" t="n">
        <v>99.56999999999999</v>
      </c>
      <c r="O275" s="9" t="n">
        <v>29.91329479768786</v>
      </c>
    </row>
    <row r="276">
      <c r="A276" s="5" t="n">
        <v>46146</v>
      </c>
      <c r="B276" s="6" t="inlineStr">
        <is>
          <t>Janaina Lima dos Reis Urany</t>
        </is>
      </c>
      <c r="C276" s="3" t="inlineStr">
        <is>
          <t>Técnico III</t>
        </is>
      </c>
      <c r="D276" s="3" t="n">
        <v>47</v>
      </c>
      <c r="E276" s="3" t="n">
        <v>44</v>
      </c>
      <c r="F276" s="3" t="n">
        <v>12.18</v>
      </c>
      <c r="G276" s="3" t="n">
        <v>5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s="9" t="n">
        <v>46</v>
      </c>
      <c r="N276" s="9" t="n">
        <v>98.64</v>
      </c>
      <c r="O276" s="9" t="n">
        <v>16.6383701188455</v>
      </c>
    </row>
    <row r="277">
      <c r="A277" s="5" t="n">
        <v>46147</v>
      </c>
      <c r="B277" s="6" t="inlineStr">
        <is>
          <t>Janaina Lima dos Reis Urany</t>
        </is>
      </c>
      <c r="C277" s="3" t="inlineStr">
        <is>
          <t>Técnico III</t>
        </is>
      </c>
      <c r="D277" s="3" t="n">
        <v>40</v>
      </c>
      <c r="E277" s="3" t="n">
        <v>40</v>
      </c>
      <c r="F277" s="9" t="n">
        <v>15.42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s="3" t="n">
        <v>40</v>
      </c>
      <c r="N277" s="3" t="n">
        <v>98.64</v>
      </c>
      <c r="O277" s="3" t="n">
        <v>16.6383701188455</v>
      </c>
    </row>
    <row r="278">
      <c r="A278" s="5" t="n">
        <v>46148</v>
      </c>
      <c r="B278" s="6" t="inlineStr">
        <is>
          <t>Janaina Lima dos Reis Urany</t>
        </is>
      </c>
      <c r="C278" s="3" t="inlineStr">
        <is>
          <t>Técnico III</t>
        </is>
      </c>
      <c r="D278" s="3" t="n">
        <v>52</v>
      </c>
      <c r="E278" s="3" t="n">
        <v>45</v>
      </c>
      <c r="F278" s="9" t="n">
        <v>13.59</v>
      </c>
      <c r="G278" s="3" t="n">
        <v>23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s="3" t="n">
        <v>55</v>
      </c>
      <c r="N278" s="3" t="n">
        <v>98.64</v>
      </c>
      <c r="O278" s="3" t="n">
        <v>16.6383701188455</v>
      </c>
    </row>
    <row r="279">
      <c r="A279" s="11" t="n">
        <v>46168</v>
      </c>
      <c r="B279" t="inlineStr">
        <is>
          <t>Janaina Lima dos Reis Urany</t>
        </is>
      </c>
      <c r="C279" t="inlineStr">
        <is>
          <t>Técnico III</t>
        </is>
      </c>
      <c r="D279" s="9" t="n">
        <v>38</v>
      </c>
      <c r="E279" s="9" t="n">
        <v>35</v>
      </c>
      <c r="F279" s="9" t="n">
        <v>13.38</v>
      </c>
      <c r="G279" s="9" t="n">
        <v>5</v>
      </c>
    </row>
    <row r="280">
      <c r="A280" s="11" t="n">
        <v>46140</v>
      </c>
      <c r="B280" t="inlineStr">
        <is>
          <t>Jaqueline Evangelista da Silva Martins</t>
        </is>
      </c>
      <c r="C280" t="inlineStr">
        <is>
          <t>Técnico III</t>
        </is>
      </c>
      <c r="D280" s="9" t="n">
        <v>28</v>
      </c>
      <c r="E280" s="9" t="n">
        <v>28</v>
      </c>
      <c r="F280" s="9" t="n">
        <v>14.08</v>
      </c>
      <c r="G280" s="9" t="n">
        <v>0</v>
      </c>
      <c r="H280" s="9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N280" s="9" t="n">
        <v>95.65000000000001</v>
      </c>
      <c r="O280" s="9" t="n">
        <v>31.08108108108108</v>
      </c>
    </row>
    <row r="281">
      <c r="A281" s="11" t="n">
        <v>46141</v>
      </c>
      <c r="B281" t="inlineStr">
        <is>
          <t>Jaqueline Evangelista da Silva Martins</t>
        </is>
      </c>
      <c r="C281" t="inlineStr">
        <is>
          <t>Técnico III</t>
        </is>
      </c>
      <c r="D281" s="9" t="n">
        <v>22</v>
      </c>
      <c r="E281" s="9" t="n">
        <v>20</v>
      </c>
      <c r="F281" s="9" t="n">
        <v>15.05</v>
      </c>
      <c r="G281" s="9" t="n">
        <v>0</v>
      </c>
      <c r="H281" s="9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IF(K281&lt;-5,"CRÍTICO",IF(K281&lt;0,"ATENÇÃO",IF(K281&lt;=5,"OPORTUNO","MUITO BOM")))</f>
        <v/>
      </c>
      <c r="N281" s="9" t="n">
        <v>95.65000000000001</v>
      </c>
      <c r="O281" s="9" t="n">
        <v>31.08108108108108</v>
      </c>
    </row>
    <row r="282" hidden="1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22</v>
      </c>
      <c r="N282" t="n">
        <v>95.65000000000001</v>
      </c>
      <c r="O282" t="n">
        <v>30.37974683544304</v>
      </c>
    </row>
    <row r="283">
      <c r="A283" s="11" t="n">
        <v>46142</v>
      </c>
      <c r="B283" t="inlineStr">
        <is>
          <t>Jaqueline Evangelista da Silva Martins</t>
        </is>
      </c>
      <c r="C283" t="inlineStr">
        <is>
          <t>Técnico III</t>
        </is>
      </c>
      <c r="D283" s="9" t="n">
        <v>0</v>
      </c>
      <c r="E283" s="9" t="n">
        <v>0</v>
      </c>
      <c r="F283" s="9" t="n">
        <v>0</v>
      </c>
      <c r="G283" s="9" t="n">
        <v>0</v>
      </c>
      <c r="H283" s="9" t="n">
        <v>0</v>
      </c>
      <c r="I283" s="3" t="n">
        <v>0</v>
      </c>
      <c r="J283" s="3" t="n">
        <v>0</v>
      </c>
      <c r="K283" s="3" t="n">
        <v>0</v>
      </c>
      <c r="L283" s="3">
        <f>IF(K283&lt;-5,"CRÍTICO",IF(K283&lt;0,"ATENÇÃO",IF(K283&lt;=5,"OPORTUNO","MUITO BOM")))</f>
        <v/>
      </c>
      <c r="N283" s="9" t="n">
        <v>95.65000000000001</v>
      </c>
      <c r="O283" s="9" t="n">
        <v>31.08108108108108</v>
      </c>
    </row>
    <row r="284" hidden="1">
      <c r="A284" s="5" t="n">
        <v>46149</v>
      </c>
      <c r="B284" s="6" t="inlineStr">
        <is>
          <t>Amanda Moura Ferreira</t>
        </is>
      </c>
      <c r="C284" s="3" t="inlineStr">
        <is>
          <t>Técnico III</t>
        </is>
      </c>
      <c r="D284" s="3" t="n">
        <v>0</v>
      </c>
      <c r="E284" s="3" t="n">
        <v>0</v>
      </c>
      <c r="F284" s="3" t="n">
        <v>0</v>
      </c>
      <c r="G284" s="3" t="n">
        <v>0</v>
      </c>
      <c r="H284" s="3" t="n">
        <v>0</v>
      </c>
      <c r="I284" s="3" t="n">
        <v>0</v>
      </c>
      <c r="J284" s="3" t="n">
        <v>0</v>
      </c>
      <c r="K284" s="3" t="n">
        <v>0</v>
      </c>
      <c r="L284" s="3">
        <f>IF(K284&lt;-5,"CRÍTICO",IF(K284&lt;0,"ATENÇÃO",IF(K284&lt;=5,"BOM","EXCELENTE")))</f>
        <v/>
      </c>
      <c r="M284" s="9" t="n">
        <v>0</v>
      </c>
      <c r="N284" s="9" t="n">
        <v>100</v>
      </c>
      <c r="O284" s="9" t="n">
        <v>0</v>
      </c>
    </row>
    <row r="285" hidden="1">
      <c r="A285" s="5" t="n">
        <v>46149</v>
      </c>
      <c r="B285" s="6" t="inlineStr">
        <is>
          <t>Ana Paula Da Luz Silva Aleixo</t>
        </is>
      </c>
      <c r="C285" s="9" t="inlineStr">
        <is>
          <t>Técnico III</t>
        </is>
      </c>
      <c r="D285" s="3" t="n">
        <v>32</v>
      </c>
      <c r="E285" s="3" t="n">
        <v>32</v>
      </c>
      <c r="F285" t="n">
        <v>17.26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s="3" t="n">
        <v>33</v>
      </c>
      <c r="N285" s="3" t="n">
        <v>96.34</v>
      </c>
      <c r="O285" s="3" t="n">
        <v>17.57188498402556</v>
      </c>
    </row>
    <row r="286" hidden="1">
      <c r="A286" s="5" t="n">
        <v>46149</v>
      </c>
      <c r="B286" s="6" t="inlineStr">
        <is>
          <t>Cristiane Ramos da Silva Rocha</t>
        </is>
      </c>
      <c r="C286" s="3" t="inlineStr">
        <is>
          <t>Técnico III</t>
        </is>
      </c>
      <c r="D286" s="3" t="n">
        <v>47</v>
      </c>
      <c r="E286" s="3" t="n">
        <v>44</v>
      </c>
      <c r="F286" t="n">
        <v>11.45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s="3" t="n">
        <v>38</v>
      </c>
      <c r="N286" s="3" t="n">
        <v>91.84999999999999</v>
      </c>
      <c r="O286" s="3" t="n">
        <v>20.87155963302752</v>
      </c>
    </row>
    <row r="287" hidden="1">
      <c r="A287" s="5" t="n">
        <v>46149</v>
      </c>
      <c r="B287" s="6" t="inlineStr">
        <is>
          <t>Davylla Rodrigues Freitas Silva</t>
        </is>
      </c>
      <c r="C287" s="9" t="inlineStr">
        <is>
          <t>Técnico III</t>
        </is>
      </c>
      <c r="D287" s="3" t="n">
        <v>31</v>
      </c>
      <c r="E287" s="3" t="n">
        <v>30</v>
      </c>
      <c r="F287" t="n">
        <v>21.48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3" t="n">
        <v>29</v>
      </c>
      <c r="N287" s="3" t="n">
        <v>99.06</v>
      </c>
      <c r="O287" s="3" t="n">
        <v>22.95719844357977</v>
      </c>
    </row>
    <row r="288" hidden="1">
      <c r="A288" s="5" t="n">
        <v>46149</v>
      </c>
      <c r="B288" s="6" t="inlineStr">
        <is>
          <t>Francielson de Oliveira</t>
        </is>
      </c>
      <c r="C288" s="9" t="inlineStr">
        <is>
          <t>Técnico III</t>
        </is>
      </c>
      <c r="D288" s="3" t="n">
        <v>0</v>
      </c>
      <c r="E288" s="3" t="n">
        <v>0</v>
      </c>
      <c r="F288" s="3" t="n">
        <v>0</v>
      </c>
      <c r="G288" s="3" t="n">
        <v>0</v>
      </c>
      <c r="H288" s="3" t="n">
        <v>0</v>
      </c>
      <c r="I288" s="3" t="n">
        <v>0</v>
      </c>
      <c r="J288" s="3" t="n">
        <v>0</v>
      </c>
      <c r="K288" s="3" t="n">
        <v>0</v>
      </c>
      <c r="L288" s="3">
        <f>IF(K288&lt;-5,"CRÍTICO",IF(K288&lt;0,"ATENÇÃO",IF(K288&lt;=5,"BOM","EXCELENTE")))</f>
        <v/>
      </c>
      <c r="M288" s="3" t="n">
        <v>0</v>
      </c>
      <c r="N288" s="3" t="n">
        <v>100</v>
      </c>
      <c r="O288" s="3" t="n">
        <v>9.523809523809524</v>
      </c>
    </row>
    <row r="289" hidden="1">
      <c r="A289" s="5" t="n">
        <v>46149</v>
      </c>
      <c r="B289" s="6" t="inlineStr">
        <is>
          <t>Janaina Lima dos Reis Urany</t>
        </is>
      </c>
      <c r="C289" s="3" t="inlineStr">
        <is>
          <t>Técnico III</t>
        </is>
      </c>
      <c r="D289" s="3" t="n">
        <v>56</v>
      </c>
      <c r="E289" s="3" t="n">
        <v>51</v>
      </c>
      <c r="F289" t="n">
        <v>13.48</v>
      </c>
      <c r="G289" s="3" t="n">
        <v>9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s="3" t="n">
        <v>49</v>
      </c>
      <c r="N289" s="3" t="n">
        <v>98.64</v>
      </c>
      <c r="O289" s="3" t="n">
        <v>16.6383701188455</v>
      </c>
    </row>
    <row r="290" hidden="1">
      <c r="A290" s="5" t="n">
        <v>46149</v>
      </c>
      <c r="B290" s="6" t="inlineStr">
        <is>
          <t>Jaqueline Evangelista da Silva Martins</t>
        </is>
      </c>
      <c r="C290" s="3" t="inlineStr">
        <is>
          <t>Técnico III</t>
        </is>
      </c>
      <c r="D290" s="3" t="n">
        <v>48</v>
      </c>
      <c r="E290" s="3" t="n">
        <v>39</v>
      </c>
      <c r="F290" t="n">
        <v>10.43</v>
      </c>
      <c r="G290" s="3" t="n">
        <v>6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s="3" t="n">
        <v>41</v>
      </c>
      <c r="N290" s="3" t="n">
        <v>95.40000000000001</v>
      </c>
      <c r="O290" s="3" t="n">
        <v>20.53333333333333</v>
      </c>
    </row>
    <row r="291" hidden="1">
      <c r="A291" s="5" t="n">
        <v>46149</v>
      </c>
      <c r="B291" s="6" t="inlineStr">
        <is>
          <t>Jéssica Fé Moura</t>
        </is>
      </c>
      <c r="C291" s="3" t="inlineStr">
        <is>
          <t>Técnico III</t>
        </is>
      </c>
      <c r="D291" s="3" t="n">
        <v>0</v>
      </c>
      <c r="E291" s="3" t="n">
        <v>0</v>
      </c>
      <c r="F291" s="3" t="n">
        <v>0</v>
      </c>
      <c r="G291" s="3" t="n">
        <v>0</v>
      </c>
      <c r="H291" s="3" t="n">
        <v>0</v>
      </c>
      <c r="I291" s="3" t="n">
        <v>0</v>
      </c>
      <c r="J291" s="3" t="n">
        <v>0</v>
      </c>
      <c r="K291" s="3" t="n">
        <v>0</v>
      </c>
      <c r="L291" s="3">
        <f>IF(K291&lt;-5,"CRÍTICO",IF(K291&lt;0,"ATENÇÃO",IF(K291&lt;=5,"BOM","EXCELENTE")))</f>
        <v/>
      </c>
      <c r="M291" s="3" t="n">
        <v>0</v>
      </c>
      <c r="N291" s="3" t="n">
        <v>0</v>
      </c>
      <c r="O291" s="3" t="n">
        <v>0</v>
      </c>
    </row>
    <row r="292" hidden="1">
      <c r="A292" s="5" t="n">
        <v>46149</v>
      </c>
      <c r="B292" s="6" t="inlineStr">
        <is>
          <t>Kerollen Cristielly de Jesus Siqueira</t>
        </is>
      </c>
      <c r="C292" s="9" t="inlineStr">
        <is>
          <t>Técnico III</t>
        </is>
      </c>
      <c r="D292" s="3" t="n">
        <v>20</v>
      </c>
      <c r="E292" s="3" t="n">
        <v>19</v>
      </c>
      <c r="F292" t="n">
        <v>20.33</v>
      </c>
      <c r="G292" s="3" t="n">
        <v>4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s="3" t="n">
        <v>23</v>
      </c>
      <c r="N292" s="3" t="n">
        <v>95.52</v>
      </c>
      <c r="O292" s="3" t="n">
        <v>10.56105610561056</v>
      </c>
    </row>
    <row r="293" hidden="1">
      <c r="A293" s="5" t="n">
        <v>46149</v>
      </c>
      <c r="B293" s="6" t="inlineStr">
        <is>
          <t>Leandro Oliveira de Sousa</t>
        </is>
      </c>
      <c r="C293" s="9" t="inlineStr">
        <is>
          <t>Técnico III</t>
        </is>
      </c>
      <c r="D293" s="3" t="n">
        <v>25</v>
      </c>
      <c r="E293" s="3" t="n">
        <v>23</v>
      </c>
      <c r="F293" t="n">
        <v>20.42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s="3" t="n">
        <v>25</v>
      </c>
      <c r="N293" s="3" t="n">
        <v>100</v>
      </c>
      <c r="O293" s="3" t="n">
        <v>15.58441558441558</v>
      </c>
    </row>
    <row r="294" hidden="1">
      <c r="A294" s="5" t="n">
        <v>46149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3" t="n">
        <v>0</v>
      </c>
      <c r="N294" s="3" t="n">
        <v>100</v>
      </c>
      <c r="O294" s="3" t="n">
        <v>4.347826086956522</v>
      </c>
    </row>
    <row r="295" hidden="1">
      <c r="A295" s="5" t="n">
        <v>46149</v>
      </c>
      <c r="B295" s="6" t="inlineStr">
        <is>
          <t>Matheus Farias De Souza</t>
        </is>
      </c>
      <c r="C295" s="3" t="inlineStr">
        <is>
          <t>Técnico III</t>
        </is>
      </c>
      <c r="D295" s="3" t="n">
        <v>15</v>
      </c>
      <c r="E295" s="3" t="n">
        <v>14</v>
      </c>
      <c r="F295" t="n">
        <v>9.02</v>
      </c>
      <c r="G295" s="3" t="n">
        <v>0</v>
      </c>
      <c r="H295" s="3" t="n">
        <v>32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s="3" t="n">
        <v>35</v>
      </c>
      <c r="N295" s="3" t="n">
        <v>98.28</v>
      </c>
      <c r="O295" s="3" t="n">
        <v>9.037900874635568</v>
      </c>
    </row>
    <row r="296" hidden="1">
      <c r="A296" s="5" t="n">
        <v>46149</v>
      </c>
      <c r="B296" s="6" t="inlineStr">
        <is>
          <t>Maysa Victoria Dias Moura</t>
        </is>
      </c>
      <c r="C296" s="3" t="inlineStr">
        <is>
          <t>Técnico III</t>
        </is>
      </c>
      <c r="D296" s="3" t="n">
        <v>26</v>
      </c>
      <c r="E296" s="3" t="n">
        <v>23</v>
      </c>
      <c r="F296" t="n">
        <v>15.28</v>
      </c>
      <c r="G296" s="3" t="n">
        <v>6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s="3" t="n">
        <v>26</v>
      </c>
      <c r="N296" s="3" t="n">
        <v>97.22</v>
      </c>
      <c r="O296" s="3" t="n">
        <v>19.09547738693467</v>
      </c>
    </row>
    <row r="297" hidden="1">
      <c r="A297" s="5" t="n">
        <v>46149</v>
      </c>
      <c r="B297" s="6" t="inlineStr">
        <is>
          <t>Rafael Gomes de Morais</t>
        </is>
      </c>
      <c r="C297" s="3" t="inlineStr">
        <is>
          <t>Técnico III</t>
        </is>
      </c>
      <c r="D297" s="3" t="n">
        <v>35</v>
      </c>
      <c r="E297" s="3" t="n">
        <v>30</v>
      </c>
      <c r="F297" t="n">
        <v>13.33</v>
      </c>
      <c r="G297" s="3" t="n">
        <v>8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s="3" t="n">
        <v>37</v>
      </c>
      <c r="N297" s="3" t="n">
        <v>99.29000000000001</v>
      </c>
      <c r="O297" s="3" t="n">
        <v>22.49443207126949</v>
      </c>
    </row>
    <row r="298" hidden="1">
      <c r="A298" s="5" t="n">
        <v>46149</v>
      </c>
      <c r="B298" s="6" t="inlineStr">
        <is>
          <t>Sarah Steffanie de Lima Borges</t>
        </is>
      </c>
      <c r="C298" s="3" t="inlineStr">
        <is>
          <t>Técnico III</t>
        </is>
      </c>
      <c r="D298" s="3" t="n">
        <v>34</v>
      </c>
      <c r="E298" s="3" t="n">
        <v>31</v>
      </c>
      <c r="F298" t="n">
        <v>15.09</v>
      </c>
      <c r="G298" s="3" t="n">
        <v>1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s="3" t="n">
        <v>28</v>
      </c>
      <c r="N298" s="3" t="n">
        <v>97.33</v>
      </c>
      <c r="O298" s="3" t="n">
        <v>15.80547112462006</v>
      </c>
    </row>
    <row r="299" hidden="1">
      <c r="A299" s="5" t="n">
        <v>46150</v>
      </c>
      <c r="B299" s="6" t="inlineStr">
        <is>
          <t>Amanda Moura Ferreira</t>
        </is>
      </c>
      <c r="C299" s="3" t="inlineStr">
        <is>
          <t>Técnico III</t>
        </is>
      </c>
      <c r="D299" s="3" t="n">
        <v>0</v>
      </c>
      <c r="E299" s="3" t="n">
        <v>0</v>
      </c>
      <c r="F299" s="3" t="n">
        <v>0</v>
      </c>
      <c r="G299" s="3" t="n">
        <v>0</v>
      </c>
      <c r="H299" s="3" t="n">
        <v>0</v>
      </c>
      <c r="I299" s="3" t="n">
        <v>0</v>
      </c>
      <c r="J299" s="3" t="n">
        <v>0</v>
      </c>
      <c r="K299" s="3" t="n">
        <v>0</v>
      </c>
      <c r="L299" s="3">
        <f>IF(K299&lt;-5,"CRÍTICO",IF(K299&lt;0,"ATENÇÃO",IF(K299&lt;=5,"BOM","EXCELENTE")))</f>
        <v/>
      </c>
      <c r="M299" s="9" t="n">
        <v>0</v>
      </c>
      <c r="N299" s="9" t="n">
        <v>100</v>
      </c>
      <c r="O299" s="9" t="n">
        <v>0</v>
      </c>
    </row>
    <row r="300" hidden="1">
      <c r="A300" s="5" t="n">
        <v>46150</v>
      </c>
      <c r="B300" s="6" t="inlineStr">
        <is>
          <t>Ana Paula Da Luz Silva Aleixo</t>
        </is>
      </c>
      <c r="C300" s="9" t="inlineStr">
        <is>
          <t>Técnico III</t>
        </is>
      </c>
      <c r="D300" s="3" t="n">
        <v>22</v>
      </c>
      <c r="E300" s="3" t="n">
        <v>21</v>
      </c>
      <c r="F300" t="n">
        <v>16.5</v>
      </c>
      <c r="G300" s="3" t="n">
        <v>3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20</v>
      </c>
      <c r="N300" t="n">
        <v>96.34</v>
      </c>
      <c r="O300" t="n">
        <v>17.57188498402556</v>
      </c>
    </row>
    <row r="301" hidden="1">
      <c r="A301" s="5" t="n">
        <v>46150</v>
      </c>
      <c r="B301" s="6" t="inlineStr">
        <is>
          <t>Cristiane Ramos da Silva Rocha</t>
        </is>
      </c>
      <c r="C301" s="3" t="inlineStr">
        <is>
          <t>Técnico III</t>
        </is>
      </c>
      <c r="D301" s="3" t="n">
        <v>27</v>
      </c>
      <c r="E301" s="3" t="n">
        <v>26</v>
      </c>
      <c r="F301" t="n">
        <v>17.37</v>
      </c>
      <c r="G301" s="3" t="n">
        <v>0</v>
      </c>
      <c r="H301" s="3" t="n">
        <v>0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91.84999999999999</v>
      </c>
      <c r="O301" t="n">
        <v>20.87155963302752</v>
      </c>
    </row>
    <row r="302" hidden="1">
      <c r="A302" s="5" t="n">
        <v>46150</v>
      </c>
      <c r="B302" s="6" t="inlineStr">
        <is>
          <t>Davylla Rodrigues Freitas Silva</t>
        </is>
      </c>
      <c r="C302" s="9" t="inlineStr">
        <is>
          <t>Técnico III</t>
        </is>
      </c>
      <c r="D302" s="3" t="n">
        <v>17</v>
      </c>
      <c r="E302" s="3" t="n">
        <v>17</v>
      </c>
      <c r="F302" t="n">
        <v>25.05</v>
      </c>
      <c r="G302" s="3" t="n">
        <v>0</v>
      </c>
      <c r="H302" s="3" t="n">
        <v>0</v>
      </c>
      <c r="I302" s="3" t="n">
        <v>0</v>
      </c>
      <c r="J302" s="3" t="n">
        <v>0</v>
      </c>
      <c r="K302" s="3" t="n">
        <v>0</v>
      </c>
      <c r="L302" s="3">
        <f>IF(K302&lt;-5,"CRÍTICO",IF(K302&lt;0,"ATENÇÃO",IF(K302&lt;=5,"BOM","EXCELENTE")))</f>
        <v/>
      </c>
      <c r="M302" t="n">
        <v>22</v>
      </c>
      <c r="N302" t="n">
        <v>99.06</v>
      </c>
      <c r="O302" t="n">
        <v>22.95719844357977</v>
      </c>
    </row>
    <row r="303" hidden="1">
      <c r="A303" s="5" t="n">
        <v>46150</v>
      </c>
      <c r="B303" s="6" t="inlineStr">
        <is>
          <t>Francielson de Oliveira</t>
        </is>
      </c>
      <c r="C303" s="9" t="inlineStr">
        <is>
          <t>Técnico III</t>
        </is>
      </c>
      <c r="D303" s="3" t="n">
        <v>0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>
        <f>IF(K303&lt;-5,"CRÍTICO",IF(K303&lt;0,"ATENÇÃO",IF(K303&lt;=5,"BOM","EXCELENTE")))</f>
        <v/>
      </c>
      <c r="M303" s="9" t="n">
        <v>0</v>
      </c>
      <c r="N303" s="9" t="n">
        <v>100</v>
      </c>
      <c r="O303" s="9" t="n">
        <v>9.523809523809524</v>
      </c>
    </row>
    <row r="304" hidden="1">
      <c r="A304" s="5" t="n">
        <v>46150</v>
      </c>
      <c r="B304" s="6" t="inlineStr">
        <is>
          <t>Janaina Lima dos Reis Urany</t>
        </is>
      </c>
      <c r="C304" s="3" t="inlineStr">
        <is>
          <t>Técnico III</t>
        </is>
      </c>
      <c r="D304" s="3" t="n">
        <v>41</v>
      </c>
      <c r="E304" s="3" t="n">
        <v>37</v>
      </c>
      <c r="F304" t="n">
        <v>14.1</v>
      </c>
      <c r="G304" s="3" t="n">
        <v>8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41</v>
      </c>
      <c r="N304" t="n">
        <v>98.64</v>
      </c>
      <c r="O304" t="n">
        <v>16.6383701188455</v>
      </c>
    </row>
    <row r="305" hidden="1">
      <c r="A305" s="5" t="n">
        <v>46150</v>
      </c>
      <c r="B305" s="6" t="inlineStr">
        <is>
          <t>Jaqueline Evangelista da Silva Martins</t>
        </is>
      </c>
      <c r="C305" s="3" t="inlineStr">
        <is>
          <t>Técnico III</t>
        </is>
      </c>
      <c r="D305" s="3" t="n">
        <v>20</v>
      </c>
      <c r="E305" s="3" t="n">
        <v>19</v>
      </c>
      <c r="F305" t="n">
        <v>12.31</v>
      </c>
      <c r="G305" s="3" t="n">
        <v>5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21</v>
      </c>
      <c r="N305" t="n">
        <v>95.40000000000001</v>
      </c>
      <c r="O305" t="n">
        <v>20.53333333333333</v>
      </c>
    </row>
    <row r="306" hidden="1">
      <c r="A306" s="5" t="n">
        <v>46150</v>
      </c>
      <c r="B306" s="6" t="inlineStr">
        <is>
          <t>Jéssica Fé Moura</t>
        </is>
      </c>
      <c r="C306" s="3" t="inlineStr">
        <is>
          <t>Técnico III</t>
        </is>
      </c>
      <c r="D306" s="3" t="n">
        <v>0</v>
      </c>
      <c r="E306" s="3" t="n">
        <v>0</v>
      </c>
      <c r="F306" s="3" t="n">
        <v>0</v>
      </c>
      <c r="G306" s="3" t="n">
        <v>0</v>
      </c>
      <c r="H306" s="3" t="n">
        <v>0</v>
      </c>
      <c r="I306" s="3" t="n">
        <v>0</v>
      </c>
      <c r="J306" s="3" t="n">
        <v>0</v>
      </c>
      <c r="K306" s="3" t="n">
        <v>0</v>
      </c>
      <c r="L306" s="3">
        <f>IF(K306&lt;-5,"CRÍTICO",IF(K306&lt;0,"ATENÇÃO",IF(K306&lt;=5,"BOM","EXCELENTE")))</f>
        <v/>
      </c>
      <c r="M306" s="9" t="n">
        <v>0</v>
      </c>
      <c r="N306" s="9" t="n">
        <v>0</v>
      </c>
      <c r="O306" s="9" t="n">
        <v>0</v>
      </c>
    </row>
    <row r="307" hidden="1">
      <c r="A307" s="5" t="n">
        <v>46150</v>
      </c>
      <c r="B307" s="6" t="inlineStr">
        <is>
          <t>Kerollen Cristielly de Jesus Siqueira</t>
        </is>
      </c>
      <c r="C307" s="9" t="inlineStr">
        <is>
          <t>Técnico III</t>
        </is>
      </c>
      <c r="D307" s="3" t="n">
        <v>4</v>
      </c>
      <c r="E307" s="3" t="n">
        <v>4</v>
      </c>
      <c r="F307" t="n">
        <v>30.5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4</v>
      </c>
      <c r="N307" t="n">
        <v>95.52</v>
      </c>
      <c r="O307" t="n">
        <v>10.56105610561056</v>
      </c>
    </row>
    <row r="308" hidden="1">
      <c r="A308" s="5" t="n">
        <v>46150</v>
      </c>
      <c r="B308" s="6" t="inlineStr">
        <is>
          <t>Leandro Oliveira de Sousa</t>
        </is>
      </c>
      <c r="C308" s="9" t="inlineStr">
        <is>
          <t>Técnico III</t>
        </is>
      </c>
      <c r="D308" s="3" t="n">
        <v>29</v>
      </c>
      <c r="E308" s="3" t="n">
        <v>28</v>
      </c>
      <c r="F308" t="n">
        <v>22.03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24</v>
      </c>
      <c r="N308" t="n">
        <v>100</v>
      </c>
      <c r="O308" t="n">
        <v>15.58441558441558</v>
      </c>
    </row>
    <row r="309" hidden="1">
      <c r="A309" s="5" t="n">
        <v>46150</v>
      </c>
      <c r="B309" s="6" t="inlineStr">
        <is>
          <t>Lucas Luiz Romero</t>
        </is>
      </c>
      <c r="C309" s="3" t="inlineStr">
        <is>
          <t>Técnico III</t>
        </is>
      </c>
      <c r="D309" s="3" t="n">
        <v>0</v>
      </c>
      <c r="E309" s="3" t="n">
        <v>0</v>
      </c>
      <c r="F309" s="3" t="n">
        <v>0</v>
      </c>
      <c r="G309" s="3" t="n">
        <v>0</v>
      </c>
      <c r="H309" s="3" t="n">
        <v>0</v>
      </c>
      <c r="I309" s="3" t="n">
        <v>0</v>
      </c>
      <c r="J309" s="3" t="n">
        <v>0</v>
      </c>
      <c r="K309" s="3" t="n">
        <v>0</v>
      </c>
      <c r="L309" s="3">
        <f>IF(K309&lt;-5,"CRÍTICO",IF(K309&lt;0,"ATENÇÃO",IF(K309&lt;=5,"BOM","EXCELENTE")))</f>
        <v/>
      </c>
      <c r="M309" s="9" t="n">
        <v>0</v>
      </c>
      <c r="N309" s="9" t="n">
        <v>100</v>
      </c>
      <c r="O309" s="9" t="n">
        <v>4.347826086956522</v>
      </c>
    </row>
    <row r="310" hidden="1">
      <c r="A310" s="5" t="n">
        <v>46150</v>
      </c>
      <c r="B310" s="6" t="inlineStr">
        <is>
          <t>Matheus Farias De Souza</t>
        </is>
      </c>
      <c r="C310" s="3" t="inlineStr">
        <is>
          <t>Técnico III</t>
        </is>
      </c>
      <c r="D310" s="3" t="n">
        <v>0</v>
      </c>
      <c r="E310" s="3" t="n">
        <v>0</v>
      </c>
      <c r="F310" t="n">
        <v>0</v>
      </c>
      <c r="G310" s="3" t="n">
        <v>0</v>
      </c>
      <c r="H310" s="3" t="n">
        <v>31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21</v>
      </c>
      <c r="N310" t="n">
        <v>98.28</v>
      </c>
      <c r="O310" t="n">
        <v>9.037900874635568</v>
      </c>
    </row>
    <row r="311" hidden="1">
      <c r="A311" s="5" t="n">
        <v>46150</v>
      </c>
      <c r="B311" s="6" t="inlineStr">
        <is>
          <t>Maysa Victoria Dias Moura</t>
        </is>
      </c>
      <c r="C311" s="3" t="inlineStr">
        <is>
          <t>Técnico III</t>
        </is>
      </c>
      <c r="D311" s="3" t="n">
        <v>30</v>
      </c>
      <c r="E311" s="3" t="n">
        <v>28</v>
      </c>
      <c r="F311" t="n">
        <v>13.33</v>
      </c>
      <c r="G311" s="3" t="n">
        <v>1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t="n">
        <v>23</v>
      </c>
      <c r="N311" t="n">
        <v>97.22</v>
      </c>
      <c r="O311" t="n">
        <v>19.09547738693467</v>
      </c>
    </row>
    <row r="312" hidden="1">
      <c r="A312" s="5" t="n">
        <v>46150</v>
      </c>
      <c r="B312" s="6" t="inlineStr">
        <is>
          <t>Rafael Gomes de Morais</t>
        </is>
      </c>
      <c r="C312" s="3" t="inlineStr">
        <is>
          <t>Técnico III</t>
        </is>
      </c>
      <c r="D312" s="3" t="n">
        <v>44</v>
      </c>
      <c r="E312" s="3" t="n">
        <v>38</v>
      </c>
      <c r="F312" t="n">
        <v>10.22</v>
      </c>
      <c r="G312" s="3" t="n">
        <v>0</v>
      </c>
      <c r="H312" s="3" t="n">
        <v>0</v>
      </c>
      <c r="I312" s="3">
        <f>E312+G312+H312</f>
        <v/>
      </c>
      <c r="J312" s="3">
        <f>ROUND(MIN(IF(C312="Técnico III",35,IF(C312="Técnico II",28,IF(C312="Técnico I",23,IF(C312="JR",20,IF(C312="Estágio",10,0))))),IF(C312="Técnico III",SUMIFS($D:$D,$A:$A,$A312,$B:$B,"&lt;&gt;Patrícia Karla de Sousa Araújo",$B:$B,"&lt;&gt;Lorena Dias de Araujo",$B:$B,"&lt;&gt;Lucas Luiz Romero")*(35/1083),IF(C312="Técnico II",SUMIFS($D:$D,$A:$A,$A312,$B:$B,"&lt;&gt;Patrícia Karla de Sousa Araújo",$B:$B,"&lt;&gt;Lorena Dias de Araujo",$B:$B,"&lt;&gt;Lucas Luiz Romero")*(28/1083),IF(C312="Técnico I",SUMIFS($D:$D,$A:$A,$A312,$B:$B,"&lt;&gt;Patrícia Karla de Sousa Araújo",$B:$B,"&lt;&gt;Lorena Dias de Araujo",$B:$B,"&lt;&gt;Lucas Luiz Romero")*(23/1083),IF(C312="JR",SUMIFS($D:$D,$A:$A,$A312,$B:$B,"&lt;&gt;Patrícia Karla de Sousa Araújo",$B:$B,"&lt;&gt;Lorena Dias de Araujo",$B:$B,"&lt;&gt;Lucas Luiz Romero")*(20/1083),IF(C312="Estágio",SUMIFS($D:$D,$A:$A,$A312,$B:$B,"&lt;&gt;Patrícia Karla de Sousa Araújo",$B:$B,"&lt;&gt;Lorena Dias de Araujo",$B:$B,"&lt;&gt;Lucas Luiz Romero")*(10/1083),0)))))),0)</f>
        <v/>
      </c>
      <c r="K312" s="3">
        <f>I312-J312</f>
        <v/>
      </c>
      <c r="L312" s="3">
        <f>IF(K312&lt;-5,"CRÍTICO",IF(K312&lt;0,"ATENÇÃO",IF(K312&lt;=5,"BOM","EXCELENTE")))</f>
        <v/>
      </c>
      <c r="M312" t="n">
        <v>26</v>
      </c>
      <c r="N312" t="n">
        <v>99.29000000000001</v>
      </c>
      <c r="O312" t="n">
        <v>22.49443207126949</v>
      </c>
    </row>
    <row r="313" hidden="1">
      <c r="A313" s="5" t="n">
        <v>46150</v>
      </c>
      <c r="B313" s="6" t="inlineStr">
        <is>
          <t>Sarah Steffanie de Lima Borges</t>
        </is>
      </c>
      <c r="C313" s="3" t="inlineStr">
        <is>
          <t>Técnico III</t>
        </is>
      </c>
      <c r="D313" s="3" t="n">
        <v>22</v>
      </c>
      <c r="E313" s="3" t="n">
        <v>21</v>
      </c>
      <c r="F313" t="n">
        <v>14.04</v>
      </c>
      <c r="G313" s="3" t="n">
        <v>5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t="n">
        <v>25</v>
      </c>
      <c r="N313" t="n">
        <v>97.33</v>
      </c>
      <c r="O313" t="n">
        <v>15.80547112462006</v>
      </c>
    </row>
    <row r="314" hidden="1">
      <c r="A314" s="5" t="n">
        <v>46153</v>
      </c>
      <c r="B314" s="6" t="inlineStr">
        <is>
          <t>Amanda Moura Ferreira</t>
        </is>
      </c>
      <c r="C314" s="3" t="inlineStr">
        <is>
          <t>Técnico III</t>
        </is>
      </c>
      <c r="D314" s="3" t="n">
        <v>0</v>
      </c>
      <c r="E314" s="3" t="n">
        <v>0</v>
      </c>
      <c r="F314" s="3" t="n">
        <v>0</v>
      </c>
      <c r="G314" s="3" t="n">
        <v>0</v>
      </c>
      <c r="H314" s="3" t="n">
        <v>0</v>
      </c>
      <c r="I314" s="3" t="n">
        <v>0</v>
      </c>
      <c r="J314" s="3" t="n">
        <v>0</v>
      </c>
      <c r="K314" s="3" t="n">
        <v>0</v>
      </c>
      <c r="L314" s="3">
        <f>IF(K314&lt;-5,"CRÍTICO",IF(K314&lt;0,"ATENÇÃO",IF(K314&lt;=5,"BOM","EXCELENTE")))</f>
        <v/>
      </c>
      <c r="M314" s="9" t="n">
        <v>0</v>
      </c>
      <c r="N314" s="9" t="n">
        <v>100</v>
      </c>
      <c r="O314" s="9" t="n">
        <v>0</v>
      </c>
    </row>
    <row r="315" hidden="1">
      <c r="A315" s="5" t="n">
        <v>46153</v>
      </c>
      <c r="B315" s="6" t="inlineStr">
        <is>
          <t>Ana Paula Da Luz Silva Aleixo</t>
        </is>
      </c>
      <c r="C315" s="9" t="inlineStr">
        <is>
          <t>Técnico III</t>
        </is>
      </c>
      <c r="D315" s="3" t="n">
        <v>18</v>
      </c>
      <c r="E315" s="3" t="n">
        <v>16</v>
      </c>
      <c r="F315" t="n">
        <v>23.31</v>
      </c>
      <c r="G315" s="3" t="n">
        <v>0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13</v>
      </c>
      <c r="N315" t="n">
        <v>96.34</v>
      </c>
      <c r="O315" t="n">
        <v>17.57188498402556</v>
      </c>
    </row>
    <row r="316" hidden="1">
      <c r="A316" s="5" t="n">
        <v>46153</v>
      </c>
      <c r="B316" s="6" t="inlineStr">
        <is>
          <t>Cristiane Ramos da Silva Rocha</t>
        </is>
      </c>
      <c r="C316" s="3" t="inlineStr">
        <is>
          <t>Técnico III</t>
        </is>
      </c>
      <c r="D316" s="3" t="n">
        <v>35</v>
      </c>
      <c r="E316" s="3" t="n">
        <v>35</v>
      </c>
      <c r="F316" t="n">
        <v>12.1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31</v>
      </c>
      <c r="N316" t="n">
        <v>91.84999999999999</v>
      </c>
      <c r="O316" t="n">
        <v>20.87155963302752</v>
      </c>
    </row>
    <row r="317" hidden="1">
      <c r="A317" s="5" t="n">
        <v>46153</v>
      </c>
      <c r="B317" s="6" t="inlineStr">
        <is>
          <t>Davylla Rodrigues Freitas Silva</t>
        </is>
      </c>
      <c r="C317" s="9" t="inlineStr">
        <is>
          <t>Técnico III</t>
        </is>
      </c>
      <c r="D317" s="3" t="n">
        <v>25</v>
      </c>
      <c r="E317" s="3" t="n">
        <v>25</v>
      </c>
      <c r="F317" t="n">
        <v>29.18</v>
      </c>
      <c r="G317" s="3" t="n">
        <v>0</v>
      </c>
      <c r="H317" s="3" t="n">
        <v>0</v>
      </c>
      <c r="I317" s="3" t="n">
        <v>0</v>
      </c>
      <c r="J317" s="3" t="n">
        <v>0</v>
      </c>
      <c r="K317" s="3" t="n">
        <v>0</v>
      </c>
      <c r="L317" s="3">
        <f>IF(K317&lt;-5,"CRÍTICO",IF(K317&lt;0,"ATENÇÃO",IF(K317&lt;=5,"BOM","EXCELENTE")))</f>
        <v/>
      </c>
      <c r="M317" t="n">
        <v>25</v>
      </c>
      <c r="N317" t="n">
        <v>99.06</v>
      </c>
      <c r="O317" t="n">
        <v>22.95719844357977</v>
      </c>
    </row>
    <row r="318" hidden="1">
      <c r="A318" s="5" t="n">
        <v>46153</v>
      </c>
      <c r="B318" s="6" t="inlineStr">
        <is>
          <t>Francielson de Oliveira</t>
        </is>
      </c>
      <c r="C318" s="9" t="inlineStr">
        <is>
          <t>Técnico III</t>
        </is>
      </c>
      <c r="D318" s="3" t="n">
        <v>0</v>
      </c>
      <c r="E318" s="3" t="n">
        <v>0</v>
      </c>
      <c r="F318" s="3" t="n">
        <v>0</v>
      </c>
      <c r="G318" s="3" t="n">
        <v>0</v>
      </c>
      <c r="H318" s="3" t="n">
        <v>0</v>
      </c>
      <c r="I318" s="3" t="n">
        <v>0</v>
      </c>
      <c r="J318" s="3" t="n">
        <v>0</v>
      </c>
      <c r="K318" s="3" t="n">
        <v>0</v>
      </c>
      <c r="L318" s="3">
        <f>IF(K318&lt;-5,"CRÍTICO",IF(K318&lt;0,"ATENÇÃO",IF(K318&lt;=5,"BOM","EXCELENTE")))</f>
        <v/>
      </c>
      <c r="M318" s="9" t="n">
        <v>0</v>
      </c>
      <c r="N318" s="9" t="n">
        <v>100</v>
      </c>
      <c r="O318" s="9" t="n">
        <v>9.523809523809524</v>
      </c>
    </row>
    <row r="319" hidden="1">
      <c r="A319" s="5" t="n">
        <v>46153</v>
      </c>
      <c r="B319" s="6" t="inlineStr">
        <is>
          <t>Janaina Lima dos Reis Urany</t>
        </is>
      </c>
      <c r="C319" s="3" t="inlineStr">
        <is>
          <t>Técnico III</t>
        </is>
      </c>
      <c r="D319" s="3" t="n">
        <v>53</v>
      </c>
      <c r="E319" s="3" t="n">
        <v>46</v>
      </c>
      <c r="F319" t="n">
        <v>11.56</v>
      </c>
      <c r="G319" s="3" t="n">
        <v>3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44</v>
      </c>
      <c r="N319" t="n">
        <v>98.64</v>
      </c>
      <c r="O319" t="n">
        <v>16.6383701188455</v>
      </c>
    </row>
    <row r="320" hidden="1">
      <c r="A320" s="5" t="n">
        <v>46153</v>
      </c>
      <c r="B320" s="6" t="inlineStr">
        <is>
          <t>Jaqueline Evangelista da Silva Martins</t>
        </is>
      </c>
      <c r="C320" s="3" t="inlineStr">
        <is>
          <t>Técnico III</t>
        </is>
      </c>
      <c r="D320" s="3" t="n">
        <v>22</v>
      </c>
      <c r="E320" s="3" t="n">
        <v>20</v>
      </c>
      <c r="F320" t="n">
        <v>11.59</v>
      </c>
      <c r="G320" s="3" t="n">
        <v>4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17</v>
      </c>
      <c r="N320" t="n">
        <v>95.40000000000001</v>
      </c>
      <c r="O320" t="n">
        <v>20.53333333333333</v>
      </c>
    </row>
    <row r="321" hidden="1">
      <c r="A321" s="5" t="n">
        <v>46153</v>
      </c>
      <c r="B321" s="6" t="inlineStr">
        <is>
          <t>Jéssica Fé Moura</t>
        </is>
      </c>
      <c r="C321" s="3" t="inlineStr">
        <is>
          <t>Técnico III</t>
        </is>
      </c>
      <c r="D321" s="3" t="n">
        <v>0</v>
      </c>
      <c r="E321" s="3" t="n">
        <v>0</v>
      </c>
      <c r="F321" s="3" t="n">
        <v>0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s="9" t="n">
        <v>0</v>
      </c>
      <c r="N321" s="9" t="n">
        <v>0</v>
      </c>
      <c r="O321" s="9" t="n">
        <v>0</v>
      </c>
    </row>
    <row r="322" hidden="1">
      <c r="A322" s="5" t="n">
        <v>46153</v>
      </c>
      <c r="B322" s="6" t="inlineStr">
        <is>
          <t>Kerollen Cristielly de Jesus Siqueira</t>
        </is>
      </c>
      <c r="C322" s="9" t="inlineStr">
        <is>
          <t>Técnico III</t>
        </is>
      </c>
      <c r="D322" s="3" t="n">
        <v>24</v>
      </c>
      <c r="E322" s="3" t="n">
        <v>23</v>
      </c>
      <c r="F322" t="n">
        <v>20</v>
      </c>
      <c r="G322" s="3" t="n">
        <v>1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23</v>
      </c>
      <c r="N322" t="n">
        <v>95.52</v>
      </c>
      <c r="O322" t="n">
        <v>10.56105610561056</v>
      </c>
    </row>
    <row r="323" hidden="1">
      <c r="A323" s="5" t="n">
        <v>46153</v>
      </c>
      <c r="B323" s="6" t="inlineStr">
        <is>
          <t>Leandro Oliveira de Sousa</t>
        </is>
      </c>
      <c r="C323" s="9" t="inlineStr">
        <is>
          <t>Técnico III</t>
        </is>
      </c>
      <c r="D323" s="3" t="n">
        <v>31</v>
      </c>
      <c r="E323" s="3" t="n">
        <v>29</v>
      </c>
      <c r="F323" t="n">
        <v>14.18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IF(K323&lt;-5,"CRÍTICO",IF(K323&lt;0,"ATENÇÃO",IF(K323&lt;=5,"BOM","EXCELENTE")))</f>
        <v/>
      </c>
      <c r="M323" t="n">
        <v>29</v>
      </c>
      <c r="N323" t="n">
        <v>100</v>
      </c>
      <c r="O323" t="n">
        <v>15.58441558441558</v>
      </c>
    </row>
    <row r="324" hidden="1">
      <c r="A324" s="5" t="n">
        <v>46153</v>
      </c>
      <c r="B324" s="6" t="inlineStr">
        <is>
          <t>Lucas Luiz Romero</t>
        </is>
      </c>
      <c r="C324" s="3" t="inlineStr">
        <is>
          <t>Técnico III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4.347826086956522</v>
      </c>
    </row>
    <row r="325" hidden="1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16</v>
      </c>
      <c r="N325" t="n">
        <v>96</v>
      </c>
      <c r="O325" t="n">
        <v>29.88505747126437</v>
      </c>
    </row>
    <row r="326" hidden="1">
      <c r="A326" s="5" t="n">
        <v>46153</v>
      </c>
      <c r="B326" s="6" t="inlineStr">
        <is>
          <t>Matheus Farias De Souza</t>
        </is>
      </c>
      <c r="C326" s="3" t="inlineStr">
        <is>
          <t>Técnico III</t>
        </is>
      </c>
      <c r="D326" s="3" t="n">
        <v>0</v>
      </c>
      <c r="E326" s="3" t="n">
        <v>0</v>
      </c>
      <c r="F326" t="n">
        <v>0</v>
      </c>
      <c r="H326" s="3" t="n">
        <v>46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27</v>
      </c>
      <c r="N326" t="n">
        <v>98.28</v>
      </c>
      <c r="O326" t="n">
        <v>9.037900874635568</v>
      </c>
    </row>
    <row r="327" hidden="1">
      <c r="A327" s="5" t="n">
        <v>46153</v>
      </c>
      <c r="B327" s="6" t="inlineStr">
        <is>
          <t>Maysa Victoria Dias Moura</t>
        </is>
      </c>
      <c r="C327" s="3" t="inlineStr">
        <is>
          <t>Técnico III</t>
        </is>
      </c>
      <c r="D327" s="3" t="n">
        <v>33</v>
      </c>
      <c r="E327" s="3" t="n">
        <v>24</v>
      </c>
      <c r="F327" t="n">
        <v>8.43</v>
      </c>
      <c r="G327" s="3" t="n">
        <v>5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26</v>
      </c>
      <c r="N327" t="n">
        <v>97.22</v>
      </c>
      <c r="O327" t="n">
        <v>19.09547738693467</v>
      </c>
    </row>
    <row r="328" hidden="1">
      <c r="A328" s="5" t="n">
        <v>46153</v>
      </c>
      <c r="B328" s="6" t="inlineStr">
        <is>
          <t>Rafael Gomes de Morais</t>
        </is>
      </c>
      <c r="C328" s="3" t="inlineStr">
        <is>
          <t>Técnico III</t>
        </is>
      </c>
      <c r="D328" s="3" t="n">
        <v>23</v>
      </c>
      <c r="E328" s="3" t="n">
        <v>21</v>
      </c>
      <c r="F328" t="n">
        <v>17.37</v>
      </c>
      <c r="G328" s="3" t="n">
        <v>2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17</v>
      </c>
      <c r="N328" t="n">
        <v>99.29000000000001</v>
      </c>
      <c r="O328" t="n">
        <v>22.49443207126949</v>
      </c>
    </row>
    <row r="329" hidden="1">
      <c r="A329" s="5" t="n">
        <v>46153</v>
      </c>
      <c r="B329" s="6" t="inlineStr">
        <is>
          <t>Sarah Steffanie de Lima Borges</t>
        </is>
      </c>
      <c r="C329" s="3" t="inlineStr">
        <is>
          <t>Técnico III</t>
        </is>
      </c>
      <c r="D329" s="3" t="n">
        <v>25</v>
      </c>
      <c r="E329" s="3" t="n">
        <v>21</v>
      </c>
      <c r="F329" t="n">
        <v>15.04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16</v>
      </c>
      <c r="N329" t="n">
        <v>97.33</v>
      </c>
      <c r="O329" t="n">
        <v>15.80547112462006</v>
      </c>
    </row>
    <row r="330" hidden="1">
      <c r="A330" s="5" t="n">
        <v>46154</v>
      </c>
      <c r="B330" s="6" t="inlineStr">
        <is>
          <t>Amanda Moura Ferreira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100</v>
      </c>
      <c r="O330" s="9" t="n">
        <v>0</v>
      </c>
    </row>
    <row r="331" hidden="1">
      <c r="A331" s="5" t="n">
        <v>46154</v>
      </c>
      <c r="B331" s="6" t="inlineStr">
        <is>
          <t>Ana Paula Da Luz Silva Aleixo</t>
        </is>
      </c>
      <c r="C331" s="9" t="inlineStr">
        <is>
          <t>Técnico III</t>
        </is>
      </c>
      <c r="D331" s="3" t="n">
        <v>28</v>
      </c>
      <c r="E331" s="3" t="n">
        <v>24</v>
      </c>
      <c r="F331" t="n">
        <v>15.56</v>
      </c>
      <c r="G331" s="3" t="n">
        <v>4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25</v>
      </c>
      <c r="N331" t="n">
        <v>96.34</v>
      </c>
      <c r="O331" t="n">
        <v>17.57188498402556</v>
      </c>
    </row>
    <row r="332" hidden="1">
      <c r="A332" s="5" t="n">
        <v>46154</v>
      </c>
      <c r="B332" s="6" t="inlineStr">
        <is>
          <t>Cristiane Ramos da Silva Rocha</t>
        </is>
      </c>
      <c r="C332" s="3" t="inlineStr">
        <is>
          <t>Técnico III</t>
        </is>
      </c>
      <c r="D332" s="3" t="n">
        <v>41</v>
      </c>
      <c r="E332" s="3" t="n">
        <v>39</v>
      </c>
      <c r="F332" t="n">
        <v>10.52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33</v>
      </c>
      <c r="N332" t="n">
        <v>91.84999999999999</v>
      </c>
      <c r="O332" t="n">
        <v>20.87155963302752</v>
      </c>
    </row>
    <row r="333" hidden="1">
      <c r="A333" s="5" t="n">
        <v>46154</v>
      </c>
      <c r="B333" s="6" t="inlineStr">
        <is>
          <t>Davylla Rodrigues Freitas Silva</t>
        </is>
      </c>
      <c r="C333" s="9" t="inlineStr">
        <is>
          <t>Técnico III</t>
        </is>
      </c>
      <c r="D333" s="3" t="n">
        <v>23</v>
      </c>
      <c r="E333" s="3" t="n">
        <v>23</v>
      </c>
      <c r="F333" t="n">
        <v>25.03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t="n">
        <v>27</v>
      </c>
      <c r="N333" t="n">
        <v>99.06</v>
      </c>
      <c r="O333" t="n">
        <v>22.95719844357977</v>
      </c>
    </row>
    <row r="334" hidden="1">
      <c r="A334" s="5" t="n">
        <v>46154</v>
      </c>
      <c r="B334" s="6" t="inlineStr">
        <is>
          <t>Francielson de Oliveira</t>
        </is>
      </c>
      <c r="C334" s="9" t="inlineStr">
        <is>
          <t>Técnico III</t>
        </is>
      </c>
      <c r="D334" s="3" t="n">
        <v>0</v>
      </c>
      <c r="E334" s="3" t="n">
        <v>0</v>
      </c>
      <c r="F334" s="3" t="n">
        <v>0</v>
      </c>
      <c r="G334" s="3" t="n">
        <v>0</v>
      </c>
      <c r="H334" s="3" t="n">
        <v>0</v>
      </c>
      <c r="I334" s="3" t="n">
        <v>0</v>
      </c>
      <c r="J334" s="3" t="n">
        <v>0</v>
      </c>
      <c r="K334" s="3" t="n">
        <v>0</v>
      </c>
      <c r="L334" s="3">
        <f>IF(K334&lt;-5,"CRÍTICO",IF(K334&lt;0,"ATENÇÃO",IF(K334&lt;=5,"BOM","EXCELENTE")))</f>
        <v/>
      </c>
      <c r="M334" s="9" t="n">
        <v>0</v>
      </c>
      <c r="N334" s="9" t="n">
        <v>100</v>
      </c>
      <c r="O334" s="9" t="n">
        <v>9.523809523809524</v>
      </c>
    </row>
    <row r="335" hidden="1">
      <c r="A335" s="5" t="n">
        <v>46154</v>
      </c>
      <c r="B335" s="6" t="inlineStr">
        <is>
          <t>Janaina Lima dos Reis Urany</t>
        </is>
      </c>
      <c r="C335" s="3" t="inlineStr">
        <is>
          <t>Técnico III</t>
        </is>
      </c>
      <c r="D335" s="3" t="n">
        <v>47</v>
      </c>
      <c r="E335" s="3" t="n">
        <v>43</v>
      </c>
      <c r="F335" t="n">
        <v>10.34</v>
      </c>
      <c r="G335" s="3" t="n">
        <v>8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45</v>
      </c>
      <c r="N335" t="n">
        <v>98.64</v>
      </c>
      <c r="O335" t="n">
        <v>16.6383701188455</v>
      </c>
    </row>
    <row r="336" hidden="1">
      <c r="A336" s="5" t="n">
        <v>46154</v>
      </c>
      <c r="B336" s="6" t="inlineStr">
        <is>
          <t>Jaqueline Evangelista da Silva Martins</t>
        </is>
      </c>
      <c r="C336" s="3" t="inlineStr">
        <is>
          <t>Técnico III</t>
        </is>
      </c>
      <c r="D336" s="3" t="n">
        <v>42</v>
      </c>
      <c r="E336" s="3" t="n">
        <v>37</v>
      </c>
      <c r="F336" t="n">
        <v>10.49</v>
      </c>
      <c r="G336" s="3" t="n">
        <v>9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37</v>
      </c>
      <c r="N336" t="n">
        <v>95.40000000000001</v>
      </c>
      <c r="O336" t="n">
        <v>20.53333333333333</v>
      </c>
    </row>
    <row r="337" hidden="1">
      <c r="A337" s="5" t="n">
        <v>46154</v>
      </c>
      <c r="B337" s="6" t="inlineStr">
        <is>
          <t>Jéssica Fé Moura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0</v>
      </c>
      <c r="O337" s="9" t="n">
        <v>0</v>
      </c>
    </row>
    <row r="338" hidden="1">
      <c r="A338" s="5" t="n">
        <v>46154</v>
      </c>
      <c r="B338" s="6" t="inlineStr">
        <is>
          <t>Kerollen Cristielly de Jesus Siqueira</t>
        </is>
      </c>
      <c r="C338" s="9" t="inlineStr">
        <is>
          <t>Técnico III</t>
        </is>
      </c>
      <c r="D338" s="3" t="n">
        <v>19</v>
      </c>
      <c r="E338" s="3" t="n">
        <v>17</v>
      </c>
      <c r="F338" t="n">
        <v>25.12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18</v>
      </c>
      <c r="N338" t="n">
        <v>95.52</v>
      </c>
      <c r="O338" t="n">
        <v>10.56105610561056</v>
      </c>
    </row>
    <row r="339" hidden="1">
      <c r="A339" s="5" t="n">
        <v>46154</v>
      </c>
      <c r="B339" s="6" t="inlineStr">
        <is>
          <t>Leandro Oliveira de Sousa</t>
        </is>
      </c>
      <c r="C339" s="9" t="inlineStr">
        <is>
          <t>Técnico III</t>
        </is>
      </c>
      <c r="D339" s="3" t="n">
        <v>31</v>
      </c>
      <c r="E339" s="3" t="n">
        <v>25</v>
      </c>
      <c r="F339" t="n">
        <v>16.55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28</v>
      </c>
      <c r="N339" t="n">
        <v>100</v>
      </c>
      <c r="O339" t="n">
        <v>15.58441558441558</v>
      </c>
    </row>
    <row r="340" hidden="1">
      <c r="A340" s="5" t="n">
        <v>46154</v>
      </c>
      <c r="B340" s="6" t="inlineStr">
        <is>
          <t>Lucas Luiz Romero</t>
        </is>
      </c>
      <c r="C340" s="3" t="inlineStr">
        <is>
          <t>Técnico III</t>
        </is>
      </c>
      <c r="D340" s="3" t="n">
        <v>0</v>
      </c>
      <c r="E340" s="3" t="n">
        <v>0</v>
      </c>
      <c r="F340" s="3" t="n">
        <v>0</v>
      </c>
      <c r="G340" s="3" t="n">
        <v>0</v>
      </c>
      <c r="H340" s="3" t="n">
        <v>0</v>
      </c>
      <c r="I340" s="3" t="n">
        <v>0</v>
      </c>
      <c r="J340" s="3" t="n">
        <v>0</v>
      </c>
      <c r="K340" s="3" t="n">
        <v>0</v>
      </c>
      <c r="L340" s="3">
        <f>IF(K340&lt;-5,"CRÍTICO",IF(K340&lt;0,"ATENÇÃO",IF(K340&lt;=5,"BOM","EXCELENTE")))</f>
        <v/>
      </c>
      <c r="M340" s="9" t="n">
        <v>0</v>
      </c>
      <c r="N340" s="9" t="n">
        <v>100</v>
      </c>
      <c r="O340" s="9" t="n">
        <v>4.347826086956522</v>
      </c>
    </row>
    <row r="341" hidden="1">
      <c r="A341" s="5" t="n">
        <v>46154</v>
      </c>
      <c r="B341" s="6" t="inlineStr">
        <is>
          <t>Matheus Farias De Souza</t>
        </is>
      </c>
      <c r="C341" s="3" t="inlineStr">
        <is>
          <t>Técnico III</t>
        </is>
      </c>
      <c r="D341" s="3" t="n">
        <v>0</v>
      </c>
      <c r="E341" s="3" t="n">
        <v>0</v>
      </c>
      <c r="F341" t="n">
        <v>0</v>
      </c>
      <c r="H341" s="3" t="n">
        <v>51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25</v>
      </c>
      <c r="N341" t="n">
        <v>98.28</v>
      </c>
      <c r="O341" t="n">
        <v>9.037900874635568</v>
      </c>
    </row>
    <row r="342" hidden="1">
      <c r="A342" s="5" t="n">
        <v>46154</v>
      </c>
      <c r="B342" s="6" t="inlineStr">
        <is>
          <t>Maysa Victoria Dias Moura</t>
        </is>
      </c>
      <c r="C342" s="3" t="inlineStr">
        <is>
          <t>Técnico III</t>
        </is>
      </c>
      <c r="D342" s="3" t="n">
        <v>36</v>
      </c>
      <c r="E342" s="3" t="n">
        <v>31</v>
      </c>
      <c r="F342" t="n">
        <v>13.49</v>
      </c>
      <c r="G342" s="3" t="n">
        <v>2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28</v>
      </c>
      <c r="N342" t="n">
        <v>97.22</v>
      </c>
      <c r="O342" t="n">
        <v>19.09547738693467</v>
      </c>
    </row>
    <row r="343" hidden="1">
      <c r="A343" s="5" t="n">
        <v>46154</v>
      </c>
      <c r="B343" s="6" t="inlineStr">
        <is>
          <t>Rafael Gomes de Morais</t>
        </is>
      </c>
      <c r="C343" s="3" t="inlineStr">
        <is>
          <t>Técnico III</t>
        </is>
      </c>
      <c r="D343" s="3" t="n">
        <v>33</v>
      </c>
      <c r="E343" s="3" t="n">
        <v>28</v>
      </c>
      <c r="F343" t="n">
        <v>13.43</v>
      </c>
      <c r="G343" s="3" t="n">
        <v>1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22</v>
      </c>
      <c r="N343" t="n">
        <v>99.29000000000001</v>
      </c>
      <c r="O343" t="n">
        <v>22.49443207126949</v>
      </c>
    </row>
    <row r="344" hidden="1">
      <c r="A344" s="5" t="n">
        <v>46154</v>
      </c>
      <c r="B344" s="6" t="inlineStr">
        <is>
          <t>Sarah Steffanie de Lima Borges</t>
        </is>
      </c>
      <c r="C344" s="3" t="inlineStr">
        <is>
          <t>Técnico III</t>
        </is>
      </c>
      <c r="D344" s="3" t="n">
        <v>29</v>
      </c>
      <c r="E344" s="3" t="n">
        <v>28</v>
      </c>
      <c r="F344" t="n">
        <v>14.1</v>
      </c>
      <c r="G344" s="3" t="n">
        <v>4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25</v>
      </c>
      <c r="N344" t="n">
        <v>97.33</v>
      </c>
      <c r="O344" t="n">
        <v>15.80547112462006</v>
      </c>
    </row>
    <row r="345" hidden="1">
      <c r="A345" s="5" t="n">
        <v>46155</v>
      </c>
      <c r="B345" s="6" t="inlineStr">
        <is>
          <t>Amanda Moura Ferreira</t>
        </is>
      </c>
      <c r="C345" s="3" t="inlineStr">
        <is>
          <t>Técnico III</t>
        </is>
      </c>
      <c r="D345" s="3" t="n">
        <v>0</v>
      </c>
      <c r="E345" s="3" t="n">
        <v>0</v>
      </c>
      <c r="F345" s="3" t="n">
        <v>0</v>
      </c>
      <c r="G345" s="3" t="n">
        <v>0</v>
      </c>
      <c r="H345" s="3" t="n">
        <v>0</v>
      </c>
      <c r="I345" s="3" t="n">
        <v>0</v>
      </c>
      <c r="J345" s="3" t="n">
        <v>0</v>
      </c>
      <c r="K345" s="3" t="n">
        <v>0</v>
      </c>
      <c r="L345" s="3">
        <f>IF(K345&lt;-5,"CRÍTICO",IF(K345&lt;0,"ATENÇÃO",IF(K345&lt;=5,"BOM","EXCELENTE")))</f>
        <v/>
      </c>
      <c r="M345" s="9" t="n">
        <v>0</v>
      </c>
      <c r="N345" s="9" t="n">
        <v>100</v>
      </c>
      <c r="O345" s="9" t="n">
        <v>0</v>
      </c>
    </row>
    <row r="346" hidden="1">
      <c r="A346" s="5" t="n">
        <v>46155</v>
      </c>
      <c r="B346" s="6" t="inlineStr">
        <is>
          <t>Ana Paula Da Luz Silva Aleixo</t>
        </is>
      </c>
      <c r="C346" s="9" t="inlineStr">
        <is>
          <t>Técnico III</t>
        </is>
      </c>
      <c r="D346" s="3" t="n">
        <v>26</v>
      </c>
      <c r="E346" s="3" t="n">
        <v>23</v>
      </c>
      <c r="F346" t="n">
        <v>18.24</v>
      </c>
      <c r="G346" s="3" t="n">
        <v>0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21</v>
      </c>
      <c r="N346" t="n">
        <v>96.34</v>
      </c>
      <c r="O346" t="n">
        <v>17.57188498402556</v>
      </c>
    </row>
    <row r="347" hidden="1">
      <c r="A347" s="5" t="n">
        <v>46155</v>
      </c>
      <c r="B347" s="6" t="inlineStr">
        <is>
          <t>Cristiane Ramos da Silva Rocha</t>
        </is>
      </c>
      <c r="C347" s="3" t="inlineStr">
        <is>
          <t>Técnico III</t>
        </is>
      </c>
      <c r="D347" s="3" t="n">
        <v>34</v>
      </c>
      <c r="E347" s="3" t="n">
        <v>30</v>
      </c>
      <c r="F347" t="n">
        <v>12.09</v>
      </c>
      <c r="G347" s="3" t="n">
        <v>0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31</v>
      </c>
      <c r="N347" t="n">
        <v>91.84999999999999</v>
      </c>
      <c r="O347" t="n">
        <v>20.87155963302752</v>
      </c>
    </row>
    <row r="348" hidden="1">
      <c r="A348" s="5" t="n">
        <v>46155</v>
      </c>
      <c r="B348" s="6" t="inlineStr">
        <is>
          <t>Davylla Rodrigues Freitas Silva</t>
        </is>
      </c>
      <c r="C348" s="9" t="inlineStr">
        <is>
          <t>Técnico III</t>
        </is>
      </c>
      <c r="D348" s="3" t="n">
        <v>23</v>
      </c>
      <c r="E348" s="3" t="n">
        <v>23</v>
      </c>
      <c r="F348" t="n">
        <v>25.33</v>
      </c>
      <c r="G348" s="3" t="n">
        <v>0</v>
      </c>
      <c r="H348" s="3" t="n">
        <v>0</v>
      </c>
      <c r="I348" s="3" t="n">
        <v>0</v>
      </c>
      <c r="J348" s="3" t="n">
        <v>0</v>
      </c>
      <c r="K348" s="3" t="n">
        <v>0</v>
      </c>
      <c r="L348" s="3">
        <f>IF(K348&lt;-5,"CRÍTICO",IF(K348&lt;0,"ATENÇÃO",IF(K348&lt;=5,"BOM","EXCELENTE")))</f>
        <v/>
      </c>
      <c r="M348" t="n">
        <v>21</v>
      </c>
      <c r="N348" t="n">
        <v>99.06</v>
      </c>
      <c r="O348" t="n">
        <v>22.95719844357977</v>
      </c>
    </row>
    <row r="349" hidden="1">
      <c r="A349" s="5" t="n">
        <v>46155</v>
      </c>
      <c r="B349" s="6" t="inlineStr">
        <is>
          <t>Francielson de Oliveira</t>
        </is>
      </c>
      <c r="C349" s="9" t="inlineStr">
        <is>
          <t>Técnico III</t>
        </is>
      </c>
      <c r="D349" s="3" t="n">
        <v>0</v>
      </c>
      <c r="E349" s="3" t="n">
        <v>0</v>
      </c>
      <c r="F349" s="3" t="n">
        <v>0</v>
      </c>
      <c r="G349" s="3" t="n">
        <v>0</v>
      </c>
      <c r="H349" s="3" t="n">
        <v>0</v>
      </c>
      <c r="I349" s="3" t="n">
        <v>0</v>
      </c>
      <c r="J349" s="3" t="n">
        <v>0</v>
      </c>
      <c r="K349" s="3" t="n">
        <v>0</v>
      </c>
      <c r="L349" s="3">
        <f>IF(K349&lt;-5,"CRÍTICO",IF(K349&lt;0,"ATENÇÃO",IF(K349&lt;=5,"BOM","EXCELENTE")))</f>
        <v/>
      </c>
      <c r="M349" s="9" t="n">
        <v>0</v>
      </c>
      <c r="N349" s="9" t="n">
        <v>100</v>
      </c>
      <c r="O349" s="9" t="n">
        <v>9.523809523809524</v>
      </c>
    </row>
    <row r="350" hidden="1">
      <c r="A350" s="5" t="n">
        <v>46155</v>
      </c>
      <c r="B350" s="6" t="inlineStr">
        <is>
          <t>Janaina Lima dos Reis Urany</t>
        </is>
      </c>
      <c r="C350" s="3" t="inlineStr">
        <is>
          <t>Técnico III</t>
        </is>
      </c>
      <c r="D350" s="3" t="n">
        <v>46</v>
      </c>
      <c r="E350" s="3" t="n">
        <v>40</v>
      </c>
      <c r="F350" t="n">
        <v>16.42</v>
      </c>
      <c r="G350" s="3" t="n">
        <v>3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37</v>
      </c>
      <c r="N350" t="n">
        <v>98.64</v>
      </c>
      <c r="O350" t="n">
        <v>16.6383701188455</v>
      </c>
    </row>
    <row r="351" hidden="1">
      <c r="A351" s="5" t="n">
        <v>46155</v>
      </c>
      <c r="B351" s="6" t="inlineStr">
        <is>
          <t>Jaqueline Evangelista da Silva Martins</t>
        </is>
      </c>
      <c r="C351" s="3" t="inlineStr">
        <is>
          <t>Técnico III</t>
        </is>
      </c>
      <c r="D351" s="3" t="n">
        <v>30</v>
      </c>
      <c r="E351" s="3" t="n">
        <v>29</v>
      </c>
      <c r="F351" t="n">
        <v>12.34</v>
      </c>
      <c r="G351" s="3" t="n">
        <v>5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95.40000000000001</v>
      </c>
      <c r="O351" t="n">
        <v>20.53333333333333</v>
      </c>
    </row>
    <row r="352" hidden="1">
      <c r="A352" s="5" t="n">
        <v>46155</v>
      </c>
      <c r="B352" s="6" t="inlineStr">
        <is>
          <t>Jéssica Fé Moura</t>
        </is>
      </c>
      <c r="C352" s="3" t="inlineStr">
        <is>
          <t>Técnico III</t>
        </is>
      </c>
      <c r="D352" s="3" t="n">
        <v>0</v>
      </c>
      <c r="E352" s="3" t="n">
        <v>0</v>
      </c>
      <c r="F352" s="3" t="n">
        <v>0</v>
      </c>
      <c r="G352" s="3" t="n">
        <v>0</v>
      </c>
      <c r="H352" s="3" t="n">
        <v>0</v>
      </c>
      <c r="I352" s="3" t="n">
        <v>0</v>
      </c>
      <c r="J352" s="3" t="n">
        <v>0</v>
      </c>
      <c r="K352" s="3" t="n">
        <v>0</v>
      </c>
      <c r="L352" s="3">
        <f>IF(K352&lt;-5,"CRÍTICO",IF(K352&lt;0,"ATENÇÃO",IF(K352&lt;=5,"BOM","EXCELENTE")))</f>
        <v/>
      </c>
      <c r="M352" s="9" t="n">
        <v>0</v>
      </c>
      <c r="N352" s="9" t="n">
        <v>0</v>
      </c>
      <c r="O352" s="9" t="n">
        <v>0</v>
      </c>
    </row>
    <row r="353" hidden="1">
      <c r="A353" s="5" t="n">
        <v>46155</v>
      </c>
      <c r="B353" s="6" t="inlineStr">
        <is>
          <t>Kerollen Cristielly de Jesus Siqueira</t>
        </is>
      </c>
      <c r="C353" s="9" t="inlineStr">
        <is>
          <t>Técnico III</t>
        </is>
      </c>
      <c r="D353" s="3" t="n">
        <v>27</v>
      </c>
      <c r="E353" s="3" t="n">
        <v>26</v>
      </c>
      <c r="F353" t="n">
        <v>15.44</v>
      </c>
      <c r="G353" s="3" t="n">
        <v>0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20</v>
      </c>
      <c r="N353" t="n">
        <v>95.52</v>
      </c>
      <c r="O353" t="n">
        <v>10.56105610561056</v>
      </c>
    </row>
    <row r="354" hidden="1">
      <c r="A354" s="5" t="n">
        <v>46155</v>
      </c>
      <c r="B354" s="6" t="inlineStr">
        <is>
          <t>Leandro Oliveira de Sousa</t>
        </is>
      </c>
      <c r="C354" s="9" t="inlineStr">
        <is>
          <t>Técnico III</t>
        </is>
      </c>
      <c r="D354" s="3" t="n">
        <v>25</v>
      </c>
      <c r="E354" s="3" t="n">
        <v>24</v>
      </c>
      <c r="F354" t="n">
        <v>20</v>
      </c>
      <c r="G354" s="3" t="n">
        <v>1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26</v>
      </c>
      <c r="N354" t="n">
        <v>100</v>
      </c>
      <c r="O354" t="n">
        <v>15.58441558441558</v>
      </c>
    </row>
    <row r="355" hidden="1">
      <c r="A355" s="5" t="n">
        <v>46155</v>
      </c>
      <c r="B355" s="6" t="inlineStr">
        <is>
          <t>Lucas Luiz Romero</t>
        </is>
      </c>
      <c r="C355" s="3" t="inlineStr">
        <is>
          <t>Técnico III</t>
        </is>
      </c>
      <c r="D355" s="3" t="n">
        <v>0</v>
      </c>
      <c r="E355" s="3" t="n">
        <v>0</v>
      </c>
      <c r="F355" s="3" t="n">
        <v>0</v>
      </c>
      <c r="G355" s="3" t="n">
        <v>0</v>
      </c>
      <c r="H355" s="3" t="n">
        <v>0</v>
      </c>
      <c r="I355" s="3" t="n">
        <v>0</v>
      </c>
      <c r="J355" s="3" t="n">
        <v>0</v>
      </c>
      <c r="K355" s="3" t="n">
        <v>0</v>
      </c>
      <c r="L355" s="3">
        <f>IF(K355&lt;-5,"CRÍTICO",IF(K355&lt;0,"ATENÇÃO",IF(K355&lt;=5,"BOM","EXCELENTE")))</f>
        <v/>
      </c>
      <c r="M355" s="9" t="n">
        <v>0</v>
      </c>
      <c r="N355" s="9" t="n">
        <v>100</v>
      </c>
      <c r="O355" s="9" t="n">
        <v>4.347826086956522</v>
      </c>
    </row>
    <row r="356" hidden="1">
      <c r="A356" s="5" t="n">
        <v>46155</v>
      </c>
      <c r="B356" s="6" t="inlineStr">
        <is>
          <t>Matheus Farias De Souza</t>
        </is>
      </c>
      <c r="C356" s="3" t="inlineStr">
        <is>
          <t>Técnico III</t>
        </is>
      </c>
      <c r="D356" s="3" t="n">
        <v>0</v>
      </c>
      <c r="E356" s="3" t="n">
        <v>0</v>
      </c>
      <c r="F356" t="n">
        <v>0</v>
      </c>
      <c r="G356" s="3" t="n">
        <v>0</v>
      </c>
      <c r="H356" s="3" t="n">
        <v>41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IF(K356&lt;-5,"CRÍTICO",IF(K356&lt;0,"ATENÇÃO",IF(K356&lt;=5,"BOM","EXCELENTE")))</f>
        <v/>
      </c>
      <c r="M356" t="n">
        <v>28</v>
      </c>
      <c r="N356" t="n">
        <v>98.28</v>
      </c>
      <c r="O356" t="n">
        <v>9.037900874635568</v>
      </c>
    </row>
    <row r="357" hidden="1">
      <c r="A357" s="5" t="n">
        <v>46155</v>
      </c>
      <c r="B357" s="6" t="inlineStr">
        <is>
          <t>Maysa Victoria Dias Moura</t>
        </is>
      </c>
      <c r="C357" s="3" t="inlineStr">
        <is>
          <t>Técnico III</t>
        </is>
      </c>
      <c r="D357" s="3" t="n">
        <v>36</v>
      </c>
      <c r="E357" s="3" t="n">
        <v>30</v>
      </c>
      <c r="F357" t="n">
        <v>10.47</v>
      </c>
      <c r="G357" s="3" t="n">
        <v>4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t="n">
        <v>29</v>
      </c>
      <c r="N357" t="n">
        <v>97.22</v>
      </c>
      <c r="O357" t="n">
        <v>19.09547738693467</v>
      </c>
    </row>
    <row r="358" hidden="1">
      <c r="A358" s="5" t="n">
        <v>46155</v>
      </c>
      <c r="B358" s="6" t="inlineStr">
        <is>
          <t>Rafael Gomes de Morais</t>
        </is>
      </c>
      <c r="C358" s="3" t="inlineStr">
        <is>
          <t>Técnico III</t>
        </is>
      </c>
      <c r="D358" s="3" t="n">
        <v>36</v>
      </c>
      <c r="E358" s="3" t="n">
        <v>32</v>
      </c>
      <c r="F358" t="n">
        <v>13.49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32</v>
      </c>
      <c r="N358" t="n">
        <v>99.29000000000001</v>
      </c>
      <c r="O358" t="n">
        <v>22.49443207126949</v>
      </c>
    </row>
    <row r="359" hidden="1">
      <c r="A359" s="5" t="n">
        <v>46155</v>
      </c>
      <c r="B359" s="6" t="inlineStr">
        <is>
          <t>Sarah Steffanie de Lima Borges</t>
        </is>
      </c>
      <c r="C359" s="3" t="inlineStr">
        <is>
          <t>Técnico III</t>
        </is>
      </c>
      <c r="D359" s="3" t="n">
        <v>25</v>
      </c>
      <c r="E359" s="3" t="n">
        <v>23</v>
      </c>
      <c r="F359" t="n">
        <v>17.29</v>
      </c>
      <c r="G359" s="3" t="n">
        <v>0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21</v>
      </c>
      <c r="N359" t="n">
        <v>97.33</v>
      </c>
      <c r="O359" t="n">
        <v>15.80547112462006</v>
      </c>
    </row>
    <row r="360" hidden="1">
      <c r="A360" s="5" t="n">
        <v>46156</v>
      </c>
      <c r="B360" s="6" t="inlineStr">
        <is>
          <t>Amanda Moura Ferreira</t>
        </is>
      </c>
      <c r="C360" s="3" t="inlineStr">
        <is>
          <t>Técnico III</t>
        </is>
      </c>
      <c r="D360" s="3" t="n">
        <v>0</v>
      </c>
      <c r="E360" s="3" t="n">
        <v>0</v>
      </c>
      <c r="F360" s="3" t="n">
        <v>0</v>
      </c>
      <c r="G360" s="3" t="n">
        <v>0</v>
      </c>
      <c r="H360" s="3" t="n">
        <v>0</v>
      </c>
      <c r="I360" s="3" t="n">
        <v>0</v>
      </c>
      <c r="J360" s="3" t="n">
        <v>0</v>
      </c>
      <c r="K360" s="3" t="n">
        <v>0</v>
      </c>
      <c r="L360" s="3">
        <f>IF(K360&lt;-5,"CRÍTICO",IF(K360&lt;0,"ATENÇÃO",IF(K360&lt;=5,"BOM","EXCELENTE")))</f>
        <v/>
      </c>
      <c r="M360" s="9" t="n">
        <v>0</v>
      </c>
      <c r="N360" s="9" t="n">
        <v>100</v>
      </c>
      <c r="O360" s="9" t="n">
        <v>0</v>
      </c>
    </row>
    <row r="361" hidden="1">
      <c r="A361" s="5" t="n">
        <v>46156</v>
      </c>
      <c r="B361" s="6" t="inlineStr">
        <is>
          <t>Ana Paula Da Luz Silva Aleixo</t>
        </is>
      </c>
      <c r="C361" s="9" t="inlineStr">
        <is>
          <t>Técnico III</t>
        </is>
      </c>
      <c r="D361" s="3" t="n">
        <v>25</v>
      </c>
      <c r="E361" s="3" t="n">
        <v>25</v>
      </c>
      <c r="F361" t="n">
        <v>17.34</v>
      </c>
      <c r="G361" s="3" t="n">
        <v>5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27</v>
      </c>
      <c r="N361" t="n">
        <v>96.34</v>
      </c>
      <c r="O361" t="n">
        <v>17.57188498402556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Davylla Rodrigues Freitas Silva</t>
        </is>
      </c>
      <c r="C363" s="9" t="inlineStr">
        <is>
          <t>Técnico III</t>
        </is>
      </c>
      <c r="D363" s="3" t="n">
        <v>22</v>
      </c>
      <c r="E363" s="3" t="n">
        <v>21</v>
      </c>
      <c r="F363" t="n">
        <v>22.3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t="n">
        <v>26</v>
      </c>
      <c r="N363" t="n">
        <v>99.06</v>
      </c>
      <c r="O363" t="n">
        <v>22.95719844357977</v>
      </c>
    </row>
    <row r="364" hidden="1">
      <c r="A364" s="5" t="n">
        <v>46156</v>
      </c>
      <c r="B364" s="6" t="inlineStr">
        <is>
          <t>Francielson de Oliveira</t>
        </is>
      </c>
      <c r="C364" s="9" t="inlineStr">
        <is>
          <t>Técnico III</t>
        </is>
      </c>
      <c r="D364" s="3" t="n">
        <v>0</v>
      </c>
      <c r="E364" s="3" t="n">
        <v>0</v>
      </c>
      <c r="F364" s="3" t="n">
        <v>0</v>
      </c>
      <c r="G364" s="3" t="n">
        <v>0</v>
      </c>
      <c r="H364" s="3" t="n">
        <v>0</v>
      </c>
      <c r="I364" s="3" t="n">
        <v>0</v>
      </c>
      <c r="J364" s="3" t="n">
        <v>0</v>
      </c>
      <c r="K364" s="3" t="n">
        <v>0</v>
      </c>
      <c r="L364" s="3">
        <f>IF(K364&lt;-5,"CRÍTICO",IF(K364&lt;0,"ATENÇÃO",IF(K364&lt;=5,"BOM","EXCELENTE")))</f>
        <v/>
      </c>
      <c r="M364" s="9" t="n">
        <v>0</v>
      </c>
      <c r="N364" s="9" t="n">
        <v>100</v>
      </c>
      <c r="O364" s="9" t="n">
        <v>9.523809523809524</v>
      </c>
    </row>
    <row r="365" hidden="1">
      <c r="A365" s="5" t="n">
        <v>46156</v>
      </c>
      <c r="B365" s="6" t="inlineStr">
        <is>
          <t>Janaina Lima dos Reis Urany</t>
        </is>
      </c>
      <c r="C365" s="3" t="inlineStr">
        <is>
          <t>Técnico III</t>
        </is>
      </c>
      <c r="D365" s="3" t="n">
        <v>35</v>
      </c>
      <c r="E365" s="3" t="n">
        <v>34</v>
      </c>
      <c r="F365" t="n">
        <v>13.41</v>
      </c>
      <c r="G365" s="3" t="n">
        <v>6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38</v>
      </c>
      <c r="N365" t="n">
        <v>98.64</v>
      </c>
      <c r="O365" t="n">
        <v>16.6383701188455</v>
      </c>
    </row>
    <row r="366" hidden="1">
      <c r="A366" s="5" t="n">
        <v>46156</v>
      </c>
      <c r="B366" s="6" t="inlineStr">
        <is>
          <t>Jaqueline Evangelista da Silva Martins</t>
        </is>
      </c>
      <c r="C366" s="3" t="inlineStr">
        <is>
          <t>Técnico III</t>
        </is>
      </c>
      <c r="D366" s="3" t="n">
        <v>42</v>
      </c>
      <c r="E366" s="3" t="n">
        <v>40</v>
      </c>
      <c r="F366" t="n">
        <v>10.52</v>
      </c>
      <c r="G366" s="3" t="n">
        <v>8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44</v>
      </c>
      <c r="N366" t="n">
        <v>95.40000000000001</v>
      </c>
      <c r="O366" t="n">
        <v>20.53333333333333</v>
      </c>
    </row>
    <row r="367" hidden="1">
      <c r="A367" s="5" t="n">
        <v>46156</v>
      </c>
      <c r="B367" s="6" t="inlineStr">
        <is>
          <t>Jéssica Fé Moura</t>
        </is>
      </c>
      <c r="C367" s="3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0</v>
      </c>
      <c r="O367" s="9" t="n">
        <v>0</v>
      </c>
    </row>
    <row r="368" hidden="1">
      <c r="A368" s="5" t="n">
        <v>46156</v>
      </c>
      <c r="B368" s="6" t="inlineStr">
        <is>
          <t>Kerollen Cristielly de Jesus Siqueira</t>
        </is>
      </c>
      <c r="C368" s="9" t="inlineStr">
        <is>
          <t>Técnico III</t>
        </is>
      </c>
      <c r="D368" s="3" t="n">
        <v>30</v>
      </c>
      <c r="E368" s="3" t="n">
        <v>29</v>
      </c>
      <c r="F368" t="n">
        <v>17.03</v>
      </c>
      <c r="G368" s="3" t="n">
        <v>0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IF(K368&lt;-5,"CRÍTICO",IF(K368&lt;0,"ATENÇÃO",IF(K368&lt;=5,"BOM","EXCELENTE")))</f>
        <v/>
      </c>
      <c r="M368" t="n">
        <v>28</v>
      </c>
      <c r="N368" t="n">
        <v>95.52</v>
      </c>
      <c r="O368" t="n">
        <v>10.56105610561056</v>
      </c>
    </row>
    <row r="369" hidden="1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24</v>
      </c>
      <c r="N369" t="n">
        <v>96.55</v>
      </c>
      <c r="O369" t="n">
        <v>31.81818181818182</v>
      </c>
    </row>
    <row r="370" hidden="1">
      <c r="A370" s="5" t="n">
        <v>46156</v>
      </c>
      <c r="B370" s="6" t="inlineStr">
        <is>
          <t>Leandro Oliveira de Sousa</t>
        </is>
      </c>
      <c r="C370" s="9" t="inlineStr">
        <is>
          <t>Técnico III</t>
        </is>
      </c>
      <c r="D370" s="3" t="n">
        <v>30</v>
      </c>
      <c r="E370" s="3" t="n">
        <v>27</v>
      </c>
      <c r="F370" t="n">
        <v>19.05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23</v>
      </c>
      <c r="N370" t="n">
        <v>100</v>
      </c>
      <c r="O370" t="n">
        <v>15.58441558441558</v>
      </c>
    </row>
    <row r="371" hidden="1">
      <c r="A371" s="5" t="n">
        <v>46156</v>
      </c>
      <c r="B371" s="6" t="inlineStr">
        <is>
          <t>Lucas Luiz Romero</t>
        </is>
      </c>
      <c r="C371" s="3" t="inlineStr">
        <is>
          <t>Técnico III</t>
        </is>
      </c>
      <c r="D371" s="3" t="n">
        <v>0</v>
      </c>
      <c r="E371" s="3" t="n">
        <v>0</v>
      </c>
      <c r="F371" s="3" t="n">
        <v>0</v>
      </c>
      <c r="G371" s="3" t="n">
        <v>0</v>
      </c>
      <c r="H371" s="3" t="n">
        <v>0</v>
      </c>
      <c r="I371" s="3" t="n">
        <v>0</v>
      </c>
      <c r="J371" s="3" t="n">
        <v>0</v>
      </c>
      <c r="K371" s="3" t="n">
        <v>0</v>
      </c>
      <c r="L371" s="3">
        <f>IF(K371&lt;-5,"CRÍTICO",IF(K371&lt;0,"ATENÇÃO",IF(K371&lt;=5,"BOM","EXCELENTE")))</f>
        <v/>
      </c>
      <c r="M371" s="9" t="n">
        <v>0</v>
      </c>
      <c r="N371" s="9" t="n">
        <v>100</v>
      </c>
      <c r="O371" s="9" t="n">
        <v>4.347826086956522</v>
      </c>
    </row>
    <row r="372" hidden="1">
      <c r="A372" s="5" t="n">
        <v>46156</v>
      </c>
      <c r="B372" s="6" t="inlineStr">
        <is>
          <t>Matheus Farias De Souza</t>
        </is>
      </c>
      <c r="C372" s="3" t="inlineStr">
        <is>
          <t>Técnico III</t>
        </is>
      </c>
      <c r="D372" s="3" t="n">
        <v>0</v>
      </c>
      <c r="E372" s="3" t="n">
        <v>0</v>
      </c>
      <c r="F372" t="n">
        <v>0</v>
      </c>
      <c r="G372" s="3" t="n">
        <v>0</v>
      </c>
      <c r="H372" s="3" t="n">
        <v>52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30</v>
      </c>
      <c r="N372" t="n">
        <v>98.28</v>
      </c>
      <c r="O372" t="n">
        <v>9.037900874635568</v>
      </c>
    </row>
    <row r="373" hidden="1">
      <c r="A373" s="5" t="n">
        <v>46156</v>
      </c>
      <c r="B373" s="6" t="inlineStr">
        <is>
          <t>Maysa Victoria Dias Moura</t>
        </is>
      </c>
      <c r="C373" s="3" t="inlineStr">
        <is>
          <t>Técnico III</t>
        </is>
      </c>
      <c r="D373" s="3" t="n">
        <v>39</v>
      </c>
      <c r="E373" s="3" t="n">
        <v>32</v>
      </c>
      <c r="F373" t="n">
        <v>9</v>
      </c>
      <c r="G373" s="3" t="n">
        <v>3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29</v>
      </c>
      <c r="N373" t="n">
        <v>97.22</v>
      </c>
      <c r="O373" t="n">
        <v>19.09547738693467</v>
      </c>
    </row>
    <row r="374" hidden="1">
      <c r="A374" s="5" t="n">
        <v>46156</v>
      </c>
      <c r="B374" s="6" t="inlineStr">
        <is>
          <t>Rafael Gomes de Morais</t>
        </is>
      </c>
      <c r="C374" s="3" t="inlineStr">
        <is>
          <t>Técnico III</t>
        </is>
      </c>
      <c r="D374" s="3" t="n">
        <v>38</v>
      </c>
      <c r="E374" s="3" t="n">
        <v>37</v>
      </c>
      <c r="F374" t="n">
        <v>13.51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IF(K374&lt;-5,"CRÍTICO",IF(K374&lt;0,"ATENÇÃO",IF(K374&lt;=5,"BOM","EXCELENTE")))</f>
        <v/>
      </c>
      <c r="M374" t="n">
        <v>40</v>
      </c>
      <c r="N374" t="n">
        <v>99.29000000000001</v>
      </c>
      <c r="O374" t="n">
        <v>22.49443207126949</v>
      </c>
    </row>
    <row r="375" hidden="1">
      <c r="A375" s="5" t="n">
        <v>46156</v>
      </c>
      <c r="B375" s="6" t="inlineStr">
        <is>
          <t>Sarah Steffanie de Lima Borges</t>
        </is>
      </c>
      <c r="C375" s="3" t="inlineStr">
        <is>
          <t>Técnico III</t>
        </is>
      </c>
      <c r="D375" s="3" t="n">
        <v>22</v>
      </c>
      <c r="E375" s="3" t="n">
        <v>22</v>
      </c>
      <c r="F375" t="n">
        <v>13.43</v>
      </c>
      <c r="G375" s="3" t="n">
        <v>5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21</v>
      </c>
      <c r="N375" t="n">
        <v>97.33</v>
      </c>
      <c r="O375" t="n">
        <v>15.80547112462006</v>
      </c>
    </row>
    <row r="376" hidden="1">
      <c r="A376" s="5" t="n">
        <v>46157</v>
      </c>
      <c r="B376" s="6" t="inlineStr">
        <is>
          <t>Amanda Moura Ferreira</t>
        </is>
      </c>
      <c r="C376" s="3" t="inlineStr">
        <is>
          <t>Técnico III</t>
        </is>
      </c>
      <c r="D376" s="3" t="n">
        <v>0</v>
      </c>
      <c r="E376" s="3" t="n">
        <v>0</v>
      </c>
      <c r="F376" s="3" t="n">
        <v>0</v>
      </c>
      <c r="G376" s="3" t="n">
        <v>0</v>
      </c>
      <c r="H376" s="3" t="n">
        <v>0</v>
      </c>
      <c r="I376" s="3" t="n">
        <v>0</v>
      </c>
      <c r="J376" s="3" t="n">
        <v>0</v>
      </c>
      <c r="K376" s="3" t="n">
        <v>0</v>
      </c>
      <c r="L376" s="3">
        <f>IF(K376&lt;-5,"CRÍTICO",IF(K376&lt;0,"ATENÇÃO",IF(K376&lt;=5,"BOM","EXCELENTE")))</f>
        <v/>
      </c>
      <c r="M376" s="9" t="n">
        <v>0</v>
      </c>
      <c r="N376" s="9" t="n">
        <v>100</v>
      </c>
      <c r="O376" s="9" t="n">
        <v>0</v>
      </c>
    </row>
    <row r="377" hidden="1">
      <c r="A377" s="5" t="n">
        <v>46157</v>
      </c>
      <c r="B377" s="6" t="inlineStr">
        <is>
          <t>Ana Paula Da Luz Silva Aleixo</t>
        </is>
      </c>
      <c r="C377" s="9" t="inlineStr">
        <is>
          <t>Técnico III</t>
        </is>
      </c>
      <c r="D377" s="3" t="n">
        <v>29</v>
      </c>
      <c r="E377" s="3" t="n">
        <v>28</v>
      </c>
      <c r="F377" t="n">
        <v>13.59</v>
      </c>
      <c r="G377" s="3" t="n">
        <v>3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25</v>
      </c>
      <c r="N377" t="n">
        <v>96.34</v>
      </c>
      <c r="O377" t="n">
        <v>17.57188498402556</v>
      </c>
    </row>
    <row r="378" hidden="1">
      <c r="A378" s="5" t="n">
        <v>46157</v>
      </c>
      <c r="B378" s="6" t="inlineStr">
        <is>
          <t>Cristiane Ramos da Silva Rocha</t>
        </is>
      </c>
      <c r="C378" s="3" t="inlineStr">
        <is>
          <t>Técnico III</t>
        </is>
      </c>
      <c r="D378" s="3" t="n">
        <v>37</v>
      </c>
      <c r="E378" s="3" t="n">
        <v>31</v>
      </c>
      <c r="F378" t="n">
        <v>11.51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29</v>
      </c>
      <c r="N378" t="n">
        <v>91.84999999999999</v>
      </c>
      <c r="O378" t="n">
        <v>20.87155963302752</v>
      </c>
    </row>
    <row r="379" hidden="1">
      <c r="A379" s="5" t="n">
        <v>46157</v>
      </c>
      <c r="B379" s="6" t="inlineStr">
        <is>
          <t>Davylla Rodrigues Freitas Silva</t>
        </is>
      </c>
      <c r="C379" s="9" t="inlineStr">
        <is>
          <t>Técnico III</t>
        </is>
      </c>
      <c r="D379" s="3" t="n">
        <v>20</v>
      </c>
      <c r="E379" s="3" t="n">
        <v>20</v>
      </c>
      <c r="F379" t="n">
        <v>20.33</v>
      </c>
      <c r="G379" s="3" t="n">
        <v>0</v>
      </c>
      <c r="H379" s="3" t="n">
        <v>0</v>
      </c>
      <c r="I379" s="3" t="n">
        <v>0</v>
      </c>
      <c r="J379" s="3" t="n">
        <v>0</v>
      </c>
      <c r="K379" s="3" t="n">
        <v>0</v>
      </c>
      <c r="L379" s="3">
        <f>IF(K379&lt;-5,"CRÍTICO",IF(K379&lt;0,"ATENÇÃO",IF(K379&lt;=5,"BOM","EXCELENTE")))</f>
        <v/>
      </c>
      <c r="M379" t="n">
        <v>23</v>
      </c>
      <c r="N379" t="n">
        <v>99.06</v>
      </c>
      <c r="O379" t="n">
        <v>22.95719844357977</v>
      </c>
    </row>
    <row r="380" hidden="1">
      <c r="A380" s="5" t="n">
        <v>46157</v>
      </c>
      <c r="B380" s="6" t="inlineStr">
        <is>
          <t>Janaina Lima dos Reis Urany</t>
        </is>
      </c>
      <c r="C380" s="3" t="inlineStr">
        <is>
          <t>Técnico III</t>
        </is>
      </c>
      <c r="D380" s="3" t="n">
        <v>44</v>
      </c>
      <c r="E380" s="3" t="n">
        <v>38</v>
      </c>
      <c r="F380" t="n">
        <v>12.34</v>
      </c>
      <c r="G380" s="3" t="n">
        <v>6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39</v>
      </c>
      <c r="N380" t="n">
        <v>98.64</v>
      </c>
      <c r="O380" t="n">
        <v>16.6383701188455</v>
      </c>
    </row>
    <row r="381" hidden="1">
      <c r="A381" s="5" t="n">
        <v>46157</v>
      </c>
      <c r="B381" s="6" t="inlineStr">
        <is>
          <t>Jaqueline Evangelista da Silva Martins</t>
        </is>
      </c>
      <c r="C381" s="3" t="inlineStr">
        <is>
          <t>Técnico III</t>
        </is>
      </c>
      <c r="D381" s="3" t="n">
        <v>30</v>
      </c>
      <c r="E381" s="3" t="n">
        <v>29</v>
      </c>
      <c r="F381" t="n">
        <v>13.38</v>
      </c>
      <c r="G381" s="3" t="n">
        <v>5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IF(K381&lt;-5,"CRÍTICO",IF(K381&lt;0,"ATENÇÃO",IF(K381&lt;=5,"BOM","EXCELENTE")))</f>
        <v/>
      </c>
      <c r="M381" t="n">
        <v>23</v>
      </c>
      <c r="N381" t="n">
        <v>95.40000000000001</v>
      </c>
      <c r="O381" t="n">
        <v>20.53333333333333</v>
      </c>
    </row>
    <row r="382" hidden="1">
      <c r="A382" s="5" t="n">
        <v>46157</v>
      </c>
      <c r="B382" s="6" t="inlineStr">
        <is>
          <t>Jéssica Fé Moura</t>
        </is>
      </c>
      <c r="C382" s="3" t="inlineStr">
        <is>
          <t>Técnico III</t>
        </is>
      </c>
      <c r="D382" s="3" t="n">
        <v>0</v>
      </c>
      <c r="E382" s="3" t="n">
        <v>0</v>
      </c>
      <c r="F382" s="3" t="n">
        <v>0</v>
      </c>
      <c r="G382" s="3" t="n">
        <v>0</v>
      </c>
      <c r="H382" s="3" t="n">
        <v>0</v>
      </c>
      <c r="I382" s="3" t="n">
        <v>0</v>
      </c>
      <c r="J382" s="3" t="n">
        <v>0</v>
      </c>
      <c r="K382" s="3" t="n">
        <v>0</v>
      </c>
      <c r="L382" s="3">
        <f>IF(K382&lt;-5,"CRÍTICO",IF(K382&lt;0,"ATENÇÃO",IF(K382&lt;=5,"BOM","EXCELENTE")))</f>
        <v/>
      </c>
      <c r="M382" s="9" t="n">
        <v>0</v>
      </c>
      <c r="N382" s="9" t="n">
        <v>0</v>
      </c>
      <c r="O382" s="9" t="n">
        <v>0</v>
      </c>
    </row>
    <row r="383" hidden="1">
      <c r="A383" s="5" t="n">
        <v>46157</v>
      </c>
      <c r="B383" s="6" t="inlineStr">
        <is>
          <t>Leandro Oliveira de Sousa</t>
        </is>
      </c>
      <c r="C383" s="9" t="inlineStr">
        <is>
          <t>Técnico III</t>
        </is>
      </c>
      <c r="D383" s="3" t="n">
        <v>23</v>
      </c>
      <c r="E383" s="3" t="n">
        <v>22</v>
      </c>
      <c r="F383" t="n">
        <v>27.02</v>
      </c>
      <c r="G383" s="3" t="n">
        <v>1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19</v>
      </c>
      <c r="N383" t="n">
        <v>100</v>
      </c>
      <c r="O383" t="n">
        <v>15.58441558441558</v>
      </c>
    </row>
    <row r="384" hidden="1">
      <c r="A384" s="5" t="n">
        <v>46157</v>
      </c>
      <c r="B384" s="6" t="inlineStr">
        <is>
          <t>Lucas Luiz Romero</t>
        </is>
      </c>
      <c r="C384" s="3" t="inlineStr">
        <is>
          <t>Técnico III</t>
        </is>
      </c>
      <c r="D384" s="3" t="n">
        <v>0</v>
      </c>
      <c r="E384" s="3" t="n">
        <v>0</v>
      </c>
      <c r="F384" s="3" t="n">
        <v>0</v>
      </c>
      <c r="G384" s="3" t="n">
        <v>0</v>
      </c>
      <c r="H384" s="3" t="n">
        <v>0</v>
      </c>
      <c r="I384" s="3" t="n">
        <v>0</v>
      </c>
      <c r="J384" s="3" t="n">
        <v>0</v>
      </c>
      <c r="K384" s="3" t="n">
        <v>0</v>
      </c>
      <c r="L384" s="3">
        <f>IF(K384&lt;-5,"CRÍTICO",IF(K384&lt;0,"ATENÇÃO",IF(K384&lt;=5,"BOM","EXCELENTE")))</f>
        <v/>
      </c>
      <c r="M384" s="9" t="n">
        <v>0</v>
      </c>
      <c r="N384" s="9" t="n">
        <v>100</v>
      </c>
      <c r="O384" s="9" t="n">
        <v>4.347826086956522</v>
      </c>
    </row>
    <row r="385" hidden="1">
      <c r="A385" s="5" t="n">
        <v>46157</v>
      </c>
      <c r="B385" s="6" t="inlineStr">
        <is>
          <t>Matheus Farias De Souza</t>
        </is>
      </c>
      <c r="C385" s="3" t="inlineStr">
        <is>
          <t>Técnico III</t>
        </is>
      </c>
      <c r="D385" s="3" t="n">
        <v>0</v>
      </c>
      <c r="E385" s="3" t="n">
        <v>0</v>
      </c>
      <c r="F385" t="n">
        <v>0</v>
      </c>
      <c r="G385" s="3" t="n">
        <v>0</v>
      </c>
      <c r="H385" s="3" t="n">
        <v>31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19</v>
      </c>
      <c r="N385" t="n">
        <v>98.28</v>
      </c>
      <c r="O385" t="n">
        <v>9.037900874635568</v>
      </c>
    </row>
    <row r="386" hidden="1">
      <c r="A386" s="5" t="n">
        <v>46157</v>
      </c>
      <c r="B386" s="6" t="inlineStr">
        <is>
          <t>Maysa Victoria Dias Moura</t>
        </is>
      </c>
      <c r="C386" s="3" t="inlineStr">
        <is>
          <t>Técnico III</t>
        </is>
      </c>
      <c r="D386" s="3" t="n">
        <v>26</v>
      </c>
      <c r="E386" s="3" t="n">
        <v>24</v>
      </c>
      <c r="F386" t="n">
        <v>12.18</v>
      </c>
      <c r="G386" s="3" t="n">
        <v>2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22</v>
      </c>
      <c r="N386" t="n">
        <v>97.22</v>
      </c>
      <c r="O386" t="n">
        <v>19.09547738693467</v>
      </c>
    </row>
    <row r="387" hidden="1">
      <c r="A387" s="5" t="n">
        <v>46157</v>
      </c>
      <c r="B387" s="6" t="inlineStr">
        <is>
          <t>Rafael Gomes de Morais</t>
        </is>
      </c>
      <c r="C387" s="3" t="inlineStr">
        <is>
          <t>Técnico III</t>
        </is>
      </c>
      <c r="D387" s="3" t="n">
        <v>31</v>
      </c>
      <c r="E387" s="3" t="n">
        <v>29</v>
      </c>
      <c r="F387" t="n">
        <v>13.49</v>
      </c>
      <c r="G387" s="3" t="n">
        <v>2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29</v>
      </c>
      <c r="N387" t="n">
        <v>99.29000000000001</v>
      </c>
      <c r="O387" t="n">
        <v>22.49443207126949</v>
      </c>
    </row>
    <row r="388" hidden="1">
      <c r="A388" s="5" t="n">
        <v>46157</v>
      </c>
      <c r="B388" s="6" t="inlineStr">
        <is>
          <t>Sarah Steffanie de Lima Borges</t>
        </is>
      </c>
      <c r="C388" s="3" t="inlineStr">
        <is>
          <t>Técnico III</t>
        </is>
      </c>
      <c r="D388" s="3" t="n">
        <v>20</v>
      </c>
      <c r="E388" s="3" t="n">
        <v>20</v>
      </c>
      <c r="F388" t="n">
        <v>17.35</v>
      </c>
      <c r="G388" s="3" t="n">
        <v>1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17</v>
      </c>
      <c r="N388" t="n">
        <v>97.33</v>
      </c>
      <c r="O388" t="n">
        <v>15.80547112462006</v>
      </c>
    </row>
    <row r="389" hidden="1">
      <c r="A389" s="5" t="n">
        <v>46160</v>
      </c>
      <c r="B389" s="6" t="inlineStr">
        <is>
          <t>Amanda Moura Ferreira</t>
        </is>
      </c>
      <c r="C389" s="3" t="inlineStr">
        <is>
          <t>Técnico III</t>
        </is>
      </c>
      <c r="D389" s="3" t="n">
        <v>0</v>
      </c>
      <c r="E389" s="3" t="n">
        <v>0</v>
      </c>
      <c r="F389" s="3" t="n">
        <v>0</v>
      </c>
      <c r="G389" s="3" t="n">
        <v>0</v>
      </c>
      <c r="H389" s="3" t="n">
        <v>0</v>
      </c>
      <c r="I389" s="3" t="n">
        <v>0</v>
      </c>
      <c r="J389" s="3" t="n">
        <v>0</v>
      </c>
      <c r="K389" s="3" t="n">
        <v>0</v>
      </c>
      <c r="L389" s="3">
        <f>IF(K389&lt;-5,"CRÍTICO",IF(K389&lt;0,"ATENÇÃO",IF(K389&lt;=5,"BOM","EXCELENTE")))</f>
        <v/>
      </c>
      <c r="M389" s="9" t="n">
        <v>0</v>
      </c>
      <c r="N389" s="9" t="n">
        <v>100</v>
      </c>
      <c r="O389" s="9" t="n">
        <v>0</v>
      </c>
    </row>
    <row r="390" hidden="1">
      <c r="A390" s="5" t="n">
        <v>46160</v>
      </c>
      <c r="B390" s="6" t="inlineStr">
        <is>
          <t>Ana Paula Da Luz Silva Aleixo</t>
        </is>
      </c>
      <c r="C390" s="9" t="inlineStr">
        <is>
          <t>Técnico III</t>
        </is>
      </c>
      <c r="D390" s="3" t="n">
        <v>0</v>
      </c>
      <c r="E390" s="3" t="n">
        <v>0</v>
      </c>
      <c r="F390" s="3" t="n">
        <v>0</v>
      </c>
      <c r="G390" s="3" t="n">
        <v>0</v>
      </c>
      <c r="H390" s="3" t="n">
        <v>0</v>
      </c>
      <c r="I390" s="3" t="n">
        <v>0</v>
      </c>
      <c r="J390" s="3" t="n">
        <v>0</v>
      </c>
      <c r="K390" s="3" t="n">
        <v>0</v>
      </c>
      <c r="L390" s="3">
        <f>IF(K390&lt;-5,"CRÍTICO",IF(K390&lt;0,"ATENÇÃO",IF(K390&lt;=5,"BOM","EXCELENTE")))</f>
        <v/>
      </c>
      <c r="M390" s="9" t="n">
        <v>0</v>
      </c>
      <c r="N390" s="9" t="n">
        <v>96.34</v>
      </c>
      <c r="O390" s="9" t="n">
        <v>17.57188498402556</v>
      </c>
    </row>
    <row r="391" hidden="1">
      <c r="A391" s="5" t="n">
        <v>46160</v>
      </c>
      <c r="B391" s="6" t="inlineStr">
        <is>
          <t>Cristiane Ramos da Silva Rocha</t>
        </is>
      </c>
      <c r="C391" s="3" t="inlineStr">
        <is>
          <t>Técnico III</t>
        </is>
      </c>
      <c r="D391" s="3" t="n">
        <v>30</v>
      </c>
      <c r="E391" s="3" t="n">
        <v>27</v>
      </c>
      <c r="F391" t="n">
        <v>13.29</v>
      </c>
      <c r="G391" s="3" t="n">
        <v>0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25</v>
      </c>
      <c r="N391" t="n">
        <v>91.84999999999999</v>
      </c>
      <c r="O391" t="n">
        <v>20.87155963302752</v>
      </c>
    </row>
    <row r="392" hidden="1">
      <c r="A392" s="5" t="n">
        <v>46160</v>
      </c>
      <c r="B392" s="6" t="inlineStr">
        <is>
          <t>Davylla Rodrigues Freitas Silva</t>
        </is>
      </c>
      <c r="C392" s="9" t="inlineStr">
        <is>
          <t>Técnico III</t>
        </is>
      </c>
      <c r="D392" s="3" t="n">
        <v>0</v>
      </c>
      <c r="E392" s="3" t="n">
        <v>0</v>
      </c>
      <c r="F392" s="3" t="n">
        <v>0</v>
      </c>
      <c r="G392" s="3" t="n">
        <v>0</v>
      </c>
      <c r="H392" s="3" t="n">
        <v>0</v>
      </c>
      <c r="I392" s="3" t="n">
        <v>0</v>
      </c>
      <c r="J392" s="3" t="n">
        <v>0</v>
      </c>
      <c r="K392" s="3" t="n">
        <v>0</v>
      </c>
      <c r="L392" s="3">
        <f>IF(K392&lt;-5,"CRÍTICO",IF(K392&lt;0,"ATENÇÃO",IF(K392&lt;=5,"BOM","EXCELENTE")))</f>
        <v/>
      </c>
      <c r="M392" s="9" t="n">
        <v>0</v>
      </c>
      <c r="N392" s="9" t="n">
        <v>99.06</v>
      </c>
      <c r="O392" s="9" t="n">
        <v>22.95719844357977</v>
      </c>
    </row>
    <row r="393" hidden="1">
      <c r="A393" s="5" t="n">
        <v>46160</v>
      </c>
      <c r="B393" s="6" t="inlineStr">
        <is>
          <t>Janaina Lima dos Reis Urany</t>
        </is>
      </c>
      <c r="C393" s="3" t="inlineStr">
        <is>
          <t>Técnico III</t>
        </is>
      </c>
      <c r="D393" s="3" t="n">
        <v>37</v>
      </c>
      <c r="E393" s="3" t="n">
        <v>32</v>
      </c>
      <c r="F393" t="n">
        <v>15.11</v>
      </c>
      <c r="G393" s="3" t="n">
        <v>5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34</v>
      </c>
      <c r="N393" t="n">
        <v>98.64</v>
      </c>
      <c r="O393" t="n">
        <v>16.6383701188455</v>
      </c>
    </row>
    <row r="394" hidden="1">
      <c r="A394" s="5" t="n">
        <v>46160</v>
      </c>
      <c r="B394" s="6" t="inlineStr">
        <is>
          <t>Jaqueline Evangelista da Silva Martins</t>
        </is>
      </c>
      <c r="C394" s="3" t="inlineStr">
        <is>
          <t>Técnico III</t>
        </is>
      </c>
      <c r="D394" s="3" t="n">
        <v>26</v>
      </c>
      <c r="E394" s="3" t="n">
        <v>25</v>
      </c>
      <c r="F394" t="n">
        <v>13.21</v>
      </c>
      <c r="G394" s="3" t="n">
        <v>6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23</v>
      </c>
      <c r="N394" t="n">
        <v>95.40000000000001</v>
      </c>
      <c r="O394" t="n">
        <v>20.53333333333333</v>
      </c>
    </row>
    <row r="395" hidden="1">
      <c r="A395" s="5" t="n">
        <v>46160</v>
      </c>
      <c r="B395" s="6" t="inlineStr">
        <is>
          <t>Jéssica Fé Moura</t>
        </is>
      </c>
      <c r="C395" s="3" t="inlineStr">
        <is>
          <t>Técnico III</t>
        </is>
      </c>
      <c r="D395" s="3" t="n">
        <v>0</v>
      </c>
      <c r="E395" s="3" t="n">
        <v>0</v>
      </c>
      <c r="F395" s="3" t="n">
        <v>0</v>
      </c>
      <c r="G395" s="3" t="n">
        <v>0</v>
      </c>
      <c r="H395" s="3" t="n">
        <v>0</v>
      </c>
      <c r="I395" s="3" t="n">
        <v>0</v>
      </c>
      <c r="J395" s="3" t="n">
        <v>0</v>
      </c>
      <c r="K395" s="3" t="n">
        <v>0</v>
      </c>
      <c r="L395" s="3">
        <f>IF(K395&lt;-5,"CRÍTICO",IF(K395&lt;0,"ATENÇÃO",IF(K395&lt;=5,"BOM","EXCELENTE")))</f>
        <v/>
      </c>
      <c r="M395" s="9" t="n">
        <v>0</v>
      </c>
      <c r="N395" s="9" t="n">
        <v>0</v>
      </c>
      <c r="O395" s="9" t="n">
        <v>0</v>
      </c>
    </row>
    <row r="396" hidden="1">
      <c r="A396" s="5" t="n">
        <v>46160</v>
      </c>
      <c r="B396" s="6" t="inlineStr">
        <is>
          <t>Kerollen Cristielly de Jesus Siqueira</t>
        </is>
      </c>
      <c r="C396" s="9" t="inlineStr">
        <is>
          <t>Técnico III</t>
        </is>
      </c>
      <c r="D396" s="3" t="n">
        <v>25</v>
      </c>
      <c r="E396" s="3" t="n">
        <v>24</v>
      </c>
      <c r="F396" t="n">
        <v>23.54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21</v>
      </c>
      <c r="N396" t="n">
        <v>95.52</v>
      </c>
      <c r="O396" t="n">
        <v>10.56105610561056</v>
      </c>
    </row>
    <row r="397" hidden="1">
      <c r="A397" s="5" t="n">
        <v>46160</v>
      </c>
      <c r="B397" s="6" t="inlineStr">
        <is>
          <t>Leandro Oliveira de Sousa</t>
        </is>
      </c>
      <c r="C397" s="9" t="inlineStr">
        <is>
          <t>Técnico III</t>
        </is>
      </c>
      <c r="D397" s="3" t="n">
        <v>28</v>
      </c>
      <c r="E397" s="3" t="n">
        <v>25</v>
      </c>
      <c r="F397" t="n">
        <v>15.47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25</v>
      </c>
      <c r="N397" t="n">
        <v>100</v>
      </c>
      <c r="O397" t="n">
        <v>15.58441558441558</v>
      </c>
    </row>
    <row r="398" hidden="1">
      <c r="A398" s="5" t="n">
        <v>46160</v>
      </c>
      <c r="B398" s="6" t="inlineStr">
        <is>
          <t>Lucas Luiz Romero</t>
        </is>
      </c>
      <c r="C398" s="3" t="inlineStr">
        <is>
          <t>Técnico III</t>
        </is>
      </c>
      <c r="D398" s="3" t="n">
        <v>0</v>
      </c>
      <c r="E398" s="3" t="n">
        <v>0</v>
      </c>
      <c r="F398" s="3" t="n">
        <v>0</v>
      </c>
      <c r="G398" s="3" t="n">
        <v>0</v>
      </c>
      <c r="H398" s="3" t="n">
        <v>0</v>
      </c>
      <c r="I398" s="3" t="n">
        <v>0</v>
      </c>
      <c r="J398" s="3" t="n">
        <v>0</v>
      </c>
      <c r="K398" s="3" t="n">
        <v>0</v>
      </c>
      <c r="L398" s="3">
        <f>IF(K398&lt;-5,"CRÍTICO",IF(K398&lt;0,"ATENÇÃO",IF(K398&lt;=5,"BOM","EXCELENTE")))</f>
        <v/>
      </c>
      <c r="M398" s="9" t="n">
        <v>0</v>
      </c>
      <c r="N398" s="9" t="n">
        <v>100</v>
      </c>
      <c r="O398" s="9" t="n">
        <v>4.347826086956522</v>
      </c>
    </row>
    <row r="399" hidden="1">
      <c r="A399" s="5" t="n">
        <v>46160</v>
      </c>
      <c r="B399" s="6" t="inlineStr">
        <is>
          <t>Matheus Farias De Souza</t>
        </is>
      </c>
      <c r="C399" s="3" t="inlineStr">
        <is>
          <t>Técnico III</t>
        </is>
      </c>
      <c r="D399" s="3" t="n">
        <v>0</v>
      </c>
      <c r="E399" s="3" t="n">
        <v>0</v>
      </c>
      <c r="F399" t="n">
        <v>0</v>
      </c>
      <c r="G399" s="3" t="n">
        <v>0</v>
      </c>
      <c r="H399" s="3" t="n">
        <v>32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t="n">
        <v>16</v>
      </c>
      <c r="N399" t="n">
        <v>98.28</v>
      </c>
      <c r="O399" t="n">
        <v>9.037900874635568</v>
      </c>
    </row>
    <row r="400" hidden="1">
      <c r="A400" s="5" t="n">
        <v>46160</v>
      </c>
      <c r="B400" s="6" t="inlineStr">
        <is>
          <t>Maysa Victoria Dias Moura</t>
        </is>
      </c>
      <c r="C400" s="3" t="inlineStr">
        <is>
          <t>Técnico III</t>
        </is>
      </c>
      <c r="D400" s="3" t="n">
        <v>30</v>
      </c>
      <c r="E400" s="3" t="n">
        <v>27</v>
      </c>
      <c r="F400" t="n">
        <v>10.14</v>
      </c>
      <c r="G400" s="3" t="n">
        <v>2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IF(K400&lt;-5,"CRÍTICO",IF(K400&lt;0,"ATENÇÃO",IF(K400&lt;=5,"BOM","EXCELENTE")))</f>
        <v/>
      </c>
      <c r="M400" t="n">
        <v>27</v>
      </c>
      <c r="N400" t="n">
        <v>97.22</v>
      </c>
      <c r="O400" t="n">
        <v>19.09547738693467</v>
      </c>
    </row>
    <row r="401" hidden="1">
      <c r="A401" s="5" t="n">
        <v>46160</v>
      </c>
      <c r="B401" s="6" t="inlineStr">
        <is>
          <t>Rafael Gomes de Morais</t>
        </is>
      </c>
      <c r="C401" s="3" t="inlineStr">
        <is>
          <t>Técnico III</t>
        </is>
      </c>
      <c r="D401" s="3" t="n">
        <v>34</v>
      </c>
      <c r="E401" s="3" t="n">
        <v>28</v>
      </c>
      <c r="F401" t="n">
        <v>13.56</v>
      </c>
      <c r="G401" s="3" t="n">
        <v>3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t="n">
        <v>26</v>
      </c>
      <c r="N401" t="n">
        <v>99.29000000000001</v>
      </c>
      <c r="O401" t="n">
        <v>22.49443207126949</v>
      </c>
    </row>
    <row r="402" hidden="1">
      <c r="A402" s="5" t="n">
        <v>46160</v>
      </c>
      <c r="B402" s="6" t="inlineStr">
        <is>
          <t>Sarah Steffanie de Lima Borges</t>
        </is>
      </c>
      <c r="C402" s="3" t="inlineStr">
        <is>
          <t>Técnico III</t>
        </is>
      </c>
      <c r="D402" s="3" t="n">
        <v>25</v>
      </c>
      <c r="E402" s="3" t="n">
        <v>22</v>
      </c>
      <c r="F402" t="n">
        <v>17.29</v>
      </c>
      <c r="G402" s="3" t="n">
        <v>4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21</v>
      </c>
      <c r="N402" t="n">
        <v>97.33</v>
      </c>
      <c r="O402" t="n">
        <v>15.80547112462006</v>
      </c>
    </row>
    <row r="403" hidden="1">
      <c r="A403" s="7" t="n">
        <v>46161</v>
      </c>
      <c r="B403" s="8" t="inlineStr">
        <is>
          <t>Amanda Moura Ferreira</t>
        </is>
      </c>
      <c r="C403" s="9" t="inlineStr">
        <is>
          <t>Técnico III</t>
        </is>
      </c>
      <c r="D403" s="3" t="n">
        <v>0</v>
      </c>
      <c r="E403" s="3" t="n">
        <v>0</v>
      </c>
      <c r="F403" s="3" t="n">
        <v>0</v>
      </c>
      <c r="G403" s="3" t="n">
        <v>0</v>
      </c>
      <c r="H403" s="3" t="n">
        <v>0</v>
      </c>
      <c r="I403" s="3" t="n">
        <v>0</v>
      </c>
      <c r="J403" s="3" t="n">
        <v>0</v>
      </c>
      <c r="K403" s="3" t="n">
        <v>0</v>
      </c>
      <c r="L403" s="3">
        <f>IF(K403&lt;-5,"CRÍTICO",IF(K403&lt;0,"ATENÇÃO",IF(K403&lt;=5,"BOM","EXCELENTE")))</f>
        <v/>
      </c>
      <c r="M403" s="9" t="n">
        <v>0</v>
      </c>
      <c r="N403" s="9" t="n">
        <v>100</v>
      </c>
      <c r="O403" s="9" t="n">
        <v>0</v>
      </c>
    </row>
    <row r="404" hidden="1">
      <c r="A404" s="7" t="n">
        <v>46161</v>
      </c>
      <c r="B404" s="8" t="inlineStr">
        <is>
          <t>Ana Paula Da Luz Silva Aleixo</t>
        </is>
      </c>
      <c r="C404" s="9" t="inlineStr">
        <is>
          <t>Técnico III</t>
        </is>
      </c>
      <c r="D404" s="3" t="n">
        <v>22</v>
      </c>
      <c r="E404" s="3" t="n">
        <v>19</v>
      </c>
      <c r="F404" t="n">
        <v>20.44</v>
      </c>
      <c r="G404" s="3" t="n">
        <v>1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s="3" t="n">
        <v>16</v>
      </c>
      <c r="N404" s="3" t="n">
        <v>96.34</v>
      </c>
      <c r="O404" s="3" t="n">
        <v>17.57188498402556</v>
      </c>
    </row>
    <row r="405" hidden="1">
      <c r="A405" s="7" t="n">
        <v>46161</v>
      </c>
      <c r="B405" s="8" t="inlineStr">
        <is>
          <t>Cristiane Ramos da Silva Rocha</t>
        </is>
      </c>
      <c r="C405" s="9" t="inlineStr">
        <is>
          <t>Técnico III</t>
        </is>
      </c>
      <c r="D405" s="3" t="n">
        <v>33</v>
      </c>
      <c r="E405" s="3" t="n">
        <v>30</v>
      </c>
      <c r="F405" t="n">
        <v>11.55</v>
      </c>
      <c r="G405" s="3" t="n">
        <v>0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30</v>
      </c>
      <c r="N405" t="n">
        <v>91.84999999999999</v>
      </c>
      <c r="O405" t="n">
        <v>20.87155963302752</v>
      </c>
    </row>
    <row r="406" hidden="1">
      <c r="A406" s="7" t="n">
        <v>46161</v>
      </c>
      <c r="B406" s="8" t="inlineStr">
        <is>
          <t>Davylla Rodrigues Freitas Silva</t>
        </is>
      </c>
      <c r="C406" s="9" t="inlineStr">
        <is>
          <t>Técnico III</t>
        </is>
      </c>
      <c r="D406" s="3" t="n">
        <v>0</v>
      </c>
      <c r="E406" s="3" t="n">
        <v>0</v>
      </c>
      <c r="F406" s="3" t="n">
        <v>0</v>
      </c>
      <c r="G406" s="3" t="n">
        <v>0</v>
      </c>
      <c r="H406" s="3" t="n">
        <v>0</v>
      </c>
      <c r="I406" s="3" t="n">
        <v>0</v>
      </c>
      <c r="J406" s="3" t="n">
        <v>0</v>
      </c>
      <c r="K406" s="3" t="n">
        <v>0</v>
      </c>
      <c r="L406" s="3">
        <f>IF(K406&lt;-5,"CRÍTICO",IF(K406&lt;0,"ATENÇÃO",IF(K406&lt;=5,"BOM","EXCELENTE")))</f>
        <v/>
      </c>
      <c r="M406" s="9" t="n">
        <v>0</v>
      </c>
      <c r="N406" s="9" t="n">
        <v>99.06</v>
      </c>
      <c r="O406" s="9" t="n">
        <v>22.95719844357977</v>
      </c>
    </row>
    <row r="407" hidden="1">
      <c r="A407" s="7" t="n">
        <v>46161</v>
      </c>
      <c r="B407" s="8" t="inlineStr">
        <is>
          <t>Francielson de Oliveira</t>
        </is>
      </c>
      <c r="C407" s="9" t="inlineStr">
        <is>
          <t>Técnico III</t>
        </is>
      </c>
      <c r="D407" s="3" t="n">
        <v>12</v>
      </c>
      <c r="E407" s="3" t="n">
        <v>12</v>
      </c>
      <c r="F407" s="3" t="n">
        <v>18.2</v>
      </c>
      <c r="G407" s="3" t="n">
        <v>0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11</v>
      </c>
      <c r="N407" t="n">
        <v>100</v>
      </c>
      <c r="O407" t="n">
        <v>9.523809523809524</v>
      </c>
    </row>
    <row r="408" hidden="1">
      <c r="A408" s="7" t="n">
        <v>46161</v>
      </c>
      <c r="B408" s="8" t="inlineStr">
        <is>
          <t>Janaina Lima dos Reis Urany</t>
        </is>
      </c>
      <c r="C408" s="9" t="inlineStr">
        <is>
          <t>Técnico III</t>
        </is>
      </c>
      <c r="D408" s="3" t="n">
        <v>43</v>
      </c>
      <c r="E408" s="3" t="n">
        <v>39</v>
      </c>
      <c r="F408" t="n">
        <v>13.55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40</v>
      </c>
      <c r="N408" t="n">
        <v>98.64</v>
      </c>
      <c r="O408" t="n">
        <v>16.6383701188455</v>
      </c>
    </row>
    <row r="409" hidden="1">
      <c r="A409" s="7" t="n">
        <v>46161</v>
      </c>
      <c r="B409" s="8" t="inlineStr">
        <is>
          <t>Jaqueline Evangelista da Silva Martins</t>
        </is>
      </c>
      <c r="C409" s="9" t="inlineStr">
        <is>
          <t>Técnico III</t>
        </is>
      </c>
      <c r="D409" s="3" t="n">
        <v>11</v>
      </c>
      <c r="E409" s="3" t="n">
        <v>10</v>
      </c>
      <c r="F409" t="n">
        <v>14.08</v>
      </c>
      <c r="G409" s="3" t="n">
        <v>4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12</v>
      </c>
      <c r="N409" t="n">
        <v>95.40000000000001</v>
      </c>
      <c r="O409" t="n">
        <v>20.53333333333333</v>
      </c>
    </row>
    <row r="410" hidden="1">
      <c r="A410" s="7" t="n">
        <v>46161</v>
      </c>
      <c r="B410" s="8" t="inlineStr">
        <is>
          <t>Jéssica Fé Moura</t>
        </is>
      </c>
      <c r="C410" s="9" t="inlineStr">
        <is>
          <t>Técnico III</t>
        </is>
      </c>
      <c r="D410" s="3" t="n">
        <v>0</v>
      </c>
      <c r="E410" s="3" t="n">
        <v>0</v>
      </c>
      <c r="F410" s="3" t="n">
        <v>0</v>
      </c>
      <c r="G410" s="3" t="n">
        <v>0</v>
      </c>
      <c r="H410" s="3" t="n">
        <v>0</v>
      </c>
      <c r="I410" s="3" t="n">
        <v>0</v>
      </c>
      <c r="J410" s="3" t="n">
        <v>0</v>
      </c>
      <c r="K410" s="3" t="n">
        <v>0</v>
      </c>
      <c r="L410" s="3">
        <f>IF(K410&lt;-5,"CRÍTICO",IF(K410&lt;0,"ATENÇÃO",IF(K410&lt;=5,"BOM","EXCELENTE")))</f>
        <v/>
      </c>
      <c r="M410" s="9" t="n">
        <v>0</v>
      </c>
      <c r="N410" s="9" t="n">
        <v>0</v>
      </c>
      <c r="O410" s="9" t="n">
        <v>0</v>
      </c>
    </row>
    <row r="411" hidden="1">
      <c r="A411" s="7" t="n">
        <v>46161</v>
      </c>
      <c r="B411" s="8" t="inlineStr">
        <is>
          <t>Kerollen Cristielly de Jesus Siqueira</t>
        </is>
      </c>
      <c r="C411" s="9" t="inlineStr">
        <is>
          <t>Técnico III</t>
        </is>
      </c>
      <c r="D411" s="3" t="n">
        <v>32</v>
      </c>
      <c r="E411" s="3" t="n">
        <v>32</v>
      </c>
      <c r="F411" t="n">
        <v>17.18</v>
      </c>
      <c r="G411" s="3" t="n">
        <v>0</v>
      </c>
      <c r="H411" s="3" t="n">
        <v>0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IF(K411&lt;-5,"CRÍTICO",IF(K411&lt;0,"ATENÇÃO",IF(K411&lt;=5,"BOM","EXCELENTE")))</f>
        <v/>
      </c>
      <c r="M411" t="n">
        <v>28</v>
      </c>
      <c r="N411" t="n">
        <v>95.52</v>
      </c>
      <c r="O411" t="n">
        <v>10.56105610561056</v>
      </c>
    </row>
    <row r="412" hidden="1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16</v>
      </c>
      <c r="N412" t="n">
        <v>96.88</v>
      </c>
      <c r="O412" t="n">
        <v>30.37383177570093</v>
      </c>
    </row>
    <row r="413" hidden="1">
      <c r="A413" s="7" t="n">
        <v>46161</v>
      </c>
      <c r="B413" s="8" t="inlineStr">
        <is>
          <t>Leandro Oliveira de Sousa</t>
        </is>
      </c>
      <c r="C413" s="9" t="inlineStr">
        <is>
          <t>Técnico III</t>
        </is>
      </c>
      <c r="D413" s="3" t="n">
        <v>27</v>
      </c>
      <c r="E413" s="3" t="n">
        <v>26</v>
      </c>
      <c r="F413" t="n">
        <v>15.39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24</v>
      </c>
      <c r="N413" t="n">
        <v>100</v>
      </c>
      <c r="O413" t="n">
        <v>15.58441558441558</v>
      </c>
    </row>
    <row r="414" hidden="1">
      <c r="A414" s="7" t="n">
        <v>46161</v>
      </c>
      <c r="B414" s="8" t="inlineStr">
        <is>
          <t>Lucas Luiz Romero</t>
        </is>
      </c>
      <c r="C414" s="9" t="inlineStr">
        <is>
          <t>Técnico III</t>
        </is>
      </c>
      <c r="D414" s="3" t="n">
        <v>22</v>
      </c>
      <c r="E414" s="3" t="n">
        <v>20</v>
      </c>
      <c r="F414" t="n">
        <v>21.49</v>
      </c>
      <c r="G414" s="3" t="n">
        <v>0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18</v>
      </c>
      <c r="N414" t="n">
        <v>100</v>
      </c>
      <c r="O414" t="n">
        <v>4.347826086956522</v>
      </c>
    </row>
    <row r="415" hidden="1">
      <c r="A415" s="7" t="n">
        <v>46161</v>
      </c>
      <c r="B415" s="8" t="inlineStr">
        <is>
          <t>Matheus Farias De Souza</t>
        </is>
      </c>
      <c r="C415" s="9" t="inlineStr">
        <is>
          <t>Técnico III</t>
        </is>
      </c>
      <c r="D415" s="3" t="n">
        <v>0</v>
      </c>
      <c r="E415" s="3" t="n">
        <v>0</v>
      </c>
      <c r="F415" t="n">
        <v>0</v>
      </c>
      <c r="G415" s="3" t="n">
        <v>0</v>
      </c>
      <c r="H415" s="3" t="n">
        <v>33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14</v>
      </c>
      <c r="N415" t="n">
        <v>98.28</v>
      </c>
      <c r="O415" t="n">
        <v>9.037900874635568</v>
      </c>
    </row>
    <row r="416" hidden="1">
      <c r="A416" s="7" t="n">
        <v>46161</v>
      </c>
      <c r="B416" s="8" t="inlineStr">
        <is>
          <t>Maysa Victoria Dias Moura</t>
        </is>
      </c>
      <c r="C416" s="9" t="inlineStr">
        <is>
          <t>Técnico III</t>
        </is>
      </c>
      <c r="D416" s="3" t="n">
        <v>35</v>
      </c>
      <c r="E416" s="3" t="n">
        <v>31</v>
      </c>
      <c r="F416" t="n">
        <v>10.43</v>
      </c>
      <c r="G416" s="3" t="n">
        <v>4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30</v>
      </c>
      <c r="N416" t="n">
        <v>97.22</v>
      </c>
      <c r="O416" t="n">
        <v>19.09547738693467</v>
      </c>
    </row>
    <row r="417" hidden="1">
      <c r="A417" s="7" t="n">
        <v>46161</v>
      </c>
      <c r="B417" s="8" t="inlineStr">
        <is>
          <t>Rafael Gomes de Morais</t>
        </is>
      </c>
      <c r="C417" s="9" t="inlineStr">
        <is>
          <t>Técnico III</t>
        </is>
      </c>
      <c r="D417" s="3" t="n">
        <v>39</v>
      </c>
      <c r="E417" s="3" t="n">
        <v>35</v>
      </c>
      <c r="F417" t="n">
        <v>10.55</v>
      </c>
      <c r="G417" s="3" t="n">
        <v>3</v>
      </c>
      <c r="H417" s="3" t="n">
        <v>0</v>
      </c>
      <c r="I417" s="3">
        <f>E417+G417+H417</f>
        <v/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/>
      </c>
      <c r="K417" s="3">
        <f>I417-J417</f>
        <v/>
      </c>
      <c r="L417" s="3">
        <f>IF(K417&lt;-5,"CRÍTICO",IF(K417&lt;0,"ATENÇÃO",IF(K417&lt;=5,"BOM","EXCELENTE")))</f>
        <v/>
      </c>
      <c r="M417" t="n">
        <v>34</v>
      </c>
      <c r="N417" t="n">
        <v>99.29000000000001</v>
      </c>
      <c r="O417" t="n">
        <v>22.49443207126949</v>
      </c>
    </row>
    <row r="418" hidden="1">
      <c r="A418" s="7" t="n">
        <v>46161</v>
      </c>
      <c r="B418" s="8" t="inlineStr">
        <is>
          <t>Sarah Steffanie de Lima Borges</t>
        </is>
      </c>
      <c r="C418" s="9" t="inlineStr">
        <is>
          <t>Técnico III</t>
        </is>
      </c>
      <c r="D418" s="3" t="n">
        <v>25</v>
      </c>
      <c r="E418" s="3" t="n">
        <v>24</v>
      </c>
      <c r="F418" t="n">
        <v>18.25</v>
      </c>
      <c r="G418" s="3" t="n">
        <v>3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21</v>
      </c>
      <c r="N418" t="n">
        <v>97.33</v>
      </c>
      <c r="O418" t="n">
        <v>15.80547112462006</v>
      </c>
    </row>
    <row r="419" hidden="1">
      <c r="A419" s="7" t="n">
        <v>46162</v>
      </c>
      <c r="B419" s="8" t="inlineStr">
        <is>
          <t>Amanda Moura Ferreira</t>
        </is>
      </c>
      <c r="C419" s="9" t="inlineStr">
        <is>
          <t>Técnico III</t>
        </is>
      </c>
      <c r="D419" s="3" t="n">
        <v>0</v>
      </c>
      <c r="E419" s="3" t="n">
        <v>0</v>
      </c>
      <c r="F419" s="3" t="n">
        <v>0</v>
      </c>
      <c r="G419" s="3" t="n">
        <v>0</v>
      </c>
      <c r="H419" s="3" t="n">
        <v>0</v>
      </c>
      <c r="I419" s="3" t="n">
        <v>0</v>
      </c>
      <c r="J419" s="3" t="n">
        <v>0</v>
      </c>
      <c r="K419" s="3" t="n">
        <v>0</v>
      </c>
      <c r="L419" s="3">
        <f>IF(K419&lt;-5,"CRÍTICO",IF(K419&lt;0,"ATENÇÃO",IF(K419&lt;=5,"OPORTUNO","MUITO BOM")))</f>
        <v/>
      </c>
      <c r="M419" s="9" t="n">
        <v>0</v>
      </c>
      <c r="N419" s="9" t="n">
        <v>100</v>
      </c>
      <c r="O419" s="9" t="n">
        <v>0</v>
      </c>
    </row>
    <row r="420" hidden="1">
      <c r="A420" s="7" t="n">
        <v>46162</v>
      </c>
      <c r="B420" s="8" t="inlineStr">
        <is>
          <t>Ana Paula Da Luz Silva Aleixo</t>
        </is>
      </c>
      <c r="C420" s="9" t="inlineStr">
        <is>
          <t>Técnico III</t>
        </is>
      </c>
      <c r="D420" s="3" t="n">
        <v>22</v>
      </c>
      <c r="E420" s="3" t="n">
        <v>21</v>
      </c>
      <c r="F420" s="3" t="n">
        <v>18.34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9" t="n">
        <v>18</v>
      </c>
      <c r="N420" s="9" t="n">
        <v>96.34</v>
      </c>
      <c r="O420" s="9" t="n">
        <v>17.57188498402556</v>
      </c>
    </row>
    <row r="421" hidden="1">
      <c r="A421" s="7" t="n">
        <v>46162</v>
      </c>
      <c r="B421" s="8" t="inlineStr">
        <is>
          <t>Cristiane Ramos da Silva Rocha</t>
        </is>
      </c>
      <c r="C421" s="9" t="inlineStr">
        <is>
          <t>Técnico III</t>
        </is>
      </c>
      <c r="D421" s="3" t="n">
        <v>31</v>
      </c>
      <c r="E421" s="3" t="n">
        <v>26</v>
      </c>
      <c r="F421" s="3" t="n">
        <v>14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9" t="n">
        <v>21</v>
      </c>
      <c r="N421" s="9" t="n">
        <v>91.84999999999999</v>
      </c>
      <c r="O421" s="9" t="n">
        <v>20.87155963302752</v>
      </c>
    </row>
    <row r="422" hidden="1">
      <c r="A422" s="7" t="n">
        <v>46162</v>
      </c>
      <c r="B422" s="8" t="inlineStr">
        <is>
          <t>Davylla Rodrigues Freitas Silva</t>
        </is>
      </c>
      <c r="C422" s="9" t="inlineStr">
        <is>
          <t>Técnico III</t>
        </is>
      </c>
      <c r="D422" s="3" t="n">
        <v>0</v>
      </c>
      <c r="E422" s="3" t="n">
        <v>0</v>
      </c>
      <c r="F422" s="3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IF(K422&lt;-5,"CRÍTICO",IF(K422&lt;0,"ATENÇÃO",IF(K422&lt;=5,"OPORTUNO","MUITO BOM")))</f>
        <v/>
      </c>
      <c r="M422" s="9" t="n">
        <v>0</v>
      </c>
      <c r="N422" s="9" t="n">
        <v>99.06</v>
      </c>
      <c r="O422" s="9" t="n">
        <v>22.95719844357977</v>
      </c>
    </row>
    <row r="423" hidden="1">
      <c r="A423" s="7" t="n">
        <v>46162</v>
      </c>
      <c r="B423" s="8" t="inlineStr">
        <is>
          <t>Francielson de Oliveira</t>
        </is>
      </c>
      <c r="C423" s="9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IF(K423&lt;-5,"CRÍTICO",IF(K423&lt;0,"ATENÇÃO",IF(K423&lt;=5,"OPORTUNO","MUITO BOM")))</f>
        <v/>
      </c>
      <c r="M423" s="9" t="n">
        <v>0</v>
      </c>
      <c r="N423" s="9" t="n">
        <v>100</v>
      </c>
      <c r="O423" s="9" t="n">
        <v>9.523809523809524</v>
      </c>
    </row>
    <row r="424" hidden="1">
      <c r="A424" s="7" t="n">
        <v>46162</v>
      </c>
      <c r="B424" s="8" t="inlineStr">
        <is>
          <t>Janaina Lima dos Reis Urany</t>
        </is>
      </c>
      <c r="C424" s="9" t="inlineStr">
        <is>
          <t>Técnico III</t>
        </is>
      </c>
      <c r="D424" s="3" t="n">
        <v>38</v>
      </c>
      <c r="E424" s="3" t="n">
        <v>35</v>
      </c>
      <c r="F424" s="3" t="n">
        <v>13.25</v>
      </c>
      <c r="G424" s="3" t="n">
        <v>3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9" t="n">
        <v>34</v>
      </c>
      <c r="N424" s="9" t="n">
        <v>98.64</v>
      </c>
      <c r="O424" s="9" t="n">
        <v>16.6383701188455</v>
      </c>
    </row>
    <row r="425" hidden="1">
      <c r="A425" s="7" t="n">
        <v>46162</v>
      </c>
      <c r="B425" s="8" t="inlineStr">
        <is>
          <t>Jaqueline Evangelista da Silva Martins</t>
        </is>
      </c>
      <c r="C425" s="9" t="inlineStr">
        <is>
          <t>Técnico III</t>
        </is>
      </c>
      <c r="D425" s="3" t="n">
        <v>24</v>
      </c>
      <c r="E425" s="3" t="n">
        <v>21</v>
      </c>
      <c r="F425" s="3" t="n">
        <v>15.53</v>
      </c>
      <c r="G425" s="3" t="n">
        <v>2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9" t="n">
        <v>19</v>
      </c>
      <c r="N425" s="9" t="n">
        <v>95.40000000000001</v>
      </c>
      <c r="O425" s="9" t="n">
        <v>20.53333333333333</v>
      </c>
    </row>
    <row r="426" hidden="1">
      <c r="A426" s="7" t="n">
        <v>46162</v>
      </c>
      <c r="B426" s="8" t="inlineStr">
        <is>
          <t>Jéssica Fé Moura</t>
        </is>
      </c>
      <c r="C426" s="9" t="inlineStr">
        <is>
          <t>Técnico III</t>
        </is>
      </c>
      <c r="D426" s="3" t="n">
        <v>0</v>
      </c>
      <c r="E426" s="3" t="n">
        <v>0</v>
      </c>
      <c r="F426" s="3" t="n">
        <v>0</v>
      </c>
      <c r="G426" s="3" t="n">
        <v>0</v>
      </c>
      <c r="H426" s="3" t="n">
        <v>0</v>
      </c>
      <c r="I426" s="3" t="n">
        <v>0</v>
      </c>
      <c r="J426" s="3" t="n">
        <v>0</v>
      </c>
      <c r="K426" s="3" t="n">
        <v>0</v>
      </c>
      <c r="L426" s="3">
        <f>IF(K426&lt;-5,"CRÍTICO",IF(K426&lt;0,"ATENÇÃO",IF(K426&lt;=5,"OPORTUNO","MUITO BOM")))</f>
        <v/>
      </c>
      <c r="M426" s="9" t="n">
        <v>0</v>
      </c>
      <c r="N426" s="9" t="n">
        <v>0</v>
      </c>
      <c r="O426" s="9" t="n">
        <v>0</v>
      </c>
    </row>
    <row r="427" hidden="1">
      <c r="A427" s="7" t="n">
        <v>46162</v>
      </c>
      <c r="B427" s="8" t="inlineStr">
        <is>
          <t>Kerollen Cristielly de Jesus Siqueira</t>
        </is>
      </c>
      <c r="C427" s="9" t="inlineStr">
        <is>
          <t>Técnico III</t>
        </is>
      </c>
      <c r="D427" s="3" t="n">
        <v>17</v>
      </c>
      <c r="E427" s="3" t="n">
        <v>16</v>
      </c>
      <c r="F427" s="3" t="n">
        <v>23.31</v>
      </c>
      <c r="G427" s="3" t="n">
        <v>1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IF(K427&lt;-5,"CRÍTICO",IF(K427&lt;0,"ATENÇÃO",IF(K427&lt;=5,"OPORTUNO","MUITO BOM")))</f>
        <v/>
      </c>
      <c r="M427" s="9" t="n">
        <v>18</v>
      </c>
      <c r="N427" s="9" t="n">
        <v>95.52</v>
      </c>
      <c r="O427" s="9" t="n">
        <v>10.56105610561056</v>
      </c>
    </row>
    <row r="428" hidden="1">
      <c r="A428" s="7" t="n">
        <v>46162</v>
      </c>
      <c r="B428" s="8" t="inlineStr">
        <is>
          <t>Leandro Oliveira de Sousa</t>
        </is>
      </c>
      <c r="C428" s="9" t="inlineStr">
        <is>
          <t>Técnico III</t>
        </is>
      </c>
      <c r="D428" s="3" t="n">
        <v>34</v>
      </c>
      <c r="E428" s="3" t="n">
        <v>29</v>
      </c>
      <c r="F428" s="3" t="n">
        <v>12.33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9" t="n">
        <v>28</v>
      </c>
      <c r="N428" s="9" t="n">
        <v>100</v>
      </c>
      <c r="O428" s="9" t="n">
        <v>15.58441558441558</v>
      </c>
    </row>
    <row r="429" hidden="1">
      <c r="A429" s="7" t="n">
        <v>46162</v>
      </c>
      <c r="B429" s="8" t="inlineStr">
        <is>
          <t>Lucas Luiz Romero</t>
        </is>
      </c>
      <c r="C429" s="9" t="inlineStr">
        <is>
          <t>Técnico III</t>
        </is>
      </c>
      <c r="D429" s="3" t="n">
        <v>26</v>
      </c>
      <c r="E429" s="3" t="n">
        <v>21</v>
      </c>
      <c r="F429" s="3" t="n">
        <v>15.25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IF(K429&lt;-5,"CRÍTICO",IF(K429&lt;0,"ATENÇÃO",IF(K429&lt;=5,"OPORTUNO","MUITO BOM")))</f>
        <v/>
      </c>
      <c r="M429" s="9" t="n">
        <v>18</v>
      </c>
      <c r="N429" s="9" t="n">
        <v>100</v>
      </c>
      <c r="O429" s="9" t="n">
        <v>4.347826086956522</v>
      </c>
    </row>
    <row r="430" hidden="1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12</v>
      </c>
      <c r="N430" t="n">
        <v>97.14</v>
      </c>
      <c r="O430" t="n">
        <v>30.08849557522124</v>
      </c>
    </row>
    <row r="431" hidden="1">
      <c r="A431" s="7" t="n">
        <v>46162</v>
      </c>
      <c r="B431" s="8" t="inlineStr">
        <is>
          <t>Matheus Farias De Souza</t>
        </is>
      </c>
      <c r="C431" s="9" t="inlineStr">
        <is>
          <t>Técnico III</t>
        </is>
      </c>
      <c r="D431" s="3" t="n">
        <v>0</v>
      </c>
      <c r="E431" s="3" t="n">
        <v>0</v>
      </c>
      <c r="F431" s="3" t="n">
        <v>0</v>
      </c>
      <c r="G431" s="3" t="n">
        <v>0</v>
      </c>
      <c r="H431" s="3" t="n">
        <v>25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9" t="n">
        <v>16</v>
      </c>
      <c r="N431" s="9" t="n">
        <v>98.28</v>
      </c>
      <c r="O431" s="9" t="n">
        <v>9.037900874635568</v>
      </c>
    </row>
    <row r="432" hidden="1">
      <c r="A432" s="7" t="n">
        <v>46162</v>
      </c>
      <c r="B432" s="8" t="inlineStr">
        <is>
          <t>Maysa Victoria Dias Moura</t>
        </is>
      </c>
      <c r="C432" s="9" t="inlineStr">
        <is>
          <t>Técnico III</t>
        </is>
      </c>
      <c r="D432" s="3" t="n">
        <v>27</v>
      </c>
      <c r="E432" s="3" t="n">
        <v>25</v>
      </c>
      <c r="F432" s="3" t="n">
        <v>15.01</v>
      </c>
      <c r="G432" s="3" t="n">
        <v>2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9" t="n">
        <v>23</v>
      </c>
      <c r="N432" s="9" t="n">
        <v>97.22</v>
      </c>
      <c r="O432" s="9" t="n">
        <v>19.09547738693467</v>
      </c>
    </row>
    <row r="433" hidden="1">
      <c r="A433" s="7" t="n">
        <v>46162</v>
      </c>
      <c r="B433" s="8" t="inlineStr">
        <is>
          <t>Rafael Gomes de Morais</t>
        </is>
      </c>
      <c r="C433" s="9" t="inlineStr">
        <is>
          <t>Técnico III</t>
        </is>
      </c>
      <c r="D433" s="3" t="n">
        <v>37</v>
      </c>
      <c r="E433" s="3" t="n">
        <v>33</v>
      </c>
      <c r="F433" s="3" t="n">
        <v>15.26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IF(K433&lt;-5,"CRÍTICO",IF(K433&lt;0,"ATENÇÃO",IF(K433&lt;=5,"OPORTUNO","MUITO BOM")))</f>
        <v/>
      </c>
      <c r="M433" s="9" t="n">
        <v>28</v>
      </c>
      <c r="N433" s="9" t="n">
        <v>99.29000000000001</v>
      </c>
      <c r="O433" s="9" t="n">
        <v>22.49443207126949</v>
      </c>
    </row>
    <row r="434" hidden="1">
      <c r="A434" s="7" t="n">
        <v>46162</v>
      </c>
      <c r="B434" s="8" t="inlineStr">
        <is>
          <t>Sarah Steffanie de Lima Borges</t>
        </is>
      </c>
      <c r="C434" s="9" t="inlineStr">
        <is>
          <t>Técnico III</t>
        </is>
      </c>
      <c r="D434" s="3" t="n">
        <v>25</v>
      </c>
      <c r="E434" s="3" t="n">
        <v>23</v>
      </c>
      <c r="F434" s="3" t="n">
        <v>12.07</v>
      </c>
      <c r="G434" s="3" t="n">
        <v>1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9" t="n">
        <v>21</v>
      </c>
      <c r="N434" s="9" t="n">
        <v>97.33</v>
      </c>
      <c r="O434" s="9" t="n">
        <v>15.80547112462006</v>
      </c>
    </row>
    <row r="435" hidden="1">
      <c r="A435" s="5" t="n">
        <v>46163</v>
      </c>
      <c r="B435" s="6" t="inlineStr">
        <is>
          <t>Amanda Moura Ferreira</t>
        </is>
      </c>
      <c r="C435" s="3" t="inlineStr">
        <is>
          <t>Técnico III</t>
        </is>
      </c>
      <c r="D435" s="3" t="n">
        <v>0</v>
      </c>
      <c r="E435" s="3" t="n">
        <v>0</v>
      </c>
      <c r="F435" s="3" t="n">
        <v>0</v>
      </c>
      <c r="G435" s="3" t="n">
        <v>0</v>
      </c>
      <c r="H435" s="3" t="n">
        <v>0</v>
      </c>
      <c r="I435" s="3" t="n">
        <v>0</v>
      </c>
      <c r="J435" s="3" t="n">
        <v>0</v>
      </c>
      <c r="K435" s="3" t="n">
        <v>0</v>
      </c>
      <c r="L435" s="3">
        <f>IF(K435&lt;-5,"CRÍTICO",IF(K435&lt;0,"ATENÇÃO",IF(K435&lt;=5,"OPORTUNO","MUITO BOM")))</f>
        <v/>
      </c>
      <c r="M435" s="3" t="n">
        <v>0</v>
      </c>
      <c r="N435" s="3" t="n">
        <v>100</v>
      </c>
      <c r="O435" s="3" t="n">
        <v>0</v>
      </c>
    </row>
    <row r="436" hidden="1">
      <c r="A436" s="5" t="n">
        <v>46163</v>
      </c>
      <c r="B436" s="6" t="inlineStr">
        <is>
          <t>Ana Paula Da Luz Silva Aleixo</t>
        </is>
      </c>
      <c r="C436" s="3" t="inlineStr">
        <is>
          <t>Técnico III</t>
        </is>
      </c>
      <c r="D436" s="3" t="n">
        <v>17</v>
      </c>
      <c r="E436" s="3" t="n">
        <v>15</v>
      </c>
      <c r="F436" s="3" t="n">
        <v>20.24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13</v>
      </c>
      <c r="N436" s="3" t="n">
        <v>96.34</v>
      </c>
      <c r="O436" s="3" t="n">
        <v>17.57188498402556</v>
      </c>
    </row>
    <row r="437" hidden="1">
      <c r="A437" s="5" t="n">
        <v>46163</v>
      </c>
      <c r="B437" s="6" t="inlineStr">
        <is>
          <t>Cristiane Ramos da Silva Rocha</t>
        </is>
      </c>
      <c r="C437" s="3" t="inlineStr">
        <is>
          <t>Técnico III</t>
        </is>
      </c>
      <c r="D437" s="3" t="n">
        <v>22</v>
      </c>
      <c r="E437" s="3" t="n">
        <v>22</v>
      </c>
      <c r="F437" s="3" t="n">
        <v>13.42</v>
      </c>
      <c r="G437" s="3" t="n">
        <v>0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20</v>
      </c>
      <c r="N437" s="3" t="n">
        <v>91.84999999999999</v>
      </c>
      <c r="O437" s="3" t="n">
        <v>20.87155963302752</v>
      </c>
    </row>
    <row r="438" hidden="1">
      <c r="A438" s="5" t="n">
        <v>46163</v>
      </c>
      <c r="B438" s="6" t="inlineStr">
        <is>
          <t>Davylla Rodrigues Freitas Silva</t>
        </is>
      </c>
      <c r="C438" s="3" t="inlineStr">
        <is>
          <t>Técnico III</t>
        </is>
      </c>
      <c r="D438" s="3" t="n">
        <v>0</v>
      </c>
      <c r="E438" s="3" t="n">
        <v>0</v>
      </c>
      <c r="F438" s="3" t="n">
        <v>0</v>
      </c>
      <c r="G438" s="3" t="n">
        <v>0</v>
      </c>
      <c r="H438" s="3" t="n">
        <v>0</v>
      </c>
      <c r="I438" s="3" t="n">
        <v>0</v>
      </c>
      <c r="J438" s="3" t="n">
        <v>0</v>
      </c>
      <c r="K438" s="3" t="n">
        <v>0</v>
      </c>
      <c r="L438" s="3">
        <f>IF(K438&lt;-5,"CRÍTICO",IF(K438&lt;0,"ATENÇÃO",IF(K438&lt;=5,"OPORTUNO","MUITO BOM")))</f>
        <v/>
      </c>
      <c r="M438" s="3" t="n">
        <v>0</v>
      </c>
      <c r="N438" s="3" t="n">
        <v>99.06</v>
      </c>
      <c r="O438" s="3" t="n">
        <v>22.95719844357977</v>
      </c>
    </row>
    <row r="439" hidden="1">
      <c r="A439" s="5" t="n">
        <v>46163</v>
      </c>
      <c r="B439" s="6" t="inlineStr">
        <is>
          <t>Francielson de Oliveira</t>
        </is>
      </c>
      <c r="C439" s="3" t="inlineStr">
        <is>
          <t>Técnico III</t>
        </is>
      </c>
      <c r="D439" s="3" t="n">
        <v>0</v>
      </c>
      <c r="E439" s="3" t="n">
        <v>0</v>
      </c>
      <c r="F439" s="3" t="n">
        <v>0</v>
      </c>
      <c r="G439" s="3" t="n">
        <v>0</v>
      </c>
      <c r="H439" s="3" t="n">
        <v>0</v>
      </c>
      <c r="I439" s="3" t="n">
        <v>0</v>
      </c>
      <c r="J439" s="3" t="n">
        <v>0</v>
      </c>
      <c r="K439" s="3" t="n">
        <v>0</v>
      </c>
      <c r="L439" s="3">
        <f>IF(K439&lt;-5,"CRÍTICO",IF(K439&lt;0,"ATENÇÃO",IF(K439&lt;=5,"OPORTUNO","MUITO BOM")))</f>
        <v/>
      </c>
      <c r="M439" s="3" t="n">
        <v>0</v>
      </c>
      <c r="N439" s="3" t="n">
        <v>100</v>
      </c>
      <c r="O439" s="3" t="n">
        <v>9.523809523809524</v>
      </c>
    </row>
    <row r="440" hidden="1">
      <c r="A440" s="5" t="n">
        <v>46163</v>
      </c>
      <c r="B440" s="6" t="inlineStr">
        <is>
          <t>Janaina Lima dos Reis Urany</t>
        </is>
      </c>
      <c r="C440" s="3" t="inlineStr">
        <is>
          <t>Técnico III</t>
        </is>
      </c>
      <c r="D440" s="3" t="n">
        <v>31</v>
      </c>
      <c r="E440" s="3" t="n">
        <v>28</v>
      </c>
      <c r="F440" s="3" t="n">
        <v>13.35</v>
      </c>
      <c r="G440" s="3" t="n">
        <v>2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28</v>
      </c>
      <c r="N440" s="3" t="n">
        <v>98.64</v>
      </c>
      <c r="O440" s="3" t="n">
        <v>16.6383701188455</v>
      </c>
    </row>
    <row r="441" hidden="1">
      <c r="A441" s="5" t="n">
        <v>46163</v>
      </c>
      <c r="B441" s="6" t="inlineStr">
        <is>
          <t>Jaqueline Evangelista da Silva Martins</t>
        </is>
      </c>
      <c r="C441" s="3" t="inlineStr">
        <is>
          <t>Técnico III</t>
        </is>
      </c>
      <c r="D441" s="3" t="n">
        <v>10</v>
      </c>
      <c r="E441" s="3" t="n">
        <v>10</v>
      </c>
      <c r="F441" s="3" t="n">
        <v>19.12</v>
      </c>
      <c r="G441" s="3" t="n">
        <v>2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IF(K441&lt;-5,"CRÍTICO",IF(K441&lt;0,"ATENÇÃO",IF(K441&lt;=5,"OPORTUNO","MUITO BOM")))</f>
        <v/>
      </c>
      <c r="M441" s="3" t="n">
        <v>10</v>
      </c>
      <c r="N441" s="3" t="n">
        <v>95.40000000000001</v>
      </c>
      <c r="O441" s="3" t="n">
        <v>20.53333333333333</v>
      </c>
    </row>
    <row r="442" hidden="1">
      <c r="A442" s="5" t="n">
        <v>46163</v>
      </c>
      <c r="B442" s="6" t="inlineStr">
        <is>
          <t>Jéssica Fé Moura</t>
        </is>
      </c>
      <c r="C442" s="3" t="inlineStr">
        <is>
          <t>Técnico III</t>
        </is>
      </c>
      <c r="D442" s="3" t="n">
        <v>0</v>
      </c>
      <c r="E442" s="3" t="n">
        <v>0</v>
      </c>
      <c r="F442" s="3" t="n">
        <v>0</v>
      </c>
      <c r="G442" s="3" t="n">
        <v>0</v>
      </c>
      <c r="H442" s="3" t="n">
        <v>0</v>
      </c>
      <c r="I442" s="3" t="n">
        <v>0</v>
      </c>
      <c r="J442" s="3" t="n">
        <v>0</v>
      </c>
      <c r="K442" s="3" t="n">
        <v>0</v>
      </c>
      <c r="L442" s="3">
        <f>IF(K442&lt;-5,"CRÍTICO",IF(K442&lt;0,"ATENÇÃO",IF(K442&lt;=5,"OPORTUNO","MUITO BOM")))</f>
        <v/>
      </c>
      <c r="M442" s="3" t="n">
        <v>0</v>
      </c>
      <c r="N442" s="3" t="n">
        <v>0</v>
      </c>
      <c r="O442" s="3" t="n">
        <v>0</v>
      </c>
    </row>
    <row r="443" hidden="1">
      <c r="A443" s="5" t="n">
        <v>46163</v>
      </c>
      <c r="B443" s="6" t="inlineStr">
        <is>
          <t>Kerollen Cristielly de Jesus Siqueira</t>
        </is>
      </c>
      <c r="C443" s="3" t="inlineStr">
        <is>
          <t>Técnico III</t>
        </is>
      </c>
      <c r="D443" s="3" t="n">
        <v>21</v>
      </c>
      <c r="E443" s="3" t="n">
        <v>20</v>
      </c>
      <c r="F443" s="3" t="n">
        <v>23.33</v>
      </c>
      <c r="G443" s="3" t="n">
        <v>1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21</v>
      </c>
      <c r="N443" s="3" t="n">
        <v>95.52</v>
      </c>
      <c r="O443" s="3" t="n">
        <v>10.56105610561056</v>
      </c>
    </row>
    <row r="444" hidden="1">
      <c r="A444" s="5" t="n">
        <v>46163</v>
      </c>
      <c r="B444" s="6" t="inlineStr">
        <is>
          <t>Leandro Oliveira de Sousa</t>
        </is>
      </c>
      <c r="C444" s="3" t="inlineStr">
        <is>
          <t>Técnico III</t>
        </is>
      </c>
      <c r="D444" s="3" t="n">
        <v>22</v>
      </c>
      <c r="E444" s="3" t="n">
        <v>21</v>
      </c>
      <c r="F444" s="3" t="n">
        <v>15.35</v>
      </c>
      <c r="G444" s="3" t="n">
        <v>0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20</v>
      </c>
      <c r="N444" s="3" t="n">
        <v>100</v>
      </c>
      <c r="O444" s="3" t="n">
        <v>15.58441558441558</v>
      </c>
    </row>
    <row r="445" hidden="1">
      <c r="A445" s="5" t="n">
        <v>46163</v>
      </c>
      <c r="B445" s="6" t="inlineStr">
        <is>
          <t>Lucas Luiz Romero</t>
        </is>
      </c>
      <c r="C445" s="3" t="inlineStr">
        <is>
          <t>Técnico III</t>
        </is>
      </c>
      <c r="D445" s="3" t="n">
        <v>29</v>
      </c>
      <c r="E445" s="3" t="n">
        <v>27</v>
      </c>
      <c r="F445" s="3" t="n">
        <v>15.54</v>
      </c>
      <c r="G445" s="3" t="n">
        <v>0</v>
      </c>
      <c r="H445" s="3" t="n">
        <v>0</v>
      </c>
      <c r="I445" s="3">
        <f>E445+G445+H445</f>
        <v/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/>
      </c>
      <c r="K445" s="3">
        <f>I445-J445</f>
        <v/>
      </c>
      <c r="L445" s="3">
        <f>IF(K445&lt;-5,"CRÍTICO",IF(K445&lt;0,"ATENÇÃO",IF(K445&lt;=5,"OPORTUNO","MUITO BOM")))</f>
        <v/>
      </c>
      <c r="M445" s="3" t="n">
        <v>18</v>
      </c>
      <c r="N445" s="3" t="n">
        <v>100</v>
      </c>
      <c r="O445" s="3" t="n">
        <v>4.347826086956522</v>
      </c>
    </row>
    <row r="446" hidden="1">
      <c r="A446" s="5" t="n">
        <v>46163</v>
      </c>
      <c r="B446" s="6" t="inlineStr">
        <is>
          <t>Matheus Farias De Souza</t>
        </is>
      </c>
      <c r="C446" s="3" t="inlineStr">
        <is>
          <t>Técnico III</t>
        </is>
      </c>
      <c r="D446" s="3" t="n">
        <v>0</v>
      </c>
      <c r="E446" s="3" t="n">
        <v>0</v>
      </c>
      <c r="F446" s="3" t="n">
        <v>0</v>
      </c>
      <c r="G446" s="3" t="n">
        <v>0</v>
      </c>
      <c r="H446" s="3" t="n">
        <v>30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15</v>
      </c>
      <c r="N446" s="3" t="n">
        <v>98.28</v>
      </c>
      <c r="O446" s="3" t="n">
        <v>9.037900874635568</v>
      </c>
    </row>
    <row r="447" hidden="1">
      <c r="A447" s="5" t="n">
        <v>46163</v>
      </c>
      <c r="B447" s="6" t="inlineStr">
        <is>
          <t>Maysa Victoria Dias Moura</t>
        </is>
      </c>
      <c r="C447" s="3" t="inlineStr">
        <is>
          <t>Técnico III</t>
        </is>
      </c>
      <c r="D447" s="3" t="n">
        <v>27</v>
      </c>
      <c r="E447" s="3" t="n">
        <v>22</v>
      </c>
      <c r="F447" s="3" t="n">
        <v>15.16</v>
      </c>
      <c r="G447" s="3" t="n">
        <v>3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21</v>
      </c>
      <c r="N447" s="3" t="n">
        <v>97.22</v>
      </c>
      <c r="O447" s="3" t="n">
        <v>19.09547738693467</v>
      </c>
    </row>
    <row r="448" hidden="1">
      <c r="A448" s="5" t="n">
        <v>46163</v>
      </c>
      <c r="B448" s="6" t="inlineStr">
        <is>
          <t>Rafael Gomes de Morais</t>
        </is>
      </c>
      <c r="C448" s="3" t="inlineStr">
        <is>
          <t>Técnico III</t>
        </is>
      </c>
      <c r="D448" s="3" t="n">
        <v>35</v>
      </c>
      <c r="E448" s="3" t="n">
        <v>31</v>
      </c>
      <c r="F448" s="3" t="n">
        <v>8.300000000000001</v>
      </c>
      <c r="G448" s="3" t="n">
        <v>2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IF(K448&lt;-5,"CRÍTICO",IF(K448&lt;0,"ATENÇÃO",IF(K448&lt;=5,"OPORTUNO","MUITO BOM")))</f>
        <v/>
      </c>
      <c r="M448" s="3" t="n">
        <v>22</v>
      </c>
      <c r="N448" s="3" t="n">
        <v>99.29000000000001</v>
      </c>
      <c r="O448" s="3" t="n">
        <v>22.49443207126949</v>
      </c>
    </row>
    <row r="449" hidden="1">
      <c r="A449" s="5" t="n">
        <v>46163</v>
      </c>
      <c r="B449" s="6" t="inlineStr">
        <is>
          <t>Sarah Steffanie de Lima Borges</t>
        </is>
      </c>
      <c r="C449" s="3" t="inlineStr">
        <is>
          <t>Técnico III</t>
        </is>
      </c>
      <c r="D449" s="3" t="n">
        <v>23</v>
      </c>
      <c r="E449" s="3" t="n">
        <v>22</v>
      </c>
      <c r="F449" s="3" t="n">
        <v>17.08</v>
      </c>
      <c r="G449" s="3" t="n">
        <v>1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21</v>
      </c>
      <c r="N449" s="3" t="n">
        <v>97.33</v>
      </c>
      <c r="O449" s="3" t="n">
        <v>15.80547112462006</v>
      </c>
    </row>
    <row r="450" hidden="1">
      <c r="A450" s="10" t="n">
        <v>46164</v>
      </c>
      <c r="B450" s="6" t="inlineStr">
        <is>
          <t>Amanda Moura Ferreira</t>
        </is>
      </c>
      <c r="C450" s="3" t="inlineStr">
        <is>
          <t>Técnico III</t>
        </is>
      </c>
      <c r="D450" s="3" t="n">
        <v>0</v>
      </c>
      <c r="E450" s="3" t="n">
        <v>0</v>
      </c>
      <c r="F450" s="3" t="n">
        <v>0</v>
      </c>
      <c r="G450" s="3" t="n">
        <v>0</v>
      </c>
      <c r="H450" s="3" t="n">
        <v>0</v>
      </c>
      <c r="I450" s="3" t="n">
        <v>0</v>
      </c>
      <c r="J450" s="3" t="n">
        <v>0</v>
      </c>
      <c r="K450" s="3" t="n">
        <v>0</v>
      </c>
      <c r="L450" s="3">
        <f>IF(K450&lt;-5,"CRÍTICO",IF(K450&lt;0,"ATENÇÃO",IF(K450&lt;=5,"OPORTUNO","MUITO BOM")))</f>
        <v/>
      </c>
      <c r="M450" s="3" t="n">
        <v>0</v>
      </c>
      <c r="N450" s="3" t="n">
        <v>100</v>
      </c>
      <c r="O450" s="3" t="n">
        <v>0</v>
      </c>
    </row>
    <row r="451" hidden="1">
      <c r="A451" s="10" t="n">
        <v>46164</v>
      </c>
      <c r="B451" s="6" t="inlineStr">
        <is>
          <t>Ana Paula Da Luz Silva Aleixo</t>
        </is>
      </c>
      <c r="C451" s="3" t="inlineStr">
        <is>
          <t>Técnico III</t>
        </is>
      </c>
      <c r="D451" s="3" t="n">
        <v>20</v>
      </c>
      <c r="E451" s="3" t="n">
        <v>20</v>
      </c>
      <c r="F451" s="3" t="n">
        <v>20.44</v>
      </c>
      <c r="G451" s="3" t="n">
        <v>3</v>
      </c>
      <c r="H451" s="3" t="n">
        <v>0</v>
      </c>
      <c r="I451" s="3">
        <f>E451+G451+H451</f>
        <v/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/>
      </c>
      <c r="K451" s="3">
        <f>I451-J451</f>
        <v/>
      </c>
      <c r="L451" s="3">
        <f>IF(K451&lt;-5,"CRÍTICO",IF(K451&lt;0,"ATENÇÃO",IF(K451&lt;=5,"OPORTUNO","MUITO BOM")))</f>
        <v/>
      </c>
      <c r="M451" s="3" t="n">
        <v>16</v>
      </c>
      <c r="N451" s="3" t="n">
        <v>96.34</v>
      </c>
      <c r="O451" s="3" t="n">
        <v>17.57188498402556</v>
      </c>
    </row>
    <row r="452" hidden="1">
      <c r="A452" s="10" t="n">
        <v>46164</v>
      </c>
      <c r="B452" s="6" t="inlineStr">
        <is>
          <t>Cristiane Ramos da Silva Rocha</t>
        </is>
      </c>
      <c r="C452" s="3" t="inlineStr">
        <is>
          <t>Técnico III</t>
        </is>
      </c>
      <c r="D452" s="3" t="n">
        <v>25</v>
      </c>
      <c r="E452" s="3" t="n">
        <v>24</v>
      </c>
      <c r="F452" s="3" t="n">
        <v>15.42</v>
      </c>
      <c r="G452" s="3" t="n">
        <v>0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22</v>
      </c>
      <c r="N452" s="3" t="n">
        <v>91.84999999999999</v>
      </c>
      <c r="O452" s="3" t="n">
        <v>20.87155963302752</v>
      </c>
    </row>
    <row r="453" hidden="1">
      <c r="A453" s="10" t="n">
        <v>46164</v>
      </c>
      <c r="B453" s="6" t="inlineStr">
        <is>
          <t>Davylla Rodrigues Freitas Silva</t>
        </is>
      </c>
      <c r="C453" s="3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IF(K453&lt;-5,"CRÍTICO",IF(K453&lt;0,"ATENÇÃO",IF(K453&lt;=5,"OPORTUNO","MUITO BOM")))</f>
        <v/>
      </c>
      <c r="M453" s="3" t="n">
        <v>0</v>
      </c>
      <c r="N453" s="3" t="n">
        <v>99.06</v>
      </c>
      <c r="O453" s="3" t="n">
        <v>22.95719844357977</v>
      </c>
    </row>
    <row r="454" hidden="1">
      <c r="A454" s="10" t="n">
        <v>46164</v>
      </c>
      <c r="B454" s="6" t="inlineStr">
        <is>
          <t>Francielson de Oliveira</t>
        </is>
      </c>
      <c r="C454" s="3" t="inlineStr">
        <is>
          <t>Técnico III</t>
        </is>
      </c>
      <c r="D454" s="3" t="n">
        <v>12</v>
      </c>
      <c r="E454" s="3" t="n">
        <v>11</v>
      </c>
      <c r="F454" s="3" t="n">
        <v>12.15</v>
      </c>
      <c r="G454" s="3" t="n">
        <v>1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10</v>
      </c>
      <c r="N454" s="3" t="n">
        <v>100</v>
      </c>
      <c r="O454" s="3" t="n">
        <v>9.523809523809524</v>
      </c>
    </row>
    <row r="455" hidden="1">
      <c r="A455" s="10" t="n">
        <v>46164</v>
      </c>
      <c r="B455" s="6" t="inlineStr">
        <is>
          <t>Janaina Lima dos Reis Urany</t>
        </is>
      </c>
      <c r="C455" s="3" t="inlineStr">
        <is>
          <t>Técnico III</t>
        </is>
      </c>
      <c r="D455" s="3" t="n">
        <v>28</v>
      </c>
      <c r="E455" s="3" t="n">
        <v>26</v>
      </c>
      <c r="F455" s="3" t="n">
        <v>12.35</v>
      </c>
      <c r="G455" s="3" t="n">
        <v>5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IF(K455&lt;-5,"CRÍTICO",IF(K455&lt;0,"ATENÇÃO",IF(K455&lt;=5,"OPORTUNO","MUITO BOM")))</f>
        <v/>
      </c>
      <c r="M455" s="3" t="n">
        <v>23</v>
      </c>
      <c r="N455" s="3" t="n">
        <v>98.64</v>
      </c>
      <c r="O455" s="3" t="n">
        <v>16.6383701188455</v>
      </c>
    </row>
    <row r="456" hidden="1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6</v>
      </c>
      <c r="N456" t="n">
        <v>97.67</v>
      </c>
      <c r="O456" t="n">
        <v>30.17241379310345</v>
      </c>
    </row>
    <row r="457" hidden="1">
      <c r="A457" s="10" t="n">
        <v>46164</v>
      </c>
      <c r="B457" s="6" t="inlineStr">
        <is>
          <t>Jaqueline Evangelista da Silva Martins</t>
        </is>
      </c>
      <c r="C457" s="3" t="inlineStr">
        <is>
          <t>Técnico III</t>
        </is>
      </c>
      <c r="D457" s="3" t="n">
        <v>14</v>
      </c>
      <c r="E457" s="3" t="n">
        <v>14</v>
      </c>
      <c r="F457" s="3" t="n">
        <v>21.55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14</v>
      </c>
      <c r="N457" s="3" t="n">
        <v>95.40000000000001</v>
      </c>
      <c r="O457" s="3" t="n">
        <v>20.53333333333333</v>
      </c>
    </row>
    <row r="458" hidden="1">
      <c r="A458" s="10" t="n">
        <v>46164</v>
      </c>
      <c r="B458" s="6" t="inlineStr">
        <is>
          <t>Jéssica Fé Moura</t>
        </is>
      </c>
      <c r="C458" s="3" t="inlineStr">
        <is>
          <t>Técnico III</t>
        </is>
      </c>
      <c r="D458" s="3" t="n">
        <v>0</v>
      </c>
      <c r="E458" s="3" t="n">
        <v>0</v>
      </c>
      <c r="F458" s="3" t="n">
        <v>0</v>
      </c>
      <c r="G458" s="3" t="n">
        <v>0</v>
      </c>
      <c r="H458" s="3" t="n">
        <v>0</v>
      </c>
      <c r="I458" s="3" t="n">
        <v>0</v>
      </c>
      <c r="J458" s="3" t="n">
        <v>0</v>
      </c>
      <c r="K458" s="3" t="n">
        <v>0</v>
      </c>
      <c r="L458" s="3">
        <f>IF(K458&lt;-5,"CRÍTICO",IF(K458&lt;0,"ATENÇÃO",IF(K458&lt;=5,"OPORTUNO","MUITO BOM")))</f>
        <v/>
      </c>
      <c r="M458" s="3" t="n">
        <v>0</v>
      </c>
      <c r="N458" s="3" t="n">
        <v>0</v>
      </c>
      <c r="O458" s="3" t="n">
        <v>0</v>
      </c>
    </row>
    <row r="459" hidden="1">
      <c r="A459" s="10" t="n">
        <v>46164</v>
      </c>
      <c r="B459" s="6" t="inlineStr">
        <is>
          <t>Kerollen Cristielly de Jesus Siqueira</t>
        </is>
      </c>
      <c r="C459" s="3" t="inlineStr">
        <is>
          <t>Técnico III</t>
        </is>
      </c>
      <c r="D459" s="3" t="n">
        <v>19</v>
      </c>
      <c r="E459" s="3" t="n">
        <v>19</v>
      </c>
      <c r="F459" s="3" t="n">
        <v>16.57</v>
      </c>
      <c r="G459" s="3" t="n">
        <v>0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21</v>
      </c>
      <c r="N459" s="3" t="n">
        <v>95.52</v>
      </c>
      <c r="O459" s="3" t="n">
        <v>10.56105610561056</v>
      </c>
    </row>
    <row r="460" hidden="1">
      <c r="A460" s="10" t="n">
        <v>46164</v>
      </c>
      <c r="B460" s="6" t="inlineStr">
        <is>
          <t>Leandro Oliveira de Sousa</t>
        </is>
      </c>
      <c r="C460" s="3" t="inlineStr">
        <is>
          <t>Técnico III</t>
        </is>
      </c>
      <c r="D460" s="3" t="n">
        <v>21</v>
      </c>
      <c r="E460" s="3" t="n">
        <v>20</v>
      </c>
      <c r="F460" s="3" t="n">
        <v>16.59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20</v>
      </c>
      <c r="N460" s="3" t="n">
        <v>100</v>
      </c>
      <c r="O460" s="3" t="n">
        <v>15.58441558441558</v>
      </c>
    </row>
    <row r="461" hidden="1">
      <c r="A461" s="10" t="n">
        <v>46164</v>
      </c>
      <c r="B461" s="6" t="inlineStr">
        <is>
          <t>Lucas Luiz Romero</t>
        </is>
      </c>
      <c r="C461" s="3" t="inlineStr">
        <is>
          <t>Técnico III</t>
        </is>
      </c>
      <c r="D461" s="3" t="n">
        <v>26</v>
      </c>
      <c r="E461" s="3" t="n">
        <v>19</v>
      </c>
      <c r="F461" s="3" t="n">
        <v>12.11</v>
      </c>
      <c r="G461" s="3" t="n">
        <v>0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15</v>
      </c>
      <c r="N461" s="3" t="n">
        <v>100</v>
      </c>
      <c r="O461" s="3" t="n">
        <v>4.347826086956522</v>
      </c>
    </row>
    <row r="462" hidden="1">
      <c r="A462" s="10" t="n">
        <v>46164</v>
      </c>
      <c r="B462" s="6" t="inlineStr">
        <is>
          <t>Matheus Farias De Souza</t>
        </is>
      </c>
      <c r="C462" s="3" t="inlineStr">
        <is>
          <t>Técnico III</t>
        </is>
      </c>
      <c r="D462" s="3" t="n">
        <v>0</v>
      </c>
      <c r="E462" s="3" t="n">
        <v>0</v>
      </c>
      <c r="F462" s="3" t="n">
        <v>0</v>
      </c>
      <c r="G462" s="3" t="n">
        <v>0</v>
      </c>
      <c r="H462" s="3" t="n">
        <v>0</v>
      </c>
      <c r="I462" s="3" t="n">
        <v>0</v>
      </c>
      <c r="J462" s="3" t="n">
        <v>0</v>
      </c>
      <c r="K462" s="3" t="n">
        <v>0</v>
      </c>
      <c r="L462" s="3">
        <f>IF(K462&lt;-5,"CRÍTICO",IF(K462&lt;0,"ATENÇÃO",IF(K462&lt;=5,"OPORTUNO","MUITO BOM")))</f>
        <v/>
      </c>
      <c r="M462" s="3" t="n">
        <v>3</v>
      </c>
      <c r="N462" s="3" t="n">
        <v>98.28</v>
      </c>
      <c r="O462" s="3" t="n">
        <v>9.037900874635568</v>
      </c>
    </row>
    <row r="463" hidden="1">
      <c r="A463" s="10" t="n">
        <v>46164</v>
      </c>
      <c r="B463" s="6" t="inlineStr">
        <is>
          <t>Maysa Victoria Dias Moura</t>
        </is>
      </c>
      <c r="C463" s="3" t="inlineStr">
        <is>
          <t>Técnico III</t>
        </is>
      </c>
      <c r="D463" s="3" t="n">
        <v>23</v>
      </c>
      <c r="E463" s="3" t="n">
        <v>20</v>
      </c>
      <c r="F463" s="3" t="n">
        <v>13.5</v>
      </c>
      <c r="G463" s="3" t="n">
        <v>5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16</v>
      </c>
      <c r="N463" s="3" t="n">
        <v>97.22</v>
      </c>
      <c r="O463" s="3" t="n">
        <v>19.09547738693467</v>
      </c>
    </row>
    <row r="464" hidden="1">
      <c r="A464" s="10" t="n">
        <v>46164</v>
      </c>
      <c r="B464" s="6" t="inlineStr">
        <is>
          <t>Rafael Gomes de Morais</t>
        </is>
      </c>
      <c r="C464" s="3" t="inlineStr">
        <is>
          <t>Técnico III</t>
        </is>
      </c>
      <c r="D464" s="3" t="n">
        <v>25</v>
      </c>
      <c r="E464" s="3" t="n">
        <v>22</v>
      </c>
      <c r="F464" s="3" t="n">
        <v>13.32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18</v>
      </c>
      <c r="N464" s="3" t="n">
        <v>99.29000000000001</v>
      </c>
      <c r="O464" s="3" t="n">
        <v>22.49443207126949</v>
      </c>
    </row>
    <row r="465" hidden="1">
      <c r="A465" s="10" t="n">
        <v>46164</v>
      </c>
      <c r="B465" s="6" t="inlineStr">
        <is>
          <t>Sarah Steffanie de Lima Borges</t>
        </is>
      </c>
      <c r="C465" s="3" t="inlineStr">
        <is>
          <t>Técnico III</t>
        </is>
      </c>
      <c r="D465" s="3" t="n">
        <v>26</v>
      </c>
      <c r="E465" s="3" t="n">
        <v>22</v>
      </c>
      <c r="F465" s="3" t="n">
        <v>13.4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17</v>
      </c>
      <c r="N465" s="3" t="n">
        <v>97.33</v>
      </c>
      <c r="O465" s="3" t="n">
        <v>15.80547112462006</v>
      </c>
    </row>
    <row r="466" hidden="1">
      <c r="A466" s="11" t="n">
        <v>46167</v>
      </c>
      <c r="B466" t="inlineStr">
        <is>
          <t>Amanda Moura Ferreira</t>
        </is>
      </c>
      <c r="C466" t="inlineStr">
        <is>
          <t>Técnico III</t>
        </is>
      </c>
      <c r="D466" t="n">
        <v>0</v>
      </c>
      <c r="E466" t="n">
        <v>0</v>
      </c>
      <c r="F466" t="n">
        <v>0</v>
      </c>
      <c r="G466" t="n">
        <v>0</v>
      </c>
      <c r="H466" t="n">
        <v>0</v>
      </c>
      <c r="I466" s="3" t="n">
        <v>0</v>
      </c>
      <c r="J466" s="3" t="n">
        <v>0</v>
      </c>
      <c r="K466" s="3" t="n">
        <v>0</v>
      </c>
      <c r="L466" s="3">
        <f>IF(K466&lt;-5,"CRÍTICO",IF(K466&lt;0,"ATENÇÃO",IF(K466&lt;=5,"OPORTUNO","MUITO BOM")))</f>
        <v/>
      </c>
    </row>
    <row r="467" hidden="1">
      <c r="A467" s="11" t="n">
        <v>46167</v>
      </c>
      <c r="B467" t="inlineStr">
        <is>
          <t>Ana Paula Da Luz Silva Aleixo</t>
        </is>
      </c>
      <c r="C467" t="inlineStr">
        <is>
          <t>Técnico III</t>
        </is>
      </c>
      <c r="D467" t="n">
        <v>27</v>
      </c>
      <c r="E467" t="n">
        <v>23</v>
      </c>
      <c r="F467" t="n">
        <v>13.5</v>
      </c>
      <c r="G467" t="n">
        <v>0</v>
      </c>
      <c r="H467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IF(K467&lt;-5,"CRÍTICO",IF(K467&lt;0,"ATENÇÃO",IF(K467&lt;=5,"OPORTUNO","MUITO BOM")))</f>
        <v/>
      </c>
    </row>
    <row r="468" hidden="1">
      <c r="A468" s="11" t="n">
        <v>46167</v>
      </c>
      <c r="B468" t="inlineStr">
        <is>
          <t>Cristiane Ramos da Silva Rocha</t>
        </is>
      </c>
      <c r="C468" t="inlineStr">
        <is>
          <t>Técnico III</t>
        </is>
      </c>
      <c r="D468" t="n">
        <v>25</v>
      </c>
      <c r="E468" t="n">
        <v>22</v>
      </c>
      <c r="F468" t="n">
        <v>12.25</v>
      </c>
      <c r="G468" t="n">
        <v>0</v>
      </c>
      <c r="H468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IF(K468&lt;-5,"CRÍTICO",IF(K468&lt;0,"ATENÇÃO",IF(K468&lt;=5,"OPORTUNO","MUITO BOM")))</f>
        <v/>
      </c>
    </row>
    <row r="469" hidden="1">
      <c r="A469" s="11" t="n">
        <v>46167</v>
      </c>
      <c r="B469" t="inlineStr">
        <is>
          <t>Davylla Rodrigues Freitas Silva</t>
        </is>
      </c>
      <c r="C469" t="inlineStr">
        <is>
          <t>Técnico III</t>
        </is>
      </c>
      <c r="D469" t="n">
        <v>0</v>
      </c>
      <c r="E469" t="n">
        <v>0</v>
      </c>
      <c r="F469" t="n">
        <v>0</v>
      </c>
      <c r="G469" t="n">
        <v>0</v>
      </c>
      <c r="H469" t="n">
        <v>0</v>
      </c>
      <c r="I469" s="3" t="n">
        <v>0</v>
      </c>
      <c r="J469" s="3" t="n">
        <v>0</v>
      </c>
      <c r="K469" s="3" t="n">
        <v>0</v>
      </c>
      <c r="L469" s="3">
        <f>IF(K469&lt;-5,"CRÍTICO",IF(K469&lt;0,"ATENÇÃO",IF(K469&lt;=5,"OPORTUNO","MUITO BOM")))</f>
        <v/>
      </c>
    </row>
    <row r="470" hidden="1">
      <c r="A470" s="11" t="n">
        <v>46167</v>
      </c>
      <c r="B470" t="inlineStr">
        <is>
          <t>Francielson de Oliveira</t>
        </is>
      </c>
      <c r="C470" t="inlineStr">
        <is>
          <t>Técnico III</t>
        </is>
      </c>
      <c r="D470" t="n">
        <v>20</v>
      </c>
      <c r="E470" t="n">
        <v>19</v>
      </c>
      <c r="F470" t="n">
        <v>17.3</v>
      </c>
      <c r="G470" t="n">
        <v>0</v>
      </c>
      <c r="H470" t="n">
        <v>0</v>
      </c>
      <c r="I470" s="3" t="n">
        <v>0</v>
      </c>
      <c r="J470" s="3" t="n">
        <v>0</v>
      </c>
      <c r="K470" s="3" t="n">
        <v>0</v>
      </c>
      <c r="L470" s="3">
        <f>IF(K470&lt;-5,"CRÍTICO",IF(K470&lt;0,"ATENÇÃO",IF(K470&lt;=5,"OPORTUNO","MUITO BOM")))</f>
        <v/>
      </c>
    </row>
    <row r="471" hidden="1">
      <c r="A471" s="11" t="n">
        <v>46167</v>
      </c>
      <c r="B471" t="inlineStr">
        <is>
          <t>Janaina Lima dos Reis Urany</t>
        </is>
      </c>
      <c r="C471" t="inlineStr">
        <is>
          <t>Técnico III</t>
        </is>
      </c>
      <c r="D471" t="n">
        <v>22</v>
      </c>
      <c r="E471" t="n">
        <v>21</v>
      </c>
      <c r="F471" t="n">
        <v>17.1</v>
      </c>
      <c r="G471" t="n">
        <v>0</v>
      </c>
      <c r="H471" t="n">
        <v>0</v>
      </c>
      <c r="I471" s="3" t="n">
        <v>0</v>
      </c>
      <c r="J471" s="3" t="n">
        <v>0</v>
      </c>
      <c r="K471" s="3" t="n">
        <v>0</v>
      </c>
      <c r="L471" s="3">
        <f>IF(K471&lt;-5,"CRÍTICO",IF(K471&lt;0,"ATENÇÃO",IF(K471&lt;=5,"OPORTUNO","MUITO BOM")))</f>
        <v/>
      </c>
    </row>
    <row r="472" hidden="1">
      <c r="A472" s="11" t="n">
        <v>46167</v>
      </c>
      <c r="B472" t="inlineStr">
        <is>
          <t>Jaqueline Evangelista da Silva Martins</t>
        </is>
      </c>
      <c r="C472" t="inlineStr">
        <is>
          <t>Técnico III</t>
        </is>
      </c>
      <c r="D472" t="n">
        <v>17</v>
      </c>
      <c r="E472" t="n">
        <v>16</v>
      </c>
      <c r="F472" t="n">
        <v>18.3</v>
      </c>
      <c r="G472" t="n">
        <v>0</v>
      </c>
      <c r="H472" t="n">
        <v>0</v>
      </c>
      <c r="I472" s="3" t="n">
        <v>0</v>
      </c>
      <c r="J472" s="3" t="n">
        <v>0</v>
      </c>
      <c r="K472" s="3" t="n">
        <v>0</v>
      </c>
      <c r="L472" s="3">
        <f>IF(K472&lt;-5,"CRÍTICO",IF(K472&lt;0,"ATENÇÃO",IF(K472&lt;=5,"OPORTUNO","MUITO BOM")))</f>
        <v/>
      </c>
    </row>
    <row r="473" hidden="1">
      <c r="A473" s="11" t="n">
        <v>46167</v>
      </c>
      <c r="B473" t="inlineStr">
        <is>
          <t>Jéssica Fé Moura</t>
        </is>
      </c>
      <c r="C473" t="inlineStr">
        <is>
          <t>Técnico III</t>
        </is>
      </c>
      <c r="D473" t="n">
        <v>0</v>
      </c>
      <c r="E473" t="n">
        <v>0</v>
      </c>
      <c r="F473" t="n">
        <v>0</v>
      </c>
      <c r="G473" t="n">
        <v>0</v>
      </c>
      <c r="H473" t="n">
        <v>0</v>
      </c>
      <c r="I473" s="3" t="n">
        <v>0</v>
      </c>
      <c r="J473" s="3" t="n">
        <v>0</v>
      </c>
      <c r="K473" s="3" t="n">
        <v>0</v>
      </c>
      <c r="L473" s="3">
        <f>IF(K473&lt;-5,"CRÍTICO",IF(K473&lt;0,"ATENÇÃO",IF(K473&lt;=5,"OPORTUNO","MUITO BOM")))</f>
        <v/>
      </c>
    </row>
    <row r="474" hidden="1">
      <c r="A474" s="11" t="n">
        <v>46167</v>
      </c>
      <c r="B474" t="inlineStr">
        <is>
          <t>Kerollen Cristielly de Jesus Siqueira</t>
        </is>
      </c>
      <c r="C474" t="inlineStr">
        <is>
          <t>Técnico III</t>
        </is>
      </c>
      <c r="D474" t="n">
        <v>27</v>
      </c>
      <c r="E474" t="n">
        <v>27</v>
      </c>
      <c r="F474" t="n">
        <v>13.4</v>
      </c>
      <c r="G474" t="n">
        <v>0</v>
      </c>
      <c r="H474" t="n">
        <v>0</v>
      </c>
      <c r="I474" s="3" t="n">
        <v>0</v>
      </c>
      <c r="J474" s="3" t="n">
        <v>0</v>
      </c>
      <c r="K474" s="3" t="n">
        <v>0</v>
      </c>
      <c r="L474" s="3">
        <f>IF(K474&lt;-5,"CRÍTICO",IF(K474&lt;0,"ATENÇÃO",IF(K474&lt;=5,"OPORTUNO","MUITO BOM")))</f>
        <v/>
      </c>
    </row>
    <row r="475" hidden="1">
      <c r="A475" s="11" t="n">
        <v>46167</v>
      </c>
      <c r="B475" t="inlineStr">
        <is>
          <t>Leandro Oliveira de Sousa</t>
        </is>
      </c>
      <c r="C475" t="inlineStr">
        <is>
          <t>Técnico III</t>
        </is>
      </c>
      <c r="D475" t="n">
        <v>26</v>
      </c>
      <c r="E475" t="n">
        <v>24</v>
      </c>
      <c r="F475" t="n">
        <v>16.44</v>
      </c>
      <c r="G475" t="n">
        <v>0</v>
      </c>
      <c r="H475" t="n">
        <v>0</v>
      </c>
      <c r="I475" s="3" t="n">
        <v>0</v>
      </c>
      <c r="J475" s="3" t="n">
        <v>0</v>
      </c>
      <c r="K475" s="3" t="n">
        <v>0</v>
      </c>
      <c r="L475" s="3">
        <f>IF(K475&lt;-5,"CRÍTICO",IF(K475&lt;0,"ATENÇÃO",IF(K475&lt;=5,"OPORTUNO","MUITO BOM")))</f>
        <v/>
      </c>
    </row>
    <row r="476" hidden="1">
      <c r="A476" s="11" t="n">
        <v>46167</v>
      </c>
      <c r="B476" t="inlineStr">
        <is>
          <t>Lucas Luiz Romero</t>
        </is>
      </c>
      <c r="C476" t="inlineStr">
        <is>
          <t>Técnico III</t>
        </is>
      </c>
      <c r="D476" t="n">
        <v>0</v>
      </c>
      <c r="E476" t="n">
        <v>0</v>
      </c>
      <c r="F476" t="n">
        <v>0</v>
      </c>
      <c r="G476" t="n">
        <v>0</v>
      </c>
      <c r="H476" t="n">
        <v>0</v>
      </c>
      <c r="I476" s="3" t="n">
        <v>0</v>
      </c>
      <c r="J476" s="3" t="n">
        <v>0</v>
      </c>
      <c r="K476" s="3" t="n">
        <v>0</v>
      </c>
      <c r="L476" s="3">
        <f>IF(K476&lt;-5,"CRÍTICO",IF(K476&lt;0,"ATENÇÃO",IF(K476&lt;=5,"OPORTUNO","MUITO BOM")))</f>
        <v/>
      </c>
    </row>
    <row r="477" hidden="1">
      <c r="A477" s="11" t="n">
        <v>46167</v>
      </c>
      <c r="B477" t="inlineStr">
        <is>
          <t>Matheus Farias De Souza</t>
        </is>
      </c>
      <c r="C477" t="inlineStr">
        <is>
          <t>Técnico III</t>
        </is>
      </c>
      <c r="D477" t="n">
        <v>0</v>
      </c>
      <c r="E477" t="n">
        <v>0</v>
      </c>
      <c r="F477" t="n">
        <v>0</v>
      </c>
      <c r="G477" t="n">
        <v>0</v>
      </c>
      <c r="H477" t="n">
        <v>0</v>
      </c>
      <c r="I477" s="3" t="n">
        <v>0</v>
      </c>
      <c r="J477" s="3" t="n">
        <v>0</v>
      </c>
      <c r="K477" s="3" t="n">
        <v>0</v>
      </c>
      <c r="L477" s="3">
        <f>IF(K477&lt;-5,"CRÍTICO",IF(K477&lt;0,"ATENÇÃO",IF(K477&lt;=5,"OPORTUNO","MUITO BOM")))</f>
        <v/>
      </c>
    </row>
    <row r="478" hidden="1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N478" t="n">
        <v>98.91</v>
      </c>
      <c r="O478" t="n">
        <v>31.36729222520107</v>
      </c>
    </row>
    <row r="479" hidden="1">
      <c r="A479" s="11" t="n">
        <v>46167</v>
      </c>
      <c r="B479" t="inlineStr">
        <is>
          <t>Maysa Victoria Dias Moura</t>
        </is>
      </c>
      <c r="C479" t="inlineStr">
        <is>
          <t>Técnico III</t>
        </is>
      </c>
      <c r="D479" t="n">
        <v>25</v>
      </c>
      <c r="E479" t="n">
        <v>24</v>
      </c>
      <c r="F479" t="n">
        <v>17.35</v>
      </c>
      <c r="G479" t="n">
        <v>0</v>
      </c>
      <c r="H479" t="n">
        <v>0</v>
      </c>
      <c r="I479" s="3" t="n">
        <v>0</v>
      </c>
      <c r="J479" s="3" t="n">
        <v>0</v>
      </c>
      <c r="K479" s="3" t="n">
        <v>0</v>
      </c>
      <c r="L479" s="3">
        <f>IF(K479&lt;-5,"CRÍTICO",IF(K479&lt;0,"ATENÇÃO",IF(K479&lt;=5,"OPORTUNO","MUITO BOM")))</f>
        <v/>
      </c>
    </row>
    <row r="480" hidden="1">
      <c r="A480" s="11" t="n">
        <v>46167</v>
      </c>
      <c r="B480" t="inlineStr">
        <is>
          <t>Rafael Gomes de Morais</t>
        </is>
      </c>
      <c r="C480" t="inlineStr">
        <is>
          <t>Técnico III</t>
        </is>
      </c>
      <c r="D480" t="n">
        <v>27</v>
      </c>
      <c r="E480" t="n">
        <v>24</v>
      </c>
      <c r="F480" t="n">
        <v>13.43</v>
      </c>
      <c r="G480" t="n">
        <v>0</v>
      </c>
      <c r="H480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</row>
    <row r="481" hidden="1">
      <c r="A481" s="11" t="n">
        <v>46167</v>
      </c>
      <c r="B481" t="inlineStr">
        <is>
          <t>Sarah Steffanie de Lima Borges</t>
        </is>
      </c>
      <c r="C481" t="inlineStr">
        <is>
          <t>Técnico III</t>
        </is>
      </c>
      <c r="D481" t="n">
        <v>27</v>
      </c>
      <c r="E481" t="n">
        <v>25</v>
      </c>
      <c r="F481" t="n">
        <v>10.34</v>
      </c>
      <c r="G481" t="n">
        <v>0</v>
      </c>
      <c r="H481" t="n">
        <v>0</v>
      </c>
      <c r="I481" s="3" t="n">
        <v>0</v>
      </c>
      <c r="J481" s="3" t="n">
        <v>0</v>
      </c>
      <c r="K481" s="3" t="n">
        <v>0</v>
      </c>
      <c r="L481" s="3">
        <f>IF(K481&lt;-5,"CRÍTICO",IF(K481&lt;0,"ATENÇÃO",IF(K481&lt;=5,"OPORTUNO","MUITO BOM")))</f>
        <v/>
      </c>
    </row>
    <row r="482">
      <c r="A482" s="5" t="n">
        <v>46146</v>
      </c>
      <c r="B482" s="6" t="inlineStr">
        <is>
          <t>Jaqueline Evangelista da Silva Martins</t>
        </is>
      </c>
      <c r="C482" s="3" t="inlineStr">
        <is>
          <t>Técnico III</t>
        </is>
      </c>
      <c r="D482" s="3" t="n">
        <v>11</v>
      </c>
      <c r="E482" s="3" t="n">
        <v>11</v>
      </c>
      <c r="F482" s="3" t="n">
        <v>22</v>
      </c>
      <c r="G482" s="3" t="n">
        <v>5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s="9" t="n">
        <v>18</v>
      </c>
      <c r="N482" s="9" t="n">
        <v>95.40000000000001</v>
      </c>
      <c r="O482" s="9" t="n">
        <v>20.53333333333333</v>
      </c>
    </row>
    <row r="483">
      <c r="A483" s="5" t="n">
        <v>46147</v>
      </c>
      <c r="B483" s="6" t="inlineStr">
        <is>
          <t>Jaqueline Evangelista da Silva Martins</t>
        </is>
      </c>
      <c r="C483" s="3" t="inlineStr">
        <is>
          <t>Técnico III</t>
        </is>
      </c>
      <c r="D483" s="3" t="n">
        <v>42</v>
      </c>
      <c r="E483" s="3" t="n">
        <v>41</v>
      </c>
      <c r="F483" s="3" t="n">
        <v>13.26</v>
      </c>
      <c r="G483" s="3" t="n">
        <v>2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s="3" t="n">
        <v>41</v>
      </c>
      <c r="N483" s="3" t="n">
        <v>95.40000000000001</v>
      </c>
      <c r="O483" s="3" t="n">
        <v>20.53333333333333</v>
      </c>
    </row>
    <row r="484">
      <c r="A484" s="5" t="n">
        <v>46148</v>
      </c>
      <c r="B484" s="6" t="inlineStr">
        <is>
          <t>Jaqueline Evangelista da Silva Martins</t>
        </is>
      </c>
      <c r="C484" s="3" t="inlineStr">
        <is>
          <t>Técnico III</t>
        </is>
      </c>
      <c r="D484" s="3" t="n">
        <v>27</v>
      </c>
      <c r="E484" s="3" t="n">
        <v>26</v>
      </c>
      <c r="F484" s="9" t="n">
        <v>12.18</v>
      </c>
      <c r="G484" s="3" t="n">
        <v>7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s="3" t="n">
        <v>26</v>
      </c>
      <c r="N484" s="3" t="n">
        <v>95.40000000000001</v>
      </c>
      <c r="O484" s="3" t="n">
        <v>20.53333333333333</v>
      </c>
    </row>
    <row r="485">
      <c r="A485" s="11" t="n">
        <v>46168</v>
      </c>
      <c r="B485" t="inlineStr">
        <is>
          <t>Jaqueline Evangelista da Silva Martins</t>
        </is>
      </c>
      <c r="C485" t="inlineStr">
        <is>
          <t>Técnico III</t>
        </is>
      </c>
      <c r="D485" s="9" t="n">
        <v>18</v>
      </c>
      <c r="E485" s="9" t="n">
        <v>16</v>
      </c>
      <c r="F485" s="9" t="n">
        <v>10.14</v>
      </c>
      <c r="G485" s="9" t="n">
        <v>4</v>
      </c>
    </row>
    <row r="486">
      <c r="A486" s="11" t="n">
        <v>46140</v>
      </c>
      <c r="B486" t="inlineStr">
        <is>
          <t>Jéssica Fé Moura</t>
        </is>
      </c>
      <c r="C486" t="inlineStr">
        <is>
          <t>Técnico III</t>
        </is>
      </c>
      <c r="D486" s="9" t="n">
        <v>0</v>
      </c>
      <c r="E486" s="9" t="n">
        <v>0</v>
      </c>
      <c r="F486" s="9" t="n">
        <v>0</v>
      </c>
      <c r="G486" s="9" t="n">
        <v>0</v>
      </c>
      <c r="H486" s="9" t="n">
        <v>0</v>
      </c>
      <c r="I486" s="3" t="n">
        <v>0</v>
      </c>
      <c r="J486" s="3" t="n">
        <v>0</v>
      </c>
      <c r="K486" s="3" t="n">
        <v>0</v>
      </c>
      <c r="L486" s="3">
        <f>IF(K486&lt;-5,"CRÍTICO",IF(K486&lt;0,"ATENÇÃO",IF(K486&lt;=5,"OPORTUNO","MUITO BOM")))</f>
        <v/>
      </c>
      <c r="N486" s="9" t="n">
        <v>0</v>
      </c>
      <c r="O486" s="9" t="n">
        <v>0</v>
      </c>
    </row>
    <row r="487">
      <c r="A487" s="11" t="n">
        <v>46141</v>
      </c>
      <c r="B487" t="inlineStr">
        <is>
          <t>Jéssica Fé Moura</t>
        </is>
      </c>
      <c r="C487" t="inlineStr">
        <is>
          <t>Técnico III</t>
        </is>
      </c>
      <c r="D487" s="9" t="n">
        <v>0</v>
      </c>
      <c r="E487" s="9" t="n">
        <v>0</v>
      </c>
      <c r="F487" s="9" t="n">
        <v>0</v>
      </c>
      <c r="G487" s="9" t="n">
        <v>0</v>
      </c>
      <c r="H487" s="9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IF(K487&lt;-5,"CRÍTICO",IF(K487&lt;0,"ATENÇÃO",IF(K487&lt;=5,"OPORTUNO","MUITO BOM")))</f>
        <v/>
      </c>
      <c r="N487" s="9" t="n">
        <v>0</v>
      </c>
      <c r="O487" s="9" t="n">
        <v>0</v>
      </c>
    </row>
    <row r="488">
      <c r="A488" s="11" t="n">
        <v>46142</v>
      </c>
      <c r="B488" t="inlineStr">
        <is>
          <t>Jéssica Fé Moura</t>
        </is>
      </c>
      <c r="C488" t="inlineStr">
        <is>
          <t>Técnico III</t>
        </is>
      </c>
      <c r="D488" s="9" t="n">
        <v>0</v>
      </c>
      <c r="E488" s="9" t="n">
        <v>0</v>
      </c>
      <c r="F488" s="9" t="n">
        <v>0</v>
      </c>
      <c r="G488" s="9" t="n">
        <v>0</v>
      </c>
      <c r="H488" s="9" t="n">
        <v>0</v>
      </c>
      <c r="I488" s="3" t="n">
        <v>0</v>
      </c>
      <c r="J488" s="3" t="n">
        <v>0</v>
      </c>
      <c r="K488" s="3" t="n">
        <v>0</v>
      </c>
      <c r="L488" s="3">
        <f>IF(K488&lt;-5,"CRÍTICO",IF(K488&lt;0,"ATENÇÃO",IF(K488&lt;=5,"OPORTUNO","MUITO BOM")))</f>
        <v/>
      </c>
      <c r="N488" s="9" t="n">
        <v>0</v>
      </c>
      <c r="O488" s="9" t="n">
        <v>0</v>
      </c>
    </row>
    <row r="489">
      <c r="A489" s="5" t="n">
        <v>46146</v>
      </c>
      <c r="B489" s="6" t="inlineStr">
        <is>
          <t>Jéssica Fé Moura</t>
        </is>
      </c>
      <c r="C489" s="3" t="inlineStr">
        <is>
          <t>Técnico III</t>
        </is>
      </c>
      <c r="D489" s="3" t="n">
        <v>0</v>
      </c>
      <c r="E489" s="3" t="n">
        <v>0</v>
      </c>
      <c r="F489" s="3" t="n">
        <v>0</v>
      </c>
      <c r="G489" s="3" t="n">
        <v>0</v>
      </c>
      <c r="H489" s="3" t="n">
        <v>0</v>
      </c>
      <c r="I489" s="3" t="n">
        <v>0</v>
      </c>
      <c r="J489" s="3" t="n">
        <v>0</v>
      </c>
      <c r="K489" s="3" t="n">
        <v>0</v>
      </c>
      <c r="L489" s="3">
        <f>IF(K489&lt;-5,"CRÍTICO",IF(K489&lt;0,"ATENÇÃO",IF(K489&lt;=5,"BOM","EXCELENTE")))</f>
        <v/>
      </c>
      <c r="M489" s="9" t="n">
        <v>0</v>
      </c>
      <c r="N489" s="9" t="n">
        <v>0</v>
      </c>
      <c r="O489" s="9" t="n">
        <v>0</v>
      </c>
    </row>
    <row r="490">
      <c r="A490" s="5" t="n">
        <v>46147</v>
      </c>
      <c r="B490" s="6" t="inlineStr">
        <is>
          <t>Jéssica Fé Moura</t>
        </is>
      </c>
      <c r="C490" s="3" t="inlineStr">
        <is>
          <t>Técnico III</t>
        </is>
      </c>
      <c r="D490" s="3" t="n">
        <v>0</v>
      </c>
      <c r="E490" s="3" t="n">
        <v>0</v>
      </c>
      <c r="F490" s="3" t="n">
        <v>0</v>
      </c>
      <c r="G490" s="3" t="n">
        <v>0</v>
      </c>
      <c r="H490" s="3" t="n">
        <v>0</v>
      </c>
      <c r="I490" s="3" t="n">
        <v>0</v>
      </c>
      <c r="J490" s="3" t="n">
        <v>0</v>
      </c>
      <c r="K490" s="3" t="n">
        <v>0</v>
      </c>
      <c r="L490" s="3">
        <f>IF(K490&lt;-5,"CRÍTICO",IF(K490&lt;0,"ATENÇÃO",IF(K490&lt;=5,"BOM","EXCELENTE")))</f>
        <v/>
      </c>
      <c r="M490" s="3" t="n">
        <v>0</v>
      </c>
      <c r="N490" s="3" t="n">
        <v>0</v>
      </c>
      <c r="O490" s="3" t="n">
        <v>0</v>
      </c>
    </row>
    <row r="491">
      <c r="A491" s="5" t="n">
        <v>46148</v>
      </c>
      <c r="B491" s="6" t="inlineStr">
        <is>
          <t>Jéssica Fé Moura</t>
        </is>
      </c>
      <c r="C491" s="3" t="inlineStr">
        <is>
          <t>Técnico III</t>
        </is>
      </c>
      <c r="D491" s="3" t="n">
        <v>0</v>
      </c>
      <c r="E491" s="3" t="n">
        <v>0</v>
      </c>
      <c r="F491" s="3" t="n">
        <v>0</v>
      </c>
      <c r="G491" s="3" t="n">
        <v>0</v>
      </c>
      <c r="H491" s="3" t="n">
        <v>0</v>
      </c>
      <c r="I491" s="3" t="n">
        <v>0</v>
      </c>
      <c r="J491" s="3" t="n">
        <v>0</v>
      </c>
      <c r="K491" s="3" t="n">
        <v>0</v>
      </c>
      <c r="L491" s="3">
        <f>IF(K491&lt;-5,"CRÍTICO",IF(K491&lt;0,"ATENÇÃO",IF(K491&lt;=5,"BOM","EXCELENTE")))</f>
        <v/>
      </c>
      <c r="M491" s="3" t="n">
        <v>0</v>
      </c>
      <c r="N491" s="3" t="n">
        <v>0</v>
      </c>
      <c r="O491" s="3" t="n">
        <v>0</v>
      </c>
    </row>
    <row r="492">
      <c r="A492" s="11" t="n">
        <v>46168</v>
      </c>
      <c r="B492" t="inlineStr">
        <is>
          <t>Jéssica Fé Moura</t>
        </is>
      </c>
      <c r="C492" t="inlineStr">
        <is>
          <t>Técnico III</t>
        </is>
      </c>
      <c r="D492" s="9" t="n">
        <v>0</v>
      </c>
      <c r="E492" s="9" t="n">
        <v>0</v>
      </c>
      <c r="F492" s="9" t="n">
        <v>0</v>
      </c>
      <c r="G492" s="9" t="n">
        <v>0</v>
      </c>
      <c r="H492" s="9" t="n">
        <v>0</v>
      </c>
      <c r="I492" s="9" t="n">
        <v>0</v>
      </c>
      <c r="J492" s="9" t="n">
        <v>0</v>
      </c>
      <c r="K492" s="9" t="n">
        <v>0</v>
      </c>
    </row>
    <row r="493">
      <c r="A493" s="11" t="n">
        <v>46140</v>
      </c>
      <c r="B493" t="inlineStr">
        <is>
          <t>Kerollen Cristielly de Jesus Siqueira</t>
        </is>
      </c>
      <c r="C493" t="inlineStr">
        <is>
          <t>Técnico III</t>
        </is>
      </c>
      <c r="D493" s="9" t="n">
        <v>0</v>
      </c>
      <c r="E493" s="9" t="n">
        <v>0</v>
      </c>
      <c r="F493" s="9" t="n">
        <v>0</v>
      </c>
      <c r="G493" s="9" t="n">
        <v>0</v>
      </c>
      <c r="H493" s="9" t="n">
        <v>0</v>
      </c>
      <c r="I493" s="3" t="n">
        <v>0</v>
      </c>
      <c r="J493" s="3" t="n">
        <v>0</v>
      </c>
      <c r="K493" s="3" t="n">
        <v>0</v>
      </c>
      <c r="L493" s="3">
        <f>IF(K493&lt;-5,"CRÍTICO",IF(K493&lt;0,"ATENÇÃO",IF(K493&lt;=5,"OPORTUNO","MUITO BOM")))</f>
        <v/>
      </c>
      <c r="N493" s="9" t="n">
        <v>96.81</v>
      </c>
      <c r="O493" s="9" t="n">
        <v>48.01864801864802</v>
      </c>
    </row>
    <row r="494">
      <c r="A494" s="11" t="n">
        <v>46141</v>
      </c>
      <c r="B494" t="inlineStr">
        <is>
          <t>Kerollen Cristielly de Jesus Siqueira</t>
        </is>
      </c>
      <c r="C494" t="inlineStr">
        <is>
          <t>Técnico III</t>
        </is>
      </c>
      <c r="D494" s="9" t="n">
        <v>0</v>
      </c>
      <c r="E494" s="9" t="n">
        <v>0</v>
      </c>
      <c r="F494" s="9" t="n">
        <v>0</v>
      </c>
      <c r="G494" s="9" t="n">
        <v>0</v>
      </c>
      <c r="H494" s="9" t="n">
        <v>0</v>
      </c>
      <c r="I494" s="3" t="n">
        <v>0</v>
      </c>
      <c r="J494" s="3" t="n">
        <v>0</v>
      </c>
      <c r="K494" s="3" t="n">
        <v>0</v>
      </c>
      <c r="L494" s="3">
        <f>IF(K494&lt;-5,"CRÍTICO",IF(K494&lt;0,"ATENÇÃO",IF(K494&lt;=5,"OPORTUNO","MUITO BOM")))</f>
        <v/>
      </c>
      <c r="N494" s="9" t="n">
        <v>96.81</v>
      </c>
      <c r="O494" s="9" t="n">
        <v>48.01864801864802</v>
      </c>
    </row>
    <row r="495">
      <c r="A495" s="11" t="n">
        <v>46142</v>
      </c>
      <c r="B495" t="inlineStr">
        <is>
          <t>Kerollen Cristielly de Jesus Siqueira</t>
        </is>
      </c>
      <c r="C495" t="inlineStr">
        <is>
          <t>Técnico III</t>
        </is>
      </c>
      <c r="D495" s="9" t="n">
        <v>0</v>
      </c>
      <c r="E495" s="9" t="n">
        <v>0</v>
      </c>
      <c r="F495" s="9" t="n">
        <v>0</v>
      </c>
      <c r="G495" s="9" t="n">
        <v>0</v>
      </c>
      <c r="H495" s="9" t="n">
        <v>0</v>
      </c>
      <c r="I495" s="3" t="n">
        <v>0</v>
      </c>
      <c r="J495" s="3" t="n">
        <v>0</v>
      </c>
      <c r="K495" s="3" t="n">
        <v>0</v>
      </c>
      <c r="L495" s="3">
        <f>IF(K495&lt;-5,"CRÍTICO",IF(K495&lt;0,"ATENÇÃO",IF(K495&lt;=5,"OPORTUNO","MUITO BOM")))</f>
        <v/>
      </c>
      <c r="N495" s="9" t="n">
        <v>96.81</v>
      </c>
      <c r="O495" s="9" t="n">
        <v>48.01864801864802</v>
      </c>
    </row>
    <row r="496">
      <c r="A496" s="5" t="n">
        <v>46146</v>
      </c>
      <c r="B496" s="6" t="inlineStr">
        <is>
          <t>Kerollen Cristielly de Jesus Siqueira</t>
        </is>
      </c>
      <c r="C496" s="9" t="inlineStr">
        <is>
          <t>Técnico III</t>
        </is>
      </c>
      <c r="D496" s="3" t="n">
        <v>20</v>
      </c>
      <c r="E496" s="3" t="n">
        <v>20</v>
      </c>
      <c r="F496" s="3" t="n">
        <v>20.48</v>
      </c>
      <c r="G496" s="3" t="n">
        <v>0</v>
      </c>
      <c r="H496" s="3" t="n">
        <v>0</v>
      </c>
      <c r="I496" s="3">
        <f>E496+G496+H496</f>
        <v/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/>
      </c>
      <c r="K496" s="3">
        <f>I496-J496</f>
        <v/>
      </c>
      <c r="L496" s="3">
        <f>IF(K496&lt;-5,"CRÍTICO",IF(K496&lt;0,"ATENÇÃO",IF(K496&lt;=5,"BOM","EXCELENTE")))</f>
        <v/>
      </c>
      <c r="M496" s="9" t="n">
        <v>20</v>
      </c>
      <c r="N496" s="9" t="n">
        <v>95.52</v>
      </c>
      <c r="O496" s="9" t="n">
        <v>10.56105610561056</v>
      </c>
    </row>
    <row r="497">
      <c r="A497" s="5" t="n">
        <v>46147</v>
      </c>
      <c r="B497" s="6" t="inlineStr">
        <is>
          <t>Kerollen Cristielly de Jesus Siqueira</t>
        </is>
      </c>
      <c r="C497" s="9" t="inlineStr">
        <is>
          <t>Técnico III</t>
        </is>
      </c>
      <c r="D497" s="3" t="n">
        <v>26</v>
      </c>
      <c r="E497" s="3" t="n">
        <v>26</v>
      </c>
      <c r="F497" s="3" t="n">
        <v>18.42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s="3" t="n">
        <v>22</v>
      </c>
      <c r="N497" s="3" t="n">
        <v>95.52</v>
      </c>
      <c r="O497" s="3" t="n">
        <v>10.56105610561056</v>
      </c>
    </row>
    <row r="498">
      <c r="A498" s="5" t="n">
        <v>46148</v>
      </c>
      <c r="B498" s="6" t="inlineStr">
        <is>
          <t>Kerollen Cristielly de Jesus Siqueira</t>
        </is>
      </c>
      <c r="C498" s="9" t="inlineStr">
        <is>
          <t>Técnico III</t>
        </is>
      </c>
      <c r="D498" s="3" t="n">
        <v>27</v>
      </c>
      <c r="E498" s="3" t="n">
        <v>25</v>
      </c>
      <c r="F498" s="9" t="n">
        <v>22.17</v>
      </c>
      <c r="G498" s="3" t="n">
        <v>1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IF(K498&lt;-5,"CRÍTICO",IF(K498&lt;0,"ATENÇÃO",IF(K498&lt;=5,"BOM","EXCELENTE")))</f>
        <v/>
      </c>
      <c r="M498" s="3" t="n">
        <v>26</v>
      </c>
      <c r="N498" s="3" t="n">
        <v>95.52</v>
      </c>
      <c r="O498" s="3" t="n">
        <v>10.56105610561056</v>
      </c>
    </row>
    <row r="499">
      <c r="A499" s="11" t="n">
        <v>46168</v>
      </c>
      <c r="B499" t="inlineStr">
        <is>
          <t>Kerollen Cristielly de Jesus Siqueira</t>
        </is>
      </c>
      <c r="C499" t="inlineStr">
        <is>
          <t>Técnico III</t>
        </is>
      </c>
      <c r="D499" s="9" t="n">
        <v>30</v>
      </c>
      <c r="E499" s="9" t="n">
        <v>29</v>
      </c>
      <c r="F499" s="9" t="n">
        <v>15.33</v>
      </c>
      <c r="G499" s="9" t="n">
        <v>2</v>
      </c>
    </row>
    <row r="500">
      <c r="A500" s="11" t="n">
        <v>46140</v>
      </c>
      <c r="B500" t="inlineStr">
        <is>
          <t>Leandro Oliveira de Sousa</t>
        </is>
      </c>
      <c r="C500" t="inlineStr">
        <is>
          <t>Técnico III</t>
        </is>
      </c>
      <c r="D500" s="9" t="n">
        <v>29</v>
      </c>
      <c r="E500" s="9" t="n">
        <v>28</v>
      </c>
      <c r="F500" s="9" t="n">
        <v>17.31</v>
      </c>
      <c r="G500" s="9" t="n">
        <v>0</v>
      </c>
      <c r="H500" s="9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N500" s="9" t="n">
        <v>99.15000000000001</v>
      </c>
      <c r="O500" s="9" t="n">
        <v>27.37068965517241</v>
      </c>
    </row>
    <row r="501">
      <c r="A501" s="11" t="n">
        <v>46141</v>
      </c>
      <c r="B501" t="inlineStr">
        <is>
          <t>Leandro Oliveira de Sousa</t>
        </is>
      </c>
      <c r="C501" t="inlineStr">
        <is>
          <t>Técnico III</t>
        </is>
      </c>
      <c r="D501" s="9" t="n">
        <v>32</v>
      </c>
      <c r="E501" s="9" t="n">
        <v>26</v>
      </c>
      <c r="F501" s="9" t="n">
        <v>12.16</v>
      </c>
      <c r="G501" s="9" t="n">
        <v>0</v>
      </c>
      <c r="H501" s="9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N501" s="9" t="n">
        <v>99.15000000000001</v>
      </c>
      <c r="O501" s="9" t="n">
        <v>27.37068965517241</v>
      </c>
    </row>
    <row r="502">
      <c r="A502" s="11" t="n">
        <v>46142</v>
      </c>
      <c r="B502" t="inlineStr">
        <is>
          <t>Leandro Oliveira de Sousa</t>
        </is>
      </c>
      <c r="C502" t="inlineStr">
        <is>
          <t>Técnico III</t>
        </is>
      </c>
      <c r="D502" s="9" t="n">
        <v>31</v>
      </c>
      <c r="E502" s="9" t="n">
        <v>29</v>
      </c>
      <c r="F502" s="9" t="n">
        <v>13.5</v>
      </c>
      <c r="G502" s="9" t="n">
        <v>0</v>
      </c>
      <c r="H502" s="9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IF(K502&lt;-5,"CRÍTICO",IF(K502&lt;0,"ATENÇÃO",IF(K502&lt;=5,"OPORTUNO","MUITO BOM")))</f>
        <v/>
      </c>
      <c r="N502" s="9" t="n">
        <v>99.15000000000001</v>
      </c>
      <c r="O502" s="9" t="n">
        <v>27.37068965517241</v>
      </c>
    </row>
    <row r="503" hidden="1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N503" t="n">
        <v>98.91</v>
      </c>
      <c r="O503" t="n">
        <v>31.36729222520107</v>
      </c>
    </row>
    <row r="504" hidden="1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N504" t="n">
        <v>98.91</v>
      </c>
      <c r="O504" t="n">
        <v>31.36729222520107</v>
      </c>
    </row>
    <row r="505">
      <c r="A505" s="5" t="n">
        <v>46146</v>
      </c>
      <c r="B505" s="6" t="inlineStr">
        <is>
          <t>Leandro Oliveira de Sousa</t>
        </is>
      </c>
      <c r="C505" s="9" t="inlineStr">
        <is>
          <t>Técnico III</t>
        </is>
      </c>
      <c r="D505" s="3" t="n">
        <v>32</v>
      </c>
      <c r="E505" s="3" t="n">
        <v>29</v>
      </c>
      <c r="F505" s="3" t="n">
        <v>15.44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s="9" t="n">
        <v>27</v>
      </c>
      <c r="N505" s="9" t="n">
        <v>100</v>
      </c>
      <c r="O505" s="9" t="n">
        <v>15.58441558441558</v>
      </c>
    </row>
    <row r="506">
      <c r="A506" s="5" t="n">
        <v>46147</v>
      </c>
      <c r="B506" s="6" t="inlineStr">
        <is>
          <t>Leandro Oliveira de Sousa</t>
        </is>
      </c>
      <c r="C506" s="9" t="inlineStr">
        <is>
          <t>Técnico III</t>
        </is>
      </c>
      <c r="D506" s="3" t="n">
        <v>29</v>
      </c>
      <c r="E506" s="3" t="n">
        <v>25</v>
      </c>
      <c r="F506" s="3" t="n">
        <v>16.4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s="3" t="n">
        <v>32</v>
      </c>
      <c r="N506" s="3" t="n">
        <v>100</v>
      </c>
      <c r="O506" s="3" t="n">
        <v>15.58441558441558</v>
      </c>
    </row>
    <row r="507">
      <c r="A507" s="5" t="n">
        <v>46148</v>
      </c>
      <c r="B507" s="6" t="inlineStr">
        <is>
          <t>Leandro Oliveira de Sousa</t>
        </is>
      </c>
      <c r="C507" s="9" t="inlineStr">
        <is>
          <t>Técnico III</t>
        </is>
      </c>
      <c r="D507" s="3" t="n">
        <v>38</v>
      </c>
      <c r="E507" s="3" t="n">
        <v>38</v>
      </c>
      <c r="F507" s="9" t="n">
        <v>16.42</v>
      </c>
      <c r="G507" s="3" t="n">
        <v>0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s="3" t="n">
        <v>36</v>
      </c>
      <c r="N507" s="3" t="n">
        <v>100</v>
      </c>
      <c r="O507" s="3" t="n">
        <v>15.58441558441558</v>
      </c>
    </row>
    <row r="508">
      <c r="A508" s="11" t="n">
        <v>46168</v>
      </c>
      <c r="B508" t="inlineStr">
        <is>
          <t>Leandro Oliveira de Sousa</t>
        </is>
      </c>
      <c r="C508" t="inlineStr">
        <is>
          <t>Técnico III</t>
        </is>
      </c>
      <c r="D508" s="9" t="n">
        <v>29</v>
      </c>
      <c r="E508" s="9" t="n">
        <v>26</v>
      </c>
      <c r="F508" s="9" t="n">
        <v>15.05</v>
      </c>
      <c r="G508" s="9" t="n">
        <v>0</v>
      </c>
    </row>
    <row r="509">
      <c r="A509" s="11" t="n">
        <v>46140</v>
      </c>
      <c r="B509" t="inlineStr">
        <is>
          <t>Lucas Luiz Romero</t>
        </is>
      </c>
      <c r="C509" t="inlineStr">
        <is>
          <t>Técnico III</t>
        </is>
      </c>
      <c r="D509" s="9" t="n">
        <v>0</v>
      </c>
      <c r="E509" s="9" t="n">
        <v>0</v>
      </c>
      <c r="F509" s="9" t="n">
        <v>0</v>
      </c>
      <c r="G509" s="9" t="n">
        <v>0</v>
      </c>
      <c r="H509" s="9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IF(K509&lt;-5,"CRÍTICO",IF(K509&lt;0,"ATENÇÃO",IF(K509&lt;=5,"OPORTUNO","MUITO BOM")))</f>
        <v/>
      </c>
      <c r="N509" s="9" t="n">
        <v>88.68000000000001</v>
      </c>
      <c r="O509" s="9" t="n">
        <v>22.03389830508474</v>
      </c>
    </row>
    <row r="510">
      <c r="A510" s="11" t="n">
        <v>46141</v>
      </c>
      <c r="B510" t="inlineStr">
        <is>
          <t>Lucas Luiz Romero</t>
        </is>
      </c>
      <c r="C510" t="inlineStr">
        <is>
          <t>Técnico III</t>
        </is>
      </c>
      <c r="D510" s="9" t="n">
        <v>0</v>
      </c>
      <c r="E510" s="9" t="n">
        <v>0</v>
      </c>
      <c r="F510" s="9" t="n">
        <v>0</v>
      </c>
      <c r="G510" s="9" t="n">
        <v>0</v>
      </c>
      <c r="H510" s="9" t="n">
        <v>0</v>
      </c>
      <c r="I510" s="3" t="n">
        <v>0</v>
      </c>
      <c r="J510" s="3" t="n">
        <v>0</v>
      </c>
      <c r="K510" s="3" t="n">
        <v>0</v>
      </c>
      <c r="L510" s="3">
        <f>IF(K510&lt;-5,"CRÍTICO",IF(K510&lt;0,"ATENÇÃO",IF(K510&lt;=5,"OPORTUNO","MUITO BOM")))</f>
        <v/>
      </c>
      <c r="N510" s="9" t="n">
        <v>88.68000000000001</v>
      </c>
      <c r="O510" s="9" t="n">
        <v>22.03389830508474</v>
      </c>
    </row>
    <row r="511">
      <c r="A511" s="11" t="n">
        <v>46142</v>
      </c>
      <c r="B511" t="inlineStr">
        <is>
          <t>Lucas Luiz Romero</t>
        </is>
      </c>
      <c r="C511" t="inlineStr">
        <is>
          <t>Técnico III</t>
        </is>
      </c>
      <c r="D511" s="9" t="n">
        <v>0</v>
      </c>
      <c r="E511" s="9" t="n">
        <v>0</v>
      </c>
      <c r="F511" s="9" t="n">
        <v>0</v>
      </c>
      <c r="G511" s="9" t="n">
        <v>0</v>
      </c>
      <c r="H511" s="9" t="n">
        <v>0</v>
      </c>
      <c r="I511" s="3" t="n">
        <v>0</v>
      </c>
      <c r="J511" s="3" t="n">
        <v>0</v>
      </c>
      <c r="K511" s="3" t="n">
        <v>0</v>
      </c>
      <c r="L511" s="3">
        <f>IF(K511&lt;-5,"CRÍTICO",IF(K511&lt;0,"ATENÇÃO",IF(K511&lt;=5,"OPORTUNO","MUITO BOM")))</f>
        <v/>
      </c>
      <c r="N511" s="9" t="n">
        <v>88.68000000000001</v>
      </c>
      <c r="O511" s="9" t="n">
        <v>22.03389830508474</v>
      </c>
    </row>
    <row r="512">
      <c r="A512" s="5" t="n">
        <v>46146</v>
      </c>
      <c r="B512" s="6" t="inlineStr">
        <is>
          <t>Lucas Luiz Romero</t>
        </is>
      </c>
      <c r="C512" s="3" t="inlineStr">
        <is>
          <t>Técnico III</t>
        </is>
      </c>
      <c r="D512" s="3" t="n">
        <v>0</v>
      </c>
      <c r="E512" s="3" t="n">
        <v>0</v>
      </c>
      <c r="F512" s="3" t="n">
        <v>0</v>
      </c>
      <c r="G512" s="3" t="n">
        <v>0</v>
      </c>
      <c r="H512" s="3" t="n">
        <v>0</v>
      </c>
      <c r="I512" s="3" t="n">
        <v>0</v>
      </c>
      <c r="J512" s="3" t="n">
        <v>0</v>
      </c>
      <c r="K512" s="3" t="n">
        <v>0</v>
      </c>
      <c r="L512" s="3">
        <f>IF(K512&lt;-5,"CRÍTICO",IF(K512&lt;0,"ATENÇÃO",IF(K512&lt;=5,"BOM","EXCELENTE")))</f>
        <v/>
      </c>
      <c r="M512" s="9" t="n">
        <v>0</v>
      </c>
      <c r="N512" s="9" t="n">
        <v>100</v>
      </c>
      <c r="O512" s="9" t="n">
        <v>4.347826086956522</v>
      </c>
    </row>
    <row r="513">
      <c r="A513" s="5" t="n">
        <v>46147</v>
      </c>
      <c r="B513" s="6" t="inlineStr">
        <is>
          <t>Lucas Luiz Romero</t>
        </is>
      </c>
      <c r="C513" s="3" t="inlineStr">
        <is>
          <t>Técnico III</t>
        </is>
      </c>
      <c r="D513" s="3" t="n">
        <v>0</v>
      </c>
      <c r="E513" s="3" t="n">
        <v>0</v>
      </c>
      <c r="F513" s="3" t="n">
        <v>0</v>
      </c>
      <c r="G513" s="3" t="n">
        <v>0</v>
      </c>
      <c r="H513" s="3" t="n">
        <v>0</v>
      </c>
      <c r="I513" s="3" t="n">
        <v>0</v>
      </c>
      <c r="J513" s="3" t="n">
        <v>0</v>
      </c>
      <c r="K513" s="3" t="n">
        <v>0</v>
      </c>
      <c r="L513" s="3">
        <f>IF(K513&lt;-5,"CRÍTICO",IF(K513&lt;0,"ATENÇÃO",IF(K513&lt;=5,"BOM","EXCELENTE")))</f>
        <v/>
      </c>
      <c r="M513" s="3" t="n">
        <v>0</v>
      </c>
      <c r="N513" s="3" t="n">
        <v>100</v>
      </c>
      <c r="O513" s="3" t="n">
        <v>4.347826086956522</v>
      </c>
    </row>
    <row r="514">
      <c r="A514" s="5" t="n">
        <v>46148</v>
      </c>
      <c r="B514" s="6" t="inlineStr">
        <is>
          <t>Lucas Luiz Romero</t>
        </is>
      </c>
      <c r="C514" s="3" t="inlineStr">
        <is>
          <t>Técnico III</t>
        </is>
      </c>
      <c r="D514" s="3" t="n">
        <v>0</v>
      </c>
      <c r="E514" s="3" t="n">
        <v>0</v>
      </c>
      <c r="F514" s="3" t="n">
        <v>0</v>
      </c>
      <c r="G514" s="3" t="n">
        <v>0</v>
      </c>
      <c r="H514" s="3" t="n">
        <v>0</v>
      </c>
      <c r="I514" s="3" t="n">
        <v>0</v>
      </c>
      <c r="J514" s="3" t="n">
        <v>0</v>
      </c>
      <c r="K514" s="3" t="n">
        <v>0</v>
      </c>
      <c r="L514" s="3">
        <f>IF(K514&lt;-5,"CRÍTICO",IF(K514&lt;0,"ATENÇÃO",IF(K514&lt;=5,"BOM","EXCELENTE")))</f>
        <v/>
      </c>
      <c r="M514" s="3" t="n">
        <v>0</v>
      </c>
      <c r="N514" s="3" t="n">
        <v>100</v>
      </c>
      <c r="O514" s="3" t="n">
        <v>4.347826086956522</v>
      </c>
    </row>
    <row r="515">
      <c r="A515" s="11" t="n">
        <v>46168</v>
      </c>
      <c r="B515" t="inlineStr">
        <is>
          <t>Lucas Luiz Romero</t>
        </is>
      </c>
      <c r="C515" t="inlineStr">
        <is>
          <t>Técnico III</t>
        </is>
      </c>
      <c r="D515" s="9" t="n">
        <v>0</v>
      </c>
      <c r="E515" s="9" t="n">
        <v>0</v>
      </c>
      <c r="F515" s="9" t="n">
        <v>0</v>
      </c>
      <c r="G515" s="9" t="n">
        <v>0</v>
      </c>
      <c r="H515" s="9" t="n">
        <v>0</v>
      </c>
      <c r="I515" s="9" t="n">
        <v>0</v>
      </c>
      <c r="J515" s="9" t="n">
        <v>0</v>
      </c>
      <c r="K515" s="9" t="n">
        <v>0</v>
      </c>
    </row>
    <row r="516">
      <c r="A516" s="11" t="n">
        <v>46140</v>
      </c>
      <c r="B516" t="inlineStr">
        <is>
          <t>Matheus Farias De Souza</t>
        </is>
      </c>
      <c r="C516" t="inlineStr">
        <is>
          <t>Técnico III</t>
        </is>
      </c>
      <c r="D516" s="9" t="n">
        <v>35</v>
      </c>
      <c r="E516" s="9" t="n">
        <v>34</v>
      </c>
      <c r="F516" s="9" t="n">
        <v>15.13</v>
      </c>
      <c r="G516" s="9" t="n">
        <v>0</v>
      </c>
      <c r="H516" s="9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IF(K516&lt;-5,"CRÍTICO",IF(K516&lt;0,"ATENÇÃO",IF(K516&lt;=5,"OPORTUNO","MUITO BOM")))</f>
        <v/>
      </c>
      <c r="N516" s="9" t="n">
        <v>100</v>
      </c>
      <c r="O516" s="9" t="n">
        <v>23.9870340356564</v>
      </c>
    </row>
    <row r="517">
      <c r="A517" s="11" t="n">
        <v>46141</v>
      </c>
      <c r="B517" t="inlineStr">
        <is>
          <t>Matheus Farias De Souza</t>
        </is>
      </c>
      <c r="C517" t="inlineStr">
        <is>
          <t>Técnico III</t>
        </is>
      </c>
      <c r="D517" s="9" t="n">
        <v>26</v>
      </c>
      <c r="E517" s="9" t="n">
        <v>23</v>
      </c>
      <c r="F517" s="9" t="n">
        <v>11.5</v>
      </c>
      <c r="G517" s="9" t="n">
        <v>0</v>
      </c>
      <c r="H517" s="9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N517" s="9" t="n">
        <v>100</v>
      </c>
      <c r="O517" s="9" t="n">
        <v>23.9870340356564</v>
      </c>
    </row>
    <row r="518">
      <c r="A518" s="11" t="n">
        <v>46142</v>
      </c>
      <c r="B518" t="inlineStr">
        <is>
          <t>Matheus Farias De Souza</t>
        </is>
      </c>
      <c r="C518" t="inlineStr">
        <is>
          <t>Técnico III</t>
        </is>
      </c>
      <c r="D518" s="9" t="n">
        <v>15</v>
      </c>
      <c r="E518" s="9" t="n">
        <v>13</v>
      </c>
      <c r="F518" s="9" t="n">
        <v>11.57</v>
      </c>
      <c r="G518" s="9" t="n">
        <v>0</v>
      </c>
      <c r="H518" s="9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IF(K518&lt;-5,"CRÍTICO",IF(K518&lt;0,"ATENÇÃO",IF(K518&lt;=5,"OPORTUNO","MUITO BOM")))</f>
        <v/>
      </c>
      <c r="N518" s="9" t="n">
        <v>100</v>
      </c>
      <c r="O518" s="9" t="n">
        <v>23.9870340356564</v>
      </c>
    </row>
    <row r="519">
      <c r="A519" s="5" t="n">
        <v>46146</v>
      </c>
      <c r="B519" s="6" t="inlineStr">
        <is>
          <t>Matheus Farias De Souza</t>
        </is>
      </c>
      <c r="C519" s="3" t="inlineStr">
        <is>
          <t>Técnico III</t>
        </is>
      </c>
      <c r="D519" s="3" t="n">
        <v>32</v>
      </c>
      <c r="E519" s="3" t="n">
        <v>31</v>
      </c>
      <c r="F519" s="3" t="n">
        <v>10.27</v>
      </c>
      <c r="G519" s="3" t="n">
        <v>1</v>
      </c>
      <c r="H519" s="3" t="n">
        <v>25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s="9" t="n">
        <v>36</v>
      </c>
      <c r="N519" s="9" t="n">
        <v>98.28</v>
      </c>
      <c r="O519" s="9" t="n">
        <v>9.037900874635568</v>
      </c>
    </row>
    <row r="520">
      <c r="A520" s="5" t="n">
        <v>46147</v>
      </c>
      <c r="B520" s="6" t="inlineStr">
        <is>
          <t>Matheus Farias De Souza</t>
        </is>
      </c>
      <c r="C520" s="3" t="inlineStr">
        <is>
          <t>Técnico III</t>
        </is>
      </c>
      <c r="D520" s="3" t="n">
        <v>14</v>
      </c>
      <c r="E520" s="3" t="n">
        <v>14</v>
      </c>
      <c r="F520" s="3" t="n">
        <v>15.35</v>
      </c>
      <c r="G520" s="3" t="n">
        <v>0</v>
      </c>
      <c r="H520" s="3" t="n">
        <v>21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s="3" t="n">
        <v>28</v>
      </c>
      <c r="N520" s="3" t="n">
        <v>98.28</v>
      </c>
      <c r="O520" s="3" t="n">
        <v>9.037900874635568</v>
      </c>
    </row>
    <row r="521">
      <c r="A521" s="5" t="n">
        <v>46148</v>
      </c>
      <c r="B521" s="6" t="inlineStr">
        <is>
          <t>Matheus Farias De Souza</t>
        </is>
      </c>
      <c r="C521" s="3" t="inlineStr">
        <is>
          <t>Técnico III</t>
        </is>
      </c>
      <c r="D521" s="3" t="n">
        <v>24</v>
      </c>
      <c r="E521" s="3" t="n">
        <v>24</v>
      </c>
      <c r="F521" s="9" t="n">
        <v>18.39</v>
      </c>
      <c r="G521" s="3" t="n">
        <v>0</v>
      </c>
      <c r="H521" s="3" t="n">
        <v>17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s="3" t="n">
        <v>31</v>
      </c>
      <c r="N521" s="3" t="n">
        <v>98.28</v>
      </c>
      <c r="O521" s="3" t="n">
        <v>9.037900874635568</v>
      </c>
    </row>
    <row r="522">
      <c r="A522" s="11" t="n">
        <v>46168</v>
      </c>
      <c r="B522" t="inlineStr">
        <is>
          <t>Matheus Farias De Souza</t>
        </is>
      </c>
      <c r="C522" t="inlineStr">
        <is>
          <t>Técnico III</t>
        </is>
      </c>
      <c r="D522" s="9" t="n">
        <v>0</v>
      </c>
      <c r="E522" s="9" t="n">
        <v>0</v>
      </c>
      <c r="F522" s="9" t="n">
        <v>0</v>
      </c>
      <c r="G522" s="9" t="n">
        <v>0</v>
      </c>
      <c r="H522" s="9" t="n">
        <v>0</v>
      </c>
      <c r="I522" s="9" t="n">
        <v>0</v>
      </c>
      <c r="J522" s="9" t="n">
        <v>0</v>
      </c>
      <c r="K522" s="9" t="n">
        <v>0</v>
      </c>
    </row>
    <row r="523">
      <c r="A523" s="11" t="n">
        <v>46140</v>
      </c>
      <c r="B523" t="inlineStr">
        <is>
          <t>Maysa Victoria Dias Moura</t>
        </is>
      </c>
      <c r="C523" t="inlineStr">
        <is>
          <t>Técnico III</t>
        </is>
      </c>
      <c r="D523" s="9" t="n">
        <v>38</v>
      </c>
      <c r="E523" s="9" t="n">
        <v>32</v>
      </c>
      <c r="F523" s="9" t="n">
        <v>12.32</v>
      </c>
      <c r="G523" s="9" t="n">
        <v>0</v>
      </c>
      <c r="H523" s="9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N523" s="9" t="n">
        <v>95.48999999999999</v>
      </c>
      <c r="O523" s="9" t="n">
        <v>28.16901408450704</v>
      </c>
    </row>
    <row r="524">
      <c r="A524" s="11" t="n">
        <v>46141</v>
      </c>
      <c r="B524" t="inlineStr">
        <is>
          <t>Maysa Victoria Dias Moura</t>
        </is>
      </c>
      <c r="C524" t="inlineStr">
        <is>
          <t>Técnico III</t>
        </is>
      </c>
      <c r="D524" s="9" t="n">
        <v>32</v>
      </c>
      <c r="E524" s="9" t="n">
        <v>29</v>
      </c>
      <c r="F524" s="9" t="n">
        <v>12.35</v>
      </c>
      <c r="G524" s="9" t="n">
        <v>0</v>
      </c>
      <c r="H524" s="9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IF(K524&lt;-5,"CRÍTICO",IF(K524&lt;0,"ATENÇÃO",IF(K524&lt;=5,"OPORTUNO","MUITO BOM")))</f>
        <v/>
      </c>
      <c r="N524" s="9" t="n">
        <v>95.48999999999999</v>
      </c>
      <c r="O524" s="9" t="n">
        <v>28.16901408450704</v>
      </c>
    </row>
    <row r="525">
      <c r="A525" s="11" t="n">
        <v>46142</v>
      </c>
      <c r="B525" t="inlineStr">
        <is>
          <t>Maysa Victoria Dias Moura</t>
        </is>
      </c>
      <c r="C525" t="inlineStr">
        <is>
          <t>Técnico III</t>
        </is>
      </c>
      <c r="D525" s="9" t="n">
        <v>35</v>
      </c>
      <c r="E525" s="9" t="n">
        <v>34</v>
      </c>
      <c r="F525" s="9" t="n">
        <v>14.14</v>
      </c>
      <c r="G525" s="9" t="n">
        <v>0</v>
      </c>
      <c r="H525" s="9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N525" s="9" t="n">
        <v>95.48999999999999</v>
      </c>
      <c r="O525" s="9" t="n">
        <v>28.16901408450704</v>
      </c>
    </row>
    <row r="526">
      <c r="A526" s="5" t="n">
        <v>46146</v>
      </c>
      <c r="B526" s="6" t="inlineStr">
        <is>
          <t>Maysa Victoria Dias Moura</t>
        </is>
      </c>
      <c r="C526" s="3" t="inlineStr">
        <is>
          <t>Técnico III</t>
        </is>
      </c>
      <c r="D526" s="3" t="n">
        <v>40</v>
      </c>
      <c r="E526" s="3" t="n">
        <v>37</v>
      </c>
      <c r="F526" s="3" t="n">
        <v>10.48</v>
      </c>
      <c r="G526" s="3" t="n">
        <v>1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s="9" t="n">
        <v>33</v>
      </c>
      <c r="N526" s="9" t="n">
        <v>97.22</v>
      </c>
      <c r="O526" s="9" t="n">
        <v>19.09547738693467</v>
      </c>
    </row>
    <row r="527">
      <c r="A527" s="5" t="n">
        <v>46147</v>
      </c>
      <c r="B527" s="6" t="inlineStr">
        <is>
          <t>Maysa Victoria Dias Moura</t>
        </is>
      </c>
      <c r="C527" s="3" t="inlineStr">
        <is>
          <t>Técnico III</t>
        </is>
      </c>
      <c r="D527" s="3" t="n">
        <v>32</v>
      </c>
      <c r="E527" s="3" t="n">
        <v>30</v>
      </c>
      <c r="F527" s="3" t="n">
        <v>15.03</v>
      </c>
      <c r="G527" s="3" t="n">
        <v>10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s="3" t="n">
        <v>37</v>
      </c>
      <c r="N527" s="3" t="n">
        <v>97.22</v>
      </c>
      <c r="O527" s="3" t="n">
        <v>19.09547738693467</v>
      </c>
    </row>
    <row r="528">
      <c r="A528" s="5" t="n">
        <v>46148</v>
      </c>
      <c r="B528" s="6" t="inlineStr">
        <is>
          <t>Maysa Victoria Dias Moura</t>
        </is>
      </c>
      <c r="C528" s="3" t="inlineStr">
        <is>
          <t>Técnico III</t>
        </is>
      </c>
      <c r="D528" s="3" t="n">
        <v>32</v>
      </c>
      <c r="E528" s="3" t="n">
        <v>30</v>
      </c>
      <c r="F528" s="9" t="n">
        <v>19.04</v>
      </c>
      <c r="G528" s="3" t="n">
        <v>1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s="3" t="n">
        <v>31</v>
      </c>
      <c r="N528" s="3" t="n">
        <v>97.22</v>
      </c>
      <c r="O528" s="3" t="n">
        <v>19.09547738693467</v>
      </c>
    </row>
    <row r="529">
      <c r="A529" s="11" t="n">
        <v>46168</v>
      </c>
      <c r="B529" t="inlineStr">
        <is>
          <t>Maysa Victoria Dias Moura</t>
        </is>
      </c>
      <c r="C529" t="inlineStr">
        <is>
          <t>Técnico III</t>
        </is>
      </c>
      <c r="D529" s="9" t="n">
        <v>33</v>
      </c>
      <c r="E529" s="9" t="n">
        <v>30</v>
      </c>
      <c r="F529" s="9" t="n">
        <v>10.1</v>
      </c>
      <c r="G529" s="9" t="n">
        <v>2</v>
      </c>
    </row>
    <row r="530">
      <c r="A530" s="11" t="n">
        <v>46140</v>
      </c>
      <c r="B530" t="inlineStr">
        <is>
          <t>Rafael Gomes de Morais</t>
        </is>
      </c>
      <c r="C530" t="inlineStr">
        <is>
          <t>Técnico III</t>
        </is>
      </c>
      <c r="D530" s="9" t="n">
        <v>43</v>
      </c>
      <c r="E530" s="9" t="n">
        <v>39</v>
      </c>
      <c r="F530" s="9" t="n">
        <v>12.1</v>
      </c>
      <c r="G530" s="9" t="n">
        <v>0</v>
      </c>
      <c r="H530" s="9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N530" s="9" t="n">
        <v>100</v>
      </c>
      <c r="O530" s="9" t="n">
        <v>31.13553113553114</v>
      </c>
    </row>
    <row r="531">
      <c r="A531" s="11" t="n">
        <v>46141</v>
      </c>
      <c r="B531" t="inlineStr">
        <is>
          <t>Rafael Gomes de Morais</t>
        </is>
      </c>
      <c r="C531" t="inlineStr">
        <is>
          <t>Técnico III</t>
        </is>
      </c>
      <c r="D531" s="9" t="n">
        <v>52</v>
      </c>
      <c r="E531" s="9" t="n">
        <v>48</v>
      </c>
      <c r="F531" s="9" t="n">
        <v>10.56</v>
      </c>
      <c r="G531" s="9" t="n">
        <v>0</v>
      </c>
      <c r="H531" s="9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N531" s="9" t="n">
        <v>100</v>
      </c>
      <c r="O531" s="9" t="n">
        <v>31.13553113553114</v>
      </c>
    </row>
    <row r="532">
      <c r="A532" s="11" t="n">
        <v>46142</v>
      </c>
      <c r="B532" t="inlineStr">
        <is>
          <t>Rafael Gomes de Morais</t>
        </is>
      </c>
      <c r="C532" t="inlineStr">
        <is>
          <t>Técnico III</t>
        </is>
      </c>
      <c r="D532" s="9" t="n">
        <v>36</v>
      </c>
      <c r="E532" s="9" t="n">
        <v>33</v>
      </c>
      <c r="F532" s="9" t="n">
        <v>18.2</v>
      </c>
      <c r="G532" s="9" t="n">
        <v>0</v>
      </c>
      <c r="H532" s="9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N532" s="9" t="n">
        <v>100</v>
      </c>
      <c r="O532" s="9" t="n">
        <v>31.13553113553114</v>
      </c>
    </row>
    <row r="533">
      <c r="A533" s="5" t="n">
        <v>46146</v>
      </c>
      <c r="B533" s="6" t="inlineStr">
        <is>
          <t>Rafael Gomes de Morais</t>
        </is>
      </c>
      <c r="C533" s="3" t="inlineStr">
        <is>
          <t>Técnico III</t>
        </is>
      </c>
      <c r="D533" s="3" t="n">
        <v>50</v>
      </c>
      <c r="E533" s="3" t="n">
        <v>46</v>
      </c>
      <c r="F533" s="3" t="n">
        <v>12.23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IF(K533&lt;-5,"CRÍTICO",IF(K533&lt;0,"ATENÇÃO",IF(K533&lt;=5,"BOM","EXCELENTE")))</f>
        <v/>
      </c>
      <c r="M533" s="9" t="n">
        <v>32</v>
      </c>
      <c r="N533" s="9" t="n">
        <v>99.29000000000001</v>
      </c>
      <c r="O533" s="9" t="n">
        <v>22.49443207126949</v>
      </c>
    </row>
    <row r="534">
      <c r="A534" s="5" t="n">
        <v>46147</v>
      </c>
      <c r="B534" s="6" t="inlineStr">
        <is>
          <t>Rafael Gomes de Morais</t>
        </is>
      </c>
      <c r="C534" s="3" t="inlineStr">
        <is>
          <t>Técnico III</t>
        </is>
      </c>
      <c r="D534" s="3" t="n">
        <v>49</v>
      </c>
      <c r="E534" s="3" t="n">
        <v>45</v>
      </c>
      <c r="F534" s="3" t="n">
        <v>10.46</v>
      </c>
      <c r="G534" s="3" t="n">
        <v>9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IF(K534&lt;-5,"CRÍTICO",IF(K534&lt;0,"ATENÇÃO",IF(K534&lt;=5,"BOM","EXCELENTE")))</f>
        <v/>
      </c>
      <c r="M534" s="3" t="n">
        <v>49</v>
      </c>
      <c r="N534" s="3" t="n">
        <v>99.29000000000001</v>
      </c>
      <c r="O534" s="3" t="n">
        <v>22.49443207126949</v>
      </c>
    </row>
    <row r="535">
      <c r="A535" s="5" t="n">
        <v>46148</v>
      </c>
      <c r="B535" s="6" t="inlineStr">
        <is>
          <t>Rafael Gomes de Morais</t>
        </is>
      </c>
      <c r="C535" s="3" t="inlineStr">
        <is>
          <t>Técnico III</t>
        </is>
      </c>
      <c r="D535" s="3" t="n">
        <v>57</v>
      </c>
      <c r="E535" s="3" t="n">
        <v>51</v>
      </c>
      <c r="F535" s="9" t="n">
        <v>10.53</v>
      </c>
      <c r="G535" s="3" t="n">
        <v>1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IF(K535&lt;-5,"CRÍTICO",IF(K535&lt;0,"ATENÇÃO",IF(K535&lt;=5,"BOM","EXCELENTE")))</f>
        <v/>
      </c>
      <c r="M535" s="3" t="n">
        <v>37</v>
      </c>
      <c r="N535" s="3" t="n">
        <v>99.29000000000001</v>
      </c>
      <c r="O535" s="3" t="n">
        <v>22.49443207126949</v>
      </c>
    </row>
    <row r="536">
      <c r="A536" s="11" t="n">
        <v>46168</v>
      </c>
      <c r="B536" t="inlineStr">
        <is>
          <t>Rafael Gomes de Morais</t>
        </is>
      </c>
      <c r="C536" t="inlineStr">
        <is>
          <t>Técnico III</t>
        </is>
      </c>
      <c r="D536" s="9" t="n">
        <v>37</v>
      </c>
      <c r="E536" s="9" t="n">
        <v>33</v>
      </c>
      <c r="F536" s="9" t="n">
        <v>11.48</v>
      </c>
      <c r="G536" s="9" t="n">
        <v>0</v>
      </c>
    </row>
    <row r="537">
      <c r="A537" s="11" t="n">
        <v>46140</v>
      </c>
      <c r="B537" t="inlineStr">
        <is>
          <t>Sarah Steffanie de Lima Borges</t>
        </is>
      </c>
      <c r="C537" t="inlineStr">
        <is>
          <t>Técnico III</t>
        </is>
      </c>
      <c r="D537" s="9" t="n">
        <v>30</v>
      </c>
      <c r="E537" s="9" t="n">
        <v>28</v>
      </c>
      <c r="F537" s="9" t="n">
        <v>17.33</v>
      </c>
      <c r="G537" s="9" t="n">
        <v>0</v>
      </c>
      <c r="H537" s="9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N537" s="9" t="n">
        <v>99.20999999999999</v>
      </c>
      <c r="O537" s="9" t="n">
        <v>24.93702770780856</v>
      </c>
    </row>
    <row r="538">
      <c r="A538" s="11" t="n">
        <v>46141</v>
      </c>
      <c r="B538" t="inlineStr">
        <is>
          <t>Sarah Steffanie de Lima Borges</t>
        </is>
      </c>
      <c r="C538" t="inlineStr">
        <is>
          <t>Técnico III</t>
        </is>
      </c>
      <c r="D538" s="9" t="n">
        <v>30</v>
      </c>
      <c r="E538" s="9" t="n">
        <v>30</v>
      </c>
      <c r="F538" s="9" t="n">
        <v>15</v>
      </c>
      <c r="G538" s="9" t="n">
        <v>0</v>
      </c>
      <c r="H538" s="9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N538" s="9" t="n">
        <v>99.20999999999999</v>
      </c>
      <c r="O538" s="9" t="n">
        <v>24.93702770780856</v>
      </c>
    </row>
    <row r="539">
      <c r="A539" s="11" t="n">
        <v>46142</v>
      </c>
      <c r="B539" t="inlineStr">
        <is>
          <t>Sarah Steffanie de Lima Borges</t>
        </is>
      </c>
      <c r="C539" t="inlineStr">
        <is>
          <t>Técnico III</t>
        </is>
      </c>
      <c r="D539" s="9" t="n">
        <v>10</v>
      </c>
      <c r="E539" s="9" t="n">
        <v>10</v>
      </c>
      <c r="F539" s="9" t="n">
        <v>20.23</v>
      </c>
      <c r="G539" s="9" t="n">
        <v>0</v>
      </c>
      <c r="H539" s="9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N539" s="9" t="n">
        <v>99.20999999999999</v>
      </c>
      <c r="O539" s="9" t="n">
        <v>24.93702770780856</v>
      </c>
    </row>
    <row r="540">
      <c r="A540" s="5" t="n">
        <v>46146</v>
      </c>
      <c r="B540" s="6" t="inlineStr">
        <is>
          <t>Sarah Steffanie de Lima Borges</t>
        </is>
      </c>
      <c r="C540" s="3" t="inlineStr">
        <is>
          <t>Técnico III</t>
        </is>
      </c>
      <c r="D540" s="3" t="n">
        <v>26</v>
      </c>
      <c r="E540" s="3" t="n">
        <v>25</v>
      </c>
      <c r="F540" s="3" t="n">
        <v>17.25</v>
      </c>
      <c r="G540" s="3" t="n">
        <v>4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IF(K540&lt;-5,"CRÍTICO",IF(K540&lt;0,"ATENÇÃO",IF(K540&lt;=5,"BOM","EXCELENTE")))</f>
        <v/>
      </c>
      <c r="M540" s="9" t="n">
        <v>26</v>
      </c>
      <c r="N540" s="9" t="n">
        <v>97.33</v>
      </c>
      <c r="O540" s="9" t="n">
        <v>15.80547112462006</v>
      </c>
    </row>
    <row r="541">
      <c r="A541" s="5" t="n">
        <v>46147</v>
      </c>
      <c r="B541" s="6" t="inlineStr">
        <is>
          <t>Sarah Steffanie de Lima Borges</t>
        </is>
      </c>
      <c r="C541" s="3" t="inlineStr">
        <is>
          <t>Técnico III</t>
        </is>
      </c>
      <c r="D541" s="3" t="n">
        <v>33</v>
      </c>
      <c r="E541" s="3" t="n">
        <v>32</v>
      </c>
      <c r="F541" s="3" t="n">
        <v>15.31</v>
      </c>
      <c r="G541" s="3" t="n">
        <v>0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IF(K541&lt;-5,"CRÍTICO",IF(K541&lt;0,"ATENÇÃO",IF(K541&lt;=5,"BOM","EXCELENTE")))</f>
        <v/>
      </c>
      <c r="M541" s="3" t="n">
        <v>28</v>
      </c>
      <c r="N541" s="3" t="n">
        <v>97.33</v>
      </c>
      <c r="O541" s="3" t="n">
        <v>15.80547112462006</v>
      </c>
    </row>
    <row r="542">
      <c r="A542" s="5" t="n">
        <v>46148</v>
      </c>
      <c r="B542" s="6" t="inlineStr">
        <is>
          <t>Sarah Steffanie de Lima Borges</t>
        </is>
      </c>
      <c r="C542" s="3" t="inlineStr">
        <is>
          <t>Técnico III</t>
        </is>
      </c>
      <c r="D542" s="3" t="n">
        <v>21</v>
      </c>
      <c r="E542" s="3" t="n">
        <v>20</v>
      </c>
      <c r="F542" s="9" t="n">
        <v>18.47</v>
      </c>
      <c r="G542" s="3" t="n">
        <v>8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IF(K542&lt;-5,"CRÍTICO",IF(K542&lt;0,"ATENÇÃO",IF(K542&lt;=5,"BOM","EXCELENTE")))</f>
        <v/>
      </c>
      <c r="M542" s="3" t="n">
        <v>25</v>
      </c>
      <c r="N542" s="3" t="n">
        <v>97.33</v>
      </c>
      <c r="O542" s="3" t="n">
        <v>15.80547112462006</v>
      </c>
    </row>
    <row r="543">
      <c r="A543" s="11" t="n">
        <v>46168</v>
      </c>
      <c r="B543" t="inlineStr">
        <is>
          <t>Sarah Steffanie de Lima Borges</t>
        </is>
      </c>
      <c r="C543" t="inlineStr">
        <is>
          <t>Técnico III</t>
        </is>
      </c>
      <c r="D543" s="9" t="n">
        <v>24</v>
      </c>
      <c r="E543" s="9" t="n">
        <v>22</v>
      </c>
      <c r="F543" s="9" t="n">
        <v>15.22</v>
      </c>
      <c r="G543" s="9" t="n">
        <v>0</v>
      </c>
    </row>
    <row r="544" hidden="1">
      <c r="A544" s="5" t="n">
        <v>46146</v>
      </c>
      <c r="B544" s="6" t="inlineStr">
        <is>
          <t>Alisson de Freitas Silva</t>
        </is>
      </c>
      <c r="C544" s="3" t="inlineStr">
        <is>
          <t>Técnico II</t>
        </is>
      </c>
      <c r="D544" s="3" t="n">
        <v>40</v>
      </c>
      <c r="E544" s="3" t="n">
        <v>38</v>
      </c>
      <c r="F544" s="3" t="n">
        <v>13.5</v>
      </c>
      <c r="G544" s="3" t="n">
        <v>4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IF(K544&lt;-5,"CRÍTICO",IF(K544&lt;0,"ATENÇÃO",IF(K544&lt;=5,"BOM","EXCELENTE")))</f>
        <v/>
      </c>
      <c r="M544" s="9" t="n">
        <v>36</v>
      </c>
      <c r="N544" s="9" t="n">
        <v>98.94</v>
      </c>
      <c r="O544" s="9" t="n">
        <v>19.61414790996785</v>
      </c>
    </row>
    <row r="545" hidden="1">
      <c r="A545" s="5" t="n">
        <v>46146</v>
      </c>
      <c r="B545" s="6" t="inlineStr">
        <is>
          <t>Brenda de Menezes Silva</t>
        </is>
      </c>
      <c r="C545" s="3" t="inlineStr">
        <is>
          <t>Técnico II</t>
        </is>
      </c>
      <c r="D545" s="3" t="n">
        <v>41</v>
      </c>
      <c r="E545" s="3" t="n">
        <v>38</v>
      </c>
      <c r="F545" s="3" t="n">
        <v>11.44</v>
      </c>
      <c r="G545" s="3" t="n">
        <v>5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IF(K545&lt;-5,"CRÍTICO",IF(K545&lt;0,"ATENÇÃO",IF(K545&lt;=5,"BOM","EXCELENTE")))</f>
        <v/>
      </c>
      <c r="M545" s="9" t="n">
        <v>43</v>
      </c>
      <c r="N545" s="9" t="n">
        <v>99.13</v>
      </c>
      <c r="O545" s="9" t="n">
        <v>14.7239263803681</v>
      </c>
    </row>
    <row r="546" hidden="1">
      <c r="A546" s="5" t="n">
        <v>46146</v>
      </c>
      <c r="B546" s="6" t="inlineStr">
        <is>
          <t>Carlos Mateus Cassimiro Nunes</t>
        </is>
      </c>
      <c r="C546" s="9" t="inlineStr">
        <is>
          <t>Técnico II</t>
        </is>
      </c>
      <c r="D546" s="3" t="n">
        <v>31</v>
      </c>
      <c r="E546" s="3" t="n">
        <v>29</v>
      </c>
      <c r="F546" s="3" t="n">
        <v>20.3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IF(K546&lt;-5,"CRÍTICO",IF(K546&lt;0,"ATENÇÃO",IF(K546&lt;=5,"BOM","EXCELENTE")))</f>
        <v/>
      </c>
      <c r="M546" s="9" t="n">
        <v>28</v>
      </c>
      <c r="N546" s="9" t="n">
        <v>98.8</v>
      </c>
      <c r="O546" s="9" t="n">
        <v>16.89750692520776</v>
      </c>
    </row>
    <row r="547" hidden="1">
      <c r="A547" s="5" t="n">
        <v>46146</v>
      </c>
      <c r="B547" s="6" t="inlineStr">
        <is>
          <t>Damyllis Lorraine de Oliveira Gonçalves</t>
        </is>
      </c>
      <c r="C547" s="3" t="inlineStr">
        <is>
          <t>Técnico II</t>
        </is>
      </c>
      <c r="D547" s="3" t="n">
        <v>37</v>
      </c>
      <c r="E547" s="3" t="n">
        <v>30</v>
      </c>
      <c r="F547" s="3" t="n">
        <v>15.15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IF(K547&lt;-5,"CRÍTICO",IF(K547&lt;0,"ATENÇÃO",IF(K547&lt;=5,"BOM","EXCELENTE")))</f>
        <v/>
      </c>
      <c r="M547" s="9" t="n">
        <v>25</v>
      </c>
      <c r="N547" s="9" t="n">
        <v>98.63</v>
      </c>
      <c r="O547" s="9" t="n">
        <v>18.75</v>
      </c>
    </row>
    <row r="548" hidden="1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M548" t="n">
        <v>17</v>
      </c>
      <c r="N548" t="n">
        <v>98.59</v>
      </c>
      <c r="O548" t="n">
        <v>31.8936877076412</v>
      </c>
    </row>
    <row r="549" hidden="1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M549" t="n">
        <v>20</v>
      </c>
      <c r="N549" t="n">
        <v>98.72</v>
      </c>
      <c r="O549" t="n">
        <v>31.77570093457944</v>
      </c>
    </row>
    <row r="550" hidden="1">
      <c r="A550" s="5" t="n">
        <v>46146</v>
      </c>
      <c r="B550" s="6" t="inlineStr">
        <is>
          <t>Emilly Kamilly Medeiros Miranda</t>
        </is>
      </c>
      <c r="C550" s="3" t="inlineStr">
        <is>
          <t>Técnico II</t>
        </is>
      </c>
      <c r="D550" s="3" t="n">
        <v>31</v>
      </c>
      <c r="E550" s="3" t="n">
        <v>28</v>
      </c>
      <c r="F550" s="3" t="n">
        <v>15.09</v>
      </c>
      <c r="G550" s="3" t="n">
        <v>7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IF(K550&lt;-5,"CRÍTICO",IF(K550&lt;0,"ATENÇÃO",IF(K550&lt;=5,"BOM","EXCELENTE")))</f>
        <v/>
      </c>
      <c r="M550" s="9" t="n">
        <v>29</v>
      </c>
      <c r="N550" s="9" t="n">
        <v>100</v>
      </c>
      <c r="O550" s="9" t="n">
        <v>13.8121546961326</v>
      </c>
    </row>
    <row r="551" hidden="1">
      <c r="A551" s="5" t="n">
        <v>46146</v>
      </c>
      <c r="B551" s="6" t="inlineStr">
        <is>
          <t>Francilene Ferreira de Jesus</t>
        </is>
      </c>
      <c r="C551" s="3" t="inlineStr">
        <is>
          <t>Técnico II</t>
        </is>
      </c>
      <c r="D551" s="3" t="n">
        <v>36</v>
      </c>
      <c r="E551" s="3" t="n">
        <v>33</v>
      </c>
      <c r="F551" s="3" t="n">
        <v>18.37</v>
      </c>
      <c r="G551" s="3" t="n">
        <v>0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IF(K551&lt;-5,"CRÍTICO",IF(K551&lt;0,"ATENÇÃO",IF(K551&lt;=5,"BOM","EXCELENTE")))</f>
        <v/>
      </c>
      <c r="M551" s="9" t="n">
        <v>29</v>
      </c>
      <c r="N551" s="9" t="n">
        <v>100</v>
      </c>
      <c r="O551" s="9" t="n">
        <v>17.24137931034483</v>
      </c>
    </row>
    <row r="552" hidden="1">
      <c r="A552" s="5" t="n">
        <v>46146</v>
      </c>
      <c r="B552" s="6" t="inlineStr">
        <is>
          <t>Isabella Borges de Oliveira</t>
        </is>
      </c>
      <c r="C552" s="9" t="inlineStr">
        <is>
          <t>Técnico II</t>
        </is>
      </c>
      <c r="D552" s="3" t="n">
        <v>36</v>
      </c>
      <c r="E552" s="3" t="n">
        <v>34</v>
      </c>
      <c r="F552" s="3" t="n">
        <v>14.11</v>
      </c>
      <c r="G552" s="3" t="n">
        <v>0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IF(K552&lt;-5,"CRÍTICO",IF(K552&lt;0,"ATENÇÃO",IF(K552&lt;=5,"BOM","EXCELENTE")))</f>
        <v/>
      </c>
      <c r="M552" s="9" t="n">
        <v>33</v>
      </c>
      <c r="N552" s="9" t="n">
        <v>98.63</v>
      </c>
      <c r="O552" s="9" t="n">
        <v>15.75757575757576</v>
      </c>
    </row>
    <row r="553" hidden="1">
      <c r="A553" s="5" t="n">
        <v>46146</v>
      </c>
      <c r="B553" s="6" t="inlineStr">
        <is>
          <t>Jessica Faria da Silveira</t>
        </is>
      </c>
      <c r="C553" s="3" t="inlineStr">
        <is>
          <t>Técnico II</t>
        </is>
      </c>
      <c r="D553" s="3" t="n">
        <v>32</v>
      </c>
      <c r="E553" s="3" t="n">
        <v>28</v>
      </c>
      <c r="F553" s="3" t="n">
        <v>14.15</v>
      </c>
      <c r="G553" s="3" t="n">
        <v>4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IF(K553&lt;-5,"CRÍTICO",IF(K553&lt;0,"ATENÇÃO",IF(K553&lt;=5,"BOM","EXCELENTE")))</f>
        <v/>
      </c>
      <c r="M553" s="9" t="n">
        <v>31</v>
      </c>
      <c r="N553" s="9" t="n">
        <v>98.61</v>
      </c>
      <c r="O553" s="9" t="n">
        <v>16.97530864197531</v>
      </c>
    </row>
    <row r="554" hidden="1">
      <c r="A554" s="5" t="n">
        <v>46146</v>
      </c>
      <c r="B554" s="6" t="inlineStr">
        <is>
          <t>Lizandra Gomes Duarte</t>
        </is>
      </c>
      <c r="C554" s="3" t="inlineStr">
        <is>
          <t>Técnico II</t>
        </is>
      </c>
      <c r="D554" s="3" t="n">
        <v>29</v>
      </c>
      <c r="E554" s="3" t="n">
        <v>26</v>
      </c>
      <c r="F554" s="3" t="n">
        <v>15.47</v>
      </c>
      <c r="G554" s="3" t="n">
        <v>0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IF(K554&lt;-5,"CRÍTICO",IF(K554&lt;0,"ATENÇÃO",IF(K554&lt;=5,"BOM","EXCELENTE")))</f>
        <v/>
      </c>
      <c r="M554" s="9" t="n">
        <v>15</v>
      </c>
      <c r="N554" s="9" t="n">
        <v>98.61</v>
      </c>
      <c r="O554" s="9" t="n">
        <v>16.86746987951807</v>
      </c>
    </row>
    <row r="555" hidden="1">
      <c r="A555" s="5" t="n">
        <v>46146</v>
      </c>
      <c r="B555" s="6" t="inlineStr">
        <is>
          <t>Lorena Dias de Araujo</t>
        </is>
      </c>
      <c r="C555" s="3" t="inlineStr">
        <is>
          <t>Técnico II</t>
        </is>
      </c>
      <c r="D555" s="3" t="n">
        <v>41</v>
      </c>
      <c r="E555" s="3" t="n">
        <v>40</v>
      </c>
      <c r="F555" s="3" t="n">
        <v>15.1</v>
      </c>
      <c r="G555" s="3" t="n">
        <v>0</v>
      </c>
      <c r="H555" s="3" t="n">
        <v>0</v>
      </c>
      <c r="I555" s="3" t="n">
        <v>0</v>
      </c>
      <c r="J555" s="3" t="n">
        <v>0</v>
      </c>
      <c r="K555" s="3" t="n">
        <v>0</v>
      </c>
      <c r="L555" s="3">
        <f>IF(K555&lt;-5,"CRÍTICO",IF(K555&lt;0,"ATENÇÃO",IF(K555&lt;=5,"BOM","EXCELENTE")))</f>
        <v/>
      </c>
      <c r="M555" s="9" t="n">
        <v>31</v>
      </c>
      <c r="N555" s="9" t="n">
        <v>100</v>
      </c>
      <c r="O555" s="9" t="n">
        <v>20.82018927444795</v>
      </c>
    </row>
    <row r="556" hidden="1">
      <c r="A556" s="5" t="n">
        <v>46146</v>
      </c>
      <c r="B556" s="6" t="inlineStr">
        <is>
          <t>Patrícia Karla de Sousa Araújo</t>
        </is>
      </c>
      <c r="C556" s="3" t="inlineStr">
        <is>
          <t>Técnico II</t>
        </is>
      </c>
      <c r="D556" s="3" t="n">
        <v>20</v>
      </c>
      <c r="E556" s="3" t="n">
        <v>16</v>
      </c>
      <c r="F556" s="3" t="n">
        <v>16.51</v>
      </c>
      <c r="G556" s="3" t="n">
        <v>0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IF(K556&lt;-5,"CRÍTICO",IF(K556&lt;0,"ATENÇÃO",IF(K556&lt;=5,"BOM","EXCELENTE")))</f>
        <v/>
      </c>
      <c r="M556" s="9" t="n">
        <v>14</v>
      </c>
      <c r="N556" s="9" t="n">
        <v>100</v>
      </c>
      <c r="O556" s="9" t="n">
        <v>16.89497716894977</v>
      </c>
    </row>
    <row r="557" hidden="1">
      <c r="A557" s="5" t="n">
        <v>46147</v>
      </c>
      <c r="B557" s="6" t="inlineStr">
        <is>
          <t>Alisson de Freitas Silva</t>
        </is>
      </c>
      <c r="C557" s="3" t="inlineStr">
        <is>
          <t>Técnico II</t>
        </is>
      </c>
      <c r="D557" s="3" t="n">
        <v>42</v>
      </c>
      <c r="E557" s="3" t="n">
        <v>37</v>
      </c>
      <c r="F557" s="3" t="n">
        <v>12.29</v>
      </c>
      <c r="G557" s="3" t="n">
        <v>4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IF(K557&lt;-5,"CRÍTICO",IF(K557&lt;0,"ATENÇÃO",IF(K557&lt;=5,"BOM","EXCELENTE")))</f>
        <v/>
      </c>
      <c r="M557" s="3" t="n">
        <v>32</v>
      </c>
      <c r="N557" s="3" t="n">
        <v>98.94</v>
      </c>
      <c r="O557" s="3" t="n">
        <v>19.61414790996785</v>
      </c>
    </row>
    <row r="558" hidden="1">
      <c r="A558" s="5" t="n">
        <v>46147</v>
      </c>
      <c r="B558" s="6" t="inlineStr">
        <is>
          <t>Brenda de Menezes Silva</t>
        </is>
      </c>
      <c r="C558" s="3" t="inlineStr">
        <is>
          <t>Técnico II</t>
        </is>
      </c>
      <c r="D558" s="3" t="n">
        <v>45</v>
      </c>
      <c r="E558" s="3" t="n">
        <v>37</v>
      </c>
      <c r="F558" s="3" t="n">
        <v>13.52</v>
      </c>
      <c r="G558" s="3" t="n">
        <v>6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IF(K558&lt;-5,"CRÍTICO",IF(K558&lt;0,"ATENÇÃO",IF(K558&lt;=5,"BOM","EXCELENTE")))</f>
        <v/>
      </c>
      <c r="M558" s="3" t="n">
        <v>43</v>
      </c>
      <c r="N558" s="3" t="n">
        <v>99.13</v>
      </c>
      <c r="O558" s="3" t="n">
        <v>14.7239263803681</v>
      </c>
    </row>
    <row r="559" hidden="1">
      <c r="A559" s="5" t="n">
        <v>46147</v>
      </c>
      <c r="B559" s="6" t="inlineStr">
        <is>
          <t>Carlos Mateus Cassimiro Nunes</t>
        </is>
      </c>
      <c r="C559" s="9" t="inlineStr">
        <is>
          <t>Técnico II</t>
        </is>
      </c>
      <c r="D559" s="3" t="n">
        <v>19</v>
      </c>
      <c r="E559" s="3" t="n">
        <v>18</v>
      </c>
      <c r="F559" s="3" t="n">
        <v>26.46</v>
      </c>
      <c r="G559" s="3" t="n">
        <v>9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IF(K559&lt;-5,"CRÍTICO",IF(K559&lt;0,"ATENÇÃO",IF(K559&lt;=5,"BOM","EXCELENTE")))</f>
        <v/>
      </c>
      <c r="M559" s="3" t="n">
        <v>27</v>
      </c>
      <c r="N559" s="3" t="n">
        <v>98.8</v>
      </c>
      <c r="O559" s="3" t="n">
        <v>16.89750692520776</v>
      </c>
    </row>
    <row r="560" hidden="1">
      <c r="A560" s="5" t="n">
        <v>46147</v>
      </c>
      <c r="B560" s="6" t="inlineStr">
        <is>
          <t>Damyllis Lorraine de Oliveira Gonçalves</t>
        </is>
      </c>
      <c r="C560" s="3" t="inlineStr">
        <is>
          <t>Técnico II</t>
        </is>
      </c>
      <c r="D560" s="3" t="n">
        <v>23</v>
      </c>
      <c r="E560" s="3" t="n">
        <v>21</v>
      </c>
      <c r="F560" s="3" t="n">
        <v>19.19</v>
      </c>
      <c r="G560" s="3" t="n">
        <v>0</v>
      </c>
      <c r="H560" s="3" t="n">
        <v>0</v>
      </c>
      <c r="I560" s="3" t="n">
        <v>0</v>
      </c>
      <c r="J560" s="3" t="n">
        <v>0</v>
      </c>
      <c r="K560" s="3" t="n">
        <v>0</v>
      </c>
      <c r="L560" s="3">
        <f>IF(K560&lt;-5,"CRÍTICO",IF(K560&lt;0,"ATENÇÃO",IF(K560&lt;=5,"BOM","EXCELENTE")))</f>
        <v/>
      </c>
      <c r="M560" s="3" t="n">
        <v>26</v>
      </c>
      <c r="N560" s="3" t="n">
        <v>98.63</v>
      </c>
      <c r="O560" s="3" t="n">
        <v>18.75</v>
      </c>
    </row>
    <row r="561" hidden="1">
      <c r="A561" s="5" t="n">
        <v>46147</v>
      </c>
      <c r="B561" s="6" t="inlineStr">
        <is>
          <t>Emilly Kamilly Medeiros Miranda</t>
        </is>
      </c>
      <c r="C561" s="3" t="inlineStr">
        <is>
          <t>Técnico II</t>
        </is>
      </c>
      <c r="D561" s="3" t="n">
        <v>34</v>
      </c>
      <c r="E561" s="3" t="n">
        <v>31</v>
      </c>
      <c r="F561" s="3" t="n">
        <v>14.15</v>
      </c>
      <c r="G561" s="3" t="n">
        <v>3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IF(K561&lt;-5,"CRÍTICO",IF(K561&lt;0,"ATENÇÃO",IF(K561&lt;=5,"BOM","EXCELENTE")))</f>
        <v/>
      </c>
      <c r="M561" s="3" t="n">
        <v>31</v>
      </c>
      <c r="N561" s="3" t="n">
        <v>100</v>
      </c>
      <c r="O561" s="3" t="n">
        <v>13.8121546961326</v>
      </c>
    </row>
    <row r="562" hidden="1">
      <c r="A562" s="5" t="n">
        <v>46147</v>
      </c>
      <c r="B562" s="6" t="inlineStr">
        <is>
          <t>Francilene Ferreira de Jesus</t>
        </is>
      </c>
      <c r="C562" s="3" t="inlineStr">
        <is>
          <t>Técnico II</t>
        </is>
      </c>
      <c r="D562" s="3" t="n">
        <v>0</v>
      </c>
      <c r="E562" s="3" t="n">
        <v>0</v>
      </c>
      <c r="F562" s="3" t="n">
        <v>0</v>
      </c>
      <c r="G562" s="3" t="n">
        <v>0</v>
      </c>
      <c r="H562" s="3" t="n">
        <v>0</v>
      </c>
      <c r="I562" s="3" t="n">
        <v>0</v>
      </c>
      <c r="J562" s="3" t="n">
        <v>0</v>
      </c>
      <c r="K562" s="3" t="n">
        <v>0</v>
      </c>
      <c r="L562" s="3">
        <f>IF(K562&lt;-5,"CRÍTICO",IF(K562&lt;0,"ATENÇÃO",IF(K562&lt;=5,"BOM","EXCELENTE")))</f>
        <v/>
      </c>
      <c r="M562" s="3" t="n">
        <v>0</v>
      </c>
      <c r="N562" s="3" t="n">
        <v>100</v>
      </c>
      <c r="O562" s="3" t="n">
        <v>17.24137931034483</v>
      </c>
    </row>
    <row r="563" hidden="1">
      <c r="A563" s="5" t="n">
        <v>46147</v>
      </c>
      <c r="B563" s="6" t="inlineStr">
        <is>
          <t>Isabella Borges de Oliveira</t>
        </is>
      </c>
      <c r="C563" s="9" t="inlineStr">
        <is>
          <t>Técnico II</t>
        </is>
      </c>
      <c r="D563" s="3" t="n">
        <v>26</v>
      </c>
      <c r="E563" s="3" t="n">
        <v>26</v>
      </c>
      <c r="F563" s="3" t="n">
        <v>20.01</v>
      </c>
      <c r="G563" s="3" t="n">
        <v>1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IF(K563&lt;-5,"CRÍTICO",IF(K563&lt;0,"ATENÇÃO",IF(K563&lt;=5,"BOM","EXCELENTE")))</f>
        <v/>
      </c>
      <c r="M563" s="3" t="n">
        <v>31</v>
      </c>
      <c r="N563" s="3" t="n">
        <v>98.63</v>
      </c>
      <c r="O563" s="3" t="n">
        <v>15.75757575757576</v>
      </c>
    </row>
    <row r="564" hidden="1">
      <c r="A564" s="5" t="n">
        <v>46147</v>
      </c>
      <c r="B564" s="6" t="inlineStr">
        <is>
          <t>Jessica Faria da Silveira</t>
        </is>
      </c>
      <c r="C564" s="3" t="inlineStr">
        <is>
          <t>Técnico II</t>
        </is>
      </c>
      <c r="D564" s="3" t="n">
        <v>39</v>
      </c>
      <c r="E564" s="3" t="n">
        <v>30</v>
      </c>
      <c r="F564" s="3" t="n">
        <v>14.13</v>
      </c>
      <c r="G564" s="3" t="n">
        <v>0</v>
      </c>
      <c r="H564" s="3" t="n">
        <v>0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IF(K564&lt;-5,"CRÍTICO",IF(K564&lt;0,"ATENÇÃO",IF(K564&lt;=5,"BOM","EXCELENTE")))</f>
        <v/>
      </c>
      <c r="M564" s="3" t="n">
        <v>30</v>
      </c>
      <c r="N564" s="3" t="n">
        <v>98.61</v>
      </c>
      <c r="O564" s="3" t="n">
        <v>16.97530864197531</v>
      </c>
    </row>
    <row r="565" hidden="1">
      <c r="A565" s="5" t="n">
        <v>46147</v>
      </c>
      <c r="B565" s="6" t="inlineStr">
        <is>
          <t>Lizandra Gomes Duarte</t>
        </is>
      </c>
      <c r="C565" s="3" t="inlineStr">
        <is>
          <t>Técnico II</t>
        </is>
      </c>
      <c r="D565" s="3" t="n">
        <v>18</v>
      </c>
      <c r="E565" s="3" t="n">
        <v>18</v>
      </c>
      <c r="F565" s="3" t="n">
        <v>18.28</v>
      </c>
      <c r="G565" s="3" t="n">
        <v>4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IF(K565&lt;-5,"CRÍTICO",IF(K565&lt;0,"ATENÇÃO",IF(K565&lt;=5,"BOM","EXCELENTE")))</f>
        <v/>
      </c>
      <c r="M565" s="3" t="n">
        <v>25</v>
      </c>
      <c r="N565" s="3" t="n">
        <v>98.61</v>
      </c>
      <c r="O565" s="3" t="n">
        <v>16.86746987951807</v>
      </c>
    </row>
    <row r="566" hidden="1">
      <c r="A566" s="5" t="n">
        <v>46147</v>
      </c>
      <c r="B566" s="6" t="inlineStr">
        <is>
          <t>Lorena Dias de Araujo</t>
        </is>
      </c>
      <c r="C566" s="3" t="inlineStr">
        <is>
          <t>Técnico II</t>
        </is>
      </c>
      <c r="D566" s="3" t="n">
        <v>37</v>
      </c>
      <c r="E566" s="3" t="n">
        <v>35</v>
      </c>
      <c r="F566" s="3" t="n">
        <v>15.27</v>
      </c>
      <c r="G566" s="3" t="n">
        <v>0</v>
      </c>
      <c r="H566" s="3" t="n">
        <v>0</v>
      </c>
      <c r="I566" s="3" t="n">
        <v>0</v>
      </c>
      <c r="J566" s="3" t="n">
        <v>0</v>
      </c>
      <c r="K566" s="3" t="n">
        <v>0</v>
      </c>
      <c r="L566" s="3">
        <f>IF(K566&lt;-5,"CRÍTICO",IF(K566&lt;0,"ATENÇÃO",IF(K566&lt;=5,"BOM","EXCELENTE")))</f>
        <v/>
      </c>
      <c r="M566" s="3" t="n">
        <v>37</v>
      </c>
      <c r="N566" s="3" t="n">
        <v>100</v>
      </c>
      <c r="O566" s="3" t="n">
        <v>20.82018927444795</v>
      </c>
    </row>
    <row r="567" hidden="1">
      <c r="A567" s="5" t="n">
        <v>46147</v>
      </c>
      <c r="B567" s="6" t="inlineStr">
        <is>
          <t>Patrícia Karla de Sousa Araújo</t>
        </is>
      </c>
      <c r="C567" s="3" t="inlineStr">
        <is>
          <t>Técnico II</t>
        </is>
      </c>
      <c r="D567" s="3" t="n">
        <v>27</v>
      </c>
      <c r="E567" s="3" t="n">
        <v>25</v>
      </c>
      <c r="F567" s="3" t="n">
        <v>17.39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IF(K567&lt;-5,"CRÍTICO",IF(K567&lt;0,"ATENÇÃO",IF(K567&lt;=5,"BOM","EXCELENTE")))</f>
        <v/>
      </c>
      <c r="M567" s="3" t="n">
        <v>21</v>
      </c>
      <c r="N567" s="3" t="n">
        <v>100</v>
      </c>
      <c r="O567" s="3" t="n">
        <v>16.89497716894977</v>
      </c>
    </row>
    <row r="568" hidden="1">
      <c r="A568" s="5" t="n">
        <v>46148</v>
      </c>
      <c r="B568" s="6" t="inlineStr">
        <is>
          <t>Alisson de Freitas Silva</t>
        </is>
      </c>
      <c r="C568" s="3" t="inlineStr">
        <is>
          <t>Técnico II</t>
        </is>
      </c>
      <c r="D568" s="3" t="n">
        <v>35</v>
      </c>
      <c r="E568" s="3" t="n">
        <v>29</v>
      </c>
      <c r="F568" t="n">
        <v>12.32</v>
      </c>
      <c r="G568" s="3" t="n">
        <v>11</v>
      </c>
      <c r="H568" s="3" t="n">
        <v>0</v>
      </c>
      <c r="I568" s="3">
        <f>E568+G568+H568</f>
        <v/>
      </c>
      <c r="J568" s="3">
        <f>ROUND(MIN(IF(C568="Técnico III",35,IF(C568="Técnico II",28,IF(C568="Técnico I",23,IF(C568="JR",20,IF(C568="Estágio",10,0))))),IF(C568="Técnico III",SUMIFS($D:$D,$A:$A,$A568,$B:$B,"&lt;&gt;Patrícia Karla de Sousa Araújo",$B:$B,"&lt;&gt;Lorena Dias de Araujo",$B:$B,"&lt;&gt;Lucas Luiz Romero")*(35/1083),IF(C568="Técnico II",SUMIFS($D:$D,$A:$A,$A568,$B:$B,"&lt;&gt;Patrícia Karla de Sousa Araújo",$B:$B,"&lt;&gt;Lorena Dias de Araujo",$B:$B,"&lt;&gt;Lucas Luiz Romero")*(28/1083),IF(C568="Técnico I",SUMIFS($D:$D,$A:$A,$A568,$B:$B,"&lt;&gt;Patrícia Karla de Sousa Araújo",$B:$B,"&lt;&gt;Lorena Dias de Araujo",$B:$B,"&lt;&gt;Lucas Luiz Romero")*(23/1083),IF(C568="JR",SUMIFS($D:$D,$A:$A,$A568,$B:$B,"&lt;&gt;Patrícia Karla de Sousa Araújo",$B:$B,"&lt;&gt;Lorena Dias de Araujo",$B:$B,"&lt;&gt;Lucas Luiz Romero")*(20/1083),IF(C568="Estágio",SUMIFS($D:$D,$A:$A,$A568,$B:$B,"&lt;&gt;Patrícia Karla de Sousa Araújo",$B:$B,"&lt;&gt;Lorena Dias de Araujo",$B:$B,"&lt;&gt;Lucas Luiz Romero")*(10/1083),0)))))),0)</f>
        <v/>
      </c>
      <c r="K568" s="3">
        <f>I568-J568</f>
        <v/>
      </c>
      <c r="L568" s="3">
        <f>IF(K568&lt;-5,"CRÍTICO",IF(K568&lt;0,"ATENÇÃO",IF(K568&lt;=5,"BOM","EXCELENTE")))</f>
        <v/>
      </c>
      <c r="M568" s="3" t="n">
        <v>32</v>
      </c>
      <c r="N568" s="3" t="n">
        <v>98.94</v>
      </c>
      <c r="O568" s="3" t="n">
        <v>19.61414790996785</v>
      </c>
    </row>
    <row r="569" hidden="1">
      <c r="A569" s="5" t="n">
        <v>46148</v>
      </c>
      <c r="B569" s="6" t="inlineStr">
        <is>
          <t>Brenda de Menezes Silva</t>
        </is>
      </c>
      <c r="C569" s="3" t="inlineStr">
        <is>
          <t>Técnico II</t>
        </is>
      </c>
      <c r="D569" s="3" t="n">
        <v>31</v>
      </c>
      <c r="E569" s="3" t="n">
        <v>28</v>
      </c>
      <c r="F569" t="n">
        <v>18.45</v>
      </c>
      <c r="G569" s="3" t="n">
        <v>9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IF(K569&lt;-5,"CRÍTICO",IF(K569&lt;0,"ATENÇÃO",IF(K569&lt;=5,"BOM","EXCELENTE")))</f>
        <v/>
      </c>
      <c r="M569" s="3" t="n">
        <v>35</v>
      </c>
      <c r="N569" s="3" t="n">
        <v>99.13</v>
      </c>
      <c r="O569" s="3" t="n">
        <v>14.7239263803681</v>
      </c>
    </row>
    <row r="570" hidden="1">
      <c r="A570" s="5" t="n">
        <v>46148</v>
      </c>
      <c r="B570" s="6" t="inlineStr">
        <is>
          <t>Carlos Mateus Cassimiro Nunes</t>
        </is>
      </c>
      <c r="C570" s="9" t="inlineStr">
        <is>
          <t>Técnico II</t>
        </is>
      </c>
      <c r="D570" s="3" t="n">
        <v>34</v>
      </c>
      <c r="E570" s="3" t="n">
        <v>32</v>
      </c>
      <c r="F570" t="n">
        <v>14.16</v>
      </c>
      <c r="G570" s="3" t="n">
        <v>1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IF(K570&lt;-5,"CRÍTICO",IF(K570&lt;0,"ATENÇÃO",IF(K570&lt;=5,"BOM","EXCELENTE")))</f>
        <v/>
      </c>
      <c r="M570" s="3" t="n">
        <v>31</v>
      </c>
      <c r="N570" s="3" t="n">
        <v>98.8</v>
      </c>
      <c r="O570" s="3" t="n">
        <v>16.89750692520776</v>
      </c>
    </row>
    <row r="571" hidden="1">
      <c r="A571" s="5" t="n">
        <v>46148</v>
      </c>
      <c r="B571" s="6" t="inlineStr">
        <is>
          <t>Damyllis Lorraine de Oliveira Gonçalves</t>
        </is>
      </c>
      <c r="C571" s="3" t="inlineStr">
        <is>
          <t>Técnico II</t>
        </is>
      </c>
      <c r="D571" s="3" t="n">
        <v>40</v>
      </c>
      <c r="E571" s="3" t="n">
        <v>35</v>
      </c>
      <c r="F571" t="n">
        <v>15.25</v>
      </c>
      <c r="G571" s="3" t="n">
        <v>0</v>
      </c>
      <c r="H571" s="3" t="n">
        <v>0</v>
      </c>
      <c r="I571" s="3" t="n">
        <v>0</v>
      </c>
      <c r="J571" s="3" t="n">
        <v>0</v>
      </c>
      <c r="K571" s="3" t="n">
        <v>0</v>
      </c>
      <c r="L571" s="3">
        <f>IF(K571&lt;-5,"CRÍTICO",IF(K571&lt;0,"ATENÇÃO",IF(K571&lt;=5,"BOM","EXCELENTE")))</f>
        <v/>
      </c>
      <c r="M571" s="3" t="n">
        <v>29</v>
      </c>
      <c r="N571" s="3" t="n">
        <v>98.63</v>
      </c>
      <c r="O571" s="3" t="n">
        <v>18.75</v>
      </c>
    </row>
    <row r="572" hidden="1">
      <c r="A572" s="5" t="n">
        <v>46148</v>
      </c>
      <c r="B572" s="6" t="inlineStr">
        <is>
          <t>Emilly Kamilly Medeiros Miranda</t>
        </is>
      </c>
      <c r="C572" s="3" t="inlineStr">
        <is>
          <t>Técnico II</t>
        </is>
      </c>
      <c r="D572" s="3" t="n">
        <v>15</v>
      </c>
      <c r="E572" s="3" t="n">
        <v>14</v>
      </c>
      <c r="F572" t="n">
        <v>17.31</v>
      </c>
      <c r="G572" s="3" t="n">
        <v>9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IF(K572&lt;-5,"CRÍTICO",IF(K572&lt;0,"ATENÇÃO",IF(K572&lt;=5,"BOM","EXCELENTE")))</f>
        <v/>
      </c>
      <c r="M572" s="3" t="n">
        <v>22</v>
      </c>
      <c r="N572" s="3" t="n">
        <v>100</v>
      </c>
      <c r="O572" s="3" t="n">
        <v>13.8121546961326</v>
      </c>
    </row>
    <row r="573" hidden="1">
      <c r="A573" s="5" t="n">
        <v>46148</v>
      </c>
      <c r="B573" s="6" t="inlineStr">
        <is>
          <t>Francilene Ferreira de Jesus</t>
        </is>
      </c>
      <c r="C573" s="3" t="inlineStr">
        <is>
          <t>Técnico II</t>
        </is>
      </c>
      <c r="D573" s="3" t="n">
        <v>0</v>
      </c>
      <c r="E573" s="3" t="n">
        <v>0</v>
      </c>
      <c r="F573" s="3" t="n">
        <v>0</v>
      </c>
      <c r="G573" s="3" t="n">
        <v>0</v>
      </c>
      <c r="H573" s="3" t="n">
        <v>0</v>
      </c>
      <c r="I573" s="3" t="n">
        <v>0</v>
      </c>
      <c r="J573" s="3" t="n">
        <v>0</v>
      </c>
      <c r="K573" s="3" t="n">
        <v>0</v>
      </c>
      <c r="L573" s="3">
        <f>IF(K573&lt;-5,"CRÍTICO",IF(K573&lt;0,"ATENÇÃO",IF(K573&lt;=5,"BOM","EXCELENTE")))</f>
        <v/>
      </c>
      <c r="M573" s="3" t="n">
        <v>0</v>
      </c>
      <c r="N573" s="3" t="n">
        <v>100</v>
      </c>
      <c r="O573" s="3" t="n">
        <v>17.24137931034483</v>
      </c>
    </row>
    <row r="574" hidden="1">
      <c r="A574" s="5" t="n">
        <v>46148</v>
      </c>
      <c r="B574" s="6" t="inlineStr">
        <is>
          <t>Isabella Borges de Oliveira</t>
        </is>
      </c>
      <c r="C574" s="9" t="inlineStr">
        <is>
          <t>Técnico II</t>
        </is>
      </c>
      <c r="D574" s="3" t="n">
        <v>33</v>
      </c>
      <c r="E574" s="3" t="n">
        <v>32</v>
      </c>
      <c r="F574" t="n">
        <v>20.01</v>
      </c>
      <c r="G574" s="3" t="n">
        <v>9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IF(K574&lt;-5,"CRÍTICO",IF(K574&lt;0,"ATENÇÃO",IF(K574&lt;=5,"BOM","EXCELENTE")))</f>
        <v/>
      </c>
      <c r="M574" s="3" t="n">
        <v>30</v>
      </c>
      <c r="N574" s="3" t="n">
        <v>98.63</v>
      </c>
      <c r="O574" s="3" t="n">
        <v>15.75757575757576</v>
      </c>
    </row>
    <row r="575" hidden="1">
      <c r="A575" s="5" t="n">
        <v>46148</v>
      </c>
      <c r="B575" s="6" t="inlineStr">
        <is>
          <t>Jessica Faria da Silveira</t>
        </is>
      </c>
      <c r="C575" s="3" t="inlineStr">
        <is>
          <t>Técnico II</t>
        </is>
      </c>
      <c r="D575" s="3" t="n">
        <v>29</v>
      </c>
      <c r="E575" s="3" t="n">
        <v>28</v>
      </c>
      <c r="F575" t="n">
        <v>10.28</v>
      </c>
      <c r="G575" s="3" t="n">
        <v>7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IF(K575&lt;-5,"CRÍTICO",IF(K575&lt;0,"ATENÇÃO",IF(K575&lt;=5,"BOM","EXCELENTE")))</f>
        <v/>
      </c>
      <c r="M575" s="3" t="n">
        <v>34</v>
      </c>
      <c r="N575" s="3" t="n">
        <v>98.61</v>
      </c>
      <c r="O575" s="3" t="n">
        <v>16.97530864197531</v>
      </c>
    </row>
    <row r="576" hidden="1">
      <c r="A576" s="5" t="n">
        <v>46148</v>
      </c>
      <c r="B576" s="6" t="inlineStr">
        <is>
          <t>Lizandra Gomes Duarte</t>
        </is>
      </c>
      <c r="C576" s="3" t="inlineStr">
        <is>
          <t>Técnico II</t>
        </is>
      </c>
      <c r="D576" s="3" t="n">
        <v>38</v>
      </c>
      <c r="E576" s="3" t="n">
        <v>36</v>
      </c>
      <c r="F576" t="n">
        <v>15.35</v>
      </c>
      <c r="G576" s="3" t="n">
        <v>2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IF(K576&lt;-5,"CRÍTICO",IF(K576&lt;0,"ATENÇÃO",IF(K576&lt;=5,"BOM","EXCELENTE")))</f>
        <v/>
      </c>
      <c r="M576" s="3" t="n">
        <v>16</v>
      </c>
      <c r="N576" s="3" t="n">
        <v>98.61</v>
      </c>
      <c r="O576" s="3" t="n">
        <v>16.86746987951807</v>
      </c>
    </row>
    <row r="577" hidden="1">
      <c r="A577" s="5" t="n">
        <v>46148</v>
      </c>
      <c r="B577" s="6" t="inlineStr">
        <is>
          <t>Lorena Dias de Araujo</t>
        </is>
      </c>
      <c r="C577" s="3" t="inlineStr">
        <is>
          <t>Técnico II</t>
        </is>
      </c>
      <c r="D577" s="3" t="n">
        <v>34</v>
      </c>
      <c r="E577" s="3" t="n">
        <v>31</v>
      </c>
      <c r="F577" t="n">
        <v>16.42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IF(K577&lt;-5,"CRÍTICO",IF(K577&lt;0,"ATENÇÃO",IF(K577&lt;=5,"BOM","EXCELENTE")))</f>
        <v/>
      </c>
      <c r="M577" s="3" t="n">
        <v>28</v>
      </c>
      <c r="N577" s="3" t="n">
        <v>100</v>
      </c>
      <c r="O577" s="3" t="n">
        <v>20.82018927444795</v>
      </c>
    </row>
    <row r="578" hidden="1">
      <c r="A578" s="5" t="n">
        <v>46148</v>
      </c>
      <c r="B578" s="6" t="inlineStr">
        <is>
          <t>Patrícia Karla de Sousa Araújo</t>
        </is>
      </c>
      <c r="C578" s="3" t="inlineStr">
        <is>
          <t>Técnico II</t>
        </is>
      </c>
      <c r="D578" s="3" t="n">
        <v>35</v>
      </c>
      <c r="E578" s="3" t="n">
        <v>33</v>
      </c>
      <c r="F578" t="n">
        <v>15.19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IF(K578&lt;-5,"CRÍTICO",IF(K578&lt;0,"ATENÇÃO",IF(K578&lt;=5,"BOM","EXCELENTE")))</f>
        <v/>
      </c>
      <c r="M578" s="3" t="n">
        <v>30</v>
      </c>
      <c r="N578" s="3" t="n">
        <v>100</v>
      </c>
      <c r="O578" s="3" t="n">
        <v>16.89497716894977</v>
      </c>
    </row>
    <row r="579" hidden="1">
      <c r="A579" s="5" t="n">
        <v>46149</v>
      </c>
      <c r="B579" s="6" t="inlineStr">
        <is>
          <t>Alisson de Freitas Silva</t>
        </is>
      </c>
      <c r="C579" s="3" t="inlineStr">
        <is>
          <t>Técnico II</t>
        </is>
      </c>
      <c r="D579" s="3" t="n">
        <v>39</v>
      </c>
      <c r="E579" s="3" t="n">
        <v>34</v>
      </c>
      <c r="F579" t="n">
        <v>8.33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IF(K579&lt;-5,"CRÍTICO",IF(K579&lt;0,"ATENÇÃO",IF(K579&lt;=5,"BOM","EXCELENTE")))</f>
        <v/>
      </c>
      <c r="M579" s="3" t="n">
        <v>19</v>
      </c>
      <c r="N579" s="3" t="n">
        <v>98.94</v>
      </c>
      <c r="O579" s="3" t="n">
        <v>19.61414790996785</v>
      </c>
    </row>
    <row r="580" hidden="1">
      <c r="A580" s="5" t="n">
        <v>46149</v>
      </c>
      <c r="B580" s="6" t="inlineStr">
        <is>
          <t>Brenda de Menezes Silva</t>
        </is>
      </c>
      <c r="C580" s="3" t="inlineStr">
        <is>
          <t>Técnico II</t>
        </is>
      </c>
      <c r="D580" s="3" t="n">
        <v>33</v>
      </c>
      <c r="E580" s="3" t="n">
        <v>29</v>
      </c>
      <c r="F580" t="n">
        <v>13.37</v>
      </c>
      <c r="G580" s="3" t="n">
        <v>5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IF(K580&lt;-5,"CRÍTICO",IF(K580&lt;0,"ATENÇÃO",IF(K580&lt;=5,"BOM","EXCELENTE")))</f>
        <v/>
      </c>
      <c r="M580" s="3" t="n">
        <v>31</v>
      </c>
      <c r="N580" s="3" t="n">
        <v>99.13</v>
      </c>
      <c r="O580" s="3" t="n">
        <v>14.7239263803681</v>
      </c>
    </row>
    <row r="581" hidden="1">
      <c r="A581" s="5" t="n">
        <v>46149</v>
      </c>
      <c r="B581" s="6" t="inlineStr">
        <is>
          <t>Carlos Mateus Cassimiro Nunes</t>
        </is>
      </c>
      <c r="C581" s="9" t="inlineStr">
        <is>
          <t>Técnico II</t>
        </is>
      </c>
      <c r="D581" s="3" t="n">
        <v>24</v>
      </c>
      <c r="E581" s="3" t="n">
        <v>24</v>
      </c>
      <c r="F581" t="n">
        <v>25.23</v>
      </c>
      <c r="G581" s="3" t="n">
        <v>5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IF(K581&lt;-5,"CRÍTICO",IF(K581&lt;0,"ATENÇÃO",IF(K581&lt;=5,"BOM","EXCELENTE")))</f>
        <v/>
      </c>
      <c r="M581" s="3" t="n">
        <v>27</v>
      </c>
      <c r="N581" s="3" t="n">
        <v>98.8</v>
      </c>
      <c r="O581" s="3" t="n">
        <v>16.89750692520776</v>
      </c>
    </row>
    <row r="582" hidden="1">
      <c r="A582" s="5" t="n">
        <v>46149</v>
      </c>
      <c r="B582" s="6" t="inlineStr">
        <is>
          <t>Damyllis Lorraine de Oliveira Gonçalves</t>
        </is>
      </c>
      <c r="C582" s="3" t="inlineStr">
        <is>
          <t>Técnico II</t>
        </is>
      </c>
      <c r="D582" s="3" t="n">
        <v>17</v>
      </c>
      <c r="E582" s="3" t="n">
        <v>16</v>
      </c>
      <c r="F582" t="n">
        <v>30.25</v>
      </c>
      <c r="G582" s="3" t="n">
        <v>0</v>
      </c>
      <c r="H582" s="3" t="n">
        <v>0</v>
      </c>
      <c r="I582" s="3" t="n">
        <v>0</v>
      </c>
      <c r="J582" s="3" t="n">
        <v>0</v>
      </c>
      <c r="K582" s="3" t="n">
        <v>0</v>
      </c>
      <c r="L582" s="3">
        <f>IF(K582&lt;-5,"CRÍTICO",IF(K582&lt;0,"ATENÇÃO",IF(K582&lt;=5,"BOM","EXCELENTE")))</f>
        <v/>
      </c>
      <c r="M582" s="3" t="n">
        <v>19</v>
      </c>
      <c r="N582" s="3" t="n">
        <v>98.63</v>
      </c>
      <c r="O582" s="3" t="n">
        <v>18.75</v>
      </c>
    </row>
    <row r="583" hidden="1">
      <c r="A583" s="5" t="n">
        <v>46149</v>
      </c>
      <c r="B583" s="6" t="inlineStr">
        <is>
          <t>Emilly Kamilly Medeiros Miranda</t>
        </is>
      </c>
      <c r="C583" s="3" t="inlineStr">
        <is>
          <t>Técnico II</t>
        </is>
      </c>
      <c r="D583" s="3" t="n">
        <v>30</v>
      </c>
      <c r="E583" s="3" t="n">
        <v>29</v>
      </c>
      <c r="F583" t="n">
        <v>17.1</v>
      </c>
      <c r="G583" s="3" t="n">
        <v>2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IF(K583&lt;-5,"CRÍTICO",IF(K583&lt;0,"ATENÇÃO",IF(K583&lt;=5,"BOM","EXCELENTE")))</f>
        <v/>
      </c>
      <c r="M583" s="3" t="n">
        <v>28</v>
      </c>
      <c r="N583" s="3" t="n">
        <v>100</v>
      </c>
      <c r="O583" s="3" t="n">
        <v>13.8121546961326</v>
      </c>
    </row>
    <row r="584" hidden="1">
      <c r="A584" s="5" t="n">
        <v>46149</v>
      </c>
      <c r="B584" s="6" t="inlineStr">
        <is>
          <t>Francilene Ferreira de Jesus</t>
        </is>
      </c>
      <c r="C584" s="3" t="inlineStr">
        <is>
          <t>Técnico II</t>
        </is>
      </c>
      <c r="D584" s="3" t="n">
        <v>0</v>
      </c>
      <c r="E584" s="3" t="n">
        <v>0</v>
      </c>
      <c r="F584" s="3" t="n">
        <v>0</v>
      </c>
      <c r="G584" s="3" t="n">
        <v>0</v>
      </c>
      <c r="H584" s="3" t="n">
        <v>0</v>
      </c>
      <c r="I584" s="3" t="n">
        <v>0</v>
      </c>
      <c r="J584" s="3" t="n">
        <v>0</v>
      </c>
      <c r="K584" s="3" t="n">
        <v>0</v>
      </c>
      <c r="L584" s="3">
        <f>IF(K584&lt;-5,"CRÍTICO",IF(K584&lt;0,"ATENÇÃO",IF(K584&lt;=5,"BOM","EXCELENTE")))</f>
        <v/>
      </c>
      <c r="M584" s="3" t="n">
        <v>0</v>
      </c>
      <c r="N584" s="3" t="n">
        <v>100</v>
      </c>
      <c r="O584" s="3" t="n">
        <v>17.24137931034483</v>
      </c>
    </row>
    <row r="585" hidden="1">
      <c r="A585" s="5" t="n">
        <v>46149</v>
      </c>
      <c r="B585" s="6" t="inlineStr">
        <is>
          <t>Isabella Borges de Oliveira</t>
        </is>
      </c>
      <c r="C585" s="9" t="inlineStr">
        <is>
          <t>Técnico II</t>
        </is>
      </c>
      <c r="D585" s="3" t="n">
        <v>25</v>
      </c>
      <c r="E585" s="3" t="n">
        <v>24</v>
      </c>
      <c r="F585" t="n">
        <v>24.02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IF(K585&lt;-5,"CRÍTICO",IF(K585&lt;0,"ATENÇÃO",IF(K585&lt;=5,"BOM","EXCELENTE")))</f>
        <v/>
      </c>
      <c r="M585" s="3" t="n">
        <v>22</v>
      </c>
      <c r="N585" s="3" t="n">
        <v>98.63</v>
      </c>
      <c r="O585" s="3" t="n">
        <v>15.75757575757576</v>
      </c>
    </row>
    <row r="586" hidden="1">
      <c r="A586" s="5" t="n">
        <v>46149</v>
      </c>
      <c r="B586" s="6" t="inlineStr">
        <is>
          <t>Jessica Faria da Silveira</t>
        </is>
      </c>
      <c r="C586" s="3" t="inlineStr">
        <is>
          <t>Técnico II</t>
        </is>
      </c>
      <c r="D586" s="3" t="n">
        <v>34</v>
      </c>
      <c r="E586" s="3" t="n">
        <v>28</v>
      </c>
      <c r="F586" t="n">
        <v>13.53</v>
      </c>
      <c r="G586" s="3" t="n">
        <v>0</v>
      </c>
      <c r="H586" s="3" t="n">
        <v>0</v>
      </c>
      <c r="I586" s="3">
        <f>E586+G586+H586</f>
        <v/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/>
      </c>
      <c r="K586" s="3">
        <f>I586-J586</f>
        <v/>
      </c>
      <c r="L586" s="3">
        <f>IF(K586&lt;-5,"CRÍTICO",IF(K586&lt;0,"ATENÇÃO",IF(K586&lt;=5,"BOM","EXCELENTE")))</f>
        <v/>
      </c>
      <c r="M586" s="3" t="n">
        <v>26</v>
      </c>
      <c r="N586" s="3" t="n">
        <v>98.61</v>
      </c>
      <c r="O586" s="3" t="n">
        <v>16.97530864197531</v>
      </c>
    </row>
    <row r="587" hidden="1">
      <c r="A587" s="5" t="n">
        <v>46149</v>
      </c>
      <c r="B587" s="6" t="inlineStr">
        <is>
          <t>Lizandra Gomes Duarte</t>
        </is>
      </c>
      <c r="C587" s="3" t="inlineStr">
        <is>
          <t>Técnico II</t>
        </is>
      </c>
      <c r="D587" s="3" t="n">
        <v>40</v>
      </c>
      <c r="E587" s="3" t="n">
        <v>37</v>
      </c>
      <c r="F587" t="n">
        <v>13.54</v>
      </c>
      <c r="G587" s="3" t="n">
        <v>6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IF(K587&lt;-5,"CRÍTICO",IF(K587&lt;0,"ATENÇÃO",IF(K587&lt;=5,"BOM","EXCELENTE")))</f>
        <v/>
      </c>
      <c r="M587" s="3" t="n">
        <v>51</v>
      </c>
      <c r="N587" s="3" t="n">
        <v>98.61</v>
      </c>
      <c r="O587" s="3" t="n">
        <v>16.86746987951807</v>
      </c>
    </row>
    <row r="588" hidden="1">
      <c r="A588" s="5" t="n">
        <v>46149</v>
      </c>
      <c r="B588" s="6" t="inlineStr">
        <is>
          <t>Lorena Dias de Araujo</t>
        </is>
      </c>
      <c r="C588" s="3" t="inlineStr">
        <is>
          <t>Técnico II</t>
        </is>
      </c>
      <c r="D588" s="3" t="n">
        <v>26</v>
      </c>
      <c r="E588" s="3" t="n">
        <v>24</v>
      </c>
      <c r="F588" t="n">
        <v>18.21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IF(K588&lt;-5,"CRÍTICO",IF(K588&lt;0,"ATENÇÃO",IF(K588&lt;=5,"BOM","EXCELENTE")))</f>
        <v/>
      </c>
      <c r="M588" s="3" t="n">
        <v>26</v>
      </c>
      <c r="N588" s="3" t="n">
        <v>100</v>
      </c>
      <c r="O588" s="3" t="n">
        <v>20.82018927444795</v>
      </c>
    </row>
    <row r="589" hidden="1">
      <c r="A589" s="5" t="n">
        <v>46149</v>
      </c>
      <c r="B589" s="6" t="inlineStr">
        <is>
          <t>Patrícia Karla de Sousa Araújo</t>
        </is>
      </c>
      <c r="C589" s="3" t="inlineStr">
        <is>
          <t>Técnico II</t>
        </is>
      </c>
      <c r="D589" s="3" t="n">
        <v>10</v>
      </c>
      <c r="E589" s="3" t="n">
        <v>10</v>
      </c>
      <c r="F589" t="n">
        <v>28.38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IF(K589&lt;-5,"CRÍTICO",IF(K589&lt;0,"ATENÇÃO",IF(K589&lt;=5,"BOM","EXCELENTE")))</f>
        <v/>
      </c>
      <c r="M589" s="3" t="n">
        <v>9</v>
      </c>
      <c r="N589" s="3" t="n">
        <v>100</v>
      </c>
      <c r="O589" s="3" t="n">
        <v>16.89497716894977</v>
      </c>
    </row>
    <row r="590" hidden="1">
      <c r="A590" s="5" t="n">
        <v>46150</v>
      </c>
      <c r="B590" s="6" t="inlineStr">
        <is>
          <t>Alisson de Freitas Silva</t>
        </is>
      </c>
      <c r="C590" s="3" t="inlineStr">
        <is>
          <t>Técnico II</t>
        </is>
      </c>
      <c r="D590" s="3" t="n">
        <v>34</v>
      </c>
      <c r="E590" s="3" t="n">
        <v>30</v>
      </c>
      <c r="F590" t="n">
        <v>11.56</v>
      </c>
      <c r="G590" s="3" t="n">
        <v>4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IF(K590&lt;-5,"CRÍTICO",IF(K590&lt;0,"ATENÇÃO",IF(K590&lt;=5,"BOM","EXCELENTE")))</f>
        <v/>
      </c>
      <c r="M590" s="3" t="n">
        <v>21</v>
      </c>
      <c r="N590" s="3" t="n">
        <v>98.94</v>
      </c>
      <c r="O590" s="3" t="n">
        <v>19.61414790996785</v>
      </c>
    </row>
    <row r="591" hidden="1">
      <c r="A591" s="5" t="n">
        <v>46150</v>
      </c>
      <c r="B591" s="6" t="inlineStr">
        <is>
          <t>Brenda de Menezes Silva</t>
        </is>
      </c>
      <c r="C591" s="3" t="inlineStr">
        <is>
          <t>Técnico II</t>
        </is>
      </c>
      <c r="D591" s="3" t="n">
        <v>31</v>
      </c>
      <c r="E591" s="3" t="n">
        <v>28</v>
      </c>
      <c r="F591" t="n">
        <v>15.19</v>
      </c>
      <c r="G591" s="3" t="n">
        <v>4</v>
      </c>
      <c r="H591" s="3" t="n">
        <v>0</v>
      </c>
      <c r="I591" s="3">
        <f>E591+G591+H591</f>
        <v/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/>
      </c>
      <c r="K591" s="3">
        <f>I591-J591</f>
        <v/>
      </c>
      <c r="L591" s="3">
        <f>IF(K591&lt;-5,"CRÍTICO",IF(K591&lt;0,"ATENÇÃO",IF(K591&lt;=5,"BOM","EXCELENTE")))</f>
        <v/>
      </c>
      <c r="M591" t="n">
        <v>35</v>
      </c>
      <c r="N591" t="n">
        <v>99.13</v>
      </c>
      <c r="O591" t="n">
        <v>14.7239263803681</v>
      </c>
    </row>
    <row r="592" hidden="1">
      <c r="A592" s="5" t="n">
        <v>46150</v>
      </c>
      <c r="B592" s="6" t="inlineStr">
        <is>
          <t>Carlos Mateus Cassimiro Nunes</t>
        </is>
      </c>
      <c r="C592" s="9" t="inlineStr">
        <is>
          <t>Técnico II</t>
        </is>
      </c>
      <c r="D592" s="3" t="n">
        <v>12</v>
      </c>
      <c r="E592" s="3" t="n">
        <v>12</v>
      </c>
      <c r="F592" t="n">
        <v>38.58</v>
      </c>
      <c r="G592" s="3" t="n">
        <v>0</v>
      </c>
      <c r="H592" s="3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IF(K592&lt;-5,"CRÍTICO",IF(K592&lt;0,"ATENÇÃO",IF(K592&lt;=5,"BOM","EXCELENTE")))</f>
        <v/>
      </c>
      <c r="M592" t="n">
        <v>12</v>
      </c>
      <c r="N592" t="n">
        <v>98.8</v>
      </c>
      <c r="O592" t="n">
        <v>16.89750692520776</v>
      </c>
    </row>
    <row r="593" hidden="1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M593" t="n">
        <v>21</v>
      </c>
      <c r="N593" t="n">
        <v>98.81</v>
      </c>
      <c r="O593" t="n">
        <v>31.87134502923977</v>
      </c>
    </row>
    <row r="594" hidden="1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M594" t="n">
        <v>0</v>
      </c>
      <c r="N594" t="n">
        <v>98.84999999999999</v>
      </c>
      <c r="O594" t="n">
        <v>31.87134502923977</v>
      </c>
    </row>
    <row r="595" hidden="1">
      <c r="A595" s="5" t="n">
        <v>46150</v>
      </c>
      <c r="B595" s="6" t="inlineStr">
        <is>
          <t>Damyllis Lorraine de Oliveira Gonçalves</t>
        </is>
      </c>
      <c r="C595" s="3" t="inlineStr">
        <is>
          <t>Técnico II</t>
        </is>
      </c>
      <c r="D595" s="3" t="n">
        <v>19</v>
      </c>
      <c r="E595" s="3" t="n">
        <v>17</v>
      </c>
      <c r="F595" t="n">
        <v>23.59</v>
      </c>
      <c r="G595" s="3" t="n">
        <v>0</v>
      </c>
      <c r="H595" s="3" t="n">
        <v>0</v>
      </c>
      <c r="I595" s="3" t="n">
        <v>0</v>
      </c>
      <c r="J595" s="3" t="n">
        <v>0</v>
      </c>
      <c r="K595" s="3" t="n">
        <v>0</v>
      </c>
      <c r="L595" s="3">
        <f>IF(K595&lt;-5,"CRÍTICO",IF(K595&lt;0,"ATENÇÃO",IF(K595&lt;=5,"BOM","EXCELENTE")))</f>
        <v/>
      </c>
      <c r="M595" t="n">
        <v>16</v>
      </c>
      <c r="N595" t="n">
        <v>98.63</v>
      </c>
      <c r="O595" t="n">
        <v>18.75</v>
      </c>
    </row>
    <row r="596" hidden="1">
      <c r="A596" s="5" t="n">
        <v>46150</v>
      </c>
      <c r="B596" s="6" t="inlineStr">
        <is>
          <t>Emilly Kamilly Medeiros Miranda</t>
        </is>
      </c>
      <c r="C596" s="3" t="inlineStr">
        <is>
          <t>Técnico II</t>
        </is>
      </c>
      <c r="D596" s="3" t="n">
        <v>25</v>
      </c>
      <c r="E596" s="3" t="n">
        <v>23</v>
      </c>
      <c r="F596" t="n">
        <v>12.17</v>
      </c>
      <c r="G596" s="3" t="n">
        <v>6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IF(K596&lt;-5,"CRÍTICO",IF(K596&lt;0,"ATENÇÃO",IF(K596&lt;=5,"BOM","EXCELENTE")))</f>
        <v/>
      </c>
      <c r="M596" t="n">
        <v>26</v>
      </c>
      <c r="N596" t="n">
        <v>100</v>
      </c>
      <c r="O596" t="n">
        <v>13.8121546961326</v>
      </c>
    </row>
    <row r="597" hidden="1">
      <c r="A597" s="5" t="n">
        <v>46150</v>
      </c>
      <c r="B597" s="6" t="inlineStr">
        <is>
          <t>Francilene Ferreira de Jesus</t>
        </is>
      </c>
      <c r="C597" s="3" t="inlineStr">
        <is>
          <t>Técnico II</t>
        </is>
      </c>
      <c r="D597" s="3" t="n">
        <v>0</v>
      </c>
      <c r="E597" s="3" t="n">
        <v>0</v>
      </c>
      <c r="F597" s="3" t="n">
        <v>0</v>
      </c>
      <c r="G597" s="3" t="n">
        <v>0</v>
      </c>
      <c r="H597" s="3" t="n">
        <v>0</v>
      </c>
      <c r="I597" s="3" t="n">
        <v>0</v>
      </c>
      <c r="J597" s="3" t="n">
        <v>0</v>
      </c>
      <c r="K597" s="3" t="n">
        <v>0</v>
      </c>
      <c r="L597" s="3">
        <f>IF(K597&lt;-5,"CRÍTICO",IF(K597&lt;0,"ATENÇÃO",IF(K597&lt;=5,"BOM","EXCELENTE")))</f>
        <v/>
      </c>
      <c r="M597" s="9" t="n">
        <v>0</v>
      </c>
      <c r="N597" s="9" t="n">
        <v>100</v>
      </c>
      <c r="O597" s="9" t="n">
        <v>17.24137931034483</v>
      </c>
    </row>
    <row r="598" hidden="1">
      <c r="A598" s="5" t="n">
        <v>46150</v>
      </c>
      <c r="B598" s="6" t="inlineStr">
        <is>
          <t>Isabella Borges de Oliveira</t>
        </is>
      </c>
      <c r="C598" s="9" t="inlineStr">
        <is>
          <t>Técnico II</t>
        </is>
      </c>
      <c r="D598" s="3" t="n">
        <v>30</v>
      </c>
      <c r="E598" s="3" t="n">
        <v>27</v>
      </c>
      <c r="F598" t="n">
        <v>15.28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IF(K598&lt;-5,"CRÍTICO",IF(K598&lt;0,"ATENÇÃO",IF(K598&lt;=5,"BOM","EXCELENTE")))</f>
        <v/>
      </c>
      <c r="M598" t="n">
        <v>22</v>
      </c>
      <c r="N598" t="n">
        <v>98.63</v>
      </c>
      <c r="O598" t="n">
        <v>15.75757575757576</v>
      </c>
    </row>
    <row r="599" hidden="1">
      <c r="A599" s="5" t="n">
        <v>46150</v>
      </c>
      <c r="B599" s="6" t="inlineStr">
        <is>
          <t>Jessica Faria da Silveira</t>
        </is>
      </c>
      <c r="C599" s="3" t="inlineStr">
        <is>
          <t>Técnico II</t>
        </is>
      </c>
      <c r="D599" s="3" t="n">
        <v>25</v>
      </c>
      <c r="E599" s="3" t="n">
        <v>20</v>
      </c>
      <c r="F599" t="n">
        <v>14.16</v>
      </c>
      <c r="G599" s="3" t="n">
        <v>3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IF(K599&lt;-5,"CRÍTICO",IF(K599&lt;0,"ATENÇÃO",IF(K599&lt;=5,"BOM","EXCELENTE")))</f>
        <v/>
      </c>
      <c r="M599" t="n">
        <v>24</v>
      </c>
      <c r="N599" t="n">
        <v>98.61</v>
      </c>
      <c r="O599" t="n">
        <v>16.97530864197531</v>
      </c>
    </row>
    <row r="600" hidden="1">
      <c r="A600" s="5" t="n">
        <v>46150</v>
      </c>
      <c r="B600" s="6" t="inlineStr">
        <is>
          <t>Lizandra Gomes Duarte</t>
        </is>
      </c>
      <c r="C600" s="3" t="inlineStr">
        <is>
          <t>Técnico II</t>
        </is>
      </c>
      <c r="D600" s="3" t="n">
        <v>22</v>
      </c>
      <c r="E600" s="3" t="n">
        <v>18</v>
      </c>
      <c r="F600" t="n">
        <v>15.45</v>
      </c>
      <c r="G600" s="3" t="n">
        <v>3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IF(K600&lt;-5,"CRÍTICO",IF(K600&lt;0,"ATENÇÃO",IF(K600&lt;=5,"BOM","EXCELENTE")))</f>
        <v/>
      </c>
      <c r="M600" t="n">
        <v>18</v>
      </c>
      <c r="N600" t="n">
        <v>98.61</v>
      </c>
      <c r="O600" t="n">
        <v>16.86746987951807</v>
      </c>
    </row>
    <row r="601" hidden="1">
      <c r="A601" s="5" t="n">
        <v>46150</v>
      </c>
      <c r="B601" s="6" t="inlineStr">
        <is>
          <t>Lorena Dias de Araujo</t>
        </is>
      </c>
      <c r="C601" s="3" t="inlineStr">
        <is>
          <t>Técnico II</t>
        </is>
      </c>
      <c r="D601" s="3" t="n">
        <v>26</v>
      </c>
      <c r="E601" s="3" t="n">
        <v>26</v>
      </c>
      <c r="F601" t="n">
        <v>20.06</v>
      </c>
      <c r="G601" s="3" t="n">
        <v>0</v>
      </c>
      <c r="H601" s="3" t="n">
        <v>0</v>
      </c>
      <c r="I601" s="3" t="n">
        <v>0</v>
      </c>
      <c r="J601" s="3" t="n">
        <v>0</v>
      </c>
      <c r="K601" s="3" t="n">
        <v>0</v>
      </c>
      <c r="L601" s="3">
        <f>IF(K601&lt;-5,"CRÍTICO",IF(K601&lt;0,"ATENÇÃO",IF(K601&lt;=5,"BOM","EXCELENTE")))</f>
        <v/>
      </c>
      <c r="M601" t="n">
        <v>21</v>
      </c>
      <c r="N601" t="n">
        <v>100</v>
      </c>
      <c r="O601" t="n">
        <v>20.82018927444795</v>
      </c>
    </row>
    <row r="602" hidden="1">
      <c r="A602" s="5" t="n">
        <v>46150</v>
      </c>
      <c r="B602" s="6" t="inlineStr">
        <is>
          <t>Patrícia Karla de Sousa Araújo</t>
        </is>
      </c>
      <c r="C602" s="3" t="inlineStr">
        <is>
          <t>Técnico II</t>
        </is>
      </c>
      <c r="D602" s="3" t="n">
        <v>19</v>
      </c>
      <c r="E602" s="3" t="n">
        <v>19</v>
      </c>
      <c r="F602" t="n">
        <v>17.08</v>
      </c>
      <c r="G602" s="3" t="n">
        <v>0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IF(K602&lt;-5,"CRÍTICO",IF(K602&lt;0,"ATENÇÃO",IF(K602&lt;=5,"BOM","EXCELENTE")))</f>
        <v/>
      </c>
      <c r="M602" t="n">
        <v>17</v>
      </c>
      <c r="N602" t="n">
        <v>100</v>
      </c>
      <c r="O602" t="n">
        <v>16.89497716894977</v>
      </c>
    </row>
    <row r="603" hidden="1">
      <c r="A603" s="5" t="n">
        <v>46153</v>
      </c>
      <c r="B603" s="6" t="inlineStr">
        <is>
          <t>Alisson de Freitas Silva</t>
        </is>
      </c>
      <c r="C603" s="3" t="inlineStr">
        <is>
          <t>Técnico II</t>
        </is>
      </c>
      <c r="D603" s="3" t="n">
        <v>36</v>
      </c>
      <c r="E603" s="3" t="n">
        <v>29</v>
      </c>
      <c r="F603" t="n">
        <v>11.5</v>
      </c>
      <c r="G603" s="3" t="n">
        <v>5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IF(K603&lt;-5,"CRÍTICO",IF(K603&lt;0,"ATENÇÃO",IF(K603&lt;=5,"BOM","EXCELENTE")))</f>
        <v/>
      </c>
      <c r="M603" s="3" t="n">
        <v>18</v>
      </c>
      <c r="N603" s="3" t="n">
        <v>98.94</v>
      </c>
      <c r="O603" s="3" t="n">
        <v>19.61414790996785</v>
      </c>
    </row>
    <row r="604" hidden="1">
      <c r="A604" s="5" t="n">
        <v>46153</v>
      </c>
      <c r="B604" s="6" t="inlineStr">
        <is>
          <t>Brenda de Menezes Silva</t>
        </is>
      </c>
      <c r="C604" s="3" t="inlineStr">
        <is>
          <t>Técnico II</t>
        </is>
      </c>
      <c r="D604" s="3" t="n">
        <v>31</v>
      </c>
      <c r="E604" s="3" t="n">
        <v>29</v>
      </c>
      <c r="F604" t="n">
        <v>17.13</v>
      </c>
      <c r="G604" s="3" t="n">
        <v>1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IF(K604&lt;-5,"CRÍTICO",IF(K604&lt;0,"ATENÇÃO",IF(K604&lt;=5,"BOM","EXCELENTE")))</f>
        <v/>
      </c>
      <c r="M604" t="n">
        <v>30</v>
      </c>
      <c r="N604" t="n">
        <v>99.13</v>
      </c>
      <c r="O604" t="n">
        <v>14.7239263803681</v>
      </c>
    </row>
    <row r="605" hidden="1">
      <c r="A605" s="5" t="n">
        <v>46153</v>
      </c>
      <c r="B605" s="6" t="inlineStr">
        <is>
          <t>Carlos Mateus Cassimiro Nunes</t>
        </is>
      </c>
      <c r="C605" s="9" t="inlineStr">
        <is>
          <t>Técnico II</t>
        </is>
      </c>
      <c r="D605" s="3" t="n">
        <v>22</v>
      </c>
      <c r="E605" s="3" t="n">
        <v>22</v>
      </c>
      <c r="F605" t="n">
        <v>26.55</v>
      </c>
      <c r="G605" s="3" t="n">
        <v>4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IF(K605&lt;-5,"CRÍTICO",IF(K605&lt;0,"ATENÇÃO",IF(K605&lt;=5,"BOM","EXCELENTE")))</f>
        <v/>
      </c>
      <c r="M605" t="n">
        <v>26</v>
      </c>
      <c r="N605" t="n">
        <v>98.8</v>
      </c>
      <c r="O605" t="n">
        <v>16.89750692520776</v>
      </c>
    </row>
    <row r="606" hidden="1">
      <c r="A606" s="5" t="n">
        <v>46153</v>
      </c>
      <c r="B606" s="6" t="inlineStr">
        <is>
          <t>Damyllis Lorraine de Oliveira Gonçalves</t>
        </is>
      </c>
      <c r="C606" s="3" t="inlineStr">
        <is>
          <t>Técnico II</t>
        </is>
      </c>
      <c r="D606" s="3" t="n">
        <v>30</v>
      </c>
      <c r="E606" s="3" t="n">
        <v>27</v>
      </c>
      <c r="F606" t="n">
        <v>16.46</v>
      </c>
      <c r="G606" s="3" t="n">
        <v>0</v>
      </c>
      <c r="H606" s="3" t="n">
        <v>0</v>
      </c>
      <c r="I606" s="3" t="n">
        <v>0</v>
      </c>
      <c r="J606" s="3" t="n">
        <v>0</v>
      </c>
      <c r="K606" s="3" t="n">
        <v>0</v>
      </c>
      <c r="L606" s="3">
        <f>IF(K606&lt;-5,"CRÍTICO",IF(K606&lt;0,"ATENÇÃO",IF(K606&lt;=5,"BOM","EXCELENTE")))</f>
        <v/>
      </c>
      <c r="M606" t="n">
        <v>22</v>
      </c>
      <c r="N606" t="n">
        <v>98.63</v>
      </c>
      <c r="O606" t="n">
        <v>18.75</v>
      </c>
    </row>
    <row r="607" hidden="1">
      <c r="A607" s="5" t="n">
        <v>46153</v>
      </c>
      <c r="B607" s="6" t="inlineStr">
        <is>
          <t>Emilly Kamilly Medeiros Miranda</t>
        </is>
      </c>
      <c r="C607" s="3" t="inlineStr">
        <is>
          <t>Técnico II</t>
        </is>
      </c>
      <c r="D607" s="3" t="n">
        <v>28</v>
      </c>
      <c r="E607" s="3" t="n">
        <v>27</v>
      </c>
      <c r="F607" t="n">
        <v>15.05</v>
      </c>
      <c r="G607" s="3" t="n">
        <v>4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IF(K607&lt;-5,"CRÍTICO",IF(K607&lt;0,"ATENÇÃO",IF(K607&lt;=5,"BOM","EXCELENTE")))</f>
        <v/>
      </c>
      <c r="M607" t="n">
        <v>27</v>
      </c>
      <c r="N607" t="n">
        <v>100</v>
      </c>
      <c r="O607" t="n">
        <v>13.8121546961326</v>
      </c>
    </row>
    <row r="608" hidden="1">
      <c r="A608" s="5" t="n">
        <v>46153</v>
      </c>
      <c r="B608" s="6" t="inlineStr">
        <is>
          <t>Francilene Ferreira de Jesus</t>
        </is>
      </c>
      <c r="C608" s="3" t="inlineStr">
        <is>
          <t>Técnico II</t>
        </is>
      </c>
      <c r="D608" s="3" t="n">
        <v>0</v>
      </c>
      <c r="E608" s="3" t="n">
        <v>0</v>
      </c>
      <c r="F608" s="3" t="n">
        <v>0</v>
      </c>
      <c r="G608" s="3" t="n">
        <v>0</v>
      </c>
      <c r="H608" s="3" t="n">
        <v>0</v>
      </c>
      <c r="I608" s="3" t="n">
        <v>0</v>
      </c>
      <c r="J608" s="3" t="n">
        <v>0</v>
      </c>
      <c r="K608" s="3" t="n">
        <v>0</v>
      </c>
      <c r="L608" s="3">
        <f>IF(K608&lt;-5,"CRÍTICO",IF(K608&lt;0,"ATENÇÃO",IF(K608&lt;=5,"BOM","EXCELENTE")))</f>
        <v/>
      </c>
      <c r="M608" s="9" t="n">
        <v>0</v>
      </c>
      <c r="N608" s="9" t="n">
        <v>100</v>
      </c>
      <c r="O608" s="9" t="n">
        <v>17.24137931034483</v>
      </c>
    </row>
    <row r="609" hidden="1">
      <c r="A609" s="5" t="n">
        <v>46153</v>
      </c>
      <c r="B609" s="6" t="inlineStr">
        <is>
          <t>Isabella Borges de Oliveira</t>
        </is>
      </c>
      <c r="C609" s="9" t="inlineStr">
        <is>
          <t>Técnico II</t>
        </is>
      </c>
      <c r="D609" s="3" t="n">
        <v>26</v>
      </c>
      <c r="E609" s="3" t="n">
        <v>24</v>
      </c>
      <c r="F609" t="n">
        <v>18.31</v>
      </c>
      <c r="G609" s="3" t="n">
        <v>0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IF(K609&lt;-5,"CRÍTICO",IF(K609&lt;0,"ATENÇÃO",IF(K609&lt;=5,"BOM","EXCELENTE")))</f>
        <v/>
      </c>
      <c r="M609" t="n">
        <v>23</v>
      </c>
      <c r="N609" t="n">
        <v>98.63</v>
      </c>
      <c r="O609" t="n">
        <v>15.75757575757576</v>
      </c>
    </row>
    <row r="610" hidden="1">
      <c r="A610" s="5" t="n">
        <v>46153</v>
      </c>
      <c r="B610" s="6" t="inlineStr">
        <is>
          <t>Jessica Faria da Silveira</t>
        </is>
      </c>
      <c r="C610" s="3" t="inlineStr">
        <is>
          <t>Técnico II</t>
        </is>
      </c>
      <c r="D610" s="3" t="n">
        <v>39</v>
      </c>
      <c r="E610" s="3" t="n">
        <v>31</v>
      </c>
      <c r="F610" t="n">
        <v>12</v>
      </c>
      <c r="G610" s="3" t="n">
        <v>1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IF(K610&lt;-5,"CRÍTICO",IF(K610&lt;0,"ATENÇÃO",IF(K610&lt;=5,"BOM","EXCELENTE")))</f>
        <v/>
      </c>
      <c r="M610" t="n">
        <v>25</v>
      </c>
      <c r="N610" t="n">
        <v>98.61</v>
      </c>
      <c r="O610" t="n">
        <v>16.97530864197531</v>
      </c>
    </row>
    <row r="611" hidden="1">
      <c r="A611" s="5" t="n">
        <v>46153</v>
      </c>
      <c r="B611" s="6" t="inlineStr">
        <is>
          <t>Lizandra Gomes Duarte</t>
        </is>
      </c>
      <c r="C611" s="3" t="inlineStr">
        <is>
          <t>Técnico II</t>
        </is>
      </c>
      <c r="D611" s="3" t="n">
        <v>25</v>
      </c>
      <c r="E611" s="3" t="n">
        <v>22</v>
      </c>
      <c r="F611" t="n">
        <v>17.13</v>
      </c>
      <c r="G611" s="3" t="n">
        <v>2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IF(K611&lt;-5,"CRÍTICO",IF(K611&lt;0,"ATENÇÃO",IF(K611&lt;=5,"BOM","EXCELENTE")))</f>
        <v/>
      </c>
      <c r="M611" t="n">
        <v>21</v>
      </c>
      <c r="N611" t="n">
        <v>98.61</v>
      </c>
      <c r="O611" t="n">
        <v>16.86746987951807</v>
      </c>
    </row>
    <row r="612" hidden="1">
      <c r="A612" s="5" t="n">
        <v>46153</v>
      </c>
      <c r="B612" s="6" t="inlineStr">
        <is>
          <t>Lorena Dias de Araujo</t>
        </is>
      </c>
      <c r="C612" s="3" t="inlineStr">
        <is>
          <t>Técnico II</t>
        </is>
      </c>
      <c r="D612" s="3" t="n">
        <v>31</v>
      </c>
      <c r="E612" s="3" t="n">
        <v>30</v>
      </c>
      <c r="F612" t="n">
        <v>17.05</v>
      </c>
      <c r="G612" s="3" t="n">
        <v>0</v>
      </c>
      <c r="H612" s="3" t="n">
        <v>0</v>
      </c>
      <c r="I612" s="3" t="n">
        <v>0</v>
      </c>
      <c r="J612" s="3" t="n">
        <v>0</v>
      </c>
      <c r="K612" s="3" t="n">
        <v>0</v>
      </c>
      <c r="L612" s="3">
        <f>IF(K612&lt;-5,"CRÍTICO",IF(K612&lt;0,"ATENÇÃO",IF(K612&lt;=5,"BOM","EXCELENTE")))</f>
        <v/>
      </c>
      <c r="M612" t="n">
        <v>25</v>
      </c>
      <c r="N612" t="n">
        <v>100</v>
      </c>
      <c r="O612" t="n">
        <v>20.82018927444795</v>
      </c>
    </row>
    <row r="613" hidden="1">
      <c r="A613" s="5" t="n">
        <v>46153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9</v>
      </c>
      <c r="E613" s="3" t="n">
        <v>8</v>
      </c>
      <c r="F613" t="n">
        <v>23.37</v>
      </c>
      <c r="G613" s="3" t="n">
        <v>0</v>
      </c>
      <c r="H613" s="3" t="n">
        <v>0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IF(K613&lt;-5,"CRÍTICO",IF(K613&lt;0,"ATENÇÃO",IF(K613&lt;=5,"BOM","EXCELENTE")))</f>
        <v/>
      </c>
      <c r="M613" t="n">
        <v>7</v>
      </c>
      <c r="N613" t="n">
        <v>100</v>
      </c>
      <c r="O613" t="n">
        <v>16.89497716894977</v>
      </c>
    </row>
    <row r="614" hidden="1">
      <c r="A614" s="5" t="n">
        <v>46154</v>
      </c>
      <c r="B614" s="6" t="inlineStr">
        <is>
          <t>Alisson de Freitas Silva</t>
        </is>
      </c>
      <c r="C614" s="3" t="inlineStr">
        <is>
          <t>Técnico II</t>
        </is>
      </c>
      <c r="D614" s="3" t="n">
        <v>25</v>
      </c>
      <c r="E614" s="3" t="n">
        <v>18</v>
      </c>
      <c r="F614" t="n">
        <v>9</v>
      </c>
      <c r="G614" s="3" t="n">
        <v>8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IF(K614&lt;-5,"CRÍTICO",IF(K614&lt;0,"ATENÇÃO",IF(K614&lt;=5,"BOM","EXCELENTE")))</f>
        <v/>
      </c>
      <c r="M614" s="3" t="n">
        <v>17</v>
      </c>
      <c r="N614" s="3" t="n">
        <v>98.94</v>
      </c>
      <c r="O614" s="3" t="n">
        <v>19.61414790996785</v>
      </c>
    </row>
    <row r="615" hidden="1">
      <c r="A615" s="5" t="n">
        <v>46154</v>
      </c>
      <c r="B615" s="6" t="inlineStr">
        <is>
          <t>Brenda de Menezes Silva</t>
        </is>
      </c>
      <c r="C615" s="3" t="inlineStr">
        <is>
          <t>Técnico II</t>
        </is>
      </c>
      <c r="D615" s="3" t="n">
        <v>38</v>
      </c>
      <c r="E615" s="3" t="n">
        <v>35</v>
      </c>
      <c r="F615" t="n">
        <v>12.22</v>
      </c>
      <c r="G615" s="3" t="n">
        <v>3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IF(K615&lt;-5,"CRÍTICO",IF(K615&lt;0,"ATENÇÃO",IF(K615&lt;=5,"BOM","EXCELENTE")))</f>
        <v/>
      </c>
      <c r="M615" t="n">
        <v>34</v>
      </c>
      <c r="N615" t="n">
        <v>99.13</v>
      </c>
      <c r="O615" t="n">
        <v>14.7239263803681</v>
      </c>
    </row>
    <row r="616" hidden="1">
      <c r="A616" s="5" t="n">
        <v>46154</v>
      </c>
      <c r="B616" s="6" t="inlineStr">
        <is>
          <t>Carlos Mateus Cassimiro Nunes</t>
        </is>
      </c>
      <c r="C616" s="9" t="inlineStr">
        <is>
          <t>Técnico II</t>
        </is>
      </c>
      <c r="D616" s="3" t="n">
        <v>26</v>
      </c>
      <c r="E616" s="3" t="n">
        <v>26</v>
      </c>
      <c r="F616" t="n">
        <v>27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IF(K616&lt;-5,"CRÍTICO",IF(K616&lt;0,"ATENÇÃO",IF(K616&lt;=5,"BOM","EXCELENTE")))</f>
        <v/>
      </c>
      <c r="M616" t="n">
        <v>24</v>
      </c>
      <c r="N616" t="n">
        <v>98.8</v>
      </c>
      <c r="O616" t="n">
        <v>16.89750692520776</v>
      </c>
    </row>
    <row r="617" hidden="1">
      <c r="A617" s="5" t="n">
        <v>46154</v>
      </c>
      <c r="B617" s="6" t="inlineStr">
        <is>
          <t>Damyllis Lorraine de Oliveira Gonçalves</t>
        </is>
      </c>
      <c r="C617" s="3" t="inlineStr">
        <is>
          <t>Técnico II</t>
        </is>
      </c>
      <c r="D617" s="3" t="n">
        <v>37</v>
      </c>
      <c r="E617" s="3" t="n">
        <v>30</v>
      </c>
      <c r="F617" t="n">
        <v>13.28</v>
      </c>
      <c r="G617" s="3" t="n">
        <v>0</v>
      </c>
      <c r="H617" s="3" t="n">
        <v>0</v>
      </c>
      <c r="I617" s="3" t="n">
        <v>0</v>
      </c>
      <c r="J617" s="3" t="n">
        <v>0</v>
      </c>
      <c r="K617" s="3" t="n">
        <v>0</v>
      </c>
      <c r="L617" s="3">
        <f>IF(K617&lt;-5,"CRÍTICO",IF(K617&lt;0,"ATENÇÃO",IF(K617&lt;=5,"BOM","EXCELENTE")))</f>
        <v/>
      </c>
      <c r="M617" t="n">
        <v>27</v>
      </c>
      <c r="N617" t="n">
        <v>98.63</v>
      </c>
      <c r="O617" t="n">
        <v>18.75</v>
      </c>
    </row>
    <row r="618" hidden="1">
      <c r="A618" s="5" t="n">
        <v>46154</v>
      </c>
      <c r="B618" s="6" t="inlineStr">
        <is>
          <t>Emilly Kamilly Medeiros Miranda</t>
        </is>
      </c>
      <c r="C618" s="3" t="inlineStr">
        <is>
          <t>Técnico II</t>
        </is>
      </c>
      <c r="D618" s="3" t="n">
        <v>25</v>
      </c>
      <c r="E618" s="3" t="n">
        <v>24</v>
      </c>
      <c r="F618" t="n">
        <v>17.21</v>
      </c>
      <c r="G618" s="3" t="n">
        <v>5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IF(K618&lt;-5,"CRÍTICO",IF(K618&lt;0,"ATENÇÃO",IF(K618&lt;=5,"BOM","EXCELENTE")))</f>
        <v/>
      </c>
      <c r="M618" t="n">
        <v>26</v>
      </c>
      <c r="N618" t="n">
        <v>100</v>
      </c>
      <c r="O618" t="n">
        <v>13.8121546961326</v>
      </c>
    </row>
    <row r="619" hidden="1">
      <c r="A619" s="5" t="n">
        <v>46154</v>
      </c>
      <c r="B619" s="6" t="inlineStr">
        <is>
          <t>Francilene Ferreira de Jesus</t>
        </is>
      </c>
      <c r="C619" s="3" t="inlineStr">
        <is>
          <t>Técnico II</t>
        </is>
      </c>
      <c r="D619" s="3" t="n">
        <v>0</v>
      </c>
      <c r="E619" s="3" t="n">
        <v>0</v>
      </c>
      <c r="F619" s="3" t="n">
        <v>0</v>
      </c>
      <c r="G619" s="3" t="n">
        <v>0</v>
      </c>
      <c r="H619" s="3" t="n">
        <v>0</v>
      </c>
      <c r="I619" s="3" t="n">
        <v>0</v>
      </c>
      <c r="J619" s="3" t="n">
        <v>0</v>
      </c>
      <c r="K619" s="3" t="n">
        <v>0</v>
      </c>
      <c r="L619" s="3">
        <f>IF(K619&lt;-5,"CRÍTICO",IF(K619&lt;0,"ATENÇÃO",IF(K619&lt;=5,"BOM","EXCELENTE")))</f>
        <v/>
      </c>
      <c r="M619" s="9" t="n">
        <v>0</v>
      </c>
      <c r="N619" s="9" t="n">
        <v>100</v>
      </c>
      <c r="O619" s="9" t="n">
        <v>17.24137931034483</v>
      </c>
    </row>
    <row r="620" hidden="1">
      <c r="A620" s="5" t="n">
        <v>46154</v>
      </c>
      <c r="B620" s="6" t="inlineStr">
        <is>
          <t>Isabella Borges de Oliveira</t>
        </is>
      </c>
      <c r="C620" s="9" t="inlineStr">
        <is>
          <t>Técnico II</t>
        </is>
      </c>
      <c r="D620" s="3" t="n">
        <v>26</v>
      </c>
      <c r="E620" s="3" t="n">
        <v>24</v>
      </c>
      <c r="F620" t="n">
        <v>25.14</v>
      </c>
      <c r="G620" s="3" t="n">
        <v>0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IF(K620&lt;-5,"CRÍTICO",IF(K620&lt;0,"ATENÇÃO",IF(K620&lt;=5,"BOM","EXCELENTE")))</f>
        <v/>
      </c>
      <c r="M620" t="n">
        <v>18</v>
      </c>
      <c r="N620" t="n">
        <v>98.63</v>
      </c>
      <c r="O620" t="n">
        <v>15.75757575757576</v>
      </c>
    </row>
    <row r="621" hidden="1">
      <c r="A621" s="5" t="n">
        <v>46154</v>
      </c>
      <c r="B621" s="6" t="inlineStr">
        <is>
          <t>Jessica Faria da Silveira</t>
        </is>
      </c>
      <c r="C621" s="3" t="inlineStr">
        <is>
          <t>Técnico II</t>
        </is>
      </c>
      <c r="D621" s="3" t="n">
        <v>29</v>
      </c>
      <c r="E621" s="3" t="n">
        <v>26</v>
      </c>
      <c r="F621" t="n">
        <v>15.07</v>
      </c>
      <c r="G621" s="3" t="n">
        <v>5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IF(K621&lt;-5,"CRÍTICO",IF(K621&lt;0,"ATENÇÃO",IF(K621&lt;=5,"BOM","EXCELENTE")))</f>
        <v/>
      </c>
      <c r="M621" t="n">
        <v>26</v>
      </c>
      <c r="N621" t="n">
        <v>98.61</v>
      </c>
      <c r="O621" t="n">
        <v>16.97530864197531</v>
      </c>
    </row>
    <row r="622" hidden="1">
      <c r="A622" s="5" t="n">
        <v>46154</v>
      </c>
      <c r="B622" s="6" t="inlineStr">
        <is>
          <t>Lizandra Gomes Duarte</t>
        </is>
      </c>
      <c r="C622" s="3" t="inlineStr">
        <is>
          <t>Técnico II</t>
        </is>
      </c>
      <c r="D622" s="3" t="n">
        <v>28</v>
      </c>
      <c r="E622" s="3" t="n">
        <v>26</v>
      </c>
      <c r="F622" t="n">
        <v>23.59</v>
      </c>
      <c r="G622" s="3" t="n">
        <v>2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IF(K622&lt;-5,"CRÍTICO",IF(K622&lt;0,"ATENÇÃO",IF(K622&lt;=5,"BOM","EXCELENTE")))</f>
        <v/>
      </c>
      <c r="M622" t="n">
        <v>22</v>
      </c>
      <c r="N622" t="n">
        <v>98.61</v>
      </c>
      <c r="O622" t="n">
        <v>16.86746987951807</v>
      </c>
    </row>
    <row r="623" hidden="1">
      <c r="A623" s="5" t="n">
        <v>46154</v>
      </c>
      <c r="B623" s="6" t="inlineStr">
        <is>
          <t>Lorena Dias de Araujo</t>
        </is>
      </c>
      <c r="C623" s="3" t="inlineStr">
        <is>
          <t>Técnico II</t>
        </is>
      </c>
      <c r="D623" s="3" t="n">
        <v>25</v>
      </c>
      <c r="E623" s="3" t="n">
        <v>24</v>
      </c>
      <c r="F623" t="n">
        <v>25.44</v>
      </c>
      <c r="G623" s="3" t="n">
        <v>0</v>
      </c>
      <c r="H623" s="3" t="n">
        <v>0</v>
      </c>
      <c r="I623" s="3" t="n">
        <v>0</v>
      </c>
      <c r="J623" s="3" t="n">
        <v>0</v>
      </c>
      <c r="K623" s="3" t="n">
        <v>0</v>
      </c>
      <c r="L623" s="3">
        <f>IF(K623&lt;-5,"CRÍTICO",IF(K623&lt;0,"ATENÇÃO",IF(K623&lt;=5,"BOM","EXCELENTE")))</f>
        <v/>
      </c>
      <c r="M623" t="n">
        <v>19</v>
      </c>
      <c r="N623" t="n">
        <v>100</v>
      </c>
      <c r="O623" t="n">
        <v>20.82018927444795</v>
      </c>
    </row>
    <row r="624" hidden="1">
      <c r="A624" s="5" t="n">
        <v>46154</v>
      </c>
      <c r="B624" s="6" t="inlineStr">
        <is>
          <t>Patrícia Karla de Sousa Araújo</t>
        </is>
      </c>
      <c r="C624" s="3" t="inlineStr">
        <is>
          <t>Técnico II</t>
        </is>
      </c>
      <c r="D624" s="3" t="n">
        <v>30</v>
      </c>
      <c r="E624" s="3" t="n">
        <v>26</v>
      </c>
      <c r="F624" t="n">
        <v>17.19</v>
      </c>
      <c r="G624" s="3" t="n">
        <v>0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IF(K624&lt;-5,"CRÍTICO",IF(K624&lt;0,"ATENÇÃO",IF(K624&lt;=5,"BOM","EXCELENTE")))</f>
        <v/>
      </c>
      <c r="M624" t="n">
        <v>22</v>
      </c>
      <c r="N624" t="n">
        <v>100</v>
      </c>
      <c r="O624" t="n">
        <v>16.89497716894977</v>
      </c>
    </row>
    <row r="625" hidden="1">
      <c r="A625" s="5" t="n">
        <v>46155</v>
      </c>
      <c r="B625" s="6" t="inlineStr">
        <is>
          <t>Alisson de Freitas Silva</t>
        </is>
      </c>
      <c r="C625" s="3" t="inlineStr">
        <is>
          <t>Técnico II</t>
        </is>
      </c>
      <c r="D625" s="3" t="n">
        <v>28</v>
      </c>
      <c r="E625" s="3" t="n">
        <v>21</v>
      </c>
      <c r="F625" t="n">
        <v>17.22</v>
      </c>
      <c r="G625" s="3" t="n">
        <v>2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IF(K625&lt;-5,"CRÍTICO",IF(K625&lt;0,"ATENÇÃO",IF(K625&lt;=5,"BOM","EXCELENTE")))</f>
        <v/>
      </c>
      <c r="M625" s="3" t="n">
        <v>17</v>
      </c>
      <c r="N625" s="3" t="n">
        <v>98.94</v>
      </c>
      <c r="O625" s="3" t="n">
        <v>19.61414790996785</v>
      </c>
    </row>
    <row r="626" hidden="1">
      <c r="A626" s="5" t="n">
        <v>46155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33</v>
      </c>
      <c r="E626" s="3" t="n">
        <v>29</v>
      </c>
      <c r="F626" t="n">
        <v>18.31</v>
      </c>
      <c r="G626" s="3" t="n">
        <v>1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IF(K626&lt;-5,"CRÍTICO",IF(K626&lt;0,"ATENÇÃO",IF(K626&lt;=5,"BOM","EXCELENTE")))</f>
        <v/>
      </c>
      <c r="M626" t="n">
        <v>30</v>
      </c>
      <c r="N626" t="n">
        <v>99.13</v>
      </c>
      <c r="O626" t="n">
        <v>14.7239263803681</v>
      </c>
    </row>
    <row r="627" hidden="1">
      <c r="A627" s="5" t="n">
        <v>46155</v>
      </c>
      <c r="B627" s="6" t="inlineStr">
        <is>
          <t>Carlos Mateus Cassimiro Nunes</t>
        </is>
      </c>
      <c r="C627" s="9" t="inlineStr">
        <is>
          <t>Técnico II</t>
        </is>
      </c>
      <c r="D627" s="3" t="n">
        <v>17</v>
      </c>
      <c r="E627" s="3" t="n">
        <v>16</v>
      </c>
      <c r="F627" t="n">
        <v>28.53</v>
      </c>
      <c r="G627" s="3" t="n">
        <v>5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IF(K627&lt;-5,"CRÍTICO",IF(K627&lt;0,"ATENÇÃO",IF(K627&lt;=5,"BOM","EXCELENTE")))</f>
        <v/>
      </c>
      <c r="M627" t="n">
        <v>19</v>
      </c>
      <c r="N627" t="n">
        <v>98.8</v>
      </c>
      <c r="O627" t="n">
        <v>16.89750692520776</v>
      </c>
    </row>
    <row r="628" hidden="1">
      <c r="A628" s="5" t="n">
        <v>46155</v>
      </c>
      <c r="B628" s="6" t="inlineStr">
        <is>
          <t>Damyllis Lorraine de Oliveira Gonçalves</t>
        </is>
      </c>
      <c r="C628" s="3" t="inlineStr">
        <is>
          <t>Técnico II</t>
        </is>
      </c>
      <c r="D628" s="3" t="n">
        <v>12</v>
      </c>
      <c r="E628" s="3" t="n">
        <v>9</v>
      </c>
      <c r="F628" t="n">
        <v>22.13</v>
      </c>
      <c r="G628" s="3" t="n">
        <v>0</v>
      </c>
      <c r="H628" s="3" t="n">
        <v>0</v>
      </c>
      <c r="I628" s="3" t="n">
        <v>0</v>
      </c>
      <c r="J628" s="3" t="n">
        <v>0</v>
      </c>
      <c r="K628" s="3" t="n">
        <v>0</v>
      </c>
      <c r="L628" s="3">
        <f>IF(K628&lt;-5,"CRÍTICO",IF(K628&lt;0,"ATENÇÃO",IF(K628&lt;=5,"BOM","EXCELENTE")))</f>
        <v/>
      </c>
      <c r="M628" t="n">
        <v>13</v>
      </c>
      <c r="N628" t="n">
        <v>98.63</v>
      </c>
      <c r="O628" t="n">
        <v>18.75</v>
      </c>
    </row>
    <row r="629" hidden="1">
      <c r="A629" s="5" t="n">
        <v>46155</v>
      </c>
      <c r="B629" s="6" t="inlineStr">
        <is>
          <t>Emilly Kamilly Medeiros Miranda</t>
        </is>
      </c>
      <c r="C629" s="3" t="inlineStr">
        <is>
          <t>Técnico II</t>
        </is>
      </c>
      <c r="D629" s="3" t="n">
        <v>28</v>
      </c>
      <c r="E629" s="3" t="n">
        <v>25</v>
      </c>
      <c r="F629" t="n">
        <v>20.05</v>
      </c>
      <c r="G629" s="3" t="n">
        <v>2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IF(K629&lt;-5,"CRÍTICO",IF(K629&lt;0,"ATENÇÃO",IF(K629&lt;=5,"BOM","EXCELENTE")))</f>
        <v/>
      </c>
      <c r="M629" t="n">
        <v>19</v>
      </c>
      <c r="N629" t="n">
        <v>100</v>
      </c>
      <c r="O629" t="n">
        <v>13.8121546961326</v>
      </c>
    </row>
    <row r="630" hidden="1">
      <c r="A630" s="5" t="n">
        <v>46155</v>
      </c>
      <c r="B630" s="6" t="inlineStr">
        <is>
          <t>Francilene Ferreira de Jesus</t>
        </is>
      </c>
      <c r="C630" s="3" t="inlineStr">
        <is>
          <t>Técnico II</t>
        </is>
      </c>
      <c r="D630" s="3" t="n">
        <v>0</v>
      </c>
      <c r="E630" s="3" t="n">
        <v>0</v>
      </c>
      <c r="F630" s="3" t="n">
        <v>0</v>
      </c>
      <c r="G630" s="3" t="n">
        <v>0</v>
      </c>
      <c r="H630" s="3" t="n">
        <v>0</v>
      </c>
      <c r="I630" s="3" t="n">
        <v>0</v>
      </c>
      <c r="J630" s="3" t="n">
        <v>0</v>
      </c>
      <c r="K630" s="3" t="n">
        <v>0</v>
      </c>
      <c r="L630" s="3">
        <f>IF(K630&lt;-5,"CRÍTICO",IF(K630&lt;0,"ATENÇÃO",IF(K630&lt;=5,"BOM","EXCELENTE")))</f>
        <v/>
      </c>
      <c r="M630" s="9" t="n">
        <v>0</v>
      </c>
      <c r="N630" s="9" t="n">
        <v>100</v>
      </c>
      <c r="O630" s="9" t="n">
        <v>17.24137931034483</v>
      </c>
    </row>
    <row r="631" hidden="1">
      <c r="A631" s="5" t="n">
        <v>46155</v>
      </c>
      <c r="B631" s="6" t="inlineStr">
        <is>
          <t>Isabella Borges de Oliveira</t>
        </is>
      </c>
      <c r="C631" s="9" t="inlineStr">
        <is>
          <t>Técnico II</t>
        </is>
      </c>
      <c r="D631" s="3" t="n">
        <v>21</v>
      </c>
      <c r="E631" s="3" t="n">
        <v>21</v>
      </c>
      <c r="F631" t="n">
        <v>28.56</v>
      </c>
      <c r="G631" s="3" t="n">
        <v>1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IF(K631&lt;-5,"CRÍTICO",IF(K631&lt;0,"ATENÇÃO",IF(K631&lt;=5,"BOM","EXCELENTE")))</f>
        <v/>
      </c>
      <c r="M631" t="n">
        <v>22</v>
      </c>
      <c r="N631" t="n">
        <v>98.63</v>
      </c>
      <c r="O631" t="n">
        <v>15.75757575757576</v>
      </c>
    </row>
    <row r="632" hidden="1">
      <c r="A632" s="5" t="n">
        <v>46155</v>
      </c>
      <c r="B632" s="6" t="inlineStr">
        <is>
          <t>Jessica Faria da Silveira</t>
        </is>
      </c>
      <c r="C632" s="3" t="inlineStr">
        <is>
          <t>Técnico II</t>
        </is>
      </c>
      <c r="D632" s="3" t="n">
        <v>33</v>
      </c>
      <c r="E632" s="3" t="n">
        <v>27</v>
      </c>
      <c r="F632" t="n">
        <v>15.43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IF(K632&lt;-5,"CRÍTICO",IF(K632&lt;0,"ATENÇÃO",IF(K632&lt;=5,"BOM","EXCELENTE")))</f>
        <v/>
      </c>
      <c r="M632" t="n">
        <v>23</v>
      </c>
      <c r="N632" t="n">
        <v>98.61</v>
      </c>
      <c r="O632" t="n">
        <v>16.97530864197531</v>
      </c>
    </row>
    <row r="633" hidden="1">
      <c r="A633" s="5" t="n">
        <v>46155</v>
      </c>
      <c r="B633" s="6" t="inlineStr">
        <is>
          <t>Lizandra Gomes Duarte</t>
        </is>
      </c>
      <c r="C633" s="3" t="inlineStr">
        <is>
          <t>Técnico II</t>
        </is>
      </c>
      <c r="D633" s="3" t="n">
        <v>21</v>
      </c>
      <c r="E633" s="3" t="n">
        <v>20</v>
      </c>
      <c r="F633" t="n">
        <v>22.3</v>
      </c>
      <c r="G633" s="3" t="n">
        <v>5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IF(K633&lt;-5,"CRÍTICO",IF(K633&lt;0,"ATENÇÃO",IF(K633&lt;=5,"BOM","EXCELENTE")))</f>
        <v/>
      </c>
      <c r="M633" t="n">
        <v>22</v>
      </c>
      <c r="N633" t="n">
        <v>98.61</v>
      </c>
      <c r="O633" t="n">
        <v>16.86746987951807</v>
      </c>
    </row>
    <row r="634" hidden="1">
      <c r="A634" s="5" t="n">
        <v>46155</v>
      </c>
      <c r="B634" s="6" t="inlineStr">
        <is>
          <t>Lorena Dias de Araujo</t>
        </is>
      </c>
      <c r="C634" s="3" t="inlineStr">
        <is>
          <t>Técnico II</t>
        </is>
      </c>
      <c r="D634" s="3" t="n">
        <v>30</v>
      </c>
      <c r="E634" s="3" t="n">
        <v>29</v>
      </c>
      <c r="F634" t="n">
        <v>15.49</v>
      </c>
      <c r="G634" s="3" t="n">
        <v>0</v>
      </c>
      <c r="H634" s="3" t="n">
        <v>0</v>
      </c>
      <c r="I634" s="3" t="n">
        <v>0</v>
      </c>
      <c r="J634" s="3" t="n">
        <v>0</v>
      </c>
      <c r="K634" s="3" t="n">
        <v>0</v>
      </c>
      <c r="L634" s="3">
        <f>IF(K634&lt;-5,"CRÍTICO",IF(K634&lt;0,"ATENÇÃO",IF(K634&lt;=5,"BOM","EXCELENTE")))</f>
        <v/>
      </c>
      <c r="M634" t="n">
        <v>26</v>
      </c>
      <c r="N634" t="n">
        <v>100</v>
      </c>
      <c r="O634" t="n">
        <v>20.82018927444795</v>
      </c>
    </row>
    <row r="635" hidden="1">
      <c r="A635" s="5" t="n">
        <v>46155</v>
      </c>
      <c r="B635" s="6" t="inlineStr">
        <is>
          <t>Patrícia Karla de Sousa Araújo</t>
        </is>
      </c>
      <c r="C635" s="3" t="inlineStr">
        <is>
          <t>Técnico II</t>
        </is>
      </c>
      <c r="D635" s="3" t="n">
        <v>24</v>
      </c>
      <c r="E635" s="3" t="n">
        <v>22</v>
      </c>
      <c r="F635" t="n">
        <v>21.47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IF(K635&lt;-5,"CRÍTICO",IF(K635&lt;0,"ATENÇÃO",IF(K635&lt;=5,"BOM","EXCELENTE")))</f>
        <v/>
      </c>
      <c r="M635" t="n">
        <v>18</v>
      </c>
      <c r="N635" t="n">
        <v>100</v>
      </c>
      <c r="O635" t="n">
        <v>16.89497716894977</v>
      </c>
    </row>
    <row r="636" hidden="1">
      <c r="A636" s="5" t="n">
        <v>46156</v>
      </c>
      <c r="B636" s="6" t="inlineStr">
        <is>
          <t>Alisson de Freitas Silva</t>
        </is>
      </c>
      <c r="C636" s="3" t="inlineStr">
        <is>
          <t>Técnico II</t>
        </is>
      </c>
      <c r="D636" s="3" t="n">
        <v>33</v>
      </c>
      <c r="E636" s="3" t="n">
        <v>28</v>
      </c>
      <c r="F636" t="n">
        <v>10.58</v>
      </c>
      <c r="G636" s="3" t="n">
        <v>6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IF(K636&lt;-5,"CRÍTICO",IF(K636&lt;0,"ATENÇÃO",IF(K636&lt;=5,"BOM","EXCELENTE")))</f>
        <v/>
      </c>
      <c r="M636" s="3" t="n">
        <v>23</v>
      </c>
      <c r="N636" s="3" t="n">
        <v>98.94</v>
      </c>
      <c r="O636" s="3" t="n">
        <v>19.61414790996785</v>
      </c>
    </row>
    <row r="637" hidden="1">
      <c r="A637" s="5" t="n">
        <v>46156</v>
      </c>
      <c r="B637" s="6" t="inlineStr">
        <is>
          <t>Brenda de Menezes Silva</t>
        </is>
      </c>
      <c r="C637" s="3" t="inlineStr">
        <is>
          <t>Técnico II</t>
        </is>
      </c>
      <c r="D637" s="3" t="n">
        <v>29</v>
      </c>
      <c r="E637" s="3" t="n">
        <v>29</v>
      </c>
      <c r="F637" t="n">
        <v>12.28</v>
      </c>
      <c r="G637" s="3" t="n">
        <v>4</v>
      </c>
      <c r="H637" s="3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IF(K637&lt;-5,"CRÍTICO",IF(K637&lt;0,"ATENÇÃO",IF(K637&lt;=5,"BOM","EXCELENTE")))</f>
        <v/>
      </c>
      <c r="M637" t="n">
        <v>33</v>
      </c>
      <c r="N637" t="n">
        <v>99.13</v>
      </c>
      <c r="O637" t="n">
        <v>14.7239263803681</v>
      </c>
    </row>
    <row r="638" hidden="1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M638" t="n">
        <v>31</v>
      </c>
      <c r="N638" t="n">
        <v>98.91</v>
      </c>
      <c r="O638" t="n">
        <v>31.36729222520107</v>
      </c>
    </row>
    <row r="639" hidden="1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M639" t="n">
        <v>14</v>
      </c>
      <c r="N639" t="n">
        <v>100</v>
      </c>
      <c r="O639" t="n">
        <v>28.57142857142857</v>
      </c>
    </row>
    <row r="640" hidden="1">
      <c r="A640" s="5" t="n">
        <v>46156</v>
      </c>
      <c r="B640" s="6" t="inlineStr">
        <is>
          <t>Carlos Mateus Cassimiro Nunes</t>
        </is>
      </c>
      <c r="C640" s="9" t="inlineStr">
        <is>
          <t>Técnico II</t>
        </is>
      </c>
      <c r="D640" s="3" t="n">
        <v>25</v>
      </c>
      <c r="E640" s="3" t="n">
        <v>23</v>
      </c>
      <c r="F640" t="n">
        <v>20.56</v>
      </c>
      <c r="G640" s="3" t="n">
        <v>4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IF(K640&lt;-5,"CRÍTICO",IF(K640&lt;0,"ATENÇÃO",IF(K640&lt;=5,"BOM","EXCELENTE")))</f>
        <v/>
      </c>
      <c r="M640" t="n">
        <v>25</v>
      </c>
      <c r="N640" t="n">
        <v>98.8</v>
      </c>
      <c r="O640" t="n">
        <v>16.89750692520776</v>
      </c>
    </row>
    <row r="641" hidden="1">
      <c r="A641" s="5" t="n">
        <v>46156</v>
      </c>
      <c r="B641" s="6" t="inlineStr">
        <is>
          <t>Damyllis Lorraine de Oliveira Gonçalves</t>
        </is>
      </c>
      <c r="C641" s="3" t="inlineStr">
        <is>
          <t>Técnico II</t>
        </is>
      </c>
      <c r="D641" s="3" t="n">
        <v>22</v>
      </c>
      <c r="E641" s="3" t="n">
        <v>18</v>
      </c>
      <c r="F641" t="n">
        <v>25.02</v>
      </c>
      <c r="G641" s="3" t="n">
        <v>0</v>
      </c>
      <c r="H641" s="3" t="n">
        <v>0</v>
      </c>
      <c r="I641" s="3" t="n">
        <v>0</v>
      </c>
      <c r="J641" s="3" t="n">
        <v>0</v>
      </c>
      <c r="K641" s="3" t="n">
        <v>0</v>
      </c>
      <c r="L641" s="3">
        <f>IF(K641&lt;-5,"CRÍTICO",IF(K641&lt;0,"ATENÇÃO",IF(K641&lt;=5,"BOM","EXCELENTE")))</f>
        <v/>
      </c>
      <c r="M641" t="n">
        <v>17</v>
      </c>
      <c r="N641" t="n">
        <v>98.63</v>
      </c>
      <c r="O641" t="n">
        <v>18.75</v>
      </c>
    </row>
    <row r="642" hidden="1">
      <c r="A642" s="5" t="n">
        <v>46156</v>
      </c>
      <c r="B642" s="6" t="inlineStr">
        <is>
          <t>Emilly Kamilly Medeiros Miranda</t>
        </is>
      </c>
      <c r="C642" s="3" t="inlineStr">
        <is>
          <t>Técnico II</t>
        </is>
      </c>
      <c r="D642" s="3" t="n">
        <v>14</v>
      </c>
      <c r="E642" s="3" t="n">
        <v>13</v>
      </c>
      <c r="F642" t="n">
        <v>19.05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IF(K642&lt;-5,"CRÍTICO",IF(K642&lt;0,"ATENÇÃO",IF(K642&lt;=5,"BOM","EXCELENTE")))</f>
        <v/>
      </c>
      <c r="M642" t="n">
        <v>18</v>
      </c>
      <c r="N642" t="n">
        <v>100</v>
      </c>
      <c r="O642" t="n">
        <v>13.8121546961326</v>
      </c>
    </row>
    <row r="643" hidden="1">
      <c r="A643" s="5" t="n">
        <v>46156</v>
      </c>
      <c r="B643" s="6" t="inlineStr">
        <is>
          <t>Francilene Ferreira de Jesus</t>
        </is>
      </c>
      <c r="C643" s="3" t="inlineStr">
        <is>
          <t>Técnico II</t>
        </is>
      </c>
      <c r="D643" s="3" t="n">
        <v>0</v>
      </c>
      <c r="E643" s="3" t="n">
        <v>0</v>
      </c>
      <c r="F643" s="3" t="n">
        <v>0</v>
      </c>
      <c r="G643" s="3" t="n">
        <v>0</v>
      </c>
      <c r="H643" s="3" t="n">
        <v>0</v>
      </c>
      <c r="I643" s="3" t="n">
        <v>0</v>
      </c>
      <c r="J643" s="3" t="n">
        <v>0</v>
      </c>
      <c r="K643" s="3" t="n">
        <v>0</v>
      </c>
      <c r="L643" s="3">
        <f>IF(K643&lt;-5,"CRÍTICO",IF(K643&lt;0,"ATENÇÃO",IF(K643&lt;=5,"BOM","EXCELENTE")))</f>
        <v/>
      </c>
      <c r="M643" s="9" t="n">
        <v>0</v>
      </c>
      <c r="N643" s="9" t="n">
        <v>100</v>
      </c>
      <c r="O643" s="9" t="n">
        <v>17.24137931034483</v>
      </c>
    </row>
    <row r="644" hidden="1">
      <c r="A644" s="5" t="n">
        <v>46156</v>
      </c>
      <c r="B644" s="6" t="inlineStr">
        <is>
          <t>Isabella Borges de Oliveira</t>
        </is>
      </c>
      <c r="C644" s="9" t="inlineStr">
        <is>
          <t>Técnico II</t>
        </is>
      </c>
      <c r="D644" s="3" t="n">
        <v>17</v>
      </c>
      <c r="E644" s="3" t="n">
        <v>17</v>
      </c>
      <c r="F644" t="n">
        <v>28.35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IF(K644&lt;-5,"CRÍTICO",IF(K644&lt;0,"ATENÇÃO",IF(K644&lt;=5,"BOM","EXCELENTE")))</f>
        <v/>
      </c>
      <c r="M644" t="n">
        <v>13</v>
      </c>
      <c r="N644" t="n">
        <v>98.63</v>
      </c>
      <c r="O644" t="n">
        <v>15.75757575757576</v>
      </c>
    </row>
    <row r="645" hidden="1">
      <c r="A645" s="5" t="n">
        <v>46156</v>
      </c>
      <c r="B645" s="6" t="inlineStr">
        <is>
          <t>Jessica Faria da Silveira</t>
        </is>
      </c>
      <c r="C645" s="3" t="inlineStr">
        <is>
          <t>Técnico II</t>
        </is>
      </c>
      <c r="D645" s="3" t="n">
        <v>9</v>
      </c>
      <c r="E645" s="3" t="n">
        <v>9</v>
      </c>
      <c r="F645" t="n">
        <v>25.25</v>
      </c>
      <c r="G645" s="3" t="n">
        <v>1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IF(K645&lt;-5,"CRÍTICO",IF(K645&lt;0,"ATENÇÃO",IF(K645&lt;=5,"BOM","EXCELENTE")))</f>
        <v/>
      </c>
      <c r="M645" t="n">
        <v>9</v>
      </c>
      <c r="N645" t="n">
        <v>98.61</v>
      </c>
      <c r="O645" t="n">
        <v>16.97530864197531</v>
      </c>
    </row>
    <row r="646" hidden="1">
      <c r="A646" s="5" t="n">
        <v>46156</v>
      </c>
      <c r="B646" s="6" t="inlineStr">
        <is>
          <t>Lizandra Gomes Duarte</t>
        </is>
      </c>
      <c r="C646" s="3" t="inlineStr">
        <is>
          <t>Técnico II</t>
        </is>
      </c>
      <c r="D646" s="3" t="n">
        <v>26</v>
      </c>
      <c r="E646" s="3" t="n">
        <v>24</v>
      </c>
      <c r="F646" t="n">
        <v>18.58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IF(K646&lt;-5,"CRÍTICO",IF(K646&lt;0,"ATENÇÃO",IF(K646&lt;=5,"BOM","EXCELENTE")))</f>
        <v/>
      </c>
      <c r="M646" t="n">
        <v>12</v>
      </c>
      <c r="N646" t="n">
        <v>98.61</v>
      </c>
      <c r="O646" t="n">
        <v>16.86746987951807</v>
      </c>
    </row>
    <row r="647" hidden="1">
      <c r="A647" s="5" t="n">
        <v>46156</v>
      </c>
      <c r="B647" s="6" t="inlineStr">
        <is>
          <t>Lorena Dias de Araujo</t>
        </is>
      </c>
      <c r="C647" s="3" t="inlineStr">
        <is>
          <t>Técnico II</t>
        </is>
      </c>
      <c r="D647" s="3" t="n">
        <v>22</v>
      </c>
      <c r="E647" s="3" t="n">
        <v>18</v>
      </c>
      <c r="F647" t="n">
        <v>23.52</v>
      </c>
      <c r="G647" s="3" t="n">
        <v>0</v>
      </c>
      <c r="H647" s="3" t="n">
        <v>0</v>
      </c>
      <c r="I647" s="3" t="n">
        <v>0</v>
      </c>
      <c r="J647" s="3" t="n">
        <v>0</v>
      </c>
      <c r="K647" s="3" t="n">
        <v>0</v>
      </c>
      <c r="L647" s="3">
        <f>IF(K647&lt;-5,"CRÍTICO",IF(K647&lt;0,"ATENÇÃO",IF(K647&lt;=5,"BOM","EXCELENTE")))</f>
        <v/>
      </c>
      <c r="M647" t="n">
        <v>16</v>
      </c>
      <c r="N647" t="n">
        <v>100</v>
      </c>
      <c r="O647" t="n">
        <v>20.82018927444795</v>
      </c>
    </row>
    <row r="648" hidden="1">
      <c r="A648" s="5" t="n">
        <v>46156</v>
      </c>
      <c r="B648" s="6" t="inlineStr">
        <is>
          <t>Patrícia Karla de Sousa Araújo</t>
        </is>
      </c>
      <c r="C648" s="3" t="inlineStr">
        <is>
          <t>Técnico II</t>
        </is>
      </c>
      <c r="D648" s="3" t="n">
        <v>29</v>
      </c>
      <c r="E648" s="3" t="n">
        <v>26</v>
      </c>
      <c r="F648" t="n">
        <v>20.36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IF(K648&lt;-5,"CRÍTICO",IF(K648&lt;0,"ATENÇÃO",IF(K648&lt;=5,"BOM","EXCELENTE")))</f>
        <v/>
      </c>
      <c r="M648" t="n">
        <v>23</v>
      </c>
      <c r="N648" t="n">
        <v>100</v>
      </c>
      <c r="O648" t="n">
        <v>16.89497716894977</v>
      </c>
    </row>
    <row r="649" hidden="1">
      <c r="A649" s="5" t="n">
        <v>46157</v>
      </c>
      <c r="B649" s="6" t="inlineStr">
        <is>
          <t>Alisson de Freitas Silva</t>
        </is>
      </c>
      <c r="C649" s="3" t="inlineStr">
        <is>
          <t>Técnico II</t>
        </is>
      </c>
      <c r="D649" s="3" t="n">
        <v>20</v>
      </c>
      <c r="E649" s="3" t="n">
        <v>19</v>
      </c>
      <c r="F649" t="n">
        <v>13.2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IF(K649&lt;-5,"CRÍTICO",IF(K649&lt;0,"ATENÇÃO",IF(K649&lt;=5,"BOM","EXCELENTE")))</f>
        <v/>
      </c>
      <c r="M649" s="3" t="n">
        <v>12</v>
      </c>
      <c r="N649" s="3" t="n">
        <v>98.94</v>
      </c>
      <c r="O649" s="3" t="n">
        <v>19.61414790996785</v>
      </c>
    </row>
    <row r="650" hidden="1">
      <c r="A650" s="5" t="n">
        <v>46157</v>
      </c>
      <c r="B650" s="6" t="inlineStr">
        <is>
          <t>Brenda de Menezes Silva</t>
        </is>
      </c>
      <c r="C650" s="3" t="inlineStr">
        <is>
          <t>Técnico II</t>
        </is>
      </c>
      <c r="D650" s="3" t="n">
        <v>20</v>
      </c>
      <c r="E650" s="3" t="n">
        <v>19</v>
      </c>
      <c r="F650" t="n">
        <v>23.34</v>
      </c>
      <c r="G650" s="3" t="n">
        <v>2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IF(K650&lt;-5,"CRÍTICO",IF(K650&lt;0,"ATENÇÃO",IF(K650&lt;=5,"BOM","EXCELENTE")))</f>
        <v/>
      </c>
      <c r="M650" t="n">
        <v>21</v>
      </c>
      <c r="N650" t="n">
        <v>99.13</v>
      </c>
      <c r="O650" t="n">
        <v>14.7239263803681</v>
      </c>
    </row>
    <row r="651" hidden="1">
      <c r="A651" s="5" t="n">
        <v>46157</v>
      </c>
      <c r="B651" s="6" t="inlineStr">
        <is>
          <t>Carlos Mateus Cassimiro Nunes</t>
        </is>
      </c>
      <c r="C651" s="9" t="inlineStr">
        <is>
          <t>Técnico II</t>
        </is>
      </c>
      <c r="D651" s="3" t="n">
        <v>26</v>
      </c>
      <c r="E651" s="3" t="n">
        <v>26</v>
      </c>
      <c r="F651" t="n">
        <v>25.22</v>
      </c>
      <c r="G651" s="3" t="n">
        <v>3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IF(K651&lt;-5,"CRÍTICO",IF(K651&lt;0,"ATENÇÃO",IF(K651&lt;=5,"BOM","EXCELENTE")))</f>
        <v/>
      </c>
      <c r="M651" t="n">
        <v>29</v>
      </c>
      <c r="N651" t="n">
        <v>98.8</v>
      </c>
      <c r="O651" t="n">
        <v>16.89750692520776</v>
      </c>
    </row>
    <row r="652" hidden="1">
      <c r="A652" s="5" t="n">
        <v>46157</v>
      </c>
      <c r="B652" s="6" t="inlineStr">
        <is>
          <t>Damyllis Lorraine de Oliveira Gonçalves</t>
        </is>
      </c>
      <c r="C652" s="3" t="inlineStr">
        <is>
          <t>Técnico II</t>
        </is>
      </c>
      <c r="D652" s="3" t="n">
        <v>35</v>
      </c>
      <c r="E652" s="3" t="n">
        <v>31</v>
      </c>
      <c r="F652" t="n">
        <v>18.53</v>
      </c>
      <c r="G652" s="3" t="n">
        <v>0</v>
      </c>
      <c r="H652" s="3" t="n">
        <v>0</v>
      </c>
      <c r="I652" s="3" t="n">
        <v>0</v>
      </c>
      <c r="J652" s="3" t="n">
        <v>0</v>
      </c>
      <c r="K652" s="3" t="n">
        <v>0</v>
      </c>
      <c r="L652" s="3">
        <f>IF(K652&lt;-5,"CRÍTICO",IF(K652&lt;0,"ATENÇÃO",IF(K652&lt;=5,"BOM","EXCELENTE")))</f>
        <v/>
      </c>
      <c r="M652" t="n">
        <v>30</v>
      </c>
      <c r="N652" t="n">
        <v>98.63</v>
      </c>
      <c r="O652" t="n">
        <v>18.75</v>
      </c>
    </row>
    <row r="653" hidden="1">
      <c r="A653" s="5" t="n">
        <v>46157</v>
      </c>
      <c r="B653" s="6" t="inlineStr">
        <is>
          <t>Emilly Kamilly Medeiros Miranda</t>
        </is>
      </c>
      <c r="C653" s="3" t="inlineStr">
        <is>
          <t>Técnico II</t>
        </is>
      </c>
      <c r="D653" s="3" t="n">
        <v>27</v>
      </c>
      <c r="E653" s="3" t="n">
        <v>25</v>
      </c>
      <c r="F653" t="n">
        <v>18.42</v>
      </c>
      <c r="G653" s="3" t="n">
        <v>2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IF(K653&lt;-5,"CRÍTICO",IF(K653&lt;0,"ATENÇÃO",IF(K653&lt;=5,"BOM","EXCELENTE")))</f>
        <v/>
      </c>
      <c r="M653" t="n">
        <v>23</v>
      </c>
      <c r="N653" t="n">
        <v>100</v>
      </c>
      <c r="O653" t="n">
        <v>13.8121546961326</v>
      </c>
    </row>
    <row r="654" hidden="1">
      <c r="A654" s="5" t="n">
        <v>46157</v>
      </c>
      <c r="B654" s="6" t="inlineStr">
        <is>
          <t>Francilene Ferreira de Jesus</t>
        </is>
      </c>
      <c r="C654" s="3" t="inlineStr">
        <is>
          <t>Técnico 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IF(K654&lt;-5,"CRÍTICO",IF(K654&lt;0,"ATENÇÃO",IF(K654&lt;=5,"BOM","EXCELENTE")))</f>
        <v/>
      </c>
      <c r="M654" s="9" t="n">
        <v>0</v>
      </c>
      <c r="N654" s="9" t="n">
        <v>100</v>
      </c>
      <c r="O654" s="9" t="n">
        <v>17.24137931034483</v>
      </c>
    </row>
    <row r="655" hidden="1">
      <c r="A655" s="5" t="n">
        <v>46157</v>
      </c>
      <c r="B655" s="6" t="inlineStr">
        <is>
          <t>Isabella Borges de Oliveira</t>
        </is>
      </c>
      <c r="C655" s="9" t="inlineStr">
        <is>
          <t>Técnico II</t>
        </is>
      </c>
      <c r="D655" s="3" t="n">
        <v>28</v>
      </c>
      <c r="E655" s="3" t="n">
        <v>25</v>
      </c>
      <c r="F655" t="n">
        <v>22.04</v>
      </c>
      <c r="G655" s="3" t="n">
        <v>0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IF(K655&lt;-5,"CRÍTICO",IF(K655&lt;0,"ATENÇÃO",IF(K655&lt;=5,"BOM","EXCELENTE")))</f>
        <v/>
      </c>
      <c r="M655" t="n">
        <v>23</v>
      </c>
      <c r="N655" t="n">
        <v>98.63</v>
      </c>
      <c r="O655" t="n">
        <v>15.75757575757576</v>
      </c>
    </row>
    <row r="656" hidden="1">
      <c r="A656" s="5" t="n">
        <v>46157</v>
      </c>
      <c r="B656" s="6" t="inlineStr">
        <is>
          <t>Jessica Faria da Silveira</t>
        </is>
      </c>
      <c r="C656" s="3" t="inlineStr">
        <is>
          <t>Técnico II</t>
        </is>
      </c>
      <c r="D656" s="3" t="n">
        <v>17</v>
      </c>
      <c r="E656" s="3" t="n">
        <v>14</v>
      </c>
      <c r="F656" t="n">
        <v>15.05</v>
      </c>
      <c r="G656" s="3" t="n">
        <v>1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IF(K656&lt;-5,"CRÍTICO",IF(K656&lt;0,"ATENÇÃO",IF(K656&lt;=5,"BOM","EXCELENTE")))</f>
        <v/>
      </c>
      <c r="M656" t="n">
        <v>14</v>
      </c>
      <c r="N656" t="n">
        <v>98.61</v>
      </c>
      <c r="O656" t="n">
        <v>16.97530864197531</v>
      </c>
    </row>
    <row r="657" hidden="1">
      <c r="A657" s="5" t="n">
        <v>46157</v>
      </c>
      <c r="B657" s="6" t="inlineStr">
        <is>
          <t>Lizandra Gomes Duarte</t>
        </is>
      </c>
      <c r="C657" s="3" t="inlineStr">
        <is>
          <t>Técnico II</t>
        </is>
      </c>
      <c r="D657" s="3" t="n">
        <v>34</v>
      </c>
      <c r="E657" s="3" t="n">
        <v>32</v>
      </c>
      <c r="F657" t="n">
        <v>15.4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IF(K657&lt;-5,"CRÍTICO",IF(K657&lt;0,"ATENÇÃO",IF(K657&lt;=5,"BOM","EXCELENTE")))</f>
        <v/>
      </c>
      <c r="M657" t="n">
        <v>13</v>
      </c>
      <c r="N657" t="n">
        <v>98.61</v>
      </c>
      <c r="O657" t="n">
        <v>16.86746987951807</v>
      </c>
    </row>
    <row r="658" hidden="1">
      <c r="A658" s="5" t="n">
        <v>46157</v>
      </c>
      <c r="B658" s="6" t="inlineStr">
        <is>
          <t>Lorena Dias de Araujo</t>
        </is>
      </c>
      <c r="C658" s="3" t="inlineStr">
        <is>
          <t>Técnico II</t>
        </is>
      </c>
      <c r="D658" s="3" t="n">
        <v>28</v>
      </c>
      <c r="E658" s="3" t="n">
        <v>25</v>
      </c>
      <c r="F658" t="n">
        <v>25.42</v>
      </c>
      <c r="G658" s="3" t="n">
        <v>0</v>
      </c>
      <c r="H658" s="3" t="n">
        <v>0</v>
      </c>
      <c r="I658" s="3" t="n">
        <v>0</v>
      </c>
      <c r="J658" s="3" t="n">
        <v>0</v>
      </c>
      <c r="K658" s="3" t="n">
        <v>0</v>
      </c>
      <c r="L658" s="3">
        <f>IF(K658&lt;-5,"CRÍTICO",IF(K658&lt;0,"ATENÇÃO",IF(K658&lt;=5,"BOM","EXCELENTE")))</f>
        <v/>
      </c>
      <c r="M658" t="n">
        <v>24</v>
      </c>
      <c r="N658" t="n">
        <v>100</v>
      </c>
      <c r="O658" t="n">
        <v>20.82018927444795</v>
      </c>
    </row>
    <row r="659" hidden="1">
      <c r="A659" s="5" t="n">
        <v>46157</v>
      </c>
      <c r="B659" s="6" t="inlineStr">
        <is>
          <t>Patrícia Karla de Sousa Araújo</t>
        </is>
      </c>
      <c r="C659" s="3" t="inlineStr">
        <is>
          <t>Técnico II</t>
        </is>
      </c>
      <c r="D659" s="3" t="n">
        <v>13</v>
      </c>
      <c r="E659" s="3" t="n">
        <v>13</v>
      </c>
      <c r="F659" t="n">
        <v>33.59</v>
      </c>
      <c r="G659" s="3" t="n">
        <v>0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IF(K659&lt;-5,"CRÍTICO",IF(K659&lt;0,"ATENÇÃO",IF(K659&lt;=5,"BOM","EXCELENTE")))</f>
        <v/>
      </c>
      <c r="M659" t="n">
        <v>12</v>
      </c>
      <c r="N659" t="n">
        <v>100</v>
      </c>
      <c r="O659" t="n">
        <v>16.89497716894977</v>
      </c>
    </row>
    <row r="660" hidden="1">
      <c r="A660" s="5" t="n">
        <v>46160</v>
      </c>
      <c r="B660" s="6" t="inlineStr">
        <is>
          <t>Alisson de Freitas Silva</t>
        </is>
      </c>
      <c r="C660" s="3" t="inlineStr">
        <is>
          <t>Técnico II</t>
        </is>
      </c>
      <c r="D660" s="3" t="n">
        <v>42</v>
      </c>
      <c r="E660" s="3" t="n">
        <v>27</v>
      </c>
      <c r="F660" t="n">
        <v>7.38</v>
      </c>
      <c r="G660" s="3" t="n">
        <v>4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IF(K660&lt;-5,"CRÍTICO",IF(K660&lt;0,"ATENÇÃO",IF(K660&lt;=5,"BOM","EXCELENTE")))</f>
        <v/>
      </c>
      <c r="M660" s="3" t="n">
        <v>19</v>
      </c>
      <c r="N660" s="3" t="n">
        <v>98.94</v>
      </c>
      <c r="O660" s="3" t="n">
        <v>19.61414790996785</v>
      </c>
    </row>
    <row r="661" hidden="1">
      <c r="A661" s="5" t="n">
        <v>46160</v>
      </c>
      <c r="B661" s="6" t="inlineStr">
        <is>
          <t>Brenda de Menezes Silva</t>
        </is>
      </c>
      <c r="C661" s="3" t="inlineStr">
        <is>
          <t>Técnico II</t>
        </is>
      </c>
      <c r="D661" s="3" t="n">
        <v>46</v>
      </c>
      <c r="E661" s="3" t="n">
        <v>39</v>
      </c>
      <c r="F661" t="n">
        <v>11.41</v>
      </c>
      <c r="G661" s="3" t="n">
        <v>7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IF(K661&lt;-5,"CRÍTICO",IF(K661&lt;0,"ATENÇÃO",IF(K661&lt;=5,"BOM","EXCELENTE")))</f>
        <v/>
      </c>
      <c r="M661" t="n">
        <v>42</v>
      </c>
      <c r="N661" t="n">
        <v>99.13</v>
      </c>
      <c r="O661" t="n">
        <v>14.7239263803681</v>
      </c>
    </row>
    <row r="662" hidden="1">
      <c r="A662" s="5" t="n">
        <v>46160</v>
      </c>
      <c r="B662" s="6" t="inlineStr">
        <is>
          <t>Carlos Mateus Cassimiro Nunes</t>
        </is>
      </c>
      <c r="C662" s="9" t="inlineStr">
        <is>
          <t>Técnico II</t>
        </is>
      </c>
      <c r="D662" s="3" t="n">
        <v>23</v>
      </c>
      <c r="E662" s="3" t="n">
        <v>23</v>
      </c>
      <c r="F662" t="n">
        <v>21.44</v>
      </c>
      <c r="G662" s="3" t="n">
        <v>3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IF(K662&lt;-5,"CRÍTICO",IF(K662&lt;0,"ATENÇÃO",IF(K662&lt;=5,"BOM","EXCELENTE")))</f>
        <v/>
      </c>
      <c r="M662" t="n">
        <v>26</v>
      </c>
      <c r="N662" t="n">
        <v>98.8</v>
      </c>
      <c r="O662" t="n">
        <v>16.89750692520776</v>
      </c>
    </row>
    <row r="663" hidden="1">
      <c r="A663" s="5" t="n">
        <v>46160</v>
      </c>
      <c r="B663" s="6" t="inlineStr">
        <is>
          <t>Damyllis Lorraine de Oliveira Gonçalves</t>
        </is>
      </c>
      <c r="C663" s="3" t="inlineStr">
        <is>
          <t>Técnico II</t>
        </is>
      </c>
      <c r="D663" s="3" t="n">
        <v>0</v>
      </c>
      <c r="E663" s="3" t="n">
        <v>0</v>
      </c>
      <c r="F663" s="3" t="n">
        <v>0</v>
      </c>
      <c r="G663" s="3" t="n">
        <v>0</v>
      </c>
      <c r="H663" s="3" t="n">
        <v>0</v>
      </c>
      <c r="I663" s="3" t="n">
        <v>0</v>
      </c>
      <c r="J663" s="3" t="n">
        <v>0</v>
      </c>
      <c r="K663" s="3" t="n">
        <v>0</v>
      </c>
      <c r="L663" s="3">
        <f>IF(K663&lt;-5,"CRÍTICO",IF(K663&lt;0,"ATENÇÃO",IF(K663&lt;=5,"BOM","EXCELENTE")))</f>
        <v/>
      </c>
      <c r="M663" s="9" t="n">
        <v>0</v>
      </c>
      <c r="N663" s="9" t="n">
        <v>98.63</v>
      </c>
      <c r="O663" s="9" t="n">
        <v>18.75</v>
      </c>
    </row>
    <row r="664" hidden="1">
      <c r="A664" s="5" t="n">
        <v>46160</v>
      </c>
      <c r="B664" s="6" t="inlineStr">
        <is>
          <t>Emilly Kamilly Medeiros Miranda</t>
        </is>
      </c>
      <c r="C664" s="3" t="inlineStr">
        <is>
          <t>Técnico II</t>
        </is>
      </c>
      <c r="D664" s="3" t="n">
        <v>29</v>
      </c>
      <c r="E664" s="3" t="n">
        <v>27</v>
      </c>
      <c r="F664" t="n">
        <v>12.34</v>
      </c>
      <c r="G664" s="3" t="n">
        <v>3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IF(K664&lt;-5,"CRÍTICO",IF(K664&lt;0,"ATENÇÃO",IF(K664&lt;=5,"BOM","EXCELENTE")))</f>
        <v/>
      </c>
      <c r="M664" t="n">
        <v>25</v>
      </c>
      <c r="N664" t="n">
        <v>100</v>
      </c>
      <c r="O664" t="n">
        <v>13.8121546961326</v>
      </c>
    </row>
    <row r="665" hidden="1">
      <c r="A665" s="5" t="n">
        <v>46160</v>
      </c>
      <c r="B665" s="6" t="inlineStr">
        <is>
          <t>Francilene Ferreira de Jesus</t>
        </is>
      </c>
      <c r="C665" s="3" t="inlineStr">
        <is>
          <t>Técnico II</t>
        </is>
      </c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  <c r="L665" s="3">
        <f>IF(K665&lt;-5,"CRÍTICO",IF(K665&lt;0,"ATENÇÃO",IF(K665&lt;=5,"BOM","EXCELENTE")))</f>
        <v/>
      </c>
      <c r="M665" s="9" t="n">
        <v>0</v>
      </c>
      <c r="N665" s="9" t="n">
        <v>100</v>
      </c>
      <c r="O665" s="9" t="n">
        <v>17.24137931034483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5" t="n">
        <v>46160</v>
      </c>
      <c r="B730" s="6" t="inlineStr">
        <is>
          <t>Isabella Borges de Oliveira</t>
        </is>
      </c>
      <c r="C730" s="9" t="inlineStr">
        <is>
          <t>Técnico II</t>
        </is>
      </c>
      <c r="D730" s="3" t="n">
        <v>20</v>
      </c>
      <c r="E730" s="3" t="n">
        <v>20</v>
      </c>
      <c r="F730" t="n">
        <v>24.07</v>
      </c>
      <c r="G730" s="3" t="n">
        <v>3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IF(K730&lt;-5,"CRÍTICO",IF(K730&lt;0,"ATENÇÃO",IF(K730&lt;=5,"BOM","EXCELENTE")))</f>
        <v/>
      </c>
      <c r="M730" t="n">
        <v>21</v>
      </c>
      <c r="N730" t="n">
        <v>98.63</v>
      </c>
      <c r="O730" t="n">
        <v>15.75757575757576</v>
      </c>
    </row>
    <row r="731" hidden="1">
      <c r="A731" s="5" t="n">
        <v>46160</v>
      </c>
      <c r="B731" s="6" t="inlineStr">
        <is>
          <t>Jessica Faria da Silveira</t>
        </is>
      </c>
      <c r="C731" s="3" t="inlineStr">
        <is>
          <t>Técnico II</t>
        </is>
      </c>
      <c r="D731" s="3" t="n">
        <v>28</v>
      </c>
      <c r="E731" s="3" t="n">
        <v>22</v>
      </c>
      <c r="F731" t="n">
        <v>17.15</v>
      </c>
      <c r="G731" s="3" t="n">
        <v>0</v>
      </c>
      <c r="H731" s="3" t="n">
        <v>0</v>
      </c>
      <c r="I731" s="3">
        <f>E731+G731+H731</f>
        <v/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/>
      </c>
      <c r="K731" s="3">
        <f>I731-J731</f>
        <v/>
      </c>
      <c r="L731" s="3">
        <f>IF(K731&lt;-5,"CRÍTICO",IF(K731&lt;0,"ATENÇÃO",IF(K731&lt;=5,"BOM","EXCELENTE")))</f>
        <v/>
      </c>
      <c r="M731" t="n">
        <v>19</v>
      </c>
      <c r="N731" t="n">
        <v>98.61</v>
      </c>
      <c r="O731" t="n">
        <v>16.97530864197531</v>
      </c>
    </row>
    <row r="732" hidden="1">
      <c r="A732" s="5" t="n">
        <v>46160</v>
      </c>
      <c r="B732" s="6" t="inlineStr">
        <is>
          <t>Lizandra Gomes Duarte</t>
        </is>
      </c>
      <c r="C732" s="3" t="inlineStr">
        <is>
          <t>Técnico II</t>
        </is>
      </c>
      <c r="D732" s="3" t="n">
        <v>25</v>
      </c>
      <c r="E732" s="3" t="n">
        <v>23</v>
      </c>
      <c r="F732" t="n">
        <v>16.55</v>
      </c>
      <c r="G732" s="3" t="n">
        <v>2</v>
      </c>
      <c r="H732" s="3" t="n">
        <v>0</v>
      </c>
      <c r="I732" s="3">
        <f>E732+G732+H732</f>
        <v/>
      </c>
      <c r="J732" s="3">
        <f>ROUND(MIN(IF(C732="Técnico III",35,IF(C732="Técnico II",28,IF(C732="Técnico I",23,IF(C732="JR",20,IF(C732="Estágio",10,0))))),IF(C732="Técnico III",SUMIFS($D:$D,$A:$A,$A732,$B:$B,"&lt;&gt;Patrícia Karla de Sousa Araújo",$B:$B,"&lt;&gt;Lorena Dias de Araujo",$B:$B,"&lt;&gt;Lucas Luiz Romero")*(35/1083),IF(C732="Técnico II",SUMIFS($D:$D,$A:$A,$A732,$B:$B,"&lt;&gt;Patrícia Karla de Sousa Araújo",$B:$B,"&lt;&gt;Lorena Dias de Araujo",$B:$B,"&lt;&gt;Lucas Luiz Romero")*(28/1083),IF(C732="Técnico I",SUMIFS($D:$D,$A:$A,$A732,$B:$B,"&lt;&gt;Patrícia Karla de Sousa Araújo",$B:$B,"&lt;&gt;Lorena Dias de Araujo",$B:$B,"&lt;&gt;Lucas Luiz Romero")*(23/1083),IF(C732="JR",SUMIFS($D:$D,$A:$A,$A732,$B:$B,"&lt;&gt;Patrícia Karla de Sousa Araújo",$B:$B,"&lt;&gt;Lorena Dias de Araujo",$B:$B,"&lt;&gt;Lucas Luiz Romero")*(20/1083),IF(C732="Estágio",SUMIFS($D:$D,$A:$A,$A732,$B:$B,"&lt;&gt;Patrícia Karla de Sousa Araújo",$B:$B,"&lt;&gt;Lorena Dias de Araujo",$B:$B,"&lt;&gt;Lucas Luiz Romero")*(10/1083),0)))))),0)</f>
        <v/>
      </c>
      <c r="K732" s="3">
        <f>I732-J732</f>
        <v/>
      </c>
      <c r="L732" s="3">
        <f>IF(K732&lt;-5,"CRÍTICO",IF(K732&lt;0,"ATENÇÃO",IF(K732&lt;=5,"BOM","EXCELENTE")))</f>
        <v/>
      </c>
      <c r="M732" t="n">
        <v>20</v>
      </c>
      <c r="N732" t="n">
        <v>98.61</v>
      </c>
      <c r="O732" t="n">
        <v>16.86746987951807</v>
      </c>
    </row>
    <row r="733" hidden="1">
      <c r="A733" s="5" t="n">
        <v>46160</v>
      </c>
      <c r="B733" s="6" t="inlineStr">
        <is>
          <t>Lorena Dias de Araujo</t>
        </is>
      </c>
      <c r="C733" s="3" t="inlineStr">
        <is>
          <t>Técnico II</t>
        </is>
      </c>
      <c r="D733" s="3" t="n">
        <v>28</v>
      </c>
      <c r="E733" s="3" t="n">
        <v>26</v>
      </c>
      <c r="F733" t="n">
        <v>13.58</v>
      </c>
      <c r="G733" s="3" t="n">
        <v>0</v>
      </c>
      <c r="H733" s="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IF(K733&lt;-5,"CRÍTICO",IF(K733&lt;0,"ATENÇÃO",IF(K733&lt;=5,"BOM","EXCELENTE")))</f>
        <v/>
      </c>
      <c r="M733" t="n">
        <v>23</v>
      </c>
      <c r="N733" t="n">
        <v>100</v>
      </c>
      <c r="O733" t="n">
        <v>20.82018927444795</v>
      </c>
    </row>
    <row r="734" hidden="1">
      <c r="A734" s="5" t="n">
        <v>46160</v>
      </c>
      <c r="B734" s="6" t="inlineStr">
        <is>
          <t>Patrícia Karla de Sousa Araújo</t>
        </is>
      </c>
      <c r="C734" s="3" t="inlineStr">
        <is>
          <t>Técnico II</t>
        </is>
      </c>
      <c r="D734" s="3" t="n">
        <v>16</v>
      </c>
      <c r="E734" s="3" t="n">
        <v>15</v>
      </c>
      <c r="F734" t="n">
        <v>19.19</v>
      </c>
      <c r="G734" s="3" t="n">
        <v>0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IF(K734&lt;-5,"CRÍTICO",IF(K734&lt;0,"ATENÇÃO",IF(K734&lt;=5,"BOM","EXCELENTE")))</f>
        <v/>
      </c>
      <c r="M734" t="n">
        <v>13</v>
      </c>
      <c r="N734" t="n">
        <v>100</v>
      </c>
      <c r="O734" t="n">
        <v>16.89497716894977</v>
      </c>
    </row>
    <row r="735" hidden="1">
      <c r="A735" s="7" t="n">
        <v>46161</v>
      </c>
      <c r="B735" s="8" t="inlineStr">
        <is>
          <t>Alisson de Freitas Silva</t>
        </is>
      </c>
      <c r="C735" s="9" t="inlineStr">
        <is>
          <t>Técnico II</t>
        </is>
      </c>
      <c r="D735" s="3" t="n">
        <v>38</v>
      </c>
      <c r="E735" s="3" t="n">
        <v>33</v>
      </c>
      <c r="F735" t="n">
        <v>12.17</v>
      </c>
      <c r="G735" s="3" t="n">
        <v>1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IF(K735&lt;-5,"CRÍTICO",IF(K735&lt;0,"ATENÇÃO",IF(K735&lt;=5,"BOM","EXCELENTE")))</f>
        <v/>
      </c>
      <c r="M735" s="3" t="n">
        <v>17</v>
      </c>
      <c r="N735" s="3" t="n">
        <v>98.94</v>
      </c>
      <c r="O735" s="3" t="n">
        <v>19.61414790996785</v>
      </c>
    </row>
    <row r="736" hidden="1">
      <c r="A736" s="7" t="n">
        <v>46161</v>
      </c>
      <c r="B736" s="8" t="inlineStr">
        <is>
          <t>Brenda de Menezes Silva</t>
        </is>
      </c>
      <c r="C736" s="9" t="inlineStr">
        <is>
          <t>Técnico II</t>
        </is>
      </c>
      <c r="D736" s="3" t="n">
        <v>33</v>
      </c>
      <c r="E736" s="3" t="n">
        <v>31</v>
      </c>
      <c r="F736" t="n">
        <v>16.46</v>
      </c>
      <c r="G736" s="3" t="n">
        <v>3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IF(K736&lt;-5,"CRÍTICO",IF(K736&lt;0,"ATENÇÃO",IF(K736&lt;=5,"BOM","EXCELENTE")))</f>
        <v/>
      </c>
      <c r="M736" t="n">
        <v>33</v>
      </c>
      <c r="N736" t="n">
        <v>99.13</v>
      </c>
      <c r="O736" t="n">
        <v>14.7239263803681</v>
      </c>
    </row>
    <row r="737" hidden="1">
      <c r="A737" s="7" t="n">
        <v>46161</v>
      </c>
      <c r="B737" s="8" t="inlineStr">
        <is>
          <t>Carlos Mateus Cassimiro Nunes</t>
        </is>
      </c>
      <c r="C737" s="9" t="inlineStr">
        <is>
          <t>Técnico II</t>
        </is>
      </c>
      <c r="D737" s="3" t="n">
        <v>33</v>
      </c>
      <c r="E737" s="3" t="n">
        <v>32</v>
      </c>
      <c r="F737" t="n">
        <v>16.54</v>
      </c>
      <c r="G737" s="3" t="n">
        <v>2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IF(K737&lt;-5,"CRÍTICO",IF(K737&lt;0,"ATENÇÃO",IF(K737&lt;=5,"BOM","EXCELENTE")))</f>
        <v/>
      </c>
      <c r="M737" t="n">
        <v>29</v>
      </c>
      <c r="N737" t="n">
        <v>98.8</v>
      </c>
      <c r="O737" t="n">
        <v>16.89750692520776</v>
      </c>
    </row>
    <row r="738" hidden="1">
      <c r="A738" s="7" t="n">
        <v>46161</v>
      </c>
      <c r="B738" s="8" t="inlineStr">
        <is>
          <t>Damyllis Lorraine de Oliveira Gonçalves</t>
        </is>
      </c>
      <c r="C738" s="9" t="inlineStr">
        <is>
          <t>Técnico II</t>
        </is>
      </c>
      <c r="D738" s="3" t="n">
        <v>0</v>
      </c>
      <c r="E738" s="3" t="n">
        <v>0</v>
      </c>
      <c r="F738" s="3" t="n">
        <v>0</v>
      </c>
      <c r="G738" s="3" t="n">
        <v>0</v>
      </c>
      <c r="H738" s="3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IF(K738&lt;-5,"CRÍTICO",IF(K738&lt;0,"ATENÇÃO",IF(K738&lt;=5,"BOM","EXCELENTE")))</f>
        <v/>
      </c>
      <c r="M738" s="9" t="n">
        <v>0</v>
      </c>
      <c r="N738" s="9" t="n">
        <v>98.63</v>
      </c>
      <c r="O738" s="9" t="n">
        <v>18.75</v>
      </c>
    </row>
    <row r="739" hidden="1">
      <c r="A739" s="7" t="n">
        <v>46161</v>
      </c>
      <c r="B739" s="8" t="inlineStr">
        <is>
          <t>Emilly Kamilly Medeiros Miranda</t>
        </is>
      </c>
      <c r="C739" s="9" t="inlineStr">
        <is>
          <t>Técnico II</t>
        </is>
      </c>
      <c r="D739" s="3" t="n">
        <v>23</v>
      </c>
      <c r="E739" s="3" t="n">
        <v>22</v>
      </c>
      <c r="F739" t="n">
        <v>13.4</v>
      </c>
      <c r="G739" s="3" t="n">
        <v>2</v>
      </c>
      <c r="H739" s="3" t="n">
        <v>0</v>
      </c>
      <c r="I739" s="3">
        <f>E739+G739+H739</f>
        <v/>
      </c>
      <c r="J739" s="3">
        <f>ROUND(MIN(IF(C739="Técnico III",35,IF(C739="Técnico II",28,IF(C739="Técnico I",23,IF(C739="JR",20,IF(C739="Estágio",10,0))))),IF(C739="Técnico III",SUMIFS($D:$D,$A:$A,$A739,$B:$B,"&lt;&gt;Patrícia Karla de Sousa Araújo",$B:$B,"&lt;&gt;Lorena Dias de Araujo",$B:$B,"&lt;&gt;Lucas Luiz Romero")*(35/1083),IF(C739="Técnico II",SUMIFS($D:$D,$A:$A,$A739,$B:$B,"&lt;&gt;Patrícia Karla de Sousa Araújo",$B:$B,"&lt;&gt;Lorena Dias de Araujo",$B:$B,"&lt;&gt;Lucas Luiz Romero")*(28/1083),IF(C739="Técnico I",SUMIFS($D:$D,$A:$A,$A739,$B:$B,"&lt;&gt;Patrícia Karla de Sousa Araújo",$B:$B,"&lt;&gt;Lorena Dias de Araujo",$B:$B,"&lt;&gt;Lucas Luiz Romero")*(23/1083),IF(C739="JR",SUMIFS($D:$D,$A:$A,$A739,$B:$B,"&lt;&gt;Patrícia Karla de Sousa Araújo",$B:$B,"&lt;&gt;Lorena Dias de Araujo",$B:$B,"&lt;&gt;Lucas Luiz Romero")*(20/1083),IF(C739="Estágio",SUMIFS($D:$D,$A:$A,$A739,$B:$B,"&lt;&gt;Patrícia Karla de Sousa Araújo",$B:$B,"&lt;&gt;Lorena Dias de Araujo",$B:$B,"&lt;&gt;Lucas Luiz Romero")*(10/1083),0)))))),0)</f>
        <v/>
      </c>
      <c r="K739" s="3">
        <f>I739-J739</f>
        <v/>
      </c>
      <c r="L739" s="3">
        <f>IF(K739&lt;-5,"CRÍTICO",IF(K739&lt;0,"ATENÇÃO",IF(K739&lt;=5,"BOM","EXCELENTE")))</f>
        <v/>
      </c>
      <c r="M739" t="n">
        <v>23</v>
      </c>
      <c r="N739" t="n">
        <v>100</v>
      </c>
      <c r="O739" t="n">
        <v>13.8121546961326</v>
      </c>
    </row>
    <row r="740" hidden="1">
      <c r="A740" s="7" t="n">
        <v>46161</v>
      </c>
      <c r="B740" s="8" t="inlineStr">
        <is>
          <t>Francilene Ferreira de Jesus</t>
        </is>
      </c>
      <c r="C740" s="9" t="inlineStr">
        <is>
          <t>Técnico II</t>
        </is>
      </c>
      <c r="D740" s="3" t="n">
        <v>0</v>
      </c>
      <c r="E740" s="3" t="n">
        <v>0</v>
      </c>
      <c r="F740" s="3" t="n">
        <v>0</v>
      </c>
      <c r="G740" s="3" t="n">
        <v>0</v>
      </c>
      <c r="H740" s="3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IF(K740&lt;-5,"CRÍTICO",IF(K740&lt;0,"ATENÇÃO",IF(K740&lt;=5,"BOM","EXCELENTE")))</f>
        <v/>
      </c>
      <c r="M740" s="9" t="n">
        <v>0</v>
      </c>
      <c r="N740" s="9" t="n">
        <v>100</v>
      </c>
      <c r="O740" s="9" t="n">
        <v>17.24137931034483</v>
      </c>
    </row>
    <row r="741" hidden="1">
      <c r="A741" s="7" t="n">
        <v>46161</v>
      </c>
      <c r="B741" s="8" t="inlineStr">
        <is>
          <t>Isabella Borges de Oliveira</t>
        </is>
      </c>
      <c r="C741" s="9" t="inlineStr">
        <is>
          <t>Técnico II</t>
        </is>
      </c>
      <c r="D741" s="3" t="n">
        <v>28</v>
      </c>
      <c r="E741" s="3" t="n">
        <v>25</v>
      </c>
      <c r="F741" t="n">
        <v>16.55</v>
      </c>
      <c r="G741" s="3" t="n">
        <v>0</v>
      </c>
      <c r="H741" s="3" t="n">
        <v>0</v>
      </c>
      <c r="I741" s="3">
        <f>E741+G741+H741</f>
        <v/>
      </c>
      <c r="J741" s="3">
        <f>ROUND(MIN(IF(C741="Técnico III",35,IF(C741="Técnico II",28,IF(C741="Técnico I",23,IF(C741="JR",20,IF(C741="Estágio",10,0))))),IF(C741="Técnico III",SUMIFS($D:$D,$A:$A,$A741,$B:$B,"&lt;&gt;Patrícia Karla de Sousa Araújo",$B:$B,"&lt;&gt;Lorena Dias de Araujo",$B:$B,"&lt;&gt;Lucas Luiz Romero")*(35/1083),IF(C741="Técnico II",SUMIFS($D:$D,$A:$A,$A741,$B:$B,"&lt;&gt;Patrícia Karla de Sousa Araújo",$B:$B,"&lt;&gt;Lorena Dias de Araujo",$B:$B,"&lt;&gt;Lucas Luiz Romero")*(28/1083),IF(C741="Técnico I",SUMIFS($D:$D,$A:$A,$A741,$B:$B,"&lt;&gt;Patrícia Karla de Sousa Araújo",$B:$B,"&lt;&gt;Lorena Dias de Araujo",$B:$B,"&lt;&gt;Lucas Luiz Romero")*(23/1083),IF(C741="JR",SUMIFS($D:$D,$A:$A,$A741,$B:$B,"&lt;&gt;Patrícia Karla de Sousa Araújo",$B:$B,"&lt;&gt;Lorena Dias de Araujo",$B:$B,"&lt;&gt;Lucas Luiz Romero")*(20/1083),IF(C741="Estágio",SUMIFS($D:$D,$A:$A,$A741,$B:$B,"&lt;&gt;Patrícia Karla de Sousa Araújo",$B:$B,"&lt;&gt;Lorena Dias de Araujo",$B:$B,"&lt;&gt;Lucas Luiz Romero")*(10/1083),0)))))),0)</f>
        <v/>
      </c>
      <c r="K741" s="3">
        <f>I741-J741</f>
        <v/>
      </c>
      <c r="L741" s="3">
        <f>IF(K741&lt;-5,"CRÍTICO",IF(K741&lt;0,"ATENÇÃO",IF(K741&lt;=5,"BOM","EXCELENTE")))</f>
        <v/>
      </c>
      <c r="M741" t="n">
        <v>22</v>
      </c>
      <c r="N741" t="n">
        <v>98.63</v>
      </c>
      <c r="O741" t="n">
        <v>15.75757575757576</v>
      </c>
    </row>
    <row r="742" hidden="1">
      <c r="A742" s="7" t="n">
        <v>46161</v>
      </c>
      <c r="B742" s="8" t="inlineStr">
        <is>
          <t>Jessica Faria da Silveira</t>
        </is>
      </c>
      <c r="C742" s="9" t="inlineStr">
        <is>
          <t>Técnico II</t>
        </is>
      </c>
      <c r="D742" s="3" t="n">
        <v>24</v>
      </c>
      <c r="E742" s="3" t="n">
        <v>20</v>
      </c>
      <c r="F742" t="n">
        <v>17</v>
      </c>
      <c r="G742" s="3" t="n">
        <v>2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IF(K742&lt;-5,"CRÍTICO",IF(K742&lt;0,"ATENÇÃO",IF(K742&lt;=5,"BOM","EXCELENTE")))</f>
        <v/>
      </c>
      <c r="M742" t="n">
        <v>16</v>
      </c>
      <c r="N742" t="n">
        <v>98.61</v>
      </c>
      <c r="O742" t="n">
        <v>16.97530864197531</v>
      </c>
    </row>
    <row r="743" hidden="1">
      <c r="A743" s="7" t="n">
        <v>46161</v>
      </c>
      <c r="B743" s="8" t="inlineStr">
        <is>
          <t>Lizandra Gomes Duarte</t>
        </is>
      </c>
      <c r="C743" s="9" t="inlineStr">
        <is>
          <t>Técnico II</t>
        </is>
      </c>
      <c r="D743" s="3" t="n">
        <v>28</v>
      </c>
      <c r="E743" s="3" t="n">
        <v>25</v>
      </c>
      <c r="F743" t="n">
        <v>19.03</v>
      </c>
      <c r="G743" s="3" t="n">
        <v>3</v>
      </c>
      <c r="H743" s="3" t="n">
        <v>0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IF(K743&lt;-5,"CRÍTICO",IF(K743&lt;0,"ATENÇÃO",IF(K743&lt;=5,"BOM","EXCELENTE")))</f>
        <v/>
      </c>
      <c r="M743" t="n">
        <v>45</v>
      </c>
      <c r="N743" t="n">
        <v>98.61</v>
      </c>
      <c r="O743" t="n">
        <v>16.86746987951807</v>
      </c>
    </row>
    <row r="744" hidden="1">
      <c r="A744" s="7" t="n">
        <v>46161</v>
      </c>
      <c r="B744" s="8" t="inlineStr">
        <is>
          <t>Lorena Dias de Araujo</t>
        </is>
      </c>
      <c r="C744" s="9" t="inlineStr">
        <is>
          <t>Técnico II</t>
        </is>
      </c>
      <c r="D744" s="3" t="n">
        <v>22</v>
      </c>
      <c r="E744" s="3" t="n">
        <v>21</v>
      </c>
      <c r="F744" t="n">
        <v>24.02</v>
      </c>
      <c r="G744" s="3" t="n">
        <v>0</v>
      </c>
      <c r="H744" s="3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IF(K744&lt;-5,"CRÍTICO",IF(K744&lt;0,"ATENÇÃO",IF(K744&lt;=5,"BOM","EXCELENTE")))</f>
        <v/>
      </c>
      <c r="M744" t="n">
        <v>19</v>
      </c>
      <c r="N744" t="n">
        <v>100</v>
      </c>
      <c r="O744" t="n">
        <v>20.82018927444795</v>
      </c>
    </row>
    <row r="745" hidden="1">
      <c r="A745" s="7" t="n">
        <v>46161</v>
      </c>
      <c r="B745" s="8" t="inlineStr">
        <is>
          <t>Patrícia Karla de Sousa Araújo</t>
        </is>
      </c>
      <c r="C745" s="9" t="inlineStr">
        <is>
          <t>Técnico II</t>
        </is>
      </c>
      <c r="D745" s="3" t="n">
        <v>25</v>
      </c>
      <c r="E745" s="3" t="n">
        <v>23</v>
      </c>
      <c r="F745" t="n">
        <v>17.03</v>
      </c>
      <c r="G745" s="3" t="n">
        <v>0</v>
      </c>
      <c r="H745" s="3" t="n">
        <v>0</v>
      </c>
      <c r="I745" s="3">
        <f>E745+G745+H745</f>
        <v/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/>
      </c>
      <c r="K745" s="3">
        <f>I745-J745</f>
        <v/>
      </c>
      <c r="L745" s="3">
        <f>IF(K745&lt;-5,"CRÍTICO",IF(K745&lt;0,"ATENÇÃO",IF(K745&lt;=5,"BOM","EXCELENTE")))</f>
        <v/>
      </c>
      <c r="M745" t="n">
        <v>22</v>
      </c>
      <c r="N745" t="n">
        <v>100</v>
      </c>
      <c r="O745" t="n">
        <v>16.89497716894977</v>
      </c>
    </row>
    <row r="746" hidden="1">
      <c r="A746" s="7" t="n">
        <v>46162</v>
      </c>
      <c r="B746" s="8" t="inlineStr">
        <is>
          <t>Alisson de Freitas Silva</t>
        </is>
      </c>
      <c r="C746" s="9" t="inlineStr">
        <is>
          <t>Técnico II</t>
        </is>
      </c>
      <c r="D746" s="3" t="n">
        <v>36</v>
      </c>
      <c r="E746" s="3" t="n">
        <v>25</v>
      </c>
      <c r="F746" s="3" t="n">
        <v>11.43</v>
      </c>
      <c r="G746" s="3" t="n">
        <v>6</v>
      </c>
      <c r="H746" s="3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IF(K746&lt;-5,"CRÍTICO",IF(K746&lt;0,"ATENÇÃO",IF(K746&lt;=5,"OPORTUNO","MUITO BOM")))</f>
        <v/>
      </c>
      <c r="M746" s="3" t="n">
        <v>20</v>
      </c>
      <c r="N746" s="3" t="n">
        <v>98.94</v>
      </c>
      <c r="O746" s="3" t="n">
        <v>19.61414790996785</v>
      </c>
    </row>
    <row r="747" hidden="1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N747" t="n">
        <v>96.67</v>
      </c>
      <c r="O747" t="n">
        <v>31.45161290322581</v>
      </c>
    </row>
    <row r="748" hidden="1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N748" t="n">
        <v>96.67</v>
      </c>
      <c r="O748" t="n">
        <v>31.45161290322581</v>
      </c>
    </row>
    <row r="749" hidden="1">
      <c r="A749" s="7" t="n">
        <v>46162</v>
      </c>
      <c r="B749" s="8" t="inlineStr">
        <is>
          <t>Brenda de Menezes Silva</t>
        </is>
      </c>
      <c r="C749" s="9" t="inlineStr">
        <is>
          <t>Técnico II</t>
        </is>
      </c>
      <c r="D749" s="3" t="n">
        <v>25</v>
      </c>
      <c r="E749" s="3" t="n">
        <v>23</v>
      </c>
      <c r="F749" s="3" t="n">
        <v>15.11</v>
      </c>
      <c r="G749" s="3" t="n">
        <v>2</v>
      </c>
      <c r="H749" s="3" t="n">
        <v>0</v>
      </c>
      <c r="I749" s="3">
        <f>E749+G749+H749</f>
        <v/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/>
      </c>
      <c r="K749" s="3">
        <f>I749-J749</f>
        <v/>
      </c>
      <c r="L749" s="3">
        <f>IF(K749&lt;-5,"CRÍTICO",IF(K749&lt;0,"ATENÇÃO",IF(K749&lt;=5,"OPORTUNO","MUITO BOM")))</f>
        <v/>
      </c>
      <c r="M749" s="9" t="n">
        <v>29</v>
      </c>
      <c r="N749" s="9" t="n">
        <v>99.13</v>
      </c>
      <c r="O749" s="9" t="n">
        <v>14.7239263803681</v>
      </c>
    </row>
    <row r="750" hidden="1">
      <c r="A750" s="7" t="n">
        <v>46162</v>
      </c>
      <c r="B750" s="8" t="inlineStr">
        <is>
          <t>Carlos Mateus Cassimiro Nunes</t>
        </is>
      </c>
      <c r="C750" s="9" t="inlineStr">
        <is>
          <t>Técnico II</t>
        </is>
      </c>
      <c r="D750" s="3" t="n">
        <v>27</v>
      </c>
      <c r="E750" s="3" t="n">
        <v>26</v>
      </c>
      <c r="F750" s="3" t="n">
        <v>18.58</v>
      </c>
      <c r="G750" s="3" t="n">
        <v>1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9" t="n">
        <v>25</v>
      </c>
      <c r="N750" s="9" t="n">
        <v>98.8</v>
      </c>
      <c r="O750" s="9" t="n">
        <v>16.89750692520776</v>
      </c>
    </row>
    <row r="751" hidden="1">
      <c r="A751" s="7" t="n">
        <v>46162</v>
      </c>
      <c r="B751" s="8" t="inlineStr">
        <is>
          <t>Damyllis Lorraine de Oliveira Gonçalves</t>
        </is>
      </c>
      <c r="C751" s="9" t="inlineStr">
        <is>
          <t>Técnico II</t>
        </is>
      </c>
      <c r="D751" s="3" t="n">
        <v>0</v>
      </c>
      <c r="E751" s="3" t="n">
        <v>0</v>
      </c>
      <c r="F751" s="3" t="n">
        <v>0</v>
      </c>
      <c r="G751" s="3" t="n">
        <v>0</v>
      </c>
      <c r="H751" s="3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  <c r="M751" s="9" t="n">
        <v>0</v>
      </c>
      <c r="N751" s="9" t="n">
        <v>98.63</v>
      </c>
      <c r="O751" s="9" t="n">
        <v>18.75</v>
      </c>
    </row>
    <row r="752" hidden="1">
      <c r="A752" s="7" t="n">
        <v>46162</v>
      </c>
      <c r="B752" s="8" t="inlineStr">
        <is>
          <t>Emilly Kamilly Medeiros Miranda</t>
        </is>
      </c>
      <c r="C752" s="9" t="inlineStr">
        <is>
          <t>Técnico II</t>
        </is>
      </c>
      <c r="D752" s="3" t="n">
        <v>30</v>
      </c>
      <c r="E752" s="3" t="n">
        <v>28</v>
      </c>
      <c r="F752" s="3" t="n">
        <v>10.26</v>
      </c>
      <c r="G752" s="3" t="n">
        <v>2</v>
      </c>
      <c r="H752" s="3" t="n">
        <v>0</v>
      </c>
      <c r="I752" s="3">
        <f>E752+G752+H752</f>
        <v/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/>
      </c>
      <c r="K752" s="3">
        <f>I752-J752</f>
        <v/>
      </c>
      <c r="L752" s="3">
        <f>IF(K752&lt;-5,"CRÍTICO",IF(K752&lt;0,"ATENÇÃO",IF(K752&lt;=5,"OPORTUNO","MUITO BOM")))</f>
        <v/>
      </c>
      <c r="M752" s="9" t="n">
        <v>28</v>
      </c>
      <c r="N752" s="9" t="n">
        <v>100</v>
      </c>
      <c r="O752" s="9" t="n">
        <v>13.8121546961326</v>
      </c>
    </row>
    <row r="753" hidden="1">
      <c r="A753" s="7" t="n">
        <v>46162</v>
      </c>
      <c r="B753" s="8" t="inlineStr">
        <is>
          <t>Francilene Ferreira de Jesus</t>
        </is>
      </c>
      <c r="C753" s="9" t="inlineStr">
        <is>
          <t>Técnico II</t>
        </is>
      </c>
      <c r="D753" s="3" t="n">
        <v>0</v>
      </c>
      <c r="E753" s="3" t="n">
        <v>0</v>
      </c>
      <c r="F753" s="3" t="n">
        <v>0</v>
      </c>
      <c r="G753" s="3" t="n">
        <v>0</v>
      </c>
      <c r="H753" s="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  <c r="M753" s="9" t="n">
        <v>0</v>
      </c>
      <c r="N753" s="9" t="n">
        <v>100</v>
      </c>
      <c r="O753" s="9" t="n">
        <v>17.24137931034483</v>
      </c>
    </row>
    <row r="754" hidden="1">
      <c r="A754" s="7" t="n">
        <v>46162</v>
      </c>
      <c r="B754" s="8" t="inlineStr">
        <is>
          <t>Isabella Borges de Oliveira</t>
        </is>
      </c>
      <c r="C754" s="9" t="inlineStr">
        <is>
          <t>Técnico II</t>
        </is>
      </c>
      <c r="D754" s="3" t="n">
        <v>24</v>
      </c>
      <c r="E754" s="3" t="n">
        <v>24</v>
      </c>
      <c r="F754" s="3" t="n">
        <v>23.52</v>
      </c>
      <c r="G754" s="3" t="n">
        <v>1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9" t="n">
        <v>22</v>
      </c>
      <c r="N754" s="9" t="n">
        <v>98.63</v>
      </c>
      <c r="O754" s="9" t="n">
        <v>15.75757575757576</v>
      </c>
    </row>
    <row r="755" hidden="1">
      <c r="A755" s="7" t="n">
        <v>46162</v>
      </c>
      <c r="B755" s="8" t="inlineStr">
        <is>
          <t>Jessica Faria da Silveira</t>
        </is>
      </c>
      <c r="C755" s="9" t="inlineStr">
        <is>
          <t>Técnico II</t>
        </is>
      </c>
      <c r="D755" s="3" t="n">
        <v>32</v>
      </c>
      <c r="E755" s="3" t="n">
        <v>26</v>
      </c>
      <c r="F755" s="3" t="n">
        <v>14.11</v>
      </c>
      <c r="G755" s="3" t="n">
        <v>0</v>
      </c>
      <c r="H755" s="3" t="n">
        <v>0</v>
      </c>
      <c r="I755" s="3">
        <f>E755+G755+H755</f>
        <v/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/>
      </c>
      <c r="K755" s="3">
        <f>I755-J755</f>
        <v/>
      </c>
      <c r="L755" s="3">
        <f>IF(K755&lt;-5,"CRÍTICO",IF(K755&lt;0,"ATENÇÃO",IF(K755&lt;=5,"OPORTUNO","MUITO BOM")))</f>
        <v/>
      </c>
      <c r="M755" s="9" t="n">
        <v>23</v>
      </c>
      <c r="N755" s="9" t="n">
        <v>98.61</v>
      </c>
      <c r="O755" s="9" t="n">
        <v>16.97530864197531</v>
      </c>
    </row>
    <row r="756" hidden="1">
      <c r="A756" s="7" t="n">
        <v>46162</v>
      </c>
      <c r="B756" s="8" t="inlineStr">
        <is>
          <t>Lizandra Gomes Duarte</t>
        </is>
      </c>
      <c r="C756" s="9" t="inlineStr">
        <is>
          <t>Técnico II</t>
        </is>
      </c>
      <c r="D756" s="3" t="n">
        <v>25</v>
      </c>
      <c r="E756" s="3" t="n">
        <v>23</v>
      </c>
      <c r="F756" s="3" t="n">
        <v>20.02</v>
      </c>
      <c r="G756" s="3" t="n">
        <v>2</v>
      </c>
      <c r="H756" s="3" t="n">
        <v>0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9" t="n">
        <v>19</v>
      </c>
      <c r="N756" s="9" t="n">
        <v>98.61</v>
      </c>
      <c r="O756" s="9" t="n">
        <v>16.86746987951807</v>
      </c>
    </row>
    <row r="757" hidden="1">
      <c r="A757" s="7" t="n">
        <v>46162</v>
      </c>
      <c r="B757" s="8" t="inlineStr">
        <is>
          <t>Lorena Dias de Araujo</t>
        </is>
      </c>
      <c r="C757" s="9" t="inlineStr">
        <is>
          <t>Técnico II</t>
        </is>
      </c>
      <c r="D757" s="3" t="n">
        <v>16</v>
      </c>
      <c r="E757" s="3" t="n">
        <v>13</v>
      </c>
      <c r="F757" s="3" t="n">
        <v>25.44</v>
      </c>
      <c r="G757" s="3" t="n">
        <v>0</v>
      </c>
      <c r="H757" s="3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  <c r="M757" s="9" t="n">
        <v>8</v>
      </c>
      <c r="N757" s="9" t="n">
        <v>100</v>
      </c>
      <c r="O757" s="9" t="n">
        <v>20.82018927444795</v>
      </c>
    </row>
    <row r="758" hidden="1">
      <c r="A758" s="7" t="n">
        <v>46162</v>
      </c>
      <c r="B758" s="8" t="inlineStr">
        <is>
          <t>Patrícia Karla de Sousa Araújo</t>
        </is>
      </c>
      <c r="C758" s="9" t="inlineStr">
        <is>
          <t>Técnico II</t>
        </is>
      </c>
      <c r="D758" s="3" t="n">
        <v>0</v>
      </c>
      <c r="E758" s="3" t="n">
        <v>0</v>
      </c>
      <c r="F758" s="3" t="n">
        <v>0</v>
      </c>
      <c r="G758" s="3" t="n">
        <v>0</v>
      </c>
      <c r="H758" s="3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  <c r="M758" s="9" t="n">
        <v>0</v>
      </c>
      <c r="N758" s="9" t="n">
        <v>100</v>
      </c>
      <c r="O758" s="9" t="n">
        <v>16.89497716894977</v>
      </c>
    </row>
    <row r="759" hidden="1">
      <c r="A759" s="5" t="n">
        <v>46163</v>
      </c>
      <c r="B759" s="6" t="inlineStr">
        <is>
          <t>Alisson de Freitas Silva</t>
        </is>
      </c>
      <c r="C759" s="3" t="inlineStr">
        <is>
          <t>Técnico II</t>
        </is>
      </c>
      <c r="D759" s="3" t="n">
        <v>31</v>
      </c>
      <c r="E759" s="3" t="n">
        <v>19</v>
      </c>
      <c r="F759" s="3" t="n">
        <v>5.55</v>
      </c>
      <c r="G759" s="3" t="n">
        <v>1</v>
      </c>
      <c r="H759" s="3" t="n">
        <v>0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17</v>
      </c>
      <c r="N759" s="3" t="n">
        <v>98.94</v>
      </c>
      <c r="O759" s="3" t="n">
        <v>19.61414790996785</v>
      </c>
    </row>
    <row r="760" hidden="1">
      <c r="A760" s="5" t="n">
        <v>46163</v>
      </c>
      <c r="B760" s="6" t="inlineStr">
        <is>
          <t>Brenda de Menezes Silva</t>
        </is>
      </c>
      <c r="C760" s="3" t="inlineStr">
        <is>
          <t>Técnico II</t>
        </is>
      </c>
      <c r="D760" s="3" t="n">
        <v>31</v>
      </c>
      <c r="E760" s="3" t="n">
        <v>27</v>
      </c>
      <c r="F760" s="3" t="n">
        <v>10.15</v>
      </c>
      <c r="G760" s="3" t="n">
        <v>4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28</v>
      </c>
      <c r="N760" s="3" t="n">
        <v>99.13</v>
      </c>
      <c r="O760" s="3" t="n">
        <v>14.7239263803681</v>
      </c>
    </row>
    <row r="761" hidden="1">
      <c r="A761" s="5" t="n">
        <v>46163</v>
      </c>
      <c r="B761" s="6" t="inlineStr">
        <is>
          <t>Carlos Mateus Cassimiro Nunes</t>
        </is>
      </c>
      <c r="C761" s="3" t="inlineStr">
        <is>
          <t>Técnico II</t>
        </is>
      </c>
      <c r="D761" s="3" t="n">
        <v>24</v>
      </c>
      <c r="E761" s="3" t="n">
        <v>22</v>
      </c>
      <c r="F761" s="3" t="n">
        <v>18.55</v>
      </c>
      <c r="G761" s="3" t="n">
        <v>1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21</v>
      </c>
      <c r="N761" s="3" t="n">
        <v>98.8</v>
      </c>
      <c r="O761" s="3" t="n">
        <v>16.89750692520776</v>
      </c>
    </row>
    <row r="762" hidden="1">
      <c r="A762" s="5" t="n">
        <v>46163</v>
      </c>
      <c r="B762" s="6" t="inlineStr">
        <is>
          <t>Damyllis Lorraine de Oliveira Gonçalves</t>
        </is>
      </c>
      <c r="C762" s="3" t="inlineStr">
        <is>
          <t>Técnico II</t>
        </is>
      </c>
      <c r="D762" s="3" t="n">
        <v>0</v>
      </c>
      <c r="E762" s="3" t="n">
        <v>0</v>
      </c>
      <c r="F762" s="3" t="n">
        <v>0</v>
      </c>
      <c r="G762" s="3" t="n">
        <v>0</v>
      </c>
      <c r="H762" s="3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  <c r="M762" s="3" t="n">
        <v>0</v>
      </c>
      <c r="N762" s="3" t="n">
        <v>98.63</v>
      </c>
      <c r="O762" s="3" t="n">
        <v>18.75</v>
      </c>
    </row>
    <row r="763" hidden="1">
      <c r="A763" s="5" t="n">
        <v>46163</v>
      </c>
      <c r="B763" s="6" t="inlineStr">
        <is>
          <t>Emilly Kamilly Medeiros Miranda</t>
        </is>
      </c>
      <c r="C763" s="3" t="inlineStr">
        <is>
          <t>Técnico II</t>
        </is>
      </c>
      <c r="D763" s="3" t="n">
        <v>28</v>
      </c>
      <c r="E763" s="3" t="n">
        <v>23</v>
      </c>
      <c r="F763" s="3" t="n">
        <v>9.02</v>
      </c>
      <c r="G763" s="3" t="n">
        <v>3</v>
      </c>
      <c r="H763" s="3" t="n">
        <v>0</v>
      </c>
      <c r="I763" s="3">
        <f>E763+G763+H763</f>
        <v/>
      </c>
      <c r="J763" s="3">
        <f>ROUND(MIN(IF(C763="Técnico III",35,IF(C763="Técnico II",28,IF(C763="Técnico I",23,IF(C763="JR",20,IF(C763="Estágio",10,0))))),IF(C763="Técnico III",SUMIFS($D:$D,$A:$A,$A763,$B:$B,"&lt;&gt;Patrícia Karla de Sousa Araújo",$B:$B,"&lt;&gt;Lorena Dias de Araujo",$B:$B,"&lt;&gt;Lucas Luiz Romero")*(35/1083),IF(C763="Técnico II",SUMIFS($D:$D,$A:$A,$A763,$B:$B,"&lt;&gt;Patrícia Karla de Sousa Araújo",$B:$B,"&lt;&gt;Lorena Dias de Araujo",$B:$B,"&lt;&gt;Lucas Luiz Romero")*(28/1083),IF(C763="Técnico I",SUMIFS($D:$D,$A:$A,$A763,$B:$B,"&lt;&gt;Patrícia Karla de Sousa Araújo",$B:$B,"&lt;&gt;Lorena Dias de Araujo",$B:$B,"&lt;&gt;Lucas Luiz Romero")*(23/1083),IF(C763="JR",SUMIFS($D:$D,$A:$A,$A763,$B:$B,"&lt;&gt;Patrícia Karla de Sousa Araújo",$B:$B,"&lt;&gt;Lorena Dias de Araujo",$B:$B,"&lt;&gt;Lucas Luiz Romero")*(20/1083),IF(C763="Estágio",SUMIFS($D:$D,$A:$A,$A763,$B:$B,"&lt;&gt;Patrícia Karla de Sousa Araújo",$B:$B,"&lt;&gt;Lorena Dias de Araujo",$B:$B,"&lt;&gt;Lucas Luiz Romero")*(10/1083),0)))))),0)</f>
        <v/>
      </c>
      <c r="K763" s="3">
        <f>I763-J763</f>
        <v/>
      </c>
      <c r="L763" s="3">
        <f>IF(K763&lt;-5,"CRÍTICO",IF(K763&lt;0,"ATENÇÃO",IF(K763&lt;=5,"OPORTUNO","MUITO BOM")))</f>
        <v/>
      </c>
      <c r="M763" s="3" t="n">
        <v>25</v>
      </c>
      <c r="N763" s="3" t="n">
        <v>100</v>
      </c>
      <c r="O763" s="3" t="n">
        <v>13.8121546961326</v>
      </c>
    </row>
    <row r="764" hidden="1">
      <c r="A764" s="5" t="n">
        <v>46163</v>
      </c>
      <c r="B764" s="6" t="inlineStr">
        <is>
          <t>Francilene Ferreira de Jesus</t>
        </is>
      </c>
      <c r="C764" s="3" t="inlineStr">
        <is>
          <t>Técnico II</t>
        </is>
      </c>
      <c r="D764" s="3" t="n">
        <v>0</v>
      </c>
      <c r="E764" s="3" t="n">
        <v>0</v>
      </c>
      <c r="F764" s="3" t="n">
        <v>0</v>
      </c>
      <c r="G764" s="3" t="n">
        <v>0</v>
      </c>
      <c r="H764" s="3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  <c r="M764" s="3" t="n">
        <v>0</v>
      </c>
      <c r="N764" s="3" t="n">
        <v>100</v>
      </c>
      <c r="O764" s="3" t="n">
        <v>17.24137931034483</v>
      </c>
    </row>
    <row r="765" hidden="1">
      <c r="A765" s="5" t="n">
        <v>46163</v>
      </c>
      <c r="B765" s="6" t="inlineStr">
        <is>
          <t>Isabella Borges de Oliveira</t>
        </is>
      </c>
      <c r="C765" s="3" t="inlineStr">
        <is>
          <t>Técnico II</t>
        </is>
      </c>
      <c r="D765" s="3" t="n">
        <v>22</v>
      </c>
      <c r="E765" s="3" t="n">
        <v>21</v>
      </c>
      <c r="F765" s="3" t="n">
        <v>19.05</v>
      </c>
      <c r="G765" s="3" t="n">
        <v>1</v>
      </c>
      <c r="H765" s="3" t="n">
        <v>0</v>
      </c>
      <c r="I765" s="3">
        <f>E765+G765+H765</f>
        <v/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/>
      </c>
      <c r="K765" s="3">
        <f>I765-J765</f>
        <v/>
      </c>
      <c r="L765" s="3">
        <f>IF(K765&lt;-5,"CRÍTICO",IF(K765&lt;0,"ATENÇÃO",IF(K765&lt;=5,"OPORTUNO","MUITO BOM")))</f>
        <v/>
      </c>
      <c r="M765" s="3" t="n">
        <v>19</v>
      </c>
      <c r="N765" s="3" t="n">
        <v>98.63</v>
      </c>
      <c r="O765" s="3" t="n">
        <v>15.75757575757576</v>
      </c>
    </row>
    <row r="766" hidden="1">
      <c r="A766" s="5" t="n">
        <v>46163</v>
      </c>
      <c r="B766" s="6" t="inlineStr">
        <is>
          <t>Jessica Faria da Silveira</t>
        </is>
      </c>
      <c r="C766" s="3" t="inlineStr">
        <is>
          <t>Técnico II</t>
        </is>
      </c>
      <c r="D766" s="3" t="n">
        <v>17</v>
      </c>
      <c r="E766" s="3" t="n">
        <v>14</v>
      </c>
      <c r="F766" s="3" t="n">
        <v>17.2</v>
      </c>
      <c r="G766" s="3" t="n">
        <v>0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14</v>
      </c>
      <c r="N766" s="3" t="n">
        <v>98.61</v>
      </c>
      <c r="O766" s="3" t="n">
        <v>16.97530864197531</v>
      </c>
    </row>
    <row r="767" hidden="1">
      <c r="A767" s="5" t="n">
        <v>46163</v>
      </c>
      <c r="B767" s="6" t="inlineStr">
        <is>
          <t>Lizandra Gomes Duarte</t>
        </is>
      </c>
      <c r="C767" s="3" t="inlineStr">
        <is>
          <t>Técnico II</t>
        </is>
      </c>
      <c r="D767" s="3" t="n">
        <v>19</v>
      </c>
      <c r="E767" s="3" t="n">
        <v>19</v>
      </c>
      <c r="F767" s="3" t="n">
        <v>24.12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17</v>
      </c>
      <c r="N767" s="3" t="n">
        <v>98.61</v>
      </c>
      <c r="O767" s="3" t="n">
        <v>16.86746987951807</v>
      </c>
    </row>
    <row r="768" hidden="1">
      <c r="A768" s="5" t="n">
        <v>46163</v>
      </c>
      <c r="B768" s="6" t="inlineStr">
        <is>
          <t>Lorena Dias de Araujo</t>
        </is>
      </c>
      <c r="C768" s="3" t="inlineStr">
        <is>
          <t>Técnico II</t>
        </is>
      </c>
      <c r="D768" s="3" t="n">
        <v>18</v>
      </c>
      <c r="E768" s="3" t="n">
        <v>15</v>
      </c>
      <c r="F768" s="3" t="n">
        <v>14.09</v>
      </c>
      <c r="G768" s="3" t="n">
        <v>0</v>
      </c>
      <c r="H768" s="3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  <c r="M768" s="3" t="n">
        <v>15</v>
      </c>
      <c r="N768" s="3" t="n">
        <v>100</v>
      </c>
      <c r="O768" s="3" t="n">
        <v>20.82018927444795</v>
      </c>
    </row>
    <row r="769" hidden="1">
      <c r="A769" s="5" t="n">
        <v>46163</v>
      </c>
      <c r="B769" s="6" t="inlineStr">
        <is>
          <t>Patrícia Karla de Sousa Araújo</t>
        </is>
      </c>
      <c r="C769" s="3" t="inlineStr">
        <is>
          <t>Técnico II</t>
        </is>
      </c>
      <c r="D769" s="3" t="n">
        <v>0</v>
      </c>
      <c r="E769" s="3" t="n">
        <v>0</v>
      </c>
      <c r="F769" s="3" t="n">
        <v>0</v>
      </c>
      <c r="G769" s="3" t="n">
        <v>0</v>
      </c>
      <c r="H769" s="3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  <c r="M769" s="3" t="n">
        <v>0</v>
      </c>
      <c r="N769" s="3" t="n">
        <v>100</v>
      </c>
      <c r="O769" s="3" t="n">
        <v>16.89497716894977</v>
      </c>
    </row>
    <row r="770" hidden="1">
      <c r="A770" s="10" t="n">
        <v>46164</v>
      </c>
      <c r="B770" s="6" t="inlineStr">
        <is>
          <t>Alisson de Freitas Silva</t>
        </is>
      </c>
      <c r="C770" s="3" t="inlineStr">
        <is>
          <t>Técnico II</t>
        </is>
      </c>
      <c r="D770" s="3" t="n">
        <v>23</v>
      </c>
      <c r="E770" s="3" t="n">
        <v>15</v>
      </c>
      <c r="F770" s="3" t="n">
        <v>15.08</v>
      </c>
      <c r="G770" s="3" t="n">
        <v>1</v>
      </c>
      <c r="H770" s="3" t="n">
        <v>0</v>
      </c>
      <c r="I770" s="3">
        <f>E770+G770+H770</f>
        <v/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/>
      </c>
      <c r="K770" s="3">
        <f>I770-J770</f>
        <v/>
      </c>
      <c r="L770" s="3">
        <f>IF(K770&lt;-5,"CRÍTICO",IF(K770&lt;0,"ATENÇÃO",IF(K770&lt;=5,"OPORTUNO","MUITO BOM")))</f>
        <v/>
      </c>
      <c r="M770" s="3" t="n">
        <v>11</v>
      </c>
      <c r="N770" s="3" t="n">
        <v>98.94</v>
      </c>
      <c r="O770" s="3" t="n">
        <v>19.61414790996785</v>
      </c>
    </row>
    <row r="771" hidden="1">
      <c r="A771" s="10" t="n">
        <v>46164</v>
      </c>
      <c r="B771" s="6" t="inlineStr">
        <is>
          <t>Brenda de Menezes Silva</t>
        </is>
      </c>
      <c r="C771" s="3" t="inlineStr">
        <is>
          <t>Técnico II</t>
        </is>
      </c>
      <c r="D771" s="3" t="n">
        <v>30</v>
      </c>
      <c r="E771" s="3" t="n">
        <v>27</v>
      </c>
      <c r="F771" s="3" t="n">
        <v>9.15</v>
      </c>
      <c r="G771" s="3" t="n">
        <v>6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24</v>
      </c>
      <c r="N771" s="3" t="n">
        <v>99.13</v>
      </c>
      <c r="O771" s="3" t="n">
        <v>14.7239263803681</v>
      </c>
    </row>
    <row r="772" hidden="1">
      <c r="A772" s="10" t="n">
        <v>46164</v>
      </c>
      <c r="B772" s="6" t="inlineStr">
        <is>
          <t>Carlos Mateus Cassimiro Nunes</t>
        </is>
      </c>
      <c r="C772" s="3" t="inlineStr">
        <is>
          <t>Técnico II</t>
        </is>
      </c>
      <c r="D772" s="3" t="n">
        <v>13</v>
      </c>
      <c r="E772" s="3" t="n">
        <v>12</v>
      </c>
      <c r="F772" s="3" t="n">
        <v>16.53</v>
      </c>
      <c r="G772" s="3" t="n">
        <v>0</v>
      </c>
      <c r="H772" s="3" t="n">
        <v>0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IF(K772&lt;-5,"CRÍTICO",IF(K772&lt;0,"ATENÇÃO",IF(K772&lt;=5,"OPORTUNO","MUITO BOM")))</f>
        <v/>
      </c>
      <c r="M772" s="3" t="n">
        <v>12</v>
      </c>
      <c r="N772" s="3" t="n">
        <v>98.8</v>
      </c>
      <c r="O772" s="3" t="n">
        <v>16.89750692520776</v>
      </c>
    </row>
    <row r="773" hidden="1">
      <c r="A773" s="10" t="n">
        <v>46164</v>
      </c>
      <c r="B773" s="6" t="inlineStr">
        <is>
          <t>Damyllis Lorraine de Oliveira Gonçalves</t>
        </is>
      </c>
      <c r="C773" s="3" t="inlineStr">
        <is>
          <t>Técnico II</t>
        </is>
      </c>
      <c r="D773" s="3" t="n">
        <v>0</v>
      </c>
      <c r="E773" s="3" t="n">
        <v>0</v>
      </c>
      <c r="F773" s="3" t="n">
        <v>0</v>
      </c>
      <c r="G773" s="3" t="n">
        <v>0</v>
      </c>
      <c r="H773" s="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  <c r="M773" s="3" t="n">
        <v>0</v>
      </c>
      <c r="N773" s="3" t="n">
        <v>98.63</v>
      </c>
      <c r="O773" s="3" t="n">
        <v>18.75</v>
      </c>
    </row>
    <row r="774" hidden="1">
      <c r="A774" s="10" t="n">
        <v>46164</v>
      </c>
      <c r="B774" s="6" t="inlineStr">
        <is>
          <t>Emilly Kamilly Medeiros Miranda</t>
        </is>
      </c>
      <c r="C774" s="3" t="inlineStr">
        <is>
          <t>Técnico II</t>
        </is>
      </c>
      <c r="D774" s="3" t="n">
        <v>17</v>
      </c>
      <c r="E774" s="3" t="n">
        <v>14</v>
      </c>
      <c r="F774" s="3" t="n">
        <v>13.23</v>
      </c>
      <c r="G774" s="3" t="n">
        <v>1</v>
      </c>
      <c r="H774" s="3" t="n">
        <v>0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IF(K774&lt;-5,"CRÍTICO",IF(K774&lt;0,"ATENÇÃO",IF(K774&lt;=5,"OPORTUNO","MUITO BOM")))</f>
        <v/>
      </c>
      <c r="M774" s="3" t="n">
        <v>15</v>
      </c>
      <c r="N774" s="3" t="n">
        <v>100</v>
      </c>
      <c r="O774" s="3" t="n">
        <v>13.8121546961326</v>
      </c>
    </row>
    <row r="775" hidden="1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N775" t="n">
        <v>96.81</v>
      </c>
      <c r="O775" t="n">
        <v>27.98053527980535</v>
      </c>
    </row>
    <row r="776" hidden="1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N776" t="n">
        <v>98.73</v>
      </c>
      <c r="O776" t="n">
        <v>35.75638506876228</v>
      </c>
    </row>
    <row r="777" hidden="1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N777" t="n">
        <v>98.31999999999999</v>
      </c>
      <c r="O777" t="n">
        <v>26.76348547717842</v>
      </c>
    </row>
    <row r="778" hidden="1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N778" t="n">
        <v>99.19</v>
      </c>
      <c r="O778" t="n">
        <v>27.63713080168776</v>
      </c>
    </row>
    <row r="779" hidden="1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N779" t="n">
        <v>100</v>
      </c>
      <c r="O779" t="n">
        <v>39.56834532374101</v>
      </c>
    </row>
    <row r="780" hidden="1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N780" t="n">
        <v>98.54000000000001</v>
      </c>
      <c r="O780" t="n">
        <v>28.54477611940299</v>
      </c>
    </row>
    <row r="781" hidden="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N781" t="n">
        <v>100</v>
      </c>
      <c r="O781" t="n">
        <v>34.36692506459949</v>
      </c>
    </row>
    <row r="782" hidden="1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N782" t="n">
        <v>0</v>
      </c>
      <c r="O782" t="n">
        <v>0</v>
      </c>
    </row>
    <row r="783" hidden="1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N783" t="n">
        <v>100</v>
      </c>
      <c r="O783" t="n">
        <v>29.51807228915663</v>
      </c>
    </row>
    <row r="784" hidden="1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N784" t="n">
        <v>97.45</v>
      </c>
      <c r="O784" t="n">
        <v>41.421143847487</v>
      </c>
    </row>
    <row r="785" hidden="1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25</v>
      </c>
      <c r="E785" t="n">
        <v>16</v>
      </c>
      <c r="F785" t="n">
        <v>8.369999999999999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N785" t="n">
        <v>96.58</v>
      </c>
      <c r="O785" t="n">
        <v>30.39647577092511</v>
      </c>
    </row>
    <row r="786" hidden="1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N786" t="n">
        <v>100</v>
      </c>
      <c r="O786" t="n">
        <v>27.44282744282744</v>
      </c>
    </row>
    <row r="787" hidden="1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18</v>
      </c>
      <c r="E787" t="n">
        <v>16</v>
      </c>
      <c r="F787" t="n">
        <v>27.31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N787" t="n">
        <v>99.48999999999999</v>
      </c>
      <c r="O787" t="n">
        <v>40.2</v>
      </c>
    </row>
    <row r="788" hidden="1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N788" t="n">
        <v>100</v>
      </c>
      <c r="O788" t="n">
        <v>25</v>
      </c>
    </row>
    <row r="789" hidden="1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N789" t="n">
        <v>100</v>
      </c>
      <c r="O789" t="n">
        <v>34.15094339622641</v>
      </c>
    </row>
    <row r="790" hidden="1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N790" t="n">
        <v>100</v>
      </c>
      <c r="O790" t="n">
        <v>32.7313769751693</v>
      </c>
    </row>
    <row r="791" hidden="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N791" t="n">
        <v>99.31</v>
      </c>
      <c r="O791" t="n">
        <v>30.96234309623431</v>
      </c>
    </row>
    <row r="792" hidden="1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N792" t="n">
        <v>96.67</v>
      </c>
      <c r="O792" t="n">
        <v>31.45161290322581</v>
      </c>
    </row>
    <row r="793" hidden="1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N793" t="n">
        <v>100</v>
      </c>
      <c r="O793" t="n">
        <v>27.67676767676768</v>
      </c>
    </row>
    <row r="794" hidden="1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N794" t="n">
        <v>100</v>
      </c>
      <c r="O794" t="n">
        <v>31.17723156532988</v>
      </c>
    </row>
    <row r="795" hidden="1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N795" t="n">
        <v>100</v>
      </c>
      <c r="O795" t="n">
        <v>27.60942760942761</v>
      </c>
    </row>
    <row r="796" hidden="1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N796" t="n">
        <v>96.40000000000001</v>
      </c>
      <c r="O796" t="n">
        <v>28.76404494382023</v>
      </c>
    </row>
    <row r="797" hidden="1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N797" t="n">
        <v>100</v>
      </c>
      <c r="O797" t="n">
        <v>33.98058252427185</v>
      </c>
    </row>
    <row r="798" hidden="1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N798" t="n">
        <v>97.56</v>
      </c>
      <c r="O798" t="n">
        <v>32.51533742331289</v>
      </c>
    </row>
    <row r="799" hidden="1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N799" t="n">
        <v>97.11</v>
      </c>
      <c r="O799" t="n">
        <v>37.40831295843521</v>
      </c>
    </row>
    <row r="800" hidden="1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N800" t="n">
        <v>0</v>
      </c>
      <c r="O800" t="n">
        <v>0</v>
      </c>
    </row>
    <row r="801" hidden="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N801" t="n">
        <v>100</v>
      </c>
      <c r="O801" t="n">
        <v>30.47034764826176</v>
      </c>
    </row>
    <row r="802" hidden="1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N802" t="n">
        <v>100</v>
      </c>
      <c r="O802" t="n">
        <v>32.37113402061856</v>
      </c>
    </row>
    <row r="803" hidden="1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12</v>
      </c>
      <c r="E803" t="n">
        <v>12</v>
      </c>
      <c r="F803" t="n">
        <v>29.09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N803" t="n">
        <v>98.31999999999999</v>
      </c>
      <c r="O803" t="n">
        <v>32.31850117096019</v>
      </c>
    </row>
    <row r="804" hidden="1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N804" t="n">
        <v>96.43000000000001</v>
      </c>
      <c r="O804" t="n">
        <v>27.01525054466231</v>
      </c>
    </row>
    <row r="805" hidden="1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N805" t="n">
        <v>98.89</v>
      </c>
      <c r="O805" t="n">
        <v>28.02197802197802</v>
      </c>
    </row>
    <row r="806" hidden="1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N806" t="n">
        <v>100</v>
      </c>
      <c r="O806" t="n">
        <v>33.33333333333333</v>
      </c>
    </row>
    <row r="807" hidden="1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N807" t="n">
        <v>100</v>
      </c>
      <c r="O807" t="n">
        <v>27.43362831858407</v>
      </c>
    </row>
    <row r="808" hidden="1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N808" t="n">
        <v>98.65000000000001</v>
      </c>
      <c r="O808" t="n">
        <v>30.97826086956522</v>
      </c>
    </row>
    <row r="809" hidden="1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N809" t="n">
        <v>100</v>
      </c>
      <c r="O809" t="n">
        <v>12</v>
      </c>
    </row>
    <row r="810" hidden="1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N810" t="n">
        <v>0</v>
      </c>
      <c r="O810" t="n">
        <v>0</v>
      </c>
    </row>
    <row r="811" hidden="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N811" t="n">
        <v>97.56</v>
      </c>
      <c r="O811" t="n">
        <v>31.06796116504854</v>
      </c>
    </row>
    <row r="812" hidden="1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N812" t="n">
        <v>0</v>
      </c>
      <c r="O812" t="n">
        <v>0</v>
      </c>
    </row>
    <row r="813" hidden="1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N813" t="n">
        <v>0</v>
      </c>
      <c r="O813" t="n">
        <v>0</v>
      </c>
    </row>
    <row r="814" hidden="1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N814" t="n">
        <v>0</v>
      </c>
      <c r="O814" t="n">
        <v>0</v>
      </c>
    </row>
    <row r="815" hidden="1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N815" t="n">
        <v>100</v>
      </c>
      <c r="O815" t="n">
        <v>53.84615384615385</v>
      </c>
    </row>
    <row r="816" hidden="1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N816" t="n">
        <v>100</v>
      </c>
      <c r="O816" t="n">
        <v>44.05594405594406</v>
      </c>
    </row>
    <row r="817" hidden="1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N817" t="n">
        <v>100</v>
      </c>
      <c r="O817" t="n">
        <v>31.87250996015936</v>
      </c>
    </row>
    <row r="818" hidden="1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N818" t="n">
        <v>98.41</v>
      </c>
      <c r="O818" t="n">
        <v>29.22465208747515</v>
      </c>
    </row>
    <row r="819" hidden="1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N819" t="n">
        <v>96.81</v>
      </c>
      <c r="O819" t="n">
        <v>27.98053527980535</v>
      </c>
    </row>
    <row r="820" hidden="1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N820" t="n">
        <v>98.73</v>
      </c>
      <c r="O820" t="n">
        <v>35.75638506876228</v>
      </c>
    </row>
    <row r="821" hidden="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N821" t="n">
        <v>98.31999999999999</v>
      </c>
      <c r="O821" t="n">
        <v>26.76348547717842</v>
      </c>
    </row>
    <row r="822" hidden="1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N822" t="n">
        <v>99.19</v>
      </c>
      <c r="O822" t="n">
        <v>27.63713080168776</v>
      </c>
    </row>
    <row r="823" hidden="1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N823" t="n">
        <v>100</v>
      </c>
      <c r="O823" t="n">
        <v>39.56834532374101</v>
      </c>
    </row>
    <row r="824" hidden="1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N824" t="n">
        <v>98.54000000000001</v>
      </c>
      <c r="O824" t="n">
        <v>28.54477611940299</v>
      </c>
    </row>
    <row r="825" hidden="1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N825" t="n">
        <v>100</v>
      </c>
      <c r="O825" t="n">
        <v>34.36692506459949</v>
      </c>
    </row>
    <row r="826" hidden="1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N826" t="n">
        <v>0</v>
      </c>
      <c r="O826" t="n">
        <v>0</v>
      </c>
    </row>
    <row r="827" hidden="1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N827" t="n">
        <v>100</v>
      </c>
      <c r="O827" t="n">
        <v>29.51807228915663</v>
      </c>
    </row>
    <row r="828" hidden="1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N828" t="n">
        <v>97.45</v>
      </c>
      <c r="O828" t="n">
        <v>41.421143847487</v>
      </c>
    </row>
    <row r="829" hidden="1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33</v>
      </c>
      <c r="E829" t="n">
        <v>23</v>
      </c>
      <c r="F829" t="n">
        <v>13.36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N829" t="n">
        <v>96.58</v>
      </c>
      <c r="O829" t="n">
        <v>30.39647577092511</v>
      </c>
    </row>
    <row r="830" hidden="1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N830" t="n">
        <v>100</v>
      </c>
      <c r="O830" t="n">
        <v>27.44282744282744</v>
      </c>
    </row>
    <row r="831" hidden="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22</v>
      </c>
      <c r="E831" t="n">
        <v>22</v>
      </c>
      <c r="F831" t="n">
        <v>23.55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N831" t="n">
        <v>99.48999999999999</v>
      </c>
      <c r="O831" t="n">
        <v>40.2</v>
      </c>
    </row>
    <row r="832" hidden="1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N832" t="n">
        <v>100</v>
      </c>
      <c r="O832" t="n">
        <v>25</v>
      </c>
    </row>
    <row r="833" hidden="1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N833" t="n">
        <v>100</v>
      </c>
      <c r="O833" t="n">
        <v>34.15094339622641</v>
      </c>
    </row>
    <row r="834" hidden="1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N834" t="n">
        <v>100</v>
      </c>
      <c r="O834" t="n">
        <v>32.7313769751693</v>
      </c>
    </row>
    <row r="835" hidden="1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N835" t="n">
        <v>99.31</v>
      </c>
      <c r="O835" t="n">
        <v>30.96234309623431</v>
      </c>
    </row>
    <row r="836" hidden="1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N836" t="n">
        <v>96.67</v>
      </c>
      <c r="O836" t="n">
        <v>31.45161290322581</v>
      </c>
    </row>
    <row r="837" hidden="1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N837" t="n">
        <v>100</v>
      </c>
      <c r="O837" t="n">
        <v>27.67676767676768</v>
      </c>
    </row>
    <row r="838" hidden="1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N838" t="n">
        <v>100</v>
      </c>
      <c r="O838" t="n">
        <v>31.17723156532988</v>
      </c>
    </row>
    <row r="839" hidden="1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N839" t="n">
        <v>100</v>
      </c>
      <c r="O839" t="n">
        <v>27.60942760942761</v>
      </c>
    </row>
    <row r="840" hidden="1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N840" t="n">
        <v>96.40000000000001</v>
      </c>
      <c r="O840" t="n">
        <v>28.76404494382023</v>
      </c>
    </row>
    <row r="841" hidden="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N841" t="n">
        <v>100</v>
      </c>
      <c r="O841" t="n">
        <v>33.98058252427185</v>
      </c>
    </row>
    <row r="842" hidden="1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N842" t="n">
        <v>97.56</v>
      </c>
      <c r="O842" t="n">
        <v>32.51533742331289</v>
      </c>
    </row>
    <row r="843" hidden="1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N843" t="n">
        <v>97.11</v>
      </c>
      <c r="O843" t="n">
        <v>37.40831295843521</v>
      </c>
    </row>
    <row r="844" hidden="1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N844" t="n">
        <v>0</v>
      </c>
      <c r="O844" t="n">
        <v>0</v>
      </c>
    </row>
    <row r="845" hidden="1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N845" t="n">
        <v>100</v>
      </c>
      <c r="O845" t="n">
        <v>30.47034764826176</v>
      </c>
    </row>
    <row r="846" hidden="1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N846" t="n">
        <v>100</v>
      </c>
      <c r="O846" t="n">
        <v>32.37113402061856</v>
      </c>
    </row>
    <row r="847" hidden="1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28</v>
      </c>
      <c r="E847" t="n">
        <v>26</v>
      </c>
      <c r="F847" t="n">
        <v>17.28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N847" t="n">
        <v>98.31999999999999</v>
      </c>
      <c r="O847" t="n">
        <v>32.31850117096019</v>
      </c>
    </row>
    <row r="848" hidden="1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N848" t="n">
        <v>96.43000000000001</v>
      </c>
      <c r="O848" t="n">
        <v>27.01525054466231</v>
      </c>
    </row>
    <row r="849" hidden="1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N849" t="n">
        <v>98.89</v>
      </c>
      <c r="O849" t="n">
        <v>28.02197802197802</v>
      </c>
    </row>
    <row r="850" hidden="1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N850" t="n">
        <v>100</v>
      </c>
      <c r="O850" t="n">
        <v>33.33333333333333</v>
      </c>
    </row>
    <row r="851" hidden="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N851" t="n">
        <v>100</v>
      </c>
      <c r="O851" t="n">
        <v>27.43362831858407</v>
      </c>
    </row>
    <row r="852" hidden="1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N852" t="n">
        <v>98.65000000000001</v>
      </c>
      <c r="O852" t="n">
        <v>30.97826086956522</v>
      </c>
    </row>
    <row r="853" hidden="1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N853" t="n">
        <v>100</v>
      </c>
      <c r="O853" t="n">
        <v>12</v>
      </c>
    </row>
    <row r="854" hidden="1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N854" t="n">
        <v>0</v>
      </c>
      <c r="O854" t="n">
        <v>0</v>
      </c>
    </row>
    <row r="855" hidden="1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N855" t="n">
        <v>97.56</v>
      </c>
      <c r="O855" t="n">
        <v>31.06796116504854</v>
      </c>
    </row>
    <row r="856" hidden="1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N856" t="n">
        <v>0</v>
      </c>
      <c r="O856" t="n">
        <v>0</v>
      </c>
    </row>
    <row r="857" hidden="1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N857" t="n">
        <v>0</v>
      </c>
      <c r="O857" t="n">
        <v>0</v>
      </c>
    </row>
    <row r="858" hidden="1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N858" t="n">
        <v>0</v>
      </c>
      <c r="O858" t="n">
        <v>0</v>
      </c>
    </row>
    <row r="859" hidden="1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N859" t="n">
        <v>100</v>
      </c>
      <c r="O859" t="n">
        <v>53.84615384615385</v>
      </c>
    </row>
    <row r="860" hidden="1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N860" t="n">
        <v>100</v>
      </c>
      <c r="O860" t="n">
        <v>44.05594405594406</v>
      </c>
    </row>
    <row r="861" hidden="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N861" t="n">
        <v>100</v>
      </c>
      <c r="O861" t="n">
        <v>31.87250996015936</v>
      </c>
    </row>
    <row r="862" hidden="1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N862" t="n">
        <v>98.41</v>
      </c>
      <c r="O862" t="n">
        <v>29.22465208747515</v>
      </c>
    </row>
    <row r="863" hidden="1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M863" t="n">
        <v>17</v>
      </c>
      <c r="N863" t="n">
        <v>100</v>
      </c>
      <c r="O863" t="n">
        <v>28.57142857142857</v>
      </c>
    </row>
    <row r="864" hidden="1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M864" t="n">
        <v>30</v>
      </c>
      <c r="N864" t="n">
        <v>100</v>
      </c>
      <c r="O864" t="n">
        <v>25</v>
      </c>
    </row>
    <row r="865" hidden="1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t="n">
        <v>33</v>
      </c>
      <c r="N865" t="n">
        <v>100</v>
      </c>
      <c r="O865" t="n">
        <v>26.25</v>
      </c>
    </row>
    <row r="866" hidden="1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t="n">
        <v>34</v>
      </c>
      <c r="N866" t="n">
        <v>100</v>
      </c>
      <c r="O866" t="n">
        <v>29.48717948717949</v>
      </c>
    </row>
    <row r="867" hidden="1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M867" t="n">
        <v>8</v>
      </c>
      <c r="N867" t="n">
        <v>100</v>
      </c>
      <c r="O867" t="n">
        <v>41.17647058823529</v>
      </c>
    </row>
    <row r="868" hidden="1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t="n">
        <v>26</v>
      </c>
      <c r="N868" t="n">
        <v>100</v>
      </c>
      <c r="O868" t="n">
        <v>26.66666666666667</v>
      </c>
    </row>
    <row r="869" hidden="1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M869" t="n">
        <v>6</v>
      </c>
      <c r="N869" t="n">
        <v>100</v>
      </c>
      <c r="O869" t="n">
        <v>37.73584905660378</v>
      </c>
    </row>
    <row r="870" hidden="1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M870" t="n">
        <v>0</v>
      </c>
      <c r="N870" t="n">
        <v>0</v>
      </c>
      <c r="O870" t="n">
        <v>0</v>
      </c>
    </row>
    <row r="871" hidden="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t="n">
        <v>20</v>
      </c>
      <c r="N871" t="n">
        <v>100</v>
      </c>
      <c r="O871" t="n">
        <v>40.54054054054054</v>
      </c>
    </row>
    <row r="872" hidden="1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M872" t="n">
        <v>38</v>
      </c>
      <c r="N872" t="n">
        <v>100</v>
      </c>
      <c r="O872" t="n">
        <v>34.21052631578947</v>
      </c>
    </row>
    <row r="873" hidden="1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29</v>
      </c>
      <c r="E873" t="n">
        <v>25</v>
      </c>
      <c r="F873" t="n">
        <v>19.06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M873" t="n">
        <v>27</v>
      </c>
      <c r="N873" t="n">
        <v>91.67</v>
      </c>
      <c r="O873" t="n">
        <v>36.92307692307693</v>
      </c>
    </row>
    <row r="874" hidden="1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M874" t="n">
        <v>24</v>
      </c>
      <c r="N874" t="n">
        <v>100</v>
      </c>
      <c r="O874" t="n">
        <v>22.22222222222222</v>
      </c>
    </row>
    <row r="875" hidden="1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27</v>
      </c>
      <c r="E875" t="n">
        <v>26</v>
      </c>
      <c r="F875" t="n">
        <v>26.51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M875" t="n">
        <v>27</v>
      </c>
      <c r="N875" t="n">
        <v>100</v>
      </c>
      <c r="O875" t="n">
        <v>37.3134328358209</v>
      </c>
    </row>
    <row r="876" hidden="1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M876" t="n">
        <v>0</v>
      </c>
      <c r="N876" t="n">
        <v>0</v>
      </c>
      <c r="O876" t="n">
        <v>0</v>
      </c>
    </row>
    <row r="877" hidden="1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t="n">
        <v>27</v>
      </c>
      <c r="N877" t="n">
        <v>100</v>
      </c>
      <c r="O877" t="n">
        <v>25.88235294117647</v>
      </c>
    </row>
    <row r="878" hidden="1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t="n">
        <v>15</v>
      </c>
      <c r="N878" t="n">
        <v>100</v>
      </c>
      <c r="O878" t="n">
        <v>28.33333333333333</v>
      </c>
    </row>
    <row r="879" hidden="1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t="n">
        <v>38</v>
      </c>
      <c r="N879" t="n">
        <v>100</v>
      </c>
      <c r="O879" t="n">
        <v>36.04651162790697</v>
      </c>
    </row>
    <row r="880" hidden="1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M880" t="n">
        <v>0</v>
      </c>
      <c r="N880" t="n">
        <v>96.43000000000001</v>
      </c>
      <c r="O880" t="n">
        <v>31.46853146853147</v>
      </c>
    </row>
    <row r="881" hidden="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t="n">
        <v>20</v>
      </c>
      <c r="N881" t="n">
        <v>100</v>
      </c>
      <c r="O881" t="n">
        <v>32.30769230769231</v>
      </c>
    </row>
    <row r="882" hidden="1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M882" t="n">
        <v>49</v>
      </c>
      <c r="N882" t="n">
        <v>100</v>
      </c>
      <c r="O882" t="n">
        <v>30.32786885245902</v>
      </c>
    </row>
    <row r="883" hidden="1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t="n">
        <v>38</v>
      </c>
      <c r="N883" t="n">
        <v>100</v>
      </c>
      <c r="O883" t="n">
        <v>28.8135593220339</v>
      </c>
    </row>
    <row r="884" hidden="1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M884" t="n">
        <v>28</v>
      </c>
      <c r="N884" t="n">
        <v>100</v>
      </c>
      <c r="O884" t="n">
        <v>24.35897435897436</v>
      </c>
    </row>
    <row r="885" hidden="1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M885" t="n">
        <v>26</v>
      </c>
      <c r="N885" t="n">
        <v>100</v>
      </c>
      <c r="O885" t="n">
        <v>38.29787234042553</v>
      </c>
    </row>
    <row r="886" hidden="1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M886" t="n">
        <v>3</v>
      </c>
      <c r="N886" t="n">
        <v>100</v>
      </c>
      <c r="O886" t="n">
        <v>33.33333333333333</v>
      </c>
    </row>
    <row r="887" hidden="1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M887" t="n">
        <v>46</v>
      </c>
      <c r="N887" t="n">
        <v>93.09999999999999</v>
      </c>
      <c r="O887" t="n">
        <v>56.75675675675676</v>
      </c>
    </row>
    <row r="888" hidden="1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M888" t="n">
        <v>0</v>
      </c>
      <c r="N888" t="n">
        <v>0</v>
      </c>
      <c r="O888" t="n">
        <v>0</v>
      </c>
    </row>
    <row r="889" hidden="1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t="n">
        <v>37</v>
      </c>
      <c r="N889" t="n">
        <v>100</v>
      </c>
      <c r="O889" t="n">
        <v>27.41935483870968</v>
      </c>
    </row>
    <row r="890" hidden="1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M890" t="n">
        <v>28</v>
      </c>
      <c r="N890" t="n">
        <v>100</v>
      </c>
      <c r="O890" t="n">
        <v>29.16666666666667</v>
      </c>
    </row>
    <row r="891" hidden="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33</v>
      </c>
      <c r="E891" t="n">
        <v>32</v>
      </c>
      <c r="F891" t="n">
        <v>17.16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M891" t="n">
        <v>26</v>
      </c>
      <c r="N891" t="n">
        <v>100</v>
      </c>
      <c r="O891" t="n">
        <v>22.58064516129032</v>
      </c>
    </row>
    <row r="892" hidden="1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M892" t="n">
        <v>13</v>
      </c>
      <c r="N892" t="n">
        <v>87.5</v>
      </c>
      <c r="O892" t="n">
        <v>35.71428571428572</v>
      </c>
    </row>
    <row r="893" hidden="1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t="n">
        <v>19</v>
      </c>
      <c r="N893" t="n">
        <v>100</v>
      </c>
      <c r="O893" t="n">
        <v>21.875</v>
      </c>
    </row>
    <row r="894" hidden="1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M894" t="n">
        <v>8</v>
      </c>
      <c r="N894" t="n">
        <v>100</v>
      </c>
      <c r="O894" t="n">
        <v>41.17647058823529</v>
      </c>
    </row>
    <row r="895" hidden="1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M895" t="n">
        <v>0</v>
      </c>
      <c r="N895" t="n">
        <v>100</v>
      </c>
      <c r="O895" t="n">
        <v>0</v>
      </c>
    </row>
    <row r="896" hidden="1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M896" t="n">
        <v>45</v>
      </c>
      <c r="N896" t="n">
        <v>100</v>
      </c>
      <c r="O896" t="n">
        <v>32.46753246753246</v>
      </c>
    </row>
    <row r="897" hidden="1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t="n">
        <v>0</v>
      </c>
      <c r="N897" t="n">
        <v>0</v>
      </c>
      <c r="O897" t="n">
        <v>0</v>
      </c>
    </row>
    <row r="898" hidden="1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t="n">
        <v>0</v>
      </c>
      <c r="N898" t="n">
        <v>0</v>
      </c>
      <c r="O898" t="n">
        <v>0</v>
      </c>
    </row>
    <row r="899" hidden="1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t="n">
        <v>0</v>
      </c>
      <c r="N899" t="n">
        <v>100</v>
      </c>
      <c r="O899" t="n">
        <v>0</v>
      </c>
    </row>
    <row r="900" hidden="1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t="n">
        <v>0</v>
      </c>
      <c r="N900" t="n">
        <v>0</v>
      </c>
      <c r="O900" t="n">
        <v>0</v>
      </c>
    </row>
    <row r="901" hidden="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t="n">
        <v>0</v>
      </c>
      <c r="N901" t="n">
        <v>0</v>
      </c>
      <c r="O901" t="n">
        <v>0</v>
      </c>
    </row>
    <row r="902" hidden="1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M902" t="n">
        <v>0</v>
      </c>
      <c r="N902" t="n">
        <v>0</v>
      </c>
      <c r="O902" t="n">
        <v>0</v>
      </c>
    </row>
    <row r="903" hidden="1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M903" t="n">
        <v>0</v>
      </c>
      <c r="N903" t="n">
        <v>0</v>
      </c>
      <c r="O903" t="n">
        <v>0</v>
      </c>
    </row>
    <row r="904" hidden="1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M904" t="n">
        <v>0</v>
      </c>
      <c r="N904" t="n">
        <v>0</v>
      </c>
      <c r="O904" t="n">
        <v>0</v>
      </c>
    </row>
    <row r="905" hidden="1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M905" t="n">
        <v>12</v>
      </c>
      <c r="N905" t="n">
        <v>100</v>
      </c>
      <c r="O905" t="n">
        <v>33.33333333333333</v>
      </c>
    </row>
    <row r="906" hidden="1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t="n">
        <v>25</v>
      </c>
      <c r="N906" t="n">
        <v>100</v>
      </c>
      <c r="O906" t="n">
        <v>26.02739726027397</v>
      </c>
    </row>
    <row r="907" hidden="1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M907" t="n">
        <v>19</v>
      </c>
      <c r="N907" t="n">
        <v>100</v>
      </c>
      <c r="O907" t="n">
        <v>29.33333333333333</v>
      </c>
    </row>
    <row r="908" hidden="1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M908" t="n">
        <v>26</v>
      </c>
      <c r="N908" t="n">
        <v>95.23999999999999</v>
      </c>
      <c r="O908" t="n">
        <v>29.7029702970297</v>
      </c>
    </row>
    <row r="909" hidden="1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t="n">
        <v>24</v>
      </c>
      <c r="N909" t="n">
        <v>100</v>
      </c>
      <c r="O909" t="n">
        <v>25.96153846153846</v>
      </c>
    </row>
    <row r="910" hidden="1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t="n">
        <v>28</v>
      </c>
      <c r="N910" t="n">
        <v>100</v>
      </c>
      <c r="O910" t="n">
        <v>31.13207547169811</v>
      </c>
    </row>
    <row r="911" hidden="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M911" t="n">
        <v>13</v>
      </c>
      <c r="N911" t="n">
        <v>100</v>
      </c>
      <c r="O911" t="n">
        <v>46.66666666666666</v>
      </c>
    </row>
    <row r="912" hidden="1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t="n">
        <v>26</v>
      </c>
      <c r="N912" t="n">
        <v>100</v>
      </c>
      <c r="O912" t="n">
        <v>26.73267326732674</v>
      </c>
    </row>
    <row r="913" hidden="1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M913" t="n">
        <v>20</v>
      </c>
      <c r="N913" t="n">
        <v>100</v>
      </c>
      <c r="O913" t="n">
        <v>35.61643835616438</v>
      </c>
    </row>
    <row r="914" hidden="1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M914" t="n">
        <v>0</v>
      </c>
      <c r="N914" t="n">
        <v>0</v>
      </c>
      <c r="O914" t="n">
        <v>0</v>
      </c>
    </row>
    <row r="915" hidden="1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t="n">
        <v>14</v>
      </c>
      <c r="N915" t="n">
        <v>100</v>
      </c>
      <c r="O915" t="n">
        <v>41.17647058823529</v>
      </c>
    </row>
    <row r="916" hidden="1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M916" t="n">
        <v>42</v>
      </c>
      <c r="N916" t="n">
        <v>94.44</v>
      </c>
      <c r="O916" t="n">
        <v>32.20338983050847</v>
      </c>
    </row>
    <row r="917" hidden="1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37</v>
      </c>
      <c r="E917" t="n">
        <v>33</v>
      </c>
      <c r="F917" t="n">
        <v>15.37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M917" t="n">
        <v>26</v>
      </c>
      <c r="N917" t="n">
        <v>94.44</v>
      </c>
      <c r="O917" t="n">
        <v>37.36263736263736</v>
      </c>
    </row>
    <row r="918" hidden="1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M918" t="n">
        <v>25</v>
      </c>
      <c r="N918" t="n">
        <v>100</v>
      </c>
      <c r="O918" t="n">
        <v>32.95454545454545</v>
      </c>
    </row>
    <row r="919" hidden="1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34</v>
      </c>
      <c r="E919" t="n">
        <v>33</v>
      </c>
      <c r="F919" t="n">
        <v>21.41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M919" t="n">
        <v>33</v>
      </c>
      <c r="N919" t="n">
        <v>100</v>
      </c>
      <c r="O919" t="n">
        <v>40</v>
      </c>
    </row>
    <row r="920" hidden="1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M920" t="n">
        <v>0</v>
      </c>
      <c r="N920" t="n">
        <v>0</v>
      </c>
      <c r="O920" t="n">
        <v>0</v>
      </c>
    </row>
    <row r="921" hidden="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t="n">
        <v>27</v>
      </c>
      <c r="N921" t="n">
        <v>100</v>
      </c>
      <c r="O921" t="n">
        <v>25.89285714285715</v>
      </c>
    </row>
    <row r="922" hidden="1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t="n">
        <v>32</v>
      </c>
      <c r="N922" t="n">
        <v>100</v>
      </c>
      <c r="O922" t="n">
        <v>30.43478260869566</v>
      </c>
    </row>
    <row r="923" hidden="1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t="n">
        <v>29</v>
      </c>
      <c r="N923" t="n">
        <v>100</v>
      </c>
      <c r="O923" t="n">
        <v>36.52173913043478</v>
      </c>
    </row>
    <row r="924" hidden="1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N924" t="n">
        <v>96.67</v>
      </c>
      <c r="O924" t="n">
        <v>31.45161290322581</v>
      </c>
    </row>
    <row r="925" hidden="1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t="n">
        <v>27</v>
      </c>
      <c r="N925" t="n">
        <v>100</v>
      </c>
      <c r="O925" t="n">
        <v>33.69565217391305</v>
      </c>
    </row>
    <row r="926" hidden="1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M926" t="n">
        <v>51</v>
      </c>
      <c r="N926" t="n">
        <v>100</v>
      </c>
      <c r="O926" t="n">
        <v>29.06976744186047</v>
      </c>
    </row>
    <row r="927" hidden="1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t="n">
        <v>24</v>
      </c>
      <c r="N927" t="n">
        <v>100</v>
      </c>
      <c r="O927" t="n">
        <v>26.50602409638554</v>
      </c>
    </row>
    <row r="928" hidden="1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M928" t="n">
        <v>26</v>
      </c>
      <c r="N928" t="n">
        <v>93.33</v>
      </c>
      <c r="O928" t="n">
        <v>25.96153846153846</v>
      </c>
    </row>
    <row r="929" hidden="1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M929" t="n">
        <v>28</v>
      </c>
      <c r="N929" t="n">
        <v>100</v>
      </c>
      <c r="O929" t="n">
        <v>36.48648648648648</v>
      </c>
    </row>
    <row r="930" hidden="1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t="n">
        <v>7</v>
      </c>
      <c r="N930" t="n">
        <v>100</v>
      </c>
      <c r="O930" t="n">
        <v>36.36363636363637</v>
      </c>
    </row>
    <row r="931" hidden="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M931" t="n">
        <v>15</v>
      </c>
      <c r="N931" t="n">
        <v>94.12</v>
      </c>
      <c r="O931" t="n">
        <v>55.17241379310344</v>
      </c>
    </row>
    <row r="932" hidden="1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M932" t="n">
        <v>0</v>
      </c>
      <c r="N932" t="n">
        <v>0</v>
      </c>
      <c r="O932" t="n">
        <v>0</v>
      </c>
    </row>
    <row r="933" hidden="1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t="n">
        <v>33</v>
      </c>
      <c r="N933" t="n">
        <v>100</v>
      </c>
      <c r="O933" t="n">
        <v>25.26315789473684</v>
      </c>
    </row>
    <row r="934" hidden="1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M934" t="n">
        <v>23</v>
      </c>
      <c r="N934" t="n">
        <v>100</v>
      </c>
      <c r="O934" t="n">
        <v>31.91489361702128</v>
      </c>
    </row>
    <row r="935" hidden="1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21</v>
      </c>
      <c r="E935" t="n">
        <v>21</v>
      </c>
      <c r="F935" t="n">
        <v>20.1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M935" t="n">
        <v>18</v>
      </c>
      <c r="N935" t="n">
        <v>100</v>
      </c>
      <c r="O935" t="n">
        <v>25</v>
      </c>
    </row>
    <row r="936" hidden="1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M936" t="n">
        <v>39</v>
      </c>
      <c r="N936" t="n">
        <v>90.91</v>
      </c>
      <c r="O936" t="n">
        <v>28.44036697247707</v>
      </c>
    </row>
    <row r="937" hidden="1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t="n">
        <v>22</v>
      </c>
      <c r="N937" t="n">
        <v>100</v>
      </c>
      <c r="O937" t="n">
        <v>20.93023255813954</v>
      </c>
    </row>
    <row r="938" hidden="1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M938" t="n">
        <v>14</v>
      </c>
      <c r="N938" t="n">
        <v>100</v>
      </c>
      <c r="O938" t="n">
        <v>35.48387096774194</v>
      </c>
    </row>
    <row r="939" hidden="1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M939" t="n">
        <v>0</v>
      </c>
      <c r="N939" t="n">
        <v>100</v>
      </c>
      <c r="O939" t="n">
        <v>0</v>
      </c>
    </row>
    <row r="940" hidden="1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M940" t="n">
        <v>27</v>
      </c>
      <c r="N940" t="n">
        <v>100</v>
      </c>
      <c r="O940" t="n">
        <v>32.69230769230769</v>
      </c>
    </row>
    <row r="941" hidden="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t="n">
        <v>0</v>
      </c>
      <c r="N941" t="n">
        <v>0</v>
      </c>
      <c r="O941" t="n">
        <v>0</v>
      </c>
    </row>
    <row r="942" hidden="1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t="n">
        <v>0</v>
      </c>
      <c r="N942" t="n">
        <v>0</v>
      </c>
      <c r="O942" t="n">
        <v>0</v>
      </c>
    </row>
    <row r="943" hidden="1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t="n">
        <v>0</v>
      </c>
      <c r="N943" t="n">
        <v>100</v>
      </c>
      <c r="O943" t="n">
        <v>0</v>
      </c>
    </row>
    <row r="944" hidden="1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t="n">
        <v>0</v>
      </c>
      <c r="N944" t="n">
        <v>0</v>
      </c>
      <c r="O944" t="n">
        <v>0</v>
      </c>
    </row>
    <row r="945" hidden="1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t="n">
        <v>0</v>
      </c>
      <c r="N945" t="n">
        <v>0</v>
      </c>
      <c r="O945" t="n">
        <v>0</v>
      </c>
    </row>
    <row r="946" hidden="1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M946" t="n">
        <v>0</v>
      </c>
      <c r="N946" t="n">
        <v>0</v>
      </c>
      <c r="O946" t="n">
        <v>0</v>
      </c>
    </row>
    <row r="947" hidden="1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M947" t="n">
        <v>0</v>
      </c>
      <c r="N947" t="n">
        <v>0</v>
      </c>
      <c r="O947" t="n">
        <v>0</v>
      </c>
    </row>
    <row r="948" hidden="1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M948" t="n">
        <v>0</v>
      </c>
      <c r="N948" t="n">
        <v>0</v>
      </c>
      <c r="O948" t="n">
        <v>0</v>
      </c>
    </row>
    <row r="949" hidden="1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M949" t="n">
        <v>16</v>
      </c>
      <c r="N949" t="n">
        <v>100</v>
      </c>
      <c r="O949" t="n">
        <v>34.78260869565217</v>
      </c>
    </row>
    <row r="950" hidden="1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t="n">
        <v>23</v>
      </c>
      <c r="N950" t="n">
        <v>100</v>
      </c>
      <c r="O950" t="n">
        <v>27.08333333333333</v>
      </c>
    </row>
    <row r="951" hidden="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M951" t="n">
        <v>21</v>
      </c>
      <c r="N951" t="n">
        <v>100</v>
      </c>
      <c r="O951" t="n">
        <v>27.08333333333333</v>
      </c>
    </row>
    <row r="952" hidden="1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M952" t="n">
        <v>23</v>
      </c>
      <c r="N952" t="n">
        <v>96.3</v>
      </c>
      <c r="O952" t="n">
        <v>26.61290322580645</v>
      </c>
    </row>
    <row r="953" hidden="1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M953" t="n">
        <v>17</v>
      </c>
      <c r="N953" t="n">
        <v>100</v>
      </c>
      <c r="O953" t="n">
        <v>28.92561983471074</v>
      </c>
    </row>
    <row r="954" hidden="1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M954" t="n">
        <v>36</v>
      </c>
      <c r="N954" t="n">
        <v>100</v>
      </c>
      <c r="O954" t="n">
        <v>31.69014084507042</v>
      </c>
    </row>
    <row r="955" hidden="1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M955" t="n">
        <v>7</v>
      </c>
      <c r="N955" t="n">
        <v>100</v>
      </c>
      <c r="O955" t="n">
        <v>45.94594594594595</v>
      </c>
    </row>
    <row r="956" hidden="1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M956" t="n">
        <v>31</v>
      </c>
      <c r="N956" t="n">
        <v>100</v>
      </c>
      <c r="O956" t="n">
        <v>25</v>
      </c>
    </row>
    <row r="957" hidden="1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M957" t="n">
        <v>16</v>
      </c>
      <c r="N957" t="n">
        <v>100</v>
      </c>
      <c r="O957" t="n">
        <v>34.83146067415731</v>
      </c>
    </row>
    <row r="958" hidden="1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M958" t="n">
        <v>0</v>
      </c>
      <c r="N958" t="n">
        <v>0</v>
      </c>
      <c r="O958" t="n">
        <v>0</v>
      </c>
    </row>
    <row r="959" hidden="1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M959" t="n">
        <v>22</v>
      </c>
      <c r="N959" t="n">
        <v>100</v>
      </c>
      <c r="O959" t="n">
        <v>32.87671232876712</v>
      </c>
    </row>
    <row r="960" hidden="1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M960" t="n">
        <v>29</v>
      </c>
      <c r="N960" t="n">
        <v>96.88</v>
      </c>
      <c r="O960" t="n">
        <v>36.73469387755102</v>
      </c>
    </row>
    <row r="961" hidden="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33</v>
      </c>
      <c r="E961" t="n">
        <v>28</v>
      </c>
      <c r="F961" t="n">
        <v>17.26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M961" t="n">
        <v>23</v>
      </c>
      <c r="N961" t="n">
        <v>95.45</v>
      </c>
      <c r="O961" t="n">
        <v>36.84210526315789</v>
      </c>
    </row>
    <row r="962" hidden="1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M962" t="n">
        <v>22</v>
      </c>
      <c r="N962" t="n">
        <v>100</v>
      </c>
      <c r="O962" t="n">
        <v>32.72727272727273</v>
      </c>
    </row>
    <row r="963" hidden="1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29</v>
      </c>
      <c r="E963" t="n">
        <v>28</v>
      </c>
      <c r="F963" t="n">
        <v>26.59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M963" t="n">
        <v>28</v>
      </c>
      <c r="N963" t="n">
        <v>100</v>
      </c>
      <c r="O963" t="n">
        <v>41.40625</v>
      </c>
    </row>
    <row r="964" hidden="1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M964" t="n">
        <v>0</v>
      </c>
      <c r="N964" t="n">
        <v>0</v>
      </c>
      <c r="O964" t="n">
        <v>0</v>
      </c>
    </row>
    <row r="965" hidden="1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M965" t="n">
        <v>26</v>
      </c>
      <c r="N965" t="n">
        <v>100</v>
      </c>
      <c r="O965" t="n">
        <v>27.53623188405797</v>
      </c>
    </row>
    <row r="966" hidden="1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M966" t="n">
        <v>17</v>
      </c>
      <c r="N966" t="n">
        <v>100</v>
      </c>
      <c r="O966" t="n">
        <v>29.35779816513762</v>
      </c>
    </row>
    <row r="967" hidden="1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M967" t="n">
        <v>32</v>
      </c>
      <c r="N967" t="n">
        <v>100</v>
      </c>
      <c r="O967" t="n">
        <v>33.33333333333333</v>
      </c>
    </row>
    <row r="968" hidden="1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M968" t="n">
        <v>28</v>
      </c>
      <c r="N968" t="n">
        <v>95.83</v>
      </c>
      <c r="O968" t="n">
        <v>34.17085427135678</v>
      </c>
    </row>
    <row r="969" hidden="1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M969" t="n">
        <v>28</v>
      </c>
      <c r="N969" t="n">
        <v>100</v>
      </c>
      <c r="O969" t="n">
        <v>28.33333333333333</v>
      </c>
    </row>
    <row r="970" hidden="1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M970" t="n">
        <v>42</v>
      </c>
      <c r="N970" t="n">
        <v>100</v>
      </c>
      <c r="O970" t="n">
        <v>29.4392523364486</v>
      </c>
    </row>
    <row r="971" hidden="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M971" t="n">
        <v>16</v>
      </c>
      <c r="N971" t="n">
        <v>100</v>
      </c>
      <c r="O971" t="n">
        <v>28.28282828282828</v>
      </c>
    </row>
    <row r="972" hidden="1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M972" t="n">
        <v>22</v>
      </c>
      <c r="N972" t="n">
        <v>94.12</v>
      </c>
      <c r="O972" t="n">
        <v>23.80952380952381</v>
      </c>
    </row>
    <row r="973" hidden="1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M973" t="n">
        <v>25</v>
      </c>
      <c r="N973" t="n">
        <v>100</v>
      </c>
      <c r="O973" t="n">
        <v>37.37373737373738</v>
      </c>
    </row>
    <row r="974" hidden="1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M974" t="n">
        <v>8</v>
      </c>
      <c r="N974" t="n">
        <v>100</v>
      </c>
      <c r="O974" t="n">
        <v>36.66666666666666</v>
      </c>
    </row>
    <row r="975" hidden="1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M975" t="n">
        <v>21</v>
      </c>
      <c r="N975" t="n">
        <v>95.34999999999999</v>
      </c>
      <c r="O975" t="n">
        <v>50.92592592592593</v>
      </c>
    </row>
    <row r="976" hidden="1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M976" t="n">
        <v>0</v>
      </c>
      <c r="N976" t="n">
        <v>0</v>
      </c>
      <c r="O976" t="n">
        <v>0</v>
      </c>
    </row>
    <row r="977" hidden="1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M977" t="n">
        <v>31</v>
      </c>
      <c r="N977" t="n">
        <v>100</v>
      </c>
      <c r="O977" t="n">
        <v>24.6031746031746</v>
      </c>
    </row>
    <row r="978" hidden="1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M978" t="n">
        <v>18</v>
      </c>
      <c r="N978" t="n">
        <v>100</v>
      </c>
      <c r="O978" t="n">
        <v>33.03571428571428</v>
      </c>
    </row>
    <row r="979" hidden="1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28</v>
      </c>
      <c r="E979" t="n">
        <v>27</v>
      </c>
      <c r="F979" t="n">
        <v>20.25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M979" t="n">
        <v>20</v>
      </c>
      <c r="N979" t="n">
        <v>100</v>
      </c>
      <c r="O979" t="n">
        <v>29</v>
      </c>
    </row>
    <row r="980" hidden="1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M980" t="n">
        <v>29</v>
      </c>
      <c r="N980" t="n">
        <v>93.75</v>
      </c>
      <c r="O980" t="n">
        <v>27.53623188405797</v>
      </c>
    </row>
    <row r="981" hidden="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M981" t="n">
        <v>16</v>
      </c>
      <c r="N981" t="n">
        <v>100</v>
      </c>
      <c r="O981" t="n">
        <v>24.50980392156863</v>
      </c>
    </row>
    <row r="982" hidden="1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M982" t="n">
        <v>10</v>
      </c>
      <c r="N982" t="n">
        <v>100</v>
      </c>
      <c r="O982" t="n">
        <v>31.70731707317073</v>
      </c>
    </row>
    <row r="983" hidden="1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M983" t="n">
        <v>0</v>
      </c>
      <c r="N983" t="n">
        <v>100</v>
      </c>
      <c r="O983" t="n">
        <v>0</v>
      </c>
    </row>
    <row r="984" hidden="1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M984" t="n">
        <v>24</v>
      </c>
      <c r="N984" t="n">
        <v>100</v>
      </c>
      <c r="O984" t="n">
        <v>33.59375</v>
      </c>
    </row>
    <row r="985" hidden="1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M985" t="n">
        <v>0</v>
      </c>
      <c r="N985" t="n">
        <v>0</v>
      </c>
      <c r="O985" t="n">
        <v>0</v>
      </c>
    </row>
    <row r="986" hidden="1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M986" t="n">
        <v>0</v>
      </c>
      <c r="N986" t="n">
        <v>0</v>
      </c>
      <c r="O986" t="n">
        <v>0</v>
      </c>
    </row>
    <row r="987" hidden="1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M987" t="n">
        <v>0</v>
      </c>
      <c r="N987" t="n">
        <v>100</v>
      </c>
      <c r="O987" t="n">
        <v>0</v>
      </c>
    </row>
    <row r="988" hidden="1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M988" t="n">
        <v>0</v>
      </c>
      <c r="N988" t="n">
        <v>0</v>
      </c>
      <c r="O988" t="n">
        <v>0</v>
      </c>
    </row>
    <row r="989" hidden="1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M989" t="n">
        <v>0</v>
      </c>
      <c r="N989" t="n">
        <v>0</v>
      </c>
      <c r="O989" t="n">
        <v>0</v>
      </c>
    </row>
    <row r="990" hidden="1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M990" t="n">
        <v>0</v>
      </c>
      <c r="N990" t="n">
        <v>0</v>
      </c>
      <c r="O990" t="n">
        <v>0</v>
      </c>
    </row>
    <row r="991" hidden="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M991" t="n">
        <v>0</v>
      </c>
      <c r="N991" t="n">
        <v>0</v>
      </c>
      <c r="O991" t="n">
        <v>0</v>
      </c>
    </row>
    <row r="992" hidden="1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M992" t="n">
        <v>0</v>
      </c>
      <c r="N992" t="n">
        <v>0</v>
      </c>
      <c r="O992" t="n">
        <v>0</v>
      </c>
    </row>
    <row r="993" hidden="1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M993" t="n">
        <v>8</v>
      </c>
      <c r="N993" t="n">
        <v>100</v>
      </c>
      <c r="O993" t="n">
        <v>37.03703703703704</v>
      </c>
    </row>
    <row r="994" hidden="1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M994" t="n">
        <v>24</v>
      </c>
      <c r="N994" t="n">
        <v>100</v>
      </c>
      <c r="O994" t="n">
        <v>26.66666666666667</v>
      </c>
    </row>
    <row r="995" hidden="1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M995" t="n">
        <v>10</v>
      </c>
      <c r="N995" t="n">
        <v>100</v>
      </c>
      <c r="O995" t="n">
        <v>26.41509433962264</v>
      </c>
    </row>
    <row r="996" hidden="1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M996" t="n">
        <v>28</v>
      </c>
      <c r="N996" t="n">
        <v>96.55</v>
      </c>
      <c r="O996" t="n">
        <v>26.31578947368421</v>
      </c>
    </row>
    <row r="997" hidden="1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M997" t="n">
        <v>25</v>
      </c>
      <c r="N997" t="n">
        <v>100</v>
      </c>
      <c r="O997" t="n">
        <v>26.02739726027397</v>
      </c>
    </row>
    <row r="998" hidden="1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M998" t="n">
        <v>22</v>
      </c>
      <c r="N998" t="n">
        <v>100</v>
      </c>
      <c r="O998" t="n">
        <v>31.70731707317073</v>
      </c>
    </row>
    <row r="999" hidden="1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M999" t="n">
        <v>9</v>
      </c>
      <c r="N999" t="n">
        <v>100</v>
      </c>
      <c r="O999" t="n">
        <v>43.47826086956522</v>
      </c>
    </row>
    <row r="1000" hidden="1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M1000" t="n">
        <v>16</v>
      </c>
      <c r="N1000" t="n">
        <v>100</v>
      </c>
      <c r="O1000" t="n">
        <v>22.97297297297298</v>
      </c>
    </row>
    <row r="1001" hidden="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M1001" t="n">
        <v>16</v>
      </c>
      <c r="N1001" t="n">
        <v>100</v>
      </c>
      <c r="O1001" t="n">
        <v>38.09523809523809</v>
      </c>
    </row>
    <row r="1002" hidden="1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M1002" t="n">
        <v>0</v>
      </c>
      <c r="N1002" t="n">
        <v>0</v>
      </c>
      <c r="O1002" t="n">
        <v>0</v>
      </c>
    </row>
    <row r="1003" hidden="1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M1003" t="n">
        <v>14</v>
      </c>
      <c r="N1003" t="n">
        <v>100</v>
      </c>
      <c r="O1003" t="n">
        <v>31.03448275862069</v>
      </c>
    </row>
    <row r="1004" hidden="1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M1004" t="n">
        <v>27</v>
      </c>
      <c r="N1004" t="n">
        <v>95.23999999999999</v>
      </c>
      <c r="O1004" t="n">
        <v>40.22988505747126</v>
      </c>
    </row>
    <row r="1005" hidden="1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26</v>
      </c>
      <c r="E1005" t="n">
        <v>18</v>
      </c>
      <c r="F1005" t="n">
        <v>15.06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M1005" t="n">
        <v>15</v>
      </c>
      <c r="N1005" t="n">
        <v>96.88</v>
      </c>
      <c r="O1005" t="n">
        <v>35.65891472868217</v>
      </c>
    </row>
    <row r="1006" hidden="1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M1006" t="n">
        <v>22</v>
      </c>
      <c r="N1006" t="n">
        <v>100</v>
      </c>
      <c r="O1006" t="n">
        <v>31.06060606060606</v>
      </c>
    </row>
    <row r="1007" hidden="1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19</v>
      </c>
      <c r="E1007" t="n">
        <v>18</v>
      </c>
      <c r="F1007" t="n">
        <v>25.36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M1007" t="n">
        <v>18</v>
      </c>
      <c r="N1007" t="n">
        <v>100</v>
      </c>
      <c r="O1007" t="n">
        <v>42.46575342465754</v>
      </c>
    </row>
    <row r="1008" hidden="1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M1008" t="n">
        <v>0</v>
      </c>
      <c r="N1008" t="n">
        <v>0</v>
      </c>
      <c r="O1008" t="n">
        <v>0</v>
      </c>
    </row>
    <row r="1009" hidden="1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M1009" t="n">
        <v>17</v>
      </c>
      <c r="N1009" t="n">
        <v>100</v>
      </c>
      <c r="O1009" t="n">
        <v>26.45161290322581</v>
      </c>
    </row>
    <row r="1010" hidden="1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M1010" t="n">
        <v>18</v>
      </c>
      <c r="N1010" t="n">
        <v>100</v>
      </c>
      <c r="O1010" t="n">
        <v>32.28346456692913</v>
      </c>
    </row>
    <row r="1011" hidden="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M1011" t="n">
        <v>24</v>
      </c>
      <c r="N1011" t="n">
        <v>100</v>
      </c>
      <c r="O1011" t="n">
        <v>35.67251461988304</v>
      </c>
    </row>
    <row r="1012" hidden="1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M1012" t="n">
        <v>22</v>
      </c>
      <c r="N1012" t="n">
        <v>96.36</v>
      </c>
      <c r="O1012" t="n">
        <v>32.57918552036199</v>
      </c>
    </row>
    <row r="1013" hidden="1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M1013" t="n">
        <v>23</v>
      </c>
      <c r="N1013" t="n">
        <v>100</v>
      </c>
      <c r="O1013" t="n">
        <v>28.87323943661972</v>
      </c>
    </row>
    <row r="1014" hidden="1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M1014" t="n">
        <v>28</v>
      </c>
      <c r="N1014" t="n">
        <v>100</v>
      </c>
      <c r="O1014" t="n">
        <v>30.16528925619835</v>
      </c>
    </row>
    <row r="1015" hidden="1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M1015" t="n">
        <v>21</v>
      </c>
      <c r="N1015" t="n">
        <v>100</v>
      </c>
      <c r="O1015" t="n">
        <v>28.33333333333333</v>
      </c>
    </row>
    <row r="1016" hidden="1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M1016" t="n">
        <v>19</v>
      </c>
      <c r="N1016" t="n">
        <v>91.3</v>
      </c>
      <c r="O1016" t="n">
        <v>24.13793103448276</v>
      </c>
    </row>
    <row r="1017" hidden="1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M1017" t="n">
        <v>15</v>
      </c>
      <c r="N1017" t="n">
        <v>100</v>
      </c>
      <c r="O1017" t="n">
        <v>36.84210526315789</v>
      </c>
    </row>
    <row r="1018" hidden="1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M1018" t="n">
        <v>8</v>
      </c>
      <c r="N1018" t="n">
        <v>100</v>
      </c>
      <c r="O1018" t="n">
        <v>31.57894736842105</v>
      </c>
    </row>
    <row r="1019" hidden="1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M1019" t="n">
        <v>18</v>
      </c>
      <c r="N1019" t="n">
        <v>96.3</v>
      </c>
      <c r="O1019" t="n">
        <v>46.82539682539682</v>
      </c>
    </row>
    <row r="1020" hidden="1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M1020" t="n">
        <v>0</v>
      </c>
      <c r="N1020" t="n">
        <v>0</v>
      </c>
      <c r="O1020" t="n">
        <v>0</v>
      </c>
    </row>
    <row r="1021" hidden="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M1021" t="n">
        <v>26</v>
      </c>
      <c r="N1021" t="n">
        <v>100</v>
      </c>
      <c r="O1021" t="n">
        <v>25.65789473684211</v>
      </c>
    </row>
    <row r="1022" hidden="1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M1022" t="n">
        <v>24</v>
      </c>
      <c r="N1022" t="n">
        <v>100</v>
      </c>
      <c r="O1022" t="n">
        <v>34.55882352941176</v>
      </c>
    </row>
    <row r="1023" hidden="1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21</v>
      </c>
      <c r="E1023" t="n">
        <v>17</v>
      </c>
      <c r="F1023" t="n">
        <v>17.12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M1023" t="n">
        <v>16</v>
      </c>
      <c r="N1023" t="n">
        <v>100</v>
      </c>
      <c r="O1023" t="n">
        <v>29.3103448275862</v>
      </c>
    </row>
    <row r="1024" hidden="1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M1024" t="n">
        <v>29</v>
      </c>
      <c r="N1024" t="n">
        <v>96.15000000000001</v>
      </c>
      <c r="O1024" t="n">
        <v>28.1437125748503</v>
      </c>
    </row>
    <row r="1025" hidden="1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M1025" t="n">
        <v>12</v>
      </c>
      <c r="N1025" t="n">
        <v>100</v>
      </c>
      <c r="O1025" t="n">
        <v>24.56140350877193</v>
      </c>
    </row>
    <row r="1026" hidden="1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M1026" t="n">
        <v>8</v>
      </c>
      <c r="N1026" t="n">
        <v>100</v>
      </c>
      <c r="O1026" t="n">
        <v>34.69387755102041</v>
      </c>
    </row>
    <row r="1027" hidden="1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M1027" t="n">
        <v>0</v>
      </c>
      <c r="N1027" t="n">
        <v>100</v>
      </c>
      <c r="O1027" t="n">
        <v>0</v>
      </c>
    </row>
    <row r="1028" hidden="1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M1028" t="n">
        <v>24</v>
      </c>
      <c r="N1028" t="n">
        <v>100</v>
      </c>
      <c r="O1028" t="n">
        <v>32.89473684210527</v>
      </c>
    </row>
    <row r="1029" hidden="1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M1029" t="n">
        <v>0</v>
      </c>
      <c r="N1029" t="n">
        <v>0</v>
      </c>
      <c r="O1029" t="n">
        <v>0</v>
      </c>
    </row>
    <row r="1030" hidden="1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M1030" t="n">
        <v>0</v>
      </c>
      <c r="N1030" t="n">
        <v>0</v>
      </c>
      <c r="O1030" t="n">
        <v>0</v>
      </c>
    </row>
    <row r="1031" hidden="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M1031" t="n">
        <v>15</v>
      </c>
      <c r="N1031" t="n">
        <v>100</v>
      </c>
      <c r="O1031" t="n">
        <v>40</v>
      </c>
    </row>
    <row r="1032" hidden="1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M1032" t="n">
        <v>0</v>
      </c>
      <c r="N1032" t="n">
        <v>0</v>
      </c>
      <c r="O1032" t="n">
        <v>0</v>
      </c>
    </row>
    <row r="1033" hidden="1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M1033" t="n">
        <v>0</v>
      </c>
      <c r="N1033" t="n">
        <v>0</v>
      </c>
      <c r="O1033" t="n">
        <v>0</v>
      </c>
    </row>
    <row r="1034" hidden="1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M1034" t="n">
        <v>0</v>
      </c>
      <c r="N1034" t="n">
        <v>0</v>
      </c>
      <c r="O1034" t="n">
        <v>0</v>
      </c>
    </row>
    <row r="1035" hidden="1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M1035" t="n">
        <v>0</v>
      </c>
      <c r="N1035" t="n">
        <v>0</v>
      </c>
      <c r="O1035" t="n">
        <v>0</v>
      </c>
    </row>
    <row r="1036" hidden="1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M1036" t="n">
        <v>0</v>
      </c>
      <c r="N1036" t="n">
        <v>0</v>
      </c>
      <c r="O1036" t="n">
        <v>0</v>
      </c>
    </row>
    <row r="1037" hidden="1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M1037" t="n">
        <v>16</v>
      </c>
      <c r="N1037" t="n">
        <v>100</v>
      </c>
      <c r="O1037" t="n">
        <v>34.28571428571428</v>
      </c>
    </row>
    <row r="1038" hidden="1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M1038" t="n">
        <v>24</v>
      </c>
      <c r="N1038" t="n">
        <v>100</v>
      </c>
      <c r="O1038" t="n">
        <v>25</v>
      </c>
    </row>
    <row r="1039" hidden="1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M1039" t="n">
        <v>16</v>
      </c>
      <c r="N1039" t="n">
        <v>100</v>
      </c>
      <c r="O1039" t="n">
        <v>25.40983606557377</v>
      </c>
    </row>
    <row r="1040" hidden="1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M1040" t="n">
        <v>23</v>
      </c>
      <c r="N1040" t="n">
        <v>96.88</v>
      </c>
      <c r="O1040" t="n">
        <v>28</v>
      </c>
    </row>
    <row r="1041" hidden="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M1041" t="n">
        <v>20</v>
      </c>
      <c r="N1041" t="n">
        <v>100</v>
      </c>
      <c r="O1041" t="n">
        <v>25.90361445783132</v>
      </c>
    </row>
    <row r="1042" hidden="1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M1042" t="n">
        <v>24</v>
      </c>
      <c r="N1042" t="n">
        <v>100</v>
      </c>
      <c r="O1042" t="n">
        <v>31.38297872340425</v>
      </c>
    </row>
    <row r="1043" hidden="1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M1043" t="n">
        <v>5</v>
      </c>
      <c r="N1043" t="n">
        <v>100</v>
      </c>
      <c r="O1043" t="n">
        <v>45.09803921568628</v>
      </c>
    </row>
    <row r="1044" hidden="1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M1044" t="n">
        <v>32</v>
      </c>
      <c r="N1044" t="n">
        <v>100</v>
      </c>
      <c r="O1044" t="n">
        <v>28.33333333333333</v>
      </c>
    </row>
    <row r="1045" hidden="1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M1045" t="n">
        <v>12</v>
      </c>
      <c r="N1045" t="n">
        <v>100</v>
      </c>
      <c r="O1045" t="n">
        <v>37.60683760683761</v>
      </c>
    </row>
    <row r="1046" hidden="1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M1046" t="n">
        <v>0</v>
      </c>
      <c r="N1046" t="n">
        <v>0</v>
      </c>
      <c r="O1046" t="n">
        <v>0</v>
      </c>
    </row>
    <row r="1047" hidden="1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M1047" t="n">
        <v>15</v>
      </c>
      <c r="N1047" t="n">
        <v>100</v>
      </c>
      <c r="O1047" t="n">
        <v>30.3921568627451</v>
      </c>
    </row>
    <row r="1048" hidden="1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M1048" t="n">
        <v>27</v>
      </c>
      <c r="N1048" t="n">
        <v>96</v>
      </c>
      <c r="O1048" t="n">
        <v>40.7035175879397</v>
      </c>
    </row>
    <row r="1049" hidden="1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31</v>
      </c>
      <c r="E1049" t="n">
        <v>20</v>
      </c>
      <c r="F1049" t="n">
        <v>15.46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M1049" t="n">
        <v>21</v>
      </c>
      <c r="N1049" t="n">
        <v>97.22</v>
      </c>
      <c r="O1049" t="n">
        <v>31.33333333333334</v>
      </c>
    </row>
    <row r="1050" hidden="1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M1050" t="n">
        <v>38</v>
      </c>
      <c r="N1050" t="n">
        <v>100</v>
      </c>
      <c r="O1050" t="n">
        <v>28.8235294117647</v>
      </c>
    </row>
    <row r="1051" hidden="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19</v>
      </c>
      <c r="E1051" t="n">
        <v>17</v>
      </c>
      <c r="F1051" t="n">
        <v>30.09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M1051" t="n">
        <v>18</v>
      </c>
      <c r="N1051" t="n">
        <v>100</v>
      </c>
      <c r="O1051" t="n">
        <v>44.1717791411043</v>
      </c>
    </row>
    <row r="1052" hidden="1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M1052" t="n">
        <v>0</v>
      </c>
      <c r="N1052" t="n">
        <v>0</v>
      </c>
      <c r="O1052" t="n">
        <v>0</v>
      </c>
    </row>
    <row r="1053" hidden="1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M1053" t="n">
        <v>25</v>
      </c>
      <c r="N1053" t="n">
        <v>100</v>
      </c>
      <c r="O1053" t="n">
        <v>27.22222222222222</v>
      </c>
    </row>
    <row r="1054" hidden="1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M1054" t="n">
        <v>17</v>
      </c>
      <c r="N1054" t="n">
        <v>100</v>
      </c>
      <c r="O1054" t="n">
        <v>30.55555555555556</v>
      </c>
    </row>
    <row r="1055" hidden="1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M1055" t="n">
        <v>16</v>
      </c>
      <c r="N1055" t="n">
        <v>100</v>
      </c>
      <c r="O1055" t="n">
        <v>34.75935828877005</v>
      </c>
    </row>
    <row r="1056" hidden="1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M1056" t="n">
        <v>14</v>
      </c>
      <c r="N1056" t="n">
        <v>93.55</v>
      </c>
      <c r="O1056" t="n">
        <v>32.3404255319149</v>
      </c>
    </row>
    <row r="1057" hidden="1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M1057" t="n">
        <v>19</v>
      </c>
      <c r="N1057" t="n">
        <v>100</v>
      </c>
      <c r="O1057" t="n">
        <v>29.19254658385093</v>
      </c>
    </row>
    <row r="1058" hidden="1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M1058" t="n">
        <v>33</v>
      </c>
      <c r="N1058" t="n">
        <v>100</v>
      </c>
      <c r="O1058" t="n">
        <v>30.18181818181818</v>
      </c>
    </row>
    <row r="1059" hidden="1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M1059" t="n">
        <v>1</v>
      </c>
      <c r="N1059" t="n">
        <v>100</v>
      </c>
      <c r="O1059" t="n">
        <v>28.09917355371901</v>
      </c>
    </row>
    <row r="1060" hidden="1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M1060" t="n">
        <v>21</v>
      </c>
      <c r="N1060" t="n">
        <v>93.09999999999999</v>
      </c>
      <c r="O1060" t="n">
        <v>24.09638554216868</v>
      </c>
    </row>
    <row r="1061" hidden="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M1061" t="n">
        <v>14</v>
      </c>
      <c r="N1061" t="n">
        <v>100</v>
      </c>
      <c r="O1061" t="n">
        <v>35.9375</v>
      </c>
    </row>
    <row r="1062" hidden="1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M1062" t="n">
        <v>11</v>
      </c>
      <c r="N1062" t="n">
        <v>100</v>
      </c>
      <c r="O1062" t="n">
        <v>34.69387755102041</v>
      </c>
    </row>
    <row r="1063" hidden="1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M1063" t="n">
        <v>29</v>
      </c>
      <c r="N1063" t="n">
        <v>97.06</v>
      </c>
      <c r="O1063" t="n">
        <v>50.96774193548386</v>
      </c>
    </row>
    <row r="1064" hidden="1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M1064" t="n">
        <v>0</v>
      </c>
      <c r="N1064" t="n">
        <v>0</v>
      </c>
      <c r="O1064" t="n">
        <v>0</v>
      </c>
    </row>
    <row r="1065" hidden="1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M1065" t="n">
        <v>28</v>
      </c>
      <c r="N1065" t="n">
        <v>100</v>
      </c>
      <c r="O1065" t="n">
        <v>27.77777777777778</v>
      </c>
    </row>
    <row r="1066" hidden="1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M1066" t="n">
        <v>22</v>
      </c>
      <c r="N1066" t="n">
        <v>100</v>
      </c>
      <c r="O1066" t="n">
        <v>34.17721518987342</v>
      </c>
    </row>
    <row r="1067" hidden="1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14</v>
      </c>
      <c r="E1067" t="n">
        <v>14</v>
      </c>
      <c r="F1067" t="n">
        <v>25.14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M1067" t="n">
        <v>14</v>
      </c>
      <c r="N1067" t="n">
        <v>100</v>
      </c>
      <c r="O1067" t="n">
        <v>29.23076923076923</v>
      </c>
    </row>
    <row r="1068" hidden="1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M1068" t="n">
        <v>25</v>
      </c>
      <c r="N1068" t="n">
        <v>97.06</v>
      </c>
      <c r="O1068" t="n">
        <v>27.60416666666667</v>
      </c>
    </row>
    <row r="1069" hidden="1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M1069" t="n">
        <v>18</v>
      </c>
      <c r="N1069" t="n">
        <v>100</v>
      </c>
      <c r="O1069" t="n">
        <v>28.03030303030303</v>
      </c>
    </row>
    <row r="1070" hidden="1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M1070" t="n">
        <v>4</v>
      </c>
      <c r="N1070" t="n">
        <v>100</v>
      </c>
      <c r="O1070" t="n">
        <v>33.9622641509434</v>
      </c>
    </row>
    <row r="1071" hidden="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M1071" t="n">
        <v>0</v>
      </c>
      <c r="N1071" t="n">
        <v>100</v>
      </c>
      <c r="O1071" t="n">
        <v>0</v>
      </c>
    </row>
    <row r="1072" hidden="1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M1072" t="n">
        <v>30</v>
      </c>
      <c r="N1072" t="n">
        <v>100</v>
      </c>
      <c r="O1072" t="n">
        <v>32.41758241758242</v>
      </c>
    </row>
    <row r="1073" hidden="1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M1073" t="n">
        <v>0</v>
      </c>
      <c r="N1073" t="n">
        <v>0</v>
      </c>
      <c r="O1073" t="n">
        <v>0</v>
      </c>
    </row>
    <row r="1074" hidden="1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M1074" t="n">
        <v>0</v>
      </c>
      <c r="N1074" t="n">
        <v>0</v>
      </c>
      <c r="O1074" t="n">
        <v>0</v>
      </c>
    </row>
    <row r="1075" hidden="1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M1075" t="n">
        <v>0</v>
      </c>
      <c r="N1075" t="n">
        <v>100</v>
      </c>
      <c r="O1075" t="n">
        <v>40</v>
      </c>
    </row>
    <row r="1076" hidden="1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M1076" t="n">
        <v>0</v>
      </c>
      <c r="N1076" t="n">
        <v>0</v>
      </c>
      <c r="O1076" t="n">
        <v>0</v>
      </c>
    </row>
    <row r="1077" hidden="1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M1077" t="n">
        <v>0</v>
      </c>
      <c r="N1077" t="n">
        <v>0</v>
      </c>
      <c r="O1077" t="n">
        <v>0</v>
      </c>
    </row>
    <row r="1078" hidden="1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M1078" t="n">
        <v>0</v>
      </c>
      <c r="N1078" t="n">
        <v>0</v>
      </c>
      <c r="O1078" t="n">
        <v>0</v>
      </c>
    </row>
    <row r="1079" hidden="1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M1079" t="n">
        <v>0</v>
      </c>
      <c r="N1079" t="n">
        <v>0</v>
      </c>
      <c r="O1079" t="n">
        <v>0</v>
      </c>
    </row>
    <row r="1080" hidden="1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M1080" t="n">
        <v>0</v>
      </c>
      <c r="N1080" t="n">
        <v>0</v>
      </c>
      <c r="O1080" t="n">
        <v>0</v>
      </c>
    </row>
    <row r="1081" hidden="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M1081" t="n">
        <v>13</v>
      </c>
      <c r="N1081" t="n">
        <v>100</v>
      </c>
      <c r="O1081" t="n">
        <v>33.73493975903614</v>
      </c>
    </row>
    <row r="1082" hidden="1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M1082" t="n">
        <v>20</v>
      </c>
      <c r="N1082" t="n">
        <v>100</v>
      </c>
      <c r="O1082" t="n">
        <v>26.21951219512195</v>
      </c>
    </row>
    <row r="1083" hidden="1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M1083" t="n">
        <v>20</v>
      </c>
      <c r="N1083" t="n">
        <v>100</v>
      </c>
      <c r="O1083" t="n">
        <v>26.76056338028169</v>
      </c>
    </row>
    <row r="1084" hidden="1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M1084" t="n">
        <v>15</v>
      </c>
      <c r="N1084" t="n">
        <v>97.44</v>
      </c>
      <c r="O1084" t="n">
        <v>27.36842105263158</v>
      </c>
    </row>
    <row r="1085" hidden="1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M1085" t="n">
        <v>22</v>
      </c>
      <c r="N1085" t="n">
        <v>100</v>
      </c>
      <c r="O1085" t="n">
        <v>26.06382978723405</v>
      </c>
    </row>
    <row r="1086" hidden="1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M1086" t="n">
        <v>16</v>
      </c>
      <c r="N1086" t="n">
        <v>100</v>
      </c>
      <c r="O1086" t="n">
        <v>31.86274509803921</v>
      </c>
    </row>
    <row r="1087" hidden="1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M1087" t="n">
        <v>0</v>
      </c>
      <c r="N1087" t="n">
        <v>100</v>
      </c>
      <c r="O1087" t="n">
        <v>45.09803921568628</v>
      </c>
    </row>
    <row r="1088" hidden="1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M1088" t="n">
        <v>25</v>
      </c>
      <c r="N1088" t="n">
        <v>100</v>
      </c>
      <c r="O1088" t="n">
        <v>28.29268292682926</v>
      </c>
    </row>
    <row r="1089" hidden="1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M1089" t="n">
        <v>23</v>
      </c>
      <c r="N1089" t="n">
        <v>100</v>
      </c>
      <c r="O1089" t="n">
        <v>35.71428571428572</v>
      </c>
    </row>
    <row r="1090" hidden="1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M1090" t="n">
        <v>0</v>
      </c>
      <c r="N1090" t="n">
        <v>0</v>
      </c>
      <c r="O1090" t="n">
        <v>0</v>
      </c>
    </row>
    <row r="1091" hidden="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M1091" t="n">
        <v>13</v>
      </c>
      <c r="N1091" t="n">
        <v>100</v>
      </c>
      <c r="O1091" t="n">
        <v>29.56521739130435</v>
      </c>
    </row>
    <row r="1092" hidden="1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M1092" t="n">
        <v>28</v>
      </c>
      <c r="N1092" t="n">
        <v>96.83</v>
      </c>
      <c r="O1092" t="n">
        <v>42.92035398230089</v>
      </c>
    </row>
    <row r="1093" hidden="1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30</v>
      </c>
      <c r="E1093" t="n">
        <v>24</v>
      </c>
      <c r="F1093" t="n">
        <v>17.15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M1093" t="n">
        <v>17</v>
      </c>
      <c r="N1093" t="n">
        <v>97.3</v>
      </c>
      <c r="O1093" t="n">
        <v>32.33532934131736</v>
      </c>
    </row>
    <row r="1094" hidden="1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M1094" t="n">
        <v>26</v>
      </c>
      <c r="N1094" t="n">
        <v>100</v>
      </c>
      <c r="O1094" t="n">
        <v>28.57142857142857</v>
      </c>
    </row>
    <row r="1095" hidden="1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29</v>
      </c>
      <c r="E1095" t="n">
        <v>29</v>
      </c>
      <c r="F1095" t="n">
        <v>23.57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M1095" t="n">
        <v>29</v>
      </c>
      <c r="N1095" t="n">
        <v>100</v>
      </c>
      <c r="O1095" t="n">
        <v>45.83333333333333</v>
      </c>
    </row>
    <row r="1096" hidden="1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M1096" t="n">
        <v>0</v>
      </c>
      <c r="N1096" t="n">
        <v>0</v>
      </c>
      <c r="O1096" t="n">
        <v>0</v>
      </c>
    </row>
    <row r="1097" hidden="1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M1097" t="n">
        <v>32</v>
      </c>
      <c r="N1097" t="n">
        <v>100</v>
      </c>
      <c r="O1097" t="n">
        <v>28.30188679245283</v>
      </c>
    </row>
    <row r="1098" hidden="1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M1098" t="n">
        <v>19</v>
      </c>
      <c r="N1098" t="n">
        <v>100</v>
      </c>
      <c r="O1098" t="n">
        <v>30.67484662576687</v>
      </c>
    </row>
    <row r="1099" hidden="1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M1099" t="n">
        <v>25</v>
      </c>
      <c r="N1099" t="n">
        <v>100</v>
      </c>
      <c r="O1099" t="n">
        <v>33.9622641509434</v>
      </c>
    </row>
    <row r="1100" hidden="1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M1100" t="n">
        <v>5</v>
      </c>
      <c r="N1100" t="n">
        <v>93.65000000000001</v>
      </c>
      <c r="O1100" t="n">
        <v>32.91666666666666</v>
      </c>
    </row>
    <row r="1101" hidden="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M1101" t="n">
        <v>29</v>
      </c>
      <c r="N1101" t="n">
        <v>100</v>
      </c>
      <c r="O1101" t="n">
        <v>30</v>
      </c>
    </row>
    <row r="1102" hidden="1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M1102" t="n">
        <v>43</v>
      </c>
      <c r="N1102" t="n">
        <v>100</v>
      </c>
      <c r="O1102" t="n">
        <v>31.13207547169811</v>
      </c>
    </row>
    <row r="1103" hidden="1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M1103" t="n">
        <v>18</v>
      </c>
      <c r="N1103" t="n">
        <v>100</v>
      </c>
      <c r="O1103" t="n">
        <v>28.77697841726619</v>
      </c>
    </row>
    <row r="1104" hidden="1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M1104" t="n">
        <v>21</v>
      </c>
      <c r="N1104" t="n">
        <v>94.29000000000001</v>
      </c>
      <c r="O1104" t="n">
        <v>24.73118279569892</v>
      </c>
    </row>
    <row r="1105" hidden="1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M1105" t="n">
        <v>13</v>
      </c>
      <c r="N1105" t="n">
        <v>100</v>
      </c>
      <c r="O1105" t="n">
        <v>34.75177304964539</v>
      </c>
    </row>
    <row r="1106" hidden="1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M1106" t="n">
        <v>5</v>
      </c>
      <c r="N1106" t="n">
        <v>100</v>
      </c>
      <c r="O1106" t="n">
        <v>33.33333333333333</v>
      </c>
    </row>
    <row r="1107" hidden="1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M1107" t="n">
        <v>18</v>
      </c>
      <c r="N1107" t="n">
        <v>97.26000000000001</v>
      </c>
      <c r="O1107" t="n">
        <v>46.82080924855491</v>
      </c>
    </row>
    <row r="1108" hidden="1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M1108" t="n">
        <v>0</v>
      </c>
      <c r="N1108" t="n">
        <v>0</v>
      </c>
      <c r="O1108" t="n">
        <v>0</v>
      </c>
    </row>
    <row r="1109" hidden="1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M1109" t="n">
        <v>20</v>
      </c>
      <c r="N1109" t="n">
        <v>100</v>
      </c>
      <c r="O1109" t="n">
        <v>28.5</v>
      </c>
    </row>
    <row r="1110" hidden="1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M1110" t="n">
        <v>10</v>
      </c>
      <c r="N1110" t="n">
        <v>100</v>
      </c>
      <c r="O1110" t="n">
        <v>35.71428571428572</v>
      </c>
    </row>
    <row r="1111" hidden="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23</v>
      </c>
      <c r="E1111" t="n">
        <v>20</v>
      </c>
      <c r="F1111" t="n">
        <v>20.24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M1111" t="n">
        <v>18</v>
      </c>
      <c r="N1111" t="n">
        <v>100</v>
      </c>
      <c r="O1111" t="n">
        <v>29.05405405405405</v>
      </c>
    </row>
    <row r="1112" hidden="1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M1112" t="n">
        <v>18</v>
      </c>
      <c r="N1112" t="n">
        <v>97.37</v>
      </c>
      <c r="O1112" t="n">
        <v>27.61904761904762</v>
      </c>
    </row>
    <row r="1113" hidden="1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M1113" t="n">
        <v>12</v>
      </c>
      <c r="N1113" t="n">
        <v>100</v>
      </c>
      <c r="O1113" t="n">
        <v>27.77777777777778</v>
      </c>
    </row>
    <row r="1114" hidden="1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M1114" t="n">
        <v>3</v>
      </c>
      <c r="N1114" t="n">
        <v>100</v>
      </c>
      <c r="O1114" t="n">
        <v>33.92857142857143</v>
      </c>
    </row>
    <row r="1115" hidden="1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M1115" t="n">
        <v>0</v>
      </c>
      <c r="N1115" t="n">
        <v>100</v>
      </c>
      <c r="O1115" t="n">
        <v>0</v>
      </c>
    </row>
    <row r="1116" hidden="1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M1116" t="n">
        <v>29</v>
      </c>
      <c r="N1116" t="n">
        <v>100</v>
      </c>
      <c r="O1116" t="n">
        <v>32.22748815165877</v>
      </c>
    </row>
    <row r="1117" hidden="1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M1117" t="n">
        <v>0</v>
      </c>
      <c r="N1117" t="n">
        <v>0</v>
      </c>
      <c r="O1117" t="n">
        <v>0</v>
      </c>
    </row>
    <row r="1118" hidden="1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M1118" t="n">
        <v>0</v>
      </c>
      <c r="N1118" t="n">
        <v>0</v>
      </c>
      <c r="O1118" t="n">
        <v>0</v>
      </c>
    </row>
    <row r="1119" hidden="1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M1119" t="n">
        <v>0</v>
      </c>
      <c r="N1119" t="n">
        <v>100</v>
      </c>
      <c r="O1119" t="n">
        <v>40</v>
      </c>
    </row>
    <row r="1120" hidden="1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M1120" t="n">
        <v>0</v>
      </c>
      <c r="N1120" t="n">
        <v>0</v>
      </c>
      <c r="O1120" t="n">
        <v>0</v>
      </c>
    </row>
    <row r="1121" hidden="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M1121" t="n">
        <v>0</v>
      </c>
      <c r="N1121" t="n">
        <v>0</v>
      </c>
      <c r="O1121" t="n">
        <v>0</v>
      </c>
    </row>
    <row r="1122" hidden="1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M1122" t="n">
        <v>0</v>
      </c>
      <c r="N1122" t="n">
        <v>0</v>
      </c>
      <c r="O1122" t="n">
        <v>0</v>
      </c>
    </row>
    <row r="1123" hidden="1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M1123" t="n">
        <v>0</v>
      </c>
      <c r="N1123" t="n">
        <v>0</v>
      </c>
      <c r="O1123" t="n">
        <v>0</v>
      </c>
    </row>
    <row r="1124" hidden="1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M1124" t="n">
        <v>0</v>
      </c>
      <c r="N1124" t="n">
        <v>0</v>
      </c>
      <c r="O1124" t="n">
        <v>0</v>
      </c>
    </row>
    <row r="1125" hidden="1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M1125" t="n">
        <v>8</v>
      </c>
      <c r="N1125" t="n">
        <v>100</v>
      </c>
      <c r="O1125" t="n">
        <v>35.16483516483517</v>
      </c>
    </row>
    <row r="1126" hidden="1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M1126" t="n">
        <v>19</v>
      </c>
      <c r="N1126" t="n">
        <v>100</v>
      </c>
      <c r="O1126" t="n">
        <v>24.59016393442623</v>
      </c>
    </row>
    <row r="1127" hidden="1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M1127" t="n">
        <v>17</v>
      </c>
      <c r="N1127" t="n">
        <v>100</v>
      </c>
      <c r="O1127" t="n">
        <v>26.41509433962264</v>
      </c>
    </row>
    <row r="1128" hidden="1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M1128" t="n">
        <v>20</v>
      </c>
      <c r="N1128" t="n">
        <v>97.73</v>
      </c>
      <c r="O1128" t="n">
        <v>28.09523809523809</v>
      </c>
    </row>
    <row r="1129" hidden="1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M1129" t="n">
        <v>19</v>
      </c>
      <c r="N1129" t="n">
        <v>100</v>
      </c>
      <c r="O1129" t="n">
        <v>25.60386473429952</v>
      </c>
    </row>
    <row r="1130" hidden="1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M1130" t="n">
        <v>4</v>
      </c>
      <c r="N1130" t="n">
        <v>97.67</v>
      </c>
      <c r="O1130" t="n">
        <v>31.25</v>
      </c>
    </row>
    <row r="1131" hidden="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M1131" t="n">
        <v>7</v>
      </c>
      <c r="N1131" t="n">
        <v>100</v>
      </c>
      <c r="O1131" t="n">
        <v>46.55172413793103</v>
      </c>
    </row>
    <row r="1132" hidden="1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M1132" t="n">
        <v>26</v>
      </c>
      <c r="N1132" t="n">
        <v>100</v>
      </c>
      <c r="O1132" t="n">
        <v>29.004329004329</v>
      </c>
    </row>
    <row r="1133" hidden="1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M1133" t="n">
        <v>24</v>
      </c>
      <c r="N1133" t="n">
        <v>100</v>
      </c>
      <c r="O1133" t="n">
        <v>38.41463414634146</v>
      </c>
    </row>
    <row r="1134" hidden="1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M1134" t="n">
        <v>0</v>
      </c>
      <c r="N1134" t="n">
        <v>0</v>
      </c>
      <c r="O1134" t="n">
        <v>0</v>
      </c>
    </row>
    <row r="1135" hidden="1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M1135" t="n">
        <v>14</v>
      </c>
      <c r="N1135" t="n">
        <v>100</v>
      </c>
      <c r="O1135" t="n">
        <v>31.25</v>
      </c>
    </row>
    <row r="1136" hidden="1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M1136" t="n">
        <v>28</v>
      </c>
      <c r="N1136" t="n">
        <v>97.14</v>
      </c>
      <c r="O1136" t="n">
        <v>40.55118110236221</v>
      </c>
    </row>
    <row r="1137" hidden="1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20</v>
      </c>
      <c r="E1137" t="n">
        <v>13</v>
      </c>
      <c r="F1137" t="n">
        <v>27.1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M1137" t="n">
        <v>12</v>
      </c>
      <c r="N1137" t="n">
        <v>97.56</v>
      </c>
      <c r="O1137" t="n">
        <v>33.5195530726257</v>
      </c>
    </row>
    <row r="1138" hidden="1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M1138" t="n">
        <v>28</v>
      </c>
      <c r="N1138" t="n">
        <v>100</v>
      </c>
      <c r="O1138" t="n">
        <v>25.89285714285715</v>
      </c>
    </row>
    <row r="1139" hidden="1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28</v>
      </c>
      <c r="E1139" t="n">
        <v>28</v>
      </c>
      <c r="F1139" t="n">
        <v>22.34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M1139" t="n">
        <v>27</v>
      </c>
      <c r="N1139" t="n">
        <v>100</v>
      </c>
      <c r="O1139" t="n">
        <v>45.20547945205479</v>
      </c>
    </row>
    <row r="1140" hidden="1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M1140" t="n">
        <v>0</v>
      </c>
      <c r="N1140" t="n">
        <v>0</v>
      </c>
      <c r="O1140" t="n">
        <v>0</v>
      </c>
    </row>
    <row r="1141" hidden="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M1141" t="n">
        <v>22</v>
      </c>
      <c r="N1141" t="n">
        <v>100</v>
      </c>
      <c r="O1141" t="n">
        <v>30.76923076923077</v>
      </c>
    </row>
    <row r="1142" hidden="1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M1142" t="n">
        <v>10</v>
      </c>
      <c r="N1142" t="n">
        <v>100</v>
      </c>
      <c r="O1142" t="n">
        <v>31.21387283236994</v>
      </c>
    </row>
    <row r="1143" hidden="1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M1143" t="n">
        <v>16</v>
      </c>
      <c r="N1143" t="n">
        <v>98.31</v>
      </c>
      <c r="O1143" t="n">
        <v>32.89473684210527</v>
      </c>
    </row>
    <row r="1144" hidden="1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M1144" t="n">
        <v>0</v>
      </c>
      <c r="N1144" t="n">
        <v>93.65000000000001</v>
      </c>
      <c r="O1144" t="n">
        <v>32.91666666666666</v>
      </c>
    </row>
    <row r="1145" hidden="1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M1145" t="n">
        <v>22</v>
      </c>
      <c r="N1145" t="n">
        <v>100</v>
      </c>
      <c r="O1145" t="n">
        <v>29.85781990521327</v>
      </c>
    </row>
    <row r="1146" hidden="1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M1146" t="n">
        <v>32</v>
      </c>
      <c r="N1146" t="n">
        <v>100</v>
      </c>
      <c r="O1146" t="n">
        <v>30</v>
      </c>
    </row>
    <row r="1147" hidden="1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M1147" t="n">
        <v>16</v>
      </c>
      <c r="N1147" t="n">
        <v>100</v>
      </c>
      <c r="O1147" t="n">
        <v>29.03225806451613</v>
      </c>
    </row>
    <row r="1148" hidden="1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M1148" t="n">
        <v>23</v>
      </c>
      <c r="N1148" t="n">
        <v>94.73999999999999</v>
      </c>
      <c r="O1148" t="n">
        <v>26.79425837320574</v>
      </c>
    </row>
    <row r="1149" hidden="1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M1149" t="n">
        <v>20</v>
      </c>
      <c r="N1149" t="n">
        <v>100</v>
      </c>
      <c r="O1149" t="n">
        <v>33.54037267080746</v>
      </c>
    </row>
    <row r="1150" hidden="1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M1150" t="n">
        <v>3</v>
      </c>
      <c r="N1150" t="n">
        <v>100</v>
      </c>
      <c r="O1150" t="n">
        <v>31.57894736842105</v>
      </c>
    </row>
    <row r="1151" hidden="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M1151" t="n">
        <v>24</v>
      </c>
      <c r="N1151" t="n">
        <v>97.67</v>
      </c>
      <c r="O1151" t="n">
        <v>47.44897959183674</v>
      </c>
    </row>
    <row r="1152" hidden="1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M1152" t="n">
        <v>0</v>
      </c>
      <c r="N1152" t="n">
        <v>0</v>
      </c>
      <c r="O1152" t="n">
        <v>0</v>
      </c>
    </row>
    <row r="1153" hidden="1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M1153" t="n">
        <v>28</v>
      </c>
      <c r="N1153" t="n">
        <v>100</v>
      </c>
      <c r="O1153" t="n">
        <v>28.07017543859649</v>
      </c>
    </row>
    <row r="1154" hidden="1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M1154" t="n">
        <v>35</v>
      </c>
      <c r="N1154" t="n">
        <v>100</v>
      </c>
      <c r="O1154" t="n">
        <v>34.97536945812808</v>
      </c>
    </row>
    <row r="1155" hidden="1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36</v>
      </c>
      <c r="E1155" t="n">
        <v>33</v>
      </c>
      <c r="F1155" t="n">
        <v>13.28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M1155" t="n">
        <v>31</v>
      </c>
      <c r="N1155" t="n">
        <v>100</v>
      </c>
      <c r="O1155" t="n">
        <v>30.89887640449438</v>
      </c>
    </row>
    <row r="1156" hidden="1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M1156" t="n">
        <v>37</v>
      </c>
      <c r="N1156" t="n">
        <v>97.62</v>
      </c>
      <c r="O1156" t="n">
        <v>26.31578947368421</v>
      </c>
    </row>
    <row r="1157" hidden="1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M1157" t="n">
        <v>14</v>
      </c>
      <c r="N1157" t="n">
        <v>100</v>
      </c>
      <c r="O1157" t="n">
        <v>27.21518987341772</v>
      </c>
    </row>
    <row r="1158" hidden="1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M1158" t="n">
        <v>1</v>
      </c>
      <c r="N1158" t="n">
        <v>100</v>
      </c>
      <c r="O1158" t="n">
        <v>33.33333333333333</v>
      </c>
    </row>
    <row r="1159" hidden="1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M1159" t="n">
        <v>0</v>
      </c>
      <c r="N1159" t="n">
        <v>100</v>
      </c>
      <c r="O1159" t="n">
        <v>0</v>
      </c>
    </row>
    <row r="1160" hidden="1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M1160" t="n">
        <v>28</v>
      </c>
      <c r="N1160" t="n">
        <v>100</v>
      </c>
      <c r="O1160" t="n">
        <v>31.38075313807531</v>
      </c>
    </row>
    <row r="1161" hidden="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M1161" t="n">
        <v>0</v>
      </c>
      <c r="N1161" t="n">
        <v>0</v>
      </c>
      <c r="O1161" t="n">
        <v>0</v>
      </c>
    </row>
    <row r="1162" hidden="1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M1162" t="n">
        <v>0</v>
      </c>
      <c r="N1162" t="n">
        <v>0</v>
      </c>
      <c r="O1162" t="n">
        <v>0</v>
      </c>
    </row>
    <row r="1163" hidden="1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M1163" t="n">
        <v>21</v>
      </c>
      <c r="N1163" t="n">
        <v>100</v>
      </c>
      <c r="O1163" t="n">
        <v>25</v>
      </c>
    </row>
    <row r="1164" hidden="1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M1164" t="n">
        <v>0</v>
      </c>
      <c r="N1164" t="n">
        <v>0</v>
      </c>
      <c r="O1164" t="n">
        <v>0</v>
      </c>
    </row>
    <row r="1165" hidden="1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M1165" t="n">
        <v>0</v>
      </c>
      <c r="N1165" t="n">
        <v>0</v>
      </c>
      <c r="O1165" t="n">
        <v>0</v>
      </c>
    </row>
    <row r="1166" hidden="1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M1166" t="n">
        <v>0</v>
      </c>
      <c r="N1166" t="n">
        <v>0</v>
      </c>
      <c r="O1166" t="n">
        <v>0</v>
      </c>
    </row>
    <row r="1167" hidden="1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M1167" t="n">
        <v>0</v>
      </c>
      <c r="N1167" t="n">
        <v>0</v>
      </c>
      <c r="O1167" t="n">
        <v>0</v>
      </c>
    </row>
    <row r="1168" hidden="1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M1168" t="n">
        <v>0</v>
      </c>
      <c r="N1168" t="n">
        <v>0</v>
      </c>
      <c r="O1168" t="n">
        <v>0</v>
      </c>
    </row>
    <row r="1169" hidden="1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M1169" t="n">
        <v>15</v>
      </c>
      <c r="N1169" t="n">
        <v>100</v>
      </c>
      <c r="O1169" t="n">
        <v>34.90566037735849</v>
      </c>
    </row>
    <row r="1170" hidden="1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M1170" t="n">
        <v>26</v>
      </c>
      <c r="N1170" t="n">
        <v>100</v>
      </c>
      <c r="O1170" t="n">
        <v>24.88038277511962</v>
      </c>
    </row>
    <row r="1171" hidden="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M1171" t="n">
        <v>22</v>
      </c>
      <c r="N1171" t="n">
        <v>100</v>
      </c>
      <c r="O1171" t="n">
        <v>28.1767955801105</v>
      </c>
    </row>
    <row r="1172" hidden="1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M1172" t="n">
        <v>21</v>
      </c>
      <c r="N1172" t="n">
        <v>98.08</v>
      </c>
      <c r="O1172" t="n">
        <v>29.87012987012987</v>
      </c>
    </row>
    <row r="1173" hidden="1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M1173" t="n">
        <v>29</v>
      </c>
      <c r="N1173" t="n">
        <v>100</v>
      </c>
      <c r="O1173" t="n">
        <v>25.84745762711864</v>
      </c>
    </row>
    <row r="1174" hidden="1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M1174" t="n">
        <v>13</v>
      </c>
      <c r="N1174" t="n">
        <v>98.15000000000001</v>
      </c>
      <c r="O1174" t="n">
        <v>30.31674208144796</v>
      </c>
    </row>
    <row r="1175" hidden="1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M1175" t="n">
        <v>7</v>
      </c>
      <c r="N1175" t="n">
        <v>100</v>
      </c>
      <c r="O1175" t="n">
        <v>47.69230769230769</v>
      </c>
    </row>
    <row r="1176" hidden="1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M1176" t="n">
        <v>22</v>
      </c>
      <c r="N1176" t="n">
        <v>100</v>
      </c>
      <c r="O1176" t="n">
        <v>27.27272727272727</v>
      </c>
    </row>
    <row r="1177" hidden="1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M1177" t="n">
        <v>19</v>
      </c>
      <c r="N1177" t="n">
        <v>100</v>
      </c>
      <c r="O1177" t="n">
        <v>39.34426229508197</v>
      </c>
    </row>
    <row r="1178" hidden="1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M1178" t="n">
        <v>0</v>
      </c>
      <c r="N1178" t="n">
        <v>0</v>
      </c>
      <c r="O1178" t="n">
        <v>0</v>
      </c>
    </row>
    <row r="1179" hidden="1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M1179" t="n">
        <v>8</v>
      </c>
      <c r="N1179" t="n">
        <v>100</v>
      </c>
      <c r="O1179" t="n">
        <v>30.88235294117647</v>
      </c>
    </row>
    <row r="1180" hidden="1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M1180" t="n">
        <v>39</v>
      </c>
      <c r="N1180" t="n">
        <v>96.34</v>
      </c>
      <c r="O1180" t="n">
        <v>39.59044368600683</v>
      </c>
    </row>
    <row r="1181" hidden="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35</v>
      </c>
      <c r="E1181" t="n">
        <v>27</v>
      </c>
      <c r="F1181" t="n">
        <v>17.01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M1181" t="n">
        <v>29</v>
      </c>
      <c r="N1181" t="n">
        <v>97.83</v>
      </c>
      <c r="O1181" t="n">
        <v>33.17307692307692</v>
      </c>
    </row>
    <row r="1182" hidden="1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M1182" t="n">
        <v>20</v>
      </c>
      <c r="N1182" t="n">
        <v>100</v>
      </c>
      <c r="O1182" t="n">
        <v>27.04918032786885</v>
      </c>
    </row>
    <row r="1183" hidden="1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20</v>
      </c>
      <c r="E1183" t="n">
        <v>20</v>
      </c>
      <c r="F1183" t="n">
        <v>25.03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M1183" t="n">
        <v>20</v>
      </c>
      <c r="N1183" t="n">
        <v>100</v>
      </c>
      <c r="O1183" t="n">
        <v>44.76987447698745</v>
      </c>
    </row>
    <row r="1184" hidden="1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M1184" t="n">
        <v>0</v>
      </c>
      <c r="N1184" t="n">
        <v>0</v>
      </c>
      <c r="O1184" t="n">
        <v>0</v>
      </c>
    </row>
    <row r="1185" hidden="1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M1185" t="n">
        <v>22</v>
      </c>
      <c r="N1185" t="n">
        <v>100</v>
      </c>
      <c r="O1185" t="n">
        <v>32.03125</v>
      </c>
    </row>
    <row r="1186" hidden="1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M1186" t="n">
        <v>28</v>
      </c>
      <c r="N1186" t="n">
        <v>100</v>
      </c>
      <c r="O1186" t="n">
        <v>32.83582089552239</v>
      </c>
    </row>
    <row r="1187" hidden="1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M1187" t="n">
        <v>1</v>
      </c>
      <c r="N1187" t="n">
        <v>98.44</v>
      </c>
      <c r="O1187" t="n">
        <v>32.75109170305677</v>
      </c>
    </row>
    <row r="1188" hidden="1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M1188" t="n">
        <v>18</v>
      </c>
      <c r="N1188" t="n">
        <v>94.37</v>
      </c>
      <c r="O1188" t="n">
        <v>32.55813953488372</v>
      </c>
    </row>
    <row r="1189" hidden="1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M1189" t="n">
        <v>29</v>
      </c>
      <c r="N1189" t="n">
        <v>100</v>
      </c>
      <c r="O1189" t="n">
        <v>30</v>
      </c>
    </row>
    <row r="1190" hidden="1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M1190" t="n">
        <v>48</v>
      </c>
      <c r="N1190" t="n">
        <v>100</v>
      </c>
      <c r="O1190" t="n">
        <v>30.65326633165829</v>
      </c>
    </row>
    <row r="1191" hidden="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M1191" t="n">
        <v>0</v>
      </c>
      <c r="N1191" t="n">
        <v>100</v>
      </c>
      <c r="O1191" t="n">
        <v>29.03225806451613</v>
      </c>
    </row>
    <row r="1192" hidden="1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M1192" t="n">
        <v>22</v>
      </c>
      <c r="N1192" t="n">
        <v>95.23999999999999</v>
      </c>
      <c r="O1192" t="n">
        <v>26.83982683982684</v>
      </c>
    </row>
    <row r="1193" hidden="1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M1193" t="n">
        <v>19</v>
      </c>
      <c r="N1193" t="n">
        <v>100</v>
      </c>
      <c r="O1193" t="n">
        <v>33.33333333333333</v>
      </c>
    </row>
    <row r="1194" hidden="1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M1194" t="n">
        <v>7</v>
      </c>
      <c r="N1194" t="n">
        <v>100</v>
      </c>
      <c r="O1194" t="n">
        <v>32.8125</v>
      </c>
    </row>
    <row r="1195" hidden="1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M1195" t="n">
        <v>21</v>
      </c>
      <c r="N1195" t="n">
        <v>97.89</v>
      </c>
      <c r="O1195" t="n">
        <v>44.70046082949309</v>
      </c>
    </row>
    <row r="1196" hidden="1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M1196" t="n">
        <v>0</v>
      </c>
      <c r="N1196" t="n">
        <v>0</v>
      </c>
      <c r="O1196" t="n">
        <v>0</v>
      </c>
    </row>
    <row r="1197" hidden="1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M1197" t="n">
        <v>27</v>
      </c>
      <c r="N1197" t="n">
        <v>100</v>
      </c>
      <c r="O1197" t="n">
        <v>27.45098039215686</v>
      </c>
    </row>
    <row r="1198" hidden="1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M1198" t="n">
        <v>29</v>
      </c>
      <c r="N1198" t="n">
        <v>100</v>
      </c>
      <c r="O1198" t="n">
        <v>36.20689655172414</v>
      </c>
    </row>
    <row r="1199" hidden="1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28</v>
      </c>
      <c r="E1199" t="n">
        <v>26</v>
      </c>
      <c r="F1199" t="n">
        <v>19.04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M1199" t="n">
        <v>25</v>
      </c>
      <c r="N1199" t="n">
        <v>100</v>
      </c>
      <c r="O1199" t="n">
        <v>30.54187192118227</v>
      </c>
    </row>
    <row r="1200" hidden="1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M1200" t="n">
        <v>38</v>
      </c>
      <c r="N1200" t="n">
        <v>97.92</v>
      </c>
      <c r="O1200" t="n">
        <v>27.36842105263158</v>
      </c>
    </row>
    <row r="1201" hidden="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M1201" t="n">
        <v>15</v>
      </c>
      <c r="N1201" t="n">
        <v>100</v>
      </c>
      <c r="O1201" t="n">
        <v>27.74566473988439</v>
      </c>
    </row>
    <row r="1202" hidden="1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M1202" t="n">
        <v>0</v>
      </c>
      <c r="N1202" t="n">
        <v>100</v>
      </c>
      <c r="O1202" t="n">
        <v>33.33333333333333</v>
      </c>
    </row>
    <row r="1203" hidden="1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M1203" t="n">
        <v>0</v>
      </c>
      <c r="N1203" t="n">
        <v>100</v>
      </c>
      <c r="O1203" t="n">
        <v>0</v>
      </c>
    </row>
    <row r="1204" hidden="1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M1204" t="n">
        <v>40</v>
      </c>
      <c r="N1204" t="n">
        <v>100</v>
      </c>
      <c r="O1204" t="n">
        <v>30.46594982078853</v>
      </c>
    </row>
    <row r="1205" hidden="1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M1205" t="n">
        <v>0</v>
      </c>
      <c r="N1205" t="n">
        <v>0</v>
      </c>
      <c r="O1205" t="n">
        <v>0</v>
      </c>
    </row>
    <row r="1206" hidden="1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M1206" t="n">
        <v>0</v>
      </c>
      <c r="N1206" t="n">
        <v>0</v>
      </c>
      <c r="O1206" t="n">
        <v>0</v>
      </c>
    </row>
    <row r="1207" hidden="1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M1207" t="n">
        <v>0</v>
      </c>
      <c r="N1207" t="n">
        <v>100</v>
      </c>
      <c r="O1207" t="n">
        <v>25</v>
      </c>
    </row>
    <row r="1208" hidden="1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M1208" t="n">
        <v>0</v>
      </c>
      <c r="N1208" t="n">
        <v>0</v>
      </c>
      <c r="O1208" t="n">
        <v>0</v>
      </c>
    </row>
    <row r="1209" hidden="1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M1209" t="n">
        <v>0</v>
      </c>
      <c r="N1209" t="n">
        <v>0</v>
      </c>
      <c r="O1209" t="n">
        <v>0</v>
      </c>
    </row>
    <row r="1210" hidden="1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M1210" t="n">
        <v>0</v>
      </c>
      <c r="N1210" t="n">
        <v>0</v>
      </c>
      <c r="O1210" t="n">
        <v>0</v>
      </c>
    </row>
    <row r="1211" hidden="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M1211" t="n">
        <v>0</v>
      </c>
      <c r="N1211" t="n">
        <v>0</v>
      </c>
      <c r="O1211" t="n">
        <v>0</v>
      </c>
    </row>
    <row r="1212" hidden="1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M1212" t="n">
        <v>0</v>
      </c>
      <c r="N1212" t="n">
        <v>0</v>
      </c>
      <c r="O1212" t="n">
        <v>0</v>
      </c>
    </row>
    <row r="1213" hidden="1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M1213" t="n">
        <v>15</v>
      </c>
      <c r="N1213" t="n">
        <v>100</v>
      </c>
      <c r="O1213" t="n">
        <v>33.05785123966943</v>
      </c>
    </row>
    <row r="1214" hidden="1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M1214" t="n">
        <v>31</v>
      </c>
      <c r="N1214" t="n">
        <v>100</v>
      </c>
      <c r="O1214" t="n">
        <v>24.58333333333333</v>
      </c>
    </row>
    <row r="1215" hidden="1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M1215" t="n">
        <v>22</v>
      </c>
      <c r="N1215" t="n">
        <v>100</v>
      </c>
      <c r="O1215" t="n">
        <v>27.0935960591133</v>
      </c>
    </row>
    <row r="1216" hidden="1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M1216" t="n">
        <v>17</v>
      </c>
      <c r="N1216" t="n">
        <v>98.28</v>
      </c>
      <c r="O1216" t="n">
        <v>29.03225806451613</v>
      </c>
    </row>
    <row r="1217" hidden="1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M1217" t="n">
        <v>22</v>
      </c>
      <c r="N1217" t="n">
        <v>100</v>
      </c>
      <c r="O1217" t="n">
        <v>26.35658914728683</v>
      </c>
    </row>
    <row r="1218" hidden="1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M1218" t="n">
        <v>28</v>
      </c>
      <c r="N1218" t="n">
        <v>98.25</v>
      </c>
      <c r="O1218" t="n">
        <v>28.91566265060241</v>
      </c>
    </row>
    <row r="1219" hidden="1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M1219" t="n">
        <v>1</v>
      </c>
      <c r="N1219" t="n">
        <v>100</v>
      </c>
      <c r="O1219" t="n">
        <v>48.48484848484848</v>
      </c>
    </row>
    <row r="1220" hidden="1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M1220" t="n">
        <v>24</v>
      </c>
      <c r="N1220" t="n">
        <v>100</v>
      </c>
      <c r="O1220" t="n">
        <v>27.07581227436823</v>
      </c>
    </row>
    <row r="1221" hidden="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M1221" t="n">
        <v>13</v>
      </c>
      <c r="N1221" t="n">
        <v>100</v>
      </c>
      <c r="O1221" t="n">
        <v>38.77551020408163</v>
      </c>
    </row>
    <row r="1222" hidden="1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M1222" t="n">
        <v>0</v>
      </c>
      <c r="N1222" t="n">
        <v>0</v>
      </c>
      <c r="O1222" t="n">
        <v>0</v>
      </c>
    </row>
    <row r="1223" hidden="1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M1223" t="n">
        <v>13</v>
      </c>
      <c r="N1223" t="n">
        <v>100</v>
      </c>
      <c r="O1223" t="n">
        <v>30.87248322147651</v>
      </c>
    </row>
    <row r="1224" hidden="1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M1224" t="n">
        <v>25</v>
      </c>
      <c r="N1224" t="n">
        <v>96.59</v>
      </c>
      <c r="O1224" t="n">
        <v>38.9937106918239</v>
      </c>
    </row>
    <row r="1225" hidden="1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36</v>
      </c>
      <c r="E1225" t="n">
        <v>22</v>
      </c>
      <c r="F1225" t="n">
        <v>9.039999999999999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M1225" t="n">
        <v>23</v>
      </c>
      <c r="N1225" t="n">
        <v>94.34</v>
      </c>
      <c r="O1225" t="n">
        <v>32.03463203463203</v>
      </c>
    </row>
    <row r="1226" hidden="1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M1226" t="n">
        <v>14</v>
      </c>
      <c r="N1226" t="n">
        <v>100</v>
      </c>
      <c r="O1226" t="n">
        <v>27.13178294573643</v>
      </c>
    </row>
    <row r="1227" hidden="1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20</v>
      </c>
      <c r="E1227" t="n">
        <v>19</v>
      </c>
      <c r="F1227" t="n">
        <v>26.42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M1227" t="n">
        <v>19</v>
      </c>
      <c r="N1227" t="n">
        <v>100</v>
      </c>
      <c r="O1227" t="n">
        <v>43.41085271317829</v>
      </c>
    </row>
    <row r="1228" hidden="1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M1228" t="n">
        <v>0</v>
      </c>
      <c r="N1228" t="n">
        <v>0</v>
      </c>
      <c r="O1228" t="n">
        <v>0</v>
      </c>
    </row>
    <row r="1229" hidden="1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M1229" t="n">
        <v>25</v>
      </c>
      <c r="N1229" t="n">
        <v>100</v>
      </c>
      <c r="O1229" t="n">
        <v>31.31672597864769</v>
      </c>
    </row>
    <row r="1230" hidden="1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M1230" t="n">
        <v>17</v>
      </c>
      <c r="N1230" t="n">
        <v>100</v>
      </c>
      <c r="O1230" t="n">
        <v>32.56880733944954</v>
      </c>
    </row>
    <row r="1231" hidden="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M1231" t="n">
        <v>23</v>
      </c>
      <c r="N1231" t="n">
        <v>98.61</v>
      </c>
      <c r="O1231" t="n">
        <v>32.14285714285715</v>
      </c>
    </row>
    <row r="1232" hidden="1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M1232" t="n">
        <v>19</v>
      </c>
      <c r="N1232" t="n">
        <v>94.73999999999999</v>
      </c>
      <c r="O1232" t="n">
        <v>32.49097472924188</v>
      </c>
    </row>
    <row r="1233" hidden="1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M1233" t="n">
        <v>19</v>
      </c>
      <c r="N1233" t="n">
        <v>100</v>
      </c>
      <c r="O1233" t="n">
        <v>28.95752895752895</v>
      </c>
    </row>
    <row r="1234" hidden="1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M1234" t="n">
        <v>32</v>
      </c>
      <c r="N1234" t="n">
        <v>100</v>
      </c>
      <c r="O1234" t="n">
        <v>31.62790697674419</v>
      </c>
    </row>
    <row r="1235" hidden="1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M1235" t="n">
        <v>17</v>
      </c>
      <c r="N1235" t="n">
        <v>100</v>
      </c>
      <c r="O1235" t="n">
        <v>29.06976744186047</v>
      </c>
    </row>
    <row r="1236" hidden="1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M1236" t="n">
        <v>19</v>
      </c>
      <c r="N1236" t="n">
        <v>95.83</v>
      </c>
      <c r="O1236" t="n">
        <v>27.2</v>
      </c>
    </row>
    <row r="1237" hidden="1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M1237" t="n">
        <v>19</v>
      </c>
      <c r="N1237" t="n">
        <v>100</v>
      </c>
      <c r="O1237" t="n">
        <v>34.17085427135678</v>
      </c>
    </row>
    <row r="1238" hidden="1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M1238" t="n">
        <v>15</v>
      </c>
      <c r="N1238" t="n">
        <v>100</v>
      </c>
      <c r="O1238" t="n">
        <v>31.64556962025317</v>
      </c>
    </row>
    <row r="1239" hidden="1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M1239" t="n">
        <v>21</v>
      </c>
      <c r="N1239" t="n">
        <v>98</v>
      </c>
      <c r="O1239" t="n">
        <v>43.27731092436975</v>
      </c>
    </row>
    <row r="1240" hidden="1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M1240" t="n">
        <v>0</v>
      </c>
      <c r="N1240" t="n">
        <v>0</v>
      </c>
      <c r="O1240" t="n">
        <v>0</v>
      </c>
    </row>
    <row r="1241" hidden="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M1241" t="n">
        <v>23</v>
      </c>
      <c r="N1241" t="n">
        <v>100</v>
      </c>
      <c r="O1241" t="n">
        <v>27.69784172661871</v>
      </c>
    </row>
    <row r="1242" hidden="1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M1242" t="n">
        <v>23</v>
      </c>
      <c r="N1242" t="n">
        <v>100</v>
      </c>
      <c r="O1242" t="n">
        <v>35.03937007874016</v>
      </c>
    </row>
    <row r="1243" hidden="1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22</v>
      </c>
      <c r="E1243" t="n">
        <v>21</v>
      </c>
      <c r="F1243" t="n">
        <v>18.58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M1243" t="n">
        <v>20</v>
      </c>
      <c r="N1243" t="n">
        <v>100</v>
      </c>
      <c r="O1243" t="n">
        <v>29.59641255605381</v>
      </c>
    </row>
    <row r="1244" hidden="1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M1244" t="n">
        <v>26</v>
      </c>
      <c r="N1244" t="n">
        <v>98.28</v>
      </c>
      <c r="O1244" t="n">
        <v>26.04501607717042</v>
      </c>
    </row>
    <row r="1245" hidden="1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M1245" t="n">
        <v>20</v>
      </c>
      <c r="N1245" t="n">
        <v>100</v>
      </c>
      <c r="O1245" t="n">
        <v>26.94300518134715</v>
      </c>
    </row>
    <row r="1246" hidden="1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M1246" t="n">
        <v>2</v>
      </c>
      <c r="N1246" t="n">
        <v>100</v>
      </c>
      <c r="O1246" t="n">
        <v>33.89830508474576</v>
      </c>
    </row>
    <row r="1247" hidden="1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M1247" t="n">
        <v>0</v>
      </c>
      <c r="N1247" t="n">
        <v>100</v>
      </c>
      <c r="O1247" t="n">
        <v>0</v>
      </c>
    </row>
    <row r="1248" hidden="1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M1248" t="n">
        <v>24</v>
      </c>
      <c r="N1248" t="n">
        <v>100</v>
      </c>
      <c r="O1248" t="n">
        <v>29.7029702970297</v>
      </c>
    </row>
    <row r="1249" hidden="1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M1249" t="n">
        <v>1</v>
      </c>
      <c r="N1249" t="n">
        <v>0</v>
      </c>
      <c r="O1249" t="n">
        <v>0</v>
      </c>
    </row>
    <row r="1250" hidden="1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M1250" t="n">
        <v>0</v>
      </c>
      <c r="N1250" t="n">
        <v>0</v>
      </c>
      <c r="O1250" t="n">
        <v>0</v>
      </c>
    </row>
    <row r="1251" hidden="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M1251" t="n">
        <v>0</v>
      </c>
      <c r="N1251" t="n">
        <v>100</v>
      </c>
      <c r="O1251" t="n">
        <v>25</v>
      </c>
    </row>
    <row r="1252" hidden="1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M1252" t="n">
        <v>0</v>
      </c>
      <c r="N1252" t="n">
        <v>0</v>
      </c>
      <c r="O1252" t="n">
        <v>0</v>
      </c>
    </row>
    <row r="1253" hidden="1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M1253" t="n">
        <v>0</v>
      </c>
      <c r="N1253" t="n">
        <v>0</v>
      </c>
      <c r="O1253" t="n">
        <v>0</v>
      </c>
    </row>
    <row r="1254" hidden="1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M1254" t="n">
        <v>0</v>
      </c>
      <c r="N1254" t="n">
        <v>0</v>
      </c>
      <c r="O1254" t="n">
        <v>0</v>
      </c>
    </row>
    <row r="1255" hidden="1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M1255" t="n">
        <v>0</v>
      </c>
      <c r="N1255" t="n">
        <v>0</v>
      </c>
      <c r="O1255" t="n">
        <v>0</v>
      </c>
    </row>
    <row r="1256" hidden="1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M1256" t="n">
        <v>27</v>
      </c>
      <c r="N1256" t="n">
        <v>100</v>
      </c>
      <c r="O1256" t="n">
        <v>40.74074074074074</v>
      </c>
    </row>
    <row r="1257" hidden="1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M1257" t="n">
        <v>11</v>
      </c>
      <c r="N1257" t="n">
        <v>100</v>
      </c>
      <c r="O1257" t="n">
        <v>31.81818181818182</v>
      </c>
    </row>
    <row r="1258" hidden="1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M1258" t="n">
        <v>21</v>
      </c>
      <c r="N1258" t="n">
        <v>100</v>
      </c>
      <c r="O1258" t="n">
        <v>24.52107279693486</v>
      </c>
    </row>
    <row r="1259" hidden="1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M1259" t="n">
        <v>17</v>
      </c>
      <c r="N1259" t="n">
        <v>97.67</v>
      </c>
      <c r="O1259" t="n">
        <v>28.18181818181818</v>
      </c>
    </row>
    <row r="1260" hidden="1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M1260" t="n">
        <v>22</v>
      </c>
      <c r="N1260" t="n">
        <v>98.45999999999999</v>
      </c>
      <c r="O1260" t="n">
        <v>30</v>
      </c>
    </row>
    <row r="1261" hidden="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M1261" t="n">
        <v>15</v>
      </c>
      <c r="N1261" t="n">
        <v>100</v>
      </c>
      <c r="O1261" t="n">
        <v>26.00732600732601</v>
      </c>
    </row>
    <row r="1262" hidden="1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M1262" t="n">
        <v>29</v>
      </c>
      <c r="N1262" t="n">
        <v>98.41</v>
      </c>
      <c r="O1262" t="n">
        <v>27.33812949640288</v>
      </c>
    </row>
    <row r="1263" hidden="1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M1263" t="n">
        <v>5</v>
      </c>
      <c r="N1263" t="n">
        <v>100</v>
      </c>
      <c r="O1263" t="n">
        <v>47.88732394366197</v>
      </c>
    </row>
    <row r="1264" hidden="1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M1264" t="n">
        <v>22</v>
      </c>
      <c r="N1264" t="n">
        <v>100</v>
      </c>
      <c r="O1264" t="n">
        <v>26.75585284280936</v>
      </c>
    </row>
    <row r="1265" hidden="1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M1265" t="n">
        <v>19</v>
      </c>
      <c r="N1265" t="n">
        <v>100</v>
      </c>
      <c r="O1265" t="n">
        <v>39.53488372093023</v>
      </c>
    </row>
    <row r="1266" hidden="1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M1266" t="n">
        <v>0</v>
      </c>
      <c r="N1266" t="n">
        <v>0</v>
      </c>
      <c r="O1266" t="n">
        <v>0</v>
      </c>
    </row>
    <row r="1267" hidden="1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M1267" t="n">
        <v>12</v>
      </c>
      <c r="N1267" t="n">
        <v>100</v>
      </c>
      <c r="O1267" t="n">
        <v>31.05590062111801</v>
      </c>
    </row>
    <row r="1268" hidden="1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M1268" t="n">
        <v>9</v>
      </c>
      <c r="N1268" t="n">
        <v>96.94</v>
      </c>
      <c r="O1268" t="n">
        <v>39.44954128440367</v>
      </c>
    </row>
    <row r="1269" hidden="1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37</v>
      </c>
      <c r="E1269" t="n">
        <v>26</v>
      </c>
      <c r="F1269" t="n">
        <v>7.1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M1269" t="n">
        <v>23</v>
      </c>
      <c r="N1269" t="n">
        <v>94.73999999999999</v>
      </c>
      <c r="O1269" t="n">
        <v>31.10236220472441</v>
      </c>
    </row>
    <row r="1270" hidden="1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M1270" t="n">
        <v>23</v>
      </c>
      <c r="N1270" t="n">
        <v>100</v>
      </c>
      <c r="O1270" t="n">
        <v>27.75800711743772</v>
      </c>
    </row>
    <row r="1271" hidden="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26</v>
      </c>
      <c r="E1271" t="n">
        <v>25</v>
      </c>
      <c r="F1271" t="n">
        <v>18.26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M1271" t="n">
        <v>25</v>
      </c>
      <c r="N1271" t="n">
        <v>100</v>
      </c>
      <c r="O1271" t="n">
        <v>43.26241134751773</v>
      </c>
    </row>
    <row r="1272" hidden="1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M1272" t="n">
        <v>0</v>
      </c>
      <c r="N1272" t="n">
        <v>0</v>
      </c>
      <c r="O1272" t="n">
        <v>0</v>
      </c>
    </row>
    <row r="1273" hidden="1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M1273" t="n">
        <v>22</v>
      </c>
      <c r="N1273" t="n">
        <v>100</v>
      </c>
      <c r="O1273" t="n">
        <v>31.35313531353135</v>
      </c>
    </row>
    <row r="1274" hidden="1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M1274" t="n">
        <v>18</v>
      </c>
      <c r="N1274" t="n">
        <v>100</v>
      </c>
      <c r="O1274" t="n">
        <v>32.20338983050847</v>
      </c>
    </row>
    <row r="1275" hidden="1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M1275" t="n">
        <v>15</v>
      </c>
      <c r="N1275" t="n">
        <v>98.72</v>
      </c>
      <c r="O1275" t="n">
        <v>31.46067415730337</v>
      </c>
    </row>
    <row r="1276" hidden="1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N1276" t="n">
        <v>96.67</v>
      </c>
      <c r="O1276" t="n">
        <v>31.45161290322581</v>
      </c>
    </row>
    <row r="1277" hidden="1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M1277" t="n">
        <v>18</v>
      </c>
      <c r="N1277" t="n">
        <v>100</v>
      </c>
      <c r="O1277" t="n">
        <v>28.51985559566787</v>
      </c>
    </row>
    <row r="1278" hidden="1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M1278" t="n">
        <v>30</v>
      </c>
      <c r="N1278" t="n">
        <v>100</v>
      </c>
      <c r="O1278" t="n">
        <v>30.65217391304348</v>
      </c>
    </row>
    <row r="1279" hidden="1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M1279" t="n">
        <v>16</v>
      </c>
      <c r="N1279" t="n">
        <v>100</v>
      </c>
      <c r="O1279" t="n">
        <v>28.72340425531915</v>
      </c>
    </row>
    <row r="1280" hidden="1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M1280" t="n">
        <v>18</v>
      </c>
      <c r="N1280" t="n">
        <v>96</v>
      </c>
      <c r="O1280" t="n">
        <v>26.96629213483146</v>
      </c>
    </row>
    <row r="1281" hidden="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M1281" t="n">
        <v>7</v>
      </c>
      <c r="N1281" t="n">
        <v>100</v>
      </c>
      <c r="O1281" t="n">
        <v>33.98058252427185</v>
      </c>
    </row>
    <row r="1282" hidden="1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M1282" t="n">
        <v>12</v>
      </c>
      <c r="N1282" t="n">
        <v>100</v>
      </c>
      <c r="O1282" t="n">
        <v>31.86813186813187</v>
      </c>
    </row>
    <row r="1283" hidden="1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M1283" t="n">
        <v>18</v>
      </c>
      <c r="N1283" t="n">
        <v>97.22</v>
      </c>
      <c r="O1283" t="n">
        <v>42.1875</v>
      </c>
    </row>
    <row r="1284" hidden="1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M1284" t="n">
        <v>0</v>
      </c>
      <c r="N1284" t="n">
        <v>0</v>
      </c>
      <c r="O1284" t="n">
        <v>0</v>
      </c>
    </row>
    <row r="1285" hidden="1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M1285" t="n">
        <v>22</v>
      </c>
      <c r="N1285" t="n">
        <v>100</v>
      </c>
      <c r="O1285" t="n">
        <v>27.66666666666667</v>
      </c>
    </row>
    <row r="1286" hidden="1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M1286" t="n">
        <v>23</v>
      </c>
      <c r="N1286" t="n">
        <v>100</v>
      </c>
      <c r="O1286" t="n">
        <v>34.65703971119133</v>
      </c>
    </row>
    <row r="1287" hidden="1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15</v>
      </c>
      <c r="E1287" t="n">
        <v>13</v>
      </c>
      <c r="F1287" t="n">
        <v>12.11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M1287" t="n">
        <v>11</v>
      </c>
      <c r="N1287" t="n">
        <v>100</v>
      </c>
      <c r="O1287" t="n">
        <v>29.05982905982906</v>
      </c>
    </row>
    <row r="1288" hidden="1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M1288" t="n">
        <v>17</v>
      </c>
      <c r="N1288" t="n">
        <v>98.33</v>
      </c>
      <c r="O1288" t="n">
        <v>25.91463414634146</v>
      </c>
    </row>
    <row r="1289" hidden="1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M1289" t="n">
        <v>15</v>
      </c>
      <c r="N1289" t="n">
        <v>100</v>
      </c>
      <c r="O1289" t="n">
        <v>27.40384615384616</v>
      </c>
    </row>
    <row r="1290" hidden="1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M1290" t="n">
        <v>9</v>
      </c>
      <c r="N1290" t="n">
        <v>100</v>
      </c>
      <c r="O1290" t="n">
        <v>35.29411764705883</v>
      </c>
    </row>
    <row r="1291" hidden="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M1291" t="n">
        <v>25</v>
      </c>
      <c r="N1291" t="n">
        <v>100</v>
      </c>
      <c r="O1291" t="n">
        <v>16</v>
      </c>
    </row>
    <row r="1292" hidden="1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M1292" t="n">
        <v>24</v>
      </c>
      <c r="N1292" t="n">
        <v>100</v>
      </c>
      <c r="O1292" t="n">
        <v>29.96941896024465</v>
      </c>
    </row>
    <row r="1293" hidden="1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M1293" t="n">
        <v>1</v>
      </c>
      <c r="N1293" t="n">
        <v>0</v>
      </c>
      <c r="O1293" t="n">
        <v>0</v>
      </c>
    </row>
    <row r="1294" hidden="1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M1294" t="n">
        <v>0</v>
      </c>
      <c r="N1294" t="n">
        <v>0</v>
      </c>
      <c r="O1294" t="n">
        <v>0</v>
      </c>
    </row>
    <row r="1295" hidden="1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M1295" t="n">
        <v>19</v>
      </c>
      <c r="N1295" t="n">
        <v>100</v>
      </c>
      <c r="O1295" t="n">
        <v>29.09090909090909</v>
      </c>
    </row>
    <row r="1296" hidden="1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M1296" t="n">
        <v>0</v>
      </c>
      <c r="N1296" t="n">
        <v>0</v>
      </c>
      <c r="O1296" t="n">
        <v>0</v>
      </c>
    </row>
    <row r="1297" hidden="1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M1297" t="n">
        <v>0</v>
      </c>
      <c r="N1297" t="n">
        <v>0</v>
      </c>
      <c r="O1297" t="n">
        <v>0</v>
      </c>
    </row>
    <row r="1298" hidden="1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M1298" t="n">
        <v>0</v>
      </c>
      <c r="N1298" t="n">
        <v>0</v>
      </c>
      <c r="O1298" t="n">
        <v>0</v>
      </c>
    </row>
    <row r="1299" hidden="1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M1299" t="n">
        <v>0</v>
      </c>
      <c r="N1299" t="n">
        <v>0</v>
      </c>
      <c r="O1299" t="n">
        <v>0</v>
      </c>
    </row>
    <row r="1300" hidden="1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M1300" t="n">
        <v>0</v>
      </c>
      <c r="N1300" t="n">
        <v>100</v>
      </c>
      <c r="O1300" t="n">
        <v>40.74074074074074</v>
      </c>
    </row>
    <row r="1301" hidden="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M1301" t="n">
        <v>8</v>
      </c>
      <c r="N1301" t="n">
        <v>100</v>
      </c>
      <c r="O1301" t="n">
        <v>32.14285714285715</v>
      </c>
    </row>
    <row r="1302" hidden="1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M1302" t="n">
        <v>20</v>
      </c>
      <c r="N1302" t="n">
        <v>100</v>
      </c>
      <c r="O1302" t="n">
        <v>25.35714285714285</v>
      </c>
    </row>
    <row r="1303" hidden="1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M1303" t="n">
        <v>17</v>
      </c>
      <c r="N1303" t="n">
        <v>97.87</v>
      </c>
      <c r="O1303" t="n">
        <v>29.11392405063291</v>
      </c>
    </row>
    <row r="1304" hidden="1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M1304" t="n">
        <v>19</v>
      </c>
      <c r="N1304" t="n">
        <v>98.65000000000001</v>
      </c>
      <c r="O1304" t="n">
        <v>30.44982698961938</v>
      </c>
    </row>
    <row r="1305" hidden="1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M1305" t="n">
        <v>21</v>
      </c>
      <c r="N1305" t="n">
        <v>100</v>
      </c>
      <c r="O1305" t="n">
        <v>25.17006802721088</v>
      </c>
    </row>
    <row r="1306" hidden="1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M1306" t="n">
        <v>15</v>
      </c>
      <c r="N1306" t="n">
        <v>98.53</v>
      </c>
      <c r="O1306" t="n">
        <v>27.30375426621161</v>
      </c>
    </row>
    <row r="1307" hidden="1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M1307" t="n">
        <v>8</v>
      </c>
      <c r="N1307" t="n">
        <v>100</v>
      </c>
      <c r="O1307" t="n">
        <v>44.30379746835442</v>
      </c>
    </row>
    <row r="1308" hidden="1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M1308" t="n">
        <v>20</v>
      </c>
      <c r="N1308" t="n">
        <v>100</v>
      </c>
      <c r="O1308" t="n">
        <v>27.27272727272727</v>
      </c>
    </row>
    <row r="1309" hidden="1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M1309" t="n">
        <v>19</v>
      </c>
      <c r="N1309" t="n">
        <v>100</v>
      </c>
      <c r="O1309" t="n">
        <v>38.88888888888889</v>
      </c>
    </row>
    <row r="1310" hidden="1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M1310" t="n">
        <v>0</v>
      </c>
      <c r="N1310" t="n">
        <v>0</v>
      </c>
      <c r="O1310" t="n">
        <v>0</v>
      </c>
    </row>
    <row r="1311" hidden="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M1311" t="n">
        <v>13</v>
      </c>
      <c r="N1311" t="n">
        <v>100</v>
      </c>
      <c r="O1311" t="n">
        <v>29.3103448275862</v>
      </c>
    </row>
    <row r="1312" hidden="1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M1312" t="n">
        <v>22</v>
      </c>
      <c r="N1312" t="n">
        <v>97.2</v>
      </c>
      <c r="O1312" t="n">
        <v>40.40114613180516</v>
      </c>
    </row>
    <row r="1313" hidden="1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29</v>
      </c>
      <c r="E1313" t="n">
        <v>20</v>
      </c>
      <c r="F1313" t="n">
        <v>8.26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M1313" t="n">
        <v>21</v>
      </c>
      <c r="N1313" t="n">
        <v>95.23999999999999</v>
      </c>
      <c r="O1313" t="n">
        <v>30.54545454545455</v>
      </c>
    </row>
    <row r="1314" hidden="1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M1314" t="n">
        <v>18</v>
      </c>
      <c r="N1314" t="n">
        <v>100</v>
      </c>
      <c r="O1314" t="n">
        <v>27.4247491638796</v>
      </c>
    </row>
    <row r="1315" hidden="1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17</v>
      </c>
      <c r="E1315" t="n">
        <v>17</v>
      </c>
      <c r="F1315" t="n">
        <v>30.1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M1315" t="n">
        <v>19</v>
      </c>
      <c r="N1315" t="n">
        <v>100</v>
      </c>
      <c r="O1315" t="n">
        <v>42.85714285714285</v>
      </c>
    </row>
    <row r="1316" hidden="1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M1316" t="n">
        <v>0</v>
      </c>
      <c r="N1316" t="n">
        <v>0</v>
      </c>
      <c r="O1316" t="n">
        <v>0</v>
      </c>
    </row>
    <row r="1317" hidden="1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M1317" t="n">
        <v>21</v>
      </c>
      <c r="N1317" t="n">
        <v>100</v>
      </c>
      <c r="O1317" t="n">
        <v>32.09876543209877</v>
      </c>
    </row>
    <row r="1318" hidden="1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M1318" t="n">
        <v>16</v>
      </c>
      <c r="N1318" t="n">
        <v>100</v>
      </c>
      <c r="O1318" t="n">
        <v>32.14285714285715</v>
      </c>
    </row>
    <row r="1319" hidden="1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M1319" t="n">
        <v>19</v>
      </c>
      <c r="N1319" t="n">
        <v>98.8</v>
      </c>
      <c r="O1319" t="n">
        <v>32.51748251748251</v>
      </c>
    </row>
    <row r="1320" hidden="1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N1320" t="n">
        <v>96.67</v>
      </c>
      <c r="O1320" t="n">
        <v>31.45161290322581</v>
      </c>
    </row>
    <row r="1321" hidden="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M1321" t="n">
        <v>18</v>
      </c>
      <c r="N1321" t="n">
        <v>100</v>
      </c>
      <c r="O1321" t="n">
        <v>27.11864406779661</v>
      </c>
    </row>
    <row r="1322" hidden="1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M1322" t="n">
        <v>29</v>
      </c>
      <c r="N1322" t="n">
        <v>100</v>
      </c>
      <c r="O1322" t="n">
        <v>29.65235173824131</v>
      </c>
    </row>
    <row r="1323" hidden="1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M1323" t="n">
        <v>8</v>
      </c>
      <c r="N1323" t="n">
        <v>100</v>
      </c>
      <c r="O1323" t="n">
        <v>28.57142857142857</v>
      </c>
    </row>
    <row r="1324" hidden="1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M1324" t="n">
        <v>20</v>
      </c>
      <c r="N1324" t="n">
        <v>96.67</v>
      </c>
      <c r="O1324" t="n">
        <v>27.52613240418119</v>
      </c>
    </row>
    <row r="1325" hidden="1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M1325" t="n">
        <v>0</v>
      </c>
      <c r="N1325" t="n">
        <v>100</v>
      </c>
      <c r="O1325" t="n">
        <v>33.98058252427185</v>
      </c>
    </row>
    <row r="1326" hidden="1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M1326" t="n">
        <v>8</v>
      </c>
      <c r="N1326" t="n">
        <v>100</v>
      </c>
      <c r="O1326" t="n">
        <v>31.31313131313131</v>
      </c>
    </row>
    <row r="1327" hidden="1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M1327" t="n">
        <v>12</v>
      </c>
      <c r="N1327" t="n">
        <v>97.41</v>
      </c>
      <c r="O1327" t="n">
        <v>41.7910447761194</v>
      </c>
    </row>
    <row r="1328" hidden="1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M1328" t="n">
        <v>0</v>
      </c>
      <c r="N1328" t="n">
        <v>0</v>
      </c>
      <c r="O1328" t="n">
        <v>0</v>
      </c>
    </row>
    <row r="1329" hidden="1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M1329" t="n">
        <v>19</v>
      </c>
      <c r="N1329" t="n">
        <v>100</v>
      </c>
      <c r="O1329" t="n">
        <v>27.27272727272727</v>
      </c>
    </row>
    <row r="1330" hidden="1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M1330" t="n">
        <v>15</v>
      </c>
      <c r="N1330" t="n">
        <v>100</v>
      </c>
      <c r="O1330" t="n">
        <v>33.9041095890411</v>
      </c>
    </row>
    <row r="1331" hidden="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25</v>
      </c>
      <c r="E1331" t="n">
        <v>24</v>
      </c>
      <c r="F1331" t="n">
        <v>19.16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M1331" t="n">
        <v>17</v>
      </c>
      <c r="N1331" t="n">
        <v>100</v>
      </c>
      <c r="O1331" t="n">
        <v>31.07569721115538</v>
      </c>
    </row>
    <row r="1332" hidden="1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M1332" t="n">
        <v>7</v>
      </c>
      <c r="N1332" t="n">
        <v>97.01000000000001</v>
      </c>
      <c r="O1332" t="n">
        <v>26.26865671641791</v>
      </c>
    </row>
    <row r="1333" hidden="1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M1333" t="n">
        <v>15</v>
      </c>
      <c r="N1333" t="n">
        <v>100</v>
      </c>
      <c r="O1333" t="n">
        <v>27.3542600896861</v>
      </c>
    </row>
    <row r="1334" hidden="1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M1334" t="n">
        <v>3</v>
      </c>
      <c r="N1334" t="n">
        <v>100</v>
      </c>
      <c r="O1334" t="n">
        <v>35.2112676056338</v>
      </c>
    </row>
    <row r="1335" hidden="1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M1335" t="n">
        <v>22</v>
      </c>
      <c r="N1335" t="n">
        <v>100</v>
      </c>
      <c r="O1335" t="n">
        <v>21.27659574468085</v>
      </c>
    </row>
    <row r="1336" hidden="1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M1336" t="n">
        <v>24</v>
      </c>
      <c r="N1336" t="n">
        <v>100</v>
      </c>
      <c r="O1336" t="n">
        <v>29.91452991452991</v>
      </c>
    </row>
    <row r="1337" hidden="1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M1337" t="n">
        <v>0</v>
      </c>
      <c r="N1337" t="n">
        <v>0</v>
      </c>
      <c r="O1337" t="n">
        <v>0</v>
      </c>
    </row>
    <row r="1338" hidden="1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M1338" t="n">
        <v>0</v>
      </c>
      <c r="N1338" t="n">
        <v>0</v>
      </c>
      <c r="O1338" t="n">
        <v>0</v>
      </c>
    </row>
    <row r="1339" hidden="1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M1339" t="n">
        <v>14</v>
      </c>
      <c r="N1339" t="n">
        <v>100</v>
      </c>
      <c r="O1339" t="n">
        <v>30.43478260869566</v>
      </c>
    </row>
    <row r="1340" hidden="1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M1340" t="n">
        <v>0</v>
      </c>
      <c r="N1340" t="n">
        <v>0</v>
      </c>
      <c r="O1340" t="n">
        <v>0</v>
      </c>
    </row>
    <row r="1341" hidden="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M1341" t="n">
        <v>0</v>
      </c>
      <c r="N1341" t="n">
        <v>0</v>
      </c>
      <c r="O1341" t="n">
        <v>0</v>
      </c>
    </row>
    <row r="1342" hidden="1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M1342" t="n">
        <v>0</v>
      </c>
      <c r="N1342" t="n">
        <v>0</v>
      </c>
      <c r="O1342" t="n">
        <v>0</v>
      </c>
    </row>
    <row r="1343" hidden="1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M1343" t="n">
        <v>0</v>
      </c>
      <c r="N1343" t="n">
        <v>0</v>
      </c>
      <c r="O1343" t="n">
        <v>0</v>
      </c>
    </row>
    <row r="1344" hidden="1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M1344" t="n">
        <v>27</v>
      </c>
      <c r="N1344" t="n">
        <v>100</v>
      </c>
      <c r="O1344" t="n">
        <v>48.14814814814815</v>
      </c>
    </row>
    <row r="1345" hidden="1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M1345" t="n">
        <v>11</v>
      </c>
      <c r="N1345" t="n">
        <v>100</v>
      </c>
      <c r="O1345" t="n">
        <v>32.45033112582782</v>
      </c>
    </row>
    <row r="1346" hidden="1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M1346" t="n">
        <v>23</v>
      </c>
      <c r="N1346" t="n">
        <v>100</v>
      </c>
      <c r="O1346" t="n">
        <v>26.07260726072607</v>
      </c>
    </row>
    <row r="1347" hidden="1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N1347" t="n">
        <v>96.81</v>
      </c>
      <c r="O1347" t="n">
        <v>27.98053527980535</v>
      </c>
    </row>
    <row r="1348" hidden="1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N1348" t="n">
        <v>98.73</v>
      </c>
      <c r="O1348" t="n">
        <v>35.75638506876228</v>
      </c>
    </row>
    <row r="1349" hidden="1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N1349" t="n">
        <v>98.31999999999999</v>
      </c>
      <c r="O1349" t="n">
        <v>26.76348547717842</v>
      </c>
    </row>
    <row r="1350" hidden="1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N1350" t="n">
        <v>99.19</v>
      </c>
      <c r="O1350" t="n">
        <v>27.63713080168776</v>
      </c>
    </row>
    <row r="1351" hidden="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N1351" t="n">
        <v>100</v>
      </c>
      <c r="O1351" t="n">
        <v>39.56834532374101</v>
      </c>
    </row>
    <row r="1352" hidden="1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N1352" t="n">
        <v>98.54000000000001</v>
      </c>
      <c r="O1352" t="n">
        <v>28.54477611940299</v>
      </c>
    </row>
    <row r="1353" hidden="1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N1353" t="n">
        <v>100</v>
      </c>
      <c r="O1353" t="n">
        <v>34.36692506459949</v>
      </c>
    </row>
    <row r="1354" hidden="1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N1354" t="n">
        <v>0</v>
      </c>
      <c r="O1354" t="n">
        <v>0</v>
      </c>
    </row>
    <row r="1355" hidden="1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N1355" t="n">
        <v>100</v>
      </c>
      <c r="O1355" t="n">
        <v>29.51807228915663</v>
      </c>
    </row>
    <row r="1356" hidden="1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N1356" t="n">
        <v>97.45</v>
      </c>
      <c r="O1356" t="n">
        <v>41.421143847487</v>
      </c>
    </row>
    <row r="1357" hidden="1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25</v>
      </c>
      <c r="E1357" t="n">
        <v>19</v>
      </c>
      <c r="F1357" t="n">
        <v>10.4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N1357" t="n">
        <v>96.58</v>
      </c>
      <c r="O1357" t="n">
        <v>30.39647577092511</v>
      </c>
    </row>
    <row r="1358" hidden="1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N1358" t="n">
        <v>100</v>
      </c>
      <c r="O1358" t="n">
        <v>27.44282744282744</v>
      </c>
    </row>
    <row r="1359" hidden="1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19</v>
      </c>
      <c r="E1359" t="n">
        <v>17</v>
      </c>
      <c r="F1359" t="n">
        <v>25.25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N1359" t="n">
        <v>99.48999999999999</v>
      </c>
      <c r="O1359" t="n">
        <v>40.2</v>
      </c>
    </row>
    <row r="1360" hidden="1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N1360" t="n">
        <v>100</v>
      </c>
      <c r="O1360" t="n">
        <v>25</v>
      </c>
    </row>
    <row r="1361" hidden="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N1361" t="n">
        <v>100</v>
      </c>
      <c r="O1361" t="n">
        <v>34.15094339622641</v>
      </c>
    </row>
    <row r="1362" hidden="1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N1362" t="n">
        <v>100</v>
      </c>
      <c r="O1362" t="n">
        <v>32.7313769751693</v>
      </c>
    </row>
    <row r="1363" hidden="1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N1363" t="n">
        <v>99.31</v>
      </c>
      <c r="O1363" t="n">
        <v>30.96234309623431</v>
      </c>
    </row>
    <row r="1364" hidden="1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N1364" t="n">
        <v>96.67</v>
      </c>
      <c r="O1364" t="n">
        <v>31.45161290322581</v>
      </c>
    </row>
    <row r="1365" hidden="1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N1365" t="n">
        <v>100</v>
      </c>
      <c r="O1365" t="n">
        <v>27.67676767676768</v>
      </c>
    </row>
    <row r="1366" hidden="1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N1366" t="n">
        <v>100</v>
      </c>
      <c r="O1366" t="n">
        <v>31.17723156532988</v>
      </c>
    </row>
    <row r="1367" hidden="1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N1367" t="n">
        <v>100</v>
      </c>
      <c r="O1367" t="n">
        <v>27.60942760942761</v>
      </c>
    </row>
    <row r="1368" hidden="1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N1368" t="n">
        <v>96.40000000000001</v>
      </c>
      <c r="O1368" t="n">
        <v>28.76404494382023</v>
      </c>
    </row>
    <row r="1369" hidden="1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N1369" t="n">
        <v>100</v>
      </c>
      <c r="O1369" t="n">
        <v>33.98058252427185</v>
      </c>
    </row>
    <row r="1370" hidden="1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N1370" t="n">
        <v>97.56</v>
      </c>
      <c r="O1370" t="n">
        <v>32.51533742331289</v>
      </c>
    </row>
    <row r="1371" hidden="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N1371" t="n">
        <v>97.11</v>
      </c>
      <c r="O1371" t="n">
        <v>37.40831295843521</v>
      </c>
    </row>
    <row r="1372" hidden="1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N1372" t="n">
        <v>0</v>
      </c>
      <c r="O1372" t="n">
        <v>0</v>
      </c>
    </row>
    <row r="1373" hidden="1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N1373" t="n">
        <v>100</v>
      </c>
      <c r="O1373" t="n">
        <v>30.47034764826176</v>
      </c>
    </row>
    <row r="1374" hidden="1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N1374" t="n">
        <v>100</v>
      </c>
      <c r="O1374" t="n">
        <v>32.37113402061856</v>
      </c>
    </row>
    <row r="1375" hidden="1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26</v>
      </c>
      <c r="E1375" t="n">
        <v>23</v>
      </c>
      <c r="F1375" t="n">
        <v>13.38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N1375" t="n">
        <v>98.31999999999999</v>
      </c>
      <c r="O1375" t="n">
        <v>32.31850117096019</v>
      </c>
    </row>
    <row r="1376" hidden="1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N1376" t="n">
        <v>96.43000000000001</v>
      </c>
      <c r="O1376" t="n">
        <v>27.01525054466231</v>
      </c>
    </row>
    <row r="1377" hidden="1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N1377" t="n">
        <v>98.89</v>
      </c>
      <c r="O1377" t="n">
        <v>28.02197802197802</v>
      </c>
    </row>
    <row r="1378" hidden="1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N1378" t="n">
        <v>100</v>
      </c>
      <c r="O1378" t="n">
        <v>33.33333333333333</v>
      </c>
    </row>
    <row r="1379" hidden="1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N1379" t="n">
        <v>100</v>
      </c>
      <c r="O1379" t="n">
        <v>27.43362831858407</v>
      </c>
    </row>
    <row r="1380" hidden="1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N1380" t="n">
        <v>98.65000000000001</v>
      </c>
      <c r="O1380" t="n">
        <v>30.97826086956522</v>
      </c>
    </row>
    <row r="1381" hidden="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N1381" t="n">
        <v>100</v>
      </c>
      <c r="O1381" t="n">
        <v>12</v>
      </c>
    </row>
    <row r="1382" hidden="1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N1382" t="n">
        <v>0</v>
      </c>
      <c r="O1382" t="n">
        <v>0</v>
      </c>
    </row>
    <row r="1383" hidden="1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N1383" t="n">
        <v>97.56</v>
      </c>
      <c r="O1383" t="n">
        <v>31.06796116504854</v>
      </c>
    </row>
    <row r="1384" hidden="1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N1384" t="n">
        <v>0</v>
      </c>
      <c r="O1384" t="n">
        <v>0</v>
      </c>
    </row>
    <row r="1385" hidden="1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N1385" t="n">
        <v>0</v>
      </c>
      <c r="O1385" t="n">
        <v>0</v>
      </c>
    </row>
    <row r="1386" hidden="1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N1386" t="n">
        <v>0</v>
      </c>
      <c r="O1386" t="n">
        <v>0</v>
      </c>
    </row>
    <row r="1387" hidden="1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N1387" t="n">
        <v>100</v>
      </c>
      <c r="O1387" t="n">
        <v>53.84615384615385</v>
      </c>
    </row>
    <row r="1388" hidden="1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N1388" t="n">
        <v>100</v>
      </c>
      <c r="O1388" t="n">
        <v>44.05594405594406</v>
      </c>
    </row>
    <row r="1389" hidden="1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N1389" t="n">
        <v>100</v>
      </c>
      <c r="O1389" t="n">
        <v>31.87250996015936</v>
      </c>
    </row>
    <row r="1390" hidden="1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N1390" t="n">
        <v>98.41</v>
      </c>
      <c r="O1390" t="n">
        <v>29.22465208747515</v>
      </c>
    </row>
    <row r="1391" hidden="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N1391" t="n">
        <v>96.81</v>
      </c>
      <c r="O1391" t="n">
        <v>27.98053527980535</v>
      </c>
    </row>
    <row r="1392" hidden="1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N1392" t="n">
        <v>98.73</v>
      </c>
      <c r="O1392" t="n">
        <v>35.75638506876228</v>
      </c>
    </row>
    <row r="1393" hidden="1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N1393" t="n">
        <v>98.31999999999999</v>
      </c>
      <c r="O1393" t="n">
        <v>26.76348547717842</v>
      </c>
    </row>
    <row r="1394" hidden="1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N1394" t="n">
        <v>99.19</v>
      </c>
      <c r="O1394" t="n">
        <v>27.63713080168776</v>
      </c>
    </row>
    <row r="1395" hidden="1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N1395" t="n">
        <v>100</v>
      </c>
      <c r="O1395" t="n">
        <v>39.56834532374101</v>
      </c>
    </row>
    <row r="1396" hidden="1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N1396" t="n">
        <v>98.54000000000001</v>
      </c>
      <c r="O1396" t="n">
        <v>28.54477611940299</v>
      </c>
    </row>
    <row r="1397" hidden="1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N1397" t="n">
        <v>100</v>
      </c>
      <c r="O1397" t="n">
        <v>34.36692506459949</v>
      </c>
    </row>
    <row r="1398" hidden="1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N1398" t="n">
        <v>0</v>
      </c>
      <c r="O1398" t="n">
        <v>0</v>
      </c>
    </row>
    <row r="1399" hidden="1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N1399" t="n">
        <v>100</v>
      </c>
      <c r="O1399" t="n">
        <v>29.51807228915663</v>
      </c>
    </row>
    <row r="1400" hidden="1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N1400" t="n">
        <v>97.45</v>
      </c>
      <c r="O1400" t="n">
        <v>41.421143847487</v>
      </c>
    </row>
    <row r="1401" hidden="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29</v>
      </c>
      <c r="E1401" t="n">
        <v>24</v>
      </c>
      <c r="F1401" t="n">
        <v>12.11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N1401" t="n">
        <v>96.58</v>
      </c>
      <c r="O1401" t="n">
        <v>30.39647577092511</v>
      </c>
    </row>
    <row r="1402" hidden="1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N1402" t="n">
        <v>100</v>
      </c>
      <c r="O1402" t="n">
        <v>27.44282744282744</v>
      </c>
    </row>
    <row r="1403" hidden="1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23</v>
      </c>
      <c r="E1403" t="n">
        <v>23</v>
      </c>
      <c r="F1403" t="n">
        <v>22.17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N1403" t="n">
        <v>99.48999999999999</v>
      </c>
      <c r="O1403" t="n">
        <v>40.2</v>
      </c>
    </row>
    <row r="1404" hidden="1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N1404" t="n">
        <v>100</v>
      </c>
      <c r="O1404" t="n">
        <v>25</v>
      </c>
    </row>
    <row r="1405" hidden="1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N1405" t="n">
        <v>100</v>
      </c>
      <c r="O1405" t="n">
        <v>34.15094339622641</v>
      </c>
    </row>
    <row r="1406" hidden="1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N1406" t="n">
        <v>100</v>
      </c>
      <c r="O1406" t="n">
        <v>32.7313769751693</v>
      </c>
    </row>
    <row r="1407" hidden="1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N1407" t="n">
        <v>99.31</v>
      </c>
      <c r="O1407" t="n">
        <v>30.96234309623431</v>
      </c>
    </row>
    <row r="1408" hidden="1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N1408" t="n">
        <v>96.67</v>
      </c>
      <c r="O1408" t="n">
        <v>31.45161290322581</v>
      </c>
    </row>
    <row r="1409" hidden="1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N1409" t="n">
        <v>100</v>
      </c>
      <c r="O1409" t="n">
        <v>27.67676767676768</v>
      </c>
    </row>
    <row r="1410" hidden="1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N1410" t="n">
        <v>100</v>
      </c>
      <c r="O1410" t="n">
        <v>31.17723156532988</v>
      </c>
    </row>
    <row r="1411" hidden="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N1411" t="n">
        <v>100</v>
      </c>
      <c r="O1411" t="n">
        <v>27.60942760942761</v>
      </c>
    </row>
    <row r="1412" hidden="1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N1412" t="n">
        <v>96.40000000000001</v>
      </c>
      <c r="O1412" t="n">
        <v>28.76404494382023</v>
      </c>
    </row>
    <row r="1413" hidden="1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N1413" t="n">
        <v>100</v>
      </c>
      <c r="O1413" t="n">
        <v>33.98058252427185</v>
      </c>
    </row>
    <row r="1414" hidden="1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N1414" t="n">
        <v>97.56</v>
      </c>
      <c r="O1414" t="n">
        <v>32.51533742331289</v>
      </c>
    </row>
    <row r="1415" hidden="1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N1415" t="n">
        <v>97.11</v>
      </c>
      <c r="O1415" t="n">
        <v>37.40831295843521</v>
      </c>
    </row>
    <row r="1416" hidden="1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N1416" t="n">
        <v>0</v>
      </c>
      <c r="O1416" t="n">
        <v>0</v>
      </c>
    </row>
    <row r="1417" hidden="1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N1417" t="n">
        <v>100</v>
      </c>
      <c r="O1417" t="n">
        <v>30.47034764826176</v>
      </c>
    </row>
    <row r="1418" hidden="1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N1418" t="n">
        <v>100</v>
      </c>
      <c r="O1418" t="n">
        <v>32.37113402061856</v>
      </c>
    </row>
    <row r="1419" hidden="1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28</v>
      </c>
      <c r="E1419" t="n">
        <v>27</v>
      </c>
      <c r="F1419" t="n">
        <v>17.06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N1419" t="n">
        <v>98.31999999999999</v>
      </c>
      <c r="O1419" t="n">
        <v>32.31850117096019</v>
      </c>
    </row>
    <row r="1420" hidden="1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N1420" t="n">
        <v>96.43000000000001</v>
      </c>
      <c r="O1420" t="n">
        <v>27.01525054466231</v>
      </c>
    </row>
    <row r="1421" hidden="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N1421" t="n">
        <v>98.89</v>
      </c>
      <c r="O1421" t="n">
        <v>28.02197802197802</v>
      </c>
    </row>
    <row r="1422" hidden="1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N1422" t="n">
        <v>100</v>
      </c>
      <c r="O1422" t="n">
        <v>33.33333333333333</v>
      </c>
    </row>
    <row r="1423" hidden="1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N1423" t="n">
        <v>100</v>
      </c>
      <c r="O1423" t="n">
        <v>27.43362831858407</v>
      </c>
    </row>
    <row r="1424" hidden="1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N1424" t="n">
        <v>98.65000000000001</v>
      </c>
      <c r="O1424" t="n">
        <v>30.97826086956522</v>
      </c>
    </row>
    <row r="1425" hidden="1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N1425" t="n">
        <v>100</v>
      </c>
      <c r="O1425" t="n">
        <v>12</v>
      </c>
    </row>
    <row r="1426" hidden="1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N1426" t="n">
        <v>0</v>
      </c>
      <c r="O1426" t="n">
        <v>0</v>
      </c>
    </row>
    <row r="1427" hidden="1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N1427" t="n">
        <v>97.56</v>
      </c>
      <c r="O1427" t="n">
        <v>31.06796116504854</v>
      </c>
    </row>
    <row r="1428" hidden="1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N1428" t="n">
        <v>0</v>
      </c>
      <c r="O1428" t="n">
        <v>0</v>
      </c>
    </row>
    <row r="1429" hidden="1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N1429" t="n">
        <v>0</v>
      </c>
      <c r="O1429" t="n">
        <v>0</v>
      </c>
    </row>
    <row r="1430" hidden="1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N1430" t="n">
        <v>0</v>
      </c>
      <c r="O1430" t="n">
        <v>0</v>
      </c>
    </row>
    <row r="1431" hidden="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N1431" t="n">
        <v>100</v>
      </c>
      <c r="O1431" t="n">
        <v>53.84615384615385</v>
      </c>
    </row>
    <row r="1432" hidden="1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N1432" t="n">
        <v>100</v>
      </c>
      <c r="O1432" t="n">
        <v>44.05594405594406</v>
      </c>
    </row>
    <row r="1433" hidden="1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N1433" t="n">
        <v>100</v>
      </c>
      <c r="O1433" t="n">
        <v>31.87250996015936</v>
      </c>
    </row>
    <row r="1434" hidden="1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N1434" t="n">
        <v>98.41</v>
      </c>
      <c r="O1434" t="n">
        <v>29.22465208747515</v>
      </c>
    </row>
    <row r="1435" hidden="1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N1435" t="n">
        <v>96.81</v>
      </c>
      <c r="O1435" t="n">
        <v>27.98053527980535</v>
      </c>
    </row>
    <row r="1436" hidden="1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N1436" t="n">
        <v>98.73</v>
      </c>
      <c r="O1436" t="n">
        <v>35.75638506876228</v>
      </c>
    </row>
    <row r="1437" hidden="1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N1437" t="n">
        <v>98.31999999999999</v>
      </c>
      <c r="O1437" t="n">
        <v>26.76348547717842</v>
      </c>
    </row>
    <row r="1438" hidden="1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N1438" t="n">
        <v>99.19</v>
      </c>
      <c r="O1438" t="n">
        <v>27.63713080168776</v>
      </c>
    </row>
    <row r="1439" hidden="1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N1439" t="n">
        <v>100</v>
      </c>
      <c r="O1439" t="n">
        <v>39.56834532374101</v>
      </c>
    </row>
    <row r="1440" hidden="1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N1440" t="n">
        <v>98.54000000000001</v>
      </c>
      <c r="O1440" t="n">
        <v>28.54477611940299</v>
      </c>
    </row>
    <row r="1441" hidden="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N1441" t="n">
        <v>100</v>
      </c>
      <c r="O1441" t="n">
        <v>34.36692506459949</v>
      </c>
    </row>
    <row r="1442" hidden="1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N1442" t="n">
        <v>0</v>
      </c>
      <c r="O1442" t="n">
        <v>0</v>
      </c>
    </row>
    <row r="1443" hidden="1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N1443" t="n">
        <v>100</v>
      </c>
      <c r="O1443" t="n">
        <v>29.51807228915663</v>
      </c>
    </row>
    <row r="1444" hidden="1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N1444" t="n">
        <v>97.45</v>
      </c>
      <c r="O1444" t="n">
        <v>41.421143847487</v>
      </c>
    </row>
    <row r="1445" hidden="1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31</v>
      </c>
      <c r="E1445" t="n">
        <v>20</v>
      </c>
      <c r="F1445" t="n">
        <v>11.42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N1445" t="n">
        <v>96.58</v>
      </c>
      <c r="O1445" t="n">
        <v>30.39647577092511</v>
      </c>
    </row>
    <row r="1446" hidden="1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N1446" t="n">
        <v>100</v>
      </c>
      <c r="O1446" t="n">
        <v>27.44282744282744</v>
      </c>
    </row>
    <row r="1447" hidden="1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25</v>
      </c>
      <c r="E1447" t="n">
        <v>24</v>
      </c>
      <c r="F1447" t="n">
        <v>23.24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N1447" t="n">
        <v>99.48999999999999</v>
      </c>
      <c r="O1447" t="n">
        <v>40.2</v>
      </c>
    </row>
    <row r="1448" hidden="1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N1448" t="n">
        <v>100</v>
      </c>
      <c r="O1448" t="n">
        <v>25</v>
      </c>
    </row>
    <row r="1449" hidden="1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N1449" t="n">
        <v>100</v>
      </c>
      <c r="O1449" t="n">
        <v>34.15094339622641</v>
      </c>
    </row>
    <row r="1450" hidden="1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N1450" t="n">
        <v>100</v>
      </c>
      <c r="O1450" t="n">
        <v>32.7313769751693</v>
      </c>
    </row>
    <row r="1451" hidden="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N1451" t="n">
        <v>99.31</v>
      </c>
      <c r="O1451" t="n">
        <v>30.96234309623431</v>
      </c>
    </row>
    <row r="1452" hidden="1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N1452" t="n">
        <v>96.67</v>
      </c>
      <c r="O1452" t="n">
        <v>31.45161290322581</v>
      </c>
    </row>
    <row r="1453" hidden="1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N1453" t="n">
        <v>100</v>
      </c>
      <c r="O1453" t="n">
        <v>27.67676767676768</v>
      </c>
    </row>
    <row r="1454" hidden="1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N1454" t="n">
        <v>100</v>
      </c>
      <c r="O1454" t="n">
        <v>31.17723156532988</v>
      </c>
    </row>
    <row r="1455" hidden="1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N1455" t="n">
        <v>100</v>
      </c>
      <c r="O1455" t="n">
        <v>27.60942760942761</v>
      </c>
    </row>
    <row r="1456" hidden="1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N1456" t="n">
        <v>96.40000000000001</v>
      </c>
      <c r="O1456" t="n">
        <v>28.76404494382023</v>
      </c>
    </row>
    <row r="1457" hidden="1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N1457" t="n">
        <v>100</v>
      </c>
      <c r="O1457" t="n">
        <v>33.98058252427185</v>
      </c>
    </row>
    <row r="1458" hidden="1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N1458" t="n">
        <v>97.56</v>
      </c>
      <c r="O1458" t="n">
        <v>32.51533742331289</v>
      </c>
    </row>
    <row r="1459" hidden="1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N1459" t="n">
        <v>97.11</v>
      </c>
      <c r="O1459" t="n">
        <v>37.40831295843521</v>
      </c>
    </row>
    <row r="1460" hidden="1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N1460" t="n">
        <v>0</v>
      </c>
      <c r="O1460" t="n">
        <v>0</v>
      </c>
    </row>
    <row r="1461" hidden="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N1461" t="n">
        <v>100</v>
      </c>
      <c r="O1461" t="n">
        <v>30.47034764826176</v>
      </c>
    </row>
    <row r="1462" hidden="1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N1462" t="n">
        <v>100</v>
      </c>
      <c r="O1462" t="n">
        <v>32.37113402061856</v>
      </c>
    </row>
    <row r="1463" hidden="1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11</v>
      </c>
      <c r="E1463" t="n">
        <v>11</v>
      </c>
      <c r="F1463" t="n">
        <v>18.28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N1463" t="n">
        <v>98.31999999999999</v>
      </c>
      <c r="O1463" t="n">
        <v>32.31850117096019</v>
      </c>
    </row>
    <row r="1464" hidden="1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N1464" t="n">
        <v>96.43000000000001</v>
      </c>
      <c r="O1464" t="n">
        <v>27.01525054466231</v>
      </c>
    </row>
    <row r="1465" hidden="1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N1465" t="n">
        <v>98.89</v>
      </c>
      <c r="O1465" t="n">
        <v>28.02197802197802</v>
      </c>
    </row>
    <row r="1466" hidden="1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N1466" t="n">
        <v>100</v>
      </c>
      <c r="O1466" t="n">
        <v>33.33333333333333</v>
      </c>
    </row>
    <row r="1467" hidden="1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N1467" t="n">
        <v>100</v>
      </c>
      <c r="O1467" t="n">
        <v>27.43362831858407</v>
      </c>
    </row>
    <row r="1468" hidden="1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N1468" t="n">
        <v>98.65000000000001</v>
      </c>
      <c r="O1468" t="n">
        <v>30.97826086956522</v>
      </c>
    </row>
    <row r="1469" hidden="1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N1469" t="n">
        <v>100</v>
      </c>
      <c r="O1469" t="n">
        <v>12</v>
      </c>
    </row>
    <row r="1470" hidden="1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N1470" t="n">
        <v>0</v>
      </c>
      <c r="O1470" t="n">
        <v>0</v>
      </c>
    </row>
    <row r="1471" hidden="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N1471" t="n">
        <v>97.56</v>
      </c>
      <c r="O1471" t="n">
        <v>31.06796116504854</v>
      </c>
    </row>
    <row r="1472" hidden="1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N1472" t="n">
        <v>0</v>
      </c>
      <c r="O1472" t="n">
        <v>0</v>
      </c>
    </row>
    <row r="1473" hidden="1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N1473" t="n">
        <v>0</v>
      </c>
      <c r="O1473" t="n">
        <v>0</v>
      </c>
    </row>
    <row r="1474" hidden="1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N1474" t="n">
        <v>0</v>
      </c>
      <c r="O1474" t="n">
        <v>0</v>
      </c>
    </row>
    <row r="1475" hidden="1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N1475" t="n">
        <v>100</v>
      </c>
      <c r="O1475" t="n">
        <v>53.84615384615385</v>
      </c>
    </row>
    <row r="1476" hidden="1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N1476" t="n">
        <v>100</v>
      </c>
      <c r="O1476" t="n">
        <v>44.05594405594406</v>
      </c>
    </row>
    <row r="1477" hidden="1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N1477" t="n">
        <v>100</v>
      </c>
      <c r="O1477" t="n">
        <v>31.87250996015936</v>
      </c>
    </row>
    <row r="1478" hidden="1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N1478" t="n">
        <v>98.41</v>
      </c>
      <c r="O1478" t="n">
        <v>29.22465208747515</v>
      </c>
    </row>
    <row r="1479" hidden="1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M1479" t="n">
        <v>19</v>
      </c>
      <c r="N1479" t="n">
        <v>97.22</v>
      </c>
      <c r="O1479" t="n">
        <v>28.99022801302932</v>
      </c>
    </row>
    <row r="1480" hidden="1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M1480" t="n">
        <v>21</v>
      </c>
      <c r="N1480" t="n">
        <v>98.18000000000001</v>
      </c>
      <c r="O1480" t="n">
        <v>32.29974160206719</v>
      </c>
    </row>
    <row r="1481" hidden="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M1481" t="n">
        <v>27</v>
      </c>
      <c r="N1481" t="n">
        <v>98.92</v>
      </c>
      <c r="O1481" t="n">
        <v>25.78125</v>
      </c>
    </row>
    <row r="1482" hidden="1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M1482" t="n">
        <v>16</v>
      </c>
      <c r="N1482" t="n">
        <v>98.95</v>
      </c>
      <c r="O1482" t="n">
        <v>29.02374670184696</v>
      </c>
    </row>
    <row r="1483" hidden="1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M1483" t="n">
        <v>7</v>
      </c>
      <c r="N1483" t="n">
        <v>100</v>
      </c>
      <c r="O1483" t="n">
        <v>40.74074074074074</v>
      </c>
    </row>
    <row r="1484" hidden="1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M1484" t="n">
        <v>30</v>
      </c>
      <c r="N1484" t="n">
        <v>98.31999999999999</v>
      </c>
      <c r="O1484" t="n">
        <v>28.80952380952381</v>
      </c>
    </row>
    <row r="1485" hidden="1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M1485" t="n">
        <v>21</v>
      </c>
      <c r="N1485" t="n">
        <v>100</v>
      </c>
      <c r="O1485" t="n">
        <v>35.76158940397351</v>
      </c>
    </row>
    <row r="1486" hidden="1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M1486" t="n">
        <v>0</v>
      </c>
      <c r="N1486" t="n">
        <v>0</v>
      </c>
      <c r="O1486" t="n">
        <v>0</v>
      </c>
    </row>
    <row r="1487" hidden="1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M1487" t="n">
        <v>19</v>
      </c>
      <c r="N1487" t="n">
        <v>100</v>
      </c>
      <c r="O1487" t="n">
        <v>27.49003984063745</v>
      </c>
    </row>
    <row r="1488" hidden="1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M1488" t="n">
        <v>30</v>
      </c>
      <c r="N1488" t="n">
        <v>96.70999999999999</v>
      </c>
      <c r="O1488" t="n">
        <v>42.28187919463087</v>
      </c>
    </row>
    <row r="1489" hidden="1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30</v>
      </c>
      <c r="E1489" t="n">
        <v>21</v>
      </c>
      <c r="F1489" t="n">
        <v>20.24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M1489" t="n">
        <v>21</v>
      </c>
      <c r="N1489" t="n">
        <v>95.65000000000001</v>
      </c>
      <c r="O1489" t="n">
        <v>29.74504249291784</v>
      </c>
    </row>
    <row r="1490" hidden="1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M1490" t="n">
        <v>11</v>
      </c>
      <c r="N1490" t="n">
        <v>100</v>
      </c>
      <c r="O1490" t="n">
        <v>26.93333333333333</v>
      </c>
    </row>
    <row r="1491" hidden="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11</v>
      </c>
      <c r="E1491" t="n">
        <v>10</v>
      </c>
      <c r="F1491" t="n">
        <v>18.54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M1491" t="n">
        <v>8</v>
      </c>
      <c r="N1491" t="n">
        <v>100</v>
      </c>
      <c r="O1491" t="n">
        <v>41.86666666666667</v>
      </c>
    </row>
    <row r="1492" hidden="1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M1492" t="n">
        <v>0</v>
      </c>
      <c r="N1492" t="n">
        <v>0</v>
      </c>
      <c r="O1492" t="n">
        <v>0</v>
      </c>
    </row>
    <row r="1493" hidden="1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M1493" t="n">
        <v>28</v>
      </c>
      <c r="N1493" t="n">
        <v>100</v>
      </c>
      <c r="O1493" t="n">
        <v>34.28571428571428</v>
      </c>
    </row>
    <row r="1494" hidden="1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M1494" t="n">
        <v>26</v>
      </c>
      <c r="N1494" t="n">
        <v>100</v>
      </c>
      <c r="O1494" t="n">
        <v>32.3262839879154</v>
      </c>
    </row>
    <row r="1495" hidden="1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M1495" t="n">
        <v>21</v>
      </c>
      <c r="N1495" t="n">
        <v>99.11</v>
      </c>
      <c r="O1495" t="n">
        <v>32.38636363636363</v>
      </c>
    </row>
    <row r="1496" hidden="1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N1496" t="n">
        <v>96.67</v>
      </c>
      <c r="O1496" t="n">
        <v>31.45161290322581</v>
      </c>
    </row>
    <row r="1497" hidden="1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M1497" t="n">
        <v>24</v>
      </c>
      <c r="N1497" t="n">
        <v>100</v>
      </c>
      <c r="O1497" t="n">
        <v>28.83597883597884</v>
      </c>
    </row>
    <row r="1498" hidden="1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M1498" t="n">
        <v>34</v>
      </c>
      <c r="N1498" t="n">
        <v>100</v>
      </c>
      <c r="O1498" t="n">
        <v>31</v>
      </c>
    </row>
    <row r="1499" hidden="1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M1499" t="n">
        <v>18</v>
      </c>
      <c r="N1499" t="n">
        <v>100</v>
      </c>
      <c r="O1499" t="n">
        <v>28.57142857142857</v>
      </c>
    </row>
    <row r="1500" hidden="1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M1500" t="n">
        <v>26</v>
      </c>
      <c r="N1500" t="n">
        <v>95.23999999999999</v>
      </c>
      <c r="O1500" t="n">
        <v>29.71428571428572</v>
      </c>
    </row>
    <row r="1501" hidden="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M1501" t="n">
        <v>0</v>
      </c>
      <c r="N1501" t="n">
        <v>100</v>
      </c>
      <c r="O1501" t="n">
        <v>33.98058252427185</v>
      </c>
    </row>
    <row r="1502" hidden="1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M1502" t="n">
        <v>8</v>
      </c>
      <c r="N1502" t="n">
        <v>97.06</v>
      </c>
      <c r="O1502" t="n">
        <v>30.4</v>
      </c>
    </row>
    <row r="1503" hidden="1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M1503" t="n">
        <v>17</v>
      </c>
      <c r="N1503" t="n">
        <v>97.16</v>
      </c>
      <c r="O1503" t="n">
        <v>39.76945244956772</v>
      </c>
    </row>
    <row r="1504" hidden="1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M1504" t="n">
        <v>0</v>
      </c>
      <c r="N1504" t="n">
        <v>0</v>
      </c>
      <c r="O1504" t="n">
        <v>0</v>
      </c>
    </row>
    <row r="1505" hidden="1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M1505" t="n">
        <v>24</v>
      </c>
      <c r="N1505" t="n">
        <v>100</v>
      </c>
      <c r="O1505" t="n">
        <v>29.26208651399491</v>
      </c>
    </row>
    <row r="1506" hidden="1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M1506" t="n">
        <v>21</v>
      </c>
      <c r="N1506" t="n">
        <v>100</v>
      </c>
      <c r="O1506" t="n">
        <v>34.13333333333333</v>
      </c>
    </row>
    <row r="1507" hidden="1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34</v>
      </c>
      <c r="E1507" t="n">
        <v>33</v>
      </c>
      <c r="F1507" t="n">
        <v>17.23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M1507" t="n">
        <v>29</v>
      </c>
      <c r="N1507" t="n">
        <v>98.95</v>
      </c>
      <c r="O1507" t="n">
        <v>31.61094224924012</v>
      </c>
    </row>
    <row r="1508" hidden="1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M1508" t="n">
        <v>28</v>
      </c>
      <c r="N1508" t="n">
        <v>96.94</v>
      </c>
      <c r="O1508" t="n">
        <v>27.13936430317848</v>
      </c>
    </row>
    <row r="1509" hidden="1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M1509" t="n">
        <v>22</v>
      </c>
      <c r="N1509" t="n">
        <v>98.61</v>
      </c>
      <c r="O1509" t="n">
        <v>27.1523178807947</v>
      </c>
    </row>
    <row r="1510" hidden="1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M1510" t="n">
        <v>0</v>
      </c>
      <c r="N1510" t="n">
        <v>100</v>
      </c>
      <c r="O1510" t="n">
        <v>34.48275862068966</v>
      </c>
    </row>
    <row r="1511" hidden="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M1511" t="n">
        <v>0</v>
      </c>
      <c r="N1511" t="n">
        <v>100</v>
      </c>
      <c r="O1511" t="n">
        <v>27.43362831858407</v>
      </c>
    </row>
    <row r="1512" hidden="1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M1512" t="n">
        <v>31</v>
      </c>
      <c r="N1512" t="n">
        <v>99.15000000000001</v>
      </c>
      <c r="O1512" t="n">
        <v>30.85585585585586</v>
      </c>
    </row>
    <row r="1513" hidden="1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M1513" t="n">
        <v>0</v>
      </c>
      <c r="N1513" t="n">
        <v>100</v>
      </c>
      <c r="O1513" t="n">
        <v>10</v>
      </c>
    </row>
    <row r="1514" hidden="1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M1514" t="n">
        <v>0</v>
      </c>
      <c r="N1514" t="n">
        <v>0</v>
      </c>
      <c r="O1514" t="n">
        <v>0</v>
      </c>
    </row>
    <row r="1515" hidden="1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M1515" t="n">
        <v>17</v>
      </c>
      <c r="N1515" t="n">
        <v>96</v>
      </c>
      <c r="O1515" t="n">
        <v>31.88405797101449</v>
      </c>
    </row>
    <row r="1516" hidden="1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M1516" t="n">
        <v>0</v>
      </c>
      <c r="N1516" t="n">
        <v>0</v>
      </c>
      <c r="O1516" t="n">
        <v>0</v>
      </c>
    </row>
    <row r="1517" hidden="1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M1517" t="n">
        <v>0</v>
      </c>
      <c r="N1517" t="n">
        <v>0</v>
      </c>
      <c r="O1517" t="n">
        <v>0</v>
      </c>
    </row>
    <row r="1518" hidden="1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M1518" t="n">
        <v>0</v>
      </c>
      <c r="N1518" t="n">
        <v>0</v>
      </c>
      <c r="O1518" t="n">
        <v>0</v>
      </c>
    </row>
    <row r="1519" hidden="1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M1519" t="n">
        <v>0</v>
      </c>
      <c r="N1519" t="n">
        <v>0</v>
      </c>
      <c r="O1519" t="n">
        <v>0</v>
      </c>
    </row>
    <row r="1520" hidden="1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M1520" t="n">
        <v>33</v>
      </c>
      <c r="N1520" t="n">
        <v>100</v>
      </c>
      <c r="O1520" t="n">
        <v>49.67741935483871</v>
      </c>
    </row>
    <row r="1521" hidden="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M1521" t="n">
        <v>13</v>
      </c>
      <c r="N1521" t="n">
        <v>100</v>
      </c>
      <c r="O1521" t="n">
        <v>32.51231527093596</v>
      </c>
    </row>
    <row r="1522" hidden="1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M1522" t="n">
        <v>24</v>
      </c>
      <c r="N1522" t="n">
        <v>100</v>
      </c>
      <c r="O1522" t="n">
        <v>26.47814910025707</v>
      </c>
    </row>
    <row r="1523" hidden="1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M1523" t="n">
        <v>21</v>
      </c>
      <c r="N1523" t="n">
        <v>96.3</v>
      </c>
      <c r="O1523" t="n">
        <v>28.65853658536585</v>
      </c>
    </row>
    <row r="1524" hidden="1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M1524" t="n">
        <v>29</v>
      </c>
      <c r="N1524" t="n">
        <v>98.23</v>
      </c>
      <c r="O1524" t="n">
        <v>32.93269230769231</v>
      </c>
    </row>
    <row r="1525" hidden="1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M1525" t="n">
        <v>24</v>
      </c>
      <c r="N1525" t="n">
        <v>99.04000000000001</v>
      </c>
      <c r="O1525" t="n">
        <v>25.98039215686275</v>
      </c>
    </row>
    <row r="1526" hidden="1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M1526" t="n">
        <v>31</v>
      </c>
      <c r="N1526" t="n">
        <v>99.06999999999999</v>
      </c>
      <c r="O1526" t="n">
        <v>29.26829268292683</v>
      </c>
    </row>
    <row r="1527" hidden="1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M1527" t="n">
        <v>10</v>
      </c>
      <c r="N1527" t="n">
        <v>100</v>
      </c>
      <c r="O1527" t="n">
        <v>41.52542372881356</v>
      </c>
    </row>
    <row r="1528" hidden="1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M1528" t="n">
        <v>26</v>
      </c>
      <c r="N1528" t="n">
        <v>98.39</v>
      </c>
      <c r="O1528" t="n">
        <v>28.9237668161435</v>
      </c>
    </row>
    <row r="1529" hidden="1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M1529" t="n">
        <v>22</v>
      </c>
      <c r="N1529" t="n">
        <v>100</v>
      </c>
      <c r="O1529" t="n">
        <v>34.5679012345679</v>
      </c>
    </row>
    <row r="1530" hidden="1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M1530" t="n">
        <v>0</v>
      </c>
      <c r="N1530" t="n">
        <v>0</v>
      </c>
      <c r="O1530" t="n">
        <v>0</v>
      </c>
    </row>
    <row r="1531" hidden="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M1531" t="n">
        <v>22</v>
      </c>
      <c r="N1531" t="n">
        <v>100</v>
      </c>
      <c r="O1531" t="n">
        <v>28.2051282051282</v>
      </c>
    </row>
    <row r="1532" hidden="1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M1532" t="n">
        <v>25</v>
      </c>
      <c r="N1532" t="n">
        <v>96.97</v>
      </c>
      <c r="O1532" t="n">
        <v>42.58474576271186</v>
      </c>
    </row>
    <row r="1533" hidden="1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35</v>
      </c>
      <c r="E1533" t="n">
        <v>25</v>
      </c>
      <c r="F1533" t="n">
        <v>13.29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M1533" t="n">
        <v>19</v>
      </c>
      <c r="N1533" t="n">
        <v>96.08</v>
      </c>
      <c r="O1533" t="n">
        <v>30.37634408602151</v>
      </c>
    </row>
    <row r="1534" hidden="1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M1534" t="n">
        <v>27</v>
      </c>
      <c r="N1534" t="n">
        <v>100</v>
      </c>
      <c r="O1534" t="n">
        <v>26.86567164179105</v>
      </c>
    </row>
    <row r="1535" hidden="1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29</v>
      </c>
      <c r="E1535" t="n">
        <v>28</v>
      </c>
      <c r="F1535" t="n">
        <v>26.43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M1535" t="n">
        <v>26</v>
      </c>
      <c r="N1535" t="n">
        <v>100</v>
      </c>
      <c r="O1535" t="n">
        <v>41</v>
      </c>
    </row>
    <row r="1536" hidden="1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M1536" t="n">
        <v>0</v>
      </c>
      <c r="N1536" t="n">
        <v>0</v>
      </c>
      <c r="O1536" t="n">
        <v>0</v>
      </c>
    </row>
    <row r="1537" hidden="1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M1537" t="n">
        <v>30</v>
      </c>
      <c r="N1537" t="n">
        <v>100</v>
      </c>
      <c r="O1537" t="n">
        <v>33.77777777777778</v>
      </c>
    </row>
    <row r="1538" hidden="1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M1538" t="n">
        <v>25</v>
      </c>
      <c r="N1538" t="n">
        <v>100</v>
      </c>
      <c r="O1538" t="n">
        <v>33.98876404494382</v>
      </c>
    </row>
    <row r="1539" hidden="1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M1539" t="n">
        <v>25</v>
      </c>
      <c r="N1539" t="n">
        <v>99.19</v>
      </c>
      <c r="O1539" t="n">
        <v>32.4468085106383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N1540" t="n">
        <v>99.05</v>
      </c>
      <c r="O1540" t="n">
        <v>26.62192393736018</v>
      </c>
    </row>
    <row r="1541" hidden="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M1541" t="n">
        <v>28</v>
      </c>
      <c r="N1541" t="n">
        <v>100</v>
      </c>
      <c r="O1541" t="n">
        <v>29.38271604938272</v>
      </c>
    </row>
    <row r="1542" hidden="1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M1542" t="n">
        <v>30</v>
      </c>
      <c r="N1542" t="n">
        <v>100</v>
      </c>
      <c r="O1542" t="n">
        <v>31.26984126984127</v>
      </c>
    </row>
    <row r="1543" hidden="1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M1543" t="n">
        <v>14</v>
      </c>
      <c r="N1543" t="n">
        <v>100</v>
      </c>
      <c r="O1543" t="n">
        <v>28.57142857142857</v>
      </c>
    </row>
    <row r="1544" hidden="1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M1544" t="n">
        <v>23</v>
      </c>
      <c r="N1544" t="n">
        <v>95.83</v>
      </c>
      <c r="O1544" t="n">
        <v>28.68632707774799</v>
      </c>
    </row>
    <row r="1545" hidden="1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M1545" t="n">
        <v>0</v>
      </c>
      <c r="N1545" t="n">
        <v>100</v>
      </c>
      <c r="O1545" t="n">
        <v>33.98058252427185</v>
      </c>
    </row>
    <row r="1546" hidden="1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M1546" t="n">
        <v>5</v>
      </c>
      <c r="N1546" t="n">
        <v>97.37</v>
      </c>
      <c r="O1546" t="n">
        <v>31.53846153846154</v>
      </c>
    </row>
    <row r="1547" hidden="1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M1547" t="n">
        <v>14</v>
      </c>
      <c r="N1547" t="n">
        <v>96.73</v>
      </c>
      <c r="O1547" t="n">
        <v>39.33518005540166</v>
      </c>
    </row>
    <row r="1548" hidden="1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M1548" t="n">
        <v>0</v>
      </c>
      <c r="N1548" t="n">
        <v>0</v>
      </c>
      <c r="O1548" t="n">
        <v>0</v>
      </c>
    </row>
    <row r="1549" hidden="1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M1549" t="n">
        <v>18</v>
      </c>
      <c r="N1549" t="n">
        <v>100</v>
      </c>
      <c r="O1549" t="n">
        <v>29.26829268292683</v>
      </c>
    </row>
    <row r="1550" hidden="1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M1550" t="n">
        <v>24</v>
      </c>
      <c r="N1550" t="n">
        <v>100</v>
      </c>
      <c r="O1550" t="n">
        <v>34.3358395989975</v>
      </c>
    </row>
    <row r="1551" hidden="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25</v>
      </c>
      <c r="E1551" t="n">
        <v>23</v>
      </c>
      <c r="F1551" t="n">
        <v>20.28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M1551" t="n">
        <v>19</v>
      </c>
      <c r="N1551" t="n">
        <v>98.09999999999999</v>
      </c>
      <c r="O1551" t="n">
        <v>32.4712643678161</v>
      </c>
    </row>
    <row r="1552" hidden="1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M1552" t="n">
        <v>13</v>
      </c>
      <c r="N1552" t="n">
        <v>97.17</v>
      </c>
      <c r="O1552" t="n">
        <v>27.48815165876777</v>
      </c>
    </row>
    <row r="1553" hidden="1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M1553" t="n">
        <v>13</v>
      </c>
      <c r="N1553" t="n">
        <v>98.73</v>
      </c>
      <c r="O1553" t="n">
        <v>27.93650793650794</v>
      </c>
    </row>
    <row r="1554" hidden="1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M1554" t="n">
        <v>4</v>
      </c>
      <c r="N1554" t="n">
        <v>100</v>
      </c>
      <c r="O1554" t="n">
        <v>35.16483516483517</v>
      </c>
    </row>
    <row r="1555" hidden="1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M1555" t="n">
        <v>0</v>
      </c>
      <c r="N1555" t="n">
        <v>100</v>
      </c>
      <c r="O1555" t="n">
        <v>27.43362831858407</v>
      </c>
    </row>
    <row r="1556" hidden="1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M1556" t="n">
        <v>18</v>
      </c>
      <c r="N1556" t="n">
        <v>98.41</v>
      </c>
      <c r="O1556" t="n">
        <v>30.51948051948052</v>
      </c>
    </row>
    <row r="1557" hidden="1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M1557" t="n">
        <v>5</v>
      </c>
      <c r="N1557" t="n">
        <v>100</v>
      </c>
      <c r="O1557" t="n">
        <v>6.666666666666667</v>
      </c>
    </row>
    <row r="1558" hidden="1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M1558" t="n">
        <v>0</v>
      </c>
      <c r="N1558" t="n">
        <v>0</v>
      </c>
      <c r="O1558" t="n">
        <v>0</v>
      </c>
    </row>
    <row r="1559" hidden="1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M1559" t="n">
        <v>8</v>
      </c>
      <c r="N1559" t="n">
        <v>96.67</v>
      </c>
      <c r="O1559" t="n">
        <v>31.50684931506849</v>
      </c>
    </row>
    <row r="1560" hidden="1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M1560" t="n">
        <v>0</v>
      </c>
      <c r="N1560" t="n">
        <v>0</v>
      </c>
      <c r="O1560" t="n">
        <v>0</v>
      </c>
    </row>
    <row r="1561" hidden="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M1561" t="n">
        <v>0</v>
      </c>
      <c r="N1561" t="n">
        <v>0</v>
      </c>
      <c r="O1561" t="n">
        <v>0</v>
      </c>
    </row>
    <row r="1562" hidden="1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M1562" t="n">
        <v>0</v>
      </c>
      <c r="N1562" t="n">
        <v>0</v>
      </c>
      <c r="O1562" t="n">
        <v>0</v>
      </c>
    </row>
    <row r="1563" hidden="1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M1563" t="n">
        <v>0</v>
      </c>
      <c r="N1563" t="n">
        <v>0</v>
      </c>
      <c r="O1563" t="n">
        <v>0</v>
      </c>
    </row>
    <row r="1564" hidden="1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M1564" t="n">
        <v>28</v>
      </c>
      <c r="N1564" t="n">
        <v>100</v>
      </c>
      <c r="O1564" t="n">
        <v>47.54098360655738</v>
      </c>
    </row>
    <row r="1565" hidden="1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M1565" t="n">
        <v>17</v>
      </c>
      <c r="N1565" t="n">
        <v>100</v>
      </c>
      <c r="O1565" t="n">
        <v>32.27272727272727</v>
      </c>
    </row>
    <row r="1566" hidden="1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M1566" t="n">
        <v>29</v>
      </c>
      <c r="N1566" t="n">
        <v>99.06999999999999</v>
      </c>
      <c r="O1566" t="n">
        <v>27.51196172248804</v>
      </c>
    </row>
    <row r="1567" hidden="1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M1567" t="n">
        <v>39</v>
      </c>
      <c r="N1567" t="n">
        <v>96.55</v>
      </c>
      <c r="O1567" t="n">
        <v>27.79291553133515</v>
      </c>
    </row>
    <row r="1568" hidden="1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M1568" t="n">
        <v>36</v>
      </c>
      <c r="N1568" t="n">
        <v>98.45</v>
      </c>
      <c r="O1568" t="n">
        <v>35.17699115044248</v>
      </c>
    </row>
    <row r="1569" hidden="1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M1569" t="n">
        <v>24</v>
      </c>
      <c r="N1569" t="n">
        <v>99.08</v>
      </c>
      <c r="O1569" t="n">
        <v>26.38888888888889</v>
      </c>
    </row>
    <row r="1570" hidden="1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M1570" t="n">
        <v>20</v>
      </c>
      <c r="N1570" t="n">
        <v>99.15000000000001</v>
      </c>
      <c r="O1570" t="n">
        <v>29.06976744186047</v>
      </c>
    </row>
    <row r="1571" hidden="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M1571" t="n">
        <v>13</v>
      </c>
      <c r="N1571" t="n">
        <v>100</v>
      </c>
      <c r="O1571" t="n">
        <v>39.69465648854962</v>
      </c>
    </row>
    <row r="1572" hidden="1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M1572" t="n">
        <v>38</v>
      </c>
      <c r="N1572" t="n">
        <v>98.44</v>
      </c>
      <c r="O1572" t="n">
        <v>28.71900826446281</v>
      </c>
    </row>
    <row r="1573" hidden="1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M1573" t="n">
        <v>20</v>
      </c>
      <c r="N1573" t="n">
        <v>100</v>
      </c>
      <c r="O1573" t="n">
        <v>34.30232558139535</v>
      </c>
    </row>
    <row r="1574" hidden="1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M1574" t="n">
        <v>0</v>
      </c>
      <c r="N1574" t="n">
        <v>0</v>
      </c>
      <c r="O1574" t="n">
        <v>0</v>
      </c>
    </row>
    <row r="1575" hidden="1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M1575" t="n">
        <v>26</v>
      </c>
      <c r="N1575" t="n">
        <v>100</v>
      </c>
      <c r="O1575" t="n">
        <v>28.42809364548495</v>
      </c>
    </row>
    <row r="1576" hidden="1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M1576" t="n">
        <v>36</v>
      </c>
      <c r="N1576" t="n">
        <v>97.13</v>
      </c>
      <c r="O1576" t="n">
        <v>41.73228346456693</v>
      </c>
    </row>
    <row r="1577" hidden="1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41</v>
      </c>
      <c r="E1577" t="n">
        <v>32</v>
      </c>
      <c r="F1577" t="n">
        <v>13.51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M1577" t="n">
        <v>30</v>
      </c>
      <c r="N1577" t="n">
        <v>96.33</v>
      </c>
      <c r="O1577" t="n">
        <v>31.34328358208955</v>
      </c>
    </row>
    <row r="1578" hidden="1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M1578" t="n">
        <v>28</v>
      </c>
      <c r="N1578" t="n">
        <v>100</v>
      </c>
      <c r="O1578" t="n">
        <v>27.90697674418605</v>
      </c>
    </row>
    <row r="1579" hidden="1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32</v>
      </c>
      <c r="E1579" t="n">
        <v>32</v>
      </c>
      <c r="F1579" t="n">
        <v>22.01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M1579" t="n">
        <v>31</v>
      </c>
      <c r="N1579" t="n">
        <v>99.45999999999999</v>
      </c>
      <c r="O1579" t="n">
        <v>41.76334106728538</v>
      </c>
    </row>
    <row r="1580" hidden="1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M1580" t="n">
        <v>0</v>
      </c>
      <c r="N1580" t="n">
        <v>0</v>
      </c>
      <c r="O1580" t="n">
        <v>0</v>
      </c>
    </row>
    <row r="1581" hidden="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M1581" t="n">
        <v>31</v>
      </c>
      <c r="N1581" t="n">
        <v>100</v>
      </c>
      <c r="O1581" t="n">
        <v>34.30353430353431</v>
      </c>
    </row>
    <row r="1582" hidden="1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M1582" t="n">
        <v>32</v>
      </c>
      <c r="N1582" t="n">
        <v>100</v>
      </c>
      <c r="O1582" t="n">
        <v>34.27835051546392</v>
      </c>
    </row>
    <row r="1583" hidden="1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M1583" t="n">
        <v>28</v>
      </c>
      <c r="N1583" t="n">
        <v>99.26000000000001</v>
      </c>
      <c r="O1583" t="n">
        <v>32.42574257425743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N1584" t="n">
        <v>99.05</v>
      </c>
      <c r="O1584" t="n">
        <v>26.62192393736018</v>
      </c>
    </row>
    <row r="1585" hidden="1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M1585" t="n">
        <v>30</v>
      </c>
      <c r="N1585" t="n">
        <v>100</v>
      </c>
      <c r="O1585" t="n">
        <v>28.50574712643678</v>
      </c>
    </row>
    <row r="1586" hidden="1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M1586" t="n">
        <v>47</v>
      </c>
      <c r="N1586" t="n">
        <v>100</v>
      </c>
      <c r="O1586" t="n">
        <v>31.16691285081241</v>
      </c>
    </row>
    <row r="1587" hidden="1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M1587" t="n">
        <v>16</v>
      </c>
      <c r="N1587" t="n">
        <v>100</v>
      </c>
      <c r="O1587" t="n">
        <v>28.73134328358209</v>
      </c>
    </row>
    <row r="1588" hidden="1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M1588" t="n">
        <v>37</v>
      </c>
      <c r="N1588" t="n">
        <v>96.26000000000001</v>
      </c>
      <c r="O1588" t="n">
        <v>28.85085574572127</v>
      </c>
    </row>
    <row r="1589" hidden="1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M1589" t="n">
        <v>0</v>
      </c>
      <c r="N1589" t="n">
        <v>100</v>
      </c>
      <c r="O1589" t="n">
        <v>33.98058252427185</v>
      </c>
    </row>
    <row r="1590" hidden="1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M1590" t="n">
        <v>10</v>
      </c>
      <c r="N1590" t="n">
        <v>97.56</v>
      </c>
      <c r="O1590" t="n">
        <v>33.57142857142857</v>
      </c>
    </row>
    <row r="1591" hidden="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M1591" t="n">
        <v>18</v>
      </c>
      <c r="N1591" t="n">
        <v>96.91</v>
      </c>
      <c r="O1591" t="n">
        <v>38.78627968337731</v>
      </c>
    </row>
    <row r="1592" hidden="1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M1592" t="n">
        <v>0</v>
      </c>
      <c r="N1592" t="n">
        <v>0</v>
      </c>
      <c r="O1592" t="n">
        <v>0</v>
      </c>
    </row>
    <row r="1593" hidden="1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M1593" t="n">
        <v>28</v>
      </c>
      <c r="N1593" t="n">
        <v>100</v>
      </c>
      <c r="O1593" t="n">
        <v>29.51945080091533</v>
      </c>
    </row>
    <row r="1594" hidden="1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M1594" t="n">
        <v>25</v>
      </c>
      <c r="N1594" t="n">
        <v>100</v>
      </c>
      <c r="O1594" t="n">
        <v>34.66981132075472</v>
      </c>
    </row>
    <row r="1595" hidden="1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42</v>
      </c>
      <c r="E1595" t="n">
        <v>40</v>
      </c>
      <c r="F1595" t="n">
        <v>13.55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M1595" t="n">
        <v>35</v>
      </c>
      <c r="N1595" t="n">
        <v>98.2</v>
      </c>
      <c r="O1595" t="n">
        <v>32.37597911227154</v>
      </c>
    </row>
    <row r="1596" hidden="1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M1596" t="n">
        <v>13</v>
      </c>
      <c r="N1596" t="n">
        <v>97.25</v>
      </c>
      <c r="O1596" t="n">
        <v>27.35632183908046</v>
      </c>
    </row>
    <row r="1597" hidden="1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M1597" t="n">
        <v>16</v>
      </c>
      <c r="N1597" t="n">
        <v>98.77</v>
      </c>
      <c r="O1597" t="n">
        <v>28.78787878787879</v>
      </c>
    </row>
    <row r="1598" hidden="1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M1598" t="n">
        <v>0</v>
      </c>
      <c r="N1598" t="n">
        <v>100</v>
      </c>
      <c r="O1598" t="n">
        <v>35.16483516483517</v>
      </c>
    </row>
    <row r="1599" hidden="1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M1599" t="n">
        <v>0</v>
      </c>
      <c r="N1599" t="n">
        <v>100</v>
      </c>
      <c r="O1599" t="n">
        <v>27.43362831858407</v>
      </c>
    </row>
    <row r="1600" hidden="1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M1600" t="n">
        <v>31</v>
      </c>
      <c r="N1600" t="n">
        <v>98.51000000000001</v>
      </c>
      <c r="O1600" t="n">
        <v>30.42596348884382</v>
      </c>
    </row>
    <row r="1601" hidden="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M1601" t="n">
        <v>3</v>
      </c>
      <c r="N1601" t="n">
        <v>100</v>
      </c>
      <c r="O1601" t="n">
        <v>11.11111111111111</v>
      </c>
    </row>
    <row r="1602" hidden="1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M1602" t="n">
        <v>0</v>
      </c>
      <c r="N1602" t="n">
        <v>0</v>
      </c>
      <c r="O1602" t="n">
        <v>0</v>
      </c>
    </row>
    <row r="1603" hidden="1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M1603" t="n">
        <v>25</v>
      </c>
      <c r="N1603" t="n">
        <v>97.14</v>
      </c>
      <c r="O1603" t="n">
        <v>30.99415204678363</v>
      </c>
    </row>
    <row r="1604" hidden="1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M1604" t="n">
        <v>0</v>
      </c>
      <c r="N1604" t="n">
        <v>0</v>
      </c>
      <c r="O1604" t="n">
        <v>0</v>
      </c>
    </row>
    <row r="1605" hidden="1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M1605" t="n">
        <v>0</v>
      </c>
      <c r="N1605" t="n">
        <v>0</v>
      </c>
      <c r="O1605" t="n">
        <v>0</v>
      </c>
    </row>
    <row r="1606" hidden="1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M1606" t="n">
        <v>0</v>
      </c>
      <c r="N1606" t="n">
        <v>0</v>
      </c>
      <c r="O1606" t="n">
        <v>0</v>
      </c>
    </row>
    <row r="1607" hidden="1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M1607" t="n">
        <v>2</v>
      </c>
      <c r="N1607" t="n">
        <v>0</v>
      </c>
      <c r="O1607" t="n">
        <v>100</v>
      </c>
    </row>
    <row r="1608" hidden="1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M1608" t="n">
        <v>40</v>
      </c>
      <c r="N1608" t="n">
        <v>100</v>
      </c>
      <c r="O1608" t="n">
        <v>47.08520179372198</v>
      </c>
    </row>
    <row r="1609" hidden="1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M1609" t="n">
        <v>7</v>
      </c>
      <c r="N1609" t="n">
        <v>100</v>
      </c>
      <c r="O1609" t="n">
        <v>31.85840707964602</v>
      </c>
    </row>
    <row r="1610" hidden="1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M1610" t="n">
        <v>27</v>
      </c>
      <c r="N1610" t="n">
        <v>99.14</v>
      </c>
      <c r="O1610" t="n">
        <v>28.08988764044944</v>
      </c>
    </row>
    <row r="1611" hidden="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M1611" t="n">
        <v>21</v>
      </c>
      <c r="N1611" t="n">
        <v>96.73999999999999</v>
      </c>
      <c r="O1611" t="n">
        <v>27.83505154639175</v>
      </c>
    </row>
    <row r="1612" hidden="1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M1612" t="n">
        <v>28</v>
      </c>
      <c r="N1612" t="n">
        <v>98.67</v>
      </c>
      <c r="O1612" t="n">
        <v>36.04166666666666</v>
      </c>
    </row>
    <row r="1613" hidden="1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M1613" t="n">
        <v>29</v>
      </c>
      <c r="N1613" t="n">
        <v>98.28</v>
      </c>
      <c r="O1613" t="n">
        <v>26.68112798264642</v>
      </c>
    </row>
    <row r="1614" hidden="1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M1614" t="n">
        <v>21</v>
      </c>
      <c r="N1614" t="n">
        <v>99.18000000000001</v>
      </c>
      <c r="O1614" t="n">
        <v>28.15964523281596</v>
      </c>
    </row>
    <row r="1615" hidden="1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M1615" t="n">
        <v>8</v>
      </c>
      <c r="N1615" t="n">
        <v>100</v>
      </c>
      <c r="O1615" t="n">
        <v>39.56834532374101</v>
      </c>
    </row>
    <row r="1616" hidden="1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M1616" t="n">
        <v>30</v>
      </c>
      <c r="N1616" t="n">
        <v>98.51000000000001</v>
      </c>
      <c r="O1616" t="n">
        <v>28.59922178988327</v>
      </c>
    </row>
    <row r="1617" hidden="1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M1617" t="n">
        <v>27</v>
      </c>
      <c r="N1617" t="n">
        <v>100</v>
      </c>
      <c r="O1617" t="n">
        <v>34.50134770889488</v>
      </c>
    </row>
    <row r="1618" hidden="1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M1618" t="n">
        <v>0</v>
      </c>
      <c r="N1618" t="n">
        <v>0</v>
      </c>
      <c r="O1618" t="n">
        <v>0</v>
      </c>
    </row>
    <row r="1619" hidden="1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M1619" t="n">
        <v>12</v>
      </c>
      <c r="N1619" t="n">
        <v>100</v>
      </c>
      <c r="O1619" t="n">
        <v>28.93890675241158</v>
      </c>
    </row>
    <row r="1620" hidden="1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M1620" t="n">
        <v>25</v>
      </c>
      <c r="N1620" t="n">
        <v>97.3</v>
      </c>
      <c r="O1620" t="n">
        <v>42.29323308270676</v>
      </c>
    </row>
    <row r="1621" hidden="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40</v>
      </c>
      <c r="E1621" t="n">
        <v>33</v>
      </c>
      <c r="F1621" t="n">
        <v>13.31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M1621" t="n">
        <v>28</v>
      </c>
      <c r="N1621" t="n">
        <v>96.40000000000001</v>
      </c>
      <c r="O1621" t="n">
        <v>30.46511627906976</v>
      </c>
    </row>
    <row r="1622" hidden="1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M1622" t="n">
        <v>22</v>
      </c>
      <c r="N1622" t="n">
        <v>100</v>
      </c>
      <c r="O1622" t="n">
        <v>27.21238938053097</v>
      </c>
    </row>
    <row r="1623" hidden="1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33</v>
      </c>
      <c r="E1623" t="n">
        <v>31</v>
      </c>
      <c r="F1623" t="n">
        <v>20.03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M1623" t="n">
        <v>31</v>
      </c>
      <c r="N1623" t="n">
        <v>99.48</v>
      </c>
      <c r="O1623" t="n">
        <v>41.12554112554113</v>
      </c>
    </row>
    <row r="1624" hidden="1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M1624" t="n">
        <v>2</v>
      </c>
      <c r="N1624" t="n">
        <v>0</v>
      </c>
      <c r="O1624" t="n">
        <v>50</v>
      </c>
    </row>
    <row r="1625" hidden="1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M1625" t="n">
        <v>18</v>
      </c>
      <c r="N1625" t="n">
        <v>100</v>
      </c>
      <c r="O1625" t="n">
        <v>33.86773547094188</v>
      </c>
    </row>
    <row r="1626" hidden="1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M1626" t="n">
        <v>27</v>
      </c>
      <c r="N1626" t="n">
        <v>100</v>
      </c>
      <c r="O1626" t="n">
        <v>33.97590361445783</v>
      </c>
    </row>
    <row r="1627" hidden="1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M1627" t="n">
        <v>37</v>
      </c>
      <c r="N1627" t="n">
        <v>99.29000000000001</v>
      </c>
      <c r="O1627" t="n">
        <v>31.81818181818182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N1628" t="n">
        <v>99.05</v>
      </c>
      <c r="O1628" t="n">
        <v>26.62192393736018</v>
      </c>
    </row>
    <row r="1629" hidden="1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M1629" t="n">
        <v>30</v>
      </c>
      <c r="N1629" t="n">
        <v>100</v>
      </c>
      <c r="O1629" t="n">
        <v>28.66379310344828</v>
      </c>
    </row>
    <row r="1630" hidden="1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M1630" t="n">
        <v>38</v>
      </c>
      <c r="N1630" t="n">
        <v>100</v>
      </c>
      <c r="O1630" t="n">
        <v>30.90909090909091</v>
      </c>
    </row>
    <row r="1631" hidden="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M1631" t="n">
        <v>14</v>
      </c>
      <c r="N1631" t="n">
        <v>100</v>
      </c>
      <c r="O1631" t="n">
        <v>27.65957446808511</v>
      </c>
    </row>
    <row r="1632" hidden="1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M1632" t="n">
        <v>23</v>
      </c>
      <c r="N1632" t="n">
        <v>96.36</v>
      </c>
      <c r="O1632" t="n">
        <v>28.93518518518519</v>
      </c>
    </row>
    <row r="1633" hidden="1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M1633" t="n">
        <v>0</v>
      </c>
      <c r="N1633" t="n">
        <v>100</v>
      </c>
      <c r="O1633" t="n">
        <v>33.98058252427185</v>
      </c>
    </row>
    <row r="1634" hidden="1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M1634" t="n">
        <v>7</v>
      </c>
      <c r="N1634" t="n">
        <v>97.56</v>
      </c>
      <c r="O1634" t="n">
        <v>32.6530612244898</v>
      </c>
    </row>
    <row r="1635" hidden="1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M1635" t="n">
        <v>14</v>
      </c>
      <c r="N1635" t="n">
        <v>97.06</v>
      </c>
      <c r="O1635" t="n">
        <v>38.67684478371501</v>
      </c>
    </row>
    <row r="1636" hidden="1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M1636" t="n">
        <v>0</v>
      </c>
      <c r="N1636" t="n">
        <v>0</v>
      </c>
      <c r="O1636" t="n">
        <v>0</v>
      </c>
    </row>
    <row r="1637" hidden="1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M1637" t="n">
        <v>25</v>
      </c>
      <c r="N1637" t="n">
        <v>100</v>
      </c>
      <c r="O1637" t="n">
        <v>29.65367965367965</v>
      </c>
    </row>
    <row r="1638" hidden="1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M1638" t="n">
        <v>31</v>
      </c>
      <c r="N1638" t="n">
        <v>100</v>
      </c>
      <c r="O1638" t="n">
        <v>33.4065934065934</v>
      </c>
    </row>
    <row r="1639" hidden="1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26</v>
      </c>
      <c r="E1639" t="n">
        <v>23</v>
      </c>
      <c r="F1639" t="n">
        <v>15.59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M1639" t="n">
        <v>15</v>
      </c>
      <c r="N1639" t="n">
        <v>98.29000000000001</v>
      </c>
      <c r="O1639" t="n">
        <v>32.41206030150754</v>
      </c>
    </row>
    <row r="1640" hidden="1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M1640" t="n">
        <v>15</v>
      </c>
      <c r="N1640" t="n">
        <v>96.43000000000001</v>
      </c>
      <c r="O1640" t="n">
        <v>26.88888888888889</v>
      </c>
    </row>
    <row r="1641" hidden="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M1641" t="n">
        <v>17</v>
      </c>
      <c r="N1641" t="n">
        <v>98.86</v>
      </c>
      <c r="O1641" t="n">
        <v>28.53025936599424</v>
      </c>
    </row>
    <row r="1642" hidden="1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M1642" t="n">
        <v>7</v>
      </c>
      <c r="N1642" t="n">
        <v>100</v>
      </c>
      <c r="O1642" t="n">
        <v>34.69387755102041</v>
      </c>
    </row>
    <row r="1643" hidden="1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M1643" t="n">
        <v>0</v>
      </c>
      <c r="N1643" t="n">
        <v>100</v>
      </c>
      <c r="O1643" t="n">
        <v>27.43362831858407</v>
      </c>
    </row>
    <row r="1644" hidden="1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M1644" t="n">
        <v>28</v>
      </c>
      <c r="N1644" t="n">
        <v>98.59</v>
      </c>
      <c r="O1644" t="n">
        <v>31.09404990403071</v>
      </c>
    </row>
    <row r="1645" hidden="1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M1645" t="n">
        <v>5</v>
      </c>
      <c r="N1645" t="n">
        <v>100</v>
      </c>
      <c r="O1645" t="n">
        <v>8.695652173913043</v>
      </c>
    </row>
    <row r="1646" hidden="1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M1646" t="n">
        <v>0</v>
      </c>
      <c r="N1646" t="n">
        <v>0</v>
      </c>
      <c r="O1646" t="n">
        <v>0</v>
      </c>
    </row>
    <row r="1647" hidden="1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M1647" t="n">
        <v>11</v>
      </c>
      <c r="N1647" t="n">
        <v>97.3</v>
      </c>
      <c r="O1647" t="n">
        <v>30.38674033149171</v>
      </c>
    </row>
    <row r="1648" hidden="1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M1648" t="n">
        <v>0</v>
      </c>
      <c r="N1648" t="n">
        <v>0</v>
      </c>
      <c r="O1648" t="n">
        <v>0</v>
      </c>
    </row>
    <row r="1649" hidden="1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M1649" t="n">
        <v>0</v>
      </c>
      <c r="N1649" t="n">
        <v>0</v>
      </c>
      <c r="O1649" t="n">
        <v>0</v>
      </c>
    </row>
    <row r="1650" hidden="1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M1650" t="n">
        <v>0</v>
      </c>
      <c r="N1650" t="n">
        <v>0</v>
      </c>
      <c r="O1650" t="n">
        <v>0</v>
      </c>
    </row>
    <row r="1651" hidden="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M1651" t="n">
        <v>6</v>
      </c>
      <c r="N1651" t="n">
        <v>0</v>
      </c>
      <c r="O1651" t="n">
        <v>50</v>
      </c>
    </row>
    <row r="1652" hidden="1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M1652" t="n">
        <v>34</v>
      </c>
      <c r="N1652" t="n">
        <v>100</v>
      </c>
      <c r="O1652" t="n">
        <v>46.30350194552529</v>
      </c>
    </row>
    <row r="1653" hidden="1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M1653" t="n">
        <v>10</v>
      </c>
      <c r="N1653" t="n">
        <v>100</v>
      </c>
      <c r="O1653" t="n">
        <v>32.20338983050847</v>
      </c>
    </row>
    <row r="1654" hidden="1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M1654" t="n">
        <v>29</v>
      </c>
      <c r="N1654" t="n">
        <v>98.37</v>
      </c>
      <c r="O1654" t="n">
        <v>28.69198312236287</v>
      </c>
    </row>
    <row r="1655" hidden="1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M1655" t="n">
        <v>23</v>
      </c>
      <c r="N1655" t="n">
        <v>96.81</v>
      </c>
      <c r="O1655" t="n">
        <v>27.98053527980535</v>
      </c>
    </row>
    <row r="1656" hidden="1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M1656" t="n">
        <v>29</v>
      </c>
      <c r="N1656" t="n">
        <v>98.73</v>
      </c>
      <c r="O1656" t="n">
        <v>35.75638506876228</v>
      </c>
    </row>
    <row r="1657" hidden="1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M1657" t="n">
        <v>21</v>
      </c>
      <c r="N1657" t="n">
        <v>98.31999999999999</v>
      </c>
      <c r="O1657" t="n">
        <v>26.76348547717842</v>
      </c>
    </row>
    <row r="1658" hidden="1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M1658" t="n">
        <v>23</v>
      </c>
      <c r="N1658" t="n">
        <v>99.19</v>
      </c>
      <c r="O1658" t="n">
        <v>27.63713080168776</v>
      </c>
    </row>
    <row r="1659" hidden="1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M1659" t="n">
        <v>0</v>
      </c>
      <c r="N1659" t="n">
        <v>100</v>
      </c>
      <c r="O1659" t="n">
        <v>39.56834532374101</v>
      </c>
    </row>
    <row r="1660" hidden="1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M1660" t="n">
        <v>22</v>
      </c>
      <c r="N1660" t="n">
        <v>98.54000000000001</v>
      </c>
      <c r="O1660" t="n">
        <v>28.54477611940299</v>
      </c>
    </row>
    <row r="1661" hidden="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M1661" t="n">
        <v>16</v>
      </c>
      <c r="N1661" t="n">
        <v>100</v>
      </c>
      <c r="O1661" t="n">
        <v>34.36692506459949</v>
      </c>
    </row>
    <row r="1662" hidden="1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M1662" t="n">
        <v>0</v>
      </c>
      <c r="N1662" t="n">
        <v>0</v>
      </c>
      <c r="O1662" t="n">
        <v>0</v>
      </c>
    </row>
    <row r="1663" hidden="1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M1663" t="n">
        <v>21</v>
      </c>
      <c r="N1663" t="n">
        <v>100</v>
      </c>
      <c r="O1663" t="n">
        <v>29.51807228915663</v>
      </c>
    </row>
    <row r="1664" hidden="1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M1664" t="n">
        <v>45</v>
      </c>
      <c r="N1664" t="n">
        <v>97.45</v>
      </c>
      <c r="O1664" t="n">
        <v>41.421143847487</v>
      </c>
    </row>
    <row r="1665" hidden="1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30</v>
      </c>
      <c r="E1665" t="n">
        <v>28</v>
      </c>
      <c r="F1665" t="n">
        <v>15.34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M1665" t="n">
        <v>24</v>
      </c>
      <c r="N1665" t="n">
        <v>96.58</v>
      </c>
      <c r="O1665" t="n">
        <v>30.39647577092511</v>
      </c>
    </row>
    <row r="1666" hidden="1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M1666" t="n">
        <v>29</v>
      </c>
      <c r="N1666" t="n">
        <v>100</v>
      </c>
      <c r="O1666" t="n">
        <v>27.44282744282744</v>
      </c>
    </row>
    <row r="1667" hidden="1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38</v>
      </c>
      <c r="E1667" t="n">
        <v>38</v>
      </c>
      <c r="F1667" t="n">
        <v>18.43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M1667" t="n">
        <v>38</v>
      </c>
      <c r="N1667" t="n">
        <v>99.48999999999999</v>
      </c>
      <c r="O1667" t="n">
        <v>40.2</v>
      </c>
    </row>
    <row r="1668" hidden="1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M1668" t="n">
        <v>2</v>
      </c>
      <c r="N1668" t="n">
        <v>100</v>
      </c>
      <c r="O1668" t="n">
        <v>25</v>
      </c>
    </row>
    <row r="1669" hidden="1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M1669" t="n">
        <v>31</v>
      </c>
      <c r="N1669" t="n">
        <v>100</v>
      </c>
      <c r="O1669" t="n">
        <v>34.15094339622641</v>
      </c>
    </row>
    <row r="1670" hidden="1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M1670" t="n">
        <v>28</v>
      </c>
      <c r="N1670" t="n">
        <v>100</v>
      </c>
      <c r="O1670" t="n">
        <v>32.7313769751693</v>
      </c>
    </row>
    <row r="1671" hidden="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M1671" t="n">
        <v>38</v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N1672" t="n">
        <v>99.05</v>
      </c>
      <c r="O1672" t="n">
        <v>26.62192393736018</v>
      </c>
    </row>
    <row r="1673" hidden="1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M1673" t="n">
        <v>31</v>
      </c>
      <c r="N1673" t="n">
        <v>100</v>
      </c>
      <c r="O1673" t="n">
        <v>27.67676767676768</v>
      </c>
    </row>
    <row r="1674" hidden="1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M1674" t="n">
        <v>58</v>
      </c>
      <c r="N1674" t="n">
        <v>100</v>
      </c>
      <c r="O1674" t="n">
        <v>31.17723156532988</v>
      </c>
    </row>
    <row r="1675" hidden="1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M1675" t="n">
        <v>15</v>
      </c>
      <c r="N1675" t="n">
        <v>100</v>
      </c>
      <c r="O1675" t="n">
        <v>27.60942760942761</v>
      </c>
    </row>
    <row r="1676" hidden="1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M1676" t="n">
        <v>14</v>
      </c>
      <c r="N1676" t="n">
        <v>96.40000000000001</v>
      </c>
      <c r="O1676" t="n">
        <v>28.76404494382023</v>
      </c>
    </row>
    <row r="1677" hidden="1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M1677" t="n">
        <v>0</v>
      </c>
      <c r="N1677" t="n">
        <v>100</v>
      </c>
      <c r="O1677" t="n">
        <v>33.98058252427185</v>
      </c>
    </row>
    <row r="1678" hidden="1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M1678" t="n">
        <v>16</v>
      </c>
      <c r="N1678" t="n">
        <v>97.56</v>
      </c>
      <c r="O1678" t="n">
        <v>32.51533742331289</v>
      </c>
    </row>
    <row r="1679" hidden="1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M1679" t="n">
        <v>16</v>
      </c>
      <c r="N1679" t="n">
        <v>97.11</v>
      </c>
      <c r="O1679" t="n">
        <v>37.40831295843521</v>
      </c>
    </row>
    <row r="1680" hidden="1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M1680" t="n">
        <v>0</v>
      </c>
      <c r="N1680" t="n">
        <v>0</v>
      </c>
      <c r="O1680" t="n">
        <v>0</v>
      </c>
    </row>
    <row r="1681" hidden="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M1681" t="n">
        <v>28</v>
      </c>
      <c r="N1681" t="n">
        <v>100</v>
      </c>
      <c r="O1681" t="n">
        <v>30.47034764826176</v>
      </c>
    </row>
    <row r="1682" hidden="1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M1682" t="n">
        <v>30</v>
      </c>
      <c r="N1682" t="n">
        <v>100</v>
      </c>
      <c r="O1682" t="n">
        <v>32.37113402061856</v>
      </c>
    </row>
    <row r="1683" hidden="1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37</v>
      </c>
      <c r="E1683" t="n">
        <v>36</v>
      </c>
      <c r="F1683" t="n">
        <v>15.48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M1683" t="n">
        <v>29</v>
      </c>
      <c r="N1683" t="n">
        <v>98.31999999999999</v>
      </c>
      <c r="O1683" t="n">
        <v>32.31850117096019</v>
      </c>
    </row>
    <row r="1684" hidden="1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M1684" t="n">
        <v>9</v>
      </c>
      <c r="N1684" t="n">
        <v>96.43000000000001</v>
      </c>
      <c r="O1684" t="n">
        <v>27.01525054466231</v>
      </c>
    </row>
    <row r="1685" hidden="1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M1685" t="n">
        <v>17</v>
      </c>
      <c r="N1685" t="n">
        <v>98.89</v>
      </c>
      <c r="O1685" t="n">
        <v>28.02197802197802</v>
      </c>
    </row>
    <row r="1686" hidden="1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M1686" t="n">
        <v>7</v>
      </c>
      <c r="N1686" t="n">
        <v>100</v>
      </c>
      <c r="O1686" t="n">
        <v>33.33333333333333</v>
      </c>
    </row>
    <row r="1687" hidden="1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M1687" t="n">
        <v>0</v>
      </c>
      <c r="N1687" t="n">
        <v>100</v>
      </c>
      <c r="O1687" t="n">
        <v>27.43362831858407</v>
      </c>
    </row>
    <row r="1688" hidden="1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M1688" t="n">
        <v>31</v>
      </c>
      <c r="N1688" t="n">
        <v>98.65000000000001</v>
      </c>
      <c r="O1688" t="n">
        <v>30.97826086956522</v>
      </c>
    </row>
    <row r="1689" hidden="1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M1689" t="n">
        <v>2</v>
      </c>
      <c r="N1689" t="n">
        <v>100</v>
      </c>
      <c r="O1689" t="n">
        <v>12</v>
      </c>
    </row>
    <row r="1690" hidden="1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M1690" t="n">
        <v>0</v>
      </c>
      <c r="N1690" t="n">
        <v>0</v>
      </c>
      <c r="O1690" t="n">
        <v>0</v>
      </c>
    </row>
    <row r="1691" hidden="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M1691" t="n">
        <v>25</v>
      </c>
      <c r="N1691" t="n">
        <v>97.56</v>
      </c>
      <c r="O1691" t="n">
        <v>31.06796116504854</v>
      </c>
    </row>
    <row r="1692" hidden="1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M1692" t="n">
        <v>0</v>
      </c>
      <c r="N1692" t="n">
        <v>0</v>
      </c>
      <c r="O1692" t="n">
        <v>0</v>
      </c>
    </row>
    <row r="1693" hidden="1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M1693" t="n">
        <v>0</v>
      </c>
      <c r="N1693" t="n">
        <v>0</v>
      </c>
      <c r="O1693" t="n">
        <v>0</v>
      </c>
    </row>
    <row r="1694" hidden="1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M1694" t="n">
        <v>0</v>
      </c>
      <c r="N1694" t="n">
        <v>0</v>
      </c>
      <c r="O1694" t="n">
        <v>0</v>
      </c>
    </row>
    <row r="1695" hidden="1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M1695" t="n">
        <v>5</v>
      </c>
      <c r="N1695" t="n">
        <v>100</v>
      </c>
      <c r="O1695" t="n">
        <v>53.84615384615385</v>
      </c>
    </row>
    <row r="1696" hidden="1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M1696" t="n">
        <v>29</v>
      </c>
      <c r="N1696" t="n">
        <v>100</v>
      </c>
      <c r="O1696" t="n">
        <v>44.05594405594406</v>
      </c>
    </row>
    <row r="1697" hidden="1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M1697" t="n">
        <v>15</v>
      </c>
      <c r="N1697" t="n">
        <v>100</v>
      </c>
      <c r="O1697" t="n">
        <v>31.87250996015936</v>
      </c>
    </row>
    <row r="1698" hidden="1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M1698" t="n">
        <v>29</v>
      </c>
      <c r="N1698" t="n">
        <v>98.41</v>
      </c>
      <c r="O1698" t="n">
        <v>29.22465208747515</v>
      </c>
    </row>
    <row r="1699" hidden="1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M1699" t="n">
        <v>40</v>
      </c>
      <c r="N1699" t="n">
        <v>100</v>
      </c>
      <c r="O1699" t="n">
        <v>25</v>
      </c>
    </row>
    <row r="1700" hidden="1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M1700" t="n">
        <v>30</v>
      </c>
      <c r="N1700" t="n">
        <v>100</v>
      </c>
      <c r="O1700" t="n">
        <v>33.33333333333333</v>
      </c>
    </row>
    <row r="1701" hidden="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M1701" t="n">
        <v>28</v>
      </c>
      <c r="N1701" t="n">
        <v>100</v>
      </c>
      <c r="O1701" t="n">
        <v>39.28571428571428</v>
      </c>
    </row>
    <row r="1702" hidden="1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M1702" t="n">
        <v>23</v>
      </c>
      <c r="N1702" t="n">
        <v>100</v>
      </c>
      <c r="O1702" t="n">
        <v>39.1304347826087</v>
      </c>
    </row>
    <row r="1703" hidden="1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M1703" t="n">
        <v>0</v>
      </c>
      <c r="N1703" t="n">
        <v>100</v>
      </c>
      <c r="O1703" t="n">
        <v>0</v>
      </c>
    </row>
    <row r="1704" hidden="1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M1704" t="n">
        <v>30</v>
      </c>
      <c r="N1704" t="n">
        <v>100</v>
      </c>
      <c r="O1704" t="n">
        <v>40</v>
      </c>
    </row>
    <row r="1705" hidden="1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M1705" t="n">
        <v>18</v>
      </c>
      <c r="N1705" t="n">
        <v>100</v>
      </c>
      <c r="O1705" t="n">
        <v>50</v>
      </c>
    </row>
    <row r="1706" hidden="1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M1706" t="n">
        <v>0</v>
      </c>
      <c r="N1706" t="n">
        <v>0</v>
      </c>
      <c r="O1706" t="n">
        <v>0</v>
      </c>
    </row>
    <row r="1707" hidden="1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M1707" t="n">
        <v>23</v>
      </c>
      <c r="N1707" t="n">
        <v>100</v>
      </c>
      <c r="O1707" t="n">
        <v>52.17391304347826</v>
      </c>
    </row>
    <row r="1708" hidden="1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M1708" t="n">
        <v>35</v>
      </c>
      <c r="N1708" t="n">
        <v>90</v>
      </c>
      <c r="O1708" t="n">
        <v>40</v>
      </c>
    </row>
    <row r="1709" hidden="1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40</v>
      </c>
      <c r="E1709" t="n">
        <v>34</v>
      </c>
      <c r="F1709" t="n">
        <v>15.02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M1709" t="n">
        <v>32</v>
      </c>
      <c r="N1709" t="n">
        <v>100</v>
      </c>
      <c r="O1709" t="n">
        <v>21.875</v>
      </c>
    </row>
    <row r="1710" hidden="1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M1710" t="n">
        <v>22</v>
      </c>
      <c r="N1710" t="n">
        <v>100</v>
      </c>
      <c r="O1710" t="n">
        <v>9.090909090909092</v>
      </c>
    </row>
    <row r="1711" hidden="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37</v>
      </c>
      <c r="E1711" t="n">
        <v>37</v>
      </c>
      <c r="F1711" t="n">
        <v>18.57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M1711" t="n">
        <v>37</v>
      </c>
      <c r="N1711" t="n">
        <v>100</v>
      </c>
      <c r="O1711" t="n">
        <v>40.54054054054054</v>
      </c>
    </row>
    <row r="1712" hidden="1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M1712" t="n">
        <v>0</v>
      </c>
      <c r="N1712" t="n">
        <v>0</v>
      </c>
      <c r="O1712" t="n">
        <v>0</v>
      </c>
    </row>
    <row r="1713" hidden="1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M1713" t="n">
        <v>22</v>
      </c>
      <c r="N1713" t="n">
        <v>100</v>
      </c>
      <c r="O1713" t="n">
        <v>31.81818181818182</v>
      </c>
    </row>
    <row r="1714" hidden="1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M1714" t="n">
        <v>21</v>
      </c>
      <c r="N1714" t="n">
        <v>88.89</v>
      </c>
      <c r="O1714" t="n">
        <v>42.85714285714285</v>
      </c>
    </row>
    <row r="1715" hidden="1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M1715" t="n">
        <v>28</v>
      </c>
      <c r="N1715" t="n">
        <v>100</v>
      </c>
      <c r="O1715" t="n">
        <v>21.42857142857143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N1716" t="n">
        <v>99.05</v>
      </c>
      <c r="O1716" t="n">
        <v>26.62192393736018</v>
      </c>
    </row>
    <row r="1717" hidden="1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M1717" t="n">
        <v>31</v>
      </c>
      <c r="N1717" t="n">
        <v>100</v>
      </c>
      <c r="O1717" t="n">
        <v>32.25806451612903</v>
      </c>
    </row>
    <row r="1718" hidden="1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M1718" t="n">
        <v>54</v>
      </c>
      <c r="N1718" t="n">
        <v>100</v>
      </c>
      <c r="O1718" t="n">
        <v>31.48148148148148</v>
      </c>
    </row>
    <row r="1719" hidden="1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M1719" t="n">
        <v>18</v>
      </c>
      <c r="N1719" t="n">
        <v>100</v>
      </c>
      <c r="O1719" t="n">
        <v>27.77777777777778</v>
      </c>
    </row>
    <row r="1720" hidden="1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M1720" t="n">
        <v>34</v>
      </c>
      <c r="N1720" t="n">
        <v>100</v>
      </c>
      <c r="O1720" t="n">
        <v>41.17647058823529</v>
      </c>
    </row>
    <row r="1721" hidden="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M1721" t="n">
        <v>0</v>
      </c>
      <c r="N1721" t="n">
        <v>0</v>
      </c>
      <c r="O1721" t="n">
        <v>0</v>
      </c>
    </row>
    <row r="1722" hidden="1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M1722" t="n">
        <v>13</v>
      </c>
      <c r="N1722" t="n">
        <v>100</v>
      </c>
      <c r="O1722" t="n">
        <v>46.15384615384615</v>
      </c>
    </row>
    <row r="1723" hidden="1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M1723" t="n">
        <v>26</v>
      </c>
      <c r="N1723" t="n">
        <v>100</v>
      </c>
      <c r="O1723" t="n">
        <v>15.38461538461539</v>
      </c>
    </row>
    <row r="1724" hidden="1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M1724" t="n">
        <v>0</v>
      </c>
      <c r="N1724" t="n">
        <v>0</v>
      </c>
      <c r="O1724" t="n">
        <v>0</v>
      </c>
    </row>
    <row r="1725" hidden="1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M1725" t="n">
        <v>28</v>
      </c>
      <c r="N1725" t="n">
        <v>80</v>
      </c>
      <c r="O1725" t="n">
        <v>39.28571428571428</v>
      </c>
    </row>
    <row r="1726" hidden="1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M1726" t="n">
        <v>27</v>
      </c>
      <c r="N1726" t="n">
        <v>100</v>
      </c>
      <c r="O1726" t="n">
        <v>7.407407407407407</v>
      </c>
    </row>
    <row r="1727" hidden="1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33</v>
      </c>
      <c r="E1727" t="n">
        <v>32</v>
      </c>
      <c r="F1727" t="n">
        <v>17.01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M1727" t="n">
        <v>32</v>
      </c>
      <c r="N1727" t="n">
        <v>100</v>
      </c>
      <c r="O1727" t="n">
        <v>21.875</v>
      </c>
    </row>
    <row r="1728" hidden="1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M1728" t="n">
        <v>0</v>
      </c>
      <c r="N1728" t="n">
        <v>100</v>
      </c>
      <c r="O1728" t="n">
        <v>0</v>
      </c>
    </row>
    <row r="1729" hidden="1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M1729" t="n">
        <v>22</v>
      </c>
      <c r="N1729" t="n">
        <v>100</v>
      </c>
      <c r="O1729" t="n">
        <v>31.81818181818182</v>
      </c>
    </row>
    <row r="1730" hidden="1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M1730" t="n">
        <v>7</v>
      </c>
      <c r="N1730" t="n">
        <v>0</v>
      </c>
      <c r="O1730" t="n">
        <v>28.57142857142857</v>
      </c>
    </row>
    <row r="1731" hidden="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M1731" t="n">
        <v>33</v>
      </c>
      <c r="N1731" t="n">
        <v>100</v>
      </c>
      <c r="O1731" t="n">
        <v>36.36363636363637</v>
      </c>
    </row>
    <row r="1732" hidden="1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M1732" t="n">
        <v>38</v>
      </c>
      <c r="N1732" t="n">
        <v>100</v>
      </c>
      <c r="O1732" t="n">
        <v>26.31578947368421</v>
      </c>
    </row>
    <row r="1733" hidden="1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M1733" t="n">
        <v>1</v>
      </c>
      <c r="N1733" t="n">
        <v>0</v>
      </c>
      <c r="O1733" t="n">
        <v>100</v>
      </c>
    </row>
    <row r="1734" hidden="1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M1734" t="n">
        <v>0</v>
      </c>
      <c r="N1734" t="n">
        <v>0</v>
      </c>
      <c r="O1734" t="n">
        <v>0</v>
      </c>
    </row>
    <row r="1735" hidden="1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M1735" t="n">
        <v>23</v>
      </c>
      <c r="N1735" t="n">
        <v>100</v>
      </c>
      <c r="O1735" t="n">
        <v>43.47826086956522</v>
      </c>
    </row>
    <row r="1736" hidden="1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M1736" t="n">
        <v>0</v>
      </c>
      <c r="N1736" t="n">
        <v>0</v>
      </c>
      <c r="O1736" t="n">
        <v>0</v>
      </c>
    </row>
    <row r="1737" hidden="1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M1737" t="n">
        <v>0</v>
      </c>
      <c r="N1737" t="n">
        <v>0</v>
      </c>
      <c r="O1737" t="n">
        <v>0</v>
      </c>
    </row>
    <row r="1738" hidden="1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M1738" t="n">
        <v>0</v>
      </c>
      <c r="N1738" t="n">
        <v>0</v>
      </c>
      <c r="O1738" t="n">
        <v>0</v>
      </c>
    </row>
    <row r="1739" hidden="1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M1739" t="n">
        <v>11</v>
      </c>
      <c r="N1739" t="n">
        <v>100</v>
      </c>
      <c r="O1739" t="n">
        <v>0</v>
      </c>
    </row>
    <row r="1740" hidden="1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M1740" t="n">
        <v>40</v>
      </c>
      <c r="N1740" t="n">
        <v>100</v>
      </c>
      <c r="O1740" t="n">
        <v>17.5</v>
      </c>
    </row>
    <row r="1741" hidden="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M1741" t="n">
        <v>16</v>
      </c>
      <c r="N1741" t="n">
        <v>100</v>
      </c>
      <c r="O1741" t="n">
        <v>25</v>
      </c>
    </row>
    <row r="1742" hidden="1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M1742" t="n">
        <v>29</v>
      </c>
      <c r="N1742" t="n">
        <v>100</v>
      </c>
      <c r="O1742" t="n">
        <v>27.58620689655172</v>
      </c>
    </row>
    <row r="1743" hidden="1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N1743" t="n">
        <v>98.31999999999999</v>
      </c>
      <c r="O1743" t="n">
        <v>30.3030303030303</v>
      </c>
    </row>
    <row r="1744" hidden="1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N1744" t="n">
        <v>98.68000000000001</v>
      </c>
      <c r="O1744" t="n">
        <v>26.21951219512195</v>
      </c>
    </row>
    <row r="1745" hidden="1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N1745" t="n">
        <v>100</v>
      </c>
      <c r="O1745" t="n">
        <v>31.74224343675418</v>
      </c>
    </row>
    <row r="1746" hidden="1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N1746" t="n">
        <v>98.25</v>
      </c>
      <c r="O1746" t="n">
        <v>25.83518930957684</v>
      </c>
    </row>
    <row r="1747" hidden="1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N1747" t="n">
        <v>97.5</v>
      </c>
      <c r="O1747" t="n">
        <v>30.07518796992481</v>
      </c>
    </row>
    <row r="1748" hidden="1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N1748" t="n">
        <v>100</v>
      </c>
      <c r="O1748" t="n">
        <v>29.71311475409836</v>
      </c>
    </row>
    <row r="1749" hidden="1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N1749" t="n">
        <v>99.22</v>
      </c>
      <c r="O1749" t="n">
        <v>35.25641025641026</v>
      </c>
    </row>
    <row r="1750" hidden="1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N1750" t="n">
        <v>0</v>
      </c>
      <c r="O1750" t="n">
        <v>0</v>
      </c>
    </row>
    <row r="1751" hidden="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N1751" t="n">
        <v>98.75</v>
      </c>
      <c r="O1751" t="n">
        <v>24.32432432432433</v>
      </c>
    </row>
    <row r="1752" hidden="1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N1752" t="n">
        <v>93.48</v>
      </c>
      <c r="O1752" t="n">
        <v>31.33462282398452</v>
      </c>
    </row>
    <row r="1753" hidden="1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38</v>
      </c>
      <c r="E1753" t="n">
        <v>34</v>
      </c>
      <c r="F1753" t="n">
        <v>18.52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N1753" t="n">
        <v>99.16</v>
      </c>
      <c r="O1753" t="n">
        <v>26.13908872901678</v>
      </c>
    </row>
    <row r="1754" hidden="1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N1754" t="n">
        <v>100</v>
      </c>
      <c r="O1754" t="n">
        <v>31.08974358974359</v>
      </c>
    </row>
    <row r="1755" hidden="1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27</v>
      </c>
      <c r="E1755" t="n">
        <v>27</v>
      </c>
      <c r="F1755" t="n">
        <v>30.21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N1755" t="n">
        <v>98.11</v>
      </c>
      <c r="O1755" t="n">
        <v>33.03370786516854</v>
      </c>
    </row>
    <row r="1756" hidden="1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N1756" t="n">
        <v>78.95</v>
      </c>
      <c r="O1756" t="n">
        <v>38.98305084745763</v>
      </c>
    </row>
    <row r="1757" hidden="1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N1757" t="n">
        <v>98.45</v>
      </c>
      <c r="O1757" t="n">
        <v>29.2817679558011</v>
      </c>
    </row>
    <row r="1758" hidden="1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N1758" t="n">
        <v>97.84</v>
      </c>
      <c r="O1758" t="n">
        <v>26.28205128205128</v>
      </c>
    </row>
    <row r="1759" hidden="1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N1760" t="n">
        <v>99.05</v>
      </c>
      <c r="O1760" t="n">
        <v>26.62192393736018</v>
      </c>
    </row>
    <row r="1761" hidden="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N1761" t="n">
        <v>98.53</v>
      </c>
      <c r="O1761" t="n">
        <v>31.57894736842105</v>
      </c>
    </row>
    <row r="1762" hidden="1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N1762" t="n">
        <v>100</v>
      </c>
      <c r="O1762" t="n">
        <v>25.72214580467676</v>
      </c>
    </row>
    <row r="1763" hidden="1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N1763" t="n">
        <v>94.64</v>
      </c>
      <c r="O1763" t="n">
        <v>27.52941176470588</v>
      </c>
    </row>
    <row r="1764" hidden="1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N1764" t="n">
        <v>99.06999999999999</v>
      </c>
      <c r="O1764" t="n">
        <v>26.3768115942029</v>
      </c>
    </row>
    <row r="1765" hidden="1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N1765" t="n">
        <v>100</v>
      </c>
      <c r="O1765" t="n">
        <v>0</v>
      </c>
    </row>
    <row r="1766" hidden="1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N1766" t="n">
        <v>98.48</v>
      </c>
      <c r="O1766" t="n">
        <v>27.85388127853881</v>
      </c>
    </row>
    <row r="1767" hidden="1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N1767" t="n">
        <v>95.15000000000001</v>
      </c>
      <c r="O1767" t="n">
        <v>34.13173652694611</v>
      </c>
    </row>
    <row r="1768" hidden="1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N1768" t="n">
        <v>0</v>
      </c>
      <c r="O1768" t="n">
        <v>0</v>
      </c>
    </row>
    <row r="1769" hidden="1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N1769" t="n">
        <v>99.26000000000001</v>
      </c>
      <c r="O1769" t="n">
        <v>30.84832904884319</v>
      </c>
    </row>
    <row r="1770" hidden="1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N1770" t="n">
        <v>97.48</v>
      </c>
      <c r="O1770" t="n">
        <v>27.76470588235294</v>
      </c>
    </row>
    <row r="1771" hidden="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33</v>
      </c>
      <c r="E1771" t="n">
        <v>32</v>
      </c>
      <c r="F1771" t="n">
        <v>19.14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N1771" t="n">
        <v>99.34</v>
      </c>
      <c r="O1771" t="n">
        <v>30.04291845493562</v>
      </c>
    </row>
    <row r="1772" hidden="1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N1772" t="n">
        <v>96.3</v>
      </c>
      <c r="O1772" t="n">
        <v>24.29378531073446</v>
      </c>
    </row>
    <row r="1773" hidden="1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N1773" t="n">
        <v>100</v>
      </c>
      <c r="O1773" t="n">
        <v>26.54320987654321</v>
      </c>
    </row>
    <row r="1774" hidden="1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N1774" t="n">
        <v>100</v>
      </c>
      <c r="O1774" t="n">
        <v>35.48387096774194</v>
      </c>
    </row>
    <row r="1775" hidden="1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N1775" t="n">
        <v>99.27</v>
      </c>
      <c r="O1775" t="n">
        <v>31.16370808678501</v>
      </c>
    </row>
    <row r="1776" hidden="1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N1776" t="n">
        <v>94.16</v>
      </c>
      <c r="O1776" t="n">
        <v>27.03862660944206</v>
      </c>
    </row>
    <row r="1777" hidden="1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N1777" t="n">
        <v>93.75</v>
      </c>
      <c r="O1777" t="n">
        <v>19.31818181818182</v>
      </c>
    </row>
    <row r="1778" hidden="1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N1778" t="n">
        <v>0</v>
      </c>
      <c r="O1778" t="n">
        <v>0</v>
      </c>
    </row>
    <row r="1779" hidden="1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N1779" t="n">
        <v>97.92</v>
      </c>
      <c r="O1779" t="n">
        <v>32.87671232876712</v>
      </c>
    </row>
    <row r="1780" hidden="1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N1780" t="n">
        <v>0</v>
      </c>
      <c r="O1780" t="n">
        <v>0</v>
      </c>
    </row>
    <row r="1781" hidden="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N1781" t="n">
        <v>0</v>
      </c>
      <c r="O1781" t="n">
        <v>0</v>
      </c>
    </row>
    <row r="1782" hidden="1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N1782" t="n">
        <v>0</v>
      </c>
      <c r="O1782" t="n">
        <v>0</v>
      </c>
    </row>
    <row r="1783" hidden="1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N1783" t="n">
        <v>98.51000000000001</v>
      </c>
      <c r="O1783" t="n">
        <v>29.71014492753623</v>
      </c>
    </row>
    <row r="1784" hidden="1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N1784" t="n">
        <v>98.81</v>
      </c>
      <c r="O1784" t="n">
        <v>30.71297989031079</v>
      </c>
    </row>
    <row r="1785" hidden="1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N1785" t="n">
        <v>98.48</v>
      </c>
      <c r="O1785" t="n">
        <v>29.35323383084577</v>
      </c>
    </row>
    <row r="1786" hidden="1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N1786" t="n">
        <v>98.56</v>
      </c>
      <c r="O1786" t="n">
        <v>29.37365010799136</v>
      </c>
    </row>
    <row r="1787" hidden="1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N1787" t="n">
        <v>98.31999999999999</v>
      </c>
      <c r="O1787" t="n">
        <v>30.3030303030303</v>
      </c>
    </row>
    <row r="1788" hidden="1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N1788" t="n">
        <v>98.68000000000001</v>
      </c>
      <c r="O1788" t="n">
        <v>26.21951219512195</v>
      </c>
    </row>
    <row r="1789" hidden="1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N1789" t="n">
        <v>100</v>
      </c>
      <c r="O1789" t="n">
        <v>31.74224343675418</v>
      </c>
    </row>
    <row r="1790" hidden="1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N1790" t="n">
        <v>98.25</v>
      </c>
      <c r="O1790" t="n">
        <v>25.83518930957684</v>
      </c>
    </row>
    <row r="1791" hidden="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N1791" t="n">
        <v>97.5</v>
      </c>
      <c r="O1791" t="n">
        <v>30.07518796992481</v>
      </c>
    </row>
    <row r="1792" hidden="1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N1792" t="n">
        <v>100</v>
      </c>
      <c r="O1792" t="n">
        <v>29.71311475409836</v>
      </c>
    </row>
    <row r="1793" hidden="1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N1793" t="n">
        <v>99.22</v>
      </c>
      <c r="O1793" t="n">
        <v>35.25641025641026</v>
      </c>
    </row>
    <row r="1794" hidden="1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N1794" t="n">
        <v>0</v>
      </c>
      <c r="O1794" t="n">
        <v>0</v>
      </c>
    </row>
    <row r="1795" hidden="1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N1795" t="n">
        <v>98.75</v>
      </c>
      <c r="O1795" t="n">
        <v>24.32432432432433</v>
      </c>
    </row>
    <row r="1796" hidden="1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N1796" t="n">
        <v>93.48</v>
      </c>
      <c r="O1796" t="n">
        <v>31.33462282398452</v>
      </c>
    </row>
    <row r="1797" hidden="1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46</v>
      </c>
      <c r="E1797" t="n">
        <v>41</v>
      </c>
      <c r="F1797" t="n">
        <v>15.37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N1797" t="n">
        <v>99.16</v>
      </c>
      <c r="O1797" t="n">
        <v>26.13908872901678</v>
      </c>
    </row>
    <row r="1798" hidden="1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N1798" t="n">
        <v>100</v>
      </c>
      <c r="O1798" t="n">
        <v>31.08974358974359</v>
      </c>
    </row>
    <row r="1799" hidden="1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34</v>
      </c>
      <c r="E1799" t="n">
        <v>33</v>
      </c>
      <c r="F1799" t="n">
        <v>20.39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N1799" t="n">
        <v>98.11</v>
      </c>
      <c r="O1799" t="n">
        <v>33.03370786516854</v>
      </c>
    </row>
    <row r="1800" hidden="1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N1800" t="n">
        <v>78.95</v>
      </c>
      <c r="O1800" t="n">
        <v>38.98305084745763</v>
      </c>
    </row>
    <row r="1801" hidden="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N1801" t="n">
        <v>98.45</v>
      </c>
      <c r="O1801" t="n">
        <v>29.2817679558011</v>
      </c>
    </row>
    <row r="1802" hidden="1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N1802" t="n">
        <v>97.84</v>
      </c>
      <c r="O1802" t="n">
        <v>26.28205128205128</v>
      </c>
    </row>
    <row r="1803" hidden="1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N1804" t="n">
        <v>99.05</v>
      </c>
      <c r="O1804" t="n">
        <v>26.62192393736018</v>
      </c>
    </row>
    <row r="1805" hidden="1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N1805" t="n">
        <v>98.53</v>
      </c>
      <c r="O1805" t="n">
        <v>31.57894736842105</v>
      </c>
    </row>
    <row r="1806" hidden="1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N1806" t="n">
        <v>100</v>
      </c>
      <c r="O1806" t="n">
        <v>25.72214580467676</v>
      </c>
    </row>
    <row r="1807" hidden="1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N1807" t="n">
        <v>94.64</v>
      </c>
      <c r="O1807" t="n">
        <v>27.52941176470588</v>
      </c>
    </row>
    <row r="1808" hidden="1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N1808" t="n">
        <v>99.06999999999999</v>
      </c>
      <c r="O1808" t="n">
        <v>26.3768115942029</v>
      </c>
    </row>
    <row r="1809" hidden="1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N1809" t="n">
        <v>100</v>
      </c>
      <c r="O1809" t="n">
        <v>0</v>
      </c>
    </row>
    <row r="1810" hidden="1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N1810" t="n">
        <v>98.48</v>
      </c>
      <c r="O1810" t="n">
        <v>27.85388127853881</v>
      </c>
    </row>
    <row r="1811" hidden="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N1811" t="n">
        <v>95.15000000000001</v>
      </c>
      <c r="O1811" t="n">
        <v>34.13173652694611</v>
      </c>
    </row>
    <row r="1812" hidden="1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N1812" t="n">
        <v>0</v>
      </c>
      <c r="O1812" t="n">
        <v>0</v>
      </c>
    </row>
    <row r="1813" hidden="1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N1813" t="n">
        <v>99.26000000000001</v>
      </c>
      <c r="O1813" t="n">
        <v>30.84832904884319</v>
      </c>
    </row>
    <row r="1814" hidden="1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N1814" t="n">
        <v>97.48</v>
      </c>
      <c r="O1814" t="n">
        <v>27.76470588235294</v>
      </c>
    </row>
    <row r="1815" hidden="1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44</v>
      </c>
      <c r="E1815" t="n">
        <v>42</v>
      </c>
      <c r="F1815" t="n">
        <v>16.54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N1815" t="n">
        <v>99.34</v>
      </c>
      <c r="O1815" t="n">
        <v>30.04291845493562</v>
      </c>
    </row>
    <row r="1816" hidden="1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N1816" t="n">
        <v>96.3</v>
      </c>
      <c r="O1816" t="n">
        <v>24.29378531073446</v>
      </c>
    </row>
    <row r="1817" hidden="1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N1817" t="n">
        <v>100</v>
      </c>
      <c r="O1817" t="n">
        <v>26.54320987654321</v>
      </c>
    </row>
    <row r="1818" hidden="1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N1818" t="n">
        <v>100</v>
      </c>
      <c r="O1818" t="n">
        <v>35.48387096774194</v>
      </c>
    </row>
    <row r="1819" hidden="1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N1819" t="n">
        <v>99.27</v>
      </c>
      <c r="O1819" t="n">
        <v>31.16370808678501</v>
      </c>
    </row>
    <row r="1820" hidden="1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N1820" t="n">
        <v>94.16</v>
      </c>
      <c r="O1820" t="n">
        <v>27.03862660944206</v>
      </c>
    </row>
    <row r="1821" hidden="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N1821" t="n">
        <v>93.75</v>
      </c>
      <c r="O1821" t="n">
        <v>19.31818181818182</v>
      </c>
    </row>
    <row r="1822" hidden="1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N1822" t="n">
        <v>0</v>
      </c>
      <c r="O1822" t="n">
        <v>0</v>
      </c>
    </row>
    <row r="1823" hidden="1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N1823" t="n">
        <v>97.92</v>
      </c>
      <c r="O1823" t="n">
        <v>32.87671232876712</v>
      </c>
    </row>
    <row r="1824" hidden="1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N1824" t="n">
        <v>0</v>
      </c>
      <c r="O1824" t="n">
        <v>0</v>
      </c>
    </row>
    <row r="1825" hidden="1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N1825" t="n">
        <v>0</v>
      </c>
      <c r="O1825" t="n">
        <v>0</v>
      </c>
    </row>
    <row r="1826" hidden="1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N1826" t="n">
        <v>0</v>
      </c>
      <c r="O1826" t="n">
        <v>0</v>
      </c>
    </row>
    <row r="1827" hidden="1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N1827" t="n">
        <v>98.51000000000001</v>
      </c>
      <c r="O1827" t="n">
        <v>29.71014492753623</v>
      </c>
    </row>
    <row r="1828" hidden="1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N1828" t="n">
        <v>98.81</v>
      </c>
      <c r="O1828" t="n">
        <v>30.71297989031079</v>
      </c>
    </row>
    <row r="1829" hidden="1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N1829" t="n">
        <v>98.48</v>
      </c>
      <c r="O1829" t="n">
        <v>29.35323383084577</v>
      </c>
    </row>
    <row r="1830" hidden="1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N1830" t="n">
        <v>98.56</v>
      </c>
      <c r="O1830" t="n">
        <v>29.37365010799136</v>
      </c>
    </row>
    <row r="1831" hidden="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N1831" t="n">
        <v>98.31999999999999</v>
      </c>
      <c r="O1831" t="n">
        <v>30.3030303030303</v>
      </c>
    </row>
    <row r="1832" hidden="1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N1832" t="n">
        <v>98.68000000000001</v>
      </c>
      <c r="O1832" t="n">
        <v>26.21951219512195</v>
      </c>
    </row>
    <row r="1833" hidden="1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N1833" t="n">
        <v>100</v>
      </c>
      <c r="O1833" t="n">
        <v>31.74224343675418</v>
      </c>
    </row>
    <row r="1834" hidden="1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N1834" t="n">
        <v>98.25</v>
      </c>
      <c r="O1834" t="n">
        <v>25.83518930957684</v>
      </c>
    </row>
    <row r="1835" hidden="1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N1835" t="n">
        <v>97.5</v>
      </c>
      <c r="O1835" t="n">
        <v>30.07518796992481</v>
      </c>
    </row>
    <row r="1836" hidden="1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N1836" t="n">
        <v>100</v>
      </c>
      <c r="O1836" t="n">
        <v>29.71311475409836</v>
      </c>
    </row>
    <row r="1837" hidden="1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N1837" t="n">
        <v>99.22</v>
      </c>
      <c r="O1837" t="n">
        <v>35.25641025641026</v>
      </c>
    </row>
    <row r="1838" hidden="1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N1838" t="n">
        <v>0</v>
      </c>
      <c r="O1838" t="n">
        <v>0</v>
      </c>
    </row>
    <row r="1839" hidden="1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N1839" t="n">
        <v>98.75</v>
      </c>
      <c r="O1839" t="n">
        <v>24.32432432432433</v>
      </c>
    </row>
    <row r="1840" hidden="1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N1840" t="n">
        <v>93.48</v>
      </c>
      <c r="O1840" t="n">
        <v>31.33462282398452</v>
      </c>
    </row>
    <row r="1841" hidden="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40</v>
      </c>
      <c r="E1841" t="n">
        <v>33</v>
      </c>
      <c r="F1841" t="n">
        <v>15.5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N1841" t="n">
        <v>99.16</v>
      </c>
      <c r="O1841" t="n">
        <v>26.13908872901678</v>
      </c>
    </row>
    <row r="1842" hidden="1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N1842" t="n">
        <v>100</v>
      </c>
      <c r="O1842" t="n">
        <v>31.08974358974359</v>
      </c>
    </row>
    <row r="1843" hidden="1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37</v>
      </c>
      <c r="E1843" t="n">
        <v>36</v>
      </c>
      <c r="F1843" t="n">
        <v>20.3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N1843" t="n">
        <v>98.11</v>
      </c>
      <c r="O1843" t="n">
        <v>33.03370786516854</v>
      </c>
    </row>
    <row r="1844" hidden="1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N1844" t="n">
        <v>78.95</v>
      </c>
      <c r="O1844" t="n">
        <v>38.98305084745763</v>
      </c>
    </row>
    <row r="1845" hidden="1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N1845" t="n">
        <v>98.45</v>
      </c>
      <c r="O1845" t="n">
        <v>29.2817679558011</v>
      </c>
    </row>
    <row r="1846" hidden="1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N1846" t="n">
        <v>97.84</v>
      </c>
      <c r="O1846" t="n">
        <v>26.28205128205128</v>
      </c>
    </row>
    <row r="1847" hidden="1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N1848" t="n">
        <v>99.05</v>
      </c>
      <c r="O1848" t="n">
        <v>26.62192393736018</v>
      </c>
    </row>
    <row r="1849" hidden="1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N1849" t="n">
        <v>98.53</v>
      </c>
      <c r="O1849" t="n">
        <v>31.57894736842105</v>
      </c>
    </row>
    <row r="1850" hidden="1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N1850" t="n">
        <v>100</v>
      </c>
      <c r="O1850" t="n">
        <v>25.72214580467676</v>
      </c>
    </row>
    <row r="1851" hidden="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N1851" t="n">
        <v>94.64</v>
      </c>
      <c r="O1851" t="n">
        <v>27.52941176470588</v>
      </c>
    </row>
    <row r="1852" hidden="1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N1852" t="n">
        <v>99.06999999999999</v>
      </c>
      <c r="O1852" t="n">
        <v>26.3768115942029</v>
      </c>
    </row>
    <row r="1853" hidden="1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N1853" t="n">
        <v>100</v>
      </c>
      <c r="O1853" t="n">
        <v>0</v>
      </c>
    </row>
    <row r="1854" hidden="1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N1854" t="n">
        <v>98.48</v>
      </c>
      <c r="O1854" t="n">
        <v>27.85388127853881</v>
      </c>
    </row>
    <row r="1855" hidden="1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N1855" t="n">
        <v>95.15000000000001</v>
      </c>
      <c r="O1855" t="n">
        <v>34.13173652694611</v>
      </c>
    </row>
    <row r="1856" hidden="1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N1856" t="n">
        <v>0</v>
      </c>
      <c r="O1856" t="n">
        <v>0</v>
      </c>
    </row>
    <row r="1857" hidden="1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N1857" t="n">
        <v>99.26000000000001</v>
      </c>
      <c r="O1857" t="n">
        <v>30.84832904884319</v>
      </c>
    </row>
    <row r="1858" hidden="1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N1858" t="n">
        <v>97.48</v>
      </c>
      <c r="O1858" t="n">
        <v>27.76470588235294</v>
      </c>
    </row>
    <row r="1859" hidden="1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36</v>
      </c>
      <c r="E1859" t="n">
        <v>36</v>
      </c>
      <c r="F1859" t="n">
        <v>19.18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N1859" t="n">
        <v>99.34</v>
      </c>
      <c r="O1859" t="n">
        <v>30.04291845493562</v>
      </c>
    </row>
    <row r="1860" hidden="1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N1860" t="n">
        <v>96.3</v>
      </c>
      <c r="O1860" t="n">
        <v>24.29378531073446</v>
      </c>
    </row>
    <row r="1861" hidden="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N1861" t="n">
        <v>100</v>
      </c>
      <c r="O1861" t="n">
        <v>26.54320987654321</v>
      </c>
    </row>
    <row r="1862" hidden="1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N1862" t="n">
        <v>100</v>
      </c>
      <c r="O1862" t="n">
        <v>35.48387096774194</v>
      </c>
    </row>
    <row r="1863" hidden="1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N1863" t="n">
        <v>99.27</v>
      </c>
      <c r="O1863" t="n">
        <v>31.16370808678501</v>
      </c>
    </row>
    <row r="1864" hidden="1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N1864" t="n">
        <v>94.16</v>
      </c>
      <c r="O1864" t="n">
        <v>27.03862660944206</v>
      </c>
    </row>
    <row r="1865" hidden="1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N1865" t="n">
        <v>93.75</v>
      </c>
      <c r="O1865" t="n">
        <v>19.31818181818182</v>
      </c>
    </row>
    <row r="1866" hidden="1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N1866" t="n">
        <v>0</v>
      </c>
      <c r="O1866" t="n">
        <v>0</v>
      </c>
    </row>
    <row r="1867" hidden="1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N1867" t="n">
        <v>97.92</v>
      </c>
      <c r="O1867" t="n">
        <v>32.87671232876712</v>
      </c>
    </row>
    <row r="1868" hidden="1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N1868" t="n">
        <v>0</v>
      </c>
      <c r="O1868" t="n">
        <v>0</v>
      </c>
    </row>
    <row r="1869" hidden="1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N1869" t="n">
        <v>0</v>
      </c>
      <c r="O1869" t="n">
        <v>0</v>
      </c>
    </row>
    <row r="1870" hidden="1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N1870" t="n">
        <v>0</v>
      </c>
      <c r="O1870" t="n">
        <v>0</v>
      </c>
    </row>
    <row r="1871" hidden="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N1871" t="n">
        <v>98.51000000000001</v>
      </c>
      <c r="O1871" t="n">
        <v>29.71014492753623</v>
      </c>
    </row>
    <row r="1872" hidden="1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N1872" t="n">
        <v>98.81</v>
      </c>
      <c r="O1872" t="n">
        <v>30.71297989031079</v>
      </c>
    </row>
    <row r="1873" hidden="1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N1873" t="n">
        <v>98.48</v>
      </c>
      <c r="O1873" t="n">
        <v>29.35323383084577</v>
      </c>
    </row>
    <row r="1874" hidden="1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N1874" t="n">
        <v>98.56</v>
      </c>
      <c r="O1874" t="n">
        <v>29.37365010799136</v>
      </c>
    </row>
    <row r="1875" hidden="1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N1875" t="n">
        <v>98.31999999999999</v>
      </c>
      <c r="O1875" t="n">
        <v>30.3030303030303</v>
      </c>
    </row>
    <row r="1876" hidden="1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N1876" t="n">
        <v>98.68000000000001</v>
      </c>
      <c r="O1876" t="n">
        <v>26.21951219512195</v>
      </c>
    </row>
    <row r="1877" hidden="1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N1877" t="n">
        <v>100</v>
      </c>
      <c r="O1877" t="n">
        <v>31.74224343675418</v>
      </c>
    </row>
    <row r="1878" hidden="1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N1878" t="n">
        <v>98.25</v>
      </c>
      <c r="O1878" t="n">
        <v>25.83518930957684</v>
      </c>
    </row>
    <row r="1879" hidden="1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N1879" t="n">
        <v>97.5</v>
      </c>
      <c r="O1879" t="n">
        <v>30.07518796992481</v>
      </c>
    </row>
    <row r="1880" hidden="1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N1880" t="n">
        <v>100</v>
      </c>
      <c r="O1880" t="n">
        <v>29.71311475409836</v>
      </c>
    </row>
    <row r="1881" hidden="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N1881" t="n">
        <v>99.22</v>
      </c>
      <c r="O1881" t="n">
        <v>35.25641025641026</v>
      </c>
    </row>
    <row r="1882" hidden="1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N1882" t="n">
        <v>0</v>
      </c>
      <c r="O1882" t="n">
        <v>0</v>
      </c>
    </row>
    <row r="1883" hidden="1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N1883" t="n">
        <v>98.75</v>
      </c>
      <c r="O1883" t="n">
        <v>24.32432432432433</v>
      </c>
    </row>
    <row r="1884" hidden="1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N1884" t="n">
        <v>93.48</v>
      </c>
      <c r="O1884" t="n">
        <v>31.33462282398452</v>
      </c>
    </row>
    <row r="1885" hidden="1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35</v>
      </c>
      <c r="E1885" t="n">
        <v>32</v>
      </c>
      <c r="F1885" t="n">
        <v>18.35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N1885" t="n">
        <v>99.16</v>
      </c>
      <c r="O1885" t="n">
        <v>26.13908872901678</v>
      </c>
    </row>
    <row r="1886" hidden="1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N1886" t="n">
        <v>100</v>
      </c>
      <c r="O1886" t="n">
        <v>31.08974358974359</v>
      </c>
    </row>
    <row r="1887" hidden="1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38</v>
      </c>
      <c r="E1887" t="n">
        <v>38</v>
      </c>
      <c r="F1887" t="n">
        <v>19.14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N1887" t="n">
        <v>98.11</v>
      </c>
      <c r="O1887" t="n">
        <v>33.03370786516854</v>
      </c>
    </row>
    <row r="1888" hidden="1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N1888" t="n">
        <v>78.95</v>
      </c>
      <c r="O1888" t="n">
        <v>38.98305084745763</v>
      </c>
    </row>
    <row r="1889" hidden="1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N1889" t="n">
        <v>98.45</v>
      </c>
      <c r="O1889" t="n">
        <v>29.2817679558011</v>
      </c>
    </row>
    <row r="1890" hidden="1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N1890" t="n">
        <v>97.84</v>
      </c>
      <c r="O1890" t="n">
        <v>26.28205128205128</v>
      </c>
    </row>
    <row r="1891" hidden="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N1892" t="n">
        <v>99.05</v>
      </c>
      <c r="O1892" t="n">
        <v>26.62192393736018</v>
      </c>
    </row>
    <row r="1893" hidden="1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N1893" t="n">
        <v>98.53</v>
      </c>
      <c r="O1893" t="n">
        <v>31.57894736842105</v>
      </c>
    </row>
    <row r="1894" hidden="1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N1894" t="n">
        <v>100</v>
      </c>
      <c r="O1894" t="n">
        <v>25.72214580467676</v>
      </c>
    </row>
    <row r="1895" hidden="1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N1895" t="n">
        <v>94.64</v>
      </c>
      <c r="O1895" t="n">
        <v>27.52941176470588</v>
      </c>
    </row>
    <row r="1896" hidden="1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N1896" t="n">
        <v>99.06999999999999</v>
      </c>
      <c r="O1896" t="n">
        <v>26.3768115942029</v>
      </c>
    </row>
    <row r="1897" hidden="1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N1897" t="n">
        <v>100</v>
      </c>
      <c r="O1897" t="n">
        <v>0</v>
      </c>
    </row>
    <row r="1898" hidden="1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N1898" t="n">
        <v>98.48</v>
      </c>
      <c r="O1898" t="n">
        <v>27.85388127853881</v>
      </c>
    </row>
    <row r="1899" hidden="1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N1899" t="n">
        <v>95.15000000000001</v>
      </c>
      <c r="O1899" t="n">
        <v>34.13173652694611</v>
      </c>
    </row>
    <row r="1900" hidden="1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N1900" t="n">
        <v>0</v>
      </c>
      <c r="O1900" t="n">
        <v>0</v>
      </c>
    </row>
    <row r="1901" hidden="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N1901" t="n">
        <v>99.26000000000001</v>
      </c>
      <c r="O1901" t="n">
        <v>30.84832904884319</v>
      </c>
    </row>
    <row r="1902" hidden="1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N1902" t="n">
        <v>97.48</v>
      </c>
      <c r="O1902" t="n">
        <v>27.76470588235294</v>
      </c>
    </row>
    <row r="1903" hidden="1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41</v>
      </c>
      <c r="E1903" t="n">
        <v>38</v>
      </c>
      <c r="F1903" t="n">
        <v>15.12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N1903" t="n">
        <v>99.34</v>
      </c>
      <c r="O1903" t="n">
        <v>30.04291845493562</v>
      </c>
    </row>
    <row r="1904" hidden="1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N1904" t="n">
        <v>96.3</v>
      </c>
      <c r="O1904" t="n">
        <v>24.29378531073446</v>
      </c>
    </row>
    <row r="1905" hidden="1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N1905" t="n">
        <v>100</v>
      </c>
      <c r="O1905" t="n">
        <v>26.54320987654321</v>
      </c>
    </row>
    <row r="1906" hidden="1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N1906" t="n">
        <v>100</v>
      </c>
      <c r="O1906" t="n">
        <v>35.48387096774194</v>
      </c>
    </row>
    <row r="1907" hidden="1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N1907" t="n">
        <v>99.27</v>
      </c>
      <c r="O1907" t="n">
        <v>31.16370808678501</v>
      </c>
    </row>
    <row r="1908" hidden="1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N1908" t="n">
        <v>94.16</v>
      </c>
      <c r="O1908" t="n">
        <v>27.03862660944206</v>
      </c>
    </row>
    <row r="1909" hidden="1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N1909" t="n">
        <v>93.75</v>
      </c>
      <c r="O1909" t="n">
        <v>19.31818181818182</v>
      </c>
    </row>
    <row r="1910" hidden="1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N1910" t="n">
        <v>0</v>
      </c>
      <c r="O1910" t="n">
        <v>0</v>
      </c>
    </row>
    <row r="1911" hidden="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N1911" t="n">
        <v>97.92</v>
      </c>
      <c r="O1911" t="n">
        <v>32.87671232876712</v>
      </c>
    </row>
    <row r="1912" hidden="1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N1912" t="n">
        <v>0</v>
      </c>
      <c r="O1912" t="n">
        <v>0</v>
      </c>
    </row>
    <row r="1913" hidden="1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N1913" t="n">
        <v>0</v>
      </c>
      <c r="O1913" t="n">
        <v>0</v>
      </c>
    </row>
    <row r="1914" hidden="1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N1914" t="n">
        <v>0</v>
      </c>
      <c r="O1914" t="n">
        <v>0</v>
      </c>
    </row>
    <row r="1915" hidden="1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N1915" t="n">
        <v>98.51000000000001</v>
      </c>
      <c r="O1915" t="n">
        <v>29.71014492753623</v>
      </c>
    </row>
    <row r="1916" hidden="1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N1916" t="n">
        <v>98.81</v>
      </c>
      <c r="O1916" t="n">
        <v>30.71297989031079</v>
      </c>
    </row>
    <row r="1917" hidden="1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N1917" t="n">
        <v>98.48</v>
      </c>
      <c r="O1917" t="n">
        <v>29.35323383084577</v>
      </c>
    </row>
    <row r="1918" hidden="1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N1918" t="n">
        <v>98.56</v>
      </c>
      <c r="O1918" t="n">
        <v>29.37365010799136</v>
      </c>
    </row>
    <row r="1919" hidden="1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M1919" t="n">
        <v>0</v>
      </c>
      <c r="N1919" t="n">
        <v>100</v>
      </c>
      <c r="O1919" t="n">
        <v>27.16763005780346</v>
      </c>
    </row>
    <row r="1920" hidden="1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M1920" t="n">
        <v>0</v>
      </c>
      <c r="N1920" t="n">
        <v>97.95999999999999</v>
      </c>
      <c r="O1920" t="n">
        <v>30.55555555555556</v>
      </c>
    </row>
    <row r="1921" hidden="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M1921" t="n">
        <v>0</v>
      </c>
      <c r="N1921" t="n">
        <v>100</v>
      </c>
      <c r="O1921" t="n">
        <v>27.97619047619048</v>
      </c>
    </row>
    <row r="1922" hidden="1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M1922" t="n">
        <v>0</v>
      </c>
      <c r="N1922" t="n">
        <v>100</v>
      </c>
      <c r="O1922" t="n">
        <v>22.22222222222222</v>
      </c>
    </row>
    <row r="1923" hidden="1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M1923" t="n">
        <v>0</v>
      </c>
      <c r="N1923" t="n">
        <v>100</v>
      </c>
      <c r="O1923" t="n">
        <v>42.85714285714285</v>
      </c>
    </row>
    <row r="1924" hidden="1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M1924" t="n">
        <v>0</v>
      </c>
      <c r="N1924" t="n">
        <v>100</v>
      </c>
      <c r="O1924" t="n">
        <v>30.52631578947368</v>
      </c>
    </row>
    <row r="1925" hidden="1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M1925" t="n">
        <v>0</v>
      </c>
      <c r="N1925" t="n">
        <v>100</v>
      </c>
      <c r="O1925" t="n">
        <v>36.56716417910448</v>
      </c>
    </row>
    <row r="1926" hidden="1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M1926" t="n">
        <v>0</v>
      </c>
      <c r="N1926" t="n">
        <v>0</v>
      </c>
      <c r="O1926" t="n">
        <v>0</v>
      </c>
    </row>
    <row r="1927" hidden="1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M1927" t="n">
        <v>0</v>
      </c>
      <c r="N1927" t="n">
        <v>100</v>
      </c>
      <c r="O1927" t="n">
        <v>21.48760330578513</v>
      </c>
    </row>
    <row r="1928" hidden="1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M1928" t="n">
        <v>0</v>
      </c>
      <c r="N1928" t="n">
        <v>94.23</v>
      </c>
      <c r="O1928" t="n">
        <v>31.73076923076923</v>
      </c>
    </row>
    <row r="1929" hidden="1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M1929" t="n">
        <v>0</v>
      </c>
      <c r="N1929" t="n">
        <v>100</v>
      </c>
      <c r="O1929" t="n">
        <v>27.10843373493976</v>
      </c>
    </row>
    <row r="1930" hidden="1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M1930" t="n">
        <v>0</v>
      </c>
      <c r="N1930" t="n">
        <v>100</v>
      </c>
      <c r="O1930" t="n">
        <v>23.02631578947368</v>
      </c>
    </row>
    <row r="1931" hidden="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26</v>
      </c>
      <c r="E1931" t="n">
        <v>25</v>
      </c>
      <c r="F1931" t="n">
        <v>28.5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M1931" t="n">
        <v>0</v>
      </c>
      <c r="N1931" t="n">
        <v>100</v>
      </c>
      <c r="O1931" t="n">
        <v>34.69387755102041</v>
      </c>
    </row>
    <row r="1932" hidden="1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M1932" t="n">
        <v>0</v>
      </c>
      <c r="N1932" t="n">
        <v>100</v>
      </c>
      <c r="O1932" t="n">
        <v>47.05882352941176</v>
      </c>
    </row>
    <row r="1933" hidden="1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M1933" t="n">
        <v>0</v>
      </c>
      <c r="N1933" t="n">
        <v>100</v>
      </c>
      <c r="O1933" t="n">
        <v>28.75</v>
      </c>
    </row>
    <row r="1934" hidden="1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M1934" t="n">
        <v>0</v>
      </c>
      <c r="N1934" t="n">
        <v>97.06</v>
      </c>
      <c r="O1934" t="n">
        <v>31.03448275862069</v>
      </c>
    </row>
    <row r="1935" hidden="1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M1935" t="n">
        <v>0</v>
      </c>
      <c r="N1935" t="n">
        <v>97.62</v>
      </c>
      <c r="O1935" t="n">
        <v>22.94372294372294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N1936" t="n">
        <v>99.05</v>
      </c>
      <c r="O1936" t="n">
        <v>26.62192393736018</v>
      </c>
    </row>
    <row r="1937" hidden="1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M1937" t="n">
        <v>0</v>
      </c>
      <c r="N1937" t="n">
        <v>100</v>
      </c>
      <c r="O1937" t="n">
        <v>34.96932515337423</v>
      </c>
    </row>
    <row r="1938" hidden="1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M1938" t="n">
        <v>0</v>
      </c>
      <c r="N1938" t="n">
        <v>100</v>
      </c>
      <c r="O1938" t="n">
        <v>25.68493150684932</v>
      </c>
    </row>
    <row r="1939" hidden="1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M1939" t="n">
        <v>0</v>
      </c>
      <c r="N1939" t="n">
        <v>96.77</v>
      </c>
      <c r="O1939" t="n">
        <v>26.59574468085106</v>
      </c>
    </row>
    <row r="1940" hidden="1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M1940" t="n">
        <v>0</v>
      </c>
      <c r="N1940" t="n">
        <v>100</v>
      </c>
      <c r="O1940" t="n">
        <v>28.1437125748503</v>
      </c>
    </row>
    <row r="1941" hidden="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M1941" t="n">
        <v>0</v>
      </c>
      <c r="N1941" t="n">
        <v>100</v>
      </c>
      <c r="O1941" t="n">
        <v>0</v>
      </c>
    </row>
    <row r="1942" hidden="1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M1942" t="n">
        <v>0</v>
      </c>
      <c r="N1942" t="n">
        <v>92.86</v>
      </c>
      <c r="O1942" t="n">
        <v>29.76190476190476</v>
      </c>
    </row>
    <row r="1943" hidden="1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M1943" t="n">
        <v>0</v>
      </c>
      <c r="N1943" t="n">
        <v>100</v>
      </c>
      <c r="O1943" t="n">
        <v>21.09375</v>
      </c>
    </row>
    <row r="1944" hidden="1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M1944" t="n">
        <v>0</v>
      </c>
      <c r="N1944" t="n">
        <v>0</v>
      </c>
      <c r="O1944" t="n">
        <v>0</v>
      </c>
    </row>
    <row r="1945" hidden="1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M1945" t="n">
        <v>0</v>
      </c>
      <c r="N1945" t="n">
        <v>97.78</v>
      </c>
      <c r="O1945" t="n">
        <v>31.85185185185185</v>
      </c>
    </row>
    <row r="1946" hidden="1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M1946" t="n">
        <v>0</v>
      </c>
      <c r="N1946" t="n">
        <v>100</v>
      </c>
      <c r="O1946" t="n">
        <v>25.59523809523809</v>
      </c>
    </row>
    <row r="1947" hidden="1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37</v>
      </c>
      <c r="E1947" t="n">
        <v>34</v>
      </c>
      <c r="F1947" t="n">
        <v>18.41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M1947" t="n">
        <v>0</v>
      </c>
      <c r="N1947" t="n">
        <v>100</v>
      </c>
      <c r="O1947" t="n">
        <v>32.66331658291458</v>
      </c>
    </row>
    <row r="1948" hidden="1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M1948" t="n">
        <v>0</v>
      </c>
      <c r="N1948" t="n">
        <v>95.83</v>
      </c>
      <c r="O1948" t="n">
        <v>25.51020408163265</v>
      </c>
    </row>
    <row r="1949" hidden="1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M1949" t="n">
        <v>0</v>
      </c>
      <c r="N1949" t="n">
        <v>100</v>
      </c>
      <c r="O1949" t="n">
        <v>27.33812949640288</v>
      </c>
    </row>
    <row r="1950" hidden="1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M1950" t="n">
        <v>0</v>
      </c>
      <c r="N1950" t="n">
        <v>100</v>
      </c>
      <c r="O1950" t="n">
        <v>27.77777777777778</v>
      </c>
    </row>
    <row r="1951" hidden="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M1951" t="n">
        <v>0</v>
      </c>
      <c r="N1951" t="n">
        <v>95.83</v>
      </c>
      <c r="O1951" t="n">
        <v>31.47208121827411</v>
      </c>
    </row>
    <row r="1952" hidden="1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M1952" t="n">
        <v>0</v>
      </c>
      <c r="N1952" t="n">
        <v>94.73999999999999</v>
      </c>
      <c r="O1952" t="n">
        <v>26.77595628415301</v>
      </c>
    </row>
    <row r="1953" hidden="1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M1953" t="n">
        <v>0</v>
      </c>
      <c r="N1953" t="n">
        <v>100</v>
      </c>
      <c r="O1953" t="n">
        <v>25</v>
      </c>
    </row>
    <row r="1954" hidden="1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M1954" t="n">
        <v>0</v>
      </c>
      <c r="N1954" t="n">
        <v>0</v>
      </c>
      <c r="O1954" t="n">
        <v>0</v>
      </c>
    </row>
    <row r="1955" hidden="1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M1955" t="n">
        <v>0</v>
      </c>
      <c r="N1955" t="n">
        <v>100</v>
      </c>
      <c r="O1955" t="n">
        <v>32.87671232876712</v>
      </c>
    </row>
    <row r="1956" hidden="1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M1956" t="n">
        <v>0</v>
      </c>
      <c r="N1956" t="n">
        <v>0</v>
      </c>
      <c r="O1956" t="n">
        <v>0</v>
      </c>
    </row>
    <row r="1957" hidden="1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M1957" t="n">
        <v>0</v>
      </c>
      <c r="N1957" t="n">
        <v>0</v>
      </c>
      <c r="O1957" t="n">
        <v>0</v>
      </c>
    </row>
    <row r="1958" hidden="1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M1958" t="n">
        <v>0</v>
      </c>
      <c r="N1958" t="n">
        <v>0</v>
      </c>
      <c r="O1958" t="n">
        <v>0</v>
      </c>
    </row>
    <row r="1959" hidden="1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M1959" t="n">
        <v>0</v>
      </c>
      <c r="N1959" t="n">
        <v>100</v>
      </c>
      <c r="O1959" t="n">
        <v>36.08247422680412</v>
      </c>
    </row>
    <row r="1960" hidden="1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M1960" t="n">
        <v>0</v>
      </c>
      <c r="N1960" t="n">
        <v>100</v>
      </c>
      <c r="O1960" t="n">
        <v>20.63492063492063</v>
      </c>
    </row>
    <row r="1961" hidden="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M1961" t="n">
        <v>0</v>
      </c>
      <c r="N1961" t="n">
        <v>95</v>
      </c>
      <c r="O1961" t="n">
        <v>30.58823529411765</v>
      </c>
    </row>
    <row r="1962" hidden="1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M1962" t="n">
        <v>0</v>
      </c>
      <c r="N1962" t="n">
        <v>97.62</v>
      </c>
      <c r="O1962" t="n">
        <v>23.83419689119171</v>
      </c>
    </row>
    <row r="1963" hidden="1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N1963" t="n">
        <v>98.31999999999999</v>
      </c>
      <c r="O1963" t="n">
        <v>30.3030303030303</v>
      </c>
    </row>
    <row r="1964" hidden="1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N1964" t="n">
        <v>98.68000000000001</v>
      </c>
      <c r="O1964" t="n">
        <v>26.21951219512195</v>
      </c>
    </row>
    <row r="1965" hidden="1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N1965" t="n">
        <v>100</v>
      </c>
      <c r="O1965" t="n">
        <v>31.74224343675418</v>
      </c>
    </row>
    <row r="1966" hidden="1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N1966" t="n">
        <v>98.25</v>
      </c>
      <c r="O1966" t="n">
        <v>25.83518930957684</v>
      </c>
    </row>
    <row r="1967" hidden="1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N1967" t="n">
        <v>97.5</v>
      </c>
      <c r="O1967" t="n">
        <v>30.07518796992481</v>
      </c>
    </row>
    <row r="1968" hidden="1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N1968" t="n">
        <v>100</v>
      </c>
      <c r="O1968" t="n">
        <v>29.71311475409836</v>
      </c>
    </row>
    <row r="1969" hidden="1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N1969" t="n">
        <v>99.22</v>
      </c>
      <c r="O1969" t="n">
        <v>35.25641025641026</v>
      </c>
    </row>
    <row r="1970" hidden="1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N1970" t="n">
        <v>0</v>
      </c>
      <c r="O1970" t="n">
        <v>0</v>
      </c>
    </row>
    <row r="1971" hidden="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N1971" t="n">
        <v>98.75</v>
      </c>
      <c r="O1971" t="n">
        <v>24.32432432432433</v>
      </c>
    </row>
    <row r="1972" hidden="1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N1972" t="n">
        <v>93.48</v>
      </c>
      <c r="O1972" t="n">
        <v>31.33462282398452</v>
      </c>
    </row>
    <row r="1973" hidden="1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31</v>
      </c>
      <c r="E1973" t="n">
        <v>27</v>
      </c>
      <c r="F1973" t="n">
        <v>21.59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N1973" t="n">
        <v>99.16</v>
      </c>
      <c r="O1973" t="n">
        <v>26.13908872901678</v>
      </c>
    </row>
    <row r="1974" hidden="1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N1974" t="n">
        <v>100</v>
      </c>
      <c r="O1974" t="n">
        <v>31.08974358974359</v>
      </c>
    </row>
    <row r="1975" hidden="1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30</v>
      </c>
      <c r="E1975" t="n">
        <v>29</v>
      </c>
      <c r="F1975" t="n">
        <v>25.58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N1975" t="n">
        <v>98.11</v>
      </c>
      <c r="O1975" t="n">
        <v>33.03370786516854</v>
      </c>
    </row>
    <row r="1976" hidden="1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N1976" t="n">
        <v>78.95</v>
      </c>
      <c r="O1976" t="n">
        <v>38.98305084745763</v>
      </c>
    </row>
    <row r="1977" hidden="1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N1977" t="n">
        <v>98.45</v>
      </c>
      <c r="O1977" t="n">
        <v>29.2817679558011</v>
      </c>
    </row>
    <row r="1978" hidden="1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N1978" t="n">
        <v>97.84</v>
      </c>
      <c r="O1978" t="n">
        <v>26.28205128205128</v>
      </c>
    </row>
    <row r="1979" hidden="1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N1980" t="n">
        <v>99.05</v>
      </c>
      <c r="O1980" t="n">
        <v>26.62192393736018</v>
      </c>
    </row>
    <row r="1981" hidden="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N1981" t="n">
        <v>98.53</v>
      </c>
      <c r="O1981" t="n">
        <v>31.57894736842105</v>
      </c>
    </row>
    <row r="1982" hidden="1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N1982" t="n">
        <v>100</v>
      </c>
      <c r="O1982" t="n">
        <v>25.72214580467676</v>
      </c>
    </row>
    <row r="1983" hidden="1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N1983" t="n">
        <v>94.64</v>
      </c>
      <c r="O1983" t="n">
        <v>27.52941176470588</v>
      </c>
    </row>
    <row r="1984" hidden="1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N1984" t="n">
        <v>99.06999999999999</v>
      </c>
      <c r="O1984" t="n">
        <v>26.3768115942029</v>
      </c>
    </row>
    <row r="1985" hidden="1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N1985" t="n">
        <v>100</v>
      </c>
      <c r="O1985" t="n">
        <v>0</v>
      </c>
    </row>
    <row r="1986" hidden="1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N1986" t="n">
        <v>98.48</v>
      </c>
      <c r="O1986" t="n">
        <v>27.85388127853881</v>
      </c>
    </row>
    <row r="1987" hidden="1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N1987" t="n">
        <v>95.15000000000001</v>
      </c>
      <c r="O1987" t="n">
        <v>34.13173652694611</v>
      </c>
    </row>
    <row r="1988" hidden="1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N1988" t="n">
        <v>0</v>
      </c>
      <c r="O1988" t="n">
        <v>0</v>
      </c>
    </row>
    <row r="1989" hidden="1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N1989" t="n">
        <v>99.26000000000001</v>
      </c>
      <c r="O1989" t="n">
        <v>30.84832904884319</v>
      </c>
    </row>
    <row r="1990" hidden="1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N1990" t="n">
        <v>97.48</v>
      </c>
      <c r="O1990" t="n">
        <v>27.76470588235294</v>
      </c>
    </row>
    <row r="1991" hidden="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38</v>
      </c>
      <c r="E1991" t="n">
        <v>37</v>
      </c>
      <c r="F1991" t="n">
        <v>16.55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N1991" t="n">
        <v>99.34</v>
      </c>
      <c r="O1991" t="n">
        <v>30.04291845493562</v>
      </c>
    </row>
    <row r="1992" hidden="1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N1992" t="n">
        <v>96.3</v>
      </c>
      <c r="O1992" t="n">
        <v>24.29378531073446</v>
      </c>
    </row>
    <row r="1993" hidden="1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N1993" t="n">
        <v>100</v>
      </c>
      <c r="O1993" t="n">
        <v>26.54320987654321</v>
      </c>
    </row>
    <row r="1994" hidden="1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N1994" t="n">
        <v>100</v>
      </c>
      <c r="O1994" t="n">
        <v>35.48387096774194</v>
      </c>
    </row>
    <row r="1995" hidden="1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N1995" t="n">
        <v>99.27</v>
      </c>
      <c r="O1995" t="n">
        <v>31.16370808678501</v>
      </c>
    </row>
    <row r="1996" hidden="1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N1996" t="n">
        <v>94.16</v>
      </c>
      <c r="O1996" t="n">
        <v>27.03862660944206</v>
      </c>
    </row>
    <row r="1997" hidden="1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N1997" t="n">
        <v>93.75</v>
      </c>
      <c r="O1997" t="n">
        <v>19.31818181818182</v>
      </c>
    </row>
    <row r="1998" hidden="1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N1998" t="n">
        <v>0</v>
      </c>
      <c r="O1998" t="n">
        <v>0</v>
      </c>
    </row>
    <row r="1999" hidden="1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N1999" t="n">
        <v>97.92</v>
      </c>
      <c r="O1999" t="n">
        <v>32.87671232876712</v>
      </c>
    </row>
    <row r="2000" hidden="1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N2000" t="n">
        <v>0</v>
      </c>
      <c r="O2000" t="n">
        <v>0</v>
      </c>
    </row>
    <row r="2001" hidden="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N2001" t="n">
        <v>0</v>
      </c>
      <c r="O2001" t="n">
        <v>0</v>
      </c>
    </row>
    <row r="2002" hidden="1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N2002" t="n">
        <v>0</v>
      </c>
      <c r="O2002" t="n">
        <v>0</v>
      </c>
    </row>
    <row r="2003" hidden="1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N2003" t="n">
        <v>98.51000000000001</v>
      </c>
      <c r="O2003" t="n">
        <v>29.71014492753623</v>
      </c>
    </row>
    <row r="2004" hidden="1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N2004" t="n">
        <v>98.81</v>
      </c>
      <c r="O2004" t="n">
        <v>30.71297989031079</v>
      </c>
    </row>
    <row r="2005" hidden="1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N2005" t="n">
        <v>98.48</v>
      </c>
      <c r="O2005" t="n">
        <v>29.35323383084577</v>
      </c>
    </row>
    <row r="2006" hidden="1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N2006" t="n">
        <v>98.56</v>
      </c>
      <c r="O2006" t="n">
        <v>29.37365010799136</v>
      </c>
    </row>
    <row r="2007" hidden="1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M2007" t="n">
        <v>31</v>
      </c>
      <c r="N2007" t="n">
        <v>100</v>
      </c>
      <c r="O2007" t="n">
        <v>28.19383259911895</v>
      </c>
    </row>
    <row r="2008" hidden="1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M2008" t="n">
        <v>25</v>
      </c>
      <c r="N2008" t="n">
        <v>98.55</v>
      </c>
      <c r="O2008" t="n">
        <v>28.63070539419087</v>
      </c>
    </row>
    <row r="2009" hidden="1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M2009" t="n">
        <v>23</v>
      </c>
      <c r="N2009" t="n">
        <v>100</v>
      </c>
      <c r="O2009" t="n">
        <v>29.10798122065728</v>
      </c>
    </row>
    <row r="2010" hidden="1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M2010" t="n">
        <v>23</v>
      </c>
      <c r="N2010" t="n">
        <v>100</v>
      </c>
      <c r="O2010" t="n">
        <v>23.30508474576271</v>
      </c>
    </row>
    <row r="2011" hidden="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M2011" t="n">
        <v>7</v>
      </c>
      <c r="N2011" t="n">
        <v>100</v>
      </c>
      <c r="O2011" t="n">
        <v>33.33333333333333</v>
      </c>
    </row>
    <row r="2012" hidden="1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M2012" t="n">
        <v>18</v>
      </c>
      <c r="N2012" t="n">
        <v>100</v>
      </c>
      <c r="O2012" t="n">
        <v>31.66666666666666</v>
      </c>
    </row>
    <row r="2013" hidden="1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M2013" t="n">
        <v>22</v>
      </c>
      <c r="N2013" t="n">
        <v>100</v>
      </c>
      <c r="O2013" t="n">
        <v>34.61538461538461</v>
      </c>
    </row>
    <row r="2014" hidden="1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M2014" t="n">
        <v>0</v>
      </c>
      <c r="N2014" t="n">
        <v>0</v>
      </c>
      <c r="O2014" t="n">
        <v>0</v>
      </c>
    </row>
    <row r="2015" hidden="1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M2015" t="n">
        <v>15</v>
      </c>
      <c r="N2015" t="n">
        <v>100</v>
      </c>
      <c r="O2015" t="n">
        <v>20.66666666666667</v>
      </c>
    </row>
    <row r="2016" hidden="1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M2016" t="n">
        <v>32</v>
      </c>
      <c r="N2016" t="n">
        <v>96.3</v>
      </c>
      <c r="O2016" t="n">
        <v>32.96703296703296</v>
      </c>
    </row>
    <row r="2017" hidden="1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21</v>
      </c>
      <c r="E2017" t="n">
        <v>19</v>
      </c>
      <c r="F2017" t="n">
        <v>25.11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M2017" t="n">
        <v>18</v>
      </c>
      <c r="N2017" t="n">
        <v>100</v>
      </c>
      <c r="O2017" t="n">
        <v>25</v>
      </c>
    </row>
    <row r="2018" hidden="1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M2018" t="n">
        <v>14</v>
      </c>
      <c r="N2018" t="n">
        <v>100</v>
      </c>
      <c r="O2018" t="n">
        <v>26.28865979381444</v>
      </c>
    </row>
    <row r="2019" hidden="1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30</v>
      </c>
      <c r="E2019" t="n">
        <v>29</v>
      </c>
      <c r="F2019" t="n">
        <v>23.51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M2019" t="n">
        <v>30</v>
      </c>
      <c r="N2019" t="n">
        <v>100</v>
      </c>
      <c r="O2019" t="n">
        <v>33.59375</v>
      </c>
    </row>
    <row r="2020" hidden="1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M2020" t="n">
        <v>2</v>
      </c>
      <c r="N2020" t="n">
        <v>75</v>
      </c>
      <c r="O2020" t="n">
        <v>50</v>
      </c>
    </row>
    <row r="2021" hidden="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M2021" t="n">
        <v>21</v>
      </c>
      <c r="N2021" t="n">
        <v>96.92</v>
      </c>
      <c r="O2021" t="n">
        <v>29.16666666666667</v>
      </c>
    </row>
    <row r="2022" hidden="1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M2022" t="n">
        <v>28</v>
      </c>
      <c r="N2022" t="n">
        <v>97.83</v>
      </c>
      <c r="O2022" t="n">
        <v>29.56521739130435</v>
      </c>
    </row>
    <row r="2023" hidden="1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M2023" t="n">
        <v>24</v>
      </c>
      <c r="N2023" t="n">
        <v>98.39</v>
      </c>
      <c r="O2023" t="n">
        <v>24.30555555555555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N2024" t="n">
        <v>99.05</v>
      </c>
      <c r="O2024" t="n">
        <v>26.62192393736018</v>
      </c>
    </row>
    <row r="2025" hidden="1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M2025" t="n">
        <v>26</v>
      </c>
      <c r="N2025" t="n">
        <v>100</v>
      </c>
      <c r="O2025" t="n">
        <v>36.79245283018868</v>
      </c>
    </row>
    <row r="2026" hidden="1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M2026" t="n">
        <v>51</v>
      </c>
      <c r="N2026" t="n">
        <v>100</v>
      </c>
      <c r="O2026" t="n">
        <v>25.97402597402597</v>
      </c>
    </row>
    <row r="2027" hidden="1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M2027" t="n">
        <v>34</v>
      </c>
      <c r="N2027" t="n">
        <v>97.92</v>
      </c>
      <c r="O2027" t="n">
        <v>26.87747035573123</v>
      </c>
    </row>
    <row r="2028" hidden="1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M2028" t="n">
        <v>23</v>
      </c>
      <c r="N2028" t="n">
        <v>100</v>
      </c>
      <c r="O2028" t="n">
        <v>26.69902912621359</v>
      </c>
    </row>
    <row r="2029" hidden="1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M2029" t="n">
        <v>0</v>
      </c>
      <c r="N2029" t="n">
        <v>100</v>
      </c>
      <c r="O2029" t="n">
        <v>0</v>
      </c>
    </row>
    <row r="2030" hidden="1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M2030" t="n">
        <v>10</v>
      </c>
      <c r="N2030" t="n">
        <v>96.43000000000001</v>
      </c>
      <c r="O2030" t="n">
        <v>31.48148148148148</v>
      </c>
    </row>
    <row r="2031" hidden="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M2031" t="n">
        <v>4</v>
      </c>
      <c r="N2031" t="n">
        <v>100</v>
      </c>
      <c r="O2031" t="n">
        <v>20.8955223880597</v>
      </c>
    </row>
    <row r="2032" hidden="1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M2032" t="n">
        <v>0</v>
      </c>
      <c r="N2032" t="n">
        <v>0</v>
      </c>
      <c r="O2032" t="n">
        <v>0</v>
      </c>
    </row>
    <row r="2033" hidden="1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M2033" t="n">
        <v>28</v>
      </c>
      <c r="N2033" t="n">
        <v>98.48</v>
      </c>
      <c r="O2033" t="n">
        <v>35.48387096774194</v>
      </c>
    </row>
    <row r="2034" hidden="1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M2034" t="n">
        <v>18</v>
      </c>
      <c r="N2034" t="n">
        <v>95.56</v>
      </c>
      <c r="O2034" t="n">
        <v>25.1207729468599</v>
      </c>
    </row>
    <row r="2035" hidden="1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33</v>
      </c>
      <c r="E2035" t="n">
        <v>30</v>
      </c>
      <c r="F2035" t="n">
        <v>19.01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M2035" t="n">
        <v>23</v>
      </c>
      <c r="N2035" t="n">
        <v>98.15000000000001</v>
      </c>
      <c r="O2035" t="n">
        <v>30.46875</v>
      </c>
    </row>
    <row r="2036" hidden="1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M2036" t="n">
        <v>0</v>
      </c>
      <c r="N2036" t="n">
        <v>97.3</v>
      </c>
      <c r="O2036" t="n">
        <v>25.51020408163265</v>
      </c>
    </row>
    <row r="2037" hidden="1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M2037" t="n">
        <v>18</v>
      </c>
      <c r="N2037" t="n">
        <v>100</v>
      </c>
      <c r="O2037" t="n">
        <v>28.49162011173184</v>
      </c>
    </row>
    <row r="2038" hidden="1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M2038" t="n">
        <v>0</v>
      </c>
      <c r="N2038" t="n">
        <v>100</v>
      </c>
      <c r="O2038" t="n">
        <v>27.77777777777778</v>
      </c>
    </row>
    <row r="2039" hidden="1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M2039" t="n">
        <v>33</v>
      </c>
      <c r="N2039" t="n">
        <v>97.62</v>
      </c>
      <c r="O2039" t="n">
        <v>34.46969696969697</v>
      </c>
    </row>
    <row r="2040" hidden="1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M2040" t="n">
        <v>15</v>
      </c>
      <c r="N2040" t="n">
        <v>93.09999999999999</v>
      </c>
      <c r="O2040" t="n">
        <v>25.10822510822511</v>
      </c>
    </row>
    <row r="2041" hidden="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M2041" t="n">
        <v>4</v>
      </c>
      <c r="N2041" t="n">
        <v>100</v>
      </c>
      <c r="O2041" t="n">
        <v>26.66666666666667</v>
      </c>
    </row>
    <row r="2042" hidden="1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M2042" t="n">
        <v>0</v>
      </c>
      <c r="N2042" t="n">
        <v>0</v>
      </c>
      <c r="O2042" t="n">
        <v>0</v>
      </c>
    </row>
    <row r="2043" hidden="1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M2043" t="n">
        <v>0</v>
      </c>
      <c r="N2043" t="n">
        <v>100</v>
      </c>
      <c r="O2043" t="n">
        <v>32.87671232876712</v>
      </c>
    </row>
    <row r="2044" hidden="1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M2044" t="n">
        <v>0</v>
      </c>
      <c r="N2044" t="n">
        <v>0</v>
      </c>
      <c r="O2044" t="n">
        <v>0</v>
      </c>
    </row>
    <row r="2045" hidden="1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M2045" t="n">
        <v>0</v>
      </c>
      <c r="N2045" t="n">
        <v>0</v>
      </c>
      <c r="O2045" t="n">
        <v>0</v>
      </c>
    </row>
    <row r="2046" hidden="1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M2046" t="n">
        <v>0</v>
      </c>
      <c r="N2046" t="n">
        <v>0</v>
      </c>
      <c r="O2046" t="n">
        <v>0</v>
      </c>
    </row>
    <row r="2047" hidden="1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M2047" t="n">
        <v>17</v>
      </c>
      <c r="N2047" t="n">
        <v>100</v>
      </c>
      <c r="O2047" t="n">
        <v>34.4</v>
      </c>
    </row>
    <row r="2048" hidden="1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M2048" t="n">
        <v>38</v>
      </c>
      <c r="N2048" t="n">
        <v>100</v>
      </c>
      <c r="O2048" t="n">
        <v>29.45736434108527</v>
      </c>
    </row>
    <row r="2049" hidden="1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M2049" t="n">
        <v>12</v>
      </c>
      <c r="N2049" t="n">
        <v>96.3</v>
      </c>
      <c r="O2049" t="n">
        <v>31.19266055045872</v>
      </c>
    </row>
    <row r="2050" hidden="1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M2050" t="n">
        <v>27</v>
      </c>
      <c r="N2050" t="n">
        <v>98.20999999999999</v>
      </c>
      <c r="O2050" t="n">
        <v>26.12244897959184</v>
      </c>
    </row>
    <row r="2051" hidden="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M2051" t="n">
        <v>0</v>
      </c>
      <c r="N2051" t="n">
        <v>100</v>
      </c>
      <c r="O2051" t="n">
        <v>28.19383259911895</v>
      </c>
    </row>
    <row r="2052" hidden="1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M2052" t="n">
        <v>33</v>
      </c>
      <c r="N2052" t="n">
        <v>98.75</v>
      </c>
      <c r="O2052" t="n">
        <v>28.1021897810219</v>
      </c>
    </row>
    <row r="2053" hidden="1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M2053" t="n">
        <v>20</v>
      </c>
      <c r="N2053" t="n">
        <v>100</v>
      </c>
      <c r="O2053" t="n">
        <v>28.75536480686695</v>
      </c>
    </row>
    <row r="2054" hidden="1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M2054" t="n">
        <v>25</v>
      </c>
      <c r="N2054" t="n">
        <v>100</v>
      </c>
      <c r="O2054" t="n">
        <v>23.37164750957854</v>
      </c>
    </row>
    <row r="2055" hidden="1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M2055" t="n">
        <v>9</v>
      </c>
      <c r="N2055" t="n">
        <v>100</v>
      </c>
      <c r="O2055" t="n">
        <v>33.33333333333333</v>
      </c>
    </row>
    <row r="2056" hidden="1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M2056" t="n">
        <v>17</v>
      </c>
      <c r="N2056" t="n">
        <v>100</v>
      </c>
      <c r="O2056" t="n">
        <v>31.51750972762646</v>
      </c>
    </row>
    <row r="2057" hidden="1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M2057" t="n">
        <v>14</v>
      </c>
      <c r="N2057" t="n">
        <v>100</v>
      </c>
      <c r="O2057" t="n">
        <v>34.18367346938776</v>
      </c>
    </row>
    <row r="2058" hidden="1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M2058" t="n">
        <v>0</v>
      </c>
      <c r="N2058" t="n">
        <v>0</v>
      </c>
      <c r="O2058" t="n">
        <v>0</v>
      </c>
    </row>
    <row r="2059" hidden="1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M2059" t="n">
        <v>9</v>
      </c>
      <c r="N2059" t="n">
        <v>100</v>
      </c>
      <c r="O2059" t="n">
        <v>22.0125786163522</v>
      </c>
    </row>
    <row r="2060" hidden="1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M2060" t="n">
        <v>35</v>
      </c>
      <c r="N2060" t="n">
        <v>95.59999999999999</v>
      </c>
      <c r="O2060" t="n">
        <v>33.11688311688312</v>
      </c>
    </row>
    <row r="2061" hidden="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38</v>
      </c>
      <c r="E2061" t="n">
        <v>36</v>
      </c>
      <c r="F2061" t="n">
        <v>15.56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M2061" t="n">
        <v>36</v>
      </c>
      <c r="N2061" t="n">
        <v>100</v>
      </c>
      <c r="O2061" t="n">
        <v>24.18032786885246</v>
      </c>
    </row>
    <row r="2062" hidden="1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M2062" t="n">
        <v>13</v>
      </c>
      <c r="N2062" t="n">
        <v>100</v>
      </c>
      <c r="O2062" t="n">
        <v>28.01932367149759</v>
      </c>
    </row>
    <row r="2063" hidden="1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26</v>
      </c>
      <c r="E2063" t="n">
        <v>26</v>
      </c>
      <c r="F2063" t="n">
        <v>27.22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M2063" t="n">
        <v>25</v>
      </c>
      <c r="N2063" t="n">
        <v>100</v>
      </c>
      <c r="O2063" t="n">
        <v>33.80782918149466</v>
      </c>
    </row>
    <row r="2064" hidden="1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M2064" t="n">
        <v>2</v>
      </c>
      <c r="N2064" t="n">
        <v>75</v>
      </c>
      <c r="O2064" t="n">
        <v>50</v>
      </c>
    </row>
    <row r="2065" hidden="1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M2065" t="n">
        <v>17</v>
      </c>
      <c r="N2065" t="n">
        <v>97.18000000000001</v>
      </c>
      <c r="O2065" t="n">
        <v>30.62200956937799</v>
      </c>
    </row>
    <row r="2066" hidden="1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M2066" t="n">
        <v>29</v>
      </c>
      <c r="N2066" t="n">
        <v>98.18000000000001</v>
      </c>
      <c r="O2066" t="n">
        <v>28.95752895752895</v>
      </c>
    </row>
    <row r="2067" hidden="1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M2067" t="n">
        <v>29</v>
      </c>
      <c r="N2067" t="n">
        <v>98.53</v>
      </c>
      <c r="O2067" t="n">
        <v>23.34384858044164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N2068" t="n">
        <v>99.05</v>
      </c>
      <c r="O2068" t="n">
        <v>26.62192393736018</v>
      </c>
    </row>
    <row r="2069" hidden="1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M2069" t="n">
        <v>29</v>
      </c>
      <c r="N2069" t="n">
        <v>100</v>
      </c>
      <c r="O2069" t="n">
        <v>35.26970954356847</v>
      </c>
    </row>
    <row r="2070" hidden="1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M2070" t="n">
        <v>37</v>
      </c>
      <c r="N2070" t="n">
        <v>100</v>
      </c>
      <c r="O2070" t="n">
        <v>26.06635071090048</v>
      </c>
    </row>
    <row r="2071" hidden="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M2071" t="n">
        <v>17</v>
      </c>
      <c r="N2071" t="n">
        <v>98.15000000000001</v>
      </c>
      <c r="O2071" t="n">
        <v>26.39405204460967</v>
      </c>
    </row>
    <row r="2072" hidden="1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M2072" t="n">
        <v>16</v>
      </c>
      <c r="N2072" t="n">
        <v>100</v>
      </c>
      <c r="O2072" t="n">
        <v>27.02702702702703</v>
      </c>
    </row>
    <row r="2073" hidden="1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M2073" t="n">
        <v>0</v>
      </c>
      <c r="N2073" t="n">
        <v>100</v>
      </c>
      <c r="O2073" t="n">
        <v>0</v>
      </c>
    </row>
    <row r="2074" hidden="1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M2074" t="n">
        <v>7</v>
      </c>
      <c r="N2074" t="n">
        <v>96.55</v>
      </c>
      <c r="O2074" t="n">
        <v>32.17391304347826</v>
      </c>
    </row>
    <row r="2075" hidden="1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M2075" t="n">
        <v>21</v>
      </c>
      <c r="N2075" t="n">
        <v>100</v>
      </c>
      <c r="O2075" t="n">
        <v>20.64516129032258</v>
      </c>
    </row>
    <row r="2076" hidden="1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M2076" t="n">
        <v>0</v>
      </c>
      <c r="N2076" t="n">
        <v>0</v>
      </c>
      <c r="O2076" t="n">
        <v>0</v>
      </c>
    </row>
    <row r="2077" hidden="1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M2077" t="n">
        <v>26</v>
      </c>
      <c r="N2077" t="n">
        <v>98.73</v>
      </c>
      <c r="O2077" t="n">
        <v>33.9622641509434</v>
      </c>
    </row>
    <row r="2078" hidden="1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M2078" t="n">
        <v>23</v>
      </c>
      <c r="N2078" t="n">
        <v>96.15000000000001</v>
      </c>
      <c r="O2078" t="n">
        <v>26.95652173913043</v>
      </c>
    </row>
    <row r="2079" hidden="1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25</v>
      </c>
      <c r="E2079" t="n">
        <v>23</v>
      </c>
      <c r="F2079" t="n">
        <v>20.41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M2079" t="n">
        <v>19</v>
      </c>
      <c r="N2079" t="n">
        <v>98.44</v>
      </c>
      <c r="O2079" t="n">
        <v>30.90909090909091</v>
      </c>
    </row>
    <row r="2080" hidden="1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M2080" t="n">
        <v>0</v>
      </c>
      <c r="N2080" t="n">
        <v>97.37</v>
      </c>
      <c r="O2080" t="n">
        <v>25.51020408163265</v>
      </c>
    </row>
    <row r="2081" hidden="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M2081" t="n">
        <v>23</v>
      </c>
      <c r="N2081" t="n">
        <v>100</v>
      </c>
      <c r="O2081" t="n">
        <v>27.22772277227723</v>
      </c>
    </row>
    <row r="2082" hidden="1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M2082" t="n">
        <v>1</v>
      </c>
      <c r="N2082" t="n">
        <v>100</v>
      </c>
      <c r="O2082" t="n">
        <v>26.31578947368421</v>
      </c>
    </row>
    <row r="2083" hidden="1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M2083" t="n">
        <v>31</v>
      </c>
      <c r="N2083" t="n">
        <v>97.92</v>
      </c>
      <c r="O2083" t="n">
        <v>32.20338983050847</v>
      </c>
    </row>
    <row r="2084" hidden="1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M2084" t="n">
        <v>16</v>
      </c>
      <c r="N2084" t="n">
        <v>94.03</v>
      </c>
      <c r="O2084" t="n">
        <v>24.69635627530364</v>
      </c>
    </row>
    <row r="2085" hidden="1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M2085" t="n">
        <v>4</v>
      </c>
      <c r="N2085" t="n">
        <v>100</v>
      </c>
      <c r="O2085" t="n">
        <v>24.48979591836735</v>
      </c>
    </row>
    <row r="2086" hidden="1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M2086" t="n">
        <v>0</v>
      </c>
      <c r="N2086" t="n">
        <v>0</v>
      </c>
      <c r="O2086" t="n">
        <v>0</v>
      </c>
    </row>
    <row r="2087" hidden="1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M2087" t="n">
        <v>0</v>
      </c>
      <c r="N2087" t="n">
        <v>100</v>
      </c>
      <c r="O2087" t="n">
        <v>32.87671232876712</v>
      </c>
    </row>
    <row r="2088" hidden="1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M2088" t="n">
        <v>0</v>
      </c>
      <c r="N2088" t="n">
        <v>0</v>
      </c>
      <c r="O2088" t="n">
        <v>0</v>
      </c>
    </row>
    <row r="2089" hidden="1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M2089" t="n">
        <v>0</v>
      </c>
      <c r="N2089" t="n">
        <v>0</v>
      </c>
      <c r="O2089" t="n">
        <v>0</v>
      </c>
    </row>
    <row r="2090" hidden="1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M2090" t="n">
        <v>0</v>
      </c>
      <c r="N2090" t="n">
        <v>0</v>
      </c>
      <c r="O2090" t="n">
        <v>0</v>
      </c>
    </row>
    <row r="2091" hidden="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M2091" t="n">
        <v>20</v>
      </c>
      <c r="N2091" t="n">
        <v>96.15000000000001</v>
      </c>
      <c r="O2091" t="n">
        <v>32.41379310344827</v>
      </c>
    </row>
    <row r="2092" hidden="1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M2092" t="n">
        <v>43</v>
      </c>
      <c r="N2092" t="n">
        <v>100</v>
      </c>
      <c r="O2092" t="n">
        <v>29.2358803986711</v>
      </c>
    </row>
    <row r="2093" hidden="1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M2093" t="n">
        <v>7</v>
      </c>
      <c r="N2093" t="n">
        <v>96.88</v>
      </c>
      <c r="O2093" t="n">
        <v>31.03448275862069</v>
      </c>
    </row>
    <row r="2094" hidden="1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M2094" t="n">
        <v>26</v>
      </c>
      <c r="N2094" t="n">
        <v>98.41</v>
      </c>
      <c r="O2094" t="n">
        <v>26.19926199261993</v>
      </c>
    </row>
    <row r="2095" hidden="1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M2095" t="n">
        <v>27</v>
      </c>
      <c r="N2095" t="n">
        <v>97.26000000000001</v>
      </c>
      <c r="O2095" t="n">
        <v>29.13385826771653</v>
      </c>
    </row>
    <row r="2096" hidden="1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M2096" t="n">
        <v>28</v>
      </c>
      <c r="N2096" t="n">
        <v>98.84</v>
      </c>
      <c r="O2096" t="n">
        <v>27.81456953642384</v>
      </c>
    </row>
    <row r="2097" hidden="1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M2097" t="n">
        <v>16</v>
      </c>
      <c r="N2097" t="n">
        <v>100</v>
      </c>
      <c r="O2097" t="n">
        <v>29.31726907630522</v>
      </c>
    </row>
    <row r="2098" hidden="1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M2098" t="n">
        <v>17</v>
      </c>
      <c r="N2098" t="n">
        <v>100</v>
      </c>
      <c r="O2098" t="n">
        <v>23.7410071942446</v>
      </c>
    </row>
    <row r="2099" hidden="1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M2099" t="n">
        <v>7</v>
      </c>
      <c r="N2099" t="n">
        <v>100</v>
      </c>
      <c r="O2099" t="n">
        <v>32.75862068965517</v>
      </c>
    </row>
    <row r="2100" hidden="1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M2100" t="n">
        <v>31</v>
      </c>
      <c r="N2100" t="n">
        <v>100</v>
      </c>
      <c r="O2100" t="n">
        <v>29.86111111111111</v>
      </c>
    </row>
    <row r="2101" hidden="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M2101" t="n">
        <v>18</v>
      </c>
      <c r="N2101" t="n">
        <v>100</v>
      </c>
      <c r="O2101" t="n">
        <v>33.17757009345794</v>
      </c>
    </row>
    <row r="2102" hidden="1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M2102" t="n">
        <v>0</v>
      </c>
      <c r="N2102" t="n">
        <v>0</v>
      </c>
      <c r="O2102" t="n">
        <v>0</v>
      </c>
    </row>
    <row r="2103" hidden="1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M2103" t="n">
        <v>17</v>
      </c>
      <c r="N2103" t="n">
        <v>100</v>
      </c>
      <c r="O2103" t="n">
        <v>22.72727272727273</v>
      </c>
    </row>
    <row r="2104" hidden="1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M2104" t="n">
        <v>42</v>
      </c>
      <c r="N2104" t="n">
        <v>96.40000000000001</v>
      </c>
      <c r="O2104" t="n">
        <v>33.71428571428572</v>
      </c>
    </row>
    <row r="2105" hidden="1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21</v>
      </c>
      <c r="E2105" t="n">
        <v>18</v>
      </c>
      <c r="F2105" t="n">
        <v>35.57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M2105" t="n">
        <v>21</v>
      </c>
      <c r="N2105" t="n">
        <v>100</v>
      </c>
      <c r="O2105" t="n">
        <v>26.13636363636364</v>
      </c>
    </row>
    <row r="2106" hidden="1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M2106" t="n">
        <v>9</v>
      </c>
      <c r="N2106" t="n">
        <v>100</v>
      </c>
      <c r="O2106" t="n">
        <v>27.77777777777778</v>
      </c>
    </row>
    <row r="2107" hidden="1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29</v>
      </c>
      <c r="E2107" t="n">
        <v>28</v>
      </c>
      <c r="F2107" t="n">
        <v>27.38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M2107" t="n">
        <v>28</v>
      </c>
      <c r="N2107" t="n">
        <v>100</v>
      </c>
      <c r="O2107" t="n">
        <v>34.3042071197411</v>
      </c>
    </row>
    <row r="2108" hidden="1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M2108" t="n">
        <v>2</v>
      </c>
      <c r="N2108" t="n">
        <v>75</v>
      </c>
      <c r="O2108" t="n">
        <v>45.83333333333333</v>
      </c>
    </row>
    <row r="2109" hidden="1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M2109" t="n">
        <v>17</v>
      </c>
      <c r="N2109" t="n">
        <v>97.40000000000001</v>
      </c>
      <c r="O2109" t="n">
        <v>30.08849557522124</v>
      </c>
    </row>
    <row r="2110" hidden="1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M2110" t="n">
        <v>26</v>
      </c>
      <c r="N2110" t="n">
        <v>98.33</v>
      </c>
      <c r="O2110" t="n">
        <v>28.07017543859649</v>
      </c>
    </row>
    <row r="2111" hidden="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M2111" t="n">
        <v>34</v>
      </c>
      <c r="N2111" t="n">
        <v>98.63</v>
      </c>
      <c r="O2111" t="n">
        <v>24.21652421652422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N2112" t="n">
        <v>99.05</v>
      </c>
      <c r="O2112" t="n">
        <v>26.62192393736018</v>
      </c>
    </row>
    <row r="2113" hidden="1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M2113" t="n">
        <v>22</v>
      </c>
      <c r="N2113" t="n">
        <v>100</v>
      </c>
      <c r="O2113" t="n">
        <v>34.22053231939163</v>
      </c>
    </row>
    <row r="2114" hidden="1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M2114" t="n">
        <v>40</v>
      </c>
      <c r="N2114" t="n">
        <v>100</v>
      </c>
      <c r="O2114" t="n">
        <v>26.30434782608695</v>
      </c>
    </row>
    <row r="2115" hidden="1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M2115" t="n">
        <v>33</v>
      </c>
      <c r="N2115" t="n">
        <v>98.33</v>
      </c>
      <c r="O2115" t="n">
        <v>26.49006622516556</v>
      </c>
    </row>
    <row r="2116" hidden="1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M2116" t="n">
        <v>24</v>
      </c>
      <c r="N2116" t="n">
        <v>100</v>
      </c>
      <c r="O2116" t="n">
        <v>27.23577235772358</v>
      </c>
    </row>
    <row r="2117" hidden="1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M2117" t="n">
        <v>0</v>
      </c>
      <c r="N2117" t="n">
        <v>100</v>
      </c>
      <c r="O2117" t="n">
        <v>0</v>
      </c>
    </row>
    <row r="2118" hidden="1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M2118" t="n">
        <v>8</v>
      </c>
      <c r="N2118" t="n">
        <v>96.97</v>
      </c>
      <c r="O2118" t="n">
        <v>31.70731707317073</v>
      </c>
    </row>
    <row r="2119" hidden="1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M2119" t="n">
        <v>5</v>
      </c>
      <c r="N2119" t="n">
        <v>100</v>
      </c>
      <c r="O2119" t="n">
        <v>20</v>
      </c>
    </row>
    <row r="2120" hidden="1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M2120" t="n">
        <v>0</v>
      </c>
      <c r="N2120" t="n">
        <v>0</v>
      </c>
      <c r="O2120" t="n">
        <v>0</v>
      </c>
    </row>
    <row r="2121" hidden="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M2121" t="n">
        <v>24</v>
      </c>
      <c r="N2121" t="n">
        <v>98.84</v>
      </c>
      <c r="O2121" t="n">
        <v>33.61702127659574</v>
      </c>
    </row>
    <row r="2122" hidden="1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M2122" t="n">
        <v>8</v>
      </c>
      <c r="N2122" t="n">
        <v>96.48999999999999</v>
      </c>
      <c r="O2122" t="n">
        <v>26.89075630252101</v>
      </c>
    </row>
    <row r="2123" hidden="1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32</v>
      </c>
      <c r="E2123" t="n">
        <v>28</v>
      </c>
      <c r="F2123" t="n">
        <v>22.28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M2123" t="n">
        <v>25</v>
      </c>
      <c r="N2123" t="n">
        <v>98.61</v>
      </c>
      <c r="O2123" t="n">
        <v>30.66666666666666</v>
      </c>
    </row>
    <row r="2124" hidden="1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M2124" t="n">
        <v>0</v>
      </c>
      <c r="N2124" t="n">
        <v>97.5</v>
      </c>
      <c r="O2124" t="n">
        <v>25.51020408163265</v>
      </c>
    </row>
    <row r="2125" hidden="1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M2125" t="n">
        <v>16</v>
      </c>
      <c r="N2125" t="n">
        <v>100</v>
      </c>
      <c r="O2125" t="n">
        <v>25.68807339449542</v>
      </c>
    </row>
    <row r="2126" hidden="1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M2126" t="n">
        <v>2</v>
      </c>
      <c r="N2126" t="n">
        <v>100</v>
      </c>
      <c r="O2126" t="n">
        <v>23.80952380952381</v>
      </c>
    </row>
    <row r="2127" hidden="1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M2127" t="n">
        <v>23</v>
      </c>
      <c r="N2127" t="n">
        <v>98.25</v>
      </c>
      <c r="O2127" t="n">
        <v>31.96202531645569</v>
      </c>
    </row>
    <row r="2128" hidden="1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M2128" t="n">
        <v>27</v>
      </c>
      <c r="N2128" t="n">
        <v>94.44</v>
      </c>
      <c r="O2128" t="n">
        <v>23.80952380952381</v>
      </c>
    </row>
    <row r="2129" hidden="1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M2129" t="n">
        <v>5</v>
      </c>
      <c r="N2129" t="n">
        <v>100</v>
      </c>
      <c r="O2129" t="n">
        <v>22.22222222222222</v>
      </c>
    </row>
    <row r="2130" hidden="1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M2130" t="n">
        <v>0</v>
      </c>
      <c r="N2130" t="n">
        <v>0</v>
      </c>
      <c r="O2130" t="n">
        <v>0</v>
      </c>
    </row>
    <row r="2131" hidden="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M2131" t="n">
        <v>0</v>
      </c>
      <c r="N2131" t="n">
        <v>100</v>
      </c>
      <c r="O2131" t="n">
        <v>32.87671232876712</v>
      </c>
    </row>
    <row r="2132" hidden="1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M2132" t="n">
        <v>0</v>
      </c>
      <c r="N2132" t="n">
        <v>0</v>
      </c>
      <c r="O2132" t="n">
        <v>0</v>
      </c>
    </row>
    <row r="2133" hidden="1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M2133" t="n">
        <v>0</v>
      </c>
      <c r="N2133" t="n">
        <v>0</v>
      </c>
      <c r="O2133" t="n">
        <v>0</v>
      </c>
    </row>
    <row r="2134" hidden="1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M2134" t="n">
        <v>0</v>
      </c>
      <c r="N2134" t="n">
        <v>0</v>
      </c>
      <c r="O2134" t="n">
        <v>0</v>
      </c>
    </row>
    <row r="2135" hidden="1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M2135" t="n">
        <v>12</v>
      </c>
      <c r="N2135" t="n">
        <v>96.67</v>
      </c>
      <c r="O2135" t="n">
        <v>32.69230769230769</v>
      </c>
    </row>
    <row r="2136" hidden="1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M2136" t="n">
        <v>30</v>
      </c>
      <c r="N2136" t="n">
        <v>100</v>
      </c>
      <c r="O2136" t="n">
        <v>27.49244712990937</v>
      </c>
    </row>
    <row r="2137" hidden="1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M2137" t="n">
        <v>11</v>
      </c>
      <c r="N2137" t="n">
        <v>97.22</v>
      </c>
      <c r="O2137" t="n">
        <v>29.92125984251969</v>
      </c>
    </row>
    <row r="2138" hidden="1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M2138" t="n">
        <v>30</v>
      </c>
      <c r="N2138" t="n">
        <v>98.53</v>
      </c>
      <c r="O2138" t="n">
        <v>26.42140468227425</v>
      </c>
    </row>
    <row r="2139" hidden="1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M2139" t="n">
        <v>4</v>
      </c>
      <c r="N2139" t="n">
        <v>97.37</v>
      </c>
      <c r="O2139" t="n">
        <v>28.68217054263566</v>
      </c>
    </row>
    <row r="2140" hidden="1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M2140" t="n">
        <v>6</v>
      </c>
      <c r="N2140" t="n">
        <v>98.86</v>
      </c>
      <c r="O2140" t="n">
        <v>27.92207792207792</v>
      </c>
    </row>
    <row r="2141" hidden="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M2141" t="n">
        <v>7</v>
      </c>
      <c r="N2141" t="n">
        <v>100</v>
      </c>
      <c r="O2141" t="n">
        <v>30.078125</v>
      </c>
    </row>
    <row r="2142" hidden="1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M2142" t="n">
        <v>5</v>
      </c>
      <c r="N2142" t="n">
        <v>100</v>
      </c>
      <c r="O2142" t="n">
        <v>24.38162544169612</v>
      </c>
    </row>
    <row r="2143" hidden="1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M2143" t="n">
        <v>3</v>
      </c>
      <c r="N2143" t="n">
        <v>100</v>
      </c>
      <c r="O2143" t="n">
        <v>31.14754098360656</v>
      </c>
    </row>
    <row r="2144" hidden="1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M2144" t="n">
        <v>5</v>
      </c>
      <c r="N2144" t="n">
        <v>100</v>
      </c>
      <c r="O2144" t="n">
        <v>29.69283276450512</v>
      </c>
    </row>
    <row r="2145" hidden="1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M2145" t="n">
        <v>8</v>
      </c>
      <c r="N2145" t="n">
        <v>100</v>
      </c>
      <c r="O2145" t="n">
        <v>34.23423423423424</v>
      </c>
    </row>
    <row r="2146" hidden="1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M2146" t="n">
        <v>0</v>
      </c>
      <c r="N2146" t="n">
        <v>0</v>
      </c>
      <c r="O2146" t="n">
        <v>0</v>
      </c>
    </row>
    <row r="2147" hidden="1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M2147" t="n">
        <v>4</v>
      </c>
      <c r="N2147" t="n">
        <v>100</v>
      </c>
      <c r="O2147" t="n">
        <v>22.22222222222222</v>
      </c>
    </row>
    <row r="2148" hidden="1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M2148" t="n">
        <v>9</v>
      </c>
      <c r="N2148" t="n">
        <v>96.55</v>
      </c>
      <c r="O2148" t="n">
        <v>33.14763231197772</v>
      </c>
    </row>
    <row r="2149" hidden="1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5</v>
      </c>
      <c r="E2149" t="n">
        <v>1</v>
      </c>
      <c r="F2149" t="n">
        <v>1.55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M2149" t="n">
        <v>0</v>
      </c>
      <c r="N2149" t="n">
        <v>100</v>
      </c>
      <c r="O2149" t="n">
        <v>26.23574144486692</v>
      </c>
    </row>
    <row r="2150" hidden="1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M2150" t="n">
        <v>6</v>
      </c>
      <c r="N2150" t="n">
        <v>100</v>
      </c>
      <c r="O2150" t="n">
        <v>28.37837837837838</v>
      </c>
    </row>
    <row r="2151" hidden="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7</v>
      </c>
      <c r="E2151" t="n">
        <v>7</v>
      </c>
      <c r="F2151" t="n">
        <v>32.34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M2151" t="n">
        <v>7</v>
      </c>
      <c r="N2151" t="n">
        <v>100</v>
      </c>
      <c r="O2151" t="n">
        <v>34.81012658227849</v>
      </c>
    </row>
    <row r="2152" hidden="1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M2152" t="n">
        <v>3</v>
      </c>
      <c r="N2152" t="n">
        <v>75</v>
      </c>
      <c r="O2152" t="n">
        <v>51.85185185185185</v>
      </c>
    </row>
    <row r="2153" hidden="1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M2153" t="n">
        <v>8</v>
      </c>
      <c r="N2153" t="n">
        <v>97.47</v>
      </c>
      <c r="O2153" t="n">
        <v>31.1965811965812</v>
      </c>
    </row>
    <row r="2154" hidden="1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M2154" t="n">
        <v>9</v>
      </c>
      <c r="N2154" t="n">
        <v>98.41</v>
      </c>
      <c r="O2154" t="n">
        <v>27.89115646258503</v>
      </c>
    </row>
    <row r="2155" hidden="1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M2155" t="n">
        <v>6</v>
      </c>
      <c r="N2155" t="n">
        <v>98.65000000000001</v>
      </c>
      <c r="O2155" t="n">
        <v>24.36974789915966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N2156" t="n">
        <v>99.05</v>
      </c>
      <c r="O2156" t="n">
        <v>26.62192393736018</v>
      </c>
    </row>
    <row r="2157" hidden="1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M2157" t="n">
        <v>5</v>
      </c>
      <c r="N2157" t="n">
        <v>100</v>
      </c>
      <c r="O2157" t="n">
        <v>33.95522388059701</v>
      </c>
    </row>
    <row r="2158" hidden="1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M2158" t="n">
        <v>6</v>
      </c>
      <c r="N2158" t="n">
        <v>100</v>
      </c>
      <c r="O2158" t="n">
        <v>26.60944206008584</v>
      </c>
    </row>
    <row r="2159" hidden="1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M2159" t="n">
        <v>7</v>
      </c>
      <c r="N2159" t="n">
        <v>98.44</v>
      </c>
      <c r="O2159" t="n">
        <v>26.53721682847896</v>
      </c>
    </row>
    <row r="2160" hidden="1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M2160" t="n">
        <v>6</v>
      </c>
      <c r="N2160" t="n">
        <v>100</v>
      </c>
      <c r="O2160" t="n">
        <v>27.09163346613546</v>
      </c>
    </row>
    <row r="2161" hidden="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M2161" t="n">
        <v>0</v>
      </c>
      <c r="N2161" t="n">
        <v>100</v>
      </c>
      <c r="O2161" t="n">
        <v>0</v>
      </c>
    </row>
    <row r="2162" hidden="1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M2162" t="n">
        <v>0</v>
      </c>
      <c r="N2162" t="n">
        <v>97.06</v>
      </c>
      <c r="O2162" t="n">
        <v>31.70731707317073</v>
      </c>
    </row>
    <row r="2163" hidden="1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M2163" t="n">
        <v>5</v>
      </c>
      <c r="N2163" t="n">
        <v>100</v>
      </c>
      <c r="O2163" t="n">
        <v>19.51219512195122</v>
      </c>
    </row>
    <row r="2164" hidden="1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M2164" t="n">
        <v>0</v>
      </c>
      <c r="N2164" t="n">
        <v>0</v>
      </c>
      <c r="O2164" t="n">
        <v>0</v>
      </c>
    </row>
    <row r="2165" hidden="1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M2165" t="n">
        <v>8</v>
      </c>
      <c r="N2165" t="n">
        <v>98.92</v>
      </c>
      <c r="O2165" t="n">
        <v>33.74485596707819</v>
      </c>
    </row>
    <row r="2166" hidden="1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M2166" t="n">
        <v>35</v>
      </c>
      <c r="N2166" t="n">
        <v>96.67</v>
      </c>
      <c r="O2166" t="n">
        <v>27.10622710622711</v>
      </c>
    </row>
    <row r="2167" hidden="1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7</v>
      </c>
      <c r="E2167" t="n">
        <v>7</v>
      </c>
      <c r="F2167" t="n">
        <v>35.48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M2167" t="n">
        <v>5</v>
      </c>
      <c r="N2167" t="n">
        <v>98.67</v>
      </c>
      <c r="O2167" t="n">
        <v>30.81967213114754</v>
      </c>
    </row>
    <row r="2168" hidden="1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M2168" t="n">
        <v>0</v>
      </c>
      <c r="N2168" t="n">
        <v>97.56</v>
      </c>
      <c r="O2168" t="n">
        <v>25.51020408163265</v>
      </c>
    </row>
    <row r="2169" hidden="1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M2169" t="n">
        <v>6</v>
      </c>
      <c r="N2169" t="n">
        <v>100</v>
      </c>
      <c r="O2169" t="n">
        <v>26.00896860986547</v>
      </c>
    </row>
    <row r="2170" hidden="1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M2170" t="n">
        <v>3</v>
      </c>
      <c r="N2170" t="n">
        <v>100</v>
      </c>
      <c r="O2170" t="n">
        <v>29.16666666666667</v>
      </c>
    </row>
    <row r="2171" hidden="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M2171" t="n">
        <v>3</v>
      </c>
      <c r="N2171" t="n">
        <v>98.33</v>
      </c>
      <c r="O2171" t="n">
        <v>31.66144200626959</v>
      </c>
    </row>
    <row r="2172" hidden="1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M2172" t="n">
        <v>5</v>
      </c>
      <c r="N2172" t="n">
        <v>94.81</v>
      </c>
      <c r="O2172" t="n">
        <v>24.46043165467626</v>
      </c>
    </row>
    <row r="2173" hidden="1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M2173" t="n">
        <v>0</v>
      </c>
      <c r="N2173" t="n">
        <v>100</v>
      </c>
      <c r="O2173" t="n">
        <v>22.22222222222222</v>
      </c>
    </row>
    <row r="2174" hidden="1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M2174" t="n">
        <v>0</v>
      </c>
      <c r="N2174" t="n">
        <v>0</v>
      </c>
      <c r="O2174" t="n">
        <v>0</v>
      </c>
    </row>
    <row r="2175" hidden="1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M2175" t="n">
        <v>0</v>
      </c>
      <c r="N2175" t="n">
        <v>100</v>
      </c>
      <c r="O2175" t="n">
        <v>32.87671232876712</v>
      </c>
    </row>
    <row r="2176" hidden="1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M2176" t="n">
        <v>0</v>
      </c>
      <c r="N2176" t="n">
        <v>0</v>
      </c>
      <c r="O2176" t="n">
        <v>0</v>
      </c>
    </row>
    <row r="2177" hidden="1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M2177" t="n">
        <v>0</v>
      </c>
      <c r="N2177" t="n">
        <v>0</v>
      </c>
      <c r="O2177" t="n">
        <v>0</v>
      </c>
    </row>
    <row r="2178" hidden="1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M2178" t="n">
        <v>0</v>
      </c>
      <c r="N2178" t="n">
        <v>0</v>
      </c>
      <c r="O2178" t="n">
        <v>0</v>
      </c>
    </row>
    <row r="2179" hidden="1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M2179" t="n">
        <v>6</v>
      </c>
      <c r="N2179" t="n">
        <v>96.88</v>
      </c>
      <c r="O2179" t="n">
        <v>32.71604938271605</v>
      </c>
    </row>
    <row r="2180" hidden="1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M2180" t="n">
        <v>3</v>
      </c>
      <c r="N2180" t="n">
        <v>100</v>
      </c>
      <c r="O2180" t="n">
        <v>27.84431137724551</v>
      </c>
    </row>
    <row r="2181" hidden="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M2181" t="n">
        <v>7</v>
      </c>
      <c r="N2181" t="n">
        <v>97.3</v>
      </c>
      <c r="O2181" t="n">
        <v>29.85074626865671</v>
      </c>
    </row>
    <row r="2182" hidden="1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M2182" t="n">
        <v>5</v>
      </c>
      <c r="N2182" t="n">
        <v>98.65000000000001</v>
      </c>
      <c r="O2182" t="n">
        <v>26.31578947368421</v>
      </c>
    </row>
    <row r="2183" hidden="1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M2183" t="n">
        <v>0</v>
      </c>
      <c r="N2183" t="n">
        <v>97.40000000000001</v>
      </c>
      <c r="O2183" t="n">
        <v>28.68217054263566</v>
      </c>
    </row>
    <row r="2184" hidden="1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M2184" t="n">
        <v>0</v>
      </c>
      <c r="N2184" t="n">
        <v>98.89</v>
      </c>
      <c r="O2184" t="n">
        <v>27.92207792207792</v>
      </c>
    </row>
    <row r="2185" hidden="1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M2185" t="n">
        <v>0</v>
      </c>
      <c r="N2185" t="n">
        <v>100</v>
      </c>
      <c r="O2185" t="n">
        <v>30.078125</v>
      </c>
    </row>
    <row r="2186" hidden="1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M2186" t="n">
        <v>0</v>
      </c>
      <c r="N2186" t="n">
        <v>100</v>
      </c>
      <c r="O2186" t="n">
        <v>24.38162544169612</v>
      </c>
    </row>
    <row r="2187" hidden="1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M2187" t="n">
        <v>0</v>
      </c>
      <c r="N2187" t="n">
        <v>100</v>
      </c>
      <c r="O2187" t="n">
        <v>31.14754098360656</v>
      </c>
    </row>
    <row r="2188" hidden="1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M2188" t="n">
        <v>0</v>
      </c>
      <c r="N2188" t="n">
        <v>100</v>
      </c>
      <c r="O2188" t="n">
        <v>29.69283276450512</v>
      </c>
    </row>
    <row r="2189" hidden="1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M2189" t="n">
        <v>0</v>
      </c>
      <c r="N2189" t="n">
        <v>100</v>
      </c>
      <c r="O2189" t="n">
        <v>34.23423423423424</v>
      </c>
    </row>
    <row r="2190" hidden="1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M2190" t="n">
        <v>0</v>
      </c>
      <c r="N2190" t="n">
        <v>0</v>
      </c>
      <c r="O2190" t="n">
        <v>0</v>
      </c>
    </row>
    <row r="2191" hidden="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M2191" t="n">
        <v>0</v>
      </c>
      <c r="N2191" t="n">
        <v>100</v>
      </c>
      <c r="O2191" t="n">
        <v>22.22222222222222</v>
      </c>
    </row>
    <row r="2192" hidden="1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M2192" t="n">
        <v>0</v>
      </c>
      <c r="N2192" t="n">
        <v>96.55</v>
      </c>
      <c r="O2192" t="n">
        <v>33.14763231197772</v>
      </c>
    </row>
    <row r="2193" hidden="1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M2193" t="n">
        <v>0</v>
      </c>
      <c r="N2193" t="n">
        <v>100</v>
      </c>
      <c r="O2193" t="n">
        <v>26.23574144486692</v>
      </c>
    </row>
    <row r="2194" hidden="1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M2194" t="n">
        <v>0</v>
      </c>
      <c r="N2194" t="n">
        <v>100</v>
      </c>
      <c r="O2194" t="n">
        <v>28.37837837837838</v>
      </c>
    </row>
    <row r="2195" hidden="1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M2195" t="n">
        <v>0</v>
      </c>
      <c r="N2195" t="n">
        <v>100</v>
      </c>
      <c r="O2195" t="n">
        <v>34.81012658227849</v>
      </c>
    </row>
    <row r="2196" hidden="1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M2196" t="n">
        <v>0</v>
      </c>
      <c r="N2196" t="n">
        <v>75</v>
      </c>
      <c r="O2196" t="n">
        <v>51.85185185185185</v>
      </c>
    </row>
    <row r="2197" hidden="1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M2197" t="n">
        <v>0</v>
      </c>
      <c r="N2197" t="n">
        <v>97.47</v>
      </c>
      <c r="O2197" t="n">
        <v>31.1965811965812</v>
      </c>
    </row>
    <row r="2198" hidden="1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M2198" t="n">
        <v>0</v>
      </c>
      <c r="N2198" t="n">
        <v>98.41</v>
      </c>
      <c r="O2198" t="n">
        <v>27.89115646258503</v>
      </c>
    </row>
    <row r="2199" hidden="1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M2199" t="n">
        <v>0</v>
      </c>
      <c r="N2199" t="n">
        <v>98.68000000000001</v>
      </c>
      <c r="O2199" t="n">
        <v>24.36974789915966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N2200" t="n">
        <v>99.05</v>
      </c>
      <c r="O2200" t="n">
        <v>26.62192393736018</v>
      </c>
    </row>
    <row r="2201" hidden="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M2201" t="n">
        <v>0</v>
      </c>
      <c r="N2201" t="n">
        <v>100</v>
      </c>
      <c r="O2201" t="n">
        <v>33.95522388059701</v>
      </c>
    </row>
    <row r="2202" hidden="1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M2202" t="n">
        <v>0</v>
      </c>
      <c r="N2202" t="n">
        <v>100</v>
      </c>
      <c r="O2202" t="n">
        <v>26.60944206008584</v>
      </c>
    </row>
    <row r="2203" hidden="1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M2203" t="n">
        <v>0</v>
      </c>
      <c r="N2203" t="n">
        <v>98.44</v>
      </c>
      <c r="O2203" t="n">
        <v>26.53721682847896</v>
      </c>
    </row>
    <row r="2204" hidden="1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M2204" t="n">
        <v>0</v>
      </c>
      <c r="N2204" t="n">
        <v>100</v>
      </c>
      <c r="O2204" t="n">
        <v>27.09163346613546</v>
      </c>
    </row>
    <row r="2205" hidden="1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M2205" t="n">
        <v>0</v>
      </c>
      <c r="N2205" t="n">
        <v>100</v>
      </c>
      <c r="O2205" t="n">
        <v>0</v>
      </c>
    </row>
    <row r="2206" hidden="1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M2206" t="n">
        <v>0</v>
      </c>
      <c r="N2206" t="n">
        <v>97.06</v>
      </c>
      <c r="O2206" t="n">
        <v>31.70731707317073</v>
      </c>
    </row>
    <row r="2207" hidden="1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M2207" t="n">
        <v>0</v>
      </c>
      <c r="N2207" t="n">
        <v>100</v>
      </c>
      <c r="O2207" t="n">
        <v>19.51219512195122</v>
      </c>
    </row>
    <row r="2208" hidden="1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M2208" t="n">
        <v>0</v>
      </c>
      <c r="N2208" t="n">
        <v>0</v>
      </c>
      <c r="O2208" t="n">
        <v>0</v>
      </c>
    </row>
    <row r="2209" hidden="1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M2209" t="n">
        <v>0</v>
      </c>
      <c r="N2209" t="n">
        <v>98.95999999999999</v>
      </c>
      <c r="O2209" t="n">
        <v>33.74485596707819</v>
      </c>
    </row>
    <row r="2210" hidden="1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M2210" t="n">
        <v>0</v>
      </c>
      <c r="N2210" t="n">
        <v>96.67</v>
      </c>
      <c r="O2210" t="n">
        <v>27.10622710622711</v>
      </c>
    </row>
    <row r="2211" hidden="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M2211" t="n">
        <v>0</v>
      </c>
      <c r="N2211" t="n">
        <v>98.68000000000001</v>
      </c>
      <c r="O2211" t="n">
        <v>30.81967213114754</v>
      </c>
    </row>
    <row r="2212" hidden="1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M2212" t="n">
        <v>0</v>
      </c>
      <c r="N2212" t="n">
        <v>97.56</v>
      </c>
      <c r="O2212" t="n">
        <v>25.51020408163265</v>
      </c>
    </row>
    <row r="2213" hidden="1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M2213" t="n">
        <v>0</v>
      </c>
      <c r="N2213" t="n">
        <v>100</v>
      </c>
      <c r="O2213" t="n">
        <v>26.00896860986547</v>
      </c>
    </row>
    <row r="2214" hidden="1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M2214" t="n">
        <v>0</v>
      </c>
      <c r="N2214" t="n">
        <v>100</v>
      </c>
      <c r="O2214" t="n">
        <v>29.16666666666667</v>
      </c>
    </row>
    <row r="2215" hidden="1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M2215" t="n">
        <v>0</v>
      </c>
      <c r="N2215" t="n">
        <v>98.33</v>
      </c>
      <c r="O2215" t="n">
        <v>31.66144200626959</v>
      </c>
    </row>
    <row r="2216" hidden="1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M2216" t="n">
        <v>0</v>
      </c>
      <c r="N2216" t="n">
        <v>94.87</v>
      </c>
      <c r="O2216" t="n">
        <v>24.46043165467626</v>
      </c>
    </row>
    <row r="2217" hidden="1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M2217" t="n">
        <v>0</v>
      </c>
      <c r="N2217" t="n">
        <v>100</v>
      </c>
      <c r="O2217" t="n">
        <v>22.22222222222222</v>
      </c>
    </row>
    <row r="2218" hidden="1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M2218" t="n">
        <v>0</v>
      </c>
      <c r="N2218" t="n">
        <v>0</v>
      </c>
      <c r="O2218" t="n">
        <v>0</v>
      </c>
    </row>
    <row r="2219" hidden="1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M2219" t="n">
        <v>0</v>
      </c>
      <c r="N2219" t="n">
        <v>100</v>
      </c>
      <c r="O2219" t="n">
        <v>32.87671232876712</v>
      </c>
    </row>
    <row r="2220" hidden="1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M2220" t="n">
        <v>0</v>
      </c>
      <c r="N2220" t="n">
        <v>0</v>
      </c>
      <c r="O2220" t="n">
        <v>0</v>
      </c>
    </row>
    <row r="2221" hidden="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M2221" t="n">
        <v>0</v>
      </c>
      <c r="N2221" t="n">
        <v>0</v>
      </c>
      <c r="O2221" t="n">
        <v>0</v>
      </c>
    </row>
    <row r="2222" hidden="1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M2222" t="n">
        <v>0</v>
      </c>
      <c r="N2222" t="n">
        <v>0</v>
      </c>
      <c r="O2222" t="n">
        <v>0</v>
      </c>
    </row>
    <row r="2223" hidden="1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M2223" t="n">
        <v>0</v>
      </c>
      <c r="N2223" t="n">
        <v>96.88</v>
      </c>
      <c r="O2223" t="n">
        <v>32.71604938271605</v>
      </c>
    </row>
    <row r="2224" hidden="1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M2224" t="n">
        <v>0</v>
      </c>
      <c r="N2224" t="n">
        <v>100</v>
      </c>
      <c r="O2224" t="n">
        <v>27.84431137724551</v>
      </c>
    </row>
    <row r="2225" hidden="1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M2225" t="n">
        <v>0</v>
      </c>
      <c r="N2225" t="n">
        <v>97.37</v>
      </c>
      <c r="O2225" t="n">
        <v>29.85074626865671</v>
      </c>
    </row>
    <row r="2226" hidden="1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M2226" t="n">
        <v>0</v>
      </c>
      <c r="N2226" t="n">
        <v>98.65000000000001</v>
      </c>
      <c r="O2226" t="n">
        <v>26.31578947368421</v>
      </c>
    </row>
    <row r="2227" hidden="1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M2227" t="n">
        <v>22</v>
      </c>
      <c r="N2227" t="n">
        <v>97.53</v>
      </c>
      <c r="O2227" t="n">
        <v>28.21428571428572</v>
      </c>
    </row>
    <row r="2228" hidden="1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M2228" t="n">
        <v>19</v>
      </c>
      <c r="N2228" t="n">
        <v>98.98999999999999</v>
      </c>
      <c r="O2228" t="n">
        <v>28.13455657492355</v>
      </c>
    </row>
    <row r="2229" hidden="1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M2229" t="n">
        <v>21</v>
      </c>
      <c r="N2229" t="n">
        <v>100</v>
      </c>
      <c r="O2229" t="n">
        <v>28.98550724637681</v>
      </c>
    </row>
    <row r="2230" hidden="1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M2230" t="n">
        <v>26</v>
      </c>
      <c r="N2230" t="n">
        <v>98.55</v>
      </c>
      <c r="O2230" t="n">
        <v>25.88996763754045</v>
      </c>
    </row>
    <row r="2231" hidden="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M2231" t="n">
        <v>6</v>
      </c>
      <c r="N2231" t="n">
        <v>100</v>
      </c>
      <c r="O2231" t="n">
        <v>34.32835820895522</v>
      </c>
    </row>
    <row r="2232" hidden="1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M2232" t="n">
        <v>19</v>
      </c>
      <c r="N2232" t="n">
        <v>100</v>
      </c>
      <c r="O2232" t="n">
        <v>29.16666666666667</v>
      </c>
    </row>
    <row r="2233" hidden="1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M2233" t="n">
        <v>12</v>
      </c>
      <c r="N2233" t="n">
        <v>100</v>
      </c>
      <c r="O2233" t="n">
        <v>35.47008547008547</v>
      </c>
    </row>
    <row r="2234" hidden="1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M2234" t="n">
        <v>0</v>
      </c>
      <c r="N2234" t="n">
        <v>0</v>
      </c>
      <c r="O2234" t="n">
        <v>0</v>
      </c>
    </row>
    <row r="2235" hidden="1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M2235" t="n">
        <v>20</v>
      </c>
      <c r="N2235" t="n">
        <v>100</v>
      </c>
      <c r="O2235" t="n">
        <v>21.5</v>
      </c>
    </row>
    <row r="2236" hidden="1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M2236" t="n">
        <v>34</v>
      </c>
      <c r="N2236" t="n">
        <v>95.42</v>
      </c>
      <c r="O2236" t="n">
        <v>32.56997455470738</v>
      </c>
    </row>
    <row r="2237" hidden="1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17</v>
      </c>
      <c r="E2237" t="n">
        <v>14</v>
      </c>
      <c r="F2237" t="n">
        <v>34.05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M2237" t="n">
        <v>13</v>
      </c>
      <c r="N2237" t="n">
        <v>100</v>
      </c>
      <c r="O2237" t="n">
        <v>26.08695652173913</v>
      </c>
    </row>
    <row r="2238" hidden="1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M2238" t="n">
        <v>24</v>
      </c>
      <c r="N2238" t="n">
        <v>100</v>
      </c>
      <c r="O2238" t="n">
        <v>27.64227642276423</v>
      </c>
    </row>
    <row r="2239" hidden="1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13</v>
      </c>
      <c r="E2239" t="n">
        <v>13</v>
      </c>
      <c r="F2239" t="n">
        <v>47.13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M2239" t="n">
        <v>13</v>
      </c>
      <c r="N2239" t="n">
        <v>100</v>
      </c>
      <c r="O2239" t="n">
        <v>34.04255319148936</v>
      </c>
    </row>
    <row r="2240" hidden="1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M2240" t="n">
        <v>4</v>
      </c>
      <c r="N2240" t="n">
        <v>60</v>
      </c>
      <c r="O2240" t="n">
        <v>51.61290322580645</v>
      </c>
    </row>
    <row r="2241" hidden="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M2241" t="n">
        <v>22</v>
      </c>
      <c r="N2241" t="n">
        <v>97.67</v>
      </c>
      <c r="O2241" t="n">
        <v>30.078125</v>
      </c>
    </row>
    <row r="2242" hidden="1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M2242" t="n">
        <v>14</v>
      </c>
      <c r="N2242" t="n">
        <v>98.75</v>
      </c>
      <c r="O2242" t="n">
        <v>27.5974025974026</v>
      </c>
    </row>
    <row r="2243" hidden="1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M2243" t="n">
        <v>21</v>
      </c>
      <c r="N2243" t="n">
        <v>98.86</v>
      </c>
      <c r="O2243" t="n">
        <v>24.6031746031746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N2244" t="n">
        <v>99.05</v>
      </c>
      <c r="O2244" t="n">
        <v>26.62192393736018</v>
      </c>
    </row>
    <row r="2245" hidden="1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M2245" t="n">
        <v>21</v>
      </c>
      <c r="N2245" t="n">
        <v>98.77</v>
      </c>
      <c r="O2245" t="n">
        <v>32.8719723183391</v>
      </c>
    </row>
    <row r="2246" hidden="1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M2246" t="n">
        <v>37</v>
      </c>
      <c r="N2246" t="n">
        <v>100</v>
      </c>
      <c r="O2246" t="n">
        <v>26.24254473161034</v>
      </c>
    </row>
    <row r="2247" hidden="1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M2247" t="n">
        <v>22</v>
      </c>
      <c r="N2247" t="n">
        <v>97.18000000000001</v>
      </c>
      <c r="O2247" t="n">
        <v>26.28398791540785</v>
      </c>
    </row>
    <row r="2248" hidden="1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M2248" t="n">
        <v>16</v>
      </c>
      <c r="N2248" t="n">
        <v>98.67</v>
      </c>
      <c r="O2248" t="n">
        <v>26.96629213483146</v>
      </c>
    </row>
    <row r="2249" hidden="1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M2249" t="n">
        <v>0</v>
      </c>
      <c r="N2249" t="n">
        <v>100</v>
      </c>
      <c r="O2249" t="n">
        <v>0</v>
      </c>
    </row>
    <row r="2250" hidden="1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M2250" t="n">
        <v>7</v>
      </c>
      <c r="N2250" t="n">
        <v>97.44</v>
      </c>
      <c r="O2250" t="n">
        <v>30.76923076923077</v>
      </c>
    </row>
    <row r="2251" hidden="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M2251" t="n">
        <v>14</v>
      </c>
      <c r="N2251" t="n">
        <v>100</v>
      </c>
      <c r="O2251" t="n">
        <v>19.66292134831461</v>
      </c>
    </row>
    <row r="2252" hidden="1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M2252" t="n">
        <v>0</v>
      </c>
      <c r="N2252" t="n">
        <v>0</v>
      </c>
      <c r="O2252" t="n">
        <v>0</v>
      </c>
    </row>
    <row r="2253" hidden="1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M2253" t="n">
        <v>15</v>
      </c>
      <c r="N2253" t="n">
        <v>99.02</v>
      </c>
      <c r="O2253" t="n">
        <v>33.33333333333333</v>
      </c>
    </row>
    <row r="2254" hidden="1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M2254" t="n">
        <v>5</v>
      </c>
      <c r="N2254" t="n">
        <v>97.26000000000001</v>
      </c>
      <c r="O2254" t="n">
        <v>26.97841726618705</v>
      </c>
    </row>
    <row r="2255" hidden="1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32</v>
      </c>
      <c r="E2255" t="n">
        <v>32</v>
      </c>
      <c r="F2255" t="n">
        <v>21.45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M2255" t="n">
        <v>28</v>
      </c>
      <c r="N2255" t="n">
        <v>98.84999999999999</v>
      </c>
      <c r="O2255" t="n">
        <v>32.13213213213213</v>
      </c>
    </row>
    <row r="2256" hidden="1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M2256" t="n">
        <v>0</v>
      </c>
      <c r="N2256" t="n">
        <v>97.67</v>
      </c>
      <c r="O2256" t="n">
        <v>25.51020408163265</v>
      </c>
    </row>
    <row r="2257" hidden="1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M2257" t="n">
        <v>16</v>
      </c>
      <c r="N2257" t="n">
        <v>100</v>
      </c>
      <c r="O2257" t="n">
        <v>25.10460251046025</v>
      </c>
    </row>
    <row r="2258" hidden="1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M2258" t="n">
        <v>2</v>
      </c>
      <c r="N2258" t="n">
        <v>100</v>
      </c>
      <c r="O2258" t="n">
        <v>26.92307692307692</v>
      </c>
    </row>
    <row r="2259" hidden="1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M2259" t="n">
        <v>25</v>
      </c>
      <c r="N2259" t="n">
        <v>98.61</v>
      </c>
      <c r="O2259" t="n">
        <v>33.13953488372093</v>
      </c>
    </row>
    <row r="2260" hidden="1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M2260" t="n">
        <v>26</v>
      </c>
      <c r="N2260" t="n">
        <v>95.34999999999999</v>
      </c>
      <c r="O2260" t="n">
        <v>24.67105263157895</v>
      </c>
    </row>
    <row r="2261" hidden="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M2261" t="n">
        <v>4</v>
      </c>
      <c r="N2261" t="n">
        <v>100</v>
      </c>
      <c r="O2261" t="n">
        <v>20.68965517241379</v>
      </c>
    </row>
    <row r="2262" hidden="1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M2262" t="n">
        <v>0</v>
      </c>
      <c r="N2262" t="n">
        <v>0</v>
      </c>
      <c r="O2262" t="n">
        <v>0</v>
      </c>
    </row>
    <row r="2263" hidden="1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M2263" t="n">
        <v>0</v>
      </c>
      <c r="N2263" t="n">
        <v>100</v>
      </c>
      <c r="O2263" t="n">
        <v>32.87671232876712</v>
      </c>
    </row>
    <row r="2264" hidden="1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M2264" t="n">
        <v>0</v>
      </c>
      <c r="N2264" t="n">
        <v>0</v>
      </c>
      <c r="O2264" t="n">
        <v>0</v>
      </c>
    </row>
    <row r="2265" hidden="1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M2265" t="n">
        <v>0</v>
      </c>
      <c r="N2265" t="n">
        <v>0</v>
      </c>
      <c r="O2265" t="n">
        <v>0</v>
      </c>
    </row>
    <row r="2266" hidden="1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M2266" t="n">
        <v>0</v>
      </c>
      <c r="N2266" t="n">
        <v>0</v>
      </c>
      <c r="O2266" t="n">
        <v>0</v>
      </c>
    </row>
    <row r="2267" hidden="1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M2267" t="n">
        <v>27</v>
      </c>
      <c r="N2267" t="n">
        <v>97.44</v>
      </c>
      <c r="O2267" t="n">
        <v>33.33333333333333</v>
      </c>
    </row>
    <row r="2268" hidden="1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M2268" t="n">
        <v>36</v>
      </c>
      <c r="N2268" t="n">
        <v>100</v>
      </c>
      <c r="O2268" t="n">
        <v>28.37837837837838</v>
      </c>
    </row>
    <row r="2269" hidden="1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M2269" t="n">
        <v>8</v>
      </c>
      <c r="N2269" t="n">
        <v>97.56</v>
      </c>
      <c r="O2269" t="n">
        <v>30.28169014084507</v>
      </c>
    </row>
    <row r="2270" hidden="1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M2270" t="n">
        <v>24</v>
      </c>
      <c r="N2270" t="n">
        <v>98.86</v>
      </c>
      <c r="O2270" t="n">
        <v>25.60975609756098</v>
      </c>
    </row>
    <row r="2271" hidden="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M2271" t="n">
        <v>12</v>
      </c>
      <c r="N2271" t="n">
        <v>97.75</v>
      </c>
      <c r="O2271" t="n">
        <v>28.42465753424658</v>
      </c>
    </row>
    <row r="2272" hidden="1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M2272" t="n">
        <v>21</v>
      </c>
      <c r="N2272" t="n">
        <v>99.09999999999999</v>
      </c>
      <c r="O2272" t="n">
        <v>27.0893371757925</v>
      </c>
    </row>
    <row r="2273" hidden="1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M2273" t="n">
        <v>14</v>
      </c>
      <c r="N2273" t="n">
        <v>100</v>
      </c>
      <c r="O2273" t="n">
        <v>29.3103448275862</v>
      </c>
    </row>
    <row r="2274" hidden="1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M2274" t="n">
        <v>31</v>
      </c>
      <c r="N2274" t="n">
        <v>98.68000000000001</v>
      </c>
      <c r="O2274" t="n">
        <v>25.29411764705882</v>
      </c>
    </row>
    <row r="2275" hidden="1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M2275" t="n">
        <v>5</v>
      </c>
      <c r="N2275" t="n">
        <v>100</v>
      </c>
      <c r="O2275" t="n">
        <v>31.94444444444444</v>
      </c>
    </row>
    <row r="2276" hidden="1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M2276" t="n">
        <v>25</v>
      </c>
      <c r="N2276" t="n">
        <v>100</v>
      </c>
      <c r="O2276" t="n">
        <v>29.37685459940653</v>
      </c>
    </row>
    <row r="2277" hidden="1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M2277" t="n">
        <v>11</v>
      </c>
      <c r="N2277" t="n">
        <v>100</v>
      </c>
      <c r="O2277" t="n">
        <v>35.91836734693877</v>
      </c>
    </row>
    <row r="2278" hidden="1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M2278" t="n">
        <v>0</v>
      </c>
      <c r="N2278" t="n">
        <v>0</v>
      </c>
      <c r="O2278" t="n">
        <v>0</v>
      </c>
    </row>
    <row r="2279" hidden="1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M2279" t="n">
        <v>16</v>
      </c>
      <c r="N2279" t="n">
        <v>100</v>
      </c>
      <c r="O2279" t="n">
        <v>22.22222222222222</v>
      </c>
    </row>
    <row r="2280" hidden="1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M2280" t="n">
        <v>31</v>
      </c>
      <c r="N2280" t="n">
        <v>93.79000000000001</v>
      </c>
      <c r="O2280" t="n">
        <v>32.86052009456264</v>
      </c>
    </row>
    <row r="2281" hidden="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35</v>
      </c>
      <c r="E2281" t="n">
        <v>30</v>
      </c>
      <c r="F2281" t="n">
        <v>22.16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M2281" t="n">
        <v>27</v>
      </c>
      <c r="N2281" t="n">
        <v>100</v>
      </c>
      <c r="O2281" t="n">
        <v>25.08250825082508</v>
      </c>
    </row>
    <row r="2282" hidden="1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M2282" t="n">
        <v>13</v>
      </c>
      <c r="N2282" t="n">
        <v>100</v>
      </c>
      <c r="O2282" t="n">
        <v>27.7992277992278</v>
      </c>
    </row>
    <row r="2283" hidden="1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23</v>
      </c>
      <c r="E2283" t="n">
        <v>23</v>
      </c>
      <c r="F2283" t="n">
        <v>35.42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M2283" t="n">
        <v>24</v>
      </c>
      <c r="N2283" t="n">
        <v>99.11</v>
      </c>
      <c r="O2283" t="n">
        <v>34.56090651558073</v>
      </c>
    </row>
    <row r="2284" hidden="1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M2284" t="n">
        <v>4</v>
      </c>
      <c r="N2284" t="n">
        <v>66.67</v>
      </c>
      <c r="O2284" t="n">
        <v>51.42857142857142</v>
      </c>
    </row>
    <row r="2285" hidden="1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M2285" t="n">
        <v>13</v>
      </c>
      <c r="N2285" t="n">
        <v>97.87</v>
      </c>
      <c r="O2285" t="n">
        <v>28.99628252788104</v>
      </c>
    </row>
    <row r="2286" hidden="1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M2286" t="n">
        <v>20</v>
      </c>
      <c r="N2286" t="n">
        <v>98.88</v>
      </c>
      <c r="O2286" t="n">
        <v>27.4390243902439</v>
      </c>
    </row>
    <row r="2287" hidden="1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M2287" t="n">
        <v>26</v>
      </c>
      <c r="N2287" t="n">
        <v>98.95</v>
      </c>
      <c r="O2287" t="n">
        <v>24.25742574257426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N2288" t="n">
        <v>99.05</v>
      </c>
      <c r="O2288" t="n">
        <v>26.62192393736018</v>
      </c>
    </row>
    <row r="2289" hidden="1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M2289" t="n">
        <v>22</v>
      </c>
      <c r="N2289" t="n">
        <v>98.88</v>
      </c>
      <c r="O2289" t="n">
        <v>31.83279742765273</v>
      </c>
    </row>
    <row r="2290" hidden="1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M2290" t="n">
        <v>29</v>
      </c>
      <c r="N2290" t="n">
        <v>100</v>
      </c>
      <c r="O2290" t="n">
        <v>26.69172932330827</v>
      </c>
    </row>
    <row r="2291" hidden="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M2291" t="n">
        <v>2</v>
      </c>
      <c r="N2291" t="n">
        <v>97.47</v>
      </c>
      <c r="O2291" t="n">
        <v>26.12612612612612</v>
      </c>
    </row>
    <row r="2292" hidden="1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M2292" t="n">
        <v>14</v>
      </c>
      <c r="N2292" t="n">
        <v>98.75</v>
      </c>
      <c r="O2292" t="n">
        <v>25.97864768683274</v>
      </c>
    </row>
    <row r="2293" hidden="1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M2293" t="n">
        <v>0</v>
      </c>
      <c r="N2293" t="n">
        <v>100</v>
      </c>
      <c r="O2293" t="n">
        <v>0</v>
      </c>
    </row>
    <row r="2294" hidden="1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M2294" t="n">
        <v>13</v>
      </c>
      <c r="N2294" t="n">
        <v>97.62</v>
      </c>
      <c r="O2294" t="n">
        <v>30.76923076923077</v>
      </c>
    </row>
    <row r="2295" hidden="1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M2295" t="n">
        <v>17</v>
      </c>
      <c r="N2295" t="n">
        <v>100</v>
      </c>
      <c r="O2295" t="n">
        <v>19.48717948717949</v>
      </c>
    </row>
    <row r="2296" hidden="1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M2296" t="n">
        <v>0</v>
      </c>
      <c r="N2296" t="n">
        <v>0</v>
      </c>
      <c r="O2296" t="n">
        <v>0</v>
      </c>
    </row>
    <row r="2297" hidden="1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M2297" t="n">
        <v>21</v>
      </c>
      <c r="N2297" t="n">
        <v>99.04000000000001</v>
      </c>
      <c r="O2297" t="n">
        <v>30.82437275985663</v>
      </c>
    </row>
    <row r="2298" hidden="1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M2298" t="n">
        <v>20</v>
      </c>
      <c r="N2298" t="n">
        <v>97.44</v>
      </c>
      <c r="O2298" t="n">
        <v>25.50335570469799</v>
      </c>
    </row>
    <row r="2299" hidden="1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23</v>
      </c>
      <c r="E2299" t="n">
        <v>23</v>
      </c>
      <c r="F2299" t="n">
        <v>20.56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M2299" t="n">
        <v>19</v>
      </c>
      <c r="N2299" t="n">
        <v>99.01000000000001</v>
      </c>
      <c r="O2299" t="n">
        <v>31.81818181818182</v>
      </c>
    </row>
    <row r="2300" hidden="1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M2300" t="n">
        <v>0</v>
      </c>
      <c r="N2300" t="n">
        <v>97.83</v>
      </c>
      <c r="O2300" t="n">
        <v>25.51020408163265</v>
      </c>
    </row>
    <row r="2301" hidden="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M2301" t="n">
        <v>15</v>
      </c>
      <c r="N2301" t="n">
        <v>100</v>
      </c>
      <c r="O2301" t="n">
        <v>25.19685039370079</v>
      </c>
    </row>
    <row r="2302" hidden="1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M2302" t="n">
        <v>6</v>
      </c>
      <c r="N2302" t="n">
        <v>100</v>
      </c>
      <c r="O2302" t="n">
        <v>25</v>
      </c>
    </row>
    <row r="2303" hidden="1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M2303" t="n">
        <v>33</v>
      </c>
      <c r="N2303" t="n">
        <v>98.84</v>
      </c>
      <c r="O2303" t="n">
        <v>33.95225464190981</v>
      </c>
    </row>
    <row r="2304" hidden="1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M2304" t="n">
        <v>25</v>
      </c>
      <c r="N2304" t="n">
        <v>95.65000000000001</v>
      </c>
      <c r="O2304" t="n">
        <v>24.3161094224924</v>
      </c>
    </row>
    <row r="2305" hidden="1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M2305" t="n">
        <v>1</v>
      </c>
      <c r="N2305" t="n">
        <v>100</v>
      </c>
      <c r="O2305" t="n">
        <v>20.33898305084746</v>
      </c>
    </row>
    <row r="2306" hidden="1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M2306" t="n">
        <v>0</v>
      </c>
      <c r="N2306" t="n">
        <v>0</v>
      </c>
      <c r="O2306" t="n">
        <v>0</v>
      </c>
    </row>
    <row r="2307" hidden="1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M2307" t="n">
        <v>0</v>
      </c>
      <c r="N2307" t="n">
        <v>100</v>
      </c>
      <c r="O2307" t="n">
        <v>32.87671232876712</v>
      </c>
    </row>
    <row r="2308" hidden="1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M2308" t="n">
        <v>0</v>
      </c>
      <c r="N2308" t="n">
        <v>0</v>
      </c>
      <c r="O2308" t="n">
        <v>0</v>
      </c>
    </row>
    <row r="2309" hidden="1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M2309" t="n">
        <v>0</v>
      </c>
      <c r="N2309" t="n">
        <v>0</v>
      </c>
      <c r="O2309" t="n">
        <v>0</v>
      </c>
    </row>
    <row r="2310" hidden="1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M2310" t="n">
        <v>0</v>
      </c>
      <c r="N2310" t="n">
        <v>0</v>
      </c>
      <c r="O2310" t="n">
        <v>0</v>
      </c>
    </row>
    <row r="2311" hidden="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M2311" t="n">
        <v>18</v>
      </c>
      <c r="N2311" t="n">
        <v>97.78</v>
      </c>
      <c r="O2311" t="n">
        <v>32.3671497584541</v>
      </c>
    </row>
    <row r="2312" hidden="1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M2312" t="n">
        <v>27</v>
      </c>
      <c r="N2312" t="n">
        <v>99.09</v>
      </c>
      <c r="O2312" t="n">
        <v>29.47103274559194</v>
      </c>
    </row>
    <row r="2313" hidden="1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M2313" t="n">
        <v>11</v>
      </c>
      <c r="N2313" t="n">
        <v>97.67</v>
      </c>
      <c r="O2313" t="n">
        <v>31.37254901960784</v>
      </c>
    </row>
    <row r="2314" hidden="1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M2314" t="n">
        <v>27</v>
      </c>
      <c r="N2314" t="n">
        <v>98.92</v>
      </c>
      <c r="O2314" t="n">
        <v>25.63380281690141</v>
      </c>
    </row>
    <row r="2315" hidden="1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N2315" t="n">
        <v>98.31999999999999</v>
      </c>
      <c r="O2315" t="n">
        <v>30.3030303030303</v>
      </c>
    </row>
    <row r="2316" hidden="1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N2316" t="n">
        <v>98.68000000000001</v>
      </c>
      <c r="O2316" t="n">
        <v>26.21951219512195</v>
      </c>
    </row>
    <row r="2317" hidden="1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N2317" t="n">
        <v>100</v>
      </c>
      <c r="O2317" t="n">
        <v>31.74224343675418</v>
      </c>
    </row>
    <row r="2318" hidden="1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N2318" t="n">
        <v>98.25</v>
      </c>
      <c r="O2318" t="n">
        <v>25.83518930957684</v>
      </c>
    </row>
    <row r="2319" hidden="1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N2319" t="n">
        <v>97.5</v>
      </c>
      <c r="O2319" t="n">
        <v>30.07518796992481</v>
      </c>
    </row>
    <row r="2320" hidden="1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N2320" t="n">
        <v>100</v>
      </c>
      <c r="O2320" t="n">
        <v>29.71311475409836</v>
      </c>
    </row>
    <row r="2321" hidden="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N2321" t="n">
        <v>99.22</v>
      </c>
      <c r="O2321" t="n">
        <v>35.25641025641026</v>
      </c>
    </row>
    <row r="2322" hidden="1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N2322" t="n">
        <v>0</v>
      </c>
      <c r="O2322" t="n">
        <v>0</v>
      </c>
    </row>
    <row r="2323" hidden="1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N2323" t="n">
        <v>98.75</v>
      </c>
      <c r="O2323" t="n">
        <v>24.32432432432433</v>
      </c>
    </row>
    <row r="2324" hidden="1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N2324" t="n">
        <v>93.48</v>
      </c>
      <c r="O2324" t="n">
        <v>31.33462282398452</v>
      </c>
    </row>
    <row r="2325" hidden="1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0</v>
      </c>
      <c r="E2325" t="n">
        <v>0</v>
      </c>
      <c r="F2325" t="n">
        <v>0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N2325" t="n">
        <v>99.16</v>
      </c>
      <c r="O2325" t="n">
        <v>26.13908872901678</v>
      </c>
    </row>
    <row r="2326" hidden="1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N2326" t="n">
        <v>100</v>
      </c>
      <c r="O2326" t="n">
        <v>31.08974358974359</v>
      </c>
    </row>
    <row r="2327" hidden="1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0</v>
      </c>
      <c r="E2327" t="n">
        <v>0</v>
      </c>
      <c r="F2327" t="n">
        <v>0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N2327" t="n">
        <v>98.11</v>
      </c>
      <c r="O2327" t="n">
        <v>33.03370786516854</v>
      </c>
    </row>
    <row r="2328" hidden="1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N2328" t="n">
        <v>78.95</v>
      </c>
      <c r="O2328" t="n">
        <v>38.98305084745763</v>
      </c>
    </row>
    <row r="2329" hidden="1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N2329" t="n">
        <v>98.45</v>
      </c>
      <c r="O2329" t="n">
        <v>29.2817679558011</v>
      </c>
    </row>
    <row r="2330" hidden="1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N2330" t="n">
        <v>97.84</v>
      </c>
      <c r="O2330" t="n">
        <v>26.28205128205128</v>
      </c>
    </row>
    <row r="2331" hidden="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N2332" t="n">
        <v>99.05</v>
      </c>
      <c r="O2332" t="n">
        <v>26.62192393736018</v>
      </c>
    </row>
    <row r="2333" hidden="1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N2333" t="n">
        <v>98.53</v>
      </c>
      <c r="O2333" t="n">
        <v>31.57894736842105</v>
      </c>
    </row>
    <row r="2334" hidden="1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N2334" t="n">
        <v>100</v>
      </c>
      <c r="O2334" t="n">
        <v>25.72214580467676</v>
      </c>
    </row>
    <row r="2335" hidden="1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N2335" t="n">
        <v>94.64</v>
      </c>
      <c r="O2335" t="n">
        <v>27.52941176470588</v>
      </c>
    </row>
    <row r="2336" hidden="1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N2336" t="n">
        <v>99.06999999999999</v>
      </c>
      <c r="O2336" t="n">
        <v>26.3768115942029</v>
      </c>
    </row>
    <row r="2337" hidden="1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N2337" t="n">
        <v>100</v>
      </c>
      <c r="O2337" t="n">
        <v>0</v>
      </c>
    </row>
    <row r="2338" hidden="1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N2338" t="n">
        <v>98.48</v>
      </c>
      <c r="O2338" t="n">
        <v>27.85388127853881</v>
      </c>
    </row>
    <row r="2339" hidden="1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N2339" t="n">
        <v>95.15000000000001</v>
      </c>
      <c r="O2339" t="n">
        <v>34.13173652694611</v>
      </c>
    </row>
    <row r="2340" hidden="1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N2340" t="n">
        <v>0</v>
      </c>
      <c r="O2340" t="n">
        <v>0</v>
      </c>
    </row>
    <row r="2341" hidden="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N2341" t="n">
        <v>99.26000000000001</v>
      </c>
      <c r="O2341" t="n">
        <v>30.84832904884319</v>
      </c>
    </row>
    <row r="2342" hidden="1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N2342" t="n">
        <v>97.48</v>
      </c>
      <c r="O2342" t="n">
        <v>27.76470588235294</v>
      </c>
    </row>
    <row r="2343" hidden="1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0</v>
      </c>
      <c r="E2343" t="n">
        <v>0</v>
      </c>
      <c r="F2343" t="n">
        <v>0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N2343" t="n">
        <v>99.34</v>
      </c>
      <c r="O2343" t="n">
        <v>30.04291845493562</v>
      </c>
    </row>
    <row r="2344" hidden="1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N2344" t="n">
        <v>96.3</v>
      </c>
      <c r="O2344" t="n">
        <v>24.29378531073446</v>
      </c>
    </row>
    <row r="2345" hidden="1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N2345" t="n">
        <v>100</v>
      </c>
      <c r="O2345" t="n">
        <v>26.54320987654321</v>
      </c>
    </row>
    <row r="2346" hidden="1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N2346" t="n">
        <v>100</v>
      </c>
      <c r="O2346" t="n">
        <v>35.48387096774194</v>
      </c>
    </row>
    <row r="2347" hidden="1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N2347" t="n">
        <v>99.27</v>
      </c>
      <c r="O2347" t="n">
        <v>31.16370808678501</v>
      </c>
    </row>
    <row r="2348" hidden="1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N2348" t="n">
        <v>94.16</v>
      </c>
      <c r="O2348" t="n">
        <v>27.03862660944206</v>
      </c>
    </row>
    <row r="2349" hidden="1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N2349" t="n">
        <v>93.75</v>
      </c>
      <c r="O2349" t="n">
        <v>19.31818181818182</v>
      </c>
    </row>
    <row r="2350" hidden="1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N2350" t="n">
        <v>0</v>
      </c>
      <c r="O2350" t="n">
        <v>0</v>
      </c>
    </row>
    <row r="2351" hidden="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N2351" t="n">
        <v>97.92</v>
      </c>
      <c r="O2351" t="n">
        <v>32.87671232876712</v>
      </c>
    </row>
    <row r="2352" hidden="1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N2352" t="n">
        <v>0</v>
      </c>
      <c r="O2352" t="n">
        <v>0</v>
      </c>
    </row>
    <row r="2353" hidden="1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N2353" t="n">
        <v>0</v>
      </c>
      <c r="O2353" t="n">
        <v>0</v>
      </c>
    </row>
    <row r="2354" hidden="1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N2354" t="n">
        <v>0</v>
      </c>
      <c r="O2354" t="n">
        <v>0</v>
      </c>
    </row>
    <row r="2355" hidden="1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N2355" t="n">
        <v>98.51000000000001</v>
      </c>
      <c r="O2355" t="n">
        <v>29.71014492753623</v>
      </c>
    </row>
    <row r="2356" hidden="1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N2356" t="n">
        <v>98.81</v>
      </c>
      <c r="O2356" t="n">
        <v>30.71297989031079</v>
      </c>
    </row>
    <row r="2357" hidden="1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N2357" t="n">
        <v>98.48</v>
      </c>
      <c r="O2357" t="n">
        <v>29.35323383084577</v>
      </c>
    </row>
    <row r="2358" hidden="1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N2358" t="n">
        <v>98.56</v>
      </c>
      <c r="O2358" t="n">
        <v>29.37365010799136</v>
      </c>
    </row>
    <row r="2359" hidden="1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N2359" t="n">
        <v>98.31999999999999</v>
      </c>
      <c r="O2359" t="n">
        <v>30.3030303030303</v>
      </c>
    </row>
    <row r="2360" hidden="1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N2360" t="n">
        <v>98.68000000000001</v>
      </c>
      <c r="O2360" t="n">
        <v>26.21951219512195</v>
      </c>
    </row>
    <row r="2361" hidden="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N2361" t="n">
        <v>100</v>
      </c>
      <c r="O2361" t="n">
        <v>31.74224343675418</v>
      </c>
    </row>
    <row r="2362" hidden="1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N2362" t="n">
        <v>98.25</v>
      </c>
      <c r="O2362" t="n">
        <v>25.83518930957684</v>
      </c>
    </row>
    <row r="2363" hidden="1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N2363" t="n">
        <v>97.5</v>
      </c>
      <c r="O2363" t="n">
        <v>30.07518796992481</v>
      </c>
    </row>
    <row r="2364" hidden="1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N2364" t="n">
        <v>100</v>
      </c>
      <c r="O2364" t="n">
        <v>29.71311475409836</v>
      </c>
    </row>
    <row r="2365" hidden="1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N2365" t="n">
        <v>99.22</v>
      </c>
      <c r="O2365" t="n">
        <v>35.25641025641026</v>
      </c>
    </row>
    <row r="2366" hidden="1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N2366" t="n">
        <v>0</v>
      </c>
      <c r="O2366" t="n">
        <v>0</v>
      </c>
    </row>
    <row r="2367" hidden="1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N2367" t="n">
        <v>98.75</v>
      </c>
      <c r="O2367" t="n">
        <v>24.32432432432433</v>
      </c>
    </row>
    <row r="2368" hidden="1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N2368" t="n">
        <v>93.48</v>
      </c>
      <c r="O2368" t="n">
        <v>31.33462282398452</v>
      </c>
    </row>
    <row r="2369" hidden="1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0</v>
      </c>
      <c r="E2369" t="n">
        <v>0</v>
      </c>
      <c r="F2369" t="n">
        <v>0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N2369" t="n">
        <v>99.16</v>
      </c>
      <c r="O2369" t="n">
        <v>26.13908872901678</v>
      </c>
    </row>
    <row r="2370" hidden="1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N2370" t="n">
        <v>100</v>
      </c>
      <c r="O2370" t="n">
        <v>31.08974358974359</v>
      </c>
    </row>
    <row r="2371" hidden="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0</v>
      </c>
      <c r="E2371" t="n">
        <v>0</v>
      </c>
      <c r="F2371" t="n">
        <v>0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N2371" t="n">
        <v>98.11</v>
      </c>
      <c r="O2371" t="n">
        <v>33.03370786516854</v>
      </c>
    </row>
    <row r="2372" hidden="1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N2372" t="n">
        <v>78.95</v>
      </c>
      <c r="O2372" t="n">
        <v>38.98305084745763</v>
      </c>
    </row>
    <row r="2373" hidden="1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N2373" t="n">
        <v>98.45</v>
      </c>
      <c r="O2373" t="n">
        <v>29.2817679558011</v>
      </c>
    </row>
    <row r="2374" hidden="1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N2374" t="n">
        <v>97.84</v>
      </c>
      <c r="O2374" t="n">
        <v>26.28205128205128</v>
      </c>
    </row>
    <row r="2375" hidden="1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N2376" t="n">
        <v>99.05</v>
      </c>
      <c r="O2376" t="n">
        <v>26.62192393736018</v>
      </c>
    </row>
    <row r="2377" hidden="1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N2377" t="n">
        <v>98.53</v>
      </c>
      <c r="O2377" t="n">
        <v>31.57894736842105</v>
      </c>
    </row>
    <row r="2378" hidden="1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N2378" t="n">
        <v>100</v>
      </c>
      <c r="O2378" t="n">
        <v>25.72214580467676</v>
      </c>
    </row>
    <row r="2379" hidden="1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N2379" t="n">
        <v>94.64</v>
      </c>
      <c r="O2379" t="n">
        <v>27.52941176470588</v>
      </c>
    </row>
    <row r="2380" hidden="1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N2380" t="n">
        <v>99.06999999999999</v>
      </c>
      <c r="O2380" t="n">
        <v>26.3768115942029</v>
      </c>
    </row>
    <row r="2381" hidden="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N2381" t="n">
        <v>100</v>
      </c>
      <c r="O2381" t="n">
        <v>0</v>
      </c>
    </row>
    <row r="2382" hidden="1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N2382" t="n">
        <v>98.48</v>
      </c>
      <c r="O2382" t="n">
        <v>27.85388127853881</v>
      </c>
    </row>
    <row r="2383" hidden="1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N2383" t="n">
        <v>95.15000000000001</v>
      </c>
      <c r="O2383" t="n">
        <v>34.13173652694611</v>
      </c>
    </row>
    <row r="2384" hidden="1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N2384" t="n">
        <v>0</v>
      </c>
      <c r="O2384" t="n">
        <v>0</v>
      </c>
    </row>
    <row r="2385" hidden="1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N2385" t="n">
        <v>99.26000000000001</v>
      </c>
      <c r="O2385" t="n">
        <v>30.84832904884319</v>
      </c>
    </row>
    <row r="2386" hidden="1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N2386" t="n">
        <v>97.48</v>
      </c>
      <c r="O2386" t="n">
        <v>27.76470588235294</v>
      </c>
    </row>
    <row r="2387" hidden="1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0</v>
      </c>
      <c r="E2387" t="n">
        <v>0</v>
      </c>
      <c r="F2387" t="n">
        <v>0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N2387" t="n">
        <v>99.34</v>
      </c>
      <c r="O2387" t="n">
        <v>30.04291845493562</v>
      </c>
    </row>
    <row r="2388" hidden="1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N2388" t="n">
        <v>96.3</v>
      </c>
      <c r="O2388" t="n">
        <v>24.29378531073446</v>
      </c>
    </row>
    <row r="2389" hidden="1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N2389" t="n">
        <v>100</v>
      </c>
      <c r="O2389" t="n">
        <v>26.54320987654321</v>
      </c>
    </row>
    <row r="2390" hidden="1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N2390" t="n">
        <v>100</v>
      </c>
      <c r="O2390" t="n">
        <v>35.48387096774194</v>
      </c>
    </row>
    <row r="2391" hidden="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N2391" t="n">
        <v>99.27</v>
      </c>
      <c r="O2391" t="n">
        <v>31.16370808678501</v>
      </c>
    </row>
    <row r="2392" hidden="1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N2392" t="n">
        <v>94.16</v>
      </c>
      <c r="O2392" t="n">
        <v>27.03862660944206</v>
      </c>
    </row>
    <row r="2393" hidden="1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N2393" t="n">
        <v>93.75</v>
      </c>
      <c r="O2393" t="n">
        <v>19.31818181818182</v>
      </c>
    </row>
    <row r="2394" hidden="1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N2394" t="n">
        <v>0</v>
      </c>
      <c r="O2394" t="n">
        <v>0</v>
      </c>
    </row>
    <row r="2395" hidden="1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N2395" t="n">
        <v>97.92</v>
      </c>
      <c r="O2395" t="n">
        <v>32.87671232876712</v>
      </c>
    </row>
    <row r="2396" hidden="1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N2396" t="n">
        <v>0</v>
      </c>
      <c r="O2396" t="n">
        <v>0</v>
      </c>
    </row>
    <row r="2397" hidden="1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N2397" t="n">
        <v>0</v>
      </c>
      <c r="O2397" t="n">
        <v>0</v>
      </c>
    </row>
    <row r="2398" hidden="1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N2398" t="n">
        <v>0</v>
      </c>
      <c r="O2398" t="n">
        <v>0</v>
      </c>
    </row>
    <row r="2399" hidden="1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N2399" t="n">
        <v>98.51000000000001</v>
      </c>
      <c r="O2399" t="n">
        <v>29.71014492753623</v>
      </c>
    </row>
    <row r="2400" hidden="1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N2400" t="n">
        <v>98.81</v>
      </c>
      <c r="O2400" t="n">
        <v>30.71297989031079</v>
      </c>
    </row>
    <row r="2401" hidden="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N2401" t="n">
        <v>98.48</v>
      </c>
      <c r="O2401" t="n">
        <v>29.35323383084577</v>
      </c>
    </row>
    <row r="2402" hidden="1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N2402" t="n">
        <v>98.56</v>
      </c>
      <c r="O2402" t="n">
        <v>29.37365010799136</v>
      </c>
    </row>
    <row r="2403" hidden="1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N2403" t="n">
        <v>98.31999999999999</v>
      </c>
      <c r="O2403" t="n">
        <v>30.3030303030303</v>
      </c>
    </row>
    <row r="2404" hidden="1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N2404" t="n">
        <v>98.68000000000001</v>
      </c>
      <c r="O2404" t="n">
        <v>26.21951219512195</v>
      </c>
    </row>
    <row r="2405" hidden="1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N2405" t="n">
        <v>100</v>
      </c>
      <c r="O2405" t="n">
        <v>31.74224343675418</v>
      </c>
    </row>
    <row r="2406" hidden="1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N2406" t="n">
        <v>98.25</v>
      </c>
      <c r="O2406" t="n">
        <v>25.83518930957684</v>
      </c>
    </row>
    <row r="2407" hidden="1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N2407" t="n">
        <v>97.5</v>
      </c>
      <c r="O2407" t="n">
        <v>30.07518796992481</v>
      </c>
    </row>
    <row r="2408" hidden="1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N2408" t="n">
        <v>100</v>
      </c>
      <c r="O2408" t="n">
        <v>29.71311475409836</v>
      </c>
    </row>
    <row r="2409" hidden="1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N2409" t="n">
        <v>99.22</v>
      </c>
      <c r="O2409" t="n">
        <v>35.25641025641026</v>
      </c>
    </row>
    <row r="2410" hidden="1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N2410" t="n">
        <v>0</v>
      </c>
      <c r="O2410" t="n">
        <v>0</v>
      </c>
    </row>
    <row r="2411" hidden="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N2411" t="n">
        <v>98.75</v>
      </c>
      <c r="O2411" t="n">
        <v>24.32432432432433</v>
      </c>
    </row>
    <row r="2412" hidden="1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N2412" t="n">
        <v>93.48</v>
      </c>
      <c r="O2412" t="n">
        <v>31.33462282398452</v>
      </c>
    </row>
    <row r="2413" hidden="1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0</v>
      </c>
      <c r="E2413" t="n">
        <v>0</v>
      </c>
      <c r="F2413" t="n">
        <v>0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N2413" t="n">
        <v>99.16</v>
      </c>
      <c r="O2413" t="n">
        <v>26.13908872901678</v>
      </c>
    </row>
    <row r="2414" hidden="1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N2414" t="n">
        <v>100</v>
      </c>
      <c r="O2414" t="n">
        <v>31.08974358974359</v>
      </c>
    </row>
    <row r="2415" hidden="1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0</v>
      </c>
      <c r="E2415" t="n">
        <v>0</v>
      </c>
      <c r="F2415" t="n">
        <v>0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N2415" t="n">
        <v>98.11</v>
      </c>
      <c r="O2415" t="n">
        <v>33.03370786516854</v>
      </c>
    </row>
    <row r="2416" hidden="1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N2416" t="n">
        <v>78.95</v>
      </c>
      <c r="O2416" t="n">
        <v>38.98305084745763</v>
      </c>
    </row>
    <row r="2417" hidden="1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N2417" t="n">
        <v>98.45</v>
      </c>
      <c r="O2417" t="n">
        <v>29.2817679558011</v>
      </c>
    </row>
    <row r="2418" hidden="1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N2418" t="n">
        <v>97.84</v>
      </c>
      <c r="O2418" t="n">
        <v>26.28205128205128</v>
      </c>
    </row>
    <row r="2419" hidden="1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N2420" t="n">
        <v>99.05</v>
      </c>
      <c r="O2420" t="n">
        <v>26.62192393736018</v>
      </c>
    </row>
    <row r="2421" hidden="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N2421" t="n">
        <v>98.53</v>
      </c>
      <c r="O2421" t="n">
        <v>31.57894736842105</v>
      </c>
    </row>
    <row r="2422" hidden="1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N2422" t="n">
        <v>100</v>
      </c>
      <c r="O2422" t="n">
        <v>25.72214580467676</v>
      </c>
    </row>
    <row r="2423" hidden="1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N2423" t="n">
        <v>94.64</v>
      </c>
      <c r="O2423" t="n">
        <v>27.52941176470588</v>
      </c>
    </row>
    <row r="2424" hidden="1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N2424" t="n">
        <v>99.06999999999999</v>
      </c>
      <c r="O2424" t="n">
        <v>26.3768115942029</v>
      </c>
    </row>
    <row r="2425" hidden="1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N2425" t="n">
        <v>100</v>
      </c>
      <c r="O2425" t="n">
        <v>0</v>
      </c>
    </row>
    <row r="2426" hidden="1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N2426" t="n">
        <v>98.48</v>
      </c>
      <c r="O2426" t="n">
        <v>27.85388127853881</v>
      </c>
    </row>
    <row r="2427" hidden="1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N2427" t="n">
        <v>95.15000000000001</v>
      </c>
      <c r="O2427" t="n">
        <v>34.13173652694611</v>
      </c>
    </row>
    <row r="2428" hidden="1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N2428" t="n">
        <v>0</v>
      </c>
      <c r="O2428" t="n">
        <v>0</v>
      </c>
    </row>
    <row r="2429" hidden="1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N2429" t="n">
        <v>99.26000000000001</v>
      </c>
      <c r="O2429" t="n">
        <v>30.84832904884319</v>
      </c>
    </row>
    <row r="2430" hidden="1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N2430" t="n">
        <v>97.48</v>
      </c>
      <c r="O2430" t="n">
        <v>27.76470588235294</v>
      </c>
    </row>
    <row r="2431" hidden="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0</v>
      </c>
      <c r="E2431" t="n">
        <v>0</v>
      </c>
      <c r="F2431" t="n">
        <v>0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N2431" t="n">
        <v>99.34</v>
      </c>
      <c r="O2431" t="n">
        <v>30.04291845493562</v>
      </c>
    </row>
    <row r="2432" hidden="1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N2432" t="n">
        <v>96.3</v>
      </c>
      <c r="O2432" t="n">
        <v>24.29378531073446</v>
      </c>
    </row>
    <row r="2433" hidden="1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N2433" t="n">
        <v>100</v>
      </c>
      <c r="O2433" t="n">
        <v>26.54320987654321</v>
      </c>
    </row>
    <row r="2434" hidden="1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N2434" t="n">
        <v>100</v>
      </c>
      <c r="O2434" t="n">
        <v>35.48387096774194</v>
      </c>
    </row>
    <row r="2435" hidden="1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N2435" t="n">
        <v>99.27</v>
      </c>
      <c r="O2435" t="n">
        <v>31.16370808678501</v>
      </c>
    </row>
    <row r="2436" hidden="1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N2436" t="n">
        <v>94.16</v>
      </c>
      <c r="O2436" t="n">
        <v>27.03862660944206</v>
      </c>
    </row>
    <row r="2437" hidden="1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N2437" t="n">
        <v>93.75</v>
      </c>
      <c r="O2437" t="n">
        <v>19.31818181818182</v>
      </c>
    </row>
    <row r="2438" hidden="1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N2438" t="n">
        <v>0</v>
      </c>
      <c r="O2438" t="n">
        <v>0</v>
      </c>
    </row>
    <row r="2439" hidden="1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N2439" t="n">
        <v>97.92</v>
      </c>
      <c r="O2439" t="n">
        <v>32.87671232876712</v>
      </c>
    </row>
    <row r="2440" hidden="1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N2440" t="n">
        <v>0</v>
      </c>
      <c r="O2440" t="n">
        <v>0</v>
      </c>
    </row>
    <row r="2441" hidden="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N2441" t="n">
        <v>0</v>
      </c>
      <c r="O2441" t="n">
        <v>0</v>
      </c>
    </row>
    <row r="2442" hidden="1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N2442" t="n">
        <v>0</v>
      </c>
      <c r="O2442" t="n">
        <v>0</v>
      </c>
    </row>
    <row r="2443" hidden="1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N2443" t="n">
        <v>98.51000000000001</v>
      </c>
      <c r="O2443" t="n">
        <v>29.71014492753623</v>
      </c>
    </row>
    <row r="2444" hidden="1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N2444" t="n">
        <v>98.81</v>
      </c>
      <c r="O2444" t="n">
        <v>30.71297989031079</v>
      </c>
    </row>
    <row r="2445" hidden="1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N2445" t="n">
        <v>98.48</v>
      </c>
      <c r="O2445" t="n">
        <v>29.35323383084577</v>
      </c>
    </row>
    <row r="2446" hidden="1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N2446" t="n">
        <v>98.56</v>
      </c>
      <c r="O2446" t="n">
        <v>29.37365010799136</v>
      </c>
    </row>
    <row r="2447" hidden="1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N2447" t="n">
        <v>98.31999999999999</v>
      </c>
      <c r="O2447" t="n">
        <v>30.3030303030303</v>
      </c>
    </row>
    <row r="2448" hidden="1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N2448" t="n">
        <v>98.68000000000001</v>
      </c>
      <c r="O2448" t="n">
        <v>26.21951219512195</v>
      </c>
    </row>
    <row r="2449" hidden="1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N2449" t="n">
        <v>100</v>
      </c>
      <c r="O2449" t="n">
        <v>31.74224343675418</v>
      </c>
    </row>
    <row r="2450" hidden="1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N2450" t="n">
        <v>98.25</v>
      </c>
      <c r="O2450" t="n">
        <v>25.83518930957684</v>
      </c>
    </row>
    <row r="2451" hidden="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N2451" t="n">
        <v>97.5</v>
      </c>
      <c r="O2451" t="n">
        <v>30.07518796992481</v>
      </c>
    </row>
    <row r="2452" hidden="1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N2452" t="n">
        <v>100</v>
      </c>
      <c r="O2452" t="n">
        <v>29.71311475409836</v>
      </c>
    </row>
    <row r="2453" hidden="1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N2453" t="n">
        <v>99.22</v>
      </c>
      <c r="O2453" t="n">
        <v>35.25641025641026</v>
      </c>
    </row>
    <row r="2454" hidden="1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N2454" t="n">
        <v>0</v>
      </c>
      <c r="O2454" t="n">
        <v>0</v>
      </c>
    </row>
    <row r="2455" hidden="1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N2455" t="n">
        <v>98.75</v>
      </c>
      <c r="O2455" t="n">
        <v>24.32432432432433</v>
      </c>
    </row>
    <row r="2456" hidden="1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N2456" t="n">
        <v>93.48</v>
      </c>
      <c r="O2456" t="n">
        <v>31.33462282398452</v>
      </c>
    </row>
    <row r="2457" hidden="1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0</v>
      </c>
      <c r="E2457" t="n">
        <v>0</v>
      </c>
      <c r="F2457" t="n">
        <v>0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N2457" t="n">
        <v>99.16</v>
      </c>
      <c r="O2457" t="n">
        <v>26.13908872901678</v>
      </c>
    </row>
    <row r="2458" hidden="1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N2458" t="n">
        <v>100</v>
      </c>
      <c r="O2458" t="n">
        <v>31.08974358974359</v>
      </c>
    </row>
    <row r="2459" hidden="1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0</v>
      </c>
      <c r="E2459" t="n">
        <v>0</v>
      </c>
      <c r="F2459" t="n">
        <v>0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N2459" t="n">
        <v>98.11</v>
      </c>
      <c r="O2459" t="n">
        <v>33.03370786516854</v>
      </c>
    </row>
    <row r="2460" hidden="1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N2460" t="n">
        <v>78.95</v>
      </c>
      <c r="O2460" t="n">
        <v>38.98305084745763</v>
      </c>
    </row>
    <row r="2461" hidden="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N2461" t="n">
        <v>98.45</v>
      </c>
      <c r="O2461" t="n">
        <v>29.2817679558011</v>
      </c>
    </row>
    <row r="2462" hidden="1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N2462" t="n">
        <v>97.84</v>
      </c>
      <c r="O2462" t="n">
        <v>26.28205128205128</v>
      </c>
    </row>
    <row r="2463" hidden="1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N2464" t="n">
        <v>99.05</v>
      </c>
      <c r="O2464" t="n">
        <v>26.62192393736018</v>
      </c>
    </row>
    <row r="2465" hidden="1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N2465" t="n">
        <v>98.53</v>
      </c>
      <c r="O2465" t="n">
        <v>31.57894736842105</v>
      </c>
    </row>
    <row r="2466" hidden="1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N2466" t="n">
        <v>100</v>
      </c>
      <c r="O2466" t="n">
        <v>25.72214580467676</v>
      </c>
    </row>
    <row r="2467" hidden="1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N2467" t="n">
        <v>94.64</v>
      </c>
      <c r="O2467" t="n">
        <v>27.52941176470588</v>
      </c>
    </row>
    <row r="2468" hidden="1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N2468" t="n">
        <v>99.06999999999999</v>
      </c>
      <c r="O2468" t="n">
        <v>26.3768115942029</v>
      </c>
    </row>
    <row r="2469" hidden="1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N2469" t="n">
        <v>100</v>
      </c>
      <c r="O2469" t="n">
        <v>0</v>
      </c>
    </row>
    <row r="2470" hidden="1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N2470" t="n">
        <v>98.48</v>
      </c>
      <c r="O2470" t="n">
        <v>27.85388127853881</v>
      </c>
    </row>
    <row r="2471" hidden="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N2471" t="n">
        <v>95.15000000000001</v>
      </c>
      <c r="O2471" t="n">
        <v>34.13173652694611</v>
      </c>
    </row>
    <row r="2472" hidden="1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N2472" t="n">
        <v>0</v>
      </c>
      <c r="O2472" t="n">
        <v>0</v>
      </c>
    </row>
    <row r="2473" hidden="1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N2473" t="n">
        <v>99.26000000000001</v>
      </c>
      <c r="O2473" t="n">
        <v>30.84832904884319</v>
      </c>
    </row>
    <row r="2474" hidden="1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N2474" t="n">
        <v>97.48</v>
      </c>
      <c r="O2474" t="n">
        <v>27.76470588235294</v>
      </c>
    </row>
    <row r="2475" hidden="1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0</v>
      </c>
      <c r="E2475" t="n">
        <v>0</v>
      </c>
      <c r="F2475" t="n">
        <v>0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N2475" t="n">
        <v>99.34</v>
      </c>
      <c r="O2475" t="n">
        <v>30.04291845493562</v>
      </c>
    </row>
    <row r="2476" hidden="1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N2476" t="n">
        <v>96.3</v>
      </c>
      <c r="O2476" t="n">
        <v>24.29378531073446</v>
      </c>
    </row>
    <row r="2477" hidden="1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N2477" t="n">
        <v>100</v>
      </c>
      <c r="O2477" t="n">
        <v>26.54320987654321</v>
      </c>
    </row>
    <row r="2478" hidden="1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N2478" t="n">
        <v>100</v>
      </c>
      <c r="O2478" t="n">
        <v>35.48387096774194</v>
      </c>
    </row>
    <row r="2479" hidden="1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N2479" t="n">
        <v>99.27</v>
      </c>
      <c r="O2479" t="n">
        <v>31.16370808678501</v>
      </c>
    </row>
    <row r="2480" hidden="1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N2480" t="n">
        <v>94.16</v>
      </c>
      <c r="O2480" t="n">
        <v>27.03862660944206</v>
      </c>
    </row>
    <row r="2481" hidden="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N2481" t="n">
        <v>93.75</v>
      </c>
      <c r="O2481" t="n">
        <v>19.31818181818182</v>
      </c>
    </row>
    <row r="2482" hidden="1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N2482" t="n">
        <v>0</v>
      </c>
      <c r="O2482" t="n">
        <v>0</v>
      </c>
    </row>
    <row r="2483" hidden="1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N2483" t="n">
        <v>97.92</v>
      </c>
      <c r="O2483" t="n">
        <v>32.87671232876712</v>
      </c>
    </row>
    <row r="2484" hidden="1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N2484" t="n">
        <v>0</v>
      </c>
      <c r="O2484" t="n">
        <v>0</v>
      </c>
    </row>
    <row r="2485" hidden="1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N2485" t="n">
        <v>0</v>
      </c>
      <c r="O2485" t="n">
        <v>0</v>
      </c>
    </row>
    <row r="2486" hidden="1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N2486" t="n">
        <v>0</v>
      </c>
      <c r="O2486" t="n">
        <v>0</v>
      </c>
    </row>
    <row r="2487" hidden="1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N2487" t="n">
        <v>98.51000000000001</v>
      </c>
      <c r="O2487" t="n">
        <v>29.71014492753623</v>
      </c>
    </row>
    <row r="2488" hidden="1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N2488" t="n">
        <v>98.81</v>
      </c>
      <c r="O2488" t="n">
        <v>30.71297989031079</v>
      </c>
    </row>
    <row r="2489" hidden="1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N2489" t="n">
        <v>98.48</v>
      </c>
      <c r="O2489" t="n">
        <v>29.35323383084577</v>
      </c>
    </row>
    <row r="2490" hidden="1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N2490" t="n">
        <v>98.56</v>
      </c>
      <c r="O2490" t="n">
        <v>29.37365010799136</v>
      </c>
    </row>
    <row r="2491" hidden="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N2491" t="n">
        <v>98.31999999999999</v>
      </c>
      <c r="O2491" t="n">
        <v>30.3030303030303</v>
      </c>
    </row>
    <row r="2492" hidden="1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N2492" t="n">
        <v>98.68000000000001</v>
      </c>
      <c r="O2492" t="n">
        <v>26.21951219512195</v>
      </c>
    </row>
    <row r="2493" hidden="1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N2493" t="n">
        <v>100</v>
      </c>
      <c r="O2493" t="n">
        <v>31.74224343675418</v>
      </c>
    </row>
    <row r="2494" hidden="1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N2494" t="n">
        <v>98.25</v>
      </c>
      <c r="O2494" t="n">
        <v>25.83518930957684</v>
      </c>
    </row>
    <row r="2495" hidden="1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N2495" t="n">
        <v>97.5</v>
      </c>
      <c r="O2495" t="n">
        <v>30.07518796992481</v>
      </c>
    </row>
    <row r="2496" hidden="1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N2496" t="n">
        <v>100</v>
      </c>
      <c r="O2496" t="n">
        <v>29.71311475409836</v>
      </c>
    </row>
    <row r="2497" hidden="1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N2497" t="n">
        <v>99.22</v>
      </c>
      <c r="O2497" t="n">
        <v>35.25641025641026</v>
      </c>
    </row>
    <row r="2498" hidden="1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N2498" t="n">
        <v>0</v>
      </c>
      <c r="O2498" t="n">
        <v>0</v>
      </c>
    </row>
    <row r="2499" hidden="1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N2499" t="n">
        <v>98.75</v>
      </c>
      <c r="O2499" t="n">
        <v>24.32432432432433</v>
      </c>
    </row>
    <row r="2500" hidden="1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N2500" t="n">
        <v>93.48</v>
      </c>
      <c r="O2500" t="n">
        <v>31.33462282398452</v>
      </c>
    </row>
    <row r="2501" hidden="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0</v>
      </c>
      <c r="E2501" t="n">
        <v>0</v>
      </c>
      <c r="F2501" t="n">
        <v>0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N2501" t="n">
        <v>99.16</v>
      </c>
      <c r="O2501" t="n">
        <v>26.13908872901678</v>
      </c>
    </row>
    <row r="2502" hidden="1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N2502" t="n">
        <v>100</v>
      </c>
      <c r="O2502" t="n">
        <v>31.08974358974359</v>
      </c>
    </row>
    <row r="2503" hidden="1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0</v>
      </c>
      <c r="E2503" t="n">
        <v>0</v>
      </c>
      <c r="F2503" t="n">
        <v>0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N2503" t="n">
        <v>98.11</v>
      </c>
      <c r="O2503" t="n">
        <v>33.03370786516854</v>
      </c>
    </row>
    <row r="2504" hidden="1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N2504" t="n">
        <v>78.95</v>
      </c>
      <c r="O2504" t="n">
        <v>38.98305084745763</v>
      </c>
    </row>
    <row r="2505" hidden="1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N2505" t="n">
        <v>98.45</v>
      </c>
      <c r="O2505" t="n">
        <v>29.2817679558011</v>
      </c>
    </row>
    <row r="2506" hidden="1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N2506" t="n">
        <v>97.84</v>
      </c>
      <c r="O2506" t="n">
        <v>26.28205128205128</v>
      </c>
    </row>
    <row r="2507" hidden="1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N2508" t="n">
        <v>99.28</v>
      </c>
      <c r="O2508" t="n">
        <v>27.68924302788844</v>
      </c>
    </row>
    <row r="2509" hidden="1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N2509" t="n">
        <v>98.53</v>
      </c>
      <c r="O2509" t="n">
        <v>31.57894736842105</v>
      </c>
    </row>
    <row r="2510" hidden="1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N2510" t="n">
        <v>100</v>
      </c>
      <c r="O2510" t="n">
        <v>25.72214580467676</v>
      </c>
    </row>
    <row r="2511" hidden="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N2511" t="n">
        <v>94.64</v>
      </c>
      <c r="O2511" t="n">
        <v>27.52941176470588</v>
      </c>
    </row>
    <row r="2512" hidden="1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N2512" t="n">
        <v>99.06999999999999</v>
      </c>
      <c r="O2512" t="n">
        <v>26.3768115942029</v>
      </c>
    </row>
    <row r="2513" hidden="1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N2513" t="n">
        <v>100</v>
      </c>
      <c r="O2513" t="n">
        <v>0</v>
      </c>
    </row>
    <row r="2514" hidden="1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N2514" t="n">
        <v>98.48</v>
      </c>
      <c r="O2514" t="n">
        <v>27.85388127853881</v>
      </c>
    </row>
    <row r="2515" hidden="1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N2515" t="n">
        <v>95.15000000000001</v>
      </c>
      <c r="O2515" t="n">
        <v>34.13173652694611</v>
      </c>
    </row>
    <row r="2516" hidden="1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N2516" t="n">
        <v>0</v>
      </c>
      <c r="O2516" t="n">
        <v>0</v>
      </c>
    </row>
    <row r="2517" hidden="1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N2517" t="n">
        <v>99.26000000000001</v>
      </c>
      <c r="O2517" t="n">
        <v>30.84832904884319</v>
      </c>
    </row>
    <row r="2518" hidden="1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N2518" t="n">
        <v>97.48</v>
      </c>
      <c r="O2518" t="n">
        <v>27.76470588235294</v>
      </c>
    </row>
    <row r="2519" hidden="1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0</v>
      </c>
      <c r="E2519" t="n">
        <v>0</v>
      </c>
      <c r="F2519" t="n">
        <v>0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N2519" t="n">
        <v>99.34</v>
      </c>
      <c r="O2519" t="n">
        <v>30.04291845493562</v>
      </c>
    </row>
    <row r="2520" hidden="1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N2520" t="n">
        <v>96.3</v>
      </c>
      <c r="O2520" t="n">
        <v>24.29378531073446</v>
      </c>
    </row>
    <row r="2521" hidden="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N2521" t="n">
        <v>100</v>
      </c>
      <c r="O2521" t="n">
        <v>26.54320987654321</v>
      </c>
    </row>
    <row r="2522" hidden="1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N2522" t="n">
        <v>100</v>
      </c>
      <c r="O2522" t="n">
        <v>35.48387096774194</v>
      </c>
    </row>
    <row r="2523" hidden="1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N2523" t="n">
        <v>99.27</v>
      </c>
      <c r="O2523" t="n">
        <v>31.16370808678501</v>
      </c>
    </row>
    <row r="2524" hidden="1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N2524" t="n">
        <v>94.16</v>
      </c>
      <c r="O2524" t="n">
        <v>27.03862660944206</v>
      </c>
    </row>
    <row r="2525" hidden="1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N2525" t="n">
        <v>93.75</v>
      </c>
      <c r="O2525" t="n">
        <v>19.31818181818182</v>
      </c>
    </row>
    <row r="2526" hidden="1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N2526" t="n">
        <v>0</v>
      </c>
      <c r="O2526" t="n">
        <v>0</v>
      </c>
    </row>
    <row r="2527" hidden="1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N2527" t="n">
        <v>97.92</v>
      </c>
      <c r="O2527" t="n">
        <v>32.87671232876712</v>
      </c>
    </row>
    <row r="2528" hidden="1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N2528" t="n">
        <v>0</v>
      </c>
      <c r="O2528" t="n">
        <v>0</v>
      </c>
    </row>
    <row r="2529" hidden="1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N2529" t="n">
        <v>0</v>
      </c>
      <c r="O2529" t="n">
        <v>0</v>
      </c>
    </row>
    <row r="2530" hidden="1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N2530" t="n">
        <v>0</v>
      </c>
      <c r="O2530" t="n">
        <v>0</v>
      </c>
    </row>
    <row r="2531" hidden="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N2531" t="n">
        <v>98.51000000000001</v>
      </c>
      <c r="O2531" t="n">
        <v>29.71014492753623</v>
      </c>
    </row>
    <row r="2532" hidden="1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N2532" t="n">
        <v>98.81</v>
      </c>
      <c r="O2532" t="n">
        <v>30.71297989031079</v>
      </c>
    </row>
    <row r="2533" hidden="1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N2533" t="n">
        <v>98.48</v>
      </c>
      <c r="O2533" t="n">
        <v>29.35323383084577</v>
      </c>
    </row>
    <row r="2534" hidden="1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N2534" t="n">
        <v>98.56</v>
      </c>
      <c r="O2534" t="n">
        <v>29.37365010799136</v>
      </c>
    </row>
    <row r="2535" hidden="1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N2535" t="n">
        <v>98.31999999999999</v>
      </c>
      <c r="O2535" t="n">
        <v>30.3030303030303</v>
      </c>
    </row>
    <row r="2536" hidden="1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N2536" t="n">
        <v>98.68000000000001</v>
      </c>
      <c r="O2536" t="n">
        <v>26.21951219512195</v>
      </c>
    </row>
    <row r="2537" hidden="1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N2537" t="n">
        <v>100</v>
      </c>
      <c r="O2537" t="n">
        <v>31.74224343675418</v>
      </c>
    </row>
    <row r="2538" hidden="1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N2538" t="n">
        <v>98.25</v>
      </c>
      <c r="O2538" t="n">
        <v>25.83518930957684</v>
      </c>
    </row>
    <row r="2539" hidden="1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N2539" t="n">
        <v>97.5</v>
      </c>
      <c r="O2539" t="n">
        <v>30.07518796992481</v>
      </c>
    </row>
    <row r="2540" hidden="1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N2540" t="n">
        <v>100</v>
      </c>
      <c r="O2540" t="n">
        <v>29.71311475409836</v>
      </c>
    </row>
    <row r="2541" hidden="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N2541" t="n">
        <v>99.22</v>
      </c>
      <c r="O2541" t="n">
        <v>35.25641025641026</v>
      </c>
    </row>
    <row r="2542" hidden="1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N2542" t="n">
        <v>0</v>
      </c>
      <c r="O2542" t="n">
        <v>0</v>
      </c>
    </row>
    <row r="2543" hidden="1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N2543" t="n">
        <v>98.75</v>
      </c>
      <c r="O2543" t="n">
        <v>24.32432432432433</v>
      </c>
    </row>
    <row r="2544" hidden="1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N2544" t="n">
        <v>93.48</v>
      </c>
      <c r="O2544" t="n">
        <v>31.33462282398452</v>
      </c>
    </row>
    <row r="2545" hidden="1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0</v>
      </c>
      <c r="E2545" t="n">
        <v>0</v>
      </c>
      <c r="F2545" t="n">
        <v>0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N2545" t="n">
        <v>99.16</v>
      </c>
      <c r="O2545" t="n">
        <v>26.13908872901678</v>
      </c>
    </row>
    <row r="2546" hidden="1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N2546" t="n">
        <v>100</v>
      </c>
      <c r="O2546" t="n">
        <v>31.08974358974359</v>
      </c>
    </row>
    <row r="2547" hidden="1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0</v>
      </c>
      <c r="E2547" t="n">
        <v>0</v>
      </c>
      <c r="F2547" t="n">
        <v>0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N2547" t="n">
        <v>98.11</v>
      </c>
      <c r="O2547" t="n">
        <v>33.03370786516854</v>
      </c>
    </row>
    <row r="2548" hidden="1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N2548" t="n">
        <v>78.95</v>
      </c>
      <c r="O2548" t="n">
        <v>38.98305084745763</v>
      </c>
    </row>
    <row r="2549" hidden="1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N2549" t="n">
        <v>98.45</v>
      </c>
      <c r="O2549" t="n">
        <v>29.2817679558011</v>
      </c>
    </row>
    <row r="2550" hidden="1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N2550" t="n">
        <v>97.84</v>
      </c>
      <c r="O2550" t="n">
        <v>26.28205128205128</v>
      </c>
    </row>
    <row r="2551" hidden="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N2552" t="n">
        <v>99.28</v>
      </c>
      <c r="O2552" t="n">
        <v>27.68924302788844</v>
      </c>
    </row>
    <row r="2553" hidden="1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N2553" t="n">
        <v>98.53</v>
      </c>
      <c r="O2553" t="n">
        <v>31.57894736842105</v>
      </c>
    </row>
    <row r="2554" hidden="1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N2554" t="n">
        <v>100</v>
      </c>
      <c r="O2554" t="n">
        <v>25.72214580467676</v>
      </c>
    </row>
    <row r="2555" hidden="1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N2555" t="n">
        <v>94.64</v>
      </c>
      <c r="O2555" t="n">
        <v>27.52941176470588</v>
      </c>
    </row>
    <row r="2556" hidden="1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N2556" t="n">
        <v>99.06999999999999</v>
      </c>
      <c r="O2556" t="n">
        <v>26.3768115942029</v>
      </c>
    </row>
    <row r="2557" hidden="1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N2557" t="n">
        <v>100</v>
      </c>
      <c r="O2557" t="n">
        <v>0</v>
      </c>
    </row>
    <row r="2558" hidden="1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N2558" t="n">
        <v>98.48</v>
      </c>
      <c r="O2558" t="n">
        <v>27.85388127853881</v>
      </c>
    </row>
    <row r="2559" hidden="1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N2559" t="n">
        <v>95.15000000000001</v>
      </c>
      <c r="O2559" t="n">
        <v>34.13173652694611</v>
      </c>
    </row>
    <row r="2560" hidden="1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N2560" t="n">
        <v>0</v>
      </c>
      <c r="O2560" t="n">
        <v>0</v>
      </c>
    </row>
    <row r="2561" hidden="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N2561" t="n">
        <v>99.26000000000001</v>
      </c>
      <c r="O2561" t="n">
        <v>30.84832904884319</v>
      </c>
    </row>
    <row r="2562" hidden="1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N2562" t="n">
        <v>97.48</v>
      </c>
      <c r="O2562" t="n">
        <v>27.76470588235294</v>
      </c>
    </row>
    <row r="2563" hidden="1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0</v>
      </c>
      <c r="E2563" t="n">
        <v>0</v>
      </c>
      <c r="F2563" t="n">
        <v>0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N2563" t="n">
        <v>99.34</v>
      </c>
      <c r="O2563" t="n">
        <v>30.04291845493562</v>
      </c>
    </row>
    <row r="2564" hidden="1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N2564" t="n">
        <v>96.3</v>
      </c>
      <c r="O2564" t="n">
        <v>24.29378531073446</v>
      </c>
    </row>
    <row r="2565" hidden="1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N2565" t="n">
        <v>100</v>
      </c>
      <c r="O2565" t="n">
        <v>26.54320987654321</v>
      </c>
    </row>
    <row r="2566" hidden="1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N2566" t="n">
        <v>100</v>
      </c>
      <c r="O2566" t="n">
        <v>35.48387096774194</v>
      </c>
    </row>
    <row r="2567" hidden="1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N2567" t="n">
        <v>99.27</v>
      </c>
      <c r="O2567" t="n">
        <v>31.16370808678501</v>
      </c>
    </row>
    <row r="2568" hidden="1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N2568" t="n">
        <v>94.16</v>
      </c>
      <c r="O2568" t="n">
        <v>27.03862660944206</v>
      </c>
    </row>
    <row r="2569" hidden="1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N2569" t="n">
        <v>93.75</v>
      </c>
      <c r="O2569" t="n">
        <v>19.31818181818182</v>
      </c>
    </row>
    <row r="2570" hidden="1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N2570" t="n">
        <v>0</v>
      </c>
      <c r="O2570" t="n">
        <v>0</v>
      </c>
    </row>
    <row r="2571" hidden="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N2571" t="n">
        <v>97.92</v>
      </c>
      <c r="O2571" t="n">
        <v>32.87671232876712</v>
      </c>
    </row>
    <row r="2572" hidden="1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N2572" t="n">
        <v>0</v>
      </c>
      <c r="O2572" t="n">
        <v>0</v>
      </c>
    </row>
    <row r="2573" hidden="1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N2573" t="n">
        <v>0</v>
      </c>
      <c r="O2573" t="n">
        <v>0</v>
      </c>
    </row>
    <row r="2574" hidden="1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N2574" t="n">
        <v>0</v>
      </c>
      <c r="O2574" t="n">
        <v>0</v>
      </c>
    </row>
    <row r="2575" hidden="1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N2575" t="n">
        <v>98.51000000000001</v>
      </c>
      <c r="O2575" t="n">
        <v>29.71014492753623</v>
      </c>
    </row>
    <row r="2576" hidden="1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N2576" t="n">
        <v>98.81</v>
      </c>
      <c r="O2576" t="n">
        <v>30.71297989031079</v>
      </c>
    </row>
    <row r="2577" hidden="1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N2577" t="n">
        <v>98.48</v>
      </c>
      <c r="O2577" t="n">
        <v>29.35323383084577</v>
      </c>
    </row>
    <row r="2578" hidden="1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0</v>
      </c>
      <c r="E2589" t="n">
        <v>0</v>
      </c>
      <c r="F2589" t="n">
        <v>0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0</v>
      </c>
      <c r="E2591" t="n">
        <v>0</v>
      </c>
      <c r="F2591" t="n">
        <v>0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0</v>
      </c>
      <c r="E2607" t="n">
        <v>0</v>
      </c>
      <c r="F2607" t="n">
        <v>0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0</v>
      </c>
      <c r="E2633" t="n">
        <v>0</v>
      </c>
      <c r="F2633" t="n">
        <v>0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0</v>
      </c>
      <c r="E2635" t="n">
        <v>0</v>
      </c>
      <c r="F2635" t="n">
        <v>0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0</v>
      </c>
      <c r="E2651" t="n">
        <v>0</v>
      </c>
      <c r="F2651" t="n">
        <v>0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0</v>
      </c>
      <c r="E2677" t="n">
        <v>0</v>
      </c>
      <c r="F2677" t="n">
        <v>0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0</v>
      </c>
      <c r="E2679" t="n">
        <v>0</v>
      </c>
      <c r="F2679" t="n">
        <v>0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0</v>
      </c>
      <c r="E2695" t="n">
        <v>0</v>
      </c>
      <c r="F2695" t="n">
        <v>0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0</v>
      </c>
      <c r="E2721" t="n">
        <v>0</v>
      </c>
      <c r="F2721" t="n">
        <v>0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0</v>
      </c>
      <c r="E2723" t="n">
        <v>0</v>
      </c>
      <c r="F2723" t="n">
        <v>0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0</v>
      </c>
      <c r="E2739" t="n">
        <v>0</v>
      </c>
      <c r="F2739" t="n">
        <v>0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0</v>
      </c>
      <c r="E2767" t="n">
        <v>0</v>
      </c>
      <c r="F2767" t="n">
        <v>0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0</v>
      </c>
      <c r="E2783" t="n">
        <v>0</v>
      </c>
      <c r="F2783" t="n">
        <v>0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0</v>
      </c>
      <c r="E2809" t="n">
        <v>0</v>
      </c>
      <c r="F2809" t="n">
        <v>0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0</v>
      </c>
      <c r="E2811" t="n">
        <v>0</v>
      </c>
      <c r="F2811" t="n">
        <v>0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0</v>
      </c>
      <c r="E2827" t="n">
        <v>0</v>
      </c>
      <c r="F2827" t="n">
        <v>0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0</v>
      </c>
      <c r="E2853" t="n">
        <v>0</v>
      </c>
      <c r="F2853" t="n">
        <v>0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0</v>
      </c>
      <c r="E2855" t="n">
        <v>0</v>
      </c>
      <c r="F2855" t="n">
        <v>0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0</v>
      </c>
      <c r="E2871" t="n">
        <v>0</v>
      </c>
      <c r="F2871" t="n">
        <v>0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0</v>
      </c>
      <c r="E2899" t="n">
        <v>0</v>
      </c>
      <c r="F2899" t="n">
        <v>0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0</v>
      </c>
      <c r="E2915" t="n">
        <v>0</v>
      </c>
      <c r="F2915" t="n">
        <v>0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0</v>
      </c>
      <c r="E2943" t="n">
        <v>0</v>
      </c>
      <c r="F2943" t="n">
        <v>0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0</v>
      </c>
      <c r="E2959" t="n">
        <v>0</v>
      </c>
      <c r="F2959" t="n">
        <v>0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0</v>
      </c>
      <c r="E2987" t="n">
        <v>0</v>
      </c>
      <c r="F2987" t="n">
        <v>0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0</v>
      </c>
      <c r="E3003" t="n">
        <v>0</v>
      </c>
      <c r="F3003" t="n">
        <v>0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0</v>
      </c>
      <c r="E3029" t="n">
        <v>0</v>
      </c>
      <c r="F3029" t="n">
        <v>0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0</v>
      </c>
      <c r="E3031" t="n">
        <v>0</v>
      </c>
      <c r="F3031" t="n">
        <v>0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0</v>
      </c>
      <c r="E3075" t="n">
        <v>0</v>
      </c>
      <c r="F3075" t="n">
        <v>0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0</v>
      </c>
      <c r="E3119" t="n">
        <v>0</v>
      </c>
      <c r="F3119" t="n">
        <v>0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0</v>
      </c>
      <c r="E3135" t="n">
        <v>0</v>
      </c>
      <c r="F3135" t="n">
        <v>0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0</v>
      </c>
      <c r="E3163" t="n">
        <v>0</v>
      </c>
      <c r="F3163" t="n">
        <v>0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0</v>
      </c>
      <c r="E3207" t="n">
        <v>0</v>
      </c>
      <c r="F3207" t="n">
        <v>0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0</v>
      </c>
      <c r="E3249" t="n">
        <v>0</v>
      </c>
      <c r="F3249" t="n">
        <v>0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0</v>
      </c>
      <c r="E3251" t="n">
        <v>0</v>
      </c>
      <c r="F3251" t="n">
        <v>0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0</v>
      </c>
      <c r="E3293" t="n">
        <v>0</v>
      </c>
      <c r="F3293" t="n">
        <v>0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0</v>
      </c>
      <c r="E3295" t="n">
        <v>0</v>
      </c>
      <c r="F3295" t="n">
        <v>0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N3299" t="n">
        <v>98.02</v>
      </c>
      <c r="O3299" t="n">
        <v>23.48484848484848</v>
      </c>
    </row>
    <row r="3300" hidden="1">
      <c r="A3300" s="10" t="n">
        <v>46164</v>
      </c>
      <c r="B3300" s="6" t="inlineStr">
        <is>
          <t>Francilene Ferreira de Jesus</t>
        </is>
      </c>
      <c r="C3300" s="3" t="inlineStr">
        <is>
          <t>Técnico II</t>
        </is>
      </c>
      <c r="D3300" s="3" t="n">
        <v>0</v>
      </c>
      <c r="E3300" s="3" t="n">
        <v>0</v>
      </c>
      <c r="F3300" s="3" t="n">
        <v>0</v>
      </c>
      <c r="G3300" s="3" t="n">
        <v>0</v>
      </c>
      <c r="H3300" s="3" t="n">
        <v>0</v>
      </c>
      <c r="I3300" s="3" t="n">
        <v>0</v>
      </c>
      <c r="J3300" s="3" t="n">
        <v>0</v>
      </c>
      <c r="K3300" s="3" t="n">
        <v>0</v>
      </c>
      <c r="L3300" s="3">
        <f>IF(K3300&lt;-5,"CRÍTICO",IF(K3300&lt;0,"ATENÇÃO",IF(K3300&lt;=5,"OPORTUNO","MUITO BOM")))</f>
        <v/>
      </c>
      <c r="M3300" s="3" t="n">
        <v>0</v>
      </c>
      <c r="N3300" s="3" t="n">
        <v>100</v>
      </c>
      <c r="O3300" s="3" t="n">
        <v>17.24137931034483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0</v>
      </c>
      <c r="E3337" t="n">
        <v>0</v>
      </c>
      <c r="F3337" t="n">
        <v>0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0</v>
      </c>
      <c r="E3339" t="n">
        <v>0</v>
      </c>
      <c r="F3339" t="n">
        <v>0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N3343" t="n">
        <v>98.02</v>
      </c>
      <c r="O3343" t="n">
        <v>23.48484848484848</v>
      </c>
    </row>
    <row r="3344" hidden="1">
      <c r="A3344" s="10" t="n">
        <v>46164</v>
      </c>
      <c r="B3344" s="6" t="inlineStr">
        <is>
          <t>Isabella Borges de Oliveira</t>
        </is>
      </c>
      <c r="C3344" s="3" t="inlineStr">
        <is>
          <t>Técnico II</t>
        </is>
      </c>
      <c r="D3344" s="3" t="n">
        <v>15</v>
      </c>
      <c r="E3344" s="3" t="n">
        <v>15</v>
      </c>
      <c r="F3344" s="3" t="n">
        <v>28.35</v>
      </c>
      <c r="G3344" s="3" t="n">
        <v>0</v>
      </c>
      <c r="H3344" s="3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s="3" t="n">
        <v>14</v>
      </c>
      <c r="N3344" s="3" t="n">
        <v>98.63</v>
      </c>
      <c r="O3344" s="3" t="n">
        <v>15.75757575757576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0</v>
      </c>
      <c r="E3381" t="n">
        <v>0</v>
      </c>
      <c r="F3381" t="n">
        <v>0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0</v>
      </c>
      <c r="E3383" t="n">
        <v>0</v>
      </c>
      <c r="F3383" t="n">
        <v>0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N3387" t="n">
        <v>98.02</v>
      </c>
      <c r="O3387" t="n">
        <v>23.48484848484848</v>
      </c>
    </row>
    <row r="3388" hidden="1">
      <c r="A3388" s="10" t="n">
        <v>46164</v>
      </c>
      <c r="B3388" s="6" t="inlineStr">
        <is>
          <t>Jessica Faria da Silveira</t>
        </is>
      </c>
      <c r="C3388" s="3" t="inlineStr">
        <is>
          <t>Técnico II</t>
        </is>
      </c>
      <c r="D3388" s="3" t="n">
        <v>13</v>
      </c>
      <c r="E3388" s="3" t="n">
        <v>12</v>
      </c>
      <c r="F3388" s="3" t="n">
        <v>11.42</v>
      </c>
      <c r="G3388" s="3" t="n">
        <v>1</v>
      </c>
      <c r="H3388" s="3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s="3" t="n">
        <v>10</v>
      </c>
      <c r="N3388" s="3" t="n">
        <v>98.61</v>
      </c>
      <c r="O3388" s="3" t="n">
        <v>16.97530864197531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0</v>
      </c>
      <c r="E3425" t="n">
        <v>0</v>
      </c>
      <c r="F3425" t="n">
        <v>0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N3431" t="n">
        <v>98.02</v>
      </c>
      <c r="O3431" t="n">
        <v>23.48484848484848</v>
      </c>
    </row>
    <row r="3432" hidden="1">
      <c r="A3432" s="10" t="n">
        <v>46164</v>
      </c>
      <c r="B3432" s="6" t="inlineStr">
        <is>
          <t>Lizandra Gomes Duarte</t>
        </is>
      </c>
      <c r="C3432" s="3" t="inlineStr">
        <is>
          <t>Técnico II</t>
        </is>
      </c>
      <c r="D3432" s="3" t="n">
        <v>19</v>
      </c>
      <c r="E3432" s="3" t="n">
        <v>18</v>
      </c>
      <c r="F3432" s="3" t="n">
        <v>20.48</v>
      </c>
      <c r="G3432" s="3" t="n">
        <v>1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3" t="n">
        <v>18</v>
      </c>
      <c r="N3432" s="3" t="n">
        <v>98.61</v>
      </c>
      <c r="O3432" s="3" t="n">
        <v>16.86746987951807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0</v>
      </c>
      <c r="E3471" t="n">
        <v>0</v>
      </c>
      <c r="F3471" t="n">
        <v>0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N3475" t="n">
        <v>98.02</v>
      </c>
      <c r="O3475" t="n">
        <v>23.48484848484848</v>
      </c>
    </row>
    <row r="3476" hidden="1">
      <c r="A3476" s="10" t="n">
        <v>46164</v>
      </c>
      <c r="B3476" s="6" t="inlineStr">
        <is>
          <t>Lorena Dias de Araujo</t>
        </is>
      </c>
      <c r="C3476" s="3" t="inlineStr">
        <is>
          <t>Técnico II</t>
        </is>
      </c>
      <c r="D3476" s="3" t="n">
        <v>0</v>
      </c>
      <c r="E3476" s="3" t="n">
        <v>0</v>
      </c>
      <c r="F3476" s="3" t="n">
        <v>0</v>
      </c>
      <c r="G3476" s="3" t="n">
        <v>0</v>
      </c>
      <c r="H3476" s="3" t="n">
        <v>0</v>
      </c>
      <c r="I3476" s="3" t="n">
        <v>0</v>
      </c>
      <c r="J3476" s="3" t="n">
        <v>0</v>
      </c>
      <c r="K3476" s="3" t="n">
        <v>0</v>
      </c>
      <c r="L3476" s="3">
        <f>IF(K3476&lt;-5,"CRÍTICO",IF(K3476&lt;0,"ATENÇÃO",IF(K3476&lt;=5,"OPORTUNO","MUITO BOM")))</f>
        <v/>
      </c>
      <c r="M3476" s="3" t="n">
        <v>0</v>
      </c>
      <c r="N3476" s="3" t="n">
        <v>100</v>
      </c>
      <c r="O3476" s="3" t="n">
        <v>20.82018927444795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0</v>
      </c>
      <c r="E3513" t="n">
        <v>0</v>
      </c>
      <c r="F3513" t="n">
        <v>0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0</v>
      </c>
      <c r="E3515" t="n">
        <v>0</v>
      </c>
      <c r="F3515" t="n">
        <v>0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N3519" t="n">
        <v>98.02</v>
      </c>
      <c r="O3519" t="n">
        <v>23.48484848484848</v>
      </c>
    </row>
    <row r="3520" hidden="1">
      <c r="A3520" s="10" t="n">
        <v>46164</v>
      </c>
      <c r="B3520" s="6" t="inlineStr">
        <is>
          <t>Patrícia Karla de Sousa Araújo</t>
        </is>
      </c>
      <c r="C3520" s="3" t="inlineStr">
        <is>
          <t>Técnico II</t>
        </is>
      </c>
      <c r="D3520" s="3" t="n">
        <v>17</v>
      </c>
      <c r="E3520" s="3" t="n">
        <v>17</v>
      </c>
      <c r="F3520" s="3" t="n">
        <v>22.2</v>
      </c>
      <c r="G3520" s="3" t="n">
        <v>0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12</v>
      </c>
      <c r="N3520" s="3" t="n">
        <v>100</v>
      </c>
      <c r="O3520" s="3" t="n">
        <v>16.89497716894977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0</v>
      </c>
      <c r="E3531" t="n">
        <v>0</v>
      </c>
      <c r="F3531" t="n">
        <v>0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N3548" t="n">
        <v>98.66</v>
      </c>
      <c r="O3548" t="n">
        <v>35.15625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N3549" t="n">
        <v>99.31999999999999</v>
      </c>
      <c r="O3549" t="n">
        <v>30.45186640471513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N3551" t="n">
        <v>96.73999999999999</v>
      </c>
      <c r="O3551" t="n">
        <v>28.43137254901961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N3553" t="n">
        <v>98.2</v>
      </c>
      <c r="O3553" t="n">
        <v>26.89075630252101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N3555" t="n">
        <v>96.3</v>
      </c>
      <c r="O3555" t="n">
        <v>31.98090692124105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N3556" t="n">
        <v>93.75</v>
      </c>
      <c r="O3556" t="n">
        <v>26.62835249042146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0</v>
      </c>
      <c r="E3557" t="n">
        <v>0</v>
      </c>
      <c r="F3557" t="n">
        <v>0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N3558" t="n">
        <v>100</v>
      </c>
      <c r="O3558" t="n">
        <v>36.23188405797102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N3559" t="n">
        <v>100</v>
      </c>
      <c r="O3559" t="n">
        <v>38.26923076923077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N3561" t="n">
        <v>97.83</v>
      </c>
      <c r="O3561" t="n">
        <v>28.13186813186813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N3562" t="n">
        <v>99.26000000000001</v>
      </c>
      <c r="O3562" t="n">
        <v>29.57198443579767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N3563" t="n">
        <v>99.19</v>
      </c>
      <c r="O3563" t="n">
        <v>29.46236559139785</v>
      </c>
    </row>
    <row r="3564" hidden="1">
      <c r="A3564" s="11" t="n">
        <v>46167</v>
      </c>
      <c r="B3564" t="inlineStr">
        <is>
          <t>Alisson de Freitas Silva</t>
        </is>
      </c>
      <c r="C3564" t="inlineStr">
        <is>
          <t>Técnico II</t>
        </is>
      </c>
      <c r="D3564" t="n">
        <v>34</v>
      </c>
      <c r="E3564" t="n">
        <v>30</v>
      </c>
      <c r="F3564" t="n">
        <v>10.14</v>
      </c>
      <c r="G3564" t="n">
        <v>0</v>
      </c>
      <c r="H3564" t="n">
        <v>0</v>
      </c>
      <c r="I3564" s="3" t="n">
        <v>0</v>
      </c>
      <c r="J3564" s="3" t="n">
        <v>0</v>
      </c>
      <c r="K3564" s="3" t="n">
        <v>0</v>
      </c>
      <c r="L3564" s="3">
        <f>IF(K3564&lt;-5,"CRÍTICO",IF(K3564&lt;0,"ATENÇÃO",IF(K3564&lt;=5,"OPORTUNO","MUITO BOM")))</f>
        <v/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N3565" t="n">
        <v>100</v>
      </c>
      <c r="O3565" t="n">
        <v>27.94117647058824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N3566" t="n">
        <v>99.56999999999999</v>
      </c>
      <c r="O3566" t="n">
        <v>29.91329479768786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N3567" t="n">
        <v>95.65000000000001</v>
      </c>
      <c r="O3567" t="n">
        <v>31.08108108108108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N3573" t="n">
        <v>99.15000000000001</v>
      </c>
      <c r="O3573" t="n">
        <v>27.37068965517241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0</v>
      </c>
      <c r="E3575" t="n">
        <v>0</v>
      </c>
      <c r="F3575" t="n">
        <v>0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N3580" t="n">
        <v>95.48999999999999</v>
      </c>
      <c r="O3580" t="n">
        <v>28.16901408450704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N3584" t="n">
        <v>98.84</v>
      </c>
      <c r="O3584" t="n">
        <v>31.5018315018315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N3587" t="n">
        <v>98.31999999999999</v>
      </c>
      <c r="O3587" t="n">
        <v>26.61870503597122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N3589" t="n">
        <v>100</v>
      </c>
      <c r="O3589" t="n">
        <v>26.02739726027397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N3590" t="n">
        <v>99.20999999999999</v>
      </c>
      <c r="O3590" t="n">
        <v>24.93702770780856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N3592" t="n">
        <v>98.66</v>
      </c>
      <c r="O3592" t="n">
        <v>35.15625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N3593" t="n">
        <v>99.31999999999999</v>
      </c>
      <c r="O3593" t="n">
        <v>30.45186640471513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N3595" t="n">
        <v>96.73999999999999</v>
      </c>
      <c r="O3595" t="n">
        <v>28.43137254901961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N3597" t="n">
        <v>98.2</v>
      </c>
      <c r="O3597" t="n">
        <v>26.89075630252101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N3599" t="n">
        <v>96.3</v>
      </c>
      <c r="O3599" t="n">
        <v>31.98090692124105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N3600" t="n">
        <v>93.75</v>
      </c>
      <c r="O3600" t="n">
        <v>26.62835249042146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N3602" t="n">
        <v>100</v>
      </c>
      <c r="O3602" t="n">
        <v>36.23188405797102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N3603" t="n">
        <v>100</v>
      </c>
      <c r="O3603" t="n">
        <v>38.26923076923077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N3605" t="n">
        <v>97.83</v>
      </c>
      <c r="O3605" t="n">
        <v>28.13186813186813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N3606" t="n">
        <v>99.26000000000001</v>
      </c>
      <c r="O3606" t="n">
        <v>29.57198443579767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N3607" t="n">
        <v>99.19</v>
      </c>
      <c r="O3607" t="n">
        <v>29.46236559139785</v>
      </c>
    </row>
    <row r="3608" hidden="1">
      <c r="A3608" s="11" t="n">
        <v>46167</v>
      </c>
      <c r="B3608" t="inlineStr">
        <is>
          <t>Brenda de Menezes Silva</t>
        </is>
      </c>
      <c r="C3608" t="inlineStr">
        <is>
          <t>Técnico II</t>
        </is>
      </c>
      <c r="D3608" t="n">
        <v>35</v>
      </c>
      <c r="E3608" t="n">
        <v>31</v>
      </c>
      <c r="F3608" t="n">
        <v>10.11</v>
      </c>
      <c r="G3608" t="n">
        <v>0</v>
      </c>
      <c r="H3608" t="n">
        <v>0</v>
      </c>
      <c r="I3608" s="3" t="n">
        <v>0</v>
      </c>
      <c r="J3608" s="3" t="n">
        <v>0</v>
      </c>
      <c r="K3608" s="3" t="n">
        <v>0</v>
      </c>
      <c r="L3608" s="3">
        <f>IF(K3608&lt;-5,"CRÍTICO",IF(K3608&lt;0,"ATENÇÃO",IF(K3608&lt;=5,"OPORTUNO","MUITO BOM")))</f>
        <v/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N3609" t="n">
        <v>100</v>
      </c>
      <c r="O3609" t="n">
        <v>27.94117647058824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N3610" t="n">
        <v>99.56999999999999</v>
      </c>
      <c r="O3610" t="n">
        <v>29.91329479768786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N3611" t="n">
        <v>95.65000000000001</v>
      </c>
      <c r="O3611" t="n">
        <v>31.08108108108108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N3617" t="n">
        <v>99.15000000000001</v>
      </c>
      <c r="O3617" t="n">
        <v>27.37068965517241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N3624" t="n">
        <v>95.48999999999999</v>
      </c>
      <c r="O3624" t="n">
        <v>28.16901408450704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N3628" t="n">
        <v>98.84</v>
      </c>
      <c r="O3628" t="n">
        <v>31.5018315018315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N3631" t="n">
        <v>98.31999999999999</v>
      </c>
      <c r="O3631" t="n">
        <v>26.61870503597122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N3633" t="n">
        <v>100</v>
      </c>
      <c r="O3633" t="n">
        <v>26.02739726027397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N3634" t="n">
        <v>99.20999999999999</v>
      </c>
      <c r="O3634" t="n">
        <v>24.93702770780856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N3636" t="n">
        <v>98.66</v>
      </c>
      <c r="O3636" t="n">
        <v>35.15625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N3637" t="n">
        <v>99.31999999999999</v>
      </c>
      <c r="O3637" t="n">
        <v>30.45186640471513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N3639" t="n">
        <v>96.73999999999999</v>
      </c>
      <c r="O3639" t="n">
        <v>28.43137254901961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N3641" t="n">
        <v>98.2</v>
      </c>
      <c r="O3641" t="n">
        <v>26.89075630252101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N3643" t="n">
        <v>96.3</v>
      </c>
      <c r="O3643" t="n">
        <v>31.98090692124105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N3644" t="n">
        <v>93.75</v>
      </c>
      <c r="O3644" t="n">
        <v>26.62835249042146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N3646" t="n">
        <v>100</v>
      </c>
      <c r="O3646" t="n">
        <v>36.23188405797102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N3647" t="n">
        <v>100</v>
      </c>
      <c r="O3647" t="n">
        <v>38.26923076923077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N3649" t="n">
        <v>97.83</v>
      </c>
      <c r="O3649" t="n">
        <v>28.13186813186813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N3650" t="n">
        <v>99.26000000000001</v>
      </c>
      <c r="O3650" t="n">
        <v>29.57198443579767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N3651" t="n">
        <v>99.19</v>
      </c>
      <c r="O3651" t="n">
        <v>29.46236559139785</v>
      </c>
    </row>
    <row r="3652" hidden="1">
      <c r="A3652" s="11" t="n">
        <v>46167</v>
      </c>
      <c r="B3652" t="inlineStr">
        <is>
          <t>Carlos Mateus Cassimiro Nunes</t>
        </is>
      </c>
      <c r="C3652" t="inlineStr">
        <is>
          <t>Técnico II</t>
        </is>
      </c>
      <c r="D3652" t="n">
        <v>23</v>
      </c>
      <c r="E3652" t="n">
        <v>23</v>
      </c>
      <c r="F3652" t="n">
        <v>20.51</v>
      </c>
      <c r="G3652" t="n">
        <v>0</v>
      </c>
      <c r="H3652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N3653" t="n">
        <v>100</v>
      </c>
      <c r="O3653" t="n">
        <v>27.94117647058824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N3654" t="n">
        <v>99.56999999999999</v>
      </c>
      <c r="O3654" t="n">
        <v>29.91329479768786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N3655" t="n">
        <v>95.65000000000001</v>
      </c>
      <c r="O3655" t="n">
        <v>31.08108108108108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N3661" t="n">
        <v>99.15000000000001</v>
      </c>
      <c r="O3661" t="n">
        <v>27.37068965517241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N3668" t="n">
        <v>95.48999999999999</v>
      </c>
      <c r="O3668" t="n">
        <v>28.16901408450704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N3672" t="n">
        <v>98.84</v>
      </c>
      <c r="O3672" t="n">
        <v>31.5018315018315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N3675" t="n">
        <v>98.31999999999999</v>
      </c>
      <c r="O3675" t="n">
        <v>26.61870503597122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N3677" t="n">
        <v>100</v>
      </c>
      <c r="O3677" t="n">
        <v>26.02739726027397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N3678" t="n">
        <v>99.20999999999999</v>
      </c>
      <c r="O3678" t="n">
        <v>24.93702770780856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N3680" t="n">
        <v>98.66</v>
      </c>
      <c r="O3680" t="n">
        <v>35.15625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N3681" t="n">
        <v>99.31999999999999</v>
      </c>
      <c r="O3681" t="n">
        <v>30.45186640471513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N3683" t="n">
        <v>96.73999999999999</v>
      </c>
      <c r="O3683" t="n">
        <v>28.43137254901961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N3685" t="n">
        <v>98.2</v>
      </c>
      <c r="O3685" t="n">
        <v>26.89075630252101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N3687" t="n">
        <v>96.3</v>
      </c>
      <c r="O3687" t="n">
        <v>31.98090692124105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N3688" t="n">
        <v>93.75</v>
      </c>
      <c r="O3688" t="n">
        <v>26.62835249042146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N3690" t="n">
        <v>100</v>
      </c>
      <c r="O3690" t="n">
        <v>36.23188405797102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N3691" t="n">
        <v>100</v>
      </c>
      <c r="O3691" t="n">
        <v>38.26923076923077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N3693" t="n">
        <v>97.83</v>
      </c>
      <c r="O3693" t="n">
        <v>28.13186813186813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N3694" t="n">
        <v>99.26000000000001</v>
      </c>
      <c r="O3694" t="n">
        <v>29.57198443579767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N3695" t="n">
        <v>99.19</v>
      </c>
      <c r="O3695" t="n">
        <v>29.46236559139785</v>
      </c>
    </row>
    <row r="3696" hidden="1">
      <c r="A3696" s="11" t="n">
        <v>46167</v>
      </c>
      <c r="B3696" t="inlineStr">
        <is>
          <t>Damyllis Lorraine de Oliveira Gonçalves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N3697" t="n">
        <v>100</v>
      </c>
      <c r="O3697" t="n">
        <v>27.94117647058824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N3698" t="n">
        <v>99.56999999999999</v>
      </c>
      <c r="O3698" t="n">
        <v>29.91329479768786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N3699" t="n">
        <v>95.65000000000001</v>
      </c>
      <c r="O3699" t="n">
        <v>31.08108108108108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N3705" t="n">
        <v>99.15000000000001</v>
      </c>
      <c r="O3705" t="n">
        <v>27.37068965517241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N3712" t="n">
        <v>95.48999999999999</v>
      </c>
      <c r="O3712" t="n">
        <v>28.16901408450704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N3716" t="n">
        <v>98.84</v>
      </c>
      <c r="O3716" t="n">
        <v>31.5018315018315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N3719" t="n">
        <v>98.31999999999999</v>
      </c>
      <c r="O3719" t="n">
        <v>26.61870503597122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N3721" t="n">
        <v>100</v>
      </c>
      <c r="O3721" t="n">
        <v>26.02739726027397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N3722" t="n">
        <v>99.20999999999999</v>
      </c>
      <c r="O3722" t="n">
        <v>24.93702770780856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N3724" t="n">
        <v>98.66</v>
      </c>
      <c r="O3724" t="n">
        <v>35.15625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N3725" t="n">
        <v>99.31999999999999</v>
      </c>
      <c r="O3725" t="n">
        <v>30.45186640471513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N3727" t="n">
        <v>96.73999999999999</v>
      </c>
      <c r="O3727" t="n">
        <v>28.43137254901961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N3729" t="n">
        <v>98.2</v>
      </c>
      <c r="O3729" t="n">
        <v>26.89075630252101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N3731" t="n">
        <v>96.3</v>
      </c>
      <c r="O3731" t="n">
        <v>31.98090692124105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N3732" t="n">
        <v>93.75</v>
      </c>
      <c r="O3732" t="n">
        <v>26.62835249042146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N3734" t="n">
        <v>100</v>
      </c>
      <c r="O3734" t="n">
        <v>36.23188405797102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N3735" t="n">
        <v>100</v>
      </c>
      <c r="O3735" t="n">
        <v>38.26923076923077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N3737" t="n">
        <v>97.83</v>
      </c>
      <c r="O3737" t="n">
        <v>28.13186813186813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N3738" t="n">
        <v>99.26000000000001</v>
      </c>
      <c r="O3738" t="n">
        <v>29.57198443579767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N3739" t="n">
        <v>99.19</v>
      </c>
      <c r="O3739" t="n">
        <v>29.46236559139785</v>
      </c>
    </row>
    <row r="3740" hidden="1">
      <c r="A3740" s="11" t="n">
        <v>46167</v>
      </c>
      <c r="B3740" t="inlineStr">
        <is>
          <t>Emilly Kamilly Medeiros Miranda</t>
        </is>
      </c>
      <c r="C3740" t="inlineStr">
        <is>
          <t>Técnico II</t>
        </is>
      </c>
      <c r="D3740" t="n">
        <v>23</v>
      </c>
      <c r="E3740" t="n">
        <v>21</v>
      </c>
      <c r="F3740" t="n">
        <v>13.4</v>
      </c>
      <c r="G3740" t="n">
        <v>0</v>
      </c>
      <c r="H3740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N3741" t="n">
        <v>100</v>
      </c>
      <c r="O3741" t="n">
        <v>27.94117647058824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N3742" t="n">
        <v>99.56999999999999</v>
      </c>
      <c r="O3742" t="n">
        <v>29.91329479768786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N3743" t="n">
        <v>95.65000000000001</v>
      </c>
      <c r="O3743" t="n">
        <v>31.08108108108108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N3749" t="n">
        <v>99.15000000000001</v>
      </c>
      <c r="O3749" t="n">
        <v>27.37068965517241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N3756" t="n">
        <v>95.48999999999999</v>
      </c>
      <c r="O3756" t="n">
        <v>28.16901408450704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N3760" t="n">
        <v>98.84</v>
      </c>
      <c r="O3760" t="n">
        <v>31.5018315018315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N3763" t="n">
        <v>98.31999999999999</v>
      </c>
      <c r="O3763" t="n">
        <v>26.61870503597122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N3765" t="n">
        <v>100</v>
      </c>
      <c r="O3765" t="n">
        <v>26.02739726027397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N3766" t="n">
        <v>99.20999999999999</v>
      </c>
      <c r="O3766" t="n">
        <v>24.93702770780856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N3768" t="n">
        <v>98.66</v>
      </c>
      <c r="O3768" t="n">
        <v>35.15625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N3769" t="n">
        <v>99.31999999999999</v>
      </c>
      <c r="O3769" t="n">
        <v>30.45186640471513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N3771" t="n">
        <v>96.73999999999999</v>
      </c>
      <c r="O3771" t="n">
        <v>28.43137254901961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N3773" t="n">
        <v>98.2</v>
      </c>
      <c r="O3773" t="n">
        <v>26.89075630252101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N3775" t="n">
        <v>96.3</v>
      </c>
      <c r="O3775" t="n">
        <v>31.98090692124105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N3776" t="n">
        <v>93.75</v>
      </c>
      <c r="O3776" t="n">
        <v>26.62835249042146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N3778" t="n">
        <v>100</v>
      </c>
      <c r="O3778" t="n">
        <v>36.23188405797102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N3779" t="n">
        <v>100</v>
      </c>
      <c r="O3779" t="n">
        <v>38.26923076923077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N3781" t="n">
        <v>97.83</v>
      </c>
      <c r="O3781" t="n">
        <v>28.13186813186813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N3782" t="n">
        <v>99.26000000000001</v>
      </c>
      <c r="O3782" t="n">
        <v>29.57198443579767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N3783" t="n">
        <v>99.19</v>
      </c>
      <c r="O3783" t="n">
        <v>29.46236559139785</v>
      </c>
    </row>
    <row r="3784" hidden="1">
      <c r="A3784" s="11" t="n">
        <v>46167</v>
      </c>
      <c r="B3784" t="inlineStr">
        <is>
          <t>Francilene Ferreira de Jesus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N3785" t="n">
        <v>100</v>
      </c>
      <c r="O3785" t="n">
        <v>27.94117647058824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N3786" t="n">
        <v>99.56999999999999</v>
      </c>
      <c r="O3786" t="n">
        <v>29.91329479768786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N3787" t="n">
        <v>95.65000000000001</v>
      </c>
      <c r="O3787" t="n">
        <v>31.08108108108108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N3793" t="n">
        <v>99.15000000000001</v>
      </c>
      <c r="O3793" t="n">
        <v>27.37068965517241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N3800" t="n">
        <v>95.48999999999999</v>
      </c>
      <c r="O3800" t="n">
        <v>28.16901408450704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N3804" t="n">
        <v>98.84</v>
      </c>
      <c r="O3804" t="n">
        <v>31.5018315018315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N3807" t="n">
        <v>98.31999999999999</v>
      </c>
      <c r="O3807" t="n">
        <v>26.61870503597122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N3809" t="n">
        <v>100</v>
      </c>
      <c r="O3809" t="n">
        <v>26.02739726027397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N3810" t="n">
        <v>99.20999999999999</v>
      </c>
      <c r="O3810" t="n">
        <v>24.93702770780856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N3812" t="n">
        <v>98.66</v>
      </c>
      <c r="O3812" t="n">
        <v>35.15625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N3813" t="n">
        <v>99.31999999999999</v>
      </c>
      <c r="O3813" t="n">
        <v>30.45186640471513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N3815" t="n">
        <v>96.73999999999999</v>
      </c>
      <c r="O3815" t="n">
        <v>28.43137254901961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N3817" t="n">
        <v>98.2</v>
      </c>
      <c r="O3817" t="n">
        <v>26.89075630252101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N3819" t="n">
        <v>96.3</v>
      </c>
      <c r="O3819" t="n">
        <v>31.98090692124105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N3820" t="n">
        <v>93.75</v>
      </c>
      <c r="O3820" t="n">
        <v>26.62835249042146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N3822" t="n">
        <v>100</v>
      </c>
      <c r="O3822" t="n">
        <v>36.23188405797102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N3823" t="n">
        <v>100</v>
      </c>
      <c r="O3823" t="n">
        <v>38.26923076923077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N3825" t="n">
        <v>97.83</v>
      </c>
      <c r="O3825" t="n">
        <v>28.13186813186813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N3826" t="n">
        <v>99.26000000000001</v>
      </c>
      <c r="O3826" t="n">
        <v>29.57198443579767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N3827" t="n">
        <v>99.19</v>
      </c>
      <c r="O3827" t="n">
        <v>29.46236559139785</v>
      </c>
    </row>
    <row r="3828" hidden="1">
      <c r="A3828" s="11" t="n">
        <v>46167</v>
      </c>
      <c r="B3828" t="inlineStr">
        <is>
          <t>Isabella Borges de Oliveira</t>
        </is>
      </c>
      <c r="C3828" t="inlineStr">
        <is>
          <t>Técnico II</t>
        </is>
      </c>
      <c r="D3828" t="n">
        <v>27</v>
      </c>
      <c r="E3828" t="n">
        <v>23</v>
      </c>
      <c r="F3828" t="n">
        <v>15.42</v>
      </c>
      <c r="G3828" t="n">
        <v>0</v>
      </c>
      <c r="H3828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N3829" t="n">
        <v>100</v>
      </c>
      <c r="O3829" t="n">
        <v>27.94117647058824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N3830" t="n">
        <v>99.56999999999999</v>
      </c>
      <c r="O3830" t="n">
        <v>29.91329479768786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N3831" t="n">
        <v>95.65000000000001</v>
      </c>
      <c r="O3831" t="n">
        <v>31.08108108108108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N3837" t="n">
        <v>99.15000000000001</v>
      </c>
      <c r="O3837" t="n">
        <v>27.37068965517241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N3844" t="n">
        <v>95.48999999999999</v>
      </c>
      <c r="O3844" t="n">
        <v>28.16901408450704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N3848" t="n">
        <v>98.84</v>
      </c>
      <c r="O3848" t="n">
        <v>31.5018315018315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N3851" t="n">
        <v>98.31999999999999</v>
      </c>
      <c r="O3851" t="n">
        <v>26.61870503597122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N3853" t="n">
        <v>100</v>
      </c>
      <c r="O3853" t="n">
        <v>26.02739726027397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N3854" t="n">
        <v>99.20999999999999</v>
      </c>
      <c r="O3854" t="n">
        <v>24.93702770780856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N3856" t="n">
        <v>98.66</v>
      </c>
      <c r="O3856" t="n">
        <v>35.15625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N3857" t="n">
        <v>99.31999999999999</v>
      </c>
      <c r="O3857" t="n">
        <v>30.45186640471513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N3859" t="n">
        <v>96.73999999999999</v>
      </c>
      <c r="O3859" t="n">
        <v>28.43137254901961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N3861" t="n">
        <v>98.2</v>
      </c>
      <c r="O3861" t="n">
        <v>26.89075630252101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N3863" t="n">
        <v>96.3</v>
      </c>
      <c r="O3863" t="n">
        <v>31.98090692124105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N3864" t="n">
        <v>93.75</v>
      </c>
      <c r="O3864" t="n">
        <v>26.62835249042146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N3866" t="n">
        <v>100</v>
      </c>
      <c r="O3866" t="n">
        <v>36.23188405797102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N3867" t="n">
        <v>100</v>
      </c>
      <c r="O3867" t="n">
        <v>38.26923076923077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N3869" t="n">
        <v>97.83</v>
      </c>
      <c r="O3869" t="n">
        <v>28.13186813186813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N3870" t="n">
        <v>99.26000000000001</v>
      </c>
      <c r="O3870" t="n">
        <v>29.57198443579767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N3871" t="n">
        <v>99.19</v>
      </c>
      <c r="O3871" t="n">
        <v>29.46236559139785</v>
      </c>
    </row>
    <row r="3872" hidden="1">
      <c r="A3872" s="11" t="n">
        <v>46167</v>
      </c>
      <c r="B3872" t="inlineStr">
        <is>
          <t>Jessica Faria da Silveira</t>
        </is>
      </c>
      <c r="C3872" t="inlineStr">
        <is>
          <t>Técnico II</t>
        </is>
      </c>
      <c r="D3872" t="n">
        <v>21</v>
      </c>
      <c r="E3872" t="n">
        <v>17</v>
      </c>
      <c r="F3872" t="n">
        <v>17.19</v>
      </c>
      <c r="G3872" t="n">
        <v>0</v>
      </c>
      <c r="H3872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N3873" t="n">
        <v>100</v>
      </c>
      <c r="O3873" t="n">
        <v>27.94117647058824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N3874" t="n">
        <v>99.56999999999999</v>
      </c>
      <c r="O3874" t="n">
        <v>29.91329479768786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N3875" t="n">
        <v>95.65000000000001</v>
      </c>
      <c r="O3875" t="n">
        <v>31.08108108108108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N3881" t="n">
        <v>99.15000000000001</v>
      </c>
      <c r="O3881" t="n">
        <v>27.37068965517241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N3888" t="n">
        <v>95.48999999999999</v>
      </c>
      <c r="O3888" t="n">
        <v>28.16901408450704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N3892" t="n">
        <v>98.84</v>
      </c>
      <c r="O3892" t="n">
        <v>31.5018315018315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N3895" t="n">
        <v>98.31999999999999</v>
      </c>
      <c r="O3895" t="n">
        <v>26.61870503597122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N3897" t="n">
        <v>100</v>
      </c>
      <c r="O3897" t="n">
        <v>26.02739726027397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N3898" t="n">
        <v>99.20999999999999</v>
      </c>
      <c r="O3898" t="n">
        <v>24.93702770780856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N3900" t="n">
        <v>98.66</v>
      </c>
      <c r="O3900" t="n">
        <v>35.15625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N3901" t="n">
        <v>99.31999999999999</v>
      </c>
      <c r="O3901" t="n">
        <v>30.45186640471513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N3903" t="n">
        <v>96.73999999999999</v>
      </c>
      <c r="O3903" t="n">
        <v>28.43137254901961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N3905" t="n">
        <v>98.2</v>
      </c>
      <c r="O3905" t="n">
        <v>26.89075630252101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N3907" t="n">
        <v>96.3</v>
      </c>
      <c r="O3907" t="n">
        <v>31.98090692124105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N3908" t="n">
        <v>93.75</v>
      </c>
      <c r="O3908" t="n">
        <v>26.62835249042146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N3910" t="n">
        <v>100</v>
      </c>
      <c r="O3910" t="n">
        <v>36.23188405797102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N3911" t="n">
        <v>100</v>
      </c>
      <c r="O3911" t="n">
        <v>38.26923076923077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N3913" t="n">
        <v>97.83</v>
      </c>
      <c r="O3913" t="n">
        <v>28.13186813186813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N3914" t="n">
        <v>99.26000000000001</v>
      </c>
      <c r="O3914" t="n">
        <v>29.57198443579767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N3915" t="n">
        <v>99.19</v>
      </c>
      <c r="O3915" t="n">
        <v>29.46236559139785</v>
      </c>
    </row>
    <row r="3916" hidden="1">
      <c r="A3916" s="11" t="n">
        <v>46167</v>
      </c>
      <c r="B3916" t="inlineStr">
        <is>
          <t>Lizandra Gomes Duarte</t>
        </is>
      </c>
      <c r="C3916" t="inlineStr">
        <is>
          <t>Técnico II</t>
        </is>
      </c>
      <c r="D3916" t="n">
        <v>24</v>
      </c>
      <c r="E3916" t="n">
        <v>24</v>
      </c>
      <c r="F3916" t="n">
        <v>20.36</v>
      </c>
      <c r="G3916" t="n">
        <v>0</v>
      </c>
      <c r="H3916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N3917" t="n">
        <v>100</v>
      </c>
      <c r="O3917" t="n">
        <v>27.94117647058824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N3918" t="n">
        <v>99.56999999999999</v>
      </c>
      <c r="O3918" t="n">
        <v>29.91329479768786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N3919" t="n">
        <v>95.65000000000001</v>
      </c>
      <c r="O3919" t="n">
        <v>31.08108108108108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N3925" t="n">
        <v>99.15000000000001</v>
      </c>
      <c r="O3925" t="n">
        <v>27.37068965517241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N3932" t="n">
        <v>95.48999999999999</v>
      </c>
      <c r="O3932" t="n">
        <v>28.16901408450704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N3936" t="n">
        <v>98.84</v>
      </c>
      <c r="O3936" t="n">
        <v>31.5018315018315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N3939" t="n">
        <v>98.31999999999999</v>
      </c>
      <c r="O3939" t="n">
        <v>26.61870503597122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N3941" t="n">
        <v>100</v>
      </c>
      <c r="O3941" t="n">
        <v>26.02739726027397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N3942" t="n">
        <v>99.20999999999999</v>
      </c>
      <c r="O3942" t="n">
        <v>24.93702770780856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N3944" t="n">
        <v>98.66</v>
      </c>
      <c r="O3944" t="n">
        <v>35.15625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N3945" t="n">
        <v>99.31999999999999</v>
      </c>
      <c r="O3945" t="n">
        <v>30.45186640471513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N3947" t="n">
        <v>96.73999999999999</v>
      </c>
      <c r="O3947" t="n">
        <v>28.43137254901961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N3949" t="n">
        <v>98.2</v>
      </c>
      <c r="O3949" t="n">
        <v>26.89075630252101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N3951" t="n">
        <v>96.3</v>
      </c>
      <c r="O3951" t="n">
        <v>31.98090692124105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N3952" t="n">
        <v>93.75</v>
      </c>
      <c r="O3952" t="n">
        <v>26.62835249042146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N3954" t="n">
        <v>100</v>
      </c>
      <c r="O3954" t="n">
        <v>36.23188405797102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N3955" t="n">
        <v>100</v>
      </c>
      <c r="O3955" t="n">
        <v>38.26923076923077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N3957" t="n">
        <v>97.83</v>
      </c>
      <c r="O3957" t="n">
        <v>28.13186813186813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N3958" t="n">
        <v>99.26000000000001</v>
      </c>
      <c r="O3958" t="n">
        <v>29.57198443579767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N3959" t="n">
        <v>99.19</v>
      </c>
      <c r="O3959" t="n">
        <v>29.46236559139785</v>
      </c>
    </row>
    <row r="3960" hidden="1">
      <c r="A3960" s="11" t="n">
        <v>46167</v>
      </c>
      <c r="B3960" t="inlineStr">
        <is>
          <t>Lorena Dias de Araujo</t>
        </is>
      </c>
      <c r="C3960" t="inlineStr">
        <is>
          <t>Técnico II</t>
        </is>
      </c>
      <c r="D3960" t="n">
        <v>19</v>
      </c>
      <c r="E3960" t="n">
        <v>15</v>
      </c>
      <c r="F3960" t="n">
        <v>24.06</v>
      </c>
      <c r="G3960" t="n">
        <v>0</v>
      </c>
      <c r="H3960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N3961" t="n">
        <v>100</v>
      </c>
      <c r="O3961" t="n">
        <v>27.94117647058824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N3962" t="n">
        <v>99.56999999999999</v>
      </c>
      <c r="O3962" t="n">
        <v>29.91329479768786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N3963" t="n">
        <v>95.65000000000001</v>
      </c>
      <c r="O3963" t="n">
        <v>31.08108108108108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N3969" t="n">
        <v>99.15000000000001</v>
      </c>
      <c r="O3969" t="n">
        <v>27.37068965517241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N3976" t="n">
        <v>95.48999999999999</v>
      </c>
      <c r="O3976" t="n">
        <v>28.16901408450704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N3980" t="n">
        <v>98.84</v>
      </c>
      <c r="O3980" t="n">
        <v>31.5018315018315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N3983" t="n">
        <v>98.31999999999999</v>
      </c>
      <c r="O3983" t="n">
        <v>26.61870503597122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N3985" t="n">
        <v>100</v>
      </c>
      <c r="O3985" t="n">
        <v>26.02739726027397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N3986" t="n">
        <v>99.20999999999999</v>
      </c>
      <c r="O3986" t="n">
        <v>24.93702770780856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N3988" t="n">
        <v>98.66</v>
      </c>
      <c r="O3988" t="n">
        <v>35.15625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N3989" t="n">
        <v>99.31999999999999</v>
      </c>
      <c r="O3989" t="n">
        <v>30.45186640471513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N3991" t="n">
        <v>96.73999999999999</v>
      </c>
      <c r="O3991" t="n">
        <v>28.43137254901961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N3993" t="n">
        <v>98.2</v>
      </c>
      <c r="O3993" t="n">
        <v>26.89075630252101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N3995" t="n">
        <v>96.3</v>
      </c>
      <c r="O3995" t="n">
        <v>31.98090692124105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N3996" t="n">
        <v>93.75</v>
      </c>
      <c r="O3996" t="n">
        <v>26.62835249042146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N3998" t="n">
        <v>100</v>
      </c>
      <c r="O3998" t="n">
        <v>36.23188405797102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N3999" t="n">
        <v>100</v>
      </c>
      <c r="O3999" t="n">
        <v>38.26923076923077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N4001" t="n">
        <v>97.83</v>
      </c>
      <c r="O4001" t="n">
        <v>28.13186813186813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N4002" t="n">
        <v>99.26000000000001</v>
      </c>
      <c r="O4002" t="n">
        <v>29.57198443579767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N4003" t="n">
        <v>99.19</v>
      </c>
      <c r="O4003" t="n">
        <v>29.46236559139785</v>
      </c>
    </row>
    <row r="4004" hidden="1">
      <c r="A4004" s="11" t="n">
        <v>46167</v>
      </c>
      <c r="B4004" t="inlineStr">
        <is>
          <t>Patrícia Karla de Sousa Araújo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N4005" t="n">
        <v>100</v>
      </c>
      <c r="O4005" t="n">
        <v>27.94117647058824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N4006" t="n">
        <v>99.56999999999999</v>
      </c>
      <c r="O4006" t="n">
        <v>29.91329479768786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N4007" t="n">
        <v>95.65000000000001</v>
      </c>
      <c r="O4007" t="n">
        <v>31.08108108108108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N4013" t="n">
        <v>99.15000000000001</v>
      </c>
      <c r="O4013" t="n">
        <v>27.37068965517241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N4020" t="n">
        <v>95.48999999999999</v>
      </c>
      <c r="O4020" t="n">
        <v>28.16901408450704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N4024" t="n">
        <v>98.84</v>
      </c>
      <c r="O4024" t="n">
        <v>31.5018315018315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N4027" t="n">
        <v>98.31999999999999</v>
      </c>
      <c r="O4027" t="n">
        <v>26.61870503597122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N4029" t="n">
        <v>100</v>
      </c>
      <c r="O4029" t="n">
        <v>26.02739726027397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N4030" t="n">
        <v>99.20999999999999</v>
      </c>
      <c r="O4030" t="n">
        <v>24.93702770780856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N4032" t="n">
        <v>98.66</v>
      </c>
      <c r="O4032" t="n">
        <v>35.15625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N4033" t="n">
        <v>99.31999999999999</v>
      </c>
      <c r="O4033" t="n">
        <v>30.45186640471513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N4035" t="n">
        <v>96.73999999999999</v>
      </c>
      <c r="O4035" t="n">
        <v>28.43137254901961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N4037" t="n">
        <v>98.2</v>
      </c>
      <c r="O4037" t="n">
        <v>26.89075630252101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N4039" t="n">
        <v>96.3</v>
      </c>
      <c r="O4039" t="n">
        <v>31.98090692124105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N4040" t="n">
        <v>93.75</v>
      </c>
      <c r="O4040" t="n">
        <v>26.62835249042146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N4042" t="n">
        <v>100</v>
      </c>
      <c r="O4042" t="n">
        <v>36.23188405797102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N4043" t="n">
        <v>100</v>
      </c>
      <c r="O4043" t="n">
        <v>38.26923076923077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N4045" t="n">
        <v>97.83</v>
      </c>
      <c r="O4045" t="n">
        <v>28.13186813186813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N4046" t="n">
        <v>99.26000000000001</v>
      </c>
      <c r="O4046" t="n">
        <v>29.57198443579767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N4047" t="n">
        <v>99.19</v>
      </c>
      <c r="O4047" t="n">
        <v>29.46236559139785</v>
      </c>
    </row>
    <row r="4048" hidden="1">
      <c r="A4048" s="11" t="n">
        <v>46140</v>
      </c>
      <c r="B4048" t="inlineStr">
        <is>
          <t>Alisson de Freitas Silva</t>
        </is>
      </c>
      <c r="C4048" t="inlineStr">
        <is>
          <t>Técnico II</t>
        </is>
      </c>
      <c r="D4048" t="n">
        <v>53</v>
      </c>
      <c r="E4048" t="n">
        <v>46</v>
      </c>
      <c r="F4048" t="n">
        <v>10.58</v>
      </c>
      <c r="G4048" t="n">
        <v>0</v>
      </c>
      <c r="H4048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N4048" t="n">
        <v>100</v>
      </c>
      <c r="O4048" t="n">
        <v>32.76450511945392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N4049" t="n">
        <v>100</v>
      </c>
      <c r="O4049" t="n">
        <v>27.94117647058824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N4050" t="n">
        <v>99.56999999999999</v>
      </c>
      <c r="O4050" t="n">
        <v>29.91329479768786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N4051" t="n">
        <v>95.65000000000001</v>
      </c>
      <c r="O4051" t="n">
        <v>31.08108108108108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N4057" t="n">
        <v>99.15000000000001</v>
      </c>
      <c r="O4057" t="n">
        <v>27.37068965517241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N4064" t="n">
        <v>95.48999999999999</v>
      </c>
      <c r="O4064" t="n">
        <v>28.16901408450704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N4068" t="n">
        <v>98.84</v>
      </c>
      <c r="O4068" t="n">
        <v>31.5018315018315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N4071" t="n">
        <v>98.31999999999999</v>
      </c>
      <c r="O4071" t="n">
        <v>26.61870503597122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N4073" t="n">
        <v>100</v>
      </c>
      <c r="O4073" t="n">
        <v>26.02739726027397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N4074" t="n">
        <v>99.20999999999999</v>
      </c>
      <c r="O4074" t="n">
        <v>24.93702770780856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N4076" t="n">
        <v>98.66</v>
      </c>
      <c r="O4076" t="n">
        <v>35.15625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N4077" t="n">
        <v>99.31999999999999</v>
      </c>
      <c r="O4077" t="n">
        <v>30.45186640471513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N4079" t="n">
        <v>96.73999999999999</v>
      </c>
      <c r="O4079" t="n">
        <v>28.43137254901961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N4081" t="n">
        <v>98.2</v>
      </c>
      <c r="O4081" t="n">
        <v>26.89075630252101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N4083" t="n">
        <v>96.3</v>
      </c>
      <c r="O4083" t="n">
        <v>31.98090692124105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N4084" t="n">
        <v>93.75</v>
      </c>
      <c r="O4084" t="n">
        <v>26.62835249042146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N4086" t="n">
        <v>100</v>
      </c>
      <c r="O4086" t="n">
        <v>36.23188405797102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N4087" t="n">
        <v>100</v>
      </c>
      <c r="O4087" t="n">
        <v>38.26923076923077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N4089" t="n">
        <v>97.83</v>
      </c>
      <c r="O4089" t="n">
        <v>28.13186813186813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N4090" t="n">
        <v>99.26000000000001</v>
      </c>
      <c r="O4090" t="n">
        <v>29.57198443579767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N4091" t="n">
        <v>99.19</v>
      </c>
      <c r="O4091" t="n">
        <v>29.46236559139785</v>
      </c>
    </row>
    <row r="4092" hidden="1">
      <c r="A4092" s="11" t="n">
        <v>46140</v>
      </c>
      <c r="B4092" t="inlineStr">
        <is>
          <t>Brenda de Menezes Silva</t>
        </is>
      </c>
      <c r="C4092" t="inlineStr">
        <is>
          <t>Técnico II</t>
        </is>
      </c>
      <c r="D4092" t="n">
        <v>34</v>
      </c>
      <c r="E4092" t="n">
        <v>34</v>
      </c>
      <c r="F4092" t="n">
        <v>13.45</v>
      </c>
      <c r="G4092" t="n">
        <v>0</v>
      </c>
      <c r="H4092" t="n">
        <v>0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N4092" t="n">
        <v>98.81999999999999</v>
      </c>
      <c r="O4092" t="n">
        <v>30.74141048824593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N4093" t="n">
        <v>100</v>
      </c>
      <c r="O4093" t="n">
        <v>27.94117647058824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N4094" t="n">
        <v>99.56999999999999</v>
      </c>
      <c r="O4094" t="n">
        <v>29.91329479768786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N4095" t="n">
        <v>95.65000000000001</v>
      </c>
      <c r="O4095" t="n">
        <v>31.08108108108108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N4101" t="n">
        <v>99.15000000000001</v>
      </c>
      <c r="O4101" t="n">
        <v>27.37068965517241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N4108" t="n">
        <v>95.48999999999999</v>
      </c>
      <c r="O4108" t="n">
        <v>28.16901408450704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N4112" t="n">
        <v>98.84</v>
      </c>
      <c r="O4112" t="n">
        <v>31.5018315018315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N4115" t="n">
        <v>98.31999999999999</v>
      </c>
      <c r="O4115" t="n">
        <v>26.61870503597122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N4117" t="n">
        <v>100</v>
      </c>
      <c r="O4117" t="n">
        <v>26.02739726027397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N4118" t="n">
        <v>99.20999999999999</v>
      </c>
      <c r="O4118" t="n">
        <v>24.93702770780856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N4120" t="n">
        <v>98.66</v>
      </c>
      <c r="O4120" t="n">
        <v>35.15625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N4121" t="n">
        <v>99.31999999999999</v>
      </c>
      <c r="O4121" t="n">
        <v>30.45186640471513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N4123" t="n">
        <v>96.73999999999999</v>
      </c>
      <c r="O4123" t="n">
        <v>28.43137254901961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N4125" t="n">
        <v>98.2</v>
      </c>
      <c r="O4125" t="n">
        <v>26.89075630252101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N4127" t="n">
        <v>96.3</v>
      </c>
      <c r="O4127" t="n">
        <v>31.98090692124105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N4128" t="n">
        <v>93.75</v>
      </c>
      <c r="O4128" t="n">
        <v>26.62835249042146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N4130" t="n">
        <v>100</v>
      </c>
      <c r="O4130" t="n">
        <v>36.23188405797102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N4131" t="n">
        <v>100</v>
      </c>
      <c r="O4131" t="n">
        <v>38.26923076923077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N4133" t="n">
        <v>97.83</v>
      </c>
      <c r="O4133" t="n">
        <v>28.13186813186813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N4134" t="n">
        <v>99.26000000000001</v>
      </c>
      <c r="O4134" t="n">
        <v>29.57198443579767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N4135" t="n">
        <v>99.19</v>
      </c>
      <c r="O4135" t="n">
        <v>29.46236559139785</v>
      </c>
    </row>
    <row r="4136" hidden="1">
      <c r="A4136" s="11" t="n">
        <v>46140</v>
      </c>
      <c r="B4136" t="inlineStr">
        <is>
          <t>Carlos Mateus Cassimiro Nunes</t>
        </is>
      </c>
      <c r="C4136" t="inlineStr">
        <is>
          <t>Técnico II</t>
        </is>
      </c>
      <c r="D4136" t="n">
        <v>24</v>
      </c>
      <c r="E4136" t="n">
        <v>23</v>
      </c>
      <c r="F4136" t="n">
        <v>25.57</v>
      </c>
      <c r="G4136" t="n">
        <v>0</v>
      </c>
      <c r="H4136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N4136" t="n">
        <v>98.2</v>
      </c>
      <c r="O4136" t="n">
        <v>26.89075630252101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N4137" t="n">
        <v>100</v>
      </c>
      <c r="O4137" t="n">
        <v>27.94117647058824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N4138" t="n">
        <v>99.56999999999999</v>
      </c>
      <c r="O4138" t="n">
        <v>29.91329479768786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N4139" t="n">
        <v>95.65000000000001</v>
      </c>
      <c r="O4139" t="n">
        <v>31.08108108108108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N4145" t="n">
        <v>99.15000000000001</v>
      </c>
      <c r="O4145" t="n">
        <v>27.37068965517241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N4152" t="n">
        <v>95.48999999999999</v>
      </c>
      <c r="O4152" t="n">
        <v>28.16901408450704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N4156" t="n">
        <v>98.84</v>
      </c>
      <c r="O4156" t="n">
        <v>31.5018315018315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N4159" t="n">
        <v>98.31999999999999</v>
      </c>
      <c r="O4159" t="n">
        <v>26.61870503597122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N4161" t="n">
        <v>100</v>
      </c>
      <c r="O4161" t="n">
        <v>26.02739726027397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N4162" t="n">
        <v>99.20999999999999</v>
      </c>
      <c r="O4162" t="n">
        <v>24.93702770780856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N4164" t="n">
        <v>98.66</v>
      </c>
      <c r="O4164" t="n">
        <v>35.15625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N4165" t="n">
        <v>99.31999999999999</v>
      </c>
      <c r="O4165" t="n">
        <v>30.45186640471513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N4167" t="n">
        <v>96.73999999999999</v>
      </c>
      <c r="O4167" t="n">
        <v>28.43137254901961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N4169" t="n">
        <v>98.2</v>
      </c>
      <c r="O4169" t="n">
        <v>26.89075630252101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N4171" t="n">
        <v>96.3</v>
      </c>
      <c r="O4171" t="n">
        <v>31.98090692124105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N4172" t="n">
        <v>93.75</v>
      </c>
      <c r="O4172" t="n">
        <v>26.62835249042146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N4174" t="n">
        <v>100</v>
      </c>
      <c r="O4174" t="n">
        <v>36.23188405797102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N4175" t="n">
        <v>100</v>
      </c>
      <c r="O4175" t="n">
        <v>38.26923076923077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N4177" t="n">
        <v>97.83</v>
      </c>
      <c r="O4177" t="n">
        <v>28.13186813186813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N4178" t="n">
        <v>99.26000000000001</v>
      </c>
      <c r="O4178" t="n">
        <v>29.57198443579767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N4179" t="n">
        <v>99.19</v>
      </c>
      <c r="O4179" t="n">
        <v>29.46236559139785</v>
      </c>
    </row>
    <row r="4180" hidden="1">
      <c r="A4180" s="11" t="n">
        <v>46140</v>
      </c>
      <c r="B4180" t="inlineStr">
        <is>
          <t>Damyllis Lorraine de Oliveira Gonçalves</t>
        </is>
      </c>
      <c r="C4180" t="inlineStr">
        <is>
          <t>Técnico II</t>
        </is>
      </c>
      <c r="D4180" t="n">
        <v>0</v>
      </c>
      <c r="E4180" t="n">
        <v>0</v>
      </c>
      <c r="F4180" t="n">
        <v>0</v>
      </c>
      <c r="G4180" t="n">
        <v>0</v>
      </c>
      <c r="H4180" t="n">
        <v>0</v>
      </c>
      <c r="I4180" s="3" t="n">
        <v>0</v>
      </c>
      <c r="J4180" s="3" t="n">
        <v>0</v>
      </c>
      <c r="K4180" s="3" t="n">
        <v>0</v>
      </c>
      <c r="L4180" s="3">
        <f>IF(K4180&lt;-5,"CRÍTICO",IF(K4180&lt;0,"ATENÇÃO",IF(K4180&lt;=5,"OPORTUNO","MUITO BOM")))</f>
        <v/>
      </c>
      <c r="N4180" t="n">
        <v>97.86</v>
      </c>
      <c r="O4180" t="n">
        <v>31.01851851851852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N4181" t="n">
        <v>100</v>
      </c>
      <c r="O4181" t="n">
        <v>27.94117647058824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N4182" t="n">
        <v>99.56999999999999</v>
      </c>
      <c r="O4182" t="n">
        <v>29.91329479768786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N4183" t="n">
        <v>95.65000000000001</v>
      </c>
      <c r="O4183" t="n">
        <v>31.08108108108108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N4189" t="n">
        <v>99.15000000000001</v>
      </c>
      <c r="O4189" t="n">
        <v>27.37068965517241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N4196" t="n">
        <v>95.48999999999999</v>
      </c>
      <c r="O4196" t="n">
        <v>28.16901408450704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N4200" t="n">
        <v>98.84</v>
      </c>
      <c r="O4200" t="n">
        <v>31.5018315018315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N4203" t="n">
        <v>98.31999999999999</v>
      </c>
      <c r="O4203" t="n">
        <v>26.61870503597122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N4205" t="n">
        <v>100</v>
      </c>
      <c r="O4205" t="n">
        <v>26.02739726027397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N4206" t="n">
        <v>99.20999999999999</v>
      </c>
      <c r="O4206" t="n">
        <v>24.93702770780856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N4208" t="n">
        <v>98.66</v>
      </c>
      <c r="O4208" t="n">
        <v>35.15625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N4209" t="n">
        <v>99.31999999999999</v>
      </c>
      <c r="O4209" t="n">
        <v>30.45186640471513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N4211" t="n">
        <v>96.73999999999999</v>
      </c>
      <c r="O4211" t="n">
        <v>28.43137254901961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N4213" t="n">
        <v>98.2</v>
      </c>
      <c r="O4213" t="n">
        <v>26.89075630252101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N4215" t="n">
        <v>96.3</v>
      </c>
      <c r="O4215" t="n">
        <v>31.98090692124105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N4216" t="n">
        <v>93.75</v>
      </c>
      <c r="O4216" t="n">
        <v>26.62835249042146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N4218" t="n">
        <v>100</v>
      </c>
      <c r="O4218" t="n">
        <v>36.23188405797102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N4219" t="n">
        <v>100</v>
      </c>
      <c r="O4219" t="n">
        <v>38.26923076923077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N4221" t="n">
        <v>97.83</v>
      </c>
      <c r="O4221" t="n">
        <v>28.13186813186813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N4222" t="n">
        <v>99.26000000000001</v>
      </c>
      <c r="O4222" t="n">
        <v>29.57198443579767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N4223" t="n">
        <v>99.19</v>
      </c>
      <c r="O4223" t="n">
        <v>29.46236559139785</v>
      </c>
    </row>
    <row r="4224" hidden="1">
      <c r="A4224" s="11" t="n">
        <v>46140</v>
      </c>
      <c r="B4224" t="inlineStr">
        <is>
          <t>Emilly Kamilly Medeiros Miranda</t>
        </is>
      </c>
      <c r="C4224" t="inlineStr">
        <is>
          <t>Técnico II</t>
        </is>
      </c>
      <c r="D4224" t="n">
        <v>27</v>
      </c>
      <c r="E4224" t="n">
        <v>27</v>
      </c>
      <c r="F4224" t="n">
        <v>18.35</v>
      </c>
      <c r="G4224" t="n">
        <v>0</v>
      </c>
      <c r="H4224" t="n">
        <v>0</v>
      </c>
      <c r="I4224" s="3">
        <f>E4224+G4224+H4224</f>
        <v/>
      </c>
      <c r="J4224" s="3">
        <f>ROUND(MIN(IF(C4224="Técnico III",35,IF(C4224="Técnico II",28,IF(C4224="Técnico I",23,IF(C4224="JR",20,IF(C4224="Estágio",10,0))))),IF(C4224="Técnico III",SUMIFS($D:$D,$A:$A,$A4224,$B:$B,"&lt;&gt;Patrícia Karla de Sousa Araújo",$B:$B,"&lt;&gt;Lorena Dias de Araujo",$B:$B,"&lt;&gt;Lucas Luiz Romero")*(35/1083),IF(C4224="Técnico II",SUMIFS($D:$D,$A:$A,$A4224,$B:$B,"&lt;&gt;Patrícia Karla de Sousa Araújo",$B:$B,"&lt;&gt;Lorena Dias de Araujo",$B:$B,"&lt;&gt;Lucas Luiz Romero")*(28/1083),IF(C4224="Técnico I",SUMIFS($D:$D,$A:$A,$A4224,$B:$B,"&lt;&gt;Patrícia Karla de Sousa Araújo",$B:$B,"&lt;&gt;Lorena Dias de Araujo",$B:$B,"&lt;&gt;Lucas Luiz Romero")*(23/1083),IF(C4224="JR",SUMIFS($D:$D,$A:$A,$A4224,$B:$B,"&lt;&gt;Patrícia Karla de Sousa Araújo",$B:$B,"&lt;&gt;Lorena Dias de Araujo",$B:$B,"&lt;&gt;Lucas Luiz Romero")*(20/1083),IF(C4224="Estágio",SUMIFS($D:$D,$A:$A,$A4224,$B:$B,"&lt;&gt;Patrícia Karla de Sousa Araújo",$B:$B,"&lt;&gt;Lorena Dias de Araujo",$B:$B,"&lt;&gt;Lucas Luiz Romero")*(10/1083),0)))))),0)</f>
        <v/>
      </c>
      <c r="K4224" s="3">
        <f>I4224-J4224</f>
        <v/>
      </c>
      <c r="L4224" s="3">
        <f>IF(K4224&lt;-5,"CRÍTICO",IF(K4224&lt;0,"ATENÇÃO",IF(K4224&lt;=5,"OPORTUNO","MUITO BOM")))</f>
        <v/>
      </c>
      <c r="N4224" t="n">
        <v>97.83</v>
      </c>
      <c r="O4224" t="n">
        <v>28.13186813186813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N4225" t="n">
        <v>100</v>
      </c>
      <c r="O4225" t="n">
        <v>27.94117647058824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N4226" t="n">
        <v>99.56999999999999</v>
      </c>
      <c r="O4226" t="n">
        <v>29.91329479768786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N4227" t="n">
        <v>95.65000000000001</v>
      </c>
      <c r="O4227" t="n">
        <v>31.08108108108108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N4233" t="n">
        <v>99.15000000000001</v>
      </c>
      <c r="O4233" t="n">
        <v>27.37068965517241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N4240" t="n">
        <v>95.48999999999999</v>
      </c>
      <c r="O4240" t="n">
        <v>28.16901408450704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N4244" t="n">
        <v>98.84</v>
      </c>
      <c r="O4244" t="n">
        <v>31.5018315018315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N4247" t="n">
        <v>98.31999999999999</v>
      </c>
      <c r="O4247" t="n">
        <v>26.61870503597122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N4249" t="n">
        <v>100</v>
      </c>
      <c r="O4249" t="n">
        <v>26.02739726027397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N4250" t="n">
        <v>99.20999999999999</v>
      </c>
      <c r="O4250" t="n">
        <v>24.93702770780856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N4252" t="n">
        <v>98.66</v>
      </c>
      <c r="O4252" t="n">
        <v>35.15625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N4253" t="n">
        <v>99.31999999999999</v>
      </c>
      <c r="O4253" t="n">
        <v>30.45186640471513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N4255" t="n">
        <v>96.73999999999999</v>
      </c>
      <c r="O4255" t="n">
        <v>28.43137254901961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N4257" t="n">
        <v>98.2</v>
      </c>
      <c r="O4257" t="n">
        <v>26.89075630252101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N4259" t="n">
        <v>96.3</v>
      </c>
      <c r="O4259" t="n">
        <v>31.98090692124105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N4260" t="n">
        <v>93.75</v>
      </c>
      <c r="O4260" t="n">
        <v>26.62835249042146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N4262" t="n">
        <v>100</v>
      </c>
      <c r="O4262" t="n">
        <v>36.23188405797102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N4263" t="n">
        <v>100</v>
      </c>
      <c r="O4263" t="n">
        <v>38.26923076923077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N4265" t="n">
        <v>97.83</v>
      </c>
      <c r="O4265" t="n">
        <v>28.13186813186813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N4266" t="n">
        <v>99.26000000000001</v>
      </c>
      <c r="O4266" t="n">
        <v>29.57198443579767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N4267" t="n">
        <v>99.19</v>
      </c>
      <c r="O4267" t="n">
        <v>29.46236559139785</v>
      </c>
    </row>
    <row r="4268" hidden="1">
      <c r="A4268" s="11" t="n">
        <v>46140</v>
      </c>
      <c r="B4268" t="inlineStr">
        <is>
          <t>Francilene Ferreira de Jesus</t>
        </is>
      </c>
      <c r="C4268" t="inlineStr">
        <is>
          <t>Técnico II</t>
        </is>
      </c>
      <c r="D4268" t="n">
        <v>29</v>
      </c>
      <c r="E4268" t="n">
        <v>25</v>
      </c>
      <c r="F4268" t="n">
        <v>20.23</v>
      </c>
      <c r="G4268" t="n">
        <v>0</v>
      </c>
      <c r="H4268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N4268" t="n">
        <v>99.19</v>
      </c>
      <c r="O4268" t="n">
        <v>29.46236559139785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N4269" t="n">
        <v>100</v>
      </c>
      <c r="O4269" t="n">
        <v>27.94117647058824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N4270" t="n">
        <v>99.56999999999999</v>
      </c>
      <c r="O4270" t="n">
        <v>29.91329479768786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N4271" t="n">
        <v>95.65000000000001</v>
      </c>
      <c r="O4271" t="n">
        <v>31.08108108108108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N4277" t="n">
        <v>99.15000000000001</v>
      </c>
      <c r="O4277" t="n">
        <v>27.37068965517241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N4284" t="n">
        <v>95.48999999999999</v>
      </c>
      <c r="O4284" t="n">
        <v>28.16901408450704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N4288" t="n">
        <v>98.84</v>
      </c>
      <c r="O4288" t="n">
        <v>31.5018315018315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N4291" t="n">
        <v>98.31999999999999</v>
      </c>
      <c r="O4291" t="n">
        <v>26.61870503597122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N4293" t="n">
        <v>100</v>
      </c>
      <c r="O4293" t="n">
        <v>26.02739726027397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N4294" t="n">
        <v>99.20999999999999</v>
      </c>
      <c r="O4294" t="n">
        <v>24.93702770780856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N4296" t="n">
        <v>98.66</v>
      </c>
      <c r="O4296" t="n">
        <v>35.15625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N4297" t="n">
        <v>99.31999999999999</v>
      </c>
      <c r="O4297" t="n">
        <v>30.45186640471513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N4299" t="n">
        <v>96.73999999999999</v>
      </c>
      <c r="O4299" t="n">
        <v>28.43137254901961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N4301" t="n">
        <v>98.2</v>
      </c>
      <c r="O4301" t="n">
        <v>26.89075630252101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N4303" t="n">
        <v>96.3</v>
      </c>
      <c r="O4303" t="n">
        <v>31.98090692124105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N4304" t="n">
        <v>93.75</v>
      </c>
      <c r="O4304" t="n">
        <v>26.62835249042146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N4306" t="n">
        <v>100</v>
      </c>
      <c r="O4306" t="n">
        <v>36.23188405797102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N4307" t="n">
        <v>100</v>
      </c>
      <c r="O4307" t="n">
        <v>38.26923076923077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N4309" t="n">
        <v>97.83</v>
      </c>
      <c r="O4309" t="n">
        <v>28.13186813186813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N4310" t="n">
        <v>99.26000000000001</v>
      </c>
      <c r="O4310" t="n">
        <v>29.57198443579767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N4311" t="n">
        <v>99.19</v>
      </c>
      <c r="O4311" t="n">
        <v>29.46236559139785</v>
      </c>
    </row>
    <row r="4312" hidden="1">
      <c r="A4312" s="11" t="n">
        <v>46140</v>
      </c>
      <c r="B4312" t="inlineStr">
        <is>
          <t>Isabella Borges de Oliveira</t>
        </is>
      </c>
      <c r="C4312" t="inlineStr">
        <is>
          <t>Técnico II</t>
        </is>
      </c>
      <c r="D4312" t="n">
        <v>37</v>
      </c>
      <c r="E4312" t="n">
        <v>36</v>
      </c>
      <c r="F4312" t="n">
        <v>15.51</v>
      </c>
      <c r="G4312" t="n">
        <v>0</v>
      </c>
      <c r="H4312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N4312" t="n">
        <v>100</v>
      </c>
      <c r="O4312" t="n">
        <v>27.94117647058824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N4313" t="n">
        <v>100</v>
      </c>
      <c r="O4313" t="n">
        <v>27.94117647058824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N4314" t="n">
        <v>99.56999999999999</v>
      </c>
      <c r="O4314" t="n">
        <v>29.91329479768786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N4315" t="n">
        <v>95.65000000000001</v>
      </c>
      <c r="O4315" t="n">
        <v>31.08108108108108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N4321" t="n">
        <v>99.15000000000001</v>
      </c>
      <c r="O4321" t="n">
        <v>27.37068965517241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N4328" t="n">
        <v>95.48999999999999</v>
      </c>
      <c r="O4328" t="n">
        <v>28.16901408450704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N4332" t="n">
        <v>98.84</v>
      </c>
      <c r="O4332" t="n">
        <v>31.5018315018315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N4335" t="n">
        <v>98.31999999999999</v>
      </c>
      <c r="O4335" t="n">
        <v>26.61870503597122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N4337" t="n">
        <v>100</v>
      </c>
      <c r="O4337" t="n">
        <v>26.02739726027397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N4338" t="n">
        <v>99.20999999999999</v>
      </c>
      <c r="O4338" t="n">
        <v>24.93702770780856</v>
      </c>
    </row>
    <row r="4339" hidden="1">
      <c r="A4339" s="11" t="n">
        <v>46140</v>
      </c>
      <c r="B4339" t="inlineStr">
        <is>
          <t>Jessica Faria da Silveira</t>
        </is>
      </c>
      <c r="C4339" t="inlineStr">
        <is>
          <t>Técnico II</t>
        </is>
      </c>
      <c r="D4339" t="n">
        <v>29</v>
      </c>
      <c r="E4339" t="n">
        <v>25</v>
      </c>
      <c r="F4339" t="n">
        <v>17.3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N4339" t="n">
        <v>98.81</v>
      </c>
      <c r="O4339" t="n">
        <v>26.25698324022346</v>
      </c>
    </row>
    <row r="4340" hidden="1">
      <c r="A4340" s="11" t="n">
        <v>46140</v>
      </c>
      <c r="B4340" t="inlineStr">
        <is>
          <t>Lizandra Gomes Duarte</t>
        </is>
      </c>
      <c r="C4340" t="inlineStr">
        <is>
          <t>Técnico II</t>
        </is>
      </c>
      <c r="D4340" t="n">
        <v>20</v>
      </c>
      <c r="E4340" t="n">
        <v>19</v>
      </c>
      <c r="F4340" t="n">
        <v>21.45</v>
      </c>
      <c r="G4340" t="n">
        <v>0</v>
      </c>
      <c r="H4340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N4340" t="n">
        <v>99.17</v>
      </c>
      <c r="O4340" t="n">
        <v>29.75206611570248</v>
      </c>
    </row>
    <row r="4341" hidden="1">
      <c r="A4341" s="11" t="n">
        <v>46140</v>
      </c>
      <c r="B4341" t="inlineStr">
        <is>
          <t>Lorena Dias de Araujo</t>
        </is>
      </c>
      <c r="C4341" t="inlineStr">
        <is>
          <t>Técnico 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s="3" t="n">
        <v>0</v>
      </c>
      <c r="J4341" s="3" t="n">
        <v>0</v>
      </c>
      <c r="K4341" s="3" t="n">
        <v>0</v>
      </c>
      <c r="L4341" s="3">
        <f>IF(K4341&lt;-5,"CRÍTICO",IF(K4341&lt;0,"ATENÇÃO",IF(K4341&lt;=5,"OPORTUNO","MUITO BOM")))</f>
        <v/>
      </c>
      <c r="N4341" t="n">
        <v>98.73</v>
      </c>
      <c r="O4341" t="n">
        <v>28.96174863387978</v>
      </c>
    </row>
    <row r="4342" hidden="1">
      <c r="A4342" s="11" t="n">
        <v>46140</v>
      </c>
      <c r="B4342" t="inlineStr">
        <is>
          <t>Patrícia Karla de Sousa Araújo</t>
        </is>
      </c>
      <c r="C4342" t="inlineStr">
        <is>
          <t>Técnico 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N4342" t="n">
        <v>99.02</v>
      </c>
      <c r="O4342" t="n">
        <v>34.7972972972973</v>
      </c>
    </row>
    <row r="4343" hidden="1">
      <c r="A4343" s="11" t="n">
        <v>46141</v>
      </c>
      <c r="B4343" t="inlineStr">
        <is>
          <t>Alisson de Freitas Silva</t>
        </is>
      </c>
      <c r="C4343" t="inlineStr">
        <is>
          <t>Técnico II</t>
        </is>
      </c>
      <c r="D4343" t="n">
        <v>43</v>
      </c>
      <c r="E4343" t="n">
        <v>35</v>
      </c>
      <c r="F4343" t="n">
        <v>10.15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N4343" t="n">
        <v>100</v>
      </c>
      <c r="O4343" t="n">
        <v>32.76450511945392</v>
      </c>
    </row>
    <row r="4344" hidden="1">
      <c r="A4344" s="11" t="n">
        <v>46141</v>
      </c>
      <c r="B4344" t="inlineStr">
        <is>
          <t>Brenda de Menezes Silva</t>
        </is>
      </c>
      <c r="C4344" t="inlineStr">
        <is>
          <t>Técnico II</t>
        </is>
      </c>
      <c r="D4344" t="n">
        <v>38</v>
      </c>
      <c r="E4344" t="n">
        <v>31</v>
      </c>
      <c r="F4344" t="n">
        <v>11.5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N4344" t="n">
        <v>98.81999999999999</v>
      </c>
      <c r="O4344" t="n">
        <v>30.74141048824593</v>
      </c>
    </row>
    <row r="4345" hidden="1">
      <c r="A4345" s="11" t="n">
        <v>46141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25.46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N4345" t="n">
        <v>98.2</v>
      </c>
      <c r="O4345" t="n">
        <v>26.89075630252101</v>
      </c>
    </row>
    <row r="4346" hidden="1">
      <c r="A4346" s="11" t="n">
        <v>46141</v>
      </c>
      <c r="B4346" t="inlineStr">
        <is>
          <t>Damyllis Lorraine de Oliveira Gonçalves</t>
        </is>
      </c>
      <c r="C4346" t="inlineStr">
        <is>
          <t>Técnico II</t>
        </is>
      </c>
      <c r="D4346" t="n">
        <v>0</v>
      </c>
      <c r="E4346" t="n">
        <v>0</v>
      </c>
      <c r="F4346" t="n">
        <v>0</v>
      </c>
      <c r="G4346" t="n">
        <v>0</v>
      </c>
      <c r="H4346" t="n">
        <v>0</v>
      </c>
      <c r="I4346" s="3" t="n">
        <v>0</v>
      </c>
      <c r="J4346" s="3" t="n">
        <v>0</v>
      </c>
      <c r="K4346" s="3" t="n">
        <v>0</v>
      </c>
      <c r="L4346" s="3">
        <f>IF(K4346&lt;-5,"CRÍTICO",IF(K4346&lt;0,"ATENÇÃO",IF(K4346&lt;=5,"OPORTUNO","MUITO BOM")))</f>
        <v/>
      </c>
      <c r="N4346" t="n">
        <v>97.86</v>
      </c>
      <c r="O4346" t="n">
        <v>31.01851851851852</v>
      </c>
    </row>
    <row r="4347" hidden="1">
      <c r="A4347" s="11" t="n">
        <v>46141</v>
      </c>
      <c r="B4347" t="inlineStr">
        <is>
          <t>Emilly Kamilly Medeiros Miranda</t>
        </is>
      </c>
      <c r="C4347" t="inlineStr">
        <is>
          <t>Técnico II</t>
        </is>
      </c>
      <c r="D4347" t="n">
        <v>31</v>
      </c>
      <c r="E4347" t="n">
        <v>28</v>
      </c>
      <c r="F4347" t="n">
        <v>18.26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N4347" t="n">
        <v>97.83</v>
      </c>
      <c r="O4347" t="n">
        <v>28.13186813186813</v>
      </c>
    </row>
    <row r="4348" hidden="1">
      <c r="A4348" s="11" t="n">
        <v>46141</v>
      </c>
      <c r="B4348" t="inlineStr">
        <is>
          <t>Francilene Ferreira de Jesus</t>
        </is>
      </c>
      <c r="C4348" t="inlineStr">
        <is>
          <t>Técnico II</t>
        </is>
      </c>
      <c r="D4348" t="n">
        <v>36</v>
      </c>
      <c r="E4348" t="n">
        <v>34</v>
      </c>
      <c r="F4348" t="n">
        <v>15.24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N4348" t="n">
        <v>99.19</v>
      </c>
      <c r="O4348" t="n">
        <v>29.46236559139785</v>
      </c>
    </row>
    <row r="4349" hidden="1">
      <c r="A4349" s="11" t="n">
        <v>46141</v>
      </c>
      <c r="B4349" t="inlineStr">
        <is>
          <t>Isabella Borges de Oliveira</t>
        </is>
      </c>
      <c r="C4349" t="inlineStr">
        <is>
          <t>Técnico II</t>
        </is>
      </c>
      <c r="D4349" t="n">
        <v>29</v>
      </c>
      <c r="E4349" t="n">
        <v>26</v>
      </c>
      <c r="F4349" t="n">
        <v>18.33</v>
      </c>
      <c r="G4349" t="n">
        <v>0</v>
      </c>
      <c r="H4349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N4349" t="n">
        <v>100</v>
      </c>
      <c r="O4349" t="n">
        <v>27.94117647058824</v>
      </c>
    </row>
    <row r="4350" hidden="1">
      <c r="A4350" s="11" t="n">
        <v>46141</v>
      </c>
      <c r="B4350" t="inlineStr">
        <is>
          <t>Jessica Faria da Silveira</t>
        </is>
      </c>
      <c r="C4350" t="inlineStr">
        <is>
          <t>Técnico II</t>
        </is>
      </c>
      <c r="D4350" t="n">
        <v>39</v>
      </c>
      <c r="E4350" t="n">
        <v>28</v>
      </c>
      <c r="F4350" t="n">
        <v>10.24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N4350" t="n">
        <v>98.81</v>
      </c>
      <c r="O4350" t="n">
        <v>26.25698324022346</v>
      </c>
    </row>
    <row r="4351" hidden="1">
      <c r="A4351" s="11" t="n">
        <v>46141</v>
      </c>
      <c r="B4351" t="inlineStr">
        <is>
          <t>Lizandra Gomes Duarte</t>
        </is>
      </c>
      <c r="C4351" t="inlineStr">
        <is>
          <t>Técnico II</t>
        </is>
      </c>
      <c r="D4351" t="n">
        <v>37</v>
      </c>
      <c r="E4351" t="n">
        <v>35</v>
      </c>
      <c r="F4351" t="n">
        <v>15.55</v>
      </c>
      <c r="G4351" t="n">
        <v>0</v>
      </c>
      <c r="H4351" t="n">
        <v>0</v>
      </c>
      <c r="I4351" s="3">
        <f>E4351+G4351+H4351</f>
        <v/>
      </c>
      <c r="J4351" s="3">
        <f>ROUND(MIN(IF(C4351="Técnico III",35,IF(C4351="Técnico II",28,IF(C4351="Técnico I",23,IF(C4351="JR",20,IF(C4351="Estágio",10,0))))),IF(C4351="Técnico III",SUMIFS($D:$D,$A:$A,$A4351,$B:$B,"&lt;&gt;Patrícia Karla de Sousa Araújo",$B:$B,"&lt;&gt;Lorena Dias de Araujo",$B:$B,"&lt;&gt;Lucas Luiz Romero")*(35/1083),IF(C4351="Técnico II",SUMIFS($D:$D,$A:$A,$A4351,$B:$B,"&lt;&gt;Patrícia Karla de Sousa Araújo",$B:$B,"&lt;&gt;Lorena Dias de Araujo",$B:$B,"&lt;&gt;Lucas Luiz Romero")*(28/1083),IF(C4351="Técnico I",SUMIFS($D:$D,$A:$A,$A4351,$B:$B,"&lt;&gt;Patrícia Karla de Sousa Araújo",$B:$B,"&lt;&gt;Lorena Dias de Araujo",$B:$B,"&lt;&gt;Lucas Luiz Romero")*(23/1083),IF(C4351="JR",SUMIFS($D:$D,$A:$A,$A4351,$B:$B,"&lt;&gt;Patrícia Karla de Sousa Araújo",$B:$B,"&lt;&gt;Lorena Dias de Araujo",$B:$B,"&lt;&gt;Lucas Luiz Romero")*(20/1083),IF(C4351="Estágio",SUMIFS($D:$D,$A:$A,$A4351,$B:$B,"&lt;&gt;Patrícia Karla de Sousa Araújo",$B:$B,"&lt;&gt;Lorena Dias de Araujo",$B:$B,"&lt;&gt;Lucas Luiz Romero")*(10/1083),0)))))),0)</f>
        <v/>
      </c>
      <c r="K4351" s="3">
        <f>I4351-J4351</f>
        <v/>
      </c>
      <c r="L4351" s="3">
        <f>IF(K4351&lt;-5,"CRÍTICO",IF(K4351&lt;0,"ATENÇÃO",IF(K4351&lt;=5,"OPORTUNO","MUITO BOM")))</f>
        <v/>
      </c>
      <c r="N4351" t="n">
        <v>99.17</v>
      </c>
      <c r="O4351" t="n">
        <v>29.75206611570248</v>
      </c>
    </row>
    <row r="4352" hidden="1">
      <c r="A4352" s="11" t="n">
        <v>46141</v>
      </c>
      <c r="B4352" t="inlineStr">
        <is>
          <t>Lorena Dias de Araujo</t>
        </is>
      </c>
      <c r="C4352" t="inlineStr">
        <is>
          <t>Técnico 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s="3" t="n">
        <v>0</v>
      </c>
      <c r="J4352" s="3" t="n">
        <v>0</v>
      </c>
      <c r="K4352" s="3" t="n">
        <v>0</v>
      </c>
      <c r="L4352" s="3">
        <f>IF(K4352&lt;-5,"CRÍTICO",IF(K4352&lt;0,"ATENÇÃO",IF(K4352&lt;=5,"OPORTUNO","MUITO BOM")))</f>
        <v/>
      </c>
      <c r="N4352" t="n">
        <v>98.73</v>
      </c>
      <c r="O4352" t="n">
        <v>28.96174863387978</v>
      </c>
    </row>
    <row r="4353" hidden="1">
      <c r="A4353" s="11" t="n">
        <v>46141</v>
      </c>
      <c r="B4353" t="inlineStr">
        <is>
          <t>Patrícia Karla de Sousa Araújo</t>
        </is>
      </c>
      <c r="C4353" t="inlineStr">
        <is>
          <t>Técnico II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s="3" t="n">
        <v>0</v>
      </c>
      <c r="J4353" s="3" t="n">
        <v>0</v>
      </c>
      <c r="K4353" s="3" t="n">
        <v>0</v>
      </c>
      <c r="L4353" s="3">
        <f>IF(K4353&lt;-5,"CRÍTICO",IF(K4353&lt;0,"ATENÇÃO",IF(K4353&lt;=5,"OPORTUNO","MUITO BOM")))</f>
        <v/>
      </c>
      <c r="N4353" t="n">
        <v>99.02</v>
      </c>
      <c r="O4353" t="n">
        <v>34.7972972972973</v>
      </c>
    </row>
    <row r="4354" hidden="1">
      <c r="A4354" s="11" t="n">
        <v>46142</v>
      </c>
      <c r="B4354" t="inlineStr">
        <is>
          <t>Alisson de Freitas Silva</t>
        </is>
      </c>
      <c r="C4354" t="inlineStr">
        <is>
          <t>Técnico II</t>
        </is>
      </c>
      <c r="D4354" t="n">
        <v>12</v>
      </c>
      <c r="E4354" t="n">
        <v>10</v>
      </c>
      <c r="F4354" t="n">
        <v>9.119999999999999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N4354" t="n">
        <v>100</v>
      </c>
      <c r="O4354" t="n">
        <v>32.76450511945392</v>
      </c>
    </row>
    <row r="4355" hidden="1">
      <c r="A4355" s="11" t="n">
        <v>46142</v>
      </c>
      <c r="B4355" t="inlineStr">
        <is>
          <t>Brenda de Menezes Silva</t>
        </is>
      </c>
      <c r="C4355" t="inlineStr">
        <is>
          <t>Técnico II</t>
        </is>
      </c>
      <c r="D4355" t="n">
        <v>32</v>
      </c>
      <c r="E4355" t="n">
        <v>31</v>
      </c>
      <c r="F4355" t="n">
        <v>13.5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N4355" t="n">
        <v>98.81999999999999</v>
      </c>
      <c r="O4355" t="n">
        <v>30.74141048824593</v>
      </c>
    </row>
    <row r="4356" hidden="1">
      <c r="A4356" s="11" t="n">
        <v>46142</v>
      </c>
      <c r="B4356" t="inlineStr">
        <is>
          <t>Carlos Mateus Cassimiro Nunes</t>
        </is>
      </c>
      <c r="C4356" t="inlineStr">
        <is>
          <t>Técnico II</t>
        </is>
      </c>
      <c r="D4356" t="n">
        <v>32</v>
      </c>
      <c r="E4356" t="n">
        <v>30</v>
      </c>
      <c r="F4356" t="n">
        <v>15.09</v>
      </c>
      <c r="G4356" t="n">
        <v>0</v>
      </c>
      <c r="H4356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N4356" t="n">
        <v>98.2</v>
      </c>
      <c r="O4356" t="n">
        <v>26.89075630252101</v>
      </c>
    </row>
    <row r="4357" hidden="1">
      <c r="A4357" s="11" t="n">
        <v>46142</v>
      </c>
      <c r="B4357" t="inlineStr">
        <is>
          <t>Damyllis Lorraine de Oliveira Gonçalves</t>
        </is>
      </c>
      <c r="C4357" t="inlineStr">
        <is>
          <t>Técnico II</t>
        </is>
      </c>
      <c r="D4357" t="n">
        <v>0</v>
      </c>
      <c r="E4357" t="n">
        <v>0</v>
      </c>
      <c r="F4357" t="n">
        <v>0</v>
      </c>
      <c r="G4357" t="n">
        <v>0</v>
      </c>
      <c r="H4357" t="n">
        <v>0</v>
      </c>
      <c r="I4357" s="3" t="n">
        <v>0</v>
      </c>
      <c r="J4357" s="3" t="n">
        <v>0</v>
      </c>
      <c r="K4357" s="3" t="n">
        <v>0</v>
      </c>
      <c r="L4357" s="3">
        <f>IF(K4357&lt;-5,"CRÍTICO",IF(K4357&lt;0,"ATENÇÃO",IF(K4357&lt;=5,"OPORTUNO","MUITO BOM")))</f>
        <v/>
      </c>
      <c r="N4357" t="n">
        <v>97.86</v>
      </c>
      <c r="O4357" t="n">
        <v>31.01851851851852</v>
      </c>
    </row>
    <row r="4358" hidden="1">
      <c r="A4358" s="11" t="n">
        <v>46142</v>
      </c>
      <c r="B4358" t="inlineStr">
        <is>
          <t>Emilly Kamilly Medeiros Miranda</t>
        </is>
      </c>
      <c r="C4358" t="inlineStr">
        <is>
          <t>Técnico II</t>
        </is>
      </c>
      <c r="D4358" t="n">
        <v>38</v>
      </c>
      <c r="E4358" t="n">
        <v>38</v>
      </c>
      <c r="F4358" t="n">
        <v>15.02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N4358" t="n">
        <v>97.83</v>
      </c>
      <c r="O4358" t="n">
        <v>28.13186813186813</v>
      </c>
    </row>
    <row r="4359" hidden="1">
      <c r="A4359" s="11" t="n">
        <v>46142</v>
      </c>
      <c r="B4359" t="inlineStr">
        <is>
          <t>Francilene Ferreira de Jesus</t>
        </is>
      </c>
      <c r="C4359" t="inlineStr">
        <is>
          <t>Técnico II</t>
        </is>
      </c>
      <c r="D4359" t="n">
        <v>42</v>
      </c>
      <c r="E4359" t="n">
        <v>42</v>
      </c>
      <c r="F4359" t="n">
        <v>16.41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N4359" t="n">
        <v>99.19</v>
      </c>
      <c r="O4359" t="n">
        <v>29.46236559139785</v>
      </c>
    </row>
    <row r="4360" hidden="1">
      <c r="A4360" s="11" t="n">
        <v>46142</v>
      </c>
      <c r="B4360" t="inlineStr">
        <is>
          <t>Isabella Borges de Oliveira</t>
        </is>
      </c>
      <c r="C4360" t="inlineStr">
        <is>
          <t>Técnico II</t>
        </is>
      </c>
      <c r="D4360" t="n">
        <v>25</v>
      </c>
      <c r="E4360" t="n">
        <v>25</v>
      </c>
      <c r="F4360" t="n">
        <v>18.5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N4360" t="n">
        <v>100</v>
      </c>
      <c r="O4360" t="n">
        <v>27.94117647058824</v>
      </c>
    </row>
    <row r="4361" hidden="1">
      <c r="A4361" s="11" t="n">
        <v>46142</v>
      </c>
      <c r="B4361" t="inlineStr">
        <is>
          <t>Jessica Faria da Silveira</t>
        </is>
      </c>
      <c r="C4361" t="inlineStr">
        <is>
          <t>Técnico II</t>
        </is>
      </c>
      <c r="D4361" t="n">
        <v>21</v>
      </c>
      <c r="E4361" t="n">
        <v>16</v>
      </c>
      <c r="F4361" t="n">
        <v>11.48</v>
      </c>
      <c r="G4361" t="n">
        <v>0</v>
      </c>
      <c r="H4361" t="n">
        <v>0</v>
      </c>
      <c r="I4361" s="3">
        <f>E4361+G4361+H4361</f>
        <v/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/>
      </c>
      <c r="K4361" s="3">
        <f>I4361-J4361</f>
        <v/>
      </c>
      <c r="L4361" s="3">
        <f>IF(K4361&lt;-5,"CRÍTICO",IF(K4361&lt;0,"ATENÇÃO",IF(K4361&lt;=5,"OPORTUNO","MUITO BOM")))</f>
        <v/>
      </c>
      <c r="N4361" t="n">
        <v>98.81</v>
      </c>
      <c r="O4361" t="n">
        <v>26.25698324022346</v>
      </c>
    </row>
    <row r="4362" hidden="1">
      <c r="A4362" s="11" t="n">
        <v>46142</v>
      </c>
      <c r="B4362" t="inlineStr">
        <is>
          <t>Lizandra Gomes Duarte</t>
        </is>
      </c>
      <c r="C4362" t="inlineStr">
        <is>
          <t>Técnico II</t>
        </is>
      </c>
      <c r="D4362" t="n">
        <v>18</v>
      </c>
      <c r="E4362" t="n">
        <v>17</v>
      </c>
      <c r="F4362" t="n">
        <v>21.44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N4362" t="n">
        <v>99.17</v>
      </c>
      <c r="O4362" t="n">
        <v>29.75206611570248</v>
      </c>
    </row>
    <row r="4363" hidden="1">
      <c r="A4363" s="11" t="n">
        <v>46142</v>
      </c>
      <c r="B4363" t="inlineStr">
        <is>
          <t>Lorena Dias de Araujo</t>
        </is>
      </c>
      <c r="C4363" t="inlineStr">
        <is>
          <t>Técnico 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N4363" t="n">
        <v>98.73</v>
      </c>
      <c r="O4363" t="n">
        <v>28.96174863387978</v>
      </c>
    </row>
    <row r="4364" hidden="1">
      <c r="A4364" s="11" t="n">
        <v>46142</v>
      </c>
      <c r="B4364" t="inlineStr">
        <is>
          <t>Patrícia Karla de Sousa Araújo</t>
        </is>
      </c>
      <c r="C4364" t="inlineStr">
        <is>
          <t>Técnico II</t>
        </is>
      </c>
      <c r="D4364" t="n">
        <v>31</v>
      </c>
      <c r="E4364" t="n">
        <v>27</v>
      </c>
      <c r="F4364" t="n">
        <v>15.42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N4364" t="n">
        <v>99.02</v>
      </c>
      <c r="O4364" t="n">
        <v>34.7972972972973</v>
      </c>
    </row>
    <row r="4365" hidden="1">
      <c r="A4365" s="11" t="n">
        <v>46168</v>
      </c>
      <c r="B4365" t="inlineStr">
        <is>
          <t>Alisson de Freitas Silva</t>
        </is>
      </c>
      <c r="C4365" t="inlineStr">
        <is>
          <t>Técnico II</t>
        </is>
      </c>
      <c r="D4365" t="n">
        <v>28</v>
      </c>
      <c r="E4365" t="n">
        <v>21</v>
      </c>
      <c r="F4365" t="n">
        <v>15.57</v>
      </c>
      <c r="G4365" t="n">
        <v>2</v>
      </c>
    </row>
    <row r="4366" hidden="1">
      <c r="A4366" s="11" t="n">
        <v>46168</v>
      </c>
      <c r="B4366" t="inlineStr">
        <is>
          <t>Brenda de Menezes Silva</t>
        </is>
      </c>
      <c r="C4366" t="inlineStr">
        <is>
          <t>Técnico II</t>
        </is>
      </c>
      <c r="D4366" t="n">
        <v>27</v>
      </c>
      <c r="E4366" t="n">
        <v>22</v>
      </c>
      <c r="F4366" t="n">
        <v>14.06</v>
      </c>
      <c r="G4366" t="n">
        <v>4</v>
      </c>
    </row>
    <row r="4367" hidden="1">
      <c r="A4367" s="11" t="n">
        <v>46168</v>
      </c>
      <c r="B4367" t="inlineStr">
        <is>
          <t>Carlos Mateus Cassimiro Nunes</t>
        </is>
      </c>
      <c r="C4367" t="inlineStr">
        <is>
          <t>Técnico II</t>
        </is>
      </c>
      <c r="D4367" t="n">
        <v>28</v>
      </c>
      <c r="E4367" t="n">
        <v>26</v>
      </c>
      <c r="F4367" t="n">
        <v>20.21</v>
      </c>
      <c r="G4367" t="n">
        <v>2</v>
      </c>
    </row>
    <row r="4368" hidden="1">
      <c r="A4368" s="11" t="n">
        <v>46168</v>
      </c>
      <c r="B4368" t="inlineStr">
        <is>
          <t>Damyllis Lorraine de Oliveira Gonçalves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</row>
    <row r="4369" hidden="1">
      <c r="A4369" s="11" t="n">
        <v>46168</v>
      </c>
      <c r="B4369" t="inlineStr">
        <is>
          <t>Emilly Kamilly Medeiros Miranda</t>
        </is>
      </c>
      <c r="C4369" t="inlineStr">
        <is>
          <t>Técnico II</t>
        </is>
      </c>
      <c r="D4369" t="n">
        <v>21</v>
      </c>
      <c r="E4369" t="n">
        <v>21</v>
      </c>
      <c r="F4369" t="n">
        <v>13.22</v>
      </c>
      <c r="G4369" t="n">
        <v>1</v>
      </c>
    </row>
    <row r="4370" hidden="1">
      <c r="A4370" s="11" t="n">
        <v>46168</v>
      </c>
      <c r="B4370" t="inlineStr">
        <is>
          <t>Francilene Ferreira de Jesus</t>
        </is>
      </c>
      <c r="C4370" t="inlineStr">
        <is>
          <t>Técnico II</t>
        </is>
      </c>
      <c r="D4370" t="n">
        <v>0</v>
      </c>
      <c r="E4370" t="n">
        <v>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</row>
    <row r="4371" hidden="1">
      <c r="A4371" s="11" t="n">
        <v>46168</v>
      </c>
      <c r="B4371" t="inlineStr">
        <is>
          <t>Isabella Borges de Oliveira</t>
        </is>
      </c>
      <c r="C4371" t="inlineStr">
        <is>
          <t>Técnico II</t>
        </is>
      </c>
      <c r="D4371" t="n">
        <v>24</v>
      </c>
      <c r="E4371" t="n">
        <v>23</v>
      </c>
      <c r="F4371" t="n">
        <v>15.03</v>
      </c>
      <c r="G4371" t="n">
        <v>1</v>
      </c>
    </row>
    <row r="4372" hidden="1">
      <c r="A4372" s="11" t="n">
        <v>46168</v>
      </c>
      <c r="B4372" t="inlineStr">
        <is>
          <t>Jessica Faria da Silveira</t>
        </is>
      </c>
      <c r="C4372" t="inlineStr">
        <is>
          <t>Técnico II</t>
        </is>
      </c>
      <c r="D4372" t="n">
        <v>34</v>
      </c>
      <c r="E4372" t="n">
        <v>20</v>
      </c>
      <c r="F4372" t="n">
        <v>7.25</v>
      </c>
      <c r="G4372" t="n">
        <v>0</v>
      </c>
    </row>
    <row r="4373" hidden="1">
      <c r="A4373" s="11" t="n">
        <v>46168</v>
      </c>
      <c r="B4373" t="inlineStr">
        <is>
          <t>Lizandra Gomes Duarte</t>
        </is>
      </c>
      <c r="C4373" t="inlineStr">
        <is>
          <t>Técnico II</t>
        </is>
      </c>
      <c r="D4373" t="n">
        <v>21</v>
      </c>
      <c r="E4373" t="n">
        <v>20</v>
      </c>
      <c r="F4373" t="n">
        <v>20.39</v>
      </c>
      <c r="G4373" t="n">
        <v>0</v>
      </c>
    </row>
    <row r="4374" hidden="1">
      <c r="A4374" s="11" t="n">
        <v>46168</v>
      </c>
      <c r="B4374" t="inlineStr">
        <is>
          <t>Lorena Dias de Araujo</t>
        </is>
      </c>
      <c r="C4374" t="inlineStr">
        <is>
          <t>Técnico II</t>
        </is>
      </c>
      <c r="D4374" t="n">
        <v>18</v>
      </c>
      <c r="E4374" t="n">
        <v>17</v>
      </c>
      <c r="F4374" t="n">
        <v>22.25</v>
      </c>
      <c r="G4374" t="n">
        <v>0</v>
      </c>
    </row>
    <row r="4375" hidden="1">
      <c r="A4375" s="11" t="n">
        <v>46168</v>
      </c>
      <c r="B4375" t="inlineStr">
        <is>
          <t>Patrícia Karla de Sousa Araújo</t>
        </is>
      </c>
      <c r="C4375" t="inlineStr">
        <is>
          <t>Técnico II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</row>
    <row r="4376" hidden="1">
      <c r="A4376" s="5" t="n">
        <v>46146</v>
      </c>
      <c r="B4376" s="6" t="inlineStr">
        <is>
          <t>Ana Karollyne Souza Faria</t>
        </is>
      </c>
      <c r="C4376" s="3" t="inlineStr">
        <is>
          <t>Técnico I</t>
        </is>
      </c>
      <c r="D4376" s="3" t="n">
        <v>41</v>
      </c>
      <c r="E4376" s="3" t="n">
        <v>39</v>
      </c>
      <c r="F4376" s="3" t="n">
        <v>17.31</v>
      </c>
      <c r="G4376" s="3" t="n">
        <v>1</v>
      </c>
      <c r="H4376" s="3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IF(K4376&lt;-5,"CRÍTICO",IF(K4376&lt;0,"ATENÇÃO",IF(K4376&lt;=5,"BOM","EXCELENTE")))</f>
        <v/>
      </c>
      <c r="M4376" s="9" t="n">
        <v>35</v>
      </c>
      <c r="N4376" s="9" t="n">
        <v>95.38</v>
      </c>
      <c r="O4376" s="9" t="n">
        <v>21.5962441314554</v>
      </c>
    </row>
    <row r="4377" hidden="1">
      <c r="A4377" s="5" t="n">
        <v>46146</v>
      </c>
      <c r="B4377" s="6" t="inlineStr">
        <is>
          <t>Clessiane Pereira dos Santos</t>
        </is>
      </c>
      <c r="C4377" s="3" t="inlineStr">
        <is>
          <t>Técnico I</t>
        </is>
      </c>
      <c r="D4377" s="3" t="n">
        <v>32</v>
      </c>
      <c r="E4377" s="3" t="n">
        <v>26</v>
      </c>
      <c r="F4377" s="3" t="n">
        <v>15.13</v>
      </c>
      <c r="G4377" s="3" t="n">
        <v>6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IF(K4377&lt;-5,"CRÍTICO",IF(K4377&lt;0,"ATENÇÃO",IF(K4377&lt;=5,"BOM","EXCELENTE")))</f>
        <v/>
      </c>
      <c r="M4377" s="9" t="n">
        <v>29</v>
      </c>
      <c r="N4377" s="9" t="n">
        <v>96.88</v>
      </c>
      <c r="O4377" s="9" t="n">
        <v>19.52662721893491</v>
      </c>
    </row>
    <row r="4378" hidden="1">
      <c r="A4378" s="5" t="n">
        <v>46146</v>
      </c>
      <c r="B4378" s="6" t="inlineStr">
        <is>
          <t>Daniel Gomes da Silva</t>
        </is>
      </c>
      <c r="C4378" s="3" t="inlineStr">
        <is>
          <t>Técnico I</t>
        </is>
      </c>
      <c r="D4378" s="3" t="n">
        <v>28</v>
      </c>
      <c r="E4378" s="3" t="n">
        <v>27</v>
      </c>
      <c r="F4378" s="3" t="n">
        <v>17.14</v>
      </c>
      <c r="G4378" s="3" t="n">
        <v>0</v>
      </c>
      <c r="H4378" s="3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IF(K4378&lt;-5,"CRÍTICO",IF(K4378&lt;0,"ATENÇÃO",IF(K4378&lt;=5,"BOM","EXCELENTE")))</f>
        <v/>
      </c>
      <c r="M4378" s="9" t="n">
        <v>16</v>
      </c>
      <c r="N4378" s="9" t="n">
        <v>100</v>
      </c>
      <c r="O4378" s="9" t="n">
        <v>18.14516129032258</v>
      </c>
    </row>
    <row r="4379" hidden="1">
      <c r="A4379" s="5" t="n">
        <v>46146</v>
      </c>
      <c r="B4379" s="6" t="inlineStr">
        <is>
          <t>Luiz Fernando de Carvalho Junior</t>
        </is>
      </c>
      <c r="C4379" s="3" t="inlineStr">
        <is>
          <t>Técnico I</t>
        </is>
      </c>
      <c r="D4379" s="3" t="n">
        <v>25</v>
      </c>
      <c r="E4379" s="3" t="n">
        <v>21</v>
      </c>
      <c r="F4379" s="3" t="n">
        <v>17.18</v>
      </c>
      <c r="G4379" s="3" t="n">
        <v>4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IF(K4379&lt;-5,"CRÍTICO",IF(K4379&lt;0,"ATENÇÃO",IF(K4379&lt;=5,"BOM","EXCELENTE")))</f>
        <v/>
      </c>
      <c r="M4379" s="9" t="n">
        <v>26</v>
      </c>
      <c r="N4379" s="9" t="n">
        <v>93.26000000000001</v>
      </c>
      <c r="O4379" s="9" t="n">
        <v>19.93957703927493</v>
      </c>
    </row>
    <row r="4380" hidden="1">
      <c r="A4380" s="5" t="n">
        <v>46146</v>
      </c>
      <c r="B4380" s="6" t="inlineStr">
        <is>
          <t>Raane Batista Matos</t>
        </is>
      </c>
      <c r="C4380" s="3" t="inlineStr">
        <is>
          <t>Técnico I</t>
        </is>
      </c>
      <c r="D4380" s="3" t="n">
        <v>27</v>
      </c>
      <c r="E4380" s="3" t="n">
        <v>23</v>
      </c>
      <c r="F4380" s="3" t="n">
        <v>14.07</v>
      </c>
      <c r="G4380" s="3" t="n">
        <v>4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IF(K4380&lt;-5,"CRÍTICO",IF(K4380&lt;0,"ATENÇÃO",IF(K4380&lt;=5,"BOM","EXCELENTE")))</f>
        <v/>
      </c>
      <c r="M4380" s="9" t="n">
        <v>20</v>
      </c>
      <c r="N4380" s="9" t="n">
        <v>97.56</v>
      </c>
      <c r="O4380" s="9" t="n">
        <v>19.28783382789317</v>
      </c>
    </row>
    <row r="4381" hidden="1">
      <c r="A4381" s="5" t="n">
        <v>46146</v>
      </c>
      <c r="B4381" s="6" t="inlineStr">
        <is>
          <t>Sara Maria Monteiro Lopes</t>
        </is>
      </c>
      <c r="C4381" s="3" t="inlineStr">
        <is>
          <t>Técnico I</t>
        </is>
      </c>
      <c r="D4381" s="3" t="n">
        <v>20</v>
      </c>
      <c r="E4381" s="3" t="n">
        <v>20</v>
      </c>
      <c r="F4381" s="3" t="n">
        <v>25.29</v>
      </c>
      <c r="G4381" s="3" t="n">
        <v>0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IF(K4381&lt;-5,"CRÍTICO",IF(K4381&lt;0,"ATENÇÃO",IF(K4381&lt;=5,"BOM","EXCELENTE")))</f>
        <v/>
      </c>
      <c r="M4381" s="9" t="n">
        <v>20</v>
      </c>
      <c r="N4381" s="9" t="n">
        <v>100</v>
      </c>
      <c r="O4381" s="9" t="n">
        <v>16.97247706422019</v>
      </c>
    </row>
    <row r="4382" hidden="1">
      <c r="A4382" s="5" t="n">
        <v>46147</v>
      </c>
      <c r="B4382" t="inlineStr">
        <is>
          <t>Ana Karollyne Souza Faria</t>
        </is>
      </c>
      <c r="C4382" s="3" t="inlineStr">
        <is>
          <t>Técnico I</t>
        </is>
      </c>
      <c r="D4382" s="3" t="n">
        <v>30</v>
      </c>
      <c r="E4382" s="3" t="n">
        <v>30</v>
      </c>
      <c r="F4382" s="3" t="n">
        <v>17.01</v>
      </c>
      <c r="G4382" s="3" t="n">
        <v>7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IF(K4382&lt;-5,"CRÍTICO",IF(K4382&lt;0,"ATENÇÃO",IF(K4382&lt;=5,"BOM","EXCELENTE")))</f>
        <v/>
      </c>
      <c r="M4382" s="3" t="n">
        <v>36</v>
      </c>
      <c r="N4382" s="3" t="n">
        <v>95.38</v>
      </c>
      <c r="O4382" s="3" t="n">
        <v>21.5962441314554</v>
      </c>
    </row>
    <row r="4383" hidden="1">
      <c r="A4383" s="5" t="n">
        <v>46147</v>
      </c>
      <c r="B4383" s="6" t="inlineStr">
        <is>
          <t>Clessiane Pereira dos Santos</t>
        </is>
      </c>
      <c r="C4383" s="3" t="inlineStr">
        <is>
          <t>Técnico I</t>
        </is>
      </c>
      <c r="D4383" s="3" t="n">
        <v>122</v>
      </c>
      <c r="E4383" s="3" t="n">
        <v>28</v>
      </c>
      <c r="F4383" s="3" t="n">
        <v>3.47</v>
      </c>
      <c r="G4383" s="3" t="n">
        <v>1</v>
      </c>
      <c r="H4383" s="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IF(K4383&lt;-5,"CRÍTICO",IF(K4383&lt;0,"ATENÇÃO",IF(K4383&lt;=5,"BOM","EXCELENTE")))</f>
        <v/>
      </c>
      <c r="M4383" s="3" t="n">
        <v>16</v>
      </c>
      <c r="N4383" s="3" t="n">
        <v>96.88</v>
      </c>
      <c r="O4383" s="3" t="n">
        <v>19.52662721893491</v>
      </c>
    </row>
    <row r="4384" hidden="1">
      <c r="A4384" s="5" t="n">
        <v>46147</v>
      </c>
      <c r="B4384" s="6" t="inlineStr">
        <is>
          <t>Daniel Gomes da Silva</t>
        </is>
      </c>
      <c r="C4384" s="3" t="inlineStr">
        <is>
          <t>Técnico I</t>
        </is>
      </c>
      <c r="D4384" s="3" t="n">
        <v>12</v>
      </c>
      <c r="E4384" s="3" t="n">
        <v>12</v>
      </c>
      <c r="F4384" s="3" t="n">
        <v>28.25</v>
      </c>
      <c r="G4384" s="3" t="n">
        <v>10</v>
      </c>
      <c r="H4384" s="3" t="n">
        <v>0</v>
      </c>
      <c r="I4384" s="3">
        <f>E4384+G4384+H4384</f>
        <v/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/>
      </c>
      <c r="K4384" s="3">
        <f>I4384-J4384</f>
        <v/>
      </c>
      <c r="L4384" s="3">
        <f>IF(K4384&lt;-5,"CRÍTICO",IF(K4384&lt;0,"ATENÇÃO",IF(K4384&lt;=5,"BOM","EXCELENTE")))</f>
        <v/>
      </c>
      <c r="M4384" s="3" t="n">
        <v>18</v>
      </c>
      <c r="N4384" s="3" t="n">
        <v>100</v>
      </c>
      <c r="O4384" s="3" t="n">
        <v>18.14516129032258</v>
      </c>
    </row>
    <row r="4385" hidden="1">
      <c r="A4385" s="5" t="n">
        <v>46147</v>
      </c>
      <c r="B4385" s="6" t="inlineStr">
        <is>
          <t>Luiz Fernando de Carvalho Junior</t>
        </is>
      </c>
      <c r="C4385" s="3" t="inlineStr">
        <is>
          <t>Técnico I</t>
        </is>
      </c>
      <c r="D4385" s="3" t="n">
        <v>31</v>
      </c>
      <c r="E4385" s="3" t="n">
        <v>28</v>
      </c>
      <c r="F4385" s="3" t="n">
        <v>17.33</v>
      </c>
      <c r="G4385" s="3" t="n">
        <v>1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IF(K4385&lt;-5,"CRÍTICO",IF(K4385&lt;0,"ATENÇÃO",IF(K4385&lt;=5,"BOM","EXCELENTE")))</f>
        <v/>
      </c>
      <c r="M4385" s="3" t="n">
        <v>30</v>
      </c>
      <c r="N4385" s="3" t="n">
        <v>93.26000000000001</v>
      </c>
      <c r="O4385" s="3" t="n">
        <v>19.93957703927493</v>
      </c>
    </row>
    <row r="4386" hidden="1">
      <c r="A4386" s="5" t="n">
        <v>46147</v>
      </c>
      <c r="B4386" s="6" t="inlineStr">
        <is>
          <t>Raane Batista Matos</t>
        </is>
      </c>
      <c r="C4386" s="3" t="inlineStr">
        <is>
          <t>Técnico I</t>
        </is>
      </c>
      <c r="D4386" s="3" t="n">
        <v>31</v>
      </c>
      <c r="E4386" s="3" t="n">
        <v>26</v>
      </c>
      <c r="F4386" s="3" t="n">
        <v>13.5</v>
      </c>
      <c r="G4386" s="3" t="n">
        <v>10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IF(K4386&lt;-5,"CRÍTICO",IF(K4386&lt;0,"ATENÇÃO",IF(K4386&lt;=5,"BOM","EXCELENTE")))</f>
        <v/>
      </c>
      <c r="M4386" s="3" t="n">
        <v>21</v>
      </c>
      <c r="N4386" s="3" t="n">
        <v>97.56</v>
      </c>
      <c r="O4386" s="3" t="n">
        <v>19.28783382789317</v>
      </c>
    </row>
    <row r="4387" hidden="1">
      <c r="A4387" s="5" t="n">
        <v>46147</v>
      </c>
      <c r="B4387" s="6" t="inlineStr">
        <is>
          <t>Sara Maria Monteiro Lopes</t>
        </is>
      </c>
      <c r="C4387" s="3" t="inlineStr">
        <is>
          <t>Técnico I</t>
        </is>
      </c>
      <c r="D4387" s="3" t="n">
        <v>14</v>
      </c>
      <c r="E4387" s="3" t="n">
        <v>14</v>
      </c>
      <c r="F4387" s="3" t="n">
        <v>35.53</v>
      </c>
      <c r="G4387" s="3" t="n">
        <v>3</v>
      </c>
      <c r="H4387" s="3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IF(K4387&lt;-5,"CRÍTICO",IF(K4387&lt;0,"ATENÇÃO",IF(K4387&lt;=5,"BOM","EXCELENTE")))</f>
        <v/>
      </c>
      <c r="M4387" s="3" t="n">
        <v>10</v>
      </c>
      <c r="N4387" s="3" t="n">
        <v>100</v>
      </c>
      <c r="O4387" s="3" t="n">
        <v>16.97247706422019</v>
      </c>
    </row>
    <row r="4388" hidden="1">
      <c r="A4388" s="5" t="n">
        <v>46148</v>
      </c>
      <c r="B4388" s="6" t="inlineStr">
        <is>
          <t>Ana Karollyne Souza Faria</t>
        </is>
      </c>
      <c r="C4388" s="3" t="inlineStr">
        <is>
          <t>Técnico I</t>
        </is>
      </c>
      <c r="D4388" s="3" t="n">
        <v>50</v>
      </c>
      <c r="E4388" s="3" t="n">
        <v>43</v>
      </c>
      <c r="F4388" t="n">
        <v>14.05</v>
      </c>
      <c r="G4388" s="3" t="n">
        <v>6</v>
      </c>
      <c r="H4388" s="3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IF(K4388&lt;-5,"CRÍTICO",IF(K4388&lt;0,"ATENÇÃO",IF(K4388&lt;=5,"BOM","EXCELENTE")))</f>
        <v/>
      </c>
      <c r="M4388" s="3" t="n">
        <v>43</v>
      </c>
      <c r="N4388" s="3" t="n">
        <v>95.38</v>
      </c>
      <c r="O4388" s="3" t="n">
        <v>21.5962441314554</v>
      </c>
    </row>
    <row r="4389" hidden="1">
      <c r="A4389" s="5" t="n">
        <v>46148</v>
      </c>
      <c r="B4389" s="6" t="inlineStr">
        <is>
          <t>Clessiane Pereira dos Santos</t>
        </is>
      </c>
      <c r="C4389" s="3" t="inlineStr">
        <is>
          <t>Técnico I</t>
        </is>
      </c>
      <c r="D4389" s="3" t="n">
        <v>24</v>
      </c>
      <c r="E4389" s="3" t="n">
        <v>23</v>
      </c>
      <c r="F4389" t="n">
        <v>17.07</v>
      </c>
      <c r="G4389" s="3" t="n">
        <v>9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IF(K4389&lt;-5,"CRÍTICO",IF(K4389&lt;0,"ATENÇÃO",IF(K4389&lt;=5,"BOM","EXCELENTE")))</f>
        <v/>
      </c>
      <c r="M4389" s="3" t="n">
        <v>30</v>
      </c>
      <c r="N4389" s="3" t="n">
        <v>96.88</v>
      </c>
      <c r="O4389" s="3" t="n">
        <v>19.52662721893491</v>
      </c>
    </row>
    <row r="4390" hidden="1">
      <c r="A4390" s="5" t="n">
        <v>46148</v>
      </c>
      <c r="B4390" s="6" t="inlineStr">
        <is>
          <t>Daniel Gomes da Silva</t>
        </is>
      </c>
      <c r="C4390" s="3" t="inlineStr">
        <is>
          <t>Técnico I</t>
        </is>
      </c>
      <c r="D4390" s="3" t="n">
        <v>19</v>
      </c>
      <c r="E4390" s="3" t="n">
        <v>16</v>
      </c>
      <c r="F4390" t="n">
        <v>16.51</v>
      </c>
      <c r="G4390" s="3" t="n">
        <v>0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IF(K4390&lt;-5,"CRÍTICO",IF(K4390&lt;0,"ATENÇÃO",IF(K4390&lt;=5,"BOM","EXCELENTE")))</f>
        <v/>
      </c>
      <c r="M4390" s="3" t="n">
        <v>13</v>
      </c>
      <c r="N4390" s="3" t="n">
        <v>100</v>
      </c>
      <c r="O4390" s="3" t="n">
        <v>18.14516129032258</v>
      </c>
    </row>
    <row r="4391" hidden="1">
      <c r="A4391" s="5" t="n">
        <v>46148</v>
      </c>
      <c r="B4391" s="6" t="inlineStr">
        <is>
          <t>Luiz Fernando de Carvalho Junior</t>
        </is>
      </c>
      <c r="C4391" s="3" t="inlineStr">
        <is>
          <t>Técnico I</t>
        </is>
      </c>
      <c r="D4391" s="3" t="n">
        <v>31</v>
      </c>
      <c r="E4391" s="3" t="n">
        <v>30</v>
      </c>
      <c r="F4391" t="n">
        <v>17.33</v>
      </c>
      <c r="G4391" s="3" t="n">
        <v>8</v>
      </c>
      <c r="H4391" s="3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IF(K4391&lt;-5,"CRÍTICO",IF(K4391&lt;0,"ATENÇÃO",IF(K4391&lt;=5,"BOM","EXCELENTE")))</f>
        <v/>
      </c>
      <c r="M4391" s="3" t="n">
        <v>36</v>
      </c>
      <c r="N4391" s="3" t="n">
        <v>93.26000000000001</v>
      </c>
      <c r="O4391" s="3" t="n">
        <v>19.93957703927493</v>
      </c>
    </row>
    <row r="4392" hidden="1">
      <c r="A4392" s="5" t="n">
        <v>46148</v>
      </c>
      <c r="B4392" s="6" t="inlineStr">
        <is>
          <t>Raane Batista Matos</t>
        </is>
      </c>
      <c r="C4392" s="3" t="inlineStr">
        <is>
          <t>Técnico I</t>
        </is>
      </c>
      <c r="D4392" s="3" t="n">
        <v>34</v>
      </c>
      <c r="E4392" s="3" t="n">
        <v>30</v>
      </c>
      <c r="F4392" t="n">
        <v>13.25</v>
      </c>
      <c r="G4392" s="3" t="n">
        <v>5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IF(K4392&lt;-5,"CRÍTICO",IF(K4392&lt;0,"ATENÇÃO",IF(K4392&lt;=5,"BOM","EXCELENTE")))</f>
        <v/>
      </c>
      <c r="M4392" s="3" t="n">
        <v>23</v>
      </c>
      <c r="N4392" s="3" t="n">
        <v>97.56</v>
      </c>
      <c r="O4392" s="3" t="n">
        <v>19.28783382789317</v>
      </c>
    </row>
    <row r="4393" hidden="1">
      <c r="A4393" s="5" t="n">
        <v>46148</v>
      </c>
      <c r="B4393" s="6" t="inlineStr">
        <is>
          <t>Sara Maria Monteiro Lopes</t>
        </is>
      </c>
      <c r="C4393" s="3" t="inlineStr">
        <is>
          <t>Técnico I</t>
        </is>
      </c>
      <c r="D4393" s="3" t="n">
        <v>19</v>
      </c>
      <c r="E4393" s="3" t="n">
        <v>18</v>
      </c>
      <c r="F4393" t="n">
        <v>26.43</v>
      </c>
      <c r="G4393" s="3" t="n">
        <v>1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IF(K4393&lt;-5,"CRÍTICO",IF(K4393&lt;0,"ATENÇÃO",IF(K4393&lt;=5,"BOM","EXCELENTE")))</f>
        <v/>
      </c>
      <c r="M4393" s="3" t="n">
        <v>18</v>
      </c>
      <c r="N4393" s="3" t="n">
        <v>100</v>
      </c>
      <c r="O4393" s="3" t="n">
        <v>16.97247706422019</v>
      </c>
    </row>
    <row r="4394" hidden="1">
      <c r="A4394" s="5" t="n">
        <v>46149</v>
      </c>
      <c r="B4394" s="6" t="inlineStr">
        <is>
          <t>Ana Karollyne Souza Faria</t>
        </is>
      </c>
      <c r="C4394" s="3" t="inlineStr">
        <is>
          <t>Técnico I</t>
        </is>
      </c>
      <c r="D4394" s="3" t="n">
        <v>31</v>
      </c>
      <c r="E4394" s="3" t="n">
        <v>28</v>
      </c>
      <c r="F4394" t="n">
        <v>15.11</v>
      </c>
      <c r="G4394" s="3" t="n">
        <v>10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IF(K4394&lt;-5,"CRÍTICO",IF(K4394&lt;0,"ATENÇÃO",IF(K4394&lt;=5,"BOM","EXCELENTE")))</f>
        <v/>
      </c>
      <c r="M4394" s="3" t="n">
        <v>36</v>
      </c>
      <c r="N4394" s="3" t="n">
        <v>95.38</v>
      </c>
      <c r="O4394" s="3" t="n">
        <v>21.5962441314554</v>
      </c>
    </row>
    <row r="4395" hidden="1">
      <c r="A4395" s="5" t="n">
        <v>46149</v>
      </c>
      <c r="B4395" s="6" t="inlineStr">
        <is>
          <t>Clessiane Pereira dos Santos</t>
        </is>
      </c>
      <c r="C4395" s="3" t="inlineStr">
        <is>
          <t>Técnico I</t>
        </is>
      </c>
      <c r="D4395" s="3" t="n">
        <v>25</v>
      </c>
      <c r="E4395" s="3" t="n">
        <v>23</v>
      </c>
      <c r="F4395" t="n">
        <v>16.56</v>
      </c>
      <c r="G4395" s="3" t="n">
        <v>1</v>
      </c>
      <c r="H4395" s="3" t="n">
        <v>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IF(K4395&lt;-5,"CRÍTICO",IF(K4395&lt;0,"ATENÇÃO",IF(K4395&lt;=5,"BOM","EXCELENTE")))</f>
        <v/>
      </c>
      <c r="M4395" s="3" t="n">
        <v>22</v>
      </c>
      <c r="N4395" s="3" t="n">
        <v>96.88</v>
      </c>
      <c r="O4395" s="3" t="n">
        <v>19.52662721893491</v>
      </c>
    </row>
    <row r="4396" hidden="1">
      <c r="A4396" s="5" t="n">
        <v>46149</v>
      </c>
      <c r="B4396" s="6" t="inlineStr">
        <is>
          <t>Daniel Gomes da Silva</t>
        </is>
      </c>
      <c r="C4396" s="3" t="inlineStr">
        <is>
          <t>Técnico I</t>
        </is>
      </c>
      <c r="D4396" s="3" t="n">
        <v>17</v>
      </c>
      <c r="E4396" s="3" t="n">
        <v>17</v>
      </c>
      <c r="F4396" t="n">
        <v>16.5</v>
      </c>
      <c r="G4396" s="3" t="n">
        <v>7</v>
      </c>
      <c r="H4396" s="3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IF(K4396&lt;-5,"CRÍTICO",IF(K4396&lt;0,"ATENÇÃO",IF(K4396&lt;=5,"BOM","EXCELENTE")))</f>
        <v/>
      </c>
      <c r="M4396" s="3" t="n">
        <v>19</v>
      </c>
      <c r="N4396" s="3" t="n">
        <v>100</v>
      </c>
      <c r="O4396" s="3" t="n">
        <v>18.14516129032258</v>
      </c>
    </row>
    <row r="4397" hidden="1">
      <c r="A4397" s="5" t="n">
        <v>46149</v>
      </c>
      <c r="B4397" s="6" t="inlineStr">
        <is>
          <t>Luiz Fernando de Carvalho Junior</t>
        </is>
      </c>
      <c r="C4397" s="3" t="inlineStr">
        <is>
          <t>Técnico I</t>
        </is>
      </c>
      <c r="D4397" s="3" t="n">
        <v>25</v>
      </c>
      <c r="E4397" s="3" t="n">
        <v>25</v>
      </c>
      <c r="F4397" t="n">
        <v>25.28</v>
      </c>
      <c r="G4397" s="3" t="n">
        <v>1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IF(K4397&lt;-5,"CRÍTICO",IF(K4397&lt;0,"ATENÇÃO",IF(K4397&lt;=5,"BOM","EXCELENTE")))</f>
        <v/>
      </c>
      <c r="M4397" s="3" t="n">
        <v>25</v>
      </c>
      <c r="N4397" s="3" t="n">
        <v>93.26000000000001</v>
      </c>
      <c r="O4397" s="3" t="n">
        <v>19.93957703927493</v>
      </c>
    </row>
    <row r="4398" hidden="1">
      <c r="A4398" s="5" t="n">
        <v>46149</v>
      </c>
      <c r="B4398" s="6" t="inlineStr">
        <is>
          <t>Raane Batista Matos</t>
        </is>
      </c>
      <c r="C4398" s="3" t="inlineStr">
        <is>
          <t>Técnico I</t>
        </is>
      </c>
      <c r="D4398" s="3" t="n">
        <v>31</v>
      </c>
      <c r="E4398" s="3" t="n">
        <v>26</v>
      </c>
      <c r="F4398" t="n">
        <v>11.59</v>
      </c>
      <c r="G4398" s="3" t="n">
        <v>14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IF(K4398&lt;-5,"CRÍTICO",IF(K4398&lt;0,"ATENÇÃO",IF(K4398&lt;=5,"BOM","EXCELENTE")))</f>
        <v/>
      </c>
      <c r="M4398" s="3" t="n">
        <v>23</v>
      </c>
      <c r="N4398" s="3" t="n">
        <v>97.56</v>
      </c>
      <c r="O4398" s="3" t="n">
        <v>19.28783382789317</v>
      </c>
    </row>
    <row r="4399" hidden="1">
      <c r="A4399" s="5" t="n">
        <v>46149</v>
      </c>
      <c r="B4399" s="6" t="inlineStr">
        <is>
          <t>Sara Maria Monteiro Lopes</t>
        </is>
      </c>
      <c r="C4399" s="3" t="inlineStr">
        <is>
          <t>Técnico I</t>
        </is>
      </c>
      <c r="D4399" s="3" t="n">
        <v>14</v>
      </c>
      <c r="E4399" s="3" t="n">
        <v>14</v>
      </c>
      <c r="F4399" t="n">
        <v>33.45</v>
      </c>
      <c r="G4399" s="3" t="n">
        <v>6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IF(K4399&lt;-5,"CRÍTICO",IF(K4399&lt;0,"ATENÇÃO",IF(K4399&lt;=5,"BOM","EXCELENTE")))</f>
        <v/>
      </c>
      <c r="M4399" s="3" t="n">
        <v>20</v>
      </c>
      <c r="N4399" s="3" t="n">
        <v>100</v>
      </c>
      <c r="O4399" s="3" t="n">
        <v>16.97247706422019</v>
      </c>
    </row>
    <row r="4400" hidden="1">
      <c r="A4400" s="5" t="n">
        <v>46150</v>
      </c>
      <c r="B4400" s="6" t="inlineStr">
        <is>
          <t>Ana Karollyne Souza Faria</t>
        </is>
      </c>
      <c r="C4400" s="3" t="inlineStr">
        <is>
          <t>Técnico I</t>
        </is>
      </c>
      <c r="D4400" s="3" t="n">
        <v>26</v>
      </c>
      <c r="E4400" s="3" t="n">
        <v>25</v>
      </c>
      <c r="F4400" t="n">
        <v>22.39</v>
      </c>
      <c r="G4400" s="3" t="n">
        <v>0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IF(K4400&lt;-5,"CRÍTICO",IF(K4400&lt;0,"ATENÇÃO",IF(K4400&lt;=5,"BOM","EXCELENTE")))</f>
        <v/>
      </c>
      <c r="M4400" s="3" t="n">
        <v>24</v>
      </c>
      <c r="N4400" s="3" t="n">
        <v>95.38</v>
      </c>
      <c r="O4400" s="3" t="n">
        <v>21.5962441314554</v>
      </c>
    </row>
    <row r="4401" hidden="1">
      <c r="A4401" s="5" t="n">
        <v>46150</v>
      </c>
      <c r="B4401" s="6" t="inlineStr">
        <is>
          <t>Clessiane Pereira dos Santos</t>
        </is>
      </c>
      <c r="C4401" s="3" t="inlineStr">
        <is>
          <t>Técnico I</t>
        </is>
      </c>
      <c r="D4401" s="3" t="n">
        <v>25</v>
      </c>
      <c r="E4401" s="3" t="n">
        <v>24</v>
      </c>
      <c r="F4401" t="n">
        <v>17.35</v>
      </c>
      <c r="G4401" s="3" t="n">
        <v>6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IF(K4401&lt;-5,"CRÍTICO",IF(K4401&lt;0,"ATENÇÃO",IF(K4401&lt;=5,"BOM","EXCELENTE")))</f>
        <v/>
      </c>
      <c r="M4401" t="n">
        <v>27</v>
      </c>
      <c r="N4401" t="n">
        <v>96.88</v>
      </c>
      <c r="O4401" t="n">
        <v>19.52662721893491</v>
      </c>
    </row>
    <row r="4402" hidden="1">
      <c r="A4402" s="5" t="n">
        <v>46150</v>
      </c>
      <c r="B4402" s="6" t="inlineStr">
        <is>
          <t>Daniel Gomes da Silva</t>
        </is>
      </c>
      <c r="C4402" s="3" t="inlineStr">
        <is>
          <t>Técnico I</t>
        </is>
      </c>
      <c r="D4402" s="3" t="n">
        <v>16</v>
      </c>
      <c r="E4402" s="3" t="n">
        <v>16</v>
      </c>
      <c r="F4402" t="n">
        <v>23.51</v>
      </c>
      <c r="G4402" s="3" t="n">
        <v>0</v>
      </c>
      <c r="H4402" s="3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IF(K4402&lt;-5,"CRÍTICO",IF(K4402&lt;0,"ATENÇÃO",IF(K4402&lt;=5,"BOM","EXCELENTE")))</f>
        <v/>
      </c>
      <c r="M4402" t="n">
        <v>11</v>
      </c>
      <c r="N4402" t="n">
        <v>100</v>
      </c>
      <c r="O4402" t="n">
        <v>18.14516129032258</v>
      </c>
    </row>
    <row r="4403" hidden="1">
      <c r="A4403" s="5" t="n">
        <v>46150</v>
      </c>
      <c r="B4403" s="6" t="inlineStr">
        <is>
          <t>Luiz Fernando de Carvalho Junior</t>
        </is>
      </c>
      <c r="C4403" s="3" t="inlineStr">
        <is>
          <t>Técnico I</t>
        </is>
      </c>
      <c r="D4403" s="3" t="n">
        <v>18</v>
      </c>
      <c r="E4403" s="3" t="n">
        <v>17</v>
      </c>
      <c r="F4403" t="n">
        <v>25.06</v>
      </c>
      <c r="G4403" s="3" t="n">
        <v>6</v>
      </c>
      <c r="H4403" s="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IF(K4403&lt;-5,"CRÍTICO",IF(K4403&lt;0,"ATENÇÃO",IF(K4403&lt;=5,"BOM","EXCELENTE")))</f>
        <v/>
      </c>
      <c r="M4403" t="n">
        <v>23</v>
      </c>
      <c r="N4403" t="n">
        <v>93.26000000000001</v>
      </c>
      <c r="O4403" t="n">
        <v>19.93957703927493</v>
      </c>
    </row>
    <row r="4404" hidden="1">
      <c r="A4404" s="5" t="n">
        <v>46150</v>
      </c>
      <c r="B4404" s="6" t="inlineStr">
        <is>
          <t>Raane Batista Matos</t>
        </is>
      </c>
      <c r="C4404" s="3" t="inlineStr">
        <is>
          <t>Técnico I</t>
        </is>
      </c>
      <c r="D4404" s="3" t="n">
        <v>39</v>
      </c>
      <c r="E4404" s="3" t="n">
        <v>34</v>
      </c>
      <c r="F4404" t="n">
        <v>12.08</v>
      </c>
      <c r="G4404" s="3" t="n">
        <v>2</v>
      </c>
      <c r="H4404" s="3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IF(K4404&lt;-5,"CRÍTICO",IF(K4404&lt;0,"ATENÇÃO",IF(K4404&lt;=5,"BOM","EXCELENTE")))</f>
        <v/>
      </c>
      <c r="M4404" t="n">
        <v>32</v>
      </c>
      <c r="N4404" t="n">
        <v>97.56</v>
      </c>
      <c r="O4404" t="n">
        <v>19.28783382789317</v>
      </c>
    </row>
    <row r="4405" hidden="1">
      <c r="A4405" s="5" t="n">
        <v>46150</v>
      </c>
      <c r="B4405" s="6" t="inlineStr">
        <is>
          <t>Sara Maria Monteiro Lopes</t>
        </is>
      </c>
      <c r="C4405" s="3" t="inlineStr">
        <is>
          <t>Técnico I</t>
        </is>
      </c>
      <c r="D4405" s="3" t="n">
        <v>0</v>
      </c>
      <c r="E4405" s="3" t="n">
        <v>0</v>
      </c>
      <c r="F4405" s="3" t="n">
        <v>0</v>
      </c>
      <c r="G4405" s="3" t="n">
        <v>0</v>
      </c>
      <c r="H4405" s="3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IF(K4405&lt;-5,"CRÍTICO",IF(K4405&lt;0,"ATENÇÃO",IF(K4405&lt;=5,"BOM","EXCELENTE")))</f>
        <v/>
      </c>
      <c r="M4405" s="9" t="n">
        <v>0</v>
      </c>
      <c r="N4405" s="9" t="n">
        <v>100</v>
      </c>
      <c r="O4405" s="9" t="n">
        <v>16.97247706422019</v>
      </c>
    </row>
    <row r="4406" hidden="1">
      <c r="A4406" s="5" t="n">
        <v>46153</v>
      </c>
      <c r="B4406" s="6" t="inlineStr">
        <is>
          <t>Ana Karollyne Souza Faria</t>
        </is>
      </c>
      <c r="C4406" s="3" t="inlineStr">
        <is>
          <t>Técnico I</t>
        </is>
      </c>
      <c r="D4406" s="3" t="n">
        <v>40</v>
      </c>
      <c r="E4406" s="3" t="n">
        <v>38</v>
      </c>
      <c r="F4406" t="n">
        <v>13.44</v>
      </c>
      <c r="G4406" s="3" t="n">
        <v>8</v>
      </c>
      <c r="H4406" s="3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IF(K4406&lt;-5,"CRÍTICO",IF(K4406&lt;0,"ATENÇÃO",IF(K4406&lt;=5,"BOM","EXCELENTE")))</f>
        <v/>
      </c>
      <c r="M4406" s="3" t="n">
        <v>38</v>
      </c>
      <c r="N4406" s="3" t="n">
        <v>95.38</v>
      </c>
      <c r="O4406" s="3" t="n">
        <v>21.5962441314554</v>
      </c>
    </row>
    <row r="4407" hidden="1">
      <c r="A4407" s="5" t="n">
        <v>46153</v>
      </c>
      <c r="B4407" s="6" t="inlineStr">
        <is>
          <t>Clessiane Pereira dos Santos</t>
        </is>
      </c>
      <c r="C4407" s="3" t="inlineStr">
        <is>
          <t>Técnico I</t>
        </is>
      </c>
      <c r="D4407" s="3" t="n">
        <v>24</v>
      </c>
      <c r="E4407" s="3" t="n">
        <v>23</v>
      </c>
      <c r="F4407" t="n">
        <v>18.57</v>
      </c>
      <c r="G4407" s="3" t="n">
        <v>2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IF(K4407&lt;-5,"CRÍTICO",IF(K4407&lt;0,"ATENÇÃO",IF(K4407&lt;=5,"BOM","EXCELENTE")))</f>
        <v/>
      </c>
      <c r="M4407" t="n">
        <v>21</v>
      </c>
      <c r="N4407" t="n">
        <v>96.88</v>
      </c>
      <c r="O4407" t="n">
        <v>19.52662721893491</v>
      </c>
    </row>
    <row r="4408" hidden="1">
      <c r="A4408" s="5" t="n">
        <v>46153</v>
      </c>
      <c r="B4408" s="6" t="inlineStr">
        <is>
          <t>Daniel Gomes da Silva</t>
        </is>
      </c>
      <c r="C4408" s="3" t="inlineStr">
        <is>
          <t>Técnico I</t>
        </is>
      </c>
      <c r="D4408" s="3" t="n">
        <v>24</v>
      </c>
      <c r="E4408" s="3" t="n">
        <v>20</v>
      </c>
      <c r="F4408" t="n">
        <v>13.37</v>
      </c>
      <c r="G4408" s="3" t="n">
        <v>2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IF(K4408&lt;-5,"CRÍTICO",IF(K4408&lt;0,"ATENÇÃO",IF(K4408&lt;=5,"BOM","EXCELENTE")))</f>
        <v/>
      </c>
      <c r="M4408" t="n">
        <v>19</v>
      </c>
      <c r="N4408" t="n">
        <v>100</v>
      </c>
      <c r="O4408" t="n">
        <v>18.14516129032258</v>
      </c>
    </row>
    <row r="4409" hidden="1">
      <c r="A4409" s="5" t="n">
        <v>46153</v>
      </c>
      <c r="B4409" s="6" t="inlineStr">
        <is>
          <t>Luiz Fernando de Carvalho Junior</t>
        </is>
      </c>
      <c r="C4409" s="3" t="inlineStr">
        <is>
          <t>Técnico I</t>
        </is>
      </c>
      <c r="D4409" s="3" t="n">
        <v>24</v>
      </c>
      <c r="E4409" s="3" t="n">
        <v>23</v>
      </c>
      <c r="F4409" t="n">
        <v>17.22</v>
      </c>
      <c r="G4409" s="3" t="n">
        <v>1</v>
      </c>
      <c r="H4409" s="3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IF(K4409&lt;-5,"CRÍTICO",IF(K4409&lt;0,"ATENÇÃO",IF(K4409&lt;=5,"BOM","EXCELENTE")))</f>
        <v/>
      </c>
      <c r="M4409" t="n">
        <v>25</v>
      </c>
      <c r="N4409" t="n">
        <v>93.26000000000001</v>
      </c>
      <c r="O4409" t="n">
        <v>19.93957703927493</v>
      </c>
    </row>
    <row r="4410" hidden="1">
      <c r="A4410" s="5" t="n">
        <v>46153</v>
      </c>
      <c r="B4410" s="6" t="inlineStr">
        <is>
          <t>Raane Batista Matos</t>
        </is>
      </c>
      <c r="C4410" s="3" t="inlineStr">
        <is>
          <t>Técnico I</t>
        </is>
      </c>
      <c r="D4410" s="3" t="n">
        <v>29</v>
      </c>
      <c r="E4410" s="3" t="n">
        <v>25</v>
      </c>
      <c r="F4410" t="n">
        <v>22.14</v>
      </c>
      <c r="G4410" s="3" t="n">
        <v>6</v>
      </c>
      <c r="H4410" s="3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IF(K4410&lt;-5,"CRÍTICO",IF(K4410&lt;0,"ATENÇÃO",IF(K4410&lt;=5,"BOM","EXCELENTE")))</f>
        <v/>
      </c>
      <c r="M4410" t="n">
        <v>24</v>
      </c>
      <c r="N4410" t="n">
        <v>97.56</v>
      </c>
      <c r="O4410" t="n">
        <v>19.28783382789317</v>
      </c>
    </row>
    <row r="4411" hidden="1">
      <c r="A4411" s="5" t="n">
        <v>46153</v>
      </c>
      <c r="B4411" s="6" t="inlineStr">
        <is>
          <t>Sara Maria Monteiro Lopes</t>
        </is>
      </c>
      <c r="C4411" s="3" t="inlineStr">
        <is>
          <t>Técnico I</t>
        </is>
      </c>
      <c r="D4411" s="3" t="n">
        <v>16</v>
      </c>
      <c r="E4411" s="3" t="n">
        <v>16</v>
      </c>
      <c r="F4411" t="n">
        <v>33.21</v>
      </c>
      <c r="G4411" s="3" t="n">
        <v>1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IF(K4411&lt;-5,"CRÍTICO",IF(K4411&lt;0,"ATENÇÃO",IF(K4411&lt;=5,"BOM","EXCELENTE")))</f>
        <v/>
      </c>
      <c r="M4411" t="n">
        <v>15</v>
      </c>
      <c r="N4411" t="n">
        <v>100</v>
      </c>
      <c r="O4411" t="n">
        <v>16.97247706422019</v>
      </c>
    </row>
    <row r="4412" hidden="1">
      <c r="A4412" s="5" t="n">
        <v>46154</v>
      </c>
      <c r="B4412" s="6" t="inlineStr">
        <is>
          <t>Ana Karollyne Souza Faria</t>
        </is>
      </c>
      <c r="C4412" s="3" t="inlineStr">
        <is>
          <t>Técnico I</t>
        </is>
      </c>
      <c r="D4412" s="3" t="n">
        <v>31</v>
      </c>
      <c r="E4412" s="3" t="n">
        <v>29</v>
      </c>
      <c r="F4412" t="n">
        <v>17.38</v>
      </c>
      <c r="G4412" s="3" t="n">
        <v>2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IF(K4412&lt;-5,"CRÍTICO",IF(K4412&lt;0,"ATENÇÃO",IF(K4412&lt;=5,"BOM","EXCELENTE")))</f>
        <v/>
      </c>
      <c r="M4412" s="3" t="n">
        <v>27</v>
      </c>
      <c r="N4412" s="3" t="n">
        <v>95.38</v>
      </c>
      <c r="O4412" s="3" t="n">
        <v>21.5962441314554</v>
      </c>
    </row>
    <row r="4413" hidden="1">
      <c r="A4413" s="5" t="n">
        <v>46154</v>
      </c>
      <c r="B4413" s="6" t="inlineStr">
        <is>
          <t>Clessiane Pereira dos Santos</t>
        </is>
      </c>
      <c r="C4413" s="3" t="inlineStr">
        <is>
          <t>Técnico I</t>
        </is>
      </c>
      <c r="D4413" s="3" t="n">
        <v>24</v>
      </c>
      <c r="E4413" s="3" t="n">
        <v>23</v>
      </c>
      <c r="F4413" t="n">
        <v>13.58</v>
      </c>
      <c r="G4413" s="3" t="n">
        <v>5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IF(K4413&lt;-5,"CRÍTICO",IF(K4413&lt;0,"ATENÇÃO",IF(K4413&lt;=5,"BOM","EXCELENTE")))</f>
        <v/>
      </c>
      <c r="M4413" t="n">
        <v>25</v>
      </c>
      <c r="N4413" t="n">
        <v>96.88</v>
      </c>
      <c r="O4413" t="n">
        <v>19.52662721893491</v>
      </c>
    </row>
    <row r="4414" hidden="1">
      <c r="A4414" s="5" t="n">
        <v>46154</v>
      </c>
      <c r="B4414" s="6" t="inlineStr">
        <is>
          <t>Daniel Gomes da Silva</t>
        </is>
      </c>
      <c r="C4414" s="3" t="inlineStr">
        <is>
          <t>Técnico I</t>
        </is>
      </c>
      <c r="D4414" s="3" t="n">
        <v>28</v>
      </c>
      <c r="E4414" s="3" t="n">
        <v>26</v>
      </c>
      <c r="F4414" t="n">
        <v>11.47</v>
      </c>
      <c r="G4414" s="3" t="n">
        <v>0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IF(K4414&lt;-5,"CRÍTICO",IF(K4414&lt;0,"ATENÇÃO",IF(K4414&lt;=5,"BOM","EXCELENTE")))</f>
        <v/>
      </c>
      <c r="M4414" t="n">
        <v>17</v>
      </c>
      <c r="N4414" t="n">
        <v>100</v>
      </c>
      <c r="O4414" t="n">
        <v>18.14516129032258</v>
      </c>
    </row>
    <row r="4415" hidden="1">
      <c r="A4415" s="5" t="n">
        <v>46154</v>
      </c>
      <c r="B4415" s="6" t="inlineStr">
        <is>
          <t>Luiz Fernando de Carvalho Junior</t>
        </is>
      </c>
      <c r="C4415" s="3" t="inlineStr">
        <is>
          <t>Técnico I</t>
        </is>
      </c>
      <c r="D4415" s="3" t="n">
        <v>24</v>
      </c>
      <c r="E4415" s="3" t="n">
        <v>20</v>
      </c>
      <c r="F4415" t="n">
        <v>19.15</v>
      </c>
      <c r="G4415" s="3" t="n">
        <v>4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IF(K4415&lt;-5,"CRÍTICO",IF(K4415&lt;0,"ATENÇÃO",IF(K4415&lt;=5,"BOM","EXCELENTE")))</f>
        <v/>
      </c>
      <c r="M4415" t="n">
        <v>22</v>
      </c>
      <c r="N4415" t="n">
        <v>93.26000000000001</v>
      </c>
      <c r="O4415" t="n">
        <v>19.93957703927493</v>
      </c>
    </row>
    <row r="4416" hidden="1">
      <c r="A4416" s="5" t="n">
        <v>46154</v>
      </c>
      <c r="B4416" s="6" t="inlineStr">
        <is>
          <t>Raane Batista Matos</t>
        </is>
      </c>
      <c r="C4416" s="3" t="inlineStr">
        <is>
          <t>Técnico I</t>
        </is>
      </c>
      <c r="D4416" s="3" t="n">
        <v>27</v>
      </c>
      <c r="E4416" s="3" t="n">
        <v>26</v>
      </c>
      <c r="F4416" t="n">
        <v>17.2</v>
      </c>
      <c r="G4416" s="3" t="n">
        <v>1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IF(K4416&lt;-5,"CRÍTICO",IF(K4416&lt;0,"ATENÇÃO",IF(K4416&lt;=5,"BOM","EXCELENTE")))</f>
        <v/>
      </c>
      <c r="M4416" t="n">
        <v>20</v>
      </c>
      <c r="N4416" t="n">
        <v>97.56</v>
      </c>
      <c r="O4416" t="n">
        <v>19.28783382789317</v>
      </c>
    </row>
    <row r="4417" hidden="1">
      <c r="A4417" s="5" t="n">
        <v>46154</v>
      </c>
      <c r="B4417" s="6" t="inlineStr">
        <is>
          <t>Sara Maria Monteiro Lopes</t>
        </is>
      </c>
      <c r="C4417" s="3" t="inlineStr">
        <is>
          <t>Técnico I</t>
        </is>
      </c>
      <c r="D4417" s="3" t="n">
        <v>19</v>
      </c>
      <c r="E4417" s="3" t="n">
        <v>19</v>
      </c>
      <c r="F4417" t="n">
        <v>30.07</v>
      </c>
      <c r="G4417" s="3" t="n">
        <v>0</v>
      </c>
      <c r="H4417" s="3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IF(K4417&lt;-5,"CRÍTICO",IF(K4417&lt;0,"ATENÇÃO",IF(K4417&lt;=5,"BOM","EXCELENTE")))</f>
        <v/>
      </c>
      <c r="M4417" t="n">
        <v>19</v>
      </c>
      <c r="N4417" t="n">
        <v>100</v>
      </c>
      <c r="O4417" t="n">
        <v>16.97247706422019</v>
      </c>
    </row>
    <row r="4418" hidden="1">
      <c r="A4418" s="5" t="n">
        <v>46155</v>
      </c>
      <c r="B4418" s="6" t="inlineStr">
        <is>
          <t>Ana Karollyne Souza Faria</t>
        </is>
      </c>
      <c r="C4418" s="3" t="inlineStr">
        <is>
          <t>Técnico I</t>
        </is>
      </c>
      <c r="D4418" s="3" t="n">
        <v>25</v>
      </c>
      <c r="E4418" s="3" t="n">
        <v>21</v>
      </c>
      <c r="F4418" t="n">
        <v>22.22</v>
      </c>
      <c r="G4418" s="3" t="n">
        <v>7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IF(K4418&lt;-5,"CRÍTICO",IF(K4418&lt;0,"ATENÇÃO",IF(K4418&lt;=5,"BOM","EXCELENTE")))</f>
        <v/>
      </c>
      <c r="M4418" s="3" t="n">
        <v>26</v>
      </c>
      <c r="N4418" s="3" t="n">
        <v>95.38</v>
      </c>
      <c r="O4418" s="3" t="n">
        <v>21.5962441314554</v>
      </c>
    </row>
    <row r="4419" hidden="1">
      <c r="A4419" s="5" t="n">
        <v>46155</v>
      </c>
      <c r="B4419" s="6" t="inlineStr">
        <is>
          <t>Clessiane Pereira dos Santos</t>
        </is>
      </c>
      <c r="C4419" s="3" t="inlineStr">
        <is>
          <t>Técnico I</t>
        </is>
      </c>
      <c r="D4419" s="3" t="n">
        <v>37</v>
      </c>
      <c r="E4419" s="3" t="n">
        <v>32</v>
      </c>
      <c r="F4419" t="n">
        <v>15.32</v>
      </c>
      <c r="G4419" s="3" t="n">
        <v>3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IF(K4419&lt;-5,"CRÍTICO",IF(K4419&lt;0,"ATENÇÃO",IF(K4419&lt;=5,"BOM","EXCELENTE")))</f>
        <v/>
      </c>
      <c r="M4419" t="n">
        <v>26</v>
      </c>
      <c r="N4419" t="n">
        <v>96.88</v>
      </c>
      <c r="O4419" t="n">
        <v>19.52662721893491</v>
      </c>
    </row>
    <row r="4420" hidden="1">
      <c r="A4420" s="5" t="n">
        <v>46155</v>
      </c>
      <c r="B4420" s="6" t="inlineStr">
        <is>
          <t>Daniel Gomes da Silva</t>
        </is>
      </c>
      <c r="C4420" s="3" t="inlineStr">
        <is>
          <t>Técnico I</t>
        </is>
      </c>
      <c r="D4420" s="3" t="n">
        <v>17</v>
      </c>
      <c r="E4420" s="3" t="n">
        <v>16</v>
      </c>
      <c r="F4420" t="n">
        <v>21.54</v>
      </c>
      <c r="G4420" s="3" t="n">
        <v>5</v>
      </c>
      <c r="H4420" s="3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IF(K4420&lt;-5,"CRÍTICO",IF(K4420&lt;0,"ATENÇÃO",IF(K4420&lt;=5,"BOM","EXCELENTE")))</f>
        <v/>
      </c>
      <c r="M4420" t="n">
        <v>19</v>
      </c>
      <c r="N4420" t="n">
        <v>100</v>
      </c>
      <c r="O4420" t="n">
        <v>18.14516129032258</v>
      </c>
    </row>
    <row r="4421" hidden="1">
      <c r="A4421" s="5" t="n">
        <v>46155</v>
      </c>
      <c r="B4421" s="6" t="inlineStr">
        <is>
          <t>Luiz Fernando de Carvalho Junior</t>
        </is>
      </c>
      <c r="C4421" s="3" t="inlineStr">
        <is>
          <t>Técnico I</t>
        </is>
      </c>
      <c r="D4421" s="3" t="n">
        <v>24</v>
      </c>
      <c r="E4421" s="3" t="n">
        <v>22</v>
      </c>
      <c r="F4421" t="n">
        <v>20.17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IF(K4421&lt;-5,"CRÍTICO",IF(K4421&lt;0,"ATENÇÃO",IF(K4421&lt;=5,"BOM","EXCELENTE")))</f>
        <v/>
      </c>
      <c r="M4421" t="n">
        <v>22</v>
      </c>
      <c r="N4421" t="n">
        <v>93.26000000000001</v>
      </c>
      <c r="O4421" t="n">
        <v>19.93957703927493</v>
      </c>
    </row>
    <row r="4422" hidden="1">
      <c r="A4422" s="5" t="n">
        <v>46155</v>
      </c>
      <c r="B4422" s="6" t="inlineStr">
        <is>
          <t>Raane Batista Matos</t>
        </is>
      </c>
      <c r="C4422" s="3" t="inlineStr">
        <is>
          <t>Técnico I</t>
        </is>
      </c>
      <c r="D4422" s="3" t="n">
        <v>33</v>
      </c>
      <c r="E4422" s="3" t="n">
        <v>31</v>
      </c>
      <c r="F4422" t="n">
        <v>13.48</v>
      </c>
      <c r="G4422" s="3" t="n">
        <v>7</v>
      </c>
      <c r="H4422" s="3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IF(K4422&lt;-5,"CRÍTICO",IF(K4422&lt;0,"ATENÇÃO",IF(K4422&lt;=5,"BOM","EXCELENTE")))</f>
        <v/>
      </c>
      <c r="M4422" t="n">
        <v>31</v>
      </c>
      <c r="N4422" t="n">
        <v>97.56</v>
      </c>
      <c r="O4422" t="n">
        <v>19.28783382789317</v>
      </c>
    </row>
    <row r="4423" hidden="1">
      <c r="A4423" s="5" t="n">
        <v>46155</v>
      </c>
      <c r="B4423" s="6" t="inlineStr">
        <is>
          <t>Sara Maria Monteiro Lopes</t>
        </is>
      </c>
      <c r="C4423" s="3" t="inlineStr">
        <is>
          <t>Técnico I</t>
        </is>
      </c>
      <c r="D4423" s="3" t="n">
        <v>11</v>
      </c>
      <c r="E4423" s="3" t="n">
        <v>10</v>
      </c>
      <c r="F4423" t="n">
        <v>33.26</v>
      </c>
      <c r="G4423" s="3" t="n">
        <v>5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IF(K4423&lt;-5,"CRÍTICO",IF(K4423&lt;0,"ATENÇÃO",IF(K4423&lt;=5,"BOM","EXCELENTE")))</f>
        <v/>
      </c>
      <c r="M4423" t="n">
        <v>16</v>
      </c>
      <c r="N4423" t="n">
        <v>100</v>
      </c>
      <c r="O4423" t="n">
        <v>16.97247706422019</v>
      </c>
    </row>
    <row r="4424" hidden="1">
      <c r="A4424" s="5" t="n">
        <v>46156</v>
      </c>
      <c r="B4424" s="6" t="inlineStr">
        <is>
          <t>Ana Karollyne Souza Faria</t>
        </is>
      </c>
      <c r="C4424" s="3" t="inlineStr">
        <is>
          <t>Técnico I</t>
        </is>
      </c>
      <c r="D4424" s="3" t="n">
        <v>27</v>
      </c>
      <c r="E4424" s="3" t="n">
        <v>25</v>
      </c>
      <c r="F4424" t="n">
        <v>18.51</v>
      </c>
      <c r="G4424" s="3" t="n">
        <v>1</v>
      </c>
      <c r="H4424" s="3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IF(K4424&lt;-5,"CRÍTICO",IF(K4424&lt;0,"ATENÇÃO",IF(K4424&lt;=5,"BOM","EXCELENTE")))</f>
        <v/>
      </c>
      <c r="M4424" s="3" t="n">
        <v>23</v>
      </c>
      <c r="N4424" s="3" t="n">
        <v>95.38</v>
      </c>
      <c r="O4424" s="3" t="n">
        <v>21.5962441314554</v>
      </c>
    </row>
    <row r="4425" hidden="1">
      <c r="A4425" s="5" t="n">
        <v>46156</v>
      </c>
      <c r="B4425" s="6" t="inlineStr">
        <is>
          <t>Clessiane Pereira dos Santos</t>
        </is>
      </c>
      <c r="C4425" s="3" t="inlineStr">
        <is>
          <t>Técnico I</t>
        </is>
      </c>
      <c r="D4425" s="3" t="n">
        <v>33</v>
      </c>
      <c r="E4425" s="3" t="n">
        <v>29</v>
      </c>
      <c r="F4425" t="n">
        <v>11.54</v>
      </c>
      <c r="G4425" s="3" t="n">
        <v>7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IF(K4425&lt;-5,"CRÍTICO",IF(K4425&lt;0,"ATENÇÃO",IF(K4425&lt;=5,"BOM","EXCELENTE")))</f>
        <v/>
      </c>
      <c r="M4425" t="n">
        <v>30</v>
      </c>
      <c r="N4425" t="n">
        <v>96.88</v>
      </c>
      <c r="O4425" t="n">
        <v>19.52662721893491</v>
      </c>
    </row>
    <row r="4426" hidden="1">
      <c r="A4426" s="5" t="n">
        <v>46156</v>
      </c>
      <c r="B4426" s="6" t="inlineStr">
        <is>
          <t>Daniel Gomes da Silva</t>
        </is>
      </c>
      <c r="C4426" s="3" t="inlineStr">
        <is>
          <t>Técnico I</t>
        </is>
      </c>
      <c r="D4426" s="3" t="n">
        <v>30</v>
      </c>
      <c r="E4426" s="3" t="n">
        <v>28</v>
      </c>
      <c r="F4426" t="n">
        <v>18.25</v>
      </c>
      <c r="G4426" s="3" t="n">
        <v>1</v>
      </c>
      <c r="H4426" s="3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IF(K4426&lt;-5,"CRÍTICO",IF(K4426&lt;0,"ATENÇÃO",IF(K4426&lt;=5,"BOM","EXCELENTE")))</f>
        <v/>
      </c>
      <c r="M4426" t="n">
        <v>20</v>
      </c>
      <c r="N4426" t="n">
        <v>100</v>
      </c>
      <c r="O4426" t="n">
        <v>18.14516129032258</v>
      </c>
    </row>
    <row r="4427" hidden="1">
      <c r="A4427" s="5" t="n">
        <v>46156</v>
      </c>
      <c r="B4427" s="6" t="inlineStr">
        <is>
          <t>Luiz Fernando de Carvalho Junior</t>
        </is>
      </c>
      <c r="C4427" s="3" t="inlineStr">
        <is>
          <t>Técnico I</t>
        </is>
      </c>
      <c r="D4427" s="3" t="n">
        <v>11</v>
      </c>
      <c r="E4427" s="3" t="n">
        <v>11</v>
      </c>
      <c r="F4427" t="n">
        <v>33.21</v>
      </c>
      <c r="G4427" s="3" t="n">
        <v>4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IF(K4427&lt;-5,"CRÍTICO",IF(K4427&lt;0,"ATENÇÃO",IF(K4427&lt;=5,"BOM","EXCELENTE")))</f>
        <v/>
      </c>
      <c r="M4427" t="n">
        <v>16</v>
      </c>
      <c r="N4427" t="n">
        <v>93.26000000000001</v>
      </c>
      <c r="O4427" t="n">
        <v>19.93957703927493</v>
      </c>
    </row>
    <row r="4428" hidden="1">
      <c r="A4428" s="5" t="n">
        <v>46156</v>
      </c>
      <c r="B4428" s="6" t="inlineStr">
        <is>
          <t>Raane Batista Matos</t>
        </is>
      </c>
      <c r="C4428" s="3" t="inlineStr">
        <is>
          <t>Técnico I</t>
        </is>
      </c>
      <c r="D4428" s="3" t="n">
        <v>26</v>
      </c>
      <c r="E4428" s="3" t="n">
        <v>25</v>
      </c>
      <c r="F4428" t="n">
        <v>15.24</v>
      </c>
      <c r="G4428" s="3" t="n">
        <v>1</v>
      </c>
      <c r="H4428" s="3" t="n">
        <v>0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IF(K4428&lt;-5,"CRÍTICO",IF(K4428&lt;0,"ATENÇÃO",IF(K4428&lt;=5,"BOM","EXCELENTE")))</f>
        <v/>
      </c>
      <c r="M4428" t="n">
        <v>24</v>
      </c>
      <c r="N4428" t="n">
        <v>97.56</v>
      </c>
      <c r="O4428" t="n">
        <v>19.28783382789317</v>
      </c>
    </row>
    <row r="4429" hidden="1">
      <c r="A4429" s="5" t="n">
        <v>46156</v>
      </c>
      <c r="B4429" s="6" t="inlineStr">
        <is>
          <t>Sara Maria Monteiro Lopes</t>
        </is>
      </c>
      <c r="C4429" s="3" t="inlineStr">
        <is>
          <t>Técnico I</t>
        </is>
      </c>
      <c r="D4429" s="3" t="n">
        <v>20</v>
      </c>
      <c r="E4429" s="3" t="n">
        <v>19</v>
      </c>
      <c r="F4429" t="n">
        <v>20.29</v>
      </c>
      <c r="G4429" s="3" t="n">
        <v>0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IF(K4429&lt;-5,"CRÍTICO",IF(K4429&lt;0,"ATENÇÃO",IF(K4429&lt;=5,"BOM","EXCELENTE")))</f>
        <v/>
      </c>
      <c r="M4429" t="n">
        <v>17</v>
      </c>
      <c r="N4429" t="n">
        <v>100</v>
      </c>
      <c r="O4429" t="n">
        <v>16.97247706422019</v>
      </c>
    </row>
    <row r="4430" hidden="1">
      <c r="A4430" s="5" t="n">
        <v>46157</v>
      </c>
      <c r="B4430" s="6" t="inlineStr">
        <is>
          <t>Ana Karollyne Souza Faria</t>
        </is>
      </c>
      <c r="C4430" s="3" t="inlineStr">
        <is>
          <t>Técnico I</t>
        </is>
      </c>
      <c r="D4430" s="3" t="n">
        <v>40</v>
      </c>
      <c r="E4430" s="3" t="n">
        <v>38</v>
      </c>
      <c r="F4430" t="n">
        <v>15.24</v>
      </c>
      <c r="G4430" s="3" t="n">
        <v>5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IF(K4430&lt;-5,"CRÍTICO",IF(K4430&lt;0,"ATENÇÃO",IF(K4430&lt;=5,"BOM","EXCELENTE")))</f>
        <v/>
      </c>
      <c r="M4430" s="3" t="n">
        <v>36</v>
      </c>
      <c r="N4430" s="3" t="n">
        <v>95.38</v>
      </c>
      <c r="O4430" s="3" t="n">
        <v>21.5962441314554</v>
      </c>
    </row>
    <row r="4431" hidden="1">
      <c r="A4431" s="5" t="n">
        <v>46157</v>
      </c>
      <c r="B4431" s="6" t="inlineStr">
        <is>
          <t>Clessiane Pereira dos Santos</t>
        </is>
      </c>
      <c r="C4431" s="3" t="inlineStr">
        <is>
          <t>Técnico I</t>
        </is>
      </c>
      <c r="D4431" s="3" t="n">
        <v>24</v>
      </c>
      <c r="E4431" s="3" t="n">
        <v>20</v>
      </c>
      <c r="F4431" t="n">
        <v>19.19</v>
      </c>
      <c r="G4431" s="3" t="n">
        <v>3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IF(K4431&lt;-5,"CRÍTICO",IF(K4431&lt;0,"ATENÇÃO",IF(K4431&lt;=5,"BOM","EXCELENTE")))</f>
        <v/>
      </c>
      <c r="M4431" t="n">
        <v>20</v>
      </c>
      <c r="N4431" t="n">
        <v>96.88</v>
      </c>
      <c r="O4431" t="n">
        <v>19.52662721893491</v>
      </c>
    </row>
    <row r="4432" hidden="1">
      <c r="A4432" s="5" t="n">
        <v>46157</v>
      </c>
      <c r="B4432" s="6" t="inlineStr">
        <is>
          <t>Daniel Gomes da Silva</t>
        </is>
      </c>
      <c r="C4432" s="3" t="inlineStr">
        <is>
          <t>Técnico I</t>
        </is>
      </c>
      <c r="D4432" s="3" t="n">
        <v>18</v>
      </c>
      <c r="E4432" s="3" t="n">
        <v>18</v>
      </c>
      <c r="F4432" t="n">
        <v>25.25</v>
      </c>
      <c r="G4432" s="3" t="n">
        <v>3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IF(K4432&lt;-5,"CRÍTICO",IF(K4432&lt;0,"ATENÇÃO",IF(K4432&lt;=5,"BOM","EXCELENTE")))</f>
        <v/>
      </c>
      <c r="M4432" t="n">
        <v>19</v>
      </c>
      <c r="N4432" t="n">
        <v>100</v>
      </c>
      <c r="O4432" t="n">
        <v>18.14516129032258</v>
      </c>
    </row>
    <row r="4433" hidden="1">
      <c r="A4433" s="5" t="n">
        <v>46157</v>
      </c>
      <c r="B4433" s="6" t="inlineStr">
        <is>
          <t>Luiz Fernando de Carvalho Junior</t>
        </is>
      </c>
      <c r="C4433" s="3" t="inlineStr">
        <is>
          <t>Técnico I</t>
        </is>
      </c>
      <c r="D4433" s="3" t="n">
        <v>24</v>
      </c>
      <c r="E4433" s="3" t="n">
        <v>21</v>
      </c>
      <c r="F4433" t="n">
        <v>20.35</v>
      </c>
      <c r="G4433" s="3" t="n">
        <v>2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IF(K4433&lt;-5,"CRÍTICO",IF(K4433&lt;0,"ATENÇÃO",IF(K4433&lt;=5,"BOM","EXCELENTE")))</f>
        <v/>
      </c>
      <c r="M4433" t="n">
        <v>24</v>
      </c>
      <c r="N4433" t="n">
        <v>93.26000000000001</v>
      </c>
      <c r="O4433" t="n">
        <v>19.93957703927493</v>
      </c>
    </row>
    <row r="4434" hidden="1">
      <c r="A4434" s="5" t="n">
        <v>46157</v>
      </c>
      <c r="B4434" s="6" t="inlineStr">
        <is>
          <t>Raane Batista Matos</t>
        </is>
      </c>
      <c r="C4434" s="3" t="inlineStr">
        <is>
          <t>Técnico I</t>
        </is>
      </c>
      <c r="D4434" s="3" t="n">
        <v>28</v>
      </c>
      <c r="E4434" s="3" t="n">
        <v>25</v>
      </c>
      <c r="F4434" t="n">
        <v>13.57</v>
      </c>
      <c r="G4434" s="3" t="n">
        <v>5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IF(K4434&lt;-5,"CRÍTICO",IF(K4434&lt;0,"ATENÇÃO",IF(K4434&lt;=5,"BOM","EXCELENTE")))</f>
        <v/>
      </c>
      <c r="M4434" t="n">
        <v>23</v>
      </c>
      <c r="N4434" t="n">
        <v>97.56</v>
      </c>
      <c r="O4434" t="n">
        <v>19.28783382789317</v>
      </c>
    </row>
    <row r="4435" hidden="1">
      <c r="A4435" s="5" t="n">
        <v>46157</v>
      </c>
      <c r="B4435" s="6" t="inlineStr">
        <is>
          <t>Sara Maria Monteiro Lopes</t>
        </is>
      </c>
      <c r="C4435" s="3" t="inlineStr">
        <is>
          <t>Técnico I</t>
        </is>
      </c>
      <c r="D4435" s="3" t="n">
        <v>18</v>
      </c>
      <c r="E4435" s="3" t="n">
        <v>17</v>
      </c>
      <c r="F4435" t="n">
        <v>35.31</v>
      </c>
      <c r="G4435" s="3" t="n">
        <v>3</v>
      </c>
      <c r="H4435" s="3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IF(K4435&lt;-5,"CRÍTICO",IF(K4435&lt;0,"ATENÇÃO",IF(K4435&lt;=5,"BOM","EXCELENTE")))</f>
        <v/>
      </c>
      <c r="M4435" t="n">
        <v>14</v>
      </c>
      <c r="N4435" t="n">
        <v>100</v>
      </c>
      <c r="O4435" t="n">
        <v>16.97247706422019</v>
      </c>
    </row>
    <row r="4436" hidden="1">
      <c r="A4436" s="5" t="n">
        <v>46160</v>
      </c>
      <c r="B4436" s="6" t="inlineStr">
        <is>
          <t>Ana Karollyne Souza Faria</t>
        </is>
      </c>
      <c r="C4436" s="3" t="inlineStr">
        <is>
          <t>Técnico I</t>
        </is>
      </c>
      <c r="D4436" s="3" t="n">
        <v>18</v>
      </c>
      <c r="E4436" s="3" t="n">
        <v>17</v>
      </c>
      <c r="F4436" t="n">
        <v>20.19</v>
      </c>
      <c r="G4436" s="3" t="n">
        <v>2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IF(K4436&lt;-5,"CRÍTICO",IF(K4436&lt;0,"ATENÇÃO",IF(K4436&lt;=5,"BOM","EXCELENTE")))</f>
        <v/>
      </c>
      <c r="M4436" s="3" t="n">
        <v>18</v>
      </c>
      <c r="N4436" s="3" t="n">
        <v>95.38</v>
      </c>
      <c r="O4436" s="3" t="n">
        <v>21.5962441314554</v>
      </c>
    </row>
    <row r="4437" hidden="1">
      <c r="A4437" s="5" t="n">
        <v>46160</v>
      </c>
      <c r="B4437" s="6" t="inlineStr">
        <is>
          <t>Clessiane Pereira dos Santos</t>
        </is>
      </c>
      <c r="C4437" s="3" t="inlineStr">
        <is>
          <t>Técnico I</t>
        </is>
      </c>
      <c r="D4437" s="3" t="n">
        <v>22</v>
      </c>
      <c r="E4437" s="3" t="n">
        <v>21</v>
      </c>
      <c r="F4437" t="n">
        <v>20.04</v>
      </c>
      <c r="G4437" s="3" t="n">
        <v>3</v>
      </c>
      <c r="H4437" s="3" t="n">
        <v>0</v>
      </c>
      <c r="I4437" s="3">
        <f>E4437+G4437+H4437</f>
        <v/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/>
      </c>
      <c r="K4437" s="3">
        <f>I4437-J4437</f>
        <v/>
      </c>
      <c r="L4437" s="3">
        <f>IF(K4437&lt;-5,"CRÍTICO",IF(K4437&lt;0,"ATENÇÃO",IF(K4437&lt;=5,"BOM","EXCELENTE")))</f>
        <v/>
      </c>
      <c r="M4437" t="n">
        <v>22</v>
      </c>
      <c r="N4437" t="n">
        <v>96.88</v>
      </c>
      <c r="O4437" t="n">
        <v>19.52662721893491</v>
      </c>
    </row>
    <row r="4438" hidden="1">
      <c r="A4438" s="5" t="n">
        <v>46160</v>
      </c>
      <c r="B4438" s="6" t="inlineStr">
        <is>
          <t>Daniel Gomes da Silva</t>
        </is>
      </c>
      <c r="C4438" s="3" t="inlineStr">
        <is>
          <t>Técnico I</t>
        </is>
      </c>
      <c r="D4438" s="3" t="n">
        <v>20</v>
      </c>
      <c r="E4438" s="3" t="n">
        <v>19</v>
      </c>
      <c r="F4438" t="n">
        <v>18.52</v>
      </c>
      <c r="G4438" s="3" t="n">
        <v>3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IF(K4438&lt;-5,"CRÍTICO",IF(K4438&lt;0,"ATENÇÃO",IF(K4438&lt;=5,"BOM","EXCELENTE")))</f>
        <v/>
      </c>
      <c r="M4438" t="n">
        <v>18</v>
      </c>
      <c r="N4438" t="n">
        <v>100</v>
      </c>
      <c r="O4438" t="n">
        <v>18.14516129032258</v>
      </c>
    </row>
    <row r="4439" hidden="1">
      <c r="A4439" s="5" t="n">
        <v>46160</v>
      </c>
      <c r="B4439" s="6" t="inlineStr">
        <is>
          <t>Luiz Fernando de Carvalho Junior</t>
        </is>
      </c>
      <c r="C4439" s="3" t="inlineStr">
        <is>
          <t>Técnico I</t>
        </is>
      </c>
      <c r="D4439" s="3" t="n">
        <v>21</v>
      </c>
      <c r="E4439" s="3" t="n">
        <v>20</v>
      </c>
      <c r="F4439" t="n">
        <v>17.02</v>
      </c>
      <c r="G4439" s="3" t="n">
        <v>2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IF(K4439&lt;-5,"CRÍTICO",IF(K4439&lt;0,"ATENÇÃO",IF(K4439&lt;=5,"BOM","EXCELENTE")))</f>
        <v/>
      </c>
      <c r="M4439" t="n">
        <v>20</v>
      </c>
      <c r="N4439" t="n">
        <v>93.26000000000001</v>
      </c>
      <c r="O4439" t="n">
        <v>19.93957703927493</v>
      </c>
    </row>
    <row r="4440" hidden="1">
      <c r="A4440" s="5" t="n">
        <v>46160</v>
      </c>
      <c r="B4440" s="6" t="inlineStr">
        <is>
          <t>Raane Batista Matos</t>
        </is>
      </c>
      <c r="C4440" s="3" t="inlineStr">
        <is>
          <t>Técnico I</t>
        </is>
      </c>
      <c r="D4440" s="3" t="n">
        <v>28</v>
      </c>
      <c r="E4440" s="3" t="n">
        <v>25</v>
      </c>
      <c r="F4440" t="n">
        <v>14.02</v>
      </c>
      <c r="G4440" s="3" t="n">
        <v>1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IF(K4440&lt;-5,"CRÍTICO",IF(K4440&lt;0,"ATENÇÃO",IF(K4440&lt;=5,"BOM","EXCELENTE")))</f>
        <v/>
      </c>
      <c r="M4440" t="n">
        <v>20</v>
      </c>
      <c r="N4440" t="n">
        <v>97.56</v>
      </c>
      <c r="O4440" t="n">
        <v>19.28783382789317</v>
      </c>
    </row>
    <row r="4441" hidden="1">
      <c r="A4441" s="5" t="n">
        <v>46160</v>
      </c>
      <c r="B4441" s="6" t="inlineStr">
        <is>
          <t>Sara Maria Monteiro Lopes</t>
        </is>
      </c>
      <c r="C4441" s="3" t="inlineStr">
        <is>
          <t>Técnico I</t>
        </is>
      </c>
      <c r="D4441" s="3" t="n">
        <v>23</v>
      </c>
      <c r="E4441" s="3" t="n">
        <v>19</v>
      </c>
      <c r="F4441" t="n">
        <v>23.58</v>
      </c>
      <c r="G4441" s="3" t="n">
        <v>3</v>
      </c>
      <c r="H4441" s="3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IF(K4441&lt;-5,"CRÍTICO",IF(K4441&lt;0,"ATENÇÃO",IF(K4441&lt;=5,"BOM","EXCELENTE")))</f>
        <v/>
      </c>
      <c r="M4441" t="n">
        <v>18</v>
      </c>
      <c r="N4441" t="n">
        <v>100</v>
      </c>
      <c r="O4441" t="n">
        <v>16.97247706422019</v>
      </c>
    </row>
    <row r="4442" hidden="1">
      <c r="A4442" s="7" t="n">
        <v>46161</v>
      </c>
      <c r="B4442" s="8" t="inlineStr">
        <is>
          <t>Ana Karollyne Souza Faria</t>
        </is>
      </c>
      <c r="C4442" s="9" t="inlineStr">
        <is>
          <t>Técnico I</t>
        </is>
      </c>
      <c r="D4442" s="3" t="n">
        <v>30</v>
      </c>
      <c r="E4442" s="3" t="n">
        <v>29</v>
      </c>
      <c r="F4442" t="n">
        <v>15.36</v>
      </c>
      <c r="G4442" s="3" t="n">
        <v>1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IF(K4442&lt;-5,"CRÍTICO",IF(K4442&lt;0,"ATENÇÃO",IF(K4442&lt;=5,"BOM","EXCELENTE")))</f>
        <v/>
      </c>
      <c r="M4442" s="3" t="n">
        <v>29</v>
      </c>
      <c r="N4442" s="3" t="n">
        <v>95.38</v>
      </c>
      <c r="O4442" s="3" t="n">
        <v>21.5962441314554</v>
      </c>
    </row>
    <row r="4443" hidden="1">
      <c r="A4443" s="7" t="n">
        <v>46161</v>
      </c>
      <c r="B4443" s="8" t="inlineStr">
        <is>
          <t>Clessiane Pereira dos Santos</t>
        </is>
      </c>
      <c r="C4443" s="9" t="inlineStr">
        <is>
          <t>Técnico I</t>
        </is>
      </c>
      <c r="D4443" s="3" t="n">
        <v>26</v>
      </c>
      <c r="E4443" s="3" t="n">
        <v>25</v>
      </c>
      <c r="F4443" t="n">
        <v>15.02</v>
      </c>
      <c r="G4443" s="3" t="n">
        <v>1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IF(K4443&lt;-5,"CRÍTICO",IF(K4443&lt;0,"ATENÇÃO",IF(K4443&lt;=5,"BOM","EXCELENTE")))</f>
        <v/>
      </c>
      <c r="M4443" t="n">
        <v>19</v>
      </c>
      <c r="N4443" t="n">
        <v>96.88</v>
      </c>
      <c r="O4443" t="n">
        <v>19.52662721893491</v>
      </c>
    </row>
    <row r="4444" hidden="1">
      <c r="A4444" s="7" t="n">
        <v>46161</v>
      </c>
      <c r="B4444" s="8" t="inlineStr">
        <is>
          <t>Daniel Gomes da Silva</t>
        </is>
      </c>
      <c r="C4444" s="9" t="inlineStr">
        <is>
          <t>Técnico I</t>
        </is>
      </c>
      <c r="D4444" s="3" t="n">
        <v>21</v>
      </c>
      <c r="E4444" s="3" t="n">
        <v>20</v>
      </c>
      <c r="F4444" t="n">
        <v>12.3</v>
      </c>
      <c r="G4444" s="3" t="n">
        <v>1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IF(K4444&lt;-5,"CRÍTICO",IF(K4444&lt;0,"ATENÇÃO",IF(K4444&lt;=5,"BOM","EXCELENTE")))</f>
        <v/>
      </c>
      <c r="M4444" t="n">
        <v>15</v>
      </c>
      <c r="N4444" t="n">
        <v>100</v>
      </c>
      <c r="O4444" t="n">
        <v>18.14516129032258</v>
      </c>
    </row>
    <row r="4445" hidden="1">
      <c r="A4445" s="7" t="n">
        <v>46161</v>
      </c>
      <c r="B4445" s="8" t="inlineStr">
        <is>
          <t>Luiz Fernando de Carvalho Junior</t>
        </is>
      </c>
      <c r="C4445" s="9" t="inlineStr">
        <is>
          <t>Técnico I</t>
        </is>
      </c>
      <c r="D4445" s="3" t="n">
        <v>18</v>
      </c>
      <c r="E4445" s="3" t="n">
        <v>17</v>
      </c>
      <c r="F4445" t="n">
        <v>25.09</v>
      </c>
      <c r="G4445" s="3" t="n">
        <v>2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IF(K4445&lt;-5,"CRÍTICO",IF(K4445&lt;0,"ATENÇÃO",IF(K4445&lt;=5,"BOM","EXCELENTE")))</f>
        <v/>
      </c>
      <c r="M4445" t="n">
        <v>18</v>
      </c>
      <c r="N4445" t="n">
        <v>93.26000000000001</v>
      </c>
      <c r="O4445" t="n">
        <v>19.93957703927493</v>
      </c>
    </row>
    <row r="4446" hidden="1">
      <c r="A4446" s="7" t="n">
        <v>46161</v>
      </c>
      <c r="B4446" s="8" t="inlineStr">
        <is>
          <t>Raane Batista Matos</t>
        </is>
      </c>
      <c r="C4446" s="9" t="inlineStr">
        <is>
          <t>Técnico I</t>
        </is>
      </c>
      <c r="D4446" s="3" t="n">
        <v>35</v>
      </c>
      <c r="E4446" s="3" t="n">
        <v>31</v>
      </c>
      <c r="F4446" t="n">
        <v>13.24</v>
      </c>
      <c r="G4446" s="3" t="n">
        <v>2</v>
      </c>
      <c r="H4446" s="3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IF(K4446&lt;-5,"CRÍTICO",IF(K4446&lt;0,"ATENÇÃO",IF(K4446&lt;=5,"BOM","EXCELENTE")))</f>
        <v/>
      </c>
      <c r="M4446" t="n">
        <v>26</v>
      </c>
      <c r="N4446" t="n">
        <v>97.56</v>
      </c>
      <c r="O4446" t="n">
        <v>19.28783382789317</v>
      </c>
    </row>
    <row r="4447" hidden="1">
      <c r="A4447" s="7" t="n">
        <v>46161</v>
      </c>
      <c r="B4447" s="8" t="inlineStr">
        <is>
          <t>Sara Maria Monteiro Lopes</t>
        </is>
      </c>
      <c r="C4447" s="9" t="inlineStr">
        <is>
          <t>Técnico I</t>
        </is>
      </c>
      <c r="D4447" s="3" t="n">
        <v>18</v>
      </c>
      <c r="E4447" s="3" t="n">
        <v>18</v>
      </c>
      <c r="F4447" t="n">
        <v>25.39</v>
      </c>
      <c r="G4447" s="3" t="n">
        <v>0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IF(K4447&lt;-5,"CRÍTICO",IF(K4447&lt;0,"ATENÇÃO",IF(K4447&lt;=5,"BOM","EXCELENTE")))</f>
        <v/>
      </c>
      <c r="M4447" t="n">
        <v>17</v>
      </c>
      <c r="N4447" t="n">
        <v>100</v>
      </c>
      <c r="O4447" t="n">
        <v>16.97247706422019</v>
      </c>
    </row>
    <row r="4448" hidden="1">
      <c r="A4448" s="7" t="n">
        <v>46162</v>
      </c>
      <c r="B4448" s="8" t="inlineStr">
        <is>
          <t>Ana Karollyne Souza Faria</t>
        </is>
      </c>
      <c r="C4448" s="9" t="inlineStr">
        <is>
          <t>Técnico I</t>
        </is>
      </c>
      <c r="D4448" s="3" t="n">
        <v>26</v>
      </c>
      <c r="E4448" s="3" t="n">
        <v>25</v>
      </c>
      <c r="F4448" s="3" t="n">
        <v>15.37</v>
      </c>
      <c r="G4448" s="3" t="n">
        <v>1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9" t="n">
        <v>26</v>
      </c>
      <c r="N4448" s="9" t="n">
        <v>95.38</v>
      </c>
      <c r="O4448" s="9" t="n">
        <v>21.5962441314554</v>
      </c>
    </row>
    <row r="4449" hidden="1">
      <c r="A4449" s="7" t="n">
        <v>46162</v>
      </c>
      <c r="B4449" s="8" t="inlineStr">
        <is>
          <t>Clessiane Pereira dos Santos</t>
        </is>
      </c>
      <c r="C4449" s="9" t="inlineStr">
        <is>
          <t>Técnico I</t>
        </is>
      </c>
      <c r="D4449" s="3" t="n">
        <v>23</v>
      </c>
      <c r="E4449" s="3" t="n">
        <v>23</v>
      </c>
      <c r="F4449" s="3" t="n">
        <v>15.5</v>
      </c>
      <c r="G4449" s="3" t="n">
        <v>1</v>
      </c>
      <c r="H4449" s="3" t="n">
        <v>0</v>
      </c>
      <c r="I4449" s="3">
        <f>E4449+G4449+H4449</f>
        <v/>
      </c>
      <c r="J4449" s="3">
        <f>ROUND(MIN(IF(C4449="Técnico III",35,IF(C4449="Técnico II",28,IF(C4449="Técnico I",23,IF(C4449="JR",20,IF(C4449="Estágio",10,0))))),IF(C4449="Técnico III",SUMIFS($D:$D,$A:$A,$A4449,$B:$B,"&lt;&gt;Patrícia Karla de Sousa Araújo",$B:$B,"&lt;&gt;Lorena Dias de Araujo",$B:$B,"&lt;&gt;Lucas Luiz Romero")*(35/1083),IF(C4449="Técnico II",SUMIFS($D:$D,$A:$A,$A4449,$B:$B,"&lt;&gt;Patrícia Karla de Sousa Araújo",$B:$B,"&lt;&gt;Lorena Dias de Araujo",$B:$B,"&lt;&gt;Lucas Luiz Romero")*(28/1083),IF(C4449="Técnico I",SUMIFS($D:$D,$A:$A,$A4449,$B:$B,"&lt;&gt;Patrícia Karla de Sousa Araújo",$B:$B,"&lt;&gt;Lorena Dias de Araujo",$B:$B,"&lt;&gt;Lucas Luiz Romero")*(23/1083),IF(C4449="JR",SUMIFS($D:$D,$A:$A,$A4449,$B:$B,"&lt;&gt;Patrícia Karla de Sousa Araújo",$B:$B,"&lt;&gt;Lorena Dias de Araujo",$B:$B,"&lt;&gt;Lucas Luiz Romero")*(20/1083),IF(C4449="Estágio",SUMIFS($D:$D,$A:$A,$A4449,$B:$B,"&lt;&gt;Patrícia Karla de Sousa Araújo",$B:$B,"&lt;&gt;Lorena Dias de Araujo",$B:$B,"&lt;&gt;Lucas Luiz Romero")*(10/1083),0)))))),0)</f>
        <v/>
      </c>
      <c r="K4449" s="3">
        <f>I4449-J4449</f>
        <v/>
      </c>
      <c r="L4449" s="3">
        <f>IF(K4449&lt;-5,"CRÍTICO",IF(K4449&lt;0,"ATENÇÃO",IF(K4449&lt;=5,"OPORTUNO","MUITO BOM")))</f>
        <v/>
      </c>
      <c r="M4449" s="9" t="n">
        <v>22</v>
      </c>
      <c r="N4449" s="9" t="n">
        <v>96.88</v>
      </c>
      <c r="O4449" s="9" t="n">
        <v>19.52662721893491</v>
      </c>
    </row>
    <row r="4450" hidden="1">
      <c r="A4450" s="7" t="n">
        <v>46162</v>
      </c>
      <c r="B4450" s="8" t="inlineStr">
        <is>
          <t>Daniel Gomes da Silva</t>
        </is>
      </c>
      <c r="C4450" s="9" t="inlineStr">
        <is>
          <t>Técnico I</t>
        </is>
      </c>
      <c r="D4450" s="3" t="n">
        <v>17</v>
      </c>
      <c r="E4450" s="3" t="n">
        <v>14</v>
      </c>
      <c r="F4450" s="3" t="n">
        <v>15.58</v>
      </c>
      <c r="G4450" s="3" t="n">
        <v>2</v>
      </c>
      <c r="H4450" s="3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M4450" s="9" t="n">
        <v>13</v>
      </c>
      <c r="N4450" s="9" t="n">
        <v>100</v>
      </c>
      <c r="O4450" s="9" t="n">
        <v>18.14516129032258</v>
      </c>
    </row>
    <row r="4451" hidden="1">
      <c r="A4451" s="7" t="n">
        <v>46162</v>
      </c>
      <c r="B4451" s="8" t="inlineStr">
        <is>
          <t>Luiz Fernando de Carvalho Junior</t>
        </is>
      </c>
      <c r="C4451" s="9" t="inlineStr">
        <is>
          <t>Técnico I</t>
        </is>
      </c>
      <c r="D4451" s="3" t="n">
        <v>18</v>
      </c>
      <c r="E4451" s="3" t="n">
        <v>17</v>
      </c>
      <c r="F4451" s="3" t="n">
        <v>15.33</v>
      </c>
      <c r="G4451" s="3" t="n">
        <v>1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9" t="n">
        <v>16</v>
      </c>
      <c r="N4451" s="9" t="n">
        <v>93.26000000000001</v>
      </c>
      <c r="O4451" s="9" t="n">
        <v>19.93957703927493</v>
      </c>
    </row>
    <row r="4452" hidden="1">
      <c r="A4452" s="7" t="n">
        <v>46162</v>
      </c>
      <c r="B4452" s="8" t="inlineStr">
        <is>
          <t>Raane Batista Matos</t>
        </is>
      </c>
      <c r="C4452" s="9" t="inlineStr">
        <is>
          <t>Técnico I</t>
        </is>
      </c>
      <c r="D4452" s="3" t="n">
        <v>25</v>
      </c>
      <c r="E4452" s="3" t="n">
        <v>24</v>
      </c>
      <c r="F4452" s="3" t="n">
        <v>17.06</v>
      </c>
      <c r="G4452" s="3" t="n">
        <v>1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9" t="n">
        <v>18</v>
      </c>
      <c r="N4452" s="9" t="n">
        <v>97.56</v>
      </c>
      <c r="O4452" s="9" t="n">
        <v>19.28783382789317</v>
      </c>
    </row>
    <row r="4453" hidden="1">
      <c r="A4453" s="7" t="n">
        <v>46162</v>
      </c>
      <c r="B4453" s="8" t="inlineStr">
        <is>
          <t>Sara Maria Monteiro Lopes</t>
        </is>
      </c>
      <c r="C4453" s="9" t="inlineStr">
        <is>
          <t>Técnico I</t>
        </is>
      </c>
      <c r="D4453" s="3" t="n">
        <v>17</v>
      </c>
      <c r="E4453" s="3" t="n">
        <v>17</v>
      </c>
      <c r="F4453" s="3" t="n">
        <v>34.04</v>
      </c>
      <c r="G4453" s="3" t="n">
        <v>1</v>
      </c>
      <c r="H4453" s="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M4453" s="9" t="n">
        <v>14</v>
      </c>
      <c r="N4453" s="9" t="n">
        <v>100</v>
      </c>
      <c r="O4453" s="9" t="n">
        <v>16.97247706422019</v>
      </c>
    </row>
    <row r="4454" hidden="1">
      <c r="A4454" s="5" t="n">
        <v>46163</v>
      </c>
      <c r="B4454" s="6" t="inlineStr">
        <is>
          <t>Ana Karollyne Souza Faria</t>
        </is>
      </c>
      <c r="C4454" s="3" t="inlineStr">
        <is>
          <t>Técnico I</t>
        </is>
      </c>
      <c r="D4454" s="3" t="n">
        <v>24</v>
      </c>
      <c r="E4454" s="3" t="n">
        <v>23</v>
      </c>
      <c r="F4454" s="3" t="n">
        <v>17.07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21</v>
      </c>
      <c r="N4454" s="3" t="n">
        <v>95.38</v>
      </c>
      <c r="O4454" s="3" t="n">
        <v>21.5962441314554</v>
      </c>
    </row>
    <row r="4455" hidden="1">
      <c r="A4455" s="5" t="n">
        <v>46163</v>
      </c>
      <c r="B4455" s="6" t="inlineStr">
        <is>
          <t>Clessiane Pereira dos Santos</t>
        </is>
      </c>
      <c r="C4455" s="3" t="inlineStr">
        <is>
          <t>Técnico I</t>
        </is>
      </c>
      <c r="D4455" s="3" t="n">
        <v>23</v>
      </c>
      <c r="E4455" s="3" t="n">
        <v>22</v>
      </c>
      <c r="F4455" s="3" t="n">
        <v>17.08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17</v>
      </c>
      <c r="N4455" s="3" t="n">
        <v>96.88</v>
      </c>
      <c r="O4455" s="3" t="n">
        <v>19.52662721893491</v>
      </c>
    </row>
    <row r="4456" hidden="1">
      <c r="A4456" s="5" t="n">
        <v>46163</v>
      </c>
      <c r="B4456" s="6" t="inlineStr">
        <is>
          <t>Daniel Gomes da Silva</t>
        </is>
      </c>
      <c r="C4456" s="3" t="inlineStr">
        <is>
          <t>Técnico I</t>
        </is>
      </c>
      <c r="D4456" s="3" t="n">
        <v>16</v>
      </c>
      <c r="E4456" s="3" t="n">
        <v>16</v>
      </c>
      <c r="F4456" s="3" t="n">
        <v>26.5</v>
      </c>
      <c r="G4456" s="3" t="n">
        <v>0</v>
      </c>
      <c r="H4456" s="3" t="n">
        <v>0</v>
      </c>
      <c r="I4456" s="3">
        <f>E4456+G4456+H4456</f>
        <v/>
      </c>
      <c r="J4456" s="3">
        <f>ROUND(MIN(IF(C4456="Técnico III",35,IF(C4456="Técnico II",28,IF(C4456="Técnico I",23,IF(C4456="JR",20,IF(C4456="Estágio",10,0))))),IF(C4456="Técnico III",SUMIFS($D:$D,$A:$A,$A4456,$B:$B,"&lt;&gt;Patrícia Karla de Sousa Araújo",$B:$B,"&lt;&gt;Lorena Dias de Araujo",$B:$B,"&lt;&gt;Lucas Luiz Romero")*(35/1083),IF(C4456="Técnico II",SUMIFS($D:$D,$A:$A,$A4456,$B:$B,"&lt;&gt;Patrícia Karla de Sousa Araújo",$B:$B,"&lt;&gt;Lorena Dias de Araujo",$B:$B,"&lt;&gt;Lucas Luiz Romero")*(28/1083),IF(C4456="Técnico I",SUMIFS($D:$D,$A:$A,$A4456,$B:$B,"&lt;&gt;Patrícia Karla de Sousa Araújo",$B:$B,"&lt;&gt;Lorena Dias de Araujo",$B:$B,"&lt;&gt;Lucas Luiz Romero")*(23/1083),IF(C4456="JR",SUMIFS($D:$D,$A:$A,$A4456,$B:$B,"&lt;&gt;Patrícia Karla de Sousa Araújo",$B:$B,"&lt;&gt;Lorena Dias de Araujo",$B:$B,"&lt;&gt;Lucas Luiz Romero")*(20/1083),IF(C4456="Estágio",SUMIFS($D:$D,$A:$A,$A4456,$B:$B,"&lt;&gt;Patrícia Karla de Sousa Araújo",$B:$B,"&lt;&gt;Lorena Dias de Araujo",$B:$B,"&lt;&gt;Lucas Luiz Romero")*(10/1083),0)))))),0)</f>
        <v/>
      </c>
      <c r="K4456" s="3">
        <f>I4456-J4456</f>
        <v/>
      </c>
      <c r="L4456" s="3">
        <f>IF(K4456&lt;-5,"CRÍTICO",IF(K4456&lt;0,"ATENÇÃO",IF(K4456&lt;=5,"OPORTUNO","MUITO BOM")))</f>
        <v/>
      </c>
      <c r="M4456" s="3" t="n">
        <v>14</v>
      </c>
      <c r="N4456" s="3" t="n">
        <v>100</v>
      </c>
      <c r="O4456" s="3" t="n">
        <v>18.14516129032258</v>
      </c>
    </row>
    <row r="4457" hidden="1">
      <c r="A4457" s="5" t="n">
        <v>46163</v>
      </c>
      <c r="B4457" s="6" t="inlineStr">
        <is>
          <t>Luiz Fernando de Carvalho Junior</t>
        </is>
      </c>
      <c r="C4457" s="3" t="inlineStr">
        <is>
          <t>Técnico I</t>
        </is>
      </c>
      <c r="D4457" s="3" t="n">
        <v>22</v>
      </c>
      <c r="E4457" s="3" t="n">
        <v>20</v>
      </c>
      <c r="F4457" s="3" t="n">
        <v>19.06</v>
      </c>
      <c r="G4457" s="3" t="n">
        <v>0</v>
      </c>
      <c r="H4457" s="3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M4457" s="3" t="n">
        <v>21</v>
      </c>
      <c r="N4457" s="3" t="n">
        <v>93.26000000000001</v>
      </c>
      <c r="O4457" s="3" t="n">
        <v>19.93957703927493</v>
      </c>
    </row>
    <row r="4458" hidden="1">
      <c r="A4458" s="5" t="n">
        <v>46163</v>
      </c>
      <c r="B4458" s="6" t="inlineStr">
        <is>
          <t>Raane Batista Matos</t>
        </is>
      </c>
      <c r="C4458" s="3" t="inlineStr">
        <is>
          <t>Técnico I</t>
        </is>
      </c>
      <c r="D4458" s="3" t="n">
        <v>27</v>
      </c>
      <c r="E4458" s="3" t="n">
        <v>27</v>
      </c>
      <c r="F4458" s="3" t="n">
        <v>15.1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20</v>
      </c>
      <c r="N4458" s="3" t="n">
        <v>97.56</v>
      </c>
      <c r="O4458" s="3" t="n">
        <v>19.28783382789317</v>
      </c>
    </row>
    <row r="4459" hidden="1">
      <c r="A4459" s="5" t="n">
        <v>46163</v>
      </c>
      <c r="B4459" s="6" t="inlineStr">
        <is>
          <t>Sara Maria Monteiro Lopes</t>
        </is>
      </c>
      <c r="C4459" s="3" t="inlineStr">
        <is>
          <t>Técnico I</t>
        </is>
      </c>
      <c r="D4459" s="3" t="n">
        <v>12</v>
      </c>
      <c r="E4459" s="3" t="n">
        <v>12</v>
      </c>
      <c r="F4459" s="3" t="n">
        <v>44.02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10</v>
      </c>
      <c r="N4459" s="3" t="n">
        <v>100</v>
      </c>
      <c r="O4459" s="3" t="n">
        <v>16.97247706422019</v>
      </c>
    </row>
    <row r="4460" hidden="1">
      <c r="A4460" s="10" t="n">
        <v>46164</v>
      </c>
      <c r="B4460" s="6" t="inlineStr">
        <is>
          <t>Ana Karollyne Souza Faria</t>
        </is>
      </c>
      <c r="C4460" s="3" t="inlineStr">
        <is>
          <t>Técnico I</t>
        </is>
      </c>
      <c r="D4460" s="3" t="n">
        <v>11</v>
      </c>
      <c r="E4460" s="3" t="n">
        <v>9</v>
      </c>
      <c r="F4460" s="3" t="n">
        <v>15.17</v>
      </c>
      <c r="G4460" s="3" t="n">
        <v>3</v>
      </c>
      <c r="H4460" s="3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M4460" s="3" t="n">
        <v>10</v>
      </c>
      <c r="N4460" s="3" t="n">
        <v>95.38</v>
      </c>
      <c r="O4460" s="3" t="n">
        <v>21.5962441314554</v>
      </c>
    </row>
    <row r="4461" hidden="1">
      <c r="A4461" s="10" t="n">
        <v>46164</v>
      </c>
      <c r="B4461" s="6" t="inlineStr">
        <is>
          <t>Clessiane Pereira dos Santos</t>
        </is>
      </c>
      <c r="C4461" s="3" t="inlineStr">
        <is>
          <t>Técnico I</t>
        </is>
      </c>
      <c r="D4461" s="3" t="n">
        <v>15</v>
      </c>
      <c r="E4461" s="3" t="n">
        <v>14</v>
      </c>
      <c r="F4461" s="3" t="n">
        <v>12.06</v>
      </c>
      <c r="G4461" s="3" t="n">
        <v>0</v>
      </c>
      <c r="H4461" s="3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12</v>
      </c>
      <c r="N4461" s="3" t="n">
        <v>96.88</v>
      </c>
      <c r="O4461" s="3" t="n">
        <v>19.52662721893491</v>
      </c>
    </row>
    <row r="4462" hidden="1">
      <c r="A4462" s="10" t="n">
        <v>46164</v>
      </c>
      <c r="B4462" s="6" t="inlineStr">
        <is>
          <t>Daniel Gomes da Silva</t>
        </is>
      </c>
      <c r="C4462" s="3" t="inlineStr">
        <is>
          <t>Técnico I</t>
        </is>
      </c>
      <c r="D4462" s="3" t="n">
        <v>24</v>
      </c>
      <c r="E4462" s="3" t="n">
        <v>23</v>
      </c>
      <c r="F4462" s="3" t="n">
        <v>10.35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18</v>
      </c>
      <c r="N4462" s="3" t="n">
        <v>100</v>
      </c>
      <c r="O4462" s="3" t="n">
        <v>18.14516129032258</v>
      </c>
    </row>
    <row r="4463" hidden="1">
      <c r="A4463" s="10" t="n">
        <v>46164</v>
      </c>
      <c r="B4463" s="6" t="inlineStr">
        <is>
          <t>Luiz Fernando de Carvalho Junior</t>
        </is>
      </c>
      <c r="C4463" s="3" t="inlineStr">
        <is>
          <t>Técnico I</t>
        </is>
      </c>
      <c r="D4463" s="3" t="n">
        <v>8</v>
      </c>
      <c r="E4463" s="3" t="n">
        <v>8</v>
      </c>
      <c r="F4463" s="3" t="n">
        <v>32.37</v>
      </c>
      <c r="G4463" s="3" t="n">
        <v>0</v>
      </c>
      <c r="H4463" s="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M4463" s="3" t="n">
        <v>8</v>
      </c>
      <c r="N4463" s="3" t="n">
        <v>93.26000000000001</v>
      </c>
      <c r="O4463" s="3" t="n">
        <v>19.93957703927493</v>
      </c>
    </row>
    <row r="4464" hidden="1">
      <c r="A4464" s="10" t="n">
        <v>46164</v>
      </c>
      <c r="B4464" s="6" t="inlineStr">
        <is>
          <t>Raane Batista Matos</t>
        </is>
      </c>
      <c r="C4464" s="3" t="inlineStr">
        <is>
          <t>Técnico I</t>
        </is>
      </c>
      <c r="D4464" s="3" t="n">
        <v>18</v>
      </c>
      <c r="E4464" s="3" t="n">
        <v>18</v>
      </c>
      <c r="F4464" s="3" t="n">
        <v>20.45</v>
      </c>
      <c r="G4464" s="3" t="n">
        <v>2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12</v>
      </c>
      <c r="N4464" s="3" t="n">
        <v>97.56</v>
      </c>
      <c r="O4464" s="3" t="n">
        <v>19.28783382789317</v>
      </c>
    </row>
    <row r="4465" hidden="1">
      <c r="A4465" s="10" t="n">
        <v>46164</v>
      </c>
      <c r="B4465" s="6" t="inlineStr">
        <is>
          <t>Sara Maria Monteiro Lopes</t>
        </is>
      </c>
      <c r="C4465" s="3" t="inlineStr">
        <is>
          <t>Técnico I</t>
        </is>
      </c>
      <c r="D4465" s="3" t="n">
        <v>17</v>
      </c>
      <c r="E4465" s="3" t="n">
        <v>16</v>
      </c>
      <c r="F4465" s="3" t="n">
        <v>20.55</v>
      </c>
      <c r="G4465" s="3" t="n">
        <v>1</v>
      </c>
      <c r="H4465" s="3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M4465" s="3" t="n">
        <v>17</v>
      </c>
      <c r="N4465" s="3" t="n">
        <v>100</v>
      </c>
      <c r="O4465" s="3" t="n">
        <v>16.97247706422019</v>
      </c>
    </row>
    <row r="4466" hidden="1">
      <c r="A4466" s="11" t="n">
        <v>46167</v>
      </c>
      <c r="B4466" t="inlineStr">
        <is>
          <t>Ana Karollyne Souza Faria</t>
        </is>
      </c>
      <c r="C4466" t="inlineStr">
        <is>
          <t>Técnico I</t>
        </is>
      </c>
      <c r="D4466" t="n">
        <v>25</v>
      </c>
      <c r="E4466" t="n">
        <v>24</v>
      </c>
      <c r="F4466" t="n">
        <v>15.25</v>
      </c>
      <c r="G4466" t="n">
        <v>0</v>
      </c>
      <c r="H4466" t="n">
        <v>0</v>
      </c>
      <c r="I4466" s="3" t="n">
        <v>0</v>
      </c>
      <c r="J4466" s="3" t="n">
        <v>0</v>
      </c>
      <c r="K4466" s="3" t="n">
        <v>0</v>
      </c>
      <c r="L4466" s="3">
        <f>IF(K4466&lt;-5,"CRÍTICO",IF(K4466&lt;0,"ATENÇÃO",IF(K4466&lt;=5,"OPORTUNO","MUITO BOM")))</f>
        <v/>
      </c>
    </row>
    <row r="4467" hidden="1">
      <c r="A4467" s="11" t="n">
        <v>46167</v>
      </c>
      <c r="B4467" t="inlineStr">
        <is>
          <t>Clessiane Pereira dos Santos</t>
        </is>
      </c>
      <c r="C4467" t="inlineStr">
        <is>
          <t>Técnico I</t>
        </is>
      </c>
      <c r="D4467" t="n">
        <v>11</v>
      </c>
      <c r="E4467" t="n">
        <v>11</v>
      </c>
      <c r="F4467" t="n">
        <v>15.57</v>
      </c>
      <c r="G4467" t="n">
        <v>0</v>
      </c>
      <c r="H4467" t="n">
        <v>0</v>
      </c>
      <c r="I4467" s="3" t="n">
        <v>0</v>
      </c>
      <c r="J4467" s="3" t="n">
        <v>0</v>
      </c>
      <c r="K4467" s="3" t="n">
        <v>0</v>
      </c>
      <c r="L4467" s="3">
        <f>IF(K4467&lt;-5,"CRÍTICO",IF(K4467&lt;0,"ATENÇÃO",IF(K4467&lt;=5,"OPORTUNO","MUITO BOM")))</f>
        <v/>
      </c>
    </row>
    <row r="4468" hidden="1">
      <c r="A4468" s="11" t="n">
        <v>46167</v>
      </c>
      <c r="B4468" t="inlineStr">
        <is>
          <t>Daniel Gomes da Silva</t>
        </is>
      </c>
      <c r="C4468" t="inlineStr">
        <is>
          <t>Técnico I</t>
        </is>
      </c>
      <c r="D4468" t="n">
        <v>28</v>
      </c>
      <c r="E4468" t="n">
        <v>25</v>
      </c>
      <c r="F4468" t="n">
        <v>13.29</v>
      </c>
      <c r="G4468" t="n">
        <v>0</v>
      </c>
      <c r="H4468" t="n">
        <v>0</v>
      </c>
      <c r="I4468" s="3" t="n">
        <v>0</v>
      </c>
      <c r="J4468" s="3" t="n">
        <v>0</v>
      </c>
      <c r="K4468" s="3" t="n">
        <v>0</v>
      </c>
      <c r="L4468" s="3">
        <f>IF(K4468&lt;-5,"CRÍTICO",IF(K4468&lt;0,"ATENÇÃO",IF(K4468&lt;=5,"OPORTUNO","MUITO BOM")))</f>
        <v/>
      </c>
    </row>
    <row r="4469" hidden="1">
      <c r="A4469" s="11" t="n">
        <v>46167</v>
      </c>
      <c r="B4469" t="inlineStr">
        <is>
          <t>Luiz Fernando de Carvalho Junior</t>
        </is>
      </c>
      <c r="C4469" t="inlineStr">
        <is>
          <t>Técnico I</t>
        </is>
      </c>
      <c r="D4469" t="n">
        <v>14</v>
      </c>
      <c r="E4469" t="n">
        <v>14</v>
      </c>
      <c r="F4469" t="n">
        <v>28.35</v>
      </c>
      <c r="G4469" t="n">
        <v>0</v>
      </c>
      <c r="H4469" t="n">
        <v>0</v>
      </c>
      <c r="I4469" s="3" t="n">
        <v>0</v>
      </c>
      <c r="J4469" s="3" t="n">
        <v>0</v>
      </c>
      <c r="K4469" s="3" t="n">
        <v>0</v>
      </c>
      <c r="L4469" s="3">
        <f>IF(K4469&lt;-5,"CRÍTICO",IF(K4469&lt;0,"ATENÇÃO",IF(K4469&lt;=5,"OPORTUNO","MUITO BOM")))</f>
        <v/>
      </c>
    </row>
    <row r="4470" hidden="1">
      <c r="A4470" s="11" t="n">
        <v>46167</v>
      </c>
      <c r="B4470" t="inlineStr">
        <is>
          <t>Raane Batista Matos</t>
        </is>
      </c>
      <c r="C4470" t="inlineStr">
        <is>
          <t>Técnico I</t>
        </is>
      </c>
      <c r="D4470" t="n">
        <v>28</v>
      </c>
      <c r="E4470" t="n">
        <v>26</v>
      </c>
      <c r="F4470" t="n">
        <v>15.04</v>
      </c>
      <c r="G4470" t="n">
        <v>0</v>
      </c>
      <c r="H4470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</row>
    <row r="4471" hidden="1">
      <c r="A4471" s="11" t="n">
        <v>46167</v>
      </c>
      <c r="B4471" t="inlineStr">
        <is>
          <t>Sara Maria Monteiro Lopes</t>
        </is>
      </c>
      <c r="C4471" t="inlineStr">
        <is>
          <t>Técnico I</t>
        </is>
      </c>
      <c r="D4471" t="n">
        <v>17</v>
      </c>
      <c r="E4471" t="n">
        <v>17</v>
      </c>
      <c r="F4471" t="n">
        <v>25.3</v>
      </c>
      <c r="G4471" t="n">
        <v>0</v>
      </c>
      <c r="H4471" t="n">
        <v>0</v>
      </c>
      <c r="I4471" s="3" t="n">
        <v>0</v>
      </c>
      <c r="J4471" s="3" t="n">
        <v>0</v>
      </c>
      <c r="K4471" s="3" t="n">
        <v>0</v>
      </c>
      <c r="L4471" s="3">
        <f>IF(K4471&lt;-5,"CRÍTICO",IF(K4471&lt;0,"ATENÇÃO",IF(K4471&lt;=5,"OPORTUNO","MUITO BOM")))</f>
        <v/>
      </c>
    </row>
    <row r="4472" hidden="1">
      <c r="A4472" s="11" t="n">
        <v>46140</v>
      </c>
      <c r="B4472" t="inlineStr">
        <is>
          <t>Gabriel Gomes de Andrade</t>
        </is>
      </c>
      <c r="C4472" t="inlineStr">
        <is>
          <t>Técnico I</t>
        </is>
      </c>
      <c r="D4472" t="n">
        <v>9</v>
      </c>
      <c r="E4472" t="n">
        <v>5</v>
      </c>
      <c r="F4472" t="n">
        <v>10.29</v>
      </c>
      <c r="G4472" t="n">
        <v>0</v>
      </c>
      <c r="H4472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IF(K4472&lt;-5,"CRÍTICO",IF(K4472&lt;0,"ATENÇÃO",IF(K4472&lt;=5,"OPORTUNO","MUITO BOM")))</f>
        <v/>
      </c>
      <c r="N4472" t="n">
        <v>99.28</v>
      </c>
      <c r="O4472" t="n">
        <v>27.68924302788844</v>
      </c>
    </row>
    <row r="4473" hidden="1">
      <c r="A4473" s="11" t="n">
        <v>46141</v>
      </c>
      <c r="B4473" t="inlineStr">
        <is>
          <t>Gabriel Gomes de Andrade</t>
        </is>
      </c>
      <c r="C4473" t="inlineStr">
        <is>
          <t>Técnico I</t>
        </is>
      </c>
      <c r="D4473" t="n">
        <v>0</v>
      </c>
      <c r="E4473" t="n">
        <v>0</v>
      </c>
      <c r="F4473" t="n">
        <v>0</v>
      </c>
      <c r="G4473" t="n">
        <v>0</v>
      </c>
      <c r="H4473" t="n">
        <v>0</v>
      </c>
      <c r="I4473" s="3" t="n">
        <v>0</v>
      </c>
      <c r="J4473" s="3" t="n">
        <v>0</v>
      </c>
      <c r="K4473" s="3" t="n">
        <v>0</v>
      </c>
      <c r="L4473" s="3">
        <f>IF(K4473&lt;-5,"CRÍTICO",IF(K4473&lt;0,"ATENÇÃO",IF(K4473&lt;=5,"OPORTUNO","MUITO BOM")))</f>
        <v/>
      </c>
      <c r="N4473" t="n">
        <v>99.28</v>
      </c>
      <c r="O4473" t="n">
        <v>27.68924302788844</v>
      </c>
    </row>
    <row r="4474" hidden="1">
      <c r="A4474" s="11" t="n">
        <v>46142</v>
      </c>
      <c r="B4474" t="inlineStr">
        <is>
          <t>Gabriel Gomes de Andrade</t>
        </is>
      </c>
      <c r="C4474" t="inlineStr">
        <is>
          <t>Técnico I</t>
        </is>
      </c>
      <c r="D4474" t="n">
        <v>3</v>
      </c>
      <c r="E4474" t="n">
        <v>3</v>
      </c>
      <c r="F4474" t="n">
        <v>15.05</v>
      </c>
      <c r="G4474" t="n">
        <v>0</v>
      </c>
      <c r="H4474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N4474" t="n">
        <v>99.28</v>
      </c>
      <c r="O4474" t="n">
        <v>27.68924302788844</v>
      </c>
    </row>
    <row r="4475" hidden="1">
      <c r="A4475" s="5" t="n">
        <v>46146</v>
      </c>
      <c r="B4475" s="6" t="inlineStr">
        <is>
          <t>Gabriel Gomes de Andrade</t>
        </is>
      </c>
      <c r="C4475" s="3" t="inlineStr">
        <is>
          <t>Técnico I</t>
        </is>
      </c>
      <c r="D4475" s="3" t="n">
        <v>24</v>
      </c>
      <c r="E4475" s="3" t="n">
        <v>20</v>
      </c>
      <c r="F4475" s="3" t="n">
        <v>21.45</v>
      </c>
      <c r="G4475" s="3" t="n">
        <v>7</v>
      </c>
      <c r="H4475" s="3" t="n">
        <v>0</v>
      </c>
      <c r="I4475" s="3">
        <f>E4475+G4475+H4475</f>
        <v/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/>
      </c>
      <c r="K4475" s="3">
        <f>I4475-J4475</f>
        <v/>
      </c>
      <c r="L4475" s="3">
        <f>IF(K4475&lt;-5,"CRÍTICO",IF(K4475&lt;0,"ATENÇÃO",IF(K4475&lt;=5,"OPORTUNO","MUITO BOM")))</f>
        <v/>
      </c>
      <c r="M4475" s="9" t="n">
        <v>22</v>
      </c>
      <c r="N4475" s="9" t="n">
        <v>98.8</v>
      </c>
      <c r="O4475" s="9" t="n">
        <v>15.41353383458646</v>
      </c>
    </row>
    <row r="4476" hidden="1">
      <c r="A4476" s="5" t="n">
        <v>46147</v>
      </c>
      <c r="B4476" s="6" t="inlineStr">
        <is>
          <t>Gabriel Gomes de Andrade</t>
        </is>
      </c>
      <c r="C4476" s="3" t="inlineStr">
        <is>
          <t>Técnico I</t>
        </is>
      </c>
      <c r="D4476" s="3" t="n">
        <v>13</v>
      </c>
      <c r="E4476" s="3" t="n">
        <v>12</v>
      </c>
      <c r="F4476" s="3" t="n">
        <v>17.15</v>
      </c>
      <c r="G4476" s="3" t="n">
        <v>9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12</v>
      </c>
      <c r="N4476" s="3" t="n">
        <v>98.8</v>
      </c>
      <c r="O4476" s="3" t="n">
        <v>15.41353383458646</v>
      </c>
    </row>
    <row r="4477" hidden="1">
      <c r="A4477" s="5" t="n">
        <v>46148</v>
      </c>
      <c r="B4477" s="6" t="inlineStr">
        <is>
          <t>Gabriel Gomes de Andrade</t>
        </is>
      </c>
      <c r="C4477" s="3" t="inlineStr">
        <is>
          <t>Técnico I</t>
        </is>
      </c>
      <c r="D4477" s="3" t="n">
        <v>23</v>
      </c>
      <c r="E4477" s="3" t="n">
        <v>22</v>
      </c>
      <c r="F4477" t="n">
        <v>20.21</v>
      </c>
      <c r="G4477" s="3" t="n">
        <v>9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24</v>
      </c>
      <c r="N4477" s="3" t="n">
        <v>98.8</v>
      </c>
      <c r="O4477" s="3" t="n">
        <v>15.41353383458646</v>
      </c>
    </row>
    <row r="4478" hidden="1">
      <c r="A4478" s="5" t="n">
        <v>46149</v>
      </c>
      <c r="B4478" s="6" t="inlineStr">
        <is>
          <t>Gabriel Gomes de Andrade</t>
        </is>
      </c>
      <c r="C4478" s="3" t="inlineStr">
        <is>
          <t>Técnico I</t>
        </is>
      </c>
      <c r="D4478" s="3" t="n">
        <v>26</v>
      </c>
      <c r="E4478" s="3" t="n">
        <v>26</v>
      </c>
      <c r="F4478" t="n">
        <v>18.46</v>
      </c>
      <c r="G4478" s="3" t="n">
        <v>2</v>
      </c>
      <c r="H4478" s="3" t="n">
        <v>0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24</v>
      </c>
      <c r="N4478" s="3" t="n">
        <v>98.8</v>
      </c>
      <c r="O4478" s="3" t="n">
        <v>15.41353383458646</v>
      </c>
    </row>
    <row r="4479" hidden="1">
      <c r="A4479" s="5" t="n">
        <v>46150</v>
      </c>
      <c r="B4479" s="6" t="inlineStr">
        <is>
          <t>Gabriel Gomes de Andrade</t>
        </is>
      </c>
      <c r="C4479" s="3" t="inlineStr">
        <is>
          <t>Técnico I</t>
        </is>
      </c>
      <c r="D4479" s="3" t="n">
        <v>0</v>
      </c>
      <c r="E4479" s="3" t="n">
        <v>0</v>
      </c>
      <c r="F4479" s="3" t="n">
        <v>0</v>
      </c>
      <c r="G4479" s="3" t="n">
        <v>0</v>
      </c>
      <c r="H4479" s="3" t="n">
        <v>0</v>
      </c>
      <c r="I4479" s="3" t="n">
        <v>0</v>
      </c>
      <c r="J4479" s="3" t="n">
        <v>0</v>
      </c>
      <c r="K4479" s="3" t="n">
        <v>0</v>
      </c>
      <c r="L4479" s="3">
        <f>IF(K4479&lt;-5,"CRÍTICO",IF(K4479&lt;0,"ATENÇÃO",IF(K4479&lt;=5,"OPORTUNO","MUITO BOM")))</f>
        <v/>
      </c>
      <c r="M4479" s="9" t="n">
        <v>0</v>
      </c>
      <c r="N4479" s="9" t="n">
        <v>98.8</v>
      </c>
      <c r="O4479" s="9" t="n">
        <v>15.41353383458646</v>
      </c>
    </row>
    <row r="4480" hidden="1">
      <c r="A4480" s="5" t="n">
        <v>46153</v>
      </c>
      <c r="B4480" s="6" t="inlineStr">
        <is>
          <t>Gabriel Gomes de Andrade</t>
        </is>
      </c>
      <c r="C4480" s="3" t="inlineStr">
        <is>
          <t>Técnico I</t>
        </is>
      </c>
      <c r="D4480" s="3" t="n">
        <v>25</v>
      </c>
      <c r="E4480" s="3" t="n">
        <v>22</v>
      </c>
      <c r="F4480" t="n">
        <v>17.3</v>
      </c>
      <c r="G4480" s="3" t="n">
        <v>5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t="n">
        <v>23</v>
      </c>
      <c r="N4480" t="n">
        <v>98.8</v>
      </c>
      <c r="O4480" t="n">
        <v>15.41353383458646</v>
      </c>
    </row>
    <row r="4481" hidden="1">
      <c r="A4481" s="5" t="n">
        <v>46154</v>
      </c>
      <c r="B4481" s="6" t="inlineStr">
        <is>
          <t>Gabriel Gomes de Andrade</t>
        </is>
      </c>
      <c r="C4481" s="3" t="inlineStr">
        <is>
          <t>Técnico I</t>
        </is>
      </c>
      <c r="D4481" s="3" t="n">
        <v>17</v>
      </c>
      <c r="E4481" s="3" t="n">
        <v>17</v>
      </c>
      <c r="F4481" t="n">
        <v>17.17</v>
      </c>
      <c r="H4481" s="3" t="n">
        <v>7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t="n">
        <v>24</v>
      </c>
      <c r="N4481" t="n">
        <v>98.8</v>
      </c>
      <c r="O4481" t="n">
        <v>15.41353383458646</v>
      </c>
    </row>
    <row r="4482" hidden="1">
      <c r="A4482" s="5" t="n">
        <v>46155</v>
      </c>
      <c r="B4482" s="6" t="inlineStr">
        <is>
          <t>Gabriel Gomes de Andrade</t>
        </is>
      </c>
      <c r="C4482" s="3" t="inlineStr">
        <is>
          <t>Técnico I</t>
        </is>
      </c>
      <c r="D4482" s="3" t="n">
        <v>20</v>
      </c>
      <c r="E4482" s="3" t="n">
        <v>16</v>
      </c>
      <c r="F4482" t="n">
        <v>23.26</v>
      </c>
      <c r="G4482" s="3" t="n">
        <v>11</v>
      </c>
      <c r="H4482" s="3" t="n">
        <v>7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t="n">
        <v>18</v>
      </c>
      <c r="N4482" t="n">
        <v>98.8</v>
      </c>
      <c r="O4482" t="n">
        <v>15.41353383458646</v>
      </c>
    </row>
    <row r="4483" hidden="1">
      <c r="A4483" s="5" t="n">
        <v>46156</v>
      </c>
      <c r="B4483" s="6" t="inlineStr">
        <is>
          <t>Gabriel Gomes de Andrade</t>
        </is>
      </c>
      <c r="C4483" s="3" t="inlineStr">
        <is>
          <t>Técnico I</t>
        </is>
      </c>
      <c r="D4483" s="3" t="n">
        <v>19</v>
      </c>
      <c r="E4483" s="3" t="n">
        <v>18</v>
      </c>
      <c r="F4483" t="n">
        <v>22.29</v>
      </c>
      <c r="G4483" s="3" t="n">
        <v>0</v>
      </c>
      <c r="H4483" s="3" t="n">
        <v>5</v>
      </c>
      <c r="I4483" s="3">
        <f>E4483+G4483+H4483</f>
        <v/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/>
      </c>
      <c r="K4483" s="3">
        <f>I4483-J4483</f>
        <v/>
      </c>
      <c r="L4483" s="3">
        <f>IF(K4483&lt;-5,"CRÍTICO",IF(K4483&lt;0,"ATENÇÃO",IF(K4483&lt;=5,"OPORTUNO","MUITO BOM")))</f>
        <v/>
      </c>
      <c r="M4483" t="n">
        <v>23</v>
      </c>
      <c r="N4483" t="n">
        <v>98.8</v>
      </c>
      <c r="O4483" t="n">
        <v>15.41353383458646</v>
      </c>
    </row>
    <row r="4484" hidden="1">
      <c r="A4484" s="5" t="n">
        <v>46157</v>
      </c>
      <c r="B4484" s="6" t="inlineStr">
        <is>
          <t>Gabriel Gomes de Andrade</t>
        </is>
      </c>
      <c r="C4484" s="3" t="inlineStr">
        <is>
          <t>Técnico I</t>
        </is>
      </c>
      <c r="D4484" s="3" t="n">
        <v>19</v>
      </c>
      <c r="E4484" s="3" t="n">
        <v>16</v>
      </c>
      <c r="F4484" t="n">
        <v>16.56</v>
      </c>
      <c r="G4484" s="3" t="n">
        <v>6</v>
      </c>
      <c r="H4484" s="3" t="n">
        <v>1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t="n">
        <v>15</v>
      </c>
      <c r="N4484" t="n">
        <v>98.8</v>
      </c>
      <c r="O4484" t="n">
        <v>15.41353383458646</v>
      </c>
    </row>
    <row r="4485" hidden="1">
      <c r="A4485" s="5" t="n">
        <v>46160</v>
      </c>
      <c r="B4485" s="6" t="inlineStr">
        <is>
          <t>Gabriel Gomes de Andrade</t>
        </is>
      </c>
      <c r="C4485" s="3" t="inlineStr">
        <is>
          <t>Técnico I</t>
        </is>
      </c>
      <c r="D4485" s="3" t="n">
        <v>21</v>
      </c>
      <c r="E4485" s="3" t="n">
        <v>18</v>
      </c>
      <c r="F4485" t="n">
        <v>20.22</v>
      </c>
      <c r="G4485" s="3" t="n">
        <v>6</v>
      </c>
      <c r="H4485" s="3" t="n">
        <v>1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t="n">
        <v>18</v>
      </c>
      <c r="N4485" t="n">
        <v>98.8</v>
      </c>
      <c r="O4485" t="n">
        <v>15.41353383458646</v>
      </c>
    </row>
    <row r="4486" hidden="1">
      <c r="A4486" s="7" t="n">
        <v>46161</v>
      </c>
      <c r="B4486" s="8" t="inlineStr">
        <is>
          <t>Gabriel Gomes de Andrade</t>
        </is>
      </c>
      <c r="C4486" s="9" t="inlineStr">
        <is>
          <t>Técnico I</t>
        </is>
      </c>
      <c r="D4486" s="3" t="n">
        <v>19</v>
      </c>
      <c r="E4486" s="3" t="n">
        <v>18</v>
      </c>
      <c r="F4486" t="n">
        <v>21.58</v>
      </c>
      <c r="G4486" s="3" t="n">
        <v>3</v>
      </c>
      <c r="H4486" s="3" t="n">
        <v>3</v>
      </c>
      <c r="I4486" s="3">
        <f>E4486+G4486+H4486</f>
        <v/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/>
      </c>
      <c r="K4486" s="3">
        <f>I4486-J4486</f>
        <v/>
      </c>
      <c r="L4486" s="3">
        <f>IF(K4486&lt;-5,"CRÍTICO",IF(K4486&lt;0,"ATENÇÃO",IF(K4486&lt;=5,"OPORTUNO","MUITO BOM")))</f>
        <v/>
      </c>
      <c r="M4486" t="n">
        <v>20</v>
      </c>
      <c r="N4486" t="n">
        <v>98.8</v>
      </c>
      <c r="O4486" t="n">
        <v>15.41353383458646</v>
      </c>
    </row>
    <row r="4487" hidden="1">
      <c r="A4487" s="7" t="n">
        <v>46162</v>
      </c>
      <c r="B4487" s="8" t="inlineStr">
        <is>
          <t>Gabriel Gomes de Andrade</t>
        </is>
      </c>
      <c r="C4487" s="9" t="inlineStr">
        <is>
          <t>Técnico I</t>
        </is>
      </c>
      <c r="D4487" s="3" t="n">
        <v>26</v>
      </c>
      <c r="E4487" s="3" t="n">
        <v>20</v>
      </c>
      <c r="F4487" s="3" t="n">
        <v>15.09</v>
      </c>
      <c r="G4487" s="3" t="n">
        <v>5</v>
      </c>
      <c r="H4487" s="3" t="n">
        <v>2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9" t="n">
        <v>21</v>
      </c>
      <c r="N4487" s="9" t="n">
        <v>98.8</v>
      </c>
      <c r="O4487" s="9" t="n">
        <v>15.41353383458646</v>
      </c>
    </row>
    <row r="4488" hidden="1">
      <c r="A4488" s="5" t="n">
        <v>46163</v>
      </c>
      <c r="B4488" s="6" t="inlineStr">
        <is>
          <t>Gabriel Gomes de Andrade</t>
        </is>
      </c>
      <c r="C4488" s="3" t="inlineStr">
        <is>
          <t>Técnico I</t>
        </is>
      </c>
      <c r="D4488" s="3" t="n">
        <v>16</v>
      </c>
      <c r="E4488" s="3" t="n">
        <v>15</v>
      </c>
      <c r="F4488" s="3" t="n">
        <v>25.07</v>
      </c>
      <c r="G4488" s="3" t="n">
        <v>3</v>
      </c>
      <c r="H4488" s="3" t="n">
        <v>0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15</v>
      </c>
      <c r="N4488" s="3" t="n">
        <v>98.8</v>
      </c>
      <c r="O4488" s="3" t="n">
        <v>15.41353383458646</v>
      </c>
    </row>
    <row r="4489" hidden="1">
      <c r="A4489" s="11" t="n">
        <v>46140</v>
      </c>
      <c r="B4489" t="inlineStr">
        <is>
          <t>Ana Karollyne Souza Faria</t>
        </is>
      </c>
      <c r="C4489" t="inlineStr">
        <is>
          <t>Técnico I</t>
        </is>
      </c>
      <c r="D4489" t="n">
        <v>26</v>
      </c>
      <c r="E4489" t="n">
        <v>24</v>
      </c>
      <c r="F4489" t="n">
        <v>19.19</v>
      </c>
      <c r="G4489" t="n">
        <v>0</v>
      </c>
      <c r="H4489" t="n">
        <v>0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N4489" t="n">
        <v>99.31999999999999</v>
      </c>
      <c r="O4489" t="n">
        <v>30.45186640471513</v>
      </c>
    </row>
    <row r="4490" hidden="1">
      <c r="A4490" s="11" t="n">
        <v>46140</v>
      </c>
      <c r="B4490" t="inlineStr">
        <is>
          <t>Clessiane Pereira dos Santos</t>
        </is>
      </c>
      <c r="C4490" t="inlineStr">
        <is>
          <t>Técnico I</t>
        </is>
      </c>
      <c r="D4490" t="n">
        <v>27</v>
      </c>
      <c r="E4490" t="n">
        <v>26</v>
      </c>
      <c r="F4490" t="n">
        <v>15.4</v>
      </c>
      <c r="G4490" t="n">
        <v>0</v>
      </c>
      <c r="H4490" t="n">
        <v>0</v>
      </c>
      <c r="I4490" s="3">
        <f>E4490+G4490+H4490</f>
        <v/>
      </c>
      <c r="J4490" s="3">
        <f>ROUND(MIN(IF(C4490="Técnico III",35,IF(C4490="Técnico II",28,IF(C4490="Técnico I",23,IF(C4490="JR",20,IF(C4490="Estágio",10,0))))),IF(C4490="Técnico III",SUMIFS($D:$D,$A:$A,$A4490,$B:$B,"&lt;&gt;Patrícia Karla de Sousa Araújo",$B:$B,"&lt;&gt;Lorena Dias de Araujo",$B:$B,"&lt;&gt;Lucas Luiz Romero")*(35/1083),IF(C4490="Técnico II",SUMIFS($D:$D,$A:$A,$A4490,$B:$B,"&lt;&gt;Patrícia Karla de Sousa Araújo",$B:$B,"&lt;&gt;Lorena Dias de Araujo",$B:$B,"&lt;&gt;Lucas Luiz Romero")*(28/1083),IF(C4490="Técnico I",SUMIFS($D:$D,$A:$A,$A4490,$B:$B,"&lt;&gt;Patrícia Karla de Sousa Araújo",$B:$B,"&lt;&gt;Lorena Dias de Araujo",$B:$B,"&lt;&gt;Lucas Luiz Romero")*(23/1083),IF(C4490="JR",SUMIFS($D:$D,$A:$A,$A4490,$B:$B,"&lt;&gt;Patrícia Karla de Sousa Araújo",$B:$B,"&lt;&gt;Lorena Dias de Araujo",$B:$B,"&lt;&gt;Lucas Luiz Romero")*(20/1083),IF(C4490="Estágio",SUMIFS($D:$D,$A:$A,$A4490,$B:$B,"&lt;&gt;Patrícia Karla de Sousa Araújo",$B:$B,"&lt;&gt;Lorena Dias de Araujo",$B:$B,"&lt;&gt;Lucas Luiz Romero")*(10/1083),0)))))),0)</f>
        <v/>
      </c>
      <c r="K4490" s="3">
        <f>I4490-J4490</f>
        <v/>
      </c>
      <c r="L4490" s="3">
        <f>IF(K4490&lt;-5,"CRÍTICO",IF(K4490&lt;0,"ATENÇÃO",IF(K4490&lt;=5,"OPORTUNO","MUITO BOM")))</f>
        <v/>
      </c>
      <c r="N4490" t="n">
        <v>96.3</v>
      </c>
      <c r="O4490" t="n">
        <v>31.98090692124105</v>
      </c>
    </row>
    <row r="4491" hidden="1">
      <c r="A4491" s="11" t="n">
        <v>46140</v>
      </c>
      <c r="B4491" t="inlineStr">
        <is>
          <t>Daniel Gomes da Silva</t>
        </is>
      </c>
      <c r="C4491" t="inlineStr">
        <is>
          <t>Técnico I</t>
        </is>
      </c>
      <c r="D4491" t="n">
        <v>17</v>
      </c>
      <c r="E4491" t="n">
        <v>17</v>
      </c>
      <c r="F4491" t="n">
        <v>17.23</v>
      </c>
      <c r="G4491" t="n">
        <v>0</v>
      </c>
      <c r="H4491" t="n">
        <v>0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N4491" t="n">
        <v>100</v>
      </c>
      <c r="O4491" t="n">
        <v>36.23188405797102</v>
      </c>
    </row>
    <row r="4492" hidden="1">
      <c r="A4492" s="10" t="n">
        <v>46164</v>
      </c>
      <c r="B4492" s="6" t="inlineStr">
        <is>
          <t>Gabriel Gomes de Andrade</t>
        </is>
      </c>
      <c r="C4492" s="3" t="inlineStr">
        <is>
          <t>Técnico I</t>
        </is>
      </c>
      <c r="D4492" s="3" t="n">
        <v>8</v>
      </c>
      <c r="E4492" s="3" t="n">
        <v>7</v>
      </c>
      <c r="F4492" s="3" t="n">
        <v>18.34</v>
      </c>
      <c r="G4492" s="3" t="n">
        <v>0</v>
      </c>
      <c r="H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7</v>
      </c>
      <c r="N4492" s="3" t="n">
        <v>98.8</v>
      </c>
      <c r="O4492" s="3" t="n">
        <v>15.41353383458646</v>
      </c>
    </row>
    <row r="4493" hidden="1">
      <c r="A4493" s="11" t="n">
        <v>46140</v>
      </c>
      <c r="B4493" t="inlineStr">
        <is>
          <t>Luiz Fernando de Carvalho Junior</t>
        </is>
      </c>
      <c r="C4493" t="inlineStr">
        <is>
          <t>Técnico I</t>
        </is>
      </c>
      <c r="D4493" t="n">
        <v>20</v>
      </c>
      <c r="E4493" t="n">
        <v>19</v>
      </c>
      <c r="F4493" t="n">
        <v>20.09</v>
      </c>
      <c r="G4493" t="n">
        <v>0</v>
      </c>
      <c r="H4493" t="n">
        <v>0</v>
      </c>
      <c r="I4493" s="3">
        <f>E4493+G4493+H4493</f>
        <v/>
      </c>
      <c r="J4493" s="3">
        <f>ROUND(MIN(IF(C4493="Técnico III",35,IF(C4493="Técnico II",28,IF(C4493="Técnico I",23,IF(C4493="JR",20,IF(C4493="Estágio",10,0))))),IF(C4493="Técnico III",SUMIFS($D:$D,$A:$A,$A4493,$B:$B,"&lt;&gt;Patrícia Karla de Sousa Araújo",$B:$B,"&lt;&gt;Lorena Dias de Araujo",$B:$B,"&lt;&gt;Lucas Luiz Romero")*(35/1083),IF(C4493="Técnico II",SUMIFS($D:$D,$A:$A,$A4493,$B:$B,"&lt;&gt;Patrícia Karla de Sousa Araújo",$B:$B,"&lt;&gt;Lorena Dias de Araujo",$B:$B,"&lt;&gt;Lucas Luiz Romero")*(28/1083),IF(C4493="Técnico I",SUMIFS($D:$D,$A:$A,$A4493,$B:$B,"&lt;&gt;Patrícia Karla de Sousa Araújo",$B:$B,"&lt;&gt;Lorena Dias de Araujo",$B:$B,"&lt;&gt;Lucas Luiz Romero")*(23/1083),IF(C4493="JR",SUMIFS($D:$D,$A:$A,$A4493,$B:$B,"&lt;&gt;Patrícia Karla de Sousa Araújo",$B:$B,"&lt;&gt;Lorena Dias de Araujo",$B:$B,"&lt;&gt;Lucas Luiz Romero")*(20/1083),IF(C4493="Estágio",SUMIFS($D:$D,$A:$A,$A4493,$B:$B,"&lt;&gt;Patrícia Karla de Sousa Araújo",$B:$B,"&lt;&gt;Lorena Dias de Araujo",$B:$B,"&lt;&gt;Lucas Luiz Romero")*(10/1083),0)))))),0)</f>
        <v/>
      </c>
      <c r="K4493" s="3">
        <f>I4493-J4493</f>
        <v/>
      </c>
      <c r="L4493" s="3">
        <f>IF(K4493&lt;-5,"CRÍTICO",IF(K4493&lt;0,"ATENÇÃO",IF(K4493&lt;=5,"OPORTUNO","MUITO BOM")))</f>
        <v/>
      </c>
      <c r="N4493" t="n">
        <v>97.37</v>
      </c>
      <c r="O4493" t="n">
        <v>25.76530612244898</v>
      </c>
    </row>
    <row r="4494" hidden="1">
      <c r="A4494" s="11" t="n">
        <v>46140</v>
      </c>
      <c r="B4494" t="inlineStr">
        <is>
          <t>Raane Batista Matos</t>
        </is>
      </c>
      <c r="C4494" t="inlineStr">
        <is>
          <t>Técnico I</t>
        </is>
      </c>
      <c r="D4494" t="n">
        <v>36</v>
      </c>
      <c r="E4494" t="n">
        <v>30</v>
      </c>
      <c r="F4494" t="n">
        <v>13.43</v>
      </c>
      <c r="G4494" t="n">
        <v>0</v>
      </c>
      <c r="H4494" t="n">
        <v>0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N4494" t="n">
        <v>98.31999999999999</v>
      </c>
      <c r="O4494" t="n">
        <v>26.61870503597122</v>
      </c>
    </row>
    <row r="4495" hidden="1">
      <c r="A4495" s="11" t="n">
        <v>46140</v>
      </c>
      <c r="B4495" t="inlineStr">
        <is>
          <t>Sara Maria Monteiro Lopes</t>
        </is>
      </c>
      <c r="C4495" t="inlineStr">
        <is>
          <t>Técnico I</t>
        </is>
      </c>
      <c r="D4495" t="n">
        <v>25</v>
      </c>
      <c r="E4495" t="n">
        <v>25</v>
      </c>
      <c r="F4495" t="n">
        <v>20.47</v>
      </c>
      <c r="G4495" t="n">
        <v>0</v>
      </c>
      <c r="H4495" t="n">
        <v>0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N4495" t="n">
        <v>100</v>
      </c>
      <c r="O4495" t="n">
        <v>26.02739726027397</v>
      </c>
    </row>
    <row r="4496" hidden="1">
      <c r="A4496" s="11" t="n">
        <v>46141</v>
      </c>
      <c r="B4496" t="inlineStr">
        <is>
          <t>Ana Karollyne Souza Faria</t>
        </is>
      </c>
      <c r="C4496" t="inlineStr">
        <is>
          <t>Técnico I</t>
        </is>
      </c>
      <c r="D4496" t="n">
        <v>33</v>
      </c>
      <c r="E4496" t="n">
        <v>29</v>
      </c>
      <c r="F4496" t="n">
        <v>20.25</v>
      </c>
      <c r="G4496" t="n">
        <v>0</v>
      </c>
      <c r="H4496" t="n">
        <v>0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N4496" t="n">
        <v>99.31999999999999</v>
      </c>
      <c r="O4496" t="n">
        <v>30.45186640471513</v>
      </c>
    </row>
    <row r="4497" hidden="1">
      <c r="A4497" s="11" t="n">
        <v>46141</v>
      </c>
      <c r="B4497" t="inlineStr">
        <is>
          <t>Clessiane Pereira dos Santos</t>
        </is>
      </c>
      <c r="C4497" t="inlineStr">
        <is>
          <t>Técnico I</t>
        </is>
      </c>
      <c r="D4497" t="n">
        <v>51</v>
      </c>
      <c r="E4497" t="n">
        <v>13</v>
      </c>
      <c r="F4497" t="n">
        <v>3.26</v>
      </c>
      <c r="G4497" t="n">
        <v>0</v>
      </c>
      <c r="H4497" t="n">
        <v>0</v>
      </c>
      <c r="I4497" s="3">
        <f>E4497+G4497+H4497</f>
        <v/>
      </c>
      <c r="J4497" s="3">
        <f>ROUND(MIN(IF(C4497="Técnico III",35,IF(C4497="Técnico II",28,IF(C4497="Técnico I",23,IF(C4497="JR",20,IF(C4497="Estágio",10,0))))),IF(C4497="Técnico III",SUMIFS($D:$D,$A:$A,$A4497,$B:$B,"&lt;&gt;Patrícia Karla de Sousa Araújo",$B:$B,"&lt;&gt;Lorena Dias de Araujo",$B:$B,"&lt;&gt;Lucas Luiz Romero")*(35/1083),IF(C4497="Técnico II",SUMIFS($D:$D,$A:$A,$A4497,$B:$B,"&lt;&gt;Patrícia Karla de Sousa Araújo",$B:$B,"&lt;&gt;Lorena Dias de Araujo",$B:$B,"&lt;&gt;Lucas Luiz Romero")*(28/1083),IF(C4497="Técnico I",SUMIFS($D:$D,$A:$A,$A4497,$B:$B,"&lt;&gt;Patrícia Karla de Sousa Araújo",$B:$B,"&lt;&gt;Lorena Dias de Araujo",$B:$B,"&lt;&gt;Lucas Luiz Romero")*(23/1083),IF(C4497="JR",SUMIFS($D:$D,$A:$A,$A4497,$B:$B,"&lt;&gt;Patrícia Karla de Sousa Araújo",$B:$B,"&lt;&gt;Lorena Dias de Araujo",$B:$B,"&lt;&gt;Lucas Luiz Romero")*(20/1083),IF(C4497="Estágio",SUMIFS($D:$D,$A:$A,$A4497,$B:$B,"&lt;&gt;Patrícia Karla de Sousa Araújo",$B:$B,"&lt;&gt;Lorena Dias de Araujo",$B:$B,"&lt;&gt;Lucas Luiz Romero")*(10/1083),0)))))),0)</f>
        <v/>
      </c>
      <c r="K4497" s="3">
        <f>I4497-J4497</f>
        <v/>
      </c>
      <c r="L4497" s="3">
        <f>IF(K4497&lt;-5,"CRÍTICO",IF(K4497&lt;0,"ATENÇÃO",IF(K4497&lt;=5,"OPORTUNO","MUITO BOM")))</f>
        <v/>
      </c>
      <c r="N4497" t="n">
        <v>96.3</v>
      </c>
      <c r="O4497" t="n">
        <v>31.98090692124105</v>
      </c>
    </row>
    <row r="4498" hidden="1">
      <c r="A4498" s="11" t="n">
        <v>46141</v>
      </c>
      <c r="B4498" t="inlineStr">
        <is>
          <t>Daniel Gomes da Silva</t>
        </is>
      </c>
      <c r="C4498" t="inlineStr">
        <is>
          <t>Técnico I</t>
        </is>
      </c>
      <c r="D4498" t="n">
        <v>29</v>
      </c>
      <c r="E4498" t="n">
        <v>28</v>
      </c>
      <c r="F4498" t="n">
        <v>18.51</v>
      </c>
      <c r="G4498" t="n">
        <v>0</v>
      </c>
      <c r="H4498" t="n">
        <v>0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IF(K4498&lt;-5,"CRÍTICO",IF(K4498&lt;0,"ATENÇÃO",IF(K4498&lt;=5,"OPORTUNO","MUITO BOM")))</f>
        <v/>
      </c>
      <c r="N4498" t="n">
        <v>100</v>
      </c>
      <c r="O4498" t="n">
        <v>36.23188405797102</v>
      </c>
    </row>
    <row r="4499" hidden="1">
      <c r="A4499" s="11" t="n">
        <v>46141</v>
      </c>
      <c r="B4499" t="inlineStr">
        <is>
          <t>Luiz Fernando de Carvalho Junior</t>
        </is>
      </c>
      <c r="C4499" t="inlineStr">
        <is>
          <t>Técnico I</t>
        </is>
      </c>
      <c r="D4499" t="n">
        <v>20</v>
      </c>
      <c r="E4499" t="n">
        <v>18</v>
      </c>
      <c r="F4499" t="n">
        <v>20.37</v>
      </c>
      <c r="G4499" t="n">
        <v>0</v>
      </c>
      <c r="H4499" t="n">
        <v>0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IF(K4499&lt;-5,"CRÍTICO",IF(K4499&lt;0,"ATENÇÃO",IF(K4499&lt;=5,"OPORTUNO","MUITO BOM")))</f>
        <v/>
      </c>
      <c r="N4499" t="n">
        <v>97.37</v>
      </c>
      <c r="O4499" t="n">
        <v>25.76530612244898</v>
      </c>
    </row>
    <row r="4500" hidden="1">
      <c r="A4500" s="11" t="n">
        <v>46141</v>
      </c>
      <c r="B4500" t="inlineStr">
        <is>
          <t>Raane Batista Matos</t>
        </is>
      </c>
      <c r="C4500" t="inlineStr">
        <is>
          <t>Técnico I</t>
        </is>
      </c>
      <c r="D4500" t="n">
        <v>32</v>
      </c>
      <c r="E4500" t="n">
        <v>28</v>
      </c>
      <c r="F4500" t="n">
        <v>13.21</v>
      </c>
      <c r="G4500" t="n">
        <v>0</v>
      </c>
      <c r="H4500" t="n">
        <v>0</v>
      </c>
      <c r="I4500" s="3">
        <f>E4500+G4500+H4500</f>
        <v/>
      </c>
      <c r="J4500" s="3">
        <f>ROUND(MIN(IF(C4500="Técnico III",35,IF(C4500="Técnico II",28,IF(C4500="Técnico I",23,IF(C4500="JR",20,IF(C4500="Estágio",10,0))))),IF(C4500="Técnico III",SUMIFS($D:$D,$A:$A,$A4500,$B:$B,"&lt;&gt;Patrícia Karla de Sousa Araújo",$B:$B,"&lt;&gt;Lorena Dias de Araujo",$B:$B,"&lt;&gt;Lucas Luiz Romero")*(35/1083),IF(C4500="Técnico II",SUMIFS($D:$D,$A:$A,$A4500,$B:$B,"&lt;&gt;Patrícia Karla de Sousa Araújo",$B:$B,"&lt;&gt;Lorena Dias de Araujo",$B:$B,"&lt;&gt;Lucas Luiz Romero")*(28/1083),IF(C4500="Técnico I",SUMIFS($D:$D,$A:$A,$A4500,$B:$B,"&lt;&gt;Patrícia Karla de Sousa Araújo",$B:$B,"&lt;&gt;Lorena Dias de Araujo",$B:$B,"&lt;&gt;Lucas Luiz Romero")*(23/1083),IF(C4500="JR",SUMIFS($D:$D,$A:$A,$A4500,$B:$B,"&lt;&gt;Patrícia Karla de Sousa Araújo",$B:$B,"&lt;&gt;Lorena Dias de Araujo",$B:$B,"&lt;&gt;Lucas Luiz Romero")*(20/1083),IF(C4500="Estágio",SUMIFS($D:$D,$A:$A,$A4500,$B:$B,"&lt;&gt;Patrícia Karla de Sousa Araújo",$B:$B,"&lt;&gt;Lorena Dias de Araujo",$B:$B,"&lt;&gt;Lucas Luiz Romero")*(10/1083),0)))))),0)</f>
        <v/>
      </c>
      <c r="K4500" s="3">
        <f>I4500-J4500</f>
        <v/>
      </c>
      <c r="L4500" s="3">
        <f>IF(K4500&lt;-5,"CRÍTICO",IF(K4500&lt;0,"ATENÇÃO",IF(K4500&lt;=5,"OPORTUNO","MUITO BOM")))</f>
        <v/>
      </c>
      <c r="N4500" t="n">
        <v>98.31999999999999</v>
      </c>
      <c r="O4500" t="n">
        <v>26.61870503597122</v>
      </c>
    </row>
    <row r="4501" hidden="1">
      <c r="A4501" s="11" t="n">
        <v>46141</v>
      </c>
      <c r="B4501" t="inlineStr">
        <is>
          <t>Sara Maria Monteiro Lopes</t>
        </is>
      </c>
      <c r="C4501" t="inlineStr">
        <is>
          <t>Técnico I</t>
        </is>
      </c>
      <c r="D4501" t="n">
        <v>15</v>
      </c>
      <c r="E4501" t="n">
        <v>14</v>
      </c>
      <c r="F4501" t="n">
        <v>23.58</v>
      </c>
      <c r="G4501" t="n">
        <v>0</v>
      </c>
      <c r="H4501" t="n">
        <v>0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N4501" t="n">
        <v>100</v>
      </c>
      <c r="O4501" t="n">
        <v>26.02739726027397</v>
      </c>
    </row>
    <row r="4502" hidden="1">
      <c r="A4502" s="11" t="n">
        <v>46142</v>
      </c>
      <c r="B4502" t="inlineStr">
        <is>
          <t>Ana Karollyne Souza Faria</t>
        </is>
      </c>
      <c r="C4502" t="inlineStr">
        <is>
          <t>Técnico I</t>
        </is>
      </c>
      <c r="D4502" t="n">
        <v>26</v>
      </c>
      <c r="E4502" t="n">
        <v>24</v>
      </c>
      <c r="F4502" t="n">
        <v>18.24</v>
      </c>
      <c r="G4502" t="n">
        <v>0</v>
      </c>
      <c r="H4502" t="n">
        <v>0</v>
      </c>
      <c r="I4502" s="3">
        <f>E4502+G4502+H4502</f>
        <v/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/>
      </c>
      <c r="K4502" s="3">
        <f>I4502-J4502</f>
        <v/>
      </c>
      <c r="L4502" s="3">
        <f>IF(K4502&lt;-5,"CRÍTICO",IF(K4502&lt;0,"ATENÇÃO",IF(K4502&lt;=5,"OPORTUNO","MUITO BOM")))</f>
        <v/>
      </c>
      <c r="N4502" t="n">
        <v>99.31999999999999</v>
      </c>
      <c r="O4502" t="n">
        <v>30.45186640471513</v>
      </c>
    </row>
    <row r="4503" hidden="1">
      <c r="A4503" s="11" t="n">
        <v>46142</v>
      </c>
      <c r="B4503" t="inlineStr">
        <is>
          <t>Clessiane Pereira dos Santos</t>
        </is>
      </c>
      <c r="C4503" t="inlineStr">
        <is>
          <t>Técnico I</t>
        </is>
      </c>
      <c r="D4503" t="n">
        <v>23</v>
      </c>
      <c r="E4503" t="n">
        <v>23</v>
      </c>
      <c r="F4503" t="n">
        <v>25.3</v>
      </c>
      <c r="G4503" t="n">
        <v>0</v>
      </c>
      <c r="H4503" t="n">
        <v>0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N4503" t="n">
        <v>96.3</v>
      </c>
      <c r="O4503" t="n">
        <v>31.98090692124105</v>
      </c>
    </row>
    <row r="4504" hidden="1">
      <c r="A4504" s="11" t="n">
        <v>46142</v>
      </c>
      <c r="B4504" t="inlineStr">
        <is>
          <t>Daniel Gomes da Silva</t>
        </is>
      </c>
      <c r="C4504" t="inlineStr">
        <is>
          <t>Técnico I</t>
        </is>
      </c>
      <c r="D4504" t="n">
        <v>23</v>
      </c>
      <c r="E4504" t="n">
        <v>23</v>
      </c>
      <c r="F4504" t="n">
        <v>20.21</v>
      </c>
      <c r="G4504" t="n">
        <v>0</v>
      </c>
      <c r="H4504" t="n">
        <v>0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IF(K4504&lt;-5,"CRÍTICO",IF(K4504&lt;0,"ATENÇÃO",IF(K4504&lt;=5,"OPORTUNO","MUITO BOM")))</f>
        <v/>
      </c>
      <c r="N4504" t="n">
        <v>100</v>
      </c>
      <c r="O4504" t="n">
        <v>36.23188405797102</v>
      </c>
    </row>
    <row r="4505" hidden="1">
      <c r="A4505" s="11" t="n">
        <v>46167</v>
      </c>
      <c r="B4505" t="inlineStr">
        <is>
          <t>Gabriel Gomes de Andrade</t>
        </is>
      </c>
      <c r="C4505" t="inlineStr">
        <is>
          <t>Técnico I</t>
        </is>
      </c>
      <c r="D4505" t="n">
        <v>25</v>
      </c>
      <c r="E4505" t="n">
        <v>25</v>
      </c>
      <c r="F4505" t="n">
        <v>12.33</v>
      </c>
      <c r="G4505" t="n">
        <v>0</v>
      </c>
      <c r="H4505" t="n">
        <v>0</v>
      </c>
      <c r="I4505" s="3" t="n">
        <v>0</v>
      </c>
      <c r="J4505" s="3" t="n">
        <v>0</v>
      </c>
      <c r="K4505" s="3" t="n">
        <v>0</v>
      </c>
      <c r="L4505" s="3">
        <f>IF(K4505&lt;-5,"CRÍTICO",IF(K4505&lt;0,"ATENÇÃO",IF(K4505&lt;=5,"OPORTUNO","MUITO BOM")))</f>
        <v/>
      </c>
    </row>
    <row r="4506" hidden="1">
      <c r="A4506" s="11" t="n">
        <v>46142</v>
      </c>
      <c r="B4506" t="inlineStr">
        <is>
          <t>Luiz Fernando de Carvalho Junior</t>
        </is>
      </c>
      <c r="C4506" t="inlineStr">
        <is>
          <t>Técnico I</t>
        </is>
      </c>
      <c r="D4506" t="n">
        <v>30</v>
      </c>
      <c r="E4506" t="n">
        <v>28</v>
      </c>
      <c r="F4506" t="n">
        <v>16.54</v>
      </c>
      <c r="G4506" t="n">
        <v>0</v>
      </c>
      <c r="H4506" t="n">
        <v>0</v>
      </c>
      <c r="I4506" s="3">
        <f>E4506+G4506+H4506</f>
        <v/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/>
      </c>
      <c r="K4506" s="3">
        <f>I4506-J4506</f>
        <v/>
      </c>
      <c r="L4506" s="3">
        <f>IF(K4506&lt;-5,"CRÍTICO",IF(K4506&lt;0,"ATENÇÃO",IF(K4506&lt;=5,"OPORTUNO","MUITO BOM")))</f>
        <v/>
      </c>
      <c r="N4506" t="n">
        <v>97.37</v>
      </c>
      <c r="O4506" t="n">
        <v>25.76530612244898</v>
      </c>
    </row>
    <row r="4507" hidden="1">
      <c r="A4507" s="11" t="n">
        <v>46142</v>
      </c>
      <c r="B4507" t="inlineStr">
        <is>
          <t>Raane Batista Matos</t>
        </is>
      </c>
      <c r="C4507" t="inlineStr">
        <is>
          <t>Técnico I</t>
        </is>
      </c>
      <c r="D4507" t="n">
        <v>27</v>
      </c>
      <c r="E4507" t="n">
        <v>24</v>
      </c>
      <c r="F4507" t="n">
        <v>15.08</v>
      </c>
      <c r="G4507" t="n">
        <v>0</v>
      </c>
      <c r="H4507" t="n">
        <v>0</v>
      </c>
      <c r="I4507" s="3">
        <f>E4507+G4507+H4507</f>
        <v/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/>
      </c>
      <c r="K4507" s="3">
        <f>I4507-J4507</f>
        <v/>
      </c>
      <c r="L4507" s="3">
        <f>IF(K4507&lt;-5,"CRÍTICO",IF(K4507&lt;0,"ATENÇÃO",IF(K4507&lt;=5,"OPORTUNO","MUITO BOM")))</f>
        <v/>
      </c>
      <c r="N4507" t="n">
        <v>98.31999999999999</v>
      </c>
      <c r="O4507" t="n">
        <v>26.61870503597122</v>
      </c>
    </row>
    <row r="4508" hidden="1">
      <c r="A4508" s="11" t="n">
        <v>46142</v>
      </c>
      <c r="B4508" t="inlineStr">
        <is>
          <t>Sara Maria Monteiro Lopes</t>
        </is>
      </c>
      <c r="C4508" t="inlineStr">
        <is>
          <t>Técnico I</t>
        </is>
      </c>
      <c r="D4508" t="n">
        <v>10</v>
      </c>
      <c r="E4508" t="n">
        <v>10</v>
      </c>
      <c r="F4508" t="n">
        <v>23.27</v>
      </c>
      <c r="G4508" t="n">
        <v>0</v>
      </c>
      <c r="H4508" t="n">
        <v>0</v>
      </c>
      <c r="I4508" s="3">
        <f>E4508+G4508+H4508</f>
        <v/>
      </c>
      <c r="J4508" s="3">
        <f>ROUND(MIN(IF(C4508="Técnico III",35,IF(C4508="Técnico II",28,IF(C4508="Técnico I",23,IF(C4508="JR",20,IF(C4508="Estágio",10,0))))),IF(C4508="Técnico III",SUMIFS($D:$D,$A:$A,$A4508,$B:$B,"&lt;&gt;Patrícia Karla de Sousa Araújo",$B:$B,"&lt;&gt;Lorena Dias de Araujo",$B:$B,"&lt;&gt;Lucas Luiz Romero")*(35/1083),IF(C4508="Técnico II",SUMIFS($D:$D,$A:$A,$A4508,$B:$B,"&lt;&gt;Patrícia Karla de Sousa Araújo",$B:$B,"&lt;&gt;Lorena Dias de Araujo",$B:$B,"&lt;&gt;Lucas Luiz Romero")*(28/1083),IF(C4508="Técnico I",SUMIFS($D:$D,$A:$A,$A4508,$B:$B,"&lt;&gt;Patrícia Karla de Sousa Araújo",$B:$B,"&lt;&gt;Lorena Dias de Araujo",$B:$B,"&lt;&gt;Lucas Luiz Romero")*(23/1083),IF(C4508="JR",SUMIFS($D:$D,$A:$A,$A4508,$B:$B,"&lt;&gt;Patrícia Karla de Sousa Araújo",$B:$B,"&lt;&gt;Lorena Dias de Araujo",$B:$B,"&lt;&gt;Lucas Luiz Romero")*(20/1083),IF(C4508="Estágio",SUMIFS($D:$D,$A:$A,$A4508,$B:$B,"&lt;&gt;Patrícia Karla de Sousa Araújo",$B:$B,"&lt;&gt;Lorena Dias de Araujo",$B:$B,"&lt;&gt;Lucas Luiz Romero")*(10/1083),0)))))),0)</f>
        <v/>
      </c>
      <c r="K4508" s="3">
        <f>I4508-J4508</f>
        <v/>
      </c>
      <c r="L4508" s="3">
        <f>IF(K4508&lt;-5,"CRÍTICO",IF(K4508&lt;0,"ATENÇÃO",IF(K4508&lt;=5,"OPORTUNO","MUITO BOM")))</f>
        <v/>
      </c>
      <c r="N4508" t="n">
        <v>100</v>
      </c>
      <c r="O4508" t="n">
        <v>26.02739726027397</v>
      </c>
    </row>
    <row r="4509" hidden="1">
      <c r="A4509" s="11" t="n">
        <v>46168</v>
      </c>
      <c r="B4509" t="inlineStr">
        <is>
          <t>Ana Karollyne Souza Faria</t>
        </is>
      </c>
      <c r="C4509" t="inlineStr">
        <is>
          <t>Técnico I</t>
        </is>
      </c>
      <c r="D4509" t="n">
        <v>24</v>
      </c>
      <c r="E4509" t="n">
        <v>22</v>
      </c>
      <c r="F4509" t="n">
        <v>18.55</v>
      </c>
      <c r="G4509" t="n">
        <v>1</v>
      </c>
    </row>
    <row r="4510" hidden="1">
      <c r="A4510" s="11" t="n">
        <v>46168</v>
      </c>
      <c r="B4510" t="inlineStr">
        <is>
          <t>Clessiane Pereira dos Santos</t>
        </is>
      </c>
      <c r="C4510" t="inlineStr">
        <is>
          <t>Técnico I</t>
        </is>
      </c>
      <c r="D4510" t="n">
        <v>28</v>
      </c>
      <c r="E4510" t="n">
        <v>26</v>
      </c>
      <c r="F4510" t="n">
        <v>15.35</v>
      </c>
      <c r="G4510" t="n">
        <v>2</v>
      </c>
    </row>
    <row r="4511" hidden="1">
      <c r="A4511" s="11" t="n">
        <v>46168</v>
      </c>
      <c r="B4511" t="inlineStr">
        <is>
          <t>Daniel Gomes da Silva</t>
        </is>
      </c>
      <c r="C4511" t="inlineStr">
        <is>
          <t>Técnico I</t>
        </is>
      </c>
      <c r="D4511" t="n">
        <v>20</v>
      </c>
      <c r="E4511" t="n">
        <v>17</v>
      </c>
      <c r="F4511" t="n">
        <v>16.54</v>
      </c>
      <c r="G4511" t="n">
        <v>0</v>
      </c>
    </row>
    <row r="4512" hidden="1">
      <c r="A4512" s="11" t="n">
        <v>46168</v>
      </c>
      <c r="B4512" t="inlineStr">
        <is>
          <t>Luiz Fernando de Carvalho Junior</t>
        </is>
      </c>
      <c r="C4512" t="inlineStr">
        <is>
          <t>Técnico I</t>
        </is>
      </c>
      <c r="D4512" t="n">
        <v>28</v>
      </c>
      <c r="E4512" t="n">
        <v>27</v>
      </c>
      <c r="F4512" t="n">
        <v>16.45</v>
      </c>
      <c r="G4512" t="n">
        <v>1</v>
      </c>
    </row>
    <row r="4513" hidden="1">
      <c r="A4513" s="11" t="n">
        <v>46168</v>
      </c>
      <c r="B4513" t="inlineStr">
        <is>
          <t>Raane Batista Matos</t>
        </is>
      </c>
      <c r="C4513" t="inlineStr">
        <is>
          <t>Técnico I</t>
        </is>
      </c>
      <c r="D4513" t="n">
        <v>29</v>
      </c>
      <c r="E4513" t="n">
        <v>26</v>
      </c>
      <c r="F4513" t="n">
        <v>15.57</v>
      </c>
      <c r="G4513" t="n">
        <v>4</v>
      </c>
    </row>
    <row r="4514" hidden="1">
      <c r="A4514" s="11" t="n">
        <v>46168</v>
      </c>
      <c r="B4514" t="inlineStr">
        <is>
          <t>Sara Maria Monteiro Lopes</t>
        </is>
      </c>
      <c r="C4514" t="inlineStr">
        <is>
          <t>Técnico I</t>
        </is>
      </c>
      <c r="D4514" t="n">
        <v>15</v>
      </c>
      <c r="E4514" t="n">
        <v>15</v>
      </c>
      <c r="F4514" t="n">
        <v>37</v>
      </c>
      <c r="G4514" t="n">
        <v>0</v>
      </c>
    </row>
    <row r="4515" hidden="1">
      <c r="A4515" s="11" t="n">
        <v>46168</v>
      </c>
      <c r="B4515" t="inlineStr">
        <is>
          <t>Gabriel Gomes de Andrade</t>
        </is>
      </c>
      <c r="C4515" t="inlineStr">
        <is>
          <t>Técnico I</t>
        </is>
      </c>
      <c r="D4515" t="n">
        <v>20</v>
      </c>
      <c r="E4515" t="n">
        <v>20</v>
      </c>
      <c r="F4515" t="n">
        <v>21.49</v>
      </c>
      <c r="G4515" t="n">
        <v>2</v>
      </c>
    </row>
  </sheetData>
  <autoFilter ref="A1:O4515">
    <filterColumn colId="0" hiddenButton="0" showButton="1">
      <filters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26" dateTimeGrouping="day"/>
      </filters>
    </filterColumn>
    <filterColumn colId="2" hiddenButton="0" showButton="1">
      <filters>
        <filter val="Técnico III"/>
      </filters>
    </filterColumn>
    <sortState ref="A237:O543">
      <sortCondition ref="B1:B4515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2026-05-27T17:52:45Z</dcterms:modified>
  <cp:lastModifiedBy>Esther Queiroz Supervisora Folha</cp:lastModifiedBy>
</cp:coreProperties>
</file>
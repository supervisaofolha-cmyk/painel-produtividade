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'Produtividade'!$A$1:$O$4693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93"/>
  <sheetViews>
    <sheetView tabSelected="1" topLeftCell="A252" zoomScale="85" zoomScaleNormal="85" workbookViewId="0">
      <selection activeCell="I245" sqref="I245:I25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28.94736842105263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12.94117647058824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M124" t="n">
        <v>10</v>
      </c>
      <c r="N124" t="n">
        <v>100</v>
      </c>
      <c r="O124" t="n">
        <v>17.1875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M125" t="n">
        <v>12</v>
      </c>
      <c r="N125" t="n">
        <v>98.36</v>
      </c>
      <c r="O125" t="n">
        <v>21.91780821917808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20.40816326530612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17.82477341389728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19.07216494845361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20.94017094017094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20.0836820083682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16.34241245136187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9" t="n">
        <v>19</v>
      </c>
      <c r="N237" s="9" t="n">
        <v>98.66</v>
      </c>
      <c r="O237" s="9" t="n">
        <v>35.41666666666667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9" t="n">
        <v>0</v>
      </c>
      <c r="N238" s="9" t="n">
        <v>98.66</v>
      </c>
      <c r="O238" s="9" t="n">
        <v>35.41666666666667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s="9" t="n">
        <v>0</v>
      </c>
      <c r="N239" s="9" t="n">
        <v>98.66</v>
      </c>
      <c r="O239" s="9" t="n">
        <v>35.41666666666667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M244" s="3" t="n">
        <v>0</v>
      </c>
      <c r="N244" s="3" t="n">
        <v>100</v>
      </c>
      <c r="O244" s="3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9" t="n">
        <v>0</v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9" t="n">
        <v>0</v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9" t="n">
        <v>28</v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96.94</v>
      </c>
      <c r="O248" s="9" t="n">
        <v>19.61325966850829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3" t="n">
        <v>33</v>
      </c>
      <c r="E251" s="3" t="n">
        <v>27</v>
      </c>
      <c r="F251" s="3" t="n">
        <v>12.19</v>
      </c>
      <c r="G251" s="3" t="n">
        <v>3</v>
      </c>
      <c r="M251" s="3" t="n">
        <v>26</v>
      </c>
      <c r="N251" s="3" t="n">
        <v>96.94</v>
      </c>
      <c r="O251" s="3" t="n">
        <v>19.61325966850829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9" t="n">
        <v>22</v>
      </c>
      <c r="N252" s="9" t="n">
        <v>93.75</v>
      </c>
      <c r="O252" s="9" t="n">
        <v>26.81992337164751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9" t="n">
        <v>39</v>
      </c>
      <c r="N253" s="9" t="n">
        <v>93.75</v>
      </c>
      <c r="O253" s="9" t="n">
        <v>26.81992337164751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9" t="n">
        <v>37</v>
      </c>
      <c r="N254" s="9" t="n">
        <v>93.75</v>
      </c>
      <c r="O254" s="9" t="n">
        <v>26.81992337164751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92.81</v>
      </c>
      <c r="O255" s="9" t="n">
        <v>25.47770700636943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3" t="n">
        <v>24</v>
      </c>
      <c r="E258" s="3" t="n">
        <v>22</v>
      </c>
      <c r="F258" s="3" t="n">
        <v>10.43</v>
      </c>
      <c r="G258" s="3" t="n">
        <v>0</v>
      </c>
      <c r="M258" s="3" t="n">
        <v>15</v>
      </c>
      <c r="N258" s="3" t="n">
        <v>92.81</v>
      </c>
      <c r="O258" s="3" t="n">
        <v>25.47770700636943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s="9" t="n">
        <v>29</v>
      </c>
      <c r="N259" s="9" t="n">
        <v>100</v>
      </c>
      <c r="O259" s="9" t="n">
        <v>38.65384615384615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s="9" t="n">
        <v>33</v>
      </c>
      <c r="N260" s="9" t="n">
        <v>100</v>
      </c>
      <c r="O260" s="9" t="n">
        <v>38.65384615384615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s="9" t="n">
        <v>31</v>
      </c>
      <c r="N261" s="9" t="n">
        <v>100</v>
      </c>
      <c r="O261" s="9" t="n">
        <v>38.65384615384615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99.19</v>
      </c>
      <c r="O262" s="9" t="n">
        <v>28.40466926070039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3" t="n">
        <v>0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M265" s="3" t="n">
        <v>0</v>
      </c>
      <c r="N265" s="3" t="n">
        <v>99.19</v>
      </c>
      <c r="O265" s="3" t="n">
        <v>28.40466926070039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9" t="n">
        <v>30</v>
      </c>
      <c r="N266" s="9" t="n">
        <v>99.26000000000001</v>
      </c>
      <c r="O266" s="9" t="n">
        <v>29.76653696498055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9" t="n">
        <v>28</v>
      </c>
      <c r="N267" s="9" t="n">
        <v>99.26000000000001</v>
      </c>
      <c r="O267" s="9" t="n">
        <v>29.76653696498055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9" t="n">
        <v>27</v>
      </c>
      <c r="N268" s="9" t="n">
        <v>99.26000000000001</v>
      </c>
      <c r="O268" s="9" t="n">
        <v>29.76653696498055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13.51351351351351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3" t="n">
        <v>38</v>
      </c>
      <c r="E272" s="3" t="n">
        <v>35</v>
      </c>
      <c r="F272" s="3" t="n">
        <v>12</v>
      </c>
      <c r="G272" s="3" t="n">
        <v>3</v>
      </c>
      <c r="M272" s="3" t="n">
        <v>34</v>
      </c>
      <c r="N272" s="3" t="n">
        <v>100</v>
      </c>
      <c r="O272" s="3" t="n">
        <v>13.51351351351351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9" t="n">
        <v>32</v>
      </c>
      <c r="N273" s="9" t="n">
        <v>99.56999999999999</v>
      </c>
      <c r="O273" s="9" t="n">
        <v>30.63583815028902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9" t="n">
        <v>45</v>
      </c>
      <c r="N274" s="9" t="n">
        <v>99.56999999999999</v>
      </c>
      <c r="O274" s="9" t="n">
        <v>30.63583815028902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9" t="n">
        <v>45</v>
      </c>
      <c r="N275" s="9" t="n">
        <v>99.56999999999999</v>
      </c>
      <c r="O275" s="9" t="n">
        <v>30.63583815028902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99</v>
      </c>
      <c r="O276" s="9" t="n">
        <v>22.27414330218069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3" t="n">
        <v>38</v>
      </c>
      <c r="E279" s="3" t="n">
        <v>35</v>
      </c>
      <c r="F279" s="3" t="n">
        <v>13.38</v>
      </c>
      <c r="G279" s="3" t="n">
        <v>5</v>
      </c>
      <c r="M279" s="3" t="n">
        <v>34</v>
      </c>
      <c r="N279" s="3" t="n">
        <v>99</v>
      </c>
      <c r="O279" s="3" t="n">
        <v>22.27414330218069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9" t="n">
        <v>24</v>
      </c>
      <c r="N280" s="9" t="n">
        <v>95.65000000000001</v>
      </c>
      <c r="O280" s="9" t="n">
        <v>32.43243243243244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s="9" t="n">
        <v>19</v>
      </c>
      <c r="N281" s="9" t="n">
        <v>95.65000000000001</v>
      </c>
      <c r="O281" s="9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s="9" t="n">
        <v>9</v>
      </c>
      <c r="N283" s="9" t="n">
        <v>95.65000000000001</v>
      </c>
      <c r="O283" s="9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96.94</v>
      </c>
      <c r="O300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92.81</v>
      </c>
      <c r="O301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99.19</v>
      </c>
      <c r="O302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99</v>
      </c>
      <c r="O304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97.04000000000001</v>
      </c>
      <c r="O305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96.84</v>
      </c>
      <c r="O307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98.39</v>
      </c>
      <c r="O310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96.38</v>
      </c>
      <c r="O311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99.39</v>
      </c>
      <c r="O312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</v>
      </c>
      <c r="O31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96.94</v>
      </c>
      <c r="O315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92.81</v>
      </c>
      <c r="O316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99.19</v>
      </c>
      <c r="O317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99</v>
      </c>
      <c r="O319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97.04000000000001</v>
      </c>
      <c r="O320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96.84</v>
      </c>
      <c r="O322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98.39</v>
      </c>
      <c r="O326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96.38</v>
      </c>
      <c r="O327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99.39</v>
      </c>
      <c r="O328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</v>
      </c>
      <c r="O329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96.94</v>
      </c>
      <c r="O331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92.81</v>
      </c>
      <c r="O332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99.19</v>
      </c>
      <c r="O33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99</v>
      </c>
      <c r="O335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97.04000000000001</v>
      </c>
      <c r="O336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96.84</v>
      </c>
      <c r="O338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98.39</v>
      </c>
      <c r="O341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96.38</v>
      </c>
      <c r="O342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99.39</v>
      </c>
      <c r="O34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</v>
      </c>
      <c r="O344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96.94</v>
      </c>
      <c r="O346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92.81</v>
      </c>
      <c r="O347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99.19</v>
      </c>
      <c r="O348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99</v>
      </c>
      <c r="O350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97.04000000000001</v>
      </c>
      <c r="O351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96.84</v>
      </c>
      <c r="O35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98.39</v>
      </c>
      <c r="O356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96.38</v>
      </c>
      <c r="O357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99.39</v>
      </c>
      <c r="O358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</v>
      </c>
      <c r="O359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96.94</v>
      </c>
      <c r="O361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92.81</v>
      </c>
      <c r="O362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99.19</v>
      </c>
      <c r="O36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99</v>
      </c>
      <c r="O365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97.04000000000001</v>
      </c>
      <c r="O366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96.84</v>
      </c>
      <c r="O368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98.39</v>
      </c>
      <c r="O372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96.38</v>
      </c>
      <c r="O37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99.39</v>
      </c>
      <c r="O374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</v>
      </c>
      <c r="O375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96.94</v>
      </c>
      <c r="O377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92.81</v>
      </c>
      <c r="O378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99.19</v>
      </c>
      <c r="O379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99</v>
      </c>
      <c r="O380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97.04000000000001</v>
      </c>
      <c r="O381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98.39</v>
      </c>
      <c r="O385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96.38</v>
      </c>
      <c r="O386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99.39</v>
      </c>
      <c r="O387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</v>
      </c>
      <c r="O388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96.94</v>
      </c>
      <c r="O390" s="9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92.81</v>
      </c>
      <c r="O391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99.19</v>
      </c>
      <c r="O392" s="9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99</v>
      </c>
      <c r="O39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97.04000000000001</v>
      </c>
      <c r="O394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96.84</v>
      </c>
      <c r="O396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98.39</v>
      </c>
      <c r="O399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96.38</v>
      </c>
      <c r="O400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99.39</v>
      </c>
      <c r="O401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</v>
      </c>
      <c r="O402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92.81</v>
      </c>
      <c r="O405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99.19</v>
      </c>
      <c r="O406" s="9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99</v>
      </c>
      <c r="O408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97.04000000000001</v>
      </c>
      <c r="O409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96.84</v>
      </c>
      <c r="O411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98.39</v>
      </c>
      <c r="O415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96.38</v>
      </c>
      <c r="O416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99.39</v>
      </c>
      <c r="O417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</v>
      </c>
      <c r="O418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96.94</v>
      </c>
      <c r="O420" s="9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92.81</v>
      </c>
      <c r="O421" s="9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99.19</v>
      </c>
      <c r="O422" s="9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99</v>
      </c>
      <c r="O424" s="9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97.04000000000001</v>
      </c>
      <c r="O425" s="9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96.84</v>
      </c>
      <c r="O427" s="9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98.39</v>
      </c>
      <c r="O431" s="9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96.38</v>
      </c>
      <c r="O432" s="9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99.39</v>
      </c>
      <c r="O433" s="9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</v>
      </c>
      <c r="O434" s="9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t="n">
        <v>0</v>
      </c>
      <c r="N466" t="n">
        <v>100</v>
      </c>
      <c r="O466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t="n">
        <v>23</v>
      </c>
      <c r="N467" t="n">
        <v>96.94</v>
      </c>
      <c r="O467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t="n">
        <v>20</v>
      </c>
      <c r="N468" t="n">
        <v>92.81</v>
      </c>
      <c r="O468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t="n">
        <v>0</v>
      </c>
      <c r="N469" t="n">
        <v>99.19</v>
      </c>
      <c r="O469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t="n">
        <v>19</v>
      </c>
      <c r="N470" t="n">
        <v>100</v>
      </c>
      <c r="O470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t="n">
        <v>20</v>
      </c>
      <c r="N471" t="n">
        <v>99</v>
      </c>
      <c r="O471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t="n">
        <v>19</v>
      </c>
      <c r="N472" t="n">
        <v>97.04000000000001</v>
      </c>
      <c r="O472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t="n">
        <v>0</v>
      </c>
      <c r="N473" t="n">
        <v>0</v>
      </c>
      <c r="O47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t="n">
        <v>28</v>
      </c>
      <c r="N474" t="n">
        <v>96.84</v>
      </c>
      <c r="O474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t="n">
        <v>25</v>
      </c>
      <c r="N475" t="n">
        <v>100</v>
      </c>
      <c r="O475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t="n">
        <v>9</v>
      </c>
      <c r="N476" t="n">
        <v>100</v>
      </c>
      <c r="O476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t="n">
        <v>14</v>
      </c>
      <c r="N477" t="n">
        <v>98.39</v>
      </c>
      <c r="O477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t="n">
        <v>22</v>
      </c>
      <c r="N479" t="n">
        <v>96.38</v>
      </c>
      <c r="O479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t="n">
        <v>19</v>
      </c>
      <c r="N480" t="n">
        <v>99.39</v>
      </c>
      <c r="O480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t="n">
        <v>23</v>
      </c>
      <c r="N481" t="n">
        <v>97</v>
      </c>
      <c r="O481" t="n">
        <v>20.32520325203252</v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97.04000000000001</v>
      </c>
      <c r="O482" s="9" t="n">
        <v>29.82885085574572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3" t="n">
        <v>18</v>
      </c>
      <c r="E485" s="3" t="n">
        <v>16</v>
      </c>
      <c r="F485" s="3" t="n">
        <v>10.14</v>
      </c>
      <c r="G485" s="3" t="n">
        <v>4</v>
      </c>
      <c r="M485" s="3" t="n">
        <v>15</v>
      </c>
      <c r="N485" s="3" t="n">
        <v>97.04000000000001</v>
      </c>
      <c r="O485" s="3" t="n">
        <v>29.82885085574572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9" t="n">
        <v>0</v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s="9" t="n">
        <v>0</v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s="9" t="n">
        <v>0</v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3" t="n">
        <v>0</v>
      </c>
      <c r="E492" s="3" t="n">
        <v>0</v>
      </c>
      <c r="F492" s="3" t="n">
        <v>0</v>
      </c>
      <c r="G492" s="3" t="n">
        <v>0</v>
      </c>
      <c r="H492" s="3" t="n">
        <v>0</v>
      </c>
      <c r="I492" s="3" t="n">
        <v>0</v>
      </c>
      <c r="J492" s="3" t="n">
        <v>0</v>
      </c>
      <c r="K492" s="3" t="n">
        <v>0</v>
      </c>
      <c r="M492" s="3" t="n">
        <v>0</v>
      </c>
      <c r="N492" s="3" t="n">
        <v>0</v>
      </c>
      <c r="O492" s="3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s="9" t="n">
        <v>26</v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s="9" t="n">
        <v>34</v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s="9" t="n">
        <v>16</v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96.84</v>
      </c>
      <c r="O496" s="9" t="n">
        <v>16.33802816901408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3" t="n">
        <v>30</v>
      </c>
      <c r="E499" s="3" t="n">
        <v>29</v>
      </c>
      <c r="F499" s="3" t="n">
        <v>15.33</v>
      </c>
      <c r="G499" s="3" t="n">
        <v>2</v>
      </c>
      <c r="M499" s="3" t="n">
        <v>25</v>
      </c>
      <c r="N499" s="3" t="n">
        <v>96.84</v>
      </c>
      <c r="O499" s="3" t="n">
        <v>16.33802816901408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9" t="n">
        <v>27</v>
      </c>
      <c r="N500" s="9" t="n">
        <v>99.15000000000001</v>
      </c>
      <c r="O500" s="9" t="n">
        <v>27.58620689655172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9" t="n">
        <v>27</v>
      </c>
      <c r="N501" s="9" t="n">
        <v>99.15000000000001</v>
      </c>
      <c r="O501" s="9" t="n">
        <v>27.58620689655172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9" t="n">
        <v>30</v>
      </c>
      <c r="N502" s="9" t="n">
        <v>99.15000000000001</v>
      </c>
      <c r="O502" s="9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18.24480369515012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3" t="n">
        <v>29</v>
      </c>
      <c r="E508" s="3" t="n">
        <v>26</v>
      </c>
      <c r="F508" s="3" t="n">
        <v>15.05</v>
      </c>
      <c r="G508" s="3" t="n">
        <v>0</v>
      </c>
      <c r="M508" s="3" t="n">
        <v>25</v>
      </c>
      <c r="N508" s="3" t="n">
        <v>100</v>
      </c>
      <c r="O508" s="3" t="n">
        <v>18.24480369515012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9" t="n">
        <v>0</v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9" t="n">
        <v>0</v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9" t="n">
        <v>0</v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15.78947368421053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M515" s="3" t="n">
        <v>17</v>
      </c>
      <c r="N515" s="3" t="n">
        <v>100</v>
      </c>
      <c r="O515" s="3" t="n">
        <v>15.78947368421053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9" t="n">
        <v>45</v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9" t="n">
        <v>33</v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9" t="n">
        <v>33</v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98.39</v>
      </c>
      <c r="O519" s="9" t="n">
        <v>8.799999999999999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3" t="n">
        <v>0</v>
      </c>
      <c r="E522" s="3" t="n">
        <v>0</v>
      </c>
      <c r="F522" s="3" t="n">
        <v>0</v>
      </c>
      <c r="G522" s="3" t="n">
        <v>0</v>
      </c>
      <c r="H522" s="3" t="n">
        <v>0</v>
      </c>
      <c r="I522" s="3" t="n">
        <v>0</v>
      </c>
      <c r="J522" s="3" t="n">
        <v>0</v>
      </c>
      <c r="K522" s="3" t="n">
        <v>0</v>
      </c>
      <c r="M522" s="3" t="n">
        <v>18</v>
      </c>
      <c r="N522" s="3" t="n">
        <v>98.39</v>
      </c>
      <c r="O522" s="3" t="n">
        <v>8.799999999999999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9" t="n">
        <v>31</v>
      </c>
      <c r="N523" s="9" t="n">
        <v>95.48999999999999</v>
      </c>
      <c r="O523" s="9" t="n">
        <v>28.37022132796781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9" t="n">
        <v>27</v>
      </c>
      <c r="N524" s="9" t="n">
        <v>95.48999999999999</v>
      </c>
      <c r="O524" s="9" t="n">
        <v>28.37022132796781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9" t="n">
        <v>27</v>
      </c>
      <c r="N525" s="9" t="n">
        <v>95.48999999999999</v>
      </c>
      <c r="O525" s="9" t="n">
        <v>28.37022132796781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96.38</v>
      </c>
      <c r="O526" s="9" t="n">
        <v>23.1981981981982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3" t="n">
        <v>33</v>
      </c>
      <c r="E529" s="3" t="n">
        <v>30</v>
      </c>
      <c r="F529" s="3" t="n">
        <v>10.1</v>
      </c>
      <c r="G529" s="3" t="n">
        <v>2</v>
      </c>
      <c r="M529" s="3" t="n">
        <v>26</v>
      </c>
      <c r="N529" s="3" t="n">
        <v>96.38</v>
      </c>
      <c r="O529" s="3" t="n">
        <v>23.1981981981982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9" t="n">
        <v>31</v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9" t="n">
        <v>40</v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30</v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99.39</v>
      </c>
      <c r="O533" s="9" t="n">
        <v>25.20325203252033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3" t="n">
        <v>37</v>
      </c>
      <c r="E536" s="3" t="n">
        <v>33</v>
      </c>
      <c r="F536" s="3" t="n">
        <v>11.48</v>
      </c>
      <c r="G536" s="3" t="n">
        <v>0</v>
      </c>
      <c r="M536" s="3" t="n">
        <v>24</v>
      </c>
      <c r="N536" s="3" t="n">
        <v>99.39</v>
      </c>
      <c r="O536" s="3" t="n">
        <v>25.20325203252033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24</v>
      </c>
      <c r="N537" s="9" t="n">
        <v>99.20999999999999</v>
      </c>
      <c r="O537" s="9" t="n">
        <v>25.18891687657431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28</v>
      </c>
      <c r="N538" s="9" t="n">
        <v>99.20999999999999</v>
      </c>
      <c r="O538" s="9" t="n">
        <v>25.18891687657431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10</v>
      </c>
      <c r="N539" s="9" t="n">
        <v>99.20999999999999</v>
      </c>
      <c r="O539" s="9" t="n">
        <v>25.18891687657431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</v>
      </c>
      <c r="O540" s="9" t="n">
        <v>20.32520325203252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3" t="n">
        <v>24</v>
      </c>
      <c r="E543" s="3" t="n">
        <v>22</v>
      </c>
      <c r="F543" s="3" t="n">
        <v>15.22</v>
      </c>
      <c r="G543" s="3" t="n">
        <v>0</v>
      </c>
      <c r="M543" s="3" t="n">
        <v>17</v>
      </c>
      <c r="N543" s="3" t="n">
        <v>97</v>
      </c>
      <c r="O543" s="3" t="n">
        <v>20.32520325203252</v>
      </c>
    </row>
    <row r="544">
      <c r="A544" s="11" t="n">
        <v>46140</v>
      </c>
      <c r="B544" t="inlineStr">
        <is>
          <t>Alisson de Freitas Silva</t>
        </is>
      </c>
      <c r="C544" t="inlineStr">
        <is>
          <t>Técnico II</t>
        </is>
      </c>
      <c r="D544" s="9" t="n">
        <v>53</v>
      </c>
      <c r="E544" s="9" t="n">
        <v>46</v>
      </c>
      <c r="F544" s="9" t="n">
        <v>10.58</v>
      </c>
      <c r="G544" s="9" t="n">
        <v>0</v>
      </c>
      <c r="H544" s="9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43</v>
      </c>
      <c r="N544" s="9" t="n">
        <v>100</v>
      </c>
      <c r="O544" s="9" t="n">
        <v>32.76450511945392</v>
      </c>
    </row>
    <row r="545">
      <c r="A545" s="11" t="n">
        <v>46141</v>
      </c>
      <c r="B545" t="inlineStr">
        <is>
          <t>Alisson de Freitas Silva</t>
        </is>
      </c>
      <c r="C545" t="inlineStr">
        <is>
          <t>Técnico II</t>
        </is>
      </c>
      <c r="D545" s="9" t="n">
        <v>43</v>
      </c>
      <c r="E545" s="9" t="n">
        <v>35</v>
      </c>
      <c r="F545" s="9" t="n">
        <v>10.15</v>
      </c>
      <c r="G545" s="9" t="n">
        <v>0</v>
      </c>
      <c r="H545" s="9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32.76450511945392</v>
      </c>
    </row>
    <row r="546">
      <c r="A546" s="11" t="n">
        <v>46142</v>
      </c>
      <c r="B546" t="inlineStr">
        <is>
          <t>Alisson de Freitas Silva</t>
        </is>
      </c>
      <c r="C546" t="inlineStr">
        <is>
          <t>Técnico II</t>
        </is>
      </c>
      <c r="D546" s="9" t="n">
        <v>12</v>
      </c>
      <c r="E546" s="9" t="n">
        <v>10</v>
      </c>
      <c r="F546" s="9" t="n">
        <v>9.119999999999999</v>
      </c>
      <c r="G546" s="9" t="n">
        <v>0</v>
      </c>
      <c r="H546" s="9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8</v>
      </c>
      <c r="N546" s="9" t="n">
        <v>100</v>
      </c>
      <c r="O546" s="9" t="n">
        <v>32.76450511945392</v>
      </c>
    </row>
    <row r="547">
      <c r="A547" s="5" t="n">
        <v>46146</v>
      </c>
      <c r="B547" s="6" t="inlineStr">
        <is>
          <t>Alisson de Freitas Silva</t>
        </is>
      </c>
      <c r="C547" s="3" t="inlineStr">
        <is>
          <t>Técnico II</t>
        </is>
      </c>
      <c r="D547" s="3" t="n">
        <v>40</v>
      </c>
      <c r="E547" s="3" t="n">
        <v>38</v>
      </c>
      <c r="F547" s="3" t="n">
        <v>13.5</v>
      </c>
      <c r="G547" s="3" t="n">
        <v>4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s="9" t="n">
        <v>36</v>
      </c>
      <c r="N547" s="9" t="n">
        <v>99.18000000000001</v>
      </c>
      <c r="O547" s="9" t="n">
        <v>24.5014245014245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98.91</v>
      </c>
      <c r="O549" t="n">
        <v>31.36729222520107</v>
      </c>
    </row>
    <row r="550">
      <c r="A550" s="5" t="n">
        <v>46147</v>
      </c>
      <c r="B550" s="6" t="inlineStr">
        <is>
          <t>Alisson de Freitas Silva</t>
        </is>
      </c>
      <c r="C550" s="3" t="inlineStr">
        <is>
          <t>Técnico II</t>
        </is>
      </c>
      <c r="D550" s="3" t="n">
        <v>42</v>
      </c>
      <c r="E550" s="3" t="n">
        <v>37</v>
      </c>
      <c r="F550" s="3" t="n">
        <v>12.29</v>
      </c>
      <c r="G550" s="3" t="n">
        <v>4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3" t="n">
        <v>32</v>
      </c>
      <c r="N550" s="3" t="n">
        <v>99.18000000000001</v>
      </c>
      <c r="O550" s="3" t="n">
        <v>24.5014245014245</v>
      </c>
    </row>
    <row r="551">
      <c r="A551" s="5" t="n">
        <v>46148</v>
      </c>
      <c r="B551" s="6" t="inlineStr">
        <is>
          <t>Alisson de Freitas Silva</t>
        </is>
      </c>
      <c r="C551" s="3" t="inlineStr">
        <is>
          <t>Técnico II</t>
        </is>
      </c>
      <c r="D551" s="3" t="n">
        <v>35</v>
      </c>
      <c r="E551" s="3" t="n">
        <v>29</v>
      </c>
      <c r="F551" s="9" t="n">
        <v>12.32</v>
      </c>
      <c r="G551" s="3" t="n">
        <v>11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3" t="n">
        <v>32</v>
      </c>
      <c r="N551" s="3" t="n">
        <v>99.18000000000001</v>
      </c>
      <c r="O551" s="3" t="n">
        <v>24.5014245014245</v>
      </c>
    </row>
    <row r="552">
      <c r="A552" s="11" t="n">
        <v>46168</v>
      </c>
      <c r="B552" t="inlineStr">
        <is>
          <t>Alisson de Freitas Silva</t>
        </is>
      </c>
      <c r="C552" t="inlineStr">
        <is>
          <t>Técnico II</t>
        </is>
      </c>
      <c r="D552" s="3" t="n">
        <v>28</v>
      </c>
      <c r="E552" s="3" t="n">
        <v>21</v>
      </c>
      <c r="F552" s="3" t="n">
        <v>15.57</v>
      </c>
      <c r="G552" s="3" t="n">
        <v>2</v>
      </c>
      <c r="M552" s="3" t="n">
        <v>17</v>
      </c>
      <c r="N552" s="3" t="n">
        <v>99.18000000000001</v>
      </c>
      <c r="O552" s="3" t="n">
        <v>24.5014245014245</v>
      </c>
    </row>
    <row r="553">
      <c r="A553" s="11" t="n">
        <v>46140</v>
      </c>
      <c r="B553" t="inlineStr">
        <is>
          <t>Brenda de Menezes Silva</t>
        </is>
      </c>
      <c r="C553" t="inlineStr">
        <is>
          <t>Técnico II</t>
        </is>
      </c>
      <c r="D553" s="9" t="n">
        <v>34</v>
      </c>
      <c r="E553" s="9" t="n">
        <v>34</v>
      </c>
      <c r="F553" s="9" t="n">
        <v>13.45</v>
      </c>
      <c r="G553" s="9" t="n">
        <v>0</v>
      </c>
      <c r="H553" s="9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31</v>
      </c>
      <c r="N553" s="9" t="n">
        <v>98.81999999999999</v>
      </c>
      <c r="O553" s="9" t="n">
        <v>30.74141048824593</v>
      </c>
    </row>
    <row r="554">
      <c r="A554" s="11" t="n">
        <v>46141</v>
      </c>
      <c r="B554" t="inlineStr">
        <is>
          <t>Brenda de Menezes Silva</t>
        </is>
      </c>
      <c r="C554" t="inlineStr">
        <is>
          <t>Técnico II</t>
        </is>
      </c>
      <c r="D554" s="9" t="n">
        <v>38</v>
      </c>
      <c r="E554" s="9" t="n">
        <v>31</v>
      </c>
      <c r="F554" s="9" t="n">
        <v>11.5</v>
      </c>
      <c r="G554" s="9" t="n">
        <v>0</v>
      </c>
      <c r="H554" s="9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39</v>
      </c>
      <c r="N554" s="9" t="n">
        <v>98.81999999999999</v>
      </c>
      <c r="O554" s="9" t="n">
        <v>30.74141048824593</v>
      </c>
    </row>
    <row r="555">
      <c r="A555" s="11" t="n">
        <v>46142</v>
      </c>
      <c r="B555" t="inlineStr">
        <is>
          <t>Brenda de Menezes Silva</t>
        </is>
      </c>
      <c r="C555" t="inlineStr">
        <is>
          <t>Técnico II</t>
        </is>
      </c>
      <c r="D555" s="9" t="n">
        <v>32</v>
      </c>
      <c r="E555" s="9" t="n">
        <v>31</v>
      </c>
      <c r="F555" s="9" t="n">
        <v>13.5</v>
      </c>
      <c r="G555" s="9" t="n">
        <v>0</v>
      </c>
      <c r="H555" s="9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29</v>
      </c>
      <c r="N555" s="9" t="n">
        <v>98.81999999999999</v>
      </c>
      <c r="O555" s="9" t="n">
        <v>30.74141048824593</v>
      </c>
    </row>
    <row r="556">
      <c r="A556" s="5" t="n">
        <v>46146</v>
      </c>
      <c r="B556" s="6" t="inlineStr">
        <is>
          <t>Brenda de Menezes Silva</t>
        </is>
      </c>
      <c r="C556" s="3" t="inlineStr">
        <is>
          <t>Técnico II</t>
        </is>
      </c>
      <c r="D556" s="3" t="n">
        <v>41</v>
      </c>
      <c r="E556" s="3" t="n">
        <v>38</v>
      </c>
      <c r="F556" s="3" t="n">
        <v>11.44</v>
      </c>
      <c r="G556" s="3" t="n">
        <v>5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43</v>
      </c>
      <c r="N556" s="9" t="n">
        <v>99.34999999999999</v>
      </c>
      <c r="O556" s="9" t="n">
        <v>19.85294117647059</v>
      </c>
    </row>
    <row r="557">
      <c r="A557" s="5" t="n">
        <v>46147</v>
      </c>
      <c r="B557" s="6" t="inlineStr">
        <is>
          <t>Brenda de Menezes Silva</t>
        </is>
      </c>
      <c r="C557" s="3" t="inlineStr">
        <is>
          <t>Técnico II</t>
        </is>
      </c>
      <c r="D557" s="3" t="n">
        <v>45</v>
      </c>
      <c r="E557" s="3" t="n">
        <v>37</v>
      </c>
      <c r="F557" s="3" t="n">
        <v>13.52</v>
      </c>
      <c r="G557" s="3" t="n">
        <v>6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43</v>
      </c>
      <c r="N557" s="3" t="n">
        <v>99.34999999999999</v>
      </c>
      <c r="O557" s="3" t="n">
        <v>19.85294117647059</v>
      </c>
    </row>
    <row r="558">
      <c r="A558" s="5" t="n">
        <v>46148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31</v>
      </c>
      <c r="E558" s="3" t="n">
        <v>28</v>
      </c>
      <c r="F558" s="9" t="n">
        <v>18.45</v>
      </c>
      <c r="G558" s="3" t="n">
        <v>9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35</v>
      </c>
      <c r="N558" s="3" t="n">
        <v>99.34999999999999</v>
      </c>
      <c r="O558" s="3" t="n">
        <v>19.85294117647059</v>
      </c>
    </row>
    <row r="559">
      <c r="A559" s="11" t="n">
        <v>46168</v>
      </c>
      <c r="B559" t="inlineStr">
        <is>
          <t>Brenda de Menezes Silva</t>
        </is>
      </c>
      <c r="C559" t="inlineStr">
        <is>
          <t>Técnico II</t>
        </is>
      </c>
      <c r="D559" s="3" t="n">
        <v>27</v>
      </c>
      <c r="E559" s="3" t="n">
        <v>22</v>
      </c>
      <c r="F559" s="3" t="n">
        <v>14.06</v>
      </c>
      <c r="G559" s="3" t="n">
        <v>4</v>
      </c>
      <c r="M559" s="3" t="n">
        <v>25</v>
      </c>
      <c r="N559" s="3" t="n">
        <v>99.34999999999999</v>
      </c>
      <c r="O559" s="3" t="n">
        <v>19.85294117647059</v>
      </c>
    </row>
    <row r="560">
      <c r="A560" s="11" t="n">
        <v>46140</v>
      </c>
      <c r="B560" t="inlineStr">
        <is>
          <t>Carlos Mateus Cassimiro Nunes</t>
        </is>
      </c>
      <c r="C560" t="inlineStr">
        <is>
          <t>Técnico II</t>
        </is>
      </c>
      <c r="D560" s="9" t="n">
        <v>24</v>
      </c>
      <c r="E560" s="9" t="n">
        <v>23</v>
      </c>
      <c r="F560" s="9" t="n">
        <v>25.57</v>
      </c>
      <c r="G560" s="9" t="n">
        <v>0</v>
      </c>
      <c r="H560" s="9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23</v>
      </c>
      <c r="N560" s="9" t="n">
        <v>98.2</v>
      </c>
      <c r="O560" s="9" t="n">
        <v>27.17086834733893</v>
      </c>
    </row>
    <row r="561">
      <c r="A561" s="11" t="n">
        <v>46141</v>
      </c>
      <c r="B561" t="inlineStr">
        <is>
          <t>Carlos Mateus Cassimiro Nunes</t>
        </is>
      </c>
      <c r="C561" t="inlineStr">
        <is>
          <t>Técnico II</t>
        </is>
      </c>
      <c r="D561" s="9" t="n">
        <v>24</v>
      </c>
      <c r="E561" s="9" t="n">
        <v>23</v>
      </c>
      <c r="F561" s="9" t="n">
        <v>25.46</v>
      </c>
      <c r="G561" s="9" t="n">
        <v>0</v>
      </c>
      <c r="H561" s="9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24</v>
      </c>
      <c r="N561" s="9" t="n">
        <v>98.2</v>
      </c>
      <c r="O561" s="9" t="n">
        <v>27.17086834733893</v>
      </c>
    </row>
    <row r="562">
      <c r="A562" s="11" t="n">
        <v>46142</v>
      </c>
      <c r="B562" t="inlineStr">
        <is>
          <t>Carlos Mateus Cassimiro Nunes</t>
        </is>
      </c>
      <c r="C562" t="inlineStr">
        <is>
          <t>Técnico II</t>
        </is>
      </c>
      <c r="D562" s="9" t="n">
        <v>32</v>
      </c>
      <c r="E562" s="9" t="n">
        <v>30</v>
      </c>
      <c r="F562" s="9" t="n">
        <v>15.09</v>
      </c>
      <c r="G562" s="9" t="n">
        <v>0</v>
      </c>
      <c r="H562" s="9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30</v>
      </c>
      <c r="N562" s="9" t="n">
        <v>98.2</v>
      </c>
      <c r="O562" s="9" t="n">
        <v>27.17086834733893</v>
      </c>
    </row>
    <row r="563">
      <c r="A563" s="5" t="n">
        <v>46146</v>
      </c>
      <c r="B563" s="6" t="inlineStr">
        <is>
          <t>Carlos Mateus Cassimiro Nunes</t>
        </is>
      </c>
      <c r="C563" s="9" t="inlineStr">
        <is>
          <t>Técnico II</t>
        </is>
      </c>
      <c r="D563" s="3" t="n">
        <v>31</v>
      </c>
      <c r="E563" s="3" t="n">
        <v>29</v>
      </c>
      <c r="F563" s="3" t="n">
        <v>20.3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9" t="n">
        <v>28</v>
      </c>
      <c r="N563" s="9" t="n">
        <v>99.06999999999999</v>
      </c>
      <c r="O563" s="9" t="n">
        <v>20.09803921568627</v>
      </c>
    </row>
    <row r="564">
      <c r="A564" s="5" t="n">
        <v>46147</v>
      </c>
      <c r="B564" s="6" t="inlineStr">
        <is>
          <t>Carlos Mateus Cassimiro Nunes</t>
        </is>
      </c>
      <c r="C564" s="9" t="inlineStr">
        <is>
          <t>Técnico II</t>
        </is>
      </c>
      <c r="D564" s="3" t="n">
        <v>19</v>
      </c>
      <c r="E564" s="3" t="n">
        <v>18</v>
      </c>
      <c r="F564" s="3" t="n">
        <v>26.46</v>
      </c>
      <c r="G564" s="3" t="n">
        <v>9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27</v>
      </c>
      <c r="N564" s="3" t="n">
        <v>99.06999999999999</v>
      </c>
      <c r="O564" s="3" t="n">
        <v>20.09803921568627</v>
      </c>
    </row>
    <row r="565">
      <c r="A565" s="5" t="n">
        <v>46148</v>
      </c>
      <c r="B565" s="6" t="inlineStr">
        <is>
          <t>Carlos Mateus Cassimiro Nunes</t>
        </is>
      </c>
      <c r="C565" s="9" t="inlineStr">
        <is>
          <t>Técnico II</t>
        </is>
      </c>
      <c r="D565" s="3" t="n">
        <v>34</v>
      </c>
      <c r="E565" s="3" t="n">
        <v>32</v>
      </c>
      <c r="F565" s="9" t="n">
        <v>14.16</v>
      </c>
      <c r="G565" s="3" t="n">
        <v>1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31</v>
      </c>
      <c r="N565" s="3" t="n">
        <v>99.06999999999999</v>
      </c>
      <c r="O565" s="3" t="n">
        <v>20.09803921568627</v>
      </c>
    </row>
    <row r="566">
      <c r="A566" s="11" t="n">
        <v>46168</v>
      </c>
      <c r="B566" t="inlineStr">
        <is>
          <t>Carlos Mateus Cassimiro Nunes</t>
        </is>
      </c>
      <c r="C566" t="inlineStr">
        <is>
          <t>Técnico II</t>
        </is>
      </c>
      <c r="D566" s="3" t="n">
        <v>28</v>
      </c>
      <c r="E566" s="3" t="n">
        <v>26</v>
      </c>
      <c r="F566" s="3" t="n">
        <v>20.21</v>
      </c>
      <c r="G566" s="3" t="n">
        <v>2</v>
      </c>
      <c r="M566" s="3" t="n">
        <v>27</v>
      </c>
      <c r="N566" s="3" t="n">
        <v>99.06999999999999</v>
      </c>
      <c r="O566" s="3" t="n">
        <v>20.09803921568627</v>
      </c>
    </row>
    <row r="567">
      <c r="A567" s="11" t="n">
        <v>46140</v>
      </c>
      <c r="B567" t="inlineStr">
        <is>
          <t>Damyllis Lorraine de Oliveira Gonçalves</t>
        </is>
      </c>
      <c r="C567" t="inlineStr">
        <is>
          <t>Técnico II</t>
        </is>
      </c>
      <c r="D567" s="9" t="n">
        <v>31</v>
      </c>
      <c r="E567" s="9" t="n">
        <v>28</v>
      </c>
      <c r="F567" s="9" t="n">
        <v>17.04</v>
      </c>
      <c r="G567" s="9" t="n">
        <v>0</v>
      </c>
      <c r="H567" s="9" t="n">
        <v>0</v>
      </c>
      <c r="I567" s="3" t="n">
        <v>0</v>
      </c>
      <c r="J567" s="3" t="n">
        <v>0</v>
      </c>
      <c r="K567" s="3" t="n">
        <v>0</v>
      </c>
      <c r="L567" s="3">
        <f>IF(K567&lt;-5,"CRÍTICO",IF(K567&lt;0,"ATENÇÃO",IF(K567&lt;=5,"OPORTUNO","MUITO BOM")))</f>
        <v/>
      </c>
      <c r="M567" s="9" t="n">
        <v>28</v>
      </c>
      <c r="N567" s="9" t="n">
        <v>97.86</v>
      </c>
      <c r="O567" s="9" t="n">
        <v>31.01851851851852</v>
      </c>
    </row>
    <row r="568">
      <c r="A568" s="11" t="n">
        <v>46141</v>
      </c>
      <c r="B568" t="inlineStr">
        <is>
          <t>Damyllis Lorraine de Oliveira Gonçalves</t>
        </is>
      </c>
      <c r="C568" t="inlineStr">
        <is>
          <t>Técnico II</t>
        </is>
      </c>
      <c r="D568" s="9" t="n">
        <v>32</v>
      </c>
      <c r="E568" s="9" t="n">
        <v>30</v>
      </c>
      <c r="F568" s="9" t="n">
        <v>18.45</v>
      </c>
      <c r="G568" s="9" t="n">
        <v>0</v>
      </c>
      <c r="H568" s="9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24</v>
      </c>
      <c r="N568" s="9" t="n">
        <v>97.86</v>
      </c>
      <c r="O568" s="9" t="n">
        <v>31.01851851851852</v>
      </c>
    </row>
    <row r="569">
      <c r="A569" s="11" t="n">
        <v>46142</v>
      </c>
      <c r="B569" t="inlineStr">
        <is>
          <t>Damyllis Lorraine de Oliveira Gonçalves</t>
        </is>
      </c>
      <c r="C569" t="inlineStr">
        <is>
          <t>Técnico II</t>
        </is>
      </c>
      <c r="D569" s="9" t="n">
        <v>27</v>
      </c>
      <c r="E569" s="9" t="n">
        <v>24</v>
      </c>
      <c r="F569" s="9" t="n">
        <v>20.15</v>
      </c>
      <c r="G569" s="9" t="n">
        <v>0</v>
      </c>
      <c r="H569" s="9" t="n">
        <v>0</v>
      </c>
      <c r="I569" s="3" t="n">
        <v>0</v>
      </c>
      <c r="J569" s="3" t="n">
        <v>0</v>
      </c>
      <c r="K569" s="3" t="n">
        <v>0</v>
      </c>
      <c r="L569" s="3">
        <f>IF(K569&lt;-5,"CRÍTICO",IF(K569&lt;0,"ATENÇÃO",IF(K569&lt;=5,"OPORTUNO","MUITO BOM")))</f>
        <v/>
      </c>
      <c r="M569" s="9" t="n">
        <v>18</v>
      </c>
      <c r="N569" s="9" t="n">
        <v>97.86</v>
      </c>
      <c r="O569" s="9" t="n">
        <v>31.01851851851852</v>
      </c>
    </row>
    <row r="570">
      <c r="A570" s="5" t="n">
        <v>46146</v>
      </c>
      <c r="B570" s="6" t="inlineStr">
        <is>
          <t>Damyllis Lorraine de Oliveira Gonçalves</t>
        </is>
      </c>
      <c r="C570" s="3" t="inlineStr">
        <is>
          <t>Técnico II</t>
        </is>
      </c>
      <c r="D570" s="3" t="n">
        <v>37</v>
      </c>
      <c r="E570" s="3" t="n">
        <v>30</v>
      </c>
      <c r="F570" s="3" t="n">
        <v>15.15</v>
      </c>
      <c r="G570" s="3" t="n">
        <v>0</v>
      </c>
      <c r="H570" s="3" t="n">
        <v>0</v>
      </c>
      <c r="I570" s="3" t="n">
        <v>0</v>
      </c>
      <c r="J570" s="3" t="n">
        <v>0</v>
      </c>
      <c r="K570" s="3" t="n">
        <v>0</v>
      </c>
      <c r="L570" s="3">
        <f>IF(K570&lt;-5,"CRÍTICO",IF(K570&lt;0,"ATENÇÃO",IF(K570&lt;=5,"BOM","EXCELENTE")))</f>
        <v/>
      </c>
      <c r="M570" s="9" t="n">
        <v>25</v>
      </c>
      <c r="N570" s="9" t="n">
        <v>98.81</v>
      </c>
      <c r="O570" s="9" t="n">
        <v>22.76785714285714</v>
      </c>
    </row>
    <row r="571">
      <c r="A571" s="5" t="n">
        <v>46147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23</v>
      </c>
      <c r="E571" s="3" t="n">
        <v>21</v>
      </c>
      <c r="F571" s="3" t="n">
        <v>19.19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26</v>
      </c>
      <c r="N571" s="3" t="n">
        <v>98.81</v>
      </c>
      <c r="O571" s="3" t="n">
        <v>22.76785714285714</v>
      </c>
    </row>
    <row r="572">
      <c r="A572" s="5" t="n">
        <v>46148</v>
      </c>
      <c r="B572" s="6" t="inlineStr">
        <is>
          <t>Damyllis Lorraine de Oliveira Gonçalves</t>
        </is>
      </c>
      <c r="C572" s="3" t="inlineStr">
        <is>
          <t>Técnico II</t>
        </is>
      </c>
      <c r="D572" s="3" t="n">
        <v>40</v>
      </c>
      <c r="E572" s="3" t="n">
        <v>35</v>
      </c>
      <c r="F572" s="9" t="n">
        <v>15.25</v>
      </c>
      <c r="G572" s="3" t="n">
        <v>0</v>
      </c>
      <c r="H572" s="3" t="n">
        <v>0</v>
      </c>
      <c r="I572" s="3" t="n">
        <v>0</v>
      </c>
      <c r="J572" s="3" t="n">
        <v>0</v>
      </c>
      <c r="K572" s="3" t="n">
        <v>0</v>
      </c>
      <c r="L572" s="3">
        <f>IF(K572&lt;-5,"CRÍTICO",IF(K572&lt;0,"ATENÇÃO",IF(K572&lt;=5,"BOM","EXCELENTE")))</f>
        <v/>
      </c>
      <c r="M572" s="3" t="n">
        <v>29</v>
      </c>
      <c r="N572" s="3" t="n">
        <v>98.81</v>
      </c>
      <c r="O572" s="3" t="n">
        <v>22.76785714285714</v>
      </c>
    </row>
    <row r="573">
      <c r="A573" s="11" t="n">
        <v>46168</v>
      </c>
      <c r="B573" t="inlineStr">
        <is>
          <t>Damyllis Lorraine de Oliveira Gonçalves</t>
        </is>
      </c>
      <c r="C57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M573" s="3" t="n">
        <v>0</v>
      </c>
      <c r="N573" s="3" t="n">
        <v>98.81</v>
      </c>
      <c r="O573" s="3" t="n">
        <v>22.76785714285714</v>
      </c>
    </row>
    <row r="574">
      <c r="A574" s="11" t="n">
        <v>46140</v>
      </c>
      <c r="B574" t="inlineStr">
        <is>
          <t>Emilly Kamilly Medeiros Miranda</t>
        </is>
      </c>
      <c r="C574" t="inlineStr">
        <is>
          <t>Técnico II</t>
        </is>
      </c>
      <c r="D574" s="9" t="n">
        <v>27</v>
      </c>
      <c r="E574" s="9" t="n">
        <v>27</v>
      </c>
      <c r="F574" s="9" t="n">
        <v>18.35</v>
      </c>
      <c r="G574" s="9" t="n">
        <v>0</v>
      </c>
      <c r="H574" s="9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26</v>
      </c>
      <c r="N574" s="9" t="n">
        <v>97.83</v>
      </c>
      <c r="O574" s="9" t="n">
        <v>28.35164835164835</v>
      </c>
    </row>
    <row r="575">
      <c r="A575" s="11" t="n">
        <v>46141</v>
      </c>
      <c r="B575" t="inlineStr">
        <is>
          <t>Emilly Kamilly Medeiros Miranda</t>
        </is>
      </c>
      <c r="C575" t="inlineStr">
        <is>
          <t>Técnico II</t>
        </is>
      </c>
      <c r="D575" s="9" t="n">
        <v>31</v>
      </c>
      <c r="E575" s="9" t="n">
        <v>28</v>
      </c>
      <c r="F575" s="9" t="n">
        <v>18.26</v>
      </c>
      <c r="G575" s="9" t="n">
        <v>0</v>
      </c>
      <c r="H575" s="9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23</v>
      </c>
      <c r="N575" s="9" t="n">
        <v>97.83</v>
      </c>
      <c r="O575" s="9" t="n">
        <v>28.35164835164835</v>
      </c>
    </row>
    <row r="576">
      <c r="A576" s="11" t="n">
        <v>46142</v>
      </c>
      <c r="B576" t="inlineStr">
        <is>
          <t>Emilly Kamilly Medeiros Miranda</t>
        </is>
      </c>
      <c r="C576" t="inlineStr">
        <is>
          <t>Técnico II</t>
        </is>
      </c>
      <c r="D576" s="9" t="n">
        <v>38</v>
      </c>
      <c r="E576" s="9" t="n">
        <v>38</v>
      </c>
      <c r="F576" s="9" t="n">
        <v>15.02</v>
      </c>
      <c r="G576" s="9" t="n">
        <v>0</v>
      </c>
      <c r="H576" s="9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9" t="n">
        <v>35</v>
      </c>
      <c r="N576" s="9" t="n">
        <v>97.83</v>
      </c>
      <c r="O576" s="9" t="n">
        <v>28.35164835164835</v>
      </c>
    </row>
    <row r="577">
      <c r="A577" s="5" t="n">
        <v>46146</v>
      </c>
      <c r="B577" s="6" t="inlineStr">
        <is>
          <t>Emilly Kamilly Medeiros Miranda</t>
        </is>
      </c>
      <c r="C577" s="3" t="inlineStr">
        <is>
          <t>Técnico II</t>
        </is>
      </c>
      <c r="D577" s="3" t="n">
        <v>31</v>
      </c>
      <c r="E577" s="3" t="n">
        <v>28</v>
      </c>
      <c r="F577" s="3" t="n">
        <v>15.09</v>
      </c>
      <c r="G577" s="3" t="n">
        <v>7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IF(K577&lt;-5,"CRÍTICO",IF(K577&lt;0,"ATENÇÃO",IF(K577&lt;=5,"BOM","EXCELENTE")))</f>
        <v/>
      </c>
      <c r="M577" s="9" t="n">
        <v>29</v>
      </c>
      <c r="N577" s="9" t="n">
        <v>99.01000000000001</v>
      </c>
      <c r="O577" s="9" t="n">
        <v>17.76649746192894</v>
      </c>
    </row>
    <row r="578">
      <c r="A578" s="5" t="n">
        <v>46147</v>
      </c>
      <c r="B578" s="6" t="inlineStr">
        <is>
          <t>Emilly Kamilly Medeiros Miranda</t>
        </is>
      </c>
      <c r="C578" s="3" t="inlineStr">
        <is>
          <t>Técnico II</t>
        </is>
      </c>
      <c r="D578" s="3" t="n">
        <v>34</v>
      </c>
      <c r="E578" s="3" t="n">
        <v>31</v>
      </c>
      <c r="F578" s="3" t="n">
        <v>14.15</v>
      </c>
      <c r="G578" s="3" t="n">
        <v>3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31</v>
      </c>
      <c r="N578" s="3" t="n">
        <v>99.01000000000001</v>
      </c>
      <c r="O578" s="3" t="n">
        <v>17.76649746192894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99.18000000000001</v>
      </c>
      <c r="O579" s="3" t="n">
        <v>24.5014245014245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99.34999999999999</v>
      </c>
      <c r="O580" s="3" t="n">
        <v>19.85294117647059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99.06999999999999</v>
      </c>
      <c r="O581" s="3" t="n">
        <v>20.09803921568627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98.81</v>
      </c>
      <c r="O582" s="3" t="n">
        <v>22.76785714285714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99.01000000000001</v>
      </c>
      <c r="O583" s="3" t="n">
        <v>17.76649746192894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98.98</v>
      </c>
      <c r="O585" s="3" t="n">
        <v>19.35483870967742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98.94</v>
      </c>
      <c r="O586" s="3" t="n">
        <v>21.2707182320442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99</v>
      </c>
      <c r="O587" s="3" t="n">
        <v>22.01086956521739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20.18348623853211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99.18000000000001</v>
      </c>
      <c r="O590" s="3" t="n">
        <v>24.5014245014245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99.34999999999999</v>
      </c>
      <c r="O591" t="n">
        <v>19.85294117647059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99.06999999999999</v>
      </c>
      <c r="O592" t="n">
        <v>20.09803921568627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98.81</v>
      </c>
      <c r="O595" t="n">
        <v>22.76785714285714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99.01000000000001</v>
      </c>
      <c r="O596" t="n">
        <v>17.76649746192894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98.98</v>
      </c>
      <c r="O598" t="n">
        <v>19.35483870967742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98.94</v>
      </c>
      <c r="O599" t="n">
        <v>21.2707182320442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99</v>
      </c>
      <c r="O600" t="n">
        <v>22.01086956521739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20.18348623853211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99.18000000000001</v>
      </c>
      <c r="O603" s="3" t="n">
        <v>24.5014245014245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99.34999999999999</v>
      </c>
      <c r="O604" t="n">
        <v>19.85294117647059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99.06999999999999</v>
      </c>
      <c r="O605" t="n">
        <v>20.09803921568627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98.81</v>
      </c>
      <c r="O606" t="n">
        <v>22.76785714285714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99.01000000000001</v>
      </c>
      <c r="O607" t="n">
        <v>17.76649746192894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98.98</v>
      </c>
      <c r="O609" t="n">
        <v>19.35483870967742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98.94</v>
      </c>
      <c r="O610" t="n">
        <v>21.2707182320442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99</v>
      </c>
      <c r="O611" t="n">
        <v>22.01086956521739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20.18348623853211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99.18000000000001</v>
      </c>
      <c r="O614" s="3" t="n">
        <v>24.5014245014245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99.34999999999999</v>
      </c>
      <c r="O615" t="n">
        <v>19.85294117647059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99.06999999999999</v>
      </c>
      <c r="O616" t="n">
        <v>20.09803921568627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98.81</v>
      </c>
      <c r="O617" t="n">
        <v>22.76785714285714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99.01000000000001</v>
      </c>
      <c r="O618" t="n">
        <v>17.76649746192894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98.98</v>
      </c>
      <c r="O620" t="n">
        <v>19.35483870967742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98.94</v>
      </c>
      <c r="O621" t="n">
        <v>21.2707182320442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99</v>
      </c>
      <c r="O622" t="n">
        <v>22.01086956521739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20.18348623853211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99.18000000000001</v>
      </c>
      <c r="O625" s="3" t="n">
        <v>24.5014245014245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99.34999999999999</v>
      </c>
      <c r="O626" t="n">
        <v>19.85294117647059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99.06999999999999</v>
      </c>
      <c r="O627" t="n">
        <v>20.09803921568627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98.81</v>
      </c>
      <c r="O628" t="n">
        <v>22.76785714285714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99.01000000000001</v>
      </c>
      <c r="O629" t="n">
        <v>17.76649746192894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98.98</v>
      </c>
      <c r="O631" t="n">
        <v>19.35483870967742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98.94</v>
      </c>
      <c r="O632" t="n">
        <v>21.2707182320442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99</v>
      </c>
      <c r="O633" t="n">
        <v>22.01086956521739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20.18348623853211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99.18000000000001</v>
      </c>
      <c r="O636" s="3" t="n">
        <v>24.5014245014245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99.34999999999999</v>
      </c>
      <c r="O637" t="n">
        <v>19.85294117647059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99.06999999999999</v>
      </c>
      <c r="O640" t="n">
        <v>20.09803921568627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98.81</v>
      </c>
      <c r="O641" t="n">
        <v>22.76785714285714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99.01000000000001</v>
      </c>
      <c r="O642" t="n">
        <v>17.76649746192894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98.98</v>
      </c>
      <c r="O644" t="n">
        <v>19.35483870967742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98.94</v>
      </c>
      <c r="O645" t="n">
        <v>21.2707182320442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99</v>
      </c>
      <c r="O646" t="n">
        <v>22.01086956521739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20.18348623853211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99.18000000000001</v>
      </c>
      <c r="O649" s="3" t="n">
        <v>24.5014245014245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99.34999999999999</v>
      </c>
      <c r="O650" t="n">
        <v>19.85294117647059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99.06999999999999</v>
      </c>
      <c r="O651" t="n">
        <v>20.09803921568627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98.81</v>
      </c>
      <c r="O652" t="n">
        <v>22.76785714285714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99.01000000000001</v>
      </c>
      <c r="O653" t="n">
        <v>17.76649746192894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98.98</v>
      </c>
      <c r="O655" t="n">
        <v>19.35483870967742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98.94</v>
      </c>
      <c r="O656" t="n">
        <v>21.2707182320442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99</v>
      </c>
      <c r="O657" t="n">
        <v>22.01086956521739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11</v>
      </c>
      <c r="N659" t="n">
        <v>100</v>
      </c>
      <c r="O659" t="n">
        <v>20.18348623853211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99.18000000000001</v>
      </c>
      <c r="O660" s="3" t="n">
        <v>24.5014245014245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99.34999999999999</v>
      </c>
      <c r="O661" t="n">
        <v>19.85294117647059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99.06999999999999</v>
      </c>
      <c r="O662" t="n">
        <v>20.09803921568627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98.81</v>
      </c>
      <c r="O663" s="9" t="n">
        <v>22.76785714285714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99.01000000000001</v>
      </c>
      <c r="O664" t="n">
        <v>17.76649746192894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98.98</v>
      </c>
      <c r="O730" t="n">
        <v>19.35483870967742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98.94</v>
      </c>
      <c r="O731" t="n">
        <v>21.2707182320442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99</v>
      </c>
      <c r="O732" t="n">
        <v>22.01086956521739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20.18348623853211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99.18000000000001</v>
      </c>
      <c r="O735" s="3" t="n">
        <v>24.5014245014245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99.34999999999999</v>
      </c>
      <c r="O736" t="n">
        <v>19.85294117647059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99.06999999999999</v>
      </c>
      <c r="O737" t="n">
        <v>20.09803921568627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98.81</v>
      </c>
      <c r="O738" s="9" t="n">
        <v>22.76785714285714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99.01000000000001</v>
      </c>
      <c r="O739" t="n">
        <v>17.76649746192894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98.98</v>
      </c>
      <c r="O741" t="n">
        <v>19.35483870967742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98.94</v>
      </c>
      <c r="O742" t="n">
        <v>21.2707182320442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99</v>
      </c>
      <c r="O743" t="n">
        <v>22.01086956521739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20.18348623853211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99.18000000000001</v>
      </c>
      <c r="O746" s="3" t="n">
        <v>24.5014245014245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31</v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M748" t="n">
        <v>18</v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99.34999999999999</v>
      </c>
      <c r="O749" s="9" t="n">
        <v>19.85294117647059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99.06999999999999</v>
      </c>
      <c r="O750" s="9" t="n">
        <v>20.09803921568627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98.81</v>
      </c>
      <c r="O751" s="9" t="n">
        <v>22.76785714285714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99.01000000000001</v>
      </c>
      <c r="O752" s="9" t="n">
        <v>17.76649746192894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98.98</v>
      </c>
      <c r="O754" s="9" t="n">
        <v>19.35483870967742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98.94</v>
      </c>
      <c r="O755" s="9" t="n">
        <v>21.2707182320442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99</v>
      </c>
      <c r="O756" s="9" t="n">
        <v>22.01086956521739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20.18348623853211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99.18000000000001</v>
      </c>
      <c r="O759" s="3" t="n">
        <v>24.5014245014245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99.34999999999999</v>
      </c>
      <c r="O760" s="3" t="n">
        <v>19.85294117647059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99.06999999999999</v>
      </c>
      <c r="O761" s="3" t="n">
        <v>20.09803921568627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98.81</v>
      </c>
      <c r="O762" s="3" t="n">
        <v>22.76785714285714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99.01000000000001</v>
      </c>
      <c r="O763" s="3" t="n">
        <v>17.76649746192894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98.98</v>
      </c>
      <c r="O765" s="3" t="n">
        <v>19.35483870967742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98.94</v>
      </c>
      <c r="O766" s="3" t="n">
        <v>21.2707182320442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99</v>
      </c>
      <c r="O767" s="3" t="n">
        <v>22.01086956521739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20.18348623853211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99.18000000000001</v>
      </c>
      <c r="O770" s="3" t="n">
        <v>24.5014245014245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99.34999999999999</v>
      </c>
      <c r="O771" s="3" t="n">
        <v>19.85294117647059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99.06999999999999</v>
      </c>
      <c r="O772" s="3" t="n">
        <v>20.09803921568627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98.81</v>
      </c>
      <c r="O773" s="3" t="n">
        <v>22.76785714285714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13</v>
      </c>
      <c r="N774" s="3" t="n">
        <v>99.01000000000001</v>
      </c>
      <c r="O774" s="3" t="n">
        <v>17.76649746192894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t="n">
        <v>15</v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t="n">
        <v>21</v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18</v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t="n">
        <v>17</v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t="n">
        <v>0</v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23</v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M781" t="n">
        <v>20</v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0</v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t="n">
        <v>13</v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t="n">
        <v>14</v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16</v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M788" t="n">
        <v>0</v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24</v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15</v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21</v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27</v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20</v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27</v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10</v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M796" t="n">
        <v>22</v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t="n">
        <v>0</v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M798" t="n">
        <v>6</v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12</v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M801" t="n">
        <v>0</v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t="n">
        <v>16</v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t="n">
        <v>10</v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M805" t="n">
        <v>20</v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t="n">
        <v>0</v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22</v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t="n">
        <v>24</v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M820" t="n">
        <v>25</v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29</v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27</v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9</v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26</v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t="n">
        <v>27</v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t="n">
        <v>0</v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17</v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M828" t="n">
        <v>38</v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t="n">
        <v>25</v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t="n">
        <v>25</v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24</v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M832" t="n">
        <v>0</v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34</v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30</v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27</v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28</v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25</v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46</v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11</v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M840" t="n">
        <v>29</v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t="n">
        <v>21</v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t="n">
        <v>6</v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15</v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t="n">
        <v>0</v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25</v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t="n">
        <v>28</v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M847" t="n">
        <v>26</v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37</v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25</v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M850" t="n">
        <v>9</v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t="n">
        <v>0</v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M852" t="n">
        <v>32</v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M860" t="n">
        <v>0</v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18</v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27</v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25</v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28</v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16</v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16</v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t="n">
        <v>19</v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M1348" t="n">
        <v>28</v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18</v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20</v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6</v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25</v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t="n">
        <v>12</v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t="n">
        <v>0</v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22</v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M1356" t="n">
        <v>24</v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t="n">
        <v>19</v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t="n">
        <v>27</v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19</v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M1360" t="n">
        <v>0</v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25</v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21</v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8</v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24</v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21</v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26</v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t="n">
        <v>11</v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t="n">
        <v>0</v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9</v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t="n">
        <v>21</v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t="n">
        <v>0</v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21</v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t="n">
        <v>24</v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M1375" t="n">
        <v>19</v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13</v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20</v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4</v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25</v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M1381" t="n">
        <v>2</v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t="n">
        <v>0</v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M1383" t="n">
        <v>16</v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M1387" t="n">
        <v>0</v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19</v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15</v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17</v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t="n">
        <v>15</v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M1392" t="n">
        <v>27</v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20</v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29</v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9</v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25</v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t="n">
        <v>14</v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t="n">
        <v>0</v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21</v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M1400" t="n">
        <v>24</v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t="n">
        <v>22</v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t="n">
        <v>7</v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23</v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M1404" t="n">
        <v>0</v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24</v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17</v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19</v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14</v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17</v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23</v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5</v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t="n">
        <v>19</v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t="n">
        <v>0</v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4</v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t="n">
        <v>18</v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t="n">
        <v>0</v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21</v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t="n">
        <v>17</v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M1419" t="n">
        <v>21</v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22</v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23</v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6</v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19</v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17</v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M1425" t="n">
        <v>2</v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t="n">
        <v>0</v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M1427" t="n">
        <v>20</v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M1431" t="n">
        <v>0</v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24</v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10</v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22</v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t="n">
        <v>17</v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M1436" t="n">
        <v>22</v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25</v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21</v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7</v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t="n">
        <v>21</v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t="n">
        <v>0</v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15</v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M1444" t="n">
        <v>20</v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t="n">
        <v>16</v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t="n">
        <v>31</v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24</v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M1448" t="n">
        <v>0</v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20</v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15</v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18</v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13</v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22</v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29</v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8</v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t="n">
        <v>18</v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t="n">
        <v>0</v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5</v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t="n">
        <v>23</v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t="n">
        <v>0</v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9</v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t="n">
        <v>21</v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M1463" t="n">
        <v>10</v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11</v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14</v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6</v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23</v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20</v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M1469" t="n">
        <v>4</v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t="n">
        <v>0</v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M1471" t="n">
        <v>16</v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M1475" t="n">
        <v>0</v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26</v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14</v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23</v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12</v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20</v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21</v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21</v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27</v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93.48</v>
      </c>
      <c r="O1708" t="n">
        <v>31.52804642166344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M1716" t="n">
        <v>37</v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t="n">
        <v>34</v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M1744" t="n">
        <v>29</v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27</v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37</v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6</v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36</v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t="n">
        <v>23</v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t="n">
        <v>0</v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21</v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M1752" t="n">
        <v>29</v>
      </c>
      <c r="N1752" t="n">
        <v>93.48</v>
      </c>
      <c r="O1752" t="n">
        <v>31.52804642166344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M1753" t="n">
        <v>30</v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t="n">
        <v>32</v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M1755" t="n">
        <v>30</v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6</v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31</v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30</v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49</v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28</v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44</v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43</v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t="n">
        <v>29</v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t="n">
        <v>0</v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16</v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t="n">
        <v>11</v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t="n">
        <v>0</v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24</v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t="n">
        <v>26</v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M1771" t="n">
        <v>33</v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8</v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24</v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5</v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24</v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38</v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M1777" t="n">
        <v>5</v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t="n">
        <v>0</v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M1779" t="n">
        <v>26</v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M1782" t="n">
        <v>0</v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17</v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32</v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12</v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32</v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t="n">
        <v>24</v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M1788" t="n">
        <v>28</v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25</v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32</v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8</v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32</v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t="n">
        <v>31</v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t="n">
        <v>0</v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16</v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M1796" t="n">
        <v>43</v>
      </c>
      <c r="N1796" t="n">
        <v>93.48</v>
      </c>
      <c r="O1796" t="n">
        <v>31.52804642166344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M1797" t="n">
        <v>38</v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t="n">
        <v>18</v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M1799" t="n">
        <v>33</v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3</v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20</v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27</v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47</v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15</v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30</v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55</v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41</v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t="n">
        <v>31</v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t="n">
        <v>0</v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15</v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t="n">
        <v>30</v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t="n">
        <v>0</v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25</v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t="n">
        <v>27</v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M1815" t="n">
        <v>38</v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26</v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21</v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6</v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36</v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32</v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M1821" t="n">
        <v>6</v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M1826" t="n">
        <v>0</v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16</v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30</v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16</v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36</v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t="n">
        <v>33</v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t="n">
        <v>40</v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38</v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t="n">
        <v>39</v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t="n">
        <v>0</v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30</v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t="n">
        <v>17</v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t="n">
        <v>0</v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22</v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M1840" t="n">
        <v>25</v>
      </c>
      <c r="N1840" t="n">
        <v>93.48</v>
      </c>
      <c r="O1840" t="n">
        <v>31.52804642166344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M1841" t="n">
        <v>37</v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t="n">
        <v>29</v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M1843" t="n">
        <v>35</v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2</v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30</v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35</v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42</v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10</v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34</v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46</v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41</v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t="n">
        <v>32</v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t="n">
        <v>0</v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19</v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t="n">
        <v>29</v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t="n">
        <v>0</v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24</v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t="n">
        <v>28</v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M1859" t="n">
        <v>36</v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27</v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21</v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0</v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40</v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33</v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M1865" t="n">
        <v>13</v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t="n">
        <v>0</v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M1867" t="n">
        <v>24</v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M1870" t="n">
        <v>0</v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22</v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28</v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18</v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34</v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t="n">
        <v>16</v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M1876" t="n">
        <v>24</v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22</v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26</v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9</v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36</v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t="n">
        <v>23</v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t="n">
        <v>0</v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20</v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M1884" t="n">
        <v>41</v>
      </c>
      <c r="N1884" t="n">
        <v>93.48</v>
      </c>
      <c r="O1884" t="n">
        <v>31.52804642166344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M1885" t="n">
        <v>28</v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t="n">
        <v>27</v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M1887" t="n">
        <v>38</v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3</v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29</v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33</v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t="n">
        <v>26</v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M1892" t="n">
        <v>14</v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25</v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54</v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27</v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t="n">
        <v>21</v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t="n">
        <v>0</v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15</v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t="n">
        <v>27</v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t="n">
        <v>0</v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22</v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t="n">
        <v>20</v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M1903" t="n">
        <v>33</v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19</v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32</v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0</v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38</v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22</v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M1909" t="n">
        <v>5</v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M1914" t="n">
        <v>0</v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12</v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21</v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15</v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37</v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26</v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29</v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30</v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24</v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5</v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26</v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22</v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19</v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35</v>
      </c>
      <c r="N1928" t="n">
        <v>93.48</v>
      </c>
      <c r="O1928" t="n">
        <v>31.52804642166344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1</v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25</v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24</v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3</v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29</v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28</v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40</v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11</v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15</v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39</v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18</v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20</v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7</v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5</v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14</v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9</v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29</v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18</v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20</v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26</v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20</v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6</v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19</v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39</v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8</v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25</v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t="n">
        <v>23</v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M1964" t="n">
        <v>36</v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22</v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33</v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7</v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32</v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t="n">
        <v>26</v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t="n">
        <v>0</v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14</v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M1972" t="n">
        <v>33</v>
      </c>
      <c r="N1972" t="n">
        <v>93.48</v>
      </c>
      <c r="O1972" t="n">
        <v>31.52804642166344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M1973" t="n">
        <v>24</v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t="n">
        <v>28</v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M1975" t="n">
        <v>30</v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</v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12</v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28</v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33</v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21</v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25</v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42</v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32</v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t="n">
        <v>16</v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t="n">
        <v>0</v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14</v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t="n">
        <v>2</v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t="n">
        <v>0</v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23</v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t="n">
        <v>21</v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34</v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M1992" t="n">
        <v>0</v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t="n">
        <v>22</v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M1994" t="n">
        <v>0</v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34</v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33</v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M1997" t="n">
        <v>5</v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M2002" t="n">
        <v>0</v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11</v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31</v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12</v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25</v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93.48</v>
      </c>
      <c r="O2016" t="n">
        <v>31.52804642166344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13</v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93.48</v>
      </c>
      <c r="O2060" t="n">
        <v>31.52804642166344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24</v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93.48</v>
      </c>
      <c r="O2104" t="n">
        <v>31.52804642166344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11</v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93.48</v>
      </c>
      <c r="O2148" t="n">
        <v>31.52804642166344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18</v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93.48</v>
      </c>
      <c r="O2192" t="n">
        <v>31.52804642166344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M2200" t="n">
        <v>11</v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93.48</v>
      </c>
      <c r="O2236" t="n">
        <v>31.52804642166344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29</v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93.48</v>
      </c>
      <c r="O2280" t="n">
        <v>31.52804642166344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18</v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t="n">
        <v>18</v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M2316" t="n">
        <v>25</v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18</v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28</v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9</v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29</v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t="n">
        <v>19</v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t="n">
        <v>0</v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18</v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M2324" t="n">
        <v>30</v>
      </c>
      <c r="N2324" t="n">
        <v>93.48</v>
      </c>
      <c r="O2324" t="n">
        <v>31.52804642166344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M2325" t="n">
        <v>24</v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t="n">
        <v>12</v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M2327" t="n">
        <v>16</v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0</v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17</v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22</v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29</v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25</v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22</v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30</v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23</v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t="n">
        <v>15</v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t="n">
        <v>0</v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17</v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t="n">
        <v>18</v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t="n">
        <v>0</v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28</v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t="n">
        <v>20</v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25</v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M2344" t="n">
        <v>0</v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8</v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5</v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21</v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M2349" t="n">
        <v>6</v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M2354" t="n">
        <v>0</v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17</v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28</v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8</v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12</v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t="n">
        <v>29</v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M2360" t="n">
        <v>28</v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23</v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17</v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7</v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27</v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M2365" t="n">
        <v>18</v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0</v>
      </c>
      <c r="N2368" t="n">
        <v>93.48</v>
      </c>
      <c r="O2368" t="n">
        <v>31.52804642166344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M2369" t="n">
        <v>19</v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t="n">
        <v>9</v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M2371" t="n">
        <v>18</v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5</v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16</v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29</v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18</v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28</v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33</v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16</v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t="n">
        <v>23</v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t="n">
        <v>0</v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9</v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t="n">
        <v>18</v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t="n">
        <v>0</v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17</v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t="n">
        <v>30</v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13</v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M2388" t="n">
        <v>0</v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10</v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6</v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22</v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26</v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M2393" t="n">
        <v>4</v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M2399" t="n">
        <v>0</v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22</v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8</v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25</v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t="n">
        <v>12</v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M2404" t="n">
        <v>25</v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17</v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16</v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13</v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16</v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M2409" t="n">
        <v>5</v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t="n">
        <v>0</v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t="n">
        <v>23</v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0</v>
      </c>
      <c r="N2412" t="n">
        <v>93.48</v>
      </c>
      <c r="O2412" t="n">
        <v>31.52804642166344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M2413" t="n">
        <v>25</v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t="n">
        <v>11</v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M2415" t="n">
        <v>14</v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5</v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13</v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26</v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30</v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23</v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18</v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35</v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23</v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t="n">
        <v>3</v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t="n">
        <v>0</v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14</v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t="n">
        <v>52</v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t="n">
        <v>0</v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15</v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t="n">
        <v>13</v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M2431" t="n">
        <v>18</v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24</v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13</v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3</v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24</v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28</v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M2437" t="n">
        <v>5</v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M2443" t="n">
        <v>0</v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27</v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7</v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19</v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t="n">
        <v>6</v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M2448" t="n">
        <v>24</v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25</v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13</v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11</v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29</v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t="n">
        <v>9</v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t="n">
        <v>0</v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14</v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M2456" t="n">
        <v>21</v>
      </c>
      <c r="N2456" t="n">
        <v>93.48</v>
      </c>
      <c r="O2456" t="n">
        <v>31.52804642166344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M2457" t="n">
        <v>13</v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t="n">
        <v>11</v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M2459" t="n">
        <v>15</v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5</v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16</v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19</v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20</v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22</v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18</v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32</v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t="n">
        <v>14</v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t="n">
        <v>0</v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t="n">
        <v>8</v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30</v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t="n">
        <v>0</v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16</v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t="n">
        <v>26</v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M2475" t="n">
        <v>15</v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25</v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16</v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6</v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22</v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15</v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M2481" t="n">
        <v>4</v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M2486" t="n">
        <v>0</v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17</v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25</v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10</v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21</v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t="n">
        <v>18</v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M2492" t="n">
        <v>22</v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25</v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22</v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11</v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23</v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t="n">
        <v>10</v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t="n">
        <v>0</v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13</v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M2500" t="n">
        <v>20</v>
      </c>
      <c r="N2500" t="n">
        <v>93.48</v>
      </c>
      <c r="O2500" t="n">
        <v>31.52804642166344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M2501" t="n">
        <v>14</v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t="n">
        <v>8</v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M2503" t="n">
        <v>18</v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4</v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20</v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t="n">
        <v>19</v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M2508" t="n">
        <v>23</v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23</v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44</v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15</v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M2512" t="n">
        <v>11</v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t="n">
        <v>0</v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t="n">
        <v>19</v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6</v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t="n">
        <v>0</v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23</v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t="n">
        <v>19</v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M2519" t="n">
        <v>22</v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18</v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12</v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</v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25</v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26</v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M2525" t="n">
        <v>3</v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M2530" t="n">
        <v>0</v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15</v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29</v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11</v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16</v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t="n">
        <v>21</v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M2536" t="n">
        <v>22</v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21</v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15</v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10</v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28</v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t="n">
        <v>7</v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t="n">
        <v>0</v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12</v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M2544" t="n">
        <v>26</v>
      </c>
      <c r="N2544" t="n">
        <v>93.48</v>
      </c>
      <c r="O2544" t="n">
        <v>31.52804642166344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M2545" t="n">
        <v>19</v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t="n">
        <v>3</v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M2547" t="n">
        <v>13</v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5</v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13</v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24</v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t="n">
        <v>18</v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M2552" t="n">
        <v>32</v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19</v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24</v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2</v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M2556" t="n">
        <v>14</v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t="n">
        <v>0</v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t="n">
        <v>9</v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21</v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t="n">
        <v>0</v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13</v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t="n">
        <v>20</v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M2563" t="n">
        <v>21</v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12</v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8</v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18</v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21</v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M2569" t="n">
        <v>7</v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M2574" t="n">
        <v>0</v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20</v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23</v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9</v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17</v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t="n">
        <v>22</v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t="n">
        <v>23</v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21</v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t="n">
        <v>19</v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t="n">
        <v>0</v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47</v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t="n">
        <v>19</v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t="n">
        <v>0</v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21</v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M2588" t="n">
        <v>32</v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M2589" t="n">
        <v>23</v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t="n">
        <v>3</v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M2591" t="n">
        <v>29</v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7</v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37</v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30</v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t="n">
        <v>24</v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M2596" t="n">
        <v>0</v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18</v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40</v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12</v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t="n">
        <v>18</v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t="n">
        <v>0</v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t="n">
        <v>18</v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t="n">
        <v>0</v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21</v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t="n">
        <v>14</v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M2607" t="n">
        <v>27</v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22</v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25</v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11</v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40</v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30</v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M2613" t="n">
        <v>5</v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t="n">
        <v>0</v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M2615" t="n">
        <v>16</v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M2618" t="n">
        <v>0</v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15</v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35</v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9</v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29</v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t="n">
        <v>22</v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M2624" t="n">
        <v>21</v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25</v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32</v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6</v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t="n">
        <v>27</v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t="n">
        <v>0</v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20</v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M2632" t="n">
        <v>34</v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M2633" t="n">
        <v>21</v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t="n">
        <v>14</v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M2635" t="n">
        <v>33</v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</v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35</v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22</v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t="n">
        <v>31</v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M2640" t="n">
        <v>23</v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28</v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41</v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6</v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t="n">
        <v>29</v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t="n">
        <v>0</v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12</v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t="n">
        <v>6</v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t="n">
        <v>0</v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15</v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t="n">
        <v>20</v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M2651" t="n">
        <v>27</v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19</v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23</v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7</v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31</v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33</v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M2657" t="n">
        <v>4</v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t="n">
        <v>0</v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M2659" t="n">
        <v>18</v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M2662" t="n">
        <v>0</v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29</v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32</v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18</v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31</v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t="n">
        <v>20</v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M2668" t="n">
        <v>20</v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20</v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30</v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6</v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t="n">
        <v>32</v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t="n">
        <v>0</v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17</v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M2676" t="n">
        <v>34</v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M2677" t="n">
        <v>29</v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t="n">
        <v>14</v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M2679" t="n">
        <v>32</v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7</v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20</v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33</v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t="n">
        <v>34</v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M2684" t="n">
        <v>23</v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25</v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40</v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14</v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M2688" t="n">
        <v>19</v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t="n">
        <v>0</v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M2690" t="n">
        <v>17</v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14</v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0</v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M2693" t="n">
        <v>5</v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t="n">
        <v>19</v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M2695" t="n">
        <v>20</v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22</v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23</v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0</v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38</v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30</v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M2701" t="n">
        <v>2</v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t="n">
        <v>0</v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M2703" t="n">
        <v>20</v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M2706" t="n">
        <v>0</v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18</v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26</v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15</v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18</v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t="n">
        <v>15</v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M2712" t="n">
        <v>24</v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21</v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22</v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10</v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25</v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t="n">
        <v>16</v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t="n">
        <v>0</v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18</v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M2720" t="n">
        <v>35</v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M2721" t="n">
        <v>20</v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t="n">
        <v>15</v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M2723" t="n">
        <v>31</v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3</v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29</v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39</v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t="n">
        <v>17</v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M2728" t="n">
        <v>26</v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19</v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M2730" t="n">
        <v>53</v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M2731" t="n">
        <v>1</v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M2732" t="n">
        <v>29</v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M2733" t="n">
        <v>0</v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M2734" t="n">
        <v>15</v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M2735" t="n">
        <v>16</v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M2736" t="n">
        <v>6</v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M2737" t="n">
        <v>9</v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t="n">
        <v>12</v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M2739" t="n">
        <v>26</v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18</v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22</v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1</v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52</v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30</v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M2745" t="n">
        <v>12</v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M2746" t="n">
        <v>0</v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23</v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6</v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4</v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M2750" t="n">
        <v>0</v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20</v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32</v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22</v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27</v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t="n">
        <v>16</v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M2756" t="n">
        <v>27</v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22</v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27</v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5</v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42</v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M2761" t="n">
        <v>24</v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t="n">
        <v>0</v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t="n">
        <v>15</v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0</v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M2765" t="n">
        <v>27</v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t="n">
        <v>17</v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M2767" t="n">
        <v>29</v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5</v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22</v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21</v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27</v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22</v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26</v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M2774" t="n">
        <v>48</v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M2775" t="n">
        <v>6</v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M2776" t="n">
        <v>29</v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M2777" t="n">
        <v>0</v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M2778" t="n">
        <v>22</v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M2779" t="n">
        <v>9</v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M2780" t="n">
        <v>9</v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M2781" t="n">
        <v>5</v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t="n">
        <v>19</v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M2783" t="n">
        <v>25</v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19</v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20</v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1</v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48</v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26</v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t="n">
        <v>2</v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M2790" t="n">
        <v>0</v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26</v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14</v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t="n">
        <v>4</v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M2794" t="n">
        <v>0</v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14</v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39</v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13</v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29</v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t="n">
        <v>18</v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M2800" t="n">
        <v>24</v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18</v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19</v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8</v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36</v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t="n">
        <v>9</v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t="n">
        <v>0</v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18</v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M2808" t="n">
        <v>29</v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M2809" t="n">
        <v>21</v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t="n">
        <v>12</v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M2811" t="n">
        <v>18</v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4</v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t="n">
        <v>23</v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M2815" t="n">
        <v>0</v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18</v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16</v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41</v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6</v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t="n">
        <v>24</v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M2821" t="n">
        <v>0</v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9</v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12</v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3</v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13</v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t="n">
        <v>12</v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t="n">
        <v>8</v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15</v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t="n">
        <v>18</v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M2830" t="n">
        <v>0</v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30</v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20</v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t="n">
        <v>3</v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M2834" t="n">
        <v>0</v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11</v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3</v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M2838" t="n">
        <v>0</v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0</v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32</v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8</v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22</v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t="n">
        <v>20</v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M2844" t="n">
        <v>24</v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17</v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7</v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33</v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t="n">
        <v>18</v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t="n">
        <v>0</v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23</v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M2852" t="n">
        <v>20</v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M2853" t="n">
        <v>19</v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t="n">
        <v>12</v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M2855" t="n">
        <v>31</v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5</v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14</v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12</v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14</v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22</v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23</v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35</v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10</v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t="n">
        <v>16</v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M2865" t="n">
        <v>0</v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8</v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14</v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10</v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19</v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t="n">
        <v>16</v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M2871" t="n">
        <v>27</v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17</v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6</v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22</v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24</v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t="n">
        <v>3</v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M2878" t="n">
        <v>0</v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16</v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6</v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8</v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M2883" t="n">
        <v>0</v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38</v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14</v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18</v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t="n">
        <v>24</v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M2888" t="n">
        <v>18</v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16</v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24</v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7</v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33</v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M2893" t="n">
        <v>11</v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t="n">
        <v>0</v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t="n">
        <v>17</v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12</v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M2897" t="n">
        <v>18</v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t="n">
        <v>11</v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M2899" t="n">
        <v>28</v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5</v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14</v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26</v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27</v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20</v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M2906" t="n">
        <v>33</v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M2907" t="n">
        <v>6</v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M2908" t="n">
        <v>19</v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M2909" t="n">
        <v>0</v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M2910" t="n">
        <v>6</v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M2911" t="n">
        <v>1</v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M2912" t="n">
        <v>7</v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M2913" t="n">
        <v>5</v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t="n">
        <v>18</v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t="n">
        <v>18</v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25</v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t="n">
        <v>12</v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M2918" t="n">
        <v>0</v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33</v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23</v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t="n">
        <v>5</v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M2922" t="n">
        <v>0</v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9</v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7</v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10</v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M2926" t="n">
        <v>0</v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19</v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27</v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15</v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27</v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t="n">
        <v>8</v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M2932" t="n">
        <v>22</v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15</v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23</v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8</v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34</v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M2937" t="n">
        <v>13</v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t="n">
        <v>0</v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t="n">
        <v>14</v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12</v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M2941" t="n">
        <v>25</v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t="n">
        <v>13</v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M2943" t="n">
        <v>29</v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7</v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19</v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27</v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20</v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39</v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17</v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M2950" t="n">
        <v>39</v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M2951" t="n">
        <v>6</v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M2952" t="n">
        <v>21</v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M2953" t="n">
        <v>0</v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M2954" t="n">
        <v>10</v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M2955" t="n">
        <v>1</v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M2956" t="n">
        <v>7</v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M2957" t="n">
        <v>8</v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t="n">
        <v>14</v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M2959" t="n">
        <v>16</v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17</v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3</v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22</v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t="n">
        <v>3</v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M2966" t="n">
        <v>0</v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11</v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10</v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6</v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M2970" t="n">
        <v>0</v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21</v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34</v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16</v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28</v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t="n">
        <v>22</v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t="n">
        <v>15</v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15</v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t="n">
        <v>17</v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t="n">
        <v>0</v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40</v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M2981" t="n">
        <v>14</v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t="n">
        <v>0</v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t="n">
        <v>19</v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6</v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M2985" t="n">
        <v>17</v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t="n">
        <v>11</v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M2987" t="n">
        <v>22</v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5</v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15</v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24</v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13</v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32</v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22</v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M2994" t="n">
        <v>34</v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M2995" t="n">
        <v>8</v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M2996" t="n">
        <v>19</v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M2997" t="n">
        <v>0</v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M2998" t="n">
        <v>5</v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M2999" t="n">
        <v>0</v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M3000" t="n">
        <v>12</v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M3001" t="n">
        <v>8</v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t="n">
        <v>11</v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M3003" t="n">
        <v>20</v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15</v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11</v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3</v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22</v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25</v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t="n">
        <v>5</v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M3010" t="n">
        <v>0</v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23</v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7</v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13</v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M3014" t="n">
        <v>0</v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12</v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33</v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13</v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25</v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t="n">
        <v>15</v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M3020" t="n">
        <v>22</v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30</v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23</v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6</v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20</v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t="n">
        <v>23</v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t="n">
        <v>0</v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20</v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M3028" t="n">
        <v>23</v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t="n">
        <v>23</v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t="n">
        <v>12</v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17</v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M3032" t="n">
        <v>0</v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22</v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25</v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11</v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23</v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21</v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43</v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16</v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t="n">
        <v>7</v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M3041" t="n">
        <v>0</v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6</v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2</v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7</v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18</v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t="n">
        <v>15</v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29</v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t="n">
        <v>0</v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9</v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4</v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31</v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29</v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t="n">
        <v>2</v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M3054" t="n">
        <v>0</v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3</v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5</v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6</v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M3058" t="n">
        <v>0</v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11</v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29</v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13</v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25</v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t="n">
        <v>19</v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M3064" t="n">
        <v>24</v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13</v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28</v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13</v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30</v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M3069" t="n">
        <v>5</v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t="n">
        <v>0</v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t="n">
        <v>22</v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9</v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M3073" t="n">
        <v>26</v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t="n">
        <v>13</v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M3075" t="n">
        <v>20</v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5</v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25</v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27</v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18</v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11</v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26</v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38</v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16</v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t="n">
        <v>24</v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M3085" t="n">
        <v>0</v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7</v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2</v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8</v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16</v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t="n">
        <v>40</v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22</v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M3092" t="n">
        <v>0</v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16</v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7</v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30</v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t="n">
        <v>1</v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M3098" t="n">
        <v>0</v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29</v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11</v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t="n">
        <v>12</v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M3102" t="n">
        <v>0</v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14</v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27</v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10</v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23</v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t="n">
        <v>18</v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M3108" t="n">
        <v>24</v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9</v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25</v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5</v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24</v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M3113" t="n">
        <v>16</v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t="n">
        <v>0</v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t="n">
        <v>14</v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9</v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M3117" t="n">
        <v>22</v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t="n">
        <v>8</v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M3119" t="n">
        <v>17</v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4</v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28</v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29</v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22</v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15</v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24</v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M3126" t="n">
        <v>35</v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M3127" t="n">
        <v>7</v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t="n">
        <v>16</v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M3129" t="n">
        <v>0</v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14</v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8</v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7</v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16</v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t="n">
        <v>31</v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26</v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M3136" t="n">
        <v>0</v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17</v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4</v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33</v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t="n">
        <v>3</v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M3142" t="n">
        <v>0</v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10</v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9</v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M3146" t="n">
        <v>0</v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13</v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32</v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10</v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22</v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t="n">
        <v>12</v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M3152" t="n">
        <v>10</v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39</v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9</v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11</v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22</v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M3157" t="n">
        <v>24</v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t="n">
        <v>0</v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t="n">
        <v>26</v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10</v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M3161" t="n">
        <v>17</v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t="n">
        <v>9</v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M3163" t="n">
        <v>22</v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6</v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16</v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23</v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10</v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18</v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33</v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8</v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t="n">
        <v>1</v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M3173" t="n">
        <v>0</v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18</v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8</v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13</v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t="n">
        <v>10</v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20</v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M3180" t="n">
        <v>0</v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M3181" t="n">
        <v>12</v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M3182" t="n">
        <v>0</v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M3183" t="n">
        <v>28</v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t="n">
        <v>0</v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t="n">
        <v>4</v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M3187" t="n">
        <v>0</v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9</v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7</v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M3190" t="n">
        <v>0</v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21</v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33</v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18</v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20</v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t="n">
        <v>14</v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M3196" t="n">
        <v>7</v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14</v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17</v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9</v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12</v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M3201" t="n">
        <v>23</v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t="n">
        <v>0</v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t="n">
        <v>20</v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0</v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M3205" t="n">
        <v>24</v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t="n">
        <v>12</v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M3207" t="n">
        <v>22</v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7</v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11</v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28</v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10</v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21</v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27</v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33</v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t="n">
        <v>9</v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M3217" t="n">
        <v>0</v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23</v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5</v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6</v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t="n">
        <v>22</v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26</v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M3224" t="n">
        <v>0</v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23</v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7</v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M3227" t="n">
        <v>32</v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M3228" t="n">
        <v>0</v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t="n">
        <v>1</v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M3230" t="n">
        <v>0</v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27</v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12</v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9</v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M3234" t="n">
        <v>0</v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12</v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32</v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16</v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26</v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t="n">
        <v>17</v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M3240" t="n">
        <v>20</v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20</v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19</v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10</v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22</v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t="n">
        <v>14</v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t="n">
        <v>0</v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20</v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M3248" t="n">
        <v>7</v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M3249" t="n">
        <v>17</v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t="n">
        <v>6</v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M3251" t="n">
        <v>19</v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5</v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22</v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27</v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23</v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10</v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27</v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26</v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t="n">
        <v>6</v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M3261" t="n">
        <v>0</v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8</v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13</v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12</v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14</v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t="n">
        <v>32</v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22</v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M3268" t="n">
        <v>0</v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16</v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5</v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19</v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27</v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t="n">
        <v>3</v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M3274" t="n">
        <v>0</v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17</v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25</v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11</v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M3278" t="n">
        <v>0</v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17</v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21</v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12</v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18</v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t="n">
        <v>19</v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M3284" t="n">
        <v>23</v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26</v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25</v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7</v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34</v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21</v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3</v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24</v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M3292" t="n">
        <v>27</v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M3293" t="n">
        <v>17</v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t="n">
        <v>10</v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M3295" t="n">
        <v>10</v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4</v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15</v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26</v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t="n">
        <v>21</v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24</v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31</v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t="n">
        <v>21</v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M3305" t="n">
        <v>0</v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22</v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19</v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10</v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28</v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t="n">
        <v>14</v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16</v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M3312" t="n">
        <v>0</v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23</v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5</v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19</v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23</v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t="n">
        <v>8</v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M3318" t="n">
        <v>0</v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20</v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12</v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8</v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2</v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18</v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25</v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12</v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26</v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t="n">
        <v>13</v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M3328" t="n">
        <v>18</v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16</v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23</v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8</v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32</v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20</v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2</v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15</v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M3336" t="n">
        <v>24</v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M3337" t="n">
        <v>23</v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t="n">
        <v>7</v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M3339" t="n">
        <v>14</v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7</v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23</v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16</v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t="n">
        <v>19</v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13</v>
      </c>
      <c r="N3344" s="3" t="n">
        <v>98.98</v>
      </c>
      <c r="O3344" s="3" t="n">
        <v>19.35483870967742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17</v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28</v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t="n">
        <v>14</v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M3349" t="n">
        <v>0</v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14</v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19</v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8</v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22</v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t="n">
        <v>18</v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9</v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M3356" t="n">
        <v>0</v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14</v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6</v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27</v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19</v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t="n">
        <v>9</v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M3362" t="n">
        <v>0</v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4</v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15</v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12</v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3</v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10</v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20</v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9</v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17</v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t="n">
        <v>23</v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M3372" t="n">
        <v>30</v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16</v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29</v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16</v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33</v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18</v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4</v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17</v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M3380" t="n">
        <v>28</v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M3381" t="n">
        <v>32</v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t="n">
        <v>8</v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M3383" t="n">
        <v>22</v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9</v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23</v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30</v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t="n">
        <v>22</v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98.94</v>
      </c>
      <c r="O3388" s="3" t="n">
        <v>21.2707182320442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21</v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34</v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t="n">
        <v>18</v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M3393" t="n">
        <v>0</v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20</v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19</v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12</v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23</v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t="n">
        <v>11</v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25</v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M3400" t="n">
        <v>0</v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24</v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6</v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23</v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12</v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t="n">
        <v>4</v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M3406" t="n">
        <v>0</v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5</v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14</v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9</v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4</v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15</v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25</v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9</v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26</v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t="n">
        <v>19</v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M3416" t="n">
        <v>24</v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26</v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19</v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15</v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28</v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18</v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6</v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31</v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M3424" t="n">
        <v>22</v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M3425" t="n">
        <v>12</v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t="n">
        <v>6</v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M3427" t="n">
        <v>18</v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8</v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21</v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20</v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t="n">
        <v>18</v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99</v>
      </c>
      <c r="O3432" s="3" t="n">
        <v>22.01086956521739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14</v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38</v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t="n">
        <v>5</v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M3437" t="n">
        <v>0</v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23</v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25</v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9</v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26</v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t="n">
        <v>15</v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18</v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M3444" t="n">
        <v>0</v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20</v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5</v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M3447" t="n">
        <v>24</v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t="n">
        <v>0</v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t="n">
        <v>4</v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1</v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M3451" t="n">
        <v>0</v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12</v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18</v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4</v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18</v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30</v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14</v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22</v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t="n">
        <v>20</v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M3460" t="n">
        <v>25</v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18</v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31</v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13</v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32</v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22</v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</v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t="n">
        <v>21</v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0</v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M3469" t="n">
        <v>27</v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t="n">
        <v>10</v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t="n">
        <v>31</v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7</v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t="n">
        <v>27</v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t="n">
        <v>0</v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26</v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37</v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t="n">
        <v>8</v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M3481" t="n">
        <v>0</v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17</v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14</v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26</v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t="n">
        <v>25</v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1</v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M3488" t="n">
        <v>0</v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23</v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8</v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33</v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23</v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8</v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11</v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32</v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12</v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17</v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4</v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14</v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32</v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19</v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30</v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t="n">
        <v>10</v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M3504" t="n">
        <v>23</v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20</v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23</v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16</v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30</v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26</v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6</v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10</v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M3512" t="n">
        <v>26</v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M3513" t="n">
        <v>11</v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t="n">
        <v>8</v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t="n">
        <v>35</v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3</v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M3517" t="n">
        <v>18</v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M3518" t="n">
        <v>0</v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t="n">
        <v>22</v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20.18348623853211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29</v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M3522" t="n">
        <v>45</v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M3523" t="n">
        <v>0</v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t="n">
        <v>13</v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M3525" t="n">
        <v>0</v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19</v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7</v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16</v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28</v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t="n">
        <v>9</v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M3531" t="n">
        <v>3</v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26</v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28</v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7</v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28</v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25</v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7</v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14</v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20</v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12</v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19</v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3</v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17</v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35</v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14</v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27</v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t="n">
        <v>13</v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M3548" t="n">
        <v>24</v>
      </c>
      <c r="N3548" t="n">
        <v>98.66</v>
      </c>
      <c r="O3548" t="n">
        <v>35.41666666666667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26</v>
      </c>
      <c r="N3549" t="n">
        <v>99.31999999999999</v>
      </c>
      <c r="O3549" t="n">
        <v>30.6483300589391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20</v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15</v>
      </c>
      <c r="N3551" t="n">
        <v>96.73999999999999</v>
      </c>
      <c r="O3551" t="n">
        <v>28.67647058823529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39</v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18</v>
      </c>
      <c r="N3553" t="n">
        <v>98.2</v>
      </c>
      <c r="O3553" t="n">
        <v>27.17086834733893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9</v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26</v>
      </c>
      <c r="N3555" t="n">
        <v>96.3</v>
      </c>
      <c r="O3555" t="n">
        <v>32.21957040572792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M3556" t="n">
        <v>25</v>
      </c>
      <c r="N3556" t="n">
        <v>93.75</v>
      </c>
      <c r="O3556" t="n">
        <v>26.81992337164751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t="n">
        <v>28</v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t="n">
        <v>7</v>
      </c>
      <c r="N3558" t="n">
        <v>100</v>
      </c>
      <c r="O3558" t="n">
        <v>36.59420289855073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25</v>
      </c>
      <c r="N3559" t="n">
        <v>100</v>
      </c>
      <c r="O3559" t="n">
        <v>38.65384615384615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M3560" t="n">
        <v>0</v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22</v>
      </c>
      <c r="N3561" t="n">
        <v>97.83</v>
      </c>
      <c r="O3561" t="n">
        <v>28.35164835164835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25</v>
      </c>
      <c r="N3562" t="n">
        <v>99.26000000000001</v>
      </c>
      <c r="O3562" t="n">
        <v>29.76653696498055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t="n">
        <v>37</v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  <c r="M3564" t="n">
        <v>23</v>
      </c>
      <c r="N3564" t="n">
        <v>99.18000000000001</v>
      </c>
      <c r="O3564" t="n">
        <v>24.5014245014245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32</v>
      </c>
      <c r="N3565" t="n">
        <v>100</v>
      </c>
      <c r="O3565" t="n">
        <v>28.92156862745098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41</v>
      </c>
      <c r="N3566" t="n">
        <v>99.56999999999999</v>
      </c>
      <c r="O3566" t="n">
        <v>30.63583815028902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</v>
      </c>
      <c r="N3567" t="n">
        <v>95.65000000000001</v>
      </c>
      <c r="O3567" t="n">
        <v>32.43243243243244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t="n">
        <v>26</v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M3569" t="n">
        <v>0</v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19</v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11</v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21</v>
      </c>
      <c r="N3573" t="n">
        <v>99.15000000000001</v>
      </c>
      <c r="O3573" t="n">
        <v>27.58620689655172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t="n">
        <v>23</v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t="n">
        <v>33</v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39</v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t="n">
        <v>27</v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M3578" t="n">
        <v>0</v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47</v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25</v>
      </c>
      <c r="N3580" t="n">
        <v>95.48999999999999</v>
      </c>
      <c r="O3580" t="n">
        <v>28.37022132796781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9</v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11</v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19</v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16</v>
      </c>
      <c r="N3584" t="n">
        <v>98.84</v>
      </c>
      <c r="O3584" t="n">
        <v>31.86813186813187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18</v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9</v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28</v>
      </c>
      <c r="N3587" t="n">
        <v>98.31999999999999</v>
      </c>
      <c r="O3587" t="n">
        <v>26.85851318944844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37</v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26</v>
      </c>
      <c r="N3589" t="n">
        <v>100</v>
      </c>
      <c r="O3589" t="n">
        <v>26.36986301369863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31</v>
      </c>
      <c r="N3590" t="n">
        <v>99.20999999999999</v>
      </c>
      <c r="O3590" t="n">
        <v>25.18891687657431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t="n">
        <v>4</v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M3592" t="n">
        <v>31</v>
      </c>
      <c r="N3592" t="n">
        <v>98.66</v>
      </c>
      <c r="O3592" t="n">
        <v>35.41666666666667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31</v>
      </c>
      <c r="N3593" t="n">
        <v>99.31999999999999</v>
      </c>
      <c r="O3593" t="n">
        <v>30.6483300589391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32</v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12</v>
      </c>
      <c r="N3595" t="n">
        <v>96.73999999999999</v>
      </c>
      <c r="O3595" t="n">
        <v>28.67647058823529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37</v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27</v>
      </c>
      <c r="N3597" t="n">
        <v>98.2</v>
      </c>
      <c r="O3597" t="n">
        <v>27.17086834733893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10</v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25</v>
      </c>
      <c r="N3599" t="n">
        <v>96.3</v>
      </c>
      <c r="O3599" t="n">
        <v>32.21957040572792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M3600" t="n">
        <v>33</v>
      </c>
      <c r="N3600" t="n">
        <v>93.75</v>
      </c>
      <c r="O3600" t="n">
        <v>26.81992337164751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M3601" t="n">
        <v>21</v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t="n">
        <v>6</v>
      </c>
      <c r="N3602" t="n">
        <v>100</v>
      </c>
      <c r="O3602" t="n">
        <v>36.59420289855073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M3603" t="n">
        <v>33</v>
      </c>
      <c r="N3603" t="n">
        <v>100</v>
      </c>
      <c r="O3603" t="n">
        <v>38.65384615384615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5</v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24</v>
      </c>
      <c r="N3605" t="n">
        <v>97.83</v>
      </c>
      <c r="O3605" t="n">
        <v>28.35164835164835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26</v>
      </c>
      <c r="N3606" t="n">
        <v>99.26000000000001</v>
      </c>
      <c r="O3606" t="n">
        <v>29.76653696498055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t="n">
        <v>29</v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  <c r="M3608" t="n">
        <v>30</v>
      </c>
      <c r="N3608" t="n">
        <v>99.34999999999999</v>
      </c>
      <c r="O3608" t="n">
        <v>19.85294117647059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30</v>
      </c>
      <c r="N3609" t="n">
        <v>100</v>
      </c>
      <c r="O3609" t="n">
        <v>28.92156862745098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49</v>
      </c>
      <c r="N3610" t="n">
        <v>99.56999999999999</v>
      </c>
      <c r="O3610" t="n">
        <v>30.63583815028902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10</v>
      </c>
      <c r="N3611" t="n">
        <v>95.65000000000001</v>
      </c>
      <c r="O3611" t="n">
        <v>32.43243243243244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t="n">
        <v>15</v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M3613" t="n">
        <v>0</v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20</v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6</v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19</v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35</v>
      </c>
      <c r="N3617" t="n">
        <v>99.15000000000001</v>
      </c>
      <c r="O3617" t="n">
        <v>27.58620689655172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t="n">
        <v>20</v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M3619" t="n">
        <v>39</v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27</v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28</v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7</v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37</v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29</v>
      </c>
      <c r="N3624" t="n">
        <v>95.48999999999999</v>
      </c>
      <c r="O3624" t="n">
        <v>28.37022132796781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11</v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16</v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15</v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18</v>
      </c>
      <c r="N3628" t="n">
        <v>98.84</v>
      </c>
      <c r="O3628" t="n">
        <v>31.86813186813187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15</v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3</v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23</v>
      </c>
      <c r="N3631" t="n">
        <v>98.31999999999999</v>
      </c>
      <c r="O3631" t="n">
        <v>26.85851318944844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35</v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17</v>
      </c>
      <c r="N3633" t="n">
        <v>100</v>
      </c>
      <c r="O3633" t="n">
        <v>26.36986301369863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M3634" t="n">
        <v>28</v>
      </c>
      <c r="N3634" t="n">
        <v>99.20999999999999</v>
      </c>
      <c r="O3634" t="n">
        <v>25.18891687657431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98.66</v>
      </c>
      <c r="O3636" t="n">
        <v>35.41666666666667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99.31999999999999</v>
      </c>
      <c r="O3637" t="n">
        <v>30.6483300589391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96.73999999999999</v>
      </c>
      <c r="O3639" t="n">
        <v>28.67647058823529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98.2</v>
      </c>
      <c r="O3641" t="n">
        <v>27.17086834733893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96.3</v>
      </c>
      <c r="O3643" t="n">
        <v>32.21957040572792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93.75</v>
      </c>
      <c r="O3644" t="n">
        <v>26.81992337164751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36.59420289855073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38.65384615384615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97.83</v>
      </c>
      <c r="O3649" t="n">
        <v>28.35164835164835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99.26000000000001</v>
      </c>
      <c r="O3650" t="n">
        <v>29.76653696498055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t="n">
        <v>0</v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20</v>
      </c>
      <c r="N3652" t="n">
        <v>99.06999999999999</v>
      </c>
      <c r="O3652" t="n">
        <v>20.09803921568627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100</v>
      </c>
      <c r="O3653" t="n">
        <v>28.92156862745098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99.56999999999999</v>
      </c>
      <c r="O3654" t="n">
        <v>30.63583815028902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95.65000000000001</v>
      </c>
      <c r="O3655" t="n">
        <v>32.43243243243244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0</v>
      </c>
      <c r="N3661" t="n">
        <v>99.15000000000001</v>
      </c>
      <c r="O3661" t="n">
        <v>27.58620689655172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10</v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95.48999999999999</v>
      </c>
      <c r="O3668" t="n">
        <v>28.37022132796781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98.84</v>
      </c>
      <c r="O3672" t="n">
        <v>31.86813186813187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98.31999999999999</v>
      </c>
      <c r="O3675" t="n">
        <v>26.85851318944844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100</v>
      </c>
      <c r="O3677" t="n">
        <v>26.36986301369863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M3678" t="n">
        <v>0</v>
      </c>
      <c r="N3678" t="n">
        <v>99.20999999999999</v>
      </c>
      <c r="O3678" t="n">
        <v>25.18891687657431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t="n">
        <v>14</v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M3680" t="n">
        <v>32</v>
      </c>
      <c r="N3680" t="n">
        <v>98.66</v>
      </c>
      <c r="O3680" t="n">
        <v>35.41666666666667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31</v>
      </c>
      <c r="N3681" t="n">
        <v>99.31999999999999</v>
      </c>
      <c r="O3681" t="n">
        <v>30.6483300589391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40</v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20</v>
      </c>
      <c r="N3683" t="n">
        <v>96.73999999999999</v>
      </c>
      <c r="O3683" t="n">
        <v>28.67647058823529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38</v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28</v>
      </c>
      <c r="N3685" t="n">
        <v>98.2</v>
      </c>
      <c r="O3685" t="n">
        <v>27.17086834733893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11</v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32</v>
      </c>
      <c r="N3687" t="n">
        <v>96.3</v>
      </c>
      <c r="O3687" t="n">
        <v>32.21957040572792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M3688" t="n">
        <v>35</v>
      </c>
      <c r="N3688" t="n">
        <v>93.75</v>
      </c>
      <c r="O3688" t="n">
        <v>26.81992337164751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M3689" t="n">
        <v>28</v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t="n">
        <v>12</v>
      </c>
      <c r="N3690" t="n">
        <v>100</v>
      </c>
      <c r="O3690" t="n">
        <v>36.59420289855073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M3691" t="n">
        <v>35</v>
      </c>
      <c r="N3691" t="n">
        <v>100</v>
      </c>
      <c r="O3691" t="n">
        <v>38.65384615384615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8</v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31</v>
      </c>
      <c r="N3693" t="n">
        <v>97.83</v>
      </c>
      <c r="O3693" t="n">
        <v>28.35164835164835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99.26000000000001</v>
      </c>
      <c r="O3694" t="n">
        <v>29.76653696498055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t="n">
        <v>29</v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98.81</v>
      </c>
      <c r="O3696" t="n">
        <v>22.76785714285714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M3697" t="n">
        <v>0</v>
      </c>
      <c r="N3697" t="n">
        <v>100</v>
      </c>
      <c r="O3697" t="n">
        <v>28.92156862745098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M3698" t="n">
        <v>44</v>
      </c>
      <c r="N3698" t="n">
        <v>99.56999999999999</v>
      </c>
      <c r="O3698" t="n">
        <v>30.63583815028902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M3699" t="n">
        <v>0</v>
      </c>
      <c r="N3699" t="n">
        <v>95.65000000000001</v>
      </c>
      <c r="O3699" t="n">
        <v>32.43243243243244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t="n">
        <v>14</v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M3701" t="n">
        <v>0</v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17</v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11</v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12</v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29</v>
      </c>
      <c r="N3705" t="n">
        <v>99.15000000000001</v>
      </c>
      <c r="O3705" t="n">
        <v>27.58620689655172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t="n">
        <v>10</v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31</v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M3708" t="n">
        <v>0</v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21</v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9</v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41</v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20</v>
      </c>
      <c r="N3712" t="n">
        <v>95.48999999999999</v>
      </c>
      <c r="O3712" t="n">
        <v>28.37022132796781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4</v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16</v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24</v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18</v>
      </c>
      <c r="N3716" t="n">
        <v>98.84</v>
      </c>
      <c r="O3716" t="n">
        <v>31.86813186813187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21</v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4</v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16</v>
      </c>
      <c r="N3719" t="n">
        <v>98.31999999999999</v>
      </c>
      <c r="O3719" t="n">
        <v>26.85851318944844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33</v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14</v>
      </c>
      <c r="N3721" t="n">
        <v>100</v>
      </c>
      <c r="O3721" t="n">
        <v>26.36986301369863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24</v>
      </c>
      <c r="N3722" t="n">
        <v>99.20999999999999</v>
      </c>
      <c r="O3722" t="n">
        <v>25.18891687657431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t="n">
        <v>3</v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M3724" t="n">
        <v>28</v>
      </c>
      <c r="N3724" t="n">
        <v>98.66</v>
      </c>
      <c r="O3724" t="n">
        <v>35.41666666666667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34</v>
      </c>
      <c r="N3725" t="n">
        <v>99.31999999999999</v>
      </c>
      <c r="O3725" t="n">
        <v>30.6483300589391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27</v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20</v>
      </c>
      <c r="N3727" t="n">
        <v>96.73999999999999</v>
      </c>
      <c r="O3727" t="n">
        <v>28.67647058823529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38</v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30</v>
      </c>
      <c r="N3729" t="n">
        <v>98.2</v>
      </c>
      <c r="O3729" t="n">
        <v>27.17086834733893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10</v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20</v>
      </c>
      <c r="N3731" t="n">
        <v>96.3</v>
      </c>
      <c r="O3731" t="n">
        <v>32.21957040572792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M3732" t="n">
        <v>37</v>
      </c>
      <c r="N3732" t="n">
        <v>93.75</v>
      </c>
      <c r="O3732" t="n">
        <v>26.81992337164751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M3733" t="n">
        <v>23</v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t="n">
        <v>23</v>
      </c>
      <c r="N3734" t="n">
        <v>100</v>
      </c>
      <c r="O3734" t="n">
        <v>36.59420289855073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M3735" t="n">
        <v>29</v>
      </c>
      <c r="N3735" t="n">
        <v>100</v>
      </c>
      <c r="O3735" t="n">
        <v>38.65384615384615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5</v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19</v>
      </c>
      <c r="N3737" t="n">
        <v>97.83</v>
      </c>
      <c r="O3737" t="n">
        <v>28.35164835164835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29</v>
      </c>
      <c r="N3738" t="n">
        <v>99.26000000000001</v>
      </c>
      <c r="O3738" t="n">
        <v>29.76653696498055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t="n">
        <v>24</v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17</v>
      </c>
      <c r="N3740" t="n">
        <v>99.01000000000001</v>
      </c>
      <c r="O3740" t="n">
        <v>17.76649746192894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M3741" t="n">
        <v>0</v>
      </c>
      <c r="N3741" t="n">
        <v>100</v>
      </c>
      <c r="O3741" t="n">
        <v>28.92156862745098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M3742" t="n">
        <v>48</v>
      </c>
      <c r="N3742" t="n">
        <v>99.56999999999999</v>
      </c>
      <c r="O3742" t="n">
        <v>30.63583815028902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M3743" t="n">
        <v>0</v>
      </c>
      <c r="N3743" t="n">
        <v>95.65000000000001</v>
      </c>
      <c r="O3743" t="n">
        <v>32.43243243243244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t="n">
        <v>20</v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M3745" t="n">
        <v>0</v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22</v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23</v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13</v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25</v>
      </c>
      <c r="N3749" t="n">
        <v>99.15000000000001</v>
      </c>
      <c r="O3749" t="n">
        <v>27.58620689655172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t="n">
        <v>26</v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M3751" t="n">
        <v>33</v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21</v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11</v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7</v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40</v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27</v>
      </c>
      <c r="N3756" t="n">
        <v>95.48999999999999</v>
      </c>
      <c r="O3756" t="n">
        <v>28.37022132796781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9</v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12</v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18</v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15</v>
      </c>
      <c r="N3760" t="n">
        <v>98.84</v>
      </c>
      <c r="O3760" t="n">
        <v>31.86813186813187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13</v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5</v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28</v>
      </c>
      <c r="N3763" t="n">
        <v>98.31999999999999</v>
      </c>
      <c r="O3763" t="n">
        <v>26.85851318944844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31</v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20</v>
      </c>
      <c r="N3765" t="n">
        <v>100</v>
      </c>
      <c r="O3765" t="n">
        <v>26.36986301369863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26</v>
      </c>
      <c r="N3766" t="n">
        <v>99.20999999999999</v>
      </c>
      <c r="O3766" t="n">
        <v>25.18891687657431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t="n">
        <v>15</v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M3768" t="n">
        <v>26</v>
      </c>
      <c r="N3768" t="n">
        <v>98.66</v>
      </c>
      <c r="O3768" t="n">
        <v>35.41666666666667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32</v>
      </c>
      <c r="N3769" t="n">
        <v>99.31999999999999</v>
      </c>
      <c r="O3769" t="n">
        <v>30.6483300589391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31</v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13</v>
      </c>
      <c r="N3771" t="n">
        <v>96.73999999999999</v>
      </c>
      <c r="O3771" t="n">
        <v>28.67647058823529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29</v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18</v>
      </c>
      <c r="N3773" t="n">
        <v>98.2</v>
      </c>
      <c r="O3773" t="n">
        <v>27.17086834733893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4</v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30</v>
      </c>
      <c r="N3775" t="n">
        <v>96.3</v>
      </c>
      <c r="O3775" t="n">
        <v>32.21957040572792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M3776" t="n">
        <v>17</v>
      </c>
      <c r="N3776" t="n">
        <v>93.75</v>
      </c>
      <c r="O3776" t="n">
        <v>26.81992337164751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M3777" t="n">
        <v>31</v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t="n">
        <v>19</v>
      </c>
      <c r="N3778" t="n">
        <v>100</v>
      </c>
      <c r="O3778" t="n">
        <v>36.59420289855073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M3779" t="n">
        <v>39</v>
      </c>
      <c r="N3779" t="n">
        <v>100</v>
      </c>
      <c r="O3779" t="n">
        <v>38.65384615384615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</v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25</v>
      </c>
      <c r="N3781" t="n">
        <v>97.83</v>
      </c>
      <c r="O3781" t="n">
        <v>28.35164835164835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23</v>
      </c>
      <c r="N3782" t="n">
        <v>99.26000000000001</v>
      </c>
      <c r="O3782" t="n">
        <v>29.76653696498055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t="n">
        <v>28</v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17.24137931034483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M3785" t="n">
        <v>0</v>
      </c>
      <c r="N3785" t="n">
        <v>100</v>
      </c>
      <c r="O3785" t="n">
        <v>28.92156862745098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M3786" t="n">
        <v>37</v>
      </c>
      <c r="N3786" t="n">
        <v>99.56999999999999</v>
      </c>
      <c r="O3786" t="n">
        <v>30.63583815028902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M3787" t="n">
        <v>0</v>
      </c>
      <c r="N3787" t="n">
        <v>95.65000000000001</v>
      </c>
      <c r="O3787" t="n">
        <v>32.43243243243244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t="n">
        <v>24</v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M3789" t="n">
        <v>0</v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14</v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18</v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13</v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28</v>
      </c>
      <c r="N3793" t="n">
        <v>99.15000000000001</v>
      </c>
      <c r="O3793" t="n">
        <v>27.58620689655172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t="n">
        <v>13</v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t="n">
        <v>23</v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21</v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t="n">
        <v>28</v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M3798" t="n">
        <v>0</v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20</v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32</v>
      </c>
      <c r="N3800" t="n">
        <v>95.48999999999999</v>
      </c>
      <c r="O3800" t="n">
        <v>28.37022132796781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</v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23</v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8</v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13</v>
      </c>
      <c r="N3804" t="n">
        <v>98.84</v>
      </c>
      <c r="O3804" t="n">
        <v>31.86813186813187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18</v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7</v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25</v>
      </c>
      <c r="N3807" t="n">
        <v>98.31999999999999</v>
      </c>
      <c r="O3807" t="n">
        <v>26.85851318944844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30</v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16</v>
      </c>
      <c r="N3809" t="n">
        <v>100</v>
      </c>
      <c r="O3809" t="n">
        <v>26.36986301369863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21</v>
      </c>
      <c r="N3810" t="n">
        <v>99.20999999999999</v>
      </c>
      <c r="O3810" t="n">
        <v>25.18891687657431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t="n">
        <v>11</v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M3812" t="n">
        <v>15</v>
      </c>
      <c r="N3812" t="n">
        <v>98.66</v>
      </c>
      <c r="O3812" t="n">
        <v>35.41666666666667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20</v>
      </c>
      <c r="N3813" t="n">
        <v>99.31999999999999</v>
      </c>
      <c r="O3813" t="n">
        <v>30.6483300589391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25</v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17</v>
      </c>
      <c r="N3815" t="n">
        <v>96.73999999999999</v>
      </c>
      <c r="O3815" t="n">
        <v>28.67647058823529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32</v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19</v>
      </c>
      <c r="N3817" t="n">
        <v>98.2</v>
      </c>
      <c r="O3817" t="n">
        <v>27.17086834733893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6</v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20</v>
      </c>
      <c r="N3819" t="n">
        <v>96.3</v>
      </c>
      <c r="O3819" t="n">
        <v>32.21957040572792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M3820" t="n">
        <v>16</v>
      </c>
      <c r="N3820" t="n">
        <v>93.75</v>
      </c>
      <c r="O3820" t="n">
        <v>26.81992337164751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M3821" t="n">
        <v>17</v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t="n">
        <v>15</v>
      </c>
      <c r="N3822" t="n">
        <v>100</v>
      </c>
      <c r="O3822" t="n">
        <v>36.59420289855073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M3823" t="n">
        <v>28</v>
      </c>
      <c r="N3823" t="n">
        <v>100</v>
      </c>
      <c r="O3823" t="n">
        <v>38.65384615384615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5</v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19</v>
      </c>
      <c r="N3825" t="n">
        <v>97.83</v>
      </c>
      <c r="O3825" t="n">
        <v>28.35164835164835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20</v>
      </c>
      <c r="N3826" t="n">
        <v>99.26000000000001</v>
      </c>
      <c r="O3826" t="n">
        <v>29.76653696498055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t="n">
        <v>17</v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23</v>
      </c>
      <c r="N3828" t="n">
        <v>98.98</v>
      </c>
      <c r="O3828" t="n">
        <v>19.35483870967742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M3829" t="n">
        <v>0</v>
      </c>
      <c r="N3829" t="n">
        <v>100</v>
      </c>
      <c r="O3829" t="n">
        <v>28.92156862745098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M3830" t="n">
        <v>29</v>
      </c>
      <c r="N3830" t="n">
        <v>99.56999999999999</v>
      </c>
      <c r="O3830" t="n">
        <v>30.63583815028902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M3831" t="n">
        <v>0</v>
      </c>
      <c r="N3831" t="n">
        <v>95.65000000000001</v>
      </c>
      <c r="O3831" t="n">
        <v>32.43243243243244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t="n">
        <v>19</v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M3833" t="n">
        <v>0</v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24</v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16</v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11</v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8</v>
      </c>
      <c r="N3837" t="n">
        <v>99.15000000000001</v>
      </c>
      <c r="O3837" t="n">
        <v>27.58620689655172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t="n">
        <v>28</v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M3839" t="n">
        <v>16</v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17</v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23</v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6</v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28</v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27</v>
      </c>
      <c r="N3844" t="n">
        <v>95.48999999999999</v>
      </c>
      <c r="O3844" t="n">
        <v>28.37022132796781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8</v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12</v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22</v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12</v>
      </c>
      <c r="N3848" t="n">
        <v>98.84</v>
      </c>
      <c r="O3848" t="n">
        <v>31.86813186813187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18</v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4</v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24</v>
      </c>
      <c r="N3851" t="n">
        <v>98.31999999999999</v>
      </c>
      <c r="O3851" t="n">
        <v>26.85851318944844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30</v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17</v>
      </c>
      <c r="N3853" t="n">
        <v>100</v>
      </c>
      <c r="O3853" t="n">
        <v>26.36986301369863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23</v>
      </c>
      <c r="N3854" t="n">
        <v>99.20999999999999</v>
      </c>
      <c r="O3854" t="n">
        <v>25.18891687657431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t="n">
        <v>10</v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M3856" t="n">
        <v>14</v>
      </c>
      <c r="N3856" t="n">
        <v>98.66</v>
      </c>
      <c r="O3856" t="n">
        <v>35.41666666666667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32</v>
      </c>
      <c r="N3857" t="n">
        <v>99.31999999999999</v>
      </c>
      <c r="O3857" t="n">
        <v>30.6483300589391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30</v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12</v>
      </c>
      <c r="N3859" t="n">
        <v>96.73999999999999</v>
      </c>
      <c r="O3859" t="n">
        <v>28.67647058823529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30</v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18</v>
      </c>
      <c r="N3861" t="n">
        <v>98.2</v>
      </c>
      <c r="O3861" t="n">
        <v>27.17086834733893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5</v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29</v>
      </c>
      <c r="N3863" t="n">
        <v>96.3</v>
      </c>
      <c r="O3863" t="n">
        <v>32.21957040572792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M3864" t="n">
        <v>20</v>
      </c>
      <c r="N3864" t="n">
        <v>93.75</v>
      </c>
      <c r="O3864" t="n">
        <v>26.81992337164751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M3865" t="n">
        <v>28</v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t="n">
        <v>13</v>
      </c>
      <c r="N3866" t="n">
        <v>100</v>
      </c>
      <c r="O3866" t="n">
        <v>36.59420289855073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M3867" t="n">
        <v>27</v>
      </c>
      <c r="N3867" t="n">
        <v>100</v>
      </c>
      <c r="O3867" t="n">
        <v>38.65384615384615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3</v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22</v>
      </c>
      <c r="N3869" t="n">
        <v>97.83</v>
      </c>
      <c r="O3869" t="n">
        <v>28.35164835164835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32</v>
      </c>
      <c r="N3870" t="n">
        <v>99.26000000000001</v>
      </c>
      <c r="O3870" t="n">
        <v>29.76653696498055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t="n">
        <v>14</v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17</v>
      </c>
      <c r="N3872" t="n">
        <v>98.94</v>
      </c>
      <c r="O3872" t="n">
        <v>21.2707182320442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M3873" t="n">
        <v>1</v>
      </c>
      <c r="N3873" t="n">
        <v>100</v>
      </c>
      <c r="O3873" t="n">
        <v>28.92156862745098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M3874" t="n">
        <v>31</v>
      </c>
      <c r="N3874" t="n">
        <v>99.56999999999999</v>
      </c>
      <c r="O3874" t="n">
        <v>30.63583815028902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M3875" t="n">
        <v>0</v>
      </c>
      <c r="N3875" t="n">
        <v>95.65000000000001</v>
      </c>
      <c r="O3875" t="n">
        <v>32.43243243243244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t="n">
        <v>16</v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M3877" t="n">
        <v>0</v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15</v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14</v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8</v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26</v>
      </c>
      <c r="N3881" t="n">
        <v>99.15000000000001</v>
      </c>
      <c r="O3881" t="n">
        <v>27.58620689655172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t="n">
        <v>16</v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M3883" t="n">
        <v>8</v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28</v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21</v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15</v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19</v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22</v>
      </c>
      <c r="N3888" t="n">
        <v>95.48999999999999</v>
      </c>
      <c r="O3888" t="n">
        <v>28.37022132796781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10</v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20</v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16</v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11</v>
      </c>
      <c r="N3892" t="n">
        <v>98.84</v>
      </c>
      <c r="O3892" t="n">
        <v>31.86813186813187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18</v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6</v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19</v>
      </c>
      <c r="N3895" t="n">
        <v>98.31999999999999</v>
      </c>
      <c r="O3895" t="n">
        <v>26.85851318944844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32</v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12</v>
      </c>
      <c r="N3897" t="n">
        <v>100</v>
      </c>
      <c r="O3897" t="n">
        <v>26.36986301369863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11</v>
      </c>
      <c r="N3898" t="n">
        <v>99.20999999999999</v>
      </c>
      <c r="O3898" t="n">
        <v>25.18891687657431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t="n">
        <v>9</v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M3900" t="n">
        <v>19</v>
      </c>
      <c r="N3900" t="n">
        <v>98.66</v>
      </c>
      <c r="O3900" t="n">
        <v>35.41666666666667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20</v>
      </c>
      <c r="N3901" t="n">
        <v>99.31999999999999</v>
      </c>
      <c r="O3901" t="n">
        <v>30.6483300589391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14</v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22</v>
      </c>
      <c r="N3903" t="n">
        <v>96.73999999999999</v>
      </c>
      <c r="O3903" t="n">
        <v>28.67647058823529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23</v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11</v>
      </c>
      <c r="N3905" t="n">
        <v>98.2</v>
      </c>
      <c r="O3905" t="n">
        <v>27.17086834733893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8</v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24</v>
      </c>
      <c r="N3907" t="n">
        <v>96.3</v>
      </c>
      <c r="O3907" t="n">
        <v>32.21957040572792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M3908" t="n">
        <v>29</v>
      </c>
      <c r="N3908" t="n">
        <v>93.75</v>
      </c>
      <c r="O3908" t="n">
        <v>26.81992337164751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M3909" t="n">
        <v>17</v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t="n">
        <v>9</v>
      </c>
      <c r="N3910" t="n">
        <v>100</v>
      </c>
      <c r="O3910" t="n">
        <v>36.59420289855073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M3911" t="n">
        <v>24</v>
      </c>
      <c r="N3911" t="n">
        <v>100</v>
      </c>
      <c r="O3911" t="n">
        <v>38.65384615384615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3</v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23</v>
      </c>
      <c r="N3913" t="n">
        <v>97.83</v>
      </c>
      <c r="O3913" t="n">
        <v>28.35164835164835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29</v>
      </c>
      <c r="N3914" t="n">
        <v>99.26000000000001</v>
      </c>
      <c r="O3914" t="n">
        <v>29.76653696498055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t="n">
        <v>15</v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18</v>
      </c>
      <c r="N3916" t="n">
        <v>99</v>
      </c>
      <c r="O3916" t="n">
        <v>22.01086956521739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M3917" t="n">
        <v>0</v>
      </c>
      <c r="N3917" t="n">
        <v>100</v>
      </c>
      <c r="O3917" t="n">
        <v>28.92156862745098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M3918" t="n">
        <v>37</v>
      </c>
      <c r="N3918" t="n">
        <v>99.56999999999999</v>
      </c>
      <c r="O3918" t="n">
        <v>30.63583815028902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M3919" t="n">
        <v>0</v>
      </c>
      <c r="N3919" t="n">
        <v>95.65000000000001</v>
      </c>
      <c r="O3919" t="n">
        <v>32.43243243243244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t="n">
        <v>18</v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M3921" t="n">
        <v>0</v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24</v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18</v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14</v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99.15000000000001</v>
      </c>
      <c r="O3925" t="n">
        <v>27.58620689655172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t="n">
        <v>17</v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t="n">
        <v>0</v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25</v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t="n">
        <v>24</v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M3930" t="n">
        <v>0</v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19</v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29</v>
      </c>
      <c r="N3932" t="n">
        <v>95.48999999999999</v>
      </c>
      <c r="O3932" t="n">
        <v>28.37022132796781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7</v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17</v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20</v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13</v>
      </c>
      <c r="N3936" t="n">
        <v>98.84</v>
      </c>
      <c r="O3936" t="n">
        <v>31.86813186813187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18</v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3</v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18</v>
      </c>
      <c r="N3939" t="n">
        <v>98.31999999999999</v>
      </c>
      <c r="O3939" t="n">
        <v>26.85851318944844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16</v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12</v>
      </c>
      <c r="N3941" t="n">
        <v>100</v>
      </c>
      <c r="O3941" t="n">
        <v>26.36986301369863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18</v>
      </c>
      <c r="N3942" t="n">
        <v>99.20999999999999</v>
      </c>
      <c r="O3942" t="n">
        <v>25.18891687657431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t="n">
        <v>8</v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M3944" t="n">
        <v>19</v>
      </c>
      <c r="N3944" t="n">
        <v>98.66</v>
      </c>
      <c r="O3944" t="n">
        <v>35.41666666666667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19</v>
      </c>
      <c r="N3945" t="n">
        <v>99.31999999999999</v>
      </c>
      <c r="O3945" t="n">
        <v>30.6483300589391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30</v>
      </c>
      <c r="N3947" t="n">
        <v>96.73999999999999</v>
      </c>
      <c r="O3947" t="n">
        <v>28.67647058823529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35</v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17</v>
      </c>
      <c r="N3949" t="n">
        <v>98.2</v>
      </c>
      <c r="O3949" t="n">
        <v>27.17086834733893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5</v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23</v>
      </c>
      <c r="N3951" t="n">
        <v>96.3</v>
      </c>
      <c r="O3951" t="n">
        <v>32.21957040572792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M3952" t="n">
        <v>36</v>
      </c>
      <c r="N3952" t="n">
        <v>93.75</v>
      </c>
      <c r="O3952" t="n">
        <v>26.81992337164751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M3953" t="n">
        <v>20</v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t="n">
        <v>15</v>
      </c>
      <c r="N3954" t="n">
        <v>100</v>
      </c>
      <c r="O3954" t="n">
        <v>36.59420289855073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M3955" t="n">
        <v>23</v>
      </c>
      <c r="N3955" t="n">
        <v>100</v>
      </c>
      <c r="O3955" t="n">
        <v>38.65384615384615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6</v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16</v>
      </c>
      <c r="N3957" t="n">
        <v>97.83</v>
      </c>
      <c r="O3957" t="n">
        <v>28.35164835164835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31</v>
      </c>
      <c r="N3958" t="n">
        <v>99.26000000000001</v>
      </c>
      <c r="O3958" t="n">
        <v>29.76653696498055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t="n">
        <v>27</v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16</v>
      </c>
      <c r="N3960" t="n">
        <v>100</v>
      </c>
      <c r="O3960" t="n">
        <v>25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M3961" t="n">
        <v>0</v>
      </c>
      <c r="N3961" t="n">
        <v>100</v>
      </c>
      <c r="O3961" t="n">
        <v>28.92156862745098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M3962" t="n">
        <v>33</v>
      </c>
      <c r="N3962" t="n">
        <v>99.56999999999999</v>
      </c>
      <c r="O3962" t="n">
        <v>30.63583815028902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M3963" t="n">
        <v>0</v>
      </c>
      <c r="N3963" t="n">
        <v>95.65000000000001</v>
      </c>
      <c r="O3963" t="n">
        <v>32.43243243243244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t="n">
        <v>10</v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M3965" t="n">
        <v>0</v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21</v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23</v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10</v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25</v>
      </c>
      <c r="N3969" t="n">
        <v>99.15000000000001</v>
      </c>
      <c r="O3969" t="n">
        <v>27.58620689655172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t="n">
        <v>16</v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M3971" t="n">
        <v>0</v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20</v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18</v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7</v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31</v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t="n">
        <v>3</v>
      </c>
      <c r="N3976" t="n">
        <v>95.48999999999999</v>
      </c>
      <c r="O3976" t="n">
        <v>28.37022132796781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M3977" t="n">
        <v>0</v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20</v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22</v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19</v>
      </c>
      <c r="N3980" t="n">
        <v>98.84</v>
      </c>
      <c r="O3980" t="n">
        <v>31.86813186813187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t="n">
        <v>15</v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M3982" t="n">
        <v>0</v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26</v>
      </c>
      <c r="N3983" t="n">
        <v>98.31999999999999</v>
      </c>
      <c r="O3983" t="n">
        <v>26.85851318944844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29</v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17</v>
      </c>
      <c r="N3985" t="n">
        <v>100</v>
      </c>
      <c r="O3985" t="n">
        <v>26.36986301369863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21</v>
      </c>
      <c r="N3986" t="n">
        <v>99.20999999999999</v>
      </c>
      <c r="O3986" t="n">
        <v>25.18891687657431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t="n">
        <v>12</v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M3988" t="n">
        <v>30</v>
      </c>
      <c r="N3988" t="n">
        <v>98.66</v>
      </c>
      <c r="O3988" t="n">
        <v>35.41666666666667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32</v>
      </c>
      <c r="N3989" t="n">
        <v>99.31999999999999</v>
      </c>
      <c r="O3989" t="n">
        <v>30.6483300589391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29</v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30</v>
      </c>
      <c r="N3991" t="n">
        <v>96.73999999999999</v>
      </c>
      <c r="O3991" t="n">
        <v>28.67647058823529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37</v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17</v>
      </c>
      <c r="N3993" t="n">
        <v>98.2</v>
      </c>
      <c r="O3993" t="n">
        <v>27.17086834733893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6</v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24</v>
      </c>
      <c r="N3995" t="n">
        <v>96.3</v>
      </c>
      <c r="O3995" t="n">
        <v>32.21957040572792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M3996" t="n">
        <v>39</v>
      </c>
      <c r="N3996" t="n">
        <v>93.75</v>
      </c>
      <c r="O3996" t="n">
        <v>26.81992337164751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M3997" t="n">
        <v>23</v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t="n">
        <v>16</v>
      </c>
      <c r="N3998" t="n">
        <v>100</v>
      </c>
      <c r="O3998" t="n">
        <v>36.59420289855073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M3999" t="n">
        <v>32</v>
      </c>
      <c r="N3999" t="n">
        <v>100</v>
      </c>
      <c r="O3999" t="n">
        <v>38.65384615384615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6</v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20</v>
      </c>
      <c r="N4001" t="n">
        <v>97.83</v>
      </c>
      <c r="O4001" t="n">
        <v>28.35164835164835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28</v>
      </c>
      <c r="N4002" t="n">
        <v>99.26000000000001</v>
      </c>
      <c r="O4002" t="n">
        <v>29.76653696498055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t="n">
        <v>27</v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20.18348623853211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M4005" t="n">
        <v>0</v>
      </c>
      <c r="N4005" t="n">
        <v>100</v>
      </c>
      <c r="O4005" t="n">
        <v>28.92156862745098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M4006" t="n">
        <v>37</v>
      </c>
      <c r="N4006" t="n">
        <v>99.56999999999999</v>
      </c>
      <c r="O4006" t="n">
        <v>30.63583815028902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M4007" t="n">
        <v>0</v>
      </c>
      <c r="N4007" t="n">
        <v>95.65000000000001</v>
      </c>
      <c r="O4007" t="n">
        <v>32.43243243243244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M4008" t="n">
        <v>23</v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M4009" t="n">
        <v>0</v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t="n">
        <v>23</v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M4011" t="n">
        <v>44</v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12</v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25</v>
      </c>
      <c r="N4013" t="n">
        <v>99.15000000000001</v>
      </c>
      <c r="O4013" t="n">
        <v>27.58620689655172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t="n">
        <v>32</v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M4015" t="n">
        <v>0</v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27</v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17</v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6</v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39</v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51</v>
      </c>
      <c r="N4020" t="n">
        <v>95.48999999999999</v>
      </c>
      <c r="O4020" t="n">
        <v>28.37022132796781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15</v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18</v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22</v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98.84</v>
      </c>
      <c r="O4024" t="n">
        <v>31.86813186813187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21</v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10</v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21</v>
      </c>
      <c r="N4027" t="n">
        <v>98.31999999999999</v>
      </c>
      <c r="O4027" t="n">
        <v>26.85851318944844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22</v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11</v>
      </c>
      <c r="N4029" t="n">
        <v>100</v>
      </c>
      <c r="O4029" t="n">
        <v>26.36986301369863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28</v>
      </c>
      <c r="N4030" t="n">
        <v>99.20999999999999</v>
      </c>
      <c r="O4030" t="n">
        <v>25.18891687657431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t="n">
        <v>11</v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M4032" t="n">
        <v>21</v>
      </c>
      <c r="N4032" t="n">
        <v>98.66</v>
      </c>
      <c r="O4032" t="n">
        <v>35.41666666666667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24</v>
      </c>
      <c r="N4033" t="n">
        <v>99.31999999999999</v>
      </c>
      <c r="O4033" t="n">
        <v>30.6483300589391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23</v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25</v>
      </c>
      <c r="N4035" t="n">
        <v>96.73999999999999</v>
      </c>
      <c r="O4035" t="n">
        <v>28.67647058823529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43</v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26</v>
      </c>
      <c r="N4037" t="n">
        <v>98.2</v>
      </c>
      <c r="O4037" t="n">
        <v>27.17086834733893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7</v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11</v>
      </c>
      <c r="N4039" t="n">
        <v>96.3</v>
      </c>
      <c r="O4039" t="n">
        <v>32.21957040572792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M4040" t="n">
        <v>26</v>
      </c>
      <c r="N4040" t="n">
        <v>93.75</v>
      </c>
      <c r="O4040" t="n">
        <v>26.81992337164751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M4041" t="n">
        <v>29</v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t="n">
        <v>23</v>
      </c>
      <c r="N4042" t="n">
        <v>100</v>
      </c>
      <c r="O4042" t="n">
        <v>36.59420289855073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M4043" t="n">
        <v>12</v>
      </c>
      <c r="N4043" t="n">
        <v>100</v>
      </c>
      <c r="O4043" t="n">
        <v>38.65384615384615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3</v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24</v>
      </c>
      <c r="N4045" t="n">
        <v>97.83</v>
      </c>
      <c r="O4045" t="n">
        <v>28.35164835164835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99.26000000000001</v>
      </c>
      <c r="O4046" t="n">
        <v>29.76653696498055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t="n">
        <v>22</v>
      </c>
      <c r="N4047" t="n">
        <v>99.19</v>
      </c>
      <c r="O4047" t="n">
        <v>29.46236559139785</v>
      </c>
    </row>
    <row r="4048">
      <c r="A4048" s="5" t="n">
        <v>46148</v>
      </c>
      <c r="B4048" s="6" t="inlineStr">
        <is>
          <t>Emilly Kamilly Medeiros Miranda</t>
        </is>
      </c>
      <c r="C4048" s="3" t="inlineStr">
        <is>
          <t>Técnico II</t>
        </is>
      </c>
      <c r="D4048" s="3" t="n">
        <v>15</v>
      </c>
      <c r="E4048" s="3" t="n">
        <v>14</v>
      </c>
      <c r="F4048" s="9" t="n">
        <v>17.31</v>
      </c>
      <c r="G4048" s="3" t="n">
        <v>9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IF(K4048&lt;-5,"CRÍTICO",IF(K4048&lt;0,"ATENÇÃO",IF(K4048&lt;=5,"BOM","EXCELENTE")))</f>
        <v/>
      </c>
      <c r="M4048" s="3" t="n">
        <v>22</v>
      </c>
      <c r="N4048" s="3" t="n">
        <v>99.01000000000001</v>
      </c>
      <c r="O4048" s="3" t="n">
        <v>17.76649746192894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M4049" t="n">
        <v>0</v>
      </c>
      <c r="N4049" t="n">
        <v>100</v>
      </c>
      <c r="O4049" t="n">
        <v>28.92156862745098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M4050" t="n">
        <v>31</v>
      </c>
      <c r="N4050" t="n">
        <v>99.56999999999999</v>
      </c>
      <c r="O4050" t="n">
        <v>30.63583815028902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M4051" t="n">
        <v>0</v>
      </c>
      <c r="N4051" t="n">
        <v>95.65000000000001</v>
      </c>
      <c r="O4051" t="n">
        <v>32.43243243243244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M4052" t="n">
        <v>9</v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M4053" t="n">
        <v>0</v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t="n">
        <v>20</v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M4055" t="n">
        <v>22</v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11</v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19</v>
      </c>
      <c r="N4057" t="n">
        <v>99.15000000000001</v>
      </c>
      <c r="O4057" t="n">
        <v>27.58620689655172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t="n">
        <v>17</v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M4059" t="n">
        <v>0</v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11</v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20</v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4</v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29</v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34</v>
      </c>
      <c r="N4064" t="n">
        <v>95.48999999999999</v>
      </c>
      <c r="O4064" t="n">
        <v>28.37022132796781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11</v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15</v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16</v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98.84</v>
      </c>
      <c r="O4068" t="n">
        <v>31.86813186813187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13</v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9</v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32</v>
      </c>
      <c r="N4071" t="n">
        <v>98.31999999999999</v>
      </c>
      <c r="O4071" t="n">
        <v>26.85851318944844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27</v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14</v>
      </c>
      <c r="N4073" t="n">
        <v>100</v>
      </c>
      <c r="O4073" t="n">
        <v>26.36986301369863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25</v>
      </c>
      <c r="N4074" t="n">
        <v>99.20999999999999</v>
      </c>
      <c r="O4074" t="n">
        <v>25.18891687657431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t="n">
        <v>4</v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t="n">
        <v>30</v>
      </c>
      <c r="N4076" t="n">
        <v>98.66</v>
      </c>
      <c r="O4076" t="n">
        <v>35.41666666666667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21</v>
      </c>
      <c r="N4077" t="n">
        <v>99.31999999999999</v>
      </c>
      <c r="O4077" t="n">
        <v>30.6483300589391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t="n">
        <v>20</v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M4079" t="n">
        <v>0</v>
      </c>
      <c r="N4079" t="n">
        <v>96.73999999999999</v>
      </c>
      <c r="O4079" t="n">
        <v>28.67647058823529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31</v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14</v>
      </c>
      <c r="N4081" t="n">
        <v>98.2</v>
      </c>
      <c r="O4081" t="n">
        <v>27.17086834733893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6</v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29</v>
      </c>
      <c r="N4083" t="n">
        <v>96.3</v>
      </c>
      <c r="O4083" t="n">
        <v>32.21957040572792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M4084" t="n">
        <v>26</v>
      </c>
      <c r="N4084" t="n">
        <v>93.75</v>
      </c>
      <c r="O4084" t="n">
        <v>26.81992337164751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M4085" t="n">
        <v>20</v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t="n">
        <v>15</v>
      </c>
      <c r="N4086" t="n">
        <v>100</v>
      </c>
      <c r="O4086" t="n">
        <v>36.59420289855073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M4087" t="n">
        <v>28</v>
      </c>
      <c r="N4087" t="n">
        <v>100</v>
      </c>
      <c r="O4087" t="n">
        <v>38.65384615384615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7</v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25</v>
      </c>
      <c r="N4089" t="n">
        <v>97.83</v>
      </c>
      <c r="O4089" t="n">
        <v>28.35164835164835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30</v>
      </c>
      <c r="N4090" t="n">
        <v>99.26000000000001</v>
      </c>
      <c r="O4090" t="n">
        <v>29.76653696498055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t="n">
        <v>23</v>
      </c>
      <c r="N4091" t="n">
        <v>99.19</v>
      </c>
      <c r="O4091" t="n">
        <v>29.46236559139785</v>
      </c>
    </row>
    <row r="4092">
      <c r="A4092" s="11" t="n">
        <v>46168</v>
      </c>
      <c r="B4092" t="inlineStr">
        <is>
          <t>Emilly Kamilly Medeiros Miranda</t>
        </is>
      </c>
      <c r="C4092" t="inlineStr">
        <is>
          <t>Técnico II</t>
        </is>
      </c>
      <c r="D4092" s="3" t="n">
        <v>21</v>
      </c>
      <c r="E4092" s="3" t="n">
        <v>21</v>
      </c>
      <c r="F4092" s="3" t="n">
        <v>13.22</v>
      </c>
      <c r="G4092" s="3" t="n">
        <v>1</v>
      </c>
      <c r="M4092" s="3" t="n">
        <v>17</v>
      </c>
      <c r="N4092" s="3" t="n">
        <v>99.01000000000001</v>
      </c>
      <c r="O4092" s="3" t="n">
        <v>17.76649746192894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M4093" t="n">
        <v>0</v>
      </c>
      <c r="N4093" t="n">
        <v>100</v>
      </c>
      <c r="O4093" t="n">
        <v>28.92156862745098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M4094" t="n">
        <v>31</v>
      </c>
      <c r="N4094" t="n">
        <v>99.56999999999999</v>
      </c>
      <c r="O4094" t="n">
        <v>30.63583815028902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M4095" t="n">
        <v>0</v>
      </c>
      <c r="N4095" t="n">
        <v>95.65000000000001</v>
      </c>
      <c r="O4095" t="n">
        <v>32.43243243243244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M4096" t="n">
        <v>16</v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M4097" t="n">
        <v>0</v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t="n">
        <v>21</v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M4099" t="n">
        <v>22</v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6</v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23</v>
      </c>
      <c r="N4101" t="n">
        <v>99.15000000000001</v>
      </c>
      <c r="O4101" t="n">
        <v>27.58620689655172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t="n">
        <v>18</v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M4104" t="n">
        <v>0</v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19</v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7</v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30</v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22</v>
      </c>
      <c r="N4108" t="n">
        <v>95.48999999999999</v>
      </c>
      <c r="O4108" t="n">
        <v>28.37022132796781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5</v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16</v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24</v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17</v>
      </c>
      <c r="N4112" t="n">
        <v>98.84</v>
      </c>
      <c r="O4112" t="n">
        <v>31.86813186813187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15</v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10</v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21</v>
      </c>
      <c r="N4115" t="n">
        <v>98.31999999999999</v>
      </c>
      <c r="O4115" t="n">
        <v>26.85851318944844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31</v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M4117" t="n">
        <v>16</v>
      </c>
      <c r="N4117" t="n">
        <v>100</v>
      </c>
      <c r="O4117" t="n">
        <v>26.36986301369863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M4118" t="n">
        <v>0</v>
      </c>
      <c r="N4118" t="n">
        <v>99.20999999999999</v>
      </c>
      <c r="O4118" t="n">
        <v>25.18891687657431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t="n">
        <v>18</v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M4120" t="n">
        <v>11</v>
      </c>
      <c r="N4120" t="n">
        <v>98.66</v>
      </c>
      <c r="O4120" t="n">
        <v>35.41666666666667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24</v>
      </c>
      <c r="N4121" t="n">
        <v>99.31999999999999</v>
      </c>
      <c r="O4121" t="n">
        <v>30.6483300589391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17</v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11</v>
      </c>
      <c r="N4123" t="n">
        <v>96.73999999999999</v>
      </c>
      <c r="O4123" t="n">
        <v>28.67647058823529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32</v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24</v>
      </c>
      <c r="N4125" t="n">
        <v>98.2</v>
      </c>
      <c r="O4125" t="n">
        <v>27.17086834733893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</v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19</v>
      </c>
      <c r="N4127" t="n">
        <v>96.3</v>
      </c>
      <c r="O4127" t="n">
        <v>32.21957040572792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M4128" t="n">
        <v>16</v>
      </c>
      <c r="N4128" t="n">
        <v>93.75</v>
      </c>
      <c r="O4128" t="n">
        <v>26.81992337164751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M4129" t="n">
        <v>24</v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t="n">
        <v>11</v>
      </c>
      <c r="N4130" t="n">
        <v>100</v>
      </c>
      <c r="O4130" t="n">
        <v>36.59420289855073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M4131" t="n">
        <v>23</v>
      </c>
      <c r="N4131" t="n">
        <v>100</v>
      </c>
      <c r="O4131" t="n">
        <v>38.65384615384615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4</v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22</v>
      </c>
      <c r="N4133" t="n">
        <v>97.83</v>
      </c>
      <c r="O4133" t="n">
        <v>28.35164835164835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24</v>
      </c>
      <c r="N4134" t="n">
        <v>99.26000000000001</v>
      </c>
      <c r="O4134" t="n">
        <v>29.76653696498055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t="n">
        <v>7</v>
      </c>
      <c r="N4135" t="n">
        <v>99.19</v>
      </c>
      <c r="O4135" t="n">
        <v>29.46236559139785</v>
      </c>
    </row>
    <row r="4136">
      <c r="A4136" s="11" t="n">
        <v>46140</v>
      </c>
      <c r="B4136" t="inlineStr">
        <is>
          <t>Francilene Ferreira de Jesus</t>
        </is>
      </c>
      <c r="C4136" t="inlineStr">
        <is>
          <t>Técnico II</t>
        </is>
      </c>
      <c r="D4136" s="9" t="n">
        <v>29</v>
      </c>
      <c r="E4136" s="9" t="n">
        <v>25</v>
      </c>
      <c r="F4136" s="9" t="n">
        <v>20.23</v>
      </c>
      <c r="G4136" s="9" t="n">
        <v>0</v>
      </c>
      <c r="H4136" s="9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23</v>
      </c>
      <c r="N4136" s="9" t="n">
        <v>99.19</v>
      </c>
      <c r="O4136" s="9" t="n">
        <v>29.46236559139785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M4137" t="n">
        <v>0</v>
      </c>
      <c r="N4137" t="n">
        <v>100</v>
      </c>
      <c r="O4137" t="n">
        <v>28.92156862745098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M4138" t="n">
        <v>27</v>
      </c>
      <c r="N4138" t="n">
        <v>99.56999999999999</v>
      </c>
      <c r="O4138" t="n">
        <v>30.63583815028902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M4139" t="n">
        <v>0</v>
      </c>
      <c r="N4139" t="n">
        <v>95.65000000000001</v>
      </c>
      <c r="O4139" t="n">
        <v>32.43243243243244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M4140" t="n">
        <v>19</v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M4141" t="n">
        <v>0</v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t="n">
        <v>5</v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M4143" t="n">
        <v>17</v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6</v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22</v>
      </c>
      <c r="N4145" t="n">
        <v>99.15000000000001</v>
      </c>
      <c r="O4145" t="n">
        <v>27.58620689655172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t="n">
        <v>9</v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M4148" t="n">
        <v>0</v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13</v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8</v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23</v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t="n">
        <v>22</v>
      </c>
      <c r="N4152" t="n">
        <v>95.48999999999999</v>
      </c>
      <c r="O4152" t="n">
        <v>28.37022132796781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M4153" t="n">
        <v>0</v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7</v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14</v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10</v>
      </c>
      <c r="N4156" t="n">
        <v>98.84</v>
      </c>
      <c r="O4156" t="n">
        <v>31.86813186813187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8</v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5</v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6</v>
      </c>
      <c r="N4159" t="n">
        <v>98.31999999999999</v>
      </c>
      <c r="O4159" t="n">
        <v>26.85851318944844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19</v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7</v>
      </c>
      <c r="N4161" t="n">
        <v>100</v>
      </c>
      <c r="O4161" t="n">
        <v>26.36986301369863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19</v>
      </c>
      <c r="N4162" t="n">
        <v>99.20999999999999</v>
      </c>
      <c r="O4162" t="n">
        <v>25.18891687657431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t="n">
        <v>30</v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M4164" t="n">
        <v>21</v>
      </c>
      <c r="N4164" t="n">
        <v>98.66</v>
      </c>
      <c r="O4164" t="n">
        <v>35.41666666666667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32</v>
      </c>
      <c r="N4165" t="n">
        <v>99.31999999999999</v>
      </c>
      <c r="O4165" t="n">
        <v>30.6483300589391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13</v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t="n">
        <v>22</v>
      </c>
      <c r="N4167" t="n">
        <v>96.73999999999999</v>
      </c>
      <c r="O4167" t="n">
        <v>28.67647058823529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M4169" t="n">
        <v>0</v>
      </c>
      <c r="N4169" t="n">
        <v>98.2</v>
      </c>
      <c r="O4169" t="n">
        <v>27.17086834733893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4</v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13</v>
      </c>
      <c r="N4171" t="n">
        <v>96.3</v>
      </c>
      <c r="O4171" t="n">
        <v>32.21957040572792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M4172" t="n">
        <v>19</v>
      </c>
      <c r="N4172" t="n">
        <v>93.75</v>
      </c>
      <c r="O4172" t="n">
        <v>26.81992337164751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M4173" t="n">
        <v>21</v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t="n">
        <v>8</v>
      </c>
      <c r="N4174" t="n">
        <v>100</v>
      </c>
      <c r="O4174" t="n">
        <v>36.59420289855073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M4175" t="n">
        <v>16</v>
      </c>
      <c r="N4175" t="n">
        <v>100</v>
      </c>
      <c r="O4175" t="n">
        <v>38.65384615384615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5</v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27</v>
      </c>
      <c r="N4177" t="n">
        <v>97.83</v>
      </c>
      <c r="O4177" t="n">
        <v>28.35164835164835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19</v>
      </c>
      <c r="N4178" t="n">
        <v>99.26000000000001</v>
      </c>
      <c r="O4178" t="n">
        <v>29.76653696498055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t="n">
        <v>17</v>
      </c>
      <c r="N4179" t="n">
        <v>99.19</v>
      </c>
      <c r="O4179" t="n">
        <v>29.46236559139785</v>
      </c>
    </row>
    <row r="4180">
      <c r="A4180" s="11" t="n">
        <v>46141</v>
      </c>
      <c r="B4180" t="inlineStr">
        <is>
          <t>Francilene Ferreira de Jesus</t>
        </is>
      </c>
      <c r="C4180" t="inlineStr">
        <is>
          <t>Técnico II</t>
        </is>
      </c>
      <c r="D4180" s="9" t="n">
        <v>36</v>
      </c>
      <c r="E4180" s="9" t="n">
        <v>34</v>
      </c>
      <c r="F4180" s="9" t="n">
        <v>15.24</v>
      </c>
      <c r="G4180" s="9" t="n">
        <v>0</v>
      </c>
      <c r="H4180" s="9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30</v>
      </c>
      <c r="N4180" s="9" t="n">
        <v>99.19</v>
      </c>
      <c r="O4180" s="9" t="n">
        <v>29.46236559139785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20</v>
      </c>
      <c r="N4181" t="n">
        <v>100</v>
      </c>
      <c r="O4181" t="n">
        <v>28.92156862745098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M4182" t="n">
        <v>27</v>
      </c>
      <c r="N4182" t="n">
        <v>99.56999999999999</v>
      </c>
      <c r="O4182" t="n">
        <v>30.63583815028902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M4183" t="n">
        <v>0</v>
      </c>
      <c r="N4183" t="n">
        <v>95.65000000000001</v>
      </c>
      <c r="O4183" t="n">
        <v>32.43243243243244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M4184" t="n">
        <v>20</v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M4185" t="n">
        <v>0</v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t="n">
        <v>10</v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M4187" t="n">
        <v>20</v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5</v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25</v>
      </c>
      <c r="N4189" t="n">
        <v>99.15000000000001</v>
      </c>
      <c r="O4189" t="n">
        <v>27.58620689655172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t="n">
        <v>21</v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M4192" t="n">
        <v>0</v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15</v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0</v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31</v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16</v>
      </c>
      <c r="N4196" t="n">
        <v>95.48999999999999</v>
      </c>
      <c r="O4196" t="n">
        <v>28.37022132796781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9</v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10</v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8</v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3</v>
      </c>
      <c r="N4200" t="n">
        <v>98.84</v>
      </c>
      <c r="O4200" t="n">
        <v>31.86813186813187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8</v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5</v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16</v>
      </c>
      <c r="N4203" t="n">
        <v>98.31999999999999</v>
      </c>
      <c r="O4203" t="n">
        <v>26.85851318944844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19</v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12</v>
      </c>
      <c r="N4205" t="n">
        <v>100</v>
      </c>
      <c r="O4205" t="n">
        <v>26.36986301369863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16</v>
      </c>
      <c r="N4206" t="n">
        <v>99.20999999999999</v>
      </c>
      <c r="O4206" t="n">
        <v>25.18891687657431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t="n">
        <v>22</v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M4208" t="n">
        <v>18</v>
      </c>
      <c r="N4208" t="n">
        <v>98.66</v>
      </c>
      <c r="O4208" t="n">
        <v>35.41666666666667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21</v>
      </c>
      <c r="N4209" t="n">
        <v>99.31999999999999</v>
      </c>
      <c r="O4209" t="n">
        <v>30.6483300589391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19</v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t="n">
        <v>30</v>
      </c>
      <c r="N4211" t="n">
        <v>96.73999999999999</v>
      </c>
      <c r="O4211" t="n">
        <v>28.67647058823529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M4213" t="n">
        <v>0</v>
      </c>
      <c r="N4213" t="n">
        <v>98.2</v>
      </c>
      <c r="O4213" t="n">
        <v>27.17086834733893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6</v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13</v>
      </c>
      <c r="N4215" t="n">
        <v>96.3</v>
      </c>
      <c r="O4215" t="n">
        <v>32.21957040572792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M4216" t="n">
        <v>17</v>
      </c>
      <c r="N4216" t="n">
        <v>93.75</v>
      </c>
      <c r="O4216" t="n">
        <v>26.81992337164751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M4217" t="n">
        <v>22</v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t="n">
        <v>15</v>
      </c>
      <c r="N4218" t="n">
        <v>100</v>
      </c>
      <c r="O4218" t="n">
        <v>36.59420289855073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M4219" t="n">
        <v>16</v>
      </c>
      <c r="N4219" t="n">
        <v>100</v>
      </c>
      <c r="O4219" t="n">
        <v>38.65384615384615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8</v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24</v>
      </c>
      <c r="N4221" t="n">
        <v>97.83</v>
      </c>
      <c r="O4221" t="n">
        <v>28.35164835164835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25</v>
      </c>
      <c r="N4222" t="n">
        <v>99.26000000000001</v>
      </c>
      <c r="O4222" t="n">
        <v>29.76653696498055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t="n">
        <v>24</v>
      </c>
      <c r="N4223" t="n">
        <v>99.19</v>
      </c>
      <c r="O4223" t="n">
        <v>29.46236559139785</v>
      </c>
    </row>
    <row r="4224">
      <c r="A4224" s="11" t="n">
        <v>46142</v>
      </c>
      <c r="B4224" t="inlineStr">
        <is>
          <t>Francilene Ferreira de Jesus</t>
        </is>
      </c>
      <c r="C4224" t="inlineStr">
        <is>
          <t>Técnico II</t>
        </is>
      </c>
      <c r="D4224" s="9" t="n">
        <v>42</v>
      </c>
      <c r="E4224" s="9" t="n">
        <v>42</v>
      </c>
      <c r="F4224" s="9" t="n">
        <v>16.41</v>
      </c>
      <c r="G4224" s="9" t="n">
        <v>0</v>
      </c>
      <c r="H4224" s="9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s="9" t="n">
        <v>35</v>
      </c>
      <c r="N4224" s="9" t="n">
        <v>99.19</v>
      </c>
      <c r="O4224" s="9" t="n">
        <v>29.46236559139785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16</v>
      </c>
      <c r="N4225" t="n">
        <v>100</v>
      </c>
      <c r="O4225" t="n">
        <v>28.92156862745098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M4226" t="n">
        <v>31</v>
      </c>
      <c r="N4226" t="n">
        <v>99.56999999999999</v>
      </c>
      <c r="O4226" t="n">
        <v>30.63583815028902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M4227" t="n">
        <v>0</v>
      </c>
      <c r="N4227" t="n">
        <v>95.65000000000001</v>
      </c>
      <c r="O4227" t="n">
        <v>32.43243243243244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M4228" t="n">
        <v>20</v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M4229" t="n">
        <v>0</v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t="n">
        <v>7</v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M4231" t="n">
        <v>30</v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18</v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20</v>
      </c>
      <c r="N4233" t="n">
        <v>99.15000000000001</v>
      </c>
      <c r="O4233" t="n">
        <v>27.58620689655172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t="n">
        <v>17</v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M4236" t="n">
        <v>0</v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22</v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0</v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26</v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20</v>
      </c>
      <c r="N4240" t="n">
        <v>95.48999999999999</v>
      </c>
      <c r="O4240" t="n">
        <v>28.37022132796781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7</v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t="n">
        <v>16</v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M4244" t="n">
        <v>0</v>
      </c>
      <c r="N4244" t="n">
        <v>98.84</v>
      </c>
      <c r="O4244" t="n">
        <v>31.86813186813187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10</v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4</v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23</v>
      </c>
      <c r="N4247" t="n">
        <v>98.31999999999999</v>
      </c>
      <c r="O4247" t="n">
        <v>26.85851318944844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20</v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19</v>
      </c>
      <c r="N4249" t="n">
        <v>100</v>
      </c>
      <c r="O4249" t="n">
        <v>26.36986301369863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21</v>
      </c>
      <c r="N4250" t="n">
        <v>99.20999999999999</v>
      </c>
      <c r="O4250" t="n">
        <v>25.18891687657431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t="n">
        <v>24</v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M4252" t="n">
        <v>14</v>
      </c>
      <c r="N4252" t="n">
        <v>98.66</v>
      </c>
      <c r="O4252" t="n">
        <v>35.41666666666667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24</v>
      </c>
      <c r="N4253" t="n">
        <v>99.31999999999999</v>
      </c>
      <c r="O4253" t="n">
        <v>30.6483300589391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21</v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t="n">
        <v>29</v>
      </c>
      <c r="N4255" t="n">
        <v>96.73999999999999</v>
      </c>
      <c r="O4255" t="n">
        <v>28.67647058823529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0</v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M4257" t="n">
        <v>2</v>
      </c>
      <c r="N4257" t="n">
        <v>98.2</v>
      </c>
      <c r="O4257" t="n">
        <v>27.17086834733893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7</v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14</v>
      </c>
      <c r="N4259" t="n">
        <v>96.3</v>
      </c>
      <c r="O4259" t="n">
        <v>32.21957040572792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M4260" t="n">
        <v>23</v>
      </c>
      <c r="N4260" t="n">
        <v>93.75</v>
      </c>
      <c r="O4260" t="n">
        <v>26.81992337164751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M4261" t="n">
        <v>0</v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t="n">
        <v>10</v>
      </c>
      <c r="N4262" t="n">
        <v>100</v>
      </c>
      <c r="O4262" t="n">
        <v>36.59420289855073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M4263" t="n">
        <v>23</v>
      </c>
      <c r="N4263" t="n">
        <v>100</v>
      </c>
      <c r="O4263" t="n">
        <v>38.65384615384615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5</v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19</v>
      </c>
      <c r="N4265" t="n">
        <v>97.83</v>
      </c>
      <c r="O4265" t="n">
        <v>28.35164835164835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22</v>
      </c>
      <c r="N4266" t="n">
        <v>99.26000000000001</v>
      </c>
      <c r="O4266" t="n">
        <v>29.76653696498055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t="n">
        <v>24</v>
      </c>
      <c r="N4267" t="n">
        <v>99.19</v>
      </c>
      <c r="O4267" t="n">
        <v>29.46236559139785</v>
      </c>
    </row>
    <row r="4268">
      <c r="A4268" s="5" t="n">
        <v>46146</v>
      </c>
      <c r="B4268" s="6" t="inlineStr">
        <is>
          <t>Francilene Ferreira de Jesus</t>
        </is>
      </c>
      <c r="C4268" s="3" t="inlineStr">
        <is>
          <t>Técnico II</t>
        </is>
      </c>
      <c r="D4268" s="3" t="n">
        <v>36</v>
      </c>
      <c r="E4268" s="3" t="n">
        <v>33</v>
      </c>
      <c r="F4268" s="3" t="n">
        <v>18.37</v>
      </c>
      <c r="G4268" s="3" t="n">
        <v>0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IF(K4268&lt;-5,"CRÍTICO",IF(K4268&lt;0,"ATENÇÃO",IF(K4268&lt;=5,"BOM","EXCELENTE")))</f>
        <v/>
      </c>
      <c r="M4268" s="9" t="n">
        <v>29</v>
      </c>
      <c r="N4268" s="9" t="n">
        <v>100</v>
      </c>
      <c r="O4268" s="9" t="n">
        <v>17.24137931034483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19</v>
      </c>
      <c r="N4269" t="n">
        <v>100</v>
      </c>
      <c r="O4269" t="n">
        <v>28.92156862745098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M4270" t="n">
        <v>28</v>
      </c>
      <c r="N4270" t="n">
        <v>99.56999999999999</v>
      </c>
      <c r="O4270" t="n">
        <v>30.63583815028902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M4271" t="n">
        <v>0</v>
      </c>
      <c r="N4271" t="n">
        <v>95.65000000000001</v>
      </c>
      <c r="O4271" t="n">
        <v>32.43243243243244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M4272" t="n">
        <v>14</v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M4273" t="n">
        <v>0</v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t="n">
        <v>14</v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M4275" t="n">
        <v>28</v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11</v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19</v>
      </c>
      <c r="N4277" t="n">
        <v>99.15000000000001</v>
      </c>
      <c r="O4277" t="n">
        <v>27.58620689655172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t="n">
        <v>9</v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M4280" t="n">
        <v>0</v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14</v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5</v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10</v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20</v>
      </c>
      <c r="N4284" t="n">
        <v>95.48999999999999</v>
      </c>
      <c r="O4284" t="n">
        <v>28.37022132796781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3</v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12</v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17</v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14</v>
      </c>
      <c r="N4288" t="n">
        <v>98.84</v>
      </c>
      <c r="O4288" t="n">
        <v>31.86813186813187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18</v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4</v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12</v>
      </c>
      <c r="N4291" t="n">
        <v>98.31999999999999</v>
      </c>
      <c r="O4291" t="n">
        <v>26.85851318944844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18</v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13</v>
      </c>
      <c r="N4293" t="n">
        <v>100</v>
      </c>
      <c r="O4293" t="n">
        <v>26.36986301369863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11</v>
      </c>
      <c r="N4294" t="n">
        <v>99.20999999999999</v>
      </c>
      <c r="O4294" t="n">
        <v>25.18891687657431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t="n">
        <v>9</v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M4296" t="n">
        <v>15</v>
      </c>
      <c r="N4296" t="n">
        <v>98.66</v>
      </c>
      <c r="O4296" t="n">
        <v>35.41666666666667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12</v>
      </c>
      <c r="N4297" t="n">
        <v>99.31999999999999</v>
      </c>
      <c r="O4297" t="n">
        <v>30.6483300589391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10</v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14</v>
      </c>
      <c r="N4299" t="n">
        <v>96.73999999999999</v>
      </c>
      <c r="O4299" t="n">
        <v>28.67647058823529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11</v>
      </c>
      <c r="N4301" t="n">
        <v>98.2</v>
      </c>
      <c r="O4301" t="n">
        <v>27.17086834733893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7</v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4</v>
      </c>
      <c r="N4303" t="n">
        <v>96.3</v>
      </c>
      <c r="O4303" t="n">
        <v>32.21957040572792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M4304" t="n">
        <v>13</v>
      </c>
      <c r="N4304" t="n">
        <v>93.75</v>
      </c>
      <c r="O4304" t="n">
        <v>26.81992337164751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M4305" t="n">
        <v>10</v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t="n">
        <v>8</v>
      </c>
      <c r="N4306" t="n">
        <v>100</v>
      </c>
      <c r="O4306" t="n">
        <v>36.59420289855073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M4307" t="n">
        <v>14</v>
      </c>
      <c r="N4307" t="n">
        <v>100</v>
      </c>
      <c r="O4307" t="n">
        <v>38.65384615384615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8</v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12</v>
      </c>
      <c r="N4309" t="n">
        <v>97.83</v>
      </c>
      <c r="O4309" t="n">
        <v>28.35164835164835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15</v>
      </c>
      <c r="N4310" t="n">
        <v>99.26000000000001</v>
      </c>
      <c r="O4310" t="n">
        <v>29.76653696498055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t="n">
        <v>14</v>
      </c>
      <c r="N4311" t="n">
        <v>99.19</v>
      </c>
      <c r="O4311" t="n">
        <v>29.46236559139785</v>
      </c>
    </row>
    <row r="4312">
      <c r="A4312" s="5" t="n">
        <v>46147</v>
      </c>
      <c r="B4312" s="6" t="inlineStr">
        <is>
          <t>Francilene Ferreira de Jesus</t>
        </is>
      </c>
      <c r="C4312" s="3" t="inlineStr">
        <is>
          <t>Técnico II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IF(K4312&lt;-5,"CRÍTICO",IF(K4312&lt;0,"ATENÇÃO",IF(K4312&lt;=5,"BOM","EXCELENTE")))</f>
        <v/>
      </c>
      <c r="M4312" s="3" t="n">
        <v>0</v>
      </c>
      <c r="N4312" s="3" t="n">
        <v>100</v>
      </c>
      <c r="O4312" s="3" t="n">
        <v>17.24137931034483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8</v>
      </c>
      <c r="N4313" t="n">
        <v>100</v>
      </c>
      <c r="O4313" t="n">
        <v>28.92156862745098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16</v>
      </c>
      <c r="N4314" t="n">
        <v>99.56999999999999</v>
      </c>
      <c r="O4314" t="n">
        <v>30.63583815028902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10</v>
      </c>
      <c r="N4315" t="n">
        <v>95.65000000000001</v>
      </c>
      <c r="O4315" t="n">
        <v>32.43243243243244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M4316" t="n">
        <v>12</v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M4317" t="n">
        <v>0</v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t="n">
        <v>6</v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M4319" t="n">
        <v>29</v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10</v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14</v>
      </c>
      <c r="N4321" t="n">
        <v>99.15000000000001</v>
      </c>
      <c r="O4321" t="n">
        <v>27.58620689655172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t="n">
        <v>8</v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M4324" t="n">
        <v>0</v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t="n">
        <v>8</v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t="n">
        <v>0</v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40</v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14</v>
      </c>
      <c r="N4328" t="n">
        <v>95.48999999999999</v>
      </c>
      <c r="O4328" t="n">
        <v>28.37022132796781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t="n">
        <v>5</v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M4330" t="n">
        <v>0</v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7</v>
      </c>
      <c r="N4332" t="n">
        <v>98.84</v>
      </c>
      <c r="O4332" t="n">
        <v>31.86813186813187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8</v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4</v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11</v>
      </c>
      <c r="N4335" t="n">
        <v>98.31999999999999</v>
      </c>
      <c r="O4335" t="n">
        <v>26.85851318944844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17</v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9</v>
      </c>
      <c r="N4337" t="n">
        <v>100</v>
      </c>
      <c r="O4337" t="n">
        <v>26.36986301369863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t="n">
        <v>14</v>
      </c>
      <c r="N4338" t="n">
        <v>99.20999999999999</v>
      </c>
      <c r="O4338" t="n">
        <v>25.18891687657431</v>
      </c>
    </row>
    <row r="4339">
      <c r="A4339" s="5" t="n">
        <v>46148</v>
      </c>
      <c r="B4339" s="6" t="inlineStr">
        <is>
          <t>Francilene Ferreira de Jesus</t>
        </is>
      </c>
      <c r="C4339" s="3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IF(K4339&lt;-5,"CRÍTICO",IF(K4339&lt;0,"ATENÇÃO",IF(K4339&lt;=5,"BOM","EXCELENTE")))</f>
        <v/>
      </c>
      <c r="M4339" s="3" t="n">
        <v>0</v>
      </c>
      <c r="N4339" s="3" t="n">
        <v>100</v>
      </c>
      <c r="O4339" s="3" t="n">
        <v>17.24137931034483</v>
      </c>
    </row>
    <row r="4340">
      <c r="A4340" s="11" t="n">
        <v>46168</v>
      </c>
      <c r="B4340" t="inlineStr">
        <is>
          <t>Francilene Ferreira de Jesus</t>
        </is>
      </c>
      <c r="C4340" t="inlineStr">
        <is>
          <t>Técnico II</t>
        </is>
      </c>
      <c r="D4340" s="3" t="n">
        <v>0</v>
      </c>
      <c r="E4340" s="3" t="n">
        <v>0</v>
      </c>
      <c r="F4340" s="3" t="n">
        <v>0</v>
      </c>
      <c r="G4340" s="3" t="n">
        <v>0</v>
      </c>
      <c r="H4340" s="3" t="n">
        <v>0</v>
      </c>
      <c r="I4340" s="3" t="n">
        <v>0</v>
      </c>
      <c r="J4340" s="3" t="n">
        <v>0</v>
      </c>
      <c r="K4340" s="3" t="n">
        <v>0</v>
      </c>
      <c r="M4340" s="3" t="n">
        <v>0</v>
      </c>
      <c r="N4340" s="3" t="n">
        <v>100</v>
      </c>
      <c r="O4340" s="3" t="n">
        <v>17.24137931034483</v>
      </c>
    </row>
    <row r="4341">
      <c r="A4341" s="11" t="n">
        <v>46140</v>
      </c>
      <c r="B4341" t="inlineStr">
        <is>
          <t>Isabella Borges de Oliveira</t>
        </is>
      </c>
      <c r="C4341" t="inlineStr">
        <is>
          <t>Técnico II</t>
        </is>
      </c>
      <c r="D4341" s="9" t="n">
        <v>37</v>
      </c>
      <c r="E4341" s="9" t="n">
        <v>36</v>
      </c>
      <c r="F4341" s="9" t="n">
        <v>15.51</v>
      </c>
      <c r="G4341" s="9" t="n">
        <v>0</v>
      </c>
      <c r="H4341" s="9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9" t="n">
        <v>25</v>
      </c>
      <c r="N4341" s="9" t="n">
        <v>100</v>
      </c>
      <c r="O4341" s="9" t="n">
        <v>28.92156862745098</v>
      </c>
    </row>
    <row r="4342">
      <c r="A4342" s="11" t="n">
        <v>46141</v>
      </c>
      <c r="B4342" t="inlineStr">
        <is>
          <t>Isabella Borges de Oliveira</t>
        </is>
      </c>
      <c r="C4342" t="inlineStr">
        <is>
          <t>Técnico II</t>
        </is>
      </c>
      <c r="D4342" s="9" t="n">
        <v>29</v>
      </c>
      <c r="E4342" s="9" t="n">
        <v>26</v>
      </c>
      <c r="F4342" s="9" t="n">
        <v>18.33</v>
      </c>
      <c r="G4342" s="9" t="n">
        <v>0</v>
      </c>
      <c r="H4342" s="9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9" t="n">
        <v>27</v>
      </c>
      <c r="N4342" s="9" t="n">
        <v>100</v>
      </c>
      <c r="O4342" s="9" t="n">
        <v>28.92156862745098</v>
      </c>
    </row>
    <row r="4343">
      <c r="A4343" s="11" t="n">
        <v>46142</v>
      </c>
      <c r="B4343" t="inlineStr">
        <is>
          <t>Isabella Borges de Oliveira</t>
        </is>
      </c>
      <c r="C4343" t="inlineStr">
        <is>
          <t>Técnico II</t>
        </is>
      </c>
      <c r="D4343" s="9" t="n">
        <v>25</v>
      </c>
      <c r="E4343" s="9" t="n">
        <v>25</v>
      </c>
      <c r="F4343" s="9" t="n">
        <v>18.5</v>
      </c>
      <c r="G4343" s="9" t="n">
        <v>0</v>
      </c>
      <c r="H4343" s="9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9" t="n">
        <v>26</v>
      </c>
      <c r="N4343" s="9" t="n">
        <v>100</v>
      </c>
      <c r="O4343" s="9" t="n">
        <v>28.92156862745098</v>
      </c>
    </row>
    <row r="4344">
      <c r="A4344" s="5" t="n">
        <v>46146</v>
      </c>
      <c r="B4344" s="6" t="inlineStr">
        <is>
          <t>Isabella Borges de Oliveira</t>
        </is>
      </c>
      <c r="C4344" s="9" t="inlineStr">
        <is>
          <t>Técnico II</t>
        </is>
      </c>
      <c r="D4344" s="3" t="n">
        <v>36</v>
      </c>
      <c r="E4344" s="3" t="n">
        <v>34</v>
      </c>
      <c r="F4344" s="3" t="n">
        <v>14.11</v>
      </c>
      <c r="G4344" s="3" t="n">
        <v>0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IF(K4344&lt;-5,"CRÍTICO",IF(K4344&lt;0,"ATENÇÃO",IF(K4344&lt;=5,"BOM","EXCELENTE")))</f>
        <v/>
      </c>
      <c r="M4344" s="9" t="n">
        <v>33</v>
      </c>
      <c r="N4344" s="9" t="n">
        <v>98.98</v>
      </c>
      <c r="O4344" s="9" t="n">
        <v>19.35483870967742</v>
      </c>
    </row>
    <row r="4345">
      <c r="A4345" s="5" t="n">
        <v>46147</v>
      </c>
      <c r="B4345" s="6" t="inlineStr">
        <is>
          <t>Isabella Borges de Oliveira</t>
        </is>
      </c>
      <c r="C4345" s="9" t="inlineStr">
        <is>
          <t>Técnico II</t>
        </is>
      </c>
      <c r="D4345" s="3" t="n">
        <v>26</v>
      </c>
      <c r="E4345" s="3" t="n">
        <v>26</v>
      </c>
      <c r="F4345" s="3" t="n">
        <v>20.01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IF(K4345&lt;-5,"CRÍTICO",IF(K4345&lt;0,"ATENÇÃO",IF(K4345&lt;=5,"BOM","EXCELENTE")))</f>
        <v/>
      </c>
      <c r="M4345" s="3" t="n">
        <v>31</v>
      </c>
      <c r="N4345" s="3" t="n">
        <v>98.98</v>
      </c>
      <c r="O4345" s="3" t="n">
        <v>19.35483870967742</v>
      </c>
    </row>
    <row r="4346">
      <c r="A4346" s="5" t="n">
        <v>46148</v>
      </c>
      <c r="B4346" s="6" t="inlineStr">
        <is>
          <t>Isabella Borges de Oliveira</t>
        </is>
      </c>
      <c r="C4346" s="9" t="inlineStr">
        <is>
          <t>Técnico II</t>
        </is>
      </c>
      <c r="D4346" s="3" t="n">
        <v>33</v>
      </c>
      <c r="E4346" s="3" t="n">
        <v>32</v>
      </c>
      <c r="F4346" s="9" t="n">
        <v>20.01</v>
      </c>
      <c r="G4346" s="3" t="n">
        <v>9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IF(K4346&lt;-5,"CRÍTICO",IF(K4346&lt;0,"ATENÇÃO",IF(K4346&lt;=5,"BOM","EXCELENTE")))</f>
        <v/>
      </c>
      <c r="M4346" s="3" t="n">
        <v>30</v>
      </c>
      <c r="N4346" s="3" t="n">
        <v>98.98</v>
      </c>
      <c r="O4346" s="3" t="n">
        <v>19.35483870967742</v>
      </c>
    </row>
    <row r="4347">
      <c r="A4347" s="11" t="n">
        <v>46168</v>
      </c>
      <c r="B4347" t="inlineStr">
        <is>
          <t>Isabella Borges de Oliveira</t>
        </is>
      </c>
      <c r="C4347" t="inlineStr">
        <is>
          <t>Técnico II</t>
        </is>
      </c>
      <c r="D4347" s="3" t="n">
        <v>24</v>
      </c>
      <c r="E4347" s="3" t="n">
        <v>23</v>
      </c>
      <c r="F4347" s="3" t="n">
        <v>15.03</v>
      </c>
      <c r="G4347" s="3" t="n">
        <v>1</v>
      </c>
      <c r="M4347" s="3" t="n">
        <v>20</v>
      </c>
      <c r="N4347" s="3" t="n">
        <v>98.98</v>
      </c>
      <c r="O4347" s="3" t="n">
        <v>19.35483870967742</v>
      </c>
    </row>
    <row r="4348">
      <c r="A4348" s="11" t="n">
        <v>46140</v>
      </c>
      <c r="B4348" t="inlineStr">
        <is>
          <t>Jessica Faria da Silveira</t>
        </is>
      </c>
      <c r="C4348" t="inlineStr">
        <is>
          <t>Técnico II</t>
        </is>
      </c>
      <c r="D4348" s="9" t="n">
        <v>29</v>
      </c>
      <c r="E4348" s="9" t="n">
        <v>25</v>
      </c>
      <c r="F4348" s="9" t="n">
        <v>17.3</v>
      </c>
      <c r="G4348" s="9" t="n">
        <v>0</v>
      </c>
      <c r="H4348" s="9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9" t="n">
        <v>22</v>
      </c>
      <c r="N4348" s="9" t="n">
        <v>98.81</v>
      </c>
      <c r="O4348" s="9" t="n">
        <v>26.25698324022346</v>
      </c>
    </row>
    <row r="4349">
      <c r="A4349" s="11" t="n">
        <v>46141</v>
      </c>
      <c r="B4349" t="inlineStr">
        <is>
          <t>Jessica Faria da Silveira</t>
        </is>
      </c>
      <c r="C4349" t="inlineStr">
        <is>
          <t>Técnico II</t>
        </is>
      </c>
      <c r="D4349" s="9" t="n">
        <v>39</v>
      </c>
      <c r="E4349" s="9" t="n">
        <v>28</v>
      </c>
      <c r="F4349" s="9" t="n">
        <v>10.24</v>
      </c>
      <c r="G4349" s="9" t="n">
        <v>0</v>
      </c>
      <c r="H4349" s="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9" t="n">
        <v>30</v>
      </c>
      <c r="N4349" s="9" t="n">
        <v>98.81</v>
      </c>
      <c r="O4349" s="9" t="n">
        <v>26.25698324022346</v>
      </c>
    </row>
    <row r="4350">
      <c r="A4350" s="11" t="n">
        <v>46142</v>
      </c>
      <c r="B4350" t="inlineStr">
        <is>
          <t>Jessica Faria da Silveira</t>
        </is>
      </c>
      <c r="C4350" t="inlineStr">
        <is>
          <t>Técnico II</t>
        </is>
      </c>
      <c r="D4350" s="9" t="n">
        <v>21</v>
      </c>
      <c r="E4350" s="9" t="n">
        <v>16</v>
      </c>
      <c r="F4350" s="9" t="n">
        <v>11.48</v>
      </c>
      <c r="G4350" s="9" t="n">
        <v>0</v>
      </c>
      <c r="H4350" s="9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9" t="n">
        <v>13</v>
      </c>
      <c r="N4350" s="9" t="n">
        <v>98.81</v>
      </c>
      <c r="O4350" s="9" t="n">
        <v>26.25698324022346</v>
      </c>
    </row>
    <row r="4351">
      <c r="A4351" s="5" t="n">
        <v>46146</v>
      </c>
      <c r="B4351" s="6" t="inlineStr">
        <is>
          <t>Jessica Faria da Silveira</t>
        </is>
      </c>
      <c r="C4351" s="3" t="inlineStr">
        <is>
          <t>Técnico II</t>
        </is>
      </c>
      <c r="D4351" s="3" t="n">
        <v>32</v>
      </c>
      <c r="E4351" s="3" t="n">
        <v>28</v>
      </c>
      <c r="F4351" s="3" t="n">
        <v>14.15</v>
      </c>
      <c r="G4351" s="3" t="n">
        <v>4</v>
      </c>
      <c r="H4351" s="3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IF(K4351&lt;-5,"CRÍTICO",IF(K4351&lt;0,"ATENÇÃO",IF(K4351&lt;=5,"BOM","EXCELENTE")))</f>
        <v/>
      </c>
      <c r="M4351" s="9" t="n">
        <v>31</v>
      </c>
      <c r="N4351" s="9" t="n">
        <v>98.94</v>
      </c>
      <c r="O4351" s="9" t="n">
        <v>21.2707182320442</v>
      </c>
    </row>
    <row r="4352">
      <c r="A4352" s="5" t="n">
        <v>46147</v>
      </c>
      <c r="B4352" s="6" t="inlineStr">
        <is>
          <t>Jessica Faria da Silveira</t>
        </is>
      </c>
      <c r="C4352" s="3" t="inlineStr">
        <is>
          <t>Técnico II</t>
        </is>
      </c>
      <c r="D4352" s="3" t="n">
        <v>39</v>
      </c>
      <c r="E4352" s="3" t="n">
        <v>30</v>
      </c>
      <c r="F4352" s="3" t="n">
        <v>14.13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IF(K4352&lt;-5,"CRÍTICO",IF(K4352&lt;0,"ATENÇÃO",IF(K4352&lt;=5,"BOM","EXCELENTE")))</f>
        <v/>
      </c>
      <c r="M4352" s="3" t="n">
        <v>30</v>
      </c>
      <c r="N4352" s="3" t="n">
        <v>98.94</v>
      </c>
      <c r="O4352" s="3" t="n">
        <v>21.2707182320442</v>
      </c>
    </row>
    <row r="4353">
      <c r="A4353" s="5" t="n">
        <v>46148</v>
      </c>
      <c r="B4353" s="6" t="inlineStr">
        <is>
          <t>Jessica Faria da Silveira</t>
        </is>
      </c>
      <c r="C4353" s="3" t="inlineStr">
        <is>
          <t>Técnico II</t>
        </is>
      </c>
      <c r="D4353" s="3" t="n">
        <v>29</v>
      </c>
      <c r="E4353" s="3" t="n">
        <v>28</v>
      </c>
      <c r="F4353" s="9" t="n">
        <v>10.28</v>
      </c>
      <c r="G4353" s="3" t="n">
        <v>7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IF(K4353&lt;-5,"CRÍTICO",IF(K4353&lt;0,"ATENÇÃO",IF(K4353&lt;=5,"BOM","EXCELENTE")))</f>
        <v/>
      </c>
      <c r="M4353" s="3" t="n">
        <v>34</v>
      </c>
      <c r="N4353" s="3" t="n">
        <v>98.94</v>
      </c>
      <c r="O4353" s="3" t="n">
        <v>21.2707182320442</v>
      </c>
    </row>
    <row r="4354">
      <c r="A4354" s="11" t="n">
        <v>46168</v>
      </c>
      <c r="B4354" t="inlineStr">
        <is>
          <t>Jessica Faria da Silveira</t>
        </is>
      </c>
      <c r="C4354" t="inlineStr">
        <is>
          <t>Técnico II</t>
        </is>
      </c>
      <c r="D4354" s="3" t="n">
        <v>34</v>
      </c>
      <c r="E4354" s="3" t="n">
        <v>20</v>
      </c>
      <c r="F4354" s="3" t="n">
        <v>7.25</v>
      </c>
      <c r="G4354" s="3" t="n">
        <v>0</v>
      </c>
      <c r="M4354" s="3" t="n">
        <v>21</v>
      </c>
      <c r="N4354" s="3" t="n">
        <v>98.94</v>
      </c>
      <c r="O4354" s="3" t="n">
        <v>21.2707182320442</v>
      </c>
    </row>
    <row r="4355">
      <c r="A4355" s="11" t="n">
        <v>46140</v>
      </c>
      <c r="B4355" t="inlineStr">
        <is>
          <t>Lizandra Gomes Duarte</t>
        </is>
      </c>
      <c r="C4355" t="inlineStr">
        <is>
          <t>Técnico II</t>
        </is>
      </c>
      <c r="D4355" s="9" t="n">
        <v>20</v>
      </c>
      <c r="E4355" s="9" t="n">
        <v>19</v>
      </c>
      <c r="F4355" s="9" t="n">
        <v>21.45</v>
      </c>
      <c r="G4355" s="9" t="n">
        <v>0</v>
      </c>
      <c r="H4355" s="9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9" t="n">
        <v>4</v>
      </c>
      <c r="N4355" s="9" t="n">
        <v>99.17</v>
      </c>
      <c r="O4355" s="9" t="n">
        <v>29.75206611570248</v>
      </c>
    </row>
    <row r="4356">
      <c r="A4356" s="11" t="n">
        <v>46141</v>
      </c>
      <c r="B4356" t="inlineStr">
        <is>
          <t>Lizandra Gomes Duarte</t>
        </is>
      </c>
      <c r="C4356" t="inlineStr">
        <is>
          <t>Técnico II</t>
        </is>
      </c>
      <c r="D4356" s="9" t="n">
        <v>37</v>
      </c>
      <c r="E4356" s="9" t="n">
        <v>35</v>
      </c>
      <c r="F4356" s="9" t="n">
        <v>15.55</v>
      </c>
      <c r="G4356" s="9" t="n">
        <v>0</v>
      </c>
      <c r="H4356" s="9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9" t="n">
        <v>18</v>
      </c>
      <c r="N4356" s="9" t="n">
        <v>99.17</v>
      </c>
      <c r="O4356" s="9" t="n">
        <v>29.75206611570248</v>
      </c>
    </row>
    <row r="4357">
      <c r="A4357" s="11" t="n">
        <v>46142</v>
      </c>
      <c r="B4357" t="inlineStr">
        <is>
          <t>Lizandra Gomes Duarte</t>
        </is>
      </c>
      <c r="C4357" t="inlineStr">
        <is>
          <t>Técnico II</t>
        </is>
      </c>
      <c r="D4357" s="9" t="n">
        <v>18</v>
      </c>
      <c r="E4357" s="9" t="n">
        <v>17</v>
      </c>
      <c r="F4357" s="9" t="n">
        <v>21.44</v>
      </c>
      <c r="G4357" s="9" t="n">
        <v>0</v>
      </c>
      <c r="H4357" s="9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9" t="n">
        <v>1</v>
      </c>
      <c r="N4357" s="9" t="n">
        <v>99.17</v>
      </c>
      <c r="O4357" s="9" t="n">
        <v>29.75206611570248</v>
      </c>
    </row>
    <row r="4358">
      <c r="A4358" s="5" t="n">
        <v>46146</v>
      </c>
      <c r="B4358" s="6" t="inlineStr">
        <is>
          <t>Lizandra Gomes Duarte</t>
        </is>
      </c>
      <c r="C4358" s="3" t="inlineStr">
        <is>
          <t>Técnico II</t>
        </is>
      </c>
      <c r="D4358" s="3" t="n">
        <v>29</v>
      </c>
      <c r="E4358" s="3" t="n">
        <v>26</v>
      </c>
      <c r="F4358" s="3" t="n">
        <v>15.47</v>
      </c>
      <c r="G4358" s="3" t="n">
        <v>0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IF(K4358&lt;-5,"CRÍTICO",IF(K4358&lt;0,"ATENÇÃO",IF(K4358&lt;=5,"BOM","EXCELENTE")))</f>
        <v/>
      </c>
      <c r="M4358" s="9" t="n">
        <v>15</v>
      </c>
      <c r="N4358" s="9" t="n">
        <v>99</v>
      </c>
      <c r="O4358" s="9" t="n">
        <v>22.01086956521739</v>
      </c>
    </row>
    <row r="4359">
      <c r="A4359" s="5" t="n">
        <v>46147</v>
      </c>
      <c r="B4359" s="6" t="inlineStr">
        <is>
          <t>Lizandra Gomes Duarte</t>
        </is>
      </c>
      <c r="C4359" s="3" t="inlineStr">
        <is>
          <t>Técnico II</t>
        </is>
      </c>
      <c r="D4359" s="3" t="n">
        <v>18</v>
      </c>
      <c r="E4359" s="3" t="n">
        <v>18</v>
      </c>
      <c r="F4359" s="3" t="n">
        <v>18.28</v>
      </c>
      <c r="G4359" s="3" t="n">
        <v>4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IF(K4359&lt;-5,"CRÍTICO",IF(K4359&lt;0,"ATENÇÃO",IF(K4359&lt;=5,"BOM","EXCELENTE")))</f>
        <v/>
      </c>
      <c r="M4359" s="3" t="n">
        <v>25</v>
      </c>
      <c r="N4359" s="3" t="n">
        <v>99</v>
      </c>
      <c r="O4359" s="3" t="n">
        <v>22.01086956521739</v>
      </c>
    </row>
    <row r="4360">
      <c r="A4360" s="5" t="n">
        <v>46148</v>
      </c>
      <c r="B4360" s="6" t="inlineStr">
        <is>
          <t>Lizandra Gomes Duarte</t>
        </is>
      </c>
      <c r="C4360" s="3" t="inlineStr">
        <is>
          <t>Técnico II</t>
        </is>
      </c>
      <c r="D4360" s="3" t="n">
        <v>38</v>
      </c>
      <c r="E4360" s="3" t="n">
        <v>36</v>
      </c>
      <c r="F4360" s="9" t="n">
        <v>15.35</v>
      </c>
      <c r="G4360" s="3" t="n">
        <v>2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IF(K4360&lt;-5,"CRÍTICO",IF(K4360&lt;0,"ATENÇÃO",IF(K4360&lt;=5,"BOM","EXCELENTE")))</f>
        <v/>
      </c>
      <c r="M4360" s="3" t="n">
        <v>16</v>
      </c>
      <c r="N4360" s="3" t="n">
        <v>99</v>
      </c>
      <c r="O4360" s="3" t="n">
        <v>22.01086956521739</v>
      </c>
    </row>
    <row r="4361">
      <c r="A4361" s="11" t="n">
        <v>46168</v>
      </c>
      <c r="B4361" t="inlineStr">
        <is>
          <t>Lizandra Gomes Duarte</t>
        </is>
      </c>
      <c r="C4361" t="inlineStr">
        <is>
          <t>Técnico II</t>
        </is>
      </c>
      <c r="D4361" s="3" t="n">
        <v>21</v>
      </c>
      <c r="E4361" s="3" t="n">
        <v>20</v>
      </c>
      <c r="F4361" s="3" t="n">
        <v>20.39</v>
      </c>
      <c r="G4361" s="3" t="n">
        <v>0</v>
      </c>
      <c r="M4361" s="3" t="n">
        <v>18</v>
      </c>
      <c r="N4361" s="3" t="n">
        <v>99</v>
      </c>
      <c r="O4361" s="3" t="n">
        <v>22.01086956521739</v>
      </c>
    </row>
    <row r="4362">
      <c r="A4362" s="11" t="n">
        <v>46140</v>
      </c>
      <c r="B4362" t="inlineStr">
        <is>
          <t>Lorena Dias de Araujo</t>
        </is>
      </c>
      <c r="C4362" t="inlineStr">
        <is>
          <t>Técnico II</t>
        </is>
      </c>
      <c r="D4362" s="9" t="n">
        <v>0</v>
      </c>
      <c r="E4362" s="9" t="n">
        <v>0</v>
      </c>
      <c r="F4362" s="9" t="n">
        <v>0</v>
      </c>
      <c r="G4362" s="9" t="n">
        <v>0</v>
      </c>
      <c r="H4362" s="9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9" t="n">
        <v>0</v>
      </c>
      <c r="N4362" s="9" t="n">
        <v>98.73</v>
      </c>
      <c r="O4362" s="9" t="n">
        <v>28.96174863387978</v>
      </c>
    </row>
    <row r="4363">
      <c r="A4363" s="11" t="n">
        <v>46141</v>
      </c>
      <c r="B4363" t="inlineStr">
        <is>
          <t>Lorena Dias de Araujo</t>
        </is>
      </c>
      <c r="C4363" t="inlineStr">
        <is>
          <t>Técnico II</t>
        </is>
      </c>
      <c r="D4363" s="9" t="n">
        <v>0</v>
      </c>
      <c r="E4363" s="9" t="n">
        <v>0</v>
      </c>
      <c r="F4363" s="9" t="n">
        <v>0</v>
      </c>
      <c r="G4363" s="9" t="n">
        <v>0</v>
      </c>
      <c r="H4363" s="9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9" t="n">
        <v>0</v>
      </c>
      <c r="N4363" s="9" t="n">
        <v>98.73</v>
      </c>
      <c r="O4363" s="9" t="n">
        <v>28.96174863387978</v>
      </c>
    </row>
    <row r="4364">
      <c r="A4364" s="11" t="n">
        <v>46142</v>
      </c>
      <c r="B4364" t="inlineStr">
        <is>
          <t>Lorena Dias de Araujo</t>
        </is>
      </c>
      <c r="C4364" t="inlineStr">
        <is>
          <t>Técnico II</t>
        </is>
      </c>
      <c r="D4364" s="9" t="n">
        <v>0</v>
      </c>
      <c r="E4364" s="9" t="n">
        <v>0</v>
      </c>
      <c r="F4364" s="9" t="n">
        <v>0</v>
      </c>
      <c r="G4364" s="9" t="n">
        <v>0</v>
      </c>
      <c r="H4364" s="9" t="n">
        <v>0</v>
      </c>
      <c r="I4364" s="3" t="n">
        <v>0</v>
      </c>
      <c r="J4364" s="3" t="n">
        <v>0</v>
      </c>
      <c r="K4364" s="3" t="n">
        <v>0</v>
      </c>
      <c r="L4364" s="3">
        <f>IF(K4364&lt;-5,"CRÍTICO",IF(K4364&lt;0,"ATENÇÃO",IF(K4364&lt;=5,"OPORTUNO","MUITO BOM")))</f>
        <v/>
      </c>
      <c r="M4364" s="9" t="n">
        <v>0</v>
      </c>
      <c r="N4364" s="9" t="n">
        <v>98.73</v>
      </c>
      <c r="O4364" s="9" t="n">
        <v>28.96174863387978</v>
      </c>
    </row>
    <row r="4365">
      <c r="A4365" s="5" t="n">
        <v>46146</v>
      </c>
      <c r="B4365" s="6" t="inlineStr">
        <is>
          <t>Lorena Dias de Araujo</t>
        </is>
      </c>
      <c r="C4365" s="3" t="inlineStr">
        <is>
          <t>Técnico II</t>
        </is>
      </c>
      <c r="D4365" s="3" t="n">
        <v>41</v>
      </c>
      <c r="E4365" s="3" t="n">
        <v>40</v>
      </c>
      <c r="F4365" s="3" t="n">
        <v>15.1</v>
      </c>
      <c r="G4365" s="3" t="n">
        <v>0</v>
      </c>
      <c r="H4365" s="3" t="n">
        <v>0</v>
      </c>
      <c r="I4365" s="3" t="n">
        <v>0</v>
      </c>
      <c r="J4365" s="3" t="n">
        <v>0</v>
      </c>
      <c r="K4365" s="3" t="n">
        <v>0</v>
      </c>
      <c r="L4365" s="3">
        <f>IF(K4365&lt;-5,"CRÍTICO",IF(K4365&lt;0,"ATENÇÃO",IF(K4365&lt;=5,"BOM","EXCELENTE")))</f>
        <v/>
      </c>
      <c r="M4365" s="9" t="n">
        <v>31</v>
      </c>
      <c r="N4365" s="9" t="n">
        <v>100</v>
      </c>
      <c r="O4365" s="9" t="n">
        <v>25</v>
      </c>
    </row>
    <row r="4366">
      <c r="A4366" s="5" t="n">
        <v>46147</v>
      </c>
      <c r="B4366" s="6" t="inlineStr">
        <is>
          <t>Lorena Dias de Araujo</t>
        </is>
      </c>
      <c r="C4366" s="3" t="inlineStr">
        <is>
          <t>Técnico II</t>
        </is>
      </c>
      <c r="D4366" s="3" t="n">
        <v>37</v>
      </c>
      <c r="E4366" s="3" t="n">
        <v>35</v>
      </c>
      <c r="F4366" s="3" t="n">
        <v>15.27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IF(K4366&lt;-5,"CRÍTICO",IF(K4366&lt;0,"ATENÇÃO",IF(K4366&lt;=5,"BOM","EXCELENTE")))</f>
        <v/>
      </c>
      <c r="M4366" s="3" t="n">
        <v>37</v>
      </c>
      <c r="N4366" s="3" t="n">
        <v>100</v>
      </c>
      <c r="O4366" s="3" t="n">
        <v>25</v>
      </c>
    </row>
    <row r="4367">
      <c r="A4367" s="5" t="n">
        <v>46148</v>
      </c>
      <c r="B4367" s="6" t="inlineStr">
        <is>
          <t>Lorena Dias de Araujo</t>
        </is>
      </c>
      <c r="C4367" s="3" t="inlineStr">
        <is>
          <t>Técnico II</t>
        </is>
      </c>
      <c r="D4367" s="3" t="n">
        <v>34</v>
      </c>
      <c r="E4367" s="3" t="n">
        <v>31</v>
      </c>
      <c r="F4367" s="9" t="n">
        <v>16.42</v>
      </c>
      <c r="G4367" s="3" t="n">
        <v>0</v>
      </c>
      <c r="H4367" s="3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IF(K4367&lt;-5,"CRÍTICO",IF(K4367&lt;0,"ATENÇÃO",IF(K4367&lt;=5,"BOM","EXCELENTE")))</f>
        <v/>
      </c>
      <c r="M4367" s="3" t="n">
        <v>28</v>
      </c>
      <c r="N4367" s="3" t="n">
        <v>100</v>
      </c>
      <c r="O4367" s="3" t="n">
        <v>25</v>
      </c>
    </row>
    <row r="4368">
      <c r="A4368" s="11" t="n">
        <v>46168</v>
      </c>
      <c r="B4368" t="inlineStr">
        <is>
          <t>Lorena Dias de Araujo</t>
        </is>
      </c>
      <c r="C4368" t="inlineStr">
        <is>
          <t>Técnico II</t>
        </is>
      </c>
      <c r="D4368" s="3" t="n">
        <v>18</v>
      </c>
      <c r="E4368" s="3" t="n">
        <v>17</v>
      </c>
      <c r="F4368" s="3" t="n">
        <v>22.25</v>
      </c>
      <c r="G4368" s="3" t="n">
        <v>0</v>
      </c>
      <c r="M4368" s="3" t="n">
        <v>15</v>
      </c>
      <c r="N4368" s="3" t="n">
        <v>100</v>
      </c>
      <c r="O4368" s="3" t="n">
        <v>25</v>
      </c>
    </row>
    <row r="4369">
      <c r="A4369" s="11" t="n">
        <v>46140</v>
      </c>
      <c r="B4369" t="inlineStr">
        <is>
          <t>Patrícia Karla de Sousa Araújo</t>
        </is>
      </c>
      <c r="C4369" t="inlineStr">
        <is>
          <t>Técnico II</t>
        </is>
      </c>
      <c r="D4369" s="9" t="n">
        <v>0</v>
      </c>
      <c r="E4369" s="9" t="n">
        <v>0</v>
      </c>
      <c r="F4369" s="9" t="n">
        <v>0</v>
      </c>
      <c r="G4369" s="9" t="n">
        <v>0</v>
      </c>
      <c r="H4369" s="9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9" t="n">
        <v>0</v>
      </c>
      <c r="N4369" s="9" t="n">
        <v>99.02</v>
      </c>
      <c r="O4369" s="9" t="n">
        <v>34.7972972972973</v>
      </c>
    </row>
    <row r="4370">
      <c r="A4370" s="11" t="n">
        <v>46141</v>
      </c>
      <c r="B4370" t="inlineStr">
        <is>
          <t>Patrícia Karla de Sousa Araújo</t>
        </is>
      </c>
      <c r="C4370" t="inlineStr">
        <is>
          <t>Técnico II</t>
        </is>
      </c>
      <c r="D4370" s="9" t="n">
        <v>0</v>
      </c>
      <c r="E4370" s="9" t="n">
        <v>0</v>
      </c>
      <c r="F4370" s="9" t="n">
        <v>0</v>
      </c>
      <c r="G4370" s="9" t="n">
        <v>0</v>
      </c>
      <c r="H4370" s="9" t="n">
        <v>0</v>
      </c>
      <c r="I4370" s="3" t="n">
        <v>0</v>
      </c>
      <c r="J4370" s="3" t="n">
        <v>0</v>
      </c>
      <c r="K4370" s="3" t="n">
        <v>0</v>
      </c>
      <c r="L4370" s="3">
        <f>IF(K4370&lt;-5,"CRÍTICO",IF(K4370&lt;0,"ATENÇÃO",IF(K4370&lt;=5,"OPORTUNO","MUITO BOM")))</f>
        <v/>
      </c>
      <c r="M4370" s="9" t="n">
        <v>0</v>
      </c>
      <c r="N4370" s="9" t="n">
        <v>99.02</v>
      </c>
      <c r="O4370" s="9" t="n">
        <v>34.7972972972973</v>
      </c>
    </row>
    <row r="4371">
      <c r="A4371" s="11" t="n">
        <v>46142</v>
      </c>
      <c r="B4371" t="inlineStr">
        <is>
          <t>Patrícia Karla de Sousa Araújo</t>
        </is>
      </c>
      <c r="C4371" t="inlineStr">
        <is>
          <t>Técnico II</t>
        </is>
      </c>
      <c r="D4371" s="9" t="n">
        <v>31</v>
      </c>
      <c r="E4371" s="9" t="n">
        <v>27</v>
      </c>
      <c r="F4371" s="9" t="n">
        <v>15.42</v>
      </c>
      <c r="G4371" s="9" t="n">
        <v>0</v>
      </c>
      <c r="H4371" s="9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9" t="n">
        <v>24</v>
      </c>
      <c r="N4371" s="9" t="n">
        <v>99.02</v>
      </c>
      <c r="O4371" s="9" t="n">
        <v>34.7972972972973</v>
      </c>
    </row>
    <row r="4372">
      <c r="A4372" s="5" t="n">
        <v>46146</v>
      </c>
      <c r="B4372" s="6" t="inlineStr">
        <is>
          <t>Patrícia Karla de Sousa Araújo</t>
        </is>
      </c>
      <c r="C4372" s="3" t="inlineStr">
        <is>
          <t>Técnico II</t>
        </is>
      </c>
      <c r="D4372" s="3" t="n">
        <v>20</v>
      </c>
      <c r="E4372" s="3" t="n">
        <v>16</v>
      </c>
      <c r="F4372" s="3" t="n">
        <v>16.51</v>
      </c>
      <c r="G4372" s="3" t="n">
        <v>0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IF(K4372&lt;-5,"CRÍTICO",IF(K4372&lt;0,"ATENÇÃO",IF(K4372&lt;=5,"BOM","EXCELENTE")))</f>
        <v/>
      </c>
      <c r="M4372" s="9" t="n">
        <v>14</v>
      </c>
      <c r="N4372" s="9" t="n">
        <v>100</v>
      </c>
      <c r="O4372" s="9" t="n">
        <v>20.18348623853211</v>
      </c>
    </row>
    <row r="4373">
      <c r="A4373" s="5" t="n">
        <v>46147</v>
      </c>
      <c r="B4373" s="6" t="inlineStr">
        <is>
          <t>Patrícia Karla de Sousa Araújo</t>
        </is>
      </c>
      <c r="C4373" s="3" t="inlineStr">
        <is>
          <t>Técnico II</t>
        </is>
      </c>
      <c r="D4373" s="3" t="n">
        <v>27</v>
      </c>
      <c r="E4373" s="3" t="n">
        <v>25</v>
      </c>
      <c r="F4373" s="3" t="n">
        <v>17.39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IF(K4373&lt;-5,"CRÍTICO",IF(K4373&lt;0,"ATENÇÃO",IF(K4373&lt;=5,"BOM","EXCELENTE")))</f>
        <v/>
      </c>
      <c r="M4373" s="3" t="n">
        <v>21</v>
      </c>
      <c r="N4373" s="3" t="n">
        <v>100</v>
      </c>
      <c r="O4373" s="3" t="n">
        <v>20.18348623853211</v>
      </c>
    </row>
    <row r="4374">
      <c r="A4374" s="5" t="n">
        <v>46148</v>
      </c>
      <c r="B4374" s="6" t="inlineStr">
        <is>
          <t>Patrícia Karla de Sousa Araújo</t>
        </is>
      </c>
      <c r="C4374" s="3" t="inlineStr">
        <is>
          <t>Técnico II</t>
        </is>
      </c>
      <c r="D4374" s="3" t="n">
        <v>35</v>
      </c>
      <c r="E4374" s="3" t="n">
        <v>33</v>
      </c>
      <c r="F4374" s="9" t="n">
        <v>15.19</v>
      </c>
      <c r="G4374" s="3" t="n">
        <v>0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IF(K4374&lt;-5,"CRÍTICO",IF(K4374&lt;0,"ATENÇÃO",IF(K4374&lt;=5,"BOM","EXCELENTE")))</f>
        <v/>
      </c>
      <c r="M4374" s="3" t="n">
        <v>30</v>
      </c>
      <c r="N4374" s="3" t="n">
        <v>100</v>
      </c>
      <c r="O4374" s="3" t="n">
        <v>20.18348623853211</v>
      </c>
    </row>
    <row r="4375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s="3" t="n">
        <v>0</v>
      </c>
      <c r="E4375" s="3" t="n">
        <v>0</v>
      </c>
      <c r="F4375" s="3" t="n">
        <v>0</v>
      </c>
      <c r="G4375" s="3" t="n">
        <v>0</v>
      </c>
      <c r="H4375" s="3" t="n">
        <v>0</v>
      </c>
      <c r="I4375" s="3" t="n">
        <v>0</v>
      </c>
      <c r="J4375" s="3" t="n">
        <v>0</v>
      </c>
      <c r="K4375" s="3" t="n">
        <v>0</v>
      </c>
      <c r="M4375" s="3" t="n">
        <v>0</v>
      </c>
      <c r="N4375" s="3" t="n">
        <v>100</v>
      </c>
      <c r="O4375" s="3" t="n">
        <v>20.18348623853211</v>
      </c>
    </row>
    <row r="4376">
      <c r="A4376" s="11" t="n">
        <v>46140</v>
      </c>
      <c r="B4376" t="inlineStr">
        <is>
          <t>Ana Karollyne Souza Faria</t>
        </is>
      </c>
      <c r="C4376" t="inlineStr">
        <is>
          <t>Técnico I</t>
        </is>
      </c>
      <c r="D4376" s="9" t="n">
        <v>26</v>
      </c>
      <c r="E4376" s="9" t="n">
        <v>24</v>
      </c>
      <c r="F4376" s="9" t="n">
        <v>19.19</v>
      </c>
      <c r="G4376" s="9" t="n">
        <v>0</v>
      </c>
      <c r="H4376" s="9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M4376" s="9" t="n">
        <v>22</v>
      </c>
      <c r="N4376" s="9" t="n">
        <v>99.31999999999999</v>
      </c>
      <c r="O4376" s="9" t="n">
        <v>30.6483300589391</v>
      </c>
    </row>
    <row r="4377">
      <c r="A4377" s="11" t="n">
        <v>46141</v>
      </c>
      <c r="B4377" t="inlineStr">
        <is>
          <t>Ana Karollyne Souza Faria</t>
        </is>
      </c>
      <c r="C4377" t="inlineStr">
        <is>
          <t>Técnico I</t>
        </is>
      </c>
      <c r="D4377" s="9" t="n">
        <v>33</v>
      </c>
      <c r="E4377" s="9" t="n">
        <v>29</v>
      </c>
      <c r="F4377" s="9" t="n">
        <v>20.25</v>
      </c>
      <c r="G4377" s="9" t="n">
        <v>0</v>
      </c>
      <c r="H4377" s="9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9" t="n">
        <v>28</v>
      </c>
      <c r="N4377" s="9" t="n">
        <v>99.31999999999999</v>
      </c>
      <c r="O4377" s="9" t="n">
        <v>30.6483300589391</v>
      </c>
    </row>
    <row r="4378">
      <c r="A4378" s="11" t="n">
        <v>46142</v>
      </c>
      <c r="B4378" t="inlineStr">
        <is>
          <t>Ana Karollyne Souza Faria</t>
        </is>
      </c>
      <c r="C4378" t="inlineStr">
        <is>
          <t>Técnico I</t>
        </is>
      </c>
      <c r="D4378" s="9" t="n">
        <v>26</v>
      </c>
      <c r="E4378" s="9" t="n">
        <v>24</v>
      </c>
      <c r="F4378" s="9" t="n">
        <v>18.24</v>
      </c>
      <c r="G4378" s="9" t="n">
        <v>0</v>
      </c>
      <c r="H4378" s="9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9" t="n">
        <v>26</v>
      </c>
      <c r="N4378" s="9" t="n">
        <v>99.31999999999999</v>
      </c>
      <c r="O4378" s="9" t="n">
        <v>30.6483300589391</v>
      </c>
    </row>
    <row r="4379">
      <c r="A4379" s="5" t="n">
        <v>46146</v>
      </c>
      <c r="B4379" s="6" t="inlineStr">
        <is>
          <t>Ana Karollyne Souza Faria</t>
        </is>
      </c>
      <c r="C4379" s="3" t="inlineStr">
        <is>
          <t>Técnico I</t>
        </is>
      </c>
      <c r="D4379" s="3" t="n">
        <v>41</v>
      </c>
      <c r="E4379" s="3" t="n">
        <v>39</v>
      </c>
      <c r="F4379" s="3" t="n">
        <v>17.31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35</v>
      </c>
      <c r="N4379" s="9" t="n">
        <v>96.25</v>
      </c>
      <c r="O4379" s="9" t="n">
        <v>25.5863539445629</v>
      </c>
    </row>
    <row r="4380">
      <c r="A4380" s="5" t="n">
        <v>46147</v>
      </c>
      <c r="B4380" t="inlineStr">
        <is>
          <t>Ana Karollyne Souza Faria</t>
        </is>
      </c>
      <c r="C4380" s="3" t="inlineStr">
        <is>
          <t>Técnico I</t>
        </is>
      </c>
      <c r="D4380" s="3" t="n">
        <v>30</v>
      </c>
      <c r="E4380" s="3" t="n">
        <v>30</v>
      </c>
      <c r="F4380" s="3" t="n">
        <v>17.01</v>
      </c>
      <c r="G4380" s="3" t="n">
        <v>7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3" t="n">
        <v>36</v>
      </c>
      <c r="N4380" s="3" t="n">
        <v>96.25</v>
      </c>
      <c r="O4380" s="3" t="n">
        <v>25.5863539445629</v>
      </c>
    </row>
    <row r="4381">
      <c r="A4381" s="5" t="n">
        <v>46148</v>
      </c>
      <c r="B4381" s="6" t="inlineStr">
        <is>
          <t>Ana Karollyne Souza Faria</t>
        </is>
      </c>
      <c r="C4381" s="3" t="inlineStr">
        <is>
          <t>Técnico I</t>
        </is>
      </c>
      <c r="D4381" s="3" t="n">
        <v>50</v>
      </c>
      <c r="E4381" s="3" t="n">
        <v>43</v>
      </c>
      <c r="F4381" s="9" t="n">
        <v>14.05</v>
      </c>
      <c r="G4381" s="3" t="n">
        <v>6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3" t="n">
        <v>43</v>
      </c>
      <c r="N4381" s="3" t="n">
        <v>96.25</v>
      </c>
      <c r="O4381" s="3" t="n">
        <v>25.5863539445629</v>
      </c>
    </row>
    <row r="4382">
      <c r="A4382" s="11" t="n">
        <v>46168</v>
      </c>
      <c r="B4382" t="inlineStr">
        <is>
          <t>Ana Karollyne Souza Faria</t>
        </is>
      </c>
      <c r="C4382" t="inlineStr">
        <is>
          <t>Técnico I</t>
        </is>
      </c>
      <c r="D4382" s="3" t="n">
        <v>24</v>
      </c>
      <c r="E4382" s="3" t="n">
        <v>22</v>
      </c>
      <c r="F4382" s="3" t="n">
        <v>18.55</v>
      </c>
      <c r="G4382" s="3" t="n">
        <v>1</v>
      </c>
      <c r="M4382" s="3" t="n">
        <v>21</v>
      </c>
      <c r="N4382" s="3" t="n">
        <v>96.25</v>
      </c>
      <c r="O4382" s="3" t="n">
        <v>25.5863539445629</v>
      </c>
    </row>
    <row r="4383">
      <c r="A4383" s="11" t="n">
        <v>46140</v>
      </c>
      <c r="B4383" t="inlineStr">
        <is>
          <t>Clessiane Pereira dos Santos</t>
        </is>
      </c>
      <c r="C4383" t="inlineStr">
        <is>
          <t>Técnico I</t>
        </is>
      </c>
      <c r="D4383" s="9" t="n">
        <v>27</v>
      </c>
      <c r="E4383" s="9" t="n">
        <v>26</v>
      </c>
      <c r="F4383" s="9" t="n">
        <v>15.4</v>
      </c>
      <c r="G4383" s="9" t="n">
        <v>0</v>
      </c>
      <c r="H4383" s="9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9" t="n">
        <v>25</v>
      </c>
      <c r="N4383" s="9" t="n">
        <v>96.3</v>
      </c>
      <c r="O4383" s="9" t="n">
        <v>32.21957040572792</v>
      </c>
    </row>
    <row r="4384">
      <c r="A4384" s="11" t="n">
        <v>46141</v>
      </c>
      <c r="B4384" t="inlineStr">
        <is>
          <t>Clessiane Pereira dos Santos</t>
        </is>
      </c>
      <c r="C4384" t="inlineStr">
        <is>
          <t>Técnico I</t>
        </is>
      </c>
      <c r="D4384" s="9" t="n">
        <v>51</v>
      </c>
      <c r="E4384" s="9" t="n">
        <v>13</v>
      </c>
      <c r="F4384" s="9" t="n">
        <v>3.26</v>
      </c>
      <c r="G4384" s="9" t="n">
        <v>0</v>
      </c>
      <c r="H4384" s="9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9" t="n">
        <v>19</v>
      </c>
      <c r="N4384" s="9" t="n">
        <v>96.3</v>
      </c>
      <c r="O4384" s="9" t="n">
        <v>32.21957040572792</v>
      </c>
    </row>
    <row r="4385">
      <c r="A4385" s="11" t="n">
        <v>46142</v>
      </c>
      <c r="B4385" t="inlineStr">
        <is>
          <t>Clessiane Pereira dos Santos</t>
        </is>
      </c>
      <c r="C4385" t="inlineStr">
        <is>
          <t>Técnico I</t>
        </is>
      </c>
      <c r="D4385" s="9" t="n">
        <v>23</v>
      </c>
      <c r="E4385" s="9" t="n">
        <v>23</v>
      </c>
      <c r="F4385" s="9" t="n">
        <v>25.3</v>
      </c>
      <c r="G4385" s="9" t="n">
        <v>0</v>
      </c>
      <c r="H4385" s="9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9" t="n">
        <v>19</v>
      </c>
      <c r="N4385" s="9" t="n">
        <v>96.3</v>
      </c>
      <c r="O4385" s="9" t="n">
        <v>32.21957040572792</v>
      </c>
    </row>
    <row r="4386">
      <c r="A4386" s="5" t="n">
        <v>46146</v>
      </c>
      <c r="B4386" s="6" t="inlineStr">
        <is>
          <t>Clessiane Pereira dos Santos</t>
        </is>
      </c>
      <c r="C4386" s="3" t="inlineStr">
        <is>
          <t>Técnico I</t>
        </is>
      </c>
      <c r="D4386" s="3" t="n">
        <v>32</v>
      </c>
      <c r="E4386" s="3" t="n">
        <v>26</v>
      </c>
      <c r="F4386" s="3" t="n">
        <v>15.13</v>
      </c>
      <c r="G4386" s="3" t="n">
        <v>6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9" t="n">
        <v>29</v>
      </c>
      <c r="N4386" s="9" t="n">
        <v>97.48</v>
      </c>
      <c r="O4386" s="9" t="n">
        <v>22.99465240641711</v>
      </c>
    </row>
    <row r="4387">
      <c r="A4387" s="5" t="n">
        <v>46147</v>
      </c>
      <c r="B4387" s="6" t="inlineStr">
        <is>
          <t>Clessiane Pereira dos Santos</t>
        </is>
      </c>
      <c r="C4387" s="3" t="inlineStr">
        <is>
          <t>Técnico I</t>
        </is>
      </c>
      <c r="D4387" s="3" t="n">
        <v>122</v>
      </c>
      <c r="E4387" s="3" t="n">
        <v>28</v>
      </c>
      <c r="F4387" s="3" t="n">
        <v>3.47</v>
      </c>
      <c r="G4387" s="3" t="n">
        <v>1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16</v>
      </c>
      <c r="N4387" s="3" t="n">
        <v>97.48</v>
      </c>
      <c r="O4387" s="3" t="n">
        <v>22.99465240641711</v>
      </c>
    </row>
    <row r="4388">
      <c r="A4388" s="5" t="n">
        <v>46148</v>
      </c>
      <c r="B4388" s="6" t="inlineStr">
        <is>
          <t>Clessiane Pereira dos Santos</t>
        </is>
      </c>
      <c r="C4388" s="3" t="inlineStr">
        <is>
          <t>Técnico I</t>
        </is>
      </c>
      <c r="D4388" s="3" t="n">
        <v>24</v>
      </c>
      <c r="E4388" s="3" t="n">
        <v>23</v>
      </c>
      <c r="F4388" s="9" t="n">
        <v>17.07</v>
      </c>
      <c r="G4388" s="3" t="n">
        <v>9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30</v>
      </c>
      <c r="N4388" s="3" t="n">
        <v>97.48</v>
      </c>
      <c r="O4388" s="3" t="n">
        <v>22.99465240641711</v>
      </c>
    </row>
    <row r="4389">
      <c r="A4389" s="11" t="n">
        <v>46168</v>
      </c>
      <c r="B4389" t="inlineStr">
        <is>
          <t>Clessiane Pereira dos Santos</t>
        </is>
      </c>
      <c r="C4389" t="inlineStr">
        <is>
          <t>Técnico I</t>
        </is>
      </c>
      <c r="D4389" s="3" t="n">
        <v>28</v>
      </c>
      <c r="E4389" s="3" t="n">
        <v>26</v>
      </c>
      <c r="F4389" s="3" t="n">
        <v>15.35</v>
      </c>
      <c r="G4389" s="3" t="n">
        <v>2</v>
      </c>
      <c r="M4389" s="3" t="n">
        <v>25</v>
      </c>
      <c r="N4389" s="3" t="n">
        <v>97.48</v>
      </c>
      <c r="O4389" s="3" t="n">
        <v>22.99465240641711</v>
      </c>
    </row>
    <row r="4390">
      <c r="A4390" s="11" t="n">
        <v>46140</v>
      </c>
      <c r="B4390" t="inlineStr">
        <is>
          <t>Daniel Gomes da Silva</t>
        </is>
      </c>
      <c r="C4390" t="inlineStr">
        <is>
          <t>Técnico I</t>
        </is>
      </c>
      <c r="D4390" s="9" t="n">
        <v>17</v>
      </c>
      <c r="E4390" s="9" t="n">
        <v>17</v>
      </c>
      <c r="F4390" s="9" t="n">
        <v>17.23</v>
      </c>
      <c r="G4390" s="9" t="n">
        <v>0</v>
      </c>
      <c r="H4390" s="9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9" t="n">
        <v>15</v>
      </c>
      <c r="N4390" s="9" t="n">
        <v>100</v>
      </c>
      <c r="O4390" s="9" t="n">
        <v>36.59420289855073</v>
      </c>
    </row>
    <row r="4391">
      <c r="A4391" s="11" t="n">
        <v>46141</v>
      </c>
      <c r="B4391" t="inlineStr">
        <is>
          <t>Daniel Gomes da Silva</t>
        </is>
      </c>
      <c r="C4391" t="inlineStr">
        <is>
          <t>Técnico I</t>
        </is>
      </c>
      <c r="D4391" s="9" t="n">
        <v>29</v>
      </c>
      <c r="E4391" s="9" t="n">
        <v>28</v>
      </c>
      <c r="F4391" s="9" t="n">
        <v>18.51</v>
      </c>
      <c r="G4391" s="9" t="n">
        <v>0</v>
      </c>
      <c r="H4391" s="9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9" t="n">
        <v>22</v>
      </c>
      <c r="N4391" s="9" t="n">
        <v>100</v>
      </c>
      <c r="O4391" s="9" t="n">
        <v>36.59420289855073</v>
      </c>
    </row>
    <row r="4392">
      <c r="A4392" s="11" t="n">
        <v>46142</v>
      </c>
      <c r="B4392" t="inlineStr">
        <is>
          <t>Daniel Gomes da Silva</t>
        </is>
      </c>
      <c r="C4392" t="inlineStr">
        <is>
          <t>Técnico I</t>
        </is>
      </c>
      <c r="D4392" s="9" t="n">
        <v>23</v>
      </c>
      <c r="E4392" s="9" t="n">
        <v>23</v>
      </c>
      <c r="F4392" s="9" t="n">
        <v>20.21</v>
      </c>
      <c r="G4392" s="9" t="n">
        <v>0</v>
      </c>
      <c r="H4392" s="9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9" t="n">
        <v>17</v>
      </c>
      <c r="N4392" s="9" t="n">
        <v>100</v>
      </c>
      <c r="O4392" s="9" t="n">
        <v>36.59420289855073</v>
      </c>
    </row>
    <row r="4393">
      <c r="A4393" s="5" t="n">
        <v>46146</v>
      </c>
      <c r="B4393" s="6" t="inlineStr">
        <is>
          <t>Daniel Gomes da Silva</t>
        </is>
      </c>
      <c r="C4393" s="3" t="inlineStr">
        <is>
          <t>Técnico I</t>
        </is>
      </c>
      <c r="D4393" s="3" t="n">
        <v>28</v>
      </c>
      <c r="E4393" s="3" t="n">
        <v>27</v>
      </c>
      <c r="F4393" s="3" t="n">
        <v>17.14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9" t="n">
        <v>16</v>
      </c>
      <c r="N4393" s="9" t="n">
        <v>100</v>
      </c>
      <c r="O4393" s="9" t="n">
        <v>20.78853046594982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96.25</v>
      </c>
      <c r="O4394" s="3" t="n">
        <v>25.5863539445629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97.48</v>
      </c>
      <c r="O4395" s="3" t="n">
        <v>22.99465240641711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20.78853046594982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94.55</v>
      </c>
      <c r="O4397" s="3" t="n">
        <v>23.45013477088949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98</v>
      </c>
      <c r="O4398" s="3" t="n">
        <v>20.73490813648294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18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96.25</v>
      </c>
      <c r="O4400" s="3" t="n">
        <v>25.5863539445629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97.48</v>
      </c>
      <c r="O4401" t="n">
        <v>22.99465240641711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20.78853046594982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94.55</v>
      </c>
      <c r="O4403" t="n">
        <v>23.45013477088949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98</v>
      </c>
      <c r="O4404" t="n">
        <v>20.73490813648294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18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96.25</v>
      </c>
      <c r="O4406" s="3" t="n">
        <v>25.5863539445629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97.48</v>
      </c>
      <c r="O4407" t="n">
        <v>22.99465240641711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20.78853046594982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94.55</v>
      </c>
      <c r="O4409" t="n">
        <v>23.45013477088949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98</v>
      </c>
      <c r="O4410" t="n">
        <v>20.73490813648294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18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96.25</v>
      </c>
      <c r="O4412" s="3" t="n">
        <v>25.5863539445629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97.48</v>
      </c>
      <c r="O4413" t="n">
        <v>22.99465240641711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20.78853046594982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94.55</v>
      </c>
      <c r="O4415" t="n">
        <v>23.45013477088949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98</v>
      </c>
      <c r="O4416" t="n">
        <v>20.73490813648294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18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96.25</v>
      </c>
      <c r="O4418" s="3" t="n">
        <v>25.5863539445629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97.48</v>
      </c>
      <c r="O4419" t="n">
        <v>22.99465240641711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20.78853046594982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94.55</v>
      </c>
      <c r="O4421" t="n">
        <v>23.45013477088949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98</v>
      </c>
      <c r="O4422" t="n">
        <v>20.73490813648294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18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96.25</v>
      </c>
      <c r="O4424" s="3" t="n">
        <v>25.5863539445629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97.48</v>
      </c>
      <c r="O4425" t="n">
        <v>22.99465240641711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20.78853046594982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94.55</v>
      </c>
      <c r="O4427" t="n">
        <v>23.45013477088949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98</v>
      </c>
      <c r="O4428" t="n">
        <v>20.73490813648294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18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96.25</v>
      </c>
      <c r="O4430" s="3" t="n">
        <v>25.5863539445629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97.48</v>
      </c>
      <c r="O4431" t="n">
        <v>22.99465240641711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20.78853046594982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94.55</v>
      </c>
      <c r="O4433" t="n">
        <v>23.45013477088949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98</v>
      </c>
      <c r="O4434" t="n">
        <v>20.73490813648294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18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96.25</v>
      </c>
      <c r="O4436" s="3" t="n">
        <v>25.5863539445629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97.48</v>
      </c>
      <c r="O4437" t="n">
        <v>22.99465240641711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20.78853046594982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94.55</v>
      </c>
      <c r="O4439" t="n">
        <v>23.45013477088949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98</v>
      </c>
      <c r="O4440" t="n">
        <v>20.73490813648294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18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96.25</v>
      </c>
      <c r="O4442" s="3" t="n">
        <v>25.5863539445629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97.48</v>
      </c>
      <c r="O4443" t="n">
        <v>22.99465240641711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20.78853046594982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94.55</v>
      </c>
      <c r="O4445" t="n">
        <v>23.45013477088949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98</v>
      </c>
      <c r="O4446" t="n">
        <v>20.73490813648294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18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27</v>
      </c>
      <c r="N4448" s="9" t="n">
        <v>96.25</v>
      </c>
      <c r="O4448" s="9" t="n">
        <v>25.5863539445629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97.48</v>
      </c>
      <c r="O4449" s="9" t="n">
        <v>22.99465240641711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20.78853046594982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94.55</v>
      </c>
      <c r="O4451" s="9" t="n">
        <v>23.45013477088949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98</v>
      </c>
      <c r="O4452" s="9" t="n">
        <v>20.73490813648294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18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96.25</v>
      </c>
      <c r="O4454" s="3" t="n">
        <v>25.5863539445629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97.48</v>
      </c>
      <c r="O4455" s="3" t="n">
        <v>22.99465240641711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20.78853046594982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94.55</v>
      </c>
      <c r="O4457" s="3" t="n">
        <v>23.45013477088949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98</v>
      </c>
      <c r="O4458" s="3" t="n">
        <v>20.73490813648294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18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96.25</v>
      </c>
      <c r="O4460" s="3" t="n">
        <v>25.5863539445629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97.48</v>
      </c>
      <c r="O4461" s="3" t="n">
        <v>22.99465240641711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20.78853046594982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94.55</v>
      </c>
      <c r="O4463" s="3" t="n">
        <v>23.45013477088949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98</v>
      </c>
      <c r="O4464" s="3" t="n">
        <v>20.73490813648294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18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t="n">
        <v>21</v>
      </c>
      <c r="N4466" t="n">
        <v>96.25</v>
      </c>
      <c r="O4466" t="n">
        <v>25.5863539445629</v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t="n">
        <v>11</v>
      </c>
      <c r="N4467" t="n">
        <v>97.48</v>
      </c>
      <c r="O4467" t="n">
        <v>22.99465240641711</v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t="n">
        <v>18</v>
      </c>
      <c r="N4468" t="n">
        <v>100</v>
      </c>
      <c r="O4468" t="n">
        <v>20.78853046594982</v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t="n">
        <v>14</v>
      </c>
      <c r="N4469" t="n">
        <v>94.55</v>
      </c>
      <c r="O4469" t="n">
        <v>23.45013477088949</v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t="n">
        <v>22</v>
      </c>
      <c r="N4470" t="n">
        <v>98</v>
      </c>
      <c r="O4470" t="n">
        <v>20.73490813648294</v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  <c r="M4471" t="n">
        <v>18</v>
      </c>
      <c r="N4471" t="n">
        <v>100</v>
      </c>
      <c r="O4471" t="n">
        <v>18</v>
      </c>
    </row>
    <row r="4472">
      <c r="A4472" s="5" t="n">
        <v>46147</v>
      </c>
      <c r="B4472" s="6" t="inlineStr">
        <is>
          <t>Daniel Gomes da Silva</t>
        </is>
      </c>
      <c r="C4472" s="3" t="inlineStr">
        <is>
          <t>Técnico I</t>
        </is>
      </c>
      <c r="D4472" s="3" t="n">
        <v>12</v>
      </c>
      <c r="E4472" s="3" t="n">
        <v>12</v>
      </c>
      <c r="F4472" s="3" t="n">
        <v>28.25</v>
      </c>
      <c r="G4472" s="3" t="n">
        <v>10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IF(K4472&lt;-5,"CRÍTICO",IF(K4472&lt;0,"ATENÇÃO",IF(K4472&lt;=5,"BOM","EXCELENTE")))</f>
        <v/>
      </c>
      <c r="M4472" s="3" t="n">
        <v>18</v>
      </c>
      <c r="N4472" s="3" t="n">
        <v>100</v>
      </c>
      <c r="O4472" s="3" t="n">
        <v>20.78853046594982</v>
      </c>
    </row>
    <row r="4473">
      <c r="A4473" s="5" t="n">
        <v>46148</v>
      </c>
      <c r="B4473" s="6" t="inlineStr">
        <is>
          <t>Daniel Gomes da Silva</t>
        </is>
      </c>
      <c r="C4473" s="3" t="inlineStr">
        <is>
          <t>Técnico I</t>
        </is>
      </c>
      <c r="D4473" s="3" t="n">
        <v>19</v>
      </c>
      <c r="E4473" s="3" t="n">
        <v>16</v>
      </c>
      <c r="F4473" s="9" t="n">
        <v>16.51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IF(K4473&lt;-5,"CRÍTICO",IF(K4473&lt;0,"ATENÇÃO",IF(K4473&lt;=5,"BOM","EXCELENTE")))</f>
        <v/>
      </c>
      <c r="M4473" s="3" t="n">
        <v>13</v>
      </c>
      <c r="N4473" s="3" t="n">
        <v>100</v>
      </c>
      <c r="O4473" s="3" t="n">
        <v>20.78853046594982</v>
      </c>
    </row>
    <row r="4474">
      <c r="A4474" s="11" t="n">
        <v>46168</v>
      </c>
      <c r="B4474" t="inlineStr">
        <is>
          <t>Daniel Gomes da Silva</t>
        </is>
      </c>
      <c r="C4474" t="inlineStr">
        <is>
          <t>Técnico I</t>
        </is>
      </c>
      <c r="D4474" s="3" t="n">
        <v>20</v>
      </c>
      <c r="E4474" s="3" t="n">
        <v>17</v>
      </c>
      <c r="F4474" s="3" t="n">
        <v>16.54</v>
      </c>
      <c r="G4474" s="3" t="n">
        <v>0</v>
      </c>
      <c r="M4474" s="3" t="n">
        <v>13</v>
      </c>
      <c r="N4474" s="3" t="n">
        <v>100</v>
      </c>
      <c r="O4474" s="3" t="n">
        <v>20.78853046594982</v>
      </c>
    </row>
    <row r="4475">
      <c r="A4475" s="11" t="n">
        <v>46140</v>
      </c>
      <c r="B4475" t="inlineStr">
        <is>
          <t>Gabriel Gomes de Andrade</t>
        </is>
      </c>
      <c r="C4475" t="inlineStr">
        <is>
          <t>Técnico I</t>
        </is>
      </c>
      <c r="D4475" s="9" t="n">
        <v>9</v>
      </c>
      <c r="E4475" s="9" t="n">
        <v>5</v>
      </c>
      <c r="F4475" s="9" t="n">
        <v>10.29</v>
      </c>
      <c r="G4475" s="9" t="n">
        <v>0</v>
      </c>
      <c r="H4475" s="9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39</v>
      </c>
      <c r="N4475" s="9" t="n">
        <v>99.28</v>
      </c>
      <c r="O4475" s="9" t="n">
        <v>27.68924302788844</v>
      </c>
    </row>
    <row r="4476">
      <c r="A4476" s="11" t="n">
        <v>46141</v>
      </c>
      <c r="B4476" t="inlineStr">
        <is>
          <t>Gabriel Gomes de Andrade</t>
        </is>
      </c>
      <c r="C4476" t="inlineStr">
        <is>
          <t>Técnico I</t>
        </is>
      </c>
      <c r="D4476" s="9" t="n">
        <v>0</v>
      </c>
      <c r="E4476" s="9" t="n">
        <v>0</v>
      </c>
      <c r="F4476" s="9" t="n">
        <v>0</v>
      </c>
      <c r="G4476" s="9" t="n">
        <v>0</v>
      </c>
      <c r="H4476" s="9" t="n">
        <v>0</v>
      </c>
      <c r="I4476" s="3" t="n">
        <v>0</v>
      </c>
      <c r="J4476" s="3" t="n">
        <v>0</v>
      </c>
      <c r="K4476" s="3" t="n">
        <v>0</v>
      </c>
      <c r="L4476" s="3">
        <f>IF(K4476&lt;-5,"CRÍTICO",IF(K4476&lt;0,"ATENÇÃO",IF(K4476&lt;=5,"OPORTUNO","MUITO BOM")))</f>
        <v/>
      </c>
      <c r="M4476" s="9" t="n">
        <v>54</v>
      </c>
      <c r="N4476" s="9" t="n">
        <v>99.28</v>
      </c>
      <c r="O4476" s="9" t="n">
        <v>27.68924302788844</v>
      </c>
    </row>
    <row r="4477">
      <c r="A4477" s="11" t="n">
        <v>46142</v>
      </c>
      <c r="B4477" t="inlineStr">
        <is>
          <t>Gabriel Gomes de Andrade</t>
        </is>
      </c>
      <c r="C4477" t="inlineStr">
        <is>
          <t>Técnico I</t>
        </is>
      </c>
      <c r="D4477" s="9" t="n">
        <v>3</v>
      </c>
      <c r="E4477" s="9" t="n">
        <v>3</v>
      </c>
      <c r="F4477" s="9" t="n">
        <v>15.05</v>
      </c>
      <c r="G4477" s="9" t="n">
        <v>0</v>
      </c>
      <c r="H4477" s="9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9" t="n">
        <v>24</v>
      </c>
      <c r="N4477" s="9" t="n">
        <v>99.28</v>
      </c>
      <c r="O4477" s="9" t="n">
        <v>27.68924302788844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99.06</v>
      </c>
      <c r="O4478" s="3" t="n">
        <v>19.41747572815534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99.06</v>
      </c>
      <c r="O4479" s="9" t="n">
        <v>19.41747572815534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99.06</v>
      </c>
      <c r="O4480" t="n">
        <v>19.41747572815534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99.06</v>
      </c>
      <c r="O4481" t="n">
        <v>19.41747572815534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99.06</v>
      </c>
      <c r="O4482" t="n">
        <v>19.41747572815534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99.06</v>
      </c>
      <c r="O4483" t="n">
        <v>19.41747572815534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99.06</v>
      </c>
      <c r="O4484" t="n">
        <v>19.41747572815534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99.06</v>
      </c>
      <c r="O4485" t="n">
        <v>19.41747572815534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99.06</v>
      </c>
      <c r="O4486" t="n">
        <v>19.41747572815534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99.06</v>
      </c>
      <c r="O4487" s="9" t="n">
        <v>19.41747572815534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99.06</v>
      </c>
      <c r="O4488" s="3" t="n">
        <v>19.41747572815534</v>
      </c>
    </row>
    <row r="4489">
      <c r="A4489" s="5" t="n">
        <v>46146</v>
      </c>
      <c r="B4489" s="6" t="inlineStr">
        <is>
          <t>Gabriel Gomes de Andrade</t>
        </is>
      </c>
      <c r="C4489" s="3" t="inlineStr">
        <is>
          <t>Técnico I</t>
        </is>
      </c>
      <c r="D4489" s="3" t="n">
        <v>24</v>
      </c>
      <c r="E4489" s="3" t="n">
        <v>20</v>
      </c>
      <c r="F4489" s="3" t="n">
        <v>21.45</v>
      </c>
      <c r="G4489" s="3" t="n">
        <v>7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9" t="n">
        <v>22</v>
      </c>
      <c r="N4489" s="9" t="n">
        <v>99.06</v>
      </c>
      <c r="O4489" s="9" t="n">
        <v>19.41747572815534</v>
      </c>
    </row>
    <row r="4490">
      <c r="A4490" s="5" t="n">
        <v>46147</v>
      </c>
      <c r="B4490" s="6" t="inlineStr">
        <is>
          <t>Gabriel Gomes de Andrade</t>
        </is>
      </c>
      <c r="C4490" s="3" t="inlineStr">
        <is>
          <t>Técnico I</t>
        </is>
      </c>
      <c r="D4490" s="3" t="n">
        <v>13</v>
      </c>
      <c r="E4490" s="3" t="n">
        <v>12</v>
      </c>
      <c r="F4490" s="3" t="n">
        <v>17.15</v>
      </c>
      <c r="G4490" s="3" t="n">
        <v>9</v>
      </c>
      <c r="H4490" s="3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s="3" t="n">
        <v>12</v>
      </c>
      <c r="N4490" s="3" t="n">
        <v>99.06</v>
      </c>
      <c r="O4490" s="3" t="n">
        <v>19.41747572815534</v>
      </c>
    </row>
    <row r="4491">
      <c r="A4491" s="5" t="n">
        <v>46148</v>
      </c>
      <c r="B4491" s="6" t="inlineStr">
        <is>
          <t>Gabriel Gomes de Andrade</t>
        </is>
      </c>
      <c r="C4491" s="3" t="inlineStr">
        <is>
          <t>Técnico I</t>
        </is>
      </c>
      <c r="D4491" s="3" t="n">
        <v>23</v>
      </c>
      <c r="E4491" s="3" t="n">
        <v>22</v>
      </c>
      <c r="F4491" s="9" t="n">
        <v>20.21</v>
      </c>
      <c r="G4491" s="3" t="n">
        <v>9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24</v>
      </c>
      <c r="N4491" s="3" t="n">
        <v>99.06</v>
      </c>
      <c r="O4491" s="3" t="n">
        <v>19.41747572815534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99.06</v>
      </c>
      <c r="O4492" s="3" t="n">
        <v>19.41747572815534</v>
      </c>
    </row>
    <row r="4493">
      <c r="A4493" s="11" t="n">
        <v>46168</v>
      </c>
      <c r="B4493" t="inlineStr">
        <is>
          <t>Gabriel Gomes de Andrade</t>
        </is>
      </c>
      <c r="C4493" t="inlineStr">
        <is>
          <t>Técnico I</t>
        </is>
      </c>
      <c r="D4493" s="3" t="n">
        <v>20</v>
      </c>
      <c r="E4493" s="3" t="n">
        <v>20</v>
      </c>
      <c r="F4493" s="3" t="n">
        <v>21.49</v>
      </c>
      <c r="G4493" s="3" t="n">
        <v>2</v>
      </c>
      <c r="M4493" s="3" t="n">
        <v>19</v>
      </c>
      <c r="N4493" s="3" t="n">
        <v>99.06</v>
      </c>
      <c r="O4493" s="3" t="n">
        <v>19.41747572815534</v>
      </c>
    </row>
    <row r="4494">
      <c r="A4494" s="11" t="n">
        <v>46140</v>
      </c>
      <c r="B4494" t="inlineStr">
        <is>
          <t>Luiz Fernando de Carvalho Junior</t>
        </is>
      </c>
      <c r="C4494" t="inlineStr">
        <is>
          <t>Técnico I</t>
        </is>
      </c>
      <c r="D4494" s="9" t="n">
        <v>20</v>
      </c>
      <c r="E4494" s="9" t="n">
        <v>19</v>
      </c>
      <c r="F4494" s="9" t="n">
        <v>20.09</v>
      </c>
      <c r="G4494" s="9" t="n">
        <v>0</v>
      </c>
      <c r="H4494" s="9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9" t="n">
        <v>18</v>
      </c>
      <c r="N4494" s="9" t="n">
        <v>97.37</v>
      </c>
      <c r="O4494" s="9" t="n">
        <v>25.76530612244898</v>
      </c>
    </row>
    <row r="4495">
      <c r="A4495" s="11" t="n">
        <v>46141</v>
      </c>
      <c r="B4495" t="inlineStr">
        <is>
          <t>Luiz Fernando de Carvalho Junior</t>
        </is>
      </c>
      <c r="C4495" t="inlineStr">
        <is>
          <t>Técnico I</t>
        </is>
      </c>
      <c r="D4495" s="9" t="n">
        <v>20</v>
      </c>
      <c r="E4495" s="9" t="n">
        <v>18</v>
      </c>
      <c r="F4495" s="9" t="n">
        <v>20.37</v>
      </c>
      <c r="G4495" s="9" t="n">
        <v>0</v>
      </c>
      <c r="H4495" s="9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9" t="n">
        <v>20</v>
      </c>
      <c r="N4495" s="9" t="n">
        <v>97.37</v>
      </c>
      <c r="O4495" s="9" t="n">
        <v>25.76530612244898</v>
      </c>
    </row>
    <row r="4496">
      <c r="A4496" s="11" t="n">
        <v>46142</v>
      </c>
      <c r="B4496" t="inlineStr">
        <is>
          <t>Luiz Fernando de Carvalho Junior</t>
        </is>
      </c>
      <c r="C4496" t="inlineStr">
        <is>
          <t>Técnico I</t>
        </is>
      </c>
      <c r="D4496" s="9" t="n">
        <v>30</v>
      </c>
      <c r="E4496" s="9" t="n">
        <v>28</v>
      </c>
      <c r="F4496" s="9" t="n">
        <v>16.54</v>
      </c>
      <c r="G4496" s="9" t="n">
        <v>0</v>
      </c>
      <c r="H4496" s="9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9" t="n">
        <v>26</v>
      </c>
      <c r="N4496" s="9" t="n">
        <v>97.37</v>
      </c>
      <c r="O4496" s="9" t="n">
        <v>25.76530612244898</v>
      </c>
    </row>
    <row r="4497">
      <c r="A4497" s="5" t="n">
        <v>46146</v>
      </c>
      <c r="B4497" s="6" t="inlineStr">
        <is>
          <t>Luiz Fernando de Carvalho Junior</t>
        </is>
      </c>
      <c r="C4497" s="3" t="inlineStr">
        <is>
          <t>Técnico I</t>
        </is>
      </c>
      <c r="D4497" s="3" t="n">
        <v>25</v>
      </c>
      <c r="E4497" s="3" t="n">
        <v>21</v>
      </c>
      <c r="F4497" s="3" t="n">
        <v>17.18</v>
      </c>
      <c r="G4497" s="3" t="n">
        <v>4</v>
      </c>
      <c r="H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IF(K4497&lt;-5,"CRÍTICO",IF(K4497&lt;0,"ATENÇÃO",IF(K4497&lt;=5,"BOM","EXCELENTE")))</f>
        <v/>
      </c>
      <c r="M4497" s="9" t="n">
        <v>26</v>
      </c>
      <c r="N4497" s="9" t="n">
        <v>94.55</v>
      </c>
      <c r="O4497" s="9" t="n">
        <v>23.45013477088949</v>
      </c>
    </row>
    <row r="4498">
      <c r="A4498" s="5" t="n">
        <v>46147</v>
      </c>
      <c r="B4498" s="6" t="inlineStr">
        <is>
          <t>Luiz Fernando de Carvalho Junior</t>
        </is>
      </c>
      <c r="C4498" s="3" t="inlineStr">
        <is>
          <t>Técnico I</t>
        </is>
      </c>
      <c r="D4498" s="3" t="n">
        <v>31</v>
      </c>
      <c r="E4498" s="3" t="n">
        <v>28</v>
      </c>
      <c r="F4498" s="3" t="n">
        <v>17.33</v>
      </c>
      <c r="G4498" s="3" t="n">
        <v>1</v>
      </c>
      <c r="H4498" s="3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IF(K4498&lt;-5,"CRÍTICO",IF(K4498&lt;0,"ATENÇÃO",IF(K4498&lt;=5,"BOM","EXCELENTE")))</f>
        <v/>
      </c>
      <c r="M4498" s="3" t="n">
        <v>30</v>
      </c>
      <c r="N4498" s="3" t="n">
        <v>94.55</v>
      </c>
      <c r="O4498" s="3" t="n">
        <v>23.45013477088949</v>
      </c>
    </row>
    <row r="4499">
      <c r="A4499" s="5" t="n">
        <v>46148</v>
      </c>
      <c r="B4499" s="6" t="inlineStr">
        <is>
          <t>Luiz Fernando de Carvalho Junior</t>
        </is>
      </c>
      <c r="C4499" s="3" t="inlineStr">
        <is>
          <t>Técnico I</t>
        </is>
      </c>
      <c r="D4499" s="3" t="n">
        <v>31</v>
      </c>
      <c r="E4499" s="3" t="n">
        <v>30</v>
      </c>
      <c r="F4499" s="9" t="n">
        <v>17.33</v>
      </c>
      <c r="G4499" s="3" t="n">
        <v>8</v>
      </c>
      <c r="H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IF(K4499&lt;-5,"CRÍTICO",IF(K4499&lt;0,"ATENÇÃO",IF(K4499&lt;=5,"BOM","EXCELENTE")))</f>
        <v/>
      </c>
      <c r="M4499" s="3" t="n">
        <v>36</v>
      </c>
      <c r="N4499" s="3" t="n">
        <v>94.55</v>
      </c>
      <c r="O4499" s="3" t="n">
        <v>23.45013477088949</v>
      </c>
    </row>
    <row r="4500">
      <c r="A4500" s="11" t="n">
        <v>46168</v>
      </c>
      <c r="B4500" t="inlineStr">
        <is>
          <t>Luiz Fernando de Carvalho Junior</t>
        </is>
      </c>
      <c r="C4500" t="inlineStr">
        <is>
          <t>Técnico I</t>
        </is>
      </c>
      <c r="D4500" s="3" t="n">
        <v>28</v>
      </c>
      <c r="E4500" s="3" t="n">
        <v>27</v>
      </c>
      <c r="F4500" s="3" t="n">
        <v>16.45</v>
      </c>
      <c r="G4500" s="3" t="n">
        <v>1</v>
      </c>
      <c r="M4500" s="3" t="n">
        <v>26</v>
      </c>
      <c r="N4500" s="3" t="n">
        <v>94.55</v>
      </c>
      <c r="O4500" s="3" t="n">
        <v>23.45013477088949</v>
      </c>
    </row>
    <row r="4501">
      <c r="A4501" s="11" t="n">
        <v>46140</v>
      </c>
      <c r="B4501" t="inlineStr">
        <is>
          <t>Raane Batista Matos</t>
        </is>
      </c>
      <c r="C4501" t="inlineStr">
        <is>
          <t>Técnico I</t>
        </is>
      </c>
      <c r="D4501" s="9" t="n">
        <v>36</v>
      </c>
      <c r="E4501" s="9" t="n">
        <v>30</v>
      </c>
      <c r="F4501" s="9" t="n">
        <v>13.43</v>
      </c>
      <c r="G4501" s="9" t="n">
        <v>0</v>
      </c>
      <c r="H4501" s="9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9" t="n">
        <v>26</v>
      </c>
      <c r="N4501" s="9" t="n">
        <v>98.31999999999999</v>
      </c>
      <c r="O4501" s="9" t="n">
        <v>26.85851318944844</v>
      </c>
    </row>
    <row r="4502">
      <c r="A4502" s="11" t="n">
        <v>46141</v>
      </c>
      <c r="B4502" t="inlineStr">
        <is>
          <t>Raane Batista Matos</t>
        </is>
      </c>
      <c r="C4502" t="inlineStr">
        <is>
          <t>Técnico I</t>
        </is>
      </c>
      <c r="D4502" s="9" t="n">
        <v>32</v>
      </c>
      <c r="E4502" s="9" t="n">
        <v>28</v>
      </c>
      <c r="F4502" s="9" t="n">
        <v>13.21</v>
      </c>
      <c r="G4502" s="9" t="n">
        <v>0</v>
      </c>
      <c r="H4502" s="9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9" t="n">
        <v>21</v>
      </c>
      <c r="N4502" s="9" t="n">
        <v>98.31999999999999</v>
      </c>
      <c r="O4502" s="9" t="n">
        <v>26.85851318944844</v>
      </c>
    </row>
    <row r="4503">
      <c r="A4503" s="11" t="n">
        <v>46142</v>
      </c>
      <c r="B4503" t="inlineStr">
        <is>
          <t>Raane Batista Matos</t>
        </is>
      </c>
      <c r="C4503" t="inlineStr">
        <is>
          <t>Técnico I</t>
        </is>
      </c>
      <c r="D4503" s="9" t="n">
        <v>27</v>
      </c>
      <c r="E4503" s="9" t="n">
        <v>24</v>
      </c>
      <c r="F4503" s="9" t="n">
        <v>15.08</v>
      </c>
      <c r="G4503" s="9" t="n">
        <v>0</v>
      </c>
      <c r="H4503" s="9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9" t="n">
        <v>22</v>
      </c>
      <c r="N4503" s="9" t="n">
        <v>98.31999999999999</v>
      </c>
      <c r="O4503" s="9" t="n">
        <v>26.85851318944844</v>
      </c>
    </row>
    <row r="4504">
      <c r="A4504" s="5" t="n">
        <v>46146</v>
      </c>
      <c r="B4504" s="6" t="inlineStr">
        <is>
          <t>Raane Batista Matos</t>
        </is>
      </c>
      <c r="C4504" s="3" t="inlineStr">
        <is>
          <t>Técnico I</t>
        </is>
      </c>
      <c r="D4504" s="3" t="n">
        <v>27</v>
      </c>
      <c r="E4504" s="3" t="n">
        <v>23</v>
      </c>
      <c r="F4504" s="3" t="n">
        <v>14.07</v>
      </c>
      <c r="G4504" s="3" t="n">
        <v>4</v>
      </c>
      <c r="H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IF(K4504&lt;-5,"CRÍTICO",IF(K4504&lt;0,"ATENÇÃO",IF(K4504&lt;=5,"BOM","EXCELENTE")))</f>
        <v/>
      </c>
      <c r="M4504" s="9" t="n">
        <v>20</v>
      </c>
      <c r="N4504" s="9" t="n">
        <v>98</v>
      </c>
      <c r="O4504" s="9" t="n">
        <v>20.73490813648294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  <c r="M4505" t="n">
        <v>24</v>
      </c>
      <c r="N4505" t="n">
        <v>99.06</v>
      </c>
      <c r="O4505" t="n">
        <v>19.41747572815534</v>
      </c>
    </row>
    <row r="4506">
      <c r="A4506" s="5" t="n">
        <v>46147</v>
      </c>
      <c r="B4506" s="6" t="inlineStr">
        <is>
          <t>Raane Batista Matos</t>
        </is>
      </c>
      <c r="C4506" s="3" t="inlineStr">
        <is>
          <t>Técnico I</t>
        </is>
      </c>
      <c r="D4506" s="3" t="n">
        <v>31</v>
      </c>
      <c r="E4506" s="3" t="n">
        <v>26</v>
      </c>
      <c r="F4506" s="3" t="n">
        <v>13.5</v>
      </c>
      <c r="G4506" s="3" t="n">
        <v>10</v>
      </c>
      <c r="H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IF(K4506&lt;-5,"CRÍTICO",IF(K4506&lt;0,"ATENÇÃO",IF(K4506&lt;=5,"BOM","EXCELENTE")))</f>
        <v/>
      </c>
      <c r="M4506" s="3" t="n">
        <v>21</v>
      </c>
      <c r="N4506" s="3" t="n">
        <v>98</v>
      </c>
      <c r="O4506" s="3" t="n">
        <v>20.73490813648294</v>
      </c>
    </row>
    <row r="4507">
      <c r="A4507" s="5" t="n">
        <v>46148</v>
      </c>
      <c r="B4507" s="6" t="inlineStr">
        <is>
          <t>Raane Batista Matos</t>
        </is>
      </c>
      <c r="C4507" s="3" t="inlineStr">
        <is>
          <t>Técnico I</t>
        </is>
      </c>
      <c r="D4507" s="3" t="n">
        <v>34</v>
      </c>
      <c r="E4507" s="3" t="n">
        <v>30</v>
      </c>
      <c r="F4507" s="9" t="n">
        <v>13.25</v>
      </c>
      <c r="G4507" s="3" t="n">
        <v>5</v>
      </c>
      <c r="H4507" s="3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IF(K4507&lt;-5,"CRÍTICO",IF(K4507&lt;0,"ATENÇÃO",IF(K4507&lt;=5,"BOM","EXCELENTE")))</f>
        <v/>
      </c>
      <c r="M4507" s="3" t="n">
        <v>23</v>
      </c>
      <c r="N4507" s="3" t="n">
        <v>98</v>
      </c>
      <c r="O4507" s="3" t="n">
        <v>20.73490813648294</v>
      </c>
    </row>
    <row r="4508">
      <c r="A4508" s="11" t="n">
        <v>46168</v>
      </c>
      <c r="B4508" t="inlineStr">
        <is>
          <t>Raane Batista Matos</t>
        </is>
      </c>
      <c r="C4508" t="inlineStr">
        <is>
          <t>Técnico I</t>
        </is>
      </c>
      <c r="D4508" s="3" t="n">
        <v>29</v>
      </c>
      <c r="E4508" s="3" t="n">
        <v>26</v>
      </c>
      <c r="F4508" s="3" t="n">
        <v>15.57</v>
      </c>
      <c r="G4508" s="3" t="n">
        <v>4</v>
      </c>
      <c r="M4508" s="3" t="n">
        <v>22</v>
      </c>
      <c r="N4508" s="3" t="n">
        <v>98</v>
      </c>
      <c r="O4508" s="3" t="n">
        <v>20.73490813648294</v>
      </c>
    </row>
    <row r="4509">
      <c r="A4509" s="11" t="n">
        <v>46140</v>
      </c>
      <c r="B4509" t="inlineStr">
        <is>
          <t>Sara Maria Monteiro Lopes</t>
        </is>
      </c>
      <c r="C4509" t="inlineStr">
        <is>
          <t>Técnico I</t>
        </is>
      </c>
      <c r="D4509" s="9" t="n">
        <v>25</v>
      </c>
      <c r="E4509" s="9" t="n">
        <v>25</v>
      </c>
      <c r="F4509" s="9" t="n">
        <v>20.47</v>
      </c>
      <c r="G4509" s="9" t="n">
        <v>0</v>
      </c>
      <c r="H4509" s="9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9" t="n">
        <v>23</v>
      </c>
      <c r="N4509" s="9" t="n">
        <v>100</v>
      </c>
      <c r="O4509" s="9" t="n">
        <v>26.36986301369863</v>
      </c>
    </row>
    <row r="4510">
      <c r="A4510" s="11" t="n">
        <v>46141</v>
      </c>
      <c r="B4510" t="inlineStr">
        <is>
          <t>Sara Maria Monteiro Lopes</t>
        </is>
      </c>
      <c r="C4510" t="inlineStr">
        <is>
          <t>Técnico I</t>
        </is>
      </c>
      <c r="D4510" s="9" t="n">
        <v>15</v>
      </c>
      <c r="E4510" s="9" t="n">
        <v>14</v>
      </c>
      <c r="F4510" s="9" t="n">
        <v>23.58</v>
      </c>
      <c r="G4510" s="9" t="n">
        <v>0</v>
      </c>
      <c r="H4510" s="9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9" t="n">
        <v>13</v>
      </c>
      <c r="N4510" s="9" t="n">
        <v>100</v>
      </c>
      <c r="O4510" s="9" t="n">
        <v>26.36986301369863</v>
      </c>
    </row>
    <row r="4511">
      <c r="A4511" s="11" t="n">
        <v>46142</v>
      </c>
      <c r="B4511" t="inlineStr">
        <is>
          <t>Sara Maria Monteiro Lopes</t>
        </is>
      </c>
      <c r="C4511" t="inlineStr">
        <is>
          <t>Técnico I</t>
        </is>
      </c>
      <c r="D4511" s="9" t="n">
        <v>10</v>
      </c>
      <c r="E4511" s="9" t="n">
        <v>10</v>
      </c>
      <c r="F4511" s="9" t="n">
        <v>23.27</v>
      </c>
      <c r="G4511" s="9" t="n">
        <v>0</v>
      </c>
      <c r="H4511" s="9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9" t="n">
        <v>10</v>
      </c>
      <c r="N4511" s="9" t="n">
        <v>100</v>
      </c>
      <c r="O4511" s="9" t="n">
        <v>26.36986301369863</v>
      </c>
    </row>
    <row r="4512">
      <c r="A4512" s="5" t="n">
        <v>46146</v>
      </c>
      <c r="B4512" s="6" t="inlineStr">
        <is>
          <t>Sara Maria Monteiro Lopes</t>
        </is>
      </c>
      <c r="C4512" s="3" t="inlineStr">
        <is>
          <t>Técnico I</t>
        </is>
      </c>
      <c r="D4512" s="3" t="n">
        <v>20</v>
      </c>
      <c r="E4512" s="3" t="n">
        <v>20</v>
      </c>
      <c r="F4512" s="3" t="n">
        <v>25.29</v>
      </c>
      <c r="G4512" s="3" t="n">
        <v>0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IF(K4512&lt;-5,"CRÍTICO",IF(K4512&lt;0,"ATENÇÃO",IF(K4512&lt;=5,"BOM","EXCELENTE")))</f>
        <v/>
      </c>
      <c r="M4512" s="9" t="n">
        <v>20</v>
      </c>
      <c r="N4512" s="9" t="n">
        <v>100</v>
      </c>
      <c r="O4512" s="9" t="n">
        <v>18</v>
      </c>
    </row>
    <row r="4513">
      <c r="A4513" s="5" t="n">
        <v>46147</v>
      </c>
      <c r="B4513" s="6" t="inlineStr">
        <is>
          <t>Sara Maria Monteiro Lopes</t>
        </is>
      </c>
      <c r="C4513" s="3" t="inlineStr">
        <is>
          <t>Técnico I</t>
        </is>
      </c>
      <c r="D4513" s="3" t="n">
        <v>14</v>
      </c>
      <c r="E4513" s="3" t="n">
        <v>14</v>
      </c>
      <c r="F4513" s="3" t="n">
        <v>35.53</v>
      </c>
      <c r="G4513" s="3" t="n">
        <v>3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IF(K4513&lt;-5,"CRÍTICO",IF(K4513&lt;0,"ATENÇÃO",IF(K4513&lt;=5,"BOM","EXCELENTE")))</f>
        <v/>
      </c>
      <c r="M4513" s="3" t="n">
        <v>10</v>
      </c>
      <c r="N4513" s="3" t="n">
        <v>100</v>
      </c>
      <c r="O4513" s="3" t="n">
        <v>18</v>
      </c>
    </row>
    <row r="4514">
      <c r="A4514" s="5" t="n">
        <v>46148</v>
      </c>
      <c r="B4514" s="6" t="inlineStr">
        <is>
          <t>Sara Maria Monteiro Lopes</t>
        </is>
      </c>
      <c r="C4514" s="3" t="inlineStr">
        <is>
          <t>Técnico I</t>
        </is>
      </c>
      <c r="D4514" s="3" t="n">
        <v>19</v>
      </c>
      <c r="E4514" s="3" t="n">
        <v>18</v>
      </c>
      <c r="F4514" s="9" t="n">
        <v>26.43</v>
      </c>
      <c r="G4514" s="3" t="n">
        <v>1</v>
      </c>
      <c r="H4514" s="3" t="n">
        <v>0</v>
      </c>
      <c r="I4514" s="3">
        <f>E4514+G4514+H4514</f>
        <v/>
      </c>
      <c r="J4514" s="3">
        <f>ROUND(MIN(IF(C4514="Técnico III",35,IF(C4514="Técnico II",28,IF(C4514="Técnico I",23,IF(C4514="JR",20,IF(C4514="Estágio",10,0))))),IF(C4514="Técnico III",SUMIFS($D:$D,$A:$A,$A4514,$B:$B,"&lt;&gt;Patrícia Karla de Sousa Araújo",$B:$B,"&lt;&gt;Lorena Dias de Araujo",$B:$B,"&lt;&gt;Lucas Luiz Romero")*(35/1083),IF(C4514="Técnico II",SUMIFS($D:$D,$A:$A,$A4514,$B:$B,"&lt;&gt;Patrícia Karla de Sousa Araújo",$B:$B,"&lt;&gt;Lorena Dias de Araujo",$B:$B,"&lt;&gt;Lucas Luiz Romero")*(28/1083),IF(C4514="Técnico I",SUMIFS($D:$D,$A:$A,$A4514,$B:$B,"&lt;&gt;Patrícia Karla de Sousa Araújo",$B:$B,"&lt;&gt;Lorena Dias de Araujo",$B:$B,"&lt;&gt;Lucas Luiz Romero")*(23/1083),IF(C4514="JR",SUMIFS($D:$D,$A:$A,$A4514,$B:$B,"&lt;&gt;Patrícia Karla de Sousa Araújo",$B:$B,"&lt;&gt;Lorena Dias de Araujo",$B:$B,"&lt;&gt;Lucas Luiz Romero")*(20/1083),IF(C4514="Estágio",SUMIFS($D:$D,$A:$A,$A4514,$B:$B,"&lt;&gt;Patrícia Karla de Sousa Araújo",$B:$B,"&lt;&gt;Lorena Dias de Araujo",$B:$B,"&lt;&gt;Lucas Luiz Romero")*(10/1083),0)))))),0)</f>
        <v/>
      </c>
      <c r="K4514" s="3">
        <f>I4514-J4514</f>
        <v/>
      </c>
      <c r="L4514" s="3">
        <f>IF(K4514&lt;-5,"CRÍTICO",IF(K4514&lt;0,"ATENÇÃO",IF(K4514&lt;=5,"BOM","EXCELENTE")))</f>
        <v/>
      </c>
      <c r="M4514" s="3" t="n">
        <v>18</v>
      </c>
      <c r="N4514" s="3" t="n">
        <v>100</v>
      </c>
      <c r="O4514" s="3" t="n">
        <v>18</v>
      </c>
    </row>
    <row r="4515">
      <c r="A4515" s="11" t="n">
        <v>46168</v>
      </c>
      <c r="B4515" t="inlineStr">
        <is>
          <t>Sara Maria Monteiro Lopes</t>
        </is>
      </c>
      <c r="C4515" t="inlineStr">
        <is>
          <t>Técnico I</t>
        </is>
      </c>
      <c r="D4515" s="3" t="n">
        <v>15</v>
      </c>
      <c r="E4515" s="3" t="n">
        <v>15</v>
      </c>
      <c r="F4515" s="3" t="n">
        <v>37</v>
      </c>
      <c r="G4515" s="3" t="n">
        <v>0</v>
      </c>
      <c r="M4515" s="3" t="n">
        <v>14</v>
      </c>
      <c r="N4515" s="3" t="n">
        <v>100</v>
      </c>
      <c r="O4515" s="3" t="n">
        <v>18</v>
      </c>
    </row>
    <row r="4516" hidden="1">
      <c r="A4516" s="11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99.28</v>
      </c>
      <c r="O4516" t="n">
        <v>27.68924302788844</v>
      </c>
    </row>
    <row r="4517" hidden="1">
      <c r="A4517" s="11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100</v>
      </c>
      <c r="O4517" t="n">
        <v>32.76450511945392</v>
      </c>
    </row>
    <row r="4518" hidden="1">
      <c r="A4518" s="11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98.66</v>
      </c>
      <c r="O4518" t="n">
        <v>35.41666666666667</v>
      </c>
    </row>
    <row r="4519" hidden="1">
      <c r="A4519" s="11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99.31999999999999</v>
      </c>
      <c r="O4519" t="n">
        <v>30.6483300589391</v>
      </c>
    </row>
    <row r="4520" hidden="1">
      <c r="A4520" s="11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100</v>
      </c>
      <c r="O4520" t="n">
        <v>27.80373831775701</v>
      </c>
    </row>
    <row r="4521" hidden="1">
      <c r="A4521" s="11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96.73999999999999</v>
      </c>
      <c r="O4521" t="n">
        <v>28.67647058823529</v>
      </c>
    </row>
    <row r="4522" hidden="1">
      <c r="A4522" s="11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98.81999999999999</v>
      </c>
      <c r="O4522" t="n">
        <v>30.74141048824593</v>
      </c>
    </row>
    <row r="4523" hidden="1">
      <c r="A4523" s="11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98.2</v>
      </c>
      <c r="O4523" t="n">
        <v>27.17086834733893</v>
      </c>
    </row>
    <row r="4524" hidden="1">
      <c r="A4524" s="11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100</v>
      </c>
      <c r="O4524" t="n">
        <v>23.13432835820895</v>
      </c>
    </row>
    <row r="4525" hidden="1">
      <c r="A4525" s="11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96.3</v>
      </c>
      <c r="O4525" t="n">
        <v>32.21957040572792</v>
      </c>
    </row>
    <row r="4526" hidden="1">
      <c r="A4526" s="11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93.75</v>
      </c>
      <c r="O4526" t="n">
        <v>26.81992337164751</v>
      </c>
    </row>
    <row r="4527" hidden="1">
      <c r="A4527" s="11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97.86</v>
      </c>
      <c r="O4527" t="n">
        <v>31.01851851851852</v>
      </c>
    </row>
    <row r="4528" hidden="1">
      <c r="A4528" s="11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36.59420289855073</v>
      </c>
    </row>
    <row r="4529" hidden="1">
      <c r="A4529" s="11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100</v>
      </c>
      <c r="O4529" t="n">
        <v>38.65384615384615</v>
      </c>
    </row>
    <row r="4530" hidden="1">
      <c r="A4530" s="11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100</v>
      </c>
      <c r="O4530" t="n">
        <v>27.36842105263158</v>
      </c>
    </row>
    <row r="4531" hidden="1">
      <c r="A4531" s="11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97.83</v>
      </c>
      <c r="O4531" t="n">
        <v>28.35164835164835</v>
      </c>
    </row>
    <row r="4532" hidden="1">
      <c r="A4532" s="11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99.26000000000001</v>
      </c>
      <c r="O4532" t="n">
        <v>29.76653696498055</v>
      </c>
    </row>
    <row r="4533" hidden="1">
      <c r="A4533" s="11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99.19</v>
      </c>
      <c r="O4533" t="n">
        <v>29.46236559139785</v>
      </c>
    </row>
    <row r="4534" hidden="1">
      <c r="A4534" s="11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100</v>
      </c>
      <c r="O4534" t="n">
        <v>28.92156862745098</v>
      </c>
    </row>
    <row r="4535" hidden="1">
      <c r="A4535" s="11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99.56999999999999</v>
      </c>
      <c r="O4535" t="n">
        <v>30.63583815028902</v>
      </c>
    </row>
    <row r="4536" hidden="1">
      <c r="A4536" s="11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95.65000000000001</v>
      </c>
      <c r="O4536" t="n">
        <v>32.43243243243244</v>
      </c>
    </row>
    <row r="4537" hidden="1">
      <c r="A4537" s="11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98.81</v>
      </c>
      <c r="O4537" t="n">
        <v>26.25698324022346</v>
      </c>
    </row>
    <row r="4538" hidden="1">
      <c r="A4538" s="11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0</v>
      </c>
      <c r="O4538" t="n">
        <v>0</v>
      </c>
    </row>
    <row r="4539" hidden="1">
      <c r="A4539" s="11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97.17</v>
      </c>
      <c r="O4539" t="n">
        <v>28.81844380403458</v>
      </c>
    </row>
    <row r="4540" hidden="1">
      <c r="A4540" s="11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96.81</v>
      </c>
      <c r="O4540" t="n">
        <v>48.01864801864802</v>
      </c>
    </row>
    <row r="4541" hidden="1">
      <c r="A4541" s="11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98.15000000000001</v>
      </c>
      <c r="O4541" t="n">
        <v>27.1551724137931</v>
      </c>
    </row>
    <row r="4542" hidden="1">
      <c r="A4542" s="11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99.15000000000001</v>
      </c>
      <c r="O4542" t="n">
        <v>27.58620689655172</v>
      </c>
    </row>
    <row r="4543" hidden="1">
      <c r="A4543" s="11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99.17</v>
      </c>
      <c r="O4543" t="n">
        <v>29.75206611570248</v>
      </c>
    </row>
    <row r="4544" hidden="1">
      <c r="A4544" s="11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98.73</v>
      </c>
      <c r="O4544" t="n">
        <v>28.96174863387978</v>
      </c>
    </row>
    <row r="4545" hidden="1">
      <c r="A4545" s="11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88.68000000000001</v>
      </c>
      <c r="O4545" t="n">
        <v>22.03389830508474</v>
      </c>
    </row>
    <row r="4546" hidden="1">
      <c r="A4546" s="11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97.37</v>
      </c>
      <c r="O4546" t="n">
        <v>25.76530612244898</v>
      </c>
    </row>
    <row r="4547" hidden="1">
      <c r="A4547" s="11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100</v>
      </c>
      <c r="O4547" t="n">
        <v>25</v>
      </c>
    </row>
    <row r="4548" hidden="1">
      <c r="A4548" s="11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M4548" t="n">
        <v>0</v>
      </c>
      <c r="N4548" t="n">
        <v>100</v>
      </c>
      <c r="O4548" t="n">
        <v>23.9870340356564</v>
      </c>
    </row>
    <row r="4549" hidden="1">
      <c r="A4549" s="11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95.48999999999999</v>
      </c>
      <c r="O4549" t="n">
        <v>28.37022132796781</v>
      </c>
    </row>
    <row r="4550" hidden="1">
      <c r="A4550" s="11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100</v>
      </c>
      <c r="O4550" t="n">
        <v>23.77622377622378</v>
      </c>
    </row>
    <row r="4551" hidden="1">
      <c r="A4551" s="11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96.15000000000001</v>
      </c>
      <c r="O4551" t="n">
        <v>24.04580152671756</v>
      </c>
    </row>
    <row r="4552" hidden="1">
      <c r="A4552" s="11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99.02</v>
      </c>
      <c r="O4552" t="n">
        <v>34.7972972972973</v>
      </c>
    </row>
    <row r="4553" hidden="1">
      <c r="A4553" s="11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M4553" t="n">
        <v>0</v>
      </c>
      <c r="N4553" t="n">
        <v>98.84</v>
      </c>
      <c r="O4553" t="n">
        <v>31.86813186813187</v>
      </c>
    </row>
    <row r="4554" hidden="1">
      <c r="A4554" s="11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100</v>
      </c>
      <c r="O4554" t="n">
        <v>34.66666666666667</v>
      </c>
    </row>
    <row r="4555" hidden="1">
      <c r="A4555" s="11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94.12</v>
      </c>
      <c r="O4555" t="n">
        <v>32.8</v>
      </c>
    </row>
    <row r="4556" hidden="1">
      <c r="A4556" s="11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98.31999999999999</v>
      </c>
      <c r="O4556" t="n">
        <v>26.85851318944844</v>
      </c>
    </row>
    <row r="4557" hidden="1">
      <c r="A4557" s="11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100</v>
      </c>
      <c r="O4557" t="n">
        <v>31.13553113553114</v>
      </c>
    </row>
    <row r="4558" hidden="1">
      <c r="A4558" s="11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100</v>
      </c>
      <c r="O4558" t="n">
        <v>26.36986301369863</v>
      </c>
    </row>
    <row r="4559" hidden="1">
      <c r="A4559" s="11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99.20999999999999</v>
      </c>
      <c r="O4559" t="n">
        <v>25.18891687657431</v>
      </c>
    </row>
    <row r="4560" hidden="1">
      <c r="A4560" s="11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99.25</v>
      </c>
      <c r="O4560" t="n">
        <v>20.40816326530612</v>
      </c>
    </row>
    <row r="4561" hidden="1">
      <c r="A4561" s="11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97.14</v>
      </c>
      <c r="O4561" t="n">
        <v>24.76190476190476</v>
      </c>
    </row>
    <row r="4562" hidden="1">
      <c r="A4562" s="11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M4562" t="n">
        <v>0</v>
      </c>
      <c r="N4562" t="n">
        <v>100</v>
      </c>
      <c r="O4562" t="n">
        <v>28.94736842105263</v>
      </c>
    </row>
    <row r="4563" hidden="1">
      <c r="A4563" s="11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M4563" t="n">
        <v>0</v>
      </c>
      <c r="N4563" t="n">
        <v>100</v>
      </c>
      <c r="O4563" t="n">
        <v>12.94117647058824</v>
      </c>
    </row>
    <row r="4564" hidden="1">
      <c r="A4564" s="11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100</v>
      </c>
      <c r="O4564" t="n">
        <v>17.1875</v>
      </c>
    </row>
    <row r="4565" hidden="1">
      <c r="A4565" s="11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98.36</v>
      </c>
      <c r="O4565" t="n">
        <v>21.91780821917808</v>
      </c>
    </row>
    <row r="4566" hidden="1">
      <c r="A4566" s="11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97.62</v>
      </c>
      <c r="O4566" t="n">
        <v>17.82477341389728</v>
      </c>
    </row>
    <row r="4567" hidden="1">
      <c r="A4567" s="11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19.07216494845361</v>
      </c>
    </row>
    <row r="4568" hidden="1">
      <c r="A4568" s="11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96.83</v>
      </c>
      <c r="O4568" t="n">
        <v>20.94017094017094</v>
      </c>
    </row>
    <row r="4569" hidden="1">
      <c r="A4569" s="11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M4569" t="n">
        <v>0</v>
      </c>
      <c r="N4569" t="n">
        <v>100</v>
      </c>
      <c r="O4569" t="n">
        <v>20.0836820083682</v>
      </c>
    </row>
    <row r="4570" hidden="1">
      <c r="A4570" s="11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M4570" t="n">
        <v>0</v>
      </c>
      <c r="N4570" t="n">
        <v>100</v>
      </c>
      <c r="O4570" t="n">
        <v>16.34241245136187</v>
      </c>
    </row>
    <row r="4571" hidden="1">
      <c r="A4571" s="11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M4571" t="n">
        <v>0</v>
      </c>
      <c r="N4571" t="n">
        <v>100</v>
      </c>
      <c r="O4571" t="n">
        <v>0</v>
      </c>
    </row>
    <row r="4572" hidden="1">
      <c r="A4572" s="11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M4572" t="n">
        <v>0</v>
      </c>
      <c r="N4572" t="n">
        <v>96.94</v>
      </c>
      <c r="O4572" t="n">
        <v>19.61325966850829</v>
      </c>
    </row>
    <row r="4573" hidden="1">
      <c r="A4573" s="11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M4573" t="n">
        <v>0</v>
      </c>
      <c r="N4573" t="n">
        <v>92.81</v>
      </c>
      <c r="O4573" t="n">
        <v>25.47770700636943</v>
      </c>
    </row>
    <row r="4574" hidden="1">
      <c r="A4574" s="11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M4574" t="n">
        <v>0</v>
      </c>
      <c r="N4574" t="n">
        <v>99.19</v>
      </c>
      <c r="O4574" t="n">
        <v>28.40466926070039</v>
      </c>
    </row>
    <row r="4575" hidden="1">
      <c r="A4575" s="11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M4575" t="n">
        <v>0</v>
      </c>
      <c r="N4575" t="n">
        <v>100</v>
      </c>
      <c r="O4575" t="n">
        <v>13.51351351351351</v>
      </c>
    </row>
    <row r="4576" hidden="1">
      <c r="A4576" s="11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M4576" t="n">
        <v>0</v>
      </c>
      <c r="N4576" t="n">
        <v>99</v>
      </c>
      <c r="O4576" t="n">
        <v>22.27414330218069</v>
      </c>
    </row>
    <row r="4577" hidden="1">
      <c r="A4577" s="11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M4577" t="n">
        <v>0</v>
      </c>
      <c r="N4577" t="n">
        <v>97.04000000000001</v>
      </c>
      <c r="O4577" t="n">
        <v>29.82885085574572</v>
      </c>
    </row>
    <row r="4578" hidden="1">
      <c r="A4578" s="11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M4578" t="n">
        <v>0</v>
      </c>
      <c r="N4578" t="n">
        <v>0</v>
      </c>
      <c r="O4578" t="n">
        <v>0</v>
      </c>
    </row>
    <row r="4579" hidden="1">
      <c r="A4579" s="11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M4579" t="n">
        <v>0</v>
      </c>
      <c r="N4579" t="n">
        <v>96.84</v>
      </c>
      <c r="O4579" t="n">
        <v>16.33802816901408</v>
      </c>
    </row>
    <row r="4580" hidden="1">
      <c r="A4580" s="11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M4580" t="n">
        <v>0</v>
      </c>
      <c r="N4580" t="n">
        <v>100</v>
      </c>
      <c r="O4580" t="n">
        <v>18.24480369515012</v>
      </c>
    </row>
    <row r="4581" hidden="1">
      <c r="A4581" s="11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M4581" t="n">
        <v>0</v>
      </c>
      <c r="N4581" t="n">
        <v>100</v>
      </c>
      <c r="O4581" t="n">
        <v>15.78947368421053</v>
      </c>
    </row>
    <row r="4582" hidden="1">
      <c r="A4582" s="11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M4582" t="n">
        <v>0</v>
      </c>
      <c r="N4582" t="n">
        <v>98.39</v>
      </c>
      <c r="O4582" t="n">
        <v>8.799999999999999</v>
      </c>
    </row>
    <row r="4583" hidden="1">
      <c r="A4583" s="11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M4583" t="n">
        <v>0</v>
      </c>
      <c r="N4583" t="n">
        <v>96.38</v>
      </c>
      <c r="O4583" t="n">
        <v>23.1981981981982</v>
      </c>
    </row>
    <row r="4584" hidden="1">
      <c r="A4584" s="11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M4584" t="n">
        <v>0</v>
      </c>
      <c r="N4584" t="n">
        <v>99.39</v>
      </c>
      <c r="O4584" t="n">
        <v>25.20325203252033</v>
      </c>
    </row>
    <row r="4585" hidden="1">
      <c r="A4585" s="11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M4585" t="n">
        <v>0</v>
      </c>
      <c r="N4585" t="n">
        <v>97</v>
      </c>
      <c r="O4585" t="n">
        <v>20.32520325203252</v>
      </c>
    </row>
    <row r="4586" hidden="1">
      <c r="A4586" s="11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M4586" t="n">
        <v>0</v>
      </c>
      <c r="N4586" t="n">
        <v>99.18000000000001</v>
      </c>
      <c r="O4586" t="n">
        <v>24.5014245014245</v>
      </c>
    </row>
    <row r="4587" hidden="1">
      <c r="A4587" s="11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M4587" t="n">
        <v>0</v>
      </c>
      <c r="N4587" t="n">
        <v>99.34999999999999</v>
      </c>
      <c r="O4587" t="n">
        <v>19.85294117647059</v>
      </c>
    </row>
    <row r="4588" hidden="1">
      <c r="A4588" s="11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M4588" t="n">
        <v>0</v>
      </c>
      <c r="N4588" t="n">
        <v>99.06999999999999</v>
      </c>
      <c r="O4588" t="n">
        <v>20.09803921568627</v>
      </c>
    </row>
    <row r="4589" hidden="1">
      <c r="A4589" s="11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M4589" t="n">
        <v>0</v>
      </c>
      <c r="N4589" t="n">
        <v>98.81</v>
      </c>
      <c r="O4589" t="n">
        <v>22.76785714285714</v>
      </c>
    </row>
    <row r="4590" hidden="1">
      <c r="A4590" s="11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M4590" t="n">
        <v>0</v>
      </c>
      <c r="N4590" t="n">
        <v>99.01000000000001</v>
      </c>
      <c r="O4590" t="n">
        <v>17.76649746192894</v>
      </c>
    </row>
    <row r="4591" hidden="1">
      <c r="A4591" s="11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M4591" t="n">
        <v>0</v>
      </c>
      <c r="N4591" t="n">
        <v>100</v>
      </c>
      <c r="O4591" t="n">
        <v>17.24137931034483</v>
      </c>
    </row>
    <row r="4592" hidden="1">
      <c r="A4592" s="11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M4592" t="n">
        <v>0</v>
      </c>
      <c r="N4592" t="n">
        <v>98.98</v>
      </c>
      <c r="O4592" t="n">
        <v>19.35483870967742</v>
      </c>
    </row>
    <row r="4593" hidden="1">
      <c r="A4593" s="11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M4593" t="n">
        <v>0</v>
      </c>
      <c r="N4593" t="n">
        <v>98.94</v>
      </c>
      <c r="O4593" t="n">
        <v>21.2707182320442</v>
      </c>
    </row>
    <row r="4594" hidden="1">
      <c r="A4594" s="11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M4594" t="n">
        <v>0</v>
      </c>
      <c r="N4594" t="n">
        <v>99</v>
      </c>
      <c r="O4594" t="n">
        <v>22.01086956521739</v>
      </c>
    </row>
    <row r="4595" hidden="1">
      <c r="A4595" s="11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M4595" t="n">
        <v>0</v>
      </c>
      <c r="N4595" t="n">
        <v>100</v>
      </c>
      <c r="O4595" t="n">
        <v>25</v>
      </c>
    </row>
    <row r="4596" hidden="1">
      <c r="A4596" s="11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M4596" t="n">
        <v>0</v>
      </c>
      <c r="N4596" t="n">
        <v>100</v>
      </c>
      <c r="O4596" t="n">
        <v>20.18348623853211</v>
      </c>
    </row>
    <row r="4597" hidden="1">
      <c r="A4597" s="11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M4597" t="n">
        <v>0</v>
      </c>
      <c r="N4597" t="n">
        <v>99.06</v>
      </c>
      <c r="O4597" t="n">
        <v>19.41747572815534</v>
      </c>
    </row>
    <row r="4598" hidden="1">
      <c r="A4598" s="11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M4598" t="n">
        <v>0</v>
      </c>
      <c r="N4598" t="n">
        <v>96.25</v>
      </c>
      <c r="O4598" t="n">
        <v>25.5863539445629</v>
      </c>
    </row>
    <row r="4599" hidden="1">
      <c r="A4599" s="11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M4599" t="n">
        <v>0</v>
      </c>
      <c r="N4599" t="n">
        <v>97.48</v>
      </c>
      <c r="O4599" t="n">
        <v>22.99465240641711</v>
      </c>
    </row>
    <row r="4600" hidden="1">
      <c r="A4600" s="11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M4600" t="n">
        <v>0</v>
      </c>
      <c r="N4600" t="n">
        <v>100</v>
      </c>
      <c r="O4600" t="n">
        <v>20.78853046594982</v>
      </c>
    </row>
    <row r="4601" hidden="1">
      <c r="A4601" s="11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M4601" t="n">
        <v>0</v>
      </c>
      <c r="N4601" t="n">
        <v>94.55</v>
      </c>
      <c r="O4601" t="n">
        <v>23.45013477088949</v>
      </c>
    </row>
    <row r="4602" hidden="1">
      <c r="A4602" s="11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M4602" t="n">
        <v>0</v>
      </c>
      <c r="N4602" t="n">
        <v>98</v>
      </c>
      <c r="O4602" t="n">
        <v>20.73490813648294</v>
      </c>
    </row>
    <row r="4603" hidden="1">
      <c r="A4603" s="11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M4603" t="n">
        <v>0</v>
      </c>
      <c r="N4603" t="n">
        <v>100</v>
      </c>
      <c r="O4603" t="n">
        <v>18</v>
      </c>
    </row>
    <row r="4604" hidden="1">
      <c r="A4604" s="11" t="n">
        <v>46169</v>
      </c>
      <c r="B4604" t="inlineStr">
        <is>
          <t>Claudio de Sousa Velasco Filho</t>
        </is>
      </c>
      <c r="C4604" t="inlineStr">
        <is>
          <t>Estágio</t>
        </is>
      </c>
      <c r="D4604" t="n">
        <v>8</v>
      </c>
      <c r="E4604" t="n">
        <v>8</v>
      </c>
      <c r="F4604" t="n">
        <v>23.25</v>
      </c>
      <c r="G4604" s="12" t="n"/>
      <c r="H4604" s="12" t="n"/>
      <c r="I4604" s="12" t="n"/>
      <c r="J4604" s="12" t="n"/>
      <c r="K4604" s="12" t="n"/>
      <c r="L4604" s="12" t="n"/>
      <c r="M4604" s="12" t="n"/>
      <c r="N4604" s="12" t="n"/>
      <c r="O4604" s="12" t="n"/>
    </row>
    <row r="4605" hidden="1">
      <c r="A4605" s="11" t="n">
        <v>46169</v>
      </c>
      <c r="B4605" t="inlineStr">
        <is>
          <t>Emilly Caylane Costa</t>
        </is>
      </c>
      <c r="C4605" t="inlineStr">
        <is>
          <t>Estágio</t>
        </is>
      </c>
      <c r="D4605" t="n">
        <v>5</v>
      </c>
      <c r="E4605" t="n">
        <v>5</v>
      </c>
      <c r="F4605" t="n">
        <v>57</v>
      </c>
      <c r="G4605" s="12" t="n"/>
      <c r="H4605" s="12" t="n"/>
      <c r="I4605" s="12" t="n"/>
      <c r="J4605" s="12" t="n"/>
      <c r="K4605" s="12" t="n"/>
      <c r="L4605" s="12" t="n"/>
      <c r="M4605" s="12" t="n"/>
      <c r="N4605" s="12" t="n"/>
      <c r="O4605" s="12" t="n"/>
    </row>
    <row r="4606" hidden="1">
      <c r="A4606" s="11" t="n">
        <v>46169</v>
      </c>
      <c r="B4606" t="inlineStr">
        <is>
          <t>Maria Eduarda Sousa Costa</t>
        </is>
      </c>
      <c r="C4606" t="inlineStr">
        <is>
          <t>Estágio</t>
        </is>
      </c>
      <c r="D4606" t="n">
        <v>23</v>
      </c>
      <c r="E4606" t="n">
        <v>22</v>
      </c>
      <c r="F4606" t="n">
        <v>18.3</v>
      </c>
      <c r="G4606" s="12" t="n"/>
      <c r="H4606" s="12" t="n"/>
      <c r="I4606" s="12" t="n"/>
      <c r="J4606" s="12" t="n"/>
      <c r="K4606" s="12" t="n"/>
      <c r="L4606" s="12" t="n"/>
      <c r="M4606" s="12" t="n"/>
      <c r="N4606" s="12" t="n"/>
      <c r="O4606" s="12" t="n"/>
    </row>
    <row r="4607" hidden="1">
      <c r="A4607" s="11" t="n">
        <v>46169</v>
      </c>
      <c r="B4607" t="inlineStr">
        <is>
          <t>Michelle G Santos</t>
        </is>
      </c>
      <c r="C4607" t="inlineStr">
        <is>
          <t>Estágio</t>
        </is>
      </c>
      <c r="D4607" t="n">
        <v>17</v>
      </c>
      <c r="E4607" t="n">
        <v>16</v>
      </c>
      <c r="F4607" t="n">
        <v>27.24</v>
      </c>
      <c r="G4607" s="12" t="n"/>
      <c r="H4607" s="12" t="n"/>
      <c r="I4607" s="12" t="n"/>
      <c r="J4607" s="12" t="n"/>
      <c r="K4607" s="12" t="n"/>
      <c r="L4607" s="12" t="n"/>
      <c r="M4607" s="12" t="n"/>
      <c r="N4607" s="12" t="n"/>
      <c r="O4607" s="12" t="n"/>
    </row>
    <row r="4608" hidden="1">
      <c r="A4608" s="11" t="n">
        <v>46169</v>
      </c>
      <c r="B4608" t="inlineStr">
        <is>
          <t>Quirino Diogo Leite Torres</t>
        </is>
      </c>
      <c r="C4608" t="inlineStr">
        <is>
          <t>Estágio</t>
        </is>
      </c>
      <c r="D4608" t="n">
        <v>19</v>
      </c>
      <c r="E4608" t="n">
        <v>16</v>
      </c>
      <c r="F4608" t="n">
        <v>27.02</v>
      </c>
      <c r="G4608" s="12" t="n"/>
      <c r="H4608" s="12" t="n"/>
      <c r="I4608" s="12" t="n"/>
      <c r="J4608" s="12" t="n"/>
      <c r="K4608" s="12" t="n"/>
      <c r="L4608" s="12" t="n"/>
      <c r="M4608" s="12" t="n"/>
      <c r="N4608" s="12" t="n"/>
      <c r="O4608" s="12" t="n"/>
    </row>
    <row r="4609" hidden="1">
      <c r="A4609" s="11" t="n">
        <v>46169</v>
      </c>
      <c r="B4609" t="inlineStr">
        <is>
          <t>Gabriel Alves</t>
        </is>
      </c>
      <c r="C4609" t="inlineStr">
        <is>
          <t>Estágio</t>
        </is>
      </c>
      <c r="D4609" t="n">
        <v>7</v>
      </c>
      <c r="E4609" t="n">
        <v>7</v>
      </c>
      <c r="F4609" t="n">
        <v>46.44</v>
      </c>
      <c r="G4609" s="12" t="n"/>
      <c r="H4609" s="12" t="n"/>
      <c r="I4609" s="12" t="n"/>
      <c r="J4609" s="12" t="n"/>
      <c r="K4609" s="12" t="n"/>
      <c r="L4609" s="12" t="n"/>
      <c r="M4609" s="12" t="n"/>
      <c r="N4609" s="12" t="n"/>
      <c r="O4609" s="12" t="n"/>
    </row>
    <row r="4610" hidden="1">
      <c r="A4610" s="11" t="n">
        <v>46169</v>
      </c>
      <c r="B4610" t="inlineStr">
        <is>
          <t>Anna Luiza Rezende Tavares</t>
        </is>
      </c>
      <c r="C4610" t="inlineStr">
        <is>
          <t>JR</t>
        </is>
      </c>
      <c r="D4610" t="n">
        <v>40</v>
      </c>
      <c r="E4610" t="n">
        <v>38</v>
      </c>
      <c r="F4610" t="n">
        <v>12.23</v>
      </c>
      <c r="G4610" s="12" t="n"/>
      <c r="H4610" s="12" t="n"/>
      <c r="I4610" s="12" t="n"/>
      <c r="J4610" s="12" t="n"/>
      <c r="K4610" s="12" t="n"/>
      <c r="L4610" s="12" t="n"/>
      <c r="M4610" s="12" t="n"/>
      <c r="N4610" s="12" t="n"/>
      <c r="O4610" s="12" t="n"/>
    </row>
    <row r="4611" hidden="1">
      <c r="A4611" s="11" t="n">
        <v>46169</v>
      </c>
      <c r="B4611" t="inlineStr">
        <is>
          <t>Karina Gonçalves Martins</t>
        </is>
      </c>
      <c r="C4611" t="inlineStr">
        <is>
          <t>JR</t>
        </is>
      </c>
      <c r="D4611" t="n">
        <v>17</v>
      </c>
      <c r="E4611" t="n">
        <v>17</v>
      </c>
      <c r="F4611" t="n">
        <v>22.23</v>
      </c>
      <c r="G4611" s="12" t="n"/>
      <c r="H4611" s="12" t="n"/>
      <c r="I4611" s="12" t="n"/>
      <c r="J4611" s="12" t="n"/>
      <c r="K4611" s="12" t="n"/>
      <c r="L4611" s="12" t="n"/>
      <c r="M4611" s="12" t="n"/>
      <c r="N4611" s="12" t="n"/>
      <c r="O4611" s="12" t="n"/>
    </row>
    <row r="4612" hidden="1">
      <c r="A4612" s="11" t="n">
        <v>46169</v>
      </c>
      <c r="B4612" t="inlineStr">
        <is>
          <t>Leandro de Souza Silva</t>
        </is>
      </c>
      <c r="C4612" t="inlineStr">
        <is>
          <t>JR</t>
        </is>
      </c>
      <c r="D4612" t="n">
        <v>10</v>
      </c>
      <c r="E4612" t="n">
        <v>7</v>
      </c>
      <c r="F4612" t="n">
        <v>35.46</v>
      </c>
      <c r="G4612" s="12" t="n"/>
      <c r="H4612" s="12" t="n"/>
      <c r="I4612" s="12" t="n"/>
      <c r="J4612" s="12" t="n"/>
      <c r="K4612" s="12" t="n"/>
      <c r="L4612" s="12" t="n"/>
      <c r="M4612" s="12" t="n"/>
      <c r="N4612" s="12" t="n"/>
      <c r="O4612" s="12" t="n"/>
    </row>
    <row r="4613" hidden="1">
      <c r="A4613" s="11" t="n">
        <v>46169</v>
      </c>
      <c r="B4613" t="inlineStr">
        <is>
          <t>Milena Sales</t>
        </is>
      </c>
      <c r="C4613" t="inlineStr">
        <is>
          <t>JR</t>
        </is>
      </c>
      <c r="D4613" t="n">
        <v>30</v>
      </c>
      <c r="E4613" t="n">
        <v>20</v>
      </c>
      <c r="F4613" t="n">
        <v>8.57</v>
      </c>
      <c r="G4613" s="12" t="n"/>
      <c r="H4613" s="12" t="n"/>
      <c r="I4613" s="12" t="n"/>
      <c r="J4613" s="12" t="n"/>
      <c r="K4613" s="12" t="n"/>
      <c r="L4613" s="12" t="n"/>
      <c r="M4613" s="12" t="n"/>
      <c r="N4613" s="12" t="n"/>
      <c r="O4613" s="12" t="n"/>
    </row>
    <row r="4614" hidden="1">
      <c r="A4614" s="11" t="n">
        <v>46169</v>
      </c>
      <c r="B4614" t="inlineStr">
        <is>
          <t>Paulo Ricardo Santos</t>
        </is>
      </c>
      <c r="C4614" t="inlineStr">
        <is>
          <t>JR</t>
        </is>
      </c>
      <c r="D4614" t="n">
        <v>14</v>
      </c>
      <c r="E4614" t="n">
        <v>14</v>
      </c>
      <c r="F4614" t="n">
        <v>23.31</v>
      </c>
      <c r="G4614" s="12" t="n"/>
      <c r="H4614" s="12" t="n"/>
      <c r="I4614" s="12" t="n"/>
      <c r="J4614" s="12" t="n"/>
      <c r="K4614" s="12" t="n"/>
      <c r="L4614" s="12" t="n"/>
      <c r="M4614" s="12" t="n"/>
      <c r="N4614" s="12" t="n"/>
      <c r="O4614" s="12" t="n"/>
    </row>
    <row r="4615" hidden="1">
      <c r="A4615" s="11" t="n">
        <v>46169</v>
      </c>
      <c r="B4615" t="inlineStr">
        <is>
          <t>Pedro Luiz Mota Sousa</t>
        </is>
      </c>
      <c r="C4615" t="inlineStr">
        <is>
          <t>JR</t>
        </is>
      </c>
      <c r="D4615" t="n">
        <v>21</v>
      </c>
      <c r="E4615" t="n">
        <v>19</v>
      </c>
      <c r="F4615" t="n">
        <v>15.53</v>
      </c>
      <c r="G4615" s="12" t="n"/>
      <c r="H4615" s="12" t="n"/>
      <c r="I4615" s="12" t="n"/>
      <c r="J4615" s="12" t="n"/>
      <c r="K4615" s="12" t="n"/>
      <c r="L4615" s="12" t="n"/>
      <c r="M4615" s="12" t="n"/>
      <c r="N4615" s="12" t="n"/>
      <c r="O4615" s="12" t="n"/>
    </row>
    <row r="4616" hidden="1">
      <c r="A4616" s="11" t="n">
        <v>46169</v>
      </c>
      <c r="B4616" t="inlineStr">
        <is>
          <t>Alisson de Freitas Silva</t>
        </is>
      </c>
      <c r="C4616" t="inlineStr">
        <is>
          <t>Técnico II</t>
        </is>
      </c>
      <c r="D4616" t="n">
        <v>35</v>
      </c>
      <c r="E4616" t="n">
        <v>28</v>
      </c>
      <c r="F4616" t="n">
        <v>7.36</v>
      </c>
      <c r="G4616" s="12" t="n"/>
      <c r="H4616" s="12" t="n"/>
      <c r="I4616" s="12" t="n"/>
      <c r="J4616" s="12" t="n"/>
      <c r="K4616" s="12" t="n"/>
      <c r="L4616" s="12" t="n"/>
      <c r="M4616" s="12" t="n"/>
      <c r="N4616" s="12" t="n"/>
      <c r="O4616" s="12" t="n"/>
    </row>
    <row r="4617" hidden="1">
      <c r="A4617" s="11" t="n">
        <v>46169</v>
      </c>
      <c r="B4617" t="inlineStr">
        <is>
          <t>Amanda Moura Ferreira</t>
        </is>
      </c>
      <c r="C4617" t="inlineStr">
        <is>
          <t>Técnico III</t>
        </is>
      </c>
      <c r="D4617" t="n">
        <v>0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s="12" t="n"/>
      <c r="M4617" s="12" t="n"/>
      <c r="N4617" s="12" t="n"/>
      <c r="O4617" s="12" t="n"/>
    </row>
    <row r="4618" hidden="1">
      <c r="A4618" s="11" t="n">
        <v>46169</v>
      </c>
      <c r="B4618" t="inlineStr">
        <is>
          <t>Ana Karollyne Souza Faria</t>
        </is>
      </c>
      <c r="C4618" t="inlineStr">
        <is>
          <t>Técnico I</t>
        </is>
      </c>
      <c r="D4618" t="n">
        <v>24</v>
      </c>
      <c r="E4618" t="n">
        <v>24</v>
      </c>
      <c r="F4618" t="n">
        <v>17.36</v>
      </c>
      <c r="G4618" s="12" t="n"/>
      <c r="H4618" s="12" t="n"/>
      <c r="I4618" s="12" t="n"/>
      <c r="J4618" s="12" t="n"/>
      <c r="K4618" s="12" t="n"/>
      <c r="L4618" s="12" t="n"/>
      <c r="M4618" s="12" t="n"/>
      <c r="N4618" s="12" t="n"/>
      <c r="O4618" s="12" t="n"/>
    </row>
    <row r="4619" hidden="1">
      <c r="A4619" s="11" t="n">
        <v>46169</v>
      </c>
      <c r="B4619" t="inlineStr">
        <is>
          <t>Ana Paula Da Luz Silva Aleixo</t>
        </is>
      </c>
      <c r="C4619" t="inlineStr">
        <is>
          <t>Técnico III</t>
        </is>
      </c>
      <c r="D4619" t="n">
        <v>34</v>
      </c>
      <c r="E4619" t="n">
        <v>33</v>
      </c>
      <c r="F4619" t="n">
        <v>12.31</v>
      </c>
      <c r="G4619" s="12" t="n"/>
      <c r="H4619" s="12" t="n"/>
      <c r="I4619" s="12" t="n"/>
      <c r="J4619" s="12" t="n"/>
      <c r="K4619" s="12" t="n"/>
      <c r="L4619" s="12" t="n"/>
      <c r="M4619" s="12" t="n"/>
      <c r="N4619" s="12" t="n"/>
      <c r="O4619" s="12" t="n"/>
    </row>
    <row r="4620" hidden="1">
      <c r="A4620" s="11" t="n">
        <v>46169</v>
      </c>
      <c r="B4620" t="inlineStr">
        <is>
          <t>Brenda de Menezes Silva</t>
        </is>
      </c>
      <c r="C4620" t="inlineStr">
        <is>
          <t>Técnico II</t>
        </is>
      </c>
      <c r="D4620" t="n">
        <v>28</v>
      </c>
      <c r="E4620" t="n">
        <v>27</v>
      </c>
      <c r="F4620" t="n">
        <v>15.42</v>
      </c>
      <c r="G4620" s="12" t="n"/>
      <c r="H4620" s="12" t="n"/>
      <c r="I4620" s="12" t="n"/>
      <c r="J4620" s="12" t="n"/>
      <c r="K4620" s="12" t="n"/>
      <c r="L4620" s="12" t="n"/>
      <c r="M4620" s="12" t="n"/>
      <c r="N4620" s="12" t="n"/>
      <c r="O4620" s="12" t="n"/>
    </row>
    <row r="4621" hidden="1">
      <c r="A4621" s="11" t="n">
        <v>46169</v>
      </c>
      <c r="B4621" t="inlineStr">
        <is>
          <t>Carlos Mateus Cassimiro Nunes</t>
        </is>
      </c>
      <c r="C4621" t="inlineStr">
        <is>
          <t>Técnico II</t>
        </is>
      </c>
      <c r="D4621" t="n">
        <v>29</v>
      </c>
      <c r="E4621" t="n">
        <v>28</v>
      </c>
      <c r="F4621" t="n">
        <v>17.26</v>
      </c>
      <c r="G4621" s="12" t="n"/>
      <c r="H4621" s="12" t="n"/>
      <c r="I4621" s="12" t="n"/>
      <c r="J4621" s="12" t="n"/>
      <c r="K4621" s="12" t="n"/>
      <c r="L4621" s="12" t="n"/>
      <c r="M4621" s="12" t="n"/>
      <c r="N4621" s="12" t="n"/>
      <c r="O4621" s="12" t="n"/>
    </row>
    <row r="4622" hidden="1">
      <c r="A4622" s="11" t="n">
        <v>46169</v>
      </c>
      <c r="B4622" t="inlineStr">
        <is>
          <t>Clessiane Pereira dos Santos</t>
        </is>
      </c>
      <c r="C4622" t="inlineStr">
        <is>
          <t>Técnico I</t>
        </is>
      </c>
      <c r="D4622" t="n">
        <v>19</v>
      </c>
      <c r="E4622" t="n">
        <v>17</v>
      </c>
      <c r="F4622" t="n">
        <v>18.58</v>
      </c>
      <c r="G4622" s="12" t="n"/>
      <c r="H4622" s="12" t="n"/>
      <c r="I4622" s="12" t="n"/>
      <c r="J4622" s="12" t="n"/>
      <c r="K4622" s="12" t="n"/>
      <c r="L4622" s="12" t="n"/>
      <c r="M4622" s="12" t="n"/>
      <c r="N4622" s="12" t="n"/>
      <c r="O4622" s="12" t="n"/>
    </row>
    <row r="4623" hidden="1">
      <c r="A4623" s="11" t="n">
        <v>46169</v>
      </c>
      <c r="B4623" t="inlineStr">
        <is>
          <t>Cristiane Ramos da Silva Rocha</t>
        </is>
      </c>
      <c r="C4623" t="inlineStr">
        <is>
          <t>Técnico III</t>
        </is>
      </c>
      <c r="D4623" t="n">
        <v>31</v>
      </c>
      <c r="E4623" t="n">
        <v>23</v>
      </c>
      <c r="F4623" t="n">
        <v>10.12</v>
      </c>
      <c r="G4623" s="12" t="n"/>
      <c r="H4623" s="12" t="n"/>
      <c r="I4623" s="12" t="n"/>
      <c r="J4623" s="12" t="n"/>
      <c r="K4623" s="12" t="n"/>
      <c r="L4623" s="12" t="n"/>
      <c r="M4623" s="12" t="n"/>
      <c r="N4623" s="12" t="n"/>
      <c r="O4623" s="12" t="n"/>
    </row>
    <row r="4624" hidden="1">
      <c r="A4624" s="11" t="n">
        <v>46169</v>
      </c>
      <c r="B4624" t="inlineStr">
        <is>
          <t>Damyllis Lorraine de Oliveira Gonçalves</t>
        </is>
      </c>
      <c r="C4624" t="inlineStr">
        <is>
          <t>Técnico II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n"/>
      <c r="M4624" s="12" t="n"/>
      <c r="N4624" s="12" t="n"/>
      <c r="O4624" s="12" t="n"/>
    </row>
    <row r="4625" hidden="1">
      <c r="A4625" s="11" t="n">
        <v>46169</v>
      </c>
      <c r="B4625" t="inlineStr">
        <is>
          <t>Daniel Gomes da Silva</t>
        </is>
      </c>
      <c r="C4625" t="inlineStr">
        <is>
          <t>Técnico I</t>
        </is>
      </c>
      <c r="D4625" t="n">
        <v>27</v>
      </c>
      <c r="E4625" t="n">
        <v>25</v>
      </c>
      <c r="F4625" t="n">
        <v>12.26</v>
      </c>
      <c r="G4625" s="12" t="n"/>
      <c r="H4625" s="12" t="n"/>
      <c r="I4625" s="12" t="n"/>
      <c r="J4625" s="12" t="n"/>
      <c r="K4625" s="12" t="n"/>
      <c r="L4625" s="12" t="n"/>
      <c r="M4625" s="12" t="n"/>
      <c r="N4625" s="12" t="n"/>
      <c r="O4625" s="12" t="n"/>
    </row>
    <row r="4626" hidden="1">
      <c r="A4626" s="11" t="n">
        <v>46169</v>
      </c>
      <c r="B4626" t="inlineStr">
        <is>
          <t>Davylla Rodrigues Freitas Silva</t>
        </is>
      </c>
      <c r="C4626" t="inlineStr">
        <is>
          <t>Técnico III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s="12" t="n"/>
      <c r="M4626" s="12" t="n"/>
      <c r="N4626" s="12" t="n"/>
      <c r="O4626" s="12" t="n"/>
    </row>
    <row r="4627" hidden="1">
      <c r="A4627" s="11" t="n">
        <v>46169</v>
      </c>
      <c r="B4627" t="inlineStr">
        <is>
          <t>Emilly Kamilly Medeiros Miranda</t>
        </is>
      </c>
      <c r="C4627" t="inlineStr">
        <is>
          <t>Técnico II</t>
        </is>
      </c>
      <c r="D4627" t="n">
        <v>32</v>
      </c>
      <c r="E4627" t="n">
        <v>31</v>
      </c>
      <c r="F4627" t="n">
        <v>17.24</v>
      </c>
      <c r="G4627" s="12" t="n"/>
      <c r="H4627" s="12" t="n"/>
      <c r="I4627" s="12" t="n"/>
      <c r="J4627" s="12" t="n"/>
      <c r="K4627" s="12" t="n"/>
      <c r="L4627" s="12" t="n"/>
      <c r="M4627" s="12" t="n"/>
      <c r="N4627" s="12" t="n"/>
      <c r="O4627" s="12" t="n"/>
    </row>
    <row r="4628" hidden="1">
      <c r="A4628" s="11" t="n">
        <v>46169</v>
      </c>
      <c r="B4628" t="inlineStr">
        <is>
          <t>Francielson de Oliveira</t>
        </is>
      </c>
      <c r="C4628" t="inlineStr">
        <is>
          <t>Técnico III</t>
        </is>
      </c>
      <c r="D4628" t="n">
        <v>32</v>
      </c>
      <c r="E4628" t="n">
        <v>31</v>
      </c>
      <c r="F4628" t="n">
        <v>14</v>
      </c>
      <c r="G4628" s="12" t="n"/>
      <c r="H4628" s="12" t="n"/>
      <c r="I4628" s="12" t="n"/>
      <c r="J4628" s="12" t="n"/>
      <c r="K4628" s="12" t="n"/>
      <c r="L4628" s="12" t="n"/>
      <c r="M4628" s="12" t="n"/>
      <c r="N4628" s="12" t="n"/>
      <c r="O4628" s="12" t="n"/>
    </row>
    <row r="4629" hidden="1">
      <c r="A4629" s="11" t="n">
        <v>46169</v>
      </c>
      <c r="B4629" t="inlineStr">
        <is>
          <t>Francilene Ferreira de Jesus</t>
        </is>
      </c>
      <c r="C4629" t="inlineStr">
        <is>
          <t>Técnico 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n"/>
      <c r="M4629" s="12" t="n"/>
      <c r="N4629" s="12" t="n"/>
      <c r="O4629" s="12" t="n"/>
    </row>
    <row r="4630" hidden="1">
      <c r="A4630" s="11" t="n">
        <v>46169</v>
      </c>
      <c r="B4630" t="inlineStr">
        <is>
          <t>Gabriel Gomes de Andrade</t>
        </is>
      </c>
      <c r="C4630" t="inlineStr">
        <is>
          <t>Técnico I</t>
        </is>
      </c>
      <c r="D4630" t="n">
        <v>22</v>
      </c>
      <c r="E4630" t="n">
        <v>18</v>
      </c>
      <c r="F4630" t="n">
        <v>13.48</v>
      </c>
      <c r="G4630" s="12" t="n"/>
      <c r="H4630" s="12" t="n"/>
      <c r="I4630" s="12" t="n"/>
      <c r="J4630" s="12" t="n"/>
      <c r="K4630" s="12" t="n"/>
      <c r="L4630" s="12" t="n"/>
      <c r="M4630" s="12" t="n"/>
      <c r="N4630" s="12" t="n"/>
      <c r="O4630" s="12" t="n"/>
    </row>
    <row r="4631" hidden="1">
      <c r="A4631" s="11" t="n">
        <v>46169</v>
      </c>
      <c r="B4631" t="inlineStr">
        <is>
          <t>Isabella Borges de Oliveira</t>
        </is>
      </c>
      <c r="C4631" t="inlineStr">
        <is>
          <t>Técnico II</t>
        </is>
      </c>
      <c r="D4631" t="n">
        <v>20</v>
      </c>
      <c r="E4631" t="n">
        <v>19</v>
      </c>
      <c r="F4631" t="n">
        <v>23.31</v>
      </c>
      <c r="G4631" s="12" t="n"/>
      <c r="H4631" s="12" t="n"/>
      <c r="I4631" s="12" t="n"/>
      <c r="J4631" s="12" t="n"/>
      <c r="K4631" s="12" t="n"/>
      <c r="L4631" s="12" t="n"/>
      <c r="M4631" s="12" t="n"/>
      <c r="N4631" s="12" t="n"/>
      <c r="O4631" s="12" t="n"/>
    </row>
    <row r="4632" hidden="1">
      <c r="A4632" s="11" t="n">
        <v>46169</v>
      </c>
      <c r="B4632" t="inlineStr">
        <is>
          <t>Janaina Lima dos Reis Urany</t>
        </is>
      </c>
      <c r="C4632" t="inlineStr">
        <is>
          <t>Técnico III</t>
        </is>
      </c>
      <c r="D4632" t="n">
        <v>38</v>
      </c>
      <c r="E4632" t="n">
        <v>34</v>
      </c>
      <c r="F4632" t="n">
        <v>15</v>
      </c>
      <c r="G4632" s="12" t="n"/>
      <c r="H4632" s="12" t="n"/>
      <c r="I4632" s="12" t="n"/>
      <c r="J4632" s="12" t="n"/>
      <c r="K4632" s="12" t="n"/>
      <c r="L4632" s="12" t="n"/>
      <c r="M4632" s="12" t="n"/>
      <c r="N4632" s="12" t="n"/>
      <c r="O4632" s="12" t="n"/>
    </row>
    <row r="4633" hidden="1">
      <c r="A4633" s="11" t="n">
        <v>46169</v>
      </c>
      <c r="B4633" t="inlineStr">
        <is>
          <t>Jaqueline Evangelista da Silva Martins</t>
        </is>
      </c>
      <c r="C4633" t="inlineStr">
        <is>
          <t>Técnico III</t>
        </is>
      </c>
      <c r="D4633" t="n">
        <v>20</v>
      </c>
      <c r="E4633" t="n">
        <v>15</v>
      </c>
      <c r="F4633" t="n">
        <v>10.47</v>
      </c>
      <c r="G4633" s="12" t="n"/>
      <c r="H4633" s="12" t="n"/>
      <c r="I4633" s="12" t="n"/>
      <c r="J4633" s="12" t="n"/>
      <c r="K4633" s="12" t="n"/>
      <c r="L4633" s="12" t="n"/>
      <c r="M4633" s="12" t="n"/>
      <c r="N4633" s="12" t="n"/>
      <c r="O4633" s="12" t="n"/>
    </row>
    <row r="4634" hidden="1">
      <c r="A4634" s="11" t="n">
        <v>46169</v>
      </c>
      <c r="B4634" t="inlineStr">
        <is>
          <t>Jessica Faria da Silveira</t>
        </is>
      </c>
      <c r="C4634" t="inlineStr">
        <is>
          <t>Técnico II</t>
        </is>
      </c>
      <c r="D4634" t="n">
        <v>8</v>
      </c>
      <c r="E4634" t="n">
        <v>5</v>
      </c>
      <c r="F4634" t="n">
        <v>12.02</v>
      </c>
      <c r="G4634" s="12" t="n"/>
      <c r="H4634" s="12" t="n"/>
      <c r="I4634" s="12" t="n"/>
      <c r="J4634" s="12" t="n"/>
      <c r="K4634" s="12" t="n"/>
      <c r="L4634" s="12" t="n"/>
      <c r="M4634" s="12" t="n"/>
      <c r="N4634" s="12" t="n"/>
      <c r="O4634" s="12" t="n"/>
    </row>
    <row r="4635" hidden="1">
      <c r="A4635" s="11" t="n">
        <v>46169</v>
      </c>
      <c r="B4635" t="inlineStr">
        <is>
          <t>Jéssica Fé Moura</t>
        </is>
      </c>
      <c r="C4635" t="inlineStr">
        <is>
          <t>Técnico III</t>
        </is>
      </c>
      <c r="D4635" t="n">
        <v>0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s="12" t="n"/>
      <c r="M4635" s="12" t="n"/>
      <c r="N4635" s="12" t="n"/>
      <c r="O4635" s="12" t="n"/>
    </row>
    <row r="4636" hidden="1">
      <c r="A4636" s="11" t="n">
        <v>46169</v>
      </c>
      <c r="B4636" t="inlineStr">
        <is>
          <t>Kerollen Cristielly de Jesus Siqueira</t>
        </is>
      </c>
      <c r="C4636" t="inlineStr">
        <is>
          <t>Técnico III</t>
        </is>
      </c>
      <c r="D4636" t="n">
        <v>26</v>
      </c>
      <c r="E4636" t="n">
        <v>26</v>
      </c>
      <c r="F4636" t="n">
        <v>16.55</v>
      </c>
      <c r="G4636" s="12" t="n"/>
      <c r="H4636" s="12" t="n"/>
      <c r="I4636" s="12" t="n"/>
      <c r="J4636" s="12" t="n"/>
      <c r="K4636" s="12" t="n"/>
      <c r="L4636" s="12" t="n"/>
      <c r="M4636" s="12" t="n"/>
      <c r="N4636" s="12" t="n"/>
      <c r="O4636" s="12" t="n"/>
    </row>
    <row r="4637" hidden="1">
      <c r="A4637" s="11" t="n">
        <v>46169</v>
      </c>
      <c r="B4637" t="inlineStr">
        <is>
          <t>Leandro Oliveira de Sousa</t>
        </is>
      </c>
      <c r="C4637" t="inlineStr">
        <is>
          <t>Técnico III</t>
        </is>
      </c>
      <c r="D4637" t="n">
        <v>28</v>
      </c>
      <c r="E4637" t="n">
        <v>27</v>
      </c>
      <c r="F4637" t="n">
        <v>18.32</v>
      </c>
      <c r="G4637" s="12" t="n"/>
      <c r="H4637" s="12" t="n"/>
      <c r="I4637" s="12" t="n"/>
      <c r="J4637" s="12" t="n"/>
      <c r="K4637" s="12" t="n"/>
      <c r="L4637" s="12" t="n"/>
      <c r="M4637" s="12" t="n"/>
      <c r="N4637" s="12" t="n"/>
      <c r="O4637" s="12" t="n"/>
    </row>
    <row r="4638" hidden="1">
      <c r="A4638" s="11" t="n">
        <v>46169</v>
      </c>
      <c r="B4638" t="inlineStr">
        <is>
          <t>Lizandra Gomes Duarte</t>
        </is>
      </c>
      <c r="C4638" t="inlineStr">
        <is>
          <t>Técnico II</t>
        </is>
      </c>
      <c r="D4638" t="n">
        <v>27</v>
      </c>
      <c r="E4638" t="n">
        <v>25</v>
      </c>
      <c r="F4638" t="n">
        <v>18.3</v>
      </c>
      <c r="G4638" s="12" t="n"/>
      <c r="H4638" s="12" t="n"/>
      <c r="I4638" s="12" t="n"/>
      <c r="J4638" s="12" t="n"/>
      <c r="K4638" s="12" t="n"/>
      <c r="L4638" s="12" t="n"/>
      <c r="M4638" s="12" t="n"/>
      <c r="N4638" s="12" t="n"/>
      <c r="O4638" s="12" t="n"/>
    </row>
    <row r="4639" hidden="1">
      <c r="A4639" s="11" t="n">
        <v>46169</v>
      </c>
      <c r="B4639" t="inlineStr">
        <is>
          <t>Lorena Dias de Araujo</t>
        </is>
      </c>
      <c r="C4639" t="inlineStr">
        <is>
          <t>Técnico II</t>
        </is>
      </c>
      <c r="D4639" t="n">
        <v>26</v>
      </c>
      <c r="E4639" t="n">
        <v>23</v>
      </c>
      <c r="F4639" t="n">
        <v>15.44</v>
      </c>
      <c r="G4639" s="12" t="n"/>
      <c r="H4639" s="12" t="n"/>
      <c r="I4639" s="12" t="n"/>
      <c r="J4639" s="12" t="n"/>
      <c r="K4639" s="12" t="n"/>
      <c r="L4639" s="12" t="n"/>
      <c r="M4639" s="12" t="n"/>
      <c r="N4639" s="12" t="n"/>
      <c r="O4639" s="12" t="n"/>
    </row>
    <row r="4640" hidden="1">
      <c r="A4640" s="11" t="n">
        <v>46169</v>
      </c>
      <c r="B4640" t="inlineStr">
        <is>
          <t>Lucas Luiz Romero</t>
        </is>
      </c>
      <c r="C4640" t="inlineStr">
        <is>
          <t>Técnico III</t>
        </is>
      </c>
      <c r="D4640" t="n">
        <v>0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s="12" t="n"/>
      <c r="M4640" s="12" t="n"/>
      <c r="N4640" s="12" t="n"/>
      <c r="O4640" s="12" t="n"/>
    </row>
    <row r="4641" hidden="1">
      <c r="A4641" s="11" t="n">
        <v>46169</v>
      </c>
      <c r="B4641" t="inlineStr">
        <is>
          <t>Luiz Fernando de Carvalho Junior</t>
        </is>
      </c>
      <c r="C4641" t="inlineStr">
        <is>
          <t>Técnico I</t>
        </is>
      </c>
      <c r="D4641" t="n">
        <v>20</v>
      </c>
      <c r="E4641" t="n">
        <v>18</v>
      </c>
      <c r="F4641" t="n">
        <v>19.09</v>
      </c>
      <c r="G4641" s="12" t="n"/>
      <c r="H4641" s="12" t="n"/>
      <c r="I4641" s="12" t="n"/>
      <c r="J4641" s="12" t="n"/>
      <c r="K4641" s="12" t="n"/>
      <c r="L4641" s="12" t="n"/>
      <c r="M4641" s="12" t="n"/>
      <c r="N4641" s="12" t="n"/>
      <c r="O4641" s="12" t="n"/>
    </row>
    <row r="4642" hidden="1">
      <c r="A4642" s="11" t="n">
        <v>46169</v>
      </c>
      <c r="B4642" t="inlineStr">
        <is>
          <t>Matheus Farias De Souza</t>
        </is>
      </c>
      <c r="C4642" t="inlineStr">
        <is>
          <t>Técnico III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  <c r="L4642" s="12" t="n"/>
      <c r="M4642" s="12" t="n"/>
      <c r="N4642" s="12" t="n"/>
      <c r="O4642" s="12" t="n"/>
    </row>
    <row r="4643" hidden="1">
      <c r="A4643" s="11" t="n">
        <v>46169</v>
      </c>
      <c r="B4643" t="inlineStr">
        <is>
          <t>Maysa Victoria Dias Moura</t>
        </is>
      </c>
      <c r="C4643" t="inlineStr">
        <is>
          <t>Técnico III</t>
        </is>
      </c>
      <c r="D4643" t="n">
        <v>36</v>
      </c>
      <c r="E4643" t="n">
        <v>29</v>
      </c>
      <c r="F4643" t="n">
        <v>10.09</v>
      </c>
      <c r="G4643" s="12" t="n"/>
      <c r="H4643" s="12" t="n"/>
      <c r="I4643" s="12" t="n"/>
      <c r="J4643" s="12" t="n"/>
      <c r="K4643" s="12" t="n"/>
      <c r="L4643" s="12" t="n"/>
      <c r="M4643" s="12" t="n"/>
      <c r="N4643" s="12" t="n"/>
      <c r="O4643" s="12" t="n"/>
    </row>
    <row r="4644" hidden="1">
      <c r="A4644" s="11" t="n">
        <v>46169</v>
      </c>
      <c r="B4644" t="inlineStr">
        <is>
          <t>Patrícia Karla de Sousa Araújo</t>
        </is>
      </c>
      <c r="C4644" t="inlineStr">
        <is>
          <t>Técnico II</t>
        </is>
      </c>
      <c r="D4644" t="n">
        <v>0</v>
      </c>
      <c r="E4644" t="n">
        <v>0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  <c r="L4644" s="12" t="n"/>
      <c r="M4644" s="12" t="n"/>
      <c r="N4644" s="12" t="n"/>
      <c r="O4644" s="12" t="n"/>
    </row>
    <row r="4645" hidden="1">
      <c r="A4645" s="11" t="n">
        <v>46169</v>
      </c>
      <c r="B4645" t="inlineStr">
        <is>
          <t>Raane Batista Matos</t>
        </is>
      </c>
      <c r="C4645" t="inlineStr">
        <is>
          <t>Técnico I</t>
        </is>
      </c>
      <c r="D4645" t="n">
        <v>31</v>
      </c>
      <c r="E4645" t="n">
        <v>27</v>
      </c>
      <c r="F4645" t="n">
        <v>15.47</v>
      </c>
      <c r="G4645" s="12" t="n"/>
      <c r="H4645" s="12" t="n"/>
      <c r="I4645" s="12" t="n"/>
      <c r="J4645" s="12" t="n"/>
      <c r="K4645" s="12" t="n"/>
      <c r="L4645" s="12" t="n"/>
      <c r="M4645" s="12" t="n"/>
      <c r="N4645" s="12" t="n"/>
      <c r="O4645" s="12" t="n"/>
    </row>
    <row r="4646" hidden="1">
      <c r="A4646" s="11" t="n">
        <v>46169</v>
      </c>
      <c r="B4646" t="inlineStr">
        <is>
          <t>Rafael Gomes de Morais</t>
        </is>
      </c>
      <c r="C4646" t="inlineStr">
        <is>
          <t>Técnico III</t>
        </is>
      </c>
      <c r="D4646" t="n">
        <v>41</v>
      </c>
      <c r="E4646" t="n">
        <v>35</v>
      </c>
      <c r="F4646" t="n">
        <v>10.39</v>
      </c>
      <c r="G4646" s="12" t="n"/>
      <c r="H4646" s="12" t="n"/>
      <c r="I4646" s="12" t="n"/>
      <c r="J4646" s="12" t="n"/>
      <c r="K4646" s="12" t="n"/>
      <c r="L4646" s="12" t="n"/>
      <c r="M4646" s="12" t="n"/>
      <c r="N4646" s="12" t="n"/>
      <c r="O4646" s="12" t="n"/>
    </row>
    <row r="4647" hidden="1">
      <c r="A4647" s="11" t="n">
        <v>46169</v>
      </c>
      <c r="B4647" t="inlineStr">
        <is>
          <t>Sara Maria Monteiro Lopes</t>
        </is>
      </c>
      <c r="C4647" t="inlineStr">
        <is>
          <t>Técnico I</t>
        </is>
      </c>
      <c r="D4647" t="n">
        <v>20</v>
      </c>
      <c r="E4647" t="n">
        <v>19</v>
      </c>
      <c r="F4647" t="n">
        <v>23.5</v>
      </c>
      <c r="G4647" s="12" t="n"/>
      <c r="H4647" s="12" t="n"/>
      <c r="I4647" s="12" t="n"/>
      <c r="J4647" s="12" t="n"/>
      <c r="K4647" s="12" t="n"/>
      <c r="L4647" s="12" t="n"/>
      <c r="M4647" s="12" t="n"/>
      <c r="N4647" s="12" t="n"/>
      <c r="O4647" s="12" t="n"/>
    </row>
    <row r="4648" hidden="1">
      <c r="A4648" s="11" t="n">
        <v>46169</v>
      </c>
      <c r="B4648" t="inlineStr">
        <is>
          <t>Sarah Steffanie de Lima Borges</t>
        </is>
      </c>
      <c r="C4648" t="inlineStr">
        <is>
          <t>Técnico III</t>
        </is>
      </c>
      <c r="D4648" t="n">
        <v>22</v>
      </c>
      <c r="E4648" t="n">
        <v>21</v>
      </c>
      <c r="F4648" t="n">
        <v>24.18</v>
      </c>
      <c r="G4648" s="12" t="n"/>
      <c r="H4648" s="12" t="n"/>
      <c r="I4648" s="12" t="n"/>
      <c r="J4648" s="12" t="n"/>
      <c r="K4648" s="12" t="n"/>
      <c r="L4648" s="12" t="n"/>
      <c r="M4648" s="12" t="n"/>
      <c r="N4648" s="12" t="n"/>
      <c r="O4648" s="12" t="n"/>
    </row>
    <row r="4649" hidden="1">
      <c r="A4649" s="11" t="n">
        <v>46170</v>
      </c>
      <c r="B4649" t="inlineStr">
        <is>
          <t>Claudio de Sousa Velasco Filho</t>
        </is>
      </c>
      <c r="C4649" t="inlineStr">
        <is>
          <t>Estágio</t>
        </is>
      </c>
      <c r="D4649" t="n">
        <v>0</v>
      </c>
      <c r="E4649" t="n">
        <v>0</v>
      </c>
      <c r="F4649" t="n">
        <v>0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/>
      <c r="N4649" s="12" t="n"/>
      <c r="O4649" s="12" t="n"/>
    </row>
    <row r="4650" hidden="1">
      <c r="A4650" s="11" t="n">
        <v>46170</v>
      </c>
      <c r="B4650" t="inlineStr">
        <is>
          <t>Emilly Caylane Costa</t>
        </is>
      </c>
      <c r="C4650" t="inlineStr">
        <is>
          <t>Estágio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/>
      <c r="N4650" s="12" t="n"/>
      <c r="O4650" s="12" t="n"/>
    </row>
    <row r="4651" hidden="1">
      <c r="A4651" s="11" t="n">
        <v>46170</v>
      </c>
      <c r="B4651" t="inlineStr">
        <is>
          <t>Maria Eduarda Sousa Costa</t>
        </is>
      </c>
      <c r="C4651" t="inlineStr">
        <is>
          <t>Estágio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/>
      <c r="N4651" s="12" t="n"/>
      <c r="O4651" s="12" t="n"/>
    </row>
    <row r="4652" hidden="1">
      <c r="A4652" s="11" t="n">
        <v>46170</v>
      </c>
      <c r="B4652" t="inlineStr">
        <is>
          <t>Michelle G Santos</t>
        </is>
      </c>
      <c r="C4652" t="inlineStr">
        <is>
          <t>Estágio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/>
      <c r="N4652" s="12" t="n"/>
      <c r="O4652" s="12" t="n"/>
    </row>
    <row r="4653" hidden="1">
      <c r="A4653" s="11" t="n">
        <v>46170</v>
      </c>
      <c r="B4653" t="inlineStr">
        <is>
          <t>Quirino Diogo Leite Torres</t>
        </is>
      </c>
      <c r="C4653" t="inlineStr">
        <is>
          <t>Estágio</t>
        </is>
      </c>
      <c r="D4653" t="n">
        <v>0</v>
      </c>
      <c r="E4653" t="n">
        <v>0</v>
      </c>
      <c r="F4653" t="n">
        <v>0</v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/>
      <c r="N4653" s="12" t="n"/>
      <c r="O4653" s="12" t="n"/>
    </row>
    <row r="4654" hidden="1">
      <c r="A4654" s="11" t="n">
        <v>46170</v>
      </c>
      <c r="B4654" t="inlineStr">
        <is>
          <t>Gabriel Alves</t>
        </is>
      </c>
      <c r="C4654" t="inlineStr">
        <is>
          <t>Estágio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/>
      <c r="N4654" s="12" t="n"/>
      <c r="O4654" s="12" t="n"/>
    </row>
    <row r="4655" hidden="1">
      <c r="A4655" s="11" t="n">
        <v>46170</v>
      </c>
      <c r="B4655" t="inlineStr">
        <is>
          <t>Anna Luiza Rezende Tavares</t>
        </is>
      </c>
      <c r="C4655" t="inlineStr">
        <is>
          <t>JR</t>
        </is>
      </c>
      <c r="D4655" t="n">
        <v>0</v>
      </c>
      <c r="E4655" t="n">
        <v>0</v>
      </c>
      <c r="F4655" t="n">
        <v>0</v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/>
      <c r="N4655" s="12" t="n"/>
      <c r="O4655" s="12" t="n"/>
    </row>
    <row r="4656" hidden="1">
      <c r="A4656" s="11" t="n">
        <v>46170</v>
      </c>
      <c r="B4656" t="inlineStr">
        <is>
          <t>Karina Gonçalves Martins</t>
        </is>
      </c>
      <c r="C4656" t="inlineStr">
        <is>
          <t>JR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/>
      <c r="N4656" s="12" t="n"/>
      <c r="O4656" s="12" t="n"/>
    </row>
    <row r="4657" hidden="1">
      <c r="A4657" s="11" t="n">
        <v>46170</v>
      </c>
      <c r="B4657" t="inlineStr">
        <is>
          <t>Leandro de Souza Silva</t>
        </is>
      </c>
      <c r="C4657" t="inlineStr">
        <is>
          <t>JR</t>
        </is>
      </c>
      <c r="D4657" t="n">
        <v>0</v>
      </c>
      <c r="E4657" t="n">
        <v>0</v>
      </c>
      <c r="F4657" t="n">
        <v>0</v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/>
      <c r="N4657" s="12" t="n"/>
      <c r="O4657" s="12" t="n"/>
    </row>
    <row r="4658" hidden="1">
      <c r="A4658" s="11" t="n">
        <v>46170</v>
      </c>
      <c r="B4658" t="inlineStr">
        <is>
          <t>Milena Sales</t>
        </is>
      </c>
      <c r="C4658" t="inlineStr">
        <is>
          <t>JR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/>
      <c r="N4658" s="12" t="n"/>
      <c r="O4658" s="12" t="n"/>
    </row>
    <row r="4659" hidden="1">
      <c r="A4659" s="11" t="n">
        <v>46170</v>
      </c>
      <c r="B4659" t="inlineStr">
        <is>
          <t>Paulo Ricardo Santos</t>
        </is>
      </c>
      <c r="C4659" t="inlineStr">
        <is>
          <t>JR</t>
        </is>
      </c>
      <c r="D4659" t="n">
        <v>0</v>
      </c>
      <c r="E4659" t="n">
        <v>0</v>
      </c>
      <c r="F4659" t="n">
        <v>0</v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/>
      <c r="N4659" s="12" t="n"/>
      <c r="O4659" s="12" t="n"/>
    </row>
    <row r="4660" hidden="1">
      <c r="A4660" s="11" t="n">
        <v>46170</v>
      </c>
      <c r="B4660" t="inlineStr">
        <is>
          <t>Pedro Luiz Mota Sousa</t>
        </is>
      </c>
      <c r="C4660" t="inlineStr">
        <is>
          <t>JR</t>
        </is>
      </c>
      <c r="D4660" t="n">
        <v>0</v>
      </c>
      <c r="E4660" t="n">
        <v>0</v>
      </c>
      <c r="F4660" t="n">
        <v>0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/>
      <c r="N4660" s="12" t="n"/>
      <c r="O4660" s="12" t="n"/>
    </row>
    <row r="4661" hidden="1">
      <c r="A4661" s="11" t="n">
        <v>46170</v>
      </c>
      <c r="B4661" t="inlineStr">
        <is>
          <t>Alisson de Freitas Silva</t>
        </is>
      </c>
      <c r="C4661" t="inlineStr">
        <is>
          <t>Técnico II</t>
        </is>
      </c>
      <c r="D4661" t="n">
        <v>0</v>
      </c>
      <c r="E4661" t="n">
        <v>0</v>
      </c>
      <c r="F4661" t="n">
        <v>0</v>
      </c>
      <c r="G4661" t="n">
        <v>0</v>
      </c>
      <c r="H4661" t="n">
        <v>0</v>
      </c>
      <c r="I4661" t="n">
        <v>0</v>
      </c>
      <c r="J4661" t="n">
        <v>0</v>
      </c>
      <c r="K4661" t="n">
        <v>0</v>
      </c>
      <c r="L4661" s="12" t="n"/>
      <c r="M4661" s="12" t="n"/>
      <c r="N4661" s="12" t="n"/>
      <c r="O4661" s="12" t="n"/>
    </row>
    <row r="4662" hidden="1">
      <c r="A4662" s="11" t="n">
        <v>46170</v>
      </c>
      <c r="B4662" t="inlineStr">
        <is>
          <t>Amanda Moura Ferreira</t>
        </is>
      </c>
      <c r="C4662" t="inlineStr">
        <is>
          <t>Técnico III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0</v>
      </c>
      <c r="I4662" t="n">
        <v>0</v>
      </c>
      <c r="J4662" t="n">
        <v>0</v>
      </c>
      <c r="K4662" t="n">
        <v>0</v>
      </c>
      <c r="L4662" s="12" t="n"/>
      <c r="M4662" s="12" t="n"/>
      <c r="N4662" s="12" t="n"/>
      <c r="O4662" s="12" t="n"/>
    </row>
    <row r="4663" hidden="1">
      <c r="A4663" s="11" t="n">
        <v>46170</v>
      </c>
      <c r="B4663" t="inlineStr">
        <is>
          <t>Ana Karollyne Souza Faria</t>
        </is>
      </c>
      <c r="C4663" t="inlineStr">
        <is>
          <t>Técnico I</t>
        </is>
      </c>
      <c r="D4663" t="n">
        <v>0</v>
      </c>
      <c r="E4663" t="n">
        <v>0</v>
      </c>
      <c r="F4663" t="n">
        <v>0</v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s="12" t="n"/>
      <c r="M4663" s="12" t="n"/>
      <c r="N4663" s="12" t="n"/>
      <c r="O4663" s="12" t="n"/>
    </row>
    <row r="4664" hidden="1">
      <c r="A4664" s="11" t="n">
        <v>46170</v>
      </c>
      <c r="B4664" t="inlineStr">
        <is>
          <t>Ana Paula Da Luz Silva Aleixo</t>
        </is>
      </c>
      <c r="C4664" t="inlineStr">
        <is>
          <t>Técnico III</t>
        </is>
      </c>
      <c r="D4664" t="n">
        <v>0</v>
      </c>
      <c r="E4664" t="n">
        <v>0</v>
      </c>
      <c r="F4664" t="n">
        <v>0</v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s="12" t="n"/>
      <c r="M4664" s="12" t="n"/>
      <c r="N4664" s="12" t="n"/>
      <c r="O4664" s="12" t="n"/>
    </row>
    <row r="4665" hidden="1">
      <c r="A4665" s="11" t="n">
        <v>46170</v>
      </c>
      <c r="B4665" t="inlineStr">
        <is>
          <t>Brenda de Menezes Silva</t>
        </is>
      </c>
      <c r="C4665" t="inlineStr">
        <is>
          <t>Técnico II</t>
        </is>
      </c>
      <c r="D4665" t="n">
        <v>0</v>
      </c>
      <c r="E4665" t="n">
        <v>0</v>
      </c>
      <c r="F4665" t="n">
        <v>0</v>
      </c>
      <c r="G4665" t="n">
        <v>0</v>
      </c>
      <c r="H4665" t="n">
        <v>0</v>
      </c>
      <c r="I4665" t="n">
        <v>0</v>
      </c>
      <c r="J4665" t="n">
        <v>0</v>
      </c>
      <c r="K4665" t="n">
        <v>0</v>
      </c>
      <c r="L4665" s="12" t="n"/>
      <c r="M4665" s="12" t="n"/>
      <c r="N4665" s="12" t="n"/>
      <c r="O4665" s="12" t="n"/>
    </row>
    <row r="4666" hidden="1">
      <c r="A4666" s="11" t="n">
        <v>46170</v>
      </c>
      <c r="B4666" t="inlineStr">
        <is>
          <t>Carlos Mateus Cassimiro Nunes</t>
        </is>
      </c>
      <c r="C4666" t="inlineStr">
        <is>
          <t>Técnico II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0</v>
      </c>
      <c r="I4666" t="n">
        <v>0</v>
      </c>
      <c r="J4666" t="n">
        <v>0</v>
      </c>
      <c r="K4666" t="n">
        <v>0</v>
      </c>
      <c r="L4666" s="12" t="n"/>
      <c r="M4666" s="12" t="n"/>
      <c r="N4666" s="12" t="n"/>
      <c r="O4666" s="12" t="n"/>
    </row>
    <row r="4667" hidden="1">
      <c r="A4667" s="11" t="n">
        <v>46170</v>
      </c>
      <c r="B4667" t="inlineStr">
        <is>
          <t>Clessiane Pereira dos Santos</t>
        </is>
      </c>
      <c r="C4667" t="inlineStr">
        <is>
          <t>Técnico I</t>
        </is>
      </c>
      <c r="D4667" t="n">
        <v>0</v>
      </c>
      <c r="E4667" t="n">
        <v>0</v>
      </c>
      <c r="F4667" t="n">
        <v>0</v>
      </c>
      <c r="G4667" t="n">
        <v>0</v>
      </c>
      <c r="H4667" t="n">
        <v>0</v>
      </c>
      <c r="I4667" t="n">
        <v>0</v>
      </c>
      <c r="J4667" t="n">
        <v>0</v>
      </c>
      <c r="K4667" t="n">
        <v>0</v>
      </c>
      <c r="L4667" s="12" t="n"/>
      <c r="M4667" s="12" t="n"/>
      <c r="N4667" s="12" t="n"/>
      <c r="O4667" s="12" t="n"/>
    </row>
    <row r="4668" hidden="1">
      <c r="A4668" s="11" t="n">
        <v>46170</v>
      </c>
      <c r="B4668" t="inlineStr">
        <is>
          <t>Cristiane Ramos da Silva Rocha</t>
        </is>
      </c>
      <c r="C4668" t="inlineStr">
        <is>
          <t>Técnico III</t>
        </is>
      </c>
      <c r="D4668" t="n">
        <v>0</v>
      </c>
      <c r="E4668" t="n">
        <v>0</v>
      </c>
      <c r="F4668" t="n">
        <v>0</v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s="12" t="n"/>
      <c r="M4668" s="12" t="n"/>
      <c r="N4668" s="12" t="n"/>
      <c r="O4668" s="12" t="n"/>
    </row>
    <row r="4669" hidden="1">
      <c r="A4669" s="11" t="n">
        <v>46170</v>
      </c>
      <c r="B4669" t="inlineStr">
        <is>
          <t>Damyllis Lorraine de Oliveira Gonçalves</t>
        </is>
      </c>
      <c r="C4669" t="inlineStr">
        <is>
          <t>Técnico II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s="12" t="n"/>
      <c r="M4669" s="12" t="n"/>
      <c r="N4669" s="12" t="n"/>
      <c r="O4669" s="12" t="n"/>
    </row>
    <row r="4670" hidden="1">
      <c r="A4670" s="11" t="n">
        <v>46170</v>
      </c>
      <c r="B4670" t="inlineStr">
        <is>
          <t>Daniel Gomes da Silva</t>
        </is>
      </c>
      <c r="C4670" t="inlineStr">
        <is>
          <t>Técnico I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0</v>
      </c>
      <c r="I4670" t="n">
        <v>0</v>
      </c>
      <c r="J4670" t="n">
        <v>0</v>
      </c>
      <c r="K4670" t="n">
        <v>0</v>
      </c>
      <c r="L4670" s="12" t="n"/>
      <c r="M4670" s="12" t="n"/>
      <c r="N4670" s="12" t="n"/>
      <c r="O4670" s="12" t="n"/>
    </row>
    <row r="4671" hidden="1">
      <c r="A4671" s="11" t="n">
        <v>46170</v>
      </c>
      <c r="B4671" t="inlineStr">
        <is>
          <t>Davylla Rodrigues Freitas Silva</t>
        </is>
      </c>
      <c r="C4671" t="inlineStr">
        <is>
          <t>Técnico III</t>
        </is>
      </c>
      <c r="D4671" t="n">
        <v>0</v>
      </c>
      <c r="E4671" t="n">
        <v>0</v>
      </c>
      <c r="F4671" t="n">
        <v>0</v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s="12" t="n"/>
      <c r="M4671" s="12" t="n"/>
      <c r="N4671" s="12" t="n"/>
      <c r="O4671" s="12" t="n"/>
    </row>
    <row r="4672" hidden="1">
      <c r="A4672" s="11" t="n">
        <v>46170</v>
      </c>
      <c r="B4672" t="inlineStr">
        <is>
          <t>Emilly Kamilly Medeiros Miranda</t>
        </is>
      </c>
      <c r="C4672" t="inlineStr">
        <is>
          <t>Técnico II</t>
        </is>
      </c>
      <c r="D4672" t="n">
        <v>0</v>
      </c>
      <c r="E4672" t="n">
        <v>0</v>
      </c>
      <c r="F4672" t="n">
        <v>0</v>
      </c>
      <c r="G4672" t="n">
        <v>0</v>
      </c>
      <c r="H4672" t="n">
        <v>0</v>
      </c>
      <c r="I4672" t="n">
        <v>0</v>
      </c>
      <c r="J4672" t="n">
        <v>0</v>
      </c>
      <c r="K4672" t="n">
        <v>0</v>
      </c>
      <c r="L4672" s="12" t="n"/>
      <c r="M4672" s="12" t="n"/>
      <c r="N4672" s="12" t="n"/>
      <c r="O4672" s="12" t="n"/>
    </row>
    <row r="4673" hidden="1">
      <c r="A4673" s="11" t="n">
        <v>46170</v>
      </c>
      <c r="B4673" t="inlineStr">
        <is>
          <t>Francielson de Oliveira</t>
        </is>
      </c>
      <c r="C4673" t="inlineStr">
        <is>
          <t>Técnico III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0</v>
      </c>
      <c r="I4673" t="n">
        <v>0</v>
      </c>
      <c r="J4673" t="n">
        <v>0</v>
      </c>
      <c r="K4673" t="n">
        <v>0</v>
      </c>
      <c r="L4673" s="12" t="n"/>
      <c r="M4673" s="12" t="n"/>
      <c r="N4673" s="12" t="n"/>
      <c r="O4673" s="12" t="n"/>
    </row>
    <row r="4674" hidden="1">
      <c r="A4674" s="11" t="n">
        <v>46170</v>
      </c>
      <c r="B4674" t="inlineStr">
        <is>
          <t>Francilene Ferreira de Jesus</t>
        </is>
      </c>
      <c r="C4674" t="inlineStr">
        <is>
          <t>Técnico 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s="12" t="n"/>
      <c r="M4674" s="12" t="n"/>
      <c r="N4674" s="12" t="n"/>
      <c r="O4674" s="12" t="n"/>
    </row>
    <row r="4675" hidden="1">
      <c r="A4675" s="11" t="n">
        <v>46170</v>
      </c>
      <c r="B4675" t="inlineStr">
        <is>
          <t>Gabriel Gomes de Andrade</t>
        </is>
      </c>
      <c r="C4675" t="inlineStr">
        <is>
          <t>Técnico I</t>
        </is>
      </c>
      <c r="D4675" t="n">
        <v>0</v>
      </c>
      <c r="E4675" t="n">
        <v>0</v>
      </c>
      <c r="F4675" t="n">
        <v>0</v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s="12" t="n"/>
      <c r="M4675" s="12" t="n"/>
      <c r="N4675" s="12" t="n"/>
      <c r="O4675" s="12" t="n"/>
    </row>
    <row r="4676" hidden="1">
      <c r="A4676" s="11" t="n">
        <v>46170</v>
      </c>
      <c r="B4676" t="inlineStr">
        <is>
          <t>Isabella Borges de Oliveira</t>
        </is>
      </c>
      <c r="C4676" t="inlineStr">
        <is>
          <t>Técnico II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s="12" t="n"/>
      <c r="M4676" s="12" t="n"/>
      <c r="N4676" s="12" t="n"/>
      <c r="O4676" s="12" t="n"/>
    </row>
    <row r="4677" hidden="1">
      <c r="A4677" s="11" t="n">
        <v>46170</v>
      </c>
      <c r="B4677" t="inlineStr">
        <is>
          <t>Janaina Lima dos Reis Urany</t>
        </is>
      </c>
      <c r="C4677" t="inlineStr">
        <is>
          <t>Técnico III</t>
        </is>
      </c>
      <c r="D4677" t="n">
        <v>0</v>
      </c>
      <c r="E4677" t="n">
        <v>0</v>
      </c>
      <c r="F4677" t="n">
        <v>0</v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s="12" t="n"/>
      <c r="M4677" s="12" t="n"/>
      <c r="N4677" s="12" t="n"/>
      <c r="O4677" s="12" t="n"/>
    </row>
    <row r="4678" hidden="1">
      <c r="A4678" s="11" t="n">
        <v>46170</v>
      </c>
      <c r="B4678" t="inlineStr">
        <is>
          <t>Jaqueline Evangelista da Silva Martins</t>
        </is>
      </c>
      <c r="C4678" t="inlineStr">
        <is>
          <t>Técnico III</t>
        </is>
      </c>
      <c r="D4678" t="n">
        <v>0</v>
      </c>
      <c r="E4678" t="n">
        <v>0</v>
      </c>
      <c r="F4678" t="n">
        <v>0</v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s="12" t="n"/>
      <c r="M4678" s="12" t="n"/>
      <c r="N4678" s="12" t="n"/>
      <c r="O4678" s="12" t="n"/>
    </row>
    <row r="4679" hidden="1">
      <c r="A4679" s="11" t="n">
        <v>46170</v>
      </c>
      <c r="B4679" t="inlineStr">
        <is>
          <t>Jessica Faria da Silveira</t>
        </is>
      </c>
      <c r="C4679" t="inlineStr">
        <is>
          <t>Técnico II</t>
        </is>
      </c>
      <c r="D4679" t="n">
        <v>0</v>
      </c>
      <c r="E4679" t="n">
        <v>0</v>
      </c>
      <c r="F4679" t="n">
        <v>0</v>
      </c>
      <c r="G4679" t="n">
        <v>0</v>
      </c>
      <c r="H4679" t="n">
        <v>0</v>
      </c>
      <c r="I4679" t="n">
        <v>0</v>
      </c>
      <c r="J4679" t="n">
        <v>0</v>
      </c>
      <c r="K4679" t="n">
        <v>0</v>
      </c>
      <c r="L4679" s="12" t="n"/>
      <c r="M4679" s="12" t="n"/>
      <c r="N4679" s="12" t="n"/>
      <c r="O4679" s="12" t="n"/>
    </row>
    <row r="4680" hidden="1">
      <c r="A4680" s="11" t="n">
        <v>46170</v>
      </c>
      <c r="B4680" t="inlineStr">
        <is>
          <t>Jéssica Fé Moura</t>
        </is>
      </c>
      <c r="C4680" t="inlineStr">
        <is>
          <t>Técnico III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s="12" t="n"/>
      <c r="M4680" s="12" t="n"/>
      <c r="N4680" s="12" t="n"/>
      <c r="O4680" s="12" t="n"/>
    </row>
    <row r="4681" hidden="1">
      <c r="A4681" s="11" t="n">
        <v>46170</v>
      </c>
      <c r="B4681" t="inlineStr">
        <is>
          <t>Kerollen Cristielly de Jesus Siqueira</t>
        </is>
      </c>
      <c r="C4681" t="inlineStr">
        <is>
          <t>Técnico III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s="12" t="n"/>
      <c r="M4681" s="12" t="n"/>
      <c r="N4681" s="12" t="n"/>
      <c r="O4681" s="12" t="n"/>
    </row>
    <row r="4682" hidden="1">
      <c r="A4682" s="11" t="n">
        <v>46170</v>
      </c>
      <c r="B4682" t="inlineStr">
        <is>
          <t>Leandro Oliveira de Sousa</t>
        </is>
      </c>
      <c r="C4682" t="inlineStr">
        <is>
          <t>Técnico III</t>
        </is>
      </c>
      <c r="D4682" t="n">
        <v>0</v>
      </c>
      <c r="E4682" t="n">
        <v>0</v>
      </c>
      <c r="F4682" t="n">
        <v>0</v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s="12" t="n"/>
      <c r="M4682" s="12" t="n"/>
      <c r="N4682" s="12" t="n"/>
      <c r="O4682" s="12" t="n"/>
    </row>
    <row r="4683" hidden="1">
      <c r="A4683" s="11" t="n">
        <v>46170</v>
      </c>
      <c r="B4683" t="inlineStr">
        <is>
          <t>Lizandra Gomes Duarte</t>
        </is>
      </c>
      <c r="C4683" t="inlineStr">
        <is>
          <t>Técnico 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s="12" t="n"/>
      <c r="M4683" s="12" t="n"/>
      <c r="N4683" s="12" t="n"/>
      <c r="O4683" s="12" t="n"/>
    </row>
    <row r="4684" hidden="1">
      <c r="A4684" s="11" t="n">
        <v>46170</v>
      </c>
      <c r="B4684" t="inlineStr">
        <is>
          <t>Lorena Dias de Araujo</t>
        </is>
      </c>
      <c r="C4684" t="inlineStr">
        <is>
          <t>Técnico II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s="12" t="n"/>
      <c r="M4684" s="12" t="n"/>
      <c r="N4684" s="12" t="n"/>
      <c r="O4684" s="12" t="n"/>
    </row>
    <row r="4685" hidden="1">
      <c r="A4685" s="11" t="n">
        <v>46170</v>
      </c>
      <c r="B4685" t="inlineStr">
        <is>
          <t>Lucas Luiz Romero</t>
        </is>
      </c>
      <c r="C4685" t="inlineStr">
        <is>
          <t>Técnico III</t>
        </is>
      </c>
      <c r="D4685" t="n">
        <v>0</v>
      </c>
      <c r="E4685" t="n">
        <v>0</v>
      </c>
      <c r="F4685" t="n">
        <v>0</v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s="12" t="n"/>
      <c r="M4685" s="12" t="n"/>
      <c r="N4685" s="12" t="n"/>
      <c r="O4685" s="12" t="n"/>
    </row>
    <row r="4686" hidden="1">
      <c r="A4686" s="11" t="n">
        <v>46170</v>
      </c>
      <c r="B4686" t="inlineStr">
        <is>
          <t>Luiz Fernando de Carvalho Junior</t>
        </is>
      </c>
      <c r="C4686" t="inlineStr">
        <is>
          <t>Técnico 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s="12" t="n"/>
      <c r="M4686" s="12" t="n"/>
      <c r="N4686" s="12" t="n"/>
      <c r="O4686" s="12" t="n"/>
    </row>
    <row r="4687" hidden="1">
      <c r="A4687" s="11" t="n">
        <v>46170</v>
      </c>
      <c r="B4687" t="inlineStr">
        <is>
          <t>Matheus Farias De Souza</t>
        </is>
      </c>
      <c r="C4687" t="inlineStr">
        <is>
          <t>Técnico III</t>
        </is>
      </c>
      <c r="D4687" t="n">
        <v>0</v>
      </c>
      <c r="E4687" t="n">
        <v>0</v>
      </c>
      <c r="F4687" t="n">
        <v>0</v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s="12" t="n"/>
      <c r="M4687" s="12" t="n"/>
      <c r="N4687" s="12" t="n"/>
      <c r="O4687" s="12" t="n"/>
    </row>
    <row r="4688" hidden="1">
      <c r="A4688" s="11" t="n">
        <v>46170</v>
      </c>
      <c r="B4688" t="inlineStr">
        <is>
          <t>Maysa Victoria Dias Moura</t>
        </is>
      </c>
      <c r="C4688" t="inlineStr">
        <is>
          <t>Técnico III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s="12" t="n"/>
      <c r="M4688" s="12" t="n"/>
      <c r="N4688" s="12" t="n"/>
      <c r="O4688" s="12" t="n"/>
    </row>
    <row r="4689" hidden="1">
      <c r="A4689" s="11" t="n">
        <v>46170</v>
      </c>
      <c r="B4689" t="inlineStr">
        <is>
          <t>Patrícia Karla de Sousa Araújo</t>
        </is>
      </c>
      <c r="C4689" t="inlineStr">
        <is>
          <t>Técnico II</t>
        </is>
      </c>
      <c r="D4689" t="n">
        <v>0</v>
      </c>
      <c r="E4689" t="n">
        <v>0</v>
      </c>
      <c r="F4689" t="n">
        <v>0</v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s="12" t="n"/>
      <c r="M4689" s="12" t="n"/>
      <c r="N4689" s="12" t="n"/>
      <c r="O4689" s="12" t="n"/>
    </row>
    <row r="4690" hidden="1">
      <c r="A4690" s="11" t="n">
        <v>46170</v>
      </c>
      <c r="B4690" t="inlineStr">
        <is>
          <t>Raane Batista Matos</t>
        </is>
      </c>
      <c r="C4690" t="inlineStr">
        <is>
          <t>Técnico I</t>
        </is>
      </c>
      <c r="D4690" t="n">
        <v>0</v>
      </c>
      <c r="E4690" t="n">
        <v>0</v>
      </c>
      <c r="F4690" t="n">
        <v>0</v>
      </c>
      <c r="G4690" t="n">
        <v>0</v>
      </c>
      <c r="H4690" t="n">
        <v>0</v>
      </c>
      <c r="I4690" t="n">
        <v>0</v>
      </c>
      <c r="J4690" t="n">
        <v>0</v>
      </c>
      <c r="K4690" t="n">
        <v>0</v>
      </c>
      <c r="L4690" s="12" t="n"/>
      <c r="M4690" s="12" t="n"/>
      <c r="N4690" s="12" t="n"/>
      <c r="O4690" s="12" t="n"/>
    </row>
    <row r="4691" hidden="1">
      <c r="A4691" s="11" t="n">
        <v>46170</v>
      </c>
      <c r="B4691" t="inlineStr">
        <is>
          <t>Rafael Gomes de Morais</t>
        </is>
      </c>
      <c r="C4691" t="inlineStr">
        <is>
          <t>Técnico III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s="12" t="n"/>
      <c r="M4691" s="12" t="n"/>
      <c r="N4691" s="12" t="n"/>
      <c r="O4691" s="12" t="n"/>
    </row>
    <row r="4692" hidden="1">
      <c r="A4692" s="11" t="n">
        <v>46170</v>
      </c>
      <c r="B4692" t="inlineStr">
        <is>
          <t>Sara Maria Monteiro Lopes</t>
        </is>
      </c>
      <c r="C4692" t="inlineStr">
        <is>
          <t>Técnico 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s="12" t="n"/>
      <c r="M4692" s="12" t="n"/>
      <c r="N4692" s="12" t="n"/>
      <c r="O4692" s="12" t="n"/>
    </row>
    <row r="4693" hidden="1">
      <c r="A4693" s="11" t="n">
        <v>46170</v>
      </c>
      <c r="B4693" t="inlineStr">
        <is>
          <t>Sarah Steffanie de Lima Borges</t>
        </is>
      </c>
      <c r="C4693" t="inlineStr">
        <is>
          <t>Técnico III</t>
        </is>
      </c>
      <c r="D4693" t="n">
        <v>0</v>
      </c>
      <c r="E4693" t="n">
        <v>0</v>
      </c>
      <c r="F4693" t="n">
        <v>0</v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s="12" t="n"/>
      <c r="M4693" s="12" t="n"/>
      <c r="N4693" s="12" t="n"/>
      <c r="O4693" s="12" t="n"/>
    </row>
  </sheetData>
  <autoFilter ref="A1:O4693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237:O4515">
      <sortCondition descending="1" ref="C1:C4693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2026-05-28T14:07:35Z</dcterms:modified>
  <cp:lastModifiedBy>Esther Queiroz Supervisora Folha</cp:lastModifiedBy>
</cp:coreProperties>
</file>